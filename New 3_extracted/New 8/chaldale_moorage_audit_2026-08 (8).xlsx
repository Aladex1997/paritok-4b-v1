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_rels/sheet4.xml.rels" ContentType="application/vnd.openxmlformats-package.relationships+xml"/>
  <Override PartName="/xl/worksheets/_rels/sheet10.xml.rels" ContentType="application/vnd.openxmlformats-package.relationships+xml"/>
  <Override PartName="/xl/worksheets/_rels/sheet12.xml.rels" ContentType="application/vnd.openxmlformats-package.relationships+xml"/>
  <Override PartName="/xl/worksheets/_rels/sheet6.xml.rels" ContentType="application/vnd.openxmlformats-package.relationships+xml"/>
  <Override PartName="/xl/worksheets/_rels/sheet7.xml.rels" ContentType="application/vnd.openxmlformats-package.relationships+xml"/>
  <Override PartName="/xl/worksheets/_rels/sheet13.xml.rels" ContentType="application/vnd.openxmlformats-package.relationships+xml"/>
  <Override PartName="/xl/worksheets/_rels/sheet8.xml.rels" ContentType="application/vnd.openxmlformats-package.relationships+xml"/>
  <Override PartName="/xl/worksheets/_rels/sheet14.xml.rels" ContentType="application/vnd.openxmlformats-package.relationships+xml"/>
  <Override PartName="/xl/worksheets/_rels/sheet9.xml.rels" ContentType="application/vnd.openxmlformats-package.relationships+xml"/>
  <Override PartName="/xl/worksheets/_rels/sheet5.xml.rels" ContentType="application/vnd.openxmlformats-package.relationships+xml"/>
  <Override PartName="/xl/worksheets/_rels/sheet1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12.xml" ContentType="application/vnd.openxmlformats-officedocument.spreadsheetml.worksheet+xml"/>
  <Override PartName="/xl/worksheets/sheet7.xml" ContentType="application/vnd.openxmlformats-officedocument.spreadsheetml.worksheet+xml"/>
  <Override PartName="/xl/worksheets/sheet13.xml" ContentType="application/vnd.openxmlformats-officedocument.spreadsheetml.worksheet+xml"/>
  <Override PartName="/xl/worksheets/sheet8.xml" ContentType="application/vnd.openxmlformats-officedocument.spreadsheetml.worksheet+xml"/>
  <Override PartName="/xl/worksheets/sheet14.xml" ContentType="application/vnd.openxmlformats-officedocument.spreadsheetml.worksheet+xml"/>
  <Override PartName="/xl/worksheets/sheet9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10.xml" ContentType="application/vnd.openxmlformats-officedocument.drawing+xml"/>
  <Override PartName="/xl/drawings/drawing7.xml" ContentType="application/vnd.openxmlformats-officedocument.drawing+xml"/>
  <Override PartName="/xl/drawings/drawing11.xml" ContentType="application/vnd.openxmlformats-officedocument.drawing+xml"/>
  <Override PartName="/xl/drawings/drawing8.xml" ContentType="application/vnd.openxmlformats-officedocument.drawing+xml"/>
  <Override PartName="/xl/drawings/drawing12.xml" ContentType="application/vnd.openxmlformats-officedocument.drawing+xml"/>
  <Override PartName="/xl/drawings/drawing9.xml" ContentType="application/vnd.openxmlformats-officedocument.drawing+xml"/>
  <Override PartName="/xl/tables/table3.xml" ContentType="application/vnd.openxmlformats-officedocument.spreadsheetml.table+xml"/>
  <Override PartName="/xl/tables/table10.xml" ContentType="application/vnd.openxmlformats-officedocument.spreadsheetml.table+xml"/>
  <Override PartName="/xl/tables/table12.xml" ContentType="application/vnd.openxmlformats-officedocument.spreadsheetml.table+xml"/>
  <Override PartName="/xl/tables/table5.xml" ContentType="application/vnd.openxmlformats-officedocument.spreadsheetml.table+xml"/>
  <Override PartName="/xl/tables/table7.xml" ContentType="application/vnd.openxmlformats-officedocument.spreadsheetml.table+xml"/>
  <Override PartName="/xl/tables/table11.xml" ContentType="application/vnd.openxmlformats-officedocument.spreadsheetml.table+xml"/>
  <Override PartName="/xl/tables/table4.xml" ContentType="application/vnd.openxmlformats-officedocument.spreadsheetml.table+xml"/>
  <Override PartName="/xl/tables/table9.xml" ContentType="application/vnd.openxmlformats-officedocument.spreadsheetml.table+xml"/>
  <Override PartName="/xl/tables/table6.xml" ContentType="application/vnd.openxmlformats-officedocument.spreadsheetml.table+xml"/>
  <Override PartName="/xl/tables/table2.xml" ContentType="application/vnd.openxmlformats-officedocument.spreadsheetml.table+xml"/>
  <Override PartName="/xl/tables/table1.xml" ContentType="application/vnd.openxmlformats-officedocument.spreadsheetml.table+xml"/>
  <Override PartName="/xl/tables/table8.xml" ContentType="application/vnd.openxmlformats-officedocument.spreadsheetml.table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ummary" sheetId="1" state="visible" r:id="rId3"/>
    <sheet name="Controls &amp; Sources" sheetId="2" state="visible" r:id="rId4"/>
    <sheet name="Applicant Lookup" sheetId="3" state="hidden" r:id="rId5"/>
    <sheet name="Slip Inventory" sheetId="4" state="hidden" r:id="rId6"/>
    <sheet name="Offer Events" sheetId="5" state="hidden" r:id="rId7"/>
    <sheet name="Skip Events" sheetId="6" state="hidden" r:id="rId8"/>
    <sheet name="Skip PDF Index" sheetId="7" state="visible" r:id="rId9"/>
    <sheet name="Skip Audit" sheetId="8" state="visible" r:id="rId10"/>
    <sheet name="Certificate Check" sheetId="9" state="visible" r:id="rId11"/>
    <sheet name="Amendment Audit" sheetId="10" state="visible" r:id="rId12"/>
    <sheet name="Billing Actual" sheetId="11" state="hidden" r:id="rId13"/>
    <sheet name="Billing Recon" sheetId="12" state="visible" r:id="rId14"/>
    <sheet name="Aging Report" sheetId="13" state="visible" r:id="rId15"/>
    <sheet name="Queue Exceptions" sheetId="14" state="visible" r:id="rId16"/>
  </sheets>
  <definedNames>
    <definedName function="false" hidden="false" localSheetId="12" name="_xlnm.Print_Area" vbProcedure="false">'Aging Report'!$A$5:$Y$265</definedName>
    <definedName function="false" hidden="false" localSheetId="12" name="_xlnm.Print_Titles" vbProcedure="false">'Aging Report'!$A:$B,'Aging Report'!$5:$5</definedName>
    <definedName function="false" hidden="true" localSheetId="12" name="_xlnm._FilterDatabase" vbProcedure="false">'Aging Report'!$A$5:$Y$265</definedName>
    <definedName function="false" hidden="false" localSheetId="9" name="_xlnm.Print_Area" vbProcedure="false">'Amendment Audit'!$A$5:$N$205</definedName>
    <definedName function="false" hidden="false" localSheetId="9" name="_xlnm.Print_Titles" vbProcedure="false">'Amendment Audit'!$A:$D,'Amendment Audit'!$5:$5</definedName>
    <definedName function="false" hidden="true" localSheetId="9" name="_xlnm._FilterDatabase" vbProcedure="false">'Amendment Audit'!$A$5:$N$205</definedName>
    <definedName function="false" hidden="true" localSheetId="2" name="_xlnm._FilterDatabase" vbProcedure="false">'Applicant Lookup'!$A$1:$F$2911</definedName>
    <definedName function="false" hidden="true" localSheetId="10" name="_xlnm._FilterDatabase" vbProcedure="false">'Billing Actual'!$A$1:$Y$770</definedName>
    <definedName function="false" hidden="false" localSheetId="11" name="_xlnm.Print_Area" vbProcedure="false">'Billing Recon'!$A$5:$S$1091</definedName>
    <definedName function="false" hidden="false" localSheetId="11" name="_xlnm.Print_Titles" vbProcedure="false">'Billing Recon'!$A:$A,'Billing Recon'!$5:$5</definedName>
    <definedName function="false" hidden="true" localSheetId="11" name="_xlnm._FilterDatabase" vbProcedure="false">'Billing Recon'!$A$5:$S$1091</definedName>
    <definedName function="false" hidden="false" localSheetId="8" name="_xlnm.Print_Area" vbProcedure="false">'Certificate Check'!$A$5:$P$7</definedName>
    <definedName function="false" hidden="false" localSheetId="8" name="_xlnm.Print_Titles" vbProcedure="false">'Certificate Check'!$A:$D,'Certificate Check'!$5:$5</definedName>
    <definedName function="false" hidden="true" localSheetId="8" name="_xlnm._FilterDatabase" vbProcedure="false">'Certificate Check'!$A$5:$P$7</definedName>
    <definedName function="false" hidden="false" localSheetId="1" name="_xlnm.Print_Area" vbProcedure="false">'Controls &amp; Sources'!$A$1:$E$29</definedName>
    <definedName function="false" hidden="true" localSheetId="4" name="_xlnm._FilterDatabase" vbProcedure="false">'Offer Events'!$A$1:$R$1487</definedName>
    <definedName function="false" hidden="false" localSheetId="13" name="_xlnm.Print_Titles" vbProcedure="false">'Queue Exceptions'!$5:$5</definedName>
    <definedName function="false" hidden="true" localSheetId="13" name="_xlnm._FilterDatabase" vbProcedure="false">'Queue Exceptions'!$A$5:$J$513</definedName>
    <definedName function="false" hidden="false" localSheetId="7" name="_xlnm.Print_Area" vbProcedure="false">'Skip Audit'!$A$5:$U$314</definedName>
    <definedName function="false" hidden="false" localSheetId="7" name="_xlnm.Print_Titles" vbProcedure="false">'Skip Audit'!$A:$D,'Skip Audit'!$5:$5</definedName>
    <definedName function="false" hidden="true" localSheetId="7" name="_xlnm._FilterDatabase" vbProcedure="false">'Skip Audit'!$A$5:$U$314</definedName>
    <definedName function="false" hidden="true" localSheetId="5" name="_xlnm._FilterDatabase" vbProcedure="false">'Skip Events'!$A$1:$P$413</definedName>
    <definedName function="false" hidden="false" localSheetId="6" name="_xlnm.Print_Area" vbProcedure="false">'Skip PDF Index'!$A$5:$N$11</definedName>
    <definedName function="false" hidden="false" localSheetId="6" name="_xlnm.Print_Titles" vbProcedure="false">'Skip PDF Index'!$A:$B,'Skip PDF Index'!$5:$5</definedName>
    <definedName function="false" hidden="true" localSheetId="6" name="_xlnm._FilterDatabase" vbProcedure="false">'Skip PDF Index'!$A$5:$N$11</definedName>
    <definedName function="false" hidden="true" localSheetId="3" name="_xlnm._FilterDatabase" vbProcedure="false">'Slip Inventory'!$A$1:$R$1181</definedName>
    <definedName function="false" hidden="false" localSheetId="0" name="_xlnm.Print_Area" vbProcedure="false">Summary!$A$1:$H$43</definedName>
    <definedName function="false" hidden="false" localSheetId="6" name="_xlnm.Print_Titles" vbProcedure="false">'Skip PDF Index'!$5:$5,'Skip PDF Index'!$A:$B</definedName>
    <definedName function="false" hidden="false" localSheetId="7" name="_xlnm.Print_Titles" vbProcedure="false">'Skip Audit'!$5:$5,'Skip Audit'!$A:$D</definedName>
    <definedName function="false" hidden="false" localSheetId="8" name="_xlnm.Print_Titles" vbProcedure="false">'Certificate Check'!$5:$5,'Certificate Check'!$A:$D</definedName>
    <definedName function="false" hidden="false" localSheetId="9" name="_xlnm.Print_Titles" vbProcedure="false">'Amendment Audit'!$5:$5,'Amendment Audit'!$A:$D</definedName>
    <definedName function="false" hidden="false" localSheetId="11" name="_xlnm.Print_Titles" vbProcedure="false">'Billing Recon'!$5:$5,'Billing Recon'!$A:$A</definedName>
    <definedName function="false" hidden="false" localSheetId="12" name="_xlnm.Print_Titles" vbProcedure="false">'Aging Report'!$5:$5,'Aging Report'!$A:$B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<sst xmlns="http://schemas.openxmlformats.org/spreadsheetml/2006/main" count="66157" uniqueCount="12990">
  <si>
    <t xml:space="preserve">Chaldale Moorage Audit | Board Review</t>
  </si>
  <si>
    <t xml:space="preserve">Audit date 2026-08-07 | Formula-driven totals and variances | Prepared for the Board of Harbor Commissioners</t>
  </si>
  <si>
    <t xml:space="preserve">Board Decisions</t>
  </si>
  <si>
    <t xml:space="preserve">1. Confirm cash receipts posted from 2026-08-01 through 2026-08-07, then pursue collection on each occupied account with a 91+ day balance.</t>
  </si>
  <si>
    <t xml:space="preserve">2. Refer Priority 1 queue exceptions for immediate independent review; do not rely on unsupported skips or downstream effects until resolved.</t>
  </si>
  <si>
    <t xml:space="preserve">3. Complete the August billing run and correct AR total_due arithmetic before using the subledger for collection notices or financial reporting.</t>
  </si>
  <si>
    <t xml:space="preserve">Queue Integrity</t>
  </si>
  <si>
    <t xml:space="preserve">Skips audited</t>
  </si>
  <si>
    <t xml:space="preserve">records</t>
  </si>
  <si>
    <t xml:space="preserve">skip_events_2022_2026.csv; user scope</t>
  </si>
  <si>
    <t xml:space="preserve">Skip Priority 1</t>
  </si>
  <si>
    <t xml:space="preserve">Skip Audit formulas; Standing Order 15-3 ss.3.2-3.3</t>
  </si>
  <si>
    <t xml:space="preserve">Skip Priority 2</t>
  </si>
  <si>
    <t xml:space="preserve">Skip Audit formulas</t>
  </si>
  <si>
    <t xml:space="preserve">LOA amendments audited</t>
  </si>
  <si>
    <t xml:space="preserve">amendment_log_2022_2026.csv; Resolution 2022-06 s.4.3</t>
  </si>
  <si>
    <t xml:space="preserve">Amendment Priority 1</t>
  </si>
  <si>
    <t xml:space="preserve">Unsupported amendment with downstream skip</t>
  </si>
  <si>
    <t xml:space="preserve">Amendment Priority 2</t>
  </si>
  <si>
    <t xml:space="preserve">Unsupported amendment without downstream skip</t>
  </si>
  <si>
    <t xml:space="preserve">Substantiated LOA amendments</t>
  </si>
  <si>
    <t xml:space="preserve">Two supplied measurement certificates; exact applicant/date/value test</t>
  </si>
  <si>
    <t xml:space="preserve">Billing Reconciliation | August 2026 Base Moorage</t>
  </si>
  <si>
    <t xml:space="preserve">Occupied slips</t>
  </si>
  <si>
    <t xml:space="preserve">slip_inventory_2026-08.csv; status=OCCUPIED</t>
  </si>
  <si>
    <t xml:space="preserve">Occupied slips with posted charge</t>
  </si>
  <si>
    <t xml:space="preserve">billing_transactions_2022_2026.csv; 2026-08-01 MONTHLY_MOORAGE</t>
  </si>
  <si>
    <t xml:space="preserve">Occupied slips missing charge</t>
  </si>
  <si>
    <t xml:space="preserve">Billing Recon completeness formula</t>
  </si>
  <si>
    <t xml:space="preserve">Expected charges</t>
  </si>
  <si>
    <t xml:space="preserve">dollars</t>
  </si>
  <si>
    <t xml:space="preserve">Resolution 2022-06 ss.1.1-1.3; Tariff Resolution 2019-14 s.1(4)</t>
  </si>
  <si>
    <t xml:space="preserve">Actual posted charges</t>
  </si>
  <si>
    <t xml:space="preserve">billing_transactions_2022_2026.csv amount field; pre-tax</t>
  </si>
  <si>
    <t xml:space="preserve">Variance: actual - expected</t>
  </si>
  <si>
    <t xml:space="preserve">Billing Recon row formulas</t>
  </si>
  <si>
    <t xml:space="preserve">Aging and Collection</t>
  </si>
  <si>
    <t xml:space="preserve">Occupied accounts with 91+ balance</t>
  </si>
  <si>
    <t xml:space="preserve">accounts</t>
  </si>
  <si>
    <t xml:space="preserve">ar_aging_2026-07-31.xlsx AR_Aging; embedded slip verified in inventory</t>
  </si>
  <si>
    <t xml:space="preserve">91-120 balance</t>
  </si>
  <si>
    <t xml:space="preserve">AR_Aging days_90 field</t>
  </si>
  <si>
    <t xml:space="preserve">120+ balance</t>
  </si>
  <si>
    <t xml:space="preserve">AR_Aging days_120_plus field</t>
  </si>
  <si>
    <t xml:space="preserve">Combined 91+ delinquent balance</t>
  </si>
  <si>
    <t xml:space="preserve">Aging Report formula: 91-120 + 120+</t>
  </si>
  <si>
    <t xml:space="preserve">Total account due for collection candidates</t>
  </si>
  <si>
    <t xml:space="preserve">Bucket sum, not source total_due</t>
  </si>
  <si>
    <t xml:space="preserve">Priority 3 AR arithmetic errors</t>
  </si>
  <si>
    <t xml:space="preserve">Aging Report reported total_due vs bucket sum</t>
  </si>
  <si>
    <t xml:space="preserve">AR total_due understatement</t>
  </si>
  <si>
    <t xml:space="preserve">Aging Report arithmetic variance</t>
  </si>
  <si>
    <t xml:space="preserve">Collection Candidates | 91+ Days</t>
  </si>
  <si>
    <t xml:space="preserve">Account</t>
  </si>
  <si>
    <t xml:space="preserve">Tenant</t>
  </si>
  <si>
    <t xml:space="preserve">Slip</t>
  </si>
  <si>
    <t xml:space="preserve">91-120</t>
  </si>
  <si>
    <t xml:space="preserve">120+</t>
  </si>
  <si>
    <t xml:space="preserve">91+ balance</t>
  </si>
  <si>
    <t xml:space="preserve">Total due</t>
  </si>
  <si>
    <t xml:space="preserve">Occupied</t>
  </si>
  <si>
    <t xml:space="preserve">TOTAL</t>
  </si>
  <si>
    <t xml:space="preserve">Audit Controls, Authority, and Sources</t>
  </si>
  <si>
    <t xml:space="preserve">Source inputs are transcribed from the named records; calculated findings are formulas in the audit sheets.</t>
  </si>
  <si>
    <t xml:space="preserve">Control</t>
  </si>
  <si>
    <t xml:space="preserve">Value</t>
  </si>
  <si>
    <t xml:space="preserve">Source</t>
  </si>
  <si>
    <t xml:space="preserve">Basis</t>
  </si>
  <si>
    <t xml:space="preserve">Workbook use</t>
  </si>
  <si>
    <t xml:space="preserve">Covered rate per foot-month</t>
  </si>
  <si>
    <t xml:space="preserve">resolution_2022-06.pdf</t>
  </si>
  <si>
    <t xml:space="preserve">s.1.1; effective for periods from 2022-08-01</t>
  </si>
  <si>
    <t xml:space="preserve">Formula input</t>
  </si>
  <si>
    <t xml:space="preserve">Open rate per foot-month</t>
  </si>
  <si>
    <t xml:space="preserve">s.1.2; effective for periods from 2022-08-01</t>
  </si>
  <si>
    <t xml:space="preserve">Billing month</t>
  </si>
  <si>
    <t xml:space="preserve">billing_transactions_2022_2026.csv</t>
  </si>
  <si>
    <t xml:space="preserve">latest monthly cycle in file</t>
  </si>
  <si>
    <t xml:space="preserve">Audit date</t>
  </si>
  <si>
    <t xml:space="preserve">User instruction</t>
  </si>
  <si>
    <t xml:space="preserve">Board review date</t>
  </si>
  <si>
    <t xml:space="preserve">Skip audit start</t>
  </si>
  <si>
    <t xml:space="preserve">inclusive</t>
  </si>
  <si>
    <t xml:space="preserve">Skip audit end</t>
  </si>
  <si>
    <t xml:space="preserve">LOA amendment start</t>
  </si>
  <si>
    <t xml:space="preserve">s.4.3 and s.8.1</t>
  </si>
  <si>
    <t xml:space="preserve">Record</t>
  </si>
  <si>
    <t xml:space="preserve">Section / location</t>
  </si>
  <si>
    <t xml:space="preserve">Rule used</t>
  </si>
  <si>
    <t xml:space="preserve">Authority conclusion</t>
  </si>
  <si>
    <t xml:space="preserve">Notes</t>
  </si>
  <si>
    <t xml:space="preserve">Standing Order 15-3</t>
  </si>
  <si>
    <t xml:space="preserve">ss.3.2-3.3</t>
  </si>
  <si>
    <t xml:space="preserve">Cover sheet plus supporting record assembled on day worked; cover alone is insufficient.</t>
  </si>
  <si>
    <t xml:space="preserve">Governs skip procedure.</t>
  </si>
  <si>
    <t xml:space="preserve">The user's explicit PDF existence test is applied in addition to the standing-order content rule.</t>
  </si>
  <si>
    <t xml:space="preserve">Resolution 2022-06</t>
  </si>
  <si>
    <t xml:space="preserve">ss.4.3, 6.1-6.2, 8.1</t>
  </si>
  <si>
    <t xml:space="preserve">LOA amendments from 2022-08-01 require a signed certificate or yard haul-out measurement sheet at entry.</t>
  </si>
  <si>
    <t xml:space="preserve">Controls conflicts with prior resolutions under s.7.2.</t>
  </si>
  <si>
    <t xml:space="preserve">A register reference is not treated as physical proof unless a supplied file substantiates it.</t>
  </si>
  <si>
    <t xml:space="preserve">Tariff Resolution 2019-14</t>
  </si>
  <si>
    <t xml:space="preserve">ss.1(4), 2.3-2.4, Schedule A</t>
  </si>
  <si>
    <t xml:space="preserve">Billable length is greater of rounded-up check-in LOA or nominal slip length; rates are foot-month before tax.</t>
  </si>
  <si>
    <t xml:space="preserve">Billing basis, as amended by Resolution 2022-06.</t>
  </si>
  <si>
    <t xml:space="preserve">Expected charges exclude tax and electricity so they match the tariff's base moorage rate.</t>
  </si>
  <si>
    <t xml:space="preserve">Appeal 2018-3 decision</t>
  </si>
  <si>
    <t xml:space="preserve">III-A, IV-A, Order 4</t>
  </si>
  <si>
    <t xml:space="preserve">District bears the burden for departures from rank; later-assembled material does not cure the file.</t>
  </si>
  <si>
    <t xml:space="preserve">Interpretive authority for strict contemporaneous proof.</t>
  </si>
  <si>
    <t xml:space="preserve">No conflict changes the governing rate or documentation standard.</t>
  </si>
  <si>
    <t xml:space="preserve">AR aging workbook</t>
  </si>
  <si>
    <t xml:space="preserve">AR_Aging rows 3-262; Summary</t>
  </si>
  <si>
    <t xml:space="preserve">91-120 is source field days_90; 120+ is days_120_plus. Bucket detail governs when total_due disagrees.</t>
  </si>
  <si>
    <t xml:space="preserve">Summary bucket totals agree with detail; 39 total_due rows do not.</t>
  </si>
  <si>
    <t xml:space="preserve">No cash-receipts record for 2026-08-01 through 2026-08-07 was supplied.</t>
  </si>
  <si>
    <t xml:space="preserve">Source file(s)</t>
  </si>
  <si>
    <t xml:space="preserve">Workbook sheet</t>
  </si>
  <si>
    <t xml:space="preserve">Use</t>
  </si>
  <si>
    <t xml:space="preserve">Scope</t>
  </si>
  <si>
    <t xml:space="preserve">Status</t>
  </si>
  <si>
    <t xml:space="preserve">applicant_register_2026-08.csv</t>
  </si>
  <si>
    <t xml:space="preserve">Applicant Lookup</t>
  </si>
  <si>
    <t xml:space="preserve">applicant ID, name, current register status</t>
  </si>
  <si>
    <t xml:space="preserve">Supplied package</t>
  </si>
  <si>
    <t xml:space="preserve">Read-only source</t>
  </si>
  <si>
    <t xml:space="preserve">offer_events_2022_2026.csv</t>
  </si>
  <si>
    <t xml:space="preserve">Offer Events</t>
  </si>
  <si>
    <t xml:space="preserve">offer-to-skip reconciliation</t>
  </si>
  <si>
    <t xml:space="preserve">skip_events_2022_2026.csv</t>
  </si>
  <si>
    <t xml:space="preserve">Skip Events / Skip Audit</t>
  </si>
  <si>
    <t xml:space="preserve">skip scope and review dates</t>
  </si>
  <si>
    <t xml:space="preserve">amendment_log_2022_2026.csv</t>
  </si>
  <si>
    <t xml:space="preserve">Amendment Audit</t>
  </si>
  <si>
    <t xml:space="preserve">LOA changes from effective date</t>
  </si>
  <si>
    <t xml:space="preserve">Billing Actual</t>
  </si>
  <si>
    <t xml:space="preserve">2026-08 monthly moorage actuals</t>
  </si>
  <si>
    <t xml:space="preserve">slip_inventory_2026-08.csv</t>
  </si>
  <si>
    <t xml:space="preserve">Slip Inventory / Billing Recon</t>
  </si>
  <si>
    <t xml:space="preserve">occupancy, basin type, slip and vessel length</t>
  </si>
  <si>
    <t xml:space="preserve">ar_aging_2026-07-31.xlsx</t>
  </si>
  <si>
    <t xml:space="preserve">Aging Report</t>
  </si>
  <si>
    <t xml:space="preserve">aging buckets and stated totals</t>
  </si>
  <si>
    <t xml:space="preserve">six WL-xxxxx skip justification PDFs</t>
  </si>
  <si>
    <t xml:space="preserve">Skip PDF Index</t>
  </si>
  <si>
    <t xml:space="preserve">document content and reconciliation facts</t>
  </si>
  <si>
    <t xml:space="preserve">two measurement certificate PDFs</t>
  </si>
  <si>
    <t xml:space="preserve">Certificate Check</t>
  </si>
  <si>
    <t xml:space="preserve">physical LOA support and check-in classification</t>
  </si>
  <si>
    <t xml:space="preserve">applicant_id</t>
  </si>
  <si>
    <t xml:space="preserve">applicant_name</t>
  </si>
  <si>
    <t xml:space="preserve">status</t>
  </si>
  <si>
    <t xml:space="preserve">vessel_name</t>
  </si>
  <si>
    <t xml:space="preserve">loa_ft</t>
  </si>
  <si>
    <t xml:space="preserve">preference_basin</t>
  </si>
  <si>
    <t xml:space="preserve">WL-01001</t>
  </si>
  <si>
    <t xml:space="preserve">Valerie Jones</t>
  </si>
  <si>
    <t xml:space="preserve">EXPIRED</t>
  </si>
  <si>
    <t xml:space="preserve">MURRE WEATHER</t>
  </si>
  <si>
    <t xml:space="preserve">Vessbank</t>
  </si>
  <si>
    <t xml:space="preserve">WL-01002</t>
  </si>
  <si>
    <t xml:space="preserve">Virginia Ramirez</t>
  </si>
  <si>
    <t xml:space="preserve">ACTIVE_WAITLIST</t>
  </si>
  <si>
    <t xml:space="preserve">HERON MIST</t>
  </si>
  <si>
    <t xml:space="preserve">ANY</t>
  </si>
  <si>
    <t xml:space="preserve">WL-01003</t>
  </si>
  <si>
    <t xml:space="preserve">Shannon Phillips</t>
  </si>
  <si>
    <t xml:space="preserve">HALIBUT REACH</t>
  </si>
  <si>
    <t xml:space="preserve">WL-01004</t>
  </si>
  <si>
    <t xml:space="preserve">Joseph Lopez</t>
  </si>
  <si>
    <t xml:space="preserve">OTTER HARBOR</t>
  </si>
  <si>
    <t xml:space="preserve">OPEN_ONLY</t>
  </si>
  <si>
    <t xml:space="preserve">WL-01005</t>
  </si>
  <si>
    <t xml:space="preserve">Joseph Sharp</t>
  </si>
  <si>
    <t xml:space="preserve">POINT ROSE</t>
  </si>
  <si>
    <t xml:space="preserve">COVERED_ONLY</t>
  </si>
  <si>
    <t xml:space="preserve">WL-01006</t>
  </si>
  <si>
    <t xml:space="preserve">Gregory Hammond</t>
  </si>
  <si>
    <t xml:space="preserve">FOUL ROSE</t>
  </si>
  <si>
    <t xml:space="preserve">WL-01007</t>
  </si>
  <si>
    <t xml:space="preserve">Victoria Henderson</t>
  </si>
  <si>
    <t xml:space="preserve">HERON QUEEN</t>
  </si>
  <si>
    <t xml:space="preserve">WL-01008</t>
  </si>
  <si>
    <t xml:space="preserve">Thomas Houston</t>
  </si>
  <si>
    <t xml:space="preserve">KESTREL REACH</t>
  </si>
  <si>
    <t xml:space="preserve">WL-01009</t>
  </si>
  <si>
    <t xml:space="preserve">Mark Moon</t>
  </si>
  <si>
    <t xml:space="preserve">KESTREL HRABOR</t>
  </si>
  <si>
    <t xml:space="preserve">Salmonberry</t>
  </si>
  <si>
    <t xml:space="preserve">WL-01010</t>
  </si>
  <si>
    <t xml:space="preserve">Steven Hanson</t>
  </si>
  <si>
    <t xml:space="preserve">SANDERLING WEATHER</t>
  </si>
  <si>
    <t xml:space="preserve">WL-01011</t>
  </si>
  <si>
    <t xml:space="preserve">Kristen Hughes</t>
  </si>
  <si>
    <t xml:space="preserve">TIDE BAY</t>
  </si>
  <si>
    <t xml:space="preserve">WL-01012</t>
  </si>
  <si>
    <t xml:space="preserve">Janet Jones</t>
  </si>
  <si>
    <t xml:space="preserve">SALISH REACH</t>
  </si>
  <si>
    <t xml:space="preserve">Ledgport</t>
  </si>
  <si>
    <t xml:space="preserve">WL-01013</t>
  </si>
  <si>
    <t xml:space="preserve">Brian Booker</t>
  </si>
  <si>
    <t xml:space="preserve">TIDE WIND</t>
  </si>
  <si>
    <t xml:space="preserve">WL-01014</t>
  </si>
  <si>
    <t xml:space="preserve">Maria Johnson</t>
  </si>
  <si>
    <t xml:space="preserve">SPINDRIFT ROSE</t>
  </si>
  <si>
    <t xml:space="preserve">WL-01015</t>
  </si>
  <si>
    <t xml:space="preserve">Danielle Miller</t>
  </si>
  <si>
    <t xml:space="preserve">RETAINER</t>
  </si>
  <si>
    <t xml:space="preserve">ANCHOR GLIDE</t>
  </si>
  <si>
    <t xml:space="preserve">WL-01016</t>
  </si>
  <si>
    <t xml:space="preserve">Jared Mosley</t>
  </si>
  <si>
    <t xml:space="preserve">OSPREY DNACER</t>
  </si>
  <si>
    <t xml:space="preserve">WL-01017</t>
  </si>
  <si>
    <t xml:space="preserve">Darren Sawyer</t>
  </si>
  <si>
    <t xml:space="preserve">CORMORANT ROSE</t>
  </si>
  <si>
    <t xml:space="preserve">Eastwey</t>
  </si>
  <si>
    <t xml:space="preserve">WL-01018</t>
  </si>
  <si>
    <t xml:space="preserve">Hector Gutierrez</t>
  </si>
  <si>
    <t xml:space="preserve">SALISH ANN</t>
  </si>
  <si>
    <t xml:space="preserve">WL-01019</t>
  </si>
  <si>
    <t xml:space="preserve">Danielle Charles</t>
  </si>
  <si>
    <t xml:space="preserve">BRANT STAR</t>
  </si>
  <si>
    <t xml:space="preserve">WL-01020</t>
  </si>
  <si>
    <t xml:space="preserve">Patricia Williams</t>
  </si>
  <si>
    <t xml:space="preserve">GRAY HARBOR</t>
  </si>
  <si>
    <t xml:space="preserve">WL-01021</t>
  </si>
  <si>
    <t xml:space="preserve">Deborah Freeman</t>
  </si>
  <si>
    <t xml:space="preserve">DRIFT MIST</t>
  </si>
  <si>
    <t xml:space="preserve">WL-01022</t>
  </si>
  <si>
    <t xml:space="preserve">Brett Cooley</t>
  </si>
  <si>
    <t xml:space="preserve">HALIBUT ANN</t>
  </si>
  <si>
    <t xml:space="preserve">WL-01023</t>
  </si>
  <si>
    <t xml:space="preserve">Emily Stone</t>
  </si>
  <si>
    <t xml:space="preserve">OSPREY LIGHT</t>
  </si>
  <si>
    <t xml:space="preserve">WL-01024</t>
  </si>
  <si>
    <t xml:space="preserve">Jennifer Henson</t>
  </si>
  <si>
    <t xml:space="preserve">OTTER WIND</t>
  </si>
  <si>
    <t xml:space="preserve">WL-01025</t>
  </si>
  <si>
    <t xml:space="preserve">Joanna Peters</t>
  </si>
  <si>
    <t xml:space="preserve">SALISH SONG</t>
  </si>
  <si>
    <t xml:space="preserve">WL-01026</t>
  </si>
  <si>
    <t xml:space="preserve">Dawn Jacobs</t>
  </si>
  <si>
    <t xml:space="preserve">GRAY WEATHER</t>
  </si>
  <si>
    <t xml:space="preserve">WL-01027</t>
  </si>
  <si>
    <t xml:space="preserve">Rachel Jones</t>
  </si>
  <si>
    <t xml:space="preserve">SEAL ANN</t>
  </si>
  <si>
    <t xml:space="preserve">WL-01028</t>
  </si>
  <si>
    <t xml:space="preserve">Brittany Benson</t>
  </si>
  <si>
    <t xml:space="preserve">CORMORANT WAKE</t>
  </si>
  <si>
    <t xml:space="preserve">WL-01029</t>
  </si>
  <si>
    <t xml:space="preserve">John Wang</t>
  </si>
  <si>
    <t xml:space="preserve">MURRE HARBOR</t>
  </si>
  <si>
    <t xml:space="preserve">WL-01030</t>
  </si>
  <si>
    <t xml:space="preserve">Elizabeth Carr</t>
  </si>
  <si>
    <t xml:space="preserve">ANCHOR CREST</t>
  </si>
  <si>
    <t xml:space="preserve">WL-01031</t>
  </si>
  <si>
    <t xml:space="preserve">John Garza</t>
  </si>
  <si>
    <t xml:space="preserve">PINTAIL VEER</t>
  </si>
  <si>
    <t xml:space="preserve">WL-01032</t>
  </si>
  <si>
    <t xml:space="preserve">Ryan Yoder</t>
  </si>
  <si>
    <t xml:space="preserve">PETREL SONG</t>
  </si>
  <si>
    <t xml:space="preserve">WL-01033</t>
  </si>
  <si>
    <t xml:space="preserve">Jodi Gonzalez</t>
  </si>
  <si>
    <t xml:space="preserve">PETREL QUEEN</t>
  </si>
  <si>
    <t xml:space="preserve">WL-01034</t>
  </si>
  <si>
    <t xml:space="preserve">Keith Gill</t>
  </si>
  <si>
    <t xml:space="preserve">SCOTER ROCK</t>
  </si>
  <si>
    <t xml:space="preserve">WL-01035</t>
  </si>
  <si>
    <t xml:space="preserve">Ivan Webster</t>
  </si>
  <si>
    <t xml:space="preserve">SALISH DANCER</t>
  </si>
  <si>
    <t xml:space="preserve">WL-01036</t>
  </si>
  <si>
    <t xml:space="preserve">Brandy Rogers</t>
  </si>
  <si>
    <t xml:space="preserve">HERON LINE</t>
  </si>
  <si>
    <t xml:space="preserve">WL-01037</t>
  </si>
  <si>
    <t xml:space="preserve">Karen Hunter</t>
  </si>
  <si>
    <t xml:space="preserve">GRAY MIST</t>
  </si>
  <si>
    <t xml:space="preserve">WL-01038</t>
  </si>
  <si>
    <t xml:space="preserve">Laura Collins</t>
  </si>
  <si>
    <t xml:space="preserve">SCOTER RUNNER</t>
  </si>
  <si>
    <t xml:space="preserve">WL-01039</t>
  </si>
  <si>
    <t xml:space="preserve">Steven Morris</t>
  </si>
  <si>
    <t xml:space="preserve">CORMORANT QUEEN</t>
  </si>
  <si>
    <t xml:space="preserve">WL-01040</t>
  </si>
  <si>
    <t xml:space="preserve">Bradley Collins</t>
  </si>
  <si>
    <t xml:space="preserve">PINTAIL MOON</t>
  </si>
  <si>
    <t xml:space="preserve">WL-01041</t>
  </si>
  <si>
    <t xml:space="preserve">Ethan Sheppard</t>
  </si>
  <si>
    <t xml:space="preserve">COHO LINE</t>
  </si>
  <si>
    <t xml:space="preserve">WL-01042</t>
  </si>
  <si>
    <t xml:space="preserve">Albert Sanchez</t>
  </si>
  <si>
    <t xml:space="preserve">CORMORANT SHORE</t>
  </si>
  <si>
    <t xml:space="preserve">WL-01043</t>
  </si>
  <si>
    <t xml:space="preserve">Diane James</t>
  </si>
  <si>
    <t xml:space="preserve">KESTREL HARBOR</t>
  </si>
  <si>
    <t xml:space="preserve">WL-01044</t>
  </si>
  <si>
    <t xml:space="preserve">Craig Mason</t>
  </si>
  <si>
    <t xml:space="preserve">SPINDRIFT CREST</t>
  </si>
  <si>
    <t xml:space="preserve">WL-01045</t>
  </si>
  <si>
    <t xml:space="preserve">Chad Brown</t>
  </si>
  <si>
    <t xml:space="preserve">SALISH ROCK</t>
  </si>
  <si>
    <t xml:space="preserve">WL-01046</t>
  </si>
  <si>
    <t xml:space="preserve">Emily Thomas</t>
  </si>
  <si>
    <t xml:space="preserve">HALIBUT LIGHT</t>
  </si>
  <si>
    <t xml:space="preserve">WL-01047</t>
  </si>
  <si>
    <t xml:space="preserve">Alex Bishop</t>
  </si>
  <si>
    <t xml:space="preserve">WL-01048</t>
  </si>
  <si>
    <t xml:space="preserve">Lisa Nielsen</t>
  </si>
  <si>
    <t xml:space="preserve">PINTAIL STAR</t>
  </si>
  <si>
    <t xml:space="preserve">WL-01049</t>
  </si>
  <si>
    <t xml:space="preserve">Victoria James</t>
  </si>
  <si>
    <t xml:space="preserve">WL-01050</t>
  </si>
  <si>
    <t xml:space="preserve">Rachel Martinez</t>
  </si>
  <si>
    <t xml:space="preserve">SALISH ROSE</t>
  </si>
  <si>
    <t xml:space="preserve">WL-01051</t>
  </si>
  <si>
    <t xml:space="preserve">Megan Johnson</t>
  </si>
  <si>
    <t xml:space="preserve">SCOTER CREST</t>
  </si>
  <si>
    <t xml:space="preserve">WL-01052</t>
  </si>
  <si>
    <t xml:space="preserve">Alicia Guerrero</t>
  </si>
  <si>
    <t xml:space="preserve">KESTREL GLIDE</t>
  </si>
  <si>
    <t xml:space="preserve">WL-01053</t>
  </si>
  <si>
    <t xml:space="preserve">Lisa Washington</t>
  </si>
  <si>
    <t xml:space="preserve">FOUL STAR</t>
  </si>
  <si>
    <t xml:space="preserve">WL-01054</t>
  </si>
  <si>
    <t xml:space="preserve">Cynthia Smith</t>
  </si>
  <si>
    <t xml:space="preserve">OSPREY MIST</t>
  </si>
  <si>
    <t xml:space="preserve">WL-01055</t>
  </si>
  <si>
    <t xml:space="preserve">Kimberly Hodges</t>
  </si>
  <si>
    <t xml:space="preserve">HALIBUT RUNNER</t>
  </si>
  <si>
    <t xml:space="preserve">WL-01056</t>
  </si>
  <si>
    <t xml:space="preserve">Raymond Zamora</t>
  </si>
  <si>
    <t xml:space="preserve">SEAL DANCER</t>
  </si>
  <si>
    <t xml:space="preserve">WL-01057</t>
  </si>
  <si>
    <t xml:space="preserve">Eric Ross</t>
  </si>
  <si>
    <t xml:space="preserve">COHO STAR</t>
  </si>
  <si>
    <t xml:space="preserve">WL-01058</t>
  </si>
  <si>
    <t xml:space="preserve">Austin Brown</t>
  </si>
  <si>
    <t xml:space="preserve">SEAL WAKE</t>
  </si>
  <si>
    <t xml:space="preserve">WL-01059</t>
  </si>
  <si>
    <t xml:space="preserve">Chelsea Bailey</t>
  </si>
  <si>
    <t xml:space="preserve">WL-01060</t>
  </si>
  <si>
    <t xml:space="preserve">Michael Cole</t>
  </si>
  <si>
    <t xml:space="preserve">WIDGEON SONG</t>
  </si>
  <si>
    <t xml:space="preserve">WL-01061</t>
  </si>
  <si>
    <t xml:space="preserve">Casey Smith</t>
  </si>
  <si>
    <t xml:space="preserve">WL-01062</t>
  </si>
  <si>
    <t xml:space="preserve">Christian Lawrence</t>
  </si>
  <si>
    <t xml:space="preserve">PINTAIL ROCK</t>
  </si>
  <si>
    <t xml:space="preserve">WL-01063</t>
  </si>
  <si>
    <t xml:space="preserve">Donna Mitchell</t>
  </si>
  <si>
    <t xml:space="preserve">OSPREY RUNNER</t>
  </si>
  <si>
    <t xml:space="preserve">WL-01064</t>
  </si>
  <si>
    <t xml:space="preserve">Mike Smith</t>
  </si>
  <si>
    <t xml:space="preserve">WIDGEON SOUND</t>
  </si>
  <si>
    <t xml:space="preserve">WL-01065</t>
  </si>
  <si>
    <t xml:space="preserve">Tina Barnes</t>
  </si>
  <si>
    <t xml:space="preserve">KESTREL WEATHER</t>
  </si>
  <si>
    <t xml:space="preserve">WL-01066</t>
  </si>
  <si>
    <t xml:space="preserve">Alexis Benton</t>
  </si>
  <si>
    <t xml:space="preserve">MURRE SHORE</t>
  </si>
  <si>
    <t xml:space="preserve">WL-01067</t>
  </si>
  <si>
    <t xml:space="preserve">John Barber</t>
  </si>
  <si>
    <t xml:space="preserve">COHO HARBOR</t>
  </si>
  <si>
    <t xml:space="preserve">WL-01068</t>
  </si>
  <si>
    <t xml:space="preserve">Charles Thomas</t>
  </si>
  <si>
    <t xml:space="preserve">GRAY MOON</t>
  </si>
  <si>
    <t xml:space="preserve">WL-01069</t>
  </si>
  <si>
    <t xml:space="preserve">Kellie Neal</t>
  </si>
  <si>
    <t xml:space="preserve">SEAL SONG</t>
  </si>
  <si>
    <t xml:space="preserve">WL-01070</t>
  </si>
  <si>
    <t xml:space="preserve">Laura Chan</t>
  </si>
  <si>
    <t xml:space="preserve">SEAL MIST</t>
  </si>
  <si>
    <t xml:space="preserve">WL-01071</t>
  </si>
  <si>
    <t xml:space="preserve">Melissa Anderson</t>
  </si>
  <si>
    <t xml:space="preserve">GRAY WAKE</t>
  </si>
  <si>
    <t xml:space="preserve">WL-01072</t>
  </si>
  <si>
    <t xml:space="preserve">Sabrina Johnson</t>
  </si>
  <si>
    <t xml:space="preserve">SABLE LIGHT</t>
  </si>
  <si>
    <t xml:space="preserve">WL-01073</t>
  </si>
  <si>
    <t xml:space="preserve">Tammy Scott</t>
  </si>
  <si>
    <t xml:space="preserve">HERON GLIDE</t>
  </si>
  <si>
    <t xml:space="preserve">WL-01074</t>
  </si>
  <si>
    <t xml:space="preserve">Darius Edwards</t>
  </si>
  <si>
    <t xml:space="preserve">WL-01075</t>
  </si>
  <si>
    <t xml:space="preserve">Ryan Gilmore</t>
  </si>
  <si>
    <t xml:space="preserve">WL-01076</t>
  </si>
  <si>
    <t xml:space="preserve">Timothy Robinson</t>
  </si>
  <si>
    <t xml:space="preserve">OSPREY ROCK</t>
  </si>
  <si>
    <t xml:space="preserve">WL-01077</t>
  </si>
  <si>
    <t xml:space="preserve">Stephanie Hess</t>
  </si>
  <si>
    <t xml:space="preserve">DRIFT WIND</t>
  </si>
  <si>
    <t xml:space="preserve">WL-01078</t>
  </si>
  <si>
    <t xml:space="preserve">Eric Davidson</t>
  </si>
  <si>
    <t xml:space="preserve">PONIT ROSE</t>
  </si>
  <si>
    <t xml:space="preserve">WL-01079</t>
  </si>
  <si>
    <t xml:space="preserve">Bailey Simon</t>
  </si>
  <si>
    <t xml:space="preserve">OTTER ROCK</t>
  </si>
  <si>
    <t xml:space="preserve">WL-01080</t>
  </si>
  <si>
    <t xml:space="preserve">Jessica Lopez</t>
  </si>
  <si>
    <t xml:space="preserve">FOUL MIST</t>
  </si>
  <si>
    <t xml:space="preserve">WL-01081</t>
  </si>
  <si>
    <t xml:space="preserve">Brian Long</t>
  </si>
  <si>
    <t xml:space="preserve">SPINDRIFT WEATHER</t>
  </si>
  <si>
    <t xml:space="preserve">WL-01082</t>
  </si>
  <si>
    <t xml:space="preserve">Aaron Baker</t>
  </si>
  <si>
    <t xml:space="preserve">BRANT WEATHER</t>
  </si>
  <si>
    <t xml:space="preserve">WL-01083</t>
  </si>
  <si>
    <t xml:space="preserve">Dennis Schmidt</t>
  </si>
  <si>
    <t xml:space="preserve">OTTER CREST</t>
  </si>
  <si>
    <t xml:space="preserve">WL-01084</t>
  </si>
  <si>
    <t xml:space="preserve">Lisa Adams</t>
  </si>
  <si>
    <t xml:space="preserve">WIDGEON PASSAGE</t>
  </si>
  <si>
    <t xml:space="preserve">WL-01085</t>
  </si>
  <si>
    <t xml:space="preserve">Jennifer Norton</t>
  </si>
  <si>
    <t xml:space="preserve">SANDERLING SONG</t>
  </si>
  <si>
    <t xml:space="preserve">WL-01086</t>
  </si>
  <si>
    <t xml:space="preserve">Lisa Frazier</t>
  </si>
  <si>
    <t xml:space="preserve">OSPREY REACH</t>
  </si>
  <si>
    <t xml:space="preserve">WL-01087</t>
  </si>
  <si>
    <t xml:space="preserve">Cheryl Barker</t>
  </si>
  <si>
    <t xml:space="preserve">SALISH VEER</t>
  </si>
  <si>
    <t xml:space="preserve">WL-01088</t>
  </si>
  <si>
    <t xml:space="preserve">Connie Jacobson</t>
  </si>
  <si>
    <t xml:space="preserve">GRAY QUEEN</t>
  </si>
  <si>
    <t xml:space="preserve">WL-01089</t>
  </si>
  <si>
    <t xml:space="preserve">Erin Holmes</t>
  </si>
  <si>
    <t xml:space="preserve">CORMORANT WIND</t>
  </si>
  <si>
    <t xml:space="preserve">WL-01090</t>
  </si>
  <si>
    <t xml:space="preserve">Jessica Lucero</t>
  </si>
  <si>
    <t xml:space="preserve">PINTAIL BAY</t>
  </si>
  <si>
    <t xml:space="preserve">WL-01091</t>
  </si>
  <si>
    <t xml:space="preserve">Lacey Hess</t>
  </si>
  <si>
    <t xml:space="preserve">HERON ANN</t>
  </si>
  <si>
    <t xml:space="preserve">WL-01092</t>
  </si>
  <si>
    <t xml:space="preserve">Ethan Heath</t>
  </si>
  <si>
    <t xml:space="preserve">WL-01093</t>
  </si>
  <si>
    <t xml:space="preserve">John Garcia</t>
  </si>
  <si>
    <t xml:space="preserve">KESTREL LINE</t>
  </si>
  <si>
    <t xml:space="preserve">WL-01094</t>
  </si>
  <si>
    <t xml:space="preserve">Denise Jenkins</t>
  </si>
  <si>
    <t xml:space="preserve">HALIBUT BAY</t>
  </si>
  <si>
    <t xml:space="preserve">WL-01095</t>
  </si>
  <si>
    <t xml:space="preserve">Emily Hughes</t>
  </si>
  <si>
    <t xml:space="preserve">SABLE WAKE</t>
  </si>
  <si>
    <t xml:space="preserve">WL-01096</t>
  </si>
  <si>
    <t xml:space="preserve">Alexandria Duarte</t>
  </si>
  <si>
    <t xml:space="preserve">SEAL LIGHT</t>
  </si>
  <si>
    <t xml:space="preserve">WL-01097</t>
  </si>
  <si>
    <t xml:space="preserve">Alexis Walters</t>
  </si>
  <si>
    <t xml:space="preserve">BRANT MIST</t>
  </si>
  <si>
    <t xml:space="preserve">WL-01098</t>
  </si>
  <si>
    <t xml:space="preserve">Matthew Ayers</t>
  </si>
  <si>
    <t xml:space="preserve">GRAY ROCK</t>
  </si>
  <si>
    <t xml:space="preserve">WL-01099</t>
  </si>
  <si>
    <t xml:space="preserve">Joseph Cooper</t>
  </si>
  <si>
    <t xml:space="preserve">PETREL MIST</t>
  </si>
  <si>
    <t xml:space="preserve">WL-01100</t>
  </si>
  <si>
    <t xml:space="preserve">Christopher Arnold</t>
  </si>
  <si>
    <t xml:space="preserve">POINT RUNNER</t>
  </si>
  <si>
    <t xml:space="preserve">WL-01101</t>
  </si>
  <si>
    <t xml:space="preserve">Caitlin Strong</t>
  </si>
  <si>
    <t xml:space="preserve">HERON SHORE</t>
  </si>
  <si>
    <t xml:space="preserve">WL-01102</t>
  </si>
  <si>
    <t xml:space="preserve">Patrick Mcmahon</t>
  </si>
  <si>
    <t xml:space="preserve">GRAY LINE</t>
  </si>
  <si>
    <t xml:space="preserve">WL-01103</t>
  </si>
  <si>
    <t xml:space="preserve">David Phillips</t>
  </si>
  <si>
    <t xml:space="preserve">TIDE QUEEN</t>
  </si>
  <si>
    <t xml:space="preserve">WL-01104</t>
  </si>
  <si>
    <t xml:space="preserve">Jennifer Moore</t>
  </si>
  <si>
    <t xml:space="preserve">OTTER LIGHT</t>
  </si>
  <si>
    <t xml:space="preserve">WL-01105</t>
  </si>
  <si>
    <t xml:space="preserve">Erik Brock</t>
  </si>
  <si>
    <t xml:space="preserve">WL-01106</t>
  </si>
  <si>
    <t xml:space="preserve">Michael Perez</t>
  </si>
  <si>
    <t xml:space="preserve">ANCHOR QUEEN</t>
  </si>
  <si>
    <t xml:space="preserve">WL-01107</t>
  </si>
  <si>
    <t xml:space="preserve">Dean Gonzalez</t>
  </si>
  <si>
    <t xml:space="preserve">TIDE WAKE</t>
  </si>
  <si>
    <t xml:space="preserve">WL-01108</t>
  </si>
  <si>
    <t xml:space="preserve">Evelyn Thomas</t>
  </si>
  <si>
    <t xml:space="preserve">OTTER MOON</t>
  </si>
  <si>
    <t xml:space="preserve">WL-01109</t>
  </si>
  <si>
    <t xml:space="preserve">Patrick Sanchez</t>
  </si>
  <si>
    <t xml:space="preserve">MURRE SOUND</t>
  </si>
  <si>
    <t xml:space="preserve">WL-01110</t>
  </si>
  <si>
    <t xml:space="preserve">Ryan Jones</t>
  </si>
  <si>
    <t xml:space="preserve">HERON STAR</t>
  </si>
  <si>
    <t xml:space="preserve">WL-01111</t>
  </si>
  <si>
    <t xml:space="preserve">Monique Carey</t>
  </si>
  <si>
    <t xml:space="preserve">ANCHOR VEER</t>
  </si>
  <si>
    <t xml:space="preserve">WL-01112</t>
  </si>
  <si>
    <t xml:space="preserve">Adam Russo</t>
  </si>
  <si>
    <t xml:space="preserve">OTTER LINE</t>
  </si>
  <si>
    <t xml:space="preserve">WL-01113</t>
  </si>
  <si>
    <t xml:space="preserve">Ronnie Lee</t>
  </si>
  <si>
    <t xml:space="preserve">PETREL BAY</t>
  </si>
  <si>
    <t xml:space="preserve">WL-01114</t>
  </si>
  <si>
    <t xml:space="preserve">Dustin Lambert</t>
  </si>
  <si>
    <t xml:space="preserve">KESTREL CREST</t>
  </si>
  <si>
    <t xml:space="preserve">Gullwing</t>
  </si>
  <si>
    <t xml:space="preserve">WL-01115</t>
  </si>
  <si>
    <t xml:space="preserve">Nathan Hunt</t>
  </si>
  <si>
    <t xml:space="preserve">SEAL WEATHER</t>
  </si>
  <si>
    <t xml:space="preserve">WL-01116</t>
  </si>
  <si>
    <t xml:space="preserve">Sean Neal</t>
  </si>
  <si>
    <t xml:space="preserve">COHO WEAHTER</t>
  </si>
  <si>
    <t xml:space="preserve">WL-01117</t>
  </si>
  <si>
    <t xml:space="preserve">Sean Taylor</t>
  </si>
  <si>
    <t xml:space="preserve">HERON WAKE</t>
  </si>
  <si>
    <t xml:space="preserve">WL-01118</t>
  </si>
  <si>
    <t xml:space="preserve">Kevin Benitez</t>
  </si>
  <si>
    <t xml:space="preserve">WL-01119</t>
  </si>
  <si>
    <t xml:space="preserve">Holly Kennedy</t>
  </si>
  <si>
    <t xml:space="preserve">POINT WIND</t>
  </si>
  <si>
    <t xml:space="preserve">WL-01120</t>
  </si>
  <si>
    <t xml:space="preserve">Amanda Mitchell</t>
  </si>
  <si>
    <t xml:space="preserve">DRIFT REACH</t>
  </si>
  <si>
    <t xml:space="preserve">WL-01121</t>
  </si>
  <si>
    <t xml:space="preserve">Jamie Martin</t>
  </si>
  <si>
    <t xml:space="preserve">SPINDRIFT SOUND</t>
  </si>
  <si>
    <t xml:space="preserve">WL-01122</t>
  </si>
  <si>
    <t xml:space="preserve">Rachel Carpenter</t>
  </si>
  <si>
    <t xml:space="preserve">GRAY SOUND</t>
  </si>
  <si>
    <t xml:space="preserve">WL-01123</t>
  </si>
  <si>
    <t xml:space="preserve">Melissa Charles</t>
  </si>
  <si>
    <t xml:space="preserve">KESTREL WIND</t>
  </si>
  <si>
    <t xml:space="preserve">WL-01124</t>
  </si>
  <si>
    <t xml:space="preserve">Tara Roach</t>
  </si>
  <si>
    <t xml:space="preserve">COHO SOUND</t>
  </si>
  <si>
    <t xml:space="preserve">WL-01125</t>
  </si>
  <si>
    <t xml:space="preserve">Brandi Baker</t>
  </si>
  <si>
    <t xml:space="preserve">WL-01126</t>
  </si>
  <si>
    <t xml:space="preserve">Jo Hernandez</t>
  </si>
  <si>
    <t xml:space="preserve">SABLE WEATHER</t>
  </si>
  <si>
    <t xml:space="preserve">WL-01127</t>
  </si>
  <si>
    <t xml:space="preserve">Thomas Hawkins</t>
  </si>
  <si>
    <t xml:space="preserve">WL-01128</t>
  </si>
  <si>
    <t xml:space="preserve">Angela Smith</t>
  </si>
  <si>
    <t xml:space="preserve">TIDE HARBOR</t>
  </si>
  <si>
    <t xml:space="preserve">WL-01129</t>
  </si>
  <si>
    <t xml:space="preserve">Alexander Thompson</t>
  </si>
  <si>
    <t xml:space="preserve">WL-01130</t>
  </si>
  <si>
    <t xml:space="preserve">Thomas Davis</t>
  </si>
  <si>
    <t xml:space="preserve">CORMORANT GLIDE</t>
  </si>
  <si>
    <t xml:space="preserve">WL-01131</t>
  </si>
  <si>
    <t xml:space="preserve">Anne Nelson</t>
  </si>
  <si>
    <t xml:space="preserve">GRAY RUNNER</t>
  </si>
  <si>
    <t xml:space="preserve">WL-01132</t>
  </si>
  <si>
    <t xml:space="preserve">Gregory Clark</t>
  </si>
  <si>
    <t xml:space="preserve">DRIFT ROCK</t>
  </si>
  <si>
    <t xml:space="preserve">WL-01133</t>
  </si>
  <si>
    <t xml:space="preserve">Shelia Lewis</t>
  </si>
  <si>
    <t xml:space="preserve">SEAL HARBOR</t>
  </si>
  <si>
    <t xml:space="preserve">WL-01134</t>
  </si>
  <si>
    <t xml:space="preserve">James Martinez</t>
  </si>
  <si>
    <t xml:space="preserve">WL-01135</t>
  </si>
  <si>
    <t xml:space="preserve">Julia Mills</t>
  </si>
  <si>
    <t xml:space="preserve">BRANT SOUND</t>
  </si>
  <si>
    <t xml:space="preserve">WL-01136</t>
  </si>
  <si>
    <t xml:space="preserve">Christina Green</t>
  </si>
  <si>
    <t xml:space="preserve">PETREL WIND</t>
  </si>
  <si>
    <t xml:space="preserve">WL-01137</t>
  </si>
  <si>
    <t xml:space="preserve">Jennifer Gross</t>
  </si>
  <si>
    <t xml:space="preserve">WIDGEON ANN</t>
  </si>
  <si>
    <t xml:space="preserve">WL-01138</t>
  </si>
  <si>
    <t xml:space="preserve">Jamie Brown</t>
  </si>
  <si>
    <t xml:space="preserve">SUSPENDED</t>
  </si>
  <si>
    <t xml:space="preserve">CORMORANT REACH</t>
  </si>
  <si>
    <t xml:space="preserve">WL-01139</t>
  </si>
  <si>
    <t xml:space="preserve">Zachary Martin</t>
  </si>
  <si>
    <t xml:space="preserve">HERON VEER</t>
  </si>
  <si>
    <t xml:space="preserve">WL-01140</t>
  </si>
  <si>
    <t xml:space="preserve">Lindsey Jones</t>
  </si>
  <si>
    <t xml:space="preserve">CORMORANT ANN</t>
  </si>
  <si>
    <t xml:space="preserve">WL-01141</t>
  </si>
  <si>
    <t xml:space="preserve">Dylan Lewis</t>
  </si>
  <si>
    <t xml:space="preserve">PETREL GLIDE</t>
  </si>
  <si>
    <t xml:space="preserve">WL-01142</t>
  </si>
  <si>
    <t xml:space="preserve">James Mueller</t>
  </si>
  <si>
    <t xml:space="preserve">SALISH WEATHER</t>
  </si>
  <si>
    <t xml:space="preserve">WL-01143</t>
  </si>
  <si>
    <t xml:space="preserve">Carmen Booth</t>
  </si>
  <si>
    <t xml:space="preserve">PINTAIL DANCER</t>
  </si>
  <si>
    <t xml:space="preserve">WL-01144</t>
  </si>
  <si>
    <t xml:space="preserve">James Lopez</t>
  </si>
  <si>
    <t xml:space="preserve">PETREL CREST</t>
  </si>
  <si>
    <t xml:space="preserve">WL-01145</t>
  </si>
  <si>
    <t xml:space="preserve">Francisco Weaver</t>
  </si>
  <si>
    <t xml:space="preserve">FOUL DANCER</t>
  </si>
  <si>
    <t xml:space="preserve">WL-01146</t>
  </si>
  <si>
    <t xml:space="preserve">Jessica English</t>
  </si>
  <si>
    <t xml:space="preserve">DRIFT ROSE</t>
  </si>
  <si>
    <t xml:space="preserve">WL-01147</t>
  </si>
  <si>
    <t xml:space="preserve">Rachel Burnett</t>
  </si>
  <si>
    <t xml:space="preserve">CORMORANT PASSAGE</t>
  </si>
  <si>
    <t xml:space="preserve">WL-01148</t>
  </si>
  <si>
    <t xml:space="preserve">Shelby Wilson</t>
  </si>
  <si>
    <t xml:space="preserve">WL-01149</t>
  </si>
  <si>
    <t xml:space="preserve">David Hoffman</t>
  </si>
  <si>
    <t xml:space="preserve">MURRE RUNNER</t>
  </si>
  <si>
    <t xml:space="preserve">WL-01150</t>
  </si>
  <si>
    <t xml:space="preserve">Angelica Freeman</t>
  </si>
  <si>
    <t xml:space="preserve">POINT ANN</t>
  </si>
  <si>
    <t xml:space="preserve">WL-01151</t>
  </si>
  <si>
    <t xml:space="preserve">Tamara Alvarez</t>
  </si>
  <si>
    <t xml:space="preserve">HALIBUT SHORE</t>
  </si>
  <si>
    <t xml:space="preserve">WL-01152</t>
  </si>
  <si>
    <t xml:space="preserve">Dean Bryant</t>
  </si>
  <si>
    <t xml:space="preserve">POINT LIGHT</t>
  </si>
  <si>
    <t xml:space="preserve">WL-01153</t>
  </si>
  <si>
    <t xml:space="preserve">Amanda Martin</t>
  </si>
  <si>
    <t xml:space="preserve">DRIFT CREST</t>
  </si>
  <si>
    <t xml:space="preserve">WL-01154</t>
  </si>
  <si>
    <t xml:space="preserve">Jennifer Frey</t>
  </si>
  <si>
    <t xml:space="preserve">WL-01155</t>
  </si>
  <si>
    <t xml:space="preserve">Richard Elliott</t>
  </si>
  <si>
    <t xml:space="preserve">TIDE RUNNER</t>
  </si>
  <si>
    <t xml:space="preserve">WL-01156</t>
  </si>
  <si>
    <t xml:space="preserve">Daniel Munoz</t>
  </si>
  <si>
    <t xml:space="preserve">WL-01157</t>
  </si>
  <si>
    <t xml:space="preserve">Marc Moody</t>
  </si>
  <si>
    <t xml:space="preserve">SALISH HARBOR</t>
  </si>
  <si>
    <t xml:space="preserve">WL-01158</t>
  </si>
  <si>
    <t xml:space="preserve">Scott Gutierrez</t>
  </si>
  <si>
    <t xml:space="preserve">WL-01159</t>
  </si>
  <si>
    <t xml:space="preserve">Jesus Rice</t>
  </si>
  <si>
    <t xml:space="preserve">HERON ROCK</t>
  </si>
  <si>
    <t xml:space="preserve">WL-01160</t>
  </si>
  <si>
    <t xml:space="preserve">Elizabeth Hernandez</t>
  </si>
  <si>
    <t xml:space="preserve">SEAL ROCK</t>
  </si>
  <si>
    <t xml:space="preserve">WL-01161</t>
  </si>
  <si>
    <t xml:space="preserve">Steven Curry</t>
  </si>
  <si>
    <t xml:space="preserve">PETREL LINE</t>
  </si>
  <si>
    <t xml:space="preserve">WL-01162</t>
  </si>
  <si>
    <t xml:space="preserve">Tiffany Marquez</t>
  </si>
  <si>
    <t xml:space="preserve">HERON SONG</t>
  </si>
  <si>
    <t xml:space="preserve">WL-01163</t>
  </si>
  <si>
    <t xml:space="preserve">Stephanie Hayes</t>
  </si>
  <si>
    <t xml:space="preserve">WL-01164</t>
  </si>
  <si>
    <t xml:space="preserve">Adam Anderson</t>
  </si>
  <si>
    <t xml:space="preserve">WL-01165</t>
  </si>
  <si>
    <t xml:space="preserve">Rebecca Smith</t>
  </si>
  <si>
    <t xml:space="preserve">CORMORANT STAR</t>
  </si>
  <si>
    <t xml:space="preserve">WL-01166</t>
  </si>
  <si>
    <t xml:space="preserve">Steven Webb</t>
  </si>
  <si>
    <t xml:space="preserve">POINT SOUND</t>
  </si>
  <si>
    <t xml:space="preserve">WL-01167</t>
  </si>
  <si>
    <t xml:space="preserve">Tammy Graves</t>
  </si>
  <si>
    <t xml:space="preserve">FOUL ANN</t>
  </si>
  <si>
    <t xml:space="preserve">WL-01168</t>
  </si>
  <si>
    <t xml:space="preserve">Wesley Bradford</t>
  </si>
  <si>
    <t xml:space="preserve">OSPREY DANCER</t>
  </si>
  <si>
    <t xml:space="preserve">WL-01169</t>
  </si>
  <si>
    <t xml:space="preserve">Cheyenne Kim</t>
  </si>
  <si>
    <t xml:space="preserve">TIDE DANCER</t>
  </si>
  <si>
    <t xml:space="preserve">WL-01170</t>
  </si>
  <si>
    <t xml:space="preserve">Shannon Mccoy</t>
  </si>
  <si>
    <t xml:space="preserve">WL-01171</t>
  </si>
  <si>
    <t xml:space="preserve">Brian Walker</t>
  </si>
  <si>
    <t xml:space="preserve">WL-01172</t>
  </si>
  <si>
    <t xml:space="preserve">Debra Morgan</t>
  </si>
  <si>
    <t xml:space="preserve">POINT HARBOR</t>
  </si>
  <si>
    <t xml:space="preserve">WL-01173</t>
  </si>
  <si>
    <t xml:space="preserve">Jason Boyer</t>
  </si>
  <si>
    <t xml:space="preserve">BRANT REACH</t>
  </si>
  <si>
    <t xml:space="preserve">WL-01174</t>
  </si>
  <si>
    <t xml:space="preserve">Jason Kim</t>
  </si>
  <si>
    <t xml:space="preserve">HERNO STAR</t>
  </si>
  <si>
    <t xml:space="preserve">WL-01175</t>
  </si>
  <si>
    <t xml:space="preserve">Kathy Rodriguez</t>
  </si>
  <si>
    <t xml:space="preserve">WL-01176</t>
  </si>
  <si>
    <t xml:space="preserve">Nathaniel Roberts</t>
  </si>
  <si>
    <t xml:space="preserve">DRIFT LIGHT</t>
  </si>
  <si>
    <t xml:space="preserve">WL-01177</t>
  </si>
  <si>
    <t xml:space="preserve">Sydney Moore</t>
  </si>
  <si>
    <t xml:space="preserve">SCOTER STAR</t>
  </si>
  <si>
    <t xml:space="preserve">WL-01178</t>
  </si>
  <si>
    <t xml:space="preserve">Danny Bryan</t>
  </si>
  <si>
    <t xml:space="preserve">SEAL BAY</t>
  </si>
  <si>
    <t xml:space="preserve">WL-01179</t>
  </si>
  <si>
    <t xml:space="preserve">Brian Rollins</t>
  </si>
  <si>
    <t xml:space="preserve">ANCHOR BAY</t>
  </si>
  <si>
    <t xml:space="preserve">WL-01180</t>
  </si>
  <si>
    <t xml:space="preserve">Rachel Smith</t>
  </si>
  <si>
    <t xml:space="preserve">COHO SONG</t>
  </si>
  <si>
    <t xml:space="preserve">WL-01181</t>
  </si>
  <si>
    <t xml:space="preserve">David Hamilton</t>
  </si>
  <si>
    <t xml:space="preserve">SCOTER PASSAGE</t>
  </si>
  <si>
    <t xml:space="preserve">WL-01182</t>
  </si>
  <si>
    <t xml:space="preserve">Ashley Castro</t>
  </si>
  <si>
    <t xml:space="preserve">SCOTER LINE</t>
  </si>
  <si>
    <t xml:space="preserve">WL-01183</t>
  </si>
  <si>
    <t xml:space="preserve">Shelley Tucker</t>
  </si>
  <si>
    <t xml:space="preserve">WL-01184</t>
  </si>
  <si>
    <t xml:space="preserve">Anita Harvey</t>
  </si>
  <si>
    <t xml:space="preserve">SALISH STAR</t>
  </si>
  <si>
    <t xml:space="preserve">WL-01185</t>
  </si>
  <si>
    <t xml:space="preserve">Stephen Burke</t>
  </si>
  <si>
    <t xml:space="preserve">SPINDRIFT HARBOR</t>
  </si>
  <si>
    <t xml:space="preserve">WL-01186</t>
  </si>
  <si>
    <t xml:space="preserve">Amy Hartman</t>
  </si>
  <si>
    <t xml:space="preserve">WL-01187</t>
  </si>
  <si>
    <t xml:space="preserve">James Lee</t>
  </si>
  <si>
    <t xml:space="preserve">HALIBUT MOON</t>
  </si>
  <si>
    <t xml:space="preserve">WL-01188</t>
  </si>
  <si>
    <t xml:space="preserve">Dawn Brown</t>
  </si>
  <si>
    <t xml:space="preserve">WL-01189</t>
  </si>
  <si>
    <t xml:space="preserve">Sarah Rodriguez</t>
  </si>
  <si>
    <t xml:space="preserve">WIDGEON LINE</t>
  </si>
  <si>
    <t xml:space="preserve">WL-01190</t>
  </si>
  <si>
    <t xml:space="preserve">James Cortez</t>
  </si>
  <si>
    <t xml:space="preserve">SPINDRIFT SONG</t>
  </si>
  <si>
    <t xml:space="preserve">WL-01191</t>
  </si>
  <si>
    <t xml:space="preserve">Dale Page</t>
  </si>
  <si>
    <t xml:space="preserve">TIDE ROCK</t>
  </si>
  <si>
    <t xml:space="preserve">WL-01192</t>
  </si>
  <si>
    <t xml:space="preserve">Richard Alvarado</t>
  </si>
  <si>
    <t xml:space="preserve">ANCHOR ROSE</t>
  </si>
  <si>
    <t xml:space="preserve">WL-01193</t>
  </si>
  <si>
    <t xml:space="preserve">Mindy Medina</t>
  </si>
  <si>
    <t xml:space="preserve">SPINDRIFT DANCER</t>
  </si>
  <si>
    <t xml:space="preserve">WL-01194</t>
  </si>
  <si>
    <t xml:space="preserve">Kathryn Munoz</t>
  </si>
  <si>
    <t xml:space="preserve">HALIBUT ROCK</t>
  </si>
  <si>
    <t xml:space="preserve">WL-01195</t>
  </si>
  <si>
    <t xml:space="preserve">Scott Cannon</t>
  </si>
  <si>
    <t xml:space="preserve">WL-01196</t>
  </si>
  <si>
    <t xml:space="preserve">Valerie Montgomery</t>
  </si>
  <si>
    <t xml:space="preserve">DRIFT SONG</t>
  </si>
  <si>
    <t xml:space="preserve">WL-01197</t>
  </si>
  <si>
    <t xml:space="preserve">Melissa Reid</t>
  </si>
  <si>
    <t xml:space="preserve">SPINDRIFT STAR</t>
  </si>
  <si>
    <t xml:space="preserve">WL-01198</t>
  </si>
  <si>
    <t xml:space="preserve">Sara Anderson</t>
  </si>
  <si>
    <t xml:space="preserve">WL-01199</t>
  </si>
  <si>
    <t xml:space="preserve">Ruben Brown</t>
  </si>
  <si>
    <t xml:space="preserve">ANCHOR LINE</t>
  </si>
  <si>
    <t xml:space="preserve">WL-01200</t>
  </si>
  <si>
    <t xml:space="preserve">Emily Wilson</t>
  </si>
  <si>
    <t xml:space="preserve">GRAY CREST</t>
  </si>
  <si>
    <t xml:space="preserve">WL-01201</t>
  </si>
  <si>
    <t xml:space="preserve">Gregory Brown</t>
  </si>
  <si>
    <t xml:space="preserve">SCOTER WIND</t>
  </si>
  <si>
    <t xml:space="preserve">WL-01202</t>
  </si>
  <si>
    <t xml:space="preserve">Kevin Benson</t>
  </si>
  <si>
    <t xml:space="preserve">HALIBUT WIND</t>
  </si>
  <si>
    <t xml:space="preserve">WL-01203</t>
  </si>
  <si>
    <t xml:space="preserve">Tracy Conrad</t>
  </si>
  <si>
    <t xml:space="preserve">WL-01204</t>
  </si>
  <si>
    <t xml:space="preserve">David Williams</t>
  </si>
  <si>
    <t xml:space="preserve">WL-01205</t>
  </si>
  <si>
    <t xml:space="preserve">Brian Osborne</t>
  </si>
  <si>
    <t xml:space="preserve">OTTER WEATHER</t>
  </si>
  <si>
    <t xml:space="preserve">WL-01206</t>
  </si>
  <si>
    <t xml:space="preserve">Cynthia Taylor</t>
  </si>
  <si>
    <t xml:space="preserve">TIDE ANN</t>
  </si>
  <si>
    <t xml:space="preserve">WL-01207</t>
  </si>
  <si>
    <t xml:space="preserve">Chris Miller</t>
  </si>
  <si>
    <t xml:space="preserve">WL-01208</t>
  </si>
  <si>
    <t xml:space="preserve">Nicholas Lewis</t>
  </si>
  <si>
    <t xml:space="preserve">WL-01209</t>
  </si>
  <si>
    <t xml:space="preserve">Amy Luna</t>
  </si>
  <si>
    <t xml:space="preserve">BRANT VEER</t>
  </si>
  <si>
    <t xml:space="preserve">WL-01210</t>
  </si>
  <si>
    <t xml:space="preserve">Kevin Rhyne</t>
  </si>
  <si>
    <t xml:space="preserve">SALT RIM</t>
  </si>
  <si>
    <t xml:space="preserve">WL-01211</t>
  </si>
  <si>
    <t xml:space="preserve">James Brown</t>
  </si>
  <si>
    <t xml:space="preserve">WL-01212</t>
  </si>
  <si>
    <t xml:space="preserve">Beverly Mcfarland</t>
  </si>
  <si>
    <t xml:space="preserve">KESTREL SOUND</t>
  </si>
  <si>
    <t xml:space="preserve">WL-01213</t>
  </si>
  <si>
    <t xml:space="preserve">Karina Hammond</t>
  </si>
  <si>
    <t xml:space="preserve">SABLE CREST</t>
  </si>
  <si>
    <t xml:space="preserve">WL-01214</t>
  </si>
  <si>
    <t xml:space="preserve">Kim Welch</t>
  </si>
  <si>
    <t xml:space="preserve">WL-01215</t>
  </si>
  <si>
    <t xml:space="preserve">David Harris</t>
  </si>
  <si>
    <t xml:space="preserve">SABLE LINE</t>
  </si>
  <si>
    <t xml:space="preserve">WL-01216</t>
  </si>
  <si>
    <t xml:space="preserve">Kimberly Baker</t>
  </si>
  <si>
    <t xml:space="preserve">SEAL SOUND</t>
  </si>
  <si>
    <t xml:space="preserve">WL-01217</t>
  </si>
  <si>
    <t xml:space="preserve">James Porter</t>
  </si>
  <si>
    <t xml:space="preserve">WIDGEON BAY</t>
  </si>
  <si>
    <t xml:space="preserve">WL-01218</t>
  </si>
  <si>
    <t xml:space="preserve">Logan Valentine</t>
  </si>
  <si>
    <t xml:space="preserve">SEAL LINE</t>
  </si>
  <si>
    <t xml:space="preserve">WL-01219</t>
  </si>
  <si>
    <t xml:space="preserve">Javier Oconnor</t>
  </si>
  <si>
    <t xml:space="preserve">SABLE GLIDE</t>
  </si>
  <si>
    <t xml:space="preserve">WL-01220</t>
  </si>
  <si>
    <t xml:space="preserve">Patrick Mitchell</t>
  </si>
  <si>
    <t xml:space="preserve">WIDGEON LIGHT</t>
  </si>
  <si>
    <t xml:space="preserve">WL-01221</t>
  </si>
  <si>
    <t xml:space="preserve">Sarah Smith</t>
  </si>
  <si>
    <t xml:space="preserve">GRAY SHORE</t>
  </si>
  <si>
    <t xml:space="preserve">WL-01222</t>
  </si>
  <si>
    <t xml:space="preserve">Kristie Jackson</t>
  </si>
  <si>
    <t xml:space="preserve">CORMORANT LIGHT</t>
  </si>
  <si>
    <t xml:space="preserve">WL-01223</t>
  </si>
  <si>
    <t xml:space="preserve">Robert Santos</t>
  </si>
  <si>
    <t xml:space="preserve">BRANT HARBOR</t>
  </si>
  <si>
    <t xml:space="preserve">WL-01224</t>
  </si>
  <si>
    <t xml:space="preserve">Yolanda Crane</t>
  </si>
  <si>
    <t xml:space="preserve">ANCHOR REACH</t>
  </si>
  <si>
    <t xml:space="preserve">WL-01225</t>
  </si>
  <si>
    <t xml:space="preserve">Kelli Ford</t>
  </si>
  <si>
    <t xml:space="preserve">WL-01226</t>
  </si>
  <si>
    <t xml:space="preserve">Phyllis Vargas</t>
  </si>
  <si>
    <t xml:space="preserve">WL-01227</t>
  </si>
  <si>
    <t xml:space="preserve">Richard Lopez</t>
  </si>
  <si>
    <t xml:space="preserve">FOUL VEER</t>
  </si>
  <si>
    <t xml:space="preserve">WL-01228</t>
  </si>
  <si>
    <t xml:space="preserve">Ashley Green</t>
  </si>
  <si>
    <t xml:space="preserve">FOUL WAKE</t>
  </si>
  <si>
    <t xml:space="preserve">WL-01229</t>
  </si>
  <si>
    <t xml:space="preserve">Mike Gill</t>
  </si>
  <si>
    <t xml:space="preserve">WL-01230</t>
  </si>
  <si>
    <t xml:space="preserve">Andrew Taylor</t>
  </si>
  <si>
    <t xml:space="preserve">POINT ROCK</t>
  </si>
  <si>
    <t xml:space="preserve">WL-01231</t>
  </si>
  <si>
    <t xml:space="preserve">Amanda Washington</t>
  </si>
  <si>
    <t xml:space="preserve">WL-01232</t>
  </si>
  <si>
    <t xml:space="preserve">Christopher Sims</t>
  </si>
  <si>
    <t xml:space="preserve">WL-01233</t>
  </si>
  <si>
    <t xml:space="preserve">William Wilson</t>
  </si>
  <si>
    <t xml:space="preserve">WL-01234</t>
  </si>
  <si>
    <t xml:space="preserve">Shannon Sweeney</t>
  </si>
  <si>
    <t xml:space="preserve">HALIBUT MIST</t>
  </si>
  <si>
    <t xml:space="preserve">WL-01235</t>
  </si>
  <si>
    <t xml:space="preserve">Stacy Wilkins</t>
  </si>
  <si>
    <t xml:space="preserve">TIDE SONG</t>
  </si>
  <si>
    <t xml:space="preserve">WL-01236</t>
  </si>
  <si>
    <t xml:space="preserve">Wendy Lopez</t>
  </si>
  <si>
    <t xml:space="preserve">HALIBUT STAR</t>
  </si>
  <si>
    <t xml:space="preserve">WL-01237</t>
  </si>
  <si>
    <t xml:space="preserve">April Nguyen</t>
  </si>
  <si>
    <t xml:space="preserve">BRANT PASSAGE</t>
  </si>
  <si>
    <t xml:space="preserve">WL-01238</t>
  </si>
  <si>
    <t xml:space="preserve">Linda Hernandez</t>
  </si>
  <si>
    <t xml:space="preserve">HALIBUT SOUND</t>
  </si>
  <si>
    <t xml:space="preserve">WL-01239</t>
  </si>
  <si>
    <t xml:space="preserve">Edward Cook</t>
  </si>
  <si>
    <t xml:space="preserve">WL-01240</t>
  </si>
  <si>
    <t xml:space="preserve">Amber Perkins</t>
  </si>
  <si>
    <t xml:space="preserve">WDIGEON STAR</t>
  </si>
  <si>
    <t xml:space="preserve">WL-01241</t>
  </si>
  <si>
    <t xml:space="preserve">Luis Lewis</t>
  </si>
  <si>
    <t xml:space="preserve">COHO QUEEN</t>
  </si>
  <si>
    <t xml:space="preserve">WL-01242</t>
  </si>
  <si>
    <t xml:space="preserve">Melissa Villanueva</t>
  </si>
  <si>
    <t xml:space="preserve">OSPREY QUEEN</t>
  </si>
  <si>
    <t xml:space="preserve">WL-01243</t>
  </si>
  <si>
    <t xml:space="preserve">Christina Rivera</t>
  </si>
  <si>
    <t xml:space="preserve">WL-01244</t>
  </si>
  <si>
    <t xml:space="preserve">Angela Berry</t>
  </si>
  <si>
    <t xml:space="preserve">COHO WAKE</t>
  </si>
  <si>
    <t xml:space="preserve">WL-01245</t>
  </si>
  <si>
    <t xml:space="preserve">Alison Carr</t>
  </si>
  <si>
    <t xml:space="preserve">WL-01246</t>
  </si>
  <si>
    <t xml:space="preserve">Michael Freeman</t>
  </si>
  <si>
    <t xml:space="preserve">WL-01247</t>
  </si>
  <si>
    <t xml:space="preserve">Daniel Wallace</t>
  </si>
  <si>
    <t xml:space="preserve">WL-01248</t>
  </si>
  <si>
    <t xml:space="preserve">Michael Gray</t>
  </si>
  <si>
    <t xml:space="preserve">POINT MIST</t>
  </si>
  <si>
    <t xml:space="preserve">WL-01249</t>
  </si>
  <si>
    <t xml:space="preserve">Alan Martinez</t>
  </si>
  <si>
    <t xml:space="preserve">WL-01250</t>
  </si>
  <si>
    <t xml:space="preserve">Tina Rodriguez</t>
  </si>
  <si>
    <t xml:space="preserve">BRANT DANCER</t>
  </si>
  <si>
    <t xml:space="preserve">WL-01251</t>
  </si>
  <si>
    <t xml:space="preserve">Carol Bates</t>
  </si>
  <si>
    <t xml:space="preserve">WL-01252</t>
  </si>
  <si>
    <t xml:space="preserve">Regina Brown</t>
  </si>
  <si>
    <t xml:space="preserve">WL-01253</t>
  </si>
  <si>
    <t xml:space="preserve">Brandon Sawyer</t>
  </si>
  <si>
    <t xml:space="preserve">WL-01254</t>
  </si>
  <si>
    <t xml:space="preserve">Barbara Jones</t>
  </si>
  <si>
    <t xml:space="preserve">PETREL WEATHER</t>
  </si>
  <si>
    <t xml:space="preserve">WL-01255</t>
  </si>
  <si>
    <t xml:space="preserve">Dana Walker</t>
  </si>
  <si>
    <t xml:space="preserve">WL-01256</t>
  </si>
  <si>
    <t xml:space="preserve">Andrew Glover</t>
  </si>
  <si>
    <t xml:space="preserve">HALIBUT ROSE</t>
  </si>
  <si>
    <t xml:space="preserve">WL-01257</t>
  </si>
  <si>
    <t xml:space="preserve">Steven Parrish</t>
  </si>
  <si>
    <t xml:space="preserve">WL-01258</t>
  </si>
  <si>
    <t xml:space="preserve">David Lester</t>
  </si>
  <si>
    <t xml:space="preserve">CORMORANT ROCK</t>
  </si>
  <si>
    <t xml:space="preserve">WL-01259</t>
  </si>
  <si>
    <t xml:space="preserve">Sara Avery</t>
  </si>
  <si>
    <t xml:space="preserve">OSPREY LINE</t>
  </si>
  <si>
    <t xml:space="preserve">WL-01260</t>
  </si>
  <si>
    <t xml:space="preserve">Dale Thomas</t>
  </si>
  <si>
    <t xml:space="preserve">POINT WAKE</t>
  </si>
  <si>
    <t xml:space="preserve">WL-01261</t>
  </si>
  <si>
    <t xml:space="preserve">Anita Rose</t>
  </si>
  <si>
    <t xml:space="preserve">BRANT ANN</t>
  </si>
  <si>
    <t xml:space="preserve">WL-01262</t>
  </si>
  <si>
    <t xml:space="preserve">Samantha Hopkins</t>
  </si>
  <si>
    <t xml:space="preserve">WL-01263</t>
  </si>
  <si>
    <t xml:space="preserve">Sandra Goodwin</t>
  </si>
  <si>
    <t xml:space="preserve">COHO DANCER</t>
  </si>
  <si>
    <t xml:space="preserve">WL-01264</t>
  </si>
  <si>
    <t xml:space="preserve">Jeffery Lewis</t>
  </si>
  <si>
    <t xml:space="preserve">WL-01265</t>
  </si>
  <si>
    <t xml:space="preserve">Michael Jones</t>
  </si>
  <si>
    <t xml:space="preserve">WL-01266</t>
  </si>
  <si>
    <t xml:space="preserve">Derek Kirby</t>
  </si>
  <si>
    <t xml:space="preserve">SEAL ROSE</t>
  </si>
  <si>
    <t xml:space="preserve">WL-01267</t>
  </si>
  <si>
    <t xml:space="preserve">Yvette Watson</t>
  </si>
  <si>
    <t xml:space="preserve">KESTREL DANCER</t>
  </si>
  <si>
    <t xml:space="preserve">WL-01268</t>
  </si>
  <si>
    <t xml:space="preserve">Ross Miller</t>
  </si>
  <si>
    <t xml:space="preserve">WL-01269</t>
  </si>
  <si>
    <t xml:space="preserve">Patricia Bennett</t>
  </si>
  <si>
    <t xml:space="preserve">WL-01270</t>
  </si>
  <si>
    <t xml:space="preserve">Eric Gonzalez</t>
  </si>
  <si>
    <t xml:space="preserve">FOUL SOUND</t>
  </si>
  <si>
    <t xml:space="preserve">WL-01271</t>
  </si>
  <si>
    <t xml:space="preserve">Anthony Love</t>
  </si>
  <si>
    <t xml:space="preserve">WIDGEON SHORE</t>
  </si>
  <si>
    <t xml:space="preserve">WL-01272</t>
  </si>
  <si>
    <t xml:space="preserve">Christopher Dixon</t>
  </si>
  <si>
    <t xml:space="preserve">BRANT SHORE</t>
  </si>
  <si>
    <t xml:space="preserve">WL-01273</t>
  </si>
  <si>
    <t xml:space="preserve">Eduardo Henry</t>
  </si>
  <si>
    <t xml:space="preserve">FOUL LINE</t>
  </si>
  <si>
    <t xml:space="preserve">WL-01274</t>
  </si>
  <si>
    <t xml:space="preserve">Lisa Campbell</t>
  </si>
  <si>
    <t xml:space="preserve">POINT BAY</t>
  </si>
  <si>
    <t xml:space="preserve">WL-01275</t>
  </si>
  <si>
    <t xml:space="preserve">Adam Shepherd</t>
  </si>
  <si>
    <t xml:space="preserve">WL-01276</t>
  </si>
  <si>
    <t xml:space="preserve">Nicole Fritz</t>
  </si>
  <si>
    <t xml:space="preserve">TIDE VEER</t>
  </si>
  <si>
    <t xml:space="preserve">WL-01277</t>
  </si>
  <si>
    <t xml:space="preserve">Nicole Palmer</t>
  </si>
  <si>
    <t xml:space="preserve">OSPREY WIND</t>
  </si>
  <si>
    <t xml:space="preserve">WL-01278</t>
  </si>
  <si>
    <t xml:space="preserve">John Smith</t>
  </si>
  <si>
    <t xml:space="preserve">OSPREY WEATHER</t>
  </si>
  <si>
    <t xml:space="preserve">WL-01279</t>
  </si>
  <si>
    <t xml:space="preserve">Melissa Carr</t>
  </si>
  <si>
    <t xml:space="preserve">OSPREY WAKE</t>
  </si>
  <si>
    <t xml:space="preserve">WL-01280</t>
  </si>
  <si>
    <t xml:space="preserve">Zachary Garcia</t>
  </si>
  <si>
    <t xml:space="preserve">ANCHOR SOUND</t>
  </si>
  <si>
    <t xml:space="preserve">WL-01281</t>
  </si>
  <si>
    <t xml:space="preserve">Alexander Ferguson</t>
  </si>
  <si>
    <t xml:space="preserve">POINT WEATHER</t>
  </si>
  <si>
    <t xml:space="preserve">WL-01282</t>
  </si>
  <si>
    <t xml:space="preserve">Nancy Miller</t>
  </si>
  <si>
    <t xml:space="preserve">COHO ROCK</t>
  </si>
  <si>
    <t xml:space="preserve">WL-01283</t>
  </si>
  <si>
    <t xml:space="preserve">Jay Gregory</t>
  </si>
  <si>
    <t xml:space="preserve">SEAL SHORE</t>
  </si>
  <si>
    <t xml:space="preserve">WL-01284</t>
  </si>
  <si>
    <t xml:space="preserve">Gerald Wilson</t>
  </si>
  <si>
    <t xml:space="preserve">SPINDRIFT RUNNER</t>
  </si>
  <si>
    <t xml:space="preserve">WL-01285</t>
  </si>
  <si>
    <t xml:space="preserve">Paula Lopez</t>
  </si>
  <si>
    <t xml:space="preserve">WL-01286</t>
  </si>
  <si>
    <t xml:space="preserve">Kevin Wiley</t>
  </si>
  <si>
    <t xml:space="preserve">TIDE STAR</t>
  </si>
  <si>
    <t xml:space="preserve">WL-01287</t>
  </si>
  <si>
    <t xml:space="preserve">Melissa Wright</t>
  </si>
  <si>
    <t xml:space="preserve">WL-01288</t>
  </si>
  <si>
    <t xml:space="preserve">Christopher Riley</t>
  </si>
  <si>
    <t xml:space="preserve">SCOTER BAY</t>
  </si>
  <si>
    <t xml:space="preserve">WL-01289</t>
  </si>
  <si>
    <t xml:space="preserve">Harry Faulkner</t>
  </si>
  <si>
    <t xml:space="preserve">PINTAIL RUNNER</t>
  </si>
  <si>
    <t xml:space="preserve">WL-01290</t>
  </si>
  <si>
    <t xml:space="preserve">Laura Ball</t>
  </si>
  <si>
    <t xml:space="preserve">WL-01291</t>
  </si>
  <si>
    <t xml:space="preserve">Brian Wallace</t>
  </si>
  <si>
    <t xml:space="preserve">ANCHOR RUNNER</t>
  </si>
  <si>
    <t xml:space="preserve">WL-01292</t>
  </si>
  <si>
    <t xml:space="preserve">Joe Stein</t>
  </si>
  <si>
    <t xml:space="preserve">SANDERLING MOON</t>
  </si>
  <si>
    <t xml:space="preserve">WL-01293</t>
  </si>
  <si>
    <t xml:space="preserve">Pamela Powell</t>
  </si>
  <si>
    <t xml:space="preserve">PETREL SOUND</t>
  </si>
  <si>
    <t xml:space="preserve">WL-01294</t>
  </si>
  <si>
    <t xml:space="preserve">Peter Jenkins</t>
  </si>
  <si>
    <t xml:space="preserve">WL-01295</t>
  </si>
  <si>
    <t xml:space="preserve">Philip Gutierrez</t>
  </si>
  <si>
    <t xml:space="preserve">KESTREL MOON</t>
  </si>
  <si>
    <t xml:space="preserve">WL-01296</t>
  </si>
  <si>
    <t xml:space="preserve">Gregory Young</t>
  </si>
  <si>
    <t xml:space="preserve">WL-01297</t>
  </si>
  <si>
    <t xml:space="preserve">Alan Harris</t>
  </si>
  <si>
    <t xml:space="preserve">WL-01298</t>
  </si>
  <si>
    <t xml:space="preserve">Jason Boyd</t>
  </si>
  <si>
    <t xml:space="preserve">ASLISH SHORE</t>
  </si>
  <si>
    <t xml:space="preserve">WL-01299</t>
  </si>
  <si>
    <t xml:space="preserve">Wayne Andrews</t>
  </si>
  <si>
    <t xml:space="preserve">WL-01300</t>
  </si>
  <si>
    <t xml:space="preserve">Clinton Johnson</t>
  </si>
  <si>
    <t xml:space="preserve">OTTER DANCER</t>
  </si>
  <si>
    <t xml:space="preserve">WL-01301</t>
  </si>
  <si>
    <t xml:space="preserve">Kimberly Gomez</t>
  </si>
  <si>
    <t xml:space="preserve">SALISH WAKE</t>
  </si>
  <si>
    <t xml:space="preserve">WL-01302</t>
  </si>
  <si>
    <t xml:space="preserve">Shelby Maynard</t>
  </si>
  <si>
    <t xml:space="preserve">WL-01303</t>
  </si>
  <si>
    <t xml:space="preserve">Robert Harmon</t>
  </si>
  <si>
    <t xml:space="preserve">SCOTER MIST</t>
  </si>
  <si>
    <t xml:space="preserve">WL-01304</t>
  </si>
  <si>
    <t xml:space="preserve">Ashley Hill</t>
  </si>
  <si>
    <t xml:space="preserve">BRANT LIGHT</t>
  </si>
  <si>
    <t xml:space="preserve">WL-01305</t>
  </si>
  <si>
    <t xml:space="preserve">Jonathan Mason</t>
  </si>
  <si>
    <t xml:space="preserve">HERON RUNNER</t>
  </si>
  <si>
    <t xml:space="preserve">WL-01306</t>
  </si>
  <si>
    <t xml:space="preserve">Cynthia Cameron</t>
  </si>
  <si>
    <t xml:space="preserve">WL-01307</t>
  </si>
  <si>
    <t xml:space="preserve">Dustin Ryan</t>
  </si>
  <si>
    <t xml:space="preserve">WL-01308</t>
  </si>
  <si>
    <t xml:space="preserve">Christopher Lee</t>
  </si>
  <si>
    <t xml:space="preserve">WIDGEON GLIDE</t>
  </si>
  <si>
    <t xml:space="preserve">WL-01309</t>
  </si>
  <si>
    <t xml:space="preserve">Vanessa Smith</t>
  </si>
  <si>
    <t xml:space="preserve">WL-01310</t>
  </si>
  <si>
    <t xml:space="preserve">Donna Weber</t>
  </si>
  <si>
    <t xml:space="preserve">SCOTER MOON</t>
  </si>
  <si>
    <t xml:space="preserve">WL-01311</t>
  </si>
  <si>
    <t xml:space="preserve">Michael Fox</t>
  </si>
  <si>
    <t xml:space="preserve">WL-01312</t>
  </si>
  <si>
    <t xml:space="preserve">Matthew King</t>
  </si>
  <si>
    <t xml:space="preserve">SANDERLING STAR</t>
  </si>
  <si>
    <t xml:space="preserve">WL-01313</t>
  </si>
  <si>
    <t xml:space="preserve">David Jones</t>
  </si>
  <si>
    <t xml:space="preserve">FOUL ROCK</t>
  </si>
  <si>
    <t xml:space="preserve">WL-01314</t>
  </si>
  <si>
    <t xml:space="preserve">Bobby Peterson</t>
  </si>
  <si>
    <t xml:space="preserve">SCOTER QUEEN</t>
  </si>
  <si>
    <t xml:space="preserve">WL-01315</t>
  </si>
  <si>
    <t xml:space="preserve">Justin Richardson</t>
  </si>
  <si>
    <t xml:space="preserve">WL-01316</t>
  </si>
  <si>
    <t xml:space="preserve">Matthew Turner</t>
  </si>
  <si>
    <t xml:space="preserve">MURRE WAKE</t>
  </si>
  <si>
    <t xml:space="preserve">WL-01317</t>
  </si>
  <si>
    <t xml:space="preserve">Shari George</t>
  </si>
  <si>
    <t xml:space="preserve">SCOTER ANN</t>
  </si>
  <si>
    <t xml:space="preserve">WL-01318</t>
  </si>
  <si>
    <t xml:space="preserve">Denise Montgomery</t>
  </si>
  <si>
    <t xml:space="preserve">PINTAIL LINE</t>
  </si>
  <si>
    <t xml:space="preserve">WL-01319</t>
  </si>
  <si>
    <t xml:space="preserve">Janice Roy</t>
  </si>
  <si>
    <t xml:space="preserve">COHO BAY</t>
  </si>
  <si>
    <t xml:space="preserve">WL-01320</t>
  </si>
  <si>
    <t xml:space="preserve">Jesse Jennings</t>
  </si>
  <si>
    <t xml:space="preserve">GRAY PASSAGE</t>
  </si>
  <si>
    <t xml:space="preserve">WL-01321</t>
  </si>
  <si>
    <t xml:space="preserve">Pam Brown</t>
  </si>
  <si>
    <t xml:space="preserve">WIDGEON MIST</t>
  </si>
  <si>
    <t xml:space="preserve">WL-01322</t>
  </si>
  <si>
    <t xml:space="preserve">Jesse Rodriguez</t>
  </si>
  <si>
    <t xml:space="preserve">SABLE SOUND</t>
  </si>
  <si>
    <t xml:space="preserve">WL-01323</t>
  </si>
  <si>
    <t xml:space="preserve">Melanie Alvarado</t>
  </si>
  <si>
    <t xml:space="preserve">MURRE LINE</t>
  </si>
  <si>
    <t xml:space="preserve">WL-01324</t>
  </si>
  <si>
    <t xml:space="preserve">Bradley Baker</t>
  </si>
  <si>
    <t xml:space="preserve">PINTAIL QUEEN</t>
  </si>
  <si>
    <t xml:space="preserve">WL-01325</t>
  </si>
  <si>
    <t xml:space="preserve">Amy Phillips</t>
  </si>
  <si>
    <t xml:space="preserve">WL-01326</t>
  </si>
  <si>
    <t xml:space="preserve">Kristin Smith</t>
  </si>
  <si>
    <t xml:space="preserve">DRIFT RUNNER</t>
  </si>
  <si>
    <t xml:space="preserve">WL-01327</t>
  </si>
  <si>
    <t xml:space="preserve">Amanda Henson</t>
  </si>
  <si>
    <t xml:space="preserve">MURRE BAY</t>
  </si>
  <si>
    <t xml:space="preserve">WL-01328</t>
  </si>
  <si>
    <t xml:space="preserve">Charles Solis</t>
  </si>
  <si>
    <t xml:space="preserve">WL-01329</t>
  </si>
  <si>
    <t xml:space="preserve">Daniel Washington</t>
  </si>
  <si>
    <t xml:space="preserve">PETREL LIGHT</t>
  </si>
  <si>
    <t xml:space="preserve">WL-01330</t>
  </si>
  <si>
    <t xml:space="preserve">Mark Flynn</t>
  </si>
  <si>
    <t xml:space="preserve">WL-01331</t>
  </si>
  <si>
    <t xml:space="preserve">Richard Benson</t>
  </si>
  <si>
    <t xml:space="preserve">WL-01332</t>
  </si>
  <si>
    <t xml:space="preserve">Stacey Ferguson</t>
  </si>
  <si>
    <t xml:space="preserve">GRAY STAR</t>
  </si>
  <si>
    <t xml:space="preserve">WL-01333</t>
  </si>
  <si>
    <t xml:space="preserve">Andrew Hayden</t>
  </si>
  <si>
    <t xml:space="preserve">WL-01334</t>
  </si>
  <si>
    <t xml:space="preserve">Tammy Jones</t>
  </si>
  <si>
    <t xml:space="preserve">WL-01335</t>
  </si>
  <si>
    <t xml:space="preserve">Eric Smith</t>
  </si>
  <si>
    <t xml:space="preserve">WL-01336</t>
  </si>
  <si>
    <t xml:space="preserve">Rebecca Davis</t>
  </si>
  <si>
    <t xml:space="preserve">WL-01337</t>
  </si>
  <si>
    <t xml:space="preserve">Anna Wright</t>
  </si>
  <si>
    <t xml:space="preserve">WL-01338</t>
  </si>
  <si>
    <t xml:space="preserve">Philip Simpson</t>
  </si>
  <si>
    <t xml:space="preserve">MURRE STAR</t>
  </si>
  <si>
    <t xml:space="preserve">WL-01339</t>
  </si>
  <si>
    <t xml:space="preserve">Robert Houston</t>
  </si>
  <si>
    <t xml:space="preserve">GRAY GLIDE</t>
  </si>
  <si>
    <t xml:space="preserve">WL-01340</t>
  </si>
  <si>
    <t xml:space="preserve">Jennifer Boyer</t>
  </si>
  <si>
    <t xml:space="preserve">WL-01341</t>
  </si>
  <si>
    <t xml:space="preserve">William Cooper</t>
  </si>
  <si>
    <t xml:space="preserve">COHO VEER</t>
  </si>
  <si>
    <t xml:space="preserve">WL-01342</t>
  </si>
  <si>
    <t xml:space="preserve">Lee Maldonado</t>
  </si>
  <si>
    <t xml:space="preserve">WL-01343</t>
  </si>
  <si>
    <t xml:space="preserve">Shawn Jones</t>
  </si>
  <si>
    <t xml:space="preserve">KESTREL SONG</t>
  </si>
  <si>
    <t xml:space="preserve">WL-01344</t>
  </si>
  <si>
    <t xml:space="preserve">Maria Villarreal</t>
  </si>
  <si>
    <t xml:space="preserve">BRANT MOON</t>
  </si>
  <si>
    <t xml:space="preserve">WL-01345</t>
  </si>
  <si>
    <t xml:space="preserve">Samantha Gregory</t>
  </si>
  <si>
    <t xml:space="preserve">WL-01346</t>
  </si>
  <si>
    <t xml:space="preserve">Stacey Robertson</t>
  </si>
  <si>
    <t xml:space="preserve">WL-01347</t>
  </si>
  <si>
    <t xml:space="preserve">Ryan Bennett</t>
  </si>
  <si>
    <t xml:space="preserve">POINT SONG</t>
  </si>
  <si>
    <t xml:space="preserve">WL-01348</t>
  </si>
  <si>
    <t xml:space="preserve">Jessica Patel</t>
  </si>
  <si>
    <t xml:space="preserve">WL-01349</t>
  </si>
  <si>
    <t xml:space="preserve">Justin Johnson</t>
  </si>
  <si>
    <t xml:space="preserve">SCOTER DANCER</t>
  </si>
  <si>
    <t xml:space="preserve">WL-01350</t>
  </si>
  <si>
    <t xml:space="preserve">John George</t>
  </si>
  <si>
    <t xml:space="preserve">WL-01351</t>
  </si>
  <si>
    <t xml:space="preserve">Leslie Campbell</t>
  </si>
  <si>
    <t xml:space="preserve">PINTAIL ANN</t>
  </si>
  <si>
    <t xml:space="preserve">WL-01352</t>
  </si>
  <si>
    <t xml:space="preserve">Donald Hoffman</t>
  </si>
  <si>
    <t xml:space="preserve">MURRE VEER</t>
  </si>
  <si>
    <t xml:space="preserve">WL-01353</t>
  </si>
  <si>
    <t xml:space="preserve">Robert Gordon</t>
  </si>
  <si>
    <t xml:space="preserve">WL-01354</t>
  </si>
  <si>
    <t xml:space="preserve">Kevin White</t>
  </si>
  <si>
    <t xml:space="preserve">SEAL STAR</t>
  </si>
  <si>
    <t xml:space="preserve">WL-01355</t>
  </si>
  <si>
    <t xml:space="preserve">Michael Moore</t>
  </si>
  <si>
    <t xml:space="preserve">SEAL MOON</t>
  </si>
  <si>
    <t xml:space="preserve">WL-01356</t>
  </si>
  <si>
    <t xml:space="preserve">Jennifer Wheeler</t>
  </si>
  <si>
    <t xml:space="preserve">WL-01357</t>
  </si>
  <si>
    <t xml:space="preserve">Cody Rose</t>
  </si>
  <si>
    <t xml:space="preserve">WL-01358</t>
  </si>
  <si>
    <t xml:space="preserve">Kenneth Hayden</t>
  </si>
  <si>
    <t xml:space="preserve">SABLE SHORE</t>
  </si>
  <si>
    <t xml:space="preserve">WL-01359</t>
  </si>
  <si>
    <t xml:space="preserve">Tony Mays</t>
  </si>
  <si>
    <t xml:space="preserve">WL-01360</t>
  </si>
  <si>
    <t xml:space="preserve">Desiree Sullivan</t>
  </si>
  <si>
    <t xml:space="preserve">SABLE ANN</t>
  </si>
  <si>
    <t xml:space="preserve">WL-01361</t>
  </si>
  <si>
    <t xml:space="preserve">Benjamin Willis</t>
  </si>
  <si>
    <t xml:space="preserve">WL-01362</t>
  </si>
  <si>
    <t xml:space="preserve">Amy Baker</t>
  </si>
  <si>
    <t xml:space="preserve">WL-01363</t>
  </si>
  <si>
    <t xml:space="preserve">Timothy Wiggins</t>
  </si>
  <si>
    <t xml:space="preserve">WL-01364</t>
  </si>
  <si>
    <t xml:space="preserve">Patrick Richmond</t>
  </si>
  <si>
    <t xml:space="preserve">WL-01365</t>
  </si>
  <si>
    <t xml:space="preserve">Andrew Griffith</t>
  </si>
  <si>
    <t xml:space="preserve">GRAY WIND</t>
  </si>
  <si>
    <t xml:space="preserve">WL-01366</t>
  </si>
  <si>
    <t xml:space="preserve">Anna Sweeney</t>
  </si>
  <si>
    <t xml:space="preserve">COHO MIST</t>
  </si>
  <si>
    <t xml:space="preserve">WL-01367</t>
  </si>
  <si>
    <t xml:space="preserve">Stephen Golden</t>
  </si>
  <si>
    <t xml:space="preserve">ANCHOR MIST</t>
  </si>
  <si>
    <t xml:space="preserve">WL-01368</t>
  </si>
  <si>
    <t xml:space="preserve">Justin Turner</t>
  </si>
  <si>
    <t xml:space="preserve">SABLE WIND</t>
  </si>
  <si>
    <t xml:space="preserve">WL-01369</t>
  </si>
  <si>
    <t xml:space="preserve">Mike Weeks</t>
  </si>
  <si>
    <t xml:space="preserve">OTTER VEER</t>
  </si>
  <si>
    <t xml:space="preserve">WL-01370</t>
  </si>
  <si>
    <t xml:space="preserve">James Graham</t>
  </si>
  <si>
    <t xml:space="preserve">SABLE ROSE</t>
  </si>
  <si>
    <t xml:space="preserve">WL-01371</t>
  </si>
  <si>
    <t xml:space="preserve">Christopher Nelson</t>
  </si>
  <si>
    <t xml:space="preserve">BRANT CREST</t>
  </si>
  <si>
    <t xml:space="preserve">WL-01372</t>
  </si>
  <si>
    <t xml:space="preserve">Claire Jones</t>
  </si>
  <si>
    <t xml:space="preserve">SALISH LIGHT</t>
  </si>
  <si>
    <t xml:space="preserve">WL-01373</t>
  </si>
  <si>
    <t xml:space="preserve">Lori Davis</t>
  </si>
  <si>
    <t xml:space="preserve">SPINDRIFT ROCK</t>
  </si>
  <si>
    <t xml:space="preserve">WL-01374</t>
  </si>
  <si>
    <t xml:space="preserve">Caroline Reid</t>
  </si>
  <si>
    <t xml:space="preserve">WL-01375</t>
  </si>
  <si>
    <t xml:space="preserve">Crystal Austin</t>
  </si>
  <si>
    <t xml:space="preserve">MURRE MOON</t>
  </si>
  <si>
    <t xml:space="preserve">WL-01376</t>
  </si>
  <si>
    <t xml:space="preserve">Steven Fisher</t>
  </si>
  <si>
    <t xml:space="preserve">KESTREL SHORE</t>
  </si>
  <si>
    <t xml:space="preserve">WL-01377</t>
  </si>
  <si>
    <t xml:space="preserve">Rhonda Ferguson</t>
  </si>
  <si>
    <t xml:space="preserve">PETREL ROSE</t>
  </si>
  <si>
    <t xml:space="preserve">WL-01378</t>
  </si>
  <si>
    <t xml:space="preserve">Morgan Clark</t>
  </si>
  <si>
    <t xml:space="preserve">TIDE MOON</t>
  </si>
  <si>
    <t xml:space="preserve">WL-01379</t>
  </si>
  <si>
    <t xml:space="preserve">Jacob Wong</t>
  </si>
  <si>
    <t xml:space="preserve">SABLE REACH</t>
  </si>
  <si>
    <t xml:space="preserve">WL-01380</t>
  </si>
  <si>
    <t xml:space="preserve">Sherry Sanders</t>
  </si>
  <si>
    <t xml:space="preserve">WL-01381</t>
  </si>
  <si>
    <t xml:space="preserve">Michael Dickson</t>
  </si>
  <si>
    <t xml:space="preserve">WL-01382</t>
  </si>
  <si>
    <t xml:space="preserve">Jose King</t>
  </si>
  <si>
    <t xml:space="preserve">HERON HARBOR</t>
  </si>
  <si>
    <t xml:space="preserve">WL-01383</t>
  </si>
  <si>
    <t xml:space="preserve">Donna Henderson</t>
  </si>
  <si>
    <t xml:space="preserve">OTTER ANN</t>
  </si>
  <si>
    <t xml:space="preserve">WL-01384</t>
  </si>
  <si>
    <t xml:space="preserve">Kimberly Williams</t>
  </si>
  <si>
    <t xml:space="preserve">WL-01385</t>
  </si>
  <si>
    <t xml:space="preserve">Amanda Morrison</t>
  </si>
  <si>
    <t xml:space="preserve">WL-01386</t>
  </si>
  <si>
    <t xml:space="preserve">Kenneth Bell</t>
  </si>
  <si>
    <t xml:space="preserve">WL-01387</t>
  </si>
  <si>
    <t xml:space="preserve">Benjamin Benitez</t>
  </si>
  <si>
    <t xml:space="preserve">PINTAIL CREST</t>
  </si>
  <si>
    <t xml:space="preserve">WL-01388</t>
  </si>
  <si>
    <t xml:space="preserve">Sharon Young</t>
  </si>
  <si>
    <t xml:space="preserve">SALISH QUEEN</t>
  </si>
  <si>
    <t xml:space="preserve">WL-01389</t>
  </si>
  <si>
    <t xml:space="preserve">Brian White</t>
  </si>
  <si>
    <t xml:space="preserve">PINTAIL WAKE</t>
  </si>
  <si>
    <t xml:space="preserve">WL-01390</t>
  </si>
  <si>
    <t xml:space="preserve">Michael Moss</t>
  </si>
  <si>
    <t xml:space="preserve">WL-01391</t>
  </si>
  <si>
    <t xml:space="preserve">Debbie Wallace</t>
  </si>
  <si>
    <t xml:space="preserve">WL-01392</t>
  </si>
  <si>
    <t xml:space="preserve">Ryan Carr</t>
  </si>
  <si>
    <t xml:space="preserve">TIDE CREST</t>
  </si>
  <si>
    <t xml:space="preserve">WL-01393</t>
  </si>
  <si>
    <t xml:space="preserve">Lauren Thompson</t>
  </si>
  <si>
    <t xml:space="preserve">SCOTER SHORE</t>
  </si>
  <si>
    <t xml:space="preserve">WL-01394</t>
  </si>
  <si>
    <t xml:space="preserve">Kenneth Walker</t>
  </si>
  <si>
    <t xml:space="preserve">WL-01395</t>
  </si>
  <si>
    <t xml:space="preserve">Denise Mitchell</t>
  </si>
  <si>
    <t xml:space="preserve">WL-01396</t>
  </si>
  <si>
    <t xml:space="preserve">Christopher Pacheco</t>
  </si>
  <si>
    <t xml:space="preserve">WL-01397</t>
  </si>
  <si>
    <t xml:space="preserve">CORMORANT WEATHER</t>
  </si>
  <si>
    <t xml:space="preserve">WL-01398</t>
  </si>
  <si>
    <t xml:space="preserve">Nicole Fisher</t>
  </si>
  <si>
    <t xml:space="preserve">WL-01399</t>
  </si>
  <si>
    <t xml:space="preserve">Heather Trujillo</t>
  </si>
  <si>
    <t xml:space="preserve">WL-01400</t>
  </si>
  <si>
    <t xml:space="preserve">Christopher Hayden</t>
  </si>
  <si>
    <t xml:space="preserve">WL-01401</t>
  </si>
  <si>
    <t xml:space="preserve">Douglas Thompson</t>
  </si>
  <si>
    <t xml:space="preserve">SCOTER WEATHER</t>
  </si>
  <si>
    <t xml:space="preserve">WL-01402</t>
  </si>
  <si>
    <t xml:space="preserve">Edward Castro</t>
  </si>
  <si>
    <t xml:space="preserve">HERON LIGHT</t>
  </si>
  <si>
    <t xml:space="preserve">WL-01403</t>
  </si>
  <si>
    <t xml:space="preserve">Jenna Peters</t>
  </si>
  <si>
    <t xml:space="preserve">SPINDRIFT QUEEN</t>
  </si>
  <si>
    <t xml:space="preserve">WL-01404</t>
  </si>
  <si>
    <t xml:space="preserve">Eric Boyle</t>
  </si>
  <si>
    <t xml:space="preserve">WL-01405</t>
  </si>
  <si>
    <t xml:space="preserve">Joshua Castillo</t>
  </si>
  <si>
    <t xml:space="preserve">WL-01406</t>
  </si>
  <si>
    <t xml:space="preserve">Jennifer Wilson</t>
  </si>
  <si>
    <t xml:space="preserve">WL-01407</t>
  </si>
  <si>
    <t xml:space="preserve">Kelly Rodgers</t>
  </si>
  <si>
    <t xml:space="preserve">WL-01408</t>
  </si>
  <si>
    <t xml:space="preserve">Kelly Rojas</t>
  </si>
  <si>
    <t xml:space="preserve">WL-01409</t>
  </si>
  <si>
    <t xml:space="preserve">Crystal Brown</t>
  </si>
  <si>
    <t xml:space="preserve">HERON ROSE</t>
  </si>
  <si>
    <t xml:space="preserve">WL-01410</t>
  </si>
  <si>
    <t xml:space="preserve">Aimee Madden</t>
  </si>
  <si>
    <t xml:space="preserve">WL-01411</t>
  </si>
  <si>
    <t xml:space="preserve">Amanda Graham</t>
  </si>
  <si>
    <t xml:space="preserve">WL-01412</t>
  </si>
  <si>
    <t xml:space="preserve">Michelle Carter</t>
  </si>
  <si>
    <t xml:space="preserve">SANDERLING ROSE</t>
  </si>
  <si>
    <t xml:space="preserve">WL-01413</t>
  </si>
  <si>
    <t xml:space="preserve">Kim Garcia</t>
  </si>
  <si>
    <t xml:space="preserve">SPINDRIFT VEER</t>
  </si>
  <si>
    <t xml:space="preserve">WL-01414</t>
  </si>
  <si>
    <t xml:space="preserve">Phillip Massey</t>
  </si>
  <si>
    <t xml:space="preserve">POINT SHORE</t>
  </si>
  <si>
    <t xml:space="preserve">WL-01415</t>
  </si>
  <si>
    <t xml:space="preserve">Jeremy Stevens</t>
  </si>
  <si>
    <t xml:space="preserve">WL-01416</t>
  </si>
  <si>
    <t xml:space="preserve">Carmen Hernandez</t>
  </si>
  <si>
    <t xml:space="preserve">SCOTER REACH</t>
  </si>
  <si>
    <t xml:space="preserve">WL-01417</t>
  </si>
  <si>
    <t xml:space="preserve">Carrie Walton</t>
  </si>
  <si>
    <t xml:space="preserve">WL-01418</t>
  </si>
  <si>
    <t xml:space="preserve">Alicia Jones</t>
  </si>
  <si>
    <t xml:space="preserve">HALIBUT HARBOR</t>
  </si>
  <si>
    <t xml:space="preserve">WL-01419</t>
  </si>
  <si>
    <t xml:space="preserve">Jason Fisher</t>
  </si>
  <si>
    <t xml:space="preserve">SANDERLING RUNNER</t>
  </si>
  <si>
    <t xml:space="preserve">WL-01420</t>
  </si>
  <si>
    <t xml:space="preserve">Patricia Wilson</t>
  </si>
  <si>
    <t xml:space="preserve">WL-01421</t>
  </si>
  <si>
    <t xml:space="preserve">Jessica Brown</t>
  </si>
  <si>
    <t xml:space="preserve">WL-01422</t>
  </si>
  <si>
    <t xml:space="preserve">Cynthia Chapman</t>
  </si>
  <si>
    <t xml:space="preserve">WL-01423</t>
  </si>
  <si>
    <t xml:space="preserve">Emma Mayo</t>
  </si>
  <si>
    <t xml:space="preserve">WL-01424</t>
  </si>
  <si>
    <t xml:space="preserve">Kristen Miller</t>
  </si>
  <si>
    <t xml:space="preserve">SABLE RUNNER</t>
  </si>
  <si>
    <t xml:space="preserve">WL-01425</t>
  </si>
  <si>
    <t xml:space="preserve">Annette Munoz</t>
  </si>
  <si>
    <t xml:space="preserve">WL-01426</t>
  </si>
  <si>
    <t xml:space="preserve">Glen Owen</t>
  </si>
  <si>
    <t xml:space="preserve">SANDERLING ANN</t>
  </si>
  <si>
    <t xml:space="preserve">WL-01427</t>
  </si>
  <si>
    <t xml:space="preserve">Sharon Mayo</t>
  </si>
  <si>
    <t xml:space="preserve">CORMORANT MIST</t>
  </si>
  <si>
    <t xml:space="preserve">WL-01428</t>
  </si>
  <si>
    <t xml:space="preserve">Audrey Taylor</t>
  </si>
  <si>
    <t xml:space="preserve">WL-01429</t>
  </si>
  <si>
    <t xml:space="preserve">Teresa Evans</t>
  </si>
  <si>
    <t xml:space="preserve">WL-01430</t>
  </si>
  <si>
    <t xml:space="preserve">Brandon Hall</t>
  </si>
  <si>
    <t xml:space="preserve">WL-01431</t>
  </si>
  <si>
    <t xml:space="preserve">Tracey Schneider</t>
  </si>
  <si>
    <t xml:space="preserve">WL-01432</t>
  </si>
  <si>
    <t xml:space="preserve">Daniel Anderson</t>
  </si>
  <si>
    <t xml:space="preserve">WL-01433</t>
  </si>
  <si>
    <t xml:space="preserve">Lisa Aguilar</t>
  </si>
  <si>
    <t xml:space="preserve">OSPREY BAY</t>
  </si>
  <si>
    <t xml:space="preserve">WL-01434</t>
  </si>
  <si>
    <t xml:space="preserve">William Brown</t>
  </si>
  <si>
    <t xml:space="preserve">COROMRANT WEATHER</t>
  </si>
  <si>
    <t xml:space="preserve">WL-01435</t>
  </si>
  <si>
    <t xml:space="preserve">Jessica Schultz</t>
  </si>
  <si>
    <t xml:space="preserve">WL-01436</t>
  </si>
  <si>
    <t xml:space="preserve">William Cook</t>
  </si>
  <si>
    <t xml:space="preserve">WL-01437</t>
  </si>
  <si>
    <t xml:space="preserve">Nicholas Woodward</t>
  </si>
  <si>
    <t xml:space="preserve">WL-01438</t>
  </si>
  <si>
    <t xml:space="preserve">Angela Whitehead</t>
  </si>
  <si>
    <t xml:space="preserve">WL-01439</t>
  </si>
  <si>
    <t xml:space="preserve">Ryan Rodriguez</t>
  </si>
  <si>
    <t xml:space="preserve">TIDE LINE</t>
  </si>
  <si>
    <t xml:space="preserve">WL-01440</t>
  </si>
  <si>
    <t xml:space="preserve">Sean Hansen</t>
  </si>
  <si>
    <t xml:space="preserve">WL-01441</t>
  </si>
  <si>
    <t xml:space="preserve">Jill Osborne</t>
  </si>
  <si>
    <t xml:space="preserve">TIDE RUNNRE</t>
  </si>
  <si>
    <t xml:space="preserve">WL-01442</t>
  </si>
  <si>
    <t xml:space="preserve">Tina Williams</t>
  </si>
  <si>
    <t xml:space="preserve">WL-01443</t>
  </si>
  <si>
    <t xml:space="preserve">Jessica Terry</t>
  </si>
  <si>
    <t xml:space="preserve">WL-01444</t>
  </si>
  <si>
    <t xml:space="preserve">Andrea Wade</t>
  </si>
  <si>
    <t xml:space="preserve">WL-01445</t>
  </si>
  <si>
    <t xml:space="preserve">Kyle Estes</t>
  </si>
  <si>
    <t xml:space="preserve">WL-01446</t>
  </si>
  <si>
    <t xml:space="preserve">Daniel Mccarthy</t>
  </si>
  <si>
    <t xml:space="preserve">OTTER MIST</t>
  </si>
  <si>
    <t xml:space="preserve">WL-01447</t>
  </si>
  <si>
    <t xml:space="preserve">Tim Bailey</t>
  </si>
  <si>
    <t xml:space="preserve">WL-01448</t>
  </si>
  <si>
    <t xml:space="preserve">Alex Strong</t>
  </si>
  <si>
    <t xml:space="preserve">SABLE PASSAGE</t>
  </si>
  <si>
    <t xml:space="preserve">WL-01449</t>
  </si>
  <si>
    <t xml:space="preserve">Charles Hudson</t>
  </si>
  <si>
    <t xml:space="preserve">WL-01450</t>
  </si>
  <si>
    <t xml:space="preserve">Joel Barnes</t>
  </si>
  <si>
    <t xml:space="preserve">WL-01451</t>
  </si>
  <si>
    <t xml:space="preserve">Christopher Hodges</t>
  </si>
  <si>
    <t xml:space="preserve">WL-01452</t>
  </si>
  <si>
    <t xml:space="preserve">Michael Watson</t>
  </si>
  <si>
    <t xml:space="preserve">PINTAIL PASSAGE</t>
  </si>
  <si>
    <t xml:space="preserve">WL-01453</t>
  </si>
  <si>
    <t xml:space="preserve">Kelly Lee</t>
  </si>
  <si>
    <t xml:space="preserve">WL-01454</t>
  </si>
  <si>
    <t xml:space="preserve">Amber Scott</t>
  </si>
  <si>
    <t xml:space="preserve">WL-01455</t>
  </si>
  <si>
    <t xml:space="preserve">Matthew Dickson</t>
  </si>
  <si>
    <t xml:space="preserve">GRAY BAY</t>
  </si>
  <si>
    <t xml:space="preserve">WL-01456</t>
  </si>
  <si>
    <t xml:space="preserve">Lynn Velez</t>
  </si>
  <si>
    <t xml:space="preserve">WL-01457</t>
  </si>
  <si>
    <t xml:space="preserve">Scott Grant</t>
  </si>
  <si>
    <t xml:space="preserve">PETREL SHORE</t>
  </si>
  <si>
    <t xml:space="preserve">WL-01458</t>
  </si>
  <si>
    <t xml:space="preserve">Sean Ruiz</t>
  </si>
  <si>
    <t xml:space="preserve">WL-01459</t>
  </si>
  <si>
    <t xml:space="preserve">Brian Green</t>
  </si>
  <si>
    <t xml:space="preserve">PETREL MOON</t>
  </si>
  <si>
    <t xml:space="preserve">WL-01460</t>
  </si>
  <si>
    <t xml:space="preserve">Lori Maldonado</t>
  </si>
  <si>
    <t xml:space="preserve">PINTAIL SHORE</t>
  </si>
  <si>
    <t xml:space="preserve">WL-01461</t>
  </si>
  <si>
    <t xml:space="preserve">Brooke Holmes</t>
  </si>
  <si>
    <t xml:space="preserve">WL-01462</t>
  </si>
  <si>
    <t xml:space="preserve">Stephanie Hart</t>
  </si>
  <si>
    <t xml:space="preserve">BRANT QUEEN</t>
  </si>
  <si>
    <t xml:space="preserve">WL-01463</t>
  </si>
  <si>
    <t xml:space="preserve">Katherine Simon</t>
  </si>
  <si>
    <t xml:space="preserve">WL-01464</t>
  </si>
  <si>
    <t xml:space="preserve">Thomas Dunn</t>
  </si>
  <si>
    <t xml:space="preserve">DRIFT QUEEN</t>
  </si>
  <si>
    <t xml:space="preserve">WL-01465</t>
  </si>
  <si>
    <t xml:space="preserve">William Gross</t>
  </si>
  <si>
    <t xml:space="preserve">BRANT ROCK</t>
  </si>
  <si>
    <t xml:space="preserve">WL-01466</t>
  </si>
  <si>
    <t xml:space="preserve">Dustin Escobar</t>
  </si>
  <si>
    <t xml:space="preserve">WL-01467</t>
  </si>
  <si>
    <t xml:space="preserve">Walter Soto</t>
  </si>
  <si>
    <t xml:space="preserve">WL-01468</t>
  </si>
  <si>
    <t xml:space="preserve">Rebecca Medina</t>
  </si>
  <si>
    <t xml:space="preserve">BRANT RUNNER</t>
  </si>
  <si>
    <t xml:space="preserve">WL-01469</t>
  </si>
  <si>
    <t xml:space="preserve">John Lynch</t>
  </si>
  <si>
    <t xml:space="preserve">WL-01470</t>
  </si>
  <si>
    <t xml:space="preserve">Gina Harmon</t>
  </si>
  <si>
    <t xml:space="preserve">SANDERLING CREST</t>
  </si>
  <si>
    <t xml:space="preserve">WL-01471</t>
  </si>
  <si>
    <t xml:space="preserve">Becky Fleming</t>
  </si>
  <si>
    <t xml:space="preserve">WL-01472</t>
  </si>
  <si>
    <t xml:space="preserve">Amber Rojas</t>
  </si>
  <si>
    <t xml:space="preserve">WL-01473</t>
  </si>
  <si>
    <t xml:space="preserve">Ian Parrish</t>
  </si>
  <si>
    <t xml:space="preserve">OSPREY PASSAGE</t>
  </si>
  <si>
    <t xml:space="preserve">WL-01474</t>
  </si>
  <si>
    <t xml:space="preserve">Alexis Barker</t>
  </si>
  <si>
    <t xml:space="preserve">FOUL SHORE</t>
  </si>
  <si>
    <t xml:space="preserve">WL-01475</t>
  </si>
  <si>
    <t xml:space="preserve">Melissa Steele</t>
  </si>
  <si>
    <t xml:space="preserve">WL-01476</t>
  </si>
  <si>
    <t xml:space="preserve">Brianna Rowland</t>
  </si>
  <si>
    <t xml:space="preserve">WL-01477</t>
  </si>
  <si>
    <t xml:space="preserve">Virginia Brown</t>
  </si>
  <si>
    <t xml:space="preserve">FOUL QUEEN</t>
  </si>
  <si>
    <t xml:space="preserve">WL-01478</t>
  </si>
  <si>
    <t xml:space="preserve">William Thomas</t>
  </si>
  <si>
    <t xml:space="preserve">WL-01479</t>
  </si>
  <si>
    <t xml:space="preserve">Cassandra Gonzalez</t>
  </si>
  <si>
    <t xml:space="preserve">WL-01480</t>
  </si>
  <si>
    <t xml:space="preserve">Kaitlin Meyer</t>
  </si>
  <si>
    <t xml:space="preserve">WL-01481</t>
  </si>
  <si>
    <t xml:space="preserve">Jeremy Jenkins</t>
  </si>
  <si>
    <t xml:space="preserve">WL-01482</t>
  </si>
  <si>
    <t xml:space="preserve">Brandon Boyer</t>
  </si>
  <si>
    <t xml:space="preserve">WL-01483</t>
  </si>
  <si>
    <t xml:space="preserve">Jorge Steele</t>
  </si>
  <si>
    <t xml:space="preserve">WL-01484</t>
  </si>
  <si>
    <t xml:space="preserve">Patricia Mann</t>
  </si>
  <si>
    <t xml:space="preserve">FOUL PASSAGE</t>
  </si>
  <si>
    <t xml:space="preserve">WL-01485</t>
  </si>
  <si>
    <t xml:space="preserve">Judith Vaughn</t>
  </si>
  <si>
    <t xml:space="preserve">FOUL BAY</t>
  </si>
  <si>
    <t xml:space="preserve">WL-01486</t>
  </si>
  <si>
    <t xml:space="preserve">Stacey Spears</t>
  </si>
  <si>
    <t xml:space="preserve">WL-01487</t>
  </si>
  <si>
    <t xml:space="preserve">Thomas Palmer</t>
  </si>
  <si>
    <t xml:space="preserve">WL-01488</t>
  </si>
  <si>
    <t xml:space="preserve">Stephen Wilcox</t>
  </si>
  <si>
    <t xml:space="preserve">WL-01489</t>
  </si>
  <si>
    <t xml:space="preserve">Donna Thomas</t>
  </si>
  <si>
    <t xml:space="preserve">WL-01490</t>
  </si>
  <si>
    <t xml:space="preserve">Cheyenne Arnold</t>
  </si>
  <si>
    <t xml:space="preserve">TIDE REACH</t>
  </si>
  <si>
    <t xml:space="preserve">WL-01491</t>
  </si>
  <si>
    <t xml:space="preserve">Cody Jones</t>
  </si>
  <si>
    <t xml:space="preserve">COHO ROSE</t>
  </si>
  <si>
    <t xml:space="preserve">WL-01492</t>
  </si>
  <si>
    <t xml:space="preserve">Elizabeth Williams</t>
  </si>
  <si>
    <t xml:space="preserve">WL-01493</t>
  </si>
  <si>
    <t xml:space="preserve">Jean Guerra</t>
  </si>
  <si>
    <t xml:space="preserve">WL-01494</t>
  </si>
  <si>
    <t xml:space="preserve">Ashley Park</t>
  </si>
  <si>
    <t xml:space="preserve">COHO WEATHER</t>
  </si>
  <si>
    <t xml:space="preserve">WL-01495</t>
  </si>
  <si>
    <t xml:space="preserve">Melanie Bailey</t>
  </si>
  <si>
    <t xml:space="preserve">WL-01496</t>
  </si>
  <si>
    <t xml:space="preserve">Kyle Fry</t>
  </si>
  <si>
    <t xml:space="preserve">GRAY LIGHT</t>
  </si>
  <si>
    <t xml:space="preserve">WL-01497</t>
  </si>
  <si>
    <t xml:space="preserve">Aaron Ellis</t>
  </si>
  <si>
    <t xml:space="preserve">WL-01498</t>
  </si>
  <si>
    <t xml:space="preserve">Paul Nelson</t>
  </si>
  <si>
    <t xml:space="preserve">WL-01499</t>
  </si>
  <si>
    <t xml:space="preserve">Jessica Miller</t>
  </si>
  <si>
    <t xml:space="preserve">OTTER WAKE</t>
  </si>
  <si>
    <t xml:space="preserve">WL-01500</t>
  </si>
  <si>
    <t xml:space="preserve">Patricia Marquez</t>
  </si>
  <si>
    <t xml:space="preserve">OSPREY GLIDE</t>
  </si>
  <si>
    <t xml:space="preserve">WL-01501</t>
  </si>
  <si>
    <t xml:space="preserve">Thomas Levine</t>
  </si>
  <si>
    <t xml:space="preserve">POINT LINE</t>
  </si>
  <si>
    <t xml:space="preserve">WL-01502</t>
  </si>
  <si>
    <t xml:space="preserve">Eric Henry</t>
  </si>
  <si>
    <t xml:space="preserve">PINTAIL SOUND</t>
  </si>
  <si>
    <t xml:space="preserve">WL-01503</t>
  </si>
  <si>
    <t xml:space="preserve">Kayla Moore</t>
  </si>
  <si>
    <t xml:space="preserve">SALISH LINE</t>
  </si>
  <si>
    <t xml:space="preserve">WL-01504</t>
  </si>
  <si>
    <t xml:space="preserve">Margaret Johnson</t>
  </si>
  <si>
    <t xml:space="preserve">WL-01505</t>
  </si>
  <si>
    <t xml:space="preserve">Abigail Branch</t>
  </si>
  <si>
    <t xml:space="preserve">WL-01506</t>
  </si>
  <si>
    <t xml:space="preserve">Adam Solomon</t>
  </si>
  <si>
    <t xml:space="preserve">WL-01507</t>
  </si>
  <si>
    <t xml:space="preserve">Andrea Mejia</t>
  </si>
  <si>
    <t xml:space="preserve">GRAY SONG</t>
  </si>
  <si>
    <t xml:space="preserve">WL-01508</t>
  </si>
  <si>
    <t xml:space="preserve">Jose Williams</t>
  </si>
  <si>
    <t xml:space="preserve">WL-01509</t>
  </si>
  <si>
    <t xml:space="preserve">William Hatfield</t>
  </si>
  <si>
    <t xml:space="preserve">WL-01510</t>
  </si>
  <si>
    <t xml:space="preserve">Melanie Baker</t>
  </si>
  <si>
    <t xml:space="preserve">WL-01511</t>
  </si>
  <si>
    <t xml:space="preserve">Nancy Sullivan</t>
  </si>
  <si>
    <t xml:space="preserve">WL-01512</t>
  </si>
  <si>
    <t xml:space="preserve">David Tapia</t>
  </si>
  <si>
    <t xml:space="preserve">WL-01513</t>
  </si>
  <si>
    <t xml:space="preserve">Jennifer Thomas</t>
  </si>
  <si>
    <t xml:space="preserve">WL-01514</t>
  </si>
  <si>
    <t xml:space="preserve">Gary Young</t>
  </si>
  <si>
    <t xml:space="preserve">SCOTER VEER</t>
  </si>
  <si>
    <t xml:space="preserve">WL-01515</t>
  </si>
  <si>
    <t xml:space="preserve">Andrea Simpson</t>
  </si>
  <si>
    <t xml:space="preserve">OSPREY STAR</t>
  </si>
  <si>
    <t xml:space="preserve">WL-01516</t>
  </si>
  <si>
    <t xml:space="preserve">Brandon Thompson</t>
  </si>
  <si>
    <t xml:space="preserve">OTTER QUEEN</t>
  </si>
  <si>
    <t xml:space="preserve">WL-01517</t>
  </si>
  <si>
    <t xml:space="preserve">Manuel Abbott</t>
  </si>
  <si>
    <t xml:space="preserve">WL-01518</t>
  </si>
  <si>
    <t xml:space="preserve">Tanya Maynard</t>
  </si>
  <si>
    <t xml:space="preserve">WL-01519</t>
  </si>
  <si>
    <t xml:space="preserve">Manuel Griffin</t>
  </si>
  <si>
    <t xml:space="preserve">MURRE DANCER</t>
  </si>
  <si>
    <t xml:space="preserve">WL-01520</t>
  </si>
  <si>
    <t xml:space="preserve">Michelle Davis</t>
  </si>
  <si>
    <t xml:space="preserve">ANCHOR MOON</t>
  </si>
  <si>
    <t xml:space="preserve">WL-01521</t>
  </si>
  <si>
    <t xml:space="preserve">Ronald Cook</t>
  </si>
  <si>
    <t xml:space="preserve">WL-01522</t>
  </si>
  <si>
    <t xml:space="preserve">Joyce Hall</t>
  </si>
  <si>
    <t xml:space="preserve">PINTAIL LIGHT</t>
  </si>
  <si>
    <t xml:space="preserve">WL-01523</t>
  </si>
  <si>
    <t xml:space="preserve">Melissa Oneill</t>
  </si>
  <si>
    <t xml:space="preserve">HALIBUT SONG</t>
  </si>
  <si>
    <t xml:space="preserve">WL-01524</t>
  </si>
  <si>
    <t xml:space="preserve">William Wright</t>
  </si>
  <si>
    <t xml:space="preserve">WL-01525</t>
  </si>
  <si>
    <t xml:space="preserve">Holly Myers</t>
  </si>
  <si>
    <t xml:space="preserve">WL-01526</t>
  </si>
  <si>
    <t xml:space="preserve">Crystal Sanchez</t>
  </si>
  <si>
    <t xml:space="preserve">SABLE CRSET</t>
  </si>
  <si>
    <t xml:space="preserve">WL-01527</t>
  </si>
  <si>
    <t xml:space="preserve">Stacey Hamilton</t>
  </si>
  <si>
    <t xml:space="preserve">WL-01528</t>
  </si>
  <si>
    <t xml:space="preserve">Leslie Lee</t>
  </si>
  <si>
    <t xml:space="preserve">WL-01529</t>
  </si>
  <si>
    <t xml:space="preserve">Audrey Carlson</t>
  </si>
  <si>
    <t xml:space="preserve">WL-01530</t>
  </si>
  <si>
    <t xml:space="preserve">Sean Huber</t>
  </si>
  <si>
    <t xml:space="preserve">KESTREL MIST</t>
  </si>
  <si>
    <t xml:space="preserve">WL-01531</t>
  </si>
  <si>
    <t xml:space="preserve">Amber Thompson</t>
  </si>
  <si>
    <t xml:space="preserve">WL-01532</t>
  </si>
  <si>
    <t xml:space="preserve">Bradley Mejia</t>
  </si>
  <si>
    <t xml:space="preserve">WL-01533</t>
  </si>
  <si>
    <t xml:space="preserve">Beth Cooper</t>
  </si>
  <si>
    <t xml:space="preserve">SPINDRIFT WIND</t>
  </si>
  <si>
    <t xml:space="preserve">WL-01534</t>
  </si>
  <si>
    <t xml:space="preserve">Jose Mueller</t>
  </si>
  <si>
    <t xml:space="preserve">WL-01535</t>
  </si>
  <si>
    <t xml:space="preserve">Angela Patel</t>
  </si>
  <si>
    <t xml:space="preserve">WL-01536</t>
  </si>
  <si>
    <t xml:space="preserve">Deborah Spears</t>
  </si>
  <si>
    <t xml:space="preserve">WL-01537</t>
  </si>
  <si>
    <t xml:space="preserve">Jessica Johnson</t>
  </si>
  <si>
    <t xml:space="preserve">WL-01538</t>
  </si>
  <si>
    <t xml:space="preserve">Jacqueline Simmons</t>
  </si>
  <si>
    <t xml:space="preserve">BRANT GLIED</t>
  </si>
  <si>
    <t xml:space="preserve">WL-01539</t>
  </si>
  <si>
    <t xml:space="preserve">Lori Sanford</t>
  </si>
  <si>
    <t xml:space="preserve">WL-01540</t>
  </si>
  <si>
    <t xml:space="preserve">Jonathan Baker</t>
  </si>
  <si>
    <t xml:space="preserve">WL-01541</t>
  </si>
  <si>
    <t xml:space="preserve">Rhonda Johnson</t>
  </si>
  <si>
    <t xml:space="preserve">WL-01542</t>
  </si>
  <si>
    <t xml:space="preserve">Robert Harris</t>
  </si>
  <si>
    <t xml:space="preserve">WL-01543</t>
  </si>
  <si>
    <t xml:space="preserve">Charles Gomez</t>
  </si>
  <si>
    <t xml:space="preserve">WL-01544</t>
  </si>
  <si>
    <t xml:space="preserve">Todd Villa</t>
  </si>
  <si>
    <t xml:space="preserve">WIDGEON RUNNER</t>
  </si>
  <si>
    <t xml:space="preserve">WL-01545</t>
  </si>
  <si>
    <t xml:space="preserve">Jessica King</t>
  </si>
  <si>
    <t xml:space="preserve">WL-01546</t>
  </si>
  <si>
    <t xml:space="preserve">Edward Grant</t>
  </si>
  <si>
    <t xml:space="preserve">WL-01547</t>
  </si>
  <si>
    <t xml:space="preserve">Nicole Burke</t>
  </si>
  <si>
    <t xml:space="preserve">WL-01548</t>
  </si>
  <si>
    <t xml:space="preserve">FOUL HARBOR</t>
  </si>
  <si>
    <t xml:space="preserve">WL-01549</t>
  </si>
  <si>
    <t xml:space="preserve">Zachary Wilson</t>
  </si>
  <si>
    <t xml:space="preserve">WL-01550</t>
  </si>
  <si>
    <t xml:space="preserve">Brittany Grant</t>
  </si>
  <si>
    <t xml:space="preserve">WL-01551</t>
  </si>
  <si>
    <t xml:space="preserve">Megan Santiago</t>
  </si>
  <si>
    <t xml:space="preserve">WL-01552</t>
  </si>
  <si>
    <t xml:space="preserve">Lydia Erickson</t>
  </si>
  <si>
    <t xml:space="preserve">WL-01553</t>
  </si>
  <si>
    <t xml:space="preserve">Stephanie Campbell</t>
  </si>
  <si>
    <t xml:space="preserve">WL-01554</t>
  </si>
  <si>
    <t xml:space="preserve">Robert Nolan</t>
  </si>
  <si>
    <t xml:space="preserve">WL-01555</t>
  </si>
  <si>
    <t xml:space="preserve">Anthony Torres</t>
  </si>
  <si>
    <t xml:space="preserve">SANDERLING PASSAGE</t>
  </si>
  <si>
    <t xml:space="preserve">WL-01556</t>
  </si>
  <si>
    <t xml:space="preserve">Christopher Russell</t>
  </si>
  <si>
    <t xml:space="preserve">PETREL REACH</t>
  </si>
  <si>
    <t xml:space="preserve">WL-01557</t>
  </si>
  <si>
    <t xml:space="preserve">Shannon Martinez</t>
  </si>
  <si>
    <t xml:space="preserve">WL-01558</t>
  </si>
  <si>
    <t xml:space="preserve">Edward Carter</t>
  </si>
  <si>
    <t xml:space="preserve">HALIBUT GLIDE</t>
  </si>
  <si>
    <t xml:space="preserve">WL-01559</t>
  </si>
  <si>
    <t xml:space="preserve">Mary Taylor</t>
  </si>
  <si>
    <t xml:space="preserve">KESTREL ANN</t>
  </si>
  <si>
    <t xml:space="preserve">WL-01560</t>
  </si>
  <si>
    <t xml:space="preserve">Dana Wilson</t>
  </si>
  <si>
    <t xml:space="preserve">WL-01561</t>
  </si>
  <si>
    <t xml:space="preserve">Brandon Jacobs</t>
  </si>
  <si>
    <t xml:space="preserve">WL-01562</t>
  </si>
  <si>
    <t xml:space="preserve">Karen Ward</t>
  </si>
  <si>
    <t xml:space="preserve">WL-01563</t>
  </si>
  <si>
    <t xml:space="preserve">Brian Morris</t>
  </si>
  <si>
    <t xml:space="preserve">TIDE SHORE</t>
  </si>
  <si>
    <t xml:space="preserve">WL-01564</t>
  </si>
  <si>
    <t xml:space="preserve">Mackenzie Rogers</t>
  </si>
  <si>
    <t xml:space="preserve">OSPREY ROSE</t>
  </si>
  <si>
    <t xml:space="preserve">WL-01565</t>
  </si>
  <si>
    <t xml:space="preserve">Justin Reese</t>
  </si>
  <si>
    <t xml:space="preserve">WL-01566</t>
  </si>
  <si>
    <t xml:space="preserve">Sara Garcia</t>
  </si>
  <si>
    <t xml:space="preserve">WL-01567</t>
  </si>
  <si>
    <t xml:space="preserve">Alan Thomas</t>
  </si>
  <si>
    <t xml:space="preserve">PETREL HARBOR</t>
  </si>
  <si>
    <t xml:space="preserve">WL-01568</t>
  </si>
  <si>
    <t xml:space="preserve">Rebecca Lozano</t>
  </si>
  <si>
    <t xml:space="preserve">HERON MOON</t>
  </si>
  <si>
    <t xml:space="preserve">WL-01569</t>
  </si>
  <si>
    <t xml:space="preserve">Sherri Smith</t>
  </si>
  <si>
    <t xml:space="preserve">MURRE GLIDE</t>
  </si>
  <si>
    <t xml:space="preserve">WL-01570</t>
  </si>
  <si>
    <t xml:space="preserve">Seth Tucker</t>
  </si>
  <si>
    <t xml:space="preserve">CORMORANT LINE</t>
  </si>
  <si>
    <t xml:space="preserve">WL-01571</t>
  </si>
  <si>
    <t xml:space="preserve">Blake Webb</t>
  </si>
  <si>
    <t xml:space="preserve">SABLE VEER</t>
  </si>
  <si>
    <t xml:space="preserve">WL-01572</t>
  </si>
  <si>
    <t xml:space="preserve">Vanessa Hill</t>
  </si>
  <si>
    <t xml:space="preserve">WL-01573</t>
  </si>
  <si>
    <t xml:space="preserve">Benjamin Jimenez</t>
  </si>
  <si>
    <t xml:space="preserve">WL-01574</t>
  </si>
  <si>
    <t xml:space="preserve">James Castro</t>
  </si>
  <si>
    <t xml:space="preserve">SABLE STAR</t>
  </si>
  <si>
    <t xml:space="preserve">WL-01575</t>
  </si>
  <si>
    <t xml:space="preserve">Jennifer Johnston</t>
  </si>
  <si>
    <t xml:space="preserve">WL-01576</t>
  </si>
  <si>
    <t xml:space="preserve">Virginia Guerra</t>
  </si>
  <si>
    <t xml:space="preserve">WL-01577</t>
  </si>
  <si>
    <t xml:space="preserve">Sheri Clay</t>
  </si>
  <si>
    <t xml:space="preserve">WL-01578</t>
  </si>
  <si>
    <t xml:space="preserve">WL-01579</t>
  </si>
  <si>
    <t xml:space="preserve">Jessica Allen</t>
  </si>
  <si>
    <t xml:space="preserve">WL-01580</t>
  </si>
  <si>
    <t xml:space="preserve">Denise Parker</t>
  </si>
  <si>
    <t xml:space="preserve">SANDERLING LIGHT</t>
  </si>
  <si>
    <t xml:space="preserve">WL-01581</t>
  </si>
  <si>
    <t xml:space="preserve">George Wright</t>
  </si>
  <si>
    <t xml:space="preserve">TIDE ROSE</t>
  </si>
  <si>
    <t xml:space="preserve">WL-01582</t>
  </si>
  <si>
    <t xml:space="preserve">Holly Garcia</t>
  </si>
  <si>
    <t xml:space="preserve">WL-01583</t>
  </si>
  <si>
    <t xml:space="preserve">Mitchell Choi</t>
  </si>
  <si>
    <t xml:space="preserve">OTTER REACH</t>
  </si>
  <si>
    <t xml:space="preserve">WL-01584</t>
  </si>
  <si>
    <t xml:space="preserve">Chad Bennett</t>
  </si>
  <si>
    <t xml:space="preserve">WL-01585</t>
  </si>
  <si>
    <t xml:space="preserve">Edwin Alvarado</t>
  </si>
  <si>
    <t xml:space="preserve">WL-01586</t>
  </si>
  <si>
    <t xml:space="preserve">Calvin Grant</t>
  </si>
  <si>
    <t xml:space="preserve">COHO SHORE</t>
  </si>
  <si>
    <t xml:space="preserve">WL-01587</t>
  </si>
  <si>
    <t xml:space="preserve">Patrick Guzman</t>
  </si>
  <si>
    <t xml:space="preserve">SCOTER WAKE</t>
  </si>
  <si>
    <t xml:space="preserve">WL-01588</t>
  </si>
  <si>
    <t xml:space="preserve">Garrett Conner</t>
  </si>
  <si>
    <t xml:space="preserve">WIDGEON ROCK</t>
  </si>
  <si>
    <t xml:space="preserve">WL-01589</t>
  </si>
  <si>
    <t xml:space="preserve">Caitlin Klein</t>
  </si>
  <si>
    <t xml:space="preserve">WL-01590</t>
  </si>
  <si>
    <t xml:space="preserve">Cynthia Gutierrez</t>
  </si>
  <si>
    <t xml:space="preserve">CORMORANT SOUND</t>
  </si>
  <si>
    <t xml:space="preserve">WL-01591</t>
  </si>
  <si>
    <t xml:space="preserve">Chad Yang</t>
  </si>
  <si>
    <t xml:space="preserve">WL-01592</t>
  </si>
  <si>
    <t xml:space="preserve">Michael Robinson</t>
  </si>
  <si>
    <t xml:space="preserve">SALISH CREST</t>
  </si>
  <si>
    <t xml:space="preserve">WL-01593</t>
  </si>
  <si>
    <t xml:space="preserve">Jeffrey Clark</t>
  </si>
  <si>
    <t xml:space="preserve">WL-01594</t>
  </si>
  <si>
    <t xml:space="preserve">Tracey Johnson</t>
  </si>
  <si>
    <t xml:space="preserve">WL-01595</t>
  </si>
  <si>
    <t xml:space="preserve">Anthony Kemp</t>
  </si>
  <si>
    <t xml:space="preserve">WL-01596</t>
  </si>
  <si>
    <t xml:space="preserve">Shirley Tate</t>
  </si>
  <si>
    <t xml:space="preserve">WIDGEON WAKE</t>
  </si>
  <si>
    <t xml:space="preserve">WL-01597</t>
  </si>
  <si>
    <t xml:space="preserve">Elizabeth Ford</t>
  </si>
  <si>
    <t xml:space="preserve">WL-01598</t>
  </si>
  <si>
    <t xml:space="preserve">Danielle Wagner</t>
  </si>
  <si>
    <t xml:space="preserve">WL-01599</t>
  </si>
  <si>
    <t xml:space="preserve">Amy Davis</t>
  </si>
  <si>
    <t xml:space="preserve">WL-01600</t>
  </si>
  <si>
    <t xml:space="preserve">Kimberly Solomon</t>
  </si>
  <si>
    <t xml:space="preserve">WIDGEON STAR</t>
  </si>
  <si>
    <t xml:space="preserve">WL-01601</t>
  </si>
  <si>
    <t xml:space="preserve">Keith Smith</t>
  </si>
  <si>
    <t xml:space="preserve">WL-01602</t>
  </si>
  <si>
    <t xml:space="preserve">Micheal Martinez</t>
  </si>
  <si>
    <t xml:space="preserve">WL-01603</t>
  </si>
  <si>
    <t xml:space="preserve">Lauren Smith</t>
  </si>
  <si>
    <t xml:space="preserve">ANCHOR WAKE</t>
  </si>
  <si>
    <t xml:space="preserve">WL-01604</t>
  </si>
  <si>
    <t xml:space="preserve">Patrick Barnes</t>
  </si>
  <si>
    <t xml:space="preserve">WL-01605</t>
  </si>
  <si>
    <t xml:space="preserve">Michael Curtis</t>
  </si>
  <si>
    <t xml:space="preserve">WL-01606</t>
  </si>
  <si>
    <t xml:space="preserve">Joel English</t>
  </si>
  <si>
    <t xml:space="preserve">COHO GLIDE</t>
  </si>
  <si>
    <t xml:space="preserve">WL-01607</t>
  </si>
  <si>
    <t xml:space="preserve">John Williams</t>
  </si>
  <si>
    <t xml:space="preserve">BRANT WIND</t>
  </si>
  <si>
    <t xml:space="preserve">WL-01608</t>
  </si>
  <si>
    <t xml:space="preserve">Madeline Wright</t>
  </si>
  <si>
    <t xml:space="preserve">WL-01609</t>
  </si>
  <si>
    <t xml:space="preserve">Michael Singh</t>
  </si>
  <si>
    <t xml:space="preserve">ANCHOR LIGHT</t>
  </si>
  <si>
    <t xml:space="preserve">WL-01610</t>
  </si>
  <si>
    <t xml:space="preserve">Anthony Johnson</t>
  </si>
  <si>
    <t xml:space="preserve">DRIFT SOUND</t>
  </si>
  <si>
    <t xml:space="preserve">WL-01611</t>
  </si>
  <si>
    <t xml:space="preserve">Joshua Diaz</t>
  </si>
  <si>
    <t xml:space="preserve">BRANT WAKE</t>
  </si>
  <si>
    <t xml:space="preserve">WL-01612</t>
  </si>
  <si>
    <t xml:space="preserve">Donald Hernandez</t>
  </si>
  <si>
    <t xml:space="preserve">DRIFT LINE</t>
  </si>
  <si>
    <t xml:space="preserve">WL-01613</t>
  </si>
  <si>
    <t xml:space="preserve">Matthew Flores</t>
  </si>
  <si>
    <t xml:space="preserve">WL-01614</t>
  </si>
  <si>
    <t xml:space="preserve">Katrina Elliott</t>
  </si>
  <si>
    <t xml:space="preserve">WL-01615</t>
  </si>
  <si>
    <t xml:space="preserve">Melissa Gaines</t>
  </si>
  <si>
    <t xml:space="preserve">DRIFT HARBOR</t>
  </si>
  <si>
    <t xml:space="preserve">WL-01616</t>
  </si>
  <si>
    <t xml:space="preserve">Cody Green</t>
  </si>
  <si>
    <t xml:space="preserve">SPINDRIFT PASSAGE</t>
  </si>
  <si>
    <t xml:space="preserve">WL-01617</t>
  </si>
  <si>
    <t xml:space="preserve">James Ferguson</t>
  </si>
  <si>
    <t xml:space="preserve">POINT DANCER</t>
  </si>
  <si>
    <t xml:space="preserve">WL-01618</t>
  </si>
  <si>
    <t xml:space="preserve">Charlene Hood</t>
  </si>
  <si>
    <t xml:space="preserve">KESTREL QUEEN</t>
  </si>
  <si>
    <t xml:space="preserve">WL-01619</t>
  </si>
  <si>
    <t xml:space="preserve">Carmen Montgomery</t>
  </si>
  <si>
    <t xml:space="preserve">OTTER PASSAGE</t>
  </si>
  <si>
    <t xml:space="preserve">WL-01620</t>
  </si>
  <si>
    <t xml:space="preserve">James Livingston</t>
  </si>
  <si>
    <t xml:space="preserve">WL-01621</t>
  </si>
  <si>
    <t xml:space="preserve">Scott Lee</t>
  </si>
  <si>
    <t xml:space="preserve">KESTREL PASSAGE</t>
  </si>
  <si>
    <t xml:space="preserve">WL-01622</t>
  </si>
  <si>
    <t xml:space="preserve">Eduardo Rice</t>
  </si>
  <si>
    <t xml:space="preserve">PINTAIL ROSE</t>
  </si>
  <si>
    <t xml:space="preserve">WL-01623</t>
  </si>
  <si>
    <t xml:space="preserve">Dana Scott</t>
  </si>
  <si>
    <t xml:space="preserve">SPINDRIFT MIST</t>
  </si>
  <si>
    <t xml:space="preserve">WL-01624</t>
  </si>
  <si>
    <t xml:space="preserve">Megan Estrada</t>
  </si>
  <si>
    <t xml:space="preserve">WL-01625</t>
  </si>
  <si>
    <t xml:space="preserve">Albert Rowland</t>
  </si>
  <si>
    <t xml:space="preserve">GRAY VEER</t>
  </si>
  <si>
    <t xml:space="preserve">WL-01626</t>
  </si>
  <si>
    <t xml:space="preserve">Kristen Smith</t>
  </si>
  <si>
    <t xml:space="preserve">WL-01627</t>
  </si>
  <si>
    <t xml:space="preserve">Paige Cherry</t>
  </si>
  <si>
    <t xml:space="preserve">WL-01628</t>
  </si>
  <si>
    <t xml:space="preserve">Nicholas Fitzgerald</t>
  </si>
  <si>
    <t xml:space="preserve">WL-01629</t>
  </si>
  <si>
    <t xml:space="preserve">Mary Parker</t>
  </si>
  <si>
    <t xml:space="preserve">WL-01630</t>
  </si>
  <si>
    <t xml:space="preserve">Charlotte Stevens</t>
  </si>
  <si>
    <t xml:space="preserve">WL-01631</t>
  </si>
  <si>
    <t xml:space="preserve">Jonathan Vasquez</t>
  </si>
  <si>
    <t xml:space="preserve">WL-01632</t>
  </si>
  <si>
    <t xml:space="preserve">Laura Johnson</t>
  </si>
  <si>
    <t xml:space="preserve">WL-01633</t>
  </si>
  <si>
    <t xml:space="preserve">Michael Gonzalez</t>
  </si>
  <si>
    <t xml:space="preserve">WL-01634</t>
  </si>
  <si>
    <t xml:space="preserve">Dawn Ramirez</t>
  </si>
  <si>
    <t xml:space="preserve">MURRE LIGHT</t>
  </si>
  <si>
    <t xml:space="preserve">WL-01635</t>
  </si>
  <si>
    <t xml:space="preserve">Darrell Lee</t>
  </si>
  <si>
    <t xml:space="preserve">KESTREL VEER</t>
  </si>
  <si>
    <t xml:space="preserve">WL-01636</t>
  </si>
  <si>
    <t xml:space="preserve">Stephen Flores</t>
  </si>
  <si>
    <t xml:space="preserve">WL-01637</t>
  </si>
  <si>
    <t xml:space="preserve">Tiffany Johnson</t>
  </si>
  <si>
    <t xml:space="preserve">WL-01638</t>
  </si>
  <si>
    <t xml:space="preserve">Christopher Wall</t>
  </si>
  <si>
    <t xml:space="preserve">WL-01639</t>
  </si>
  <si>
    <t xml:space="preserve">Donna Jensen</t>
  </si>
  <si>
    <t xml:space="preserve">DRIFT PASSAGE</t>
  </si>
  <si>
    <t xml:space="preserve">WL-01640</t>
  </si>
  <si>
    <t xml:space="preserve">Tammy Stone</t>
  </si>
  <si>
    <t xml:space="preserve">WL-01641</t>
  </si>
  <si>
    <t xml:space="preserve">Jason Medina</t>
  </si>
  <si>
    <t xml:space="preserve">WL-01642</t>
  </si>
  <si>
    <t xml:space="preserve">Shane Carroll</t>
  </si>
  <si>
    <t xml:space="preserve">SABLE MIST</t>
  </si>
  <si>
    <t xml:space="preserve">WL-01643</t>
  </si>
  <si>
    <t xml:space="preserve">Peter Williams</t>
  </si>
  <si>
    <t xml:space="preserve">WL-01644</t>
  </si>
  <si>
    <t xml:space="preserve">Natalie Parker</t>
  </si>
  <si>
    <t xml:space="preserve">WL-01645</t>
  </si>
  <si>
    <t xml:space="preserve">Michael Walker</t>
  </si>
  <si>
    <t xml:space="preserve">ANCHOR SONG</t>
  </si>
  <si>
    <t xml:space="preserve">WL-01646</t>
  </si>
  <si>
    <t xml:space="preserve">Kristen Jackson</t>
  </si>
  <si>
    <t xml:space="preserve">GRAY REACH</t>
  </si>
  <si>
    <t xml:space="preserve">WL-01647</t>
  </si>
  <si>
    <t xml:space="preserve">Robert Shannon</t>
  </si>
  <si>
    <t xml:space="preserve">WL-01648</t>
  </si>
  <si>
    <t xml:space="preserve">Chelsea Matthews</t>
  </si>
  <si>
    <t xml:space="preserve">WL-01649</t>
  </si>
  <si>
    <t xml:space="preserve">Amy Krueger</t>
  </si>
  <si>
    <t xml:space="preserve">PETREL RUNNER</t>
  </si>
  <si>
    <t xml:space="preserve">WL-01650</t>
  </si>
  <si>
    <t xml:space="preserve">Brett Kerr</t>
  </si>
  <si>
    <t xml:space="preserve">WL-01651</t>
  </si>
  <si>
    <t xml:space="preserve">Kayla Lawson</t>
  </si>
  <si>
    <t xml:space="preserve">WL-01652</t>
  </si>
  <si>
    <t xml:space="preserve">Melissa Johnson</t>
  </si>
  <si>
    <t xml:space="preserve">WL-01653</t>
  </si>
  <si>
    <t xml:space="preserve">Kenneth Garrison</t>
  </si>
  <si>
    <t xml:space="preserve">PETREL PASSAGE</t>
  </si>
  <si>
    <t xml:space="preserve">WL-01654</t>
  </si>
  <si>
    <t xml:space="preserve">Theresa Henderson</t>
  </si>
  <si>
    <t xml:space="preserve">SEAL VEER</t>
  </si>
  <si>
    <t xml:space="preserve">WL-01655</t>
  </si>
  <si>
    <t xml:space="preserve">Michael Williamson</t>
  </si>
  <si>
    <t xml:space="preserve">WL-01656</t>
  </si>
  <si>
    <t xml:space="preserve">Jennifer Christian</t>
  </si>
  <si>
    <t xml:space="preserve">WL-01657</t>
  </si>
  <si>
    <t xml:space="preserve">Chad Wells</t>
  </si>
  <si>
    <t xml:space="preserve">WL-01658</t>
  </si>
  <si>
    <t xml:space="preserve">Mary Schwartz</t>
  </si>
  <si>
    <t xml:space="preserve">WL-01659</t>
  </si>
  <si>
    <t xml:space="preserve">Leslie Lopez</t>
  </si>
  <si>
    <t xml:space="preserve">WL-01660</t>
  </si>
  <si>
    <t xml:space="preserve">Adam Davis</t>
  </si>
  <si>
    <t xml:space="preserve">OTTER RUNNER</t>
  </si>
  <si>
    <t xml:space="preserve">WL-01661</t>
  </si>
  <si>
    <t xml:space="preserve">Randy Stewart</t>
  </si>
  <si>
    <t xml:space="preserve">WL-01662</t>
  </si>
  <si>
    <t xml:space="preserve">David Wilson</t>
  </si>
  <si>
    <t xml:space="preserve">WL-01663</t>
  </si>
  <si>
    <t xml:space="preserve">Chris Garner</t>
  </si>
  <si>
    <t xml:space="preserve">WL-01664</t>
  </si>
  <si>
    <t xml:space="preserve">Kimberly Smith</t>
  </si>
  <si>
    <t xml:space="preserve">PETREL ROCK</t>
  </si>
  <si>
    <t xml:space="preserve">WL-01665</t>
  </si>
  <si>
    <t xml:space="preserve">Hector Hunter</t>
  </si>
  <si>
    <t xml:space="preserve">WL-01666</t>
  </si>
  <si>
    <t xml:space="preserve">Christina Beard</t>
  </si>
  <si>
    <t xml:space="preserve">OTTER BAY</t>
  </si>
  <si>
    <t xml:space="preserve">WL-01667</t>
  </si>
  <si>
    <t xml:space="preserve">Mary Harris</t>
  </si>
  <si>
    <t xml:space="preserve">WL-01668</t>
  </si>
  <si>
    <t xml:space="preserve">Marisa Alexander</t>
  </si>
  <si>
    <t xml:space="preserve">WL-01669</t>
  </si>
  <si>
    <t xml:space="preserve">Dakota Nguyen</t>
  </si>
  <si>
    <t xml:space="preserve">WL-01670</t>
  </si>
  <si>
    <t xml:space="preserve">Benjamin Larsen</t>
  </si>
  <si>
    <t xml:space="preserve">WL-01671</t>
  </si>
  <si>
    <t xml:space="preserve">Patrick Rodriguez</t>
  </si>
  <si>
    <t xml:space="preserve">WL-01672</t>
  </si>
  <si>
    <t xml:space="preserve">Holly Jones</t>
  </si>
  <si>
    <t xml:space="preserve">WL-01673</t>
  </si>
  <si>
    <t xml:space="preserve">Kellie Lee</t>
  </si>
  <si>
    <t xml:space="preserve">WIDGEON WIND</t>
  </si>
  <si>
    <t xml:space="preserve">WL-01674</t>
  </si>
  <si>
    <t xml:space="preserve">Connie Singh</t>
  </si>
  <si>
    <t xml:space="preserve">WL-01675</t>
  </si>
  <si>
    <t xml:space="preserve">Christina Smith</t>
  </si>
  <si>
    <t xml:space="preserve">WL-01676</t>
  </si>
  <si>
    <t xml:space="preserve">Jill Spence</t>
  </si>
  <si>
    <t xml:space="preserve">WL-01677</t>
  </si>
  <si>
    <t xml:space="preserve">Christopher Harrison</t>
  </si>
  <si>
    <t xml:space="preserve">WL-01678</t>
  </si>
  <si>
    <t xml:space="preserve">Logan Robles</t>
  </si>
  <si>
    <t xml:space="preserve">SALISH WIND</t>
  </si>
  <si>
    <t xml:space="preserve">WL-01679</t>
  </si>
  <si>
    <t xml:space="preserve">Rachael Reyes</t>
  </si>
  <si>
    <t xml:space="preserve">WL-01680</t>
  </si>
  <si>
    <t xml:space="preserve">Sara Nelson</t>
  </si>
  <si>
    <t xml:space="preserve">WL-01681</t>
  </si>
  <si>
    <t xml:space="preserve">Trevor Jones</t>
  </si>
  <si>
    <t xml:space="preserve">TIDE MIST</t>
  </si>
  <si>
    <t xml:space="preserve">WL-01682</t>
  </si>
  <si>
    <t xml:space="preserve">John Moon</t>
  </si>
  <si>
    <t xml:space="preserve">WL-01683</t>
  </si>
  <si>
    <t xml:space="preserve">Steven Davis</t>
  </si>
  <si>
    <t xml:space="preserve">WL-01684</t>
  </si>
  <si>
    <t xml:space="preserve">Janet Shaw</t>
  </si>
  <si>
    <t xml:space="preserve">WL-01685</t>
  </si>
  <si>
    <t xml:space="preserve">Eric Russell</t>
  </si>
  <si>
    <t xml:space="preserve">WL-01686</t>
  </si>
  <si>
    <t xml:space="preserve">Michael Poole</t>
  </si>
  <si>
    <t xml:space="preserve">PETREL STAR</t>
  </si>
  <si>
    <t xml:space="preserve">WL-01687</t>
  </si>
  <si>
    <t xml:space="preserve">Holly Franco</t>
  </si>
  <si>
    <t xml:space="preserve">WL-01688</t>
  </si>
  <si>
    <t xml:space="preserve">Michael Gardner</t>
  </si>
  <si>
    <t xml:space="preserve">KESTREL RUNNER</t>
  </si>
  <si>
    <t xml:space="preserve">WL-01689</t>
  </si>
  <si>
    <t xml:space="preserve">Joshua Nelson</t>
  </si>
  <si>
    <t xml:space="preserve">WL-01690</t>
  </si>
  <si>
    <t xml:space="preserve">Andrew Glass</t>
  </si>
  <si>
    <t xml:space="preserve">WL-01691</t>
  </si>
  <si>
    <t xml:space="preserve">Joshua Li</t>
  </si>
  <si>
    <t xml:space="preserve">WL-01692</t>
  </si>
  <si>
    <t xml:space="preserve">Steven Beck</t>
  </si>
  <si>
    <t xml:space="preserve">WL-01693</t>
  </si>
  <si>
    <t xml:space="preserve">Michael Price</t>
  </si>
  <si>
    <t xml:space="preserve">ANCHOR HARBOR</t>
  </si>
  <si>
    <t xml:space="preserve">WL-01694</t>
  </si>
  <si>
    <t xml:space="preserve">Cory Aguirre</t>
  </si>
  <si>
    <t xml:space="preserve">HERON REACH</t>
  </si>
  <si>
    <t xml:space="preserve">WL-01695</t>
  </si>
  <si>
    <t xml:space="preserve">Antonio Leach</t>
  </si>
  <si>
    <t xml:space="preserve">WL-01696</t>
  </si>
  <si>
    <t xml:space="preserve">Steve Dixon</t>
  </si>
  <si>
    <t xml:space="preserve">WL-01697</t>
  </si>
  <si>
    <t xml:space="preserve">Paige Brown</t>
  </si>
  <si>
    <t xml:space="preserve">WL-01698</t>
  </si>
  <si>
    <t xml:space="preserve">Lisa Young</t>
  </si>
  <si>
    <t xml:space="preserve">SABLE ROCK</t>
  </si>
  <si>
    <t xml:space="preserve">WL-01699</t>
  </si>
  <si>
    <t xml:space="preserve">Kevin Fuller</t>
  </si>
  <si>
    <t xml:space="preserve">OTTER ROSE</t>
  </si>
  <si>
    <t xml:space="preserve">WL-01700</t>
  </si>
  <si>
    <t xml:space="preserve">Sherry Fletcher</t>
  </si>
  <si>
    <t xml:space="preserve">DRIFT BAY</t>
  </si>
  <si>
    <t xml:space="preserve">WL-01701</t>
  </si>
  <si>
    <t xml:space="preserve">Robert Cox</t>
  </si>
  <si>
    <t xml:space="preserve">SANDERLING LINE</t>
  </si>
  <si>
    <t xml:space="preserve">WL-01702</t>
  </si>
  <si>
    <t xml:space="preserve">Larry Carr</t>
  </si>
  <si>
    <t xml:space="preserve">WL-01703</t>
  </si>
  <si>
    <t xml:space="preserve">Jorge Avery</t>
  </si>
  <si>
    <t xml:space="preserve">PSINDRIFT WIND</t>
  </si>
  <si>
    <t xml:space="preserve">WL-01704</t>
  </si>
  <si>
    <t xml:space="preserve">Justin Horn</t>
  </si>
  <si>
    <t xml:space="preserve">WL-01705</t>
  </si>
  <si>
    <t xml:space="preserve">Tracy Walker</t>
  </si>
  <si>
    <t xml:space="preserve">WL-01706</t>
  </si>
  <si>
    <t xml:space="preserve">Michael Lee</t>
  </si>
  <si>
    <t xml:space="preserve">WL-01707</t>
  </si>
  <si>
    <t xml:space="preserve">Linda Thompson</t>
  </si>
  <si>
    <t xml:space="preserve">COHO LIGHT</t>
  </si>
  <si>
    <t xml:space="preserve">WL-01708</t>
  </si>
  <si>
    <t xml:space="preserve">Miranda Jones</t>
  </si>
  <si>
    <t xml:space="preserve">WL-01709</t>
  </si>
  <si>
    <t xml:space="preserve">Alexander Stephens</t>
  </si>
  <si>
    <t xml:space="preserve">WIDGEON VEER</t>
  </si>
  <si>
    <t xml:space="preserve">WL-01710</t>
  </si>
  <si>
    <t xml:space="preserve">Alyssa Morris</t>
  </si>
  <si>
    <t xml:space="preserve">WL-01711</t>
  </si>
  <si>
    <t xml:space="preserve">Julie Peterson</t>
  </si>
  <si>
    <t xml:space="preserve">PINTAIL WIND</t>
  </si>
  <si>
    <t xml:space="preserve">WL-01712</t>
  </si>
  <si>
    <t xml:space="preserve">Kevin Liu</t>
  </si>
  <si>
    <t xml:space="preserve">WL-01713</t>
  </si>
  <si>
    <t xml:space="preserve">Tina Garza</t>
  </si>
  <si>
    <t xml:space="preserve">WL-01714</t>
  </si>
  <si>
    <t xml:space="preserve">Ashley Smith</t>
  </si>
  <si>
    <t xml:space="preserve">WL-01715</t>
  </si>
  <si>
    <t xml:space="preserve">Richard Snyder</t>
  </si>
  <si>
    <t xml:space="preserve">WL-01716</t>
  </si>
  <si>
    <t xml:space="preserve">Christina Olsen</t>
  </si>
  <si>
    <t xml:space="preserve">SPINDRIFT MOON</t>
  </si>
  <si>
    <t xml:space="preserve">WL-01717</t>
  </si>
  <si>
    <t xml:space="preserve">Andrea Bailey</t>
  </si>
  <si>
    <t xml:space="preserve">SPINDRIFT LIGHT</t>
  </si>
  <si>
    <t xml:space="preserve">WL-01718</t>
  </si>
  <si>
    <t xml:space="preserve">Christopher Welch</t>
  </si>
  <si>
    <t xml:space="preserve">WL-01719</t>
  </si>
  <si>
    <t xml:space="preserve">John Anderson</t>
  </si>
  <si>
    <t xml:space="preserve">FOUL ADNCER</t>
  </si>
  <si>
    <t xml:space="preserve">WL-01720</t>
  </si>
  <si>
    <t xml:space="preserve">Patricia Peck</t>
  </si>
  <si>
    <t xml:space="preserve">SPINDRIFT LINE</t>
  </si>
  <si>
    <t xml:space="preserve">WL-01721</t>
  </si>
  <si>
    <t xml:space="preserve">Paul Armstrong</t>
  </si>
  <si>
    <t xml:space="preserve">WL-01722</t>
  </si>
  <si>
    <t xml:space="preserve">Gregory Collins</t>
  </si>
  <si>
    <t xml:space="preserve">WL-01723</t>
  </si>
  <si>
    <t xml:space="preserve">Justin Buchanan</t>
  </si>
  <si>
    <t xml:space="preserve">WL-01724</t>
  </si>
  <si>
    <t xml:space="preserve">Bryan Winters</t>
  </si>
  <si>
    <t xml:space="preserve">WL-01725</t>
  </si>
  <si>
    <t xml:space="preserve">Linda Hall</t>
  </si>
  <si>
    <t xml:space="preserve">MURRE MIST</t>
  </si>
  <si>
    <t xml:space="preserve">WL-01726</t>
  </si>
  <si>
    <t xml:space="preserve">WL-01727</t>
  </si>
  <si>
    <t xml:space="preserve">Ashley Morton</t>
  </si>
  <si>
    <t xml:space="preserve">OSPREY VEER</t>
  </si>
  <si>
    <t xml:space="preserve">WL-01728</t>
  </si>
  <si>
    <t xml:space="preserve">Theresa Robinson</t>
  </si>
  <si>
    <t xml:space="preserve">WL-01729</t>
  </si>
  <si>
    <t xml:space="preserve">Whitney Baker</t>
  </si>
  <si>
    <t xml:space="preserve">WL-01730</t>
  </si>
  <si>
    <t xml:space="preserve">Charles Sparks</t>
  </si>
  <si>
    <t xml:space="preserve">WL-01731</t>
  </si>
  <si>
    <t xml:space="preserve">Thomas White</t>
  </si>
  <si>
    <t xml:space="preserve">WL-01732</t>
  </si>
  <si>
    <t xml:space="preserve">Dennis Jones</t>
  </si>
  <si>
    <t xml:space="preserve">WL-01733</t>
  </si>
  <si>
    <t xml:space="preserve">William Weber</t>
  </si>
  <si>
    <t xml:space="preserve">WL-01734</t>
  </si>
  <si>
    <t xml:space="preserve">Jamie Sanchez</t>
  </si>
  <si>
    <t xml:space="preserve">WL-01735</t>
  </si>
  <si>
    <t xml:space="preserve">Jeffrey Brown</t>
  </si>
  <si>
    <t xml:space="preserve">WL-01736</t>
  </si>
  <si>
    <t xml:space="preserve">Patricia Deleon</t>
  </si>
  <si>
    <t xml:space="preserve">DRIFT VEER</t>
  </si>
  <si>
    <t xml:space="preserve">WL-01737</t>
  </si>
  <si>
    <t xml:space="preserve">Nicole Wright</t>
  </si>
  <si>
    <t xml:space="preserve">WL-01738</t>
  </si>
  <si>
    <t xml:space="preserve">Zachary Kramer</t>
  </si>
  <si>
    <t xml:space="preserve">WL-01739</t>
  </si>
  <si>
    <t xml:space="preserve">Andrew Davis</t>
  </si>
  <si>
    <t xml:space="preserve">WL-01740</t>
  </si>
  <si>
    <t xml:space="preserve">Lisa Wyatt</t>
  </si>
  <si>
    <t xml:space="preserve">WL-01741</t>
  </si>
  <si>
    <t xml:space="preserve">Lisa Burton</t>
  </si>
  <si>
    <t xml:space="preserve">WL-01742</t>
  </si>
  <si>
    <t xml:space="preserve">Robert Smith</t>
  </si>
  <si>
    <t xml:space="preserve">WL-01743</t>
  </si>
  <si>
    <t xml:space="preserve">Melissa Hernandez</t>
  </si>
  <si>
    <t xml:space="preserve">WL-01744</t>
  </si>
  <si>
    <t xml:space="preserve">Mariah White</t>
  </si>
  <si>
    <t xml:space="preserve">WL-01745</t>
  </si>
  <si>
    <t xml:space="preserve">David Hall</t>
  </si>
  <si>
    <t xml:space="preserve">WL-01746</t>
  </si>
  <si>
    <t xml:space="preserve">Elizabeth Ward</t>
  </si>
  <si>
    <t xml:space="preserve">PINTAIL WEATHER</t>
  </si>
  <si>
    <t xml:space="preserve">WL-01747</t>
  </si>
  <si>
    <t xml:space="preserve">Andrew Anderson</t>
  </si>
  <si>
    <t xml:space="preserve">OSPREY MOON</t>
  </si>
  <si>
    <t xml:space="preserve">WL-01748</t>
  </si>
  <si>
    <t xml:space="preserve">Daniel Brown</t>
  </si>
  <si>
    <t xml:space="preserve">WL-01749</t>
  </si>
  <si>
    <t xml:space="preserve">Evan Stevens</t>
  </si>
  <si>
    <t xml:space="preserve">WL-01750</t>
  </si>
  <si>
    <t xml:space="preserve">Shawn Berg</t>
  </si>
  <si>
    <t xml:space="preserve">WL-01751</t>
  </si>
  <si>
    <t xml:space="preserve">John Jennings</t>
  </si>
  <si>
    <t xml:space="preserve">WL-01752</t>
  </si>
  <si>
    <t xml:space="preserve">Kelly Jenkins</t>
  </si>
  <si>
    <t xml:space="preserve">WL-01753</t>
  </si>
  <si>
    <t xml:space="preserve">Erin Valencia</t>
  </si>
  <si>
    <t xml:space="preserve">WL-01754</t>
  </si>
  <si>
    <t xml:space="preserve">Paul Thompson</t>
  </si>
  <si>
    <t xml:space="preserve">WL-01755</t>
  </si>
  <si>
    <t xml:space="preserve">Joshua Walton</t>
  </si>
  <si>
    <t xml:space="preserve">WL-01756</t>
  </si>
  <si>
    <t xml:space="preserve">Alexander Mcdonald</t>
  </si>
  <si>
    <t xml:space="preserve">WL-01757</t>
  </si>
  <si>
    <t xml:space="preserve">Susan Woods</t>
  </si>
  <si>
    <t xml:space="preserve">WL-01758</t>
  </si>
  <si>
    <t xml:space="preserve">Billy Hernandez</t>
  </si>
  <si>
    <t xml:space="preserve">WL-01759</t>
  </si>
  <si>
    <t xml:space="preserve">Michael Schneider</t>
  </si>
  <si>
    <t xml:space="preserve">WL-01760</t>
  </si>
  <si>
    <t xml:space="preserve">Jose Becker</t>
  </si>
  <si>
    <t xml:space="preserve">SPINDRIFT WAKE</t>
  </si>
  <si>
    <t xml:space="preserve">WL-01761</t>
  </si>
  <si>
    <t xml:space="preserve">Ariel Morrow</t>
  </si>
  <si>
    <t xml:space="preserve">WL-01762</t>
  </si>
  <si>
    <t xml:space="preserve">John Powell</t>
  </si>
  <si>
    <t xml:space="preserve">DRIFT WAKE</t>
  </si>
  <si>
    <t xml:space="preserve">WL-01763</t>
  </si>
  <si>
    <t xml:space="preserve">Christopher Miller</t>
  </si>
  <si>
    <t xml:space="preserve">CORMORANT RUNNER</t>
  </si>
  <si>
    <t xml:space="preserve">WL-01764</t>
  </si>
  <si>
    <t xml:space="preserve">Michael Arnold</t>
  </si>
  <si>
    <t xml:space="preserve">WL-01765</t>
  </si>
  <si>
    <t xml:space="preserve">Donald Edwards</t>
  </si>
  <si>
    <t xml:space="preserve">WL-01766</t>
  </si>
  <si>
    <t xml:space="preserve">James Wallace</t>
  </si>
  <si>
    <t xml:space="preserve">WL-01767</t>
  </si>
  <si>
    <t xml:space="preserve">Christine Watson</t>
  </si>
  <si>
    <t xml:space="preserve">WL-01768</t>
  </si>
  <si>
    <t xml:space="preserve">Amanda Dodson</t>
  </si>
  <si>
    <t xml:space="preserve">POINT VEER</t>
  </si>
  <si>
    <t xml:space="preserve">WL-01769</t>
  </si>
  <si>
    <t xml:space="preserve">Brenda Cruz</t>
  </si>
  <si>
    <t xml:space="preserve">WL-01770</t>
  </si>
  <si>
    <t xml:space="preserve">Billy Cummings</t>
  </si>
  <si>
    <t xml:space="preserve">WL-01771</t>
  </si>
  <si>
    <t xml:space="preserve">Kimberly Anderson</t>
  </si>
  <si>
    <t xml:space="preserve">WL-01772</t>
  </si>
  <si>
    <t xml:space="preserve">Lisa Perez</t>
  </si>
  <si>
    <t xml:space="preserve">WL-01773</t>
  </si>
  <si>
    <t xml:space="preserve">Kara Bartlett</t>
  </si>
  <si>
    <t xml:space="preserve">SCOTER SONG</t>
  </si>
  <si>
    <t xml:space="preserve">WL-01774</t>
  </si>
  <si>
    <t xml:space="preserve">Stanley Castaneda</t>
  </si>
  <si>
    <t xml:space="preserve">WL-01775</t>
  </si>
  <si>
    <t xml:space="preserve">Tyler Miller</t>
  </si>
  <si>
    <t xml:space="preserve">WL-01776</t>
  </si>
  <si>
    <t xml:space="preserve">Theresa Pena</t>
  </si>
  <si>
    <t xml:space="preserve">WL-01777</t>
  </si>
  <si>
    <t xml:space="preserve">Alicia Ruiz</t>
  </si>
  <si>
    <t xml:space="preserve">GRAY DANCER</t>
  </si>
  <si>
    <t xml:space="preserve">WL-01778</t>
  </si>
  <si>
    <t xml:space="preserve">Margaret Brown</t>
  </si>
  <si>
    <t xml:space="preserve">DRIFT GLIDE</t>
  </si>
  <si>
    <t xml:space="preserve">WL-01779</t>
  </si>
  <si>
    <t xml:space="preserve">Christy Burke</t>
  </si>
  <si>
    <t xml:space="preserve">WL-01780</t>
  </si>
  <si>
    <t xml:space="preserve">Matthew Murphy</t>
  </si>
  <si>
    <t xml:space="preserve">WL-01781</t>
  </si>
  <si>
    <t xml:space="preserve">Crystal Parrish</t>
  </si>
  <si>
    <t xml:space="preserve">WL-01782</t>
  </si>
  <si>
    <t xml:space="preserve">Ronald White</t>
  </si>
  <si>
    <t xml:space="preserve">WL-01783</t>
  </si>
  <si>
    <t xml:space="preserve">Gerald Montgomery</t>
  </si>
  <si>
    <t xml:space="preserve">WL-01784</t>
  </si>
  <si>
    <t xml:space="preserve">Gina Reyes</t>
  </si>
  <si>
    <t xml:space="preserve">WL-01785</t>
  </si>
  <si>
    <t xml:space="preserve">Kayla Henderson</t>
  </si>
  <si>
    <t xml:space="preserve">ANCHOR WEATHER</t>
  </si>
  <si>
    <t xml:space="preserve">WL-01786</t>
  </si>
  <si>
    <t xml:space="preserve">April Steele</t>
  </si>
  <si>
    <t xml:space="preserve">WL-01787</t>
  </si>
  <si>
    <t xml:space="preserve">Amber Miller</t>
  </si>
  <si>
    <t xml:space="preserve">WL-01788</t>
  </si>
  <si>
    <t xml:space="preserve">James Austin</t>
  </si>
  <si>
    <t xml:space="preserve">TIDE GLIDE</t>
  </si>
  <si>
    <t xml:space="preserve">WL-01789</t>
  </si>
  <si>
    <t xml:space="preserve">Darren Fox</t>
  </si>
  <si>
    <t xml:space="preserve">WL-01790</t>
  </si>
  <si>
    <t xml:space="preserve">Carlos Bush</t>
  </si>
  <si>
    <t xml:space="preserve">KESTREL ROCK</t>
  </si>
  <si>
    <t xml:space="preserve">WL-01791</t>
  </si>
  <si>
    <t xml:space="preserve">Amy Hobbs</t>
  </si>
  <si>
    <t xml:space="preserve">PETREL DANCER</t>
  </si>
  <si>
    <t xml:space="preserve">WL-01792</t>
  </si>
  <si>
    <t xml:space="preserve">Cody Baker</t>
  </si>
  <si>
    <t xml:space="preserve">WL-01793</t>
  </si>
  <si>
    <t xml:space="preserve">Jasmine Buchanan</t>
  </si>
  <si>
    <t xml:space="preserve">WL-01794</t>
  </si>
  <si>
    <t xml:space="preserve">Holly Thomas</t>
  </si>
  <si>
    <t xml:space="preserve">WL-01795</t>
  </si>
  <si>
    <t xml:space="preserve">Emily Alexander</t>
  </si>
  <si>
    <t xml:space="preserve">WL-01796</t>
  </si>
  <si>
    <t xml:space="preserve">Michael Phillips</t>
  </si>
  <si>
    <t xml:space="preserve">WL-01797</t>
  </si>
  <si>
    <t xml:space="preserve">Karl Pham</t>
  </si>
  <si>
    <t xml:space="preserve">WL-01798</t>
  </si>
  <si>
    <t xml:space="preserve">Thomas Kelley</t>
  </si>
  <si>
    <t xml:space="preserve">WL-01799</t>
  </si>
  <si>
    <t xml:space="preserve">Robert Johnson</t>
  </si>
  <si>
    <t xml:space="preserve">WL-01800</t>
  </si>
  <si>
    <t xml:space="preserve">Nancy Lopez</t>
  </si>
  <si>
    <t xml:space="preserve">WL-01801</t>
  </si>
  <si>
    <t xml:space="preserve">Thomas Martinez</t>
  </si>
  <si>
    <t xml:space="preserve">HALIBUT QUEEN</t>
  </si>
  <si>
    <t xml:space="preserve">WL-01802</t>
  </si>
  <si>
    <t xml:space="preserve">Joseph Gamble</t>
  </si>
  <si>
    <t xml:space="preserve">FOUL CREST</t>
  </si>
  <si>
    <t xml:space="preserve">WL-01803</t>
  </si>
  <si>
    <t xml:space="preserve">Miranda Lozano</t>
  </si>
  <si>
    <t xml:space="preserve">SPINDRIFT REACH</t>
  </si>
  <si>
    <t xml:space="preserve">WL-01804</t>
  </si>
  <si>
    <t xml:space="preserve">Kimberly Norman</t>
  </si>
  <si>
    <t xml:space="preserve">WL-01805</t>
  </si>
  <si>
    <t xml:space="preserve">Robert Alvarez</t>
  </si>
  <si>
    <t xml:space="preserve">WL-01806</t>
  </si>
  <si>
    <t xml:space="preserve">Douglas Frazier</t>
  </si>
  <si>
    <t xml:space="preserve">WL-01807</t>
  </si>
  <si>
    <t xml:space="preserve">Kathleen Mcdonald</t>
  </si>
  <si>
    <t xml:space="preserve">WL-01808</t>
  </si>
  <si>
    <t xml:space="preserve">Jason Shepard</t>
  </si>
  <si>
    <t xml:space="preserve">WL-01809</t>
  </si>
  <si>
    <t xml:space="preserve">Tim Banks</t>
  </si>
  <si>
    <t xml:space="preserve">WL-01810</t>
  </si>
  <si>
    <t xml:space="preserve">Jennifer Bridges</t>
  </si>
  <si>
    <t xml:space="preserve">SANDERLING SOUND</t>
  </si>
  <si>
    <t xml:space="preserve">WL-01811</t>
  </si>
  <si>
    <t xml:space="preserve">Bradley Clark</t>
  </si>
  <si>
    <t xml:space="preserve">WL-01812</t>
  </si>
  <si>
    <t xml:space="preserve">Tina Evans</t>
  </si>
  <si>
    <t xml:space="preserve">WL-01813</t>
  </si>
  <si>
    <t xml:space="preserve">Jessica Williams</t>
  </si>
  <si>
    <t xml:space="preserve">SPINDRIFT AHRBOR</t>
  </si>
  <si>
    <t xml:space="preserve">WL-01814</t>
  </si>
  <si>
    <t xml:space="preserve">Lisa Jensen</t>
  </si>
  <si>
    <t xml:space="preserve">WL-01815</t>
  </si>
  <si>
    <t xml:space="preserve">Theresa Martinez</t>
  </si>
  <si>
    <t xml:space="preserve">WL-01816</t>
  </si>
  <si>
    <t xml:space="preserve">Jeanne Bennett</t>
  </si>
  <si>
    <t xml:space="preserve">WL-01817</t>
  </si>
  <si>
    <t xml:space="preserve">Holly Taylor</t>
  </si>
  <si>
    <t xml:space="preserve">PINTAIL HARBOR</t>
  </si>
  <si>
    <t xml:space="preserve">WL-01818</t>
  </si>
  <si>
    <t xml:space="preserve">Natasha Higgins</t>
  </si>
  <si>
    <t xml:space="preserve">TIDE SOUND</t>
  </si>
  <si>
    <t xml:space="preserve">WL-01819</t>
  </si>
  <si>
    <t xml:space="preserve">Heather Giles</t>
  </si>
  <si>
    <t xml:space="preserve">WL-01820</t>
  </si>
  <si>
    <t xml:space="preserve">Andrew Petty</t>
  </si>
  <si>
    <t xml:space="preserve">WL-01821</t>
  </si>
  <si>
    <t xml:space="preserve">Dwayne Smith</t>
  </si>
  <si>
    <t xml:space="preserve">WL-01822</t>
  </si>
  <si>
    <t xml:space="preserve">Jessica Price</t>
  </si>
  <si>
    <t xml:space="preserve">WL-01823</t>
  </si>
  <si>
    <t xml:space="preserve">Amber Leonard</t>
  </si>
  <si>
    <t xml:space="preserve">WL-01824</t>
  </si>
  <si>
    <t xml:space="preserve">Robin Tucker</t>
  </si>
  <si>
    <t xml:space="preserve">WL-01825</t>
  </si>
  <si>
    <t xml:space="preserve">Charles Krause</t>
  </si>
  <si>
    <t xml:space="preserve">WL-01826</t>
  </si>
  <si>
    <t xml:space="preserve">Brianna Dennis</t>
  </si>
  <si>
    <t xml:space="preserve">WIDGEON CREST</t>
  </si>
  <si>
    <t xml:space="preserve">WL-01827</t>
  </si>
  <si>
    <t xml:space="preserve">Nicole Lee</t>
  </si>
  <si>
    <t xml:space="preserve">WL-01828</t>
  </si>
  <si>
    <t xml:space="preserve">Donald Adams</t>
  </si>
  <si>
    <t xml:space="preserve">WL-01829</t>
  </si>
  <si>
    <t xml:space="preserve">Bradley Franklin</t>
  </si>
  <si>
    <t xml:space="preserve">BRANT SONG</t>
  </si>
  <si>
    <t xml:space="preserve">WL-01830</t>
  </si>
  <si>
    <t xml:space="preserve">Robert Patel</t>
  </si>
  <si>
    <t xml:space="preserve">WL-01831</t>
  </si>
  <si>
    <t xml:space="preserve">Angela Andersen</t>
  </si>
  <si>
    <t xml:space="preserve">WL-01832</t>
  </si>
  <si>
    <t xml:space="preserve">Bryan Spencer</t>
  </si>
  <si>
    <t xml:space="preserve">WL-01833</t>
  </si>
  <si>
    <t xml:space="preserve">Becky Michael</t>
  </si>
  <si>
    <t xml:space="preserve">WL-01834</t>
  </si>
  <si>
    <t xml:space="preserve">Kevin Baker</t>
  </si>
  <si>
    <t xml:space="preserve">WL-01835</t>
  </si>
  <si>
    <t xml:space="preserve">Carla Montgomery</t>
  </si>
  <si>
    <t xml:space="preserve">WL-01836</t>
  </si>
  <si>
    <t xml:space="preserve">Kevin Davenport</t>
  </si>
  <si>
    <t xml:space="preserve">SANDERLING VEER</t>
  </si>
  <si>
    <t xml:space="preserve">WL-01837</t>
  </si>
  <si>
    <t xml:space="preserve">Brad Bradford</t>
  </si>
  <si>
    <t xml:space="preserve">WL-01838</t>
  </si>
  <si>
    <t xml:space="preserve">James Gregory</t>
  </si>
  <si>
    <t xml:space="preserve">WL-01839</t>
  </si>
  <si>
    <t xml:space="preserve">Darrell Clark</t>
  </si>
  <si>
    <t xml:space="preserve">WIDGEON QUEEN</t>
  </si>
  <si>
    <t xml:space="preserve">WL-01840</t>
  </si>
  <si>
    <t xml:space="preserve">Candace Ward</t>
  </si>
  <si>
    <t xml:space="preserve">WL-01841</t>
  </si>
  <si>
    <t xml:space="preserve">Arthur Jones</t>
  </si>
  <si>
    <t xml:space="preserve">PONIT HARBOR</t>
  </si>
  <si>
    <t xml:space="preserve">WL-01842</t>
  </si>
  <si>
    <t xml:space="preserve">Amy Thomas</t>
  </si>
  <si>
    <t xml:space="preserve">WL-01843</t>
  </si>
  <si>
    <t xml:space="preserve">Donna Kim</t>
  </si>
  <si>
    <t xml:space="preserve">ANCHOR WIND</t>
  </si>
  <si>
    <t xml:space="preserve">WL-01844</t>
  </si>
  <si>
    <t xml:space="preserve">Jeffrey Pearson</t>
  </si>
  <si>
    <t xml:space="preserve">WL-01845</t>
  </si>
  <si>
    <t xml:space="preserve">Brianna Bush</t>
  </si>
  <si>
    <t xml:space="preserve">WL-01846</t>
  </si>
  <si>
    <t xml:space="preserve">John Pratt</t>
  </si>
  <si>
    <t xml:space="preserve">WL-01847</t>
  </si>
  <si>
    <t xml:space="preserve">Amy Carlson</t>
  </si>
  <si>
    <t xml:space="preserve">WL-01848</t>
  </si>
  <si>
    <t xml:space="preserve">Casey Mckinney</t>
  </si>
  <si>
    <t xml:space="preserve">WL-01849</t>
  </si>
  <si>
    <t xml:space="preserve">Angela Hebert</t>
  </si>
  <si>
    <t xml:space="preserve">WL-01850</t>
  </si>
  <si>
    <t xml:space="preserve">Bryce Benjamin</t>
  </si>
  <si>
    <t xml:space="preserve">WL-01851</t>
  </si>
  <si>
    <t xml:space="preserve">Kevin Kelly</t>
  </si>
  <si>
    <t xml:space="preserve">WL-01852</t>
  </si>
  <si>
    <t xml:space="preserve">Ross Erickson</t>
  </si>
  <si>
    <t xml:space="preserve">WL-01853</t>
  </si>
  <si>
    <t xml:space="preserve">Michael Peterson</t>
  </si>
  <si>
    <t xml:space="preserve">WL-01854</t>
  </si>
  <si>
    <t xml:space="preserve">Vincent Simon</t>
  </si>
  <si>
    <t xml:space="preserve">WL-01855</t>
  </si>
  <si>
    <t xml:space="preserve">Maria Wright</t>
  </si>
  <si>
    <t xml:space="preserve">WL-01856</t>
  </si>
  <si>
    <t xml:space="preserve">Chad Gates</t>
  </si>
  <si>
    <t xml:space="preserve">MURRE ANN</t>
  </si>
  <si>
    <t xml:space="preserve">WL-01857</t>
  </si>
  <si>
    <t xml:space="preserve">Anthony Morales</t>
  </si>
  <si>
    <t xml:space="preserve">WL-01858</t>
  </si>
  <si>
    <t xml:space="preserve">Sara Joyce</t>
  </si>
  <si>
    <t xml:space="preserve">WL-01859</t>
  </si>
  <si>
    <t xml:space="preserve">Patricia Delgado</t>
  </si>
  <si>
    <t xml:space="preserve">WL-01860</t>
  </si>
  <si>
    <t xml:space="preserve">Justin Brown</t>
  </si>
  <si>
    <t xml:space="preserve">WL-01861</t>
  </si>
  <si>
    <t xml:space="preserve">Ivan Wright</t>
  </si>
  <si>
    <t xml:space="preserve">WL-01862</t>
  </si>
  <si>
    <t xml:space="preserve">Joseph Miller</t>
  </si>
  <si>
    <t xml:space="preserve">WL-01863</t>
  </si>
  <si>
    <t xml:space="preserve">Ruth Jennings</t>
  </si>
  <si>
    <t xml:space="preserve">WL-01864</t>
  </si>
  <si>
    <t xml:space="preserve">Eric Weber</t>
  </si>
  <si>
    <t xml:space="preserve">WL-01865</t>
  </si>
  <si>
    <t xml:space="preserve">Aaron Barton</t>
  </si>
  <si>
    <t xml:space="preserve">WL-01866</t>
  </si>
  <si>
    <t xml:space="preserve">Joshua James</t>
  </si>
  <si>
    <t xml:space="preserve">WL-01867</t>
  </si>
  <si>
    <t xml:space="preserve">Andrea Evans</t>
  </si>
  <si>
    <t xml:space="preserve">WL-01868</t>
  </si>
  <si>
    <t xml:space="preserve">James Franklin</t>
  </si>
  <si>
    <t xml:space="preserve">WL-01869</t>
  </si>
  <si>
    <t xml:space="preserve">Steve Lopez</t>
  </si>
  <si>
    <t xml:space="preserve">WL-01870</t>
  </si>
  <si>
    <t xml:space="preserve">Whitney Miller</t>
  </si>
  <si>
    <t xml:space="preserve">WL-01871</t>
  </si>
  <si>
    <t xml:space="preserve">Amber Munoz</t>
  </si>
  <si>
    <t xml:space="preserve">WL-01872</t>
  </si>
  <si>
    <t xml:space="preserve">Neil Adkins</t>
  </si>
  <si>
    <t xml:space="preserve">WL-01873</t>
  </si>
  <si>
    <t xml:space="preserve">Michele Woods</t>
  </si>
  <si>
    <t xml:space="preserve">WL-01874</t>
  </si>
  <si>
    <t xml:space="preserve">Glenda Williams</t>
  </si>
  <si>
    <t xml:space="preserve">WL-01875</t>
  </si>
  <si>
    <t xml:space="preserve">Steven Harris</t>
  </si>
  <si>
    <t xml:space="preserve">WL-01876</t>
  </si>
  <si>
    <t xml:space="preserve">Megan Guzman</t>
  </si>
  <si>
    <t xml:space="preserve">WL-01877</t>
  </si>
  <si>
    <t xml:space="preserve">Michael Ingram</t>
  </si>
  <si>
    <t xml:space="preserve">POINT REACH</t>
  </si>
  <si>
    <t xml:space="preserve">WL-01878</t>
  </si>
  <si>
    <t xml:space="preserve">Jennifer Phillips</t>
  </si>
  <si>
    <t xml:space="preserve">WL-01879</t>
  </si>
  <si>
    <t xml:space="preserve">Crystal English</t>
  </si>
  <si>
    <t xml:space="preserve">SEAL QUEEN</t>
  </si>
  <si>
    <t xml:space="preserve">WL-01880</t>
  </si>
  <si>
    <t xml:space="preserve">Walter Torres</t>
  </si>
  <si>
    <t xml:space="preserve">WL-01881</t>
  </si>
  <si>
    <t xml:space="preserve">William Bennett</t>
  </si>
  <si>
    <t xml:space="preserve">WL-01882</t>
  </si>
  <si>
    <t xml:space="preserve">Dennis Shepard</t>
  </si>
  <si>
    <t xml:space="preserve">WL-01883</t>
  </si>
  <si>
    <t xml:space="preserve">Joseph Chavez</t>
  </si>
  <si>
    <t xml:space="preserve">WL-01884</t>
  </si>
  <si>
    <t xml:space="preserve">Rebecca Price</t>
  </si>
  <si>
    <t xml:space="preserve">TIDE HRABOR</t>
  </si>
  <si>
    <t xml:space="preserve">WL-01885</t>
  </si>
  <si>
    <t xml:space="preserve">Ricky Frazier</t>
  </si>
  <si>
    <t xml:space="preserve">SANDERLING QUEEN</t>
  </si>
  <si>
    <t xml:space="preserve">WL-01886</t>
  </si>
  <si>
    <t xml:space="preserve">Kenneth Riley</t>
  </si>
  <si>
    <t xml:space="preserve">WIDGEON HARBOR</t>
  </si>
  <si>
    <t xml:space="preserve">WL-01887</t>
  </si>
  <si>
    <t xml:space="preserve">David Moss</t>
  </si>
  <si>
    <t xml:space="preserve">WL-01888</t>
  </si>
  <si>
    <t xml:space="preserve">David Chapman</t>
  </si>
  <si>
    <t xml:space="preserve">HERON SOUND</t>
  </si>
  <si>
    <t xml:space="preserve">WL-01889</t>
  </si>
  <si>
    <t xml:space="preserve">Haley Scott</t>
  </si>
  <si>
    <t xml:space="preserve">WL-01890</t>
  </si>
  <si>
    <t xml:space="preserve">Melissa Graves</t>
  </si>
  <si>
    <t xml:space="preserve">WL-01891</t>
  </si>
  <si>
    <t xml:space="preserve">Lee Ritter</t>
  </si>
  <si>
    <t xml:space="preserve">WL-01892</t>
  </si>
  <si>
    <t xml:space="preserve">Rebecca Perry</t>
  </si>
  <si>
    <t xml:space="preserve">WL-01893</t>
  </si>
  <si>
    <t xml:space="preserve">Laura Beesley</t>
  </si>
  <si>
    <t xml:space="preserve">MARBLE WING</t>
  </si>
  <si>
    <t xml:space="preserve">WL-01894</t>
  </si>
  <si>
    <t xml:space="preserve">Linda Taylor</t>
  </si>
  <si>
    <t xml:space="preserve">WL-01895</t>
  </si>
  <si>
    <t xml:space="preserve">Lisa Brown</t>
  </si>
  <si>
    <t xml:space="preserve">WL-01896</t>
  </si>
  <si>
    <t xml:space="preserve">Meredith Williams</t>
  </si>
  <si>
    <t xml:space="preserve">WL-01897</t>
  </si>
  <si>
    <t xml:space="preserve">Raymond Davis</t>
  </si>
  <si>
    <t xml:space="preserve">WL-01898</t>
  </si>
  <si>
    <t xml:space="preserve">Melinda Wilson</t>
  </si>
  <si>
    <t xml:space="preserve">WL-01899</t>
  </si>
  <si>
    <t xml:space="preserve">Emily Salas</t>
  </si>
  <si>
    <t xml:space="preserve">WL-01900</t>
  </si>
  <si>
    <t xml:space="preserve">Nancy Guerrero</t>
  </si>
  <si>
    <t xml:space="preserve">SPINDRIFT BAY</t>
  </si>
  <si>
    <t xml:space="preserve">WL-01901</t>
  </si>
  <si>
    <t xml:space="preserve">Karen Johnson</t>
  </si>
  <si>
    <t xml:space="preserve">COHO ANN</t>
  </si>
  <si>
    <t xml:space="preserve">WL-01902</t>
  </si>
  <si>
    <t xml:space="preserve">Brendan Rios</t>
  </si>
  <si>
    <t xml:space="preserve">WL-01903</t>
  </si>
  <si>
    <t xml:space="preserve">Andrea Brady</t>
  </si>
  <si>
    <t xml:space="preserve">WL-01904</t>
  </si>
  <si>
    <t xml:space="preserve">Alexander Wong</t>
  </si>
  <si>
    <t xml:space="preserve">WL-01905</t>
  </si>
  <si>
    <t xml:space="preserve">William Rogers</t>
  </si>
  <si>
    <t xml:space="preserve">WL-01906</t>
  </si>
  <si>
    <t xml:space="preserve">Jessica Flores</t>
  </si>
  <si>
    <t xml:space="preserve">WL-01907</t>
  </si>
  <si>
    <t xml:space="preserve">John Rodriguez</t>
  </si>
  <si>
    <t xml:space="preserve">WL-01908</t>
  </si>
  <si>
    <t xml:space="preserve">Jasmine Jensen</t>
  </si>
  <si>
    <t xml:space="preserve">WL-01909</t>
  </si>
  <si>
    <t xml:space="preserve">Natalie Black</t>
  </si>
  <si>
    <t xml:space="preserve">WL-01910</t>
  </si>
  <si>
    <t xml:space="preserve">Charles Gates</t>
  </si>
  <si>
    <t xml:space="preserve">WL-01911</t>
  </si>
  <si>
    <t xml:space="preserve">Laurie Murphy</t>
  </si>
  <si>
    <t xml:space="preserve">WL-01912</t>
  </si>
  <si>
    <t xml:space="preserve">James Gibbs</t>
  </si>
  <si>
    <t xml:space="preserve">WL-01913</t>
  </si>
  <si>
    <t xml:space="preserve">Nicole Thompson</t>
  </si>
  <si>
    <t xml:space="preserve">WL-01914</t>
  </si>
  <si>
    <t xml:space="preserve">Danny Flores</t>
  </si>
  <si>
    <t xml:space="preserve">WL-01915</t>
  </si>
  <si>
    <t xml:space="preserve">Sara Fox</t>
  </si>
  <si>
    <t xml:space="preserve">WL-01916</t>
  </si>
  <si>
    <t xml:space="preserve">Denise Gutierrez</t>
  </si>
  <si>
    <t xml:space="preserve">WL-01917</t>
  </si>
  <si>
    <t xml:space="preserve">Matthew May</t>
  </si>
  <si>
    <t xml:space="preserve">WL-01918</t>
  </si>
  <si>
    <t xml:space="preserve">Brittany Barrett</t>
  </si>
  <si>
    <t xml:space="preserve">WL-01919</t>
  </si>
  <si>
    <t xml:space="preserve">Glenda Perkins</t>
  </si>
  <si>
    <t xml:space="preserve">WL-01920</t>
  </si>
  <si>
    <t xml:space="preserve">Harold Wise</t>
  </si>
  <si>
    <t xml:space="preserve">WL-01921</t>
  </si>
  <si>
    <t xml:space="preserve">Darren Burnett</t>
  </si>
  <si>
    <t xml:space="preserve">WL-01922</t>
  </si>
  <si>
    <t xml:space="preserve">Jodi Holland</t>
  </si>
  <si>
    <t xml:space="preserve">WL-01923</t>
  </si>
  <si>
    <t xml:space="preserve">April Williams</t>
  </si>
  <si>
    <t xml:space="preserve">GRAY ROSE</t>
  </si>
  <si>
    <t xml:space="preserve">WL-01924</t>
  </si>
  <si>
    <t xml:space="preserve">Angela Alexander</t>
  </si>
  <si>
    <t xml:space="preserve">WL-01925</t>
  </si>
  <si>
    <t xml:space="preserve">Nicholas Brown</t>
  </si>
  <si>
    <t xml:space="preserve">WL-01926</t>
  </si>
  <si>
    <t xml:space="preserve">Linda Mills</t>
  </si>
  <si>
    <t xml:space="preserve">WL-01927</t>
  </si>
  <si>
    <t xml:space="preserve">Mark Mclaughlin</t>
  </si>
  <si>
    <t xml:space="preserve">WL-01928</t>
  </si>
  <si>
    <t xml:space="preserve">Stephanie Yates</t>
  </si>
  <si>
    <t xml:space="preserve">WL-01929</t>
  </si>
  <si>
    <t xml:space="preserve">Margaret Mcbride</t>
  </si>
  <si>
    <t xml:space="preserve">WL-01930</t>
  </si>
  <si>
    <t xml:space="preserve">Austin Woods</t>
  </si>
  <si>
    <t xml:space="preserve">WL-01931</t>
  </si>
  <si>
    <t xml:space="preserve">Cassandra Logan</t>
  </si>
  <si>
    <t xml:space="preserve">SCOTER LIGHT</t>
  </si>
  <si>
    <t xml:space="preserve">WL-01932</t>
  </si>
  <si>
    <t xml:space="preserve">Clayton Williams</t>
  </si>
  <si>
    <t xml:space="preserve">WL-01933</t>
  </si>
  <si>
    <t xml:space="preserve">John Rocha</t>
  </si>
  <si>
    <t xml:space="preserve">WL-01934</t>
  </si>
  <si>
    <t xml:space="preserve">Jonathan Cooke</t>
  </si>
  <si>
    <t xml:space="preserve">PETREL ANN</t>
  </si>
  <si>
    <t xml:space="preserve">WL-01935</t>
  </si>
  <si>
    <t xml:space="preserve">Jacqueline Jones</t>
  </si>
  <si>
    <t xml:space="preserve">WL-01936</t>
  </si>
  <si>
    <t xml:space="preserve">Deanna Livingston</t>
  </si>
  <si>
    <t xml:space="preserve">WL-01937</t>
  </si>
  <si>
    <t xml:space="preserve">Debbie Brady</t>
  </si>
  <si>
    <t xml:space="preserve">WL-01938</t>
  </si>
  <si>
    <t xml:space="preserve">Ian Webb</t>
  </si>
  <si>
    <t xml:space="preserve">WL-01939</t>
  </si>
  <si>
    <t xml:space="preserve">Kelly Baird</t>
  </si>
  <si>
    <t xml:space="preserve">FOUL MOON</t>
  </si>
  <si>
    <t xml:space="preserve">WL-01940</t>
  </si>
  <si>
    <t xml:space="preserve">Kelly Howell</t>
  </si>
  <si>
    <t xml:space="preserve">PINTAIL MIST</t>
  </si>
  <si>
    <t xml:space="preserve">WL-01941</t>
  </si>
  <si>
    <t xml:space="preserve">Rebecca Barnes</t>
  </si>
  <si>
    <t xml:space="preserve">WIDGEON OSUND</t>
  </si>
  <si>
    <t xml:space="preserve">WL-01942</t>
  </si>
  <si>
    <t xml:space="preserve">Beth Powell</t>
  </si>
  <si>
    <t xml:space="preserve">HERON DANCER</t>
  </si>
  <si>
    <t xml:space="preserve">WL-01943</t>
  </si>
  <si>
    <t xml:space="preserve">Michael Berg</t>
  </si>
  <si>
    <t xml:space="preserve">WL-01944</t>
  </si>
  <si>
    <t xml:space="preserve">Tina Wells</t>
  </si>
  <si>
    <t xml:space="preserve">WL-01945</t>
  </si>
  <si>
    <t xml:space="preserve">Jacob Bonilla</t>
  </si>
  <si>
    <t xml:space="preserve">WL-01946</t>
  </si>
  <si>
    <t xml:space="preserve">David Sweeney</t>
  </si>
  <si>
    <t xml:space="preserve">WL-01947</t>
  </si>
  <si>
    <t xml:space="preserve">Teresa Mcdowell</t>
  </si>
  <si>
    <t xml:space="preserve">WL-01948</t>
  </si>
  <si>
    <t xml:space="preserve">Michael Taylor</t>
  </si>
  <si>
    <t xml:space="preserve">WL-01949</t>
  </si>
  <si>
    <t xml:space="preserve">Troy Parks</t>
  </si>
  <si>
    <t xml:space="preserve">WL-01950</t>
  </si>
  <si>
    <t xml:space="preserve">Mathew Trujillo</t>
  </si>
  <si>
    <t xml:space="preserve">WL-01951</t>
  </si>
  <si>
    <t xml:space="preserve">Danielle Prince</t>
  </si>
  <si>
    <t xml:space="preserve">WL-01952</t>
  </si>
  <si>
    <t xml:space="preserve">Amanda Harper</t>
  </si>
  <si>
    <t xml:space="preserve">DRIFT SHORE</t>
  </si>
  <si>
    <t xml:space="preserve">WL-01953</t>
  </si>
  <si>
    <t xml:space="preserve">Derek Wright</t>
  </si>
  <si>
    <t xml:space="preserve">WL-01954</t>
  </si>
  <si>
    <t xml:space="preserve">Richard Smith</t>
  </si>
  <si>
    <t xml:space="preserve">WL-01955</t>
  </si>
  <si>
    <t xml:space="preserve">Nicole Davis</t>
  </si>
  <si>
    <t xml:space="preserve">WL-01956</t>
  </si>
  <si>
    <t xml:space="preserve">Cheryl Lutz</t>
  </si>
  <si>
    <t xml:space="preserve">SEAL WIND</t>
  </si>
  <si>
    <t xml:space="preserve">WL-01957</t>
  </si>
  <si>
    <t xml:space="preserve">Louis Powell</t>
  </si>
  <si>
    <t xml:space="preserve">WL-01958</t>
  </si>
  <si>
    <t xml:space="preserve">Catherine Stevens</t>
  </si>
  <si>
    <t xml:space="preserve">WL-01959</t>
  </si>
  <si>
    <t xml:space="preserve">Jonathan Moore</t>
  </si>
  <si>
    <t xml:space="preserve">WL-01960</t>
  </si>
  <si>
    <t xml:space="preserve">Sean Smith</t>
  </si>
  <si>
    <t xml:space="preserve">WL-01961</t>
  </si>
  <si>
    <t xml:space="preserve">Jeffrey Parker</t>
  </si>
  <si>
    <t xml:space="preserve">WL-01962</t>
  </si>
  <si>
    <t xml:space="preserve">Natalie Tyler</t>
  </si>
  <si>
    <t xml:space="preserve">HALIBUT PASSAGE</t>
  </si>
  <si>
    <t xml:space="preserve">WL-01963</t>
  </si>
  <si>
    <t xml:space="preserve">Erik Beck</t>
  </si>
  <si>
    <t xml:space="preserve">WL-01964</t>
  </si>
  <si>
    <t xml:space="preserve">Ryan Richardson</t>
  </si>
  <si>
    <t xml:space="preserve">PINTAIL SONG</t>
  </si>
  <si>
    <t xml:space="preserve">WL-01965</t>
  </si>
  <si>
    <t xml:space="preserve">Tyler Williams</t>
  </si>
  <si>
    <t xml:space="preserve">SANDERLING DANCER</t>
  </si>
  <si>
    <t xml:space="preserve">WL-01966</t>
  </si>
  <si>
    <t xml:space="preserve">Amanda Cardenas</t>
  </si>
  <si>
    <t xml:space="preserve">WL-01967</t>
  </si>
  <si>
    <t xml:space="preserve">April Cameron</t>
  </si>
  <si>
    <t xml:space="preserve">WL-01968</t>
  </si>
  <si>
    <t xml:space="preserve">Cheryl Lewis</t>
  </si>
  <si>
    <t xml:space="preserve">WL-01969</t>
  </si>
  <si>
    <t xml:space="preserve">Scott Byrd</t>
  </si>
  <si>
    <t xml:space="preserve">FOUL REACH</t>
  </si>
  <si>
    <t xml:space="preserve">WL-01970</t>
  </si>
  <si>
    <t xml:space="preserve">Andres Stewart</t>
  </si>
  <si>
    <t xml:space="preserve">WL-01971</t>
  </si>
  <si>
    <t xml:space="preserve">Paul Smith</t>
  </si>
  <si>
    <t xml:space="preserve">WL-01972</t>
  </si>
  <si>
    <t xml:space="preserve">Robyn Torres</t>
  </si>
  <si>
    <t xml:space="preserve">WL-01973</t>
  </si>
  <si>
    <t xml:space="preserve">Michael Payne</t>
  </si>
  <si>
    <t xml:space="preserve">WL-01974</t>
  </si>
  <si>
    <t xml:space="preserve">Paula Arroyo</t>
  </si>
  <si>
    <t xml:space="preserve">OTTER SOUND</t>
  </si>
  <si>
    <t xml:space="preserve">WL-01975</t>
  </si>
  <si>
    <t xml:space="preserve">Susan Wilson</t>
  </si>
  <si>
    <t xml:space="preserve">WL-01976</t>
  </si>
  <si>
    <t xml:space="preserve">Tanya Martin</t>
  </si>
  <si>
    <t xml:space="preserve">WL-01977</t>
  </si>
  <si>
    <t xml:space="preserve">Adam Warner</t>
  </si>
  <si>
    <t xml:space="preserve">WL-01978</t>
  </si>
  <si>
    <t xml:space="preserve">Patricia Frazier</t>
  </si>
  <si>
    <t xml:space="preserve">ANCHOR ANN</t>
  </si>
  <si>
    <t xml:space="preserve">WL-01979</t>
  </si>
  <si>
    <t xml:space="preserve">Kimberly Mccarthy</t>
  </si>
  <si>
    <t xml:space="preserve">SANDERLING SHORE</t>
  </si>
  <si>
    <t xml:space="preserve">WL-01980</t>
  </si>
  <si>
    <t xml:space="preserve">Jacob Powell</t>
  </si>
  <si>
    <t xml:space="preserve">WL-01981</t>
  </si>
  <si>
    <t xml:space="preserve">Kathleen Walker</t>
  </si>
  <si>
    <t xml:space="preserve">WL-01982</t>
  </si>
  <si>
    <t xml:space="preserve">Jeffrey Harrison</t>
  </si>
  <si>
    <t xml:space="preserve">WL-01983</t>
  </si>
  <si>
    <t xml:space="preserve">Thomas Carroll</t>
  </si>
  <si>
    <t xml:space="preserve">WL-01984</t>
  </si>
  <si>
    <t xml:space="preserve">Vanessa Jackson</t>
  </si>
  <si>
    <t xml:space="preserve">WL-01985</t>
  </si>
  <si>
    <t xml:space="preserve">Rita Stewart</t>
  </si>
  <si>
    <t xml:space="preserve">WL-01986</t>
  </si>
  <si>
    <t xml:space="preserve">Leah Blake</t>
  </si>
  <si>
    <t xml:space="preserve">HALIBUT CREST</t>
  </si>
  <si>
    <t xml:space="preserve">WL-01987</t>
  </si>
  <si>
    <t xml:space="preserve">Samuel Gonzalez</t>
  </si>
  <si>
    <t xml:space="preserve">WL-01988</t>
  </si>
  <si>
    <t xml:space="preserve">Brian Robertson</t>
  </si>
  <si>
    <t xml:space="preserve">WL-01989</t>
  </si>
  <si>
    <t xml:space="preserve">Tricia Bean</t>
  </si>
  <si>
    <t xml:space="preserve">WL-01990</t>
  </si>
  <si>
    <t xml:space="preserve">WL-01991</t>
  </si>
  <si>
    <t xml:space="preserve">Margaret Farley</t>
  </si>
  <si>
    <t xml:space="preserve">POINT PASSAGE</t>
  </si>
  <si>
    <t xml:space="preserve">WL-01992</t>
  </si>
  <si>
    <t xml:space="preserve">John Davis</t>
  </si>
  <si>
    <t xml:space="preserve">WL-01993</t>
  </si>
  <si>
    <t xml:space="preserve">Nichole Hudson</t>
  </si>
  <si>
    <t xml:space="preserve">FOUL LIGHT</t>
  </si>
  <si>
    <t xml:space="preserve">WL-01994</t>
  </si>
  <si>
    <t xml:space="preserve">Natalie Williams</t>
  </si>
  <si>
    <t xml:space="preserve">TIDE LIGHT</t>
  </si>
  <si>
    <t xml:space="preserve">WL-01995</t>
  </si>
  <si>
    <t xml:space="preserve">Tiffany Russell</t>
  </si>
  <si>
    <t xml:space="preserve">WL-01996</t>
  </si>
  <si>
    <t xml:space="preserve">Mike Skinner</t>
  </si>
  <si>
    <t xml:space="preserve">WL-01997</t>
  </si>
  <si>
    <t xml:space="preserve">Laura Avila</t>
  </si>
  <si>
    <t xml:space="preserve">WL-01998</t>
  </si>
  <si>
    <t xml:space="preserve">Katherine Johnson</t>
  </si>
  <si>
    <t xml:space="preserve">WL-01999</t>
  </si>
  <si>
    <t xml:space="preserve">Kristen Williams</t>
  </si>
  <si>
    <t xml:space="preserve">WL-02000</t>
  </si>
  <si>
    <t xml:space="preserve">Erika Cruz</t>
  </si>
  <si>
    <t xml:space="preserve">WL-02001</t>
  </si>
  <si>
    <t xml:space="preserve">Ashley Richard</t>
  </si>
  <si>
    <t xml:space="preserve">SANDERLING WIND</t>
  </si>
  <si>
    <t xml:space="preserve">WL-02002</t>
  </si>
  <si>
    <t xml:space="preserve">Andrew Turner</t>
  </si>
  <si>
    <t xml:space="preserve">WL-02003</t>
  </si>
  <si>
    <t xml:space="preserve">Suzanne Frank</t>
  </si>
  <si>
    <t xml:space="preserve">WL-02004</t>
  </si>
  <si>
    <t xml:space="preserve">Shelia Gibbs</t>
  </si>
  <si>
    <t xml:space="preserve">SEAL REACH</t>
  </si>
  <si>
    <t xml:space="preserve">WL-02005</t>
  </si>
  <si>
    <t xml:space="preserve">Caitlin Howard</t>
  </si>
  <si>
    <t xml:space="preserve">WIDGEON DANCER</t>
  </si>
  <si>
    <t xml:space="preserve">WL-02006</t>
  </si>
  <si>
    <t xml:space="preserve">Sierra Freeman</t>
  </si>
  <si>
    <t xml:space="preserve">WIDGEON MOON</t>
  </si>
  <si>
    <t xml:space="preserve">WL-02007</t>
  </si>
  <si>
    <t xml:space="preserve">Brian Erickson</t>
  </si>
  <si>
    <t xml:space="preserve">WL-02008</t>
  </si>
  <si>
    <t xml:space="preserve">Karen Matthews</t>
  </si>
  <si>
    <t xml:space="preserve">WL-02009</t>
  </si>
  <si>
    <t xml:space="preserve">John May</t>
  </si>
  <si>
    <t xml:space="preserve">ANCHOR ROCK</t>
  </si>
  <si>
    <t xml:space="preserve">WL-02010</t>
  </si>
  <si>
    <t xml:space="preserve">Anthony Thompson</t>
  </si>
  <si>
    <t xml:space="preserve">WL-02011</t>
  </si>
  <si>
    <t xml:space="preserve">Megan Williams</t>
  </si>
  <si>
    <t xml:space="preserve">WL-02012</t>
  </si>
  <si>
    <t xml:space="preserve">Rebecca Foster</t>
  </si>
  <si>
    <t xml:space="preserve">WL-02013</t>
  </si>
  <si>
    <t xml:space="preserve">Elizabeth Harrison</t>
  </si>
  <si>
    <t xml:space="preserve">WL-02014</t>
  </si>
  <si>
    <t xml:space="preserve">Ronald Nash</t>
  </si>
  <si>
    <t xml:space="preserve">WL-02015</t>
  </si>
  <si>
    <t xml:space="preserve">Kenneth Frazier</t>
  </si>
  <si>
    <t xml:space="preserve">WL-02016</t>
  </si>
  <si>
    <t xml:space="preserve">Andrea Garza</t>
  </si>
  <si>
    <t xml:space="preserve">WL-02017</t>
  </si>
  <si>
    <t xml:space="preserve">Gary Horton</t>
  </si>
  <si>
    <t xml:space="preserve">WL-02018</t>
  </si>
  <si>
    <t xml:space="preserve">Jacob Kennedy</t>
  </si>
  <si>
    <t xml:space="preserve">WL-02019</t>
  </si>
  <si>
    <t xml:space="preserve">James Cox</t>
  </si>
  <si>
    <t xml:space="preserve">SANDERLING REACH</t>
  </si>
  <si>
    <t xml:space="preserve">WL-02020</t>
  </si>
  <si>
    <t xml:space="preserve">Jacqueline Daniels</t>
  </si>
  <si>
    <t xml:space="preserve">WL-02021</t>
  </si>
  <si>
    <t xml:space="preserve">Andrew Medina</t>
  </si>
  <si>
    <t xml:space="preserve">WL-02022</t>
  </si>
  <si>
    <t xml:space="preserve">Joann Castillo</t>
  </si>
  <si>
    <t xml:space="preserve">WL-02023</t>
  </si>
  <si>
    <t xml:space="preserve">David Black</t>
  </si>
  <si>
    <t xml:space="preserve">WL-02024</t>
  </si>
  <si>
    <t xml:space="preserve">Mary Mata</t>
  </si>
  <si>
    <t xml:space="preserve">SEAL RUNNER</t>
  </si>
  <si>
    <t xml:space="preserve">WL-02025</t>
  </si>
  <si>
    <t xml:space="preserve">Haley Johnson</t>
  </si>
  <si>
    <t xml:space="preserve">WL-02026</t>
  </si>
  <si>
    <t xml:space="preserve">Miranda Foster</t>
  </si>
  <si>
    <t xml:space="preserve">WL-02027</t>
  </si>
  <si>
    <t xml:space="preserve">Monica Hammond</t>
  </si>
  <si>
    <t xml:space="preserve">WL-02028</t>
  </si>
  <si>
    <t xml:space="preserve">Stephanie Shepard</t>
  </si>
  <si>
    <t xml:space="preserve">WL-02029</t>
  </si>
  <si>
    <t xml:space="preserve">Whitney Jackson</t>
  </si>
  <si>
    <t xml:space="preserve">WL-02030</t>
  </si>
  <si>
    <t xml:space="preserve">Adam Carr</t>
  </si>
  <si>
    <t xml:space="preserve">WL-02031</t>
  </si>
  <si>
    <t xml:space="preserve">Joseph Bishop</t>
  </si>
  <si>
    <t xml:space="preserve">WL-02032</t>
  </si>
  <si>
    <t xml:space="preserve">Kenneth Perez</t>
  </si>
  <si>
    <t xml:space="preserve">WL-02033</t>
  </si>
  <si>
    <t xml:space="preserve">Daniel Rogers</t>
  </si>
  <si>
    <t xml:space="preserve">WL-02034</t>
  </si>
  <si>
    <t xml:space="preserve">Donna Watson</t>
  </si>
  <si>
    <t xml:space="preserve">WL-02035</t>
  </si>
  <si>
    <t xml:space="preserve">Deborah Howe</t>
  </si>
  <si>
    <t xml:space="preserve">WL-02036</t>
  </si>
  <si>
    <t xml:space="preserve">Susan Miller</t>
  </si>
  <si>
    <t xml:space="preserve">BRANT GLIDE</t>
  </si>
  <si>
    <t xml:space="preserve">WL-02037</t>
  </si>
  <si>
    <t xml:space="preserve">Michael Hodges</t>
  </si>
  <si>
    <t xml:space="preserve">CORMORANT HARBOR</t>
  </si>
  <si>
    <t xml:space="preserve">WL-02038</t>
  </si>
  <si>
    <t xml:space="preserve">Patricia Thomas</t>
  </si>
  <si>
    <t xml:space="preserve">WL-02039</t>
  </si>
  <si>
    <t xml:space="preserve">Alex Burke</t>
  </si>
  <si>
    <t xml:space="preserve">WL-02040</t>
  </si>
  <si>
    <t xml:space="preserve">Erik Drake</t>
  </si>
  <si>
    <t xml:space="preserve">POINT QUEEN</t>
  </si>
  <si>
    <t xml:space="preserve">WL-02041</t>
  </si>
  <si>
    <t xml:space="preserve">Barbara Brown</t>
  </si>
  <si>
    <t xml:space="preserve">WL-02042</t>
  </si>
  <si>
    <t xml:space="preserve">Timothy Rhodes</t>
  </si>
  <si>
    <t xml:space="preserve">SABLE BAY</t>
  </si>
  <si>
    <t xml:space="preserve">WL-02043</t>
  </si>
  <si>
    <t xml:space="preserve">Barbara Gutierrez</t>
  </si>
  <si>
    <t xml:space="preserve">HEORN WAKE</t>
  </si>
  <si>
    <t xml:space="preserve">WL-02044</t>
  </si>
  <si>
    <t xml:space="preserve">Brandon Griffith</t>
  </si>
  <si>
    <t xml:space="preserve">MURRE CREST</t>
  </si>
  <si>
    <t xml:space="preserve">WL-02045</t>
  </si>
  <si>
    <t xml:space="preserve">Tabitha Evans</t>
  </si>
  <si>
    <t xml:space="preserve">SALISH RUNNER</t>
  </si>
  <si>
    <t xml:space="preserve">WL-02046</t>
  </si>
  <si>
    <t xml:space="preserve">Jennifer Scott</t>
  </si>
  <si>
    <t xml:space="preserve">WL-02047</t>
  </si>
  <si>
    <t xml:space="preserve">Amanda Hammond</t>
  </si>
  <si>
    <t xml:space="preserve">WL-02048</t>
  </si>
  <si>
    <t xml:space="preserve">James Bridges</t>
  </si>
  <si>
    <t xml:space="preserve">WL-02049</t>
  </si>
  <si>
    <t xml:space="preserve">Victor Waters</t>
  </si>
  <si>
    <t xml:space="preserve">WL-02050</t>
  </si>
  <si>
    <t xml:space="preserve">John Howard</t>
  </si>
  <si>
    <t xml:space="preserve">SCOTER SOUND</t>
  </si>
  <si>
    <t xml:space="preserve">WL-02051</t>
  </si>
  <si>
    <t xml:space="preserve">Rachel Pennington</t>
  </si>
  <si>
    <t xml:space="preserve">WL-02052</t>
  </si>
  <si>
    <t xml:space="preserve">Holly Cochran</t>
  </si>
  <si>
    <t xml:space="preserve">WL-02053</t>
  </si>
  <si>
    <t xml:space="preserve">Erika Smith</t>
  </si>
  <si>
    <t xml:space="preserve">WL-02054</t>
  </si>
  <si>
    <t xml:space="preserve">Angela West</t>
  </si>
  <si>
    <t xml:space="preserve">WL-02055</t>
  </si>
  <si>
    <t xml:space="preserve">James Rice</t>
  </si>
  <si>
    <t xml:space="preserve">WL-02056</t>
  </si>
  <si>
    <t xml:space="preserve">Yvonne Carpenter</t>
  </si>
  <si>
    <t xml:space="preserve">WL-02057</t>
  </si>
  <si>
    <t xml:space="preserve">Sandra Diaz</t>
  </si>
  <si>
    <t xml:space="preserve">WL-02058</t>
  </si>
  <si>
    <t xml:space="preserve">Jennifer Lin</t>
  </si>
  <si>
    <t xml:space="preserve">WL-02059</t>
  </si>
  <si>
    <t xml:space="preserve">Ryan Hurst</t>
  </si>
  <si>
    <t xml:space="preserve">WL-02060</t>
  </si>
  <si>
    <t xml:space="preserve">Eric Flynn</t>
  </si>
  <si>
    <t xml:space="preserve">WL-02061</t>
  </si>
  <si>
    <t xml:space="preserve">William Hanna</t>
  </si>
  <si>
    <t xml:space="preserve">WL-02062</t>
  </si>
  <si>
    <t xml:space="preserve">Luke Rodriguez</t>
  </si>
  <si>
    <t xml:space="preserve">SABLE HARBOR</t>
  </si>
  <si>
    <t xml:space="preserve">WL-02063</t>
  </si>
  <si>
    <t xml:space="preserve">Spencer Thompson</t>
  </si>
  <si>
    <t xml:space="preserve">WL-02064</t>
  </si>
  <si>
    <t xml:space="preserve">Brian Jones</t>
  </si>
  <si>
    <t xml:space="preserve">WL-02065</t>
  </si>
  <si>
    <t xml:space="preserve">Christopher Torres</t>
  </si>
  <si>
    <t xml:space="preserve">WL-02066</t>
  </si>
  <si>
    <t xml:space="preserve">Sherri Williams</t>
  </si>
  <si>
    <t xml:space="preserve">WL-02067</t>
  </si>
  <si>
    <t xml:space="preserve">Craig Simon</t>
  </si>
  <si>
    <t xml:space="preserve">WL-02068</t>
  </si>
  <si>
    <t xml:space="preserve">Jodi Rogers</t>
  </si>
  <si>
    <t xml:space="preserve">OSPRYE STAR</t>
  </si>
  <si>
    <t xml:space="preserve">WL-02069</t>
  </si>
  <si>
    <t xml:space="preserve">David Lopez</t>
  </si>
  <si>
    <t xml:space="preserve">WL-02070</t>
  </si>
  <si>
    <t xml:space="preserve">Leslie Thomas</t>
  </si>
  <si>
    <t xml:space="preserve">WL-02071</t>
  </si>
  <si>
    <t xml:space="preserve">Cameron Perry</t>
  </si>
  <si>
    <t xml:space="preserve">WL-02072</t>
  </si>
  <si>
    <t xml:space="preserve">Stephen Hoffman</t>
  </si>
  <si>
    <t xml:space="preserve">WL-02073</t>
  </si>
  <si>
    <t xml:space="preserve">Susan Jordan</t>
  </si>
  <si>
    <t xml:space="preserve">WL-02074</t>
  </si>
  <si>
    <t xml:space="preserve">Erika Martin</t>
  </si>
  <si>
    <t xml:space="preserve">WL-02075</t>
  </si>
  <si>
    <t xml:space="preserve">Stephen Melton</t>
  </si>
  <si>
    <t xml:space="preserve">WL-02076</t>
  </si>
  <si>
    <t xml:space="preserve">Robert Pham</t>
  </si>
  <si>
    <t xml:space="preserve">WL-02077</t>
  </si>
  <si>
    <t xml:space="preserve">William Price</t>
  </si>
  <si>
    <t xml:space="preserve">WL-02078</t>
  </si>
  <si>
    <t xml:space="preserve">Brian Kramer</t>
  </si>
  <si>
    <t xml:space="preserve">HALIBUT DANCER</t>
  </si>
  <si>
    <t xml:space="preserve">WL-02079</t>
  </si>
  <si>
    <t xml:space="preserve">Vicki Wright</t>
  </si>
  <si>
    <t xml:space="preserve">WL-02080</t>
  </si>
  <si>
    <t xml:space="preserve">Audrey Le</t>
  </si>
  <si>
    <t xml:space="preserve">WL-02081</t>
  </si>
  <si>
    <t xml:space="preserve">Lauren Francis</t>
  </si>
  <si>
    <t xml:space="preserve">WL-02082</t>
  </si>
  <si>
    <t xml:space="preserve">Cynthia Foster</t>
  </si>
  <si>
    <t xml:space="preserve">SALISH MIST</t>
  </si>
  <si>
    <t xml:space="preserve">WL-02083</t>
  </si>
  <si>
    <t xml:space="preserve">Brandon Choi</t>
  </si>
  <si>
    <t xml:space="preserve">WL-02084</t>
  </si>
  <si>
    <t xml:space="preserve">Karen Murphy</t>
  </si>
  <si>
    <t xml:space="preserve">WL-02085</t>
  </si>
  <si>
    <t xml:space="preserve">Sherry Jacobs</t>
  </si>
  <si>
    <t xml:space="preserve">WL-02086</t>
  </si>
  <si>
    <t xml:space="preserve">Samantha Pope</t>
  </si>
  <si>
    <t xml:space="preserve">WL-02087</t>
  </si>
  <si>
    <t xml:space="preserve">Craig Bellamy</t>
  </si>
  <si>
    <t xml:space="preserve">WL-02088</t>
  </si>
  <si>
    <t xml:space="preserve">Yvonne Collins</t>
  </si>
  <si>
    <t xml:space="preserve">WIDGEON WEATHER</t>
  </si>
  <si>
    <t xml:space="preserve">WL-02089</t>
  </si>
  <si>
    <t xml:space="preserve">Todd Butler</t>
  </si>
  <si>
    <t xml:space="preserve">WL-02090</t>
  </si>
  <si>
    <t xml:space="preserve">Rita Lyons</t>
  </si>
  <si>
    <t xml:space="preserve">WL-02091</t>
  </si>
  <si>
    <t xml:space="preserve">Timothy Herrera</t>
  </si>
  <si>
    <t xml:space="preserve">WL-02092</t>
  </si>
  <si>
    <t xml:space="preserve">Jason Brooks</t>
  </si>
  <si>
    <t xml:space="preserve">PERTEL MIST</t>
  </si>
  <si>
    <t xml:space="preserve">WL-02093</t>
  </si>
  <si>
    <t xml:space="preserve">Brittany Fisher</t>
  </si>
  <si>
    <t xml:space="preserve">WL-02094</t>
  </si>
  <si>
    <t xml:space="preserve">Brandi Harris</t>
  </si>
  <si>
    <t xml:space="preserve">WL-02095</t>
  </si>
  <si>
    <t xml:space="preserve">Anna Diaz</t>
  </si>
  <si>
    <t xml:space="preserve">WL-02096</t>
  </si>
  <si>
    <t xml:space="preserve">Amanda Moore</t>
  </si>
  <si>
    <t xml:space="preserve">WL-02097</t>
  </si>
  <si>
    <t xml:space="preserve">Scott Brooks</t>
  </si>
  <si>
    <t xml:space="preserve">ANCHOR PASSAGE</t>
  </si>
  <si>
    <t xml:space="preserve">WL-02098</t>
  </si>
  <si>
    <t xml:space="preserve">Rhonda James</t>
  </si>
  <si>
    <t xml:space="preserve">WL-02099</t>
  </si>
  <si>
    <t xml:space="preserve">Peggy Horton</t>
  </si>
  <si>
    <t xml:space="preserve">WL-02100</t>
  </si>
  <si>
    <t xml:space="preserve">Michelle Pena</t>
  </si>
  <si>
    <t xml:space="preserve">WL-02101</t>
  </si>
  <si>
    <t xml:space="preserve">David Green</t>
  </si>
  <si>
    <t xml:space="preserve">WIDGEON ROSE</t>
  </si>
  <si>
    <t xml:space="preserve">WL-02102</t>
  </si>
  <si>
    <t xml:space="preserve">Mark Anderson</t>
  </si>
  <si>
    <t xml:space="preserve">KESTREL BAY</t>
  </si>
  <si>
    <t xml:space="preserve">WL-02103</t>
  </si>
  <si>
    <t xml:space="preserve">Mary Guzman</t>
  </si>
  <si>
    <t xml:space="preserve">SPINDRIFT GLIDE</t>
  </si>
  <si>
    <t xml:space="preserve">WL-02104</t>
  </si>
  <si>
    <t xml:space="preserve">Patricia Herrera</t>
  </si>
  <si>
    <t xml:space="preserve">WL-02105</t>
  </si>
  <si>
    <t xml:space="preserve">Kenneth Underwood</t>
  </si>
  <si>
    <t xml:space="preserve">WL-02106</t>
  </si>
  <si>
    <t xml:space="preserve">Michelle Perry</t>
  </si>
  <si>
    <t xml:space="preserve">WL-02107</t>
  </si>
  <si>
    <t xml:space="preserve">Brittany Baldwin</t>
  </si>
  <si>
    <t xml:space="preserve">WL-02108</t>
  </si>
  <si>
    <t xml:space="preserve">Amanda Hodges</t>
  </si>
  <si>
    <t xml:space="preserve">WL-02109</t>
  </si>
  <si>
    <t xml:space="preserve">Leah Flynn</t>
  </si>
  <si>
    <t xml:space="preserve">WL-02110</t>
  </si>
  <si>
    <t xml:space="preserve">Alison Byrd</t>
  </si>
  <si>
    <t xml:space="preserve">WL-02111</t>
  </si>
  <si>
    <t xml:space="preserve">Mary Rodriguez</t>
  </si>
  <si>
    <t xml:space="preserve">WL-02112</t>
  </si>
  <si>
    <t xml:space="preserve">Molly Perez</t>
  </si>
  <si>
    <t xml:space="preserve">WL-02113</t>
  </si>
  <si>
    <t xml:space="preserve">Donald Smith</t>
  </si>
  <si>
    <t xml:space="preserve">WL-02114</t>
  </si>
  <si>
    <t xml:space="preserve">Walter Adams</t>
  </si>
  <si>
    <t xml:space="preserve">WL-02115</t>
  </si>
  <si>
    <t xml:space="preserve">Christopher Young</t>
  </si>
  <si>
    <t xml:space="preserve">CORMORANT BAY</t>
  </si>
  <si>
    <t xml:space="preserve">WL-02116</t>
  </si>
  <si>
    <t xml:space="preserve">Stephanie Perez</t>
  </si>
  <si>
    <t xml:space="preserve">WL-02117</t>
  </si>
  <si>
    <t xml:space="preserve">Steven Marquez</t>
  </si>
  <si>
    <t xml:space="preserve">WL-02118</t>
  </si>
  <si>
    <t xml:space="preserve">Matthew Meyer</t>
  </si>
  <si>
    <t xml:space="preserve">SANDERLING WAKE</t>
  </si>
  <si>
    <t xml:space="preserve">WL-02119</t>
  </si>
  <si>
    <t xml:space="preserve">Eric Forbes</t>
  </si>
  <si>
    <t xml:space="preserve">WL-02120</t>
  </si>
  <si>
    <t xml:space="preserve">Jerry Reyes</t>
  </si>
  <si>
    <t xml:space="preserve">WL-02121</t>
  </si>
  <si>
    <t xml:space="preserve">Sean Alexander</t>
  </si>
  <si>
    <t xml:space="preserve">COHO CREST</t>
  </si>
  <si>
    <t xml:space="preserve">WL-02122</t>
  </si>
  <si>
    <t xml:space="preserve">Jeffery Graham</t>
  </si>
  <si>
    <t xml:space="preserve">WL-02123</t>
  </si>
  <si>
    <t xml:space="preserve">Megan Ramos</t>
  </si>
  <si>
    <t xml:space="preserve">KESTREL STAR</t>
  </si>
  <si>
    <t xml:space="preserve">WL-02124</t>
  </si>
  <si>
    <t xml:space="preserve">Laura French</t>
  </si>
  <si>
    <t xml:space="preserve">SALISH MOON</t>
  </si>
  <si>
    <t xml:space="preserve">WL-02125</t>
  </si>
  <si>
    <t xml:space="preserve">Fred Powell</t>
  </si>
  <si>
    <t xml:space="preserve">WL-02126</t>
  </si>
  <si>
    <t xml:space="preserve">Maria Hudson</t>
  </si>
  <si>
    <t xml:space="preserve">WL-02127</t>
  </si>
  <si>
    <t xml:space="preserve">WL-02128</t>
  </si>
  <si>
    <t xml:space="preserve">Kevin Terry</t>
  </si>
  <si>
    <t xml:space="preserve">WL-02129</t>
  </si>
  <si>
    <t xml:space="preserve">Lisa Palmer</t>
  </si>
  <si>
    <t xml:space="preserve">SCOTER GLIDE</t>
  </si>
  <si>
    <t xml:space="preserve">WL-02130</t>
  </si>
  <si>
    <t xml:space="preserve">Sierra Le</t>
  </si>
  <si>
    <t xml:space="preserve">WL-02131</t>
  </si>
  <si>
    <t xml:space="preserve">Richard Thompson</t>
  </si>
  <si>
    <t xml:space="preserve">WL-02132</t>
  </si>
  <si>
    <t xml:space="preserve">John Ward</t>
  </si>
  <si>
    <t xml:space="preserve">WL-02133</t>
  </si>
  <si>
    <t xml:space="preserve">Michael Moses</t>
  </si>
  <si>
    <t xml:space="preserve">WL-02134</t>
  </si>
  <si>
    <t xml:space="preserve">James Martin</t>
  </si>
  <si>
    <t xml:space="preserve">WL-02135</t>
  </si>
  <si>
    <t xml:space="preserve">David Flores</t>
  </si>
  <si>
    <t xml:space="preserve">WL-02136</t>
  </si>
  <si>
    <t xml:space="preserve">Danielle Williams</t>
  </si>
  <si>
    <t xml:space="preserve">WL-02137</t>
  </si>
  <si>
    <t xml:space="preserve">Cindy Oliver</t>
  </si>
  <si>
    <t xml:space="preserve">WL-02138</t>
  </si>
  <si>
    <t xml:space="preserve">Brandy Potter</t>
  </si>
  <si>
    <t xml:space="preserve">WL-02139</t>
  </si>
  <si>
    <t xml:space="preserve">Jennifer Anderson</t>
  </si>
  <si>
    <t xml:space="preserve">WL-02140</t>
  </si>
  <si>
    <t xml:space="preserve">Amy Gutierrez</t>
  </si>
  <si>
    <t xml:space="preserve">WL-02141</t>
  </si>
  <si>
    <t xml:space="preserve">Tiffany Anderson</t>
  </si>
  <si>
    <t xml:space="preserve">KSETREL ROSE</t>
  </si>
  <si>
    <t xml:space="preserve">WL-02142</t>
  </si>
  <si>
    <t xml:space="preserve">Tammy Jackson</t>
  </si>
  <si>
    <t xml:space="preserve">WL-02143</t>
  </si>
  <si>
    <t xml:space="preserve">Lisa Wright</t>
  </si>
  <si>
    <t xml:space="preserve">WL-02144</t>
  </si>
  <si>
    <t xml:space="preserve">Kelli Clark</t>
  </si>
  <si>
    <t xml:space="preserve">WL-02145</t>
  </si>
  <si>
    <t xml:space="preserve">Danielle Ali</t>
  </si>
  <si>
    <t xml:space="preserve">WL-02146</t>
  </si>
  <si>
    <t xml:space="preserve">Mary Allen</t>
  </si>
  <si>
    <t xml:space="preserve">WL-02147</t>
  </si>
  <si>
    <t xml:space="preserve">Virginia Ayers</t>
  </si>
  <si>
    <t xml:space="preserve">WL-02148</t>
  </si>
  <si>
    <t xml:space="preserve">William Roberts</t>
  </si>
  <si>
    <t xml:space="preserve">WL-02149</t>
  </si>
  <si>
    <t xml:space="preserve">Tonya Bowman</t>
  </si>
  <si>
    <t xml:space="preserve">WL-02150</t>
  </si>
  <si>
    <t xml:space="preserve">Jared Gomez</t>
  </si>
  <si>
    <t xml:space="preserve">OSPREY SONG</t>
  </si>
  <si>
    <t xml:space="preserve">WL-02151</t>
  </si>
  <si>
    <t xml:space="preserve">Patrick Kent</t>
  </si>
  <si>
    <t xml:space="preserve">WL-02152</t>
  </si>
  <si>
    <t xml:space="preserve">Sandra Miller</t>
  </si>
  <si>
    <t xml:space="preserve">WL-02153</t>
  </si>
  <si>
    <t xml:space="preserve">Amy Murray</t>
  </si>
  <si>
    <t xml:space="preserve">WL-02154</t>
  </si>
  <si>
    <t xml:space="preserve">Kimberly Moore</t>
  </si>
  <si>
    <t xml:space="preserve">SALISH PASSAGE</t>
  </si>
  <si>
    <t xml:space="preserve">WL-02155</t>
  </si>
  <si>
    <t xml:space="preserve">Jeremy Turner</t>
  </si>
  <si>
    <t xml:space="preserve">WL-02156</t>
  </si>
  <si>
    <t xml:space="preserve">Ariana Jenkins</t>
  </si>
  <si>
    <t xml:space="preserve">WL-02157</t>
  </si>
  <si>
    <t xml:space="preserve">Richard Price</t>
  </si>
  <si>
    <t xml:space="preserve">SCOTER UQEEN</t>
  </si>
  <si>
    <t xml:space="preserve">WL-02158</t>
  </si>
  <si>
    <t xml:space="preserve">Francisco Smith</t>
  </si>
  <si>
    <t xml:space="preserve">COHO MOON</t>
  </si>
  <si>
    <t xml:space="preserve">WL-02159</t>
  </si>
  <si>
    <t xml:space="preserve">Alexander Peterson</t>
  </si>
  <si>
    <t xml:space="preserve">WL-02160</t>
  </si>
  <si>
    <t xml:space="preserve">Alexander Lawrence</t>
  </si>
  <si>
    <t xml:space="preserve">WL-02161</t>
  </si>
  <si>
    <t xml:space="preserve">Erica Robinson</t>
  </si>
  <si>
    <t xml:space="preserve">HERON WIND</t>
  </si>
  <si>
    <t xml:space="preserve">WL-02162</t>
  </si>
  <si>
    <t xml:space="preserve">Susan Smith</t>
  </si>
  <si>
    <t xml:space="preserve">WL-02163</t>
  </si>
  <si>
    <t xml:space="preserve">Kimberly Brown</t>
  </si>
  <si>
    <t xml:space="preserve">WL-02164</t>
  </si>
  <si>
    <t xml:space="preserve">Adrienne Thompson</t>
  </si>
  <si>
    <t xml:space="preserve">WL-02165</t>
  </si>
  <si>
    <t xml:space="preserve">Tiffany Brown</t>
  </si>
  <si>
    <t xml:space="preserve">WL-02166</t>
  </si>
  <si>
    <t xml:space="preserve">Tonya Haney</t>
  </si>
  <si>
    <t xml:space="preserve">PINTAIL REACH</t>
  </si>
  <si>
    <t xml:space="preserve">WL-02167</t>
  </si>
  <si>
    <t xml:space="preserve">Jonathan Anderson</t>
  </si>
  <si>
    <t xml:space="preserve">WL-02168</t>
  </si>
  <si>
    <t xml:space="preserve">William Stevens</t>
  </si>
  <si>
    <t xml:space="preserve">WL-02169</t>
  </si>
  <si>
    <t xml:space="preserve">Maria Weber</t>
  </si>
  <si>
    <t xml:space="preserve">COHO REACH</t>
  </si>
  <si>
    <t xml:space="preserve">WL-02170</t>
  </si>
  <si>
    <t xml:space="preserve">Robin Duke</t>
  </si>
  <si>
    <t xml:space="preserve">WL-02171</t>
  </si>
  <si>
    <t xml:space="preserve">Andrea Hill</t>
  </si>
  <si>
    <t xml:space="preserve">WL-02172</t>
  </si>
  <si>
    <t xml:space="preserve">Anna Bishop</t>
  </si>
  <si>
    <t xml:space="preserve">WL-02173</t>
  </si>
  <si>
    <t xml:space="preserve">Lisa Parker</t>
  </si>
  <si>
    <t xml:space="preserve">WL-02174</t>
  </si>
  <si>
    <t xml:space="preserve">Kelly Stevens</t>
  </si>
  <si>
    <t xml:space="preserve">WL-02175</t>
  </si>
  <si>
    <t xml:space="preserve">Eric Hill</t>
  </si>
  <si>
    <t xml:space="preserve">WL-02176</t>
  </si>
  <si>
    <t xml:space="preserve">Susan Robinson</t>
  </si>
  <si>
    <t xml:space="preserve">BRANT LINE</t>
  </si>
  <si>
    <t xml:space="preserve">WL-02177</t>
  </si>
  <si>
    <t xml:space="preserve">Charles Perez</t>
  </si>
  <si>
    <t xml:space="preserve">WL-02178</t>
  </si>
  <si>
    <t xml:space="preserve">Thomas Stone</t>
  </si>
  <si>
    <t xml:space="preserve">WL-02179</t>
  </si>
  <si>
    <t xml:space="preserve">Charles King</t>
  </si>
  <si>
    <t xml:space="preserve">BRANT ROSE</t>
  </si>
  <si>
    <t xml:space="preserve">WL-02180</t>
  </si>
  <si>
    <t xml:space="preserve">Michele Jones</t>
  </si>
  <si>
    <t xml:space="preserve">MURRE PASSAGE</t>
  </si>
  <si>
    <t xml:space="preserve">WL-02181</t>
  </si>
  <si>
    <t xml:space="preserve">Samantha Spence</t>
  </si>
  <si>
    <t xml:space="preserve">WL-02182</t>
  </si>
  <si>
    <t xml:space="preserve">Jerry Jones</t>
  </si>
  <si>
    <t xml:space="preserve">WL-02183</t>
  </si>
  <si>
    <t xml:space="preserve">Emily Ward</t>
  </si>
  <si>
    <t xml:space="preserve">WL-02184</t>
  </si>
  <si>
    <t xml:space="preserve">Leonard Wiley</t>
  </si>
  <si>
    <t xml:space="preserve">WL-02185</t>
  </si>
  <si>
    <t xml:space="preserve">Kelly Lopez</t>
  </si>
  <si>
    <t xml:space="preserve">WL-02186</t>
  </si>
  <si>
    <t xml:space="preserve">Karen Lewis</t>
  </si>
  <si>
    <t xml:space="preserve">WL-02187</t>
  </si>
  <si>
    <t xml:space="preserve">Leonard Gordon</t>
  </si>
  <si>
    <t xml:space="preserve">WL-02188</t>
  </si>
  <si>
    <t xml:space="preserve">Courtney Zamora</t>
  </si>
  <si>
    <t xml:space="preserve">WL-02189</t>
  </si>
  <si>
    <t xml:space="preserve">Richard Garcia</t>
  </si>
  <si>
    <t xml:space="preserve">WL-02190</t>
  </si>
  <si>
    <t xml:space="preserve">Dale Mills</t>
  </si>
  <si>
    <t xml:space="preserve">WL-02191</t>
  </si>
  <si>
    <t xml:space="preserve">Michelle Farmer</t>
  </si>
  <si>
    <t xml:space="preserve">WL-02192</t>
  </si>
  <si>
    <t xml:space="preserve">Jesus Woodard</t>
  </si>
  <si>
    <t xml:space="preserve">WL-02193</t>
  </si>
  <si>
    <t xml:space="preserve">Valerie Berg</t>
  </si>
  <si>
    <t xml:space="preserve">WL-02194</t>
  </si>
  <si>
    <t xml:space="preserve">Victoria Williamson</t>
  </si>
  <si>
    <t xml:space="preserve">WL-02195</t>
  </si>
  <si>
    <t xml:space="preserve">Thomas Baker</t>
  </si>
  <si>
    <t xml:space="preserve">SANDERLING MIST</t>
  </si>
  <si>
    <t xml:space="preserve">WL-02196</t>
  </si>
  <si>
    <t xml:space="preserve">Gloria Ruiz</t>
  </si>
  <si>
    <t xml:space="preserve">SEAL CREST</t>
  </si>
  <si>
    <t xml:space="preserve">WL-02197</t>
  </si>
  <si>
    <t xml:space="preserve">Jasmine Nicholson</t>
  </si>
  <si>
    <t xml:space="preserve">WL-02198</t>
  </si>
  <si>
    <t xml:space="preserve">James Torres</t>
  </si>
  <si>
    <t xml:space="preserve">WL-02199</t>
  </si>
  <si>
    <t xml:space="preserve">Patricia Perez</t>
  </si>
  <si>
    <t xml:space="preserve">OSPREY SOUND</t>
  </si>
  <si>
    <t xml:space="preserve">WL-02200</t>
  </si>
  <si>
    <t xml:space="preserve">Kristine Howell</t>
  </si>
  <si>
    <t xml:space="preserve">WL-02201</t>
  </si>
  <si>
    <t xml:space="preserve">Johnathan Gould</t>
  </si>
  <si>
    <t xml:space="preserve">WL-02202</t>
  </si>
  <si>
    <t xml:space="preserve">Andrew Ortiz</t>
  </si>
  <si>
    <t xml:space="preserve">WL-02203</t>
  </si>
  <si>
    <t xml:space="preserve">Amanda Bartlett</t>
  </si>
  <si>
    <t xml:space="preserve">WL-02204</t>
  </si>
  <si>
    <t xml:space="preserve">Julia Hansen</t>
  </si>
  <si>
    <t xml:space="preserve">WL-02205</t>
  </si>
  <si>
    <t xml:space="preserve">Robert Rivas</t>
  </si>
  <si>
    <t xml:space="preserve">WL-02206</t>
  </si>
  <si>
    <t xml:space="preserve">Mary Morris</t>
  </si>
  <si>
    <t xml:space="preserve">WL-02207</t>
  </si>
  <si>
    <t xml:space="preserve">Zachary Lane</t>
  </si>
  <si>
    <t xml:space="preserve">WL-02208</t>
  </si>
  <si>
    <t xml:space="preserve">Richard Bush</t>
  </si>
  <si>
    <t xml:space="preserve">WL-02209</t>
  </si>
  <si>
    <t xml:space="preserve">Christine Garcia</t>
  </si>
  <si>
    <t xml:space="preserve">WL-02210</t>
  </si>
  <si>
    <t xml:space="preserve">Erika Huber</t>
  </si>
  <si>
    <t xml:space="preserve">PETREL VEER</t>
  </si>
  <si>
    <t xml:space="preserve">WL-02211</t>
  </si>
  <si>
    <t xml:space="preserve">Ruth Mallory</t>
  </si>
  <si>
    <t xml:space="preserve">DUSKY LURE</t>
  </si>
  <si>
    <t xml:space="preserve">WL-02212</t>
  </si>
  <si>
    <t xml:space="preserve">Jeffery Delacruz</t>
  </si>
  <si>
    <t xml:space="preserve">WL-02213</t>
  </si>
  <si>
    <t xml:space="preserve">Thomas Miller</t>
  </si>
  <si>
    <t xml:space="preserve">WL-02214</t>
  </si>
  <si>
    <t xml:space="preserve">David Perry</t>
  </si>
  <si>
    <t xml:space="preserve">MURRE WIND</t>
  </si>
  <si>
    <t xml:space="preserve">WL-02215</t>
  </si>
  <si>
    <t xml:space="preserve">Andrew Gilbert</t>
  </si>
  <si>
    <t xml:space="preserve">WL-02216</t>
  </si>
  <si>
    <t xml:space="preserve">Michael Diaz</t>
  </si>
  <si>
    <t xml:space="preserve">WL-02217</t>
  </si>
  <si>
    <t xml:space="preserve">Rose Morales</t>
  </si>
  <si>
    <t xml:space="preserve">WL-02218</t>
  </si>
  <si>
    <t xml:space="preserve">Dawn Mccarthy</t>
  </si>
  <si>
    <t xml:space="preserve">WL-02219</t>
  </si>
  <si>
    <t xml:space="preserve">Grant Cameron</t>
  </si>
  <si>
    <t xml:space="preserve">WL-02220</t>
  </si>
  <si>
    <t xml:space="preserve">Cassandra Garcia</t>
  </si>
  <si>
    <t xml:space="preserve">WL-02221</t>
  </si>
  <si>
    <t xml:space="preserve">Jason Howe</t>
  </si>
  <si>
    <t xml:space="preserve">WL-02222</t>
  </si>
  <si>
    <t xml:space="preserve">David Cook</t>
  </si>
  <si>
    <t xml:space="preserve">WL-02223</t>
  </si>
  <si>
    <t xml:space="preserve">Ashley Wilson</t>
  </si>
  <si>
    <t xml:space="preserve">WL-02224</t>
  </si>
  <si>
    <t xml:space="preserve">Melissa Hawkins</t>
  </si>
  <si>
    <t xml:space="preserve">WL-02225</t>
  </si>
  <si>
    <t xml:space="preserve">Scott Gregory</t>
  </si>
  <si>
    <t xml:space="preserve">WL-02226</t>
  </si>
  <si>
    <t xml:space="preserve">Dale Morris</t>
  </si>
  <si>
    <t xml:space="preserve">WL-02227</t>
  </si>
  <si>
    <t xml:space="preserve">Sara Smith</t>
  </si>
  <si>
    <t xml:space="preserve">WL-02228</t>
  </si>
  <si>
    <t xml:space="preserve">Jonathan Price</t>
  </si>
  <si>
    <t xml:space="preserve">WL-02229</t>
  </si>
  <si>
    <t xml:space="preserve">Lisa Riddle</t>
  </si>
  <si>
    <t xml:space="preserve">WL-02230</t>
  </si>
  <si>
    <t xml:space="preserve">Tyler Ellis</t>
  </si>
  <si>
    <t xml:space="preserve">WL-02231</t>
  </si>
  <si>
    <t xml:space="preserve">Stacey Bell</t>
  </si>
  <si>
    <t xml:space="preserve">WL-02232</t>
  </si>
  <si>
    <t xml:space="preserve">Andrew Henry</t>
  </si>
  <si>
    <t xml:space="preserve">WL-02233</t>
  </si>
  <si>
    <t xml:space="preserve">Sarah Forbes</t>
  </si>
  <si>
    <t xml:space="preserve">WL-02234</t>
  </si>
  <si>
    <t xml:space="preserve">Chelsea Chandler</t>
  </si>
  <si>
    <t xml:space="preserve">WL-02235</t>
  </si>
  <si>
    <t xml:space="preserve">Justin Fisher</t>
  </si>
  <si>
    <t xml:space="preserve">WL-02236</t>
  </si>
  <si>
    <t xml:space="preserve">Mike Singh</t>
  </si>
  <si>
    <t xml:space="preserve">MURRE ROSE</t>
  </si>
  <si>
    <t xml:space="preserve">WL-02237</t>
  </si>
  <si>
    <t xml:space="preserve">William Powell</t>
  </si>
  <si>
    <t xml:space="preserve">WL-02238</t>
  </si>
  <si>
    <t xml:space="preserve">David Meyers</t>
  </si>
  <si>
    <t xml:space="preserve">WL-02239</t>
  </si>
  <si>
    <t xml:space="preserve">Morgan Haas</t>
  </si>
  <si>
    <t xml:space="preserve">WL-02240</t>
  </si>
  <si>
    <t xml:space="preserve">Ryan Tran</t>
  </si>
  <si>
    <t xml:space="preserve">OSPRYE QUEEN</t>
  </si>
  <si>
    <t xml:space="preserve">WL-02241</t>
  </si>
  <si>
    <t xml:space="preserve">Veronica Williams</t>
  </si>
  <si>
    <t xml:space="preserve">WL-02242</t>
  </si>
  <si>
    <t xml:space="preserve">Eric Lane</t>
  </si>
  <si>
    <t xml:space="preserve">TIDE PASSAGE</t>
  </si>
  <si>
    <t xml:space="preserve">WL-02243</t>
  </si>
  <si>
    <t xml:space="preserve">Andrew Miller</t>
  </si>
  <si>
    <t xml:space="preserve">SANDERLING BAY</t>
  </si>
  <si>
    <t xml:space="preserve">WL-02244</t>
  </si>
  <si>
    <t xml:space="preserve">Victoria Nash</t>
  </si>
  <si>
    <t xml:space="preserve">WL-02245</t>
  </si>
  <si>
    <t xml:space="preserve">Angela Tran</t>
  </si>
  <si>
    <t xml:space="preserve">COHO PASSAGE</t>
  </si>
  <si>
    <t xml:space="preserve">WL-02246</t>
  </si>
  <si>
    <t xml:space="preserve">Brooke Franco</t>
  </si>
  <si>
    <t xml:space="preserve">WL-02247</t>
  </si>
  <si>
    <t xml:space="preserve">Kimberly Stafford</t>
  </si>
  <si>
    <t xml:space="preserve">WL-02248</t>
  </si>
  <si>
    <t xml:space="preserve">Devon Griffin</t>
  </si>
  <si>
    <t xml:space="preserve">WL-02249</t>
  </si>
  <si>
    <t xml:space="preserve">Aaron Forbes</t>
  </si>
  <si>
    <t xml:space="preserve">WL-02250</t>
  </si>
  <si>
    <t xml:space="preserve">Jonathan James</t>
  </si>
  <si>
    <t xml:space="preserve">WL-02251</t>
  </si>
  <si>
    <t xml:space="preserve">Jane Swanson</t>
  </si>
  <si>
    <t xml:space="preserve">WL-02252</t>
  </si>
  <si>
    <t xml:space="preserve">Donald Mitchell</t>
  </si>
  <si>
    <t xml:space="preserve">WL-02253</t>
  </si>
  <si>
    <t xml:space="preserve">Nathan Parker</t>
  </si>
  <si>
    <t xml:space="preserve">WL-02254</t>
  </si>
  <si>
    <t xml:space="preserve">Susan Nichols</t>
  </si>
  <si>
    <t xml:space="preserve">WL-02255</t>
  </si>
  <si>
    <t xml:space="preserve">Scott Garcia</t>
  </si>
  <si>
    <t xml:space="preserve">WL-02256</t>
  </si>
  <si>
    <t xml:space="preserve">Ryan Johnson</t>
  </si>
  <si>
    <t xml:space="preserve">WL-02257</t>
  </si>
  <si>
    <t xml:space="preserve">Phillip Wright</t>
  </si>
  <si>
    <t xml:space="preserve">WL-02258</t>
  </si>
  <si>
    <t xml:space="preserve">Katrina Griffin</t>
  </si>
  <si>
    <t xml:space="preserve">WL-02259</t>
  </si>
  <si>
    <t xml:space="preserve">Charles Watson</t>
  </si>
  <si>
    <t xml:space="preserve">WL-02260</t>
  </si>
  <si>
    <t xml:space="preserve">Michael King</t>
  </si>
  <si>
    <t xml:space="preserve">COHO WIND</t>
  </si>
  <si>
    <t xml:space="preserve">WL-02261</t>
  </si>
  <si>
    <t xml:space="preserve">Walter Guzman</t>
  </si>
  <si>
    <t xml:space="preserve">OTTER SONG</t>
  </si>
  <si>
    <t xml:space="preserve">WL-02262</t>
  </si>
  <si>
    <t xml:space="preserve">WL-02263</t>
  </si>
  <si>
    <t xml:space="preserve">Anthony Young</t>
  </si>
  <si>
    <t xml:space="preserve">WL-02264</t>
  </si>
  <si>
    <t xml:space="preserve">Phyllis Meyers</t>
  </si>
  <si>
    <t xml:space="preserve">WL-02265</t>
  </si>
  <si>
    <t xml:space="preserve">Kimberly Bailey</t>
  </si>
  <si>
    <t xml:space="preserve">WL-02266</t>
  </si>
  <si>
    <t xml:space="preserve">Ashley Nichols</t>
  </si>
  <si>
    <t xml:space="preserve">WL-02267</t>
  </si>
  <si>
    <t xml:space="preserve">Randall Hall</t>
  </si>
  <si>
    <t xml:space="preserve">WL-02268</t>
  </si>
  <si>
    <t xml:space="preserve">Tamara Mitchell</t>
  </si>
  <si>
    <t xml:space="preserve">WL-02269</t>
  </si>
  <si>
    <t xml:space="preserve">Jeffrey Orozco</t>
  </si>
  <si>
    <t xml:space="preserve">CSOTER QUEEN</t>
  </si>
  <si>
    <t xml:space="preserve">WL-02270</t>
  </si>
  <si>
    <t xml:space="preserve">Nathan Lewis</t>
  </si>
  <si>
    <t xml:space="preserve">WL-02271</t>
  </si>
  <si>
    <t xml:space="preserve">Lisa Mendoza</t>
  </si>
  <si>
    <t xml:space="preserve">WL-02272</t>
  </si>
  <si>
    <t xml:space="preserve">Scott Mendoza</t>
  </si>
  <si>
    <t xml:space="preserve">WL-02273</t>
  </si>
  <si>
    <t xml:space="preserve">Whitney Davis</t>
  </si>
  <si>
    <t xml:space="preserve">WL-02274</t>
  </si>
  <si>
    <t xml:space="preserve">Kevin Green</t>
  </si>
  <si>
    <t xml:space="preserve">WL-02275</t>
  </si>
  <si>
    <t xml:space="preserve">Ricky Harmon</t>
  </si>
  <si>
    <t xml:space="preserve">WL-02276</t>
  </si>
  <si>
    <t xml:space="preserve">Tara Jones</t>
  </si>
  <si>
    <t xml:space="preserve">WL-02277</t>
  </si>
  <si>
    <t xml:space="preserve">Luis Hall</t>
  </si>
  <si>
    <t xml:space="preserve">WL-02278</t>
  </si>
  <si>
    <t xml:space="preserve">Maria Williams</t>
  </si>
  <si>
    <t xml:space="preserve">WL-02279</t>
  </si>
  <si>
    <t xml:space="preserve">Christine Atkinson</t>
  </si>
  <si>
    <t xml:space="preserve">WL-02280</t>
  </si>
  <si>
    <t xml:space="preserve">Joseph Rogers</t>
  </si>
  <si>
    <t xml:space="preserve">WL-02281</t>
  </si>
  <si>
    <t xml:space="preserve">Peter Cox</t>
  </si>
  <si>
    <t xml:space="preserve">WL-02282</t>
  </si>
  <si>
    <t xml:space="preserve">Gregory Smith</t>
  </si>
  <si>
    <t xml:space="preserve">HALIBUT WAKE</t>
  </si>
  <si>
    <t xml:space="preserve">WL-02283</t>
  </si>
  <si>
    <t xml:space="preserve">Barbara Mora</t>
  </si>
  <si>
    <t xml:space="preserve">WL-02284</t>
  </si>
  <si>
    <t xml:space="preserve">Tonya Ruiz</t>
  </si>
  <si>
    <t xml:space="preserve">UMRRE LIGHT</t>
  </si>
  <si>
    <t xml:space="preserve">WL-02285</t>
  </si>
  <si>
    <t xml:space="preserve">Brian Scott</t>
  </si>
  <si>
    <t xml:space="preserve">WL-02286</t>
  </si>
  <si>
    <t xml:space="preserve">Nicholas Sandoval</t>
  </si>
  <si>
    <t xml:space="preserve">WL-02287</t>
  </si>
  <si>
    <t xml:space="preserve">Michael Curry</t>
  </si>
  <si>
    <t xml:space="preserve">WL-02288</t>
  </si>
  <si>
    <t xml:space="preserve">Valerie Gonzalez</t>
  </si>
  <si>
    <t xml:space="preserve">OSPREY ANN</t>
  </si>
  <si>
    <t xml:space="preserve">WL-02289</t>
  </si>
  <si>
    <t xml:space="preserve">Wendy Jackson</t>
  </si>
  <si>
    <t xml:space="preserve">WL-02290</t>
  </si>
  <si>
    <t xml:space="preserve">Mark Torres</t>
  </si>
  <si>
    <t xml:space="preserve">WL-02291</t>
  </si>
  <si>
    <t xml:space="preserve">Sheena Stark</t>
  </si>
  <si>
    <t xml:space="preserve">WL-02292</t>
  </si>
  <si>
    <t xml:space="preserve">Brenda Brandt</t>
  </si>
  <si>
    <t xml:space="preserve">WL-02293</t>
  </si>
  <si>
    <t xml:space="preserve">Brian Alexander</t>
  </si>
  <si>
    <t xml:space="preserve">WL-02294</t>
  </si>
  <si>
    <t xml:space="preserve">Jonathan Fernandez</t>
  </si>
  <si>
    <t xml:space="preserve">WL-02295</t>
  </si>
  <si>
    <t xml:space="preserve">Katie Hall</t>
  </si>
  <si>
    <t xml:space="preserve">WL-02296</t>
  </si>
  <si>
    <t xml:space="preserve">Jason Miller</t>
  </si>
  <si>
    <t xml:space="preserve">WL-02297</t>
  </si>
  <si>
    <t xml:space="preserve">Jessica Bryant</t>
  </si>
  <si>
    <t xml:space="preserve">SEAL PASSAGE</t>
  </si>
  <si>
    <t xml:space="preserve">WL-02298</t>
  </si>
  <si>
    <t xml:space="preserve">Ronald Simpson</t>
  </si>
  <si>
    <t xml:space="preserve">WL-02299</t>
  </si>
  <si>
    <t xml:space="preserve">Christopher Harper</t>
  </si>
  <si>
    <t xml:space="preserve">WL-02300</t>
  </si>
  <si>
    <t xml:space="preserve">Carolyn Murray</t>
  </si>
  <si>
    <t xml:space="preserve">WL-02301</t>
  </si>
  <si>
    <t xml:space="preserve">Nicholas Moody</t>
  </si>
  <si>
    <t xml:space="preserve">WL-02302</t>
  </si>
  <si>
    <t xml:space="preserve">James Davis</t>
  </si>
  <si>
    <t xml:space="preserve">WL-02303</t>
  </si>
  <si>
    <t xml:space="preserve">Christina Hernandez</t>
  </si>
  <si>
    <t xml:space="preserve">WL-02304</t>
  </si>
  <si>
    <t xml:space="preserve">Johnathan Young</t>
  </si>
  <si>
    <t xml:space="preserve">WL-02305</t>
  </si>
  <si>
    <t xml:space="preserve">John Patel</t>
  </si>
  <si>
    <t xml:space="preserve">WL-02306</t>
  </si>
  <si>
    <t xml:space="preserve">Lori Schneider</t>
  </si>
  <si>
    <t xml:space="preserve">WL-02307</t>
  </si>
  <si>
    <t xml:space="preserve">Joshua Jacobson</t>
  </si>
  <si>
    <t xml:space="preserve">HALIBUT VEER</t>
  </si>
  <si>
    <t xml:space="preserve">WL-02308</t>
  </si>
  <si>
    <t xml:space="preserve">Abigail Jones</t>
  </si>
  <si>
    <t xml:space="preserve">POINT STAR</t>
  </si>
  <si>
    <t xml:space="preserve">WL-02309</t>
  </si>
  <si>
    <t xml:space="preserve">Timothy Brown</t>
  </si>
  <si>
    <t xml:space="preserve">WL-02310</t>
  </si>
  <si>
    <t xml:space="preserve">Kristy Bell</t>
  </si>
  <si>
    <t xml:space="preserve">WL-02311</t>
  </si>
  <si>
    <t xml:space="preserve">Catherine Martinez</t>
  </si>
  <si>
    <t xml:space="preserve">WL-02312</t>
  </si>
  <si>
    <t xml:space="preserve">Anna Ray</t>
  </si>
  <si>
    <t xml:space="preserve">WL-02313</t>
  </si>
  <si>
    <t xml:space="preserve">Aaron Bell</t>
  </si>
  <si>
    <t xml:space="preserve">WL-02314</t>
  </si>
  <si>
    <t xml:space="preserve">David Silva</t>
  </si>
  <si>
    <t xml:space="preserve">WL-02315</t>
  </si>
  <si>
    <t xml:space="preserve">Mitchell Mendez</t>
  </si>
  <si>
    <t xml:space="preserve">WL-02316</t>
  </si>
  <si>
    <t xml:space="preserve">Cheryl Elliott</t>
  </si>
  <si>
    <t xml:space="preserve">WL-02317</t>
  </si>
  <si>
    <t xml:space="preserve">Nicole Gomez</t>
  </si>
  <si>
    <t xml:space="preserve">WL-02318</t>
  </si>
  <si>
    <t xml:space="preserve">Brittany Harris</t>
  </si>
  <si>
    <t xml:space="preserve">WL-02319</t>
  </si>
  <si>
    <t xml:space="preserve">Elizabeth Pacheco</t>
  </si>
  <si>
    <t xml:space="preserve">WL-02320</t>
  </si>
  <si>
    <t xml:space="preserve">Eric Walker</t>
  </si>
  <si>
    <t xml:space="preserve">WL-02321</t>
  </si>
  <si>
    <t xml:space="preserve">Laura Williams</t>
  </si>
  <si>
    <t xml:space="preserve">WL-02322</t>
  </si>
  <si>
    <t xml:space="preserve">Allison Nguyen</t>
  </si>
  <si>
    <t xml:space="preserve">WL-02323</t>
  </si>
  <si>
    <t xml:space="preserve">John Preston</t>
  </si>
  <si>
    <t xml:space="preserve">WL-02324</t>
  </si>
  <si>
    <t xml:space="preserve">Scott Marquez</t>
  </si>
  <si>
    <t xml:space="preserve">WL-02325</t>
  </si>
  <si>
    <t xml:space="preserve">WL-02326</t>
  </si>
  <si>
    <t xml:space="preserve">Debra Blackwell</t>
  </si>
  <si>
    <t xml:space="preserve">WL-02327</t>
  </si>
  <si>
    <t xml:space="preserve">Sarah Hogan</t>
  </si>
  <si>
    <t xml:space="preserve">WL-02328</t>
  </si>
  <si>
    <t xml:space="preserve">Tony Mack</t>
  </si>
  <si>
    <t xml:space="preserve">WL-02329</t>
  </si>
  <si>
    <t xml:space="preserve">Gregory Morgan</t>
  </si>
  <si>
    <t xml:space="preserve">WL-02330</t>
  </si>
  <si>
    <t xml:space="preserve">John Fox</t>
  </si>
  <si>
    <t xml:space="preserve">WL-02331</t>
  </si>
  <si>
    <t xml:space="preserve">Cassandra Gibbs</t>
  </si>
  <si>
    <t xml:space="preserve">WL-02332</t>
  </si>
  <si>
    <t xml:space="preserve">Karla Cross</t>
  </si>
  <si>
    <t xml:space="preserve">WL-02333</t>
  </si>
  <si>
    <t xml:space="preserve">Maurice Wallace</t>
  </si>
  <si>
    <t xml:space="preserve">WL-02334</t>
  </si>
  <si>
    <t xml:space="preserve">Dean Lewis</t>
  </si>
  <si>
    <t xml:space="preserve">MURRE REACH</t>
  </si>
  <si>
    <t xml:space="preserve">WL-02335</t>
  </si>
  <si>
    <t xml:space="preserve">Susan Pham</t>
  </si>
  <si>
    <t xml:space="preserve">WL-02336</t>
  </si>
  <si>
    <t xml:space="preserve">Jimmy Ford</t>
  </si>
  <si>
    <t xml:space="preserve">WL-02337</t>
  </si>
  <si>
    <t xml:space="preserve">Brian Taylor</t>
  </si>
  <si>
    <t xml:space="preserve">WL-02338</t>
  </si>
  <si>
    <t xml:space="preserve">Deborah Estrada</t>
  </si>
  <si>
    <t xml:space="preserve">WL-02339</t>
  </si>
  <si>
    <t xml:space="preserve">Michael Suarez</t>
  </si>
  <si>
    <t xml:space="preserve">WL-02340</t>
  </si>
  <si>
    <t xml:space="preserve">Tara Charles</t>
  </si>
  <si>
    <t xml:space="preserve">WL-02341</t>
  </si>
  <si>
    <t xml:space="preserve">David Stewart</t>
  </si>
  <si>
    <t xml:space="preserve">WL-02342</t>
  </si>
  <si>
    <t xml:space="preserve">Ricky Morris</t>
  </si>
  <si>
    <t xml:space="preserve">ANCHOR STAR</t>
  </si>
  <si>
    <t xml:space="preserve">WL-02343</t>
  </si>
  <si>
    <t xml:space="preserve">Nicole Mata</t>
  </si>
  <si>
    <t xml:space="preserve">WL-02344</t>
  </si>
  <si>
    <t xml:space="preserve">Michael Combs</t>
  </si>
  <si>
    <t xml:space="preserve">WL-02345</t>
  </si>
  <si>
    <t xml:space="preserve">Brian Wade</t>
  </si>
  <si>
    <t xml:space="preserve">WL-02346</t>
  </si>
  <si>
    <t xml:space="preserve">Tammy Thomas</t>
  </si>
  <si>
    <t xml:space="preserve">HERON CREST</t>
  </si>
  <si>
    <t xml:space="preserve">WL-02347</t>
  </si>
  <si>
    <t xml:space="preserve">Timothy Yang</t>
  </si>
  <si>
    <t xml:space="preserve">WL-02348</t>
  </si>
  <si>
    <t xml:space="preserve">Kimberly Ballard</t>
  </si>
  <si>
    <t xml:space="preserve">WL-02349</t>
  </si>
  <si>
    <t xml:space="preserve">Natalie Mason</t>
  </si>
  <si>
    <t xml:space="preserve">WL-02350</t>
  </si>
  <si>
    <t xml:space="preserve">Christy Chambers</t>
  </si>
  <si>
    <t xml:space="preserve">WL-02351</t>
  </si>
  <si>
    <t xml:space="preserve">Kenneth Bradford</t>
  </si>
  <si>
    <t xml:space="preserve">WL-02352</t>
  </si>
  <si>
    <t xml:space="preserve">James Preston</t>
  </si>
  <si>
    <t xml:space="preserve">WL-02353</t>
  </si>
  <si>
    <t xml:space="preserve">Jonathan Freeman</t>
  </si>
  <si>
    <t xml:space="preserve">WL-02354</t>
  </si>
  <si>
    <t xml:space="preserve">Makayla Sanchez</t>
  </si>
  <si>
    <t xml:space="preserve">WL-02355</t>
  </si>
  <si>
    <t xml:space="preserve">Michelle Rich</t>
  </si>
  <si>
    <t xml:space="preserve">WL-02356</t>
  </si>
  <si>
    <t xml:space="preserve">WL-02357</t>
  </si>
  <si>
    <t xml:space="preserve">Kimberly Adams</t>
  </si>
  <si>
    <t xml:space="preserve">OTTER STAR</t>
  </si>
  <si>
    <t xml:space="preserve">WL-02358</t>
  </si>
  <si>
    <t xml:space="preserve">Kelly Mccoy</t>
  </si>
  <si>
    <t xml:space="preserve">WL-02359</t>
  </si>
  <si>
    <t xml:space="preserve">Joseph Adams</t>
  </si>
  <si>
    <t xml:space="preserve">WL-02360</t>
  </si>
  <si>
    <t xml:space="preserve">Spencer Gordon</t>
  </si>
  <si>
    <t xml:space="preserve">WL-02361</t>
  </si>
  <si>
    <t xml:space="preserve">Dana Anderson</t>
  </si>
  <si>
    <t xml:space="preserve">WL-02362</t>
  </si>
  <si>
    <t xml:space="preserve">Crystal Foster</t>
  </si>
  <si>
    <t xml:space="preserve">WL-02363</t>
  </si>
  <si>
    <t xml:space="preserve">Timothy Johnson</t>
  </si>
  <si>
    <t xml:space="preserve">WL-02364</t>
  </si>
  <si>
    <t xml:space="preserve">Susan Brooks</t>
  </si>
  <si>
    <t xml:space="preserve">WL-02365</t>
  </si>
  <si>
    <t xml:space="preserve">Sophia Williams</t>
  </si>
  <si>
    <t xml:space="preserve">WL-02366</t>
  </si>
  <si>
    <t xml:space="preserve">Megan Hoffman</t>
  </si>
  <si>
    <t xml:space="preserve">WL-02367</t>
  </si>
  <si>
    <t xml:space="preserve">Nicole Morales</t>
  </si>
  <si>
    <t xml:space="preserve">WL-02368</t>
  </si>
  <si>
    <t xml:space="preserve">Chris Chavez</t>
  </si>
  <si>
    <t xml:space="preserve">WL-02369</t>
  </si>
  <si>
    <t xml:space="preserve">Jean Young</t>
  </si>
  <si>
    <t xml:space="preserve">WL-02370</t>
  </si>
  <si>
    <t xml:space="preserve">Rhonda Brown</t>
  </si>
  <si>
    <t xml:space="preserve">DRIFT MOON</t>
  </si>
  <si>
    <t xml:space="preserve">WL-02371</t>
  </si>
  <si>
    <t xml:space="preserve">Kyle Evans</t>
  </si>
  <si>
    <t xml:space="preserve">HERON WEATHER</t>
  </si>
  <si>
    <t xml:space="preserve">WL-02372</t>
  </si>
  <si>
    <t xml:space="preserve">Amber Powell</t>
  </si>
  <si>
    <t xml:space="preserve">WL-02373</t>
  </si>
  <si>
    <t xml:space="preserve">Angela Adkins</t>
  </si>
  <si>
    <t xml:space="preserve">WL-02374</t>
  </si>
  <si>
    <t xml:space="preserve">WL-02375</t>
  </si>
  <si>
    <t xml:space="preserve">Lisa Flores</t>
  </si>
  <si>
    <t xml:space="preserve">WL-02376</t>
  </si>
  <si>
    <t xml:space="preserve">Steven Robinson</t>
  </si>
  <si>
    <t xml:space="preserve">WL-02377</t>
  </si>
  <si>
    <t xml:space="preserve">Tammy Patterson</t>
  </si>
  <si>
    <t xml:space="preserve">WL-02378</t>
  </si>
  <si>
    <t xml:space="preserve">Kevin Barnes</t>
  </si>
  <si>
    <t xml:space="preserve">WL-02379</t>
  </si>
  <si>
    <t xml:space="preserve">Robyn Davis</t>
  </si>
  <si>
    <t xml:space="preserve">WL-02380</t>
  </si>
  <si>
    <t xml:space="preserve">John Escobar</t>
  </si>
  <si>
    <t xml:space="preserve">SANDERLING GLIDE</t>
  </si>
  <si>
    <t xml:space="preserve">WL-02381</t>
  </si>
  <si>
    <t xml:space="preserve">Gary Waters</t>
  </si>
  <si>
    <t xml:space="preserve">WL-02382</t>
  </si>
  <si>
    <t xml:space="preserve">Rachael Wallace</t>
  </si>
  <si>
    <t xml:space="preserve">WL-02383</t>
  </si>
  <si>
    <t xml:space="preserve">Joel Meyer</t>
  </si>
  <si>
    <t xml:space="preserve">WL-02384</t>
  </si>
  <si>
    <t xml:space="preserve">Jessica Clark</t>
  </si>
  <si>
    <t xml:space="preserve">WL-02385</t>
  </si>
  <si>
    <t xml:space="preserve">John Lopez</t>
  </si>
  <si>
    <t xml:space="preserve">WL-02386</t>
  </si>
  <si>
    <t xml:space="preserve">Austin Cuevas</t>
  </si>
  <si>
    <t xml:space="preserve">WL-02387</t>
  </si>
  <si>
    <t xml:space="preserve">Scott Roberts</t>
  </si>
  <si>
    <t xml:space="preserve">WL-02388</t>
  </si>
  <si>
    <t xml:space="preserve">Gregory Brady</t>
  </si>
  <si>
    <t xml:space="preserve">WL-02389</t>
  </si>
  <si>
    <t xml:space="preserve">Michael Cox</t>
  </si>
  <si>
    <t xml:space="preserve">MURER ANN</t>
  </si>
  <si>
    <t xml:space="preserve">WL-02390</t>
  </si>
  <si>
    <t xml:space="preserve">Veronica Anderson</t>
  </si>
  <si>
    <t xml:space="preserve">WL-02391</t>
  </si>
  <si>
    <t xml:space="preserve">Nicholas Welch</t>
  </si>
  <si>
    <t xml:space="preserve">WL-02392</t>
  </si>
  <si>
    <t xml:space="preserve">WL-02393</t>
  </si>
  <si>
    <t xml:space="preserve">Christopher Bradley</t>
  </si>
  <si>
    <t xml:space="preserve">WL-02394</t>
  </si>
  <si>
    <t xml:space="preserve">Dustin Harris</t>
  </si>
  <si>
    <t xml:space="preserve">WL-02395</t>
  </si>
  <si>
    <t xml:space="preserve">Scott Ramos</t>
  </si>
  <si>
    <t xml:space="preserve">WL-02396</t>
  </si>
  <si>
    <t xml:space="preserve">Seth Le</t>
  </si>
  <si>
    <t xml:space="preserve">WL-02397</t>
  </si>
  <si>
    <t xml:space="preserve">Darin Atkinson</t>
  </si>
  <si>
    <t xml:space="preserve">WL-02398</t>
  </si>
  <si>
    <t xml:space="preserve">Danny Patrick</t>
  </si>
  <si>
    <t xml:space="preserve">WL-02399</t>
  </si>
  <si>
    <t xml:space="preserve">Jennifer Mccullough</t>
  </si>
  <si>
    <t xml:space="preserve">WL-02400</t>
  </si>
  <si>
    <t xml:space="preserve">Sierra Washington</t>
  </si>
  <si>
    <t xml:space="preserve">WL-02401</t>
  </si>
  <si>
    <t xml:space="preserve">Dana Whitford</t>
  </si>
  <si>
    <t xml:space="preserve">COHO RUN</t>
  </si>
  <si>
    <t xml:space="preserve">WL-02402</t>
  </si>
  <si>
    <t xml:space="preserve">Ashley Wilcox</t>
  </si>
  <si>
    <t xml:space="preserve">WL-02403</t>
  </si>
  <si>
    <t xml:space="preserve">Courtney Powell</t>
  </si>
  <si>
    <t xml:space="preserve">WL-02404</t>
  </si>
  <si>
    <t xml:space="preserve">Samuel King</t>
  </si>
  <si>
    <t xml:space="preserve">WL-02405</t>
  </si>
  <si>
    <t xml:space="preserve">Marissa Martin</t>
  </si>
  <si>
    <t xml:space="preserve">WL-02406</t>
  </si>
  <si>
    <t xml:space="preserve">Christopher Jackson</t>
  </si>
  <si>
    <t xml:space="preserve">WL-02407</t>
  </si>
  <si>
    <t xml:space="preserve">Ryan Thompson</t>
  </si>
  <si>
    <t xml:space="preserve">WL-02408</t>
  </si>
  <si>
    <t xml:space="preserve">Jacqueline Kelly</t>
  </si>
  <si>
    <t xml:space="preserve">WL-02409</t>
  </si>
  <si>
    <t xml:space="preserve">Danny Sexton</t>
  </si>
  <si>
    <t xml:space="preserve">WL-02410</t>
  </si>
  <si>
    <t xml:space="preserve">Juan Martin</t>
  </si>
  <si>
    <t xml:space="preserve">WL-02411</t>
  </si>
  <si>
    <t xml:space="preserve">Brooke Kelly</t>
  </si>
  <si>
    <t xml:space="preserve">WL-02412</t>
  </si>
  <si>
    <t xml:space="preserve">Laura David</t>
  </si>
  <si>
    <t xml:space="preserve">COHO RUNNER</t>
  </si>
  <si>
    <t xml:space="preserve">WL-02413</t>
  </si>
  <si>
    <t xml:space="preserve">Damon Phillips</t>
  </si>
  <si>
    <t xml:space="preserve">WL-02414</t>
  </si>
  <si>
    <t xml:space="preserve">Ashley Martinez</t>
  </si>
  <si>
    <t xml:space="preserve">WL-02415</t>
  </si>
  <si>
    <t xml:space="preserve">Valerie Nelson</t>
  </si>
  <si>
    <t xml:space="preserve">WL-02416</t>
  </si>
  <si>
    <t xml:space="preserve">Nicholas Wood</t>
  </si>
  <si>
    <t xml:space="preserve">WL-02417</t>
  </si>
  <si>
    <t xml:space="preserve">Eric Benjamin</t>
  </si>
  <si>
    <t xml:space="preserve">WL-02418</t>
  </si>
  <si>
    <t xml:space="preserve">Riley Wilson</t>
  </si>
  <si>
    <t xml:space="preserve">WL-02419</t>
  </si>
  <si>
    <t xml:space="preserve">Cameron Aguirre</t>
  </si>
  <si>
    <t xml:space="preserve">WL-02420</t>
  </si>
  <si>
    <t xml:space="preserve">Clifford Blake</t>
  </si>
  <si>
    <t xml:space="preserve">WL-02421</t>
  </si>
  <si>
    <t xml:space="preserve">Kenneth Cook</t>
  </si>
  <si>
    <t xml:space="preserve">WL-02422</t>
  </si>
  <si>
    <t xml:space="preserve">Lydia Hamilton</t>
  </si>
  <si>
    <t xml:space="preserve">WL-02423</t>
  </si>
  <si>
    <t xml:space="preserve">WL-02424</t>
  </si>
  <si>
    <t xml:space="preserve">Jessica Nguyen</t>
  </si>
  <si>
    <t xml:space="preserve">WL-02425</t>
  </si>
  <si>
    <t xml:space="preserve">Sharon Tucker</t>
  </si>
  <si>
    <t xml:space="preserve">WL-02426</t>
  </si>
  <si>
    <t xml:space="preserve">Joshua Cherry</t>
  </si>
  <si>
    <t xml:space="preserve">WL-02427</t>
  </si>
  <si>
    <t xml:space="preserve">Joseph Crosby</t>
  </si>
  <si>
    <t xml:space="preserve">WL-02428</t>
  </si>
  <si>
    <t xml:space="preserve">David Henry</t>
  </si>
  <si>
    <t xml:space="preserve">WL-02429</t>
  </si>
  <si>
    <t xml:space="preserve">Theresa White</t>
  </si>
  <si>
    <t xml:space="preserve">WL-02430</t>
  </si>
  <si>
    <t xml:space="preserve">Laura Hopkins</t>
  </si>
  <si>
    <t xml:space="preserve">CORMORANT SONG</t>
  </si>
  <si>
    <t xml:space="preserve">WL-02431</t>
  </si>
  <si>
    <t xml:space="preserve">Laura Montoya</t>
  </si>
  <si>
    <t xml:space="preserve">WL-02432</t>
  </si>
  <si>
    <t xml:space="preserve">James Olson</t>
  </si>
  <si>
    <t xml:space="preserve">WL-02433</t>
  </si>
  <si>
    <t xml:space="preserve">Jordan Casey</t>
  </si>
  <si>
    <t xml:space="preserve">WL-02434</t>
  </si>
  <si>
    <t xml:space="preserve">Roy Gonzalez</t>
  </si>
  <si>
    <t xml:space="preserve">WL-02435</t>
  </si>
  <si>
    <t xml:space="preserve">Jacob Gonzalez</t>
  </si>
  <si>
    <t xml:space="preserve">WL-02436</t>
  </si>
  <si>
    <t xml:space="preserve">Jeffrey Allen</t>
  </si>
  <si>
    <t xml:space="preserve">WL-02437</t>
  </si>
  <si>
    <t xml:space="preserve">Jeremy Holmes</t>
  </si>
  <si>
    <t xml:space="preserve">WL-02438</t>
  </si>
  <si>
    <t xml:space="preserve">Sharon Phillips</t>
  </si>
  <si>
    <t xml:space="preserve">WL-02439</t>
  </si>
  <si>
    <t xml:space="preserve">Michelle Miller</t>
  </si>
  <si>
    <t xml:space="preserve">WL-02440</t>
  </si>
  <si>
    <t xml:space="preserve">David Copeland</t>
  </si>
  <si>
    <t xml:space="preserve">SPINDRIFT SHORE</t>
  </si>
  <si>
    <t xml:space="preserve">WL-02441</t>
  </si>
  <si>
    <t xml:space="preserve">Jenna Price</t>
  </si>
  <si>
    <t xml:space="preserve">TIDE WEATHER</t>
  </si>
  <si>
    <t xml:space="preserve">WL-02442</t>
  </si>
  <si>
    <t xml:space="preserve">Elizabeth Burns</t>
  </si>
  <si>
    <t xml:space="preserve">WL-02443</t>
  </si>
  <si>
    <t xml:space="preserve">Seth Neal</t>
  </si>
  <si>
    <t xml:space="preserve">WL-02444</t>
  </si>
  <si>
    <t xml:space="preserve">Gabriel Robinson</t>
  </si>
  <si>
    <t xml:space="preserve">WL-02445</t>
  </si>
  <si>
    <t xml:space="preserve">Marcus Yee</t>
  </si>
  <si>
    <t xml:space="preserve">PINTAIL</t>
  </si>
  <si>
    <t xml:space="preserve">WL-02446</t>
  </si>
  <si>
    <t xml:space="preserve">Emily Parker</t>
  </si>
  <si>
    <t xml:space="preserve">SABLE SONG</t>
  </si>
  <si>
    <t xml:space="preserve">WL-02447</t>
  </si>
  <si>
    <t xml:space="preserve">Jacob Hodges</t>
  </si>
  <si>
    <t xml:space="preserve">WL-02448</t>
  </si>
  <si>
    <t xml:space="preserve">Mark Bolton</t>
  </si>
  <si>
    <t xml:space="preserve">SLAISH GLIDE</t>
  </si>
  <si>
    <t xml:space="preserve">WL-02449</t>
  </si>
  <si>
    <t xml:space="preserve">Herbert Johnson</t>
  </si>
  <si>
    <t xml:space="preserve">WL-02450</t>
  </si>
  <si>
    <t xml:space="preserve">Jennifer Green</t>
  </si>
  <si>
    <t xml:space="preserve">WL-02451</t>
  </si>
  <si>
    <t xml:space="preserve">Brooke Bell</t>
  </si>
  <si>
    <t xml:space="preserve">WL-02452</t>
  </si>
  <si>
    <t xml:space="preserve">WL-02453</t>
  </si>
  <si>
    <t xml:space="preserve">Kristina Savage</t>
  </si>
  <si>
    <t xml:space="preserve">WL-02454</t>
  </si>
  <si>
    <t xml:space="preserve">Michael Marquez</t>
  </si>
  <si>
    <t xml:space="preserve">WL-02455</t>
  </si>
  <si>
    <t xml:space="preserve">Diana Stout</t>
  </si>
  <si>
    <t xml:space="preserve">WL-02456</t>
  </si>
  <si>
    <t xml:space="preserve">Madeline Nunez</t>
  </si>
  <si>
    <t xml:space="preserve">WL-02457</t>
  </si>
  <si>
    <t xml:space="preserve">Margaret Bartlett</t>
  </si>
  <si>
    <t xml:space="preserve">WL-02458</t>
  </si>
  <si>
    <t xml:space="preserve">Sue Butler</t>
  </si>
  <si>
    <t xml:space="preserve">WL-02459</t>
  </si>
  <si>
    <t xml:space="preserve">WL-02460</t>
  </si>
  <si>
    <t xml:space="preserve">Amy Booker</t>
  </si>
  <si>
    <t xml:space="preserve">WL-02461</t>
  </si>
  <si>
    <t xml:space="preserve">Robert Swanson</t>
  </si>
  <si>
    <t xml:space="preserve">OSPREY SHORE</t>
  </si>
  <si>
    <t xml:space="preserve">WL-02462</t>
  </si>
  <si>
    <t xml:space="preserve">Jeffrey Perez</t>
  </si>
  <si>
    <t xml:space="preserve">MURRE SONG</t>
  </si>
  <si>
    <t xml:space="preserve">WL-02463</t>
  </si>
  <si>
    <t xml:space="preserve">Lauren Oconnor</t>
  </si>
  <si>
    <t xml:space="preserve">WL-02464</t>
  </si>
  <si>
    <t xml:space="preserve">WL-02465</t>
  </si>
  <si>
    <t xml:space="preserve">Clinton Cox</t>
  </si>
  <si>
    <t xml:space="preserve">WL-02466</t>
  </si>
  <si>
    <t xml:space="preserve">April Foster</t>
  </si>
  <si>
    <t xml:space="preserve">WL-02467</t>
  </si>
  <si>
    <t xml:space="preserve">Joseph Davis</t>
  </si>
  <si>
    <t xml:space="preserve">WL-02468</t>
  </si>
  <si>
    <t xml:space="preserve">Lucas Prince</t>
  </si>
  <si>
    <t xml:space="preserve">WL-02469</t>
  </si>
  <si>
    <t xml:space="preserve">Margaret Thompson</t>
  </si>
  <si>
    <t xml:space="preserve">WL-02470</t>
  </si>
  <si>
    <t xml:space="preserve">Willie Payne</t>
  </si>
  <si>
    <t xml:space="preserve">WL-02471</t>
  </si>
  <si>
    <t xml:space="preserve">Jack Atkinson</t>
  </si>
  <si>
    <t xml:space="preserve">WL-02472</t>
  </si>
  <si>
    <t xml:space="preserve">William Martinez</t>
  </si>
  <si>
    <t xml:space="preserve">WL-02473</t>
  </si>
  <si>
    <t xml:space="preserve">Michael Washington</t>
  </si>
  <si>
    <t xml:space="preserve">GRAY ANN</t>
  </si>
  <si>
    <t xml:space="preserve">WL-02474</t>
  </si>
  <si>
    <t xml:space="preserve">WL-02475</t>
  </si>
  <si>
    <t xml:space="preserve">Amber Hill</t>
  </si>
  <si>
    <t xml:space="preserve">WL-02476</t>
  </si>
  <si>
    <t xml:space="preserve">Dana Becker</t>
  </si>
  <si>
    <t xml:space="preserve">WL-02477</t>
  </si>
  <si>
    <t xml:space="preserve">Lori Cox</t>
  </si>
  <si>
    <t xml:space="preserve">WL-02478</t>
  </si>
  <si>
    <t xml:space="preserve">Travis Long</t>
  </si>
  <si>
    <t xml:space="preserve">WL-02479</t>
  </si>
  <si>
    <t xml:space="preserve">Jeremy Aguirre</t>
  </si>
  <si>
    <t xml:space="preserve">WL-02480</t>
  </si>
  <si>
    <t xml:space="preserve">Rachel Edwards</t>
  </si>
  <si>
    <t xml:space="preserve">WL-02481</t>
  </si>
  <si>
    <t xml:space="preserve">Christopher Bullock</t>
  </si>
  <si>
    <t xml:space="preserve">WL-02482</t>
  </si>
  <si>
    <t xml:space="preserve">Emily Taylor</t>
  </si>
  <si>
    <t xml:space="preserve">WL-02483</t>
  </si>
  <si>
    <t xml:space="preserve">Benjamin Gomez</t>
  </si>
  <si>
    <t xml:space="preserve">WL-02484</t>
  </si>
  <si>
    <t xml:space="preserve">Larry Gray</t>
  </si>
  <si>
    <t xml:space="preserve">WL-02485</t>
  </si>
  <si>
    <t xml:space="preserve">Matthew Dickerson</t>
  </si>
  <si>
    <t xml:space="preserve">WL-02486</t>
  </si>
  <si>
    <t xml:space="preserve">Donna James</t>
  </si>
  <si>
    <t xml:space="preserve">WL-02487</t>
  </si>
  <si>
    <t xml:space="preserve">Oscar Castaneda</t>
  </si>
  <si>
    <t xml:space="preserve">WL-02488</t>
  </si>
  <si>
    <t xml:space="preserve">Ann Wheeler</t>
  </si>
  <si>
    <t xml:space="preserve">WL-02489</t>
  </si>
  <si>
    <t xml:space="preserve">Caitlin Burgess</t>
  </si>
  <si>
    <t xml:space="preserve">WL-02490</t>
  </si>
  <si>
    <t xml:space="preserve">Kenneth Jefferson</t>
  </si>
  <si>
    <t xml:space="preserve">WL-02491</t>
  </si>
  <si>
    <t xml:space="preserve">Diana Le</t>
  </si>
  <si>
    <t xml:space="preserve">WL-02492</t>
  </si>
  <si>
    <t xml:space="preserve">Jaclyn Robbins</t>
  </si>
  <si>
    <t xml:space="preserve">WL-02493</t>
  </si>
  <si>
    <t xml:space="preserve">Rebecca Vaughn</t>
  </si>
  <si>
    <t xml:space="preserve">WL-02494</t>
  </si>
  <si>
    <t xml:space="preserve">Renee Dean</t>
  </si>
  <si>
    <t xml:space="preserve">WL-02495</t>
  </si>
  <si>
    <t xml:space="preserve">Richard Dean</t>
  </si>
  <si>
    <t xml:space="preserve">WL-02496</t>
  </si>
  <si>
    <t xml:space="preserve">Larry Mitchell</t>
  </si>
  <si>
    <t xml:space="preserve">WL-02497</t>
  </si>
  <si>
    <t xml:space="preserve">Chad Smith</t>
  </si>
  <si>
    <t xml:space="preserve">WL-02498</t>
  </si>
  <si>
    <t xml:space="preserve">Patrick Herrera</t>
  </si>
  <si>
    <t xml:space="preserve">WL-02499</t>
  </si>
  <si>
    <t xml:space="preserve">Jason Morris</t>
  </si>
  <si>
    <t xml:space="preserve">WL-02500</t>
  </si>
  <si>
    <t xml:space="preserve">Robert Bradford</t>
  </si>
  <si>
    <t xml:space="preserve">CORMORANT VEER</t>
  </si>
  <si>
    <t xml:space="preserve">WL-02501</t>
  </si>
  <si>
    <t xml:space="preserve">Alexis Yates</t>
  </si>
  <si>
    <t xml:space="preserve">WL-02502</t>
  </si>
  <si>
    <t xml:space="preserve">Michelle Cline</t>
  </si>
  <si>
    <t xml:space="preserve">WL-02503</t>
  </si>
  <si>
    <t xml:space="preserve">Molly Holland</t>
  </si>
  <si>
    <t xml:space="preserve">WL-02504</t>
  </si>
  <si>
    <t xml:space="preserve">Crystal Stevenson</t>
  </si>
  <si>
    <t xml:space="preserve">WL-02505</t>
  </si>
  <si>
    <t xml:space="preserve">Joe Smith</t>
  </si>
  <si>
    <t xml:space="preserve">WL-02506</t>
  </si>
  <si>
    <t xml:space="preserve">Maria Fernandez</t>
  </si>
  <si>
    <t xml:space="preserve">WL-02507</t>
  </si>
  <si>
    <t xml:space="preserve">Erin Morris</t>
  </si>
  <si>
    <t xml:space="preserve">WL-02508</t>
  </si>
  <si>
    <t xml:space="preserve">James Reyes</t>
  </si>
  <si>
    <t xml:space="preserve">OTTER SHORE</t>
  </si>
  <si>
    <t xml:space="preserve">WL-02509</t>
  </si>
  <si>
    <t xml:space="preserve">Dean Norris</t>
  </si>
  <si>
    <t xml:space="preserve">WL-02510</t>
  </si>
  <si>
    <t xml:space="preserve">Audrey Foley</t>
  </si>
  <si>
    <t xml:space="preserve">WL-02511</t>
  </si>
  <si>
    <t xml:space="preserve">Brett Lee</t>
  </si>
  <si>
    <t xml:space="preserve">WL-02512</t>
  </si>
  <si>
    <t xml:space="preserve">Natalie Olsen</t>
  </si>
  <si>
    <t xml:space="preserve">WL-02513</t>
  </si>
  <si>
    <t xml:space="preserve">Susan West</t>
  </si>
  <si>
    <t xml:space="preserve">WL-02514</t>
  </si>
  <si>
    <t xml:space="preserve">Joshua Moyer</t>
  </si>
  <si>
    <t xml:space="preserve">WL-02515</t>
  </si>
  <si>
    <t xml:space="preserve">Michael Adams</t>
  </si>
  <si>
    <t xml:space="preserve">WL-02516</t>
  </si>
  <si>
    <t xml:space="preserve">Connor Garcia</t>
  </si>
  <si>
    <t xml:space="preserve">WL-02517</t>
  </si>
  <si>
    <t xml:space="preserve">Hayden Bryan</t>
  </si>
  <si>
    <t xml:space="preserve">WL-02518</t>
  </si>
  <si>
    <t xml:space="preserve">Steven Walker</t>
  </si>
  <si>
    <t xml:space="preserve">WL-02519</t>
  </si>
  <si>
    <t xml:space="preserve">WL-02520</t>
  </si>
  <si>
    <t xml:space="preserve">Ashley Steele</t>
  </si>
  <si>
    <t xml:space="preserve">WL-02521</t>
  </si>
  <si>
    <t xml:space="preserve">Ashley Vance</t>
  </si>
  <si>
    <t xml:space="preserve">SALISH GLIDE</t>
  </si>
  <si>
    <t xml:space="preserve">WL-02522</t>
  </si>
  <si>
    <t xml:space="preserve">Ricardo Obrien</t>
  </si>
  <si>
    <t xml:space="preserve">WL-02523</t>
  </si>
  <si>
    <t xml:space="preserve">Lisa Roberts</t>
  </si>
  <si>
    <t xml:space="preserve">WL-02524</t>
  </si>
  <si>
    <t xml:space="preserve">Douglas Herrera</t>
  </si>
  <si>
    <t xml:space="preserve">WL-02525</t>
  </si>
  <si>
    <t xml:space="preserve">Matthew Wright</t>
  </si>
  <si>
    <t xml:space="preserve">WL-02526</t>
  </si>
  <si>
    <t xml:space="preserve">Jennifer Jacobs</t>
  </si>
  <si>
    <t xml:space="preserve">WL-02527</t>
  </si>
  <si>
    <t xml:space="preserve">Rachel Hanson</t>
  </si>
  <si>
    <t xml:space="preserve">WL-02528</t>
  </si>
  <si>
    <t xml:space="preserve">Lisa Richards</t>
  </si>
  <si>
    <t xml:space="preserve">WL-02529</t>
  </si>
  <si>
    <t xml:space="preserve">Shelby Lewis</t>
  </si>
  <si>
    <t xml:space="preserve">WL-02530</t>
  </si>
  <si>
    <t xml:space="preserve">WL-02531</t>
  </si>
  <si>
    <t xml:space="preserve">Allen Fleming</t>
  </si>
  <si>
    <t xml:space="preserve">PINTAIL GLIDE</t>
  </si>
  <si>
    <t xml:space="preserve">WL-02532</t>
  </si>
  <si>
    <t xml:space="preserve">Marie Goodman</t>
  </si>
  <si>
    <t xml:space="preserve">SCOTER ROSE</t>
  </si>
  <si>
    <t xml:space="preserve">WL-02533</t>
  </si>
  <si>
    <t xml:space="preserve">Derrick Myers</t>
  </si>
  <si>
    <t xml:space="preserve">WL-02534</t>
  </si>
  <si>
    <t xml:space="preserve">Daniel Erickson</t>
  </si>
  <si>
    <t xml:space="preserve">WL-02535</t>
  </si>
  <si>
    <t xml:space="preserve">Shari Hess</t>
  </si>
  <si>
    <t xml:space="preserve">WL-02536</t>
  </si>
  <si>
    <t xml:space="preserve">Christian Ellis</t>
  </si>
  <si>
    <t xml:space="preserve">WL-02537</t>
  </si>
  <si>
    <t xml:space="preserve">Calvin Nelson</t>
  </si>
  <si>
    <t xml:space="preserve">WL-02538</t>
  </si>
  <si>
    <t xml:space="preserve">Angela Davidson</t>
  </si>
  <si>
    <t xml:space="preserve">WL-02539</t>
  </si>
  <si>
    <t xml:space="preserve">William Moody</t>
  </si>
  <si>
    <t xml:space="preserve">WL-02540</t>
  </si>
  <si>
    <t xml:space="preserve">David Shepherd</t>
  </si>
  <si>
    <t xml:space="preserve">WL-02541</t>
  </si>
  <si>
    <t xml:space="preserve">Kristen Moore</t>
  </si>
  <si>
    <t xml:space="preserve">WL-02542</t>
  </si>
  <si>
    <t xml:space="preserve">Susan Decker</t>
  </si>
  <si>
    <t xml:space="preserve">WL-02543</t>
  </si>
  <si>
    <t xml:space="preserve">Latoya Ray</t>
  </si>
  <si>
    <t xml:space="preserve">WL-02544</t>
  </si>
  <si>
    <t xml:space="preserve">Laurie Smith</t>
  </si>
  <si>
    <t xml:space="preserve">WL-02545</t>
  </si>
  <si>
    <t xml:space="preserve">WL-02546</t>
  </si>
  <si>
    <t xml:space="preserve">Crystal Rogers</t>
  </si>
  <si>
    <t xml:space="preserve">WL-02547</t>
  </si>
  <si>
    <t xml:space="preserve">Jesus Stephens</t>
  </si>
  <si>
    <t xml:space="preserve">WL-02548</t>
  </si>
  <si>
    <t xml:space="preserve">Jessica Galloway</t>
  </si>
  <si>
    <t xml:space="preserve">WL-02549</t>
  </si>
  <si>
    <t xml:space="preserve">Cynthia Hill</t>
  </si>
  <si>
    <t xml:space="preserve">WL-02550</t>
  </si>
  <si>
    <t xml:space="preserve">Patty Joseph</t>
  </si>
  <si>
    <t xml:space="preserve">WL-02551</t>
  </si>
  <si>
    <t xml:space="preserve">Nicole Brown</t>
  </si>
  <si>
    <t xml:space="preserve">WL-02552</t>
  </si>
  <si>
    <t xml:space="preserve">Brian Shea</t>
  </si>
  <si>
    <t xml:space="preserve">WL-02553</t>
  </si>
  <si>
    <t xml:space="preserve">Steven Miller</t>
  </si>
  <si>
    <t xml:space="preserve">WL-02554</t>
  </si>
  <si>
    <t xml:space="preserve">Cindy Hardy</t>
  </si>
  <si>
    <t xml:space="preserve">WL-02555</t>
  </si>
  <si>
    <t xml:space="preserve">Jacob Welch</t>
  </si>
  <si>
    <t xml:space="preserve">WL-02556</t>
  </si>
  <si>
    <t xml:space="preserve">Marc Lindsey</t>
  </si>
  <si>
    <t xml:space="preserve">WL-02557</t>
  </si>
  <si>
    <t xml:space="preserve">Debra Martinez</t>
  </si>
  <si>
    <t xml:space="preserve">WL-02558</t>
  </si>
  <si>
    <t xml:space="preserve">Edward Hardy</t>
  </si>
  <si>
    <t xml:space="preserve">WL-02559</t>
  </si>
  <si>
    <t xml:space="preserve">Joshua Alvarado</t>
  </si>
  <si>
    <t xml:space="preserve">WL-02560</t>
  </si>
  <si>
    <t xml:space="preserve">Barbara Mills</t>
  </si>
  <si>
    <t xml:space="preserve">WL-02561</t>
  </si>
  <si>
    <t xml:space="preserve">Kayla Carpenter</t>
  </si>
  <si>
    <t xml:space="preserve">WL-02562</t>
  </si>
  <si>
    <t xml:space="preserve">Mary Waller</t>
  </si>
  <si>
    <t xml:space="preserve">WL-02563</t>
  </si>
  <si>
    <t xml:space="preserve">Richard Haynes</t>
  </si>
  <si>
    <t xml:space="preserve">WL-02564</t>
  </si>
  <si>
    <t xml:space="preserve">Paul Fischer</t>
  </si>
  <si>
    <t xml:space="preserve">WL-02565</t>
  </si>
  <si>
    <t xml:space="preserve">DRIFT ANN</t>
  </si>
  <si>
    <t xml:space="preserve">WL-02566</t>
  </si>
  <si>
    <t xml:space="preserve">Morgan Lloyd</t>
  </si>
  <si>
    <t xml:space="preserve">WL-02567</t>
  </si>
  <si>
    <t xml:space="preserve">Mercedes Watkins</t>
  </si>
  <si>
    <t xml:space="preserve">WL-02568</t>
  </si>
  <si>
    <t xml:space="preserve">Adam House</t>
  </si>
  <si>
    <t xml:space="preserve">WL-02569</t>
  </si>
  <si>
    <t xml:space="preserve">Michael Mcintyre</t>
  </si>
  <si>
    <t xml:space="preserve">WL-02570</t>
  </si>
  <si>
    <t xml:space="preserve">Brianna Dorsey</t>
  </si>
  <si>
    <t xml:space="preserve">WL-02571</t>
  </si>
  <si>
    <t xml:space="preserve">Jesse Martinez</t>
  </si>
  <si>
    <t xml:space="preserve">WL-02572</t>
  </si>
  <si>
    <t xml:space="preserve">Kelly Cox</t>
  </si>
  <si>
    <t xml:space="preserve">WL-02573</t>
  </si>
  <si>
    <t xml:space="preserve">Jason Bell</t>
  </si>
  <si>
    <t xml:space="preserve">WL-02574</t>
  </si>
  <si>
    <t xml:space="preserve">Elizabeth Larsen</t>
  </si>
  <si>
    <t xml:space="preserve">WL-02575</t>
  </si>
  <si>
    <t xml:space="preserve">Victoria Aguirre</t>
  </si>
  <si>
    <t xml:space="preserve">WL-02576</t>
  </si>
  <si>
    <t xml:space="preserve">Stephanie Lopez</t>
  </si>
  <si>
    <t xml:space="preserve">BRANT BAY</t>
  </si>
  <si>
    <t xml:space="preserve">WL-02577</t>
  </si>
  <si>
    <t xml:space="preserve">Aaron Higgins</t>
  </si>
  <si>
    <t xml:space="preserve">WL-02578</t>
  </si>
  <si>
    <t xml:space="preserve">Heather Duncan</t>
  </si>
  <si>
    <t xml:space="preserve">WL-02579</t>
  </si>
  <si>
    <t xml:space="preserve">Bradley Becker</t>
  </si>
  <si>
    <t xml:space="preserve">WL-02580</t>
  </si>
  <si>
    <t xml:space="preserve">Tracy Campbell</t>
  </si>
  <si>
    <t xml:space="preserve">WL-02581</t>
  </si>
  <si>
    <t xml:space="preserve">Carolyn Sanchez</t>
  </si>
  <si>
    <t xml:space="preserve">WL-02582</t>
  </si>
  <si>
    <t xml:space="preserve">Margaret Nelson</t>
  </si>
  <si>
    <t xml:space="preserve">WL-02583</t>
  </si>
  <si>
    <t xml:space="preserve">Jacqueline Johnson</t>
  </si>
  <si>
    <t xml:space="preserve">WL-02584</t>
  </si>
  <si>
    <t xml:space="preserve">Suzanne Smith</t>
  </si>
  <si>
    <t xml:space="preserve">WL-02585</t>
  </si>
  <si>
    <t xml:space="preserve">Jacob Hammond</t>
  </si>
  <si>
    <t xml:space="preserve">WL-02586</t>
  </si>
  <si>
    <t xml:space="preserve">Shelby Stanton</t>
  </si>
  <si>
    <t xml:space="preserve">WL-02587</t>
  </si>
  <si>
    <t xml:space="preserve">Mary Figueroa</t>
  </si>
  <si>
    <t xml:space="preserve">WL-02588</t>
  </si>
  <si>
    <t xml:space="preserve">Laura Wiley</t>
  </si>
  <si>
    <t xml:space="preserve">WL-02589</t>
  </si>
  <si>
    <t xml:space="preserve">Tammie Johnson</t>
  </si>
  <si>
    <t xml:space="preserve">WL-02590</t>
  </si>
  <si>
    <t xml:space="preserve">Thomas Anderson</t>
  </si>
  <si>
    <t xml:space="preserve">WL-02591</t>
  </si>
  <si>
    <t xml:space="preserve">Kyle Thompson</t>
  </si>
  <si>
    <t xml:space="preserve">WL-02592</t>
  </si>
  <si>
    <t xml:space="preserve">Stacy Hernandez</t>
  </si>
  <si>
    <t xml:space="preserve">WL-02593</t>
  </si>
  <si>
    <t xml:space="preserve">Jennifer Dunn</t>
  </si>
  <si>
    <t xml:space="preserve">WL-02594</t>
  </si>
  <si>
    <t xml:space="preserve">Tina Johnson</t>
  </si>
  <si>
    <t xml:space="preserve">WL-02595</t>
  </si>
  <si>
    <t xml:space="preserve">Cheryl Wood</t>
  </si>
  <si>
    <t xml:space="preserve">WL-02596</t>
  </si>
  <si>
    <t xml:space="preserve">Kevin Williams</t>
  </si>
  <si>
    <t xml:space="preserve">DRIFT DANCER</t>
  </si>
  <si>
    <t xml:space="preserve">WL-02597</t>
  </si>
  <si>
    <t xml:space="preserve">Michael Wong</t>
  </si>
  <si>
    <t xml:space="preserve">WL-02598</t>
  </si>
  <si>
    <t xml:space="preserve">Nicole Rubio</t>
  </si>
  <si>
    <t xml:space="preserve">WL-02599</t>
  </si>
  <si>
    <t xml:space="preserve">James Stephens</t>
  </si>
  <si>
    <t xml:space="preserve">WL-02600</t>
  </si>
  <si>
    <t xml:space="preserve">Alicia Fritz</t>
  </si>
  <si>
    <t xml:space="preserve">WL-02601</t>
  </si>
  <si>
    <t xml:space="preserve">WL-02602</t>
  </si>
  <si>
    <t xml:space="preserve">John Shah</t>
  </si>
  <si>
    <t xml:space="preserve">WL-02603</t>
  </si>
  <si>
    <t xml:space="preserve">Sharon Lopez</t>
  </si>
  <si>
    <t xml:space="preserve">WL-02604</t>
  </si>
  <si>
    <t xml:space="preserve">Jeremy Scott</t>
  </si>
  <si>
    <t xml:space="preserve">WL-02605</t>
  </si>
  <si>
    <t xml:space="preserve">Steven Jones</t>
  </si>
  <si>
    <t xml:space="preserve">WL-02606</t>
  </si>
  <si>
    <t xml:space="preserve">Steve Torres</t>
  </si>
  <si>
    <t xml:space="preserve">WL-02607</t>
  </si>
  <si>
    <t xml:space="preserve">Sean Charles</t>
  </si>
  <si>
    <t xml:space="preserve">WL-02608</t>
  </si>
  <si>
    <t xml:space="preserve">Timothy Porter</t>
  </si>
  <si>
    <t xml:space="preserve">WL-02609</t>
  </si>
  <si>
    <t xml:space="preserve">Timothy Ortiz</t>
  </si>
  <si>
    <t xml:space="preserve">WL-02610</t>
  </si>
  <si>
    <t xml:space="preserve">Kathleen Alvarez</t>
  </si>
  <si>
    <t xml:space="preserve">WL-02611</t>
  </si>
  <si>
    <t xml:space="preserve">Rachel Franklin</t>
  </si>
  <si>
    <t xml:space="preserve">WL-02612</t>
  </si>
  <si>
    <t xml:space="preserve">Kevin Fritz</t>
  </si>
  <si>
    <t xml:space="preserve">WL-02613</t>
  </si>
  <si>
    <t xml:space="preserve">Carolyn Farrell</t>
  </si>
  <si>
    <t xml:space="preserve">WL-02614</t>
  </si>
  <si>
    <t xml:space="preserve">Jasmine Kennedy</t>
  </si>
  <si>
    <t xml:space="preserve">WL-02615</t>
  </si>
  <si>
    <t xml:space="preserve">Tracy Wallace</t>
  </si>
  <si>
    <t xml:space="preserve">WL-02616</t>
  </si>
  <si>
    <t xml:space="preserve">Billy Banks</t>
  </si>
  <si>
    <t xml:space="preserve">WL-02617</t>
  </si>
  <si>
    <t xml:space="preserve">Shane Lozano</t>
  </si>
  <si>
    <t xml:space="preserve">WL-02618</t>
  </si>
  <si>
    <t xml:space="preserve">Gary Tomlinson</t>
  </si>
  <si>
    <t xml:space="preserve">SECOND WIND</t>
  </si>
  <si>
    <t xml:space="preserve">WL-02619</t>
  </si>
  <si>
    <t xml:space="preserve">Robert Blankenship</t>
  </si>
  <si>
    <t xml:space="preserve">WL-02620</t>
  </si>
  <si>
    <t xml:space="preserve">Heather Compton</t>
  </si>
  <si>
    <t xml:space="preserve">WL-02621</t>
  </si>
  <si>
    <t xml:space="preserve">Tanner Hill</t>
  </si>
  <si>
    <t xml:space="preserve">WL-02622</t>
  </si>
  <si>
    <t xml:space="preserve">Laura Murillo</t>
  </si>
  <si>
    <t xml:space="preserve">WL-02623</t>
  </si>
  <si>
    <t xml:space="preserve">Kristen Sanchez</t>
  </si>
  <si>
    <t xml:space="preserve">WL-02624</t>
  </si>
  <si>
    <t xml:space="preserve">Danielle Smith</t>
  </si>
  <si>
    <t xml:space="preserve">WL-02625</t>
  </si>
  <si>
    <t xml:space="preserve">Samantha Friedman</t>
  </si>
  <si>
    <t xml:space="preserve">WL-02626</t>
  </si>
  <si>
    <t xml:space="preserve">Michael Sanchez</t>
  </si>
  <si>
    <t xml:space="preserve">WL-02627</t>
  </si>
  <si>
    <t xml:space="preserve">Cynthia Campbell</t>
  </si>
  <si>
    <t xml:space="preserve">WL-02628</t>
  </si>
  <si>
    <t xml:space="preserve">Tammy Mooney</t>
  </si>
  <si>
    <t xml:space="preserve">WL-02629</t>
  </si>
  <si>
    <t xml:space="preserve">Joseph Powell</t>
  </si>
  <si>
    <t xml:space="preserve">WL-02630</t>
  </si>
  <si>
    <t xml:space="preserve">Susan Snow</t>
  </si>
  <si>
    <t xml:space="preserve">WL-02631</t>
  </si>
  <si>
    <t xml:space="preserve">Sandra Gonzales</t>
  </si>
  <si>
    <t xml:space="preserve">WL-02632</t>
  </si>
  <si>
    <t xml:space="preserve">Kirk Hunter</t>
  </si>
  <si>
    <t xml:space="preserve">WL-02633</t>
  </si>
  <si>
    <t xml:space="preserve">Jordan Torres</t>
  </si>
  <si>
    <t xml:space="preserve">WL-02634</t>
  </si>
  <si>
    <t xml:space="preserve">Michelle Cooper</t>
  </si>
  <si>
    <t xml:space="preserve">KESTREL WAKE</t>
  </si>
  <si>
    <t xml:space="preserve">WL-02635</t>
  </si>
  <si>
    <t xml:space="preserve">Roger Bowers</t>
  </si>
  <si>
    <t xml:space="preserve">WL-02636</t>
  </si>
  <si>
    <t xml:space="preserve">Andrew Young</t>
  </si>
  <si>
    <t xml:space="preserve">WL-02637</t>
  </si>
  <si>
    <t xml:space="preserve">William Taylor</t>
  </si>
  <si>
    <t xml:space="preserve">WL-02638</t>
  </si>
  <si>
    <t xml:space="preserve">Rose Fitzgerald</t>
  </si>
  <si>
    <t xml:space="preserve">WL-02639</t>
  </si>
  <si>
    <t xml:space="preserve">Ronald Moore</t>
  </si>
  <si>
    <t xml:space="preserve">WL-02640</t>
  </si>
  <si>
    <t xml:space="preserve">Jeremy Downs</t>
  </si>
  <si>
    <t xml:space="preserve">WL-02641</t>
  </si>
  <si>
    <t xml:space="preserve">Denise Miles</t>
  </si>
  <si>
    <t xml:space="preserve">WL-02642</t>
  </si>
  <si>
    <t xml:space="preserve">Ann Gutierrez</t>
  </si>
  <si>
    <t xml:space="preserve">WL-02643</t>
  </si>
  <si>
    <t xml:space="preserve">Joshua Villanueva</t>
  </si>
  <si>
    <t xml:space="preserve">WL-02644</t>
  </si>
  <si>
    <t xml:space="preserve">Larry Klein</t>
  </si>
  <si>
    <t xml:space="preserve">WL-02645</t>
  </si>
  <si>
    <t xml:space="preserve">Rose Gonzalez</t>
  </si>
  <si>
    <t xml:space="preserve">WL-02646</t>
  </si>
  <si>
    <t xml:space="preserve">Erik Meyer</t>
  </si>
  <si>
    <t xml:space="preserve">WL-02647</t>
  </si>
  <si>
    <t xml:space="preserve">Seth Perez</t>
  </si>
  <si>
    <t xml:space="preserve">WL-02648</t>
  </si>
  <si>
    <t xml:space="preserve">William Russell</t>
  </si>
  <si>
    <t xml:space="preserve">WL-02649</t>
  </si>
  <si>
    <t xml:space="preserve">Nicholas Callahan</t>
  </si>
  <si>
    <t xml:space="preserve">WL-02650</t>
  </si>
  <si>
    <t xml:space="preserve">Alex White</t>
  </si>
  <si>
    <t xml:space="preserve">WL-02651</t>
  </si>
  <si>
    <t xml:space="preserve">Jeremy Phelps</t>
  </si>
  <si>
    <t xml:space="preserve">WL-02652</t>
  </si>
  <si>
    <t xml:space="preserve">Pamela Mcpherson</t>
  </si>
  <si>
    <t xml:space="preserve">WL-02653</t>
  </si>
  <si>
    <t xml:space="preserve">Christine Jones</t>
  </si>
  <si>
    <t xml:space="preserve">WL-02654</t>
  </si>
  <si>
    <t xml:space="preserve">Christopher Evans</t>
  </si>
  <si>
    <t xml:space="preserve">WL-02655</t>
  </si>
  <si>
    <t xml:space="preserve">Vanessa Hale</t>
  </si>
  <si>
    <t xml:space="preserve">WL-02656</t>
  </si>
  <si>
    <t xml:space="preserve">David Horton</t>
  </si>
  <si>
    <t xml:space="preserve">WL-02657</t>
  </si>
  <si>
    <t xml:space="preserve">Keith Barr</t>
  </si>
  <si>
    <t xml:space="preserve">WL-02658</t>
  </si>
  <si>
    <t xml:space="preserve">Cynthia Allen</t>
  </si>
  <si>
    <t xml:space="preserve">WL-02659</t>
  </si>
  <si>
    <t xml:space="preserve">Loretta Murillo</t>
  </si>
  <si>
    <t xml:space="preserve">WL-02660</t>
  </si>
  <si>
    <t xml:space="preserve">Bridget Moore</t>
  </si>
  <si>
    <t xml:space="preserve">WL-02661</t>
  </si>
  <si>
    <t xml:space="preserve">Angela Poole</t>
  </si>
  <si>
    <t xml:space="preserve">HERON BAY</t>
  </si>
  <si>
    <t xml:space="preserve">WL-02662</t>
  </si>
  <si>
    <t xml:space="preserve">Katherine Livingston</t>
  </si>
  <si>
    <t xml:space="preserve">WL-02663</t>
  </si>
  <si>
    <t xml:space="preserve">Susan Thompson</t>
  </si>
  <si>
    <t xml:space="preserve">SALISH SOUND</t>
  </si>
  <si>
    <t xml:space="preserve">WL-02664</t>
  </si>
  <si>
    <t xml:space="preserve">Mark Smith</t>
  </si>
  <si>
    <t xml:space="preserve">WL-02665</t>
  </si>
  <si>
    <t xml:space="preserve">Ashley Kaiser</t>
  </si>
  <si>
    <t xml:space="preserve">WL-02666</t>
  </si>
  <si>
    <t xml:space="preserve">Amber Liu</t>
  </si>
  <si>
    <t xml:space="preserve">WL-02667</t>
  </si>
  <si>
    <t xml:space="preserve">Stephanie Thomas</t>
  </si>
  <si>
    <t xml:space="preserve">WL-02668</t>
  </si>
  <si>
    <t xml:space="preserve">Tracey Williams</t>
  </si>
  <si>
    <t xml:space="preserve">WL-02669</t>
  </si>
  <si>
    <t xml:space="preserve">Ashley Charles</t>
  </si>
  <si>
    <t xml:space="preserve">WL-02670</t>
  </si>
  <si>
    <t xml:space="preserve">Sara Hamilton</t>
  </si>
  <si>
    <t xml:space="preserve">WL-02671</t>
  </si>
  <si>
    <t xml:space="preserve">Monica Stephens</t>
  </si>
  <si>
    <t xml:space="preserve">WL-02672</t>
  </si>
  <si>
    <t xml:space="preserve">Russell Barnes</t>
  </si>
  <si>
    <t xml:space="preserve">WL-02673</t>
  </si>
  <si>
    <t xml:space="preserve">Rodney Watson</t>
  </si>
  <si>
    <t xml:space="preserve">WL-02674</t>
  </si>
  <si>
    <t xml:space="preserve">Jennifer Campbell</t>
  </si>
  <si>
    <t xml:space="preserve">WL-02675</t>
  </si>
  <si>
    <t xml:space="preserve">Christopher Lopez</t>
  </si>
  <si>
    <t xml:space="preserve">WL-02676</t>
  </si>
  <si>
    <t xml:space="preserve">Janice Walker</t>
  </si>
  <si>
    <t xml:space="preserve">WL-02677</t>
  </si>
  <si>
    <t xml:space="preserve">Brandon Cabrera</t>
  </si>
  <si>
    <t xml:space="preserve">WL-02678</t>
  </si>
  <si>
    <t xml:space="preserve">Heather Hall</t>
  </si>
  <si>
    <t xml:space="preserve">WL-02679</t>
  </si>
  <si>
    <t xml:space="preserve">Richard Johnson</t>
  </si>
  <si>
    <t xml:space="preserve">WL-02680</t>
  </si>
  <si>
    <t xml:space="preserve">Melanie Rivera</t>
  </si>
  <si>
    <t xml:space="preserve">WL-02681</t>
  </si>
  <si>
    <t xml:space="preserve">Janice Webster</t>
  </si>
  <si>
    <t xml:space="preserve">WL-02682</t>
  </si>
  <si>
    <t xml:space="preserve">Erica Gomez</t>
  </si>
  <si>
    <t xml:space="preserve">WL-02683</t>
  </si>
  <si>
    <t xml:space="preserve">Joseph Ramsey</t>
  </si>
  <si>
    <t xml:space="preserve">WL-02684</t>
  </si>
  <si>
    <t xml:space="preserve">Kristen Collins</t>
  </si>
  <si>
    <t xml:space="preserve">WL-02685</t>
  </si>
  <si>
    <t xml:space="preserve">Stephanie Hill</t>
  </si>
  <si>
    <t xml:space="preserve">WL-02686</t>
  </si>
  <si>
    <t xml:space="preserve">David Forbes</t>
  </si>
  <si>
    <t xml:space="preserve">WL-02687</t>
  </si>
  <si>
    <t xml:space="preserve">Jennifer Rodriguez</t>
  </si>
  <si>
    <t xml:space="preserve">WL-02688</t>
  </si>
  <si>
    <t xml:space="preserve">Joseph Cohen</t>
  </si>
  <si>
    <t xml:space="preserve">MURRE QUEEN</t>
  </si>
  <si>
    <t xml:space="preserve">WL-02689</t>
  </si>
  <si>
    <t xml:space="preserve">Julie Silva</t>
  </si>
  <si>
    <t xml:space="preserve">WL-02690</t>
  </si>
  <si>
    <t xml:space="preserve">Gregory Nicholson</t>
  </si>
  <si>
    <t xml:space="preserve">WL-02691</t>
  </si>
  <si>
    <t xml:space="preserve">Pamela Le</t>
  </si>
  <si>
    <t xml:space="preserve">WL-02692</t>
  </si>
  <si>
    <t xml:space="preserve">Benjamin Vasquez</t>
  </si>
  <si>
    <t xml:space="preserve">WL-02693</t>
  </si>
  <si>
    <t xml:space="preserve">Patrick Allen</t>
  </si>
  <si>
    <t xml:space="preserve">WL-02694</t>
  </si>
  <si>
    <t xml:space="preserve">Jacob Meyers</t>
  </si>
  <si>
    <t xml:space="preserve">WL-02695</t>
  </si>
  <si>
    <t xml:space="preserve">Anthony Hamilton</t>
  </si>
  <si>
    <t xml:space="preserve">WL-02696</t>
  </si>
  <si>
    <t xml:space="preserve">Hunter Galloway</t>
  </si>
  <si>
    <t xml:space="preserve">WL-02697</t>
  </si>
  <si>
    <t xml:space="preserve">Wendy Green</t>
  </si>
  <si>
    <t xml:space="preserve">WL-02698</t>
  </si>
  <si>
    <t xml:space="preserve">Laura Mckenzie</t>
  </si>
  <si>
    <t xml:space="preserve">WL-02699</t>
  </si>
  <si>
    <t xml:space="preserve">Sharon Gonzales</t>
  </si>
  <si>
    <t xml:space="preserve">WL-02700</t>
  </si>
  <si>
    <t xml:space="preserve">Amanda Perkins</t>
  </si>
  <si>
    <t xml:space="preserve">WL-02701</t>
  </si>
  <si>
    <t xml:space="preserve">Julian Larson</t>
  </si>
  <si>
    <t xml:space="preserve">WL-02702</t>
  </si>
  <si>
    <t xml:space="preserve">Eric Schneider</t>
  </si>
  <si>
    <t xml:space="preserve">WL-02703</t>
  </si>
  <si>
    <t xml:space="preserve">Anthony Armstrong</t>
  </si>
  <si>
    <t xml:space="preserve">WL-02704</t>
  </si>
  <si>
    <t xml:space="preserve">Ruth Lucas</t>
  </si>
  <si>
    <t xml:space="preserve">WL-02705</t>
  </si>
  <si>
    <t xml:space="preserve">Amy Smith</t>
  </si>
  <si>
    <t xml:space="preserve">WL-02706</t>
  </si>
  <si>
    <t xml:space="preserve">Allison Fisher</t>
  </si>
  <si>
    <t xml:space="preserve">WL-02707</t>
  </si>
  <si>
    <t xml:space="preserve">Ronnie Anderson</t>
  </si>
  <si>
    <t xml:space="preserve">WL-02708</t>
  </si>
  <si>
    <t xml:space="preserve">Denise Boyd</t>
  </si>
  <si>
    <t xml:space="preserve">KESTREL ROSE</t>
  </si>
  <si>
    <t xml:space="preserve">WL-02709</t>
  </si>
  <si>
    <t xml:space="preserve">WL-02710</t>
  </si>
  <si>
    <t xml:space="preserve">Brittany Greene</t>
  </si>
  <si>
    <t xml:space="preserve">WL-02711</t>
  </si>
  <si>
    <t xml:space="preserve">David Baker</t>
  </si>
  <si>
    <t xml:space="preserve">SABLE QUEEN</t>
  </si>
  <si>
    <t xml:space="preserve">WL-02712</t>
  </si>
  <si>
    <t xml:space="preserve">Sarah Garcia</t>
  </si>
  <si>
    <t xml:space="preserve">WL-02713</t>
  </si>
  <si>
    <t xml:space="preserve">Alexander Evans</t>
  </si>
  <si>
    <t xml:space="preserve">WL-02714</t>
  </si>
  <si>
    <t xml:space="preserve">Mitchell Sanchez</t>
  </si>
  <si>
    <t xml:space="preserve">WL-02715</t>
  </si>
  <si>
    <t xml:space="preserve">Wanda Daniel</t>
  </si>
  <si>
    <t xml:space="preserve">WL-02716</t>
  </si>
  <si>
    <t xml:space="preserve">John Nguyen</t>
  </si>
  <si>
    <t xml:space="preserve">WL-02717</t>
  </si>
  <si>
    <t xml:space="preserve">Ryan Phillips</t>
  </si>
  <si>
    <t xml:space="preserve">WL-02718</t>
  </si>
  <si>
    <t xml:space="preserve">Andrew Pena</t>
  </si>
  <si>
    <t xml:space="preserve">WL-02719</t>
  </si>
  <si>
    <t xml:space="preserve">Travis Sexton</t>
  </si>
  <si>
    <t xml:space="preserve">WL-02720</t>
  </si>
  <si>
    <t xml:space="preserve">Lindsay Richards</t>
  </si>
  <si>
    <t xml:space="preserve">WL-02721</t>
  </si>
  <si>
    <t xml:space="preserve">Carol Scott</t>
  </si>
  <si>
    <t xml:space="preserve">WL-02722</t>
  </si>
  <si>
    <t xml:space="preserve">Alexander Hernandez</t>
  </si>
  <si>
    <t xml:space="preserve">WL-02723</t>
  </si>
  <si>
    <t xml:space="preserve">Gregory Curtis</t>
  </si>
  <si>
    <t xml:space="preserve">WL-02724</t>
  </si>
  <si>
    <t xml:space="preserve">Benjamin Hawkins</t>
  </si>
  <si>
    <t xml:space="preserve">WL-02725</t>
  </si>
  <si>
    <t xml:space="preserve">Matthew Hernandez</t>
  </si>
  <si>
    <t xml:space="preserve">WL-02726</t>
  </si>
  <si>
    <t xml:space="preserve">Michelle Herman</t>
  </si>
  <si>
    <t xml:space="preserve">HALIBUT WEATHER</t>
  </si>
  <si>
    <t xml:space="preserve">WL-02727</t>
  </si>
  <si>
    <t xml:space="preserve">Anthony Hernandez</t>
  </si>
  <si>
    <t xml:space="preserve">WL-02728</t>
  </si>
  <si>
    <t xml:space="preserve">Ralph Archer</t>
  </si>
  <si>
    <t xml:space="preserve">WL-02729</t>
  </si>
  <si>
    <t xml:space="preserve">James Henderson</t>
  </si>
  <si>
    <t xml:space="preserve">WL-02730</t>
  </si>
  <si>
    <t xml:space="preserve">Christina Chang</t>
  </si>
  <si>
    <t xml:space="preserve">WL-02731</t>
  </si>
  <si>
    <t xml:space="preserve">Allison Taylor</t>
  </si>
  <si>
    <t xml:space="preserve">WL-02732</t>
  </si>
  <si>
    <t xml:space="preserve">Jamie Gross</t>
  </si>
  <si>
    <t xml:space="preserve">WL-02733</t>
  </si>
  <si>
    <t xml:space="preserve">Tiffany Melendez</t>
  </si>
  <si>
    <t xml:space="preserve">WL-02734</t>
  </si>
  <si>
    <t xml:space="preserve">Kenneth Lewis</t>
  </si>
  <si>
    <t xml:space="preserve">WL-02735</t>
  </si>
  <si>
    <t xml:space="preserve">Kristen Orr</t>
  </si>
  <si>
    <t xml:space="preserve">WL-02736</t>
  </si>
  <si>
    <t xml:space="preserve">Lisa Newton</t>
  </si>
  <si>
    <t xml:space="preserve">WL-02737</t>
  </si>
  <si>
    <t xml:space="preserve">Kimberly Crosby</t>
  </si>
  <si>
    <t xml:space="preserve">WL-02738</t>
  </si>
  <si>
    <t xml:space="preserve">Wanda Schmitt</t>
  </si>
  <si>
    <t xml:space="preserve">WL-02739</t>
  </si>
  <si>
    <t xml:space="preserve">Aaron Bennett</t>
  </si>
  <si>
    <t xml:space="preserve">WL-02740</t>
  </si>
  <si>
    <t xml:space="preserve">Holly Valdez</t>
  </si>
  <si>
    <t xml:space="preserve">WL-02741</t>
  </si>
  <si>
    <t xml:space="preserve">Megan Moran</t>
  </si>
  <si>
    <t xml:space="preserve">WL-02742</t>
  </si>
  <si>
    <t xml:space="preserve">Lisa Smith</t>
  </si>
  <si>
    <t xml:space="preserve">WL-02743</t>
  </si>
  <si>
    <t xml:space="preserve">Mary Riddle</t>
  </si>
  <si>
    <t xml:space="preserve">WL-02744</t>
  </si>
  <si>
    <t xml:space="preserve">Sheena Hoffman</t>
  </si>
  <si>
    <t xml:space="preserve">WL-02745</t>
  </si>
  <si>
    <t xml:space="preserve">Olivia Baldwin</t>
  </si>
  <si>
    <t xml:space="preserve">WL-02746</t>
  </si>
  <si>
    <t xml:space="preserve">Patrick Potter</t>
  </si>
  <si>
    <t xml:space="preserve">FOUL GLIDE</t>
  </si>
  <si>
    <t xml:space="preserve">WL-02747</t>
  </si>
  <si>
    <t xml:space="preserve">Angel Massey</t>
  </si>
  <si>
    <t xml:space="preserve">WL-02748</t>
  </si>
  <si>
    <t xml:space="preserve">Ross Griffin</t>
  </si>
  <si>
    <t xml:space="preserve">WL-02749</t>
  </si>
  <si>
    <t xml:space="preserve">Stephanie French</t>
  </si>
  <si>
    <t xml:space="preserve">WL-02750</t>
  </si>
  <si>
    <t xml:space="preserve">Sarah Graves</t>
  </si>
  <si>
    <t xml:space="preserve">FOUL RUNNER</t>
  </si>
  <si>
    <t xml:space="preserve">WL-02751</t>
  </si>
  <si>
    <t xml:space="preserve">Tracy Austin</t>
  </si>
  <si>
    <t xml:space="preserve">WL-02752</t>
  </si>
  <si>
    <t xml:space="preserve">Daniel Ward</t>
  </si>
  <si>
    <t xml:space="preserve">WL-02753</t>
  </si>
  <si>
    <t xml:space="preserve">Kyle Brooks</t>
  </si>
  <si>
    <t xml:space="preserve">WL-02754</t>
  </si>
  <si>
    <t xml:space="preserve">Kristen Johnson</t>
  </si>
  <si>
    <t xml:space="preserve">WL-02755</t>
  </si>
  <si>
    <t xml:space="preserve">James Mitchell</t>
  </si>
  <si>
    <t xml:space="preserve">WL-02756</t>
  </si>
  <si>
    <t xml:space="preserve">Gregory Phillips</t>
  </si>
  <si>
    <t xml:space="preserve">WL-02757</t>
  </si>
  <si>
    <t xml:space="preserve">Mariah Green</t>
  </si>
  <si>
    <t xml:space="preserve">WL-02758</t>
  </si>
  <si>
    <t xml:space="preserve">Lee Carter</t>
  </si>
  <si>
    <t xml:space="preserve">WL-02759</t>
  </si>
  <si>
    <t xml:space="preserve">Michael Rose</t>
  </si>
  <si>
    <t xml:space="preserve">WL-02760</t>
  </si>
  <si>
    <t xml:space="preserve">Jonathan Byrd</t>
  </si>
  <si>
    <t xml:space="preserve">WL-02761</t>
  </si>
  <si>
    <t xml:space="preserve">Timothy Coleman</t>
  </si>
  <si>
    <t xml:space="preserve">WL-02762</t>
  </si>
  <si>
    <t xml:space="preserve">WL-02763</t>
  </si>
  <si>
    <t xml:space="preserve">Ryan Burgess</t>
  </si>
  <si>
    <t xml:space="preserve">WL-02764</t>
  </si>
  <si>
    <t xml:space="preserve">Jason Bradley</t>
  </si>
  <si>
    <t xml:space="preserve">WL-02765</t>
  </si>
  <si>
    <t xml:space="preserve">Rachel Russo</t>
  </si>
  <si>
    <t xml:space="preserve">WL-02766</t>
  </si>
  <si>
    <t xml:space="preserve">Valerie Macias</t>
  </si>
  <si>
    <t xml:space="preserve">WL-02767</t>
  </si>
  <si>
    <t xml:space="preserve">Raymond Mckay</t>
  </si>
  <si>
    <t xml:space="preserve">WL-02768</t>
  </si>
  <si>
    <t xml:space="preserve">Sandra Sweeney</t>
  </si>
  <si>
    <t xml:space="preserve">WL-02769</t>
  </si>
  <si>
    <t xml:space="preserve">Jacqueline Simon</t>
  </si>
  <si>
    <t xml:space="preserve">WL-02770</t>
  </si>
  <si>
    <t xml:space="preserve">Henry Okafor</t>
  </si>
  <si>
    <t xml:space="preserve">WL-02771</t>
  </si>
  <si>
    <t xml:space="preserve">Lisa Garcia</t>
  </si>
  <si>
    <t xml:space="preserve">DRIFT STAR</t>
  </si>
  <si>
    <t xml:space="preserve">WL-02772</t>
  </si>
  <si>
    <t xml:space="preserve">Sarah Chambers</t>
  </si>
  <si>
    <t xml:space="preserve">WL-02773</t>
  </si>
  <si>
    <t xml:space="preserve">Joshua Palmer</t>
  </si>
  <si>
    <t xml:space="preserve">WL-02774</t>
  </si>
  <si>
    <t xml:space="preserve">Benjamin Harris</t>
  </si>
  <si>
    <t xml:space="preserve">WL-02775</t>
  </si>
  <si>
    <t xml:space="preserve">Samantha Graham</t>
  </si>
  <si>
    <t xml:space="preserve">WL-02776</t>
  </si>
  <si>
    <t xml:space="preserve">Kayla Sanders</t>
  </si>
  <si>
    <t xml:space="preserve">WL-02777</t>
  </si>
  <si>
    <t xml:space="preserve">Carolyn Johnson</t>
  </si>
  <si>
    <t xml:space="preserve">WL-02778</t>
  </si>
  <si>
    <t xml:space="preserve">Joel Gregory</t>
  </si>
  <si>
    <t xml:space="preserve">WL-02779</t>
  </si>
  <si>
    <t xml:space="preserve">Patricia Harris</t>
  </si>
  <si>
    <t xml:space="preserve">WL-02780</t>
  </si>
  <si>
    <t xml:space="preserve">Christopher Taylor</t>
  </si>
  <si>
    <t xml:space="preserve">WL-02781</t>
  </si>
  <si>
    <t xml:space="preserve">Trevor Perez</t>
  </si>
  <si>
    <t xml:space="preserve">WL-02782</t>
  </si>
  <si>
    <t xml:space="preserve">Judy Adams</t>
  </si>
  <si>
    <t xml:space="preserve">DRIFT WEATHER</t>
  </si>
  <si>
    <t xml:space="preserve">WL-02783</t>
  </si>
  <si>
    <t xml:space="preserve">Jean Garza</t>
  </si>
  <si>
    <t xml:space="preserve">WL-02784</t>
  </si>
  <si>
    <t xml:space="preserve">Mary Freeman</t>
  </si>
  <si>
    <t xml:space="preserve">WL-02785</t>
  </si>
  <si>
    <t xml:space="preserve">Jennifer Little</t>
  </si>
  <si>
    <t xml:space="preserve">WL-02786</t>
  </si>
  <si>
    <t xml:space="preserve">Tasha Mason</t>
  </si>
  <si>
    <t xml:space="preserve">WL-02787</t>
  </si>
  <si>
    <t xml:space="preserve">David Dawson</t>
  </si>
  <si>
    <t xml:space="preserve">WL-02788</t>
  </si>
  <si>
    <t xml:space="preserve">Eric Mcdaniel</t>
  </si>
  <si>
    <t xml:space="preserve">WL-02789</t>
  </si>
  <si>
    <t xml:space="preserve">Elizabeth Berger</t>
  </si>
  <si>
    <t xml:space="preserve">WL-02790</t>
  </si>
  <si>
    <t xml:space="preserve">Mike Armstrong</t>
  </si>
  <si>
    <t xml:space="preserve">WL-02791</t>
  </si>
  <si>
    <t xml:space="preserve">Kyle Jimenez</t>
  </si>
  <si>
    <t xml:space="preserve">WL-02792</t>
  </si>
  <si>
    <t xml:space="preserve">Michelle Marsh</t>
  </si>
  <si>
    <t xml:space="preserve">WL-02793</t>
  </si>
  <si>
    <t xml:space="preserve">David Franco</t>
  </si>
  <si>
    <t xml:space="preserve">WL-02794</t>
  </si>
  <si>
    <t xml:space="preserve">Chelsea Weiss</t>
  </si>
  <si>
    <t xml:space="preserve">WL-02795</t>
  </si>
  <si>
    <t xml:space="preserve">Sean Calhoun</t>
  </si>
  <si>
    <t xml:space="preserve">WL-02796</t>
  </si>
  <si>
    <t xml:space="preserve">Gavin Scott</t>
  </si>
  <si>
    <t xml:space="preserve">WL-02797</t>
  </si>
  <si>
    <t xml:space="preserve">Lori Stephens</t>
  </si>
  <si>
    <t xml:space="preserve">WL-02798</t>
  </si>
  <si>
    <t xml:space="preserve">Cindy Vaughn</t>
  </si>
  <si>
    <t xml:space="preserve">WL-02799</t>
  </si>
  <si>
    <t xml:space="preserve">Amber Turner</t>
  </si>
  <si>
    <t xml:space="preserve">WL-02800</t>
  </si>
  <si>
    <t xml:space="preserve">Phillip Berg</t>
  </si>
  <si>
    <t xml:space="preserve">WL-02801</t>
  </si>
  <si>
    <t xml:space="preserve">Tony Burgess</t>
  </si>
  <si>
    <t xml:space="preserve">WL-02802</t>
  </si>
  <si>
    <t xml:space="preserve">Kimberly Poole</t>
  </si>
  <si>
    <t xml:space="preserve">WL-02803</t>
  </si>
  <si>
    <t xml:space="preserve">James Rodriguez</t>
  </si>
  <si>
    <t xml:space="preserve">WL-02804</t>
  </si>
  <si>
    <t xml:space="preserve">Danny Jones</t>
  </si>
  <si>
    <t xml:space="preserve">WL-02805</t>
  </si>
  <si>
    <t xml:space="preserve">Sheila Fuentes</t>
  </si>
  <si>
    <t xml:space="preserve">WL-02806</t>
  </si>
  <si>
    <t xml:space="preserve">Kimberly Chen</t>
  </si>
  <si>
    <t xml:space="preserve">WL-02807</t>
  </si>
  <si>
    <t xml:space="preserve">Julia Wells</t>
  </si>
  <si>
    <t xml:space="preserve">WL-02808</t>
  </si>
  <si>
    <t xml:space="preserve">Tammy Nelson</t>
  </si>
  <si>
    <t xml:space="preserve">WL-02809</t>
  </si>
  <si>
    <t xml:space="preserve">Austin Carey</t>
  </si>
  <si>
    <t xml:space="preserve">WL-02810</t>
  </si>
  <si>
    <t xml:space="preserve">Steven Morgan</t>
  </si>
  <si>
    <t xml:space="preserve">WL-02811</t>
  </si>
  <si>
    <t xml:space="preserve">Bryan Thomas</t>
  </si>
  <si>
    <t xml:space="preserve">MRURE WEATHER</t>
  </si>
  <si>
    <t xml:space="preserve">WL-02812</t>
  </si>
  <si>
    <t xml:space="preserve">Leslie Christensen</t>
  </si>
  <si>
    <t xml:space="preserve">WL-02813</t>
  </si>
  <si>
    <t xml:space="preserve">Calvin Dawson</t>
  </si>
  <si>
    <t xml:space="preserve">WL-02814</t>
  </si>
  <si>
    <t xml:space="preserve">John Hammond</t>
  </si>
  <si>
    <t xml:space="preserve">WL-02815</t>
  </si>
  <si>
    <t xml:space="preserve">Mark Myers</t>
  </si>
  <si>
    <t xml:space="preserve">WL-02816</t>
  </si>
  <si>
    <t xml:space="preserve">Joel Chang</t>
  </si>
  <si>
    <t xml:space="preserve">WL-02817</t>
  </si>
  <si>
    <t xml:space="preserve">James Morales</t>
  </si>
  <si>
    <t xml:space="preserve">WL-02818</t>
  </si>
  <si>
    <t xml:space="preserve">Andrew Bryan</t>
  </si>
  <si>
    <t xml:space="preserve">WL-02819</t>
  </si>
  <si>
    <t xml:space="preserve">Derrick Johnson</t>
  </si>
  <si>
    <t xml:space="preserve">WL-02820</t>
  </si>
  <si>
    <t xml:space="preserve">Christina Martin</t>
  </si>
  <si>
    <t xml:space="preserve">WL-02821</t>
  </si>
  <si>
    <t xml:space="preserve">Benjamin Smith</t>
  </si>
  <si>
    <t xml:space="preserve">WL-02822</t>
  </si>
  <si>
    <t xml:space="preserve">Evan Williams</t>
  </si>
  <si>
    <t xml:space="preserve">WL-02823</t>
  </si>
  <si>
    <t xml:space="preserve">Brian Nicholson</t>
  </si>
  <si>
    <t xml:space="preserve">WL-02824</t>
  </si>
  <si>
    <t xml:space="preserve">Carol Gallegos</t>
  </si>
  <si>
    <t xml:space="preserve">WL-02825</t>
  </si>
  <si>
    <t xml:space="preserve">Dustin Watkins</t>
  </si>
  <si>
    <t xml:space="preserve">SEAL RCEST</t>
  </si>
  <si>
    <t xml:space="preserve">WL-02826</t>
  </si>
  <si>
    <t xml:space="preserve">Deborah Wilson</t>
  </si>
  <si>
    <t xml:space="preserve">WL-02827</t>
  </si>
  <si>
    <t xml:space="preserve">Kimberly Wilson</t>
  </si>
  <si>
    <t xml:space="preserve">WL-02828</t>
  </si>
  <si>
    <t xml:space="preserve">Desiree Olsen</t>
  </si>
  <si>
    <t xml:space="preserve">WL-02829</t>
  </si>
  <si>
    <t xml:space="preserve">Jenna Lawrence</t>
  </si>
  <si>
    <t xml:space="preserve">WL-02830</t>
  </si>
  <si>
    <t xml:space="preserve">Jeffrey Larson</t>
  </si>
  <si>
    <t xml:space="preserve">WL-02831</t>
  </si>
  <si>
    <t xml:space="preserve">Benjamin Alexander</t>
  </si>
  <si>
    <t xml:space="preserve">WL-02832</t>
  </si>
  <si>
    <t xml:space="preserve">Mia Schwartz</t>
  </si>
  <si>
    <t xml:space="preserve">WL-02833</t>
  </si>
  <si>
    <t xml:space="preserve">Anna Davis</t>
  </si>
  <si>
    <t xml:space="preserve">WL-02834</t>
  </si>
  <si>
    <t xml:space="preserve">Gregory Chen</t>
  </si>
  <si>
    <t xml:space="preserve">WL-02835</t>
  </si>
  <si>
    <t xml:space="preserve">Jennifer Cox</t>
  </si>
  <si>
    <t xml:space="preserve">WL-02836</t>
  </si>
  <si>
    <t xml:space="preserve">Kimberly Coffey</t>
  </si>
  <si>
    <t xml:space="preserve">WL-02837</t>
  </si>
  <si>
    <t xml:space="preserve">Tara Elliott</t>
  </si>
  <si>
    <t xml:space="preserve">WL-02838</t>
  </si>
  <si>
    <t xml:space="preserve">Kimberly Griffin</t>
  </si>
  <si>
    <t xml:space="preserve">WL-02839</t>
  </si>
  <si>
    <t xml:space="preserve">April Reynolds</t>
  </si>
  <si>
    <t xml:space="preserve">WL-02840</t>
  </si>
  <si>
    <t xml:space="preserve">Zachary Mcdonald</t>
  </si>
  <si>
    <t xml:space="preserve">WL-02841</t>
  </si>
  <si>
    <t xml:space="preserve">Wendy Harvey</t>
  </si>
  <si>
    <t xml:space="preserve">WL-02842</t>
  </si>
  <si>
    <t xml:space="preserve">Henry Rhodes</t>
  </si>
  <si>
    <t xml:space="preserve">WL-02843</t>
  </si>
  <si>
    <t xml:space="preserve">Joshua Navarro</t>
  </si>
  <si>
    <t xml:space="preserve">WL-02844</t>
  </si>
  <si>
    <t xml:space="preserve">Michael Richards</t>
  </si>
  <si>
    <t xml:space="preserve">WL-02845</t>
  </si>
  <si>
    <t xml:space="preserve">Joshua Ortiz</t>
  </si>
  <si>
    <t xml:space="preserve">WL-02846</t>
  </si>
  <si>
    <t xml:space="preserve">Alexander Ryan</t>
  </si>
  <si>
    <t xml:space="preserve">WL-02847</t>
  </si>
  <si>
    <t xml:space="preserve">Julie Johnston</t>
  </si>
  <si>
    <t xml:space="preserve">WL-02848</t>
  </si>
  <si>
    <t xml:space="preserve">Abigail Myers</t>
  </si>
  <si>
    <t xml:space="preserve">WL-02849</t>
  </si>
  <si>
    <t xml:space="preserve">Peter Johnson</t>
  </si>
  <si>
    <t xml:space="preserve">WL-02850</t>
  </si>
  <si>
    <t xml:space="preserve">Edwin Boone</t>
  </si>
  <si>
    <t xml:space="preserve">WL-02851</t>
  </si>
  <si>
    <t xml:space="preserve">Andrew Rivera</t>
  </si>
  <si>
    <t xml:space="preserve">WL-02852</t>
  </si>
  <si>
    <t xml:space="preserve">Robert Mendoza</t>
  </si>
  <si>
    <t xml:space="preserve">WL-02853</t>
  </si>
  <si>
    <t xml:space="preserve">Adam Stevens</t>
  </si>
  <si>
    <t xml:space="preserve">WL-02854</t>
  </si>
  <si>
    <t xml:space="preserve">Michael Martinez</t>
  </si>
  <si>
    <t xml:space="preserve">WL-02855</t>
  </si>
  <si>
    <t xml:space="preserve">Kristy Bernard</t>
  </si>
  <si>
    <t xml:space="preserve">WL-02856</t>
  </si>
  <si>
    <t xml:space="preserve">WL-02857</t>
  </si>
  <si>
    <t xml:space="preserve">Charles Nichols</t>
  </si>
  <si>
    <t xml:space="preserve">BRANT ILGHT</t>
  </si>
  <si>
    <t xml:space="preserve">WL-02858</t>
  </si>
  <si>
    <t xml:space="preserve">Melissa Bailey</t>
  </si>
  <si>
    <t xml:space="preserve">WL-02859</t>
  </si>
  <si>
    <t xml:space="preserve">Anthony Hall</t>
  </si>
  <si>
    <t xml:space="preserve">WL-02860</t>
  </si>
  <si>
    <t xml:space="preserve">Sherry Ross</t>
  </si>
  <si>
    <t xml:space="preserve">SOPREY QUEEN</t>
  </si>
  <si>
    <t xml:space="preserve">WL-02861</t>
  </si>
  <si>
    <t xml:space="preserve">WL-02862</t>
  </si>
  <si>
    <t xml:space="preserve">Catherine Gentry</t>
  </si>
  <si>
    <t xml:space="preserve">WL-02863</t>
  </si>
  <si>
    <t xml:space="preserve">Amy Martin</t>
  </si>
  <si>
    <t xml:space="preserve">WL-02864</t>
  </si>
  <si>
    <t xml:space="preserve">Brittany Perry</t>
  </si>
  <si>
    <t xml:space="preserve">WL-02865</t>
  </si>
  <si>
    <t xml:space="preserve">Nancy Davis</t>
  </si>
  <si>
    <t xml:space="preserve">WL-02866</t>
  </si>
  <si>
    <t xml:space="preserve">Jonathan Snow</t>
  </si>
  <si>
    <t xml:space="preserve">WL-02867</t>
  </si>
  <si>
    <t xml:space="preserve">Joel Campos</t>
  </si>
  <si>
    <t xml:space="preserve">WL-02868</t>
  </si>
  <si>
    <t xml:space="preserve">Michael Lopez</t>
  </si>
  <si>
    <t xml:space="preserve">WL-02869</t>
  </si>
  <si>
    <t xml:space="preserve">George Robbins</t>
  </si>
  <si>
    <t xml:space="preserve">WL-02870</t>
  </si>
  <si>
    <t xml:space="preserve">Jessica Summers</t>
  </si>
  <si>
    <t xml:space="preserve">WL-02871</t>
  </si>
  <si>
    <t xml:space="preserve">Bailey Barnes</t>
  </si>
  <si>
    <t xml:space="preserve">WL-02872</t>
  </si>
  <si>
    <t xml:space="preserve">Jessica Fitzgerald</t>
  </si>
  <si>
    <t xml:space="preserve">WL-02873</t>
  </si>
  <si>
    <t xml:space="preserve">Brittany Wilkerson</t>
  </si>
  <si>
    <t xml:space="preserve">WL-02874</t>
  </si>
  <si>
    <t xml:space="preserve">Michael Sherman</t>
  </si>
  <si>
    <t xml:space="preserve">WL-02875</t>
  </si>
  <si>
    <t xml:space="preserve">Frank Beard</t>
  </si>
  <si>
    <t xml:space="preserve">SABLE MOON</t>
  </si>
  <si>
    <t xml:space="preserve">WL-02876</t>
  </si>
  <si>
    <t xml:space="preserve">Janice Collins</t>
  </si>
  <si>
    <t xml:space="preserve">WL-02877</t>
  </si>
  <si>
    <t xml:space="preserve">Sandra Milovich</t>
  </si>
  <si>
    <t xml:space="preserve">TIDE FLATS</t>
  </si>
  <si>
    <t xml:space="preserve">WL-02878</t>
  </si>
  <si>
    <t xml:space="preserve">Heidi Mendez</t>
  </si>
  <si>
    <t xml:space="preserve">WL-02879</t>
  </si>
  <si>
    <t xml:space="preserve">Vincent Long</t>
  </si>
  <si>
    <t xml:space="preserve">WL-02880</t>
  </si>
  <si>
    <t xml:space="preserve">Jason Donaldson</t>
  </si>
  <si>
    <t xml:space="preserve">WL-02881</t>
  </si>
  <si>
    <t xml:space="preserve">Christopher Woodward</t>
  </si>
  <si>
    <t xml:space="preserve">WL-02882</t>
  </si>
  <si>
    <t xml:space="preserve">Stephen Hernandez</t>
  </si>
  <si>
    <t xml:space="preserve">WL-02883</t>
  </si>
  <si>
    <t xml:space="preserve">William Drake</t>
  </si>
  <si>
    <t xml:space="preserve">WL-02884</t>
  </si>
  <si>
    <t xml:space="preserve">Lauren Barrera</t>
  </si>
  <si>
    <t xml:space="preserve">WL-02885</t>
  </si>
  <si>
    <t xml:space="preserve">James Rivera</t>
  </si>
  <si>
    <t xml:space="preserve">WL-02886</t>
  </si>
  <si>
    <t xml:space="preserve">Sarah Woods</t>
  </si>
  <si>
    <t xml:space="preserve">WL-02887</t>
  </si>
  <si>
    <t xml:space="preserve">Shelly Mayer</t>
  </si>
  <si>
    <t xml:space="preserve">WL-02888</t>
  </si>
  <si>
    <t xml:space="preserve">Spencer Rich</t>
  </si>
  <si>
    <t xml:space="preserve">WL-02889</t>
  </si>
  <si>
    <t xml:space="preserve">Melissa Ross</t>
  </si>
  <si>
    <t xml:space="preserve">WL-02890</t>
  </si>
  <si>
    <t xml:space="preserve">Crystal Morales</t>
  </si>
  <si>
    <t xml:space="preserve">WL-02891</t>
  </si>
  <si>
    <t xml:space="preserve">Jon Suarez</t>
  </si>
  <si>
    <t xml:space="preserve">WL-02892</t>
  </si>
  <si>
    <t xml:space="preserve">Martha Cook</t>
  </si>
  <si>
    <t xml:space="preserve">WL-02893</t>
  </si>
  <si>
    <t xml:space="preserve">Christopher Carrillo</t>
  </si>
  <si>
    <t xml:space="preserve">WL-02894</t>
  </si>
  <si>
    <t xml:space="preserve">WL-02895</t>
  </si>
  <si>
    <t xml:space="preserve">Madison Hensley</t>
  </si>
  <si>
    <t xml:space="preserve">WL-02896</t>
  </si>
  <si>
    <t xml:space="preserve">Wanda Coleman</t>
  </si>
  <si>
    <t xml:space="preserve">WL-02897</t>
  </si>
  <si>
    <t xml:space="preserve">Jessica Love</t>
  </si>
  <si>
    <t xml:space="preserve">WL-02898</t>
  </si>
  <si>
    <t xml:space="preserve">Patricia Lindsey</t>
  </si>
  <si>
    <t xml:space="preserve">WL-02899</t>
  </si>
  <si>
    <t xml:space="preserve">Tricia Dixon</t>
  </si>
  <si>
    <t xml:space="preserve">WL-02900</t>
  </si>
  <si>
    <t xml:space="preserve">Timothy Henderson</t>
  </si>
  <si>
    <t xml:space="preserve">WL-02901</t>
  </si>
  <si>
    <t xml:space="preserve">Paul Williams</t>
  </si>
  <si>
    <t xml:space="preserve">WL-02902</t>
  </si>
  <si>
    <t xml:space="preserve">Lorraine Schultz</t>
  </si>
  <si>
    <t xml:space="preserve">PTEREL STAR</t>
  </si>
  <si>
    <t xml:space="preserve">WL-02903</t>
  </si>
  <si>
    <t xml:space="preserve">Dawn Donovan</t>
  </si>
  <si>
    <t xml:space="preserve">WL-02904</t>
  </si>
  <si>
    <t xml:space="preserve">Tonya Caldwell</t>
  </si>
  <si>
    <t xml:space="preserve">WL-02905</t>
  </si>
  <si>
    <t xml:space="preserve">James Williams</t>
  </si>
  <si>
    <t xml:space="preserve">WL-02906</t>
  </si>
  <si>
    <t xml:space="preserve">Victor Turner</t>
  </si>
  <si>
    <t xml:space="preserve">WL-02907</t>
  </si>
  <si>
    <t xml:space="preserve">Holly Harris</t>
  </si>
  <si>
    <t xml:space="preserve">WL-02908</t>
  </si>
  <si>
    <t xml:space="preserve">Lynn Chang</t>
  </si>
  <si>
    <t xml:space="preserve">WL-02909</t>
  </si>
  <si>
    <t xml:space="preserve">Ryan Medina</t>
  </si>
  <si>
    <t xml:space="preserve">WL-02910</t>
  </si>
  <si>
    <t xml:space="preserve">David Taylor</t>
  </si>
  <si>
    <t xml:space="preserve">WL-02911</t>
  </si>
  <si>
    <t xml:space="preserve">John Reed</t>
  </si>
  <si>
    <t xml:space="preserve">WL-02912</t>
  </si>
  <si>
    <t xml:space="preserve">Alan Ortiz</t>
  </si>
  <si>
    <t xml:space="preserve">WL-02913</t>
  </si>
  <si>
    <t xml:space="preserve">Paul Hall</t>
  </si>
  <si>
    <t xml:space="preserve">WL-02914</t>
  </si>
  <si>
    <t xml:space="preserve">Tanya Robinson</t>
  </si>
  <si>
    <t xml:space="preserve">WL-02915</t>
  </si>
  <si>
    <t xml:space="preserve">Lori Cook</t>
  </si>
  <si>
    <t xml:space="preserve">WL-02916</t>
  </si>
  <si>
    <t xml:space="preserve">Andre Kennedy</t>
  </si>
  <si>
    <t xml:space="preserve">WL-02917</t>
  </si>
  <si>
    <t xml:space="preserve">Nathan Benitez</t>
  </si>
  <si>
    <t xml:space="preserve">WL-02918</t>
  </si>
  <si>
    <t xml:space="preserve">Kara Aguilar</t>
  </si>
  <si>
    <t xml:space="preserve">WL-02919</t>
  </si>
  <si>
    <t xml:space="preserve">Patrick Bailey</t>
  </si>
  <si>
    <t xml:space="preserve">WL-02920</t>
  </si>
  <si>
    <t xml:space="preserve">Richard Thomas</t>
  </si>
  <si>
    <t xml:space="preserve">IPNTAIL SOUND</t>
  </si>
  <si>
    <t xml:space="preserve">WL-02921</t>
  </si>
  <si>
    <t xml:space="preserve">Marissa Hatfield</t>
  </si>
  <si>
    <t xml:space="preserve">WL-02922</t>
  </si>
  <si>
    <t xml:space="preserve">Sandra Allen</t>
  </si>
  <si>
    <t xml:space="preserve">WL-02923</t>
  </si>
  <si>
    <t xml:space="preserve">Randall Cummings</t>
  </si>
  <si>
    <t xml:space="preserve">WL-02924</t>
  </si>
  <si>
    <t xml:space="preserve">WL-02925</t>
  </si>
  <si>
    <t xml:space="preserve">Leslie Marsh</t>
  </si>
  <si>
    <t xml:space="preserve">KETSREL SOUND</t>
  </si>
  <si>
    <t xml:space="preserve">WL-02926</t>
  </si>
  <si>
    <t xml:space="preserve">Pamela Harris</t>
  </si>
  <si>
    <t xml:space="preserve">WL-02927</t>
  </si>
  <si>
    <t xml:space="preserve">Jonathon Jones</t>
  </si>
  <si>
    <t xml:space="preserve">WL-02928</t>
  </si>
  <si>
    <t xml:space="preserve">Christopher White</t>
  </si>
  <si>
    <t xml:space="preserve">WL-02929</t>
  </si>
  <si>
    <t xml:space="preserve">Daniel Ayala</t>
  </si>
  <si>
    <t xml:space="preserve">WL-02930</t>
  </si>
  <si>
    <t xml:space="preserve">Carmen Strickland</t>
  </si>
  <si>
    <t xml:space="preserve">WL-02931</t>
  </si>
  <si>
    <t xml:space="preserve">Larry Osborne</t>
  </si>
  <si>
    <t xml:space="preserve">WL-02932</t>
  </si>
  <si>
    <t xml:space="preserve">Steven Brown</t>
  </si>
  <si>
    <t xml:space="preserve">WL-02933</t>
  </si>
  <si>
    <t xml:space="preserve">Jacob Turner</t>
  </si>
  <si>
    <t xml:space="preserve">WL-02934</t>
  </si>
  <si>
    <t xml:space="preserve">Lisa Jimenez</t>
  </si>
  <si>
    <t xml:space="preserve">WL-02935</t>
  </si>
  <si>
    <t xml:space="preserve">Jamie Boyd</t>
  </si>
  <si>
    <t xml:space="preserve">WL-02936</t>
  </si>
  <si>
    <t xml:space="preserve">Matthew Spencer</t>
  </si>
  <si>
    <t xml:space="preserve">WL-02937</t>
  </si>
  <si>
    <t xml:space="preserve">Rebecca Harrison</t>
  </si>
  <si>
    <t xml:space="preserve">WL-02938</t>
  </si>
  <si>
    <t xml:space="preserve">Micheal Perez</t>
  </si>
  <si>
    <t xml:space="preserve">WL-02939</t>
  </si>
  <si>
    <t xml:space="preserve">Willie Jones</t>
  </si>
  <si>
    <t xml:space="preserve">WL-02940</t>
  </si>
  <si>
    <t xml:space="preserve">Leah Carter</t>
  </si>
  <si>
    <t xml:space="preserve">POINT GLIDE</t>
  </si>
  <si>
    <t xml:space="preserve">WL-02941</t>
  </si>
  <si>
    <t xml:space="preserve">Jose Benson</t>
  </si>
  <si>
    <t xml:space="preserve">WL-02942</t>
  </si>
  <si>
    <t xml:space="preserve">Matthew Bradley</t>
  </si>
  <si>
    <t xml:space="preserve">WL-02943</t>
  </si>
  <si>
    <t xml:space="preserve">Matthew Thomas</t>
  </si>
  <si>
    <t xml:space="preserve">WL-02944</t>
  </si>
  <si>
    <t xml:space="preserve">Terri Long</t>
  </si>
  <si>
    <t xml:space="preserve">WL-02945</t>
  </si>
  <si>
    <t xml:space="preserve">Jerome Ramirez</t>
  </si>
  <si>
    <t xml:space="preserve">CORMORANT DANCER</t>
  </si>
  <si>
    <t xml:space="preserve">WL-02946</t>
  </si>
  <si>
    <t xml:space="preserve">Anita Moore</t>
  </si>
  <si>
    <t xml:space="preserve">WL-02947</t>
  </si>
  <si>
    <t xml:space="preserve">Melissa Brown</t>
  </si>
  <si>
    <t xml:space="preserve">WL-02948</t>
  </si>
  <si>
    <t xml:space="preserve">Michael Salinas</t>
  </si>
  <si>
    <t xml:space="preserve">WL-02949</t>
  </si>
  <si>
    <t xml:space="preserve">Michael Nguyen</t>
  </si>
  <si>
    <t xml:space="preserve">WL-02950</t>
  </si>
  <si>
    <t xml:space="preserve">Travis Young</t>
  </si>
  <si>
    <t xml:space="preserve">WL-02951</t>
  </si>
  <si>
    <t xml:space="preserve">Evelyn Thompson</t>
  </si>
  <si>
    <t xml:space="preserve">WL-02952</t>
  </si>
  <si>
    <t xml:space="preserve">Stacy Schroeder</t>
  </si>
  <si>
    <t xml:space="preserve">WL-02953</t>
  </si>
  <si>
    <t xml:space="preserve">Melissa Frost</t>
  </si>
  <si>
    <t xml:space="preserve">WL-02954</t>
  </si>
  <si>
    <t xml:space="preserve">WL-02955</t>
  </si>
  <si>
    <t xml:space="preserve">Jessica Phillips</t>
  </si>
  <si>
    <t xml:space="preserve">WL-02956</t>
  </si>
  <si>
    <t xml:space="preserve">Andrew Johnson</t>
  </si>
  <si>
    <t xml:space="preserve">HERON PASSAGE</t>
  </si>
  <si>
    <t xml:space="preserve">WL-02957</t>
  </si>
  <si>
    <t xml:space="preserve">Jeanne Montgomery</t>
  </si>
  <si>
    <t xml:space="preserve">WL-02958</t>
  </si>
  <si>
    <t xml:space="preserve">Holly Fuentes</t>
  </si>
  <si>
    <t xml:space="preserve">WL-02959</t>
  </si>
  <si>
    <t xml:space="preserve">Diamond Zavala</t>
  </si>
  <si>
    <t xml:space="preserve">WL-02960</t>
  </si>
  <si>
    <t xml:space="preserve">Trevor Davis</t>
  </si>
  <si>
    <t xml:space="preserve">WL-02961</t>
  </si>
  <si>
    <t xml:space="preserve">Rachel Flores</t>
  </si>
  <si>
    <t xml:space="preserve">SANDERLING HARBOR</t>
  </si>
  <si>
    <t xml:space="preserve">WL-02962</t>
  </si>
  <si>
    <t xml:space="preserve">Allison Powell</t>
  </si>
  <si>
    <t xml:space="preserve">WL-02963</t>
  </si>
  <si>
    <t xml:space="preserve">Jennifer Liu</t>
  </si>
  <si>
    <t xml:space="preserve">WL-02964</t>
  </si>
  <si>
    <t xml:space="preserve">Christopher Boyd</t>
  </si>
  <si>
    <t xml:space="preserve">WL-02965</t>
  </si>
  <si>
    <t xml:space="preserve">Harry Koch</t>
  </si>
  <si>
    <t xml:space="preserve">WL-02966</t>
  </si>
  <si>
    <t xml:space="preserve">Benjamin Thompson</t>
  </si>
  <si>
    <t xml:space="preserve">WL-02967</t>
  </si>
  <si>
    <t xml:space="preserve">Joseph Thompson</t>
  </si>
  <si>
    <t xml:space="preserve">WL-02968</t>
  </si>
  <si>
    <t xml:space="preserve">Brian Blackburn</t>
  </si>
  <si>
    <t xml:space="preserve">WL-02969</t>
  </si>
  <si>
    <t xml:space="preserve">Anthony Davis</t>
  </si>
  <si>
    <t xml:space="preserve">SANDERLING ROCK</t>
  </si>
  <si>
    <t xml:space="preserve">WL-02970</t>
  </si>
  <si>
    <t xml:space="preserve">William Robles</t>
  </si>
  <si>
    <t xml:space="preserve">WL-02971</t>
  </si>
  <si>
    <t xml:space="preserve">Frank Grant</t>
  </si>
  <si>
    <t xml:space="preserve">WL-02972</t>
  </si>
  <si>
    <t xml:space="preserve">John Hamilton</t>
  </si>
  <si>
    <t xml:space="preserve">WL-02973</t>
  </si>
  <si>
    <t xml:space="preserve">Theresa Jennings</t>
  </si>
  <si>
    <t xml:space="preserve">WL-02974</t>
  </si>
  <si>
    <t xml:space="preserve">Natasha Wilson</t>
  </si>
  <si>
    <t xml:space="preserve">ANCHOR SHORE</t>
  </si>
  <si>
    <t xml:space="preserve">WL-02975</t>
  </si>
  <si>
    <t xml:space="preserve">Maria Jones</t>
  </si>
  <si>
    <t xml:space="preserve">WL-02976</t>
  </si>
  <si>
    <t xml:space="preserve">Kristen Richmond</t>
  </si>
  <si>
    <t xml:space="preserve">WL-02977</t>
  </si>
  <si>
    <t xml:space="preserve">Candice West</t>
  </si>
  <si>
    <t xml:space="preserve">WL-02978</t>
  </si>
  <si>
    <t xml:space="preserve">Arthur Schmitt</t>
  </si>
  <si>
    <t xml:space="preserve">WL-02979</t>
  </si>
  <si>
    <t xml:space="preserve">Catherine Reed</t>
  </si>
  <si>
    <t xml:space="preserve">WL-02980</t>
  </si>
  <si>
    <t xml:space="preserve">Elizabeth Dixon</t>
  </si>
  <si>
    <t xml:space="preserve">WL-02981</t>
  </si>
  <si>
    <t xml:space="preserve">Caroline Miller</t>
  </si>
  <si>
    <t xml:space="preserve">WL-02982</t>
  </si>
  <si>
    <t xml:space="preserve">Alan Juarez</t>
  </si>
  <si>
    <t xml:space="preserve">WL-02983</t>
  </si>
  <si>
    <t xml:space="preserve">Albert Rodriguez</t>
  </si>
  <si>
    <t xml:space="preserve">WL-02984</t>
  </si>
  <si>
    <t xml:space="preserve">Bridget Jones</t>
  </si>
  <si>
    <t xml:space="preserve">WL-02985</t>
  </si>
  <si>
    <t xml:space="preserve">Francisco Benjamin</t>
  </si>
  <si>
    <t xml:space="preserve">CORMORANT MOON</t>
  </si>
  <si>
    <t xml:space="preserve">WL-02986</t>
  </si>
  <si>
    <t xml:space="preserve">Jaime Hernandez</t>
  </si>
  <si>
    <t xml:space="preserve">WL-02987</t>
  </si>
  <si>
    <t xml:space="preserve">Michael Wolfe</t>
  </si>
  <si>
    <t xml:space="preserve">WL-02988</t>
  </si>
  <si>
    <t xml:space="preserve">Jamie Roberts</t>
  </si>
  <si>
    <t xml:space="preserve">WL-02989</t>
  </si>
  <si>
    <t xml:space="preserve">Levi Rojas</t>
  </si>
  <si>
    <t xml:space="preserve">WL-02990</t>
  </si>
  <si>
    <t xml:space="preserve">Karen Sanders</t>
  </si>
  <si>
    <t xml:space="preserve">WL-02991</t>
  </si>
  <si>
    <t xml:space="preserve">Cole Palmer</t>
  </si>
  <si>
    <t xml:space="preserve">WL-02992</t>
  </si>
  <si>
    <t xml:space="preserve">Emily Cox</t>
  </si>
  <si>
    <t xml:space="preserve">WL-02993</t>
  </si>
  <si>
    <t xml:space="preserve">Jaime Mcmahon</t>
  </si>
  <si>
    <t xml:space="preserve">WL-02994</t>
  </si>
  <si>
    <t xml:space="preserve">Pamela Wright</t>
  </si>
  <si>
    <t xml:space="preserve">WL-02995</t>
  </si>
  <si>
    <t xml:space="preserve">Angela Stanton</t>
  </si>
  <si>
    <t xml:space="preserve">WL-02996</t>
  </si>
  <si>
    <t xml:space="preserve">Wayne Martinez</t>
  </si>
  <si>
    <t xml:space="preserve">WL-02997</t>
  </si>
  <si>
    <t xml:space="preserve">Michael Underwood</t>
  </si>
  <si>
    <t xml:space="preserve">WL-02998</t>
  </si>
  <si>
    <t xml:space="preserve">Luis Bradley</t>
  </si>
  <si>
    <t xml:space="preserve">WL-02999</t>
  </si>
  <si>
    <t xml:space="preserve">Gary Brock</t>
  </si>
  <si>
    <t xml:space="preserve">WL-03000</t>
  </si>
  <si>
    <t xml:space="preserve">Tina Gibbs</t>
  </si>
  <si>
    <t xml:space="preserve">WL-03001</t>
  </si>
  <si>
    <t xml:space="preserve">Michael Burns</t>
  </si>
  <si>
    <t xml:space="preserve">WL-03002</t>
  </si>
  <si>
    <t xml:space="preserve">Kim Wilson</t>
  </si>
  <si>
    <t xml:space="preserve">WL-03003</t>
  </si>
  <si>
    <t xml:space="preserve">Trevor Turner</t>
  </si>
  <si>
    <t xml:space="preserve">WL-03004</t>
  </si>
  <si>
    <t xml:space="preserve">Connor Vargas</t>
  </si>
  <si>
    <t xml:space="preserve">WL-03005</t>
  </si>
  <si>
    <t xml:space="preserve">John Day</t>
  </si>
  <si>
    <t xml:space="preserve">WL-03006</t>
  </si>
  <si>
    <t xml:space="preserve">Danny Diaz</t>
  </si>
  <si>
    <t xml:space="preserve">WL-03007</t>
  </si>
  <si>
    <t xml:space="preserve">Brandy Hart</t>
  </si>
  <si>
    <t xml:space="preserve">WL-03008</t>
  </si>
  <si>
    <t xml:space="preserve">Ashley Hart</t>
  </si>
  <si>
    <t xml:space="preserve">WL-03009</t>
  </si>
  <si>
    <t xml:space="preserve">Dennis Taylor</t>
  </si>
  <si>
    <t xml:space="preserve">WL-03010</t>
  </si>
  <si>
    <t xml:space="preserve">Anthony Fleming</t>
  </si>
  <si>
    <t xml:space="preserve">WL-03011</t>
  </si>
  <si>
    <t xml:space="preserve">Christopher Schultz</t>
  </si>
  <si>
    <t xml:space="preserve">WL-03012</t>
  </si>
  <si>
    <t xml:space="preserve">Olivia Joseph</t>
  </si>
  <si>
    <t xml:space="preserve">WL-03013</t>
  </si>
  <si>
    <t xml:space="preserve">Daniel Johnson</t>
  </si>
  <si>
    <t xml:space="preserve">WL-03014</t>
  </si>
  <si>
    <t xml:space="preserve">Daniel Mitchell</t>
  </si>
  <si>
    <t xml:space="preserve">WL-03015</t>
  </si>
  <si>
    <t xml:space="preserve">Andrew Osborne</t>
  </si>
  <si>
    <t xml:space="preserve">WL-03016</t>
  </si>
  <si>
    <t xml:space="preserve">Joyce Martin</t>
  </si>
  <si>
    <t xml:space="preserve">WL-03017</t>
  </si>
  <si>
    <t xml:space="preserve">Michael Butler</t>
  </si>
  <si>
    <t xml:space="preserve">WL-03018</t>
  </si>
  <si>
    <t xml:space="preserve">Jessica Duffy</t>
  </si>
  <si>
    <t xml:space="preserve">WL-03019</t>
  </si>
  <si>
    <t xml:space="preserve">Denise Bonilla</t>
  </si>
  <si>
    <t xml:space="preserve">WL-03020</t>
  </si>
  <si>
    <t xml:space="preserve">Cassandra Estrada</t>
  </si>
  <si>
    <t xml:space="preserve">WL-03021</t>
  </si>
  <si>
    <t xml:space="preserve">Denise King</t>
  </si>
  <si>
    <t xml:space="preserve">WL-03022</t>
  </si>
  <si>
    <t xml:space="preserve">Thomas Patterson</t>
  </si>
  <si>
    <t xml:space="preserve">WL-03023</t>
  </si>
  <si>
    <t xml:space="preserve">Thomas Andrews</t>
  </si>
  <si>
    <t xml:space="preserve">WL-03024</t>
  </si>
  <si>
    <t xml:space="preserve">Gregory Elliott</t>
  </si>
  <si>
    <t xml:space="preserve">WL-03025</t>
  </si>
  <si>
    <t xml:space="preserve">Patrick Miller</t>
  </si>
  <si>
    <t xml:space="preserve">WL-03026</t>
  </si>
  <si>
    <t xml:space="preserve">Amanda Taylor</t>
  </si>
  <si>
    <t xml:space="preserve">WL-03027</t>
  </si>
  <si>
    <t xml:space="preserve">Gavin Lewis</t>
  </si>
  <si>
    <t xml:space="preserve">WL-03028</t>
  </si>
  <si>
    <t xml:space="preserve">Cathy Douglas</t>
  </si>
  <si>
    <t xml:space="preserve">WL-03029</t>
  </si>
  <si>
    <t xml:space="preserve">Cheryl Norris</t>
  </si>
  <si>
    <t xml:space="preserve">WL-03030</t>
  </si>
  <si>
    <t xml:space="preserve">Ryan Ramirez</t>
  </si>
  <si>
    <t xml:space="preserve">WL-03031</t>
  </si>
  <si>
    <t xml:space="preserve">Kevin House</t>
  </si>
  <si>
    <t xml:space="preserve">WL-03032</t>
  </si>
  <si>
    <t xml:space="preserve">Paula Caldwell</t>
  </si>
  <si>
    <t xml:space="preserve">WL-03033</t>
  </si>
  <si>
    <t xml:space="preserve">Brian Sellers</t>
  </si>
  <si>
    <t xml:space="preserve">WL-03034</t>
  </si>
  <si>
    <t xml:space="preserve">Michelle Smith</t>
  </si>
  <si>
    <t xml:space="preserve">WL-03035</t>
  </si>
  <si>
    <t xml:space="preserve">Robert Osborn</t>
  </si>
  <si>
    <t xml:space="preserve">WL-03036</t>
  </si>
  <si>
    <t xml:space="preserve">Justin Ford</t>
  </si>
  <si>
    <t xml:space="preserve">WL-03037</t>
  </si>
  <si>
    <t xml:space="preserve">Tina Andrews</t>
  </si>
  <si>
    <t xml:space="preserve">WL-03038</t>
  </si>
  <si>
    <t xml:space="preserve">Max Hanson</t>
  </si>
  <si>
    <t xml:space="preserve">WL-03039</t>
  </si>
  <si>
    <t xml:space="preserve">Alexander Lopez</t>
  </si>
  <si>
    <t xml:space="preserve">WL-03040</t>
  </si>
  <si>
    <t xml:space="preserve">Linda Bryant</t>
  </si>
  <si>
    <t xml:space="preserve">WL-03041</t>
  </si>
  <si>
    <t xml:space="preserve">Anthony Harris</t>
  </si>
  <si>
    <t xml:space="preserve">WL-03042</t>
  </si>
  <si>
    <t xml:space="preserve">Cheryl Stone</t>
  </si>
  <si>
    <t xml:space="preserve">WL-03043</t>
  </si>
  <si>
    <t xml:space="preserve">Donald Jones</t>
  </si>
  <si>
    <t xml:space="preserve">WL-03044</t>
  </si>
  <si>
    <t xml:space="preserve">Iris Quan</t>
  </si>
  <si>
    <t xml:space="preserve">LITTLE AUK</t>
  </si>
  <si>
    <t xml:space="preserve">WL-03045</t>
  </si>
  <si>
    <t xml:space="preserve">Karen Davis</t>
  </si>
  <si>
    <t xml:space="preserve">WL-03046</t>
  </si>
  <si>
    <t xml:space="preserve">Philip Jones</t>
  </si>
  <si>
    <t xml:space="preserve">WL-03047</t>
  </si>
  <si>
    <t xml:space="preserve">Lauren Collins</t>
  </si>
  <si>
    <t xml:space="preserve">WL-03048</t>
  </si>
  <si>
    <t xml:space="preserve">Brian Campbell</t>
  </si>
  <si>
    <t xml:space="preserve">WL-03049</t>
  </si>
  <si>
    <t xml:space="preserve">Tyler Nixon</t>
  </si>
  <si>
    <t xml:space="preserve">WL-03050</t>
  </si>
  <si>
    <t xml:space="preserve">Justin Pearson</t>
  </si>
  <si>
    <t xml:space="preserve">WL-03051</t>
  </si>
  <si>
    <t xml:space="preserve">Edward Reyes</t>
  </si>
  <si>
    <t xml:space="preserve">WL-03052</t>
  </si>
  <si>
    <t xml:space="preserve">Jenna Marsh</t>
  </si>
  <si>
    <t xml:space="preserve">WL-03053</t>
  </si>
  <si>
    <t xml:space="preserve">Matthew Miller</t>
  </si>
  <si>
    <t xml:space="preserve">WL-03054</t>
  </si>
  <si>
    <t xml:space="preserve">Amanda Schmidt</t>
  </si>
  <si>
    <t xml:space="preserve">WL-03055</t>
  </si>
  <si>
    <t xml:space="preserve">Amanda Mathis</t>
  </si>
  <si>
    <t xml:space="preserve">WL-03056</t>
  </si>
  <si>
    <t xml:space="preserve">Kristi Jones</t>
  </si>
  <si>
    <t xml:space="preserve">WL-03057</t>
  </si>
  <si>
    <t xml:space="preserve">Jennifer Stout</t>
  </si>
  <si>
    <t xml:space="preserve">BRNAT ROSE</t>
  </si>
  <si>
    <t xml:space="preserve">WL-03058</t>
  </si>
  <si>
    <t xml:space="preserve">Mary Thomas</t>
  </si>
  <si>
    <t xml:space="preserve">WL-03059</t>
  </si>
  <si>
    <t xml:space="preserve">Jonathan Daniels</t>
  </si>
  <si>
    <t xml:space="preserve">WL-03060</t>
  </si>
  <si>
    <t xml:space="preserve">Lisa Johnson</t>
  </si>
  <si>
    <t xml:space="preserve">WL-03061</t>
  </si>
  <si>
    <t xml:space="preserve">Richard Jones</t>
  </si>
  <si>
    <t xml:space="preserve">WL-03062</t>
  </si>
  <si>
    <t xml:space="preserve">Donna Garcia</t>
  </si>
  <si>
    <t xml:space="preserve">WL-03063</t>
  </si>
  <si>
    <t xml:space="preserve">Natalie Stout</t>
  </si>
  <si>
    <t xml:space="preserve">WL-03064</t>
  </si>
  <si>
    <t xml:space="preserve">Megan Hendricks</t>
  </si>
  <si>
    <t xml:space="preserve">WL-03065</t>
  </si>
  <si>
    <t xml:space="preserve">Patricia Ward</t>
  </si>
  <si>
    <t xml:space="preserve">WL-03066</t>
  </si>
  <si>
    <t xml:space="preserve">Shawna Cain</t>
  </si>
  <si>
    <t xml:space="preserve">WL-03067</t>
  </si>
  <si>
    <t xml:space="preserve">Eric Thomas</t>
  </si>
  <si>
    <t xml:space="preserve">WL-03068</t>
  </si>
  <si>
    <t xml:space="preserve">Monica Dickson</t>
  </si>
  <si>
    <t xml:space="preserve">SCOTER HARBOR</t>
  </si>
  <si>
    <t xml:space="preserve">WL-03069</t>
  </si>
  <si>
    <t xml:space="preserve">Bridget Brown</t>
  </si>
  <si>
    <t xml:space="preserve">WL-03070</t>
  </si>
  <si>
    <t xml:space="preserve">Andrew Alvarez</t>
  </si>
  <si>
    <t xml:space="preserve">WL-03071</t>
  </si>
  <si>
    <t xml:space="preserve">Kenneth Jones</t>
  </si>
  <si>
    <t xml:space="preserve">WL-03072</t>
  </si>
  <si>
    <t xml:space="preserve">Jennifer Griffin</t>
  </si>
  <si>
    <t xml:space="preserve">WL-03073</t>
  </si>
  <si>
    <t xml:space="preserve">Donna Silva</t>
  </si>
  <si>
    <t xml:space="preserve">WL-03074</t>
  </si>
  <si>
    <t xml:space="preserve">Michael Rodriguez</t>
  </si>
  <si>
    <t xml:space="preserve">WL-03075</t>
  </si>
  <si>
    <t xml:space="preserve">Jay Cruz</t>
  </si>
  <si>
    <t xml:space="preserve">WL-03076</t>
  </si>
  <si>
    <t xml:space="preserve">Jennifer Davis</t>
  </si>
  <si>
    <t xml:space="preserve">WL-03077</t>
  </si>
  <si>
    <t xml:space="preserve">WL-03078</t>
  </si>
  <si>
    <t xml:space="preserve">Rachael Mitchell</t>
  </si>
  <si>
    <t xml:space="preserve">WL-03079</t>
  </si>
  <si>
    <t xml:space="preserve">Crystal Glover</t>
  </si>
  <si>
    <t xml:space="preserve">WL-03080</t>
  </si>
  <si>
    <t xml:space="preserve">Cynthia Lester</t>
  </si>
  <si>
    <t xml:space="preserve">WL-03081</t>
  </si>
  <si>
    <t xml:space="preserve">Casey Ortiz</t>
  </si>
  <si>
    <t xml:space="preserve">WL-03082</t>
  </si>
  <si>
    <t xml:space="preserve">Brian Thompson</t>
  </si>
  <si>
    <t xml:space="preserve">WL-03083</t>
  </si>
  <si>
    <t xml:space="preserve">WL-03084</t>
  </si>
  <si>
    <t xml:space="preserve">WL-03085</t>
  </si>
  <si>
    <t xml:space="preserve">Tiffany Robertson</t>
  </si>
  <si>
    <t xml:space="preserve">WL-03086</t>
  </si>
  <si>
    <t xml:space="preserve">William Daugherty</t>
  </si>
  <si>
    <t xml:space="preserve">WL-03087</t>
  </si>
  <si>
    <t xml:space="preserve">Andrea Holland</t>
  </si>
  <si>
    <t xml:space="preserve">WL-03088</t>
  </si>
  <si>
    <t xml:space="preserve">Heather Williams</t>
  </si>
  <si>
    <t xml:space="preserve">SALISH BAY</t>
  </si>
  <si>
    <t xml:space="preserve">WL-03089</t>
  </si>
  <si>
    <t xml:space="preserve">Joshua Rivera</t>
  </si>
  <si>
    <t xml:space="preserve">WL-03090</t>
  </si>
  <si>
    <t xml:space="preserve">Erin Price</t>
  </si>
  <si>
    <t xml:space="preserve">WL-03091</t>
  </si>
  <si>
    <t xml:space="preserve">Sandra Barber</t>
  </si>
  <si>
    <t xml:space="preserve">WL-03092</t>
  </si>
  <si>
    <t xml:space="preserve">Teresa Houston</t>
  </si>
  <si>
    <t xml:space="preserve">WL-03093</t>
  </si>
  <si>
    <t xml:space="preserve">Gina West</t>
  </si>
  <si>
    <t xml:space="preserve">WL-03094</t>
  </si>
  <si>
    <t xml:space="preserve">Christine Cook</t>
  </si>
  <si>
    <t xml:space="preserve">WL-03095</t>
  </si>
  <si>
    <t xml:space="preserve">Christopher Jones</t>
  </si>
  <si>
    <t xml:space="preserve">WL-03096</t>
  </si>
  <si>
    <t xml:space="preserve">Craig Kelley</t>
  </si>
  <si>
    <t xml:space="preserve">WL-03097</t>
  </si>
  <si>
    <t xml:space="preserve">John Sanchez</t>
  </si>
  <si>
    <t xml:space="preserve">WL-03098</t>
  </si>
  <si>
    <t xml:space="preserve">Michelle Phillips</t>
  </si>
  <si>
    <t xml:space="preserve">WL-03099</t>
  </si>
  <si>
    <t xml:space="preserve">Ryan Robertson</t>
  </si>
  <si>
    <t xml:space="preserve">WL-03100</t>
  </si>
  <si>
    <t xml:space="preserve">Andrew Contreras</t>
  </si>
  <si>
    <t xml:space="preserve">WL-03101</t>
  </si>
  <si>
    <t xml:space="preserve">Kristie Cunningham</t>
  </si>
  <si>
    <t xml:space="preserve">WL-03102</t>
  </si>
  <si>
    <t xml:space="preserve">Dennis Farlow</t>
  </si>
  <si>
    <t xml:space="preserve">WL-03103</t>
  </si>
  <si>
    <t xml:space="preserve">Thomas Roman</t>
  </si>
  <si>
    <t xml:space="preserve">WL-03104</t>
  </si>
  <si>
    <t xml:space="preserve">Jill Maldonado</t>
  </si>
  <si>
    <t xml:space="preserve">WL-03105</t>
  </si>
  <si>
    <t xml:space="preserve">Elizabeth Zhang</t>
  </si>
  <si>
    <t xml:space="preserve">WL-03106</t>
  </si>
  <si>
    <t xml:space="preserve">Shannon Morales</t>
  </si>
  <si>
    <t xml:space="preserve">WL-03107</t>
  </si>
  <si>
    <t xml:space="preserve">John Fleming</t>
  </si>
  <si>
    <t xml:space="preserve">WL-03108</t>
  </si>
  <si>
    <t xml:space="preserve">Danielle Adams</t>
  </si>
  <si>
    <t xml:space="preserve">WL-03109</t>
  </si>
  <si>
    <t xml:space="preserve">WL-03110</t>
  </si>
  <si>
    <t xml:space="preserve">Randy Ramos</t>
  </si>
  <si>
    <t xml:space="preserve">WL-03111</t>
  </si>
  <si>
    <t xml:space="preserve">Kevin Gilbert</t>
  </si>
  <si>
    <t xml:space="preserve">WL-03112</t>
  </si>
  <si>
    <t xml:space="preserve">Lauren Scott</t>
  </si>
  <si>
    <t xml:space="preserve">TIDE HAROBR</t>
  </si>
  <si>
    <t xml:space="preserve">WL-03113</t>
  </si>
  <si>
    <t xml:space="preserve">Dale Martin</t>
  </si>
  <si>
    <t xml:space="preserve">WL-03114</t>
  </si>
  <si>
    <t xml:space="preserve">Jennifer Goodman</t>
  </si>
  <si>
    <t xml:space="preserve">WL-03115</t>
  </si>
  <si>
    <t xml:space="preserve">Ariel Bray</t>
  </si>
  <si>
    <t xml:space="preserve">WL-03116</t>
  </si>
  <si>
    <t xml:space="preserve">Anthony Kennedy</t>
  </si>
  <si>
    <t xml:space="preserve">WL-03117</t>
  </si>
  <si>
    <t xml:space="preserve">Stephanie Hawkins</t>
  </si>
  <si>
    <t xml:space="preserve">WL-03118</t>
  </si>
  <si>
    <t xml:space="preserve">Amanda Clayton</t>
  </si>
  <si>
    <t xml:space="preserve">WL-03119</t>
  </si>
  <si>
    <t xml:space="preserve">Karen Harris</t>
  </si>
  <si>
    <t xml:space="preserve">WL-03120</t>
  </si>
  <si>
    <t xml:space="preserve">Stacey Peterson</t>
  </si>
  <si>
    <t xml:space="preserve">WL-03121</t>
  </si>
  <si>
    <t xml:space="preserve">Joel Ellis</t>
  </si>
  <si>
    <t xml:space="preserve">WL-03122</t>
  </si>
  <si>
    <t xml:space="preserve">Larry Owens</t>
  </si>
  <si>
    <t xml:space="preserve">WL-03123</t>
  </si>
  <si>
    <t xml:space="preserve">Michael Johnson</t>
  </si>
  <si>
    <t xml:space="preserve">WL-03124</t>
  </si>
  <si>
    <t xml:space="preserve">Heather Taylor</t>
  </si>
  <si>
    <t xml:space="preserve">WL-03125</t>
  </si>
  <si>
    <t xml:space="preserve">Ronald Wright</t>
  </si>
  <si>
    <t xml:space="preserve">WL-03126</t>
  </si>
  <si>
    <t xml:space="preserve">Cheryl Mejia</t>
  </si>
  <si>
    <t xml:space="preserve">OSPREY CREST</t>
  </si>
  <si>
    <t xml:space="preserve">WL-03127</t>
  </si>
  <si>
    <t xml:space="preserve">Lindsay Dixon</t>
  </si>
  <si>
    <t xml:space="preserve">WL-03128</t>
  </si>
  <si>
    <t xml:space="preserve">Kayla Johnson</t>
  </si>
  <si>
    <t xml:space="preserve">FOUL SONG</t>
  </si>
  <si>
    <t xml:space="preserve">WL-03129</t>
  </si>
  <si>
    <t xml:space="preserve">Jennifer Fischer</t>
  </si>
  <si>
    <t xml:space="preserve">WL-03130</t>
  </si>
  <si>
    <t xml:space="preserve">Nicole Berger</t>
  </si>
  <si>
    <t xml:space="preserve">WL-03131</t>
  </si>
  <si>
    <t xml:space="preserve">Jose Quinn</t>
  </si>
  <si>
    <t xml:space="preserve">WL-03132</t>
  </si>
  <si>
    <t xml:space="preserve">David Fox</t>
  </si>
  <si>
    <t xml:space="preserve">WL-03133</t>
  </si>
  <si>
    <t xml:space="preserve">Catherine Zuniga</t>
  </si>
  <si>
    <t xml:space="preserve">WL-03134</t>
  </si>
  <si>
    <t xml:space="preserve">Laurie Larson</t>
  </si>
  <si>
    <t xml:space="preserve">WL-03135</t>
  </si>
  <si>
    <t xml:space="preserve">Mallory Rodgers</t>
  </si>
  <si>
    <t xml:space="preserve">WL-03136</t>
  </si>
  <si>
    <t xml:space="preserve">Brittney Hawkins</t>
  </si>
  <si>
    <t xml:space="preserve">WL-03137</t>
  </si>
  <si>
    <t xml:space="preserve">Matthew Hamilton</t>
  </si>
  <si>
    <t xml:space="preserve">WL-03138</t>
  </si>
  <si>
    <t xml:space="preserve">Dominique Lewis</t>
  </si>
  <si>
    <t xml:space="preserve">WL-03139</t>
  </si>
  <si>
    <t xml:space="preserve">Stanley Peterson</t>
  </si>
  <si>
    <t xml:space="preserve">WL-03140</t>
  </si>
  <si>
    <t xml:space="preserve">Jason Martinez</t>
  </si>
  <si>
    <t xml:space="preserve">WL-03141</t>
  </si>
  <si>
    <t xml:space="preserve">Joseph Green</t>
  </si>
  <si>
    <t xml:space="preserve">WL-03142</t>
  </si>
  <si>
    <t xml:space="preserve">Tommy Bennett</t>
  </si>
  <si>
    <t xml:space="preserve">WL-03143</t>
  </si>
  <si>
    <t xml:space="preserve">Timothy Jennings</t>
  </si>
  <si>
    <t xml:space="preserve">WL-03144</t>
  </si>
  <si>
    <t xml:space="preserve">Brandi Jackson</t>
  </si>
  <si>
    <t xml:space="preserve">WL-03145</t>
  </si>
  <si>
    <t xml:space="preserve">Connie Hernandez</t>
  </si>
  <si>
    <t xml:space="preserve">WL-03146</t>
  </si>
  <si>
    <t xml:space="preserve">Jose Dalton</t>
  </si>
  <si>
    <t xml:space="preserve">WL-03147</t>
  </si>
  <si>
    <t xml:space="preserve">Jonathan Bean</t>
  </si>
  <si>
    <t xml:space="preserve">WL-03148</t>
  </si>
  <si>
    <t xml:space="preserve">Stephanie Wilcox</t>
  </si>
  <si>
    <t xml:space="preserve">WL-03149</t>
  </si>
  <si>
    <t xml:space="preserve">Todd Williams</t>
  </si>
  <si>
    <t xml:space="preserve">WL-03150</t>
  </si>
  <si>
    <t xml:space="preserve">Dave Holmes</t>
  </si>
  <si>
    <t xml:space="preserve">WL-03151</t>
  </si>
  <si>
    <t xml:space="preserve">Elizabeth King</t>
  </si>
  <si>
    <t xml:space="preserve">WL-03152</t>
  </si>
  <si>
    <t xml:space="preserve">Kenneth Simmons</t>
  </si>
  <si>
    <t xml:space="preserve">WL-03153</t>
  </si>
  <si>
    <t xml:space="preserve">Derrick Webb</t>
  </si>
  <si>
    <t xml:space="preserve">WL-03154</t>
  </si>
  <si>
    <t xml:space="preserve">Michael Stevens</t>
  </si>
  <si>
    <t xml:space="preserve">WL-03155</t>
  </si>
  <si>
    <t xml:space="preserve">Mark Harvey</t>
  </si>
  <si>
    <t xml:space="preserve">WL-03156</t>
  </si>
  <si>
    <t xml:space="preserve">Stephen Riley</t>
  </si>
  <si>
    <t xml:space="preserve">SANEDRLING ROSE</t>
  </si>
  <si>
    <t xml:space="preserve">WL-03157</t>
  </si>
  <si>
    <t xml:space="preserve">Robert Dean</t>
  </si>
  <si>
    <t xml:space="preserve">WL-03158</t>
  </si>
  <si>
    <t xml:space="preserve">Andrea Lopez</t>
  </si>
  <si>
    <t xml:space="preserve">WL-03159</t>
  </si>
  <si>
    <t xml:space="preserve">William Williams</t>
  </si>
  <si>
    <t xml:space="preserve">WL-03160</t>
  </si>
  <si>
    <t xml:space="preserve">Kyle Mann</t>
  </si>
  <si>
    <t xml:space="preserve">WL-03161</t>
  </si>
  <si>
    <t xml:space="preserve">Ashley Hall</t>
  </si>
  <si>
    <t xml:space="preserve">WL-03162</t>
  </si>
  <si>
    <t xml:space="preserve">Sarah Edwards</t>
  </si>
  <si>
    <t xml:space="preserve">WL-03163</t>
  </si>
  <si>
    <t xml:space="preserve">Julia Dunn</t>
  </si>
  <si>
    <t xml:space="preserve">WL-03164</t>
  </si>
  <si>
    <t xml:space="preserve">Daniel Rivera</t>
  </si>
  <si>
    <t xml:space="preserve">WL-03165</t>
  </si>
  <si>
    <t xml:space="preserve">Brendan Durham</t>
  </si>
  <si>
    <t xml:space="preserve">WL-03166</t>
  </si>
  <si>
    <t xml:space="preserve">Victoria Gonzales</t>
  </si>
  <si>
    <t xml:space="preserve">WL-03167</t>
  </si>
  <si>
    <t xml:space="preserve">Sara Rhodes</t>
  </si>
  <si>
    <t xml:space="preserve">WL-03168</t>
  </si>
  <si>
    <t xml:space="preserve">Danielle Mckinney</t>
  </si>
  <si>
    <t xml:space="preserve">WL-03169</t>
  </si>
  <si>
    <t xml:space="preserve">William Clark</t>
  </si>
  <si>
    <t xml:space="preserve">WL-03170</t>
  </si>
  <si>
    <t xml:space="preserve">Kyle Chen</t>
  </si>
  <si>
    <t xml:space="preserve">WL-03171</t>
  </si>
  <si>
    <t xml:space="preserve">Destiny Tucker</t>
  </si>
  <si>
    <t xml:space="preserve">WL-03172</t>
  </si>
  <si>
    <t xml:space="preserve">Jessica Sanford</t>
  </si>
  <si>
    <t xml:space="preserve">WL-03173</t>
  </si>
  <si>
    <t xml:space="preserve">Timothy Wood</t>
  </si>
  <si>
    <t xml:space="preserve">WL-03174</t>
  </si>
  <si>
    <t xml:space="preserve">Russell Perry</t>
  </si>
  <si>
    <t xml:space="preserve">WL-03175</t>
  </si>
  <si>
    <t xml:space="preserve">Robert Lawrence</t>
  </si>
  <si>
    <t xml:space="preserve">WIDGEON REACH</t>
  </si>
  <si>
    <t xml:space="preserve">WL-03176</t>
  </si>
  <si>
    <t xml:space="preserve">Elizabeth Kelly</t>
  </si>
  <si>
    <t xml:space="preserve">WL-03177</t>
  </si>
  <si>
    <t xml:space="preserve">Alexandra Lee</t>
  </si>
  <si>
    <t xml:space="preserve">WL-03178</t>
  </si>
  <si>
    <t xml:space="preserve">Kristen Schneider</t>
  </si>
  <si>
    <t xml:space="preserve">WL-03179</t>
  </si>
  <si>
    <t xml:space="preserve">Denise Ball</t>
  </si>
  <si>
    <t xml:space="preserve">WL-03180</t>
  </si>
  <si>
    <t xml:space="preserve">Teresa Jimenez</t>
  </si>
  <si>
    <t xml:space="preserve">WL-03181</t>
  </si>
  <si>
    <t xml:space="preserve">Annette Collins</t>
  </si>
  <si>
    <t xml:space="preserve">WL-03182</t>
  </si>
  <si>
    <t xml:space="preserve">Matthew Gonzalez</t>
  </si>
  <si>
    <t xml:space="preserve">OTTER GLIDE</t>
  </si>
  <si>
    <t xml:space="preserve">WL-03183</t>
  </si>
  <si>
    <t xml:space="preserve">Daniel Stevens</t>
  </si>
  <si>
    <t xml:space="preserve">WL-03184</t>
  </si>
  <si>
    <t xml:space="preserve">Lindsay Alexander</t>
  </si>
  <si>
    <t xml:space="preserve">WL-03185</t>
  </si>
  <si>
    <t xml:space="preserve">Sarah Davis</t>
  </si>
  <si>
    <t xml:space="preserve">WL-03186</t>
  </si>
  <si>
    <t xml:space="preserve">Kevin Murray</t>
  </si>
  <si>
    <t xml:space="preserve">WL-03187</t>
  </si>
  <si>
    <t xml:space="preserve">Cynthia Brown</t>
  </si>
  <si>
    <t xml:space="preserve">WL-03188</t>
  </si>
  <si>
    <t xml:space="preserve">Juan Alexander</t>
  </si>
  <si>
    <t xml:space="preserve">WL-03189</t>
  </si>
  <si>
    <t xml:space="preserve">Gregory Johnson</t>
  </si>
  <si>
    <t xml:space="preserve">WL-03190</t>
  </si>
  <si>
    <t xml:space="preserve">John Pearson</t>
  </si>
  <si>
    <t xml:space="preserve">WL-03191</t>
  </si>
  <si>
    <t xml:space="preserve">William Lam</t>
  </si>
  <si>
    <t xml:space="preserve">WL-03192</t>
  </si>
  <si>
    <t xml:space="preserve">Aaron Johnson</t>
  </si>
  <si>
    <t xml:space="preserve">WL-03193</t>
  </si>
  <si>
    <t xml:space="preserve">Tammy Williams</t>
  </si>
  <si>
    <t xml:space="preserve">WL-03194</t>
  </si>
  <si>
    <t xml:space="preserve">Jonathon White</t>
  </si>
  <si>
    <t xml:space="preserve">WL-03195</t>
  </si>
  <si>
    <t xml:space="preserve">Matthew Burns</t>
  </si>
  <si>
    <t xml:space="preserve">WL-03196</t>
  </si>
  <si>
    <t xml:space="preserve">Nicholas Tate</t>
  </si>
  <si>
    <t xml:space="preserve">WL-03197</t>
  </si>
  <si>
    <t xml:space="preserve">Thomas Lee</t>
  </si>
  <si>
    <t xml:space="preserve">WL-03198</t>
  </si>
  <si>
    <t xml:space="preserve">Katherine Bailey</t>
  </si>
  <si>
    <t xml:space="preserve">WL-03199</t>
  </si>
  <si>
    <t xml:space="preserve">Miguel Tucker</t>
  </si>
  <si>
    <t xml:space="preserve">WL-03200</t>
  </si>
  <si>
    <t xml:space="preserve">Dustin Callahan</t>
  </si>
  <si>
    <t xml:space="preserve">WL-03201</t>
  </si>
  <si>
    <t xml:space="preserve">Nancy Montgomery</t>
  </si>
  <si>
    <t xml:space="preserve">WL-03202</t>
  </si>
  <si>
    <t xml:space="preserve">WL-03203</t>
  </si>
  <si>
    <t xml:space="preserve">Kyle Shepard</t>
  </si>
  <si>
    <t xml:space="preserve">WL-03204</t>
  </si>
  <si>
    <t xml:space="preserve">Steven Hall</t>
  </si>
  <si>
    <t xml:space="preserve">WL-03205</t>
  </si>
  <si>
    <t xml:space="preserve">Matthew Hampton</t>
  </si>
  <si>
    <t xml:space="preserve">WL-03206</t>
  </si>
  <si>
    <t xml:space="preserve">Edward Thomas</t>
  </si>
  <si>
    <t xml:space="preserve">WL-03207</t>
  </si>
  <si>
    <t xml:space="preserve">Stephanie Garza</t>
  </si>
  <si>
    <t xml:space="preserve">WL-03208</t>
  </si>
  <si>
    <t xml:space="preserve">Anthony Zavala</t>
  </si>
  <si>
    <t xml:space="preserve">WL-03209</t>
  </si>
  <si>
    <t xml:space="preserve">Eric Velazquez</t>
  </si>
  <si>
    <t xml:space="preserve">WL-03210</t>
  </si>
  <si>
    <t xml:space="preserve">James Calderon</t>
  </si>
  <si>
    <t xml:space="preserve">WL-03211</t>
  </si>
  <si>
    <t xml:space="preserve">Spencer Murray</t>
  </si>
  <si>
    <t xml:space="preserve">WL-03212</t>
  </si>
  <si>
    <t xml:space="preserve">Damon Garcia</t>
  </si>
  <si>
    <t xml:space="preserve">WL-03213</t>
  </si>
  <si>
    <t xml:space="preserve">William Singh</t>
  </si>
  <si>
    <t xml:space="preserve">WL-03214</t>
  </si>
  <si>
    <t xml:space="preserve">Michael Armstrong</t>
  </si>
  <si>
    <t xml:space="preserve">WL-03215</t>
  </si>
  <si>
    <t xml:space="preserve">Eric Simmons</t>
  </si>
  <si>
    <t xml:space="preserve">WL-03216</t>
  </si>
  <si>
    <t xml:space="preserve">Nancy Branch</t>
  </si>
  <si>
    <t xml:space="preserve">WL-03217</t>
  </si>
  <si>
    <t xml:space="preserve">Steven Williams</t>
  </si>
  <si>
    <t xml:space="preserve">WL-03218</t>
  </si>
  <si>
    <t xml:space="preserve">Brittany Williams</t>
  </si>
  <si>
    <t xml:space="preserve">WL-03219</t>
  </si>
  <si>
    <t xml:space="preserve">Tara Sanders</t>
  </si>
  <si>
    <t xml:space="preserve">WL-03220</t>
  </si>
  <si>
    <t xml:space="preserve">Daniel Kirby</t>
  </si>
  <si>
    <t xml:space="preserve">WL-03221</t>
  </si>
  <si>
    <t xml:space="preserve">Christopher Shepherd</t>
  </si>
  <si>
    <t xml:space="preserve">WL-03222</t>
  </si>
  <si>
    <t xml:space="preserve">Teresa Scott</t>
  </si>
  <si>
    <t xml:space="preserve">WL-03223</t>
  </si>
  <si>
    <t xml:space="preserve">Tony King</t>
  </si>
  <si>
    <t xml:space="preserve">WL-03224</t>
  </si>
  <si>
    <t xml:space="preserve">Catherine Flynn</t>
  </si>
  <si>
    <t xml:space="preserve">WL-03225</t>
  </si>
  <si>
    <t xml:space="preserve">Tommy Duarte</t>
  </si>
  <si>
    <t xml:space="preserve">WL-03226</t>
  </si>
  <si>
    <t xml:space="preserve">Kari Snow</t>
  </si>
  <si>
    <t xml:space="preserve">WL-03227</t>
  </si>
  <si>
    <t xml:space="preserve">Carrie Herrera</t>
  </si>
  <si>
    <t xml:space="preserve">WL-03228</t>
  </si>
  <si>
    <t xml:space="preserve">Roy Stuart</t>
  </si>
  <si>
    <t xml:space="preserve">WL-03229</t>
  </si>
  <si>
    <t xml:space="preserve">Monica Alvarez</t>
  </si>
  <si>
    <t xml:space="preserve">WL-03230</t>
  </si>
  <si>
    <t xml:space="preserve">Cory Park</t>
  </si>
  <si>
    <t xml:space="preserve">WL-03231</t>
  </si>
  <si>
    <t xml:space="preserve">Roberto Simpson</t>
  </si>
  <si>
    <t xml:space="preserve">WL-03232</t>
  </si>
  <si>
    <t xml:space="preserve">Johnathan Christensen</t>
  </si>
  <si>
    <t xml:space="preserve">WL-03233</t>
  </si>
  <si>
    <t xml:space="preserve">Erin Williams</t>
  </si>
  <si>
    <t xml:space="preserve">WL-03234</t>
  </si>
  <si>
    <t xml:space="preserve">Logan Thomas</t>
  </si>
  <si>
    <t xml:space="preserve">WL-03235</t>
  </si>
  <si>
    <t xml:space="preserve">Andrea Rodriguez</t>
  </si>
  <si>
    <t xml:space="preserve">WL-03236</t>
  </si>
  <si>
    <t xml:space="preserve">Danielle Brock</t>
  </si>
  <si>
    <t xml:space="preserve">WL-03237</t>
  </si>
  <si>
    <t xml:space="preserve">Amber Martin</t>
  </si>
  <si>
    <t xml:space="preserve">WL-03238</t>
  </si>
  <si>
    <t xml:space="preserve">Justin Carter</t>
  </si>
  <si>
    <t xml:space="preserve">WL-03239</t>
  </si>
  <si>
    <t xml:space="preserve">Carla Delgado</t>
  </si>
  <si>
    <t xml:space="preserve">SOPREY ANN</t>
  </si>
  <si>
    <t xml:space="preserve">WL-03240</t>
  </si>
  <si>
    <t xml:space="preserve">Lisa Booth</t>
  </si>
  <si>
    <t xml:space="preserve">WL-03241</t>
  </si>
  <si>
    <t xml:space="preserve">Michael Ford</t>
  </si>
  <si>
    <t xml:space="preserve">WL-03242</t>
  </si>
  <si>
    <t xml:space="preserve">Micheal Navarro</t>
  </si>
  <si>
    <t xml:space="preserve">WL-03243</t>
  </si>
  <si>
    <t xml:space="preserve">Jessica Long</t>
  </si>
  <si>
    <t xml:space="preserve">WL-03244</t>
  </si>
  <si>
    <t xml:space="preserve">Norma Brown</t>
  </si>
  <si>
    <t xml:space="preserve">WL-03245</t>
  </si>
  <si>
    <t xml:space="preserve">Howard Sellers</t>
  </si>
  <si>
    <t xml:space="preserve">WL-03246</t>
  </si>
  <si>
    <t xml:space="preserve">Robert Martin</t>
  </si>
  <si>
    <t xml:space="preserve">WL-03247</t>
  </si>
  <si>
    <t xml:space="preserve">Tina Armstrong</t>
  </si>
  <si>
    <t xml:space="preserve">WL-03248</t>
  </si>
  <si>
    <t xml:space="preserve">Theresa Grant</t>
  </si>
  <si>
    <t xml:space="preserve">WL-03249</t>
  </si>
  <si>
    <t xml:space="preserve">Julia Anderson</t>
  </si>
  <si>
    <t xml:space="preserve">WL-03250</t>
  </si>
  <si>
    <t xml:space="preserve">Philip Garcia</t>
  </si>
  <si>
    <t xml:space="preserve">WL-03251</t>
  </si>
  <si>
    <t xml:space="preserve">Katelyn Cook</t>
  </si>
  <si>
    <t xml:space="preserve">WL-03252</t>
  </si>
  <si>
    <t xml:space="preserve">John Gregory</t>
  </si>
  <si>
    <t xml:space="preserve">WL-03253</t>
  </si>
  <si>
    <t xml:space="preserve">Jennifer Butler</t>
  </si>
  <si>
    <t xml:space="preserve">WL-03254</t>
  </si>
  <si>
    <t xml:space="preserve">Linda Garza</t>
  </si>
  <si>
    <t xml:space="preserve">WL-03255</t>
  </si>
  <si>
    <t xml:space="preserve">Meghan Howard</t>
  </si>
  <si>
    <t xml:space="preserve">WL-03256</t>
  </si>
  <si>
    <t xml:space="preserve">Taylor Frazier</t>
  </si>
  <si>
    <t xml:space="preserve">WL-03257</t>
  </si>
  <si>
    <t xml:space="preserve">Eric Robinson</t>
  </si>
  <si>
    <t xml:space="preserve">MURRE ROCK</t>
  </si>
  <si>
    <t xml:space="preserve">WL-03258</t>
  </si>
  <si>
    <t xml:space="preserve">Robert Williams</t>
  </si>
  <si>
    <t xml:space="preserve">WL-03259</t>
  </si>
  <si>
    <t xml:space="preserve">Luke Thomas</t>
  </si>
  <si>
    <t xml:space="preserve">WL-03260</t>
  </si>
  <si>
    <t xml:space="preserve">Joel Thomas</t>
  </si>
  <si>
    <t xml:space="preserve">WL-03261</t>
  </si>
  <si>
    <t xml:space="preserve">Eric Wright</t>
  </si>
  <si>
    <t xml:space="preserve">WL-03262</t>
  </si>
  <si>
    <t xml:space="preserve">Melissa Kerr</t>
  </si>
  <si>
    <t xml:space="preserve">WL-03263</t>
  </si>
  <si>
    <t xml:space="preserve">Curtis Gutierrez</t>
  </si>
  <si>
    <t xml:space="preserve">WL-03264</t>
  </si>
  <si>
    <t xml:space="preserve">Cathy Hernandez</t>
  </si>
  <si>
    <t xml:space="preserve">WL-03265</t>
  </si>
  <si>
    <t xml:space="preserve">Melvin Espinoza</t>
  </si>
  <si>
    <t xml:space="preserve">WL-03266</t>
  </si>
  <si>
    <t xml:space="preserve">Jason Newman</t>
  </si>
  <si>
    <t xml:space="preserve">WL-03267</t>
  </si>
  <si>
    <t xml:space="preserve">Donna Perez</t>
  </si>
  <si>
    <t xml:space="preserve">WL-03268</t>
  </si>
  <si>
    <t xml:space="preserve">Charles Parker</t>
  </si>
  <si>
    <t xml:space="preserve">WL-03269</t>
  </si>
  <si>
    <t xml:space="preserve">Maria Schultz</t>
  </si>
  <si>
    <t xml:space="preserve">WL-03270</t>
  </si>
  <si>
    <t xml:space="preserve">Michael Baker</t>
  </si>
  <si>
    <t xml:space="preserve">WL-03271</t>
  </si>
  <si>
    <t xml:space="preserve">Luke Mejia</t>
  </si>
  <si>
    <t xml:space="preserve">WL-03272</t>
  </si>
  <si>
    <t xml:space="preserve">Matthew Contreras</t>
  </si>
  <si>
    <t xml:space="preserve">WL-03273</t>
  </si>
  <si>
    <t xml:space="preserve">Daniel Dodson</t>
  </si>
  <si>
    <t xml:space="preserve">WL-03274</t>
  </si>
  <si>
    <t xml:space="preserve">Brenda Matthews</t>
  </si>
  <si>
    <t xml:space="preserve">WL-03275</t>
  </si>
  <si>
    <t xml:space="preserve">Michael Wilson</t>
  </si>
  <si>
    <t xml:space="preserve">WL-03276</t>
  </si>
  <si>
    <t xml:space="preserve">Kimberly Lewis</t>
  </si>
  <si>
    <t xml:space="preserve">WL-03277</t>
  </si>
  <si>
    <t xml:space="preserve">Ashley Young</t>
  </si>
  <si>
    <t xml:space="preserve">WL-03278</t>
  </si>
  <si>
    <t xml:space="preserve">Stacie Fleming</t>
  </si>
  <si>
    <t xml:space="preserve">WL-03279</t>
  </si>
  <si>
    <t xml:space="preserve">David Marshall</t>
  </si>
  <si>
    <t xml:space="preserve">WL-03280</t>
  </si>
  <si>
    <t xml:space="preserve">Christine Clark</t>
  </si>
  <si>
    <t xml:space="preserve">WL-03281</t>
  </si>
  <si>
    <t xml:space="preserve">Vanessa Evans</t>
  </si>
  <si>
    <t xml:space="preserve">WL-03282</t>
  </si>
  <si>
    <t xml:space="preserve">Jillian Curry</t>
  </si>
  <si>
    <t xml:space="preserve">WL-03283</t>
  </si>
  <si>
    <t xml:space="preserve">David King</t>
  </si>
  <si>
    <t xml:space="preserve">WL-03284</t>
  </si>
  <si>
    <t xml:space="preserve">WL-03285</t>
  </si>
  <si>
    <t xml:space="preserve">Seth Hughes</t>
  </si>
  <si>
    <t xml:space="preserve">WL-03286</t>
  </si>
  <si>
    <t xml:space="preserve">Robert Wright</t>
  </si>
  <si>
    <t xml:space="preserve">WL-03287</t>
  </si>
  <si>
    <t xml:space="preserve">Deborah Holmes</t>
  </si>
  <si>
    <t xml:space="preserve">WL-03288</t>
  </si>
  <si>
    <t xml:space="preserve">Jaclyn Ingram</t>
  </si>
  <si>
    <t xml:space="preserve">WL-03289</t>
  </si>
  <si>
    <t xml:space="preserve">Kaitlin Bishop</t>
  </si>
  <si>
    <t xml:space="preserve">WL-03290</t>
  </si>
  <si>
    <t xml:space="preserve">Caitlin Chavez</t>
  </si>
  <si>
    <t xml:space="preserve">WL-03291</t>
  </si>
  <si>
    <t xml:space="preserve">Nicholas Marshall</t>
  </si>
  <si>
    <t xml:space="preserve">WL-03292</t>
  </si>
  <si>
    <t xml:space="preserve">Vincent Hanson</t>
  </si>
  <si>
    <t xml:space="preserve">WL-03293</t>
  </si>
  <si>
    <t xml:space="preserve">Laurie Huerta</t>
  </si>
  <si>
    <t xml:space="preserve">WL-03294</t>
  </si>
  <si>
    <t xml:space="preserve">Megan Nguyen</t>
  </si>
  <si>
    <t xml:space="preserve">WL-03295</t>
  </si>
  <si>
    <t xml:space="preserve">Heidi Fry</t>
  </si>
  <si>
    <t xml:space="preserve">WL-03296</t>
  </si>
  <si>
    <t xml:space="preserve">Sergio Fox</t>
  </si>
  <si>
    <t xml:space="preserve">WL-03297</t>
  </si>
  <si>
    <t xml:space="preserve">Lindsey Johnston</t>
  </si>
  <si>
    <t xml:space="preserve">HALIBUT LINE</t>
  </si>
  <si>
    <t xml:space="preserve">WL-03298</t>
  </si>
  <si>
    <t xml:space="preserve">Alyssa Thompson</t>
  </si>
  <si>
    <t xml:space="preserve">WL-03299</t>
  </si>
  <si>
    <t xml:space="preserve">Lisa Fisher</t>
  </si>
  <si>
    <t xml:space="preserve">WL-03300</t>
  </si>
  <si>
    <t xml:space="preserve">Anthony Levine</t>
  </si>
  <si>
    <t xml:space="preserve">WL-03301</t>
  </si>
  <si>
    <t xml:space="preserve">Michael Gordon</t>
  </si>
  <si>
    <t xml:space="preserve">WL-03302</t>
  </si>
  <si>
    <t xml:space="preserve">WL-03303</t>
  </si>
  <si>
    <t xml:space="preserve">Eileen Norris</t>
  </si>
  <si>
    <t xml:space="preserve">WL-03304</t>
  </si>
  <si>
    <t xml:space="preserve">Heather Brown</t>
  </si>
  <si>
    <t xml:space="preserve">WL-03305</t>
  </si>
  <si>
    <t xml:space="preserve">Monica Garcia</t>
  </si>
  <si>
    <t xml:space="preserve">WL-03306</t>
  </si>
  <si>
    <t xml:space="preserve">Rebecca Martin</t>
  </si>
  <si>
    <t xml:space="preserve">WL-03307</t>
  </si>
  <si>
    <t xml:space="preserve">Michael Jackson</t>
  </si>
  <si>
    <t xml:space="preserve">WL-03308</t>
  </si>
  <si>
    <t xml:space="preserve">Tanya Hunt</t>
  </si>
  <si>
    <t xml:space="preserve">WL-03309</t>
  </si>
  <si>
    <t xml:space="preserve">Angela Reid</t>
  </si>
  <si>
    <t xml:space="preserve">WL-03310</t>
  </si>
  <si>
    <t xml:space="preserve">Ronald Kim</t>
  </si>
  <si>
    <t xml:space="preserve">WL-03311</t>
  </si>
  <si>
    <t xml:space="preserve">Shane Lee</t>
  </si>
  <si>
    <t xml:space="preserve">WL-03312</t>
  </si>
  <si>
    <t xml:space="preserve">Karla Thomas</t>
  </si>
  <si>
    <t xml:space="preserve">WL-03313</t>
  </si>
  <si>
    <t xml:space="preserve">Jose Jimenez</t>
  </si>
  <si>
    <t xml:space="preserve">WL-03314</t>
  </si>
  <si>
    <t xml:space="preserve">Hannah Orozco</t>
  </si>
  <si>
    <t xml:space="preserve">WL-03315</t>
  </si>
  <si>
    <t xml:space="preserve">Marvin Miranda</t>
  </si>
  <si>
    <t xml:space="preserve">WL-03316</t>
  </si>
  <si>
    <t xml:space="preserve">Theresa Nguyen</t>
  </si>
  <si>
    <t xml:space="preserve">WL-03317</t>
  </si>
  <si>
    <t xml:space="preserve">Theresa Jordan</t>
  </si>
  <si>
    <t xml:space="preserve">WL-03318</t>
  </si>
  <si>
    <t xml:space="preserve">Denise Jordan</t>
  </si>
  <si>
    <t xml:space="preserve">WL-03319</t>
  </si>
  <si>
    <t xml:space="preserve">Darrell Hall</t>
  </si>
  <si>
    <t xml:space="preserve">WL-03320</t>
  </si>
  <si>
    <t xml:space="preserve">Maria Robinson</t>
  </si>
  <si>
    <t xml:space="preserve">WL-03321</t>
  </si>
  <si>
    <t xml:space="preserve">Casey Medina</t>
  </si>
  <si>
    <t xml:space="preserve">WL-03322</t>
  </si>
  <si>
    <t xml:space="preserve">Reginald Robles</t>
  </si>
  <si>
    <t xml:space="preserve">WL-03323</t>
  </si>
  <si>
    <t xml:space="preserve">Wesley Dickerson</t>
  </si>
  <si>
    <t xml:space="preserve">WL-03324</t>
  </si>
  <si>
    <t xml:space="preserve">Jacob Hanna</t>
  </si>
  <si>
    <t xml:space="preserve">WL-03325</t>
  </si>
  <si>
    <t xml:space="preserve">Brian Vaughn</t>
  </si>
  <si>
    <t xml:space="preserve">WL-03326</t>
  </si>
  <si>
    <t xml:space="preserve">Christopher Brock</t>
  </si>
  <si>
    <t xml:space="preserve">WL-03327</t>
  </si>
  <si>
    <t xml:space="preserve">Laura Zamora</t>
  </si>
  <si>
    <t xml:space="preserve">WL-03328</t>
  </si>
  <si>
    <t xml:space="preserve">Beth Perry</t>
  </si>
  <si>
    <t xml:space="preserve">WL-03329</t>
  </si>
  <si>
    <t xml:space="preserve">Anne Davis</t>
  </si>
  <si>
    <t xml:space="preserve">WL-03330</t>
  </si>
  <si>
    <t xml:space="preserve">Lori Bauer</t>
  </si>
  <si>
    <t xml:space="preserve">WL-03331</t>
  </si>
  <si>
    <t xml:space="preserve">Samuel Lane</t>
  </si>
  <si>
    <t xml:space="preserve">WL-03332</t>
  </si>
  <si>
    <t xml:space="preserve">Amanda Rodgers</t>
  </si>
  <si>
    <t xml:space="preserve">WL-03333</t>
  </si>
  <si>
    <t xml:space="preserve">Steven Greene</t>
  </si>
  <si>
    <t xml:space="preserve">WL-03334</t>
  </si>
  <si>
    <t xml:space="preserve">WL-03335</t>
  </si>
  <si>
    <t xml:space="preserve">Adrian Johnson</t>
  </si>
  <si>
    <t xml:space="preserve">WL-03336</t>
  </si>
  <si>
    <t xml:space="preserve">Jason Bailey</t>
  </si>
  <si>
    <t xml:space="preserve">WL-03337</t>
  </si>
  <si>
    <t xml:space="preserve">Daniel Little</t>
  </si>
  <si>
    <t xml:space="preserve">WL-03338</t>
  </si>
  <si>
    <t xml:space="preserve">Justin Hall</t>
  </si>
  <si>
    <t xml:space="preserve">WL-03339</t>
  </si>
  <si>
    <t xml:space="preserve">Joy Andrews</t>
  </si>
  <si>
    <t xml:space="preserve">WL-03340</t>
  </si>
  <si>
    <t xml:space="preserve">Linda Gonzalez</t>
  </si>
  <si>
    <t xml:space="preserve">WL-03341</t>
  </si>
  <si>
    <t xml:space="preserve">Terri Johnston</t>
  </si>
  <si>
    <t xml:space="preserve">WL-03342</t>
  </si>
  <si>
    <t xml:space="preserve">Margaret Howe</t>
  </si>
  <si>
    <t xml:space="preserve">WL-03343</t>
  </si>
  <si>
    <t xml:space="preserve">Justin Mckinney</t>
  </si>
  <si>
    <t xml:space="preserve">WL-03344</t>
  </si>
  <si>
    <t xml:space="preserve">Ryan Butler</t>
  </si>
  <si>
    <t xml:space="preserve">WL-03345</t>
  </si>
  <si>
    <t xml:space="preserve">Cody Jackson</t>
  </si>
  <si>
    <t xml:space="preserve">WL-03346</t>
  </si>
  <si>
    <t xml:space="preserve">WL-03347</t>
  </si>
  <si>
    <t xml:space="preserve">Toni Ross</t>
  </si>
  <si>
    <t xml:space="preserve">WL-03348</t>
  </si>
  <si>
    <t xml:space="preserve">Sandra Jackson</t>
  </si>
  <si>
    <t xml:space="preserve">WL-03349</t>
  </si>
  <si>
    <t xml:space="preserve">Andrew Jimenez</t>
  </si>
  <si>
    <t xml:space="preserve">WL-03350</t>
  </si>
  <si>
    <t xml:space="preserve">Edwin Jones</t>
  </si>
  <si>
    <t xml:space="preserve">WL-03351</t>
  </si>
  <si>
    <t xml:space="preserve">Justin Mejia</t>
  </si>
  <si>
    <t xml:space="preserve">WL-03352</t>
  </si>
  <si>
    <t xml:space="preserve">Isabella Sutton</t>
  </si>
  <si>
    <t xml:space="preserve">WL-03353</t>
  </si>
  <si>
    <t xml:space="preserve">Patricia Adkins</t>
  </si>
  <si>
    <t xml:space="preserve">WL-03354</t>
  </si>
  <si>
    <t xml:space="preserve">James Roberts</t>
  </si>
  <si>
    <t xml:space="preserve">WL-03355</t>
  </si>
  <si>
    <t xml:space="preserve">Sarah King</t>
  </si>
  <si>
    <t xml:space="preserve">WL-03356</t>
  </si>
  <si>
    <t xml:space="preserve">Nathaniel Flores</t>
  </si>
  <si>
    <t xml:space="preserve">WL-03357</t>
  </si>
  <si>
    <t xml:space="preserve">Mary Scott</t>
  </si>
  <si>
    <t xml:space="preserve">WL-03358</t>
  </si>
  <si>
    <t xml:space="preserve">Jeremiah Cruz</t>
  </si>
  <si>
    <t xml:space="preserve">WL-03359</t>
  </si>
  <si>
    <t xml:space="preserve">Scott Larsen</t>
  </si>
  <si>
    <t xml:space="preserve">WL-03360</t>
  </si>
  <si>
    <t xml:space="preserve">Morgan Ramos</t>
  </si>
  <si>
    <t xml:space="preserve">WL-03361</t>
  </si>
  <si>
    <t xml:space="preserve">Donna Robertson</t>
  </si>
  <si>
    <t xml:space="preserve">WL-03362</t>
  </si>
  <si>
    <t xml:space="preserve">Crystal Porter</t>
  </si>
  <si>
    <t xml:space="preserve">WL-03363</t>
  </si>
  <si>
    <t xml:space="preserve">Benjamin Lopez</t>
  </si>
  <si>
    <t xml:space="preserve">WL-03364</t>
  </si>
  <si>
    <t xml:space="preserve">Brenda Patel</t>
  </si>
  <si>
    <t xml:space="preserve">WL-03365</t>
  </si>
  <si>
    <t xml:space="preserve">Elizabeth Pennington</t>
  </si>
  <si>
    <t xml:space="preserve">WL-03366</t>
  </si>
  <si>
    <t xml:space="preserve">Jose Mckinney</t>
  </si>
  <si>
    <t xml:space="preserve">WL-03367</t>
  </si>
  <si>
    <t xml:space="preserve">Jill Stevenson</t>
  </si>
  <si>
    <t xml:space="preserve">WL-03368</t>
  </si>
  <si>
    <t xml:space="preserve">Daniel Bowen</t>
  </si>
  <si>
    <t xml:space="preserve">WL-03369</t>
  </si>
  <si>
    <t xml:space="preserve">Sara Jones</t>
  </si>
  <si>
    <t xml:space="preserve">WL-03370</t>
  </si>
  <si>
    <t xml:space="preserve">Denise Adkins</t>
  </si>
  <si>
    <t xml:space="preserve">WL-03371</t>
  </si>
  <si>
    <t xml:space="preserve">Scott Barber</t>
  </si>
  <si>
    <t xml:space="preserve">WL-03372</t>
  </si>
  <si>
    <t xml:space="preserve">Kristin Alexander</t>
  </si>
  <si>
    <t xml:space="preserve">WL-03373</t>
  </si>
  <si>
    <t xml:space="preserve">Sara Mcgee</t>
  </si>
  <si>
    <t xml:space="preserve">WL-03374</t>
  </si>
  <si>
    <t xml:space="preserve">Tina Ward</t>
  </si>
  <si>
    <t xml:space="preserve">WL-03375</t>
  </si>
  <si>
    <t xml:space="preserve">Debra Rogers</t>
  </si>
  <si>
    <t xml:space="preserve">WL-03376</t>
  </si>
  <si>
    <t xml:space="preserve">Vicki Diaz</t>
  </si>
  <si>
    <t xml:space="preserve">WL-03377</t>
  </si>
  <si>
    <t xml:space="preserve">Cynthia Harris</t>
  </si>
  <si>
    <t xml:space="preserve">WL-03378</t>
  </si>
  <si>
    <t xml:space="preserve">Jessica Lewis</t>
  </si>
  <si>
    <t xml:space="preserve">WL-03379</t>
  </si>
  <si>
    <t xml:space="preserve">Matthew Cole</t>
  </si>
  <si>
    <t xml:space="preserve">WL-03380</t>
  </si>
  <si>
    <t xml:space="preserve">Charles Snyder</t>
  </si>
  <si>
    <t xml:space="preserve">WL-03381</t>
  </si>
  <si>
    <t xml:space="preserve">Julie Jackson</t>
  </si>
  <si>
    <t xml:space="preserve">WL-03382</t>
  </si>
  <si>
    <t xml:space="preserve">Katherine Noble</t>
  </si>
  <si>
    <t xml:space="preserve">WL-03383</t>
  </si>
  <si>
    <t xml:space="preserve">Michelle Potter</t>
  </si>
  <si>
    <t xml:space="preserve">WL-03384</t>
  </si>
  <si>
    <t xml:space="preserve">Luke Fleming</t>
  </si>
  <si>
    <t xml:space="preserve">WL-03385</t>
  </si>
  <si>
    <t xml:space="preserve">Anthony Chen</t>
  </si>
  <si>
    <t xml:space="preserve">WL-03386</t>
  </si>
  <si>
    <t xml:space="preserve">John Sullivan</t>
  </si>
  <si>
    <t xml:space="preserve">WL-03387</t>
  </si>
  <si>
    <t xml:space="preserve">Paul Rowe</t>
  </si>
  <si>
    <t xml:space="preserve">WL-03388</t>
  </si>
  <si>
    <t xml:space="preserve">Benjamin Cook</t>
  </si>
  <si>
    <t xml:space="preserve">WL-03389</t>
  </si>
  <si>
    <t xml:space="preserve">Christina Reyes</t>
  </si>
  <si>
    <t xml:space="preserve">WL-03390</t>
  </si>
  <si>
    <t xml:space="preserve">Phillip Ard</t>
  </si>
  <si>
    <t xml:space="preserve">MOSSBACK</t>
  </si>
  <si>
    <t xml:space="preserve">WL-03391</t>
  </si>
  <si>
    <t xml:space="preserve">Michael Gonzales</t>
  </si>
  <si>
    <t xml:space="preserve">WL-03392</t>
  </si>
  <si>
    <t xml:space="preserve">Matthew Hart</t>
  </si>
  <si>
    <t xml:space="preserve">WL-03393</t>
  </si>
  <si>
    <t xml:space="preserve">Richard Norris</t>
  </si>
  <si>
    <t xml:space="preserve">WL-03394</t>
  </si>
  <si>
    <t xml:space="preserve">Alyssa Robinson</t>
  </si>
  <si>
    <t xml:space="preserve">WL-03395</t>
  </si>
  <si>
    <t xml:space="preserve">Matthew Summers</t>
  </si>
  <si>
    <t xml:space="preserve">WL-03396</t>
  </si>
  <si>
    <t xml:space="preserve">Tanya Woods</t>
  </si>
  <si>
    <t xml:space="preserve">WL-03397</t>
  </si>
  <si>
    <t xml:space="preserve">Jessica Daugherty</t>
  </si>
  <si>
    <t xml:space="preserve">WL-03398</t>
  </si>
  <si>
    <t xml:space="preserve">Jeffery Cannon</t>
  </si>
  <si>
    <t xml:space="preserve">WL-03399</t>
  </si>
  <si>
    <t xml:space="preserve">Charles Case</t>
  </si>
  <si>
    <t xml:space="preserve">WL-03400</t>
  </si>
  <si>
    <t xml:space="preserve">Danielle Blair</t>
  </si>
  <si>
    <t xml:space="preserve">WL-03401</t>
  </si>
  <si>
    <t xml:space="preserve">Shawn Chambers</t>
  </si>
  <si>
    <t xml:space="preserve">WL-03402</t>
  </si>
  <si>
    <t xml:space="preserve">Jennifer Brennan</t>
  </si>
  <si>
    <t xml:space="preserve">WL-03403</t>
  </si>
  <si>
    <t xml:space="preserve">Christopher Mcpherson</t>
  </si>
  <si>
    <t xml:space="preserve">WL-03404</t>
  </si>
  <si>
    <t xml:space="preserve">Sean Hernandez</t>
  </si>
  <si>
    <t xml:space="preserve">WL-03405</t>
  </si>
  <si>
    <t xml:space="preserve">Charles Bradford</t>
  </si>
  <si>
    <t xml:space="preserve">WL-03406</t>
  </si>
  <si>
    <t xml:space="preserve">Richard Brown</t>
  </si>
  <si>
    <t xml:space="preserve">WL-03407</t>
  </si>
  <si>
    <t xml:space="preserve">Allison Anthony</t>
  </si>
  <si>
    <t xml:space="preserve">WL-03408</t>
  </si>
  <si>
    <t xml:space="preserve">Mark Phillips</t>
  </si>
  <si>
    <t xml:space="preserve">WL-03409</t>
  </si>
  <si>
    <t xml:space="preserve">Linda Franklin</t>
  </si>
  <si>
    <t xml:space="preserve">WL-03410</t>
  </si>
  <si>
    <t xml:space="preserve">Cindy Smith</t>
  </si>
  <si>
    <t xml:space="preserve">WL-03411</t>
  </si>
  <si>
    <t xml:space="preserve">Miguel Boyd</t>
  </si>
  <si>
    <t xml:space="preserve">WL-03412</t>
  </si>
  <si>
    <t xml:space="preserve">Seth Smith</t>
  </si>
  <si>
    <t xml:space="preserve">WL-03413</t>
  </si>
  <si>
    <t xml:space="preserve">Timothy Moran</t>
  </si>
  <si>
    <t xml:space="preserve">WL-03414</t>
  </si>
  <si>
    <t xml:space="preserve">Charles Nelson</t>
  </si>
  <si>
    <t xml:space="preserve">WL-03415</t>
  </si>
  <si>
    <t xml:space="preserve">Jennifer Leonard</t>
  </si>
  <si>
    <t xml:space="preserve">WL-03416</t>
  </si>
  <si>
    <t xml:space="preserve">Andrew Miles</t>
  </si>
  <si>
    <t xml:space="preserve">WL-03417</t>
  </si>
  <si>
    <t xml:space="preserve">Carl Cannon</t>
  </si>
  <si>
    <t xml:space="preserve">WL-03418</t>
  </si>
  <si>
    <t xml:space="preserve">Mary Ford</t>
  </si>
  <si>
    <t xml:space="preserve">WL-03419</t>
  </si>
  <si>
    <t xml:space="preserve">Kyle Mason</t>
  </si>
  <si>
    <t xml:space="preserve">WL-03420</t>
  </si>
  <si>
    <t xml:space="preserve">Laura Franklin</t>
  </si>
  <si>
    <t xml:space="preserve">WL-03421</t>
  </si>
  <si>
    <t xml:space="preserve">Timothy Harris</t>
  </si>
  <si>
    <t xml:space="preserve">WL-03422</t>
  </si>
  <si>
    <t xml:space="preserve">Robin Jones</t>
  </si>
  <si>
    <t xml:space="preserve">WL-03423</t>
  </si>
  <si>
    <t xml:space="preserve">Sarah Walker</t>
  </si>
  <si>
    <t xml:space="preserve">WL-03424</t>
  </si>
  <si>
    <t xml:space="preserve">Craig Hawkins</t>
  </si>
  <si>
    <t xml:space="preserve">WL-03425</t>
  </si>
  <si>
    <t xml:space="preserve">Miranda Neal</t>
  </si>
  <si>
    <t xml:space="preserve">WL-03426</t>
  </si>
  <si>
    <t xml:space="preserve">Amanda Jackson</t>
  </si>
  <si>
    <t xml:space="preserve">SCOTER DANECR</t>
  </si>
  <si>
    <t xml:space="preserve">WL-03427</t>
  </si>
  <si>
    <t xml:space="preserve">Austin Wise</t>
  </si>
  <si>
    <t xml:space="preserve">WL-03428</t>
  </si>
  <si>
    <t xml:space="preserve">Ryan Bentley</t>
  </si>
  <si>
    <t xml:space="preserve">WL-03429</t>
  </si>
  <si>
    <t xml:space="preserve">Daniel Perez</t>
  </si>
  <si>
    <t xml:space="preserve">WL-03430</t>
  </si>
  <si>
    <t xml:space="preserve">David Camacho</t>
  </si>
  <si>
    <t xml:space="preserve">WL-03431</t>
  </si>
  <si>
    <t xml:space="preserve">Lisa Cochran</t>
  </si>
  <si>
    <t xml:space="preserve">WL-03432</t>
  </si>
  <si>
    <t xml:space="preserve">Sarah Duarte</t>
  </si>
  <si>
    <t xml:space="preserve">WL-03433</t>
  </si>
  <si>
    <t xml:space="preserve">Ruben Taylor</t>
  </si>
  <si>
    <t xml:space="preserve">WL-03434</t>
  </si>
  <si>
    <t xml:space="preserve">Michelle Caldwell</t>
  </si>
  <si>
    <t xml:space="preserve">WL-03435</t>
  </si>
  <si>
    <t xml:space="preserve">Shawn Alexander</t>
  </si>
  <si>
    <t xml:space="preserve">WL-03436</t>
  </si>
  <si>
    <t xml:space="preserve">Katherine Hunter</t>
  </si>
  <si>
    <t xml:space="preserve">WL-03437</t>
  </si>
  <si>
    <t xml:space="preserve">David Noble</t>
  </si>
  <si>
    <t xml:space="preserve">WL-03438</t>
  </si>
  <si>
    <t xml:space="preserve">Stacey Mitchell</t>
  </si>
  <si>
    <t xml:space="preserve">WL-03439</t>
  </si>
  <si>
    <t xml:space="preserve">Willie Stewart</t>
  </si>
  <si>
    <t xml:space="preserve">WL-03440</t>
  </si>
  <si>
    <t xml:space="preserve">Lisa Alvarez</t>
  </si>
  <si>
    <t xml:space="preserve">WL-03441</t>
  </si>
  <si>
    <t xml:space="preserve">Jose Schultz</t>
  </si>
  <si>
    <t xml:space="preserve">WL-03442</t>
  </si>
  <si>
    <t xml:space="preserve">Gary Russo</t>
  </si>
  <si>
    <t xml:space="preserve">WL-03443</t>
  </si>
  <si>
    <t xml:space="preserve">Katie Mccann</t>
  </si>
  <si>
    <t xml:space="preserve">WL-03444</t>
  </si>
  <si>
    <t xml:space="preserve">Danielle Lopez</t>
  </si>
  <si>
    <t xml:space="preserve">WL-03445</t>
  </si>
  <si>
    <t xml:space="preserve">Gregory Ball</t>
  </si>
  <si>
    <t xml:space="preserve">WL-03446</t>
  </si>
  <si>
    <t xml:space="preserve">Joshua Weaver</t>
  </si>
  <si>
    <t xml:space="preserve">WL-03447</t>
  </si>
  <si>
    <t xml:space="preserve">Matthew Mcdonald</t>
  </si>
  <si>
    <t xml:space="preserve">WL-03448</t>
  </si>
  <si>
    <t xml:space="preserve">Christopher Marshall</t>
  </si>
  <si>
    <t xml:space="preserve">WL-03449</t>
  </si>
  <si>
    <t xml:space="preserve">Chris Fox</t>
  </si>
  <si>
    <t xml:space="preserve">WL-03450</t>
  </si>
  <si>
    <t xml:space="preserve">Mallory Harris</t>
  </si>
  <si>
    <t xml:space="preserve">WL-03451</t>
  </si>
  <si>
    <t xml:space="preserve">Samantha Jones</t>
  </si>
  <si>
    <t xml:space="preserve">WL-03452</t>
  </si>
  <si>
    <t xml:space="preserve">Nicole Wood</t>
  </si>
  <si>
    <t xml:space="preserve">WL-03453</t>
  </si>
  <si>
    <t xml:space="preserve">Kelly Johnson</t>
  </si>
  <si>
    <t xml:space="preserve">WL-03454</t>
  </si>
  <si>
    <t xml:space="preserve">Jason Ramirez</t>
  </si>
  <si>
    <t xml:space="preserve">WL-03455</t>
  </si>
  <si>
    <t xml:space="preserve">Taylor George</t>
  </si>
  <si>
    <t xml:space="preserve">WL-03456</t>
  </si>
  <si>
    <t xml:space="preserve">Stephanie Wilson</t>
  </si>
  <si>
    <t xml:space="preserve">WL-03457</t>
  </si>
  <si>
    <t xml:space="preserve">Teresa Davis</t>
  </si>
  <si>
    <t xml:space="preserve">WL-03458</t>
  </si>
  <si>
    <t xml:space="preserve">Brittany Wells</t>
  </si>
  <si>
    <t xml:space="preserve">WL-03459</t>
  </si>
  <si>
    <t xml:space="preserve">April Thomas</t>
  </si>
  <si>
    <t xml:space="preserve">WL-03460</t>
  </si>
  <si>
    <t xml:space="preserve">Shannon Nolan</t>
  </si>
  <si>
    <t xml:space="preserve">WL-03461</t>
  </si>
  <si>
    <t xml:space="preserve">Tiffany Hahn</t>
  </si>
  <si>
    <t xml:space="preserve">WL-03462</t>
  </si>
  <si>
    <t xml:space="preserve">Melanie Martinez</t>
  </si>
  <si>
    <t xml:space="preserve">WL-03463</t>
  </si>
  <si>
    <t xml:space="preserve">Chris Dixon</t>
  </si>
  <si>
    <t xml:space="preserve">WL-03464</t>
  </si>
  <si>
    <t xml:space="preserve">Joseph Spencer</t>
  </si>
  <si>
    <t xml:space="preserve">WL-03465</t>
  </si>
  <si>
    <t xml:space="preserve">Eric Mays</t>
  </si>
  <si>
    <t xml:space="preserve">WL-03466</t>
  </si>
  <si>
    <t xml:space="preserve">Christopher Smith</t>
  </si>
  <si>
    <t xml:space="preserve">WL-03467</t>
  </si>
  <si>
    <t xml:space="preserve">Juan Ray</t>
  </si>
  <si>
    <t xml:space="preserve">WL-03468</t>
  </si>
  <si>
    <t xml:space="preserve">Robert Peterson</t>
  </si>
  <si>
    <t xml:space="preserve">WL-03469</t>
  </si>
  <si>
    <t xml:space="preserve">Christopher Calhoun</t>
  </si>
  <si>
    <t xml:space="preserve">WL-03470</t>
  </si>
  <si>
    <t xml:space="preserve">Nathan Huffman</t>
  </si>
  <si>
    <t xml:space="preserve">WL-03471</t>
  </si>
  <si>
    <t xml:space="preserve">Leroy Cooley</t>
  </si>
  <si>
    <t xml:space="preserve">WL-03472</t>
  </si>
  <si>
    <t xml:space="preserve">Robert Shea</t>
  </si>
  <si>
    <t xml:space="preserve">WL-03473</t>
  </si>
  <si>
    <t xml:space="preserve">Brian Miller</t>
  </si>
  <si>
    <t xml:space="preserve">WL-03474</t>
  </si>
  <si>
    <t xml:space="preserve">Christopher Flores</t>
  </si>
  <si>
    <t xml:space="preserve">WL-03475</t>
  </si>
  <si>
    <t xml:space="preserve">Jennifer Ross</t>
  </si>
  <si>
    <t xml:space="preserve">WL-03476</t>
  </si>
  <si>
    <t xml:space="preserve">Andrew Myers</t>
  </si>
  <si>
    <t xml:space="preserve">WL-03477</t>
  </si>
  <si>
    <t xml:space="preserve">Darryl Garcia</t>
  </si>
  <si>
    <t xml:space="preserve">WL-03478</t>
  </si>
  <si>
    <t xml:space="preserve">Walter Hahn</t>
  </si>
  <si>
    <t xml:space="preserve">WL-03479</t>
  </si>
  <si>
    <t xml:space="preserve">Brittney Daugherty</t>
  </si>
  <si>
    <t xml:space="preserve">SALIHS GLIDE</t>
  </si>
  <si>
    <t xml:space="preserve">WL-03480</t>
  </si>
  <si>
    <t xml:space="preserve">Melissa Taylor</t>
  </si>
  <si>
    <t xml:space="preserve">WL-03481</t>
  </si>
  <si>
    <t xml:space="preserve">William Madden</t>
  </si>
  <si>
    <t xml:space="preserve">WL-03482</t>
  </si>
  <si>
    <t xml:space="preserve">James Gonzalez</t>
  </si>
  <si>
    <t xml:space="preserve">WL-03483</t>
  </si>
  <si>
    <t xml:space="preserve">Lawrence Hendricks</t>
  </si>
  <si>
    <t xml:space="preserve">WL-03484</t>
  </si>
  <si>
    <t xml:space="preserve">Mikayla Jackson</t>
  </si>
  <si>
    <t xml:space="preserve">WL-03485</t>
  </si>
  <si>
    <t xml:space="preserve">Timothy Moon</t>
  </si>
  <si>
    <t xml:space="preserve">WL-03486</t>
  </si>
  <si>
    <t xml:space="preserve">Mary Murillo</t>
  </si>
  <si>
    <t xml:space="preserve">WL-03487</t>
  </si>
  <si>
    <t xml:space="preserve">David Hunter</t>
  </si>
  <si>
    <t xml:space="preserve">WL-03488</t>
  </si>
  <si>
    <t xml:space="preserve">Albert Hill</t>
  </si>
  <si>
    <t xml:space="preserve">WL-03489</t>
  </si>
  <si>
    <t xml:space="preserve">Alec Padilla</t>
  </si>
  <si>
    <t xml:space="preserve">WL-03490</t>
  </si>
  <si>
    <t xml:space="preserve">Julian Browning</t>
  </si>
  <si>
    <t xml:space="preserve">WL-03491</t>
  </si>
  <si>
    <t xml:space="preserve">Daniel Flowers</t>
  </si>
  <si>
    <t xml:space="preserve">WL-03492</t>
  </si>
  <si>
    <t xml:space="preserve">Lisa Hernandez</t>
  </si>
  <si>
    <t xml:space="preserve">WL-03493</t>
  </si>
  <si>
    <t xml:space="preserve">Francisco Patterson</t>
  </si>
  <si>
    <t xml:space="preserve">WL-03494</t>
  </si>
  <si>
    <t xml:space="preserve">Donna Owen</t>
  </si>
  <si>
    <t xml:space="preserve">WL-03495</t>
  </si>
  <si>
    <t xml:space="preserve">Sara Watson</t>
  </si>
  <si>
    <t xml:space="preserve">WL-03496</t>
  </si>
  <si>
    <t xml:space="preserve">Pamela Koch</t>
  </si>
  <si>
    <t xml:space="preserve">WL-03497</t>
  </si>
  <si>
    <t xml:space="preserve">David Norman</t>
  </si>
  <si>
    <t xml:space="preserve">WL-03498</t>
  </si>
  <si>
    <t xml:space="preserve">Andrew Bell</t>
  </si>
  <si>
    <t xml:space="preserve">WL-03499</t>
  </si>
  <si>
    <t xml:space="preserve">Cameron Foster</t>
  </si>
  <si>
    <t xml:space="preserve">WL-03500</t>
  </si>
  <si>
    <t xml:space="preserve">Rebecca Fletcher</t>
  </si>
  <si>
    <t xml:space="preserve">WL-03501</t>
  </si>
  <si>
    <t xml:space="preserve">Shelley Campos</t>
  </si>
  <si>
    <t xml:space="preserve">WL-03502</t>
  </si>
  <si>
    <t xml:space="preserve">Jennifer Bryant</t>
  </si>
  <si>
    <t xml:space="preserve">WL-03503</t>
  </si>
  <si>
    <t xml:space="preserve">Shelly Elliott</t>
  </si>
  <si>
    <t xml:space="preserve">WL-03504</t>
  </si>
  <si>
    <t xml:space="preserve">Paul Brady</t>
  </si>
  <si>
    <t xml:space="preserve">WL-03505</t>
  </si>
  <si>
    <t xml:space="preserve">Alexandra Chung</t>
  </si>
  <si>
    <t xml:space="preserve">WL-03506</t>
  </si>
  <si>
    <t xml:space="preserve">Sarah Wilson</t>
  </si>
  <si>
    <t xml:space="preserve">WL-03507</t>
  </si>
  <si>
    <t xml:space="preserve">John Chambers</t>
  </si>
  <si>
    <t xml:space="preserve">WL-03508</t>
  </si>
  <si>
    <t xml:space="preserve">Michael Cross</t>
  </si>
  <si>
    <t xml:space="preserve">WL-03509</t>
  </si>
  <si>
    <t xml:space="preserve">Sabrina Kline</t>
  </si>
  <si>
    <t xml:space="preserve">WL-03510</t>
  </si>
  <si>
    <t xml:space="preserve">Kimberly Pearson</t>
  </si>
  <si>
    <t xml:space="preserve">WL-03511</t>
  </si>
  <si>
    <t xml:space="preserve">Kristen Turner</t>
  </si>
  <si>
    <t xml:space="preserve">WL-03512</t>
  </si>
  <si>
    <t xml:space="preserve">Lisa Holland</t>
  </si>
  <si>
    <t xml:space="preserve">WL-03513</t>
  </si>
  <si>
    <t xml:space="preserve">Rose Lee</t>
  </si>
  <si>
    <t xml:space="preserve">WL-03514</t>
  </si>
  <si>
    <t xml:space="preserve">Marvin Davila</t>
  </si>
  <si>
    <t xml:space="preserve">WL-03515</t>
  </si>
  <si>
    <t xml:space="preserve">Adam Ramirez</t>
  </si>
  <si>
    <t xml:space="preserve">WL-03516</t>
  </si>
  <si>
    <t xml:space="preserve">Tiffany Mcgrath</t>
  </si>
  <si>
    <t xml:space="preserve">WL-03517</t>
  </si>
  <si>
    <t xml:space="preserve">Ruth Peters</t>
  </si>
  <si>
    <t xml:space="preserve">WL-03518</t>
  </si>
  <si>
    <t xml:space="preserve">Jorge Donovan</t>
  </si>
  <si>
    <t xml:space="preserve">WL-03519</t>
  </si>
  <si>
    <t xml:space="preserve">Crystal Moore</t>
  </si>
  <si>
    <t xml:space="preserve">WL-03520</t>
  </si>
  <si>
    <t xml:space="preserve">Carlos Barnett</t>
  </si>
  <si>
    <t xml:space="preserve">WL-03521</t>
  </si>
  <si>
    <t xml:space="preserve">Penny Nelson</t>
  </si>
  <si>
    <t xml:space="preserve">WL-03522</t>
  </si>
  <si>
    <t xml:space="preserve">Austin Sanchez</t>
  </si>
  <si>
    <t xml:space="preserve">WL-03523</t>
  </si>
  <si>
    <t xml:space="preserve">Darlene Glover</t>
  </si>
  <si>
    <t xml:space="preserve">WL-03524</t>
  </si>
  <si>
    <t xml:space="preserve">James Hayes</t>
  </si>
  <si>
    <t xml:space="preserve">WL-03525</t>
  </si>
  <si>
    <t xml:space="preserve">Samuel Richardson</t>
  </si>
  <si>
    <t xml:space="preserve">WL-03526</t>
  </si>
  <si>
    <t xml:space="preserve">Michael West</t>
  </si>
  <si>
    <t xml:space="preserve">WL-03527</t>
  </si>
  <si>
    <t xml:space="preserve">Ashley Logan</t>
  </si>
  <si>
    <t xml:space="preserve">WL-03528</t>
  </si>
  <si>
    <t xml:space="preserve">Gina Hudson</t>
  </si>
  <si>
    <t xml:space="preserve">WL-03529</t>
  </si>
  <si>
    <t xml:space="preserve">Jeanette Bautista</t>
  </si>
  <si>
    <t xml:space="preserve">WL-03530</t>
  </si>
  <si>
    <t xml:space="preserve">Jay Dominguez</t>
  </si>
  <si>
    <t xml:space="preserve">WL-03531</t>
  </si>
  <si>
    <t xml:space="preserve">Nicole Golden</t>
  </si>
  <si>
    <t xml:space="preserve">WL-03532</t>
  </si>
  <si>
    <t xml:space="preserve">Tanya May</t>
  </si>
  <si>
    <t xml:space="preserve">WL-03533</t>
  </si>
  <si>
    <t xml:space="preserve">Brian Wilson</t>
  </si>
  <si>
    <t xml:space="preserve">WL-03534</t>
  </si>
  <si>
    <t xml:space="preserve">Henry Morris</t>
  </si>
  <si>
    <t xml:space="preserve">WL-03535</t>
  </si>
  <si>
    <t xml:space="preserve">Allison Castro</t>
  </si>
  <si>
    <t xml:space="preserve">WL-03536</t>
  </si>
  <si>
    <t xml:space="preserve">Susan Elliott</t>
  </si>
  <si>
    <t xml:space="preserve">WL-03537</t>
  </si>
  <si>
    <t xml:space="preserve">Angel Wheeler</t>
  </si>
  <si>
    <t xml:space="preserve">WL-03538</t>
  </si>
  <si>
    <t xml:space="preserve">Kevin Gardner</t>
  </si>
  <si>
    <t xml:space="preserve">WL-03539</t>
  </si>
  <si>
    <t xml:space="preserve">Arthur Martinez</t>
  </si>
  <si>
    <t xml:space="preserve">WL-03540</t>
  </si>
  <si>
    <t xml:space="preserve">Julie Crane</t>
  </si>
  <si>
    <t xml:space="preserve">WL-03541</t>
  </si>
  <si>
    <t xml:space="preserve">Michael Myers</t>
  </si>
  <si>
    <t xml:space="preserve">WL-03542</t>
  </si>
  <si>
    <t xml:space="preserve">Kristina Rivas</t>
  </si>
  <si>
    <t xml:space="preserve">WL-03543</t>
  </si>
  <si>
    <t xml:space="preserve">Joseph Harrison</t>
  </si>
  <si>
    <t xml:space="preserve">WL-03544</t>
  </si>
  <si>
    <t xml:space="preserve">WL-03545</t>
  </si>
  <si>
    <t xml:space="preserve">Barbara Chen</t>
  </si>
  <si>
    <t xml:space="preserve">WL-03546</t>
  </si>
  <si>
    <t xml:space="preserve">Samantha Huynh</t>
  </si>
  <si>
    <t xml:space="preserve">WL-03547</t>
  </si>
  <si>
    <t xml:space="preserve">Amber Ward</t>
  </si>
  <si>
    <t xml:space="preserve">WL-03548</t>
  </si>
  <si>
    <t xml:space="preserve">Michael Clark</t>
  </si>
  <si>
    <t xml:space="preserve">WL-03549</t>
  </si>
  <si>
    <t xml:space="preserve">Erika Howard</t>
  </si>
  <si>
    <t xml:space="preserve">WL-03550</t>
  </si>
  <si>
    <t xml:space="preserve">Brenda Parker</t>
  </si>
  <si>
    <t xml:space="preserve">WL-03551</t>
  </si>
  <si>
    <t xml:space="preserve">Jennifer Fisher</t>
  </si>
  <si>
    <t xml:space="preserve">WL-03552</t>
  </si>
  <si>
    <t xml:space="preserve">Dawn Hammond</t>
  </si>
  <si>
    <t xml:space="preserve">WL-03553</t>
  </si>
  <si>
    <t xml:space="preserve">Kaitlyn Gomez</t>
  </si>
  <si>
    <t xml:space="preserve">WL-03554</t>
  </si>
  <si>
    <t xml:space="preserve">Justin Maddox</t>
  </si>
  <si>
    <t xml:space="preserve">WL-03555</t>
  </si>
  <si>
    <t xml:space="preserve">Andrea Clark</t>
  </si>
  <si>
    <t xml:space="preserve">WL-03556</t>
  </si>
  <si>
    <t xml:space="preserve">Scott Bird</t>
  </si>
  <si>
    <t xml:space="preserve">WL-03557</t>
  </si>
  <si>
    <t xml:space="preserve">Tiffany Smith</t>
  </si>
  <si>
    <t xml:space="preserve">WL-03558</t>
  </si>
  <si>
    <t xml:space="preserve">Jeremy Davis</t>
  </si>
  <si>
    <t xml:space="preserve">WL-03559</t>
  </si>
  <si>
    <t xml:space="preserve">David Sanders</t>
  </si>
  <si>
    <t xml:space="preserve">WL-03560</t>
  </si>
  <si>
    <t xml:space="preserve">Anthony Pham</t>
  </si>
  <si>
    <t xml:space="preserve">WL-03561</t>
  </si>
  <si>
    <t xml:space="preserve">Rebecca Crawford</t>
  </si>
  <si>
    <t xml:space="preserve">WL-03562</t>
  </si>
  <si>
    <t xml:space="preserve">Tara Davis</t>
  </si>
  <si>
    <t xml:space="preserve">WL-03563</t>
  </si>
  <si>
    <t xml:space="preserve">Ellen Bryant</t>
  </si>
  <si>
    <t xml:space="preserve">WL-03564</t>
  </si>
  <si>
    <t xml:space="preserve">Amy Hernandez</t>
  </si>
  <si>
    <t xml:space="preserve">WL-03565</t>
  </si>
  <si>
    <t xml:space="preserve">Brian Rosario</t>
  </si>
  <si>
    <t xml:space="preserve">WL-03566</t>
  </si>
  <si>
    <t xml:space="preserve">Terry Moore</t>
  </si>
  <si>
    <t xml:space="preserve">WL-03567</t>
  </si>
  <si>
    <t xml:space="preserve">Kevin Vargas</t>
  </si>
  <si>
    <t xml:space="preserve">WL-03568</t>
  </si>
  <si>
    <t xml:space="preserve">Ricardo Jensen</t>
  </si>
  <si>
    <t xml:space="preserve">WL-03569</t>
  </si>
  <si>
    <t xml:space="preserve">Mary Hicks</t>
  </si>
  <si>
    <t xml:space="preserve">WL-03570</t>
  </si>
  <si>
    <t xml:space="preserve">Michael Smith</t>
  </si>
  <si>
    <t xml:space="preserve">WL-03571</t>
  </si>
  <si>
    <t xml:space="preserve">Rebecca Merritt</t>
  </si>
  <si>
    <t xml:space="preserve">WL-03572</t>
  </si>
  <si>
    <t xml:space="preserve">Anthony Morrison</t>
  </si>
  <si>
    <t xml:space="preserve">WL-03573</t>
  </si>
  <si>
    <t xml:space="preserve">Kathy Sanchez</t>
  </si>
  <si>
    <t xml:space="preserve">WL-03574</t>
  </si>
  <si>
    <t xml:space="preserve">Christine Boyd</t>
  </si>
  <si>
    <t xml:space="preserve">WL-03575</t>
  </si>
  <si>
    <t xml:space="preserve">Charles Johnson</t>
  </si>
  <si>
    <t xml:space="preserve">WL-03576</t>
  </si>
  <si>
    <t xml:space="preserve">Aimee Cooper</t>
  </si>
  <si>
    <t xml:space="preserve">WL-03577</t>
  </si>
  <si>
    <t xml:space="preserve">Charles Bell</t>
  </si>
  <si>
    <t xml:space="preserve">WL-03578</t>
  </si>
  <si>
    <t xml:space="preserve">William Beck</t>
  </si>
  <si>
    <t xml:space="preserve">WL-03579</t>
  </si>
  <si>
    <t xml:space="preserve">Jeanne Greer</t>
  </si>
  <si>
    <t xml:space="preserve">WL-03580</t>
  </si>
  <si>
    <t xml:space="preserve">Rebecca Carson</t>
  </si>
  <si>
    <t xml:space="preserve">WL-03581</t>
  </si>
  <si>
    <t xml:space="preserve">April Baker</t>
  </si>
  <si>
    <t xml:space="preserve">WL-03582</t>
  </si>
  <si>
    <t xml:space="preserve">Melissa Jones</t>
  </si>
  <si>
    <t xml:space="preserve">WL-03583</t>
  </si>
  <si>
    <t xml:space="preserve">Walter Martin</t>
  </si>
  <si>
    <t xml:space="preserve">WL-03584</t>
  </si>
  <si>
    <t xml:space="preserve">Stephanie Stafford</t>
  </si>
  <si>
    <t xml:space="preserve">WL-03585</t>
  </si>
  <si>
    <t xml:space="preserve">Randy Black</t>
  </si>
  <si>
    <t xml:space="preserve">WL-03586</t>
  </si>
  <si>
    <t xml:space="preserve">Jasmine Rhodes</t>
  </si>
  <si>
    <t xml:space="preserve">WL-03587</t>
  </si>
  <si>
    <t xml:space="preserve">George Cole</t>
  </si>
  <si>
    <t xml:space="preserve">WL-03588</t>
  </si>
  <si>
    <t xml:space="preserve">Angela Olson</t>
  </si>
  <si>
    <t xml:space="preserve">WL-03589</t>
  </si>
  <si>
    <t xml:space="preserve">Christine Wilson</t>
  </si>
  <si>
    <t xml:space="preserve">WL-03590</t>
  </si>
  <si>
    <t xml:space="preserve">Dawn Johnson</t>
  </si>
  <si>
    <t xml:space="preserve">WL-03591</t>
  </si>
  <si>
    <t xml:space="preserve">Matthew Spence</t>
  </si>
  <si>
    <t xml:space="preserve">WL-03592</t>
  </si>
  <si>
    <t xml:space="preserve">Melinda Freeman</t>
  </si>
  <si>
    <t xml:space="preserve">WL-03593</t>
  </si>
  <si>
    <t xml:space="preserve">Aaron Friedman</t>
  </si>
  <si>
    <t xml:space="preserve">WL-03594</t>
  </si>
  <si>
    <t xml:space="preserve">Teresa Smith</t>
  </si>
  <si>
    <t xml:space="preserve">WL-03595</t>
  </si>
  <si>
    <t xml:space="preserve">Roger Johnson</t>
  </si>
  <si>
    <t xml:space="preserve">WL-03596</t>
  </si>
  <si>
    <t xml:space="preserve">Adam Hamilton</t>
  </si>
  <si>
    <t xml:space="preserve">WL-03597</t>
  </si>
  <si>
    <t xml:space="preserve">Justin Diaz</t>
  </si>
  <si>
    <t xml:space="preserve">WL-03598</t>
  </si>
  <si>
    <t xml:space="preserve">Randy Williams</t>
  </si>
  <si>
    <t xml:space="preserve">WL-03599</t>
  </si>
  <si>
    <t xml:space="preserve">WL-03600</t>
  </si>
  <si>
    <t xml:space="preserve">Bruce Miller</t>
  </si>
  <si>
    <t xml:space="preserve">WL-03601</t>
  </si>
  <si>
    <t xml:space="preserve">Jenny Perez</t>
  </si>
  <si>
    <t xml:space="preserve">WL-03602</t>
  </si>
  <si>
    <t xml:space="preserve">Michael Horne</t>
  </si>
  <si>
    <t xml:space="preserve">WL-03603</t>
  </si>
  <si>
    <t xml:space="preserve">Steven Sanders</t>
  </si>
  <si>
    <t xml:space="preserve">WL-03604</t>
  </si>
  <si>
    <t xml:space="preserve">Lawrence Rodriguez</t>
  </si>
  <si>
    <t xml:space="preserve">WL-03605</t>
  </si>
  <si>
    <t xml:space="preserve">Nicholas Johnson</t>
  </si>
  <si>
    <t xml:space="preserve">WL-03606</t>
  </si>
  <si>
    <t xml:space="preserve">Jared Garcia</t>
  </si>
  <si>
    <t xml:space="preserve">WL-03607</t>
  </si>
  <si>
    <t xml:space="preserve">Ross Green</t>
  </si>
  <si>
    <t xml:space="preserve">FOUL WEATHER</t>
  </si>
  <si>
    <t xml:space="preserve">WL-03608</t>
  </si>
  <si>
    <t xml:space="preserve">Daniel May</t>
  </si>
  <si>
    <t xml:space="preserve">WL-03609</t>
  </si>
  <si>
    <t xml:space="preserve">Daniel Dunn</t>
  </si>
  <si>
    <t xml:space="preserve">WL-03610</t>
  </si>
  <si>
    <t xml:space="preserve">David Austin</t>
  </si>
  <si>
    <t xml:space="preserve">WL-03611</t>
  </si>
  <si>
    <t xml:space="preserve">Madeline Morris</t>
  </si>
  <si>
    <t xml:space="preserve">WL-03612</t>
  </si>
  <si>
    <t xml:space="preserve">Jessica Rivas</t>
  </si>
  <si>
    <t xml:space="preserve">WL-03613</t>
  </si>
  <si>
    <t xml:space="preserve">Michael Li</t>
  </si>
  <si>
    <t xml:space="preserve">WL-03614</t>
  </si>
  <si>
    <t xml:space="preserve">Richard Waters</t>
  </si>
  <si>
    <t xml:space="preserve">WL-03615</t>
  </si>
  <si>
    <t xml:space="preserve">Kathryn Cook</t>
  </si>
  <si>
    <t xml:space="preserve">WL-03616</t>
  </si>
  <si>
    <t xml:space="preserve">Martin King</t>
  </si>
  <si>
    <t xml:space="preserve">WL-03617</t>
  </si>
  <si>
    <t xml:space="preserve">Kimberly Vaughan</t>
  </si>
  <si>
    <t xml:space="preserve">WL-03618</t>
  </si>
  <si>
    <t xml:space="preserve">Kimberly Oneill</t>
  </si>
  <si>
    <t xml:space="preserve">WL-03619</t>
  </si>
  <si>
    <t xml:space="preserve">Jesse Hanson</t>
  </si>
  <si>
    <t xml:space="preserve">WL-03620</t>
  </si>
  <si>
    <t xml:space="preserve">Brian Cameron</t>
  </si>
  <si>
    <t xml:space="preserve">WL-03621</t>
  </si>
  <si>
    <t xml:space="preserve">Denise Powers</t>
  </si>
  <si>
    <t xml:space="preserve">WL-03622</t>
  </si>
  <si>
    <t xml:space="preserve">Madeline Johnson</t>
  </si>
  <si>
    <t xml:space="preserve">WL-03623</t>
  </si>
  <si>
    <t xml:space="preserve">Justin Dorsey</t>
  </si>
  <si>
    <t xml:space="preserve">WL-03624</t>
  </si>
  <si>
    <t xml:space="preserve">Robert Rodriguez</t>
  </si>
  <si>
    <t xml:space="preserve">WL-03625</t>
  </si>
  <si>
    <t xml:space="preserve">Vincent Johnson</t>
  </si>
  <si>
    <t xml:space="preserve">ANCHOR DANCER</t>
  </si>
  <si>
    <t xml:space="preserve">WL-03626</t>
  </si>
  <si>
    <t xml:space="preserve">WL-03627</t>
  </si>
  <si>
    <t xml:space="preserve">Michelle Wilson</t>
  </si>
  <si>
    <t xml:space="preserve">WL-03628</t>
  </si>
  <si>
    <t xml:space="preserve">Makayla Johnson</t>
  </si>
  <si>
    <t xml:space="preserve">WL-03629</t>
  </si>
  <si>
    <t xml:space="preserve">Justin Parks</t>
  </si>
  <si>
    <t xml:space="preserve">WL-03630</t>
  </si>
  <si>
    <t xml:space="preserve">Tiffany Torres</t>
  </si>
  <si>
    <t xml:space="preserve">WL-03631</t>
  </si>
  <si>
    <t xml:space="preserve">Jeanne Chavez</t>
  </si>
  <si>
    <t xml:space="preserve">WL-03632</t>
  </si>
  <si>
    <t xml:space="preserve">Melissa Wallace</t>
  </si>
  <si>
    <t xml:space="preserve">WL-03633</t>
  </si>
  <si>
    <t xml:space="preserve">Keith Powell</t>
  </si>
  <si>
    <t xml:space="preserve">WL-03634</t>
  </si>
  <si>
    <t xml:space="preserve">Michelle Brown</t>
  </si>
  <si>
    <t xml:space="preserve">WL-03635</t>
  </si>
  <si>
    <t xml:space="preserve">Christine Myers</t>
  </si>
  <si>
    <t xml:space="preserve">WL-03636</t>
  </si>
  <si>
    <t xml:space="preserve">Amy Flores</t>
  </si>
  <si>
    <t xml:space="preserve">WL-03637</t>
  </si>
  <si>
    <t xml:space="preserve">Molly Cardenas</t>
  </si>
  <si>
    <t xml:space="preserve">WL-03638</t>
  </si>
  <si>
    <t xml:space="preserve">Edward Stanley</t>
  </si>
  <si>
    <t xml:space="preserve">WL-03639</t>
  </si>
  <si>
    <t xml:space="preserve">Toni Graves</t>
  </si>
  <si>
    <t xml:space="preserve">WL-03640</t>
  </si>
  <si>
    <t xml:space="preserve">Jessica Turner</t>
  </si>
  <si>
    <t xml:space="preserve">WL-03641</t>
  </si>
  <si>
    <t xml:space="preserve">Tony Bailey</t>
  </si>
  <si>
    <t xml:space="preserve">WL-03642</t>
  </si>
  <si>
    <t xml:space="preserve">John Johnson</t>
  </si>
  <si>
    <t xml:space="preserve">WL-03643</t>
  </si>
  <si>
    <t xml:space="preserve">Jeanette Woods</t>
  </si>
  <si>
    <t xml:space="preserve">WL-03644</t>
  </si>
  <si>
    <t xml:space="preserve">Daniel Blackburn</t>
  </si>
  <si>
    <t xml:space="preserve">WL-03645</t>
  </si>
  <si>
    <t xml:space="preserve">Tracy Blake</t>
  </si>
  <si>
    <t xml:space="preserve">WL-03646</t>
  </si>
  <si>
    <t xml:space="preserve">James Grimes</t>
  </si>
  <si>
    <t xml:space="preserve">WL-03647</t>
  </si>
  <si>
    <t xml:space="preserve">Autumn York</t>
  </si>
  <si>
    <t xml:space="preserve">WL-03648</t>
  </si>
  <si>
    <t xml:space="preserve">Danny Thomas</t>
  </si>
  <si>
    <t xml:space="preserve">WL-03649</t>
  </si>
  <si>
    <t xml:space="preserve">Veronica Flores</t>
  </si>
  <si>
    <t xml:space="preserve">WL-03650</t>
  </si>
  <si>
    <t xml:space="preserve">Sean Roth</t>
  </si>
  <si>
    <t xml:space="preserve">WL-03651</t>
  </si>
  <si>
    <t xml:space="preserve">Troy Drake</t>
  </si>
  <si>
    <t xml:space="preserve">WL-03652</t>
  </si>
  <si>
    <t xml:space="preserve">Lisa Strickland</t>
  </si>
  <si>
    <t xml:space="preserve">SCOETR WEATHER</t>
  </si>
  <si>
    <t xml:space="preserve">WL-03653</t>
  </si>
  <si>
    <t xml:space="preserve">Rodney Carter</t>
  </si>
  <si>
    <t xml:space="preserve">WL-03654</t>
  </si>
  <si>
    <t xml:space="preserve">Kerri Merritt</t>
  </si>
  <si>
    <t xml:space="preserve">WL-03655</t>
  </si>
  <si>
    <t xml:space="preserve">Sharon Garrison</t>
  </si>
  <si>
    <t xml:space="preserve">WL-03656</t>
  </si>
  <si>
    <t xml:space="preserve">Heidi Martinez</t>
  </si>
  <si>
    <t xml:space="preserve">WL-03657</t>
  </si>
  <si>
    <t xml:space="preserve">Melissa Wagner</t>
  </si>
  <si>
    <t xml:space="preserve">TOTER ROCK</t>
  </si>
  <si>
    <t xml:space="preserve">WL-03658</t>
  </si>
  <si>
    <t xml:space="preserve">William Washington</t>
  </si>
  <si>
    <t xml:space="preserve">WL-03659</t>
  </si>
  <si>
    <t xml:space="preserve">Joshua Estes</t>
  </si>
  <si>
    <t xml:space="preserve">WL-03660</t>
  </si>
  <si>
    <t xml:space="preserve">David Sutton</t>
  </si>
  <si>
    <t xml:space="preserve">WL-03661</t>
  </si>
  <si>
    <t xml:space="preserve">Kenneth Williams</t>
  </si>
  <si>
    <t xml:space="preserve">WL-03662</t>
  </si>
  <si>
    <t xml:space="preserve">Kevin Murphy</t>
  </si>
  <si>
    <t xml:space="preserve">WL-03663</t>
  </si>
  <si>
    <t xml:space="preserve">Jasmine Page</t>
  </si>
  <si>
    <t xml:space="preserve">WL-03664</t>
  </si>
  <si>
    <t xml:space="preserve">Ricky Meza</t>
  </si>
  <si>
    <t xml:space="preserve">WL-03665</t>
  </si>
  <si>
    <t xml:space="preserve">Maria Middleton</t>
  </si>
  <si>
    <t xml:space="preserve">WL-03666</t>
  </si>
  <si>
    <t xml:space="preserve">Andrea Franco</t>
  </si>
  <si>
    <t xml:space="preserve">WL-03667</t>
  </si>
  <si>
    <t xml:space="preserve">Amber Bean</t>
  </si>
  <si>
    <t xml:space="preserve">WL-03668</t>
  </si>
  <si>
    <t xml:space="preserve">Anthony Morris</t>
  </si>
  <si>
    <t xml:space="preserve">WL-03669</t>
  </si>
  <si>
    <t xml:space="preserve">Samantha Powers</t>
  </si>
  <si>
    <t xml:space="preserve">WL-03670</t>
  </si>
  <si>
    <t xml:space="preserve">WL-03671</t>
  </si>
  <si>
    <t xml:space="preserve">WL-03672</t>
  </si>
  <si>
    <t xml:space="preserve">Robin Sparks</t>
  </si>
  <si>
    <t xml:space="preserve">WL-03673</t>
  </si>
  <si>
    <t xml:space="preserve">Angela Gibson</t>
  </si>
  <si>
    <t xml:space="preserve">WL-03674</t>
  </si>
  <si>
    <t xml:space="preserve">Savannah Scott</t>
  </si>
  <si>
    <t xml:space="preserve">WL-03675</t>
  </si>
  <si>
    <t xml:space="preserve">Randy Barrett</t>
  </si>
  <si>
    <t xml:space="preserve">PETREL WAKE</t>
  </si>
  <si>
    <t xml:space="preserve">WL-03676</t>
  </si>
  <si>
    <t xml:space="preserve">Antonio Barajas</t>
  </si>
  <si>
    <t xml:space="preserve">WIDGEON ERACH</t>
  </si>
  <si>
    <t xml:space="preserve">WL-03677</t>
  </si>
  <si>
    <t xml:space="preserve">Mark Schaefer</t>
  </si>
  <si>
    <t xml:space="preserve">WL-03678</t>
  </si>
  <si>
    <t xml:space="preserve">Jill Davis</t>
  </si>
  <si>
    <t xml:space="preserve">WL-03679</t>
  </si>
  <si>
    <t xml:space="preserve">Tracy Page</t>
  </si>
  <si>
    <t xml:space="preserve">WL-03680</t>
  </si>
  <si>
    <t xml:space="preserve">Thomas Bates</t>
  </si>
  <si>
    <t xml:space="preserve">WL-03681</t>
  </si>
  <si>
    <t xml:space="preserve">Robert Brown</t>
  </si>
  <si>
    <t xml:space="preserve">WL-03682</t>
  </si>
  <si>
    <t xml:space="preserve">Paul Anderson</t>
  </si>
  <si>
    <t xml:space="preserve">WL-03683</t>
  </si>
  <si>
    <t xml:space="preserve">Shawn Carter</t>
  </si>
  <si>
    <t xml:space="preserve">WL-03684</t>
  </si>
  <si>
    <t xml:space="preserve">David Butler</t>
  </si>
  <si>
    <t xml:space="preserve">WL-03685</t>
  </si>
  <si>
    <t xml:space="preserve">Kim Mcguire</t>
  </si>
  <si>
    <t xml:space="preserve">WL-03686</t>
  </si>
  <si>
    <t xml:space="preserve">Candice Howard</t>
  </si>
  <si>
    <t xml:space="preserve">WL-03687</t>
  </si>
  <si>
    <t xml:space="preserve">Marissa Mccoy</t>
  </si>
  <si>
    <t xml:space="preserve">WL-03688</t>
  </si>
  <si>
    <t xml:space="preserve">Gilbert Rodriguez</t>
  </si>
  <si>
    <t xml:space="preserve">WL-03689</t>
  </si>
  <si>
    <t xml:space="preserve">Keith Scott</t>
  </si>
  <si>
    <t xml:space="preserve">WL-03690</t>
  </si>
  <si>
    <t xml:space="preserve">WL-03691</t>
  </si>
  <si>
    <t xml:space="preserve">Mary Kennedy</t>
  </si>
  <si>
    <t xml:space="preserve">WL-03692</t>
  </si>
  <si>
    <t xml:space="preserve">Warren Wilkins</t>
  </si>
  <si>
    <t xml:space="preserve">WL-03693</t>
  </si>
  <si>
    <t xml:space="preserve">Wendy Williams</t>
  </si>
  <si>
    <t xml:space="preserve">WL-03694</t>
  </si>
  <si>
    <t xml:space="preserve">Alan Vasquez</t>
  </si>
  <si>
    <t xml:space="preserve">WL-03695</t>
  </si>
  <si>
    <t xml:space="preserve">Deborah Ramirez</t>
  </si>
  <si>
    <t xml:space="preserve">WL-03696</t>
  </si>
  <si>
    <t xml:space="preserve">Natalie Duncan</t>
  </si>
  <si>
    <t xml:space="preserve">WL-03697</t>
  </si>
  <si>
    <t xml:space="preserve">Joel Nichols</t>
  </si>
  <si>
    <t xml:space="preserve">WL-03698</t>
  </si>
  <si>
    <t xml:space="preserve">Tonya Martinez</t>
  </si>
  <si>
    <t xml:space="preserve">WL-03699</t>
  </si>
  <si>
    <t xml:space="preserve">Christopher Duncan</t>
  </si>
  <si>
    <t xml:space="preserve">WL-03700</t>
  </si>
  <si>
    <t xml:space="preserve">Jonathan Diaz</t>
  </si>
  <si>
    <t xml:space="preserve">WL-03701</t>
  </si>
  <si>
    <t xml:space="preserve">James Davidson</t>
  </si>
  <si>
    <t xml:space="preserve">WL-03702</t>
  </si>
  <si>
    <t xml:space="preserve">Crystal Burke</t>
  </si>
  <si>
    <t xml:space="preserve">WL-03703</t>
  </si>
  <si>
    <t xml:space="preserve">Cindy Jefferson</t>
  </si>
  <si>
    <t xml:space="preserve">WL-03704</t>
  </si>
  <si>
    <t xml:space="preserve">Heather Ballard</t>
  </si>
  <si>
    <t xml:space="preserve">WL-03705</t>
  </si>
  <si>
    <t xml:space="preserve">Brittany Garcia</t>
  </si>
  <si>
    <t xml:space="preserve">WL-03706</t>
  </si>
  <si>
    <t xml:space="preserve">Nicole Richmond</t>
  </si>
  <si>
    <t xml:space="preserve">WL-03707</t>
  </si>
  <si>
    <t xml:space="preserve">WL-03708</t>
  </si>
  <si>
    <t xml:space="preserve">Catherine Anderson</t>
  </si>
  <si>
    <t xml:space="preserve">WL-03709</t>
  </si>
  <si>
    <t xml:space="preserve">Brandy Mays</t>
  </si>
  <si>
    <t xml:space="preserve">WL-03710</t>
  </si>
  <si>
    <t xml:space="preserve">John Ortiz</t>
  </si>
  <si>
    <t xml:space="preserve">WL-03711</t>
  </si>
  <si>
    <t xml:space="preserve">Adam Webster</t>
  </si>
  <si>
    <t xml:space="preserve">WL-03712</t>
  </si>
  <si>
    <t xml:space="preserve">Charles Graham</t>
  </si>
  <si>
    <t xml:space="preserve">WL-03713</t>
  </si>
  <si>
    <t xml:space="preserve">Jessica Smith</t>
  </si>
  <si>
    <t xml:space="preserve">WL-03714</t>
  </si>
  <si>
    <t xml:space="preserve">Christopher Mitchell</t>
  </si>
  <si>
    <t xml:space="preserve">WL-03715</t>
  </si>
  <si>
    <t xml:space="preserve">Aaron Lee</t>
  </si>
  <si>
    <t xml:space="preserve">WL-03716</t>
  </si>
  <si>
    <t xml:space="preserve">Sharon Tyler</t>
  </si>
  <si>
    <t xml:space="preserve">WL-03717</t>
  </si>
  <si>
    <t xml:space="preserve">Roy Schmitt</t>
  </si>
  <si>
    <t xml:space="preserve">WL-03718</t>
  </si>
  <si>
    <t xml:space="preserve">Cheyenne Bradley</t>
  </si>
  <si>
    <t xml:space="preserve">FOUL WIND</t>
  </si>
  <si>
    <t xml:space="preserve">WL-03719</t>
  </si>
  <si>
    <t xml:space="preserve">Sheila Adkins</t>
  </si>
  <si>
    <t xml:space="preserve">WL-03720</t>
  </si>
  <si>
    <t xml:space="preserve">Kristen Blair</t>
  </si>
  <si>
    <t xml:space="preserve">WL-03721</t>
  </si>
  <si>
    <t xml:space="preserve">Ann Vaughn</t>
  </si>
  <si>
    <t xml:space="preserve">WL-03722</t>
  </si>
  <si>
    <t xml:space="preserve">Seth Stone</t>
  </si>
  <si>
    <t xml:space="preserve">WL-03723</t>
  </si>
  <si>
    <t xml:space="preserve">Michael Douglas</t>
  </si>
  <si>
    <t xml:space="preserve">WL-03724</t>
  </si>
  <si>
    <t xml:space="preserve">Ryan Garza</t>
  </si>
  <si>
    <t xml:space="preserve">WL-03725</t>
  </si>
  <si>
    <t xml:space="preserve">Edwin Martinez</t>
  </si>
  <si>
    <t xml:space="preserve">WL-03726</t>
  </si>
  <si>
    <t xml:space="preserve">Christina Johnson</t>
  </si>
  <si>
    <t xml:space="preserve">WL-03727</t>
  </si>
  <si>
    <t xml:space="preserve">Vanessa Crawford</t>
  </si>
  <si>
    <t xml:space="preserve">WL-03728</t>
  </si>
  <si>
    <t xml:space="preserve">Gary Wade</t>
  </si>
  <si>
    <t xml:space="preserve">WL-03729</t>
  </si>
  <si>
    <t xml:space="preserve">Sara Jackson</t>
  </si>
  <si>
    <t xml:space="preserve">WL-03730</t>
  </si>
  <si>
    <t xml:space="preserve">Vincent Miller</t>
  </si>
  <si>
    <t xml:space="preserve">WL-03731</t>
  </si>
  <si>
    <t xml:space="preserve">Kevin Clay</t>
  </si>
  <si>
    <t xml:space="preserve">WL-03732</t>
  </si>
  <si>
    <t xml:space="preserve">Cheryl Montoya</t>
  </si>
  <si>
    <t xml:space="preserve">WL-03733</t>
  </si>
  <si>
    <t xml:space="preserve">Theresa Richmond</t>
  </si>
  <si>
    <t xml:space="preserve">WL-03734</t>
  </si>
  <si>
    <t xml:space="preserve">Erin Lewis</t>
  </si>
  <si>
    <t xml:space="preserve">WL-03735</t>
  </si>
  <si>
    <t xml:space="preserve">Kyle Foster</t>
  </si>
  <si>
    <t xml:space="preserve">WL-03736</t>
  </si>
  <si>
    <t xml:space="preserve">Nicole Martinez</t>
  </si>
  <si>
    <t xml:space="preserve">WL-03737</t>
  </si>
  <si>
    <t xml:space="preserve">Kathryn Mcpherson</t>
  </si>
  <si>
    <t xml:space="preserve">WL-03738</t>
  </si>
  <si>
    <t xml:space="preserve">Patrick Wilson</t>
  </si>
  <si>
    <t xml:space="preserve">WL-03739</t>
  </si>
  <si>
    <t xml:space="preserve">Marc Dennis</t>
  </si>
  <si>
    <t xml:space="preserve">WL-03740</t>
  </si>
  <si>
    <t xml:space="preserve">Steve Campbell</t>
  </si>
  <si>
    <t xml:space="preserve">WL-03741</t>
  </si>
  <si>
    <t xml:space="preserve">Jim Mullins</t>
  </si>
  <si>
    <t xml:space="preserve">WL-03742</t>
  </si>
  <si>
    <t xml:space="preserve">Frank Phillips</t>
  </si>
  <si>
    <t xml:space="preserve">WL-03743</t>
  </si>
  <si>
    <t xml:space="preserve">Lisa Morrison</t>
  </si>
  <si>
    <t xml:space="preserve">WL-03744</t>
  </si>
  <si>
    <t xml:space="preserve">William Hanson</t>
  </si>
  <si>
    <t xml:space="preserve">KESTREL LIGHT</t>
  </si>
  <si>
    <t xml:space="preserve">WL-03745</t>
  </si>
  <si>
    <t xml:space="preserve">John Sparks</t>
  </si>
  <si>
    <t xml:space="preserve">WL-03746</t>
  </si>
  <si>
    <t xml:space="preserve">Cory Morgan</t>
  </si>
  <si>
    <t xml:space="preserve">WL-03747</t>
  </si>
  <si>
    <t xml:space="preserve">April Young</t>
  </si>
  <si>
    <t xml:space="preserve">WL-03748</t>
  </si>
  <si>
    <t xml:space="preserve">WL-03749</t>
  </si>
  <si>
    <t xml:space="preserve">Raymond Greene</t>
  </si>
  <si>
    <t xml:space="preserve">WL-03750</t>
  </si>
  <si>
    <t xml:space="preserve">WL-03751</t>
  </si>
  <si>
    <t xml:space="preserve">Sharon Shah</t>
  </si>
  <si>
    <t xml:space="preserve">WL-03752</t>
  </si>
  <si>
    <t xml:space="preserve">Timothy Soto</t>
  </si>
  <si>
    <t xml:space="preserve">WL-03753</t>
  </si>
  <si>
    <t xml:space="preserve">Melanie Webb</t>
  </si>
  <si>
    <t xml:space="preserve">WL-03754</t>
  </si>
  <si>
    <t xml:space="preserve">Carolyn Ali</t>
  </si>
  <si>
    <t xml:space="preserve">WL-03755</t>
  </si>
  <si>
    <t xml:space="preserve">David Richardson</t>
  </si>
  <si>
    <t xml:space="preserve">WL-03756</t>
  </si>
  <si>
    <t xml:space="preserve">Kevin Martin</t>
  </si>
  <si>
    <t xml:space="preserve">WL-03757</t>
  </si>
  <si>
    <t xml:space="preserve">Stephanie Webb</t>
  </si>
  <si>
    <t xml:space="preserve">WL-03758</t>
  </si>
  <si>
    <t xml:space="preserve">Sean Cherry</t>
  </si>
  <si>
    <t xml:space="preserve">WL-03759</t>
  </si>
  <si>
    <t xml:space="preserve">Ryan Newton</t>
  </si>
  <si>
    <t xml:space="preserve">WL-03760</t>
  </si>
  <si>
    <t xml:space="preserve">Samantha Herring</t>
  </si>
  <si>
    <t xml:space="preserve">WL-03761</t>
  </si>
  <si>
    <t xml:space="preserve">Thomas Maxwell</t>
  </si>
  <si>
    <t xml:space="preserve">WL-03762</t>
  </si>
  <si>
    <t xml:space="preserve">Kristen Anderson</t>
  </si>
  <si>
    <t xml:space="preserve">WL-03763</t>
  </si>
  <si>
    <t xml:space="preserve">Patrick Marquez</t>
  </si>
  <si>
    <t xml:space="preserve">WL-03764</t>
  </si>
  <si>
    <t xml:space="preserve">Kim Allen</t>
  </si>
  <si>
    <t xml:space="preserve">WL-03765</t>
  </si>
  <si>
    <t xml:space="preserve">Joel Schmidt</t>
  </si>
  <si>
    <t xml:space="preserve">WL-03766</t>
  </si>
  <si>
    <t xml:space="preserve">Stephen Kim</t>
  </si>
  <si>
    <t xml:space="preserve">WL-03767</t>
  </si>
  <si>
    <t xml:space="preserve">Chad David</t>
  </si>
  <si>
    <t xml:space="preserve">WL-03768</t>
  </si>
  <si>
    <t xml:space="preserve">Michael Ramirez</t>
  </si>
  <si>
    <t xml:space="preserve">WL-03769</t>
  </si>
  <si>
    <t xml:space="preserve">Rebekah Adams</t>
  </si>
  <si>
    <t xml:space="preserve">WL-03770</t>
  </si>
  <si>
    <t xml:space="preserve">Lisa Mills</t>
  </si>
  <si>
    <t xml:space="preserve">WL-03771</t>
  </si>
  <si>
    <t xml:space="preserve">Alexander Cross</t>
  </si>
  <si>
    <t xml:space="preserve">WL-03772</t>
  </si>
  <si>
    <t xml:space="preserve">Kayla Sanchez</t>
  </si>
  <si>
    <t xml:space="preserve">WL-03773</t>
  </si>
  <si>
    <t xml:space="preserve">David Giles</t>
  </si>
  <si>
    <t xml:space="preserve">WL-03774</t>
  </si>
  <si>
    <t xml:space="preserve">Eric Hernandez</t>
  </si>
  <si>
    <t xml:space="preserve">WL-03775</t>
  </si>
  <si>
    <t xml:space="preserve">Daniel Ramos</t>
  </si>
  <si>
    <t xml:space="preserve">WL-03776</t>
  </si>
  <si>
    <t xml:space="preserve">Michael Beard</t>
  </si>
  <si>
    <t xml:space="preserve">WL-03777</t>
  </si>
  <si>
    <t xml:space="preserve">Shannon Mitchell</t>
  </si>
  <si>
    <t xml:space="preserve">WL-03778</t>
  </si>
  <si>
    <t xml:space="preserve">Lauren Mays</t>
  </si>
  <si>
    <t xml:space="preserve">WL-03779</t>
  </si>
  <si>
    <t xml:space="preserve">James Grant</t>
  </si>
  <si>
    <t xml:space="preserve">WL-03780</t>
  </si>
  <si>
    <t xml:space="preserve">Carmen Maldonado</t>
  </si>
  <si>
    <t xml:space="preserve">WL-03781</t>
  </si>
  <si>
    <t xml:space="preserve">Carrie Reid</t>
  </si>
  <si>
    <t xml:space="preserve">WL-03782</t>
  </si>
  <si>
    <t xml:space="preserve">Pamela Todd</t>
  </si>
  <si>
    <t xml:space="preserve">WL-03783</t>
  </si>
  <si>
    <t xml:space="preserve">Tammy Mayer</t>
  </si>
  <si>
    <t xml:space="preserve">WL-03784</t>
  </si>
  <si>
    <t xml:space="preserve">Raymond Jackson</t>
  </si>
  <si>
    <t xml:space="preserve">WL-03785</t>
  </si>
  <si>
    <t xml:space="preserve">Bradley Burton</t>
  </si>
  <si>
    <t xml:space="preserve">WL-03786</t>
  </si>
  <si>
    <t xml:space="preserve">Richard Cordova</t>
  </si>
  <si>
    <t xml:space="preserve">WL-03787</t>
  </si>
  <si>
    <t xml:space="preserve">John Mcneil</t>
  </si>
  <si>
    <t xml:space="preserve">WL-03788</t>
  </si>
  <si>
    <t xml:space="preserve">Nathan Kelley</t>
  </si>
  <si>
    <t xml:space="preserve">WL-03789</t>
  </si>
  <si>
    <t xml:space="preserve">Christopher Dorsey</t>
  </si>
  <si>
    <t xml:space="preserve">WL-03790</t>
  </si>
  <si>
    <t xml:space="preserve">Bradley Walker</t>
  </si>
  <si>
    <t xml:space="preserve">WL-03791</t>
  </si>
  <si>
    <t xml:space="preserve">Tammy Powell</t>
  </si>
  <si>
    <t xml:space="preserve">WL-03792</t>
  </si>
  <si>
    <t xml:space="preserve">Rodney Morris</t>
  </si>
  <si>
    <t xml:space="preserve">WL-03793</t>
  </si>
  <si>
    <t xml:space="preserve">Stephanie Sharp</t>
  </si>
  <si>
    <t xml:space="preserve">WL-03794</t>
  </si>
  <si>
    <t xml:space="preserve">Rachel Curry</t>
  </si>
  <si>
    <t xml:space="preserve">WL-03795</t>
  </si>
  <si>
    <t xml:space="preserve">Brenda Norman</t>
  </si>
  <si>
    <t xml:space="preserve">WL-03796</t>
  </si>
  <si>
    <t xml:space="preserve">Christine Johnson</t>
  </si>
  <si>
    <t xml:space="preserve">WL-03797</t>
  </si>
  <si>
    <t xml:space="preserve">Marc Perez</t>
  </si>
  <si>
    <t xml:space="preserve">WL-03798</t>
  </si>
  <si>
    <t xml:space="preserve">Stacy Bruce</t>
  </si>
  <si>
    <t xml:space="preserve">WL-03799</t>
  </si>
  <si>
    <t xml:space="preserve">Ashley Duncan</t>
  </si>
  <si>
    <t xml:space="preserve">WL-03800</t>
  </si>
  <si>
    <t xml:space="preserve">Brian Weaver</t>
  </si>
  <si>
    <t xml:space="preserve">WL-03801</t>
  </si>
  <si>
    <t xml:space="preserve">WL-03802</t>
  </si>
  <si>
    <t xml:space="preserve">Jodi Wilkerson</t>
  </si>
  <si>
    <t xml:space="preserve">WL-03803</t>
  </si>
  <si>
    <t xml:space="preserve">Elizabeth Mathews</t>
  </si>
  <si>
    <t xml:space="preserve">WL-03804</t>
  </si>
  <si>
    <t xml:space="preserve">Jenna Terry</t>
  </si>
  <si>
    <t xml:space="preserve">WL-03805</t>
  </si>
  <si>
    <t xml:space="preserve">Olivia Rich</t>
  </si>
  <si>
    <t xml:space="preserve">WL-03806</t>
  </si>
  <si>
    <t xml:space="preserve">Lynn Espinoza</t>
  </si>
  <si>
    <t xml:space="preserve">WL-03807</t>
  </si>
  <si>
    <t xml:space="preserve">Matthew Frazier</t>
  </si>
  <si>
    <t xml:space="preserve">WL-03808</t>
  </si>
  <si>
    <t xml:space="preserve">WL-03809</t>
  </si>
  <si>
    <t xml:space="preserve">Richard Mcguire</t>
  </si>
  <si>
    <t xml:space="preserve">WL-03810</t>
  </si>
  <si>
    <t xml:space="preserve">Danielle Brown</t>
  </si>
  <si>
    <t xml:space="preserve">WL-03811</t>
  </si>
  <si>
    <t xml:space="preserve">Shannon Mathews</t>
  </si>
  <si>
    <t xml:space="preserve">WL-03812</t>
  </si>
  <si>
    <t xml:space="preserve">Ryan Martinez</t>
  </si>
  <si>
    <t xml:space="preserve">WL-03813</t>
  </si>
  <si>
    <t xml:space="preserve">Gregory Stewart</t>
  </si>
  <si>
    <t xml:space="preserve">WL-03814</t>
  </si>
  <si>
    <t xml:space="preserve">Ricky Hinton</t>
  </si>
  <si>
    <t xml:space="preserve">WL-03815</t>
  </si>
  <si>
    <t xml:space="preserve">WL-03816</t>
  </si>
  <si>
    <t xml:space="preserve">Brittany Lopez</t>
  </si>
  <si>
    <t xml:space="preserve">WL-03817</t>
  </si>
  <si>
    <t xml:space="preserve">Leslie Short</t>
  </si>
  <si>
    <t xml:space="preserve">WL-03818</t>
  </si>
  <si>
    <t xml:space="preserve">Abigail Brooks</t>
  </si>
  <si>
    <t xml:space="preserve">WL-03819</t>
  </si>
  <si>
    <t xml:space="preserve">Anna Wu</t>
  </si>
  <si>
    <t xml:space="preserve">WL-03820</t>
  </si>
  <si>
    <t xml:space="preserve">Thomas Robinson</t>
  </si>
  <si>
    <t xml:space="preserve">WL-03821</t>
  </si>
  <si>
    <t xml:space="preserve">Tammy Dalton</t>
  </si>
  <si>
    <t xml:space="preserve">WL-03822</t>
  </si>
  <si>
    <t xml:space="preserve">Andrew Parker</t>
  </si>
  <si>
    <t xml:space="preserve">WL-03823</t>
  </si>
  <si>
    <t xml:space="preserve">Judy Anderson</t>
  </si>
  <si>
    <t xml:space="preserve">WL-03824</t>
  </si>
  <si>
    <t xml:space="preserve">Anthony Morgan</t>
  </si>
  <si>
    <t xml:space="preserve">WL-03825</t>
  </si>
  <si>
    <t xml:space="preserve">Kelly Salinas</t>
  </si>
  <si>
    <t xml:space="preserve">WL-03826</t>
  </si>
  <si>
    <t xml:space="preserve">Jennifer Evans</t>
  </si>
  <si>
    <t xml:space="preserve">WL-03827</t>
  </si>
  <si>
    <t xml:space="preserve">Monica Fowler</t>
  </si>
  <si>
    <t xml:space="preserve">WL-03828</t>
  </si>
  <si>
    <t xml:space="preserve">Kristen Pittman</t>
  </si>
  <si>
    <t xml:space="preserve">WL-03829</t>
  </si>
  <si>
    <t xml:space="preserve">Ana Christian</t>
  </si>
  <si>
    <t xml:space="preserve">WL-03830</t>
  </si>
  <si>
    <t xml:space="preserve">Erica Smith</t>
  </si>
  <si>
    <t xml:space="preserve">WL-03831</t>
  </si>
  <si>
    <t xml:space="preserve">WL-03832</t>
  </si>
  <si>
    <t xml:space="preserve">Amanda Smith</t>
  </si>
  <si>
    <t xml:space="preserve">WL-03833</t>
  </si>
  <si>
    <t xml:space="preserve">Jenny Miller</t>
  </si>
  <si>
    <t xml:space="preserve">WL-03834</t>
  </si>
  <si>
    <t xml:space="preserve">Amber Watts</t>
  </si>
  <si>
    <t xml:space="preserve">WL-03835</t>
  </si>
  <si>
    <t xml:space="preserve">Kimberly Miller</t>
  </si>
  <si>
    <t xml:space="preserve">WL-03836</t>
  </si>
  <si>
    <t xml:space="preserve">Latasha Smith</t>
  </si>
  <si>
    <t xml:space="preserve">WL-03837</t>
  </si>
  <si>
    <t xml:space="preserve">John Griffith</t>
  </si>
  <si>
    <t xml:space="preserve">WL-03838</t>
  </si>
  <si>
    <t xml:space="preserve">Sean Cruz</t>
  </si>
  <si>
    <t xml:space="preserve">WL-03839</t>
  </si>
  <si>
    <t xml:space="preserve">Sonya May</t>
  </si>
  <si>
    <t xml:space="preserve">WL-03840</t>
  </si>
  <si>
    <t xml:space="preserve">David Davis</t>
  </si>
  <si>
    <t xml:space="preserve">WL-03841</t>
  </si>
  <si>
    <t xml:space="preserve">Stephen Miller</t>
  </si>
  <si>
    <t xml:space="preserve">WL-03842</t>
  </si>
  <si>
    <t xml:space="preserve">WL-03843</t>
  </si>
  <si>
    <t xml:space="preserve">Tricia Davila</t>
  </si>
  <si>
    <t xml:space="preserve">WL-03844</t>
  </si>
  <si>
    <t xml:space="preserve">Janet Medina</t>
  </si>
  <si>
    <t xml:space="preserve">WL-03845</t>
  </si>
  <si>
    <t xml:space="preserve">Nancy Johnson</t>
  </si>
  <si>
    <t xml:space="preserve">WL-03846</t>
  </si>
  <si>
    <t xml:space="preserve">Jenna Gallagher</t>
  </si>
  <si>
    <t xml:space="preserve">WL-03847</t>
  </si>
  <si>
    <t xml:space="preserve">WL-03848</t>
  </si>
  <si>
    <t xml:space="preserve">Anne Thomas</t>
  </si>
  <si>
    <t xml:space="preserve">WL-03849</t>
  </si>
  <si>
    <t xml:space="preserve">Melissa Ramirez</t>
  </si>
  <si>
    <t xml:space="preserve">WL-03850</t>
  </si>
  <si>
    <t xml:space="preserve">Teresa Greer</t>
  </si>
  <si>
    <t xml:space="preserve">WL-03851</t>
  </si>
  <si>
    <t xml:space="preserve">Tyrone Frank</t>
  </si>
  <si>
    <t xml:space="preserve">WL-03852</t>
  </si>
  <si>
    <t xml:space="preserve">Joshua Torres</t>
  </si>
  <si>
    <t xml:space="preserve">WL-03853</t>
  </si>
  <si>
    <t xml:space="preserve">Stephanie Jackson</t>
  </si>
  <si>
    <t xml:space="preserve">WL-03854</t>
  </si>
  <si>
    <t xml:space="preserve">Brandon Jackson</t>
  </si>
  <si>
    <t xml:space="preserve">WL-03855</t>
  </si>
  <si>
    <t xml:space="preserve">Peggy Solomon</t>
  </si>
  <si>
    <t xml:space="preserve">WL-03856</t>
  </si>
  <si>
    <t xml:space="preserve">Taylor Ross</t>
  </si>
  <si>
    <t xml:space="preserve">WL-03857</t>
  </si>
  <si>
    <t xml:space="preserve">Catherine Davis</t>
  </si>
  <si>
    <t xml:space="preserve">WL-03858</t>
  </si>
  <si>
    <t xml:space="preserve">Jerome Coleman</t>
  </si>
  <si>
    <t xml:space="preserve">WL-03859</t>
  </si>
  <si>
    <t xml:space="preserve">Mary Miller</t>
  </si>
  <si>
    <t xml:space="preserve">WL-03860</t>
  </si>
  <si>
    <t xml:space="preserve">Alicia Davis</t>
  </si>
  <si>
    <t xml:space="preserve">WL-03861</t>
  </si>
  <si>
    <t xml:space="preserve">Joseph Koch</t>
  </si>
  <si>
    <t xml:space="preserve">WL-03862</t>
  </si>
  <si>
    <t xml:space="preserve">Tyler Keller</t>
  </si>
  <si>
    <t xml:space="preserve">WL-03863</t>
  </si>
  <si>
    <t xml:space="preserve">Brianna Phillips</t>
  </si>
  <si>
    <t xml:space="preserve">WL-03864</t>
  </si>
  <si>
    <t xml:space="preserve">Brittany Mendez</t>
  </si>
  <si>
    <t xml:space="preserve">WL-03865</t>
  </si>
  <si>
    <t xml:space="preserve">William Moran</t>
  </si>
  <si>
    <t xml:space="preserve">WL-03866</t>
  </si>
  <si>
    <t xml:space="preserve">Jacqueline Anderson</t>
  </si>
  <si>
    <t xml:space="preserve">WL-03867</t>
  </si>
  <si>
    <t xml:space="preserve">James Hill</t>
  </si>
  <si>
    <t xml:space="preserve">WL-03868</t>
  </si>
  <si>
    <t xml:space="preserve">Madison Barr</t>
  </si>
  <si>
    <t xml:space="preserve">WL-03869</t>
  </si>
  <si>
    <t xml:space="preserve">Seth Raymond</t>
  </si>
  <si>
    <t xml:space="preserve">WL-03870</t>
  </si>
  <si>
    <t xml:space="preserve">Robert Lee</t>
  </si>
  <si>
    <t xml:space="preserve">WL-03871</t>
  </si>
  <si>
    <t xml:space="preserve">Joshua Ramos</t>
  </si>
  <si>
    <t xml:space="preserve">WL-03872</t>
  </si>
  <si>
    <t xml:space="preserve">Tiffany Taylor</t>
  </si>
  <si>
    <t xml:space="preserve">WL-03873</t>
  </si>
  <si>
    <t xml:space="preserve">Michele Clay</t>
  </si>
  <si>
    <t xml:space="preserve">WL-03874</t>
  </si>
  <si>
    <t xml:space="preserve">Kimberly Stone</t>
  </si>
  <si>
    <t xml:space="preserve">WL-03875</t>
  </si>
  <si>
    <t xml:space="preserve">Nancy Murray</t>
  </si>
  <si>
    <t xml:space="preserve">WL-03876</t>
  </si>
  <si>
    <t xml:space="preserve">John Heath</t>
  </si>
  <si>
    <t xml:space="preserve">COROMRANT GLIDE</t>
  </si>
  <si>
    <t xml:space="preserve">WL-03877</t>
  </si>
  <si>
    <t xml:space="preserve">Jerry Davis</t>
  </si>
  <si>
    <t xml:space="preserve">WL-03878</t>
  </si>
  <si>
    <t xml:space="preserve">Michael Wagner</t>
  </si>
  <si>
    <t xml:space="preserve">WL-03879</t>
  </si>
  <si>
    <t xml:space="preserve">Justin Blackwell</t>
  </si>
  <si>
    <t xml:space="preserve">WL-03880</t>
  </si>
  <si>
    <t xml:space="preserve">Connie Davis</t>
  </si>
  <si>
    <t xml:space="preserve">WL-03881</t>
  </si>
  <si>
    <t xml:space="preserve">Maria Reid</t>
  </si>
  <si>
    <t xml:space="preserve">WL-03882</t>
  </si>
  <si>
    <t xml:space="preserve">David Wilkins</t>
  </si>
  <si>
    <t xml:space="preserve">WL-03883</t>
  </si>
  <si>
    <t xml:space="preserve">Priscilla Gallegos</t>
  </si>
  <si>
    <t xml:space="preserve">WL-03884</t>
  </si>
  <si>
    <t xml:space="preserve">Lindsay Williams</t>
  </si>
  <si>
    <t xml:space="preserve">WL-03885</t>
  </si>
  <si>
    <t xml:space="preserve">Travis Grant</t>
  </si>
  <si>
    <t xml:space="preserve">WL-03886</t>
  </si>
  <si>
    <t xml:space="preserve">Teresa Bonilla</t>
  </si>
  <si>
    <t xml:space="preserve">WL-03887</t>
  </si>
  <si>
    <t xml:space="preserve">Brianna Goodwin</t>
  </si>
  <si>
    <t xml:space="preserve">WL-03888</t>
  </si>
  <si>
    <t xml:space="preserve">Christian Garcia</t>
  </si>
  <si>
    <t xml:space="preserve">WL-03889</t>
  </si>
  <si>
    <t xml:space="preserve">Brandon Mathis</t>
  </si>
  <si>
    <t xml:space="preserve">WL-03890</t>
  </si>
  <si>
    <t xml:space="preserve">Steven Alvarado</t>
  </si>
  <si>
    <t xml:space="preserve">WL-03891</t>
  </si>
  <si>
    <t xml:space="preserve">David Melton</t>
  </si>
  <si>
    <t xml:space="preserve">WL-03892</t>
  </si>
  <si>
    <t xml:space="preserve">John Montgomery</t>
  </si>
  <si>
    <t xml:space="preserve">WL-03893</t>
  </si>
  <si>
    <t xml:space="preserve">James Nolan</t>
  </si>
  <si>
    <t xml:space="preserve">WL-03894</t>
  </si>
  <si>
    <t xml:space="preserve">William Gardner</t>
  </si>
  <si>
    <t xml:space="preserve">WL-03895</t>
  </si>
  <si>
    <t xml:space="preserve">Michael Martin</t>
  </si>
  <si>
    <t xml:space="preserve">WL-03896</t>
  </si>
  <si>
    <t xml:space="preserve">Stephen Hammond</t>
  </si>
  <si>
    <t xml:space="preserve">WL-03897</t>
  </si>
  <si>
    <t xml:space="preserve">Sherry Green</t>
  </si>
  <si>
    <t xml:space="preserve">WL-03898</t>
  </si>
  <si>
    <t xml:space="preserve">Nichole Price</t>
  </si>
  <si>
    <t xml:space="preserve">WL-03899</t>
  </si>
  <si>
    <t xml:space="preserve">Kyle Jackson</t>
  </si>
  <si>
    <t xml:space="preserve">WL-03900</t>
  </si>
  <si>
    <t xml:space="preserve">Jonathan Mckay</t>
  </si>
  <si>
    <t xml:space="preserve">WL-03901</t>
  </si>
  <si>
    <t xml:space="preserve">Michael Vasquez</t>
  </si>
  <si>
    <t xml:space="preserve">WL-03902</t>
  </si>
  <si>
    <t xml:space="preserve">Andrew Browning</t>
  </si>
  <si>
    <t xml:space="preserve">WL-03903</t>
  </si>
  <si>
    <t xml:space="preserve">Deborah Willis</t>
  </si>
  <si>
    <t xml:space="preserve">WL-03904</t>
  </si>
  <si>
    <t xml:space="preserve">Peggy Trevino</t>
  </si>
  <si>
    <t xml:space="preserve">WL-03905</t>
  </si>
  <si>
    <t xml:space="preserve">Jamie Carpenter</t>
  </si>
  <si>
    <t xml:space="preserve">WL-03906</t>
  </si>
  <si>
    <t xml:space="preserve">James Duncan</t>
  </si>
  <si>
    <t xml:space="preserve">WL-03907</t>
  </si>
  <si>
    <t xml:space="preserve">Ryan Collins</t>
  </si>
  <si>
    <t xml:space="preserve">WL-03908</t>
  </si>
  <si>
    <t xml:space="preserve">Kaitlin Ibarra</t>
  </si>
  <si>
    <t xml:space="preserve">WL-03909</t>
  </si>
  <si>
    <t xml:space="preserve">Elizabeth Edwards</t>
  </si>
  <si>
    <t xml:space="preserve">WL-03910</t>
  </si>
  <si>
    <t xml:space="preserve">Brian Buchanan</t>
  </si>
  <si>
    <t xml:space="preserve">slip_id</t>
  </si>
  <si>
    <t xml:space="preserve">basin</t>
  </si>
  <si>
    <t xml:space="preserve">basin_type</t>
  </si>
  <si>
    <t xml:space="preserve">dock_row</t>
  </si>
  <si>
    <t xml:space="preserve">slip_size_ft</t>
  </si>
  <si>
    <t xml:space="preserve">slip_class</t>
  </si>
  <si>
    <t xml:space="preserve">covered</t>
  </si>
  <si>
    <t xml:space="preserve">beam_max_ft</t>
  </si>
  <si>
    <t xml:space="preserve">amenities</t>
  </si>
  <si>
    <t xml:space="preserve">current_agreement_id</t>
  </si>
  <si>
    <t xml:space="preserve">tenant_id</t>
  </si>
  <si>
    <t xml:space="preserve">tenant_name</t>
  </si>
  <si>
    <t xml:space="preserve">vessel_loa_ft</t>
  </si>
  <si>
    <t xml:space="preserve">monthly_rate</t>
  </si>
  <si>
    <t xml:space="preserve">last_inspection_date</t>
  </si>
  <si>
    <t xml:space="preserve">notes</t>
  </si>
  <si>
    <t xml:space="preserve">LP-0101</t>
  </si>
  <si>
    <t xml:space="preserve">A</t>
  </si>
  <si>
    <t xml:space="preserve">Small</t>
  </si>
  <si>
    <t xml:space="preserve">COVERED</t>
  </si>
  <si>
    <t xml:space="preserve">Water, 30A/50A Power</t>
  </si>
  <si>
    <t xml:space="preserve">OCCUPIED</t>
  </si>
  <si>
    <t xml:space="preserve">MA-2024-0101</t>
  </si>
  <si>
    <t xml:space="preserve">2025-12-23</t>
  </si>
  <si>
    <t xml:space="preserve">LP-0102</t>
  </si>
  <si>
    <t xml:space="preserve">Medium</t>
  </si>
  <si>
    <t xml:space="preserve">Water, 50A Power</t>
  </si>
  <si>
    <t xml:space="preserve">MA-2024-0102</t>
  </si>
  <si>
    <t xml:space="preserve">2026-04-24</t>
  </si>
  <si>
    <t xml:space="preserve">LP-0103</t>
  </si>
  <si>
    <t xml:space="preserve">MA-2024-0103</t>
  </si>
  <si>
    <t xml:space="preserve">2024-12-10</t>
  </si>
  <si>
    <t xml:space="preserve">LP-0104</t>
  </si>
  <si>
    <t xml:space="preserve">MA-2024-0104</t>
  </si>
  <si>
    <t xml:space="preserve">2025-06-05</t>
  </si>
  <si>
    <t xml:space="preserve">LP-0105</t>
  </si>
  <si>
    <t xml:space="preserve">MA-2024-0105</t>
  </si>
  <si>
    <t xml:space="preserve">2025-01-17</t>
  </si>
  <si>
    <t xml:space="preserve">LP-0106</t>
  </si>
  <si>
    <t xml:space="preserve">MA-2024-0106</t>
  </si>
  <si>
    <t xml:space="preserve">2026-01-22</t>
  </si>
  <si>
    <t xml:space="preserve">LP-0107</t>
  </si>
  <si>
    <t xml:space="preserve">MA-2024-0107</t>
  </si>
  <si>
    <t xml:space="preserve">2025-06-28</t>
  </si>
  <si>
    <t xml:space="preserve">LP-0108</t>
  </si>
  <si>
    <t xml:space="preserve">MA-2024-0108</t>
  </si>
  <si>
    <t xml:space="preserve">2025-01-07</t>
  </si>
  <si>
    <t xml:space="preserve">LP-0109</t>
  </si>
  <si>
    <t xml:space="preserve">MA-2024-0109</t>
  </si>
  <si>
    <t xml:space="preserve">2026-03-08</t>
  </si>
  <si>
    <t xml:space="preserve">LP-0110</t>
  </si>
  <si>
    <t xml:space="preserve">MA-2024-0110</t>
  </si>
  <si>
    <t xml:space="preserve">2025-08-24</t>
  </si>
  <si>
    <t xml:space="preserve">LP-0111</t>
  </si>
  <si>
    <t xml:space="preserve">MA-2024-0111</t>
  </si>
  <si>
    <t xml:space="preserve">2026-01-30</t>
  </si>
  <si>
    <t xml:space="preserve">LP-0112</t>
  </si>
  <si>
    <t xml:space="preserve">GUEST</t>
  </si>
  <si>
    <t xml:space="preserve">2025-04-19</t>
  </si>
  <si>
    <t xml:space="preserve">LP-0113</t>
  </si>
  <si>
    <t xml:space="preserve">MA-2024-0113</t>
  </si>
  <si>
    <t xml:space="preserve">2026-05-27</t>
  </si>
  <si>
    <t xml:space="preserve">LP-0114</t>
  </si>
  <si>
    <t xml:space="preserve">MA-2024-0114</t>
  </si>
  <si>
    <t xml:space="preserve">2026-01-16</t>
  </si>
  <si>
    <t xml:space="preserve">LP-0115</t>
  </si>
  <si>
    <t xml:space="preserve">MA-2024-0115</t>
  </si>
  <si>
    <t xml:space="preserve">2025-05-09</t>
  </si>
  <si>
    <t xml:space="preserve">LP-0116</t>
  </si>
  <si>
    <t xml:space="preserve">MA-2024-0116</t>
  </si>
  <si>
    <t xml:space="preserve">2025-10-28</t>
  </si>
  <si>
    <t xml:space="preserve">LP-0117</t>
  </si>
  <si>
    <t xml:space="preserve">MA-2024-0117</t>
  </si>
  <si>
    <t xml:space="preserve">2025-03-20</t>
  </si>
  <si>
    <t xml:space="preserve">LP-0118</t>
  </si>
  <si>
    <t xml:space="preserve">MA-2024-0118</t>
  </si>
  <si>
    <t xml:space="preserve">2024-11-02</t>
  </si>
  <si>
    <t xml:space="preserve">LP-0119</t>
  </si>
  <si>
    <t xml:space="preserve">MA-2024-0119</t>
  </si>
  <si>
    <t xml:space="preserve">2026-06-14</t>
  </si>
  <si>
    <t xml:space="preserve">LP-0120</t>
  </si>
  <si>
    <t xml:space="preserve">MA-2024-0120</t>
  </si>
  <si>
    <t xml:space="preserve">2026-02-03</t>
  </si>
  <si>
    <t xml:space="preserve">LP-0121</t>
  </si>
  <si>
    <t xml:space="preserve">MA-2024-0121</t>
  </si>
  <si>
    <t xml:space="preserve">2025-03-14</t>
  </si>
  <si>
    <t xml:space="preserve">LP-0122</t>
  </si>
  <si>
    <t xml:space="preserve">MA-2024-0122</t>
  </si>
  <si>
    <t xml:space="preserve">2024-10-09</t>
  </si>
  <si>
    <t xml:space="preserve">LP-0123</t>
  </si>
  <si>
    <t xml:space="preserve">MA-2024-0123</t>
  </si>
  <si>
    <t xml:space="preserve">2026-03-15</t>
  </si>
  <si>
    <t xml:space="preserve">LP-0124</t>
  </si>
  <si>
    <t xml:space="preserve">MA-2024-0124</t>
  </si>
  <si>
    <t xml:space="preserve">2025-01-23</t>
  </si>
  <si>
    <t xml:space="preserve">LP-0201</t>
  </si>
  <si>
    <t xml:space="preserve">B</t>
  </si>
  <si>
    <t xml:space="preserve">MA-2024-0201</t>
  </si>
  <si>
    <t xml:space="preserve">2025-10-29</t>
  </si>
  <si>
    <t xml:space="preserve">LP-0202</t>
  </si>
  <si>
    <t xml:space="preserve">MA-2024-0202</t>
  </si>
  <si>
    <t xml:space="preserve">2025-01-06</t>
  </si>
  <si>
    <t xml:space="preserve">LP-0203</t>
  </si>
  <si>
    <t xml:space="preserve">MA-2024-0203</t>
  </si>
  <si>
    <t xml:space="preserve">2026-03-17</t>
  </si>
  <si>
    <t xml:space="preserve">LP-0204</t>
  </si>
  <si>
    <t xml:space="preserve">MA-2024-0204</t>
  </si>
  <si>
    <t xml:space="preserve">2025-06-14</t>
  </si>
  <si>
    <t xml:space="preserve">LP-0205</t>
  </si>
  <si>
    <t xml:space="preserve">MA-2024-0205</t>
  </si>
  <si>
    <t xml:space="preserve">2025-07-16</t>
  </si>
  <si>
    <t xml:space="preserve">LP-0206</t>
  </si>
  <si>
    <t xml:space="preserve">MA-2024-0206</t>
  </si>
  <si>
    <t xml:space="preserve">2026-01-29</t>
  </si>
  <si>
    <t xml:space="preserve">LP-0207</t>
  </si>
  <si>
    <t xml:space="preserve">VACANT</t>
  </si>
  <si>
    <t xml:space="preserve">2025-09-26</t>
  </si>
  <si>
    <t xml:space="preserve">LP-0208</t>
  </si>
  <si>
    <t xml:space="preserve">MA-2024-0208</t>
  </si>
  <si>
    <t xml:space="preserve">2026-02-09</t>
  </si>
  <si>
    <t xml:space="preserve">LP-0209</t>
  </si>
  <si>
    <t xml:space="preserve">MA-2024-0209</t>
  </si>
  <si>
    <t xml:space="preserve">2025-12-25</t>
  </si>
  <si>
    <t xml:space="preserve">LP-0210</t>
  </si>
  <si>
    <t xml:space="preserve">MA-2024-0210</t>
  </si>
  <si>
    <t xml:space="preserve">2026-01-07</t>
  </si>
  <si>
    <t xml:space="preserve">LP-0211</t>
  </si>
  <si>
    <t xml:space="preserve">2025-11-12</t>
  </si>
  <si>
    <t xml:space="preserve">LP-0212</t>
  </si>
  <si>
    <t xml:space="preserve">MA-2024-0212</t>
  </si>
  <si>
    <t xml:space="preserve">2026-03-30</t>
  </si>
  <si>
    <t xml:space="preserve">LP-0213</t>
  </si>
  <si>
    <t xml:space="preserve">MA-2024-0213</t>
  </si>
  <si>
    <t xml:space="preserve">2025-08-16</t>
  </si>
  <si>
    <t xml:space="preserve">LP-0214</t>
  </si>
  <si>
    <t xml:space="preserve">MA-2024-0214</t>
  </si>
  <si>
    <t xml:space="preserve">2025-04-09</t>
  </si>
  <si>
    <t xml:space="preserve">LP-0215</t>
  </si>
  <si>
    <t xml:space="preserve">MA-2024-0215</t>
  </si>
  <si>
    <t xml:space="preserve">2025-01-13</t>
  </si>
  <si>
    <t xml:space="preserve">LP-0216</t>
  </si>
  <si>
    <t xml:space="preserve">MA-2024-0216</t>
  </si>
  <si>
    <t xml:space="preserve">2025-04-15</t>
  </si>
  <si>
    <t xml:space="preserve">LP-0217</t>
  </si>
  <si>
    <t xml:space="preserve">MA-2024-0217</t>
  </si>
  <si>
    <t xml:space="preserve">2025-04-30</t>
  </si>
  <si>
    <t xml:space="preserve">LP-0218</t>
  </si>
  <si>
    <t xml:space="preserve">MA-2024-0218</t>
  </si>
  <si>
    <t xml:space="preserve">2024-12-31</t>
  </si>
  <si>
    <t xml:space="preserve">LP-0219</t>
  </si>
  <si>
    <t xml:space="preserve">MA-2024-0219</t>
  </si>
  <si>
    <t xml:space="preserve">2026-03-09</t>
  </si>
  <si>
    <t xml:space="preserve">LP-0220</t>
  </si>
  <si>
    <t xml:space="preserve">MA-2024-0220</t>
  </si>
  <si>
    <t xml:space="preserve">2026-05-20</t>
  </si>
  <si>
    <t xml:space="preserve">LP-0221</t>
  </si>
  <si>
    <t xml:space="preserve">MA-2024-0221</t>
  </si>
  <si>
    <t xml:space="preserve">2025-07-28</t>
  </si>
  <si>
    <t xml:space="preserve">LP-0222</t>
  </si>
  <si>
    <t xml:space="preserve">MA-2024-0222</t>
  </si>
  <si>
    <t xml:space="preserve">2025-09-16</t>
  </si>
  <si>
    <t xml:space="preserve">LP-0223</t>
  </si>
  <si>
    <t xml:space="preserve">MA-2024-0223</t>
  </si>
  <si>
    <t xml:space="preserve">2025-10-22</t>
  </si>
  <si>
    <t xml:space="preserve">LP-0224</t>
  </si>
  <si>
    <t xml:space="preserve">MA-2024-0224</t>
  </si>
  <si>
    <t xml:space="preserve">2025-08-05</t>
  </si>
  <si>
    <t xml:space="preserve">LP-0301</t>
  </si>
  <si>
    <t xml:space="preserve">C</t>
  </si>
  <si>
    <t xml:space="preserve">MA-2024-0301</t>
  </si>
  <si>
    <t xml:space="preserve">2026-01-08</t>
  </si>
  <si>
    <t xml:space="preserve">LP-0302</t>
  </si>
  <si>
    <t xml:space="preserve">MA-2024-0302</t>
  </si>
  <si>
    <t xml:space="preserve">2026-06-06</t>
  </si>
  <si>
    <t xml:space="preserve">LP-0303</t>
  </si>
  <si>
    <t xml:space="preserve">MA-2024-0303</t>
  </si>
  <si>
    <t xml:space="preserve">2026-06-03</t>
  </si>
  <si>
    <t xml:space="preserve">LP-0304</t>
  </si>
  <si>
    <t xml:space="preserve">MAINTENANCE</t>
  </si>
  <si>
    <t xml:space="preserve">2025-10-06</t>
  </si>
  <si>
    <t xml:space="preserve">LP-0305</t>
  </si>
  <si>
    <t xml:space="preserve">MA-2024-0305</t>
  </si>
  <si>
    <t xml:space="preserve">2025-08-27</t>
  </si>
  <si>
    <t xml:space="preserve">LP-0306</t>
  </si>
  <si>
    <t xml:space="preserve">MA-2024-0306</t>
  </si>
  <si>
    <t xml:space="preserve">2025-10-27</t>
  </si>
  <si>
    <t xml:space="preserve">LP-0307</t>
  </si>
  <si>
    <t xml:space="preserve">MA-2024-0307</t>
  </si>
  <si>
    <t xml:space="preserve">2026-04-06</t>
  </si>
  <si>
    <t xml:space="preserve">LP-0308</t>
  </si>
  <si>
    <t xml:space="preserve">2026-04-09</t>
  </si>
  <si>
    <t xml:space="preserve">LP-0309</t>
  </si>
  <si>
    <t xml:space="preserve">MA-2024-0309</t>
  </si>
  <si>
    <t xml:space="preserve">LP-0310</t>
  </si>
  <si>
    <t xml:space="preserve">2025-03-27</t>
  </si>
  <si>
    <t xml:space="preserve">LP-0311</t>
  </si>
  <si>
    <t xml:space="preserve">MA-2024-0311</t>
  </si>
  <si>
    <t xml:space="preserve">2025-10-05</t>
  </si>
  <si>
    <t xml:space="preserve">LP-0312</t>
  </si>
  <si>
    <t xml:space="preserve">MA-2024-0312</t>
  </si>
  <si>
    <t xml:space="preserve">2026-06-17</t>
  </si>
  <si>
    <t xml:space="preserve">LP-0313</t>
  </si>
  <si>
    <t xml:space="preserve">MA-2024-0313</t>
  </si>
  <si>
    <t xml:space="preserve">2025-10-02</t>
  </si>
  <si>
    <t xml:space="preserve">LP-0314</t>
  </si>
  <si>
    <t xml:space="preserve">MA-2024-0314</t>
  </si>
  <si>
    <t xml:space="preserve">2026-06-26</t>
  </si>
  <si>
    <t xml:space="preserve">LP-0315</t>
  </si>
  <si>
    <t xml:space="preserve">MA-2024-0315</t>
  </si>
  <si>
    <t xml:space="preserve">2025-01-27</t>
  </si>
  <si>
    <t xml:space="preserve">LP-0316</t>
  </si>
  <si>
    <t xml:space="preserve">MA-2024-0316</t>
  </si>
  <si>
    <t xml:space="preserve">2025-09-24</t>
  </si>
  <si>
    <t xml:space="preserve">LP-0317</t>
  </si>
  <si>
    <t xml:space="preserve">MA-2024-0317</t>
  </si>
  <si>
    <t xml:space="preserve">2026-03-20</t>
  </si>
  <si>
    <t xml:space="preserve">LP-0318</t>
  </si>
  <si>
    <t xml:space="preserve">MA-2024-0318</t>
  </si>
  <si>
    <t xml:space="preserve">2026-02-13</t>
  </si>
  <si>
    <t xml:space="preserve">LP-0319</t>
  </si>
  <si>
    <t xml:space="preserve">LP-0320</t>
  </si>
  <si>
    <t xml:space="preserve">MA-2024-0320</t>
  </si>
  <si>
    <t xml:space="preserve">2026-03-16</t>
  </si>
  <si>
    <t xml:space="preserve">LP-0321</t>
  </si>
  <si>
    <t xml:space="preserve">MA-2024-0321</t>
  </si>
  <si>
    <t xml:space="preserve">2025-03-03</t>
  </si>
  <si>
    <t xml:space="preserve">LP-0322</t>
  </si>
  <si>
    <t xml:space="preserve">MA-2024-0322</t>
  </si>
  <si>
    <t xml:space="preserve">2024-10-31</t>
  </si>
  <si>
    <t xml:space="preserve">LP-0323</t>
  </si>
  <si>
    <t xml:space="preserve">MA-2024-0323</t>
  </si>
  <si>
    <t xml:space="preserve">LP-0324</t>
  </si>
  <si>
    <t xml:space="preserve">MA-2024-0324</t>
  </si>
  <si>
    <t xml:space="preserve">2026-03-27</t>
  </si>
  <si>
    <t xml:space="preserve">LP-0401</t>
  </si>
  <si>
    <t xml:space="preserve">D</t>
  </si>
  <si>
    <t xml:space="preserve">2026-03-31</t>
  </si>
  <si>
    <t xml:space="preserve">LP-0402</t>
  </si>
  <si>
    <t xml:space="preserve">MA-2024-0402</t>
  </si>
  <si>
    <t xml:space="preserve">2024-10-17</t>
  </si>
  <si>
    <t xml:space="preserve">LP-0403</t>
  </si>
  <si>
    <t xml:space="preserve">MA-2024-0403</t>
  </si>
  <si>
    <t xml:space="preserve">2025-03-08</t>
  </si>
  <si>
    <t xml:space="preserve">LP-0404</t>
  </si>
  <si>
    <t xml:space="preserve">MA-2024-0404</t>
  </si>
  <si>
    <t xml:space="preserve">2024-10-12</t>
  </si>
  <si>
    <t xml:space="preserve">LP-0405</t>
  </si>
  <si>
    <t xml:space="preserve">MA-2024-0405</t>
  </si>
  <si>
    <t xml:space="preserve">2025-05-17</t>
  </si>
  <si>
    <t xml:space="preserve">LP-0406</t>
  </si>
  <si>
    <t xml:space="preserve">MA-2024-0406</t>
  </si>
  <si>
    <t xml:space="preserve">2026-05-06</t>
  </si>
  <si>
    <t xml:space="preserve">LP-0407</t>
  </si>
  <si>
    <t xml:space="preserve">MA-2024-0407</t>
  </si>
  <si>
    <t xml:space="preserve">2025-04-10</t>
  </si>
  <si>
    <t xml:space="preserve">LP-0408</t>
  </si>
  <si>
    <t xml:space="preserve">MA-2024-0408</t>
  </si>
  <si>
    <t xml:space="preserve">2026-02-26</t>
  </si>
  <si>
    <t xml:space="preserve">LP-0409</t>
  </si>
  <si>
    <t xml:space="preserve">MA-2024-0409</t>
  </si>
  <si>
    <t xml:space="preserve">2025-07-26</t>
  </si>
  <si>
    <t xml:space="preserve">LP-0410</t>
  </si>
  <si>
    <t xml:space="preserve">MA-2024-0410</t>
  </si>
  <si>
    <t xml:space="preserve">2025-08-13</t>
  </si>
  <si>
    <t xml:space="preserve">LP-0411</t>
  </si>
  <si>
    <t xml:space="preserve">MA-2024-0411</t>
  </si>
  <si>
    <t xml:space="preserve">2025-06-17</t>
  </si>
  <si>
    <t xml:space="preserve">LP-0412</t>
  </si>
  <si>
    <t xml:space="preserve">MA-2024-0412</t>
  </si>
  <si>
    <t xml:space="preserve">2025-08-22</t>
  </si>
  <si>
    <t xml:space="preserve">LP-0413</t>
  </si>
  <si>
    <t xml:space="preserve">MA-2024-0413</t>
  </si>
  <si>
    <t xml:space="preserve">2024-10-20</t>
  </si>
  <si>
    <t xml:space="preserve">LP-0414</t>
  </si>
  <si>
    <t xml:space="preserve">2025-06-16</t>
  </si>
  <si>
    <t xml:space="preserve">LP-0415</t>
  </si>
  <si>
    <t xml:space="preserve">MA-2024-0415</t>
  </si>
  <si>
    <t xml:space="preserve">2024-10-22</t>
  </si>
  <si>
    <t xml:space="preserve">LP-0416</t>
  </si>
  <si>
    <t xml:space="preserve">MA-2024-0416</t>
  </si>
  <si>
    <t xml:space="preserve">2026-05-09</t>
  </si>
  <si>
    <t xml:space="preserve">LP-0417</t>
  </si>
  <si>
    <t xml:space="preserve">MA-2024-0417</t>
  </si>
  <si>
    <t xml:space="preserve">2025-09-13</t>
  </si>
  <si>
    <t xml:space="preserve">LP-0418</t>
  </si>
  <si>
    <t xml:space="preserve">MA-2024-0418</t>
  </si>
  <si>
    <t xml:space="preserve">2026-01-02</t>
  </si>
  <si>
    <t xml:space="preserve">LP-0419</t>
  </si>
  <si>
    <t xml:space="preserve">MA-2024-0419</t>
  </si>
  <si>
    <t xml:space="preserve">2025-10-30</t>
  </si>
  <si>
    <t xml:space="preserve">LP-0420</t>
  </si>
  <si>
    <t xml:space="preserve">MA-2024-0420</t>
  </si>
  <si>
    <t xml:space="preserve">2025-03-19</t>
  </si>
  <si>
    <t xml:space="preserve">LP-0421</t>
  </si>
  <si>
    <t xml:space="preserve">MA-2024-0421</t>
  </si>
  <si>
    <t xml:space="preserve">LP-0422</t>
  </si>
  <si>
    <t xml:space="preserve">MA-2024-0422</t>
  </si>
  <si>
    <t xml:space="preserve">2025-12-10</t>
  </si>
  <si>
    <t xml:space="preserve">LP-0423</t>
  </si>
  <si>
    <t xml:space="preserve">MA-2024-0423</t>
  </si>
  <si>
    <t xml:space="preserve">2025-05-18</t>
  </si>
  <si>
    <t xml:space="preserve">LP-0424</t>
  </si>
  <si>
    <t xml:space="preserve">MA-2024-0424</t>
  </si>
  <si>
    <t xml:space="preserve">2025-04-28</t>
  </si>
  <si>
    <t xml:space="preserve">LP-0501</t>
  </si>
  <si>
    <t xml:space="preserve">E</t>
  </si>
  <si>
    <t xml:space="preserve">2025-06-10</t>
  </si>
  <si>
    <t xml:space="preserve">LP-0502</t>
  </si>
  <si>
    <t xml:space="preserve">MA-2024-0502</t>
  </si>
  <si>
    <t xml:space="preserve">2025-08-14</t>
  </si>
  <si>
    <t xml:space="preserve">LP-0503</t>
  </si>
  <si>
    <t xml:space="preserve">MA-2024-0503</t>
  </si>
  <si>
    <t xml:space="preserve">2024-12-04</t>
  </si>
  <si>
    <t xml:space="preserve">LP-0504</t>
  </si>
  <si>
    <t xml:space="preserve">MA-2024-0504</t>
  </si>
  <si>
    <t xml:space="preserve">2025-12-03</t>
  </si>
  <si>
    <t xml:space="preserve">LP-0505</t>
  </si>
  <si>
    <t xml:space="preserve">MA-2024-0505</t>
  </si>
  <si>
    <t xml:space="preserve">2025-02-19</t>
  </si>
  <si>
    <t xml:space="preserve">LP-0506</t>
  </si>
  <si>
    <t xml:space="preserve">MA-2024-0506</t>
  </si>
  <si>
    <t xml:space="preserve">2025-01-09</t>
  </si>
  <si>
    <t xml:space="preserve">LP-0507</t>
  </si>
  <si>
    <t xml:space="preserve">MA-2024-0507</t>
  </si>
  <si>
    <t xml:space="preserve">LP-0508</t>
  </si>
  <si>
    <t xml:space="preserve">MA-2024-0508</t>
  </si>
  <si>
    <t xml:space="preserve">LP-0509</t>
  </si>
  <si>
    <t xml:space="preserve">MA-2024-0509</t>
  </si>
  <si>
    <t xml:space="preserve">2026-04-10</t>
  </si>
  <si>
    <t xml:space="preserve">LP-0510</t>
  </si>
  <si>
    <t xml:space="preserve">MA-2024-0510</t>
  </si>
  <si>
    <t xml:space="preserve">2025-11-26</t>
  </si>
  <si>
    <t xml:space="preserve">LP-0511</t>
  </si>
  <si>
    <t xml:space="preserve">MA-2024-0511</t>
  </si>
  <si>
    <t xml:space="preserve">2024-10-24</t>
  </si>
  <si>
    <t xml:space="preserve">LP-0512</t>
  </si>
  <si>
    <t xml:space="preserve">MA-2024-0512</t>
  </si>
  <si>
    <t xml:space="preserve">2026-06-12</t>
  </si>
  <si>
    <t xml:space="preserve">LP-0513</t>
  </si>
  <si>
    <t xml:space="preserve">MA-2024-0513</t>
  </si>
  <si>
    <t xml:space="preserve">2024-12-23</t>
  </si>
  <si>
    <t xml:space="preserve">LP-0514</t>
  </si>
  <si>
    <t xml:space="preserve">MA-2024-0514</t>
  </si>
  <si>
    <t xml:space="preserve">2025-07-02</t>
  </si>
  <si>
    <t xml:space="preserve">LP-0515</t>
  </si>
  <si>
    <t xml:space="preserve">RESERVED</t>
  </si>
  <si>
    <t xml:space="preserve">LP-0516</t>
  </si>
  <si>
    <t xml:space="preserve">MA-2024-0516</t>
  </si>
  <si>
    <t xml:space="preserve">2025-09-20</t>
  </si>
  <si>
    <t xml:space="preserve">LP-0517</t>
  </si>
  <si>
    <t xml:space="preserve">MA-2024-0517</t>
  </si>
  <si>
    <t xml:space="preserve">2026-04-23</t>
  </si>
  <si>
    <t xml:space="preserve">LP-0518</t>
  </si>
  <si>
    <t xml:space="preserve">MA-2024-0518</t>
  </si>
  <si>
    <t xml:space="preserve">2026-04-26</t>
  </si>
  <si>
    <t xml:space="preserve">LP-0519</t>
  </si>
  <si>
    <t xml:space="preserve">MA-2024-0519</t>
  </si>
  <si>
    <t xml:space="preserve">2026-05-21</t>
  </si>
  <si>
    <t xml:space="preserve">LP-0520</t>
  </si>
  <si>
    <t xml:space="preserve">MA-2024-0520</t>
  </si>
  <si>
    <t xml:space="preserve">2026-04-18</t>
  </si>
  <si>
    <t xml:space="preserve">LP-0521</t>
  </si>
  <si>
    <t xml:space="preserve">MA-2024-0521</t>
  </si>
  <si>
    <t xml:space="preserve">2026-04-01</t>
  </si>
  <si>
    <t xml:space="preserve">LP-0522</t>
  </si>
  <si>
    <t xml:space="preserve">MA-2024-0522</t>
  </si>
  <si>
    <t xml:space="preserve">2024-10-05</t>
  </si>
  <si>
    <t xml:space="preserve">LP-0523</t>
  </si>
  <si>
    <t xml:space="preserve">MA-2024-0523</t>
  </si>
  <si>
    <t xml:space="preserve">LP-0524</t>
  </si>
  <si>
    <t xml:space="preserve">MA-2024-0524</t>
  </si>
  <si>
    <t xml:space="preserve">2026-02-07</t>
  </si>
  <si>
    <t xml:space="preserve">LP-0601</t>
  </si>
  <si>
    <t xml:space="preserve">F</t>
  </si>
  <si>
    <t xml:space="preserve">MA-2024-0601</t>
  </si>
  <si>
    <t xml:space="preserve">2026-04-28</t>
  </si>
  <si>
    <t xml:space="preserve">LP-0602</t>
  </si>
  <si>
    <t xml:space="preserve">MA-2024-0602</t>
  </si>
  <si>
    <t xml:space="preserve">2026-06-13</t>
  </si>
  <si>
    <t xml:space="preserve">LP-0603</t>
  </si>
  <si>
    <t xml:space="preserve">MA-2024-0603</t>
  </si>
  <si>
    <t xml:space="preserve">2025-08-17</t>
  </si>
  <si>
    <t xml:space="preserve">LP-0604</t>
  </si>
  <si>
    <t xml:space="preserve">MA-2024-0604</t>
  </si>
  <si>
    <t xml:space="preserve">2026-02-02</t>
  </si>
  <si>
    <t xml:space="preserve">LP-0605</t>
  </si>
  <si>
    <t xml:space="preserve">MA-2024-0605</t>
  </si>
  <si>
    <t xml:space="preserve">2026-04-04</t>
  </si>
  <si>
    <t xml:space="preserve">LP-0606</t>
  </si>
  <si>
    <t xml:space="preserve">MA-2024-0606</t>
  </si>
  <si>
    <t xml:space="preserve">2026-05-14</t>
  </si>
  <si>
    <t xml:space="preserve">LP-0607</t>
  </si>
  <si>
    <t xml:space="preserve">MA-2024-0607</t>
  </si>
  <si>
    <t xml:space="preserve">2025-06-24</t>
  </si>
  <si>
    <t xml:space="preserve">LP-0608</t>
  </si>
  <si>
    <t xml:space="preserve">MA-2024-0608</t>
  </si>
  <si>
    <t xml:space="preserve">2025-03-11</t>
  </si>
  <si>
    <t xml:space="preserve">LP-0609</t>
  </si>
  <si>
    <t xml:space="preserve">MA-2024-0609</t>
  </si>
  <si>
    <t xml:space="preserve">2025-01-04</t>
  </si>
  <si>
    <t xml:space="preserve">LP-0610</t>
  </si>
  <si>
    <t xml:space="preserve">MA-2024-0610</t>
  </si>
  <si>
    <t xml:space="preserve">2026-03-05</t>
  </si>
  <si>
    <t xml:space="preserve">LP-0611</t>
  </si>
  <si>
    <t xml:space="preserve">MA-2024-0611</t>
  </si>
  <si>
    <t xml:space="preserve">2024-11-04</t>
  </si>
  <si>
    <t xml:space="preserve">LP-0612</t>
  </si>
  <si>
    <t xml:space="preserve">MA-2024-0612</t>
  </si>
  <si>
    <t xml:space="preserve">2024-10-14</t>
  </si>
  <si>
    <t xml:space="preserve">LP-0613</t>
  </si>
  <si>
    <t xml:space="preserve">MA-2024-0613</t>
  </si>
  <si>
    <t xml:space="preserve">2025-07-23</t>
  </si>
  <si>
    <t xml:space="preserve">LP-0614</t>
  </si>
  <si>
    <t xml:space="preserve">MA-2024-0614</t>
  </si>
  <si>
    <t xml:space="preserve">2025-08-21</t>
  </si>
  <si>
    <t xml:space="preserve">LP-0615</t>
  </si>
  <si>
    <t xml:space="preserve">MA-2024-0615</t>
  </si>
  <si>
    <t xml:space="preserve">2026-05-28</t>
  </si>
  <si>
    <t xml:space="preserve">LP-0616</t>
  </si>
  <si>
    <t xml:space="preserve">MA-2024-0616</t>
  </si>
  <si>
    <t xml:space="preserve">2026-06-04</t>
  </si>
  <si>
    <t xml:space="preserve">LP-0617</t>
  </si>
  <si>
    <t xml:space="preserve">MA-2024-0617</t>
  </si>
  <si>
    <t xml:space="preserve">2025-12-16</t>
  </si>
  <si>
    <t xml:space="preserve">LP-0618</t>
  </si>
  <si>
    <t xml:space="preserve">MA-2024-0618</t>
  </si>
  <si>
    <t xml:space="preserve">2026-04-12</t>
  </si>
  <si>
    <t xml:space="preserve">LP-0619</t>
  </si>
  <si>
    <t xml:space="preserve">2024-11-19</t>
  </si>
  <si>
    <t xml:space="preserve">LP-0620</t>
  </si>
  <si>
    <t xml:space="preserve">MA-2024-0620</t>
  </si>
  <si>
    <t xml:space="preserve">2025-11-28</t>
  </si>
  <si>
    <t xml:space="preserve">LP-0621</t>
  </si>
  <si>
    <t xml:space="preserve">MA-2024-0621</t>
  </si>
  <si>
    <t xml:space="preserve">2025-03-05</t>
  </si>
  <si>
    <t xml:space="preserve">LP-0622</t>
  </si>
  <si>
    <t xml:space="preserve">MA-2024-0622</t>
  </si>
  <si>
    <t xml:space="preserve">2024-12-21</t>
  </si>
  <si>
    <t xml:space="preserve">LP-0623</t>
  </si>
  <si>
    <t xml:space="preserve">MA-2024-0623</t>
  </si>
  <si>
    <t xml:space="preserve">LP-0624</t>
  </si>
  <si>
    <t xml:space="preserve">MA-2024-0624</t>
  </si>
  <si>
    <t xml:space="preserve">2026-04-17</t>
  </si>
  <si>
    <t xml:space="preserve">LP-0701</t>
  </si>
  <si>
    <t xml:space="preserve">G</t>
  </si>
  <si>
    <t xml:space="preserve">MA-2024-0701</t>
  </si>
  <si>
    <t xml:space="preserve">2024-10-06</t>
  </si>
  <si>
    <t xml:space="preserve">LP-0702</t>
  </si>
  <si>
    <t xml:space="preserve">MA-2024-0702</t>
  </si>
  <si>
    <t xml:space="preserve">2025-02-16</t>
  </si>
  <si>
    <t xml:space="preserve">LP-0703</t>
  </si>
  <si>
    <t xml:space="preserve">MA-2024-0703</t>
  </si>
  <si>
    <t xml:space="preserve">LP-0704</t>
  </si>
  <si>
    <t xml:space="preserve">MA-2024-0704</t>
  </si>
  <si>
    <t xml:space="preserve">2025-09-10</t>
  </si>
  <si>
    <t xml:space="preserve">LP-0705</t>
  </si>
  <si>
    <t xml:space="preserve">MA-2024-0705</t>
  </si>
  <si>
    <t xml:space="preserve">LP-0706</t>
  </si>
  <si>
    <t xml:space="preserve">MA-2024-0706</t>
  </si>
  <si>
    <t xml:space="preserve">2026-05-16</t>
  </si>
  <si>
    <t xml:space="preserve">LP-0707</t>
  </si>
  <si>
    <t xml:space="preserve">MA-2024-0707</t>
  </si>
  <si>
    <t xml:space="preserve">2026-05-23</t>
  </si>
  <si>
    <t xml:space="preserve">LP-0708</t>
  </si>
  <si>
    <t xml:space="preserve">MA-2024-0708</t>
  </si>
  <si>
    <t xml:space="preserve">2024-12-24</t>
  </si>
  <si>
    <t xml:space="preserve">LP-0709</t>
  </si>
  <si>
    <t xml:space="preserve">MA-2024-0709</t>
  </si>
  <si>
    <t xml:space="preserve">2026-02-21</t>
  </si>
  <si>
    <t xml:space="preserve">LP-0710</t>
  </si>
  <si>
    <t xml:space="preserve">MA-2024-0710</t>
  </si>
  <si>
    <t xml:space="preserve">2025-05-30</t>
  </si>
  <si>
    <t xml:space="preserve">LP-0711</t>
  </si>
  <si>
    <t xml:space="preserve">MA-2024-0711</t>
  </si>
  <si>
    <t xml:space="preserve">LP-0712</t>
  </si>
  <si>
    <t xml:space="preserve">MA-2024-0712</t>
  </si>
  <si>
    <t xml:space="preserve">LP-0713</t>
  </si>
  <si>
    <t xml:space="preserve">MA-2024-0713</t>
  </si>
  <si>
    <t xml:space="preserve">2025-11-06</t>
  </si>
  <si>
    <t xml:space="preserve">LP-0714</t>
  </si>
  <si>
    <t xml:space="preserve">MA-2024-0714</t>
  </si>
  <si>
    <t xml:space="preserve">LP-0715</t>
  </si>
  <si>
    <t xml:space="preserve">MA-2024-0715</t>
  </si>
  <si>
    <t xml:space="preserve">2026-05-03</t>
  </si>
  <si>
    <t xml:space="preserve">LP-0716</t>
  </si>
  <si>
    <t xml:space="preserve">MA-2024-0716</t>
  </si>
  <si>
    <t xml:space="preserve">2025-07-06</t>
  </si>
  <si>
    <t xml:space="preserve">LP-0717</t>
  </si>
  <si>
    <t xml:space="preserve">MA-2024-0717</t>
  </si>
  <si>
    <t xml:space="preserve">LP-0718</t>
  </si>
  <si>
    <t xml:space="preserve">MA-2024-0718</t>
  </si>
  <si>
    <t xml:space="preserve">LP-0719</t>
  </si>
  <si>
    <t xml:space="preserve">MA-2024-0719</t>
  </si>
  <si>
    <t xml:space="preserve">2025-06-12</t>
  </si>
  <si>
    <t xml:space="preserve">LP-0720</t>
  </si>
  <si>
    <t xml:space="preserve">MA-2024-0720</t>
  </si>
  <si>
    <t xml:space="preserve">2026-05-18</t>
  </si>
  <si>
    <t xml:space="preserve">LP-0721</t>
  </si>
  <si>
    <t xml:space="preserve">2026-01-27</t>
  </si>
  <si>
    <t xml:space="preserve">LP-0722</t>
  </si>
  <si>
    <t xml:space="preserve">MA-2024-0722</t>
  </si>
  <si>
    <t xml:space="preserve">2025-09-07</t>
  </si>
  <si>
    <t xml:space="preserve">LP-0723</t>
  </si>
  <si>
    <t xml:space="preserve">MA-2024-0723</t>
  </si>
  <si>
    <t xml:space="preserve">LP-0724</t>
  </si>
  <si>
    <t xml:space="preserve">MA-2024-0724</t>
  </si>
  <si>
    <t xml:space="preserve">LP-0801</t>
  </si>
  <si>
    <t xml:space="preserve">H</t>
  </si>
  <si>
    <t xml:space="preserve">MA-2024-0801</t>
  </si>
  <si>
    <t xml:space="preserve">2026-02-22</t>
  </si>
  <si>
    <t xml:space="preserve">LP-0802</t>
  </si>
  <si>
    <t xml:space="preserve">MA-2024-0802</t>
  </si>
  <si>
    <t xml:space="preserve">2024-12-16</t>
  </si>
  <si>
    <t xml:space="preserve">LP-0803</t>
  </si>
  <si>
    <t xml:space="preserve">MA-2024-0803</t>
  </si>
  <si>
    <t xml:space="preserve">2025-12-06</t>
  </si>
  <si>
    <t xml:space="preserve">LP-0804</t>
  </si>
  <si>
    <t xml:space="preserve">LP-0805</t>
  </si>
  <si>
    <t xml:space="preserve">MA-2024-0805</t>
  </si>
  <si>
    <t xml:space="preserve">2025-03-23</t>
  </si>
  <si>
    <t xml:space="preserve">LP-0806</t>
  </si>
  <si>
    <t xml:space="preserve">MA-2024-0806</t>
  </si>
  <si>
    <t xml:space="preserve">2025-10-17</t>
  </si>
  <si>
    <t xml:space="preserve">LP-0807</t>
  </si>
  <si>
    <t xml:space="preserve">MA-2024-0807</t>
  </si>
  <si>
    <t xml:space="preserve">LP-0808</t>
  </si>
  <si>
    <t xml:space="preserve">MA-2024-0808</t>
  </si>
  <si>
    <t xml:space="preserve">LP-0809</t>
  </si>
  <si>
    <t xml:space="preserve">MA-2024-0809</t>
  </si>
  <si>
    <t xml:space="preserve">2024-10-01</t>
  </si>
  <si>
    <t xml:space="preserve">LP-0810</t>
  </si>
  <si>
    <t xml:space="preserve">2025-07-04</t>
  </si>
  <si>
    <t xml:space="preserve">LP-0811</t>
  </si>
  <si>
    <t xml:space="preserve">MA-2024-0811</t>
  </si>
  <si>
    <t xml:space="preserve">2025-02-20</t>
  </si>
  <si>
    <t xml:space="preserve">LP-0812</t>
  </si>
  <si>
    <t xml:space="preserve">MA-2024-0812</t>
  </si>
  <si>
    <t xml:space="preserve">LP-0813</t>
  </si>
  <si>
    <t xml:space="preserve">MA-2024-0813</t>
  </si>
  <si>
    <t xml:space="preserve">2026-05-07</t>
  </si>
  <si>
    <t xml:space="preserve">LP-0814</t>
  </si>
  <si>
    <t xml:space="preserve">MA-2024-0814</t>
  </si>
  <si>
    <t xml:space="preserve">2025-05-21</t>
  </si>
  <si>
    <t xml:space="preserve">LP-0815</t>
  </si>
  <si>
    <t xml:space="preserve">MA-2024-0815</t>
  </si>
  <si>
    <t xml:space="preserve">LP-0816</t>
  </si>
  <si>
    <t xml:space="preserve">MA-2024-0816</t>
  </si>
  <si>
    <t xml:space="preserve">2025-02-14</t>
  </si>
  <si>
    <t xml:space="preserve">LP-0817</t>
  </si>
  <si>
    <t xml:space="preserve">MA-2024-0817</t>
  </si>
  <si>
    <t xml:space="preserve">2025-06-08</t>
  </si>
  <si>
    <t xml:space="preserve">LP-0818</t>
  </si>
  <si>
    <t xml:space="preserve">MA-2024-0818</t>
  </si>
  <si>
    <t xml:space="preserve">LP-0819</t>
  </si>
  <si>
    <t xml:space="preserve">MA-2024-0819</t>
  </si>
  <si>
    <t xml:space="preserve">2025-04-11</t>
  </si>
  <si>
    <t xml:space="preserve">LP-0820</t>
  </si>
  <si>
    <t xml:space="preserve">MA-2024-0820</t>
  </si>
  <si>
    <t xml:space="preserve">LP-0821</t>
  </si>
  <si>
    <t xml:space="preserve">MA-2024-0821</t>
  </si>
  <si>
    <t xml:space="preserve">2026-03-18</t>
  </si>
  <si>
    <t xml:space="preserve">LP-0822</t>
  </si>
  <si>
    <t xml:space="preserve">MA-2024-0822</t>
  </si>
  <si>
    <t xml:space="preserve">LP-0823</t>
  </si>
  <si>
    <t xml:space="preserve">MA-2024-0823</t>
  </si>
  <si>
    <t xml:space="preserve">2025-04-07</t>
  </si>
  <si>
    <t xml:space="preserve">LP-0824</t>
  </si>
  <si>
    <t xml:space="preserve">MA-2024-0824</t>
  </si>
  <si>
    <t xml:space="preserve">2024-10-11</t>
  </si>
  <si>
    <t xml:space="preserve">LP-0901</t>
  </si>
  <si>
    <t xml:space="preserve">I</t>
  </si>
  <si>
    <t xml:space="preserve">MA-2024-0901</t>
  </si>
  <si>
    <t xml:space="preserve">2024-10-21</t>
  </si>
  <si>
    <t xml:space="preserve">LP-0902</t>
  </si>
  <si>
    <t xml:space="preserve">MA-2024-0902</t>
  </si>
  <si>
    <t xml:space="preserve">2025-07-27</t>
  </si>
  <si>
    <t xml:space="preserve">LP-0903</t>
  </si>
  <si>
    <t xml:space="preserve">MA-2024-0903</t>
  </si>
  <si>
    <t xml:space="preserve">LP-0904</t>
  </si>
  <si>
    <t xml:space="preserve">MA-2024-0904</t>
  </si>
  <si>
    <t xml:space="preserve">2026-04-29</t>
  </si>
  <si>
    <t xml:space="preserve">LP-0905</t>
  </si>
  <si>
    <t xml:space="preserve">MA-2024-0905</t>
  </si>
  <si>
    <t xml:space="preserve">LP-0906</t>
  </si>
  <si>
    <t xml:space="preserve">MA-2024-0906</t>
  </si>
  <si>
    <t xml:space="preserve">2025-03-18</t>
  </si>
  <si>
    <t xml:space="preserve">LP-0907</t>
  </si>
  <si>
    <t xml:space="preserve">MA-2024-0907</t>
  </si>
  <si>
    <t xml:space="preserve">2025-01-15</t>
  </si>
  <si>
    <t xml:space="preserve">LP-0908</t>
  </si>
  <si>
    <t xml:space="preserve">MA-2024-0908</t>
  </si>
  <si>
    <t xml:space="preserve">2026-02-06</t>
  </si>
  <si>
    <t xml:space="preserve">LP-0909</t>
  </si>
  <si>
    <t xml:space="preserve">MA-2024-0909</t>
  </si>
  <si>
    <t xml:space="preserve">2024-11-11</t>
  </si>
  <si>
    <t xml:space="preserve">LP-0910</t>
  </si>
  <si>
    <t xml:space="preserve">MA-2024-0910</t>
  </si>
  <si>
    <t xml:space="preserve">2025-09-08</t>
  </si>
  <si>
    <t xml:space="preserve">LP-0911</t>
  </si>
  <si>
    <t xml:space="preserve">MA-2024-0911</t>
  </si>
  <si>
    <t xml:space="preserve">LP-0912</t>
  </si>
  <si>
    <t xml:space="preserve">MA-2024-0912</t>
  </si>
  <si>
    <t xml:space="preserve">LP-0913</t>
  </si>
  <si>
    <t xml:space="preserve">MA-2024-0913</t>
  </si>
  <si>
    <t xml:space="preserve">2026-03-06</t>
  </si>
  <si>
    <t xml:space="preserve">LP-0914</t>
  </si>
  <si>
    <t xml:space="preserve">MA-2024-0914</t>
  </si>
  <si>
    <t xml:space="preserve">LP-0915</t>
  </si>
  <si>
    <t xml:space="preserve">MA-2024-0915</t>
  </si>
  <si>
    <t xml:space="preserve">2025-09-17</t>
  </si>
  <si>
    <t xml:space="preserve">LP-0916</t>
  </si>
  <si>
    <t xml:space="preserve">LP-0917</t>
  </si>
  <si>
    <t xml:space="preserve">MA-2024-0917</t>
  </si>
  <si>
    <t xml:space="preserve">2025-04-04</t>
  </si>
  <si>
    <t xml:space="preserve">LP-0918</t>
  </si>
  <si>
    <t xml:space="preserve">MA-2024-0918</t>
  </si>
  <si>
    <t xml:space="preserve">LP-0919</t>
  </si>
  <si>
    <t xml:space="preserve">MA-2024-0919</t>
  </si>
  <si>
    <t xml:space="preserve">2026-05-02</t>
  </si>
  <si>
    <t xml:space="preserve">LP-0920</t>
  </si>
  <si>
    <t xml:space="preserve">MA-2024-0920</t>
  </si>
  <si>
    <t xml:space="preserve">2024-10-27</t>
  </si>
  <si>
    <t xml:space="preserve">LP-0921</t>
  </si>
  <si>
    <t xml:space="preserve">MA-2024-0921</t>
  </si>
  <si>
    <t xml:space="preserve">LP-0922</t>
  </si>
  <si>
    <t xml:space="preserve">MA-2024-0922</t>
  </si>
  <si>
    <t xml:space="preserve">LP-0923</t>
  </si>
  <si>
    <t xml:space="preserve">MA-2024-0923</t>
  </si>
  <si>
    <t xml:space="preserve">2024-10-16</t>
  </si>
  <si>
    <t xml:space="preserve">LP-0924</t>
  </si>
  <si>
    <t xml:space="preserve">MA-2024-0924</t>
  </si>
  <si>
    <t xml:space="preserve">LP-1001</t>
  </si>
  <si>
    <t xml:space="preserve">J</t>
  </si>
  <si>
    <t xml:space="preserve">MA-2024-1001</t>
  </si>
  <si>
    <t xml:space="preserve">2025-06-21</t>
  </si>
  <si>
    <t xml:space="preserve">LP-1002</t>
  </si>
  <si>
    <t xml:space="preserve">MA-2024-1002</t>
  </si>
  <si>
    <t xml:space="preserve">2025-05-16</t>
  </si>
  <si>
    <t xml:space="preserve">LP-1003</t>
  </si>
  <si>
    <t xml:space="preserve">MA-2024-1003</t>
  </si>
  <si>
    <t xml:space="preserve">LP-1004</t>
  </si>
  <si>
    <t xml:space="preserve">MA-2024-1004</t>
  </si>
  <si>
    <t xml:space="preserve">LP-1005</t>
  </si>
  <si>
    <t xml:space="preserve">MA-2024-1005</t>
  </si>
  <si>
    <t xml:space="preserve">2025-11-25</t>
  </si>
  <si>
    <t xml:space="preserve">LP-1006</t>
  </si>
  <si>
    <t xml:space="preserve">MA-2024-1006</t>
  </si>
  <si>
    <t xml:space="preserve">2025-02-17</t>
  </si>
  <si>
    <t xml:space="preserve">LP-1007</t>
  </si>
  <si>
    <t xml:space="preserve">MA-2024-1007</t>
  </si>
  <si>
    <t xml:space="preserve">2026-05-12</t>
  </si>
  <si>
    <t xml:space="preserve">LP-1008</t>
  </si>
  <si>
    <t xml:space="preserve">MA-2024-1008</t>
  </si>
  <si>
    <t xml:space="preserve">2026-06-11</t>
  </si>
  <si>
    <t xml:space="preserve">LP-1009</t>
  </si>
  <si>
    <t xml:space="preserve">MA-2024-1009</t>
  </si>
  <si>
    <t xml:space="preserve">LP-1010</t>
  </si>
  <si>
    <t xml:space="preserve">MA-2024-1010</t>
  </si>
  <si>
    <t xml:space="preserve">2025-03-13</t>
  </si>
  <si>
    <t xml:space="preserve">LP-1011</t>
  </si>
  <si>
    <t xml:space="preserve">MA-2024-1011</t>
  </si>
  <si>
    <t xml:space="preserve">2026-01-26</t>
  </si>
  <si>
    <t xml:space="preserve">LP-1012</t>
  </si>
  <si>
    <t xml:space="preserve">MA-2024-1012</t>
  </si>
  <si>
    <t xml:space="preserve">2026-03-12</t>
  </si>
  <si>
    <t xml:space="preserve">LP-1013</t>
  </si>
  <si>
    <t xml:space="preserve">MA-2024-1013</t>
  </si>
  <si>
    <t xml:space="preserve">LP-1014</t>
  </si>
  <si>
    <t xml:space="preserve">MA-2024-1014</t>
  </si>
  <si>
    <t xml:space="preserve">2024-11-03</t>
  </si>
  <si>
    <t xml:space="preserve">LP-1015</t>
  </si>
  <si>
    <t xml:space="preserve">LP-1016</t>
  </si>
  <si>
    <t xml:space="preserve">MA-2024-1016</t>
  </si>
  <si>
    <t xml:space="preserve">LP-1017</t>
  </si>
  <si>
    <t xml:space="preserve">MA-2024-1017</t>
  </si>
  <si>
    <t xml:space="preserve">2025-09-03</t>
  </si>
  <si>
    <t xml:space="preserve">LP-1018</t>
  </si>
  <si>
    <t xml:space="preserve">MA-2024-1018</t>
  </si>
  <si>
    <t xml:space="preserve">LP-1019</t>
  </si>
  <si>
    <t xml:space="preserve">LP-1020</t>
  </si>
  <si>
    <t xml:space="preserve">MA-2024-1020</t>
  </si>
  <si>
    <t xml:space="preserve">LP-1021</t>
  </si>
  <si>
    <t xml:space="preserve">MA-2024-1021</t>
  </si>
  <si>
    <t xml:space="preserve">LP-1022</t>
  </si>
  <si>
    <t xml:space="preserve">MA-2024-1022</t>
  </si>
  <si>
    <t xml:space="preserve">LP-1023</t>
  </si>
  <si>
    <t xml:space="preserve">MA-2024-1023</t>
  </si>
  <si>
    <t xml:space="preserve">LP-1024</t>
  </si>
  <si>
    <t xml:space="preserve">MA-2024-1024</t>
  </si>
  <si>
    <t xml:space="preserve">2026-02-28</t>
  </si>
  <si>
    <t xml:space="preserve">LP-1101</t>
  </si>
  <si>
    <t xml:space="preserve">K</t>
  </si>
  <si>
    <t xml:space="preserve">2026-02-20</t>
  </si>
  <si>
    <t xml:space="preserve">LP-1102</t>
  </si>
  <si>
    <t xml:space="preserve">MA-2024-1102</t>
  </si>
  <si>
    <t xml:space="preserve">2025-07-08</t>
  </si>
  <si>
    <t xml:space="preserve">LP-1103</t>
  </si>
  <si>
    <t xml:space="preserve">MA-2024-1103</t>
  </si>
  <si>
    <t xml:space="preserve">2025-08-07</t>
  </si>
  <si>
    <t xml:space="preserve">LP-1104</t>
  </si>
  <si>
    <t xml:space="preserve">MA-2024-1104</t>
  </si>
  <si>
    <t xml:space="preserve">LP-1105</t>
  </si>
  <si>
    <t xml:space="preserve">MA-2024-1105</t>
  </si>
  <si>
    <t xml:space="preserve">2025-12-31</t>
  </si>
  <si>
    <t xml:space="preserve">LP-1106</t>
  </si>
  <si>
    <t xml:space="preserve">MA-2024-1106</t>
  </si>
  <si>
    <t xml:space="preserve">2025-10-01</t>
  </si>
  <si>
    <t xml:space="preserve">LP-1107</t>
  </si>
  <si>
    <t xml:space="preserve">MA-2024-1107</t>
  </si>
  <si>
    <t xml:space="preserve">2025-01-28</t>
  </si>
  <si>
    <t xml:space="preserve">LP-1108</t>
  </si>
  <si>
    <t xml:space="preserve">MA-2024-1108</t>
  </si>
  <si>
    <t xml:space="preserve">LP-1109</t>
  </si>
  <si>
    <t xml:space="preserve">MA-2024-1109</t>
  </si>
  <si>
    <t xml:space="preserve">2024-11-22</t>
  </si>
  <si>
    <t xml:space="preserve">LP-1110</t>
  </si>
  <si>
    <t xml:space="preserve">MA-2024-1110</t>
  </si>
  <si>
    <t xml:space="preserve">2025-06-07</t>
  </si>
  <si>
    <t xml:space="preserve">LP-1111</t>
  </si>
  <si>
    <t xml:space="preserve">MA-2024-1111</t>
  </si>
  <si>
    <t xml:space="preserve">2025-06-04</t>
  </si>
  <si>
    <t xml:space="preserve">LP-1112</t>
  </si>
  <si>
    <t xml:space="preserve">MA-2024-1112</t>
  </si>
  <si>
    <t xml:space="preserve">2026-05-25</t>
  </si>
  <si>
    <t xml:space="preserve">LP-1113</t>
  </si>
  <si>
    <t xml:space="preserve">MA-2024-1113</t>
  </si>
  <si>
    <t xml:space="preserve">2025-04-12</t>
  </si>
  <si>
    <t xml:space="preserve">LP-1114</t>
  </si>
  <si>
    <t xml:space="preserve">MA-2024-1114</t>
  </si>
  <si>
    <t xml:space="preserve">2025-11-15</t>
  </si>
  <si>
    <t xml:space="preserve">LP-1115</t>
  </si>
  <si>
    <t xml:space="preserve">MA-2024-1115</t>
  </si>
  <si>
    <t xml:space="preserve">2025-12-18</t>
  </si>
  <si>
    <t xml:space="preserve">LP-1116</t>
  </si>
  <si>
    <t xml:space="preserve">MA-2024-1116</t>
  </si>
  <si>
    <t xml:space="preserve">2025-12-21</t>
  </si>
  <si>
    <t xml:space="preserve">LP-1117</t>
  </si>
  <si>
    <t xml:space="preserve">MA-2024-1117</t>
  </si>
  <si>
    <t xml:space="preserve">2025-06-09</t>
  </si>
  <si>
    <t xml:space="preserve">LP-1118</t>
  </si>
  <si>
    <t xml:space="preserve">MA-2024-1118</t>
  </si>
  <si>
    <t xml:space="preserve">2025-07-24</t>
  </si>
  <si>
    <t xml:space="preserve">LP-1119</t>
  </si>
  <si>
    <t xml:space="preserve">MA-2024-1119</t>
  </si>
  <si>
    <t xml:space="preserve">2024-12-29</t>
  </si>
  <si>
    <t xml:space="preserve">LP-1120</t>
  </si>
  <si>
    <t xml:space="preserve">MA-2024-1120</t>
  </si>
  <si>
    <t xml:space="preserve">VB-0101</t>
  </si>
  <si>
    <t xml:space="preserve">VB-0102</t>
  </si>
  <si>
    <t xml:space="preserve">VB-0103</t>
  </si>
  <si>
    <t xml:space="preserve">2025-04-17</t>
  </si>
  <si>
    <t xml:space="preserve">VB-0104</t>
  </si>
  <si>
    <t xml:space="preserve">2025-12-30</t>
  </si>
  <si>
    <t xml:space="preserve">VB-0105</t>
  </si>
  <si>
    <t xml:space="preserve">2025-12-15</t>
  </si>
  <si>
    <t xml:space="preserve">VB-0106</t>
  </si>
  <si>
    <t xml:space="preserve">VB-0107</t>
  </si>
  <si>
    <t xml:space="preserve">2025-03-01</t>
  </si>
  <si>
    <t xml:space="preserve">VB-0108</t>
  </si>
  <si>
    <t xml:space="preserve">2025-05-19</t>
  </si>
  <si>
    <t xml:space="preserve">VB-0109</t>
  </si>
  <si>
    <t xml:space="preserve">2025-02-05</t>
  </si>
  <si>
    <t xml:space="preserve">VB-0110</t>
  </si>
  <si>
    <t xml:space="preserve">2025-06-15</t>
  </si>
  <si>
    <t xml:space="preserve">VB-0111</t>
  </si>
  <si>
    <t xml:space="preserve">VB-0112</t>
  </si>
  <si>
    <t xml:space="preserve">MA-2024-0112</t>
  </si>
  <si>
    <t xml:space="preserve">VB-0113</t>
  </si>
  <si>
    <t xml:space="preserve">2024-12-08</t>
  </si>
  <si>
    <t xml:space="preserve">VB-0114</t>
  </si>
  <si>
    <t xml:space="preserve">2025-09-15</t>
  </si>
  <si>
    <t xml:space="preserve">VB-0115</t>
  </si>
  <si>
    <t xml:space="preserve">2024-12-06</t>
  </si>
  <si>
    <t xml:space="preserve">VB-0116</t>
  </si>
  <si>
    <t xml:space="preserve">2025-06-11</t>
  </si>
  <si>
    <t xml:space="preserve">VB-0117</t>
  </si>
  <si>
    <t xml:space="preserve">VB-0118</t>
  </si>
  <si>
    <t xml:space="preserve">VB-0119</t>
  </si>
  <si>
    <t xml:space="preserve">VB-0120</t>
  </si>
  <si>
    <t xml:space="preserve">VB-0121</t>
  </si>
  <si>
    <t xml:space="preserve">VB-0122</t>
  </si>
  <si>
    <t xml:space="preserve">2025-08-06</t>
  </si>
  <si>
    <t xml:space="preserve">VB-0123</t>
  </si>
  <si>
    <t xml:space="preserve">VB-0124</t>
  </si>
  <si>
    <t xml:space="preserve">VB-0201</t>
  </si>
  <si>
    <t xml:space="preserve">2025-10-04</t>
  </si>
  <si>
    <t xml:space="preserve">VB-0202</t>
  </si>
  <si>
    <t xml:space="preserve">2025-06-02</t>
  </si>
  <si>
    <t xml:space="preserve">VB-0203</t>
  </si>
  <si>
    <t xml:space="preserve">VB-0204</t>
  </si>
  <si>
    <t xml:space="preserve">VB-0205</t>
  </si>
  <si>
    <t xml:space="preserve">VB-0206</t>
  </si>
  <si>
    <t xml:space="preserve">2024-10-15</t>
  </si>
  <si>
    <t xml:space="preserve">VB-0207</t>
  </si>
  <si>
    <t xml:space="preserve">MA-2024-0207</t>
  </si>
  <si>
    <t xml:space="preserve">VB-0208</t>
  </si>
  <si>
    <t xml:space="preserve">VB-0209</t>
  </si>
  <si>
    <t xml:space="preserve">2025-05-11</t>
  </si>
  <si>
    <t xml:space="preserve">VB-0210</t>
  </si>
  <si>
    <t xml:space="preserve">2025-03-10</t>
  </si>
  <si>
    <t xml:space="preserve">VB-0211</t>
  </si>
  <si>
    <t xml:space="preserve">MA-2024-0211</t>
  </si>
  <si>
    <t xml:space="preserve">VB-0212</t>
  </si>
  <si>
    <t xml:space="preserve">2025-11-17</t>
  </si>
  <si>
    <t xml:space="preserve">VB-0213</t>
  </si>
  <si>
    <t xml:space="preserve">VB-0214</t>
  </si>
  <si>
    <t xml:space="preserve">2026-06-10</t>
  </si>
  <si>
    <t xml:space="preserve">VB-0215</t>
  </si>
  <si>
    <t xml:space="preserve">VB-0216</t>
  </si>
  <si>
    <t xml:space="preserve">2025-01-22</t>
  </si>
  <si>
    <t xml:space="preserve">VB-0217</t>
  </si>
  <si>
    <t xml:space="preserve">VB-0218</t>
  </si>
  <si>
    <t xml:space="preserve">VB-0219</t>
  </si>
  <si>
    <t xml:space="preserve">2024-11-23</t>
  </si>
  <si>
    <t xml:space="preserve">VB-0220</t>
  </si>
  <si>
    <t xml:space="preserve">2026-03-19</t>
  </si>
  <si>
    <t xml:space="preserve">VB-0221</t>
  </si>
  <si>
    <t xml:space="preserve">VB-0222</t>
  </si>
  <si>
    <t xml:space="preserve">2025-03-26</t>
  </si>
  <si>
    <t xml:space="preserve">VB-0223</t>
  </si>
  <si>
    <t xml:space="preserve">VB-0224</t>
  </si>
  <si>
    <t xml:space="preserve">VB-0301</t>
  </si>
  <si>
    <t xml:space="preserve">2025-08-15</t>
  </si>
  <si>
    <t xml:space="preserve">VB-0302</t>
  </si>
  <si>
    <t xml:space="preserve">VB-0303</t>
  </si>
  <si>
    <t xml:space="preserve">2025-01-31</t>
  </si>
  <si>
    <t xml:space="preserve">VB-0304</t>
  </si>
  <si>
    <t xml:space="preserve">MA-2024-0304</t>
  </si>
  <si>
    <t xml:space="preserve">2025-06-25</t>
  </si>
  <si>
    <t xml:space="preserve">VB-0305</t>
  </si>
  <si>
    <t xml:space="preserve">VB-0306</t>
  </si>
  <si>
    <t xml:space="preserve">2025-10-23</t>
  </si>
  <si>
    <t xml:space="preserve">VB-0307</t>
  </si>
  <si>
    <t xml:space="preserve">2024-10-25</t>
  </si>
  <si>
    <t xml:space="preserve">VB-0308</t>
  </si>
  <si>
    <t xml:space="preserve">MA-2024-0308</t>
  </si>
  <si>
    <t xml:space="preserve">2025-10-20</t>
  </si>
  <si>
    <t xml:space="preserve">VB-0309</t>
  </si>
  <si>
    <t xml:space="preserve">2024-12-13</t>
  </si>
  <si>
    <t xml:space="preserve">VB-0310</t>
  </si>
  <si>
    <t xml:space="preserve">MA-2024-0310</t>
  </si>
  <si>
    <t xml:space="preserve">VB-0311</t>
  </si>
  <si>
    <t xml:space="preserve">2025-08-19</t>
  </si>
  <si>
    <t xml:space="preserve">VB-0312</t>
  </si>
  <si>
    <t xml:space="preserve">2026-05-11</t>
  </si>
  <si>
    <t xml:space="preserve">VB-0313</t>
  </si>
  <si>
    <t xml:space="preserve">2026-02-23</t>
  </si>
  <si>
    <t xml:space="preserve">VB-0314</t>
  </si>
  <si>
    <t xml:space="preserve">2025-02-13</t>
  </si>
  <si>
    <t xml:space="preserve">VB-0315</t>
  </si>
  <si>
    <t xml:space="preserve">VB-0316</t>
  </si>
  <si>
    <t xml:space="preserve">2025-08-26</t>
  </si>
  <si>
    <t xml:space="preserve">VB-0317</t>
  </si>
  <si>
    <t xml:space="preserve">2025-08-12</t>
  </si>
  <si>
    <t xml:space="preserve">VB-0318</t>
  </si>
  <si>
    <t xml:space="preserve">2025-05-23</t>
  </si>
  <si>
    <t xml:space="preserve">VB-0319</t>
  </si>
  <si>
    <t xml:space="preserve">MA-2024-0319</t>
  </si>
  <si>
    <t xml:space="preserve">2024-10-07</t>
  </si>
  <si>
    <t xml:space="preserve">VB-0320</t>
  </si>
  <si>
    <t xml:space="preserve">2025-11-02</t>
  </si>
  <si>
    <t xml:space="preserve">VB-0321</t>
  </si>
  <si>
    <t xml:space="preserve">VB-0322</t>
  </si>
  <si>
    <t xml:space="preserve">2026-05-15</t>
  </si>
  <si>
    <t xml:space="preserve">VB-0323</t>
  </si>
  <si>
    <t xml:space="preserve">2024-10-30</t>
  </si>
  <si>
    <t xml:space="preserve">VB-0324</t>
  </si>
  <si>
    <t xml:space="preserve">2025-02-27</t>
  </si>
  <si>
    <t xml:space="preserve">VB-0401</t>
  </si>
  <si>
    <t xml:space="preserve">MA-2024-0401</t>
  </si>
  <si>
    <t xml:space="preserve">2025-02-24</t>
  </si>
  <si>
    <t xml:space="preserve">VB-0402</t>
  </si>
  <si>
    <t xml:space="preserve">VB-0403</t>
  </si>
  <si>
    <t xml:space="preserve">2024-11-05</t>
  </si>
  <si>
    <t xml:space="preserve">VB-0404</t>
  </si>
  <si>
    <t xml:space="preserve">VB-0405</t>
  </si>
  <si>
    <t xml:space="preserve">2026-05-01</t>
  </si>
  <si>
    <t xml:space="preserve">VB-0406</t>
  </si>
  <si>
    <t xml:space="preserve">2024-10-19</t>
  </si>
  <si>
    <t xml:space="preserve">VB-0407</t>
  </si>
  <si>
    <t xml:space="preserve">2026-06-22</t>
  </si>
  <si>
    <t xml:space="preserve">VB-0408</t>
  </si>
  <si>
    <t xml:space="preserve">2025-10-14</t>
  </si>
  <si>
    <t xml:space="preserve">VB-0409</t>
  </si>
  <si>
    <t xml:space="preserve">2025-01-02</t>
  </si>
  <si>
    <t xml:space="preserve">VB-0410</t>
  </si>
  <si>
    <t xml:space="preserve">VB-0411</t>
  </si>
  <si>
    <t xml:space="preserve">VB-0412</t>
  </si>
  <si>
    <t xml:space="preserve">2025-09-11</t>
  </si>
  <si>
    <t xml:space="preserve">VB-0413</t>
  </si>
  <si>
    <t xml:space="preserve">2025-06-18</t>
  </si>
  <si>
    <t xml:space="preserve">VB-0414</t>
  </si>
  <si>
    <t xml:space="preserve">MA-2024-0414</t>
  </si>
  <si>
    <t xml:space="preserve">VB-0415</t>
  </si>
  <si>
    <t xml:space="preserve">VB-0416</t>
  </si>
  <si>
    <t xml:space="preserve">2024-11-17</t>
  </si>
  <si>
    <t xml:space="preserve">VB-0417</t>
  </si>
  <si>
    <t xml:space="preserve">VB-0418</t>
  </si>
  <si>
    <t xml:space="preserve">VB-0419</t>
  </si>
  <si>
    <t xml:space="preserve">2026-04-08</t>
  </si>
  <si>
    <t xml:space="preserve">VB-0420</t>
  </si>
  <si>
    <t xml:space="preserve">2025-11-23</t>
  </si>
  <si>
    <t xml:space="preserve">VB-0421</t>
  </si>
  <si>
    <t xml:space="preserve">2024-11-25</t>
  </si>
  <si>
    <t xml:space="preserve">VB-0422</t>
  </si>
  <si>
    <t xml:space="preserve">2026-06-24</t>
  </si>
  <si>
    <t xml:space="preserve">VB-0423</t>
  </si>
  <si>
    <t xml:space="preserve">VB-0424</t>
  </si>
  <si>
    <t xml:space="preserve">2025-06-20</t>
  </si>
  <si>
    <t xml:space="preserve">VB-0501</t>
  </si>
  <si>
    <t xml:space="preserve">MA-2024-0501</t>
  </si>
  <si>
    <t xml:space="preserve">VB-0502</t>
  </si>
  <si>
    <t xml:space="preserve">2025-03-04</t>
  </si>
  <si>
    <t xml:space="preserve">VB-0503</t>
  </si>
  <si>
    <t xml:space="preserve">2025-06-13</t>
  </si>
  <si>
    <t xml:space="preserve">VB-0504</t>
  </si>
  <si>
    <t xml:space="preserve">VB-0505</t>
  </si>
  <si>
    <t xml:space="preserve">VB-0506</t>
  </si>
  <si>
    <t xml:space="preserve">2025-12-04</t>
  </si>
  <si>
    <t xml:space="preserve">VB-0507</t>
  </si>
  <si>
    <t xml:space="preserve">VB-0508</t>
  </si>
  <si>
    <t xml:space="preserve">VB-0509</t>
  </si>
  <si>
    <t xml:space="preserve">VB-0510</t>
  </si>
  <si>
    <t xml:space="preserve">VB-0511</t>
  </si>
  <si>
    <t xml:space="preserve">2026-06-16</t>
  </si>
  <si>
    <t xml:space="preserve">VB-0512</t>
  </si>
  <si>
    <t xml:space="preserve">VB-0513</t>
  </si>
  <si>
    <t xml:space="preserve">VB-0514</t>
  </si>
  <si>
    <t xml:space="preserve">VB-0515</t>
  </si>
  <si>
    <t xml:space="preserve">MA-2024-0515</t>
  </si>
  <si>
    <t xml:space="preserve">2025-08-08</t>
  </si>
  <si>
    <t xml:space="preserve">VB-0516</t>
  </si>
  <si>
    <t xml:space="preserve">2025-10-09</t>
  </si>
  <si>
    <t xml:space="preserve">VB-0517</t>
  </si>
  <si>
    <t xml:space="preserve">2025-10-26</t>
  </si>
  <si>
    <t xml:space="preserve">VB-0518</t>
  </si>
  <si>
    <t xml:space="preserve">VB-0519</t>
  </si>
  <si>
    <t xml:space="preserve">VB-0520</t>
  </si>
  <si>
    <t xml:space="preserve">VB-0521</t>
  </si>
  <si>
    <t xml:space="preserve">VB-0522</t>
  </si>
  <si>
    <t xml:space="preserve">2025-03-30</t>
  </si>
  <si>
    <t xml:space="preserve">VB-0523</t>
  </si>
  <si>
    <t xml:space="preserve">2024-11-09</t>
  </si>
  <si>
    <t xml:space="preserve">VB-0524</t>
  </si>
  <si>
    <t xml:space="preserve">VB-0601</t>
  </si>
  <si>
    <t xml:space="preserve">2025-05-24</t>
  </si>
  <si>
    <t xml:space="preserve">VB-0602</t>
  </si>
  <si>
    <t xml:space="preserve">2026-01-23</t>
  </si>
  <si>
    <t xml:space="preserve">VB-0603</t>
  </si>
  <si>
    <t xml:space="preserve">VB-0604</t>
  </si>
  <si>
    <t xml:space="preserve">VB-0605</t>
  </si>
  <si>
    <t xml:space="preserve">VB-0606</t>
  </si>
  <si>
    <t xml:space="preserve">2024-12-19</t>
  </si>
  <si>
    <t xml:space="preserve">VB-0607</t>
  </si>
  <si>
    <t xml:space="preserve">2025-02-04</t>
  </si>
  <si>
    <t xml:space="preserve">VB-0608</t>
  </si>
  <si>
    <t xml:space="preserve">2026-05-26</t>
  </si>
  <si>
    <t xml:space="preserve">VB-0609</t>
  </si>
  <si>
    <t xml:space="preserve">2025-08-29</t>
  </si>
  <si>
    <t xml:space="preserve">VB-0610</t>
  </si>
  <si>
    <t xml:space="preserve">2025-07-31</t>
  </si>
  <si>
    <t xml:space="preserve">VB-0611</t>
  </si>
  <si>
    <t xml:space="preserve">2025-10-21</t>
  </si>
  <si>
    <t xml:space="preserve">VB-0612</t>
  </si>
  <si>
    <t xml:space="preserve">VB-0613</t>
  </si>
  <si>
    <t xml:space="preserve">VB-0614</t>
  </si>
  <si>
    <t xml:space="preserve">VB-0615</t>
  </si>
  <si>
    <t xml:space="preserve">2025-10-19</t>
  </si>
  <si>
    <t xml:space="preserve">VB-0616</t>
  </si>
  <si>
    <t xml:space="preserve">2025-07-12</t>
  </si>
  <si>
    <t xml:space="preserve">VB-0617</t>
  </si>
  <si>
    <t xml:space="preserve">2025-01-26</t>
  </si>
  <si>
    <t xml:space="preserve">VB-0618</t>
  </si>
  <si>
    <t xml:space="preserve">2025-12-02</t>
  </si>
  <si>
    <t xml:space="preserve">VB-0619</t>
  </si>
  <si>
    <t xml:space="preserve">MA-2024-0619</t>
  </si>
  <si>
    <t xml:space="preserve">VB-0620</t>
  </si>
  <si>
    <t xml:space="preserve">VB-0621</t>
  </si>
  <si>
    <t xml:space="preserve">2025-04-20</t>
  </si>
  <si>
    <t xml:space="preserve">VB-0622</t>
  </si>
  <si>
    <t xml:space="preserve">2024-10-29</t>
  </si>
  <si>
    <t xml:space="preserve">VB-0623</t>
  </si>
  <si>
    <t xml:space="preserve">2026-02-27</t>
  </si>
  <si>
    <t xml:space="preserve">VB-0624</t>
  </si>
  <si>
    <t xml:space="preserve">2025-04-29</t>
  </si>
  <si>
    <t xml:space="preserve">VB-0701</t>
  </si>
  <si>
    <t xml:space="preserve">2026-04-13</t>
  </si>
  <si>
    <t xml:space="preserve">VB-0702</t>
  </si>
  <si>
    <t xml:space="preserve">VB-0703</t>
  </si>
  <si>
    <t xml:space="preserve">VB-0704</t>
  </si>
  <si>
    <t xml:space="preserve">2026-06-21</t>
  </si>
  <si>
    <t xml:space="preserve">VB-0705</t>
  </si>
  <si>
    <t xml:space="preserve">2024-11-16</t>
  </si>
  <si>
    <t xml:space="preserve">VB-0706</t>
  </si>
  <si>
    <t xml:space="preserve">VB-0707</t>
  </si>
  <si>
    <t xml:space="preserve">VB-0708</t>
  </si>
  <si>
    <t xml:space="preserve">2024-12-03</t>
  </si>
  <si>
    <t xml:space="preserve">VB-0709</t>
  </si>
  <si>
    <t xml:space="preserve">VB-0710</t>
  </si>
  <si>
    <t xml:space="preserve">2025-05-31</t>
  </si>
  <si>
    <t xml:space="preserve">VB-0711</t>
  </si>
  <si>
    <t xml:space="preserve">2025-05-12</t>
  </si>
  <si>
    <t xml:space="preserve">VB-0712</t>
  </si>
  <si>
    <t xml:space="preserve">2026-04-05</t>
  </si>
  <si>
    <t xml:space="preserve">VB-0713</t>
  </si>
  <si>
    <t xml:space="preserve">2025-10-10</t>
  </si>
  <si>
    <t xml:space="preserve">VB-0714</t>
  </si>
  <si>
    <t xml:space="preserve">2026-05-29</t>
  </si>
  <si>
    <t xml:space="preserve">VB-0715</t>
  </si>
  <si>
    <t xml:space="preserve">2025-12-19</t>
  </si>
  <si>
    <t xml:space="preserve">VB-0716</t>
  </si>
  <si>
    <t xml:space="preserve">VB-0717</t>
  </si>
  <si>
    <t xml:space="preserve">2025-03-06</t>
  </si>
  <si>
    <t xml:space="preserve">VB-0718</t>
  </si>
  <si>
    <t xml:space="preserve">2025-11-22</t>
  </si>
  <si>
    <t xml:space="preserve">VB-0719</t>
  </si>
  <si>
    <t xml:space="preserve">VB-0720</t>
  </si>
  <si>
    <t xml:space="preserve">2025-12-01</t>
  </si>
  <si>
    <t xml:space="preserve">VB-0721</t>
  </si>
  <si>
    <t xml:space="preserve">MA-2024-0721</t>
  </si>
  <si>
    <t xml:space="preserve">2025-12-13</t>
  </si>
  <si>
    <t xml:space="preserve">VB-0722</t>
  </si>
  <si>
    <t xml:space="preserve">VB-0723</t>
  </si>
  <si>
    <t xml:space="preserve">VB-0724</t>
  </si>
  <si>
    <t xml:space="preserve">VB-0801</t>
  </si>
  <si>
    <t xml:space="preserve">2026-05-05</t>
  </si>
  <si>
    <t xml:space="preserve">VB-0802</t>
  </si>
  <si>
    <t xml:space="preserve">2024-11-13</t>
  </si>
  <si>
    <t xml:space="preserve">VB-0803</t>
  </si>
  <si>
    <t xml:space="preserve">VB-0804</t>
  </si>
  <si>
    <t xml:space="preserve">MA-2024-0804</t>
  </si>
  <si>
    <t xml:space="preserve">VB-0805</t>
  </si>
  <si>
    <t xml:space="preserve">2025-11-29</t>
  </si>
  <si>
    <t xml:space="preserve">VB-0806</t>
  </si>
  <si>
    <t xml:space="preserve">2024-12-15</t>
  </si>
  <si>
    <t xml:space="preserve">VB-0807</t>
  </si>
  <si>
    <t xml:space="preserve">2025-01-30</t>
  </si>
  <si>
    <t xml:space="preserve">VB-0808</t>
  </si>
  <si>
    <t xml:space="preserve">VB-0809</t>
  </si>
  <si>
    <t xml:space="preserve">2026-06-25</t>
  </si>
  <si>
    <t xml:space="preserve">VB-0810</t>
  </si>
  <si>
    <t xml:space="preserve">MA-2024-0810</t>
  </si>
  <si>
    <t xml:space="preserve">2026-03-28</t>
  </si>
  <si>
    <t xml:space="preserve">VB-0811</t>
  </si>
  <si>
    <t xml:space="preserve">2025-01-10</t>
  </si>
  <si>
    <t xml:space="preserve">VB-0812</t>
  </si>
  <si>
    <t xml:space="preserve">2025-05-06</t>
  </si>
  <si>
    <t xml:space="preserve">VB-0813</t>
  </si>
  <si>
    <t xml:space="preserve">2025-12-20</t>
  </si>
  <si>
    <t xml:space="preserve">VB-0814</t>
  </si>
  <si>
    <t xml:space="preserve">2025-09-14</t>
  </si>
  <si>
    <t xml:space="preserve">VB-0815</t>
  </si>
  <si>
    <t xml:space="preserve">VB-0816</t>
  </si>
  <si>
    <t xml:space="preserve">VB-0817</t>
  </si>
  <si>
    <t xml:space="preserve">VB-0818</t>
  </si>
  <si>
    <t xml:space="preserve">2025-03-29</t>
  </si>
  <si>
    <t xml:space="preserve">VB-0819</t>
  </si>
  <si>
    <t xml:space="preserve">2026-05-24</t>
  </si>
  <si>
    <t xml:space="preserve">VB-0820</t>
  </si>
  <si>
    <t xml:space="preserve">2025-09-29</t>
  </si>
  <si>
    <t xml:space="preserve">VB-0821</t>
  </si>
  <si>
    <t xml:space="preserve">VB-0822</t>
  </si>
  <si>
    <t xml:space="preserve">VB-0823</t>
  </si>
  <si>
    <t xml:space="preserve">2025-11-13</t>
  </si>
  <si>
    <t xml:space="preserve">VB-0824</t>
  </si>
  <si>
    <t xml:space="preserve">VB-0901</t>
  </si>
  <si>
    <t xml:space="preserve">VB-0902</t>
  </si>
  <si>
    <t xml:space="preserve">2025-05-04</t>
  </si>
  <si>
    <t xml:space="preserve">VB-0903</t>
  </si>
  <si>
    <t xml:space="preserve">2025-12-08</t>
  </si>
  <si>
    <t xml:space="preserve">VB-0904</t>
  </si>
  <si>
    <t xml:space="preserve">VB-0905</t>
  </si>
  <si>
    <t xml:space="preserve">VB-0906</t>
  </si>
  <si>
    <t xml:space="preserve">2026-02-25</t>
  </si>
  <si>
    <t xml:space="preserve">VB-0907</t>
  </si>
  <si>
    <t xml:space="preserve">2025-03-24</t>
  </si>
  <si>
    <t xml:space="preserve">VB-0908</t>
  </si>
  <si>
    <t xml:space="preserve">2026-04-25</t>
  </si>
  <si>
    <t xml:space="preserve">VB-0909</t>
  </si>
  <si>
    <t xml:space="preserve">2025-06-19</t>
  </si>
  <si>
    <t xml:space="preserve">VB-0910</t>
  </si>
  <si>
    <t xml:space="preserve">VB-0911</t>
  </si>
  <si>
    <t xml:space="preserve">VB-0912</t>
  </si>
  <si>
    <t xml:space="preserve">2026-04-30</t>
  </si>
  <si>
    <t xml:space="preserve">VB-0913</t>
  </si>
  <si>
    <t xml:space="preserve">2024-11-29</t>
  </si>
  <si>
    <t xml:space="preserve">VB-0914</t>
  </si>
  <si>
    <t xml:space="preserve">VB-0915</t>
  </si>
  <si>
    <t xml:space="preserve">VB-0916</t>
  </si>
  <si>
    <t xml:space="preserve">MA-2024-0916</t>
  </si>
  <si>
    <t xml:space="preserve">VB-0917</t>
  </si>
  <si>
    <t xml:space="preserve">VB-0918</t>
  </si>
  <si>
    <t xml:space="preserve">2026-04-19</t>
  </si>
  <si>
    <t xml:space="preserve">VB-0919</t>
  </si>
  <si>
    <t xml:space="preserve">VB-0920</t>
  </si>
  <si>
    <t xml:space="preserve">2026-03-01</t>
  </si>
  <si>
    <t xml:space="preserve">VB-0921</t>
  </si>
  <si>
    <t xml:space="preserve">VB-0922</t>
  </si>
  <si>
    <t xml:space="preserve">VB-0923</t>
  </si>
  <si>
    <t xml:space="preserve">VB-0924</t>
  </si>
  <si>
    <t xml:space="preserve">VB-1001</t>
  </si>
  <si>
    <t xml:space="preserve">2025-08-30</t>
  </si>
  <si>
    <t xml:space="preserve">VB-1002</t>
  </si>
  <si>
    <t xml:space="preserve">VB-1003</t>
  </si>
  <si>
    <t xml:space="preserve">VB-1004</t>
  </si>
  <si>
    <t xml:space="preserve">VB-1005</t>
  </si>
  <si>
    <t xml:space="preserve">VB-1006</t>
  </si>
  <si>
    <t xml:space="preserve">2025-01-12</t>
  </si>
  <si>
    <t xml:space="preserve">VB-1007</t>
  </si>
  <si>
    <t xml:space="preserve">2025-04-14</t>
  </si>
  <si>
    <t xml:space="preserve">VB-1008</t>
  </si>
  <si>
    <t xml:space="preserve">2025-01-21</t>
  </si>
  <si>
    <t xml:space="preserve">VB-1009</t>
  </si>
  <si>
    <t xml:space="preserve">2025-04-27</t>
  </si>
  <si>
    <t xml:space="preserve">VB-1010</t>
  </si>
  <si>
    <t xml:space="preserve">VB-1011</t>
  </si>
  <si>
    <t xml:space="preserve">2026-01-01</t>
  </si>
  <si>
    <t xml:space="preserve">VB-1012</t>
  </si>
  <si>
    <t xml:space="preserve">VB-1013</t>
  </si>
  <si>
    <t xml:space="preserve">2025-02-01</t>
  </si>
  <si>
    <t xml:space="preserve">VB-1014</t>
  </si>
  <si>
    <t xml:space="preserve">VB-1015</t>
  </si>
  <si>
    <t xml:space="preserve">MA-2024-1015</t>
  </si>
  <si>
    <t xml:space="preserve">VB-1016</t>
  </si>
  <si>
    <t xml:space="preserve">2026-05-30</t>
  </si>
  <si>
    <t xml:space="preserve">VB-1017</t>
  </si>
  <si>
    <t xml:space="preserve">VB-1018</t>
  </si>
  <si>
    <t xml:space="preserve">2026-01-09</t>
  </si>
  <si>
    <t xml:space="preserve">VB-1019</t>
  </si>
  <si>
    <t xml:space="preserve">MA-2024-1019</t>
  </si>
  <si>
    <t xml:space="preserve">2026-01-14</t>
  </si>
  <si>
    <t xml:space="preserve">VB-1020</t>
  </si>
  <si>
    <t xml:space="preserve">VB-1021</t>
  </si>
  <si>
    <t xml:space="preserve">VB-1022</t>
  </si>
  <si>
    <t xml:space="preserve">2025-01-11</t>
  </si>
  <si>
    <t xml:space="preserve">VB-1023</t>
  </si>
  <si>
    <t xml:space="preserve">VB-1024</t>
  </si>
  <si>
    <t xml:space="preserve">EW-0101</t>
  </si>
  <si>
    <t xml:space="preserve">open</t>
  </si>
  <si>
    <t xml:space="preserve">XLarge</t>
  </si>
  <si>
    <t xml:space="preserve">OPEN</t>
  </si>
  <si>
    <t xml:space="preserve">Water, 100A Power, Pump-Out</t>
  </si>
  <si>
    <t xml:space="preserve">EW-0102</t>
  </si>
  <si>
    <t xml:space="preserve">EW-0103</t>
  </si>
  <si>
    <t xml:space="preserve">EW-0104</t>
  </si>
  <si>
    <t xml:space="preserve">EW-0105</t>
  </si>
  <si>
    <t xml:space="preserve">2026-02-10</t>
  </si>
  <si>
    <t xml:space="preserve">EW-0106</t>
  </si>
  <si>
    <t xml:space="preserve">Large</t>
  </si>
  <si>
    <t xml:space="preserve">Water, 50A Power, Pump-Out</t>
  </si>
  <si>
    <t xml:space="preserve">EW-0107</t>
  </si>
  <si>
    <t xml:space="preserve">2025-10-03</t>
  </si>
  <si>
    <t xml:space="preserve">EW-0108</t>
  </si>
  <si>
    <t xml:space="preserve">EW-0109</t>
  </si>
  <si>
    <t xml:space="preserve">EW-0110</t>
  </si>
  <si>
    <t xml:space="preserve">EW-0111</t>
  </si>
  <si>
    <t xml:space="preserve">2026-01-20</t>
  </si>
  <si>
    <t xml:space="preserve">EW-0112</t>
  </si>
  <si>
    <t xml:space="preserve">EW-0113</t>
  </si>
  <si>
    <t xml:space="preserve">2026-02-01</t>
  </si>
  <si>
    <t xml:space="preserve">EW-0114</t>
  </si>
  <si>
    <t xml:space="preserve">2024-11-26</t>
  </si>
  <si>
    <t xml:space="preserve">EW-0115</t>
  </si>
  <si>
    <t xml:space="preserve">EW-0116</t>
  </si>
  <si>
    <t xml:space="preserve">2024-10-02</t>
  </si>
  <si>
    <t xml:space="preserve">EW-0117</t>
  </si>
  <si>
    <t xml:space="preserve">2026-01-10</t>
  </si>
  <si>
    <t xml:space="preserve">EW-0118</t>
  </si>
  <si>
    <t xml:space="preserve">EW-0119</t>
  </si>
  <si>
    <t xml:space="preserve">EW-0120</t>
  </si>
  <si>
    <t xml:space="preserve">EW-0121</t>
  </si>
  <si>
    <t xml:space="preserve">2025-05-05</t>
  </si>
  <si>
    <t xml:space="preserve">EW-0122</t>
  </si>
  <si>
    <t xml:space="preserve">2026-05-22</t>
  </si>
  <si>
    <t xml:space="preserve">EW-0123</t>
  </si>
  <si>
    <t xml:space="preserve">EW-0124</t>
  </si>
  <si>
    <t xml:space="preserve">2025-03-12</t>
  </si>
  <si>
    <t xml:space="preserve">EW-0201</t>
  </si>
  <si>
    <t xml:space="preserve">2026-02-19</t>
  </si>
  <si>
    <t xml:space="preserve">EW-0202</t>
  </si>
  <si>
    <t xml:space="preserve">2025-03-31</t>
  </si>
  <si>
    <t xml:space="preserve">EW-0203</t>
  </si>
  <si>
    <t xml:space="preserve">EW-0204</t>
  </si>
  <si>
    <t xml:space="preserve">EW-0205</t>
  </si>
  <si>
    <t xml:space="preserve">2024-10-18</t>
  </si>
  <si>
    <t xml:space="preserve">EW-0206</t>
  </si>
  <si>
    <t xml:space="preserve">2025-11-14</t>
  </si>
  <si>
    <t xml:space="preserve">EW-0207</t>
  </si>
  <si>
    <t xml:space="preserve">2025-05-14</t>
  </si>
  <si>
    <t xml:space="preserve">EW-0208</t>
  </si>
  <si>
    <t xml:space="preserve">EW-0209</t>
  </si>
  <si>
    <t xml:space="preserve">2026-05-10</t>
  </si>
  <si>
    <t xml:space="preserve">EW-0210</t>
  </si>
  <si>
    <t xml:space="preserve">EW-0211</t>
  </si>
  <si>
    <t xml:space="preserve">2025-03-16</t>
  </si>
  <si>
    <t xml:space="preserve">EW-0212</t>
  </si>
  <si>
    <t xml:space="preserve">EW-0213</t>
  </si>
  <si>
    <t xml:space="preserve">2026-04-07</t>
  </si>
  <si>
    <t xml:space="preserve">EW-0214</t>
  </si>
  <si>
    <t xml:space="preserve">2026-06-23</t>
  </si>
  <si>
    <t xml:space="preserve">EW-0215</t>
  </si>
  <si>
    <t xml:space="preserve">EW-0216</t>
  </si>
  <si>
    <t xml:space="preserve">EW-0217</t>
  </si>
  <si>
    <t xml:space="preserve">2024-12-17</t>
  </si>
  <si>
    <t xml:space="preserve">EW-0218</t>
  </si>
  <si>
    <t xml:space="preserve">EW-0219</t>
  </si>
  <si>
    <t xml:space="preserve">2025-04-22</t>
  </si>
  <si>
    <t xml:space="preserve">EW-0220</t>
  </si>
  <si>
    <t xml:space="preserve">EW-0221</t>
  </si>
  <si>
    <t xml:space="preserve">EW-0222</t>
  </si>
  <si>
    <t xml:space="preserve">2026-01-21</t>
  </si>
  <si>
    <t xml:space="preserve">EW-0223</t>
  </si>
  <si>
    <t xml:space="preserve">EW-0224</t>
  </si>
  <si>
    <t xml:space="preserve">EW-0301</t>
  </si>
  <si>
    <t xml:space="preserve">2026-05-08</t>
  </si>
  <si>
    <t xml:space="preserve">EW-0302</t>
  </si>
  <si>
    <t xml:space="preserve">EW-0303</t>
  </si>
  <si>
    <t xml:space="preserve">2026-05-31</t>
  </si>
  <si>
    <t xml:space="preserve">EW-0304</t>
  </si>
  <si>
    <t xml:space="preserve">EW-0305</t>
  </si>
  <si>
    <t xml:space="preserve">2026-01-12</t>
  </si>
  <si>
    <t xml:space="preserve">EW-0306</t>
  </si>
  <si>
    <t xml:space="preserve">EW-0307</t>
  </si>
  <si>
    <t xml:space="preserve">EW-0308</t>
  </si>
  <si>
    <t xml:space="preserve">2026-01-31</t>
  </si>
  <si>
    <t xml:space="preserve">EW-0309</t>
  </si>
  <si>
    <t xml:space="preserve">2025-08-09</t>
  </si>
  <si>
    <t xml:space="preserve">EW-0310</t>
  </si>
  <si>
    <t xml:space="preserve">EW-0311</t>
  </si>
  <si>
    <t xml:space="preserve">EW-0312</t>
  </si>
  <si>
    <t xml:space="preserve">EW-0313</t>
  </si>
  <si>
    <t xml:space="preserve">EW-0314</t>
  </si>
  <si>
    <t xml:space="preserve">EW-0315</t>
  </si>
  <si>
    <t xml:space="preserve">2025-10-13</t>
  </si>
  <si>
    <t xml:space="preserve">EW-0316</t>
  </si>
  <si>
    <t xml:space="preserve">2024-12-26</t>
  </si>
  <si>
    <t xml:space="preserve">EW-0317</t>
  </si>
  <si>
    <t xml:space="preserve">EW-0318</t>
  </si>
  <si>
    <t xml:space="preserve">EW-0319</t>
  </si>
  <si>
    <t xml:space="preserve">EW-0320</t>
  </si>
  <si>
    <t xml:space="preserve">EW-0321</t>
  </si>
  <si>
    <t xml:space="preserve">EW-0322</t>
  </si>
  <si>
    <t xml:space="preserve">EW-0323</t>
  </si>
  <si>
    <t xml:space="preserve">EW-0324</t>
  </si>
  <si>
    <t xml:space="preserve">2025-07-29</t>
  </si>
  <si>
    <t xml:space="preserve">EW-0401</t>
  </si>
  <si>
    <t xml:space="preserve">2026-04-20</t>
  </si>
  <si>
    <t xml:space="preserve">EW-0402</t>
  </si>
  <si>
    <t xml:space="preserve">2025-02-10</t>
  </si>
  <si>
    <t xml:space="preserve">EW-0403</t>
  </si>
  <si>
    <t xml:space="preserve">2025-03-25</t>
  </si>
  <si>
    <t xml:space="preserve">EW-0404</t>
  </si>
  <si>
    <t xml:space="preserve">EW-0405</t>
  </si>
  <si>
    <t xml:space="preserve">2025-11-11</t>
  </si>
  <si>
    <t xml:space="preserve">EW-0406</t>
  </si>
  <si>
    <t xml:space="preserve">EW-0407</t>
  </si>
  <si>
    <t xml:space="preserve">2026-01-17</t>
  </si>
  <si>
    <t xml:space="preserve">EW-0408</t>
  </si>
  <si>
    <t xml:space="preserve">2026-01-11</t>
  </si>
  <si>
    <t xml:space="preserve">EW-0409</t>
  </si>
  <si>
    <t xml:space="preserve">EW-0410</t>
  </si>
  <si>
    <t xml:space="preserve">EW-0411</t>
  </si>
  <si>
    <t xml:space="preserve">EW-0412</t>
  </si>
  <si>
    <t xml:space="preserve">2026-04-16</t>
  </si>
  <si>
    <t xml:space="preserve">EW-0413</t>
  </si>
  <si>
    <t xml:space="preserve">2025-10-08</t>
  </si>
  <si>
    <t xml:space="preserve">EW-0414</t>
  </si>
  <si>
    <t xml:space="preserve">EW-0415</t>
  </si>
  <si>
    <t xml:space="preserve">2026-04-03</t>
  </si>
  <si>
    <t xml:space="preserve">EW-0416</t>
  </si>
  <si>
    <t xml:space="preserve">2026-01-28</t>
  </si>
  <si>
    <t xml:space="preserve">EW-0417</t>
  </si>
  <si>
    <t xml:space="preserve">EW-0418</t>
  </si>
  <si>
    <t xml:space="preserve">EW-0419</t>
  </si>
  <si>
    <t xml:space="preserve">EW-0420</t>
  </si>
  <si>
    <t xml:space="preserve">2025-07-17</t>
  </si>
  <si>
    <t xml:space="preserve">EW-0421</t>
  </si>
  <si>
    <t xml:space="preserve">2026-02-24</t>
  </si>
  <si>
    <t xml:space="preserve">EW-0422</t>
  </si>
  <si>
    <t xml:space="preserve">EW-0423</t>
  </si>
  <si>
    <t xml:space="preserve">EW-0424</t>
  </si>
  <si>
    <t xml:space="preserve">EW-0501</t>
  </si>
  <si>
    <t xml:space="preserve">EW-0502</t>
  </si>
  <si>
    <t xml:space="preserve">2026-04-14</t>
  </si>
  <si>
    <t xml:space="preserve">EW-0503</t>
  </si>
  <si>
    <t xml:space="preserve">EW-0504</t>
  </si>
  <si>
    <t xml:space="preserve">EW-0505</t>
  </si>
  <si>
    <t xml:space="preserve">EW-0506</t>
  </si>
  <si>
    <t xml:space="preserve">2025-10-18</t>
  </si>
  <si>
    <t xml:space="preserve">EW-0507</t>
  </si>
  <si>
    <t xml:space="preserve">2025-03-07</t>
  </si>
  <si>
    <t xml:space="preserve">EW-0508</t>
  </si>
  <si>
    <t xml:space="preserve">EW-0509</t>
  </si>
  <si>
    <t xml:space="preserve">EW-0510</t>
  </si>
  <si>
    <t xml:space="preserve">EW-0511</t>
  </si>
  <si>
    <t xml:space="preserve">EW-0512</t>
  </si>
  <si>
    <t xml:space="preserve">EW-0513</t>
  </si>
  <si>
    <t xml:space="preserve">2025-07-15</t>
  </si>
  <si>
    <t xml:space="preserve">EW-0514</t>
  </si>
  <si>
    <t xml:space="preserve">EW-0515</t>
  </si>
  <si>
    <t xml:space="preserve">EW-0516</t>
  </si>
  <si>
    <t xml:space="preserve">EW-0517</t>
  </si>
  <si>
    <t xml:space="preserve">2025-04-16</t>
  </si>
  <si>
    <t xml:space="preserve">EW-0518</t>
  </si>
  <si>
    <t xml:space="preserve">EW-0519</t>
  </si>
  <si>
    <t xml:space="preserve">EW-0520</t>
  </si>
  <si>
    <t xml:space="preserve">2025-01-01</t>
  </si>
  <si>
    <t xml:space="preserve">EW-0521</t>
  </si>
  <si>
    <t xml:space="preserve">2026-06-07</t>
  </si>
  <si>
    <t xml:space="preserve">EW-0522</t>
  </si>
  <si>
    <t xml:space="preserve">EW-0523</t>
  </si>
  <si>
    <t xml:space="preserve">EW-0524</t>
  </si>
  <si>
    <t xml:space="preserve">SALISH SHORE</t>
  </si>
  <si>
    <t xml:space="preserve">2026-01-03</t>
  </si>
  <si>
    <t xml:space="preserve">EW-0601</t>
  </si>
  <si>
    <t xml:space="preserve">2025-08-02</t>
  </si>
  <si>
    <t xml:space="preserve">EW-0602</t>
  </si>
  <si>
    <t xml:space="preserve">2025-03-09</t>
  </si>
  <si>
    <t xml:space="preserve">EW-0603</t>
  </si>
  <si>
    <t xml:space="preserve">2024-11-01</t>
  </si>
  <si>
    <t xml:space="preserve">EW-0604</t>
  </si>
  <si>
    <t xml:space="preserve">2026-01-13</t>
  </si>
  <si>
    <t xml:space="preserve">EW-0605</t>
  </si>
  <si>
    <t xml:space="preserve">EW-0606</t>
  </si>
  <si>
    <t xml:space="preserve">EW-0607</t>
  </si>
  <si>
    <t xml:space="preserve">EW-0608</t>
  </si>
  <si>
    <t xml:space="preserve">2025-02-06</t>
  </si>
  <si>
    <t xml:space="preserve">EW-0609</t>
  </si>
  <si>
    <t xml:space="preserve">EW-0610</t>
  </si>
  <si>
    <t xml:space="preserve">EW-0611</t>
  </si>
  <si>
    <t xml:space="preserve">EW-0612</t>
  </si>
  <si>
    <t xml:space="preserve">2025-12-28</t>
  </si>
  <si>
    <t xml:space="preserve">EW-0613</t>
  </si>
  <si>
    <t xml:space="preserve">EW-0614</t>
  </si>
  <si>
    <t xml:space="preserve">EW-0615</t>
  </si>
  <si>
    <t xml:space="preserve">EW-0616</t>
  </si>
  <si>
    <t xml:space="preserve">2026-05-04</t>
  </si>
  <si>
    <t xml:space="preserve">EW-0617</t>
  </si>
  <si>
    <t xml:space="preserve">EW-0618</t>
  </si>
  <si>
    <t xml:space="preserve">EW-0619</t>
  </si>
  <si>
    <t xml:space="preserve">EW-0620</t>
  </si>
  <si>
    <t xml:space="preserve">EW-0621</t>
  </si>
  <si>
    <t xml:space="preserve">2026-03-13</t>
  </si>
  <si>
    <t xml:space="preserve">EW-0622</t>
  </si>
  <si>
    <t xml:space="preserve">EW-0623</t>
  </si>
  <si>
    <t xml:space="preserve">EW-0624</t>
  </si>
  <si>
    <t xml:space="preserve">EW-0701</t>
  </si>
  <si>
    <t xml:space="preserve">2025-09-01</t>
  </si>
  <si>
    <t xml:space="preserve">EW-0702</t>
  </si>
  <si>
    <t xml:space="preserve">EW-0703</t>
  </si>
  <si>
    <t xml:space="preserve">EW-0704</t>
  </si>
  <si>
    <t xml:space="preserve">2025-01-18</t>
  </si>
  <si>
    <t xml:space="preserve">EW-0705</t>
  </si>
  <si>
    <t xml:space="preserve">EW-0706</t>
  </si>
  <si>
    <t xml:space="preserve">2024-10-23</t>
  </si>
  <si>
    <t xml:space="preserve">EW-0707</t>
  </si>
  <si>
    <t xml:space="preserve">EW-0708</t>
  </si>
  <si>
    <t xml:space="preserve">EW-0709</t>
  </si>
  <si>
    <t xml:space="preserve">EW-0710</t>
  </si>
  <si>
    <t xml:space="preserve">EW-0711</t>
  </si>
  <si>
    <t xml:space="preserve">EW-0712</t>
  </si>
  <si>
    <t xml:space="preserve">EW-0713</t>
  </si>
  <si>
    <t xml:space="preserve">EW-0714</t>
  </si>
  <si>
    <t xml:space="preserve">EW-0715</t>
  </si>
  <si>
    <t xml:space="preserve">2025-03-15</t>
  </si>
  <si>
    <t xml:space="preserve">EW-0716</t>
  </si>
  <si>
    <t xml:space="preserve">EW-0717</t>
  </si>
  <si>
    <t xml:space="preserve">2026-03-10</t>
  </si>
  <si>
    <t xml:space="preserve">EW-0718</t>
  </si>
  <si>
    <t xml:space="preserve">EW-0719</t>
  </si>
  <si>
    <t xml:space="preserve">EW-0720</t>
  </si>
  <si>
    <t xml:space="preserve">EW-0721</t>
  </si>
  <si>
    <t xml:space="preserve">EW-0722</t>
  </si>
  <si>
    <t xml:space="preserve">EW-0723</t>
  </si>
  <si>
    <t xml:space="preserve">EW-0724</t>
  </si>
  <si>
    <t xml:space="preserve">2025-08-31</t>
  </si>
  <si>
    <t xml:space="preserve">EW-0801</t>
  </si>
  <si>
    <t xml:space="preserve">2025-05-01</t>
  </si>
  <si>
    <t xml:space="preserve">EW-0802</t>
  </si>
  <si>
    <t xml:space="preserve">EW-0803</t>
  </si>
  <si>
    <t xml:space="preserve">EW-0804</t>
  </si>
  <si>
    <t xml:space="preserve">2025-10-15</t>
  </si>
  <si>
    <t xml:space="preserve">EW-0805</t>
  </si>
  <si>
    <t xml:space="preserve">EW-0806</t>
  </si>
  <si>
    <t xml:space="preserve">2026-03-07</t>
  </si>
  <si>
    <t xml:space="preserve">EW-0807</t>
  </si>
  <si>
    <t xml:space="preserve">2026-03-03</t>
  </si>
  <si>
    <t xml:space="preserve">EW-0808</t>
  </si>
  <si>
    <t xml:space="preserve">EW-0809</t>
  </si>
  <si>
    <t xml:space="preserve">EW-0810</t>
  </si>
  <si>
    <t xml:space="preserve">EW-0811</t>
  </si>
  <si>
    <t xml:space="preserve">EW-0812</t>
  </si>
  <si>
    <t xml:space="preserve">EW-0813</t>
  </si>
  <si>
    <t xml:space="preserve">EW-0814</t>
  </si>
  <si>
    <t xml:space="preserve">EW-0815</t>
  </si>
  <si>
    <t xml:space="preserve">EW-0816</t>
  </si>
  <si>
    <t xml:space="preserve">2025-11-18</t>
  </si>
  <si>
    <t xml:space="preserve">EW-0817</t>
  </si>
  <si>
    <t xml:space="preserve">2025-12-09</t>
  </si>
  <si>
    <t xml:space="preserve">EW-0818</t>
  </si>
  <si>
    <t xml:space="preserve">2025-04-05</t>
  </si>
  <si>
    <t xml:space="preserve">EW-0819</t>
  </si>
  <si>
    <t xml:space="preserve">2024-11-10</t>
  </si>
  <si>
    <t xml:space="preserve">EW-0820</t>
  </si>
  <si>
    <t xml:space="preserve">2025-04-25</t>
  </si>
  <si>
    <t xml:space="preserve">EW-0821</t>
  </si>
  <si>
    <t xml:space="preserve">2026-03-23</t>
  </si>
  <si>
    <t xml:space="preserve">EW-0822</t>
  </si>
  <si>
    <t xml:space="preserve">EW-0823</t>
  </si>
  <si>
    <t xml:space="preserve">EW-0824</t>
  </si>
  <si>
    <t xml:space="preserve">2026-02-08</t>
  </si>
  <si>
    <t xml:space="preserve">EW-0901</t>
  </si>
  <si>
    <t xml:space="preserve">EW-0902</t>
  </si>
  <si>
    <t xml:space="preserve">2026-04-27</t>
  </si>
  <si>
    <t xml:space="preserve">EW-0903</t>
  </si>
  <si>
    <t xml:space="preserve">EW-0904</t>
  </si>
  <si>
    <t xml:space="preserve">2025-07-13</t>
  </si>
  <si>
    <t xml:space="preserve">EW-0905</t>
  </si>
  <si>
    <t xml:space="preserve">2025-12-05</t>
  </si>
  <si>
    <t xml:space="preserve">EW-0906</t>
  </si>
  <si>
    <t xml:space="preserve">2026-06-01</t>
  </si>
  <si>
    <t xml:space="preserve">EW-0907</t>
  </si>
  <si>
    <t xml:space="preserve">EW-0908</t>
  </si>
  <si>
    <t xml:space="preserve">2026-01-05</t>
  </si>
  <si>
    <t xml:space="preserve">EW-0909</t>
  </si>
  <si>
    <t xml:space="preserve">EW-0910</t>
  </si>
  <si>
    <t xml:space="preserve">EW-0911</t>
  </si>
  <si>
    <t xml:space="preserve">2025-04-18</t>
  </si>
  <si>
    <t xml:space="preserve">EW-0912</t>
  </si>
  <si>
    <t xml:space="preserve">EW-0913</t>
  </si>
  <si>
    <t xml:space="preserve">EW-0914</t>
  </si>
  <si>
    <t xml:space="preserve">EW-0915</t>
  </si>
  <si>
    <t xml:space="preserve">EW-0916</t>
  </si>
  <si>
    <t xml:space="preserve">EW-0917</t>
  </si>
  <si>
    <t xml:space="preserve">EW-0918</t>
  </si>
  <si>
    <t xml:space="preserve">2026-02-12</t>
  </si>
  <si>
    <t xml:space="preserve">EW-0919</t>
  </si>
  <si>
    <t xml:space="preserve">EW-0920</t>
  </si>
  <si>
    <t xml:space="preserve">2026-04-15</t>
  </si>
  <si>
    <t xml:space="preserve">EW-0921</t>
  </si>
  <si>
    <t xml:space="preserve">EW-0922</t>
  </si>
  <si>
    <t xml:space="preserve">2024-12-09</t>
  </si>
  <si>
    <t xml:space="preserve">EW-0923</t>
  </si>
  <si>
    <t xml:space="preserve">2026-06-18</t>
  </si>
  <si>
    <t xml:space="preserve">EW-0924</t>
  </si>
  <si>
    <t xml:space="preserve">EW-1001</t>
  </si>
  <si>
    <t xml:space="preserve">EW-1002</t>
  </si>
  <si>
    <t xml:space="preserve">EW-1003</t>
  </si>
  <si>
    <t xml:space="preserve">2024-12-02</t>
  </si>
  <si>
    <t xml:space="preserve">EW-1004</t>
  </si>
  <si>
    <t xml:space="preserve">EW-1005</t>
  </si>
  <si>
    <t xml:space="preserve">EW-1006</t>
  </si>
  <si>
    <t xml:space="preserve">2026-04-21</t>
  </si>
  <si>
    <t xml:space="preserve">EW-1007</t>
  </si>
  <si>
    <t xml:space="preserve">EW-1008</t>
  </si>
  <si>
    <t xml:space="preserve">EW-1009</t>
  </si>
  <si>
    <t xml:space="preserve">2025-07-10</t>
  </si>
  <si>
    <t xml:space="preserve">EW-1010</t>
  </si>
  <si>
    <t xml:space="preserve">2025-02-25</t>
  </si>
  <si>
    <t xml:space="preserve">EW-1011</t>
  </si>
  <si>
    <t xml:space="preserve">EW-1012</t>
  </si>
  <si>
    <t xml:space="preserve">2025-12-27</t>
  </si>
  <si>
    <t xml:space="preserve">EW-1013</t>
  </si>
  <si>
    <t xml:space="preserve">EW-1014</t>
  </si>
  <si>
    <t xml:space="preserve">EW-1015</t>
  </si>
  <si>
    <t xml:space="preserve">EW-1016</t>
  </si>
  <si>
    <t xml:space="preserve">EW-1017</t>
  </si>
  <si>
    <t xml:space="preserve">EW-1018</t>
  </si>
  <si>
    <t xml:space="preserve">EW-1019</t>
  </si>
  <si>
    <t xml:space="preserve">EW-1020</t>
  </si>
  <si>
    <t xml:space="preserve">EW-1021</t>
  </si>
  <si>
    <t xml:space="preserve">2024-10-08</t>
  </si>
  <si>
    <t xml:space="preserve">EW-1022</t>
  </si>
  <si>
    <t xml:space="preserve">2026-02-05</t>
  </si>
  <si>
    <t xml:space="preserve">EW-1023</t>
  </si>
  <si>
    <t xml:space="preserve">2024-12-11</t>
  </si>
  <si>
    <t xml:space="preserve">EW-1024</t>
  </si>
  <si>
    <t xml:space="preserve">2026-01-18</t>
  </si>
  <si>
    <t xml:space="preserve">GW-0101</t>
  </si>
  <si>
    <t xml:space="preserve">GW-0102</t>
  </si>
  <si>
    <t xml:space="preserve">2024-10-13</t>
  </si>
  <si>
    <t xml:space="preserve">GW-0103</t>
  </si>
  <si>
    <t xml:space="preserve">GW-0104</t>
  </si>
  <si>
    <t xml:space="preserve">GW-0105</t>
  </si>
  <si>
    <t xml:space="preserve">GW-0106</t>
  </si>
  <si>
    <t xml:space="preserve">GW-0107</t>
  </si>
  <si>
    <t xml:space="preserve">2025-05-08</t>
  </si>
  <si>
    <t xml:space="preserve">GW-0108</t>
  </si>
  <si>
    <t xml:space="preserve">2026-01-19</t>
  </si>
  <si>
    <t xml:space="preserve">GW-0109</t>
  </si>
  <si>
    <t xml:space="preserve">2025-11-08</t>
  </si>
  <si>
    <t xml:space="preserve">GW-0110</t>
  </si>
  <si>
    <t xml:space="preserve">GW-0111</t>
  </si>
  <si>
    <t xml:space="preserve">GW-0112</t>
  </si>
  <si>
    <t xml:space="preserve">GW-0113</t>
  </si>
  <si>
    <t xml:space="preserve">2025-08-04</t>
  </si>
  <si>
    <t xml:space="preserve">GW-0114</t>
  </si>
  <si>
    <t xml:space="preserve">GW-0115</t>
  </si>
  <si>
    <t xml:space="preserve">GW-0116</t>
  </si>
  <si>
    <t xml:space="preserve">GW-0117</t>
  </si>
  <si>
    <t xml:space="preserve">2025-08-18</t>
  </si>
  <si>
    <t xml:space="preserve">GW-0118</t>
  </si>
  <si>
    <t xml:space="preserve">2024-11-14</t>
  </si>
  <si>
    <t xml:space="preserve">GW-0119</t>
  </si>
  <si>
    <t xml:space="preserve">2024-11-08</t>
  </si>
  <si>
    <t xml:space="preserve">GW-0120</t>
  </si>
  <si>
    <t xml:space="preserve">GW-0121</t>
  </si>
  <si>
    <t xml:space="preserve">GW-0122</t>
  </si>
  <si>
    <t xml:space="preserve">GW-0123</t>
  </si>
  <si>
    <t xml:space="preserve">2025-10-16</t>
  </si>
  <si>
    <t xml:space="preserve">GW-0201</t>
  </si>
  <si>
    <t xml:space="preserve">2024-12-25</t>
  </si>
  <si>
    <t xml:space="preserve">GW-0202</t>
  </si>
  <si>
    <t xml:space="preserve">GW-0203</t>
  </si>
  <si>
    <t xml:space="preserve">2025-10-12</t>
  </si>
  <si>
    <t xml:space="preserve">GW-0204</t>
  </si>
  <si>
    <t xml:space="preserve">2025-05-15</t>
  </si>
  <si>
    <t xml:space="preserve">GW-0205</t>
  </si>
  <si>
    <t xml:space="preserve">GW-0206</t>
  </si>
  <si>
    <t xml:space="preserve">GW-0207</t>
  </si>
  <si>
    <t xml:space="preserve">GW-0208</t>
  </si>
  <si>
    <t xml:space="preserve">GW-0209</t>
  </si>
  <si>
    <t xml:space="preserve">2025-05-26</t>
  </si>
  <si>
    <t xml:space="preserve">GW-0210</t>
  </si>
  <si>
    <t xml:space="preserve">GW-0211</t>
  </si>
  <si>
    <t xml:space="preserve">GW-0212</t>
  </si>
  <si>
    <t xml:space="preserve">2025-02-09</t>
  </si>
  <si>
    <t xml:space="preserve">GW-0213</t>
  </si>
  <si>
    <t xml:space="preserve">2025-08-25</t>
  </si>
  <si>
    <t xml:space="preserve">GW-0214</t>
  </si>
  <si>
    <t xml:space="preserve">GW-0215</t>
  </si>
  <si>
    <t xml:space="preserve">GW-0216</t>
  </si>
  <si>
    <t xml:space="preserve">GW-0217</t>
  </si>
  <si>
    <t xml:space="preserve">2025-09-21</t>
  </si>
  <si>
    <t xml:space="preserve">GW-0218</t>
  </si>
  <si>
    <t xml:space="preserve">GW-0219</t>
  </si>
  <si>
    <t xml:space="preserve">2025-09-18</t>
  </si>
  <si>
    <t xml:space="preserve">GW-0220</t>
  </si>
  <si>
    <t xml:space="preserve">GW-0221</t>
  </si>
  <si>
    <t xml:space="preserve">2025-02-26</t>
  </si>
  <si>
    <t xml:space="preserve">GW-0222</t>
  </si>
  <si>
    <t xml:space="preserve">GW-0223</t>
  </si>
  <si>
    <t xml:space="preserve">2025-06-27</t>
  </si>
  <si>
    <t xml:space="preserve">GW-0301</t>
  </si>
  <si>
    <t xml:space="preserve">2026-06-20</t>
  </si>
  <si>
    <t xml:space="preserve">GW-0302</t>
  </si>
  <si>
    <t xml:space="preserve">2025-05-02</t>
  </si>
  <si>
    <t xml:space="preserve">GW-0303</t>
  </si>
  <si>
    <t xml:space="preserve">2025-07-20</t>
  </si>
  <si>
    <t xml:space="preserve">GW-0304</t>
  </si>
  <si>
    <t xml:space="preserve">2025-02-15</t>
  </si>
  <si>
    <t xml:space="preserve">GW-0305</t>
  </si>
  <si>
    <t xml:space="preserve">GW-0306</t>
  </si>
  <si>
    <t xml:space="preserve">GW-0307</t>
  </si>
  <si>
    <t xml:space="preserve">GW-0308</t>
  </si>
  <si>
    <t xml:space="preserve">2025-09-23</t>
  </si>
  <si>
    <t xml:space="preserve">GW-0309</t>
  </si>
  <si>
    <t xml:space="preserve">GW-0310</t>
  </si>
  <si>
    <t xml:space="preserve">GW-0311</t>
  </si>
  <si>
    <t xml:space="preserve">GW-0312</t>
  </si>
  <si>
    <t xml:space="preserve">2025-08-10</t>
  </si>
  <si>
    <t xml:space="preserve">GW-0313</t>
  </si>
  <si>
    <t xml:space="preserve">GW-0314</t>
  </si>
  <si>
    <t xml:space="preserve">2026-06-05</t>
  </si>
  <si>
    <t xml:space="preserve">GW-0315</t>
  </si>
  <si>
    <t xml:space="preserve">2025-11-24</t>
  </si>
  <si>
    <t xml:space="preserve">GW-0316</t>
  </si>
  <si>
    <t xml:space="preserve">2025-12-22</t>
  </si>
  <si>
    <t xml:space="preserve">GW-0317</t>
  </si>
  <si>
    <t xml:space="preserve">GW-0318</t>
  </si>
  <si>
    <t xml:space="preserve">2026-03-25</t>
  </si>
  <si>
    <t xml:space="preserve">GW-0319</t>
  </si>
  <si>
    <t xml:space="preserve">GW-0320</t>
  </si>
  <si>
    <t xml:space="preserve">GW-0321</t>
  </si>
  <si>
    <t xml:space="preserve">2025-08-11</t>
  </si>
  <si>
    <t xml:space="preserve">GW-0322</t>
  </si>
  <si>
    <t xml:space="preserve">2025-07-19</t>
  </si>
  <si>
    <t xml:space="preserve">GW-0323</t>
  </si>
  <si>
    <t xml:space="preserve">GW-0401</t>
  </si>
  <si>
    <t xml:space="preserve">2025-08-28</t>
  </si>
  <si>
    <t xml:space="preserve">GW-0402</t>
  </si>
  <si>
    <t xml:space="preserve">GW-0403</t>
  </si>
  <si>
    <t xml:space="preserve">GW-0404</t>
  </si>
  <si>
    <t xml:space="preserve">GW-0405</t>
  </si>
  <si>
    <t xml:space="preserve">GW-0406</t>
  </si>
  <si>
    <t xml:space="preserve">GW-0407</t>
  </si>
  <si>
    <t xml:space="preserve">GW-0408</t>
  </si>
  <si>
    <t xml:space="preserve">GW-0409</t>
  </si>
  <si>
    <t xml:space="preserve">GW-0410</t>
  </si>
  <si>
    <t xml:space="preserve">GW-0411</t>
  </si>
  <si>
    <t xml:space="preserve">GW-0412</t>
  </si>
  <si>
    <t xml:space="preserve">GW-0413</t>
  </si>
  <si>
    <t xml:space="preserve">GW-0414</t>
  </si>
  <si>
    <t xml:space="preserve">GW-0415</t>
  </si>
  <si>
    <t xml:space="preserve">2026-02-17</t>
  </si>
  <si>
    <t xml:space="preserve">GW-0416</t>
  </si>
  <si>
    <t xml:space="preserve">GW-0417</t>
  </si>
  <si>
    <t xml:space="preserve">2026-02-11</t>
  </si>
  <si>
    <t xml:space="preserve">GW-0418</t>
  </si>
  <si>
    <t xml:space="preserve">GW-0419</t>
  </si>
  <si>
    <t xml:space="preserve">GW-0420</t>
  </si>
  <si>
    <t xml:space="preserve">GW-0421</t>
  </si>
  <si>
    <t xml:space="preserve">GW-0422</t>
  </si>
  <si>
    <t xml:space="preserve">GW-0423</t>
  </si>
  <si>
    <t xml:space="preserve">GW-0501</t>
  </si>
  <si>
    <t xml:space="preserve">GW-0502</t>
  </si>
  <si>
    <t xml:space="preserve">2025-06-26</t>
  </si>
  <si>
    <t xml:space="preserve">GW-0503</t>
  </si>
  <si>
    <t xml:space="preserve">2025-02-11</t>
  </si>
  <si>
    <t xml:space="preserve">GW-0504</t>
  </si>
  <si>
    <t xml:space="preserve">2025-09-04</t>
  </si>
  <si>
    <t xml:space="preserve">GW-0505</t>
  </si>
  <si>
    <t xml:space="preserve">2026-04-11</t>
  </si>
  <si>
    <t xml:space="preserve">GW-0506</t>
  </si>
  <si>
    <t xml:space="preserve">GW-0507</t>
  </si>
  <si>
    <t xml:space="preserve">2025-09-27</t>
  </si>
  <si>
    <t xml:space="preserve">GW-0508</t>
  </si>
  <si>
    <t xml:space="preserve">GW-0509</t>
  </si>
  <si>
    <t xml:space="preserve">2024-12-12</t>
  </si>
  <si>
    <t xml:space="preserve">GW-0510</t>
  </si>
  <si>
    <t xml:space="preserve">GW-0511</t>
  </si>
  <si>
    <t xml:space="preserve">GW-0512</t>
  </si>
  <si>
    <t xml:space="preserve">GW-0513</t>
  </si>
  <si>
    <t xml:space="preserve">2024-12-28</t>
  </si>
  <si>
    <t xml:space="preserve">GW-0514</t>
  </si>
  <si>
    <t xml:space="preserve">GW-0515</t>
  </si>
  <si>
    <t xml:space="preserve">GW-0516</t>
  </si>
  <si>
    <t xml:space="preserve">GW-0517</t>
  </si>
  <si>
    <t xml:space="preserve">GW-0518</t>
  </si>
  <si>
    <t xml:space="preserve">2026-01-04</t>
  </si>
  <si>
    <t xml:space="preserve">GW-0519</t>
  </si>
  <si>
    <t xml:space="preserve">GW-0520</t>
  </si>
  <si>
    <t xml:space="preserve">GW-0521</t>
  </si>
  <si>
    <t xml:space="preserve">GW-0522</t>
  </si>
  <si>
    <t xml:space="preserve">2025-02-23</t>
  </si>
  <si>
    <t xml:space="preserve">GW-0523</t>
  </si>
  <si>
    <t xml:space="preserve">2025-05-25</t>
  </si>
  <si>
    <t xml:space="preserve">GW-0601</t>
  </si>
  <si>
    <t xml:space="preserve">2025-02-08</t>
  </si>
  <si>
    <t xml:space="preserve">GW-0602</t>
  </si>
  <si>
    <t xml:space="preserve">GW-0603</t>
  </si>
  <si>
    <t xml:space="preserve">GW-0604</t>
  </si>
  <si>
    <t xml:space="preserve">2025-06-29</t>
  </si>
  <si>
    <t xml:space="preserve">GW-0605</t>
  </si>
  <si>
    <t xml:space="preserve">2026-03-02</t>
  </si>
  <si>
    <t xml:space="preserve">GW-0606</t>
  </si>
  <si>
    <t xml:space="preserve">GW-0607</t>
  </si>
  <si>
    <t xml:space="preserve">GW-0608</t>
  </si>
  <si>
    <t xml:space="preserve">GW-0609</t>
  </si>
  <si>
    <t xml:space="preserve">GW-0610</t>
  </si>
  <si>
    <t xml:space="preserve">GW-0611</t>
  </si>
  <si>
    <t xml:space="preserve">GW-0612</t>
  </si>
  <si>
    <t xml:space="preserve">2024-12-20</t>
  </si>
  <si>
    <t xml:space="preserve">GW-0613</t>
  </si>
  <si>
    <t xml:space="preserve">GW-0614</t>
  </si>
  <si>
    <t xml:space="preserve">GW-0615</t>
  </si>
  <si>
    <t xml:space="preserve">GW-0616</t>
  </si>
  <si>
    <t xml:space="preserve">2024-12-18</t>
  </si>
  <si>
    <t xml:space="preserve">GW-0617</t>
  </si>
  <si>
    <t xml:space="preserve">2025-01-14</t>
  </si>
  <si>
    <t xml:space="preserve">GW-0618</t>
  </si>
  <si>
    <t xml:space="preserve">GW-0619</t>
  </si>
  <si>
    <t xml:space="preserve">GW-0620</t>
  </si>
  <si>
    <t xml:space="preserve">GW-0621</t>
  </si>
  <si>
    <t xml:space="preserve">GW-0622</t>
  </si>
  <si>
    <t xml:space="preserve">GW-0623</t>
  </si>
  <si>
    <t xml:space="preserve">2025-06-22</t>
  </si>
  <si>
    <t xml:space="preserve">GW-0701</t>
  </si>
  <si>
    <t xml:space="preserve">2026-02-15</t>
  </si>
  <si>
    <t xml:space="preserve">GW-0702</t>
  </si>
  <si>
    <t xml:space="preserve">GW-0703</t>
  </si>
  <si>
    <t xml:space="preserve">GW-0704</t>
  </si>
  <si>
    <t xml:space="preserve">GW-0705</t>
  </si>
  <si>
    <t xml:space="preserve">2025-05-20</t>
  </si>
  <si>
    <t xml:space="preserve">GW-0706</t>
  </si>
  <si>
    <t xml:space="preserve">GW-0707</t>
  </si>
  <si>
    <t xml:space="preserve">GW-0708</t>
  </si>
  <si>
    <t xml:space="preserve">GW-0709</t>
  </si>
  <si>
    <t xml:space="preserve">GW-0710</t>
  </si>
  <si>
    <t xml:space="preserve">GW-0711</t>
  </si>
  <si>
    <t xml:space="preserve">GW-0712</t>
  </si>
  <si>
    <t xml:space="preserve">GW-0713</t>
  </si>
  <si>
    <t xml:space="preserve">2025-04-01</t>
  </si>
  <si>
    <t xml:space="preserve">GW-0714</t>
  </si>
  <si>
    <t xml:space="preserve">GW-0715</t>
  </si>
  <si>
    <t xml:space="preserve">2025-10-31</t>
  </si>
  <si>
    <t xml:space="preserve">GW-0716</t>
  </si>
  <si>
    <t xml:space="preserve">GW-0717</t>
  </si>
  <si>
    <t xml:space="preserve">GW-0718</t>
  </si>
  <si>
    <t xml:space="preserve">2025-02-03</t>
  </si>
  <si>
    <t xml:space="preserve">GW-0719</t>
  </si>
  <si>
    <t xml:space="preserve">2025-07-09</t>
  </si>
  <si>
    <t xml:space="preserve">GW-0720</t>
  </si>
  <si>
    <t xml:space="preserve">GW-0721</t>
  </si>
  <si>
    <t xml:space="preserve">GW-0722</t>
  </si>
  <si>
    <t xml:space="preserve">GW-0723</t>
  </si>
  <si>
    <t xml:space="preserve">2025-07-22</t>
  </si>
  <si>
    <t xml:space="preserve">GW-0801</t>
  </si>
  <si>
    <t xml:space="preserve">2026-06-15</t>
  </si>
  <si>
    <t xml:space="preserve">GW-0802</t>
  </si>
  <si>
    <t xml:space="preserve">2025-05-29</t>
  </si>
  <si>
    <t xml:space="preserve">GW-0803</t>
  </si>
  <si>
    <t xml:space="preserve">GW-0804</t>
  </si>
  <si>
    <t xml:space="preserve">GW-0805</t>
  </si>
  <si>
    <t xml:space="preserve">2026-03-11</t>
  </si>
  <si>
    <t xml:space="preserve">GW-0806</t>
  </si>
  <si>
    <t xml:space="preserve">GW-0807</t>
  </si>
  <si>
    <t xml:space="preserve">GW-0808</t>
  </si>
  <si>
    <t xml:space="preserve">GW-0809</t>
  </si>
  <si>
    <t xml:space="preserve">GW-0810</t>
  </si>
  <si>
    <t xml:space="preserve">GW-0811</t>
  </si>
  <si>
    <t xml:space="preserve">GW-0812</t>
  </si>
  <si>
    <t xml:space="preserve">GW-0813</t>
  </si>
  <si>
    <t xml:space="preserve">2025-02-21</t>
  </si>
  <si>
    <t xml:space="preserve">GW-0814</t>
  </si>
  <si>
    <t xml:space="preserve">GW-0815</t>
  </si>
  <si>
    <t xml:space="preserve">GW-0816</t>
  </si>
  <si>
    <t xml:space="preserve">GW-0817</t>
  </si>
  <si>
    <t xml:space="preserve">GW-0818</t>
  </si>
  <si>
    <t xml:space="preserve">GW-0819</t>
  </si>
  <si>
    <t xml:space="preserve">2026-03-04</t>
  </si>
  <si>
    <t xml:space="preserve">GW-0820</t>
  </si>
  <si>
    <t xml:space="preserve">2025-06-30</t>
  </si>
  <si>
    <t xml:space="preserve">GW-0821</t>
  </si>
  <si>
    <t xml:space="preserve">GW-0822</t>
  </si>
  <si>
    <t xml:space="preserve">GW-0823</t>
  </si>
  <si>
    <t xml:space="preserve">GW-0901</t>
  </si>
  <si>
    <t xml:space="preserve">GW-0902</t>
  </si>
  <si>
    <t xml:space="preserve">GW-0903</t>
  </si>
  <si>
    <t xml:space="preserve">GW-0904</t>
  </si>
  <si>
    <t xml:space="preserve">GW-0905</t>
  </si>
  <si>
    <t xml:space="preserve">GW-0906</t>
  </si>
  <si>
    <t xml:space="preserve">GW-0907</t>
  </si>
  <si>
    <t xml:space="preserve">2025-11-27</t>
  </si>
  <si>
    <t xml:space="preserve">GW-0908</t>
  </si>
  <si>
    <t xml:space="preserve">GW-0909</t>
  </si>
  <si>
    <t xml:space="preserve">GW-0910</t>
  </si>
  <si>
    <t xml:space="preserve">GW-0911</t>
  </si>
  <si>
    <t xml:space="preserve">2025-08-03</t>
  </si>
  <si>
    <t xml:space="preserve">GW-0912</t>
  </si>
  <si>
    <t xml:space="preserve">GW-0913</t>
  </si>
  <si>
    <t xml:space="preserve">GW-0914</t>
  </si>
  <si>
    <t xml:space="preserve">2025-11-16</t>
  </si>
  <si>
    <t xml:space="preserve">GW-0915</t>
  </si>
  <si>
    <t xml:space="preserve">2025-06-03</t>
  </si>
  <si>
    <t xml:space="preserve">GW-0916</t>
  </si>
  <si>
    <t xml:space="preserve">2025-09-05</t>
  </si>
  <si>
    <t xml:space="preserve">GW-0917</t>
  </si>
  <si>
    <t xml:space="preserve">2025-03-28</t>
  </si>
  <si>
    <t xml:space="preserve">GW-0918</t>
  </si>
  <si>
    <t xml:space="preserve">2026-06-28</t>
  </si>
  <si>
    <t xml:space="preserve">GW-0919</t>
  </si>
  <si>
    <t xml:space="preserve">GW-0920</t>
  </si>
  <si>
    <t xml:space="preserve">GW-0921</t>
  </si>
  <si>
    <t xml:space="preserve">GW-0922</t>
  </si>
  <si>
    <t xml:space="preserve">GW-0923</t>
  </si>
  <si>
    <t xml:space="preserve">GW-1001</t>
  </si>
  <si>
    <t xml:space="preserve">GW-1002</t>
  </si>
  <si>
    <t xml:space="preserve">GW-1003</t>
  </si>
  <si>
    <t xml:space="preserve">GW-1004</t>
  </si>
  <si>
    <t xml:space="preserve">GW-1005</t>
  </si>
  <si>
    <t xml:space="preserve">GW-1006</t>
  </si>
  <si>
    <t xml:space="preserve">GW-1007</t>
  </si>
  <si>
    <t xml:space="preserve">GW-1008</t>
  </si>
  <si>
    <t xml:space="preserve">2024-11-28</t>
  </si>
  <si>
    <t xml:space="preserve">GW-1009</t>
  </si>
  <si>
    <t xml:space="preserve">GW-1010</t>
  </si>
  <si>
    <t xml:space="preserve">2025-02-28</t>
  </si>
  <si>
    <t xml:space="preserve">GW-1011</t>
  </si>
  <si>
    <t xml:space="preserve">GW-1012</t>
  </si>
  <si>
    <t xml:space="preserve">GW-1013</t>
  </si>
  <si>
    <t xml:space="preserve">GW-1014</t>
  </si>
  <si>
    <t xml:space="preserve">GW-1015</t>
  </si>
  <si>
    <t xml:space="preserve">GW-1016</t>
  </si>
  <si>
    <t xml:space="preserve">GW-1017</t>
  </si>
  <si>
    <t xml:space="preserve">GW-1018</t>
  </si>
  <si>
    <t xml:space="preserve">GW-1019</t>
  </si>
  <si>
    <t xml:space="preserve">GW-1020</t>
  </si>
  <si>
    <t xml:space="preserve">GW-1021</t>
  </si>
  <si>
    <t xml:space="preserve">2025-02-18</t>
  </si>
  <si>
    <t xml:space="preserve">GW-1022</t>
  </si>
  <si>
    <t xml:space="preserve">GW-1023</t>
  </si>
  <si>
    <t xml:space="preserve">SB-0101</t>
  </si>
  <si>
    <t xml:space="preserve">SB-0102</t>
  </si>
  <si>
    <t xml:space="preserve">SB-0103</t>
  </si>
  <si>
    <t xml:space="preserve">2026-05-13</t>
  </si>
  <si>
    <t xml:space="preserve">SB-0104</t>
  </si>
  <si>
    <t xml:space="preserve">SB-0105</t>
  </si>
  <si>
    <t xml:space="preserve">2026-06-27</t>
  </si>
  <si>
    <t xml:space="preserve">SB-0106</t>
  </si>
  <si>
    <t xml:space="preserve">2026-01-24</t>
  </si>
  <si>
    <t xml:space="preserve">SB-0107</t>
  </si>
  <si>
    <t xml:space="preserve">SB-0108</t>
  </si>
  <si>
    <t xml:space="preserve">2025-01-16</t>
  </si>
  <si>
    <t xml:space="preserve">SB-0109</t>
  </si>
  <si>
    <t xml:space="preserve">2025-11-03</t>
  </si>
  <si>
    <t xml:space="preserve">SB-0110</t>
  </si>
  <si>
    <t xml:space="preserve">SB-0111</t>
  </si>
  <si>
    <t xml:space="preserve">2025-12-14</t>
  </si>
  <si>
    <t xml:space="preserve">SB-0112</t>
  </si>
  <si>
    <t xml:space="preserve">SB-0113</t>
  </si>
  <si>
    <t xml:space="preserve">SB-0114</t>
  </si>
  <si>
    <t xml:space="preserve">SB-0115</t>
  </si>
  <si>
    <t xml:space="preserve">SB-0116</t>
  </si>
  <si>
    <t xml:space="preserve">SB-0117</t>
  </si>
  <si>
    <t xml:space="preserve">SB-0118</t>
  </si>
  <si>
    <t xml:space="preserve">SB-0119</t>
  </si>
  <si>
    <t xml:space="preserve">2025-05-10</t>
  </si>
  <si>
    <t xml:space="preserve">SB-0120</t>
  </si>
  <si>
    <t xml:space="preserve">SB-0121</t>
  </si>
  <si>
    <t xml:space="preserve">SB-0122</t>
  </si>
  <si>
    <t xml:space="preserve">SB-0123</t>
  </si>
  <si>
    <t xml:space="preserve">SB-0124</t>
  </si>
  <si>
    <t xml:space="preserve">SB-0201</t>
  </si>
  <si>
    <t xml:space="preserve">SB-0202</t>
  </si>
  <si>
    <t xml:space="preserve">2025-11-04</t>
  </si>
  <si>
    <t xml:space="preserve">SB-0203</t>
  </si>
  <si>
    <t xml:space="preserve">SB-0204</t>
  </si>
  <si>
    <t xml:space="preserve">2025-09-06</t>
  </si>
  <si>
    <t xml:space="preserve">SB-0205</t>
  </si>
  <si>
    <t xml:space="preserve">SB-0206</t>
  </si>
  <si>
    <t xml:space="preserve">SB-0207</t>
  </si>
  <si>
    <t xml:space="preserve">SB-0208</t>
  </si>
  <si>
    <t xml:space="preserve">SB-0209</t>
  </si>
  <si>
    <t xml:space="preserve">2024-10-10</t>
  </si>
  <si>
    <t xml:space="preserve">SB-0210</t>
  </si>
  <si>
    <t xml:space="preserve">2025-06-06</t>
  </si>
  <si>
    <t xml:space="preserve">SB-0211</t>
  </si>
  <si>
    <t xml:space="preserve">SB-0212</t>
  </si>
  <si>
    <t xml:space="preserve">SB-0213</t>
  </si>
  <si>
    <t xml:space="preserve">SB-0214</t>
  </si>
  <si>
    <t xml:space="preserve">SB-0215</t>
  </si>
  <si>
    <t xml:space="preserve">SB-0216</t>
  </si>
  <si>
    <t xml:space="preserve">SB-0217</t>
  </si>
  <si>
    <t xml:space="preserve">SB-0218</t>
  </si>
  <si>
    <t xml:space="preserve">SB-0219</t>
  </si>
  <si>
    <t xml:space="preserve">SB-0220</t>
  </si>
  <si>
    <t xml:space="preserve">SB-0221</t>
  </si>
  <si>
    <t xml:space="preserve">SB-0222</t>
  </si>
  <si>
    <t xml:space="preserve">SB-0223</t>
  </si>
  <si>
    <t xml:space="preserve">2025-01-19</t>
  </si>
  <si>
    <t xml:space="preserve">SB-0224</t>
  </si>
  <si>
    <t xml:space="preserve">SB-0301</t>
  </si>
  <si>
    <t xml:space="preserve">SB-0302</t>
  </si>
  <si>
    <t xml:space="preserve">SB-0303</t>
  </si>
  <si>
    <t xml:space="preserve">2025-07-25</t>
  </si>
  <si>
    <t xml:space="preserve">SB-0304</t>
  </si>
  <si>
    <t xml:space="preserve">SB-0305</t>
  </si>
  <si>
    <t xml:space="preserve">SB-0306</t>
  </si>
  <si>
    <t xml:space="preserve">SB-0307</t>
  </si>
  <si>
    <t xml:space="preserve">SB-0308</t>
  </si>
  <si>
    <t xml:space="preserve">2025-04-24</t>
  </si>
  <si>
    <t xml:space="preserve">SB-0309</t>
  </si>
  <si>
    <t xml:space="preserve">SB-0310</t>
  </si>
  <si>
    <t xml:space="preserve">SB-0311</t>
  </si>
  <si>
    <t xml:space="preserve">SB-0312</t>
  </si>
  <si>
    <t xml:space="preserve">2025-09-12</t>
  </si>
  <si>
    <t xml:space="preserve">SB-0313</t>
  </si>
  <si>
    <t xml:space="preserve">SB-0314</t>
  </si>
  <si>
    <t xml:space="preserve">SB-0315</t>
  </si>
  <si>
    <t xml:space="preserve">SB-0316</t>
  </si>
  <si>
    <t xml:space="preserve">SB-0317</t>
  </si>
  <si>
    <t xml:space="preserve">SB-0318</t>
  </si>
  <si>
    <t xml:space="preserve">SB-0319</t>
  </si>
  <si>
    <t xml:space="preserve">SB-0320</t>
  </si>
  <si>
    <t xml:space="preserve">SB-0321</t>
  </si>
  <si>
    <t xml:space="preserve">SB-0322</t>
  </si>
  <si>
    <t xml:space="preserve">SB-0323</t>
  </si>
  <si>
    <t xml:space="preserve">SB-0324</t>
  </si>
  <si>
    <t xml:space="preserve">SB-0401</t>
  </si>
  <si>
    <t xml:space="preserve">SB-0402</t>
  </si>
  <si>
    <t xml:space="preserve">SB-0403</t>
  </si>
  <si>
    <t xml:space="preserve">SB-0404</t>
  </si>
  <si>
    <t xml:space="preserve">SB-0405</t>
  </si>
  <si>
    <t xml:space="preserve">SB-0406</t>
  </si>
  <si>
    <t xml:space="preserve">SB-0407</t>
  </si>
  <si>
    <t xml:space="preserve">SB-0408</t>
  </si>
  <si>
    <t xml:space="preserve">SB-0409</t>
  </si>
  <si>
    <t xml:space="preserve">2026-03-29</t>
  </si>
  <si>
    <t xml:space="preserve">SB-0410</t>
  </si>
  <si>
    <t xml:space="preserve">SB-0411</t>
  </si>
  <si>
    <t xml:space="preserve">2025-02-12</t>
  </si>
  <si>
    <t xml:space="preserve">SB-0412</t>
  </si>
  <si>
    <t xml:space="preserve">SB-0413</t>
  </si>
  <si>
    <t xml:space="preserve">SB-0414</t>
  </si>
  <si>
    <t xml:space="preserve">SB-0415</t>
  </si>
  <si>
    <t xml:space="preserve">SB-0416</t>
  </si>
  <si>
    <t xml:space="preserve">SB-0417</t>
  </si>
  <si>
    <t xml:space="preserve">SB-0418</t>
  </si>
  <si>
    <t xml:space="preserve">SB-0419</t>
  </si>
  <si>
    <t xml:space="preserve">2025-03-21</t>
  </si>
  <si>
    <t xml:space="preserve">SB-0420</t>
  </si>
  <si>
    <t xml:space="preserve">SB-0421</t>
  </si>
  <si>
    <t xml:space="preserve">SB-0422</t>
  </si>
  <si>
    <t xml:space="preserve">SB-0423</t>
  </si>
  <si>
    <t xml:space="preserve">2025-10-11</t>
  </si>
  <si>
    <t xml:space="preserve">SB-0424</t>
  </si>
  <si>
    <t xml:space="preserve">SB-0501</t>
  </si>
  <si>
    <t xml:space="preserve">2026-03-21</t>
  </si>
  <si>
    <t xml:space="preserve">SB-0502</t>
  </si>
  <si>
    <t xml:space="preserve">SB-0503</t>
  </si>
  <si>
    <t xml:space="preserve">2025-07-07</t>
  </si>
  <si>
    <t xml:space="preserve">SB-0504</t>
  </si>
  <si>
    <t xml:space="preserve">SB-0505</t>
  </si>
  <si>
    <t xml:space="preserve">2026-05-19</t>
  </si>
  <si>
    <t xml:space="preserve">SB-0506</t>
  </si>
  <si>
    <t xml:space="preserve">SB-0507</t>
  </si>
  <si>
    <t xml:space="preserve">2024-10-03</t>
  </si>
  <si>
    <t xml:space="preserve">SB-0508</t>
  </si>
  <si>
    <t xml:space="preserve">SB-0509</t>
  </si>
  <si>
    <t xml:space="preserve">SB-0510</t>
  </si>
  <si>
    <t xml:space="preserve">2025-04-26</t>
  </si>
  <si>
    <t xml:space="preserve">SB-0511</t>
  </si>
  <si>
    <t xml:space="preserve">SB-0512</t>
  </si>
  <si>
    <t xml:space="preserve">SB-0513</t>
  </si>
  <si>
    <t xml:space="preserve">2025-09-09</t>
  </si>
  <si>
    <t xml:space="preserve">SB-0514</t>
  </si>
  <si>
    <t xml:space="preserve">2024-11-27</t>
  </si>
  <si>
    <t xml:space="preserve">SB-0515</t>
  </si>
  <si>
    <t xml:space="preserve">SB-0516</t>
  </si>
  <si>
    <t xml:space="preserve">SB-0517</t>
  </si>
  <si>
    <t xml:space="preserve">SB-0518</t>
  </si>
  <si>
    <t xml:space="preserve">SB-0519</t>
  </si>
  <si>
    <t xml:space="preserve">SB-0520</t>
  </si>
  <si>
    <t xml:space="preserve">SB-0521</t>
  </si>
  <si>
    <t xml:space="preserve">2025-11-10</t>
  </si>
  <si>
    <t xml:space="preserve">SB-0522</t>
  </si>
  <si>
    <t xml:space="preserve">SB-0523</t>
  </si>
  <si>
    <t xml:space="preserve">SB-0524</t>
  </si>
  <si>
    <t xml:space="preserve">2024-12-14</t>
  </si>
  <si>
    <t xml:space="preserve">SB-0601</t>
  </si>
  <si>
    <t xml:space="preserve">SB-0602</t>
  </si>
  <si>
    <t xml:space="preserve">SB-0603</t>
  </si>
  <si>
    <t xml:space="preserve">SB-0604</t>
  </si>
  <si>
    <t xml:space="preserve">SB-0605</t>
  </si>
  <si>
    <t xml:space="preserve">SB-0606</t>
  </si>
  <si>
    <t xml:space="preserve">SB-0607</t>
  </si>
  <si>
    <t xml:space="preserve">SB-0608</t>
  </si>
  <si>
    <t xml:space="preserve">SB-0609</t>
  </si>
  <si>
    <t xml:space="preserve">SB-0610</t>
  </si>
  <si>
    <t xml:space="preserve">2025-05-28</t>
  </si>
  <si>
    <t xml:space="preserve">SB-0611</t>
  </si>
  <si>
    <t xml:space="preserve">SB-0612</t>
  </si>
  <si>
    <t xml:space="preserve">SB-0613</t>
  </si>
  <si>
    <t xml:space="preserve">SB-0614</t>
  </si>
  <si>
    <t xml:space="preserve">SB-0615</t>
  </si>
  <si>
    <t xml:space="preserve">SB-0616</t>
  </si>
  <si>
    <t xml:space="preserve">SB-0617</t>
  </si>
  <si>
    <t xml:space="preserve">SB-0618</t>
  </si>
  <si>
    <t xml:space="preserve">SB-0619</t>
  </si>
  <si>
    <t xml:space="preserve">SB-0620</t>
  </si>
  <si>
    <t xml:space="preserve">2025-10-25</t>
  </si>
  <si>
    <t xml:space="preserve">SB-0621</t>
  </si>
  <si>
    <t xml:space="preserve">SB-0622</t>
  </si>
  <si>
    <t xml:space="preserve">2025-07-03</t>
  </si>
  <si>
    <t xml:space="preserve">SB-0623</t>
  </si>
  <si>
    <t xml:space="preserve">SB-0624</t>
  </si>
  <si>
    <t xml:space="preserve">SB-0701</t>
  </si>
  <si>
    <t xml:space="preserve">SB-0702</t>
  </si>
  <si>
    <t xml:space="preserve">SB-0703</t>
  </si>
  <si>
    <t xml:space="preserve">SB-0704</t>
  </si>
  <si>
    <t xml:space="preserve">2024-10-26</t>
  </si>
  <si>
    <t xml:space="preserve">SB-0705</t>
  </si>
  <si>
    <t xml:space="preserve">SB-0706</t>
  </si>
  <si>
    <t xml:space="preserve">2025-10-24</t>
  </si>
  <si>
    <t xml:space="preserve">SB-0707</t>
  </si>
  <si>
    <t xml:space="preserve">SB-0708</t>
  </si>
  <si>
    <t xml:space="preserve">SB-0709</t>
  </si>
  <si>
    <t xml:space="preserve">SB-0710</t>
  </si>
  <si>
    <t xml:space="preserve">SB-0711</t>
  </si>
  <si>
    <t xml:space="preserve">SB-0712</t>
  </si>
  <si>
    <t xml:space="preserve">SB-0713</t>
  </si>
  <si>
    <t xml:space="preserve">SB-0714</t>
  </si>
  <si>
    <t xml:space="preserve">SB-0715</t>
  </si>
  <si>
    <t xml:space="preserve">SB-0716</t>
  </si>
  <si>
    <t xml:space="preserve">SB-0717</t>
  </si>
  <si>
    <t xml:space="preserve">SB-0718</t>
  </si>
  <si>
    <t xml:space="preserve">SB-0719</t>
  </si>
  <si>
    <t xml:space="preserve">SB-0720</t>
  </si>
  <si>
    <t xml:space="preserve">SB-0721</t>
  </si>
  <si>
    <t xml:space="preserve">SB-0722</t>
  </si>
  <si>
    <t xml:space="preserve">2025-10-07</t>
  </si>
  <si>
    <t xml:space="preserve">SB-0723</t>
  </si>
  <si>
    <t xml:space="preserve">SB-0724</t>
  </si>
  <si>
    <t xml:space="preserve">SB-0801</t>
  </si>
  <si>
    <t xml:space="preserve">SB-0802</t>
  </si>
  <si>
    <t xml:space="preserve">SB-0803</t>
  </si>
  <si>
    <t xml:space="preserve">SB-0804</t>
  </si>
  <si>
    <t xml:space="preserve">SB-0805</t>
  </si>
  <si>
    <t xml:space="preserve">2024-11-18</t>
  </si>
  <si>
    <t xml:space="preserve">SB-0806</t>
  </si>
  <si>
    <t xml:space="preserve">SB-0807</t>
  </si>
  <si>
    <t xml:space="preserve">2025-08-23</t>
  </si>
  <si>
    <t xml:space="preserve">SB-0808</t>
  </si>
  <si>
    <t xml:space="preserve">SB-0809</t>
  </si>
  <si>
    <t xml:space="preserve">SB-0810</t>
  </si>
  <si>
    <t xml:space="preserve">SB-0811</t>
  </si>
  <si>
    <t xml:space="preserve">SB-0812</t>
  </si>
  <si>
    <t xml:space="preserve">SB-0813</t>
  </si>
  <si>
    <t xml:space="preserve">SB-0814</t>
  </si>
  <si>
    <t xml:space="preserve">SB-0815</t>
  </si>
  <si>
    <t xml:space="preserve">SB-0816</t>
  </si>
  <si>
    <t xml:space="preserve">SB-0817</t>
  </si>
  <si>
    <t xml:space="preserve">SB-0818</t>
  </si>
  <si>
    <t xml:space="preserve">SB-0819</t>
  </si>
  <si>
    <t xml:space="preserve">SB-0820</t>
  </si>
  <si>
    <t xml:space="preserve">2025-04-13</t>
  </si>
  <si>
    <t xml:space="preserve">SB-0821</t>
  </si>
  <si>
    <t xml:space="preserve">SB-0822</t>
  </si>
  <si>
    <t xml:space="preserve">SB-0823</t>
  </si>
  <si>
    <t xml:space="preserve">SB-0824</t>
  </si>
  <si>
    <t xml:space="preserve">SB-0901</t>
  </si>
  <si>
    <t xml:space="preserve">SB-0902</t>
  </si>
  <si>
    <t xml:space="preserve">SB-0903</t>
  </si>
  <si>
    <t xml:space="preserve">SB-0904</t>
  </si>
  <si>
    <t xml:space="preserve">SB-0905</t>
  </si>
  <si>
    <t xml:space="preserve">SB-0906</t>
  </si>
  <si>
    <t xml:space="preserve">SB-0907</t>
  </si>
  <si>
    <t xml:space="preserve">SB-0908</t>
  </si>
  <si>
    <t xml:space="preserve">2024-11-15</t>
  </si>
  <si>
    <t xml:space="preserve">SB-0909</t>
  </si>
  <si>
    <t xml:space="preserve">SB-0910</t>
  </si>
  <si>
    <t xml:space="preserve">SB-0911</t>
  </si>
  <si>
    <t xml:space="preserve">SB-0912</t>
  </si>
  <si>
    <t xml:space="preserve">SB-0913</t>
  </si>
  <si>
    <t xml:space="preserve">2025-02-02</t>
  </si>
  <si>
    <t xml:space="preserve">SB-0914</t>
  </si>
  <si>
    <t xml:space="preserve">2025-08-01</t>
  </si>
  <si>
    <t xml:space="preserve">SB-0915</t>
  </si>
  <si>
    <t xml:space="preserve">SB-0916</t>
  </si>
  <si>
    <t xml:space="preserve">SB-0917</t>
  </si>
  <si>
    <t xml:space="preserve">2026-02-04</t>
  </si>
  <si>
    <t xml:space="preserve">SB-0918</t>
  </si>
  <si>
    <t xml:space="preserve">offer_id</t>
  </si>
  <si>
    <t xml:space="preserve">offer_date</t>
  </si>
  <si>
    <t xml:space="preserve">rank_at_offer</t>
  </si>
  <si>
    <t xml:space="preserve">rate_class</t>
  </si>
  <si>
    <t xml:space="preserve">offer_seq</t>
  </si>
  <si>
    <t xml:space="preserve">outcome</t>
  </si>
  <si>
    <t xml:space="preserve">response_due_date</t>
  </si>
  <si>
    <t xml:space="preserve">response_date</t>
  </si>
  <si>
    <t xml:space="preserve">days_to_respond</t>
  </si>
  <si>
    <t xml:space="preserve">skip_reason_code</t>
  </si>
  <si>
    <t xml:space="preserve">agreement_id</t>
  </si>
  <si>
    <t xml:space="preserve">OFR-2022-0001</t>
  </si>
  <si>
    <t xml:space="preserve">NON_COMM_MONTHLY</t>
  </si>
  <si>
    <t xml:space="preserve">SKIPPED</t>
  </si>
  <si>
    <t xml:space="preserve">vessel-fit</t>
  </si>
  <si>
    <t xml:space="preserve">OFR-2022-0002</t>
  </si>
  <si>
    <t xml:space="preserve">ACCEPTED</t>
  </si>
  <si>
    <t xml:space="preserve">MA-2022-0907</t>
  </si>
  <si>
    <t xml:space="preserve">OFR-2022-0003</t>
  </si>
  <si>
    <t xml:space="preserve">DECLINED_RETAINER</t>
  </si>
  <si>
    <t xml:space="preserve">OFR-2022-0004</t>
  </si>
  <si>
    <t xml:space="preserve">OFR-2022-0005</t>
  </si>
  <si>
    <t xml:space="preserve">MA-2022-0804</t>
  </si>
  <si>
    <t xml:space="preserve">OFR-2022-0006</t>
  </si>
  <si>
    <t xml:space="preserve">PENDING</t>
  </si>
  <si>
    <t xml:space="preserve">OFR-2022-0007</t>
  </si>
  <si>
    <t xml:space="preserve">OFR-2022-0008</t>
  </si>
  <si>
    <t xml:space="preserve">OFR-2022-0009</t>
  </si>
  <si>
    <t xml:space="preserve">OFR-2022-0010</t>
  </si>
  <si>
    <t xml:space="preserve">not-current</t>
  </si>
  <si>
    <t xml:space="preserve">OFR-2022-0011</t>
  </si>
  <si>
    <t xml:space="preserve">MA-2022-0820</t>
  </si>
  <si>
    <t xml:space="preserve">OFR-2022-0012</t>
  </si>
  <si>
    <t xml:space="preserve">OFR-2022-0013</t>
  </si>
  <si>
    <t xml:space="preserve">MA-2022-0612</t>
  </si>
  <si>
    <t xml:space="preserve">OFR-2022-0014</t>
  </si>
  <si>
    <t xml:space="preserve">OFR-2022-0015</t>
  </si>
  <si>
    <t xml:space="preserve">OFR-2022-0016</t>
  </si>
  <si>
    <t xml:space="preserve">MA-2022-1003</t>
  </si>
  <si>
    <t xml:space="preserve">OFR-2022-0017</t>
  </si>
  <si>
    <t xml:space="preserve">DECLINED</t>
  </si>
  <si>
    <t xml:space="preserve">OFR-2022-0018</t>
  </si>
  <si>
    <t xml:space="preserve">declined-prior-offer</t>
  </si>
  <si>
    <t xml:space="preserve">OFR-2022-0019</t>
  </si>
  <si>
    <t xml:space="preserve">OFR-2022-0020</t>
  </si>
  <si>
    <t xml:space="preserve">OFR-2022-0021</t>
  </si>
  <si>
    <t xml:space="preserve">OFR-2022-0022</t>
  </si>
  <si>
    <t xml:space="preserve">OFR-2022-0023</t>
  </si>
  <si>
    <t xml:space="preserve">preference-mismatch</t>
  </si>
  <si>
    <t xml:space="preserve">OFR-2022-0024</t>
  </si>
  <si>
    <t xml:space="preserve">MA-2022-0911</t>
  </si>
  <si>
    <t xml:space="preserve">OFR-2022-0025</t>
  </si>
  <si>
    <t xml:space="preserve">OFR-2022-0026</t>
  </si>
  <si>
    <t xml:space="preserve">OFR-2022-0027</t>
  </si>
  <si>
    <t xml:space="preserve">OFR-2022-0028</t>
  </si>
  <si>
    <t xml:space="preserve">MA-2022-0813</t>
  </si>
  <si>
    <t xml:space="preserve">OFR-2022-0029</t>
  </si>
  <si>
    <t xml:space="preserve">OFR-2022-0030</t>
  </si>
  <si>
    <t xml:space="preserve">MA-2022-0224</t>
  </si>
  <si>
    <t xml:space="preserve">OFR-2022-0031</t>
  </si>
  <si>
    <t xml:space="preserve">OFR-2022-0032</t>
  </si>
  <si>
    <t xml:space="preserve">OFR-2022-0033</t>
  </si>
  <si>
    <t xml:space="preserve">OFR-2022-0034</t>
  </si>
  <si>
    <t xml:space="preserve">OFR-2022-0035</t>
  </si>
  <si>
    <t xml:space="preserve">OFR-2022-0036</t>
  </si>
  <si>
    <t xml:space="preserve">OFR-2022-0037</t>
  </si>
  <si>
    <t xml:space="preserve">OFR-2022-0038</t>
  </si>
  <si>
    <t xml:space="preserve">MA-2022-0319</t>
  </si>
  <si>
    <t xml:space="preserve">OFR-2022-0039</t>
  </si>
  <si>
    <t xml:space="preserve">OFR-2022-0040</t>
  </si>
  <si>
    <t xml:space="preserve">OFR-2022-0041</t>
  </si>
  <si>
    <t xml:space="preserve">OFR-2022-0042</t>
  </si>
  <si>
    <t xml:space="preserve">OFR-2022-0043</t>
  </si>
  <si>
    <t xml:space="preserve">OFR-2022-0044</t>
  </si>
  <si>
    <t xml:space="preserve">OFR-2022-0045</t>
  </si>
  <si>
    <t xml:space="preserve">OFR-2022-0046</t>
  </si>
  <si>
    <t xml:space="preserve">OFR-2022-0047</t>
  </si>
  <si>
    <t xml:space="preserve">OFR-2022-0048</t>
  </si>
  <si>
    <t xml:space="preserve">OFR-2022-0049</t>
  </si>
  <si>
    <t xml:space="preserve">MA-2022-0921</t>
  </si>
  <si>
    <t xml:space="preserve">OFR-2022-0050</t>
  </si>
  <si>
    <t xml:space="preserve">OFR-2022-0051</t>
  </si>
  <si>
    <t xml:space="preserve">MA-2022-0808</t>
  </si>
  <si>
    <t xml:space="preserve">OFR-2022-0052</t>
  </si>
  <si>
    <t xml:space="preserve">OFR-2022-0053</t>
  </si>
  <si>
    <t xml:space="preserve">MA-2022-0413</t>
  </si>
  <si>
    <t xml:space="preserve">OFR-2022-0054</t>
  </si>
  <si>
    <t xml:space="preserve">OFR-2022-0055</t>
  </si>
  <si>
    <t xml:space="preserve">OFR-2022-0056</t>
  </si>
  <si>
    <t xml:space="preserve">OFR-2022-0057</t>
  </si>
  <si>
    <t xml:space="preserve">MA-2022-0218</t>
  </si>
  <si>
    <t xml:space="preserve">OFR-2022-0058</t>
  </si>
  <si>
    <t xml:space="preserve">MA-2022-0210</t>
  </si>
  <si>
    <t xml:space="preserve">OFR-2022-0059</t>
  </si>
  <si>
    <t xml:space="preserve">OFR-2022-0060</t>
  </si>
  <si>
    <t xml:space="preserve">OFR-2022-0061</t>
  </si>
  <si>
    <t xml:space="preserve">OFR-2022-0062</t>
  </si>
  <si>
    <t xml:space="preserve">OFR-2022-0063</t>
  </si>
  <si>
    <t xml:space="preserve">OFR-2022-0064</t>
  </si>
  <si>
    <t xml:space="preserve">OFR-2022-0065</t>
  </si>
  <si>
    <t xml:space="preserve">OFR-2022-0066</t>
  </si>
  <si>
    <t xml:space="preserve">MA-2022-0424</t>
  </si>
  <si>
    <t xml:space="preserve">OFR-2022-0067</t>
  </si>
  <si>
    <t xml:space="preserve">OFR-2022-0068</t>
  </si>
  <si>
    <t xml:space="preserve">MA-2022-0201</t>
  </si>
  <si>
    <t xml:space="preserve">OFR-2022-0069</t>
  </si>
  <si>
    <t xml:space="preserve">OFR-2022-0070</t>
  </si>
  <si>
    <t xml:space="preserve">OFR-2022-0071</t>
  </si>
  <si>
    <t xml:space="preserve">MA-2022-0518</t>
  </si>
  <si>
    <t xml:space="preserve">OFR-2022-0072</t>
  </si>
  <si>
    <t xml:space="preserve">OFR-2022-0073</t>
  </si>
  <si>
    <t xml:space="preserve">MA-2022-0423</t>
  </si>
  <si>
    <t xml:space="preserve">OFR-2022-0074</t>
  </si>
  <si>
    <t xml:space="preserve">OFR-2022-0075</t>
  </si>
  <si>
    <t xml:space="preserve">MA-2022-1106</t>
  </si>
  <si>
    <t xml:space="preserve">OFR-2022-0076</t>
  </si>
  <si>
    <t xml:space="preserve">OFR-2022-0077</t>
  </si>
  <si>
    <t xml:space="preserve">MA-2022-0512</t>
  </si>
  <si>
    <t xml:space="preserve">OFR-2022-0078</t>
  </si>
  <si>
    <t xml:space="preserve">OFR-2022-0079</t>
  </si>
  <si>
    <t xml:space="preserve">MA-2022-0505</t>
  </si>
  <si>
    <t xml:space="preserve">OFR-2022-0080</t>
  </si>
  <si>
    <t xml:space="preserve">OFR-2022-0081</t>
  </si>
  <si>
    <t xml:space="preserve">OFR-2022-0082</t>
  </si>
  <si>
    <t xml:space="preserve">OFR-2022-0083</t>
  </si>
  <si>
    <t xml:space="preserve">MA-2022-0513</t>
  </si>
  <si>
    <t xml:space="preserve">OFR-2022-0084</t>
  </si>
  <si>
    <t xml:space="preserve">MA-2022-0219</t>
  </si>
  <si>
    <t xml:space="preserve">OFR-2022-0085</t>
  </si>
  <si>
    <t xml:space="preserve">OFR-2022-0086</t>
  </si>
  <si>
    <t xml:space="preserve">MA-2022-0915</t>
  </si>
  <si>
    <t xml:space="preserve">OFR-2022-0087</t>
  </si>
  <si>
    <t xml:space="preserve">OFR-2022-0088</t>
  </si>
  <si>
    <t xml:space="preserve">MA-2022-0811</t>
  </si>
  <si>
    <t xml:space="preserve">OFR-2022-0089</t>
  </si>
  <si>
    <t xml:space="preserve">MA-2022-0122</t>
  </si>
  <si>
    <t xml:space="preserve">OFR-2022-0090</t>
  </si>
  <si>
    <t xml:space="preserve">OFR-2022-0091</t>
  </si>
  <si>
    <t xml:space="preserve">OFR-2022-0092</t>
  </si>
  <si>
    <t xml:space="preserve">OFR-2022-0093</t>
  </si>
  <si>
    <t xml:space="preserve">WITHDRAWN</t>
  </si>
  <si>
    <t xml:space="preserve">OFR-2022-0094</t>
  </si>
  <si>
    <t xml:space="preserve">OFR-2022-0095</t>
  </si>
  <si>
    <t xml:space="preserve">OFR-2022-0096</t>
  </si>
  <si>
    <t xml:space="preserve">MA-2022-0601</t>
  </si>
  <si>
    <t xml:space="preserve">OFR-2022-0097</t>
  </si>
  <si>
    <t xml:space="preserve">OFR-2022-0098</t>
  </si>
  <si>
    <t xml:space="preserve">OFR-2022-0099</t>
  </si>
  <si>
    <t xml:space="preserve">MA-2022-0411</t>
  </si>
  <si>
    <t xml:space="preserve">OFR-2022-0100</t>
  </si>
  <si>
    <t xml:space="preserve">OFR-2022-0101</t>
  </si>
  <si>
    <t xml:space="preserve">OFR-2022-0102</t>
  </si>
  <si>
    <t xml:space="preserve">OFR-2022-0103</t>
  </si>
  <si>
    <t xml:space="preserve">MA-2022-0110</t>
  </si>
  <si>
    <t xml:space="preserve">OFR-2022-0104</t>
  </si>
  <si>
    <t xml:space="preserve">MA-2022-1012</t>
  </si>
  <si>
    <t xml:space="preserve">OFR-2022-0105</t>
  </si>
  <si>
    <t xml:space="preserve">OFR-2022-0106</t>
  </si>
  <si>
    <t xml:space="preserve">OFR-2022-0107</t>
  </si>
  <si>
    <t xml:space="preserve">OFR-2022-0108</t>
  </si>
  <si>
    <t xml:space="preserve">OFR-2022-0109</t>
  </si>
  <si>
    <t xml:space="preserve">MA-2022-0216</t>
  </si>
  <si>
    <t xml:space="preserve">OFR-2022-0110</t>
  </si>
  <si>
    <t xml:space="preserve">OFR-2022-0111</t>
  </si>
  <si>
    <t xml:space="preserve">MA-2022-0701</t>
  </si>
  <si>
    <t xml:space="preserve">OFR-2022-0112</t>
  </si>
  <si>
    <t xml:space="preserve">OFR-2022-0113</t>
  </si>
  <si>
    <t xml:space="preserve">OFR-2022-0114</t>
  </si>
  <si>
    <t xml:space="preserve">MA-2022-0102</t>
  </si>
  <si>
    <t xml:space="preserve">OFR-2022-0115</t>
  </si>
  <si>
    <t xml:space="preserve">OFR-2022-0116</t>
  </si>
  <si>
    <t xml:space="preserve">OFR-2022-0117</t>
  </si>
  <si>
    <t xml:space="preserve">OFR-2022-0118</t>
  </si>
  <si>
    <t xml:space="preserve">MA-2022-0611</t>
  </si>
  <si>
    <t xml:space="preserve">OFR-2022-0119</t>
  </si>
  <si>
    <t xml:space="preserve">MA-2022-1010</t>
  </si>
  <si>
    <t xml:space="preserve">OFR-2022-0120</t>
  </si>
  <si>
    <t xml:space="preserve">MA-2022-0213</t>
  </si>
  <si>
    <t xml:space="preserve">OFR-2022-0121</t>
  </si>
  <si>
    <t xml:space="preserve">OFR-2022-0122</t>
  </si>
  <si>
    <t xml:space="preserve">MA-2022-0401</t>
  </si>
  <si>
    <t xml:space="preserve">OFR-2022-0123</t>
  </si>
  <si>
    <t xml:space="preserve">OFR-2022-0124</t>
  </si>
  <si>
    <t xml:space="preserve">MA-2022-0615</t>
  </si>
  <si>
    <t xml:space="preserve">OFR-2022-0125</t>
  </si>
  <si>
    <t xml:space="preserve">OFR-2022-0126</t>
  </si>
  <si>
    <t xml:space="preserve">OFR-2022-0127</t>
  </si>
  <si>
    <t xml:space="preserve">MA-2022-0419</t>
  </si>
  <si>
    <t xml:space="preserve">OFR-2022-0128</t>
  </si>
  <si>
    <t xml:space="preserve">MA-2022-0511</t>
  </si>
  <si>
    <t xml:space="preserve">OFR-2022-0129</t>
  </si>
  <si>
    <t xml:space="preserve">OFR-2022-0130</t>
  </si>
  <si>
    <t xml:space="preserve">OFR-2022-0131</t>
  </si>
  <si>
    <t xml:space="preserve">MA-2022-0517</t>
  </si>
  <si>
    <t xml:space="preserve">OFR-2022-0132</t>
  </si>
  <si>
    <t xml:space="preserve">MA-2022-0920</t>
  </si>
  <si>
    <t xml:space="preserve">OFR-2022-0133</t>
  </si>
  <si>
    <t xml:space="preserve">OFR-2022-0134</t>
  </si>
  <si>
    <t xml:space="preserve">MA-2022-0415</t>
  </si>
  <si>
    <t xml:space="preserve">OFR-2022-0135</t>
  </si>
  <si>
    <t xml:space="preserve">OFR-2022-0136</t>
  </si>
  <si>
    <t xml:space="preserve">MA-2022-0712</t>
  </si>
  <si>
    <t xml:space="preserve">OFR-2022-0137</t>
  </si>
  <si>
    <t xml:space="preserve">OFR-2022-0138</t>
  </si>
  <si>
    <t xml:space="preserve">OFR-2022-0139</t>
  </si>
  <si>
    <t xml:space="preserve">OFR-2022-0140</t>
  </si>
  <si>
    <t xml:space="preserve">MA-2022-0819</t>
  </si>
  <si>
    <t xml:space="preserve">OFR-2022-0141</t>
  </si>
  <si>
    <t xml:space="preserve">OFR-2022-0142</t>
  </si>
  <si>
    <t xml:space="preserve">OFR-2022-0143</t>
  </si>
  <si>
    <t xml:space="preserve">MA-2022-0402</t>
  </si>
  <si>
    <t xml:space="preserve">OFR-2022-0144</t>
  </si>
  <si>
    <t xml:space="preserve">OFR-2022-0145</t>
  </si>
  <si>
    <t xml:space="preserve">MA-2022-0523</t>
  </si>
  <si>
    <t xml:space="preserve">OFR-2022-0146</t>
  </si>
  <si>
    <t xml:space="preserve">OFR-2022-0147</t>
  </si>
  <si>
    <t xml:space="preserve">OFR-2022-0148</t>
  </si>
  <si>
    <t xml:space="preserve">OFR-2022-0149</t>
  </si>
  <si>
    <t xml:space="preserve">MA-2022-0620</t>
  </si>
  <si>
    <t xml:space="preserve">OFR-2022-0150</t>
  </si>
  <si>
    <t xml:space="preserve">OFR-2022-0151</t>
  </si>
  <si>
    <t xml:space="preserve">OFR-2022-0152</t>
  </si>
  <si>
    <t xml:space="preserve">OFR-2022-0153</t>
  </si>
  <si>
    <t xml:space="preserve">OFR-2022-0154</t>
  </si>
  <si>
    <t xml:space="preserve">MA-2022-0307</t>
  </si>
  <si>
    <t xml:space="preserve">OFR-2022-0155</t>
  </si>
  <si>
    <t xml:space="preserve">OFR-2022-0156</t>
  </si>
  <si>
    <t xml:space="preserve">OFR-2022-0157</t>
  </si>
  <si>
    <t xml:space="preserve">OFR-2022-0158</t>
  </si>
  <si>
    <t xml:space="preserve">MA-2022-1014</t>
  </si>
  <si>
    <t xml:space="preserve">OFR-2022-0159</t>
  </si>
  <si>
    <t xml:space="preserve">OFR-2022-0160</t>
  </si>
  <si>
    <t xml:space="preserve">OFR-2022-0161</t>
  </si>
  <si>
    <t xml:space="preserve">MA-2022-1011</t>
  </si>
  <si>
    <t xml:space="preserve">OFR-2022-0162</t>
  </si>
  <si>
    <t xml:space="preserve">MA-2022-0314</t>
  </si>
  <si>
    <t xml:space="preserve">OFR-2022-0163</t>
  </si>
  <si>
    <t xml:space="preserve">OFR-2022-0164</t>
  </si>
  <si>
    <t xml:space="preserve">MA-2022-0705</t>
  </si>
  <si>
    <t xml:space="preserve">OFR-2022-0165</t>
  </si>
  <si>
    <t xml:space="preserve">MA-2022-0718</t>
  </si>
  <si>
    <t xml:space="preserve">OFR-2022-0166</t>
  </si>
  <si>
    <t xml:space="preserve">OFR-2022-0167</t>
  </si>
  <si>
    <t xml:space="preserve">MA-2022-0215</t>
  </si>
  <si>
    <t xml:space="preserve">OFR-2022-0168</t>
  </si>
  <si>
    <t xml:space="preserve">OFR-2022-0169</t>
  </si>
  <si>
    <t xml:space="preserve">OFR-2022-0170</t>
  </si>
  <si>
    <t xml:space="preserve">OFR-2022-0171</t>
  </si>
  <si>
    <t xml:space="preserve">OFR-2022-0172</t>
  </si>
  <si>
    <t xml:space="preserve">OFR-2022-0173</t>
  </si>
  <si>
    <t xml:space="preserve">OFR-2022-0174</t>
  </si>
  <si>
    <t xml:space="preserve">OFR-2022-0175</t>
  </si>
  <si>
    <t xml:space="preserve">MA-2022-0514</t>
  </si>
  <si>
    <t xml:space="preserve">OFR-2022-0176</t>
  </si>
  <si>
    <t xml:space="preserve">OFR-2022-0177</t>
  </si>
  <si>
    <t xml:space="preserve">OFR-2022-0178</t>
  </si>
  <si>
    <t xml:space="preserve">OFR-2022-0179</t>
  </si>
  <si>
    <t xml:space="preserve">MA-2022-0113</t>
  </si>
  <si>
    <t xml:space="preserve">OFR-2022-0180</t>
  </si>
  <si>
    <t xml:space="preserve">MA-2022-0516</t>
  </si>
  <si>
    <t xml:space="preserve">OFR-2022-0181</t>
  </si>
  <si>
    <t xml:space="preserve">OFR-2022-0182</t>
  </si>
  <si>
    <t xml:space="preserve">OFR-2022-0183</t>
  </si>
  <si>
    <t xml:space="preserve">OFR-2022-0184</t>
  </si>
  <si>
    <t xml:space="preserve">OFR-2022-0185</t>
  </si>
  <si>
    <t xml:space="preserve">MA-2022-0521</t>
  </si>
  <si>
    <t xml:space="preserve">OFR-2022-0186</t>
  </si>
  <si>
    <t xml:space="preserve">OFR-2022-0187</t>
  </si>
  <si>
    <t xml:space="preserve">MA-2022-0502</t>
  </si>
  <si>
    <t xml:space="preserve">OFR-2022-0188</t>
  </si>
  <si>
    <t xml:space="preserve">OFR-2022-0189</t>
  </si>
  <si>
    <t xml:space="preserve">MA-2022-0503</t>
  </si>
  <si>
    <t xml:space="preserve">OFR-2022-0190</t>
  </si>
  <si>
    <t xml:space="preserve">MA-2022-0708</t>
  </si>
  <si>
    <t xml:space="preserve">OFR-2022-0191</t>
  </si>
  <si>
    <t xml:space="preserve">MA-2022-0217</t>
  </si>
  <si>
    <t xml:space="preserve">OFR-2022-0192</t>
  </si>
  <si>
    <t xml:space="preserve">MA-2022-0123</t>
  </si>
  <si>
    <t xml:space="preserve">OFR-2022-0193</t>
  </si>
  <si>
    <t xml:space="preserve">MA-2022-1004</t>
  </si>
  <si>
    <t xml:space="preserve">OFR-2022-0194</t>
  </si>
  <si>
    <t xml:space="preserve">OFR-2022-0195</t>
  </si>
  <si>
    <t xml:space="preserve">MA-2022-0916</t>
  </si>
  <si>
    <t xml:space="preserve">OFR-2022-0196</t>
  </si>
  <si>
    <t xml:space="preserve">MA-2022-0913</t>
  </si>
  <si>
    <t xml:space="preserve">OFR-2022-0197</t>
  </si>
  <si>
    <t xml:space="preserve">OFR-2022-0198</t>
  </si>
  <si>
    <t xml:space="preserve">MA-2022-0501</t>
  </si>
  <si>
    <t xml:space="preserve">OFR-2022-0199</t>
  </si>
  <si>
    <t xml:space="preserve">OFR-2022-0200</t>
  </si>
  <si>
    <t xml:space="preserve">OFR-2022-0201</t>
  </si>
  <si>
    <t xml:space="preserve">OFR-2022-0202</t>
  </si>
  <si>
    <t xml:space="preserve">MA-2022-0609</t>
  </si>
  <si>
    <t xml:space="preserve">OFR-2022-0203</t>
  </si>
  <si>
    <t xml:space="preserve">OFR-2022-0204</t>
  </si>
  <si>
    <t xml:space="preserve">MA-2022-0103</t>
  </si>
  <si>
    <t xml:space="preserve">OFR-2022-0205</t>
  </si>
  <si>
    <t xml:space="preserve">OFR-2022-0206</t>
  </si>
  <si>
    <t xml:space="preserve">MA-2022-0806</t>
  </si>
  <si>
    <t xml:space="preserve">OFR-2022-0207</t>
  </si>
  <si>
    <t xml:space="preserve">OFR-2022-0208</t>
  </si>
  <si>
    <t xml:space="preserve">OFR-2022-0209</t>
  </si>
  <si>
    <t xml:space="preserve">MA-2022-0617</t>
  </si>
  <si>
    <t xml:space="preserve">OFR-2022-0210</t>
  </si>
  <si>
    <t xml:space="preserve">OFR-2022-0211</t>
  </si>
  <si>
    <t xml:space="preserve">OFR-2022-0212</t>
  </si>
  <si>
    <t xml:space="preserve">OFR-2022-0213</t>
  </si>
  <si>
    <t xml:space="preserve">MA-2022-0608</t>
  </si>
  <si>
    <t xml:space="preserve">OFR-2022-0214</t>
  </si>
  <si>
    <t xml:space="preserve">MA-2022-0717</t>
  </si>
  <si>
    <t xml:space="preserve">OFR-2022-0215</t>
  </si>
  <si>
    <t xml:space="preserve">OFR-2022-0216</t>
  </si>
  <si>
    <t xml:space="preserve">MA-2022-0703</t>
  </si>
  <si>
    <t xml:space="preserve">OFR-2022-0217</t>
  </si>
  <si>
    <t xml:space="preserve">OFR-2022-0218</t>
  </si>
  <si>
    <t xml:space="preserve">MA-2022-0222</t>
  </si>
  <si>
    <t xml:space="preserve">OFR-2022-0219</t>
  </si>
  <si>
    <t xml:space="preserve">OFR-2022-0220</t>
  </si>
  <si>
    <t xml:space="preserve">OFR-2022-0221</t>
  </si>
  <si>
    <t xml:space="preserve">OFR-2022-0222</t>
  </si>
  <si>
    <t xml:space="preserve">OFR-2022-0223</t>
  </si>
  <si>
    <t xml:space="preserve">OFR-2022-0224</t>
  </si>
  <si>
    <t xml:space="preserve">OFR-2022-0225</t>
  </si>
  <si>
    <t xml:space="preserve">MA-2022-0115</t>
  </si>
  <si>
    <t xml:space="preserve">OFR-2022-0226</t>
  </si>
  <si>
    <t xml:space="preserve">OFR-2022-0227</t>
  </si>
  <si>
    <t xml:space="preserve">OFR-2022-0228</t>
  </si>
  <si>
    <t xml:space="preserve">OFR-2022-0229</t>
  </si>
  <si>
    <t xml:space="preserve">OFR-2022-0230</t>
  </si>
  <si>
    <t xml:space="preserve">MA-2022-0421</t>
  </si>
  <si>
    <t xml:space="preserve">OFR-2022-0231</t>
  </si>
  <si>
    <t xml:space="preserve">MA-2022-0719</t>
  </si>
  <si>
    <t xml:space="preserve">OFR-2022-0232</t>
  </si>
  <si>
    <t xml:space="preserve">OFR-2022-0233</t>
  </si>
  <si>
    <t xml:space="preserve">OFR-2022-0234</t>
  </si>
  <si>
    <t xml:space="preserve">MA-2022-0623</t>
  </si>
  <si>
    <t xml:space="preserve">OFR-2022-0235</t>
  </si>
  <si>
    <t xml:space="preserve">OFR-2022-0236</t>
  </si>
  <si>
    <t xml:space="preserve">OFR-2022-0237</t>
  </si>
  <si>
    <t xml:space="preserve">MA-2022-0118</t>
  </si>
  <si>
    <t xml:space="preserve">OFR-2022-0238</t>
  </si>
  <si>
    <t xml:space="preserve">OFR-2022-0239</t>
  </si>
  <si>
    <t xml:space="preserve">OFR-2022-0240</t>
  </si>
  <si>
    <t xml:space="preserve">OFR-2022-0241</t>
  </si>
  <si>
    <t xml:space="preserve">OFR-2022-0242</t>
  </si>
  <si>
    <t xml:space="preserve">MA-2022-1021</t>
  </si>
  <si>
    <t xml:space="preserve">OFR-2022-0243</t>
  </si>
  <si>
    <t xml:space="preserve">OFR-2022-0244</t>
  </si>
  <si>
    <t xml:space="preserve">OFR-2022-0245</t>
  </si>
  <si>
    <t xml:space="preserve">MA-2022-0417</t>
  </si>
  <si>
    <t xml:space="preserve">OFR-2022-0246</t>
  </si>
  <si>
    <t xml:space="preserve">OFR-2022-0247</t>
  </si>
  <si>
    <t xml:space="preserve">OFR-2022-0248</t>
  </si>
  <si>
    <t xml:space="preserve">OFR-2022-0249</t>
  </si>
  <si>
    <t xml:space="preserve">MA-2022-0316</t>
  </si>
  <si>
    <t xml:space="preserve">OFR-2022-0250</t>
  </si>
  <si>
    <t xml:space="preserve">OFR-2022-0251</t>
  </si>
  <si>
    <t xml:space="preserve">MA-2022-0614</t>
  </si>
  <si>
    <t xml:space="preserve">OFR-2022-0252</t>
  </si>
  <si>
    <t xml:space="preserve">MA-2022-0304</t>
  </si>
  <si>
    <t xml:space="preserve">OFR-2022-0253</t>
  </si>
  <si>
    <t xml:space="preserve">OFR-2022-0254</t>
  </si>
  <si>
    <t xml:space="preserve">MA-2022-0812</t>
  </si>
  <si>
    <t xml:space="preserve">OFR-2022-0255</t>
  </si>
  <si>
    <t xml:space="preserve">OFR-2022-0256</t>
  </si>
  <si>
    <t xml:space="preserve">OFR-2022-0257</t>
  </si>
  <si>
    <t xml:space="preserve">MA-2022-1020</t>
  </si>
  <si>
    <t xml:space="preserve">OFR-2022-0258</t>
  </si>
  <si>
    <t xml:space="preserve">OFR-2022-0259</t>
  </si>
  <si>
    <t xml:space="preserve">OFR-2022-0260</t>
  </si>
  <si>
    <t xml:space="preserve">OFR-2022-0261</t>
  </si>
  <si>
    <t xml:space="preserve">OFR-2022-0262</t>
  </si>
  <si>
    <t xml:space="preserve">OFR-2022-0263</t>
  </si>
  <si>
    <t xml:space="preserve">OFR-2022-0264</t>
  </si>
  <si>
    <t xml:space="preserve">OFR-2022-0265</t>
  </si>
  <si>
    <t xml:space="preserve">OFR-2022-0266</t>
  </si>
  <si>
    <t xml:space="preserve">MA-2022-0116</t>
  </si>
  <si>
    <t xml:space="preserve">OFR-2022-0267</t>
  </si>
  <si>
    <t xml:space="preserve">OFR-2022-0268</t>
  </si>
  <si>
    <t xml:space="preserve">OFR-2022-0269</t>
  </si>
  <si>
    <t xml:space="preserve">MA-2022-0622</t>
  </si>
  <si>
    <t xml:space="preserve">OFR-2022-0270</t>
  </si>
  <si>
    <t xml:space="preserve">OFR-2022-0271</t>
  </si>
  <si>
    <t xml:space="preserve">OFR-2022-0272</t>
  </si>
  <si>
    <t xml:space="preserve">OFR-2022-0273</t>
  </si>
  <si>
    <t xml:space="preserve">OFR-2022-0274</t>
  </si>
  <si>
    <t xml:space="preserve">OFR-2022-0275</t>
  </si>
  <si>
    <t xml:space="preserve">MA-2022-0203</t>
  </si>
  <si>
    <t xml:space="preserve">OFR-2022-0276</t>
  </si>
  <si>
    <t xml:space="preserve">OFR-2022-0277</t>
  </si>
  <si>
    <t xml:space="preserve">MA-2022-0720</t>
  </si>
  <si>
    <t xml:space="preserve">OFR-2022-0278</t>
  </si>
  <si>
    <t xml:space="preserve">OFR-2022-0279</t>
  </si>
  <si>
    <t xml:space="preserve">OFR-2022-0280</t>
  </si>
  <si>
    <t xml:space="preserve">MA-2022-0306</t>
  </si>
  <si>
    <t xml:space="preserve">OFR-2022-0281</t>
  </si>
  <si>
    <t xml:space="preserve">OFR-2022-0282</t>
  </si>
  <si>
    <t xml:space="preserve">OFR-2022-0283</t>
  </si>
  <si>
    <t xml:space="preserve">OFR-2022-0284</t>
  </si>
  <si>
    <t xml:space="preserve">OFR-2022-0285</t>
  </si>
  <si>
    <t xml:space="preserve">MA-2022-0607</t>
  </si>
  <si>
    <t xml:space="preserve">OFR-2022-0286</t>
  </si>
  <si>
    <t xml:space="preserve">OFR-2022-0287</t>
  </si>
  <si>
    <t xml:space="preserve">MA-2022-0120</t>
  </si>
  <si>
    <t xml:space="preserve">OFR-2022-0288</t>
  </si>
  <si>
    <t xml:space="preserve">OFR-2022-0289</t>
  </si>
  <si>
    <t xml:space="preserve">OFR-2022-0290</t>
  </si>
  <si>
    <t xml:space="preserve">OFR-2022-0291</t>
  </si>
  <si>
    <t xml:space="preserve">OFR-2022-0292</t>
  </si>
  <si>
    <t xml:space="preserve">OFR-2022-0293</t>
  </si>
  <si>
    <t xml:space="preserve">OFR-2022-0294</t>
  </si>
  <si>
    <t xml:space="preserve">OFR-2022-0295</t>
  </si>
  <si>
    <t xml:space="preserve">OFR-2022-0296</t>
  </si>
  <si>
    <t xml:space="preserve">OFR-2022-0297</t>
  </si>
  <si>
    <t xml:space="preserve">MA-2022-1024</t>
  </si>
  <si>
    <t xml:space="preserve">OFR-2022-0298</t>
  </si>
  <si>
    <t xml:space="preserve">OFR-2022-0299</t>
  </si>
  <si>
    <t xml:space="preserve">OFR-2022-0300</t>
  </si>
  <si>
    <t xml:space="preserve">OFR-2022-0301</t>
  </si>
  <si>
    <t xml:space="preserve">OFR-2022-0302</t>
  </si>
  <si>
    <t xml:space="preserve">OFR-2022-0303</t>
  </si>
  <si>
    <t xml:space="preserve">OFR-2022-0304</t>
  </si>
  <si>
    <t xml:space="preserve">OFR-2022-0305</t>
  </si>
  <si>
    <t xml:space="preserve">OFR-2022-0306</t>
  </si>
  <si>
    <t xml:space="preserve">OFR-2022-0307</t>
  </si>
  <si>
    <t xml:space="preserve">OFR-2022-0308</t>
  </si>
  <si>
    <t xml:space="preserve">OFR-2022-0309</t>
  </si>
  <si>
    <t xml:space="preserve">OFR-2022-0310</t>
  </si>
  <si>
    <t xml:space="preserve">OFR-2022-0311</t>
  </si>
  <si>
    <t xml:space="preserve">OFR-2022-0312</t>
  </si>
  <si>
    <t xml:space="preserve">OFR-2022-0313</t>
  </si>
  <si>
    <t xml:space="preserve">MA-2022-0807</t>
  </si>
  <si>
    <t xml:space="preserve">OFR-2022-0314</t>
  </si>
  <si>
    <t xml:space="preserve">MA-2022-0823</t>
  </si>
  <si>
    <t xml:space="preserve">OFR-2022-0315</t>
  </si>
  <si>
    <t xml:space="preserve">MA-2022-0204</t>
  </si>
  <si>
    <t xml:space="preserve">OFR-2022-0316</t>
  </si>
  <si>
    <t xml:space="preserve">OFR-2022-0317</t>
  </si>
  <si>
    <t xml:space="preserve">MA-2022-0624</t>
  </si>
  <si>
    <t xml:space="preserve">OFR-2022-0318</t>
  </si>
  <si>
    <t xml:space="preserve">MA-2022-0107</t>
  </si>
  <si>
    <t xml:space="preserve">OFR-2022-0319</t>
  </si>
  <si>
    <t xml:space="preserve">OFR-2022-0320</t>
  </si>
  <si>
    <t xml:space="preserve">OFR-2023-0321</t>
  </si>
  <si>
    <t xml:space="preserve">MA-2023-0621</t>
  </si>
  <si>
    <t xml:space="preserve">OFR-2023-0322</t>
  </si>
  <si>
    <t xml:space="preserve">OFR-2023-0323</t>
  </si>
  <si>
    <t xml:space="preserve">OFR-2023-0324</t>
  </si>
  <si>
    <t xml:space="preserve">OFR-2023-0325</t>
  </si>
  <si>
    <t xml:space="preserve">OFR-2023-0326</t>
  </si>
  <si>
    <t xml:space="preserve">OFR-2023-0327</t>
  </si>
  <si>
    <t xml:space="preserve">OFR-2023-0328</t>
  </si>
  <si>
    <t xml:space="preserve">OFR-2023-0329</t>
  </si>
  <si>
    <t xml:space="preserve">MA-2023-0101</t>
  </si>
  <si>
    <t xml:space="preserve">OFR-2023-0330</t>
  </si>
  <si>
    <t xml:space="preserve">OFR-2023-0331</t>
  </si>
  <si>
    <t xml:space="preserve">MA-2023-0803</t>
  </si>
  <si>
    <t xml:space="preserve">OFR-2023-0332</t>
  </si>
  <si>
    <t xml:space="preserve">OFR-2023-0333</t>
  </si>
  <si>
    <t xml:space="preserve">OFR-2023-0334</t>
  </si>
  <si>
    <t xml:space="preserve">OFR-2023-0335</t>
  </si>
  <si>
    <t xml:space="preserve">MA-2023-0821</t>
  </si>
  <si>
    <t xml:space="preserve">OFR-2023-0336</t>
  </si>
  <si>
    <t xml:space="preserve">OFR-2023-0337</t>
  </si>
  <si>
    <t xml:space="preserve">MA-2023-0507</t>
  </si>
  <si>
    <t xml:space="preserve">OFR-2023-0338</t>
  </si>
  <si>
    <t xml:space="preserve">OFR-2023-0339</t>
  </si>
  <si>
    <t xml:space="preserve">OFR-2023-0340</t>
  </si>
  <si>
    <t xml:space="preserve">OFR-2023-0341</t>
  </si>
  <si>
    <t xml:space="preserve">MA-2023-0218</t>
  </si>
  <si>
    <t xml:space="preserve">OFR-2023-0342</t>
  </si>
  <si>
    <t xml:space="preserve">OFR-2023-0343</t>
  </si>
  <si>
    <t xml:space="preserve">OFR-2023-0344</t>
  </si>
  <si>
    <t xml:space="preserve">MA-2023-0402</t>
  </si>
  <si>
    <t xml:space="preserve">OFR-2023-0345</t>
  </si>
  <si>
    <t xml:space="preserve">OFR-2023-0346</t>
  </si>
  <si>
    <t xml:space="preserve">OFR-2023-0347</t>
  </si>
  <si>
    <t xml:space="preserve">MA-2023-0505</t>
  </si>
  <si>
    <t xml:space="preserve">OFR-2023-0348</t>
  </si>
  <si>
    <t xml:space="preserve">MA-2023-0106</t>
  </si>
  <si>
    <t xml:space="preserve">OFR-2023-0349</t>
  </si>
  <si>
    <t xml:space="preserve">MA-2023-0909</t>
  </si>
  <si>
    <t xml:space="preserve">OFR-2023-0350</t>
  </si>
  <si>
    <t xml:space="preserve">OFR-2023-0351</t>
  </si>
  <si>
    <t xml:space="preserve">OFR-2023-0352</t>
  </si>
  <si>
    <t xml:space="preserve">MA-2023-0714</t>
  </si>
  <si>
    <t xml:space="preserve">OFR-2023-0353</t>
  </si>
  <si>
    <t xml:space="preserve">MA-2023-0807</t>
  </si>
  <si>
    <t xml:space="preserve">OFR-2023-0354</t>
  </si>
  <si>
    <t xml:space="preserve">MA-2023-0317</t>
  </si>
  <si>
    <t xml:space="preserve">OFR-2023-0355</t>
  </si>
  <si>
    <t xml:space="preserve">MA-2023-0912</t>
  </si>
  <si>
    <t xml:space="preserve">OFR-2023-0356</t>
  </si>
  <si>
    <t xml:space="preserve">OFR-2023-0357</t>
  </si>
  <si>
    <t xml:space="preserve">OFR-2023-0358</t>
  </si>
  <si>
    <t xml:space="preserve">MA-2023-0503</t>
  </si>
  <si>
    <t xml:space="preserve">OFR-2023-0359</t>
  </si>
  <si>
    <t xml:space="preserve">OFR-2023-0360</t>
  </si>
  <si>
    <t xml:space="preserve">OFR-2023-0361</t>
  </si>
  <si>
    <t xml:space="preserve">OFR-2023-0362</t>
  </si>
  <si>
    <t xml:space="preserve">MA-2023-0410</t>
  </si>
  <si>
    <t xml:space="preserve">OFR-2023-0363</t>
  </si>
  <si>
    <t xml:space="preserve">MA-2023-1012</t>
  </si>
  <si>
    <t xml:space="preserve">OFR-2023-0364</t>
  </si>
  <si>
    <t xml:space="preserve">OFR-2023-0365</t>
  </si>
  <si>
    <t xml:space="preserve">MA-2023-0423</t>
  </si>
  <si>
    <t xml:space="preserve">OFR-2023-0366</t>
  </si>
  <si>
    <t xml:space="preserve">OFR-2023-0367</t>
  </si>
  <si>
    <t xml:space="preserve">OFR-2023-0368</t>
  </si>
  <si>
    <t xml:space="preserve">OFR-2023-0369</t>
  </si>
  <si>
    <t xml:space="preserve">OFR-2023-0370</t>
  </si>
  <si>
    <t xml:space="preserve">OFR-2023-0371</t>
  </si>
  <si>
    <t xml:space="preserve">OFR-2023-0372</t>
  </si>
  <si>
    <t xml:space="preserve">OFR-2023-0373</t>
  </si>
  <si>
    <t xml:space="preserve">MA-2023-0215</t>
  </si>
  <si>
    <t xml:space="preserve">OFR-2023-0374</t>
  </si>
  <si>
    <t xml:space="preserve">OFR-2023-0375</t>
  </si>
  <si>
    <t xml:space="preserve">OFR-2023-0376</t>
  </si>
  <si>
    <t xml:space="preserve">MA-2023-0103</t>
  </si>
  <si>
    <t xml:space="preserve">OFR-2023-0377</t>
  </si>
  <si>
    <t xml:space="preserve">OFR-2023-0378</t>
  </si>
  <si>
    <t xml:space="preserve">OFR-2023-0379</t>
  </si>
  <si>
    <t xml:space="preserve">OFR-2023-0380</t>
  </si>
  <si>
    <t xml:space="preserve">OFR-2023-0381</t>
  </si>
  <si>
    <t xml:space="preserve">OFR-2023-0382</t>
  </si>
  <si>
    <t xml:space="preserve">MA-2023-0524</t>
  </si>
  <si>
    <t xml:space="preserve">OFR-2023-0383</t>
  </si>
  <si>
    <t xml:space="preserve">MA-2023-0510</t>
  </si>
  <si>
    <t xml:space="preserve">OFR-2023-0384</t>
  </si>
  <si>
    <t xml:space="preserve">OFR-2023-0385</t>
  </si>
  <si>
    <t xml:space="preserve">OFR-2023-0386</t>
  </si>
  <si>
    <t xml:space="preserve">OFR-2023-0387</t>
  </si>
  <si>
    <t xml:space="preserve">OFR-2023-0388</t>
  </si>
  <si>
    <t xml:space="preserve">MA-2023-0713</t>
  </si>
  <si>
    <t xml:space="preserve">OFR-2023-0389</t>
  </si>
  <si>
    <t xml:space="preserve">MA-2023-0302</t>
  </si>
  <si>
    <t xml:space="preserve">OFR-2023-0390</t>
  </si>
  <si>
    <t xml:space="preserve">OFR-2023-0391</t>
  </si>
  <si>
    <t xml:space="preserve">OFR-2023-0392</t>
  </si>
  <si>
    <t xml:space="preserve">OFR-2023-0393</t>
  </si>
  <si>
    <t xml:space="preserve">OFR-2023-0394</t>
  </si>
  <si>
    <t xml:space="preserve">MA-2023-0608</t>
  </si>
  <si>
    <t xml:space="preserve">OFR-2023-0395</t>
  </si>
  <si>
    <t xml:space="preserve">OFR-2023-0396</t>
  </si>
  <si>
    <t xml:space="preserve">OFR-2023-0397</t>
  </si>
  <si>
    <t xml:space="preserve">OFR-2023-0398</t>
  </si>
  <si>
    <t xml:space="preserve">OFR-2023-0399</t>
  </si>
  <si>
    <t xml:space="preserve">OFR-2023-0400</t>
  </si>
  <si>
    <t xml:space="preserve">OFR-2023-0401</t>
  </si>
  <si>
    <t xml:space="preserve">OFR-2023-0402</t>
  </si>
  <si>
    <t xml:space="preserve">MA-2023-1013</t>
  </si>
  <si>
    <t xml:space="preserve">OFR-2023-0403</t>
  </si>
  <si>
    <t xml:space="preserve">OFR-2023-0404</t>
  </si>
  <si>
    <t xml:space="preserve">MA-2023-1003</t>
  </si>
  <si>
    <t xml:space="preserve">OFR-2023-0405</t>
  </si>
  <si>
    <t xml:space="preserve">MA-2023-0610</t>
  </si>
  <si>
    <t xml:space="preserve">OFR-2023-0406</t>
  </si>
  <si>
    <t xml:space="preserve">MA-2023-0522</t>
  </si>
  <si>
    <t xml:space="preserve">OFR-2023-0407</t>
  </si>
  <si>
    <t xml:space="preserve">OFR-2023-0408</t>
  </si>
  <si>
    <t xml:space="preserve">MA-2023-1021</t>
  </si>
  <si>
    <t xml:space="preserve">OFR-2023-0409</t>
  </si>
  <si>
    <t xml:space="preserve">OFR-2023-0410</t>
  </si>
  <si>
    <t xml:space="preserve">MA-2023-0211</t>
  </si>
  <si>
    <t xml:space="preserve">OFR-2023-0411</t>
  </si>
  <si>
    <t xml:space="preserve">OFR-2023-0412</t>
  </si>
  <si>
    <t xml:space="preserve">OFR-2023-0413</t>
  </si>
  <si>
    <t xml:space="preserve">MA-2023-0708</t>
  </si>
  <si>
    <t xml:space="preserve">OFR-2023-0414</t>
  </si>
  <si>
    <t xml:space="preserve">MA-2023-0607</t>
  </si>
  <si>
    <t xml:space="preserve">OFR-2023-0415</t>
  </si>
  <si>
    <t xml:space="preserve">MA-2023-0322</t>
  </si>
  <si>
    <t xml:space="preserve">OFR-2023-0416</t>
  </si>
  <si>
    <t xml:space="preserve">OFR-2023-0417</t>
  </si>
  <si>
    <t xml:space="preserve">OFR-2023-0418</t>
  </si>
  <si>
    <t xml:space="preserve">OFR-2023-0419</t>
  </si>
  <si>
    <t xml:space="preserve">OFR-2023-0420</t>
  </si>
  <si>
    <t xml:space="preserve">OFR-2023-0421</t>
  </si>
  <si>
    <t xml:space="preserve">OFR-2023-0422</t>
  </si>
  <si>
    <t xml:space="preserve">OFR-2023-0423</t>
  </si>
  <si>
    <t xml:space="preserve">OFR-2023-0424</t>
  </si>
  <si>
    <t xml:space="preserve">OFR-2023-0425</t>
  </si>
  <si>
    <t xml:space="preserve">OFR-2023-0426</t>
  </si>
  <si>
    <t xml:space="preserve">MA-2023-0615</t>
  </si>
  <si>
    <t xml:space="preserve">OFR-2023-0427</t>
  </si>
  <si>
    <t xml:space="preserve">OFR-2023-0428</t>
  </si>
  <si>
    <t xml:space="preserve">MA-2023-0816</t>
  </si>
  <si>
    <t xml:space="preserve">OFR-2023-0429</t>
  </si>
  <si>
    <t xml:space="preserve">OFR-2023-0430</t>
  </si>
  <si>
    <t xml:space="preserve">OFR-2023-0431</t>
  </si>
  <si>
    <t xml:space="preserve">MA-2023-0905</t>
  </si>
  <si>
    <t xml:space="preserve">OFR-2023-0432</t>
  </si>
  <si>
    <t xml:space="preserve">OFR-2023-0433</t>
  </si>
  <si>
    <t xml:space="preserve">MA-2023-0102</t>
  </si>
  <si>
    <t xml:space="preserve">OFR-2023-0434</t>
  </si>
  <si>
    <t xml:space="preserve">OFR-2023-0435</t>
  </si>
  <si>
    <t xml:space="preserve">OFR-2023-0436</t>
  </si>
  <si>
    <t xml:space="preserve">OFR-2023-0437</t>
  </si>
  <si>
    <t xml:space="preserve">OFR-2023-0438</t>
  </si>
  <si>
    <t xml:space="preserve">OFR-2023-0439</t>
  </si>
  <si>
    <t xml:space="preserve">MA-2023-0114</t>
  </si>
  <si>
    <t xml:space="preserve">OFR-2023-0440</t>
  </si>
  <si>
    <t xml:space="preserve">OFR-2023-0441</t>
  </si>
  <si>
    <t xml:space="preserve">MA-2023-1007</t>
  </si>
  <si>
    <t xml:space="preserve">OFR-2023-0442</t>
  </si>
  <si>
    <t xml:space="preserve">OFR-2023-0443</t>
  </si>
  <si>
    <t xml:space="preserve">MA-2023-0822</t>
  </si>
  <si>
    <t xml:space="preserve">OFR-2023-0444</t>
  </si>
  <si>
    <t xml:space="preserve">OFR-2023-0445</t>
  </si>
  <si>
    <t xml:space="preserve">OFR-2023-0446</t>
  </si>
  <si>
    <t xml:space="preserve">OFR-2023-0447</t>
  </si>
  <si>
    <t xml:space="preserve">OFR-2023-0448</t>
  </si>
  <si>
    <t xml:space="preserve">OFR-2023-0449</t>
  </si>
  <si>
    <t xml:space="preserve">OFR-2023-0450</t>
  </si>
  <si>
    <t xml:space="preserve">MA-2023-0219</t>
  </si>
  <si>
    <t xml:space="preserve">OFR-2023-0451</t>
  </si>
  <si>
    <t xml:space="preserve">OFR-2023-0452</t>
  </si>
  <si>
    <t xml:space="preserve">OFR-2023-0453</t>
  </si>
  <si>
    <t xml:space="preserve">MA-2023-0204</t>
  </si>
  <si>
    <t xml:space="preserve">OFR-2023-0454</t>
  </si>
  <si>
    <t xml:space="preserve">OFR-2023-0455</t>
  </si>
  <si>
    <t xml:space="preserve">OFR-2023-0456</t>
  </si>
  <si>
    <t xml:space="preserve">OFR-2023-0457</t>
  </si>
  <si>
    <t xml:space="preserve">OFR-2023-0458</t>
  </si>
  <si>
    <t xml:space="preserve">OFR-2023-0459</t>
  </si>
  <si>
    <t xml:space="preserve">MA-2023-0408</t>
  </si>
  <si>
    <t xml:space="preserve">OFR-2023-0460</t>
  </si>
  <si>
    <t xml:space="preserve">OFR-2023-0461</t>
  </si>
  <si>
    <t xml:space="preserve">OFR-2023-0462</t>
  </si>
  <si>
    <t xml:space="preserve">OFR-2023-0463</t>
  </si>
  <si>
    <t xml:space="preserve">MA-2023-1008</t>
  </si>
  <si>
    <t xml:space="preserve">OFR-2023-0464</t>
  </si>
  <si>
    <t xml:space="preserve">OFR-2023-0465</t>
  </si>
  <si>
    <t xml:space="preserve">MA-2023-0911</t>
  </si>
  <si>
    <t xml:space="preserve">OFR-2023-0466</t>
  </si>
  <si>
    <t xml:space="preserve">OFR-2023-0467</t>
  </si>
  <si>
    <t xml:space="preserve">MA-2023-0306</t>
  </si>
  <si>
    <t xml:space="preserve">OFR-2023-0468</t>
  </si>
  <si>
    <t xml:space="preserve">OFR-2023-0469</t>
  </si>
  <si>
    <t xml:space="preserve">OFR-2023-0470</t>
  </si>
  <si>
    <t xml:space="preserve">OFR-2023-0471</t>
  </si>
  <si>
    <t xml:space="preserve">MA-2023-0703</t>
  </si>
  <si>
    <t xml:space="preserve">OFR-2023-0472</t>
  </si>
  <si>
    <t xml:space="preserve">MA-2023-0203</t>
  </si>
  <si>
    <t xml:space="preserve">OFR-2023-0473</t>
  </si>
  <si>
    <t xml:space="preserve">OFR-2023-0474</t>
  </si>
  <si>
    <t xml:space="preserve">OFR-2023-0475</t>
  </si>
  <si>
    <t xml:space="preserve">MA-2023-0201</t>
  </si>
  <si>
    <t xml:space="preserve">OFR-2023-0476</t>
  </si>
  <si>
    <t xml:space="preserve">MA-2023-0513</t>
  </si>
  <si>
    <t xml:space="preserve">OFR-2023-0477</t>
  </si>
  <si>
    <t xml:space="preserve">MA-2023-0509</t>
  </si>
  <si>
    <t xml:space="preserve">OFR-2023-0478</t>
  </si>
  <si>
    <t xml:space="preserve">OFR-2023-0479</t>
  </si>
  <si>
    <t xml:space="preserve">OFR-2023-0480</t>
  </si>
  <si>
    <t xml:space="preserve">MA-2023-0403</t>
  </si>
  <si>
    <t xml:space="preserve">OFR-2023-0481</t>
  </si>
  <si>
    <t xml:space="preserve">OFR-2023-0482</t>
  </si>
  <si>
    <t xml:space="preserve">OFR-2023-0483</t>
  </si>
  <si>
    <t xml:space="preserve">OFR-2023-0484</t>
  </si>
  <si>
    <t xml:space="preserve">OFR-2023-0485</t>
  </si>
  <si>
    <t xml:space="preserve">OFR-2023-0486</t>
  </si>
  <si>
    <t xml:space="preserve">OFR-2023-0487</t>
  </si>
  <si>
    <t xml:space="preserve">OFR-2023-0488</t>
  </si>
  <si>
    <t xml:space="preserve">OFR-2023-0489</t>
  </si>
  <si>
    <t xml:space="preserve">OFR-2023-0490</t>
  </si>
  <si>
    <t xml:space="preserve">OFR-2023-0491</t>
  </si>
  <si>
    <t xml:space="preserve">OFR-2023-0492</t>
  </si>
  <si>
    <t xml:space="preserve">OFR-2023-0493</t>
  </si>
  <si>
    <t xml:space="preserve">OFR-2023-0494</t>
  </si>
  <si>
    <t xml:space="preserve">OFR-2023-0495</t>
  </si>
  <si>
    <t xml:space="preserve">OFR-2023-0496</t>
  </si>
  <si>
    <t xml:space="preserve">MA-2023-0110</t>
  </si>
  <si>
    <t xml:space="preserve">OFR-2023-0497</t>
  </si>
  <si>
    <t xml:space="preserve">OFR-2023-0498</t>
  </si>
  <si>
    <t xml:space="preserve">OFR-2023-0499</t>
  </si>
  <si>
    <t xml:space="preserve">MA-2023-0504</t>
  </si>
  <si>
    <t xml:space="preserve">OFR-2023-0500</t>
  </si>
  <si>
    <t xml:space="preserve">MA-2023-0717</t>
  </si>
  <si>
    <t xml:space="preserve">OFR-2023-0501</t>
  </si>
  <si>
    <t xml:space="preserve">OFR-2023-0502</t>
  </si>
  <si>
    <t xml:space="preserve">MA-2023-0609</t>
  </si>
  <si>
    <t xml:space="preserve">OFR-2023-0503</t>
  </si>
  <si>
    <t xml:space="preserve">OFR-2023-0504</t>
  </si>
  <si>
    <t xml:space="preserve">OFR-2023-0505</t>
  </si>
  <si>
    <t xml:space="preserve">OFR-2023-0506</t>
  </si>
  <si>
    <t xml:space="preserve">MA-2023-0804</t>
  </si>
  <si>
    <t xml:space="preserve">OFR-2023-0507</t>
  </si>
  <si>
    <t xml:space="preserve">OFR-2023-0508</t>
  </si>
  <si>
    <t xml:space="preserve">OFR-2023-0509</t>
  </si>
  <si>
    <t xml:space="preserve">OFR-2023-0510</t>
  </si>
  <si>
    <t xml:space="preserve">MA-2023-0824</t>
  </si>
  <si>
    <t xml:space="preserve">OFR-2023-0511</t>
  </si>
  <si>
    <t xml:space="preserve">MA-2023-0721</t>
  </si>
  <si>
    <t xml:space="preserve">OFR-2023-0512</t>
  </si>
  <si>
    <t xml:space="preserve">MA-2023-0121</t>
  </si>
  <si>
    <t xml:space="preserve">OFR-2023-0513</t>
  </si>
  <si>
    <t xml:space="preserve">OFR-2023-0514</t>
  </si>
  <si>
    <t xml:space="preserve">OFR-2023-0515</t>
  </si>
  <si>
    <t xml:space="preserve">OFR-2023-0516</t>
  </si>
  <si>
    <t xml:space="preserve">OFR-2023-0517</t>
  </si>
  <si>
    <t xml:space="preserve">OFR-2023-0518</t>
  </si>
  <si>
    <t xml:space="preserve">OFR-2023-0519</t>
  </si>
  <si>
    <t xml:space="preserve">OFR-2023-0520</t>
  </si>
  <si>
    <t xml:space="preserve">OFR-2023-0521</t>
  </si>
  <si>
    <t xml:space="preserve">MA-2023-0105</t>
  </si>
  <si>
    <t xml:space="preserve">OFR-2023-0522</t>
  </si>
  <si>
    <t xml:space="preserve">OFR-2023-0523</t>
  </si>
  <si>
    <t xml:space="preserve">OFR-2023-0524</t>
  </si>
  <si>
    <t xml:space="preserve">OFR-2023-0525</t>
  </si>
  <si>
    <t xml:space="preserve">OFR-2023-0526</t>
  </si>
  <si>
    <t xml:space="preserve">OFR-2023-0527</t>
  </si>
  <si>
    <t xml:space="preserve">MA-2023-0606</t>
  </si>
  <si>
    <t xml:space="preserve">OFR-2023-0528</t>
  </si>
  <si>
    <t xml:space="preserve">OFR-2023-0529</t>
  </si>
  <si>
    <t xml:space="preserve">MA-2023-0421</t>
  </si>
  <si>
    <t xml:space="preserve">OFR-2023-0530</t>
  </si>
  <si>
    <t xml:space="preserve">OFR-2023-0531</t>
  </si>
  <si>
    <t xml:space="preserve">OFR-2023-0532</t>
  </si>
  <si>
    <t xml:space="preserve">MA-2023-0715</t>
  </si>
  <si>
    <t xml:space="preserve">OFR-2023-0533</t>
  </si>
  <si>
    <t xml:space="preserve">OFR-2023-0534</t>
  </si>
  <si>
    <t xml:space="preserve">OFR-2023-0535</t>
  </si>
  <si>
    <t xml:space="preserve">OFR-2023-0536</t>
  </si>
  <si>
    <t xml:space="preserve">OFR-2023-0537</t>
  </si>
  <si>
    <t xml:space="preserve">MA-2023-0902</t>
  </si>
  <si>
    <t xml:space="preserve">OFR-2023-0538</t>
  </si>
  <si>
    <t xml:space="preserve">OFR-2023-0539</t>
  </si>
  <si>
    <t xml:space="preserve">OFR-2023-0540</t>
  </si>
  <si>
    <t xml:space="preserve">OFR-2023-0541</t>
  </si>
  <si>
    <t xml:space="preserve">OFR-2023-0542</t>
  </si>
  <si>
    <t xml:space="preserve">OFR-2023-0543</t>
  </si>
  <si>
    <t xml:space="preserve">OFR-2023-0544</t>
  </si>
  <si>
    <t xml:space="preserve">OFR-2023-0545</t>
  </si>
  <si>
    <t xml:space="preserve">OFR-2023-0546</t>
  </si>
  <si>
    <t xml:space="preserve">OFR-2023-0547</t>
  </si>
  <si>
    <t xml:space="preserve">OFR-2023-0548</t>
  </si>
  <si>
    <t xml:space="preserve">OFR-2023-0549</t>
  </si>
  <si>
    <t xml:space="preserve">OFR-2023-0550</t>
  </si>
  <si>
    <t xml:space="preserve">OFR-2023-0551</t>
  </si>
  <si>
    <t xml:space="preserve">OFR-2023-0552</t>
  </si>
  <si>
    <t xml:space="preserve">OFR-2023-0553</t>
  </si>
  <si>
    <t xml:space="preserve">OFR-2023-0554</t>
  </si>
  <si>
    <t xml:space="preserve">OFR-2023-0555</t>
  </si>
  <si>
    <t xml:space="preserve">OFR-2023-0556</t>
  </si>
  <si>
    <t xml:space="preserve">MA-2023-0813</t>
  </si>
  <si>
    <t xml:space="preserve">OFR-2023-0557</t>
  </si>
  <si>
    <t xml:space="preserve">OFR-2023-0558</t>
  </si>
  <si>
    <t xml:space="preserve">MA-2023-0818</t>
  </si>
  <si>
    <t xml:space="preserve">OFR-2023-0559</t>
  </si>
  <si>
    <t xml:space="preserve">OFR-2023-0560</t>
  </si>
  <si>
    <t xml:space="preserve">MA-2023-0623</t>
  </si>
  <si>
    <t xml:space="preserve">OFR-2023-0561</t>
  </si>
  <si>
    <t xml:space="preserve">MA-2023-0223</t>
  </si>
  <si>
    <t xml:space="preserve">OFR-2023-0562</t>
  </si>
  <si>
    <t xml:space="preserve">MA-2023-0601</t>
  </si>
  <si>
    <t xml:space="preserve">OFR-2023-0563</t>
  </si>
  <si>
    <t xml:space="preserve">OFR-2023-0564</t>
  </si>
  <si>
    <t xml:space="preserve">MA-2023-0519</t>
  </si>
  <si>
    <t xml:space="preserve">OFR-2023-0565</t>
  </si>
  <si>
    <t xml:space="preserve">OFR-2023-0566</t>
  </si>
  <si>
    <t xml:space="preserve">OFR-2023-0567</t>
  </si>
  <si>
    <t xml:space="preserve">OFR-2023-0568</t>
  </si>
  <si>
    <t xml:space="preserve">MA-2023-0901</t>
  </si>
  <si>
    <t xml:space="preserve">OFR-2023-0569</t>
  </si>
  <si>
    <t xml:space="preserve">OFR-2023-0570</t>
  </si>
  <si>
    <t xml:space="preserve">MA-2023-0810</t>
  </si>
  <si>
    <t xml:space="preserve">OFR-2023-0571</t>
  </si>
  <si>
    <t xml:space="preserve">OFR-2023-0572</t>
  </si>
  <si>
    <t xml:space="preserve">OFR-2023-0573</t>
  </si>
  <si>
    <t xml:space="preserve">OFR-2023-0574</t>
  </si>
  <si>
    <t xml:space="preserve">OFR-2023-0575</t>
  </si>
  <si>
    <t xml:space="preserve">MA-2023-0224</t>
  </si>
  <si>
    <t xml:space="preserve">OFR-2023-0576</t>
  </si>
  <si>
    <t xml:space="preserve">OFR-2023-0577</t>
  </si>
  <si>
    <t xml:space="preserve">OFR-2023-0578</t>
  </si>
  <si>
    <t xml:space="preserve">OFR-2023-0579</t>
  </si>
  <si>
    <t xml:space="preserve">OFR-2023-0580</t>
  </si>
  <si>
    <t xml:space="preserve">OFR-2023-0581</t>
  </si>
  <si>
    <t xml:space="preserve">MA-2023-0614</t>
  </si>
  <si>
    <t xml:space="preserve">OFR-2023-0582</t>
  </si>
  <si>
    <t xml:space="preserve">OFR-2023-0583</t>
  </si>
  <si>
    <t xml:space="preserve">OFR-2023-0584</t>
  </si>
  <si>
    <t xml:space="preserve">OFR-2023-0585</t>
  </si>
  <si>
    <t xml:space="preserve">OFR-2023-0586</t>
  </si>
  <si>
    <t xml:space="preserve">OFR-2023-0587</t>
  </si>
  <si>
    <t xml:space="preserve">OFR-2023-0588</t>
  </si>
  <si>
    <t xml:space="preserve">MA-2023-0917</t>
  </si>
  <si>
    <t xml:space="preserve">OFR-2023-0589</t>
  </si>
  <si>
    <t xml:space="preserve">OFR-2023-0590</t>
  </si>
  <si>
    <t xml:space="preserve">MA-2023-1118</t>
  </si>
  <si>
    <t xml:space="preserve">OFR-2023-0591</t>
  </si>
  <si>
    <t xml:space="preserve">OFR-2023-0592</t>
  </si>
  <si>
    <t xml:space="preserve">OFR-2023-0593</t>
  </si>
  <si>
    <t xml:space="preserve">OFR-2023-0594</t>
  </si>
  <si>
    <t xml:space="preserve">MA-2023-0214</t>
  </si>
  <si>
    <t xml:space="preserve">OFR-2023-0595</t>
  </si>
  <si>
    <t xml:space="preserve">OFR-2023-0596</t>
  </si>
  <si>
    <t xml:space="preserve">OFR-2023-0597</t>
  </si>
  <si>
    <t xml:space="preserve">MA-2023-0407</t>
  </si>
  <si>
    <t xml:space="preserve">OFR-2023-0598</t>
  </si>
  <si>
    <t xml:space="preserve">OFR-2023-0599</t>
  </si>
  <si>
    <t xml:space="preserve">OFR-2023-0600</t>
  </si>
  <si>
    <t xml:space="preserve">MA-2023-0112</t>
  </si>
  <si>
    <t xml:space="preserve">OFR-2023-0601</t>
  </si>
  <si>
    <t xml:space="preserve">MA-2023-0915</t>
  </si>
  <si>
    <t xml:space="preserve">OFR-2023-0602</t>
  </si>
  <si>
    <t xml:space="preserve">OFR-2023-0603</t>
  </si>
  <si>
    <t xml:space="preserve">MA-2023-0710</t>
  </si>
  <si>
    <t xml:space="preserve">OFR-2023-0604</t>
  </si>
  <si>
    <t xml:space="preserve">OFR-2023-0605</t>
  </si>
  <si>
    <t xml:space="preserve">OFR-2023-0606</t>
  </si>
  <si>
    <t xml:space="preserve">OFR-2023-0607</t>
  </si>
  <si>
    <t xml:space="preserve">MA-2023-0724</t>
  </si>
  <si>
    <t xml:space="preserve">OFR-2023-0608</t>
  </si>
  <si>
    <t xml:space="preserve">MA-2023-0820</t>
  </si>
  <si>
    <t xml:space="preserve">OFR-2023-0609</t>
  </si>
  <si>
    <t xml:space="preserve">OFR-2023-0610</t>
  </si>
  <si>
    <t xml:space="preserve">MA-2023-0914</t>
  </si>
  <si>
    <t xml:space="preserve">OFR-2023-0611</t>
  </si>
  <si>
    <t xml:space="preserve">OFR-2023-0612</t>
  </si>
  <si>
    <t xml:space="preserve">MA-2023-0324</t>
  </si>
  <si>
    <t xml:space="preserve">OFR-2023-0613</t>
  </si>
  <si>
    <t xml:space="preserve">OFR-2023-0614</t>
  </si>
  <si>
    <t xml:space="preserve">OFR-2023-0615</t>
  </si>
  <si>
    <t xml:space="preserve">MA-2023-1005</t>
  </si>
  <si>
    <t xml:space="preserve">OFR-2023-0616</t>
  </si>
  <si>
    <t xml:space="preserve">MA-2023-0718</t>
  </si>
  <si>
    <t xml:space="preserve">OFR-2023-0617</t>
  </si>
  <si>
    <t xml:space="preserve">OFR-2023-0618</t>
  </si>
  <si>
    <t xml:space="preserve">OFR-2023-0619</t>
  </si>
  <si>
    <t xml:space="preserve">OFR-2023-0620</t>
  </si>
  <si>
    <t xml:space="preserve">OFR-2023-0621</t>
  </si>
  <si>
    <t xml:space="preserve">OFR-2023-0622</t>
  </si>
  <si>
    <t xml:space="preserve">MA-2023-0216</t>
  </si>
  <si>
    <t xml:space="preserve">OFR-2023-0623</t>
  </si>
  <si>
    <t xml:space="preserve">OFR-2023-0624</t>
  </si>
  <si>
    <t xml:space="preserve">OFR-2023-0625</t>
  </si>
  <si>
    <t xml:space="preserve">MA-2023-0401</t>
  </si>
  <si>
    <t xml:space="preserve">OFR-2023-0626</t>
  </si>
  <si>
    <t xml:space="preserve">OFR-2023-0627</t>
  </si>
  <si>
    <t xml:space="preserve">OFR-2023-0628</t>
  </si>
  <si>
    <t xml:space="preserve">MA-2023-0220</t>
  </si>
  <si>
    <t xml:space="preserve">OFR-2023-0629</t>
  </si>
  <si>
    <t xml:space="preserve">MA-2023-1111</t>
  </si>
  <si>
    <t xml:space="preserve">OFR-2023-0630</t>
  </si>
  <si>
    <t xml:space="preserve">OFR-2023-0631</t>
  </si>
  <si>
    <t xml:space="preserve">OFR-2023-0632</t>
  </si>
  <si>
    <t xml:space="preserve">MA-2023-0603</t>
  </si>
  <si>
    <t xml:space="preserve">OFR-2023-0633</t>
  </si>
  <si>
    <t xml:space="preserve">OFR-2023-0634</t>
  </si>
  <si>
    <t xml:space="preserve">OFR-2023-0635</t>
  </si>
  <si>
    <t xml:space="preserve">OFR-2023-0636</t>
  </si>
  <si>
    <t xml:space="preserve">OFR-2023-0637</t>
  </si>
  <si>
    <t xml:space="preserve">MA-2023-0309</t>
  </si>
  <si>
    <t xml:space="preserve">OFR-2023-0638</t>
  </si>
  <si>
    <t xml:space="preserve">OFR-2023-0639</t>
  </si>
  <si>
    <t xml:space="preserve">OFR-2023-0640</t>
  </si>
  <si>
    <t xml:space="preserve">OFR-2023-0641</t>
  </si>
  <si>
    <t xml:space="preserve">OFR-2023-0642</t>
  </si>
  <si>
    <t xml:space="preserve">OFR-2023-0643</t>
  </si>
  <si>
    <t xml:space="preserve">OFR-2023-0644</t>
  </si>
  <si>
    <t xml:space="preserve">OFR-2023-0645</t>
  </si>
  <si>
    <t xml:space="preserve">OFR-2023-0646</t>
  </si>
  <si>
    <t xml:space="preserve">OFR-2023-0647</t>
  </si>
  <si>
    <t xml:space="preserve">OFR-2023-0648</t>
  </si>
  <si>
    <t xml:space="preserve">OFR-2024-0649</t>
  </si>
  <si>
    <t xml:space="preserve">OFR-2024-0650</t>
  </si>
  <si>
    <t xml:space="preserve">OFR-2024-0651</t>
  </si>
  <si>
    <t xml:space="preserve">OFR-2024-0652</t>
  </si>
  <si>
    <t xml:space="preserve">OFR-2024-0653</t>
  </si>
  <si>
    <t xml:space="preserve">OFR-2024-0654</t>
  </si>
  <si>
    <t xml:space="preserve">OFR-2024-0655</t>
  </si>
  <si>
    <t xml:space="preserve">OFR-2024-0656</t>
  </si>
  <si>
    <t xml:space="preserve">OFR-2024-0657</t>
  </si>
  <si>
    <t xml:space="preserve">OFR-2024-0658</t>
  </si>
  <si>
    <t xml:space="preserve">OFR-2024-0659</t>
  </si>
  <si>
    <t xml:space="preserve">OFR-2024-0660</t>
  </si>
  <si>
    <t xml:space="preserve">OFR-2024-0661</t>
  </si>
  <si>
    <t xml:space="preserve">OFR-2024-0662</t>
  </si>
  <si>
    <t xml:space="preserve">OFR-2024-0663</t>
  </si>
  <si>
    <t xml:space="preserve">OFR-2024-0664</t>
  </si>
  <si>
    <t xml:space="preserve">OFR-2024-0665</t>
  </si>
  <si>
    <t xml:space="preserve">OFR-2024-0666</t>
  </si>
  <si>
    <t xml:space="preserve">OFR-2024-0667</t>
  </si>
  <si>
    <t xml:space="preserve">OFR-2024-0668</t>
  </si>
  <si>
    <t xml:space="preserve">OFR-2024-0669</t>
  </si>
  <si>
    <t xml:space="preserve">OFR-2024-0670</t>
  </si>
  <si>
    <t xml:space="preserve">OFR-2024-0671</t>
  </si>
  <si>
    <t xml:space="preserve">OFR-2024-0672</t>
  </si>
  <si>
    <t xml:space="preserve">OFR-2024-0673</t>
  </si>
  <si>
    <t xml:space="preserve">OFR-2024-0674</t>
  </si>
  <si>
    <t xml:space="preserve">OFR-2024-0675</t>
  </si>
  <si>
    <t xml:space="preserve">OFR-2024-0676</t>
  </si>
  <si>
    <t xml:space="preserve">OFR-2024-0677</t>
  </si>
  <si>
    <t xml:space="preserve">OFR-2024-0678</t>
  </si>
  <si>
    <t xml:space="preserve">OFR-2024-0679</t>
  </si>
  <si>
    <t xml:space="preserve">OFR-2024-0680</t>
  </si>
  <si>
    <t xml:space="preserve">OFR-2024-0681</t>
  </si>
  <si>
    <t xml:space="preserve">OFR-2024-0682</t>
  </si>
  <si>
    <t xml:space="preserve">OFR-2024-0683</t>
  </si>
  <si>
    <t xml:space="preserve">OFR-2024-0684</t>
  </si>
  <si>
    <t xml:space="preserve">OFR-2024-0685</t>
  </si>
  <si>
    <t xml:space="preserve">OFR-2024-0686</t>
  </si>
  <si>
    <t xml:space="preserve">OFR-2024-0687</t>
  </si>
  <si>
    <t xml:space="preserve">OFR-2024-0688</t>
  </si>
  <si>
    <t xml:space="preserve">OFR-2024-0689</t>
  </si>
  <si>
    <t xml:space="preserve">OFR-2024-0690</t>
  </si>
  <si>
    <t xml:space="preserve">OFR-2024-0691</t>
  </si>
  <si>
    <t xml:space="preserve">OFR-2024-0692</t>
  </si>
  <si>
    <t xml:space="preserve">OFR-2024-0693</t>
  </si>
  <si>
    <t xml:space="preserve">OFR-2024-0694</t>
  </si>
  <si>
    <t xml:space="preserve">OFR-2024-0695</t>
  </si>
  <si>
    <t xml:space="preserve">OFR-2024-0696</t>
  </si>
  <si>
    <t xml:space="preserve">OFR-2024-0697</t>
  </si>
  <si>
    <t xml:space="preserve">OFR-2024-0698</t>
  </si>
  <si>
    <t xml:space="preserve">OFR-2024-0699</t>
  </si>
  <si>
    <t xml:space="preserve">OFR-2024-0700</t>
  </si>
  <si>
    <t xml:space="preserve">OFR-2024-0701</t>
  </si>
  <si>
    <t xml:space="preserve">OFR-2024-0702</t>
  </si>
  <si>
    <t xml:space="preserve">OFR-2024-0703</t>
  </si>
  <si>
    <t xml:space="preserve">OFR-2024-0704</t>
  </si>
  <si>
    <t xml:space="preserve">OFR-2024-0705</t>
  </si>
  <si>
    <t xml:space="preserve">OFR-2024-0706</t>
  </si>
  <si>
    <t xml:space="preserve">OFR-2024-0707</t>
  </si>
  <si>
    <t xml:space="preserve">OFR-2024-0708</t>
  </si>
  <si>
    <t xml:space="preserve">OFR-2024-0709</t>
  </si>
  <si>
    <t xml:space="preserve">OFR-2024-0710</t>
  </si>
  <si>
    <t xml:space="preserve">OFR-2024-0711</t>
  </si>
  <si>
    <t xml:space="preserve">OFR-2024-0712</t>
  </si>
  <si>
    <t xml:space="preserve">OFR-2024-0713</t>
  </si>
  <si>
    <t xml:space="preserve">OFR-2024-0714</t>
  </si>
  <si>
    <t xml:space="preserve">OFR-2024-0715</t>
  </si>
  <si>
    <t xml:space="preserve">OFR-2024-0716</t>
  </si>
  <si>
    <t xml:space="preserve">OFR-2024-0717</t>
  </si>
  <si>
    <t xml:space="preserve">OFR-2024-0718</t>
  </si>
  <si>
    <t xml:space="preserve">OFR-2024-0719</t>
  </si>
  <si>
    <t xml:space="preserve">OFR-2024-0720</t>
  </si>
  <si>
    <t xml:space="preserve">OFR-2024-0721</t>
  </si>
  <si>
    <t xml:space="preserve">OFR-2024-0722</t>
  </si>
  <si>
    <t xml:space="preserve">OFR-2024-0723</t>
  </si>
  <si>
    <t xml:space="preserve">OFR-2024-0724</t>
  </si>
  <si>
    <t xml:space="preserve">OFR-2024-0725</t>
  </si>
  <si>
    <t xml:space="preserve">OFR-2024-0726</t>
  </si>
  <si>
    <t xml:space="preserve">OFR-2024-0727</t>
  </si>
  <si>
    <t xml:space="preserve">OFR-2024-0728</t>
  </si>
  <si>
    <t xml:space="preserve">OFR-2024-0729</t>
  </si>
  <si>
    <t xml:space="preserve">OFR-2024-0730</t>
  </si>
  <si>
    <t xml:space="preserve">OFR-2024-0731</t>
  </si>
  <si>
    <t xml:space="preserve">OFR-2024-0732</t>
  </si>
  <si>
    <t xml:space="preserve">OFR-2024-0733</t>
  </si>
  <si>
    <t xml:space="preserve">OFR-2024-0734</t>
  </si>
  <si>
    <t xml:space="preserve">OFR-2024-0735</t>
  </si>
  <si>
    <t xml:space="preserve">OFR-2024-0736</t>
  </si>
  <si>
    <t xml:space="preserve">OFR-2024-0737</t>
  </si>
  <si>
    <t xml:space="preserve">OFR-2024-0738</t>
  </si>
  <si>
    <t xml:space="preserve">OFR-2024-0739</t>
  </si>
  <si>
    <t xml:space="preserve">OFR-2024-0740</t>
  </si>
  <si>
    <t xml:space="preserve">OFR-2024-0741</t>
  </si>
  <si>
    <t xml:space="preserve">OFR-2024-0742</t>
  </si>
  <si>
    <t xml:space="preserve">OFR-2024-0743</t>
  </si>
  <si>
    <t xml:space="preserve">OFR-2024-0744</t>
  </si>
  <si>
    <t xml:space="preserve">OFR-2024-0745</t>
  </si>
  <si>
    <t xml:space="preserve">OFR-2024-0746</t>
  </si>
  <si>
    <t xml:space="preserve">OFR-2024-0747</t>
  </si>
  <si>
    <t xml:space="preserve">OFR-2024-0748</t>
  </si>
  <si>
    <t xml:space="preserve">OFR-2024-0749</t>
  </si>
  <si>
    <t xml:space="preserve">OFR-2024-0750</t>
  </si>
  <si>
    <t xml:space="preserve">OFR-2024-0751</t>
  </si>
  <si>
    <t xml:space="preserve">OFR-2024-0752</t>
  </si>
  <si>
    <t xml:space="preserve">OFR-2024-0753</t>
  </si>
  <si>
    <t xml:space="preserve">OFR-2024-0754</t>
  </si>
  <si>
    <t xml:space="preserve">OFR-2024-0755</t>
  </si>
  <si>
    <t xml:space="preserve">OFR-2024-0756</t>
  </si>
  <si>
    <t xml:space="preserve">OFR-2024-0757</t>
  </si>
  <si>
    <t xml:space="preserve">OFR-2024-0758</t>
  </si>
  <si>
    <t xml:space="preserve">OFR-2024-0759</t>
  </si>
  <si>
    <t xml:space="preserve">OFR-2024-0760</t>
  </si>
  <si>
    <t xml:space="preserve">OFR-2024-0761</t>
  </si>
  <si>
    <t xml:space="preserve">OFR-2024-0762</t>
  </si>
  <si>
    <t xml:space="preserve">OFR-2024-0763</t>
  </si>
  <si>
    <t xml:space="preserve">OFR-2024-0764</t>
  </si>
  <si>
    <t xml:space="preserve">OFR-2024-0765</t>
  </si>
  <si>
    <t xml:space="preserve">OFR-2024-0766</t>
  </si>
  <si>
    <t xml:space="preserve">OFR-2024-0767</t>
  </si>
  <si>
    <t xml:space="preserve">OFR-2024-0768</t>
  </si>
  <si>
    <t xml:space="preserve">OFR-2024-0769</t>
  </si>
  <si>
    <t xml:space="preserve">OFR-2024-0770</t>
  </si>
  <si>
    <t xml:space="preserve">OFR-2024-0771</t>
  </si>
  <si>
    <t xml:space="preserve">OFR-2024-0772</t>
  </si>
  <si>
    <t xml:space="preserve">OFR-2024-0773</t>
  </si>
  <si>
    <t xml:space="preserve">OFR-2024-0774</t>
  </si>
  <si>
    <t xml:space="preserve">OFR-2024-0775</t>
  </si>
  <si>
    <t xml:space="preserve">OFR-2024-0776</t>
  </si>
  <si>
    <t xml:space="preserve">OFR-2024-0777</t>
  </si>
  <si>
    <t xml:space="preserve">OFR-2024-0778</t>
  </si>
  <si>
    <t xml:space="preserve">OFR-2024-0779</t>
  </si>
  <si>
    <t xml:space="preserve">OFR-2024-0780</t>
  </si>
  <si>
    <t xml:space="preserve">OFR-2024-0781</t>
  </si>
  <si>
    <t xml:space="preserve">OFR-2024-0782</t>
  </si>
  <si>
    <t xml:space="preserve">OFR-2024-0783</t>
  </si>
  <si>
    <t xml:space="preserve">OFR-2024-0784</t>
  </si>
  <si>
    <t xml:space="preserve">OFR-2024-0785</t>
  </si>
  <si>
    <t xml:space="preserve">OFR-2024-0786</t>
  </si>
  <si>
    <t xml:space="preserve">OFR-2024-0787</t>
  </si>
  <si>
    <t xml:space="preserve">OFR-2024-0788</t>
  </si>
  <si>
    <t xml:space="preserve">OFR-2024-0789</t>
  </si>
  <si>
    <t xml:space="preserve">OFR-2024-0790</t>
  </si>
  <si>
    <t xml:space="preserve">OFR-2024-0791</t>
  </si>
  <si>
    <t xml:space="preserve">OFR-2024-0792</t>
  </si>
  <si>
    <t xml:space="preserve">OFR-2024-0793</t>
  </si>
  <si>
    <t xml:space="preserve">OFR-2024-0794</t>
  </si>
  <si>
    <t xml:space="preserve">OFR-2024-0795</t>
  </si>
  <si>
    <t xml:space="preserve">OFR-2024-0796</t>
  </si>
  <si>
    <t xml:space="preserve">OFR-2024-0797</t>
  </si>
  <si>
    <t xml:space="preserve">OFR-2024-0798</t>
  </si>
  <si>
    <t xml:space="preserve">OFR-2024-0799</t>
  </si>
  <si>
    <t xml:space="preserve">OFR-2024-0800</t>
  </si>
  <si>
    <t xml:space="preserve">OFR-2024-0801</t>
  </si>
  <si>
    <t xml:space="preserve">OFR-2024-0802</t>
  </si>
  <si>
    <t xml:space="preserve">OFR-2024-0803</t>
  </si>
  <si>
    <t xml:space="preserve">OFR-2024-0804</t>
  </si>
  <si>
    <t xml:space="preserve">OFR-2024-0805</t>
  </si>
  <si>
    <t xml:space="preserve">OFR-2024-0806</t>
  </si>
  <si>
    <t xml:space="preserve">OFR-2024-0807</t>
  </si>
  <si>
    <t xml:space="preserve">OFR-2024-0808</t>
  </si>
  <si>
    <t xml:space="preserve">OFR-2024-0809</t>
  </si>
  <si>
    <t xml:space="preserve">OFR-2024-0810</t>
  </si>
  <si>
    <t xml:space="preserve">OFR-2024-0811</t>
  </si>
  <si>
    <t xml:space="preserve">OFR-2024-0812</t>
  </si>
  <si>
    <t xml:space="preserve">OFR-2024-0813</t>
  </si>
  <si>
    <t xml:space="preserve">OFR-2024-0814</t>
  </si>
  <si>
    <t xml:space="preserve">OFR-2024-0815</t>
  </si>
  <si>
    <t xml:space="preserve">OFR-2024-0816</t>
  </si>
  <si>
    <t xml:space="preserve">OFR-2024-0817</t>
  </si>
  <si>
    <t xml:space="preserve">OFR-2024-0818</t>
  </si>
  <si>
    <t xml:space="preserve">OFR-2024-0819</t>
  </si>
  <si>
    <t xml:space="preserve">OFR-2024-0820</t>
  </si>
  <si>
    <t xml:space="preserve">OFR-2024-0821</t>
  </si>
  <si>
    <t xml:space="preserve">OFR-2024-0822</t>
  </si>
  <si>
    <t xml:space="preserve">OFR-2024-0823</t>
  </si>
  <si>
    <t xml:space="preserve">OFR-2024-0824</t>
  </si>
  <si>
    <t xml:space="preserve">OFR-2024-0825</t>
  </si>
  <si>
    <t xml:space="preserve">OFR-2024-0826</t>
  </si>
  <si>
    <t xml:space="preserve">OFR-2024-0827</t>
  </si>
  <si>
    <t xml:space="preserve">OFR-2024-0828</t>
  </si>
  <si>
    <t xml:space="preserve">OFR-2024-0829</t>
  </si>
  <si>
    <t xml:space="preserve">OFR-2024-0830</t>
  </si>
  <si>
    <t xml:space="preserve">OFR-2024-0831</t>
  </si>
  <si>
    <t xml:space="preserve">OFR-2024-0832</t>
  </si>
  <si>
    <t xml:space="preserve">OFR-2024-0833</t>
  </si>
  <si>
    <t xml:space="preserve">OFR-2024-0834</t>
  </si>
  <si>
    <t xml:space="preserve">OFR-2024-0835</t>
  </si>
  <si>
    <t xml:space="preserve">OFR-2024-0836</t>
  </si>
  <si>
    <t xml:space="preserve">OFR-2024-0837</t>
  </si>
  <si>
    <t xml:space="preserve">OFR-2024-0838</t>
  </si>
  <si>
    <t xml:space="preserve">OFR-2024-0839</t>
  </si>
  <si>
    <t xml:space="preserve">OFR-2024-0840</t>
  </si>
  <si>
    <t xml:space="preserve">OFR-2024-0841</t>
  </si>
  <si>
    <t xml:space="preserve">OFR-2024-0842</t>
  </si>
  <si>
    <t xml:space="preserve">OFR-2024-0843</t>
  </si>
  <si>
    <t xml:space="preserve">OFR-2024-0844</t>
  </si>
  <si>
    <t xml:space="preserve">OFR-2024-0845</t>
  </si>
  <si>
    <t xml:space="preserve">OFR-2024-0846</t>
  </si>
  <si>
    <t xml:space="preserve">OFR-2024-0847</t>
  </si>
  <si>
    <t xml:space="preserve">OFR-2024-0848</t>
  </si>
  <si>
    <t xml:space="preserve">OFR-2024-0849</t>
  </si>
  <si>
    <t xml:space="preserve">OFR-2024-0850</t>
  </si>
  <si>
    <t xml:space="preserve">OFR-2024-0851</t>
  </si>
  <si>
    <t xml:space="preserve">OFR-2024-0852</t>
  </si>
  <si>
    <t xml:space="preserve">OFR-2024-0853</t>
  </si>
  <si>
    <t xml:space="preserve">OFR-2024-0854</t>
  </si>
  <si>
    <t xml:space="preserve">OFR-2024-0855</t>
  </si>
  <si>
    <t xml:space="preserve">OFR-2024-0856</t>
  </si>
  <si>
    <t xml:space="preserve">OFR-2024-0857</t>
  </si>
  <si>
    <t xml:space="preserve">OFR-2024-0858</t>
  </si>
  <si>
    <t xml:space="preserve">OFR-2024-0859</t>
  </si>
  <si>
    <t xml:space="preserve">OFR-2024-0860</t>
  </si>
  <si>
    <t xml:space="preserve">OFR-2024-0861</t>
  </si>
  <si>
    <t xml:space="preserve">OFR-2024-0862</t>
  </si>
  <si>
    <t xml:space="preserve">OFR-2024-0863</t>
  </si>
  <si>
    <t xml:space="preserve">OFR-2024-0864</t>
  </si>
  <si>
    <t xml:space="preserve">OFR-2024-0865</t>
  </si>
  <si>
    <t xml:space="preserve">OFR-2024-0866</t>
  </si>
  <si>
    <t xml:space="preserve">OFR-2024-0867</t>
  </si>
  <si>
    <t xml:space="preserve">OFR-2024-0868</t>
  </si>
  <si>
    <t xml:space="preserve">OFR-2024-0869</t>
  </si>
  <si>
    <t xml:space="preserve">OFR-2024-0870</t>
  </si>
  <si>
    <t xml:space="preserve">OFR-2024-0871</t>
  </si>
  <si>
    <t xml:space="preserve">OFR-2024-0872</t>
  </si>
  <si>
    <t xml:space="preserve">OFR-2024-0873</t>
  </si>
  <si>
    <t xml:space="preserve">OFR-2024-0874</t>
  </si>
  <si>
    <t xml:space="preserve">OFR-2024-0875</t>
  </si>
  <si>
    <t xml:space="preserve">OFR-2024-0876</t>
  </si>
  <si>
    <t xml:space="preserve">OFR-2024-0877</t>
  </si>
  <si>
    <t xml:space="preserve">OFR-2024-0878</t>
  </si>
  <si>
    <t xml:space="preserve">OFR-2024-0879</t>
  </si>
  <si>
    <t xml:space="preserve">OFR-2024-0880</t>
  </si>
  <si>
    <t xml:space="preserve">OFR-2024-0881</t>
  </si>
  <si>
    <t xml:space="preserve">OFR-2024-0882</t>
  </si>
  <si>
    <t xml:space="preserve">OFR-2024-0883</t>
  </si>
  <si>
    <t xml:space="preserve">OFR-2024-0884</t>
  </si>
  <si>
    <t xml:space="preserve">OFR-2024-0885</t>
  </si>
  <si>
    <t xml:space="preserve">OFR-2024-0886</t>
  </si>
  <si>
    <t xml:space="preserve">OFR-2024-0887</t>
  </si>
  <si>
    <t xml:space="preserve">OFR-2024-0888</t>
  </si>
  <si>
    <t xml:space="preserve">OFR-2024-0889</t>
  </si>
  <si>
    <t xml:space="preserve">OFR-2024-0890</t>
  </si>
  <si>
    <t xml:space="preserve">OFR-2024-0891</t>
  </si>
  <si>
    <t xml:space="preserve">OFR-2024-0892</t>
  </si>
  <si>
    <t xml:space="preserve">OFR-2024-0893</t>
  </si>
  <si>
    <t xml:space="preserve">OFR-2024-0894</t>
  </si>
  <si>
    <t xml:space="preserve">OFR-2024-0895</t>
  </si>
  <si>
    <t xml:space="preserve">OFR-2024-0896</t>
  </si>
  <si>
    <t xml:space="preserve">OFR-2024-0897</t>
  </si>
  <si>
    <t xml:space="preserve">OFR-2024-0898</t>
  </si>
  <si>
    <t xml:space="preserve">OFR-2024-0899</t>
  </si>
  <si>
    <t xml:space="preserve">OFR-2024-0900</t>
  </si>
  <si>
    <t xml:space="preserve">OFR-2024-0901</t>
  </si>
  <si>
    <t xml:space="preserve">OFR-2024-0902</t>
  </si>
  <si>
    <t xml:space="preserve">OFR-2024-0903</t>
  </si>
  <si>
    <t xml:space="preserve">OFR-2024-0904</t>
  </si>
  <si>
    <t xml:space="preserve">OFR-2024-0905</t>
  </si>
  <si>
    <t xml:space="preserve">OFR-2024-0906</t>
  </si>
  <si>
    <t xml:space="preserve">OFR-2024-0907</t>
  </si>
  <si>
    <t xml:space="preserve">OFR-2024-0908</t>
  </si>
  <si>
    <t xml:space="preserve">OFR-2024-0909</t>
  </si>
  <si>
    <t xml:space="preserve">OFR-2024-0910</t>
  </si>
  <si>
    <t xml:space="preserve">OFR-2024-0911</t>
  </si>
  <si>
    <t xml:space="preserve">OFR-2024-0912</t>
  </si>
  <si>
    <t xml:space="preserve">OFR-2024-0913</t>
  </si>
  <si>
    <t xml:space="preserve">OFR-2024-0914</t>
  </si>
  <si>
    <t xml:space="preserve">OFR-2024-0915</t>
  </si>
  <si>
    <t xml:space="preserve">OFR-2024-0916</t>
  </si>
  <si>
    <t xml:space="preserve">MA-2024-1101</t>
  </si>
  <si>
    <t xml:space="preserve">OFR-2024-0917</t>
  </si>
  <si>
    <t xml:space="preserve">OFR-2024-0918</t>
  </si>
  <si>
    <t xml:space="preserve">OFR-2024-0919</t>
  </si>
  <si>
    <t xml:space="preserve">OFR-2024-0920</t>
  </si>
  <si>
    <t xml:space="preserve">OFR-2024-0921</t>
  </si>
  <si>
    <t xml:space="preserve">OFR-2024-0922</t>
  </si>
  <si>
    <t xml:space="preserve">OFR-2024-0923</t>
  </si>
  <si>
    <t xml:space="preserve">OFR-2024-0924</t>
  </si>
  <si>
    <t xml:space="preserve">OFR-2024-0925</t>
  </si>
  <si>
    <t xml:space="preserve">OFR-2024-0926</t>
  </si>
  <si>
    <t xml:space="preserve">OFR-2024-0927</t>
  </si>
  <si>
    <t xml:space="preserve">OFR-2024-0928</t>
  </si>
  <si>
    <t xml:space="preserve">OFR-2024-0929</t>
  </si>
  <si>
    <t xml:space="preserve">OFR-2024-0930</t>
  </si>
  <si>
    <t xml:space="preserve">OFR-2024-0931</t>
  </si>
  <si>
    <t xml:space="preserve">OFR-2024-0932</t>
  </si>
  <si>
    <t xml:space="preserve">OFR-2024-0933</t>
  </si>
  <si>
    <t xml:space="preserve">OFR-2024-0934</t>
  </si>
  <si>
    <t xml:space="preserve">OFR-2024-0935</t>
  </si>
  <si>
    <t xml:space="preserve">OFR-2024-0936</t>
  </si>
  <si>
    <t xml:space="preserve">OFR-2024-0937</t>
  </si>
  <si>
    <t xml:space="preserve">OFR-2024-0938</t>
  </si>
  <si>
    <t xml:space="preserve">OFR-2024-0939</t>
  </si>
  <si>
    <t xml:space="preserve">OFR-2024-0940</t>
  </si>
  <si>
    <t xml:space="preserve">OFR-2024-0941</t>
  </si>
  <si>
    <t xml:space="preserve">OFR-2024-0942</t>
  </si>
  <si>
    <t xml:space="preserve">OFR-2024-0943</t>
  </si>
  <si>
    <t xml:space="preserve">OFR-2024-0944</t>
  </si>
  <si>
    <t xml:space="preserve">OFR-2024-0945</t>
  </si>
  <si>
    <t xml:space="preserve">OFR-2024-0946</t>
  </si>
  <si>
    <t xml:space="preserve">OFR-2024-0947</t>
  </si>
  <si>
    <t xml:space="preserve">OFR-2024-0948</t>
  </si>
  <si>
    <t xml:space="preserve">OFR-2024-0949</t>
  </si>
  <si>
    <t xml:space="preserve">OFR-2024-0950</t>
  </si>
  <si>
    <t xml:space="preserve">OFR-2024-0951</t>
  </si>
  <si>
    <t xml:space="preserve">OFR-2024-0952</t>
  </si>
  <si>
    <t xml:space="preserve">OFR-2024-0953</t>
  </si>
  <si>
    <t xml:space="preserve">OFR-2024-0954</t>
  </si>
  <si>
    <t xml:space="preserve">OFR-2024-0955</t>
  </si>
  <si>
    <t xml:space="preserve">OFR-2024-0956</t>
  </si>
  <si>
    <t xml:space="preserve">OFR-2024-0957</t>
  </si>
  <si>
    <t xml:space="preserve">OFR-2024-0958</t>
  </si>
  <si>
    <t xml:space="preserve">OFR-2024-0959</t>
  </si>
  <si>
    <t xml:space="preserve">OFR-2024-0960</t>
  </si>
  <si>
    <t xml:space="preserve">OFR-2024-0961</t>
  </si>
  <si>
    <t xml:space="preserve">OFR-2024-0962</t>
  </si>
  <si>
    <t xml:space="preserve">OFR-2025-0963</t>
  </si>
  <si>
    <t xml:space="preserve">MA-2025-0610</t>
  </si>
  <si>
    <t xml:space="preserve">OFR-2025-0964</t>
  </si>
  <si>
    <t xml:space="preserve">OFR-2025-0965</t>
  </si>
  <si>
    <t xml:space="preserve">MA-2025-0914</t>
  </si>
  <si>
    <t xml:space="preserve">OFR-2025-0966</t>
  </si>
  <si>
    <t xml:space="preserve">MA-2025-0715</t>
  </si>
  <si>
    <t xml:space="preserve">OFR-2025-0967</t>
  </si>
  <si>
    <t xml:space="preserve">MA-2025-1101</t>
  </si>
  <si>
    <t xml:space="preserve">OFR-2025-0968</t>
  </si>
  <si>
    <t xml:space="preserve">OFR-2025-0969</t>
  </si>
  <si>
    <t xml:space="preserve">OFR-2025-0970</t>
  </si>
  <si>
    <t xml:space="preserve">OFR-2025-0971</t>
  </si>
  <si>
    <t xml:space="preserve">OFR-2025-0972</t>
  </si>
  <si>
    <t xml:space="preserve">MA-2025-0604</t>
  </si>
  <si>
    <t xml:space="preserve">OFR-2025-0973</t>
  </si>
  <si>
    <t xml:space="preserve">MA-2025-0221</t>
  </si>
  <si>
    <t xml:space="preserve">OFR-2025-0974</t>
  </si>
  <si>
    <t xml:space="preserve">OFR-2025-0975</t>
  </si>
  <si>
    <t xml:space="preserve">OFR-2025-0976</t>
  </si>
  <si>
    <t xml:space="preserve">OFR-2025-0977</t>
  </si>
  <si>
    <t xml:space="preserve">OFR-2025-0978</t>
  </si>
  <si>
    <t xml:space="preserve">MA-2025-0714</t>
  </si>
  <si>
    <t xml:space="preserve">OFR-2025-0979</t>
  </si>
  <si>
    <t xml:space="preserve">MA-2025-1003</t>
  </si>
  <si>
    <t xml:space="preserve">OFR-2025-0980</t>
  </si>
  <si>
    <t xml:space="preserve">MA-2025-0120</t>
  </si>
  <si>
    <t xml:space="preserve">OFR-2025-0981</t>
  </si>
  <si>
    <t xml:space="preserve">MA-2025-0117</t>
  </si>
  <si>
    <t xml:space="preserve">OFR-2025-0982</t>
  </si>
  <si>
    <t xml:space="preserve">MA-2025-0605</t>
  </si>
  <si>
    <t xml:space="preserve">OFR-2025-0983</t>
  </si>
  <si>
    <t xml:space="preserve">MA-2025-0322</t>
  </si>
  <si>
    <t xml:space="preserve">OFR-2025-0984</t>
  </si>
  <si>
    <t xml:space="preserve">MA-2025-0404</t>
  </si>
  <si>
    <t xml:space="preserve">OFR-2025-0985</t>
  </si>
  <si>
    <t xml:space="preserve">OFR-2025-0986</t>
  </si>
  <si>
    <t xml:space="preserve">OFR-2025-0987</t>
  </si>
  <si>
    <t xml:space="preserve">MA-2025-0114</t>
  </si>
  <si>
    <t xml:space="preserve">OFR-2025-0988</t>
  </si>
  <si>
    <t xml:space="preserve">MA-2025-0813</t>
  </si>
  <si>
    <t xml:space="preserve">OFR-2025-0989</t>
  </si>
  <si>
    <t xml:space="preserve">MA-2025-1002</t>
  </si>
  <si>
    <t xml:space="preserve">OFR-2025-0990</t>
  </si>
  <si>
    <t xml:space="preserve">OFR-2025-0991</t>
  </si>
  <si>
    <t xml:space="preserve">OFR-2025-0992</t>
  </si>
  <si>
    <t xml:space="preserve">OFR-2025-0993</t>
  </si>
  <si>
    <t xml:space="preserve">MA-2025-0519</t>
  </si>
  <si>
    <t xml:space="preserve">OFR-2025-0994</t>
  </si>
  <si>
    <t xml:space="preserve">OFR-2025-0995</t>
  </si>
  <si>
    <t xml:space="preserve">MA-2025-0215</t>
  </si>
  <si>
    <t xml:space="preserve">OFR-2025-0996</t>
  </si>
  <si>
    <t xml:space="preserve">MA-2025-0219</t>
  </si>
  <si>
    <t xml:space="preserve">OFR-2025-0997</t>
  </si>
  <si>
    <t xml:space="preserve">MA-2025-0810</t>
  </si>
  <si>
    <t xml:space="preserve">OFR-2025-0998</t>
  </si>
  <si>
    <t xml:space="preserve">MA-2025-0907</t>
  </si>
  <si>
    <t xml:space="preserve">OFR-2025-0999</t>
  </si>
  <si>
    <t xml:space="preserve">OFR-2025-1000</t>
  </si>
  <si>
    <t xml:space="preserve">MA-2025-0817</t>
  </si>
  <si>
    <t xml:space="preserve">OFR-2025-1001</t>
  </si>
  <si>
    <t xml:space="preserve">OFR-2025-1002</t>
  </si>
  <si>
    <t xml:space="preserve">MA-2025-0718</t>
  </si>
  <si>
    <t xml:space="preserve">OFR-2025-1003</t>
  </si>
  <si>
    <t xml:space="preserve">OFR-2025-1004</t>
  </si>
  <si>
    <t xml:space="preserve">MA-2025-0119</t>
  </si>
  <si>
    <t xml:space="preserve">OFR-2025-1005</t>
  </si>
  <si>
    <t xml:space="preserve">OFR-2025-1006</t>
  </si>
  <si>
    <t xml:space="preserve">MA-2025-0509</t>
  </si>
  <si>
    <t xml:space="preserve">OFR-2025-1007</t>
  </si>
  <si>
    <t xml:space="preserve">MA-2025-0301</t>
  </si>
  <si>
    <t xml:space="preserve">OFR-2025-1008</t>
  </si>
  <si>
    <t xml:space="preserve">MA-2025-0112</t>
  </si>
  <si>
    <t xml:space="preserve">OFR-2025-1009</t>
  </si>
  <si>
    <t xml:space="preserve">OFR-2025-1010</t>
  </si>
  <si>
    <t xml:space="preserve">OFR-2025-1011</t>
  </si>
  <si>
    <t xml:space="preserve">MA-2025-0507</t>
  </si>
  <si>
    <t xml:space="preserve">OFR-2025-1012</t>
  </si>
  <si>
    <t xml:space="preserve">OFR-2025-1013</t>
  </si>
  <si>
    <t xml:space="preserve">MA-2025-0804</t>
  </si>
  <si>
    <t xml:space="preserve">OFR-2025-1014</t>
  </si>
  <si>
    <t xml:space="preserve">OFR-2025-1015</t>
  </si>
  <si>
    <t xml:space="preserve">OFR-2025-1016</t>
  </si>
  <si>
    <t xml:space="preserve">MA-2025-0906</t>
  </si>
  <si>
    <t xml:space="preserve">OFR-2025-1017</t>
  </si>
  <si>
    <t xml:space="preserve">MA-2025-0806</t>
  </si>
  <si>
    <t xml:space="preserve">OFR-2025-1018</t>
  </si>
  <si>
    <t xml:space="preserve">OFR-2025-1019</t>
  </si>
  <si>
    <t xml:space="preserve">MA-2025-1112</t>
  </si>
  <si>
    <t xml:space="preserve">OFR-2025-1020</t>
  </si>
  <si>
    <t xml:space="preserve">OFR-2025-1021</t>
  </si>
  <si>
    <t xml:space="preserve">MA-2025-0719</t>
  </si>
  <si>
    <t xml:space="preserve">OFR-2025-1022</t>
  </si>
  <si>
    <t xml:space="preserve">OFR-2025-1023</t>
  </si>
  <si>
    <t xml:space="preserve">OFR-2025-1024</t>
  </si>
  <si>
    <t xml:space="preserve">OFR-2025-1025</t>
  </si>
  <si>
    <t xml:space="preserve">OFR-2025-1026</t>
  </si>
  <si>
    <t xml:space="preserve">MA-2025-0803</t>
  </si>
  <si>
    <t xml:space="preserve">OFR-2025-1027</t>
  </si>
  <si>
    <t xml:space="preserve">MA-2025-0402</t>
  </si>
  <si>
    <t xml:space="preserve">OFR-2025-1028</t>
  </si>
  <si>
    <t xml:space="preserve">OFR-2025-1029</t>
  </si>
  <si>
    <t xml:space="preserve">OFR-2025-1030</t>
  </si>
  <si>
    <t xml:space="preserve">OFR-2025-1031</t>
  </si>
  <si>
    <t xml:space="preserve">MA-2025-0805</t>
  </si>
  <si>
    <t xml:space="preserve">OFR-2025-1032</t>
  </si>
  <si>
    <t xml:space="preserve">OFR-2025-1033</t>
  </si>
  <si>
    <t xml:space="preserve">OFR-2025-1034</t>
  </si>
  <si>
    <t xml:space="preserve">OFR-2025-1035</t>
  </si>
  <si>
    <t xml:space="preserve">MA-2025-0508</t>
  </si>
  <si>
    <t xml:space="preserve">OFR-2025-1036</t>
  </si>
  <si>
    <t xml:space="preserve">OFR-2025-1037</t>
  </si>
  <si>
    <t xml:space="preserve">OFR-2025-1038</t>
  </si>
  <si>
    <t xml:space="preserve">MA-2025-0606</t>
  </si>
  <si>
    <t xml:space="preserve">OFR-2025-1039</t>
  </si>
  <si>
    <t xml:space="preserve">OFR-2025-1040</t>
  </si>
  <si>
    <t xml:space="preserve">OFR-2025-1041</t>
  </si>
  <si>
    <t xml:space="preserve">MA-2025-0421</t>
  </si>
  <si>
    <t xml:space="preserve">OFR-2025-1042</t>
  </si>
  <si>
    <t xml:space="preserve">OFR-2025-1043</t>
  </si>
  <si>
    <t xml:space="preserve">MA-2025-0205</t>
  </si>
  <si>
    <t xml:space="preserve">OFR-2025-1044</t>
  </si>
  <si>
    <t xml:space="preserve">MA-2025-0721</t>
  </si>
  <si>
    <t xml:space="preserve">OFR-2025-1045</t>
  </si>
  <si>
    <t xml:space="preserve">MA-2025-0206</t>
  </si>
  <si>
    <t xml:space="preserve">OFR-2025-1046</t>
  </si>
  <si>
    <t xml:space="preserve">OFR-2025-1047</t>
  </si>
  <si>
    <t xml:space="preserve">OFR-2025-1048</t>
  </si>
  <si>
    <t xml:space="preserve">OFR-2025-1049</t>
  </si>
  <si>
    <t xml:space="preserve">MA-2025-0502</t>
  </si>
  <si>
    <t xml:space="preserve">OFR-2025-1050</t>
  </si>
  <si>
    <t xml:space="preserve">MA-2025-1009</t>
  </si>
  <si>
    <t xml:space="preserve">OFR-2025-1051</t>
  </si>
  <si>
    <t xml:space="preserve">OFR-2025-1052</t>
  </si>
  <si>
    <t xml:space="preserve">MA-2025-0918</t>
  </si>
  <si>
    <t xml:space="preserve">OFR-2025-1053</t>
  </si>
  <si>
    <t xml:space="preserve">OFR-2025-1054</t>
  </si>
  <si>
    <t xml:space="preserve">OFR-2025-1055</t>
  </si>
  <si>
    <t xml:space="preserve">MA-2025-0317</t>
  </si>
  <si>
    <t xml:space="preserve">OFR-2025-1056</t>
  </si>
  <si>
    <t xml:space="preserve">MA-2025-0409</t>
  </si>
  <si>
    <t xml:space="preserve">OFR-2025-1057</t>
  </si>
  <si>
    <t xml:space="preserve">MA-2025-0612</t>
  </si>
  <si>
    <t xml:space="preserve">OFR-2025-1058</t>
  </si>
  <si>
    <t xml:space="preserve">OFR-2025-1059</t>
  </si>
  <si>
    <t xml:space="preserve">OFR-2025-1060</t>
  </si>
  <si>
    <t xml:space="preserve">OFR-2025-1061</t>
  </si>
  <si>
    <t xml:space="preserve">MA-2025-0423</t>
  </si>
  <si>
    <t xml:space="preserve">OFR-2025-1062</t>
  </si>
  <si>
    <t xml:space="preserve">MA-2025-1012</t>
  </si>
  <si>
    <t xml:space="preserve">OFR-2025-1063</t>
  </si>
  <si>
    <t xml:space="preserve">OFR-2025-1064</t>
  </si>
  <si>
    <t xml:space="preserve">OFR-2025-1065</t>
  </si>
  <si>
    <t xml:space="preserve">OFR-2025-1066</t>
  </si>
  <si>
    <t xml:space="preserve">OFR-2025-1067</t>
  </si>
  <si>
    <t xml:space="preserve">OFR-2025-1068</t>
  </si>
  <si>
    <t xml:space="preserve">OFR-2025-1069</t>
  </si>
  <si>
    <t xml:space="preserve">MA-2025-0401</t>
  </si>
  <si>
    <t xml:space="preserve">OFR-2025-1070</t>
  </si>
  <si>
    <t xml:space="preserve">OFR-2025-1071</t>
  </si>
  <si>
    <t xml:space="preserve">MA-2025-1023</t>
  </si>
  <si>
    <t xml:space="preserve">OFR-2025-1072</t>
  </si>
  <si>
    <t xml:space="preserve">OFR-2025-1073</t>
  </si>
  <si>
    <t xml:space="preserve">MA-2025-0603</t>
  </si>
  <si>
    <t xml:space="preserve">OFR-2025-1074</t>
  </si>
  <si>
    <t xml:space="preserve">OFR-2025-1075</t>
  </si>
  <si>
    <t xml:space="preserve">OFR-2025-1076</t>
  </si>
  <si>
    <t xml:space="preserve">OFR-2025-1077</t>
  </si>
  <si>
    <t xml:space="preserve">MA-2025-1116</t>
  </si>
  <si>
    <t xml:space="preserve">OFR-2025-1078</t>
  </si>
  <si>
    <t xml:space="preserve">MA-2025-0909</t>
  </si>
  <si>
    <t xml:space="preserve">OFR-2025-1079</t>
  </si>
  <si>
    <t xml:space="preserve">OFR-2025-1080</t>
  </si>
  <si>
    <t xml:space="preserve">MA-2025-0210</t>
  </si>
  <si>
    <t xml:space="preserve">OFR-2025-1081</t>
  </si>
  <si>
    <t xml:space="preserve">OFR-2025-1082</t>
  </si>
  <si>
    <t xml:space="preserve">MA-2025-0815</t>
  </si>
  <si>
    <t xml:space="preserve">OFR-2025-1083</t>
  </si>
  <si>
    <t xml:space="preserve">OFR-2025-1084</t>
  </si>
  <si>
    <t xml:space="preserve">OFR-2025-1085</t>
  </si>
  <si>
    <t xml:space="preserve">OFR-2025-1086</t>
  </si>
  <si>
    <t xml:space="preserve">MA-2025-0713</t>
  </si>
  <si>
    <t xml:space="preserve">OFR-2025-1087</t>
  </si>
  <si>
    <t xml:space="preserve">OFR-2025-1088</t>
  </si>
  <si>
    <t xml:space="preserve">MA-2025-1007</t>
  </si>
  <si>
    <t xml:space="preserve">OFR-2025-1089</t>
  </si>
  <si>
    <t xml:space="preserve">MA-2025-1108</t>
  </si>
  <si>
    <t xml:space="preserve">OFR-2025-1090</t>
  </si>
  <si>
    <t xml:space="preserve">OFR-2025-1091</t>
  </si>
  <si>
    <t xml:space="preserve">OFR-2025-1092</t>
  </si>
  <si>
    <t xml:space="preserve">MA-2025-0919</t>
  </si>
  <si>
    <t xml:space="preserve">OFR-2025-1093</t>
  </si>
  <si>
    <t xml:space="preserve">OFR-2025-1094</t>
  </si>
  <si>
    <t xml:space="preserve">MA-2025-0419</t>
  </si>
  <si>
    <t xml:space="preserve">OFR-2025-1095</t>
  </si>
  <si>
    <t xml:space="preserve">OFR-2025-1096</t>
  </si>
  <si>
    <t xml:space="preserve">MA-2025-0601</t>
  </si>
  <si>
    <t xml:space="preserve">OFR-2025-1097</t>
  </si>
  <si>
    <t xml:space="preserve">MA-2025-0814</t>
  </si>
  <si>
    <t xml:space="preserve">OFR-2025-1098</t>
  </si>
  <si>
    <t xml:space="preserve">OFR-2025-1099</t>
  </si>
  <si>
    <t xml:space="preserve">OFR-2025-1100</t>
  </si>
  <si>
    <t xml:space="preserve">OFR-2025-1101</t>
  </si>
  <si>
    <t xml:space="preserve">OFR-2025-1102</t>
  </si>
  <si>
    <t xml:space="preserve">MA-2025-0619</t>
  </si>
  <si>
    <t xml:space="preserve">OFR-2025-1103</t>
  </si>
  <si>
    <t xml:space="preserve">OFR-2025-1104</t>
  </si>
  <si>
    <t xml:space="preserve">MA-2025-0418</t>
  </si>
  <si>
    <t xml:space="preserve">OFR-2025-1105</t>
  </si>
  <si>
    <t xml:space="preserve">OFR-2025-1106</t>
  </si>
  <si>
    <t xml:space="preserve">OFR-2025-1107</t>
  </si>
  <si>
    <t xml:space="preserve">OFR-2025-1108</t>
  </si>
  <si>
    <t xml:space="preserve">OFR-2025-1109</t>
  </si>
  <si>
    <t xml:space="preserve">MA-2025-0621</t>
  </si>
  <si>
    <t xml:space="preserve">OFR-2025-1110</t>
  </si>
  <si>
    <t xml:space="preserve">OFR-2025-1111</t>
  </si>
  <si>
    <t xml:space="preserve">OFR-2025-1112</t>
  </si>
  <si>
    <t xml:space="preserve">OFR-2025-1113</t>
  </si>
  <si>
    <t xml:space="preserve">OFR-2025-1114</t>
  </si>
  <si>
    <t xml:space="preserve">OFR-2025-1115</t>
  </si>
  <si>
    <t xml:space="preserve">OFR-2025-1116</t>
  </si>
  <si>
    <t xml:space="preserve">OFR-2025-1117</t>
  </si>
  <si>
    <t xml:space="preserve">OFR-2025-1118</t>
  </si>
  <si>
    <t xml:space="preserve">MA-2025-0412</t>
  </si>
  <si>
    <t xml:space="preserve">OFR-2025-1119</t>
  </si>
  <si>
    <t xml:space="preserve">OFR-2025-1120</t>
  </si>
  <si>
    <t xml:space="preserve">OFR-2025-1121</t>
  </si>
  <si>
    <t xml:space="preserve">OFR-2025-1122</t>
  </si>
  <si>
    <t xml:space="preserve">MA-2025-0422</t>
  </si>
  <si>
    <t xml:space="preserve">OFR-2025-1123</t>
  </si>
  <si>
    <t xml:space="preserve">OFR-2025-1124</t>
  </si>
  <si>
    <t xml:space="preserve">OFR-2025-1125</t>
  </si>
  <si>
    <t xml:space="preserve">OFR-2025-1126</t>
  </si>
  <si>
    <t xml:space="preserve">OFR-2025-1127</t>
  </si>
  <si>
    <t xml:space="preserve">OFR-2025-1128</t>
  </si>
  <si>
    <t xml:space="preserve">OFR-2025-1129</t>
  </si>
  <si>
    <t xml:space="preserve">OFR-2025-1130</t>
  </si>
  <si>
    <t xml:space="preserve">OFR-2025-1131</t>
  </si>
  <si>
    <t xml:space="preserve">MA-2025-0623</t>
  </si>
  <si>
    <t xml:space="preserve">OFR-2025-1132</t>
  </si>
  <si>
    <t xml:space="preserve">MA-2025-0704</t>
  </si>
  <si>
    <t xml:space="preserve">OFR-2025-1133</t>
  </si>
  <si>
    <t xml:space="preserve">OFR-2025-1134</t>
  </si>
  <si>
    <t xml:space="preserve">OFR-2025-1135</t>
  </si>
  <si>
    <t xml:space="preserve">OFR-2025-1136</t>
  </si>
  <si>
    <t xml:space="preserve">OFR-2025-1137</t>
  </si>
  <si>
    <t xml:space="preserve">MA-2025-0302</t>
  </si>
  <si>
    <t xml:space="preserve">OFR-2025-1138</t>
  </si>
  <si>
    <t xml:space="preserve">OFR-2025-1139</t>
  </si>
  <si>
    <t xml:space="preserve">OFR-2025-1140</t>
  </si>
  <si>
    <t xml:space="preserve">MA-2025-0204</t>
  </si>
  <si>
    <t xml:space="preserve">OFR-2025-1141</t>
  </si>
  <si>
    <t xml:space="preserve">OFR-2025-1142</t>
  </si>
  <si>
    <t xml:space="preserve">OFR-2025-1143</t>
  </si>
  <si>
    <t xml:space="preserve">OFR-2025-1144</t>
  </si>
  <si>
    <t xml:space="preserve">MA-2025-0616</t>
  </si>
  <si>
    <t xml:space="preserve">OFR-2025-1145</t>
  </si>
  <si>
    <t xml:space="preserve">MA-2025-0517</t>
  </si>
  <si>
    <t xml:space="preserve">OFR-2025-1146</t>
  </si>
  <si>
    <t xml:space="preserve">OFR-2025-1147</t>
  </si>
  <si>
    <t xml:space="preserve">OFR-2025-1148</t>
  </si>
  <si>
    <t xml:space="preserve">OFR-2025-1149</t>
  </si>
  <si>
    <t xml:space="preserve">MA-2025-0915</t>
  </si>
  <si>
    <t xml:space="preserve">OFR-2025-1150</t>
  </si>
  <si>
    <t xml:space="preserve">MA-2025-0618</t>
  </si>
  <si>
    <t xml:space="preserve">OFR-2025-1151</t>
  </si>
  <si>
    <t xml:space="preserve">MA-2025-0201</t>
  </si>
  <si>
    <t xml:space="preserve">OFR-2025-1152</t>
  </si>
  <si>
    <t xml:space="preserve">MA-2025-0912</t>
  </si>
  <si>
    <t xml:space="preserve">OFR-2025-1153</t>
  </si>
  <si>
    <t xml:space="preserve">OFR-2025-1154</t>
  </si>
  <si>
    <t xml:space="preserve">OFR-2025-1155</t>
  </si>
  <si>
    <t xml:space="preserve">OFR-2025-1156</t>
  </si>
  <si>
    <t xml:space="preserve">OFR-2025-1157</t>
  </si>
  <si>
    <t xml:space="preserve">OFR-2025-1158</t>
  </si>
  <si>
    <t xml:space="preserve">OFR-2025-1159</t>
  </si>
  <si>
    <t xml:space="preserve">OFR-2025-1160</t>
  </si>
  <si>
    <t xml:space="preserve">OFR-2025-1161</t>
  </si>
  <si>
    <t xml:space="preserve">MA-2025-0816</t>
  </si>
  <si>
    <t xml:space="preserve">OFR-2025-1162</t>
  </si>
  <si>
    <t xml:space="preserve">MA-2025-0613</t>
  </si>
  <si>
    <t xml:space="preserve">OFR-2025-1163</t>
  </si>
  <si>
    <t xml:space="preserve">MA-2025-0620</t>
  </si>
  <si>
    <t xml:space="preserve">OFR-2025-1164</t>
  </si>
  <si>
    <t xml:space="preserve">OFR-2025-1165</t>
  </si>
  <si>
    <t xml:space="preserve">OFR-2025-1166</t>
  </si>
  <si>
    <t xml:space="preserve">MA-2025-0615</t>
  </si>
  <si>
    <t xml:space="preserve">OFR-2025-1167</t>
  </si>
  <si>
    <t xml:space="preserve">OFR-2025-1168</t>
  </si>
  <si>
    <t xml:space="preserve">OFR-2025-1169</t>
  </si>
  <si>
    <t xml:space="preserve">MA-2025-0307</t>
  </si>
  <si>
    <t xml:space="preserve">OFR-2025-1170</t>
  </si>
  <si>
    <t xml:space="preserve">MA-2025-0824</t>
  </si>
  <si>
    <t xml:space="preserve">OFR-2025-1171</t>
  </si>
  <si>
    <t xml:space="preserve">OFR-2025-1172</t>
  </si>
  <si>
    <t xml:space="preserve">OFR-2025-1173</t>
  </si>
  <si>
    <t xml:space="preserve">OFR-2025-1174</t>
  </si>
  <si>
    <t xml:space="preserve">OFR-2025-1175</t>
  </si>
  <si>
    <t xml:space="preserve">OFR-2025-1176</t>
  </si>
  <si>
    <t xml:space="preserve">OFR-2025-1177</t>
  </si>
  <si>
    <t xml:space="preserve">MA-2025-0505</t>
  </si>
  <si>
    <t xml:space="preserve">OFR-2025-1178</t>
  </si>
  <si>
    <t xml:space="preserve">MA-2025-1021</t>
  </si>
  <si>
    <t xml:space="preserve">OFR-2025-1179</t>
  </si>
  <si>
    <t xml:space="preserve">OFR-2025-1180</t>
  </si>
  <si>
    <t xml:space="preserve">OFR-2025-1181</t>
  </si>
  <si>
    <t xml:space="preserve">OFR-2025-1182</t>
  </si>
  <si>
    <t xml:space="preserve">OFR-2025-1183</t>
  </si>
  <si>
    <t xml:space="preserve">MA-2025-0416</t>
  </si>
  <si>
    <t xml:space="preserve">OFR-2025-1184</t>
  </si>
  <si>
    <t xml:space="preserve">OFR-2025-1185</t>
  </si>
  <si>
    <t xml:space="preserve">OFR-2025-1186</t>
  </si>
  <si>
    <t xml:space="preserve">OFR-2025-1187</t>
  </si>
  <si>
    <t xml:space="preserve">OFR-2025-1188</t>
  </si>
  <si>
    <t xml:space="preserve">OFR-2025-1189</t>
  </si>
  <si>
    <t xml:space="preserve">OFR-2025-1190</t>
  </si>
  <si>
    <t xml:space="preserve">MA-2025-0222</t>
  </si>
  <si>
    <t xml:space="preserve">OFR-2025-1191</t>
  </si>
  <si>
    <t xml:space="preserve">MA-2025-1005</t>
  </si>
  <si>
    <t xml:space="preserve">OFR-2025-1192</t>
  </si>
  <si>
    <t xml:space="preserve">MA-2025-0910</t>
  </si>
  <si>
    <t xml:space="preserve">OFR-2025-1193</t>
  </si>
  <si>
    <t xml:space="preserve">MA-2025-0608</t>
  </si>
  <si>
    <t xml:space="preserve">OFR-2025-1194</t>
  </si>
  <si>
    <t xml:space="preserve">OFR-2025-1195</t>
  </si>
  <si>
    <t xml:space="preserve">OFR-2025-1196</t>
  </si>
  <si>
    <t xml:space="preserve">OFR-2025-1197</t>
  </si>
  <si>
    <t xml:space="preserve">OFR-2025-1198</t>
  </si>
  <si>
    <t xml:space="preserve">MA-2025-1117</t>
  </si>
  <si>
    <t xml:space="preserve">OFR-2025-1199</t>
  </si>
  <si>
    <t xml:space="preserve">OFR-2025-1200</t>
  </si>
  <si>
    <t xml:space="preserve">MA-2025-0315</t>
  </si>
  <si>
    <t xml:space="preserve">OFR-2025-1201</t>
  </si>
  <si>
    <t xml:space="preserve">OFR-2025-1202</t>
  </si>
  <si>
    <t xml:space="preserve">OFR-2025-1203</t>
  </si>
  <si>
    <t xml:space="preserve">MA-2025-0514</t>
  </si>
  <si>
    <t xml:space="preserve">OFR-2025-1204</t>
  </si>
  <si>
    <t xml:space="preserve">OFR-2025-1205</t>
  </si>
  <si>
    <t xml:space="preserve">OFR-2025-1206</t>
  </si>
  <si>
    <t xml:space="preserve">OFR-2025-1207</t>
  </si>
  <si>
    <t xml:space="preserve">OFR-2025-1208</t>
  </si>
  <si>
    <t xml:space="preserve">OFR-2025-1209</t>
  </si>
  <si>
    <t xml:space="preserve">OFR-2025-1210</t>
  </si>
  <si>
    <t xml:space="preserve">OFR-2025-1211</t>
  </si>
  <si>
    <t xml:space="preserve">OFR-2025-1212</t>
  </si>
  <si>
    <t xml:space="preserve">OFR-2025-1213</t>
  </si>
  <si>
    <t xml:space="preserve">OFR-2025-1214</t>
  </si>
  <si>
    <t xml:space="preserve">OFR-2025-1215</t>
  </si>
  <si>
    <t xml:space="preserve">OFR-2025-1216</t>
  </si>
  <si>
    <t xml:space="preserve">OFR-2025-1217</t>
  </si>
  <si>
    <t xml:space="preserve">OFR-2025-1218</t>
  </si>
  <si>
    <t xml:space="preserve">OFR-2025-1219</t>
  </si>
  <si>
    <t xml:space="preserve">OFR-2025-1220</t>
  </si>
  <si>
    <t xml:space="preserve">MA-2025-0303</t>
  </si>
  <si>
    <t xml:space="preserve">OFR-2025-1221</t>
  </si>
  <si>
    <t xml:space="preserve">MA-2025-0207</t>
  </si>
  <si>
    <t xml:space="preserve">OFR-2025-1222</t>
  </si>
  <si>
    <t xml:space="preserve">OFR-2025-1223</t>
  </si>
  <si>
    <t xml:space="preserve">MA-2025-1008</t>
  </si>
  <si>
    <t xml:space="preserve">OFR-2025-1224</t>
  </si>
  <si>
    <t xml:space="preserve">OFR-2025-1225</t>
  </si>
  <si>
    <t xml:space="preserve">OFR-2025-1226</t>
  </si>
  <si>
    <t xml:space="preserve">MA-2025-0611</t>
  </si>
  <si>
    <t xml:space="preserve">OFR-2025-1227</t>
  </si>
  <si>
    <t xml:space="preserve">OFR-2025-1228</t>
  </si>
  <si>
    <t xml:space="preserve">OFR-2025-1229</t>
  </si>
  <si>
    <t xml:space="preserve">MA-2025-0705</t>
  </si>
  <si>
    <t xml:space="preserve">OFR-2025-1230</t>
  </si>
  <si>
    <t xml:space="preserve">OFR-2025-1231</t>
  </si>
  <si>
    <t xml:space="preserve">MA-2025-0820</t>
  </si>
  <si>
    <t xml:space="preserve">OFR-2025-1232</t>
  </si>
  <si>
    <t xml:space="preserve">OFR-2025-1233</t>
  </si>
  <si>
    <t xml:space="preserve">OFR-2025-1234</t>
  </si>
  <si>
    <t xml:space="preserve">MA-2025-0411</t>
  </si>
  <si>
    <t xml:space="preserve">OFR-2025-1235</t>
  </si>
  <si>
    <t xml:space="preserve">OFR-2025-1236</t>
  </si>
  <si>
    <t xml:space="preserve">OFR-2025-1237</t>
  </si>
  <si>
    <t xml:space="preserve">OFR-2025-1238</t>
  </si>
  <si>
    <t xml:space="preserve">MA-2025-0101</t>
  </si>
  <si>
    <t xml:space="preserve">OFR-2025-1239</t>
  </si>
  <si>
    <t xml:space="preserve">OFR-2025-1240</t>
  </si>
  <si>
    <t xml:space="preserve">OFR-2025-1241</t>
  </si>
  <si>
    <t xml:space="preserve">MA-2025-0123</t>
  </si>
  <si>
    <t xml:space="preserve">OFR-2025-1242</t>
  </si>
  <si>
    <t xml:space="preserve">OFR-2025-1243</t>
  </si>
  <si>
    <t xml:space="preserve">MA-2025-0321</t>
  </si>
  <si>
    <t xml:space="preserve">OFR-2025-1244</t>
  </si>
  <si>
    <t xml:space="preserve">OFR-2025-1245</t>
  </si>
  <si>
    <t xml:space="preserve">OFR-2025-1246</t>
  </si>
  <si>
    <t xml:space="preserve">OFR-2025-1247</t>
  </si>
  <si>
    <t xml:space="preserve">OFR-2025-1248</t>
  </si>
  <si>
    <t xml:space="preserve">MA-2025-0710</t>
  </si>
  <si>
    <t xml:space="preserve">OFR-2025-1249</t>
  </si>
  <si>
    <t xml:space="preserve">OFR-2025-1250</t>
  </si>
  <si>
    <t xml:space="preserve">OFR-2025-1251</t>
  </si>
  <si>
    <t xml:space="preserve">OFR-2025-1252</t>
  </si>
  <si>
    <t xml:space="preserve">OFR-2025-1253</t>
  </si>
  <si>
    <t xml:space="preserve">OFR-2025-1254</t>
  </si>
  <si>
    <t xml:space="preserve">OFR-2025-1255</t>
  </si>
  <si>
    <t xml:space="preserve">OFR-2025-1256</t>
  </si>
  <si>
    <t xml:space="preserve">OFR-2025-1257</t>
  </si>
  <si>
    <t xml:space="preserve">OFR-2025-1258</t>
  </si>
  <si>
    <t xml:space="preserve">OFR-2025-1259</t>
  </si>
  <si>
    <t xml:space="preserve">MA-2025-0614</t>
  </si>
  <si>
    <t xml:space="preserve">OFR-2025-1260</t>
  </si>
  <si>
    <t xml:space="preserve">OFR-2025-1261</t>
  </si>
  <si>
    <t xml:space="preserve">MA-2025-0116</t>
  </si>
  <si>
    <t xml:space="preserve">OFR-2025-1262</t>
  </si>
  <si>
    <t xml:space="preserve">OFR-2025-1263</t>
  </si>
  <si>
    <t xml:space="preserve">OFR-2025-1264</t>
  </si>
  <si>
    <t xml:space="preserve">OFR-2025-1265</t>
  </si>
  <si>
    <t xml:space="preserve">OFR-2025-1266</t>
  </si>
  <si>
    <t xml:space="preserve">OFR-2025-1267</t>
  </si>
  <si>
    <t xml:space="preserve">OFR-2025-1268</t>
  </si>
  <si>
    <t xml:space="preserve">OFR-2025-1269</t>
  </si>
  <si>
    <t xml:space="preserve">OFR-2025-1270</t>
  </si>
  <si>
    <t xml:space="preserve">MA-2025-0520</t>
  </si>
  <si>
    <t xml:space="preserve">OFR-2025-1271</t>
  </si>
  <si>
    <t xml:space="preserve">MA-2025-0819</t>
  </si>
  <si>
    <t xml:space="preserve">OFR-2025-1272</t>
  </si>
  <si>
    <t xml:space="preserve">OFR-2025-1273</t>
  </si>
  <si>
    <t xml:space="preserve">OFR-2025-1274</t>
  </si>
  <si>
    <t xml:space="preserve">MA-2025-0104</t>
  </si>
  <si>
    <t xml:space="preserve">OFR-2025-1275</t>
  </si>
  <si>
    <t xml:space="preserve">OFR-2025-1276</t>
  </si>
  <si>
    <t xml:space="preserve">OFR-2026-1277</t>
  </si>
  <si>
    <t xml:space="preserve">OFR-2026-1278</t>
  </si>
  <si>
    <t xml:space="preserve">OFR-2026-1279</t>
  </si>
  <si>
    <t xml:space="preserve">OFR-2026-1280</t>
  </si>
  <si>
    <t xml:space="preserve">OFR-2026-1281</t>
  </si>
  <si>
    <t xml:space="preserve">OFR-2026-1282</t>
  </si>
  <si>
    <t xml:space="preserve">OFR-2026-1283</t>
  </si>
  <si>
    <t xml:space="preserve">OFR-2026-1284</t>
  </si>
  <si>
    <t xml:space="preserve">OFR-2026-1285</t>
  </si>
  <si>
    <t xml:space="preserve">OFR-2026-1286</t>
  </si>
  <si>
    <t xml:space="preserve">MA-2026-0718</t>
  </si>
  <si>
    <t xml:space="preserve">OFR-2026-1287</t>
  </si>
  <si>
    <t xml:space="preserve">OFR-2026-1288</t>
  </si>
  <si>
    <t xml:space="preserve">OFR-2026-1289</t>
  </si>
  <si>
    <t xml:space="preserve">MA-2026-0614</t>
  </si>
  <si>
    <t xml:space="preserve">OFR-2026-1290</t>
  </si>
  <si>
    <t xml:space="preserve">OFR-2026-1291</t>
  </si>
  <si>
    <t xml:space="preserve">OFR-2026-1292</t>
  </si>
  <si>
    <t xml:space="preserve">MA-2026-0824</t>
  </si>
  <si>
    <t xml:space="preserve">OFR-2026-1293</t>
  </si>
  <si>
    <t xml:space="preserve">MA-2026-0801</t>
  </si>
  <si>
    <t xml:space="preserve">OFR-2026-1294</t>
  </si>
  <si>
    <t xml:space="preserve">OFR-2026-1295</t>
  </si>
  <si>
    <t xml:space="preserve">OFR-2026-1296</t>
  </si>
  <si>
    <t xml:space="preserve">OFR-2026-1297</t>
  </si>
  <si>
    <t xml:space="preserve">OFR-2026-1298</t>
  </si>
  <si>
    <t xml:space="preserve">OFR-2026-1299</t>
  </si>
  <si>
    <t xml:space="preserve">OFR-2026-1300</t>
  </si>
  <si>
    <t xml:space="preserve">OFR-2026-1301</t>
  </si>
  <si>
    <t xml:space="preserve">OFR-2026-1302</t>
  </si>
  <si>
    <t xml:space="preserve">MA-2026-0608</t>
  </si>
  <si>
    <t xml:space="preserve">OFR-2026-1303</t>
  </si>
  <si>
    <t xml:space="preserve">MA-2026-0312</t>
  </si>
  <si>
    <t xml:space="preserve">OFR-2026-1304</t>
  </si>
  <si>
    <t xml:space="preserve">MA-2026-0122</t>
  </si>
  <si>
    <t xml:space="preserve">OFR-2026-1305</t>
  </si>
  <si>
    <t xml:space="preserve">OFR-2026-1306</t>
  </si>
  <si>
    <t xml:space="preserve">OFR-2026-1307</t>
  </si>
  <si>
    <t xml:space="preserve">OFR-2026-1308</t>
  </si>
  <si>
    <t xml:space="preserve">MA-2026-0214</t>
  </si>
  <si>
    <t xml:space="preserve">OFR-2026-1309</t>
  </si>
  <si>
    <t xml:space="preserve">OFR-2026-1310</t>
  </si>
  <si>
    <t xml:space="preserve">OFR-2026-1311</t>
  </si>
  <si>
    <t xml:space="preserve">MA-2026-1020</t>
  </si>
  <si>
    <t xml:space="preserve">OFR-2026-1312</t>
  </si>
  <si>
    <t xml:space="preserve">MA-2026-0306</t>
  </si>
  <si>
    <t xml:space="preserve">OFR-2026-1313</t>
  </si>
  <si>
    <t xml:space="preserve">MA-2026-0422</t>
  </si>
  <si>
    <t xml:space="preserve">OFR-2026-1314</t>
  </si>
  <si>
    <t xml:space="preserve">OFR-2026-1315</t>
  </si>
  <si>
    <t xml:space="preserve">OFR-2026-1316</t>
  </si>
  <si>
    <t xml:space="preserve">OFR-2026-1317</t>
  </si>
  <si>
    <t xml:space="preserve">OFR-2026-1318</t>
  </si>
  <si>
    <t xml:space="preserve">MA-2026-0901</t>
  </si>
  <si>
    <t xml:space="preserve">OFR-2026-1319</t>
  </si>
  <si>
    <t xml:space="preserve">OFR-2026-1320</t>
  </si>
  <si>
    <t xml:space="preserve">OFR-2026-1321</t>
  </si>
  <si>
    <t xml:space="preserve">OFR-2026-1322</t>
  </si>
  <si>
    <t xml:space="preserve">OFR-2026-1323</t>
  </si>
  <si>
    <t xml:space="preserve">OFR-2026-1324</t>
  </si>
  <si>
    <t xml:space="preserve">MA-2026-0911</t>
  </si>
  <si>
    <t xml:space="preserve">OFR-2026-1325</t>
  </si>
  <si>
    <t xml:space="preserve">MA-2026-0405</t>
  </si>
  <si>
    <t xml:space="preserve">OFR-2026-1326</t>
  </si>
  <si>
    <t xml:space="preserve">OFR-2026-1327</t>
  </si>
  <si>
    <t xml:space="preserve">OFR-2026-1328</t>
  </si>
  <si>
    <t xml:space="preserve">OFR-2026-1329</t>
  </si>
  <si>
    <t xml:space="preserve">MA-2026-0323</t>
  </si>
  <si>
    <t xml:space="preserve">OFR-2026-1330</t>
  </si>
  <si>
    <t xml:space="preserve">OFR-2026-1331</t>
  </si>
  <si>
    <t xml:space="preserve">MA-2026-0510</t>
  </si>
  <si>
    <t xml:space="preserve">OFR-2026-1332</t>
  </si>
  <si>
    <t xml:space="preserve">OFR-2026-1333</t>
  </si>
  <si>
    <t xml:space="preserve">OFR-2026-1334</t>
  </si>
  <si>
    <t xml:space="preserve">MA-2026-0124</t>
  </si>
  <si>
    <t xml:space="preserve">OFR-2026-1335</t>
  </si>
  <si>
    <t xml:space="preserve">OFR-2026-1336</t>
  </si>
  <si>
    <t xml:space="preserve">MA-2026-0806</t>
  </si>
  <si>
    <t xml:space="preserve">OFR-2026-1337</t>
  </si>
  <si>
    <t xml:space="preserve">OFR-2026-1338</t>
  </si>
  <si>
    <t xml:space="preserve">OFR-2026-1339</t>
  </si>
  <si>
    <t xml:space="preserve">OFR-2026-1340</t>
  </si>
  <si>
    <t xml:space="preserve">OFR-2026-1341</t>
  </si>
  <si>
    <t xml:space="preserve">MA-2026-0415</t>
  </si>
  <si>
    <t xml:space="preserve">OFR-2026-1342</t>
  </si>
  <si>
    <t xml:space="preserve">MA-2026-0815</t>
  </si>
  <si>
    <t xml:space="preserve">OFR-2026-1343</t>
  </si>
  <si>
    <t xml:space="preserve">MA-2026-1002</t>
  </si>
  <si>
    <t xml:space="preserve">OFR-2026-1344</t>
  </si>
  <si>
    <t xml:space="preserve">OFR-2026-1345</t>
  </si>
  <si>
    <t xml:space="preserve">OFR-2026-1346</t>
  </si>
  <si>
    <t xml:space="preserve">OFR-2026-1347</t>
  </si>
  <si>
    <t xml:space="preserve">OFR-2026-1348</t>
  </si>
  <si>
    <t xml:space="preserve">OFR-2026-1349</t>
  </si>
  <si>
    <t xml:space="preserve">OFR-2026-1350</t>
  </si>
  <si>
    <t xml:space="preserve">OFR-2026-1351</t>
  </si>
  <si>
    <t xml:space="preserve">MA-2026-0809</t>
  </si>
  <si>
    <t xml:space="preserve">OFR-2026-1352</t>
  </si>
  <si>
    <t xml:space="preserve">MA-2026-0420</t>
  </si>
  <si>
    <t xml:space="preserve">OFR-2026-1353</t>
  </si>
  <si>
    <t xml:space="preserve">OFR-2026-1354</t>
  </si>
  <si>
    <t xml:space="preserve">OFR-2026-1355</t>
  </si>
  <si>
    <t xml:space="preserve">OFR-2026-1356</t>
  </si>
  <si>
    <t xml:space="preserve">OFR-2026-1357</t>
  </si>
  <si>
    <t xml:space="preserve">MA-2026-0605</t>
  </si>
  <si>
    <t xml:space="preserve">OFR-2026-1358</t>
  </si>
  <si>
    <t xml:space="preserve">OFR-2026-1359</t>
  </si>
  <si>
    <t xml:space="preserve">MA-2026-0805</t>
  </si>
  <si>
    <t xml:space="preserve">OFR-2026-1360</t>
  </si>
  <si>
    <t xml:space="preserve">OFR-2026-1361</t>
  </si>
  <si>
    <t xml:space="preserve">OFR-2026-1362</t>
  </si>
  <si>
    <t xml:space="preserve">MA-2026-0203</t>
  </si>
  <si>
    <t xml:space="preserve">OFR-2026-1363</t>
  </si>
  <si>
    <t xml:space="preserve">OFR-2026-1364</t>
  </si>
  <si>
    <t xml:space="preserve">MA-2026-0506</t>
  </si>
  <si>
    <t xml:space="preserve">OFR-2026-1365</t>
  </si>
  <si>
    <t xml:space="preserve">MA-2026-1008</t>
  </si>
  <si>
    <t xml:space="preserve">OFR-2026-1366</t>
  </si>
  <si>
    <t xml:space="preserve">OFR-2026-1367</t>
  </si>
  <si>
    <t xml:space="preserve">MA-2026-0324</t>
  </si>
  <si>
    <t xml:space="preserve">OFR-2026-1368</t>
  </si>
  <si>
    <t xml:space="preserve">MA-2026-0101</t>
  </si>
  <si>
    <t xml:space="preserve">OFR-2026-1369</t>
  </si>
  <si>
    <t xml:space="preserve">MA-2026-0205</t>
  </si>
  <si>
    <t xml:space="preserve">OFR-2026-1370</t>
  </si>
  <si>
    <t xml:space="preserve">MA-2026-0207</t>
  </si>
  <si>
    <t xml:space="preserve">OFR-2026-1371</t>
  </si>
  <si>
    <t xml:space="preserve">MA-2026-0808</t>
  </si>
  <si>
    <t xml:space="preserve">OFR-2026-1372</t>
  </si>
  <si>
    <t xml:space="preserve">OFR-2026-1373</t>
  </si>
  <si>
    <t xml:space="preserve">MA-2026-0722</t>
  </si>
  <si>
    <t xml:space="preserve">OFR-2026-1374</t>
  </si>
  <si>
    <t xml:space="preserve">MA-2026-0104</t>
  </si>
  <si>
    <t xml:space="preserve">OFR-2026-1375</t>
  </si>
  <si>
    <t xml:space="preserve">OFR-2026-1376</t>
  </si>
  <si>
    <t xml:space="preserve">OFR-2026-1377</t>
  </si>
  <si>
    <t xml:space="preserve">MA-2026-0924</t>
  </si>
  <si>
    <t xml:space="preserve">OFR-2026-1378</t>
  </si>
  <si>
    <t xml:space="preserve">OFR-2026-1379</t>
  </si>
  <si>
    <t xml:space="preserve">MA-2026-0906</t>
  </si>
  <si>
    <t xml:space="preserve">OFR-2026-1380</t>
  </si>
  <si>
    <t xml:space="preserve">OFR-2026-1381</t>
  </si>
  <si>
    <t xml:space="preserve">OFR-2026-1382</t>
  </si>
  <si>
    <t xml:space="preserve">MA-2026-0501</t>
  </si>
  <si>
    <t xml:space="preserve">OFR-2026-1383</t>
  </si>
  <si>
    <t xml:space="preserve">OFR-2026-1384</t>
  </si>
  <si>
    <t xml:space="preserve">OFR-2026-1385</t>
  </si>
  <si>
    <t xml:space="preserve">OFR-2026-1386</t>
  </si>
  <si>
    <t xml:space="preserve">OFR-2026-1387</t>
  </si>
  <si>
    <t xml:space="preserve">OFR-2026-1388</t>
  </si>
  <si>
    <t xml:space="preserve">MA-2026-0302</t>
  </si>
  <si>
    <t xml:space="preserve">OFR-2026-1389</t>
  </si>
  <si>
    <t xml:space="preserve">MA-2026-1004</t>
  </si>
  <si>
    <t xml:space="preserve">OFR-2026-1390</t>
  </si>
  <si>
    <t xml:space="preserve">MA-2026-0309</t>
  </si>
  <si>
    <t xml:space="preserve">OFR-2026-1391</t>
  </si>
  <si>
    <t xml:space="preserve">OFR-2026-1392</t>
  </si>
  <si>
    <t xml:space="preserve">MA-2026-0609</t>
  </si>
  <si>
    <t xml:space="preserve">OFR-2026-1393</t>
  </si>
  <si>
    <t xml:space="preserve">OFR-2026-1394</t>
  </si>
  <si>
    <t xml:space="preserve">OFR-2026-1395</t>
  </si>
  <si>
    <t xml:space="preserve">MA-2026-0319</t>
  </si>
  <si>
    <t xml:space="preserve">OFR-2026-1396</t>
  </si>
  <si>
    <t xml:space="preserve">OFR-2026-1397</t>
  </si>
  <si>
    <t xml:space="preserve">OFR-2026-1398</t>
  </si>
  <si>
    <t xml:space="preserve">OFR-2026-1399</t>
  </si>
  <si>
    <t xml:space="preserve">OFR-2026-1400</t>
  </si>
  <si>
    <t xml:space="preserve">OFR-2026-1401</t>
  </si>
  <si>
    <t xml:space="preserve">MA-2026-0820</t>
  </si>
  <si>
    <t xml:space="preserve">OFR-2026-1402</t>
  </si>
  <si>
    <t xml:space="preserve">OFR-2026-1403</t>
  </si>
  <si>
    <t xml:space="preserve">OFR-2026-1404</t>
  </si>
  <si>
    <t xml:space="preserve">OFR-2026-1405</t>
  </si>
  <si>
    <t xml:space="preserve">OFR-2026-1406</t>
  </si>
  <si>
    <t xml:space="preserve">OFR-2026-1407</t>
  </si>
  <si>
    <t xml:space="preserve">MA-2026-0208</t>
  </si>
  <si>
    <t xml:space="preserve">OFR-2026-1408</t>
  </si>
  <si>
    <t xml:space="preserve">OFR-2026-1409</t>
  </si>
  <si>
    <t xml:space="preserve">OFR-2026-1410</t>
  </si>
  <si>
    <t xml:space="preserve">OFR-2026-1411</t>
  </si>
  <si>
    <t xml:space="preserve">OFR-2026-1412</t>
  </si>
  <si>
    <t xml:space="preserve">OFR-2026-1413</t>
  </si>
  <si>
    <t xml:space="preserve">OFR-2026-1414</t>
  </si>
  <si>
    <t xml:space="preserve">MA-2026-0516</t>
  </si>
  <si>
    <t xml:space="preserve">OFR-2026-1415</t>
  </si>
  <si>
    <t xml:space="preserve">MA-2026-0216</t>
  </si>
  <si>
    <t xml:space="preserve">OFR-2026-1416</t>
  </si>
  <si>
    <t xml:space="preserve">MA-2026-0505</t>
  </si>
  <si>
    <t xml:space="preserve">OFR-2026-1417</t>
  </si>
  <si>
    <t xml:space="preserve">OFR-2026-1418</t>
  </si>
  <si>
    <t xml:space="preserve">OFR-2026-1419</t>
  </si>
  <si>
    <t xml:space="preserve">OFR-2026-1420</t>
  </si>
  <si>
    <t xml:space="preserve">MA-2026-0514</t>
  </si>
  <si>
    <t xml:space="preserve">OFR-2026-1421</t>
  </si>
  <si>
    <t xml:space="preserve">MA-2026-0713</t>
  </si>
  <si>
    <t xml:space="preserve">OFR-2026-1422</t>
  </si>
  <si>
    <t xml:space="preserve">OFR-2026-1423</t>
  </si>
  <si>
    <t xml:space="preserve">MA-2026-0411</t>
  </si>
  <si>
    <t xml:space="preserve">OFR-2026-1424</t>
  </si>
  <si>
    <t xml:space="preserve">OFR-2026-1425</t>
  </si>
  <si>
    <t xml:space="preserve">OFR-2026-1426</t>
  </si>
  <si>
    <t xml:space="preserve">MA-2026-0301</t>
  </si>
  <si>
    <t xml:space="preserve">OFR-2026-1427</t>
  </si>
  <si>
    <t xml:space="preserve">MA-2026-0416</t>
  </si>
  <si>
    <t xml:space="preserve">OFR-2026-1428</t>
  </si>
  <si>
    <t xml:space="preserve">MA-2026-0321</t>
  </si>
  <si>
    <t xml:space="preserve">OFR-2026-1429</t>
  </si>
  <si>
    <t xml:space="preserve">OFR-2026-1430</t>
  </si>
  <si>
    <t xml:space="preserve">MA-2026-1010</t>
  </si>
  <si>
    <t xml:space="preserve">OFR-2026-1431</t>
  </si>
  <si>
    <t xml:space="preserve">OFR-2026-1432</t>
  </si>
  <si>
    <t xml:space="preserve">OFR-2026-1433</t>
  </si>
  <si>
    <t xml:space="preserve">OFR-2026-1434</t>
  </si>
  <si>
    <t xml:space="preserve">OFR-2026-1435</t>
  </si>
  <si>
    <t xml:space="preserve">OFR-2026-1436</t>
  </si>
  <si>
    <t xml:space="preserve">OFR-2026-1437</t>
  </si>
  <si>
    <t xml:space="preserve">MA-2026-0923</t>
  </si>
  <si>
    <t xml:space="preserve">OFR-2026-1438</t>
  </si>
  <si>
    <t xml:space="preserve">MA-2026-1018</t>
  </si>
  <si>
    <t xml:space="preserve">OFR-2026-1439</t>
  </si>
  <si>
    <t xml:space="preserve">MA-2026-0905</t>
  </si>
  <si>
    <t xml:space="preserve">OFR-2026-1440</t>
  </si>
  <si>
    <t xml:space="preserve">MA-2026-0701</t>
  </si>
  <si>
    <t xml:space="preserve">OFR-2026-1441</t>
  </si>
  <si>
    <t xml:space="preserve">OFR-2026-1442</t>
  </si>
  <si>
    <t xml:space="preserve">OFR-2026-1443</t>
  </si>
  <si>
    <t xml:space="preserve">OFR-2026-1444</t>
  </si>
  <si>
    <t xml:space="preserve">OFR-2026-1445</t>
  </si>
  <si>
    <t xml:space="preserve">MA-2026-0601</t>
  </si>
  <si>
    <t xml:space="preserve">OFR-2026-1446</t>
  </si>
  <si>
    <t xml:space="preserve">OFR-2026-1447</t>
  </si>
  <si>
    <t xml:space="preserve">OFR-2026-1448</t>
  </si>
  <si>
    <t xml:space="preserve">MA-2026-0121</t>
  </si>
  <si>
    <t xml:space="preserve">OFR-2026-1449</t>
  </si>
  <si>
    <t xml:space="preserve">OFR-2026-1450</t>
  </si>
  <si>
    <t xml:space="preserve">MA-2026-0113</t>
  </si>
  <si>
    <t xml:space="preserve">OFR-2026-1451</t>
  </si>
  <si>
    <t xml:space="preserve">OFR-2026-1452</t>
  </si>
  <si>
    <t xml:space="preserve">OFR-2026-1453</t>
  </si>
  <si>
    <t xml:space="preserve">OFR-2026-1454</t>
  </si>
  <si>
    <t xml:space="preserve">OFR-2026-1455</t>
  </si>
  <si>
    <t xml:space="preserve">MA-2026-0917</t>
  </si>
  <si>
    <t xml:space="preserve">OFR-2026-1456</t>
  </si>
  <si>
    <t xml:space="preserve">OFR-2026-1457</t>
  </si>
  <si>
    <t xml:space="preserve">OFR-2026-1458</t>
  </si>
  <si>
    <t xml:space="preserve">MA-2026-0308</t>
  </si>
  <si>
    <t xml:space="preserve">OFR-2026-1459</t>
  </si>
  <si>
    <t xml:space="preserve">OFR-2026-1460</t>
  </si>
  <si>
    <t xml:space="preserve">OFR-2026-1461</t>
  </si>
  <si>
    <t xml:space="preserve">MA-2026-0108</t>
  </si>
  <si>
    <t xml:space="preserve">OFR-2026-1462</t>
  </si>
  <si>
    <t xml:space="preserve">MA-2026-0220</t>
  </si>
  <si>
    <t xml:space="preserve">OFR-2026-1463</t>
  </si>
  <si>
    <t xml:space="preserve">OFR-2026-1464</t>
  </si>
  <si>
    <t xml:space="preserve">OFR-2026-1465</t>
  </si>
  <si>
    <t xml:space="preserve">OFR-2026-1466</t>
  </si>
  <si>
    <t xml:space="preserve">OFR-2026-1467</t>
  </si>
  <si>
    <t xml:space="preserve">OFR-2026-1468</t>
  </si>
  <si>
    <t xml:space="preserve">OFR-2026-1469</t>
  </si>
  <si>
    <t xml:space="preserve">OFR-2026-1470</t>
  </si>
  <si>
    <t xml:space="preserve">OFR-2026-1471</t>
  </si>
  <si>
    <t xml:space="preserve">OFR-2026-1472</t>
  </si>
  <si>
    <t xml:space="preserve">MA-2026-0410</t>
  </si>
  <si>
    <t xml:space="preserve">OFR-2026-1473</t>
  </si>
  <si>
    <t xml:space="preserve">OFR-2026-1474</t>
  </si>
  <si>
    <t xml:space="preserve">OFR-2026-1475</t>
  </si>
  <si>
    <t xml:space="preserve">OFR-2026-1476</t>
  </si>
  <si>
    <t xml:space="preserve">OFR-2026-1477</t>
  </si>
  <si>
    <t xml:space="preserve">OFR-2026-1478</t>
  </si>
  <si>
    <t xml:space="preserve">OFR-2026-1479</t>
  </si>
  <si>
    <t xml:space="preserve">OFR-2026-1480</t>
  </si>
  <si>
    <t xml:space="preserve">MA-2026-1006</t>
  </si>
  <si>
    <t xml:space="preserve">OFR-2026-1481</t>
  </si>
  <si>
    <t xml:space="preserve">MA-2026-1017</t>
  </si>
  <si>
    <t xml:space="preserve">OFR-2026-1482</t>
  </si>
  <si>
    <t xml:space="preserve">MA-2026-0617</t>
  </si>
  <si>
    <t xml:space="preserve">OFR-2026-1483</t>
  </si>
  <si>
    <t xml:space="preserve">MA-2026-1019</t>
  </si>
  <si>
    <t xml:space="preserve">OFR-2026-1484</t>
  </si>
  <si>
    <t xml:space="preserve">OFR-2026-1485</t>
  </si>
  <si>
    <t xml:space="preserve">MA-2026-0907</t>
  </si>
  <si>
    <t xml:space="preserve">OFR-2026-1486</t>
  </si>
  <si>
    <t xml:space="preserve">MA-2026-1106</t>
  </si>
  <si>
    <t xml:space="preserve">skip_id</t>
  </si>
  <si>
    <t xml:space="preserve">skip_date</t>
  </si>
  <si>
    <t xml:space="preserve">reason_code</t>
  </si>
  <si>
    <t xml:space="preserve">justification_category</t>
  </si>
  <si>
    <t xml:space="preserve">documentation_attached</t>
  </si>
  <si>
    <t xml:space="preserve">documentation_type</t>
  </si>
  <si>
    <t xml:space="preserve">reviewed_by</t>
  </si>
  <si>
    <t xml:space="preserve">review_date</t>
  </si>
  <si>
    <t xml:space="preserve">disposition</t>
  </si>
  <si>
    <t xml:space="preserve">SKP-2022-0001</t>
  </si>
  <si>
    <t xml:space="preserve">SLIP_SIZE_MISMATCH</t>
  </si>
  <si>
    <t xml:space="preserve">Y</t>
  </si>
  <si>
    <t xml:space="preserve">INSURANCE_DECL</t>
  </si>
  <si>
    <t xml:space="preserve">MT</t>
  </si>
  <si>
    <t xml:space="preserve">SUSTAINED</t>
  </si>
  <si>
    <t xml:space="preserve">SKP-2022-0002</t>
  </si>
  <si>
    <t xml:space="preserve">INSURANCE_LAPSE</t>
  </si>
  <si>
    <t xml:space="preserve">WRITTEN_STATEMENT</t>
  </si>
  <si>
    <t xml:space="preserve">EK</t>
  </si>
  <si>
    <t xml:space="preserve">SKP-2022-0003</t>
  </si>
  <si>
    <t xml:space="preserve">OTHER</t>
  </si>
  <si>
    <t xml:space="preserve">SKP-2022-0004</t>
  </si>
  <si>
    <t xml:space="preserve">REPAIR_ESTIMATE</t>
  </si>
  <si>
    <t xml:space="preserve">NO</t>
  </si>
  <si>
    <t xml:space="preserve">SKP-2022-0005</t>
  </si>
  <si>
    <t xml:space="preserve">LOCATION_PREF</t>
  </si>
  <si>
    <t xml:space="preserve">RD</t>
  </si>
  <si>
    <t xml:space="preserve">SKP-2022-0006</t>
  </si>
  <si>
    <t xml:space="preserve">PC</t>
  </si>
  <si>
    <t xml:space="preserve">SKP-2022-0007</t>
  </si>
  <si>
    <t xml:space="preserve">OTHER_SUPPORT</t>
  </si>
  <si>
    <t xml:space="preserve">SKP-2022-0008</t>
  </si>
  <si>
    <t xml:space="preserve">SKP-2022-0009</t>
  </si>
  <si>
    <t xml:space="preserve">TY</t>
  </si>
  <si>
    <t xml:space="preserve">SKP-2022-0010</t>
  </si>
  <si>
    <t xml:space="preserve">BH</t>
  </si>
  <si>
    <t xml:space="preserve">SKP-2022-0011</t>
  </si>
  <si>
    <t xml:space="preserve">SKP-2022-0012</t>
  </si>
  <si>
    <t xml:space="preserve">DR</t>
  </si>
  <si>
    <t xml:space="preserve">SKP-2022-0013</t>
  </si>
  <si>
    <t xml:space="preserve">N</t>
  </si>
  <si>
    <t xml:space="preserve">SKP-2022-0014</t>
  </si>
  <si>
    <t xml:space="preserve">SKP-2022-0015</t>
  </si>
  <si>
    <t xml:space="preserve">SKP-2022-0016</t>
  </si>
  <si>
    <t xml:space="preserve">SKP-2022-0017</t>
  </si>
  <si>
    <t xml:space="preserve">SKP-2022-0018</t>
  </si>
  <si>
    <t xml:space="preserve">SKP-2022-0019</t>
  </si>
  <si>
    <t xml:space="preserve">SKP-2022-0020</t>
  </si>
  <si>
    <t xml:space="preserve">SKP-2022-0021</t>
  </si>
  <si>
    <t xml:space="preserve">SKP-2022-0022</t>
  </si>
  <si>
    <t xml:space="preserve">SKP-2022-0023</t>
  </si>
  <si>
    <t xml:space="preserve">SKP-2022-0024</t>
  </si>
  <si>
    <t xml:space="preserve">SKP-2022-0025</t>
  </si>
  <si>
    <t xml:space="preserve">SKP-2022-0026</t>
  </si>
  <si>
    <t xml:space="preserve">SKP-2022-0027</t>
  </si>
  <si>
    <t xml:space="preserve">SKP-2022-0028</t>
  </si>
  <si>
    <t xml:space="preserve">SKP-2022-0029</t>
  </si>
  <si>
    <t xml:space="preserve">SKP-2022-0030</t>
  </si>
  <si>
    <t xml:space="preserve">SKP-2022-0031</t>
  </si>
  <si>
    <t xml:space="preserve">SKP-2022-0032</t>
  </si>
  <si>
    <t xml:space="preserve">SKP-2022-0033</t>
  </si>
  <si>
    <t xml:space="preserve">SKP-2022-0034</t>
  </si>
  <si>
    <t xml:space="preserve">SKP-2022-0035</t>
  </si>
  <si>
    <t xml:space="preserve">SKP-2022-0036</t>
  </si>
  <si>
    <t xml:space="preserve">SKP-2022-0037</t>
  </si>
  <si>
    <t xml:space="preserve">SKP-2022-0038</t>
  </si>
  <si>
    <t xml:space="preserve">SKP-2022-0039</t>
  </si>
  <si>
    <t xml:space="preserve">SKP-2022-0040</t>
  </si>
  <si>
    <t xml:space="preserve">SKP-2022-0041</t>
  </si>
  <si>
    <t xml:space="preserve">SKP-2022-0042</t>
  </si>
  <si>
    <t xml:space="preserve">SKP-2022-0043</t>
  </si>
  <si>
    <t xml:space="preserve">SKP-2022-0044</t>
  </si>
  <si>
    <t xml:space="preserve">SKP-2022-0045</t>
  </si>
  <si>
    <t xml:space="preserve">SKP-2022-0046</t>
  </si>
  <si>
    <t xml:space="preserve">SKP-2022-0047</t>
  </si>
  <si>
    <t xml:space="preserve">SKP-2022-0048</t>
  </si>
  <si>
    <t xml:space="preserve">SKP-2022-0049</t>
  </si>
  <si>
    <t xml:space="preserve">GF</t>
  </si>
  <si>
    <t xml:space="preserve">SKP-2022-0050</t>
  </si>
  <si>
    <t xml:space="preserve">SKP-2022-0051</t>
  </si>
  <si>
    <t xml:space="preserve">SKP-2022-0052</t>
  </si>
  <si>
    <t xml:space="preserve">SKP-2022-0053</t>
  </si>
  <si>
    <t xml:space="preserve">SKP-2022-0054</t>
  </si>
  <si>
    <t xml:space="preserve">SKP-2022-0055</t>
  </si>
  <si>
    <t xml:space="preserve">SKP-2022-0056</t>
  </si>
  <si>
    <t xml:space="preserve">SKP-2022-0057</t>
  </si>
  <si>
    <t xml:space="preserve">SKP-2022-0058</t>
  </si>
  <si>
    <t xml:space="preserve">SKP-2022-0059</t>
  </si>
  <si>
    <t xml:space="preserve">SKP-2022-0060</t>
  </si>
  <si>
    <t xml:space="preserve">SKP-2022-0061</t>
  </si>
  <si>
    <t xml:space="preserve">SKP-2022-0062</t>
  </si>
  <si>
    <t xml:space="preserve">SKP-2022-0063</t>
  </si>
  <si>
    <t xml:space="preserve">SKP-2022-0064</t>
  </si>
  <si>
    <t xml:space="preserve">SKP-2022-0065</t>
  </si>
  <si>
    <t xml:space="preserve">SKP-2022-0066</t>
  </si>
  <si>
    <t xml:space="preserve">SKP-2022-0067</t>
  </si>
  <si>
    <t xml:space="preserve">SKP-2022-0068</t>
  </si>
  <si>
    <t xml:space="preserve">SKP-2022-0069</t>
  </si>
  <si>
    <t xml:space="preserve">SKP-2022-0070</t>
  </si>
  <si>
    <t xml:space="preserve">SKP-2022-0071</t>
  </si>
  <si>
    <t xml:space="preserve">SKP-2022-0072</t>
  </si>
  <si>
    <t xml:space="preserve">SKP-2022-0073</t>
  </si>
  <si>
    <t xml:space="preserve">SKP-2022-0074</t>
  </si>
  <si>
    <t xml:space="preserve">SKP-2022-0075</t>
  </si>
  <si>
    <t xml:space="preserve">SKP-2022-0076</t>
  </si>
  <si>
    <t xml:space="preserve">SKP-2022-0077</t>
  </si>
  <si>
    <t xml:space="preserve">SKP-2022-0078</t>
  </si>
  <si>
    <t xml:space="preserve">SKP-2022-0079</t>
  </si>
  <si>
    <t xml:space="preserve">SKP-2022-0080</t>
  </si>
  <si>
    <t xml:space="preserve">SKP-2022-0081</t>
  </si>
  <si>
    <t xml:space="preserve">SKP-2022-0082</t>
  </si>
  <si>
    <t xml:space="preserve">SKP-2022-0083</t>
  </si>
  <si>
    <t xml:space="preserve">SKP-2022-0084</t>
  </si>
  <si>
    <t xml:space="preserve">SKP-2022-0085</t>
  </si>
  <si>
    <t xml:space="preserve">SKP-2022-0086</t>
  </si>
  <si>
    <t xml:space="preserve">SKP-2022-0087</t>
  </si>
  <si>
    <t xml:space="preserve">SKP-2022-0088</t>
  </si>
  <si>
    <t xml:space="preserve">SKP-2022-0089</t>
  </si>
  <si>
    <t xml:space="preserve">SKP-2022-0090</t>
  </si>
  <si>
    <t xml:space="preserve">SKP-2022-0091</t>
  </si>
  <si>
    <t xml:space="preserve">SKP-2022-0092</t>
  </si>
  <si>
    <t xml:space="preserve">SKP-2022-0093</t>
  </si>
  <si>
    <t xml:space="preserve">SKP-2022-0094</t>
  </si>
  <si>
    <t xml:space="preserve">SKP-2023-0095</t>
  </si>
  <si>
    <t xml:space="preserve">SKP-2023-0096</t>
  </si>
  <si>
    <t xml:space="preserve">SKP-2023-0097</t>
  </si>
  <si>
    <t xml:space="preserve">SKP-2023-0098</t>
  </si>
  <si>
    <t xml:space="preserve">SKP-2023-0099</t>
  </si>
  <si>
    <t xml:space="preserve">SKP-2023-0100</t>
  </si>
  <si>
    <t xml:space="preserve">SKP-2023-0101</t>
  </si>
  <si>
    <t xml:space="preserve">SKP-2023-0102</t>
  </si>
  <si>
    <t xml:space="preserve">SKP-2023-0103</t>
  </si>
  <si>
    <t xml:space="preserve">SKP-2023-0104</t>
  </si>
  <si>
    <t xml:space="preserve">SKP-2023-0105</t>
  </si>
  <si>
    <t xml:space="preserve">SKP-2023-0106</t>
  </si>
  <si>
    <t xml:space="preserve">SKP-2023-0107</t>
  </si>
  <si>
    <t xml:space="preserve">SKP-2023-0108</t>
  </si>
  <si>
    <t xml:space="preserve">SKP-2023-0109</t>
  </si>
  <si>
    <t xml:space="preserve">SKP-2023-0110</t>
  </si>
  <si>
    <t xml:space="preserve">SKP-2023-0111</t>
  </si>
  <si>
    <t xml:space="preserve">SKP-2023-0112</t>
  </si>
  <si>
    <t xml:space="preserve">SKP-2023-0113</t>
  </si>
  <si>
    <t xml:space="preserve">SKP-2023-0114</t>
  </si>
  <si>
    <t xml:space="preserve">SKP-2023-0115</t>
  </si>
  <si>
    <t xml:space="preserve">SKP-2023-0116</t>
  </si>
  <si>
    <t xml:space="preserve">SKP-2023-0117</t>
  </si>
  <si>
    <t xml:space="preserve">SKP-2023-0118</t>
  </si>
  <si>
    <t xml:space="preserve">SKP-2023-0119</t>
  </si>
  <si>
    <t xml:space="preserve">SKP-2023-0120</t>
  </si>
  <si>
    <t xml:space="preserve">SKP-2023-0121</t>
  </si>
  <si>
    <t xml:space="preserve">SKP-2023-0122</t>
  </si>
  <si>
    <t xml:space="preserve">SKP-2023-0123</t>
  </si>
  <si>
    <t xml:space="preserve">SKP-2023-0124</t>
  </si>
  <si>
    <t xml:space="preserve">SKP-2023-0125</t>
  </si>
  <si>
    <t xml:space="preserve">SKP-2023-0126</t>
  </si>
  <si>
    <t xml:space="preserve">SKP-2023-0127</t>
  </si>
  <si>
    <t xml:space="preserve">SKP-2023-0128</t>
  </si>
  <si>
    <t xml:space="preserve">SKP-2023-0129</t>
  </si>
  <si>
    <t xml:space="preserve">SKP-2023-0130</t>
  </si>
  <si>
    <t xml:space="preserve">SKP-2023-0131</t>
  </si>
  <si>
    <t xml:space="preserve">SKP-2023-0132</t>
  </si>
  <si>
    <t xml:space="preserve">SKP-2023-0133</t>
  </si>
  <si>
    <t xml:space="preserve">SKP-2023-0134</t>
  </si>
  <si>
    <t xml:space="preserve">SKP-2023-0135</t>
  </si>
  <si>
    <t xml:space="preserve">SKP-2023-0136</t>
  </si>
  <si>
    <t xml:space="preserve">SKP-2023-0137</t>
  </si>
  <si>
    <t xml:space="preserve">SKP-2023-0138</t>
  </si>
  <si>
    <t xml:space="preserve">SKP-2023-0139</t>
  </si>
  <si>
    <t xml:space="preserve">SKP-2023-0140</t>
  </si>
  <si>
    <t xml:space="preserve">SKP-2023-0141</t>
  </si>
  <si>
    <t xml:space="preserve">SKP-2023-0142</t>
  </si>
  <si>
    <t xml:space="preserve">SKP-2023-0143</t>
  </si>
  <si>
    <t xml:space="preserve">SKP-2023-0144</t>
  </si>
  <si>
    <t xml:space="preserve">SKP-2023-0145</t>
  </si>
  <si>
    <t xml:space="preserve">SKP-2023-0146</t>
  </si>
  <si>
    <t xml:space="preserve">SKP-2023-0147</t>
  </si>
  <si>
    <t xml:space="preserve">SKP-2023-0148</t>
  </si>
  <si>
    <t xml:space="preserve">SKP-2023-0149</t>
  </si>
  <si>
    <t xml:space="preserve">SKP-2023-0150</t>
  </si>
  <si>
    <t xml:space="preserve">SKP-2023-0151</t>
  </si>
  <si>
    <t xml:space="preserve">SKP-2023-0152</t>
  </si>
  <si>
    <t xml:space="preserve">SKP-2023-0153</t>
  </si>
  <si>
    <t xml:space="preserve">SKP-2023-0154</t>
  </si>
  <si>
    <t xml:space="preserve">SKP-2023-0155</t>
  </si>
  <si>
    <t xml:space="preserve">SKP-2023-0156</t>
  </si>
  <si>
    <t xml:space="preserve">SKP-2023-0157</t>
  </si>
  <si>
    <t xml:space="preserve">SKP-2023-0158</t>
  </si>
  <si>
    <t xml:space="preserve">SKP-2023-0159</t>
  </si>
  <si>
    <t xml:space="preserve">SKP-2023-0160</t>
  </si>
  <si>
    <t xml:space="preserve">SKP-2023-0161</t>
  </si>
  <si>
    <t xml:space="preserve">SKP-2023-0162</t>
  </si>
  <si>
    <t xml:space="preserve">SKP-2023-0163</t>
  </si>
  <si>
    <t xml:space="preserve">SKP-2023-0164</t>
  </si>
  <si>
    <t xml:space="preserve">SKP-2023-0165</t>
  </si>
  <si>
    <t xml:space="preserve">SKP-2023-0166</t>
  </si>
  <si>
    <t xml:space="preserve">SKP-2023-0167</t>
  </si>
  <si>
    <t xml:space="preserve">SKP-2023-0168</t>
  </si>
  <si>
    <t xml:space="preserve">SKP-2023-0169</t>
  </si>
  <si>
    <t xml:space="preserve">SKP-2023-0170</t>
  </si>
  <si>
    <t xml:space="preserve">SKP-2023-0171</t>
  </si>
  <si>
    <t xml:space="preserve">SKP-2023-0172</t>
  </si>
  <si>
    <t xml:space="preserve">SKP-2023-0173</t>
  </si>
  <si>
    <t xml:space="preserve">SKP-2023-0174</t>
  </si>
  <si>
    <t xml:space="preserve">SKP-2023-0175</t>
  </si>
  <si>
    <t xml:space="preserve">SKP-2023-0176</t>
  </si>
  <si>
    <t xml:space="preserve">SKP-2023-0177</t>
  </si>
  <si>
    <t xml:space="preserve">SKP-2023-0178</t>
  </si>
  <si>
    <t xml:space="preserve">SKP-2023-0179</t>
  </si>
  <si>
    <t xml:space="preserve">SKP-2023-0180</t>
  </si>
  <si>
    <t xml:space="preserve">SKP-2023-0181</t>
  </si>
  <si>
    <t xml:space="preserve">SKP-2023-0182</t>
  </si>
  <si>
    <t xml:space="preserve">SKP-2023-0183</t>
  </si>
  <si>
    <t xml:space="preserve">SKP-2023-0184</t>
  </si>
  <si>
    <t xml:space="preserve">SKP-2023-0185</t>
  </si>
  <si>
    <t xml:space="preserve">SKP-2023-0186</t>
  </si>
  <si>
    <t xml:space="preserve">SKP-2024-0187</t>
  </si>
  <si>
    <t xml:space="preserve">SKP-2024-0188</t>
  </si>
  <si>
    <t xml:space="preserve">SKP-2024-0189</t>
  </si>
  <si>
    <t xml:space="preserve">SKP-2024-0190</t>
  </si>
  <si>
    <t xml:space="preserve">SKP-2024-0191</t>
  </si>
  <si>
    <t xml:space="preserve">SKP-2024-0192</t>
  </si>
  <si>
    <t xml:space="preserve">SKP-2024-0193</t>
  </si>
  <si>
    <t xml:space="preserve">SKP-2024-0194</t>
  </si>
  <si>
    <t xml:space="preserve">SKP-2024-0195</t>
  </si>
  <si>
    <t xml:space="preserve">SKP-2024-0196</t>
  </si>
  <si>
    <t xml:space="preserve">SKP-2024-0197</t>
  </si>
  <si>
    <t xml:space="preserve">SKP-2024-0198</t>
  </si>
  <si>
    <t xml:space="preserve">SKP-2024-0199</t>
  </si>
  <si>
    <t xml:space="preserve">SKP-2024-0200</t>
  </si>
  <si>
    <t xml:space="preserve">SKP-2024-0201</t>
  </si>
  <si>
    <t xml:space="preserve">SKP-2024-0202</t>
  </si>
  <si>
    <t xml:space="preserve">SKP-2024-0203</t>
  </si>
  <si>
    <t xml:space="preserve">SKP-2024-0204</t>
  </si>
  <si>
    <t xml:space="preserve">SKP-2024-0205</t>
  </si>
  <si>
    <t xml:space="preserve">SKP-2024-0206</t>
  </si>
  <si>
    <t xml:space="preserve">SKP-2024-0207</t>
  </si>
  <si>
    <t xml:space="preserve">SKP-2024-0208</t>
  </si>
  <si>
    <t xml:space="preserve">SKP-2024-0209</t>
  </si>
  <si>
    <t xml:space="preserve">SKP-2024-0210</t>
  </si>
  <si>
    <t xml:space="preserve">SKP-2024-0211</t>
  </si>
  <si>
    <t xml:space="preserve">SKP-2024-0212</t>
  </si>
  <si>
    <t xml:space="preserve">SKP-2024-0213</t>
  </si>
  <si>
    <t xml:space="preserve">SKP-2024-0214</t>
  </si>
  <si>
    <t xml:space="preserve">SKP-2024-0215</t>
  </si>
  <si>
    <t xml:space="preserve">SKP-2024-0216</t>
  </si>
  <si>
    <t xml:space="preserve">SKP-2024-0217</t>
  </si>
  <si>
    <t xml:space="preserve">SKP-2024-0218</t>
  </si>
  <si>
    <t xml:space="preserve">SKP-2024-0219</t>
  </si>
  <si>
    <t xml:space="preserve">SKP-2024-0220</t>
  </si>
  <si>
    <t xml:space="preserve">SKP-2024-0221</t>
  </si>
  <si>
    <t xml:space="preserve">SKP-2024-0222</t>
  </si>
  <si>
    <t xml:space="preserve">SKP-2024-0223</t>
  </si>
  <si>
    <t xml:space="preserve">SKP-2024-0224</t>
  </si>
  <si>
    <t xml:space="preserve">SKP-2024-0225</t>
  </si>
  <si>
    <t xml:space="preserve">SKP-2024-0226</t>
  </si>
  <si>
    <t xml:space="preserve">SKP-2024-0227</t>
  </si>
  <si>
    <t xml:space="preserve">SKP-2024-0228</t>
  </si>
  <si>
    <t xml:space="preserve">SKP-2024-0229</t>
  </si>
  <si>
    <t xml:space="preserve">SKP-2024-0230</t>
  </si>
  <si>
    <t xml:space="preserve">SKP-2024-0231</t>
  </si>
  <si>
    <t xml:space="preserve">SKP-2024-0232</t>
  </si>
  <si>
    <t xml:space="preserve">SKP-2024-0233</t>
  </si>
  <si>
    <t xml:space="preserve">SKP-2024-0234</t>
  </si>
  <si>
    <t xml:space="preserve">SKP-2024-0235</t>
  </si>
  <si>
    <t xml:space="preserve">SKP-2024-0236</t>
  </si>
  <si>
    <t xml:space="preserve">SKP-2024-0237</t>
  </si>
  <si>
    <t xml:space="preserve">SKP-2024-0238</t>
  </si>
  <si>
    <t xml:space="preserve">SKP-2024-0239</t>
  </si>
  <si>
    <t xml:space="preserve">SKP-2024-0240</t>
  </si>
  <si>
    <t xml:space="preserve">SKP-2024-0241</t>
  </si>
  <si>
    <t xml:space="preserve">SKP-2024-0242</t>
  </si>
  <si>
    <t xml:space="preserve">SKP-2024-0243</t>
  </si>
  <si>
    <t xml:space="preserve">SKP-2024-0244</t>
  </si>
  <si>
    <t xml:space="preserve">SKP-2024-0245</t>
  </si>
  <si>
    <t xml:space="preserve">SKP-2024-0246</t>
  </si>
  <si>
    <t xml:space="preserve">SKP-2024-0247</t>
  </si>
  <si>
    <t xml:space="preserve">SKP-2024-0248</t>
  </si>
  <si>
    <t xml:space="preserve">SKP-2024-0249</t>
  </si>
  <si>
    <t xml:space="preserve">SKP-2024-0250</t>
  </si>
  <si>
    <t xml:space="preserve">SKP-2024-0251</t>
  </si>
  <si>
    <t xml:space="preserve">SKP-2024-0252</t>
  </si>
  <si>
    <t xml:space="preserve">SKP-2024-0253</t>
  </si>
  <si>
    <t xml:space="preserve">SKP-2024-0254</t>
  </si>
  <si>
    <t xml:space="preserve">SKP-2024-0255</t>
  </si>
  <si>
    <t xml:space="preserve">SKP-2024-0256</t>
  </si>
  <si>
    <t xml:space="preserve">SKP-2025-0257</t>
  </si>
  <si>
    <t xml:space="preserve">SKP-2025-0258</t>
  </si>
  <si>
    <t xml:space="preserve">SKP-2025-0259</t>
  </si>
  <si>
    <t xml:space="preserve">SKP-2025-0260</t>
  </si>
  <si>
    <t xml:space="preserve">SKP-2025-0261</t>
  </si>
  <si>
    <t xml:space="preserve">SKP-2025-0262</t>
  </si>
  <si>
    <t xml:space="preserve">SKP-2025-0263</t>
  </si>
  <si>
    <t xml:space="preserve">SKP-2025-0264</t>
  </si>
  <si>
    <t xml:space="preserve">SKP-2025-0265</t>
  </si>
  <si>
    <t xml:space="preserve">SKP-2025-0266</t>
  </si>
  <si>
    <t xml:space="preserve">SKP-2025-0267</t>
  </si>
  <si>
    <t xml:space="preserve">SKP-2025-0268</t>
  </si>
  <si>
    <t xml:space="preserve">SKP-2025-0269</t>
  </si>
  <si>
    <t xml:space="preserve">SKP-2025-0270</t>
  </si>
  <si>
    <t xml:space="preserve">SKP-2025-0271</t>
  </si>
  <si>
    <t xml:space="preserve">SKP-2025-0272</t>
  </si>
  <si>
    <t xml:space="preserve">SKP-2025-0273</t>
  </si>
  <si>
    <t xml:space="preserve">SKP-2025-0274</t>
  </si>
  <si>
    <t xml:space="preserve">SKP-2025-0275</t>
  </si>
  <si>
    <t xml:space="preserve">SKP-2025-0276</t>
  </si>
  <si>
    <t xml:space="preserve">SKP-2025-0277</t>
  </si>
  <si>
    <t xml:space="preserve">SKP-2025-0278</t>
  </si>
  <si>
    <t xml:space="preserve">SKP-2025-0279</t>
  </si>
  <si>
    <t xml:space="preserve">SKP-2025-0280</t>
  </si>
  <si>
    <t xml:space="preserve">SKP-2025-0281</t>
  </si>
  <si>
    <t xml:space="preserve">SKP-2025-0282</t>
  </si>
  <si>
    <t xml:space="preserve">SKP-2025-0283</t>
  </si>
  <si>
    <t xml:space="preserve">SKP-2025-0284</t>
  </si>
  <si>
    <t xml:space="preserve">SKP-2025-0285</t>
  </si>
  <si>
    <t xml:space="preserve">SKP-2025-0286</t>
  </si>
  <si>
    <t xml:space="preserve">SKP-2025-0287</t>
  </si>
  <si>
    <t xml:space="preserve">SKP-2025-0288</t>
  </si>
  <si>
    <t xml:space="preserve">SKP-2025-0289</t>
  </si>
  <si>
    <t xml:space="preserve">SKP-2025-0290</t>
  </si>
  <si>
    <t xml:space="preserve">SKP-2025-0291</t>
  </si>
  <si>
    <t xml:space="preserve">SKP-2025-0292</t>
  </si>
  <si>
    <t xml:space="preserve">SKP-2025-0293</t>
  </si>
  <si>
    <t xml:space="preserve">SKP-2025-0294</t>
  </si>
  <si>
    <t xml:space="preserve">SKP-2025-0295</t>
  </si>
  <si>
    <t xml:space="preserve">SKP-2025-0296</t>
  </si>
  <si>
    <t xml:space="preserve">SKP-2025-0297</t>
  </si>
  <si>
    <t xml:space="preserve">SKP-2025-0298</t>
  </si>
  <si>
    <t xml:space="preserve">SKP-2025-0299</t>
  </si>
  <si>
    <t xml:space="preserve">SKP-2025-0300</t>
  </si>
  <si>
    <t xml:space="preserve">SKP-2025-0301</t>
  </si>
  <si>
    <t xml:space="preserve">SKP-2025-0302</t>
  </si>
  <si>
    <t xml:space="preserve">SKP-2025-0303</t>
  </si>
  <si>
    <t xml:space="preserve">SKP-2025-0304</t>
  </si>
  <si>
    <t xml:space="preserve">SKP-2025-0305</t>
  </si>
  <si>
    <t xml:space="preserve">SKP-2025-0306</t>
  </si>
  <si>
    <t xml:space="preserve">SKP-2025-0307</t>
  </si>
  <si>
    <t xml:space="preserve">SKP-2025-0308</t>
  </si>
  <si>
    <t xml:space="preserve">SKP-2025-0309</t>
  </si>
  <si>
    <t xml:space="preserve">SKP-2025-0310</t>
  </si>
  <si>
    <t xml:space="preserve">SKP-2025-0311</t>
  </si>
  <si>
    <t xml:space="preserve">SKP-2025-0312</t>
  </si>
  <si>
    <t xml:space="preserve">SKP-2025-0313</t>
  </si>
  <si>
    <t xml:space="preserve">SKP-2025-0314</t>
  </si>
  <si>
    <t xml:space="preserve">SKP-2025-0315</t>
  </si>
  <si>
    <t xml:space="preserve">SKP-2025-0316</t>
  </si>
  <si>
    <t xml:space="preserve">SKP-2025-0317</t>
  </si>
  <si>
    <t xml:space="preserve">SKP-2025-0318</t>
  </si>
  <si>
    <t xml:space="preserve">SKP-2025-0319</t>
  </si>
  <si>
    <t xml:space="preserve">SKP-2025-0320</t>
  </si>
  <si>
    <t xml:space="preserve">SKP-2025-0321</t>
  </si>
  <si>
    <t xml:space="preserve">SKP-2025-0322</t>
  </si>
  <si>
    <t xml:space="preserve">SKP-2025-0323</t>
  </si>
  <si>
    <t xml:space="preserve">SKP-2025-0324</t>
  </si>
  <si>
    <t xml:space="preserve">SKP-2025-0325</t>
  </si>
  <si>
    <t xml:space="preserve">SKP-2025-0326</t>
  </si>
  <si>
    <t xml:space="preserve">SKP-2025-0327</t>
  </si>
  <si>
    <t xml:space="preserve">SKP-2025-0328</t>
  </si>
  <si>
    <t xml:space="preserve">SKP-2025-0329</t>
  </si>
  <si>
    <t xml:space="preserve">SKP-2025-0330</t>
  </si>
  <si>
    <t xml:space="preserve">SKP-2025-0331</t>
  </si>
  <si>
    <t xml:space="preserve">SKP-2025-0332</t>
  </si>
  <si>
    <t xml:space="preserve">SKP-2025-0333</t>
  </si>
  <si>
    <t xml:space="preserve">SKP-2025-0334</t>
  </si>
  <si>
    <t xml:space="preserve">SKP-2025-0335</t>
  </si>
  <si>
    <t xml:space="preserve">SKP-2025-0336</t>
  </si>
  <si>
    <t xml:space="preserve">SKP-2025-0337</t>
  </si>
  <si>
    <t xml:space="preserve">SKP-2026-0338</t>
  </si>
  <si>
    <t xml:space="preserve">SKP-2026-0339</t>
  </si>
  <si>
    <t xml:space="preserve">SKP-2026-0340</t>
  </si>
  <si>
    <t xml:space="preserve">SKP-2026-0341</t>
  </si>
  <si>
    <t xml:space="preserve">SKP-2026-0342</t>
  </si>
  <si>
    <t xml:space="preserve">SKP-2026-0343</t>
  </si>
  <si>
    <t xml:space="preserve">SKP-2026-0344</t>
  </si>
  <si>
    <t xml:space="preserve">SKP-2026-0345</t>
  </si>
  <si>
    <t xml:space="preserve">SKP-2026-0346</t>
  </si>
  <si>
    <t xml:space="preserve">SKP-2026-0347</t>
  </si>
  <si>
    <t xml:space="preserve">SKP-2026-0348</t>
  </si>
  <si>
    <t xml:space="preserve">SKP-2026-0349</t>
  </si>
  <si>
    <t xml:space="preserve">SKP-2026-0350</t>
  </si>
  <si>
    <t xml:space="preserve">SKP-2026-0351</t>
  </si>
  <si>
    <t xml:space="preserve">SKP-2026-0352</t>
  </si>
  <si>
    <t xml:space="preserve">SKP-2026-0353</t>
  </si>
  <si>
    <t xml:space="preserve">SKP-2026-0354</t>
  </si>
  <si>
    <t xml:space="preserve">SKP-2026-0355</t>
  </si>
  <si>
    <t xml:space="preserve">SKP-2026-0356</t>
  </si>
  <si>
    <t xml:space="preserve">SKP-2026-0357</t>
  </si>
  <si>
    <t xml:space="preserve">SKP-2026-0358</t>
  </si>
  <si>
    <t xml:space="preserve">SKP-2026-0359</t>
  </si>
  <si>
    <t xml:space="preserve">SKP-2026-0360</t>
  </si>
  <si>
    <t xml:space="preserve">SKP-2026-0361</t>
  </si>
  <si>
    <t xml:space="preserve">SKP-2026-0362</t>
  </si>
  <si>
    <t xml:space="preserve">SKP-2026-0363</t>
  </si>
  <si>
    <t xml:space="preserve">SKP-2026-0364</t>
  </si>
  <si>
    <t xml:space="preserve">SKP-2026-0365</t>
  </si>
  <si>
    <t xml:space="preserve">SKP-2026-0366</t>
  </si>
  <si>
    <t xml:space="preserve">SKP-2026-0367</t>
  </si>
  <si>
    <t xml:space="preserve">SKP-2026-0368</t>
  </si>
  <si>
    <t xml:space="preserve">SKP-2026-0369</t>
  </si>
  <si>
    <t xml:space="preserve">SKP-2026-0370</t>
  </si>
  <si>
    <t xml:space="preserve">SKP-2026-0371</t>
  </si>
  <si>
    <t xml:space="preserve">SKP-2026-0372</t>
  </si>
  <si>
    <t xml:space="preserve">SKP-2026-0373</t>
  </si>
  <si>
    <t xml:space="preserve">SKP-2026-0374</t>
  </si>
  <si>
    <t xml:space="preserve">SKP-2026-0375</t>
  </si>
  <si>
    <t xml:space="preserve">SKP-2026-0376</t>
  </si>
  <si>
    <t xml:space="preserve">SKP-2026-0377</t>
  </si>
  <si>
    <t xml:space="preserve">SKP-2026-0378</t>
  </si>
  <si>
    <t xml:space="preserve">SKP-2026-0379</t>
  </si>
  <si>
    <t xml:space="preserve">SKP-2026-0380</t>
  </si>
  <si>
    <t xml:space="preserve">SKP-2026-0381</t>
  </si>
  <si>
    <t xml:space="preserve">SKP-2026-0382</t>
  </si>
  <si>
    <t xml:space="preserve">SKP-2026-0383</t>
  </si>
  <si>
    <t xml:space="preserve">SKP-2026-0384</t>
  </si>
  <si>
    <t xml:space="preserve">SKP-2026-0385</t>
  </si>
  <si>
    <t xml:space="preserve">SKP-2026-0386</t>
  </si>
  <si>
    <t xml:space="preserve">SKP-2026-0387</t>
  </si>
  <si>
    <t xml:space="preserve">SKP-2026-0388</t>
  </si>
  <si>
    <t xml:space="preserve">SKP-2026-0389</t>
  </si>
  <si>
    <t xml:space="preserve">SKP-2026-0390</t>
  </si>
  <si>
    <t xml:space="preserve">SKP-2026-0391</t>
  </si>
  <si>
    <t xml:space="preserve">SKP-2026-0392</t>
  </si>
  <si>
    <t xml:space="preserve">SKP-2026-0393</t>
  </si>
  <si>
    <t xml:space="preserve">SKP-2026-0394</t>
  </si>
  <si>
    <t xml:space="preserve">SKP-2026-0395</t>
  </si>
  <si>
    <t xml:space="preserve">SKP-2026-0396</t>
  </si>
  <si>
    <t xml:space="preserve">SKP-2026-0397</t>
  </si>
  <si>
    <t xml:space="preserve">SKP-2026-0398</t>
  </si>
  <si>
    <t xml:space="preserve">SKP-2026-0399</t>
  </si>
  <si>
    <t xml:space="preserve">SKP-2026-0400</t>
  </si>
  <si>
    <t xml:space="preserve">SKP-2026-0401</t>
  </si>
  <si>
    <t xml:space="preserve">SKP-2026-0402</t>
  </si>
  <si>
    <t xml:space="preserve">SKP-2026-0403</t>
  </si>
  <si>
    <t xml:space="preserve">SKP-2026-0404</t>
  </si>
  <si>
    <t xml:space="preserve">SKP-2026-0405</t>
  </si>
  <si>
    <t xml:space="preserve">SKP-2026-0406</t>
  </si>
  <si>
    <t xml:space="preserve">SKP-2022-0407</t>
  </si>
  <si>
    <t xml:space="preserve">OFR-2022-1487</t>
  </si>
  <si>
    <t xml:space="preserve">Cover sheet only - supporting record not attached</t>
  </si>
  <si>
    <t xml:space="preserve">SKP-2023-0408</t>
  </si>
  <si>
    <t xml:space="preserve">OFR-2023-1487</t>
  </si>
  <si>
    <t xml:space="preserve">SKP-2024-0409</t>
  </si>
  <si>
    <t xml:space="preserve">OFR-2024-1487</t>
  </si>
  <si>
    <t xml:space="preserve">SKP-2024-0410</t>
  </si>
  <si>
    <t xml:space="preserve">SKP-2024-0411</t>
  </si>
  <si>
    <t xml:space="preserve">SKP-2025-0412</t>
  </si>
  <si>
    <t xml:space="preserve">OFR-2025-1487</t>
  </si>
  <si>
    <t xml:space="preserve">Skip Justification PDF Index</t>
  </si>
  <si>
    <t xml:space="preserve">Extracted from the six supplied PDFs and reconciled by formula to both event registers.</t>
  </si>
  <si>
    <t xml:space="preserve">A same-event PDF must also identify the registered slip and contain a supporting record. A cover sheet is not support under Standing Order 15-3 ss.3.2-3.3.</t>
  </si>
  <si>
    <t xml:space="preserve">source_file</t>
  </si>
  <si>
    <t xml:space="preserve">applicant</t>
  </si>
  <si>
    <t xml:space="preserve">date_worked</t>
  </si>
  <si>
    <t xml:space="preserve">slip_in_pdf</t>
  </si>
  <si>
    <t xml:space="preserve">pages</t>
  </si>
  <si>
    <t xml:space="preserve">content_status</t>
  </si>
  <si>
    <t xml:space="preserve">same applicant/date/reason skips</t>
  </si>
  <si>
    <t xml:space="preserve">exact skip matches</t>
  </si>
  <si>
    <t xml:space="preserve">exact offer matches</t>
  </si>
  <si>
    <t xml:space="preserve">registered slip(s)</t>
  </si>
  <si>
    <t xml:space="preserve">reconciliation</t>
  </si>
  <si>
    <t xml:space="preserve">source_note</t>
  </si>
  <si>
    <t xml:space="preserve">WL-02211_skip_justification.pdf</t>
  </si>
  <si>
    <t xml:space="preserve">Ruth E. Mallory</t>
  </si>
  <si>
    <t xml:space="preserve">COVER ONLY</t>
  </si>
  <si>
    <t xml:space="preserve">Page 1 says supporting record not attached.</t>
  </si>
  <si>
    <t xml:space="preserve">WL-02618_skip_justification.pdf</t>
  </si>
  <si>
    <t xml:space="preserve">WL-02877_skip_justification.pdf</t>
  </si>
  <si>
    <t xml:space="preserve">SUPPORTING RECORD</t>
  </si>
  <si>
    <t xml:space="preserve">Pages 2-3 contain particulars and correspondence.</t>
  </si>
  <si>
    <t xml:space="preserve">WL-03044_skip_justification.pdf</t>
  </si>
  <si>
    <t xml:space="preserve">Iris B. Quan</t>
  </si>
  <si>
    <t xml:space="preserve">WL-03102_skip_justification.pdf</t>
  </si>
  <si>
    <t xml:space="preserve">Dennis K. Farlow</t>
  </si>
  <si>
    <t xml:space="preserve">Pages 2-3 contain preference extract and correspondence.</t>
  </si>
  <si>
    <t xml:space="preserve">WL-03390_skip_justification.pdf</t>
  </si>
  <si>
    <t xml:space="preserve">VB-0144</t>
  </si>
  <si>
    <t xml:space="preserve">Skip Audit | 2023-01-01 to 2026-07-31</t>
  </si>
  <si>
    <t xml:space="preserve">Formula test: exact supporting PDF + exact offer reconciliation + review_date on or before skip_date.</t>
  </si>
  <si>
    <t xml:space="preserve">The skip register's documentation_attached flag is displayed but does not satisfy the user's physical-file test. Priority 1 means no valid supporting record; Priority 2 means valid support exists but review was late.</t>
  </si>
  <si>
    <t xml:space="preserve">rank</t>
  </si>
  <si>
    <t xml:space="preserve">register_doc_flag</t>
  </si>
  <si>
    <t xml:space="preserve">same-event PDF count</t>
  </si>
  <si>
    <t xml:space="preserve">exact-slip PDF count</t>
  </si>
  <si>
    <t xml:space="preserve">supported exact PDF count</t>
  </si>
  <si>
    <t xml:space="preserve">exact offer count</t>
  </si>
  <si>
    <t xml:space="preserve">review timely</t>
  </si>
  <si>
    <t xml:space="preserve">contemporaneous proof</t>
  </si>
  <si>
    <t xml:space="preserve">issue</t>
  </si>
  <si>
    <t xml:space="preserve">priority</t>
  </si>
  <si>
    <t xml:space="preserve">Measurement Certificate Reconciliation</t>
  </si>
  <si>
    <t xml:space="preserve">The two supplied certificates are tested against LOA amendment date/value and current slip inventory.</t>
  </si>
  <si>
    <t xml:space="preserve">Rounded billing LOA is the certificate LOA rounded up. Covered/open describes the certificate slip only when a slip is identified; inventory status/current tenant shows whether that historical assignment remains current.</t>
  </si>
  <si>
    <t xml:space="preserve">certificate_no</t>
  </si>
  <si>
    <t xml:space="preserve">certificate_date</t>
  </si>
  <si>
    <t xml:space="preserve">measured_loa</t>
  </si>
  <si>
    <t xml:space="preserve">purpose</t>
  </si>
  <si>
    <t xml:space="preserve">supported_amendment_date</t>
  </si>
  <si>
    <t xml:space="preserve">qualifying amendment support</t>
  </si>
  <si>
    <t xml:space="preserve">rounded billing LOA</t>
  </si>
  <si>
    <t xml:space="preserve">certificate_slip</t>
  </si>
  <si>
    <t xml:space="preserve">inventory_basin</t>
  </si>
  <si>
    <t xml:space="preserve">covered/open</t>
  </si>
  <si>
    <t xml:space="preserve">inventory_status</t>
  </si>
  <si>
    <t xml:space="preserve">current_tenant_id</t>
  </si>
  <si>
    <t xml:space="preserve">classification</t>
  </si>
  <si>
    <t xml:space="preserve">2024-06-03_measurement_certificate_WL-01893.pdf</t>
  </si>
  <si>
    <t xml:space="preserve">MC-2024-0062</t>
  </si>
  <si>
    <t xml:space="preserve">Check-in measurement for covered slip VB-0208</t>
  </si>
  <si>
    <t xml:space="preserve">Certificate page 1; later than the 2022 LOA amendment and different LOA.</t>
  </si>
  <si>
    <t xml:space="preserve">2024-09-03_measurement_certificate_WL-02401.pdf</t>
  </si>
  <si>
    <t xml:space="preserve">MC-2024-0091</t>
  </si>
  <si>
    <t xml:space="preserve">Supports length and beam amendments entered 2024-09-05</t>
  </si>
  <si>
    <t xml:space="preserve">Certificate page 1; signed before and expressly tied to the amendment.</t>
  </si>
  <si>
    <t xml:space="preserve">LOA Amendment Audit | 2022-08-01 to 2026-08-07</t>
  </si>
  <si>
    <t xml:space="preserve">Physical support is limited to the two supplied certificate files; register references alone are not proof.</t>
  </si>
  <si>
    <t xml:space="preserve">Priority 1: no qualifying physical support and at least one downstream skip through 2026-07-31. Priority 2: no qualifying physical support and no downstream skip.</t>
  </si>
  <si>
    <t xml:space="preserve">amendment_id</t>
  </si>
  <si>
    <t xml:space="preserve">amendment_date</t>
  </si>
  <si>
    <t xml:space="preserve">old_LOA</t>
  </si>
  <si>
    <t xml:space="preserve">new_LOA</t>
  </si>
  <si>
    <t xml:space="preserve">register_source_document</t>
  </si>
  <si>
    <t xml:space="preserve">physical support count</t>
  </si>
  <si>
    <t xml:space="preserve">support status</t>
  </si>
  <si>
    <t xml:space="preserve">downstream skip count</t>
  </si>
  <si>
    <t xml:space="preserve">downstream skip IDs</t>
  </si>
  <si>
    <t xml:space="preserve">source</t>
  </si>
  <si>
    <t xml:space="preserve">AMD-000285</t>
  </si>
  <si>
    <t xml:space="preserve">Foldview Marine Services haul-out sheet 2022-08-02</t>
  </si>
  <si>
    <t xml:space="preserve">AMD-000287</t>
  </si>
  <si>
    <t xml:space="preserve">Foldview Marine Services haul-out sheet 2022-08-08</t>
  </si>
  <si>
    <t xml:space="preserve">AMD-000288</t>
  </si>
  <si>
    <t xml:space="preserve">MC-2022-0411</t>
  </si>
  <si>
    <t xml:space="preserve">AMD-000289</t>
  </si>
  <si>
    <t xml:space="preserve">Foldview Marine Services haul-out sheet 2022-08-04</t>
  </si>
  <si>
    <t xml:space="preserve">AMD-000316</t>
  </si>
  <si>
    <t xml:space="preserve">Foldview Marine Services haul-out sheet 2022-08-03</t>
  </si>
  <si>
    <t xml:space="preserve">AMD-000322</t>
  </si>
  <si>
    <t xml:space="preserve">Foldview Marine Services haul-out sheet 2022-09-01</t>
  </si>
  <si>
    <t xml:space="preserve">AMD-000338</t>
  </si>
  <si>
    <t xml:space="preserve">AMD-000339</t>
  </si>
  <si>
    <t xml:space="preserve">Foldview Marine Services haul-out sheet 2022-08-21</t>
  </si>
  <si>
    <t xml:space="preserve">AMD-000343</t>
  </si>
  <si>
    <t xml:space="preserve">MC-2022-0705</t>
  </si>
  <si>
    <t xml:space="preserve">AMD-000356</t>
  </si>
  <si>
    <t xml:space="preserve">MC-2022-0134</t>
  </si>
  <si>
    <t xml:space="preserve">AMD-000368</t>
  </si>
  <si>
    <t xml:space="preserve">MC-2022-0882</t>
  </si>
  <si>
    <t xml:space="preserve">AMD-000380</t>
  </si>
  <si>
    <t xml:space="preserve">MC-2022-0916</t>
  </si>
  <si>
    <t xml:space="preserve">AMD-000403</t>
  </si>
  <si>
    <t xml:space="preserve">Foldview Marine Services haul-out sheet 2022-10-02</t>
  </si>
  <si>
    <t xml:space="preserve">AMD-000413</t>
  </si>
  <si>
    <t xml:space="preserve">MC-2022-0143</t>
  </si>
  <si>
    <t xml:space="preserve">AMD-000415</t>
  </si>
  <si>
    <t xml:space="preserve">AMD-000416</t>
  </si>
  <si>
    <t xml:space="preserve">Foldview Marine Services haul-out sheet 2022-09-21</t>
  </si>
  <si>
    <t xml:space="preserve">AMD-000425</t>
  </si>
  <si>
    <t xml:space="preserve">MC-2022-0209</t>
  </si>
  <si>
    <t xml:space="preserve">AMD-000431</t>
  </si>
  <si>
    <t xml:space="preserve">Foldview Marine Services haul-out sheet 2022-08-20</t>
  </si>
  <si>
    <t xml:space="preserve">AMD-000435</t>
  </si>
  <si>
    <t xml:space="preserve">MC-2022-0410</t>
  </si>
  <si>
    <t xml:space="preserve">AMD-000436</t>
  </si>
  <si>
    <t xml:space="preserve">MC-2022-0629</t>
  </si>
  <si>
    <t xml:space="preserve">AMD-000461</t>
  </si>
  <si>
    <t xml:space="preserve">Foldview Marine Services haul-out sheet 2022-09-09</t>
  </si>
  <si>
    <t xml:space="preserve">AMD-000462</t>
  </si>
  <si>
    <t xml:space="preserve">MC-2022-0151</t>
  </si>
  <si>
    <t xml:space="preserve">AMD-000471</t>
  </si>
  <si>
    <t xml:space="preserve">MC-2022-0675</t>
  </si>
  <si>
    <t xml:space="preserve">AMD-000478</t>
  </si>
  <si>
    <t xml:space="preserve">MC-2022-0649</t>
  </si>
  <si>
    <t xml:space="preserve">AMD-000482</t>
  </si>
  <si>
    <t xml:space="preserve">MC-2023-0263</t>
  </si>
  <si>
    <t xml:space="preserve">AMD-000506</t>
  </si>
  <si>
    <t xml:space="preserve">MC-2023-0238</t>
  </si>
  <si>
    <t xml:space="preserve">AMD-000526</t>
  </si>
  <si>
    <t xml:space="preserve">MC-2023-0961</t>
  </si>
  <si>
    <t xml:space="preserve">AMD-000528</t>
  </si>
  <si>
    <t xml:space="preserve">MC-2023-0335</t>
  </si>
  <si>
    <t xml:space="preserve">AMD-000580</t>
  </si>
  <si>
    <t xml:space="preserve">MC-2023-0485</t>
  </si>
  <si>
    <t xml:space="preserve">AMD-000584</t>
  </si>
  <si>
    <t xml:space="preserve">AMD-000601</t>
  </si>
  <si>
    <t xml:space="preserve">MC-2023-0255</t>
  </si>
  <si>
    <t xml:space="preserve">AMD-000610</t>
  </si>
  <si>
    <t xml:space="preserve">Foldview Marine Services haul-out sheet 2022-11-25</t>
  </si>
  <si>
    <t xml:space="preserve">AMD-000627</t>
  </si>
  <si>
    <t xml:space="preserve">MC-2023-0423</t>
  </si>
  <si>
    <t xml:space="preserve">AMD-000646</t>
  </si>
  <si>
    <t xml:space="preserve">AMD-000661</t>
  </si>
  <si>
    <t xml:space="preserve">Foldview Marine Services haul-out sheet 2023-04-18</t>
  </si>
  <si>
    <t xml:space="preserve">AMD-000662</t>
  </si>
  <si>
    <t xml:space="preserve">MC-2023-0309</t>
  </si>
  <si>
    <t xml:space="preserve">AMD-000682</t>
  </si>
  <si>
    <t xml:space="preserve">Foldview Marine Services haul-out sheet 2022-12-15</t>
  </si>
  <si>
    <t xml:space="preserve">AMD-000691</t>
  </si>
  <si>
    <t xml:space="preserve">MC-2023-0192</t>
  </si>
  <si>
    <t xml:space="preserve">AMD-000694</t>
  </si>
  <si>
    <t xml:space="preserve">Foldview Marine Services haul-out sheet 2022-10-31</t>
  </si>
  <si>
    <t xml:space="preserve">AMD-000705</t>
  </si>
  <si>
    <t xml:space="preserve">MC-2023-0222</t>
  </si>
  <si>
    <t xml:space="preserve">AMD-000709</t>
  </si>
  <si>
    <t xml:space="preserve">MC-2023-0266</t>
  </si>
  <si>
    <t xml:space="preserve">AMD-000712</t>
  </si>
  <si>
    <t xml:space="preserve">MC-2023-0225</t>
  </si>
  <si>
    <t xml:space="preserve">AMD-000714</t>
  </si>
  <si>
    <t xml:space="preserve">Foldview Marine Services haul-out sheet 2023-01-12</t>
  </si>
  <si>
    <t xml:space="preserve">AMD-000750</t>
  </si>
  <si>
    <t xml:space="preserve">Foldview Marine Services haul-out sheet 2022-11-09</t>
  </si>
  <si>
    <t xml:space="preserve">AMD-000760</t>
  </si>
  <si>
    <t xml:space="preserve">MC-2023-0648</t>
  </si>
  <si>
    <t xml:space="preserve">AMD-000763</t>
  </si>
  <si>
    <t xml:space="preserve">MC-2023-0129</t>
  </si>
  <si>
    <t xml:space="preserve">AMD-000772</t>
  </si>
  <si>
    <t xml:space="preserve">Foldview Marine Services haul-out sheet 2022-09-12</t>
  </si>
  <si>
    <t xml:space="preserve">AMD-000777</t>
  </si>
  <si>
    <t xml:space="preserve">MC-2023-0628</t>
  </si>
  <si>
    <t xml:space="preserve">AMD-000779</t>
  </si>
  <si>
    <t xml:space="preserve">Foldview Marine Services haul-out sheet 2022-09-13</t>
  </si>
  <si>
    <t xml:space="preserve">AMD-000782</t>
  </si>
  <si>
    <t xml:space="preserve">Foldview Marine Services haul-out sheet 2023-01-11</t>
  </si>
  <si>
    <t xml:space="preserve">AMD-000785</t>
  </si>
  <si>
    <t xml:space="preserve">MC-2023-0127</t>
  </si>
  <si>
    <t xml:space="preserve">AMD-000803</t>
  </si>
  <si>
    <t xml:space="preserve">MC-2023-0932</t>
  </si>
  <si>
    <t xml:space="preserve">AMD-000808</t>
  </si>
  <si>
    <t xml:space="preserve">AMD-000848</t>
  </si>
  <si>
    <t xml:space="preserve">MC-2023-0955</t>
  </si>
  <si>
    <t xml:space="preserve">AMD-000876</t>
  </si>
  <si>
    <t xml:space="preserve">Foldview Marine Services haul-out sheet 2023-10-24</t>
  </si>
  <si>
    <t xml:space="preserve">AMD-000887</t>
  </si>
  <si>
    <t xml:space="preserve">MC-2023-0909</t>
  </si>
  <si>
    <t xml:space="preserve">AMD-000890</t>
  </si>
  <si>
    <t xml:space="preserve">Foldview Marine Services haul-out sheet 2023-10-23</t>
  </si>
  <si>
    <t xml:space="preserve">AMD-000893</t>
  </si>
  <si>
    <t xml:space="preserve">Foldview Marine Services haul-out sheet 2023-07-17</t>
  </si>
  <si>
    <t xml:space="preserve">AMD-000913</t>
  </si>
  <si>
    <t xml:space="preserve">MC-2023-0800</t>
  </si>
  <si>
    <t xml:space="preserve">AMD-000930</t>
  </si>
  <si>
    <t xml:space="preserve">Foldview Marine Services haul-out sheet 2022-10-07</t>
  </si>
  <si>
    <t xml:space="preserve">AMD-000935</t>
  </si>
  <si>
    <t xml:space="preserve">MC-2023-0786</t>
  </si>
  <si>
    <t xml:space="preserve">AMD-000967</t>
  </si>
  <si>
    <t xml:space="preserve">Foldview Marine Services haul-out sheet 2023-09-16</t>
  </si>
  <si>
    <t xml:space="preserve">AMD-000971</t>
  </si>
  <si>
    <t xml:space="preserve">Foldview Marine Services haul-out sheet 2022-09-04</t>
  </si>
  <si>
    <t xml:space="preserve">AMD-000977</t>
  </si>
  <si>
    <t xml:space="preserve">MC-2024-0516</t>
  </si>
  <si>
    <t xml:space="preserve">AMD-000982</t>
  </si>
  <si>
    <t xml:space="preserve">MC-2024-0232</t>
  </si>
  <si>
    <t xml:space="preserve">AMD-000999</t>
  </si>
  <si>
    <t xml:space="preserve">MC-2024-0198</t>
  </si>
  <si>
    <t xml:space="preserve">AMD-001016</t>
  </si>
  <si>
    <t xml:space="preserve">Foldview Marine Services haul-out sheet 2022-10-24</t>
  </si>
  <si>
    <t xml:space="preserve">AMD-001027</t>
  </si>
  <si>
    <t xml:space="preserve">Foldview Marine Services haul-out sheet 2023-01-26</t>
  </si>
  <si>
    <t xml:space="preserve">AMD-001059</t>
  </si>
  <si>
    <t xml:space="preserve">Foldview Marine Services haul-out sheet 2023-11-17</t>
  </si>
  <si>
    <t xml:space="preserve">AMD-001092</t>
  </si>
  <si>
    <t xml:space="preserve">AMD-001093</t>
  </si>
  <si>
    <t xml:space="preserve">Foldview Marine Services haul-out sheet 2022-10-23</t>
  </si>
  <si>
    <t xml:space="preserve">AMD-001105</t>
  </si>
  <si>
    <t xml:space="preserve">MC-2024-0771</t>
  </si>
  <si>
    <t xml:space="preserve">AMD-001109</t>
  </si>
  <si>
    <t xml:space="preserve">MC-2024-0712</t>
  </si>
  <si>
    <t xml:space="preserve">AMD-001117</t>
  </si>
  <si>
    <t xml:space="preserve">MC-2024-0136</t>
  </si>
  <si>
    <t xml:space="preserve">AMD-001120</t>
  </si>
  <si>
    <t xml:space="preserve">Foldview Marine Services haul-out sheet 2023-08-05</t>
  </si>
  <si>
    <t xml:space="preserve">AMD-001151</t>
  </si>
  <si>
    <t xml:space="preserve">Foldview Marine Services haul-out sheet 2023-04-25</t>
  </si>
  <si>
    <t xml:space="preserve">AMD-001166</t>
  </si>
  <si>
    <t xml:space="preserve">MC-2024-0375</t>
  </si>
  <si>
    <t xml:space="preserve">AMD-001167</t>
  </si>
  <si>
    <t xml:space="preserve">MC-2024-0510</t>
  </si>
  <si>
    <t xml:space="preserve">AMD-001170</t>
  </si>
  <si>
    <t xml:space="preserve">Foldview Marine Services haul-out sheet 2023-08-23</t>
  </si>
  <si>
    <t xml:space="preserve">AMD-001192</t>
  </si>
  <si>
    <t xml:space="preserve">MC-2024-0630</t>
  </si>
  <si>
    <t xml:space="preserve">AMD-001200</t>
  </si>
  <si>
    <t xml:space="preserve">Foldview Marine Services haul-out sheet 2023-09-03</t>
  </si>
  <si>
    <t xml:space="preserve">AMD-001204</t>
  </si>
  <si>
    <t xml:space="preserve">Foldview Marine Services haul-out sheet 2024-02-12</t>
  </si>
  <si>
    <t xml:space="preserve">AMD-001230</t>
  </si>
  <si>
    <t xml:space="preserve">Foldview Marine Services haul-out sheet 2022-09-15</t>
  </si>
  <si>
    <t xml:space="preserve">AMD-001231</t>
  </si>
  <si>
    <t xml:space="preserve">Foldview Marine Services haul-out sheet 2023-01-05</t>
  </si>
  <si>
    <t xml:space="preserve">AMD-001232</t>
  </si>
  <si>
    <t xml:space="preserve">MC-2024-0489</t>
  </si>
  <si>
    <t xml:space="preserve">AMD-001241</t>
  </si>
  <si>
    <t xml:space="preserve">MC-2024-0891</t>
  </si>
  <si>
    <t xml:space="preserve">AMD-001244</t>
  </si>
  <si>
    <t xml:space="preserve">Foldview Marine Services haul-out sheet 2024-01-03</t>
  </si>
  <si>
    <t xml:space="preserve">AMD-001260</t>
  </si>
  <si>
    <t xml:space="preserve">Foldview Marine Services haul-out sheet 2024-07-21</t>
  </si>
  <si>
    <t xml:space="preserve">AMD-001263</t>
  </si>
  <si>
    <t xml:space="preserve">MC-2024-0608</t>
  </si>
  <si>
    <t xml:space="preserve">AMD-001267</t>
  </si>
  <si>
    <t xml:space="preserve">MC-2024-0755</t>
  </si>
  <si>
    <t xml:space="preserve">AMD-001278</t>
  </si>
  <si>
    <t xml:space="preserve">Foldview Marine Services haul-out sheet 2022-11-26</t>
  </si>
  <si>
    <t xml:space="preserve">AMD-001279</t>
  </si>
  <si>
    <t xml:space="preserve">Foldview Marine Services haul-out sheet 2023-05-28</t>
  </si>
  <si>
    <t xml:space="preserve">AMD-001287</t>
  </si>
  <si>
    <t xml:space="preserve">MC-2024-0411</t>
  </si>
  <si>
    <t xml:space="preserve">AMD-001288</t>
  </si>
  <si>
    <t xml:space="preserve">AMD-001294</t>
  </si>
  <si>
    <t xml:space="preserve">Foldview Marine Services haul-out sheet 2023-11-26</t>
  </si>
  <si>
    <t xml:space="preserve">AMD-001311</t>
  </si>
  <si>
    <t xml:space="preserve">MC-2024-0324</t>
  </si>
  <si>
    <t xml:space="preserve">AMD-001313</t>
  </si>
  <si>
    <t xml:space="preserve">Foldview Marine Services haul-out sheet 2022-10-15</t>
  </si>
  <si>
    <t xml:space="preserve">AMD-001323</t>
  </si>
  <si>
    <t xml:space="preserve">Foldview Marine Services haul-out sheet 2023-02-17</t>
  </si>
  <si>
    <t xml:space="preserve">AMD-001327</t>
  </si>
  <si>
    <t xml:space="preserve">Foldview Marine Services haul-out sheet 2024-01-01</t>
  </si>
  <si>
    <t xml:space="preserve">AMD-001328</t>
  </si>
  <si>
    <t xml:space="preserve">Foldview Marine Services haul-out sheet 2022-08-11</t>
  </si>
  <si>
    <t xml:space="preserve">AMD-001331</t>
  </si>
  <si>
    <t xml:space="preserve">MC-2024-0126</t>
  </si>
  <si>
    <t xml:space="preserve">AMD-001350</t>
  </si>
  <si>
    <t xml:space="preserve">Foldview Marine Services haul-out sheet 2022-09-24</t>
  </si>
  <si>
    <t xml:space="preserve">AMD-001362</t>
  </si>
  <si>
    <t xml:space="preserve">AMD-001384</t>
  </si>
  <si>
    <t xml:space="preserve">MC-2024-0282</t>
  </si>
  <si>
    <t xml:space="preserve">AMD-001400</t>
  </si>
  <si>
    <t xml:space="preserve">Foldview Marine Services haul-out sheet 2023-01-03</t>
  </si>
  <si>
    <t xml:space="preserve">AMD-001403</t>
  </si>
  <si>
    <t xml:space="preserve">MC-2024-0438</t>
  </si>
  <si>
    <t xml:space="preserve">AMD-001406</t>
  </si>
  <si>
    <t xml:space="preserve">MC-2024-0227</t>
  </si>
  <si>
    <t xml:space="preserve">AMD-001408</t>
  </si>
  <si>
    <t xml:space="preserve">MC-2024-0801</t>
  </si>
  <si>
    <t xml:space="preserve">AMD-001409</t>
  </si>
  <si>
    <t xml:space="preserve">MC-2024-0696</t>
  </si>
  <si>
    <t xml:space="preserve">AMD-001411</t>
  </si>
  <si>
    <t xml:space="preserve">Foldview Marine Services haul-out sheet 2022-10-14</t>
  </si>
  <si>
    <t xml:space="preserve">AMD-001414</t>
  </si>
  <si>
    <t xml:space="preserve">MC-2024-0118</t>
  </si>
  <si>
    <t xml:space="preserve">AMD-001427</t>
  </si>
  <si>
    <t xml:space="preserve">MC-2024-0864</t>
  </si>
  <si>
    <t xml:space="preserve">AMD-001430</t>
  </si>
  <si>
    <t xml:space="preserve">MC-2024-0969</t>
  </si>
  <si>
    <t xml:space="preserve">AMD-001444</t>
  </si>
  <si>
    <t xml:space="preserve">MC-2025-0967</t>
  </si>
  <si>
    <t xml:space="preserve">AMD-001449</t>
  </si>
  <si>
    <t xml:space="preserve">MC-2025-0216</t>
  </si>
  <si>
    <t xml:space="preserve">AMD-001453</t>
  </si>
  <si>
    <t xml:space="preserve">AMD-001460</t>
  </si>
  <si>
    <t xml:space="preserve">MC-2025-0415</t>
  </si>
  <si>
    <t xml:space="preserve">AMD-001468</t>
  </si>
  <si>
    <t xml:space="preserve">Foldview Marine Services haul-out sheet 2022-12-04</t>
  </si>
  <si>
    <t xml:space="preserve">AMD-001481</t>
  </si>
  <si>
    <t xml:space="preserve">Foldview Marine Services haul-out sheet 2024-10-22</t>
  </si>
  <si>
    <t xml:space="preserve">AMD-001519</t>
  </si>
  <si>
    <t xml:space="preserve">MC-2025-0618</t>
  </si>
  <si>
    <t xml:space="preserve">AMD-001525</t>
  </si>
  <si>
    <t xml:space="preserve">MC-2025-0220</t>
  </si>
  <si>
    <t xml:space="preserve">AMD-001535</t>
  </si>
  <si>
    <t xml:space="preserve">Foldview Marine Services haul-out sheet 2025-01-27</t>
  </si>
  <si>
    <t xml:space="preserve">AMD-001545</t>
  </si>
  <si>
    <t xml:space="preserve">MC-2025-0576</t>
  </si>
  <si>
    <t xml:space="preserve">AMD-001557</t>
  </si>
  <si>
    <t xml:space="preserve">MC-2025-0745</t>
  </si>
  <si>
    <t xml:space="preserve">AMD-001563</t>
  </si>
  <si>
    <t xml:space="preserve">MC-2025-0538</t>
  </si>
  <si>
    <t xml:space="preserve">AMD-001565</t>
  </si>
  <si>
    <t xml:space="preserve">MC-2025-0226</t>
  </si>
  <si>
    <t xml:space="preserve">AMD-001568</t>
  </si>
  <si>
    <t xml:space="preserve">MC-2025-0526</t>
  </si>
  <si>
    <t xml:space="preserve">AMD-001570</t>
  </si>
  <si>
    <t xml:space="preserve">MC-2025-0900</t>
  </si>
  <si>
    <t xml:space="preserve">AMD-001577</t>
  </si>
  <si>
    <t xml:space="preserve">MC-2025-0799</t>
  </si>
  <si>
    <t xml:space="preserve">AMD-001591</t>
  </si>
  <si>
    <t xml:space="preserve">Foldview Marine Services haul-out sheet 2023-09-02</t>
  </si>
  <si>
    <t xml:space="preserve">AMD-001597</t>
  </si>
  <si>
    <t xml:space="preserve">MC-2025-0314</t>
  </si>
  <si>
    <t xml:space="preserve">AMD-001598</t>
  </si>
  <si>
    <t xml:space="preserve">MC-2025-0956</t>
  </si>
  <si>
    <t xml:space="preserve">AMD-001604</t>
  </si>
  <si>
    <t xml:space="preserve">MC-2025-0228</t>
  </si>
  <si>
    <t xml:space="preserve">AMD-001606</t>
  </si>
  <si>
    <t xml:space="preserve">MC-2025-0913</t>
  </si>
  <si>
    <t xml:space="preserve">AMD-001608</t>
  </si>
  <si>
    <t xml:space="preserve">Foldview Marine Services haul-out sheet 2024-03-15</t>
  </si>
  <si>
    <t xml:space="preserve">AMD-001620</t>
  </si>
  <si>
    <t xml:space="preserve">MC-2025-0852</t>
  </si>
  <si>
    <t xml:space="preserve">AMD-001635</t>
  </si>
  <si>
    <t xml:space="preserve">MC-2025-0420</t>
  </si>
  <si>
    <t xml:space="preserve">AMD-001646</t>
  </si>
  <si>
    <t xml:space="preserve">Foldview Marine Services haul-out sheet 2023-08-13</t>
  </si>
  <si>
    <t xml:space="preserve">AMD-001647</t>
  </si>
  <si>
    <t xml:space="preserve">MC-2025-0442</t>
  </si>
  <si>
    <t xml:space="preserve">AMD-001655</t>
  </si>
  <si>
    <t xml:space="preserve">MC-2025-0353</t>
  </si>
  <si>
    <t xml:space="preserve">AMD-001659</t>
  </si>
  <si>
    <t xml:space="preserve">MC-2025-0974</t>
  </si>
  <si>
    <t xml:space="preserve">AMD-001681</t>
  </si>
  <si>
    <t xml:space="preserve">Foldview Marine Services haul-out sheet 2023-09-08</t>
  </si>
  <si>
    <t xml:space="preserve">AMD-001691</t>
  </si>
  <si>
    <t xml:space="preserve">MC-2025-0282</t>
  </si>
  <si>
    <t xml:space="preserve">AMD-001695</t>
  </si>
  <si>
    <t xml:space="preserve">MC-2025-0835</t>
  </si>
  <si>
    <t xml:space="preserve">AMD-001700</t>
  </si>
  <si>
    <t xml:space="preserve">AMD-001702</t>
  </si>
  <si>
    <t xml:space="preserve">Foldview Marine Services haul-out measurement sheet 2025-06-29</t>
  </si>
  <si>
    <t xml:space="preserve">AMD-001705</t>
  </si>
  <si>
    <t xml:space="preserve">MC-2025-0532</t>
  </si>
  <si>
    <t xml:space="preserve">AMD-001727</t>
  </si>
  <si>
    <t xml:space="preserve">MC-2025-0701</t>
  </si>
  <si>
    <t xml:space="preserve">AMD-001749</t>
  </si>
  <si>
    <t xml:space="preserve">MC-2025-0894</t>
  </si>
  <si>
    <t xml:space="preserve">AMD-001778</t>
  </si>
  <si>
    <t xml:space="preserve">Foldview Marine Services haul-out sheet 2024-11-05</t>
  </si>
  <si>
    <t xml:space="preserve">AMD-001779</t>
  </si>
  <si>
    <t xml:space="preserve">Foldview Marine Services haul-out sheet 2024-03-27</t>
  </si>
  <si>
    <t xml:space="preserve">AMD-001799</t>
  </si>
  <si>
    <t xml:space="preserve">Foldview Marine Services haul-out sheet 2023-09-15</t>
  </si>
  <si>
    <t xml:space="preserve">AMD-001803</t>
  </si>
  <si>
    <t xml:space="preserve">MC-2025-0384</t>
  </si>
  <si>
    <t xml:space="preserve">AMD-001820</t>
  </si>
  <si>
    <t xml:space="preserve">Foldview Marine Services haul-out sheet 2025-06-20</t>
  </si>
  <si>
    <t xml:space="preserve">AMD-001821</t>
  </si>
  <si>
    <t xml:space="preserve">MC-2025-0245</t>
  </si>
  <si>
    <t xml:space="preserve">AMD-001826</t>
  </si>
  <si>
    <t xml:space="preserve">AMD-001830</t>
  </si>
  <si>
    <t xml:space="preserve">Foldview Marine Services haul-out sheet 2024-08-24</t>
  </si>
  <si>
    <t xml:space="preserve">AMD-001832</t>
  </si>
  <si>
    <t xml:space="preserve">Foldview Marine Services haul-out sheet 2023-05-25</t>
  </si>
  <si>
    <t xml:space="preserve">AMD-001833</t>
  </si>
  <si>
    <t xml:space="preserve">MC-2025-0906</t>
  </si>
  <si>
    <t xml:space="preserve">AMD-001834</t>
  </si>
  <si>
    <t xml:space="preserve">MC-2025-0464</t>
  </si>
  <si>
    <t xml:space="preserve">AMD-001837</t>
  </si>
  <si>
    <t xml:space="preserve">Foldview Marine Services haul-out sheet 2024-03-18</t>
  </si>
  <si>
    <t xml:space="preserve">AMD-001852</t>
  </si>
  <si>
    <t xml:space="preserve">Foldview Marine Services haul-out sheet 2022-12-09</t>
  </si>
  <si>
    <t xml:space="preserve">AMD-001859</t>
  </si>
  <si>
    <t xml:space="preserve">AMD-001861</t>
  </si>
  <si>
    <t xml:space="preserve">MC-2025-0439</t>
  </si>
  <si>
    <t xml:space="preserve">AMD-001866</t>
  </si>
  <si>
    <t xml:space="preserve">MC-2025-0186</t>
  </si>
  <si>
    <t xml:space="preserve">AMD-001883</t>
  </si>
  <si>
    <t xml:space="preserve">MC-2025-0337</t>
  </si>
  <si>
    <t xml:space="preserve">AMD-001884</t>
  </si>
  <si>
    <t xml:space="preserve">Foldview Marine Services haul-out sheet 2025-06-28</t>
  </si>
  <si>
    <t xml:space="preserve">AMD-001889</t>
  </si>
  <si>
    <t xml:space="preserve">MC-2025-0562</t>
  </si>
  <si>
    <t xml:space="preserve">AMD-001891</t>
  </si>
  <si>
    <t xml:space="preserve">Foldview Marine Services haul-out sheet 2024-07-18</t>
  </si>
  <si>
    <t xml:space="preserve">AMD-001899</t>
  </si>
  <si>
    <t xml:space="preserve">Foldview Marine Services haul-out sheet 2024-08-20</t>
  </si>
  <si>
    <t xml:space="preserve">AMD-001929</t>
  </si>
  <si>
    <t xml:space="preserve">Foldview Marine Services haul-out sheet 2025-09-25</t>
  </si>
  <si>
    <t xml:space="preserve">AMD-001950</t>
  </si>
  <si>
    <t xml:space="preserve">MC-2025-0994</t>
  </si>
  <si>
    <t xml:space="preserve">AMD-001956</t>
  </si>
  <si>
    <t xml:space="preserve">AMD-001957</t>
  </si>
  <si>
    <t xml:space="preserve">MC-2026-0974</t>
  </si>
  <si>
    <t xml:space="preserve">AMD-001978</t>
  </si>
  <si>
    <t xml:space="preserve">AMD-001980</t>
  </si>
  <si>
    <t xml:space="preserve">AMD-001982</t>
  </si>
  <si>
    <t xml:space="preserve">AMD-001983</t>
  </si>
  <si>
    <t xml:space="preserve">Foldview Marine Services haul-out sheet 2024-06-24</t>
  </si>
  <si>
    <t xml:space="preserve">AMD-001999</t>
  </si>
  <si>
    <t xml:space="preserve">MC-2026-0870</t>
  </si>
  <si>
    <t xml:space="preserve">AMD-002000</t>
  </si>
  <si>
    <t xml:space="preserve">Foldview Marine Services haul-out sheet 2024-07-08</t>
  </si>
  <si>
    <t xml:space="preserve">AMD-002013</t>
  </si>
  <si>
    <t xml:space="preserve">Foldview Marine Services haul-out sheet 2025-05-12</t>
  </si>
  <si>
    <t xml:space="preserve">AMD-002017</t>
  </si>
  <si>
    <t xml:space="preserve">MC-2026-0113</t>
  </si>
  <si>
    <t xml:space="preserve">AMD-002028</t>
  </si>
  <si>
    <t xml:space="preserve">Foldview Marine Services haul-out sheet 2023-09-01</t>
  </si>
  <si>
    <t xml:space="preserve">AMD-002045</t>
  </si>
  <si>
    <t xml:space="preserve">MC-2026-0475</t>
  </si>
  <si>
    <t xml:space="preserve">AMD-002077</t>
  </si>
  <si>
    <t xml:space="preserve">MC-2026-0495</t>
  </si>
  <si>
    <t xml:space="preserve">AMD-002078</t>
  </si>
  <si>
    <t xml:space="preserve">MC-2026-0328</t>
  </si>
  <si>
    <t xml:space="preserve">AMD-002104</t>
  </si>
  <si>
    <t xml:space="preserve">AMD-002114</t>
  </si>
  <si>
    <t xml:space="preserve">MC-2026-0148</t>
  </si>
  <si>
    <t xml:space="preserve">AMD-002125</t>
  </si>
  <si>
    <t xml:space="preserve">MC-2026-0247</t>
  </si>
  <si>
    <t xml:space="preserve">AMD-002138</t>
  </si>
  <si>
    <t xml:space="preserve">MC-2026-0814</t>
  </si>
  <si>
    <t xml:space="preserve">AMD-002143</t>
  </si>
  <si>
    <t xml:space="preserve">MC-2026-0881</t>
  </si>
  <si>
    <t xml:space="preserve">AMD-002148</t>
  </si>
  <si>
    <t xml:space="preserve">MC-2026-0532</t>
  </si>
  <si>
    <t xml:space="preserve">AMD-002150</t>
  </si>
  <si>
    <t xml:space="preserve">AMD-002154</t>
  </si>
  <si>
    <t xml:space="preserve">MC-2026-0272</t>
  </si>
  <si>
    <t xml:space="preserve">AMD-002169</t>
  </si>
  <si>
    <t xml:space="preserve">MC-2026-0413</t>
  </si>
  <si>
    <t xml:space="preserve">AMD-002182</t>
  </si>
  <si>
    <t xml:space="preserve">MC-2026-0452</t>
  </si>
  <si>
    <t xml:space="preserve">AMD-002200</t>
  </si>
  <si>
    <t xml:space="preserve">MC-2026-0646</t>
  </si>
  <si>
    <t xml:space="preserve">AMD-002203</t>
  </si>
  <si>
    <t xml:space="preserve">AMD-002206</t>
  </si>
  <si>
    <t xml:space="preserve">Foldview Marine Services haul-out sheet 2025-04-05</t>
  </si>
  <si>
    <t xml:space="preserve">AMD-002228</t>
  </si>
  <si>
    <t xml:space="preserve">Foldview Marine Services haul-out sheet 2025-01-04</t>
  </si>
  <si>
    <t xml:space="preserve">txn_id</t>
  </si>
  <si>
    <t xml:space="preserve">post_date</t>
  </si>
  <si>
    <t xml:space="preserve">account_id</t>
  </si>
  <si>
    <t xml:space="preserve">txn_type</t>
  </si>
  <si>
    <t xml:space="preserve">length_ft_billed</t>
  </si>
  <si>
    <t xml:space="preserve">months_billed</t>
  </si>
  <si>
    <t xml:space="preserve">stated_foot_months</t>
  </si>
  <si>
    <t xml:space="preserve">rate_per_foot_month</t>
  </si>
  <si>
    <t xml:space="preserve">amount</t>
  </si>
  <si>
    <t xml:space="preserve">tax_amount</t>
  </si>
  <si>
    <t xml:space="preserve">total_amount</t>
  </si>
  <si>
    <t xml:space="preserve">payment_status</t>
  </si>
  <si>
    <t xml:space="preserve">due_date</t>
  </si>
  <si>
    <t xml:space="preserve">calc_foot_months</t>
  </si>
  <si>
    <t xml:space="preserve">foot_month_variance</t>
  </si>
  <si>
    <t xml:space="preserve">calc_amount</t>
  </si>
  <si>
    <t xml:space="preserve">amount_variance</t>
  </si>
  <si>
    <t xml:space="preserve">calc_total</t>
  </si>
  <si>
    <t xml:space="preserve">total_variance</t>
  </si>
  <si>
    <t xml:space="preserve">TXN-202608-000064</t>
  </si>
  <si>
    <t xml:space="preserve">AC-LP-0101</t>
  </si>
  <si>
    <t xml:space="preserve">MONTHLY_MOORAGE</t>
  </si>
  <si>
    <t xml:space="preserve">PAID</t>
  </si>
  <si>
    <t xml:space="preserve">TXN-202608-000108</t>
  </si>
  <si>
    <t xml:space="preserve">AC-LP-0102</t>
  </si>
  <si>
    <t xml:space="preserve">LATE</t>
  </si>
  <si>
    <t xml:space="preserve">TXN-202608-000171</t>
  </si>
  <si>
    <t xml:space="preserve">AC-LP-0103</t>
  </si>
  <si>
    <t xml:space="preserve">TXN-202608-000239</t>
  </si>
  <si>
    <t xml:space="preserve">AC-LP-0104</t>
  </si>
  <si>
    <t xml:space="preserve">TXN-202608-000299</t>
  </si>
  <si>
    <t xml:space="preserve">AC-LP-0105</t>
  </si>
  <si>
    <t xml:space="preserve">TXN-202608-000338</t>
  </si>
  <si>
    <t xml:space="preserve">AC-LP-0106</t>
  </si>
  <si>
    <t xml:space="preserve">TXN-202608-000413</t>
  </si>
  <si>
    <t xml:space="preserve">AC-LP-0107</t>
  </si>
  <si>
    <t xml:space="preserve">TXN-202608-000483</t>
  </si>
  <si>
    <t xml:space="preserve">AC-LP-0108</t>
  </si>
  <si>
    <t xml:space="preserve">TXN-202608-000533</t>
  </si>
  <si>
    <t xml:space="preserve">AC-LP-0109</t>
  </si>
  <si>
    <t xml:space="preserve">TXN-202608-000581</t>
  </si>
  <si>
    <t xml:space="preserve">AC-LP-0110</t>
  </si>
  <si>
    <t xml:space="preserve">TXN-202608-000628</t>
  </si>
  <si>
    <t xml:space="preserve">AC-LP-0111</t>
  </si>
  <si>
    <t xml:space="preserve">TXN-202608-000674</t>
  </si>
  <si>
    <t xml:space="preserve">AC-LP-0113</t>
  </si>
  <si>
    <t xml:space="preserve">TXN-202608-000728</t>
  </si>
  <si>
    <t xml:space="preserve">AC-LP-0114</t>
  </si>
  <si>
    <t xml:space="preserve">TXN-202608-000802</t>
  </si>
  <si>
    <t xml:space="preserve">AC-LP-0115</t>
  </si>
  <si>
    <t xml:space="preserve">TXN-202608-000869</t>
  </si>
  <si>
    <t xml:space="preserve">AC-LP-0116</t>
  </si>
  <si>
    <t xml:space="preserve">TXN-202608-000938</t>
  </si>
  <si>
    <t xml:space="preserve">AC-LP-0117</t>
  </si>
  <si>
    <t xml:space="preserve">TXN-202608-000989</t>
  </si>
  <si>
    <t xml:space="preserve">AC-LP-0118</t>
  </si>
  <si>
    <t xml:space="preserve">TXN-202608-001067</t>
  </si>
  <si>
    <t xml:space="preserve">AC-LP-0119</t>
  </si>
  <si>
    <t xml:space="preserve">TXN-202608-001137</t>
  </si>
  <si>
    <t xml:space="preserve">AC-LP-0120</t>
  </si>
  <si>
    <t xml:space="preserve">TXN-202608-001182</t>
  </si>
  <si>
    <t xml:space="preserve">AC-LP-0121</t>
  </si>
  <si>
    <t xml:space="preserve">TXN-202608-001251</t>
  </si>
  <si>
    <t xml:space="preserve">AC-LP-0122</t>
  </si>
  <si>
    <t xml:space="preserve">TXN-202608-001319</t>
  </si>
  <si>
    <t xml:space="preserve">AC-LP-0123</t>
  </si>
  <si>
    <t xml:space="preserve">TXN-202608-001394</t>
  </si>
  <si>
    <t xml:space="preserve">AC-LP-0124</t>
  </si>
  <si>
    <t xml:space="preserve">TXN-202608-001459</t>
  </si>
  <si>
    <t xml:space="preserve">AC-LP-0201</t>
  </si>
  <si>
    <t xml:space="preserve">TXN-202608-001533</t>
  </si>
  <si>
    <t xml:space="preserve">AC-LP-0202</t>
  </si>
  <si>
    <t xml:space="preserve">TXN-202608-001590</t>
  </si>
  <si>
    <t xml:space="preserve">AC-LP-0203</t>
  </si>
  <si>
    <t xml:space="preserve">TXN-202608-001651</t>
  </si>
  <si>
    <t xml:space="preserve">AC-LP-0204</t>
  </si>
  <si>
    <t xml:space="preserve">TXN-202608-001727</t>
  </si>
  <si>
    <t xml:space="preserve">AC-LP-0205</t>
  </si>
  <si>
    <t xml:space="preserve">TXN-202608-001771</t>
  </si>
  <si>
    <t xml:space="preserve">AC-LP-0206</t>
  </si>
  <si>
    <t xml:space="preserve">TXN-202608-001837</t>
  </si>
  <si>
    <t xml:space="preserve">AC-LP-0208</t>
  </si>
  <si>
    <t xml:space="preserve">TXN-202608-001909</t>
  </si>
  <si>
    <t xml:space="preserve">AC-LP-0209</t>
  </si>
  <si>
    <t xml:space="preserve">TXN-202608-001956</t>
  </si>
  <si>
    <t xml:space="preserve">AC-LP-0210</t>
  </si>
  <si>
    <t xml:space="preserve">TXN-202608-002030</t>
  </si>
  <si>
    <t xml:space="preserve">AC-LP-0212</t>
  </si>
  <si>
    <t xml:space="preserve">TXN-202608-002082</t>
  </si>
  <si>
    <t xml:space="preserve">AC-LP-0213</t>
  </si>
  <si>
    <t xml:space="preserve">TXN-202608-002126</t>
  </si>
  <si>
    <t xml:space="preserve">AC-LP-0214</t>
  </si>
  <si>
    <t xml:space="preserve">TXN-202608-002202</t>
  </si>
  <si>
    <t xml:space="preserve">AC-LP-0215</t>
  </si>
  <si>
    <t xml:space="preserve">TXN-202608-002273</t>
  </si>
  <si>
    <t xml:space="preserve">AC-LP-0216</t>
  </si>
  <si>
    <t xml:space="preserve">TXN-202608-002314</t>
  </si>
  <si>
    <t xml:space="preserve">AC-LP-0217</t>
  </si>
  <si>
    <t xml:space="preserve">TXN-202608-002387</t>
  </si>
  <si>
    <t xml:space="preserve">AC-LP-0218</t>
  </si>
  <si>
    <t xml:space="preserve">TXN-202608-002429</t>
  </si>
  <si>
    <t xml:space="preserve">AC-LP-0219</t>
  </si>
  <si>
    <t xml:space="preserve">TXN-202608-002497</t>
  </si>
  <si>
    <t xml:space="preserve">AC-LP-0220</t>
  </si>
  <si>
    <t xml:space="preserve">TXN-202608-002568</t>
  </si>
  <si>
    <t xml:space="preserve">AC-LP-0221</t>
  </si>
  <si>
    <t xml:space="preserve">TXN-202608-002641</t>
  </si>
  <si>
    <t xml:space="preserve">AC-LP-0222</t>
  </si>
  <si>
    <t xml:space="preserve">TXN-202608-002719</t>
  </si>
  <si>
    <t xml:space="preserve">AC-LP-0223</t>
  </si>
  <si>
    <t xml:space="preserve">TXN-202608-002772</t>
  </si>
  <si>
    <t xml:space="preserve">AC-LP-0224</t>
  </si>
  <si>
    <t xml:space="preserve">TXN-202608-002814</t>
  </si>
  <si>
    <t xml:space="preserve">AC-LP-0301</t>
  </si>
  <si>
    <t xml:space="preserve">TXN-202608-002864</t>
  </si>
  <si>
    <t xml:space="preserve">AC-LP-0302</t>
  </si>
  <si>
    <t xml:space="preserve">TXN-202608-002923</t>
  </si>
  <si>
    <t xml:space="preserve">AC-LP-0303</t>
  </si>
  <si>
    <t xml:space="preserve">TXN-202608-002983</t>
  </si>
  <si>
    <t xml:space="preserve">AC-LP-0305</t>
  </si>
  <si>
    <t xml:space="preserve">TXN-202608-003038</t>
  </si>
  <si>
    <t xml:space="preserve">AC-LP-0306</t>
  </si>
  <si>
    <t xml:space="preserve">TXN-202608-003083</t>
  </si>
  <si>
    <t xml:space="preserve">AC-LP-0307</t>
  </si>
  <si>
    <t xml:space="preserve">TXN-202608-003124</t>
  </si>
  <si>
    <t xml:space="preserve">AC-LP-0309</t>
  </si>
  <si>
    <t xml:space="preserve">TXN-202608-003180</t>
  </si>
  <si>
    <t xml:space="preserve">AC-LP-0311</t>
  </si>
  <si>
    <t xml:space="preserve">TXN-202608-003234</t>
  </si>
  <si>
    <t xml:space="preserve">AC-LP-0312</t>
  </si>
  <si>
    <t xml:space="preserve">TXN-202608-003279</t>
  </si>
  <si>
    <t xml:space="preserve">AC-LP-0313</t>
  </si>
  <si>
    <t xml:space="preserve">TXN-202608-003345</t>
  </si>
  <si>
    <t xml:space="preserve">AC-LP-0314</t>
  </si>
  <si>
    <t xml:space="preserve">TXN-202608-003397</t>
  </si>
  <si>
    <t xml:space="preserve">AC-LP-0315</t>
  </si>
  <si>
    <t xml:space="preserve">TXN-202608-003440</t>
  </si>
  <si>
    <t xml:space="preserve">AC-LP-0316</t>
  </si>
  <si>
    <t xml:space="preserve">TXN-202608-003495</t>
  </si>
  <si>
    <t xml:space="preserve">AC-LP-0317</t>
  </si>
  <si>
    <t xml:space="preserve">TXN-202608-003557</t>
  </si>
  <si>
    <t xml:space="preserve">AC-LP-0318</t>
  </si>
  <si>
    <t xml:space="preserve">TXN-202608-003599</t>
  </si>
  <si>
    <t xml:space="preserve">AC-LP-0320</t>
  </si>
  <si>
    <t xml:space="preserve">TXN-202608-003665</t>
  </si>
  <si>
    <t xml:space="preserve">AC-LP-0321</t>
  </si>
  <si>
    <t xml:space="preserve">TXN-202608-003745</t>
  </si>
  <si>
    <t xml:space="preserve">AC-LP-0322</t>
  </si>
  <si>
    <t xml:space="preserve">TXN-202608-003807</t>
  </si>
  <si>
    <t xml:space="preserve">AC-LP-0323</t>
  </si>
  <si>
    <t xml:space="preserve">TXN-202608-003859</t>
  </si>
  <si>
    <t xml:space="preserve">AC-LP-0324</t>
  </si>
  <si>
    <t xml:space="preserve">TXN-202608-003928</t>
  </si>
  <si>
    <t xml:space="preserve">AC-LP-0402</t>
  </si>
  <si>
    <t xml:space="preserve">TXN-202608-003987</t>
  </si>
  <si>
    <t xml:space="preserve">AC-LP-0403</t>
  </si>
  <si>
    <t xml:space="preserve">TXN-202608-004052</t>
  </si>
  <si>
    <t xml:space="preserve">AC-LP-0404</t>
  </si>
  <si>
    <t xml:space="preserve">TXN-202608-004087</t>
  </si>
  <si>
    <t xml:space="preserve">AC-LP-0405</t>
  </si>
  <si>
    <t xml:space="preserve">TXN-202608-004132</t>
  </si>
  <si>
    <t xml:space="preserve">AC-LP-0406</t>
  </si>
  <si>
    <t xml:space="preserve">TXN-202608-004184</t>
  </si>
  <si>
    <t xml:space="preserve">AC-LP-0407</t>
  </si>
  <si>
    <t xml:space="preserve">TXN-202608-004246</t>
  </si>
  <si>
    <t xml:space="preserve">AC-LP-0408</t>
  </si>
  <si>
    <t xml:space="preserve">TXN-202608-004290</t>
  </si>
  <si>
    <t xml:space="preserve">AC-LP-0409</t>
  </si>
  <si>
    <t xml:space="preserve">TXN-202608-004352</t>
  </si>
  <si>
    <t xml:space="preserve">AC-LP-0410</t>
  </si>
  <si>
    <t xml:space="preserve">TXN-202608-004408</t>
  </si>
  <si>
    <t xml:space="preserve">AC-LP-0411</t>
  </si>
  <si>
    <t xml:space="preserve">TXN-202608-004480</t>
  </si>
  <si>
    <t xml:space="preserve">AC-LP-0412</t>
  </si>
  <si>
    <t xml:space="preserve">TXN-202608-004524</t>
  </si>
  <si>
    <t xml:space="preserve">AC-LP-0413</t>
  </si>
  <si>
    <t xml:space="preserve">TXN-202608-004586</t>
  </si>
  <si>
    <t xml:space="preserve">AC-LP-0415</t>
  </si>
  <si>
    <t xml:space="preserve">TXN-202608-004668</t>
  </si>
  <si>
    <t xml:space="preserve">AC-LP-0416</t>
  </si>
  <si>
    <t xml:space="preserve">TXN-202608-004708</t>
  </si>
  <si>
    <t xml:space="preserve">AC-LP-0417</t>
  </si>
  <si>
    <t xml:space="preserve">TXN-202608-004770</t>
  </si>
  <si>
    <t xml:space="preserve">AC-LP-0418</t>
  </si>
  <si>
    <t xml:space="preserve">TXN-202608-004856</t>
  </si>
  <si>
    <t xml:space="preserve">AC-LP-0419</t>
  </si>
  <si>
    <t xml:space="preserve">TXN-202608-004931</t>
  </si>
  <si>
    <t xml:space="preserve">AC-LP-0420</t>
  </si>
  <si>
    <t xml:space="preserve">TXN-202608-004985</t>
  </si>
  <si>
    <t xml:space="preserve">AC-LP-0421</t>
  </si>
  <si>
    <t xml:space="preserve">TXN-202608-005036</t>
  </si>
  <si>
    <t xml:space="preserve">AC-LP-0422</t>
  </si>
  <si>
    <t xml:space="preserve">TXN-202608-005106</t>
  </si>
  <si>
    <t xml:space="preserve">AC-LP-0423</t>
  </si>
  <si>
    <t xml:space="preserve">TXN-202608-005152</t>
  </si>
  <si>
    <t xml:space="preserve">AC-LP-0424</t>
  </si>
  <si>
    <t xml:space="preserve">TXN-202608-005212</t>
  </si>
  <si>
    <t xml:space="preserve">AC-LP-0502</t>
  </si>
  <si>
    <t xml:space="preserve">TXN-202608-005253</t>
  </si>
  <si>
    <t xml:space="preserve">AC-LP-0503</t>
  </si>
  <si>
    <t xml:space="preserve">TXN-202608-005298</t>
  </si>
  <si>
    <t xml:space="preserve">AC-LP-0504</t>
  </si>
  <si>
    <t xml:space="preserve">TXN-202608-005363</t>
  </si>
  <si>
    <t xml:space="preserve">AC-LP-0505</t>
  </si>
  <si>
    <t xml:space="preserve">TXN-202608-005422</t>
  </si>
  <si>
    <t xml:space="preserve">AC-LP-0506</t>
  </si>
  <si>
    <t xml:space="preserve">TXN-202608-005475</t>
  </si>
  <si>
    <t xml:space="preserve">AC-LP-0507</t>
  </si>
  <si>
    <t xml:space="preserve">TXN-202608-005521</t>
  </si>
  <si>
    <t xml:space="preserve">AC-LP-0508</t>
  </si>
  <si>
    <t xml:space="preserve">TXN-202608-005573</t>
  </si>
  <si>
    <t xml:space="preserve">AC-LP-0509</t>
  </si>
  <si>
    <t xml:space="preserve">TXN-202608-005641</t>
  </si>
  <si>
    <t xml:space="preserve">AC-LP-0510</t>
  </si>
  <si>
    <t xml:space="preserve">TXN-202608-005705</t>
  </si>
  <si>
    <t xml:space="preserve">AC-LP-0511</t>
  </si>
  <si>
    <t xml:space="preserve">TXN-202608-005752</t>
  </si>
  <si>
    <t xml:space="preserve">AC-LP-0512</t>
  </si>
  <si>
    <t xml:space="preserve">TXN-202608-005804</t>
  </si>
  <si>
    <t xml:space="preserve">AC-LP-0513</t>
  </si>
  <si>
    <t xml:space="preserve">TXN-202608-005860</t>
  </si>
  <si>
    <t xml:space="preserve">AC-LP-0514</t>
  </si>
  <si>
    <t xml:space="preserve">TXN-202608-005932</t>
  </si>
  <si>
    <t xml:space="preserve">AC-LP-0516</t>
  </si>
  <si>
    <t xml:space="preserve">TXN-202608-005973</t>
  </si>
  <si>
    <t xml:space="preserve">AC-LP-0517</t>
  </si>
  <si>
    <t xml:space="preserve">TXN-202608-006017</t>
  </si>
  <si>
    <t xml:space="preserve">AC-LP-0518</t>
  </si>
  <si>
    <t xml:space="preserve">TXN-202608-006076</t>
  </si>
  <si>
    <t xml:space="preserve">AC-LP-0519</t>
  </si>
  <si>
    <t xml:space="preserve">TXN-202608-006145</t>
  </si>
  <si>
    <t xml:space="preserve">AC-LP-0520</t>
  </si>
  <si>
    <t xml:space="preserve">TXN-202608-006211</t>
  </si>
  <si>
    <t xml:space="preserve">AC-LP-0521</t>
  </si>
  <si>
    <t xml:space="preserve">TXN-202608-006273</t>
  </si>
  <si>
    <t xml:space="preserve">AC-LP-0522</t>
  </si>
  <si>
    <t xml:space="preserve">TXN-202608-006349</t>
  </si>
  <si>
    <t xml:space="preserve">AC-LP-0523</t>
  </si>
  <si>
    <t xml:space="preserve">TXN-202608-006427</t>
  </si>
  <si>
    <t xml:space="preserve">AC-LP-0524</t>
  </si>
  <si>
    <t xml:space="preserve">TXN-202608-006491</t>
  </si>
  <si>
    <t xml:space="preserve">AC-LP-0601</t>
  </si>
  <si>
    <t xml:space="preserve">TXN-202608-006543</t>
  </si>
  <si>
    <t xml:space="preserve">AC-LP-0602</t>
  </si>
  <si>
    <t xml:space="preserve">TXN-202608-006610</t>
  </si>
  <si>
    <t xml:space="preserve">AC-LP-0603</t>
  </si>
  <si>
    <t xml:space="preserve">TXN-202608-006671</t>
  </si>
  <si>
    <t xml:space="preserve">AC-LP-0604</t>
  </si>
  <si>
    <t xml:space="preserve">TXN-202608-006755</t>
  </si>
  <si>
    <t xml:space="preserve">AC-LP-0605</t>
  </si>
  <si>
    <t xml:space="preserve">TXN-202608-006821</t>
  </si>
  <si>
    <t xml:space="preserve">AC-LP-0606</t>
  </si>
  <si>
    <t xml:space="preserve">TXN-202608-006901</t>
  </si>
  <si>
    <t xml:space="preserve">AC-LP-0607</t>
  </si>
  <si>
    <t xml:space="preserve">TXN-202608-006979</t>
  </si>
  <si>
    <t xml:space="preserve">AC-LP-0608</t>
  </si>
  <si>
    <t xml:space="preserve">TXN-202608-007046</t>
  </si>
  <si>
    <t xml:space="preserve">AC-LP-0609</t>
  </si>
  <si>
    <t xml:space="preserve">TXN-202608-007099</t>
  </si>
  <si>
    <t xml:space="preserve">AC-LP-0610</t>
  </si>
  <si>
    <t xml:space="preserve">TXN-202608-007176</t>
  </si>
  <si>
    <t xml:space="preserve">AC-LP-0611</t>
  </si>
  <si>
    <t xml:space="preserve">TXN-202608-007262</t>
  </si>
  <si>
    <t xml:space="preserve">AC-LP-0612</t>
  </si>
  <si>
    <t xml:space="preserve">TXN-202608-007316</t>
  </si>
  <si>
    <t xml:space="preserve">AC-LP-0613</t>
  </si>
  <si>
    <t xml:space="preserve">TXN-202608-007382</t>
  </si>
  <si>
    <t xml:space="preserve">AC-LP-0614</t>
  </si>
  <si>
    <t xml:space="preserve">TXN-202608-007438</t>
  </si>
  <si>
    <t xml:space="preserve">AC-LP-0615</t>
  </si>
  <si>
    <t xml:space="preserve">TXN-202608-007500</t>
  </si>
  <si>
    <t xml:space="preserve">AC-LP-0616</t>
  </si>
  <si>
    <t xml:space="preserve">TXN-202608-007544</t>
  </si>
  <si>
    <t xml:space="preserve">AC-LP-0617</t>
  </si>
  <si>
    <t xml:space="preserve">TXN-202608-007614</t>
  </si>
  <si>
    <t xml:space="preserve">AC-LP-0618</t>
  </si>
  <si>
    <t xml:space="preserve">TXN-202608-007671</t>
  </si>
  <si>
    <t xml:space="preserve">AC-LP-0620</t>
  </si>
  <si>
    <t xml:space="preserve">TXN-202608-007743</t>
  </si>
  <si>
    <t xml:space="preserve">AC-LP-0621</t>
  </si>
  <si>
    <t xml:space="preserve">TXN-202608-007793</t>
  </si>
  <si>
    <t xml:space="preserve">AC-LP-0622</t>
  </si>
  <si>
    <t xml:space="preserve">TXN-202608-007847</t>
  </si>
  <si>
    <t xml:space="preserve">AC-LP-0623</t>
  </si>
  <si>
    <t xml:space="preserve">TXN-202608-007933</t>
  </si>
  <si>
    <t xml:space="preserve">AC-LP-0624</t>
  </si>
  <si>
    <t xml:space="preserve">TXN-202608-008015</t>
  </si>
  <si>
    <t xml:space="preserve">AC-LP-0701</t>
  </si>
  <si>
    <t xml:space="preserve">TXN-202608-008093</t>
  </si>
  <si>
    <t xml:space="preserve">AC-LP-0702</t>
  </si>
  <si>
    <t xml:space="preserve">TXN-202608-008150</t>
  </si>
  <si>
    <t xml:space="preserve">AC-LP-0703</t>
  </si>
  <si>
    <t xml:space="preserve">TXN-202608-008231</t>
  </si>
  <si>
    <t xml:space="preserve">AC-LP-0704</t>
  </si>
  <si>
    <t xml:space="preserve">TXN-202608-008302</t>
  </si>
  <si>
    <t xml:space="preserve">AC-LP-0705</t>
  </si>
  <si>
    <t xml:space="preserve">TXN-202608-008377</t>
  </si>
  <si>
    <t xml:space="preserve">AC-LP-0706</t>
  </si>
  <si>
    <t xml:space="preserve">TXN-202608-008427</t>
  </si>
  <si>
    <t xml:space="preserve">AC-LP-0707</t>
  </si>
  <si>
    <t xml:space="preserve">TXN-202608-008507</t>
  </si>
  <si>
    <t xml:space="preserve">AC-LP-0708</t>
  </si>
  <si>
    <t xml:space="preserve">TXN-202608-008563</t>
  </si>
  <si>
    <t xml:space="preserve">AC-LP-0709</t>
  </si>
  <si>
    <t xml:space="preserve">TXN-202608-008628</t>
  </si>
  <si>
    <t xml:space="preserve">AC-LP-0710</t>
  </si>
  <si>
    <t xml:space="preserve">TXN-202608-008674</t>
  </si>
  <si>
    <t xml:space="preserve">AC-LP-0711</t>
  </si>
  <si>
    <t xml:space="preserve">TXN-202608-008710</t>
  </si>
  <si>
    <t xml:space="preserve">AC-LP-0712</t>
  </si>
  <si>
    <t xml:space="preserve">TXN-202608-008763</t>
  </si>
  <si>
    <t xml:space="preserve">AC-LP-0713</t>
  </si>
  <si>
    <t xml:space="preserve">TXN-202608-008838</t>
  </si>
  <si>
    <t xml:space="preserve">AC-LP-0714</t>
  </si>
  <si>
    <t xml:space="preserve">TXN-202608-008888</t>
  </si>
  <si>
    <t xml:space="preserve">AC-LP-0715</t>
  </si>
  <si>
    <t xml:space="preserve">TXN-202608-008941</t>
  </si>
  <si>
    <t xml:space="preserve">AC-LP-0716</t>
  </si>
  <si>
    <t xml:space="preserve">TXN-202608-008997</t>
  </si>
  <si>
    <t xml:space="preserve">AC-LP-0717</t>
  </si>
  <si>
    <t xml:space="preserve">TXN-202608-009047</t>
  </si>
  <si>
    <t xml:space="preserve">AC-LP-0718</t>
  </si>
  <si>
    <t xml:space="preserve">TXN-202608-009113</t>
  </si>
  <si>
    <t xml:space="preserve">AC-LP-0719</t>
  </si>
  <si>
    <t xml:space="preserve">TXN-202608-009164</t>
  </si>
  <si>
    <t xml:space="preserve">AC-LP-0720</t>
  </si>
  <si>
    <t xml:space="preserve">TXN-202608-009235</t>
  </si>
  <si>
    <t xml:space="preserve">AC-LP-0722</t>
  </si>
  <si>
    <t xml:space="preserve">TXN-202608-009277</t>
  </si>
  <si>
    <t xml:space="preserve">AC-LP-0723</t>
  </si>
  <si>
    <t xml:space="preserve">TXN-202608-009317</t>
  </si>
  <si>
    <t xml:space="preserve">AC-LP-0724</t>
  </si>
  <si>
    <t xml:space="preserve">TXN-202608-009358</t>
  </si>
  <si>
    <t xml:space="preserve">AC-LP-0801</t>
  </si>
  <si>
    <t xml:space="preserve">TXN-202608-009428</t>
  </si>
  <si>
    <t xml:space="preserve">AC-LP-0802</t>
  </si>
  <si>
    <t xml:space="preserve">TXN-202608-009493</t>
  </si>
  <si>
    <t xml:space="preserve">AC-LP-0803</t>
  </si>
  <si>
    <t xml:space="preserve">TXN-202608-009566</t>
  </si>
  <si>
    <t xml:space="preserve">AC-LP-0805</t>
  </si>
  <si>
    <t xml:space="preserve">TXN-202608-009636</t>
  </si>
  <si>
    <t xml:space="preserve">AC-LP-0806</t>
  </si>
  <si>
    <t xml:space="preserve">TXN-202608-009719</t>
  </si>
  <si>
    <t xml:space="preserve">AC-LP-0807</t>
  </si>
  <si>
    <t xml:space="preserve">TXN-202608-009770</t>
  </si>
  <si>
    <t xml:space="preserve">AC-LP-0808</t>
  </si>
  <si>
    <t xml:space="preserve">TXN-202608-009852</t>
  </si>
  <si>
    <t xml:space="preserve">AC-LP-0809</t>
  </si>
  <si>
    <t xml:space="preserve">TXN-202608-009916</t>
  </si>
  <si>
    <t xml:space="preserve">AC-LP-0811</t>
  </si>
  <si>
    <t xml:space="preserve">TXN-202608-009999</t>
  </si>
  <si>
    <t xml:space="preserve">AC-LP-0812</t>
  </si>
  <si>
    <t xml:space="preserve">TXN-202608-010077</t>
  </si>
  <si>
    <t xml:space="preserve">AC-LP-0813</t>
  </si>
  <si>
    <t xml:space="preserve">TXN-202608-010153</t>
  </si>
  <si>
    <t xml:space="preserve">AC-LP-0814</t>
  </si>
  <si>
    <t xml:space="preserve">TXN-202608-010227</t>
  </si>
  <si>
    <t xml:space="preserve">AC-LP-0815</t>
  </si>
  <si>
    <t xml:space="preserve">TXN-202608-010292</t>
  </si>
  <si>
    <t xml:space="preserve">AC-LP-0816</t>
  </si>
  <si>
    <t xml:space="preserve">TXN-202608-010354</t>
  </si>
  <si>
    <t xml:space="preserve">AC-LP-0817</t>
  </si>
  <si>
    <t xml:space="preserve">TXN-202608-010428</t>
  </si>
  <si>
    <t xml:space="preserve">AC-LP-0818</t>
  </si>
  <si>
    <t xml:space="preserve">TXN-202608-010483</t>
  </si>
  <si>
    <t xml:space="preserve">AC-LP-0819</t>
  </si>
  <si>
    <t xml:space="preserve">TXN-202608-010563</t>
  </si>
  <si>
    <t xml:space="preserve">AC-LP-0820</t>
  </si>
  <si>
    <t xml:space="preserve">TXN-202608-010626</t>
  </si>
  <si>
    <t xml:space="preserve">AC-LP-0821</t>
  </si>
  <si>
    <t xml:space="preserve">TXN-202608-010690</t>
  </si>
  <si>
    <t xml:space="preserve">AC-LP-0822</t>
  </si>
  <si>
    <t xml:space="preserve">TXN-202608-010741</t>
  </si>
  <si>
    <t xml:space="preserve">AC-LP-0823</t>
  </si>
  <si>
    <t xml:space="preserve">TXN-202608-010787</t>
  </si>
  <si>
    <t xml:space="preserve">AC-LP-0824</t>
  </si>
  <si>
    <t xml:space="preserve">TXN-202608-010867</t>
  </si>
  <si>
    <t xml:space="preserve">AC-LP-0901</t>
  </si>
  <si>
    <t xml:space="preserve">TXN-202608-010915</t>
  </si>
  <si>
    <t xml:space="preserve">AC-LP-0902</t>
  </si>
  <si>
    <t xml:space="preserve">TXN-202608-010994</t>
  </si>
  <si>
    <t xml:space="preserve">AC-LP-0903</t>
  </si>
  <si>
    <t xml:space="preserve">TXN-202608-011040</t>
  </si>
  <si>
    <t xml:space="preserve">AC-LP-0904</t>
  </si>
  <si>
    <t xml:space="preserve">TXN-202608-011113</t>
  </si>
  <si>
    <t xml:space="preserve">AC-LP-0905</t>
  </si>
  <si>
    <t xml:space="preserve">TXN-202608-011186</t>
  </si>
  <si>
    <t xml:space="preserve">AC-LP-0906</t>
  </si>
  <si>
    <t xml:space="preserve">TXN-202608-011262</t>
  </si>
  <si>
    <t xml:space="preserve">AC-LP-0907</t>
  </si>
  <si>
    <t xml:space="preserve">TXN-202608-011328</t>
  </si>
  <si>
    <t xml:space="preserve">AC-LP-0908</t>
  </si>
  <si>
    <t xml:space="preserve">TXN-202608-011387</t>
  </si>
  <si>
    <t xml:space="preserve">AC-LP-0909</t>
  </si>
  <si>
    <t xml:space="preserve">TXN-202608-011449</t>
  </si>
  <si>
    <t xml:space="preserve">AC-LP-0910</t>
  </si>
  <si>
    <t xml:space="preserve">TXN-202608-011512</t>
  </si>
  <si>
    <t xml:space="preserve">AC-LP-0911</t>
  </si>
  <si>
    <t xml:space="preserve">TXN-202608-011585</t>
  </si>
  <si>
    <t xml:space="preserve">AC-LP-0912</t>
  </si>
  <si>
    <t xml:space="preserve">TXN-202608-011646</t>
  </si>
  <si>
    <t xml:space="preserve">AC-LP-0913</t>
  </si>
  <si>
    <t xml:space="preserve">TXN-202608-011702</t>
  </si>
  <si>
    <t xml:space="preserve">AC-LP-0914</t>
  </si>
  <si>
    <t xml:space="preserve">TXN-202608-011766</t>
  </si>
  <si>
    <t xml:space="preserve">AC-LP-0915</t>
  </si>
  <si>
    <t xml:space="preserve">TXN-202608-011847</t>
  </si>
  <si>
    <t xml:space="preserve">AC-LP-0917</t>
  </si>
  <si>
    <t xml:space="preserve">TXN-202608-011919</t>
  </si>
  <si>
    <t xml:space="preserve">AC-LP-0918</t>
  </si>
  <si>
    <t xml:space="preserve">TXN-202608-011956</t>
  </si>
  <si>
    <t xml:space="preserve">AC-LP-0919</t>
  </si>
  <si>
    <t xml:space="preserve">TXN-202608-012022</t>
  </si>
  <si>
    <t xml:space="preserve">AC-LP-0920</t>
  </si>
  <si>
    <t xml:space="preserve">TXN-202608-012059</t>
  </si>
  <si>
    <t xml:space="preserve">AC-LP-0921</t>
  </si>
  <si>
    <t xml:space="preserve">TXN-202608-012124</t>
  </si>
  <si>
    <t xml:space="preserve">AC-LP-0922</t>
  </si>
  <si>
    <t xml:space="preserve">TXN-202608-012196</t>
  </si>
  <si>
    <t xml:space="preserve">AC-LP-0923</t>
  </si>
  <si>
    <t xml:space="preserve">TXN-202608-012242</t>
  </si>
  <si>
    <t xml:space="preserve">AC-LP-0924</t>
  </si>
  <si>
    <t xml:space="preserve">TXN-202608-012320</t>
  </si>
  <si>
    <t xml:space="preserve">AC-LP-1001</t>
  </si>
  <si>
    <t xml:space="preserve">TXN-202608-012378</t>
  </si>
  <si>
    <t xml:space="preserve">AC-LP-1002</t>
  </si>
  <si>
    <t xml:space="preserve">TXN-202608-012439</t>
  </si>
  <si>
    <t xml:space="preserve">AC-LP-1003</t>
  </si>
  <si>
    <t xml:space="preserve">TXN-202608-012506</t>
  </si>
  <si>
    <t xml:space="preserve">AC-LP-1004</t>
  </si>
  <si>
    <t xml:space="preserve">TXN-202608-012563</t>
  </si>
  <si>
    <t xml:space="preserve">AC-LP-1005</t>
  </si>
  <si>
    <t xml:space="preserve">TXN-202608-012635</t>
  </si>
  <si>
    <t xml:space="preserve">AC-LP-1006</t>
  </si>
  <si>
    <t xml:space="preserve">TXN-202608-012709</t>
  </si>
  <si>
    <t xml:space="preserve">AC-LP-1007</t>
  </si>
  <si>
    <t xml:space="preserve">TXN-202608-012767</t>
  </si>
  <si>
    <t xml:space="preserve">AC-LP-1008</t>
  </si>
  <si>
    <t xml:space="preserve">TXN-202608-012832</t>
  </si>
  <si>
    <t xml:space="preserve">AC-LP-1009</t>
  </si>
  <si>
    <t xml:space="preserve">TXN-202608-012877</t>
  </si>
  <si>
    <t xml:space="preserve">AC-LP-1010</t>
  </si>
  <si>
    <t xml:space="preserve">TXN-202608-012944</t>
  </si>
  <si>
    <t xml:space="preserve">AC-LP-1011</t>
  </si>
  <si>
    <t xml:space="preserve">TXN-202608-012991</t>
  </si>
  <si>
    <t xml:space="preserve">AC-LP-1012</t>
  </si>
  <si>
    <t xml:space="preserve">TXN-202608-013039</t>
  </si>
  <si>
    <t xml:space="preserve">AC-LP-1013</t>
  </si>
  <si>
    <t xml:space="preserve">TXN-202608-013099</t>
  </si>
  <si>
    <t xml:space="preserve">AC-LP-1014</t>
  </si>
  <si>
    <t xml:space="preserve">TXN-202608-013163</t>
  </si>
  <si>
    <t xml:space="preserve">AC-LP-1016</t>
  </si>
  <si>
    <t xml:space="preserve">TXN-202608-013209</t>
  </si>
  <si>
    <t xml:space="preserve">AC-LP-1017</t>
  </si>
  <si>
    <t xml:space="preserve">TXN-202608-013255</t>
  </si>
  <si>
    <t xml:space="preserve">AC-LP-1018</t>
  </si>
  <si>
    <t xml:space="preserve">TXN-202608-013320</t>
  </si>
  <si>
    <t xml:space="preserve">AC-LP-1020</t>
  </si>
  <si>
    <t xml:space="preserve">TXN-202608-013399</t>
  </si>
  <si>
    <t xml:space="preserve">AC-LP-1021</t>
  </si>
  <si>
    <t xml:space="preserve">TXN-202608-013452</t>
  </si>
  <si>
    <t xml:space="preserve">AC-LP-1022</t>
  </si>
  <si>
    <t xml:space="preserve">TXN-202608-013502</t>
  </si>
  <si>
    <t xml:space="preserve">AC-LP-1023</t>
  </si>
  <si>
    <t xml:space="preserve">TXN-202608-013548</t>
  </si>
  <si>
    <t xml:space="preserve">AC-LP-1024</t>
  </si>
  <si>
    <t xml:space="preserve">TXN-202608-013588</t>
  </si>
  <si>
    <t xml:space="preserve">AC-LP-1102</t>
  </si>
  <si>
    <t xml:space="preserve">TXN-202608-013657</t>
  </si>
  <si>
    <t xml:space="preserve">AC-LP-1103</t>
  </si>
  <si>
    <t xml:space="preserve">TXN-202608-013719</t>
  </si>
  <si>
    <t xml:space="preserve">AC-LP-1104</t>
  </si>
  <si>
    <t xml:space="preserve">TXN-202608-013761</t>
  </si>
  <si>
    <t xml:space="preserve">AC-LP-1105</t>
  </si>
  <si>
    <t xml:space="preserve">TXN-202608-013807</t>
  </si>
  <si>
    <t xml:space="preserve">AC-LP-1106</t>
  </si>
  <si>
    <t xml:space="preserve">TXN-202608-013873</t>
  </si>
  <si>
    <t xml:space="preserve">AC-LP-1107</t>
  </si>
  <si>
    <t xml:space="preserve">TXN-202608-013934</t>
  </si>
  <si>
    <t xml:space="preserve">AC-LP-1108</t>
  </si>
  <si>
    <t xml:space="preserve">TXN-202608-014015</t>
  </si>
  <si>
    <t xml:space="preserve">AC-LP-1109</t>
  </si>
  <si>
    <t xml:space="preserve">TXN-202608-014077</t>
  </si>
  <si>
    <t xml:space="preserve">AC-LP-1110</t>
  </si>
  <si>
    <t xml:space="preserve">TXN-202608-014138</t>
  </si>
  <si>
    <t xml:space="preserve">AC-LP-1111</t>
  </si>
  <si>
    <t xml:space="preserve">TXN-202608-014207</t>
  </si>
  <si>
    <t xml:space="preserve">AC-LP-1112</t>
  </si>
  <si>
    <t xml:space="preserve">TXN-202608-014275</t>
  </si>
  <si>
    <t xml:space="preserve">AC-LP-1113</t>
  </si>
  <si>
    <t xml:space="preserve">TXN-202608-014329</t>
  </si>
  <si>
    <t xml:space="preserve">AC-LP-1114</t>
  </si>
  <si>
    <t xml:space="preserve">TXN-202608-014384</t>
  </si>
  <si>
    <t xml:space="preserve">AC-LP-1115</t>
  </si>
  <si>
    <t xml:space="preserve">TXN-202608-014423</t>
  </si>
  <si>
    <t xml:space="preserve">AC-LP-1116</t>
  </si>
  <si>
    <t xml:space="preserve">TXN-202608-014478</t>
  </si>
  <si>
    <t xml:space="preserve">AC-LP-1117</t>
  </si>
  <si>
    <t xml:space="preserve">TXN-202608-014536</t>
  </si>
  <si>
    <t xml:space="preserve">AC-LP-1118</t>
  </si>
  <si>
    <t xml:space="preserve">TXN-202608-014593</t>
  </si>
  <si>
    <t xml:space="preserve">AC-LP-1119</t>
  </si>
  <si>
    <t xml:space="preserve">TXN-202608-014636</t>
  </si>
  <si>
    <t xml:space="preserve">AC-LP-1120</t>
  </si>
  <si>
    <t xml:space="preserve">TXN-202608-014676</t>
  </si>
  <si>
    <t xml:space="preserve">AC-VB-0101</t>
  </si>
  <si>
    <t xml:space="preserve">TXN-202608-014731</t>
  </si>
  <si>
    <t xml:space="preserve">AC-VB-0102</t>
  </si>
  <si>
    <t xml:space="preserve">TXN-202608-014787</t>
  </si>
  <si>
    <t xml:space="preserve">AC-VB-0103</t>
  </si>
  <si>
    <t xml:space="preserve">TXN-202608-014870</t>
  </si>
  <si>
    <t xml:space="preserve">AC-VB-0105</t>
  </si>
  <si>
    <t xml:space="preserve">TXN-202608-014949</t>
  </si>
  <si>
    <t xml:space="preserve">AC-VB-0106</t>
  </si>
  <si>
    <t xml:space="preserve">TXN-202608-015000</t>
  </si>
  <si>
    <t xml:space="preserve">AC-VB-0107</t>
  </si>
  <si>
    <t xml:space="preserve">TXN-202608-015080</t>
  </si>
  <si>
    <t xml:space="preserve">AC-VB-0108</t>
  </si>
  <si>
    <t xml:space="preserve">TXN-202608-015133</t>
  </si>
  <si>
    <t xml:space="preserve">AC-VB-0109</t>
  </si>
  <si>
    <t xml:space="preserve">TXN-202608-015181</t>
  </si>
  <si>
    <t xml:space="preserve">AC-VB-0110</t>
  </si>
  <si>
    <t xml:space="preserve">TXN-202608-015251</t>
  </si>
  <si>
    <t xml:space="preserve">AC-VB-0111</t>
  </si>
  <si>
    <t xml:space="preserve">TXN-202608-015323</t>
  </si>
  <si>
    <t xml:space="preserve">AC-VB-0112</t>
  </si>
  <si>
    <t xml:space="preserve">TXN-202608-015365</t>
  </si>
  <si>
    <t xml:space="preserve">AC-VB-0113</t>
  </si>
  <si>
    <t xml:space="preserve">TXN-202608-015430</t>
  </si>
  <si>
    <t xml:space="preserve">AC-VB-0114</t>
  </si>
  <si>
    <t xml:space="preserve">TXN-202608-015500</t>
  </si>
  <si>
    <t xml:space="preserve">AC-VB-0115</t>
  </si>
  <si>
    <t xml:space="preserve">TXN-202608-015581</t>
  </si>
  <si>
    <t xml:space="preserve">AC-VB-0116</t>
  </si>
  <si>
    <t xml:space="preserve">TXN-202608-015658</t>
  </si>
  <si>
    <t xml:space="preserve">AC-VB-0117</t>
  </si>
  <si>
    <t xml:space="preserve">TXN-202608-015719</t>
  </si>
  <si>
    <t xml:space="preserve">AC-VB-0118</t>
  </si>
  <si>
    <t xml:space="preserve">TXN-202608-015773</t>
  </si>
  <si>
    <t xml:space="preserve">AC-VB-0119</t>
  </si>
  <si>
    <t xml:space="preserve">TXN-202608-015849</t>
  </si>
  <si>
    <t xml:space="preserve">AC-VB-0120</t>
  </si>
  <si>
    <t xml:space="preserve">TXN-202608-015892</t>
  </si>
  <si>
    <t xml:space="preserve">AC-VB-0121</t>
  </si>
  <si>
    <t xml:space="preserve">TXN-202608-015963</t>
  </si>
  <si>
    <t xml:space="preserve">AC-VB-0122</t>
  </si>
  <si>
    <t xml:space="preserve">TXN-202608-016006</t>
  </si>
  <si>
    <t xml:space="preserve">AC-VB-0123</t>
  </si>
  <si>
    <t xml:space="preserve">TXN-202608-016050</t>
  </si>
  <si>
    <t xml:space="preserve">AC-VB-0124</t>
  </si>
  <si>
    <t xml:space="preserve">TXN-202608-016112</t>
  </si>
  <si>
    <t xml:space="preserve">AC-VB-0201</t>
  </si>
  <si>
    <t xml:space="preserve">TXN-202608-016174</t>
  </si>
  <si>
    <t xml:space="preserve">AC-VB-0202</t>
  </si>
  <si>
    <t xml:space="preserve">TXN-202608-016222</t>
  </si>
  <si>
    <t xml:space="preserve">AC-VB-0203</t>
  </si>
  <si>
    <t xml:space="preserve">TXN-202608-016304</t>
  </si>
  <si>
    <t xml:space="preserve">AC-VB-0204</t>
  </si>
  <si>
    <t xml:space="preserve">TXN-202608-016360</t>
  </si>
  <si>
    <t xml:space="preserve">AC-VB-0205</t>
  </si>
  <si>
    <t xml:space="preserve">TXN-202608-016410</t>
  </si>
  <si>
    <t xml:space="preserve">AC-VB-0206</t>
  </si>
  <si>
    <t xml:space="preserve">TXN-202608-016464</t>
  </si>
  <si>
    <t xml:space="preserve">AC-VB-0207</t>
  </si>
  <si>
    <t xml:space="preserve">TXN-202608-016515</t>
  </si>
  <si>
    <t xml:space="preserve">AC-VB-0208</t>
  </si>
  <si>
    <t xml:space="preserve">TXN-202608-016568</t>
  </si>
  <si>
    <t xml:space="preserve">AC-VB-0209</t>
  </si>
  <si>
    <t xml:space="preserve">TXN-202608-016611</t>
  </si>
  <si>
    <t xml:space="preserve">AC-VB-0210</t>
  </si>
  <si>
    <t xml:space="preserve">TXN-202608-016682</t>
  </si>
  <si>
    <t xml:space="preserve">AC-VB-0211</t>
  </si>
  <si>
    <t xml:space="preserve">TXN-202608-016761</t>
  </si>
  <si>
    <t xml:space="preserve">AC-VB-0212</t>
  </si>
  <si>
    <t xml:space="preserve">TXN-202608-016822</t>
  </si>
  <si>
    <t xml:space="preserve">AC-VB-0213</t>
  </si>
  <si>
    <t xml:space="preserve">TXN-202608-016902</t>
  </si>
  <si>
    <t xml:space="preserve">AC-VB-0214</t>
  </si>
  <si>
    <t xml:space="preserve">TXN-202608-016986</t>
  </si>
  <si>
    <t xml:space="preserve">AC-VB-0215</t>
  </si>
  <si>
    <t xml:space="preserve">TXN-202608-017048</t>
  </si>
  <si>
    <t xml:space="preserve">AC-VB-0216</t>
  </si>
  <si>
    <t xml:space="preserve">TXN-202608-017085</t>
  </si>
  <si>
    <t xml:space="preserve">AC-VB-0217</t>
  </si>
  <si>
    <t xml:space="preserve">TXN-202608-017128</t>
  </si>
  <si>
    <t xml:space="preserve">AC-VB-0218</t>
  </si>
  <si>
    <t xml:space="preserve">TXN-202608-017192</t>
  </si>
  <si>
    <t xml:space="preserve">AC-VB-0219</t>
  </si>
  <si>
    <t xml:space="preserve">TXN-202608-017235</t>
  </si>
  <si>
    <t xml:space="preserve">AC-VB-0220</t>
  </si>
  <si>
    <t xml:space="preserve">TXN-202608-017306</t>
  </si>
  <si>
    <t xml:space="preserve">AC-VB-0221</t>
  </si>
  <si>
    <t xml:space="preserve">TXN-202608-017366</t>
  </si>
  <si>
    <t xml:space="preserve">AC-VB-0222</t>
  </si>
  <si>
    <t xml:space="preserve">TXN-202608-017445</t>
  </si>
  <si>
    <t xml:space="preserve">AC-VB-0223</t>
  </si>
  <si>
    <t xml:space="preserve">TXN-202608-017488</t>
  </si>
  <si>
    <t xml:space="preserve">AC-VB-0224</t>
  </si>
  <si>
    <t xml:space="preserve">TXN-202608-017533</t>
  </si>
  <si>
    <t xml:space="preserve">AC-VB-0302</t>
  </si>
  <si>
    <t xml:space="preserve">TXN-202608-017584</t>
  </si>
  <si>
    <t xml:space="preserve">AC-VB-0303</t>
  </si>
  <si>
    <t xml:space="preserve">TXN-202608-017650</t>
  </si>
  <si>
    <t xml:space="preserve">AC-VB-0304</t>
  </si>
  <si>
    <t xml:space="preserve">TXN-202608-017703</t>
  </si>
  <si>
    <t xml:space="preserve">AC-VB-0305</t>
  </si>
  <si>
    <t xml:space="preserve">TXN-202608-017754</t>
  </si>
  <si>
    <t xml:space="preserve">AC-VB-0306</t>
  </si>
  <si>
    <t xml:space="preserve">TXN-202608-017806</t>
  </si>
  <si>
    <t xml:space="preserve">AC-VB-0307</t>
  </si>
  <si>
    <t xml:space="preserve">TXN-202608-017857</t>
  </si>
  <si>
    <t xml:space="preserve">AC-VB-0308</t>
  </si>
  <si>
    <t xml:space="preserve">TXN-202608-017903</t>
  </si>
  <si>
    <t xml:space="preserve">AC-VB-0309</t>
  </si>
  <si>
    <t xml:space="preserve">TXN-202608-017965</t>
  </si>
  <si>
    <t xml:space="preserve">AC-VB-0310</t>
  </si>
  <si>
    <t xml:space="preserve">TXN-202608-018019</t>
  </si>
  <si>
    <t xml:space="preserve">AC-VB-0311</t>
  </si>
  <si>
    <t xml:space="preserve">TXN-202608-018068</t>
  </si>
  <si>
    <t xml:space="preserve">AC-VB-0312</t>
  </si>
  <si>
    <t xml:space="preserve">TXN-202608-018138</t>
  </si>
  <si>
    <t xml:space="preserve">AC-VB-0314</t>
  </si>
  <si>
    <t xml:space="preserve">TXN-202608-018198</t>
  </si>
  <si>
    <t xml:space="preserve">AC-VB-0315</t>
  </si>
  <si>
    <t xml:space="preserve">TXN-202608-018262</t>
  </si>
  <si>
    <t xml:space="preserve">AC-VB-0316</t>
  </si>
  <si>
    <t xml:space="preserve">TXN-202608-018320</t>
  </si>
  <si>
    <t xml:space="preserve">AC-VB-0317</t>
  </si>
  <si>
    <t xml:space="preserve">TXN-202608-018400</t>
  </si>
  <si>
    <t xml:space="preserve">AC-VB-0318</t>
  </si>
  <si>
    <t xml:space="preserve">TXN-202608-018455</t>
  </si>
  <si>
    <t xml:space="preserve">AC-VB-0319</t>
  </si>
  <si>
    <t xml:space="preserve">TXN-202608-018508</t>
  </si>
  <si>
    <t xml:space="preserve">AC-VB-0320</t>
  </si>
  <si>
    <t xml:space="preserve">TXN-202608-018557</t>
  </si>
  <si>
    <t xml:space="preserve">AC-VB-0321</t>
  </si>
  <si>
    <t xml:space="preserve">TXN-202608-018617</t>
  </si>
  <si>
    <t xml:space="preserve">AC-VB-0322</t>
  </si>
  <si>
    <t xml:space="preserve">TXN-202608-018669</t>
  </si>
  <si>
    <t xml:space="preserve">AC-VB-0323</t>
  </si>
  <si>
    <t xml:space="preserve">TXN-202608-018725</t>
  </si>
  <si>
    <t xml:space="preserve">AC-VB-0324</t>
  </si>
  <si>
    <t xml:space="preserve">TXN-202608-018802</t>
  </si>
  <si>
    <t xml:space="preserve">AC-VB-0401</t>
  </si>
  <si>
    <t xml:space="preserve">TXN-202608-018865</t>
  </si>
  <si>
    <t xml:space="preserve">AC-VB-0402</t>
  </si>
  <si>
    <t xml:space="preserve">TXN-202608-018940</t>
  </si>
  <si>
    <t xml:space="preserve">AC-VB-0403</t>
  </si>
  <si>
    <t xml:space="preserve">TXN-202608-018983</t>
  </si>
  <si>
    <t xml:space="preserve">AC-VB-0405</t>
  </si>
  <si>
    <t xml:space="preserve">TXN-202608-019062</t>
  </si>
  <si>
    <t xml:space="preserve">AC-VB-0406</t>
  </si>
  <si>
    <t xml:space="preserve">TXN-202608-019137</t>
  </si>
  <si>
    <t xml:space="preserve">AC-VB-0407</t>
  </si>
  <si>
    <t xml:space="preserve">TXN-202608-019207</t>
  </si>
  <si>
    <t xml:space="preserve">AC-VB-0408</t>
  </si>
  <si>
    <t xml:space="preserve">TXN-202608-019276</t>
  </si>
  <si>
    <t xml:space="preserve">AC-VB-0409</t>
  </si>
  <si>
    <t xml:space="preserve">TXN-202608-019357</t>
  </si>
  <si>
    <t xml:space="preserve">AC-VB-0410</t>
  </si>
  <si>
    <t xml:space="preserve">TXN-202608-019425</t>
  </si>
  <si>
    <t xml:space="preserve">AC-VB-0411</t>
  </si>
  <si>
    <t xml:space="preserve">TXN-202608-019500</t>
  </si>
  <si>
    <t xml:space="preserve">AC-VB-0412</t>
  </si>
  <si>
    <t xml:space="preserve">TXN-202608-019561</t>
  </si>
  <si>
    <t xml:space="preserve">AC-VB-0413</t>
  </si>
  <si>
    <t xml:space="preserve">TXN-202608-019598</t>
  </si>
  <si>
    <t xml:space="preserve">AC-VB-0414</t>
  </si>
  <si>
    <t xml:space="preserve">TXN-202608-019663</t>
  </si>
  <si>
    <t xml:space="preserve">AC-VB-0415</t>
  </si>
  <si>
    <t xml:space="preserve">TXN-202608-019720</t>
  </si>
  <si>
    <t xml:space="preserve">AC-VB-0416</t>
  </si>
  <si>
    <t xml:space="preserve">TXN-202608-019788</t>
  </si>
  <si>
    <t xml:space="preserve">AC-VB-0417</t>
  </si>
  <si>
    <t xml:space="preserve">TXN-202608-019868</t>
  </si>
  <si>
    <t xml:space="preserve">AC-VB-0418</t>
  </si>
  <si>
    <t xml:space="preserve">TXN-202608-019949</t>
  </si>
  <si>
    <t xml:space="preserve">AC-VB-0419</t>
  </si>
  <si>
    <t xml:space="preserve">TXN-202608-020031</t>
  </si>
  <si>
    <t xml:space="preserve">AC-VB-0420</t>
  </si>
  <si>
    <t xml:space="preserve">TXN-202608-020087</t>
  </si>
  <si>
    <t xml:space="preserve">AC-VB-0422</t>
  </si>
  <si>
    <t xml:space="preserve">TXN-202608-020126</t>
  </si>
  <si>
    <t xml:space="preserve">AC-VB-0423</t>
  </si>
  <si>
    <t xml:space="preserve">TXN-202608-020181</t>
  </si>
  <si>
    <t xml:space="preserve">AC-VB-0424</t>
  </si>
  <si>
    <t xml:space="preserve">TXN-202608-020253</t>
  </si>
  <si>
    <t xml:space="preserve">AC-VB-0501</t>
  </si>
  <si>
    <t xml:space="preserve">TXN-202608-020310</t>
  </si>
  <si>
    <t xml:space="preserve">AC-VB-0502</t>
  </si>
  <si>
    <t xml:space="preserve">TXN-202608-020377</t>
  </si>
  <si>
    <t xml:space="preserve">AC-VB-0504</t>
  </si>
  <si>
    <t xml:space="preserve">TXN-202608-020417</t>
  </si>
  <si>
    <t xml:space="preserve">AC-VB-0505</t>
  </si>
  <si>
    <t xml:space="preserve">TXN-202608-020480</t>
  </si>
  <si>
    <t xml:space="preserve">AC-VB-0506</t>
  </si>
  <si>
    <t xml:space="preserve">TXN-202608-020550</t>
  </si>
  <si>
    <t xml:space="preserve">AC-VB-0507</t>
  </si>
  <si>
    <t xml:space="preserve">TXN-202608-020609</t>
  </si>
  <si>
    <t xml:space="preserve">AC-VB-0508</t>
  </si>
  <si>
    <t xml:space="preserve">TXN-202608-020671</t>
  </si>
  <si>
    <t xml:space="preserve">AC-VB-0509</t>
  </si>
  <si>
    <t xml:space="preserve">TXN-202608-020741</t>
  </si>
  <si>
    <t xml:space="preserve">AC-VB-0510</t>
  </si>
  <si>
    <t xml:space="preserve">TXN-202608-020819</t>
  </si>
  <si>
    <t xml:space="preserve">AC-VB-0511</t>
  </si>
  <si>
    <t xml:space="preserve">TXN-202608-020854</t>
  </si>
  <si>
    <t xml:space="preserve">AC-VB-0512</t>
  </si>
  <si>
    <t xml:space="preserve">TXN-202608-020904</t>
  </si>
  <si>
    <t xml:space="preserve">AC-VB-0513</t>
  </si>
  <si>
    <t xml:space="preserve">TXN-202608-020943</t>
  </si>
  <si>
    <t xml:space="preserve">AC-VB-0514</t>
  </si>
  <si>
    <t xml:space="preserve">TXN-202608-021014</t>
  </si>
  <si>
    <t xml:space="preserve">AC-VB-0515</t>
  </si>
  <si>
    <t xml:space="preserve">TXN-202608-021057</t>
  </si>
  <si>
    <t xml:space="preserve">AC-VB-0517</t>
  </si>
  <si>
    <t xml:space="preserve">TXN-202608-021124</t>
  </si>
  <si>
    <t xml:space="preserve">AC-VB-0518</t>
  </si>
  <si>
    <t xml:space="preserve">TXN-202608-021195</t>
  </si>
  <si>
    <t xml:space="preserve">AC-VB-0519</t>
  </si>
  <si>
    <t xml:space="preserve">TXN-202608-021264</t>
  </si>
  <si>
    <t xml:space="preserve">AC-VB-0520</t>
  </si>
  <si>
    <t xml:space="preserve">TXN-202608-021330</t>
  </si>
  <si>
    <t xml:space="preserve">AC-VB-0521</t>
  </si>
  <si>
    <t xml:space="preserve">TXN-202608-021373</t>
  </si>
  <si>
    <t xml:space="preserve">AC-VB-0522</t>
  </si>
  <si>
    <t xml:space="preserve">TXN-202608-021442</t>
  </si>
  <si>
    <t xml:space="preserve">AC-VB-0523</t>
  </si>
  <si>
    <t xml:space="preserve">TXN-202608-021527</t>
  </si>
  <si>
    <t xml:space="preserve">AC-VB-0524</t>
  </si>
  <si>
    <t xml:space="preserve">TXN-202608-021568</t>
  </si>
  <si>
    <t xml:space="preserve">AC-VB-0601</t>
  </si>
  <si>
    <t xml:space="preserve">TXN-202608-021618</t>
  </si>
  <si>
    <t xml:space="preserve">AC-VB-0602</t>
  </si>
  <si>
    <t xml:space="preserve">TXN-202608-021670</t>
  </si>
  <si>
    <t xml:space="preserve">AC-VB-0603</t>
  </si>
  <si>
    <t xml:space="preserve">TXN-202608-021707</t>
  </si>
  <si>
    <t xml:space="preserve">AC-VB-0604</t>
  </si>
  <si>
    <t xml:space="preserve">TXN-202608-021751</t>
  </si>
  <si>
    <t xml:space="preserve">AC-VB-0605</t>
  </si>
  <si>
    <t xml:space="preserve">TXN-202608-021833</t>
  </si>
  <si>
    <t xml:space="preserve">AC-VB-0606</t>
  </si>
  <si>
    <t xml:space="preserve">TXN-202608-021913</t>
  </si>
  <si>
    <t xml:space="preserve">AC-VB-0607</t>
  </si>
  <si>
    <t xml:space="preserve">TXN-202608-021980</t>
  </si>
  <si>
    <t xml:space="preserve">AC-VB-0609</t>
  </si>
  <si>
    <t xml:space="preserve">TXN-202608-022062</t>
  </si>
  <si>
    <t xml:space="preserve">AC-VB-0610</t>
  </si>
  <si>
    <t xml:space="preserve">TXN-202608-022115</t>
  </si>
  <si>
    <t xml:space="preserve">AC-VB-0611</t>
  </si>
  <si>
    <t xml:space="preserve">TXN-202608-022168</t>
  </si>
  <si>
    <t xml:space="preserve">AC-VB-0612</t>
  </si>
  <si>
    <t xml:space="preserve">TXN-202608-022231</t>
  </si>
  <si>
    <t xml:space="preserve">AC-VB-0613</t>
  </si>
  <si>
    <t xml:space="preserve">TXN-202608-022302</t>
  </si>
  <si>
    <t xml:space="preserve">AC-VB-0614</t>
  </si>
  <si>
    <t xml:space="preserve">TXN-202608-022352</t>
  </si>
  <si>
    <t xml:space="preserve">AC-VB-0615</t>
  </si>
  <si>
    <t xml:space="preserve">TXN-202608-022429</t>
  </si>
  <si>
    <t xml:space="preserve">AC-VB-0616</t>
  </si>
  <si>
    <t xml:space="preserve">TXN-202608-022511</t>
  </si>
  <si>
    <t xml:space="preserve">AC-VB-0617</t>
  </si>
  <si>
    <t xml:space="preserve">TXN-202608-022571</t>
  </si>
  <si>
    <t xml:space="preserve">AC-VB-0618</t>
  </si>
  <si>
    <t xml:space="preserve">TXN-202608-022636</t>
  </si>
  <si>
    <t xml:space="preserve">AC-VB-0619</t>
  </si>
  <si>
    <t xml:space="preserve">TXN-202608-022704</t>
  </si>
  <si>
    <t xml:space="preserve">AC-VB-0620</t>
  </si>
  <si>
    <t xml:space="preserve">TXN-202608-022757</t>
  </si>
  <si>
    <t xml:space="preserve">AC-VB-0621</t>
  </si>
  <si>
    <t xml:space="preserve">TXN-202608-022809</t>
  </si>
  <si>
    <t xml:space="preserve">AC-VB-0622</t>
  </si>
  <si>
    <t xml:space="preserve">TXN-202608-022846</t>
  </si>
  <si>
    <t xml:space="preserve">AC-VB-0623</t>
  </si>
  <si>
    <t xml:space="preserve">TXN-202608-022928</t>
  </si>
  <si>
    <t xml:space="preserve">AC-VB-0624</t>
  </si>
  <si>
    <t xml:space="preserve">TXN-202608-022993</t>
  </si>
  <si>
    <t xml:space="preserve">AC-VB-0701</t>
  </si>
  <si>
    <t xml:space="preserve">TXN-202608-023071</t>
  </si>
  <si>
    <t xml:space="preserve">AC-VB-0703</t>
  </si>
  <si>
    <t xml:space="preserve">TXN-202608-023148</t>
  </si>
  <si>
    <t xml:space="preserve">AC-VB-0704</t>
  </si>
  <si>
    <t xml:space="preserve">TXN-202608-023204</t>
  </si>
  <si>
    <t xml:space="preserve">AC-VB-0705</t>
  </si>
  <si>
    <t xml:space="preserve">TXN-202608-023276</t>
  </si>
  <si>
    <t xml:space="preserve">AC-VB-0706</t>
  </si>
  <si>
    <t xml:space="preserve">TXN-202608-023322</t>
  </si>
  <si>
    <t xml:space="preserve">AC-VB-0707</t>
  </si>
  <si>
    <t xml:space="preserve">TXN-202608-023395</t>
  </si>
  <si>
    <t xml:space="preserve">AC-VB-0708</t>
  </si>
  <si>
    <t xml:space="preserve">TXN-202608-023466</t>
  </si>
  <si>
    <t xml:space="preserve">AC-VB-0709</t>
  </si>
  <si>
    <t xml:space="preserve">TXN-202608-023520</t>
  </si>
  <si>
    <t xml:space="preserve">AC-VB-0710</t>
  </si>
  <si>
    <t xml:space="preserve">TXN-202608-023563</t>
  </si>
  <si>
    <t xml:space="preserve">AC-VB-0711</t>
  </si>
  <si>
    <t xml:space="preserve">TXN-202608-023629</t>
  </si>
  <si>
    <t xml:space="preserve">AC-VB-0712</t>
  </si>
  <si>
    <t xml:space="preserve">TXN-202608-023683</t>
  </si>
  <si>
    <t xml:space="preserve">AC-VB-0713</t>
  </si>
  <si>
    <t xml:space="preserve">TXN-202608-023748</t>
  </si>
  <si>
    <t xml:space="preserve">AC-VB-0714</t>
  </si>
  <si>
    <t xml:space="preserve">TXN-202608-023824</t>
  </si>
  <si>
    <t xml:space="preserve">AC-VB-0715</t>
  </si>
  <si>
    <t xml:space="preserve">TXN-202608-023899</t>
  </si>
  <si>
    <t xml:space="preserve">AC-VB-0716</t>
  </si>
  <si>
    <t xml:space="preserve">TXN-202608-023969</t>
  </si>
  <si>
    <t xml:space="preserve">AC-VB-0717</t>
  </si>
  <si>
    <t xml:space="preserve">TXN-202608-024052</t>
  </si>
  <si>
    <t xml:space="preserve">AC-VB-0718</t>
  </si>
  <si>
    <t xml:space="preserve">TXN-202608-024133</t>
  </si>
  <si>
    <t xml:space="preserve">AC-VB-0719</t>
  </si>
  <si>
    <t xml:space="preserve">TXN-202608-024196</t>
  </si>
  <si>
    <t xml:space="preserve">AC-VB-0720</t>
  </si>
  <si>
    <t xml:space="preserve">TXN-202608-024248</t>
  </si>
  <si>
    <t xml:space="preserve">AC-VB-0721</t>
  </si>
  <si>
    <t xml:space="preserve">TXN-202608-024314</t>
  </si>
  <si>
    <t xml:space="preserve">AC-VB-0722</t>
  </si>
  <si>
    <t xml:space="preserve">TXN-202608-024390</t>
  </si>
  <si>
    <t xml:space="preserve">AC-VB-0723</t>
  </si>
  <si>
    <t xml:space="preserve">TXN-202608-024453</t>
  </si>
  <si>
    <t xml:space="preserve">AC-VB-0724</t>
  </si>
  <si>
    <t xml:space="preserve">TXN-202608-024528</t>
  </si>
  <si>
    <t xml:space="preserve">AC-VB-0801</t>
  </si>
  <si>
    <t xml:space="preserve">TXN-202608-024575</t>
  </si>
  <si>
    <t xml:space="preserve">AC-VB-0802</t>
  </si>
  <si>
    <t xml:space="preserve">TXN-202608-024658</t>
  </si>
  <si>
    <t xml:space="preserve">AC-VB-0803</t>
  </si>
  <si>
    <t xml:space="preserve">TXN-202608-024724</t>
  </si>
  <si>
    <t xml:space="preserve">AC-VB-0804</t>
  </si>
  <si>
    <t xml:space="preserve">TXN-202608-024764</t>
  </si>
  <si>
    <t xml:space="preserve">AC-VB-0805</t>
  </si>
  <si>
    <t xml:space="preserve">TXN-202608-024806</t>
  </si>
  <si>
    <t xml:space="preserve">AC-VB-0806</t>
  </si>
  <si>
    <t xml:space="preserve">TXN-202608-024843</t>
  </si>
  <si>
    <t xml:space="preserve">AC-VB-0807</t>
  </si>
  <si>
    <t xml:space="preserve">TXN-202608-024925</t>
  </si>
  <si>
    <t xml:space="preserve">AC-VB-0808</t>
  </si>
  <si>
    <t xml:space="preserve">TXN-202608-024985</t>
  </si>
  <si>
    <t xml:space="preserve">AC-VB-0810</t>
  </si>
  <si>
    <t xml:space="preserve">TXN-202608-025051</t>
  </si>
  <si>
    <t xml:space="preserve">AC-VB-0811</t>
  </si>
  <si>
    <t xml:space="preserve">TXN-202608-025106</t>
  </si>
  <si>
    <t xml:space="preserve">AC-VB-0812</t>
  </si>
  <si>
    <t xml:space="preserve">TXN-202608-025180</t>
  </si>
  <si>
    <t xml:space="preserve">AC-VB-0813</t>
  </si>
  <si>
    <t xml:space="preserve">TXN-202608-025221</t>
  </si>
  <si>
    <t xml:space="preserve">AC-VB-0814</t>
  </si>
  <si>
    <t xml:space="preserve">TXN-202608-025274</t>
  </si>
  <si>
    <t xml:space="preserve">AC-VB-0815</t>
  </si>
  <si>
    <t xml:space="preserve">TXN-202608-025342</t>
  </si>
  <si>
    <t xml:space="preserve">AC-VB-0816</t>
  </si>
  <si>
    <t xml:space="preserve">TXN-202608-025421</t>
  </si>
  <si>
    <t xml:space="preserve">AC-VB-0817</t>
  </si>
  <si>
    <t xml:space="preserve">TXN-202608-025469</t>
  </si>
  <si>
    <t xml:space="preserve">AC-VB-0818</t>
  </si>
  <si>
    <t xml:space="preserve">TXN-202608-025515</t>
  </si>
  <si>
    <t xml:space="preserve">AC-VB-0819</t>
  </si>
  <si>
    <t xml:space="preserve">TXN-202608-025599</t>
  </si>
  <si>
    <t xml:space="preserve">AC-VB-0820</t>
  </si>
  <si>
    <t xml:space="preserve">TXN-202608-025654</t>
  </si>
  <si>
    <t xml:space="preserve">AC-VB-0821</t>
  </si>
  <si>
    <t xml:space="preserve">TXN-202608-025726</t>
  </si>
  <si>
    <t xml:space="preserve">AC-VB-0822</t>
  </si>
  <si>
    <t xml:space="preserve">TXN-202608-025778</t>
  </si>
  <si>
    <t xml:space="preserve">AC-VB-0823</t>
  </si>
  <si>
    <t xml:space="preserve">TXN-202608-025851</t>
  </si>
  <si>
    <t xml:space="preserve">AC-VB-0901</t>
  </si>
  <si>
    <t xml:space="preserve">TXN-202608-025912</t>
  </si>
  <si>
    <t xml:space="preserve">AC-VB-0902</t>
  </si>
  <si>
    <t xml:space="preserve">TXN-202608-025972</t>
  </si>
  <si>
    <t xml:space="preserve">AC-VB-0903</t>
  </si>
  <si>
    <t xml:space="preserve">TXN-202608-026052</t>
  </si>
  <si>
    <t xml:space="preserve">AC-VB-0904</t>
  </si>
  <si>
    <t xml:space="preserve">TXN-202608-026105</t>
  </si>
  <si>
    <t xml:space="preserve">AC-VB-0905</t>
  </si>
  <si>
    <t xml:space="preserve">TXN-202608-026174</t>
  </si>
  <si>
    <t xml:space="preserve">AC-VB-0906</t>
  </si>
  <si>
    <t xml:space="preserve">TXN-202608-026249</t>
  </si>
  <si>
    <t xml:space="preserve">AC-VB-0907</t>
  </si>
  <si>
    <t xml:space="preserve">TXN-202608-026315</t>
  </si>
  <si>
    <t xml:space="preserve">AC-VB-0908</t>
  </si>
  <si>
    <t xml:space="preserve">TXN-202608-026383</t>
  </si>
  <si>
    <t xml:space="preserve">AC-VB-0909</t>
  </si>
  <si>
    <t xml:space="preserve">TXN-202608-026438</t>
  </si>
  <si>
    <t xml:space="preserve">AC-VB-0910</t>
  </si>
  <si>
    <t xml:space="preserve">TXN-202608-026488</t>
  </si>
  <si>
    <t xml:space="preserve">AC-VB-0911</t>
  </si>
  <si>
    <t xml:space="preserve">TXN-202608-026527</t>
  </si>
  <si>
    <t xml:space="preserve">AC-VB-0912</t>
  </si>
  <si>
    <t xml:space="preserve">TXN-202608-026582</t>
  </si>
  <si>
    <t xml:space="preserve">AC-VB-0913</t>
  </si>
  <si>
    <t xml:space="preserve">TXN-202608-026661</t>
  </si>
  <si>
    <t xml:space="preserve">AC-VB-0914</t>
  </si>
  <si>
    <t xml:space="preserve">TXN-202608-026739</t>
  </si>
  <si>
    <t xml:space="preserve">AC-VB-0915</t>
  </si>
  <si>
    <t xml:space="preserve">TXN-202608-026792</t>
  </si>
  <si>
    <t xml:space="preserve">AC-VB-0916</t>
  </si>
  <si>
    <t xml:space="preserve">TXN-202608-026843</t>
  </si>
  <si>
    <t xml:space="preserve">AC-VB-0917</t>
  </si>
  <si>
    <t xml:space="preserve">TXN-202608-026923</t>
  </si>
  <si>
    <t xml:space="preserve">AC-VB-0918</t>
  </si>
  <si>
    <t xml:space="preserve">TXN-202608-026985</t>
  </si>
  <si>
    <t xml:space="preserve">AC-VB-0919</t>
  </si>
  <si>
    <t xml:space="preserve">TXN-202608-027025</t>
  </si>
  <si>
    <t xml:space="preserve">AC-VB-0920</t>
  </si>
  <si>
    <t xml:space="preserve">TXN-202608-027066</t>
  </si>
  <si>
    <t xml:space="preserve">AC-VB-0921</t>
  </si>
  <si>
    <t xml:space="preserve">TXN-202608-027119</t>
  </si>
  <si>
    <t xml:space="preserve">AC-VB-0923</t>
  </si>
  <si>
    <t xml:space="preserve">TXN-202608-027201</t>
  </si>
  <si>
    <t xml:space="preserve">AC-VB-0924</t>
  </si>
  <si>
    <t xml:space="preserve">TXN-202608-027264</t>
  </si>
  <si>
    <t xml:space="preserve">AC-VB-1001</t>
  </si>
  <si>
    <t xml:space="preserve">TXN-202608-027309</t>
  </si>
  <si>
    <t xml:space="preserve">AC-VB-1002</t>
  </si>
  <si>
    <t xml:space="preserve">TXN-202608-027352</t>
  </si>
  <si>
    <t xml:space="preserve">AC-VB-1004</t>
  </si>
  <si>
    <t xml:space="preserve">TXN-202608-027398</t>
  </si>
  <si>
    <t xml:space="preserve">AC-VB-1005</t>
  </si>
  <si>
    <t xml:space="preserve">TXN-202608-027475</t>
  </si>
  <si>
    <t xml:space="preserve">AC-VB-1006</t>
  </si>
  <si>
    <t xml:space="preserve">TXN-202608-027529</t>
  </si>
  <si>
    <t xml:space="preserve">AC-VB-1007</t>
  </si>
  <si>
    <t xml:space="preserve">TXN-202608-027580</t>
  </si>
  <si>
    <t xml:space="preserve">AC-VB-1008</t>
  </si>
  <si>
    <t xml:space="preserve">TXN-202608-027652</t>
  </si>
  <si>
    <t xml:space="preserve">AC-VB-1009</t>
  </si>
  <si>
    <t xml:space="preserve">TXN-202608-027738</t>
  </si>
  <si>
    <t xml:space="preserve">AC-VB-1010</t>
  </si>
  <si>
    <t xml:space="preserve">TXN-202608-027776</t>
  </si>
  <si>
    <t xml:space="preserve">AC-VB-1011</t>
  </si>
  <si>
    <t xml:space="preserve">TXN-202608-027841</t>
  </si>
  <si>
    <t xml:space="preserve">AC-VB-1012</t>
  </si>
  <si>
    <t xml:space="preserve">TXN-202608-027911</t>
  </si>
  <si>
    <t xml:space="preserve">AC-VB-1013</t>
  </si>
  <si>
    <t xml:space="preserve">TXN-202608-027988</t>
  </si>
  <si>
    <t xml:space="preserve">AC-VB-1014</t>
  </si>
  <si>
    <t xml:space="preserve">TXN-202608-028037</t>
  </si>
  <si>
    <t xml:space="preserve">AC-VB-1015</t>
  </si>
  <si>
    <t xml:space="preserve">TXN-202608-028112</t>
  </si>
  <si>
    <t xml:space="preserve">AC-VB-1016</t>
  </si>
  <si>
    <t xml:space="preserve">TXN-202608-028162</t>
  </si>
  <si>
    <t xml:space="preserve">AC-VB-1017</t>
  </si>
  <si>
    <t xml:space="preserve">TXN-202608-028239</t>
  </si>
  <si>
    <t xml:space="preserve">AC-VB-1018</t>
  </si>
  <si>
    <t xml:space="preserve">TXN-202608-028294</t>
  </si>
  <si>
    <t xml:space="preserve">AC-VB-1019</t>
  </si>
  <si>
    <t xml:space="preserve">TXN-202608-028380</t>
  </si>
  <si>
    <t xml:space="preserve">AC-VB-1020</t>
  </si>
  <si>
    <t xml:space="preserve">TXN-202608-028430</t>
  </si>
  <si>
    <t xml:space="preserve">AC-VB-1021</t>
  </si>
  <si>
    <t xml:space="preserve">TXN-202608-028505</t>
  </si>
  <si>
    <t xml:space="preserve">AC-VB-1022</t>
  </si>
  <si>
    <t xml:space="preserve">TXN-202608-028560</t>
  </si>
  <si>
    <t xml:space="preserve">AC-VB-1023</t>
  </si>
  <si>
    <t xml:space="preserve">TXN-202608-028608</t>
  </si>
  <si>
    <t xml:space="preserve">AC-VB-1024</t>
  </si>
  <si>
    <t xml:space="preserve">TXN-202608-028684</t>
  </si>
  <si>
    <t xml:space="preserve">AC-EW-0101</t>
  </si>
  <si>
    <t xml:space="preserve">TXN-202608-028767</t>
  </si>
  <si>
    <t xml:space="preserve">AC-EW-0102</t>
  </si>
  <si>
    <t xml:space="preserve">TXN-202608-028831</t>
  </si>
  <si>
    <t xml:space="preserve">AC-EW-0103</t>
  </si>
  <si>
    <t xml:space="preserve">TXN-202608-028897</t>
  </si>
  <si>
    <t xml:space="preserve">AC-EW-0105</t>
  </si>
  <si>
    <t xml:space="preserve">TXN-202608-028973</t>
  </si>
  <si>
    <t xml:space="preserve">AC-EW-0106</t>
  </si>
  <si>
    <t xml:space="preserve">TXN-202608-029048</t>
  </si>
  <si>
    <t xml:space="preserve">AC-EW-0107</t>
  </si>
  <si>
    <t xml:space="preserve">TXN-202608-029120</t>
  </si>
  <si>
    <t xml:space="preserve">AC-EW-0108</t>
  </si>
  <si>
    <t xml:space="preserve">TXN-202608-029186</t>
  </si>
  <si>
    <t xml:space="preserve">AC-EW-0109</t>
  </si>
  <si>
    <t xml:space="preserve">TXN-202608-029246</t>
  </si>
  <si>
    <t xml:space="preserve">AC-EW-0110</t>
  </si>
  <si>
    <t xml:space="preserve">TXN-202608-029329</t>
  </si>
  <si>
    <t xml:space="preserve">AC-EW-0111</t>
  </si>
  <si>
    <t xml:space="preserve">TXN-202608-029415</t>
  </si>
  <si>
    <t xml:space="preserve">AC-EW-0112</t>
  </si>
  <si>
    <t xml:space="preserve">TXN-202608-029475</t>
  </si>
  <si>
    <t xml:space="preserve">AC-EW-0113</t>
  </si>
  <si>
    <t xml:space="preserve">TXN-202608-029536</t>
  </si>
  <si>
    <t xml:space="preserve">AC-EW-0114</t>
  </si>
  <si>
    <t xml:space="preserve">TXN-202608-029605</t>
  </si>
  <si>
    <t xml:space="preserve">AC-EW-0115</t>
  </si>
  <si>
    <t xml:space="preserve">TXN-202608-029666</t>
  </si>
  <si>
    <t xml:space="preserve">AC-EW-0116</t>
  </si>
  <si>
    <t xml:space="preserve">TXN-202608-029714</t>
  </si>
  <si>
    <t xml:space="preserve">AC-EW-0118</t>
  </si>
  <si>
    <t xml:space="preserve">TXN-202608-029764</t>
  </si>
  <si>
    <t xml:space="preserve">AC-EW-0119</t>
  </si>
  <si>
    <t xml:space="preserve">TXN-202608-029843</t>
  </si>
  <si>
    <t xml:space="preserve">AC-EW-0120</t>
  </si>
  <si>
    <t xml:space="preserve">TXN-202608-029923</t>
  </si>
  <si>
    <t xml:space="preserve">AC-EW-0121</t>
  </si>
  <si>
    <t xml:space="preserve">TXN-202608-029966</t>
  </si>
  <si>
    <t xml:space="preserve">AC-EW-0122</t>
  </si>
  <si>
    <t xml:space="preserve">TXN-202608-030041</t>
  </si>
  <si>
    <t xml:space="preserve">AC-EW-0123</t>
  </si>
  <si>
    <t xml:space="preserve">TXN-202608-030093</t>
  </si>
  <si>
    <t xml:space="preserve">AC-EW-0124</t>
  </si>
  <si>
    <t xml:space="preserve">TXN-202608-030152</t>
  </si>
  <si>
    <t xml:space="preserve">AC-EW-0201</t>
  </si>
  <si>
    <t xml:space="preserve">TXN-202608-030227</t>
  </si>
  <si>
    <t xml:space="preserve">AC-EW-0202</t>
  </si>
  <si>
    <t xml:space="preserve">TXN-202608-030303</t>
  </si>
  <si>
    <t xml:space="preserve">AC-EW-0203</t>
  </si>
  <si>
    <t xml:space="preserve">TXN-202608-030391</t>
  </si>
  <si>
    <t xml:space="preserve">AC-EW-0204</t>
  </si>
  <si>
    <t xml:space="preserve">TXN-202608-030464</t>
  </si>
  <si>
    <t xml:space="preserve">AC-EW-0206</t>
  </si>
  <si>
    <t xml:space="preserve">TXN-202608-030538</t>
  </si>
  <si>
    <t xml:space="preserve">AC-EW-0207</t>
  </si>
  <si>
    <t xml:space="preserve">TXN-202608-030581</t>
  </si>
  <si>
    <t xml:space="preserve">AC-EW-0208</t>
  </si>
  <si>
    <t xml:space="preserve">TXN-202608-030661</t>
  </si>
  <si>
    <t xml:space="preserve">AC-EW-0209</t>
  </si>
  <si>
    <t xml:space="preserve">TXN-202608-030725</t>
  </si>
  <si>
    <t xml:space="preserve">AC-EW-0210</t>
  </si>
  <si>
    <t xml:space="preserve">TXN-202608-030794</t>
  </si>
  <si>
    <t xml:space="preserve">AC-EW-0211</t>
  </si>
  <si>
    <t xml:space="preserve">TXN-202608-030878</t>
  </si>
  <si>
    <t xml:space="preserve">AC-EW-0212</t>
  </si>
  <si>
    <t xml:space="preserve">TXN-202608-030921</t>
  </si>
  <si>
    <t xml:space="preserve">AC-EW-0214</t>
  </si>
  <si>
    <t xml:space="preserve">TXN-202608-031003</t>
  </si>
  <si>
    <t xml:space="preserve">AC-EW-0215</t>
  </si>
  <si>
    <t xml:space="preserve">TXN-202608-031060</t>
  </si>
  <si>
    <t xml:space="preserve">AC-EW-0216</t>
  </si>
  <si>
    <t xml:space="preserve">TXN-202608-031106</t>
  </si>
  <si>
    <t xml:space="preserve">AC-EW-0217</t>
  </si>
  <si>
    <t xml:space="preserve">TXN-202608-031153</t>
  </si>
  <si>
    <t xml:space="preserve">AC-EW-0218</t>
  </si>
  <si>
    <t xml:space="preserve">TXN-202608-031220</t>
  </si>
  <si>
    <t xml:space="preserve">AC-EW-0219</t>
  </si>
  <si>
    <t xml:space="preserve">TXN-202608-031269</t>
  </si>
  <si>
    <t xml:space="preserve">AC-EW-0220</t>
  </si>
  <si>
    <t xml:space="preserve">TXN-202608-031333</t>
  </si>
  <si>
    <t xml:space="preserve">AC-EW-0221</t>
  </si>
  <si>
    <t xml:space="preserve">TXN-202608-031378</t>
  </si>
  <si>
    <t xml:space="preserve">AC-EW-0222</t>
  </si>
  <si>
    <t xml:space="preserve">TXN-202608-031418</t>
  </si>
  <si>
    <t xml:space="preserve">AC-EW-0223</t>
  </si>
  <si>
    <t xml:space="preserve">TXN-202608-031462</t>
  </si>
  <si>
    <t xml:space="preserve">AC-EW-0224</t>
  </si>
  <si>
    <t xml:space="preserve">TXN-202608-031530</t>
  </si>
  <si>
    <t xml:space="preserve">AC-EW-0302</t>
  </si>
  <si>
    <t xml:space="preserve">TXN-202608-031575</t>
  </si>
  <si>
    <t xml:space="preserve">AC-EW-0303</t>
  </si>
  <si>
    <t xml:space="preserve">TXN-202608-031651</t>
  </si>
  <si>
    <t xml:space="preserve">AC-EW-0304</t>
  </si>
  <si>
    <t xml:space="preserve">TXN-202608-031717</t>
  </si>
  <si>
    <t xml:space="preserve">AC-EW-0305</t>
  </si>
  <si>
    <t xml:space="preserve">TXN-202608-031757</t>
  </si>
  <si>
    <t xml:space="preserve">AC-EW-0306</t>
  </si>
  <si>
    <t xml:space="preserve">TXN-202608-031834</t>
  </si>
  <si>
    <t xml:space="preserve">AC-EW-0307</t>
  </si>
  <si>
    <t xml:space="preserve">TXN-202608-031893</t>
  </si>
  <si>
    <t xml:space="preserve">AC-EW-0308</t>
  </si>
  <si>
    <t xml:space="preserve">TXN-202608-031944</t>
  </si>
  <si>
    <t xml:space="preserve">AC-EW-0309</t>
  </si>
  <si>
    <t xml:space="preserve">TXN-202608-032002</t>
  </si>
  <si>
    <t xml:space="preserve">AC-EW-0311</t>
  </si>
  <si>
    <t xml:space="preserve">TXN-202608-032064</t>
  </si>
  <si>
    <t xml:space="preserve">AC-EW-0312</t>
  </si>
  <si>
    <t xml:space="preserve">TXN-202608-032107</t>
  </si>
  <si>
    <t xml:space="preserve">AC-EW-0313</t>
  </si>
  <si>
    <t xml:space="preserve">TXN-202608-032156</t>
  </si>
  <si>
    <t xml:space="preserve">AC-EW-0314</t>
  </si>
  <si>
    <t xml:space="preserve">TXN-202608-032201</t>
  </si>
  <si>
    <t xml:space="preserve">AC-EW-0315</t>
  </si>
  <si>
    <t xml:space="preserve">TXN-202608-032276</t>
  </si>
  <si>
    <t xml:space="preserve">AC-EW-0316</t>
  </si>
  <si>
    <t xml:space="preserve">TXN-202608-032323</t>
  </si>
  <si>
    <t xml:space="preserve">AC-EW-0317</t>
  </si>
  <si>
    <t xml:space="preserve">TXN-202608-032391</t>
  </si>
  <si>
    <t xml:space="preserve">AC-EW-0318</t>
  </si>
  <si>
    <t xml:space="preserve">TXN-202608-032465</t>
  </si>
  <si>
    <t xml:space="preserve">AC-EW-0319</t>
  </si>
  <si>
    <t xml:space="preserve">TXN-202608-032535</t>
  </si>
  <si>
    <t xml:space="preserve">AC-EW-0321</t>
  </si>
  <si>
    <t xml:space="preserve">TXN-202608-032620</t>
  </si>
  <si>
    <t xml:space="preserve">AC-EW-0322</t>
  </si>
  <si>
    <t xml:space="preserve">TXN-202608-032673</t>
  </si>
  <si>
    <t xml:space="preserve">AC-EW-0323</t>
  </si>
  <si>
    <t xml:space="preserve">TXN-202608-032710</t>
  </si>
  <si>
    <t xml:space="preserve">AC-EW-0324</t>
  </si>
  <si>
    <t xml:space="preserve">TXN-202608-032752</t>
  </si>
  <si>
    <t xml:space="preserve">AC-EW-0401</t>
  </si>
  <si>
    <t xml:space="preserve">TXN-202608-032804</t>
  </si>
  <si>
    <t xml:space="preserve">AC-EW-0402</t>
  </si>
  <si>
    <t xml:space="preserve">TXN-202608-032868</t>
  </si>
  <si>
    <t xml:space="preserve">AC-EW-0403</t>
  </si>
  <si>
    <t xml:space="preserve">TXN-202608-032927</t>
  </si>
  <si>
    <t xml:space="preserve">AC-EW-0404</t>
  </si>
  <si>
    <t xml:space="preserve">TXN-202608-032961</t>
  </si>
  <si>
    <t xml:space="preserve">AC-EW-0405</t>
  </si>
  <si>
    <t xml:space="preserve">TXN-202608-033039</t>
  </si>
  <si>
    <t xml:space="preserve">AC-EW-0406</t>
  </si>
  <si>
    <t xml:space="preserve">TXN-202608-033099</t>
  </si>
  <si>
    <t xml:space="preserve">AC-EW-0407</t>
  </si>
  <si>
    <t xml:space="preserve">TXN-202608-033166</t>
  </si>
  <si>
    <t xml:space="preserve">AC-EW-0408</t>
  </si>
  <si>
    <t xml:space="preserve">TXN-202608-033249</t>
  </si>
  <si>
    <t xml:space="preserve">AC-EW-0409</t>
  </si>
  <si>
    <t xml:space="preserve">TXN-202608-033291</t>
  </si>
  <si>
    <t xml:space="preserve">AC-EW-0410</t>
  </si>
  <si>
    <t xml:space="preserve">TXN-202608-033364</t>
  </si>
  <si>
    <t xml:space="preserve">AC-EW-0411</t>
  </si>
  <si>
    <t xml:space="preserve">TXN-202608-033423</t>
  </si>
  <si>
    <t xml:space="preserve">AC-EW-0412</t>
  </si>
  <si>
    <t xml:space="preserve">TXN-202608-033480</t>
  </si>
  <si>
    <t xml:space="preserve">AC-EW-0413</t>
  </si>
  <si>
    <t xml:space="preserve">TXN-202608-033549</t>
  </si>
  <si>
    <t xml:space="preserve">AC-EW-0414</t>
  </si>
  <si>
    <t xml:space="preserve">TXN-202608-033601</t>
  </si>
  <si>
    <t xml:space="preserve">AC-EW-0415</t>
  </si>
  <si>
    <t xml:space="preserve">TXN-202608-033637</t>
  </si>
  <si>
    <t xml:space="preserve">AC-EW-0416</t>
  </si>
  <si>
    <t xml:space="preserve">TXN-202608-033694</t>
  </si>
  <si>
    <t xml:space="preserve">AC-EW-0417</t>
  </si>
  <si>
    <t xml:space="preserve">TXN-202608-033739</t>
  </si>
  <si>
    <t xml:space="preserve">AC-EW-0418</t>
  </si>
  <si>
    <t xml:space="preserve">TXN-202608-033803</t>
  </si>
  <si>
    <t xml:space="preserve">AC-EW-0419</t>
  </si>
  <si>
    <t xml:space="preserve">TXN-202608-033845</t>
  </si>
  <si>
    <t xml:space="preserve">AC-EW-0420</t>
  </si>
  <si>
    <t xml:space="preserve">TXN-202608-033895</t>
  </si>
  <si>
    <t xml:space="preserve">AC-EW-0421</t>
  </si>
  <si>
    <t xml:space="preserve">TXN-202608-033944</t>
  </si>
  <si>
    <t xml:space="preserve">AC-EW-0423</t>
  </si>
  <si>
    <t xml:space="preserve">TXN-202608-034023</t>
  </si>
  <si>
    <t xml:space="preserve">AC-EW-0424</t>
  </si>
  <si>
    <t xml:space="preserve">TXN-202608-034088</t>
  </si>
  <si>
    <t xml:space="preserve">AC-EW-0502</t>
  </si>
  <si>
    <t xml:space="preserve">TXN-202608-034166</t>
  </si>
  <si>
    <t xml:space="preserve">AC-EW-0503</t>
  </si>
  <si>
    <t xml:space="preserve">TXN-202608-034246</t>
  </si>
  <si>
    <t xml:space="preserve">AC-EW-0504</t>
  </si>
  <si>
    <t xml:space="preserve">TXN-202608-034302</t>
  </si>
  <si>
    <t xml:space="preserve">AC-EW-0505</t>
  </si>
  <si>
    <t xml:space="preserve">TXN-202608-034374</t>
  </si>
  <si>
    <t xml:space="preserve">AC-EW-0506</t>
  </si>
  <si>
    <t xml:space="preserve">TXN-202608-034456</t>
  </si>
  <si>
    <t xml:space="preserve">AC-EW-0507</t>
  </si>
  <si>
    <t xml:space="preserve">TXN-202608-034510</t>
  </si>
  <si>
    <t xml:space="preserve">AC-EW-0508</t>
  </si>
  <si>
    <t xml:space="preserve">TXN-202608-034564</t>
  </si>
  <si>
    <t xml:space="preserve">AC-EW-0510</t>
  </si>
  <si>
    <t xml:space="preserve">TXN-202608-034626</t>
  </si>
  <si>
    <t xml:space="preserve">AC-EW-0511</t>
  </si>
  <si>
    <t xml:space="preserve">TXN-202608-034706</t>
  </si>
  <si>
    <t xml:space="preserve">AC-EW-0512</t>
  </si>
  <si>
    <t xml:space="preserve">TXN-202608-034781</t>
  </si>
  <si>
    <t xml:space="preserve">AC-EW-0513</t>
  </si>
  <si>
    <t xml:space="preserve">TXN-202608-034854</t>
  </si>
  <si>
    <t xml:space="preserve">AC-EW-0514</t>
  </si>
  <si>
    <t xml:space="preserve">TXN-202608-034902</t>
  </si>
  <si>
    <t xml:space="preserve">AC-EW-0515</t>
  </si>
  <si>
    <t xml:space="preserve">TXN-202608-034962</t>
  </si>
  <si>
    <t xml:space="preserve">AC-EW-0516</t>
  </si>
  <si>
    <t xml:space="preserve">TXN-202608-035020</t>
  </si>
  <si>
    <t xml:space="preserve">AC-EW-0517</t>
  </si>
  <si>
    <t xml:space="preserve">TXN-202608-035100</t>
  </si>
  <si>
    <t xml:space="preserve">AC-EW-0518</t>
  </si>
  <si>
    <t xml:space="preserve">TXN-202608-035177</t>
  </si>
  <si>
    <t xml:space="preserve">AC-EW-0519</t>
  </si>
  <si>
    <t xml:space="preserve">TXN-202608-035252</t>
  </si>
  <si>
    <t xml:space="preserve">AC-EW-0520</t>
  </si>
  <si>
    <t xml:space="preserve">TXN-202608-035294</t>
  </si>
  <si>
    <t xml:space="preserve">AC-EW-0521</t>
  </si>
  <si>
    <t xml:space="preserve">TXN-202608-035348</t>
  </si>
  <si>
    <t xml:space="preserve">AC-EW-0522</t>
  </si>
  <si>
    <t xml:space="preserve">TXN-202608-035427</t>
  </si>
  <si>
    <t xml:space="preserve">AC-EW-0523</t>
  </si>
  <si>
    <t xml:space="preserve">TXN-202608-035479</t>
  </si>
  <si>
    <t xml:space="preserve">AC-EW-0524</t>
  </si>
  <si>
    <t xml:space="preserve">TXN-202608-035548</t>
  </si>
  <si>
    <t xml:space="preserve">AC-EW-0601</t>
  </si>
  <si>
    <t xml:space="preserve">TXN-202608-035607</t>
  </si>
  <si>
    <t xml:space="preserve">AC-EW-0602</t>
  </si>
  <si>
    <t xml:space="preserve">TXN-202608-035683</t>
  </si>
  <si>
    <t xml:space="preserve">AC-EW-0603</t>
  </si>
  <si>
    <t xml:space="preserve">TXN-202608-035744</t>
  </si>
  <si>
    <t xml:space="preserve">AC-EW-0604</t>
  </si>
  <si>
    <t xml:space="preserve">TXN-202608-035801</t>
  </si>
  <si>
    <t xml:space="preserve">AC-EW-0605</t>
  </si>
  <si>
    <t xml:space="preserve">TXN-202608-035855</t>
  </si>
  <si>
    <t xml:space="preserve">AC-EW-0606</t>
  </si>
  <si>
    <t xml:space="preserve">TXN-202608-035922</t>
  </si>
  <si>
    <t xml:space="preserve">AC-EW-0607</t>
  </si>
  <si>
    <t xml:space="preserve">TXN-202608-035975</t>
  </si>
  <si>
    <t xml:space="preserve">AC-EW-0608</t>
  </si>
  <si>
    <t xml:space="preserve">TXN-202608-036025</t>
  </si>
  <si>
    <t xml:space="preserve">AC-EW-0609</t>
  </si>
  <si>
    <t xml:space="preserve">TXN-202608-036068</t>
  </si>
  <si>
    <t xml:space="preserve">AC-EW-0610</t>
  </si>
  <si>
    <t xml:space="preserve">TXN-202608-036133</t>
  </si>
  <si>
    <t xml:space="preserve">AC-EW-0611</t>
  </si>
  <si>
    <t xml:space="preserve">TXN-202608-036213</t>
  </si>
  <si>
    <t xml:space="preserve">AC-EW-0614</t>
  </si>
  <si>
    <t xml:space="preserve">TXN-202608-036278</t>
  </si>
  <si>
    <t xml:space="preserve">AC-EW-0615</t>
  </si>
  <si>
    <t xml:space="preserve">TXN-202608-036337</t>
  </si>
  <si>
    <t xml:space="preserve">AC-EW-0616</t>
  </si>
  <si>
    <t xml:space="preserve">TXN-202608-036380</t>
  </si>
  <si>
    <t xml:space="preserve">AC-EW-0617</t>
  </si>
  <si>
    <t xml:space="preserve">TXN-202608-036459</t>
  </si>
  <si>
    <t xml:space="preserve">AC-EW-0618</t>
  </si>
  <si>
    <t xml:space="preserve">TXN-202608-036536</t>
  </si>
  <si>
    <t xml:space="preserve">AC-EW-0621</t>
  </si>
  <si>
    <t xml:space="preserve">TXN-202608-036609</t>
  </si>
  <si>
    <t xml:space="preserve">AC-EW-0623</t>
  </si>
  <si>
    <t xml:space="preserve">TXN-202608-036685</t>
  </si>
  <si>
    <t xml:space="preserve">AC-EW-0624</t>
  </si>
  <si>
    <t xml:space="preserve">TXN-202608-036764</t>
  </si>
  <si>
    <t xml:space="preserve">AC-EW-0702</t>
  </si>
  <si>
    <t xml:space="preserve">TXN-202608-036843</t>
  </si>
  <si>
    <t xml:space="preserve">AC-EW-0703</t>
  </si>
  <si>
    <t xml:space="preserve">TXN-202608-036884</t>
  </si>
  <si>
    <t xml:space="preserve">AC-EW-0704</t>
  </si>
  <si>
    <t xml:space="preserve">TXN-202608-036964</t>
  </si>
  <si>
    <t xml:space="preserve">AC-EW-0705</t>
  </si>
  <si>
    <t xml:space="preserve">TXN-202608-037037</t>
  </si>
  <si>
    <t xml:space="preserve">AC-EW-0706</t>
  </si>
  <si>
    <t xml:space="preserve">TXN-202608-037112</t>
  </si>
  <si>
    <t xml:space="preserve">AC-EW-0708</t>
  </si>
  <si>
    <t xml:space="preserve">TXN-202608-037172</t>
  </si>
  <si>
    <t xml:space="preserve">AC-EW-0709</t>
  </si>
  <si>
    <t xml:space="preserve">TXN-202608-037237</t>
  </si>
  <si>
    <t xml:space="preserve">AC-EW-0710</t>
  </si>
  <si>
    <t xml:space="preserve">TXN-202608-037291</t>
  </si>
  <si>
    <t xml:space="preserve">AC-EW-0712</t>
  </si>
  <si>
    <t xml:space="preserve">TXN-202608-037347</t>
  </si>
  <si>
    <t xml:space="preserve">AC-EW-0713</t>
  </si>
  <si>
    <t xml:space="preserve">TXN-202608-037390</t>
  </si>
  <si>
    <t xml:space="preserve">AC-EW-0714</t>
  </si>
  <si>
    <t xml:space="preserve">TXN-202608-037453</t>
  </si>
  <si>
    <t xml:space="preserve">AC-EW-0715</t>
  </si>
  <si>
    <t xml:space="preserve">TXN-202608-037528</t>
  </si>
  <si>
    <t xml:space="preserve">AC-EW-0716</t>
  </si>
  <si>
    <t xml:space="preserve">TXN-202608-037606</t>
  </si>
  <si>
    <t xml:space="preserve">AC-EW-0717</t>
  </si>
  <si>
    <t xml:space="preserve">TXN-202608-037669</t>
  </si>
  <si>
    <t xml:space="preserve">AC-EW-0718</t>
  </si>
  <si>
    <t xml:space="preserve">TXN-202608-037737</t>
  </si>
  <si>
    <t xml:space="preserve">AC-EW-0719</t>
  </si>
  <si>
    <t xml:space="preserve">TXN-202608-037807</t>
  </si>
  <si>
    <t xml:space="preserve">AC-EW-0720</t>
  </si>
  <si>
    <t xml:space="preserve">TXN-202608-037851</t>
  </si>
  <si>
    <t xml:space="preserve">AC-EW-0721</t>
  </si>
  <si>
    <t xml:space="preserve">TXN-202608-037899</t>
  </si>
  <si>
    <t xml:space="preserve">AC-EW-0722</t>
  </si>
  <si>
    <t xml:space="preserve">TXN-202608-037947</t>
  </si>
  <si>
    <t xml:space="preserve">AC-EW-0723</t>
  </si>
  <si>
    <t xml:space="preserve">TXN-202608-037996</t>
  </si>
  <si>
    <t xml:space="preserve">AC-EW-0724</t>
  </si>
  <si>
    <t xml:space="preserve">TXN-202608-038044</t>
  </si>
  <si>
    <t xml:space="preserve">AC-EW-0801</t>
  </si>
  <si>
    <t xml:space="preserve">TXN-202608-038091</t>
  </si>
  <si>
    <t xml:space="preserve">AC-EW-0802</t>
  </si>
  <si>
    <t xml:space="preserve">TXN-202608-038169</t>
  </si>
  <si>
    <t xml:space="preserve">AC-EW-0803</t>
  </si>
  <si>
    <t xml:space="preserve">TXN-202608-038218</t>
  </si>
  <si>
    <t xml:space="preserve">AC-EW-0804</t>
  </si>
  <si>
    <t xml:space="preserve">TXN-202608-038270</t>
  </si>
  <si>
    <t xml:space="preserve">AC-EW-0805</t>
  </si>
  <si>
    <t xml:space="preserve">TXN-202608-038334</t>
  </si>
  <si>
    <t xml:space="preserve">AC-EW-0806</t>
  </si>
  <si>
    <t xml:space="preserve">TXN-202608-038400</t>
  </si>
  <si>
    <t xml:space="preserve">AC-EW-0807</t>
  </si>
  <si>
    <t xml:space="preserve">TXN-202608-038461</t>
  </si>
  <si>
    <t xml:space="preserve">AC-EW-0808</t>
  </si>
  <si>
    <t xml:space="preserve">TXN-202608-038502</t>
  </si>
  <si>
    <t xml:space="preserve">AC-EW-0809</t>
  </si>
  <si>
    <t xml:space="preserve">TXN-202608-038553</t>
  </si>
  <si>
    <t xml:space="preserve">AC-EW-0810</t>
  </si>
  <si>
    <t xml:space="preserve">TXN-202608-038602</t>
  </si>
  <si>
    <t xml:space="preserve">AC-EW-0811</t>
  </si>
  <si>
    <t xml:space="preserve">TXN-202608-038662</t>
  </si>
  <si>
    <t xml:space="preserve">AC-EW-0812</t>
  </si>
  <si>
    <t xml:space="preserve">TXN-202608-038736</t>
  </si>
  <si>
    <t xml:space="preserve">AC-EW-0813</t>
  </si>
  <si>
    <t xml:space="preserve">TXN-202608-038794</t>
  </si>
  <si>
    <t xml:space="preserve">AC-EW-0814</t>
  </si>
  <si>
    <t xml:space="preserve">TXN-202608-038845</t>
  </si>
  <si>
    <t xml:space="preserve">AC-EW-0815</t>
  </si>
  <si>
    <t xml:space="preserve">TXN-202608-038883</t>
  </si>
  <si>
    <t xml:space="preserve">AC-EW-0816</t>
  </si>
  <si>
    <t xml:space="preserve">TXN-202608-038934</t>
  </si>
  <si>
    <t xml:space="preserve">AC-EW-0817</t>
  </si>
  <si>
    <t xml:space="preserve">TXN-202608-038975</t>
  </si>
  <si>
    <t xml:space="preserve">AC-EW-0818</t>
  </si>
  <si>
    <t xml:space="preserve">TXN-202608-039033</t>
  </si>
  <si>
    <t xml:space="preserve">AC-EW-0819</t>
  </si>
  <si>
    <t xml:space="preserve">TXN-202608-039079</t>
  </si>
  <si>
    <t xml:space="preserve">AC-EW-0821</t>
  </si>
  <si>
    <t xml:space="preserve">TXN-202608-039122</t>
  </si>
  <si>
    <t xml:space="preserve">AC-EW-0822</t>
  </si>
  <si>
    <t xml:space="preserve">TXN-202608-039181</t>
  </si>
  <si>
    <t xml:space="preserve">AC-EW-0823</t>
  </si>
  <si>
    <t xml:space="preserve">TXN-202608-039223</t>
  </si>
  <si>
    <t xml:space="preserve">AC-EW-0901</t>
  </si>
  <si>
    <t xml:space="preserve">TXN-202608-039298</t>
  </si>
  <si>
    <t xml:space="preserve">AC-EW-0902</t>
  </si>
  <si>
    <t xml:space="preserve">TXN-202608-039369</t>
  </si>
  <si>
    <t xml:space="preserve">AC-EW-0903</t>
  </si>
  <si>
    <t xml:space="preserve">TXN-202608-039411</t>
  </si>
  <si>
    <t xml:space="preserve">AC-EW-0904</t>
  </si>
  <si>
    <t xml:space="preserve">TXN-202608-039463</t>
  </si>
  <si>
    <t xml:space="preserve">AC-EW-0905</t>
  </si>
  <si>
    <t xml:space="preserve">TXN-202608-039511</t>
  </si>
  <si>
    <t xml:space="preserve">AC-EW-0906</t>
  </si>
  <si>
    <t xml:space="preserve">TXN-202608-039579</t>
  </si>
  <si>
    <t xml:space="preserve">AC-EW-0907</t>
  </si>
  <si>
    <t xml:space="preserve">TXN-202608-039634</t>
  </si>
  <si>
    <t xml:space="preserve">AC-EW-0908</t>
  </si>
  <si>
    <t xml:space="preserve">TXN-202608-039702</t>
  </si>
  <si>
    <t xml:space="preserve">AC-EW-0909</t>
  </si>
  <si>
    <t xml:space="preserve">TXN-202608-039753</t>
  </si>
  <si>
    <t xml:space="preserve">AC-EW-0910</t>
  </si>
  <si>
    <t xml:space="preserve">TXN-202608-039834</t>
  </si>
  <si>
    <t xml:space="preserve">AC-EW-0911</t>
  </si>
  <si>
    <t xml:space="preserve">TXN-202608-039907</t>
  </si>
  <si>
    <t xml:space="preserve">AC-EW-0912</t>
  </si>
  <si>
    <t xml:space="preserve">TXN-202608-039972</t>
  </si>
  <si>
    <t xml:space="preserve">AC-EW-0913</t>
  </si>
  <si>
    <t xml:space="preserve">TXN-202608-040025</t>
  </si>
  <si>
    <t xml:space="preserve">AC-EW-0914</t>
  </si>
  <si>
    <t xml:space="preserve">TXN-202608-040069</t>
  </si>
  <si>
    <t xml:space="preserve">AC-EW-0915</t>
  </si>
  <si>
    <t xml:space="preserve">TXN-202608-040112</t>
  </si>
  <si>
    <t xml:space="preserve">AC-EW-0916</t>
  </si>
  <si>
    <t xml:space="preserve">TXN-202608-040179</t>
  </si>
  <si>
    <t xml:space="preserve">AC-EW-0917</t>
  </si>
  <si>
    <t xml:space="preserve">TXN-202608-040227</t>
  </si>
  <si>
    <t xml:space="preserve">AC-EW-0918</t>
  </si>
  <si>
    <t xml:space="preserve">TXN-202608-040286</t>
  </si>
  <si>
    <t xml:space="preserve">AC-EW-0919</t>
  </si>
  <si>
    <t xml:space="preserve">TXN-202608-040359</t>
  </si>
  <si>
    <t xml:space="preserve">AC-EW-0920</t>
  </si>
  <si>
    <t xml:space="preserve">TXN-202608-040419</t>
  </si>
  <si>
    <t xml:space="preserve">AC-EW-0921</t>
  </si>
  <si>
    <t xml:space="preserve">TXN-202608-040496</t>
  </si>
  <si>
    <t xml:space="preserve">AC-EW-0922</t>
  </si>
  <si>
    <t xml:space="preserve">TXN-202608-040536</t>
  </si>
  <si>
    <t xml:space="preserve">AC-EW-0923</t>
  </si>
  <si>
    <t xml:space="preserve">TXN-202608-040600</t>
  </si>
  <si>
    <t xml:space="preserve">AC-EW-1001</t>
  </si>
  <si>
    <t xml:space="preserve">TXN-202608-040662</t>
  </si>
  <si>
    <t xml:space="preserve">AC-EW-1002</t>
  </si>
  <si>
    <t xml:space="preserve">TXN-202608-040711</t>
  </si>
  <si>
    <t xml:space="preserve">AC-EW-1003</t>
  </si>
  <si>
    <t xml:space="preserve">TXN-202608-040785</t>
  </si>
  <si>
    <t xml:space="preserve">AC-EW-1005</t>
  </si>
  <si>
    <t xml:space="preserve">TXN-202608-040838</t>
  </si>
  <si>
    <t xml:space="preserve">AC-EW-1007</t>
  </si>
  <si>
    <t xml:space="preserve">TXN-202608-040905</t>
  </si>
  <si>
    <t xml:space="preserve">AC-EW-1008</t>
  </si>
  <si>
    <t xml:space="preserve">TXN-202608-040958</t>
  </si>
  <si>
    <t xml:space="preserve">AC-EW-1010</t>
  </si>
  <si>
    <t xml:space="preserve">TXN-202608-041034</t>
  </si>
  <si>
    <t xml:space="preserve">AC-EW-1011</t>
  </si>
  <si>
    <t xml:space="preserve">TXN-202608-041109</t>
  </si>
  <si>
    <t xml:space="preserve">AC-EW-1012</t>
  </si>
  <si>
    <t xml:space="preserve">TXN-202608-041150</t>
  </si>
  <si>
    <t xml:space="preserve">AC-EW-1013</t>
  </si>
  <si>
    <t xml:space="preserve">TXN-202608-041203</t>
  </si>
  <si>
    <t xml:space="preserve">AC-EW-1014</t>
  </si>
  <si>
    <t xml:space="preserve">TXN-202608-041266</t>
  </si>
  <si>
    <t xml:space="preserve">AC-EW-1015</t>
  </si>
  <si>
    <t xml:space="preserve">TXN-202608-041322</t>
  </si>
  <si>
    <t xml:space="preserve">AC-EW-1016</t>
  </si>
  <si>
    <t xml:space="preserve">TXN-202608-041365</t>
  </si>
  <si>
    <t xml:space="preserve">AC-EW-1017</t>
  </si>
  <si>
    <t xml:space="preserve">TXN-202608-041431</t>
  </si>
  <si>
    <t xml:space="preserve">AC-EW-1018</t>
  </si>
  <si>
    <t xml:space="preserve">TXN-202608-041480</t>
  </si>
  <si>
    <t xml:space="preserve">AC-EW-1019</t>
  </si>
  <si>
    <t xml:space="preserve">TXN-202608-041527</t>
  </si>
  <si>
    <t xml:space="preserve">AC-EW-1021</t>
  </si>
  <si>
    <t xml:space="preserve">TXN-202608-041591</t>
  </si>
  <si>
    <t xml:space="preserve">AC-EW-1022</t>
  </si>
  <si>
    <t xml:space="preserve">TXN-202608-041651</t>
  </si>
  <si>
    <t xml:space="preserve">AC-EW-1023</t>
  </si>
  <si>
    <t xml:space="preserve">TXN-202608-041702</t>
  </si>
  <si>
    <t xml:space="preserve">AC-EW-1024</t>
  </si>
  <si>
    <t xml:space="preserve">TXN-202608-041755</t>
  </si>
  <si>
    <t xml:space="preserve">AC-GW-0102</t>
  </si>
  <si>
    <t xml:space="preserve">TXN-202608-041830</t>
  </si>
  <si>
    <t xml:space="preserve">AC-GW-0103</t>
  </si>
  <si>
    <t xml:space="preserve">TXN-202608-041882</t>
  </si>
  <si>
    <t xml:space="preserve">AC-GW-0104</t>
  </si>
  <si>
    <t xml:space="preserve">TXN-202608-041952</t>
  </si>
  <si>
    <t xml:space="preserve">AC-GW-0105</t>
  </si>
  <si>
    <t xml:space="preserve">TXN-202608-041997</t>
  </si>
  <si>
    <t xml:space="preserve">AC-GW-0106</t>
  </si>
  <si>
    <t xml:space="preserve">TXN-202608-042047</t>
  </si>
  <si>
    <t xml:space="preserve">AC-GW-0108</t>
  </si>
  <si>
    <t xml:space="preserve">TXN-202608-042085</t>
  </si>
  <si>
    <t xml:space="preserve">AC-GW-0109</t>
  </si>
  <si>
    <t xml:space="preserve">TXN-202608-042151</t>
  </si>
  <si>
    <t xml:space="preserve">AC-GW-0110</t>
  </si>
  <si>
    <t xml:space="preserve">TXN-202608-042228</t>
  </si>
  <si>
    <t xml:space="preserve">AC-GW-0111</t>
  </si>
  <si>
    <t xml:space="preserve">TXN-202608-042295</t>
  </si>
  <si>
    <t xml:space="preserve">AC-GW-0112</t>
  </si>
  <si>
    <t xml:space="preserve">TXN-202608-042347</t>
  </si>
  <si>
    <t xml:space="preserve">AC-GW-0113</t>
  </si>
  <si>
    <t xml:space="preserve">TXN-202608-042422</t>
  </si>
  <si>
    <t xml:space="preserve">AC-GW-0114</t>
  </si>
  <si>
    <t xml:space="preserve">TXN-202608-042493</t>
  </si>
  <si>
    <t xml:space="preserve">AC-GW-0115</t>
  </si>
  <si>
    <t xml:space="preserve">TXN-202608-042568</t>
  </si>
  <si>
    <t xml:space="preserve">AC-GW-0116</t>
  </si>
  <si>
    <t xml:space="preserve">TXN-202608-042617</t>
  </si>
  <si>
    <t xml:space="preserve">AC-GW-0117</t>
  </si>
  <si>
    <t xml:space="preserve">TXN-202608-042670</t>
  </si>
  <si>
    <t xml:space="preserve">AC-GW-0118</t>
  </si>
  <si>
    <t xml:space="preserve">TXN-202608-042750</t>
  </si>
  <si>
    <t xml:space="preserve">AC-GW-0119</t>
  </si>
  <si>
    <t xml:space="preserve">TXN-202608-042798</t>
  </si>
  <si>
    <t xml:space="preserve">AC-GW-0120</t>
  </si>
  <si>
    <t xml:space="preserve">TXN-202608-042875</t>
  </si>
  <si>
    <t xml:space="preserve">AC-GW-0121</t>
  </si>
  <si>
    <t xml:space="preserve">TXN-202608-042943</t>
  </si>
  <si>
    <t xml:space="preserve">AC-GW-0122</t>
  </si>
  <si>
    <t xml:space="preserve">TXN-202608-043005</t>
  </si>
  <si>
    <t xml:space="preserve">AC-GW-0123</t>
  </si>
  <si>
    <t xml:space="preserve">TXN-202608-043082</t>
  </si>
  <si>
    <t xml:space="preserve">AC-GW-0201</t>
  </si>
  <si>
    <t xml:space="preserve">TXN-202608-043120</t>
  </si>
  <si>
    <t xml:space="preserve">AC-GW-0202</t>
  </si>
  <si>
    <t xml:space="preserve">TXN-202608-043165</t>
  </si>
  <si>
    <t xml:space="preserve">AC-GW-0204</t>
  </si>
  <si>
    <t xml:space="preserve">TXN-202608-043218</t>
  </si>
  <si>
    <t xml:space="preserve">AC-GW-0205</t>
  </si>
  <si>
    <t xml:space="preserve">TXN-202608-043290</t>
  </si>
  <si>
    <t xml:space="preserve">AC-GW-0206</t>
  </si>
  <si>
    <t xml:space="preserve">TXN-202608-043364</t>
  </si>
  <si>
    <t xml:space="preserve">AC-GW-0207</t>
  </si>
  <si>
    <t xml:space="preserve">TXN-202608-043433</t>
  </si>
  <si>
    <t xml:space="preserve">AC-GW-0208</t>
  </si>
  <si>
    <t xml:space="preserve">TXN-202608-043504</t>
  </si>
  <si>
    <t xml:space="preserve">AC-GW-0209</t>
  </si>
  <si>
    <t xml:space="preserve">TXN-202608-043553</t>
  </si>
  <si>
    <t xml:space="preserve">AC-GW-0210</t>
  </si>
  <si>
    <t xml:space="preserve">TXN-202608-043601</t>
  </si>
  <si>
    <t xml:space="preserve">AC-GW-0211</t>
  </si>
  <si>
    <t xml:space="preserve">TXN-202608-043650</t>
  </si>
  <si>
    <t xml:space="preserve">AC-GW-0212</t>
  </si>
  <si>
    <t xml:space="preserve">TXN-202608-043708</t>
  </si>
  <si>
    <t xml:space="preserve">AC-GW-0213</t>
  </si>
  <si>
    <t xml:space="preserve">TXN-202608-043776</t>
  </si>
  <si>
    <t xml:space="preserve">AC-GW-0214</t>
  </si>
  <si>
    <t xml:space="preserve">TXN-202608-043820</t>
  </si>
  <si>
    <t xml:space="preserve">AC-GW-0215</t>
  </si>
  <si>
    <t xml:space="preserve">TXN-202608-043872</t>
  </si>
  <si>
    <t xml:space="preserve">AC-GW-0216</t>
  </si>
  <si>
    <t xml:space="preserve">TXN-202608-043913</t>
  </si>
  <si>
    <t xml:space="preserve">AC-GW-0217</t>
  </si>
  <si>
    <t xml:space="preserve">TXN-202608-043987</t>
  </si>
  <si>
    <t xml:space="preserve">AC-GW-0218</t>
  </si>
  <si>
    <t xml:space="preserve">TXN-202608-044062</t>
  </si>
  <si>
    <t xml:space="preserve">AC-GW-0220</t>
  </si>
  <si>
    <t xml:space="preserve">TXN-202608-044102</t>
  </si>
  <si>
    <t xml:space="preserve">AC-GW-0221</t>
  </si>
  <si>
    <t xml:space="preserve">TXN-202608-044147</t>
  </si>
  <si>
    <t xml:space="preserve">AC-GW-0222</t>
  </si>
  <si>
    <t xml:space="preserve">TXN-202608-044223</t>
  </si>
  <si>
    <t xml:space="preserve">AC-GW-0223</t>
  </si>
  <si>
    <t xml:space="preserve">TXN-202608-044266</t>
  </si>
  <si>
    <t xml:space="preserve">AC-GW-0301</t>
  </si>
  <si>
    <t xml:space="preserve">TXN-202608-044320</t>
  </si>
  <si>
    <t xml:space="preserve">AC-GW-0302</t>
  </si>
  <si>
    <t xml:space="preserve">TXN-202608-044396</t>
  </si>
  <si>
    <t xml:space="preserve">AC-GW-0303</t>
  </si>
  <si>
    <t xml:space="preserve">TXN-202608-044473</t>
  </si>
  <si>
    <t xml:space="preserve">AC-GW-0304</t>
  </si>
  <si>
    <t xml:space="preserve">TXN-202608-044521</t>
  </si>
  <si>
    <t xml:space="preserve">AC-GW-0305</t>
  </si>
  <si>
    <t xml:space="preserve">TXN-202608-044594</t>
  </si>
  <si>
    <t xml:space="preserve">AC-GW-0306</t>
  </si>
  <si>
    <t xml:space="preserve">TXN-202608-044671</t>
  </si>
  <si>
    <t xml:space="preserve">AC-GW-0307</t>
  </si>
  <si>
    <t xml:space="preserve">TXN-202608-044734</t>
  </si>
  <si>
    <t xml:space="preserve">AC-GW-0308</t>
  </si>
  <si>
    <t xml:space="preserve">TXN-202608-044781</t>
  </si>
  <si>
    <t xml:space="preserve">AC-GW-0309</t>
  </si>
  <si>
    <t xml:space="preserve">TXN-202608-044859</t>
  </si>
  <si>
    <t xml:space="preserve">AC-GW-0310</t>
  </si>
  <si>
    <t xml:space="preserve">TXN-202608-044897</t>
  </si>
  <si>
    <t xml:space="preserve">AC-GW-0312</t>
  </si>
  <si>
    <t xml:space="preserve">TXN-202608-044957</t>
  </si>
  <si>
    <t xml:space="preserve">AC-GW-0313</t>
  </si>
  <si>
    <t xml:space="preserve">TXN-202608-045025</t>
  </si>
  <si>
    <t xml:space="preserve">AC-GW-0315</t>
  </si>
  <si>
    <t xml:space="preserve">TXN-202608-045074</t>
  </si>
  <si>
    <t xml:space="preserve">AC-GW-0316</t>
  </si>
  <si>
    <t xml:space="preserve">TXN-202608-045115</t>
  </si>
  <si>
    <t xml:space="preserve">AC-GW-0317</t>
  </si>
  <si>
    <t xml:space="preserve">TXN-202608-045187</t>
  </si>
  <si>
    <t xml:space="preserve">AC-GW-0318</t>
  </si>
  <si>
    <t xml:space="preserve">TXN-202608-045258</t>
  </si>
  <si>
    <t xml:space="preserve">AC-GW-0320</t>
  </si>
  <si>
    <t xml:space="preserve">TXN-202608-045303</t>
  </si>
  <si>
    <t xml:space="preserve">AC-GW-0321</t>
  </si>
  <si>
    <t xml:space="preserve">TXN-202608-045363</t>
  </si>
  <si>
    <t xml:space="preserve">AC-GW-0322</t>
  </si>
  <si>
    <t xml:space="preserve">TXN-202608-045444</t>
  </si>
  <si>
    <t xml:space="preserve">AC-GW-0323</t>
  </si>
  <si>
    <t xml:space="preserve">TXN-202608-045500</t>
  </si>
  <si>
    <t xml:space="preserve">AC-GW-0401</t>
  </si>
  <si>
    <t xml:space="preserve">TXN-202608-045547</t>
  </si>
  <si>
    <t xml:space="preserve">AC-GW-0402</t>
  </si>
  <si>
    <t xml:space="preserve">TXN-202608-045595</t>
  </si>
  <si>
    <t xml:space="preserve">AC-GW-0403</t>
  </si>
  <si>
    <t xml:space="preserve">TXN-202608-045645</t>
  </si>
  <si>
    <t xml:space="preserve">AC-GW-0404</t>
  </si>
  <si>
    <t xml:space="preserve">TXN-202608-045697</t>
  </si>
  <si>
    <t xml:space="preserve">AC-GW-0405</t>
  </si>
  <si>
    <t xml:space="preserve">TXN-202608-045761</t>
  </si>
  <si>
    <t xml:space="preserve">AC-GW-0406</t>
  </si>
  <si>
    <t xml:space="preserve">TXN-202608-045805</t>
  </si>
  <si>
    <t xml:space="preserve">AC-GW-0407</t>
  </si>
  <si>
    <t xml:space="preserve">TXN-202608-045872</t>
  </si>
  <si>
    <t xml:space="preserve">AC-GW-0408</t>
  </si>
  <si>
    <t xml:space="preserve">TXN-202608-045915</t>
  </si>
  <si>
    <t xml:space="preserve">AC-GW-0409</t>
  </si>
  <si>
    <t xml:space="preserve">TXN-202608-045954</t>
  </si>
  <si>
    <t xml:space="preserve">AC-GW-0410</t>
  </si>
  <si>
    <t xml:space="preserve">TXN-202608-046031</t>
  </si>
  <si>
    <t xml:space="preserve">AC-GW-0411</t>
  </si>
  <si>
    <t xml:space="preserve">TXN-202608-046104</t>
  </si>
  <si>
    <t xml:space="preserve">AC-GW-0412</t>
  </si>
  <si>
    <t xml:space="preserve">TXN-202608-046165</t>
  </si>
  <si>
    <t xml:space="preserve">AC-GW-0413</t>
  </si>
  <si>
    <t xml:space="preserve">TXN-202608-046241</t>
  </si>
  <si>
    <t xml:space="preserve">AC-GW-0414</t>
  </si>
  <si>
    <t xml:space="preserve">TXN-202608-046288</t>
  </si>
  <si>
    <t xml:space="preserve">AC-GW-0415</t>
  </si>
  <si>
    <t xml:space="preserve">TXN-202608-046332</t>
  </si>
  <si>
    <t xml:space="preserve">AC-GW-0416</t>
  </si>
  <si>
    <t xml:space="preserve">TXN-202608-046408</t>
  </si>
  <si>
    <t xml:space="preserve">AC-GW-0417</t>
  </si>
  <si>
    <t xml:space="preserve">TXN-202608-046457</t>
  </si>
  <si>
    <t xml:space="preserve">AC-GW-0418</t>
  </si>
  <si>
    <t xml:space="preserve">TXN-202608-046510</t>
  </si>
  <si>
    <t xml:space="preserve">AC-GW-0419</t>
  </si>
  <si>
    <t xml:space="preserve">TXN-202608-046577</t>
  </si>
  <si>
    <t xml:space="preserve">AC-GW-0420</t>
  </si>
  <si>
    <t xml:space="preserve">TXN-202608-046621</t>
  </si>
  <si>
    <t xml:space="preserve">AC-GW-0421</t>
  </si>
  <si>
    <t xml:space="preserve">TXN-202608-046675</t>
  </si>
  <si>
    <t xml:space="preserve">AC-GW-0422</t>
  </si>
  <si>
    <t xml:space="preserve">TXN-202608-046721</t>
  </si>
  <si>
    <t xml:space="preserve">AC-GW-0423</t>
  </si>
  <si>
    <t xml:space="preserve">TXN-202608-046797</t>
  </si>
  <si>
    <t xml:space="preserve">AC-GW-0501</t>
  </si>
  <si>
    <t xml:space="preserve">Billing Reconciliation | August 2026</t>
  </si>
  <si>
    <t xml:space="preserve">Expected base moorage versus posted MONTHLY_MOORAGE amount for every OCCUPIED slip; tax and electricity excluded.</t>
  </si>
  <si>
    <t xml:space="preserve">Expected = max(rounded-up vessel LOA, nominal slip length) x covered/open foot-month rate. A missing transaction is treated as $0 actual for completeness variance.</t>
  </si>
  <si>
    <t xml:space="preserve">vessel_LOA</t>
  </si>
  <si>
    <t xml:space="preserve">rounded_LOA</t>
  </si>
  <si>
    <t xml:space="preserve">billable_length</t>
  </si>
  <si>
    <t xml:space="preserve">expected_rate</t>
  </si>
  <si>
    <t xml:space="preserve">expected_charge</t>
  </si>
  <si>
    <t xml:space="preserve">actual_txn_count</t>
  </si>
  <si>
    <t xml:space="preserve">actual_charge</t>
  </si>
  <si>
    <t xml:space="preserve">variance_actual_minus_expected</t>
  </si>
  <si>
    <t xml:space="preserve">result</t>
  </si>
  <si>
    <t xml:space="preserve">exception_class</t>
  </si>
  <si>
    <t xml:space="preserve">Accounts Receivable Aging | Snapshot 2026-07-31</t>
  </si>
  <si>
    <t xml:space="preserve">Collection candidates use only 91-120 and 120+ buckets and require an occupied embedded slip ID.</t>
  </si>
  <si>
    <t xml:space="preserve">The source workbook is dated 2026-07-31. No 2026-08-01 through 2026-08-07 cash-receipts record was supplied, so confirm intervening receipts before collection action.</t>
  </si>
  <si>
    <t xml:space="preserve">tenant</t>
  </si>
  <si>
    <t xml:space="preserve">reported_slip</t>
  </si>
  <si>
    <t xml:space="preserve">current</t>
  </si>
  <si>
    <t xml:space="preserve">31-60</t>
  </si>
  <si>
    <t xml:space="preserve">61-90</t>
  </si>
  <si>
    <t xml:space="preserve">reported_total_due</t>
  </si>
  <si>
    <t xml:space="preserve">calculated_bucket_total</t>
  </si>
  <si>
    <t xml:space="preserve">embedded_slip</t>
  </si>
  <si>
    <t xml:space="preserve">account/slip match</t>
  </si>
  <si>
    <t xml:space="preserve">occupied_verified</t>
  </si>
  <si>
    <t xml:space="preserve">91+ delinquent_balance</t>
  </si>
  <si>
    <t xml:space="preserve">collection_candidate</t>
  </si>
  <si>
    <t xml:space="preserve">last_payment</t>
  </si>
  <si>
    <t xml:space="preserve">last_contact</t>
  </si>
  <si>
    <t xml:space="preserve">CURRENT</t>
  </si>
  <si>
    <t xml:space="preserve">payment plan</t>
  </si>
  <si>
    <t xml:space="preserve">WATCH</t>
  </si>
  <si>
    <t xml:space="preserve">COLLECTIONS</t>
  </si>
  <si>
    <t xml:space="preserve">Queue Exceptions Requiring Board Attention</t>
  </si>
  <si>
    <t xml:space="preserve">Priority 1 records appear first, followed by Priority 2. Detail and governing formulas remain in Skip Audit and Amendment Audit.</t>
  </si>
  <si>
    <t xml:space="preserve">Priority 1: unsupported skip, or unsupported LOA amendment with downstream skip. Priority 2: supported skip reviewed late, or unsupported LOA amendment without downstream skip.</t>
  </si>
  <si>
    <t xml:space="preserve">record_type</t>
  </si>
  <si>
    <t xml:space="preserve">record_id</t>
  </si>
  <si>
    <t xml:space="preserve">event_date</t>
  </si>
  <si>
    <t xml:space="preserve">slip / new LOA</t>
  </si>
  <si>
    <t xml:space="preserve">downstream skips</t>
  </si>
  <si>
    <t xml:space="preserve">source_detail</t>
  </si>
  <si>
    <t xml:space="preserve">Skip</t>
  </si>
  <si>
    <t xml:space="preserve">LOA amendment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</si>
</sst>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\$#,##0.00;[RED]&quot;-$&quot;#,##0.00"/>
    <numFmt numFmtId="166" formatCode="\$#,##0.00"/>
    <numFmt numFmtId="167" formatCode="\$0.00"/>
    <numFmt numFmtId="168" formatCode="yyyy\-mm\-dd"/>
  </numFmts>
  <fonts count="1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9"/>
      <color rgb="FFFFFFFF"/>
      <name val="Arial"/>
      <family val="0"/>
      <charset val="1"/>
    </font>
    <font>
      <i val="true"/>
      <sz val="9"/>
      <color rgb="FF465A6E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9"/>
      <color rgb="FF243647"/>
      <name val="Arial"/>
      <family val="0"/>
      <charset val="1"/>
    </font>
    <font>
      <sz val="9"/>
      <color rgb="FF243647"/>
      <name val="Arial"/>
      <family val="0"/>
      <charset val="1"/>
    </font>
    <font>
      <b val="true"/>
      <sz val="11"/>
      <color rgb="FF0C7C86"/>
      <name val="Arial"/>
      <family val="0"/>
      <charset val="1"/>
    </font>
    <font>
      <i val="true"/>
      <sz val="8"/>
      <color rgb="FF465A6E"/>
      <name val="Arial"/>
      <family val="0"/>
      <charset val="1"/>
    </font>
    <font>
      <sz val="8"/>
      <color rgb="FF465A6E"/>
      <name val="Arial"/>
      <family val="0"/>
      <charset val="1"/>
    </font>
    <font>
      <b val="true"/>
      <sz val="8"/>
      <color rgb="FFFFFFFF"/>
      <name val="Arial"/>
      <family val="0"/>
      <charset val="1"/>
    </font>
    <font>
      <b val="true"/>
      <sz val="9"/>
      <color rgb="FFFFFFFF"/>
      <name val="Arial"/>
      <family val="0"/>
      <charset val="1"/>
    </font>
    <font>
      <sz val="8"/>
      <color rgb="FF243647"/>
      <name val="Arial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17324D"/>
        <bgColor rgb="FF243647"/>
      </patternFill>
    </fill>
    <fill>
      <patternFill patternType="solid">
        <fgColor rgb="FFD97706"/>
        <bgColor rgb="FFFF9900"/>
      </patternFill>
    </fill>
    <fill>
      <patternFill patternType="solid">
        <fgColor rgb="FFFFF1D6"/>
        <bgColor rgb="FFFDE8E7"/>
      </patternFill>
    </fill>
    <fill>
      <patternFill patternType="solid">
        <fgColor rgb="FFF3F5F7"/>
        <bgColor rgb="FFFFFFFF"/>
      </patternFill>
    </fill>
    <fill>
      <patternFill patternType="solid">
        <fgColor rgb="FF0C7C86"/>
        <bgColor rgb="FF008080"/>
      </patternFill>
    </fill>
    <fill>
      <patternFill patternType="solid">
        <fgColor rgb="FF465A6E"/>
        <bgColor rgb="FF333399"/>
      </patternFill>
    </fill>
  </fills>
  <borders count="3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FFFFFF"/>
      </bottom>
      <diagonal/>
    </border>
    <border diagonalUp="false" diagonalDown="false">
      <left/>
      <right/>
      <top/>
      <bottom style="hair">
        <color rgb="FFCBD5D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6" fillId="3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4" borderId="0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8" fillId="5" borderId="0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6" fillId="6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5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7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2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3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7" fontId="14" fillId="0" borderId="2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8" fontId="14" fillId="0" borderId="2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4" fillId="0" borderId="2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4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8" fontId="14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10" fillId="5" borderId="0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5" fontId="14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9">
    <dxf>
      <fill>
        <patternFill patternType="solid">
          <fgColor rgb="FF17324D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243647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FDE8E7"/>
          <bgColor rgb="FF000000"/>
        </patternFill>
      </fill>
    </dxf>
    <dxf>
      <fill>
        <patternFill>
          <bgColor rgb="FFFDE8E7"/>
        </patternFill>
      </fill>
    </dxf>
    <dxf>
      <fill>
        <patternFill>
          <bgColor rgb="FFFFF1D6"/>
        </patternFill>
      </fill>
    </dxf>
    <dxf>
      <fill>
        <patternFill patternType="solid">
          <fgColor rgb="FFFFF1D6"/>
          <bgColor rgb="FF000000"/>
        </patternFill>
      </fill>
    </dxf>
    <dxf>
      <fill>
        <patternFill patternType="solid">
          <fgColor rgb="FFFF0000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C7C86"/>
      <rgbColor rgb="FFC0C0C0"/>
      <rgbColor rgb="FF808080"/>
      <rgbColor rgb="FF9999FF"/>
      <rgbColor rgb="FF993366"/>
      <rgbColor rgb="FFFFF1D6"/>
      <rgbColor rgb="FFF3F5F7"/>
      <rgbColor rgb="FF660066"/>
      <rgbColor rgb="FFFF8080"/>
      <rgbColor rgb="FF0066CC"/>
      <rgbColor rgb="FFCBD5D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DE8E7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D97706"/>
      <rgbColor rgb="FF465A6E"/>
      <rgbColor rgb="FF969696"/>
      <rgbColor rgb="FF17324D"/>
      <rgbColor rgb="FF339966"/>
      <rgbColor rgb="FF003300"/>
      <rgbColor rgb="FF333300"/>
      <rgbColor rgb="FFB42318"/>
      <rgbColor rgb="FF993366"/>
      <rgbColor rgb="FF333399"/>
      <rgbColor rgb="FF243647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ables/table1.xml><?xml version="1.0" encoding="utf-8"?>
<table xmlns="http://schemas.openxmlformats.org/spreadsheetml/2006/main" id="1" name="AgingReportTable" displayName="AgingReportTable" ref="A5:Y265" headerRowCount="1" totalsRowCount="0" totalsRowShown="0">
  <autoFilter ref="A5:Y265"/>
  <tableColumns count="25">
    <tableColumn id="1" name="account_id"/>
    <tableColumn id="2" name="tenant"/>
    <tableColumn id="3" name="reported_slip"/>
    <tableColumn id="4" name="basin"/>
    <tableColumn id="5" name="rate_class"/>
    <tableColumn id="6" name="current"/>
    <tableColumn id="7" name="31-60"/>
    <tableColumn id="8" name="61-90"/>
    <tableColumn id="9" name="91-120"/>
    <tableColumn id="10" name="120+"/>
    <tableColumn id="11" name="reported_total_due"/>
    <tableColumn id="12" name="calculated_bucket_total"/>
    <tableColumn id="13" name="total_variance"/>
    <tableColumn id="14" name="embedded_slip"/>
    <tableColumn id="15" name="account/slip match"/>
    <tableColumn id="16" name="inventory_status"/>
    <tableColumn id="17" name="occupied_verified"/>
    <tableColumn id="18" name="91+ delinquent_balance"/>
    <tableColumn id="19" name="collection_candidate"/>
    <tableColumn id="20" name="payment_status"/>
    <tableColumn id="21" name="last_payment"/>
    <tableColumn id="22" name="last_contact"/>
    <tableColumn id="23" name="notes"/>
    <tableColumn id="24" name="issue"/>
    <tableColumn id="25" name="priority"/>
  </tableColumns>
</table>
</file>

<file path=xl/tables/table2.xml><?xml version="1.0" encoding="utf-8"?>
<table xmlns="http://schemas.openxmlformats.org/spreadsheetml/2006/main" id="2" name="AmendmentAuditTable" displayName="AmendmentAuditTable" ref="A5:N205" headerRowCount="1" totalsRowCount="0" totalsRowShown="0">
  <autoFilter ref="A5:N205"/>
  <tableColumns count="14">
    <tableColumn id="1" name="amendment_id"/>
    <tableColumn id="2" name="amendment_date"/>
    <tableColumn id="3" name="applicant_id"/>
    <tableColumn id="4" name="applicant_name"/>
    <tableColumn id="5" name="old_LOA"/>
    <tableColumn id="6" name="new_LOA"/>
    <tableColumn id="7" name="register_source_document"/>
    <tableColumn id="8" name="physical support count"/>
    <tableColumn id="9" name="support status"/>
    <tableColumn id="10" name="downstream skip count"/>
    <tableColumn id="11" name="downstream skip IDs"/>
    <tableColumn id="12" name="issue"/>
    <tableColumn id="13" name="priority"/>
    <tableColumn id="14" name="source"/>
  </tableColumns>
</table>
</file>

<file path=xl/tables/table3.xml><?xml version="1.0" encoding="utf-8"?>
<table xmlns="http://schemas.openxmlformats.org/spreadsheetml/2006/main" id="3" name="ApplicantLookupTable" displayName="ApplicantLookupTable" ref="A1:F2911" headerRowCount="1" totalsRowCount="0" totalsRowShown="0">
  <autoFilter ref="A1:F2911"/>
  <tableColumns count="6">
    <tableColumn id="1" name="applicant_id"/>
    <tableColumn id="2" name="applicant_name"/>
    <tableColumn id="3" name="status"/>
    <tableColumn id="4" name="vessel_name"/>
    <tableColumn id="5" name="loa_ft"/>
    <tableColumn id="6" name="preference_basin"/>
  </tableColumns>
</table>
</file>

<file path=xl/tables/table4.xml><?xml version="1.0" encoding="utf-8"?>
<table xmlns="http://schemas.openxmlformats.org/spreadsheetml/2006/main" id="4" name="BillingActualTable" displayName="BillingActualTable" ref="A1:Y770" headerRowCount="1" totalsRowCount="0" totalsRowShown="0">
  <autoFilter ref="A1:Y770"/>
  <tableColumns count="25">
    <tableColumn id="1" name="txn_id"/>
    <tableColumn id="2" name="post_date"/>
    <tableColumn id="3" name="account_id"/>
    <tableColumn id="4" name="applicant_id"/>
    <tableColumn id="5" name="slip_id"/>
    <tableColumn id="6" name="basin"/>
    <tableColumn id="7" name="rate_class"/>
    <tableColumn id="8" name="txn_type"/>
    <tableColumn id="9" name="length_ft_billed"/>
    <tableColumn id="10" name="months_billed"/>
    <tableColumn id="11" name="stated_foot_months"/>
    <tableColumn id="12" name="rate_per_foot_month"/>
    <tableColumn id="13" name="amount"/>
    <tableColumn id="14" name="tax_amount"/>
    <tableColumn id="15" name="total_amount"/>
    <tableColumn id="16" name="payment_status"/>
    <tableColumn id="17" name="due_date"/>
    <tableColumn id="18" name="calc_foot_months"/>
    <tableColumn id="19" name="foot_month_variance"/>
    <tableColumn id="20" name="calc_amount"/>
    <tableColumn id="21" name="amount_variance"/>
    <tableColumn id="22" name="calc_total"/>
    <tableColumn id="23" name="total_variance"/>
    <tableColumn id="24" name="issue"/>
    <tableColumn id="25" name="priority"/>
  </tableColumns>
</table>
</file>

<file path=xl/tables/table5.xml><?xml version="1.0" encoding="utf-8"?>
<table xmlns="http://schemas.openxmlformats.org/spreadsheetml/2006/main" id="5" name="BillingReconTable" displayName="BillingReconTable" ref="A5:S1091" headerRowCount="1" totalsRowCount="0" totalsRowShown="0">
  <autoFilter ref="A5:S1091"/>
  <tableColumns count="19">
    <tableColumn id="1" name="slip_id"/>
    <tableColumn id="2" name="basin"/>
    <tableColumn id="3" name="basin_type"/>
    <tableColumn id="4" name="slip_size_ft"/>
    <tableColumn id="5" name="covered"/>
    <tableColumn id="6" name="status"/>
    <tableColumn id="7" name="tenant_id"/>
    <tableColumn id="8" name="tenant_name"/>
    <tableColumn id="9" name="vessel_name"/>
    <tableColumn id="10" name="vessel_LOA"/>
    <tableColumn id="11" name="rounded_LOA"/>
    <tableColumn id="12" name="billable_length"/>
    <tableColumn id="13" name="expected_rate"/>
    <tableColumn id="14" name="expected_charge"/>
    <tableColumn id="15" name="actual_txn_count"/>
    <tableColumn id="16" name="actual_charge"/>
    <tableColumn id="17" name="variance_actual_minus_expected"/>
    <tableColumn id="18" name="result"/>
    <tableColumn id="19" name="exception_class"/>
  </tableColumns>
</table>
</file>

<file path=xl/tables/table6.xml><?xml version="1.0" encoding="utf-8"?>
<table xmlns="http://schemas.openxmlformats.org/spreadsheetml/2006/main" id="6" name="CertificateCheckTable" displayName="CertificateCheckTable" ref="A5:P7" headerRowCount="1" totalsRowCount="0" totalsRowShown="0">
  <autoFilter ref="A5:P7"/>
  <tableColumns count="16">
    <tableColumn id="1" name="source_file"/>
    <tableColumn id="2" name="certificate_no"/>
    <tableColumn id="3" name="certificate_date"/>
    <tableColumn id="4" name="applicant_id"/>
    <tableColumn id="5" name="measured_loa"/>
    <tableColumn id="6" name="purpose"/>
    <tableColumn id="7" name="supported_amendment_date"/>
    <tableColumn id="8" name="qualifying amendment support"/>
    <tableColumn id="9" name="rounded billing LOA"/>
    <tableColumn id="10" name="certificate_slip"/>
    <tableColumn id="11" name="inventory_basin"/>
    <tableColumn id="12" name="covered/open"/>
    <tableColumn id="13" name="inventory_status"/>
    <tableColumn id="14" name="current_tenant_id"/>
    <tableColumn id="15" name="classification"/>
    <tableColumn id="16" name="source_note"/>
  </tableColumns>
</table>
</file>

<file path=xl/tables/table7.xml><?xml version="1.0" encoding="utf-8"?>
<table xmlns="http://schemas.openxmlformats.org/spreadsheetml/2006/main" id="7" name="OfferEventsTable" displayName="OfferEventsTable" ref="A1:R1487" headerRowCount="1" totalsRowCount="0" totalsRowShown="0">
  <autoFilter ref="A1:R1487"/>
  <tableColumns count="18">
    <tableColumn id="1" name="offer_id"/>
    <tableColumn id="2" name="offer_date"/>
    <tableColumn id="3" name="applicant_id"/>
    <tableColumn id="4" name="rank_at_offer"/>
    <tableColumn id="5" name="slip_id"/>
    <tableColumn id="6" name="basin"/>
    <tableColumn id="7" name="slip_size_ft"/>
    <tableColumn id="8" name="covered"/>
    <tableColumn id="9" name="rate_class"/>
    <tableColumn id="10" name="monthly_rate"/>
    <tableColumn id="11" name="offer_seq"/>
    <tableColumn id="12" name="outcome"/>
    <tableColumn id="13" name="response_due_date"/>
    <tableColumn id="14" name="response_date"/>
    <tableColumn id="15" name="days_to_respond"/>
    <tableColumn id="16" name="skip_reason_code"/>
    <tableColumn id="17" name="agreement_id"/>
    <tableColumn id="18" name="notes"/>
  </tableColumns>
</table>
</file>

<file path=xl/tables/table8.xml><?xml version="1.0" encoding="utf-8"?>
<table xmlns="http://schemas.openxmlformats.org/spreadsheetml/2006/main" id="8" name="QueueExceptionsTable" displayName="QueueExceptionsTable" ref="A5:J513" headerRowCount="1" totalsRowCount="0" totalsRowShown="0">
  <autoFilter ref="A5:J513"/>
  <tableColumns count="10">
    <tableColumn id="1" name="priority"/>
    <tableColumn id="2" name="record_type"/>
    <tableColumn id="3" name="record_id"/>
    <tableColumn id="4" name="event_date"/>
    <tableColumn id="5" name="applicant_id"/>
    <tableColumn id="6" name="applicant_name"/>
    <tableColumn id="7" name="slip / new LOA"/>
    <tableColumn id="8" name="downstream skips"/>
    <tableColumn id="9" name="issue"/>
    <tableColumn id="10" name="source_detail"/>
  </tableColumns>
</table>
</file>

<file path=xl/tables/table9.xml><?xml version="1.0" encoding="utf-8"?>
<table xmlns="http://schemas.openxmlformats.org/spreadsheetml/2006/main" id="9" name="SkipAuditTable" displayName="SkipAuditTable" ref="A5:U314" headerRowCount="1" totalsRowCount="0" totalsRowShown="0">
  <autoFilter ref="A5:U314"/>
  <tableColumns count="21">
    <tableColumn id="1" name="skip_id"/>
    <tableColumn id="2" name="offer_id"/>
    <tableColumn id="3" name="skip_date"/>
    <tableColumn id="4" name="applicant_id"/>
    <tableColumn id="5" name="applicant_name"/>
    <tableColumn id="6" name="rank"/>
    <tableColumn id="7" name="slip_id"/>
    <tableColumn id="8" name="basin"/>
    <tableColumn id="9" name="reason_code"/>
    <tableColumn id="10" name="register_doc_flag"/>
    <tableColumn id="11" name="reviewed_by"/>
    <tableColumn id="12" name="review_date"/>
    <tableColumn id="13" name="same-event PDF count"/>
    <tableColumn id="14" name="exact-slip PDF count"/>
    <tableColumn id="15" name="supported exact PDF count"/>
    <tableColumn id="16" name="exact offer count"/>
    <tableColumn id="17" name="review timely"/>
    <tableColumn id="18" name="contemporaneous proof"/>
    <tableColumn id="19" name="reconciliation"/>
    <tableColumn id="20" name="issue"/>
    <tableColumn id="21" name="priority"/>
  </tableColumns>
</table>
</file>

<file path=xl/tables/table10.xml><?xml version="1.0" encoding="utf-8"?>
<table xmlns="http://schemas.openxmlformats.org/spreadsheetml/2006/main" id="10" name="SkipEventsTable" displayName="SkipEventsTable" ref="A1:P413" headerRowCount="1" totalsRowCount="0" totalsRowShown="0">
  <autoFilter ref="A1:P413"/>
  <tableColumns count="16">
    <tableColumn id="1" name="skip_id"/>
    <tableColumn id="2" name="offer_id"/>
    <tableColumn id="3" name="skip_date"/>
    <tableColumn id="4" name="applicant_id"/>
    <tableColumn id="5" name="rank_at_offer"/>
    <tableColumn id="6" name="slip_id"/>
    <tableColumn id="7" name="basin"/>
    <tableColumn id="8" name="slip_size_ft"/>
    <tableColumn id="9" name="reason_code"/>
    <tableColumn id="10" name="justification_category"/>
    <tableColumn id="11" name="documentation_attached"/>
    <tableColumn id="12" name="documentation_type"/>
    <tableColumn id="13" name="reviewed_by"/>
    <tableColumn id="14" name="review_date"/>
    <tableColumn id="15" name="disposition"/>
    <tableColumn id="16" name="notes"/>
  </tableColumns>
</table>
</file>

<file path=xl/tables/table11.xml><?xml version="1.0" encoding="utf-8"?>
<table xmlns="http://schemas.openxmlformats.org/spreadsheetml/2006/main" id="11" name="SkipPdfIndexTable" displayName="SkipPdfIndexTable" ref="A5:N11" headerRowCount="1" totalsRowCount="0" totalsRowShown="0">
  <autoFilter ref="A5:N11"/>
  <tableColumns count="14">
    <tableColumn id="1" name="source_file"/>
    <tableColumn id="2" name="applicant_id"/>
    <tableColumn id="3" name="applicant"/>
    <tableColumn id="4" name="date_worked"/>
    <tableColumn id="5" name="slip_in_pdf"/>
    <tableColumn id="6" name="reason_code"/>
    <tableColumn id="7" name="pages"/>
    <tableColumn id="8" name="content_status"/>
    <tableColumn id="9" name="same applicant/date/reason skips"/>
    <tableColumn id="10" name="exact skip matches"/>
    <tableColumn id="11" name="exact offer matches"/>
    <tableColumn id="12" name="registered slip(s)"/>
    <tableColumn id="13" name="reconciliation"/>
    <tableColumn id="14" name="source_note"/>
  </tableColumns>
</table>
</file>

<file path=xl/tables/table12.xml><?xml version="1.0" encoding="utf-8"?>
<table xmlns="http://schemas.openxmlformats.org/spreadsheetml/2006/main" id="12" name="SlipInventoryTable" displayName="SlipInventoryTable" ref="A1:R1181" headerRowCount="1" totalsRowCount="0" totalsRowShown="0">
  <autoFilter ref="A1:R1181"/>
  <tableColumns count="18">
    <tableColumn id="1" name="slip_id"/>
    <tableColumn id="2" name="basin"/>
    <tableColumn id="3" name="basin_type"/>
    <tableColumn id="4" name="dock_row"/>
    <tableColumn id="5" name="slip_size_ft"/>
    <tableColumn id="6" name="slip_class"/>
    <tableColumn id="7" name="covered"/>
    <tableColumn id="8" name="beam_max_ft"/>
    <tableColumn id="9" name="amenities"/>
    <tableColumn id="10" name="status"/>
    <tableColumn id="11" name="current_agreement_id"/>
    <tableColumn id="12" name="tenant_id"/>
    <tableColumn id="13" name="tenant_name"/>
    <tableColumn id="14" name="vessel_name"/>
    <tableColumn id="15" name="vessel_loa_ft"/>
    <tableColumn id="16" name="monthly_rate"/>
    <tableColumn id="17" name="last_inspection_date"/>
    <tableColumn id="18" name="notes"/>
  </tableColumns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table" Target="../tables/table3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table" Target="../tables/table12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table" Target="../tables/table7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table" Target="../tables/table10.x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table" Target="../tables/table11.xml"/>
</Relationships>
</file>

<file path=xl/worksheets/_rels/sheet8.xml.rels><?xml version="1.0" encoding="UTF-8"?>
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table" Target="../tables/table9.xml"/>
</Relationships>
</file>

<file path=xl/worksheets/_rels/sheet9.xml.rels><?xml version="1.0" encoding="UTF-8"?>
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table" Target="../tables/table6.xml"/>
</Relationships>
</file>

<file path=xl/worksheets/_rels/sheet10.xml.rels><?xml version="1.0" encoding="UTF-8"?>
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table" Target="../tables/table2.xml"/>
</Relationships>
</file>

<file path=xl/worksheets/_rels/sheet11.xml.rels><?xml version="1.0" encoding="UTF-8"?>
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table" Target="../tables/table4.xml"/>
</Relationships>
</file>

<file path=xl/worksheets/_rels/sheet12.xml.rels><?xml version="1.0" encoding="UTF-8"?>
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table" Target="../tables/table5.xml"/>
</Relationships>
</file>

<file path=xl/worksheets/_rels/sheet13.xml.rels><?xml version="1.0" encoding="UTF-8"?>
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table" Target="../tables/table1.xml"/>
</Relationships>
</file>

<file path=xl/worksheets/_rels/sheet14.xml.rels><?xml version="1.0" encoding="UTF-8"?>
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table" Target="../tables/table8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7324D"/>
    <pageSetUpPr fitToPage="true"/>
  </sheetPr>
  <dimension ref="A1:H43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customHeight="true" zeroHeight="false" outlineLevelRow="0" outlineLevelCol="0"/>
  <cols>
    <col collapsed="false" customWidth="true" hidden="false" outlineLevel="0" max="1" min="1" style="0" width="35"/>
    <col collapsed="false" customWidth="true" hidden="false" outlineLevel="0" max="2" min="2" style="0" width="20"/>
    <col collapsed="false" customWidth="true" hidden="false" outlineLevel="0" max="3" min="3" style="0" width="13"/>
    <col collapsed="false" customWidth="true" hidden="false" outlineLevel="0" max="4" min="4" style="0" width="23"/>
    <col collapsed="false" customWidth="true" hidden="false" outlineLevel="0" max="7" min="5" style="0" width="18"/>
    <col collapsed="false" customWidth="true" hidden="false" outlineLevel="0" max="8" min="8" style="0" width="16"/>
  </cols>
  <sheetData>
    <row r="1" customFormat="false" ht="33.7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</row>
    <row r="2" customFormat="false" ht="27.75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</row>
    <row r="4" customFormat="false" ht="21.75" hidden="false" customHeight="true" outlineLevel="0" collapsed="false">
      <c r="A4" s="3" t="s">
        <v>2</v>
      </c>
      <c r="B4" s="3"/>
      <c r="C4" s="3"/>
      <c r="D4" s="3"/>
      <c r="E4" s="3"/>
      <c r="F4" s="3"/>
      <c r="G4" s="3"/>
      <c r="H4" s="3"/>
    </row>
    <row r="5" customFormat="false" ht="30" hidden="false" customHeight="true" outlineLevel="0" collapsed="false">
      <c r="A5" s="4" t="s">
        <v>3</v>
      </c>
      <c r="B5" s="4"/>
      <c r="C5" s="4"/>
      <c r="D5" s="4"/>
      <c r="E5" s="4"/>
      <c r="F5" s="4"/>
      <c r="G5" s="4"/>
      <c r="H5" s="4"/>
    </row>
    <row r="6" customFormat="false" ht="30" hidden="false" customHeight="true" outlineLevel="0" collapsed="false">
      <c r="A6" s="5" t="s">
        <v>4</v>
      </c>
      <c r="B6" s="5"/>
      <c r="C6" s="5"/>
      <c r="D6" s="5"/>
      <c r="E6" s="5"/>
      <c r="F6" s="5"/>
      <c r="G6" s="5"/>
      <c r="H6" s="5"/>
    </row>
    <row r="7" customFormat="false" ht="30" hidden="false" customHeight="true" outlineLevel="0" collapsed="false">
      <c r="A7" s="5" t="s">
        <v>5</v>
      </c>
      <c r="B7" s="5"/>
      <c r="C7" s="5"/>
      <c r="D7" s="5"/>
      <c r="E7" s="5"/>
      <c r="F7" s="5"/>
      <c r="G7" s="5"/>
      <c r="H7" s="5"/>
    </row>
    <row r="9" customFormat="false" ht="21.75" hidden="false" customHeight="true" outlineLevel="0" collapsed="false">
      <c r="A9" s="6" t="s">
        <v>6</v>
      </c>
      <c r="B9" s="6"/>
      <c r="C9" s="6"/>
      <c r="D9" s="6"/>
      <c r="E9" s="6"/>
      <c r="F9" s="6"/>
      <c r="G9" s="6"/>
      <c r="H9" s="6"/>
    </row>
    <row r="10" customFormat="false" ht="21.75" hidden="false" customHeight="true" outlineLevel="0" collapsed="false">
      <c r="A10" s="7" t="s">
        <v>7</v>
      </c>
      <c r="B10" s="8" t="n">
        <f aca="false">COUNTA('Skip Audit'!$A$6:$A$314)</f>
        <v>309</v>
      </c>
      <c r="C10" s="9" t="s">
        <v>8</v>
      </c>
      <c r="D10" s="10" t="s">
        <v>9</v>
      </c>
      <c r="E10" s="10"/>
      <c r="F10" s="10"/>
      <c r="G10" s="10"/>
      <c r="H10" s="10"/>
    </row>
    <row r="11" customFormat="false" ht="21.75" hidden="false" customHeight="true" outlineLevel="0" collapsed="false">
      <c r="A11" s="7" t="s">
        <v>10</v>
      </c>
      <c r="B11" s="8" t="n">
        <f aca="false">COUNTIF('Skip Audit'!$U$6:$U$314,"Priority 1")</f>
        <v>309</v>
      </c>
      <c r="C11" s="9" t="s">
        <v>8</v>
      </c>
      <c r="D11" s="10" t="s">
        <v>11</v>
      </c>
      <c r="E11" s="10"/>
      <c r="F11" s="10"/>
      <c r="G11" s="10"/>
      <c r="H11" s="10"/>
    </row>
    <row r="12" customFormat="false" ht="21.75" hidden="false" customHeight="true" outlineLevel="0" collapsed="false">
      <c r="A12" s="7" t="s">
        <v>12</v>
      </c>
      <c r="B12" s="8" t="n">
        <f aca="false">COUNTIF('Skip Audit'!$U$6:$U$314,"Priority 2")</f>
        <v>0</v>
      </c>
      <c r="C12" s="9" t="s">
        <v>8</v>
      </c>
      <c r="D12" s="10" t="s">
        <v>13</v>
      </c>
      <c r="E12" s="10"/>
      <c r="F12" s="10"/>
      <c r="G12" s="10"/>
      <c r="H12" s="10"/>
    </row>
    <row r="13" customFormat="false" ht="21.75" hidden="false" customHeight="true" outlineLevel="0" collapsed="false">
      <c r="A13" s="7" t="s">
        <v>14</v>
      </c>
      <c r="B13" s="8" t="n">
        <f aca="false">COUNTA('Amendment Audit'!$A$6:$A$205)</f>
        <v>200</v>
      </c>
      <c r="C13" s="9" t="s">
        <v>8</v>
      </c>
      <c r="D13" s="10" t="s">
        <v>15</v>
      </c>
      <c r="E13" s="10"/>
      <c r="F13" s="10"/>
      <c r="G13" s="10"/>
      <c r="H13" s="10"/>
    </row>
    <row r="14" customFormat="false" ht="21.75" hidden="false" customHeight="true" outlineLevel="0" collapsed="false">
      <c r="A14" s="7" t="s">
        <v>16</v>
      </c>
      <c r="B14" s="8" t="n">
        <f aca="false">COUNTIF('Amendment Audit'!$M$6:$M$205,"Priority 1")</f>
        <v>15</v>
      </c>
      <c r="C14" s="9" t="s">
        <v>8</v>
      </c>
      <c r="D14" s="10" t="s">
        <v>17</v>
      </c>
      <c r="E14" s="10"/>
      <c r="F14" s="10"/>
      <c r="G14" s="10"/>
      <c r="H14" s="10"/>
    </row>
    <row r="15" customFormat="false" ht="21.75" hidden="false" customHeight="true" outlineLevel="0" collapsed="false">
      <c r="A15" s="7" t="s">
        <v>18</v>
      </c>
      <c r="B15" s="8" t="n">
        <f aca="false">COUNTIF('Amendment Audit'!$M$6:$M$205,"Priority 2")</f>
        <v>184</v>
      </c>
      <c r="C15" s="9" t="s">
        <v>8</v>
      </c>
      <c r="D15" s="10" t="s">
        <v>19</v>
      </c>
      <c r="E15" s="10"/>
      <c r="F15" s="10"/>
      <c r="G15" s="10"/>
      <c r="H15" s="10"/>
    </row>
    <row r="16" customFormat="false" ht="21.75" hidden="false" customHeight="true" outlineLevel="0" collapsed="false">
      <c r="A16" s="7" t="s">
        <v>20</v>
      </c>
      <c r="B16" s="8" t="n">
        <f aca="false">COUNTIF('Amendment Audit'!$I$6:$I$205,"SUBSTANTIATED")</f>
        <v>1</v>
      </c>
      <c r="C16" s="9" t="s">
        <v>8</v>
      </c>
      <c r="D16" s="10" t="s">
        <v>21</v>
      </c>
      <c r="E16" s="10"/>
      <c r="F16" s="10"/>
      <c r="G16" s="10"/>
      <c r="H16" s="10"/>
    </row>
    <row r="18" customFormat="false" ht="21.75" hidden="false" customHeight="true" outlineLevel="0" collapsed="false">
      <c r="A18" s="6" t="s">
        <v>22</v>
      </c>
      <c r="B18" s="6"/>
      <c r="C18" s="6"/>
      <c r="D18" s="6"/>
      <c r="E18" s="6"/>
      <c r="F18" s="6"/>
      <c r="G18" s="6"/>
      <c r="H18" s="6"/>
    </row>
    <row r="19" customFormat="false" ht="21.75" hidden="false" customHeight="true" outlineLevel="0" collapsed="false">
      <c r="A19" s="7" t="s">
        <v>23</v>
      </c>
      <c r="B19" s="8" t="n">
        <f aca="false">COUNTA('Billing Recon'!$A$6:$A$1091)</f>
        <v>1086</v>
      </c>
      <c r="C19" s="9" t="s">
        <v>8</v>
      </c>
      <c r="D19" s="10" t="s">
        <v>24</v>
      </c>
      <c r="E19" s="10"/>
      <c r="F19" s="10"/>
      <c r="G19" s="10"/>
      <c r="H19" s="10"/>
    </row>
    <row r="20" customFormat="false" ht="21.75" hidden="false" customHeight="true" outlineLevel="0" collapsed="false">
      <c r="A20" s="7" t="s">
        <v>25</v>
      </c>
      <c r="B20" s="8" t="n">
        <f aca="false">COUNTIF('Billing Recon'!$O$6:$O$1091,"&gt;0")</f>
        <v>769</v>
      </c>
      <c r="C20" s="9" t="s">
        <v>8</v>
      </c>
      <c r="D20" s="10" t="s">
        <v>26</v>
      </c>
      <c r="E20" s="10"/>
      <c r="F20" s="10"/>
      <c r="G20" s="10"/>
      <c r="H20" s="10"/>
    </row>
    <row r="21" customFormat="false" ht="21.75" hidden="false" customHeight="true" outlineLevel="0" collapsed="false">
      <c r="A21" s="7" t="s">
        <v>27</v>
      </c>
      <c r="B21" s="8" t="n">
        <f aca="false">COUNTIF('Billing Recon'!$R$6:$R$1091,"No August moorage transaction")</f>
        <v>317</v>
      </c>
      <c r="C21" s="9" t="s">
        <v>8</v>
      </c>
      <c r="D21" s="10" t="s">
        <v>28</v>
      </c>
      <c r="E21" s="10"/>
      <c r="F21" s="10"/>
      <c r="G21" s="10"/>
      <c r="H21" s="10"/>
    </row>
    <row r="22" customFormat="false" ht="21.75" hidden="false" customHeight="true" outlineLevel="0" collapsed="false">
      <c r="A22" s="7" t="s">
        <v>29</v>
      </c>
      <c r="B22" s="11" t="n">
        <f aca="false">SUM('Billing Recon'!$N$6:$N$1091)</f>
        <v>439918.3</v>
      </c>
      <c r="C22" s="9" t="s">
        <v>30</v>
      </c>
      <c r="D22" s="10" t="s">
        <v>31</v>
      </c>
      <c r="E22" s="10"/>
      <c r="F22" s="10"/>
      <c r="G22" s="10"/>
      <c r="H22" s="10"/>
    </row>
    <row r="23" customFormat="false" ht="21.75" hidden="false" customHeight="true" outlineLevel="0" collapsed="false">
      <c r="A23" s="7" t="s">
        <v>32</v>
      </c>
      <c r="B23" s="11" t="n">
        <f aca="false">SUM('Billing Recon'!$P$6:$P$1091)</f>
        <v>319760.05</v>
      </c>
      <c r="C23" s="9" t="s">
        <v>30</v>
      </c>
      <c r="D23" s="10" t="s">
        <v>33</v>
      </c>
      <c r="E23" s="10"/>
      <c r="F23" s="10"/>
      <c r="G23" s="10"/>
      <c r="H23" s="10"/>
    </row>
    <row r="24" customFormat="false" ht="21.75" hidden="false" customHeight="true" outlineLevel="0" collapsed="false">
      <c r="A24" s="7" t="s">
        <v>34</v>
      </c>
      <c r="B24" s="11" t="n">
        <f aca="false">SUM('Billing Recon'!$Q$6:$Q$1091)</f>
        <v>-120158.25</v>
      </c>
      <c r="C24" s="9" t="s">
        <v>30</v>
      </c>
      <c r="D24" s="10" t="s">
        <v>35</v>
      </c>
      <c r="E24" s="10"/>
      <c r="F24" s="10"/>
      <c r="G24" s="10"/>
      <c r="H24" s="10"/>
    </row>
    <row r="26" customFormat="false" ht="21.75" hidden="false" customHeight="true" outlineLevel="0" collapsed="false">
      <c r="A26" s="6" t="s">
        <v>36</v>
      </c>
      <c r="B26" s="6"/>
      <c r="C26" s="6"/>
      <c r="D26" s="6"/>
      <c r="E26" s="6"/>
      <c r="F26" s="6"/>
      <c r="G26" s="6"/>
      <c r="H26" s="6"/>
    </row>
    <row r="27" customFormat="false" ht="21.75" hidden="false" customHeight="true" outlineLevel="0" collapsed="false">
      <c r="A27" s="7" t="s">
        <v>37</v>
      </c>
      <c r="B27" s="8" t="n">
        <f aca="false">COUNTIF('Aging Report'!$S$6:$S$265,"YES")</f>
        <v>6</v>
      </c>
      <c r="C27" s="9" t="s">
        <v>38</v>
      </c>
      <c r="D27" s="10" t="s">
        <v>39</v>
      </c>
      <c r="E27" s="10"/>
      <c r="F27" s="10"/>
      <c r="G27" s="10"/>
      <c r="H27" s="10"/>
    </row>
    <row r="28" customFormat="false" ht="21.75" hidden="false" customHeight="true" outlineLevel="0" collapsed="false">
      <c r="A28" s="7" t="s">
        <v>40</v>
      </c>
      <c r="B28" s="11" t="n">
        <f aca="false">SUMIFS('Aging Report'!$I$6:$I$265,'Aging Report'!$S$6:$S$265,"YES")</f>
        <v>2932.8</v>
      </c>
      <c r="C28" s="9" t="s">
        <v>30</v>
      </c>
      <c r="D28" s="10" t="s">
        <v>41</v>
      </c>
      <c r="E28" s="10"/>
      <c r="F28" s="10"/>
      <c r="G28" s="10"/>
      <c r="H28" s="10"/>
    </row>
    <row r="29" customFormat="false" ht="21.75" hidden="false" customHeight="true" outlineLevel="0" collapsed="false">
      <c r="A29" s="7" t="s">
        <v>42</v>
      </c>
      <c r="B29" s="11" t="n">
        <f aca="false">SUMIFS('Aging Report'!$J$6:$J$265,'Aging Report'!$S$6:$S$265,"YES")</f>
        <v>1435.2</v>
      </c>
      <c r="C29" s="9" t="s">
        <v>30</v>
      </c>
      <c r="D29" s="10" t="s">
        <v>43</v>
      </c>
      <c r="E29" s="10"/>
      <c r="F29" s="10"/>
      <c r="G29" s="10"/>
      <c r="H29" s="10"/>
    </row>
    <row r="30" customFormat="false" ht="21.75" hidden="false" customHeight="true" outlineLevel="0" collapsed="false">
      <c r="A30" s="7" t="s">
        <v>44</v>
      </c>
      <c r="B30" s="11" t="n">
        <f aca="false">SUMIFS('Aging Report'!$R$6:$R$265,'Aging Report'!$S$6:$S$265,"YES")</f>
        <v>4368</v>
      </c>
      <c r="C30" s="9" t="s">
        <v>30</v>
      </c>
      <c r="D30" s="10" t="s">
        <v>45</v>
      </c>
      <c r="E30" s="10"/>
      <c r="F30" s="10"/>
      <c r="G30" s="10"/>
      <c r="H30" s="10"/>
    </row>
    <row r="31" customFormat="false" ht="21.75" hidden="false" customHeight="true" outlineLevel="0" collapsed="false">
      <c r="A31" s="7" t="s">
        <v>46</v>
      </c>
      <c r="B31" s="11" t="n">
        <f aca="false">SUMIFS('Aging Report'!$L$6:$L$265,'Aging Report'!$S$6:$S$265,"YES")</f>
        <v>13166.4</v>
      </c>
      <c r="C31" s="9" t="s">
        <v>30</v>
      </c>
      <c r="D31" s="10" t="s">
        <v>47</v>
      </c>
      <c r="E31" s="10"/>
      <c r="F31" s="10"/>
      <c r="G31" s="10"/>
      <c r="H31" s="10"/>
    </row>
    <row r="32" customFormat="false" ht="21.75" hidden="false" customHeight="true" outlineLevel="0" collapsed="false">
      <c r="A32" s="7" t="s">
        <v>48</v>
      </c>
      <c r="B32" s="8" t="n">
        <f aca="false">COUNTIF('Aging Report'!$Y$6:$Y$265,"Priority 3")</f>
        <v>39</v>
      </c>
      <c r="C32" s="9" t="s">
        <v>38</v>
      </c>
      <c r="D32" s="10" t="s">
        <v>49</v>
      </c>
      <c r="E32" s="10"/>
      <c r="F32" s="10"/>
      <c r="G32" s="10"/>
      <c r="H32" s="10"/>
    </row>
    <row r="33" customFormat="false" ht="21.75" hidden="false" customHeight="true" outlineLevel="0" collapsed="false">
      <c r="A33" s="7" t="s">
        <v>50</v>
      </c>
      <c r="B33" s="11" t="n">
        <f aca="false">-SUMIF('Aging Report'!$Y$6:$Y$265,"Priority 3",'Aging Report'!$M$6:$M$265)</f>
        <v>17108</v>
      </c>
      <c r="C33" s="9" t="s">
        <v>30</v>
      </c>
      <c r="D33" s="10" t="s">
        <v>51</v>
      </c>
      <c r="E33" s="10"/>
      <c r="F33" s="10"/>
      <c r="G33" s="10"/>
      <c r="H33" s="10"/>
    </row>
    <row r="35" customFormat="false" ht="21.75" hidden="false" customHeight="true" outlineLevel="0" collapsed="false">
      <c r="A35" s="12" t="s">
        <v>52</v>
      </c>
      <c r="B35" s="12"/>
      <c r="C35" s="12"/>
      <c r="D35" s="12"/>
      <c r="E35" s="12"/>
      <c r="F35" s="12"/>
      <c r="G35" s="12"/>
      <c r="H35" s="12"/>
    </row>
    <row r="36" customFormat="false" ht="30" hidden="false" customHeight="true" outlineLevel="0" collapsed="false">
      <c r="A36" s="13" t="s">
        <v>53</v>
      </c>
      <c r="B36" s="13" t="s">
        <v>54</v>
      </c>
      <c r="C36" s="13" t="s">
        <v>55</v>
      </c>
      <c r="D36" s="13" t="s">
        <v>56</v>
      </c>
      <c r="E36" s="13" t="s">
        <v>57</v>
      </c>
      <c r="F36" s="13" t="s">
        <v>58</v>
      </c>
      <c r="G36" s="13" t="s">
        <v>59</v>
      </c>
      <c r="H36" s="13" t="s">
        <v>60</v>
      </c>
    </row>
    <row r="37" customFormat="false" ht="15" hidden="false" customHeight="false" outlineLevel="0" collapsed="false">
      <c r="A37" s="0" t="str">
        <f aca="false">'Aging Report'!A26</f>
        <v>AC-LP-0122</v>
      </c>
      <c r="B37" s="0" t="str">
        <f aca="false">'Aging Report'!B26</f>
        <v>Paula Arroyo</v>
      </c>
      <c r="C37" s="0" t="str">
        <f aca="false">'Aging Report'!N26</f>
        <v>LP-0122</v>
      </c>
      <c r="D37" s="14" t="n">
        <f aca="false">'Aging Report'!I26</f>
        <v>509.6</v>
      </c>
      <c r="E37" s="14" t="n">
        <f aca="false">'Aging Report'!J26</f>
        <v>0</v>
      </c>
      <c r="F37" s="14" t="n">
        <f aca="false">'Aging Report'!R26</f>
        <v>509.6</v>
      </c>
      <c r="G37" s="14" t="n">
        <f aca="false">'Aging Report'!L26</f>
        <v>2038.4</v>
      </c>
      <c r="H37" s="0" t="str">
        <f aca="false">'Aging Report'!Q26</f>
        <v>Y</v>
      </c>
    </row>
    <row r="38" customFormat="false" ht="15" hidden="false" customHeight="false" outlineLevel="0" collapsed="false">
      <c r="A38" s="0" t="str">
        <f aca="false">'Aging Report'!A71</f>
        <v>AC-LP-0402</v>
      </c>
      <c r="B38" s="0" t="str">
        <f aca="false">'Aging Report'!B71</f>
        <v>Dawn Brown</v>
      </c>
      <c r="C38" s="0" t="str">
        <f aca="false">'Aging Report'!N71</f>
        <v>LP-0402</v>
      </c>
      <c r="D38" s="14" t="n">
        <f aca="false">'Aging Report'!I71</f>
        <v>384.8</v>
      </c>
      <c r="E38" s="14" t="n">
        <f aca="false">'Aging Report'!J71</f>
        <v>0</v>
      </c>
      <c r="F38" s="14" t="n">
        <f aca="false">'Aging Report'!R71</f>
        <v>384.8</v>
      </c>
      <c r="G38" s="14" t="n">
        <f aca="false">'Aging Report'!L71</f>
        <v>1539.2</v>
      </c>
      <c r="H38" s="0" t="str">
        <f aca="false">'Aging Report'!Q71</f>
        <v>Y</v>
      </c>
    </row>
    <row r="39" customFormat="false" ht="15" hidden="false" customHeight="false" outlineLevel="0" collapsed="false">
      <c r="A39" s="0" t="str">
        <f aca="false">'Aging Report'!A116</f>
        <v>AC-LP-0602</v>
      </c>
      <c r="B39" s="0" t="str">
        <f aca="false">'Aging Report'!B116</f>
        <v>Lee Maldonado</v>
      </c>
      <c r="C39" s="0" t="str">
        <f aca="false">'Aging Report'!N116</f>
        <v>LP-0602</v>
      </c>
      <c r="D39" s="14" t="n">
        <f aca="false">'Aging Report'!I116</f>
        <v>603.2</v>
      </c>
      <c r="E39" s="14" t="n">
        <f aca="false">'Aging Report'!J116</f>
        <v>603.2</v>
      </c>
      <c r="F39" s="14" t="n">
        <f aca="false">'Aging Report'!R116</f>
        <v>1206.4</v>
      </c>
      <c r="G39" s="14" t="n">
        <f aca="false">'Aging Report'!L116</f>
        <v>3016</v>
      </c>
      <c r="H39" s="0" t="str">
        <f aca="false">'Aging Report'!Q116</f>
        <v>Y</v>
      </c>
    </row>
    <row r="40" customFormat="false" ht="15" hidden="false" customHeight="false" outlineLevel="0" collapsed="false">
      <c r="A40" s="0" t="str">
        <f aca="false">'Aging Report'!A119</f>
        <v>AC-LP-0605</v>
      </c>
      <c r="B40" s="0" t="str">
        <f aca="false">'Aging Report'!B119</f>
        <v>Andrew Anderson</v>
      </c>
      <c r="C40" s="0" t="str">
        <f aca="false">'Aging Report'!N119</f>
        <v>LP-0605</v>
      </c>
      <c r="D40" s="14" t="n">
        <f aca="false">'Aging Report'!I119</f>
        <v>530.4</v>
      </c>
      <c r="E40" s="14" t="n">
        <f aca="false">'Aging Report'!J119</f>
        <v>0</v>
      </c>
      <c r="F40" s="14" t="n">
        <f aca="false">'Aging Report'!R119</f>
        <v>530.4</v>
      </c>
      <c r="G40" s="14" t="n">
        <f aca="false">'Aging Report'!L119</f>
        <v>2121.6</v>
      </c>
      <c r="H40" s="0" t="str">
        <f aca="false">'Aging Report'!Q119</f>
        <v>Y</v>
      </c>
    </row>
    <row r="41" customFormat="false" ht="15" hidden="false" customHeight="false" outlineLevel="0" collapsed="false">
      <c r="A41" s="0" t="str">
        <f aca="false">'Aging Report'!A150</f>
        <v>AC-LP-0713</v>
      </c>
      <c r="B41" s="0" t="str">
        <f aca="false">'Aging Report'!B150</f>
        <v>Stacey Mitchell</v>
      </c>
      <c r="C41" s="0" t="str">
        <f aca="false">'Aging Report'!N150</f>
        <v>LP-0713</v>
      </c>
      <c r="D41" s="14" t="n">
        <f aca="false">'Aging Report'!I150</f>
        <v>416</v>
      </c>
      <c r="E41" s="14" t="n">
        <f aca="false">'Aging Report'!J150</f>
        <v>832</v>
      </c>
      <c r="F41" s="14" t="n">
        <f aca="false">'Aging Report'!R150</f>
        <v>1248</v>
      </c>
      <c r="G41" s="14" t="n">
        <f aca="false">'Aging Report'!L150</f>
        <v>2496</v>
      </c>
      <c r="H41" s="0" t="str">
        <f aca="false">'Aging Report'!Q150</f>
        <v>Y</v>
      </c>
    </row>
    <row r="42" customFormat="false" ht="15" hidden="false" customHeight="false" outlineLevel="0" collapsed="false">
      <c r="A42" s="0" t="str">
        <f aca="false">'Aging Report'!A161</f>
        <v>AC-LP-0801</v>
      </c>
      <c r="B42" s="0" t="str">
        <f aca="false">'Aging Report'!B161</f>
        <v>Allison Nguyen</v>
      </c>
      <c r="C42" s="0" t="str">
        <f aca="false">'Aging Report'!N161</f>
        <v>LP-0801</v>
      </c>
      <c r="D42" s="14" t="n">
        <f aca="false">'Aging Report'!I161</f>
        <v>488.8</v>
      </c>
      <c r="E42" s="14" t="n">
        <f aca="false">'Aging Report'!J161</f>
        <v>0</v>
      </c>
      <c r="F42" s="14" t="n">
        <f aca="false">'Aging Report'!R161</f>
        <v>488.8</v>
      </c>
      <c r="G42" s="14" t="n">
        <f aca="false">'Aging Report'!L161</f>
        <v>1955.2</v>
      </c>
      <c r="H42" s="0" t="str">
        <f aca="false">'Aging Report'!Q161</f>
        <v>Y</v>
      </c>
    </row>
    <row r="43" customFormat="false" ht="15" hidden="false" customHeight="false" outlineLevel="0" collapsed="false">
      <c r="A43" s="15" t="s">
        <v>61</v>
      </c>
      <c r="B43" s="15"/>
      <c r="C43" s="15"/>
      <c r="D43" s="16" t="n">
        <f aca="false">SUM(D37:D42)</f>
        <v>2932.8</v>
      </c>
      <c r="E43" s="16" t="n">
        <f aca="false">SUM(E37:E42)</f>
        <v>1435.2</v>
      </c>
      <c r="F43" s="16" t="n">
        <f aca="false">SUM(F37:F42)</f>
        <v>4368</v>
      </c>
      <c r="G43" s="16" t="n">
        <f aca="false">SUM(G37:G42)</f>
        <v>13166.4</v>
      </c>
      <c r="H43" s="17" t="str">
        <f aca="false">COUNTIF(H37:H42,"Y")&amp;" verified"</f>
        <v>6 verified</v>
      </c>
    </row>
  </sheetData>
  <mergeCells count="31">
    <mergeCell ref="A1:H1"/>
    <mergeCell ref="A2:H2"/>
    <mergeCell ref="A4:H4"/>
    <mergeCell ref="A5:H5"/>
    <mergeCell ref="A6:H6"/>
    <mergeCell ref="A7:H7"/>
    <mergeCell ref="A9:H9"/>
    <mergeCell ref="D10:H10"/>
    <mergeCell ref="D11:H11"/>
    <mergeCell ref="D12:H12"/>
    <mergeCell ref="D13:H13"/>
    <mergeCell ref="D14:H14"/>
    <mergeCell ref="D15:H15"/>
    <mergeCell ref="D16:H16"/>
    <mergeCell ref="A18:H18"/>
    <mergeCell ref="D19:H19"/>
    <mergeCell ref="D20:H20"/>
    <mergeCell ref="D21:H21"/>
    <mergeCell ref="D22:H22"/>
    <mergeCell ref="D23:H23"/>
    <mergeCell ref="D24:H24"/>
    <mergeCell ref="A26:H26"/>
    <mergeCell ref="D27:H27"/>
    <mergeCell ref="D28:H28"/>
    <mergeCell ref="D29:H29"/>
    <mergeCell ref="D30:H30"/>
    <mergeCell ref="D31:H31"/>
    <mergeCell ref="D32:H32"/>
    <mergeCell ref="D33:H33"/>
    <mergeCell ref="A35:H35"/>
    <mergeCell ref="A43:C43"/>
  </mergeCells>
  <printOptions headings="false" gridLines="false" gridLinesSet="true" horizontalCentered="false" verticalCentered="false"/>
  <pageMargins left="0.35" right="0.35" top="0.4" bottom="0.4" header="0.511811023622047" footer="0.2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>&amp;C&amp;7 Chaldale Harbor District | Board audit | Page &amp;P of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7324D"/>
    <pageSetUpPr fitToPage="true"/>
  </sheetPr>
  <dimension ref="A1:E2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customHeight="true" zeroHeight="false" outlineLevelRow="0" outlineLevelCol="0"/>
  <cols>
    <col collapsed="false" customWidth="true" hidden="false" outlineLevel="0" max="1" min="1" style="0" width="42"/>
    <col collapsed="false" customWidth="true" hidden="false" outlineLevel="0" max="2" min="2" style="0" width="25"/>
    <col collapsed="false" customWidth="true" hidden="false" outlineLevel="0" max="3" min="3" style="0" width="54"/>
    <col collapsed="false" customWidth="true" hidden="false" outlineLevel="0" max="5" min="4" style="0" width="34"/>
  </cols>
  <sheetData>
    <row r="1" customFormat="false" ht="33.75" hidden="false" customHeight="true" outlineLevel="0" collapsed="false">
      <c r="A1" s="1" t="s">
        <v>62</v>
      </c>
      <c r="B1" s="1"/>
      <c r="C1" s="1"/>
      <c r="D1" s="1"/>
      <c r="E1" s="1"/>
    </row>
    <row r="2" customFormat="false" ht="27.75" hidden="false" customHeight="true" outlineLevel="0" collapsed="false">
      <c r="A2" s="2" t="s">
        <v>63</v>
      </c>
      <c r="B2" s="2"/>
      <c r="C2" s="2"/>
      <c r="D2" s="2"/>
      <c r="E2" s="2"/>
    </row>
    <row r="4" customFormat="false" ht="30" hidden="false" customHeight="true" outlineLevel="0" collapsed="false">
      <c r="A4" s="13" t="s">
        <v>64</v>
      </c>
      <c r="B4" s="13" t="s">
        <v>65</v>
      </c>
      <c r="C4" s="13" t="s">
        <v>66</v>
      </c>
      <c r="D4" s="13" t="s">
        <v>67</v>
      </c>
      <c r="E4" s="13" t="s">
        <v>68</v>
      </c>
    </row>
    <row r="5" customFormat="false" ht="24.75" hidden="false" customHeight="true" outlineLevel="0" collapsed="false">
      <c r="A5" s="18" t="s">
        <v>69</v>
      </c>
      <c r="B5" s="19" t="n">
        <v>10.4</v>
      </c>
      <c r="C5" s="18" t="s">
        <v>70</v>
      </c>
      <c r="D5" s="18" t="s">
        <v>71</v>
      </c>
      <c r="E5" s="18" t="s">
        <v>72</v>
      </c>
    </row>
    <row r="6" customFormat="false" ht="24.75" hidden="false" customHeight="true" outlineLevel="0" collapsed="false">
      <c r="A6" s="18" t="s">
        <v>73</v>
      </c>
      <c r="B6" s="19" t="n">
        <v>7.55</v>
      </c>
      <c r="C6" s="18" t="s">
        <v>70</v>
      </c>
      <c r="D6" s="18" t="s">
        <v>74</v>
      </c>
      <c r="E6" s="18" t="s">
        <v>72</v>
      </c>
    </row>
    <row r="7" customFormat="false" ht="24.75" hidden="false" customHeight="true" outlineLevel="0" collapsed="false">
      <c r="A7" s="18" t="s">
        <v>75</v>
      </c>
      <c r="B7" s="20" t="n">
        <v>46235</v>
      </c>
      <c r="C7" s="18" t="s">
        <v>76</v>
      </c>
      <c r="D7" s="18" t="s">
        <v>77</v>
      </c>
      <c r="E7" s="18" t="s">
        <v>72</v>
      </c>
    </row>
    <row r="8" customFormat="false" ht="24.75" hidden="false" customHeight="true" outlineLevel="0" collapsed="false">
      <c r="A8" s="18" t="s">
        <v>78</v>
      </c>
      <c r="B8" s="20" t="n">
        <v>46241</v>
      </c>
      <c r="C8" s="18" t="s">
        <v>79</v>
      </c>
      <c r="D8" s="18" t="s">
        <v>80</v>
      </c>
      <c r="E8" s="18" t="s">
        <v>72</v>
      </c>
    </row>
    <row r="9" customFormat="false" ht="24.75" hidden="false" customHeight="true" outlineLevel="0" collapsed="false">
      <c r="A9" s="18" t="s">
        <v>81</v>
      </c>
      <c r="B9" s="20" t="n">
        <v>44927</v>
      </c>
      <c r="C9" s="18" t="s">
        <v>79</v>
      </c>
      <c r="D9" s="18" t="s">
        <v>82</v>
      </c>
      <c r="E9" s="18" t="s">
        <v>72</v>
      </c>
    </row>
    <row r="10" customFormat="false" ht="24.75" hidden="false" customHeight="true" outlineLevel="0" collapsed="false">
      <c r="A10" s="18" t="s">
        <v>83</v>
      </c>
      <c r="B10" s="20" t="n">
        <v>46234</v>
      </c>
      <c r="C10" s="18" t="s">
        <v>79</v>
      </c>
      <c r="D10" s="18" t="s">
        <v>82</v>
      </c>
      <c r="E10" s="18" t="s">
        <v>72</v>
      </c>
    </row>
    <row r="11" customFormat="false" ht="24.75" hidden="false" customHeight="true" outlineLevel="0" collapsed="false">
      <c r="A11" s="18" t="s">
        <v>84</v>
      </c>
      <c r="B11" s="20" t="n">
        <v>44774</v>
      </c>
      <c r="C11" s="18" t="s">
        <v>70</v>
      </c>
      <c r="D11" s="18" t="s">
        <v>85</v>
      </c>
      <c r="E11" s="18" t="s">
        <v>72</v>
      </c>
    </row>
    <row r="12" customFormat="false" ht="15" hidden="false" customHeight="false" outlineLevel="0" collapsed="false">
      <c r="A12" s="18"/>
      <c r="B12" s="21"/>
      <c r="C12" s="18"/>
      <c r="D12" s="18"/>
      <c r="E12" s="18"/>
    </row>
    <row r="13" customFormat="false" ht="30" hidden="false" customHeight="true" outlineLevel="0" collapsed="false">
      <c r="A13" s="13" t="s">
        <v>86</v>
      </c>
      <c r="B13" s="13" t="s">
        <v>87</v>
      </c>
      <c r="C13" s="13" t="s">
        <v>88</v>
      </c>
      <c r="D13" s="13" t="s">
        <v>89</v>
      </c>
      <c r="E13" s="13" t="s">
        <v>90</v>
      </c>
    </row>
    <row r="14" customFormat="false" ht="42" hidden="false" customHeight="true" outlineLevel="0" collapsed="false">
      <c r="A14" s="18" t="s">
        <v>91</v>
      </c>
      <c r="B14" s="21" t="s">
        <v>92</v>
      </c>
      <c r="C14" s="18" t="s">
        <v>93</v>
      </c>
      <c r="D14" s="18" t="s">
        <v>94</v>
      </c>
      <c r="E14" s="18" t="s">
        <v>95</v>
      </c>
    </row>
    <row r="15" customFormat="false" ht="42" hidden="false" customHeight="true" outlineLevel="0" collapsed="false">
      <c r="A15" s="18" t="s">
        <v>96</v>
      </c>
      <c r="B15" s="21" t="s">
        <v>97</v>
      </c>
      <c r="C15" s="18" t="s">
        <v>98</v>
      </c>
      <c r="D15" s="18" t="s">
        <v>99</v>
      </c>
      <c r="E15" s="18" t="s">
        <v>100</v>
      </c>
    </row>
    <row r="16" customFormat="false" ht="42" hidden="false" customHeight="true" outlineLevel="0" collapsed="false">
      <c r="A16" s="18" t="s">
        <v>101</v>
      </c>
      <c r="B16" s="21" t="s">
        <v>102</v>
      </c>
      <c r="C16" s="18" t="s">
        <v>103</v>
      </c>
      <c r="D16" s="18" t="s">
        <v>104</v>
      </c>
      <c r="E16" s="18" t="s">
        <v>105</v>
      </c>
    </row>
    <row r="17" customFormat="false" ht="42" hidden="false" customHeight="true" outlineLevel="0" collapsed="false">
      <c r="A17" s="18" t="s">
        <v>106</v>
      </c>
      <c r="B17" s="21" t="s">
        <v>107</v>
      </c>
      <c r="C17" s="18" t="s">
        <v>108</v>
      </c>
      <c r="D17" s="18" t="s">
        <v>109</v>
      </c>
      <c r="E17" s="18" t="s">
        <v>110</v>
      </c>
    </row>
    <row r="18" customFormat="false" ht="42" hidden="false" customHeight="true" outlineLevel="0" collapsed="false">
      <c r="A18" s="18" t="s">
        <v>111</v>
      </c>
      <c r="B18" s="21" t="s">
        <v>112</v>
      </c>
      <c r="C18" s="18" t="s">
        <v>113</v>
      </c>
      <c r="D18" s="18" t="s">
        <v>114</v>
      </c>
      <c r="E18" s="18" t="s">
        <v>115</v>
      </c>
    </row>
    <row r="19" customFormat="false" ht="15" hidden="false" customHeight="false" outlineLevel="0" collapsed="false">
      <c r="A19" s="18"/>
      <c r="B19" s="21"/>
      <c r="C19" s="18"/>
      <c r="D19" s="18"/>
      <c r="E19" s="18"/>
    </row>
    <row r="20" customFormat="false" ht="30" hidden="false" customHeight="true" outlineLevel="0" collapsed="false">
      <c r="A20" s="13" t="s">
        <v>116</v>
      </c>
      <c r="B20" s="13" t="s">
        <v>117</v>
      </c>
      <c r="C20" s="13" t="s">
        <v>118</v>
      </c>
      <c r="D20" s="13" t="s">
        <v>119</v>
      </c>
      <c r="E20" s="13" t="s">
        <v>120</v>
      </c>
    </row>
    <row r="21" customFormat="false" ht="27.75" hidden="false" customHeight="true" outlineLevel="0" collapsed="false">
      <c r="A21" s="18" t="s">
        <v>121</v>
      </c>
      <c r="B21" s="21" t="s">
        <v>122</v>
      </c>
      <c r="C21" s="18" t="s">
        <v>123</v>
      </c>
      <c r="D21" s="18" t="s">
        <v>124</v>
      </c>
      <c r="E21" s="18" t="s">
        <v>125</v>
      </c>
    </row>
    <row r="22" customFormat="false" ht="27.75" hidden="false" customHeight="true" outlineLevel="0" collapsed="false">
      <c r="A22" s="18" t="s">
        <v>126</v>
      </c>
      <c r="B22" s="21" t="s">
        <v>127</v>
      </c>
      <c r="C22" s="18" t="s">
        <v>128</v>
      </c>
      <c r="D22" s="18" t="s">
        <v>124</v>
      </c>
      <c r="E22" s="18" t="s">
        <v>125</v>
      </c>
    </row>
    <row r="23" customFormat="false" ht="27.75" hidden="false" customHeight="true" outlineLevel="0" collapsed="false">
      <c r="A23" s="18" t="s">
        <v>129</v>
      </c>
      <c r="B23" s="21" t="s">
        <v>130</v>
      </c>
      <c r="C23" s="18" t="s">
        <v>131</v>
      </c>
      <c r="D23" s="18" t="s">
        <v>124</v>
      </c>
      <c r="E23" s="18" t="s">
        <v>125</v>
      </c>
    </row>
    <row r="24" customFormat="false" ht="27.75" hidden="false" customHeight="true" outlineLevel="0" collapsed="false">
      <c r="A24" s="18" t="s">
        <v>132</v>
      </c>
      <c r="B24" s="21" t="s">
        <v>133</v>
      </c>
      <c r="C24" s="18" t="s">
        <v>134</v>
      </c>
      <c r="D24" s="18" t="s">
        <v>124</v>
      </c>
      <c r="E24" s="18" t="s">
        <v>125</v>
      </c>
    </row>
    <row r="25" customFormat="false" ht="27.75" hidden="false" customHeight="true" outlineLevel="0" collapsed="false">
      <c r="A25" s="18" t="s">
        <v>76</v>
      </c>
      <c r="B25" s="21" t="s">
        <v>135</v>
      </c>
      <c r="C25" s="18" t="s">
        <v>136</v>
      </c>
      <c r="D25" s="18" t="s">
        <v>124</v>
      </c>
      <c r="E25" s="18" t="s">
        <v>125</v>
      </c>
    </row>
    <row r="26" customFormat="false" ht="27.75" hidden="false" customHeight="true" outlineLevel="0" collapsed="false">
      <c r="A26" s="18" t="s">
        <v>137</v>
      </c>
      <c r="B26" s="21" t="s">
        <v>138</v>
      </c>
      <c r="C26" s="18" t="s">
        <v>139</v>
      </c>
      <c r="D26" s="18" t="s">
        <v>124</v>
      </c>
      <c r="E26" s="18" t="s">
        <v>125</v>
      </c>
    </row>
    <row r="27" customFormat="false" ht="27.75" hidden="false" customHeight="true" outlineLevel="0" collapsed="false">
      <c r="A27" s="18" t="s">
        <v>140</v>
      </c>
      <c r="B27" s="21" t="s">
        <v>141</v>
      </c>
      <c r="C27" s="18" t="s">
        <v>142</v>
      </c>
      <c r="D27" s="18" t="s">
        <v>124</v>
      </c>
      <c r="E27" s="18" t="s">
        <v>125</v>
      </c>
    </row>
    <row r="28" customFormat="false" ht="27.75" hidden="false" customHeight="true" outlineLevel="0" collapsed="false">
      <c r="A28" s="18" t="s">
        <v>143</v>
      </c>
      <c r="B28" s="21" t="s">
        <v>144</v>
      </c>
      <c r="C28" s="18" t="s">
        <v>145</v>
      </c>
      <c r="D28" s="18" t="s">
        <v>124</v>
      </c>
      <c r="E28" s="18" t="s">
        <v>125</v>
      </c>
    </row>
    <row r="29" customFormat="false" ht="27.75" hidden="false" customHeight="true" outlineLevel="0" collapsed="false">
      <c r="A29" s="18" t="s">
        <v>146</v>
      </c>
      <c r="B29" s="21" t="s">
        <v>147</v>
      </c>
      <c r="C29" s="18" t="s">
        <v>148</v>
      </c>
      <c r="D29" s="18" t="s">
        <v>124</v>
      </c>
      <c r="E29" s="18" t="s">
        <v>125</v>
      </c>
    </row>
  </sheetData>
  <mergeCells count="2">
    <mergeCell ref="A1:E1"/>
    <mergeCell ref="A2:E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F291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customHeight="true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24"/>
    <col collapsed="false" customWidth="true" hidden="false" outlineLevel="0" max="3" min="3" style="0" width="18"/>
    <col collapsed="false" customWidth="true" hidden="false" outlineLevel="0" max="4" min="4" style="0" width="22"/>
    <col collapsed="false" customWidth="true" hidden="false" outlineLevel="0" max="5" min="5" style="0" width="10"/>
    <col collapsed="false" customWidth="true" hidden="false" outlineLevel="0" max="6" min="6" style="0" width="20"/>
  </cols>
  <sheetData>
    <row r="1" customFormat="false" ht="30" hidden="false" customHeight="true" outlineLevel="0" collapsed="false">
      <c r="A1" s="13" t="s">
        <v>149</v>
      </c>
      <c r="B1" s="13" t="s">
        <v>150</v>
      </c>
      <c r="C1" s="13" t="s">
        <v>151</v>
      </c>
      <c r="D1" s="13" t="s">
        <v>152</v>
      </c>
      <c r="E1" s="13" t="s">
        <v>153</v>
      </c>
      <c r="F1" s="13" t="s">
        <v>154</v>
      </c>
    </row>
    <row r="2" customFormat="false" ht="15" hidden="false" customHeight="false" outlineLevel="0" collapsed="false">
      <c r="A2" s="22" t="s">
        <v>155</v>
      </c>
      <c r="B2" s="22" t="s">
        <v>156</v>
      </c>
      <c r="C2" s="22" t="s">
        <v>157</v>
      </c>
      <c r="D2" s="22" t="s">
        <v>158</v>
      </c>
      <c r="E2" s="22" t="n">
        <v>51.6</v>
      </c>
      <c r="F2" s="22" t="s">
        <v>159</v>
      </c>
    </row>
    <row r="3" customFormat="false" ht="15" hidden="false" customHeight="false" outlineLevel="0" collapsed="false">
      <c r="A3" s="22" t="s">
        <v>160</v>
      </c>
      <c r="B3" s="22" t="s">
        <v>161</v>
      </c>
      <c r="C3" s="22" t="s">
        <v>162</v>
      </c>
      <c r="D3" s="22" t="s">
        <v>163</v>
      </c>
      <c r="E3" s="22" t="n">
        <v>38.2</v>
      </c>
      <c r="F3" s="22" t="s">
        <v>164</v>
      </c>
    </row>
    <row r="4" customFormat="false" ht="15" hidden="false" customHeight="false" outlineLevel="0" collapsed="false">
      <c r="A4" s="22" t="s">
        <v>165</v>
      </c>
      <c r="B4" s="22" t="s">
        <v>166</v>
      </c>
      <c r="C4" s="22" t="s">
        <v>162</v>
      </c>
      <c r="D4" s="22" t="s">
        <v>167</v>
      </c>
      <c r="E4" s="22" t="n">
        <v>55</v>
      </c>
      <c r="F4" s="22" t="s">
        <v>164</v>
      </c>
    </row>
    <row r="5" customFormat="false" ht="15" hidden="false" customHeight="false" outlineLevel="0" collapsed="false">
      <c r="A5" s="22" t="s">
        <v>168</v>
      </c>
      <c r="B5" s="22" t="s">
        <v>169</v>
      </c>
      <c r="C5" s="22" t="s">
        <v>162</v>
      </c>
      <c r="D5" s="22" t="s">
        <v>170</v>
      </c>
      <c r="E5" s="22" t="n">
        <v>61.6</v>
      </c>
      <c r="F5" s="22" t="s">
        <v>171</v>
      </c>
    </row>
    <row r="6" customFormat="false" ht="15" hidden="false" customHeight="false" outlineLevel="0" collapsed="false">
      <c r="A6" s="22" t="s">
        <v>172</v>
      </c>
      <c r="B6" s="22" t="s">
        <v>173</v>
      </c>
      <c r="C6" s="22" t="s">
        <v>162</v>
      </c>
      <c r="D6" s="22" t="s">
        <v>174</v>
      </c>
      <c r="E6" s="22" t="n">
        <v>49.9</v>
      </c>
      <c r="F6" s="22" t="s">
        <v>175</v>
      </c>
    </row>
    <row r="7" customFormat="false" ht="15" hidden="false" customHeight="false" outlineLevel="0" collapsed="false">
      <c r="A7" s="22" t="s">
        <v>176</v>
      </c>
      <c r="B7" s="22" t="s">
        <v>177</v>
      </c>
      <c r="C7" s="22" t="s">
        <v>162</v>
      </c>
      <c r="D7" s="22" t="s">
        <v>178</v>
      </c>
      <c r="E7" s="22" t="n">
        <v>34.4</v>
      </c>
      <c r="F7" s="22" t="s">
        <v>175</v>
      </c>
    </row>
    <row r="8" customFormat="false" ht="15" hidden="false" customHeight="false" outlineLevel="0" collapsed="false">
      <c r="A8" s="22" t="s">
        <v>179</v>
      </c>
      <c r="B8" s="22" t="s">
        <v>180</v>
      </c>
      <c r="C8" s="22" t="s">
        <v>162</v>
      </c>
      <c r="D8" s="22" t="s">
        <v>181</v>
      </c>
      <c r="E8" s="22" t="n">
        <v>47.6</v>
      </c>
      <c r="F8" s="22" t="s">
        <v>159</v>
      </c>
    </row>
    <row r="9" customFormat="false" ht="15" hidden="false" customHeight="false" outlineLevel="0" collapsed="false">
      <c r="A9" s="22" t="s">
        <v>182</v>
      </c>
      <c r="B9" s="22" t="s">
        <v>183</v>
      </c>
      <c r="C9" s="22" t="s">
        <v>162</v>
      </c>
      <c r="D9" s="22" t="s">
        <v>184</v>
      </c>
      <c r="E9" s="22" t="n">
        <v>52.8</v>
      </c>
      <c r="F9" s="22" t="s">
        <v>164</v>
      </c>
    </row>
    <row r="10" customFormat="false" ht="15" hidden="false" customHeight="false" outlineLevel="0" collapsed="false">
      <c r="A10" s="22" t="s">
        <v>185</v>
      </c>
      <c r="B10" s="22" t="s">
        <v>186</v>
      </c>
      <c r="C10" s="22" t="s">
        <v>162</v>
      </c>
      <c r="D10" s="22" t="s">
        <v>187</v>
      </c>
      <c r="E10" s="22" t="n">
        <v>22.2</v>
      </c>
      <c r="F10" s="22" t="s">
        <v>188</v>
      </c>
    </row>
    <row r="11" customFormat="false" ht="15" hidden="false" customHeight="false" outlineLevel="0" collapsed="false">
      <c r="A11" s="22" t="s">
        <v>189</v>
      </c>
      <c r="B11" s="22" t="s">
        <v>190</v>
      </c>
      <c r="C11" s="22" t="s">
        <v>162</v>
      </c>
      <c r="D11" s="22" t="s">
        <v>191</v>
      </c>
      <c r="E11" s="22" t="n">
        <v>26.5</v>
      </c>
      <c r="F11" s="22" t="s">
        <v>164</v>
      </c>
    </row>
    <row r="12" customFormat="false" ht="15" hidden="false" customHeight="false" outlineLevel="0" collapsed="false">
      <c r="A12" s="22" t="s">
        <v>192</v>
      </c>
      <c r="B12" s="22" t="s">
        <v>193</v>
      </c>
      <c r="C12" s="22" t="s">
        <v>162</v>
      </c>
      <c r="D12" s="22" t="s">
        <v>194</v>
      </c>
      <c r="E12" s="22" t="n">
        <v>60.3</v>
      </c>
      <c r="F12" s="22" t="s">
        <v>175</v>
      </c>
    </row>
    <row r="13" customFormat="false" ht="15" hidden="false" customHeight="false" outlineLevel="0" collapsed="false">
      <c r="A13" s="22" t="s">
        <v>195</v>
      </c>
      <c r="B13" s="22" t="s">
        <v>196</v>
      </c>
      <c r="C13" s="22" t="s">
        <v>162</v>
      </c>
      <c r="D13" s="22" t="s">
        <v>197</v>
      </c>
      <c r="E13" s="22" t="n">
        <v>23</v>
      </c>
      <c r="F13" s="22" t="s">
        <v>198</v>
      </c>
    </row>
    <row r="14" customFormat="false" ht="15" hidden="false" customHeight="false" outlineLevel="0" collapsed="false">
      <c r="A14" s="22" t="s">
        <v>199</v>
      </c>
      <c r="B14" s="22" t="s">
        <v>200</v>
      </c>
      <c r="C14" s="22" t="s">
        <v>162</v>
      </c>
      <c r="D14" s="22" t="s">
        <v>201</v>
      </c>
      <c r="E14" s="22" t="n">
        <v>52.5</v>
      </c>
      <c r="F14" s="22" t="s">
        <v>159</v>
      </c>
    </row>
    <row r="15" customFormat="false" ht="15" hidden="false" customHeight="false" outlineLevel="0" collapsed="false">
      <c r="A15" s="22" t="s">
        <v>202</v>
      </c>
      <c r="B15" s="22" t="s">
        <v>203</v>
      </c>
      <c r="C15" s="22" t="s">
        <v>162</v>
      </c>
      <c r="D15" s="22" t="s">
        <v>204</v>
      </c>
      <c r="E15" s="22" t="n">
        <v>43.6</v>
      </c>
      <c r="F15" s="22" t="s">
        <v>175</v>
      </c>
    </row>
    <row r="16" customFormat="false" ht="15" hidden="false" customHeight="false" outlineLevel="0" collapsed="false">
      <c r="A16" s="22" t="s">
        <v>205</v>
      </c>
      <c r="B16" s="22" t="s">
        <v>206</v>
      </c>
      <c r="C16" s="22" t="s">
        <v>207</v>
      </c>
      <c r="D16" s="22" t="s">
        <v>208</v>
      </c>
      <c r="E16" s="22" t="n">
        <v>18.2</v>
      </c>
      <c r="F16" s="22" t="s">
        <v>164</v>
      </c>
    </row>
    <row r="17" customFormat="false" ht="15" hidden="false" customHeight="false" outlineLevel="0" collapsed="false">
      <c r="A17" s="22" t="s">
        <v>209</v>
      </c>
      <c r="B17" s="22" t="s">
        <v>210</v>
      </c>
      <c r="C17" s="22" t="s">
        <v>162</v>
      </c>
      <c r="D17" s="22" t="s">
        <v>211</v>
      </c>
      <c r="E17" s="22" t="n">
        <v>43.6</v>
      </c>
      <c r="F17" s="22" t="s">
        <v>164</v>
      </c>
    </row>
    <row r="18" customFormat="false" ht="15" hidden="false" customHeight="false" outlineLevel="0" collapsed="false">
      <c r="A18" s="22" t="s">
        <v>212</v>
      </c>
      <c r="B18" s="22" t="s">
        <v>213</v>
      </c>
      <c r="C18" s="22" t="s">
        <v>207</v>
      </c>
      <c r="D18" s="22" t="s">
        <v>214</v>
      </c>
      <c r="E18" s="22" t="n">
        <v>44.5</v>
      </c>
      <c r="F18" s="22" t="s">
        <v>215</v>
      </c>
    </row>
    <row r="19" customFormat="false" ht="15" hidden="false" customHeight="false" outlineLevel="0" collapsed="false">
      <c r="A19" s="22" t="s">
        <v>216</v>
      </c>
      <c r="B19" s="22" t="s">
        <v>217</v>
      </c>
      <c r="C19" s="22" t="s">
        <v>162</v>
      </c>
      <c r="D19" s="22" t="s">
        <v>218</v>
      </c>
      <c r="E19" s="22" t="n">
        <v>53</v>
      </c>
      <c r="F19" s="22" t="s">
        <v>175</v>
      </c>
    </row>
    <row r="20" customFormat="false" ht="15" hidden="false" customHeight="false" outlineLevel="0" collapsed="false">
      <c r="A20" s="22" t="s">
        <v>219</v>
      </c>
      <c r="B20" s="22" t="s">
        <v>220</v>
      </c>
      <c r="C20" s="22" t="s">
        <v>162</v>
      </c>
      <c r="D20" s="22" t="s">
        <v>221</v>
      </c>
      <c r="E20" s="22" t="n">
        <v>48.2</v>
      </c>
      <c r="F20" s="22" t="s">
        <v>171</v>
      </c>
    </row>
    <row r="21" customFormat="false" ht="15" hidden="false" customHeight="false" outlineLevel="0" collapsed="false">
      <c r="A21" s="22" t="s">
        <v>222</v>
      </c>
      <c r="B21" s="22" t="s">
        <v>223</v>
      </c>
      <c r="C21" s="22" t="s">
        <v>157</v>
      </c>
      <c r="D21" s="22" t="s">
        <v>224</v>
      </c>
      <c r="E21" s="22" t="n">
        <v>22.2</v>
      </c>
      <c r="F21" s="22" t="s">
        <v>198</v>
      </c>
    </row>
    <row r="22" customFormat="false" ht="15" hidden="false" customHeight="false" outlineLevel="0" collapsed="false">
      <c r="A22" s="22" t="s">
        <v>225</v>
      </c>
      <c r="B22" s="22" t="s">
        <v>226</v>
      </c>
      <c r="C22" s="22" t="s">
        <v>162</v>
      </c>
      <c r="D22" s="22" t="s">
        <v>227</v>
      </c>
      <c r="E22" s="22" t="n">
        <v>24.1</v>
      </c>
      <c r="F22" s="22" t="s">
        <v>164</v>
      </c>
    </row>
    <row r="23" customFormat="false" ht="15" hidden="false" customHeight="false" outlineLevel="0" collapsed="false">
      <c r="A23" s="22" t="s">
        <v>228</v>
      </c>
      <c r="B23" s="22" t="s">
        <v>229</v>
      </c>
      <c r="C23" s="22" t="s">
        <v>162</v>
      </c>
      <c r="D23" s="22" t="s">
        <v>230</v>
      </c>
      <c r="E23" s="22" t="n">
        <v>43.9</v>
      </c>
      <c r="F23" s="22" t="s">
        <v>175</v>
      </c>
    </row>
    <row r="24" customFormat="false" ht="15" hidden="false" customHeight="false" outlineLevel="0" collapsed="false">
      <c r="A24" s="22" t="s">
        <v>231</v>
      </c>
      <c r="B24" s="22" t="s">
        <v>232</v>
      </c>
      <c r="C24" s="22" t="s">
        <v>162</v>
      </c>
      <c r="D24" s="22" t="s">
        <v>233</v>
      </c>
      <c r="E24" s="22" t="n">
        <v>33.9</v>
      </c>
      <c r="F24" s="22" t="s">
        <v>164</v>
      </c>
    </row>
    <row r="25" customFormat="false" ht="15" hidden="false" customHeight="false" outlineLevel="0" collapsed="false">
      <c r="A25" s="22" t="s">
        <v>234</v>
      </c>
      <c r="B25" s="22" t="s">
        <v>235</v>
      </c>
      <c r="C25" s="22" t="s">
        <v>162</v>
      </c>
      <c r="D25" s="22" t="s">
        <v>236</v>
      </c>
      <c r="E25" s="22" t="n">
        <v>48.1</v>
      </c>
      <c r="F25" s="22" t="s">
        <v>171</v>
      </c>
    </row>
    <row r="26" customFormat="false" ht="15" hidden="false" customHeight="false" outlineLevel="0" collapsed="false">
      <c r="A26" s="22" t="s">
        <v>237</v>
      </c>
      <c r="B26" s="22" t="s">
        <v>238</v>
      </c>
      <c r="C26" s="22" t="s">
        <v>162</v>
      </c>
      <c r="D26" s="22" t="s">
        <v>239</v>
      </c>
      <c r="E26" s="22" t="n">
        <v>48.6</v>
      </c>
      <c r="F26" s="22" t="s">
        <v>159</v>
      </c>
    </row>
    <row r="27" customFormat="false" ht="15" hidden="false" customHeight="false" outlineLevel="0" collapsed="false">
      <c r="A27" s="22" t="s">
        <v>240</v>
      </c>
      <c r="B27" s="22" t="s">
        <v>241</v>
      </c>
      <c r="C27" s="22" t="s">
        <v>162</v>
      </c>
      <c r="D27" s="22" t="s">
        <v>242</v>
      </c>
      <c r="E27" s="22" t="n">
        <v>53.1</v>
      </c>
      <c r="F27" s="22" t="s">
        <v>164</v>
      </c>
    </row>
    <row r="28" customFormat="false" ht="15" hidden="false" customHeight="false" outlineLevel="0" collapsed="false">
      <c r="A28" s="22" t="s">
        <v>243</v>
      </c>
      <c r="B28" s="22" t="s">
        <v>244</v>
      </c>
      <c r="C28" s="22" t="s">
        <v>162</v>
      </c>
      <c r="D28" s="22" t="s">
        <v>245</v>
      </c>
      <c r="E28" s="22" t="n">
        <v>53.9</v>
      </c>
      <c r="F28" s="22" t="s">
        <v>164</v>
      </c>
    </row>
    <row r="29" customFormat="false" ht="15" hidden="false" customHeight="false" outlineLevel="0" collapsed="false">
      <c r="A29" s="22" t="s">
        <v>246</v>
      </c>
      <c r="B29" s="22" t="s">
        <v>247</v>
      </c>
      <c r="C29" s="22" t="s">
        <v>162</v>
      </c>
      <c r="D29" s="22" t="s">
        <v>248</v>
      </c>
      <c r="E29" s="22" t="n">
        <v>53.7</v>
      </c>
      <c r="F29" s="22" t="s">
        <v>175</v>
      </c>
    </row>
    <row r="30" customFormat="false" ht="15" hidden="false" customHeight="false" outlineLevel="0" collapsed="false">
      <c r="A30" s="22" t="s">
        <v>249</v>
      </c>
      <c r="B30" s="22" t="s">
        <v>250</v>
      </c>
      <c r="C30" s="22" t="s">
        <v>162</v>
      </c>
      <c r="D30" s="22" t="s">
        <v>251</v>
      </c>
      <c r="E30" s="22" t="n">
        <v>44.6</v>
      </c>
      <c r="F30" s="22" t="s">
        <v>188</v>
      </c>
    </row>
    <row r="31" customFormat="false" ht="15" hidden="false" customHeight="false" outlineLevel="0" collapsed="false">
      <c r="A31" s="22" t="s">
        <v>252</v>
      </c>
      <c r="B31" s="22" t="s">
        <v>253</v>
      </c>
      <c r="C31" s="22" t="s">
        <v>162</v>
      </c>
      <c r="D31" s="22" t="s">
        <v>254</v>
      </c>
      <c r="E31" s="22" t="n">
        <v>37</v>
      </c>
      <c r="F31" s="22" t="s">
        <v>175</v>
      </c>
    </row>
    <row r="32" customFormat="false" ht="15" hidden="false" customHeight="false" outlineLevel="0" collapsed="false">
      <c r="A32" s="22" t="s">
        <v>255</v>
      </c>
      <c r="B32" s="22" t="s">
        <v>256</v>
      </c>
      <c r="C32" s="22" t="s">
        <v>162</v>
      </c>
      <c r="D32" s="22" t="s">
        <v>257</v>
      </c>
      <c r="E32" s="22" t="n">
        <v>21.9</v>
      </c>
      <c r="F32" s="22" t="s">
        <v>159</v>
      </c>
    </row>
    <row r="33" customFormat="false" ht="15" hidden="false" customHeight="false" outlineLevel="0" collapsed="false">
      <c r="A33" s="22" t="s">
        <v>258</v>
      </c>
      <c r="B33" s="22" t="s">
        <v>259</v>
      </c>
      <c r="C33" s="22" t="s">
        <v>207</v>
      </c>
      <c r="D33" s="22" t="s">
        <v>260</v>
      </c>
      <c r="E33" s="22" t="n">
        <v>41.4</v>
      </c>
      <c r="F33" s="22" t="s">
        <v>159</v>
      </c>
    </row>
    <row r="34" customFormat="false" ht="15" hidden="false" customHeight="false" outlineLevel="0" collapsed="false">
      <c r="A34" s="22" t="s">
        <v>261</v>
      </c>
      <c r="B34" s="22" t="s">
        <v>262</v>
      </c>
      <c r="C34" s="22" t="s">
        <v>162</v>
      </c>
      <c r="D34" s="22" t="s">
        <v>263</v>
      </c>
      <c r="E34" s="22" t="n">
        <v>29</v>
      </c>
      <c r="F34" s="22" t="s">
        <v>164</v>
      </c>
    </row>
    <row r="35" customFormat="false" ht="15" hidden="false" customHeight="false" outlineLevel="0" collapsed="false">
      <c r="A35" s="22" t="s">
        <v>264</v>
      </c>
      <c r="B35" s="22" t="s">
        <v>265</v>
      </c>
      <c r="C35" s="22" t="s">
        <v>162</v>
      </c>
      <c r="D35" s="22" t="s">
        <v>266</v>
      </c>
      <c r="E35" s="22" t="n">
        <v>47.4</v>
      </c>
      <c r="F35" s="22" t="s">
        <v>159</v>
      </c>
    </row>
    <row r="36" customFormat="false" ht="15" hidden="false" customHeight="false" outlineLevel="0" collapsed="false">
      <c r="A36" s="22" t="s">
        <v>267</v>
      </c>
      <c r="B36" s="22" t="s">
        <v>268</v>
      </c>
      <c r="C36" s="22" t="s">
        <v>162</v>
      </c>
      <c r="D36" s="22" t="s">
        <v>269</v>
      </c>
      <c r="E36" s="22" t="n">
        <v>58.9</v>
      </c>
      <c r="F36" s="22" t="s">
        <v>164</v>
      </c>
    </row>
    <row r="37" customFormat="false" ht="15" hidden="false" customHeight="false" outlineLevel="0" collapsed="false">
      <c r="A37" s="22" t="s">
        <v>270</v>
      </c>
      <c r="B37" s="22" t="s">
        <v>271</v>
      </c>
      <c r="C37" s="22" t="s">
        <v>162</v>
      </c>
      <c r="D37" s="22" t="s">
        <v>272</v>
      </c>
      <c r="E37" s="22" t="n">
        <v>23.3</v>
      </c>
      <c r="F37" s="22" t="s">
        <v>159</v>
      </c>
    </row>
    <row r="38" customFormat="false" ht="15" hidden="false" customHeight="false" outlineLevel="0" collapsed="false">
      <c r="A38" s="22" t="s">
        <v>273</v>
      </c>
      <c r="B38" s="22" t="s">
        <v>274</v>
      </c>
      <c r="C38" s="22" t="s">
        <v>157</v>
      </c>
      <c r="D38" s="22" t="s">
        <v>275</v>
      </c>
      <c r="E38" s="22" t="n">
        <v>19.1</v>
      </c>
      <c r="F38" s="22" t="s">
        <v>164</v>
      </c>
    </row>
    <row r="39" customFormat="false" ht="15" hidden="false" customHeight="false" outlineLevel="0" collapsed="false">
      <c r="A39" s="22" t="s">
        <v>276</v>
      </c>
      <c r="B39" s="22" t="s">
        <v>277</v>
      </c>
      <c r="C39" s="22" t="s">
        <v>157</v>
      </c>
      <c r="D39" s="22" t="s">
        <v>278</v>
      </c>
      <c r="E39" s="22" t="n">
        <v>48.4</v>
      </c>
      <c r="F39" s="22" t="s">
        <v>198</v>
      </c>
    </row>
    <row r="40" customFormat="false" ht="15" hidden="false" customHeight="false" outlineLevel="0" collapsed="false">
      <c r="A40" s="22" t="s">
        <v>279</v>
      </c>
      <c r="B40" s="22" t="s">
        <v>280</v>
      </c>
      <c r="C40" s="22" t="s">
        <v>162</v>
      </c>
      <c r="D40" s="22" t="s">
        <v>281</v>
      </c>
      <c r="E40" s="22" t="n">
        <v>24.1</v>
      </c>
      <c r="F40" s="22" t="s">
        <v>175</v>
      </c>
    </row>
    <row r="41" customFormat="false" ht="15" hidden="false" customHeight="false" outlineLevel="0" collapsed="false">
      <c r="A41" s="22" t="s">
        <v>282</v>
      </c>
      <c r="B41" s="22" t="s">
        <v>283</v>
      </c>
      <c r="C41" s="22" t="s">
        <v>162</v>
      </c>
      <c r="D41" s="22" t="s">
        <v>284</v>
      </c>
      <c r="E41" s="22" t="n">
        <v>35.3</v>
      </c>
      <c r="F41" s="22" t="s">
        <v>164</v>
      </c>
    </row>
    <row r="42" customFormat="false" ht="15" hidden="false" customHeight="false" outlineLevel="0" collapsed="false">
      <c r="A42" s="22" t="s">
        <v>285</v>
      </c>
      <c r="B42" s="22" t="s">
        <v>286</v>
      </c>
      <c r="C42" s="22" t="s">
        <v>157</v>
      </c>
      <c r="D42" s="22" t="s">
        <v>287</v>
      </c>
      <c r="E42" s="22" t="n">
        <v>20.5</v>
      </c>
      <c r="F42" s="22" t="s">
        <v>164</v>
      </c>
    </row>
    <row r="43" customFormat="false" ht="15" hidden="false" customHeight="false" outlineLevel="0" collapsed="false">
      <c r="A43" s="22" t="s">
        <v>288</v>
      </c>
      <c r="B43" s="22" t="s">
        <v>289</v>
      </c>
      <c r="C43" s="22" t="s">
        <v>162</v>
      </c>
      <c r="D43" s="22" t="s">
        <v>290</v>
      </c>
      <c r="E43" s="22" t="n">
        <v>22.9</v>
      </c>
      <c r="F43" s="22" t="s">
        <v>198</v>
      </c>
    </row>
    <row r="44" customFormat="false" ht="15" hidden="false" customHeight="false" outlineLevel="0" collapsed="false">
      <c r="A44" s="22" t="s">
        <v>291</v>
      </c>
      <c r="B44" s="22" t="s">
        <v>292</v>
      </c>
      <c r="C44" s="22" t="s">
        <v>162</v>
      </c>
      <c r="D44" s="22" t="s">
        <v>293</v>
      </c>
      <c r="E44" s="22" t="n">
        <v>61.5</v>
      </c>
      <c r="F44" s="22" t="s">
        <v>164</v>
      </c>
    </row>
    <row r="45" customFormat="false" ht="15" hidden="false" customHeight="false" outlineLevel="0" collapsed="false">
      <c r="A45" s="22" t="s">
        <v>294</v>
      </c>
      <c r="B45" s="22" t="s">
        <v>295</v>
      </c>
      <c r="C45" s="22" t="s">
        <v>162</v>
      </c>
      <c r="D45" s="22" t="s">
        <v>296</v>
      </c>
      <c r="E45" s="22" t="n">
        <v>55.9</v>
      </c>
      <c r="F45" s="22" t="s">
        <v>198</v>
      </c>
    </row>
    <row r="46" customFormat="false" ht="15" hidden="false" customHeight="false" outlineLevel="0" collapsed="false">
      <c r="A46" s="22" t="s">
        <v>297</v>
      </c>
      <c r="B46" s="22" t="s">
        <v>298</v>
      </c>
      <c r="C46" s="22" t="s">
        <v>162</v>
      </c>
      <c r="D46" s="22" t="s">
        <v>299</v>
      </c>
      <c r="E46" s="22" t="n">
        <v>47</v>
      </c>
      <c r="F46" s="22" t="s">
        <v>171</v>
      </c>
    </row>
    <row r="47" customFormat="false" ht="15" hidden="false" customHeight="false" outlineLevel="0" collapsed="false">
      <c r="A47" s="22" t="s">
        <v>300</v>
      </c>
      <c r="B47" s="22" t="s">
        <v>301</v>
      </c>
      <c r="C47" s="22" t="s">
        <v>162</v>
      </c>
      <c r="D47" s="22" t="s">
        <v>302</v>
      </c>
      <c r="E47" s="22" t="n">
        <v>48.1</v>
      </c>
      <c r="F47" s="22" t="s">
        <v>164</v>
      </c>
    </row>
    <row r="48" customFormat="false" ht="15" hidden="false" customHeight="false" outlineLevel="0" collapsed="false">
      <c r="A48" s="22" t="s">
        <v>303</v>
      </c>
      <c r="B48" s="22" t="s">
        <v>304</v>
      </c>
      <c r="C48" s="22" t="s">
        <v>162</v>
      </c>
      <c r="D48" s="22" t="s">
        <v>201</v>
      </c>
      <c r="E48" s="22" t="n">
        <v>24.6</v>
      </c>
      <c r="F48" s="22" t="s">
        <v>159</v>
      </c>
    </row>
    <row r="49" customFormat="false" ht="15" hidden="false" customHeight="false" outlineLevel="0" collapsed="false">
      <c r="A49" s="22" t="s">
        <v>305</v>
      </c>
      <c r="B49" s="22" t="s">
        <v>306</v>
      </c>
      <c r="C49" s="22" t="s">
        <v>162</v>
      </c>
      <c r="D49" s="22" t="s">
        <v>307</v>
      </c>
      <c r="E49" s="22" t="n">
        <v>33.7</v>
      </c>
      <c r="F49" s="22" t="s">
        <v>171</v>
      </c>
    </row>
    <row r="50" customFormat="false" ht="15" hidden="false" customHeight="false" outlineLevel="0" collapsed="false">
      <c r="A50" s="22" t="s">
        <v>308</v>
      </c>
      <c r="B50" s="22" t="s">
        <v>309</v>
      </c>
      <c r="C50" s="22" t="s">
        <v>162</v>
      </c>
      <c r="D50" s="22" t="s">
        <v>245</v>
      </c>
      <c r="E50" s="22" t="n">
        <v>35.7</v>
      </c>
      <c r="F50" s="22" t="s">
        <v>164</v>
      </c>
    </row>
    <row r="51" customFormat="false" ht="15" hidden="false" customHeight="false" outlineLevel="0" collapsed="false">
      <c r="A51" s="22" t="s">
        <v>310</v>
      </c>
      <c r="B51" s="22" t="s">
        <v>311</v>
      </c>
      <c r="C51" s="22" t="s">
        <v>162</v>
      </c>
      <c r="D51" s="22" t="s">
        <v>312</v>
      </c>
      <c r="E51" s="22" t="n">
        <v>31.5</v>
      </c>
      <c r="F51" s="22" t="s">
        <v>164</v>
      </c>
    </row>
    <row r="52" customFormat="false" ht="15" hidden="false" customHeight="false" outlineLevel="0" collapsed="false">
      <c r="A52" s="22" t="s">
        <v>313</v>
      </c>
      <c r="B52" s="22" t="s">
        <v>314</v>
      </c>
      <c r="C52" s="22" t="s">
        <v>162</v>
      </c>
      <c r="D52" s="22" t="s">
        <v>315</v>
      </c>
      <c r="E52" s="22" t="n">
        <v>48.5</v>
      </c>
      <c r="F52" s="22" t="s">
        <v>164</v>
      </c>
    </row>
    <row r="53" customFormat="false" ht="15" hidden="false" customHeight="false" outlineLevel="0" collapsed="false">
      <c r="A53" s="22" t="s">
        <v>316</v>
      </c>
      <c r="B53" s="22" t="s">
        <v>317</v>
      </c>
      <c r="C53" s="22" t="s">
        <v>162</v>
      </c>
      <c r="D53" s="22" t="s">
        <v>318</v>
      </c>
      <c r="E53" s="22" t="n">
        <v>45.5</v>
      </c>
      <c r="F53" s="22" t="s">
        <v>171</v>
      </c>
    </row>
    <row r="54" customFormat="false" ht="15" hidden="false" customHeight="false" outlineLevel="0" collapsed="false">
      <c r="A54" s="22" t="s">
        <v>319</v>
      </c>
      <c r="B54" s="22" t="s">
        <v>320</v>
      </c>
      <c r="C54" s="22" t="s">
        <v>162</v>
      </c>
      <c r="D54" s="22" t="s">
        <v>321</v>
      </c>
      <c r="E54" s="22" t="n">
        <v>45.1</v>
      </c>
      <c r="F54" s="22" t="s">
        <v>198</v>
      </c>
    </row>
    <row r="55" customFormat="false" ht="15" hidden="false" customHeight="false" outlineLevel="0" collapsed="false">
      <c r="A55" s="22" t="s">
        <v>322</v>
      </c>
      <c r="B55" s="22" t="s">
        <v>323</v>
      </c>
      <c r="C55" s="22" t="s">
        <v>162</v>
      </c>
      <c r="D55" s="22" t="s">
        <v>324</v>
      </c>
      <c r="E55" s="22" t="n">
        <v>20.7</v>
      </c>
      <c r="F55" s="22" t="s">
        <v>175</v>
      </c>
    </row>
    <row r="56" customFormat="false" ht="15" hidden="false" customHeight="false" outlineLevel="0" collapsed="false">
      <c r="A56" s="22" t="s">
        <v>325</v>
      </c>
      <c r="B56" s="22" t="s">
        <v>326</v>
      </c>
      <c r="C56" s="22" t="s">
        <v>162</v>
      </c>
      <c r="D56" s="22" t="s">
        <v>327</v>
      </c>
      <c r="E56" s="22" t="n">
        <v>32</v>
      </c>
      <c r="F56" s="22" t="s">
        <v>159</v>
      </c>
    </row>
    <row r="57" customFormat="false" ht="15" hidden="false" customHeight="false" outlineLevel="0" collapsed="false">
      <c r="A57" s="22" t="s">
        <v>328</v>
      </c>
      <c r="B57" s="22" t="s">
        <v>329</v>
      </c>
      <c r="C57" s="22" t="s">
        <v>207</v>
      </c>
      <c r="D57" s="22" t="s">
        <v>330</v>
      </c>
      <c r="E57" s="22" t="n">
        <v>26.3</v>
      </c>
      <c r="F57" s="22" t="s">
        <v>164</v>
      </c>
    </row>
    <row r="58" customFormat="false" ht="15" hidden="false" customHeight="false" outlineLevel="0" collapsed="false">
      <c r="A58" s="22" t="s">
        <v>331</v>
      </c>
      <c r="B58" s="22" t="s">
        <v>332</v>
      </c>
      <c r="C58" s="22" t="s">
        <v>162</v>
      </c>
      <c r="D58" s="22" t="s">
        <v>333</v>
      </c>
      <c r="E58" s="22" t="n">
        <v>56.5</v>
      </c>
      <c r="F58" s="22" t="s">
        <v>175</v>
      </c>
    </row>
    <row r="59" customFormat="false" ht="15" hidden="false" customHeight="false" outlineLevel="0" collapsed="false">
      <c r="A59" s="22" t="s">
        <v>334</v>
      </c>
      <c r="B59" s="22" t="s">
        <v>335</v>
      </c>
      <c r="C59" s="22" t="s">
        <v>162</v>
      </c>
      <c r="D59" s="22" t="s">
        <v>336</v>
      </c>
      <c r="E59" s="22" t="n">
        <v>19</v>
      </c>
      <c r="F59" s="22" t="s">
        <v>171</v>
      </c>
    </row>
    <row r="60" customFormat="false" ht="15" hidden="false" customHeight="false" outlineLevel="0" collapsed="false">
      <c r="A60" s="22" t="s">
        <v>337</v>
      </c>
      <c r="B60" s="22" t="s">
        <v>338</v>
      </c>
      <c r="C60" s="22" t="s">
        <v>157</v>
      </c>
      <c r="D60" s="22" t="s">
        <v>266</v>
      </c>
      <c r="E60" s="22" t="n">
        <v>40.3</v>
      </c>
      <c r="F60" s="22" t="s">
        <v>215</v>
      </c>
    </row>
    <row r="61" customFormat="false" ht="15" hidden="false" customHeight="false" outlineLevel="0" collapsed="false">
      <c r="A61" s="22" t="s">
        <v>339</v>
      </c>
      <c r="B61" s="22" t="s">
        <v>340</v>
      </c>
      <c r="C61" s="22" t="s">
        <v>162</v>
      </c>
      <c r="D61" s="22" t="s">
        <v>341</v>
      </c>
      <c r="E61" s="22" t="n">
        <v>23.7</v>
      </c>
      <c r="F61" s="22" t="s">
        <v>164</v>
      </c>
    </row>
    <row r="62" customFormat="false" ht="15" hidden="false" customHeight="false" outlineLevel="0" collapsed="false">
      <c r="A62" s="22" t="s">
        <v>342</v>
      </c>
      <c r="B62" s="22" t="s">
        <v>343</v>
      </c>
      <c r="C62" s="22" t="s">
        <v>162</v>
      </c>
      <c r="D62" s="22" t="s">
        <v>296</v>
      </c>
      <c r="E62" s="22" t="n">
        <v>52.4</v>
      </c>
      <c r="F62" s="22" t="s">
        <v>159</v>
      </c>
    </row>
    <row r="63" customFormat="false" ht="15" hidden="false" customHeight="false" outlineLevel="0" collapsed="false">
      <c r="A63" s="22" t="s">
        <v>344</v>
      </c>
      <c r="B63" s="22" t="s">
        <v>345</v>
      </c>
      <c r="C63" s="22" t="s">
        <v>162</v>
      </c>
      <c r="D63" s="22" t="s">
        <v>346</v>
      </c>
      <c r="E63" s="22" t="n">
        <v>44.7</v>
      </c>
      <c r="F63" s="22" t="s">
        <v>171</v>
      </c>
    </row>
    <row r="64" customFormat="false" ht="15" hidden="false" customHeight="false" outlineLevel="0" collapsed="false">
      <c r="A64" s="22" t="s">
        <v>347</v>
      </c>
      <c r="B64" s="22" t="s">
        <v>348</v>
      </c>
      <c r="C64" s="22" t="s">
        <v>162</v>
      </c>
      <c r="D64" s="22" t="s">
        <v>349</v>
      </c>
      <c r="E64" s="22" t="n">
        <v>46.9</v>
      </c>
      <c r="F64" s="22" t="s">
        <v>164</v>
      </c>
    </row>
    <row r="65" customFormat="false" ht="15" hidden="false" customHeight="false" outlineLevel="0" collapsed="false">
      <c r="A65" s="22" t="s">
        <v>350</v>
      </c>
      <c r="B65" s="22" t="s">
        <v>351</v>
      </c>
      <c r="C65" s="22" t="s">
        <v>207</v>
      </c>
      <c r="D65" s="22" t="s">
        <v>352</v>
      </c>
      <c r="E65" s="22" t="n">
        <v>20.9</v>
      </c>
      <c r="F65" s="22" t="s">
        <v>164</v>
      </c>
    </row>
    <row r="66" customFormat="false" ht="15" hidden="false" customHeight="false" outlineLevel="0" collapsed="false">
      <c r="A66" s="22" t="s">
        <v>353</v>
      </c>
      <c r="B66" s="22" t="s">
        <v>354</v>
      </c>
      <c r="C66" s="22" t="s">
        <v>162</v>
      </c>
      <c r="D66" s="22" t="s">
        <v>355</v>
      </c>
      <c r="E66" s="22" t="n">
        <v>27.6</v>
      </c>
      <c r="F66" s="22" t="s">
        <v>159</v>
      </c>
    </row>
    <row r="67" customFormat="false" ht="15" hidden="false" customHeight="false" outlineLevel="0" collapsed="false">
      <c r="A67" s="22" t="s">
        <v>356</v>
      </c>
      <c r="B67" s="22" t="s">
        <v>357</v>
      </c>
      <c r="C67" s="22" t="s">
        <v>162</v>
      </c>
      <c r="D67" s="22" t="s">
        <v>358</v>
      </c>
      <c r="E67" s="22" t="n">
        <v>19.5</v>
      </c>
      <c r="F67" s="22" t="s">
        <v>164</v>
      </c>
    </row>
    <row r="68" customFormat="false" ht="15" hidden="false" customHeight="false" outlineLevel="0" collapsed="false">
      <c r="A68" s="22" t="s">
        <v>359</v>
      </c>
      <c r="B68" s="22" t="s">
        <v>360</v>
      </c>
      <c r="C68" s="22" t="s">
        <v>157</v>
      </c>
      <c r="D68" s="22" t="s">
        <v>361</v>
      </c>
      <c r="E68" s="22" t="n">
        <v>45.5</v>
      </c>
      <c r="F68" s="22" t="s">
        <v>171</v>
      </c>
    </row>
    <row r="69" customFormat="false" ht="15" hidden="false" customHeight="false" outlineLevel="0" collapsed="false">
      <c r="A69" s="22" t="s">
        <v>362</v>
      </c>
      <c r="B69" s="22" t="s">
        <v>363</v>
      </c>
      <c r="C69" s="22" t="s">
        <v>162</v>
      </c>
      <c r="D69" s="22" t="s">
        <v>364</v>
      </c>
      <c r="E69" s="22" t="n">
        <v>20.7</v>
      </c>
      <c r="F69" s="22" t="s">
        <v>159</v>
      </c>
    </row>
    <row r="70" customFormat="false" ht="15" hidden="false" customHeight="false" outlineLevel="0" collapsed="false">
      <c r="A70" s="22" t="s">
        <v>365</v>
      </c>
      <c r="B70" s="22" t="s">
        <v>366</v>
      </c>
      <c r="C70" s="22" t="s">
        <v>162</v>
      </c>
      <c r="D70" s="22" t="s">
        <v>367</v>
      </c>
      <c r="E70" s="22" t="n">
        <v>56.8</v>
      </c>
      <c r="F70" s="22" t="s">
        <v>164</v>
      </c>
    </row>
    <row r="71" customFormat="false" ht="15" hidden="false" customHeight="false" outlineLevel="0" collapsed="false">
      <c r="A71" s="22" t="s">
        <v>368</v>
      </c>
      <c r="B71" s="22" t="s">
        <v>369</v>
      </c>
      <c r="C71" s="22" t="s">
        <v>162</v>
      </c>
      <c r="D71" s="22" t="s">
        <v>370</v>
      </c>
      <c r="E71" s="22" t="n">
        <v>29.7</v>
      </c>
      <c r="F71" s="22" t="s">
        <v>164</v>
      </c>
    </row>
    <row r="72" customFormat="false" ht="15" hidden="false" customHeight="false" outlineLevel="0" collapsed="false">
      <c r="A72" s="22" t="s">
        <v>371</v>
      </c>
      <c r="B72" s="22" t="s">
        <v>372</v>
      </c>
      <c r="C72" s="22" t="s">
        <v>162</v>
      </c>
      <c r="D72" s="22" t="s">
        <v>373</v>
      </c>
      <c r="E72" s="22" t="n">
        <v>41.1</v>
      </c>
      <c r="F72" s="22" t="s">
        <v>175</v>
      </c>
    </row>
    <row r="73" customFormat="false" ht="15" hidden="false" customHeight="false" outlineLevel="0" collapsed="false">
      <c r="A73" s="22" t="s">
        <v>374</v>
      </c>
      <c r="B73" s="22" t="s">
        <v>375</v>
      </c>
      <c r="C73" s="22" t="s">
        <v>162</v>
      </c>
      <c r="D73" s="22" t="s">
        <v>376</v>
      </c>
      <c r="E73" s="22" t="n">
        <v>52.3</v>
      </c>
      <c r="F73" s="22" t="s">
        <v>159</v>
      </c>
    </row>
    <row r="74" customFormat="false" ht="15" hidden="false" customHeight="false" outlineLevel="0" collapsed="false">
      <c r="A74" s="22" t="s">
        <v>377</v>
      </c>
      <c r="B74" s="22" t="s">
        <v>378</v>
      </c>
      <c r="C74" s="22" t="s">
        <v>162</v>
      </c>
      <c r="D74" s="22" t="s">
        <v>379</v>
      </c>
      <c r="E74" s="22" t="n">
        <v>38.5</v>
      </c>
      <c r="F74" s="22" t="s">
        <v>171</v>
      </c>
    </row>
    <row r="75" customFormat="false" ht="15" hidden="false" customHeight="false" outlineLevel="0" collapsed="false">
      <c r="A75" s="22" t="s">
        <v>380</v>
      </c>
      <c r="B75" s="22" t="s">
        <v>381</v>
      </c>
      <c r="C75" s="22" t="s">
        <v>207</v>
      </c>
      <c r="D75" s="22" t="s">
        <v>248</v>
      </c>
      <c r="E75" s="22" t="n">
        <v>28.7</v>
      </c>
      <c r="F75" s="22" t="s">
        <v>175</v>
      </c>
    </row>
    <row r="76" customFormat="false" ht="15" hidden="false" customHeight="false" outlineLevel="0" collapsed="false">
      <c r="A76" s="22" t="s">
        <v>382</v>
      </c>
      <c r="B76" s="22" t="s">
        <v>383</v>
      </c>
      <c r="C76" s="22" t="s">
        <v>162</v>
      </c>
      <c r="D76" s="22" t="s">
        <v>269</v>
      </c>
      <c r="E76" s="22" t="n">
        <v>53.2</v>
      </c>
      <c r="F76" s="22" t="s">
        <v>198</v>
      </c>
    </row>
    <row r="77" customFormat="false" ht="15" hidden="false" customHeight="false" outlineLevel="0" collapsed="false">
      <c r="A77" s="22" t="s">
        <v>384</v>
      </c>
      <c r="B77" s="22" t="s">
        <v>385</v>
      </c>
      <c r="C77" s="22" t="s">
        <v>162</v>
      </c>
      <c r="D77" s="22" t="s">
        <v>386</v>
      </c>
      <c r="E77" s="22" t="n">
        <v>49.9</v>
      </c>
      <c r="F77" s="22" t="s">
        <v>164</v>
      </c>
    </row>
    <row r="78" customFormat="false" ht="15" hidden="false" customHeight="false" outlineLevel="0" collapsed="false">
      <c r="A78" s="22" t="s">
        <v>387</v>
      </c>
      <c r="B78" s="22" t="s">
        <v>388</v>
      </c>
      <c r="C78" s="22" t="s">
        <v>162</v>
      </c>
      <c r="D78" s="22" t="s">
        <v>389</v>
      </c>
      <c r="E78" s="22" t="n">
        <v>59.5</v>
      </c>
      <c r="F78" s="22" t="s">
        <v>164</v>
      </c>
    </row>
    <row r="79" customFormat="false" ht="15" hidden="false" customHeight="false" outlineLevel="0" collapsed="false">
      <c r="A79" s="22" t="s">
        <v>390</v>
      </c>
      <c r="B79" s="22" t="s">
        <v>391</v>
      </c>
      <c r="C79" s="22" t="s">
        <v>207</v>
      </c>
      <c r="D79" s="22" t="s">
        <v>392</v>
      </c>
      <c r="E79" s="22" t="n">
        <v>28.3</v>
      </c>
      <c r="F79" s="22" t="s">
        <v>171</v>
      </c>
    </row>
    <row r="80" customFormat="false" ht="15" hidden="false" customHeight="false" outlineLevel="0" collapsed="false">
      <c r="A80" s="22" t="s">
        <v>393</v>
      </c>
      <c r="B80" s="22" t="s">
        <v>394</v>
      </c>
      <c r="C80" s="22" t="s">
        <v>162</v>
      </c>
      <c r="D80" s="22" t="s">
        <v>395</v>
      </c>
      <c r="E80" s="22" t="n">
        <v>48.4</v>
      </c>
      <c r="F80" s="22" t="s">
        <v>159</v>
      </c>
    </row>
    <row r="81" customFormat="false" ht="15" hidden="false" customHeight="false" outlineLevel="0" collapsed="false">
      <c r="A81" s="22" t="s">
        <v>396</v>
      </c>
      <c r="B81" s="22" t="s">
        <v>397</v>
      </c>
      <c r="C81" s="22" t="s">
        <v>162</v>
      </c>
      <c r="D81" s="22" t="s">
        <v>398</v>
      </c>
      <c r="E81" s="22" t="n">
        <v>54</v>
      </c>
      <c r="F81" s="22" t="s">
        <v>198</v>
      </c>
    </row>
    <row r="82" customFormat="false" ht="15" hidden="false" customHeight="false" outlineLevel="0" collapsed="false">
      <c r="A82" s="22" t="s">
        <v>399</v>
      </c>
      <c r="B82" s="22" t="s">
        <v>400</v>
      </c>
      <c r="C82" s="22" t="s">
        <v>162</v>
      </c>
      <c r="D82" s="22" t="s">
        <v>401</v>
      </c>
      <c r="E82" s="22" t="n">
        <v>50.5</v>
      </c>
      <c r="F82" s="22" t="s">
        <v>164</v>
      </c>
    </row>
    <row r="83" customFormat="false" ht="15" hidden="false" customHeight="false" outlineLevel="0" collapsed="false">
      <c r="A83" s="22" t="s">
        <v>402</v>
      </c>
      <c r="B83" s="22" t="s">
        <v>403</v>
      </c>
      <c r="C83" s="22" t="s">
        <v>162</v>
      </c>
      <c r="D83" s="22" t="s">
        <v>404</v>
      </c>
      <c r="E83" s="22" t="n">
        <v>19.6</v>
      </c>
      <c r="F83" s="22" t="s">
        <v>175</v>
      </c>
    </row>
    <row r="84" customFormat="false" ht="15" hidden="false" customHeight="false" outlineLevel="0" collapsed="false">
      <c r="A84" s="22" t="s">
        <v>405</v>
      </c>
      <c r="B84" s="22" t="s">
        <v>406</v>
      </c>
      <c r="C84" s="22" t="s">
        <v>162</v>
      </c>
      <c r="D84" s="22" t="s">
        <v>407</v>
      </c>
      <c r="E84" s="22" t="n">
        <v>19.6</v>
      </c>
      <c r="F84" s="22" t="s">
        <v>164</v>
      </c>
    </row>
    <row r="85" customFormat="false" ht="15" hidden="false" customHeight="false" outlineLevel="0" collapsed="false">
      <c r="A85" s="22" t="s">
        <v>408</v>
      </c>
      <c r="B85" s="22" t="s">
        <v>409</v>
      </c>
      <c r="C85" s="22" t="s">
        <v>162</v>
      </c>
      <c r="D85" s="22" t="s">
        <v>410</v>
      </c>
      <c r="E85" s="22" t="n">
        <v>24.4</v>
      </c>
      <c r="F85" s="22" t="s">
        <v>175</v>
      </c>
    </row>
    <row r="86" customFormat="false" ht="15" hidden="false" customHeight="false" outlineLevel="0" collapsed="false">
      <c r="A86" s="22" t="s">
        <v>411</v>
      </c>
      <c r="B86" s="22" t="s">
        <v>412</v>
      </c>
      <c r="C86" s="22" t="s">
        <v>162</v>
      </c>
      <c r="D86" s="22" t="s">
        <v>413</v>
      </c>
      <c r="E86" s="22" t="n">
        <v>48.8</v>
      </c>
      <c r="F86" s="22" t="s">
        <v>198</v>
      </c>
    </row>
    <row r="87" customFormat="false" ht="15" hidden="false" customHeight="false" outlineLevel="0" collapsed="false">
      <c r="A87" s="22" t="s">
        <v>414</v>
      </c>
      <c r="B87" s="22" t="s">
        <v>415</v>
      </c>
      <c r="C87" s="22" t="s">
        <v>162</v>
      </c>
      <c r="D87" s="22" t="s">
        <v>416</v>
      </c>
      <c r="E87" s="22" t="n">
        <v>46</v>
      </c>
      <c r="F87" s="22" t="s">
        <v>159</v>
      </c>
    </row>
    <row r="88" customFormat="false" ht="15" hidden="false" customHeight="false" outlineLevel="0" collapsed="false">
      <c r="A88" s="22" t="s">
        <v>417</v>
      </c>
      <c r="B88" s="22" t="s">
        <v>418</v>
      </c>
      <c r="C88" s="22" t="s">
        <v>162</v>
      </c>
      <c r="D88" s="22" t="s">
        <v>419</v>
      </c>
      <c r="E88" s="22" t="n">
        <v>48.5</v>
      </c>
      <c r="F88" s="22" t="s">
        <v>164</v>
      </c>
    </row>
    <row r="89" customFormat="false" ht="15" hidden="false" customHeight="false" outlineLevel="0" collapsed="false">
      <c r="A89" s="22" t="s">
        <v>420</v>
      </c>
      <c r="B89" s="22" t="s">
        <v>421</v>
      </c>
      <c r="C89" s="22" t="s">
        <v>207</v>
      </c>
      <c r="D89" s="22" t="s">
        <v>422</v>
      </c>
      <c r="E89" s="22" t="n">
        <v>47.7</v>
      </c>
      <c r="F89" s="22" t="s">
        <v>159</v>
      </c>
    </row>
    <row r="90" customFormat="false" ht="15" hidden="false" customHeight="false" outlineLevel="0" collapsed="false">
      <c r="A90" s="22" t="s">
        <v>423</v>
      </c>
      <c r="B90" s="22" t="s">
        <v>424</v>
      </c>
      <c r="C90" s="22" t="s">
        <v>162</v>
      </c>
      <c r="D90" s="22" t="s">
        <v>425</v>
      </c>
      <c r="E90" s="22" t="n">
        <v>54.3</v>
      </c>
      <c r="F90" s="22" t="s">
        <v>188</v>
      </c>
    </row>
    <row r="91" customFormat="false" ht="15" hidden="false" customHeight="false" outlineLevel="0" collapsed="false">
      <c r="A91" s="22" t="s">
        <v>426</v>
      </c>
      <c r="B91" s="22" t="s">
        <v>427</v>
      </c>
      <c r="C91" s="22" t="s">
        <v>207</v>
      </c>
      <c r="D91" s="22" t="s">
        <v>428</v>
      </c>
      <c r="E91" s="22" t="n">
        <v>29.3</v>
      </c>
      <c r="F91" s="22" t="s">
        <v>164</v>
      </c>
    </row>
    <row r="92" customFormat="false" ht="15" hidden="false" customHeight="false" outlineLevel="0" collapsed="false">
      <c r="A92" s="22" t="s">
        <v>429</v>
      </c>
      <c r="B92" s="22" t="s">
        <v>430</v>
      </c>
      <c r="C92" s="22" t="s">
        <v>157</v>
      </c>
      <c r="D92" s="22" t="s">
        <v>431</v>
      </c>
      <c r="E92" s="22" t="n">
        <v>59.3</v>
      </c>
      <c r="F92" s="22" t="s">
        <v>175</v>
      </c>
    </row>
    <row r="93" customFormat="false" ht="15" hidden="false" customHeight="false" outlineLevel="0" collapsed="false">
      <c r="A93" s="22" t="s">
        <v>432</v>
      </c>
      <c r="B93" s="22" t="s">
        <v>433</v>
      </c>
      <c r="C93" s="22" t="s">
        <v>162</v>
      </c>
      <c r="D93" s="22" t="s">
        <v>260</v>
      </c>
      <c r="E93" s="22" t="n">
        <v>34.6</v>
      </c>
      <c r="F93" s="22" t="s">
        <v>164</v>
      </c>
    </row>
    <row r="94" customFormat="false" ht="15" hidden="false" customHeight="false" outlineLevel="0" collapsed="false">
      <c r="A94" s="22" t="s">
        <v>434</v>
      </c>
      <c r="B94" s="22" t="s">
        <v>435</v>
      </c>
      <c r="C94" s="22" t="s">
        <v>162</v>
      </c>
      <c r="D94" s="22" t="s">
        <v>436</v>
      </c>
      <c r="E94" s="22" t="n">
        <v>34.1</v>
      </c>
      <c r="F94" s="22" t="s">
        <v>164</v>
      </c>
    </row>
    <row r="95" customFormat="false" ht="15" hidden="false" customHeight="false" outlineLevel="0" collapsed="false">
      <c r="A95" s="22" t="s">
        <v>437</v>
      </c>
      <c r="B95" s="22" t="s">
        <v>438</v>
      </c>
      <c r="C95" s="22" t="s">
        <v>162</v>
      </c>
      <c r="D95" s="22" t="s">
        <v>439</v>
      </c>
      <c r="E95" s="22" t="n">
        <v>29.4</v>
      </c>
      <c r="F95" s="22" t="s">
        <v>175</v>
      </c>
    </row>
    <row r="96" customFormat="false" ht="15" hidden="false" customHeight="false" outlineLevel="0" collapsed="false">
      <c r="A96" s="22" t="s">
        <v>440</v>
      </c>
      <c r="B96" s="22" t="s">
        <v>441</v>
      </c>
      <c r="C96" s="22" t="s">
        <v>157</v>
      </c>
      <c r="D96" s="22" t="s">
        <v>442</v>
      </c>
      <c r="E96" s="22" t="n">
        <v>38.3</v>
      </c>
      <c r="F96" s="22" t="s">
        <v>164</v>
      </c>
    </row>
    <row r="97" customFormat="false" ht="15" hidden="false" customHeight="false" outlineLevel="0" collapsed="false">
      <c r="A97" s="22" t="s">
        <v>443</v>
      </c>
      <c r="B97" s="22" t="s">
        <v>444</v>
      </c>
      <c r="C97" s="22" t="s">
        <v>162</v>
      </c>
      <c r="D97" s="22" t="s">
        <v>445</v>
      </c>
      <c r="E97" s="22" t="n">
        <v>23.2</v>
      </c>
      <c r="F97" s="22" t="s">
        <v>164</v>
      </c>
    </row>
    <row r="98" customFormat="false" ht="15" hidden="false" customHeight="false" outlineLevel="0" collapsed="false">
      <c r="A98" s="22" t="s">
        <v>446</v>
      </c>
      <c r="B98" s="22" t="s">
        <v>447</v>
      </c>
      <c r="C98" s="22" t="s">
        <v>162</v>
      </c>
      <c r="D98" s="22" t="s">
        <v>448</v>
      </c>
      <c r="E98" s="22" t="n">
        <v>19.1</v>
      </c>
      <c r="F98" s="22" t="s">
        <v>171</v>
      </c>
    </row>
    <row r="99" customFormat="false" ht="15" hidden="false" customHeight="false" outlineLevel="0" collapsed="false">
      <c r="A99" s="22" t="s">
        <v>449</v>
      </c>
      <c r="B99" s="22" t="s">
        <v>450</v>
      </c>
      <c r="C99" s="22" t="s">
        <v>207</v>
      </c>
      <c r="D99" s="22" t="s">
        <v>451</v>
      </c>
      <c r="E99" s="22" t="n">
        <v>43.8</v>
      </c>
      <c r="F99" s="22" t="s">
        <v>171</v>
      </c>
    </row>
    <row r="100" customFormat="false" ht="15" hidden="false" customHeight="false" outlineLevel="0" collapsed="false">
      <c r="A100" s="22" t="s">
        <v>452</v>
      </c>
      <c r="B100" s="22" t="s">
        <v>453</v>
      </c>
      <c r="C100" s="22" t="s">
        <v>162</v>
      </c>
      <c r="D100" s="22" t="s">
        <v>454</v>
      </c>
      <c r="E100" s="22" t="n">
        <v>37.8</v>
      </c>
      <c r="F100" s="22" t="s">
        <v>164</v>
      </c>
    </row>
    <row r="101" customFormat="false" ht="15" hidden="false" customHeight="false" outlineLevel="0" collapsed="false">
      <c r="A101" s="22" t="s">
        <v>455</v>
      </c>
      <c r="B101" s="22" t="s">
        <v>456</v>
      </c>
      <c r="C101" s="22" t="s">
        <v>162</v>
      </c>
      <c r="D101" s="22" t="s">
        <v>457</v>
      </c>
      <c r="E101" s="22" t="n">
        <v>43.6</v>
      </c>
      <c r="F101" s="22" t="s">
        <v>164</v>
      </c>
    </row>
    <row r="102" customFormat="false" ht="15" hidden="false" customHeight="false" outlineLevel="0" collapsed="false">
      <c r="A102" s="22" t="s">
        <v>458</v>
      </c>
      <c r="B102" s="22" t="s">
        <v>459</v>
      </c>
      <c r="C102" s="22" t="s">
        <v>162</v>
      </c>
      <c r="D102" s="22" t="s">
        <v>460</v>
      </c>
      <c r="E102" s="22" t="n">
        <v>38.4</v>
      </c>
      <c r="F102" s="22" t="s">
        <v>164</v>
      </c>
    </row>
    <row r="103" customFormat="false" ht="15" hidden="false" customHeight="false" outlineLevel="0" collapsed="false">
      <c r="A103" s="22" t="s">
        <v>461</v>
      </c>
      <c r="B103" s="22" t="s">
        <v>462</v>
      </c>
      <c r="C103" s="22" t="s">
        <v>162</v>
      </c>
      <c r="D103" s="22" t="s">
        <v>463</v>
      </c>
      <c r="E103" s="22" t="n">
        <v>42.5</v>
      </c>
      <c r="F103" s="22" t="s">
        <v>159</v>
      </c>
    </row>
    <row r="104" customFormat="false" ht="15" hidden="false" customHeight="false" outlineLevel="0" collapsed="false">
      <c r="A104" s="22" t="s">
        <v>464</v>
      </c>
      <c r="B104" s="22" t="s">
        <v>465</v>
      </c>
      <c r="C104" s="22" t="s">
        <v>162</v>
      </c>
      <c r="D104" s="22" t="s">
        <v>466</v>
      </c>
      <c r="E104" s="22" t="n">
        <v>33.5</v>
      </c>
      <c r="F104" s="22" t="s">
        <v>164</v>
      </c>
    </row>
    <row r="105" customFormat="false" ht="15" hidden="false" customHeight="false" outlineLevel="0" collapsed="false">
      <c r="A105" s="22" t="s">
        <v>467</v>
      </c>
      <c r="B105" s="22" t="s">
        <v>468</v>
      </c>
      <c r="C105" s="22" t="s">
        <v>162</v>
      </c>
      <c r="D105" s="22" t="s">
        <v>469</v>
      </c>
      <c r="E105" s="22" t="n">
        <v>46.1</v>
      </c>
      <c r="F105" s="22" t="s">
        <v>175</v>
      </c>
    </row>
    <row r="106" customFormat="false" ht="15" hidden="false" customHeight="false" outlineLevel="0" collapsed="false">
      <c r="A106" s="22" t="s">
        <v>470</v>
      </c>
      <c r="B106" s="22" t="s">
        <v>471</v>
      </c>
      <c r="C106" s="22" t="s">
        <v>162</v>
      </c>
      <c r="D106" s="22" t="s">
        <v>336</v>
      </c>
      <c r="E106" s="22" t="n">
        <v>36.5</v>
      </c>
      <c r="F106" s="22" t="s">
        <v>175</v>
      </c>
    </row>
    <row r="107" customFormat="false" ht="15" hidden="false" customHeight="false" outlineLevel="0" collapsed="false">
      <c r="A107" s="22" t="s">
        <v>472</v>
      </c>
      <c r="B107" s="22" t="s">
        <v>473</v>
      </c>
      <c r="C107" s="22" t="s">
        <v>162</v>
      </c>
      <c r="D107" s="22" t="s">
        <v>474</v>
      </c>
      <c r="E107" s="22" t="n">
        <v>37.7</v>
      </c>
      <c r="F107" s="22" t="s">
        <v>215</v>
      </c>
    </row>
    <row r="108" customFormat="false" ht="15" hidden="false" customHeight="false" outlineLevel="0" collapsed="false">
      <c r="A108" s="22" t="s">
        <v>475</v>
      </c>
      <c r="B108" s="22" t="s">
        <v>476</v>
      </c>
      <c r="C108" s="22" t="s">
        <v>162</v>
      </c>
      <c r="D108" s="22" t="s">
        <v>477</v>
      </c>
      <c r="E108" s="22" t="n">
        <v>18.7</v>
      </c>
      <c r="F108" s="22" t="s">
        <v>164</v>
      </c>
    </row>
    <row r="109" customFormat="false" ht="15" hidden="false" customHeight="false" outlineLevel="0" collapsed="false">
      <c r="A109" s="22" t="s">
        <v>478</v>
      </c>
      <c r="B109" s="22" t="s">
        <v>479</v>
      </c>
      <c r="C109" s="22" t="s">
        <v>162</v>
      </c>
      <c r="D109" s="22" t="s">
        <v>480</v>
      </c>
      <c r="E109" s="22" t="n">
        <v>36.7</v>
      </c>
      <c r="F109" s="22" t="s">
        <v>159</v>
      </c>
    </row>
    <row r="110" customFormat="false" ht="15" hidden="false" customHeight="false" outlineLevel="0" collapsed="false">
      <c r="A110" s="22" t="s">
        <v>481</v>
      </c>
      <c r="B110" s="22" t="s">
        <v>482</v>
      </c>
      <c r="C110" s="22" t="s">
        <v>162</v>
      </c>
      <c r="D110" s="22" t="s">
        <v>483</v>
      </c>
      <c r="E110" s="22" t="n">
        <v>43.9</v>
      </c>
      <c r="F110" s="22" t="s">
        <v>159</v>
      </c>
    </row>
    <row r="111" customFormat="false" ht="15" hidden="false" customHeight="false" outlineLevel="0" collapsed="false">
      <c r="A111" s="22" t="s">
        <v>484</v>
      </c>
      <c r="B111" s="22" t="s">
        <v>485</v>
      </c>
      <c r="C111" s="22" t="s">
        <v>162</v>
      </c>
      <c r="D111" s="22" t="s">
        <v>486</v>
      </c>
      <c r="E111" s="22" t="n">
        <v>57.4</v>
      </c>
      <c r="F111" s="22" t="s">
        <v>215</v>
      </c>
    </row>
    <row r="112" customFormat="false" ht="15" hidden="false" customHeight="false" outlineLevel="0" collapsed="false">
      <c r="A112" s="22" t="s">
        <v>487</v>
      </c>
      <c r="B112" s="22" t="s">
        <v>488</v>
      </c>
      <c r="C112" s="22" t="s">
        <v>162</v>
      </c>
      <c r="D112" s="22" t="s">
        <v>489</v>
      </c>
      <c r="E112" s="22" t="n">
        <v>20.2</v>
      </c>
      <c r="F112" s="22" t="s">
        <v>171</v>
      </c>
    </row>
    <row r="113" customFormat="false" ht="15" hidden="false" customHeight="false" outlineLevel="0" collapsed="false">
      <c r="A113" s="22" t="s">
        <v>490</v>
      </c>
      <c r="B113" s="22" t="s">
        <v>491</v>
      </c>
      <c r="C113" s="22" t="s">
        <v>157</v>
      </c>
      <c r="D113" s="22" t="s">
        <v>492</v>
      </c>
      <c r="E113" s="22" t="n">
        <v>58.6</v>
      </c>
      <c r="F113" s="22" t="s">
        <v>188</v>
      </c>
    </row>
    <row r="114" customFormat="false" ht="15" hidden="false" customHeight="false" outlineLevel="0" collapsed="false">
      <c r="A114" s="22" t="s">
        <v>493</v>
      </c>
      <c r="B114" s="22" t="s">
        <v>494</v>
      </c>
      <c r="C114" s="22" t="s">
        <v>162</v>
      </c>
      <c r="D114" s="22" t="s">
        <v>495</v>
      </c>
      <c r="E114" s="22" t="n">
        <v>20.7</v>
      </c>
      <c r="F114" s="22" t="s">
        <v>164</v>
      </c>
    </row>
    <row r="115" customFormat="false" ht="15" hidden="false" customHeight="false" outlineLevel="0" collapsed="false">
      <c r="A115" s="22" t="s">
        <v>496</v>
      </c>
      <c r="B115" s="22" t="s">
        <v>497</v>
      </c>
      <c r="C115" s="22" t="s">
        <v>162</v>
      </c>
      <c r="D115" s="22" t="s">
        <v>498</v>
      </c>
      <c r="E115" s="22" t="n">
        <v>46.5</v>
      </c>
      <c r="F115" s="22" t="s">
        <v>499</v>
      </c>
    </row>
    <row r="116" customFormat="false" ht="15" hidden="false" customHeight="false" outlineLevel="0" collapsed="false">
      <c r="A116" s="22" t="s">
        <v>500</v>
      </c>
      <c r="B116" s="22" t="s">
        <v>501</v>
      </c>
      <c r="C116" s="22" t="s">
        <v>162</v>
      </c>
      <c r="D116" s="22" t="s">
        <v>502</v>
      </c>
      <c r="E116" s="22" t="n">
        <v>21.7</v>
      </c>
      <c r="F116" s="22" t="s">
        <v>198</v>
      </c>
    </row>
    <row r="117" customFormat="false" ht="15" hidden="false" customHeight="false" outlineLevel="0" collapsed="false">
      <c r="A117" s="22" t="s">
        <v>503</v>
      </c>
      <c r="B117" s="22" t="s">
        <v>504</v>
      </c>
      <c r="C117" s="22" t="s">
        <v>162</v>
      </c>
      <c r="D117" s="22" t="s">
        <v>505</v>
      </c>
      <c r="E117" s="22" t="n">
        <v>60.9</v>
      </c>
      <c r="F117" s="22" t="s">
        <v>164</v>
      </c>
    </row>
    <row r="118" customFormat="false" ht="15" hidden="false" customHeight="false" outlineLevel="0" collapsed="false">
      <c r="A118" s="22" t="s">
        <v>506</v>
      </c>
      <c r="B118" s="22" t="s">
        <v>507</v>
      </c>
      <c r="C118" s="22" t="s">
        <v>157</v>
      </c>
      <c r="D118" s="22" t="s">
        <v>508</v>
      </c>
      <c r="E118" s="22" t="n">
        <v>57.2</v>
      </c>
      <c r="F118" s="22" t="s">
        <v>175</v>
      </c>
    </row>
    <row r="119" customFormat="false" ht="15" hidden="false" customHeight="false" outlineLevel="0" collapsed="false">
      <c r="A119" s="22" t="s">
        <v>509</v>
      </c>
      <c r="B119" s="22" t="s">
        <v>510</v>
      </c>
      <c r="C119" s="22" t="s">
        <v>207</v>
      </c>
      <c r="D119" s="22" t="s">
        <v>422</v>
      </c>
      <c r="E119" s="22" t="n">
        <v>56.7</v>
      </c>
      <c r="F119" s="22" t="s">
        <v>171</v>
      </c>
    </row>
    <row r="120" customFormat="false" ht="15" hidden="false" customHeight="false" outlineLevel="0" collapsed="false">
      <c r="A120" s="22" t="s">
        <v>511</v>
      </c>
      <c r="B120" s="22" t="s">
        <v>512</v>
      </c>
      <c r="C120" s="22" t="s">
        <v>162</v>
      </c>
      <c r="D120" s="22" t="s">
        <v>513</v>
      </c>
      <c r="E120" s="22" t="n">
        <v>40.5</v>
      </c>
      <c r="F120" s="22" t="s">
        <v>164</v>
      </c>
    </row>
    <row r="121" customFormat="false" ht="15" hidden="false" customHeight="false" outlineLevel="0" collapsed="false">
      <c r="A121" s="22" t="s">
        <v>514</v>
      </c>
      <c r="B121" s="22" t="s">
        <v>515</v>
      </c>
      <c r="C121" s="22" t="s">
        <v>162</v>
      </c>
      <c r="D121" s="22" t="s">
        <v>516</v>
      </c>
      <c r="E121" s="22" t="n">
        <v>39.3</v>
      </c>
      <c r="F121" s="22" t="s">
        <v>198</v>
      </c>
    </row>
    <row r="122" customFormat="false" ht="15" hidden="false" customHeight="false" outlineLevel="0" collapsed="false">
      <c r="A122" s="22" t="s">
        <v>517</v>
      </c>
      <c r="B122" s="22" t="s">
        <v>518</v>
      </c>
      <c r="C122" s="22" t="s">
        <v>162</v>
      </c>
      <c r="D122" s="22" t="s">
        <v>519</v>
      </c>
      <c r="E122" s="22" t="n">
        <v>25.4</v>
      </c>
      <c r="F122" s="22" t="s">
        <v>164</v>
      </c>
    </row>
    <row r="123" customFormat="false" ht="15" hidden="false" customHeight="false" outlineLevel="0" collapsed="false">
      <c r="A123" s="22" t="s">
        <v>520</v>
      </c>
      <c r="B123" s="22" t="s">
        <v>521</v>
      </c>
      <c r="C123" s="22" t="s">
        <v>162</v>
      </c>
      <c r="D123" s="22" t="s">
        <v>522</v>
      </c>
      <c r="E123" s="22" t="n">
        <v>32.1</v>
      </c>
      <c r="F123" s="22" t="s">
        <v>175</v>
      </c>
    </row>
    <row r="124" customFormat="false" ht="15" hidden="false" customHeight="false" outlineLevel="0" collapsed="false">
      <c r="A124" s="22" t="s">
        <v>523</v>
      </c>
      <c r="B124" s="22" t="s">
        <v>524</v>
      </c>
      <c r="C124" s="22" t="s">
        <v>162</v>
      </c>
      <c r="D124" s="22" t="s">
        <v>525</v>
      </c>
      <c r="E124" s="22" t="n">
        <v>35.9</v>
      </c>
      <c r="F124" s="22" t="s">
        <v>175</v>
      </c>
    </row>
    <row r="125" customFormat="false" ht="15" hidden="false" customHeight="false" outlineLevel="0" collapsed="false">
      <c r="A125" s="22" t="s">
        <v>526</v>
      </c>
      <c r="B125" s="22" t="s">
        <v>527</v>
      </c>
      <c r="C125" s="22" t="s">
        <v>162</v>
      </c>
      <c r="D125" s="22" t="s">
        <v>528</v>
      </c>
      <c r="E125" s="22" t="n">
        <v>42.7</v>
      </c>
      <c r="F125" s="22" t="s">
        <v>159</v>
      </c>
    </row>
    <row r="126" customFormat="false" ht="15" hidden="false" customHeight="false" outlineLevel="0" collapsed="false">
      <c r="A126" s="22" t="s">
        <v>529</v>
      </c>
      <c r="B126" s="22" t="s">
        <v>530</v>
      </c>
      <c r="C126" s="22" t="s">
        <v>162</v>
      </c>
      <c r="D126" s="22" t="s">
        <v>204</v>
      </c>
      <c r="E126" s="22" t="n">
        <v>37.9</v>
      </c>
      <c r="F126" s="22" t="s">
        <v>164</v>
      </c>
    </row>
    <row r="127" customFormat="false" ht="15" hidden="false" customHeight="false" outlineLevel="0" collapsed="false">
      <c r="A127" s="22" t="s">
        <v>531</v>
      </c>
      <c r="B127" s="22" t="s">
        <v>532</v>
      </c>
      <c r="C127" s="22" t="s">
        <v>162</v>
      </c>
      <c r="D127" s="22" t="s">
        <v>533</v>
      </c>
      <c r="E127" s="22" t="n">
        <v>44.8</v>
      </c>
      <c r="F127" s="22" t="s">
        <v>215</v>
      </c>
    </row>
    <row r="128" customFormat="false" ht="15" hidden="false" customHeight="false" outlineLevel="0" collapsed="false">
      <c r="A128" s="22" t="s">
        <v>534</v>
      </c>
      <c r="B128" s="22" t="s">
        <v>535</v>
      </c>
      <c r="C128" s="22" t="s">
        <v>162</v>
      </c>
      <c r="D128" s="22" t="s">
        <v>312</v>
      </c>
      <c r="E128" s="22" t="n">
        <v>49.6</v>
      </c>
      <c r="F128" s="22" t="s">
        <v>175</v>
      </c>
    </row>
    <row r="129" customFormat="false" ht="15" hidden="false" customHeight="false" outlineLevel="0" collapsed="false">
      <c r="A129" s="22" t="s">
        <v>536</v>
      </c>
      <c r="B129" s="22" t="s">
        <v>537</v>
      </c>
      <c r="C129" s="22" t="s">
        <v>162</v>
      </c>
      <c r="D129" s="22" t="s">
        <v>538</v>
      </c>
      <c r="E129" s="22" t="n">
        <v>18.9</v>
      </c>
      <c r="F129" s="22" t="s">
        <v>164</v>
      </c>
    </row>
    <row r="130" customFormat="false" ht="15" hidden="false" customHeight="false" outlineLevel="0" collapsed="false">
      <c r="A130" s="22" t="s">
        <v>539</v>
      </c>
      <c r="B130" s="22" t="s">
        <v>540</v>
      </c>
      <c r="C130" s="22" t="s">
        <v>162</v>
      </c>
      <c r="D130" s="22" t="s">
        <v>355</v>
      </c>
      <c r="E130" s="22" t="n">
        <v>27.8</v>
      </c>
      <c r="F130" s="22" t="s">
        <v>175</v>
      </c>
    </row>
    <row r="131" customFormat="false" ht="15" hidden="false" customHeight="false" outlineLevel="0" collapsed="false">
      <c r="A131" s="22" t="s">
        <v>541</v>
      </c>
      <c r="B131" s="22" t="s">
        <v>542</v>
      </c>
      <c r="C131" s="22" t="s">
        <v>162</v>
      </c>
      <c r="D131" s="22" t="s">
        <v>543</v>
      </c>
      <c r="E131" s="22" t="n">
        <v>31.2</v>
      </c>
      <c r="F131" s="22" t="s">
        <v>198</v>
      </c>
    </row>
    <row r="132" customFormat="false" ht="15" hidden="false" customHeight="false" outlineLevel="0" collapsed="false">
      <c r="A132" s="22" t="s">
        <v>544</v>
      </c>
      <c r="B132" s="22" t="s">
        <v>545</v>
      </c>
      <c r="C132" s="22" t="s">
        <v>162</v>
      </c>
      <c r="D132" s="22" t="s">
        <v>546</v>
      </c>
      <c r="E132" s="22" t="n">
        <v>55.6</v>
      </c>
      <c r="F132" s="22" t="s">
        <v>175</v>
      </c>
    </row>
    <row r="133" customFormat="false" ht="15" hidden="false" customHeight="false" outlineLevel="0" collapsed="false">
      <c r="A133" s="22" t="s">
        <v>547</v>
      </c>
      <c r="B133" s="22" t="s">
        <v>548</v>
      </c>
      <c r="C133" s="22" t="s">
        <v>162</v>
      </c>
      <c r="D133" s="22" t="s">
        <v>549</v>
      </c>
      <c r="E133" s="22" t="n">
        <v>48.7</v>
      </c>
      <c r="F133" s="22" t="s">
        <v>159</v>
      </c>
    </row>
    <row r="134" customFormat="false" ht="15" hidden="false" customHeight="false" outlineLevel="0" collapsed="false">
      <c r="A134" s="22" t="s">
        <v>550</v>
      </c>
      <c r="B134" s="22" t="s">
        <v>551</v>
      </c>
      <c r="C134" s="22" t="s">
        <v>162</v>
      </c>
      <c r="D134" s="22" t="s">
        <v>552</v>
      </c>
      <c r="E134" s="22" t="n">
        <v>18.5</v>
      </c>
      <c r="F134" s="22" t="s">
        <v>175</v>
      </c>
    </row>
    <row r="135" customFormat="false" ht="15" hidden="false" customHeight="false" outlineLevel="0" collapsed="false">
      <c r="A135" s="22" t="s">
        <v>553</v>
      </c>
      <c r="B135" s="22" t="s">
        <v>554</v>
      </c>
      <c r="C135" s="22" t="s">
        <v>162</v>
      </c>
      <c r="D135" s="22" t="s">
        <v>367</v>
      </c>
      <c r="E135" s="22" t="n">
        <v>31.6</v>
      </c>
      <c r="F135" s="22" t="s">
        <v>164</v>
      </c>
    </row>
    <row r="136" customFormat="false" ht="15" hidden="false" customHeight="false" outlineLevel="0" collapsed="false">
      <c r="A136" s="22" t="s">
        <v>555</v>
      </c>
      <c r="B136" s="22" t="s">
        <v>556</v>
      </c>
      <c r="C136" s="22" t="s">
        <v>162</v>
      </c>
      <c r="D136" s="22" t="s">
        <v>557</v>
      </c>
      <c r="E136" s="22" t="n">
        <v>46.7</v>
      </c>
      <c r="F136" s="22" t="s">
        <v>198</v>
      </c>
    </row>
    <row r="137" customFormat="false" ht="15" hidden="false" customHeight="false" outlineLevel="0" collapsed="false">
      <c r="A137" s="22" t="s">
        <v>558</v>
      </c>
      <c r="B137" s="22" t="s">
        <v>559</v>
      </c>
      <c r="C137" s="22" t="s">
        <v>162</v>
      </c>
      <c r="D137" s="22" t="s">
        <v>560</v>
      </c>
      <c r="E137" s="22" t="n">
        <v>43.8</v>
      </c>
      <c r="F137" s="22" t="s">
        <v>215</v>
      </c>
    </row>
    <row r="138" customFormat="false" ht="15" hidden="false" customHeight="false" outlineLevel="0" collapsed="false">
      <c r="A138" s="22" t="s">
        <v>561</v>
      </c>
      <c r="B138" s="22" t="s">
        <v>562</v>
      </c>
      <c r="C138" s="22" t="s">
        <v>162</v>
      </c>
      <c r="D138" s="22" t="s">
        <v>563</v>
      </c>
      <c r="E138" s="22" t="n">
        <v>34.3</v>
      </c>
      <c r="F138" s="22" t="s">
        <v>175</v>
      </c>
    </row>
    <row r="139" customFormat="false" ht="15" hidden="false" customHeight="false" outlineLevel="0" collapsed="false">
      <c r="A139" s="22" t="s">
        <v>564</v>
      </c>
      <c r="B139" s="22" t="s">
        <v>565</v>
      </c>
      <c r="C139" s="22" t="s">
        <v>566</v>
      </c>
      <c r="D139" s="22" t="s">
        <v>567</v>
      </c>
      <c r="E139" s="22" t="n">
        <v>44.8</v>
      </c>
      <c r="F139" s="22" t="s">
        <v>175</v>
      </c>
    </row>
    <row r="140" customFormat="false" ht="15" hidden="false" customHeight="false" outlineLevel="0" collapsed="false">
      <c r="A140" s="22" t="s">
        <v>568</v>
      </c>
      <c r="B140" s="22" t="s">
        <v>569</v>
      </c>
      <c r="C140" s="22" t="s">
        <v>162</v>
      </c>
      <c r="D140" s="22" t="s">
        <v>570</v>
      </c>
      <c r="E140" s="22" t="n">
        <v>50.5</v>
      </c>
      <c r="F140" s="22" t="s">
        <v>198</v>
      </c>
    </row>
    <row r="141" customFormat="false" ht="15" hidden="false" customHeight="false" outlineLevel="0" collapsed="false">
      <c r="A141" s="22" t="s">
        <v>571</v>
      </c>
      <c r="B141" s="22" t="s">
        <v>572</v>
      </c>
      <c r="C141" s="22" t="s">
        <v>162</v>
      </c>
      <c r="D141" s="22" t="s">
        <v>573</v>
      </c>
      <c r="E141" s="22" t="n">
        <v>35.4</v>
      </c>
      <c r="F141" s="22" t="s">
        <v>175</v>
      </c>
    </row>
    <row r="142" customFormat="false" ht="15" hidden="false" customHeight="false" outlineLevel="0" collapsed="false">
      <c r="A142" s="22" t="s">
        <v>574</v>
      </c>
      <c r="B142" s="22" t="s">
        <v>575</v>
      </c>
      <c r="C142" s="22" t="s">
        <v>207</v>
      </c>
      <c r="D142" s="22" t="s">
        <v>576</v>
      </c>
      <c r="E142" s="22" t="n">
        <v>44.7</v>
      </c>
      <c r="F142" s="22" t="s">
        <v>171</v>
      </c>
    </row>
    <row r="143" customFormat="false" ht="15" hidden="false" customHeight="false" outlineLevel="0" collapsed="false">
      <c r="A143" s="22" t="s">
        <v>577</v>
      </c>
      <c r="B143" s="22" t="s">
        <v>578</v>
      </c>
      <c r="C143" s="22" t="s">
        <v>162</v>
      </c>
      <c r="D143" s="22" t="s">
        <v>579</v>
      </c>
      <c r="E143" s="22" t="n">
        <v>36.6</v>
      </c>
      <c r="F143" s="22" t="s">
        <v>171</v>
      </c>
    </row>
    <row r="144" customFormat="false" ht="15" hidden="false" customHeight="false" outlineLevel="0" collapsed="false">
      <c r="A144" s="22" t="s">
        <v>580</v>
      </c>
      <c r="B144" s="22" t="s">
        <v>581</v>
      </c>
      <c r="C144" s="22" t="s">
        <v>162</v>
      </c>
      <c r="D144" s="22" t="s">
        <v>582</v>
      </c>
      <c r="E144" s="22" t="n">
        <v>39.1</v>
      </c>
      <c r="F144" s="22" t="s">
        <v>164</v>
      </c>
    </row>
    <row r="145" customFormat="false" ht="15" hidden="false" customHeight="false" outlineLevel="0" collapsed="false">
      <c r="A145" s="22" t="s">
        <v>583</v>
      </c>
      <c r="B145" s="22" t="s">
        <v>584</v>
      </c>
      <c r="C145" s="22" t="s">
        <v>162</v>
      </c>
      <c r="D145" s="22" t="s">
        <v>585</v>
      </c>
      <c r="E145" s="22" t="n">
        <v>19.6</v>
      </c>
      <c r="F145" s="22" t="s">
        <v>175</v>
      </c>
    </row>
    <row r="146" customFormat="false" ht="15" hidden="false" customHeight="false" outlineLevel="0" collapsed="false">
      <c r="A146" s="22" t="s">
        <v>586</v>
      </c>
      <c r="B146" s="22" t="s">
        <v>587</v>
      </c>
      <c r="C146" s="22" t="s">
        <v>207</v>
      </c>
      <c r="D146" s="22" t="s">
        <v>588</v>
      </c>
      <c r="E146" s="22" t="n">
        <v>43.1</v>
      </c>
      <c r="F146" s="22" t="s">
        <v>198</v>
      </c>
    </row>
    <row r="147" customFormat="false" ht="15" hidden="false" customHeight="false" outlineLevel="0" collapsed="false">
      <c r="A147" s="22" t="s">
        <v>589</v>
      </c>
      <c r="B147" s="22" t="s">
        <v>590</v>
      </c>
      <c r="C147" s="22" t="s">
        <v>162</v>
      </c>
      <c r="D147" s="22" t="s">
        <v>591</v>
      </c>
      <c r="E147" s="22" t="n">
        <v>36.7</v>
      </c>
      <c r="F147" s="22" t="s">
        <v>164</v>
      </c>
    </row>
    <row r="148" customFormat="false" ht="15" hidden="false" customHeight="false" outlineLevel="0" collapsed="false">
      <c r="A148" s="22" t="s">
        <v>592</v>
      </c>
      <c r="B148" s="22" t="s">
        <v>593</v>
      </c>
      <c r="C148" s="22" t="s">
        <v>162</v>
      </c>
      <c r="D148" s="22" t="s">
        <v>594</v>
      </c>
      <c r="E148" s="22" t="n">
        <v>48.7</v>
      </c>
      <c r="F148" s="22" t="s">
        <v>175</v>
      </c>
    </row>
    <row r="149" customFormat="false" ht="15" hidden="false" customHeight="false" outlineLevel="0" collapsed="false">
      <c r="A149" s="22" t="s">
        <v>595</v>
      </c>
      <c r="B149" s="22" t="s">
        <v>596</v>
      </c>
      <c r="C149" s="22" t="s">
        <v>162</v>
      </c>
      <c r="D149" s="22" t="s">
        <v>341</v>
      </c>
      <c r="E149" s="22" t="n">
        <v>26.3</v>
      </c>
      <c r="F149" s="22" t="s">
        <v>164</v>
      </c>
    </row>
    <row r="150" customFormat="false" ht="15" hidden="false" customHeight="false" outlineLevel="0" collapsed="false">
      <c r="A150" s="22" t="s">
        <v>597</v>
      </c>
      <c r="B150" s="22" t="s">
        <v>598</v>
      </c>
      <c r="C150" s="22" t="s">
        <v>162</v>
      </c>
      <c r="D150" s="22" t="s">
        <v>599</v>
      </c>
      <c r="E150" s="22" t="n">
        <v>42.6</v>
      </c>
      <c r="F150" s="22" t="s">
        <v>175</v>
      </c>
    </row>
    <row r="151" customFormat="false" ht="15" hidden="false" customHeight="false" outlineLevel="0" collapsed="false">
      <c r="A151" s="22" t="s">
        <v>600</v>
      </c>
      <c r="B151" s="22" t="s">
        <v>601</v>
      </c>
      <c r="C151" s="22" t="s">
        <v>162</v>
      </c>
      <c r="D151" s="22" t="s">
        <v>602</v>
      </c>
      <c r="E151" s="22" t="n">
        <v>22.5</v>
      </c>
      <c r="F151" s="22" t="s">
        <v>164</v>
      </c>
    </row>
    <row r="152" customFormat="false" ht="15" hidden="false" customHeight="false" outlineLevel="0" collapsed="false">
      <c r="A152" s="22" t="s">
        <v>603</v>
      </c>
      <c r="B152" s="22" t="s">
        <v>604</v>
      </c>
      <c r="C152" s="22" t="s">
        <v>157</v>
      </c>
      <c r="D152" s="22" t="s">
        <v>605</v>
      </c>
      <c r="E152" s="22" t="n">
        <v>18.9</v>
      </c>
      <c r="F152" s="22" t="s">
        <v>175</v>
      </c>
    </row>
    <row r="153" customFormat="false" ht="15" hidden="false" customHeight="false" outlineLevel="0" collapsed="false">
      <c r="A153" s="22" t="s">
        <v>606</v>
      </c>
      <c r="B153" s="22" t="s">
        <v>607</v>
      </c>
      <c r="C153" s="22" t="s">
        <v>162</v>
      </c>
      <c r="D153" s="22" t="s">
        <v>608</v>
      </c>
      <c r="E153" s="22" t="n">
        <v>59.6</v>
      </c>
      <c r="F153" s="22" t="s">
        <v>164</v>
      </c>
    </row>
    <row r="154" customFormat="false" ht="15" hidden="false" customHeight="false" outlineLevel="0" collapsed="false">
      <c r="A154" s="22" t="s">
        <v>609</v>
      </c>
      <c r="B154" s="22" t="s">
        <v>610</v>
      </c>
      <c r="C154" s="22" t="s">
        <v>157</v>
      </c>
      <c r="D154" s="22" t="s">
        <v>611</v>
      </c>
      <c r="E154" s="22" t="n">
        <v>21.3</v>
      </c>
      <c r="F154" s="22" t="s">
        <v>175</v>
      </c>
    </row>
    <row r="155" customFormat="false" ht="15" hidden="false" customHeight="false" outlineLevel="0" collapsed="false">
      <c r="A155" s="22" t="s">
        <v>612</v>
      </c>
      <c r="B155" s="22" t="s">
        <v>613</v>
      </c>
      <c r="C155" s="22" t="s">
        <v>207</v>
      </c>
      <c r="D155" s="22" t="s">
        <v>576</v>
      </c>
      <c r="E155" s="22" t="n">
        <v>47.3</v>
      </c>
      <c r="F155" s="22" t="s">
        <v>175</v>
      </c>
    </row>
    <row r="156" customFormat="false" ht="15" hidden="false" customHeight="false" outlineLevel="0" collapsed="false">
      <c r="A156" s="22" t="s">
        <v>614</v>
      </c>
      <c r="B156" s="22" t="s">
        <v>615</v>
      </c>
      <c r="C156" s="22" t="s">
        <v>162</v>
      </c>
      <c r="D156" s="22" t="s">
        <v>616</v>
      </c>
      <c r="E156" s="22" t="n">
        <v>54.8</v>
      </c>
      <c r="F156" s="22" t="s">
        <v>198</v>
      </c>
    </row>
    <row r="157" customFormat="false" ht="15" hidden="false" customHeight="false" outlineLevel="0" collapsed="false">
      <c r="A157" s="22" t="s">
        <v>617</v>
      </c>
      <c r="B157" s="22" t="s">
        <v>618</v>
      </c>
      <c r="C157" s="22" t="s">
        <v>162</v>
      </c>
      <c r="D157" s="22" t="s">
        <v>191</v>
      </c>
      <c r="E157" s="22" t="n">
        <v>56.5</v>
      </c>
      <c r="F157" s="22" t="s">
        <v>164</v>
      </c>
    </row>
    <row r="158" customFormat="false" ht="15" hidden="false" customHeight="false" outlineLevel="0" collapsed="false">
      <c r="A158" s="22" t="s">
        <v>619</v>
      </c>
      <c r="B158" s="22" t="s">
        <v>620</v>
      </c>
      <c r="C158" s="22" t="s">
        <v>162</v>
      </c>
      <c r="D158" s="22" t="s">
        <v>621</v>
      </c>
      <c r="E158" s="22" t="n">
        <v>43.6</v>
      </c>
      <c r="F158" s="22" t="s">
        <v>159</v>
      </c>
    </row>
    <row r="159" customFormat="false" ht="15" hidden="false" customHeight="false" outlineLevel="0" collapsed="false">
      <c r="A159" s="22" t="s">
        <v>622</v>
      </c>
      <c r="B159" s="22" t="s">
        <v>623</v>
      </c>
      <c r="C159" s="22" t="s">
        <v>162</v>
      </c>
      <c r="D159" s="22" t="s">
        <v>333</v>
      </c>
      <c r="E159" s="22" t="n">
        <v>51.2</v>
      </c>
      <c r="F159" s="22" t="s">
        <v>175</v>
      </c>
    </row>
    <row r="160" customFormat="false" ht="15" hidden="false" customHeight="false" outlineLevel="0" collapsed="false">
      <c r="A160" s="22" t="s">
        <v>624</v>
      </c>
      <c r="B160" s="22" t="s">
        <v>625</v>
      </c>
      <c r="C160" s="22" t="s">
        <v>162</v>
      </c>
      <c r="D160" s="22" t="s">
        <v>626</v>
      </c>
      <c r="E160" s="22" t="n">
        <v>35.8</v>
      </c>
      <c r="F160" s="22" t="s">
        <v>198</v>
      </c>
    </row>
    <row r="161" customFormat="false" ht="15" hidden="false" customHeight="false" outlineLevel="0" collapsed="false">
      <c r="A161" s="22" t="s">
        <v>627</v>
      </c>
      <c r="B161" s="22" t="s">
        <v>628</v>
      </c>
      <c r="C161" s="22" t="s">
        <v>162</v>
      </c>
      <c r="D161" s="22" t="s">
        <v>629</v>
      </c>
      <c r="E161" s="22" t="n">
        <v>23.3</v>
      </c>
      <c r="F161" s="22" t="s">
        <v>175</v>
      </c>
    </row>
    <row r="162" customFormat="false" ht="15" hidden="false" customHeight="false" outlineLevel="0" collapsed="false">
      <c r="A162" s="22" t="s">
        <v>630</v>
      </c>
      <c r="B162" s="22" t="s">
        <v>631</v>
      </c>
      <c r="C162" s="22" t="s">
        <v>162</v>
      </c>
      <c r="D162" s="22" t="s">
        <v>632</v>
      </c>
      <c r="E162" s="22" t="n">
        <v>52.9</v>
      </c>
      <c r="F162" s="22" t="s">
        <v>164</v>
      </c>
    </row>
    <row r="163" customFormat="false" ht="15" hidden="false" customHeight="false" outlineLevel="0" collapsed="false">
      <c r="A163" s="22" t="s">
        <v>633</v>
      </c>
      <c r="B163" s="22" t="s">
        <v>634</v>
      </c>
      <c r="C163" s="22" t="s">
        <v>162</v>
      </c>
      <c r="D163" s="22" t="s">
        <v>635</v>
      </c>
      <c r="E163" s="22" t="n">
        <v>49.3</v>
      </c>
      <c r="F163" s="22" t="s">
        <v>175</v>
      </c>
    </row>
    <row r="164" customFormat="false" ht="15" hidden="false" customHeight="false" outlineLevel="0" collapsed="false">
      <c r="A164" s="22" t="s">
        <v>636</v>
      </c>
      <c r="B164" s="22" t="s">
        <v>637</v>
      </c>
      <c r="C164" s="22" t="s">
        <v>162</v>
      </c>
      <c r="D164" s="22" t="s">
        <v>163</v>
      </c>
      <c r="E164" s="22" t="n">
        <v>56.4</v>
      </c>
      <c r="F164" s="22" t="s">
        <v>164</v>
      </c>
    </row>
    <row r="165" customFormat="false" ht="15" hidden="false" customHeight="false" outlineLevel="0" collapsed="false">
      <c r="A165" s="22" t="s">
        <v>638</v>
      </c>
      <c r="B165" s="22" t="s">
        <v>639</v>
      </c>
      <c r="C165" s="22" t="s">
        <v>162</v>
      </c>
      <c r="D165" s="22" t="s">
        <v>448</v>
      </c>
      <c r="E165" s="22" t="n">
        <v>35.1</v>
      </c>
      <c r="F165" s="22" t="s">
        <v>171</v>
      </c>
    </row>
    <row r="166" customFormat="false" ht="15" hidden="false" customHeight="false" outlineLevel="0" collapsed="false">
      <c r="A166" s="22" t="s">
        <v>640</v>
      </c>
      <c r="B166" s="22" t="s">
        <v>641</v>
      </c>
      <c r="C166" s="22" t="s">
        <v>162</v>
      </c>
      <c r="D166" s="22" t="s">
        <v>642</v>
      </c>
      <c r="E166" s="22" t="n">
        <v>51.5</v>
      </c>
      <c r="F166" s="22" t="s">
        <v>164</v>
      </c>
    </row>
    <row r="167" customFormat="false" ht="15" hidden="false" customHeight="false" outlineLevel="0" collapsed="false">
      <c r="A167" s="22" t="s">
        <v>643</v>
      </c>
      <c r="B167" s="22" t="s">
        <v>644</v>
      </c>
      <c r="C167" s="22" t="s">
        <v>162</v>
      </c>
      <c r="D167" s="22" t="s">
        <v>645</v>
      </c>
      <c r="E167" s="22" t="n">
        <v>50.1</v>
      </c>
      <c r="F167" s="22" t="s">
        <v>164</v>
      </c>
    </row>
    <row r="168" customFormat="false" ht="15" hidden="false" customHeight="false" outlineLevel="0" collapsed="false">
      <c r="A168" s="22" t="s">
        <v>646</v>
      </c>
      <c r="B168" s="22" t="s">
        <v>647</v>
      </c>
      <c r="C168" s="22" t="s">
        <v>566</v>
      </c>
      <c r="D168" s="22" t="s">
        <v>648</v>
      </c>
      <c r="E168" s="22" t="n">
        <v>18.1</v>
      </c>
      <c r="F168" s="22" t="s">
        <v>164</v>
      </c>
    </row>
    <row r="169" customFormat="false" ht="15" hidden="false" customHeight="false" outlineLevel="0" collapsed="false">
      <c r="A169" s="22" t="s">
        <v>649</v>
      </c>
      <c r="B169" s="22" t="s">
        <v>650</v>
      </c>
      <c r="C169" s="22" t="s">
        <v>162</v>
      </c>
      <c r="D169" s="22" t="s">
        <v>651</v>
      </c>
      <c r="E169" s="22" t="n">
        <v>59.1</v>
      </c>
      <c r="F169" s="22" t="s">
        <v>159</v>
      </c>
    </row>
    <row r="170" customFormat="false" ht="15" hidden="false" customHeight="false" outlineLevel="0" collapsed="false">
      <c r="A170" s="22" t="s">
        <v>652</v>
      </c>
      <c r="B170" s="22" t="s">
        <v>653</v>
      </c>
      <c r="C170" s="22" t="s">
        <v>162</v>
      </c>
      <c r="D170" s="22" t="s">
        <v>654</v>
      </c>
      <c r="E170" s="22" t="n">
        <v>57.9</v>
      </c>
      <c r="F170" s="22" t="s">
        <v>159</v>
      </c>
    </row>
    <row r="171" customFormat="false" ht="15" hidden="false" customHeight="false" outlineLevel="0" collapsed="false">
      <c r="A171" s="22" t="s">
        <v>655</v>
      </c>
      <c r="B171" s="22" t="s">
        <v>656</v>
      </c>
      <c r="C171" s="22" t="s">
        <v>162</v>
      </c>
      <c r="D171" s="22" t="s">
        <v>422</v>
      </c>
      <c r="E171" s="22" t="n">
        <v>42.6</v>
      </c>
      <c r="F171" s="22" t="s">
        <v>164</v>
      </c>
    </row>
    <row r="172" customFormat="false" ht="15" hidden="false" customHeight="false" outlineLevel="0" collapsed="false">
      <c r="A172" s="22" t="s">
        <v>657</v>
      </c>
      <c r="B172" s="22" t="s">
        <v>658</v>
      </c>
      <c r="C172" s="22" t="s">
        <v>157</v>
      </c>
      <c r="D172" s="22" t="s">
        <v>307</v>
      </c>
      <c r="E172" s="22" t="n">
        <v>24</v>
      </c>
      <c r="F172" s="22" t="s">
        <v>215</v>
      </c>
    </row>
    <row r="173" customFormat="false" ht="15" hidden="false" customHeight="false" outlineLevel="0" collapsed="false">
      <c r="A173" s="22" t="s">
        <v>659</v>
      </c>
      <c r="B173" s="22" t="s">
        <v>660</v>
      </c>
      <c r="C173" s="22" t="s">
        <v>162</v>
      </c>
      <c r="D173" s="22" t="s">
        <v>661</v>
      </c>
      <c r="E173" s="22" t="n">
        <v>49.1</v>
      </c>
      <c r="F173" s="22" t="s">
        <v>188</v>
      </c>
    </row>
    <row r="174" customFormat="false" ht="15" hidden="false" customHeight="false" outlineLevel="0" collapsed="false">
      <c r="A174" s="22" t="s">
        <v>662</v>
      </c>
      <c r="B174" s="22" t="s">
        <v>663</v>
      </c>
      <c r="C174" s="22" t="s">
        <v>207</v>
      </c>
      <c r="D174" s="22" t="s">
        <v>664</v>
      </c>
      <c r="E174" s="22" t="n">
        <v>22.2</v>
      </c>
      <c r="F174" s="22" t="s">
        <v>164</v>
      </c>
    </row>
    <row r="175" customFormat="false" ht="15" hidden="false" customHeight="false" outlineLevel="0" collapsed="false">
      <c r="A175" s="22" t="s">
        <v>665</v>
      </c>
      <c r="B175" s="22" t="s">
        <v>666</v>
      </c>
      <c r="C175" s="22" t="s">
        <v>162</v>
      </c>
      <c r="D175" s="22" t="s">
        <v>667</v>
      </c>
      <c r="E175" s="22" t="n">
        <v>38.3</v>
      </c>
      <c r="F175" s="22" t="s">
        <v>164</v>
      </c>
    </row>
    <row r="176" customFormat="false" ht="15" hidden="false" customHeight="false" outlineLevel="0" collapsed="false">
      <c r="A176" s="22" t="s">
        <v>668</v>
      </c>
      <c r="B176" s="22" t="s">
        <v>669</v>
      </c>
      <c r="C176" s="22" t="s">
        <v>207</v>
      </c>
      <c r="D176" s="22" t="s">
        <v>174</v>
      </c>
      <c r="E176" s="22" t="n">
        <v>40.7</v>
      </c>
      <c r="F176" s="22" t="s">
        <v>175</v>
      </c>
    </row>
    <row r="177" customFormat="false" ht="15" hidden="false" customHeight="false" outlineLevel="0" collapsed="false">
      <c r="A177" s="22" t="s">
        <v>670</v>
      </c>
      <c r="B177" s="22" t="s">
        <v>671</v>
      </c>
      <c r="C177" s="22" t="s">
        <v>157</v>
      </c>
      <c r="D177" s="22" t="s">
        <v>672</v>
      </c>
      <c r="E177" s="22" t="n">
        <v>43.5</v>
      </c>
      <c r="F177" s="22" t="s">
        <v>164</v>
      </c>
    </row>
    <row r="178" customFormat="false" ht="15" hidden="false" customHeight="false" outlineLevel="0" collapsed="false">
      <c r="A178" s="22" t="s">
        <v>673</v>
      </c>
      <c r="B178" s="22" t="s">
        <v>674</v>
      </c>
      <c r="C178" s="22" t="s">
        <v>162</v>
      </c>
      <c r="D178" s="22" t="s">
        <v>675</v>
      </c>
      <c r="E178" s="22" t="n">
        <v>41.6</v>
      </c>
      <c r="F178" s="22" t="s">
        <v>159</v>
      </c>
    </row>
    <row r="179" customFormat="false" ht="15" hidden="false" customHeight="false" outlineLevel="0" collapsed="false">
      <c r="A179" s="22" t="s">
        <v>676</v>
      </c>
      <c r="B179" s="22" t="s">
        <v>677</v>
      </c>
      <c r="C179" s="22" t="s">
        <v>162</v>
      </c>
      <c r="D179" s="22" t="s">
        <v>678</v>
      </c>
      <c r="E179" s="22" t="n">
        <v>28</v>
      </c>
      <c r="F179" s="22" t="s">
        <v>175</v>
      </c>
    </row>
    <row r="180" customFormat="false" ht="15" hidden="false" customHeight="false" outlineLevel="0" collapsed="false">
      <c r="A180" s="22" t="s">
        <v>679</v>
      </c>
      <c r="B180" s="22" t="s">
        <v>680</v>
      </c>
      <c r="C180" s="22" t="s">
        <v>162</v>
      </c>
      <c r="D180" s="22" t="s">
        <v>681</v>
      </c>
      <c r="E180" s="22" t="n">
        <v>27</v>
      </c>
      <c r="F180" s="22" t="s">
        <v>164</v>
      </c>
    </row>
    <row r="181" customFormat="false" ht="15" hidden="false" customHeight="false" outlineLevel="0" collapsed="false">
      <c r="A181" s="22" t="s">
        <v>682</v>
      </c>
      <c r="B181" s="22" t="s">
        <v>683</v>
      </c>
      <c r="C181" s="22" t="s">
        <v>162</v>
      </c>
      <c r="D181" s="22" t="s">
        <v>684</v>
      </c>
      <c r="E181" s="22" t="n">
        <v>39.4</v>
      </c>
      <c r="F181" s="22" t="s">
        <v>198</v>
      </c>
    </row>
    <row r="182" customFormat="false" ht="15" hidden="false" customHeight="false" outlineLevel="0" collapsed="false">
      <c r="A182" s="22" t="s">
        <v>685</v>
      </c>
      <c r="B182" s="22" t="s">
        <v>686</v>
      </c>
      <c r="C182" s="22" t="s">
        <v>162</v>
      </c>
      <c r="D182" s="22" t="s">
        <v>687</v>
      </c>
      <c r="E182" s="22" t="n">
        <v>61.3</v>
      </c>
      <c r="F182" s="22" t="s">
        <v>499</v>
      </c>
    </row>
    <row r="183" customFormat="false" ht="15" hidden="false" customHeight="false" outlineLevel="0" collapsed="false">
      <c r="A183" s="22" t="s">
        <v>688</v>
      </c>
      <c r="B183" s="22" t="s">
        <v>689</v>
      </c>
      <c r="C183" s="22" t="s">
        <v>162</v>
      </c>
      <c r="D183" s="22" t="s">
        <v>690</v>
      </c>
      <c r="E183" s="22" t="n">
        <v>31.4</v>
      </c>
      <c r="F183" s="22" t="s">
        <v>164</v>
      </c>
    </row>
    <row r="184" customFormat="false" ht="15" hidden="false" customHeight="false" outlineLevel="0" collapsed="false">
      <c r="A184" s="22" t="s">
        <v>691</v>
      </c>
      <c r="B184" s="22" t="s">
        <v>692</v>
      </c>
      <c r="C184" s="22" t="s">
        <v>162</v>
      </c>
      <c r="D184" s="22" t="s">
        <v>519</v>
      </c>
      <c r="E184" s="22" t="n">
        <v>19.3</v>
      </c>
      <c r="F184" s="22" t="s">
        <v>164</v>
      </c>
    </row>
    <row r="185" customFormat="false" ht="15" hidden="false" customHeight="false" outlineLevel="0" collapsed="false">
      <c r="A185" s="22" t="s">
        <v>693</v>
      </c>
      <c r="B185" s="22" t="s">
        <v>694</v>
      </c>
      <c r="C185" s="22" t="s">
        <v>162</v>
      </c>
      <c r="D185" s="22" t="s">
        <v>695</v>
      </c>
      <c r="E185" s="22" t="n">
        <v>45</v>
      </c>
      <c r="F185" s="22" t="s">
        <v>175</v>
      </c>
    </row>
    <row r="186" customFormat="false" ht="15" hidden="false" customHeight="false" outlineLevel="0" collapsed="false">
      <c r="A186" s="22" t="s">
        <v>696</v>
      </c>
      <c r="B186" s="22" t="s">
        <v>697</v>
      </c>
      <c r="C186" s="22" t="s">
        <v>162</v>
      </c>
      <c r="D186" s="22" t="s">
        <v>698</v>
      </c>
      <c r="E186" s="22" t="n">
        <v>25.5</v>
      </c>
      <c r="F186" s="22" t="s">
        <v>164</v>
      </c>
    </row>
    <row r="187" customFormat="false" ht="15" hidden="false" customHeight="false" outlineLevel="0" collapsed="false">
      <c r="A187" s="22" t="s">
        <v>699</v>
      </c>
      <c r="B187" s="22" t="s">
        <v>700</v>
      </c>
      <c r="C187" s="22" t="s">
        <v>162</v>
      </c>
      <c r="D187" s="22" t="s">
        <v>398</v>
      </c>
      <c r="E187" s="22" t="n">
        <v>39.6</v>
      </c>
      <c r="F187" s="22" t="s">
        <v>175</v>
      </c>
    </row>
    <row r="188" customFormat="false" ht="15" hidden="false" customHeight="false" outlineLevel="0" collapsed="false">
      <c r="A188" s="22" t="s">
        <v>701</v>
      </c>
      <c r="B188" s="22" t="s">
        <v>702</v>
      </c>
      <c r="C188" s="22" t="s">
        <v>162</v>
      </c>
      <c r="D188" s="22" t="s">
        <v>703</v>
      </c>
      <c r="E188" s="22" t="n">
        <v>28.3</v>
      </c>
      <c r="F188" s="22" t="s">
        <v>198</v>
      </c>
    </row>
    <row r="189" customFormat="false" ht="15" hidden="false" customHeight="false" outlineLevel="0" collapsed="false">
      <c r="A189" s="22" t="s">
        <v>704</v>
      </c>
      <c r="B189" s="22" t="s">
        <v>705</v>
      </c>
      <c r="C189" s="22" t="s">
        <v>162</v>
      </c>
      <c r="D189" s="22" t="s">
        <v>519</v>
      </c>
      <c r="E189" s="22" t="n">
        <v>36.5</v>
      </c>
      <c r="F189" s="22" t="s">
        <v>175</v>
      </c>
    </row>
    <row r="190" customFormat="false" ht="15" hidden="false" customHeight="false" outlineLevel="0" collapsed="false">
      <c r="A190" s="22" t="s">
        <v>706</v>
      </c>
      <c r="B190" s="22" t="s">
        <v>707</v>
      </c>
      <c r="C190" s="22" t="s">
        <v>162</v>
      </c>
      <c r="D190" s="22" t="s">
        <v>708</v>
      </c>
      <c r="E190" s="22" t="n">
        <v>23</v>
      </c>
      <c r="F190" s="22" t="s">
        <v>171</v>
      </c>
    </row>
    <row r="191" customFormat="false" ht="15" hidden="false" customHeight="false" outlineLevel="0" collapsed="false">
      <c r="A191" s="22" t="s">
        <v>709</v>
      </c>
      <c r="B191" s="22" t="s">
        <v>710</v>
      </c>
      <c r="C191" s="22" t="s">
        <v>162</v>
      </c>
      <c r="D191" s="22" t="s">
        <v>711</v>
      </c>
      <c r="E191" s="22" t="n">
        <v>20.1</v>
      </c>
      <c r="F191" s="22" t="s">
        <v>164</v>
      </c>
    </row>
    <row r="192" customFormat="false" ht="15" hidden="false" customHeight="false" outlineLevel="0" collapsed="false">
      <c r="A192" s="22" t="s">
        <v>712</v>
      </c>
      <c r="B192" s="22" t="s">
        <v>713</v>
      </c>
      <c r="C192" s="22" t="s">
        <v>162</v>
      </c>
      <c r="D192" s="22" t="s">
        <v>714</v>
      </c>
      <c r="E192" s="22" t="n">
        <v>26.2</v>
      </c>
      <c r="F192" s="22" t="s">
        <v>171</v>
      </c>
    </row>
    <row r="193" customFormat="false" ht="15" hidden="false" customHeight="false" outlineLevel="0" collapsed="false">
      <c r="A193" s="22" t="s">
        <v>715</v>
      </c>
      <c r="B193" s="22" t="s">
        <v>716</v>
      </c>
      <c r="C193" s="22" t="s">
        <v>162</v>
      </c>
      <c r="D193" s="22" t="s">
        <v>717</v>
      </c>
      <c r="E193" s="22" t="n">
        <v>21</v>
      </c>
      <c r="F193" s="22" t="s">
        <v>175</v>
      </c>
    </row>
    <row r="194" customFormat="false" ht="15" hidden="false" customHeight="false" outlineLevel="0" collapsed="false">
      <c r="A194" s="22" t="s">
        <v>718</v>
      </c>
      <c r="B194" s="22" t="s">
        <v>719</v>
      </c>
      <c r="C194" s="22" t="s">
        <v>162</v>
      </c>
      <c r="D194" s="22" t="s">
        <v>720</v>
      </c>
      <c r="E194" s="22" t="n">
        <v>20.2</v>
      </c>
      <c r="F194" s="22" t="s">
        <v>499</v>
      </c>
    </row>
    <row r="195" customFormat="false" ht="15" hidden="false" customHeight="false" outlineLevel="0" collapsed="false">
      <c r="A195" s="22" t="s">
        <v>721</v>
      </c>
      <c r="B195" s="22" t="s">
        <v>722</v>
      </c>
      <c r="C195" s="22" t="s">
        <v>162</v>
      </c>
      <c r="D195" s="22" t="s">
        <v>723</v>
      </c>
      <c r="E195" s="22" t="n">
        <v>26.9</v>
      </c>
      <c r="F195" s="22" t="s">
        <v>175</v>
      </c>
    </row>
    <row r="196" customFormat="false" ht="15" hidden="false" customHeight="false" outlineLevel="0" collapsed="false">
      <c r="A196" s="22" t="s">
        <v>724</v>
      </c>
      <c r="B196" s="22" t="s">
        <v>725</v>
      </c>
      <c r="C196" s="22" t="s">
        <v>162</v>
      </c>
      <c r="D196" s="22" t="s">
        <v>197</v>
      </c>
      <c r="E196" s="22" t="n">
        <v>27.2</v>
      </c>
      <c r="F196" s="22" t="s">
        <v>175</v>
      </c>
    </row>
    <row r="197" customFormat="false" ht="15" hidden="false" customHeight="false" outlineLevel="0" collapsed="false">
      <c r="A197" s="22" t="s">
        <v>726</v>
      </c>
      <c r="B197" s="22" t="s">
        <v>727</v>
      </c>
      <c r="C197" s="22" t="s">
        <v>162</v>
      </c>
      <c r="D197" s="22" t="s">
        <v>728</v>
      </c>
      <c r="E197" s="22" t="n">
        <v>53</v>
      </c>
      <c r="F197" s="22" t="s">
        <v>164</v>
      </c>
    </row>
    <row r="198" customFormat="false" ht="15" hidden="false" customHeight="false" outlineLevel="0" collapsed="false">
      <c r="A198" s="22" t="s">
        <v>729</v>
      </c>
      <c r="B198" s="22" t="s">
        <v>730</v>
      </c>
      <c r="C198" s="22" t="s">
        <v>162</v>
      </c>
      <c r="D198" s="22" t="s">
        <v>731</v>
      </c>
      <c r="E198" s="22" t="n">
        <v>54.7</v>
      </c>
      <c r="F198" s="22" t="s">
        <v>159</v>
      </c>
    </row>
    <row r="199" customFormat="false" ht="15" hidden="false" customHeight="false" outlineLevel="0" collapsed="false">
      <c r="A199" s="22" t="s">
        <v>732</v>
      </c>
      <c r="B199" s="22" t="s">
        <v>733</v>
      </c>
      <c r="C199" s="22" t="s">
        <v>207</v>
      </c>
      <c r="D199" s="22" t="s">
        <v>346</v>
      </c>
      <c r="E199" s="22" t="n">
        <v>31</v>
      </c>
      <c r="F199" s="22" t="s">
        <v>175</v>
      </c>
    </row>
    <row r="200" customFormat="false" ht="15" hidden="false" customHeight="false" outlineLevel="0" collapsed="false">
      <c r="A200" s="22" t="s">
        <v>734</v>
      </c>
      <c r="B200" s="22" t="s">
        <v>735</v>
      </c>
      <c r="C200" s="22" t="s">
        <v>162</v>
      </c>
      <c r="D200" s="22" t="s">
        <v>736</v>
      </c>
      <c r="E200" s="22" t="n">
        <v>57.3</v>
      </c>
      <c r="F200" s="22" t="s">
        <v>198</v>
      </c>
    </row>
    <row r="201" customFormat="false" ht="15" hidden="false" customHeight="false" outlineLevel="0" collapsed="false">
      <c r="A201" s="22" t="s">
        <v>737</v>
      </c>
      <c r="B201" s="22" t="s">
        <v>738</v>
      </c>
      <c r="C201" s="22" t="s">
        <v>162</v>
      </c>
      <c r="D201" s="22" t="s">
        <v>739</v>
      </c>
      <c r="E201" s="22" t="n">
        <v>41.2</v>
      </c>
      <c r="F201" s="22" t="s">
        <v>164</v>
      </c>
    </row>
    <row r="202" customFormat="false" ht="15" hidden="false" customHeight="false" outlineLevel="0" collapsed="false">
      <c r="A202" s="22" t="s">
        <v>740</v>
      </c>
      <c r="B202" s="22" t="s">
        <v>741</v>
      </c>
      <c r="C202" s="22" t="s">
        <v>207</v>
      </c>
      <c r="D202" s="22" t="s">
        <v>742</v>
      </c>
      <c r="E202" s="22" t="n">
        <v>41.5</v>
      </c>
      <c r="F202" s="22" t="s">
        <v>164</v>
      </c>
    </row>
    <row r="203" customFormat="false" ht="15" hidden="false" customHeight="false" outlineLevel="0" collapsed="false">
      <c r="A203" s="22" t="s">
        <v>743</v>
      </c>
      <c r="B203" s="22" t="s">
        <v>744</v>
      </c>
      <c r="C203" s="22" t="s">
        <v>162</v>
      </c>
      <c r="D203" s="22" t="s">
        <v>745</v>
      </c>
      <c r="E203" s="22" t="n">
        <v>44</v>
      </c>
      <c r="F203" s="22" t="s">
        <v>215</v>
      </c>
    </row>
    <row r="204" customFormat="false" ht="15" hidden="false" customHeight="false" outlineLevel="0" collapsed="false">
      <c r="A204" s="22" t="s">
        <v>746</v>
      </c>
      <c r="B204" s="22" t="s">
        <v>747</v>
      </c>
      <c r="C204" s="22" t="s">
        <v>162</v>
      </c>
      <c r="D204" s="22" t="s">
        <v>648</v>
      </c>
      <c r="E204" s="22" t="n">
        <v>22.1</v>
      </c>
      <c r="F204" s="22" t="s">
        <v>171</v>
      </c>
    </row>
    <row r="205" customFormat="false" ht="15" hidden="false" customHeight="false" outlineLevel="0" collapsed="false">
      <c r="A205" s="22" t="s">
        <v>748</v>
      </c>
      <c r="B205" s="22" t="s">
        <v>749</v>
      </c>
      <c r="C205" s="22" t="s">
        <v>162</v>
      </c>
      <c r="D205" s="22" t="s">
        <v>567</v>
      </c>
      <c r="E205" s="22" t="n">
        <v>46.6</v>
      </c>
      <c r="F205" s="22" t="s">
        <v>499</v>
      </c>
    </row>
    <row r="206" customFormat="false" ht="15" hidden="false" customHeight="false" outlineLevel="0" collapsed="false">
      <c r="A206" s="22" t="s">
        <v>750</v>
      </c>
      <c r="B206" s="22" t="s">
        <v>751</v>
      </c>
      <c r="C206" s="22" t="s">
        <v>162</v>
      </c>
      <c r="D206" s="22" t="s">
        <v>752</v>
      </c>
      <c r="E206" s="22" t="n">
        <v>31.1</v>
      </c>
      <c r="F206" s="22" t="s">
        <v>175</v>
      </c>
    </row>
    <row r="207" customFormat="false" ht="15" hidden="false" customHeight="false" outlineLevel="0" collapsed="false">
      <c r="A207" s="22" t="s">
        <v>753</v>
      </c>
      <c r="B207" s="22" t="s">
        <v>754</v>
      </c>
      <c r="C207" s="22" t="s">
        <v>162</v>
      </c>
      <c r="D207" s="22" t="s">
        <v>755</v>
      </c>
      <c r="E207" s="22" t="n">
        <v>41.9</v>
      </c>
      <c r="F207" s="22" t="s">
        <v>159</v>
      </c>
    </row>
    <row r="208" customFormat="false" ht="15" hidden="false" customHeight="false" outlineLevel="0" collapsed="false">
      <c r="A208" s="22" t="s">
        <v>756</v>
      </c>
      <c r="B208" s="22" t="s">
        <v>757</v>
      </c>
      <c r="C208" s="22" t="s">
        <v>162</v>
      </c>
      <c r="D208" s="22" t="s">
        <v>269</v>
      </c>
      <c r="E208" s="22" t="n">
        <v>42.9</v>
      </c>
      <c r="F208" s="22" t="s">
        <v>164</v>
      </c>
    </row>
    <row r="209" customFormat="false" ht="15" hidden="false" customHeight="false" outlineLevel="0" collapsed="false">
      <c r="A209" s="22" t="s">
        <v>758</v>
      </c>
      <c r="B209" s="22" t="s">
        <v>759</v>
      </c>
      <c r="C209" s="22" t="s">
        <v>162</v>
      </c>
      <c r="D209" s="22" t="s">
        <v>404</v>
      </c>
      <c r="E209" s="22" t="n">
        <v>19.8</v>
      </c>
      <c r="F209" s="22" t="s">
        <v>159</v>
      </c>
    </row>
    <row r="210" customFormat="false" ht="15" hidden="false" customHeight="false" outlineLevel="0" collapsed="false">
      <c r="A210" s="22" t="s">
        <v>760</v>
      </c>
      <c r="B210" s="22" t="s">
        <v>761</v>
      </c>
      <c r="C210" s="22" t="s">
        <v>162</v>
      </c>
      <c r="D210" s="22" t="s">
        <v>762</v>
      </c>
      <c r="E210" s="22" t="n">
        <v>60</v>
      </c>
      <c r="F210" s="22" t="s">
        <v>175</v>
      </c>
    </row>
    <row r="211" customFormat="false" ht="15" hidden="false" customHeight="false" outlineLevel="0" collapsed="false">
      <c r="A211" s="22" t="s">
        <v>763</v>
      </c>
      <c r="B211" s="22" t="s">
        <v>764</v>
      </c>
      <c r="C211" s="22" t="s">
        <v>162</v>
      </c>
      <c r="D211" s="22" t="s">
        <v>765</v>
      </c>
      <c r="E211" s="22" t="n">
        <v>25.5</v>
      </c>
      <c r="F211" s="22" t="s">
        <v>164</v>
      </c>
    </row>
    <row r="212" customFormat="false" ht="15" hidden="false" customHeight="false" outlineLevel="0" collapsed="false">
      <c r="A212" s="22" t="s">
        <v>766</v>
      </c>
      <c r="B212" s="22" t="s">
        <v>767</v>
      </c>
      <c r="C212" s="22" t="s">
        <v>162</v>
      </c>
      <c r="D212" s="22" t="s">
        <v>642</v>
      </c>
      <c r="E212" s="22" t="n">
        <v>18.9</v>
      </c>
      <c r="F212" s="22" t="s">
        <v>499</v>
      </c>
    </row>
    <row r="213" customFormat="false" ht="15" hidden="false" customHeight="false" outlineLevel="0" collapsed="false">
      <c r="A213" s="22" t="s">
        <v>768</v>
      </c>
      <c r="B213" s="22" t="s">
        <v>769</v>
      </c>
      <c r="C213" s="22" t="s">
        <v>162</v>
      </c>
      <c r="D213" s="22" t="s">
        <v>770</v>
      </c>
      <c r="E213" s="22" t="n">
        <v>49.9</v>
      </c>
      <c r="F213" s="22" t="s">
        <v>164</v>
      </c>
    </row>
    <row r="214" customFormat="false" ht="15" hidden="false" customHeight="false" outlineLevel="0" collapsed="false">
      <c r="A214" s="22" t="s">
        <v>771</v>
      </c>
      <c r="B214" s="22" t="s">
        <v>772</v>
      </c>
      <c r="C214" s="22" t="s">
        <v>157</v>
      </c>
      <c r="D214" s="22" t="s">
        <v>773</v>
      </c>
      <c r="E214" s="22" t="n">
        <v>34.5</v>
      </c>
      <c r="F214" s="22" t="s">
        <v>198</v>
      </c>
    </row>
    <row r="215" customFormat="false" ht="15" hidden="false" customHeight="false" outlineLevel="0" collapsed="false">
      <c r="A215" s="22" t="s">
        <v>774</v>
      </c>
      <c r="B215" s="22" t="s">
        <v>775</v>
      </c>
      <c r="C215" s="22" t="s">
        <v>162</v>
      </c>
      <c r="D215" s="22" t="s">
        <v>508</v>
      </c>
      <c r="E215" s="22" t="n">
        <v>19.9</v>
      </c>
      <c r="F215" s="22" t="s">
        <v>499</v>
      </c>
    </row>
    <row r="216" customFormat="false" ht="15" hidden="false" customHeight="false" outlineLevel="0" collapsed="false">
      <c r="A216" s="22" t="s">
        <v>776</v>
      </c>
      <c r="B216" s="22" t="s">
        <v>777</v>
      </c>
      <c r="C216" s="22" t="s">
        <v>162</v>
      </c>
      <c r="D216" s="22" t="s">
        <v>778</v>
      </c>
      <c r="E216" s="22" t="n">
        <v>27.2</v>
      </c>
      <c r="F216" s="22" t="s">
        <v>175</v>
      </c>
    </row>
    <row r="217" customFormat="false" ht="15" hidden="false" customHeight="false" outlineLevel="0" collapsed="false">
      <c r="A217" s="22" t="s">
        <v>779</v>
      </c>
      <c r="B217" s="22" t="s">
        <v>780</v>
      </c>
      <c r="C217" s="22" t="s">
        <v>162</v>
      </c>
      <c r="D217" s="22" t="s">
        <v>781</v>
      </c>
      <c r="E217" s="22" t="n">
        <v>18.9</v>
      </c>
      <c r="F217" s="22" t="s">
        <v>164</v>
      </c>
    </row>
    <row r="218" customFormat="false" ht="15" hidden="false" customHeight="false" outlineLevel="0" collapsed="false">
      <c r="A218" s="22" t="s">
        <v>782</v>
      </c>
      <c r="B218" s="22" t="s">
        <v>783</v>
      </c>
      <c r="C218" s="22" t="s">
        <v>207</v>
      </c>
      <c r="D218" s="22" t="s">
        <v>784</v>
      </c>
      <c r="E218" s="22" t="n">
        <v>39.5</v>
      </c>
      <c r="F218" s="22" t="s">
        <v>164</v>
      </c>
    </row>
    <row r="219" customFormat="false" ht="15" hidden="false" customHeight="false" outlineLevel="0" collapsed="false">
      <c r="A219" s="22" t="s">
        <v>785</v>
      </c>
      <c r="B219" s="22" t="s">
        <v>786</v>
      </c>
      <c r="C219" s="22" t="s">
        <v>162</v>
      </c>
      <c r="D219" s="22" t="s">
        <v>787</v>
      </c>
      <c r="E219" s="22" t="n">
        <v>22.4</v>
      </c>
      <c r="F219" s="22" t="s">
        <v>499</v>
      </c>
    </row>
    <row r="220" customFormat="false" ht="15" hidden="false" customHeight="false" outlineLevel="0" collapsed="false">
      <c r="A220" s="22" t="s">
        <v>788</v>
      </c>
      <c r="B220" s="22" t="s">
        <v>789</v>
      </c>
      <c r="C220" s="22" t="s">
        <v>157</v>
      </c>
      <c r="D220" s="22" t="s">
        <v>790</v>
      </c>
      <c r="E220" s="22" t="n">
        <v>31.3</v>
      </c>
      <c r="F220" s="22" t="s">
        <v>164</v>
      </c>
    </row>
    <row r="221" customFormat="false" ht="15" hidden="false" customHeight="false" outlineLevel="0" collapsed="false">
      <c r="A221" s="22" t="s">
        <v>791</v>
      </c>
      <c r="B221" s="22" t="s">
        <v>792</v>
      </c>
      <c r="C221" s="22" t="s">
        <v>566</v>
      </c>
      <c r="D221" s="22" t="s">
        <v>793</v>
      </c>
      <c r="E221" s="22" t="n">
        <v>54.8</v>
      </c>
      <c r="F221" s="22" t="s">
        <v>198</v>
      </c>
    </row>
    <row r="222" customFormat="false" ht="15" hidden="false" customHeight="false" outlineLevel="0" collapsed="false">
      <c r="A222" s="22" t="s">
        <v>794</v>
      </c>
      <c r="B222" s="22" t="s">
        <v>795</v>
      </c>
      <c r="C222" s="22" t="s">
        <v>162</v>
      </c>
      <c r="D222" s="22" t="s">
        <v>796</v>
      </c>
      <c r="E222" s="22" t="n">
        <v>54.1</v>
      </c>
      <c r="F222" s="22" t="s">
        <v>159</v>
      </c>
    </row>
    <row r="223" customFormat="false" ht="15" hidden="false" customHeight="false" outlineLevel="0" collapsed="false">
      <c r="A223" s="22" t="s">
        <v>797</v>
      </c>
      <c r="B223" s="22" t="s">
        <v>798</v>
      </c>
      <c r="C223" s="22" t="s">
        <v>162</v>
      </c>
      <c r="D223" s="22" t="s">
        <v>799</v>
      </c>
      <c r="E223" s="22" t="n">
        <v>18.6</v>
      </c>
      <c r="F223" s="22" t="s">
        <v>164</v>
      </c>
    </row>
    <row r="224" customFormat="false" ht="15" hidden="false" customHeight="false" outlineLevel="0" collapsed="false">
      <c r="A224" s="22" t="s">
        <v>800</v>
      </c>
      <c r="B224" s="22" t="s">
        <v>801</v>
      </c>
      <c r="C224" s="22" t="s">
        <v>566</v>
      </c>
      <c r="D224" s="22" t="s">
        <v>802</v>
      </c>
      <c r="E224" s="22" t="n">
        <v>42.3</v>
      </c>
      <c r="F224" s="22" t="s">
        <v>164</v>
      </c>
    </row>
    <row r="225" customFormat="false" ht="15" hidden="false" customHeight="false" outlineLevel="0" collapsed="false">
      <c r="A225" s="22" t="s">
        <v>803</v>
      </c>
      <c r="B225" s="22" t="s">
        <v>804</v>
      </c>
      <c r="C225" s="22" t="s">
        <v>162</v>
      </c>
      <c r="D225" s="22" t="s">
        <v>805</v>
      </c>
      <c r="E225" s="22" t="n">
        <v>49.8</v>
      </c>
      <c r="F225" s="22" t="s">
        <v>175</v>
      </c>
    </row>
    <row r="226" customFormat="false" ht="15" hidden="false" customHeight="false" outlineLevel="0" collapsed="false">
      <c r="A226" s="22" t="s">
        <v>806</v>
      </c>
      <c r="B226" s="22" t="s">
        <v>807</v>
      </c>
      <c r="C226" s="22" t="s">
        <v>162</v>
      </c>
      <c r="D226" s="22" t="s">
        <v>167</v>
      </c>
      <c r="E226" s="22" t="n">
        <v>55.7</v>
      </c>
      <c r="F226" s="22" t="s">
        <v>175</v>
      </c>
    </row>
    <row r="227" customFormat="false" ht="15" hidden="false" customHeight="false" outlineLevel="0" collapsed="false">
      <c r="A227" s="22" t="s">
        <v>808</v>
      </c>
      <c r="B227" s="22" t="s">
        <v>809</v>
      </c>
      <c r="C227" s="22" t="s">
        <v>162</v>
      </c>
      <c r="D227" s="22" t="s">
        <v>664</v>
      </c>
      <c r="E227" s="22" t="n">
        <v>48</v>
      </c>
      <c r="F227" s="22" t="s">
        <v>164</v>
      </c>
    </row>
    <row r="228" customFormat="false" ht="15" hidden="false" customHeight="false" outlineLevel="0" collapsed="false">
      <c r="A228" s="22" t="s">
        <v>810</v>
      </c>
      <c r="B228" s="22" t="s">
        <v>811</v>
      </c>
      <c r="C228" s="22" t="s">
        <v>162</v>
      </c>
      <c r="D228" s="22" t="s">
        <v>812</v>
      </c>
      <c r="E228" s="22" t="n">
        <v>49.5</v>
      </c>
      <c r="F228" s="22" t="s">
        <v>175</v>
      </c>
    </row>
    <row r="229" customFormat="false" ht="15" hidden="false" customHeight="false" outlineLevel="0" collapsed="false">
      <c r="A229" s="22" t="s">
        <v>813</v>
      </c>
      <c r="B229" s="22" t="s">
        <v>814</v>
      </c>
      <c r="C229" s="22" t="s">
        <v>162</v>
      </c>
      <c r="D229" s="22" t="s">
        <v>815</v>
      </c>
      <c r="E229" s="22" t="n">
        <v>50.7</v>
      </c>
      <c r="F229" s="22" t="s">
        <v>175</v>
      </c>
    </row>
    <row r="230" customFormat="false" ht="15" hidden="false" customHeight="false" outlineLevel="0" collapsed="false">
      <c r="A230" s="22" t="s">
        <v>816</v>
      </c>
      <c r="B230" s="22" t="s">
        <v>817</v>
      </c>
      <c r="C230" s="22" t="s">
        <v>162</v>
      </c>
      <c r="D230" s="22" t="s">
        <v>781</v>
      </c>
      <c r="E230" s="22" t="n">
        <v>26.2</v>
      </c>
      <c r="F230" s="22" t="s">
        <v>175</v>
      </c>
    </row>
    <row r="231" customFormat="false" ht="15" hidden="false" customHeight="false" outlineLevel="0" collapsed="false">
      <c r="A231" s="22" t="s">
        <v>818</v>
      </c>
      <c r="B231" s="22" t="s">
        <v>819</v>
      </c>
      <c r="C231" s="22" t="s">
        <v>207</v>
      </c>
      <c r="D231" s="22" t="s">
        <v>820</v>
      </c>
      <c r="E231" s="22" t="n">
        <v>33</v>
      </c>
      <c r="F231" s="22" t="s">
        <v>175</v>
      </c>
    </row>
    <row r="232" customFormat="false" ht="15" hidden="false" customHeight="false" outlineLevel="0" collapsed="false">
      <c r="A232" s="22" t="s">
        <v>821</v>
      </c>
      <c r="B232" s="22" t="s">
        <v>822</v>
      </c>
      <c r="C232" s="22" t="s">
        <v>157</v>
      </c>
      <c r="D232" s="22" t="s">
        <v>815</v>
      </c>
      <c r="E232" s="22" t="n">
        <v>31</v>
      </c>
      <c r="F232" s="22" t="s">
        <v>171</v>
      </c>
    </row>
    <row r="233" customFormat="false" ht="15" hidden="false" customHeight="false" outlineLevel="0" collapsed="false">
      <c r="A233" s="22" t="s">
        <v>823</v>
      </c>
      <c r="B233" s="22" t="s">
        <v>824</v>
      </c>
      <c r="C233" s="22" t="s">
        <v>162</v>
      </c>
      <c r="D233" s="22" t="s">
        <v>296</v>
      </c>
      <c r="E233" s="22" t="n">
        <v>46.2</v>
      </c>
      <c r="F233" s="22" t="s">
        <v>175</v>
      </c>
    </row>
    <row r="234" customFormat="false" ht="15" hidden="false" customHeight="false" outlineLevel="0" collapsed="false">
      <c r="A234" s="22" t="s">
        <v>825</v>
      </c>
      <c r="B234" s="22" t="s">
        <v>826</v>
      </c>
      <c r="C234" s="22" t="s">
        <v>162</v>
      </c>
      <c r="D234" s="22" t="s">
        <v>552</v>
      </c>
      <c r="E234" s="22" t="n">
        <v>19</v>
      </c>
      <c r="F234" s="22" t="s">
        <v>164</v>
      </c>
    </row>
    <row r="235" customFormat="false" ht="15" hidden="false" customHeight="false" outlineLevel="0" collapsed="false">
      <c r="A235" s="22" t="s">
        <v>827</v>
      </c>
      <c r="B235" s="22" t="s">
        <v>828</v>
      </c>
      <c r="C235" s="22" t="s">
        <v>162</v>
      </c>
      <c r="D235" s="22" t="s">
        <v>829</v>
      </c>
      <c r="E235" s="22" t="n">
        <v>49.9</v>
      </c>
      <c r="F235" s="22" t="s">
        <v>175</v>
      </c>
    </row>
    <row r="236" customFormat="false" ht="15" hidden="false" customHeight="false" outlineLevel="0" collapsed="false">
      <c r="A236" s="22" t="s">
        <v>830</v>
      </c>
      <c r="B236" s="22" t="s">
        <v>831</v>
      </c>
      <c r="C236" s="22" t="s">
        <v>162</v>
      </c>
      <c r="D236" s="22" t="s">
        <v>832</v>
      </c>
      <c r="E236" s="22" t="n">
        <v>59.8</v>
      </c>
      <c r="F236" s="22" t="s">
        <v>164</v>
      </c>
    </row>
    <row r="237" customFormat="false" ht="15" hidden="false" customHeight="false" outlineLevel="0" collapsed="false">
      <c r="A237" s="22" t="s">
        <v>833</v>
      </c>
      <c r="B237" s="22" t="s">
        <v>834</v>
      </c>
      <c r="C237" s="22" t="s">
        <v>207</v>
      </c>
      <c r="D237" s="22" t="s">
        <v>835</v>
      </c>
      <c r="E237" s="22" t="n">
        <v>27.7</v>
      </c>
      <c r="F237" s="22" t="s">
        <v>171</v>
      </c>
    </row>
    <row r="238" customFormat="false" ht="15" hidden="false" customHeight="false" outlineLevel="0" collapsed="false">
      <c r="A238" s="22" t="s">
        <v>836</v>
      </c>
      <c r="B238" s="22" t="s">
        <v>837</v>
      </c>
      <c r="C238" s="22" t="s">
        <v>162</v>
      </c>
      <c r="D238" s="22" t="s">
        <v>838</v>
      </c>
      <c r="E238" s="22" t="n">
        <v>25.9</v>
      </c>
      <c r="F238" s="22" t="s">
        <v>164</v>
      </c>
    </row>
    <row r="239" customFormat="false" ht="15" hidden="false" customHeight="false" outlineLevel="0" collapsed="false">
      <c r="A239" s="22" t="s">
        <v>839</v>
      </c>
      <c r="B239" s="22" t="s">
        <v>840</v>
      </c>
      <c r="C239" s="22" t="s">
        <v>207</v>
      </c>
      <c r="D239" s="22" t="s">
        <v>841</v>
      </c>
      <c r="E239" s="22" t="n">
        <v>19.1</v>
      </c>
      <c r="F239" s="22" t="s">
        <v>164</v>
      </c>
    </row>
    <row r="240" customFormat="false" ht="15" hidden="false" customHeight="false" outlineLevel="0" collapsed="false">
      <c r="A240" s="22" t="s">
        <v>842</v>
      </c>
      <c r="B240" s="22" t="s">
        <v>843</v>
      </c>
      <c r="C240" s="22" t="s">
        <v>162</v>
      </c>
      <c r="D240" s="22" t="s">
        <v>296</v>
      </c>
      <c r="E240" s="22" t="n">
        <v>41.2</v>
      </c>
      <c r="F240" s="22" t="s">
        <v>159</v>
      </c>
    </row>
    <row r="241" customFormat="false" ht="15" hidden="false" customHeight="false" outlineLevel="0" collapsed="false">
      <c r="A241" s="22" t="s">
        <v>844</v>
      </c>
      <c r="B241" s="22" t="s">
        <v>845</v>
      </c>
      <c r="C241" s="22" t="s">
        <v>162</v>
      </c>
      <c r="D241" s="22" t="s">
        <v>846</v>
      </c>
      <c r="E241" s="22" t="n">
        <v>43.4</v>
      </c>
      <c r="F241" s="22" t="s">
        <v>164</v>
      </c>
    </row>
    <row r="242" customFormat="false" ht="15" hidden="false" customHeight="false" outlineLevel="0" collapsed="false">
      <c r="A242" s="22" t="s">
        <v>847</v>
      </c>
      <c r="B242" s="22" t="s">
        <v>848</v>
      </c>
      <c r="C242" s="22" t="s">
        <v>162</v>
      </c>
      <c r="D242" s="22" t="s">
        <v>849</v>
      </c>
      <c r="E242" s="22" t="n">
        <v>49</v>
      </c>
      <c r="F242" s="22" t="s">
        <v>159</v>
      </c>
    </row>
    <row r="243" customFormat="false" ht="15" hidden="false" customHeight="false" outlineLevel="0" collapsed="false">
      <c r="A243" s="22" t="s">
        <v>850</v>
      </c>
      <c r="B243" s="22" t="s">
        <v>851</v>
      </c>
      <c r="C243" s="22" t="s">
        <v>162</v>
      </c>
      <c r="D243" s="22" t="s">
        <v>852</v>
      </c>
      <c r="E243" s="22" t="n">
        <v>19.5</v>
      </c>
      <c r="F243" s="22" t="s">
        <v>198</v>
      </c>
    </row>
    <row r="244" customFormat="false" ht="15" hidden="false" customHeight="false" outlineLevel="0" collapsed="false">
      <c r="A244" s="22" t="s">
        <v>853</v>
      </c>
      <c r="B244" s="22" t="s">
        <v>854</v>
      </c>
      <c r="C244" s="22" t="s">
        <v>162</v>
      </c>
      <c r="D244" s="22" t="s">
        <v>645</v>
      </c>
      <c r="E244" s="22" t="n">
        <v>53.2</v>
      </c>
      <c r="F244" s="22" t="s">
        <v>171</v>
      </c>
    </row>
    <row r="245" customFormat="false" ht="15" hidden="false" customHeight="false" outlineLevel="0" collapsed="false">
      <c r="A245" s="22" t="s">
        <v>855</v>
      </c>
      <c r="B245" s="22" t="s">
        <v>856</v>
      </c>
      <c r="C245" s="22" t="s">
        <v>162</v>
      </c>
      <c r="D245" s="22" t="s">
        <v>857</v>
      </c>
      <c r="E245" s="22" t="n">
        <v>34.2</v>
      </c>
      <c r="F245" s="22" t="s">
        <v>175</v>
      </c>
    </row>
    <row r="246" customFormat="false" ht="15" hidden="false" customHeight="false" outlineLevel="0" collapsed="false">
      <c r="A246" s="22" t="s">
        <v>858</v>
      </c>
      <c r="B246" s="22" t="s">
        <v>859</v>
      </c>
      <c r="C246" s="22" t="s">
        <v>162</v>
      </c>
      <c r="D246" s="22" t="s">
        <v>245</v>
      </c>
      <c r="E246" s="22" t="n">
        <v>48.4</v>
      </c>
      <c r="F246" s="22" t="s">
        <v>175</v>
      </c>
    </row>
    <row r="247" customFormat="false" ht="15" hidden="false" customHeight="false" outlineLevel="0" collapsed="false">
      <c r="A247" s="22" t="s">
        <v>860</v>
      </c>
      <c r="B247" s="22" t="s">
        <v>861</v>
      </c>
      <c r="C247" s="22" t="s">
        <v>162</v>
      </c>
      <c r="D247" s="22" t="s">
        <v>672</v>
      </c>
      <c r="E247" s="22" t="n">
        <v>30.3</v>
      </c>
      <c r="F247" s="22" t="s">
        <v>198</v>
      </c>
    </row>
    <row r="248" customFormat="false" ht="15" hidden="false" customHeight="false" outlineLevel="0" collapsed="false">
      <c r="A248" s="22" t="s">
        <v>862</v>
      </c>
      <c r="B248" s="22" t="s">
        <v>863</v>
      </c>
      <c r="C248" s="22" t="s">
        <v>162</v>
      </c>
      <c r="D248" s="22" t="s">
        <v>698</v>
      </c>
      <c r="E248" s="22" t="n">
        <v>27.8</v>
      </c>
      <c r="F248" s="22" t="s">
        <v>215</v>
      </c>
    </row>
    <row r="249" customFormat="false" ht="15" hidden="false" customHeight="false" outlineLevel="0" collapsed="false">
      <c r="A249" s="22" t="s">
        <v>864</v>
      </c>
      <c r="B249" s="22" t="s">
        <v>865</v>
      </c>
      <c r="C249" s="22" t="s">
        <v>162</v>
      </c>
      <c r="D249" s="22" t="s">
        <v>866</v>
      </c>
      <c r="E249" s="22" t="n">
        <v>39.5</v>
      </c>
      <c r="F249" s="22" t="s">
        <v>164</v>
      </c>
    </row>
    <row r="250" customFormat="false" ht="15" hidden="false" customHeight="false" outlineLevel="0" collapsed="false">
      <c r="A250" s="22" t="s">
        <v>867</v>
      </c>
      <c r="B250" s="22" t="s">
        <v>868</v>
      </c>
      <c r="C250" s="22" t="s">
        <v>162</v>
      </c>
      <c r="D250" s="22" t="s">
        <v>275</v>
      </c>
      <c r="E250" s="22" t="n">
        <v>23.7</v>
      </c>
      <c r="F250" s="22" t="s">
        <v>171</v>
      </c>
    </row>
    <row r="251" customFormat="false" ht="15" hidden="false" customHeight="false" outlineLevel="0" collapsed="false">
      <c r="A251" s="22" t="s">
        <v>869</v>
      </c>
      <c r="B251" s="22" t="s">
        <v>870</v>
      </c>
      <c r="C251" s="22" t="s">
        <v>162</v>
      </c>
      <c r="D251" s="22" t="s">
        <v>871</v>
      </c>
      <c r="E251" s="22" t="n">
        <v>23.4</v>
      </c>
      <c r="F251" s="22" t="s">
        <v>175</v>
      </c>
    </row>
    <row r="252" customFormat="false" ht="15" hidden="false" customHeight="false" outlineLevel="0" collapsed="false">
      <c r="A252" s="22" t="s">
        <v>872</v>
      </c>
      <c r="B252" s="22" t="s">
        <v>873</v>
      </c>
      <c r="C252" s="22" t="s">
        <v>207</v>
      </c>
      <c r="D252" s="22" t="s">
        <v>616</v>
      </c>
      <c r="E252" s="22" t="n">
        <v>37.3</v>
      </c>
      <c r="F252" s="22" t="s">
        <v>175</v>
      </c>
    </row>
    <row r="253" customFormat="false" ht="15" hidden="false" customHeight="false" outlineLevel="0" collapsed="false">
      <c r="A253" s="22" t="s">
        <v>874</v>
      </c>
      <c r="B253" s="22" t="s">
        <v>875</v>
      </c>
      <c r="C253" s="22" t="s">
        <v>162</v>
      </c>
      <c r="D253" s="22" t="s">
        <v>519</v>
      </c>
      <c r="E253" s="22" t="n">
        <v>48.2</v>
      </c>
      <c r="F253" s="22" t="s">
        <v>164</v>
      </c>
    </row>
    <row r="254" customFormat="false" ht="15" hidden="false" customHeight="false" outlineLevel="0" collapsed="false">
      <c r="A254" s="22" t="s">
        <v>876</v>
      </c>
      <c r="B254" s="22" t="s">
        <v>877</v>
      </c>
      <c r="C254" s="22" t="s">
        <v>162</v>
      </c>
      <c r="D254" s="22" t="s">
        <v>251</v>
      </c>
      <c r="E254" s="22" t="n">
        <v>52.6</v>
      </c>
      <c r="F254" s="22" t="s">
        <v>164</v>
      </c>
    </row>
    <row r="255" customFormat="false" ht="15" hidden="false" customHeight="false" outlineLevel="0" collapsed="false">
      <c r="A255" s="22" t="s">
        <v>878</v>
      </c>
      <c r="B255" s="22" t="s">
        <v>879</v>
      </c>
      <c r="C255" s="22" t="s">
        <v>162</v>
      </c>
      <c r="D255" s="22" t="s">
        <v>880</v>
      </c>
      <c r="E255" s="22" t="n">
        <v>50</v>
      </c>
      <c r="F255" s="22" t="s">
        <v>164</v>
      </c>
    </row>
    <row r="256" customFormat="false" ht="15" hidden="false" customHeight="false" outlineLevel="0" collapsed="false">
      <c r="A256" s="22" t="s">
        <v>881</v>
      </c>
      <c r="B256" s="22" t="s">
        <v>882</v>
      </c>
      <c r="C256" s="22" t="s">
        <v>162</v>
      </c>
      <c r="D256" s="22" t="s">
        <v>742</v>
      </c>
      <c r="E256" s="22" t="n">
        <v>23.6</v>
      </c>
      <c r="F256" s="22" t="s">
        <v>164</v>
      </c>
    </row>
    <row r="257" customFormat="false" ht="15" hidden="false" customHeight="false" outlineLevel="0" collapsed="false">
      <c r="A257" s="22" t="s">
        <v>883</v>
      </c>
      <c r="B257" s="22" t="s">
        <v>884</v>
      </c>
      <c r="C257" s="22" t="s">
        <v>162</v>
      </c>
      <c r="D257" s="22" t="s">
        <v>885</v>
      </c>
      <c r="E257" s="22" t="n">
        <v>37.7</v>
      </c>
      <c r="F257" s="22" t="s">
        <v>164</v>
      </c>
    </row>
    <row r="258" customFormat="false" ht="15" hidden="false" customHeight="false" outlineLevel="0" collapsed="false">
      <c r="A258" s="22" t="s">
        <v>886</v>
      </c>
      <c r="B258" s="22" t="s">
        <v>887</v>
      </c>
      <c r="C258" s="22" t="s">
        <v>162</v>
      </c>
      <c r="D258" s="22" t="s">
        <v>799</v>
      </c>
      <c r="E258" s="22" t="n">
        <v>47.3</v>
      </c>
      <c r="F258" s="22" t="s">
        <v>164</v>
      </c>
    </row>
    <row r="259" customFormat="false" ht="15" hidden="false" customHeight="false" outlineLevel="0" collapsed="false">
      <c r="A259" s="22" t="s">
        <v>888</v>
      </c>
      <c r="B259" s="22" t="s">
        <v>889</v>
      </c>
      <c r="C259" s="22" t="s">
        <v>207</v>
      </c>
      <c r="D259" s="22" t="s">
        <v>890</v>
      </c>
      <c r="E259" s="22" t="n">
        <v>36.5</v>
      </c>
      <c r="F259" s="22" t="s">
        <v>171</v>
      </c>
    </row>
    <row r="260" customFormat="false" ht="15" hidden="false" customHeight="false" outlineLevel="0" collapsed="false">
      <c r="A260" s="22" t="s">
        <v>891</v>
      </c>
      <c r="B260" s="22" t="s">
        <v>892</v>
      </c>
      <c r="C260" s="22" t="s">
        <v>162</v>
      </c>
      <c r="D260" s="22" t="s">
        <v>893</v>
      </c>
      <c r="E260" s="22" t="n">
        <v>45.1</v>
      </c>
      <c r="F260" s="22" t="s">
        <v>175</v>
      </c>
    </row>
    <row r="261" customFormat="false" ht="15" hidden="false" customHeight="false" outlineLevel="0" collapsed="false">
      <c r="A261" s="22" t="s">
        <v>894</v>
      </c>
      <c r="B261" s="22" t="s">
        <v>895</v>
      </c>
      <c r="C261" s="22" t="s">
        <v>162</v>
      </c>
      <c r="D261" s="22" t="s">
        <v>896</v>
      </c>
      <c r="E261" s="22" t="n">
        <v>31.3</v>
      </c>
      <c r="F261" s="22" t="s">
        <v>164</v>
      </c>
    </row>
    <row r="262" customFormat="false" ht="15" hidden="false" customHeight="false" outlineLevel="0" collapsed="false">
      <c r="A262" s="22" t="s">
        <v>897</v>
      </c>
      <c r="B262" s="22" t="s">
        <v>898</v>
      </c>
      <c r="C262" s="22" t="s">
        <v>162</v>
      </c>
      <c r="D262" s="22" t="s">
        <v>899</v>
      </c>
      <c r="E262" s="22" t="n">
        <v>26.7</v>
      </c>
      <c r="F262" s="22" t="s">
        <v>164</v>
      </c>
    </row>
    <row r="263" customFormat="false" ht="15" hidden="false" customHeight="false" outlineLevel="0" collapsed="false">
      <c r="A263" s="22" t="s">
        <v>900</v>
      </c>
      <c r="B263" s="22" t="s">
        <v>901</v>
      </c>
      <c r="C263" s="22" t="s">
        <v>162</v>
      </c>
      <c r="D263" s="22" t="s">
        <v>376</v>
      </c>
      <c r="E263" s="22" t="n">
        <v>36.6</v>
      </c>
      <c r="F263" s="22" t="s">
        <v>159</v>
      </c>
    </row>
    <row r="264" customFormat="false" ht="15" hidden="false" customHeight="false" outlineLevel="0" collapsed="false">
      <c r="A264" s="22" t="s">
        <v>902</v>
      </c>
      <c r="B264" s="22" t="s">
        <v>903</v>
      </c>
      <c r="C264" s="22" t="s">
        <v>162</v>
      </c>
      <c r="D264" s="22" t="s">
        <v>904</v>
      </c>
      <c r="E264" s="22" t="n">
        <v>27</v>
      </c>
      <c r="F264" s="22" t="s">
        <v>164</v>
      </c>
    </row>
    <row r="265" customFormat="false" ht="15" hidden="false" customHeight="false" outlineLevel="0" collapsed="false">
      <c r="A265" s="22" t="s">
        <v>905</v>
      </c>
      <c r="B265" s="22" t="s">
        <v>906</v>
      </c>
      <c r="C265" s="22" t="s">
        <v>162</v>
      </c>
      <c r="D265" s="22" t="s">
        <v>522</v>
      </c>
      <c r="E265" s="22" t="n">
        <v>51.6</v>
      </c>
      <c r="F265" s="22" t="s">
        <v>164</v>
      </c>
    </row>
    <row r="266" customFormat="false" ht="15" hidden="false" customHeight="false" outlineLevel="0" collapsed="false">
      <c r="A266" s="22" t="s">
        <v>907</v>
      </c>
      <c r="B266" s="22" t="s">
        <v>908</v>
      </c>
      <c r="C266" s="22" t="s">
        <v>162</v>
      </c>
      <c r="D266" s="22" t="s">
        <v>364</v>
      </c>
      <c r="E266" s="22" t="n">
        <v>51.6</v>
      </c>
      <c r="F266" s="22" t="s">
        <v>198</v>
      </c>
    </row>
    <row r="267" customFormat="false" ht="15" hidden="false" customHeight="false" outlineLevel="0" collapsed="false">
      <c r="A267" s="22" t="s">
        <v>909</v>
      </c>
      <c r="B267" s="22" t="s">
        <v>910</v>
      </c>
      <c r="C267" s="22" t="s">
        <v>162</v>
      </c>
      <c r="D267" s="22" t="s">
        <v>911</v>
      </c>
      <c r="E267" s="22" t="n">
        <v>61.4</v>
      </c>
      <c r="F267" s="22" t="s">
        <v>164</v>
      </c>
    </row>
    <row r="268" customFormat="false" ht="15" hidden="false" customHeight="false" outlineLevel="0" collapsed="false">
      <c r="A268" s="22" t="s">
        <v>912</v>
      </c>
      <c r="B268" s="22" t="s">
        <v>913</v>
      </c>
      <c r="C268" s="22" t="s">
        <v>162</v>
      </c>
      <c r="D268" s="22" t="s">
        <v>914</v>
      </c>
      <c r="E268" s="22" t="n">
        <v>22.3</v>
      </c>
      <c r="F268" s="22" t="s">
        <v>198</v>
      </c>
    </row>
    <row r="269" customFormat="false" ht="15" hidden="false" customHeight="false" outlineLevel="0" collapsed="false">
      <c r="A269" s="22" t="s">
        <v>915</v>
      </c>
      <c r="B269" s="22" t="s">
        <v>916</v>
      </c>
      <c r="C269" s="22" t="s">
        <v>207</v>
      </c>
      <c r="D269" s="22" t="s">
        <v>269</v>
      </c>
      <c r="E269" s="22" t="n">
        <v>37.1</v>
      </c>
      <c r="F269" s="22" t="s">
        <v>159</v>
      </c>
    </row>
    <row r="270" customFormat="false" ht="15" hidden="false" customHeight="false" outlineLevel="0" collapsed="false">
      <c r="A270" s="22" t="s">
        <v>917</v>
      </c>
      <c r="B270" s="22" t="s">
        <v>918</v>
      </c>
      <c r="C270" s="22" t="s">
        <v>157</v>
      </c>
      <c r="D270" s="22" t="s">
        <v>799</v>
      </c>
      <c r="E270" s="22" t="n">
        <v>46.7</v>
      </c>
      <c r="F270" s="22" t="s">
        <v>164</v>
      </c>
    </row>
    <row r="271" customFormat="false" ht="15" hidden="false" customHeight="false" outlineLevel="0" collapsed="false">
      <c r="A271" s="22" t="s">
        <v>919</v>
      </c>
      <c r="B271" s="22" t="s">
        <v>920</v>
      </c>
      <c r="C271" s="22" t="s">
        <v>566</v>
      </c>
      <c r="D271" s="22" t="s">
        <v>921</v>
      </c>
      <c r="E271" s="22" t="n">
        <v>49.3</v>
      </c>
      <c r="F271" s="22" t="s">
        <v>159</v>
      </c>
    </row>
    <row r="272" customFormat="false" ht="15" hidden="false" customHeight="false" outlineLevel="0" collapsed="false">
      <c r="A272" s="22" t="s">
        <v>922</v>
      </c>
      <c r="B272" s="22" t="s">
        <v>923</v>
      </c>
      <c r="C272" s="22" t="s">
        <v>162</v>
      </c>
      <c r="D272" s="22" t="s">
        <v>924</v>
      </c>
      <c r="E272" s="22" t="n">
        <v>20.4</v>
      </c>
      <c r="F272" s="22" t="s">
        <v>159</v>
      </c>
    </row>
    <row r="273" customFormat="false" ht="15" hidden="false" customHeight="false" outlineLevel="0" collapsed="false">
      <c r="A273" s="22" t="s">
        <v>925</v>
      </c>
      <c r="B273" s="22" t="s">
        <v>926</v>
      </c>
      <c r="C273" s="22" t="s">
        <v>162</v>
      </c>
      <c r="D273" s="22" t="s">
        <v>927</v>
      </c>
      <c r="E273" s="22" t="n">
        <v>20.5</v>
      </c>
      <c r="F273" s="22" t="s">
        <v>159</v>
      </c>
    </row>
    <row r="274" customFormat="false" ht="15" hidden="false" customHeight="false" outlineLevel="0" collapsed="false">
      <c r="A274" s="22" t="s">
        <v>928</v>
      </c>
      <c r="B274" s="22" t="s">
        <v>929</v>
      </c>
      <c r="C274" s="22" t="s">
        <v>162</v>
      </c>
      <c r="D274" s="22" t="s">
        <v>930</v>
      </c>
      <c r="E274" s="22" t="n">
        <v>58.1</v>
      </c>
      <c r="F274" s="22" t="s">
        <v>164</v>
      </c>
    </row>
    <row r="275" customFormat="false" ht="15" hidden="false" customHeight="false" outlineLevel="0" collapsed="false">
      <c r="A275" s="22" t="s">
        <v>931</v>
      </c>
      <c r="B275" s="22" t="s">
        <v>932</v>
      </c>
      <c r="C275" s="22" t="s">
        <v>162</v>
      </c>
      <c r="D275" s="22" t="s">
        <v>933</v>
      </c>
      <c r="E275" s="22" t="n">
        <v>52.9</v>
      </c>
      <c r="F275" s="22" t="s">
        <v>164</v>
      </c>
    </row>
    <row r="276" customFormat="false" ht="15" hidden="false" customHeight="false" outlineLevel="0" collapsed="false">
      <c r="A276" s="22" t="s">
        <v>934</v>
      </c>
      <c r="B276" s="22" t="s">
        <v>935</v>
      </c>
      <c r="C276" s="22" t="s">
        <v>162</v>
      </c>
      <c r="D276" s="22" t="s">
        <v>163</v>
      </c>
      <c r="E276" s="22" t="n">
        <v>19.9</v>
      </c>
      <c r="F276" s="22" t="s">
        <v>164</v>
      </c>
    </row>
    <row r="277" customFormat="false" ht="15" hidden="false" customHeight="false" outlineLevel="0" collapsed="false">
      <c r="A277" s="22" t="s">
        <v>936</v>
      </c>
      <c r="B277" s="22" t="s">
        <v>937</v>
      </c>
      <c r="C277" s="22" t="s">
        <v>162</v>
      </c>
      <c r="D277" s="22" t="s">
        <v>938</v>
      </c>
      <c r="E277" s="22" t="n">
        <v>33.8</v>
      </c>
      <c r="F277" s="22" t="s">
        <v>175</v>
      </c>
    </row>
    <row r="278" customFormat="false" ht="15" hidden="false" customHeight="false" outlineLevel="0" collapsed="false">
      <c r="A278" s="22" t="s">
        <v>939</v>
      </c>
      <c r="B278" s="22" t="s">
        <v>940</v>
      </c>
      <c r="C278" s="22" t="s">
        <v>162</v>
      </c>
      <c r="D278" s="22" t="s">
        <v>941</v>
      </c>
      <c r="E278" s="22" t="n">
        <v>54.6</v>
      </c>
      <c r="F278" s="22" t="s">
        <v>159</v>
      </c>
    </row>
    <row r="279" customFormat="false" ht="15" hidden="false" customHeight="false" outlineLevel="0" collapsed="false">
      <c r="A279" s="22" t="s">
        <v>942</v>
      </c>
      <c r="B279" s="22" t="s">
        <v>943</v>
      </c>
      <c r="C279" s="22" t="s">
        <v>162</v>
      </c>
      <c r="D279" s="22" t="s">
        <v>944</v>
      </c>
      <c r="E279" s="22" t="n">
        <v>32.9</v>
      </c>
      <c r="F279" s="22" t="s">
        <v>175</v>
      </c>
    </row>
    <row r="280" customFormat="false" ht="15" hidden="false" customHeight="false" outlineLevel="0" collapsed="false">
      <c r="A280" s="22" t="s">
        <v>945</v>
      </c>
      <c r="B280" s="22" t="s">
        <v>946</v>
      </c>
      <c r="C280" s="22" t="s">
        <v>162</v>
      </c>
      <c r="D280" s="22" t="s">
        <v>947</v>
      </c>
      <c r="E280" s="22" t="n">
        <v>56.2</v>
      </c>
      <c r="F280" s="22" t="s">
        <v>188</v>
      </c>
    </row>
    <row r="281" customFormat="false" ht="15" hidden="false" customHeight="false" outlineLevel="0" collapsed="false">
      <c r="A281" s="22" t="s">
        <v>948</v>
      </c>
      <c r="B281" s="22" t="s">
        <v>949</v>
      </c>
      <c r="C281" s="22" t="s">
        <v>162</v>
      </c>
      <c r="D281" s="22" t="s">
        <v>950</v>
      </c>
      <c r="E281" s="22" t="n">
        <v>46</v>
      </c>
      <c r="F281" s="22" t="s">
        <v>198</v>
      </c>
    </row>
    <row r="282" customFormat="false" ht="15" hidden="false" customHeight="false" outlineLevel="0" collapsed="false">
      <c r="A282" s="22" t="s">
        <v>951</v>
      </c>
      <c r="B282" s="22" t="s">
        <v>952</v>
      </c>
      <c r="C282" s="22" t="s">
        <v>162</v>
      </c>
      <c r="D282" s="22" t="s">
        <v>953</v>
      </c>
      <c r="E282" s="22" t="n">
        <v>50.7</v>
      </c>
      <c r="F282" s="22" t="s">
        <v>175</v>
      </c>
    </row>
    <row r="283" customFormat="false" ht="15" hidden="false" customHeight="false" outlineLevel="0" collapsed="false">
      <c r="A283" s="22" t="s">
        <v>954</v>
      </c>
      <c r="B283" s="22" t="s">
        <v>955</v>
      </c>
      <c r="C283" s="22" t="s">
        <v>162</v>
      </c>
      <c r="D283" s="22" t="s">
        <v>956</v>
      </c>
      <c r="E283" s="22" t="n">
        <v>35.1</v>
      </c>
      <c r="F283" s="22" t="s">
        <v>164</v>
      </c>
    </row>
    <row r="284" customFormat="false" ht="15" hidden="false" customHeight="false" outlineLevel="0" collapsed="false">
      <c r="A284" s="22" t="s">
        <v>957</v>
      </c>
      <c r="B284" s="22" t="s">
        <v>958</v>
      </c>
      <c r="C284" s="22" t="s">
        <v>162</v>
      </c>
      <c r="D284" s="22" t="s">
        <v>959</v>
      </c>
      <c r="E284" s="22" t="n">
        <v>46.6</v>
      </c>
      <c r="F284" s="22" t="s">
        <v>171</v>
      </c>
    </row>
    <row r="285" customFormat="false" ht="15" hidden="false" customHeight="false" outlineLevel="0" collapsed="false">
      <c r="A285" s="22" t="s">
        <v>960</v>
      </c>
      <c r="B285" s="22" t="s">
        <v>961</v>
      </c>
      <c r="C285" s="22" t="s">
        <v>207</v>
      </c>
      <c r="D285" s="22" t="s">
        <v>962</v>
      </c>
      <c r="E285" s="22" t="n">
        <v>39.8</v>
      </c>
      <c r="F285" s="22" t="s">
        <v>198</v>
      </c>
    </row>
    <row r="286" customFormat="false" ht="15" hidden="false" customHeight="false" outlineLevel="0" collapsed="false">
      <c r="A286" s="22" t="s">
        <v>963</v>
      </c>
      <c r="B286" s="22" t="s">
        <v>964</v>
      </c>
      <c r="C286" s="22" t="s">
        <v>162</v>
      </c>
      <c r="D286" s="22" t="s">
        <v>579</v>
      </c>
      <c r="E286" s="22" t="n">
        <v>18.9</v>
      </c>
      <c r="F286" s="22" t="s">
        <v>499</v>
      </c>
    </row>
    <row r="287" customFormat="false" ht="15" hidden="false" customHeight="false" outlineLevel="0" collapsed="false">
      <c r="A287" s="22" t="s">
        <v>965</v>
      </c>
      <c r="B287" s="22" t="s">
        <v>966</v>
      </c>
      <c r="C287" s="22" t="s">
        <v>162</v>
      </c>
      <c r="D287" s="22" t="s">
        <v>967</v>
      </c>
      <c r="E287" s="22" t="n">
        <v>35.2</v>
      </c>
      <c r="F287" s="22" t="s">
        <v>164</v>
      </c>
    </row>
    <row r="288" customFormat="false" ht="15" hidden="false" customHeight="false" outlineLevel="0" collapsed="false">
      <c r="A288" s="22" t="s">
        <v>968</v>
      </c>
      <c r="B288" s="22" t="s">
        <v>969</v>
      </c>
      <c r="C288" s="22" t="s">
        <v>162</v>
      </c>
      <c r="D288" s="22" t="s">
        <v>361</v>
      </c>
      <c r="E288" s="22" t="n">
        <v>44.4</v>
      </c>
      <c r="F288" s="22" t="s">
        <v>159</v>
      </c>
    </row>
    <row r="289" customFormat="false" ht="15" hidden="false" customHeight="false" outlineLevel="0" collapsed="false">
      <c r="A289" s="22" t="s">
        <v>970</v>
      </c>
      <c r="B289" s="22" t="s">
        <v>971</v>
      </c>
      <c r="C289" s="22" t="s">
        <v>207</v>
      </c>
      <c r="D289" s="22" t="s">
        <v>972</v>
      </c>
      <c r="E289" s="22" t="n">
        <v>34.4</v>
      </c>
      <c r="F289" s="22" t="s">
        <v>164</v>
      </c>
    </row>
    <row r="290" customFormat="false" ht="15" hidden="false" customHeight="false" outlineLevel="0" collapsed="false">
      <c r="A290" s="22" t="s">
        <v>973</v>
      </c>
      <c r="B290" s="22" t="s">
        <v>974</v>
      </c>
      <c r="C290" s="22" t="s">
        <v>162</v>
      </c>
      <c r="D290" s="22" t="s">
        <v>975</v>
      </c>
      <c r="E290" s="22" t="n">
        <v>42.6</v>
      </c>
      <c r="F290" s="22" t="s">
        <v>175</v>
      </c>
    </row>
    <row r="291" customFormat="false" ht="15" hidden="false" customHeight="false" outlineLevel="0" collapsed="false">
      <c r="A291" s="22" t="s">
        <v>976</v>
      </c>
      <c r="B291" s="22" t="s">
        <v>977</v>
      </c>
      <c r="C291" s="22" t="s">
        <v>162</v>
      </c>
      <c r="D291" s="22" t="s">
        <v>201</v>
      </c>
      <c r="E291" s="22" t="n">
        <v>27.6</v>
      </c>
      <c r="F291" s="22" t="s">
        <v>164</v>
      </c>
    </row>
    <row r="292" customFormat="false" ht="15" hidden="false" customHeight="false" outlineLevel="0" collapsed="false">
      <c r="A292" s="22" t="s">
        <v>978</v>
      </c>
      <c r="B292" s="22" t="s">
        <v>979</v>
      </c>
      <c r="C292" s="22" t="s">
        <v>162</v>
      </c>
      <c r="D292" s="22" t="s">
        <v>980</v>
      </c>
      <c r="E292" s="22" t="n">
        <v>52.2</v>
      </c>
      <c r="F292" s="22" t="s">
        <v>164</v>
      </c>
    </row>
    <row r="293" customFormat="false" ht="15" hidden="false" customHeight="false" outlineLevel="0" collapsed="false">
      <c r="A293" s="22" t="s">
        <v>981</v>
      </c>
      <c r="B293" s="22" t="s">
        <v>982</v>
      </c>
      <c r="C293" s="22" t="s">
        <v>162</v>
      </c>
      <c r="D293" s="22" t="s">
        <v>983</v>
      </c>
      <c r="E293" s="22" t="n">
        <v>22.4</v>
      </c>
      <c r="F293" s="22" t="s">
        <v>164</v>
      </c>
    </row>
    <row r="294" customFormat="false" ht="15" hidden="false" customHeight="false" outlineLevel="0" collapsed="false">
      <c r="A294" s="22" t="s">
        <v>984</v>
      </c>
      <c r="B294" s="22" t="s">
        <v>985</v>
      </c>
      <c r="C294" s="22" t="s">
        <v>162</v>
      </c>
      <c r="D294" s="22" t="s">
        <v>986</v>
      </c>
      <c r="E294" s="22" t="n">
        <v>31.8</v>
      </c>
      <c r="F294" s="22" t="s">
        <v>164</v>
      </c>
    </row>
    <row r="295" customFormat="false" ht="15" hidden="false" customHeight="false" outlineLevel="0" collapsed="false">
      <c r="A295" s="22" t="s">
        <v>987</v>
      </c>
      <c r="B295" s="22" t="s">
        <v>988</v>
      </c>
      <c r="C295" s="22" t="s">
        <v>162</v>
      </c>
      <c r="D295" s="22" t="s">
        <v>805</v>
      </c>
      <c r="E295" s="22" t="n">
        <v>48.2</v>
      </c>
      <c r="F295" s="22" t="s">
        <v>159</v>
      </c>
    </row>
    <row r="296" customFormat="false" ht="15" hidden="false" customHeight="false" outlineLevel="0" collapsed="false">
      <c r="A296" s="22" t="s">
        <v>989</v>
      </c>
      <c r="B296" s="22" t="s">
        <v>990</v>
      </c>
      <c r="C296" s="22" t="s">
        <v>162</v>
      </c>
      <c r="D296" s="22" t="s">
        <v>991</v>
      </c>
      <c r="E296" s="22" t="n">
        <v>29</v>
      </c>
      <c r="F296" s="22" t="s">
        <v>198</v>
      </c>
    </row>
    <row r="297" customFormat="false" ht="15" hidden="false" customHeight="false" outlineLevel="0" collapsed="false">
      <c r="A297" s="22" t="s">
        <v>992</v>
      </c>
      <c r="B297" s="22" t="s">
        <v>993</v>
      </c>
      <c r="C297" s="22" t="s">
        <v>162</v>
      </c>
      <c r="D297" s="22" t="s">
        <v>336</v>
      </c>
      <c r="E297" s="22" t="n">
        <v>51</v>
      </c>
      <c r="F297" s="22" t="s">
        <v>198</v>
      </c>
    </row>
    <row r="298" customFormat="false" ht="15" hidden="false" customHeight="false" outlineLevel="0" collapsed="false">
      <c r="A298" s="22" t="s">
        <v>994</v>
      </c>
      <c r="B298" s="22" t="s">
        <v>995</v>
      </c>
      <c r="C298" s="22" t="s">
        <v>162</v>
      </c>
      <c r="D298" s="22" t="s">
        <v>204</v>
      </c>
      <c r="E298" s="22" t="n">
        <v>44</v>
      </c>
      <c r="F298" s="22" t="s">
        <v>198</v>
      </c>
    </row>
    <row r="299" customFormat="false" ht="15" hidden="false" customHeight="false" outlineLevel="0" collapsed="false">
      <c r="A299" s="22" t="s">
        <v>996</v>
      </c>
      <c r="B299" s="22" t="s">
        <v>997</v>
      </c>
      <c r="C299" s="22" t="s">
        <v>162</v>
      </c>
      <c r="D299" s="22" t="s">
        <v>998</v>
      </c>
      <c r="E299" s="22" t="n">
        <v>19.2</v>
      </c>
      <c r="F299" s="22" t="s">
        <v>159</v>
      </c>
    </row>
    <row r="300" customFormat="false" ht="15" hidden="false" customHeight="false" outlineLevel="0" collapsed="false">
      <c r="A300" s="22" t="s">
        <v>999</v>
      </c>
      <c r="B300" s="22" t="s">
        <v>1000</v>
      </c>
      <c r="C300" s="22" t="s">
        <v>162</v>
      </c>
      <c r="D300" s="22" t="s">
        <v>684</v>
      </c>
      <c r="E300" s="22" t="n">
        <v>55.9</v>
      </c>
      <c r="F300" s="22" t="s">
        <v>198</v>
      </c>
    </row>
    <row r="301" customFormat="false" ht="15" hidden="false" customHeight="false" outlineLevel="0" collapsed="false">
      <c r="A301" s="22" t="s">
        <v>1001</v>
      </c>
      <c r="B301" s="22" t="s">
        <v>1002</v>
      </c>
      <c r="C301" s="22" t="s">
        <v>162</v>
      </c>
      <c r="D301" s="22" t="s">
        <v>1003</v>
      </c>
      <c r="E301" s="22" t="n">
        <v>45.5</v>
      </c>
      <c r="F301" s="22" t="s">
        <v>164</v>
      </c>
    </row>
    <row r="302" customFormat="false" ht="15" hidden="false" customHeight="false" outlineLevel="0" collapsed="false">
      <c r="A302" s="22" t="s">
        <v>1004</v>
      </c>
      <c r="B302" s="22" t="s">
        <v>1005</v>
      </c>
      <c r="C302" s="22" t="s">
        <v>207</v>
      </c>
      <c r="D302" s="22" t="s">
        <v>1006</v>
      </c>
      <c r="E302" s="22" t="n">
        <v>41.3</v>
      </c>
      <c r="F302" s="22" t="s">
        <v>164</v>
      </c>
    </row>
    <row r="303" customFormat="false" ht="15" hidden="false" customHeight="false" outlineLevel="0" collapsed="false">
      <c r="A303" s="22" t="s">
        <v>1007</v>
      </c>
      <c r="B303" s="22" t="s">
        <v>1008</v>
      </c>
      <c r="C303" s="22" t="s">
        <v>162</v>
      </c>
      <c r="D303" s="22" t="s">
        <v>224</v>
      </c>
      <c r="E303" s="22" t="n">
        <v>42</v>
      </c>
      <c r="F303" s="22" t="s">
        <v>171</v>
      </c>
    </row>
    <row r="304" customFormat="false" ht="15" hidden="false" customHeight="false" outlineLevel="0" collapsed="false">
      <c r="A304" s="22" t="s">
        <v>1009</v>
      </c>
      <c r="B304" s="22" t="s">
        <v>1010</v>
      </c>
      <c r="C304" s="22" t="s">
        <v>162</v>
      </c>
      <c r="D304" s="22" t="s">
        <v>1011</v>
      </c>
      <c r="E304" s="22" t="n">
        <v>32.2</v>
      </c>
      <c r="F304" s="22" t="s">
        <v>164</v>
      </c>
    </row>
    <row r="305" customFormat="false" ht="15" hidden="false" customHeight="false" outlineLevel="0" collapsed="false">
      <c r="A305" s="22" t="s">
        <v>1012</v>
      </c>
      <c r="B305" s="22" t="s">
        <v>1013</v>
      </c>
      <c r="C305" s="22" t="s">
        <v>162</v>
      </c>
      <c r="D305" s="22" t="s">
        <v>1014</v>
      </c>
      <c r="E305" s="22" t="n">
        <v>60.2</v>
      </c>
      <c r="F305" s="22" t="s">
        <v>164</v>
      </c>
    </row>
    <row r="306" customFormat="false" ht="15" hidden="false" customHeight="false" outlineLevel="0" collapsed="false">
      <c r="A306" s="22" t="s">
        <v>1015</v>
      </c>
      <c r="B306" s="22" t="s">
        <v>1016</v>
      </c>
      <c r="C306" s="22" t="s">
        <v>162</v>
      </c>
      <c r="D306" s="22" t="s">
        <v>1017</v>
      </c>
      <c r="E306" s="22" t="n">
        <v>26</v>
      </c>
      <c r="F306" s="22" t="s">
        <v>164</v>
      </c>
    </row>
    <row r="307" customFormat="false" ht="15" hidden="false" customHeight="false" outlineLevel="0" collapsed="false">
      <c r="A307" s="22" t="s">
        <v>1018</v>
      </c>
      <c r="B307" s="22" t="s">
        <v>1019</v>
      </c>
      <c r="C307" s="22" t="s">
        <v>157</v>
      </c>
      <c r="D307" s="22" t="s">
        <v>315</v>
      </c>
      <c r="E307" s="22" t="n">
        <v>37</v>
      </c>
      <c r="F307" s="22" t="s">
        <v>164</v>
      </c>
    </row>
    <row r="308" customFormat="false" ht="15" hidden="false" customHeight="false" outlineLevel="0" collapsed="false">
      <c r="A308" s="22" t="s">
        <v>1020</v>
      </c>
      <c r="B308" s="22" t="s">
        <v>1021</v>
      </c>
      <c r="C308" s="22" t="s">
        <v>162</v>
      </c>
      <c r="D308" s="22" t="s">
        <v>290</v>
      </c>
      <c r="E308" s="22" t="n">
        <v>26.2</v>
      </c>
      <c r="F308" s="22" t="s">
        <v>164</v>
      </c>
    </row>
    <row r="309" customFormat="false" ht="15" hidden="false" customHeight="false" outlineLevel="0" collapsed="false">
      <c r="A309" s="22" t="s">
        <v>1022</v>
      </c>
      <c r="B309" s="22" t="s">
        <v>1023</v>
      </c>
      <c r="C309" s="22" t="s">
        <v>162</v>
      </c>
      <c r="D309" s="22" t="s">
        <v>1024</v>
      </c>
      <c r="E309" s="22" t="n">
        <v>57.1</v>
      </c>
      <c r="F309" s="22" t="s">
        <v>175</v>
      </c>
    </row>
    <row r="310" customFormat="false" ht="15" hidden="false" customHeight="false" outlineLevel="0" collapsed="false">
      <c r="A310" s="22" t="s">
        <v>1025</v>
      </c>
      <c r="B310" s="22" t="s">
        <v>1026</v>
      </c>
      <c r="C310" s="22" t="s">
        <v>162</v>
      </c>
      <c r="D310" s="22" t="s">
        <v>428</v>
      </c>
      <c r="E310" s="22" t="n">
        <v>28.9</v>
      </c>
      <c r="F310" s="22" t="s">
        <v>164</v>
      </c>
    </row>
    <row r="311" customFormat="false" ht="15" hidden="false" customHeight="false" outlineLevel="0" collapsed="false">
      <c r="A311" s="22" t="s">
        <v>1027</v>
      </c>
      <c r="B311" s="22" t="s">
        <v>1028</v>
      </c>
      <c r="C311" s="22" t="s">
        <v>162</v>
      </c>
      <c r="D311" s="22" t="s">
        <v>1029</v>
      </c>
      <c r="E311" s="22" t="n">
        <v>56.2</v>
      </c>
      <c r="F311" s="22" t="s">
        <v>171</v>
      </c>
    </row>
    <row r="312" customFormat="false" ht="15" hidden="false" customHeight="false" outlineLevel="0" collapsed="false">
      <c r="A312" s="22" t="s">
        <v>1030</v>
      </c>
      <c r="B312" s="22" t="s">
        <v>1031</v>
      </c>
      <c r="C312" s="22" t="s">
        <v>162</v>
      </c>
      <c r="D312" s="22" t="s">
        <v>386</v>
      </c>
      <c r="E312" s="22" t="n">
        <v>36.7</v>
      </c>
      <c r="F312" s="22" t="s">
        <v>164</v>
      </c>
    </row>
    <row r="313" customFormat="false" ht="15" hidden="false" customHeight="false" outlineLevel="0" collapsed="false">
      <c r="A313" s="22" t="s">
        <v>1032</v>
      </c>
      <c r="B313" s="22" t="s">
        <v>1033</v>
      </c>
      <c r="C313" s="22" t="s">
        <v>162</v>
      </c>
      <c r="D313" s="22" t="s">
        <v>1034</v>
      </c>
      <c r="E313" s="22" t="n">
        <v>59.9</v>
      </c>
      <c r="F313" s="22" t="s">
        <v>171</v>
      </c>
    </row>
    <row r="314" customFormat="false" ht="15" hidden="false" customHeight="false" outlineLevel="0" collapsed="false">
      <c r="A314" s="22" t="s">
        <v>1035</v>
      </c>
      <c r="B314" s="22" t="s">
        <v>1036</v>
      </c>
      <c r="C314" s="22" t="s">
        <v>162</v>
      </c>
      <c r="D314" s="22" t="s">
        <v>1037</v>
      </c>
      <c r="E314" s="22" t="n">
        <v>26.6</v>
      </c>
      <c r="F314" s="22" t="s">
        <v>164</v>
      </c>
    </row>
    <row r="315" customFormat="false" ht="15" hidden="false" customHeight="false" outlineLevel="0" collapsed="false">
      <c r="A315" s="22" t="s">
        <v>1038</v>
      </c>
      <c r="B315" s="22" t="s">
        <v>1039</v>
      </c>
      <c r="C315" s="22" t="s">
        <v>162</v>
      </c>
      <c r="D315" s="22" t="s">
        <v>1040</v>
      </c>
      <c r="E315" s="22" t="n">
        <v>46.2</v>
      </c>
      <c r="F315" s="22" t="s">
        <v>188</v>
      </c>
    </row>
    <row r="316" customFormat="false" ht="15" hidden="false" customHeight="false" outlineLevel="0" collapsed="false">
      <c r="A316" s="22" t="s">
        <v>1041</v>
      </c>
      <c r="B316" s="22" t="s">
        <v>1042</v>
      </c>
      <c r="C316" s="22" t="s">
        <v>162</v>
      </c>
      <c r="D316" s="22" t="s">
        <v>163</v>
      </c>
      <c r="E316" s="22" t="n">
        <v>55.2</v>
      </c>
      <c r="F316" s="22" t="s">
        <v>215</v>
      </c>
    </row>
    <row r="317" customFormat="false" ht="15" hidden="false" customHeight="false" outlineLevel="0" collapsed="false">
      <c r="A317" s="22" t="s">
        <v>1043</v>
      </c>
      <c r="B317" s="22" t="s">
        <v>1044</v>
      </c>
      <c r="C317" s="22" t="s">
        <v>162</v>
      </c>
      <c r="D317" s="22" t="s">
        <v>1045</v>
      </c>
      <c r="E317" s="22" t="n">
        <v>24.4</v>
      </c>
      <c r="F317" s="22" t="s">
        <v>164</v>
      </c>
    </row>
    <row r="318" customFormat="false" ht="15" hidden="false" customHeight="false" outlineLevel="0" collapsed="false">
      <c r="A318" s="22" t="s">
        <v>1046</v>
      </c>
      <c r="B318" s="22" t="s">
        <v>1047</v>
      </c>
      <c r="C318" s="22" t="s">
        <v>162</v>
      </c>
      <c r="D318" s="22" t="s">
        <v>1048</v>
      </c>
      <c r="E318" s="22" t="n">
        <v>49.6</v>
      </c>
      <c r="F318" s="22" t="s">
        <v>171</v>
      </c>
    </row>
    <row r="319" customFormat="false" ht="15" hidden="false" customHeight="false" outlineLevel="0" collapsed="false">
      <c r="A319" s="22" t="s">
        <v>1049</v>
      </c>
      <c r="B319" s="22" t="s">
        <v>1050</v>
      </c>
      <c r="C319" s="22" t="s">
        <v>162</v>
      </c>
      <c r="D319" s="22" t="s">
        <v>1051</v>
      </c>
      <c r="E319" s="22" t="n">
        <v>38</v>
      </c>
      <c r="F319" s="22" t="s">
        <v>164</v>
      </c>
    </row>
    <row r="320" customFormat="false" ht="15" hidden="false" customHeight="false" outlineLevel="0" collapsed="false">
      <c r="A320" s="22" t="s">
        <v>1052</v>
      </c>
      <c r="B320" s="22" t="s">
        <v>1053</v>
      </c>
      <c r="C320" s="22" t="s">
        <v>162</v>
      </c>
      <c r="D320" s="22" t="s">
        <v>1054</v>
      </c>
      <c r="E320" s="22" t="n">
        <v>59.6</v>
      </c>
      <c r="F320" s="22" t="s">
        <v>164</v>
      </c>
    </row>
    <row r="321" customFormat="false" ht="15" hidden="false" customHeight="false" outlineLevel="0" collapsed="false">
      <c r="A321" s="22" t="s">
        <v>1055</v>
      </c>
      <c r="B321" s="22" t="s">
        <v>1056</v>
      </c>
      <c r="C321" s="22" t="s">
        <v>162</v>
      </c>
      <c r="D321" s="22" t="s">
        <v>1057</v>
      </c>
      <c r="E321" s="22" t="n">
        <v>50.8</v>
      </c>
      <c r="F321" s="22" t="s">
        <v>171</v>
      </c>
    </row>
    <row r="322" customFormat="false" ht="15" hidden="false" customHeight="false" outlineLevel="0" collapsed="false">
      <c r="A322" s="22" t="s">
        <v>1058</v>
      </c>
      <c r="B322" s="22" t="s">
        <v>1059</v>
      </c>
      <c r="C322" s="22" t="s">
        <v>162</v>
      </c>
      <c r="D322" s="22" t="s">
        <v>1060</v>
      </c>
      <c r="E322" s="22" t="n">
        <v>41.2</v>
      </c>
      <c r="F322" s="22" t="s">
        <v>175</v>
      </c>
    </row>
    <row r="323" customFormat="false" ht="15" hidden="false" customHeight="false" outlineLevel="0" collapsed="false">
      <c r="A323" s="22" t="s">
        <v>1061</v>
      </c>
      <c r="B323" s="22" t="s">
        <v>1062</v>
      </c>
      <c r="C323" s="22" t="s">
        <v>162</v>
      </c>
      <c r="D323" s="22" t="s">
        <v>1063</v>
      </c>
      <c r="E323" s="22" t="n">
        <v>23.2</v>
      </c>
      <c r="F323" s="22" t="s">
        <v>198</v>
      </c>
    </row>
    <row r="324" customFormat="false" ht="15" hidden="false" customHeight="false" outlineLevel="0" collapsed="false">
      <c r="A324" s="22" t="s">
        <v>1064</v>
      </c>
      <c r="B324" s="22" t="s">
        <v>1065</v>
      </c>
      <c r="C324" s="22" t="s">
        <v>162</v>
      </c>
      <c r="D324" s="22" t="s">
        <v>1066</v>
      </c>
      <c r="E324" s="22" t="n">
        <v>57.4</v>
      </c>
      <c r="F324" s="22" t="s">
        <v>175</v>
      </c>
    </row>
    <row r="325" customFormat="false" ht="15" hidden="false" customHeight="false" outlineLevel="0" collapsed="false">
      <c r="A325" s="22" t="s">
        <v>1067</v>
      </c>
      <c r="B325" s="22" t="s">
        <v>1068</v>
      </c>
      <c r="C325" s="22" t="s">
        <v>162</v>
      </c>
      <c r="D325" s="22" t="s">
        <v>1069</v>
      </c>
      <c r="E325" s="22" t="n">
        <v>46.9</v>
      </c>
      <c r="F325" s="22" t="s">
        <v>198</v>
      </c>
    </row>
    <row r="326" customFormat="false" ht="15" hidden="false" customHeight="false" outlineLevel="0" collapsed="false">
      <c r="A326" s="22" t="s">
        <v>1070</v>
      </c>
      <c r="B326" s="22" t="s">
        <v>1071</v>
      </c>
      <c r="C326" s="22" t="s">
        <v>162</v>
      </c>
      <c r="D326" s="22" t="s">
        <v>336</v>
      </c>
      <c r="E326" s="22" t="n">
        <v>31.2</v>
      </c>
      <c r="F326" s="22" t="s">
        <v>175</v>
      </c>
    </row>
    <row r="327" customFormat="false" ht="15" hidden="false" customHeight="false" outlineLevel="0" collapsed="false">
      <c r="A327" s="22" t="s">
        <v>1072</v>
      </c>
      <c r="B327" s="22" t="s">
        <v>1073</v>
      </c>
      <c r="C327" s="22" t="s">
        <v>162</v>
      </c>
      <c r="D327" s="22" t="s">
        <v>1074</v>
      </c>
      <c r="E327" s="22" t="n">
        <v>33.2</v>
      </c>
      <c r="F327" s="22" t="s">
        <v>175</v>
      </c>
    </row>
    <row r="328" customFormat="false" ht="15" hidden="false" customHeight="false" outlineLevel="0" collapsed="false">
      <c r="A328" s="22" t="s">
        <v>1075</v>
      </c>
      <c r="B328" s="22" t="s">
        <v>1076</v>
      </c>
      <c r="C328" s="22" t="s">
        <v>162</v>
      </c>
      <c r="D328" s="22" t="s">
        <v>1077</v>
      </c>
      <c r="E328" s="22" t="n">
        <v>28.7</v>
      </c>
      <c r="F328" s="22" t="s">
        <v>175</v>
      </c>
    </row>
    <row r="329" customFormat="false" ht="15" hidden="false" customHeight="false" outlineLevel="0" collapsed="false">
      <c r="A329" s="22" t="s">
        <v>1078</v>
      </c>
      <c r="B329" s="22" t="s">
        <v>1079</v>
      </c>
      <c r="C329" s="22" t="s">
        <v>207</v>
      </c>
      <c r="D329" s="22" t="s">
        <v>1045</v>
      </c>
      <c r="E329" s="22" t="n">
        <v>52</v>
      </c>
      <c r="F329" s="22" t="s">
        <v>164</v>
      </c>
    </row>
    <row r="330" customFormat="false" ht="15" hidden="false" customHeight="false" outlineLevel="0" collapsed="false">
      <c r="A330" s="22" t="s">
        <v>1080</v>
      </c>
      <c r="B330" s="22" t="s">
        <v>1081</v>
      </c>
      <c r="C330" s="22" t="s">
        <v>162</v>
      </c>
      <c r="D330" s="22" t="s">
        <v>1082</v>
      </c>
      <c r="E330" s="22" t="n">
        <v>40.4</v>
      </c>
      <c r="F330" s="22" t="s">
        <v>164</v>
      </c>
    </row>
    <row r="331" customFormat="false" ht="15" hidden="false" customHeight="false" outlineLevel="0" collapsed="false">
      <c r="A331" s="22" t="s">
        <v>1083</v>
      </c>
      <c r="B331" s="22" t="s">
        <v>1084</v>
      </c>
      <c r="C331" s="22" t="s">
        <v>162</v>
      </c>
      <c r="D331" s="22" t="s">
        <v>739</v>
      </c>
      <c r="E331" s="22" t="n">
        <v>18.3</v>
      </c>
      <c r="F331" s="22" t="s">
        <v>164</v>
      </c>
    </row>
    <row r="332" customFormat="false" ht="15" hidden="false" customHeight="false" outlineLevel="0" collapsed="false">
      <c r="A332" s="22" t="s">
        <v>1085</v>
      </c>
      <c r="B332" s="22" t="s">
        <v>1086</v>
      </c>
      <c r="C332" s="22" t="s">
        <v>207</v>
      </c>
      <c r="D332" s="22" t="s">
        <v>407</v>
      </c>
      <c r="E332" s="22" t="n">
        <v>29.6</v>
      </c>
      <c r="F332" s="22" t="s">
        <v>175</v>
      </c>
    </row>
    <row r="333" customFormat="false" ht="15" hidden="false" customHeight="false" outlineLevel="0" collapsed="false">
      <c r="A333" s="22" t="s">
        <v>1087</v>
      </c>
      <c r="B333" s="22" t="s">
        <v>1088</v>
      </c>
      <c r="C333" s="22" t="s">
        <v>566</v>
      </c>
      <c r="D333" s="22" t="s">
        <v>1089</v>
      </c>
      <c r="E333" s="22" t="n">
        <v>54.4</v>
      </c>
      <c r="F333" s="22" t="s">
        <v>499</v>
      </c>
    </row>
    <row r="334" customFormat="false" ht="15" hidden="false" customHeight="false" outlineLevel="0" collapsed="false">
      <c r="A334" s="22" t="s">
        <v>1090</v>
      </c>
      <c r="B334" s="22" t="s">
        <v>1091</v>
      </c>
      <c r="C334" s="22" t="s">
        <v>207</v>
      </c>
      <c r="D334" s="22" t="s">
        <v>398</v>
      </c>
      <c r="E334" s="22" t="n">
        <v>30.6</v>
      </c>
      <c r="F334" s="22" t="s">
        <v>159</v>
      </c>
    </row>
    <row r="335" customFormat="false" ht="15" hidden="false" customHeight="false" outlineLevel="0" collapsed="false">
      <c r="A335" s="22" t="s">
        <v>1092</v>
      </c>
      <c r="B335" s="22" t="s">
        <v>1093</v>
      </c>
      <c r="C335" s="22" t="s">
        <v>162</v>
      </c>
      <c r="D335" s="22" t="s">
        <v>448</v>
      </c>
      <c r="E335" s="22" t="n">
        <v>31.5</v>
      </c>
      <c r="F335" s="22" t="s">
        <v>171</v>
      </c>
    </row>
    <row r="336" customFormat="false" ht="15" hidden="false" customHeight="false" outlineLevel="0" collapsed="false">
      <c r="A336" s="22" t="s">
        <v>1094</v>
      </c>
      <c r="B336" s="22" t="s">
        <v>1095</v>
      </c>
      <c r="C336" s="22" t="s">
        <v>162</v>
      </c>
      <c r="D336" s="22" t="s">
        <v>880</v>
      </c>
      <c r="E336" s="22" t="n">
        <v>29.5</v>
      </c>
      <c r="F336" s="22" t="s">
        <v>171</v>
      </c>
    </row>
    <row r="337" customFormat="false" ht="15" hidden="false" customHeight="false" outlineLevel="0" collapsed="false">
      <c r="A337" s="22" t="s">
        <v>1096</v>
      </c>
      <c r="B337" s="22" t="s">
        <v>1097</v>
      </c>
      <c r="C337" s="22" t="s">
        <v>162</v>
      </c>
      <c r="D337" s="22" t="s">
        <v>1029</v>
      </c>
      <c r="E337" s="22" t="n">
        <v>46.7</v>
      </c>
      <c r="F337" s="22" t="s">
        <v>164</v>
      </c>
    </row>
    <row r="338" customFormat="false" ht="15" hidden="false" customHeight="false" outlineLevel="0" collapsed="false">
      <c r="A338" s="22" t="s">
        <v>1098</v>
      </c>
      <c r="B338" s="22" t="s">
        <v>1099</v>
      </c>
      <c r="C338" s="22" t="s">
        <v>162</v>
      </c>
      <c r="D338" s="22" t="s">
        <v>793</v>
      </c>
      <c r="E338" s="22" t="n">
        <v>26.3</v>
      </c>
      <c r="F338" s="22" t="s">
        <v>175</v>
      </c>
    </row>
    <row r="339" customFormat="false" ht="15" hidden="false" customHeight="false" outlineLevel="0" collapsed="false">
      <c r="A339" s="22" t="s">
        <v>1100</v>
      </c>
      <c r="B339" s="22" t="s">
        <v>1101</v>
      </c>
      <c r="C339" s="22" t="s">
        <v>162</v>
      </c>
      <c r="D339" s="22" t="s">
        <v>1102</v>
      </c>
      <c r="E339" s="22" t="n">
        <v>35.7</v>
      </c>
      <c r="F339" s="22" t="s">
        <v>215</v>
      </c>
    </row>
    <row r="340" customFormat="false" ht="15" hidden="false" customHeight="false" outlineLevel="0" collapsed="false">
      <c r="A340" s="22" t="s">
        <v>1103</v>
      </c>
      <c r="B340" s="22" t="s">
        <v>1104</v>
      </c>
      <c r="C340" s="22" t="s">
        <v>162</v>
      </c>
      <c r="D340" s="22" t="s">
        <v>1105</v>
      </c>
      <c r="E340" s="22" t="n">
        <v>30.5</v>
      </c>
      <c r="F340" s="22" t="s">
        <v>198</v>
      </c>
    </row>
    <row r="341" customFormat="false" ht="15" hidden="false" customHeight="false" outlineLevel="0" collapsed="false">
      <c r="A341" s="22" t="s">
        <v>1106</v>
      </c>
      <c r="B341" s="22" t="s">
        <v>1107</v>
      </c>
      <c r="C341" s="22" t="s">
        <v>162</v>
      </c>
      <c r="D341" s="22" t="s">
        <v>698</v>
      </c>
      <c r="E341" s="22" t="n">
        <v>58.7</v>
      </c>
      <c r="F341" s="22" t="s">
        <v>164</v>
      </c>
    </row>
    <row r="342" customFormat="false" ht="15" hidden="false" customHeight="false" outlineLevel="0" collapsed="false">
      <c r="A342" s="22" t="s">
        <v>1108</v>
      </c>
      <c r="B342" s="22" t="s">
        <v>1109</v>
      </c>
      <c r="C342" s="22" t="s">
        <v>162</v>
      </c>
      <c r="D342" s="22" t="s">
        <v>1110</v>
      </c>
      <c r="E342" s="22" t="n">
        <v>61.9</v>
      </c>
      <c r="F342" s="22" t="s">
        <v>164</v>
      </c>
    </row>
    <row r="343" customFormat="false" ht="15" hidden="false" customHeight="false" outlineLevel="0" collapsed="false">
      <c r="A343" s="22" t="s">
        <v>1111</v>
      </c>
      <c r="B343" s="22" t="s">
        <v>1112</v>
      </c>
      <c r="C343" s="22" t="s">
        <v>162</v>
      </c>
      <c r="D343" s="22" t="s">
        <v>687</v>
      </c>
      <c r="E343" s="22" t="n">
        <v>57.7</v>
      </c>
      <c r="F343" s="22" t="s">
        <v>171</v>
      </c>
    </row>
    <row r="344" customFormat="false" ht="15" hidden="false" customHeight="false" outlineLevel="0" collapsed="false">
      <c r="A344" s="22" t="s">
        <v>1113</v>
      </c>
      <c r="B344" s="22" t="s">
        <v>1114</v>
      </c>
      <c r="C344" s="22" t="s">
        <v>162</v>
      </c>
      <c r="D344" s="22" t="s">
        <v>1115</v>
      </c>
      <c r="E344" s="22" t="n">
        <v>54.8</v>
      </c>
      <c r="F344" s="22" t="s">
        <v>198</v>
      </c>
    </row>
    <row r="345" customFormat="false" ht="15" hidden="false" customHeight="false" outlineLevel="0" collapsed="false">
      <c r="A345" s="22" t="s">
        <v>1116</v>
      </c>
      <c r="B345" s="22" t="s">
        <v>1117</v>
      </c>
      <c r="C345" s="22" t="s">
        <v>162</v>
      </c>
      <c r="D345" s="22" t="s">
        <v>1118</v>
      </c>
      <c r="E345" s="22" t="n">
        <v>52.8</v>
      </c>
      <c r="F345" s="22" t="s">
        <v>198</v>
      </c>
    </row>
    <row r="346" customFormat="false" ht="15" hidden="false" customHeight="false" outlineLevel="0" collapsed="false">
      <c r="A346" s="22" t="s">
        <v>1119</v>
      </c>
      <c r="B346" s="22" t="s">
        <v>1120</v>
      </c>
      <c r="C346" s="22" t="s">
        <v>162</v>
      </c>
      <c r="D346" s="22" t="s">
        <v>1060</v>
      </c>
      <c r="E346" s="22" t="n">
        <v>55.2</v>
      </c>
      <c r="F346" s="22" t="s">
        <v>164</v>
      </c>
    </row>
    <row r="347" customFormat="false" ht="15" hidden="false" customHeight="false" outlineLevel="0" collapsed="false">
      <c r="A347" s="22" t="s">
        <v>1121</v>
      </c>
      <c r="B347" s="22" t="s">
        <v>1122</v>
      </c>
      <c r="C347" s="22" t="s">
        <v>162</v>
      </c>
      <c r="D347" s="22" t="s">
        <v>739</v>
      </c>
      <c r="E347" s="22" t="n">
        <v>43.8</v>
      </c>
      <c r="F347" s="22" t="s">
        <v>198</v>
      </c>
    </row>
    <row r="348" customFormat="false" ht="15" hidden="false" customHeight="false" outlineLevel="0" collapsed="false">
      <c r="A348" s="22" t="s">
        <v>1123</v>
      </c>
      <c r="B348" s="22" t="s">
        <v>1124</v>
      </c>
      <c r="C348" s="22" t="s">
        <v>162</v>
      </c>
      <c r="D348" s="22" t="s">
        <v>1125</v>
      </c>
      <c r="E348" s="22" t="n">
        <v>54.9</v>
      </c>
      <c r="F348" s="22" t="s">
        <v>171</v>
      </c>
    </row>
    <row r="349" customFormat="false" ht="15" hidden="false" customHeight="false" outlineLevel="0" collapsed="false">
      <c r="A349" s="22" t="s">
        <v>1126</v>
      </c>
      <c r="B349" s="22" t="s">
        <v>1127</v>
      </c>
      <c r="C349" s="22" t="s">
        <v>162</v>
      </c>
      <c r="D349" s="22" t="s">
        <v>254</v>
      </c>
      <c r="E349" s="22" t="n">
        <v>46.4</v>
      </c>
      <c r="F349" s="22" t="s">
        <v>164</v>
      </c>
    </row>
    <row r="350" customFormat="false" ht="15" hidden="false" customHeight="false" outlineLevel="0" collapsed="false">
      <c r="A350" s="22" t="s">
        <v>1128</v>
      </c>
      <c r="B350" s="22" t="s">
        <v>1129</v>
      </c>
      <c r="C350" s="22" t="s">
        <v>162</v>
      </c>
      <c r="D350" s="22" t="s">
        <v>1130</v>
      </c>
      <c r="E350" s="22" t="n">
        <v>44.8</v>
      </c>
      <c r="F350" s="22" t="s">
        <v>198</v>
      </c>
    </row>
    <row r="351" customFormat="false" ht="15" hidden="false" customHeight="false" outlineLevel="0" collapsed="false">
      <c r="A351" s="22" t="s">
        <v>1131</v>
      </c>
      <c r="B351" s="22" t="s">
        <v>1132</v>
      </c>
      <c r="C351" s="22" t="s">
        <v>162</v>
      </c>
      <c r="D351" s="22" t="s">
        <v>616</v>
      </c>
      <c r="E351" s="22" t="n">
        <v>22.5</v>
      </c>
      <c r="F351" s="22" t="s">
        <v>159</v>
      </c>
    </row>
    <row r="352" customFormat="false" ht="15" hidden="false" customHeight="false" outlineLevel="0" collapsed="false">
      <c r="A352" s="22" t="s">
        <v>1133</v>
      </c>
      <c r="B352" s="22" t="s">
        <v>1134</v>
      </c>
      <c r="C352" s="22" t="s">
        <v>162</v>
      </c>
      <c r="D352" s="22" t="s">
        <v>1135</v>
      </c>
      <c r="E352" s="22" t="n">
        <v>57.1</v>
      </c>
      <c r="F352" s="22" t="s">
        <v>159</v>
      </c>
    </row>
    <row r="353" customFormat="false" ht="15" hidden="false" customHeight="false" outlineLevel="0" collapsed="false">
      <c r="A353" s="22" t="s">
        <v>1136</v>
      </c>
      <c r="B353" s="22" t="s">
        <v>1137</v>
      </c>
      <c r="C353" s="22" t="s">
        <v>162</v>
      </c>
      <c r="D353" s="22" t="s">
        <v>1138</v>
      </c>
      <c r="E353" s="22" t="n">
        <v>42.6</v>
      </c>
      <c r="F353" s="22" t="s">
        <v>175</v>
      </c>
    </row>
    <row r="354" customFormat="false" ht="15" hidden="false" customHeight="false" outlineLevel="0" collapsed="false">
      <c r="A354" s="22" t="s">
        <v>1139</v>
      </c>
      <c r="B354" s="22" t="s">
        <v>1140</v>
      </c>
      <c r="C354" s="22" t="s">
        <v>162</v>
      </c>
      <c r="D354" s="22" t="s">
        <v>416</v>
      </c>
      <c r="E354" s="22" t="n">
        <v>38.6</v>
      </c>
      <c r="F354" s="22" t="s">
        <v>171</v>
      </c>
    </row>
    <row r="355" customFormat="false" ht="15" hidden="false" customHeight="false" outlineLevel="0" collapsed="false">
      <c r="A355" s="22" t="s">
        <v>1141</v>
      </c>
      <c r="B355" s="22" t="s">
        <v>1142</v>
      </c>
      <c r="C355" s="22" t="s">
        <v>162</v>
      </c>
      <c r="D355" s="22" t="s">
        <v>1143</v>
      </c>
      <c r="E355" s="22" t="n">
        <v>50.8</v>
      </c>
      <c r="F355" s="22" t="s">
        <v>159</v>
      </c>
    </row>
    <row r="356" customFormat="false" ht="15" hidden="false" customHeight="false" outlineLevel="0" collapsed="false">
      <c r="A356" s="22" t="s">
        <v>1144</v>
      </c>
      <c r="B356" s="22" t="s">
        <v>1145</v>
      </c>
      <c r="C356" s="22" t="s">
        <v>162</v>
      </c>
      <c r="D356" s="22" t="s">
        <v>1146</v>
      </c>
      <c r="E356" s="22" t="n">
        <v>58.3</v>
      </c>
      <c r="F356" s="22" t="s">
        <v>164</v>
      </c>
    </row>
    <row r="357" customFormat="false" ht="15" hidden="false" customHeight="false" outlineLevel="0" collapsed="false">
      <c r="A357" s="22" t="s">
        <v>1147</v>
      </c>
      <c r="B357" s="22" t="s">
        <v>1148</v>
      </c>
      <c r="C357" s="22" t="s">
        <v>162</v>
      </c>
      <c r="D357" s="22" t="s">
        <v>254</v>
      </c>
      <c r="E357" s="22" t="n">
        <v>36.4</v>
      </c>
      <c r="F357" s="22" t="s">
        <v>499</v>
      </c>
    </row>
    <row r="358" customFormat="false" ht="15" hidden="false" customHeight="false" outlineLevel="0" collapsed="false">
      <c r="A358" s="22" t="s">
        <v>1149</v>
      </c>
      <c r="B358" s="22" t="s">
        <v>1150</v>
      </c>
      <c r="C358" s="22" t="s">
        <v>162</v>
      </c>
      <c r="D358" s="22" t="s">
        <v>230</v>
      </c>
      <c r="E358" s="22" t="n">
        <v>39.9</v>
      </c>
      <c r="F358" s="22" t="s">
        <v>198</v>
      </c>
    </row>
    <row r="359" customFormat="false" ht="15" hidden="false" customHeight="false" outlineLevel="0" collapsed="false">
      <c r="A359" s="22" t="s">
        <v>1151</v>
      </c>
      <c r="B359" s="22" t="s">
        <v>1152</v>
      </c>
      <c r="C359" s="22" t="s">
        <v>162</v>
      </c>
      <c r="D359" s="22" t="s">
        <v>1153</v>
      </c>
      <c r="E359" s="22" t="n">
        <v>35.5</v>
      </c>
      <c r="F359" s="22" t="s">
        <v>175</v>
      </c>
    </row>
    <row r="360" customFormat="false" ht="15" hidden="false" customHeight="false" outlineLevel="0" collapsed="false">
      <c r="A360" s="22" t="s">
        <v>1154</v>
      </c>
      <c r="B360" s="22" t="s">
        <v>1155</v>
      </c>
      <c r="C360" s="22" t="s">
        <v>162</v>
      </c>
      <c r="D360" s="22" t="s">
        <v>407</v>
      </c>
      <c r="E360" s="22" t="n">
        <v>47.7</v>
      </c>
      <c r="F360" s="22" t="s">
        <v>159</v>
      </c>
    </row>
    <row r="361" customFormat="false" ht="15" hidden="false" customHeight="false" outlineLevel="0" collapsed="false">
      <c r="A361" s="22" t="s">
        <v>1156</v>
      </c>
      <c r="B361" s="22" t="s">
        <v>1157</v>
      </c>
      <c r="C361" s="22" t="s">
        <v>162</v>
      </c>
      <c r="D361" s="22" t="s">
        <v>1158</v>
      </c>
      <c r="E361" s="22" t="n">
        <v>53</v>
      </c>
      <c r="F361" s="22" t="s">
        <v>164</v>
      </c>
    </row>
    <row r="362" customFormat="false" ht="15" hidden="false" customHeight="false" outlineLevel="0" collapsed="false">
      <c r="A362" s="22" t="s">
        <v>1159</v>
      </c>
      <c r="B362" s="22" t="s">
        <v>1160</v>
      </c>
      <c r="C362" s="22" t="s">
        <v>162</v>
      </c>
      <c r="D362" s="22" t="s">
        <v>1054</v>
      </c>
      <c r="E362" s="22" t="n">
        <v>28.7</v>
      </c>
      <c r="F362" s="22" t="s">
        <v>164</v>
      </c>
    </row>
    <row r="363" customFormat="false" ht="15" hidden="false" customHeight="false" outlineLevel="0" collapsed="false">
      <c r="A363" s="22" t="s">
        <v>1161</v>
      </c>
      <c r="B363" s="22" t="s">
        <v>1162</v>
      </c>
      <c r="C363" s="22" t="s">
        <v>207</v>
      </c>
      <c r="D363" s="22" t="s">
        <v>570</v>
      </c>
      <c r="E363" s="22" t="n">
        <v>53.5</v>
      </c>
      <c r="F363" s="22" t="s">
        <v>164</v>
      </c>
    </row>
    <row r="364" customFormat="false" ht="15" hidden="false" customHeight="false" outlineLevel="0" collapsed="false">
      <c r="A364" s="22" t="s">
        <v>1163</v>
      </c>
      <c r="B364" s="22" t="s">
        <v>1164</v>
      </c>
      <c r="C364" s="22" t="s">
        <v>162</v>
      </c>
      <c r="D364" s="22" t="s">
        <v>425</v>
      </c>
      <c r="E364" s="22" t="n">
        <v>35.7</v>
      </c>
      <c r="F364" s="22" t="s">
        <v>499</v>
      </c>
    </row>
    <row r="365" customFormat="false" ht="15" hidden="false" customHeight="false" outlineLevel="0" collapsed="false">
      <c r="A365" s="22" t="s">
        <v>1165</v>
      </c>
      <c r="B365" s="22" t="s">
        <v>1166</v>
      </c>
      <c r="C365" s="22" t="s">
        <v>162</v>
      </c>
      <c r="D365" s="22" t="s">
        <v>480</v>
      </c>
      <c r="E365" s="22" t="n">
        <v>20</v>
      </c>
      <c r="F365" s="22" t="s">
        <v>175</v>
      </c>
    </row>
    <row r="366" customFormat="false" ht="15" hidden="false" customHeight="false" outlineLevel="0" collapsed="false">
      <c r="A366" s="22" t="s">
        <v>1167</v>
      </c>
      <c r="B366" s="22" t="s">
        <v>1168</v>
      </c>
      <c r="C366" s="22" t="s">
        <v>162</v>
      </c>
      <c r="D366" s="22" t="s">
        <v>1169</v>
      </c>
      <c r="E366" s="22" t="n">
        <v>29.9</v>
      </c>
      <c r="F366" s="22" t="s">
        <v>164</v>
      </c>
    </row>
    <row r="367" customFormat="false" ht="15" hidden="false" customHeight="false" outlineLevel="0" collapsed="false">
      <c r="A367" s="22" t="s">
        <v>1170</v>
      </c>
      <c r="B367" s="22" t="s">
        <v>1171</v>
      </c>
      <c r="C367" s="22" t="s">
        <v>162</v>
      </c>
      <c r="D367" s="22" t="s">
        <v>1172</v>
      </c>
      <c r="E367" s="22" t="n">
        <v>18.3</v>
      </c>
      <c r="F367" s="22" t="s">
        <v>175</v>
      </c>
    </row>
    <row r="368" customFormat="false" ht="15" hidden="false" customHeight="false" outlineLevel="0" collapsed="false">
      <c r="A368" s="22" t="s">
        <v>1173</v>
      </c>
      <c r="B368" s="22" t="s">
        <v>1174</v>
      </c>
      <c r="C368" s="22" t="s">
        <v>162</v>
      </c>
      <c r="D368" s="22" t="s">
        <v>1175</v>
      </c>
      <c r="E368" s="22" t="n">
        <v>51.9</v>
      </c>
      <c r="F368" s="22" t="s">
        <v>164</v>
      </c>
    </row>
    <row r="369" customFormat="false" ht="15" hidden="false" customHeight="false" outlineLevel="0" collapsed="false">
      <c r="A369" s="22" t="s">
        <v>1176</v>
      </c>
      <c r="B369" s="22" t="s">
        <v>1177</v>
      </c>
      <c r="C369" s="22" t="s">
        <v>162</v>
      </c>
      <c r="D369" s="22" t="s">
        <v>1178</v>
      </c>
      <c r="E369" s="22" t="n">
        <v>23.7</v>
      </c>
      <c r="F369" s="22" t="s">
        <v>164</v>
      </c>
    </row>
    <row r="370" customFormat="false" ht="15" hidden="false" customHeight="false" outlineLevel="0" collapsed="false">
      <c r="A370" s="22" t="s">
        <v>1179</v>
      </c>
      <c r="B370" s="22" t="s">
        <v>1180</v>
      </c>
      <c r="C370" s="22" t="s">
        <v>162</v>
      </c>
      <c r="D370" s="22" t="s">
        <v>1181</v>
      </c>
      <c r="E370" s="22" t="n">
        <v>43.1</v>
      </c>
      <c r="F370" s="22" t="s">
        <v>175</v>
      </c>
    </row>
    <row r="371" customFormat="false" ht="15" hidden="false" customHeight="false" outlineLevel="0" collapsed="false">
      <c r="A371" s="22" t="s">
        <v>1182</v>
      </c>
      <c r="B371" s="22" t="s">
        <v>1183</v>
      </c>
      <c r="C371" s="22" t="s">
        <v>162</v>
      </c>
      <c r="D371" s="22" t="s">
        <v>1184</v>
      </c>
      <c r="E371" s="22" t="n">
        <v>31.8</v>
      </c>
      <c r="F371" s="22" t="s">
        <v>164</v>
      </c>
    </row>
    <row r="372" customFormat="false" ht="15" hidden="false" customHeight="false" outlineLevel="0" collapsed="false">
      <c r="A372" s="22" t="s">
        <v>1185</v>
      </c>
      <c r="B372" s="22" t="s">
        <v>1186</v>
      </c>
      <c r="C372" s="22" t="s">
        <v>207</v>
      </c>
      <c r="D372" s="22" t="s">
        <v>1187</v>
      </c>
      <c r="E372" s="22" t="n">
        <v>21.1</v>
      </c>
      <c r="F372" s="22" t="s">
        <v>164</v>
      </c>
    </row>
    <row r="373" customFormat="false" ht="15" hidden="false" customHeight="false" outlineLevel="0" collapsed="false">
      <c r="A373" s="22" t="s">
        <v>1188</v>
      </c>
      <c r="B373" s="22" t="s">
        <v>1189</v>
      </c>
      <c r="C373" s="22" t="s">
        <v>162</v>
      </c>
      <c r="D373" s="22" t="s">
        <v>1190</v>
      </c>
      <c r="E373" s="22" t="n">
        <v>57</v>
      </c>
      <c r="F373" s="22" t="s">
        <v>175</v>
      </c>
    </row>
    <row r="374" customFormat="false" ht="15" hidden="false" customHeight="false" outlineLevel="0" collapsed="false">
      <c r="A374" s="22" t="s">
        <v>1191</v>
      </c>
      <c r="B374" s="22" t="s">
        <v>1192</v>
      </c>
      <c r="C374" s="22" t="s">
        <v>162</v>
      </c>
      <c r="D374" s="22" t="s">
        <v>1193</v>
      </c>
      <c r="E374" s="22" t="n">
        <v>31.6</v>
      </c>
      <c r="F374" s="22" t="s">
        <v>198</v>
      </c>
    </row>
    <row r="375" customFormat="false" ht="15" hidden="false" customHeight="false" outlineLevel="0" collapsed="false">
      <c r="A375" s="22" t="s">
        <v>1194</v>
      </c>
      <c r="B375" s="22" t="s">
        <v>1195</v>
      </c>
      <c r="C375" s="22" t="s">
        <v>162</v>
      </c>
      <c r="D375" s="22" t="s">
        <v>333</v>
      </c>
      <c r="E375" s="22" t="n">
        <v>19.5</v>
      </c>
      <c r="F375" s="22" t="s">
        <v>164</v>
      </c>
    </row>
    <row r="376" customFormat="false" ht="15" hidden="false" customHeight="false" outlineLevel="0" collapsed="false">
      <c r="A376" s="22" t="s">
        <v>1196</v>
      </c>
      <c r="B376" s="22" t="s">
        <v>1197</v>
      </c>
      <c r="C376" s="22" t="s">
        <v>162</v>
      </c>
      <c r="D376" s="22" t="s">
        <v>1198</v>
      </c>
      <c r="E376" s="22" t="n">
        <v>33.5</v>
      </c>
      <c r="F376" s="22" t="s">
        <v>198</v>
      </c>
    </row>
    <row r="377" customFormat="false" ht="15" hidden="false" customHeight="false" outlineLevel="0" collapsed="false">
      <c r="A377" s="22" t="s">
        <v>1199</v>
      </c>
      <c r="B377" s="22" t="s">
        <v>1200</v>
      </c>
      <c r="C377" s="22" t="s">
        <v>162</v>
      </c>
      <c r="D377" s="22" t="s">
        <v>1201</v>
      </c>
      <c r="E377" s="22" t="n">
        <v>42.1</v>
      </c>
      <c r="F377" s="22" t="s">
        <v>188</v>
      </c>
    </row>
    <row r="378" customFormat="false" ht="15" hidden="false" customHeight="false" outlineLevel="0" collapsed="false">
      <c r="A378" s="22" t="s">
        <v>1202</v>
      </c>
      <c r="B378" s="22" t="s">
        <v>1203</v>
      </c>
      <c r="C378" s="22" t="s">
        <v>162</v>
      </c>
      <c r="D378" s="22" t="s">
        <v>1204</v>
      </c>
      <c r="E378" s="22" t="n">
        <v>22.5</v>
      </c>
      <c r="F378" s="22" t="s">
        <v>159</v>
      </c>
    </row>
    <row r="379" customFormat="false" ht="15" hidden="false" customHeight="false" outlineLevel="0" collapsed="false">
      <c r="A379" s="22" t="s">
        <v>1205</v>
      </c>
      <c r="B379" s="22" t="s">
        <v>1206</v>
      </c>
      <c r="C379" s="22" t="s">
        <v>162</v>
      </c>
      <c r="D379" s="22" t="s">
        <v>1207</v>
      </c>
      <c r="E379" s="22" t="n">
        <v>30.7</v>
      </c>
      <c r="F379" s="22" t="s">
        <v>175</v>
      </c>
    </row>
    <row r="380" customFormat="false" ht="15" hidden="false" customHeight="false" outlineLevel="0" collapsed="false">
      <c r="A380" s="22" t="s">
        <v>1208</v>
      </c>
      <c r="B380" s="22" t="s">
        <v>1209</v>
      </c>
      <c r="C380" s="22" t="s">
        <v>162</v>
      </c>
      <c r="D380" s="22" t="s">
        <v>1210</v>
      </c>
      <c r="E380" s="22" t="n">
        <v>32</v>
      </c>
      <c r="F380" s="22" t="s">
        <v>198</v>
      </c>
    </row>
    <row r="381" customFormat="false" ht="15" hidden="false" customHeight="false" outlineLevel="0" collapsed="false">
      <c r="A381" s="22" t="s">
        <v>1211</v>
      </c>
      <c r="B381" s="22" t="s">
        <v>1212</v>
      </c>
      <c r="C381" s="22" t="s">
        <v>162</v>
      </c>
      <c r="D381" s="22" t="s">
        <v>477</v>
      </c>
      <c r="E381" s="22" t="n">
        <v>23.4</v>
      </c>
      <c r="F381" s="22" t="s">
        <v>171</v>
      </c>
    </row>
    <row r="382" customFormat="false" ht="15" hidden="false" customHeight="false" outlineLevel="0" collapsed="false">
      <c r="A382" s="22" t="s">
        <v>1213</v>
      </c>
      <c r="B382" s="22" t="s">
        <v>1214</v>
      </c>
      <c r="C382" s="22" t="s">
        <v>162</v>
      </c>
      <c r="D382" s="22" t="s">
        <v>266</v>
      </c>
      <c r="E382" s="22" t="n">
        <v>25.8</v>
      </c>
      <c r="F382" s="22" t="s">
        <v>175</v>
      </c>
    </row>
    <row r="383" customFormat="false" ht="15" hidden="false" customHeight="false" outlineLevel="0" collapsed="false">
      <c r="A383" s="22" t="s">
        <v>1215</v>
      </c>
      <c r="B383" s="22" t="s">
        <v>1216</v>
      </c>
      <c r="C383" s="22" t="s">
        <v>162</v>
      </c>
      <c r="D383" s="22" t="s">
        <v>1217</v>
      </c>
      <c r="E383" s="22" t="n">
        <v>32.2</v>
      </c>
      <c r="F383" s="22" t="s">
        <v>175</v>
      </c>
    </row>
    <row r="384" customFormat="false" ht="15" hidden="false" customHeight="false" outlineLevel="0" collapsed="false">
      <c r="A384" s="22" t="s">
        <v>1218</v>
      </c>
      <c r="B384" s="22" t="s">
        <v>1219</v>
      </c>
      <c r="C384" s="22" t="s">
        <v>162</v>
      </c>
      <c r="D384" s="22" t="s">
        <v>1220</v>
      </c>
      <c r="E384" s="22" t="n">
        <v>27.6</v>
      </c>
      <c r="F384" s="22" t="s">
        <v>164</v>
      </c>
    </row>
    <row r="385" customFormat="false" ht="15" hidden="false" customHeight="false" outlineLevel="0" collapsed="false">
      <c r="A385" s="22" t="s">
        <v>1221</v>
      </c>
      <c r="B385" s="22" t="s">
        <v>1222</v>
      </c>
      <c r="C385" s="22" t="s">
        <v>162</v>
      </c>
      <c r="D385" s="22" t="s">
        <v>820</v>
      </c>
      <c r="E385" s="22" t="n">
        <v>34.2</v>
      </c>
      <c r="F385" s="22" t="s">
        <v>164</v>
      </c>
    </row>
    <row r="386" customFormat="false" ht="15" hidden="false" customHeight="false" outlineLevel="0" collapsed="false">
      <c r="A386" s="22" t="s">
        <v>1223</v>
      </c>
      <c r="B386" s="22" t="s">
        <v>1224</v>
      </c>
      <c r="C386" s="22" t="s">
        <v>162</v>
      </c>
      <c r="D386" s="22" t="s">
        <v>611</v>
      </c>
      <c r="E386" s="22" t="n">
        <v>43.2</v>
      </c>
      <c r="F386" s="22" t="s">
        <v>159</v>
      </c>
    </row>
    <row r="387" customFormat="false" ht="15" hidden="false" customHeight="false" outlineLevel="0" collapsed="false">
      <c r="A387" s="22" t="s">
        <v>1225</v>
      </c>
      <c r="B387" s="22" t="s">
        <v>1226</v>
      </c>
      <c r="C387" s="22" t="s">
        <v>157</v>
      </c>
      <c r="D387" s="22" t="s">
        <v>1074</v>
      </c>
      <c r="E387" s="22" t="n">
        <v>38.6</v>
      </c>
      <c r="F387" s="22" t="s">
        <v>175</v>
      </c>
    </row>
    <row r="388" customFormat="false" ht="15" hidden="false" customHeight="false" outlineLevel="0" collapsed="false">
      <c r="A388" s="22" t="s">
        <v>1227</v>
      </c>
      <c r="B388" s="22" t="s">
        <v>1228</v>
      </c>
      <c r="C388" s="22" t="s">
        <v>207</v>
      </c>
      <c r="D388" s="22" t="s">
        <v>1229</v>
      </c>
      <c r="E388" s="22" t="n">
        <v>18.3</v>
      </c>
      <c r="F388" s="22" t="s">
        <v>164</v>
      </c>
    </row>
    <row r="389" customFormat="false" ht="15" hidden="false" customHeight="false" outlineLevel="0" collapsed="false">
      <c r="A389" s="22" t="s">
        <v>1230</v>
      </c>
      <c r="B389" s="22" t="s">
        <v>1231</v>
      </c>
      <c r="C389" s="22" t="s">
        <v>162</v>
      </c>
      <c r="D389" s="22" t="s">
        <v>1232</v>
      </c>
      <c r="E389" s="22" t="n">
        <v>26.7</v>
      </c>
      <c r="F389" s="22" t="s">
        <v>198</v>
      </c>
    </row>
    <row r="390" customFormat="false" ht="15" hidden="false" customHeight="false" outlineLevel="0" collapsed="false">
      <c r="A390" s="22" t="s">
        <v>1233</v>
      </c>
      <c r="B390" s="22" t="s">
        <v>1234</v>
      </c>
      <c r="C390" s="22" t="s">
        <v>162</v>
      </c>
      <c r="D390" s="22" t="s">
        <v>1235</v>
      </c>
      <c r="E390" s="22" t="n">
        <v>37</v>
      </c>
      <c r="F390" s="22" t="s">
        <v>164</v>
      </c>
    </row>
    <row r="391" customFormat="false" ht="15" hidden="false" customHeight="false" outlineLevel="0" collapsed="false">
      <c r="A391" s="22" t="s">
        <v>1236</v>
      </c>
      <c r="B391" s="22" t="s">
        <v>1237</v>
      </c>
      <c r="C391" s="22" t="s">
        <v>162</v>
      </c>
      <c r="D391" s="22" t="s">
        <v>389</v>
      </c>
      <c r="E391" s="22" t="n">
        <v>28.9</v>
      </c>
      <c r="F391" s="22" t="s">
        <v>198</v>
      </c>
    </row>
    <row r="392" customFormat="false" ht="15" hidden="false" customHeight="false" outlineLevel="0" collapsed="false">
      <c r="A392" s="22" t="s">
        <v>1238</v>
      </c>
      <c r="B392" s="22" t="s">
        <v>1239</v>
      </c>
      <c r="C392" s="22" t="s">
        <v>162</v>
      </c>
      <c r="D392" s="22" t="s">
        <v>1110</v>
      </c>
      <c r="E392" s="22" t="n">
        <v>27.8</v>
      </c>
      <c r="F392" s="22" t="s">
        <v>198</v>
      </c>
    </row>
    <row r="393" customFormat="false" ht="15" hidden="false" customHeight="false" outlineLevel="0" collapsed="false">
      <c r="A393" s="22" t="s">
        <v>1240</v>
      </c>
      <c r="B393" s="22" t="s">
        <v>1241</v>
      </c>
      <c r="C393" s="22" t="s">
        <v>162</v>
      </c>
      <c r="D393" s="22" t="s">
        <v>1242</v>
      </c>
      <c r="E393" s="22" t="n">
        <v>34.5</v>
      </c>
      <c r="F393" s="22" t="s">
        <v>164</v>
      </c>
    </row>
    <row r="394" customFormat="false" ht="15" hidden="false" customHeight="false" outlineLevel="0" collapsed="false">
      <c r="A394" s="22" t="s">
        <v>1243</v>
      </c>
      <c r="B394" s="22" t="s">
        <v>1244</v>
      </c>
      <c r="C394" s="22" t="s">
        <v>162</v>
      </c>
      <c r="D394" s="22" t="s">
        <v>1245</v>
      </c>
      <c r="E394" s="22" t="n">
        <v>47</v>
      </c>
      <c r="F394" s="22" t="s">
        <v>164</v>
      </c>
    </row>
    <row r="395" customFormat="false" ht="15" hidden="false" customHeight="false" outlineLevel="0" collapsed="false">
      <c r="A395" s="22" t="s">
        <v>1246</v>
      </c>
      <c r="B395" s="22" t="s">
        <v>1247</v>
      </c>
      <c r="C395" s="22" t="s">
        <v>157</v>
      </c>
      <c r="D395" s="22" t="s">
        <v>773</v>
      </c>
      <c r="E395" s="22" t="n">
        <v>55.8</v>
      </c>
      <c r="F395" s="22" t="s">
        <v>164</v>
      </c>
    </row>
    <row r="396" customFormat="false" ht="15" hidden="false" customHeight="false" outlineLevel="0" collapsed="false">
      <c r="A396" s="22" t="s">
        <v>1248</v>
      </c>
      <c r="B396" s="22" t="s">
        <v>1249</v>
      </c>
      <c r="C396" s="22" t="s">
        <v>162</v>
      </c>
      <c r="D396" s="22" t="s">
        <v>1143</v>
      </c>
      <c r="E396" s="22" t="n">
        <v>23.8</v>
      </c>
      <c r="F396" s="22" t="s">
        <v>175</v>
      </c>
    </row>
    <row r="397" customFormat="false" ht="15" hidden="false" customHeight="false" outlineLevel="0" collapsed="false">
      <c r="A397" s="22" t="s">
        <v>1250</v>
      </c>
      <c r="B397" s="22" t="s">
        <v>1251</v>
      </c>
      <c r="C397" s="22" t="s">
        <v>566</v>
      </c>
      <c r="D397" s="22" t="s">
        <v>1006</v>
      </c>
      <c r="E397" s="22" t="n">
        <v>59.2</v>
      </c>
      <c r="F397" s="22" t="s">
        <v>175</v>
      </c>
    </row>
    <row r="398" customFormat="false" ht="15" hidden="false" customHeight="false" outlineLevel="0" collapsed="false">
      <c r="A398" s="22" t="s">
        <v>1252</v>
      </c>
      <c r="B398" s="22" t="s">
        <v>397</v>
      </c>
      <c r="C398" s="22" t="s">
        <v>207</v>
      </c>
      <c r="D398" s="22" t="s">
        <v>1253</v>
      </c>
      <c r="E398" s="22" t="n">
        <v>32.1</v>
      </c>
      <c r="F398" s="22" t="s">
        <v>164</v>
      </c>
    </row>
    <row r="399" customFormat="false" ht="15" hidden="false" customHeight="false" outlineLevel="0" collapsed="false">
      <c r="A399" s="22" t="s">
        <v>1254</v>
      </c>
      <c r="B399" s="22" t="s">
        <v>1255</v>
      </c>
      <c r="C399" s="22" t="s">
        <v>157</v>
      </c>
      <c r="D399" s="22" t="s">
        <v>742</v>
      </c>
      <c r="E399" s="22" t="n">
        <v>32.7</v>
      </c>
      <c r="F399" s="22" t="s">
        <v>499</v>
      </c>
    </row>
    <row r="400" customFormat="false" ht="15" hidden="false" customHeight="false" outlineLevel="0" collapsed="false">
      <c r="A400" s="22" t="s">
        <v>1256</v>
      </c>
      <c r="B400" s="22" t="s">
        <v>1257</v>
      </c>
      <c r="C400" s="22" t="s">
        <v>162</v>
      </c>
      <c r="D400" s="22" t="s">
        <v>302</v>
      </c>
      <c r="E400" s="22" t="n">
        <v>42.3</v>
      </c>
      <c r="F400" s="22" t="s">
        <v>198</v>
      </c>
    </row>
    <row r="401" customFormat="false" ht="15" hidden="false" customHeight="false" outlineLevel="0" collapsed="false">
      <c r="A401" s="22" t="s">
        <v>1258</v>
      </c>
      <c r="B401" s="22" t="s">
        <v>1259</v>
      </c>
      <c r="C401" s="22" t="s">
        <v>162</v>
      </c>
      <c r="D401" s="22" t="s">
        <v>1210</v>
      </c>
      <c r="E401" s="22" t="n">
        <v>35.3</v>
      </c>
      <c r="F401" s="22" t="s">
        <v>175</v>
      </c>
    </row>
    <row r="402" customFormat="false" ht="15" hidden="false" customHeight="false" outlineLevel="0" collapsed="false">
      <c r="A402" s="22" t="s">
        <v>1260</v>
      </c>
      <c r="B402" s="22" t="s">
        <v>1261</v>
      </c>
      <c r="C402" s="22" t="s">
        <v>162</v>
      </c>
      <c r="D402" s="22" t="s">
        <v>1262</v>
      </c>
      <c r="E402" s="22" t="n">
        <v>39.8</v>
      </c>
      <c r="F402" s="22" t="s">
        <v>164</v>
      </c>
    </row>
    <row r="403" customFormat="false" ht="15" hidden="false" customHeight="false" outlineLevel="0" collapsed="false">
      <c r="A403" s="22" t="s">
        <v>1263</v>
      </c>
      <c r="B403" s="22" t="s">
        <v>1264</v>
      </c>
      <c r="C403" s="22" t="s">
        <v>162</v>
      </c>
      <c r="D403" s="22" t="s">
        <v>1265</v>
      </c>
      <c r="E403" s="22" t="n">
        <v>47.7</v>
      </c>
      <c r="F403" s="22" t="s">
        <v>164</v>
      </c>
    </row>
    <row r="404" customFormat="false" ht="15" hidden="false" customHeight="false" outlineLevel="0" collapsed="false">
      <c r="A404" s="22" t="s">
        <v>1266</v>
      </c>
      <c r="B404" s="22" t="s">
        <v>1267</v>
      </c>
      <c r="C404" s="22" t="s">
        <v>162</v>
      </c>
      <c r="D404" s="22" t="s">
        <v>1268</v>
      </c>
      <c r="E404" s="22" t="n">
        <v>54.6</v>
      </c>
      <c r="F404" s="22" t="s">
        <v>164</v>
      </c>
    </row>
    <row r="405" customFormat="false" ht="15" hidden="false" customHeight="false" outlineLevel="0" collapsed="false">
      <c r="A405" s="22" t="s">
        <v>1269</v>
      </c>
      <c r="B405" s="22" t="s">
        <v>1270</v>
      </c>
      <c r="C405" s="22" t="s">
        <v>162</v>
      </c>
      <c r="D405" s="22" t="s">
        <v>419</v>
      </c>
      <c r="E405" s="22" t="n">
        <v>56.6</v>
      </c>
      <c r="F405" s="22" t="s">
        <v>215</v>
      </c>
    </row>
    <row r="406" customFormat="false" ht="15" hidden="false" customHeight="false" outlineLevel="0" collapsed="false">
      <c r="A406" s="22" t="s">
        <v>1271</v>
      </c>
      <c r="B406" s="22" t="s">
        <v>1272</v>
      </c>
      <c r="C406" s="22" t="s">
        <v>162</v>
      </c>
      <c r="D406" s="22" t="s">
        <v>591</v>
      </c>
      <c r="E406" s="22" t="n">
        <v>23.3</v>
      </c>
      <c r="F406" s="22" t="s">
        <v>171</v>
      </c>
    </row>
    <row r="407" customFormat="false" ht="15" hidden="false" customHeight="false" outlineLevel="0" collapsed="false">
      <c r="A407" s="22" t="s">
        <v>1273</v>
      </c>
      <c r="B407" s="22" t="s">
        <v>1274</v>
      </c>
      <c r="C407" s="22" t="s">
        <v>207</v>
      </c>
      <c r="D407" s="22" t="s">
        <v>302</v>
      </c>
      <c r="E407" s="22" t="n">
        <v>60.7</v>
      </c>
      <c r="F407" s="22" t="s">
        <v>159</v>
      </c>
    </row>
    <row r="408" customFormat="false" ht="15" hidden="false" customHeight="false" outlineLevel="0" collapsed="false">
      <c r="A408" s="22" t="s">
        <v>1275</v>
      </c>
      <c r="B408" s="22" t="s">
        <v>1276</v>
      </c>
      <c r="C408" s="22" t="s">
        <v>162</v>
      </c>
      <c r="D408" s="22" t="s">
        <v>956</v>
      </c>
      <c r="E408" s="22" t="n">
        <v>25.1</v>
      </c>
      <c r="F408" s="22" t="s">
        <v>159</v>
      </c>
    </row>
    <row r="409" customFormat="false" ht="15" hidden="false" customHeight="false" outlineLevel="0" collapsed="false">
      <c r="A409" s="22" t="s">
        <v>1277</v>
      </c>
      <c r="B409" s="22" t="s">
        <v>1278</v>
      </c>
      <c r="C409" s="22" t="s">
        <v>566</v>
      </c>
      <c r="D409" s="22" t="s">
        <v>404</v>
      </c>
      <c r="E409" s="22" t="n">
        <v>24.2</v>
      </c>
      <c r="F409" s="22" t="s">
        <v>198</v>
      </c>
    </row>
    <row r="410" customFormat="false" ht="15" hidden="false" customHeight="false" outlineLevel="0" collapsed="false">
      <c r="A410" s="22" t="s">
        <v>1279</v>
      </c>
      <c r="B410" s="22" t="s">
        <v>1280</v>
      </c>
      <c r="C410" s="22" t="s">
        <v>162</v>
      </c>
      <c r="D410" s="22" t="s">
        <v>1281</v>
      </c>
      <c r="E410" s="22" t="n">
        <v>20.4</v>
      </c>
      <c r="F410" s="22" t="s">
        <v>215</v>
      </c>
    </row>
    <row r="411" customFormat="false" ht="15" hidden="false" customHeight="false" outlineLevel="0" collapsed="false">
      <c r="A411" s="22" t="s">
        <v>1282</v>
      </c>
      <c r="B411" s="22" t="s">
        <v>1283</v>
      </c>
      <c r="C411" s="22" t="s">
        <v>162</v>
      </c>
      <c r="D411" s="22" t="s">
        <v>736</v>
      </c>
      <c r="E411" s="22" t="n">
        <v>60.6</v>
      </c>
      <c r="F411" s="22" t="s">
        <v>164</v>
      </c>
    </row>
    <row r="412" customFormat="false" ht="15" hidden="false" customHeight="false" outlineLevel="0" collapsed="false">
      <c r="A412" s="22" t="s">
        <v>1284</v>
      </c>
      <c r="B412" s="22" t="s">
        <v>1285</v>
      </c>
      <c r="C412" s="22" t="s">
        <v>566</v>
      </c>
      <c r="D412" s="22" t="s">
        <v>236</v>
      </c>
      <c r="E412" s="22" t="n">
        <v>58.7</v>
      </c>
      <c r="F412" s="22" t="s">
        <v>175</v>
      </c>
    </row>
    <row r="413" customFormat="false" ht="15" hidden="false" customHeight="false" outlineLevel="0" collapsed="false">
      <c r="A413" s="22" t="s">
        <v>1286</v>
      </c>
      <c r="B413" s="22" t="s">
        <v>1287</v>
      </c>
      <c r="C413" s="22" t="s">
        <v>162</v>
      </c>
      <c r="D413" s="22" t="s">
        <v>1288</v>
      </c>
      <c r="E413" s="22" t="n">
        <v>53.4</v>
      </c>
      <c r="F413" s="22" t="s">
        <v>198</v>
      </c>
    </row>
    <row r="414" customFormat="false" ht="15" hidden="false" customHeight="false" outlineLevel="0" collapsed="false">
      <c r="A414" s="22" t="s">
        <v>1289</v>
      </c>
      <c r="B414" s="22" t="s">
        <v>1290</v>
      </c>
      <c r="C414" s="22" t="s">
        <v>162</v>
      </c>
      <c r="D414" s="22" t="s">
        <v>1291</v>
      </c>
      <c r="E414" s="22" t="n">
        <v>51.5</v>
      </c>
      <c r="F414" s="22" t="s">
        <v>164</v>
      </c>
    </row>
    <row r="415" customFormat="false" ht="15" hidden="false" customHeight="false" outlineLevel="0" collapsed="false">
      <c r="A415" s="22" t="s">
        <v>1292</v>
      </c>
      <c r="B415" s="22" t="s">
        <v>1293</v>
      </c>
      <c r="C415" s="22" t="s">
        <v>162</v>
      </c>
      <c r="D415" s="22" t="s">
        <v>1294</v>
      </c>
      <c r="E415" s="22" t="n">
        <v>29.3</v>
      </c>
      <c r="F415" s="22" t="s">
        <v>159</v>
      </c>
    </row>
    <row r="416" customFormat="false" ht="15" hidden="false" customHeight="false" outlineLevel="0" collapsed="false">
      <c r="A416" s="22" t="s">
        <v>1295</v>
      </c>
      <c r="B416" s="22" t="s">
        <v>1296</v>
      </c>
      <c r="C416" s="22" t="s">
        <v>162</v>
      </c>
      <c r="D416" s="22" t="s">
        <v>208</v>
      </c>
      <c r="E416" s="22" t="n">
        <v>25.8</v>
      </c>
      <c r="F416" s="22" t="s">
        <v>164</v>
      </c>
    </row>
    <row r="417" customFormat="false" ht="15" hidden="false" customHeight="false" outlineLevel="0" collapsed="false">
      <c r="A417" s="22" t="s">
        <v>1297</v>
      </c>
      <c r="B417" s="22" t="s">
        <v>1298</v>
      </c>
      <c r="C417" s="22" t="s">
        <v>162</v>
      </c>
      <c r="D417" s="22" t="s">
        <v>1299</v>
      </c>
      <c r="E417" s="22" t="n">
        <v>35.1</v>
      </c>
      <c r="F417" s="22" t="s">
        <v>188</v>
      </c>
    </row>
    <row r="418" customFormat="false" ht="15" hidden="false" customHeight="false" outlineLevel="0" collapsed="false">
      <c r="A418" s="22" t="s">
        <v>1300</v>
      </c>
      <c r="B418" s="22" t="s">
        <v>1301</v>
      </c>
      <c r="C418" s="22" t="s">
        <v>162</v>
      </c>
      <c r="D418" s="22" t="s">
        <v>349</v>
      </c>
      <c r="E418" s="22" t="n">
        <v>60.6</v>
      </c>
      <c r="F418" s="22" t="s">
        <v>188</v>
      </c>
    </row>
    <row r="419" customFormat="false" ht="15" hidden="false" customHeight="false" outlineLevel="0" collapsed="false">
      <c r="A419" s="22" t="s">
        <v>1302</v>
      </c>
      <c r="B419" s="22" t="s">
        <v>1303</v>
      </c>
      <c r="C419" s="22" t="s">
        <v>162</v>
      </c>
      <c r="D419" s="22" t="s">
        <v>1304</v>
      </c>
      <c r="E419" s="22" t="n">
        <v>48.7</v>
      </c>
      <c r="F419" s="22" t="s">
        <v>164</v>
      </c>
    </row>
    <row r="420" customFormat="false" ht="15" hidden="false" customHeight="false" outlineLevel="0" collapsed="false">
      <c r="A420" s="22" t="s">
        <v>1305</v>
      </c>
      <c r="B420" s="22" t="s">
        <v>1306</v>
      </c>
      <c r="C420" s="22" t="s">
        <v>162</v>
      </c>
      <c r="D420" s="22" t="s">
        <v>1307</v>
      </c>
      <c r="E420" s="22" t="n">
        <v>56.8</v>
      </c>
      <c r="F420" s="22" t="s">
        <v>175</v>
      </c>
    </row>
    <row r="421" customFormat="false" ht="15" hidden="false" customHeight="false" outlineLevel="0" collapsed="false">
      <c r="A421" s="22" t="s">
        <v>1308</v>
      </c>
      <c r="B421" s="22" t="s">
        <v>1309</v>
      </c>
      <c r="C421" s="22" t="s">
        <v>162</v>
      </c>
      <c r="D421" s="22" t="s">
        <v>1204</v>
      </c>
      <c r="E421" s="22" t="n">
        <v>26.2</v>
      </c>
      <c r="F421" s="22" t="s">
        <v>164</v>
      </c>
    </row>
    <row r="422" customFormat="false" ht="15" hidden="false" customHeight="false" outlineLevel="0" collapsed="false">
      <c r="A422" s="22" t="s">
        <v>1310</v>
      </c>
      <c r="B422" s="22" t="s">
        <v>1311</v>
      </c>
      <c r="C422" s="22" t="s">
        <v>162</v>
      </c>
      <c r="D422" s="22" t="s">
        <v>463</v>
      </c>
      <c r="E422" s="22" t="n">
        <v>36</v>
      </c>
      <c r="F422" s="22" t="s">
        <v>164</v>
      </c>
    </row>
    <row r="423" customFormat="false" ht="15" hidden="false" customHeight="false" outlineLevel="0" collapsed="false">
      <c r="A423" s="22" t="s">
        <v>1312</v>
      </c>
      <c r="B423" s="22" t="s">
        <v>1313</v>
      </c>
      <c r="C423" s="22" t="s">
        <v>162</v>
      </c>
      <c r="D423" s="22" t="s">
        <v>723</v>
      </c>
      <c r="E423" s="22" t="n">
        <v>22.9</v>
      </c>
      <c r="F423" s="22" t="s">
        <v>175</v>
      </c>
    </row>
    <row r="424" customFormat="false" ht="15" hidden="false" customHeight="false" outlineLevel="0" collapsed="false">
      <c r="A424" s="22" t="s">
        <v>1314</v>
      </c>
      <c r="B424" s="22" t="s">
        <v>1315</v>
      </c>
      <c r="C424" s="22" t="s">
        <v>162</v>
      </c>
      <c r="D424" s="22" t="s">
        <v>208</v>
      </c>
      <c r="E424" s="22" t="n">
        <v>43.2</v>
      </c>
      <c r="F424" s="22" t="s">
        <v>171</v>
      </c>
    </row>
    <row r="425" customFormat="false" ht="15" hidden="false" customHeight="false" outlineLevel="0" collapsed="false">
      <c r="A425" s="22" t="s">
        <v>1316</v>
      </c>
      <c r="B425" s="22" t="s">
        <v>1317</v>
      </c>
      <c r="C425" s="22" t="s">
        <v>162</v>
      </c>
      <c r="D425" s="22" t="s">
        <v>1318</v>
      </c>
      <c r="E425" s="22" t="n">
        <v>27.7</v>
      </c>
      <c r="F425" s="22" t="s">
        <v>159</v>
      </c>
    </row>
    <row r="426" customFormat="false" ht="15" hidden="false" customHeight="false" outlineLevel="0" collapsed="false">
      <c r="A426" s="22" t="s">
        <v>1319</v>
      </c>
      <c r="B426" s="22" t="s">
        <v>1320</v>
      </c>
      <c r="C426" s="22" t="s">
        <v>162</v>
      </c>
      <c r="D426" s="22" t="s">
        <v>422</v>
      </c>
      <c r="E426" s="22" t="n">
        <v>58.3</v>
      </c>
      <c r="F426" s="22" t="s">
        <v>171</v>
      </c>
    </row>
    <row r="427" customFormat="false" ht="15" hidden="false" customHeight="false" outlineLevel="0" collapsed="false">
      <c r="A427" s="22" t="s">
        <v>1321</v>
      </c>
      <c r="B427" s="22" t="s">
        <v>1322</v>
      </c>
      <c r="C427" s="22" t="s">
        <v>162</v>
      </c>
      <c r="D427" s="22" t="s">
        <v>1323</v>
      </c>
      <c r="E427" s="22" t="n">
        <v>61.4</v>
      </c>
      <c r="F427" s="22" t="s">
        <v>164</v>
      </c>
    </row>
    <row r="428" customFormat="false" ht="15" hidden="false" customHeight="false" outlineLevel="0" collapsed="false">
      <c r="A428" s="22" t="s">
        <v>1324</v>
      </c>
      <c r="B428" s="22" t="s">
        <v>1325</v>
      </c>
      <c r="C428" s="22" t="s">
        <v>162</v>
      </c>
      <c r="D428" s="22" t="s">
        <v>1326</v>
      </c>
      <c r="E428" s="22" t="n">
        <v>20.9</v>
      </c>
      <c r="F428" s="22" t="s">
        <v>175</v>
      </c>
    </row>
    <row r="429" customFormat="false" ht="15" hidden="false" customHeight="false" outlineLevel="0" collapsed="false">
      <c r="A429" s="22" t="s">
        <v>1327</v>
      </c>
      <c r="B429" s="22" t="s">
        <v>1328</v>
      </c>
      <c r="C429" s="22" t="s">
        <v>162</v>
      </c>
      <c r="D429" s="22" t="s">
        <v>315</v>
      </c>
      <c r="E429" s="22" t="n">
        <v>57</v>
      </c>
      <c r="F429" s="22" t="s">
        <v>175</v>
      </c>
    </row>
    <row r="430" customFormat="false" ht="15" hidden="false" customHeight="false" outlineLevel="0" collapsed="false">
      <c r="A430" s="22" t="s">
        <v>1329</v>
      </c>
      <c r="B430" s="22" t="s">
        <v>1330</v>
      </c>
      <c r="C430" s="22" t="s">
        <v>162</v>
      </c>
      <c r="D430" s="22" t="s">
        <v>781</v>
      </c>
      <c r="E430" s="22" t="n">
        <v>21.8</v>
      </c>
      <c r="F430" s="22" t="s">
        <v>171</v>
      </c>
    </row>
    <row r="431" customFormat="false" ht="15" hidden="false" customHeight="false" outlineLevel="0" collapsed="false">
      <c r="A431" s="22" t="s">
        <v>1331</v>
      </c>
      <c r="B431" s="22" t="s">
        <v>1332</v>
      </c>
      <c r="C431" s="22" t="s">
        <v>162</v>
      </c>
      <c r="D431" s="22" t="s">
        <v>1063</v>
      </c>
      <c r="E431" s="22" t="n">
        <v>30.8</v>
      </c>
      <c r="F431" s="22" t="s">
        <v>499</v>
      </c>
    </row>
    <row r="432" customFormat="false" ht="15" hidden="false" customHeight="false" outlineLevel="0" collapsed="false">
      <c r="A432" s="22" t="s">
        <v>1333</v>
      </c>
      <c r="B432" s="22" t="s">
        <v>1334</v>
      </c>
      <c r="C432" s="22" t="s">
        <v>162</v>
      </c>
      <c r="D432" s="22" t="s">
        <v>1037</v>
      </c>
      <c r="E432" s="22" t="n">
        <v>58.4</v>
      </c>
      <c r="F432" s="22" t="s">
        <v>171</v>
      </c>
    </row>
    <row r="433" customFormat="false" ht="15" hidden="false" customHeight="false" outlineLevel="0" collapsed="false">
      <c r="A433" s="22" t="s">
        <v>1335</v>
      </c>
      <c r="B433" s="22" t="s">
        <v>1336</v>
      </c>
      <c r="C433" s="22" t="s">
        <v>162</v>
      </c>
      <c r="D433" s="22" t="s">
        <v>422</v>
      </c>
      <c r="E433" s="22" t="n">
        <v>26.2</v>
      </c>
      <c r="F433" s="22" t="s">
        <v>175</v>
      </c>
    </row>
    <row r="434" customFormat="false" ht="15" hidden="false" customHeight="false" outlineLevel="0" collapsed="false">
      <c r="A434" s="22" t="s">
        <v>1337</v>
      </c>
      <c r="B434" s="22" t="s">
        <v>1338</v>
      </c>
      <c r="C434" s="22" t="s">
        <v>162</v>
      </c>
      <c r="D434" s="22" t="s">
        <v>1339</v>
      </c>
      <c r="E434" s="22" t="n">
        <v>36.8</v>
      </c>
      <c r="F434" s="22" t="s">
        <v>171</v>
      </c>
    </row>
    <row r="435" customFormat="false" ht="15" hidden="false" customHeight="false" outlineLevel="0" collapsed="false">
      <c r="A435" s="22" t="s">
        <v>1340</v>
      </c>
      <c r="B435" s="22" t="s">
        <v>1341</v>
      </c>
      <c r="C435" s="22" t="s">
        <v>162</v>
      </c>
      <c r="D435" s="22" t="s">
        <v>1342</v>
      </c>
      <c r="E435" s="22" t="n">
        <v>44.4</v>
      </c>
      <c r="F435" s="22" t="s">
        <v>175</v>
      </c>
    </row>
    <row r="436" customFormat="false" ht="15" hidden="false" customHeight="false" outlineLevel="0" collapsed="false">
      <c r="A436" s="22" t="s">
        <v>1343</v>
      </c>
      <c r="B436" s="22" t="s">
        <v>1344</v>
      </c>
      <c r="C436" s="22" t="s">
        <v>162</v>
      </c>
      <c r="D436" s="22" t="s">
        <v>941</v>
      </c>
      <c r="E436" s="22" t="n">
        <v>39.3</v>
      </c>
      <c r="F436" s="22" t="s">
        <v>159</v>
      </c>
    </row>
    <row r="437" customFormat="false" ht="15" hidden="false" customHeight="false" outlineLevel="0" collapsed="false">
      <c r="A437" s="22" t="s">
        <v>1345</v>
      </c>
      <c r="B437" s="22" t="s">
        <v>1346</v>
      </c>
      <c r="C437" s="22" t="s">
        <v>162</v>
      </c>
      <c r="D437" s="22" t="s">
        <v>651</v>
      </c>
      <c r="E437" s="22" t="n">
        <v>33.7</v>
      </c>
      <c r="F437" s="22" t="s">
        <v>159</v>
      </c>
    </row>
    <row r="438" customFormat="false" ht="15" hidden="false" customHeight="false" outlineLevel="0" collapsed="false">
      <c r="A438" s="22" t="s">
        <v>1347</v>
      </c>
      <c r="B438" s="22" t="s">
        <v>1348</v>
      </c>
      <c r="C438" s="22" t="s">
        <v>162</v>
      </c>
      <c r="D438" s="22" t="s">
        <v>1143</v>
      </c>
      <c r="E438" s="22" t="n">
        <v>31.9</v>
      </c>
      <c r="F438" s="22" t="s">
        <v>164</v>
      </c>
    </row>
    <row r="439" customFormat="false" ht="15" hidden="false" customHeight="false" outlineLevel="0" collapsed="false">
      <c r="A439" s="22" t="s">
        <v>1349</v>
      </c>
      <c r="B439" s="22" t="s">
        <v>1350</v>
      </c>
      <c r="C439" s="22" t="s">
        <v>162</v>
      </c>
      <c r="D439" s="22" t="s">
        <v>770</v>
      </c>
      <c r="E439" s="22" t="n">
        <v>28.7</v>
      </c>
      <c r="F439" s="22" t="s">
        <v>164</v>
      </c>
    </row>
    <row r="440" customFormat="false" ht="15" hidden="false" customHeight="false" outlineLevel="0" collapsed="false">
      <c r="A440" s="22" t="s">
        <v>1351</v>
      </c>
      <c r="B440" s="22" t="s">
        <v>1352</v>
      </c>
      <c r="C440" s="22" t="s">
        <v>162</v>
      </c>
      <c r="D440" s="22" t="s">
        <v>1353</v>
      </c>
      <c r="E440" s="22" t="n">
        <v>28.5</v>
      </c>
      <c r="F440" s="22" t="s">
        <v>171</v>
      </c>
    </row>
    <row r="441" customFormat="false" ht="15" hidden="false" customHeight="false" outlineLevel="0" collapsed="false">
      <c r="A441" s="22" t="s">
        <v>1354</v>
      </c>
      <c r="B441" s="22" t="s">
        <v>1355</v>
      </c>
      <c r="C441" s="22" t="s">
        <v>162</v>
      </c>
      <c r="D441" s="22" t="s">
        <v>703</v>
      </c>
      <c r="E441" s="22" t="n">
        <v>50.1</v>
      </c>
      <c r="F441" s="22" t="s">
        <v>164</v>
      </c>
    </row>
    <row r="442" customFormat="false" ht="15" hidden="false" customHeight="false" outlineLevel="0" collapsed="false">
      <c r="A442" s="22" t="s">
        <v>1356</v>
      </c>
      <c r="B442" s="22" t="s">
        <v>1357</v>
      </c>
      <c r="C442" s="22" t="s">
        <v>162</v>
      </c>
      <c r="D442" s="22" t="s">
        <v>1358</v>
      </c>
      <c r="E442" s="22" t="n">
        <v>25.3</v>
      </c>
      <c r="F442" s="22" t="s">
        <v>159</v>
      </c>
    </row>
    <row r="443" customFormat="false" ht="15" hidden="false" customHeight="false" outlineLevel="0" collapsed="false">
      <c r="A443" s="22" t="s">
        <v>1359</v>
      </c>
      <c r="B443" s="22" t="s">
        <v>1360</v>
      </c>
      <c r="C443" s="22" t="s">
        <v>162</v>
      </c>
      <c r="D443" s="22" t="s">
        <v>263</v>
      </c>
      <c r="E443" s="22" t="n">
        <v>43.4</v>
      </c>
      <c r="F443" s="22" t="s">
        <v>215</v>
      </c>
    </row>
    <row r="444" customFormat="false" ht="15" hidden="false" customHeight="false" outlineLevel="0" collapsed="false">
      <c r="A444" s="22" t="s">
        <v>1361</v>
      </c>
      <c r="B444" s="22" t="s">
        <v>1362</v>
      </c>
      <c r="C444" s="22" t="s">
        <v>162</v>
      </c>
      <c r="D444" s="22" t="s">
        <v>419</v>
      </c>
      <c r="E444" s="22" t="n">
        <v>38.4</v>
      </c>
      <c r="F444" s="22" t="s">
        <v>175</v>
      </c>
    </row>
    <row r="445" customFormat="false" ht="15" hidden="false" customHeight="false" outlineLevel="0" collapsed="false">
      <c r="A445" s="22" t="s">
        <v>1363</v>
      </c>
      <c r="B445" s="22" t="s">
        <v>1364</v>
      </c>
      <c r="C445" s="22" t="s">
        <v>207</v>
      </c>
      <c r="D445" s="22" t="s">
        <v>260</v>
      </c>
      <c r="E445" s="22" t="n">
        <v>51.7</v>
      </c>
      <c r="F445" s="22" t="s">
        <v>175</v>
      </c>
    </row>
    <row r="446" customFormat="false" ht="15" hidden="false" customHeight="false" outlineLevel="0" collapsed="false">
      <c r="A446" s="22" t="s">
        <v>1365</v>
      </c>
      <c r="B446" s="22" t="s">
        <v>1366</v>
      </c>
      <c r="C446" s="22" t="s">
        <v>162</v>
      </c>
      <c r="D446" s="22" t="s">
        <v>1262</v>
      </c>
      <c r="E446" s="22" t="n">
        <v>43.8</v>
      </c>
      <c r="F446" s="22" t="s">
        <v>499</v>
      </c>
    </row>
    <row r="447" customFormat="false" ht="15" hidden="false" customHeight="false" outlineLevel="0" collapsed="false">
      <c r="A447" s="22" t="s">
        <v>1367</v>
      </c>
      <c r="B447" s="22" t="s">
        <v>1368</v>
      </c>
      <c r="C447" s="22" t="s">
        <v>162</v>
      </c>
      <c r="D447" s="22" t="s">
        <v>1369</v>
      </c>
      <c r="E447" s="22" t="n">
        <v>21.8</v>
      </c>
      <c r="F447" s="22" t="s">
        <v>198</v>
      </c>
    </row>
    <row r="448" customFormat="false" ht="15" hidden="false" customHeight="false" outlineLevel="0" collapsed="false">
      <c r="A448" s="22" t="s">
        <v>1370</v>
      </c>
      <c r="B448" s="22" t="s">
        <v>1371</v>
      </c>
      <c r="C448" s="22" t="s">
        <v>162</v>
      </c>
      <c r="D448" s="22" t="s">
        <v>1130</v>
      </c>
      <c r="E448" s="22" t="n">
        <v>41.3</v>
      </c>
      <c r="F448" s="22" t="s">
        <v>164</v>
      </c>
    </row>
    <row r="449" customFormat="false" ht="15" hidden="false" customHeight="false" outlineLevel="0" collapsed="false">
      <c r="A449" s="22" t="s">
        <v>1372</v>
      </c>
      <c r="B449" s="22" t="s">
        <v>1373</v>
      </c>
      <c r="C449" s="22" t="s">
        <v>162</v>
      </c>
      <c r="D449" s="22" t="s">
        <v>1374</v>
      </c>
      <c r="E449" s="22" t="n">
        <v>61.7</v>
      </c>
      <c r="F449" s="22" t="s">
        <v>215</v>
      </c>
    </row>
    <row r="450" customFormat="false" ht="15" hidden="false" customHeight="false" outlineLevel="0" collapsed="false">
      <c r="A450" s="22" t="s">
        <v>1375</v>
      </c>
      <c r="B450" s="22" t="s">
        <v>1376</v>
      </c>
      <c r="C450" s="22" t="s">
        <v>162</v>
      </c>
      <c r="D450" s="22" t="s">
        <v>1304</v>
      </c>
      <c r="E450" s="22" t="n">
        <v>32.7</v>
      </c>
      <c r="F450" s="22" t="s">
        <v>175</v>
      </c>
    </row>
    <row r="451" customFormat="false" ht="15" hidden="false" customHeight="false" outlineLevel="0" collapsed="false">
      <c r="A451" s="22" t="s">
        <v>1377</v>
      </c>
      <c r="B451" s="22" t="s">
        <v>1378</v>
      </c>
      <c r="C451" s="22" t="s">
        <v>162</v>
      </c>
      <c r="D451" s="22" t="s">
        <v>389</v>
      </c>
      <c r="E451" s="22" t="n">
        <v>22.6</v>
      </c>
      <c r="F451" s="22" t="s">
        <v>198</v>
      </c>
    </row>
    <row r="452" customFormat="false" ht="15" hidden="false" customHeight="false" outlineLevel="0" collapsed="false">
      <c r="A452" s="22" t="s">
        <v>1379</v>
      </c>
      <c r="B452" s="22" t="s">
        <v>1380</v>
      </c>
      <c r="C452" s="22" t="s">
        <v>162</v>
      </c>
      <c r="D452" s="22" t="s">
        <v>1281</v>
      </c>
      <c r="E452" s="22" t="n">
        <v>34.8</v>
      </c>
      <c r="F452" s="22" t="s">
        <v>159</v>
      </c>
    </row>
    <row r="453" customFormat="false" ht="15" hidden="false" customHeight="false" outlineLevel="0" collapsed="false">
      <c r="A453" s="22" t="s">
        <v>1381</v>
      </c>
      <c r="B453" s="22" t="s">
        <v>1382</v>
      </c>
      <c r="C453" s="22" t="s">
        <v>162</v>
      </c>
      <c r="D453" s="22" t="s">
        <v>1383</v>
      </c>
      <c r="E453" s="22" t="n">
        <v>52.1</v>
      </c>
      <c r="F453" s="22" t="s">
        <v>164</v>
      </c>
    </row>
    <row r="454" customFormat="false" ht="15" hidden="false" customHeight="false" outlineLevel="0" collapsed="false">
      <c r="A454" s="22" t="s">
        <v>1384</v>
      </c>
      <c r="B454" s="22" t="s">
        <v>1385</v>
      </c>
      <c r="C454" s="22" t="s">
        <v>162</v>
      </c>
      <c r="D454" s="22" t="s">
        <v>980</v>
      </c>
      <c r="E454" s="22" t="n">
        <v>40.6</v>
      </c>
      <c r="F454" s="22" t="s">
        <v>175</v>
      </c>
    </row>
    <row r="455" customFormat="false" ht="15" hidden="false" customHeight="false" outlineLevel="0" collapsed="false">
      <c r="A455" s="22" t="s">
        <v>1386</v>
      </c>
      <c r="B455" s="22" t="s">
        <v>1387</v>
      </c>
      <c r="C455" s="22" t="s">
        <v>162</v>
      </c>
      <c r="D455" s="22" t="s">
        <v>635</v>
      </c>
      <c r="E455" s="22" t="n">
        <v>30.3</v>
      </c>
      <c r="F455" s="22" t="s">
        <v>198</v>
      </c>
    </row>
    <row r="456" customFormat="false" ht="15" hidden="false" customHeight="false" outlineLevel="0" collapsed="false">
      <c r="A456" s="22" t="s">
        <v>1388</v>
      </c>
      <c r="B456" s="22" t="s">
        <v>1389</v>
      </c>
      <c r="C456" s="22" t="s">
        <v>162</v>
      </c>
      <c r="D456" s="22" t="s">
        <v>1390</v>
      </c>
      <c r="E456" s="22" t="n">
        <v>60.4</v>
      </c>
      <c r="F456" s="22" t="s">
        <v>175</v>
      </c>
    </row>
    <row r="457" customFormat="false" ht="15" hidden="false" customHeight="false" outlineLevel="0" collapsed="false">
      <c r="A457" s="22" t="s">
        <v>1391</v>
      </c>
      <c r="B457" s="22" t="s">
        <v>1392</v>
      </c>
      <c r="C457" s="22" t="s">
        <v>162</v>
      </c>
      <c r="D457" s="22" t="s">
        <v>419</v>
      </c>
      <c r="E457" s="22" t="n">
        <v>25.6</v>
      </c>
      <c r="F457" s="22" t="s">
        <v>159</v>
      </c>
    </row>
    <row r="458" customFormat="false" ht="15" hidden="false" customHeight="false" outlineLevel="0" collapsed="false">
      <c r="A458" s="22" t="s">
        <v>1393</v>
      </c>
      <c r="B458" s="22" t="s">
        <v>1394</v>
      </c>
      <c r="C458" s="22" t="s">
        <v>162</v>
      </c>
      <c r="D458" s="22" t="s">
        <v>1395</v>
      </c>
      <c r="E458" s="22" t="n">
        <v>25.5</v>
      </c>
      <c r="F458" s="22" t="s">
        <v>164</v>
      </c>
    </row>
    <row r="459" customFormat="false" ht="15" hidden="false" customHeight="false" outlineLevel="0" collapsed="false">
      <c r="A459" s="22" t="s">
        <v>1396</v>
      </c>
      <c r="B459" s="22" t="s">
        <v>1397</v>
      </c>
      <c r="C459" s="22" t="s">
        <v>162</v>
      </c>
      <c r="D459" s="22" t="s">
        <v>376</v>
      </c>
      <c r="E459" s="22" t="n">
        <v>22.8</v>
      </c>
      <c r="F459" s="22" t="s">
        <v>215</v>
      </c>
    </row>
    <row r="460" customFormat="false" ht="15" hidden="false" customHeight="false" outlineLevel="0" collapsed="false">
      <c r="A460" s="22" t="s">
        <v>1398</v>
      </c>
      <c r="B460" s="22" t="s">
        <v>1399</v>
      </c>
      <c r="C460" s="22" t="s">
        <v>162</v>
      </c>
      <c r="D460" s="22" t="s">
        <v>1400</v>
      </c>
      <c r="E460" s="22" t="n">
        <v>40.5</v>
      </c>
      <c r="F460" s="22" t="s">
        <v>175</v>
      </c>
    </row>
    <row r="461" customFormat="false" ht="15" hidden="false" customHeight="false" outlineLevel="0" collapsed="false">
      <c r="A461" s="22" t="s">
        <v>1401</v>
      </c>
      <c r="B461" s="22" t="s">
        <v>1402</v>
      </c>
      <c r="C461" s="22" t="s">
        <v>162</v>
      </c>
      <c r="D461" s="22" t="s">
        <v>1403</v>
      </c>
      <c r="E461" s="22" t="n">
        <v>45.4</v>
      </c>
      <c r="F461" s="22" t="s">
        <v>164</v>
      </c>
    </row>
    <row r="462" customFormat="false" ht="15" hidden="false" customHeight="false" outlineLevel="0" collapsed="false">
      <c r="A462" s="22" t="s">
        <v>1404</v>
      </c>
      <c r="B462" s="22" t="s">
        <v>1405</v>
      </c>
      <c r="C462" s="22" t="s">
        <v>162</v>
      </c>
      <c r="D462" s="22" t="s">
        <v>933</v>
      </c>
      <c r="E462" s="22" t="n">
        <v>20.8</v>
      </c>
      <c r="F462" s="22" t="s">
        <v>198</v>
      </c>
    </row>
    <row r="463" customFormat="false" ht="15" hidden="false" customHeight="false" outlineLevel="0" collapsed="false">
      <c r="A463" s="22" t="s">
        <v>1406</v>
      </c>
      <c r="B463" s="22" t="s">
        <v>1407</v>
      </c>
      <c r="C463" s="22" t="s">
        <v>162</v>
      </c>
      <c r="D463" s="22" t="s">
        <v>1408</v>
      </c>
      <c r="E463" s="22" t="n">
        <v>44.5</v>
      </c>
      <c r="F463" s="22" t="s">
        <v>175</v>
      </c>
    </row>
    <row r="464" customFormat="false" ht="15" hidden="false" customHeight="false" outlineLevel="0" collapsed="false">
      <c r="A464" s="22" t="s">
        <v>1409</v>
      </c>
      <c r="B464" s="22" t="s">
        <v>1410</v>
      </c>
      <c r="C464" s="22" t="s">
        <v>162</v>
      </c>
      <c r="D464" s="22" t="s">
        <v>522</v>
      </c>
      <c r="E464" s="22" t="n">
        <v>44.4</v>
      </c>
      <c r="F464" s="22" t="s">
        <v>499</v>
      </c>
    </row>
    <row r="465" customFormat="false" ht="15" hidden="false" customHeight="false" outlineLevel="0" collapsed="false">
      <c r="A465" s="22" t="s">
        <v>1411</v>
      </c>
      <c r="B465" s="22" t="s">
        <v>1412</v>
      </c>
      <c r="C465" s="22" t="s">
        <v>162</v>
      </c>
      <c r="D465" s="22" t="s">
        <v>1413</v>
      </c>
      <c r="E465" s="22" t="n">
        <v>43.6</v>
      </c>
      <c r="F465" s="22" t="s">
        <v>215</v>
      </c>
    </row>
    <row r="466" customFormat="false" ht="15" hidden="false" customHeight="false" outlineLevel="0" collapsed="false">
      <c r="A466" s="22" t="s">
        <v>1414</v>
      </c>
      <c r="B466" s="22" t="s">
        <v>1415</v>
      </c>
      <c r="C466" s="22" t="s">
        <v>162</v>
      </c>
      <c r="D466" s="22" t="s">
        <v>1416</v>
      </c>
      <c r="E466" s="22" t="n">
        <v>44.4</v>
      </c>
      <c r="F466" s="22" t="s">
        <v>164</v>
      </c>
    </row>
    <row r="467" customFormat="false" ht="15" hidden="false" customHeight="false" outlineLevel="0" collapsed="false">
      <c r="A467" s="22" t="s">
        <v>1417</v>
      </c>
      <c r="B467" s="22" t="s">
        <v>1418</v>
      </c>
      <c r="C467" s="22" t="s">
        <v>162</v>
      </c>
      <c r="D467" s="22" t="s">
        <v>802</v>
      </c>
      <c r="E467" s="22" t="n">
        <v>39.4</v>
      </c>
      <c r="F467" s="22" t="s">
        <v>171</v>
      </c>
    </row>
    <row r="468" customFormat="false" ht="15" hidden="false" customHeight="false" outlineLevel="0" collapsed="false">
      <c r="A468" s="22" t="s">
        <v>1419</v>
      </c>
      <c r="B468" s="22" t="s">
        <v>1420</v>
      </c>
      <c r="C468" s="22" t="s">
        <v>162</v>
      </c>
      <c r="D468" s="22" t="s">
        <v>1077</v>
      </c>
      <c r="E468" s="22" t="n">
        <v>29.6</v>
      </c>
      <c r="F468" s="22" t="s">
        <v>164</v>
      </c>
    </row>
    <row r="469" customFormat="false" ht="15" hidden="false" customHeight="false" outlineLevel="0" collapsed="false">
      <c r="A469" s="22" t="s">
        <v>1421</v>
      </c>
      <c r="B469" s="22" t="s">
        <v>1422</v>
      </c>
      <c r="C469" s="22" t="s">
        <v>162</v>
      </c>
      <c r="D469" s="22" t="s">
        <v>1423</v>
      </c>
      <c r="E469" s="22" t="n">
        <v>22.6</v>
      </c>
      <c r="F469" s="22" t="s">
        <v>198</v>
      </c>
    </row>
    <row r="470" customFormat="false" ht="15" hidden="false" customHeight="false" outlineLevel="0" collapsed="false">
      <c r="A470" s="22" t="s">
        <v>1424</v>
      </c>
      <c r="B470" s="22" t="s">
        <v>1425</v>
      </c>
      <c r="C470" s="22" t="s">
        <v>162</v>
      </c>
      <c r="D470" s="22" t="s">
        <v>522</v>
      </c>
      <c r="E470" s="22" t="n">
        <v>21.4</v>
      </c>
      <c r="F470" s="22" t="s">
        <v>175</v>
      </c>
    </row>
    <row r="471" customFormat="false" ht="15" hidden="false" customHeight="false" outlineLevel="0" collapsed="false">
      <c r="A471" s="22" t="s">
        <v>1426</v>
      </c>
      <c r="B471" s="22" t="s">
        <v>1427</v>
      </c>
      <c r="C471" s="22" t="s">
        <v>207</v>
      </c>
      <c r="D471" s="22" t="s">
        <v>1428</v>
      </c>
      <c r="E471" s="22" t="n">
        <v>18.6</v>
      </c>
      <c r="F471" s="22" t="s">
        <v>175</v>
      </c>
    </row>
    <row r="472" customFormat="false" ht="15" hidden="false" customHeight="false" outlineLevel="0" collapsed="false">
      <c r="A472" s="22" t="s">
        <v>1429</v>
      </c>
      <c r="B472" s="22" t="s">
        <v>1430</v>
      </c>
      <c r="C472" s="22" t="s">
        <v>162</v>
      </c>
      <c r="D472" s="22" t="s">
        <v>1210</v>
      </c>
      <c r="E472" s="22" t="n">
        <v>52.6</v>
      </c>
      <c r="F472" s="22" t="s">
        <v>175</v>
      </c>
    </row>
    <row r="473" customFormat="false" ht="15" hidden="false" customHeight="false" outlineLevel="0" collapsed="false">
      <c r="A473" s="22" t="s">
        <v>1431</v>
      </c>
      <c r="B473" s="22" t="s">
        <v>1432</v>
      </c>
      <c r="C473" s="22" t="s">
        <v>162</v>
      </c>
      <c r="D473" s="22" t="s">
        <v>525</v>
      </c>
      <c r="E473" s="22" t="n">
        <v>47.3</v>
      </c>
      <c r="F473" s="22" t="s">
        <v>164</v>
      </c>
    </row>
    <row r="474" customFormat="false" ht="15" hidden="false" customHeight="false" outlineLevel="0" collapsed="false">
      <c r="A474" s="22" t="s">
        <v>1433</v>
      </c>
      <c r="B474" s="22" t="s">
        <v>1434</v>
      </c>
      <c r="C474" s="22" t="s">
        <v>162</v>
      </c>
      <c r="D474" s="22" t="s">
        <v>1435</v>
      </c>
      <c r="E474" s="22" t="n">
        <v>59</v>
      </c>
      <c r="F474" s="22" t="s">
        <v>175</v>
      </c>
    </row>
    <row r="475" customFormat="false" ht="15" hidden="false" customHeight="false" outlineLevel="0" collapsed="false">
      <c r="A475" s="22" t="s">
        <v>1436</v>
      </c>
      <c r="B475" s="22" t="s">
        <v>1437</v>
      </c>
      <c r="C475" s="22" t="s">
        <v>162</v>
      </c>
      <c r="D475" s="22" t="s">
        <v>1438</v>
      </c>
      <c r="E475" s="22" t="n">
        <v>56.4</v>
      </c>
      <c r="F475" s="22" t="s">
        <v>175</v>
      </c>
    </row>
    <row r="476" customFormat="false" ht="15" hidden="false" customHeight="false" outlineLevel="0" collapsed="false">
      <c r="A476" s="22" t="s">
        <v>1439</v>
      </c>
      <c r="B476" s="22" t="s">
        <v>1440</v>
      </c>
      <c r="C476" s="22" t="s">
        <v>162</v>
      </c>
      <c r="D476" s="22" t="s">
        <v>714</v>
      </c>
      <c r="E476" s="22" t="n">
        <v>59.9</v>
      </c>
      <c r="F476" s="22" t="s">
        <v>198</v>
      </c>
    </row>
    <row r="477" customFormat="false" ht="15" hidden="false" customHeight="false" outlineLevel="0" collapsed="false">
      <c r="A477" s="22" t="s">
        <v>1441</v>
      </c>
      <c r="B477" s="22" t="s">
        <v>1442</v>
      </c>
      <c r="C477" s="22" t="s">
        <v>162</v>
      </c>
      <c r="D477" s="22" t="s">
        <v>245</v>
      </c>
      <c r="E477" s="22" t="n">
        <v>34.6</v>
      </c>
      <c r="F477" s="22" t="s">
        <v>215</v>
      </c>
    </row>
    <row r="478" customFormat="false" ht="15" hidden="false" customHeight="false" outlineLevel="0" collapsed="false">
      <c r="A478" s="22" t="s">
        <v>1443</v>
      </c>
      <c r="B478" s="22" t="s">
        <v>1444</v>
      </c>
      <c r="C478" s="22" t="s">
        <v>162</v>
      </c>
      <c r="D478" s="22" t="s">
        <v>1445</v>
      </c>
      <c r="E478" s="22" t="n">
        <v>21.4</v>
      </c>
      <c r="F478" s="22" t="s">
        <v>159</v>
      </c>
    </row>
    <row r="479" customFormat="false" ht="15" hidden="false" customHeight="false" outlineLevel="0" collapsed="false">
      <c r="A479" s="22" t="s">
        <v>1446</v>
      </c>
      <c r="B479" s="22" t="s">
        <v>1447</v>
      </c>
      <c r="C479" s="22" t="s">
        <v>162</v>
      </c>
      <c r="D479" s="22" t="s">
        <v>1187</v>
      </c>
      <c r="E479" s="22" t="n">
        <v>38.1</v>
      </c>
      <c r="F479" s="22" t="s">
        <v>175</v>
      </c>
    </row>
    <row r="480" customFormat="false" ht="15" hidden="false" customHeight="false" outlineLevel="0" collapsed="false">
      <c r="A480" s="22" t="s">
        <v>1448</v>
      </c>
      <c r="B480" s="22" t="s">
        <v>1449</v>
      </c>
      <c r="C480" s="22" t="s">
        <v>162</v>
      </c>
      <c r="D480" s="22" t="s">
        <v>698</v>
      </c>
      <c r="E480" s="22" t="n">
        <v>29.3</v>
      </c>
      <c r="F480" s="22" t="s">
        <v>175</v>
      </c>
    </row>
    <row r="481" customFormat="false" ht="15" hidden="false" customHeight="false" outlineLevel="0" collapsed="false">
      <c r="A481" s="22" t="s">
        <v>1450</v>
      </c>
      <c r="B481" s="22" t="s">
        <v>1451</v>
      </c>
      <c r="C481" s="22" t="s">
        <v>162</v>
      </c>
      <c r="D481" s="22" t="s">
        <v>1175</v>
      </c>
      <c r="E481" s="22" t="n">
        <v>48</v>
      </c>
      <c r="F481" s="22" t="s">
        <v>171</v>
      </c>
    </row>
    <row r="482" customFormat="false" ht="15" hidden="false" customHeight="false" outlineLevel="0" collapsed="false">
      <c r="A482" s="22" t="s">
        <v>1452</v>
      </c>
      <c r="B482" s="22" t="s">
        <v>1453</v>
      </c>
      <c r="C482" s="22" t="s">
        <v>162</v>
      </c>
      <c r="D482" s="22" t="s">
        <v>1057</v>
      </c>
      <c r="E482" s="22" t="n">
        <v>20.4</v>
      </c>
      <c r="F482" s="22" t="s">
        <v>198</v>
      </c>
    </row>
    <row r="483" customFormat="false" ht="15" hidden="false" customHeight="false" outlineLevel="0" collapsed="false">
      <c r="A483" s="22" t="s">
        <v>1454</v>
      </c>
      <c r="B483" s="22" t="s">
        <v>1455</v>
      </c>
      <c r="C483" s="22" t="s">
        <v>162</v>
      </c>
      <c r="D483" s="22" t="s">
        <v>1207</v>
      </c>
      <c r="E483" s="22" t="n">
        <v>61.3</v>
      </c>
      <c r="F483" s="22" t="s">
        <v>164</v>
      </c>
    </row>
    <row r="484" customFormat="false" ht="15" hidden="false" customHeight="false" outlineLevel="0" collapsed="false">
      <c r="A484" s="22" t="s">
        <v>1456</v>
      </c>
      <c r="B484" s="22" t="s">
        <v>1457</v>
      </c>
      <c r="C484" s="22" t="s">
        <v>162</v>
      </c>
      <c r="D484" s="22" t="s">
        <v>717</v>
      </c>
      <c r="E484" s="22" t="n">
        <v>22.1</v>
      </c>
      <c r="F484" s="22" t="s">
        <v>159</v>
      </c>
    </row>
    <row r="485" customFormat="false" ht="15" hidden="false" customHeight="false" outlineLevel="0" collapsed="false">
      <c r="A485" s="22" t="s">
        <v>1458</v>
      </c>
      <c r="B485" s="22" t="s">
        <v>1459</v>
      </c>
      <c r="C485" s="22" t="s">
        <v>162</v>
      </c>
      <c r="D485" s="22" t="s">
        <v>1460</v>
      </c>
      <c r="E485" s="22" t="n">
        <v>53.1</v>
      </c>
      <c r="F485" s="22" t="s">
        <v>164</v>
      </c>
    </row>
    <row r="486" customFormat="false" ht="15" hidden="false" customHeight="false" outlineLevel="0" collapsed="false">
      <c r="A486" s="22" t="s">
        <v>1461</v>
      </c>
      <c r="B486" s="22" t="s">
        <v>1462</v>
      </c>
      <c r="C486" s="22" t="s">
        <v>162</v>
      </c>
      <c r="D486" s="22" t="s">
        <v>1463</v>
      </c>
      <c r="E486" s="22" t="n">
        <v>51.5</v>
      </c>
      <c r="F486" s="22" t="s">
        <v>175</v>
      </c>
    </row>
    <row r="487" customFormat="false" ht="15" hidden="false" customHeight="false" outlineLevel="0" collapsed="false">
      <c r="A487" s="22" t="s">
        <v>1464</v>
      </c>
      <c r="B487" s="22" t="s">
        <v>1465</v>
      </c>
      <c r="C487" s="22" t="s">
        <v>162</v>
      </c>
      <c r="D487" s="22" t="s">
        <v>621</v>
      </c>
      <c r="E487" s="22" t="n">
        <v>42.1</v>
      </c>
      <c r="F487" s="22" t="s">
        <v>164</v>
      </c>
    </row>
    <row r="488" customFormat="false" ht="15" hidden="false" customHeight="false" outlineLevel="0" collapsed="false">
      <c r="A488" s="22" t="s">
        <v>1466</v>
      </c>
      <c r="B488" s="22" t="s">
        <v>1467</v>
      </c>
      <c r="C488" s="22" t="s">
        <v>162</v>
      </c>
      <c r="D488" s="22" t="s">
        <v>784</v>
      </c>
      <c r="E488" s="22" t="n">
        <v>42.3</v>
      </c>
      <c r="F488" s="22" t="s">
        <v>171</v>
      </c>
    </row>
    <row r="489" customFormat="false" ht="15" hidden="false" customHeight="false" outlineLevel="0" collapsed="false">
      <c r="A489" s="22" t="s">
        <v>1468</v>
      </c>
      <c r="B489" s="22" t="s">
        <v>1469</v>
      </c>
      <c r="C489" s="22" t="s">
        <v>162</v>
      </c>
      <c r="D489" s="22" t="s">
        <v>835</v>
      </c>
      <c r="E489" s="22" t="n">
        <v>43.8</v>
      </c>
      <c r="F489" s="22" t="s">
        <v>159</v>
      </c>
    </row>
    <row r="490" customFormat="false" ht="15" hidden="false" customHeight="false" outlineLevel="0" collapsed="false">
      <c r="A490" s="22" t="s">
        <v>1470</v>
      </c>
      <c r="B490" s="22" t="s">
        <v>1471</v>
      </c>
      <c r="C490" s="22" t="s">
        <v>162</v>
      </c>
      <c r="D490" s="22" t="s">
        <v>967</v>
      </c>
      <c r="E490" s="22" t="n">
        <v>26.8</v>
      </c>
      <c r="F490" s="22" t="s">
        <v>175</v>
      </c>
    </row>
    <row r="491" customFormat="false" ht="15" hidden="false" customHeight="false" outlineLevel="0" collapsed="false">
      <c r="A491" s="22" t="s">
        <v>1472</v>
      </c>
      <c r="B491" s="22" t="s">
        <v>1473</v>
      </c>
      <c r="C491" s="22" t="s">
        <v>162</v>
      </c>
      <c r="D491" s="22" t="s">
        <v>1474</v>
      </c>
      <c r="E491" s="22" t="n">
        <v>34</v>
      </c>
      <c r="F491" s="22" t="s">
        <v>159</v>
      </c>
    </row>
    <row r="492" customFormat="false" ht="15" hidden="false" customHeight="false" outlineLevel="0" collapsed="false">
      <c r="A492" s="22" t="s">
        <v>1475</v>
      </c>
      <c r="B492" s="22" t="s">
        <v>1476</v>
      </c>
      <c r="C492" s="22" t="s">
        <v>162</v>
      </c>
      <c r="D492" s="22" t="s">
        <v>1477</v>
      </c>
      <c r="E492" s="22" t="n">
        <v>38.2</v>
      </c>
      <c r="F492" s="22" t="s">
        <v>164</v>
      </c>
    </row>
    <row r="493" customFormat="false" ht="15" hidden="false" customHeight="false" outlineLevel="0" collapsed="false">
      <c r="A493" s="22" t="s">
        <v>1478</v>
      </c>
      <c r="B493" s="22" t="s">
        <v>1479</v>
      </c>
      <c r="C493" s="22" t="s">
        <v>162</v>
      </c>
      <c r="D493" s="22" t="s">
        <v>364</v>
      </c>
      <c r="E493" s="22" t="n">
        <v>58.2</v>
      </c>
      <c r="F493" s="22" t="s">
        <v>198</v>
      </c>
    </row>
    <row r="494" customFormat="false" ht="15" hidden="false" customHeight="false" outlineLevel="0" collapsed="false">
      <c r="A494" s="22" t="s">
        <v>1480</v>
      </c>
      <c r="B494" s="22" t="s">
        <v>1481</v>
      </c>
      <c r="C494" s="22" t="s">
        <v>162</v>
      </c>
      <c r="D494" s="22" t="s">
        <v>1181</v>
      </c>
      <c r="E494" s="22" t="n">
        <v>18.4</v>
      </c>
      <c r="F494" s="22" t="s">
        <v>159</v>
      </c>
    </row>
    <row r="495" customFormat="false" ht="15" hidden="false" customHeight="false" outlineLevel="0" collapsed="false">
      <c r="A495" s="22" t="s">
        <v>1482</v>
      </c>
      <c r="B495" s="22" t="s">
        <v>1483</v>
      </c>
      <c r="C495" s="22" t="s">
        <v>162</v>
      </c>
      <c r="D495" s="22" t="s">
        <v>1484</v>
      </c>
      <c r="E495" s="22" t="n">
        <v>43.9</v>
      </c>
      <c r="F495" s="22" t="s">
        <v>175</v>
      </c>
    </row>
    <row r="496" customFormat="false" ht="15" hidden="false" customHeight="false" outlineLevel="0" collapsed="false">
      <c r="A496" s="22" t="s">
        <v>1485</v>
      </c>
      <c r="B496" s="22" t="s">
        <v>1486</v>
      </c>
      <c r="C496" s="22" t="s">
        <v>162</v>
      </c>
      <c r="D496" s="22" t="s">
        <v>1428</v>
      </c>
      <c r="E496" s="22" t="n">
        <v>55.5</v>
      </c>
      <c r="F496" s="22" t="s">
        <v>164</v>
      </c>
    </row>
    <row r="497" customFormat="false" ht="15" hidden="false" customHeight="false" outlineLevel="0" collapsed="false">
      <c r="A497" s="22" t="s">
        <v>1487</v>
      </c>
      <c r="B497" s="22" t="s">
        <v>1488</v>
      </c>
      <c r="C497" s="22" t="s">
        <v>162</v>
      </c>
      <c r="D497" s="22" t="s">
        <v>1489</v>
      </c>
      <c r="E497" s="22" t="n">
        <v>52.7</v>
      </c>
      <c r="F497" s="22" t="s">
        <v>198</v>
      </c>
    </row>
    <row r="498" customFormat="false" ht="15" hidden="false" customHeight="false" outlineLevel="0" collapsed="false">
      <c r="A498" s="22" t="s">
        <v>1490</v>
      </c>
      <c r="B498" s="22" t="s">
        <v>1491</v>
      </c>
      <c r="C498" s="22" t="s">
        <v>162</v>
      </c>
      <c r="D498" s="22" t="s">
        <v>1034</v>
      </c>
      <c r="E498" s="22" t="n">
        <v>58.7</v>
      </c>
      <c r="F498" s="22" t="s">
        <v>198</v>
      </c>
    </row>
    <row r="499" customFormat="false" ht="15" hidden="false" customHeight="false" outlineLevel="0" collapsed="false">
      <c r="A499" s="22" t="s">
        <v>1492</v>
      </c>
      <c r="B499" s="22" t="s">
        <v>1493</v>
      </c>
      <c r="C499" s="22" t="s">
        <v>157</v>
      </c>
      <c r="D499" s="22" t="s">
        <v>570</v>
      </c>
      <c r="E499" s="22" t="n">
        <v>41.3</v>
      </c>
      <c r="F499" s="22" t="s">
        <v>175</v>
      </c>
    </row>
    <row r="500" customFormat="false" ht="15" hidden="false" customHeight="false" outlineLevel="0" collapsed="false">
      <c r="A500" s="22" t="s">
        <v>1494</v>
      </c>
      <c r="B500" s="22" t="s">
        <v>1495</v>
      </c>
      <c r="C500" s="22" t="s">
        <v>162</v>
      </c>
      <c r="D500" s="22" t="s">
        <v>1496</v>
      </c>
      <c r="E500" s="22" t="n">
        <v>61.9</v>
      </c>
      <c r="F500" s="22" t="s">
        <v>175</v>
      </c>
    </row>
    <row r="501" customFormat="false" ht="15" hidden="false" customHeight="false" outlineLevel="0" collapsed="false">
      <c r="A501" s="22" t="s">
        <v>1497</v>
      </c>
      <c r="B501" s="22" t="s">
        <v>1498</v>
      </c>
      <c r="C501" s="22" t="s">
        <v>162</v>
      </c>
      <c r="D501" s="22" t="s">
        <v>1499</v>
      </c>
      <c r="E501" s="22" t="n">
        <v>25.2</v>
      </c>
      <c r="F501" s="22" t="s">
        <v>159</v>
      </c>
    </row>
    <row r="502" customFormat="false" ht="15" hidden="false" customHeight="false" outlineLevel="0" collapsed="false">
      <c r="A502" s="22" t="s">
        <v>1500</v>
      </c>
      <c r="B502" s="22" t="s">
        <v>1501</v>
      </c>
      <c r="C502" s="22" t="s">
        <v>162</v>
      </c>
      <c r="D502" s="22" t="s">
        <v>1502</v>
      </c>
      <c r="E502" s="22" t="n">
        <v>47</v>
      </c>
      <c r="F502" s="22" t="s">
        <v>171</v>
      </c>
    </row>
    <row r="503" customFormat="false" ht="15" hidden="false" customHeight="false" outlineLevel="0" collapsed="false">
      <c r="A503" s="22" t="s">
        <v>1503</v>
      </c>
      <c r="B503" s="22" t="s">
        <v>1504</v>
      </c>
      <c r="C503" s="22" t="s">
        <v>162</v>
      </c>
      <c r="D503" s="22" t="s">
        <v>1505</v>
      </c>
      <c r="E503" s="22" t="n">
        <v>36</v>
      </c>
      <c r="F503" s="22" t="s">
        <v>164</v>
      </c>
    </row>
    <row r="504" customFormat="false" ht="15" hidden="false" customHeight="false" outlineLevel="0" collapsed="false">
      <c r="A504" s="22" t="s">
        <v>1506</v>
      </c>
      <c r="B504" s="22" t="s">
        <v>1507</v>
      </c>
      <c r="C504" s="22" t="s">
        <v>162</v>
      </c>
      <c r="D504" s="22" t="s">
        <v>1508</v>
      </c>
      <c r="E504" s="22" t="n">
        <v>61.1</v>
      </c>
      <c r="F504" s="22" t="s">
        <v>198</v>
      </c>
    </row>
    <row r="505" customFormat="false" ht="15" hidden="false" customHeight="false" outlineLevel="0" collapsed="false">
      <c r="A505" s="22" t="s">
        <v>1509</v>
      </c>
      <c r="B505" s="22" t="s">
        <v>1510</v>
      </c>
      <c r="C505" s="22" t="s">
        <v>162</v>
      </c>
      <c r="D505" s="22" t="s">
        <v>463</v>
      </c>
      <c r="E505" s="22" t="n">
        <v>32.6</v>
      </c>
      <c r="F505" s="22" t="s">
        <v>175</v>
      </c>
    </row>
    <row r="506" customFormat="false" ht="15" hidden="false" customHeight="false" outlineLevel="0" collapsed="false">
      <c r="A506" s="22" t="s">
        <v>1511</v>
      </c>
      <c r="B506" s="22" t="s">
        <v>1512</v>
      </c>
      <c r="C506" s="22" t="s">
        <v>162</v>
      </c>
      <c r="D506" s="22" t="s">
        <v>1146</v>
      </c>
      <c r="E506" s="22" t="n">
        <v>32.8</v>
      </c>
      <c r="F506" s="22" t="s">
        <v>159</v>
      </c>
    </row>
    <row r="507" customFormat="false" ht="15" hidden="false" customHeight="false" outlineLevel="0" collapsed="false">
      <c r="A507" s="22" t="s">
        <v>1513</v>
      </c>
      <c r="B507" s="22" t="s">
        <v>1514</v>
      </c>
      <c r="C507" s="22" t="s">
        <v>162</v>
      </c>
      <c r="D507" s="22" t="s">
        <v>648</v>
      </c>
      <c r="E507" s="22" t="n">
        <v>29.9</v>
      </c>
      <c r="F507" s="22" t="s">
        <v>175</v>
      </c>
    </row>
    <row r="508" customFormat="false" ht="15" hidden="false" customHeight="false" outlineLevel="0" collapsed="false">
      <c r="A508" s="22" t="s">
        <v>1515</v>
      </c>
      <c r="B508" s="22" t="s">
        <v>1516</v>
      </c>
      <c r="C508" s="22" t="s">
        <v>566</v>
      </c>
      <c r="D508" s="22" t="s">
        <v>1517</v>
      </c>
      <c r="E508" s="22" t="n">
        <v>33.2</v>
      </c>
      <c r="F508" s="22" t="s">
        <v>198</v>
      </c>
    </row>
    <row r="509" customFormat="false" ht="15" hidden="false" customHeight="false" outlineLevel="0" collapsed="false">
      <c r="A509" s="22" t="s">
        <v>1518</v>
      </c>
      <c r="B509" s="22" t="s">
        <v>1519</v>
      </c>
      <c r="C509" s="22" t="s">
        <v>162</v>
      </c>
      <c r="D509" s="22" t="s">
        <v>1232</v>
      </c>
      <c r="E509" s="22" t="n">
        <v>44.4</v>
      </c>
      <c r="F509" s="22" t="s">
        <v>159</v>
      </c>
    </row>
    <row r="510" customFormat="false" ht="15" hidden="false" customHeight="false" outlineLevel="0" collapsed="false">
      <c r="A510" s="22" t="s">
        <v>1520</v>
      </c>
      <c r="B510" s="22" t="s">
        <v>1521</v>
      </c>
      <c r="C510" s="22" t="s">
        <v>162</v>
      </c>
      <c r="D510" s="22" t="s">
        <v>466</v>
      </c>
      <c r="E510" s="22" t="n">
        <v>40.2</v>
      </c>
      <c r="F510" s="22" t="s">
        <v>198</v>
      </c>
    </row>
    <row r="511" customFormat="false" ht="15" hidden="false" customHeight="false" outlineLevel="0" collapsed="false">
      <c r="A511" s="22" t="s">
        <v>1522</v>
      </c>
      <c r="B511" s="22" t="s">
        <v>1523</v>
      </c>
      <c r="C511" s="22" t="s">
        <v>162</v>
      </c>
      <c r="D511" s="22" t="s">
        <v>629</v>
      </c>
      <c r="E511" s="22" t="n">
        <v>32.4</v>
      </c>
      <c r="F511" s="22" t="s">
        <v>198</v>
      </c>
    </row>
    <row r="512" customFormat="false" ht="15" hidden="false" customHeight="false" outlineLevel="0" collapsed="false">
      <c r="A512" s="22" t="s">
        <v>1524</v>
      </c>
      <c r="B512" s="22" t="s">
        <v>1525</v>
      </c>
      <c r="C512" s="22" t="s">
        <v>162</v>
      </c>
      <c r="D512" s="22" t="s">
        <v>352</v>
      </c>
      <c r="E512" s="22" t="n">
        <v>51.6</v>
      </c>
      <c r="F512" s="22" t="s">
        <v>159</v>
      </c>
    </row>
    <row r="513" customFormat="false" ht="15" hidden="false" customHeight="false" outlineLevel="0" collapsed="false">
      <c r="A513" s="22" t="s">
        <v>1526</v>
      </c>
      <c r="B513" s="22" t="s">
        <v>1527</v>
      </c>
      <c r="C513" s="22" t="s">
        <v>162</v>
      </c>
      <c r="D513" s="22" t="s">
        <v>349</v>
      </c>
      <c r="E513" s="22" t="n">
        <v>19</v>
      </c>
      <c r="F513" s="22" t="s">
        <v>175</v>
      </c>
    </row>
    <row r="514" customFormat="false" ht="15" hidden="false" customHeight="false" outlineLevel="0" collapsed="false">
      <c r="A514" s="22" t="s">
        <v>1528</v>
      </c>
      <c r="B514" s="22" t="s">
        <v>1529</v>
      </c>
      <c r="C514" s="22" t="s">
        <v>162</v>
      </c>
      <c r="D514" s="22" t="s">
        <v>871</v>
      </c>
      <c r="E514" s="22" t="n">
        <v>47.3</v>
      </c>
      <c r="F514" s="22" t="s">
        <v>198</v>
      </c>
    </row>
    <row r="515" customFormat="false" ht="15" hidden="false" customHeight="false" outlineLevel="0" collapsed="false">
      <c r="A515" s="22" t="s">
        <v>1530</v>
      </c>
      <c r="B515" s="22" t="s">
        <v>1531</v>
      </c>
      <c r="C515" s="22" t="s">
        <v>162</v>
      </c>
      <c r="D515" s="22" t="s">
        <v>1532</v>
      </c>
      <c r="E515" s="22" t="n">
        <v>23</v>
      </c>
      <c r="F515" s="22" t="s">
        <v>164</v>
      </c>
    </row>
    <row r="516" customFormat="false" ht="15" hidden="false" customHeight="false" outlineLevel="0" collapsed="false">
      <c r="A516" s="22" t="s">
        <v>1533</v>
      </c>
      <c r="B516" s="22" t="s">
        <v>1534</v>
      </c>
      <c r="C516" s="22" t="s">
        <v>162</v>
      </c>
      <c r="D516" s="22" t="s">
        <v>1535</v>
      </c>
      <c r="E516" s="22" t="n">
        <v>50.3</v>
      </c>
      <c r="F516" s="22" t="s">
        <v>171</v>
      </c>
    </row>
    <row r="517" customFormat="false" ht="15" hidden="false" customHeight="false" outlineLevel="0" collapsed="false">
      <c r="A517" s="22" t="s">
        <v>1536</v>
      </c>
      <c r="B517" s="22" t="s">
        <v>1537</v>
      </c>
      <c r="C517" s="22" t="s">
        <v>162</v>
      </c>
      <c r="D517" s="22" t="s">
        <v>1538</v>
      </c>
      <c r="E517" s="22" t="n">
        <v>38</v>
      </c>
      <c r="F517" s="22" t="s">
        <v>164</v>
      </c>
    </row>
    <row r="518" customFormat="false" ht="15" hidden="false" customHeight="false" outlineLevel="0" collapsed="false">
      <c r="A518" s="22" t="s">
        <v>1539</v>
      </c>
      <c r="B518" s="22" t="s">
        <v>1540</v>
      </c>
      <c r="C518" s="22" t="s">
        <v>162</v>
      </c>
      <c r="D518" s="22" t="s">
        <v>1175</v>
      </c>
      <c r="E518" s="22" t="n">
        <v>19.8</v>
      </c>
      <c r="F518" s="22" t="s">
        <v>175</v>
      </c>
    </row>
    <row r="519" customFormat="false" ht="15" hidden="false" customHeight="false" outlineLevel="0" collapsed="false">
      <c r="A519" s="22" t="s">
        <v>1541</v>
      </c>
      <c r="B519" s="22" t="s">
        <v>1542</v>
      </c>
      <c r="C519" s="22" t="s">
        <v>162</v>
      </c>
      <c r="D519" s="22" t="s">
        <v>703</v>
      </c>
      <c r="E519" s="22" t="n">
        <v>40.7</v>
      </c>
      <c r="F519" s="22" t="s">
        <v>164</v>
      </c>
    </row>
    <row r="520" customFormat="false" ht="15" hidden="false" customHeight="false" outlineLevel="0" collapsed="false">
      <c r="A520" s="22" t="s">
        <v>1543</v>
      </c>
      <c r="B520" s="22" t="s">
        <v>1544</v>
      </c>
      <c r="C520" s="22" t="s">
        <v>162</v>
      </c>
      <c r="D520" s="22" t="s">
        <v>1545</v>
      </c>
      <c r="E520" s="22" t="n">
        <v>39.4</v>
      </c>
      <c r="F520" s="22" t="s">
        <v>164</v>
      </c>
    </row>
    <row r="521" customFormat="false" ht="15" hidden="false" customHeight="false" outlineLevel="0" collapsed="false">
      <c r="A521" s="22" t="s">
        <v>1546</v>
      </c>
      <c r="B521" s="22" t="s">
        <v>1547</v>
      </c>
      <c r="C521" s="22" t="s">
        <v>162</v>
      </c>
      <c r="D521" s="22" t="s">
        <v>1548</v>
      </c>
      <c r="E521" s="22" t="n">
        <v>32.2</v>
      </c>
      <c r="F521" s="22" t="s">
        <v>171</v>
      </c>
    </row>
    <row r="522" customFormat="false" ht="15" hidden="false" customHeight="false" outlineLevel="0" collapsed="false">
      <c r="A522" s="22" t="s">
        <v>1549</v>
      </c>
      <c r="B522" s="22" t="s">
        <v>1550</v>
      </c>
      <c r="C522" s="22" t="s">
        <v>162</v>
      </c>
      <c r="D522" s="22" t="s">
        <v>959</v>
      </c>
      <c r="E522" s="22" t="n">
        <v>52.1</v>
      </c>
      <c r="F522" s="22" t="s">
        <v>171</v>
      </c>
    </row>
    <row r="523" customFormat="false" ht="15" hidden="false" customHeight="false" outlineLevel="0" collapsed="false">
      <c r="A523" s="22" t="s">
        <v>1551</v>
      </c>
      <c r="B523" s="22" t="s">
        <v>1552</v>
      </c>
      <c r="C523" s="22" t="s">
        <v>162</v>
      </c>
      <c r="D523" s="22" t="s">
        <v>1553</v>
      </c>
      <c r="E523" s="22" t="n">
        <v>19.6</v>
      </c>
      <c r="F523" s="22" t="s">
        <v>159</v>
      </c>
    </row>
    <row r="524" customFormat="false" ht="15" hidden="false" customHeight="false" outlineLevel="0" collapsed="false">
      <c r="A524" s="22" t="s">
        <v>1554</v>
      </c>
      <c r="B524" s="22" t="s">
        <v>1555</v>
      </c>
      <c r="C524" s="22" t="s">
        <v>207</v>
      </c>
      <c r="D524" s="22" t="s">
        <v>1556</v>
      </c>
      <c r="E524" s="22" t="n">
        <v>49.4</v>
      </c>
      <c r="F524" s="22" t="s">
        <v>164</v>
      </c>
    </row>
    <row r="525" customFormat="false" ht="15" hidden="false" customHeight="false" outlineLevel="0" collapsed="false">
      <c r="A525" s="22" t="s">
        <v>1557</v>
      </c>
      <c r="B525" s="22" t="s">
        <v>1558</v>
      </c>
      <c r="C525" s="22" t="s">
        <v>162</v>
      </c>
      <c r="D525" s="22" t="s">
        <v>1262</v>
      </c>
      <c r="E525" s="22" t="n">
        <v>60.8</v>
      </c>
      <c r="F525" s="22" t="s">
        <v>215</v>
      </c>
    </row>
    <row r="526" customFormat="false" ht="15" hidden="false" customHeight="false" outlineLevel="0" collapsed="false">
      <c r="A526" s="22" t="s">
        <v>1559</v>
      </c>
      <c r="B526" s="22" t="s">
        <v>1560</v>
      </c>
      <c r="C526" s="22" t="s">
        <v>162</v>
      </c>
      <c r="D526" s="22" t="s">
        <v>266</v>
      </c>
      <c r="E526" s="22" t="n">
        <v>36.7</v>
      </c>
      <c r="F526" s="22" t="s">
        <v>164</v>
      </c>
    </row>
    <row r="527" customFormat="false" ht="15" hidden="false" customHeight="false" outlineLevel="0" collapsed="false">
      <c r="A527" s="22" t="s">
        <v>1561</v>
      </c>
      <c r="B527" s="22" t="s">
        <v>1562</v>
      </c>
      <c r="C527" s="22" t="s">
        <v>207</v>
      </c>
      <c r="D527" s="22" t="s">
        <v>1563</v>
      </c>
      <c r="E527" s="22" t="n">
        <v>27.9</v>
      </c>
      <c r="F527" s="22" t="s">
        <v>164</v>
      </c>
    </row>
    <row r="528" customFormat="false" ht="15" hidden="false" customHeight="false" outlineLevel="0" collapsed="false">
      <c r="A528" s="22" t="s">
        <v>1564</v>
      </c>
      <c r="B528" s="22" t="s">
        <v>1565</v>
      </c>
      <c r="C528" s="22" t="s">
        <v>162</v>
      </c>
      <c r="D528" s="22" t="s">
        <v>525</v>
      </c>
      <c r="E528" s="22" t="n">
        <v>40.9</v>
      </c>
      <c r="F528" s="22" t="s">
        <v>164</v>
      </c>
    </row>
    <row r="529" customFormat="false" ht="15" hidden="false" customHeight="false" outlineLevel="0" collapsed="false">
      <c r="A529" s="22" t="s">
        <v>1566</v>
      </c>
      <c r="B529" s="22" t="s">
        <v>1567</v>
      </c>
      <c r="C529" s="22" t="s">
        <v>162</v>
      </c>
      <c r="D529" s="22" t="s">
        <v>899</v>
      </c>
      <c r="E529" s="22" t="n">
        <v>29.3</v>
      </c>
      <c r="F529" s="22" t="s">
        <v>198</v>
      </c>
    </row>
    <row r="530" customFormat="false" ht="15" hidden="false" customHeight="false" outlineLevel="0" collapsed="false">
      <c r="A530" s="22" t="s">
        <v>1568</v>
      </c>
      <c r="B530" s="22" t="s">
        <v>1569</v>
      </c>
      <c r="C530" s="22" t="s">
        <v>162</v>
      </c>
      <c r="D530" s="22" t="s">
        <v>1438</v>
      </c>
      <c r="E530" s="22" t="n">
        <v>27.4</v>
      </c>
      <c r="F530" s="22" t="s">
        <v>198</v>
      </c>
    </row>
    <row r="531" customFormat="false" ht="15" hidden="false" customHeight="false" outlineLevel="0" collapsed="false">
      <c r="A531" s="22" t="s">
        <v>1570</v>
      </c>
      <c r="B531" s="22" t="s">
        <v>1571</v>
      </c>
      <c r="C531" s="22" t="s">
        <v>162</v>
      </c>
      <c r="D531" s="22" t="s">
        <v>1572</v>
      </c>
      <c r="E531" s="22" t="n">
        <v>32.4</v>
      </c>
      <c r="F531" s="22" t="s">
        <v>159</v>
      </c>
    </row>
    <row r="532" customFormat="false" ht="15" hidden="false" customHeight="false" outlineLevel="0" collapsed="false">
      <c r="A532" s="22" t="s">
        <v>1573</v>
      </c>
      <c r="B532" s="22" t="s">
        <v>1574</v>
      </c>
      <c r="C532" s="22" t="s">
        <v>162</v>
      </c>
      <c r="D532" s="22" t="s">
        <v>608</v>
      </c>
      <c r="E532" s="22" t="n">
        <v>46.1</v>
      </c>
      <c r="F532" s="22" t="s">
        <v>164</v>
      </c>
    </row>
    <row r="533" customFormat="false" ht="15" hidden="false" customHeight="false" outlineLevel="0" collapsed="false">
      <c r="A533" s="22" t="s">
        <v>1575</v>
      </c>
      <c r="B533" s="22" t="s">
        <v>1576</v>
      </c>
      <c r="C533" s="22" t="s">
        <v>162</v>
      </c>
      <c r="D533" s="22" t="s">
        <v>477</v>
      </c>
      <c r="E533" s="22" t="n">
        <v>25.9</v>
      </c>
      <c r="F533" s="22" t="s">
        <v>198</v>
      </c>
    </row>
    <row r="534" customFormat="false" ht="15" hidden="false" customHeight="false" outlineLevel="0" collapsed="false">
      <c r="A534" s="22" t="s">
        <v>1577</v>
      </c>
      <c r="B534" s="22" t="s">
        <v>1578</v>
      </c>
      <c r="C534" s="22" t="s">
        <v>162</v>
      </c>
      <c r="D534" s="22" t="s">
        <v>1579</v>
      </c>
      <c r="E534" s="22" t="n">
        <v>38.7</v>
      </c>
      <c r="F534" s="22" t="s">
        <v>175</v>
      </c>
    </row>
    <row r="535" customFormat="false" ht="15" hidden="false" customHeight="false" outlineLevel="0" collapsed="false">
      <c r="A535" s="22" t="s">
        <v>1580</v>
      </c>
      <c r="B535" s="22" t="s">
        <v>1581</v>
      </c>
      <c r="C535" s="22" t="s">
        <v>162</v>
      </c>
      <c r="D535" s="22" t="s">
        <v>386</v>
      </c>
      <c r="E535" s="22" t="n">
        <v>27.6</v>
      </c>
      <c r="F535" s="22" t="s">
        <v>198</v>
      </c>
    </row>
    <row r="536" customFormat="false" ht="15" hidden="false" customHeight="false" outlineLevel="0" collapsed="false">
      <c r="A536" s="22" t="s">
        <v>1582</v>
      </c>
      <c r="B536" s="22" t="s">
        <v>1583</v>
      </c>
      <c r="C536" s="22" t="s">
        <v>162</v>
      </c>
      <c r="D536" s="22" t="s">
        <v>1505</v>
      </c>
      <c r="E536" s="22" t="n">
        <v>33.3</v>
      </c>
      <c r="F536" s="22" t="s">
        <v>164</v>
      </c>
    </row>
    <row r="537" customFormat="false" ht="15" hidden="false" customHeight="false" outlineLevel="0" collapsed="false">
      <c r="A537" s="22" t="s">
        <v>1584</v>
      </c>
      <c r="B537" s="22" t="s">
        <v>1585</v>
      </c>
      <c r="C537" s="22" t="s">
        <v>162</v>
      </c>
      <c r="D537" s="22" t="s">
        <v>1438</v>
      </c>
      <c r="E537" s="22" t="n">
        <v>24.9</v>
      </c>
      <c r="F537" s="22" t="s">
        <v>171</v>
      </c>
    </row>
    <row r="538" customFormat="false" ht="15" hidden="false" customHeight="false" outlineLevel="0" collapsed="false">
      <c r="A538" s="22" t="s">
        <v>1586</v>
      </c>
      <c r="B538" s="22" t="s">
        <v>1587</v>
      </c>
      <c r="C538" s="22" t="s">
        <v>207</v>
      </c>
      <c r="D538" s="22" t="s">
        <v>1326</v>
      </c>
      <c r="E538" s="22" t="n">
        <v>21.6</v>
      </c>
      <c r="F538" s="22" t="s">
        <v>175</v>
      </c>
    </row>
    <row r="539" customFormat="false" ht="15" hidden="false" customHeight="false" outlineLevel="0" collapsed="false">
      <c r="A539" s="22" t="s">
        <v>1588</v>
      </c>
      <c r="B539" s="22" t="s">
        <v>1589</v>
      </c>
      <c r="C539" s="22" t="s">
        <v>162</v>
      </c>
      <c r="D539" s="22" t="s">
        <v>1590</v>
      </c>
      <c r="E539" s="22" t="n">
        <v>27.9</v>
      </c>
      <c r="F539" s="22" t="s">
        <v>198</v>
      </c>
    </row>
    <row r="540" customFormat="false" ht="15" hidden="false" customHeight="false" outlineLevel="0" collapsed="false">
      <c r="A540" s="22" t="s">
        <v>1591</v>
      </c>
      <c r="B540" s="22" t="s">
        <v>1592</v>
      </c>
      <c r="C540" s="22" t="s">
        <v>162</v>
      </c>
      <c r="D540" s="22" t="s">
        <v>379</v>
      </c>
      <c r="E540" s="22" t="n">
        <v>37.3</v>
      </c>
      <c r="F540" s="22" t="s">
        <v>164</v>
      </c>
    </row>
    <row r="541" customFormat="false" ht="15" hidden="false" customHeight="false" outlineLevel="0" collapsed="false">
      <c r="A541" s="22" t="s">
        <v>1593</v>
      </c>
      <c r="B541" s="22" t="s">
        <v>1594</v>
      </c>
      <c r="C541" s="22" t="s">
        <v>162</v>
      </c>
      <c r="D541" s="22" t="s">
        <v>1383</v>
      </c>
      <c r="E541" s="22" t="n">
        <v>60.8</v>
      </c>
      <c r="F541" s="22" t="s">
        <v>164</v>
      </c>
    </row>
    <row r="542" customFormat="false" ht="15" hidden="false" customHeight="false" outlineLevel="0" collapsed="false">
      <c r="A542" s="22" t="s">
        <v>1595</v>
      </c>
      <c r="B542" s="22" t="s">
        <v>1596</v>
      </c>
      <c r="C542" s="22" t="s">
        <v>162</v>
      </c>
      <c r="D542" s="22" t="s">
        <v>422</v>
      </c>
      <c r="E542" s="22" t="n">
        <v>29.8</v>
      </c>
      <c r="F542" s="22" t="s">
        <v>215</v>
      </c>
    </row>
    <row r="543" customFormat="false" ht="15" hidden="false" customHeight="false" outlineLevel="0" collapsed="false">
      <c r="A543" s="22" t="s">
        <v>1597</v>
      </c>
      <c r="B543" s="22" t="s">
        <v>1598</v>
      </c>
      <c r="C543" s="22" t="s">
        <v>157</v>
      </c>
      <c r="D543" s="22" t="s">
        <v>1153</v>
      </c>
      <c r="E543" s="22" t="n">
        <v>41.1</v>
      </c>
      <c r="F543" s="22" t="s">
        <v>171</v>
      </c>
    </row>
    <row r="544" customFormat="false" ht="15" hidden="false" customHeight="false" outlineLevel="0" collapsed="false">
      <c r="A544" s="22" t="s">
        <v>1599</v>
      </c>
      <c r="B544" s="22" t="s">
        <v>1600</v>
      </c>
      <c r="C544" s="22" t="s">
        <v>162</v>
      </c>
      <c r="D544" s="22" t="s">
        <v>1307</v>
      </c>
      <c r="E544" s="22" t="n">
        <v>27.2</v>
      </c>
      <c r="F544" s="22" t="s">
        <v>175</v>
      </c>
    </row>
    <row r="545" customFormat="false" ht="15" hidden="false" customHeight="false" outlineLevel="0" collapsed="false">
      <c r="A545" s="22" t="s">
        <v>1601</v>
      </c>
      <c r="B545" s="22" t="s">
        <v>1602</v>
      </c>
      <c r="C545" s="22" t="s">
        <v>162</v>
      </c>
      <c r="D545" s="22" t="s">
        <v>1603</v>
      </c>
      <c r="E545" s="22" t="n">
        <v>40.7</v>
      </c>
      <c r="F545" s="22" t="s">
        <v>171</v>
      </c>
    </row>
    <row r="546" customFormat="false" ht="15" hidden="false" customHeight="false" outlineLevel="0" collapsed="false">
      <c r="A546" s="22" t="s">
        <v>1604</v>
      </c>
      <c r="B546" s="22" t="s">
        <v>1605</v>
      </c>
      <c r="C546" s="22" t="s">
        <v>162</v>
      </c>
      <c r="D546" s="22" t="s">
        <v>538</v>
      </c>
      <c r="E546" s="22" t="n">
        <v>21.1</v>
      </c>
      <c r="F546" s="22" t="s">
        <v>175</v>
      </c>
    </row>
    <row r="547" customFormat="false" ht="15" hidden="false" customHeight="false" outlineLevel="0" collapsed="false">
      <c r="A547" s="22" t="s">
        <v>1606</v>
      </c>
      <c r="B547" s="22" t="s">
        <v>1607</v>
      </c>
      <c r="C547" s="22" t="s">
        <v>162</v>
      </c>
      <c r="D547" s="22" t="s">
        <v>1105</v>
      </c>
      <c r="E547" s="22" t="n">
        <v>49.9</v>
      </c>
      <c r="F547" s="22" t="s">
        <v>188</v>
      </c>
    </row>
    <row r="548" customFormat="false" ht="15" hidden="false" customHeight="false" outlineLevel="0" collapsed="false">
      <c r="A548" s="22" t="s">
        <v>1608</v>
      </c>
      <c r="B548" s="22" t="s">
        <v>1609</v>
      </c>
      <c r="C548" s="22" t="s">
        <v>162</v>
      </c>
      <c r="D548" s="22" t="s">
        <v>355</v>
      </c>
      <c r="E548" s="22" t="n">
        <v>34.2</v>
      </c>
      <c r="F548" s="22" t="s">
        <v>164</v>
      </c>
    </row>
    <row r="549" customFormat="false" ht="15" hidden="false" customHeight="false" outlineLevel="0" collapsed="false">
      <c r="A549" s="22" t="s">
        <v>1610</v>
      </c>
      <c r="B549" s="22" t="s">
        <v>1341</v>
      </c>
      <c r="C549" s="22" t="s">
        <v>162</v>
      </c>
      <c r="D549" s="22" t="s">
        <v>1611</v>
      </c>
      <c r="E549" s="22" t="n">
        <v>19.9</v>
      </c>
      <c r="F549" s="22" t="s">
        <v>198</v>
      </c>
    </row>
    <row r="550" customFormat="false" ht="15" hidden="false" customHeight="false" outlineLevel="0" collapsed="false">
      <c r="A550" s="22" t="s">
        <v>1612</v>
      </c>
      <c r="B550" s="22" t="s">
        <v>1613</v>
      </c>
      <c r="C550" s="22" t="s">
        <v>162</v>
      </c>
      <c r="D550" s="22" t="s">
        <v>1445</v>
      </c>
      <c r="E550" s="22" t="n">
        <v>21.4</v>
      </c>
      <c r="F550" s="22" t="s">
        <v>175</v>
      </c>
    </row>
    <row r="551" customFormat="false" ht="15" hidden="false" customHeight="false" outlineLevel="0" collapsed="false">
      <c r="A551" s="22" t="s">
        <v>1614</v>
      </c>
      <c r="B551" s="22" t="s">
        <v>1615</v>
      </c>
      <c r="C551" s="22" t="s">
        <v>162</v>
      </c>
      <c r="D551" s="22" t="s">
        <v>582</v>
      </c>
      <c r="E551" s="22" t="n">
        <v>41.8</v>
      </c>
      <c r="F551" s="22" t="s">
        <v>215</v>
      </c>
    </row>
    <row r="552" customFormat="false" ht="15" hidden="false" customHeight="false" outlineLevel="0" collapsed="false">
      <c r="A552" s="22" t="s">
        <v>1616</v>
      </c>
      <c r="B552" s="22" t="s">
        <v>1617</v>
      </c>
      <c r="C552" s="22" t="s">
        <v>162</v>
      </c>
      <c r="D552" s="22" t="s">
        <v>525</v>
      </c>
      <c r="E552" s="22" t="n">
        <v>21</v>
      </c>
      <c r="F552" s="22" t="s">
        <v>175</v>
      </c>
    </row>
    <row r="553" customFormat="false" ht="15" hidden="false" customHeight="false" outlineLevel="0" collapsed="false">
      <c r="A553" s="22" t="s">
        <v>1618</v>
      </c>
      <c r="B553" s="22" t="s">
        <v>1619</v>
      </c>
      <c r="C553" s="22" t="s">
        <v>162</v>
      </c>
      <c r="D553" s="22" t="s">
        <v>1034</v>
      </c>
      <c r="E553" s="22" t="n">
        <v>28.4</v>
      </c>
      <c r="F553" s="22" t="s">
        <v>499</v>
      </c>
    </row>
    <row r="554" customFormat="false" ht="15" hidden="false" customHeight="false" outlineLevel="0" collapsed="false">
      <c r="A554" s="22" t="s">
        <v>1620</v>
      </c>
      <c r="B554" s="22" t="s">
        <v>1621</v>
      </c>
      <c r="C554" s="22" t="s">
        <v>162</v>
      </c>
      <c r="D554" s="22" t="s">
        <v>1281</v>
      </c>
      <c r="E554" s="22" t="n">
        <v>42.3</v>
      </c>
      <c r="F554" s="22" t="s">
        <v>164</v>
      </c>
    </row>
    <row r="555" customFormat="false" ht="15" hidden="false" customHeight="false" outlineLevel="0" collapsed="false">
      <c r="A555" s="22" t="s">
        <v>1622</v>
      </c>
      <c r="B555" s="22" t="s">
        <v>1623</v>
      </c>
      <c r="C555" s="22" t="s">
        <v>162</v>
      </c>
      <c r="D555" s="22" t="s">
        <v>522</v>
      </c>
      <c r="E555" s="22" t="n">
        <v>57.4</v>
      </c>
      <c r="F555" s="22" t="s">
        <v>164</v>
      </c>
    </row>
    <row r="556" customFormat="false" ht="15" hidden="false" customHeight="false" outlineLevel="0" collapsed="false">
      <c r="A556" s="22" t="s">
        <v>1624</v>
      </c>
      <c r="B556" s="22" t="s">
        <v>1625</v>
      </c>
      <c r="C556" s="22" t="s">
        <v>207</v>
      </c>
      <c r="D556" s="22" t="s">
        <v>1626</v>
      </c>
      <c r="E556" s="22" t="n">
        <v>45.4</v>
      </c>
      <c r="F556" s="22" t="s">
        <v>171</v>
      </c>
    </row>
    <row r="557" customFormat="false" ht="15" hidden="false" customHeight="false" outlineLevel="0" collapsed="false">
      <c r="A557" s="22" t="s">
        <v>1627</v>
      </c>
      <c r="B557" s="22" t="s">
        <v>1628</v>
      </c>
      <c r="C557" s="22" t="s">
        <v>162</v>
      </c>
      <c r="D557" s="22" t="s">
        <v>1629</v>
      </c>
      <c r="E557" s="22" t="n">
        <v>56.1</v>
      </c>
      <c r="F557" s="22" t="s">
        <v>175</v>
      </c>
    </row>
    <row r="558" customFormat="false" ht="15" hidden="false" customHeight="false" outlineLevel="0" collapsed="false">
      <c r="A558" s="22" t="s">
        <v>1630</v>
      </c>
      <c r="B558" s="22" t="s">
        <v>1631</v>
      </c>
      <c r="C558" s="22" t="s">
        <v>162</v>
      </c>
      <c r="D558" s="22" t="s">
        <v>799</v>
      </c>
      <c r="E558" s="22" t="n">
        <v>54.9</v>
      </c>
      <c r="F558" s="22" t="s">
        <v>198</v>
      </c>
    </row>
    <row r="559" customFormat="false" ht="15" hidden="false" customHeight="false" outlineLevel="0" collapsed="false">
      <c r="A559" s="22" t="s">
        <v>1632</v>
      </c>
      <c r="B559" s="22" t="s">
        <v>1633</v>
      </c>
      <c r="C559" s="22" t="s">
        <v>162</v>
      </c>
      <c r="D559" s="22" t="s">
        <v>1634</v>
      </c>
      <c r="E559" s="22" t="n">
        <v>26.4</v>
      </c>
      <c r="F559" s="22" t="s">
        <v>164</v>
      </c>
    </row>
    <row r="560" customFormat="false" ht="15" hidden="false" customHeight="false" outlineLevel="0" collapsed="false">
      <c r="A560" s="22" t="s">
        <v>1635</v>
      </c>
      <c r="B560" s="22" t="s">
        <v>1636</v>
      </c>
      <c r="C560" s="22" t="s">
        <v>162</v>
      </c>
      <c r="D560" s="22" t="s">
        <v>1637</v>
      </c>
      <c r="E560" s="22" t="n">
        <v>61.7</v>
      </c>
      <c r="F560" s="22" t="s">
        <v>175</v>
      </c>
    </row>
    <row r="561" customFormat="false" ht="15" hidden="false" customHeight="false" outlineLevel="0" collapsed="false">
      <c r="A561" s="22" t="s">
        <v>1638</v>
      </c>
      <c r="B561" s="22" t="s">
        <v>1639</v>
      </c>
      <c r="C561" s="22" t="s">
        <v>207</v>
      </c>
      <c r="D561" s="22" t="s">
        <v>460</v>
      </c>
      <c r="E561" s="22" t="n">
        <v>49.6</v>
      </c>
      <c r="F561" s="22" t="s">
        <v>164</v>
      </c>
    </row>
    <row r="562" customFormat="false" ht="15" hidden="false" customHeight="false" outlineLevel="0" collapsed="false">
      <c r="A562" s="22" t="s">
        <v>1640</v>
      </c>
      <c r="B562" s="22" t="s">
        <v>1641</v>
      </c>
      <c r="C562" s="22" t="s">
        <v>162</v>
      </c>
      <c r="D562" s="22" t="s">
        <v>576</v>
      </c>
      <c r="E562" s="22" t="n">
        <v>56.9</v>
      </c>
      <c r="F562" s="22" t="s">
        <v>198</v>
      </c>
    </row>
    <row r="563" customFormat="false" ht="15" hidden="false" customHeight="false" outlineLevel="0" collapsed="false">
      <c r="A563" s="22" t="s">
        <v>1642</v>
      </c>
      <c r="B563" s="22" t="s">
        <v>1643</v>
      </c>
      <c r="C563" s="22" t="s">
        <v>162</v>
      </c>
      <c r="D563" s="22" t="s">
        <v>852</v>
      </c>
      <c r="E563" s="22" t="n">
        <v>40.9</v>
      </c>
      <c r="F563" s="22" t="s">
        <v>171</v>
      </c>
    </row>
    <row r="564" customFormat="false" ht="15" hidden="false" customHeight="false" outlineLevel="0" collapsed="false">
      <c r="A564" s="22" t="s">
        <v>1644</v>
      </c>
      <c r="B564" s="22" t="s">
        <v>1645</v>
      </c>
      <c r="C564" s="22" t="s">
        <v>162</v>
      </c>
      <c r="D564" s="22" t="s">
        <v>1646</v>
      </c>
      <c r="E564" s="22" t="n">
        <v>45.7</v>
      </c>
      <c r="F564" s="22" t="s">
        <v>159</v>
      </c>
    </row>
    <row r="565" customFormat="false" ht="15" hidden="false" customHeight="false" outlineLevel="0" collapsed="false">
      <c r="A565" s="22" t="s">
        <v>1647</v>
      </c>
      <c r="B565" s="22" t="s">
        <v>1648</v>
      </c>
      <c r="C565" s="22" t="s">
        <v>162</v>
      </c>
      <c r="D565" s="22" t="s">
        <v>1649</v>
      </c>
      <c r="E565" s="22" t="n">
        <v>54.6</v>
      </c>
      <c r="F565" s="22" t="s">
        <v>164</v>
      </c>
    </row>
    <row r="566" customFormat="false" ht="15" hidden="false" customHeight="false" outlineLevel="0" collapsed="false">
      <c r="A566" s="22" t="s">
        <v>1650</v>
      </c>
      <c r="B566" s="22" t="s">
        <v>1651</v>
      </c>
      <c r="C566" s="22" t="s">
        <v>162</v>
      </c>
      <c r="D566" s="22" t="s">
        <v>930</v>
      </c>
      <c r="E566" s="22" t="n">
        <v>32.7</v>
      </c>
      <c r="F566" s="22" t="s">
        <v>175</v>
      </c>
    </row>
    <row r="567" customFormat="false" ht="15" hidden="false" customHeight="false" outlineLevel="0" collapsed="false">
      <c r="A567" s="22" t="s">
        <v>1652</v>
      </c>
      <c r="B567" s="22" t="s">
        <v>1653</v>
      </c>
      <c r="C567" s="22" t="s">
        <v>162</v>
      </c>
      <c r="D567" s="22" t="s">
        <v>835</v>
      </c>
      <c r="E567" s="22" t="n">
        <v>32.9</v>
      </c>
      <c r="F567" s="22" t="s">
        <v>164</v>
      </c>
    </row>
    <row r="568" customFormat="false" ht="15" hidden="false" customHeight="false" outlineLevel="0" collapsed="false">
      <c r="A568" s="22" t="s">
        <v>1654</v>
      </c>
      <c r="B568" s="22" t="s">
        <v>1655</v>
      </c>
      <c r="C568" s="22" t="s">
        <v>162</v>
      </c>
      <c r="D568" s="22" t="s">
        <v>1656</v>
      </c>
      <c r="E568" s="22" t="n">
        <v>23.4</v>
      </c>
      <c r="F568" s="22" t="s">
        <v>175</v>
      </c>
    </row>
    <row r="569" customFormat="false" ht="15" hidden="false" customHeight="false" outlineLevel="0" collapsed="false">
      <c r="A569" s="22" t="s">
        <v>1657</v>
      </c>
      <c r="B569" s="22" t="s">
        <v>1658</v>
      </c>
      <c r="C569" s="22" t="s">
        <v>162</v>
      </c>
      <c r="D569" s="22" t="s">
        <v>1659</v>
      </c>
      <c r="E569" s="22" t="n">
        <v>27.4</v>
      </c>
      <c r="F569" s="22" t="s">
        <v>198</v>
      </c>
    </row>
    <row r="570" customFormat="false" ht="15" hidden="false" customHeight="false" outlineLevel="0" collapsed="false">
      <c r="A570" s="22" t="s">
        <v>1660</v>
      </c>
      <c r="B570" s="22" t="s">
        <v>1661</v>
      </c>
      <c r="C570" s="22" t="s">
        <v>162</v>
      </c>
      <c r="D570" s="22" t="s">
        <v>1662</v>
      </c>
      <c r="E570" s="22" t="n">
        <v>59</v>
      </c>
      <c r="F570" s="22" t="s">
        <v>499</v>
      </c>
    </row>
    <row r="571" customFormat="false" ht="15" hidden="false" customHeight="false" outlineLevel="0" collapsed="false">
      <c r="A571" s="22" t="s">
        <v>1663</v>
      </c>
      <c r="B571" s="22" t="s">
        <v>1664</v>
      </c>
      <c r="C571" s="22" t="s">
        <v>162</v>
      </c>
      <c r="D571" s="22" t="s">
        <v>1665</v>
      </c>
      <c r="E571" s="22" t="n">
        <v>34.9</v>
      </c>
      <c r="F571" s="22" t="s">
        <v>171</v>
      </c>
    </row>
    <row r="572" customFormat="false" ht="15" hidden="false" customHeight="false" outlineLevel="0" collapsed="false">
      <c r="A572" s="22" t="s">
        <v>1666</v>
      </c>
      <c r="B572" s="22" t="s">
        <v>1667</v>
      </c>
      <c r="C572" s="22" t="s">
        <v>162</v>
      </c>
      <c r="D572" s="22" t="s">
        <v>1668</v>
      </c>
      <c r="E572" s="22" t="n">
        <v>45.8</v>
      </c>
      <c r="F572" s="22" t="s">
        <v>171</v>
      </c>
    </row>
    <row r="573" customFormat="false" ht="15" hidden="false" customHeight="false" outlineLevel="0" collapsed="false">
      <c r="A573" s="22" t="s">
        <v>1669</v>
      </c>
      <c r="B573" s="22" t="s">
        <v>1670</v>
      </c>
      <c r="C573" s="22" t="s">
        <v>566</v>
      </c>
      <c r="D573" s="22" t="s">
        <v>1207</v>
      </c>
      <c r="E573" s="22" t="n">
        <v>48.2</v>
      </c>
      <c r="F573" s="22" t="s">
        <v>164</v>
      </c>
    </row>
    <row r="574" customFormat="false" ht="15" hidden="false" customHeight="false" outlineLevel="0" collapsed="false">
      <c r="A574" s="22" t="s">
        <v>1671</v>
      </c>
      <c r="B574" s="22" t="s">
        <v>1672</v>
      </c>
      <c r="C574" s="22" t="s">
        <v>162</v>
      </c>
      <c r="D574" s="22" t="s">
        <v>1390</v>
      </c>
      <c r="E574" s="22" t="n">
        <v>22.7</v>
      </c>
      <c r="F574" s="22" t="s">
        <v>164</v>
      </c>
    </row>
    <row r="575" customFormat="false" ht="15" hidden="false" customHeight="false" outlineLevel="0" collapsed="false">
      <c r="A575" s="22" t="s">
        <v>1673</v>
      </c>
      <c r="B575" s="22" t="s">
        <v>1674</v>
      </c>
      <c r="C575" s="22" t="s">
        <v>162</v>
      </c>
      <c r="D575" s="22" t="s">
        <v>1675</v>
      </c>
      <c r="E575" s="22" t="n">
        <v>34.6</v>
      </c>
      <c r="F575" s="22" t="s">
        <v>164</v>
      </c>
    </row>
    <row r="576" customFormat="false" ht="15" hidden="false" customHeight="false" outlineLevel="0" collapsed="false">
      <c r="A576" s="22" t="s">
        <v>1676</v>
      </c>
      <c r="B576" s="22" t="s">
        <v>1677</v>
      </c>
      <c r="C576" s="22" t="s">
        <v>162</v>
      </c>
      <c r="D576" s="22" t="s">
        <v>293</v>
      </c>
      <c r="E576" s="22" t="n">
        <v>28.6</v>
      </c>
      <c r="F576" s="22" t="s">
        <v>159</v>
      </c>
    </row>
    <row r="577" customFormat="false" ht="15" hidden="false" customHeight="false" outlineLevel="0" collapsed="false">
      <c r="A577" s="22" t="s">
        <v>1678</v>
      </c>
      <c r="B577" s="22" t="s">
        <v>1679</v>
      </c>
      <c r="C577" s="22" t="s">
        <v>162</v>
      </c>
      <c r="D577" s="22" t="s">
        <v>778</v>
      </c>
      <c r="E577" s="22" t="n">
        <v>61.6</v>
      </c>
      <c r="F577" s="22" t="s">
        <v>215</v>
      </c>
    </row>
    <row r="578" customFormat="false" ht="15" hidden="false" customHeight="false" outlineLevel="0" collapsed="false">
      <c r="A578" s="22" t="s">
        <v>1680</v>
      </c>
      <c r="B578" s="22" t="s">
        <v>1681</v>
      </c>
      <c r="C578" s="22" t="s">
        <v>162</v>
      </c>
      <c r="D578" s="22" t="s">
        <v>784</v>
      </c>
      <c r="E578" s="22" t="n">
        <v>22.3</v>
      </c>
      <c r="F578" s="22" t="s">
        <v>164</v>
      </c>
    </row>
    <row r="579" customFormat="false" ht="15" hidden="false" customHeight="false" outlineLevel="0" collapsed="false">
      <c r="A579" s="22" t="s">
        <v>1682</v>
      </c>
      <c r="B579" s="22" t="s">
        <v>814</v>
      </c>
      <c r="C579" s="22" t="s">
        <v>162</v>
      </c>
      <c r="D579" s="22" t="s">
        <v>1045</v>
      </c>
      <c r="E579" s="22" t="n">
        <v>48.3</v>
      </c>
      <c r="F579" s="22" t="s">
        <v>175</v>
      </c>
    </row>
    <row r="580" customFormat="false" ht="15" hidden="false" customHeight="false" outlineLevel="0" collapsed="false">
      <c r="A580" s="22" t="s">
        <v>1683</v>
      </c>
      <c r="B580" s="22" t="s">
        <v>1684</v>
      </c>
      <c r="C580" s="22" t="s">
        <v>162</v>
      </c>
      <c r="D580" s="22" t="s">
        <v>1369</v>
      </c>
      <c r="E580" s="22" t="n">
        <v>32.8</v>
      </c>
      <c r="F580" s="22" t="s">
        <v>198</v>
      </c>
    </row>
    <row r="581" customFormat="false" ht="15" hidden="false" customHeight="false" outlineLevel="0" collapsed="false">
      <c r="A581" s="22" t="s">
        <v>1685</v>
      </c>
      <c r="B581" s="22" t="s">
        <v>1686</v>
      </c>
      <c r="C581" s="22" t="s">
        <v>157</v>
      </c>
      <c r="D581" s="22" t="s">
        <v>1687</v>
      </c>
      <c r="E581" s="22" t="n">
        <v>58.7</v>
      </c>
      <c r="F581" s="22" t="s">
        <v>164</v>
      </c>
    </row>
    <row r="582" customFormat="false" ht="15" hidden="false" customHeight="false" outlineLevel="0" collapsed="false">
      <c r="A582" s="22" t="s">
        <v>1688</v>
      </c>
      <c r="B582" s="22" t="s">
        <v>1689</v>
      </c>
      <c r="C582" s="22" t="s">
        <v>162</v>
      </c>
      <c r="D582" s="22" t="s">
        <v>1690</v>
      </c>
      <c r="E582" s="22" t="n">
        <v>57.1</v>
      </c>
      <c r="F582" s="22" t="s">
        <v>175</v>
      </c>
    </row>
    <row r="583" customFormat="false" ht="15" hidden="false" customHeight="false" outlineLevel="0" collapsed="false">
      <c r="A583" s="22" t="s">
        <v>1691</v>
      </c>
      <c r="B583" s="22" t="s">
        <v>1692</v>
      </c>
      <c r="C583" s="22" t="s">
        <v>162</v>
      </c>
      <c r="D583" s="22" t="s">
        <v>552</v>
      </c>
      <c r="E583" s="22" t="n">
        <v>31.8</v>
      </c>
      <c r="F583" s="22" t="s">
        <v>164</v>
      </c>
    </row>
    <row r="584" customFormat="false" ht="15" hidden="false" customHeight="false" outlineLevel="0" collapsed="false">
      <c r="A584" s="22" t="s">
        <v>1693</v>
      </c>
      <c r="B584" s="22" t="s">
        <v>1694</v>
      </c>
      <c r="C584" s="22" t="s">
        <v>207</v>
      </c>
      <c r="D584" s="22" t="s">
        <v>1695</v>
      </c>
      <c r="E584" s="22" t="n">
        <v>27.9</v>
      </c>
      <c r="F584" s="22" t="s">
        <v>198</v>
      </c>
    </row>
    <row r="585" customFormat="false" ht="15" hidden="false" customHeight="false" outlineLevel="0" collapsed="false">
      <c r="A585" s="22" t="s">
        <v>1696</v>
      </c>
      <c r="B585" s="22" t="s">
        <v>1697</v>
      </c>
      <c r="C585" s="22" t="s">
        <v>207</v>
      </c>
      <c r="D585" s="22" t="s">
        <v>1611</v>
      </c>
      <c r="E585" s="22" t="n">
        <v>29</v>
      </c>
      <c r="F585" s="22" t="s">
        <v>159</v>
      </c>
    </row>
    <row r="586" customFormat="false" ht="15" hidden="false" customHeight="false" outlineLevel="0" collapsed="false">
      <c r="A586" s="22" t="s">
        <v>1698</v>
      </c>
      <c r="B586" s="22" t="s">
        <v>1699</v>
      </c>
      <c r="C586" s="22" t="s">
        <v>162</v>
      </c>
      <c r="D586" s="22" t="s">
        <v>708</v>
      </c>
      <c r="E586" s="22" t="n">
        <v>43.3</v>
      </c>
      <c r="F586" s="22" t="s">
        <v>198</v>
      </c>
    </row>
    <row r="587" customFormat="false" ht="15" hidden="false" customHeight="false" outlineLevel="0" collapsed="false">
      <c r="A587" s="22" t="s">
        <v>1700</v>
      </c>
      <c r="B587" s="22" t="s">
        <v>1701</v>
      </c>
      <c r="C587" s="22" t="s">
        <v>162</v>
      </c>
      <c r="D587" s="22" t="s">
        <v>1702</v>
      </c>
      <c r="E587" s="22" t="n">
        <v>47.4</v>
      </c>
      <c r="F587" s="22" t="s">
        <v>175</v>
      </c>
    </row>
    <row r="588" customFormat="false" ht="15" hidden="false" customHeight="false" outlineLevel="0" collapsed="false">
      <c r="A588" s="22" t="s">
        <v>1703</v>
      </c>
      <c r="B588" s="22" t="s">
        <v>1704</v>
      </c>
      <c r="C588" s="22" t="s">
        <v>162</v>
      </c>
      <c r="D588" s="22" t="s">
        <v>1705</v>
      </c>
      <c r="E588" s="22" t="n">
        <v>35.6</v>
      </c>
      <c r="F588" s="22" t="s">
        <v>159</v>
      </c>
    </row>
    <row r="589" customFormat="false" ht="15" hidden="false" customHeight="false" outlineLevel="0" collapsed="false">
      <c r="A589" s="22" t="s">
        <v>1706</v>
      </c>
      <c r="B589" s="22" t="s">
        <v>1707</v>
      </c>
      <c r="C589" s="22" t="s">
        <v>162</v>
      </c>
      <c r="D589" s="22" t="s">
        <v>1708</v>
      </c>
      <c r="E589" s="22" t="n">
        <v>56</v>
      </c>
      <c r="F589" s="22" t="s">
        <v>198</v>
      </c>
    </row>
    <row r="590" customFormat="false" ht="15" hidden="false" customHeight="false" outlineLevel="0" collapsed="false">
      <c r="A590" s="22" t="s">
        <v>1709</v>
      </c>
      <c r="B590" s="22" t="s">
        <v>1710</v>
      </c>
      <c r="C590" s="22" t="s">
        <v>162</v>
      </c>
      <c r="D590" s="22" t="s">
        <v>841</v>
      </c>
      <c r="E590" s="22" t="n">
        <v>19.5</v>
      </c>
      <c r="F590" s="22" t="s">
        <v>164</v>
      </c>
    </row>
    <row r="591" customFormat="false" ht="15" hidden="false" customHeight="false" outlineLevel="0" collapsed="false">
      <c r="A591" s="22" t="s">
        <v>1711</v>
      </c>
      <c r="B591" s="22" t="s">
        <v>1712</v>
      </c>
      <c r="C591" s="22" t="s">
        <v>162</v>
      </c>
      <c r="D591" s="22" t="s">
        <v>1713</v>
      </c>
      <c r="E591" s="22" t="n">
        <v>29.2</v>
      </c>
      <c r="F591" s="22" t="s">
        <v>175</v>
      </c>
    </row>
    <row r="592" customFormat="false" ht="15" hidden="false" customHeight="false" outlineLevel="0" collapsed="false">
      <c r="A592" s="22" t="s">
        <v>1714</v>
      </c>
      <c r="B592" s="22" t="s">
        <v>1715</v>
      </c>
      <c r="C592" s="22" t="s">
        <v>162</v>
      </c>
      <c r="D592" s="22" t="s">
        <v>642</v>
      </c>
      <c r="E592" s="22" t="n">
        <v>56.4</v>
      </c>
      <c r="F592" s="22" t="s">
        <v>164</v>
      </c>
    </row>
    <row r="593" customFormat="false" ht="15" hidden="false" customHeight="false" outlineLevel="0" collapsed="false">
      <c r="A593" s="22" t="s">
        <v>1716</v>
      </c>
      <c r="B593" s="22" t="s">
        <v>1717</v>
      </c>
      <c r="C593" s="22" t="s">
        <v>162</v>
      </c>
      <c r="D593" s="22" t="s">
        <v>1718</v>
      </c>
      <c r="E593" s="22" t="n">
        <v>44.3</v>
      </c>
      <c r="F593" s="22" t="s">
        <v>164</v>
      </c>
    </row>
    <row r="594" customFormat="false" ht="15" hidden="false" customHeight="false" outlineLevel="0" collapsed="false">
      <c r="A594" s="22" t="s">
        <v>1719</v>
      </c>
      <c r="B594" s="22" t="s">
        <v>1720</v>
      </c>
      <c r="C594" s="22" t="s">
        <v>162</v>
      </c>
      <c r="D594" s="22" t="s">
        <v>1403</v>
      </c>
      <c r="E594" s="22" t="n">
        <v>50.5</v>
      </c>
      <c r="F594" s="22" t="s">
        <v>175</v>
      </c>
    </row>
    <row r="595" customFormat="false" ht="15" hidden="false" customHeight="false" outlineLevel="0" collapsed="false">
      <c r="A595" s="22" t="s">
        <v>1721</v>
      </c>
      <c r="B595" s="22" t="s">
        <v>1722</v>
      </c>
      <c r="C595" s="22" t="s">
        <v>162</v>
      </c>
      <c r="D595" s="22" t="s">
        <v>260</v>
      </c>
      <c r="E595" s="22" t="n">
        <v>47.4</v>
      </c>
      <c r="F595" s="22" t="s">
        <v>164</v>
      </c>
    </row>
    <row r="596" customFormat="false" ht="15" hidden="false" customHeight="false" outlineLevel="0" collapsed="false">
      <c r="A596" s="22" t="s">
        <v>1723</v>
      </c>
      <c r="B596" s="22" t="s">
        <v>1724</v>
      </c>
      <c r="C596" s="22" t="s">
        <v>162</v>
      </c>
      <c r="D596" s="22" t="s">
        <v>1665</v>
      </c>
      <c r="E596" s="22" t="n">
        <v>34.4</v>
      </c>
      <c r="F596" s="22" t="s">
        <v>159</v>
      </c>
    </row>
    <row r="597" customFormat="false" ht="15" hidden="false" customHeight="false" outlineLevel="0" collapsed="false">
      <c r="A597" s="22" t="s">
        <v>1725</v>
      </c>
      <c r="B597" s="22" t="s">
        <v>1726</v>
      </c>
      <c r="C597" s="22" t="s">
        <v>207</v>
      </c>
      <c r="D597" s="22" t="s">
        <v>1727</v>
      </c>
      <c r="E597" s="22" t="n">
        <v>34.2</v>
      </c>
      <c r="F597" s="22" t="s">
        <v>171</v>
      </c>
    </row>
    <row r="598" customFormat="false" ht="15" hidden="false" customHeight="false" outlineLevel="0" collapsed="false">
      <c r="A598" s="22" t="s">
        <v>1728</v>
      </c>
      <c r="B598" s="22" t="s">
        <v>1729</v>
      </c>
      <c r="C598" s="22" t="s">
        <v>162</v>
      </c>
      <c r="D598" s="22" t="s">
        <v>953</v>
      </c>
      <c r="E598" s="22" t="n">
        <v>61.6</v>
      </c>
      <c r="F598" s="22" t="s">
        <v>159</v>
      </c>
    </row>
    <row r="599" customFormat="false" ht="15" hidden="false" customHeight="false" outlineLevel="0" collapsed="false">
      <c r="A599" s="22" t="s">
        <v>1730</v>
      </c>
      <c r="B599" s="22" t="s">
        <v>1731</v>
      </c>
      <c r="C599" s="22" t="s">
        <v>162</v>
      </c>
      <c r="D599" s="22" t="s">
        <v>956</v>
      </c>
      <c r="E599" s="22" t="n">
        <v>58.7</v>
      </c>
      <c r="F599" s="22" t="s">
        <v>164</v>
      </c>
    </row>
    <row r="600" customFormat="false" ht="15" hidden="false" customHeight="false" outlineLevel="0" collapsed="false">
      <c r="A600" s="22" t="s">
        <v>1732</v>
      </c>
      <c r="B600" s="22" t="s">
        <v>1733</v>
      </c>
      <c r="C600" s="22" t="s">
        <v>157</v>
      </c>
      <c r="D600" s="22" t="s">
        <v>287</v>
      </c>
      <c r="E600" s="22" t="n">
        <v>25.2</v>
      </c>
      <c r="F600" s="22" t="s">
        <v>188</v>
      </c>
    </row>
    <row r="601" customFormat="false" ht="15" hidden="false" customHeight="false" outlineLevel="0" collapsed="false">
      <c r="A601" s="22" t="s">
        <v>1734</v>
      </c>
      <c r="B601" s="22" t="s">
        <v>1735</v>
      </c>
      <c r="C601" s="22" t="s">
        <v>162</v>
      </c>
      <c r="D601" s="22" t="s">
        <v>1736</v>
      </c>
      <c r="E601" s="22" t="n">
        <v>24.8</v>
      </c>
      <c r="F601" s="22" t="s">
        <v>175</v>
      </c>
    </row>
    <row r="602" customFormat="false" ht="15" hidden="false" customHeight="false" outlineLevel="0" collapsed="false">
      <c r="A602" s="22" t="s">
        <v>1737</v>
      </c>
      <c r="B602" s="22" t="s">
        <v>1738</v>
      </c>
      <c r="C602" s="22" t="s">
        <v>162</v>
      </c>
      <c r="D602" s="22" t="s">
        <v>904</v>
      </c>
      <c r="E602" s="22" t="n">
        <v>34.2</v>
      </c>
      <c r="F602" s="22" t="s">
        <v>198</v>
      </c>
    </row>
    <row r="603" customFormat="false" ht="15" hidden="false" customHeight="false" outlineLevel="0" collapsed="false">
      <c r="A603" s="22" t="s">
        <v>1739</v>
      </c>
      <c r="B603" s="22" t="s">
        <v>1740</v>
      </c>
      <c r="C603" s="22" t="s">
        <v>162</v>
      </c>
      <c r="D603" s="22" t="s">
        <v>1029</v>
      </c>
      <c r="E603" s="22" t="n">
        <v>37.3</v>
      </c>
      <c r="F603" s="22" t="s">
        <v>164</v>
      </c>
    </row>
    <row r="604" customFormat="false" ht="15" hidden="false" customHeight="false" outlineLevel="0" collapsed="false">
      <c r="A604" s="22" t="s">
        <v>1741</v>
      </c>
      <c r="B604" s="22" t="s">
        <v>1742</v>
      </c>
      <c r="C604" s="22" t="s">
        <v>157</v>
      </c>
      <c r="D604" s="22" t="s">
        <v>1743</v>
      </c>
      <c r="E604" s="22" t="n">
        <v>57.6</v>
      </c>
      <c r="F604" s="22" t="s">
        <v>164</v>
      </c>
    </row>
    <row r="605" customFormat="false" ht="15" hidden="false" customHeight="false" outlineLevel="0" collapsed="false">
      <c r="A605" s="22" t="s">
        <v>1744</v>
      </c>
      <c r="B605" s="22" t="s">
        <v>1745</v>
      </c>
      <c r="C605" s="22" t="s">
        <v>162</v>
      </c>
      <c r="D605" s="22" t="s">
        <v>690</v>
      </c>
      <c r="E605" s="22" t="n">
        <v>60.6</v>
      </c>
      <c r="F605" s="22" t="s">
        <v>171</v>
      </c>
    </row>
    <row r="606" customFormat="false" ht="15" hidden="false" customHeight="false" outlineLevel="0" collapsed="false">
      <c r="A606" s="22" t="s">
        <v>1746</v>
      </c>
      <c r="B606" s="22" t="s">
        <v>1747</v>
      </c>
      <c r="C606" s="22" t="s">
        <v>162</v>
      </c>
      <c r="D606" s="22" t="s">
        <v>373</v>
      </c>
      <c r="E606" s="22" t="n">
        <v>32.6</v>
      </c>
      <c r="F606" s="22" t="s">
        <v>175</v>
      </c>
    </row>
    <row r="607" customFormat="false" ht="15" hidden="false" customHeight="false" outlineLevel="0" collapsed="false">
      <c r="A607" s="22" t="s">
        <v>1748</v>
      </c>
      <c r="B607" s="22" t="s">
        <v>1749</v>
      </c>
      <c r="C607" s="22" t="s">
        <v>162</v>
      </c>
      <c r="D607" s="22" t="s">
        <v>1750</v>
      </c>
      <c r="E607" s="22" t="n">
        <v>23.9</v>
      </c>
      <c r="F607" s="22" t="s">
        <v>171</v>
      </c>
    </row>
    <row r="608" customFormat="false" ht="15" hidden="false" customHeight="false" outlineLevel="0" collapsed="false">
      <c r="A608" s="22" t="s">
        <v>1751</v>
      </c>
      <c r="B608" s="22" t="s">
        <v>1752</v>
      </c>
      <c r="C608" s="22" t="s">
        <v>162</v>
      </c>
      <c r="D608" s="22" t="s">
        <v>1753</v>
      </c>
      <c r="E608" s="22" t="n">
        <v>52.3</v>
      </c>
      <c r="F608" s="22" t="s">
        <v>171</v>
      </c>
    </row>
    <row r="609" customFormat="false" ht="15" hidden="false" customHeight="false" outlineLevel="0" collapsed="false">
      <c r="A609" s="22" t="s">
        <v>1754</v>
      </c>
      <c r="B609" s="22" t="s">
        <v>1755</v>
      </c>
      <c r="C609" s="22" t="s">
        <v>162</v>
      </c>
      <c r="D609" s="22" t="s">
        <v>1353</v>
      </c>
      <c r="E609" s="22" t="n">
        <v>37.4</v>
      </c>
      <c r="F609" s="22" t="s">
        <v>171</v>
      </c>
    </row>
    <row r="610" customFormat="false" ht="15" hidden="false" customHeight="false" outlineLevel="0" collapsed="false">
      <c r="A610" s="22" t="s">
        <v>1756</v>
      </c>
      <c r="B610" s="22" t="s">
        <v>1757</v>
      </c>
      <c r="C610" s="22" t="s">
        <v>162</v>
      </c>
      <c r="D610" s="22" t="s">
        <v>1758</v>
      </c>
      <c r="E610" s="22" t="n">
        <v>21.9</v>
      </c>
      <c r="F610" s="22" t="s">
        <v>175</v>
      </c>
    </row>
    <row r="611" customFormat="false" ht="15" hidden="false" customHeight="false" outlineLevel="0" collapsed="false">
      <c r="A611" s="22" t="s">
        <v>1759</v>
      </c>
      <c r="B611" s="22" t="s">
        <v>1760</v>
      </c>
      <c r="C611" s="22" t="s">
        <v>162</v>
      </c>
      <c r="D611" s="22" t="s">
        <v>1761</v>
      </c>
      <c r="E611" s="22" t="n">
        <v>26.4</v>
      </c>
      <c r="F611" s="22" t="s">
        <v>164</v>
      </c>
    </row>
    <row r="612" customFormat="false" ht="15" hidden="false" customHeight="false" outlineLevel="0" collapsed="false">
      <c r="A612" s="22" t="s">
        <v>1762</v>
      </c>
      <c r="B612" s="22" t="s">
        <v>1763</v>
      </c>
      <c r="C612" s="22" t="s">
        <v>162</v>
      </c>
      <c r="D612" s="22" t="s">
        <v>1764</v>
      </c>
      <c r="E612" s="22" t="n">
        <v>58.1</v>
      </c>
      <c r="F612" s="22" t="s">
        <v>164</v>
      </c>
    </row>
    <row r="613" customFormat="false" ht="15" hidden="false" customHeight="false" outlineLevel="0" collapsed="false">
      <c r="A613" s="22" t="s">
        <v>1765</v>
      </c>
      <c r="B613" s="22" t="s">
        <v>1766</v>
      </c>
      <c r="C613" s="22" t="s">
        <v>162</v>
      </c>
      <c r="D613" s="22" t="s">
        <v>1767</v>
      </c>
      <c r="E613" s="22" t="n">
        <v>30.3</v>
      </c>
      <c r="F613" s="22" t="s">
        <v>198</v>
      </c>
    </row>
    <row r="614" customFormat="false" ht="15" hidden="false" customHeight="false" outlineLevel="0" collapsed="false">
      <c r="A614" s="22" t="s">
        <v>1768</v>
      </c>
      <c r="B614" s="22" t="s">
        <v>1769</v>
      </c>
      <c r="C614" s="22" t="s">
        <v>162</v>
      </c>
      <c r="D614" s="22" t="s">
        <v>904</v>
      </c>
      <c r="E614" s="22" t="n">
        <v>29.1</v>
      </c>
      <c r="F614" s="22" t="s">
        <v>171</v>
      </c>
    </row>
    <row r="615" customFormat="false" ht="15" hidden="false" customHeight="false" outlineLevel="0" collapsed="false">
      <c r="A615" s="22" t="s">
        <v>1770</v>
      </c>
      <c r="B615" s="22" t="s">
        <v>1771</v>
      </c>
      <c r="C615" s="22" t="s">
        <v>162</v>
      </c>
      <c r="D615" s="22" t="s">
        <v>1082</v>
      </c>
      <c r="E615" s="22" t="n">
        <v>19.2</v>
      </c>
      <c r="F615" s="22" t="s">
        <v>164</v>
      </c>
    </row>
    <row r="616" customFormat="false" ht="15" hidden="false" customHeight="false" outlineLevel="0" collapsed="false">
      <c r="A616" s="22" t="s">
        <v>1772</v>
      </c>
      <c r="B616" s="22" t="s">
        <v>1773</v>
      </c>
      <c r="C616" s="22" t="s">
        <v>162</v>
      </c>
      <c r="D616" s="22" t="s">
        <v>1774</v>
      </c>
      <c r="E616" s="22" t="n">
        <v>50.9</v>
      </c>
      <c r="F616" s="22" t="s">
        <v>175</v>
      </c>
    </row>
    <row r="617" customFormat="false" ht="15" hidden="false" customHeight="false" outlineLevel="0" collapsed="false">
      <c r="A617" s="22" t="s">
        <v>1775</v>
      </c>
      <c r="B617" s="22" t="s">
        <v>1776</v>
      </c>
      <c r="C617" s="22" t="s">
        <v>207</v>
      </c>
      <c r="D617" s="22" t="s">
        <v>1777</v>
      </c>
      <c r="E617" s="22" t="n">
        <v>50.2</v>
      </c>
      <c r="F617" s="22" t="s">
        <v>175</v>
      </c>
    </row>
    <row r="618" customFormat="false" ht="15" hidden="false" customHeight="false" outlineLevel="0" collapsed="false">
      <c r="A618" s="22" t="s">
        <v>1778</v>
      </c>
      <c r="B618" s="22" t="s">
        <v>1779</v>
      </c>
      <c r="C618" s="22" t="s">
        <v>162</v>
      </c>
      <c r="D618" s="22" t="s">
        <v>1780</v>
      </c>
      <c r="E618" s="22" t="n">
        <v>43.9</v>
      </c>
      <c r="F618" s="22" t="s">
        <v>164</v>
      </c>
    </row>
    <row r="619" customFormat="false" ht="15" hidden="false" customHeight="false" outlineLevel="0" collapsed="false">
      <c r="A619" s="22" t="s">
        <v>1781</v>
      </c>
      <c r="B619" s="22" t="s">
        <v>1782</v>
      </c>
      <c r="C619" s="22" t="s">
        <v>162</v>
      </c>
      <c r="D619" s="22" t="s">
        <v>1783</v>
      </c>
      <c r="E619" s="22" t="n">
        <v>23.4</v>
      </c>
      <c r="F619" s="22" t="s">
        <v>188</v>
      </c>
    </row>
    <row r="620" customFormat="false" ht="15" hidden="false" customHeight="false" outlineLevel="0" collapsed="false">
      <c r="A620" s="22" t="s">
        <v>1784</v>
      </c>
      <c r="B620" s="22" t="s">
        <v>1785</v>
      </c>
      <c r="C620" s="22" t="s">
        <v>207</v>
      </c>
      <c r="D620" s="22" t="s">
        <v>1786</v>
      </c>
      <c r="E620" s="22" t="n">
        <v>45.3</v>
      </c>
      <c r="F620" s="22" t="s">
        <v>164</v>
      </c>
    </row>
    <row r="621" customFormat="false" ht="15" hidden="false" customHeight="false" outlineLevel="0" collapsed="false">
      <c r="A621" s="22" t="s">
        <v>1787</v>
      </c>
      <c r="B621" s="22" t="s">
        <v>1788</v>
      </c>
      <c r="C621" s="22" t="s">
        <v>162</v>
      </c>
      <c r="D621" s="22" t="s">
        <v>651</v>
      </c>
      <c r="E621" s="22" t="n">
        <v>18.8</v>
      </c>
      <c r="F621" s="22" t="s">
        <v>164</v>
      </c>
    </row>
    <row r="622" customFormat="false" ht="15" hidden="false" customHeight="false" outlineLevel="0" collapsed="false">
      <c r="A622" s="22" t="s">
        <v>1789</v>
      </c>
      <c r="B622" s="22" t="s">
        <v>1790</v>
      </c>
      <c r="C622" s="22" t="s">
        <v>162</v>
      </c>
      <c r="D622" s="22" t="s">
        <v>1791</v>
      </c>
      <c r="E622" s="22" t="n">
        <v>39.6</v>
      </c>
      <c r="F622" s="22" t="s">
        <v>499</v>
      </c>
    </row>
    <row r="623" customFormat="false" ht="15" hidden="false" customHeight="false" outlineLevel="0" collapsed="false">
      <c r="A623" s="22" t="s">
        <v>1792</v>
      </c>
      <c r="B623" s="22" t="s">
        <v>1793</v>
      </c>
      <c r="C623" s="22" t="s">
        <v>162</v>
      </c>
      <c r="D623" s="22" t="s">
        <v>1794</v>
      </c>
      <c r="E623" s="22" t="n">
        <v>18.9</v>
      </c>
      <c r="F623" s="22" t="s">
        <v>175</v>
      </c>
    </row>
    <row r="624" customFormat="false" ht="15" hidden="false" customHeight="false" outlineLevel="0" collapsed="false">
      <c r="A624" s="22" t="s">
        <v>1795</v>
      </c>
      <c r="B624" s="22" t="s">
        <v>1796</v>
      </c>
      <c r="C624" s="22" t="s">
        <v>162</v>
      </c>
      <c r="D624" s="22" t="s">
        <v>1797</v>
      </c>
      <c r="E624" s="22" t="n">
        <v>51.7</v>
      </c>
      <c r="F624" s="22" t="s">
        <v>175</v>
      </c>
    </row>
    <row r="625" customFormat="false" ht="15" hidden="false" customHeight="false" outlineLevel="0" collapsed="false">
      <c r="A625" s="22" t="s">
        <v>1798</v>
      </c>
      <c r="B625" s="22" t="s">
        <v>1799</v>
      </c>
      <c r="C625" s="22" t="s">
        <v>162</v>
      </c>
      <c r="D625" s="22" t="s">
        <v>871</v>
      </c>
      <c r="E625" s="22" t="n">
        <v>37.9</v>
      </c>
      <c r="F625" s="22" t="s">
        <v>164</v>
      </c>
    </row>
    <row r="626" customFormat="false" ht="15" hidden="false" customHeight="false" outlineLevel="0" collapsed="false">
      <c r="A626" s="22" t="s">
        <v>1800</v>
      </c>
      <c r="B626" s="22" t="s">
        <v>1801</v>
      </c>
      <c r="C626" s="22" t="s">
        <v>162</v>
      </c>
      <c r="D626" s="22" t="s">
        <v>1802</v>
      </c>
      <c r="E626" s="22" t="n">
        <v>18.6</v>
      </c>
      <c r="F626" s="22" t="s">
        <v>164</v>
      </c>
    </row>
    <row r="627" customFormat="false" ht="15" hidden="false" customHeight="false" outlineLevel="0" collapsed="false">
      <c r="A627" s="22" t="s">
        <v>1803</v>
      </c>
      <c r="B627" s="22" t="s">
        <v>1804</v>
      </c>
      <c r="C627" s="22" t="s">
        <v>566</v>
      </c>
      <c r="D627" s="22" t="s">
        <v>422</v>
      </c>
      <c r="E627" s="22" t="n">
        <v>19.6</v>
      </c>
      <c r="F627" s="22" t="s">
        <v>175</v>
      </c>
    </row>
    <row r="628" customFormat="false" ht="15" hidden="false" customHeight="false" outlineLevel="0" collapsed="false">
      <c r="A628" s="22" t="s">
        <v>1805</v>
      </c>
      <c r="B628" s="22" t="s">
        <v>1806</v>
      </c>
      <c r="C628" s="22" t="s">
        <v>162</v>
      </c>
      <c r="D628" s="22" t="s">
        <v>745</v>
      </c>
      <c r="E628" s="22" t="n">
        <v>32.5</v>
      </c>
      <c r="F628" s="22" t="s">
        <v>171</v>
      </c>
    </row>
    <row r="629" customFormat="false" ht="15" hidden="false" customHeight="false" outlineLevel="0" collapsed="false">
      <c r="A629" s="22" t="s">
        <v>1807</v>
      </c>
      <c r="B629" s="22" t="s">
        <v>1808</v>
      </c>
      <c r="C629" s="22" t="s">
        <v>162</v>
      </c>
      <c r="D629" s="22" t="s">
        <v>1764</v>
      </c>
      <c r="E629" s="22" t="n">
        <v>54.5</v>
      </c>
      <c r="F629" s="22" t="s">
        <v>164</v>
      </c>
    </row>
    <row r="630" customFormat="false" ht="15" hidden="false" customHeight="false" outlineLevel="0" collapsed="false">
      <c r="A630" s="22" t="s">
        <v>1809</v>
      </c>
      <c r="B630" s="22" t="s">
        <v>1810</v>
      </c>
      <c r="C630" s="22" t="s">
        <v>162</v>
      </c>
      <c r="D630" s="22" t="s">
        <v>787</v>
      </c>
      <c r="E630" s="22" t="n">
        <v>42.3</v>
      </c>
      <c r="F630" s="22" t="s">
        <v>164</v>
      </c>
    </row>
    <row r="631" customFormat="false" ht="15" hidden="false" customHeight="false" outlineLevel="0" collapsed="false">
      <c r="A631" s="22" t="s">
        <v>1811</v>
      </c>
      <c r="B631" s="22" t="s">
        <v>1812</v>
      </c>
      <c r="C631" s="22" t="s">
        <v>162</v>
      </c>
      <c r="D631" s="22" t="s">
        <v>752</v>
      </c>
      <c r="E631" s="22" t="n">
        <v>56.2</v>
      </c>
      <c r="F631" s="22" t="s">
        <v>188</v>
      </c>
    </row>
    <row r="632" customFormat="false" ht="15" hidden="false" customHeight="false" outlineLevel="0" collapsed="false">
      <c r="A632" s="22" t="s">
        <v>1813</v>
      </c>
      <c r="B632" s="22" t="s">
        <v>1814</v>
      </c>
      <c r="C632" s="22" t="s">
        <v>162</v>
      </c>
      <c r="D632" s="22" t="s">
        <v>799</v>
      </c>
      <c r="E632" s="22" t="n">
        <v>26.8</v>
      </c>
      <c r="F632" s="22" t="s">
        <v>164</v>
      </c>
    </row>
    <row r="633" customFormat="false" ht="15" hidden="false" customHeight="false" outlineLevel="0" collapsed="false">
      <c r="A633" s="22" t="s">
        <v>1815</v>
      </c>
      <c r="B633" s="22" t="s">
        <v>1816</v>
      </c>
      <c r="C633" s="22" t="s">
        <v>207</v>
      </c>
      <c r="D633" s="22" t="s">
        <v>201</v>
      </c>
      <c r="E633" s="22" t="n">
        <v>46.2</v>
      </c>
      <c r="F633" s="22" t="s">
        <v>198</v>
      </c>
    </row>
    <row r="634" customFormat="false" ht="15" hidden="false" customHeight="false" outlineLevel="0" collapsed="false">
      <c r="A634" s="22" t="s">
        <v>1817</v>
      </c>
      <c r="B634" s="22" t="s">
        <v>1818</v>
      </c>
      <c r="C634" s="22" t="s">
        <v>162</v>
      </c>
      <c r="D634" s="22" t="s">
        <v>980</v>
      </c>
      <c r="E634" s="22" t="n">
        <v>37</v>
      </c>
      <c r="F634" s="22" t="s">
        <v>175</v>
      </c>
    </row>
    <row r="635" customFormat="false" ht="15" hidden="false" customHeight="false" outlineLevel="0" collapsed="false">
      <c r="A635" s="22" t="s">
        <v>1819</v>
      </c>
      <c r="B635" s="22" t="s">
        <v>1820</v>
      </c>
      <c r="C635" s="22" t="s">
        <v>162</v>
      </c>
      <c r="D635" s="22" t="s">
        <v>1821</v>
      </c>
      <c r="E635" s="22" t="n">
        <v>59</v>
      </c>
      <c r="F635" s="22" t="s">
        <v>159</v>
      </c>
    </row>
    <row r="636" customFormat="false" ht="15" hidden="false" customHeight="false" outlineLevel="0" collapsed="false">
      <c r="A636" s="22" t="s">
        <v>1822</v>
      </c>
      <c r="B636" s="22" t="s">
        <v>1823</v>
      </c>
      <c r="C636" s="22" t="s">
        <v>162</v>
      </c>
      <c r="D636" s="22" t="s">
        <v>1824</v>
      </c>
      <c r="E636" s="22" t="n">
        <v>28.1</v>
      </c>
      <c r="F636" s="22" t="s">
        <v>215</v>
      </c>
    </row>
    <row r="637" customFormat="false" ht="15" hidden="false" customHeight="false" outlineLevel="0" collapsed="false">
      <c r="A637" s="22" t="s">
        <v>1825</v>
      </c>
      <c r="B637" s="22" t="s">
        <v>1826</v>
      </c>
      <c r="C637" s="22" t="s">
        <v>207</v>
      </c>
      <c r="D637" s="22" t="s">
        <v>1369</v>
      </c>
      <c r="E637" s="22" t="n">
        <v>26.3</v>
      </c>
      <c r="F637" s="22" t="s">
        <v>171</v>
      </c>
    </row>
    <row r="638" customFormat="false" ht="15" hidden="false" customHeight="false" outlineLevel="0" collapsed="false">
      <c r="A638" s="22" t="s">
        <v>1827</v>
      </c>
      <c r="B638" s="22" t="s">
        <v>1828</v>
      </c>
      <c r="C638" s="22" t="s">
        <v>207</v>
      </c>
      <c r="D638" s="22" t="s">
        <v>1029</v>
      </c>
      <c r="E638" s="22" t="n">
        <v>26.7</v>
      </c>
      <c r="F638" s="22" t="s">
        <v>164</v>
      </c>
    </row>
    <row r="639" customFormat="false" ht="15" hidden="false" customHeight="false" outlineLevel="0" collapsed="false">
      <c r="A639" s="22" t="s">
        <v>1829</v>
      </c>
      <c r="B639" s="22" t="s">
        <v>1830</v>
      </c>
      <c r="C639" s="22" t="s">
        <v>162</v>
      </c>
      <c r="D639" s="22" t="s">
        <v>349</v>
      </c>
      <c r="E639" s="22" t="n">
        <v>32.8</v>
      </c>
      <c r="F639" s="22" t="s">
        <v>175</v>
      </c>
    </row>
    <row r="640" customFormat="false" ht="15" hidden="false" customHeight="false" outlineLevel="0" collapsed="false">
      <c r="A640" s="22" t="s">
        <v>1831</v>
      </c>
      <c r="B640" s="22" t="s">
        <v>1832</v>
      </c>
      <c r="C640" s="22" t="s">
        <v>162</v>
      </c>
      <c r="D640" s="22" t="s">
        <v>1833</v>
      </c>
      <c r="E640" s="22" t="n">
        <v>49.7</v>
      </c>
      <c r="F640" s="22" t="s">
        <v>164</v>
      </c>
    </row>
    <row r="641" customFormat="false" ht="15" hidden="false" customHeight="false" outlineLevel="0" collapsed="false">
      <c r="A641" s="22" t="s">
        <v>1834</v>
      </c>
      <c r="B641" s="22" t="s">
        <v>1835</v>
      </c>
      <c r="C641" s="22" t="s">
        <v>162</v>
      </c>
      <c r="D641" s="22" t="s">
        <v>728</v>
      </c>
      <c r="E641" s="22" t="n">
        <v>61.3</v>
      </c>
      <c r="F641" s="22" t="s">
        <v>159</v>
      </c>
    </row>
    <row r="642" customFormat="false" ht="15" hidden="false" customHeight="false" outlineLevel="0" collapsed="false">
      <c r="A642" s="22" t="s">
        <v>1836</v>
      </c>
      <c r="B642" s="22" t="s">
        <v>1837</v>
      </c>
      <c r="C642" s="22" t="s">
        <v>162</v>
      </c>
      <c r="D642" s="22" t="s">
        <v>1718</v>
      </c>
      <c r="E642" s="22" t="n">
        <v>19.2</v>
      </c>
      <c r="F642" s="22" t="s">
        <v>159</v>
      </c>
    </row>
    <row r="643" customFormat="false" ht="15" hidden="false" customHeight="false" outlineLevel="0" collapsed="false">
      <c r="A643" s="22" t="s">
        <v>1838</v>
      </c>
      <c r="B643" s="22" t="s">
        <v>1839</v>
      </c>
      <c r="C643" s="22" t="s">
        <v>162</v>
      </c>
      <c r="D643" s="22" t="s">
        <v>1840</v>
      </c>
      <c r="E643" s="22" t="n">
        <v>31</v>
      </c>
      <c r="F643" s="22" t="s">
        <v>198</v>
      </c>
    </row>
    <row r="644" customFormat="false" ht="15" hidden="false" customHeight="false" outlineLevel="0" collapsed="false">
      <c r="A644" s="22" t="s">
        <v>1841</v>
      </c>
      <c r="B644" s="22" t="s">
        <v>1842</v>
      </c>
      <c r="C644" s="22" t="s">
        <v>162</v>
      </c>
      <c r="D644" s="22" t="s">
        <v>425</v>
      </c>
      <c r="E644" s="22" t="n">
        <v>54.9</v>
      </c>
      <c r="F644" s="22" t="s">
        <v>164</v>
      </c>
    </row>
    <row r="645" customFormat="false" ht="15" hidden="false" customHeight="false" outlineLevel="0" collapsed="false">
      <c r="A645" s="22" t="s">
        <v>1843</v>
      </c>
      <c r="B645" s="22" t="s">
        <v>1844</v>
      </c>
      <c r="C645" s="22" t="s">
        <v>162</v>
      </c>
      <c r="D645" s="22" t="s">
        <v>163</v>
      </c>
      <c r="E645" s="22" t="n">
        <v>38.4</v>
      </c>
      <c r="F645" s="22" t="s">
        <v>175</v>
      </c>
    </row>
    <row r="646" customFormat="false" ht="15" hidden="false" customHeight="false" outlineLevel="0" collapsed="false">
      <c r="A646" s="22" t="s">
        <v>1845</v>
      </c>
      <c r="B646" s="22" t="s">
        <v>1846</v>
      </c>
      <c r="C646" s="22" t="s">
        <v>207</v>
      </c>
      <c r="D646" s="22" t="s">
        <v>1847</v>
      </c>
      <c r="E646" s="22" t="n">
        <v>28.9</v>
      </c>
      <c r="F646" s="22" t="s">
        <v>175</v>
      </c>
    </row>
    <row r="647" customFormat="false" ht="15" hidden="false" customHeight="false" outlineLevel="0" collapsed="false">
      <c r="A647" s="22" t="s">
        <v>1848</v>
      </c>
      <c r="B647" s="22" t="s">
        <v>1849</v>
      </c>
      <c r="C647" s="22" t="s">
        <v>157</v>
      </c>
      <c r="D647" s="22" t="s">
        <v>1850</v>
      </c>
      <c r="E647" s="22" t="n">
        <v>33.8</v>
      </c>
      <c r="F647" s="22" t="s">
        <v>164</v>
      </c>
    </row>
    <row r="648" customFormat="false" ht="15" hidden="false" customHeight="false" outlineLevel="0" collapsed="false">
      <c r="A648" s="22" t="s">
        <v>1851</v>
      </c>
      <c r="B648" s="22" t="s">
        <v>1852</v>
      </c>
      <c r="C648" s="22" t="s">
        <v>162</v>
      </c>
      <c r="D648" s="22" t="s">
        <v>1229</v>
      </c>
      <c r="E648" s="22" t="n">
        <v>24.6</v>
      </c>
      <c r="F648" s="22" t="s">
        <v>198</v>
      </c>
    </row>
    <row r="649" customFormat="false" ht="15" hidden="false" customHeight="false" outlineLevel="0" collapsed="false">
      <c r="A649" s="22" t="s">
        <v>1853</v>
      </c>
      <c r="B649" s="22" t="s">
        <v>1854</v>
      </c>
      <c r="C649" s="22" t="s">
        <v>162</v>
      </c>
      <c r="D649" s="22" t="s">
        <v>1786</v>
      </c>
      <c r="E649" s="22" t="n">
        <v>25.6</v>
      </c>
      <c r="F649" s="22" t="s">
        <v>164</v>
      </c>
    </row>
    <row r="650" customFormat="false" ht="15" hidden="false" customHeight="false" outlineLevel="0" collapsed="false">
      <c r="A650" s="22" t="s">
        <v>1855</v>
      </c>
      <c r="B650" s="22" t="s">
        <v>1856</v>
      </c>
      <c r="C650" s="22" t="s">
        <v>162</v>
      </c>
      <c r="D650" s="22" t="s">
        <v>1857</v>
      </c>
      <c r="E650" s="22" t="n">
        <v>50.1</v>
      </c>
      <c r="F650" s="22" t="s">
        <v>175</v>
      </c>
    </row>
    <row r="651" customFormat="false" ht="15" hidden="false" customHeight="false" outlineLevel="0" collapsed="false">
      <c r="A651" s="22" t="s">
        <v>1858</v>
      </c>
      <c r="B651" s="22" t="s">
        <v>1859</v>
      </c>
      <c r="C651" s="22" t="s">
        <v>162</v>
      </c>
      <c r="D651" s="22" t="s">
        <v>1786</v>
      </c>
      <c r="E651" s="22" t="n">
        <v>41.2</v>
      </c>
      <c r="F651" s="22" t="s">
        <v>164</v>
      </c>
    </row>
    <row r="652" customFormat="false" ht="15" hidden="false" customHeight="false" outlineLevel="0" collapsed="false">
      <c r="A652" s="22" t="s">
        <v>1860</v>
      </c>
      <c r="B652" s="22" t="s">
        <v>1861</v>
      </c>
      <c r="C652" s="22" t="s">
        <v>162</v>
      </c>
      <c r="D652" s="22" t="s">
        <v>1857</v>
      </c>
      <c r="E652" s="22" t="n">
        <v>23.2</v>
      </c>
      <c r="F652" s="22" t="s">
        <v>215</v>
      </c>
    </row>
    <row r="653" customFormat="false" ht="15" hidden="false" customHeight="false" outlineLevel="0" collapsed="false">
      <c r="A653" s="22" t="s">
        <v>1862</v>
      </c>
      <c r="B653" s="22" t="s">
        <v>1863</v>
      </c>
      <c r="C653" s="22" t="s">
        <v>162</v>
      </c>
      <c r="D653" s="22" t="s">
        <v>938</v>
      </c>
      <c r="E653" s="22" t="n">
        <v>25.7</v>
      </c>
      <c r="F653" s="22" t="s">
        <v>215</v>
      </c>
    </row>
    <row r="654" customFormat="false" ht="15" hidden="false" customHeight="false" outlineLevel="0" collapsed="false">
      <c r="A654" s="22" t="s">
        <v>1864</v>
      </c>
      <c r="B654" s="22" t="s">
        <v>1865</v>
      </c>
      <c r="C654" s="22" t="s">
        <v>162</v>
      </c>
      <c r="D654" s="22" t="s">
        <v>1866</v>
      </c>
      <c r="E654" s="22" t="n">
        <v>26.9</v>
      </c>
      <c r="F654" s="22" t="s">
        <v>175</v>
      </c>
    </row>
    <row r="655" customFormat="false" ht="15" hidden="false" customHeight="false" outlineLevel="0" collapsed="false">
      <c r="A655" s="22" t="s">
        <v>1867</v>
      </c>
      <c r="B655" s="22" t="s">
        <v>1868</v>
      </c>
      <c r="C655" s="22" t="s">
        <v>162</v>
      </c>
      <c r="D655" s="22" t="s">
        <v>1869</v>
      </c>
      <c r="E655" s="22" t="n">
        <v>23.7</v>
      </c>
      <c r="F655" s="22" t="s">
        <v>164</v>
      </c>
    </row>
    <row r="656" customFormat="false" ht="15" hidden="false" customHeight="false" outlineLevel="0" collapsed="false">
      <c r="A656" s="22" t="s">
        <v>1870</v>
      </c>
      <c r="B656" s="22" t="s">
        <v>1871</v>
      </c>
      <c r="C656" s="22" t="s">
        <v>566</v>
      </c>
      <c r="D656" s="22" t="s">
        <v>1217</v>
      </c>
      <c r="E656" s="22" t="n">
        <v>23</v>
      </c>
      <c r="F656" s="22" t="s">
        <v>198</v>
      </c>
    </row>
    <row r="657" customFormat="false" ht="15" hidden="false" customHeight="false" outlineLevel="0" collapsed="false">
      <c r="A657" s="22" t="s">
        <v>1872</v>
      </c>
      <c r="B657" s="22" t="s">
        <v>1873</v>
      </c>
      <c r="C657" s="22" t="s">
        <v>162</v>
      </c>
      <c r="D657" s="22" t="s">
        <v>1006</v>
      </c>
      <c r="E657" s="22" t="n">
        <v>41.2</v>
      </c>
      <c r="F657" s="22" t="s">
        <v>188</v>
      </c>
    </row>
    <row r="658" customFormat="false" ht="15" hidden="false" customHeight="false" outlineLevel="0" collapsed="false">
      <c r="A658" s="22" t="s">
        <v>1874</v>
      </c>
      <c r="B658" s="22" t="s">
        <v>1875</v>
      </c>
      <c r="C658" s="22" t="s">
        <v>162</v>
      </c>
      <c r="D658" s="22" t="s">
        <v>330</v>
      </c>
      <c r="E658" s="22" t="n">
        <v>46.9</v>
      </c>
      <c r="F658" s="22" t="s">
        <v>164</v>
      </c>
    </row>
    <row r="659" customFormat="false" ht="15" hidden="false" customHeight="false" outlineLevel="0" collapsed="false">
      <c r="A659" s="22" t="s">
        <v>1876</v>
      </c>
      <c r="B659" s="22" t="s">
        <v>1877</v>
      </c>
      <c r="C659" s="22" t="s">
        <v>162</v>
      </c>
      <c r="D659" s="22" t="s">
        <v>563</v>
      </c>
      <c r="E659" s="22" t="n">
        <v>25.8</v>
      </c>
      <c r="F659" s="22" t="s">
        <v>164</v>
      </c>
    </row>
    <row r="660" customFormat="false" ht="15" hidden="false" customHeight="false" outlineLevel="0" collapsed="false">
      <c r="A660" s="22" t="s">
        <v>1878</v>
      </c>
      <c r="B660" s="22" t="s">
        <v>1879</v>
      </c>
      <c r="C660" s="22" t="s">
        <v>162</v>
      </c>
      <c r="D660" s="22" t="s">
        <v>327</v>
      </c>
      <c r="E660" s="22" t="n">
        <v>57.4</v>
      </c>
      <c r="F660" s="22" t="s">
        <v>175</v>
      </c>
    </row>
    <row r="661" customFormat="false" ht="15" hidden="false" customHeight="false" outlineLevel="0" collapsed="false">
      <c r="A661" s="22" t="s">
        <v>1880</v>
      </c>
      <c r="B661" s="22" t="s">
        <v>1881</v>
      </c>
      <c r="C661" s="22" t="s">
        <v>162</v>
      </c>
      <c r="D661" s="22" t="s">
        <v>1882</v>
      </c>
      <c r="E661" s="22" t="n">
        <v>42.1</v>
      </c>
      <c r="F661" s="22" t="s">
        <v>164</v>
      </c>
    </row>
    <row r="662" customFormat="false" ht="15" hidden="false" customHeight="false" outlineLevel="0" collapsed="false">
      <c r="A662" s="22" t="s">
        <v>1883</v>
      </c>
      <c r="B662" s="22" t="s">
        <v>1884</v>
      </c>
      <c r="C662" s="22" t="s">
        <v>162</v>
      </c>
      <c r="D662" s="22" t="s">
        <v>486</v>
      </c>
      <c r="E662" s="22" t="n">
        <v>45.9</v>
      </c>
      <c r="F662" s="22" t="s">
        <v>164</v>
      </c>
    </row>
    <row r="663" customFormat="false" ht="15" hidden="false" customHeight="false" outlineLevel="0" collapsed="false">
      <c r="A663" s="22" t="s">
        <v>1885</v>
      </c>
      <c r="B663" s="22" t="s">
        <v>1886</v>
      </c>
      <c r="C663" s="22" t="s">
        <v>207</v>
      </c>
      <c r="D663" s="22" t="s">
        <v>204</v>
      </c>
      <c r="E663" s="22" t="n">
        <v>24</v>
      </c>
      <c r="F663" s="22" t="s">
        <v>164</v>
      </c>
    </row>
    <row r="664" customFormat="false" ht="15" hidden="false" customHeight="false" outlineLevel="0" collapsed="false">
      <c r="A664" s="22" t="s">
        <v>1887</v>
      </c>
      <c r="B664" s="22" t="s">
        <v>1888</v>
      </c>
      <c r="C664" s="22" t="s">
        <v>162</v>
      </c>
      <c r="D664" s="22" t="s">
        <v>492</v>
      </c>
      <c r="E664" s="22" t="n">
        <v>41.5</v>
      </c>
      <c r="F664" s="22" t="s">
        <v>164</v>
      </c>
    </row>
    <row r="665" customFormat="false" ht="15" hidden="false" customHeight="false" outlineLevel="0" collapsed="false">
      <c r="A665" s="22" t="s">
        <v>1889</v>
      </c>
      <c r="B665" s="22" t="s">
        <v>1890</v>
      </c>
      <c r="C665" s="22" t="s">
        <v>157</v>
      </c>
      <c r="D665" s="22" t="s">
        <v>1891</v>
      </c>
      <c r="E665" s="22" t="n">
        <v>54.1</v>
      </c>
      <c r="F665" s="22" t="s">
        <v>164</v>
      </c>
    </row>
    <row r="666" customFormat="false" ht="15" hidden="false" customHeight="false" outlineLevel="0" collapsed="false">
      <c r="A666" s="22" t="s">
        <v>1892</v>
      </c>
      <c r="B666" s="22" t="s">
        <v>1893</v>
      </c>
      <c r="C666" s="22" t="s">
        <v>157</v>
      </c>
      <c r="D666" s="22" t="s">
        <v>1057</v>
      </c>
      <c r="E666" s="22" t="n">
        <v>47.9</v>
      </c>
      <c r="F666" s="22" t="s">
        <v>164</v>
      </c>
    </row>
    <row r="667" customFormat="false" ht="15" hidden="false" customHeight="false" outlineLevel="0" collapsed="false">
      <c r="A667" s="22" t="s">
        <v>1894</v>
      </c>
      <c r="B667" s="22" t="s">
        <v>1895</v>
      </c>
      <c r="C667" s="22" t="s">
        <v>162</v>
      </c>
      <c r="D667" s="22" t="s">
        <v>1896</v>
      </c>
      <c r="E667" s="22" t="n">
        <v>58.5</v>
      </c>
      <c r="F667" s="22" t="s">
        <v>175</v>
      </c>
    </row>
    <row r="668" customFormat="false" ht="15" hidden="false" customHeight="false" outlineLevel="0" collapsed="false">
      <c r="A668" s="22" t="s">
        <v>1897</v>
      </c>
      <c r="B668" s="22" t="s">
        <v>1898</v>
      </c>
      <c r="C668" s="22" t="s">
        <v>157</v>
      </c>
      <c r="D668" s="22" t="s">
        <v>1184</v>
      </c>
      <c r="E668" s="22" t="n">
        <v>61.2</v>
      </c>
      <c r="F668" s="22" t="s">
        <v>198</v>
      </c>
    </row>
    <row r="669" customFormat="false" ht="15" hidden="false" customHeight="false" outlineLevel="0" collapsed="false">
      <c r="A669" s="22" t="s">
        <v>1899</v>
      </c>
      <c r="B669" s="22" t="s">
        <v>1900</v>
      </c>
      <c r="C669" s="22" t="s">
        <v>162</v>
      </c>
      <c r="D669" s="22" t="s">
        <v>221</v>
      </c>
      <c r="E669" s="22" t="n">
        <v>18.6</v>
      </c>
      <c r="F669" s="22" t="s">
        <v>164</v>
      </c>
    </row>
    <row r="670" customFormat="false" ht="15" hidden="false" customHeight="false" outlineLevel="0" collapsed="false">
      <c r="A670" s="22" t="s">
        <v>1901</v>
      </c>
      <c r="B670" s="22" t="s">
        <v>1902</v>
      </c>
      <c r="C670" s="22" t="s">
        <v>207</v>
      </c>
      <c r="D670" s="22" t="s">
        <v>1262</v>
      </c>
      <c r="E670" s="22" t="n">
        <v>41.1</v>
      </c>
      <c r="F670" s="22" t="s">
        <v>164</v>
      </c>
    </row>
    <row r="671" customFormat="false" ht="15" hidden="false" customHeight="false" outlineLevel="0" collapsed="false">
      <c r="A671" s="22" t="s">
        <v>1903</v>
      </c>
      <c r="B671" s="22" t="s">
        <v>1904</v>
      </c>
      <c r="C671" s="22" t="s">
        <v>207</v>
      </c>
      <c r="D671" s="22" t="s">
        <v>975</v>
      </c>
      <c r="E671" s="22" t="n">
        <v>59</v>
      </c>
      <c r="F671" s="22" t="s">
        <v>188</v>
      </c>
    </row>
    <row r="672" customFormat="false" ht="15" hidden="false" customHeight="false" outlineLevel="0" collapsed="false">
      <c r="A672" s="22" t="s">
        <v>1905</v>
      </c>
      <c r="B672" s="22" t="s">
        <v>1906</v>
      </c>
      <c r="C672" s="22" t="s">
        <v>162</v>
      </c>
      <c r="D672" s="22" t="s">
        <v>841</v>
      </c>
      <c r="E672" s="22" t="n">
        <v>49.8</v>
      </c>
      <c r="F672" s="22" t="s">
        <v>164</v>
      </c>
    </row>
    <row r="673" customFormat="false" ht="15" hidden="false" customHeight="false" outlineLevel="0" collapsed="false">
      <c r="A673" s="22" t="s">
        <v>1907</v>
      </c>
      <c r="B673" s="22" t="s">
        <v>1908</v>
      </c>
      <c r="C673" s="22" t="s">
        <v>162</v>
      </c>
      <c r="D673" s="22" t="s">
        <v>1063</v>
      </c>
      <c r="E673" s="22" t="n">
        <v>37.4</v>
      </c>
      <c r="F673" s="22" t="s">
        <v>159</v>
      </c>
    </row>
    <row r="674" customFormat="false" ht="15" hidden="false" customHeight="false" outlineLevel="0" collapsed="false">
      <c r="A674" s="22" t="s">
        <v>1909</v>
      </c>
      <c r="B674" s="22" t="s">
        <v>1910</v>
      </c>
      <c r="C674" s="22" t="s">
        <v>162</v>
      </c>
      <c r="D674" s="22" t="s">
        <v>1911</v>
      </c>
      <c r="E674" s="22" t="n">
        <v>38.6</v>
      </c>
      <c r="F674" s="22" t="s">
        <v>175</v>
      </c>
    </row>
    <row r="675" customFormat="false" ht="15" hidden="false" customHeight="false" outlineLevel="0" collapsed="false">
      <c r="A675" s="22" t="s">
        <v>1912</v>
      </c>
      <c r="B675" s="22" t="s">
        <v>1913</v>
      </c>
      <c r="C675" s="22" t="s">
        <v>162</v>
      </c>
      <c r="D675" s="22" t="s">
        <v>1011</v>
      </c>
      <c r="E675" s="22" t="n">
        <v>21.6</v>
      </c>
      <c r="F675" s="22" t="s">
        <v>175</v>
      </c>
    </row>
    <row r="676" customFormat="false" ht="15" hidden="false" customHeight="false" outlineLevel="0" collapsed="false">
      <c r="A676" s="22" t="s">
        <v>1914</v>
      </c>
      <c r="B676" s="22" t="s">
        <v>1915</v>
      </c>
      <c r="C676" s="22" t="s">
        <v>162</v>
      </c>
      <c r="D676" s="22" t="s">
        <v>312</v>
      </c>
      <c r="E676" s="22" t="n">
        <v>31.1</v>
      </c>
      <c r="F676" s="22" t="s">
        <v>171</v>
      </c>
    </row>
    <row r="677" customFormat="false" ht="15" hidden="false" customHeight="false" outlineLevel="0" collapsed="false">
      <c r="A677" s="22" t="s">
        <v>1916</v>
      </c>
      <c r="B677" s="22" t="s">
        <v>1917</v>
      </c>
      <c r="C677" s="22" t="s">
        <v>162</v>
      </c>
      <c r="D677" s="22" t="s">
        <v>327</v>
      </c>
      <c r="E677" s="22" t="n">
        <v>20</v>
      </c>
      <c r="F677" s="22" t="s">
        <v>171</v>
      </c>
    </row>
    <row r="678" customFormat="false" ht="15" hidden="false" customHeight="false" outlineLevel="0" collapsed="false">
      <c r="A678" s="22" t="s">
        <v>1918</v>
      </c>
      <c r="B678" s="22" t="s">
        <v>1919</v>
      </c>
      <c r="C678" s="22" t="s">
        <v>157</v>
      </c>
      <c r="D678" s="22" t="s">
        <v>921</v>
      </c>
      <c r="E678" s="22" t="n">
        <v>57.7</v>
      </c>
      <c r="F678" s="22" t="s">
        <v>159</v>
      </c>
    </row>
    <row r="679" customFormat="false" ht="15" hidden="false" customHeight="false" outlineLevel="0" collapsed="false">
      <c r="A679" s="22" t="s">
        <v>1920</v>
      </c>
      <c r="B679" s="22" t="s">
        <v>1921</v>
      </c>
      <c r="C679" s="22" t="s">
        <v>207</v>
      </c>
      <c r="D679" s="22" t="s">
        <v>1922</v>
      </c>
      <c r="E679" s="22" t="n">
        <v>36.9</v>
      </c>
      <c r="F679" s="22" t="s">
        <v>171</v>
      </c>
    </row>
    <row r="680" customFormat="false" ht="15" hidden="false" customHeight="false" outlineLevel="0" collapsed="false">
      <c r="A680" s="22" t="s">
        <v>1923</v>
      </c>
      <c r="B680" s="22" t="s">
        <v>1924</v>
      </c>
      <c r="C680" s="22" t="s">
        <v>162</v>
      </c>
      <c r="D680" s="22" t="s">
        <v>927</v>
      </c>
      <c r="E680" s="22" t="n">
        <v>20.7</v>
      </c>
      <c r="F680" s="22" t="s">
        <v>175</v>
      </c>
    </row>
    <row r="681" customFormat="false" ht="15" hidden="false" customHeight="false" outlineLevel="0" collapsed="false">
      <c r="A681" s="22" t="s">
        <v>1925</v>
      </c>
      <c r="B681" s="22" t="s">
        <v>1926</v>
      </c>
      <c r="C681" s="22" t="s">
        <v>162</v>
      </c>
      <c r="D681" s="22" t="s">
        <v>492</v>
      </c>
      <c r="E681" s="22" t="n">
        <v>21.4</v>
      </c>
      <c r="F681" s="22" t="s">
        <v>198</v>
      </c>
    </row>
    <row r="682" customFormat="false" ht="15" hidden="false" customHeight="false" outlineLevel="0" collapsed="false">
      <c r="A682" s="22" t="s">
        <v>1927</v>
      </c>
      <c r="B682" s="22" t="s">
        <v>1928</v>
      </c>
      <c r="C682" s="22" t="s">
        <v>162</v>
      </c>
      <c r="D682" s="22" t="s">
        <v>1929</v>
      </c>
      <c r="E682" s="22" t="n">
        <v>50.3</v>
      </c>
      <c r="F682" s="22" t="s">
        <v>198</v>
      </c>
    </row>
    <row r="683" customFormat="false" ht="15" hidden="false" customHeight="false" outlineLevel="0" collapsed="false">
      <c r="A683" s="22" t="s">
        <v>1930</v>
      </c>
      <c r="B683" s="22" t="s">
        <v>1931</v>
      </c>
      <c r="C683" s="22" t="s">
        <v>162</v>
      </c>
      <c r="D683" s="22" t="s">
        <v>654</v>
      </c>
      <c r="E683" s="22" t="n">
        <v>50.8</v>
      </c>
      <c r="F683" s="22" t="s">
        <v>499</v>
      </c>
    </row>
    <row r="684" customFormat="false" ht="15" hidden="false" customHeight="false" outlineLevel="0" collapsed="false">
      <c r="A684" s="22" t="s">
        <v>1932</v>
      </c>
      <c r="B684" s="22" t="s">
        <v>1933</v>
      </c>
      <c r="C684" s="22" t="s">
        <v>162</v>
      </c>
      <c r="D684" s="22" t="s">
        <v>315</v>
      </c>
      <c r="E684" s="22" t="n">
        <v>26.5</v>
      </c>
      <c r="F684" s="22" t="s">
        <v>164</v>
      </c>
    </row>
    <row r="685" customFormat="false" ht="15" hidden="false" customHeight="false" outlineLevel="0" collapsed="false">
      <c r="A685" s="22" t="s">
        <v>1934</v>
      </c>
      <c r="B685" s="22" t="s">
        <v>1935</v>
      </c>
      <c r="C685" s="22" t="s">
        <v>157</v>
      </c>
      <c r="D685" s="22" t="s">
        <v>492</v>
      </c>
      <c r="E685" s="22" t="n">
        <v>31.4</v>
      </c>
      <c r="F685" s="22" t="s">
        <v>198</v>
      </c>
    </row>
    <row r="686" customFormat="false" ht="15" hidden="false" customHeight="false" outlineLevel="0" collapsed="false">
      <c r="A686" s="22" t="s">
        <v>1936</v>
      </c>
      <c r="B686" s="22" t="s">
        <v>1937</v>
      </c>
      <c r="C686" s="22" t="s">
        <v>162</v>
      </c>
      <c r="D686" s="22" t="s">
        <v>1400</v>
      </c>
      <c r="E686" s="22" t="n">
        <v>55.3</v>
      </c>
      <c r="F686" s="22" t="s">
        <v>198</v>
      </c>
    </row>
    <row r="687" customFormat="false" ht="15" hidden="false" customHeight="false" outlineLevel="0" collapsed="false">
      <c r="A687" s="22" t="s">
        <v>1938</v>
      </c>
      <c r="B687" s="22" t="s">
        <v>1939</v>
      </c>
      <c r="C687" s="22" t="s">
        <v>157</v>
      </c>
      <c r="D687" s="22" t="s">
        <v>1940</v>
      </c>
      <c r="E687" s="22" t="n">
        <v>43.2</v>
      </c>
      <c r="F687" s="22" t="s">
        <v>198</v>
      </c>
    </row>
    <row r="688" customFormat="false" ht="15" hidden="false" customHeight="false" outlineLevel="0" collapsed="false">
      <c r="A688" s="22" t="s">
        <v>1941</v>
      </c>
      <c r="B688" s="22" t="s">
        <v>1942</v>
      </c>
      <c r="C688" s="22" t="s">
        <v>162</v>
      </c>
      <c r="D688" s="22" t="s">
        <v>1508</v>
      </c>
      <c r="E688" s="22" t="n">
        <v>45.3</v>
      </c>
      <c r="F688" s="22" t="s">
        <v>198</v>
      </c>
    </row>
    <row r="689" customFormat="false" ht="15" hidden="false" customHeight="false" outlineLevel="0" collapsed="false">
      <c r="A689" s="22" t="s">
        <v>1943</v>
      </c>
      <c r="B689" s="22" t="s">
        <v>1944</v>
      </c>
      <c r="C689" s="22" t="s">
        <v>162</v>
      </c>
      <c r="D689" s="22" t="s">
        <v>1945</v>
      </c>
      <c r="E689" s="22" t="n">
        <v>39.3</v>
      </c>
      <c r="F689" s="22" t="s">
        <v>171</v>
      </c>
    </row>
    <row r="690" customFormat="false" ht="15" hidden="false" customHeight="false" outlineLevel="0" collapsed="false">
      <c r="A690" s="22" t="s">
        <v>1946</v>
      </c>
      <c r="B690" s="22" t="s">
        <v>1947</v>
      </c>
      <c r="C690" s="22" t="s">
        <v>162</v>
      </c>
      <c r="D690" s="22" t="s">
        <v>835</v>
      </c>
      <c r="E690" s="22" t="n">
        <v>50.2</v>
      </c>
      <c r="F690" s="22" t="s">
        <v>198</v>
      </c>
    </row>
    <row r="691" customFormat="false" ht="15" hidden="false" customHeight="false" outlineLevel="0" collapsed="false">
      <c r="A691" s="22" t="s">
        <v>1948</v>
      </c>
      <c r="B691" s="22" t="s">
        <v>1949</v>
      </c>
      <c r="C691" s="22" t="s">
        <v>207</v>
      </c>
      <c r="D691" s="22" t="s">
        <v>1767</v>
      </c>
      <c r="E691" s="22" t="n">
        <v>46.8</v>
      </c>
      <c r="F691" s="22" t="s">
        <v>198</v>
      </c>
    </row>
    <row r="692" customFormat="false" ht="15" hidden="false" customHeight="false" outlineLevel="0" collapsed="false">
      <c r="A692" s="22" t="s">
        <v>1950</v>
      </c>
      <c r="B692" s="22" t="s">
        <v>1951</v>
      </c>
      <c r="C692" s="22" t="s">
        <v>162</v>
      </c>
      <c r="D692" s="22" t="s">
        <v>1736</v>
      </c>
      <c r="E692" s="22" t="n">
        <v>61.4</v>
      </c>
      <c r="F692" s="22" t="s">
        <v>215</v>
      </c>
    </row>
    <row r="693" customFormat="false" ht="15" hidden="false" customHeight="false" outlineLevel="0" collapsed="false">
      <c r="A693" s="22" t="s">
        <v>1952</v>
      </c>
      <c r="B693" s="22" t="s">
        <v>1953</v>
      </c>
      <c r="C693" s="22" t="s">
        <v>162</v>
      </c>
      <c r="D693" s="22" t="s">
        <v>885</v>
      </c>
      <c r="E693" s="22" t="n">
        <v>50.6</v>
      </c>
      <c r="F693" s="22" t="s">
        <v>175</v>
      </c>
    </row>
    <row r="694" customFormat="false" ht="15" hidden="false" customHeight="false" outlineLevel="0" collapsed="false">
      <c r="A694" s="22" t="s">
        <v>1954</v>
      </c>
      <c r="B694" s="22" t="s">
        <v>1955</v>
      </c>
      <c r="C694" s="22" t="s">
        <v>162</v>
      </c>
      <c r="D694" s="22" t="s">
        <v>1956</v>
      </c>
      <c r="E694" s="22" t="n">
        <v>26.8</v>
      </c>
      <c r="F694" s="22" t="s">
        <v>171</v>
      </c>
    </row>
    <row r="695" customFormat="false" ht="15" hidden="false" customHeight="false" outlineLevel="0" collapsed="false">
      <c r="A695" s="22" t="s">
        <v>1957</v>
      </c>
      <c r="B695" s="22" t="s">
        <v>1958</v>
      </c>
      <c r="C695" s="22" t="s">
        <v>162</v>
      </c>
      <c r="D695" s="22" t="s">
        <v>1959</v>
      </c>
      <c r="E695" s="22" t="n">
        <v>40.1</v>
      </c>
      <c r="F695" s="22" t="s">
        <v>175</v>
      </c>
    </row>
    <row r="696" customFormat="false" ht="15" hidden="false" customHeight="false" outlineLevel="0" collapsed="false">
      <c r="A696" s="22" t="s">
        <v>1960</v>
      </c>
      <c r="B696" s="22" t="s">
        <v>1961</v>
      </c>
      <c r="C696" s="22" t="s">
        <v>162</v>
      </c>
      <c r="D696" s="22" t="s">
        <v>1291</v>
      </c>
      <c r="E696" s="22" t="n">
        <v>24.6</v>
      </c>
      <c r="F696" s="22" t="s">
        <v>164</v>
      </c>
    </row>
    <row r="697" customFormat="false" ht="15" hidden="false" customHeight="false" outlineLevel="0" collapsed="false">
      <c r="A697" s="22" t="s">
        <v>1962</v>
      </c>
      <c r="B697" s="22" t="s">
        <v>1963</v>
      </c>
      <c r="C697" s="22" t="s">
        <v>162</v>
      </c>
      <c r="D697" s="22" t="s">
        <v>1125</v>
      </c>
      <c r="E697" s="22" t="n">
        <v>59.7</v>
      </c>
      <c r="F697" s="22" t="s">
        <v>159</v>
      </c>
    </row>
    <row r="698" customFormat="false" ht="15" hidden="false" customHeight="false" outlineLevel="0" collapsed="false">
      <c r="A698" s="22" t="s">
        <v>1964</v>
      </c>
      <c r="B698" s="22" t="s">
        <v>1965</v>
      </c>
      <c r="C698" s="22" t="s">
        <v>162</v>
      </c>
      <c r="D698" s="22" t="s">
        <v>781</v>
      </c>
      <c r="E698" s="22" t="n">
        <v>35.1</v>
      </c>
      <c r="F698" s="22" t="s">
        <v>164</v>
      </c>
    </row>
    <row r="699" customFormat="false" ht="15" hidden="false" customHeight="false" outlineLevel="0" collapsed="false">
      <c r="A699" s="22" t="s">
        <v>1966</v>
      </c>
      <c r="B699" s="22" t="s">
        <v>1967</v>
      </c>
      <c r="C699" s="22" t="s">
        <v>207</v>
      </c>
      <c r="D699" s="22" t="s">
        <v>1968</v>
      </c>
      <c r="E699" s="22" t="n">
        <v>33.5</v>
      </c>
      <c r="F699" s="22" t="s">
        <v>164</v>
      </c>
    </row>
    <row r="700" customFormat="false" ht="15" hidden="false" customHeight="false" outlineLevel="0" collapsed="false">
      <c r="A700" s="22" t="s">
        <v>1969</v>
      </c>
      <c r="B700" s="22" t="s">
        <v>1970</v>
      </c>
      <c r="C700" s="22" t="s">
        <v>162</v>
      </c>
      <c r="D700" s="22" t="s">
        <v>1971</v>
      </c>
      <c r="E700" s="22" t="n">
        <v>47.8</v>
      </c>
      <c r="F700" s="22" t="s">
        <v>175</v>
      </c>
    </row>
    <row r="701" customFormat="false" ht="15" hidden="false" customHeight="false" outlineLevel="0" collapsed="false">
      <c r="A701" s="22" t="s">
        <v>1972</v>
      </c>
      <c r="B701" s="22" t="s">
        <v>1973</v>
      </c>
      <c r="C701" s="22" t="s">
        <v>162</v>
      </c>
      <c r="D701" s="22" t="s">
        <v>1974</v>
      </c>
      <c r="E701" s="22" t="n">
        <v>61.8</v>
      </c>
      <c r="F701" s="22" t="s">
        <v>175</v>
      </c>
    </row>
    <row r="702" customFormat="false" ht="15" hidden="false" customHeight="false" outlineLevel="0" collapsed="false">
      <c r="A702" s="22" t="s">
        <v>1975</v>
      </c>
      <c r="B702" s="22" t="s">
        <v>1976</v>
      </c>
      <c r="C702" s="22" t="s">
        <v>157</v>
      </c>
      <c r="D702" s="22" t="s">
        <v>1977</v>
      </c>
      <c r="E702" s="22" t="n">
        <v>32.9</v>
      </c>
      <c r="F702" s="22" t="s">
        <v>198</v>
      </c>
    </row>
    <row r="703" customFormat="false" ht="15" hidden="false" customHeight="false" outlineLevel="0" collapsed="false">
      <c r="A703" s="22" t="s">
        <v>1978</v>
      </c>
      <c r="B703" s="22" t="s">
        <v>1979</v>
      </c>
      <c r="C703" s="22" t="s">
        <v>162</v>
      </c>
      <c r="D703" s="22" t="s">
        <v>799</v>
      </c>
      <c r="E703" s="22" t="n">
        <v>58.3</v>
      </c>
      <c r="F703" s="22" t="s">
        <v>215</v>
      </c>
    </row>
    <row r="704" customFormat="false" ht="15" hidden="false" customHeight="false" outlineLevel="0" collapsed="false">
      <c r="A704" s="22" t="s">
        <v>1980</v>
      </c>
      <c r="B704" s="22" t="s">
        <v>1981</v>
      </c>
      <c r="C704" s="22" t="s">
        <v>162</v>
      </c>
      <c r="D704" s="22" t="s">
        <v>1982</v>
      </c>
      <c r="E704" s="22" t="n">
        <v>43.7</v>
      </c>
      <c r="F704" s="22" t="s">
        <v>175</v>
      </c>
    </row>
    <row r="705" customFormat="false" ht="15" hidden="false" customHeight="false" outlineLevel="0" collapsed="false">
      <c r="A705" s="22" t="s">
        <v>1983</v>
      </c>
      <c r="B705" s="22" t="s">
        <v>1984</v>
      </c>
      <c r="C705" s="22" t="s">
        <v>162</v>
      </c>
      <c r="D705" s="22" t="s">
        <v>1051</v>
      </c>
      <c r="E705" s="22" t="n">
        <v>24.6</v>
      </c>
      <c r="F705" s="22" t="s">
        <v>164</v>
      </c>
    </row>
    <row r="706" customFormat="false" ht="15" hidden="false" customHeight="false" outlineLevel="0" collapsed="false">
      <c r="A706" s="22" t="s">
        <v>1985</v>
      </c>
      <c r="B706" s="22" t="s">
        <v>1986</v>
      </c>
      <c r="C706" s="22" t="s">
        <v>162</v>
      </c>
      <c r="D706" s="22" t="s">
        <v>445</v>
      </c>
      <c r="E706" s="22" t="n">
        <v>31.4</v>
      </c>
      <c r="F706" s="22" t="s">
        <v>164</v>
      </c>
    </row>
    <row r="707" customFormat="false" ht="15" hidden="false" customHeight="false" outlineLevel="0" collapsed="false">
      <c r="A707" s="22" t="s">
        <v>1987</v>
      </c>
      <c r="B707" s="22" t="s">
        <v>1988</v>
      </c>
      <c r="C707" s="22" t="s">
        <v>162</v>
      </c>
      <c r="D707" s="22" t="s">
        <v>616</v>
      </c>
      <c r="E707" s="22" t="n">
        <v>53.2</v>
      </c>
      <c r="F707" s="22" t="s">
        <v>164</v>
      </c>
    </row>
    <row r="708" customFormat="false" ht="15" hidden="false" customHeight="false" outlineLevel="0" collapsed="false">
      <c r="A708" s="22" t="s">
        <v>1989</v>
      </c>
      <c r="B708" s="22" t="s">
        <v>1990</v>
      </c>
      <c r="C708" s="22" t="s">
        <v>162</v>
      </c>
      <c r="D708" s="22" t="s">
        <v>1991</v>
      </c>
      <c r="E708" s="22" t="n">
        <v>29.2</v>
      </c>
      <c r="F708" s="22" t="s">
        <v>198</v>
      </c>
    </row>
    <row r="709" customFormat="false" ht="15" hidden="false" customHeight="false" outlineLevel="0" collapsed="false">
      <c r="A709" s="22" t="s">
        <v>1992</v>
      </c>
      <c r="B709" s="22" t="s">
        <v>1993</v>
      </c>
      <c r="C709" s="22" t="s">
        <v>162</v>
      </c>
      <c r="D709" s="22" t="s">
        <v>755</v>
      </c>
      <c r="E709" s="22" t="n">
        <v>56.8</v>
      </c>
      <c r="F709" s="22" t="s">
        <v>175</v>
      </c>
    </row>
    <row r="710" customFormat="false" ht="15" hidden="false" customHeight="false" outlineLevel="0" collapsed="false">
      <c r="A710" s="22" t="s">
        <v>1994</v>
      </c>
      <c r="B710" s="22" t="s">
        <v>1995</v>
      </c>
      <c r="C710" s="22" t="s">
        <v>162</v>
      </c>
      <c r="D710" s="22" t="s">
        <v>1996</v>
      </c>
      <c r="E710" s="22" t="n">
        <v>53.5</v>
      </c>
      <c r="F710" s="22" t="s">
        <v>164</v>
      </c>
    </row>
    <row r="711" customFormat="false" ht="15" hidden="false" customHeight="false" outlineLevel="0" collapsed="false">
      <c r="A711" s="22" t="s">
        <v>1997</v>
      </c>
      <c r="B711" s="22" t="s">
        <v>1998</v>
      </c>
      <c r="C711" s="22" t="s">
        <v>162</v>
      </c>
      <c r="D711" s="22" t="s">
        <v>463</v>
      </c>
      <c r="E711" s="22" t="n">
        <v>25.1</v>
      </c>
      <c r="F711" s="22" t="s">
        <v>215</v>
      </c>
    </row>
    <row r="712" customFormat="false" ht="15" hidden="false" customHeight="false" outlineLevel="0" collapsed="false">
      <c r="A712" s="22" t="s">
        <v>1999</v>
      </c>
      <c r="B712" s="22" t="s">
        <v>2000</v>
      </c>
      <c r="C712" s="22" t="s">
        <v>162</v>
      </c>
      <c r="D712" s="22" t="s">
        <v>2001</v>
      </c>
      <c r="E712" s="22" t="n">
        <v>51.4</v>
      </c>
      <c r="F712" s="22" t="s">
        <v>198</v>
      </c>
    </row>
    <row r="713" customFormat="false" ht="15" hidden="false" customHeight="false" outlineLevel="0" collapsed="false">
      <c r="A713" s="22" t="s">
        <v>2002</v>
      </c>
      <c r="B713" s="22" t="s">
        <v>2003</v>
      </c>
      <c r="C713" s="22" t="s">
        <v>207</v>
      </c>
      <c r="D713" s="22" t="s">
        <v>893</v>
      </c>
      <c r="E713" s="22" t="n">
        <v>49.4</v>
      </c>
      <c r="F713" s="22" t="s">
        <v>175</v>
      </c>
    </row>
    <row r="714" customFormat="false" ht="15" hidden="false" customHeight="false" outlineLevel="0" collapsed="false">
      <c r="A714" s="22" t="s">
        <v>2004</v>
      </c>
      <c r="B714" s="22" t="s">
        <v>2005</v>
      </c>
      <c r="C714" s="22" t="s">
        <v>162</v>
      </c>
      <c r="D714" s="22" t="s">
        <v>959</v>
      </c>
      <c r="E714" s="22" t="n">
        <v>40.5</v>
      </c>
      <c r="F714" s="22" t="s">
        <v>175</v>
      </c>
    </row>
    <row r="715" customFormat="false" ht="15" hidden="false" customHeight="false" outlineLevel="0" collapsed="false">
      <c r="A715" s="22" t="s">
        <v>2006</v>
      </c>
      <c r="B715" s="22" t="s">
        <v>2007</v>
      </c>
      <c r="C715" s="22" t="s">
        <v>162</v>
      </c>
      <c r="D715" s="22" t="s">
        <v>812</v>
      </c>
      <c r="E715" s="22" t="n">
        <v>23.7</v>
      </c>
      <c r="F715" s="22" t="s">
        <v>215</v>
      </c>
    </row>
    <row r="716" customFormat="false" ht="15" hidden="false" customHeight="false" outlineLevel="0" collapsed="false">
      <c r="A716" s="22" t="s">
        <v>2008</v>
      </c>
      <c r="B716" s="22" t="s">
        <v>2009</v>
      </c>
      <c r="C716" s="22" t="s">
        <v>162</v>
      </c>
      <c r="D716" s="22" t="s">
        <v>1400</v>
      </c>
      <c r="E716" s="22" t="n">
        <v>30.1</v>
      </c>
      <c r="F716" s="22" t="s">
        <v>164</v>
      </c>
    </row>
    <row r="717" customFormat="false" ht="15" hidden="false" customHeight="false" outlineLevel="0" collapsed="false">
      <c r="A717" s="22" t="s">
        <v>2010</v>
      </c>
      <c r="B717" s="22" t="s">
        <v>2011</v>
      </c>
      <c r="C717" s="22" t="s">
        <v>162</v>
      </c>
      <c r="D717" s="22" t="s">
        <v>2012</v>
      </c>
      <c r="E717" s="22" t="n">
        <v>32.5</v>
      </c>
      <c r="F717" s="22" t="s">
        <v>159</v>
      </c>
    </row>
    <row r="718" customFormat="false" ht="15" hidden="false" customHeight="false" outlineLevel="0" collapsed="false">
      <c r="A718" s="22" t="s">
        <v>2013</v>
      </c>
      <c r="B718" s="22" t="s">
        <v>2014</v>
      </c>
      <c r="C718" s="22" t="s">
        <v>162</v>
      </c>
      <c r="D718" s="22" t="s">
        <v>2015</v>
      </c>
      <c r="E718" s="22" t="n">
        <v>31.3</v>
      </c>
      <c r="F718" s="22" t="s">
        <v>164</v>
      </c>
    </row>
    <row r="719" customFormat="false" ht="15" hidden="false" customHeight="false" outlineLevel="0" collapsed="false">
      <c r="A719" s="22" t="s">
        <v>2016</v>
      </c>
      <c r="B719" s="22" t="s">
        <v>2017</v>
      </c>
      <c r="C719" s="22" t="s">
        <v>162</v>
      </c>
      <c r="D719" s="22" t="s">
        <v>307</v>
      </c>
      <c r="E719" s="22" t="n">
        <v>20.6</v>
      </c>
      <c r="F719" s="22" t="s">
        <v>164</v>
      </c>
    </row>
    <row r="720" customFormat="false" ht="15" hidden="false" customHeight="false" outlineLevel="0" collapsed="false">
      <c r="A720" s="22" t="s">
        <v>2018</v>
      </c>
      <c r="B720" s="22" t="s">
        <v>2019</v>
      </c>
      <c r="C720" s="22" t="s">
        <v>162</v>
      </c>
      <c r="D720" s="22" t="s">
        <v>2020</v>
      </c>
      <c r="E720" s="22" t="n">
        <v>52.1</v>
      </c>
      <c r="F720" s="22" t="s">
        <v>175</v>
      </c>
    </row>
    <row r="721" customFormat="false" ht="15" hidden="false" customHeight="false" outlineLevel="0" collapsed="false">
      <c r="A721" s="22" t="s">
        <v>2021</v>
      </c>
      <c r="B721" s="22" t="s">
        <v>2022</v>
      </c>
      <c r="C721" s="22" t="s">
        <v>207</v>
      </c>
      <c r="D721" s="22" t="s">
        <v>2023</v>
      </c>
      <c r="E721" s="22" t="n">
        <v>27.2</v>
      </c>
      <c r="F721" s="22" t="s">
        <v>164</v>
      </c>
    </row>
    <row r="722" customFormat="false" ht="15" hidden="false" customHeight="false" outlineLevel="0" collapsed="false">
      <c r="A722" s="22" t="s">
        <v>2024</v>
      </c>
      <c r="B722" s="22" t="s">
        <v>2025</v>
      </c>
      <c r="C722" s="22" t="s">
        <v>162</v>
      </c>
      <c r="D722" s="22" t="s">
        <v>626</v>
      </c>
      <c r="E722" s="22" t="n">
        <v>44.9</v>
      </c>
      <c r="F722" s="22" t="s">
        <v>164</v>
      </c>
    </row>
    <row r="723" customFormat="false" ht="15" hidden="false" customHeight="false" outlineLevel="0" collapsed="false">
      <c r="A723" s="22" t="s">
        <v>2026</v>
      </c>
      <c r="B723" s="22" t="s">
        <v>2027</v>
      </c>
      <c r="C723" s="22" t="s">
        <v>162</v>
      </c>
      <c r="D723" s="22" t="s">
        <v>947</v>
      </c>
      <c r="E723" s="22" t="n">
        <v>44.6</v>
      </c>
      <c r="F723" s="22" t="s">
        <v>164</v>
      </c>
    </row>
    <row r="724" customFormat="false" ht="15" hidden="false" customHeight="false" outlineLevel="0" collapsed="false">
      <c r="A724" s="22" t="s">
        <v>2028</v>
      </c>
      <c r="B724" s="22" t="s">
        <v>2029</v>
      </c>
      <c r="C724" s="22" t="s">
        <v>162</v>
      </c>
      <c r="D724" s="22" t="s">
        <v>642</v>
      </c>
      <c r="E724" s="22" t="n">
        <v>22.9</v>
      </c>
      <c r="F724" s="22" t="s">
        <v>164</v>
      </c>
    </row>
    <row r="725" customFormat="false" ht="15" hidden="false" customHeight="false" outlineLevel="0" collapsed="false">
      <c r="A725" s="22" t="s">
        <v>2030</v>
      </c>
      <c r="B725" s="22" t="s">
        <v>2031</v>
      </c>
      <c r="C725" s="22" t="s">
        <v>162</v>
      </c>
      <c r="D725" s="22" t="s">
        <v>260</v>
      </c>
      <c r="E725" s="22" t="n">
        <v>23.1</v>
      </c>
      <c r="F725" s="22" t="s">
        <v>164</v>
      </c>
    </row>
    <row r="726" customFormat="false" ht="15" hidden="false" customHeight="false" outlineLevel="0" collapsed="false">
      <c r="A726" s="22" t="s">
        <v>2032</v>
      </c>
      <c r="B726" s="22" t="s">
        <v>2033</v>
      </c>
      <c r="C726" s="22" t="s">
        <v>157</v>
      </c>
      <c r="D726" s="22" t="s">
        <v>2034</v>
      </c>
      <c r="E726" s="22" t="n">
        <v>39.1</v>
      </c>
      <c r="F726" s="22" t="s">
        <v>175</v>
      </c>
    </row>
    <row r="727" customFormat="false" ht="15" hidden="false" customHeight="false" outlineLevel="0" collapsed="false">
      <c r="A727" s="22" t="s">
        <v>2035</v>
      </c>
      <c r="B727" s="22" t="s">
        <v>537</v>
      </c>
      <c r="C727" s="22" t="s">
        <v>162</v>
      </c>
      <c r="D727" s="22" t="s">
        <v>1532</v>
      </c>
      <c r="E727" s="22" t="n">
        <v>49.9</v>
      </c>
      <c r="F727" s="22" t="s">
        <v>175</v>
      </c>
    </row>
    <row r="728" customFormat="false" ht="15" hidden="false" customHeight="false" outlineLevel="0" collapsed="false">
      <c r="A728" s="22" t="s">
        <v>2036</v>
      </c>
      <c r="B728" s="22" t="s">
        <v>2037</v>
      </c>
      <c r="C728" s="22" t="s">
        <v>157</v>
      </c>
      <c r="D728" s="22" t="s">
        <v>2038</v>
      </c>
      <c r="E728" s="22" t="n">
        <v>39.9</v>
      </c>
      <c r="F728" s="22" t="s">
        <v>198</v>
      </c>
    </row>
    <row r="729" customFormat="false" ht="15" hidden="false" customHeight="false" outlineLevel="0" collapsed="false">
      <c r="A729" s="22" t="s">
        <v>2039</v>
      </c>
      <c r="B729" s="22" t="s">
        <v>2040</v>
      </c>
      <c r="C729" s="22" t="s">
        <v>157</v>
      </c>
      <c r="D729" s="22" t="s">
        <v>805</v>
      </c>
      <c r="E729" s="22" t="n">
        <v>22.9</v>
      </c>
      <c r="F729" s="22" t="s">
        <v>499</v>
      </c>
    </row>
    <row r="730" customFormat="false" ht="15" hidden="false" customHeight="false" outlineLevel="0" collapsed="false">
      <c r="A730" s="22" t="s">
        <v>2041</v>
      </c>
      <c r="B730" s="22" t="s">
        <v>2042</v>
      </c>
      <c r="C730" s="22" t="s">
        <v>162</v>
      </c>
      <c r="D730" s="22" t="s">
        <v>495</v>
      </c>
      <c r="E730" s="22" t="n">
        <v>39.6</v>
      </c>
      <c r="F730" s="22" t="s">
        <v>171</v>
      </c>
    </row>
    <row r="731" customFormat="false" ht="15" hidden="false" customHeight="false" outlineLevel="0" collapsed="false">
      <c r="A731" s="22" t="s">
        <v>2043</v>
      </c>
      <c r="B731" s="22" t="s">
        <v>2044</v>
      </c>
      <c r="C731" s="22" t="s">
        <v>162</v>
      </c>
      <c r="D731" s="22" t="s">
        <v>1288</v>
      </c>
      <c r="E731" s="22" t="n">
        <v>45.6</v>
      </c>
      <c r="F731" s="22" t="s">
        <v>175</v>
      </c>
    </row>
    <row r="732" customFormat="false" ht="15" hidden="false" customHeight="false" outlineLevel="0" collapsed="false">
      <c r="A732" s="22" t="s">
        <v>2045</v>
      </c>
      <c r="B732" s="22" t="s">
        <v>2046</v>
      </c>
      <c r="C732" s="22" t="s">
        <v>162</v>
      </c>
      <c r="D732" s="22" t="s">
        <v>1291</v>
      </c>
      <c r="E732" s="22" t="n">
        <v>18.4</v>
      </c>
      <c r="F732" s="22" t="s">
        <v>188</v>
      </c>
    </row>
    <row r="733" customFormat="false" ht="15" hidden="false" customHeight="false" outlineLevel="0" collapsed="false">
      <c r="A733" s="22" t="s">
        <v>2047</v>
      </c>
      <c r="B733" s="22" t="s">
        <v>2048</v>
      </c>
      <c r="C733" s="22" t="s">
        <v>162</v>
      </c>
      <c r="D733" s="22" t="s">
        <v>645</v>
      </c>
      <c r="E733" s="22" t="n">
        <v>22.7</v>
      </c>
      <c r="F733" s="22" t="s">
        <v>171</v>
      </c>
    </row>
    <row r="734" customFormat="false" ht="15" hidden="false" customHeight="false" outlineLevel="0" collapsed="false">
      <c r="A734" s="22" t="s">
        <v>2049</v>
      </c>
      <c r="B734" s="22" t="s">
        <v>2050</v>
      </c>
      <c r="C734" s="22" t="s">
        <v>162</v>
      </c>
      <c r="D734" s="22" t="s">
        <v>181</v>
      </c>
      <c r="E734" s="22" t="n">
        <v>58.5</v>
      </c>
      <c r="F734" s="22" t="s">
        <v>164</v>
      </c>
    </row>
    <row r="735" customFormat="false" ht="15" hidden="false" customHeight="false" outlineLevel="0" collapsed="false">
      <c r="A735" s="22" t="s">
        <v>2051</v>
      </c>
      <c r="B735" s="22" t="s">
        <v>2052</v>
      </c>
      <c r="C735" s="22" t="s">
        <v>162</v>
      </c>
      <c r="D735" s="22" t="s">
        <v>832</v>
      </c>
      <c r="E735" s="22" t="n">
        <v>48.9</v>
      </c>
      <c r="F735" s="22" t="s">
        <v>164</v>
      </c>
    </row>
    <row r="736" customFormat="false" ht="15" hidden="false" customHeight="false" outlineLevel="0" collapsed="false">
      <c r="A736" s="22" t="s">
        <v>2053</v>
      </c>
      <c r="B736" s="22" t="s">
        <v>2054</v>
      </c>
      <c r="C736" s="22" t="s">
        <v>162</v>
      </c>
      <c r="D736" s="22" t="s">
        <v>690</v>
      </c>
      <c r="E736" s="22" t="n">
        <v>55.3</v>
      </c>
      <c r="F736" s="22" t="s">
        <v>164</v>
      </c>
    </row>
    <row r="737" customFormat="false" ht="15" hidden="false" customHeight="false" outlineLevel="0" collapsed="false">
      <c r="A737" s="22" t="s">
        <v>2055</v>
      </c>
      <c r="B737" s="22" t="s">
        <v>2056</v>
      </c>
      <c r="C737" s="22" t="s">
        <v>162</v>
      </c>
      <c r="D737" s="22" t="s">
        <v>2057</v>
      </c>
      <c r="E737" s="22" t="n">
        <v>22.5</v>
      </c>
      <c r="F737" s="22" t="s">
        <v>198</v>
      </c>
    </row>
    <row r="738" customFormat="false" ht="15" hidden="false" customHeight="false" outlineLevel="0" collapsed="false">
      <c r="A738" s="22" t="s">
        <v>2058</v>
      </c>
      <c r="B738" s="22" t="s">
        <v>2059</v>
      </c>
      <c r="C738" s="22" t="s">
        <v>162</v>
      </c>
      <c r="D738" s="22" t="s">
        <v>950</v>
      </c>
      <c r="E738" s="22" t="n">
        <v>57.9</v>
      </c>
      <c r="F738" s="22" t="s">
        <v>188</v>
      </c>
    </row>
    <row r="739" customFormat="false" ht="15" hidden="false" customHeight="false" outlineLevel="0" collapsed="false">
      <c r="A739" s="22" t="s">
        <v>2060</v>
      </c>
      <c r="B739" s="22" t="s">
        <v>2061</v>
      </c>
      <c r="C739" s="22" t="s">
        <v>162</v>
      </c>
      <c r="D739" s="22" t="s">
        <v>591</v>
      </c>
      <c r="E739" s="22" t="n">
        <v>56.3</v>
      </c>
      <c r="F739" s="22" t="s">
        <v>198</v>
      </c>
    </row>
    <row r="740" customFormat="false" ht="15" hidden="false" customHeight="false" outlineLevel="0" collapsed="false">
      <c r="A740" s="22" t="s">
        <v>2062</v>
      </c>
      <c r="B740" s="22" t="s">
        <v>2063</v>
      </c>
      <c r="C740" s="22" t="s">
        <v>162</v>
      </c>
      <c r="D740" s="22" t="s">
        <v>1428</v>
      </c>
      <c r="E740" s="22" t="n">
        <v>20.3</v>
      </c>
      <c r="F740" s="22" t="s">
        <v>164</v>
      </c>
    </row>
    <row r="741" customFormat="false" ht="15" hidden="false" customHeight="false" outlineLevel="0" collapsed="false">
      <c r="A741" s="22" t="s">
        <v>2064</v>
      </c>
      <c r="B741" s="22" t="s">
        <v>2065</v>
      </c>
      <c r="C741" s="22" t="s">
        <v>162</v>
      </c>
      <c r="D741" s="22" t="s">
        <v>428</v>
      </c>
      <c r="E741" s="22" t="n">
        <v>43.4</v>
      </c>
      <c r="F741" s="22" t="s">
        <v>198</v>
      </c>
    </row>
    <row r="742" customFormat="false" ht="15" hidden="false" customHeight="false" outlineLevel="0" collapsed="false">
      <c r="A742" s="22" t="s">
        <v>2066</v>
      </c>
      <c r="B742" s="22" t="s">
        <v>2067</v>
      </c>
      <c r="C742" s="22" t="s">
        <v>162</v>
      </c>
      <c r="D742" s="22" t="s">
        <v>720</v>
      </c>
      <c r="E742" s="22" t="n">
        <v>31.6</v>
      </c>
      <c r="F742" s="22" t="s">
        <v>198</v>
      </c>
    </row>
    <row r="743" customFormat="false" ht="15" hidden="false" customHeight="false" outlineLevel="0" collapsed="false">
      <c r="A743" s="22" t="s">
        <v>2068</v>
      </c>
      <c r="B743" s="22" t="s">
        <v>2069</v>
      </c>
      <c r="C743" s="22" t="s">
        <v>162</v>
      </c>
      <c r="D743" s="22" t="s">
        <v>956</v>
      </c>
      <c r="E743" s="22" t="n">
        <v>29.1</v>
      </c>
      <c r="F743" s="22" t="s">
        <v>175</v>
      </c>
    </row>
    <row r="744" customFormat="false" ht="15" hidden="false" customHeight="false" outlineLevel="0" collapsed="false">
      <c r="A744" s="22" t="s">
        <v>2070</v>
      </c>
      <c r="B744" s="22" t="s">
        <v>2071</v>
      </c>
      <c r="C744" s="22" t="s">
        <v>162</v>
      </c>
      <c r="D744" s="22" t="s">
        <v>924</v>
      </c>
      <c r="E744" s="22" t="n">
        <v>24.1</v>
      </c>
      <c r="F744" s="22" t="s">
        <v>164</v>
      </c>
    </row>
    <row r="745" customFormat="false" ht="15" hidden="false" customHeight="false" outlineLevel="0" collapsed="false">
      <c r="A745" s="22" t="s">
        <v>2072</v>
      </c>
      <c r="B745" s="22" t="s">
        <v>2073</v>
      </c>
      <c r="C745" s="22" t="s">
        <v>162</v>
      </c>
      <c r="D745" s="22" t="s">
        <v>296</v>
      </c>
      <c r="E745" s="22" t="n">
        <v>30.2</v>
      </c>
      <c r="F745" s="22" t="s">
        <v>171</v>
      </c>
    </row>
    <row r="746" customFormat="false" ht="15" hidden="false" customHeight="false" outlineLevel="0" collapsed="false">
      <c r="A746" s="22" t="s">
        <v>2074</v>
      </c>
      <c r="B746" s="22" t="s">
        <v>2075</v>
      </c>
      <c r="C746" s="22" t="s">
        <v>207</v>
      </c>
      <c r="D746" s="22" t="s">
        <v>602</v>
      </c>
      <c r="E746" s="22" t="n">
        <v>51.4</v>
      </c>
      <c r="F746" s="22" t="s">
        <v>164</v>
      </c>
    </row>
    <row r="747" customFormat="false" ht="15" hidden="false" customHeight="false" outlineLevel="0" collapsed="false">
      <c r="A747" s="22" t="s">
        <v>2076</v>
      </c>
      <c r="B747" s="22" t="s">
        <v>2077</v>
      </c>
      <c r="C747" s="22" t="s">
        <v>162</v>
      </c>
      <c r="D747" s="22" t="s">
        <v>2078</v>
      </c>
      <c r="E747" s="22" t="n">
        <v>55.1</v>
      </c>
      <c r="F747" s="22" t="s">
        <v>175</v>
      </c>
    </row>
    <row r="748" customFormat="false" ht="15" hidden="false" customHeight="false" outlineLevel="0" collapsed="false">
      <c r="A748" s="22" t="s">
        <v>2079</v>
      </c>
      <c r="B748" s="22" t="s">
        <v>2080</v>
      </c>
      <c r="C748" s="22" t="s">
        <v>162</v>
      </c>
      <c r="D748" s="22" t="s">
        <v>2081</v>
      </c>
      <c r="E748" s="22" t="n">
        <v>50.9</v>
      </c>
      <c r="F748" s="22" t="s">
        <v>175</v>
      </c>
    </row>
    <row r="749" customFormat="false" ht="15" hidden="false" customHeight="false" outlineLevel="0" collapsed="false">
      <c r="A749" s="22" t="s">
        <v>2082</v>
      </c>
      <c r="B749" s="22" t="s">
        <v>2083</v>
      </c>
      <c r="C749" s="22" t="s">
        <v>162</v>
      </c>
      <c r="D749" s="22" t="s">
        <v>1977</v>
      </c>
      <c r="E749" s="22" t="n">
        <v>22.5</v>
      </c>
      <c r="F749" s="22" t="s">
        <v>198</v>
      </c>
    </row>
    <row r="750" customFormat="false" ht="15" hidden="false" customHeight="false" outlineLevel="0" collapsed="false">
      <c r="A750" s="22" t="s">
        <v>2084</v>
      </c>
      <c r="B750" s="22" t="s">
        <v>2085</v>
      </c>
      <c r="C750" s="22" t="s">
        <v>162</v>
      </c>
      <c r="D750" s="22" t="s">
        <v>1668</v>
      </c>
      <c r="E750" s="22" t="n">
        <v>38.5</v>
      </c>
      <c r="F750" s="22" t="s">
        <v>198</v>
      </c>
    </row>
    <row r="751" customFormat="false" ht="15" hidden="false" customHeight="false" outlineLevel="0" collapsed="false">
      <c r="A751" s="22" t="s">
        <v>2086</v>
      </c>
      <c r="B751" s="22" t="s">
        <v>2087</v>
      </c>
      <c r="C751" s="22" t="s">
        <v>162</v>
      </c>
      <c r="D751" s="22" t="s">
        <v>1169</v>
      </c>
      <c r="E751" s="22" t="n">
        <v>54.7</v>
      </c>
      <c r="F751" s="22" t="s">
        <v>159</v>
      </c>
    </row>
    <row r="752" customFormat="false" ht="15" hidden="false" customHeight="false" outlineLevel="0" collapsed="false">
      <c r="A752" s="22" t="s">
        <v>2088</v>
      </c>
      <c r="B752" s="22" t="s">
        <v>2089</v>
      </c>
      <c r="C752" s="22" t="s">
        <v>162</v>
      </c>
      <c r="D752" s="22" t="s">
        <v>284</v>
      </c>
      <c r="E752" s="22" t="n">
        <v>58.1</v>
      </c>
      <c r="F752" s="22" t="s">
        <v>164</v>
      </c>
    </row>
    <row r="753" customFormat="false" ht="15" hidden="false" customHeight="false" outlineLevel="0" collapsed="false">
      <c r="A753" s="22" t="s">
        <v>2090</v>
      </c>
      <c r="B753" s="22" t="s">
        <v>2091</v>
      </c>
      <c r="C753" s="22" t="s">
        <v>162</v>
      </c>
      <c r="D753" s="22" t="s">
        <v>333</v>
      </c>
      <c r="E753" s="22" t="n">
        <v>50.7</v>
      </c>
      <c r="F753" s="22" t="s">
        <v>188</v>
      </c>
    </row>
    <row r="754" customFormat="false" ht="15" hidden="false" customHeight="false" outlineLevel="0" collapsed="false">
      <c r="A754" s="22" t="s">
        <v>2092</v>
      </c>
      <c r="B754" s="22" t="s">
        <v>2093</v>
      </c>
      <c r="C754" s="22" t="s">
        <v>162</v>
      </c>
      <c r="D754" s="22" t="s">
        <v>1687</v>
      </c>
      <c r="E754" s="22" t="n">
        <v>31.4</v>
      </c>
      <c r="F754" s="22" t="s">
        <v>175</v>
      </c>
    </row>
    <row r="755" customFormat="false" ht="15" hidden="false" customHeight="false" outlineLevel="0" collapsed="false">
      <c r="A755" s="22" t="s">
        <v>2094</v>
      </c>
      <c r="B755" s="22" t="s">
        <v>2095</v>
      </c>
      <c r="C755" s="22" t="s">
        <v>162</v>
      </c>
      <c r="D755" s="22" t="s">
        <v>2034</v>
      </c>
      <c r="E755" s="22" t="n">
        <v>60.1</v>
      </c>
      <c r="F755" s="22" t="s">
        <v>198</v>
      </c>
    </row>
    <row r="756" customFormat="false" ht="15" hidden="false" customHeight="false" outlineLevel="0" collapsed="false">
      <c r="A756" s="22" t="s">
        <v>2096</v>
      </c>
      <c r="B756" s="22" t="s">
        <v>2097</v>
      </c>
      <c r="C756" s="22" t="s">
        <v>162</v>
      </c>
      <c r="D756" s="22" t="s">
        <v>1118</v>
      </c>
      <c r="E756" s="22" t="n">
        <v>49.5</v>
      </c>
      <c r="F756" s="22" t="s">
        <v>164</v>
      </c>
    </row>
    <row r="757" customFormat="false" ht="15" hidden="false" customHeight="false" outlineLevel="0" collapsed="false">
      <c r="A757" s="22" t="s">
        <v>2098</v>
      </c>
      <c r="B757" s="22" t="s">
        <v>2099</v>
      </c>
      <c r="C757" s="22" t="s">
        <v>162</v>
      </c>
      <c r="D757" s="22" t="s">
        <v>1649</v>
      </c>
      <c r="E757" s="22" t="n">
        <v>58.9</v>
      </c>
      <c r="F757" s="22" t="s">
        <v>164</v>
      </c>
    </row>
    <row r="758" customFormat="false" ht="15" hidden="false" customHeight="false" outlineLevel="0" collapsed="false">
      <c r="A758" s="22" t="s">
        <v>2100</v>
      </c>
      <c r="B758" s="22" t="s">
        <v>2101</v>
      </c>
      <c r="C758" s="22" t="s">
        <v>162</v>
      </c>
      <c r="D758" s="22" t="s">
        <v>1175</v>
      </c>
      <c r="E758" s="22" t="n">
        <v>55.2</v>
      </c>
      <c r="F758" s="22" t="s">
        <v>175</v>
      </c>
    </row>
    <row r="759" customFormat="false" ht="15" hidden="false" customHeight="false" outlineLevel="0" collapsed="false">
      <c r="A759" s="22" t="s">
        <v>2102</v>
      </c>
      <c r="B759" s="22" t="s">
        <v>2103</v>
      </c>
      <c r="C759" s="22" t="s">
        <v>162</v>
      </c>
      <c r="D759" s="22" t="s">
        <v>616</v>
      </c>
      <c r="E759" s="22" t="n">
        <v>58.9</v>
      </c>
      <c r="F759" s="22" t="s">
        <v>188</v>
      </c>
    </row>
    <row r="760" customFormat="false" ht="15" hidden="false" customHeight="false" outlineLevel="0" collapsed="false">
      <c r="A760" s="22" t="s">
        <v>2104</v>
      </c>
      <c r="B760" s="22" t="s">
        <v>2105</v>
      </c>
      <c r="C760" s="22" t="s">
        <v>162</v>
      </c>
      <c r="D760" s="22" t="s">
        <v>269</v>
      </c>
      <c r="E760" s="22" t="n">
        <v>60.9</v>
      </c>
      <c r="F760" s="22" t="s">
        <v>175</v>
      </c>
    </row>
    <row r="761" customFormat="false" ht="15" hidden="false" customHeight="false" outlineLevel="0" collapsed="false">
      <c r="A761" s="22" t="s">
        <v>2106</v>
      </c>
      <c r="B761" s="22" t="s">
        <v>2107</v>
      </c>
      <c r="C761" s="22" t="s">
        <v>162</v>
      </c>
      <c r="D761" s="22" t="s">
        <v>2108</v>
      </c>
      <c r="E761" s="22" t="n">
        <v>46.6</v>
      </c>
      <c r="F761" s="22" t="s">
        <v>198</v>
      </c>
    </row>
    <row r="762" customFormat="false" ht="15" hidden="false" customHeight="false" outlineLevel="0" collapsed="false">
      <c r="A762" s="22" t="s">
        <v>2109</v>
      </c>
      <c r="B762" s="22" t="s">
        <v>2110</v>
      </c>
      <c r="C762" s="22" t="s">
        <v>162</v>
      </c>
      <c r="D762" s="22" t="s">
        <v>1758</v>
      </c>
      <c r="E762" s="22" t="n">
        <v>45.2</v>
      </c>
      <c r="F762" s="22" t="s">
        <v>175</v>
      </c>
    </row>
    <row r="763" customFormat="false" ht="15" hidden="false" customHeight="false" outlineLevel="0" collapsed="false">
      <c r="A763" s="22" t="s">
        <v>2111</v>
      </c>
      <c r="B763" s="22" t="s">
        <v>2112</v>
      </c>
      <c r="C763" s="22" t="s">
        <v>162</v>
      </c>
      <c r="D763" s="22" t="s">
        <v>2113</v>
      </c>
      <c r="E763" s="22" t="n">
        <v>28.6</v>
      </c>
      <c r="F763" s="22" t="s">
        <v>164</v>
      </c>
    </row>
    <row r="764" customFormat="false" ht="15" hidden="false" customHeight="false" outlineLevel="0" collapsed="false">
      <c r="A764" s="22" t="s">
        <v>2114</v>
      </c>
      <c r="B764" s="22" t="s">
        <v>2115</v>
      </c>
      <c r="C764" s="22" t="s">
        <v>162</v>
      </c>
      <c r="D764" s="22" t="s">
        <v>2116</v>
      </c>
      <c r="E764" s="22" t="n">
        <v>40.7</v>
      </c>
      <c r="F764" s="22" t="s">
        <v>171</v>
      </c>
    </row>
    <row r="765" customFormat="false" ht="15" hidden="false" customHeight="false" outlineLevel="0" collapsed="false">
      <c r="A765" s="22" t="s">
        <v>2117</v>
      </c>
      <c r="B765" s="22" t="s">
        <v>2118</v>
      </c>
      <c r="C765" s="22" t="s">
        <v>162</v>
      </c>
      <c r="D765" s="22" t="s">
        <v>717</v>
      </c>
      <c r="E765" s="22" t="n">
        <v>25</v>
      </c>
      <c r="F765" s="22" t="s">
        <v>164</v>
      </c>
    </row>
    <row r="766" customFormat="false" ht="15" hidden="false" customHeight="false" outlineLevel="0" collapsed="false">
      <c r="A766" s="22" t="s">
        <v>2119</v>
      </c>
      <c r="B766" s="22" t="s">
        <v>2120</v>
      </c>
      <c r="C766" s="22" t="s">
        <v>162</v>
      </c>
      <c r="D766" s="22" t="s">
        <v>230</v>
      </c>
      <c r="E766" s="22" t="n">
        <v>53.2</v>
      </c>
      <c r="F766" s="22" t="s">
        <v>159</v>
      </c>
    </row>
    <row r="767" customFormat="false" ht="15" hidden="false" customHeight="false" outlineLevel="0" collapsed="false">
      <c r="A767" s="22" t="s">
        <v>2121</v>
      </c>
      <c r="B767" s="22" t="s">
        <v>2122</v>
      </c>
      <c r="C767" s="22" t="s">
        <v>157</v>
      </c>
      <c r="D767" s="22" t="s">
        <v>419</v>
      </c>
      <c r="E767" s="22" t="n">
        <v>56.1</v>
      </c>
      <c r="F767" s="22" t="s">
        <v>175</v>
      </c>
    </row>
    <row r="768" customFormat="false" ht="15" hidden="false" customHeight="false" outlineLevel="0" collapsed="false">
      <c r="A768" s="22" t="s">
        <v>2123</v>
      </c>
      <c r="B768" s="22" t="s">
        <v>2124</v>
      </c>
      <c r="C768" s="22" t="s">
        <v>162</v>
      </c>
      <c r="D768" s="22" t="s">
        <v>1882</v>
      </c>
      <c r="E768" s="22" t="n">
        <v>33.3</v>
      </c>
      <c r="F768" s="22" t="s">
        <v>164</v>
      </c>
    </row>
    <row r="769" customFormat="false" ht="15" hidden="false" customHeight="false" outlineLevel="0" collapsed="false">
      <c r="A769" s="22" t="s">
        <v>2125</v>
      </c>
      <c r="B769" s="22" t="s">
        <v>2126</v>
      </c>
      <c r="C769" s="22" t="s">
        <v>162</v>
      </c>
      <c r="D769" s="22" t="s">
        <v>2127</v>
      </c>
      <c r="E769" s="22" t="n">
        <v>46.5</v>
      </c>
      <c r="F769" s="22" t="s">
        <v>198</v>
      </c>
    </row>
    <row r="770" customFormat="false" ht="15" hidden="false" customHeight="false" outlineLevel="0" collapsed="false">
      <c r="A770" s="22" t="s">
        <v>2128</v>
      </c>
      <c r="B770" s="22" t="s">
        <v>2129</v>
      </c>
      <c r="C770" s="22" t="s">
        <v>162</v>
      </c>
      <c r="D770" s="22" t="s">
        <v>1780</v>
      </c>
      <c r="E770" s="22" t="n">
        <v>59.1</v>
      </c>
      <c r="F770" s="22" t="s">
        <v>198</v>
      </c>
    </row>
    <row r="771" customFormat="false" ht="15" hidden="false" customHeight="false" outlineLevel="0" collapsed="false">
      <c r="A771" s="22" t="s">
        <v>2130</v>
      </c>
      <c r="B771" s="22" t="s">
        <v>2131</v>
      </c>
      <c r="C771" s="22" t="s">
        <v>162</v>
      </c>
      <c r="D771" s="22" t="s">
        <v>257</v>
      </c>
      <c r="E771" s="22" t="n">
        <v>31.4</v>
      </c>
      <c r="F771" s="22" t="s">
        <v>499</v>
      </c>
    </row>
    <row r="772" customFormat="false" ht="15" hidden="false" customHeight="false" outlineLevel="0" collapsed="false">
      <c r="A772" s="22" t="s">
        <v>2132</v>
      </c>
      <c r="B772" s="22" t="s">
        <v>2133</v>
      </c>
      <c r="C772" s="22" t="s">
        <v>162</v>
      </c>
      <c r="D772" s="22" t="s">
        <v>1130</v>
      </c>
      <c r="E772" s="22" t="n">
        <v>52.3</v>
      </c>
      <c r="F772" s="22" t="s">
        <v>198</v>
      </c>
    </row>
    <row r="773" customFormat="false" ht="15" hidden="false" customHeight="false" outlineLevel="0" collapsed="false">
      <c r="A773" s="22" t="s">
        <v>2134</v>
      </c>
      <c r="B773" s="22" t="s">
        <v>2135</v>
      </c>
      <c r="C773" s="22" t="s">
        <v>162</v>
      </c>
      <c r="D773" s="22" t="s">
        <v>1245</v>
      </c>
      <c r="E773" s="22" t="n">
        <v>36.3</v>
      </c>
      <c r="F773" s="22" t="s">
        <v>171</v>
      </c>
    </row>
    <row r="774" customFormat="false" ht="15" hidden="false" customHeight="false" outlineLevel="0" collapsed="false">
      <c r="A774" s="22" t="s">
        <v>2136</v>
      </c>
      <c r="B774" s="22" t="s">
        <v>2137</v>
      </c>
      <c r="C774" s="22" t="s">
        <v>162</v>
      </c>
      <c r="D774" s="22" t="s">
        <v>2138</v>
      </c>
      <c r="E774" s="22" t="n">
        <v>40.5</v>
      </c>
      <c r="F774" s="22" t="s">
        <v>175</v>
      </c>
    </row>
    <row r="775" customFormat="false" ht="15" hidden="false" customHeight="false" outlineLevel="0" collapsed="false">
      <c r="A775" s="22" t="s">
        <v>2139</v>
      </c>
      <c r="B775" s="22" t="s">
        <v>2140</v>
      </c>
      <c r="C775" s="22" t="s">
        <v>162</v>
      </c>
      <c r="D775" s="22" t="s">
        <v>1508</v>
      </c>
      <c r="E775" s="22" t="n">
        <v>47</v>
      </c>
      <c r="F775" s="22" t="s">
        <v>171</v>
      </c>
    </row>
    <row r="776" customFormat="false" ht="15" hidden="false" customHeight="false" outlineLevel="0" collapsed="false">
      <c r="A776" s="22" t="s">
        <v>2141</v>
      </c>
      <c r="B776" s="22" t="s">
        <v>2142</v>
      </c>
      <c r="C776" s="22" t="s">
        <v>162</v>
      </c>
      <c r="D776" s="22" t="s">
        <v>703</v>
      </c>
      <c r="E776" s="22" t="n">
        <v>32.7</v>
      </c>
      <c r="F776" s="22" t="s">
        <v>175</v>
      </c>
    </row>
    <row r="777" customFormat="false" ht="15" hidden="false" customHeight="false" outlineLevel="0" collapsed="false">
      <c r="A777" s="22" t="s">
        <v>2143</v>
      </c>
      <c r="B777" s="22" t="s">
        <v>2144</v>
      </c>
      <c r="C777" s="22" t="s">
        <v>162</v>
      </c>
      <c r="D777" s="22" t="s">
        <v>1077</v>
      </c>
      <c r="E777" s="22" t="n">
        <v>33.3</v>
      </c>
      <c r="F777" s="22" t="s">
        <v>164</v>
      </c>
    </row>
    <row r="778" customFormat="false" ht="15" hidden="false" customHeight="false" outlineLevel="0" collapsed="false">
      <c r="A778" s="22" t="s">
        <v>2145</v>
      </c>
      <c r="B778" s="22" t="s">
        <v>2146</v>
      </c>
      <c r="C778" s="22" t="s">
        <v>162</v>
      </c>
      <c r="D778" s="22" t="s">
        <v>2147</v>
      </c>
      <c r="E778" s="22" t="n">
        <v>33.8</v>
      </c>
      <c r="F778" s="22" t="s">
        <v>171</v>
      </c>
    </row>
    <row r="779" customFormat="false" ht="15" hidden="false" customHeight="false" outlineLevel="0" collapsed="false">
      <c r="A779" s="22" t="s">
        <v>2148</v>
      </c>
      <c r="B779" s="22" t="s">
        <v>2149</v>
      </c>
      <c r="C779" s="22" t="s">
        <v>162</v>
      </c>
      <c r="D779" s="22" t="s">
        <v>2150</v>
      </c>
      <c r="E779" s="22" t="n">
        <v>34.6</v>
      </c>
      <c r="F779" s="22" t="s">
        <v>164</v>
      </c>
    </row>
    <row r="780" customFormat="false" ht="15" hidden="false" customHeight="false" outlineLevel="0" collapsed="false">
      <c r="A780" s="22" t="s">
        <v>2151</v>
      </c>
      <c r="B780" s="22" t="s">
        <v>2152</v>
      </c>
      <c r="C780" s="22" t="s">
        <v>157</v>
      </c>
      <c r="D780" s="22" t="s">
        <v>1974</v>
      </c>
      <c r="E780" s="22" t="n">
        <v>61</v>
      </c>
      <c r="F780" s="22" t="s">
        <v>175</v>
      </c>
    </row>
    <row r="781" customFormat="false" ht="15" hidden="false" customHeight="false" outlineLevel="0" collapsed="false">
      <c r="A781" s="22" t="s">
        <v>2153</v>
      </c>
      <c r="B781" s="22" t="s">
        <v>2154</v>
      </c>
      <c r="C781" s="22" t="s">
        <v>207</v>
      </c>
      <c r="D781" s="22" t="s">
        <v>1217</v>
      </c>
      <c r="E781" s="22" t="n">
        <v>58</v>
      </c>
      <c r="F781" s="22" t="s">
        <v>198</v>
      </c>
    </row>
    <row r="782" customFormat="false" ht="15" hidden="false" customHeight="false" outlineLevel="0" collapsed="false">
      <c r="A782" s="22" t="s">
        <v>2155</v>
      </c>
      <c r="B782" s="22" t="s">
        <v>2156</v>
      </c>
      <c r="C782" s="22" t="s">
        <v>157</v>
      </c>
      <c r="D782" s="22" t="s">
        <v>731</v>
      </c>
      <c r="E782" s="22" t="n">
        <v>35.2</v>
      </c>
      <c r="F782" s="22" t="s">
        <v>164</v>
      </c>
    </row>
    <row r="783" customFormat="false" ht="15" hidden="false" customHeight="false" outlineLevel="0" collapsed="false">
      <c r="A783" s="22" t="s">
        <v>2157</v>
      </c>
      <c r="B783" s="22" t="s">
        <v>2158</v>
      </c>
      <c r="C783" s="22" t="s">
        <v>162</v>
      </c>
      <c r="D783" s="22" t="s">
        <v>1063</v>
      </c>
      <c r="E783" s="22" t="n">
        <v>36.5</v>
      </c>
      <c r="F783" s="22" t="s">
        <v>198</v>
      </c>
    </row>
    <row r="784" customFormat="false" ht="15" hidden="false" customHeight="false" outlineLevel="0" collapsed="false">
      <c r="A784" s="22" t="s">
        <v>2159</v>
      </c>
      <c r="B784" s="22" t="s">
        <v>2160</v>
      </c>
      <c r="C784" s="22" t="s">
        <v>162</v>
      </c>
      <c r="D784" s="22" t="s">
        <v>651</v>
      </c>
      <c r="E784" s="22" t="n">
        <v>43.5</v>
      </c>
      <c r="F784" s="22" t="s">
        <v>175</v>
      </c>
    </row>
    <row r="785" customFormat="false" ht="15" hidden="false" customHeight="false" outlineLevel="0" collapsed="false">
      <c r="A785" s="22" t="s">
        <v>2161</v>
      </c>
      <c r="B785" s="22" t="s">
        <v>2162</v>
      </c>
      <c r="C785" s="22" t="s">
        <v>207</v>
      </c>
      <c r="D785" s="22" t="s">
        <v>519</v>
      </c>
      <c r="E785" s="22" t="n">
        <v>29.3</v>
      </c>
      <c r="F785" s="22" t="s">
        <v>171</v>
      </c>
    </row>
    <row r="786" customFormat="false" ht="15" hidden="false" customHeight="false" outlineLevel="0" collapsed="false">
      <c r="A786" s="22" t="s">
        <v>2163</v>
      </c>
      <c r="B786" s="22" t="s">
        <v>2164</v>
      </c>
      <c r="C786" s="22" t="s">
        <v>162</v>
      </c>
      <c r="D786" s="22" t="s">
        <v>2165</v>
      </c>
      <c r="E786" s="22" t="n">
        <v>61.6</v>
      </c>
      <c r="F786" s="22" t="s">
        <v>175</v>
      </c>
    </row>
    <row r="787" customFormat="false" ht="15" hidden="false" customHeight="false" outlineLevel="0" collapsed="false">
      <c r="A787" s="22" t="s">
        <v>2166</v>
      </c>
      <c r="B787" s="22" t="s">
        <v>2167</v>
      </c>
      <c r="C787" s="22" t="s">
        <v>162</v>
      </c>
      <c r="D787" s="22" t="s">
        <v>672</v>
      </c>
      <c r="E787" s="22" t="n">
        <v>35.5</v>
      </c>
      <c r="F787" s="22" t="s">
        <v>171</v>
      </c>
    </row>
    <row r="788" customFormat="false" ht="15" hidden="false" customHeight="false" outlineLevel="0" collapsed="false">
      <c r="A788" s="22" t="s">
        <v>2168</v>
      </c>
      <c r="B788" s="22" t="s">
        <v>2169</v>
      </c>
      <c r="C788" s="22" t="s">
        <v>162</v>
      </c>
      <c r="D788" s="22" t="s">
        <v>1374</v>
      </c>
      <c r="E788" s="22" t="n">
        <v>47.2</v>
      </c>
      <c r="F788" s="22" t="s">
        <v>175</v>
      </c>
    </row>
    <row r="789" customFormat="false" ht="15" hidden="false" customHeight="false" outlineLevel="0" collapsed="false">
      <c r="A789" s="22" t="s">
        <v>2170</v>
      </c>
      <c r="B789" s="22" t="s">
        <v>2171</v>
      </c>
      <c r="C789" s="22" t="s">
        <v>162</v>
      </c>
      <c r="D789" s="22" t="s">
        <v>2172</v>
      </c>
      <c r="E789" s="22" t="n">
        <v>39</v>
      </c>
      <c r="F789" s="22" t="s">
        <v>499</v>
      </c>
    </row>
    <row r="790" customFormat="false" ht="15" hidden="false" customHeight="false" outlineLevel="0" collapsed="false">
      <c r="A790" s="22" t="s">
        <v>2173</v>
      </c>
      <c r="B790" s="22" t="s">
        <v>2174</v>
      </c>
      <c r="C790" s="22" t="s">
        <v>162</v>
      </c>
      <c r="D790" s="22" t="s">
        <v>281</v>
      </c>
      <c r="E790" s="22" t="n">
        <v>34.1</v>
      </c>
      <c r="F790" s="22" t="s">
        <v>164</v>
      </c>
    </row>
    <row r="791" customFormat="false" ht="15" hidden="false" customHeight="false" outlineLevel="0" collapsed="false">
      <c r="A791" s="22" t="s">
        <v>2175</v>
      </c>
      <c r="B791" s="22" t="s">
        <v>2176</v>
      </c>
      <c r="C791" s="22" t="s">
        <v>162</v>
      </c>
      <c r="D791" s="22" t="s">
        <v>2177</v>
      </c>
      <c r="E791" s="22" t="n">
        <v>45.5</v>
      </c>
      <c r="F791" s="22" t="s">
        <v>175</v>
      </c>
    </row>
    <row r="792" customFormat="false" ht="15" hidden="false" customHeight="false" outlineLevel="0" collapsed="false">
      <c r="A792" s="22" t="s">
        <v>2178</v>
      </c>
      <c r="B792" s="22" t="s">
        <v>2179</v>
      </c>
      <c r="C792" s="22" t="s">
        <v>162</v>
      </c>
      <c r="D792" s="22" t="s">
        <v>2180</v>
      </c>
      <c r="E792" s="22" t="n">
        <v>44.4</v>
      </c>
      <c r="F792" s="22" t="s">
        <v>175</v>
      </c>
    </row>
    <row r="793" customFormat="false" ht="15" hidden="false" customHeight="false" outlineLevel="0" collapsed="false">
      <c r="A793" s="22" t="s">
        <v>2181</v>
      </c>
      <c r="B793" s="22" t="s">
        <v>2182</v>
      </c>
      <c r="C793" s="22" t="s">
        <v>162</v>
      </c>
      <c r="D793" s="22" t="s">
        <v>799</v>
      </c>
      <c r="E793" s="22" t="n">
        <v>19.3</v>
      </c>
      <c r="F793" s="22" t="s">
        <v>175</v>
      </c>
    </row>
    <row r="794" customFormat="false" ht="15" hidden="false" customHeight="false" outlineLevel="0" collapsed="false">
      <c r="A794" s="22" t="s">
        <v>2183</v>
      </c>
      <c r="B794" s="22" t="s">
        <v>2184</v>
      </c>
      <c r="C794" s="22" t="s">
        <v>157</v>
      </c>
      <c r="D794" s="22" t="s">
        <v>1767</v>
      </c>
      <c r="E794" s="22" t="n">
        <v>37.3</v>
      </c>
      <c r="F794" s="22" t="s">
        <v>164</v>
      </c>
    </row>
    <row r="795" customFormat="false" ht="15" hidden="false" customHeight="false" outlineLevel="0" collapsed="false">
      <c r="A795" s="22" t="s">
        <v>2185</v>
      </c>
      <c r="B795" s="22" t="s">
        <v>2186</v>
      </c>
      <c r="C795" s="22" t="s">
        <v>162</v>
      </c>
      <c r="D795" s="22" t="s">
        <v>364</v>
      </c>
      <c r="E795" s="22" t="n">
        <v>53.3</v>
      </c>
      <c r="F795" s="22" t="s">
        <v>164</v>
      </c>
    </row>
    <row r="796" customFormat="false" ht="15" hidden="false" customHeight="false" outlineLevel="0" collapsed="false">
      <c r="A796" s="22" t="s">
        <v>2187</v>
      </c>
      <c r="B796" s="22" t="s">
        <v>2188</v>
      </c>
      <c r="C796" s="22" t="s">
        <v>162</v>
      </c>
      <c r="D796" s="22" t="s">
        <v>899</v>
      </c>
      <c r="E796" s="22" t="n">
        <v>53.6</v>
      </c>
      <c r="F796" s="22" t="s">
        <v>164</v>
      </c>
    </row>
    <row r="797" customFormat="false" ht="15" hidden="false" customHeight="false" outlineLevel="0" collapsed="false">
      <c r="A797" s="22" t="s">
        <v>2189</v>
      </c>
      <c r="B797" s="22" t="s">
        <v>2190</v>
      </c>
      <c r="C797" s="22" t="s">
        <v>162</v>
      </c>
      <c r="D797" s="22" t="s">
        <v>1968</v>
      </c>
      <c r="E797" s="22" t="n">
        <v>47</v>
      </c>
      <c r="F797" s="22" t="s">
        <v>171</v>
      </c>
    </row>
    <row r="798" customFormat="false" ht="15" hidden="false" customHeight="false" outlineLevel="0" collapsed="false">
      <c r="A798" s="22" t="s">
        <v>2191</v>
      </c>
      <c r="B798" s="22" t="s">
        <v>2192</v>
      </c>
      <c r="C798" s="22" t="s">
        <v>162</v>
      </c>
      <c r="D798" s="22" t="s">
        <v>1201</v>
      </c>
      <c r="E798" s="22" t="n">
        <v>23</v>
      </c>
      <c r="F798" s="22" t="s">
        <v>164</v>
      </c>
    </row>
    <row r="799" customFormat="false" ht="15" hidden="false" customHeight="false" outlineLevel="0" collapsed="false">
      <c r="A799" s="22" t="s">
        <v>2193</v>
      </c>
      <c r="B799" s="22" t="s">
        <v>2194</v>
      </c>
      <c r="C799" s="22" t="s">
        <v>162</v>
      </c>
      <c r="D799" s="22" t="s">
        <v>486</v>
      </c>
      <c r="E799" s="22" t="n">
        <v>57.5</v>
      </c>
      <c r="F799" s="22" t="s">
        <v>175</v>
      </c>
    </row>
    <row r="800" customFormat="false" ht="15" hidden="false" customHeight="false" outlineLevel="0" collapsed="false">
      <c r="A800" s="22" t="s">
        <v>2195</v>
      </c>
      <c r="B800" s="22" t="s">
        <v>2196</v>
      </c>
      <c r="C800" s="22" t="s">
        <v>162</v>
      </c>
      <c r="D800" s="22" t="s">
        <v>675</v>
      </c>
      <c r="E800" s="22" t="n">
        <v>41.1</v>
      </c>
      <c r="F800" s="22" t="s">
        <v>188</v>
      </c>
    </row>
    <row r="801" customFormat="false" ht="15" hidden="false" customHeight="false" outlineLevel="0" collapsed="false">
      <c r="A801" s="22" t="s">
        <v>2197</v>
      </c>
      <c r="B801" s="22" t="s">
        <v>2198</v>
      </c>
      <c r="C801" s="22" t="s">
        <v>162</v>
      </c>
      <c r="D801" s="22" t="s">
        <v>1891</v>
      </c>
      <c r="E801" s="22" t="n">
        <v>21.8</v>
      </c>
      <c r="F801" s="22" t="s">
        <v>198</v>
      </c>
    </row>
    <row r="802" customFormat="false" ht="15" hidden="false" customHeight="false" outlineLevel="0" collapsed="false">
      <c r="A802" s="22" t="s">
        <v>2199</v>
      </c>
      <c r="B802" s="22" t="s">
        <v>2200</v>
      </c>
      <c r="C802" s="22" t="s">
        <v>162</v>
      </c>
      <c r="D802" s="22" t="s">
        <v>2201</v>
      </c>
      <c r="E802" s="22" t="n">
        <v>46.3</v>
      </c>
      <c r="F802" s="22" t="s">
        <v>499</v>
      </c>
    </row>
    <row r="803" customFormat="false" ht="15" hidden="false" customHeight="false" outlineLevel="0" collapsed="false">
      <c r="A803" s="22" t="s">
        <v>2202</v>
      </c>
      <c r="B803" s="22" t="s">
        <v>2203</v>
      </c>
      <c r="C803" s="22" t="s">
        <v>162</v>
      </c>
      <c r="D803" s="22" t="s">
        <v>2204</v>
      </c>
      <c r="E803" s="22" t="n">
        <v>38.7</v>
      </c>
      <c r="F803" s="22" t="s">
        <v>198</v>
      </c>
    </row>
    <row r="804" customFormat="false" ht="15" hidden="false" customHeight="false" outlineLevel="0" collapsed="false">
      <c r="A804" s="22" t="s">
        <v>2205</v>
      </c>
      <c r="B804" s="22" t="s">
        <v>2206</v>
      </c>
      <c r="C804" s="22" t="s">
        <v>162</v>
      </c>
      <c r="D804" s="22" t="s">
        <v>2207</v>
      </c>
      <c r="E804" s="22" t="n">
        <v>52.3</v>
      </c>
      <c r="F804" s="22" t="s">
        <v>164</v>
      </c>
    </row>
    <row r="805" customFormat="false" ht="15" hidden="false" customHeight="false" outlineLevel="0" collapsed="false">
      <c r="A805" s="22" t="s">
        <v>2208</v>
      </c>
      <c r="B805" s="22" t="s">
        <v>2209</v>
      </c>
      <c r="C805" s="22" t="s">
        <v>162</v>
      </c>
      <c r="D805" s="22" t="s">
        <v>1824</v>
      </c>
      <c r="E805" s="22" t="n">
        <v>55.1</v>
      </c>
      <c r="F805" s="22" t="s">
        <v>175</v>
      </c>
    </row>
    <row r="806" customFormat="false" ht="15" hidden="false" customHeight="false" outlineLevel="0" collapsed="false">
      <c r="A806" s="22" t="s">
        <v>2210</v>
      </c>
      <c r="B806" s="22" t="s">
        <v>2211</v>
      </c>
      <c r="C806" s="22" t="s">
        <v>162</v>
      </c>
      <c r="D806" s="22" t="s">
        <v>1758</v>
      </c>
      <c r="E806" s="22" t="n">
        <v>27.4</v>
      </c>
      <c r="F806" s="22" t="s">
        <v>171</v>
      </c>
    </row>
    <row r="807" customFormat="false" ht="15" hidden="false" customHeight="false" outlineLevel="0" collapsed="false">
      <c r="A807" s="22" t="s">
        <v>2212</v>
      </c>
      <c r="B807" s="22" t="s">
        <v>2213</v>
      </c>
      <c r="C807" s="22" t="s">
        <v>162</v>
      </c>
      <c r="D807" s="22" t="s">
        <v>1400</v>
      </c>
      <c r="E807" s="22" t="n">
        <v>54.4</v>
      </c>
      <c r="F807" s="22" t="s">
        <v>175</v>
      </c>
    </row>
    <row r="808" customFormat="false" ht="15" hidden="false" customHeight="false" outlineLevel="0" collapsed="false">
      <c r="A808" s="22" t="s">
        <v>2214</v>
      </c>
      <c r="B808" s="22" t="s">
        <v>2215</v>
      </c>
      <c r="C808" s="22" t="s">
        <v>162</v>
      </c>
      <c r="D808" s="22" t="s">
        <v>645</v>
      </c>
      <c r="E808" s="22" t="n">
        <v>28.7</v>
      </c>
      <c r="F808" s="22" t="s">
        <v>198</v>
      </c>
    </row>
    <row r="809" customFormat="false" ht="15" hidden="false" customHeight="false" outlineLevel="0" collapsed="false">
      <c r="A809" s="22" t="s">
        <v>2216</v>
      </c>
      <c r="B809" s="22" t="s">
        <v>2217</v>
      </c>
      <c r="C809" s="22" t="s">
        <v>162</v>
      </c>
      <c r="D809" s="22" t="s">
        <v>1082</v>
      </c>
      <c r="E809" s="22" t="n">
        <v>46.7</v>
      </c>
      <c r="F809" s="22" t="s">
        <v>164</v>
      </c>
    </row>
    <row r="810" customFormat="false" ht="15" hidden="false" customHeight="false" outlineLevel="0" collapsed="false">
      <c r="A810" s="22" t="s">
        <v>2218</v>
      </c>
      <c r="B810" s="22" t="s">
        <v>2219</v>
      </c>
      <c r="C810" s="22" t="s">
        <v>162</v>
      </c>
      <c r="D810" s="22" t="s">
        <v>1423</v>
      </c>
      <c r="E810" s="22" t="n">
        <v>38.4</v>
      </c>
      <c r="F810" s="22" t="s">
        <v>164</v>
      </c>
    </row>
    <row r="811" customFormat="false" ht="15" hidden="false" customHeight="false" outlineLevel="0" collapsed="false">
      <c r="A811" s="22" t="s">
        <v>2220</v>
      </c>
      <c r="B811" s="22" t="s">
        <v>2221</v>
      </c>
      <c r="C811" s="22" t="s">
        <v>162</v>
      </c>
      <c r="D811" s="22" t="s">
        <v>2222</v>
      </c>
      <c r="E811" s="22" t="n">
        <v>51.4</v>
      </c>
      <c r="F811" s="22" t="s">
        <v>188</v>
      </c>
    </row>
    <row r="812" customFormat="false" ht="15" hidden="false" customHeight="false" outlineLevel="0" collapsed="false">
      <c r="A812" s="22" t="s">
        <v>2223</v>
      </c>
      <c r="B812" s="22" t="s">
        <v>2224</v>
      </c>
      <c r="C812" s="22" t="s">
        <v>162</v>
      </c>
      <c r="D812" s="22" t="s">
        <v>793</v>
      </c>
      <c r="E812" s="22" t="n">
        <v>48.9</v>
      </c>
      <c r="F812" s="22" t="s">
        <v>164</v>
      </c>
    </row>
    <row r="813" customFormat="false" ht="15" hidden="false" customHeight="false" outlineLevel="0" collapsed="false">
      <c r="A813" s="22" t="s">
        <v>2225</v>
      </c>
      <c r="B813" s="22" t="s">
        <v>2226</v>
      </c>
      <c r="C813" s="22" t="s">
        <v>207</v>
      </c>
      <c r="D813" s="22" t="s">
        <v>695</v>
      </c>
      <c r="E813" s="22" t="n">
        <v>54.5</v>
      </c>
      <c r="F813" s="22" t="s">
        <v>164</v>
      </c>
    </row>
    <row r="814" customFormat="false" ht="15" hidden="false" customHeight="false" outlineLevel="0" collapsed="false">
      <c r="A814" s="22" t="s">
        <v>2227</v>
      </c>
      <c r="B814" s="22" t="s">
        <v>2228</v>
      </c>
      <c r="C814" s="22" t="s">
        <v>162</v>
      </c>
      <c r="D814" s="22" t="s">
        <v>2229</v>
      </c>
      <c r="E814" s="22" t="n">
        <v>56</v>
      </c>
      <c r="F814" s="22" t="s">
        <v>175</v>
      </c>
    </row>
    <row r="815" customFormat="false" ht="15" hidden="false" customHeight="false" outlineLevel="0" collapsed="false">
      <c r="A815" s="22" t="s">
        <v>2230</v>
      </c>
      <c r="B815" s="22" t="s">
        <v>2231</v>
      </c>
      <c r="C815" s="22" t="s">
        <v>162</v>
      </c>
      <c r="D815" s="22" t="s">
        <v>799</v>
      </c>
      <c r="E815" s="22" t="n">
        <v>24</v>
      </c>
      <c r="F815" s="22" t="s">
        <v>171</v>
      </c>
    </row>
    <row r="816" customFormat="false" ht="15" hidden="false" customHeight="false" outlineLevel="0" collapsed="false">
      <c r="A816" s="22" t="s">
        <v>2232</v>
      </c>
      <c r="B816" s="22" t="s">
        <v>2233</v>
      </c>
      <c r="C816" s="22" t="s">
        <v>162</v>
      </c>
      <c r="D816" s="22" t="s">
        <v>361</v>
      </c>
      <c r="E816" s="22" t="n">
        <v>30.1</v>
      </c>
      <c r="F816" s="22" t="s">
        <v>164</v>
      </c>
    </row>
    <row r="817" customFormat="false" ht="15" hidden="false" customHeight="false" outlineLevel="0" collapsed="false">
      <c r="A817" s="22" t="s">
        <v>2234</v>
      </c>
      <c r="B817" s="22" t="s">
        <v>2235</v>
      </c>
      <c r="C817" s="22" t="s">
        <v>162</v>
      </c>
      <c r="D817" s="22" t="s">
        <v>1753</v>
      </c>
      <c r="E817" s="22" t="n">
        <v>31</v>
      </c>
      <c r="F817" s="22" t="s">
        <v>188</v>
      </c>
    </row>
    <row r="818" customFormat="false" ht="15" hidden="false" customHeight="false" outlineLevel="0" collapsed="false">
      <c r="A818" s="22" t="s">
        <v>2236</v>
      </c>
      <c r="B818" s="22" t="s">
        <v>2237</v>
      </c>
      <c r="C818" s="22" t="s">
        <v>162</v>
      </c>
      <c r="D818" s="22" t="s">
        <v>2238</v>
      </c>
      <c r="E818" s="22" t="n">
        <v>28.3</v>
      </c>
      <c r="F818" s="22" t="s">
        <v>198</v>
      </c>
    </row>
    <row r="819" customFormat="false" ht="15" hidden="false" customHeight="false" outlineLevel="0" collapsed="false">
      <c r="A819" s="22" t="s">
        <v>2239</v>
      </c>
      <c r="B819" s="22" t="s">
        <v>2240</v>
      </c>
      <c r="C819" s="22" t="s">
        <v>162</v>
      </c>
      <c r="D819" s="22" t="s">
        <v>2241</v>
      </c>
      <c r="E819" s="22" t="n">
        <v>27</v>
      </c>
      <c r="F819" s="22" t="s">
        <v>175</v>
      </c>
    </row>
    <row r="820" customFormat="false" ht="15" hidden="false" customHeight="false" outlineLevel="0" collapsed="false">
      <c r="A820" s="22" t="s">
        <v>2242</v>
      </c>
      <c r="B820" s="22" t="s">
        <v>2243</v>
      </c>
      <c r="C820" s="22" t="s">
        <v>162</v>
      </c>
      <c r="D820" s="22" t="s">
        <v>616</v>
      </c>
      <c r="E820" s="22" t="n">
        <v>54</v>
      </c>
      <c r="F820" s="22" t="s">
        <v>175</v>
      </c>
    </row>
    <row r="821" customFormat="false" ht="15" hidden="false" customHeight="false" outlineLevel="0" collapsed="false">
      <c r="A821" s="22" t="s">
        <v>2244</v>
      </c>
      <c r="B821" s="22" t="s">
        <v>2245</v>
      </c>
      <c r="C821" s="22" t="s">
        <v>162</v>
      </c>
      <c r="D821" s="22" t="s">
        <v>885</v>
      </c>
      <c r="E821" s="22" t="n">
        <v>28.3</v>
      </c>
      <c r="F821" s="22" t="s">
        <v>159</v>
      </c>
    </row>
    <row r="822" customFormat="false" ht="15" hidden="false" customHeight="false" outlineLevel="0" collapsed="false">
      <c r="A822" s="22" t="s">
        <v>2246</v>
      </c>
      <c r="B822" s="22" t="s">
        <v>2247</v>
      </c>
      <c r="C822" s="22" t="s">
        <v>162</v>
      </c>
      <c r="D822" s="22" t="s">
        <v>389</v>
      </c>
      <c r="E822" s="22" t="n">
        <v>38.4</v>
      </c>
      <c r="F822" s="22" t="s">
        <v>171</v>
      </c>
    </row>
    <row r="823" customFormat="false" ht="15" hidden="false" customHeight="false" outlineLevel="0" collapsed="false">
      <c r="A823" s="22" t="s">
        <v>2248</v>
      </c>
      <c r="B823" s="22" t="s">
        <v>2249</v>
      </c>
      <c r="C823" s="22" t="s">
        <v>566</v>
      </c>
      <c r="D823" s="22" t="s">
        <v>796</v>
      </c>
      <c r="E823" s="22" t="n">
        <v>23.2</v>
      </c>
      <c r="F823" s="22" t="s">
        <v>159</v>
      </c>
    </row>
    <row r="824" customFormat="false" ht="15" hidden="false" customHeight="false" outlineLevel="0" collapsed="false">
      <c r="A824" s="22" t="s">
        <v>2250</v>
      </c>
      <c r="B824" s="22" t="s">
        <v>2251</v>
      </c>
      <c r="C824" s="22" t="s">
        <v>207</v>
      </c>
      <c r="D824" s="22" t="s">
        <v>573</v>
      </c>
      <c r="E824" s="22" t="n">
        <v>51.8</v>
      </c>
      <c r="F824" s="22" t="s">
        <v>164</v>
      </c>
    </row>
    <row r="825" customFormat="false" ht="15" hidden="false" customHeight="false" outlineLevel="0" collapsed="false">
      <c r="A825" s="22" t="s">
        <v>2252</v>
      </c>
      <c r="B825" s="22" t="s">
        <v>2253</v>
      </c>
      <c r="C825" s="22" t="s">
        <v>162</v>
      </c>
      <c r="D825" s="22" t="s">
        <v>1626</v>
      </c>
      <c r="E825" s="22" t="n">
        <v>26.5</v>
      </c>
      <c r="F825" s="22" t="s">
        <v>164</v>
      </c>
    </row>
    <row r="826" customFormat="false" ht="15" hidden="false" customHeight="false" outlineLevel="0" collapsed="false">
      <c r="A826" s="22" t="s">
        <v>2254</v>
      </c>
      <c r="B826" s="22" t="s">
        <v>2255</v>
      </c>
      <c r="C826" s="22" t="s">
        <v>162</v>
      </c>
      <c r="D826" s="22" t="s">
        <v>1971</v>
      </c>
      <c r="E826" s="22" t="n">
        <v>29.8</v>
      </c>
      <c r="F826" s="22" t="s">
        <v>175</v>
      </c>
    </row>
    <row r="827" customFormat="false" ht="15" hidden="false" customHeight="false" outlineLevel="0" collapsed="false">
      <c r="A827" s="22" t="s">
        <v>2256</v>
      </c>
      <c r="B827" s="22" t="s">
        <v>2257</v>
      </c>
      <c r="C827" s="22" t="s">
        <v>566</v>
      </c>
      <c r="D827" s="22" t="s">
        <v>2258</v>
      </c>
      <c r="E827" s="22" t="n">
        <v>32.5</v>
      </c>
      <c r="F827" s="22" t="s">
        <v>159</v>
      </c>
    </row>
    <row r="828" customFormat="false" ht="15" hidden="false" customHeight="false" outlineLevel="0" collapsed="false">
      <c r="A828" s="22" t="s">
        <v>2259</v>
      </c>
      <c r="B828" s="22" t="s">
        <v>2260</v>
      </c>
      <c r="C828" s="22" t="s">
        <v>162</v>
      </c>
      <c r="D828" s="22" t="s">
        <v>290</v>
      </c>
      <c r="E828" s="22" t="n">
        <v>29.3</v>
      </c>
      <c r="F828" s="22" t="s">
        <v>175</v>
      </c>
    </row>
    <row r="829" customFormat="false" ht="15" hidden="false" customHeight="false" outlineLevel="0" collapsed="false">
      <c r="A829" s="22" t="s">
        <v>2261</v>
      </c>
      <c r="B829" s="22" t="s">
        <v>2262</v>
      </c>
      <c r="C829" s="22" t="s">
        <v>162</v>
      </c>
      <c r="D829" s="22" t="s">
        <v>1991</v>
      </c>
      <c r="E829" s="22" t="n">
        <v>60.2</v>
      </c>
      <c r="F829" s="22" t="s">
        <v>159</v>
      </c>
    </row>
    <row r="830" customFormat="false" ht="15" hidden="false" customHeight="false" outlineLevel="0" collapsed="false">
      <c r="A830" s="22" t="s">
        <v>2263</v>
      </c>
      <c r="B830" s="22" t="s">
        <v>2264</v>
      </c>
      <c r="C830" s="22" t="s">
        <v>162</v>
      </c>
      <c r="D830" s="22" t="s">
        <v>2265</v>
      </c>
      <c r="E830" s="22" t="n">
        <v>19.3</v>
      </c>
      <c r="F830" s="22" t="s">
        <v>164</v>
      </c>
    </row>
    <row r="831" customFormat="false" ht="15" hidden="false" customHeight="false" outlineLevel="0" collapsed="false">
      <c r="A831" s="22" t="s">
        <v>2266</v>
      </c>
      <c r="B831" s="22" t="s">
        <v>2267</v>
      </c>
      <c r="C831" s="22" t="s">
        <v>162</v>
      </c>
      <c r="D831" s="22" t="s">
        <v>1220</v>
      </c>
      <c r="E831" s="22" t="n">
        <v>28.9</v>
      </c>
      <c r="F831" s="22" t="s">
        <v>175</v>
      </c>
    </row>
    <row r="832" customFormat="false" ht="15" hidden="false" customHeight="false" outlineLevel="0" collapsed="false">
      <c r="A832" s="22" t="s">
        <v>2268</v>
      </c>
      <c r="B832" s="22" t="s">
        <v>2269</v>
      </c>
      <c r="C832" s="22" t="s">
        <v>162</v>
      </c>
      <c r="D832" s="22" t="s">
        <v>1764</v>
      </c>
      <c r="E832" s="22" t="n">
        <v>36.3</v>
      </c>
      <c r="F832" s="22" t="s">
        <v>164</v>
      </c>
    </row>
    <row r="833" customFormat="false" ht="15" hidden="false" customHeight="false" outlineLevel="0" collapsed="false">
      <c r="A833" s="22" t="s">
        <v>2270</v>
      </c>
      <c r="B833" s="22" t="s">
        <v>2271</v>
      </c>
      <c r="C833" s="22" t="s">
        <v>162</v>
      </c>
      <c r="D833" s="22" t="s">
        <v>483</v>
      </c>
      <c r="E833" s="22" t="n">
        <v>57</v>
      </c>
      <c r="F833" s="22" t="s">
        <v>215</v>
      </c>
    </row>
    <row r="834" customFormat="false" ht="15" hidden="false" customHeight="false" outlineLevel="0" collapsed="false">
      <c r="A834" s="22" t="s">
        <v>2272</v>
      </c>
      <c r="B834" s="22" t="s">
        <v>2273</v>
      </c>
      <c r="C834" s="22" t="s">
        <v>207</v>
      </c>
      <c r="D834" s="22" t="s">
        <v>1977</v>
      </c>
      <c r="E834" s="22" t="n">
        <v>59.7</v>
      </c>
      <c r="F834" s="22" t="s">
        <v>164</v>
      </c>
    </row>
    <row r="835" customFormat="false" ht="15" hidden="false" customHeight="false" outlineLevel="0" collapsed="false">
      <c r="A835" s="22" t="s">
        <v>2274</v>
      </c>
      <c r="B835" s="22" t="s">
        <v>2275</v>
      </c>
      <c r="C835" s="22" t="s">
        <v>162</v>
      </c>
      <c r="D835" s="22" t="s">
        <v>1024</v>
      </c>
      <c r="E835" s="22" t="n">
        <v>53.2</v>
      </c>
      <c r="F835" s="22" t="s">
        <v>164</v>
      </c>
    </row>
    <row r="836" customFormat="false" ht="15" hidden="false" customHeight="false" outlineLevel="0" collapsed="false">
      <c r="A836" s="22" t="s">
        <v>2276</v>
      </c>
      <c r="B836" s="22" t="s">
        <v>2277</v>
      </c>
      <c r="C836" s="22" t="s">
        <v>162</v>
      </c>
      <c r="D836" s="22" t="s">
        <v>1074</v>
      </c>
      <c r="E836" s="22" t="n">
        <v>37.6</v>
      </c>
      <c r="F836" s="22" t="s">
        <v>175</v>
      </c>
    </row>
    <row r="837" customFormat="false" ht="15" hidden="false" customHeight="false" outlineLevel="0" collapsed="false">
      <c r="A837" s="22" t="s">
        <v>2278</v>
      </c>
      <c r="B837" s="22" t="s">
        <v>2279</v>
      </c>
      <c r="C837" s="22" t="s">
        <v>162</v>
      </c>
      <c r="D837" s="22" t="s">
        <v>2280</v>
      </c>
      <c r="E837" s="22" t="n">
        <v>59.8</v>
      </c>
      <c r="F837" s="22" t="s">
        <v>164</v>
      </c>
    </row>
    <row r="838" customFormat="false" ht="15" hidden="false" customHeight="false" outlineLevel="0" collapsed="false">
      <c r="A838" s="22" t="s">
        <v>2281</v>
      </c>
      <c r="B838" s="22" t="s">
        <v>2282</v>
      </c>
      <c r="C838" s="22" t="s">
        <v>162</v>
      </c>
      <c r="D838" s="22" t="s">
        <v>1323</v>
      </c>
      <c r="E838" s="22" t="n">
        <v>48</v>
      </c>
      <c r="F838" s="22" t="s">
        <v>175</v>
      </c>
    </row>
    <row r="839" customFormat="false" ht="15" hidden="false" customHeight="false" outlineLevel="0" collapsed="false">
      <c r="A839" s="22" t="s">
        <v>2283</v>
      </c>
      <c r="B839" s="22" t="s">
        <v>2284</v>
      </c>
      <c r="C839" s="22" t="s">
        <v>162</v>
      </c>
      <c r="D839" s="22" t="s">
        <v>664</v>
      </c>
      <c r="E839" s="22" t="n">
        <v>55.1</v>
      </c>
      <c r="F839" s="22" t="s">
        <v>164</v>
      </c>
    </row>
    <row r="840" customFormat="false" ht="15" hidden="false" customHeight="false" outlineLevel="0" collapsed="false">
      <c r="A840" s="22" t="s">
        <v>2285</v>
      </c>
      <c r="B840" s="22" t="s">
        <v>2286</v>
      </c>
      <c r="C840" s="22" t="s">
        <v>162</v>
      </c>
      <c r="D840" s="22" t="s">
        <v>2287</v>
      </c>
      <c r="E840" s="22" t="n">
        <v>25.7</v>
      </c>
      <c r="F840" s="22" t="s">
        <v>164</v>
      </c>
    </row>
    <row r="841" customFormat="false" ht="15" hidden="false" customHeight="false" outlineLevel="0" collapsed="false">
      <c r="A841" s="22" t="s">
        <v>2288</v>
      </c>
      <c r="B841" s="22" t="s">
        <v>2289</v>
      </c>
      <c r="C841" s="22" t="s">
        <v>162</v>
      </c>
      <c r="D841" s="22" t="s">
        <v>239</v>
      </c>
      <c r="E841" s="22" t="n">
        <v>47.1</v>
      </c>
      <c r="F841" s="22" t="s">
        <v>499</v>
      </c>
    </row>
    <row r="842" customFormat="false" ht="15" hidden="false" customHeight="false" outlineLevel="0" collapsed="false">
      <c r="A842" s="22" t="s">
        <v>2290</v>
      </c>
      <c r="B842" s="22" t="s">
        <v>2291</v>
      </c>
      <c r="C842" s="22" t="s">
        <v>162</v>
      </c>
      <c r="D842" s="22" t="s">
        <v>2292</v>
      </c>
      <c r="E842" s="22" t="n">
        <v>61.4</v>
      </c>
      <c r="F842" s="22" t="s">
        <v>198</v>
      </c>
    </row>
    <row r="843" customFormat="false" ht="15" hidden="false" customHeight="false" outlineLevel="0" collapsed="false">
      <c r="A843" s="22" t="s">
        <v>2293</v>
      </c>
      <c r="B843" s="22" t="s">
        <v>2294</v>
      </c>
      <c r="C843" s="22" t="s">
        <v>162</v>
      </c>
      <c r="D843" s="22" t="s">
        <v>312</v>
      </c>
      <c r="E843" s="22" t="n">
        <v>39.8</v>
      </c>
      <c r="F843" s="22" t="s">
        <v>198</v>
      </c>
    </row>
    <row r="844" customFormat="false" ht="15" hidden="false" customHeight="false" outlineLevel="0" collapsed="false">
      <c r="A844" s="22" t="s">
        <v>2295</v>
      </c>
      <c r="B844" s="22" t="s">
        <v>2296</v>
      </c>
      <c r="C844" s="22" t="s">
        <v>162</v>
      </c>
      <c r="D844" s="22" t="s">
        <v>2297</v>
      </c>
      <c r="E844" s="22" t="n">
        <v>44.8</v>
      </c>
      <c r="F844" s="22" t="s">
        <v>198</v>
      </c>
    </row>
    <row r="845" customFormat="false" ht="15" hidden="false" customHeight="false" outlineLevel="0" collapsed="false">
      <c r="A845" s="22" t="s">
        <v>2298</v>
      </c>
      <c r="B845" s="22" t="s">
        <v>2299</v>
      </c>
      <c r="C845" s="22" t="s">
        <v>162</v>
      </c>
      <c r="D845" s="22" t="s">
        <v>1797</v>
      </c>
      <c r="E845" s="22" t="n">
        <v>55.4</v>
      </c>
      <c r="F845" s="22" t="s">
        <v>171</v>
      </c>
    </row>
    <row r="846" customFormat="false" ht="15" hidden="false" customHeight="false" outlineLevel="0" collapsed="false">
      <c r="A846" s="22" t="s">
        <v>2300</v>
      </c>
      <c r="B846" s="22" t="s">
        <v>2301</v>
      </c>
      <c r="C846" s="22" t="s">
        <v>162</v>
      </c>
      <c r="D846" s="22" t="s">
        <v>930</v>
      </c>
      <c r="E846" s="22" t="n">
        <v>31.5</v>
      </c>
      <c r="F846" s="22" t="s">
        <v>175</v>
      </c>
    </row>
    <row r="847" customFormat="false" ht="15" hidden="false" customHeight="false" outlineLevel="0" collapsed="false">
      <c r="A847" s="22" t="s">
        <v>2302</v>
      </c>
      <c r="B847" s="22" t="s">
        <v>2303</v>
      </c>
      <c r="C847" s="22" t="s">
        <v>162</v>
      </c>
      <c r="D847" s="22" t="s">
        <v>178</v>
      </c>
      <c r="E847" s="22" t="n">
        <v>60.4</v>
      </c>
      <c r="F847" s="22" t="s">
        <v>164</v>
      </c>
    </row>
    <row r="848" customFormat="false" ht="15" hidden="false" customHeight="false" outlineLevel="0" collapsed="false">
      <c r="A848" s="22" t="s">
        <v>2304</v>
      </c>
      <c r="B848" s="22" t="s">
        <v>2305</v>
      </c>
      <c r="C848" s="22" t="s">
        <v>207</v>
      </c>
      <c r="D848" s="22" t="s">
        <v>1764</v>
      </c>
      <c r="E848" s="22" t="n">
        <v>47.6</v>
      </c>
      <c r="F848" s="22" t="s">
        <v>198</v>
      </c>
    </row>
    <row r="849" customFormat="false" ht="15" hidden="false" customHeight="false" outlineLevel="0" collapsed="false">
      <c r="A849" s="22" t="s">
        <v>2306</v>
      </c>
      <c r="B849" s="22" t="s">
        <v>2307</v>
      </c>
      <c r="C849" s="22" t="s">
        <v>162</v>
      </c>
      <c r="D849" s="22" t="s">
        <v>218</v>
      </c>
      <c r="E849" s="22" t="n">
        <v>57.7</v>
      </c>
      <c r="F849" s="22" t="s">
        <v>175</v>
      </c>
    </row>
    <row r="850" customFormat="false" ht="15" hidden="false" customHeight="false" outlineLevel="0" collapsed="false">
      <c r="A850" s="22" t="s">
        <v>2308</v>
      </c>
      <c r="B850" s="22" t="s">
        <v>2309</v>
      </c>
      <c r="C850" s="22" t="s">
        <v>162</v>
      </c>
      <c r="D850" s="22" t="s">
        <v>1460</v>
      </c>
      <c r="E850" s="22" t="n">
        <v>19.9</v>
      </c>
      <c r="F850" s="22" t="s">
        <v>164</v>
      </c>
    </row>
    <row r="851" customFormat="false" ht="15" hidden="false" customHeight="false" outlineLevel="0" collapsed="false">
      <c r="A851" s="22" t="s">
        <v>2310</v>
      </c>
      <c r="B851" s="22" t="s">
        <v>2311</v>
      </c>
      <c r="C851" s="22" t="s">
        <v>162</v>
      </c>
      <c r="D851" s="22" t="s">
        <v>1945</v>
      </c>
      <c r="E851" s="22" t="n">
        <v>22.4</v>
      </c>
      <c r="F851" s="22" t="s">
        <v>164</v>
      </c>
    </row>
    <row r="852" customFormat="false" ht="15" hidden="false" customHeight="false" outlineLevel="0" collapsed="false">
      <c r="A852" s="22" t="s">
        <v>2312</v>
      </c>
      <c r="B852" s="22" t="s">
        <v>2313</v>
      </c>
      <c r="C852" s="22" t="s">
        <v>162</v>
      </c>
      <c r="D852" s="22" t="s">
        <v>967</v>
      </c>
      <c r="E852" s="22" t="n">
        <v>35.5</v>
      </c>
      <c r="F852" s="22" t="s">
        <v>171</v>
      </c>
    </row>
    <row r="853" customFormat="false" ht="15" hidden="false" customHeight="false" outlineLevel="0" collapsed="false">
      <c r="A853" s="22" t="s">
        <v>2314</v>
      </c>
      <c r="B853" s="22" t="s">
        <v>2315</v>
      </c>
      <c r="C853" s="22" t="s">
        <v>162</v>
      </c>
      <c r="D853" s="22" t="s">
        <v>1408</v>
      </c>
      <c r="E853" s="22" t="n">
        <v>30.1</v>
      </c>
      <c r="F853" s="22" t="s">
        <v>164</v>
      </c>
    </row>
    <row r="854" customFormat="false" ht="15" hidden="false" customHeight="false" outlineLevel="0" collapsed="false">
      <c r="A854" s="22" t="s">
        <v>2316</v>
      </c>
      <c r="B854" s="22" t="s">
        <v>2317</v>
      </c>
      <c r="C854" s="22" t="s">
        <v>162</v>
      </c>
      <c r="D854" s="22" t="s">
        <v>1294</v>
      </c>
      <c r="E854" s="22" t="n">
        <v>44</v>
      </c>
      <c r="F854" s="22" t="s">
        <v>159</v>
      </c>
    </row>
    <row r="855" customFormat="false" ht="15" hidden="false" customHeight="false" outlineLevel="0" collapsed="false">
      <c r="A855" s="22" t="s">
        <v>2318</v>
      </c>
      <c r="B855" s="22" t="s">
        <v>2319</v>
      </c>
      <c r="C855" s="22" t="s">
        <v>162</v>
      </c>
      <c r="D855" s="22" t="s">
        <v>543</v>
      </c>
      <c r="E855" s="22" t="n">
        <v>42.5</v>
      </c>
      <c r="F855" s="22" t="s">
        <v>159</v>
      </c>
    </row>
    <row r="856" customFormat="false" ht="15" hidden="false" customHeight="false" outlineLevel="0" collapsed="false">
      <c r="A856" s="22" t="s">
        <v>2320</v>
      </c>
      <c r="B856" s="22" t="s">
        <v>2321</v>
      </c>
      <c r="C856" s="22" t="s">
        <v>162</v>
      </c>
      <c r="D856" s="22" t="s">
        <v>281</v>
      </c>
      <c r="E856" s="22" t="n">
        <v>56.6</v>
      </c>
      <c r="F856" s="22" t="s">
        <v>164</v>
      </c>
    </row>
    <row r="857" customFormat="false" ht="15" hidden="false" customHeight="false" outlineLevel="0" collapsed="false">
      <c r="A857" s="22" t="s">
        <v>2322</v>
      </c>
      <c r="B857" s="22" t="s">
        <v>2323</v>
      </c>
      <c r="C857" s="22" t="s">
        <v>162</v>
      </c>
      <c r="D857" s="22" t="s">
        <v>2324</v>
      </c>
      <c r="E857" s="22" t="n">
        <v>27.8</v>
      </c>
      <c r="F857" s="22" t="s">
        <v>175</v>
      </c>
    </row>
    <row r="858" customFormat="false" ht="15" hidden="false" customHeight="false" outlineLevel="0" collapsed="false">
      <c r="A858" s="22" t="s">
        <v>2325</v>
      </c>
      <c r="B858" s="22" t="s">
        <v>2326</v>
      </c>
      <c r="C858" s="22" t="s">
        <v>162</v>
      </c>
      <c r="D858" s="22" t="s">
        <v>784</v>
      </c>
      <c r="E858" s="22" t="n">
        <v>43.6</v>
      </c>
      <c r="F858" s="22" t="s">
        <v>164</v>
      </c>
    </row>
    <row r="859" customFormat="false" ht="15" hidden="false" customHeight="false" outlineLevel="0" collapsed="false">
      <c r="A859" s="22" t="s">
        <v>2327</v>
      </c>
      <c r="B859" s="22" t="s">
        <v>2328</v>
      </c>
      <c r="C859" s="22" t="s">
        <v>162</v>
      </c>
      <c r="D859" s="22" t="s">
        <v>815</v>
      </c>
      <c r="E859" s="22" t="n">
        <v>27.1</v>
      </c>
      <c r="F859" s="22" t="s">
        <v>198</v>
      </c>
    </row>
    <row r="860" customFormat="false" ht="15" hidden="false" customHeight="false" outlineLevel="0" collapsed="false">
      <c r="A860" s="22" t="s">
        <v>2329</v>
      </c>
      <c r="B860" s="22" t="s">
        <v>2330</v>
      </c>
      <c r="C860" s="22" t="s">
        <v>162</v>
      </c>
      <c r="D860" s="22" t="s">
        <v>1089</v>
      </c>
      <c r="E860" s="22" t="n">
        <v>48.1</v>
      </c>
      <c r="F860" s="22" t="s">
        <v>175</v>
      </c>
    </row>
    <row r="861" customFormat="false" ht="15" hidden="false" customHeight="false" outlineLevel="0" collapsed="false">
      <c r="A861" s="22" t="s">
        <v>2331</v>
      </c>
      <c r="B861" s="22" t="s">
        <v>2332</v>
      </c>
      <c r="C861" s="22" t="s">
        <v>162</v>
      </c>
      <c r="D861" s="22" t="s">
        <v>632</v>
      </c>
      <c r="E861" s="22" t="n">
        <v>21</v>
      </c>
      <c r="F861" s="22" t="s">
        <v>215</v>
      </c>
    </row>
    <row r="862" customFormat="false" ht="15" hidden="false" customHeight="false" outlineLevel="0" collapsed="false">
      <c r="A862" s="22" t="s">
        <v>2333</v>
      </c>
      <c r="B862" s="22" t="s">
        <v>2334</v>
      </c>
      <c r="C862" s="22" t="s">
        <v>162</v>
      </c>
      <c r="D862" s="22" t="s">
        <v>469</v>
      </c>
      <c r="E862" s="22" t="n">
        <v>42.3</v>
      </c>
      <c r="F862" s="22" t="s">
        <v>175</v>
      </c>
    </row>
    <row r="863" customFormat="false" ht="15" hidden="false" customHeight="false" outlineLevel="0" collapsed="false">
      <c r="A863" s="22" t="s">
        <v>2335</v>
      </c>
      <c r="B863" s="22" t="s">
        <v>2336</v>
      </c>
      <c r="C863" s="22" t="s">
        <v>162</v>
      </c>
      <c r="D863" s="22" t="s">
        <v>838</v>
      </c>
      <c r="E863" s="22" t="n">
        <v>39</v>
      </c>
      <c r="F863" s="22" t="s">
        <v>159</v>
      </c>
    </row>
    <row r="864" customFormat="false" ht="15" hidden="false" customHeight="false" outlineLevel="0" collapsed="false">
      <c r="A864" s="22" t="s">
        <v>2337</v>
      </c>
      <c r="B864" s="22" t="s">
        <v>2338</v>
      </c>
      <c r="C864" s="22" t="s">
        <v>162</v>
      </c>
      <c r="D864" s="22" t="s">
        <v>1579</v>
      </c>
      <c r="E864" s="22" t="n">
        <v>38.8</v>
      </c>
      <c r="F864" s="22" t="s">
        <v>198</v>
      </c>
    </row>
    <row r="865" customFormat="false" ht="15" hidden="false" customHeight="false" outlineLevel="0" collapsed="false">
      <c r="A865" s="22" t="s">
        <v>2339</v>
      </c>
      <c r="B865" s="22" t="s">
        <v>2340</v>
      </c>
      <c r="C865" s="22" t="s">
        <v>162</v>
      </c>
      <c r="D865" s="22" t="s">
        <v>708</v>
      </c>
      <c r="E865" s="22" t="n">
        <v>37.3</v>
      </c>
      <c r="F865" s="22" t="s">
        <v>171</v>
      </c>
    </row>
    <row r="866" customFormat="false" ht="15" hidden="false" customHeight="false" outlineLevel="0" collapsed="false">
      <c r="A866" s="22" t="s">
        <v>2341</v>
      </c>
      <c r="B866" s="22" t="s">
        <v>2342</v>
      </c>
      <c r="C866" s="22" t="s">
        <v>162</v>
      </c>
      <c r="D866" s="22" t="s">
        <v>477</v>
      </c>
      <c r="E866" s="22" t="n">
        <v>43.1</v>
      </c>
      <c r="F866" s="22" t="s">
        <v>499</v>
      </c>
    </row>
    <row r="867" customFormat="false" ht="15" hidden="false" customHeight="false" outlineLevel="0" collapsed="false">
      <c r="A867" s="22" t="s">
        <v>2343</v>
      </c>
      <c r="B867" s="22" t="s">
        <v>2344</v>
      </c>
      <c r="C867" s="22" t="s">
        <v>162</v>
      </c>
      <c r="D867" s="22" t="s">
        <v>1505</v>
      </c>
      <c r="E867" s="22" t="n">
        <v>58.7</v>
      </c>
      <c r="F867" s="22" t="s">
        <v>171</v>
      </c>
    </row>
    <row r="868" customFormat="false" ht="15" hidden="false" customHeight="false" outlineLevel="0" collapsed="false">
      <c r="A868" s="22" t="s">
        <v>2345</v>
      </c>
      <c r="B868" s="22" t="s">
        <v>2346</v>
      </c>
      <c r="C868" s="22" t="s">
        <v>207</v>
      </c>
      <c r="D868" s="22" t="s">
        <v>401</v>
      </c>
      <c r="E868" s="22" t="n">
        <v>32.4</v>
      </c>
      <c r="F868" s="22" t="s">
        <v>175</v>
      </c>
    </row>
    <row r="869" customFormat="false" ht="15" hidden="false" customHeight="false" outlineLevel="0" collapsed="false">
      <c r="A869" s="22" t="s">
        <v>2347</v>
      </c>
      <c r="B869" s="22" t="s">
        <v>2348</v>
      </c>
      <c r="C869" s="22" t="s">
        <v>162</v>
      </c>
      <c r="D869" s="22" t="s">
        <v>728</v>
      </c>
      <c r="E869" s="22" t="n">
        <v>45.2</v>
      </c>
      <c r="F869" s="22" t="s">
        <v>164</v>
      </c>
    </row>
    <row r="870" customFormat="false" ht="15" hidden="false" customHeight="false" outlineLevel="0" collapsed="false">
      <c r="A870" s="22" t="s">
        <v>2349</v>
      </c>
      <c r="B870" s="22" t="s">
        <v>2350</v>
      </c>
      <c r="C870" s="22" t="s">
        <v>207</v>
      </c>
      <c r="D870" s="22" t="s">
        <v>1006</v>
      </c>
      <c r="E870" s="22" t="n">
        <v>49.8</v>
      </c>
      <c r="F870" s="22" t="s">
        <v>198</v>
      </c>
    </row>
    <row r="871" customFormat="false" ht="15" hidden="false" customHeight="false" outlineLevel="0" collapsed="false">
      <c r="A871" s="22" t="s">
        <v>2351</v>
      </c>
      <c r="B871" s="22" t="s">
        <v>2352</v>
      </c>
      <c r="C871" s="22" t="s">
        <v>157</v>
      </c>
      <c r="D871" s="22" t="s">
        <v>921</v>
      </c>
      <c r="E871" s="22" t="n">
        <v>25.2</v>
      </c>
      <c r="F871" s="22" t="s">
        <v>175</v>
      </c>
    </row>
    <row r="872" customFormat="false" ht="15" hidden="false" customHeight="false" outlineLevel="0" collapsed="false">
      <c r="A872" s="22" t="s">
        <v>2353</v>
      </c>
      <c r="B872" s="22" t="s">
        <v>2354</v>
      </c>
      <c r="C872" s="22" t="s">
        <v>162</v>
      </c>
      <c r="D872" s="22" t="s">
        <v>1304</v>
      </c>
      <c r="E872" s="22" t="n">
        <v>60.4</v>
      </c>
      <c r="F872" s="22" t="s">
        <v>164</v>
      </c>
    </row>
    <row r="873" customFormat="false" ht="15" hidden="false" customHeight="false" outlineLevel="0" collapsed="false">
      <c r="A873" s="22" t="s">
        <v>2355</v>
      </c>
      <c r="B873" s="22" t="s">
        <v>2356</v>
      </c>
      <c r="C873" s="22" t="s">
        <v>162</v>
      </c>
      <c r="D873" s="22" t="s">
        <v>272</v>
      </c>
      <c r="E873" s="22" t="n">
        <v>57.6</v>
      </c>
      <c r="F873" s="22" t="s">
        <v>175</v>
      </c>
    </row>
    <row r="874" customFormat="false" ht="15" hidden="false" customHeight="false" outlineLevel="0" collapsed="false">
      <c r="A874" s="22" t="s">
        <v>2357</v>
      </c>
      <c r="B874" s="22" t="s">
        <v>2358</v>
      </c>
      <c r="C874" s="22" t="s">
        <v>162</v>
      </c>
      <c r="D874" s="22" t="s">
        <v>752</v>
      </c>
      <c r="E874" s="22" t="n">
        <v>30.7</v>
      </c>
      <c r="F874" s="22" t="s">
        <v>159</v>
      </c>
    </row>
    <row r="875" customFormat="false" ht="15" hidden="false" customHeight="false" outlineLevel="0" collapsed="false">
      <c r="A875" s="22" t="s">
        <v>2359</v>
      </c>
      <c r="B875" s="22" t="s">
        <v>2360</v>
      </c>
      <c r="C875" s="22" t="s">
        <v>162</v>
      </c>
      <c r="D875" s="22" t="s">
        <v>1438</v>
      </c>
      <c r="E875" s="22" t="n">
        <v>56.3</v>
      </c>
      <c r="F875" s="22" t="s">
        <v>175</v>
      </c>
    </row>
    <row r="876" customFormat="false" ht="15" hidden="false" customHeight="false" outlineLevel="0" collapsed="false">
      <c r="A876" s="22" t="s">
        <v>2361</v>
      </c>
      <c r="B876" s="22" t="s">
        <v>2362</v>
      </c>
      <c r="C876" s="22" t="s">
        <v>162</v>
      </c>
      <c r="D876" s="22" t="s">
        <v>1193</v>
      </c>
      <c r="E876" s="22" t="n">
        <v>31.7</v>
      </c>
      <c r="F876" s="22" t="s">
        <v>171</v>
      </c>
    </row>
    <row r="877" customFormat="false" ht="15" hidden="false" customHeight="false" outlineLevel="0" collapsed="false">
      <c r="A877" s="22" t="s">
        <v>2363</v>
      </c>
      <c r="B877" s="22" t="s">
        <v>2364</v>
      </c>
      <c r="C877" s="22" t="s">
        <v>207</v>
      </c>
      <c r="D877" s="22" t="s">
        <v>480</v>
      </c>
      <c r="E877" s="22" t="n">
        <v>37.9</v>
      </c>
      <c r="F877" s="22" t="s">
        <v>188</v>
      </c>
    </row>
    <row r="878" customFormat="false" ht="15" hidden="false" customHeight="false" outlineLevel="0" collapsed="false">
      <c r="A878" s="22" t="s">
        <v>2365</v>
      </c>
      <c r="B878" s="22" t="s">
        <v>2366</v>
      </c>
      <c r="C878" s="22" t="s">
        <v>162</v>
      </c>
      <c r="D878" s="22" t="s">
        <v>2367</v>
      </c>
      <c r="E878" s="22" t="n">
        <v>26.6</v>
      </c>
      <c r="F878" s="22" t="s">
        <v>171</v>
      </c>
    </row>
    <row r="879" customFormat="false" ht="15" hidden="false" customHeight="false" outlineLevel="0" collapsed="false">
      <c r="A879" s="22" t="s">
        <v>2368</v>
      </c>
      <c r="B879" s="22" t="s">
        <v>2369</v>
      </c>
      <c r="C879" s="22" t="s">
        <v>157</v>
      </c>
      <c r="D879" s="22" t="s">
        <v>287</v>
      </c>
      <c r="E879" s="22" t="n">
        <v>49.9</v>
      </c>
      <c r="F879" s="22" t="s">
        <v>164</v>
      </c>
    </row>
    <row r="880" customFormat="false" ht="15" hidden="false" customHeight="false" outlineLevel="0" collapsed="false">
      <c r="A880" s="22" t="s">
        <v>2370</v>
      </c>
      <c r="B880" s="22" t="s">
        <v>2371</v>
      </c>
      <c r="C880" s="22" t="s">
        <v>162</v>
      </c>
      <c r="D880" s="22" t="s">
        <v>2372</v>
      </c>
      <c r="E880" s="22" t="n">
        <v>20.3</v>
      </c>
      <c r="F880" s="22" t="s">
        <v>159</v>
      </c>
    </row>
    <row r="881" customFormat="false" ht="15" hidden="false" customHeight="false" outlineLevel="0" collapsed="false">
      <c r="A881" s="22" t="s">
        <v>2373</v>
      </c>
      <c r="B881" s="22" t="s">
        <v>2374</v>
      </c>
      <c r="C881" s="22" t="s">
        <v>162</v>
      </c>
      <c r="D881" s="22" t="s">
        <v>1253</v>
      </c>
      <c r="E881" s="22" t="n">
        <v>43.5</v>
      </c>
      <c r="F881" s="22" t="s">
        <v>164</v>
      </c>
    </row>
    <row r="882" customFormat="false" ht="15" hidden="false" customHeight="false" outlineLevel="0" collapsed="false">
      <c r="A882" s="22" t="s">
        <v>2375</v>
      </c>
      <c r="B882" s="22" t="s">
        <v>2376</v>
      </c>
      <c r="C882" s="22" t="s">
        <v>162</v>
      </c>
      <c r="D882" s="22" t="s">
        <v>2001</v>
      </c>
      <c r="E882" s="22" t="n">
        <v>29.8</v>
      </c>
      <c r="F882" s="22" t="s">
        <v>215</v>
      </c>
    </row>
    <row r="883" customFormat="false" ht="15" hidden="false" customHeight="false" outlineLevel="0" collapsed="false">
      <c r="A883" s="22" t="s">
        <v>2377</v>
      </c>
      <c r="B883" s="22" t="s">
        <v>2378</v>
      </c>
      <c r="C883" s="22" t="s">
        <v>162</v>
      </c>
      <c r="D883" s="22" t="s">
        <v>2081</v>
      </c>
      <c r="E883" s="22" t="n">
        <v>49.7</v>
      </c>
      <c r="F883" s="22" t="s">
        <v>198</v>
      </c>
    </row>
    <row r="884" customFormat="false" ht="15" hidden="false" customHeight="false" outlineLevel="0" collapsed="false">
      <c r="A884" s="22" t="s">
        <v>2379</v>
      </c>
      <c r="B884" s="22" t="s">
        <v>2380</v>
      </c>
      <c r="C884" s="22" t="s">
        <v>162</v>
      </c>
      <c r="D884" s="22" t="s">
        <v>269</v>
      </c>
      <c r="E884" s="22" t="n">
        <v>32.1</v>
      </c>
      <c r="F884" s="22" t="s">
        <v>175</v>
      </c>
    </row>
    <row r="885" customFormat="false" ht="15" hidden="false" customHeight="false" outlineLevel="0" collapsed="false">
      <c r="A885" s="22" t="s">
        <v>2381</v>
      </c>
      <c r="B885" s="22" t="s">
        <v>2382</v>
      </c>
      <c r="C885" s="22" t="s">
        <v>162</v>
      </c>
      <c r="D885" s="22" t="s">
        <v>2383</v>
      </c>
      <c r="E885" s="22" t="n">
        <v>27.3</v>
      </c>
      <c r="F885" s="22" t="s">
        <v>171</v>
      </c>
    </row>
    <row r="886" customFormat="false" ht="15" hidden="false" customHeight="false" outlineLevel="0" collapsed="false">
      <c r="A886" s="22" t="s">
        <v>2384</v>
      </c>
      <c r="B886" s="22" t="s">
        <v>2385</v>
      </c>
      <c r="C886" s="22" t="s">
        <v>162</v>
      </c>
      <c r="D886" s="22" t="s">
        <v>2386</v>
      </c>
      <c r="E886" s="22" t="n">
        <v>41</v>
      </c>
      <c r="F886" s="22" t="s">
        <v>164</v>
      </c>
    </row>
    <row r="887" customFormat="false" ht="15" hidden="false" customHeight="false" outlineLevel="0" collapsed="false">
      <c r="A887" s="22" t="s">
        <v>2387</v>
      </c>
      <c r="B887" s="22" t="s">
        <v>2388</v>
      </c>
      <c r="C887" s="22" t="s">
        <v>162</v>
      </c>
      <c r="D887" s="22" t="s">
        <v>2389</v>
      </c>
      <c r="E887" s="22" t="n">
        <v>18.4</v>
      </c>
      <c r="F887" s="22" t="s">
        <v>175</v>
      </c>
    </row>
    <row r="888" customFormat="false" ht="15" hidden="false" customHeight="false" outlineLevel="0" collapsed="false">
      <c r="A888" s="22" t="s">
        <v>2390</v>
      </c>
      <c r="B888" s="22" t="s">
        <v>2391</v>
      </c>
      <c r="C888" s="22" t="s">
        <v>207</v>
      </c>
      <c r="D888" s="22" t="s">
        <v>991</v>
      </c>
      <c r="E888" s="22" t="n">
        <v>20.2</v>
      </c>
      <c r="F888" s="22" t="s">
        <v>215</v>
      </c>
    </row>
    <row r="889" customFormat="false" ht="15" hidden="false" customHeight="false" outlineLevel="0" collapsed="false">
      <c r="A889" s="22" t="s">
        <v>2392</v>
      </c>
      <c r="B889" s="22" t="s">
        <v>2393</v>
      </c>
      <c r="C889" s="22" t="s">
        <v>162</v>
      </c>
      <c r="D889" s="22" t="s">
        <v>2394</v>
      </c>
      <c r="E889" s="22" t="n">
        <v>32</v>
      </c>
      <c r="F889" s="22" t="s">
        <v>159</v>
      </c>
    </row>
    <row r="890" customFormat="false" ht="15" hidden="false" customHeight="false" outlineLevel="0" collapsed="false">
      <c r="A890" s="22" t="s">
        <v>2395</v>
      </c>
      <c r="B890" s="22" t="s">
        <v>2396</v>
      </c>
      <c r="C890" s="22" t="s">
        <v>162</v>
      </c>
      <c r="D890" s="22" t="s">
        <v>871</v>
      </c>
      <c r="E890" s="22" t="n">
        <v>27.9</v>
      </c>
      <c r="F890" s="22" t="s">
        <v>164</v>
      </c>
    </row>
    <row r="891" customFormat="false" ht="15" hidden="false" customHeight="false" outlineLevel="0" collapsed="false">
      <c r="A891" s="22" t="s">
        <v>2397</v>
      </c>
      <c r="B891" s="22" t="s">
        <v>2398</v>
      </c>
      <c r="C891" s="22" t="s">
        <v>162</v>
      </c>
      <c r="D891" s="22" t="s">
        <v>2201</v>
      </c>
      <c r="E891" s="22" t="n">
        <v>20.5</v>
      </c>
      <c r="F891" s="22" t="s">
        <v>198</v>
      </c>
    </row>
    <row r="892" customFormat="false" ht="15" hidden="false" customHeight="false" outlineLevel="0" collapsed="false">
      <c r="A892" s="22" t="s">
        <v>2399</v>
      </c>
      <c r="B892" s="22" t="s">
        <v>2400</v>
      </c>
      <c r="C892" s="22" t="s">
        <v>162</v>
      </c>
      <c r="D892" s="22" t="s">
        <v>284</v>
      </c>
      <c r="E892" s="22" t="n">
        <v>26.2</v>
      </c>
      <c r="F892" s="22" t="s">
        <v>175</v>
      </c>
    </row>
    <row r="893" customFormat="false" ht="15" hidden="false" customHeight="false" outlineLevel="0" collapsed="false">
      <c r="A893" s="22" t="s">
        <v>2401</v>
      </c>
      <c r="B893" s="22" t="s">
        <v>2402</v>
      </c>
      <c r="C893" s="22" t="s">
        <v>162</v>
      </c>
      <c r="D893" s="22" t="s">
        <v>1187</v>
      </c>
      <c r="E893" s="22" t="n">
        <v>38.6</v>
      </c>
      <c r="F893" s="22" t="s">
        <v>188</v>
      </c>
    </row>
    <row r="894" customFormat="false" ht="15" hidden="false" customHeight="false" outlineLevel="0" collapsed="false">
      <c r="A894" s="22" t="s">
        <v>2403</v>
      </c>
      <c r="B894" s="22" t="s">
        <v>2404</v>
      </c>
      <c r="C894" s="22" t="s">
        <v>162</v>
      </c>
      <c r="D894" s="22" t="s">
        <v>2405</v>
      </c>
      <c r="E894" s="22" t="n">
        <v>36.3</v>
      </c>
      <c r="F894" s="22" t="s">
        <v>164</v>
      </c>
    </row>
    <row r="895" customFormat="false" ht="15" hidden="false" customHeight="false" outlineLevel="0" collapsed="false">
      <c r="A895" s="22" t="s">
        <v>2406</v>
      </c>
      <c r="B895" s="22" t="s">
        <v>2407</v>
      </c>
      <c r="C895" s="22" t="s">
        <v>162</v>
      </c>
      <c r="D895" s="22" t="s">
        <v>1383</v>
      </c>
      <c r="E895" s="22" t="n">
        <v>26.3</v>
      </c>
      <c r="F895" s="22" t="s">
        <v>198</v>
      </c>
    </row>
    <row r="896" customFormat="false" ht="15" hidden="false" customHeight="false" outlineLevel="0" collapsed="false">
      <c r="A896" s="22" t="s">
        <v>2408</v>
      </c>
      <c r="B896" s="22" t="s">
        <v>2409</v>
      </c>
      <c r="C896" s="22" t="s">
        <v>162</v>
      </c>
      <c r="D896" s="22" t="s">
        <v>1774</v>
      </c>
      <c r="E896" s="22" t="n">
        <v>52</v>
      </c>
      <c r="F896" s="22" t="s">
        <v>159</v>
      </c>
    </row>
    <row r="897" customFormat="false" ht="15" hidden="false" customHeight="false" outlineLevel="0" collapsed="false">
      <c r="A897" s="22" t="s">
        <v>2410</v>
      </c>
      <c r="B897" s="22" t="s">
        <v>2411</v>
      </c>
      <c r="C897" s="22" t="s">
        <v>162</v>
      </c>
      <c r="D897" s="22" t="s">
        <v>1840</v>
      </c>
      <c r="E897" s="22" t="n">
        <v>38.5</v>
      </c>
      <c r="F897" s="22" t="s">
        <v>164</v>
      </c>
    </row>
    <row r="898" customFormat="false" ht="15" hidden="false" customHeight="false" outlineLevel="0" collapsed="false">
      <c r="A898" s="22" t="s">
        <v>2412</v>
      </c>
      <c r="B898" s="22" t="s">
        <v>2413</v>
      </c>
      <c r="C898" s="22" t="s">
        <v>162</v>
      </c>
      <c r="D898" s="22" t="s">
        <v>642</v>
      </c>
      <c r="E898" s="22" t="n">
        <v>60.8</v>
      </c>
      <c r="F898" s="22" t="s">
        <v>198</v>
      </c>
    </row>
    <row r="899" customFormat="false" ht="15" hidden="false" customHeight="false" outlineLevel="0" collapsed="false">
      <c r="A899" s="22" t="s">
        <v>2414</v>
      </c>
      <c r="B899" s="22" t="s">
        <v>2415</v>
      </c>
      <c r="C899" s="22" t="s">
        <v>157</v>
      </c>
      <c r="D899" s="22" t="s">
        <v>1971</v>
      </c>
      <c r="E899" s="22" t="n">
        <v>41.5</v>
      </c>
      <c r="F899" s="22" t="s">
        <v>198</v>
      </c>
    </row>
    <row r="900" customFormat="false" ht="15" hidden="false" customHeight="false" outlineLevel="0" collapsed="false">
      <c r="A900" s="22" t="s">
        <v>2416</v>
      </c>
      <c r="B900" s="22" t="s">
        <v>2417</v>
      </c>
      <c r="C900" s="22" t="s">
        <v>162</v>
      </c>
      <c r="D900" s="22" t="s">
        <v>698</v>
      </c>
      <c r="E900" s="22" t="n">
        <v>29.4</v>
      </c>
      <c r="F900" s="22" t="s">
        <v>175</v>
      </c>
    </row>
    <row r="901" customFormat="false" ht="15" hidden="false" customHeight="false" outlineLevel="0" collapsed="false">
      <c r="A901" s="22" t="s">
        <v>2418</v>
      </c>
      <c r="B901" s="22" t="s">
        <v>2419</v>
      </c>
      <c r="C901" s="22" t="s">
        <v>162</v>
      </c>
      <c r="D901" s="22" t="s">
        <v>2420</v>
      </c>
      <c r="E901" s="22" t="n">
        <v>37.5</v>
      </c>
      <c r="F901" s="22" t="s">
        <v>198</v>
      </c>
    </row>
    <row r="902" customFormat="false" ht="15" hidden="false" customHeight="false" outlineLevel="0" collapsed="false">
      <c r="A902" s="22" t="s">
        <v>2421</v>
      </c>
      <c r="B902" s="22" t="s">
        <v>2422</v>
      </c>
      <c r="C902" s="22" t="s">
        <v>157</v>
      </c>
      <c r="D902" s="22" t="s">
        <v>2423</v>
      </c>
      <c r="E902" s="22" t="n">
        <v>21.8</v>
      </c>
      <c r="F902" s="22" t="s">
        <v>175</v>
      </c>
    </row>
    <row r="903" customFormat="false" ht="15" hidden="false" customHeight="false" outlineLevel="0" collapsed="false">
      <c r="A903" s="22" t="s">
        <v>2424</v>
      </c>
      <c r="B903" s="22" t="s">
        <v>2425</v>
      </c>
      <c r="C903" s="22" t="s">
        <v>207</v>
      </c>
      <c r="D903" s="22" t="s">
        <v>260</v>
      </c>
      <c r="E903" s="22" t="n">
        <v>18.7</v>
      </c>
      <c r="F903" s="22" t="s">
        <v>164</v>
      </c>
    </row>
    <row r="904" customFormat="false" ht="15" hidden="false" customHeight="false" outlineLevel="0" collapsed="false">
      <c r="A904" s="22" t="s">
        <v>2426</v>
      </c>
      <c r="B904" s="22" t="s">
        <v>2427</v>
      </c>
      <c r="C904" s="22" t="s">
        <v>162</v>
      </c>
      <c r="D904" s="22" t="s">
        <v>890</v>
      </c>
      <c r="E904" s="22" t="n">
        <v>58.3</v>
      </c>
      <c r="F904" s="22" t="s">
        <v>175</v>
      </c>
    </row>
    <row r="905" customFormat="false" ht="15" hidden="false" customHeight="false" outlineLevel="0" collapsed="false">
      <c r="A905" s="22" t="s">
        <v>2428</v>
      </c>
      <c r="B905" s="22" t="s">
        <v>2429</v>
      </c>
      <c r="C905" s="22" t="s">
        <v>207</v>
      </c>
      <c r="D905" s="22" t="s">
        <v>239</v>
      </c>
      <c r="E905" s="22" t="n">
        <v>20.8</v>
      </c>
      <c r="F905" s="22" t="s">
        <v>164</v>
      </c>
    </row>
    <row r="906" customFormat="false" ht="15" hidden="false" customHeight="false" outlineLevel="0" collapsed="false">
      <c r="A906" s="22" t="s">
        <v>2430</v>
      </c>
      <c r="B906" s="22" t="s">
        <v>2431</v>
      </c>
      <c r="C906" s="22" t="s">
        <v>157</v>
      </c>
      <c r="D906" s="22" t="s">
        <v>1764</v>
      </c>
      <c r="E906" s="22" t="n">
        <v>42.6</v>
      </c>
      <c r="F906" s="22" t="s">
        <v>171</v>
      </c>
    </row>
    <row r="907" customFormat="false" ht="15" hidden="false" customHeight="false" outlineLevel="0" collapsed="false">
      <c r="A907" s="22" t="s">
        <v>2432</v>
      </c>
      <c r="B907" s="22" t="s">
        <v>2433</v>
      </c>
      <c r="C907" s="22" t="s">
        <v>162</v>
      </c>
      <c r="D907" s="22" t="s">
        <v>346</v>
      </c>
      <c r="E907" s="22" t="n">
        <v>37.2</v>
      </c>
      <c r="F907" s="22" t="s">
        <v>171</v>
      </c>
    </row>
    <row r="908" customFormat="false" ht="15" hidden="false" customHeight="false" outlineLevel="0" collapsed="false">
      <c r="A908" s="22" t="s">
        <v>2434</v>
      </c>
      <c r="B908" s="22" t="s">
        <v>2435</v>
      </c>
      <c r="C908" s="22" t="s">
        <v>162</v>
      </c>
      <c r="D908" s="22" t="s">
        <v>1291</v>
      </c>
      <c r="E908" s="22" t="n">
        <v>54.1</v>
      </c>
      <c r="F908" s="22" t="s">
        <v>215</v>
      </c>
    </row>
    <row r="909" customFormat="false" ht="15" hidden="false" customHeight="false" outlineLevel="0" collapsed="false">
      <c r="A909" s="22" t="s">
        <v>2436</v>
      </c>
      <c r="B909" s="22" t="s">
        <v>2437</v>
      </c>
      <c r="C909" s="22" t="s">
        <v>207</v>
      </c>
      <c r="D909" s="22" t="s">
        <v>762</v>
      </c>
      <c r="E909" s="22" t="n">
        <v>33.8</v>
      </c>
      <c r="F909" s="22" t="s">
        <v>175</v>
      </c>
    </row>
    <row r="910" customFormat="false" ht="15" hidden="false" customHeight="false" outlineLevel="0" collapsed="false">
      <c r="A910" s="22" t="s">
        <v>2438</v>
      </c>
      <c r="B910" s="22" t="s">
        <v>2439</v>
      </c>
      <c r="C910" s="22" t="s">
        <v>162</v>
      </c>
      <c r="D910" s="22" t="s">
        <v>1178</v>
      </c>
      <c r="E910" s="22" t="n">
        <v>22.5</v>
      </c>
      <c r="F910" s="22" t="s">
        <v>164</v>
      </c>
    </row>
    <row r="911" customFormat="false" ht="15" hidden="false" customHeight="false" outlineLevel="0" collapsed="false">
      <c r="A911" s="22" t="s">
        <v>2440</v>
      </c>
      <c r="B911" s="22" t="s">
        <v>2441</v>
      </c>
      <c r="C911" s="22" t="s">
        <v>162</v>
      </c>
      <c r="D911" s="22" t="s">
        <v>2001</v>
      </c>
      <c r="E911" s="22" t="n">
        <v>49.2</v>
      </c>
      <c r="F911" s="22" t="s">
        <v>171</v>
      </c>
    </row>
    <row r="912" customFormat="false" ht="15" hidden="false" customHeight="false" outlineLevel="0" collapsed="false">
      <c r="A912" s="22" t="s">
        <v>2442</v>
      </c>
      <c r="B912" s="22" t="s">
        <v>2443</v>
      </c>
      <c r="C912" s="22" t="s">
        <v>162</v>
      </c>
      <c r="D912" s="22" t="s">
        <v>2057</v>
      </c>
      <c r="E912" s="22" t="n">
        <v>42.2</v>
      </c>
      <c r="F912" s="22" t="s">
        <v>175</v>
      </c>
    </row>
    <row r="913" customFormat="false" ht="15" hidden="false" customHeight="false" outlineLevel="0" collapsed="false">
      <c r="A913" s="22" t="s">
        <v>2444</v>
      </c>
      <c r="B913" s="22" t="s">
        <v>2445</v>
      </c>
      <c r="C913" s="22" t="s">
        <v>207</v>
      </c>
      <c r="D913" s="22" t="s">
        <v>302</v>
      </c>
      <c r="E913" s="22" t="n">
        <v>48.9</v>
      </c>
      <c r="F913" s="22" t="s">
        <v>164</v>
      </c>
    </row>
    <row r="914" customFormat="false" ht="15" hidden="false" customHeight="false" outlineLevel="0" collapsed="false">
      <c r="A914" s="22" t="s">
        <v>2446</v>
      </c>
      <c r="B914" s="22" t="s">
        <v>2447</v>
      </c>
      <c r="C914" s="22" t="s">
        <v>157</v>
      </c>
      <c r="D914" s="22" t="s">
        <v>2078</v>
      </c>
      <c r="E914" s="22" t="n">
        <v>54.9</v>
      </c>
      <c r="F914" s="22" t="s">
        <v>198</v>
      </c>
    </row>
    <row r="915" customFormat="false" ht="15" hidden="false" customHeight="false" outlineLevel="0" collapsed="false">
      <c r="A915" s="22" t="s">
        <v>2448</v>
      </c>
      <c r="B915" s="22" t="s">
        <v>2449</v>
      </c>
      <c r="C915" s="22" t="s">
        <v>162</v>
      </c>
      <c r="D915" s="22" t="s">
        <v>1040</v>
      </c>
      <c r="E915" s="22" t="n">
        <v>61.5</v>
      </c>
      <c r="F915" s="22" t="s">
        <v>175</v>
      </c>
    </row>
    <row r="916" customFormat="false" ht="15" hidden="false" customHeight="false" outlineLevel="0" collapsed="false">
      <c r="A916" s="22" t="s">
        <v>2450</v>
      </c>
      <c r="B916" s="22" t="s">
        <v>2451</v>
      </c>
      <c r="C916" s="22" t="s">
        <v>162</v>
      </c>
      <c r="D916" s="22" t="s">
        <v>728</v>
      </c>
      <c r="E916" s="22" t="n">
        <v>31.6</v>
      </c>
      <c r="F916" s="22" t="s">
        <v>171</v>
      </c>
    </row>
    <row r="917" customFormat="false" ht="15" hidden="false" customHeight="false" outlineLevel="0" collapsed="false">
      <c r="A917" s="22" t="s">
        <v>2452</v>
      </c>
      <c r="B917" s="22" t="s">
        <v>2453</v>
      </c>
      <c r="C917" s="22" t="s">
        <v>162</v>
      </c>
      <c r="D917" s="22" t="s">
        <v>585</v>
      </c>
      <c r="E917" s="22" t="n">
        <v>36.2</v>
      </c>
      <c r="F917" s="22" t="s">
        <v>164</v>
      </c>
    </row>
    <row r="918" customFormat="false" ht="15" hidden="false" customHeight="false" outlineLevel="0" collapsed="false">
      <c r="A918" s="22" t="s">
        <v>2454</v>
      </c>
      <c r="B918" s="22" t="s">
        <v>2455</v>
      </c>
      <c r="C918" s="22" t="s">
        <v>162</v>
      </c>
      <c r="D918" s="22" t="s">
        <v>972</v>
      </c>
      <c r="E918" s="22" t="n">
        <v>48.1</v>
      </c>
      <c r="F918" s="22" t="s">
        <v>198</v>
      </c>
    </row>
    <row r="919" customFormat="false" ht="15" hidden="false" customHeight="false" outlineLevel="0" collapsed="false">
      <c r="A919" s="22" t="s">
        <v>2456</v>
      </c>
      <c r="B919" s="22" t="s">
        <v>2457</v>
      </c>
      <c r="C919" s="22" t="s">
        <v>162</v>
      </c>
      <c r="D919" s="22" t="s">
        <v>975</v>
      </c>
      <c r="E919" s="22" t="n">
        <v>42.8</v>
      </c>
      <c r="F919" s="22" t="s">
        <v>164</v>
      </c>
    </row>
    <row r="920" customFormat="false" ht="15" hidden="false" customHeight="false" outlineLevel="0" collapsed="false">
      <c r="A920" s="22" t="s">
        <v>2458</v>
      </c>
      <c r="B920" s="22" t="s">
        <v>2459</v>
      </c>
      <c r="C920" s="22" t="s">
        <v>162</v>
      </c>
      <c r="D920" s="22" t="s">
        <v>1786</v>
      </c>
      <c r="E920" s="22" t="n">
        <v>52.9</v>
      </c>
      <c r="F920" s="22" t="s">
        <v>499</v>
      </c>
    </row>
    <row r="921" customFormat="false" ht="15" hidden="false" customHeight="false" outlineLevel="0" collapsed="false">
      <c r="A921" s="22" t="s">
        <v>2460</v>
      </c>
      <c r="B921" s="22" t="s">
        <v>2461</v>
      </c>
      <c r="C921" s="22" t="s">
        <v>162</v>
      </c>
      <c r="D921" s="22" t="s">
        <v>1553</v>
      </c>
      <c r="E921" s="22" t="n">
        <v>37.8</v>
      </c>
      <c r="F921" s="22" t="s">
        <v>164</v>
      </c>
    </row>
    <row r="922" customFormat="false" ht="15" hidden="false" customHeight="false" outlineLevel="0" collapsed="false">
      <c r="A922" s="22" t="s">
        <v>2462</v>
      </c>
      <c r="B922" s="22" t="s">
        <v>2463</v>
      </c>
      <c r="C922" s="22" t="s">
        <v>162</v>
      </c>
      <c r="D922" s="22" t="s">
        <v>812</v>
      </c>
      <c r="E922" s="22" t="n">
        <v>46.6</v>
      </c>
      <c r="F922" s="22" t="s">
        <v>171</v>
      </c>
    </row>
    <row r="923" customFormat="false" ht="15" hidden="false" customHeight="false" outlineLevel="0" collapsed="false">
      <c r="A923" s="22" t="s">
        <v>2464</v>
      </c>
      <c r="B923" s="22" t="s">
        <v>2465</v>
      </c>
      <c r="C923" s="22" t="s">
        <v>162</v>
      </c>
      <c r="D923" s="22" t="s">
        <v>579</v>
      </c>
      <c r="E923" s="22" t="n">
        <v>48.9</v>
      </c>
      <c r="F923" s="22" t="s">
        <v>164</v>
      </c>
    </row>
    <row r="924" customFormat="false" ht="15" hidden="false" customHeight="false" outlineLevel="0" collapsed="false">
      <c r="A924" s="22" t="s">
        <v>2466</v>
      </c>
      <c r="B924" s="22" t="s">
        <v>2467</v>
      </c>
      <c r="C924" s="22" t="s">
        <v>162</v>
      </c>
      <c r="D924" s="22" t="s">
        <v>2468</v>
      </c>
      <c r="E924" s="22" t="n">
        <v>31.4</v>
      </c>
      <c r="F924" s="22" t="s">
        <v>164</v>
      </c>
    </row>
    <row r="925" customFormat="false" ht="15" hidden="false" customHeight="false" outlineLevel="0" collapsed="false">
      <c r="A925" s="22" t="s">
        <v>2469</v>
      </c>
      <c r="B925" s="22" t="s">
        <v>2470</v>
      </c>
      <c r="C925" s="22" t="s">
        <v>162</v>
      </c>
      <c r="D925" s="22" t="s">
        <v>1847</v>
      </c>
      <c r="E925" s="22" t="n">
        <v>21.2</v>
      </c>
      <c r="F925" s="22" t="s">
        <v>159</v>
      </c>
    </row>
    <row r="926" customFormat="false" ht="15" hidden="false" customHeight="false" outlineLevel="0" collapsed="false">
      <c r="A926" s="22" t="s">
        <v>2471</v>
      </c>
      <c r="B926" s="22" t="s">
        <v>2472</v>
      </c>
      <c r="C926" s="22" t="s">
        <v>162</v>
      </c>
      <c r="D926" s="22" t="s">
        <v>1024</v>
      </c>
      <c r="E926" s="22" t="n">
        <v>46.7</v>
      </c>
      <c r="F926" s="22" t="s">
        <v>159</v>
      </c>
    </row>
    <row r="927" customFormat="false" ht="15" hidden="false" customHeight="false" outlineLevel="0" collapsed="false">
      <c r="A927" s="22" t="s">
        <v>2473</v>
      </c>
      <c r="B927" s="22" t="s">
        <v>2474</v>
      </c>
      <c r="C927" s="22" t="s">
        <v>162</v>
      </c>
      <c r="D927" s="22" t="s">
        <v>728</v>
      </c>
      <c r="E927" s="22" t="n">
        <v>22.8</v>
      </c>
      <c r="F927" s="22" t="s">
        <v>164</v>
      </c>
    </row>
    <row r="928" customFormat="false" ht="15" hidden="false" customHeight="false" outlineLevel="0" collapsed="false">
      <c r="A928" s="22" t="s">
        <v>2475</v>
      </c>
      <c r="B928" s="22" t="s">
        <v>2476</v>
      </c>
      <c r="C928" s="22" t="s">
        <v>162</v>
      </c>
      <c r="D928" s="22" t="s">
        <v>573</v>
      </c>
      <c r="E928" s="22" t="n">
        <v>38.7</v>
      </c>
      <c r="F928" s="22" t="s">
        <v>198</v>
      </c>
    </row>
    <row r="929" customFormat="false" ht="15" hidden="false" customHeight="false" outlineLevel="0" collapsed="false">
      <c r="A929" s="22" t="s">
        <v>2477</v>
      </c>
      <c r="B929" s="22" t="s">
        <v>2478</v>
      </c>
      <c r="C929" s="22" t="s">
        <v>162</v>
      </c>
      <c r="D929" s="22" t="s">
        <v>1323</v>
      </c>
      <c r="E929" s="22" t="n">
        <v>31.5</v>
      </c>
      <c r="F929" s="22" t="s">
        <v>164</v>
      </c>
    </row>
    <row r="930" customFormat="false" ht="15" hidden="false" customHeight="false" outlineLevel="0" collapsed="false">
      <c r="A930" s="22" t="s">
        <v>2479</v>
      </c>
      <c r="B930" s="22" t="s">
        <v>2480</v>
      </c>
      <c r="C930" s="22" t="s">
        <v>162</v>
      </c>
      <c r="D930" s="22" t="s">
        <v>1702</v>
      </c>
      <c r="E930" s="22" t="n">
        <v>22</v>
      </c>
      <c r="F930" s="22" t="s">
        <v>188</v>
      </c>
    </row>
    <row r="931" customFormat="false" ht="15" hidden="false" customHeight="false" outlineLevel="0" collapsed="false">
      <c r="A931" s="22" t="s">
        <v>2481</v>
      </c>
      <c r="B931" s="22" t="s">
        <v>2482</v>
      </c>
      <c r="C931" s="22" t="s">
        <v>162</v>
      </c>
      <c r="D931" s="22" t="s">
        <v>1034</v>
      </c>
      <c r="E931" s="22" t="n">
        <v>47.8</v>
      </c>
      <c r="F931" s="22" t="s">
        <v>164</v>
      </c>
    </row>
    <row r="932" customFormat="false" ht="15" hidden="false" customHeight="false" outlineLevel="0" collapsed="false">
      <c r="A932" s="22" t="s">
        <v>2483</v>
      </c>
      <c r="B932" s="22" t="s">
        <v>2484</v>
      </c>
      <c r="C932" s="22" t="s">
        <v>162</v>
      </c>
      <c r="D932" s="22" t="s">
        <v>2485</v>
      </c>
      <c r="E932" s="22" t="n">
        <v>58.9</v>
      </c>
      <c r="F932" s="22" t="s">
        <v>164</v>
      </c>
    </row>
    <row r="933" customFormat="false" ht="15" hidden="false" customHeight="false" outlineLevel="0" collapsed="false">
      <c r="A933" s="22" t="s">
        <v>2486</v>
      </c>
      <c r="B933" s="22" t="s">
        <v>2487</v>
      </c>
      <c r="C933" s="22" t="s">
        <v>162</v>
      </c>
      <c r="D933" s="22" t="s">
        <v>522</v>
      </c>
      <c r="E933" s="22" t="n">
        <v>24.6</v>
      </c>
      <c r="F933" s="22" t="s">
        <v>175</v>
      </c>
    </row>
    <row r="934" customFormat="false" ht="15" hidden="false" customHeight="false" outlineLevel="0" collapsed="false">
      <c r="A934" s="22" t="s">
        <v>2488</v>
      </c>
      <c r="B934" s="22" t="s">
        <v>2489</v>
      </c>
      <c r="C934" s="22" t="s">
        <v>207</v>
      </c>
      <c r="D934" s="22" t="s">
        <v>560</v>
      </c>
      <c r="E934" s="22" t="n">
        <v>38.1</v>
      </c>
      <c r="F934" s="22" t="s">
        <v>171</v>
      </c>
    </row>
    <row r="935" customFormat="false" ht="15" hidden="false" customHeight="false" outlineLevel="0" collapsed="false">
      <c r="A935" s="22" t="s">
        <v>2490</v>
      </c>
      <c r="B935" s="22" t="s">
        <v>2491</v>
      </c>
      <c r="C935" s="22" t="s">
        <v>162</v>
      </c>
      <c r="D935" s="22" t="s">
        <v>2492</v>
      </c>
      <c r="E935" s="22" t="n">
        <v>20.5</v>
      </c>
      <c r="F935" s="22" t="s">
        <v>159</v>
      </c>
    </row>
    <row r="936" customFormat="false" ht="15" hidden="false" customHeight="false" outlineLevel="0" collapsed="false">
      <c r="A936" s="22" t="s">
        <v>2493</v>
      </c>
      <c r="B936" s="22" t="s">
        <v>2494</v>
      </c>
      <c r="C936" s="22" t="s">
        <v>157</v>
      </c>
      <c r="D936" s="22" t="s">
        <v>1713</v>
      </c>
      <c r="E936" s="22" t="n">
        <v>34.3</v>
      </c>
      <c r="F936" s="22" t="s">
        <v>198</v>
      </c>
    </row>
    <row r="937" customFormat="false" ht="15" hidden="false" customHeight="false" outlineLevel="0" collapsed="false">
      <c r="A937" s="22" t="s">
        <v>2495</v>
      </c>
      <c r="B937" s="22" t="s">
        <v>2496</v>
      </c>
      <c r="C937" s="22" t="s">
        <v>162</v>
      </c>
      <c r="D937" s="22" t="s">
        <v>1060</v>
      </c>
      <c r="E937" s="22" t="n">
        <v>61</v>
      </c>
      <c r="F937" s="22" t="s">
        <v>198</v>
      </c>
    </row>
    <row r="938" customFormat="false" ht="15" hidden="false" customHeight="false" outlineLevel="0" collapsed="false">
      <c r="A938" s="22" t="s">
        <v>2497</v>
      </c>
      <c r="B938" s="22" t="s">
        <v>2498</v>
      </c>
      <c r="C938" s="22" t="s">
        <v>162</v>
      </c>
      <c r="D938" s="22" t="s">
        <v>1074</v>
      </c>
      <c r="E938" s="22" t="n">
        <v>34.5</v>
      </c>
      <c r="F938" s="22" t="s">
        <v>175</v>
      </c>
    </row>
    <row r="939" customFormat="false" ht="15" hidden="false" customHeight="false" outlineLevel="0" collapsed="false">
      <c r="A939" s="22" t="s">
        <v>2499</v>
      </c>
      <c r="B939" s="22" t="s">
        <v>2500</v>
      </c>
      <c r="C939" s="22" t="s">
        <v>162</v>
      </c>
      <c r="D939" s="22" t="s">
        <v>218</v>
      </c>
      <c r="E939" s="22" t="n">
        <v>41.8</v>
      </c>
      <c r="F939" s="22" t="s">
        <v>171</v>
      </c>
    </row>
    <row r="940" customFormat="false" ht="15" hidden="false" customHeight="false" outlineLevel="0" collapsed="false">
      <c r="A940" s="22" t="s">
        <v>2501</v>
      </c>
      <c r="B940" s="22" t="s">
        <v>2502</v>
      </c>
      <c r="C940" s="22" t="s">
        <v>162</v>
      </c>
      <c r="D940" s="22" t="s">
        <v>2503</v>
      </c>
      <c r="E940" s="22" t="n">
        <v>38.1</v>
      </c>
      <c r="F940" s="22" t="s">
        <v>198</v>
      </c>
    </row>
    <row r="941" customFormat="false" ht="15" hidden="false" customHeight="false" outlineLevel="0" collapsed="false">
      <c r="A941" s="22" t="s">
        <v>2504</v>
      </c>
      <c r="B941" s="22" t="s">
        <v>2505</v>
      </c>
      <c r="C941" s="22" t="s">
        <v>162</v>
      </c>
      <c r="D941" s="22" t="s">
        <v>2506</v>
      </c>
      <c r="E941" s="22" t="n">
        <v>53.5</v>
      </c>
      <c r="F941" s="22" t="s">
        <v>175</v>
      </c>
    </row>
    <row r="942" customFormat="false" ht="15" hidden="false" customHeight="false" outlineLevel="0" collapsed="false">
      <c r="A942" s="22" t="s">
        <v>2507</v>
      </c>
      <c r="B942" s="22" t="s">
        <v>2508</v>
      </c>
      <c r="C942" s="22" t="s">
        <v>162</v>
      </c>
      <c r="D942" s="22" t="s">
        <v>2509</v>
      </c>
      <c r="E942" s="22" t="n">
        <v>53.9</v>
      </c>
      <c r="F942" s="22" t="s">
        <v>164</v>
      </c>
    </row>
    <row r="943" customFormat="false" ht="15" hidden="false" customHeight="false" outlineLevel="0" collapsed="false">
      <c r="A943" s="22" t="s">
        <v>2510</v>
      </c>
      <c r="B943" s="22" t="s">
        <v>2511</v>
      </c>
      <c r="C943" s="22" t="s">
        <v>162</v>
      </c>
      <c r="D943" s="22" t="s">
        <v>2512</v>
      </c>
      <c r="E943" s="22" t="n">
        <v>30.1</v>
      </c>
      <c r="F943" s="22" t="s">
        <v>164</v>
      </c>
    </row>
    <row r="944" customFormat="false" ht="15" hidden="false" customHeight="false" outlineLevel="0" collapsed="false">
      <c r="A944" s="22" t="s">
        <v>2513</v>
      </c>
      <c r="B944" s="22" t="s">
        <v>2514</v>
      </c>
      <c r="C944" s="22" t="s">
        <v>162</v>
      </c>
      <c r="D944" s="22" t="s">
        <v>1130</v>
      </c>
      <c r="E944" s="22" t="n">
        <v>37.9</v>
      </c>
      <c r="F944" s="22" t="s">
        <v>175</v>
      </c>
    </row>
    <row r="945" customFormat="false" ht="15" hidden="false" customHeight="false" outlineLevel="0" collapsed="false">
      <c r="A945" s="22" t="s">
        <v>2515</v>
      </c>
      <c r="B945" s="22" t="s">
        <v>2516</v>
      </c>
      <c r="C945" s="22" t="s">
        <v>162</v>
      </c>
      <c r="D945" s="22" t="s">
        <v>1786</v>
      </c>
      <c r="E945" s="22" t="n">
        <v>62</v>
      </c>
      <c r="F945" s="22" t="s">
        <v>159</v>
      </c>
    </row>
    <row r="946" customFormat="false" ht="15" hidden="false" customHeight="false" outlineLevel="0" collapsed="false">
      <c r="A946" s="22" t="s">
        <v>2517</v>
      </c>
      <c r="B946" s="22" t="s">
        <v>2518</v>
      </c>
      <c r="C946" s="22" t="s">
        <v>162</v>
      </c>
      <c r="D946" s="22" t="s">
        <v>1956</v>
      </c>
      <c r="E946" s="22" t="n">
        <v>19</v>
      </c>
      <c r="F946" s="22" t="s">
        <v>198</v>
      </c>
    </row>
    <row r="947" customFormat="false" ht="15" hidden="false" customHeight="false" outlineLevel="0" collapsed="false">
      <c r="A947" s="22" t="s">
        <v>2519</v>
      </c>
      <c r="B947" s="22" t="s">
        <v>2520</v>
      </c>
      <c r="C947" s="22" t="s">
        <v>162</v>
      </c>
      <c r="D947" s="22" t="s">
        <v>1172</v>
      </c>
      <c r="E947" s="22" t="n">
        <v>38.7</v>
      </c>
      <c r="F947" s="22" t="s">
        <v>164</v>
      </c>
    </row>
    <row r="948" customFormat="false" ht="15" hidden="false" customHeight="false" outlineLevel="0" collapsed="false">
      <c r="A948" s="22" t="s">
        <v>2521</v>
      </c>
      <c r="B948" s="22" t="s">
        <v>2522</v>
      </c>
      <c r="C948" s="22" t="s">
        <v>162</v>
      </c>
      <c r="D948" s="22" t="s">
        <v>573</v>
      </c>
      <c r="E948" s="22" t="n">
        <v>49.8</v>
      </c>
      <c r="F948" s="22" t="s">
        <v>175</v>
      </c>
    </row>
    <row r="949" customFormat="false" ht="15" hidden="false" customHeight="false" outlineLevel="0" collapsed="false">
      <c r="A949" s="22" t="s">
        <v>2523</v>
      </c>
      <c r="B949" s="22" t="s">
        <v>2524</v>
      </c>
      <c r="C949" s="22" t="s">
        <v>162</v>
      </c>
      <c r="D949" s="22" t="s">
        <v>233</v>
      </c>
      <c r="E949" s="22" t="n">
        <v>61.8</v>
      </c>
      <c r="F949" s="22" t="s">
        <v>175</v>
      </c>
    </row>
    <row r="950" customFormat="false" ht="15" hidden="false" customHeight="false" outlineLevel="0" collapsed="false">
      <c r="A950" s="22" t="s">
        <v>2525</v>
      </c>
      <c r="B950" s="22" t="s">
        <v>2526</v>
      </c>
      <c r="C950" s="22" t="s">
        <v>162</v>
      </c>
      <c r="D950" s="22" t="s">
        <v>1006</v>
      </c>
      <c r="E950" s="22" t="n">
        <v>28.2</v>
      </c>
      <c r="F950" s="22" t="s">
        <v>159</v>
      </c>
    </row>
    <row r="951" customFormat="false" ht="15" hidden="false" customHeight="false" outlineLevel="0" collapsed="false">
      <c r="A951" s="22" t="s">
        <v>2527</v>
      </c>
      <c r="B951" s="22" t="s">
        <v>2528</v>
      </c>
      <c r="C951" s="22" t="s">
        <v>162</v>
      </c>
      <c r="D951" s="22" t="s">
        <v>201</v>
      </c>
      <c r="E951" s="22" t="n">
        <v>56</v>
      </c>
      <c r="F951" s="22" t="s">
        <v>175</v>
      </c>
    </row>
    <row r="952" customFormat="false" ht="15" hidden="false" customHeight="false" outlineLevel="0" collapsed="false">
      <c r="A952" s="22" t="s">
        <v>2529</v>
      </c>
      <c r="B952" s="22" t="s">
        <v>2530</v>
      </c>
      <c r="C952" s="22" t="s">
        <v>162</v>
      </c>
      <c r="D952" s="22" t="s">
        <v>1690</v>
      </c>
      <c r="E952" s="22" t="n">
        <v>55</v>
      </c>
      <c r="F952" s="22" t="s">
        <v>164</v>
      </c>
    </row>
    <row r="953" customFormat="false" ht="15" hidden="false" customHeight="false" outlineLevel="0" collapsed="false">
      <c r="A953" s="22" t="s">
        <v>2531</v>
      </c>
      <c r="B953" s="22" t="s">
        <v>2532</v>
      </c>
      <c r="C953" s="22" t="s">
        <v>162</v>
      </c>
      <c r="D953" s="22" t="s">
        <v>2533</v>
      </c>
      <c r="E953" s="22" t="n">
        <v>18.3</v>
      </c>
      <c r="F953" s="22" t="s">
        <v>164</v>
      </c>
    </row>
    <row r="954" customFormat="false" ht="15" hidden="false" customHeight="false" outlineLevel="0" collapsed="false">
      <c r="A954" s="22" t="s">
        <v>2534</v>
      </c>
      <c r="B954" s="22" t="s">
        <v>2535</v>
      </c>
      <c r="C954" s="22" t="s">
        <v>162</v>
      </c>
      <c r="D954" s="22" t="s">
        <v>533</v>
      </c>
      <c r="E954" s="22" t="n">
        <v>37.7</v>
      </c>
      <c r="F954" s="22" t="s">
        <v>175</v>
      </c>
    </row>
    <row r="955" customFormat="false" ht="15" hidden="false" customHeight="false" outlineLevel="0" collapsed="false">
      <c r="A955" s="22" t="s">
        <v>2536</v>
      </c>
      <c r="B955" s="22" t="s">
        <v>2537</v>
      </c>
      <c r="C955" s="22" t="s">
        <v>207</v>
      </c>
      <c r="D955" s="22" t="s">
        <v>2207</v>
      </c>
      <c r="E955" s="22" t="n">
        <v>42.9</v>
      </c>
      <c r="F955" s="22" t="s">
        <v>175</v>
      </c>
    </row>
    <row r="956" customFormat="false" ht="15" hidden="false" customHeight="false" outlineLevel="0" collapsed="false">
      <c r="A956" s="22" t="s">
        <v>2538</v>
      </c>
      <c r="B956" s="22" t="s">
        <v>2539</v>
      </c>
      <c r="C956" s="22" t="s">
        <v>162</v>
      </c>
      <c r="D956" s="22" t="s">
        <v>755</v>
      </c>
      <c r="E956" s="22" t="n">
        <v>51.7</v>
      </c>
      <c r="F956" s="22" t="s">
        <v>164</v>
      </c>
    </row>
    <row r="957" customFormat="false" ht="15" hidden="false" customHeight="false" outlineLevel="0" collapsed="false">
      <c r="A957" s="22" t="s">
        <v>2540</v>
      </c>
      <c r="B957" s="22" t="s">
        <v>2541</v>
      </c>
      <c r="C957" s="22" t="s">
        <v>162</v>
      </c>
      <c r="D957" s="22" t="s">
        <v>2542</v>
      </c>
      <c r="E957" s="22" t="n">
        <v>27.5</v>
      </c>
      <c r="F957" s="22" t="s">
        <v>159</v>
      </c>
    </row>
    <row r="958" customFormat="false" ht="15" hidden="false" customHeight="false" outlineLevel="0" collapsed="false">
      <c r="A958" s="22" t="s">
        <v>2543</v>
      </c>
      <c r="B958" s="22" t="s">
        <v>2544</v>
      </c>
      <c r="C958" s="22" t="s">
        <v>162</v>
      </c>
      <c r="D958" s="22" t="s">
        <v>1929</v>
      </c>
      <c r="E958" s="22" t="n">
        <v>28.9</v>
      </c>
      <c r="F958" s="22" t="s">
        <v>198</v>
      </c>
    </row>
    <row r="959" customFormat="false" ht="15" hidden="false" customHeight="false" outlineLevel="0" collapsed="false">
      <c r="A959" s="22" t="s">
        <v>2545</v>
      </c>
      <c r="B959" s="22" t="s">
        <v>2546</v>
      </c>
      <c r="C959" s="22" t="s">
        <v>162</v>
      </c>
      <c r="D959" s="22" t="s">
        <v>2324</v>
      </c>
      <c r="E959" s="22" t="n">
        <v>40.8</v>
      </c>
      <c r="F959" s="22" t="s">
        <v>175</v>
      </c>
    </row>
    <row r="960" customFormat="false" ht="15" hidden="false" customHeight="false" outlineLevel="0" collapsed="false">
      <c r="A960" s="22" t="s">
        <v>2547</v>
      </c>
      <c r="B960" s="22" t="s">
        <v>2548</v>
      </c>
      <c r="C960" s="22" t="s">
        <v>162</v>
      </c>
      <c r="D960" s="22" t="s">
        <v>838</v>
      </c>
      <c r="E960" s="22" t="n">
        <v>46.8</v>
      </c>
      <c r="F960" s="22" t="s">
        <v>175</v>
      </c>
    </row>
    <row r="961" customFormat="false" ht="15" hidden="false" customHeight="false" outlineLevel="0" collapsed="false">
      <c r="A961" s="22" t="s">
        <v>2549</v>
      </c>
      <c r="B961" s="22" t="s">
        <v>2550</v>
      </c>
      <c r="C961" s="22" t="s">
        <v>162</v>
      </c>
      <c r="D961" s="22" t="s">
        <v>1135</v>
      </c>
      <c r="E961" s="22" t="n">
        <v>30.9</v>
      </c>
      <c r="F961" s="22" t="s">
        <v>164</v>
      </c>
    </row>
    <row r="962" customFormat="false" ht="15" hidden="false" customHeight="false" outlineLevel="0" collapsed="false">
      <c r="A962" s="22" t="s">
        <v>2551</v>
      </c>
      <c r="B962" s="22" t="s">
        <v>2552</v>
      </c>
      <c r="C962" s="22" t="s">
        <v>162</v>
      </c>
      <c r="D962" s="22" t="s">
        <v>508</v>
      </c>
      <c r="E962" s="22" t="n">
        <v>52.4</v>
      </c>
      <c r="F962" s="22" t="s">
        <v>215</v>
      </c>
    </row>
    <row r="963" customFormat="false" ht="15" hidden="false" customHeight="false" outlineLevel="0" collapsed="false">
      <c r="A963" s="22" t="s">
        <v>2553</v>
      </c>
      <c r="B963" s="22" t="s">
        <v>2554</v>
      </c>
      <c r="C963" s="22" t="s">
        <v>162</v>
      </c>
      <c r="D963" s="22" t="s">
        <v>2555</v>
      </c>
      <c r="E963" s="22" t="n">
        <v>30.1</v>
      </c>
      <c r="F963" s="22" t="s">
        <v>171</v>
      </c>
    </row>
    <row r="964" customFormat="false" ht="15" hidden="false" customHeight="false" outlineLevel="0" collapsed="false">
      <c r="A964" s="22" t="s">
        <v>2556</v>
      </c>
      <c r="B964" s="22" t="s">
        <v>2557</v>
      </c>
      <c r="C964" s="22" t="s">
        <v>162</v>
      </c>
      <c r="D964" s="22" t="s">
        <v>498</v>
      </c>
      <c r="E964" s="22" t="n">
        <v>43.4</v>
      </c>
      <c r="F964" s="22" t="s">
        <v>198</v>
      </c>
    </row>
    <row r="965" customFormat="false" ht="15" hidden="false" customHeight="false" outlineLevel="0" collapsed="false">
      <c r="A965" s="22" t="s">
        <v>2558</v>
      </c>
      <c r="B965" s="22" t="s">
        <v>2559</v>
      </c>
      <c r="C965" s="22" t="s">
        <v>162</v>
      </c>
      <c r="D965" s="22" t="s">
        <v>2560</v>
      </c>
      <c r="E965" s="22" t="n">
        <v>32.4</v>
      </c>
      <c r="F965" s="22" t="s">
        <v>159</v>
      </c>
    </row>
    <row r="966" customFormat="false" ht="15" hidden="false" customHeight="false" outlineLevel="0" collapsed="false">
      <c r="A966" s="22" t="s">
        <v>2561</v>
      </c>
      <c r="B966" s="22" t="s">
        <v>2562</v>
      </c>
      <c r="C966" s="22" t="s">
        <v>162</v>
      </c>
      <c r="D966" s="22" t="s">
        <v>2563</v>
      </c>
      <c r="E966" s="22" t="n">
        <v>25</v>
      </c>
      <c r="F966" s="22" t="s">
        <v>198</v>
      </c>
    </row>
    <row r="967" customFormat="false" ht="15" hidden="false" customHeight="false" outlineLevel="0" collapsed="false">
      <c r="A967" s="22" t="s">
        <v>2564</v>
      </c>
      <c r="B967" s="22" t="s">
        <v>2565</v>
      </c>
      <c r="C967" s="22" t="s">
        <v>162</v>
      </c>
      <c r="D967" s="22" t="s">
        <v>495</v>
      </c>
      <c r="E967" s="22" t="n">
        <v>52.3</v>
      </c>
      <c r="F967" s="22" t="s">
        <v>159</v>
      </c>
    </row>
    <row r="968" customFormat="false" ht="15" hidden="false" customHeight="false" outlineLevel="0" collapsed="false">
      <c r="A968" s="22" t="s">
        <v>2566</v>
      </c>
      <c r="B968" s="22" t="s">
        <v>2567</v>
      </c>
      <c r="C968" s="22" t="s">
        <v>157</v>
      </c>
      <c r="D968" s="22" t="s">
        <v>736</v>
      </c>
      <c r="E968" s="22" t="n">
        <v>44.1</v>
      </c>
      <c r="F968" s="22" t="s">
        <v>164</v>
      </c>
    </row>
    <row r="969" customFormat="false" ht="15" hidden="false" customHeight="false" outlineLevel="0" collapsed="false">
      <c r="A969" s="22" t="s">
        <v>2568</v>
      </c>
      <c r="B969" s="22" t="s">
        <v>2569</v>
      </c>
      <c r="C969" s="22" t="s">
        <v>162</v>
      </c>
      <c r="D969" s="22" t="s">
        <v>648</v>
      </c>
      <c r="E969" s="22" t="n">
        <v>50</v>
      </c>
      <c r="F969" s="22" t="s">
        <v>171</v>
      </c>
    </row>
    <row r="970" customFormat="false" ht="15" hidden="false" customHeight="false" outlineLevel="0" collapsed="false">
      <c r="A970" s="22" t="s">
        <v>2570</v>
      </c>
      <c r="B970" s="22" t="s">
        <v>2571</v>
      </c>
      <c r="C970" s="22" t="s">
        <v>162</v>
      </c>
      <c r="D970" s="22" t="s">
        <v>2572</v>
      </c>
      <c r="E970" s="22" t="n">
        <v>26.9</v>
      </c>
      <c r="F970" s="22" t="s">
        <v>175</v>
      </c>
    </row>
    <row r="971" customFormat="false" ht="15" hidden="false" customHeight="false" outlineLevel="0" collapsed="false">
      <c r="A971" s="22" t="s">
        <v>2573</v>
      </c>
      <c r="B971" s="22" t="s">
        <v>2574</v>
      </c>
      <c r="C971" s="22" t="s">
        <v>162</v>
      </c>
      <c r="D971" s="22" t="s">
        <v>1003</v>
      </c>
      <c r="E971" s="22" t="n">
        <v>49.6</v>
      </c>
      <c r="F971" s="22" t="s">
        <v>164</v>
      </c>
    </row>
    <row r="972" customFormat="false" ht="15" hidden="false" customHeight="false" outlineLevel="0" collapsed="false">
      <c r="A972" s="22" t="s">
        <v>2575</v>
      </c>
      <c r="B972" s="22" t="s">
        <v>2576</v>
      </c>
      <c r="C972" s="22" t="s">
        <v>162</v>
      </c>
      <c r="D972" s="22" t="s">
        <v>1408</v>
      </c>
      <c r="E972" s="22" t="n">
        <v>43.8</v>
      </c>
      <c r="F972" s="22" t="s">
        <v>175</v>
      </c>
    </row>
    <row r="973" customFormat="false" ht="15" hidden="false" customHeight="false" outlineLevel="0" collapsed="false">
      <c r="A973" s="22" t="s">
        <v>2577</v>
      </c>
      <c r="B973" s="22" t="s">
        <v>2578</v>
      </c>
      <c r="C973" s="22" t="s">
        <v>162</v>
      </c>
      <c r="D973" s="22" t="s">
        <v>871</v>
      </c>
      <c r="E973" s="22" t="n">
        <v>57.9</v>
      </c>
      <c r="F973" s="22" t="s">
        <v>171</v>
      </c>
    </row>
    <row r="974" customFormat="false" ht="15" hidden="false" customHeight="false" outlineLevel="0" collapsed="false">
      <c r="A974" s="22" t="s">
        <v>2579</v>
      </c>
      <c r="B974" s="22" t="s">
        <v>2580</v>
      </c>
      <c r="C974" s="22" t="s">
        <v>162</v>
      </c>
      <c r="D974" s="22" t="s">
        <v>573</v>
      </c>
      <c r="E974" s="22" t="n">
        <v>29.3</v>
      </c>
      <c r="F974" s="22" t="s">
        <v>188</v>
      </c>
    </row>
    <row r="975" customFormat="false" ht="15" hidden="false" customHeight="false" outlineLevel="0" collapsed="false">
      <c r="A975" s="22" t="s">
        <v>2581</v>
      </c>
      <c r="B975" s="22" t="s">
        <v>2582</v>
      </c>
      <c r="C975" s="22" t="s">
        <v>162</v>
      </c>
      <c r="D975" s="22" t="s">
        <v>2583</v>
      </c>
      <c r="E975" s="22" t="n">
        <v>48.2</v>
      </c>
      <c r="F975" s="22" t="s">
        <v>164</v>
      </c>
    </row>
    <row r="976" customFormat="false" ht="15" hidden="false" customHeight="false" outlineLevel="0" collapsed="false">
      <c r="A976" s="22" t="s">
        <v>2584</v>
      </c>
      <c r="B976" s="22" t="s">
        <v>2585</v>
      </c>
      <c r="C976" s="22" t="s">
        <v>162</v>
      </c>
      <c r="D976" s="22" t="s">
        <v>1850</v>
      </c>
      <c r="E976" s="22" t="n">
        <v>45.5</v>
      </c>
      <c r="F976" s="22" t="s">
        <v>164</v>
      </c>
    </row>
    <row r="977" customFormat="false" ht="15" hidden="false" customHeight="false" outlineLevel="0" collapsed="false">
      <c r="A977" s="22" t="s">
        <v>2586</v>
      </c>
      <c r="B977" s="22" t="s">
        <v>2587</v>
      </c>
      <c r="C977" s="22" t="s">
        <v>162</v>
      </c>
      <c r="D977" s="22" t="s">
        <v>1634</v>
      </c>
      <c r="E977" s="22" t="n">
        <v>40.4</v>
      </c>
      <c r="F977" s="22" t="s">
        <v>215</v>
      </c>
    </row>
    <row r="978" customFormat="false" ht="15" hidden="false" customHeight="false" outlineLevel="0" collapsed="false">
      <c r="A978" s="22" t="s">
        <v>2588</v>
      </c>
      <c r="B978" s="22" t="s">
        <v>2589</v>
      </c>
      <c r="C978" s="22" t="s">
        <v>162</v>
      </c>
      <c r="D978" s="22" t="s">
        <v>684</v>
      </c>
      <c r="E978" s="22" t="n">
        <v>26.3</v>
      </c>
      <c r="F978" s="22" t="s">
        <v>198</v>
      </c>
    </row>
    <row r="979" customFormat="false" ht="15" hidden="false" customHeight="false" outlineLevel="0" collapsed="false">
      <c r="A979" s="22" t="s">
        <v>2590</v>
      </c>
      <c r="B979" s="22" t="s">
        <v>2591</v>
      </c>
      <c r="C979" s="22" t="s">
        <v>162</v>
      </c>
      <c r="D979" s="22" t="s">
        <v>2592</v>
      </c>
      <c r="E979" s="22" t="n">
        <v>29.5</v>
      </c>
      <c r="F979" s="22" t="s">
        <v>175</v>
      </c>
    </row>
    <row r="980" customFormat="false" ht="15" hidden="false" customHeight="false" outlineLevel="0" collapsed="false">
      <c r="A980" s="22" t="s">
        <v>2593</v>
      </c>
      <c r="B980" s="22" t="s">
        <v>2594</v>
      </c>
      <c r="C980" s="22" t="s">
        <v>162</v>
      </c>
      <c r="D980" s="22" t="s">
        <v>2595</v>
      </c>
      <c r="E980" s="22" t="n">
        <v>23.5</v>
      </c>
      <c r="F980" s="22" t="s">
        <v>175</v>
      </c>
    </row>
    <row r="981" customFormat="false" ht="15" hidden="false" customHeight="false" outlineLevel="0" collapsed="false">
      <c r="A981" s="22" t="s">
        <v>2596</v>
      </c>
      <c r="B981" s="22" t="s">
        <v>2597</v>
      </c>
      <c r="C981" s="22" t="s">
        <v>162</v>
      </c>
      <c r="D981" s="22" t="s">
        <v>1603</v>
      </c>
      <c r="E981" s="22" t="n">
        <v>49.6</v>
      </c>
      <c r="F981" s="22" t="s">
        <v>198</v>
      </c>
    </row>
    <row r="982" customFormat="false" ht="15" hidden="false" customHeight="false" outlineLevel="0" collapsed="false">
      <c r="A982" s="22" t="s">
        <v>2598</v>
      </c>
      <c r="B982" s="22" t="s">
        <v>2599</v>
      </c>
      <c r="C982" s="22" t="s">
        <v>162</v>
      </c>
      <c r="D982" s="22" t="s">
        <v>1217</v>
      </c>
      <c r="E982" s="22" t="n">
        <v>56.3</v>
      </c>
      <c r="F982" s="22" t="s">
        <v>499</v>
      </c>
    </row>
    <row r="983" customFormat="false" ht="15" hidden="false" customHeight="false" outlineLevel="0" collapsed="false">
      <c r="A983" s="22" t="s">
        <v>2600</v>
      </c>
      <c r="B983" s="22" t="s">
        <v>2601</v>
      </c>
      <c r="C983" s="22" t="s">
        <v>162</v>
      </c>
      <c r="D983" s="22" t="s">
        <v>2542</v>
      </c>
      <c r="E983" s="22" t="n">
        <v>54.1</v>
      </c>
      <c r="F983" s="22" t="s">
        <v>171</v>
      </c>
    </row>
    <row r="984" customFormat="false" ht="15" hidden="false" customHeight="false" outlineLevel="0" collapsed="false">
      <c r="A984" s="22" t="s">
        <v>2602</v>
      </c>
      <c r="B984" s="22" t="s">
        <v>2603</v>
      </c>
      <c r="C984" s="22" t="s">
        <v>157</v>
      </c>
      <c r="D984" s="22" t="s">
        <v>1281</v>
      </c>
      <c r="E984" s="22" t="n">
        <v>55.8</v>
      </c>
      <c r="F984" s="22" t="s">
        <v>198</v>
      </c>
    </row>
    <row r="985" customFormat="false" ht="15" hidden="false" customHeight="false" outlineLevel="0" collapsed="false">
      <c r="A985" s="22" t="s">
        <v>2604</v>
      </c>
      <c r="B985" s="22" t="s">
        <v>2605</v>
      </c>
      <c r="C985" s="22" t="s">
        <v>162</v>
      </c>
      <c r="D985" s="22" t="s">
        <v>1158</v>
      </c>
      <c r="E985" s="22" t="n">
        <v>41.9</v>
      </c>
      <c r="F985" s="22" t="s">
        <v>175</v>
      </c>
    </row>
    <row r="986" customFormat="false" ht="15" hidden="false" customHeight="false" outlineLevel="0" collapsed="false">
      <c r="A986" s="22" t="s">
        <v>2606</v>
      </c>
      <c r="B986" s="22" t="s">
        <v>2607</v>
      </c>
      <c r="C986" s="22" t="s">
        <v>162</v>
      </c>
      <c r="D986" s="22" t="s">
        <v>445</v>
      </c>
      <c r="E986" s="22" t="n">
        <v>19.5</v>
      </c>
      <c r="F986" s="22" t="s">
        <v>198</v>
      </c>
    </row>
    <row r="987" customFormat="false" ht="15" hidden="false" customHeight="false" outlineLevel="0" collapsed="false">
      <c r="A987" s="22" t="s">
        <v>2608</v>
      </c>
      <c r="B987" s="22" t="s">
        <v>2609</v>
      </c>
      <c r="C987" s="22" t="s">
        <v>162</v>
      </c>
      <c r="D987" s="22" t="s">
        <v>2610</v>
      </c>
      <c r="E987" s="22" t="n">
        <v>46.9</v>
      </c>
      <c r="F987" s="22" t="s">
        <v>175</v>
      </c>
    </row>
    <row r="988" customFormat="false" ht="15" hidden="false" customHeight="false" outlineLevel="0" collapsed="false">
      <c r="A988" s="22" t="s">
        <v>2611</v>
      </c>
      <c r="B988" s="22" t="s">
        <v>2612</v>
      </c>
      <c r="C988" s="22" t="s">
        <v>162</v>
      </c>
      <c r="D988" s="22" t="s">
        <v>1833</v>
      </c>
      <c r="E988" s="22" t="n">
        <v>33.7</v>
      </c>
      <c r="F988" s="22" t="s">
        <v>175</v>
      </c>
    </row>
    <row r="989" customFormat="false" ht="15" hidden="false" customHeight="false" outlineLevel="0" collapsed="false">
      <c r="A989" s="22" t="s">
        <v>2613</v>
      </c>
      <c r="B989" s="22" t="s">
        <v>2614</v>
      </c>
      <c r="C989" s="22" t="s">
        <v>207</v>
      </c>
      <c r="D989" s="22" t="s">
        <v>533</v>
      </c>
      <c r="E989" s="22" t="n">
        <v>53.1</v>
      </c>
      <c r="F989" s="22" t="s">
        <v>499</v>
      </c>
    </row>
    <row r="990" customFormat="false" ht="15" hidden="false" customHeight="false" outlineLevel="0" collapsed="false">
      <c r="A990" s="22" t="s">
        <v>2615</v>
      </c>
      <c r="B990" s="22" t="s">
        <v>2616</v>
      </c>
      <c r="C990" s="22" t="s">
        <v>162</v>
      </c>
      <c r="D990" s="22" t="s">
        <v>218</v>
      </c>
      <c r="E990" s="22" t="n">
        <v>58</v>
      </c>
      <c r="F990" s="22" t="s">
        <v>171</v>
      </c>
    </row>
    <row r="991" customFormat="false" ht="15" hidden="false" customHeight="false" outlineLevel="0" collapsed="false">
      <c r="A991" s="22" t="s">
        <v>2617</v>
      </c>
      <c r="B991" s="22" t="s">
        <v>2524</v>
      </c>
      <c r="C991" s="22" t="s">
        <v>162</v>
      </c>
      <c r="D991" s="22" t="s">
        <v>742</v>
      </c>
      <c r="E991" s="22" t="n">
        <v>25.1</v>
      </c>
      <c r="F991" s="22" t="s">
        <v>175</v>
      </c>
    </row>
    <row r="992" customFormat="false" ht="15" hidden="false" customHeight="false" outlineLevel="0" collapsed="false">
      <c r="A992" s="22" t="s">
        <v>2618</v>
      </c>
      <c r="B992" s="22" t="s">
        <v>2619</v>
      </c>
      <c r="C992" s="22" t="s">
        <v>207</v>
      </c>
      <c r="D992" s="22" t="s">
        <v>2620</v>
      </c>
      <c r="E992" s="22" t="n">
        <v>59.6</v>
      </c>
      <c r="F992" s="22" t="s">
        <v>164</v>
      </c>
    </row>
    <row r="993" customFormat="false" ht="15" hidden="false" customHeight="false" outlineLevel="0" collapsed="false">
      <c r="A993" s="22" t="s">
        <v>2621</v>
      </c>
      <c r="B993" s="22" t="s">
        <v>2622</v>
      </c>
      <c r="C993" s="22" t="s">
        <v>162</v>
      </c>
      <c r="D993" s="22" t="s">
        <v>191</v>
      </c>
      <c r="E993" s="22" t="n">
        <v>38</v>
      </c>
      <c r="F993" s="22" t="s">
        <v>171</v>
      </c>
    </row>
    <row r="994" customFormat="false" ht="15" hidden="false" customHeight="false" outlineLevel="0" collapsed="false">
      <c r="A994" s="22" t="s">
        <v>2623</v>
      </c>
      <c r="B994" s="22" t="s">
        <v>2624</v>
      </c>
      <c r="C994" s="22" t="s">
        <v>157</v>
      </c>
      <c r="D994" s="22" t="s">
        <v>2625</v>
      </c>
      <c r="E994" s="22" t="n">
        <v>27.8</v>
      </c>
      <c r="F994" s="22" t="s">
        <v>164</v>
      </c>
    </row>
    <row r="995" customFormat="false" ht="15" hidden="false" customHeight="false" outlineLevel="0" collapsed="false">
      <c r="A995" s="22" t="s">
        <v>2626</v>
      </c>
      <c r="B995" s="22" t="s">
        <v>2627</v>
      </c>
      <c r="C995" s="22" t="s">
        <v>162</v>
      </c>
      <c r="D995" s="22" t="s">
        <v>2628</v>
      </c>
      <c r="E995" s="22" t="n">
        <v>56.1</v>
      </c>
      <c r="F995" s="22" t="s">
        <v>164</v>
      </c>
    </row>
    <row r="996" customFormat="false" ht="15" hidden="false" customHeight="false" outlineLevel="0" collapsed="false">
      <c r="A996" s="22" t="s">
        <v>2629</v>
      </c>
      <c r="B996" s="22" t="s">
        <v>2630</v>
      </c>
      <c r="C996" s="22" t="s">
        <v>162</v>
      </c>
      <c r="D996" s="22" t="s">
        <v>890</v>
      </c>
      <c r="E996" s="22" t="n">
        <v>55.7</v>
      </c>
      <c r="F996" s="22" t="s">
        <v>164</v>
      </c>
    </row>
    <row r="997" customFormat="false" ht="15" hidden="false" customHeight="false" outlineLevel="0" collapsed="false">
      <c r="A997" s="22" t="s">
        <v>2631</v>
      </c>
      <c r="B997" s="22" t="s">
        <v>2632</v>
      </c>
      <c r="C997" s="22" t="s">
        <v>162</v>
      </c>
      <c r="D997" s="22" t="s">
        <v>1115</v>
      </c>
      <c r="E997" s="22" t="n">
        <v>29.8</v>
      </c>
      <c r="F997" s="22" t="s">
        <v>188</v>
      </c>
    </row>
    <row r="998" customFormat="false" ht="15" hidden="false" customHeight="false" outlineLevel="0" collapsed="false">
      <c r="A998" s="22" t="s">
        <v>2633</v>
      </c>
      <c r="B998" s="22" t="s">
        <v>2634</v>
      </c>
      <c r="C998" s="22" t="s">
        <v>162</v>
      </c>
      <c r="D998" s="22" t="s">
        <v>233</v>
      </c>
      <c r="E998" s="22" t="n">
        <v>56.9</v>
      </c>
      <c r="F998" s="22" t="s">
        <v>215</v>
      </c>
    </row>
    <row r="999" customFormat="false" ht="15" hidden="false" customHeight="false" outlineLevel="0" collapsed="false">
      <c r="A999" s="22" t="s">
        <v>2635</v>
      </c>
      <c r="B999" s="22" t="s">
        <v>2636</v>
      </c>
      <c r="C999" s="22" t="s">
        <v>162</v>
      </c>
      <c r="D999" s="22" t="s">
        <v>1125</v>
      </c>
      <c r="E999" s="22" t="n">
        <v>43.3</v>
      </c>
      <c r="F999" s="22" t="s">
        <v>164</v>
      </c>
    </row>
    <row r="1000" customFormat="false" ht="15" hidden="false" customHeight="false" outlineLevel="0" collapsed="false">
      <c r="A1000" s="22" t="s">
        <v>2637</v>
      </c>
      <c r="B1000" s="22" t="s">
        <v>2638</v>
      </c>
      <c r="C1000" s="22" t="s">
        <v>162</v>
      </c>
      <c r="D1000" s="22" t="s">
        <v>911</v>
      </c>
      <c r="E1000" s="22" t="n">
        <v>19.5</v>
      </c>
      <c r="F1000" s="22" t="s">
        <v>198</v>
      </c>
    </row>
    <row r="1001" customFormat="false" ht="15" hidden="false" customHeight="false" outlineLevel="0" collapsed="false">
      <c r="A1001" s="22" t="s">
        <v>2639</v>
      </c>
      <c r="B1001" s="22" t="s">
        <v>2640</v>
      </c>
      <c r="C1001" s="22" t="s">
        <v>157</v>
      </c>
      <c r="D1001" s="22" t="s">
        <v>2560</v>
      </c>
      <c r="E1001" s="22" t="n">
        <v>56.2</v>
      </c>
      <c r="F1001" s="22" t="s">
        <v>188</v>
      </c>
    </row>
    <row r="1002" customFormat="false" ht="15" hidden="false" customHeight="false" outlineLevel="0" collapsed="false">
      <c r="A1002" s="22" t="s">
        <v>2641</v>
      </c>
      <c r="B1002" s="22" t="s">
        <v>2642</v>
      </c>
      <c r="C1002" s="22" t="s">
        <v>162</v>
      </c>
      <c r="D1002" s="22" t="s">
        <v>2643</v>
      </c>
      <c r="E1002" s="22" t="n">
        <v>57.9</v>
      </c>
      <c r="F1002" s="22" t="s">
        <v>164</v>
      </c>
    </row>
    <row r="1003" customFormat="false" ht="15" hidden="false" customHeight="false" outlineLevel="0" collapsed="false">
      <c r="A1003" s="22" t="s">
        <v>2644</v>
      </c>
      <c r="B1003" s="22" t="s">
        <v>2645</v>
      </c>
      <c r="C1003" s="22" t="s">
        <v>162</v>
      </c>
      <c r="D1003" s="22" t="s">
        <v>1499</v>
      </c>
      <c r="E1003" s="22" t="n">
        <v>46.8</v>
      </c>
      <c r="F1003" s="22" t="s">
        <v>198</v>
      </c>
    </row>
    <row r="1004" customFormat="false" ht="15" hidden="false" customHeight="false" outlineLevel="0" collapsed="false">
      <c r="A1004" s="22" t="s">
        <v>2646</v>
      </c>
      <c r="B1004" s="22" t="s">
        <v>2647</v>
      </c>
      <c r="C1004" s="22" t="s">
        <v>162</v>
      </c>
      <c r="D1004" s="22" t="s">
        <v>552</v>
      </c>
      <c r="E1004" s="22" t="n">
        <v>34.1</v>
      </c>
      <c r="F1004" s="22" t="s">
        <v>164</v>
      </c>
    </row>
    <row r="1005" customFormat="false" ht="15" hidden="false" customHeight="false" outlineLevel="0" collapsed="false">
      <c r="A1005" s="22" t="s">
        <v>2648</v>
      </c>
      <c r="B1005" s="22" t="s">
        <v>2649</v>
      </c>
      <c r="C1005" s="22" t="s">
        <v>162</v>
      </c>
      <c r="D1005" s="22" t="s">
        <v>2650</v>
      </c>
      <c r="E1005" s="22" t="n">
        <v>19.2</v>
      </c>
      <c r="F1005" s="22" t="s">
        <v>164</v>
      </c>
    </row>
    <row r="1006" customFormat="false" ht="15" hidden="false" customHeight="false" outlineLevel="0" collapsed="false">
      <c r="A1006" s="22" t="s">
        <v>2651</v>
      </c>
      <c r="B1006" s="22" t="s">
        <v>2652</v>
      </c>
      <c r="C1006" s="22" t="s">
        <v>162</v>
      </c>
      <c r="D1006" s="22" t="s">
        <v>2653</v>
      </c>
      <c r="E1006" s="22" t="n">
        <v>35.8</v>
      </c>
      <c r="F1006" s="22" t="s">
        <v>171</v>
      </c>
    </row>
    <row r="1007" customFormat="false" ht="15" hidden="false" customHeight="false" outlineLevel="0" collapsed="false">
      <c r="A1007" s="22" t="s">
        <v>2654</v>
      </c>
      <c r="B1007" s="22" t="s">
        <v>2655</v>
      </c>
      <c r="C1007" s="22" t="s">
        <v>157</v>
      </c>
      <c r="D1007" s="22" t="s">
        <v>2656</v>
      </c>
      <c r="E1007" s="22" t="n">
        <v>42.1</v>
      </c>
      <c r="F1007" s="22" t="s">
        <v>159</v>
      </c>
    </row>
    <row r="1008" customFormat="false" ht="15" hidden="false" customHeight="false" outlineLevel="0" collapsed="false">
      <c r="A1008" s="22" t="s">
        <v>2657</v>
      </c>
      <c r="B1008" s="22" t="s">
        <v>2658</v>
      </c>
      <c r="C1008" s="22" t="s">
        <v>162</v>
      </c>
      <c r="D1008" s="22" t="s">
        <v>1656</v>
      </c>
      <c r="E1008" s="22" t="n">
        <v>57.3</v>
      </c>
      <c r="F1008" s="22" t="s">
        <v>198</v>
      </c>
    </row>
    <row r="1009" customFormat="false" ht="15" hidden="false" customHeight="false" outlineLevel="0" collapsed="false">
      <c r="A1009" s="22" t="s">
        <v>2659</v>
      </c>
      <c r="B1009" s="22" t="s">
        <v>2660</v>
      </c>
      <c r="C1009" s="22" t="s">
        <v>162</v>
      </c>
      <c r="D1009" s="22" t="s">
        <v>1945</v>
      </c>
      <c r="E1009" s="22" t="n">
        <v>21.2</v>
      </c>
      <c r="F1009" s="22" t="s">
        <v>215</v>
      </c>
    </row>
    <row r="1010" customFormat="false" ht="15" hidden="false" customHeight="false" outlineLevel="0" collapsed="false">
      <c r="A1010" s="22" t="s">
        <v>2661</v>
      </c>
      <c r="B1010" s="22" t="s">
        <v>2662</v>
      </c>
      <c r="C1010" s="22" t="s">
        <v>162</v>
      </c>
      <c r="D1010" s="22" t="s">
        <v>2663</v>
      </c>
      <c r="E1010" s="22" t="n">
        <v>42.3</v>
      </c>
      <c r="F1010" s="22" t="s">
        <v>198</v>
      </c>
    </row>
    <row r="1011" customFormat="false" ht="15" hidden="false" customHeight="false" outlineLevel="0" collapsed="false">
      <c r="A1011" s="22" t="s">
        <v>2664</v>
      </c>
      <c r="B1011" s="22" t="s">
        <v>2665</v>
      </c>
      <c r="C1011" s="22" t="s">
        <v>162</v>
      </c>
      <c r="D1011" s="22" t="s">
        <v>546</v>
      </c>
      <c r="E1011" s="22" t="n">
        <v>56.7</v>
      </c>
      <c r="F1011" s="22" t="s">
        <v>215</v>
      </c>
    </row>
    <row r="1012" customFormat="false" ht="15" hidden="false" customHeight="false" outlineLevel="0" collapsed="false">
      <c r="A1012" s="22" t="s">
        <v>2666</v>
      </c>
      <c r="B1012" s="22" t="s">
        <v>2667</v>
      </c>
      <c r="C1012" s="22" t="s">
        <v>162</v>
      </c>
      <c r="D1012" s="22" t="s">
        <v>924</v>
      </c>
      <c r="E1012" s="22" t="n">
        <v>60.2</v>
      </c>
      <c r="F1012" s="22" t="s">
        <v>164</v>
      </c>
    </row>
    <row r="1013" customFormat="false" ht="15" hidden="false" customHeight="false" outlineLevel="0" collapsed="false">
      <c r="A1013" s="22" t="s">
        <v>2668</v>
      </c>
      <c r="B1013" s="22" t="s">
        <v>2669</v>
      </c>
      <c r="C1013" s="22" t="s">
        <v>162</v>
      </c>
      <c r="D1013" s="22" t="s">
        <v>605</v>
      </c>
      <c r="E1013" s="22" t="n">
        <v>40.5</v>
      </c>
      <c r="F1013" s="22" t="s">
        <v>164</v>
      </c>
    </row>
    <row r="1014" customFormat="false" ht="15" hidden="false" customHeight="false" outlineLevel="0" collapsed="false">
      <c r="A1014" s="22" t="s">
        <v>2670</v>
      </c>
      <c r="B1014" s="22" t="s">
        <v>2671</v>
      </c>
      <c r="C1014" s="22" t="s">
        <v>162</v>
      </c>
      <c r="D1014" s="22" t="s">
        <v>1153</v>
      </c>
      <c r="E1014" s="22" t="n">
        <v>40.8</v>
      </c>
      <c r="F1014" s="22" t="s">
        <v>175</v>
      </c>
    </row>
    <row r="1015" customFormat="false" ht="15" hidden="false" customHeight="false" outlineLevel="0" collapsed="false">
      <c r="A1015" s="22" t="s">
        <v>2672</v>
      </c>
      <c r="B1015" s="22" t="s">
        <v>2673</v>
      </c>
      <c r="C1015" s="22" t="s">
        <v>162</v>
      </c>
      <c r="D1015" s="22" t="s">
        <v>1662</v>
      </c>
      <c r="E1015" s="22" t="n">
        <v>36.2</v>
      </c>
      <c r="F1015" s="22" t="s">
        <v>164</v>
      </c>
    </row>
    <row r="1016" customFormat="false" ht="15" hidden="false" customHeight="false" outlineLevel="0" collapsed="false">
      <c r="A1016" s="22" t="s">
        <v>2674</v>
      </c>
      <c r="B1016" s="22" t="s">
        <v>2675</v>
      </c>
      <c r="C1016" s="22" t="s">
        <v>162</v>
      </c>
      <c r="D1016" s="22" t="s">
        <v>570</v>
      </c>
      <c r="E1016" s="22" t="n">
        <v>48.9</v>
      </c>
      <c r="F1016" s="22" t="s">
        <v>188</v>
      </c>
    </row>
    <row r="1017" customFormat="false" ht="15" hidden="false" customHeight="false" outlineLevel="0" collapsed="false">
      <c r="A1017" s="22" t="s">
        <v>2676</v>
      </c>
      <c r="B1017" s="22" t="s">
        <v>2677</v>
      </c>
      <c r="C1017" s="22" t="s">
        <v>162</v>
      </c>
      <c r="D1017" s="22" t="s">
        <v>1198</v>
      </c>
      <c r="E1017" s="22" t="n">
        <v>54.9</v>
      </c>
      <c r="F1017" s="22" t="s">
        <v>175</v>
      </c>
    </row>
    <row r="1018" customFormat="false" ht="15" hidden="false" customHeight="false" outlineLevel="0" collapsed="false">
      <c r="A1018" s="22" t="s">
        <v>2678</v>
      </c>
      <c r="B1018" s="22" t="s">
        <v>2679</v>
      </c>
      <c r="C1018" s="22" t="s">
        <v>162</v>
      </c>
      <c r="D1018" s="22" t="s">
        <v>812</v>
      </c>
      <c r="E1018" s="22" t="n">
        <v>44.2</v>
      </c>
      <c r="F1018" s="22" t="s">
        <v>164</v>
      </c>
    </row>
    <row r="1019" customFormat="false" ht="15" hidden="false" customHeight="false" outlineLevel="0" collapsed="false">
      <c r="A1019" s="22" t="s">
        <v>2680</v>
      </c>
      <c r="B1019" s="22" t="s">
        <v>2681</v>
      </c>
      <c r="C1019" s="22" t="s">
        <v>162</v>
      </c>
      <c r="D1019" s="22" t="s">
        <v>2241</v>
      </c>
      <c r="E1019" s="22" t="n">
        <v>51.5</v>
      </c>
      <c r="F1019" s="22" t="s">
        <v>159</v>
      </c>
    </row>
    <row r="1020" customFormat="false" ht="15" hidden="false" customHeight="false" outlineLevel="0" collapsed="false">
      <c r="A1020" s="22" t="s">
        <v>2682</v>
      </c>
      <c r="B1020" s="22" t="s">
        <v>2683</v>
      </c>
      <c r="C1020" s="22" t="s">
        <v>162</v>
      </c>
      <c r="D1020" s="22" t="s">
        <v>2684</v>
      </c>
      <c r="E1020" s="22" t="n">
        <v>22.3</v>
      </c>
      <c r="F1020" s="22" t="s">
        <v>164</v>
      </c>
    </row>
    <row r="1021" customFormat="false" ht="15" hidden="false" customHeight="false" outlineLevel="0" collapsed="false">
      <c r="A1021" s="22" t="s">
        <v>2685</v>
      </c>
      <c r="B1021" s="22" t="s">
        <v>2686</v>
      </c>
      <c r="C1021" s="22" t="s">
        <v>162</v>
      </c>
      <c r="D1021" s="22" t="s">
        <v>398</v>
      </c>
      <c r="E1021" s="22" t="n">
        <v>32.9</v>
      </c>
      <c r="F1021" s="22" t="s">
        <v>175</v>
      </c>
    </row>
    <row r="1022" customFormat="false" ht="15" hidden="false" customHeight="false" outlineLevel="0" collapsed="false">
      <c r="A1022" s="22" t="s">
        <v>2687</v>
      </c>
      <c r="B1022" s="22" t="s">
        <v>2688</v>
      </c>
      <c r="C1022" s="22" t="s">
        <v>162</v>
      </c>
      <c r="D1022" s="22" t="s">
        <v>1395</v>
      </c>
      <c r="E1022" s="22" t="n">
        <v>49.7</v>
      </c>
      <c r="F1022" s="22" t="s">
        <v>159</v>
      </c>
    </row>
    <row r="1023" customFormat="false" ht="15" hidden="false" customHeight="false" outlineLevel="0" collapsed="false">
      <c r="A1023" s="22" t="s">
        <v>2689</v>
      </c>
      <c r="B1023" s="22" t="s">
        <v>2690</v>
      </c>
      <c r="C1023" s="22" t="s">
        <v>207</v>
      </c>
      <c r="D1023" s="22" t="s">
        <v>991</v>
      </c>
      <c r="E1023" s="22" t="n">
        <v>59</v>
      </c>
      <c r="F1023" s="22" t="s">
        <v>164</v>
      </c>
    </row>
    <row r="1024" customFormat="false" ht="15" hidden="false" customHeight="false" outlineLevel="0" collapsed="false">
      <c r="A1024" s="22" t="s">
        <v>2691</v>
      </c>
      <c r="B1024" s="22" t="s">
        <v>2692</v>
      </c>
      <c r="C1024" s="22" t="s">
        <v>162</v>
      </c>
      <c r="D1024" s="22" t="s">
        <v>370</v>
      </c>
      <c r="E1024" s="22" t="n">
        <v>37.6</v>
      </c>
      <c r="F1024" s="22" t="s">
        <v>164</v>
      </c>
    </row>
    <row r="1025" customFormat="false" ht="15" hidden="false" customHeight="false" outlineLevel="0" collapsed="false">
      <c r="A1025" s="22" t="s">
        <v>2693</v>
      </c>
      <c r="B1025" s="22" t="s">
        <v>2694</v>
      </c>
      <c r="C1025" s="22" t="s">
        <v>566</v>
      </c>
      <c r="D1025" s="22" t="s">
        <v>2695</v>
      </c>
      <c r="E1025" s="22" t="n">
        <v>26.3</v>
      </c>
      <c r="F1025" s="22" t="s">
        <v>171</v>
      </c>
    </row>
    <row r="1026" customFormat="false" ht="15" hidden="false" customHeight="false" outlineLevel="0" collapsed="false">
      <c r="A1026" s="22" t="s">
        <v>2696</v>
      </c>
      <c r="B1026" s="22" t="s">
        <v>2697</v>
      </c>
      <c r="C1026" s="22" t="s">
        <v>162</v>
      </c>
      <c r="D1026" s="22" t="s">
        <v>538</v>
      </c>
      <c r="E1026" s="22" t="n">
        <v>18.1</v>
      </c>
      <c r="F1026" s="22" t="s">
        <v>171</v>
      </c>
    </row>
    <row r="1027" customFormat="false" ht="15" hidden="false" customHeight="false" outlineLevel="0" collapsed="false">
      <c r="A1027" s="22" t="s">
        <v>2698</v>
      </c>
      <c r="B1027" s="22" t="s">
        <v>2699</v>
      </c>
      <c r="C1027" s="22" t="s">
        <v>162</v>
      </c>
      <c r="D1027" s="22" t="s">
        <v>717</v>
      </c>
      <c r="E1027" s="22" t="n">
        <v>44.7</v>
      </c>
      <c r="F1027" s="22" t="s">
        <v>164</v>
      </c>
    </row>
    <row r="1028" customFormat="false" ht="15" hidden="false" customHeight="false" outlineLevel="0" collapsed="false">
      <c r="A1028" s="22" t="s">
        <v>2700</v>
      </c>
      <c r="B1028" s="22" t="s">
        <v>2701</v>
      </c>
      <c r="C1028" s="22" t="s">
        <v>162</v>
      </c>
      <c r="D1028" s="22" t="s">
        <v>1125</v>
      </c>
      <c r="E1028" s="22" t="n">
        <v>46.1</v>
      </c>
      <c r="F1028" s="22" t="s">
        <v>171</v>
      </c>
    </row>
    <row r="1029" customFormat="false" ht="15" hidden="false" customHeight="false" outlineLevel="0" collapsed="false">
      <c r="A1029" s="22" t="s">
        <v>2702</v>
      </c>
      <c r="B1029" s="22" t="s">
        <v>2703</v>
      </c>
      <c r="C1029" s="22" t="s">
        <v>162</v>
      </c>
      <c r="D1029" s="22" t="s">
        <v>1929</v>
      </c>
      <c r="E1029" s="22" t="n">
        <v>29.2</v>
      </c>
      <c r="F1029" s="22" t="s">
        <v>171</v>
      </c>
    </row>
    <row r="1030" customFormat="false" ht="15" hidden="false" customHeight="false" outlineLevel="0" collapsed="false">
      <c r="A1030" s="22" t="s">
        <v>2704</v>
      </c>
      <c r="B1030" s="22" t="s">
        <v>2705</v>
      </c>
      <c r="C1030" s="22" t="s">
        <v>162</v>
      </c>
      <c r="D1030" s="22" t="s">
        <v>1294</v>
      </c>
      <c r="E1030" s="22" t="n">
        <v>18</v>
      </c>
      <c r="F1030" s="22" t="s">
        <v>164</v>
      </c>
    </row>
    <row r="1031" customFormat="false" ht="15" hidden="false" customHeight="false" outlineLevel="0" collapsed="false">
      <c r="A1031" s="22" t="s">
        <v>2706</v>
      </c>
      <c r="B1031" s="22" t="s">
        <v>2707</v>
      </c>
      <c r="C1031" s="22" t="s">
        <v>162</v>
      </c>
      <c r="D1031" s="22" t="s">
        <v>1572</v>
      </c>
      <c r="E1031" s="22" t="n">
        <v>47.6</v>
      </c>
      <c r="F1031" s="22" t="s">
        <v>198</v>
      </c>
    </row>
    <row r="1032" customFormat="false" ht="15" hidden="false" customHeight="false" outlineLevel="0" collapsed="false">
      <c r="A1032" s="22" t="s">
        <v>2708</v>
      </c>
      <c r="B1032" s="22" t="s">
        <v>2709</v>
      </c>
      <c r="C1032" s="22" t="s">
        <v>162</v>
      </c>
      <c r="D1032" s="22" t="s">
        <v>1758</v>
      </c>
      <c r="E1032" s="22" t="n">
        <v>19.2</v>
      </c>
      <c r="F1032" s="22" t="s">
        <v>188</v>
      </c>
    </row>
    <row r="1033" customFormat="false" ht="15" hidden="false" customHeight="false" outlineLevel="0" collapsed="false">
      <c r="A1033" s="22" t="s">
        <v>2710</v>
      </c>
      <c r="B1033" s="22" t="s">
        <v>2711</v>
      </c>
      <c r="C1033" s="22" t="s">
        <v>157</v>
      </c>
      <c r="D1033" s="22" t="s">
        <v>1403</v>
      </c>
      <c r="E1033" s="22" t="n">
        <v>38.4</v>
      </c>
      <c r="F1033" s="22" t="s">
        <v>164</v>
      </c>
    </row>
    <row r="1034" customFormat="false" ht="15" hidden="false" customHeight="false" outlineLevel="0" collapsed="false">
      <c r="A1034" s="22" t="s">
        <v>2712</v>
      </c>
      <c r="B1034" s="22" t="s">
        <v>2713</v>
      </c>
      <c r="C1034" s="22" t="s">
        <v>162</v>
      </c>
      <c r="D1034" s="22" t="s">
        <v>174</v>
      </c>
      <c r="E1034" s="22" t="n">
        <v>37.1</v>
      </c>
      <c r="F1034" s="22" t="s">
        <v>175</v>
      </c>
    </row>
    <row r="1035" customFormat="false" ht="15" hidden="false" customHeight="false" outlineLevel="0" collapsed="false">
      <c r="A1035" s="22" t="s">
        <v>2714</v>
      </c>
      <c r="B1035" s="22" t="s">
        <v>2715</v>
      </c>
      <c r="C1035" s="22" t="s">
        <v>162</v>
      </c>
      <c r="D1035" s="22" t="s">
        <v>466</v>
      </c>
      <c r="E1035" s="22" t="n">
        <v>54.9</v>
      </c>
      <c r="F1035" s="22" t="s">
        <v>175</v>
      </c>
    </row>
    <row r="1036" customFormat="false" ht="15" hidden="false" customHeight="false" outlineLevel="0" collapsed="false">
      <c r="A1036" s="22" t="s">
        <v>2716</v>
      </c>
      <c r="B1036" s="22" t="s">
        <v>2717</v>
      </c>
      <c r="C1036" s="22" t="s">
        <v>162</v>
      </c>
      <c r="D1036" s="22" t="s">
        <v>1996</v>
      </c>
      <c r="E1036" s="22" t="n">
        <v>20.3</v>
      </c>
      <c r="F1036" s="22" t="s">
        <v>164</v>
      </c>
    </row>
    <row r="1037" customFormat="false" ht="15" hidden="false" customHeight="false" outlineLevel="0" collapsed="false">
      <c r="A1037" s="22" t="s">
        <v>2718</v>
      </c>
      <c r="B1037" s="22" t="s">
        <v>2719</v>
      </c>
      <c r="C1037" s="22" t="s">
        <v>162</v>
      </c>
      <c r="D1037" s="22" t="s">
        <v>2720</v>
      </c>
      <c r="E1037" s="22" t="n">
        <v>46.2</v>
      </c>
      <c r="F1037" s="22" t="s">
        <v>215</v>
      </c>
    </row>
    <row r="1038" customFormat="false" ht="15" hidden="false" customHeight="false" outlineLevel="0" collapsed="false">
      <c r="A1038" s="22" t="s">
        <v>2721</v>
      </c>
      <c r="B1038" s="22" t="s">
        <v>2722</v>
      </c>
      <c r="C1038" s="22" t="s">
        <v>162</v>
      </c>
      <c r="D1038" s="22" t="s">
        <v>2723</v>
      </c>
      <c r="E1038" s="22" t="n">
        <v>45.1</v>
      </c>
      <c r="F1038" s="22" t="s">
        <v>175</v>
      </c>
    </row>
    <row r="1039" customFormat="false" ht="15" hidden="false" customHeight="false" outlineLevel="0" collapsed="false">
      <c r="A1039" s="22" t="s">
        <v>2724</v>
      </c>
      <c r="B1039" s="22" t="s">
        <v>2725</v>
      </c>
      <c r="C1039" s="22" t="s">
        <v>162</v>
      </c>
      <c r="D1039" s="22" t="s">
        <v>1690</v>
      </c>
      <c r="E1039" s="22" t="n">
        <v>27.1</v>
      </c>
      <c r="F1039" s="22" t="s">
        <v>159</v>
      </c>
    </row>
    <row r="1040" customFormat="false" ht="15" hidden="false" customHeight="false" outlineLevel="0" collapsed="false">
      <c r="A1040" s="22" t="s">
        <v>2726</v>
      </c>
      <c r="B1040" s="22" t="s">
        <v>2727</v>
      </c>
      <c r="C1040" s="22" t="s">
        <v>162</v>
      </c>
      <c r="D1040" s="22" t="s">
        <v>1675</v>
      </c>
      <c r="E1040" s="22" t="n">
        <v>28.4</v>
      </c>
      <c r="F1040" s="22" t="s">
        <v>164</v>
      </c>
    </row>
    <row r="1041" customFormat="false" ht="15" hidden="false" customHeight="false" outlineLevel="0" collapsed="false">
      <c r="A1041" s="22" t="s">
        <v>2728</v>
      </c>
      <c r="B1041" s="22" t="s">
        <v>2729</v>
      </c>
      <c r="C1041" s="22" t="s">
        <v>207</v>
      </c>
      <c r="D1041" s="22" t="s">
        <v>2730</v>
      </c>
      <c r="E1041" s="22" t="n">
        <v>40.5</v>
      </c>
      <c r="F1041" s="22" t="s">
        <v>198</v>
      </c>
    </row>
    <row r="1042" customFormat="false" ht="15" hidden="false" customHeight="false" outlineLevel="0" collapsed="false">
      <c r="A1042" s="22" t="s">
        <v>2731</v>
      </c>
      <c r="B1042" s="22" t="s">
        <v>2732</v>
      </c>
      <c r="C1042" s="22" t="s">
        <v>162</v>
      </c>
      <c r="D1042" s="22" t="s">
        <v>502</v>
      </c>
      <c r="E1042" s="22" t="n">
        <v>37</v>
      </c>
      <c r="F1042" s="22" t="s">
        <v>171</v>
      </c>
    </row>
    <row r="1043" customFormat="false" ht="15" hidden="false" customHeight="false" outlineLevel="0" collapsed="false">
      <c r="A1043" s="22" t="s">
        <v>2733</v>
      </c>
      <c r="B1043" s="22" t="s">
        <v>2734</v>
      </c>
      <c r="C1043" s="22" t="s">
        <v>162</v>
      </c>
      <c r="D1043" s="22" t="s">
        <v>2735</v>
      </c>
      <c r="E1043" s="22" t="n">
        <v>61.8</v>
      </c>
      <c r="F1043" s="22" t="s">
        <v>171</v>
      </c>
    </row>
    <row r="1044" customFormat="false" ht="15" hidden="false" customHeight="false" outlineLevel="0" collapsed="false">
      <c r="A1044" s="22" t="s">
        <v>2736</v>
      </c>
      <c r="B1044" s="22" t="s">
        <v>2737</v>
      </c>
      <c r="C1044" s="22" t="s">
        <v>162</v>
      </c>
      <c r="D1044" s="22" t="s">
        <v>2738</v>
      </c>
      <c r="E1044" s="22" t="n">
        <v>35.7</v>
      </c>
      <c r="F1044" s="22" t="s">
        <v>164</v>
      </c>
    </row>
    <row r="1045" customFormat="false" ht="15" hidden="false" customHeight="false" outlineLevel="0" collapsed="false">
      <c r="A1045" s="22" t="s">
        <v>2739</v>
      </c>
      <c r="B1045" s="22" t="s">
        <v>2740</v>
      </c>
      <c r="C1045" s="22" t="s">
        <v>162</v>
      </c>
      <c r="D1045" s="22" t="s">
        <v>2741</v>
      </c>
      <c r="E1045" s="22" t="n">
        <v>60.7</v>
      </c>
      <c r="F1045" s="22" t="s">
        <v>164</v>
      </c>
    </row>
    <row r="1046" customFormat="false" ht="15" hidden="false" customHeight="false" outlineLevel="0" collapsed="false">
      <c r="A1046" s="22" t="s">
        <v>2742</v>
      </c>
      <c r="B1046" s="22" t="s">
        <v>2743</v>
      </c>
      <c r="C1046" s="22" t="s">
        <v>157</v>
      </c>
      <c r="D1046" s="22" t="s">
        <v>2744</v>
      </c>
      <c r="E1046" s="22" t="n">
        <v>28.6</v>
      </c>
      <c r="F1046" s="22" t="s">
        <v>164</v>
      </c>
    </row>
    <row r="1047" customFormat="false" ht="15" hidden="false" customHeight="false" outlineLevel="0" collapsed="false">
      <c r="A1047" s="22" t="s">
        <v>2745</v>
      </c>
      <c r="B1047" s="22" t="s">
        <v>2746</v>
      </c>
      <c r="C1047" s="22" t="s">
        <v>162</v>
      </c>
      <c r="D1047" s="22" t="s">
        <v>1538</v>
      </c>
      <c r="E1047" s="22" t="n">
        <v>25.3</v>
      </c>
      <c r="F1047" s="22" t="s">
        <v>499</v>
      </c>
    </row>
    <row r="1048" customFormat="false" ht="15" hidden="false" customHeight="false" outlineLevel="0" collapsed="false">
      <c r="A1048" s="22" t="s">
        <v>2747</v>
      </c>
      <c r="B1048" s="22" t="s">
        <v>2748</v>
      </c>
      <c r="C1048" s="22" t="s">
        <v>162</v>
      </c>
      <c r="D1048" s="22" t="s">
        <v>2265</v>
      </c>
      <c r="E1048" s="22" t="n">
        <v>49.1</v>
      </c>
      <c r="F1048" s="22" t="s">
        <v>159</v>
      </c>
    </row>
    <row r="1049" customFormat="false" ht="15" hidden="false" customHeight="false" outlineLevel="0" collapsed="false">
      <c r="A1049" s="22" t="s">
        <v>2749</v>
      </c>
      <c r="B1049" s="22" t="s">
        <v>2750</v>
      </c>
      <c r="C1049" s="22" t="s">
        <v>162</v>
      </c>
      <c r="D1049" s="22" t="s">
        <v>436</v>
      </c>
      <c r="E1049" s="22" t="n">
        <v>31.8</v>
      </c>
      <c r="F1049" s="22" t="s">
        <v>198</v>
      </c>
    </row>
    <row r="1050" customFormat="false" ht="15" hidden="false" customHeight="false" outlineLevel="0" collapsed="false">
      <c r="A1050" s="22" t="s">
        <v>2751</v>
      </c>
      <c r="B1050" s="22" t="s">
        <v>2752</v>
      </c>
      <c r="C1050" s="22" t="s">
        <v>162</v>
      </c>
      <c r="D1050" s="22" t="s">
        <v>579</v>
      </c>
      <c r="E1050" s="22" t="n">
        <v>20.7</v>
      </c>
      <c r="F1050" s="22" t="s">
        <v>159</v>
      </c>
    </row>
    <row r="1051" customFormat="false" ht="15" hidden="false" customHeight="false" outlineLevel="0" collapsed="false">
      <c r="A1051" s="22" t="s">
        <v>2753</v>
      </c>
      <c r="B1051" s="22" t="s">
        <v>2754</v>
      </c>
      <c r="C1051" s="22" t="s">
        <v>162</v>
      </c>
      <c r="D1051" s="22" t="s">
        <v>2755</v>
      </c>
      <c r="E1051" s="22" t="n">
        <v>36.4</v>
      </c>
      <c r="F1051" s="22" t="s">
        <v>171</v>
      </c>
    </row>
    <row r="1052" customFormat="false" ht="15" hidden="false" customHeight="false" outlineLevel="0" collapsed="false">
      <c r="A1052" s="22" t="s">
        <v>2756</v>
      </c>
      <c r="B1052" s="22" t="s">
        <v>2757</v>
      </c>
      <c r="C1052" s="22" t="s">
        <v>566</v>
      </c>
      <c r="D1052" s="22" t="s">
        <v>379</v>
      </c>
      <c r="E1052" s="22" t="n">
        <v>33.2</v>
      </c>
      <c r="F1052" s="22" t="s">
        <v>159</v>
      </c>
    </row>
    <row r="1053" customFormat="false" ht="15" hidden="false" customHeight="false" outlineLevel="0" collapsed="false">
      <c r="A1053" s="22" t="s">
        <v>2758</v>
      </c>
      <c r="B1053" s="22" t="s">
        <v>2759</v>
      </c>
      <c r="C1053" s="22" t="s">
        <v>162</v>
      </c>
      <c r="D1053" s="22" t="s">
        <v>2177</v>
      </c>
      <c r="E1053" s="22" t="n">
        <v>47.3</v>
      </c>
      <c r="F1053" s="22" t="s">
        <v>164</v>
      </c>
    </row>
    <row r="1054" customFormat="false" ht="15" hidden="false" customHeight="false" outlineLevel="0" collapsed="false">
      <c r="A1054" s="22" t="s">
        <v>2760</v>
      </c>
      <c r="B1054" s="22" t="s">
        <v>2761</v>
      </c>
      <c r="C1054" s="22" t="s">
        <v>162</v>
      </c>
      <c r="D1054" s="22" t="s">
        <v>857</v>
      </c>
      <c r="E1054" s="22" t="n">
        <v>42</v>
      </c>
      <c r="F1054" s="22" t="s">
        <v>159</v>
      </c>
    </row>
    <row r="1055" customFormat="false" ht="15" hidden="false" customHeight="false" outlineLevel="0" collapsed="false">
      <c r="A1055" s="22" t="s">
        <v>2762</v>
      </c>
      <c r="B1055" s="22" t="s">
        <v>2763</v>
      </c>
      <c r="C1055" s="22" t="s">
        <v>207</v>
      </c>
      <c r="D1055" s="22" t="s">
        <v>1125</v>
      </c>
      <c r="E1055" s="22" t="n">
        <v>23.2</v>
      </c>
      <c r="F1055" s="22" t="s">
        <v>175</v>
      </c>
    </row>
    <row r="1056" customFormat="false" ht="15" hidden="false" customHeight="false" outlineLevel="0" collapsed="false">
      <c r="A1056" s="22" t="s">
        <v>2764</v>
      </c>
      <c r="B1056" s="22" t="s">
        <v>2765</v>
      </c>
      <c r="C1056" s="22" t="s">
        <v>162</v>
      </c>
      <c r="D1056" s="22" t="s">
        <v>1579</v>
      </c>
      <c r="E1056" s="22" t="n">
        <v>41.5</v>
      </c>
      <c r="F1056" s="22" t="s">
        <v>198</v>
      </c>
    </row>
    <row r="1057" customFormat="false" ht="15" hidden="false" customHeight="false" outlineLevel="0" collapsed="false">
      <c r="A1057" s="22" t="s">
        <v>2766</v>
      </c>
      <c r="B1057" s="22" t="s">
        <v>2767</v>
      </c>
      <c r="C1057" s="22" t="s">
        <v>207</v>
      </c>
      <c r="D1057" s="22" t="s">
        <v>1840</v>
      </c>
      <c r="E1057" s="22" t="n">
        <v>29.3</v>
      </c>
      <c r="F1057" s="22" t="s">
        <v>164</v>
      </c>
    </row>
    <row r="1058" customFormat="false" ht="15" hidden="false" customHeight="false" outlineLevel="0" collapsed="false">
      <c r="A1058" s="22" t="s">
        <v>2768</v>
      </c>
      <c r="B1058" s="22" t="s">
        <v>2769</v>
      </c>
      <c r="C1058" s="22" t="s">
        <v>207</v>
      </c>
      <c r="D1058" s="22" t="s">
        <v>880</v>
      </c>
      <c r="E1058" s="22" t="n">
        <v>48.1</v>
      </c>
      <c r="F1058" s="22" t="s">
        <v>164</v>
      </c>
    </row>
    <row r="1059" customFormat="false" ht="15" hidden="false" customHeight="false" outlineLevel="0" collapsed="false">
      <c r="A1059" s="22" t="s">
        <v>2770</v>
      </c>
      <c r="B1059" s="22" t="s">
        <v>2771</v>
      </c>
      <c r="C1059" s="22" t="s">
        <v>207</v>
      </c>
      <c r="D1059" s="22" t="s">
        <v>642</v>
      </c>
      <c r="E1059" s="22" t="n">
        <v>59.9</v>
      </c>
      <c r="F1059" s="22" t="s">
        <v>171</v>
      </c>
    </row>
    <row r="1060" customFormat="false" ht="15" hidden="false" customHeight="false" outlineLevel="0" collapsed="false">
      <c r="A1060" s="22" t="s">
        <v>2772</v>
      </c>
      <c r="B1060" s="22" t="s">
        <v>2773</v>
      </c>
      <c r="C1060" s="22" t="s">
        <v>162</v>
      </c>
      <c r="D1060" s="22" t="s">
        <v>1786</v>
      </c>
      <c r="E1060" s="22" t="n">
        <v>41.1</v>
      </c>
      <c r="F1060" s="22" t="s">
        <v>159</v>
      </c>
    </row>
    <row r="1061" customFormat="false" ht="15" hidden="false" customHeight="false" outlineLevel="0" collapsed="false">
      <c r="A1061" s="22" t="s">
        <v>2774</v>
      </c>
      <c r="B1061" s="22" t="s">
        <v>2775</v>
      </c>
      <c r="C1061" s="22" t="s">
        <v>162</v>
      </c>
      <c r="D1061" s="22" t="s">
        <v>1611</v>
      </c>
      <c r="E1061" s="22" t="n">
        <v>20.5</v>
      </c>
      <c r="F1061" s="22" t="s">
        <v>164</v>
      </c>
    </row>
    <row r="1062" customFormat="false" ht="15" hidden="false" customHeight="false" outlineLevel="0" collapsed="false">
      <c r="A1062" s="22" t="s">
        <v>2776</v>
      </c>
      <c r="B1062" s="22" t="s">
        <v>2777</v>
      </c>
      <c r="C1062" s="22" t="s">
        <v>162</v>
      </c>
      <c r="D1062" s="22" t="s">
        <v>557</v>
      </c>
      <c r="E1062" s="22" t="n">
        <v>19.7</v>
      </c>
      <c r="F1062" s="22" t="s">
        <v>159</v>
      </c>
    </row>
    <row r="1063" customFormat="false" ht="15" hidden="false" customHeight="false" outlineLevel="0" collapsed="false">
      <c r="A1063" s="22" t="s">
        <v>2778</v>
      </c>
      <c r="B1063" s="22" t="s">
        <v>2779</v>
      </c>
      <c r="C1063" s="22" t="s">
        <v>162</v>
      </c>
      <c r="D1063" s="22" t="s">
        <v>2780</v>
      </c>
      <c r="E1063" s="22" t="n">
        <v>51.4</v>
      </c>
      <c r="F1063" s="22" t="s">
        <v>175</v>
      </c>
    </row>
    <row r="1064" customFormat="false" ht="15" hidden="false" customHeight="false" outlineLevel="0" collapsed="false">
      <c r="A1064" s="22" t="s">
        <v>2781</v>
      </c>
      <c r="B1064" s="22" t="s">
        <v>2782</v>
      </c>
      <c r="C1064" s="22" t="s">
        <v>162</v>
      </c>
      <c r="D1064" s="22" t="s">
        <v>2533</v>
      </c>
      <c r="E1064" s="22" t="n">
        <v>44.2</v>
      </c>
      <c r="F1064" s="22" t="s">
        <v>175</v>
      </c>
    </row>
    <row r="1065" customFormat="false" ht="15" hidden="false" customHeight="false" outlineLevel="0" collapsed="false">
      <c r="A1065" s="22" t="s">
        <v>2783</v>
      </c>
      <c r="B1065" s="22" t="s">
        <v>2784</v>
      </c>
      <c r="C1065" s="22" t="s">
        <v>162</v>
      </c>
      <c r="D1065" s="22" t="s">
        <v>466</v>
      </c>
      <c r="E1065" s="22" t="n">
        <v>35.9</v>
      </c>
      <c r="F1065" s="22" t="s">
        <v>175</v>
      </c>
    </row>
    <row r="1066" customFormat="false" ht="15" hidden="false" customHeight="false" outlineLevel="0" collapsed="false">
      <c r="A1066" s="22" t="s">
        <v>2785</v>
      </c>
      <c r="B1066" s="22" t="s">
        <v>2786</v>
      </c>
      <c r="C1066" s="22" t="s">
        <v>162</v>
      </c>
      <c r="D1066" s="22" t="s">
        <v>321</v>
      </c>
      <c r="E1066" s="22" t="n">
        <v>25.7</v>
      </c>
      <c r="F1066" s="22" t="s">
        <v>499</v>
      </c>
    </row>
    <row r="1067" customFormat="false" ht="15" hidden="false" customHeight="false" outlineLevel="0" collapsed="false">
      <c r="A1067" s="22" t="s">
        <v>2787</v>
      </c>
      <c r="B1067" s="22" t="s">
        <v>2788</v>
      </c>
      <c r="C1067" s="22" t="s">
        <v>162</v>
      </c>
      <c r="D1067" s="22" t="s">
        <v>2386</v>
      </c>
      <c r="E1067" s="22" t="n">
        <v>28</v>
      </c>
      <c r="F1067" s="22" t="s">
        <v>215</v>
      </c>
    </row>
    <row r="1068" customFormat="false" ht="15" hidden="false" customHeight="false" outlineLevel="0" collapsed="false">
      <c r="A1068" s="22" t="s">
        <v>2789</v>
      </c>
      <c r="B1068" s="22" t="s">
        <v>2790</v>
      </c>
      <c r="C1068" s="22" t="s">
        <v>162</v>
      </c>
      <c r="D1068" s="22" t="s">
        <v>1634</v>
      </c>
      <c r="E1068" s="22" t="n">
        <v>47.8</v>
      </c>
      <c r="F1068" s="22" t="s">
        <v>164</v>
      </c>
    </row>
    <row r="1069" customFormat="false" ht="15" hidden="false" customHeight="false" outlineLevel="0" collapsed="false">
      <c r="A1069" s="22" t="s">
        <v>2791</v>
      </c>
      <c r="B1069" s="22" t="s">
        <v>2792</v>
      </c>
      <c r="C1069" s="22" t="s">
        <v>207</v>
      </c>
      <c r="D1069" s="22" t="s">
        <v>2793</v>
      </c>
      <c r="E1069" s="22" t="n">
        <v>26.8</v>
      </c>
      <c r="F1069" s="22" t="s">
        <v>175</v>
      </c>
    </row>
    <row r="1070" customFormat="false" ht="15" hidden="false" customHeight="false" outlineLevel="0" collapsed="false">
      <c r="A1070" s="22" t="s">
        <v>2794</v>
      </c>
      <c r="B1070" s="22" t="s">
        <v>2795</v>
      </c>
      <c r="C1070" s="22" t="s">
        <v>162</v>
      </c>
      <c r="D1070" s="22" t="s">
        <v>260</v>
      </c>
      <c r="E1070" s="22" t="n">
        <v>25.1</v>
      </c>
      <c r="F1070" s="22" t="s">
        <v>175</v>
      </c>
    </row>
    <row r="1071" customFormat="false" ht="15" hidden="false" customHeight="false" outlineLevel="0" collapsed="false">
      <c r="A1071" s="22" t="s">
        <v>2796</v>
      </c>
      <c r="B1071" s="22" t="s">
        <v>2797</v>
      </c>
      <c r="C1071" s="22" t="s">
        <v>162</v>
      </c>
      <c r="D1071" s="22" t="s">
        <v>1037</v>
      </c>
      <c r="E1071" s="22" t="n">
        <v>59.3</v>
      </c>
      <c r="F1071" s="22" t="s">
        <v>198</v>
      </c>
    </row>
    <row r="1072" customFormat="false" ht="15" hidden="false" customHeight="false" outlineLevel="0" collapsed="false">
      <c r="A1072" s="22" t="s">
        <v>2798</v>
      </c>
      <c r="B1072" s="22" t="s">
        <v>2799</v>
      </c>
      <c r="C1072" s="22" t="s">
        <v>162</v>
      </c>
      <c r="D1072" s="22" t="s">
        <v>1545</v>
      </c>
      <c r="E1072" s="22" t="n">
        <v>47.8</v>
      </c>
      <c r="F1072" s="22" t="s">
        <v>164</v>
      </c>
    </row>
    <row r="1073" customFormat="false" ht="15" hidden="false" customHeight="false" outlineLevel="0" collapsed="false">
      <c r="A1073" s="22" t="s">
        <v>2800</v>
      </c>
      <c r="B1073" s="22" t="s">
        <v>2801</v>
      </c>
      <c r="C1073" s="22" t="s">
        <v>162</v>
      </c>
      <c r="D1073" s="22" t="s">
        <v>1029</v>
      </c>
      <c r="E1073" s="22" t="n">
        <v>54.9</v>
      </c>
      <c r="F1073" s="22" t="s">
        <v>198</v>
      </c>
    </row>
    <row r="1074" customFormat="false" ht="15" hidden="false" customHeight="false" outlineLevel="0" collapsed="false">
      <c r="A1074" s="22" t="s">
        <v>2802</v>
      </c>
      <c r="B1074" s="22" t="s">
        <v>2803</v>
      </c>
      <c r="C1074" s="22" t="s">
        <v>162</v>
      </c>
      <c r="D1074" s="22" t="s">
        <v>1484</v>
      </c>
      <c r="E1074" s="22" t="n">
        <v>35.6</v>
      </c>
      <c r="F1074" s="22" t="s">
        <v>159</v>
      </c>
    </row>
    <row r="1075" customFormat="false" ht="15" hidden="false" customHeight="false" outlineLevel="0" collapsed="false">
      <c r="A1075" s="22" t="s">
        <v>2804</v>
      </c>
      <c r="B1075" s="22" t="s">
        <v>2805</v>
      </c>
      <c r="C1075" s="22" t="s">
        <v>162</v>
      </c>
      <c r="D1075" s="22" t="s">
        <v>703</v>
      </c>
      <c r="E1075" s="22" t="n">
        <v>40.2</v>
      </c>
      <c r="F1075" s="22" t="s">
        <v>175</v>
      </c>
    </row>
    <row r="1076" customFormat="false" ht="15" hidden="false" customHeight="false" outlineLevel="0" collapsed="false">
      <c r="A1076" s="22" t="s">
        <v>2806</v>
      </c>
      <c r="B1076" s="22" t="s">
        <v>2807</v>
      </c>
      <c r="C1076" s="22" t="s">
        <v>162</v>
      </c>
      <c r="D1076" s="22" t="s">
        <v>422</v>
      </c>
      <c r="E1076" s="22" t="n">
        <v>28.4</v>
      </c>
      <c r="F1076" s="22" t="s">
        <v>164</v>
      </c>
    </row>
    <row r="1077" customFormat="false" ht="15" hidden="false" customHeight="false" outlineLevel="0" collapsed="false">
      <c r="A1077" s="22" t="s">
        <v>2808</v>
      </c>
      <c r="B1077" s="22" t="s">
        <v>2809</v>
      </c>
      <c r="C1077" s="22" t="s">
        <v>207</v>
      </c>
      <c r="D1077" s="22" t="s">
        <v>416</v>
      </c>
      <c r="E1077" s="22" t="n">
        <v>45.9</v>
      </c>
      <c r="F1077" s="22" t="s">
        <v>164</v>
      </c>
    </row>
    <row r="1078" customFormat="false" ht="15" hidden="false" customHeight="false" outlineLevel="0" collapsed="false">
      <c r="A1078" s="22" t="s">
        <v>2810</v>
      </c>
      <c r="B1078" s="22" t="s">
        <v>2811</v>
      </c>
      <c r="C1078" s="22" t="s">
        <v>162</v>
      </c>
      <c r="D1078" s="22" t="s">
        <v>1138</v>
      </c>
      <c r="E1078" s="22" t="n">
        <v>61.4</v>
      </c>
      <c r="F1078" s="22" t="s">
        <v>171</v>
      </c>
    </row>
    <row r="1079" customFormat="false" ht="15" hidden="false" customHeight="false" outlineLevel="0" collapsed="false">
      <c r="A1079" s="22" t="s">
        <v>2812</v>
      </c>
      <c r="B1079" s="22" t="s">
        <v>2813</v>
      </c>
      <c r="C1079" s="22" t="s">
        <v>162</v>
      </c>
      <c r="D1079" s="22" t="s">
        <v>2814</v>
      </c>
      <c r="E1079" s="22" t="n">
        <v>31.4</v>
      </c>
      <c r="F1079" s="22" t="s">
        <v>175</v>
      </c>
    </row>
    <row r="1080" customFormat="false" ht="15" hidden="false" customHeight="false" outlineLevel="0" collapsed="false">
      <c r="A1080" s="22" t="s">
        <v>2815</v>
      </c>
      <c r="B1080" s="22" t="s">
        <v>2816</v>
      </c>
      <c r="C1080" s="22" t="s">
        <v>162</v>
      </c>
      <c r="D1080" s="22" t="s">
        <v>516</v>
      </c>
      <c r="E1080" s="22" t="n">
        <v>52.4</v>
      </c>
      <c r="F1080" s="22" t="s">
        <v>164</v>
      </c>
    </row>
    <row r="1081" customFormat="false" ht="15" hidden="false" customHeight="false" outlineLevel="0" collapsed="false">
      <c r="A1081" s="22" t="s">
        <v>2817</v>
      </c>
      <c r="B1081" s="22" t="s">
        <v>2818</v>
      </c>
      <c r="C1081" s="22" t="s">
        <v>162</v>
      </c>
      <c r="D1081" s="22" t="s">
        <v>275</v>
      </c>
      <c r="E1081" s="22" t="n">
        <v>38.8</v>
      </c>
      <c r="F1081" s="22" t="s">
        <v>164</v>
      </c>
    </row>
    <row r="1082" customFormat="false" ht="15" hidden="false" customHeight="false" outlineLevel="0" collapsed="false">
      <c r="A1082" s="22" t="s">
        <v>2819</v>
      </c>
      <c r="B1082" s="22" t="s">
        <v>2820</v>
      </c>
      <c r="C1082" s="22" t="s">
        <v>162</v>
      </c>
      <c r="D1082" s="22" t="s">
        <v>302</v>
      </c>
      <c r="E1082" s="22" t="n">
        <v>19</v>
      </c>
      <c r="F1082" s="22" t="s">
        <v>164</v>
      </c>
    </row>
    <row r="1083" customFormat="false" ht="15" hidden="false" customHeight="false" outlineLevel="0" collapsed="false">
      <c r="A1083" s="22" t="s">
        <v>2821</v>
      </c>
      <c r="B1083" s="22" t="s">
        <v>2822</v>
      </c>
      <c r="C1083" s="22" t="s">
        <v>162</v>
      </c>
      <c r="D1083" s="22" t="s">
        <v>2823</v>
      </c>
      <c r="E1083" s="22" t="n">
        <v>23.6</v>
      </c>
      <c r="F1083" s="22" t="s">
        <v>175</v>
      </c>
    </row>
    <row r="1084" customFormat="false" ht="15" hidden="false" customHeight="false" outlineLevel="0" collapsed="false">
      <c r="A1084" s="22" t="s">
        <v>2824</v>
      </c>
      <c r="B1084" s="22" t="s">
        <v>2825</v>
      </c>
      <c r="C1084" s="22" t="s">
        <v>162</v>
      </c>
      <c r="D1084" s="22" t="s">
        <v>1840</v>
      </c>
      <c r="E1084" s="22" t="n">
        <v>47.2</v>
      </c>
      <c r="F1084" s="22" t="s">
        <v>164</v>
      </c>
    </row>
    <row r="1085" customFormat="false" ht="15" hidden="false" customHeight="false" outlineLevel="0" collapsed="false">
      <c r="A1085" s="22" t="s">
        <v>2826</v>
      </c>
      <c r="B1085" s="22" t="s">
        <v>2827</v>
      </c>
      <c r="C1085" s="22" t="s">
        <v>162</v>
      </c>
      <c r="D1085" s="22" t="s">
        <v>174</v>
      </c>
      <c r="E1085" s="22" t="n">
        <v>40.8</v>
      </c>
      <c r="F1085" s="22" t="s">
        <v>171</v>
      </c>
    </row>
    <row r="1086" customFormat="false" ht="15" hidden="false" customHeight="false" outlineLevel="0" collapsed="false">
      <c r="A1086" s="22" t="s">
        <v>2828</v>
      </c>
      <c r="B1086" s="22" t="s">
        <v>2829</v>
      </c>
      <c r="C1086" s="22" t="s">
        <v>566</v>
      </c>
      <c r="D1086" s="22" t="s">
        <v>498</v>
      </c>
      <c r="E1086" s="22" t="n">
        <v>31.5</v>
      </c>
      <c r="F1086" s="22" t="s">
        <v>175</v>
      </c>
    </row>
    <row r="1087" customFormat="false" ht="15" hidden="false" customHeight="false" outlineLevel="0" collapsed="false">
      <c r="A1087" s="22" t="s">
        <v>2830</v>
      </c>
      <c r="B1087" s="22" t="s">
        <v>2831</v>
      </c>
      <c r="C1087" s="22" t="s">
        <v>162</v>
      </c>
      <c r="D1087" s="22" t="s">
        <v>296</v>
      </c>
      <c r="E1087" s="22" t="n">
        <v>49.7</v>
      </c>
      <c r="F1087" s="22" t="s">
        <v>171</v>
      </c>
    </row>
    <row r="1088" customFormat="false" ht="15" hidden="false" customHeight="false" outlineLevel="0" collapsed="false">
      <c r="A1088" s="22" t="s">
        <v>2832</v>
      </c>
      <c r="B1088" s="22" t="s">
        <v>2833</v>
      </c>
      <c r="C1088" s="22" t="s">
        <v>207</v>
      </c>
      <c r="D1088" s="22" t="s">
        <v>395</v>
      </c>
      <c r="E1088" s="22" t="n">
        <v>28.1</v>
      </c>
      <c r="F1088" s="22" t="s">
        <v>198</v>
      </c>
    </row>
    <row r="1089" customFormat="false" ht="15" hidden="false" customHeight="false" outlineLevel="0" collapsed="false">
      <c r="A1089" s="22" t="s">
        <v>2834</v>
      </c>
      <c r="B1089" s="22" t="s">
        <v>2835</v>
      </c>
      <c r="C1089" s="22" t="s">
        <v>162</v>
      </c>
      <c r="D1089" s="22" t="s">
        <v>2836</v>
      </c>
      <c r="E1089" s="22" t="n">
        <v>28.7</v>
      </c>
      <c r="F1089" s="22" t="s">
        <v>164</v>
      </c>
    </row>
    <row r="1090" customFormat="false" ht="15" hidden="false" customHeight="false" outlineLevel="0" collapsed="false">
      <c r="A1090" s="22" t="s">
        <v>2837</v>
      </c>
      <c r="B1090" s="22" t="s">
        <v>2838</v>
      </c>
      <c r="C1090" s="22" t="s">
        <v>162</v>
      </c>
      <c r="D1090" s="22" t="s">
        <v>2116</v>
      </c>
      <c r="E1090" s="22" t="n">
        <v>30.9</v>
      </c>
      <c r="F1090" s="22" t="s">
        <v>171</v>
      </c>
    </row>
    <row r="1091" customFormat="false" ht="15" hidden="false" customHeight="false" outlineLevel="0" collapsed="false">
      <c r="A1091" s="22" t="s">
        <v>2839</v>
      </c>
      <c r="B1091" s="22" t="s">
        <v>2840</v>
      </c>
      <c r="C1091" s="22" t="s">
        <v>162</v>
      </c>
      <c r="D1091" s="22" t="s">
        <v>2078</v>
      </c>
      <c r="E1091" s="22" t="n">
        <v>19.2</v>
      </c>
      <c r="F1091" s="22" t="s">
        <v>175</v>
      </c>
    </row>
    <row r="1092" customFormat="false" ht="15" hidden="false" customHeight="false" outlineLevel="0" collapsed="false">
      <c r="A1092" s="22" t="s">
        <v>2841</v>
      </c>
      <c r="B1092" s="22" t="s">
        <v>2842</v>
      </c>
      <c r="C1092" s="22" t="s">
        <v>162</v>
      </c>
      <c r="D1092" s="22" t="s">
        <v>170</v>
      </c>
      <c r="E1092" s="22" t="n">
        <v>29.9</v>
      </c>
      <c r="F1092" s="22" t="s">
        <v>175</v>
      </c>
    </row>
    <row r="1093" customFormat="false" ht="15" hidden="false" customHeight="false" outlineLevel="0" collapsed="false">
      <c r="A1093" s="22" t="s">
        <v>2843</v>
      </c>
      <c r="B1093" s="22" t="s">
        <v>2844</v>
      </c>
      <c r="C1093" s="22" t="s">
        <v>162</v>
      </c>
      <c r="D1093" s="22" t="s">
        <v>2845</v>
      </c>
      <c r="E1093" s="22" t="n">
        <v>52.4</v>
      </c>
      <c r="F1093" s="22" t="s">
        <v>175</v>
      </c>
    </row>
    <row r="1094" customFormat="false" ht="15" hidden="false" customHeight="false" outlineLevel="0" collapsed="false">
      <c r="A1094" s="22" t="s">
        <v>2846</v>
      </c>
      <c r="B1094" s="22" t="s">
        <v>2847</v>
      </c>
      <c r="C1094" s="22" t="s">
        <v>162</v>
      </c>
      <c r="D1094" s="22" t="s">
        <v>302</v>
      </c>
      <c r="E1094" s="22" t="n">
        <v>23</v>
      </c>
      <c r="F1094" s="22" t="s">
        <v>159</v>
      </c>
    </row>
    <row r="1095" customFormat="false" ht="15" hidden="false" customHeight="false" outlineLevel="0" collapsed="false">
      <c r="A1095" s="22" t="s">
        <v>2848</v>
      </c>
      <c r="B1095" s="22" t="s">
        <v>2849</v>
      </c>
      <c r="C1095" s="22" t="s">
        <v>162</v>
      </c>
      <c r="D1095" s="22" t="s">
        <v>838</v>
      </c>
      <c r="E1095" s="22" t="n">
        <v>41.9</v>
      </c>
      <c r="F1095" s="22" t="s">
        <v>159</v>
      </c>
    </row>
    <row r="1096" customFormat="false" ht="15" hidden="false" customHeight="false" outlineLevel="0" collapsed="false">
      <c r="A1096" s="22" t="s">
        <v>2850</v>
      </c>
      <c r="B1096" s="22" t="s">
        <v>2851</v>
      </c>
      <c r="C1096" s="22" t="s">
        <v>162</v>
      </c>
      <c r="D1096" s="22" t="s">
        <v>469</v>
      </c>
      <c r="E1096" s="22" t="n">
        <v>51.9</v>
      </c>
      <c r="F1096" s="22" t="s">
        <v>164</v>
      </c>
    </row>
    <row r="1097" customFormat="false" ht="15" hidden="false" customHeight="false" outlineLevel="0" collapsed="false">
      <c r="A1097" s="22" t="s">
        <v>2852</v>
      </c>
      <c r="B1097" s="22" t="s">
        <v>2853</v>
      </c>
      <c r="C1097" s="22" t="s">
        <v>207</v>
      </c>
      <c r="D1097" s="22" t="s">
        <v>799</v>
      </c>
      <c r="E1097" s="22" t="n">
        <v>49.2</v>
      </c>
      <c r="F1097" s="22" t="s">
        <v>175</v>
      </c>
    </row>
    <row r="1098" customFormat="false" ht="15" hidden="false" customHeight="false" outlineLevel="0" collapsed="false">
      <c r="A1098" s="22" t="s">
        <v>2854</v>
      </c>
      <c r="B1098" s="22" t="s">
        <v>2855</v>
      </c>
      <c r="C1098" s="22" t="s">
        <v>162</v>
      </c>
      <c r="D1098" s="22" t="s">
        <v>2856</v>
      </c>
      <c r="E1098" s="22" t="n">
        <v>51.3</v>
      </c>
      <c r="F1098" s="22" t="s">
        <v>164</v>
      </c>
    </row>
    <row r="1099" customFormat="false" ht="15" hidden="false" customHeight="false" outlineLevel="0" collapsed="false">
      <c r="A1099" s="22" t="s">
        <v>2857</v>
      </c>
      <c r="B1099" s="22" t="s">
        <v>2858</v>
      </c>
      <c r="C1099" s="22" t="s">
        <v>157</v>
      </c>
      <c r="D1099" s="22" t="s">
        <v>784</v>
      </c>
      <c r="E1099" s="22" t="n">
        <v>27.5</v>
      </c>
      <c r="F1099" s="22" t="s">
        <v>188</v>
      </c>
    </row>
    <row r="1100" customFormat="false" ht="15" hidden="false" customHeight="false" outlineLevel="0" collapsed="false">
      <c r="A1100" s="22" t="s">
        <v>2859</v>
      </c>
      <c r="B1100" s="22" t="s">
        <v>2860</v>
      </c>
      <c r="C1100" s="22" t="s">
        <v>162</v>
      </c>
      <c r="D1100" s="22" t="s">
        <v>1665</v>
      </c>
      <c r="E1100" s="22" t="n">
        <v>59.2</v>
      </c>
      <c r="F1100" s="22" t="s">
        <v>198</v>
      </c>
    </row>
    <row r="1101" customFormat="false" ht="15" hidden="false" customHeight="false" outlineLevel="0" collapsed="false">
      <c r="A1101" s="22" t="s">
        <v>2861</v>
      </c>
      <c r="B1101" s="22" t="s">
        <v>2862</v>
      </c>
      <c r="C1101" s="22" t="s">
        <v>162</v>
      </c>
      <c r="D1101" s="22" t="s">
        <v>2730</v>
      </c>
      <c r="E1101" s="22" t="n">
        <v>51.9</v>
      </c>
      <c r="F1101" s="22" t="s">
        <v>171</v>
      </c>
    </row>
    <row r="1102" customFormat="false" ht="15" hidden="false" customHeight="false" outlineLevel="0" collapsed="false">
      <c r="A1102" s="22" t="s">
        <v>2863</v>
      </c>
      <c r="B1102" s="22" t="s">
        <v>2864</v>
      </c>
      <c r="C1102" s="22" t="s">
        <v>162</v>
      </c>
      <c r="D1102" s="22" t="s">
        <v>2865</v>
      </c>
      <c r="E1102" s="22" t="n">
        <v>38.9</v>
      </c>
      <c r="F1102" s="22" t="s">
        <v>215</v>
      </c>
    </row>
    <row r="1103" customFormat="false" ht="15" hidden="false" customHeight="false" outlineLevel="0" collapsed="false">
      <c r="A1103" s="22" t="s">
        <v>2866</v>
      </c>
      <c r="B1103" s="22" t="s">
        <v>2867</v>
      </c>
      <c r="C1103" s="22" t="s">
        <v>162</v>
      </c>
      <c r="D1103" s="22" t="s">
        <v>2868</v>
      </c>
      <c r="E1103" s="22" t="n">
        <v>59.7</v>
      </c>
      <c r="F1103" s="22" t="s">
        <v>164</v>
      </c>
    </row>
    <row r="1104" customFormat="false" ht="15" hidden="false" customHeight="false" outlineLevel="0" collapsed="false">
      <c r="A1104" s="22" t="s">
        <v>2869</v>
      </c>
      <c r="B1104" s="22" t="s">
        <v>2870</v>
      </c>
      <c r="C1104" s="22" t="s">
        <v>162</v>
      </c>
      <c r="D1104" s="22" t="s">
        <v>2871</v>
      </c>
      <c r="E1104" s="22" t="n">
        <v>29.5</v>
      </c>
      <c r="F1104" s="22" t="s">
        <v>164</v>
      </c>
    </row>
    <row r="1105" customFormat="false" ht="15" hidden="false" customHeight="false" outlineLevel="0" collapsed="false">
      <c r="A1105" s="22" t="s">
        <v>2872</v>
      </c>
      <c r="B1105" s="22" t="s">
        <v>2873</v>
      </c>
      <c r="C1105" s="22" t="s">
        <v>162</v>
      </c>
      <c r="D1105" s="22" t="s">
        <v>1736</v>
      </c>
      <c r="E1105" s="22" t="n">
        <v>40.2</v>
      </c>
      <c r="F1105" s="22" t="s">
        <v>159</v>
      </c>
    </row>
    <row r="1106" customFormat="false" ht="15" hidden="false" customHeight="false" outlineLevel="0" collapsed="false">
      <c r="A1106" s="22" t="s">
        <v>2874</v>
      </c>
      <c r="B1106" s="22" t="s">
        <v>2875</v>
      </c>
      <c r="C1106" s="22" t="s">
        <v>162</v>
      </c>
      <c r="D1106" s="22" t="s">
        <v>594</v>
      </c>
      <c r="E1106" s="22" t="n">
        <v>21</v>
      </c>
      <c r="F1106" s="22" t="s">
        <v>175</v>
      </c>
    </row>
    <row r="1107" customFormat="false" ht="15" hidden="false" customHeight="false" outlineLevel="0" collapsed="false">
      <c r="A1107" s="22" t="s">
        <v>2876</v>
      </c>
      <c r="B1107" s="22" t="s">
        <v>2877</v>
      </c>
      <c r="C1107" s="22" t="s">
        <v>162</v>
      </c>
      <c r="D1107" s="22" t="s">
        <v>2367</v>
      </c>
      <c r="E1107" s="22" t="n">
        <v>35.4</v>
      </c>
      <c r="F1107" s="22" t="s">
        <v>164</v>
      </c>
    </row>
    <row r="1108" customFormat="false" ht="15" hidden="false" customHeight="false" outlineLevel="0" collapsed="false">
      <c r="A1108" s="22" t="s">
        <v>2878</v>
      </c>
      <c r="B1108" s="22" t="s">
        <v>2879</v>
      </c>
      <c r="C1108" s="22" t="s">
        <v>162</v>
      </c>
      <c r="D1108" s="22" t="s">
        <v>278</v>
      </c>
      <c r="E1108" s="22" t="n">
        <v>26.7</v>
      </c>
      <c r="F1108" s="22" t="s">
        <v>164</v>
      </c>
    </row>
    <row r="1109" customFormat="false" ht="15" hidden="false" customHeight="false" outlineLevel="0" collapsed="false">
      <c r="A1109" s="22" t="s">
        <v>2880</v>
      </c>
      <c r="B1109" s="22" t="s">
        <v>2881</v>
      </c>
      <c r="C1109" s="22" t="s">
        <v>207</v>
      </c>
      <c r="D1109" s="22" t="s">
        <v>2572</v>
      </c>
      <c r="E1109" s="22" t="n">
        <v>35.2</v>
      </c>
      <c r="F1109" s="22" t="s">
        <v>175</v>
      </c>
    </row>
    <row r="1110" customFormat="false" ht="15" hidden="false" customHeight="false" outlineLevel="0" collapsed="false">
      <c r="A1110" s="22" t="s">
        <v>2882</v>
      </c>
      <c r="B1110" s="22" t="s">
        <v>2883</v>
      </c>
      <c r="C1110" s="22" t="s">
        <v>162</v>
      </c>
      <c r="D1110" s="22" t="s">
        <v>1489</v>
      </c>
      <c r="E1110" s="22" t="n">
        <v>31.6</v>
      </c>
      <c r="F1110" s="22" t="s">
        <v>171</v>
      </c>
    </row>
    <row r="1111" customFormat="false" ht="15" hidden="false" customHeight="false" outlineLevel="0" collapsed="false">
      <c r="A1111" s="22" t="s">
        <v>2884</v>
      </c>
      <c r="B1111" s="22" t="s">
        <v>2885</v>
      </c>
      <c r="C1111" s="22" t="s">
        <v>162</v>
      </c>
      <c r="D1111" s="22" t="s">
        <v>2180</v>
      </c>
      <c r="E1111" s="22" t="n">
        <v>59.4</v>
      </c>
      <c r="F1111" s="22" t="s">
        <v>175</v>
      </c>
    </row>
    <row r="1112" customFormat="false" ht="15" hidden="false" customHeight="false" outlineLevel="0" collapsed="false">
      <c r="A1112" s="22" t="s">
        <v>2886</v>
      </c>
      <c r="B1112" s="22" t="s">
        <v>2887</v>
      </c>
      <c r="C1112" s="22" t="s">
        <v>162</v>
      </c>
      <c r="D1112" s="22" t="s">
        <v>1821</v>
      </c>
      <c r="E1112" s="22" t="n">
        <v>50.1</v>
      </c>
      <c r="F1112" s="22" t="s">
        <v>159</v>
      </c>
    </row>
    <row r="1113" customFormat="false" ht="15" hidden="false" customHeight="false" outlineLevel="0" collapsed="false">
      <c r="A1113" s="22" t="s">
        <v>2888</v>
      </c>
      <c r="B1113" s="22" t="s">
        <v>2889</v>
      </c>
      <c r="C1113" s="22" t="s">
        <v>162</v>
      </c>
      <c r="D1113" s="22" t="s">
        <v>1037</v>
      </c>
      <c r="E1113" s="22" t="n">
        <v>36.8</v>
      </c>
      <c r="F1113" s="22" t="s">
        <v>164</v>
      </c>
    </row>
    <row r="1114" customFormat="false" ht="15" hidden="false" customHeight="false" outlineLevel="0" collapsed="false">
      <c r="A1114" s="22" t="s">
        <v>2890</v>
      </c>
      <c r="B1114" s="22" t="s">
        <v>2891</v>
      </c>
      <c r="C1114" s="22" t="s">
        <v>162</v>
      </c>
      <c r="D1114" s="22" t="s">
        <v>573</v>
      </c>
      <c r="E1114" s="22" t="n">
        <v>33.7</v>
      </c>
      <c r="F1114" s="22" t="s">
        <v>198</v>
      </c>
    </row>
    <row r="1115" customFormat="false" ht="15" hidden="false" customHeight="false" outlineLevel="0" collapsed="false">
      <c r="A1115" s="22" t="s">
        <v>2892</v>
      </c>
      <c r="B1115" s="22" t="s">
        <v>2893</v>
      </c>
      <c r="C1115" s="22" t="s">
        <v>162</v>
      </c>
      <c r="D1115" s="22" t="s">
        <v>533</v>
      </c>
      <c r="E1115" s="22" t="n">
        <v>47.3</v>
      </c>
      <c r="F1115" s="22" t="s">
        <v>175</v>
      </c>
    </row>
    <row r="1116" customFormat="false" ht="15" hidden="false" customHeight="false" outlineLevel="0" collapsed="false">
      <c r="A1116" s="22" t="s">
        <v>2894</v>
      </c>
      <c r="B1116" s="22" t="s">
        <v>2895</v>
      </c>
      <c r="C1116" s="22" t="s">
        <v>162</v>
      </c>
      <c r="D1116" s="22" t="s">
        <v>2896</v>
      </c>
      <c r="E1116" s="22" t="n">
        <v>53.7</v>
      </c>
      <c r="F1116" s="22" t="s">
        <v>198</v>
      </c>
    </row>
    <row r="1117" customFormat="false" ht="15" hidden="false" customHeight="false" outlineLevel="0" collapsed="false">
      <c r="A1117" s="22" t="s">
        <v>2897</v>
      </c>
      <c r="B1117" s="22" t="s">
        <v>2898</v>
      </c>
      <c r="C1117" s="22" t="s">
        <v>162</v>
      </c>
      <c r="D1117" s="22" t="s">
        <v>336</v>
      </c>
      <c r="E1117" s="22" t="n">
        <v>28.9</v>
      </c>
      <c r="F1117" s="22" t="s">
        <v>164</v>
      </c>
    </row>
    <row r="1118" customFormat="false" ht="15" hidden="false" customHeight="false" outlineLevel="0" collapsed="false">
      <c r="A1118" s="22" t="s">
        <v>2899</v>
      </c>
      <c r="B1118" s="22" t="s">
        <v>2900</v>
      </c>
      <c r="C1118" s="22" t="s">
        <v>162</v>
      </c>
      <c r="D1118" s="22" t="s">
        <v>436</v>
      </c>
      <c r="E1118" s="22" t="n">
        <v>24.8</v>
      </c>
      <c r="F1118" s="22" t="s">
        <v>198</v>
      </c>
    </row>
    <row r="1119" customFormat="false" ht="15" hidden="false" customHeight="false" outlineLevel="0" collapsed="false">
      <c r="A1119" s="22" t="s">
        <v>2901</v>
      </c>
      <c r="B1119" s="22" t="s">
        <v>2902</v>
      </c>
      <c r="C1119" s="22" t="s">
        <v>162</v>
      </c>
      <c r="D1119" s="22" t="s">
        <v>2903</v>
      </c>
      <c r="E1119" s="22" t="n">
        <v>55.4</v>
      </c>
      <c r="F1119" s="22" t="s">
        <v>175</v>
      </c>
    </row>
    <row r="1120" customFormat="false" ht="15" hidden="false" customHeight="false" outlineLevel="0" collapsed="false">
      <c r="A1120" s="22" t="s">
        <v>2904</v>
      </c>
      <c r="B1120" s="22" t="s">
        <v>2905</v>
      </c>
      <c r="C1120" s="22" t="s">
        <v>162</v>
      </c>
      <c r="D1120" s="22" t="s">
        <v>1532</v>
      </c>
      <c r="E1120" s="22" t="n">
        <v>57.3</v>
      </c>
      <c r="F1120" s="22" t="s">
        <v>164</v>
      </c>
    </row>
    <row r="1121" customFormat="false" ht="15" hidden="false" customHeight="false" outlineLevel="0" collapsed="false">
      <c r="A1121" s="22" t="s">
        <v>2906</v>
      </c>
      <c r="B1121" s="22" t="s">
        <v>2907</v>
      </c>
      <c r="C1121" s="22" t="s">
        <v>162</v>
      </c>
      <c r="D1121" s="22" t="s">
        <v>605</v>
      </c>
      <c r="E1121" s="22" t="n">
        <v>26.7</v>
      </c>
      <c r="F1121" s="22" t="s">
        <v>164</v>
      </c>
    </row>
    <row r="1122" customFormat="false" ht="15" hidden="false" customHeight="false" outlineLevel="0" collapsed="false">
      <c r="A1122" s="22" t="s">
        <v>2908</v>
      </c>
      <c r="B1122" s="22" t="s">
        <v>2909</v>
      </c>
      <c r="C1122" s="22" t="s">
        <v>207</v>
      </c>
      <c r="D1122" s="22" t="s">
        <v>2910</v>
      </c>
      <c r="E1122" s="22" t="n">
        <v>51.5</v>
      </c>
      <c r="F1122" s="22" t="s">
        <v>164</v>
      </c>
    </row>
    <row r="1123" customFormat="false" ht="15" hidden="false" customHeight="false" outlineLevel="0" collapsed="false">
      <c r="A1123" s="22" t="s">
        <v>2911</v>
      </c>
      <c r="B1123" s="22" t="s">
        <v>2912</v>
      </c>
      <c r="C1123" s="22" t="s">
        <v>162</v>
      </c>
      <c r="D1123" s="22" t="s">
        <v>904</v>
      </c>
      <c r="E1123" s="22" t="n">
        <v>56.2</v>
      </c>
      <c r="F1123" s="22" t="s">
        <v>198</v>
      </c>
    </row>
    <row r="1124" customFormat="false" ht="15" hidden="false" customHeight="false" outlineLevel="0" collapsed="false">
      <c r="A1124" s="22" t="s">
        <v>2913</v>
      </c>
      <c r="B1124" s="22" t="s">
        <v>2914</v>
      </c>
      <c r="C1124" s="22" t="s">
        <v>162</v>
      </c>
      <c r="D1124" s="22" t="s">
        <v>2915</v>
      </c>
      <c r="E1124" s="22" t="n">
        <v>37.3</v>
      </c>
      <c r="F1124" s="22" t="s">
        <v>164</v>
      </c>
    </row>
    <row r="1125" customFormat="false" ht="15" hidden="false" customHeight="false" outlineLevel="0" collapsed="false">
      <c r="A1125" s="22" t="s">
        <v>2916</v>
      </c>
      <c r="B1125" s="22" t="s">
        <v>2917</v>
      </c>
      <c r="C1125" s="22" t="s">
        <v>162</v>
      </c>
      <c r="D1125" s="22" t="s">
        <v>2918</v>
      </c>
      <c r="E1125" s="22" t="n">
        <v>41.9</v>
      </c>
      <c r="F1125" s="22" t="s">
        <v>164</v>
      </c>
    </row>
    <row r="1126" customFormat="false" ht="15" hidden="false" customHeight="false" outlineLevel="0" collapsed="false">
      <c r="A1126" s="22" t="s">
        <v>2919</v>
      </c>
      <c r="B1126" s="22" t="s">
        <v>2920</v>
      </c>
      <c r="C1126" s="22" t="s">
        <v>162</v>
      </c>
      <c r="D1126" s="22" t="s">
        <v>1374</v>
      </c>
      <c r="E1126" s="22" t="n">
        <v>43.1</v>
      </c>
      <c r="F1126" s="22" t="s">
        <v>175</v>
      </c>
    </row>
    <row r="1127" customFormat="false" ht="15" hidden="false" customHeight="false" outlineLevel="0" collapsed="false">
      <c r="A1127" s="22" t="s">
        <v>2921</v>
      </c>
      <c r="B1127" s="22" t="s">
        <v>2922</v>
      </c>
      <c r="C1127" s="22" t="s">
        <v>207</v>
      </c>
      <c r="D1127" s="22" t="s">
        <v>820</v>
      </c>
      <c r="E1127" s="22" t="n">
        <v>57.8</v>
      </c>
      <c r="F1127" s="22" t="s">
        <v>175</v>
      </c>
    </row>
    <row r="1128" customFormat="false" ht="15" hidden="false" customHeight="false" outlineLevel="0" collapsed="false">
      <c r="A1128" s="22" t="s">
        <v>2923</v>
      </c>
      <c r="B1128" s="22" t="s">
        <v>1005</v>
      </c>
      <c r="C1128" s="22" t="s">
        <v>162</v>
      </c>
      <c r="D1128" s="22" t="s">
        <v>1974</v>
      </c>
      <c r="E1128" s="22" t="n">
        <v>40.1</v>
      </c>
      <c r="F1128" s="22" t="s">
        <v>499</v>
      </c>
    </row>
    <row r="1129" customFormat="false" ht="15" hidden="false" customHeight="false" outlineLevel="0" collapsed="false">
      <c r="A1129" s="22" t="s">
        <v>2924</v>
      </c>
      <c r="B1129" s="22" t="s">
        <v>2925</v>
      </c>
      <c r="C1129" s="22" t="s">
        <v>157</v>
      </c>
      <c r="D1129" s="22" t="s">
        <v>930</v>
      </c>
      <c r="E1129" s="22" t="n">
        <v>46.5</v>
      </c>
      <c r="F1129" s="22" t="s">
        <v>175</v>
      </c>
    </row>
    <row r="1130" customFormat="false" ht="15" hidden="false" customHeight="false" outlineLevel="0" collapsed="false">
      <c r="A1130" s="22" t="s">
        <v>2926</v>
      </c>
      <c r="B1130" s="22" t="s">
        <v>2927</v>
      </c>
      <c r="C1130" s="22" t="s">
        <v>162</v>
      </c>
      <c r="D1130" s="22" t="s">
        <v>2928</v>
      </c>
      <c r="E1130" s="22" t="n">
        <v>52.1</v>
      </c>
      <c r="F1130" s="22" t="s">
        <v>171</v>
      </c>
    </row>
    <row r="1131" customFormat="false" ht="15" hidden="false" customHeight="false" outlineLevel="0" collapsed="false">
      <c r="A1131" s="22" t="s">
        <v>2929</v>
      </c>
      <c r="B1131" s="22" t="s">
        <v>2930</v>
      </c>
      <c r="C1131" s="22" t="s">
        <v>162</v>
      </c>
      <c r="D1131" s="22" t="s">
        <v>1082</v>
      </c>
      <c r="E1131" s="22" t="n">
        <v>45.8</v>
      </c>
      <c r="F1131" s="22" t="s">
        <v>175</v>
      </c>
    </row>
    <row r="1132" customFormat="false" ht="15" hidden="false" customHeight="false" outlineLevel="0" collapsed="false">
      <c r="A1132" s="22" t="s">
        <v>2931</v>
      </c>
      <c r="B1132" s="22" t="s">
        <v>2932</v>
      </c>
      <c r="C1132" s="22" t="s">
        <v>162</v>
      </c>
      <c r="D1132" s="22" t="s">
        <v>1705</v>
      </c>
      <c r="E1132" s="22" t="n">
        <v>59.7</v>
      </c>
      <c r="F1132" s="22" t="s">
        <v>164</v>
      </c>
    </row>
    <row r="1133" customFormat="false" ht="15" hidden="false" customHeight="false" outlineLevel="0" collapsed="false">
      <c r="A1133" s="22" t="s">
        <v>2933</v>
      </c>
      <c r="B1133" s="22" t="s">
        <v>2934</v>
      </c>
      <c r="C1133" s="22" t="s">
        <v>162</v>
      </c>
      <c r="D1133" s="22" t="s">
        <v>513</v>
      </c>
      <c r="E1133" s="22" t="n">
        <v>46.7</v>
      </c>
      <c r="F1133" s="22" t="s">
        <v>171</v>
      </c>
    </row>
    <row r="1134" customFormat="false" ht="15" hidden="false" customHeight="false" outlineLevel="0" collapsed="false">
      <c r="A1134" s="22" t="s">
        <v>2935</v>
      </c>
      <c r="B1134" s="22" t="s">
        <v>2936</v>
      </c>
      <c r="C1134" s="22" t="s">
        <v>162</v>
      </c>
      <c r="D1134" s="22" t="s">
        <v>1423</v>
      </c>
      <c r="E1134" s="22" t="n">
        <v>51.3</v>
      </c>
      <c r="F1134" s="22" t="s">
        <v>175</v>
      </c>
    </row>
    <row r="1135" customFormat="false" ht="15" hidden="false" customHeight="false" outlineLevel="0" collapsed="false">
      <c r="A1135" s="22" t="s">
        <v>2937</v>
      </c>
      <c r="B1135" s="22" t="s">
        <v>2938</v>
      </c>
      <c r="C1135" s="22" t="s">
        <v>162</v>
      </c>
      <c r="D1135" s="22" t="s">
        <v>407</v>
      </c>
      <c r="E1135" s="22" t="n">
        <v>24.1</v>
      </c>
      <c r="F1135" s="22" t="s">
        <v>164</v>
      </c>
    </row>
    <row r="1136" customFormat="false" ht="15" hidden="false" customHeight="false" outlineLevel="0" collapsed="false">
      <c r="A1136" s="22" t="s">
        <v>2939</v>
      </c>
      <c r="B1136" s="22" t="s">
        <v>2940</v>
      </c>
      <c r="C1136" s="22" t="s">
        <v>162</v>
      </c>
      <c r="D1136" s="22" t="s">
        <v>227</v>
      </c>
      <c r="E1136" s="22" t="n">
        <v>27.6</v>
      </c>
      <c r="F1136" s="22" t="s">
        <v>175</v>
      </c>
    </row>
    <row r="1137" customFormat="false" ht="15" hidden="false" customHeight="false" outlineLevel="0" collapsed="false">
      <c r="A1137" s="22" t="s">
        <v>2941</v>
      </c>
      <c r="B1137" s="22" t="s">
        <v>2942</v>
      </c>
      <c r="C1137" s="22" t="s">
        <v>162</v>
      </c>
      <c r="D1137" s="22" t="s">
        <v>585</v>
      </c>
      <c r="E1137" s="22" t="n">
        <v>20.8</v>
      </c>
      <c r="F1137" s="22" t="s">
        <v>164</v>
      </c>
    </row>
    <row r="1138" customFormat="false" ht="15" hidden="false" customHeight="false" outlineLevel="0" collapsed="false">
      <c r="A1138" s="22" t="s">
        <v>2943</v>
      </c>
      <c r="B1138" s="22" t="s">
        <v>2944</v>
      </c>
      <c r="C1138" s="22" t="s">
        <v>162</v>
      </c>
      <c r="D1138" s="22" t="s">
        <v>333</v>
      </c>
      <c r="E1138" s="22" t="n">
        <v>43.1</v>
      </c>
      <c r="F1138" s="22" t="s">
        <v>164</v>
      </c>
    </row>
    <row r="1139" customFormat="false" ht="15" hidden="false" customHeight="false" outlineLevel="0" collapsed="false">
      <c r="A1139" s="22" t="s">
        <v>2945</v>
      </c>
      <c r="B1139" s="22" t="s">
        <v>2946</v>
      </c>
      <c r="C1139" s="22" t="s">
        <v>162</v>
      </c>
      <c r="D1139" s="22" t="s">
        <v>1579</v>
      </c>
      <c r="E1139" s="22" t="n">
        <v>48</v>
      </c>
      <c r="F1139" s="22" t="s">
        <v>159</v>
      </c>
    </row>
    <row r="1140" customFormat="false" ht="15" hidden="false" customHeight="false" outlineLevel="0" collapsed="false">
      <c r="A1140" s="22" t="s">
        <v>2947</v>
      </c>
      <c r="B1140" s="22" t="s">
        <v>2948</v>
      </c>
      <c r="C1140" s="22" t="s">
        <v>162</v>
      </c>
      <c r="D1140" s="22" t="s">
        <v>389</v>
      </c>
      <c r="E1140" s="22" t="n">
        <v>52.5</v>
      </c>
      <c r="F1140" s="22" t="s">
        <v>171</v>
      </c>
    </row>
    <row r="1141" customFormat="false" ht="15" hidden="false" customHeight="false" outlineLevel="0" collapsed="false">
      <c r="A1141" s="22" t="s">
        <v>2949</v>
      </c>
      <c r="B1141" s="22" t="s">
        <v>2950</v>
      </c>
      <c r="C1141" s="22" t="s">
        <v>566</v>
      </c>
      <c r="D1141" s="22" t="s">
        <v>723</v>
      </c>
      <c r="E1141" s="22" t="n">
        <v>25.3</v>
      </c>
      <c r="F1141" s="22" t="s">
        <v>164</v>
      </c>
    </row>
    <row r="1142" customFormat="false" ht="15" hidden="false" customHeight="false" outlineLevel="0" collapsed="false">
      <c r="A1142" s="22" t="s">
        <v>2951</v>
      </c>
      <c r="B1142" s="22" t="s">
        <v>2952</v>
      </c>
      <c r="C1142" s="22" t="s">
        <v>566</v>
      </c>
      <c r="D1142" s="22" t="s">
        <v>2953</v>
      </c>
      <c r="E1142" s="22" t="n">
        <v>34.5</v>
      </c>
      <c r="F1142" s="22" t="s">
        <v>171</v>
      </c>
    </row>
    <row r="1143" customFormat="false" ht="15" hidden="false" customHeight="false" outlineLevel="0" collapsed="false">
      <c r="A1143" s="22" t="s">
        <v>2954</v>
      </c>
      <c r="B1143" s="22" t="s">
        <v>2955</v>
      </c>
      <c r="C1143" s="22" t="s">
        <v>162</v>
      </c>
      <c r="D1143" s="22" t="s">
        <v>2204</v>
      </c>
      <c r="E1143" s="22" t="n">
        <v>42.3</v>
      </c>
      <c r="F1143" s="22" t="s">
        <v>159</v>
      </c>
    </row>
    <row r="1144" customFormat="false" ht="15" hidden="false" customHeight="false" outlineLevel="0" collapsed="false">
      <c r="A1144" s="22" t="s">
        <v>2956</v>
      </c>
      <c r="B1144" s="22" t="s">
        <v>2957</v>
      </c>
      <c r="C1144" s="22" t="s">
        <v>162</v>
      </c>
      <c r="D1144" s="22" t="s">
        <v>588</v>
      </c>
      <c r="E1144" s="22" t="n">
        <v>50.8</v>
      </c>
      <c r="F1144" s="22" t="s">
        <v>175</v>
      </c>
    </row>
    <row r="1145" customFormat="false" ht="15" hidden="false" customHeight="false" outlineLevel="0" collapsed="false">
      <c r="A1145" s="22" t="s">
        <v>2958</v>
      </c>
      <c r="B1145" s="22" t="s">
        <v>2959</v>
      </c>
      <c r="C1145" s="22" t="s">
        <v>162</v>
      </c>
      <c r="D1145" s="22" t="s">
        <v>986</v>
      </c>
      <c r="E1145" s="22" t="n">
        <v>43.1</v>
      </c>
      <c r="F1145" s="22" t="s">
        <v>175</v>
      </c>
    </row>
    <row r="1146" customFormat="false" ht="15" hidden="false" customHeight="false" outlineLevel="0" collapsed="false">
      <c r="A1146" s="22" t="s">
        <v>2960</v>
      </c>
      <c r="B1146" s="22" t="s">
        <v>2961</v>
      </c>
      <c r="C1146" s="22" t="s">
        <v>162</v>
      </c>
      <c r="D1146" s="22" t="s">
        <v>1118</v>
      </c>
      <c r="E1146" s="22" t="n">
        <v>26.2</v>
      </c>
      <c r="F1146" s="22" t="s">
        <v>499</v>
      </c>
    </row>
    <row r="1147" customFormat="false" ht="15" hidden="false" customHeight="false" outlineLevel="0" collapsed="false">
      <c r="A1147" s="22" t="s">
        <v>2962</v>
      </c>
      <c r="B1147" s="22" t="s">
        <v>2963</v>
      </c>
      <c r="C1147" s="22" t="s">
        <v>162</v>
      </c>
      <c r="D1147" s="22" t="s">
        <v>829</v>
      </c>
      <c r="E1147" s="22" t="n">
        <v>48.8</v>
      </c>
      <c r="F1147" s="22" t="s">
        <v>164</v>
      </c>
    </row>
    <row r="1148" customFormat="false" ht="15" hidden="false" customHeight="false" outlineLevel="0" collapsed="false">
      <c r="A1148" s="22" t="s">
        <v>2964</v>
      </c>
      <c r="B1148" s="22" t="s">
        <v>2965</v>
      </c>
      <c r="C1148" s="22" t="s">
        <v>162</v>
      </c>
      <c r="D1148" s="22" t="s">
        <v>626</v>
      </c>
      <c r="E1148" s="22" t="n">
        <v>27.4</v>
      </c>
      <c r="F1148" s="22" t="s">
        <v>198</v>
      </c>
    </row>
    <row r="1149" customFormat="false" ht="15" hidden="false" customHeight="false" outlineLevel="0" collapsed="false">
      <c r="A1149" s="22" t="s">
        <v>2966</v>
      </c>
      <c r="B1149" s="22" t="s">
        <v>2967</v>
      </c>
      <c r="C1149" s="22" t="s">
        <v>157</v>
      </c>
      <c r="D1149" s="22" t="s">
        <v>389</v>
      </c>
      <c r="E1149" s="22" t="n">
        <v>23.6</v>
      </c>
      <c r="F1149" s="22" t="s">
        <v>175</v>
      </c>
    </row>
    <row r="1150" customFormat="false" ht="15" hidden="false" customHeight="false" outlineLevel="0" collapsed="false">
      <c r="A1150" s="22" t="s">
        <v>2968</v>
      </c>
      <c r="B1150" s="22" t="s">
        <v>2969</v>
      </c>
      <c r="C1150" s="22" t="s">
        <v>162</v>
      </c>
      <c r="D1150" s="22" t="s">
        <v>632</v>
      </c>
      <c r="E1150" s="22" t="n">
        <v>59.3</v>
      </c>
      <c r="F1150" s="22" t="s">
        <v>188</v>
      </c>
    </row>
    <row r="1151" customFormat="false" ht="15" hidden="false" customHeight="false" outlineLevel="0" collapsed="false">
      <c r="A1151" s="22" t="s">
        <v>2970</v>
      </c>
      <c r="B1151" s="22" t="s">
        <v>2971</v>
      </c>
      <c r="C1151" s="22" t="s">
        <v>162</v>
      </c>
      <c r="D1151" s="22" t="s">
        <v>2972</v>
      </c>
      <c r="E1151" s="22" t="n">
        <v>39</v>
      </c>
      <c r="F1151" s="22" t="s">
        <v>164</v>
      </c>
    </row>
    <row r="1152" customFormat="false" ht="15" hidden="false" customHeight="false" outlineLevel="0" collapsed="false">
      <c r="A1152" s="22" t="s">
        <v>2973</v>
      </c>
      <c r="B1152" s="22" t="s">
        <v>2974</v>
      </c>
      <c r="C1152" s="22" t="s">
        <v>207</v>
      </c>
      <c r="D1152" s="22" t="s">
        <v>745</v>
      </c>
      <c r="E1152" s="22" t="n">
        <v>20.8</v>
      </c>
      <c r="F1152" s="22" t="s">
        <v>175</v>
      </c>
    </row>
    <row r="1153" customFormat="false" ht="15" hidden="false" customHeight="false" outlineLevel="0" collapsed="false">
      <c r="A1153" s="22" t="s">
        <v>2975</v>
      </c>
      <c r="B1153" s="22" t="s">
        <v>2976</v>
      </c>
      <c r="C1153" s="22" t="s">
        <v>162</v>
      </c>
      <c r="D1153" s="22" t="s">
        <v>404</v>
      </c>
      <c r="E1153" s="22" t="n">
        <v>25.9</v>
      </c>
      <c r="F1153" s="22" t="s">
        <v>164</v>
      </c>
    </row>
    <row r="1154" customFormat="false" ht="15" hidden="false" customHeight="false" outlineLevel="0" collapsed="false">
      <c r="A1154" s="22" t="s">
        <v>2977</v>
      </c>
      <c r="B1154" s="22" t="s">
        <v>2978</v>
      </c>
      <c r="C1154" s="22" t="s">
        <v>162</v>
      </c>
      <c r="D1154" s="22" t="s">
        <v>1232</v>
      </c>
      <c r="E1154" s="22" t="n">
        <v>22.1</v>
      </c>
      <c r="F1154" s="22" t="s">
        <v>164</v>
      </c>
    </row>
    <row r="1155" customFormat="false" ht="15" hidden="false" customHeight="false" outlineLevel="0" collapsed="false">
      <c r="A1155" s="22" t="s">
        <v>2979</v>
      </c>
      <c r="B1155" s="22" t="s">
        <v>2980</v>
      </c>
      <c r="C1155" s="22" t="s">
        <v>207</v>
      </c>
      <c r="D1155" s="22" t="s">
        <v>2981</v>
      </c>
      <c r="E1155" s="22" t="n">
        <v>52</v>
      </c>
      <c r="F1155" s="22" t="s">
        <v>159</v>
      </c>
    </row>
    <row r="1156" customFormat="false" ht="15" hidden="false" customHeight="false" outlineLevel="0" collapsed="false">
      <c r="A1156" s="22" t="s">
        <v>2982</v>
      </c>
      <c r="B1156" s="22" t="s">
        <v>2983</v>
      </c>
      <c r="C1156" s="22" t="s">
        <v>162</v>
      </c>
      <c r="D1156" s="22" t="s">
        <v>2389</v>
      </c>
      <c r="E1156" s="22" t="n">
        <v>49.1</v>
      </c>
      <c r="F1156" s="22" t="s">
        <v>164</v>
      </c>
    </row>
    <row r="1157" customFormat="false" ht="15" hidden="false" customHeight="false" outlineLevel="0" collapsed="false">
      <c r="A1157" s="22" t="s">
        <v>2984</v>
      </c>
      <c r="B1157" s="22" t="s">
        <v>2985</v>
      </c>
      <c r="C1157" s="22" t="s">
        <v>162</v>
      </c>
      <c r="D1157" s="22" t="s">
        <v>318</v>
      </c>
      <c r="E1157" s="22" t="n">
        <v>40.2</v>
      </c>
      <c r="F1157" s="22" t="s">
        <v>164</v>
      </c>
    </row>
    <row r="1158" customFormat="false" ht="15" hidden="false" customHeight="false" outlineLevel="0" collapsed="false">
      <c r="A1158" s="22" t="s">
        <v>2986</v>
      </c>
      <c r="B1158" s="22" t="s">
        <v>2987</v>
      </c>
      <c r="C1158" s="22" t="s">
        <v>207</v>
      </c>
      <c r="D1158" s="22" t="s">
        <v>2988</v>
      </c>
      <c r="E1158" s="22" t="n">
        <v>44.4</v>
      </c>
      <c r="F1158" s="22" t="s">
        <v>164</v>
      </c>
    </row>
    <row r="1159" customFormat="false" ht="15" hidden="false" customHeight="false" outlineLevel="0" collapsed="false">
      <c r="A1159" s="22" t="s">
        <v>2989</v>
      </c>
      <c r="B1159" s="22" t="s">
        <v>2990</v>
      </c>
      <c r="C1159" s="22" t="s">
        <v>162</v>
      </c>
      <c r="D1159" s="22" t="s">
        <v>2991</v>
      </c>
      <c r="E1159" s="22" t="n">
        <v>56.2</v>
      </c>
      <c r="F1159" s="22" t="s">
        <v>175</v>
      </c>
    </row>
    <row r="1160" customFormat="false" ht="15" hidden="false" customHeight="false" outlineLevel="0" collapsed="false">
      <c r="A1160" s="22" t="s">
        <v>2992</v>
      </c>
      <c r="B1160" s="22" t="s">
        <v>2993</v>
      </c>
      <c r="C1160" s="22" t="s">
        <v>566</v>
      </c>
      <c r="D1160" s="22" t="s">
        <v>866</v>
      </c>
      <c r="E1160" s="22" t="n">
        <v>50</v>
      </c>
      <c r="F1160" s="22" t="s">
        <v>164</v>
      </c>
    </row>
    <row r="1161" customFormat="false" ht="15" hidden="false" customHeight="false" outlineLevel="0" collapsed="false">
      <c r="A1161" s="22" t="s">
        <v>2994</v>
      </c>
      <c r="B1161" s="22" t="s">
        <v>2995</v>
      </c>
      <c r="C1161" s="22" t="s">
        <v>162</v>
      </c>
      <c r="D1161" s="22" t="s">
        <v>346</v>
      </c>
      <c r="E1161" s="22" t="n">
        <v>54.9</v>
      </c>
      <c r="F1161" s="22" t="s">
        <v>198</v>
      </c>
    </row>
    <row r="1162" customFormat="false" ht="15" hidden="false" customHeight="false" outlineLevel="0" collapsed="false">
      <c r="A1162" s="22" t="s">
        <v>2996</v>
      </c>
      <c r="B1162" s="22" t="s">
        <v>2997</v>
      </c>
      <c r="C1162" s="22" t="s">
        <v>162</v>
      </c>
      <c r="D1162" s="22" t="s">
        <v>2998</v>
      </c>
      <c r="E1162" s="22" t="n">
        <v>59.6</v>
      </c>
      <c r="F1162" s="22" t="s">
        <v>175</v>
      </c>
    </row>
    <row r="1163" customFormat="false" ht="15" hidden="false" customHeight="false" outlineLevel="0" collapsed="false">
      <c r="A1163" s="22" t="s">
        <v>2999</v>
      </c>
      <c r="B1163" s="22" t="s">
        <v>3000</v>
      </c>
      <c r="C1163" s="22" t="s">
        <v>162</v>
      </c>
      <c r="D1163" s="22" t="s">
        <v>645</v>
      </c>
      <c r="E1163" s="22" t="n">
        <v>40.3</v>
      </c>
      <c r="F1163" s="22" t="s">
        <v>175</v>
      </c>
    </row>
    <row r="1164" customFormat="false" ht="15" hidden="false" customHeight="false" outlineLevel="0" collapsed="false">
      <c r="A1164" s="22" t="s">
        <v>3001</v>
      </c>
      <c r="B1164" s="22" t="s">
        <v>3002</v>
      </c>
      <c r="C1164" s="22" t="s">
        <v>162</v>
      </c>
      <c r="D1164" s="22" t="s">
        <v>2238</v>
      </c>
      <c r="E1164" s="22" t="n">
        <v>21.9</v>
      </c>
      <c r="F1164" s="22" t="s">
        <v>175</v>
      </c>
    </row>
    <row r="1165" customFormat="false" ht="15" hidden="false" customHeight="false" outlineLevel="0" collapsed="false">
      <c r="A1165" s="22" t="s">
        <v>3003</v>
      </c>
      <c r="B1165" s="22" t="s">
        <v>3004</v>
      </c>
      <c r="C1165" s="22" t="s">
        <v>162</v>
      </c>
      <c r="D1165" s="22" t="s">
        <v>2563</v>
      </c>
      <c r="E1165" s="22" t="n">
        <v>19.1</v>
      </c>
      <c r="F1165" s="22" t="s">
        <v>159</v>
      </c>
    </row>
    <row r="1166" customFormat="false" ht="15" hidden="false" customHeight="false" outlineLevel="0" collapsed="false">
      <c r="A1166" s="22" t="s">
        <v>3005</v>
      </c>
      <c r="B1166" s="22" t="s">
        <v>3006</v>
      </c>
      <c r="C1166" s="22" t="s">
        <v>162</v>
      </c>
      <c r="D1166" s="22" t="s">
        <v>2735</v>
      </c>
      <c r="E1166" s="22" t="n">
        <v>29.5</v>
      </c>
      <c r="F1166" s="22" t="s">
        <v>159</v>
      </c>
    </row>
    <row r="1167" customFormat="false" ht="15" hidden="false" customHeight="false" outlineLevel="0" collapsed="false">
      <c r="A1167" s="22" t="s">
        <v>3007</v>
      </c>
      <c r="B1167" s="22" t="s">
        <v>3008</v>
      </c>
      <c r="C1167" s="22" t="s">
        <v>157</v>
      </c>
      <c r="D1167" s="22" t="s">
        <v>3009</v>
      </c>
      <c r="E1167" s="22" t="n">
        <v>34.7</v>
      </c>
      <c r="F1167" s="22" t="s">
        <v>164</v>
      </c>
    </row>
    <row r="1168" customFormat="false" ht="15" hidden="false" customHeight="false" outlineLevel="0" collapsed="false">
      <c r="A1168" s="22" t="s">
        <v>3010</v>
      </c>
      <c r="B1168" s="22" t="s">
        <v>3011</v>
      </c>
      <c r="C1168" s="22" t="s">
        <v>162</v>
      </c>
      <c r="D1168" s="22" t="s">
        <v>2057</v>
      </c>
      <c r="E1168" s="22" t="n">
        <v>22.8</v>
      </c>
      <c r="F1168" s="22" t="s">
        <v>171</v>
      </c>
    </row>
    <row r="1169" customFormat="false" ht="15" hidden="false" customHeight="false" outlineLevel="0" collapsed="false">
      <c r="A1169" s="22" t="s">
        <v>3012</v>
      </c>
      <c r="B1169" s="22" t="s">
        <v>3013</v>
      </c>
      <c r="C1169" s="22" t="s">
        <v>162</v>
      </c>
      <c r="D1169" s="22" t="s">
        <v>2865</v>
      </c>
      <c r="E1169" s="22" t="n">
        <v>56.9</v>
      </c>
      <c r="F1169" s="22" t="s">
        <v>164</v>
      </c>
    </row>
    <row r="1170" customFormat="false" ht="15" hidden="false" customHeight="false" outlineLevel="0" collapsed="false">
      <c r="A1170" s="22" t="s">
        <v>3014</v>
      </c>
      <c r="B1170" s="22" t="s">
        <v>3015</v>
      </c>
      <c r="C1170" s="22" t="s">
        <v>162</v>
      </c>
      <c r="D1170" s="22" t="s">
        <v>3016</v>
      </c>
      <c r="E1170" s="22" t="n">
        <v>58.8</v>
      </c>
      <c r="F1170" s="22" t="s">
        <v>175</v>
      </c>
    </row>
    <row r="1171" customFormat="false" ht="15" hidden="false" customHeight="false" outlineLevel="0" collapsed="false">
      <c r="A1171" s="22" t="s">
        <v>3017</v>
      </c>
      <c r="B1171" s="22" t="s">
        <v>3018</v>
      </c>
      <c r="C1171" s="22" t="s">
        <v>162</v>
      </c>
      <c r="D1171" s="22" t="s">
        <v>684</v>
      </c>
      <c r="E1171" s="22" t="n">
        <v>31.4</v>
      </c>
      <c r="F1171" s="22" t="s">
        <v>175</v>
      </c>
    </row>
    <row r="1172" customFormat="false" ht="15" hidden="false" customHeight="false" outlineLevel="0" collapsed="false">
      <c r="A1172" s="22" t="s">
        <v>3019</v>
      </c>
      <c r="B1172" s="22" t="s">
        <v>3020</v>
      </c>
      <c r="C1172" s="22" t="s">
        <v>162</v>
      </c>
      <c r="D1172" s="22" t="s">
        <v>1572</v>
      </c>
      <c r="E1172" s="22" t="n">
        <v>41.5</v>
      </c>
      <c r="F1172" s="22" t="s">
        <v>175</v>
      </c>
    </row>
    <row r="1173" customFormat="false" ht="15" hidden="false" customHeight="false" outlineLevel="0" collapsed="false">
      <c r="A1173" s="22" t="s">
        <v>3021</v>
      </c>
      <c r="B1173" s="22" t="s">
        <v>3022</v>
      </c>
      <c r="C1173" s="22" t="s">
        <v>162</v>
      </c>
      <c r="D1173" s="22" t="s">
        <v>2823</v>
      </c>
      <c r="E1173" s="22" t="n">
        <v>53.4</v>
      </c>
      <c r="F1173" s="22" t="s">
        <v>164</v>
      </c>
    </row>
    <row r="1174" customFormat="false" ht="15" hidden="false" customHeight="false" outlineLevel="0" collapsed="false">
      <c r="A1174" s="22" t="s">
        <v>3023</v>
      </c>
      <c r="B1174" s="22" t="s">
        <v>3024</v>
      </c>
      <c r="C1174" s="22" t="s">
        <v>162</v>
      </c>
      <c r="D1174" s="22" t="s">
        <v>632</v>
      </c>
      <c r="E1174" s="22" t="n">
        <v>38.4</v>
      </c>
      <c r="F1174" s="22" t="s">
        <v>164</v>
      </c>
    </row>
    <row r="1175" customFormat="false" ht="15" hidden="false" customHeight="false" outlineLevel="0" collapsed="false">
      <c r="A1175" s="22" t="s">
        <v>3025</v>
      </c>
      <c r="B1175" s="22" t="s">
        <v>3026</v>
      </c>
      <c r="C1175" s="22" t="s">
        <v>162</v>
      </c>
      <c r="D1175" s="22" t="s">
        <v>773</v>
      </c>
      <c r="E1175" s="22" t="n">
        <v>29.5</v>
      </c>
      <c r="F1175" s="22" t="s">
        <v>198</v>
      </c>
    </row>
    <row r="1176" customFormat="false" ht="15" hidden="false" customHeight="false" outlineLevel="0" collapsed="false">
      <c r="A1176" s="22" t="s">
        <v>3027</v>
      </c>
      <c r="B1176" s="22" t="s">
        <v>3028</v>
      </c>
      <c r="C1176" s="22" t="s">
        <v>157</v>
      </c>
      <c r="D1176" s="22" t="s">
        <v>1603</v>
      </c>
      <c r="E1176" s="22" t="n">
        <v>43.2</v>
      </c>
      <c r="F1176" s="22" t="s">
        <v>159</v>
      </c>
    </row>
    <row r="1177" customFormat="false" ht="15" hidden="false" customHeight="false" outlineLevel="0" collapsed="false">
      <c r="A1177" s="22" t="s">
        <v>3029</v>
      </c>
      <c r="B1177" s="22" t="s">
        <v>3030</v>
      </c>
      <c r="C1177" s="22" t="s">
        <v>207</v>
      </c>
      <c r="D1177" s="22" t="s">
        <v>3031</v>
      </c>
      <c r="E1177" s="22" t="n">
        <v>34.3</v>
      </c>
      <c r="F1177" s="22" t="s">
        <v>164</v>
      </c>
    </row>
    <row r="1178" customFormat="false" ht="15" hidden="false" customHeight="false" outlineLevel="0" collapsed="false">
      <c r="A1178" s="22" t="s">
        <v>3032</v>
      </c>
      <c r="B1178" s="22" t="s">
        <v>3033</v>
      </c>
      <c r="C1178" s="22" t="s">
        <v>162</v>
      </c>
      <c r="D1178" s="22" t="s">
        <v>857</v>
      </c>
      <c r="E1178" s="22" t="n">
        <v>45.9</v>
      </c>
      <c r="F1178" s="22" t="s">
        <v>164</v>
      </c>
    </row>
    <row r="1179" customFormat="false" ht="15" hidden="false" customHeight="false" outlineLevel="0" collapsed="false">
      <c r="A1179" s="22" t="s">
        <v>3034</v>
      </c>
      <c r="B1179" s="22" t="s">
        <v>3035</v>
      </c>
      <c r="C1179" s="22" t="s">
        <v>162</v>
      </c>
      <c r="D1179" s="22" t="s">
        <v>1702</v>
      </c>
      <c r="E1179" s="22" t="n">
        <v>24.8</v>
      </c>
      <c r="F1179" s="22" t="s">
        <v>198</v>
      </c>
    </row>
    <row r="1180" customFormat="false" ht="15" hidden="false" customHeight="false" outlineLevel="0" collapsed="false">
      <c r="A1180" s="22" t="s">
        <v>3036</v>
      </c>
      <c r="B1180" s="22" t="s">
        <v>3037</v>
      </c>
      <c r="C1180" s="22" t="s">
        <v>162</v>
      </c>
      <c r="D1180" s="22" t="s">
        <v>3038</v>
      </c>
      <c r="E1180" s="22" t="n">
        <v>40.6</v>
      </c>
      <c r="F1180" s="22" t="s">
        <v>159</v>
      </c>
    </row>
    <row r="1181" customFormat="false" ht="15" hidden="false" customHeight="false" outlineLevel="0" collapsed="false">
      <c r="A1181" s="22" t="s">
        <v>3039</v>
      </c>
      <c r="B1181" s="22" t="s">
        <v>3040</v>
      </c>
      <c r="C1181" s="22" t="s">
        <v>162</v>
      </c>
      <c r="D1181" s="22" t="s">
        <v>3041</v>
      </c>
      <c r="E1181" s="22" t="n">
        <v>59.4</v>
      </c>
      <c r="F1181" s="22" t="s">
        <v>164</v>
      </c>
    </row>
    <row r="1182" customFormat="false" ht="15" hidden="false" customHeight="false" outlineLevel="0" collapsed="false">
      <c r="A1182" s="22" t="s">
        <v>3042</v>
      </c>
      <c r="B1182" s="22" t="s">
        <v>3043</v>
      </c>
      <c r="C1182" s="22" t="s">
        <v>162</v>
      </c>
      <c r="D1182" s="22" t="s">
        <v>2150</v>
      </c>
      <c r="E1182" s="22" t="n">
        <v>33.4</v>
      </c>
      <c r="F1182" s="22" t="s">
        <v>198</v>
      </c>
    </row>
    <row r="1183" customFormat="false" ht="15" hidden="false" customHeight="false" outlineLevel="0" collapsed="false">
      <c r="A1183" s="22" t="s">
        <v>3044</v>
      </c>
      <c r="B1183" s="22" t="s">
        <v>3045</v>
      </c>
      <c r="C1183" s="22" t="s">
        <v>162</v>
      </c>
      <c r="D1183" s="22" t="s">
        <v>1611</v>
      </c>
      <c r="E1183" s="22" t="n">
        <v>48.7</v>
      </c>
      <c r="F1183" s="22" t="s">
        <v>164</v>
      </c>
    </row>
    <row r="1184" customFormat="false" ht="15" hidden="false" customHeight="false" outlineLevel="0" collapsed="false">
      <c r="A1184" s="22" t="s">
        <v>3046</v>
      </c>
      <c r="B1184" s="22" t="s">
        <v>3047</v>
      </c>
      <c r="C1184" s="22" t="s">
        <v>157</v>
      </c>
      <c r="D1184" s="22" t="s">
        <v>364</v>
      </c>
      <c r="E1184" s="22" t="n">
        <v>20.9</v>
      </c>
      <c r="F1184" s="22" t="s">
        <v>499</v>
      </c>
    </row>
    <row r="1185" customFormat="false" ht="15" hidden="false" customHeight="false" outlineLevel="0" collapsed="false">
      <c r="A1185" s="22" t="s">
        <v>3048</v>
      </c>
      <c r="B1185" s="22" t="s">
        <v>3049</v>
      </c>
      <c r="C1185" s="22" t="s">
        <v>162</v>
      </c>
      <c r="D1185" s="22" t="s">
        <v>1791</v>
      </c>
      <c r="E1185" s="22" t="n">
        <v>31.8</v>
      </c>
      <c r="F1185" s="22" t="s">
        <v>159</v>
      </c>
    </row>
    <row r="1186" customFormat="false" ht="15" hidden="false" customHeight="false" outlineLevel="0" collapsed="false">
      <c r="A1186" s="22" t="s">
        <v>3050</v>
      </c>
      <c r="B1186" s="22" t="s">
        <v>3051</v>
      </c>
      <c r="C1186" s="22" t="s">
        <v>162</v>
      </c>
      <c r="D1186" s="22" t="s">
        <v>428</v>
      </c>
      <c r="E1186" s="22" t="n">
        <v>22.7</v>
      </c>
      <c r="F1186" s="22" t="s">
        <v>175</v>
      </c>
    </row>
    <row r="1187" customFormat="false" ht="15" hidden="false" customHeight="false" outlineLevel="0" collapsed="false">
      <c r="A1187" s="22" t="s">
        <v>3052</v>
      </c>
      <c r="B1187" s="22" t="s">
        <v>3053</v>
      </c>
      <c r="C1187" s="22" t="s">
        <v>162</v>
      </c>
      <c r="D1187" s="22" t="s">
        <v>1959</v>
      </c>
      <c r="E1187" s="22" t="n">
        <v>31.4</v>
      </c>
      <c r="F1187" s="22" t="s">
        <v>164</v>
      </c>
    </row>
    <row r="1188" customFormat="false" ht="15" hidden="false" customHeight="false" outlineLevel="0" collapsed="false">
      <c r="A1188" s="22" t="s">
        <v>3054</v>
      </c>
      <c r="B1188" s="22" t="s">
        <v>3055</v>
      </c>
      <c r="C1188" s="22" t="s">
        <v>162</v>
      </c>
      <c r="D1188" s="22" t="s">
        <v>1253</v>
      </c>
      <c r="E1188" s="22" t="n">
        <v>54.9</v>
      </c>
      <c r="F1188" s="22" t="s">
        <v>175</v>
      </c>
    </row>
    <row r="1189" customFormat="false" ht="15" hidden="false" customHeight="false" outlineLevel="0" collapsed="false">
      <c r="A1189" s="22" t="s">
        <v>3056</v>
      </c>
      <c r="B1189" s="22" t="s">
        <v>3057</v>
      </c>
      <c r="C1189" s="22" t="s">
        <v>162</v>
      </c>
      <c r="D1189" s="22" t="s">
        <v>492</v>
      </c>
      <c r="E1189" s="22" t="n">
        <v>32.3</v>
      </c>
      <c r="F1189" s="22" t="s">
        <v>198</v>
      </c>
    </row>
    <row r="1190" customFormat="false" ht="15" hidden="false" customHeight="false" outlineLevel="0" collapsed="false">
      <c r="A1190" s="22" t="s">
        <v>3058</v>
      </c>
      <c r="B1190" s="22" t="s">
        <v>3059</v>
      </c>
      <c r="C1190" s="22" t="s">
        <v>162</v>
      </c>
      <c r="D1190" s="22" t="s">
        <v>1323</v>
      </c>
      <c r="E1190" s="22" t="n">
        <v>41.5</v>
      </c>
      <c r="F1190" s="22" t="s">
        <v>175</v>
      </c>
    </row>
    <row r="1191" customFormat="false" ht="15" hidden="false" customHeight="false" outlineLevel="0" collapsed="false">
      <c r="A1191" s="22" t="s">
        <v>3060</v>
      </c>
      <c r="B1191" s="22" t="s">
        <v>3061</v>
      </c>
      <c r="C1191" s="22" t="s">
        <v>162</v>
      </c>
      <c r="D1191" s="22" t="s">
        <v>991</v>
      </c>
      <c r="E1191" s="22" t="n">
        <v>59.8</v>
      </c>
      <c r="F1191" s="22" t="s">
        <v>175</v>
      </c>
    </row>
    <row r="1192" customFormat="false" ht="15" hidden="false" customHeight="false" outlineLevel="0" collapsed="false">
      <c r="A1192" s="22" t="s">
        <v>3062</v>
      </c>
      <c r="B1192" s="22" t="s">
        <v>3063</v>
      </c>
      <c r="C1192" s="22" t="s">
        <v>157</v>
      </c>
      <c r="D1192" s="22" t="s">
        <v>1579</v>
      </c>
      <c r="E1192" s="22" t="n">
        <v>38.8</v>
      </c>
      <c r="F1192" s="22" t="s">
        <v>171</v>
      </c>
    </row>
    <row r="1193" customFormat="false" ht="15" hidden="false" customHeight="false" outlineLevel="0" collapsed="false">
      <c r="A1193" s="22" t="s">
        <v>3064</v>
      </c>
      <c r="B1193" s="22" t="s">
        <v>3065</v>
      </c>
      <c r="C1193" s="22" t="s">
        <v>207</v>
      </c>
      <c r="D1193" s="22" t="s">
        <v>703</v>
      </c>
      <c r="E1193" s="22" t="n">
        <v>29.2</v>
      </c>
      <c r="F1193" s="22" t="s">
        <v>175</v>
      </c>
    </row>
    <row r="1194" customFormat="false" ht="15" hidden="false" customHeight="false" outlineLevel="0" collapsed="false">
      <c r="A1194" s="22" t="s">
        <v>3066</v>
      </c>
      <c r="B1194" s="22" t="s">
        <v>3067</v>
      </c>
      <c r="C1194" s="22" t="s">
        <v>162</v>
      </c>
      <c r="D1194" s="22" t="s">
        <v>1169</v>
      </c>
      <c r="E1194" s="22" t="n">
        <v>49.2</v>
      </c>
      <c r="F1194" s="22" t="s">
        <v>164</v>
      </c>
    </row>
    <row r="1195" customFormat="false" ht="15" hidden="false" customHeight="false" outlineLevel="0" collapsed="false">
      <c r="A1195" s="22" t="s">
        <v>3068</v>
      </c>
      <c r="B1195" s="22" t="s">
        <v>3069</v>
      </c>
      <c r="C1195" s="22" t="s">
        <v>162</v>
      </c>
      <c r="D1195" s="22" t="s">
        <v>508</v>
      </c>
      <c r="E1195" s="22" t="n">
        <v>22</v>
      </c>
      <c r="F1195" s="22" t="s">
        <v>171</v>
      </c>
    </row>
    <row r="1196" customFormat="false" ht="15" hidden="false" customHeight="false" outlineLevel="0" collapsed="false">
      <c r="A1196" s="22" t="s">
        <v>3070</v>
      </c>
      <c r="B1196" s="22" t="s">
        <v>3071</v>
      </c>
      <c r="C1196" s="22" t="s">
        <v>157</v>
      </c>
      <c r="D1196" s="22" t="s">
        <v>3072</v>
      </c>
      <c r="E1196" s="22" t="n">
        <v>43.1</v>
      </c>
      <c r="F1196" s="22" t="s">
        <v>175</v>
      </c>
    </row>
    <row r="1197" customFormat="false" ht="15" hidden="false" customHeight="false" outlineLevel="0" collapsed="false">
      <c r="A1197" s="22" t="s">
        <v>3073</v>
      </c>
      <c r="B1197" s="22" t="s">
        <v>3074</v>
      </c>
      <c r="C1197" s="22" t="s">
        <v>162</v>
      </c>
      <c r="D1197" s="22" t="s">
        <v>3075</v>
      </c>
      <c r="E1197" s="22" t="n">
        <v>61.7</v>
      </c>
      <c r="F1197" s="22" t="s">
        <v>175</v>
      </c>
    </row>
    <row r="1198" customFormat="false" ht="15" hidden="false" customHeight="false" outlineLevel="0" collapsed="false">
      <c r="A1198" s="22" t="s">
        <v>3076</v>
      </c>
      <c r="B1198" s="22" t="s">
        <v>3077</v>
      </c>
      <c r="C1198" s="22" t="s">
        <v>162</v>
      </c>
      <c r="D1198" s="22" t="s">
        <v>1535</v>
      </c>
      <c r="E1198" s="22" t="n">
        <v>37.3</v>
      </c>
      <c r="F1198" s="22" t="s">
        <v>159</v>
      </c>
    </row>
    <row r="1199" customFormat="false" ht="15" hidden="false" customHeight="false" outlineLevel="0" collapsed="false">
      <c r="A1199" s="22" t="s">
        <v>3078</v>
      </c>
      <c r="B1199" s="22" t="s">
        <v>3079</v>
      </c>
      <c r="C1199" s="22" t="s">
        <v>162</v>
      </c>
      <c r="D1199" s="22" t="s">
        <v>1435</v>
      </c>
      <c r="E1199" s="22" t="n">
        <v>54.3</v>
      </c>
      <c r="F1199" s="22" t="s">
        <v>175</v>
      </c>
    </row>
    <row r="1200" customFormat="false" ht="15" hidden="false" customHeight="false" outlineLevel="0" collapsed="false">
      <c r="A1200" s="22" t="s">
        <v>3080</v>
      </c>
      <c r="B1200" s="22" t="s">
        <v>3081</v>
      </c>
      <c r="C1200" s="22" t="s">
        <v>157</v>
      </c>
      <c r="D1200" s="22" t="s">
        <v>3082</v>
      </c>
      <c r="E1200" s="22" t="n">
        <v>33.8</v>
      </c>
      <c r="F1200" s="22" t="s">
        <v>164</v>
      </c>
    </row>
    <row r="1201" customFormat="false" ht="15" hidden="false" customHeight="false" outlineLevel="0" collapsed="false">
      <c r="A1201" s="22" t="s">
        <v>3083</v>
      </c>
      <c r="B1201" s="22" t="s">
        <v>3084</v>
      </c>
      <c r="C1201" s="22" t="s">
        <v>162</v>
      </c>
      <c r="D1201" s="22" t="s">
        <v>257</v>
      </c>
      <c r="E1201" s="22" t="n">
        <v>49.4</v>
      </c>
      <c r="F1201" s="22" t="s">
        <v>499</v>
      </c>
    </row>
    <row r="1202" customFormat="false" ht="15" hidden="false" customHeight="false" outlineLevel="0" collapsed="false">
      <c r="A1202" s="22" t="s">
        <v>3085</v>
      </c>
      <c r="B1202" s="22" t="s">
        <v>3086</v>
      </c>
      <c r="C1202" s="22" t="s">
        <v>162</v>
      </c>
      <c r="D1202" s="22" t="s">
        <v>1794</v>
      </c>
      <c r="E1202" s="22" t="n">
        <v>38</v>
      </c>
      <c r="F1202" s="22" t="s">
        <v>175</v>
      </c>
    </row>
    <row r="1203" customFormat="false" ht="15" hidden="false" customHeight="false" outlineLevel="0" collapsed="false">
      <c r="A1203" s="22" t="s">
        <v>3087</v>
      </c>
      <c r="B1203" s="22" t="s">
        <v>3088</v>
      </c>
      <c r="C1203" s="22" t="s">
        <v>162</v>
      </c>
      <c r="D1203" s="22" t="s">
        <v>1178</v>
      </c>
      <c r="E1203" s="22" t="n">
        <v>42.4</v>
      </c>
      <c r="F1203" s="22" t="s">
        <v>175</v>
      </c>
    </row>
    <row r="1204" customFormat="false" ht="15" hidden="false" customHeight="false" outlineLevel="0" collapsed="false">
      <c r="A1204" s="22" t="s">
        <v>3089</v>
      </c>
      <c r="B1204" s="22" t="s">
        <v>3090</v>
      </c>
      <c r="C1204" s="22" t="s">
        <v>207</v>
      </c>
      <c r="D1204" s="22" t="s">
        <v>525</v>
      </c>
      <c r="E1204" s="22" t="n">
        <v>34.3</v>
      </c>
      <c r="F1204" s="22" t="s">
        <v>164</v>
      </c>
    </row>
    <row r="1205" customFormat="false" ht="15" hidden="false" customHeight="false" outlineLevel="0" collapsed="false">
      <c r="A1205" s="22" t="s">
        <v>3091</v>
      </c>
      <c r="B1205" s="22" t="s">
        <v>3092</v>
      </c>
      <c r="C1205" s="22" t="s">
        <v>162</v>
      </c>
      <c r="D1205" s="22" t="s">
        <v>1395</v>
      </c>
      <c r="E1205" s="22" t="n">
        <v>58.9</v>
      </c>
      <c r="F1205" s="22" t="s">
        <v>215</v>
      </c>
    </row>
    <row r="1206" customFormat="false" ht="15" hidden="false" customHeight="false" outlineLevel="0" collapsed="false">
      <c r="A1206" s="22" t="s">
        <v>3093</v>
      </c>
      <c r="B1206" s="22" t="s">
        <v>3094</v>
      </c>
      <c r="C1206" s="22" t="s">
        <v>162</v>
      </c>
      <c r="D1206" s="22" t="s">
        <v>428</v>
      </c>
      <c r="E1206" s="22" t="n">
        <v>34.3</v>
      </c>
      <c r="F1206" s="22" t="s">
        <v>164</v>
      </c>
    </row>
    <row r="1207" customFormat="false" ht="15" hidden="false" customHeight="false" outlineLevel="0" collapsed="false">
      <c r="A1207" s="22" t="s">
        <v>3095</v>
      </c>
      <c r="B1207" s="22" t="s">
        <v>3096</v>
      </c>
      <c r="C1207" s="22" t="s">
        <v>162</v>
      </c>
      <c r="D1207" s="22" t="s">
        <v>2836</v>
      </c>
      <c r="E1207" s="22" t="n">
        <v>38.3</v>
      </c>
      <c r="F1207" s="22" t="s">
        <v>171</v>
      </c>
    </row>
    <row r="1208" customFormat="false" ht="15" hidden="false" customHeight="false" outlineLevel="0" collapsed="false">
      <c r="A1208" s="22" t="s">
        <v>3097</v>
      </c>
      <c r="B1208" s="22" t="s">
        <v>3098</v>
      </c>
      <c r="C1208" s="22" t="s">
        <v>162</v>
      </c>
      <c r="D1208" s="22" t="s">
        <v>2108</v>
      </c>
      <c r="E1208" s="22" t="n">
        <v>26.8</v>
      </c>
      <c r="F1208" s="22" t="s">
        <v>164</v>
      </c>
    </row>
    <row r="1209" customFormat="false" ht="15" hidden="false" customHeight="false" outlineLevel="0" collapsed="false">
      <c r="A1209" s="22" t="s">
        <v>3099</v>
      </c>
      <c r="B1209" s="22" t="s">
        <v>3100</v>
      </c>
      <c r="C1209" s="22" t="s">
        <v>162</v>
      </c>
      <c r="D1209" s="22" t="s">
        <v>1045</v>
      </c>
      <c r="E1209" s="22" t="n">
        <v>40.4</v>
      </c>
      <c r="F1209" s="22" t="s">
        <v>159</v>
      </c>
    </row>
    <row r="1210" customFormat="false" ht="15" hidden="false" customHeight="false" outlineLevel="0" collapsed="false">
      <c r="A1210" s="22" t="s">
        <v>3101</v>
      </c>
      <c r="B1210" s="22" t="s">
        <v>3102</v>
      </c>
      <c r="C1210" s="22" t="s">
        <v>207</v>
      </c>
      <c r="D1210" s="22" t="s">
        <v>1477</v>
      </c>
      <c r="E1210" s="22" t="n">
        <v>45.2</v>
      </c>
      <c r="F1210" s="22" t="s">
        <v>164</v>
      </c>
    </row>
    <row r="1211" customFormat="false" ht="15" hidden="false" customHeight="false" outlineLevel="0" collapsed="false">
      <c r="A1211" s="22" t="s">
        <v>3103</v>
      </c>
      <c r="B1211" s="22" t="s">
        <v>3104</v>
      </c>
      <c r="C1211" s="22" t="s">
        <v>162</v>
      </c>
      <c r="D1211" s="22" t="s">
        <v>3105</v>
      </c>
      <c r="E1211" s="22" t="n">
        <v>40</v>
      </c>
      <c r="F1211" s="22" t="s">
        <v>188</v>
      </c>
    </row>
    <row r="1212" customFormat="false" ht="15" hidden="false" customHeight="false" outlineLevel="0" collapsed="false">
      <c r="A1212" s="22" t="s">
        <v>3106</v>
      </c>
      <c r="B1212" s="22" t="s">
        <v>3107</v>
      </c>
      <c r="C1212" s="22" t="s">
        <v>162</v>
      </c>
      <c r="D1212" s="22" t="s">
        <v>3108</v>
      </c>
      <c r="E1212" s="22" t="n">
        <v>31.4</v>
      </c>
      <c r="F1212" s="22" t="s">
        <v>171</v>
      </c>
    </row>
    <row r="1213" customFormat="false" ht="15" hidden="false" customHeight="false" outlineLevel="0" collapsed="false">
      <c r="A1213" s="22" t="s">
        <v>3109</v>
      </c>
      <c r="B1213" s="22" t="s">
        <v>3110</v>
      </c>
      <c r="C1213" s="22" t="s">
        <v>162</v>
      </c>
      <c r="D1213" s="22" t="s">
        <v>2394</v>
      </c>
      <c r="E1213" s="22" t="n">
        <v>54.3</v>
      </c>
      <c r="F1213" s="22" t="s">
        <v>159</v>
      </c>
    </row>
    <row r="1214" customFormat="false" ht="15" hidden="false" customHeight="false" outlineLevel="0" collapsed="false">
      <c r="A1214" s="22" t="s">
        <v>3111</v>
      </c>
      <c r="B1214" s="22" t="s">
        <v>3112</v>
      </c>
      <c r="C1214" s="22" t="s">
        <v>162</v>
      </c>
      <c r="D1214" s="22" t="s">
        <v>1579</v>
      </c>
      <c r="E1214" s="22" t="n">
        <v>44.9</v>
      </c>
      <c r="F1214" s="22" t="s">
        <v>164</v>
      </c>
    </row>
    <row r="1215" customFormat="false" ht="15" hidden="false" customHeight="false" outlineLevel="0" collapsed="false">
      <c r="A1215" s="22" t="s">
        <v>3113</v>
      </c>
      <c r="B1215" s="22" t="s">
        <v>3114</v>
      </c>
      <c r="C1215" s="22" t="s">
        <v>162</v>
      </c>
      <c r="D1215" s="22" t="s">
        <v>3115</v>
      </c>
      <c r="E1215" s="22" t="n">
        <v>20.2</v>
      </c>
      <c r="F1215" s="22" t="s">
        <v>175</v>
      </c>
    </row>
    <row r="1216" customFormat="false" ht="15" hidden="false" customHeight="false" outlineLevel="0" collapsed="false">
      <c r="A1216" s="22" t="s">
        <v>3116</v>
      </c>
      <c r="B1216" s="22" t="s">
        <v>3117</v>
      </c>
      <c r="C1216" s="22" t="s">
        <v>162</v>
      </c>
      <c r="D1216" s="22" t="s">
        <v>1110</v>
      </c>
      <c r="E1216" s="22" t="n">
        <v>25.6</v>
      </c>
      <c r="F1216" s="22" t="s">
        <v>175</v>
      </c>
    </row>
    <row r="1217" customFormat="false" ht="15" hidden="false" customHeight="false" outlineLevel="0" collapsed="false">
      <c r="A1217" s="22" t="s">
        <v>3118</v>
      </c>
      <c r="B1217" s="22" t="s">
        <v>3119</v>
      </c>
      <c r="C1217" s="22" t="s">
        <v>162</v>
      </c>
      <c r="D1217" s="22" t="s">
        <v>1082</v>
      </c>
      <c r="E1217" s="22" t="n">
        <v>60.3</v>
      </c>
      <c r="F1217" s="22" t="s">
        <v>171</v>
      </c>
    </row>
    <row r="1218" customFormat="false" ht="15" hidden="false" customHeight="false" outlineLevel="0" collapsed="false">
      <c r="A1218" s="22" t="s">
        <v>3120</v>
      </c>
      <c r="B1218" s="22" t="s">
        <v>3121</v>
      </c>
      <c r="C1218" s="22" t="s">
        <v>162</v>
      </c>
      <c r="D1218" s="22" t="s">
        <v>341</v>
      </c>
      <c r="E1218" s="22" t="n">
        <v>28.5</v>
      </c>
      <c r="F1218" s="22" t="s">
        <v>175</v>
      </c>
    </row>
    <row r="1219" customFormat="false" ht="15" hidden="false" customHeight="false" outlineLevel="0" collapsed="false">
      <c r="A1219" s="22" t="s">
        <v>3122</v>
      </c>
      <c r="B1219" s="22" t="s">
        <v>3123</v>
      </c>
      <c r="C1219" s="22" t="s">
        <v>162</v>
      </c>
      <c r="D1219" s="22" t="s">
        <v>181</v>
      </c>
      <c r="E1219" s="22" t="n">
        <v>54.2</v>
      </c>
      <c r="F1219" s="22" t="s">
        <v>164</v>
      </c>
    </row>
    <row r="1220" customFormat="false" ht="15" hidden="false" customHeight="false" outlineLevel="0" collapsed="false">
      <c r="A1220" s="22" t="s">
        <v>3124</v>
      </c>
      <c r="B1220" s="22" t="s">
        <v>3125</v>
      </c>
      <c r="C1220" s="22" t="s">
        <v>162</v>
      </c>
      <c r="D1220" s="22" t="s">
        <v>1821</v>
      </c>
      <c r="E1220" s="22" t="n">
        <v>19.8</v>
      </c>
      <c r="F1220" s="22" t="s">
        <v>164</v>
      </c>
    </row>
    <row r="1221" customFormat="false" ht="15" hidden="false" customHeight="false" outlineLevel="0" collapsed="false">
      <c r="A1221" s="22" t="s">
        <v>3126</v>
      </c>
      <c r="B1221" s="22" t="s">
        <v>3127</v>
      </c>
      <c r="C1221" s="22" t="s">
        <v>162</v>
      </c>
      <c r="D1221" s="22" t="s">
        <v>924</v>
      </c>
      <c r="E1221" s="22" t="n">
        <v>23</v>
      </c>
      <c r="F1221" s="22" t="s">
        <v>159</v>
      </c>
    </row>
    <row r="1222" customFormat="false" ht="15" hidden="false" customHeight="false" outlineLevel="0" collapsed="false">
      <c r="A1222" s="22" t="s">
        <v>3128</v>
      </c>
      <c r="B1222" s="22" t="s">
        <v>3129</v>
      </c>
      <c r="C1222" s="22" t="s">
        <v>162</v>
      </c>
      <c r="D1222" s="22" t="s">
        <v>549</v>
      </c>
      <c r="E1222" s="22" t="n">
        <v>20.6</v>
      </c>
      <c r="F1222" s="22" t="s">
        <v>175</v>
      </c>
    </row>
    <row r="1223" customFormat="false" ht="15" hidden="false" customHeight="false" outlineLevel="0" collapsed="false">
      <c r="A1223" s="22" t="s">
        <v>3130</v>
      </c>
      <c r="B1223" s="22" t="s">
        <v>3131</v>
      </c>
      <c r="C1223" s="22" t="s">
        <v>162</v>
      </c>
      <c r="D1223" s="22" t="s">
        <v>1438</v>
      </c>
      <c r="E1223" s="22" t="n">
        <v>45.3</v>
      </c>
      <c r="F1223" s="22" t="s">
        <v>175</v>
      </c>
    </row>
    <row r="1224" customFormat="false" ht="15" hidden="false" customHeight="false" outlineLevel="0" collapsed="false">
      <c r="A1224" s="22" t="s">
        <v>3132</v>
      </c>
      <c r="B1224" s="22" t="s">
        <v>3133</v>
      </c>
      <c r="C1224" s="22" t="s">
        <v>162</v>
      </c>
      <c r="D1224" s="22" t="s">
        <v>2572</v>
      </c>
      <c r="E1224" s="22" t="n">
        <v>57.3</v>
      </c>
      <c r="F1224" s="22" t="s">
        <v>164</v>
      </c>
    </row>
    <row r="1225" customFormat="false" ht="15" hidden="false" customHeight="false" outlineLevel="0" collapsed="false">
      <c r="A1225" s="22" t="s">
        <v>3134</v>
      </c>
      <c r="B1225" s="22" t="s">
        <v>3135</v>
      </c>
      <c r="C1225" s="22" t="s">
        <v>162</v>
      </c>
      <c r="D1225" s="22" t="s">
        <v>1891</v>
      </c>
      <c r="E1225" s="22" t="n">
        <v>19.9</v>
      </c>
      <c r="F1225" s="22" t="s">
        <v>175</v>
      </c>
    </row>
    <row r="1226" customFormat="false" ht="15" hidden="false" customHeight="false" outlineLevel="0" collapsed="false">
      <c r="A1226" s="22" t="s">
        <v>3136</v>
      </c>
      <c r="B1226" s="22" t="s">
        <v>3137</v>
      </c>
      <c r="C1226" s="22" t="s">
        <v>207</v>
      </c>
      <c r="D1226" s="22" t="s">
        <v>698</v>
      </c>
      <c r="E1226" s="22" t="n">
        <v>57.5</v>
      </c>
      <c r="F1226" s="22" t="s">
        <v>164</v>
      </c>
    </row>
    <row r="1227" customFormat="false" ht="15" hidden="false" customHeight="false" outlineLevel="0" collapsed="false">
      <c r="A1227" s="22" t="s">
        <v>3138</v>
      </c>
      <c r="B1227" s="22" t="s">
        <v>3139</v>
      </c>
      <c r="C1227" s="22" t="s">
        <v>162</v>
      </c>
      <c r="D1227" s="22" t="s">
        <v>327</v>
      </c>
      <c r="E1227" s="22" t="n">
        <v>59.3</v>
      </c>
      <c r="F1227" s="22" t="s">
        <v>171</v>
      </c>
    </row>
    <row r="1228" customFormat="false" ht="15" hidden="false" customHeight="false" outlineLevel="0" collapsed="false">
      <c r="A1228" s="22" t="s">
        <v>3140</v>
      </c>
      <c r="B1228" s="22" t="s">
        <v>3141</v>
      </c>
      <c r="C1228" s="22" t="s">
        <v>207</v>
      </c>
      <c r="D1228" s="22" t="s">
        <v>469</v>
      </c>
      <c r="E1228" s="22" t="n">
        <v>53.9</v>
      </c>
      <c r="F1228" s="22" t="s">
        <v>164</v>
      </c>
    </row>
    <row r="1229" customFormat="false" ht="15" hidden="false" customHeight="false" outlineLevel="0" collapsed="false">
      <c r="A1229" s="22" t="s">
        <v>3142</v>
      </c>
      <c r="B1229" s="22" t="s">
        <v>3143</v>
      </c>
      <c r="C1229" s="22" t="s">
        <v>162</v>
      </c>
      <c r="D1229" s="22" t="s">
        <v>1780</v>
      </c>
      <c r="E1229" s="22" t="n">
        <v>43.3</v>
      </c>
      <c r="F1229" s="22" t="s">
        <v>164</v>
      </c>
    </row>
    <row r="1230" customFormat="false" ht="15" hidden="false" customHeight="false" outlineLevel="0" collapsed="false">
      <c r="A1230" s="22" t="s">
        <v>3144</v>
      </c>
      <c r="B1230" s="22" t="s">
        <v>3145</v>
      </c>
      <c r="C1230" s="22" t="s">
        <v>162</v>
      </c>
      <c r="D1230" s="22" t="s">
        <v>321</v>
      </c>
      <c r="E1230" s="22" t="n">
        <v>29</v>
      </c>
      <c r="F1230" s="22" t="s">
        <v>175</v>
      </c>
    </row>
    <row r="1231" customFormat="false" ht="15" hidden="false" customHeight="false" outlineLevel="0" collapsed="false">
      <c r="A1231" s="22" t="s">
        <v>3146</v>
      </c>
      <c r="B1231" s="22" t="s">
        <v>3147</v>
      </c>
      <c r="C1231" s="22" t="s">
        <v>566</v>
      </c>
      <c r="D1231" s="22" t="s">
        <v>315</v>
      </c>
      <c r="E1231" s="22" t="n">
        <v>25.5</v>
      </c>
      <c r="F1231" s="22" t="s">
        <v>175</v>
      </c>
    </row>
    <row r="1232" customFormat="false" ht="15" hidden="false" customHeight="false" outlineLevel="0" collapsed="false">
      <c r="A1232" s="22" t="s">
        <v>3148</v>
      </c>
      <c r="B1232" s="22" t="s">
        <v>3149</v>
      </c>
      <c r="C1232" s="22" t="s">
        <v>162</v>
      </c>
      <c r="D1232" s="22" t="s">
        <v>466</v>
      </c>
      <c r="E1232" s="22" t="n">
        <v>26.6</v>
      </c>
      <c r="F1232" s="22" t="s">
        <v>175</v>
      </c>
    </row>
    <row r="1233" customFormat="false" ht="15" hidden="false" customHeight="false" outlineLevel="0" collapsed="false">
      <c r="A1233" s="22" t="s">
        <v>3150</v>
      </c>
      <c r="B1233" s="22" t="s">
        <v>3151</v>
      </c>
      <c r="C1233" s="22" t="s">
        <v>157</v>
      </c>
      <c r="D1233" s="22" t="s">
        <v>829</v>
      </c>
      <c r="E1233" s="22" t="n">
        <v>49.7</v>
      </c>
      <c r="F1233" s="22" t="s">
        <v>188</v>
      </c>
    </row>
    <row r="1234" customFormat="false" ht="15" hidden="false" customHeight="false" outlineLevel="0" collapsed="false">
      <c r="A1234" s="22" t="s">
        <v>3152</v>
      </c>
      <c r="B1234" s="22" t="s">
        <v>3153</v>
      </c>
      <c r="C1234" s="22" t="s">
        <v>162</v>
      </c>
      <c r="D1234" s="22" t="s">
        <v>448</v>
      </c>
      <c r="E1234" s="22" t="n">
        <v>21.9</v>
      </c>
      <c r="F1234" s="22" t="s">
        <v>164</v>
      </c>
    </row>
    <row r="1235" customFormat="false" ht="15" hidden="false" customHeight="false" outlineLevel="0" collapsed="false">
      <c r="A1235" s="22" t="s">
        <v>3154</v>
      </c>
      <c r="B1235" s="22" t="s">
        <v>3155</v>
      </c>
      <c r="C1235" s="22" t="s">
        <v>162</v>
      </c>
      <c r="D1235" s="22" t="s">
        <v>1629</v>
      </c>
      <c r="E1235" s="22" t="n">
        <v>42.1</v>
      </c>
      <c r="F1235" s="22" t="s">
        <v>171</v>
      </c>
    </row>
    <row r="1236" customFormat="false" ht="15" hidden="false" customHeight="false" outlineLevel="0" collapsed="false">
      <c r="A1236" s="22" t="s">
        <v>3156</v>
      </c>
      <c r="B1236" s="22" t="s">
        <v>3157</v>
      </c>
      <c r="C1236" s="22" t="s">
        <v>162</v>
      </c>
      <c r="D1236" s="22" t="s">
        <v>2542</v>
      </c>
      <c r="E1236" s="22" t="n">
        <v>61</v>
      </c>
      <c r="F1236" s="22" t="s">
        <v>215</v>
      </c>
    </row>
    <row r="1237" customFormat="false" ht="15" hidden="false" customHeight="false" outlineLevel="0" collapsed="false">
      <c r="A1237" s="22" t="s">
        <v>3158</v>
      </c>
      <c r="B1237" s="22" t="s">
        <v>3159</v>
      </c>
      <c r="C1237" s="22" t="s">
        <v>162</v>
      </c>
      <c r="D1237" s="22" t="s">
        <v>3160</v>
      </c>
      <c r="E1237" s="22" t="n">
        <v>39.4</v>
      </c>
      <c r="F1237" s="22" t="s">
        <v>171</v>
      </c>
    </row>
    <row r="1238" customFormat="false" ht="15" hidden="false" customHeight="false" outlineLevel="0" collapsed="false">
      <c r="A1238" s="22" t="s">
        <v>3161</v>
      </c>
      <c r="B1238" s="22" t="s">
        <v>3162</v>
      </c>
      <c r="C1238" s="22" t="s">
        <v>162</v>
      </c>
      <c r="D1238" s="22" t="s">
        <v>1262</v>
      </c>
      <c r="E1238" s="22" t="n">
        <v>28.2</v>
      </c>
      <c r="F1238" s="22" t="s">
        <v>159</v>
      </c>
    </row>
    <row r="1239" customFormat="false" ht="15" hidden="false" customHeight="false" outlineLevel="0" collapsed="false">
      <c r="A1239" s="22" t="s">
        <v>3163</v>
      </c>
      <c r="B1239" s="22" t="s">
        <v>3164</v>
      </c>
      <c r="C1239" s="22" t="s">
        <v>162</v>
      </c>
      <c r="D1239" s="22" t="s">
        <v>1118</v>
      </c>
      <c r="E1239" s="22" t="n">
        <v>29.3</v>
      </c>
      <c r="F1239" s="22" t="s">
        <v>175</v>
      </c>
    </row>
    <row r="1240" customFormat="false" ht="15" hidden="false" customHeight="false" outlineLevel="0" collapsed="false">
      <c r="A1240" s="22" t="s">
        <v>3165</v>
      </c>
      <c r="B1240" s="22" t="s">
        <v>3166</v>
      </c>
      <c r="C1240" s="22" t="s">
        <v>162</v>
      </c>
      <c r="D1240" s="22" t="s">
        <v>508</v>
      </c>
      <c r="E1240" s="22" t="n">
        <v>18.1</v>
      </c>
      <c r="F1240" s="22" t="s">
        <v>175</v>
      </c>
    </row>
    <row r="1241" customFormat="false" ht="15" hidden="false" customHeight="false" outlineLevel="0" collapsed="false">
      <c r="A1241" s="22" t="s">
        <v>3167</v>
      </c>
      <c r="B1241" s="22" t="s">
        <v>3168</v>
      </c>
      <c r="C1241" s="22" t="s">
        <v>162</v>
      </c>
      <c r="D1241" s="22" t="s">
        <v>3169</v>
      </c>
      <c r="E1241" s="22" t="n">
        <v>61.4</v>
      </c>
      <c r="F1241" s="22" t="s">
        <v>164</v>
      </c>
    </row>
    <row r="1242" customFormat="false" ht="15" hidden="false" customHeight="false" outlineLevel="0" collapsed="false">
      <c r="A1242" s="22" t="s">
        <v>3170</v>
      </c>
      <c r="B1242" s="22" t="s">
        <v>3171</v>
      </c>
      <c r="C1242" s="22" t="s">
        <v>162</v>
      </c>
      <c r="D1242" s="22" t="s">
        <v>170</v>
      </c>
      <c r="E1242" s="22" t="n">
        <v>21.5</v>
      </c>
      <c r="F1242" s="22" t="s">
        <v>164</v>
      </c>
    </row>
    <row r="1243" customFormat="false" ht="15" hidden="false" customHeight="false" outlineLevel="0" collapsed="false">
      <c r="A1243" s="22" t="s">
        <v>3172</v>
      </c>
      <c r="B1243" s="22" t="s">
        <v>3173</v>
      </c>
      <c r="C1243" s="22" t="s">
        <v>162</v>
      </c>
      <c r="D1243" s="22" t="s">
        <v>3174</v>
      </c>
      <c r="E1243" s="22" t="n">
        <v>41.7</v>
      </c>
      <c r="F1243" s="22" t="s">
        <v>164</v>
      </c>
    </row>
    <row r="1244" customFormat="false" ht="15" hidden="false" customHeight="false" outlineLevel="0" collapsed="false">
      <c r="A1244" s="22" t="s">
        <v>3175</v>
      </c>
      <c r="B1244" s="22" t="s">
        <v>3176</v>
      </c>
      <c r="C1244" s="22" t="s">
        <v>162</v>
      </c>
      <c r="D1244" s="22" t="s">
        <v>3177</v>
      </c>
      <c r="E1244" s="22" t="n">
        <v>21.3</v>
      </c>
      <c r="F1244" s="22" t="s">
        <v>188</v>
      </c>
    </row>
    <row r="1245" customFormat="false" ht="15" hidden="false" customHeight="false" outlineLevel="0" collapsed="false">
      <c r="A1245" s="22" t="s">
        <v>3178</v>
      </c>
      <c r="B1245" s="22" t="s">
        <v>3179</v>
      </c>
      <c r="C1245" s="22" t="s">
        <v>162</v>
      </c>
      <c r="D1245" s="22" t="s">
        <v>442</v>
      </c>
      <c r="E1245" s="22" t="n">
        <v>39.6</v>
      </c>
      <c r="F1245" s="22" t="s">
        <v>164</v>
      </c>
    </row>
    <row r="1246" customFormat="false" ht="15" hidden="false" customHeight="false" outlineLevel="0" collapsed="false">
      <c r="A1246" s="22" t="s">
        <v>3180</v>
      </c>
      <c r="B1246" s="22" t="s">
        <v>3181</v>
      </c>
      <c r="C1246" s="22" t="s">
        <v>157</v>
      </c>
      <c r="D1246" s="22" t="s">
        <v>3182</v>
      </c>
      <c r="E1246" s="22" t="n">
        <v>59.8</v>
      </c>
      <c r="F1246" s="22" t="s">
        <v>164</v>
      </c>
    </row>
    <row r="1247" customFormat="false" ht="15" hidden="false" customHeight="false" outlineLevel="0" collapsed="false">
      <c r="A1247" s="22" t="s">
        <v>3183</v>
      </c>
      <c r="B1247" s="22" t="s">
        <v>3184</v>
      </c>
      <c r="C1247" s="22" t="s">
        <v>162</v>
      </c>
      <c r="D1247" s="22" t="s">
        <v>178</v>
      </c>
      <c r="E1247" s="22" t="n">
        <v>43.5</v>
      </c>
      <c r="F1247" s="22" t="s">
        <v>164</v>
      </c>
    </row>
    <row r="1248" customFormat="false" ht="15" hidden="false" customHeight="false" outlineLevel="0" collapsed="false">
      <c r="A1248" s="22" t="s">
        <v>3185</v>
      </c>
      <c r="B1248" s="22" t="s">
        <v>3186</v>
      </c>
      <c r="C1248" s="22" t="s">
        <v>207</v>
      </c>
      <c r="D1248" s="22" t="s">
        <v>1077</v>
      </c>
      <c r="E1248" s="22" t="n">
        <v>43.7</v>
      </c>
      <c r="F1248" s="22" t="s">
        <v>171</v>
      </c>
    </row>
    <row r="1249" customFormat="false" ht="15" hidden="false" customHeight="false" outlineLevel="0" collapsed="false">
      <c r="A1249" s="22" t="s">
        <v>3187</v>
      </c>
      <c r="B1249" s="22" t="s">
        <v>3188</v>
      </c>
      <c r="C1249" s="22" t="s">
        <v>162</v>
      </c>
      <c r="D1249" s="22" t="s">
        <v>2108</v>
      </c>
      <c r="E1249" s="22" t="n">
        <v>22.3</v>
      </c>
      <c r="F1249" s="22" t="s">
        <v>215</v>
      </c>
    </row>
    <row r="1250" customFormat="false" ht="15" hidden="false" customHeight="false" outlineLevel="0" collapsed="false">
      <c r="A1250" s="22" t="s">
        <v>3189</v>
      </c>
      <c r="B1250" s="22" t="s">
        <v>3190</v>
      </c>
      <c r="C1250" s="22" t="s">
        <v>162</v>
      </c>
      <c r="D1250" s="22" t="s">
        <v>602</v>
      </c>
      <c r="E1250" s="22" t="n">
        <v>61.7</v>
      </c>
      <c r="F1250" s="22" t="s">
        <v>164</v>
      </c>
    </row>
    <row r="1251" customFormat="false" ht="15" hidden="false" customHeight="false" outlineLevel="0" collapsed="false">
      <c r="A1251" s="22" t="s">
        <v>3191</v>
      </c>
      <c r="B1251" s="22" t="s">
        <v>3192</v>
      </c>
      <c r="C1251" s="22" t="s">
        <v>162</v>
      </c>
      <c r="D1251" s="22" t="s">
        <v>522</v>
      </c>
      <c r="E1251" s="22" t="n">
        <v>18.7</v>
      </c>
      <c r="F1251" s="22" t="s">
        <v>164</v>
      </c>
    </row>
    <row r="1252" customFormat="false" ht="15" hidden="false" customHeight="false" outlineLevel="0" collapsed="false">
      <c r="A1252" s="22" t="s">
        <v>3193</v>
      </c>
      <c r="B1252" s="22" t="s">
        <v>3194</v>
      </c>
      <c r="C1252" s="22" t="s">
        <v>162</v>
      </c>
      <c r="D1252" s="22" t="s">
        <v>893</v>
      </c>
      <c r="E1252" s="22" t="n">
        <v>40.2</v>
      </c>
      <c r="F1252" s="22" t="s">
        <v>164</v>
      </c>
    </row>
    <row r="1253" customFormat="false" ht="15" hidden="false" customHeight="false" outlineLevel="0" collapsed="false">
      <c r="A1253" s="22" t="s">
        <v>3195</v>
      </c>
      <c r="B1253" s="22" t="s">
        <v>3196</v>
      </c>
      <c r="C1253" s="22" t="s">
        <v>162</v>
      </c>
      <c r="D1253" s="22" t="s">
        <v>454</v>
      </c>
      <c r="E1253" s="22" t="n">
        <v>55.9</v>
      </c>
      <c r="F1253" s="22" t="s">
        <v>171</v>
      </c>
    </row>
    <row r="1254" customFormat="false" ht="15" hidden="false" customHeight="false" outlineLevel="0" collapsed="false">
      <c r="A1254" s="22" t="s">
        <v>3197</v>
      </c>
      <c r="B1254" s="22" t="s">
        <v>3198</v>
      </c>
      <c r="C1254" s="22" t="s">
        <v>162</v>
      </c>
      <c r="D1254" s="22" t="s">
        <v>1968</v>
      </c>
      <c r="E1254" s="22" t="n">
        <v>30.8</v>
      </c>
      <c r="F1254" s="22" t="s">
        <v>198</v>
      </c>
    </row>
    <row r="1255" customFormat="false" ht="15" hidden="false" customHeight="false" outlineLevel="0" collapsed="false">
      <c r="A1255" s="22" t="s">
        <v>3199</v>
      </c>
      <c r="B1255" s="22" t="s">
        <v>3200</v>
      </c>
      <c r="C1255" s="22" t="s">
        <v>207</v>
      </c>
      <c r="D1255" s="22" t="s">
        <v>605</v>
      </c>
      <c r="E1255" s="22" t="n">
        <v>55.4</v>
      </c>
      <c r="F1255" s="22" t="s">
        <v>171</v>
      </c>
    </row>
    <row r="1256" customFormat="false" ht="15" hidden="false" customHeight="false" outlineLevel="0" collapsed="false">
      <c r="A1256" s="22" t="s">
        <v>3201</v>
      </c>
      <c r="B1256" s="22" t="s">
        <v>3202</v>
      </c>
      <c r="C1256" s="22" t="s">
        <v>162</v>
      </c>
      <c r="D1256" s="22" t="s">
        <v>269</v>
      </c>
      <c r="E1256" s="22" t="n">
        <v>27.2</v>
      </c>
      <c r="F1256" s="22" t="s">
        <v>171</v>
      </c>
    </row>
    <row r="1257" customFormat="false" ht="15" hidden="false" customHeight="false" outlineLevel="0" collapsed="false">
      <c r="A1257" s="22" t="s">
        <v>3203</v>
      </c>
      <c r="B1257" s="22" t="s">
        <v>3204</v>
      </c>
      <c r="C1257" s="22" t="s">
        <v>162</v>
      </c>
      <c r="D1257" s="22" t="s">
        <v>410</v>
      </c>
      <c r="E1257" s="22" t="n">
        <v>22.7</v>
      </c>
      <c r="F1257" s="22" t="s">
        <v>175</v>
      </c>
    </row>
    <row r="1258" customFormat="false" ht="15" hidden="false" customHeight="false" outlineLevel="0" collapsed="false">
      <c r="A1258" s="22" t="s">
        <v>3205</v>
      </c>
      <c r="B1258" s="22" t="s">
        <v>3206</v>
      </c>
      <c r="C1258" s="22" t="s">
        <v>162</v>
      </c>
      <c r="D1258" s="22" t="s">
        <v>1866</v>
      </c>
      <c r="E1258" s="22" t="n">
        <v>45.6</v>
      </c>
      <c r="F1258" s="22" t="s">
        <v>198</v>
      </c>
    </row>
    <row r="1259" customFormat="false" ht="15" hidden="false" customHeight="false" outlineLevel="0" collapsed="false">
      <c r="A1259" s="22" t="s">
        <v>3207</v>
      </c>
      <c r="B1259" s="22" t="s">
        <v>3208</v>
      </c>
      <c r="C1259" s="22" t="s">
        <v>162</v>
      </c>
      <c r="D1259" s="22" t="s">
        <v>938</v>
      </c>
      <c r="E1259" s="22" t="n">
        <v>51.7</v>
      </c>
      <c r="F1259" s="22" t="s">
        <v>164</v>
      </c>
    </row>
    <row r="1260" customFormat="false" ht="15" hidden="false" customHeight="false" outlineLevel="0" collapsed="false">
      <c r="A1260" s="22" t="s">
        <v>3209</v>
      </c>
      <c r="B1260" s="22" t="s">
        <v>3210</v>
      </c>
      <c r="C1260" s="22" t="s">
        <v>157</v>
      </c>
      <c r="D1260" s="22" t="s">
        <v>1840</v>
      </c>
      <c r="E1260" s="22" t="n">
        <v>38</v>
      </c>
      <c r="F1260" s="22" t="s">
        <v>198</v>
      </c>
    </row>
    <row r="1261" customFormat="false" ht="15" hidden="false" customHeight="false" outlineLevel="0" collapsed="false">
      <c r="A1261" s="22" t="s">
        <v>3211</v>
      </c>
      <c r="B1261" s="22" t="s">
        <v>3212</v>
      </c>
      <c r="C1261" s="22" t="s">
        <v>162</v>
      </c>
      <c r="D1261" s="22" t="s">
        <v>3213</v>
      </c>
      <c r="E1261" s="22" t="n">
        <v>59.6</v>
      </c>
      <c r="F1261" s="22" t="s">
        <v>499</v>
      </c>
    </row>
    <row r="1262" customFormat="false" ht="15" hidden="false" customHeight="false" outlineLevel="0" collapsed="false">
      <c r="A1262" s="22" t="s">
        <v>3214</v>
      </c>
      <c r="B1262" s="22" t="s">
        <v>3215</v>
      </c>
      <c r="C1262" s="22" t="s">
        <v>162</v>
      </c>
      <c r="D1262" s="22" t="s">
        <v>3216</v>
      </c>
      <c r="E1262" s="22" t="n">
        <v>43.1</v>
      </c>
      <c r="F1262" s="22" t="s">
        <v>215</v>
      </c>
    </row>
    <row r="1263" customFormat="false" ht="15" hidden="false" customHeight="false" outlineLevel="0" collapsed="false">
      <c r="A1263" s="22" t="s">
        <v>3217</v>
      </c>
      <c r="B1263" s="22" t="s">
        <v>2765</v>
      </c>
      <c r="C1263" s="22" t="s">
        <v>162</v>
      </c>
      <c r="D1263" s="22" t="s">
        <v>921</v>
      </c>
      <c r="E1263" s="22" t="n">
        <v>61.3</v>
      </c>
      <c r="F1263" s="22" t="s">
        <v>198</v>
      </c>
    </row>
    <row r="1264" customFormat="false" ht="15" hidden="false" customHeight="false" outlineLevel="0" collapsed="false">
      <c r="A1264" s="22" t="s">
        <v>3218</v>
      </c>
      <c r="B1264" s="22" t="s">
        <v>3219</v>
      </c>
      <c r="C1264" s="22" t="s">
        <v>162</v>
      </c>
      <c r="D1264" s="22" t="s">
        <v>567</v>
      </c>
      <c r="E1264" s="22" t="n">
        <v>24.3</v>
      </c>
      <c r="F1264" s="22" t="s">
        <v>171</v>
      </c>
    </row>
    <row r="1265" customFormat="false" ht="15" hidden="false" customHeight="false" outlineLevel="0" collapsed="false">
      <c r="A1265" s="22" t="s">
        <v>3220</v>
      </c>
      <c r="B1265" s="22" t="s">
        <v>3221</v>
      </c>
      <c r="C1265" s="22" t="s">
        <v>162</v>
      </c>
      <c r="D1265" s="22" t="s">
        <v>281</v>
      </c>
      <c r="E1265" s="22" t="n">
        <v>21.8</v>
      </c>
      <c r="F1265" s="22" t="s">
        <v>164</v>
      </c>
    </row>
    <row r="1266" customFormat="false" ht="15" hidden="false" customHeight="false" outlineLevel="0" collapsed="false">
      <c r="A1266" s="22" t="s">
        <v>3222</v>
      </c>
      <c r="B1266" s="22" t="s">
        <v>3223</v>
      </c>
      <c r="C1266" s="22" t="s">
        <v>162</v>
      </c>
      <c r="D1266" s="22" t="s">
        <v>233</v>
      </c>
      <c r="E1266" s="22" t="n">
        <v>47.1</v>
      </c>
      <c r="F1266" s="22" t="s">
        <v>164</v>
      </c>
    </row>
    <row r="1267" customFormat="false" ht="15" hidden="false" customHeight="false" outlineLevel="0" collapsed="false">
      <c r="A1267" s="22" t="s">
        <v>3224</v>
      </c>
      <c r="B1267" s="22" t="s">
        <v>3225</v>
      </c>
      <c r="C1267" s="22" t="s">
        <v>162</v>
      </c>
      <c r="D1267" s="22" t="s">
        <v>519</v>
      </c>
      <c r="E1267" s="22" t="n">
        <v>18.5</v>
      </c>
      <c r="F1267" s="22" t="s">
        <v>164</v>
      </c>
    </row>
    <row r="1268" customFormat="false" ht="15" hidden="false" customHeight="false" outlineLevel="0" collapsed="false">
      <c r="A1268" s="22" t="s">
        <v>3226</v>
      </c>
      <c r="B1268" s="22" t="s">
        <v>3227</v>
      </c>
      <c r="C1268" s="22" t="s">
        <v>162</v>
      </c>
      <c r="D1268" s="22" t="s">
        <v>1003</v>
      </c>
      <c r="E1268" s="22" t="n">
        <v>61.4</v>
      </c>
      <c r="F1268" s="22" t="s">
        <v>159</v>
      </c>
    </row>
    <row r="1269" customFormat="false" ht="15" hidden="false" customHeight="false" outlineLevel="0" collapsed="false">
      <c r="A1269" s="22" t="s">
        <v>3228</v>
      </c>
      <c r="B1269" s="22" t="s">
        <v>3229</v>
      </c>
      <c r="C1269" s="22" t="s">
        <v>162</v>
      </c>
      <c r="D1269" s="22" t="s">
        <v>962</v>
      </c>
      <c r="E1269" s="22" t="n">
        <v>42.5</v>
      </c>
      <c r="F1269" s="22" t="s">
        <v>164</v>
      </c>
    </row>
    <row r="1270" customFormat="false" ht="15" hidden="false" customHeight="false" outlineLevel="0" collapsed="false">
      <c r="A1270" s="22" t="s">
        <v>3230</v>
      </c>
      <c r="B1270" s="22" t="s">
        <v>3231</v>
      </c>
      <c r="C1270" s="22" t="s">
        <v>157</v>
      </c>
      <c r="D1270" s="22" t="s">
        <v>3232</v>
      </c>
      <c r="E1270" s="22" t="n">
        <v>59.9</v>
      </c>
      <c r="F1270" s="22" t="s">
        <v>198</v>
      </c>
    </row>
    <row r="1271" customFormat="false" ht="15" hidden="false" customHeight="false" outlineLevel="0" collapsed="false">
      <c r="A1271" s="22" t="s">
        <v>3233</v>
      </c>
      <c r="B1271" s="22" t="s">
        <v>3234</v>
      </c>
      <c r="C1271" s="22" t="s">
        <v>162</v>
      </c>
      <c r="D1271" s="22" t="s">
        <v>1207</v>
      </c>
      <c r="E1271" s="22" t="n">
        <v>58.8</v>
      </c>
      <c r="F1271" s="22" t="s">
        <v>159</v>
      </c>
    </row>
    <row r="1272" customFormat="false" ht="15" hidden="false" customHeight="false" outlineLevel="0" collapsed="false">
      <c r="A1272" s="22" t="s">
        <v>3235</v>
      </c>
      <c r="B1272" s="22" t="s">
        <v>3236</v>
      </c>
      <c r="C1272" s="22" t="s">
        <v>162</v>
      </c>
      <c r="D1272" s="22" t="s">
        <v>805</v>
      </c>
      <c r="E1272" s="22" t="n">
        <v>31.2</v>
      </c>
      <c r="F1272" s="22" t="s">
        <v>164</v>
      </c>
    </row>
    <row r="1273" customFormat="false" ht="15" hidden="false" customHeight="false" outlineLevel="0" collapsed="false">
      <c r="A1273" s="22" t="s">
        <v>3237</v>
      </c>
      <c r="B1273" s="22" t="s">
        <v>3238</v>
      </c>
      <c r="C1273" s="22" t="s">
        <v>162</v>
      </c>
      <c r="D1273" s="22" t="s">
        <v>463</v>
      </c>
      <c r="E1273" s="22" t="n">
        <v>29.7</v>
      </c>
      <c r="F1273" s="22" t="s">
        <v>188</v>
      </c>
    </row>
    <row r="1274" customFormat="false" ht="15" hidden="false" customHeight="false" outlineLevel="0" collapsed="false">
      <c r="A1274" s="22" t="s">
        <v>3239</v>
      </c>
      <c r="B1274" s="22" t="s">
        <v>3240</v>
      </c>
      <c r="C1274" s="22" t="s">
        <v>162</v>
      </c>
      <c r="D1274" s="22" t="s">
        <v>1572</v>
      </c>
      <c r="E1274" s="22" t="n">
        <v>60.7</v>
      </c>
      <c r="F1274" s="22" t="s">
        <v>164</v>
      </c>
    </row>
    <row r="1275" customFormat="false" ht="15" hidden="false" customHeight="false" outlineLevel="0" collapsed="false">
      <c r="A1275" s="22" t="s">
        <v>3241</v>
      </c>
      <c r="B1275" s="22" t="s">
        <v>3242</v>
      </c>
      <c r="C1275" s="22" t="s">
        <v>162</v>
      </c>
      <c r="D1275" s="22" t="s">
        <v>349</v>
      </c>
      <c r="E1275" s="22" t="n">
        <v>44</v>
      </c>
      <c r="F1275" s="22" t="s">
        <v>164</v>
      </c>
    </row>
    <row r="1276" customFormat="false" ht="15" hidden="false" customHeight="false" outlineLevel="0" collapsed="false">
      <c r="A1276" s="22" t="s">
        <v>3243</v>
      </c>
      <c r="B1276" s="22" t="s">
        <v>3244</v>
      </c>
      <c r="C1276" s="22" t="s">
        <v>162</v>
      </c>
      <c r="D1276" s="22" t="s">
        <v>805</v>
      </c>
      <c r="E1276" s="22" t="n">
        <v>21.4</v>
      </c>
      <c r="F1276" s="22" t="s">
        <v>164</v>
      </c>
    </row>
    <row r="1277" customFormat="false" ht="15" hidden="false" customHeight="false" outlineLevel="0" collapsed="false">
      <c r="A1277" s="22" t="s">
        <v>3245</v>
      </c>
      <c r="B1277" s="22" t="s">
        <v>3246</v>
      </c>
      <c r="C1277" s="22" t="s">
        <v>162</v>
      </c>
      <c r="D1277" s="22" t="s">
        <v>728</v>
      </c>
      <c r="E1277" s="22" t="n">
        <v>48.4</v>
      </c>
      <c r="F1277" s="22" t="s">
        <v>164</v>
      </c>
    </row>
    <row r="1278" customFormat="false" ht="15" hidden="false" customHeight="false" outlineLevel="0" collapsed="false">
      <c r="A1278" s="22" t="s">
        <v>3247</v>
      </c>
      <c r="B1278" s="22" t="s">
        <v>3248</v>
      </c>
      <c r="C1278" s="22" t="s">
        <v>207</v>
      </c>
      <c r="D1278" s="22" t="s">
        <v>2583</v>
      </c>
      <c r="E1278" s="22" t="n">
        <v>24</v>
      </c>
      <c r="F1278" s="22" t="s">
        <v>175</v>
      </c>
    </row>
    <row r="1279" customFormat="false" ht="15" hidden="false" customHeight="false" outlineLevel="0" collapsed="false">
      <c r="A1279" s="22" t="s">
        <v>3249</v>
      </c>
      <c r="B1279" s="22" t="s">
        <v>3250</v>
      </c>
      <c r="C1279" s="22" t="s">
        <v>162</v>
      </c>
      <c r="D1279" s="22" t="s">
        <v>502</v>
      </c>
      <c r="E1279" s="22" t="n">
        <v>47.8</v>
      </c>
      <c r="F1279" s="22" t="s">
        <v>499</v>
      </c>
    </row>
    <row r="1280" customFormat="false" ht="15" hidden="false" customHeight="false" outlineLevel="0" collapsed="false">
      <c r="A1280" s="22" t="s">
        <v>3251</v>
      </c>
      <c r="B1280" s="22" t="s">
        <v>3252</v>
      </c>
      <c r="C1280" s="22" t="s">
        <v>162</v>
      </c>
      <c r="D1280" s="22" t="s">
        <v>1777</v>
      </c>
      <c r="E1280" s="22" t="n">
        <v>44</v>
      </c>
      <c r="F1280" s="22" t="s">
        <v>171</v>
      </c>
    </row>
    <row r="1281" customFormat="false" ht="15" hidden="false" customHeight="false" outlineLevel="0" collapsed="false">
      <c r="A1281" s="22" t="s">
        <v>3253</v>
      </c>
      <c r="B1281" s="22" t="s">
        <v>3254</v>
      </c>
      <c r="C1281" s="22" t="s">
        <v>162</v>
      </c>
      <c r="D1281" s="22" t="s">
        <v>2116</v>
      </c>
      <c r="E1281" s="22" t="n">
        <v>21.9</v>
      </c>
      <c r="F1281" s="22" t="s">
        <v>164</v>
      </c>
    </row>
    <row r="1282" customFormat="false" ht="15" hidden="false" customHeight="false" outlineLevel="0" collapsed="false">
      <c r="A1282" s="22" t="s">
        <v>3255</v>
      </c>
      <c r="B1282" s="22" t="s">
        <v>3256</v>
      </c>
      <c r="C1282" s="22" t="s">
        <v>162</v>
      </c>
      <c r="D1282" s="22" t="s">
        <v>1438</v>
      </c>
      <c r="E1282" s="22" t="n">
        <v>55.5</v>
      </c>
      <c r="F1282" s="22" t="s">
        <v>175</v>
      </c>
    </row>
    <row r="1283" customFormat="false" ht="15" hidden="false" customHeight="false" outlineLevel="0" collapsed="false">
      <c r="A1283" s="22" t="s">
        <v>3257</v>
      </c>
      <c r="B1283" s="22" t="s">
        <v>3258</v>
      </c>
      <c r="C1283" s="22" t="s">
        <v>162</v>
      </c>
      <c r="D1283" s="22" t="s">
        <v>3259</v>
      </c>
      <c r="E1283" s="22" t="n">
        <v>57.5</v>
      </c>
      <c r="F1283" s="22" t="s">
        <v>164</v>
      </c>
    </row>
    <row r="1284" customFormat="false" ht="15" hidden="false" customHeight="false" outlineLevel="0" collapsed="false">
      <c r="A1284" s="22" t="s">
        <v>3260</v>
      </c>
      <c r="B1284" s="22" t="s">
        <v>3261</v>
      </c>
      <c r="C1284" s="22" t="s">
        <v>207</v>
      </c>
      <c r="D1284" s="22" t="s">
        <v>1294</v>
      </c>
      <c r="E1284" s="22" t="n">
        <v>22</v>
      </c>
      <c r="F1284" s="22" t="s">
        <v>198</v>
      </c>
    </row>
    <row r="1285" customFormat="false" ht="15" hidden="false" customHeight="false" outlineLevel="0" collapsed="false">
      <c r="A1285" s="22" t="s">
        <v>3262</v>
      </c>
      <c r="B1285" s="22" t="s">
        <v>3263</v>
      </c>
      <c r="C1285" s="22" t="s">
        <v>162</v>
      </c>
      <c r="D1285" s="22" t="s">
        <v>3264</v>
      </c>
      <c r="E1285" s="22" t="n">
        <v>57.6</v>
      </c>
      <c r="F1285" s="22" t="s">
        <v>175</v>
      </c>
    </row>
    <row r="1286" customFormat="false" ht="15" hidden="false" customHeight="false" outlineLevel="0" collapsed="false">
      <c r="A1286" s="22" t="s">
        <v>3265</v>
      </c>
      <c r="B1286" s="22" t="s">
        <v>3266</v>
      </c>
      <c r="C1286" s="22" t="s">
        <v>162</v>
      </c>
      <c r="D1286" s="22" t="s">
        <v>257</v>
      </c>
      <c r="E1286" s="22" t="n">
        <v>46</v>
      </c>
      <c r="F1286" s="22" t="s">
        <v>175</v>
      </c>
    </row>
    <row r="1287" customFormat="false" ht="15" hidden="false" customHeight="false" outlineLevel="0" collapsed="false">
      <c r="A1287" s="22" t="s">
        <v>3267</v>
      </c>
      <c r="B1287" s="22" t="s">
        <v>3268</v>
      </c>
      <c r="C1287" s="22" t="s">
        <v>162</v>
      </c>
      <c r="D1287" s="22" t="s">
        <v>1705</v>
      </c>
      <c r="E1287" s="22" t="n">
        <v>32.1</v>
      </c>
      <c r="F1287" s="22" t="s">
        <v>171</v>
      </c>
    </row>
    <row r="1288" customFormat="false" ht="15" hidden="false" customHeight="false" outlineLevel="0" collapsed="false">
      <c r="A1288" s="22" t="s">
        <v>3269</v>
      </c>
      <c r="B1288" s="22" t="s">
        <v>3270</v>
      </c>
      <c r="C1288" s="22" t="s">
        <v>162</v>
      </c>
      <c r="D1288" s="22" t="s">
        <v>1082</v>
      </c>
      <c r="E1288" s="22" t="n">
        <v>26.6</v>
      </c>
      <c r="F1288" s="22" t="s">
        <v>198</v>
      </c>
    </row>
    <row r="1289" customFormat="false" ht="15" hidden="false" customHeight="false" outlineLevel="0" collapsed="false">
      <c r="A1289" s="22" t="s">
        <v>3271</v>
      </c>
      <c r="B1289" s="22" t="s">
        <v>3272</v>
      </c>
      <c r="C1289" s="22" t="s">
        <v>207</v>
      </c>
      <c r="D1289" s="22" t="s">
        <v>3273</v>
      </c>
      <c r="E1289" s="22" t="n">
        <v>58.7</v>
      </c>
      <c r="F1289" s="22" t="s">
        <v>175</v>
      </c>
    </row>
    <row r="1290" customFormat="false" ht="15" hidden="false" customHeight="false" outlineLevel="0" collapsed="false">
      <c r="A1290" s="22" t="s">
        <v>3274</v>
      </c>
      <c r="B1290" s="22" t="s">
        <v>3275</v>
      </c>
      <c r="C1290" s="22" t="s">
        <v>162</v>
      </c>
      <c r="D1290" s="22" t="s">
        <v>2610</v>
      </c>
      <c r="E1290" s="22" t="n">
        <v>26.5</v>
      </c>
      <c r="F1290" s="22" t="s">
        <v>171</v>
      </c>
    </row>
    <row r="1291" customFormat="false" ht="15" hidden="false" customHeight="false" outlineLevel="0" collapsed="false">
      <c r="A1291" s="22" t="s">
        <v>3276</v>
      </c>
      <c r="B1291" s="22" t="s">
        <v>3277</v>
      </c>
      <c r="C1291" s="22" t="s">
        <v>162</v>
      </c>
      <c r="D1291" s="22" t="s">
        <v>2592</v>
      </c>
      <c r="E1291" s="22" t="n">
        <v>22.6</v>
      </c>
      <c r="F1291" s="22" t="s">
        <v>175</v>
      </c>
    </row>
    <row r="1292" customFormat="false" ht="15" hidden="false" customHeight="false" outlineLevel="0" collapsed="false">
      <c r="A1292" s="22" t="s">
        <v>3278</v>
      </c>
      <c r="B1292" s="22" t="s">
        <v>3279</v>
      </c>
      <c r="C1292" s="22" t="s">
        <v>162</v>
      </c>
      <c r="D1292" s="22" t="s">
        <v>1922</v>
      </c>
      <c r="E1292" s="22" t="n">
        <v>32.8</v>
      </c>
      <c r="F1292" s="22" t="s">
        <v>171</v>
      </c>
    </row>
    <row r="1293" customFormat="false" ht="15" hidden="false" customHeight="false" outlineLevel="0" collapsed="false">
      <c r="A1293" s="22" t="s">
        <v>3280</v>
      </c>
      <c r="B1293" s="22" t="s">
        <v>3281</v>
      </c>
      <c r="C1293" s="22" t="s">
        <v>566</v>
      </c>
      <c r="D1293" s="22" t="s">
        <v>2896</v>
      </c>
      <c r="E1293" s="22" t="n">
        <v>47.2</v>
      </c>
      <c r="F1293" s="22" t="s">
        <v>188</v>
      </c>
    </row>
    <row r="1294" customFormat="false" ht="15" hidden="false" customHeight="false" outlineLevel="0" collapsed="false">
      <c r="A1294" s="22" t="s">
        <v>3282</v>
      </c>
      <c r="B1294" s="22" t="s">
        <v>3283</v>
      </c>
      <c r="C1294" s="22" t="s">
        <v>162</v>
      </c>
      <c r="D1294" s="22" t="s">
        <v>2643</v>
      </c>
      <c r="E1294" s="22" t="n">
        <v>35</v>
      </c>
      <c r="F1294" s="22" t="s">
        <v>215</v>
      </c>
    </row>
    <row r="1295" customFormat="false" ht="15" hidden="false" customHeight="false" outlineLevel="0" collapsed="false">
      <c r="A1295" s="22" t="s">
        <v>3284</v>
      </c>
      <c r="B1295" s="22" t="s">
        <v>3285</v>
      </c>
      <c r="C1295" s="22" t="s">
        <v>157</v>
      </c>
      <c r="D1295" s="22" t="s">
        <v>2741</v>
      </c>
      <c r="E1295" s="22" t="n">
        <v>38.8</v>
      </c>
      <c r="F1295" s="22" t="s">
        <v>164</v>
      </c>
    </row>
    <row r="1296" customFormat="false" ht="15" hidden="false" customHeight="false" outlineLevel="0" collapsed="false">
      <c r="A1296" s="22" t="s">
        <v>3286</v>
      </c>
      <c r="B1296" s="22" t="s">
        <v>3287</v>
      </c>
      <c r="C1296" s="22" t="s">
        <v>162</v>
      </c>
      <c r="D1296" s="22" t="s">
        <v>1304</v>
      </c>
      <c r="E1296" s="22" t="n">
        <v>52.5</v>
      </c>
      <c r="F1296" s="22" t="s">
        <v>164</v>
      </c>
    </row>
    <row r="1297" customFormat="false" ht="15" hidden="false" customHeight="false" outlineLevel="0" collapsed="false">
      <c r="A1297" s="22" t="s">
        <v>3288</v>
      </c>
      <c r="B1297" s="22" t="s">
        <v>3289</v>
      </c>
      <c r="C1297" s="22" t="s">
        <v>162</v>
      </c>
      <c r="D1297" s="22" t="s">
        <v>1833</v>
      </c>
      <c r="E1297" s="22" t="n">
        <v>53.7</v>
      </c>
      <c r="F1297" s="22" t="s">
        <v>164</v>
      </c>
    </row>
    <row r="1298" customFormat="false" ht="15" hidden="false" customHeight="false" outlineLevel="0" collapsed="false">
      <c r="A1298" s="22" t="s">
        <v>3290</v>
      </c>
      <c r="B1298" s="22" t="s">
        <v>3291</v>
      </c>
      <c r="C1298" s="22" t="s">
        <v>162</v>
      </c>
      <c r="D1298" s="22" t="s">
        <v>3292</v>
      </c>
      <c r="E1298" s="22" t="n">
        <v>36.7</v>
      </c>
      <c r="F1298" s="22" t="s">
        <v>215</v>
      </c>
    </row>
    <row r="1299" customFormat="false" ht="15" hidden="false" customHeight="false" outlineLevel="0" collapsed="false">
      <c r="A1299" s="22" t="s">
        <v>3293</v>
      </c>
      <c r="B1299" s="22" t="s">
        <v>3294</v>
      </c>
      <c r="C1299" s="22" t="s">
        <v>162</v>
      </c>
      <c r="D1299" s="22" t="s">
        <v>333</v>
      </c>
      <c r="E1299" s="22" t="n">
        <v>25.7</v>
      </c>
      <c r="F1299" s="22" t="s">
        <v>164</v>
      </c>
    </row>
    <row r="1300" customFormat="false" ht="15" hidden="false" customHeight="false" outlineLevel="0" collapsed="false">
      <c r="A1300" s="22" t="s">
        <v>3295</v>
      </c>
      <c r="B1300" s="22" t="s">
        <v>3296</v>
      </c>
      <c r="C1300" s="22" t="s">
        <v>207</v>
      </c>
      <c r="D1300" s="22" t="s">
        <v>1489</v>
      </c>
      <c r="E1300" s="22" t="n">
        <v>28.8</v>
      </c>
      <c r="F1300" s="22" t="s">
        <v>171</v>
      </c>
    </row>
    <row r="1301" customFormat="false" ht="15" hidden="false" customHeight="false" outlineLevel="0" collapsed="false">
      <c r="A1301" s="22" t="s">
        <v>3297</v>
      </c>
      <c r="B1301" s="22" t="s">
        <v>3298</v>
      </c>
      <c r="C1301" s="22" t="s">
        <v>162</v>
      </c>
      <c r="D1301" s="22" t="s">
        <v>2592</v>
      </c>
      <c r="E1301" s="22" t="n">
        <v>27.3</v>
      </c>
      <c r="F1301" s="22" t="s">
        <v>159</v>
      </c>
    </row>
    <row r="1302" customFormat="false" ht="15" hidden="false" customHeight="false" outlineLevel="0" collapsed="false">
      <c r="A1302" s="22" t="s">
        <v>3299</v>
      </c>
      <c r="B1302" s="22" t="s">
        <v>3300</v>
      </c>
      <c r="C1302" s="22" t="s">
        <v>162</v>
      </c>
      <c r="D1302" s="22" t="s">
        <v>522</v>
      </c>
      <c r="E1302" s="22" t="n">
        <v>57.3</v>
      </c>
      <c r="F1302" s="22" t="s">
        <v>164</v>
      </c>
    </row>
    <row r="1303" customFormat="false" ht="15" hidden="false" customHeight="false" outlineLevel="0" collapsed="false">
      <c r="A1303" s="22" t="s">
        <v>3301</v>
      </c>
      <c r="B1303" s="22" t="s">
        <v>3302</v>
      </c>
      <c r="C1303" s="22" t="s">
        <v>157</v>
      </c>
      <c r="D1303" s="22" t="s">
        <v>717</v>
      </c>
      <c r="E1303" s="22" t="n">
        <v>27.2</v>
      </c>
      <c r="F1303" s="22" t="s">
        <v>159</v>
      </c>
    </row>
    <row r="1304" customFormat="false" ht="15" hidden="false" customHeight="false" outlineLevel="0" collapsed="false">
      <c r="A1304" s="22" t="s">
        <v>3303</v>
      </c>
      <c r="B1304" s="22" t="s">
        <v>3304</v>
      </c>
      <c r="C1304" s="22" t="s">
        <v>162</v>
      </c>
      <c r="D1304" s="22" t="s">
        <v>962</v>
      </c>
      <c r="E1304" s="22" t="n">
        <v>43.1</v>
      </c>
      <c r="F1304" s="22" t="s">
        <v>198</v>
      </c>
    </row>
    <row r="1305" customFormat="false" ht="15" hidden="false" customHeight="false" outlineLevel="0" collapsed="false">
      <c r="A1305" s="22" t="s">
        <v>3305</v>
      </c>
      <c r="B1305" s="22" t="s">
        <v>3306</v>
      </c>
      <c r="C1305" s="22" t="s">
        <v>162</v>
      </c>
      <c r="D1305" s="22" t="s">
        <v>1971</v>
      </c>
      <c r="E1305" s="22" t="n">
        <v>23.2</v>
      </c>
      <c r="F1305" s="22" t="s">
        <v>164</v>
      </c>
    </row>
    <row r="1306" customFormat="false" ht="15" hidden="false" customHeight="false" outlineLevel="0" collapsed="false">
      <c r="A1306" s="22" t="s">
        <v>3307</v>
      </c>
      <c r="B1306" s="22" t="s">
        <v>3308</v>
      </c>
      <c r="C1306" s="22" t="s">
        <v>162</v>
      </c>
      <c r="D1306" s="22" t="s">
        <v>852</v>
      </c>
      <c r="E1306" s="22" t="n">
        <v>21.5</v>
      </c>
      <c r="F1306" s="22" t="s">
        <v>164</v>
      </c>
    </row>
    <row r="1307" customFormat="false" ht="15" hidden="false" customHeight="false" outlineLevel="0" collapsed="false">
      <c r="A1307" s="22" t="s">
        <v>3309</v>
      </c>
      <c r="B1307" s="22" t="s">
        <v>3310</v>
      </c>
      <c r="C1307" s="22" t="s">
        <v>162</v>
      </c>
      <c r="D1307" s="22" t="s">
        <v>1383</v>
      </c>
      <c r="E1307" s="22" t="n">
        <v>18.8</v>
      </c>
      <c r="F1307" s="22" t="s">
        <v>164</v>
      </c>
    </row>
    <row r="1308" customFormat="false" ht="15" hidden="false" customHeight="false" outlineLevel="0" collapsed="false">
      <c r="A1308" s="22" t="s">
        <v>3311</v>
      </c>
      <c r="B1308" s="22" t="s">
        <v>3312</v>
      </c>
      <c r="C1308" s="22" t="s">
        <v>207</v>
      </c>
      <c r="D1308" s="22" t="s">
        <v>3313</v>
      </c>
      <c r="E1308" s="22" t="n">
        <v>30.7</v>
      </c>
      <c r="F1308" s="22" t="s">
        <v>175</v>
      </c>
    </row>
    <row r="1309" customFormat="false" ht="15" hidden="false" customHeight="false" outlineLevel="0" collapsed="false">
      <c r="A1309" s="22" t="s">
        <v>3314</v>
      </c>
      <c r="B1309" s="22" t="s">
        <v>3315</v>
      </c>
      <c r="C1309" s="22" t="s">
        <v>162</v>
      </c>
      <c r="D1309" s="22" t="s">
        <v>3316</v>
      </c>
      <c r="E1309" s="22" t="n">
        <v>21.2</v>
      </c>
      <c r="F1309" s="22" t="s">
        <v>188</v>
      </c>
    </row>
    <row r="1310" customFormat="false" ht="15" hidden="false" customHeight="false" outlineLevel="0" collapsed="false">
      <c r="A1310" s="22" t="s">
        <v>3317</v>
      </c>
      <c r="B1310" s="22" t="s">
        <v>3318</v>
      </c>
      <c r="C1310" s="22" t="s">
        <v>162</v>
      </c>
      <c r="D1310" s="22" t="s">
        <v>1695</v>
      </c>
      <c r="E1310" s="22" t="n">
        <v>45.3</v>
      </c>
      <c r="F1310" s="22" t="s">
        <v>198</v>
      </c>
    </row>
    <row r="1311" customFormat="false" ht="15" hidden="false" customHeight="false" outlineLevel="0" collapsed="false">
      <c r="A1311" s="22" t="s">
        <v>3319</v>
      </c>
      <c r="B1311" s="22" t="s">
        <v>3320</v>
      </c>
      <c r="C1311" s="22" t="s">
        <v>162</v>
      </c>
      <c r="D1311" s="22" t="s">
        <v>933</v>
      </c>
      <c r="E1311" s="22" t="n">
        <v>53</v>
      </c>
      <c r="F1311" s="22" t="s">
        <v>164</v>
      </c>
    </row>
    <row r="1312" customFormat="false" ht="15" hidden="false" customHeight="false" outlineLevel="0" collapsed="false">
      <c r="A1312" s="22" t="s">
        <v>3321</v>
      </c>
      <c r="B1312" s="22" t="s">
        <v>3322</v>
      </c>
      <c r="C1312" s="22" t="s">
        <v>162</v>
      </c>
      <c r="D1312" s="22" t="s">
        <v>621</v>
      </c>
      <c r="E1312" s="22" t="n">
        <v>49.7</v>
      </c>
      <c r="F1312" s="22" t="s">
        <v>175</v>
      </c>
    </row>
    <row r="1313" customFormat="false" ht="15" hidden="false" customHeight="false" outlineLevel="0" collapsed="false">
      <c r="A1313" s="22" t="s">
        <v>3323</v>
      </c>
      <c r="B1313" s="22" t="s">
        <v>3324</v>
      </c>
      <c r="C1313" s="22" t="s">
        <v>162</v>
      </c>
      <c r="D1313" s="22" t="s">
        <v>914</v>
      </c>
      <c r="E1313" s="22" t="n">
        <v>31.3</v>
      </c>
      <c r="F1313" s="22" t="s">
        <v>164</v>
      </c>
    </row>
    <row r="1314" customFormat="false" ht="15" hidden="false" customHeight="false" outlineLevel="0" collapsed="false">
      <c r="A1314" s="22" t="s">
        <v>3325</v>
      </c>
      <c r="B1314" s="22" t="s">
        <v>3326</v>
      </c>
      <c r="C1314" s="22" t="s">
        <v>162</v>
      </c>
      <c r="D1314" s="22" t="s">
        <v>341</v>
      </c>
      <c r="E1314" s="22" t="n">
        <v>61.6</v>
      </c>
      <c r="F1314" s="22" t="s">
        <v>164</v>
      </c>
    </row>
    <row r="1315" customFormat="false" ht="15" hidden="false" customHeight="false" outlineLevel="0" collapsed="false">
      <c r="A1315" s="22" t="s">
        <v>3327</v>
      </c>
      <c r="B1315" s="22" t="s">
        <v>3328</v>
      </c>
      <c r="C1315" s="22" t="s">
        <v>162</v>
      </c>
      <c r="D1315" s="22" t="s">
        <v>1115</v>
      </c>
      <c r="E1315" s="22" t="n">
        <v>31.1</v>
      </c>
      <c r="F1315" s="22" t="s">
        <v>198</v>
      </c>
    </row>
    <row r="1316" customFormat="false" ht="15" hidden="false" customHeight="false" outlineLevel="0" collapsed="false">
      <c r="A1316" s="22" t="s">
        <v>3329</v>
      </c>
      <c r="B1316" s="22" t="s">
        <v>3330</v>
      </c>
      <c r="C1316" s="22" t="s">
        <v>162</v>
      </c>
      <c r="D1316" s="22" t="s">
        <v>1996</v>
      </c>
      <c r="E1316" s="22" t="n">
        <v>61.1</v>
      </c>
      <c r="F1316" s="22" t="s">
        <v>198</v>
      </c>
    </row>
    <row r="1317" customFormat="false" ht="15" hidden="false" customHeight="false" outlineLevel="0" collapsed="false">
      <c r="A1317" s="22" t="s">
        <v>3331</v>
      </c>
      <c r="B1317" s="22" t="s">
        <v>3332</v>
      </c>
      <c r="C1317" s="22" t="s">
        <v>162</v>
      </c>
      <c r="D1317" s="22" t="s">
        <v>174</v>
      </c>
      <c r="E1317" s="22" t="n">
        <v>39</v>
      </c>
      <c r="F1317" s="22" t="s">
        <v>159</v>
      </c>
    </row>
    <row r="1318" customFormat="false" ht="15" hidden="false" customHeight="false" outlineLevel="0" collapsed="false">
      <c r="A1318" s="22" t="s">
        <v>3333</v>
      </c>
      <c r="B1318" s="22" t="s">
        <v>3334</v>
      </c>
      <c r="C1318" s="22" t="s">
        <v>162</v>
      </c>
      <c r="D1318" s="22" t="s">
        <v>914</v>
      </c>
      <c r="E1318" s="22" t="n">
        <v>38</v>
      </c>
      <c r="F1318" s="22" t="s">
        <v>198</v>
      </c>
    </row>
    <row r="1319" customFormat="false" ht="15" hidden="false" customHeight="false" outlineLevel="0" collapsed="false">
      <c r="A1319" s="22" t="s">
        <v>3335</v>
      </c>
      <c r="B1319" s="22" t="s">
        <v>3336</v>
      </c>
      <c r="C1319" s="22" t="s">
        <v>162</v>
      </c>
      <c r="D1319" s="22" t="s">
        <v>1891</v>
      </c>
      <c r="E1319" s="22" t="n">
        <v>19.9</v>
      </c>
      <c r="F1319" s="22" t="s">
        <v>164</v>
      </c>
    </row>
    <row r="1320" customFormat="false" ht="15" hidden="false" customHeight="false" outlineLevel="0" collapsed="false">
      <c r="A1320" s="22" t="s">
        <v>3337</v>
      </c>
      <c r="B1320" s="22" t="s">
        <v>3338</v>
      </c>
      <c r="C1320" s="22" t="s">
        <v>162</v>
      </c>
      <c r="D1320" s="22" t="s">
        <v>1110</v>
      </c>
      <c r="E1320" s="22" t="n">
        <v>31.6</v>
      </c>
      <c r="F1320" s="22" t="s">
        <v>198</v>
      </c>
    </row>
    <row r="1321" customFormat="false" ht="15" hidden="false" customHeight="false" outlineLevel="0" collapsed="false">
      <c r="A1321" s="22" t="s">
        <v>3339</v>
      </c>
      <c r="B1321" s="22" t="s">
        <v>3340</v>
      </c>
      <c r="C1321" s="22" t="s">
        <v>162</v>
      </c>
      <c r="D1321" s="22" t="s">
        <v>1556</v>
      </c>
      <c r="E1321" s="22" t="n">
        <v>38.6</v>
      </c>
      <c r="F1321" s="22" t="s">
        <v>171</v>
      </c>
    </row>
    <row r="1322" customFormat="false" ht="15" hidden="false" customHeight="false" outlineLevel="0" collapsed="false">
      <c r="A1322" s="22" t="s">
        <v>3341</v>
      </c>
      <c r="B1322" s="22" t="s">
        <v>3342</v>
      </c>
      <c r="C1322" s="22" t="s">
        <v>566</v>
      </c>
      <c r="D1322" s="22" t="s">
        <v>191</v>
      </c>
      <c r="E1322" s="22" t="n">
        <v>60.8</v>
      </c>
      <c r="F1322" s="22" t="s">
        <v>164</v>
      </c>
    </row>
    <row r="1323" customFormat="false" ht="15" hidden="false" customHeight="false" outlineLevel="0" collapsed="false">
      <c r="A1323" s="22" t="s">
        <v>3343</v>
      </c>
      <c r="B1323" s="22" t="s">
        <v>3344</v>
      </c>
      <c r="C1323" s="22" t="s">
        <v>162</v>
      </c>
      <c r="D1323" s="22" t="s">
        <v>805</v>
      </c>
      <c r="E1323" s="22" t="n">
        <v>46.1</v>
      </c>
      <c r="F1323" s="22" t="s">
        <v>164</v>
      </c>
    </row>
    <row r="1324" customFormat="false" ht="15" hidden="false" customHeight="false" outlineLevel="0" collapsed="false">
      <c r="A1324" s="22" t="s">
        <v>3345</v>
      </c>
      <c r="B1324" s="22" t="s">
        <v>3346</v>
      </c>
      <c r="C1324" s="22" t="s">
        <v>162</v>
      </c>
      <c r="D1324" s="22" t="s">
        <v>573</v>
      </c>
      <c r="E1324" s="22" t="n">
        <v>56.7</v>
      </c>
      <c r="F1324" s="22" t="s">
        <v>164</v>
      </c>
    </row>
    <row r="1325" customFormat="false" ht="15" hidden="false" customHeight="false" outlineLevel="0" collapsed="false">
      <c r="A1325" s="22" t="s">
        <v>3347</v>
      </c>
      <c r="B1325" s="22" t="s">
        <v>3348</v>
      </c>
      <c r="C1325" s="22" t="s">
        <v>207</v>
      </c>
      <c r="D1325" s="22" t="s">
        <v>938</v>
      </c>
      <c r="E1325" s="22" t="n">
        <v>42.6</v>
      </c>
      <c r="F1325" s="22" t="s">
        <v>164</v>
      </c>
    </row>
    <row r="1326" customFormat="false" ht="15" hidden="false" customHeight="false" outlineLevel="0" collapsed="false">
      <c r="A1326" s="22" t="s">
        <v>3349</v>
      </c>
      <c r="B1326" s="22" t="s">
        <v>2409</v>
      </c>
      <c r="C1326" s="22" t="s">
        <v>162</v>
      </c>
      <c r="D1326" s="22" t="s">
        <v>1956</v>
      </c>
      <c r="E1326" s="22" t="n">
        <v>34.6</v>
      </c>
      <c r="F1326" s="22" t="s">
        <v>159</v>
      </c>
    </row>
    <row r="1327" customFormat="false" ht="15" hidden="false" customHeight="false" outlineLevel="0" collapsed="false">
      <c r="A1327" s="22" t="s">
        <v>3350</v>
      </c>
      <c r="B1327" s="22" t="s">
        <v>3351</v>
      </c>
      <c r="C1327" s="22" t="s">
        <v>162</v>
      </c>
      <c r="D1327" s="22" t="s">
        <v>1115</v>
      </c>
      <c r="E1327" s="22" t="n">
        <v>33</v>
      </c>
      <c r="F1327" s="22" t="s">
        <v>164</v>
      </c>
    </row>
    <row r="1328" customFormat="false" ht="15" hidden="false" customHeight="false" outlineLevel="0" collapsed="false">
      <c r="A1328" s="22" t="s">
        <v>3352</v>
      </c>
      <c r="B1328" s="22" t="s">
        <v>3353</v>
      </c>
      <c r="C1328" s="22" t="s">
        <v>162</v>
      </c>
      <c r="D1328" s="22" t="s">
        <v>1369</v>
      </c>
      <c r="E1328" s="22" t="n">
        <v>43.6</v>
      </c>
      <c r="F1328" s="22" t="s">
        <v>175</v>
      </c>
    </row>
    <row r="1329" customFormat="false" ht="15" hidden="false" customHeight="false" outlineLevel="0" collapsed="false">
      <c r="A1329" s="22" t="s">
        <v>3354</v>
      </c>
      <c r="B1329" s="22" t="s">
        <v>3355</v>
      </c>
      <c r="C1329" s="22" t="s">
        <v>162</v>
      </c>
      <c r="D1329" s="22" t="s">
        <v>272</v>
      </c>
      <c r="E1329" s="22" t="n">
        <v>55.5</v>
      </c>
      <c r="F1329" s="22" t="s">
        <v>175</v>
      </c>
    </row>
    <row r="1330" customFormat="false" ht="15" hidden="false" customHeight="false" outlineLevel="0" collapsed="false">
      <c r="A1330" s="22" t="s">
        <v>3356</v>
      </c>
      <c r="B1330" s="22" t="s">
        <v>3357</v>
      </c>
      <c r="C1330" s="22" t="s">
        <v>157</v>
      </c>
      <c r="D1330" s="22" t="s">
        <v>1687</v>
      </c>
      <c r="E1330" s="22" t="n">
        <v>44.5</v>
      </c>
      <c r="F1330" s="22" t="s">
        <v>164</v>
      </c>
    </row>
    <row r="1331" customFormat="false" ht="15" hidden="false" customHeight="false" outlineLevel="0" collapsed="false">
      <c r="A1331" s="22" t="s">
        <v>3358</v>
      </c>
      <c r="B1331" s="22" t="s">
        <v>3359</v>
      </c>
      <c r="C1331" s="22" t="s">
        <v>566</v>
      </c>
      <c r="D1331" s="22" t="s">
        <v>1708</v>
      </c>
      <c r="E1331" s="22" t="n">
        <v>46.6</v>
      </c>
      <c r="F1331" s="22" t="s">
        <v>175</v>
      </c>
    </row>
    <row r="1332" customFormat="false" ht="15" hidden="false" customHeight="false" outlineLevel="0" collapsed="false">
      <c r="A1332" s="22" t="s">
        <v>3360</v>
      </c>
      <c r="B1332" s="22" t="s">
        <v>3361</v>
      </c>
      <c r="C1332" s="22" t="s">
        <v>162</v>
      </c>
      <c r="D1332" s="22" t="s">
        <v>184</v>
      </c>
      <c r="E1332" s="22" t="n">
        <v>61.3</v>
      </c>
      <c r="F1332" s="22" t="s">
        <v>188</v>
      </c>
    </row>
    <row r="1333" customFormat="false" ht="15" hidden="false" customHeight="false" outlineLevel="0" collapsed="false">
      <c r="A1333" s="22" t="s">
        <v>3362</v>
      </c>
      <c r="B1333" s="22" t="s">
        <v>3363</v>
      </c>
      <c r="C1333" s="22" t="s">
        <v>162</v>
      </c>
      <c r="D1333" s="22" t="s">
        <v>2620</v>
      </c>
      <c r="E1333" s="22" t="n">
        <v>38.4</v>
      </c>
      <c r="F1333" s="22" t="s">
        <v>198</v>
      </c>
    </row>
    <row r="1334" customFormat="false" ht="15" hidden="false" customHeight="false" outlineLevel="0" collapsed="false">
      <c r="A1334" s="22" t="s">
        <v>3364</v>
      </c>
      <c r="B1334" s="22" t="s">
        <v>3365</v>
      </c>
      <c r="C1334" s="22" t="s">
        <v>162</v>
      </c>
      <c r="D1334" s="22" t="s">
        <v>2394</v>
      </c>
      <c r="E1334" s="22" t="n">
        <v>55.1</v>
      </c>
      <c r="F1334" s="22" t="s">
        <v>215</v>
      </c>
    </row>
    <row r="1335" customFormat="false" ht="15" hidden="false" customHeight="false" outlineLevel="0" collapsed="false">
      <c r="A1335" s="22" t="s">
        <v>3366</v>
      </c>
      <c r="B1335" s="22" t="s">
        <v>3367</v>
      </c>
      <c r="C1335" s="22" t="s">
        <v>162</v>
      </c>
      <c r="D1335" s="22" t="s">
        <v>3368</v>
      </c>
      <c r="E1335" s="22" t="n">
        <v>61.7</v>
      </c>
      <c r="F1335" s="22" t="s">
        <v>198</v>
      </c>
    </row>
    <row r="1336" customFormat="false" ht="15" hidden="false" customHeight="false" outlineLevel="0" collapsed="false">
      <c r="A1336" s="22" t="s">
        <v>3369</v>
      </c>
      <c r="B1336" s="22" t="s">
        <v>3370</v>
      </c>
      <c r="C1336" s="22" t="s">
        <v>162</v>
      </c>
      <c r="D1336" s="22" t="s">
        <v>1736</v>
      </c>
      <c r="E1336" s="22" t="n">
        <v>45.6</v>
      </c>
      <c r="F1336" s="22" t="s">
        <v>159</v>
      </c>
    </row>
    <row r="1337" customFormat="false" ht="15" hidden="false" customHeight="false" outlineLevel="0" collapsed="false">
      <c r="A1337" s="22" t="s">
        <v>3371</v>
      </c>
      <c r="B1337" s="22" t="s">
        <v>3372</v>
      </c>
      <c r="C1337" s="22" t="s">
        <v>207</v>
      </c>
      <c r="D1337" s="22" t="s">
        <v>227</v>
      </c>
      <c r="E1337" s="22" t="n">
        <v>46.3</v>
      </c>
      <c r="F1337" s="22" t="s">
        <v>175</v>
      </c>
    </row>
    <row r="1338" customFormat="false" ht="15" hidden="false" customHeight="false" outlineLevel="0" collapsed="false">
      <c r="A1338" s="22" t="s">
        <v>3373</v>
      </c>
      <c r="B1338" s="22" t="s">
        <v>3374</v>
      </c>
      <c r="C1338" s="22" t="s">
        <v>162</v>
      </c>
      <c r="D1338" s="22" t="s">
        <v>1496</v>
      </c>
      <c r="E1338" s="22" t="n">
        <v>55.5</v>
      </c>
      <c r="F1338" s="22" t="s">
        <v>215</v>
      </c>
    </row>
    <row r="1339" customFormat="false" ht="15" hidden="false" customHeight="false" outlineLevel="0" collapsed="false">
      <c r="A1339" s="22" t="s">
        <v>3375</v>
      </c>
      <c r="B1339" s="22" t="s">
        <v>3376</v>
      </c>
      <c r="C1339" s="22" t="s">
        <v>162</v>
      </c>
      <c r="D1339" s="22" t="s">
        <v>1718</v>
      </c>
      <c r="E1339" s="22" t="n">
        <v>25.3</v>
      </c>
      <c r="F1339" s="22" t="s">
        <v>499</v>
      </c>
    </row>
    <row r="1340" customFormat="false" ht="15" hidden="false" customHeight="false" outlineLevel="0" collapsed="false">
      <c r="A1340" s="22" t="s">
        <v>3377</v>
      </c>
      <c r="B1340" s="22" t="s">
        <v>3378</v>
      </c>
      <c r="C1340" s="22" t="s">
        <v>162</v>
      </c>
      <c r="D1340" s="22" t="s">
        <v>498</v>
      </c>
      <c r="E1340" s="22" t="n">
        <v>47.6</v>
      </c>
      <c r="F1340" s="22" t="s">
        <v>188</v>
      </c>
    </row>
    <row r="1341" customFormat="false" ht="15" hidden="false" customHeight="false" outlineLevel="0" collapsed="false">
      <c r="A1341" s="22" t="s">
        <v>3379</v>
      </c>
      <c r="B1341" s="22" t="s">
        <v>3380</v>
      </c>
      <c r="C1341" s="22" t="s">
        <v>162</v>
      </c>
      <c r="D1341" s="22" t="s">
        <v>2238</v>
      </c>
      <c r="E1341" s="22" t="n">
        <v>33.6</v>
      </c>
      <c r="F1341" s="22" t="s">
        <v>164</v>
      </c>
    </row>
    <row r="1342" customFormat="false" ht="15" hidden="false" customHeight="false" outlineLevel="0" collapsed="false">
      <c r="A1342" s="22" t="s">
        <v>3381</v>
      </c>
      <c r="B1342" s="22" t="s">
        <v>3382</v>
      </c>
      <c r="C1342" s="22" t="s">
        <v>162</v>
      </c>
      <c r="D1342" s="22" t="s">
        <v>2207</v>
      </c>
      <c r="E1342" s="22" t="n">
        <v>59</v>
      </c>
      <c r="F1342" s="22" t="s">
        <v>198</v>
      </c>
    </row>
    <row r="1343" customFormat="false" ht="15" hidden="false" customHeight="false" outlineLevel="0" collapsed="false">
      <c r="A1343" s="22" t="s">
        <v>3383</v>
      </c>
      <c r="B1343" s="22" t="s">
        <v>3384</v>
      </c>
      <c r="C1343" s="22" t="s">
        <v>162</v>
      </c>
      <c r="D1343" s="22" t="s">
        <v>3385</v>
      </c>
      <c r="E1343" s="22" t="n">
        <v>43.4</v>
      </c>
      <c r="F1343" s="22" t="s">
        <v>164</v>
      </c>
    </row>
    <row r="1344" customFormat="false" ht="15" hidden="false" customHeight="false" outlineLevel="0" collapsed="false">
      <c r="A1344" s="22" t="s">
        <v>3386</v>
      </c>
      <c r="B1344" s="22" t="s">
        <v>3387</v>
      </c>
      <c r="C1344" s="22" t="s">
        <v>162</v>
      </c>
      <c r="D1344" s="22" t="s">
        <v>361</v>
      </c>
      <c r="E1344" s="22" t="n">
        <v>24</v>
      </c>
      <c r="F1344" s="22" t="s">
        <v>175</v>
      </c>
    </row>
    <row r="1345" customFormat="false" ht="15" hidden="false" customHeight="false" outlineLevel="0" collapsed="false">
      <c r="A1345" s="22" t="s">
        <v>3388</v>
      </c>
      <c r="B1345" s="22" t="s">
        <v>3389</v>
      </c>
      <c r="C1345" s="22" t="s">
        <v>162</v>
      </c>
      <c r="D1345" s="22" t="s">
        <v>1463</v>
      </c>
      <c r="E1345" s="22" t="n">
        <v>43.4</v>
      </c>
      <c r="F1345" s="22" t="s">
        <v>164</v>
      </c>
    </row>
    <row r="1346" customFormat="false" ht="15" hidden="false" customHeight="false" outlineLevel="0" collapsed="false">
      <c r="A1346" s="22" t="s">
        <v>3390</v>
      </c>
      <c r="B1346" s="22" t="s">
        <v>3391</v>
      </c>
      <c r="C1346" s="22" t="s">
        <v>162</v>
      </c>
      <c r="D1346" s="22" t="s">
        <v>599</v>
      </c>
      <c r="E1346" s="22" t="n">
        <v>54.1</v>
      </c>
      <c r="F1346" s="22" t="s">
        <v>159</v>
      </c>
    </row>
    <row r="1347" customFormat="false" ht="15" hidden="false" customHeight="false" outlineLevel="0" collapsed="false">
      <c r="A1347" s="22" t="s">
        <v>3392</v>
      </c>
      <c r="B1347" s="22" t="s">
        <v>3393</v>
      </c>
      <c r="C1347" s="22" t="s">
        <v>162</v>
      </c>
      <c r="D1347" s="22" t="s">
        <v>3394</v>
      </c>
      <c r="E1347" s="22" t="n">
        <v>44.5</v>
      </c>
      <c r="F1347" s="22" t="s">
        <v>175</v>
      </c>
    </row>
    <row r="1348" customFormat="false" ht="15" hidden="false" customHeight="false" outlineLevel="0" collapsed="false">
      <c r="A1348" s="22" t="s">
        <v>3395</v>
      </c>
      <c r="B1348" s="22" t="s">
        <v>3396</v>
      </c>
      <c r="C1348" s="22" t="s">
        <v>162</v>
      </c>
      <c r="D1348" s="22" t="s">
        <v>2015</v>
      </c>
      <c r="E1348" s="22" t="n">
        <v>57.5</v>
      </c>
      <c r="F1348" s="22" t="s">
        <v>159</v>
      </c>
    </row>
    <row r="1349" customFormat="false" ht="15" hidden="false" customHeight="false" outlineLevel="0" collapsed="false">
      <c r="A1349" s="22" t="s">
        <v>3397</v>
      </c>
      <c r="B1349" s="22" t="s">
        <v>3398</v>
      </c>
      <c r="C1349" s="22" t="s">
        <v>162</v>
      </c>
      <c r="D1349" s="22" t="s">
        <v>1833</v>
      </c>
      <c r="E1349" s="22" t="n">
        <v>49</v>
      </c>
      <c r="F1349" s="22" t="s">
        <v>171</v>
      </c>
    </row>
    <row r="1350" customFormat="false" ht="15" hidden="false" customHeight="false" outlineLevel="0" collapsed="false">
      <c r="A1350" s="22" t="s">
        <v>3399</v>
      </c>
      <c r="B1350" s="22" t="s">
        <v>3400</v>
      </c>
      <c r="C1350" s="22" t="s">
        <v>162</v>
      </c>
      <c r="D1350" s="22" t="s">
        <v>1323</v>
      </c>
      <c r="E1350" s="22" t="n">
        <v>41.7</v>
      </c>
      <c r="F1350" s="22" t="s">
        <v>215</v>
      </c>
    </row>
    <row r="1351" customFormat="false" ht="15" hidden="false" customHeight="false" outlineLevel="0" collapsed="false">
      <c r="A1351" s="22" t="s">
        <v>3401</v>
      </c>
      <c r="B1351" s="22" t="s">
        <v>3402</v>
      </c>
      <c r="C1351" s="22" t="s">
        <v>162</v>
      </c>
      <c r="D1351" s="22" t="s">
        <v>2468</v>
      </c>
      <c r="E1351" s="22" t="n">
        <v>58.2</v>
      </c>
      <c r="F1351" s="22" t="s">
        <v>499</v>
      </c>
    </row>
    <row r="1352" customFormat="false" ht="15" hidden="false" customHeight="false" outlineLevel="0" collapsed="false">
      <c r="A1352" s="22" t="s">
        <v>3403</v>
      </c>
      <c r="B1352" s="22" t="s">
        <v>3404</v>
      </c>
      <c r="C1352" s="22" t="s">
        <v>162</v>
      </c>
      <c r="D1352" s="22" t="s">
        <v>227</v>
      </c>
      <c r="E1352" s="22" t="n">
        <v>26.5</v>
      </c>
      <c r="F1352" s="22" t="s">
        <v>164</v>
      </c>
    </row>
    <row r="1353" customFormat="false" ht="15" hidden="false" customHeight="false" outlineLevel="0" collapsed="false">
      <c r="A1353" s="22" t="s">
        <v>3405</v>
      </c>
      <c r="B1353" s="22" t="s">
        <v>3406</v>
      </c>
      <c r="C1353" s="22" t="s">
        <v>157</v>
      </c>
      <c r="D1353" s="22" t="s">
        <v>2865</v>
      </c>
      <c r="E1353" s="22" t="n">
        <v>26</v>
      </c>
      <c r="F1353" s="22" t="s">
        <v>171</v>
      </c>
    </row>
    <row r="1354" customFormat="false" ht="15" hidden="false" customHeight="false" outlineLevel="0" collapsed="false">
      <c r="A1354" s="22" t="s">
        <v>3407</v>
      </c>
      <c r="B1354" s="22" t="s">
        <v>3408</v>
      </c>
      <c r="C1354" s="22" t="s">
        <v>162</v>
      </c>
      <c r="D1354" s="22" t="s">
        <v>2583</v>
      </c>
      <c r="E1354" s="22" t="n">
        <v>48.5</v>
      </c>
      <c r="F1354" s="22" t="s">
        <v>175</v>
      </c>
    </row>
    <row r="1355" customFormat="false" ht="15" hidden="false" customHeight="false" outlineLevel="0" collapsed="false">
      <c r="A1355" s="22" t="s">
        <v>3409</v>
      </c>
      <c r="B1355" s="22" t="s">
        <v>3410</v>
      </c>
      <c r="C1355" s="22" t="s">
        <v>162</v>
      </c>
      <c r="D1355" s="22" t="s">
        <v>1011</v>
      </c>
      <c r="E1355" s="22" t="n">
        <v>56.5</v>
      </c>
      <c r="F1355" s="22" t="s">
        <v>164</v>
      </c>
    </row>
    <row r="1356" customFormat="false" ht="15" hidden="false" customHeight="false" outlineLevel="0" collapsed="false">
      <c r="A1356" s="22" t="s">
        <v>3411</v>
      </c>
      <c r="B1356" s="22" t="s">
        <v>3412</v>
      </c>
      <c r="C1356" s="22" t="s">
        <v>162</v>
      </c>
      <c r="D1356" s="22" t="s">
        <v>248</v>
      </c>
      <c r="E1356" s="22" t="n">
        <v>34.4</v>
      </c>
      <c r="F1356" s="22" t="s">
        <v>198</v>
      </c>
    </row>
    <row r="1357" customFormat="false" ht="15" hidden="false" customHeight="false" outlineLevel="0" collapsed="false">
      <c r="A1357" s="22" t="s">
        <v>3413</v>
      </c>
      <c r="B1357" s="22" t="s">
        <v>2940</v>
      </c>
      <c r="C1357" s="22" t="s">
        <v>162</v>
      </c>
      <c r="D1357" s="22" t="s">
        <v>2563</v>
      </c>
      <c r="E1357" s="22" t="n">
        <v>19.4</v>
      </c>
      <c r="F1357" s="22" t="s">
        <v>175</v>
      </c>
    </row>
    <row r="1358" customFormat="false" ht="15" hidden="false" customHeight="false" outlineLevel="0" collapsed="false">
      <c r="A1358" s="22" t="s">
        <v>3414</v>
      </c>
      <c r="B1358" s="22" t="s">
        <v>3415</v>
      </c>
      <c r="C1358" s="22" t="s">
        <v>162</v>
      </c>
      <c r="D1358" s="22" t="s">
        <v>3416</v>
      </c>
      <c r="E1358" s="22" t="n">
        <v>29.8</v>
      </c>
      <c r="F1358" s="22" t="s">
        <v>175</v>
      </c>
    </row>
    <row r="1359" customFormat="false" ht="15" hidden="false" customHeight="false" outlineLevel="0" collapsed="false">
      <c r="A1359" s="22" t="s">
        <v>3417</v>
      </c>
      <c r="B1359" s="22" t="s">
        <v>3418</v>
      </c>
      <c r="C1359" s="22" t="s">
        <v>162</v>
      </c>
      <c r="D1359" s="22" t="s">
        <v>742</v>
      </c>
      <c r="E1359" s="22" t="n">
        <v>47</v>
      </c>
      <c r="F1359" s="22" t="s">
        <v>159</v>
      </c>
    </row>
    <row r="1360" customFormat="false" ht="15" hidden="false" customHeight="false" outlineLevel="0" collapsed="false">
      <c r="A1360" s="22" t="s">
        <v>3419</v>
      </c>
      <c r="B1360" s="22" t="s">
        <v>3420</v>
      </c>
      <c r="C1360" s="22" t="s">
        <v>157</v>
      </c>
      <c r="D1360" s="22" t="s">
        <v>582</v>
      </c>
      <c r="E1360" s="22" t="n">
        <v>21.1</v>
      </c>
      <c r="F1360" s="22" t="s">
        <v>159</v>
      </c>
    </row>
    <row r="1361" customFormat="false" ht="15" hidden="false" customHeight="false" outlineLevel="0" collapsed="false">
      <c r="A1361" s="22" t="s">
        <v>3421</v>
      </c>
      <c r="B1361" s="22" t="s">
        <v>3422</v>
      </c>
      <c r="C1361" s="22" t="s">
        <v>162</v>
      </c>
      <c r="D1361" s="22" t="s">
        <v>1535</v>
      </c>
      <c r="E1361" s="22" t="n">
        <v>24.8</v>
      </c>
      <c r="F1361" s="22" t="s">
        <v>198</v>
      </c>
    </row>
    <row r="1362" customFormat="false" ht="15" hidden="false" customHeight="false" outlineLevel="0" collapsed="false">
      <c r="A1362" s="22" t="s">
        <v>3423</v>
      </c>
      <c r="B1362" s="22" t="s">
        <v>3424</v>
      </c>
      <c r="C1362" s="22" t="s">
        <v>162</v>
      </c>
      <c r="D1362" s="22" t="s">
        <v>885</v>
      </c>
      <c r="E1362" s="22" t="n">
        <v>20.9</v>
      </c>
      <c r="F1362" s="22" t="s">
        <v>171</v>
      </c>
    </row>
    <row r="1363" customFormat="false" ht="15" hidden="false" customHeight="false" outlineLevel="0" collapsed="false">
      <c r="A1363" s="22" t="s">
        <v>3425</v>
      </c>
      <c r="B1363" s="22" t="s">
        <v>3426</v>
      </c>
      <c r="C1363" s="22" t="s">
        <v>162</v>
      </c>
      <c r="D1363" s="22" t="s">
        <v>1326</v>
      </c>
      <c r="E1363" s="22" t="n">
        <v>44.2</v>
      </c>
      <c r="F1363" s="22" t="s">
        <v>499</v>
      </c>
    </row>
    <row r="1364" customFormat="false" ht="15" hidden="false" customHeight="false" outlineLevel="0" collapsed="false">
      <c r="A1364" s="22" t="s">
        <v>3427</v>
      </c>
      <c r="B1364" s="22" t="s">
        <v>3428</v>
      </c>
      <c r="C1364" s="22" t="s">
        <v>162</v>
      </c>
      <c r="D1364" s="22" t="s">
        <v>2394</v>
      </c>
      <c r="E1364" s="22" t="n">
        <v>28.3</v>
      </c>
      <c r="F1364" s="22" t="s">
        <v>175</v>
      </c>
    </row>
    <row r="1365" customFormat="false" ht="15" hidden="false" customHeight="false" outlineLevel="0" collapsed="false">
      <c r="A1365" s="22" t="s">
        <v>3429</v>
      </c>
      <c r="B1365" s="22" t="s">
        <v>3430</v>
      </c>
      <c r="C1365" s="22" t="s">
        <v>207</v>
      </c>
      <c r="D1365" s="22" t="s">
        <v>251</v>
      </c>
      <c r="E1365" s="22" t="n">
        <v>51.7</v>
      </c>
      <c r="F1365" s="22" t="s">
        <v>215</v>
      </c>
    </row>
    <row r="1366" customFormat="false" ht="15" hidden="false" customHeight="false" outlineLevel="0" collapsed="false">
      <c r="A1366" s="22" t="s">
        <v>3431</v>
      </c>
      <c r="B1366" s="22" t="s">
        <v>3432</v>
      </c>
      <c r="C1366" s="22" t="s">
        <v>162</v>
      </c>
      <c r="D1366" s="22" t="s">
        <v>178</v>
      </c>
      <c r="E1366" s="22" t="n">
        <v>25.5</v>
      </c>
      <c r="F1366" s="22" t="s">
        <v>198</v>
      </c>
    </row>
    <row r="1367" customFormat="false" ht="15" hidden="false" customHeight="false" outlineLevel="0" collapsed="false">
      <c r="A1367" s="22" t="s">
        <v>3433</v>
      </c>
      <c r="B1367" s="22" t="s">
        <v>3434</v>
      </c>
      <c r="C1367" s="22" t="s">
        <v>566</v>
      </c>
      <c r="D1367" s="22" t="s">
        <v>1911</v>
      </c>
      <c r="E1367" s="22" t="n">
        <v>51.4</v>
      </c>
      <c r="F1367" s="22" t="s">
        <v>499</v>
      </c>
    </row>
    <row r="1368" customFormat="false" ht="15" hidden="false" customHeight="false" outlineLevel="0" collapsed="false">
      <c r="A1368" s="22" t="s">
        <v>3435</v>
      </c>
      <c r="B1368" s="22" t="s">
        <v>3436</v>
      </c>
      <c r="C1368" s="22" t="s">
        <v>162</v>
      </c>
      <c r="D1368" s="22" t="s">
        <v>1695</v>
      </c>
      <c r="E1368" s="22" t="n">
        <v>43</v>
      </c>
      <c r="F1368" s="22" t="s">
        <v>175</v>
      </c>
    </row>
    <row r="1369" customFormat="false" ht="15" hidden="false" customHeight="false" outlineLevel="0" collapsed="false">
      <c r="A1369" s="22" t="s">
        <v>3437</v>
      </c>
      <c r="B1369" s="22" t="s">
        <v>3438</v>
      </c>
      <c r="C1369" s="22" t="s">
        <v>162</v>
      </c>
      <c r="D1369" s="22" t="s">
        <v>1477</v>
      </c>
      <c r="E1369" s="22" t="n">
        <v>24.8</v>
      </c>
      <c r="F1369" s="22" t="s">
        <v>164</v>
      </c>
    </row>
    <row r="1370" customFormat="false" ht="15" hidden="false" customHeight="false" outlineLevel="0" collapsed="false">
      <c r="A1370" s="22" t="s">
        <v>3439</v>
      </c>
      <c r="B1370" s="22" t="s">
        <v>3440</v>
      </c>
      <c r="C1370" s="22" t="s">
        <v>162</v>
      </c>
      <c r="D1370" s="22" t="s">
        <v>947</v>
      </c>
      <c r="E1370" s="22" t="n">
        <v>18.6</v>
      </c>
      <c r="F1370" s="22" t="s">
        <v>175</v>
      </c>
    </row>
    <row r="1371" customFormat="false" ht="15" hidden="false" customHeight="false" outlineLevel="0" collapsed="false">
      <c r="A1371" s="22" t="s">
        <v>3441</v>
      </c>
      <c r="B1371" s="22" t="s">
        <v>3442</v>
      </c>
      <c r="C1371" s="22" t="s">
        <v>207</v>
      </c>
      <c r="D1371" s="22" t="s">
        <v>3443</v>
      </c>
      <c r="E1371" s="22" t="n">
        <v>24.7</v>
      </c>
      <c r="F1371" s="22" t="s">
        <v>164</v>
      </c>
    </row>
    <row r="1372" customFormat="false" ht="15" hidden="false" customHeight="false" outlineLevel="0" collapsed="false">
      <c r="A1372" s="22" t="s">
        <v>3444</v>
      </c>
      <c r="B1372" s="22" t="s">
        <v>3445</v>
      </c>
      <c r="C1372" s="22" t="s">
        <v>162</v>
      </c>
      <c r="D1372" s="22" t="s">
        <v>3446</v>
      </c>
      <c r="E1372" s="22" t="n">
        <v>35.7</v>
      </c>
      <c r="F1372" s="22" t="s">
        <v>164</v>
      </c>
    </row>
    <row r="1373" customFormat="false" ht="15" hidden="false" customHeight="false" outlineLevel="0" collapsed="false">
      <c r="A1373" s="22" t="s">
        <v>3447</v>
      </c>
      <c r="B1373" s="22" t="s">
        <v>3448</v>
      </c>
      <c r="C1373" s="22" t="s">
        <v>162</v>
      </c>
      <c r="D1373" s="22" t="s">
        <v>333</v>
      </c>
      <c r="E1373" s="22" t="n">
        <v>48.9</v>
      </c>
      <c r="F1373" s="22" t="s">
        <v>175</v>
      </c>
    </row>
    <row r="1374" customFormat="false" ht="15" hidden="false" customHeight="false" outlineLevel="0" collapsed="false">
      <c r="A1374" s="22" t="s">
        <v>3449</v>
      </c>
      <c r="B1374" s="22" t="s">
        <v>3450</v>
      </c>
      <c r="C1374" s="22" t="s">
        <v>162</v>
      </c>
      <c r="D1374" s="22" t="s">
        <v>717</v>
      </c>
      <c r="E1374" s="22" t="n">
        <v>50.1</v>
      </c>
      <c r="F1374" s="22" t="s">
        <v>175</v>
      </c>
    </row>
    <row r="1375" customFormat="false" ht="15" hidden="false" customHeight="false" outlineLevel="0" collapsed="false">
      <c r="A1375" s="22" t="s">
        <v>3451</v>
      </c>
      <c r="B1375" s="22" t="s">
        <v>1625</v>
      </c>
      <c r="C1375" s="22" t="s">
        <v>162</v>
      </c>
      <c r="D1375" s="22" t="s">
        <v>2165</v>
      </c>
      <c r="E1375" s="22" t="n">
        <v>41.8</v>
      </c>
      <c r="F1375" s="22" t="s">
        <v>159</v>
      </c>
    </row>
    <row r="1376" customFormat="false" ht="15" hidden="false" customHeight="false" outlineLevel="0" collapsed="false">
      <c r="A1376" s="22" t="s">
        <v>3452</v>
      </c>
      <c r="B1376" s="22" t="s">
        <v>3453</v>
      </c>
      <c r="C1376" s="22" t="s">
        <v>162</v>
      </c>
      <c r="D1376" s="22" t="s">
        <v>687</v>
      </c>
      <c r="E1376" s="22" t="n">
        <v>28.8</v>
      </c>
      <c r="F1376" s="22" t="s">
        <v>198</v>
      </c>
    </row>
    <row r="1377" customFormat="false" ht="15" hidden="false" customHeight="false" outlineLevel="0" collapsed="false">
      <c r="A1377" s="22" t="s">
        <v>3454</v>
      </c>
      <c r="B1377" s="22" t="s">
        <v>3455</v>
      </c>
      <c r="C1377" s="22" t="s">
        <v>162</v>
      </c>
      <c r="D1377" s="22" t="s">
        <v>1063</v>
      </c>
      <c r="E1377" s="22" t="n">
        <v>35.5</v>
      </c>
      <c r="F1377" s="22" t="s">
        <v>171</v>
      </c>
    </row>
    <row r="1378" customFormat="false" ht="15" hidden="false" customHeight="false" outlineLevel="0" collapsed="false">
      <c r="A1378" s="22" t="s">
        <v>3456</v>
      </c>
      <c r="B1378" s="22" t="s">
        <v>3457</v>
      </c>
      <c r="C1378" s="22" t="s">
        <v>162</v>
      </c>
      <c r="D1378" s="22" t="s">
        <v>991</v>
      </c>
      <c r="E1378" s="22" t="n">
        <v>50.5</v>
      </c>
      <c r="F1378" s="22" t="s">
        <v>175</v>
      </c>
    </row>
    <row r="1379" customFormat="false" ht="15" hidden="false" customHeight="false" outlineLevel="0" collapsed="false">
      <c r="A1379" s="22" t="s">
        <v>3458</v>
      </c>
      <c r="B1379" s="22" t="s">
        <v>3459</v>
      </c>
      <c r="C1379" s="22" t="s">
        <v>207</v>
      </c>
      <c r="D1379" s="22" t="s">
        <v>2057</v>
      </c>
      <c r="E1379" s="22" t="n">
        <v>31.9</v>
      </c>
      <c r="F1379" s="22" t="s">
        <v>159</v>
      </c>
    </row>
    <row r="1380" customFormat="false" ht="15" hidden="false" customHeight="false" outlineLevel="0" collapsed="false">
      <c r="A1380" s="22" t="s">
        <v>3460</v>
      </c>
      <c r="B1380" s="22" t="s">
        <v>3461</v>
      </c>
      <c r="C1380" s="22" t="s">
        <v>162</v>
      </c>
      <c r="D1380" s="22" t="s">
        <v>2386</v>
      </c>
      <c r="E1380" s="22" t="n">
        <v>25.5</v>
      </c>
      <c r="F1380" s="22" t="s">
        <v>164</v>
      </c>
    </row>
    <row r="1381" customFormat="false" ht="15" hidden="false" customHeight="false" outlineLevel="0" collapsed="false">
      <c r="A1381" s="22" t="s">
        <v>3462</v>
      </c>
      <c r="B1381" s="22" t="s">
        <v>3463</v>
      </c>
      <c r="C1381" s="22" t="s">
        <v>162</v>
      </c>
      <c r="D1381" s="22" t="s">
        <v>3464</v>
      </c>
      <c r="E1381" s="22" t="n">
        <v>52.3</v>
      </c>
      <c r="F1381" s="22" t="s">
        <v>198</v>
      </c>
    </row>
    <row r="1382" customFormat="false" ht="15" hidden="false" customHeight="false" outlineLevel="0" collapsed="false">
      <c r="A1382" s="22" t="s">
        <v>3465</v>
      </c>
      <c r="B1382" s="22" t="s">
        <v>3466</v>
      </c>
      <c r="C1382" s="22" t="s">
        <v>162</v>
      </c>
      <c r="D1382" s="22" t="s">
        <v>1896</v>
      </c>
      <c r="E1382" s="22" t="n">
        <v>24.7</v>
      </c>
      <c r="F1382" s="22" t="s">
        <v>198</v>
      </c>
    </row>
    <row r="1383" customFormat="false" ht="15" hidden="false" customHeight="false" outlineLevel="0" collapsed="false">
      <c r="A1383" s="22" t="s">
        <v>3467</v>
      </c>
      <c r="B1383" s="22" t="s">
        <v>3468</v>
      </c>
      <c r="C1383" s="22" t="s">
        <v>162</v>
      </c>
      <c r="D1383" s="22" t="s">
        <v>281</v>
      </c>
      <c r="E1383" s="22" t="n">
        <v>47.2</v>
      </c>
      <c r="F1383" s="22" t="s">
        <v>171</v>
      </c>
    </row>
    <row r="1384" customFormat="false" ht="15" hidden="false" customHeight="false" outlineLevel="0" collapsed="false">
      <c r="A1384" s="22" t="s">
        <v>3469</v>
      </c>
      <c r="B1384" s="22" t="s">
        <v>3470</v>
      </c>
      <c r="C1384" s="22" t="s">
        <v>207</v>
      </c>
      <c r="D1384" s="22" t="s">
        <v>1891</v>
      </c>
      <c r="E1384" s="22" t="n">
        <v>41.7</v>
      </c>
      <c r="F1384" s="22" t="s">
        <v>171</v>
      </c>
    </row>
    <row r="1385" customFormat="false" ht="15" hidden="false" customHeight="false" outlineLevel="0" collapsed="false">
      <c r="A1385" s="22" t="s">
        <v>3471</v>
      </c>
      <c r="B1385" s="22" t="s">
        <v>3472</v>
      </c>
      <c r="C1385" s="22" t="s">
        <v>162</v>
      </c>
      <c r="D1385" s="22" t="s">
        <v>2420</v>
      </c>
      <c r="E1385" s="22" t="n">
        <v>54.6</v>
      </c>
      <c r="F1385" s="22" t="s">
        <v>164</v>
      </c>
    </row>
    <row r="1386" customFormat="false" ht="15" hidden="false" customHeight="false" outlineLevel="0" collapsed="false">
      <c r="A1386" s="22" t="s">
        <v>3473</v>
      </c>
      <c r="B1386" s="22" t="s">
        <v>3474</v>
      </c>
      <c r="C1386" s="22" t="s">
        <v>162</v>
      </c>
      <c r="D1386" s="22" t="s">
        <v>1395</v>
      </c>
      <c r="E1386" s="22" t="n">
        <v>47.1</v>
      </c>
      <c r="F1386" s="22" t="s">
        <v>159</v>
      </c>
    </row>
    <row r="1387" customFormat="false" ht="15" hidden="false" customHeight="false" outlineLevel="0" collapsed="false">
      <c r="A1387" s="22" t="s">
        <v>3475</v>
      </c>
      <c r="B1387" s="22" t="s">
        <v>3476</v>
      </c>
      <c r="C1387" s="22" t="s">
        <v>207</v>
      </c>
      <c r="D1387" s="22" t="s">
        <v>315</v>
      </c>
      <c r="E1387" s="22" t="n">
        <v>32.6</v>
      </c>
      <c r="F1387" s="22" t="s">
        <v>198</v>
      </c>
    </row>
    <row r="1388" customFormat="false" ht="15" hidden="false" customHeight="false" outlineLevel="0" collapsed="false">
      <c r="A1388" s="22" t="s">
        <v>3477</v>
      </c>
      <c r="B1388" s="22" t="s">
        <v>3478</v>
      </c>
      <c r="C1388" s="22" t="s">
        <v>162</v>
      </c>
      <c r="D1388" s="22" t="s">
        <v>1045</v>
      </c>
      <c r="E1388" s="22" t="n">
        <v>41.9</v>
      </c>
      <c r="F1388" s="22" t="s">
        <v>164</v>
      </c>
    </row>
    <row r="1389" customFormat="false" ht="15" hidden="false" customHeight="false" outlineLevel="0" collapsed="false">
      <c r="A1389" s="22" t="s">
        <v>3479</v>
      </c>
      <c r="B1389" s="22" t="s">
        <v>3480</v>
      </c>
      <c r="C1389" s="22" t="s">
        <v>162</v>
      </c>
      <c r="D1389" s="22" t="s">
        <v>1761</v>
      </c>
      <c r="E1389" s="22" t="n">
        <v>49.7</v>
      </c>
      <c r="F1389" s="22" t="s">
        <v>175</v>
      </c>
    </row>
    <row r="1390" customFormat="false" ht="15" hidden="false" customHeight="false" outlineLevel="0" collapsed="false">
      <c r="A1390" s="22" t="s">
        <v>3481</v>
      </c>
      <c r="B1390" s="22" t="s">
        <v>3482</v>
      </c>
      <c r="C1390" s="22" t="s">
        <v>162</v>
      </c>
      <c r="D1390" s="22" t="s">
        <v>3483</v>
      </c>
      <c r="E1390" s="22" t="n">
        <v>48</v>
      </c>
      <c r="F1390" s="22" t="s">
        <v>171</v>
      </c>
    </row>
    <row r="1391" customFormat="false" ht="15" hidden="false" customHeight="false" outlineLevel="0" collapsed="false">
      <c r="A1391" s="22" t="s">
        <v>3484</v>
      </c>
      <c r="B1391" s="22" t="s">
        <v>3485</v>
      </c>
      <c r="C1391" s="22" t="s">
        <v>162</v>
      </c>
      <c r="D1391" s="22" t="s">
        <v>1548</v>
      </c>
      <c r="E1391" s="22" t="n">
        <v>55.4</v>
      </c>
      <c r="F1391" s="22" t="s">
        <v>164</v>
      </c>
    </row>
    <row r="1392" customFormat="false" ht="15" hidden="false" customHeight="false" outlineLevel="0" collapsed="false">
      <c r="A1392" s="22" t="s">
        <v>3486</v>
      </c>
      <c r="B1392" s="22" t="s">
        <v>3487</v>
      </c>
      <c r="C1392" s="22" t="s">
        <v>162</v>
      </c>
      <c r="D1392" s="22" t="s">
        <v>1463</v>
      </c>
      <c r="E1392" s="22" t="n">
        <v>53.7</v>
      </c>
      <c r="F1392" s="22" t="s">
        <v>175</v>
      </c>
    </row>
    <row r="1393" customFormat="false" ht="15" hidden="false" customHeight="false" outlineLevel="0" collapsed="false">
      <c r="A1393" s="22" t="s">
        <v>3488</v>
      </c>
      <c r="B1393" s="22" t="s">
        <v>908</v>
      </c>
      <c r="C1393" s="22" t="s">
        <v>162</v>
      </c>
      <c r="D1393" s="22" t="s">
        <v>181</v>
      </c>
      <c r="E1393" s="22" t="n">
        <v>53.4</v>
      </c>
      <c r="F1393" s="22" t="s">
        <v>175</v>
      </c>
    </row>
    <row r="1394" customFormat="false" ht="15" hidden="false" customHeight="false" outlineLevel="0" collapsed="false">
      <c r="A1394" s="22" t="s">
        <v>3489</v>
      </c>
      <c r="B1394" s="22" t="s">
        <v>3490</v>
      </c>
      <c r="C1394" s="22" t="s">
        <v>162</v>
      </c>
      <c r="D1394" s="22" t="s">
        <v>358</v>
      </c>
      <c r="E1394" s="22" t="n">
        <v>26.2</v>
      </c>
      <c r="F1394" s="22" t="s">
        <v>171</v>
      </c>
    </row>
    <row r="1395" customFormat="false" ht="15" hidden="false" customHeight="false" outlineLevel="0" collapsed="false">
      <c r="A1395" s="22" t="s">
        <v>3491</v>
      </c>
      <c r="B1395" s="22" t="s">
        <v>3492</v>
      </c>
      <c r="C1395" s="22" t="s">
        <v>162</v>
      </c>
      <c r="D1395" s="22" t="s">
        <v>386</v>
      </c>
      <c r="E1395" s="22" t="n">
        <v>25.6</v>
      </c>
      <c r="F1395" s="22" t="s">
        <v>175</v>
      </c>
    </row>
    <row r="1396" customFormat="false" ht="15" hidden="false" customHeight="false" outlineLevel="0" collapsed="false">
      <c r="A1396" s="22" t="s">
        <v>3493</v>
      </c>
      <c r="B1396" s="22" t="s">
        <v>3494</v>
      </c>
      <c r="C1396" s="22" t="s">
        <v>162</v>
      </c>
      <c r="D1396" s="22" t="s">
        <v>1323</v>
      </c>
      <c r="E1396" s="22" t="n">
        <v>24.9</v>
      </c>
      <c r="F1396" s="22" t="s">
        <v>175</v>
      </c>
    </row>
    <row r="1397" customFormat="false" ht="15" hidden="false" customHeight="false" outlineLevel="0" collapsed="false">
      <c r="A1397" s="22" t="s">
        <v>3495</v>
      </c>
      <c r="B1397" s="22" t="s">
        <v>3496</v>
      </c>
      <c r="C1397" s="22" t="s">
        <v>207</v>
      </c>
      <c r="D1397" s="22" t="s">
        <v>1045</v>
      </c>
      <c r="E1397" s="22" t="n">
        <v>56.2</v>
      </c>
      <c r="F1397" s="22" t="s">
        <v>175</v>
      </c>
    </row>
    <row r="1398" customFormat="false" ht="15" hidden="false" customHeight="false" outlineLevel="0" collapsed="false">
      <c r="A1398" s="22" t="s">
        <v>3497</v>
      </c>
      <c r="B1398" s="22" t="s">
        <v>3498</v>
      </c>
      <c r="C1398" s="22" t="s">
        <v>207</v>
      </c>
      <c r="D1398" s="22" t="s">
        <v>1082</v>
      </c>
      <c r="E1398" s="22" t="n">
        <v>54</v>
      </c>
      <c r="F1398" s="22" t="s">
        <v>159</v>
      </c>
    </row>
    <row r="1399" customFormat="false" ht="15" hidden="false" customHeight="false" outlineLevel="0" collapsed="false">
      <c r="A1399" s="22" t="s">
        <v>3499</v>
      </c>
      <c r="B1399" s="22" t="s">
        <v>3500</v>
      </c>
      <c r="C1399" s="22" t="s">
        <v>162</v>
      </c>
      <c r="D1399" s="22" t="s">
        <v>3082</v>
      </c>
      <c r="E1399" s="22" t="n">
        <v>42.9</v>
      </c>
      <c r="F1399" s="22" t="s">
        <v>164</v>
      </c>
    </row>
    <row r="1400" customFormat="false" ht="15" hidden="false" customHeight="false" outlineLevel="0" collapsed="false">
      <c r="A1400" s="22" t="s">
        <v>3501</v>
      </c>
      <c r="B1400" s="22" t="s">
        <v>3502</v>
      </c>
      <c r="C1400" s="22" t="s">
        <v>162</v>
      </c>
      <c r="D1400" s="22" t="s">
        <v>296</v>
      </c>
      <c r="E1400" s="22" t="n">
        <v>26.3</v>
      </c>
      <c r="F1400" s="22" t="s">
        <v>164</v>
      </c>
    </row>
    <row r="1401" customFormat="false" ht="15" hidden="false" customHeight="false" outlineLevel="0" collapsed="false">
      <c r="A1401" s="22" t="s">
        <v>3503</v>
      </c>
      <c r="B1401" s="22" t="s">
        <v>3504</v>
      </c>
      <c r="C1401" s="22" t="s">
        <v>162</v>
      </c>
      <c r="D1401" s="22" t="s">
        <v>2389</v>
      </c>
      <c r="E1401" s="22" t="n">
        <v>50.2</v>
      </c>
      <c r="F1401" s="22" t="s">
        <v>188</v>
      </c>
    </row>
    <row r="1402" customFormat="false" ht="15" hidden="false" customHeight="false" outlineLevel="0" collapsed="false">
      <c r="A1402" s="22" t="s">
        <v>3505</v>
      </c>
      <c r="B1402" s="22" t="s">
        <v>3506</v>
      </c>
      <c r="C1402" s="22" t="s">
        <v>157</v>
      </c>
      <c r="D1402" s="22" t="s">
        <v>3507</v>
      </c>
      <c r="E1402" s="22" t="n">
        <v>31.7</v>
      </c>
      <c r="F1402" s="22" t="s">
        <v>159</v>
      </c>
    </row>
    <row r="1403" customFormat="false" ht="15" hidden="false" customHeight="false" outlineLevel="0" collapsed="false">
      <c r="A1403" s="22" t="s">
        <v>3508</v>
      </c>
      <c r="B1403" s="22" t="s">
        <v>3509</v>
      </c>
      <c r="C1403" s="22" t="s">
        <v>162</v>
      </c>
      <c r="D1403" s="22" t="s">
        <v>1922</v>
      </c>
      <c r="E1403" s="22" t="n">
        <v>60.2</v>
      </c>
      <c r="F1403" s="22" t="s">
        <v>164</v>
      </c>
    </row>
    <row r="1404" customFormat="false" ht="15" hidden="false" customHeight="false" outlineLevel="0" collapsed="false">
      <c r="A1404" s="22" t="s">
        <v>3510</v>
      </c>
      <c r="B1404" s="22" t="s">
        <v>3511</v>
      </c>
      <c r="C1404" s="22" t="s">
        <v>162</v>
      </c>
      <c r="D1404" s="22" t="s">
        <v>681</v>
      </c>
      <c r="E1404" s="22" t="n">
        <v>39.5</v>
      </c>
      <c r="F1404" s="22" t="s">
        <v>164</v>
      </c>
    </row>
    <row r="1405" customFormat="false" ht="15" hidden="false" customHeight="false" outlineLevel="0" collapsed="false">
      <c r="A1405" s="22" t="s">
        <v>3512</v>
      </c>
      <c r="B1405" s="22" t="s">
        <v>3513</v>
      </c>
      <c r="C1405" s="22" t="s">
        <v>162</v>
      </c>
      <c r="D1405" s="22" t="s">
        <v>324</v>
      </c>
      <c r="E1405" s="22" t="n">
        <v>44.8</v>
      </c>
      <c r="F1405" s="22" t="s">
        <v>171</v>
      </c>
    </row>
    <row r="1406" customFormat="false" ht="15" hidden="false" customHeight="false" outlineLevel="0" collapsed="false">
      <c r="A1406" s="22" t="s">
        <v>3514</v>
      </c>
      <c r="B1406" s="22" t="s">
        <v>3515</v>
      </c>
      <c r="C1406" s="22" t="s">
        <v>162</v>
      </c>
      <c r="D1406" s="22" t="s">
        <v>2324</v>
      </c>
      <c r="E1406" s="22" t="n">
        <v>56.5</v>
      </c>
      <c r="F1406" s="22" t="s">
        <v>198</v>
      </c>
    </row>
    <row r="1407" customFormat="false" ht="15" hidden="false" customHeight="false" outlineLevel="0" collapsed="false">
      <c r="A1407" s="22" t="s">
        <v>3516</v>
      </c>
      <c r="B1407" s="22" t="s">
        <v>3517</v>
      </c>
      <c r="C1407" s="22" t="s">
        <v>162</v>
      </c>
      <c r="D1407" s="22" t="s">
        <v>3174</v>
      </c>
      <c r="E1407" s="22" t="n">
        <v>53</v>
      </c>
      <c r="F1407" s="22" t="s">
        <v>159</v>
      </c>
    </row>
    <row r="1408" customFormat="false" ht="15" hidden="false" customHeight="false" outlineLevel="0" collapsed="false">
      <c r="A1408" s="22" t="s">
        <v>3518</v>
      </c>
      <c r="B1408" s="22" t="s">
        <v>3519</v>
      </c>
      <c r="C1408" s="22" t="s">
        <v>162</v>
      </c>
      <c r="D1408" s="22" t="s">
        <v>1743</v>
      </c>
      <c r="E1408" s="22" t="n">
        <v>49.2</v>
      </c>
      <c r="F1408" s="22" t="s">
        <v>171</v>
      </c>
    </row>
    <row r="1409" customFormat="false" ht="15" hidden="false" customHeight="false" outlineLevel="0" collapsed="false">
      <c r="A1409" s="22" t="s">
        <v>3520</v>
      </c>
      <c r="B1409" s="22" t="s">
        <v>3521</v>
      </c>
      <c r="C1409" s="22" t="s">
        <v>162</v>
      </c>
      <c r="D1409" s="22" t="s">
        <v>1869</v>
      </c>
      <c r="E1409" s="22" t="n">
        <v>24.2</v>
      </c>
      <c r="F1409" s="22" t="s">
        <v>171</v>
      </c>
    </row>
    <row r="1410" customFormat="false" ht="15" hidden="false" customHeight="false" outlineLevel="0" collapsed="false">
      <c r="A1410" s="22" t="s">
        <v>3522</v>
      </c>
      <c r="B1410" s="22" t="s">
        <v>3523</v>
      </c>
      <c r="C1410" s="22" t="s">
        <v>162</v>
      </c>
      <c r="D1410" s="22" t="s">
        <v>480</v>
      </c>
      <c r="E1410" s="22" t="n">
        <v>34.5</v>
      </c>
      <c r="F1410" s="22" t="s">
        <v>159</v>
      </c>
    </row>
    <row r="1411" customFormat="false" ht="15" hidden="false" customHeight="false" outlineLevel="0" collapsed="false">
      <c r="A1411" s="22" t="s">
        <v>3524</v>
      </c>
      <c r="B1411" s="22" t="s">
        <v>3525</v>
      </c>
      <c r="C1411" s="22" t="s">
        <v>162</v>
      </c>
      <c r="D1411" s="22" t="s">
        <v>2420</v>
      </c>
      <c r="E1411" s="22" t="n">
        <v>40.5</v>
      </c>
      <c r="F1411" s="22" t="s">
        <v>164</v>
      </c>
    </row>
    <row r="1412" customFormat="false" ht="15" hidden="false" customHeight="false" outlineLevel="0" collapsed="false">
      <c r="A1412" s="22" t="s">
        <v>3526</v>
      </c>
      <c r="B1412" s="22" t="s">
        <v>3527</v>
      </c>
      <c r="C1412" s="22" t="s">
        <v>162</v>
      </c>
      <c r="D1412" s="22" t="s">
        <v>2741</v>
      </c>
      <c r="E1412" s="22" t="n">
        <v>50.6</v>
      </c>
      <c r="F1412" s="22" t="s">
        <v>171</v>
      </c>
    </row>
    <row r="1413" customFormat="false" ht="15" hidden="false" customHeight="false" outlineLevel="0" collapsed="false">
      <c r="A1413" s="22" t="s">
        <v>3528</v>
      </c>
      <c r="B1413" s="22" t="s">
        <v>3529</v>
      </c>
      <c r="C1413" s="22" t="s">
        <v>157</v>
      </c>
      <c r="D1413" s="22" t="s">
        <v>3530</v>
      </c>
      <c r="E1413" s="22" t="n">
        <v>61.6</v>
      </c>
      <c r="F1413" s="22" t="s">
        <v>164</v>
      </c>
    </row>
    <row r="1414" customFormat="false" ht="15" hidden="false" customHeight="false" outlineLevel="0" collapsed="false">
      <c r="A1414" s="22" t="s">
        <v>3531</v>
      </c>
      <c r="B1414" s="22" t="s">
        <v>3532</v>
      </c>
      <c r="C1414" s="22" t="s">
        <v>162</v>
      </c>
      <c r="D1414" s="22" t="s">
        <v>629</v>
      </c>
      <c r="E1414" s="22" t="n">
        <v>21.9</v>
      </c>
      <c r="F1414" s="22" t="s">
        <v>164</v>
      </c>
    </row>
    <row r="1415" customFormat="false" ht="15" hidden="false" customHeight="false" outlineLevel="0" collapsed="false">
      <c r="A1415" s="22" t="s">
        <v>3533</v>
      </c>
      <c r="B1415" s="22" t="s">
        <v>3534</v>
      </c>
      <c r="C1415" s="22" t="s">
        <v>162</v>
      </c>
      <c r="D1415" s="22" t="s">
        <v>1767</v>
      </c>
      <c r="E1415" s="22" t="n">
        <v>27.8</v>
      </c>
      <c r="F1415" s="22" t="s">
        <v>159</v>
      </c>
    </row>
    <row r="1416" customFormat="false" ht="15" hidden="false" customHeight="false" outlineLevel="0" collapsed="false">
      <c r="A1416" s="22" t="s">
        <v>3535</v>
      </c>
      <c r="B1416" s="22" t="s">
        <v>3536</v>
      </c>
      <c r="C1416" s="22" t="s">
        <v>162</v>
      </c>
      <c r="D1416" s="22" t="s">
        <v>1603</v>
      </c>
      <c r="E1416" s="22" t="n">
        <v>53.6</v>
      </c>
      <c r="F1416" s="22" t="s">
        <v>164</v>
      </c>
    </row>
    <row r="1417" customFormat="false" ht="15" hidden="false" customHeight="false" outlineLevel="0" collapsed="false">
      <c r="A1417" s="22" t="s">
        <v>3537</v>
      </c>
      <c r="B1417" s="22" t="s">
        <v>3538</v>
      </c>
      <c r="C1417" s="22" t="s">
        <v>162</v>
      </c>
      <c r="D1417" s="22" t="s">
        <v>728</v>
      </c>
      <c r="E1417" s="22" t="n">
        <v>52.1</v>
      </c>
      <c r="F1417" s="22" t="s">
        <v>198</v>
      </c>
    </row>
    <row r="1418" customFormat="false" ht="15" hidden="false" customHeight="false" outlineLevel="0" collapsed="false">
      <c r="A1418" s="22" t="s">
        <v>3539</v>
      </c>
      <c r="B1418" s="22" t="s">
        <v>3540</v>
      </c>
      <c r="C1418" s="22" t="s">
        <v>162</v>
      </c>
      <c r="D1418" s="22" t="s">
        <v>752</v>
      </c>
      <c r="E1418" s="22" t="n">
        <v>48.3</v>
      </c>
      <c r="F1418" s="22" t="s">
        <v>499</v>
      </c>
    </row>
    <row r="1419" customFormat="false" ht="15" hidden="false" customHeight="false" outlineLevel="0" collapsed="false">
      <c r="A1419" s="22" t="s">
        <v>3541</v>
      </c>
      <c r="B1419" s="22" t="s">
        <v>3542</v>
      </c>
      <c r="C1419" s="22" t="s">
        <v>162</v>
      </c>
      <c r="D1419" s="22" t="s">
        <v>401</v>
      </c>
      <c r="E1419" s="22" t="n">
        <v>56.7</v>
      </c>
      <c r="F1419" s="22" t="s">
        <v>164</v>
      </c>
    </row>
    <row r="1420" customFormat="false" ht="15" hidden="false" customHeight="false" outlineLevel="0" collapsed="false">
      <c r="A1420" s="22" t="s">
        <v>3543</v>
      </c>
      <c r="B1420" s="22" t="s">
        <v>3544</v>
      </c>
      <c r="C1420" s="22" t="s">
        <v>162</v>
      </c>
      <c r="D1420" s="22" t="s">
        <v>1857</v>
      </c>
      <c r="E1420" s="22" t="n">
        <v>52.9</v>
      </c>
      <c r="F1420" s="22" t="s">
        <v>175</v>
      </c>
    </row>
    <row r="1421" customFormat="false" ht="15" hidden="false" customHeight="false" outlineLevel="0" collapsed="false">
      <c r="A1421" s="22" t="s">
        <v>3545</v>
      </c>
      <c r="B1421" s="22" t="s">
        <v>3546</v>
      </c>
      <c r="C1421" s="22" t="s">
        <v>162</v>
      </c>
      <c r="D1421" s="22" t="s">
        <v>457</v>
      </c>
      <c r="E1421" s="22" t="n">
        <v>44.5</v>
      </c>
      <c r="F1421" s="22" t="s">
        <v>175</v>
      </c>
    </row>
    <row r="1422" customFormat="false" ht="15" hidden="false" customHeight="false" outlineLevel="0" collapsed="false">
      <c r="A1422" s="22" t="s">
        <v>3547</v>
      </c>
      <c r="B1422" s="22" t="s">
        <v>3548</v>
      </c>
      <c r="C1422" s="22" t="s">
        <v>162</v>
      </c>
      <c r="D1422" s="22" t="s">
        <v>684</v>
      </c>
      <c r="E1422" s="22" t="n">
        <v>47</v>
      </c>
      <c r="F1422" s="22" t="s">
        <v>188</v>
      </c>
    </row>
    <row r="1423" customFormat="false" ht="15" hidden="false" customHeight="false" outlineLevel="0" collapsed="false">
      <c r="A1423" s="22" t="s">
        <v>3549</v>
      </c>
      <c r="B1423" s="22" t="s">
        <v>3550</v>
      </c>
      <c r="C1423" s="22" t="s">
        <v>162</v>
      </c>
      <c r="D1423" s="22" t="s">
        <v>832</v>
      </c>
      <c r="E1423" s="22" t="n">
        <v>52</v>
      </c>
      <c r="F1423" s="22" t="s">
        <v>175</v>
      </c>
    </row>
    <row r="1424" customFormat="false" ht="15" hidden="false" customHeight="false" outlineLevel="0" collapsed="false">
      <c r="A1424" s="22" t="s">
        <v>3551</v>
      </c>
      <c r="B1424" s="22" t="s">
        <v>1863</v>
      </c>
      <c r="C1424" s="22" t="s">
        <v>162</v>
      </c>
      <c r="D1424" s="22" t="s">
        <v>1138</v>
      </c>
      <c r="E1424" s="22" t="n">
        <v>52.8</v>
      </c>
      <c r="F1424" s="22" t="s">
        <v>164</v>
      </c>
    </row>
    <row r="1425" customFormat="false" ht="15" hidden="false" customHeight="false" outlineLevel="0" collapsed="false">
      <c r="A1425" s="22" t="s">
        <v>3552</v>
      </c>
      <c r="B1425" s="22" t="s">
        <v>3553</v>
      </c>
      <c r="C1425" s="22" t="s">
        <v>162</v>
      </c>
      <c r="D1425" s="22" t="s">
        <v>1014</v>
      </c>
      <c r="E1425" s="22" t="n">
        <v>37</v>
      </c>
      <c r="F1425" s="22" t="s">
        <v>164</v>
      </c>
    </row>
    <row r="1426" customFormat="false" ht="15" hidden="false" customHeight="false" outlineLevel="0" collapsed="false">
      <c r="A1426" s="22" t="s">
        <v>3554</v>
      </c>
      <c r="B1426" s="22" t="s">
        <v>3555</v>
      </c>
      <c r="C1426" s="22" t="s">
        <v>162</v>
      </c>
      <c r="D1426" s="22" t="s">
        <v>257</v>
      </c>
      <c r="E1426" s="22" t="n">
        <v>59</v>
      </c>
      <c r="F1426" s="22" t="s">
        <v>164</v>
      </c>
    </row>
    <row r="1427" customFormat="false" ht="15" hidden="false" customHeight="false" outlineLevel="0" collapsed="false">
      <c r="A1427" s="22" t="s">
        <v>3556</v>
      </c>
      <c r="B1427" s="22" t="s">
        <v>3557</v>
      </c>
      <c r="C1427" s="22" t="s">
        <v>162</v>
      </c>
      <c r="D1427" s="22" t="s">
        <v>333</v>
      </c>
      <c r="E1427" s="22" t="n">
        <v>30.7</v>
      </c>
      <c r="F1427" s="22" t="s">
        <v>164</v>
      </c>
    </row>
    <row r="1428" customFormat="false" ht="15" hidden="false" customHeight="false" outlineLevel="0" collapsed="false">
      <c r="A1428" s="22" t="s">
        <v>3558</v>
      </c>
      <c r="B1428" s="22" t="s">
        <v>3559</v>
      </c>
      <c r="C1428" s="22" t="s">
        <v>162</v>
      </c>
      <c r="D1428" s="22" t="s">
        <v>778</v>
      </c>
      <c r="E1428" s="22" t="n">
        <v>40.1</v>
      </c>
      <c r="F1428" s="22" t="s">
        <v>175</v>
      </c>
    </row>
    <row r="1429" customFormat="false" ht="15" hidden="false" customHeight="false" outlineLevel="0" collapsed="false">
      <c r="A1429" s="22" t="s">
        <v>3560</v>
      </c>
      <c r="B1429" s="22" t="s">
        <v>3561</v>
      </c>
      <c r="C1429" s="22" t="s">
        <v>157</v>
      </c>
      <c r="D1429" s="22" t="s">
        <v>956</v>
      </c>
      <c r="E1429" s="22" t="n">
        <v>50.3</v>
      </c>
      <c r="F1429" s="22" t="s">
        <v>175</v>
      </c>
    </row>
    <row r="1430" customFormat="false" ht="15" hidden="false" customHeight="false" outlineLevel="0" collapsed="false">
      <c r="A1430" s="22" t="s">
        <v>3562</v>
      </c>
      <c r="B1430" s="22" t="s">
        <v>3563</v>
      </c>
      <c r="C1430" s="22" t="s">
        <v>207</v>
      </c>
      <c r="D1430" s="22" t="s">
        <v>1210</v>
      </c>
      <c r="E1430" s="22" t="n">
        <v>44.8</v>
      </c>
      <c r="F1430" s="22" t="s">
        <v>164</v>
      </c>
    </row>
    <row r="1431" customFormat="false" ht="15" hidden="false" customHeight="false" outlineLevel="0" collapsed="false">
      <c r="A1431" s="22" t="s">
        <v>3564</v>
      </c>
      <c r="B1431" s="22" t="s">
        <v>3565</v>
      </c>
      <c r="C1431" s="22" t="s">
        <v>162</v>
      </c>
      <c r="D1431" s="22" t="s">
        <v>3566</v>
      </c>
      <c r="E1431" s="22" t="n">
        <v>41.9</v>
      </c>
      <c r="F1431" s="22" t="s">
        <v>175</v>
      </c>
    </row>
    <row r="1432" customFormat="false" ht="15" hidden="false" customHeight="false" outlineLevel="0" collapsed="false">
      <c r="A1432" s="22" t="s">
        <v>3567</v>
      </c>
      <c r="B1432" s="22" t="s">
        <v>3568</v>
      </c>
      <c r="C1432" s="22" t="s">
        <v>162</v>
      </c>
      <c r="D1432" s="22" t="s">
        <v>425</v>
      </c>
      <c r="E1432" s="22" t="n">
        <v>25.1</v>
      </c>
      <c r="F1432" s="22" t="s">
        <v>171</v>
      </c>
    </row>
    <row r="1433" customFormat="false" ht="15" hidden="false" customHeight="false" outlineLevel="0" collapsed="false">
      <c r="A1433" s="22" t="s">
        <v>3569</v>
      </c>
      <c r="B1433" s="22" t="s">
        <v>3570</v>
      </c>
      <c r="C1433" s="22" t="s">
        <v>162</v>
      </c>
      <c r="D1433" s="22" t="s">
        <v>239</v>
      </c>
      <c r="E1433" s="22" t="n">
        <v>35.9</v>
      </c>
      <c r="F1433" s="22" t="s">
        <v>175</v>
      </c>
    </row>
    <row r="1434" customFormat="false" ht="15" hidden="false" customHeight="false" outlineLevel="0" collapsed="false">
      <c r="A1434" s="22" t="s">
        <v>3571</v>
      </c>
      <c r="B1434" s="22" t="s">
        <v>3572</v>
      </c>
      <c r="C1434" s="22" t="s">
        <v>162</v>
      </c>
      <c r="D1434" s="22" t="s">
        <v>2563</v>
      </c>
      <c r="E1434" s="22" t="n">
        <v>57.9</v>
      </c>
      <c r="F1434" s="22" t="s">
        <v>198</v>
      </c>
    </row>
    <row r="1435" customFormat="false" ht="15" hidden="false" customHeight="false" outlineLevel="0" collapsed="false">
      <c r="A1435" s="22" t="s">
        <v>3573</v>
      </c>
      <c r="B1435" s="22" t="s">
        <v>3574</v>
      </c>
      <c r="C1435" s="22" t="s">
        <v>162</v>
      </c>
      <c r="D1435" s="22" t="s">
        <v>1011</v>
      </c>
      <c r="E1435" s="22" t="n">
        <v>37.3</v>
      </c>
      <c r="F1435" s="22" t="s">
        <v>171</v>
      </c>
    </row>
    <row r="1436" customFormat="false" ht="15" hidden="false" customHeight="false" outlineLevel="0" collapsed="false">
      <c r="A1436" s="22" t="s">
        <v>3575</v>
      </c>
      <c r="B1436" s="22" t="s">
        <v>3576</v>
      </c>
      <c r="C1436" s="22" t="s">
        <v>162</v>
      </c>
      <c r="D1436" s="22" t="s">
        <v>2730</v>
      </c>
      <c r="E1436" s="22" t="n">
        <v>43</v>
      </c>
      <c r="F1436" s="22" t="s">
        <v>164</v>
      </c>
    </row>
    <row r="1437" customFormat="false" ht="15" hidden="false" customHeight="false" outlineLevel="0" collapsed="false">
      <c r="A1437" s="22" t="s">
        <v>3577</v>
      </c>
      <c r="B1437" s="22" t="s">
        <v>3578</v>
      </c>
      <c r="C1437" s="22" t="s">
        <v>162</v>
      </c>
      <c r="D1437" s="22" t="s">
        <v>1869</v>
      </c>
      <c r="E1437" s="22" t="n">
        <v>54.9</v>
      </c>
      <c r="F1437" s="22" t="s">
        <v>164</v>
      </c>
    </row>
    <row r="1438" customFormat="false" ht="15" hidden="false" customHeight="false" outlineLevel="0" collapsed="false">
      <c r="A1438" s="22" t="s">
        <v>3579</v>
      </c>
      <c r="B1438" s="22" t="s">
        <v>3580</v>
      </c>
      <c r="C1438" s="22" t="s">
        <v>162</v>
      </c>
      <c r="D1438" s="22" t="s">
        <v>841</v>
      </c>
      <c r="E1438" s="22" t="n">
        <v>41.2</v>
      </c>
      <c r="F1438" s="22" t="s">
        <v>164</v>
      </c>
    </row>
    <row r="1439" customFormat="false" ht="15" hidden="false" customHeight="false" outlineLevel="0" collapsed="false">
      <c r="A1439" s="22" t="s">
        <v>3581</v>
      </c>
      <c r="B1439" s="22" t="s">
        <v>3582</v>
      </c>
      <c r="C1439" s="22" t="s">
        <v>162</v>
      </c>
      <c r="D1439" s="22" t="s">
        <v>266</v>
      </c>
      <c r="E1439" s="22" t="n">
        <v>53.6</v>
      </c>
      <c r="F1439" s="22" t="s">
        <v>198</v>
      </c>
    </row>
    <row r="1440" customFormat="false" ht="15" hidden="false" customHeight="false" outlineLevel="0" collapsed="false">
      <c r="A1440" s="22" t="s">
        <v>3583</v>
      </c>
      <c r="B1440" s="22" t="s">
        <v>3584</v>
      </c>
      <c r="C1440" s="22" t="s">
        <v>162</v>
      </c>
      <c r="D1440" s="22" t="s">
        <v>1198</v>
      </c>
      <c r="E1440" s="22" t="n">
        <v>58</v>
      </c>
      <c r="F1440" s="22" t="s">
        <v>198</v>
      </c>
    </row>
    <row r="1441" customFormat="false" ht="15" hidden="false" customHeight="false" outlineLevel="0" collapsed="false">
      <c r="A1441" s="22" t="s">
        <v>3585</v>
      </c>
      <c r="B1441" s="22" t="s">
        <v>3586</v>
      </c>
      <c r="C1441" s="22" t="s">
        <v>162</v>
      </c>
      <c r="D1441" s="22" t="s">
        <v>3587</v>
      </c>
      <c r="E1441" s="22" t="n">
        <v>54.4</v>
      </c>
      <c r="F1441" s="22" t="s">
        <v>164</v>
      </c>
    </row>
    <row r="1442" customFormat="false" ht="15" hidden="false" customHeight="false" outlineLevel="0" collapsed="false">
      <c r="A1442" s="22" t="s">
        <v>3588</v>
      </c>
      <c r="B1442" s="22" t="s">
        <v>3589</v>
      </c>
      <c r="C1442" s="22" t="s">
        <v>162</v>
      </c>
      <c r="D1442" s="22" t="s">
        <v>3590</v>
      </c>
      <c r="E1442" s="22" t="n">
        <v>45.9</v>
      </c>
      <c r="F1442" s="22" t="s">
        <v>175</v>
      </c>
    </row>
    <row r="1443" customFormat="false" ht="15" hidden="false" customHeight="false" outlineLevel="0" collapsed="false">
      <c r="A1443" s="22" t="s">
        <v>3591</v>
      </c>
      <c r="B1443" s="22" t="s">
        <v>3592</v>
      </c>
      <c r="C1443" s="22" t="s">
        <v>162</v>
      </c>
      <c r="D1443" s="22" t="s">
        <v>1210</v>
      </c>
      <c r="E1443" s="22" t="n">
        <v>51</v>
      </c>
      <c r="F1443" s="22" t="s">
        <v>171</v>
      </c>
    </row>
    <row r="1444" customFormat="false" ht="15" hidden="false" customHeight="false" outlineLevel="0" collapsed="false">
      <c r="A1444" s="22" t="s">
        <v>3593</v>
      </c>
      <c r="B1444" s="22" t="s">
        <v>3594</v>
      </c>
      <c r="C1444" s="22" t="s">
        <v>162</v>
      </c>
      <c r="D1444" s="22" t="s">
        <v>2663</v>
      </c>
      <c r="E1444" s="22" t="n">
        <v>31.6</v>
      </c>
      <c r="F1444" s="22" t="s">
        <v>164</v>
      </c>
    </row>
    <row r="1445" customFormat="false" ht="15" hidden="false" customHeight="false" outlineLevel="0" collapsed="false">
      <c r="A1445" s="22" t="s">
        <v>3595</v>
      </c>
      <c r="B1445" s="22" t="s">
        <v>3596</v>
      </c>
      <c r="C1445" s="22" t="s">
        <v>162</v>
      </c>
      <c r="D1445" s="22" t="s">
        <v>404</v>
      </c>
      <c r="E1445" s="22" t="n">
        <v>25.3</v>
      </c>
      <c r="F1445" s="22" t="s">
        <v>215</v>
      </c>
    </row>
    <row r="1446" customFormat="false" ht="15" hidden="false" customHeight="false" outlineLevel="0" collapsed="false">
      <c r="A1446" s="22" t="s">
        <v>3597</v>
      </c>
      <c r="B1446" s="22" t="s">
        <v>3598</v>
      </c>
      <c r="C1446" s="22" t="s">
        <v>162</v>
      </c>
      <c r="D1446" s="22" t="s">
        <v>3599</v>
      </c>
      <c r="E1446" s="22" t="n">
        <v>39.4</v>
      </c>
      <c r="F1446" s="22" t="s">
        <v>499</v>
      </c>
    </row>
    <row r="1447" customFormat="false" ht="15" hidden="false" customHeight="false" outlineLevel="0" collapsed="false">
      <c r="A1447" s="22" t="s">
        <v>3600</v>
      </c>
      <c r="B1447" s="22" t="s">
        <v>3601</v>
      </c>
      <c r="C1447" s="22" t="s">
        <v>162</v>
      </c>
      <c r="D1447" s="22" t="s">
        <v>3602</v>
      </c>
      <c r="E1447" s="22" t="n">
        <v>37.5</v>
      </c>
      <c r="F1447" s="22" t="s">
        <v>164</v>
      </c>
    </row>
    <row r="1448" customFormat="false" ht="15" hidden="false" customHeight="false" outlineLevel="0" collapsed="false">
      <c r="A1448" s="22" t="s">
        <v>3603</v>
      </c>
      <c r="B1448" s="22" t="s">
        <v>3604</v>
      </c>
      <c r="C1448" s="22" t="s">
        <v>207</v>
      </c>
      <c r="D1448" s="22" t="s">
        <v>2485</v>
      </c>
      <c r="E1448" s="22" t="n">
        <v>23.3</v>
      </c>
      <c r="F1448" s="22" t="s">
        <v>164</v>
      </c>
    </row>
    <row r="1449" customFormat="false" ht="15" hidden="false" customHeight="false" outlineLevel="0" collapsed="false">
      <c r="A1449" s="22" t="s">
        <v>3605</v>
      </c>
      <c r="B1449" s="22" t="s">
        <v>3606</v>
      </c>
      <c r="C1449" s="22" t="s">
        <v>162</v>
      </c>
      <c r="D1449" s="22" t="s">
        <v>3607</v>
      </c>
      <c r="E1449" s="22" t="n">
        <v>46.1</v>
      </c>
      <c r="F1449" s="22" t="s">
        <v>175</v>
      </c>
    </row>
    <row r="1450" customFormat="false" ht="15" hidden="false" customHeight="false" outlineLevel="0" collapsed="false">
      <c r="A1450" s="22" t="s">
        <v>3608</v>
      </c>
      <c r="B1450" s="22" t="s">
        <v>3609</v>
      </c>
      <c r="C1450" s="22" t="s">
        <v>162</v>
      </c>
      <c r="D1450" s="22" t="s">
        <v>278</v>
      </c>
      <c r="E1450" s="22" t="n">
        <v>44.8</v>
      </c>
      <c r="F1450" s="22" t="s">
        <v>188</v>
      </c>
    </row>
    <row r="1451" customFormat="false" ht="15" hidden="false" customHeight="false" outlineLevel="0" collapsed="false">
      <c r="A1451" s="22" t="s">
        <v>3610</v>
      </c>
      <c r="B1451" s="22" t="s">
        <v>3611</v>
      </c>
      <c r="C1451" s="22" t="s">
        <v>162</v>
      </c>
      <c r="D1451" s="22" t="s">
        <v>519</v>
      </c>
      <c r="E1451" s="22" t="n">
        <v>56</v>
      </c>
      <c r="F1451" s="22" t="s">
        <v>159</v>
      </c>
    </row>
    <row r="1452" customFormat="false" ht="15" hidden="false" customHeight="false" outlineLevel="0" collapsed="false">
      <c r="A1452" s="22" t="s">
        <v>3612</v>
      </c>
      <c r="B1452" s="22" t="s">
        <v>3613</v>
      </c>
      <c r="C1452" s="22" t="s">
        <v>162</v>
      </c>
      <c r="D1452" s="22" t="s">
        <v>1656</v>
      </c>
      <c r="E1452" s="22" t="n">
        <v>51.4</v>
      </c>
      <c r="F1452" s="22" t="s">
        <v>164</v>
      </c>
    </row>
    <row r="1453" customFormat="false" ht="15" hidden="false" customHeight="false" outlineLevel="0" collapsed="false">
      <c r="A1453" s="22" t="s">
        <v>3614</v>
      </c>
      <c r="B1453" s="22" t="s">
        <v>1160</v>
      </c>
      <c r="C1453" s="22" t="s">
        <v>157</v>
      </c>
      <c r="D1453" s="22" t="s">
        <v>1235</v>
      </c>
      <c r="E1453" s="22" t="n">
        <v>54.1</v>
      </c>
      <c r="F1453" s="22" t="s">
        <v>171</v>
      </c>
    </row>
    <row r="1454" customFormat="false" ht="15" hidden="false" customHeight="false" outlineLevel="0" collapsed="false">
      <c r="A1454" s="22" t="s">
        <v>3615</v>
      </c>
      <c r="B1454" s="22" t="s">
        <v>3616</v>
      </c>
      <c r="C1454" s="22" t="s">
        <v>162</v>
      </c>
      <c r="D1454" s="22" t="s">
        <v>1395</v>
      </c>
      <c r="E1454" s="22" t="n">
        <v>39.7</v>
      </c>
      <c r="F1454" s="22" t="s">
        <v>164</v>
      </c>
    </row>
    <row r="1455" customFormat="false" ht="15" hidden="false" customHeight="false" outlineLevel="0" collapsed="false">
      <c r="A1455" s="22" t="s">
        <v>3617</v>
      </c>
      <c r="B1455" s="22" t="s">
        <v>3618</v>
      </c>
      <c r="C1455" s="22" t="s">
        <v>162</v>
      </c>
      <c r="D1455" s="22" t="s">
        <v>672</v>
      </c>
      <c r="E1455" s="22" t="n">
        <v>25.2</v>
      </c>
      <c r="F1455" s="22" t="s">
        <v>198</v>
      </c>
    </row>
    <row r="1456" customFormat="false" ht="15" hidden="false" customHeight="false" outlineLevel="0" collapsed="false">
      <c r="A1456" s="22" t="s">
        <v>3619</v>
      </c>
      <c r="B1456" s="22" t="s">
        <v>3620</v>
      </c>
      <c r="C1456" s="22" t="s">
        <v>162</v>
      </c>
      <c r="D1456" s="22" t="s">
        <v>2643</v>
      </c>
      <c r="E1456" s="22" t="n">
        <v>38.8</v>
      </c>
      <c r="F1456" s="22" t="s">
        <v>159</v>
      </c>
    </row>
    <row r="1457" customFormat="false" ht="15" hidden="false" customHeight="false" outlineLevel="0" collapsed="false">
      <c r="A1457" s="22" t="s">
        <v>3621</v>
      </c>
      <c r="B1457" s="22" t="s">
        <v>3622</v>
      </c>
      <c r="C1457" s="22" t="s">
        <v>162</v>
      </c>
      <c r="D1457" s="22" t="s">
        <v>2420</v>
      </c>
      <c r="E1457" s="22" t="n">
        <v>56.6</v>
      </c>
      <c r="F1457" s="22" t="s">
        <v>164</v>
      </c>
    </row>
    <row r="1458" customFormat="false" ht="15" hidden="false" customHeight="false" outlineLevel="0" collapsed="false">
      <c r="A1458" s="22" t="s">
        <v>3623</v>
      </c>
      <c r="B1458" s="22" t="s">
        <v>3624</v>
      </c>
      <c r="C1458" s="22" t="s">
        <v>162</v>
      </c>
      <c r="D1458" s="22" t="s">
        <v>1477</v>
      </c>
      <c r="E1458" s="22" t="n">
        <v>29.1</v>
      </c>
      <c r="F1458" s="22" t="s">
        <v>171</v>
      </c>
    </row>
    <row r="1459" customFormat="false" ht="15" hidden="false" customHeight="false" outlineLevel="0" collapsed="false">
      <c r="A1459" s="22" t="s">
        <v>3625</v>
      </c>
      <c r="B1459" s="22" t="s">
        <v>3626</v>
      </c>
      <c r="C1459" s="22" t="s">
        <v>162</v>
      </c>
      <c r="D1459" s="22" t="s">
        <v>167</v>
      </c>
      <c r="E1459" s="22" t="n">
        <v>45.3</v>
      </c>
      <c r="F1459" s="22" t="s">
        <v>164</v>
      </c>
    </row>
    <row r="1460" customFormat="false" ht="15" hidden="false" customHeight="false" outlineLevel="0" collapsed="false">
      <c r="A1460" s="22" t="s">
        <v>3627</v>
      </c>
      <c r="B1460" s="22" t="s">
        <v>1890</v>
      </c>
      <c r="C1460" s="22" t="s">
        <v>162</v>
      </c>
      <c r="D1460" s="22" t="s">
        <v>2592</v>
      </c>
      <c r="E1460" s="22" t="n">
        <v>19.3</v>
      </c>
      <c r="F1460" s="22" t="s">
        <v>164</v>
      </c>
    </row>
    <row r="1461" customFormat="false" ht="15" hidden="false" customHeight="false" outlineLevel="0" collapsed="false">
      <c r="A1461" s="22" t="s">
        <v>3628</v>
      </c>
      <c r="B1461" s="22" t="s">
        <v>3629</v>
      </c>
      <c r="C1461" s="22" t="s">
        <v>566</v>
      </c>
      <c r="D1461" s="22" t="s">
        <v>1460</v>
      </c>
      <c r="E1461" s="22" t="n">
        <v>24.5</v>
      </c>
      <c r="F1461" s="22" t="s">
        <v>171</v>
      </c>
    </row>
    <row r="1462" customFormat="false" ht="15" hidden="false" customHeight="false" outlineLevel="0" collapsed="false">
      <c r="A1462" s="22" t="s">
        <v>3630</v>
      </c>
      <c r="B1462" s="22" t="s">
        <v>3631</v>
      </c>
      <c r="C1462" s="22" t="s">
        <v>162</v>
      </c>
      <c r="D1462" s="22" t="s">
        <v>3632</v>
      </c>
      <c r="E1462" s="22" t="n">
        <v>48.5</v>
      </c>
      <c r="F1462" s="22" t="s">
        <v>164</v>
      </c>
    </row>
    <row r="1463" customFormat="false" ht="15" hidden="false" customHeight="false" outlineLevel="0" collapsed="false">
      <c r="A1463" s="22" t="s">
        <v>3633</v>
      </c>
      <c r="B1463" s="22" t="s">
        <v>3634</v>
      </c>
      <c r="C1463" s="22" t="s">
        <v>162</v>
      </c>
      <c r="D1463" s="22" t="s">
        <v>3635</v>
      </c>
      <c r="E1463" s="22" t="n">
        <v>43.9</v>
      </c>
      <c r="F1463" s="22" t="s">
        <v>171</v>
      </c>
    </row>
    <row r="1464" customFormat="false" ht="15" hidden="false" customHeight="false" outlineLevel="0" collapsed="false">
      <c r="A1464" s="22" t="s">
        <v>3636</v>
      </c>
      <c r="B1464" s="22" t="s">
        <v>3637</v>
      </c>
      <c r="C1464" s="22" t="s">
        <v>162</v>
      </c>
      <c r="D1464" s="22" t="s">
        <v>428</v>
      </c>
      <c r="E1464" s="22" t="n">
        <v>55.7</v>
      </c>
      <c r="F1464" s="22" t="s">
        <v>198</v>
      </c>
    </row>
    <row r="1465" customFormat="false" ht="15" hidden="false" customHeight="false" outlineLevel="0" collapsed="false">
      <c r="A1465" s="22" t="s">
        <v>3638</v>
      </c>
      <c r="B1465" s="22" t="s">
        <v>2135</v>
      </c>
      <c r="C1465" s="22" t="s">
        <v>162</v>
      </c>
      <c r="D1465" s="22" t="s">
        <v>849</v>
      </c>
      <c r="E1465" s="22" t="n">
        <v>26.2</v>
      </c>
      <c r="F1465" s="22" t="s">
        <v>175</v>
      </c>
    </row>
    <row r="1466" customFormat="false" ht="15" hidden="false" customHeight="false" outlineLevel="0" collapsed="false">
      <c r="A1466" s="22" t="s">
        <v>3639</v>
      </c>
      <c r="B1466" s="22" t="s">
        <v>3640</v>
      </c>
      <c r="C1466" s="22" t="s">
        <v>162</v>
      </c>
      <c r="D1466" s="22" t="s">
        <v>236</v>
      </c>
      <c r="E1466" s="22" t="n">
        <v>48.4</v>
      </c>
      <c r="F1466" s="22" t="s">
        <v>198</v>
      </c>
    </row>
    <row r="1467" customFormat="false" ht="15" hidden="false" customHeight="false" outlineLevel="0" collapsed="false">
      <c r="A1467" s="22" t="s">
        <v>3641</v>
      </c>
      <c r="B1467" s="22" t="s">
        <v>3642</v>
      </c>
      <c r="C1467" s="22" t="s">
        <v>162</v>
      </c>
      <c r="D1467" s="22" t="s">
        <v>174</v>
      </c>
      <c r="E1467" s="22" t="n">
        <v>49.1</v>
      </c>
      <c r="F1467" s="22" t="s">
        <v>164</v>
      </c>
    </row>
    <row r="1468" customFormat="false" ht="15" hidden="false" customHeight="false" outlineLevel="0" collapsed="false">
      <c r="A1468" s="22" t="s">
        <v>3643</v>
      </c>
      <c r="B1468" s="22" t="s">
        <v>3644</v>
      </c>
      <c r="C1468" s="22" t="s">
        <v>162</v>
      </c>
      <c r="D1468" s="22" t="s">
        <v>1502</v>
      </c>
      <c r="E1468" s="22" t="n">
        <v>54.3</v>
      </c>
      <c r="F1468" s="22" t="s">
        <v>198</v>
      </c>
    </row>
    <row r="1469" customFormat="false" ht="15" hidden="false" customHeight="false" outlineLevel="0" collapsed="false">
      <c r="A1469" s="22" t="s">
        <v>3645</v>
      </c>
      <c r="B1469" s="22" t="s">
        <v>3646</v>
      </c>
      <c r="C1469" s="22" t="s">
        <v>162</v>
      </c>
      <c r="D1469" s="22" t="s">
        <v>675</v>
      </c>
      <c r="E1469" s="22" t="n">
        <v>26.9</v>
      </c>
      <c r="F1469" s="22" t="s">
        <v>171</v>
      </c>
    </row>
    <row r="1470" customFormat="false" ht="15" hidden="false" customHeight="false" outlineLevel="0" collapsed="false">
      <c r="A1470" s="22" t="s">
        <v>3647</v>
      </c>
      <c r="B1470" s="22" t="s">
        <v>3648</v>
      </c>
      <c r="C1470" s="22" t="s">
        <v>162</v>
      </c>
      <c r="D1470" s="22" t="s">
        <v>591</v>
      </c>
      <c r="E1470" s="22" t="n">
        <v>37.4</v>
      </c>
      <c r="F1470" s="22" t="s">
        <v>171</v>
      </c>
    </row>
    <row r="1471" customFormat="false" ht="15" hidden="false" customHeight="false" outlineLevel="0" collapsed="false">
      <c r="A1471" s="22" t="s">
        <v>3649</v>
      </c>
      <c r="B1471" s="22" t="s">
        <v>3650</v>
      </c>
      <c r="C1471" s="22" t="s">
        <v>162</v>
      </c>
      <c r="D1471" s="22" t="s">
        <v>1400</v>
      </c>
      <c r="E1471" s="22" t="n">
        <v>41.1</v>
      </c>
      <c r="F1471" s="22" t="s">
        <v>164</v>
      </c>
    </row>
    <row r="1472" customFormat="false" ht="15" hidden="false" customHeight="false" outlineLevel="0" collapsed="false">
      <c r="A1472" s="22" t="s">
        <v>3651</v>
      </c>
      <c r="B1472" s="22" t="s">
        <v>3652</v>
      </c>
      <c r="C1472" s="22" t="s">
        <v>162</v>
      </c>
      <c r="D1472" s="22" t="s">
        <v>463</v>
      </c>
      <c r="E1472" s="22" t="n">
        <v>24.6</v>
      </c>
      <c r="F1472" s="22" t="s">
        <v>171</v>
      </c>
    </row>
    <row r="1473" customFormat="false" ht="15" hidden="false" customHeight="false" outlineLevel="0" collapsed="false">
      <c r="A1473" s="22" t="s">
        <v>3653</v>
      </c>
      <c r="B1473" s="22" t="s">
        <v>3654</v>
      </c>
      <c r="C1473" s="22" t="s">
        <v>162</v>
      </c>
      <c r="D1473" s="22" t="s">
        <v>1463</v>
      </c>
      <c r="E1473" s="22" t="n">
        <v>24</v>
      </c>
      <c r="F1473" s="22" t="s">
        <v>159</v>
      </c>
    </row>
    <row r="1474" customFormat="false" ht="15" hidden="false" customHeight="false" outlineLevel="0" collapsed="false">
      <c r="A1474" s="22" t="s">
        <v>3655</v>
      </c>
      <c r="B1474" s="22" t="s">
        <v>3656</v>
      </c>
      <c r="C1474" s="22" t="s">
        <v>162</v>
      </c>
      <c r="D1474" s="22" t="s">
        <v>3657</v>
      </c>
      <c r="E1474" s="22" t="n">
        <v>40.8</v>
      </c>
      <c r="F1474" s="22" t="s">
        <v>164</v>
      </c>
    </row>
    <row r="1475" customFormat="false" ht="15" hidden="false" customHeight="false" outlineLevel="0" collapsed="false">
      <c r="A1475" s="22" t="s">
        <v>3658</v>
      </c>
      <c r="B1475" s="22" t="s">
        <v>2376</v>
      </c>
      <c r="C1475" s="22" t="s">
        <v>566</v>
      </c>
      <c r="D1475" s="22" t="s">
        <v>1637</v>
      </c>
      <c r="E1475" s="22" t="n">
        <v>30</v>
      </c>
      <c r="F1475" s="22" t="s">
        <v>164</v>
      </c>
    </row>
    <row r="1476" customFormat="false" ht="15" hidden="false" customHeight="false" outlineLevel="0" collapsed="false">
      <c r="A1476" s="22" t="s">
        <v>3659</v>
      </c>
      <c r="B1476" s="22" t="s">
        <v>3660</v>
      </c>
      <c r="C1476" s="22" t="s">
        <v>566</v>
      </c>
      <c r="D1476" s="22" t="s">
        <v>588</v>
      </c>
      <c r="E1476" s="22" t="n">
        <v>48.1</v>
      </c>
      <c r="F1476" s="22" t="s">
        <v>164</v>
      </c>
    </row>
    <row r="1477" customFormat="false" ht="15" hidden="false" customHeight="false" outlineLevel="0" collapsed="false">
      <c r="A1477" s="22" t="s">
        <v>3661</v>
      </c>
      <c r="B1477" s="22" t="s">
        <v>3662</v>
      </c>
      <c r="C1477" s="22" t="s">
        <v>162</v>
      </c>
      <c r="D1477" s="22" t="s">
        <v>1971</v>
      </c>
      <c r="E1477" s="22" t="n">
        <v>45</v>
      </c>
      <c r="F1477" s="22" t="s">
        <v>175</v>
      </c>
    </row>
    <row r="1478" customFormat="false" ht="15" hidden="false" customHeight="false" outlineLevel="0" collapsed="false">
      <c r="A1478" s="22" t="s">
        <v>3663</v>
      </c>
      <c r="B1478" s="22" t="s">
        <v>3664</v>
      </c>
      <c r="C1478" s="22" t="s">
        <v>162</v>
      </c>
      <c r="D1478" s="22" t="s">
        <v>254</v>
      </c>
      <c r="E1478" s="22" t="n">
        <v>20.7</v>
      </c>
      <c r="F1478" s="22" t="s">
        <v>188</v>
      </c>
    </row>
    <row r="1479" customFormat="false" ht="15" hidden="false" customHeight="false" outlineLevel="0" collapsed="false">
      <c r="A1479" s="22" t="s">
        <v>3665</v>
      </c>
      <c r="B1479" s="22" t="s">
        <v>3666</v>
      </c>
      <c r="C1479" s="22" t="s">
        <v>162</v>
      </c>
      <c r="D1479" s="22" t="s">
        <v>793</v>
      </c>
      <c r="E1479" s="22" t="n">
        <v>34.8</v>
      </c>
      <c r="F1479" s="22" t="s">
        <v>164</v>
      </c>
    </row>
    <row r="1480" customFormat="false" ht="15" hidden="false" customHeight="false" outlineLevel="0" collapsed="false">
      <c r="A1480" s="22" t="s">
        <v>3667</v>
      </c>
      <c r="B1480" s="22" t="s">
        <v>3668</v>
      </c>
      <c r="C1480" s="22" t="s">
        <v>162</v>
      </c>
      <c r="D1480" s="22" t="s">
        <v>645</v>
      </c>
      <c r="E1480" s="22" t="n">
        <v>42.1</v>
      </c>
      <c r="F1480" s="22" t="s">
        <v>175</v>
      </c>
    </row>
    <row r="1481" customFormat="false" ht="15" hidden="false" customHeight="false" outlineLevel="0" collapsed="false">
      <c r="A1481" s="22" t="s">
        <v>3669</v>
      </c>
      <c r="B1481" s="22" t="s">
        <v>3670</v>
      </c>
      <c r="C1481" s="22" t="s">
        <v>162</v>
      </c>
      <c r="D1481" s="22" t="s">
        <v>257</v>
      </c>
      <c r="E1481" s="22" t="n">
        <v>46.9</v>
      </c>
      <c r="F1481" s="22" t="s">
        <v>175</v>
      </c>
    </row>
    <row r="1482" customFormat="false" ht="15" hidden="false" customHeight="false" outlineLevel="0" collapsed="false">
      <c r="A1482" s="22" t="s">
        <v>3671</v>
      </c>
      <c r="B1482" s="22" t="s">
        <v>3672</v>
      </c>
      <c r="C1482" s="22" t="s">
        <v>162</v>
      </c>
      <c r="D1482" s="22" t="s">
        <v>272</v>
      </c>
      <c r="E1482" s="22" t="n">
        <v>57.8</v>
      </c>
      <c r="F1482" s="22" t="s">
        <v>175</v>
      </c>
    </row>
    <row r="1483" customFormat="false" ht="15" hidden="false" customHeight="false" outlineLevel="0" collapsed="false">
      <c r="A1483" s="22" t="s">
        <v>3673</v>
      </c>
      <c r="B1483" s="22" t="s">
        <v>3674</v>
      </c>
      <c r="C1483" s="22" t="s">
        <v>162</v>
      </c>
      <c r="D1483" s="22" t="s">
        <v>1178</v>
      </c>
      <c r="E1483" s="22" t="n">
        <v>57.3</v>
      </c>
      <c r="F1483" s="22" t="s">
        <v>159</v>
      </c>
    </row>
    <row r="1484" customFormat="false" ht="15" hidden="false" customHeight="false" outlineLevel="0" collapsed="false">
      <c r="A1484" s="22" t="s">
        <v>3675</v>
      </c>
      <c r="B1484" s="22" t="s">
        <v>3676</v>
      </c>
      <c r="C1484" s="22" t="s">
        <v>162</v>
      </c>
      <c r="D1484" s="22" t="s">
        <v>3464</v>
      </c>
      <c r="E1484" s="22" t="n">
        <v>23.2</v>
      </c>
      <c r="F1484" s="22" t="s">
        <v>198</v>
      </c>
    </row>
    <row r="1485" customFormat="false" ht="15" hidden="false" customHeight="false" outlineLevel="0" collapsed="false">
      <c r="A1485" s="22" t="s">
        <v>3677</v>
      </c>
      <c r="B1485" s="22" t="s">
        <v>3678</v>
      </c>
      <c r="C1485" s="22" t="s">
        <v>162</v>
      </c>
      <c r="D1485" s="22" t="s">
        <v>296</v>
      </c>
      <c r="E1485" s="22" t="n">
        <v>55.7</v>
      </c>
      <c r="F1485" s="22" t="s">
        <v>164</v>
      </c>
    </row>
    <row r="1486" customFormat="false" ht="15" hidden="false" customHeight="false" outlineLevel="0" collapsed="false">
      <c r="A1486" s="22" t="s">
        <v>3679</v>
      </c>
      <c r="B1486" s="22" t="s">
        <v>3680</v>
      </c>
      <c r="C1486" s="22" t="s">
        <v>207</v>
      </c>
      <c r="D1486" s="22" t="s">
        <v>2918</v>
      </c>
      <c r="E1486" s="22" t="n">
        <v>30.6</v>
      </c>
      <c r="F1486" s="22" t="s">
        <v>164</v>
      </c>
    </row>
    <row r="1487" customFormat="false" ht="15" hidden="false" customHeight="false" outlineLevel="0" collapsed="false">
      <c r="A1487" s="22" t="s">
        <v>3681</v>
      </c>
      <c r="B1487" s="22" t="s">
        <v>3682</v>
      </c>
      <c r="C1487" s="22" t="s">
        <v>207</v>
      </c>
      <c r="D1487" s="22" t="s">
        <v>460</v>
      </c>
      <c r="E1487" s="22" t="n">
        <v>19.7</v>
      </c>
      <c r="F1487" s="22" t="s">
        <v>164</v>
      </c>
    </row>
    <row r="1488" customFormat="false" ht="15" hidden="false" customHeight="false" outlineLevel="0" collapsed="false">
      <c r="A1488" s="22" t="s">
        <v>3683</v>
      </c>
      <c r="B1488" s="22" t="s">
        <v>3684</v>
      </c>
      <c r="C1488" s="22" t="s">
        <v>157</v>
      </c>
      <c r="D1488" s="22" t="s">
        <v>296</v>
      </c>
      <c r="E1488" s="22" t="n">
        <v>24.2</v>
      </c>
      <c r="F1488" s="22" t="s">
        <v>175</v>
      </c>
    </row>
    <row r="1489" customFormat="false" ht="15" hidden="false" customHeight="false" outlineLevel="0" collapsed="false">
      <c r="A1489" s="22" t="s">
        <v>3685</v>
      </c>
      <c r="B1489" s="22" t="s">
        <v>3686</v>
      </c>
      <c r="C1489" s="22" t="s">
        <v>162</v>
      </c>
      <c r="D1489" s="22" t="s">
        <v>1423</v>
      </c>
      <c r="E1489" s="22" t="n">
        <v>45.3</v>
      </c>
      <c r="F1489" s="22" t="s">
        <v>171</v>
      </c>
    </row>
    <row r="1490" customFormat="false" ht="15" hidden="false" customHeight="false" outlineLevel="0" collapsed="false">
      <c r="A1490" s="22" t="s">
        <v>3687</v>
      </c>
      <c r="B1490" s="22" t="s">
        <v>3688</v>
      </c>
      <c r="C1490" s="22" t="s">
        <v>162</v>
      </c>
      <c r="D1490" s="22" t="s">
        <v>2896</v>
      </c>
      <c r="E1490" s="22" t="n">
        <v>59.8</v>
      </c>
      <c r="F1490" s="22" t="s">
        <v>171</v>
      </c>
    </row>
    <row r="1491" customFormat="false" ht="15" hidden="false" customHeight="false" outlineLevel="0" collapsed="false">
      <c r="A1491" s="22" t="s">
        <v>3689</v>
      </c>
      <c r="B1491" s="22" t="s">
        <v>3690</v>
      </c>
      <c r="C1491" s="22" t="s">
        <v>207</v>
      </c>
      <c r="D1491" s="22" t="s">
        <v>585</v>
      </c>
      <c r="E1491" s="22" t="n">
        <v>33.3</v>
      </c>
      <c r="F1491" s="22" t="s">
        <v>164</v>
      </c>
    </row>
    <row r="1492" customFormat="false" ht="15" hidden="false" customHeight="false" outlineLevel="0" collapsed="false">
      <c r="A1492" s="22" t="s">
        <v>3691</v>
      </c>
      <c r="B1492" s="22" t="s">
        <v>3692</v>
      </c>
      <c r="C1492" s="22" t="s">
        <v>566</v>
      </c>
      <c r="D1492" s="22" t="s">
        <v>1758</v>
      </c>
      <c r="E1492" s="22" t="n">
        <v>31.8</v>
      </c>
      <c r="F1492" s="22" t="s">
        <v>175</v>
      </c>
    </row>
    <row r="1493" customFormat="false" ht="15" hidden="false" customHeight="false" outlineLevel="0" collapsed="false">
      <c r="A1493" s="22" t="s">
        <v>3693</v>
      </c>
      <c r="B1493" s="22" t="s">
        <v>3694</v>
      </c>
      <c r="C1493" s="22" t="s">
        <v>162</v>
      </c>
      <c r="D1493" s="22" t="s">
        <v>466</v>
      </c>
      <c r="E1493" s="22" t="n">
        <v>28.2</v>
      </c>
      <c r="F1493" s="22" t="s">
        <v>159</v>
      </c>
    </row>
    <row r="1494" customFormat="false" ht="15" hidden="false" customHeight="false" outlineLevel="0" collapsed="false">
      <c r="A1494" s="22" t="s">
        <v>3695</v>
      </c>
      <c r="B1494" s="22" t="s">
        <v>3696</v>
      </c>
      <c r="C1494" s="22" t="s">
        <v>162</v>
      </c>
      <c r="D1494" s="22" t="s">
        <v>1833</v>
      </c>
      <c r="E1494" s="22" t="n">
        <v>36.3</v>
      </c>
      <c r="F1494" s="22" t="s">
        <v>198</v>
      </c>
    </row>
    <row r="1495" customFormat="false" ht="15" hidden="false" customHeight="false" outlineLevel="0" collapsed="false">
      <c r="A1495" s="22" t="s">
        <v>3697</v>
      </c>
      <c r="B1495" s="22" t="s">
        <v>3698</v>
      </c>
      <c r="C1495" s="22" t="s">
        <v>162</v>
      </c>
      <c r="D1495" s="22" t="s">
        <v>278</v>
      </c>
      <c r="E1495" s="22" t="n">
        <v>49.8</v>
      </c>
      <c r="F1495" s="22" t="s">
        <v>198</v>
      </c>
    </row>
    <row r="1496" customFormat="false" ht="15" hidden="false" customHeight="false" outlineLevel="0" collapsed="false">
      <c r="A1496" s="22" t="s">
        <v>3699</v>
      </c>
      <c r="B1496" s="22" t="s">
        <v>3700</v>
      </c>
      <c r="C1496" s="22" t="s">
        <v>162</v>
      </c>
      <c r="D1496" s="22" t="s">
        <v>1190</v>
      </c>
      <c r="E1496" s="22" t="n">
        <v>32</v>
      </c>
      <c r="F1496" s="22" t="s">
        <v>159</v>
      </c>
    </row>
    <row r="1497" customFormat="false" ht="15" hidden="false" customHeight="false" outlineLevel="0" collapsed="false">
      <c r="A1497" s="22" t="s">
        <v>3701</v>
      </c>
      <c r="B1497" s="22" t="s">
        <v>3702</v>
      </c>
      <c r="C1497" s="22" t="s">
        <v>162</v>
      </c>
      <c r="D1497" s="22" t="s">
        <v>983</v>
      </c>
      <c r="E1497" s="22" t="n">
        <v>29.2</v>
      </c>
      <c r="F1497" s="22" t="s">
        <v>164</v>
      </c>
    </row>
    <row r="1498" customFormat="false" ht="15" hidden="false" customHeight="false" outlineLevel="0" collapsed="false">
      <c r="A1498" s="22" t="s">
        <v>3703</v>
      </c>
      <c r="B1498" s="22" t="s">
        <v>3704</v>
      </c>
      <c r="C1498" s="22" t="s">
        <v>162</v>
      </c>
      <c r="D1498" s="22" t="s">
        <v>191</v>
      </c>
      <c r="E1498" s="22" t="n">
        <v>60.9</v>
      </c>
      <c r="F1498" s="22" t="s">
        <v>164</v>
      </c>
    </row>
    <row r="1499" customFormat="false" ht="15" hidden="false" customHeight="false" outlineLevel="0" collapsed="false">
      <c r="A1499" s="22" t="s">
        <v>3705</v>
      </c>
      <c r="B1499" s="22" t="s">
        <v>3706</v>
      </c>
      <c r="C1499" s="22" t="s">
        <v>162</v>
      </c>
      <c r="D1499" s="22" t="s">
        <v>1896</v>
      </c>
      <c r="E1499" s="22" t="n">
        <v>42.7</v>
      </c>
      <c r="F1499" s="22" t="s">
        <v>164</v>
      </c>
    </row>
    <row r="1500" customFormat="false" ht="15" hidden="false" customHeight="false" outlineLevel="0" collapsed="false">
      <c r="A1500" s="22" t="s">
        <v>3707</v>
      </c>
      <c r="B1500" s="22" t="s">
        <v>3708</v>
      </c>
      <c r="C1500" s="22" t="s">
        <v>157</v>
      </c>
      <c r="D1500" s="22" t="s">
        <v>1780</v>
      </c>
      <c r="E1500" s="22" t="n">
        <v>20.6</v>
      </c>
      <c r="F1500" s="22" t="s">
        <v>159</v>
      </c>
    </row>
    <row r="1501" customFormat="false" ht="15" hidden="false" customHeight="false" outlineLevel="0" collapsed="false">
      <c r="A1501" s="22" t="s">
        <v>3709</v>
      </c>
      <c r="B1501" s="22" t="s">
        <v>3710</v>
      </c>
      <c r="C1501" s="22" t="s">
        <v>162</v>
      </c>
      <c r="D1501" s="22" t="s">
        <v>3711</v>
      </c>
      <c r="E1501" s="22" t="n">
        <v>45.2</v>
      </c>
      <c r="F1501" s="22" t="s">
        <v>175</v>
      </c>
    </row>
    <row r="1502" customFormat="false" ht="15" hidden="false" customHeight="false" outlineLevel="0" collapsed="false">
      <c r="A1502" s="22" t="s">
        <v>3712</v>
      </c>
      <c r="B1502" s="22" t="s">
        <v>3713</v>
      </c>
      <c r="C1502" s="22" t="s">
        <v>162</v>
      </c>
      <c r="D1502" s="22" t="s">
        <v>2372</v>
      </c>
      <c r="E1502" s="22" t="n">
        <v>57.3</v>
      </c>
      <c r="F1502" s="22" t="s">
        <v>164</v>
      </c>
    </row>
    <row r="1503" customFormat="false" ht="15" hidden="false" customHeight="false" outlineLevel="0" collapsed="false">
      <c r="A1503" s="22" t="s">
        <v>3714</v>
      </c>
      <c r="B1503" s="22" t="s">
        <v>3715</v>
      </c>
      <c r="C1503" s="22" t="s">
        <v>162</v>
      </c>
      <c r="D1503" s="22" t="s">
        <v>731</v>
      </c>
      <c r="E1503" s="22" t="n">
        <v>29.8</v>
      </c>
      <c r="F1503" s="22" t="s">
        <v>164</v>
      </c>
    </row>
    <row r="1504" customFormat="false" ht="15" hidden="false" customHeight="false" outlineLevel="0" collapsed="false">
      <c r="A1504" s="22" t="s">
        <v>3716</v>
      </c>
      <c r="B1504" s="22" t="s">
        <v>3717</v>
      </c>
      <c r="C1504" s="22" t="s">
        <v>162</v>
      </c>
      <c r="D1504" s="22" t="s">
        <v>1882</v>
      </c>
      <c r="E1504" s="22" t="n">
        <v>33.4</v>
      </c>
      <c r="F1504" s="22" t="s">
        <v>215</v>
      </c>
    </row>
    <row r="1505" customFormat="false" ht="15" hidden="false" customHeight="false" outlineLevel="0" collapsed="false">
      <c r="A1505" s="22" t="s">
        <v>3718</v>
      </c>
      <c r="B1505" s="22" t="s">
        <v>3719</v>
      </c>
      <c r="C1505" s="22" t="s">
        <v>162</v>
      </c>
      <c r="D1505" s="22" t="s">
        <v>293</v>
      </c>
      <c r="E1505" s="22" t="n">
        <v>33.2</v>
      </c>
      <c r="F1505" s="22" t="s">
        <v>171</v>
      </c>
    </row>
    <row r="1506" customFormat="false" ht="15" hidden="false" customHeight="false" outlineLevel="0" collapsed="false">
      <c r="A1506" s="22" t="s">
        <v>3720</v>
      </c>
      <c r="B1506" s="22" t="s">
        <v>3721</v>
      </c>
      <c r="C1506" s="22" t="s">
        <v>162</v>
      </c>
      <c r="D1506" s="22" t="s">
        <v>2723</v>
      </c>
      <c r="E1506" s="22" t="n">
        <v>57.6</v>
      </c>
      <c r="F1506" s="22" t="s">
        <v>159</v>
      </c>
    </row>
    <row r="1507" customFormat="false" ht="15" hidden="false" customHeight="false" outlineLevel="0" collapsed="false">
      <c r="A1507" s="22" t="s">
        <v>3722</v>
      </c>
      <c r="B1507" s="22" t="s">
        <v>3723</v>
      </c>
      <c r="C1507" s="22" t="s">
        <v>162</v>
      </c>
      <c r="D1507" s="22" t="s">
        <v>812</v>
      </c>
      <c r="E1507" s="22" t="n">
        <v>37.3</v>
      </c>
      <c r="F1507" s="22" t="s">
        <v>164</v>
      </c>
    </row>
    <row r="1508" customFormat="false" ht="15" hidden="false" customHeight="false" outlineLevel="0" collapsed="false">
      <c r="A1508" s="22" t="s">
        <v>3724</v>
      </c>
      <c r="B1508" s="22" t="s">
        <v>3725</v>
      </c>
      <c r="C1508" s="22" t="s">
        <v>162</v>
      </c>
      <c r="D1508" s="22" t="s">
        <v>885</v>
      </c>
      <c r="E1508" s="22" t="n">
        <v>37.7</v>
      </c>
      <c r="F1508" s="22" t="s">
        <v>164</v>
      </c>
    </row>
    <row r="1509" customFormat="false" ht="15" hidden="false" customHeight="false" outlineLevel="0" collapsed="false">
      <c r="A1509" s="22" t="s">
        <v>3726</v>
      </c>
      <c r="B1509" s="22" t="s">
        <v>3727</v>
      </c>
      <c r="C1509" s="22" t="s">
        <v>162</v>
      </c>
      <c r="D1509" s="22" t="s">
        <v>3728</v>
      </c>
      <c r="E1509" s="22" t="n">
        <v>24.4</v>
      </c>
      <c r="F1509" s="22" t="s">
        <v>175</v>
      </c>
    </row>
    <row r="1510" customFormat="false" ht="15" hidden="false" customHeight="false" outlineLevel="0" collapsed="false">
      <c r="A1510" s="22" t="s">
        <v>3729</v>
      </c>
      <c r="B1510" s="22" t="s">
        <v>3730</v>
      </c>
      <c r="C1510" s="22" t="s">
        <v>566</v>
      </c>
      <c r="D1510" s="22" t="s">
        <v>3711</v>
      </c>
      <c r="E1510" s="22" t="n">
        <v>37.9</v>
      </c>
      <c r="F1510" s="22" t="s">
        <v>164</v>
      </c>
    </row>
    <row r="1511" customFormat="false" ht="15" hidden="false" customHeight="false" outlineLevel="0" collapsed="false">
      <c r="A1511" s="22" t="s">
        <v>3731</v>
      </c>
      <c r="B1511" s="22" t="s">
        <v>3732</v>
      </c>
      <c r="C1511" s="22" t="s">
        <v>162</v>
      </c>
      <c r="D1511" s="22" t="s">
        <v>1489</v>
      </c>
      <c r="E1511" s="22" t="n">
        <v>56.3</v>
      </c>
      <c r="F1511" s="22" t="s">
        <v>175</v>
      </c>
    </row>
    <row r="1512" customFormat="false" ht="15" hidden="false" customHeight="false" outlineLevel="0" collapsed="false">
      <c r="A1512" s="22" t="s">
        <v>3733</v>
      </c>
      <c r="B1512" s="22" t="s">
        <v>3734</v>
      </c>
      <c r="C1512" s="22" t="s">
        <v>162</v>
      </c>
      <c r="D1512" s="22" t="s">
        <v>242</v>
      </c>
      <c r="E1512" s="22" t="n">
        <v>25.6</v>
      </c>
      <c r="F1512" s="22" t="s">
        <v>164</v>
      </c>
    </row>
    <row r="1513" customFormat="false" ht="15" hidden="false" customHeight="false" outlineLevel="0" collapsed="false">
      <c r="A1513" s="22" t="s">
        <v>3735</v>
      </c>
      <c r="B1513" s="22" t="s">
        <v>3736</v>
      </c>
      <c r="C1513" s="22" t="s">
        <v>162</v>
      </c>
      <c r="D1513" s="22" t="s">
        <v>1896</v>
      </c>
      <c r="E1513" s="22" t="n">
        <v>32.7</v>
      </c>
      <c r="F1513" s="22" t="s">
        <v>159</v>
      </c>
    </row>
    <row r="1514" customFormat="false" ht="15" hidden="false" customHeight="false" outlineLevel="0" collapsed="false">
      <c r="A1514" s="22" t="s">
        <v>3737</v>
      </c>
      <c r="B1514" s="22" t="s">
        <v>3738</v>
      </c>
      <c r="C1514" s="22" t="s">
        <v>162</v>
      </c>
      <c r="D1514" s="22" t="s">
        <v>1138</v>
      </c>
      <c r="E1514" s="22" t="n">
        <v>41.5</v>
      </c>
      <c r="F1514" s="22" t="s">
        <v>171</v>
      </c>
    </row>
    <row r="1515" customFormat="false" ht="15" hidden="false" customHeight="false" outlineLevel="0" collapsed="false">
      <c r="A1515" s="22" t="s">
        <v>3739</v>
      </c>
      <c r="B1515" s="22" t="s">
        <v>3740</v>
      </c>
      <c r="C1515" s="22" t="s">
        <v>162</v>
      </c>
      <c r="D1515" s="22" t="s">
        <v>1057</v>
      </c>
      <c r="E1515" s="22" t="n">
        <v>23</v>
      </c>
      <c r="F1515" s="22" t="s">
        <v>175</v>
      </c>
    </row>
    <row r="1516" customFormat="false" ht="15" hidden="false" customHeight="false" outlineLevel="0" collapsed="false">
      <c r="A1516" s="22" t="s">
        <v>3741</v>
      </c>
      <c r="B1516" s="22" t="s">
        <v>3742</v>
      </c>
      <c r="C1516" s="22" t="s">
        <v>162</v>
      </c>
      <c r="D1516" s="22" t="s">
        <v>3587</v>
      </c>
      <c r="E1516" s="22" t="n">
        <v>32.5</v>
      </c>
      <c r="F1516" s="22" t="s">
        <v>159</v>
      </c>
    </row>
    <row r="1517" customFormat="false" ht="15" hidden="false" customHeight="false" outlineLevel="0" collapsed="false">
      <c r="A1517" s="22" t="s">
        <v>3743</v>
      </c>
      <c r="B1517" s="22" t="s">
        <v>3744</v>
      </c>
      <c r="C1517" s="22" t="s">
        <v>162</v>
      </c>
      <c r="D1517" s="22" t="s">
        <v>214</v>
      </c>
      <c r="E1517" s="22" t="n">
        <v>56.5</v>
      </c>
      <c r="F1517" s="22" t="s">
        <v>159</v>
      </c>
    </row>
    <row r="1518" customFormat="false" ht="15" hidden="false" customHeight="false" outlineLevel="0" collapsed="false">
      <c r="A1518" s="22" t="s">
        <v>3745</v>
      </c>
      <c r="B1518" s="22" t="s">
        <v>3746</v>
      </c>
      <c r="C1518" s="22" t="s">
        <v>162</v>
      </c>
      <c r="D1518" s="22" t="s">
        <v>489</v>
      </c>
      <c r="E1518" s="22" t="n">
        <v>41.7</v>
      </c>
      <c r="F1518" s="22" t="s">
        <v>198</v>
      </c>
    </row>
    <row r="1519" customFormat="false" ht="15" hidden="false" customHeight="false" outlineLevel="0" collapsed="false">
      <c r="A1519" s="22" t="s">
        <v>3747</v>
      </c>
      <c r="B1519" s="22" t="s">
        <v>3748</v>
      </c>
      <c r="C1519" s="22" t="s">
        <v>162</v>
      </c>
      <c r="D1519" s="22" t="s">
        <v>1400</v>
      </c>
      <c r="E1519" s="22" t="n">
        <v>37.1</v>
      </c>
      <c r="F1519" s="22" t="s">
        <v>175</v>
      </c>
    </row>
    <row r="1520" customFormat="false" ht="15" hidden="false" customHeight="false" outlineLevel="0" collapsed="false">
      <c r="A1520" s="22" t="s">
        <v>3749</v>
      </c>
      <c r="B1520" s="22" t="s">
        <v>3302</v>
      </c>
      <c r="C1520" s="22" t="s">
        <v>162</v>
      </c>
      <c r="D1520" s="22" t="s">
        <v>3182</v>
      </c>
      <c r="E1520" s="22" t="n">
        <v>31.9</v>
      </c>
      <c r="F1520" s="22" t="s">
        <v>198</v>
      </c>
    </row>
    <row r="1521" customFormat="false" ht="15" hidden="false" customHeight="false" outlineLevel="0" collapsed="false">
      <c r="A1521" s="22" t="s">
        <v>3750</v>
      </c>
      <c r="B1521" s="22" t="s">
        <v>3751</v>
      </c>
      <c r="C1521" s="22" t="s">
        <v>207</v>
      </c>
      <c r="D1521" s="22" t="s">
        <v>1553</v>
      </c>
      <c r="E1521" s="22" t="n">
        <v>39.7</v>
      </c>
      <c r="F1521" s="22" t="s">
        <v>164</v>
      </c>
    </row>
    <row r="1522" customFormat="false" ht="15" hidden="false" customHeight="false" outlineLevel="0" collapsed="false">
      <c r="A1522" s="22" t="s">
        <v>3752</v>
      </c>
      <c r="B1522" s="22" t="s">
        <v>3753</v>
      </c>
      <c r="C1522" s="22" t="s">
        <v>162</v>
      </c>
      <c r="D1522" s="22" t="s">
        <v>3754</v>
      </c>
      <c r="E1522" s="22" t="n">
        <v>35.6</v>
      </c>
      <c r="F1522" s="22" t="s">
        <v>175</v>
      </c>
    </row>
    <row r="1523" customFormat="false" ht="15" hidden="false" customHeight="false" outlineLevel="0" collapsed="false">
      <c r="A1523" s="22" t="s">
        <v>3755</v>
      </c>
      <c r="B1523" s="22" t="s">
        <v>3756</v>
      </c>
      <c r="C1523" s="22" t="s">
        <v>162</v>
      </c>
      <c r="D1523" s="22" t="s">
        <v>1288</v>
      </c>
      <c r="E1523" s="22" t="n">
        <v>39.1</v>
      </c>
      <c r="F1523" s="22" t="s">
        <v>175</v>
      </c>
    </row>
    <row r="1524" customFormat="false" ht="15" hidden="false" customHeight="false" outlineLevel="0" collapsed="false">
      <c r="A1524" s="22" t="s">
        <v>3757</v>
      </c>
      <c r="B1524" s="22" t="s">
        <v>3758</v>
      </c>
      <c r="C1524" s="22" t="s">
        <v>162</v>
      </c>
      <c r="D1524" s="22" t="s">
        <v>2386</v>
      </c>
      <c r="E1524" s="22" t="n">
        <v>48</v>
      </c>
      <c r="F1524" s="22" t="s">
        <v>215</v>
      </c>
    </row>
    <row r="1525" customFormat="false" ht="15" hidden="false" customHeight="false" outlineLevel="0" collapsed="false">
      <c r="A1525" s="22" t="s">
        <v>3759</v>
      </c>
      <c r="B1525" s="22" t="s">
        <v>3760</v>
      </c>
      <c r="C1525" s="22" t="s">
        <v>162</v>
      </c>
      <c r="D1525" s="22" t="s">
        <v>2034</v>
      </c>
      <c r="E1525" s="22" t="n">
        <v>53.4</v>
      </c>
      <c r="F1525" s="22" t="s">
        <v>164</v>
      </c>
    </row>
    <row r="1526" customFormat="false" ht="15" hidden="false" customHeight="false" outlineLevel="0" collapsed="false">
      <c r="A1526" s="22" t="s">
        <v>3761</v>
      </c>
      <c r="B1526" s="22" t="s">
        <v>3762</v>
      </c>
      <c r="C1526" s="22" t="s">
        <v>162</v>
      </c>
      <c r="D1526" s="22" t="s">
        <v>251</v>
      </c>
      <c r="E1526" s="22" t="n">
        <v>59.7</v>
      </c>
      <c r="F1526" s="22" t="s">
        <v>164</v>
      </c>
    </row>
    <row r="1527" customFormat="false" ht="15" hidden="false" customHeight="false" outlineLevel="0" collapsed="false">
      <c r="A1527" s="22" t="s">
        <v>3763</v>
      </c>
      <c r="B1527" s="22" t="s">
        <v>3764</v>
      </c>
      <c r="C1527" s="22" t="s">
        <v>162</v>
      </c>
      <c r="D1527" s="22" t="s">
        <v>632</v>
      </c>
      <c r="E1527" s="22" t="n">
        <v>52.2</v>
      </c>
      <c r="F1527" s="22" t="s">
        <v>164</v>
      </c>
    </row>
    <row r="1528" customFormat="false" ht="15" hidden="false" customHeight="false" outlineLevel="0" collapsed="false">
      <c r="A1528" s="22" t="s">
        <v>3765</v>
      </c>
      <c r="B1528" s="22" t="s">
        <v>3766</v>
      </c>
      <c r="C1528" s="22" t="s">
        <v>162</v>
      </c>
      <c r="D1528" s="22" t="s">
        <v>1708</v>
      </c>
      <c r="E1528" s="22" t="n">
        <v>23.4</v>
      </c>
      <c r="F1528" s="22" t="s">
        <v>164</v>
      </c>
    </row>
    <row r="1529" customFormat="false" ht="15" hidden="false" customHeight="false" outlineLevel="0" collapsed="false">
      <c r="A1529" s="22" t="s">
        <v>3767</v>
      </c>
      <c r="B1529" s="22" t="s">
        <v>3768</v>
      </c>
      <c r="C1529" s="22" t="s">
        <v>162</v>
      </c>
      <c r="D1529" s="22" t="s">
        <v>2238</v>
      </c>
      <c r="E1529" s="22" t="n">
        <v>60</v>
      </c>
      <c r="F1529" s="22" t="s">
        <v>175</v>
      </c>
    </row>
    <row r="1530" customFormat="false" ht="15" hidden="false" customHeight="false" outlineLevel="0" collapsed="false">
      <c r="A1530" s="22" t="s">
        <v>3769</v>
      </c>
      <c r="B1530" s="22" t="s">
        <v>3770</v>
      </c>
      <c r="C1530" s="22" t="s">
        <v>162</v>
      </c>
      <c r="D1530" s="22" t="s">
        <v>675</v>
      </c>
      <c r="E1530" s="22" t="n">
        <v>30.6</v>
      </c>
      <c r="F1530" s="22" t="s">
        <v>175</v>
      </c>
    </row>
    <row r="1531" customFormat="false" ht="15" hidden="false" customHeight="false" outlineLevel="0" collapsed="false">
      <c r="A1531" s="22" t="s">
        <v>3771</v>
      </c>
      <c r="B1531" s="22" t="s">
        <v>2795</v>
      </c>
      <c r="C1531" s="22" t="s">
        <v>162</v>
      </c>
      <c r="D1531" s="22" t="s">
        <v>451</v>
      </c>
      <c r="E1531" s="22" t="n">
        <v>34.5</v>
      </c>
      <c r="F1531" s="22" t="s">
        <v>171</v>
      </c>
    </row>
    <row r="1532" customFormat="false" ht="15" hidden="false" customHeight="false" outlineLevel="0" collapsed="false">
      <c r="A1532" s="22" t="s">
        <v>3772</v>
      </c>
      <c r="B1532" s="22" t="s">
        <v>3773</v>
      </c>
      <c r="C1532" s="22" t="s">
        <v>162</v>
      </c>
      <c r="D1532" s="22" t="s">
        <v>3774</v>
      </c>
      <c r="E1532" s="22" t="n">
        <v>20.7</v>
      </c>
      <c r="F1532" s="22" t="s">
        <v>175</v>
      </c>
    </row>
    <row r="1533" customFormat="false" ht="15" hidden="false" customHeight="false" outlineLevel="0" collapsed="false">
      <c r="A1533" s="22" t="s">
        <v>3775</v>
      </c>
      <c r="B1533" s="22" t="s">
        <v>3776</v>
      </c>
      <c r="C1533" s="22" t="s">
        <v>162</v>
      </c>
      <c r="D1533" s="22" t="s">
        <v>3777</v>
      </c>
      <c r="E1533" s="22" t="n">
        <v>57.9</v>
      </c>
      <c r="F1533" s="22" t="s">
        <v>164</v>
      </c>
    </row>
    <row r="1534" customFormat="false" ht="15" hidden="false" customHeight="false" outlineLevel="0" collapsed="false">
      <c r="A1534" s="22" t="s">
        <v>3778</v>
      </c>
      <c r="B1534" s="22" t="s">
        <v>3779</v>
      </c>
      <c r="C1534" s="22" t="s">
        <v>162</v>
      </c>
      <c r="D1534" s="22" t="s">
        <v>626</v>
      </c>
      <c r="E1534" s="22" t="n">
        <v>32.3</v>
      </c>
      <c r="F1534" s="22" t="s">
        <v>188</v>
      </c>
    </row>
    <row r="1535" customFormat="false" ht="15" hidden="false" customHeight="false" outlineLevel="0" collapsed="false">
      <c r="A1535" s="22" t="s">
        <v>3780</v>
      </c>
      <c r="B1535" s="22" t="s">
        <v>3781</v>
      </c>
      <c r="C1535" s="22" t="s">
        <v>162</v>
      </c>
      <c r="D1535" s="22" t="s">
        <v>1545</v>
      </c>
      <c r="E1535" s="22" t="n">
        <v>27</v>
      </c>
      <c r="F1535" s="22" t="s">
        <v>188</v>
      </c>
    </row>
    <row r="1536" customFormat="false" ht="15" hidden="false" customHeight="false" outlineLevel="0" collapsed="false">
      <c r="A1536" s="22" t="s">
        <v>3782</v>
      </c>
      <c r="B1536" s="22" t="s">
        <v>3783</v>
      </c>
      <c r="C1536" s="22" t="s">
        <v>162</v>
      </c>
      <c r="D1536" s="22" t="s">
        <v>2265</v>
      </c>
      <c r="E1536" s="22" t="n">
        <v>19.4</v>
      </c>
      <c r="F1536" s="22" t="s">
        <v>164</v>
      </c>
    </row>
    <row r="1537" customFormat="false" ht="15" hidden="false" customHeight="false" outlineLevel="0" collapsed="false">
      <c r="A1537" s="22" t="s">
        <v>3784</v>
      </c>
      <c r="B1537" s="22" t="s">
        <v>3785</v>
      </c>
      <c r="C1537" s="22" t="s">
        <v>162</v>
      </c>
      <c r="D1537" s="22" t="s">
        <v>793</v>
      </c>
      <c r="E1537" s="22" t="n">
        <v>42.4</v>
      </c>
      <c r="F1537" s="22" t="s">
        <v>175</v>
      </c>
    </row>
    <row r="1538" customFormat="false" ht="15" hidden="false" customHeight="false" outlineLevel="0" collapsed="false">
      <c r="A1538" s="22" t="s">
        <v>3786</v>
      </c>
      <c r="B1538" s="22" t="s">
        <v>3787</v>
      </c>
      <c r="C1538" s="22" t="s">
        <v>162</v>
      </c>
      <c r="D1538" s="22" t="s">
        <v>1190</v>
      </c>
      <c r="E1538" s="22" t="n">
        <v>24.4</v>
      </c>
      <c r="F1538" s="22" t="s">
        <v>175</v>
      </c>
    </row>
    <row r="1539" customFormat="false" ht="15" hidden="false" customHeight="false" outlineLevel="0" collapsed="false">
      <c r="A1539" s="22" t="s">
        <v>3788</v>
      </c>
      <c r="B1539" s="22" t="s">
        <v>3789</v>
      </c>
      <c r="C1539" s="22" t="s">
        <v>207</v>
      </c>
      <c r="D1539" s="22" t="s">
        <v>266</v>
      </c>
      <c r="E1539" s="22" t="n">
        <v>48.9</v>
      </c>
      <c r="F1539" s="22" t="s">
        <v>164</v>
      </c>
    </row>
    <row r="1540" customFormat="false" ht="15" hidden="false" customHeight="false" outlineLevel="0" collapsed="false">
      <c r="A1540" s="22" t="s">
        <v>3790</v>
      </c>
      <c r="B1540" s="22" t="s">
        <v>3791</v>
      </c>
      <c r="C1540" s="22" t="s">
        <v>162</v>
      </c>
      <c r="D1540" s="22" t="s">
        <v>2592</v>
      </c>
      <c r="E1540" s="22" t="n">
        <v>46.8</v>
      </c>
      <c r="F1540" s="22" t="s">
        <v>175</v>
      </c>
    </row>
    <row r="1541" customFormat="false" ht="15" hidden="false" customHeight="false" outlineLevel="0" collapsed="false">
      <c r="A1541" s="22" t="s">
        <v>3792</v>
      </c>
      <c r="B1541" s="22" t="s">
        <v>3793</v>
      </c>
      <c r="C1541" s="22" t="s">
        <v>157</v>
      </c>
      <c r="D1541" s="22" t="s">
        <v>2127</v>
      </c>
      <c r="E1541" s="22" t="n">
        <v>43.3</v>
      </c>
      <c r="F1541" s="22" t="s">
        <v>198</v>
      </c>
    </row>
    <row r="1542" customFormat="false" ht="15" hidden="false" customHeight="false" outlineLevel="0" collapsed="false">
      <c r="A1542" s="22" t="s">
        <v>3794</v>
      </c>
      <c r="B1542" s="22" t="s">
        <v>3795</v>
      </c>
      <c r="C1542" s="22" t="s">
        <v>162</v>
      </c>
      <c r="D1542" s="22" t="s">
        <v>1089</v>
      </c>
      <c r="E1542" s="22" t="n">
        <v>53.5</v>
      </c>
      <c r="F1542" s="22" t="s">
        <v>198</v>
      </c>
    </row>
    <row r="1543" customFormat="false" ht="15" hidden="false" customHeight="false" outlineLevel="0" collapsed="false">
      <c r="A1543" s="22" t="s">
        <v>3796</v>
      </c>
      <c r="B1543" s="22" t="s">
        <v>3797</v>
      </c>
      <c r="C1543" s="22" t="s">
        <v>162</v>
      </c>
      <c r="D1543" s="22" t="s">
        <v>752</v>
      </c>
      <c r="E1543" s="22" t="n">
        <v>28.3</v>
      </c>
      <c r="F1543" s="22" t="s">
        <v>164</v>
      </c>
    </row>
    <row r="1544" customFormat="false" ht="15" hidden="false" customHeight="false" outlineLevel="0" collapsed="false">
      <c r="A1544" s="22" t="s">
        <v>3798</v>
      </c>
      <c r="B1544" s="22" t="s">
        <v>3799</v>
      </c>
      <c r="C1544" s="22" t="s">
        <v>162</v>
      </c>
      <c r="D1544" s="22" t="s">
        <v>1235</v>
      </c>
      <c r="E1544" s="22" t="n">
        <v>35.5</v>
      </c>
      <c r="F1544" s="22" t="s">
        <v>164</v>
      </c>
    </row>
    <row r="1545" customFormat="false" ht="15" hidden="false" customHeight="false" outlineLevel="0" collapsed="false">
      <c r="A1545" s="22" t="s">
        <v>3800</v>
      </c>
      <c r="B1545" s="22" t="s">
        <v>3801</v>
      </c>
      <c r="C1545" s="22" t="s">
        <v>162</v>
      </c>
      <c r="D1545" s="22" t="s">
        <v>770</v>
      </c>
      <c r="E1545" s="22" t="n">
        <v>45.6</v>
      </c>
      <c r="F1545" s="22" t="s">
        <v>164</v>
      </c>
    </row>
    <row r="1546" customFormat="false" ht="15" hidden="false" customHeight="false" outlineLevel="0" collapsed="false">
      <c r="A1546" s="22" t="s">
        <v>3802</v>
      </c>
      <c r="B1546" s="22" t="s">
        <v>323</v>
      </c>
      <c r="C1546" s="22" t="s">
        <v>162</v>
      </c>
      <c r="D1546" s="22" t="s">
        <v>579</v>
      </c>
      <c r="E1546" s="22" t="n">
        <v>60.5</v>
      </c>
      <c r="F1546" s="22" t="s">
        <v>198</v>
      </c>
    </row>
    <row r="1547" customFormat="false" ht="15" hidden="false" customHeight="false" outlineLevel="0" collapsed="false">
      <c r="A1547" s="22" t="s">
        <v>3803</v>
      </c>
      <c r="B1547" s="22" t="s">
        <v>3804</v>
      </c>
      <c r="C1547" s="22" t="s">
        <v>162</v>
      </c>
      <c r="D1547" s="22" t="s">
        <v>672</v>
      </c>
      <c r="E1547" s="22" t="n">
        <v>32.7</v>
      </c>
      <c r="F1547" s="22" t="s">
        <v>164</v>
      </c>
    </row>
    <row r="1548" customFormat="false" ht="15" hidden="false" customHeight="false" outlineLevel="0" collapsed="false">
      <c r="A1548" s="22" t="s">
        <v>3805</v>
      </c>
      <c r="B1548" s="22" t="s">
        <v>3806</v>
      </c>
      <c r="C1548" s="22" t="s">
        <v>162</v>
      </c>
      <c r="D1548" s="22" t="s">
        <v>1929</v>
      </c>
      <c r="E1548" s="22" t="n">
        <v>44.2</v>
      </c>
      <c r="F1548" s="22" t="s">
        <v>159</v>
      </c>
    </row>
    <row r="1549" customFormat="false" ht="15" hidden="false" customHeight="false" outlineLevel="0" collapsed="false">
      <c r="A1549" s="22" t="s">
        <v>3807</v>
      </c>
      <c r="B1549" s="22" t="s">
        <v>3808</v>
      </c>
      <c r="C1549" s="22" t="s">
        <v>162</v>
      </c>
      <c r="D1549" s="22" t="s">
        <v>508</v>
      </c>
      <c r="E1549" s="22" t="n">
        <v>36.1</v>
      </c>
      <c r="F1549" s="22" t="s">
        <v>175</v>
      </c>
    </row>
    <row r="1550" customFormat="false" ht="15" hidden="false" customHeight="false" outlineLevel="0" collapsed="false">
      <c r="A1550" s="22" t="s">
        <v>3809</v>
      </c>
      <c r="B1550" s="22" t="s">
        <v>3810</v>
      </c>
      <c r="C1550" s="22" t="s">
        <v>162</v>
      </c>
      <c r="D1550" s="22" t="s">
        <v>599</v>
      </c>
      <c r="E1550" s="22" t="n">
        <v>44.4</v>
      </c>
      <c r="F1550" s="22" t="s">
        <v>499</v>
      </c>
    </row>
    <row r="1551" customFormat="false" ht="15" hidden="false" customHeight="false" outlineLevel="0" collapsed="false">
      <c r="A1551" s="22" t="s">
        <v>3811</v>
      </c>
      <c r="B1551" s="22" t="s">
        <v>3812</v>
      </c>
      <c r="C1551" s="22" t="s">
        <v>162</v>
      </c>
      <c r="D1551" s="22" t="s">
        <v>3566</v>
      </c>
      <c r="E1551" s="22" t="n">
        <v>55.2</v>
      </c>
      <c r="F1551" s="22" t="s">
        <v>215</v>
      </c>
    </row>
    <row r="1552" customFormat="false" ht="15" hidden="false" customHeight="false" outlineLevel="0" collapsed="false">
      <c r="A1552" s="22" t="s">
        <v>3813</v>
      </c>
      <c r="B1552" s="22" t="s">
        <v>3814</v>
      </c>
      <c r="C1552" s="22" t="s">
        <v>162</v>
      </c>
      <c r="D1552" s="22" t="s">
        <v>1060</v>
      </c>
      <c r="E1552" s="22" t="n">
        <v>30.9</v>
      </c>
      <c r="F1552" s="22" t="s">
        <v>164</v>
      </c>
    </row>
    <row r="1553" customFormat="false" ht="15" hidden="false" customHeight="false" outlineLevel="0" collapsed="false">
      <c r="A1553" s="22" t="s">
        <v>3815</v>
      </c>
      <c r="B1553" s="22" t="s">
        <v>3816</v>
      </c>
      <c r="C1553" s="22" t="s">
        <v>162</v>
      </c>
      <c r="D1553" s="22" t="s">
        <v>2972</v>
      </c>
      <c r="E1553" s="22" t="n">
        <v>48.4</v>
      </c>
      <c r="F1553" s="22" t="s">
        <v>175</v>
      </c>
    </row>
    <row r="1554" customFormat="false" ht="15" hidden="false" customHeight="false" outlineLevel="0" collapsed="false">
      <c r="A1554" s="22" t="s">
        <v>3817</v>
      </c>
      <c r="B1554" s="22" t="s">
        <v>3818</v>
      </c>
      <c r="C1554" s="22" t="s">
        <v>207</v>
      </c>
      <c r="D1554" s="22" t="s">
        <v>849</v>
      </c>
      <c r="E1554" s="22" t="n">
        <v>48.2</v>
      </c>
      <c r="F1554" s="22" t="s">
        <v>175</v>
      </c>
    </row>
    <row r="1555" customFormat="false" ht="15" hidden="false" customHeight="false" outlineLevel="0" collapsed="false">
      <c r="A1555" s="22" t="s">
        <v>3819</v>
      </c>
      <c r="B1555" s="22" t="s">
        <v>3820</v>
      </c>
      <c r="C1555" s="22" t="s">
        <v>162</v>
      </c>
      <c r="D1555" s="22" t="s">
        <v>2201</v>
      </c>
      <c r="E1555" s="22" t="n">
        <v>28.4</v>
      </c>
      <c r="F1555" s="22" t="s">
        <v>198</v>
      </c>
    </row>
    <row r="1556" customFormat="false" ht="15" hidden="false" customHeight="false" outlineLevel="0" collapsed="false">
      <c r="A1556" s="22" t="s">
        <v>3821</v>
      </c>
      <c r="B1556" s="22" t="s">
        <v>3822</v>
      </c>
      <c r="C1556" s="22" t="s">
        <v>162</v>
      </c>
      <c r="D1556" s="22" t="s">
        <v>904</v>
      </c>
      <c r="E1556" s="22" t="n">
        <v>34.7</v>
      </c>
      <c r="F1556" s="22" t="s">
        <v>164</v>
      </c>
    </row>
    <row r="1557" customFormat="false" ht="15" hidden="false" customHeight="false" outlineLevel="0" collapsed="false">
      <c r="A1557" s="22" t="s">
        <v>3823</v>
      </c>
      <c r="B1557" s="22" t="s">
        <v>3824</v>
      </c>
      <c r="C1557" s="22" t="s">
        <v>162</v>
      </c>
      <c r="D1557" s="22" t="s">
        <v>1548</v>
      </c>
      <c r="E1557" s="22" t="n">
        <v>30.6</v>
      </c>
      <c r="F1557" s="22" t="s">
        <v>175</v>
      </c>
    </row>
    <row r="1558" customFormat="false" ht="15" hidden="false" customHeight="false" outlineLevel="0" collapsed="false">
      <c r="A1558" s="22" t="s">
        <v>3825</v>
      </c>
      <c r="B1558" s="22" t="s">
        <v>3826</v>
      </c>
      <c r="C1558" s="22" t="s">
        <v>566</v>
      </c>
      <c r="D1558" s="22" t="s">
        <v>1017</v>
      </c>
      <c r="E1558" s="22" t="n">
        <v>54.4</v>
      </c>
      <c r="F1558" s="22" t="s">
        <v>198</v>
      </c>
    </row>
    <row r="1559" customFormat="false" ht="15" hidden="false" customHeight="false" outlineLevel="0" collapsed="false">
      <c r="A1559" s="22" t="s">
        <v>3827</v>
      </c>
      <c r="B1559" s="22" t="s">
        <v>3828</v>
      </c>
      <c r="C1559" s="22" t="s">
        <v>162</v>
      </c>
      <c r="D1559" s="22" t="s">
        <v>2201</v>
      </c>
      <c r="E1559" s="22" t="n">
        <v>25.7</v>
      </c>
      <c r="F1559" s="22" t="s">
        <v>215</v>
      </c>
    </row>
    <row r="1560" customFormat="false" ht="15" hidden="false" customHeight="false" outlineLevel="0" collapsed="false">
      <c r="A1560" s="22" t="s">
        <v>3829</v>
      </c>
      <c r="B1560" s="22" t="s">
        <v>3830</v>
      </c>
      <c r="C1560" s="22" t="s">
        <v>162</v>
      </c>
      <c r="D1560" s="22" t="s">
        <v>2222</v>
      </c>
      <c r="E1560" s="22" t="n">
        <v>46.4</v>
      </c>
      <c r="F1560" s="22" t="s">
        <v>171</v>
      </c>
    </row>
    <row r="1561" customFormat="false" ht="15" hidden="false" customHeight="false" outlineLevel="0" collapsed="false">
      <c r="A1561" s="22" t="s">
        <v>3831</v>
      </c>
      <c r="B1561" s="22" t="s">
        <v>3832</v>
      </c>
      <c r="C1561" s="22" t="s">
        <v>162</v>
      </c>
      <c r="D1561" s="22" t="s">
        <v>1579</v>
      </c>
      <c r="E1561" s="22" t="n">
        <v>61.7</v>
      </c>
      <c r="F1561" s="22" t="s">
        <v>171</v>
      </c>
    </row>
    <row r="1562" customFormat="false" ht="15" hidden="false" customHeight="false" outlineLevel="0" collapsed="false">
      <c r="A1562" s="22" t="s">
        <v>3833</v>
      </c>
      <c r="B1562" s="22" t="s">
        <v>3834</v>
      </c>
      <c r="C1562" s="22" t="s">
        <v>162</v>
      </c>
      <c r="D1562" s="22" t="s">
        <v>1649</v>
      </c>
      <c r="E1562" s="22" t="n">
        <v>50.3</v>
      </c>
      <c r="F1562" s="22" t="s">
        <v>164</v>
      </c>
    </row>
    <row r="1563" customFormat="false" ht="15" hidden="false" customHeight="false" outlineLevel="0" collapsed="false">
      <c r="A1563" s="22" t="s">
        <v>3835</v>
      </c>
      <c r="B1563" s="22" t="s">
        <v>3836</v>
      </c>
      <c r="C1563" s="22" t="s">
        <v>162</v>
      </c>
      <c r="D1563" s="22" t="s">
        <v>1656</v>
      </c>
      <c r="E1563" s="22" t="n">
        <v>44.2</v>
      </c>
      <c r="F1563" s="22" t="s">
        <v>175</v>
      </c>
    </row>
    <row r="1564" customFormat="false" ht="15" hidden="false" customHeight="false" outlineLevel="0" collapsed="false">
      <c r="A1564" s="22" t="s">
        <v>3837</v>
      </c>
      <c r="B1564" s="22" t="s">
        <v>3838</v>
      </c>
      <c r="C1564" s="22" t="s">
        <v>162</v>
      </c>
      <c r="D1564" s="22" t="s">
        <v>302</v>
      </c>
      <c r="E1564" s="22" t="n">
        <v>59.5</v>
      </c>
      <c r="F1564" s="22" t="s">
        <v>164</v>
      </c>
    </row>
    <row r="1565" customFormat="false" ht="15" hidden="false" customHeight="false" outlineLevel="0" collapsed="false">
      <c r="A1565" s="22" t="s">
        <v>3839</v>
      </c>
      <c r="B1565" s="22" t="s">
        <v>3840</v>
      </c>
      <c r="C1565" s="22" t="s">
        <v>162</v>
      </c>
      <c r="D1565" s="22" t="s">
        <v>1242</v>
      </c>
      <c r="E1565" s="22" t="n">
        <v>20.1</v>
      </c>
      <c r="F1565" s="22" t="s">
        <v>175</v>
      </c>
    </row>
    <row r="1566" customFormat="false" ht="15" hidden="false" customHeight="false" outlineLevel="0" collapsed="false">
      <c r="A1566" s="22" t="s">
        <v>3841</v>
      </c>
      <c r="B1566" s="22" t="s">
        <v>1915</v>
      </c>
      <c r="C1566" s="22" t="s">
        <v>207</v>
      </c>
      <c r="D1566" s="22" t="s">
        <v>3842</v>
      </c>
      <c r="E1566" s="22" t="n">
        <v>42.9</v>
      </c>
      <c r="F1566" s="22" t="s">
        <v>164</v>
      </c>
    </row>
    <row r="1567" customFormat="false" ht="15" hidden="false" customHeight="false" outlineLevel="0" collapsed="false">
      <c r="A1567" s="22" t="s">
        <v>3843</v>
      </c>
      <c r="B1567" s="22" t="s">
        <v>3844</v>
      </c>
      <c r="C1567" s="22" t="s">
        <v>162</v>
      </c>
      <c r="D1567" s="22" t="s">
        <v>2177</v>
      </c>
      <c r="E1567" s="22" t="n">
        <v>40.2</v>
      </c>
      <c r="F1567" s="22" t="s">
        <v>175</v>
      </c>
    </row>
    <row r="1568" customFormat="false" ht="15" hidden="false" customHeight="false" outlineLevel="0" collapsed="false">
      <c r="A1568" s="22" t="s">
        <v>3845</v>
      </c>
      <c r="B1568" s="22" t="s">
        <v>3846</v>
      </c>
      <c r="C1568" s="22" t="s">
        <v>162</v>
      </c>
      <c r="D1568" s="22" t="s">
        <v>312</v>
      </c>
      <c r="E1568" s="22" t="n">
        <v>34.6</v>
      </c>
      <c r="F1568" s="22" t="s">
        <v>164</v>
      </c>
    </row>
    <row r="1569" customFormat="false" ht="15" hidden="false" customHeight="false" outlineLevel="0" collapsed="false">
      <c r="A1569" s="22" t="s">
        <v>3847</v>
      </c>
      <c r="B1569" s="22" t="s">
        <v>3848</v>
      </c>
      <c r="C1569" s="22" t="s">
        <v>207</v>
      </c>
      <c r="D1569" s="22" t="s">
        <v>2592</v>
      </c>
      <c r="E1569" s="22" t="n">
        <v>37.8</v>
      </c>
      <c r="F1569" s="22" t="s">
        <v>175</v>
      </c>
    </row>
    <row r="1570" customFormat="false" ht="15" hidden="false" customHeight="false" outlineLevel="0" collapsed="false">
      <c r="A1570" s="22" t="s">
        <v>3849</v>
      </c>
      <c r="B1570" s="22" t="s">
        <v>3850</v>
      </c>
      <c r="C1570" s="22" t="s">
        <v>157</v>
      </c>
      <c r="D1570" s="22" t="s">
        <v>454</v>
      </c>
      <c r="E1570" s="22" t="n">
        <v>42.9</v>
      </c>
      <c r="F1570" s="22" t="s">
        <v>164</v>
      </c>
    </row>
    <row r="1571" customFormat="false" ht="15" hidden="false" customHeight="false" outlineLevel="0" collapsed="false">
      <c r="A1571" s="22" t="s">
        <v>3851</v>
      </c>
      <c r="B1571" s="22" t="s">
        <v>3852</v>
      </c>
      <c r="C1571" s="22" t="s">
        <v>162</v>
      </c>
      <c r="D1571" s="22" t="s">
        <v>857</v>
      </c>
      <c r="E1571" s="22" t="n">
        <v>18.4</v>
      </c>
      <c r="F1571" s="22" t="s">
        <v>188</v>
      </c>
    </row>
    <row r="1572" customFormat="false" ht="15" hidden="false" customHeight="false" outlineLevel="0" collapsed="false">
      <c r="A1572" s="22" t="s">
        <v>3853</v>
      </c>
      <c r="B1572" s="22" t="s">
        <v>3854</v>
      </c>
      <c r="C1572" s="22" t="s">
        <v>162</v>
      </c>
      <c r="D1572" s="22" t="s">
        <v>1767</v>
      </c>
      <c r="E1572" s="22" t="n">
        <v>38.8</v>
      </c>
      <c r="F1572" s="22" t="s">
        <v>164</v>
      </c>
    </row>
    <row r="1573" customFormat="false" ht="15" hidden="false" customHeight="false" outlineLevel="0" collapsed="false">
      <c r="A1573" s="22" t="s">
        <v>3855</v>
      </c>
      <c r="B1573" s="22" t="s">
        <v>3856</v>
      </c>
      <c r="C1573" s="22" t="s">
        <v>162</v>
      </c>
      <c r="D1573" s="22" t="s">
        <v>2533</v>
      </c>
      <c r="E1573" s="22" t="n">
        <v>26.9</v>
      </c>
      <c r="F1573" s="22" t="s">
        <v>198</v>
      </c>
    </row>
    <row r="1574" customFormat="false" ht="15" hidden="false" customHeight="false" outlineLevel="0" collapsed="false">
      <c r="A1574" s="22" t="s">
        <v>3857</v>
      </c>
      <c r="B1574" s="22" t="s">
        <v>3858</v>
      </c>
      <c r="C1574" s="22" t="s">
        <v>162</v>
      </c>
      <c r="D1574" s="22" t="s">
        <v>1974</v>
      </c>
      <c r="E1574" s="22" t="n">
        <v>36.9</v>
      </c>
      <c r="F1574" s="22" t="s">
        <v>164</v>
      </c>
    </row>
    <row r="1575" customFormat="false" ht="15" hidden="false" customHeight="false" outlineLevel="0" collapsed="false">
      <c r="A1575" s="22" t="s">
        <v>3859</v>
      </c>
      <c r="B1575" s="22" t="s">
        <v>3860</v>
      </c>
      <c r="C1575" s="22" t="s">
        <v>162</v>
      </c>
      <c r="D1575" s="22" t="s">
        <v>431</v>
      </c>
      <c r="E1575" s="22" t="n">
        <v>26.3</v>
      </c>
      <c r="F1575" s="22" t="s">
        <v>171</v>
      </c>
    </row>
    <row r="1576" customFormat="false" ht="15" hidden="false" customHeight="false" outlineLevel="0" collapsed="false">
      <c r="A1576" s="22" t="s">
        <v>3861</v>
      </c>
      <c r="B1576" s="22" t="s">
        <v>3862</v>
      </c>
      <c r="C1576" s="22" t="s">
        <v>162</v>
      </c>
      <c r="D1576" s="22" t="s">
        <v>367</v>
      </c>
      <c r="E1576" s="22" t="n">
        <v>30.9</v>
      </c>
      <c r="F1576" s="22" t="s">
        <v>164</v>
      </c>
    </row>
    <row r="1577" customFormat="false" ht="15" hidden="false" customHeight="false" outlineLevel="0" collapsed="false">
      <c r="A1577" s="22" t="s">
        <v>3863</v>
      </c>
      <c r="B1577" s="22" t="s">
        <v>3864</v>
      </c>
      <c r="C1577" s="22" t="s">
        <v>207</v>
      </c>
      <c r="D1577" s="22" t="s">
        <v>3865</v>
      </c>
      <c r="E1577" s="22" t="n">
        <v>23.9</v>
      </c>
      <c r="F1577" s="22" t="s">
        <v>159</v>
      </c>
    </row>
    <row r="1578" customFormat="false" ht="15" hidden="false" customHeight="false" outlineLevel="0" collapsed="false">
      <c r="A1578" s="22" t="s">
        <v>3866</v>
      </c>
      <c r="B1578" s="22" t="s">
        <v>3867</v>
      </c>
      <c r="C1578" s="22" t="s">
        <v>162</v>
      </c>
      <c r="D1578" s="22" t="s">
        <v>2503</v>
      </c>
      <c r="E1578" s="22" t="n">
        <v>61.9</v>
      </c>
      <c r="F1578" s="22" t="s">
        <v>164</v>
      </c>
    </row>
    <row r="1579" customFormat="false" ht="15" hidden="false" customHeight="false" outlineLevel="0" collapsed="false">
      <c r="A1579" s="22" t="s">
        <v>3868</v>
      </c>
      <c r="B1579" s="22" t="s">
        <v>3869</v>
      </c>
      <c r="C1579" s="22" t="s">
        <v>162</v>
      </c>
      <c r="D1579" s="22" t="s">
        <v>3711</v>
      </c>
      <c r="E1579" s="22" t="n">
        <v>53.8</v>
      </c>
      <c r="F1579" s="22" t="s">
        <v>159</v>
      </c>
    </row>
    <row r="1580" customFormat="false" ht="15" hidden="false" customHeight="false" outlineLevel="0" collapsed="false">
      <c r="A1580" s="22" t="s">
        <v>3870</v>
      </c>
      <c r="B1580" s="22" t="s">
        <v>3871</v>
      </c>
      <c r="C1580" s="22" t="s">
        <v>162</v>
      </c>
      <c r="D1580" s="22" t="s">
        <v>1291</v>
      </c>
      <c r="E1580" s="22" t="n">
        <v>25.3</v>
      </c>
      <c r="F1580" s="22" t="s">
        <v>159</v>
      </c>
    </row>
    <row r="1581" customFormat="false" ht="15" hidden="false" customHeight="false" outlineLevel="0" collapsed="false">
      <c r="A1581" s="22" t="s">
        <v>3872</v>
      </c>
      <c r="B1581" s="22" t="s">
        <v>3873</v>
      </c>
      <c r="C1581" s="22" t="s">
        <v>207</v>
      </c>
      <c r="D1581" s="22" t="s">
        <v>1054</v>
      </c>
      <c r="E1581" s="22" t="n">
        <v>27.8</v>
      </c>
      <c r="F1581" s="22" t="s">
        <v>215</v>
      </c>
    </row>
    <row r="1582" customFormat="false" ht="15" hidden="false" customHeight="false" outlineLevel="0" collapsed="false">
      <c r="A1582" s="22" t="s">
        <v>3874</v>
      </c>
      <c r="B1582" s="22" t="s">
        <v>3875</v>
      </c>
      <c r="C1582" s="22" t="s">
        <v>162</v>
      </c>
      <c r="D1582" s="22" t="s">
        <v>2034</v>
      </c>
      <c r="E1582" s="22" t="n">
        <v>37.9</v>
      </c>
      <c r="F1582" s="22" t="s">
        <v>175</v>
      </c>
    </row>
    <row r="1583" customFormat="false" ht="15" hidden="false" customHeight="false" outlineLevel="0" collapsed="false">
      <c r="A1583" s="22" t="s">
        <v>3876</v>
      </c>
      <c r="B1583" s="22" t="s">
        <v>3877</v>
      </c>
      <c r="C1583" s="22" t="s">
        <v>162</v>
      </c>
      <c r="D1583" s="22" t="s">
        <v>930</v>
      </c>
      <c r="E1583" s="22" t="n">
        <v>25.8</v>
      </c>
      <c r="F1583" s="22" t="s">
        <v>198</v>
      </c>
    </row>
    <row r="1584" customFormat="false" ht="15" hidden="false" customHeight="false" outlineLevel="0" collapsed="false">
      <c r="A1584" s="22" t="s">
        <v>3878</v>
      </c>
      <c r="B1584" s="22" t="s">
        <v>3879</v>
      </c>
      <c r="C1584" s="22" t="s">
        <v>157</v>
      </c>
      <c r="D1584" s="22" t="s">
        <v>439</v>
      </c>
      <c r="E1584" s="22" t="n">
        <v>42.2</v>
      </c>
      <c r="F1584" s="22" t="s">
        <v>164</v>
      </c>
    </row>
    <row r="1585" customFormat="false" ht="15" hidden="false" customHeight="false" outlineLevel="0" collapsed="false">
      <c r="A1585" s="22" t="s">
        <v>3880</v>
      </c>
      <c r="B1585" s="22" t="s">
        <v>3881</v>
      </c>
      <c r="C1585" s="22" t="s">
        <v>162</v>
      </c>
      <c r="D1585" s="22" t="s">
        <v>416</v>
      </c>
      <c r="E1585" s="22" t="n">
        <v>61.3</v>
      </c>
      <c r="F1585" s="22" t="s">
        <v>164</v>
      </c>
    </row>
    <row r="1586" customFormat="false" ht="15" hidden="false" customHeight="false" outlineLevel="0" collapsed="false">
      <c r="A1586" s="22" t="s">
        <v>3882</v>
      </c>
      <c r="B1586" s="22" t="s">
        <v>3883</v>
      </c>
      <c r="C1586" s="22" t="s">
        <v>162</v>
      </c>
      <c r="D1586" s="22" t="s">
        <v>1553</v>
      </c>
      <c r="E1586" s="22" t="n">
        <v>28</v>
      </c>
      <c r="F1586" s="22" t="s">
        <v>159</v>
      </c>
    </row>
    <row r="1587" customFormat="false" ht="15" hidden="false" customHeight="false" outlineLevel="0" collapsed="false">
      <c r="A1587" s="22" t="s">
        <v>3884</v>
      </c>
      <c r="B1587" s="22" t="s">
        <v>3885</v>
      </c>
      <c r="C1587" s="22" t="s">
        <v>162</v>
      </c>
      <c r="D1587" s="22" t="s">
        <v>2297</v>
      </c>
      <c r="E1587" s="22" t="n">
        <v>46.9</v>
      </c>
      <c r="F1587" s="22" t="s">
        <v>171</v>
      </c>
    </row>
    <row r="1588" customFormat="false" ht="15" hidden="false" customHeight="false" outlineLevel="0" collapsed="false">
      <c r="A1588" s="22" t="s">
        <v>3886</v>
      </c>
      <c r="B1588" s="22" t="s">
        <v>3887</v>
      </c>
      <c r="C1588" s="22" t="s">
        <v>162</v>
      </c>
      <c r="D1588" s="22" t="s">
        <v>436</v>
      </c>
      <c r="E1588" s="22" t="n">
        <v>35</v>
      </c>
      <c r="F1588" s="22" t="s">
        <v>159</v>
      </c>
    </row>
    <row r="1589" customFormat="false" ht="15" hidden="false" customHeight="false" outlineLevel="0" collapsed="false">
      <c r="A1589" s="22" t="s">
        <v>3888</v>
      </c>
      <c r="B1589" s="22" t="s">
        <v>3889</v>
      </c>
      <c r="C1589" s="22" t="s">
        <v>162</v>
      </c>
      <c r="D1589" s="22" t="s">
        <v>324</v>
      </c>
      <c r="E1589" s="22" t="n">
        <v>50</v>
      </c>
      <c r="F1589" s="22" t="s">
        <v>215</v>
      </c>
    </row>
    <row r="1590" customFormat="false" ht="15" hidden="false" customHeight="false" outlineLevel="0" collapsed="false">
      <c r="A1590" s="22" t="s">
        <v>3890</v>
      </c>
      <c r="B1590" s="22" t="s">
        <v>3891</v>
      </c>
      <c r="C1590" s="22" t="s">
        <v>162</v>
      </c>
      <c r="D1590" s="22" t="s">
        <v>254</v>
      </c>
      <c r="E1590" s="22" t="n">
        <v>23.7</v>
      </c>
      <c r="F1590" s="22" t="s">
        <v>164</v>
      </c>
    </row>
    <row r="1591" customFormat="false" ht="15" hidden="false" customHeight="false" outlineLevel="0" collapsed="false">
      <c r="A1591" s="22" t="s">
        <v>3892</v>
      </c>
      <c r="B1591" s="22" t="s">
        <v>3893</v>
      </c>
      <c r="C1591" s="22" t="s">
        <v>162</v>
      </c>
      <c r="D1591" s="22" t="s">
        <v>1484</v>
      </c>
      <c r="E1591" s="22" t="n">
        <v>41.5</v>
      </c>
      <c r="F1591" s="22" t="s">
        <v>164</v>
      </c>
    </row>
    <row r="1592" customFormat="false" ht="15" hidden="false" customHeight="false" outlineLevel="0" collapsed="false">
      <c r="A1592" s="22" t="s">
        <v>3894</v>
      </c>
      <c r="B1592" s="22" t="s">
        <v>3895</v>
      </c>
      <c r="C1592" s="22" t="s">
        <v>162</v>
      </c>
      <c r="D1592" s="22" t="s">
        <v>1187</v>
      </c>
      <c r="E1592" s="22" t="n">
        <v>26.7</v>
      </c>
      <c r="F1592" s="22" t="s">
        <v>164</v>
      </c>
    </row>
    <row r="1593" customFormat="false" ht="15" hidden="false" customHeight="false" outlineLevel="0" collapsed="false">
      <c r="A1593" s="22" t="s">
        <v>3896</v>
      </c>
      <c r="B1593" s="22" t="s">
        <v>3897</v>
      </c>
      <c r="C1593" s="22" t="s">
        <v>162</v>
      </c>
      <c r="D1593" s="22" t="s">
        <v>1718</v>
      </c>
      <c r="E1593" s="22" t="n">
        <v>21.8</v>
      </c>
      <c r="F1593" s="22" t="s">
        <v>188</v>
      </c>
    </row>
    <row r="1594" customFormat="false" ht="15" hidden="false" customHeight="false" outlineLevel="0" collapsed="false">
      <c r="A1594" s="22" t="s">
        <v>3898</v>
      </c>
      <c r="B1594" s="22" t="s">
        <v>3899</v>
      </c>
      <c r="C1594" s="22" t="s">
        <v>162</v>
      </c>
      <c r="D1594" s="22" t="s">
        <v>352</v>
      </c>
      <c r="E1594" s="22" t="n">
        <v>53.4</v>
      </c>
      <c r="F1594" s="22" t="s">
        <v>175</v>
      </c>
    </row>
    <row r="1595" customFormat="false" ht="15" hidden="false" customHeight="false" outlineLevel="0" collapsed="false">
      <c r="A1595" s="22" t="s">
        <v>3900</v>
      </c>
      <c r="B1595" s="22" t="s">
        <v>3901</v>
      </c>
      <c r="C1595" s="22" t="s">
        <v>162</v>
      </c>
      <c r="D1595" s="22" t="s">
        <v>723</v>
      </c>
      <c r="E1595" s="22" t="n">
        <v>33.6</v>
      </c>
      <c r="F1595" s="22" t="s">
        <v>164</v>
      </c>
    </row>
    <row r="1596" customFormat="false" ht="15" hidden="false" customHeight="false" outlineLevel="0" collapsed="false">
      <c r="A1596" s="22" t="s">
        <v>3902</v>
      </c>
      <c r="B1596" s="22" t="s">
        <v>3903</v>
      </c>
      <c r="C1596" s="22" t="s">
        <v>162</v>
      </c>
      <c r="D1596" s="22" t="s">
        <v>1138</v>
      </c>
      <c r="E1596" s="22" t="n">
        <v>58.3</v>
      </c>
      <c r="F1596" s="22" t="s">
        <v>164</v>
      </c>
    </row>
    <row r="1597" customFormat="false" ht="15" hidden="false" customHeight="false" outlineLevel="0" collapsed="false">
      <c r="A1597" s="22" t="s">
        <v>3904</v>
      </c>
      <c r="B1597" s="22" t="s">
        <v>3905</v>
      </c>
      <c r="C1597" s="22" t="s">
        <v>162</v>
      </c>
      <c r="D1597" s="22" t="s">
        <v>3906</v>
      </c>
      <c r="E1597" s="22" t="n">
        <v>59.1</v>
      </c>
      <c r="F1597" s="22" t="s">
        <v>171</v>
      </c>
    </row>
    <row r="1598" customFormat="false" ht="15" hidden="false" customHeight="false" outlineLevel="0" collapsed="false">
      <c r="A1598" s="22" t="s">
        <v>3907</v>
      </c>
      <c r="B1598" s="22" t="s">
        <v>3908</v>
      </c>
      <c r="C1598" s="22" t="s">
        <v>162</v>
      </c>
      <c r="D1598" s="22" t="s">
        <v>1850</v>
      </c>
      <c r="E1598" s="22" t="n">
        <v>58.7</v>
      </c>
      <c r="F1598" s="22" t="s">
        <v>175</v>
      </c>
    </row>
    <row r="1599" customFormat="false" ht="15" hidden="false" customHeight="false" outlineLevel="0" collapsed="false">
      <c r="A1599" s="22" t="s">
        <v>3909</v>
      </c>
      <c r="B1599" s="22" t="s">
        <v>3910</v>
      </c>
      <c r="C1599" s="22" t="s">
        <v>162</v>
      </c>
      <c r="D1599" s="22" t="s">
        <v>953</v>
      </c>
      <c r="E1599" s="22" t="n">
        <v>29.2</v>
      </c>
      <c r="F1599" s="22" t="s">
        <v>159</v>
      </c>
    </row>
    <row r="1600" customFormat="false" ht="15" hidden="false" customHeight="false" outlineLevel="0" collapsed="false">
      <c r="A1600" s="22" t="s">
        <v>3911</v>
      </c>
      <c r="B1600" s="22" t="s">
        <v>3912</v>
      </c>
      <c r="C1600" s="22" t="s">
        <v>162</v>
      </c>
      <c r="D1600" s="22" t="s">
        <v>3292</v>
      </c>
      <c r="E1600" s="22" t="n">
        <v>61.3</v>
      </c>
      <c r="F1600" s="22" t="s">
        <v>164</v>
      </c>
    </row>
    <row r="1601" customFormat="false" ht="15" hidden="false" customHeight="false" outlineLevel="0" collapsed="false">
      <c r="A1601" s="22" t="s">
        <v>3913</v>
      </c>
      <c r="B1601" s="22" t="s">
        <v>3914</v>
      </c>
      <c r="C1601" s="22" t="s">
        <v>162</v>
      </c>
      <c r="D1601" s="22" t="s">
        <v>2485</v>
      </c>
      <c r="E1601" s="22" t="n">
        <v>57.4</v>
      </c>
      <c r="F1601" s="22" t="s">
        <v>171</v>
      </c>
    </row>
    <row r="1602" customFormat="false" ht="15" hidden="false" customHeight="false" outlineLevel="0" collapsed="false">
      <c r="A1602" s="22" t="s">
        <v>3915</v>
      </c>
      <c r="B1602" s="22" t="s">
        <v>2524</v>
      </c>
      <c r="C1602" s="22" t="s">
        <v>162</v>
      </c>
      <c r="D1602" s="22" t="s">
        <v>815</v>
      </c>
      <c r="E1602" s="22" t="n">
        <v>51.7</v>
      </c>
      <c r="F1602" s="22" t="s">
        <v>159</v>
      </c>
    </row>
    <row r="1603" customFormat="false" ht="15" hidden="false" customHeight="false" outlineLevel="0" collapsed="false">
      <c r="A1603" s="22" t="s">
        <v>3916</v>
      </c>
      <c r="B1603" s="22" t="s">
        <v>3917</v>
      </c>
      <c r="C1603" s="22" t="s">
        <v>162</v>
      </c>
      <c r="D1603" s="22" t="s">
        <v>2287</v>
      </c>
      <c r="E1603" s="22" t="n">
        <v>27.7</v>
      </c>
      <c r="F1603" s="22" t="s">
        <v>215</v>
      </c>
    </row>
    <row r="1604" customFormat="false" ht="15" hidden="false" customHeight="false" outlineLevel="0" collapsed="false">
      <c r="A1604" s="22" t="s">
        <v>3918</v>
      </c>
      <c r="B1604" s="22" t="s">
        <v>3919</v>
      </c>
      <c r="C1604" s="22" t="s">
        <v>162</v>
      </c>
      <c r="D1604" s="22" t="s">
        <v>585</v>
      </c>
      <c r="E1604" s="22" t="n">
        <v>56.4</v>
      </c>
      <c r="F1604" s="22" t="s">
        <v>499</v>
      </c>
    </row>
    <row r="1605" customFormat="false" ht="15" hidden="false" customHeight="false" outlineLevel="0" collapsed="false">
      <c r="A1605" s="22" t="s">
        <v>3920</v>
      </c>
      <c r="B1605" s="22" t="s">
        <v>3921</v>
      </c>
      <c r="C1605" s="22" t="s">
        <v>162</v>
      </c>
      <c r="D1605" s="22" t="s">
        <v>1262</v>
      </c>
      <c r="E1605" s="22" t="n">
        <v>43.2</v>
      </c>
      <c r="F1605" s="22" t="s">
        <v>188</v>
      </c>
    </row>
    <row r="1606" customFormat="false" ht="15" hidden="false" customHeight="false" outlineLevel="0" collapsed="false">
      <c r="A1606" s="22" t="s">
        <v>3922</v>
      </c>
      <c r="B1606" s="22" t="s">
        <v>3923</v>
      </c>
      <c r="C1606" s="22" t="s">
        <v>162</v>
      </c>
      <c r="D1606" s="22" t="s">
        <v>762</v>
      </c>
      <c r="E1606" s="22" t="n">
        <v>27.2</v>
      </c>
      <c r="F1606" s="22" t="s">
        <v>175</v>
      </c>
    </row>
    <row r="1607" customFormat="false" ht="15" hidden="false" customHeight="false" outlineLevel="0" collapsed="false">
      <c r="A1607" s="22" t="s">
        <v>3924</v>
      </c>
      <c r="B1607" s="22" t="s">
        <v>3925</v>
      </c>
      <c r="C1607" s="22" t="s">
        <v>207</v>
      </c>
      <c r="D1607" s="22" t="s">
        <v>1242</v>
      </c>
      <c r="E1607" s="22" t="n">
        <v>37.3</v>
      </c>
      <c r="F1607" s="22" t="s">
        <v>499</v>
      </c>
    </row>
    <row r="1608" customFormat="false" ht="15" hidden="false" customHeight="false" outlineLevel="0" collapsed="false">
      <c r="A1608" s="22" t="s">
        <v>3926</v>
      </c>
      <c r="B1608" s="22" t="s">
        <v>3927</v>
      </c>
      <c r="C1608" s="22" t="s">
        <v>162</v>
      </c>
      <c r="D1608" s="22" t="s">
        <v>184</v>
      </c>
      <c r="E1608" s="22" t="n">
        <v>30.4</v>
      </c>
      <c r="F1608" s="22" t="s">
        <v>175</v>
      </c>
    </row>
    <row r="1609" customFormat="false" ht="15" hidden="false" customHeight="false" outlineLevel="0" collapsed="false">
      <c r="A1609" s="22" t="s">
        <v>3928</v>
      </c>
      <c r="B1609" s="22" t="s">
        <v>3929</v>
      </c>
      <c r="C1609" s="22" t="s">
        <v>162</v>
      </c>
      <c r="D1609" s="22" t="s">
        <v>1866</v>
      </c>
      <c r="E1609" s="22" t="n">
        <v>51</v>
      </c>
      <c r="F1609" s="22" t="s">
        <v>175</v>
      </c>
    </row>
    <row r="1610" customFormat="false" ht="15" hidden="false" customHeight="false" outlineLevel="0" collapsed="false">
      <c r="A1610" s="22" t="s">
        <v>3930</v>
      </c>
      <c r="B1610" s="22" t="s">
        <v>3931</v>
      </c>
      <c r="C1610" s="22" t="s">
        <v>162</v>
      </c>
      <c r="D1610" s="22" t="s">
        <v>170</v>
      </c>
      <c r="E1610" s="22" t="n">
        <v>23.1</v>
      </c>
      <c r="F1610" s="22" t="s">
        <v>164</v>
      </c>
    </row>
    <row r="1611" customFormat="false" ht="15" hidden="false" customHeight="false" outlineLevel="0" collapsed="false">
      <c r="A1611" s="22" t="s">
        <v>3932</v>
      </c>
      <c r="B1611" s="22" t="s">
        <v>3933</v>
      </c>
      <c r="C1611" s="22" t="s">
        <v>162</v>
      </c>
      <c r="D1611" s="22" t="s">
        <v>1435</v>
      </c>
      <c r="E1611" s="22" t="n">
        <v>54.3</v>
      </c>
      <c r="F1611" s="22" t="s">
        <v>164</v>
      </c>
    </row>
    <row r="1612" customFormat="false" ht="15" hidden="false" customHeight="false" outlineLevel="0" collapsed="false">
      <c r="A1612" s="22" t="s">
        <v>3934</v>
      </c>
      <c r="B1612" s="22" t="s">
        <v>3935</v>
      </c>
      <c r="C1612" s="22" t="s">
        <v>162</v>
      </c>
      <c r="D1612" s="22" t="s">
        <v>1408</v>
      </c>
      <c r="E1612" s="22" t="n">
        <v>31.6</v>
      </c>
      <c r="F1612" s="22" t="s">
        <v>164</v>
      </c>
    </row>
    <row r="1613" customFormat="false" ht="15" hidden="false" customHeight="false" outlineLevel="0" collapsed="false">
      <c r="A1613" s="22" t="s">
        <v>3936</v>
      </c>
      <c r="B1613" s="22" t="s">
        <v>3937</v>
      </c>
      <c r="C1613" s="22" t="s">
        <v>162</v>
      </c>
      <c r="D1613" s="22" t="s">
        <v>287</v>
      </c>
      <c r="E1613" s="22" t="n">
        <v>61.6</v>
      </c>
      <c r="F1613" s="22" t="s">
        <v>159</v>
      </c>
    </row>
    <row r="1614" customFormat="false" ht="15" hidden="false" customHeight="false" outlineLevel="0" collapsed="false">
      <c r="A1614" s="22" t="s">
        <v>3938</v>
      </c>
      <c r="B1614" s="22" t="s">
        <v>3939</v>
      </c>
      <c r="C1614" s="22" t="s">
        <v>162</v>
      </c>
      <c r="D1614" s="22" t="s">
        <v>2981</v>
      </c>
      <c r="E1614" s="22" t="n">
        <v>31.1</v>
      </c>
      <c r="F1614" s="22" t="s">
        <v>198</v>
      </c>
    </row>
    <row r="1615" customFormat="false" ht="15" hidden="false" customHeight="false" outlineLevel="0" collapsed="false">
      <c r="A1615" s="22" t="s">
        <v>3940</v>
      </c>
      <c r="B1615" s="22" t="s">
        <v>3941</v>
      </c>
      <c r="C1615" s="22" t="s">
        <v>162</v>
      </c>
      <c r="D1615" s="22" t="s">
        <v>218</v>
      </c>
      <c r="E1615" s="22" t="n">
        <v>53.7</v>
      </c>
      <c r="F1615" s="22" t="s">
        <v>175</v>
      </c>
    </row>
    <row r="1616" customFormat="false" ht="15" hidden="false" customHeight="false" outlineLevel="0" collapsed="false">
      <c r="A1616" s="22" t="s">
        <v>3942</v>
      </c>
      <c r="B1616" s="22" t="s">
        <v>3943</v>
      </c>
      <c r="C1616" s="22" t="s">
        <v>162</v>
      </c>
      <c r="D1616" s="22" t="s">
        <v>752</v>
      </c>
      <c r="E1616" s="22" t="n">
        <v>43.8</v>
      </c>
      <c r="F1616" s="22" t="s">
        <v>164</v>
      </c>
    </row>
    <row r="1617" customFormat="false" ht="15" hidden="false" customHeight="false" outlineLevel="0" collapsed="false">
      <c r="A1617" s="22" t="s">
        <v>3944</v>
      </c>
      <c r="B1617" s="22" t="s">
        <v>3945</v>
      </c>
      <c r="C1617" s="22" t="s">
        <v>162</v>
      </c>
      <c r="D1617" s="22" t="s">
        <v>1850</v>
      </c>
      <c r="E1617" s="22" t="n">
        <v>53.2</v>
      </c>
      <c r="F1617" s="22" t="s">
        <v>171</v>
      </c>
    </row>
    <row r="1618" customFormat="false" ht="15" hidden="false" customHeight="false" outlineLevel="0" collapsed="false">
      <c r="A1618" s="22" t="s">
        <v>3946</v>
      </c>
      <c r="B1618" s="22" t="s">
        <v>3947</v>
      </c>
      <c r="C1618" s="22" t="s">
        <v>162</v>
      </c>
      <c r="D1618" s="22" t="s">
        <v>684</v>
      </c>
      <c r="E1618" s="22" t="n">
        <v>26.4</v>
      </c>
      <c r="F1618" s="22" t="s">
        <v>164</v>
      </c>
    </row>
    <row r="1619" customFormat="false" ht="15" hidden="false" customHeight="false" outlineLevel="0" collapsed="false">
      <c r="A1619" s="22" t="s">
        <v>3948</v>
      </c>
      <c r="B1619" s="22" t="s">
        <v>3949</v>
      </c>
      <c r="C1619" s="22" t="s">
        <v>207</v>
      </c>
      <c r="D1619" s="22" t="s">
        <v>3950</v>
      </c>
      <c r="E1619" s="22" t="n">
        <v>27.8</v>
      </c>
      <c r="F1619" s="22" t="s">
        <v>164</v>
      </c>
    </row>
    <row r="1620" customFormat="false" ht="15" hidden="false" customHeight="false" outlineLevel="0" collapsed="false">
      <c r="A1620" s="22" t="s">
        <v>3951</v>
      </c>
      <c r="B1620" s="22" t="s">
        <v>3952</v>
      </c>
      <c r="C1620" s="22" t="s">
        <v>162</v>
      </c>
      <c r="D1620" s="22" t="s">
        <v>784</v>
      </c>
      <c r="E1620" s="22" t="n">
        <v>26.6</v>
      </c>
      <c r="F1620" s="22" t="s">
        <v>175</v>
      </c>
    </row>
    <row r="1621" customFormat="false" ht="15" hidden="false" customHeight="false" outlineLevel="0" collapsed="false">
      <c r="A1621" s="22" t="s">
        <v>3953</v>
      </c>
      <c r="B1621" s="22" t="s">
        <v>3954</v>
      </c>
      <c r="C1621" s="22" t="s">
        <v>162</v>
      </c>
      <c r="D1621" s="22" t="s">
        <v>933</v>
      </c>
      <c r="E1621" s="22" t="n">
        <v>42.4</v>
      </c>
      <c r="F1621" s="22" t="s">
        <v>164</v>
      </c>
    </row>
    <row r="1622" customFormat="false" ht="15" hidden="false" customHeight="false" outlineLevel="0" collapsed="false">
      <c r="A1622" s="22" t="s">
        <v>3955</v>
      </c>
      <c r="B1622" s="22" t="s">
        <v>3956</v>
      </c>
      <c r="C1622" s="22" t="s">
        <v>162</v>
      </c>
      <c r="D1622" s="22" t="s">
        <v>2324</v>
      </c>
      <c r="E1622" s="22" t="n">
        <v>19.2</v>
      </c>
      <c r="F1622" s="22" t="s">
        <v>164</v>
      </c>
    </row>
    <row r="1623" customFormat="false" ht="15" hidden="false" customHeight="false" outlineLevel="0" collapsed="false">
      <c r="A1623" s="22" t="s">
        <v>3957</v>
      </c>
      <c r="B1623" s="22" t="s">
        <v>3958</v>
      </c>
      <c r="C1623" s="22" t="s">
        <v>162</v>
      </c>
      <c r="D1623" s="22" t="s">
        <v>248</v>
      </c>
      <c r="E1623" s="22" t="n">
        <v>34.3</v>
      </c>
      <c r="F1623" s="22" t="s">
        <v>215</v>
      </c>
    </row>
    <row r="1624" customFormat="false" ht="15" hidden="false" customHeight="false" outlineLevel="0" collapsed="false">
      <c r="A1624" s="22" t="s">
        <v>3959</v>
      </c>
      <c r="B1624" s="22" t="s">
        <v>3960</v>
      </c>
      <c r="C1624" s="22" t="s">
        <v>162</v>
      </c>
      <c r="D1624" s="22" t="s">
        <v>866</v>
      </c>
      <c r="E1624" s="22" t="n">
        <v>52.6</v>
      </c>
      <c r="F1624" s="22" t="s">
        <v>215</v>
      </c>
    </row>
    <row r="1625" customFormat="false" ht="15" hidden="false" customHeight="false" outlineLevel="0" collapsed="false">
      <c r="A1625" s="22" t="s">
        <v>3961</v>
      </c>
      <c r="B1625" s="22" t="s">
        <v>3962</v>
      </c>
      <c r="C1625" s="22" t="s">
        <v>207</v>
      </c>
      <c r="D1625" s="22" t="s">
        <v>793</v>
      </c>
      <c r="E1625" s="22" t="n">
        <v>41.4</v>
      </c>
      <c r="F1625" s="22" t="s">
        <v>164</v>
      </c>
    </row>
    <row r="1626" customFormat="false" ht="15" hidden="false" customHeight="false" outlineLevel="0" collapsed="false">
      <c r="A1626" s="22" t="s">
        <v>3963</v>
      </c>
      <c r="B1626" s="22" t="s">
        <v>3964</v>
      </c>
      <c r="C1626" s="22" t="s">
        <v>162</v>
      </c>
      <c r="D1626" s="22" t="s">
        <v>2695</v>
      </c>
      <c r="E1626" s="22" t="n">
        <v>41</v>
      </c>
      <c r="F1626" s="22" t="s">
        <v>164</v>
      </c>
    </row>
    <row r="1627" customFormat="false" ht="15" hidden="false" customHeight="false" outlineLevel="0" collapsed="false">
      <c r="A1627" s="22" t="s">
        <v>3965</v>
      </c>
      <c r="B1627" s="22" t="s">
        <v>3966</v>
      </c>
      <c r="C1627" s="22" t="s">
        <v>566</v>
      </c>
      <c r="D1627" s="22" t="s">
        <v>852</v>
      </c>
      <c r="E1627" s="22" t="n">
        <v>30.8</v>
      </c>
      <c r="F1627" s="22" t="s">
        <v>175</v>
      </c>
    </row>
    <row r="1628" customFormat="false" ht="15" hidden="false" customHeight="false" outlineLevel="0" collapsed="false">
      <c r="A1628" s="22" t="s">
        <v>3967</v>
      </c>
      <c r="B1628" s="22" t="s">
        <v>3968</v>
      </c>
      <c r="C1628" s="22" t="s">
        <v>162</v>
      </c>
      <c r="D1628" s="22" t="s">
        <v>321</v>
      </c>
      <c r="E1628" s="22" t="n">
        <v>33.5</v>
      </c>
      <c r="F1628" s="22" t="s">
        <v>159</v>
      </c>
    </row>
    <row r="1629" customFormat="false" ht="15" hidden="false" customHeight="false" outlineLevel="0" collapsed="false">
      <c r="A1629" s="22" t="s">
        <v>3969</v>
      </c>
      <c r="B1629" s="22" t="s">
        <v>3970</v>
      </c>
      <c r="C1629" s="22" t="s">
        <v>162</v>
      </c>
      <c r="D1629" s="22" t="s">
        <v>802</v>
      </c>
      <c r="E1629" s="22" t="n">
        <v>20.7</v>
      </c>
      <c r="F1629" s="22" t="s">
        <v>175</v>
      </c>
    </row>
    <row r="1630" customFormat="false" ht="15" hidden="false" customHeight="false" outlineLevel="0" collapsed="false">
      <c r="A1630" s="22" t="s">
        <v>3971</v>
      </c>
      <c r="B1630" s="22" t="s">
        <v>3972</v>
      </c>
      <c r="C1630" s="22" t="s">
        <v>162</v>
      </c>
      <c r="D1630" s="22" t="s">
        <v>379</v>
      </c>
      <c r="E1630" s="22" t="n">
        <v>20.9</v>
      </c>
      <c r="F1630" s="22" t="s">
        <v>175</v>
      </c>
    </row>
    <row r="1631" customFormat="false" ht="15" hidden="false" customHeight="false" outlineLevel="0" collapsed="false">
      <c r="A1631" s="22" t="s">
        <v>3973</v>
      </c>
      <c r="B1631" s="22" t="s">
        <v>3974</v>
      </c>
      <c r="C1631" s="22" t="s">
        <v>162</v>
      </c>
      <c r="D1631" s="22" t="s">
        <v>1802</v>
      </c>
      <c r="E1631" s="22" t="n">
        <v>27.3</v>
      </c>
      <c r="F1631" s="22" t="s">
        <v>164</v>
      </c>
    </row>
    <row r="1632" customFormat="false" ht="15" hidden="false" customHeight="false" outlineLevel="0" collapsed="false">
      <c r="A1632" s="22" t="s">
        <v>3975</v>
      </c>
      <c r="B1632" s="22" t="s">
        <v>3976</v>
      </c>
      <c r="C1632" s="22" t="s">
        <v>157</v>
      </c>
      <c r="D1632" s="22" t="s">
        <v>2512</v>
      </c>
      <c r="E1632" s="22" t="n">
        <v>59.7</v>
      </c>
      <c r="F1632" s="22" t="s">
        <v>499</v>
      </c>
    </row>
    <row r="1633" customFormat="false" ht="15" hidden="false" customHeight="false" outlineLevel="0" collapsed="false">
      <c r="A1633" s="22" t="s">
        <v>3977</v>
      </c>
      <c r="B1633" s="22" t="s">
        <v>3978</v>
      </c>
      <c r="C1633" s="22" t="s">
        <v>157</v>
      </c>
      <c r="D1633" s="22" t="s">
        <v>1158</v>
      </c>
      <c r="E1633" s="22" t="n">
        <v>51.4</v>
      </c>
      <c r="F1633" s="22" t="s">
        <v>175</v>
      </c>
    </row>
    <row r="1634" customFormat="false" ht="15" hidden="false" customHeight="false" outlineLevel="0" collapsed="false">
      <c r="A1634" s="22" t="s">
        <v>3979</v>
      </c>
      <c r="B1634" s="22" t="s">
        <v>3980</v>
      </c>
      <c r="C1634" s="22" t="s">
        <v>162</v>
      </c>
      <c r="D1634" s="22" t="s">
        <v>560</v>
      </c>
      <c r="E1634" s="22" t="n">
        <v>29.3</v>
      </c>
      <c r="F1634" s="22" t="s">
        <v>164</v>
      </c>
    </row>
    <row r="1635" customFormat="false" ht="15" hidden="false" customHeight="false" outlineLevel="0" collapsed="false">
      <c r="A1635" s="22" t="s">
        <v>3981</v>
      </c>
      <c r="B1635" s="22" t="s">
        <v>3982</v>
      </c>
      <c r="C1635" s="22" t="s">
        <v>162</v>
      </c>
      <c r="D1635" s="22" t="s">
        <v>3983</v>
      </c>
      <c r="E1635" s="22" t="n">
        <v>53.6</v>
      </c>
      <c r="F1635" s="22" t="s">
        <v>198</v>
      </c>
    </row>
    <row r="1636" customFormat="false" ht="15" hidden="false" customHeight="false" outlineLevel="0" collapsed="false">
      <c r="A1636" s="22" t="s">
        <v>3984</v>
      </c>
      <c r="B1636" s="22" t="s">
        <v>3985</v>
      </c>
      <c r="C1636" s="22" t="s">
        <v>162</v>
      </c>
      <c r="D1636" s="22" t="s">
        <v>1105</v>
      </c>
      <c r="E1636" s="22" t="n">
        <v>33.6</v>
      </c>
      <c r="F1636" s="22" t="s">
        <v>164</v>
      </c>
    </row>
    <row r="1637" customFormat="false" ht="15" hidden="false" customHeight="false" outlineLevel="0" collapsed="false">
      <c r="A1637" s="22" t="s">
        <v>3986</v>
      </c>
      <c r="B1637" s="22" t="s">
        <v>3987</v>
      </c>
      <c r="C1637" s="22" t="s">
        <v>162</v>
      </c>
      <c r="D1637" s="22" t="s">
        <v>263</v>
      </c>
      <c r="E1637" s="22" t="n">
        <v>33.4</v>
      </c>
      <c r="F1637" s="22" t="s">
        <v>175</v>
      </c>
    </row>
    <row r="1638" customFormat="false" ht="15" hidden="false" customHeight="false" outlineLevel="0" collapsed="false">
      <c r="A1638" s="22" t="s">
        <v>3988</v>
      </c>
      <c r="B1638" s="22" t="s">
        <v>3989</v>
      </c>
      <c r="C1638" s="22" t="s">
        <v>157</v>
      </c>
      <c r="D1638" s="22" t="s">
        <v>1579</v>
      </c>
      <c r="E1638" s="22" t="n">
        <v>34.9</v>
      </c>
      <c r="F1638" s="22" t="s">
        <v>164</v>
      </c>
    </row>
    <row r="1639" customFormat="false" ht="15" hidden="false" customHeight="false" outlineLevel="0" collapsed="false">
      <c r="A1639" s="22" t="s">
        <v>3990</v>
      </c>
      <c r="B1639" s="22" t="s">
        <v>3991</v>
      </c>
      <c r="C1639" s="22" t="s">
        <v>162</v>
      </c>
      <c r="D1639" s="22" t="s">
        <v>778</v>
      </c>
      <c r="E1639" s="22" t="n">
        <v>53.6</v>
      </c>
      <c r="F1639" s="22" t="s">
        <v>164</v>
      </c>
    </row>
    <row r="1640" customFormat="false" ht="15" hidden="false" customHeight="false" outlineLevel="0" collapsed="false">
      <c r="A1640" s="22" t="s">
        <v>3992</v>
      </c>
      <c r="B1640" s="22" t="s">
        <v>3993</v>
      </c>
      <c r="C1640" s="22" t="s">
        <v>162</v>
      </c>
      <c r="D1640" s="22" t="s">
        <v>1262</v>
      </c>
      <c r="E1640" s="22" t="n">
        <v>29.3</v>
      </c>
      <c r="F1640" s="22" t="s">
        <v>164</v>
      </c>
    </row>
    <row r="1641" customFormat="false" ht="15" hidden="false" customHeight="false" outlineLevel="0" collapsed="false">
      <c r="A1641" s="22" t="s">
        <v>3994</v>
      </c>
      <c r="B1641" s="22" t="s">
        <v>3995</v>
      </c>
      <c r="C1641" s="22" t="s">
        <v>162</v>
      </c>
      <c r="D1641" s="22" t="s">
        <v>2610</v>
      </c>
      <c r="E1641" s="22" t="n">
        <v>53.7</v>
      </c>
      <c r="F1641" s="22" t="s">
        <v>159</v>
      </c>
    </row>
    <row r="1642" customFormat="false" ht="15" hidden="false" customHeight="false" outlineLevel="0" collapsed="false">
      <c r="A1642" s="22" t="s">
        <v>3996</v>
      </c>
      <c r="B1642" s="22" t="s">
        <v>3997</v>
      </c>
      <c r="C1642" s="22" t="s">
        <v>162</v>
      </c>
      <c r="D1642" s="22" t="s">
        <v>2868</v>
      </c>
      <c r="E1642" s="22" t="n">
        <v>34.6</v>
      </c>
      <c r="F1642" s="22" t="s">
        <v>175</v>
      </c>
    </row>
    <row r="1643" customFormat="false" ht="15" hidden="false" customHeight="false" outlineLevel="0" collapsed="false">
      <c r="A1643" s="22" t="s">
        <v>3998</v>
      </c>
      <c r="B1643" s="22" t="s">
        <v>3999</v>
      </c>
      <c r="C1643" s="22" t="s">
        <v>162</v>
      </c>
      <c r="D1643" s="22" t="s">
        <v>1959</v>
      </c>
      <c r="E1643" s="22" t="n">
        <v>45.7</v>
      </c>
      <c r="F1643" s="22" t="s">
        <v>164</v>
      </c>
    </row>
    <row r="1644" customFormat="false" ht="15" hidden="false" customHeight="false" outlineLevel="0" collapsed="false">
      <c r="A1644" s="22" t="s">
        <v>4000</v>
      </c>
      <c r="B1644" s="22" t="s">
        <v>4001</v>
      </c>
      <c r="C1644" s="22" t="s">
        <v>162</v>
      </c>
      <c r="D1644" s="22" t="s">
        <v>793</v>
      </c>
      <c r="E1644" s="22" t="n">
        <v>50.1</v>
      </c>
      <c r="F1644" s="22" t="s">
        <v>171</v>
      </c>
    </row>
    <row r="1645" customFormat="false" ht="15" hidden="false" customHeight="false" outlineLevel="0" collapsed="false">
      <c r="A1645" s="22" t="s">
        <v>4002</v>
      </c>
      <c r="B1645" s="22" t="s">
        <v>4003</v>
      </c>
      <c r="C1645" s="22" t="s">
        <v>162</v>
      </c>
      <c r="D1645" s="22" t="s">
        <v>567</v>
      </c>
      <c r="E1645" s="22" t="n">
        <v>35.4</v>
      </c>
      <c r="F1645" s="22" t="s">
        <v>175</v>
      </c>
    </row>
    <row r="1646" customFormat="false" ht="15" hidden="false" customHeight="false" outlineLevel="0" collapsed="false">
      <c r="A1646" s="22" t="s">
        <v>4004</v>
      </c>
      <c r="B1646" s="22" t="s">
        <v>4005</v>
      </c>
      <c r="C1646" s="22" t="s">
        <v>162</v>
      </c>
      <c r="D1646" s="22" t="s">
        <v>1204</v>
      </c>
      <c r="E1646" s="22" t="n">
        <v>57.1</v>
      </c>
      <c r="F1646" s="22" t="s">
        <v>175</v>
      </c>
    </row>
    <row r="1647" customFormat="false" ht="15" hidden="false" customHeight="false" outlineLevel="0" collapsed="false">
      <c r="A1647" s="22" t="s">
        <v>4006</v>
      </c>
      <c r="B1647" s="22" t="s">
        <v>4007</v>
      </c>
      <c r="C1647" s="22" t="s">
        <v>207</v>
      </c>
      <c r="D1647" s="22" t="s">
        <v>3983</v>
      </c>
      <c r="E1647" s="22" t="n">
        <v>51.6</v>
      </c>
      <c r="F1647" s="22" t="s">
        <v>164</v>
      </c>
    </row>
    <row r="1648" customFormat="false" ht="15" hidden="false" customHeight="false" outlineLevel="0" collapsed="false">
      <c r="A1648" s="22" t="s">
        <v>4008</v>
      </c>
      <c r="B1648" s="22" t="s">
        <v>4009</v>
      </c>
      <c r="C1648" s="22" t="s">
        <v>162</v>
      </c>
      <c r="D1648" s="22" t="s">
        <v>3530</v>
      </c>
      <c r="E1648" s="22" t="n">
        <v>40.6</v>
      </c>
      <c r="F1648" s="22" t="s">
        <v>164</v>
      </c>
    </row>
    <row r="1649" customFormat="false" ht="15" hidden="false" customHeight="false" outlineLevel="0" collapsed="false">
      <c r="A1649" s="22" t="s">
        <v>4010</v>
      </c>
      <c r="B1649" s="22" t="s">
        <v>4011</v>
      </c>
      <c r="C1649" s="22" t="s">
        <v>162</v>
      </c>
      <c r="D1649" s="22" t="s">
        <v>2423</v>
      </c>
      <c r="E1649" s="22" t="n">
        <v>36.4</v>
      </c>
      <c r="F1649" s="22" t="s">
        <v>164</v>
      </c>
    </row>
    <row r="1650" customFormat="false" ht="15" hidden="false" customHeight="false" outlineLevel="0" collapsed="false">
      <c r="A1650" s="22" t="s">
        <v>4012</v>
      </c>
      <c r="B1650" s="22" t="s">
        <v>4013</v>
      </c>
      <c r="C1650" s="22" t="s">
        <v>162</v>
      </c>
      <c r="D1650" s="22" t="s">
        <v>1201</v>
      </c>
      <c r="E1650" s="22" t="n">
        <v>29</v>
      </c>
      <c r="F1650" s="22" t="s">
        <v>164</v>
      </c>
    </row>
    <row r="1651" customFormat="false" ht="15" hidden="false" customHeight="false" outlineLevel="0" collapsed="false">
      <c r="A1651" s="22" t="s">
        <v>4014</v>
      </c>
      <c r="B1651" s="22" t="s">
        <v>4015</v>
      </c>
      <c r="C1651" s="22" t="s">
        <v>162</v>
      </c>
      <c r="D1651" s="22" t="s">
        <v>1665</v>
      </c>
      <c r="E1651" s="22" t="n">
        <v>46.5</v>
      </c>
      <c r="F1651" s="22" t="s">
        <v>159</v>
      </c>
    </row>
    <row r="1652" customFormat="false" ht="15" hidden="false" customHeight="false" outlineLevel="0" collapsed="false">
      <c r="A1652" s="22" t="s">
        <v>4016</v>
      </c>
      <c r="B1652" s="22" t="s">
        <v>4017</v>
      </c>
      <c r="C1652" s="22" t="s">
        <v>162</v>
      </c>
      <c r="D1652" s="22" t="s">
        <v>184</v>
      </c>
      <c r="E1652" s="22" t="n">
        <v>28.3</v>
      </c>
      <c r="F1652" s="22" t="s">
        <v>164</v>
      </c>
    </row>
    <row r="1653" customFormat="false" ht="15" hidden="false" customHeight="false" outlineLevel="0" collapsed="false">
      <c r="A1653" s="22" t="s">
        <v>4018</v>
      </c>
      <c r="B1653" s="22" t="s">
        <v>4019</v>
      </c>
      <c r="C1653" s="22" t="s">
        <v>157</v>
      </c>
      <c r="D1653" s="22" t="s">
        <v>1891</v>
      </c>
      <c r="E1653" s="22" t="n">
        <v>45.2</v>
      </c>
      <c r="F1653" s="22" t="s">
        <v>175</v>
      </c>
    </row>
    <row r="1654" customFormat="false" ht="15" hidden="false" customHeight="false" outlineLevel="0" collapsed="false">
      <c r="A1654" s="22" t="s">
        <v>4020</v>
      </c>
      <c r="B1654" s="22" t="s">
        <v>4021</v>
      </c>
      <c r="C1654" s="22" t="s">
        <v>162</v>
      </c>
      <c r="D1654" s="22" t="s">
        <v>736</v>
      </c>
      <c r="E1654" s="22" t="n">
        <v>34.4</v>
      </c>
      <c r="F1654" s="22" t="s">
        <v>175</v>
      </c>
    </row>
    <row r="1655" customFormat="false" ht="15" hidden="false" customHeight="false" outlineLevel="0" collapsed="false">
      <c r="A1655" s="22" t="s">
        <v>4022</v>
      </c>
      <c r="B1655" s="22" t="s">
        <v>4023</v>
      </c>
      <c r="C1655" s="22" t="s">
        <v>162</v>
      </c>
      <c r="D1655" s="22" t="s">
        <v>983</v>
      </c>
      <c r="E1655" s="22" t="n">
        <v>31.5</v>
      </c>
      <c r="F1655" s="22" t="s">
        <v>175</v>
      </c>
    </row>
    <row r="1656" customFormat="false" ht="15" hidden="false" customHeight="false" outlineLevel="0" collapsed="false">
      <c r="A1656" s="22" t="s">
        <v>4024</v>
      </c>
      <c r="B1656" s="22" t="s">
        <v>4025</v>
      </c>
      <c r="C1656" s="22" t="s">
        <v>162</v>
      </c>
      <c r="D1656" s="22" t="s">
        <v>1445</v>
      </c>
      <c r="E1656" s="22" t="n">
        <v>37.1</v>
      </c>
      <c r="F1656" s="22" t="s">
        <v>164</v>
      </c>
    </row>
    <row r="1657" customFormat="false" ht="15" hidden="false" customHeight="false" outlineLevel="0" collapsed="false">
      <c r="A1657" s="22" t="s">
        <v>4026</v>
      </c>
      <c r="B1657" s="22" t="s">
        <v>4027</v>
      </c>
      <c r="C1657" s="22" t="s">
        <v>162</v>
      </c>
      <c r="D1657" s="22" t="s">
        <v>3590</v>
      </c>
      <c r="E1657" s="22" t="n">
        <v>20.6</v>
      </c>
      <c r="F1657" s="22" t="s">
        <v>164</v>
      </c>
    </row>
    <row r="1658" customFormat="false" ht="15" hidden="false" customHeight="false" outlineLevel="0" collapsed="false">
      <c r="A1658" s="22" t="s">
        <v>4028</v>
      </c>
      <c r="B1658" s="22" t="s">
        <v>4029</v>
      </c>
      <c r="C1658" s="22" t="s">
        <v>162</v>
      </c>
      <c r="D1658" s="22" t="s">
        <v>1374</v>
      </c>
      <c r="E1658" s="22" t="n">
        <v>46.7</v>
      </c>
      <c r="F1658" s="22" t="s">
        <v>198</v>
      </c>
    </row>
    <row r="1659" customFormat="false" ht="15" hidden="false" customHeight="false" outlineLevel="0" collapsed="false">
      <c r="A1659" s="22" t="s">
        <v>4030</v>
      </c>
      <c r="B1659" s="22" t="s">
        <v>4031</v>
      </c>
      <c r="C1659" s="22" t="s">
        <v>162</v>
      </c>
      <c r="D1659" s="22" t="s">
        <v>1968</v>
      </c>
      <c r="E1659" s="22" t="n">
        <v>53.3</v>
      </c>
      <c r="F1659" s="22" t="s">
        <v>164</v>
      </c>
    </row>
    <row r="1660" customFormat="false" ht="15" hidden="false" customHeight="false" outlineLevel="0" collapsed="false">
      <c r="A1660" s="22" t="s">
        <v>4032</v>
      </c>
      <c r="B1660" s="22" t="s">
        <v>4033</v>
      </c>
      <c r="C1660" s="22" t="s">
        <v>162</v>
      </c>
      <c r="D1660" s="22" t="s">
        <v>239</v>
      </c>
      <c r="E1660" s="22" t="n">
        <v>45.1</v>
      </c>
      <c r="F1660" s="22" t="s">
        <v>198</v>
      </c>
    </row>
    <row r="1661" customFormat="false" ht="15" hidden="false" customHeight="false" outlineLevel="0" collapsed="false">
      <c r="A1661" s="22" t="s">
        <v>4034</v>
      </c>
      <c r="B1661" s="22" t="s">
        <v>4035</v>
      </c>
      <c r="C1661" s="22" t="s">
        <v>162</v>
      </c>
      <c r="D1661" s="22" t="s">
        <v>416</v>
      </c>
      <c r="E1661" s="22" t="n">
        <v>18.7</v>
      </c>
      <c r="F1661" s="22" t="s">
        <v>164</v>
      </c>
    </row>
    <row r="1662" customFormat="false" ht="15" hidden="false" customHeight="false" outlineLevel="0" collapsed="false">
      <c r="A1662" s="22" t="s">
        <v>4036</v>
      </c>
      <c r="B1662" s="22" t="s">
        <v>4037</v>
      </c>
      <c r="C1662" s="22" t="s">
        <v>162</v>
      </c>
      <c r="D1662" s="22" t="s">
        <v>4038</v>
      </c>
      <c r="E1662" s="22" t="n">
        <v>24.3</v>
      </c>
      <c r="F1662" s="22" t="s">
        <v>164</v>
      </c>
    </row>
    <row r="1663" customFormat="false" ht="15" hidden="false" customHeight="false" outlineLevel="0" collapsed="false">
      <c r="A1663" s="22" t="s">
        <v>4039</v>
      </c>
      <c r="B1663" s="22" t="s">
        <v>4040</v>
      </c>
      <c r="C1663" s="22" t="s">
        <v>162</v>
      </c>
      <c r="D1663" s="22" t="s">
        <v>2998</v>
      </c>
      <c r="E1663" s="22" t="n">
        <v>52</v>
      </c>
      <c r="F1663" s="22" t="s">
        <v>159</v>
      </c>
    </row>
    <row r="1664" customFormat="false" ht="15" hidden="false" customHeight="false" outlineLevel="0" collapsed="false">
      <c r="A1664" s="22" t="s">
        <v>4041</v>
      </c>
      <c r="B1664" s="22" t="s">
        <v>4042</v>
      </c>
      <c r="C1664" s="22" t="s">
        <v>566</v>
      </c>
      <c r="D1664" s="22" t="s">
        <v>4043</v>
      </c>
      <c r="E1664" s="22" t="n">
        <v>43.8</v>
      </c>
      <c r="F1664" s="22" t="s">
        <v>175</v>
      </c>
    </row>
    <row r="1665" customFormat="false" ht="15" hidden="false" customHeight="false" outlineLevel="0" collapsed="false">
      <c r="A1665" s="22" t="s">
        <v>4044</v>
      </c>
      <c r="B1665" s="22" t="s">
        <v>4045</v>
      </c>
      <c r="C1665" s="22" t="s">
        <v>162</v>
      </c>
      <c r="D1665" s="22" t="s">
        <v>1659</v>
      </c>
      <c r="E1665" s="22" t="n">
        <v>54.5</v>
      </c>
      <c r="F1665" s="22" t="s">
        <v>198</v>
      </c>
    </row>
    <row r="1666" customFormat="false" ht="15" hidden="false" customHeight="false" outlineLevel="0" collapsed="false">
      <c r="A1666" s="22" t="s">
        <v>4046</v>
      </c>
      <c r="B1666" s="22" t="s">
        <v>4047</v>
      </c>
      <c r="C1666" s="22" t="s">
        <v>162</v>
      </c>
      <c r="D1666" s="22" t="s">
        <v>2836</v>
      </c>
      <c r="E1666" s="22" t="n">
        <v>31.1</v>
      </c>
      <c r="F1666" s="22" t="s">
        <v>159</v>
      </c>
    </row>
    <row r="1667" customFormat="false" ht="15" hidden="false" customHeight="false" outlineLevel="0" collapsed="false">
      <c r="A1667" s="22" t="s">
        <v>4048</v>
      </c>
      <c r="B1667" s="22" t="s">
        <v>4049</v>
      </c>
      <c r="C1667" s="22" t="s">
        <v>162</v>
      </c>
      <c r="D1667" s="22" t="s">
        <v>1014</v>
      </c>
      <c r="E1667" s="22" t="n">
        <v>40.3</v>
      </c>
      <c r="F1667" s="22" t="s">
        <v>175</v>
      </c>
    </row>
    <row r="1668" customFormat="false" ht="15" hidden="false" customHeight="false" outlineLevel="0" collapsed="false">
      <c r="A1668" s="22" t="s">
        <v>4050</v>
      </c>
      <c r="B1668" s="22" t="s">
        <v>4051</v>
      </c>
      <c r="C1668" s="22" t="s">
        <v>162</v>
      </c>
      <c r="D1668" s="22" t="s">
        <v>2485</v>
      </c>
      <c r="E1668" s="22" t="n">
        <v>57.3</v>
      </c>
      <c r="F1668" s="22" t="s">
        <v>175</v>
      </c>
    </row>
    <row r="1669" customFormat="false" ht="15" hidden="false" customHeight="false" outlineLevel="0" collapsed="false">
      <c r="A1669" s="22" t="s">
        <v>4052</v>
      </c>
      <c r="B1669" s="22" t="s">
        <v>4053</v>
      </c>
      <c r="C1669" s="22" t="s">
        <v>157</v>
      </c>
      <c r="D1669" s="22" t="s">
        <v>197</v>
      </c>
      <c r="E1669" s="22" t="n">
        <v>58.2</v>
      </c>
      <c r="F1669" s="22" t="s">
        <v>171</v>
      </c>
    </row>
    <row r="1670" customFormat="false" ht="15" hidden="false" customHeight="false" outlineLevel="0" collapsed="false">
      <c r="A1670" s="22" t="s">
        <v>4054</v>
      </c>
      <c r="B1670" s="22" t="s">
        <v>4055</v>
      </c>
      <c r="C1670" s="22" t="s">
        <v>162</v>
      </c>
      <c r="D1670" s="22" t="s">
        <v>703</v>
      </c>
      <c r="E1670" s="22" t="n">
        <v>39.4</v>
      </c>
      <c r="F1670" s="22" t="s">
        <v>171</v>
      </c>
    </row>
    <row r="1671" customFormat="false" ht="15" hidden="false" customHeight="false" outlineLevel="0" collapsed="false">
      <c r="A1671" s="22" t="s">
        <v>4056</v>
      </c>
      <c r="B1671" s="22" t="s">
        <v>4057</v>
      </c>
      <c r="C1671" s="22" t="s">
        <v>162</v>
      </c>
      <c r="D1671" s="22" t="s">
        <v>495</v>
      </c>
      <c r="E1671" s="22" t="n">
        <v>35.6</v>
      </c>
      <c r="F1671" s="22" t="s">
        <v>164</v>
      </c>
    </row>
    <row r="1672" customFormat="false" ht="15" hidden="false" customHeight="false" outlineLevel="0" collapsed="false">
      <c r="A1672" s="22" t="s">
        <v>4058</v>
      </c>
      <c r="B1672" s="22" t="s">
        <v>4059</v>
      </c>
      <c r="C1672" s="22" t="s">
        <v>162</v>
      </c>
      <c r="D1672" s="22" t="s">
        <v>2020</v>
      </c>
      <c r="E1672" s="22" t="n">
        <v>55.5</v>
      </c>
      <c r="F1672" s="22" t="s">
        <v>164</v>
      </c>
    </row>
    <row r="1673" customFormat="false" ht="15" hidden="false" customHeight="false" outlineLevel="0" collapsed="false">
      <c r="A1673" s="22" t="s">
        <v>4060</v>
      </c>
      <c r="B1673" s="22" t="s">
        <v>4061</v>
      </c>
      <c r="C1673" s="22" t="s">
        <v>162</v>
      </c>
      <c r="D1673" s="22" t="s">
        <v>1102</v>
      </c>
      <c r="E1673" s="22" t="n">
        <v>21</v>
      </c>
      <c r="F1673" s="22" t="s">
        <v>171</v>
      </c>
    </row>
    <row r="1674" customFormat="false" ht="15" hidden="false" customHeight="false" outlineLevel="0" collapsed="false">
      <c r="A1674" s="22" t="s">
        <v>4062</v>
      </c>
      <c r="B1674" s="22" t="s">
        <v>4063</v>
      </c>
      <c r="C1674" s="22" t="s">
        <v>162</v>
      </c>
      <c r="D1674" s="22" t="s">
        <v>364</v>
      </c>
      <c r="E1674" s="22" t="n">
        <v>30.4</v>
      </c>
      <c r="F1674" s="22" t="s">
        <v>159</v>
      </c>
    </row>
    <row r="1675" customFormat="false" ht="15" hidden="false" customHeight="false" outlineLevel="0" collapsed="false">
      <c r="A1675" s="22" t="s">
        <v>4064</v>
      </c>
      <c r="B1675" s="22" t="s">
        <v>4065</v>
      </c>
      <c r="C1675" s="22" t="s">
        <v>162</v>
      </c>
      <c r="D1675" s="22" t="s">
        <v>2012</v>
      </c>
      <c r="E1675" s="22" t="n">
        <v>30.4</v>
      </c>
      <c r="F1675" s="22" t="s">
        <v>164</v>
      </c>
    </row>
    <row r="1676" customFormat="false" ht="15" hidden="false" customHeight="false" outlineLevel="0" collapsed="false">
      <c r="A1676" s="22" t="s">
        <v>4066</v>
      </c>
      <c r="B1676" s="22" t="s">
        <v>4067</v>
      </c>
      <c r="C1676" s="22" t="s">
        <v>162</v>
      </c>
      <c r="D1676" s="22" t="s">
        <v>3754</v>
      </c>
      <c r="E1676" s="22" t="n">
        <v>24.8</v>
      </c>
      <c r="F1676" s="22" t="s">
        <v>198</v>
      </c>
    </row>
    <row r="1677" customFormat="false" ht="15" hidden="false" customHeight="false" outlineLevel="0" collapsed="false">
      <c r="A1677" s="22" t="s">
        <v>4068</v>
      </c>
      <c r="B1677" s="22" t="s">
        <v>4069</v>
      </c>
      <c r="C1677" s="22" t="s">
        <v>162</v>
      </c>
      <c r="D1677" s="22" t="s">
        <v>871</v>
      </c>
      <c r="E1677" s="22" t="n">
        <v>34.1</v>
      </c>
      <c r="F1677" s="22" t="s">
        <v>175</v>
      </c>
    </row>
    <row r="1678" customFormat="false" ht="15" hidden="false" customHeight="false" outlineLevel="0" collapsed="false">
      <c r="A1678" s="22" t="s">
        <v>4070</v>
      </c>
      <c r="B1678" s="22" t="s">
        <v>4071</v>
      </c>
      <c r="C1678" s="22" t="s">
        <v>162</v>
      </c>
      <c r="D1678" s="22" t="s">
        <v>1383</v>
      </c>
      <c r="E1678" s="22" t="n">
        <v>27.2</v>
      </c>
      <c r="F1678" s="22" t="s">
        <v>175</v>
      </c>
    </row>
    <row r="1679" customFormat="false" ht="15" hidden="false" customHeight="false" outlineLevel="0" collapsed="false">
      <c r="A1679" s="22" t="s">
        <v>4072</v>
      </c>
      <c r="B1679" s="22" t="s">
        <v>4073</v>
      </c>
      <c r="C1679" s="22" t="s">
        <v>162</v>
      </c>
      <c r="D1679" s="22" t="s">
        <v>486</v>
      </c>
      <c r="E1679" s="22" t="n">
        <v>26.8</v>
      </c>
      <c r="F1679" s="22" t="s">
        <v>164</v>
      </c>
    </row>
    <row r="1680" customFormat="false" ht="15" hidden="false" customHeight="false" outlineLevel="0" collapsed="false">
      <c r="A1680" s="22" t="s">
        <v>4074</v>
      </c>
      <c r="B1680" s="22" t="s">
        <v>4075</v>
      </c>
      <c r="C1680" s="22" t="s">
        <v>162</v>
      </c>
      <c r="D1680" s="22" t="s">
        <v>1235</v>
      </c>
      <c r="E1680" s="22" t="n">
        <v>20.7</v>
      </c>
      <c r="F1680" s="22" t="s">
        <v>164</v>
      </c>
    </row>
    <row r="1681" customFormat="false" ht="15" hidden="false" customHeight="false" outlineLevel="0" collapsed="false">
      <c r="A1681" s="22" t="s">
        <v>4076</v>
      </c>
      <c r="B1681" s="22" t="s">
        <v>4077</v>
      </c>
      <c r="C1681" s="22" t="s">
        <v>162</v>
      </c>
      <c r="D1681" s="22" t="s">
        <v>841</v>
      </c>
      <c r="E1681" s="22" t="n">
        <v>34.4</v>
      </c>
      <c r="F1681" s="22" t="s">
        <v>164</v>
      </c>
    </row>
    <row r="1682" customFormat="false" ht="15" hidden="false" customHeight="false" outlineLevel="0" collapsed="false">
      <c r="A1682" s="22" t="s">
        <v>4078</v>
      </c>
      <c r="B1682" s="22" t="s">
        <v>4079</v>
      </c>
      <c r="C1682" s="22" t="s">
        <v>162</v>
      </c>
      <c r="D1682" s="22" t="s">
        <v>3041</v>
      </c>
      <c r="E1682" s="22" t="n">
        <v>28.1</v>
      </c>
      <c r="F1682" s="22" t="s">
        <v>164</v>
      </c>
    </row>
    <row r="1683" customFormat="false" ht="15" hidden="false" customHeight="false" outlineLevel="0" collapsed="false">
      <c r="A1683" s="22" t="s">
        <v>4080</v>
      </c>
      <c r="B1683" s="22" t="s">
        <v>4081</v>
      </c>
      <c r="C1683" s="22" t="s">
        <v>162</v>
      </c>
      <c r="D1683" s="22" t="s">
        <v>2423</v>
      </c>
      <c r="E1683" s="22" t="n">
        <v>24.9</v>
      </c>
      <c r="F1683" s="22" t="s">
        <v>175</v>
      </c>
    </row>
    <row r="1684" customFormat="false" ht="15" hidden="false" customHeight="false" outlineLevel="0" collapsed="false">
      <c r="A1684" s="22" t="s">
        <v>4082</v>
      </c>
      <c r="B1684" s="22" t="s">
        <v>4083</v>
      </c>
      <c r="C1684" s="22" t="s">
        <v>162</v>
      </c>
      <c r="D1684" s="22" t="s">
        <v>3566</v>
      </c>
      <c r="E1684" s="22" t="n">
        <v>52.3</v>
      </c>
      <c r="F1684" s="22" t="s">
        <v>164</v>
      </c>
    </row>
    <row r="1685" customFormat="false" ht="15" hidden="false" customHeight="false" outlineLevel="0" collapsed="false">
      <c r="A1685" s="22" t="s">
        <v>4084</v>
      </c>
      <c r="B1685" s="22" t="s">
        <v>4085</v>
      </c>
      <c r="C1685" s="22" t="s">
        <v>162</v>
      </c>
      <c r="D1685" s="22" t="s">
        <v>528</v>
      </c>
      <c r="E1685" s="22" t="n">
        <v>21.1</v>
      </c>
      <c r="F1685" s="22" t="s">
        <v>188</v>
      </c>
    </row>
    <row r="1686" customFormat="false" ht="15" hidden="false" customHeight="false" outlineLevel="0" collapsed="false">
      <c r="A1686" s="22" t="s">
        <v>4086</v>
      </c>
      <c r="B1686" s="22" t="s">
        <v>4087</v>
      </c>
      <c r="C1686" s="22" t="s">
        <v>162</v>
      </c>
      <c r="D1686" s="22" t="s">
        <v>1198</v>
      </c>
      <c r="E1686" s="22" t="n">
        <v>50.2</v>
      </c>
      <c r="F1686" s="22" t="s">
        <v>175</v>
      </c>
    </row>
    <row r="1687" customFormat="false" ht="15" hidden="false" customHeight="false" outlineLevel="0" collapsed="false">
      <c r="A1687" s="22" t="s">
        <v>4088</v>
      </c>
      <c r="B1687" s="22" t="s">
        <v>4089</v>
      </c>
      <c r="C1687" s="22" t="s">
        <v>162</v>
      </c>
      <c r="D1687" s="22" t="s">
        <v>731</v>
      </c>
      <c r="E1687" s="22" t="n">
        <v>25.2</v>
      </c>
      <c r="F1687" s="22" t="s">
        <v>175</v>
      </c>
    </row>
    <row r="1688" customFormat="false" ht="15" hidden="false" customHeight="false" outlineLevel="0" collapsed="false">
      <c r="A1688" s="22" t="s">
        <v>4090</v>
      </c>
      <c r="B1688" s="22" t="s">
        <v>4091</v>
      </c>
      <c r="C1688" s="22" t="s">
        <v>162</v>
      </c>
      <c r="D1688" s="22" t="s">
        <v>376</v>
      </c>
      <c r="E1688" s="22" t="n">
        <v>57.9</v>
      </c>
      <c r="F1688" s="22" t="s">
        <v>164</v>
      </c>
    </row>
    <row r="1689" customFormat="false" ht="15" hidden="false" customHeight="false" outlineLevel="0" collapsed="false">
      <c r="A1689" s="22" t="s">
        <v>4092</v>
      </c>
      <c r="B1689" s="22" t="s">
        <v>4093</v>
      </c>
      <c r="C1689" s="22" t="s">
        <v>162</v>
      </c>
      <c r="D1689" s="22" t="s">
        <v>4094</v>
      </c>
      <c r="E1689" s="22" t="n">
        <v>48.1</v>
      </c>
      <c r="F1689" s="22" t="s">
        <v>171</v>
      </c>
    </row>
    <row r="1690" customFormat="false" ht="15" hidden="false" customHeight="false" outlineLevel="0" collapsed="false">
      <c r="A1690" s="22" t="s">
        <v>4095</v>
      </c>
      <c r="B1690" s="22" t="s">
        <v>4096</v>
      </c>
      <c r="C1690" s="22" t="s">
        <v>162</v>
      </c>
      <c r="D1690" s="22" t="s">
        <v>1743</v>
      </c>
      <c r="E1690" s="22" t="n">
        <v>60.9</v>
      </c>
      <c r="F1690" s="22" t="s">
        <v>215</v>
      </c>
    </row>
    <row r="1691" customFormat="false" ht="15" hidden="false" customHeight="false" outlineLevel="0" collapsed="false">
      <c r="A1691" s="22" t="s">
        <v>4097</v>
      </c>
      <c r="B1691" s="22" t="s">
        <v>4098</v>
      </c>
      <c r="C1691" s="22" t="s">
        <v>162</v>
      </c>
      <c r="D1691" s="22" t="s">
        <v>239</v>
      </c>
      <c r="E1691" s="22" t="n">
        <v>25.9</v>
      </c>
      <c r="F1691" s="22" t="s">
        <v>499</v>
      </c>
    </row>
    <row r="1692" customFormat="false" ht="15" hidden="false" customHeight="false" outlineLevel="0" collapsed="false">
      <c r="A1692" s="22" t="s">
        <v>4099</v>
      </c>
      <c r="B1692" s="22" t="s">
        <v>4100</v>
      </c>
      <c r="C1692" s="22" t="s">
        <v>162</v>
      </c>
      <c r="D1692" s="22" t="s">
        <v>275</v>
      </c>
      <c r="E1692" s="22" t="n">
        <v>29.2</v>
      </c>
      <c r="F1692" s="22" t="s">
        <v>159</v>
      </c>
    </row>
    <row r="1693" customFormat="false" ht="15" hidden="false" customHeight="false" outlineLevel="0" collapsed="false">
      <c r="A1693" s="22" t="s">
        <v>4101</v>
      </c>
      <c r="B1693" s="22" t="s">
        <v>4102</v>
      </c>
      <c r="C1693" s="22" t="s">
        <v>162</v>
      </c>
      <c r="D1693" s="22" t="s">
        <v>3602</v>
      </c>
      <c r="E1693" s="22" t="n">
        <v>50.2</v>
      </c>
      <c r="F1693" s="22" t="s">
        <v>175</v>
      </c>
    </row>
    <row r="1694" customFormat="false" ht="15" hidden="false" customHeight="false" outlineLevel="0" collapsed="false">
      <c r="A1694" s="22" t="s">
        <v>4103</v>
      </c>
      <c r="B1694" s="22" t="s">
        <v>4104</v>
      </c>
      <c r="C1694" s="22" t="s">
        <v>162</v>
      </c>
      <c r="D1694" s="22" t="s">
        <v>2998</v>
      </c>
      <c r="E1694" s="22" t="n">
        <v>45.7</v>
      </c>
      <c r="F1694" s="22" t="s">
        <v>164</v>
      </c>
    </row>
    <row r="1695" customFormat="false" ht="15" hidden="false" customHeight="false" outlineLevel="0" collapsed="false">
      <c r="A1695" s="22" t="s">
        <v>4105</v>
      </c>
      <c r="B1695" s="22" t="s">
        <v>4106</v>
      </c>
      <c r="C1695" s="22" t="s">
        <v>162</v>
      </c>
      <c r="D1695" s="22" t="s">
        <v>1178</v>
      </c>
      <c r="E1695" s="22" t="n">
        <v>53.8</v>
      </c>
      <c r="F1695" s="22" t="s">
        <v>164</v>
      </c>
    </row>
    <row r="1696" customFormat="false" ht="15" hidden="false" customHeight="false" outlineLevel="0" collapsed="false">
      <c r="A1696" s="22" t="s">
        <v>4107</v>
      </c>
      <c r="B1696" s="22" t="s">
        <v>4108</v>
      </c>
      <c r="C1696" s="22" t="s">
        <v>162</v>
      </c>
      <c r="D1696" s="22" t="s">
        <v>2625</v>
      </c>
      <c r="E1696" s="22" t="n">
        <v>24.6</v>
      </c>
      <c r="F1696" s="22" t="s">
        <v>175</v>
      </c>
    </row>
    <row r="1697" customFormat="false" ht="15" hidden="false" customHeight="false" outlineLevel="0" collapsed="false">
      <c r="A1697" s="22" t="s">
        <v>4109</v>
      </c>
      <c r="B1697" s="22" t="s">
        <v>4110</v>
      </c>
      <c r="C1697" s="22" t="s">
        <v>162</v>
      </c>
      <c r="D1697" s="22" t="s">
        <v>1553</v>
      </c>
      <c r="E1697" s="22" t="n">
        <v>26.9</v>
      </c>
      <c r="F1697" s="22" t="s">
        <v>164</v>
      </c>
    </row>
    <row r="1698" customFormat="false" ht="15" hidden="false" customHeight="false" outlineLevel="0" collapsed="false">
      <c r="A1698" s="22" t="s">
        <v>4111</v>
      </c>
      <c r="B1698" s="22" t="s">
        <v>4112</v>
      </c>
      <c r="C1698" s="22" t="s">
        <v>162</v>
      </c>
      <c r="D1698" s="22" t="s">
        <v>563</v>
      </c>
      <c r="E1698" s="22" t="n">
        <v>56.8</v>
      </c>
      <c r="F1698" s="22" t="s">
        <v>499</v>
      </c>
    </row>
    <row r="1699" customFormat="false" ht="15" hidden="false" customHeight="false" outlineLevel="0" collapsed="false">
      <c r="A1699" s="22" t="s">
        <v>4113</v>
      </c>
      <c r="B1699" s="22" t="s">
        <v>4114</v>
      </c>
      <c r="C1699" s="22" t="s">
        <v>162</v>
      </c>
      <c r="D1699" s="22" t="s">
        <v>941</v>
      </c>
      <c r="E1699" s="22" t="n">
        <v>18.6</v>
      </c>
      <c r="F1699" s="22" t="s">
        <v>159</v>
      </c>
    </row>
    <row r="1700" customFormat="false" ht="15" hidden="false" customHeight="false" outlineLevel="0" collapsed="false">
      <c r="A1700" s="22" t="s">
        <v>4115</v>
      </c>
      <c r="B1700" s="22" t="s">
        <v>4116</v>
      </c>
      <c r="C1700" s="22" t="s">
        <v>162</v>
      </c>
      <c r="D1700" s="22" t="s">
        <v>4094</v>
      </c>
      <c r="E1700" s="22" t="n">
        <v>49.6</v>
      </c>
      <c r="F1700" s="22" t="s">
        <v>175</v>
      </c>
    </row>
    <row r="1701" customFormat="false" ht="15" hidden="false" customHeight="false" outlineLevel="0" collapsed="false">
      <c r="A1701" s="22" t="s">
        <v>4117</v>
      </c>
      <c r="B1701" s="22" t="s">
        <v>4118</v>
      </c>
      <c r="C1701" s="22" t="s">
        <v>162</v>
      </c>
      <c r="D1701" s="22" t="s">
        <v>605</v>
      </c>
      <c r="E1701" s="22" t="n">
        <v>19.9</v>
      </c>
      <c r="F1701" s="22" t="s">
        <v>198</v>
      </c>
    </row>
    <row r="1702" customFormat="false" ht="15" hidden="false" customHeight="false" outlineLevel="0" collapsed="false">
      <c r="A1702" s="22" t="s">
        <v>4119</v>
      </c>
      <c r="B1702" s="22" t="s">
        <v>4120</v>
      </c>
      <c r="C1702" s="22" t="s">
        <v>162</v>
      </c>
      <c r="D1702" s="22" t="s">
        <v>2078</v>
      </c>
      <c r="E1702" s="22" t="n">
        <v>26.8</v>
      </c>
      <c r="F1702" s="22" t="s">
        <v>175</v>
      </c>
    </row>
    <row r="1703" customFormat="false" ht="15" hidden="false" customHeight="false" outlineLevel="0" collapsed="false">
      <c r="A1703" s="22" t="s">
        <v>4121</v>
      </c>
      <c r="B1703" s="22" t="s">
        <v>4122</v>
      </c>
      <c r="C1703" s="22" t="s">
        <v>162</v>
      </c>
      <c r="D1703" s="22" t="s">
        <v>829</v>
      </c>
      <c r="E1703" s="22" t="n">
        <v>21.8</v>
      </c>
      <c r="F1703" s="22" t="s">
        <v>164</v>
      </c>
    </row>
    <row r="1704" customFormat="false" ht="15" hidden="false" customHeight="false" outlineLevel="0" collapsed="false">
      <c r="A1704" s="22" t="s">
        <v>4123</v>
      </c>
      <c r="B1704" s="22" t="s">
        <v>4124</v>
      </c>
      <c r="C1704" s="22" t="s">
        <v>162</v>
      </c>
      <c r="D1704" s="22" t="s">
        <v>302</v>
      </c>
      <c r="E1704" s="22" t="n">
        <v>36.7</v>
      </c>
      <c r="F1704" s="22" t="s">
        <v>198</v>
      </c>
    </row>
    <row r="1705" customFormat="false" ht="15" hidden="false" customHeight="false" outlineLevel="0" collapsed="false">
      <c r="A1705" s="22" t="s">
        <v>4125</v>
      </c>
      <c r="B1705" s="22" t="s">
        <v>4126</v>
      </c>
      <c r="C1705" s="22" t="s">
        <v>162</v>
      </c>
      <c r="D1705" s="22" t="s">
        <v>2814</v>
      </c>
      <c r="E1705" s="22" t="n">
        <v>27.3</v>
      </c>
      <c r="F1705" s="22" t="s">
        <v>175</v>
      </c>
    </row>
    <row r="1706" customFormat="false" ht="15" hidden="false" customHeight="false" outlineLevel="0" collapsed="false">
      <c r="A1706" s="22" t="s">
        <v>4127</v>
      </c>
      <c r="B1706" s="22" t="s">
        <v>4128</v>
      </c>
      <c r="C1706" s="22" t="s">
        <v>162</v>
      </c>
      <c r="D1706" s="22" t="s">
        <v>492</v>
      </c>
      <c r="E1706" s="22" t="n">
        <v>59.4</v>
      </c>
      <c r="F1706" s="22" t="s">
        <v>215</v>
      </c>
    </row>
    <row r="1707" customFormat="false" ht="15" hidden="false" customHeight="false" outlineLevel="0" collapsed="false">
      <c r="A1707" s="22" t="s">
        <v>4129</v>
      </c>
      <c r="B1707" s="22" t="s">
        <v>4130</v>
      </c>
      <c r="C1707" s="22" t="s">
        <v>566</v>
      </c>
      <c r="D1707" s="22" t="s">
        <v>201</v>
      </c>
      <c r="E1707" s="22" t="n">
        <v>47.7</v>
      </c>
      <c r="F1707" s="22" t="s">
        <v>175</v>
      </c>
    </row>
    <row r="1708" customFormat="false" ht="15" hidden="false" customHeight="false" outlineLevel="0" collapsed="false">
      <c r="A1708" s="22" t="s">
        <v>4131</v>
      </c>
      <c r="B1708" s="22" t="s">
        <v>4132</v>
      </c>
      <c r="C1708" s="22" t="s">
        <v>162</v>
      </c>
      <c r="D1708" s="22" t="s">
        <v>1428</v>
      </c>
      <c r="E1708" s="22" t="n">
        <v>33</v>
      </c>
      <c r="F1708" s="22" t="s">
        <v>171</v>
      </c>
    </row>
    <row r="1709" customFormat="false" ht="15" hidden="false" customHeight="false" outlineLevel="0" collapsed="false">
      <c r="A1709" s="22" t="s">
        <v>4133</v>
      </c>
      <c r="B1709" s="22" t="s">
        <v>4134</v>
      </c>
      <c r="C1709" s="22" t="s">
        <v>162</v>
      </c>
      <c r="D1709" s="22" t="s">
        <v>4135</v>
      </c>
      <c r="E1709" s="22" t="n">
        <v>51.6</v>
      </c>
      <c r="F1709" s="22" t="s">
        <v>159</v>
      </c>
    </row>
    <row r="1710" customFormat="false" ht="15" hidden="false" customHeight="false" outlineLevel="0" collapsed="false">
      <c r="A1710" s="22" t="s">
        <v>4136</v>
      </c>
      <c r="B1710" s="22" t="s">
        <v>2895</v>
      </c>
      <c r="C1710" s="22" t="s">
        <v>162</v>
      </c>
      <c r="D1710" s="22" t="s">
        <v>1066</v>
      </c>
      <c r="E1710" s="22" t="n">
        <v>57.6</v>
      </c>
      <c r="F1710" s="22" t="s">
        <v>198</v>
      </c>
    </row>
    <row r="1711" customFormat="false" ht="15" hidden="false" customHeight="false" outlineLevel="0" collapsed="false">
      <c r="A1711" s="22" t="s">
        <v>4137</v>
      </c>
      <c r="B1711" s="22" t="s">
        <v>4138</v>
      </c>
      <c r="C1711" s="22" t="s">
        <v>207</v>
      </c>
      <c r="D1711" s="22" t="s">
        <v>2297</v>
      </c>
      <c r="E1711" s="22" t="n">
        <v>61.4</v>
      </c>
      <c r="F1711" s="22" t="s">
        <v>175</v>
      </c>
    </row>
    <row r="1712" customFormat="false" ht="15" hidden="false" customHeight="false" outlineLevel="0" collapsed="false">
      <c r="A1712" s="22" t="s">
        <v>4139</v>
      </c>
      <c r="B1712" s="22" t="s">
        <v>4140</v>
      </c>
      <c r="C1712" s="22" t="s">
        <v>162</v>
      </c>
      <c r="D1712" s="22" t="s">
        <v>4141</v>
      </c>
      <c r="E1712" s="22" t="n">
        <v>55.4</v>
      </c>
      <c r="F1712" s="22" t="s">
        <v>159</v>
      </c>
    </row>
    <row r="1713" customFormat="false" ht="15" hidden="false" customHeight="false" outlineLevel="0" collapsed="false">
      <c r="A1713" s="22" t="s">
        <v>4142</v>
      </c>
      <c r="B1713" s="22" t="s">
        <v>4143</v>
      </c>
      <c r="C1713" s="22" t="s">
        <v>162</v>
      </c>
      <c r="D1713" s="22" t="s">
        <v>930</v>
      </c>
      <c r="E1713" s="22" t="n">
        <v>41.4</v>
      </c>
      <c r="F1713" s="22" t="s">
        <v>164</v>
      </c>
    </row>
    <row r="1714" customFormat="false" ht="15" hidden="false" customHeight="false" outlineLevel="0" collapsed="false">
      <c r="A1714" s="22" t="s">
        <v>4144</v>
      </c>
      <c r="B1714" s="22" t="s">
        <v>4145</v>
      </c>
      <c r="C1714" s="22" t="s">
        <v>162</v>
      </c>
      <c r="D1714" s="22" t="s">
        <v>469</v>
      </c>
      <c r="E1714" s="22" t="n">
        <v>28.2</v>
      </c>
      <c r="F1714" s="22" t="s">
        <v>164</v>
      </c>
    </row>
    <row r="1715" customFormat="false" ht="15" hidden="false" customHeight="false" outlineLevel="0" collapsed="false">
      <c r="A1715" s="22" t="s">
        <v>4146</v>
      </c>
      <c r="B1715" s="22" t="s">
        <v>4147</v>
      </c>
      <c r="C1715" s="22" t="s">
        <v>162</v>
      </c>
      <c r="D1715" s="22" t="s">
        <v>698</v>
      </c>
      <c r="E1715" s="22" t="n">
        <v>54.7</v>
      </c>
      <c r="F1715" s="22" t="s">
        <v>499</v>
      </c>
    </row>
    <row r="1716" customFormat="false" ht="15" hidden="false" customHeight="false" outlineLevel="0" collapsed="false">
      <c r="A1716" s="22" t="s">
        <v>4148</v>
      </c>
      <c r="B1716" s="22" t="s">
        <v>4149</v>
      </c>
      <c r="C1716" s="22" t="s">
        <v>207</v>
      </c>
      <c r="D1716" s="22" t="s">
        <v>2915</v>
      </c>
      <c r="E1716" s="22" t="n">
        <v>43.8</v>
      </c>
      <c r="F1716" s="22" t="s">
        <v>499</v>
      </c>
    </row>
    <row r="1717" customFormat="false" ht="15" hidden="false" customHeight="false" outlineLevel="0" collapsed="false">
      <c r="A1717" s="22" t="s">
        <v>4150</v>
      </c>
      <c r="B1717" s="22" t="s">
        <v>4151</v>
      </c>
      <c r="C1717" s="22" t="s">
        <v>162</v>
      </c>
      <c r="D1717" s="22" t="s">
        <v>2468</v>
      </c>
      <c r="E1717" s="22" t="n">
        <v>55</v>
      </c>
      <c r="F1717" s="22" t="s">
        <v>198</v>
      </c>
    </row>
    <row r="1718" customFormat="false" ht="15" hidden="false" customHeight="false" outlineLevel="0" collapsed="false">
      <c r="A1718" s="22" t="s">
        <v>4152</v>
      </c>
      <c r="B1718" s="22" t="s">
        <v>4153</v>
      </c>
      <c r="C1718" s="22" t="s">
        <v>162</v>
      </c>
      <c r="D1718" s="22" t="s">
        <v>318</v>
      </c>
      <c r="E1718" s="22" t="n">
        <v>61.8</v>
      </c>
      <c r="F1718" s="22" t="s">
        <v>159</v>
      </c>
    </row>
    <row r="1719" customFormat="false" ht="15" hidden="false" customHeight="false" outlineLevel="0" collapsed="false">
      <c r="A1719" s="22" t="s">
        <v>4154</v>
      </c>
      <c r="B1719" s="22" t="s">
        <v>4155</v>
      </c>
      <c r="C1719" s="22" t="s">
        <v>162</v>
      </c>
      <c r="D1719" s="22" t="s">
        <v>1833</v>
      </c>
      <c r="E1719" s="22" t="n">
        <v>36.1</v>
      </c>
      <c r="F1719" s="22" t="s">
        <v>159</v>
      </c>
    </row>
    <row r="1720" customFormat="false" ht="15" hidden="false" customHeight="false" outlineLevel="0" collapsed="false">
      <c r="A1720" s="22" t="s">
        <v>4156</v>
      </c>
      <c r="B1720" s="22" t="s">
        <v>4157</v>
      </c>
      <c r="C1720" s="22" t="s">
        <v>162</v>
      </c>
      <c r="D1720" s="22" t="s">
        <v>2856</v>
      </c>
      <c r="E1720" s="22" t="n">
        <v>58.9</v>
      </c>
      <c r="F1720" s="22" t="s">
        <v>175</v>
      </c>
    </row>
    <row r="1721" customFormat="false" ht="15" hidden="false" customHeight="false" outlineLevel="0" collapsed="false">
      <c r="A1721" s="22" t="s">
        <v>4158</v>
      </c>
      <c r="B1721" s="22" t="s">
        <v>4159</v>
      </c>
      <c r="C1721" s="22" t="s">
        <v>162</v>
      </c>
      <c r="D1721" s="22" t="s">
        <v>1847</v>
      </c>
      <c r="E1721" s="22" t="n">
        <v>34.6</v>
      </c>
      <c r="F1721" s="22" t="s">
        <v>175</v>
      </c>
    </row>
    <row r="1722" customFormat="false" ht="15" hidden="false" customHeight="false" outlineLevel="0" collapsed="false">
      <c r="A1722" s="22" t="s">
        <v>4160</v>
      </c>
      <c r="B1722" s="22" t="s">
        <v>4161</v>
      </c>
      <c r="C1722" s="22" t="s">
        <v>162</v>
      </c>
      <c r="D1722" s="22" t="s">
        <v>2177</v>
      </c>
      <c r="E1722" s="22" t="n">
        <v>19.5</v>
      </c>
      <c r="F1722" s="22" t="s">
        <v>164</v>
      </c>
    </row>
    <row r="1723" customFormat="false" ht="15" hidden="false" customHeight="false" outlineLevel="0" collapsed="false">
      <c r="A1723" s="22" t="s">
        <v>4162</v>
      </c>
      <c r="B1723" s="22" t="s">
        <v>4163</v>
      </c>
      <c r="C1723" s="22" t="s">
        <v>162</v>
      </c>
      <c r="D1723" s="22" t="s">
        <v>1891</v>
      </c>
      <c r="E1723" s="22" t="n">
        <v>24.2</v>
      </c>
      <c r="F1723" s="22" t="s">
        <v>198</v>
      </c>
    </row>
    <row r="1724" customFormat="false" ht="15" hidden="false" customHeight="false" outlineLevel="0" collapsed="false">
      <c r="A1724" s="22" t="s">
        <v>4164</v>
      </c>
      <c r="B1724" s="22" t="s">
        <v>4165</v>
      </c>
      <c r="C1724" s="22" t="s">
        <v>162</v>
      </c>
      <c r="D1724" s="22" t="s">
        <v>588</v>
      </c>
      <c r="E1724" s="22" t="n">
        <v>46.9</v>
      </c>
      <c r="F1724" s="22" t="s">
        <v>171</v>
      </c>
    </row>
    <row r="1725" customFormat="false" ht="15" hidden="false" customHeight="false" outlineLevel="0" collapsed="false">
      <c r="A1725" s="22" t="s">
        <v>4166</v>
      </c>
      <c r="B1725" s="22" t="s">
        <v>4167</v>
      </c>
      <c r="C1725" s="22" t="s">
        <v>162</v>
      </c>
      <c r="D1725" s="22" t="s">
        <v>664</v>
      </c>
      <c r="E1725" s="22" t="n">
        <v>49.4</v>
      </c>
      <c r="F1725" s="22" t="s">
        <v>198</v>
      </c>
    </row>
    <row r="1726" customFormat="false" ht="15" hidden="false" customHeight="false" outlineLevel="0" collapsed="false">
      <c r="A1726" s="22" t="s">
        <v>4168</v>
      </c>
      <c r="B1726" s="22" t="s">
        <v>4169</v>
      </c>
      <c r="C1726" s="22" t="s">
        <v>162</v>
      </c>
      <c r="D1726" s="22" t="s">
        <v>1774</v>
      </c>
      <c r="E1726" s="22" t="n">
        <v>50.3</v>
      </c>
      <c r="F1726" s="22" t="s">
        <v>164</v>
      </c>
    </row>
    <row r="1727" customFormat="false" ht="15" hidden="false" customHeight="false" outlineLevel="0" collapsed="false">
      <c r="A1727" s="22" t="s">
        <v>4170</v>
      </c>
      <c r="B1727" s="22" t="s">
        <v>4171</v>
      </c>
      <c r="C1727" s="22" t="s">
        <v>162</v>
      </c>
      <c r="D1727" s="22" t="s">
        <v>4172</v>
      </c>
      <c r="E1727" s="22" t="n">
        <v>48.3</v>
      </c>
      <c r="F1727" s="22" t="s">
        <v>171</v>
      </c>
    </row>
    <row r="1728" customFormat="false" ht="15" hidden="false" customHeight="false" outlineLevel="0" collapsed="false">
      <c r="A1728" s="22" t="s">
        <v>4173</v>
      </c>
      <c r="B1728" s="22" t="s">
        <v>4174</v>
      </c>
      <c r="C1728" s="22" t="s">
        <v>566</v>
      </c>
      <c r="D1728" s="22" t="s">
        <v>1229</v>
      </c>
      <c r="E1728" s="22" t="n">
        <v>57</v>
      </c>
      <c r="F1728" s="22" t="s">
        <v>215</v>
      </c>
    </row>
    <row r="1729" customFormat="false" ht="15" hidden="false" customHeight="false" outlineLevel="0" collapsed="false">
      <c r="A1729" s="22" t="s">
        <v>4175</v>
      </c>
      <c r="B1729" s="22" t="s">
        <v>4176</v>
      </c>
      <c r="C1729" s="22" t="s">
        <v>162</v>
      </c>
      <c r="D1729" s="22" t="s">
        <v>386</v>
      </c>
      <c r="E1729" s="22" t="n">
        <v>60.7</v>
      </c>
      <c r="F1729" s="22" t="s">
        <v>215</v>
      </c>
    </row>
    <row r="1730" customFormat="false" ht="15" hidden="false" customHeight="false" outlineLevel="0" collapsed="false">
      <c r="A1730" s="22" t="s">
        <v>4177</v>
      </c>
      <c r="B1730" s="22" t="s">
        <v>4178</v>
      </c>
      <c r="C1730" s="22" t="s">
        <v>207</v>
      </c>
      <c r="D1730" s="22" t="s">
        <v>1383</v>
      </c>
      <c r="E1730" s="22" t="n">
        <v>32.5</v>
      </c>
      <c r="F1730" s="22" t="s">
        <v>164</v>
      </c>
    </row>
    <row r="1731" customFormat="false" ht="15" hidden="false" customHeight="false" outlineLevel="0" collapsed="false">
      <c r="A1731" s="22" t="s">
        <v>4179</v>
      </c>
      <c r="B1731" s="22" t="s">
        <v>4180</v>
      </c>
      <c r="C1731" s="22" t="s">
        <v>162</v>
      </c>
      <c r="D1731" s="22" t="s">
        <v>1204</v>
      </c>
      <c r="E1731" s="22" t="n">
        <v>58.8</v>
      </c>
      <c r="F1731" s="22" t="s">
        <v>159</v>
      </c>
    </row>
    <row r="1732" customFormat="false" ht="15" hidden="false" customHeight="false" outlineLevel="0" collapsed="false">
      <c r="A1732" s="22" t="s">
        <v>4181</v>
      </c>
      <c r="B1732" s="22" t="s">
        <v>4182</v>
      </c>
      <c r="C1732" s="22" t="s">
        <v>162</v>
      </c>
      <c r="D1732" s="22" t="s">
        <v>287</v>
      </c>
      <c r="E1732" s="22" t="n">
        <v>30.6</v>
      </c>
      <c r="F1732" s="22" t="s">
        <v>175</v>
      </c>
    </row>
    <row r="1733" customFormat="false" ht="15" hidden="false" customHeight="false" outlineLevel="0" collapsed="false">
      <c r="A1733" s="22" t="s">
        <v>4183</v>
      </c>
      <c r="B1733" s="22" t="s">
        <v>4184</v>
      </c>
      <c r="C1733" s="22" t="s">
        <v>162</v>
      </c>
      <c r="D1733" s="22" t="s">
        <v>1105</v>
      </c>
      <c r="E1733" s="22" t="n">
        <v>49.1</v>
      </c>
      <c r="F1733" s="22" t="s">
        <v>171</v>
      </c>
    </row>
    <row r="1734" customFormat="false" ht="15" hidden="false" customHeight="false" outlineLevel="0" collapsed="false">
      <c r="A1734" s="22" t="s">
        <v>4185</v>
      </c>
      <c r="B1734" s="22" t="s">
        <v>4186</v>
      </c>
      <c r="C1734" s="22" t="s">
        <v>162</v>
      </c>
      <c r="D1734" s="22" t="s">
        <v>239</v>
      </c>
      <c r="E1734" s="22" t="n">
        <v>51.9</v>
      </c>
      <c r="F1734" s="22" t="s">
        <v>171</v>
      </c>
    </row>
    <row r="1735" customFormat="false" ht="15" hidden="false" customHeight="false" outlineLevel="0" collapsed="false">
      <c r="A1735" s="22" t="s">
        <v>4187</v>
      </c>
      <c r="B1735" s="22" t="s">
        <v>4188</v>
      </c>
      <c r="C1735" s="22" t="s">
        <v>162</v>
      </c>
      <c r="D1735" s="22" t="s">
        <v>224</v>
      </c>
      <c r="E1735" s="22" t="n">
        <v>38.1</v>
      </c>
      <c r="F1735" s="22" t="s">
        <v>159</v>
      </c>
    </row>
    <row r="1736" customFormat="false" ht="15" hidden="false" customHeight="false" outlineLevel="0" collapsed="false">
      <c r="A1736" s="22" t="s">
        <v>4189</v>
      </c>
      <c r="B1736" s="22" t="s">
        <v>4190</v>
      </c>
      <c r="C1736" s="22" t="s">
        <v>162</v>
      </c>
      <c r="D1736" s="22" t="s">
        <v>1786</v>
      </c>
      <c r="E1736" s="22" t="n">
        <v>54.2</v>
      </c>
      <c r="F1736" s="22" t="s">
        <v>171</v>
      </c>
    </row>
    <row r="1737" customFormat="false" ht="15" hidden="false" customHeight="false" outlineLevel="0" collapsed="false">
      <c r="A1737" s="22" t="s">
        <v>4191</v>
      </c>
      <c r="B1737" s="22" t="s">
        <v>4192</v>
      </c>
      <c r="C1737" s="22" t="s">
        <v>162</v>
      </c>
      <c r="D1737" s="22" t="s">
        <v>439</v>
      </c>
      <c r="E1737" s="22" t="n">
        <v>54.3</v>
      </c>
      <c r="F1737" s="22" t="s">
        <v>164</v>
      </c>
    </row>
    <row r="1738" customFormat="false" ht="15" hidden="false" customHeight="false" outlineLevel="0" collapsed="false">
      <c r="A1738" s="22" t="s">
        <v>4193</v>
      </c>
      <c r="B1738" s="22" t="s">
        <v>4194</v>
      </c>
      <c r="C1738" s="22" t="s">
        <v>162</v>
      </c>
      <c r="D1738" s="22" t="s">
        <v>1438</v>
      </c>
      <c r="E1738" s="22" t="n">
        <v>43.1</v>
      </c>
      <c r="F1738" s="22" t="s">
        <v>164</v>
      </c>
    </row>
    <row r="1739" customFormat="false" ht="15" hidden="false" customHeight="false" outlineLevel="0" collapsed="false">
      <c r="A1739" s="22" t="s">
        <v>4195</v>
      </c>
      <c r="B1739" s="22" t="s">
        <v>4196</v>
      </c>
      <c r="C1739" s="22" t="s">
        <v>207</v>
      </c>
      <c r="D1739" s="22" t="s">
        <v>3632</v>
      </c>
      <c r="E1739" s="22" t="n">
        <v>54.7</v>
      </c>
      <c r="F1739" s="22" t="s">
        <v>164</v>
      </c>
    </row>
    <row r="1740" customFormat="false" ht="15" hidden="false" customHeight="false" outlineLevel="0" collapsed="false">
      <c r="A1740" s="22" t="s">
        <v>4197</v>
      </c>
      <c r="B1740" s="22" t="s">
        <v>4198</v>
      </c>
      <c r="C1740" s="22" t="s">
        <v>162</v>
      </c>
      <c r="D1740" s="22" t="s">
        <v>1017</v>
      </c>
      <c r="E1740" s="22" t="n">
        <v>26.4</v>
      </c>
      <c r="F1740" s="22" t="s">
        <v>175</v>
      </c>
    </row>
    <row r="1741" customFormat="false" ht="15" hidden="false" customHeight="false" outlineLevel="0" collapsed="false">
      <c r="A1741" s="22" t="s">
        <v>4199</v>
      </c>
      <c r="B1741" s="22" t="s">
        <v>4200</v>
      </c>
      <c r="C1741" s="22" t="s">
        <v>162</v>
      </c>
      <c r="D1741" s="22" t="s">
        <v>781</v>
      </c>
      <c r="E1741" s="22" t="n">
        <v>51.8</v>
      </c>
      <c r="F1741" s="22" t="s">
        <v>171</v>
      </c>
    </row>
    <row r="1742" customFormat="false" ht="15" hidden="false" customHeight="false" outlineLevel="0" collapsed="false">
      <c r="A1742" s="22" t="s">
        <v>4201</v>
      </c>
      <c r="B1742" s="22" t="s">
        <v>4202</v>
      </c>
      <c r="C1742" s="22" t="s">
        <v>162</v>
      </c>
      <c r="D1742" s="22" t="s">
        <v>355</v>
      </c>
      <c r="E1742" s="22" t="n">
        <v>46.8</v>
      </c>
      <c r="F1742" s="22" t="s">
        <v>175</v>
      </c>
    </row>
    <row r="1743" customFormat="false" ht="15" hidden="false" customHeight="false" outlineLevel="0" collapsed="false">
      <c r="A1743" s="22" t="s">
        <v>4203</v>
      </c>
      <c r="B1743" s="22" t="s">
        <v>4204</v>
      </c>
      <c r="C1743" s="22" t="s">
        <v>162</v>
      </c>
      <c r="D1743" s="22" t="s">
        <v>1339</v>
      </c>
      <c r="E1743" s="22" t="n">
        <v>41.4</v>
      </c>
      <c r="F1743" s="22" t="s">
        <v>171</v>
      </c>
    </row>
    <row r="1744" customFormat="false" ht="15" hidden="false" customHeight="false" outlineLevel="0" collapsed="false">
      <c r="A1744" s="22" t="s">
        <v>4205</v>
      </c>
      <c r="B1744" s="22" t="s">
        <v>4206</v>
      </c>
      <c r="C1744" s="22" t="s">
        <v>162</v>
      </c>
      <c r="D1744" s="22" t="s">
        <v>4141</v>
      </c>
      <c r="E1744" s="22" t="n">
        <v>35.6</v>
      </c>
      <c r="F1744" s="22" t="s">
        <v>164</v>
      </c>
    </row>
    <row r="1745" customFormat="false" ht="15" hidden="false" customHeight="false" outlineLevel="0" collapsed="false">
      <c r="A1745" s="22" t="s">
        <v>4207</v>
      </c>
      <c r="B1745" s="22" t="s">
        <v>4208</v>
      </c>
      <c r="C1745" s="22" t="s">
        <v>162</v>
      </c>
      <c r="D1745" s="22" t="s">
        <v>2280</v>
      </c>
      <c r="E1745" s="22" t="n">
        <v>49.7</v>
      </c>
      <c r="F1745" s="22" t="s">
        <v>164</v>
      </c>
    </row>
    <row r="1746" customFormat="false" ht="15" hidden="false" customHeight="false" outlineLevel="0" collapsed="false">
      <c r="A1746" s="22" t="s">
        <v>4209</v>
      </c>
      <c r="B1746" s="22" t="s">
        <v>4210</v>
      </c>
      <c r="C1746" s="22" t="s">
        <v>162</v>
      </c>
      <c r="D1746" s="22" t="s">
        <v>787</v>
      </c>
      <c r="E1746" s="22" t="n">
        <v>20.6</v>
      </c>
      <c r="F1746" s="22" t="s">
        <v>171</v>
      </c>
    </row>
    <row r="1747" customFormat="false" ht="15" hidden="false" customHeight="false" outlineLevel="0" collapsed="false">
      <c r="A1747" s="22" t="s">
        <v>4211</v>
      </c>
      <c r="B1747" s="22" t="s">
        <v>4212</v>
      </c>
      <c r="C1747" s="22" t="s">
        <v>162</v>
      </c>
      <c r="D1747" s="22" t="s">
        <v>4213</v>
      </c>
      <c r="E1747" s="22" t="n">
        <v>49.2</v>
      </c>
      <c r="F1747" s="22" t="s">
        <v>171</v>
      </c>
    </row>
    <row r="1748" customFormat="false" ht="15" hidden="false" customHeight="false" outlineLevel="0" collapsed="false">
      <c r="A1748" s="22" t="s">
        <v>4214</v>
      </c>
      <c r="B1748" s="22" t="s">
        <v>4215</v>
      </c>
      <c r="C1748" s="22" t="s">
        <v>162</v>
      </c>
      <c r="D1748" s="22" t="s">
        <v>422</v>
      </c>
      <c r="E1748" s="22" t="n">
        <v>29.3</v>
      </c>
      <c r="F1748" s="22" t="s">
        <v>215</v>
      </c>
    </row>
    <row r="1749" customFormat="false" ht="15" hidden="false" customHeight="false" outlineLevel="0" collapsed="false">
      <c r="A1749" s="22" t="s">
        <v>4216</v>
      </c>
      <c r="B1749" s="22" t="s">
        <v>4217</v>
      </c>
      <c r="C1749" s="22" t="s">
        <v>162</v>
      </c>
      <c r="D1749" s="22" t="s">
        <v>2625</v>
      </c>
      <c r="E1749" s="22" t="n">
        <v>42.6</v>
      </c>
      <c r="F1749" s="22" t="s">
        <v>198</v>
      </c>
    </row>
    <row r="1750" customFormat="false" ht="15" hidden="false" customHeight="false" outlineLevel="0" collapsed="false">
      <c r="A1750" s="22" t="s">
        <v>4218</v>
      </c>
      <c r="B1750" s="22" t="s">
        <v>4219</v>
      </c>
      <c r="C1750" s="22" t="s">
        <v>162</v>
      </c>
      <c r="D1750" s="22" t="s">
        <v>242</v>
      </c>
      <c r="E1750" s="22" t="n">
        <v>21.3</v>
      </c>
      <c r="F1750" s="22" t="s">
        <v>188</v>
      </c>
    </row>
    <row r="1751" customFormat="false" ht="15" hidden="false" customHeight="false" outlineLevel="0" collapsed="false">
      <c r="A1751" s="22" t="s">
        <v>4220</v>
      </c>
      <c r="B1751" s="22" t="s">
        <v>4221</v>
      </c>
      <c r="C1751" s="22" t="s">
        <v>207</v>
      </c>
      <c r="D1751" s="22" t="s">
        <v>4222</v>
      </c>
      <c r="E1751" s="22" t="n">
        <v>28.2</v>
      </c>
      <c r="F1751" s="22" t="s">
        <v>164</v>
      </c>
    </row>
    <row r="1752" customFormat="false" ht="15" hidden="false" customHeight="false" outlineLevel="0" collapsed="false">
      <c r="A1752" s="22" t="s">
        <v>4223</v>
      </c>
      <c r="B1752" s="22" t="s">
        <v>4224</v>
      </c>
      <c r="C1752" s="22" t="s">
        <v>162</v>
      </c>
      <c r="D1752" s="22" t="s">
        <v>2656</v>
      </c>
      <c r="E1752" s="22" t="n">
        <v>48.2</v>
      </c>
      <c r="F1752" s="22" t="s">
        <v>164</v>
      </c>
    </row>
    <row r="1753" customFormat="false" ht="15" hidden="false" customHeight="false" outlineLevel="0" collapsed="false">
      <c r="A1753" s="22" t="s">
        <v>4225</v>
      </c>
      <c r="B1753" s="22" t="s">
        <v>4226</v>
      </c>
      <c r="C1753" s="22" t="s">
        <v>162</v>
      </c>
      <c r="D1753" s="22" t="s">
        <v>2871</v>
      </c>
      <c r="E1753" s="22" t="n">
        <v>47.5</v>
      </c>
      <c r="F1753" s="22" t="s">
        <v>499</v>
      </c>
    </row>
    <row r="1754" customFormat="false" ht="15" hidden="false" customHeight="false" outlineLevel="0" collapsed="false">
      <c r="A1754" s="22" t="s">
        <v>4227</v>
      </c>
      <c r="B1754" s="22" t="s">
        <v>4228</v>
      </c>
      <c r="C1754" s="22" t="s">
        <v>162</v>
      </c>
      <c r="D1754" s="22" t="s">
        <v>1369</v>
      </c>
      <c r="E1754" s="22" t="n">
        <v>31.1</v>
      </c>
      <c r="F1754" s="22" t="s">
        <v>159</v>
      </c>
    </row>
    <row r="1755" customFormat="false" ht="15" hidden="false" customHeight="false" outlineLevel="0" collapsed="false">
      <c r="A1755" s="22" t="s">
        <v>4229</v>
      </c>
      <c r="B1755" s="22" t="s">
        <v>4230</v>
      </c>
      <c r="C1755" s="22" t="s">
        <v>207</v>
      </c>
      <c r="D1755" s="22" t="s">
        <v>1217</v>
      </c>
      <c r="E1755" s="22" t="n">
        <v>58.8</v>
      </c>
      <c r="F1755" s="22" t="s">
        <v>164</v>
      </c>
    </row>
    <row r="1756" customFormat="false" ht="15" hidden="false" customHeight="false" outlineLevel="0" collapsed="false">
      <c r="A1756" s="22" t="s">
        <v>4231</v>
      </c>
      <c r="B1756" s="22" t="s">
        <v>4232</v>
      </c>
      <c r="C1756" s="22" t="s">
        <v>162</v>
      </c>
      <c r="D1756" s="22" t="s">
        <v>1115</v>
      </c>
      <c r="E1756" s="22" t="n">
        <v>18.6</v>
      </c>
      <c r="F1756" s="22" t="s">
        <v>198</v>
      </c>
    </row>
    <row r="1757" customFormat="false" ht="15" hidden="false" customHeight="false" outlineLevel="0" collapsed="false">
      <c r="A1757" s="22" t="s">
        <v>4233</v>
      </c>
      <c r="B1757" s="22" t="s">
        <v>4234</v>
      </c>
      <c r="C1757" s="22" t="s">
        <v>162</v>
      </c>
      <c r="D1757" s="22" t="s">
        <v>1423</v>
      </c>
      <c r="E1757" s="22" t="n">
        <v>31.6</v>
      </c>
      <c r="F1757" s="22" t="s">
        <v>171</v>
      </c>
    </row>
    <row r="1758" customFormat="false" ht="15" hidden="false" customHeight="false" outlineLevel="0" collapsed="false">
      <c r="A1758" s="22" t="s">
        <v>4235</v>
      </c>
      <c r="B1758" s="22" t="s">
        <v>4236</v>
      </c>
      <c r="C1758" s="22" t="s">
        <v>162</v>
      </c>
      <c r="D1758" s="22" t="s">
        <v>1066</v>
      </c>
      <c r="E1758" s="22" t="n">
        <v>53.7</v>
      </c>
      <c r="F1758" s="22" t="s">
        <v>164</v>
      </c>
    </row>
    <row r="1759" customFormat="false" ht="15" hidden="false" customHeight="false" outlineLevel="0" collapsed="false">
      <c r="A1759" s="22" t="s">
        <v>4237</v>
      </c>
      <c r="B1759" s="22" t="s">
        <v>4238</v>
      </c>
      <c r="C1759" s="22" t="s">
        <v>162</v>
      </c>
      <c r="D1759" s="22" t="s">
        <v>2372</v>
      </c>
      <c r="E1759" s="22" t="n">
        <v>40.9</v>
      </c>
      <c r="F1759" s="22" t="s">
        <v>499</v>
      </c>
    </row>
    <row r="1760" customFormat="false" ht="15" hidden="false" customHeight="false" outlineLevel="0" collapsed="false">
      <c r="A1760" s="22" t="s">
        <v>4239</v>
      </c>
      <c r="B1760" s="22" t="s">
        <v>4240</v>
      </c>
      <c r="C1760" s="22" t="s">
        <v>162</v>
      </c>
      <c r="D1760" s="22" t="s">
        <v>1896</v>
      </c>
      <c r="E1760" s="22" t="n">
        <v>34.6</v>
      </c>
      <c r="F1760" s="22" t="s">
        <v>159</v>
      </c>
    </row>
    <row r="1761" customFormat="false" ht="15" hidden="false" customHeight="false" outlineLevel="0" collapsed="false">
      <c r="A1761" s="22" t="s">
        <v>4241</v>
      </c>
      <c r="B1761" s="22" t="s">
        <v>4242</v>
      </c>
      <c r="C1761" s="22" t="s">
        <v>162</v>
      </c>
      <c r="D1761" s="22" t="s">
        <v>2730</v>
      </c>
      <c r="E1761" s="22" t="n">
        <v>38.4</v>
      </c>
      <c r="F1761" s="22" t="s">
        <v>164</v>
      </c>
    </row>
    <row r="1762" customFormat="false" ht="15" hidden="false" customHeight="false" outlineLevel="0" collapsed="false">
      <c r="A1762" s="22" t="s">
        <v>4243</v>
      </c>
      <c r="B1762" s="22" t="s">
        <v>4244</v>
      </c>
      <c r="C1762" s="22" t="s">
        <v>162</v>
      </c>
      <c r="D1762" s="22" t="s">
        <v>1307</v>
      </c>
      <c r="E1762" s="22" t="n">
        <v>37.3</v>
      </c>
      <c r="F1762" s="22" t="s">
        <v>159</v>
      </c>
    </row>
    <row r="1763" customFormat="false" ht="15" hidden="false" customHeight="false" outlineLevel="0" collapsed="false">
      <c r="A1763" s="22" t="s">
        <v>4245</v>
      </c>
      <c r="B1763" s="22" t="s">
        <v>1479</v>
      </c>
      <c r="C1763" s="22" t="s">
        <v>162</v>
      </c>
      <c r="D1763" s="22" t="s">
        <v>1045</v>
      </c>
      <c r="E1763" s="22" t="n">
        <v>26</v>
      </c>
      <c r="F1763" s="22" t="s">
        <v>164</v>
      </c>
    </row>
    <row r="1764" customFormat="false" ht="15" hidden="false" customHeight="false" outlineLevel="0" collapsed="false">
      <c r="A1764" s="22" t="s">
        <v>4246</v>
      </c>
      <c r="B1764" s="22" t="s">
        <v>4247</v>
      </c>
      <c r="C1764" s="22" t="s">
        <v>162</v>
      </c>
      <c r="D1764" s="22" t="s">
        <v>2592</v>
      </c>
      <c r="E1764" s="22" t="n">
        <v>33.1</v>
      </c>
      <c r="F1764" s="22" t="s">
        <v>198</v>
      </c>
    </row>
    <row r="1765" customFormat="false" ht="15" hidden="false" customHeight="false" outlineLevel="0" collapsed="false">
      <c r="A1765" s="22" t="s">
        <v>4248</v>
      </c>
      <c r="B1765" s="22" t="s">
        <v>4249</v>
      </c>
      <c r="C1765" s="22" t="s">
        <v>162</v>
      </c>
      <c r="D1765" s="22" t="s">
        <v>793</v>
      </c>
      <c r="E1765" s="22" t="n">
        <v>25.9</v>
      </c>
      <c r="F1765" s="22" t="s">
        <v>164</v>
      </c>
    </row>
    <row r="1766" customFormat="false" ht="15" hidden="false" customHeight="false" outlineLevel="0" collapsed="false">
      <c r="A1766" s="22" t="s">
        <v>4250</v>
      </c>
      <c r="B1766" s="22" t="s">
        <v>4251</v>
      </c>
      <c r="C1766" s="22" t="s">
        <v>162</v>
      </c>
      <c r="D1766" s="22" t="s">
        <v>1229</v>
      </c>
      <c r="E1766" s="22" t="n">
        <v>24.2</v>
      </c>
      <c r="F1766" s="22" t="s">
        <v>164</v>
      </c>
    </row>
    <row r="1767" customFormat="false" ht="15" hidden="false" customHeight="false" outlineLevel="0" collapsed="false">
      <c r="A1767" s="22" t="s">
        <v>4252</v>
      </c>
      <c r="B1767" s="22" t="s">
        <v>4253</v>
      </c>
      <c r="C1767" s="22" t="s">
        <v>162</v>
      </c>
      <c r="D1767" s="22" t="s">
        <v>1484</v>
      </c>
      <c r="E1767" s="22" t="n">
        <v>54.5</v>
      </c>
      <c r="F1767" s="22" t="s">
        <v>159</v>
      </c>
    </row>
    <row r="1768" customFormat="false" ht="15" hidden="false" customHeight="false" outlineLevel="0" collapsed="false">
      <c r="A1768" s="22" t="s">
        <v>4254</v>
      </c>
      <c r="B1768" s="22" t="s">
        <v>4255</v>
      </c>
      <c r="C1768" s="22" t="s">
        <v>162</v>
      </c>
      <c r="D1768" s="22" t="s">
        <v>4222</v>
      </c>
      <c r="E1768" s="22" t="n">
        <v>52.8</v>
      </c>
      <c r="F1768" s="22" t="s">
        <v>164</v>
      </c>
    </row>
    <row r="1769" customFormat="false" ht="15" hidden="false" customHeight="false" outlineLevel="0" collapsed="false">
      <c r="A1769" s="22" t="s">
        <v>4256</v>
      </c>
      <c r="B1769" s="22" t="s">
        <v>4257</v>
      </c>
      <c r="C1769" s="22" t="s">
        <v>162</v>
      </c>
      <c r="D1769" s="22" t="s">
        <v>567</v>
      </c>
      <c r="E1769" s="22" t="n">
        <v>20.8</v>
      </c>
      <c r="F1769" s="22" t="s">
        <v>175</v>
      </c>
    </row>
    <row r="1770" customFormat="false" ht="15" hidden="false" customHeight="false" outlineLevel="0" collapsed="false">
      <c r="A1770" s="22" t="s">
        <v>4258</v>
      </c>
      <c r="B1770" s="22" t="s">
        <v>4259</v>
      </c>
      <c r="C1770" s="22" t="s">
        <v>207</v>
      </c>
      <c r="D1770" s="22" t="s">
        <v>419</v>
      </c>
      <c r="E1770" s="22" t="n">
        <v>34</v>
      </c>
      <c r="F1770" s="22" t="s">
        <v>164</v>
      </c>
    </row>
    <row r="1771" customFormat="false" ht="15" hidden="false" customHeight="false" outlineLevel="0" collapsed="false">
      <c r="A1771" s="22" t="s">
        <v>4260</v>
      </c>
      <c r="B1771" s="22" t="s">
        <v>4261</v>
      </c>
      <c r="C1771" s="22" t="s">
        <v>162</v>
      </c>
      <c r="D1771" s="22" t="s">
        <v>463</v>
      </c>
      <c r="E1771" s="22" t="n">
        <v>41.2</v>
      </c>
      <c r="F1771" s="22" t="s">
        <v>164</v>
      </c>
    </row>
    <row r="1772" customFormat="false" ht="15" hidden="false" customHeight="false" outlineLevel="0" collapsed="false">
      <c r="A1772" s="22" t="s">
        <v>4262</v>
      </c>
      <c r="B1772" s="22" t="s">
        <v>4263</v>
      </c>
      <c r="C1772" s="22" t="s">
        <v>162</v>
      </c>
      <c r="D1772" s="22" t="s">
        <v>4264</v>
      </c>
      <c r="E1772" s="22" t="n">
        <v>55.1</v>
      </c>
      <c r="F1772" s="22" t="s">
        <v>164</v>
      </c>
    </row>
    <row r="1773" customFormat="false" ht="15" hidden="false" customHeight="false" outlineLevel="0" collapsed="false">
      <c r="A1773" s="22" t="s">
        <v>4265</v>
      </c>
      <c r="B1773" s="22" t="s">
        <v>4266</v>
      </c>
      <c r="C1773" s="22" t="s">
        <v>162</v>
      </c>
      <c r="D1773" s="22" t="s">
        <v>3216</v>
      </c>
      <c r="E1773" s="22" t="n">
        <v>58</v>
      </c>
      <c r="F1773" s="22" t="s">
        <v>198</v>
      </c>
    </row>
    <row r="1774" customFormat="false" ht="15" hidden="false" customHeight="false" outlineLevel="0" collapsed="false">
      <c r="A1774" s="22" t="s">
        <v>4267</v>
      </c>
      <c r="B1774" s="22" t="s">
        <v>4268</v>
      </c>
      <c r="C1774" s="22" t="s">
        <v>162</v>
      </c>
      <c r="D1774" s="22" t="s">
        <v>201</v>
      </c>
      <c r="E1774" s="22" t="n">
        <v>41.2</v>
      </c>
      <c r="F1774" s="22" t="s">
        <v>198</v>
      </c>
    </row>
    <row r="1775" customFormat="false" ht="15" hidden="false" customHeight="false" outlineLevel="0" collapsed="false">
      <c r="A1775" s="22" t="s">
        <v>4269</v>
      </c>
      <c r="B1775" s="22" t="s">
        <v>4270</v>
      </c>
      <c r="C1775" s="22" t="s">
        <v>162</v>
      </c>
      <c r="D1775" s="22" t="s">
        <v>602</v>
      </c>
      <c r="E1775" s="22" t="n">
        <v>52</v>
      </c>
      <c r="F1775" s="22" t="s">
        <v>215</v>
      </c>
    </row>
    <row r="1776" customFormat="false" ht="15" hidden="false" customHeight="false" outlineLevel="0" collapsed="false">
      <c r="A1776" s="22" t="s">
        <v>4271</v>
      </c>
      <c r="B1776" s="22" t="s">
        <v>4272</v>
      </c>
      <c r="C1776" s="22" t="s">
        <v>162</v>
      </c>
      <c r="D1776" s="22" t="s">
        <v>1996</v>
      </c>
      <c r="E1776" s="22" t="n">
        <v>32.8</v>
      </c>
      <c r="F1776" s="22" t="s">
        <v>175</v>
      </c>
    </row>
    <row r="1777" customFormat="false" ht="15" hidden="false" customHeight="false" outlineLevel="0" collapsed="false">
      <c r="A1777" s="22" t="s">
        <v>4273</v>
      </c>
      <c r="B1777" s="22" t="s">
        <v>4274</v>
      </c>
      <c r="C1777" s="22" t="s">
        <v>207</v>
      </c>
      <c r="D1777" s="22" t="s">
        <v>1508</v>
      </c>
      <c r="E1777" s="22" t="n">
        <v>58.2</v>
      </c>
      <c r="F1777" s="22" t="s">
        <v>164</v>
      </c>
    </row>
    <row r="1778" customFormat="false" ht="15" hidden="false" customHeight="false" outlineLevel="0" collapsed="false">
      <c r="A1778" s="22" t="s">
        <v>4275</v>
      </c>
      <c r="B1778" s="22" t="s">
        <v>4276</v>
      </c>
      <c r="C1778" s="22" t="s">
        <v>162</v>
      </c>
      <c r="D1778" s="22" t="s">
        <v>370</v>
      </c>
      <c r="E1778" s="22" t="n">
        <v>30.7</v>
      </c>
      <c r="F1778" s="22" t="s">
        <v>164</v>
      </c>
    </row>
    <row r="1779" customFormat="false" ht="15" hidden="false" customHeight="false" outlineLevel="0" collapsed="false">
      <c r="A1779" s="22" t="s">
        <v>4277</v>
      </c>
      <c r="B1779" s="22" t="s">
        <v>4278</v>
      </c>
      <c r="C1779" s="22" t="s">
        <v>162</v>
      </c>
      <c r="D1779" s="22" t="s">
        <v>2755</v>
      </c>
      <c r="E1779" s="22" t="n">
        <v>52.5</v>
      </c>
      <c r="F1779" s="22" t="s">
        <v>198</v>
      </c>
    </row>
    <row r="1780" customFormat="false" ht="15" hidden="false" customHeight="false" outlineLevel="0" collapsed="false">
      <c r="A1780" s="22" t="s">
        <v>4279</v>
      </c>
      <c r="B1780" s="22" t="s">
        <v>4280</v>
      </c>
      <c r="C1780" s="22" t="s">
        <v>566</v>
      </c>
      <c r="D1780" s="22" t="s">
        <v>2394</v>
      </c>
      <c r="E1780" s="22" t="n">
        <v>41.3</v>
      </c>
      <c r="F1780" s="22" t="s">
        <v>171</v>
      </c>
    </row>
    <row r="1781" customFormat="false" ht="15" hidden="false" customHeight="false" outlineLevel="0" collapsed="false">
      <c r="A1781" s="22" t="s">
        <v>4281</v>
      </c>
      <c r="B1781" s="22" t="s">
        <v>4282</v>
      </c>
      <c r="C1781" s="22" t="s">
        <v>162</v>
      </c>
      <c r="D1781" s="22" t="s">
        <v>3590</v>
      </c>
      <c r="E1781" s="22" t="n">
        <v>29.9</v>
      </c>
      <c r="F1781" s="22" t="s">
        <v>171</v>
      </c>
    </row>
    <row r="1782" customFormat="false" ht="15" hidden="false" customHeight="false" outlineLevel="0" collapsed="false">
      <c r="A1782" s="22" t="s">
        <v>4283</v>
      </c>
      <c r="B1782" s="22" t="s">
        <v>4284</v>
      </c>
      <c r="C1782" s="22" t="s">
        <v>162</v>
      </c>
      <c r="D1782" s="22" t="s">
        <v>1797</v>
      </c>
      <c r="E1782" s="22" t="n">
        <v>24.4</v>
      </c>
      <c r="F1782" s="22" t="s">
        <v>164</v>
      </c>
    </row>
    <row r="1783" customFormat="false" ht="15" hidden="false" customHeight="false" outlineLevel="0" collapsed="false">
      <c r="A1783" s="22" t="s">
        <v>4285</v>
      </c>
      <c r="B1783" s="22" t="s">
        <v>4286</v>
      </c>
      <c r="C1783" s="22" t="s">
        <v>162</v>
      </c>
      <c r="D1783" s="22" t="s">
        <v>4287</v>
      </c>
      <c r="E1783" s="22" t="n">
        <v>22.8</v>
      </c>
      <c r="F1783" s="22" t="s">
        <v>159</v>
      </c>
    </row>
    <row r="1784" customFormat="false" ht="15" hidden="false" customHeight="false" outlineLevel="0" collapsed="false">
      <c r="A1784" s="22" t="s">
        <v>4288</v>
      </c>
      <c r="B1784" s="22" t="s">
        <v>4289</v>
      </c>
      <c r="C1784" s="22" t="s">
        <v>157</v>
      </c>
      <c r="D1784" s="22" t="s">
        <v>543</v>
      </c>
      <c r="E1784" s="22" t="n">
        <v>32</v>
      </c>
      <c r="F1784" s="22" t="s">
        <v>159</v>
      </c>
    </row>
    <row r="1785" customFormat="false" ht="15" hidden="false" customHeight="false" outlineLevel="0" collapsed="false">
      <c r="A1785" s="22" t="s">
        <v>4290</v>
      </c>
      <c r="B1785" s="22" t="s">
        <v>4291</v>
      </c>
      <c r="C1785" s="22" t="s">
        <v>162</v>
      </c>
      <c r="D1785" s="22" t="s">
        <v>410</v>
      </c>
      <c r="E1785" s="22" t="n">
        <v>58.6</v>
      </c>
      <c r="F1785" s="22" t="s">
        <v>175</v>
      </c>
    </row>
    <row r="1786" customFormat="false" ht="15" hidden="false" customHeight="false" outlineLevel="0" collapsed="false">
      <c r="A1786" s="22" t="s">
        <v>4292</v>
      </c>
      <c r="B1786" s="22" t="s">
        <v>4293</v>
      </c>
      <c r="C1786" s="22" t="s">
        <v>566</v>
      </c>
      <c r="D1786" s="22" t="s">
        <v>4264</v>
      </c>
      <c r="E1786" s="22" t="n">
        <v>34.3</v>
      </c>
      <c r="F1786" s="22" t="s">
        <v>175</v>
      </c>
    </row>
    <row r="1787" customFormat="false" ht="15" hidden="false" customHeight="false" outlineLevel="0" collapsed="false">
      <c r="A1787" s="22" t="s">
        <v>4294</v>
      </c>
      <c r="B1787" s="22" t="s">
        <v>4295</v>
      </c>
      <c r="C1787" s="22" t="s">
        <v>162</v>
      </c>
      <c r="D1787" s="22" t="s">
        <v>4135</v>
      </c>
      <c r="E1787" s="22" t="n">
        <v>57.2</v>
      </c>
      <c r="F1787" s="22" t="s">
        <v>175</v>
      </c>
    </row>
    <row r="1788" customFormat="false" ht="15" hidden="false" customHeight="false" outlineLevel="0" collapsed="false">
      <c r="A1788" s="22" t="s">
        <v>4296</v>
      </c>
      <c r="B1788" s="22" t="s">
        <v>4297</v>
      </c>
      <c r="C1788" s="22" t="s">
        <v>162</v>
      </c>
      <c r="D1788" s="22" t="s">
        <v>1294</v>
      </c>
      <c r="E1788" s="22" t="n">
        <v>22.5</v>
      </c>
      <c r="F1788" s="22" t="s">
        <v>159</v>
      </c>
    </row>
    <row r="1789" customFormat="false" ht="15" hidden="false" customHeight="false" outlineLevel="0" collapsed="false">
      <c r="A1789" s="22" t="s">
        <v>4298</v>
      </c>
      <c r="B1789" s="22" t="s">
        <v>4299</v>
      </c>
      <c r="C1789" s="22" t="s">
        <v>162</v>
      </c>
      <c r="D1789" s="22" t="s">
        <v>1477</v>
      </c>
      <c r="E1789" s="22" t="n">
        <v>45.7</v>
      </c>
      <c r="F1789" s="22" t="s">
        <v>164</v>
      </c>
    </row>
    <row r="1790" customFormat="false" ht="15" hidden="false" customHeight="false" outlineLevel="0" collapsed="false">
      <c r="A1790" s="22" t="s">
        <v>4300</v>
      </c>
      <c r="B1790" s="22" t="s">
        <v>4301</v>
      </c>
      <c r="C1790" s="22" t="s">
        <v>162</v>
      </c>
      <c r="D1790" s="22" t="s">
        <v>181</v>
      </c>
      <c r="E1790" s="22" t="n">
        <v>51</v>
      </c>
      <c r="F1790" s="22" t="s">
        <v>175</v>
      </c>
    </row>
    <row r="1791" customFormat="false" ht="15" hidden="false" customHeight="false" outlineLevel="0" collapsed="false">
      <c r="A1791" s="22" t="s">
        <v>4302</v>
      </c>
      <c r="B1791" s="22" t="s">
        <v>4303</v>
      </c>
      <c r="C1791" s="22" t="s">
        <v>162</v>
      </c>
      <c r="D1791" s="22" t="s">
        <v>1850</v>
      </c>
      <c r="E1791" s="22" t="n">
        <v>38</v>
      </c>
      <c r="F1791" s="22" t="s">
        <v>198</v>
      </c>
    </row>
    <row r="1792" customFormat="false" ht="15" hidden="false" customHeight="false" outlineLevel="0" collapsed="false">
      <c r="A1792" s="22" t="s">
        <v>4304</v>
      </c>
      <c r="B1792" s="22" t="s">
        <v>4305</v>
      </c>
      <c r="C1792" s="22" t="s">
        <v>162</v>
      </c>
      <c r="D1792" s="22" t="s">
        <v>1265</v>
      </c>
      <c r="E1792" s="22" t="n">
        <v>47.7</v>
      </c>
      <c r="F1792" s="22" t="s">
        <v>171</v>
      </c>
    </row>
    <row r="1793" customFormat="false" ht="15" hidden="false" customHeight="false" outlineLevel="0" collapsed="false">
      <c r="A1793" s="22" t="s">
        <v>4306</v>
      </c>
      <c r="B1793" s="22" t="s">
        <v>4307</v>
      </c>
      <c r="C1793" s="22" t="s">
        <v>162</v>
      </c>
      <c r="D1793" s="22" t="s">
        <v>3174</v>
      </c>
      <c r="E1793" s="22" t="n">
        <v>58.7</v>
      </c>
      <c r="F1793" s="22" t="s">
        <v>159</v>
      </c>
    </row>
    <row r="1794" customFormat="false" ht="15" hidden="false" customHeight="false" outlineLevel="0" collapsed="false">
      <c r="A1794" s="22" t="s">
        <v>4308</v>
      </c>
      <c r="B1794" s="22" t="s">
        <v>4309</v>
      </c>
      <c r="C1794" s="22" t="s">
        <v>162</v>
      </c>
      <c r="D1794" s="22" t="s">
        <v>431</v>
      </c>
      <c r="E1794" s="22" t="n">
        <v>47.6</v>
      </c>
      <c r="F1794" s="22" t="s">
        <v>164</v>
      </c>
    </row>
    <row r="1795" customFormat="false" ht="15" hidden="false" customHeight="false" outlineLevel="0" collapsed="false">
      <c r="A1795" s="22" t="s">
        <v>4310</v>
      </c>
      <c r="B1795" s="22" t="s">
        <v>4311</v>
      </c>
      <c r="C1795" s="22" t="s">
        <v>162</v>
      </c>
      <c r="D1795" s="22" t="s">
        <v>986</v>
      </c>
      <c r="E1795" s="22" t="n">
        <v>39.6</v>
      </c>
      <c r="F1795" s="22" t="s">
        <v>175</v>
      </c>
    </row>
    <row r="1796" customFormat="false" ht="15" hidden="false" customHeight="false" outlineLevel="0" collapsed="false">
      <c r="A1796" s="22" t="s">
        <v>4312</v>
      </c>
      <c r="B1796" s="22" t="s">
        <v>4313</v>
      </c>
      <c r="C1796" s="22" t="s">
        <v>162</v>
      </c>
      <c r="D1796" s="22" t="s">
        <v>386</v>
      </c>
      <c r="E1796" s="22" t="n">
        <v>54.3</v>
      </c>
      <c r="F1796" s="22" t="s">
        <v>159</v>
      </c>
    </row>
    <row r="1797" customFormat="false" ht="15" hidden="false" customHeight="false" outlineLevel="0" collapsed="false">
      <c r="A1797" s="22" t="s">
        <v>4314</v>
      </c>
      <c r="B1797" s="22" t="s">
        <v>4315</v>
      </c>
      <c r="C1797" s="22" t="s">
        <v>162</v>
      </c>
      <c r="D1797" s="22" t="s">
        <v>3177</v>
      </c>
      <c r="E1797" s="22" t="n">
        <v>46.3</v>
      </c>
      <c r="F1797" s="22" t="s">
        <v>198</v>
      </c>
    </row>
    <row r="1798" customFormat="false" ht="15" hidden="false" customHeight="false" outlineLevel="0" collapsed="false">
      <c r="A1798" s="22" t="s">
        <v>4316</v>
      </c>
      <c r="B1798" s="22" t="s">
        <v>4317</v>
      </c>
      <c r="C1798" s="22" t="s">
        <v>162</v>
      </c>
      <c r="D1798" s="22" t="s">
        <v>695</v>
      </c>
      <c r="E1798" s="22" t="n">
        <v>36.2</v>
      </c>
      <c r="F1798" s="22" t="s">
        <v>164</v>
      </c>
    </row>
    <row r="1799" customFormat="false" ht="15" hidden="false" customHeight="false" outlineLevel="0" collapsed="false">
      <c r="A1799" s="22" t="s">
        <v>4318</v>
      </c>
      <c r="B1799" s="22" t="s">
        <v>4319</v>
      </c>
      <c r="C1799" s="22" t="s">
        <v>162</v>
      </c>
      <c r="D1799" s="22" t="s">
        <v>2177</v>
      </c>
      <c r="E1799" s="22" t="n">
        <v>30.6</v>
      </c>
      <c r="F1799" s="22" t="s">
        <v>164</v>
      </c>
    </row>
    <row r="1800" customFormat="false" ht="15" hidden="false" customHeight="false" outlineLevel="0" collapsed="false">
      <c r="A1800" s="22" t="s">
        <v>4320</v>
      </c>
      <c r="B1800" s="22" t="s">
        <v>4321</v>
      </c>
      <c r="C1800" s="22" t="s">
        <v>162</v>
      </c>
      <c r="D1800" s="22" t="s">
        <v>1029</v>
      </c>
      <c r="E1800" s="22" t="n">
        <v>51.1</v>
      </c>
      <c r="F1800" s="22" t="s">
        <v>188</v>
      </c>
    </row>
    <row r="1801" customFormat="false" ht="15" hidden="false" customHeight="false" outlineLevel="0" collapsed="false">
      <c r="A1801" s="22" t="s">
        <v>4322</v>
      </c>
      <c r="B1801" s="22" t="s">
        <v>4323</v>
      </c>
      <c r="C1801" s="22" t="s">
        <v>207</v>
      </c>
      <c r="D1801" s="22" t="s">
        <v>799</v>
      </c>
      <c r="E1801" s="22" t="n">
        <v>30</v>
      </c>
      <c r="F1801" s="22" t="s">
        <v>215</v>
      </c>
    </row>
    <row r="1802" customFormat="false" ht="15" hidden="false" customHeight="false" outlineLevel="0" collapsed="false">
      <c r="A1802" s="22" t="s">
        <v>4324</v>
      </c>
      <c r="B1802" s="22" t="s">
        <v>4325</v>
      </c>
      <c r="C1802" s="22" t="s">
        <v>162</v>
      </c>
      <c r="D1802" s="22" t="s">
        <v>723</v>
      </c>
      <c r="E1802" s="22" t="n">
        <v>57.1</v>
      </c>
      <c r="F1802" s="22" t="s">
        <v>171</v>
      </c>
    </row>
    <row r="1803" customFormat="false" ht="15" hidden="false" customHeight="false" outlineLevel="0" collapsed="false">
      <c r="A1803" s="22" t="s">
        <v>4326</v>
      </c>
      <c r="B1803" s="22" t="s">
        <v>4327</v>
      </c>
      <c r="C1803" s="22" t="s">
        <v>162</v>
      </c>
      <c r="D1803" s="22" t="s">
        <v>1705</v>
      </c>
      <c r="E1803" s="22" t="n">
        <v>43.3</v>
      </c>
      <c r="F1803" s="22" t="s">
        <v>159</v>
      </c>
    </row>
    <row r="1804" customFormat="false" ht="15" hidden="false" customHeight="false" outlineLevel="0" collapsed="false">
      <c r="A1804" s="22" t="s">
        <v>4328</v>
      </c>
      <c r="B1804" s="22" t="s">
        <v>4329</v>
      </c>
      <c r="C1804" s="22" t="s">
        <v>207</v>
      </c>
      <c r="D1804" s="22" t="s">
        <v>711</v>
      </c>
      <c r="E1804" s="22" t="n">
        <v>61.4</v>
      </c>
      <c r="F1804" s="22" t="s">
        <v>164</v>
      </c>
    </row>
    <row r="1805" customFormat="false" ht="15" hidden="false" customHeight="false" outlineLevel="0" collapsed="false">
      <c r="A1805" s="22" t="s">
        <v>4330</v>
      </c>
      <c r="B1805" s="22" t="s">
        <v>4331</v>
      </c>
      <c r="C1805" s="22" t="s">
        <v>162</v>
      </c>
      <c r="D1805" s="22" t="s">
        <v>266</v>
      </c>
      <c r="E1805" s="22" t="n">
        <v>28.7</v>
      </c>
      <c r="F1805" s="22" t="s">
        <v>164</v>
      </c>
    </row>
    <row r="1806" customFormat="false" ht="15" hidden="false" customHeight="false" outlineLevel="0" collapsed="false">
      <c r="A1806" s="22" t="s">
        <v>4332</v>
      </c>
      <c r="B1806" s="22" t="s">
        <v>4333</v>
      </c>
      <c r="C1806" s="22" t="s">
        <v>162</v>
      </c>
      <c r="D1806" s="22" t="s">
        <v>278</v>
      </c>
      <c r="E1806" s="22" t="n">
        <v>37.5</v>
      </c>
      <c r="F1806" s="22" t="s">
        <v>164</v>
      </c>
    </row>
    <row r="1807" customFormat="false" ht="15" hidden="false" customHeight="false" outlineLevel="0" collapsed="false">
      <c r="A1807" s="22" t="s">
        <v>4334</v>
      </c>
      <c r="B1807" s="22" t="s">
        <v>4335</v>
      </c>
      <c r="C1807" s="22" t="s">
        <v>207</v>
      </c>
      <c r="D1807" s="22" t="s">
        <v>3632</v>
      </c>
      <c r="E1807" s="22" t="n">
        <v>53</v>
      </c>
      <c r="F1807" s="22" t="s">
        <v>164</v>
      </c>
    </row>
    <row r="1808" customFormat="false" ht="15" hidden="false" customHeight="false" outlineLevel="0" collapsed="false">
      <c r="A1808" s="22" t="s">
        <v>4336</v>
      </c>
      <c r="B1808" s="22" t="s">
        <v>4337</v>
      </c>
      <c r="C1808" s="22" t="s">
        <v>162</v>
      </c>
      <c r="D1808" s="22" t="s">
        <v>1758</v>
      </c>
      <c r="E1808" s="22" t="n">
        <v>33.6</v>
      </c>
      <c r="F1808" s="22" t="s">
        <v>164</v>
      </c>
    </row>
    <row r="1809" customFormat="false" ht="15" hidden="false" customHeight="false" outlineLevel="0" collapsed="false">
      <c r="A1809" s="22" t="s">
        <v>4338</v>
      </c>
      <c r="B1809" s="22" t="s">
        <v>4339</v>
      </c>
      <c r="C1809" s="22" t="s">
        <v>162</v>
      </c>
      <c r="D1809" s="22" t="s">
        <v>208</v>
      </c>
      <c r="E1809" s="22" t="n">
        <v>45.9</v>
      </c>
      <c r="F1809" s="22" t="s">
        <v>188</v>
      </c>
    </row>
    <row r="1810" customFormat="false" ht="15" hidden="false" customHeight="false" outlineLevel="0" collapsed="false">
      <c r="A1810" s="22" t="s">
        <v>4340</v>
      </c>
      <c r="B1810" s="22" t="s">
        <v>4341</v>
      </c>
      <c r="C1810" s="22" t="s">
        <v>162</v>
      </c>
      <c r="D1810" s="22" t="s">
        <v>1833</v>
      </c>
      <c r="E1810" s="22" t="n">
        <v>54.3</v>
      </c>
      <c r="F1810" s="22" t="s">
        <v>215</v>
      </c>
    </row>
    <row r="1811" customFormat="false" ht="15" hidden="false" customHeight="false" outlineLevel="0" collapsed="false">
      <c r="A1811" s="22" t="s">
        <v>4342</v>
      </c>
      <c r="B1811" s="22" t="s">
        <v>4343</v>
      </c>
      <c r="C1811" s="22" t="s">
        <v>162</v>
      </c>
      <c r="D1811" s="22" t="s">
        <v>2506</v>
      </c>
      <c r="E1811" s="22" t="n">
        <v>29.4</v>
      </c>
      <c r="F1811" s="22" t="s">
        <v>175</v>
      </c>
    </row>
    <row r="1812" customFormat="false" ht="15" hidden="false" customHeight="false" outlineLevel="0" collapsed="false">
      <c r="A1812" s="22" t="s">
        <v>4344</v>
      </c>
      <c r="B1812" s="22" t="s">
        <v>4345</v>
      </c>
      <c r="C1812" s="22" t="s">
        <v>207</v>
      </c>
      <c r="D1812" s="22" t="s">
        <v>4346</v>
      </c>
      <c r="E1812" s="22" t="n">
        <v>38.5</v>
      </c>
      <c r="F1812" s="22" t="s">
        <v>175</v>
      </c>
    </row>
    <row r="1813" customFormat="false" ht="15" hidden="false" customHeight="false" outlineLevel="0" collapsed="false">
      <c r="A1813" s="22" t="s">
        <v>4347</v>
      </c>
      <c r="B1813" s="22" t="s">
        <v>4348</v>
      </c>
      <c r="C1813" s="22" t="s">
        <v>162</v>
      </c>
      <c r="D1813" s="22" t="s">
        <v>2485</v>
      </c>
      <c r="E1813" s="22" t="n">
        <v>27.4</v>
      </c>
      <c r="F1813" s="22" t="s">
        <v>171</v>
      </c>
    </row>
    <row r="1814" customFormat="false" ht="15" hidden="false" customHeight="false" outlineLevel="0" collapsed="false">
      <c r="A1814" s="22" t="s">
        <v>4349</v>
      </c>
      <c r="B1814" s="22" t="s">
        <v>4350</v>
      </c>
      <c r="C1814" s="22" t="s">
        <v>162</v>
      </c>
      <c r="D1814" s="22" t="s">
        <v>296</v>
      </c>
      <c r="E1814" s="22" t="n">
        <v>56.4</v>
      </c>
      <c r="F1814" s="22" t="s">
        <v>175</v>
      </c>
    </row>
    <row r="1815" customFormat="false" ht="15" hidden="false" customHeight="false" outlineLevel="0" collapsed="false">
      <c r="A1815" s="22" t="s">
        <v>4351</v>
      </c>
      <c r="B1815" s="22" t="s">
        <v>4352</v>
      </c>
      <c r="C1815" s="22" t="s">
        <v>162</v>
      </c>
      <c r="D1815" s="22" t="s">
        <v>549</v>
      </c>
      <c r="E1815" s="22" t="n">
        <v>27.9</v>
      </c>
      <c r="F1815" s="22" t="s">
        <v>198</v>
      </c>
    </row>
    <row r="1816" customFormat="false" ht="15" hidden="false" customHeight="false" outlineLevel="0" collapsed="false">
      <c r="A1816" s="22" t="s">
        <v>4353</v>
      </c>
      <c r="B1816" s="22" t="s">
        <v>4354</v>
      </c>
      <c r="C1816" s="22" t="s">
        <v>162</v>
      </c>
      <c r="D1816" s="22" t="s">
        <v>1294</v>
      </c>
      <c r="E1816" s="22" t="n">
        <v>34.1</v>
      </c>
      <c r="F1816" s="22" t="s">
        <v>175</v>
      </c>
    </row>
    <row r="1817" customFormat="false" ht="15" hidden="false" customHeight="false" outlineLevel="0" collapsed="false">
      <c r="A1817" s="22" t="s">
        <v>4355</v>
      </c>
      <c r="B1817" s="22" t="s">
        <v>4356</v>
      </c>
      <c r="C1817" s="22" t="s">
        <v>162</v>
      </c>
      <c r="D1817" s="22" t="s">
        <v>802</v>
      </c>
      <c r="E1817" s="22" t="n">
        <v>48.8</v>
      </c>
      <c r="F1817" s="22" t="s">
        <v>164</v>
      </c>
    </row>
    <row r="1818" customFormat="false" ht="15" hidden="false" customHeight="false" outlineLevel="0" collapsed="false">
      <c r="A1818" s="22" t="s">
        <v>4357</v>
      </c>
      <c r="B1818" s="22" t="s">
        <v>4358</v>
      </c>
      <c r="C1818" s="22" t="s">
        <v>162</v>
      </c>
      <c r="D1818" s="22" t="s">
        <v>1840</v>
      </c>
      <c r="E1818" s="22" t="n">
        <v>22.9</v>
      </c>
      <c r="F1818" s="22" t="s">
        <v>175</v>
      </c>
    </row>
    <row r="1819" customFormat="false" ht="15" hidden="false" customHeight="false" outlineLevel="0" collapsed="false">
      <c r="A1819" s="22" t="s">
        <v>4359</v>
      </c>
      <c r="B1819" s="22" t="s">
        <v>4360</v>
      </c>
      <c r="C1819" s="22" t="s">
        <v>162</v>
      </c>
      <c r="D1819" s="22" t="s">
        <v>312</v>
      </c>
      <c r="E1819" s="22" t="n">
        <v>39.3</v>
      </c>
      <c r="F1819" s="22" t="s">
        <v>159</v>
      </c>
    </row>
    <row r="1820" customFormat="false" ht="15" hidden="false" customHeight="false" outlineLevel="0" collapsed="false">
      <c r="A1820" s="22" t="s">
        <v>4361</v>
      </c>
      <c r="B1820" s="22" t="s">
        <v>4362</v>
      </c>
      <c r="C1820" s="22" t="s">
        <v>162</v>
      </c>
      <c r="D1820" s="22" t="s">
        <v>495</v>
      </c>
      <c r="E1820" s="22" t="n">
        <v>18.7</v>
      </c>
      <c r="F1820" s="22" t="s">
        <v>175</v>
      </c>
    </row>
    <row r="1821" customFormat="false" ht="15" hidden="false" customHeight="false" outlineLevel="0" collapsed="false">
      <c r="A1821" s="22" t="s">
        <v>4363</v>
      </c>
      <c r="B1821" s="22" t="s">
        <v>4364</v>
      </c>
      <c r="C1821" s="22" t="s">
        <v>566</v>
      </c>
      <c r="D1821" s="22" t="s">
        <v>2172</v>
      </c>
      <c r="E1821" s="22" t="n">
        <v>21.9</v>
      </c>
      <c r="F1821" s="22" t="s">
        <v>198</v>
      </c>
    </row>
    <row r="1822" customFormat="false" ht="15" hidden="false" customHeight="false" outlineLevel="0" collapsed="false">
      <c r="A1822" s="22" t="s">
        <v>4365</v>
      </c>
      <c r="B1822" s="22" t="s">
        <v>4366</v>
      </c>
      <c r="C1822" s="22" t="s">
        <v>162</v>
      </c>
      <c r="D1822" s="22" t="s">
        <v>1656</v>
      </c>
      <c r="E1822" s="22" t="n">
        <v>43.5</v>
      </c>
      <c r="F1822" s="22" t="s">
        <v>159</v>
      </c>
    </row>
    <row r="1823" customFormat="false" ht="15" hidden="false" customHeight="false" outlineLevel="0" collapsed="false">
      <c r="A1823" s="22" t="s">
        <v>4367</v>
      </c>
      <c r="B1823" s="22" t="s">
        <v>4368</v>
      </c>
      <c r="C1823" s="22" t="s">
        <v>162</v>
      </c>
      <c r="D1823" s="22" t="s">
        <v>911</v>
      </c>
      <c r="E1823" s="22" t="n">
        <v>36.7</v>
      </c>
      <c r="F1823" s="22" t="s">
        <v>198</v>
      </c>
    </row>
    <row r="1824" customFormat="false" ht="15" hidden="false" customHeight="false" outlineLevel="0" collapsed="false">
      <c r="A1824" s="22" t="s">
        <v>4369</v>
      </c>
      <c r="B1824" s="22" t="s">
        <v>4370</v>
      </c>
      <c r="C1824" s="22" t="s">
        <v>162</v>
      </c>
      <c r="D1824" s="22" t="s">
        <v>602</v>
      </c>
      <c r="E1824" s="22" t="n">
        <v>19.3</v>
      </c>
      <c r="F1824" s="22" t="s">
        <v>499</v>
      </c>
    </row>
    <row r="1825" customFormat="false" ht="15" hidden="false" customHeight="false" outlineLevel="0" collapsed="false">
      <c r="A1825" s="22" t="s">
        <v>4371</v>
      </c>
      <c r="B1825" s="22" t="s">
        <v>4372</v>
      </c>
      <c r="C1825" s="22" t="s">
        <v>162</v>
      </c>
      <c r="D1825" s="22" t="s">
        <v>3313</v>
      </c>
      <c r="E1825" s="22" t="n">
        <v>51.6</v>
      </c>
      <c r="F1825" s="22" t="s">
        <v>188</v>
      </c>
    </row>
    <row r="1826" customFormat="false" ht="15" hidden="false" customHeight="false" outlineLevel="0" collapsed="false">
      <c r="A1826" s="22" t="s">
        <v>4373</v>
      </c>
      <c r="B1826" s="22" t="s">
        <v>4374</v>
      </c>
      <c r="C1826" s="22" t="s">
        <v>162</v>
      </c>
      <c r="D1826" s="22" t="s">
        <v>4375</v>
      </c>
      <c r="E1826" s="22" t="n">
        <v>58.6</v>
      </c>
      <c r="F1826" s="22" t="s">
        <v>175</v>
      </c>
    </row>
    <row r="1827" customFormat="false" ht="15" hidden="false" customHeight="false" outlineLevel="0" collapsed="false">
      <c r="A1827" s="22" t="s">
        <v>4376</v>
      </c>
      <c r="B1827" s="22" t="s">
        <v>4377</v>
      </c>
      <c r="C1827" s="22" t="s">
        <v>162</v>
      </c>
      <c r="D1827" s="22" t="s">
        <v>336</v>
      </c>
      <c r="E1827" s="22" t="n">
        <v>34.5</v>
      </c>
      <c r="F1827" s="22" t="s">
        <v>175</v>
      </c>
    </row>
    <row r="1828" customFormat="false" ht="15" hidden="false" customHeight="false" outlineLevel="0" collapsed="false">
      <c r="A1828" s="22" t="s">
        <v>4378</v>
      </c>
      <c r="B1828" s="22" t="s">
        <v>4379</v>
      </c>
      <c r="C1828" s="22" t="s">
        <v>162</v>
      </c>
      <c r="D1828" s="22" t="s">
        <v>2113</v>
      </c>
      <c r="E1828" s="22" t="n">
        <v>36.2</v>
      </c>
      <c r="F1828" s="22" t="s">
        <v>175</v>
      </c>
    </row>
    <row r="1829" customFormat="false" ht="15" hidden="false" customHeight="false" outlineLevel="0" collapsed="false">
      <c r="A1829" s="22" t="s">
        <v>4380</v>
      </c>
      <c r="B1829" s="22" t="s">
        <v>4381</v>
      </c>
      <c r="C1829" s="22" t="s">
        <v>162</v>
      </c>
      <c r="D1829" s="22" t="s">
        <v>736</v>
      </c>
      <c r="E1829" s="22" t="n">
        <v>59.7</v>
      </c>
      <c r="F1829" s="22" t="s">
        <v>215</v>
      </c>
    </row>
    <row r="1830" customFormat="false" ht="15" hidden="false" customHeight="false" outlineLevel="0" collapsed="false">
      <c r="A1830" s="22" t="s">
        <v>4382</v>
      </c>
      <c r="B1830" s="22" t="s">
        <v>4383</v>
      </c>
      <c r="C1830" s="22" t="s">
        <v>207</v>
      </c>
      <c r="D1830" s="22" t="s">
        <v>4038</v>
      </c>
      <c r="E1830" s="22" t="n">
        <v>18.6</v>
      </c>
      <c r="F1830" s="22" t="s">
        <v>171</v>
      </c>
    </row>
    <row r="1831" customFormat="false" ht="15" hidden="false" customHeight="false" outlineLevel="0" collapsed="false">
      <c r="A1831" s="22" t="s">
        <v>4384</v>
      </c>
      <c r="B1831" s="22" t="s">
        <v>4385</v>
      </c>
      <c r="C1831" s="22" t="s">
        <v>162</v>
      </c>
      <c r="D1831" s="22" t="s">
        <v>1428</v>
      </c>
      <c r="E1831" s="22" t="n">
        <v>33.3</v>
      </c>
      <c r="F1831" s="22" t="s">
        <v>164</v>
      </c>
    </row>
    <row r="1832" customFormat="false" ht="15" hidden="false" customHeight="false" outlineLevel="0" collapsed="false">
      <c r="A1832" s="22" t="s">
        <v>4386</v>
      </c>
      <c r="B1832" s="22" t="s">
        <v>4387</v>
      </c>
      <c r="C1832" s="22" t="s">
        <v>162</v>
      </c>
      <c r="D1832" s="22" t="s">
        <v>410</v>
      </c>
      <c r="E1832" s="22" t="n">
        <v>40.3</v>
      </c>
      <c r="F1832" s="22" t="s">
        <v>175</v>
      </c>
    </row>
    <row r="1833" customFormat="false" ht="15" hidden="false" customHeight="false" outlineLevel="0" collapsed="false">
      <c r="A1833" s="22" t="s">
        <v>4388</v>
      </c>
      <c r="B1833" s="22" t="s">
        <v>4389</v>
      </c>
      <c r="C1833" s="22" t="s">
        <v>162</v>
      </c>
      <c r="D1833" s="22" t="s">
        <v>2001</v>
      </c>
      <c r="E1833" s="22" t="n">
        <v>35</v>
      </c>
      <c r="F1833" s="22" t="s">
        <v>159</v>
      </c>
    </row>
    <row r="1834" customFormat="false" ht="15" hidden="false" customHeight="false" outlineLevel="0" collapsed="false">
      <c r="A1834" s="22" t="s">
        <v>4390</v>
      </c>
      <c r="B1834" s="22" t="s">
        <v>4391</v>
      </c>
      <c r="C1834" s="22" t="s">
        <v>162</v>
      </c>
      <c r="D1834" s="22" t="s">
        <v>2684</v>
      </c>
      <c r="E1834" s="22" t="n">
        <v>45</v>
      </c>
      <c r="F1834" s="22" t="s">
        <v>175</v>
      </c>
    </row>
    <row r="1835" customFormat="false" ht="15" hidden="false" customHeight="false" outlineLevel="0" collapsed="false">
      <c r="A1835" s="22" t="s">
        <v>4392</v>
      </c>
      <c r="B1835" s="22" t="s">
        <v>4393</v>
      </c>
      <c r="C1835" s="22" t="s">
        <v>162</v>
      </c>
      <c r="D1835" s="22" t="s">
        <v>1702</v>
      </c>
      <c r="E1835" s="22" t="n">
        <v>51.4</v>
      </c>
      <c r="F1835" s="22" t="s">
        <v>198</v>
      </c>
    </row>
    <row r="1836" customFormat="false" ht="15" hidden="false" customHeight="false" outlineLevel="0" collapsed="false">
      <c r="A1836" s="22" t="s">
        <v>4394</v>
      </c>
      <c r="B1836" s="22" t="s">
        <v>4395</v>
      </c>
      <c r="C1836" s="22" t="s">
        <v>162</v>
      </c>
      <c r="D1836" s="22" t="s">
        <v>404</v>
      </c>
      <c r="E1836" s="22" t="n">
        <v>36.9</v>
      </c>
      <c r="F1836" s="22" t="s">
        <v>164</v>
      </c>
    </row>
    <row r="1837" customFormat="false" ht="15" hidden="false" customHeight="false" outlineLevel="0" collapsed="false">
      <c r="A1837" s="22" t="s">
        <v>4396</v>
      </c>
      <c r="B1837" s="22" t="s">
        <v>4397</v>
      </c>
      <c r="C1837" s="22" t="s">
        <v>207</v>
      </c>
      <c r="D1837" s="22" t="s">
        <v>1761</v>
      </c>
      <c r="E1837" s="22" t="n">
        <v>40.1</v>
      </c>
      <c r="F1837" s="22" t="s">
        <v>198</v>
      </c>
    </row>
    <row r="1838" customFormat="false" ht="15" hidden="false" customHeight="false" outlineLevel="0" collapsed="false">
      <c r="A1838" s="22" t="s">
        <v>4398</v>
      </c>
      <c r="B1838" s="22" t="s">
        <v>4399</v>
      </c>
      <c r="C1838" s="22" t="s">
        <v>162</v>
      </c>
      <c r="D1838" s="22" t="s">
        <v>1374</v>
      </c>
      <c r="E1838" s="22" t="n">
        <v>21.2</v>
      </c>
      <c r="F1838" s="22" t="s">
        <v>171</v>
      </c>
    </row>
    <row r="1839" customFormat="false" ht="15" hidden="false" customHeight="false" outlineLevel="0" collapsed="false">
      <c r="A1839" s="22" t="s">
        <v>4400</v>
      </c>
      <c r="B1839" s="22" t="s">
        <v>4401</v>
      </c>
      <c r="C1839" s="22" t="s">
        <v>162</v>
      </c>
      <c r="D1839" s="22" t="s">
        <v>358</v>
      </c>
      <c r="E1839" s="22" t="n">
        <v>48.5</v>
      </c>
      <c r="F1839" s="22" t="s">
        <v>171</v>
      </c>
    </row>
    <row r="1840" customFormat="false" ht="15" hidden="false" customHeight="false" outlineLevel="0" collapsed="false">
      <c r="A1840" s="22" t="s">
        <v>4402</v>
      </c>
      <c r="B1840" s="22" t="s">
        <v>4403</v>
      </c>
      <c r="C1840" s="22" t="s">
        <v>162</v>
      </c>
      <c r="D1840" s="22" t="s">
        <v>3906</v>
      </c>
      <c r="E1840" s="22" t="n">
        <v>46</v>
      </c>
      <c r="F1840" s="22" t="s">
        <v>171</v>
      </c>
    </row>
    <row r="1841" customFormat="false" ht="15" hidden="false" customHeight="false" outlineLevel="0" collapsed="false">
      <c r="A1841" s="22" t="s">
        <v>4404</v>
      </c>
      <c r="B1841" s="22" t="s">
        <v>4405</v>
      </c>
      <c r="C1841" s="22" t="s">
        <v>162</v>
      </c>
      <c r="D1841" s="22" t="s">
        <v>2720</v>
      </c>
      <c r="E1841" s="22" t="n">
        <v>53.9</v>
      </c>
      <c r="F1841" s="22" t="s">
        <v>164</v>
      </c>
    </row>
    <row r="1842" customFormat="false" ht="15" hidden="false" customHeight="false" outlineLevel="0" collapsed="false">
      <c r="A1842" s="22" t="s">
        <v>4406</v>
      </c>
      <c r="B1842" s="22" t="s">
        <v>4407</v>
      </c>
      <c r="C1842" s="22" t="s">
        <v>162</v>
      </c>
      <c r="D1842" s="22" t="s">
        <v>563</v>
      </c>
      <c r="E1842" s="22" t="n">
        <v>43.7</v>
      </c>
      <c r="F1842" s="22" t="s">
        <v>164</v>
      </c>
    </row>
    <row r="1843" customFormat="false" ht="15" hidden="false" customHeight="false" outlineLevel="0" collapsed="false">
      <c r="A1843" s="22" t="s">
        <v>4408</v>
      </c>
      <c r="B1843" s="22" t="s">
        <v>4409</v>
      </c>
      <c r="C1843" s="22" t="s">
        <v>566</v>
      </c>
      <c r="D1843" s="22" t="s">
        <v>585</v>
      </c>
      <c r="E1843" s="22" t="n">
        <v>61.2</v>
      </c>
      <c r="F1843" s="22" t="s">
        <v>175</v>
      </c>
    </row>
    <row r="1844" customFormat="false" ht="15" hidden="false" customHeight="false" outlineLevel="0" collapsed="false">
      <c r="A1844" s="22" t="s">
        <v>4410</v>
      </c>
      <c r="B1844" s="22" t="s">
        <v>4411</v>
      </c>
      <c r="C1844" s="22" t="s">
        <v>162</v>
      </c>
      <c r="D1844" s="22" t="s">
        <v>1767</v>
      </c>
      <c r="E1844" s="22" t="n">
        <v>21.9</v>
      </c>
      <c r="F1844" s="22" t="s">
        <v>164</v>
      </c>
    </row>
    <row r="1845" customFormat="false" ht="15" hidden="false" customHeight="false" outlineLevel="0" collapsed="false">
      <c r="A1845" s="22" t="s">
        <v>4412</v>
      </c>
      <c r="B1845" s="22" t="s">
        <v>4413</v>
      </c>
      <c r="C1845" s="22" t="s">
        <v>162</v>
      </c>
      <c r="D1845" s="22" t="s">
        <v>4287</v>
      </c>
      <c r="E1845" s="22" t="n">
        <v>43.9</v>
      </c>
      <c r="F1845" s="22" t="s">
        <v>159</v>
      </c>
    </row>
    <row r="1846" customFormat="false" ht="15" hidden="false" customHeight="false" outlineLevel="0" collapsed="false">
      <c r="A1846" s="22" t="s">
        <v>4414</v>
      </c>
      <c r="B1846" s="22" t="s">
        <v>4415</v>
      </c>
      <c r="C1846" s="22" t="s">
        <v>162</v>
      </c>
      <c r="D1846" s="22" t="s">
        <v>1210</v>
      </c>
      <c r="E1846" s="22" t="n">
        <v>35.5</v>
      </c>
      <c r="F1846" s="22" t="s">
        <v>188</v>
      </c>
    </row>
    <row r="1847" customFormat="false" ht="15" hidden="false" customHeight="false" outlineLevel="0" collapsed="false">
      <c r="A1847" s="22" t="s">
        <v>4416</v>
      </c>
      <c r="B1847" s="22" t="s">
        <v>4417</v>
      </c>
      <c r="C1847" s="22" t="s">
        <v>162</v>
      </c>
      <c r="D1847" s="22" t="s">
        <v>1003</v>
      </c>
      <c r="E1847" s="22" t="n">
        <v>56.9</v>
      </c>
      <c r="F1847" s="22" t="s">
        <v>175</v>
      </c>
    </row>
    <row r="1848" customFormat="false" ht="15" hidden="false" customHeight="false" outlineLevel="0" collapsed="false">
      <c r="A1848" s="22" t="s">
        <v>4418</v>
      </c>
      <c r="B1848" s="22" t="s">
        <v>4419</v>
      </c>
      <c r="C1848" s="22" t="s">
        <v>162</v>
      </c>
      <c r="D1848" s="22" t="s">
        <v>967</v>
      </c>
      <c r="E1848" s="22" t="n">
        <v>25.7</v>
      </c>
      <c r="F1848" s="22" t="s">
        <v>499</v>
      </c>
    </row>
    <row r="1849" customFormat="false" ht="15" hidden="false" customHeight="false" outlineLevel="0" collapsed="false">
      <c r="A1849" s="22" t="s">
        <v>4420</v>
      </c>
      <c r="B1849" s="22" t="s">
        <v>4421</v>
      </c>
      <c r="C1849" s="22" t="s">
        <v>162</v>
      </c>
      <c r="D1849" s="22" t="s">
        <v>1824</v>
      </c>
      <c r="E1849" s="22" t="n">
        <v>53.9</v>
      </c>
      <c r="F1849" s="22" t="s">
        <v>198</v>
      </c>
    </row>
    <row r="1850" customFormat="false" ht="15" hidden="false" customHeight="false" outlineLevel="0" collapsed="false">
      <c r="A1850" s="22" t="s">
        <v>4422</v>
      </c>
      <c r="B1850" s="22" t="s">
        <v>4423</v>
      </c>
      <c r="C1850" s="22" t="s">
        <v>162</v>
      </c>
      <c r="D1850" s="22" t="s">
        <v>1489</v>
      </c>
      <c r="E1850" s="22" t="n">
        <v>20.9</v>
      </c>
      <c r="F1850" s="22" t="s">
        <v>164</v>
      </c>
    </row>
    <row r="1851" customFormat="false" ht="15" hidden="false" customHeight="false" outlineLevel="0" collapsed="false">
      <c r="A1851" s="22" t="s">
        <v>4424</v>
      </c>
      <c r="B1851" s="22" t="s">
        <v>4425</v>
      </c>
      <c r="C1851" s="22" t="s">
        <v>162</v>
      </c>
      <c r="D1851" s="22" t="s">
        <v>914</v>
      </c>
      <c r="E1851" s="22" t="n">
        <v>48.7</v>
      </c>
      <c r="F1851" s="22" t="s">
        <v>188</v>
      </c>
    </row>
    <row r="1852" customFormat="false" ht="15" hidden="false" customHeight="false" outlineLevel="0" collapsed="false">
      <c r="A1852" s="22" t="s">
        <v>4426</v>
      </c>
      <c r="B1852" s="22" t="s">
        <v>4427</v>
      </c>
      <c r="C1852" s="22" t="s">
        <v>162</v>
      </c>
      <c r="D1852" s="22" t="s">
        <v>959</v>
      </c>
      <c r="E1852" s="22" t="n">
        <v>44.3</v>
      </c>
      <c r="F1852" s="22" t="s">
        <v>164</v>
      </c>
    </row>
    <row r="1853" customFormat="false" ht="15" hidden="false" customHeight="false" outlineLevel="0" collapsed="false">
      <c r="A1853" s="22" t="s">
        <v>4428</v>
      </c>
      <c r="B1853" s="22" t="s">
        <v>4429</v>
      </c>
      <c r="C1853" s="22" t="s">
        <v>566</v>
      </c>
      <c r="D1853" s="22" t="s">
        <v>2222</v>
      </c>
      <c r="E1853" s="22" t="n">
        <v>58.5</v>
      </c>
      <c r="F1853" s="22" t="s">
        <v>171</v>
      </c>
    </row>
    <row r="1854" customFormat="false" ht="15" hidden="false" customHeight="false" outlineLevel="0" collapsed="false">
      <c r="A1854" s="22" t="s">
        <v>4430</v>
      </c>
      <c r="B1854" s="22" t="s">
        <v>4431</v>
      </c>
      <c r="C1854" s="22" t="s">
        <v>162</v>
      </c>
      <c r="D1854" s="22" t="s">
        <v>552</v>
      </c>
      <c r="E1854" s="22" t="n">
        <v>54</v>
      </c>
      <c r="F1854" s="22" t="s">
        <v>175</v>
      </c>
    </row>
    <row r="1855" customFormat="false" ht="15" hidden="false" customHeight="false" outlineLevel="0" collapsed="false">
      <c r="A1855" s="22" t="s">
        <v>4432</v>
      </c>
      <c r="B1855" s="22" t="s">
        <v>4433</v>
      </c>
      <c r="C1855" s="22" t="s">
        <v>162</v>
      </c>
      <c r="D1855" s="22" t="s">
        <v>3385</v>
      </c>
      <c r="E1855" s="22" t="n">
        <v>31.7</v>
      </c>
      <c r="F1855" s="22" t="s">
        <v>164</v>
      </c>
    </row>
    <row r="1856" customFormat="false" ht="15" hidden="false" customHeight="false" outlineLevel="0" collapsed="false">
      <c r="A1856" s="22" t="s">
        <v>4434</v>
      </c>
      <c r="B1856" s="22" t="s">
        <v>4435</v>
      </c>
      <c r="C1856" s="22" t="s">
        <v>162</v>
      </c>
      <c r="D1856" s="22" t="s">
        <v>358</v>
      </c>
      <c r="E1856" s="22" t="n">
        <v>34.5</v>
      </c>
      <c r="F1856" s="22" t="s">
        <v>171</v>
      </c>
    </row>
    <row r="1857" customFormat="false" ht="15" hidden="false" customHeight="false" outlineLevel="0" collapsed="false">
      <c r="A1857" s="22" t="s">
        <v>4436</v>
      </c>
      <c r="B1857" s="22" t="s">
        <v>822</v>
      </c>
      <c r="C1857" s="22" t="s">
        <v>157</v>
      </c>
      <c r="D1857" s="22" t="s">
        <v>1945</v>
      </c>
      <c r="E1857" s="22" t="n">
        <v>32.7</v>
      </c>
      <c r="F1857" s="22" t="s">
        <v>159</v>
      </c>
    </row>
    <row r="1858" customFormat="false" ht="15" hidden="false" customHeight="false" outlineLevel="0" collapsed="false">
      <c r="A1858" s="22" t="s">
        <v>4437</v>
      </c>
      <c r="B1858" s="22" t="s">
        <v>4438</v>
      </c>
      <c r="C1858" s="22" t="s">
        <v>162</v>
      </c>
      <c r="D1858" s="22" t="s">
        <v>4439</v>
      </c>
      <c r="E1858" s="22" t="n">
        <v>56.3</v>
      </c>
      <c r="F1858" s="22" t="s">
        <v>164</v>
      </c>
    </row>
    <row r="1859" customFormat="false" ht="15" hidden="false" customHeight="false" outlineLevel="0" collapsed="false">
      <c r="A1859" s="22" t="s">
        <v>4440</v>
      </c>
      <c r="B1859" s="22" t="s">
        <v>4441</v>
      </c>
      <c r="C1859" s="22" t="s">
        <v>162</v>
      </c>
      <c r="D1859" s="22" t="s">
        <v>3566</v>
      </c>
      <c r="E1859" s="22" t="n">
        <v>34</v>
      </c>
      <c r="F1859" s="22" t="s">
        <v>164</v>
      </c>
    </row>
    <row r="1860" customFormat="false" ht="15" hidden="false" customHeight="false" outlineLevel="0" collapsed="false">
      <c r="A1860" s="22" t="s">
        <v>4442</v>
      </c>
      <c r="B1860" s="22" t="s">
        <v>4443</v>
      </c>
      <c r="C1860" s="22" t="s">
        <v>162</v>
      </c>
      <c r="D1860" s="22" t="s">
        <v>549</v>
      </c>
      <c r="E1860" s="22" t="n">
        <v>31.1</v>
      </c>
      <c r="F1860" s="22" t="s">
        <v>175</v>
      </c>
    </row>
    <row r="1861" customFormat="false" ht="15" hidden="false" customHeight="false" outlineLevel="0" collapsed="false">
      <c r="A1861" s="22" t="s">
        <v>4444</v>
      </c>
      <c r="B1861" s="22" t="s">
        <v>4445</v>
      </c>
      <c r="C1861" s="22" t="s">
        <v>157</v>
      </c>
      <c r="D1861" s="22" t="s">
        <v>4446</v>
      </c>
      <c r="E1861" s="22" t="n">
        <v>35.4</v>
      </c>
      <c r="F1861" s="22" t="s">
        <v>164</v>
      </c>
    </row>
    <row r="1862" customFormat="false" ht="15" hidden="false" customHeight="false" outlineLevel="0" collapsed="false">
      <c r="A1862" s="22" t="s">
        <v>4447</v>
      </c>
      <c r="B1862" s="22" t="s">
        <v>3266</v>
      </c>
      <c r="C1862" s="22" t="s">
        <v>162</v>
      </c>
      <c r="D1862" s="22" t="s">
        <v>1146</v>
      </c>
      <c r="E1862" s="22" t="n">
        <v>21.9</v>
      </c>
      <c r="F1862" s="22" t="s">
        <v>164</v>
      </c>
    </row>
    <row r="1863" customFormat="false" ht="15" hidden="false" customHeight="false" outlineLevel="0" collapsed="false">
      <c r="A1863" s="22" t="s">
        <v>4448</v>
      </c>
      <c r="B1863" s="22" t="s">
        <v>4449</v>
      </c>
      <c r="C1863" s="22" t="s">
        <v>157</v>
      </c>
      <c r="D1863" s="22" t="s">
        <v>254</v>
      </c>
      <c r="E1863" s="22" t="n">
        <v>58.6</v>
      </c>
      <c r="F1863" s="22" t="s">
        <v>164</v>
      </c>
    </row>
    <row r="1864" customFormat="false" ht="15" hidden="false" customHeight="false" outlineLevel="0" collapsed="false">
      <c r="A1864" s="22" t="s">
        <v>4450</v>
      </c>
      <c r="B1864" s="22" t="s">
        <v>4451</v>
      </c>
      <c r="C1864" s="22" t="s">
        <v>162</v>
      </c>
      <c r="D1864" s="22" t="s">
        <v>2563</v>
      </c>
      <c r="E1864" s="22" t="n">
        <v>31.4</v>
      </c>
      <c r="F1864" s="22" t="s">
        <v>164</v>
      </c>
    </row>
    <row r="1865" customFormat="false" ht="15" hidden="false" customHeight="false" outlineLevel="0" collapsed="false">
      <c r="A1865" s="22" t="s">
        <v>4452</v>
      </c>
      <c r="B1865" s="22" t="s">
        <v>4453</v>
      </c>
      <c r="C1865" s="22" t="s">
        <v>162</v>
      </c>
      <c r="D1865" s="22" t="s">
        <v>287</v>
      </c>
      <c r="E1865" s="22" t="n">
        <v>43.7</v>
      </c>
      <c r="F1865" s="22" t="s">
        <v>164</v>
      </c>
    </row>
    <row r="1866" customFormat="false" ht="15" hidden="false" customHeight="false" outlineLevel="0" collapsed="false">
      <c r="A1866" s="22" t="s">
        <v>4454</v>
      </c>
      <c r="B1866" s="22" t="s">
        <v>4455</v>
      </c>
      <c r="C1866" s="22" t="s">
        <v>162</v>
      </c>
      <c r="D1866" s="22" t="s">
        <v>2081</v>
      </c>
      <c r="E1866" s="22" t="n">
        <v>61.2</v>
      </c>
      <c r="F1866" s="22" t="s">
        <v>159</v>
      </c>
    </row>
    <row r="1867" customFormat="false" ht="15" hidden="false" customHeight="false" outlineLevel="0" collapsed="false">
      <c r="A1867" s="22" t="s">
        <v>4456</v>
      </c>
      <c r="B1867" s="22" t="s">
        <v>4457</v>
      </c>
      <c r="C1867" s="22" t="s">
        <v>162</v>
      </c>
      <c r="D1867" s="22" t="s">
        <v>1460</v>
      </c>
      <c r="E1867" s="22" t="n">
        <v>25.3</v>
      </c>
      <c r="F1867" s="22" t="s">
        <v>175</v>
      </c>
    </row>
    <row r="1868" customFormat="false" ht="15" hidden="false" customHeight="false" outlineLevel="0" collapsed="false">
      <c r="A1868" s="22" t="s">
        <v>4458</v>
      </c>
      <c r="B1868" s="22" t="s">
        <v>4459</v>
      </c>
      <c r="C1868" s="22" t="s">
        <v>162</v>
      </c>
      <c r="D1868" s="22" t="s">
        <v>321</v>
      </c>
      <c r="E1868" s="22" t="n">
        <v>24.2</v>
      </c>
      <c r="F1868" s="22" t="s">
        <v>175</v>
      </c>
    </row>
    <row r="1869" customFormat="false" ht="15" hidden="false" customHeight="false" outlineLevel="0" collapsed="false">
      <c r="A1869" s="22" t="s">
        <v>4460</v>
      </c>
      <c r="B1869" s="22" t="s">
        <v>4461</v>
      </c>
      <c r="C1869" s="22" t="s">
        <v>162</v>
      </c>
      <c r="D1869" s="22" t="s">
        <v>3842</v>
      </c>
      <c r="E1869" s="22" t="n">
        <v>20.9</v>
      </c>
      <c r="F1869" s="22" t="s">
        <v>171</v>
      </c>
    </row>
    <row r="1870" customFormat="false" ht="15" hidden="false" customHeight="false" outlineLevel="0" collapsed="false">
      <c r="A1870" s="22" t="s">
        <v>4462</v>
      </c>
      <c r="B1870" s="22" t="s">
        <v>4463</v>
      </c>
      <c r="C1870" s="22" t="s">
        <v>162</v>
      </c>
      <c r="D1870" s="22" t="s">
        <v>1956</v>
      </c>
      <c r="E1870" s="22" t="n">
        <v>55.2</v>
      </c>
      <c r="F1870" s="22" t="s">
        <v>198</v>
      </c>
    </row>
    <row r="1871" customFormat="false" ht="15" hidden="false" customHeight="false" outlineLevel="0" collapsed="false">
      <c r="A1871" s="22" t="s">
        <v>4464</v>
      </c>
      <c r="B1871" s="22" t="s">
        <v>4465</v>
      </c>
      <c r="C1871" s="22" t="s">
        <v>162</v>
      </c>
      <c r="D1871" s="22" t="s">
        <v>498</v>
      </c>
      <c r="E1871" s="22" t="n">
        <v>41.9</v>
      </c>
      <c r="F1871" s="22" t="s">
        <v>175</v>
      </c>
    </row>
    <row r="1872" customFormat="false" ht="15" hidden="false" customHeight="false" outlineLevel="0" collapsed="false">
      <c r="A1872" s="22" t="s">
        <v>4466</v>
      </c>
      <c r="B1872" s="22" t="s">
        <v>4467</v>
      </c>
      <c r="C1872" s="22" t="s">
        <v>162</v>
      </c>
      <c r="D1872" s="22" t="s">
        <v>933</v>
      </c>
      <c r="E1872" s="22" t="n">
        <v>24</v>
      </c>
      <c r="F1872" s="22" t="s">
        <v>171</v>
      </c>
    </row>
    <row r="1873" customFormat="false" ht="15" hidden="false" customHeight="false" outlineLevel="0" collapsed="false">
      <c r="A1873" s="22" t="s">
        <v>4468</v>
      </c>
      <c r="B1873" s="22" t="s">
        <v>4469</v>
      </c>
      <c r="C1873" s="22" t="s">
        <v>162</v>
      </c>
      <c r="D1873" s="22" t="s">
        <v>695</v>
      </c>
      <c r="E1873" s="22" t="n">
        <v>44.2</v>
      </c>
      <c r="F1873" s="22" t="s">
        <v>175</v>
      </c>
    </row>
    <row r="1874" customFormat="false" ht="15" hidden="false" customHeight="false" outlineLevel="0" collapsed="false">
      <c r="A1874" s="22" t="s">
        <v>4470</v>
      </c>
      <c r="B1874" s="22" t="s">
        <v>4471</v>
      </c>
      <c r="C1874" s="22" t="s">
        <v>162</v>
      </c>
      <c r="D1874" s="22" t="s">
        <v>422</v>
      </c>
      <c r="E1874" s="22" t="n">
        <v>45.7</v>
      </c>
      <c r="F1874" s="22" t="s">
        <v>164</v>
      </c>
    </row>
    <row r="1875" customFormat="false" ht="15" hidden="false" customHeight="false" outlineLevel="0" collapsed="false">
      <c r="A1875" s="22" t="s">
        <v>4472</v>
      </c>
      <c r="B1875" s="22" t="s">
        <v>4473</v>
      </c>
      <c r="C1875" s="22" t="s">
        <v>162</v>
      </c>
      <c r="D1875" s="22" t="s">
        <v>893</v>
      </c>
      <c r="E1875" s="22" t="n">
        <v>38.7</v>
      </c>
      <c r="F1875" s="22" t="s">
        <v>159</v>
      </c>
    </row>
    <row r="1876" customFormat="false" ht="15" hidden="false" customHeight="false" outlineLevel="0" collapsed="false">
      <c r="A1876" s="22" t="s">
        <v>4474</v>
      </c>
      <c r="B1876" s="22" t="s">
        <v>4475</v>
      </c>
      <c r="C1876" s="22" t="s">
        <v>162</v>
      </c>
      <c r="D1876" s="22" t="s">
        <v>4476</v>
      </c>
      <c r="E1876" s="22" t="n">
        <v>33.5</v>
      </c>
      <c r="F1876" s="22" t="s">
        <v>175</v>
      </c>
    </row>
    <row r="1877" customFormat="false" ht="15" hidden="false" customHeight="false" outlineLevel="0" collapsed="false">
      <c r="A1877" s="22" t="s">
        <v>4477</v>
      </c>
      <c r="B1877" s="22" t="s">
        <v>4478</v>
      </c>
      <c r="C1877" s="22" t="s">
        <v>162</v>
      </c>
      <c r="D1877" s="22" t="s">
        <v>1048</v>
      </c>
      <c r="E1877" s="22" t="n">
        <v>32.7</v>
      </c>
      <c r="F1877" s="22" t="s">
        <v>164</v>
      </c>
    </row>
    <row r="1878" customFormat="false" ht="15" hidden="false" customHeight="false" outlineLevel="0" collapsed="false">
      <c r="A1878" s="22" t="s">
        <v>4479</v>
      </c>
      <c r="B1878" s="22" t="s">
        <v>4480</v>
      </c>
      <c r="C1878" s="22" t="s">
        <v>162</v>
      </c>
      <c r="D1878" s="22" t="s">
        <v>4481</v>
      </c>
      <c r="E1878" s="22" t="n">
        <v>33.2</v>
      </c>
      <c r="F1878" s="22" t="s">
        <v>159</v>
      </c>
    </row>
    <row r="1879" customFormat="false" ht="15" hidden="false" customHeight="false" outlineLevel="0" collapsed="false">
      <c r="A1879" s="22" t="s">
        <v>4482</v>
      </c>
      <c r="B1879" s="22" t="s">
        <v>4483</v>
      </c>
      <c r="C1879" s="22" t="s">
        <v>162</v>
      </c>
      <c r="D1879" s="22" t="s">
        <v>2485</v>
      </c>
      <c r="E1879" s="22" t="n">
        <v>60.7</v>
      </c>
      <c r="F1879" s="22" t="s">
        <v>164</v>
      </c>
    </row>
    <row r="1880" customFormat="false" ht="15" hidden="false" customHeight="false" outlineLevel="0" collapsed="false">
      <c r="A1880" s="22" t="s">
        <v>4484</v>
      </c>
      <c r="B1880" s="22" t="s">
        <v>4485</v>
      </c>
      <c r="C1880" s="22" t="s">
        <v>162</v>
      </c>
      <c r="D1880" s="22" t="s">
        <v>1767</v>
      </c>
      <c r="E1880" s="22" t="n">
        <v>43.8</v>
      </c>
      <c r="F1880" s="22" t="s">
        <v>175</v>
      </c>
    </row>
    <row r="1881" customFormat="false" ht="15" hidden="false" customHeight="false" outlineLevel="0" collapsed="false">
      <c r="A1881" s="22" t="s">
        <v>4486</v>
      </c>
      <c r="B1881" s="22" t="s">
        <v>4487</v>
      </c>
      <c r="C1881" s="22" t="s">
        <v>566</v>
      </c>
      <c r="D1881" s="22" t="s">
        <v>1307</v>
      </c>
      <c r="E1881" s="22" t="n">
        <v>32.6</v>
      </c>
      <c r="F1881" s="22" t="s">
        <v>171</v>
      </c>
    </row>
    <row r="1882" customFormat="false" ht="15" hidden="false" customHeight="false" outlineLevel="0" collapsed="false">
      <c r="A1882" s="22" t="s">
        <v>4488</v>
      </c>
      <c r="B1882" s="22" t="s">
        <v>4489</v>
      </c>
      <c r="C1882" s="22" t="s">
        <v>162</v>
      </c>
      <c r="D1882" s="22" t="s">
        <v>419</v>
      </c>
      <c r="E1882" s="22" t="n">
        <v>52</v>
      </c>
      <c r="F1882" s="22" t="s">
        <v>175</v>
      </c>
    </row>
    <row r="1883" customFormat="false" ht="15" hidden="false" customHeight="false" outlineLevel="0" collapsed="false">
      <c r="A1883" s="22" t="s">
        <v>4490</v>
      </c>
      <c r="B1883" s="22" t="s">
        <v>4491</v>
      </c>
      <c r="C1883" s="22" t="s">
        <v>162</v>
      </c>
      <c r="D1883" s="22" t="s">
        <v>3842</v>
      </c>
      <c r="E1883" s="22" t="n">
        <v>31.5</v>
      </c>
      <c r="F1883" s="22" t="s">
        <v>171</v>
      </c>
    </row>
    <row r="1884" customFormat="false" ht="15" hidden="false" customHeight="false" outlineLevel="0" collapsed="false">
      <c r="A1884" s="22" t="s">
        <v>4492</v>
      </c>
      <c r="B1884" s="22" t="s">
        <v>4493</v>
      </c>
      <c r="C1884" s="22" t="s">
        <v>162</v>
      </c>
      <c r="D1884" s="22" t="s">
        <v>1629</v>
      </c>
      <c r="E1884" s="22" t="n">
        <v>50.9</v>
      </c>
      <c r="F1884" s="22" t="s">
        <v>215</v>
      </c>
    </row>
    <row r="1885" customFormat="false" ht="15" hidden="false" customHeight="false" outlineLevel="0" collapsed="false">
      <c r="A1885" s="22" t="s">
        <v>4494</v>
      </c>
      <c r="B1885" s="22" t="s">
        <v>4495</v>
      </c>
      <c r="C1885" s="22" t="s">
        <v>162</v>
      </c>
      <c r="D1885" s="22" t="s">
        <v>358</v>
      </c>
      <c r="E1885" s="22" t="n">
        <v>54.5</v>
      </c>
      <c r="F1885" s="22" t="s">
        <v>171</v>
      </c>
    </row>
    <row r="1886" customFormat="false" ht="15" hidden="false" customHeight="false" outlineLevel="0" collapsed="false">
      <c r="A1886" s="22" t="s">
        <v>4496</v>
      </c>
      <c r="B1886" s="22" t="s">
        <v>4497</v>
      </c>
      <c r="C1886" s="22" t="s">
        <v>162</v>
      </c>
      <c r="D1886" s="22" t="s">
        <v>838</v>
      </c>
      <c r="E1886" s="22" t="n">
        <v>42.3</v>
      </c>
      <c r="F1886" s="22" t="s">
        <v>171</v>
      </c>
    </row>
    <row r="1887" customFormat="false" ht="15" hidden="false" customHeight="false" outlineLevel="0" collapsed="false">
      <c r="A1887" s="22" t="s">
        <v>4498</v>
      </c>
      <c r="B1887" s="22" t="s">
        <v>4499</v>
      </c>
      <c r="C1887" s="22" t="s">
        <v>162</v>
      </c>
      <c r="D1887" s="22" t="s">
        <v>2720</v>
      </c>
      <c r="E1887" s="22" t="n">
        <v>61.8</v>
      </c>
      <c r="F1887" s="22" t="s">
        <v>171</v>
      </c>
    </row>
    <row r="1888" customFormat="false" ht="15" hidden="false" customHeight="false" outlineLevel="0" collapsed="false">
      <c r="A1888" s="22" t="s">
        <v>4500</v>
      </c>
      <c r="B1888" s="22" t="s">
        <v>4501</v>
      </c>
      <c r="C1888" s="22" t="s">
        <v>162</v>
      </c>
      <c r="D1888" s="22" t="s">
        <v>871</v>
      </c>
      <c r="E1888" s="22" t="n">
        <v>48.2</v>
      </c>
      <c r="F1888" s="22" t="s">
        <v>175</v>
      </c>
    </row>
    <row r="1889" customFormat="false" ht="15" hidden="false" customHeight="false" outlineLevel="0" collapsed="false">
      <c r="A1889" s="22" t="s">
        <v>4502</v>
      </c>
      <c r="B1889" s="22" t="s">
        <v>4503</v>
      </c>
      <c r="C1889" s="22" t="s">
        <v>162</v>
      </c>
      <c r="D1889" s="22" t="s">
        <v>3657</v>
      </c>
      <c r="E1889" s="22" t="n">
        <v>25.8</v>
      </c>
      <c r="F1889" s="22" t="s">
        <v>175</v>
      </c>
    </row>
    <row r="1890" customFormat="false" ht="15" hidden="false" customHeight="false" outlineLevel="0" collapsed="false">
      <c r="A1890" s="22" t="s">
        <v>4504</v>
      </c>
      <c r="B1890" s="22" t="s">
        <v>4505</v>
      </c>
      <c r="C1890" s="22" t="s">
        <v>157</v>
      </c>
      <c r="D1890" s="22" t="s">
        <v>1824</v>
      </c>
      <c r="E1890" s="22" t="n">
        <v>58</v>
      </c>
      <c r="F1890" s="22" t="s">
        <v>175</v>
      </c>
    </row>
    <row r="1891" customFormat="false" ht="15" hidden="false" customHeight="false" outlineLevel="0" collapsed="false">
      <c r="A1891" s="22" t="s">
        <v>4506</v>
      </c>
      <c r="B1891" s="22" t="s">
        <v>4507</v>
      </c>
      <c r="C1891" s="22" t="s">
        <v>162</v>
      </c>
      <c r="D1891" s="22" t="s">
        <v>3865</v>
      </c>
      <c r="E1891" s="22" t="n">
        <v>35.2</v>
      </c>
      <c r="F1891" s="22" t="s">
        <v>198</v>
      </c>
    </row>
    <row r="1892" customFormat="false" ht="15" hidden="false" customHeight="false" outlineLevel="0" collapsed="false">
      <c r="A1892" s="22" t="s">
        <v>4508</v>
      </c>
      <c r="B1892" s="22" t="s">
        <v>4509</v>
      </c>
      <c r="C1892" s="22" t="s">
        <v>162</v>
      </c>
      <c r="D1892" s="22" t="s">
        <v>519</v>
      </c>
      <c r="E1892" s="22" t="n">
        <v>55.3</v>
      </c>
      <c r="F1892" s="22" t="s">
        <v>171</v>
      </c>
    </row>
    <row r="1893" customFormat="false" ht="15" hidden="false" customHeight="false" outlineLevel="0" collapsed="false">
      <c r="A1893" s="22" t="s">
        <v>4510</v>
      </c>
      <c r="B1893" s="22" t="s">
        <v>4511</v>
      </c>
      <c r="C1893" s="22" t="s">
        <v>162</v>
      </c>
      <c r="D1893" s="22" t="s">
        <v>815</v>
      </c>
      <c r="E1893" s="22" t="n">
        <v>47.7</v>
      </c>
      <c r="F1893" s="22" t="s">
        <v>198</v>
      </c>
    </row>
    <row r="1894" customFormat="false" ht="15" hidden="false" customHeight="false" outlineLevel="0" collapsed="false">
      <c r="A1894" s="22" t="s">
        <v>4512</v>
      </c>
      <c r="B1894" s="22" t="s">
        <v>4513</v>
      </c>
      <c r="C1894" s="22" t="s">
        <v>157</v>
      </c>
      <c r="D1894" s="22" t="s">
        <v>2078</v>
      </c>
      <c r="E1894" s="22" t="n">
        <v>39.2</v>
      </c>
      <c r="F1894" s="22" t="s">
        <v>164</v>
      </c>
    </row>
    <row r="1895" customFormat="false" ht="15" hidden="false" customHeight="false" outlineLevel="0" collapsed="false">
      <c r="A1895" s="22" t="s">
        <v>4514</v>
      </c>
      <c r="B1895" s="22" t="s">
        <v>2069</v>
      </c>
      <c r="C1895" s="22" t="s">
        <v>162</v>
      </c>
      <c r="D1895" s="22" t="s">
        <v>3009</v>
      </c>
      <c r="E1895" s="22" t="n">
        <v>58.6</v>
      </c>
      <c r="F1895" s="22" t="s">
        <v>175</v>
      </c>
    </row>
    <row r="1896" customFormat="false" ht="15" hidden="false" customHeight="false" outlineLevel="0" collapsed="false">
      <c r="A1896" s="22" t="s">
        <v>4515</v>
      </c>
      <c r="B1896" s="22" t="s">
        <v>4516</v>
      </c>
      <c r="C1896" s="22" t="s">
        <v>162</v>
      </c>
      <c r="D1896" s="22" t="s">
        <v>953</v>
      </c>
      <c r="E1896" s="22" t="n">
        <v>61.5</v>
      </c>
      <c r="F1896" s="22" t="s">
        <v>171</v>
      </c>
    </row>
    <row r="1897" customFormat="false" ht="15" hidden="false" customHeight="false" outlineLevel="0" collapsed="false">
      <c r="A1897" s="22" t="s">
        <v>4517</v>
      </c>
      <c r="B1897" s="22" t="s">
        <v>4518</v>
      </c>
      <c r="C1897" s="22" t="s">
        <v>162</v>
      </c>
      <c r="D1897" s="22" t="s">
        <v>1291</v>
      </c>
      <c r="E1897" s="22" t="n">
        <v>24.7</v>
      </c>
      <c r="F1897" s="22" t="s">
        <v>188</v>
      </c>
    </row>
    <row r="1898" customFormat="false" ht="15" hidden="false" customHeight="false" outlineLevel="0" collapsed="false">
      <c r="A1898" s="22" t="s">
        <v>4519</v>
      </c>
      <c r="B1898" s="22" t="s">
        <v>4520</v>
      </c>
      <c r="C1898" s="22" t="s">
        <v>566</v>
      </c>
      <c r="D1898" s="22" t="s">
        <v>358</v>
      </c>
      <c r="E1898" s="22" t="n">
        <v>40</v>
      </c>
      <c r="F1898" s="22" t="s">
        <v>164</v>
      </c>
    </row>
    <row r="1899" customFormat="false" ht="15" hidden="false" customHeight="false" outlineLevel="0" collapsed="false">
      <c r="A1899" s="22" t="s">
        <v>4521</v>
      </c>
      <c r="B1899" s="22" t="s">
        <v>4522</v>
      </c>
      <c r="C1899" s="22" t="s">
        <v>162</v>
      </c>
      <c r="D1899" s="22" t="s">
        <v>1708</v>
      </c>
      <c r="E1899" s="22" t="n">
        <v>22.2</v>
      </c>
      <c r="F1899" s="22" t="s">
        <v>159</v>
      </c>
    </row>
    <row r="1900" customFormat="false" ht="15" hidden="false" customHeight="false" outlineLevel="0" collapsed="false">
      <c r="A1900" s="22" t="s">
        <v>4523</v>
      </c>
      <c r="B1900" s="22" t="s">
        <v>4524</v>
      </c>
      <c r="C1900" s="22" t="s">
        <v>162</v>
      </c>
      <c r="D1900" s="22" t="s">
        <v>599</v>
      </c>
      <c r="E1900" s="22" t="n">
        <v>61.6</v>
      </c>
      <c r="F1900" s="22" t="s">
        <v>164</v>
      </c>
    </row>
    <row r="1901" customFormat="false" ht="15" hidden="false" customHeight="false" outlineLevel="0" collapsed="false">
      <c r="A1901" s="22" t="s">
        <v>4525</v>
      </c>
      <c r="B1901" s="22" t="s">
        <v>4526</v>
      </c>
      <c r="C1901" s="22" t="s">
        <v>566</v>
      </c>
      <c r="D1901" s="22" t="s">
        <v>871</v>
      </c>
      <c r="E1901" s="22" t="n">
        <v>50</v>
      </c>
      <c r="F1901" s="22" t="s">
        <v>164</v>
      </c>
    </row>
    <row r="1902" customFormat="false" ht="15" hidden="false" customHeight="false" outlineLevel="0" collapsed="false">
      <c r="A1902" s="22" t="s">
        <v>4527</v>
      </c>
      <c r="B1902" s="22" t="s">
        <v>4528</v>
      </c>
      <c r="C1902" s="22" t="s">
        <v>162</v>
      </c>
      <c r="D1902" s="22" t="s">
        <v>404</v>
      </c>
      <c r="E1902" s="22" t="n">
        <v>22.8</v>
      </c>
      <c r="F1902" s="22" t="s">
        <v>171</v>
      </c>
    </row>
    <row r="1903" customFormat="false" ht="15" hidden="false" customHeight="false" outlineLevel="0" collapsed="false">
      <c r="A1903" s="22" t="s">
        <v>4529</v>
      </c>
      <c r="B1903" s="22" t="s">
        <v>4530</v>
      </c>
      <c r="C1903" s="22" t="s">
        <v>162</v>
      </c>
      <c r="D1903" s="22" t="s">
        <v>4531</v>
      </c>
      <c r="E1903" s="22" t="n">
        <v>60</v>
      </c>
      <c r="F1903" s="22" t="s">
        <v>198</v>
      </c>
    </row>
    <row r="1904" customFormat="false" ht="15" hidden="false" customHeight="false" outlineLevel="0" collapsed="false">
      <c r="A1904" s="22" t="s">
        <v>4532</v>
      </c>
      <c r="B1904" s="22" t="s">
        <v>4533</v>
      </c>
      <c r="C1904" s="22" t="s">
        <v>162</v>
      </c>
      <c r="D1904" s="22" t="s">
        <v>2180</v>
      </c>
      <c r="E1904" s="22" t="n">
        <v>30.2</v>
      </c>
      <c r="F1904" s="22" t="s">
        <v>175</v>
      </c>
    </row>
    <row r="1905" customFormat="false" ht="15" hidden="false" customHeight="false" outlineLevel="0" collapsed="false">
      <c r="A1905" s="22" t="s">
        <v>4534</v>
      </c>
      <c r="B1905" s="22" t="s">
        <v>4535</v>
      </c>
      <c r="C1905" s="22" t="s">
        <v>162</v>
      </c>
      <c r="D1905" s="22" t="s">
        <v>2297</v>
      </c>
      <c r="E1905" s="22" t="n">
        <v>34.8</v>
      </c>
      <c r="F1905" s="22" t="s">
        <v>171</v>
      </c>
    </row>
    <row r="1906" customFormat="false" ht="15" hidden="false" customHeight="false" outlineLevel="0" collapsed="false">
      <c r="A1906" s="22" t="s">
        <v>4536</v>
      </c>
      <c r="B1906" s="22" t="s">
        <v>4537</v>
      </c>
      <c r="C1906" s="22" t="s">
        <v>162</v>
      </c>
      <c r="D1906" s="22" t="s">
        <v>287</v>
      </c>
      <c r="E1906" s="22" t="n">
        <v>34.5</v>
      </c>
      <c r="F1906" s="22" t="s">
        <v>164</v>
      </c>
    </row>
    <row r="1907" customFormat="false" ht="15" hidden="false" customHeight="false" outlineLevel="0" collapsed="false">
      <c r="A1907" s="22" t="s">
        <v>4538</v>
      </c>
      <c r="B1907" s="22" t="s">
        <v>4539</v>
      </c>
      <c r="C1907" s="22" t="s">
        <v>162</v>
      </c>
      <c r="D1907" s="22" t="s">
        <v>543</v>
      </c>
      <c r="E1907" s="22" t="n">
        <v>60.9</v>
      </c>
      <c r="F1907" s="22" t="s">
        <v>175</v>
      </c>
    </row>
    <row r="1908" customFormat="false" ht="15" hidden="false" customHeight="false" outlineLevel="0" collapsed="false">
      <c r="A1908" s="22" t="s">
        <v>4540</v>
      </c>
      <c r="B1908" s="22" t="s">
        <v>4541</v>
      </c>
      <c r="C1908" s="22" t="s">
        <v>162</v>
      </c>
      <c r="D1908" s="22" t="s">
        <v>2871</v>
      </c>
      <c r="E1908" s="22" t="n">
        <v>33.9</v>
      </c>
      <c r="F1908" s="22" t="s">
        <v>164</v>
      </c>
    </row>
    <row r="1909" customFormat="false" ht="15" hidden="false" customHeight="false" outlineLevel="0" collapsed="false">
      <c r="A1909" s="22" t="s">
        <v>4542</v>
      </c>
      <c r="B1909" s="22" t="s">
        <v>4543</v>
      </c>
      <c r="C1909" s="22" t="s">
        <v>162</v>
      </c>
      <c r="D1909" s="22" t="s">
        <v>163</v>
      </c>
      <c r="E1909" s="22" t="n">
        <v>42.7</v>
      </c>
      <c r="F1909" s="22" t="s">
        <v>164</v>
      </c>
    </row>
    <row r="1910" customFormat="false" ht="15" hidden="false" customHeight="false" outlineLevel="0" collapsed="false">
      <c r="A1910" s="22" t="s">
        <v>4544</v>
      </c>
      <c r="B1910" s="22" t="s">
        <v>4545</v>
      </c>
      <c r="C1910" s="22" t="s">
        <v>207</v>
      </c>
      <c r="D1910" s="22" t="s">
        <v>1054</v>
      </c>
      <c r="E1910" s="22" t="n">
        <v>28.3</v>
      </c>
      <c r="F1910" s="22" t="s">
        <v>164</v>
      </c>
    </row>
    <row r="1911" customFormat="false" ht="15" hidden="false" customHeight="false" outlineLevel="0" collapsed="false">
      <c r="A1911" s="22" t="s">
        <v>4546</v>
      </c>
      <c r="B1911" s="22" t="s">
        <v>4547</v>
      </c>
      <c r="C1911" s="22" t="s">
        <v>162</v>
      </c>
      <c r="D1911" s="22" t="s">
        <v>275</v>
      </c>
      <c r="E1911" s="22" t="n">
        <v>29.3</v>
      </c>
      <c r="F1911" s="22" t="s">
        <v>171</v>
      </c>
    </row>
    <row r="1912" customFormat="false" ht="15" hidden="false" customHeight="false" outlineLevel="0" collapsed="false">
      <c r="A1912" s="22" t="s">
        <v>4548</v>
      </c>
      <c r="B1912" s="22" t="s">
        <v>4549</v>
      </c>
      <c r="C1912" s="22" t="s">
        <v>162</v>
      </c>
      <c r="D1912" s="22" t="s">
        <v>956</v>
      </c>
      <c r="E1912" s="22" t="n">
        <v>60.6</v>
      </c>
      <c r="F1912" s="22" t="s">
        <v>171</v>
      </c>
    </row>
    <row r="1913" customFormat="false" ht="15" hidden="false" customHeight="false" outlineLevel="0" collapsed="false">
      <c r="A1913" s="22" t="s">
        <v>4550</v>
      </c>
      <c r="B1913" s="22" t="s">
        <v>4551</v>
      </c>
      <c r="C1913" s="22" t="s">
        <v>162</v>
      </c>
      <c r="D1913" s="22" t="s">
        <v>413</v>
      </c>
      <c r="E1913" s="22" t="n">
        <v>52.6</v>
      </c>
      <c r="F1913" s="22" t="s">
        <v>164</v>
      </c>
    </row>
    <row r="1914" customFormat="false" ht="15" hidden="false" customHeight="false" outlineLevel="0" collapsed="false">
      <c r="A1914" s="22" t="s">
        <v>4552</v>
      </c>
      <c r="B1914" s="22" t="s">
        <v>4553</v>
      </c>
      <c r="C1914" s="22" t="s">
        <v>162</v>
      </c>
      <c r="D1914" s="22" t="s">
        <v>2023</v>
      </c>
      <c r="E1914" s="22" t="n">
        <v>27</v>
      </c>
      <c r="F1914" s="22" t="s">
        <v>164</v>
      </c>
    </row>
    <row r="1915" customFormat="false" ht="15" hidden="false" customHeight="false" outlineLevel="0" collapsed="false">
      <c r="A1915" s="22" t="s">
        <v>4554</v>
      </c>
      <c r="B1915" s="22" t="s">
        <v>4555</v>
      </c>
      <c r="C1915" s="22" t="s">
        <v>162</v>
      </c>
      <c r="D1915" s="22" t="s">
        <v>1477</v>
      </c>
      <c r="E1915" s="22" t="n">
        <v>41.4</v>
      </c>
      <c r="F1915" s="22" t="s">
        <v>164</v>
      </c>
    </row>
    <row r="1916" customFormat="false" ht="15" hidden="false" customHeight="false" outlineLevel="0" collapsed="false">
      <c r="A1916" s="22" t="s">
        <v>4556</v>
      </c>
      <c r="B1916" s="22" t="s">
        <v>4557</v>
      </c>
      <c r="C1916" s="22" t="s">
        <v>162</v>
      </c>
      <c r="D1916" s="22" t="s">
        <v>546</v>
      </c>
      <c r="E1916" s="22" t="n">
        <v>28.3</v>
      </c>
      <c r="F1916" s="22" t="s">
        <v>164</v>
      </c>
    </row>
    <row r="1917" customFormat="false" ht="15" hidden="false" customHeight="false" outlineLevel="0" collapsed="false">
      <c r="A1917" s="22" t="s">
        <v>4558</v>
      </c>
      <c r="B1917" s="22" t="s">
        <v>4559</v>
      </c>
      <c r="C1917" s="22" t="s">
        <v>207</v>
      </c>
      <c r="D1917" s="22" t="s">
        <v>1299</v>
      </c>
      <c r="E1917" s="22" t="n">
        <v>23.8</v>
      </c>
      <c r="F1917" s="22" t="s">
        <v>164</v>
      </c>
    </row>
    <row r="1918" customFormat="false" ht="15" hidden="false" customHeight="false" outlineLevel="0" collapsed="false">
      <c r="A1918" s="22" t="s">
        <v>4560</v>
      </c>
      <c r="B1918" s="22" t="s">
        <v>4561</v>
      </c>
      <c r="C1918" s="22" t="s">
        <v>162</v>
      </c>
      <c r="D1918" s="22" t="s">
        <v>3635</v>
      </c>
      <c r="E1918" s="22" t="n">
        <v>58.4</v>
      </c>
      <c r="F1918" s="22" t="s">
        <v>164</v>
      </c>
    </row>
    <row r="1919" customFormat="false" ht="15" hidden="false" customHeight="false" outlineLevel="0" collapsed="false">
      <c r="A1919" s="22" t="s">
        <v>4562</v>
      </c>
      <c r="B1919" s="22" t="s">
        <v>4563</v>
      </c>
      <c r="C1919" s="22" t="s">
        <v>157</v>
      </c>
      <c r="D1919" s="22" t="s">
        <v>661</v>
      </c>
      <c r="E1919" s="22" t="n">
        <v>50.6</v>
      </c>
      <c r="F1919" s="22" t="s">
        <v>164</v>
      </c>
    </row>
    <row r="1920" customFormat="false" ht="15" hidden="false" customHeight="false" outlineLevel="0" collapsed="false">
      <c r="A1920" s="22" t="s">
        <v>4564</v>
      </c>
      <c r="B1920" s="22" t="s">
        <v>4565</v>
      </c>
      <c r="C1920" s="22" t="s">
        <v>162</v>
      </c>
      <c r="D1920" s="22" t="s">
        <v>413</v>
      </c>
      <c r="E1920" s="22" t="n">
        <v>61</v>
      </c>
      <c r="F1920" s="22" t="s">
        <v>159</v>
      </c>
    </row>
    <row r="1921" customFormat="false" ht="15" hidden="false" customHeight="false" outlineLevel="0" collapsed="false">
      <c r="A1921" s="22" t="s">
        <v>4566</v>
      </c>
      <c r="B1921" s="22" t="s">
        <v>4567</v>
      </c>
      <c r="C1921" s="22" t="s">
        <v>162</v>
      </c>
      <c r="D1921" s="22" t="s">
        <v>4568</v>
      </c>
      <c r="E1921" s="22" t="n">
        <v>19.3</v>
      </c>
      <c r="F1921" s="22" t="s">
        <v>164</v>
      </c>
    </row>
    <row r="1922" customFormat="false" ht="15" hidden="false" customHeight="false" outlineLevel="0" collapsed="false">
      <c r="A1922" s="22" t="s">
        <v>4569</v>
      </c>
      <c r="B1922" s="22" t="s">
        <v>4570</v>
      </c>
      <c r="C1922" s="22" t="s">
        <v>162</v>
      </c>
      <c r="D1922" s="22" t="s">
        <v>629</v>
      </c>
      <c r="E1922" s="22" t="n">
        <v>32.2</v>
      </c>
      <c r="F1922" s="22" t="s">
        <v>198</v>
      </c>
    </row>
    <row r="1923" customFormat="false" ht="15" hidden="false" customHeight="false" outlineLevel="0" collapsed="false">
      <c r="A1923" s="22" t="s">
        <v>4571</v>
      </c>
      <c r="B1923" s="22" t="s">
        <v>4572</v>
      </c>
      <c r="C1923" s="22" t="s">
        <v>162</v>
      </c>
      <c r="D1923" s="22" t="s">
        <v>2165</v>
      </c>
      <c r="E1923" s="22" t="n">
        <v>58</v>
      </c>
      <c r="F1923" s="22" t="s">
        <v>175</v>
      </c>
    </row>
    <row r="1924" customFormat="false" ht="15" hidden="false" customHeight="false" outlineLevel="0" collapsed="false">
      <c r="A1924" s="22" t="s">
        <v>4573</v>
      </c>
      <c r="B1924" s="22" t="s">
        <v>4574</v>
      </c>
      <c r="C1924" s="22" t="s">
        <v>162</v>
      </c>
      <c r="D1924" s="22" t="s">
        <v>233</v>
      </c>
      <c r="E1924" s="22" t="n">
        <v>22.7</v>
      </c>
      <c r="F1924" s="22" t="s">
        <v>159</v>
      </c>
    </row>
    <row r="1925" customFormat="false" ht="15" hidden="false" customHeight="false" outlineLevel="0" collapsed="false">
      <c r="A1925" s="22" t="s">
        <v>4575</v>
      </c>
      <c r="B1925" s="22" t="s">
        <v>4073</v>
      </c>
      <c r="C1925" s="22" t="s">
        <v>162</v>
      </c>
      <c r="D1925" s="22" t="s">
        <v>3368</v>
      </c>
      <c r="E1925" s="22" t="n">
        <v>22.2</v>
      </c>
      <c r="F1925" s="22" t="s">
        <v>164</v>
      </c>
    </row>
    <row r="1926" customFormat="false" ht="15" hidden="false" customHeight="false" outlineLevel="0" collapsed="false">
      <c r="A1926" s="22" t="s">
        <v>4576</v>
      </c>
      <c r="B1926" s="22" t="s">
        <v>4577</v>
      </c>
      <c r="C1926" s="22" t="s">
        <v>162</v>
      </c>
      <c r="D1926" s="22" t="s">
        <v>4578</v>
      </c>
      <c r="E1926" s="22" t="n">
        <v>40.9</v>
      </c>
      <c r="F1926" s="22" t="s">
        <v>164</v>
      </c>
    </row>
    <row r="1927" customFormat="false" ht="15" hidden="false" customHeight="false" outlineLevel="0" collapsed="false">
      <c r="A1927" s="22" t="s">
        <v>4579</v>
      </c>
      <c r="B1927" s="22" t="s">
        <v>4580</v>
      </c>
      <c r="C1927" s="22" t="s">
        <v>162</v>
      </c>
      <c r="D1927" s="22" t="s">
        <v>3754</v>
      </c>
      <c r="E1927" s="22" t="n">
        <v>44.4</v>
      </c>
      <c r="F1927" s="22" t="s">
        <v>164</v>
      </c>
    </row>
    <row r="1928" customFormat="false" ht="15" hidden="false" customHeight="false" outlineLevel="0" collapsed="false">
      <c r="A1928" s="22" t="s">
        <v>4581</v>
      </c>
      <c r="B1928" s="22" t="s">
        <v>4582</v>
      </c>
      <c r="C1928" s="22" t="s">
        <v>162</v>
      </c>
      <c r="D1928" s="22" t="s">
        <v>938</v>
      </c>
      <c r="E1928" s="22" t="n">
        <v>46.9</v>
      </c>
      <c r="F1928" s="22" t="s">
        <v>175</v>
      </c>
    </row>
    <row r="1929" customFormat="false" ht="15" hidden="false" customHeight="false" outlineLevel="0" collapsed="false">
      <c r="A1929" s="22" t="s">
        <v>4583</v>
      </c>
      <c r="B1929" s="22" t="s">
        <v>4584</v>
      </c>
      <c r="C1929" s="22" t="s">
        <v>162</v>
      </c>
      <c r="D1929" s="22" t="s">
        <v>1489</v>
      </c>
      <c r="E1929" s="22" t="n">
        <v>30.5</v>
      </c>
      <c r="F1929" s="22" t="s">
        <v>164</v>
      </c>
    </row>
    <row r="1930" customFormat="false" ht="15" hidden="false" customHeight="false" outlineLevel="0" collapsed="false">
      <c r="A1930" s="22" t="s">
        <v>4585</v>
      </c>
      <c r="B1930" s="22" t="s">
        <v>4586</v>
      </c>
      <c r="C1930" s="22" t="s">
        <v>162</v>
      </c>
      <c r="D1930" s="22" t="s">
        <v>2492</v>
      </c>
      <c r="E1930" s="22" t="n">
        <v>34.5</v>
      </c>
      <c r="F1930" s="22" t="s">
        <v>198</v>
      </c>
    </row>
    <row r="1931" customFormat="false" ht="15" hidden="false" customHeight="false" outlineLevel="0" collapsed="false">
      <c r="A1931" s="22" t="s">
        <v>4587</v>
      </c>
      <c r="B1931" s="22" t="s">
        <v>4588</v>
      </c>
      <c r="C1931" s="22" t="s">
        <v>157</v>
      </c>
      <c r="D1931" s="22" t="s">
        <v>522</v>
      </c>
      <c r="E1931" s="22" t="n">
        <v>33.7</v>
      </c>
      <c r="F1931" s="22" t="s">
        <v>198</v>
      </c>
    </row>
    <row r="1932" customFormat="false" ht="15" hidden="false" customHeight="false" outlineLevel="0" collapsed="false">
      <c r="A1932" s="22" t="s">
        <v>4589</v>
      </c>
      <c r="B1932" s="22" t="s">
        <v>4590</v>
      </c>
      <c r="C1932" s="22" t="s">
        <v>162</v>
      </c>
      <c r="D1932" s="22" t="s">
        <v>436</v>
      </c>
      <c r="E1932" s="22" t="n">
        <v>23.7</v>
      </c>
      <c r="F1932" s="22" t="s">
        <v>159</v>
      </c>
    </row>
    <row r="1933" customFormat="false" ht="15" hidden="false" customHeight="false" outlineLevel="0" collapsed="false">
      <c r="A1933" s="22" t="s">
        <v>4591</v>
      </c>
      <c r="B1933" s="22" t="s">
        <v>4592</v>
      </c>
      <c r="C1933" s="22" t="s">
        <v>162</v>
      </c>
      <c r="D1933" s="22" t="s">
        <v>2150</v>
      </c>
      <c r="E1933" s="22" t="n">
        <v>39.5</v>
      </c>
      <c r="F1933" s="22" t="s">
        <v>215</v>
      </c>
    </row>
    <row r="1934" customFormat="false" ht="15" hidden="false" customHeight="false" outlineLevel="0" collapsed="false">
      <c r="A1934" s="22" t="s">
        <v>4593</v>
      </c>
      <c r="B1934" s="22" t="s">
        <v>4594</v>
      </c>
      <c r="C1934" s="22" t="s">
        <v>162</v>
      </c>
      <c r="D1934" s="22" t="s">
        <v>2915</v>
      </c>
      <c r="E1934" s="22" t="n">
        <v>18</v>
      </c>
      <c r="F1934" s="22" t="s">
        <v>175</v>
      </c>
    </row>
    <row r="1935" customFormat="false" ht="15" hidden="false" customHeight="false" outlineLevel="0" collapsed="false">
      <c r="A1935" s="22" t="s">
        <v>4595</v>
      </c>
      <c r="B1935" s="22" t="s">
        <v>4596</v>
      </c>
      <c r="C1935" s="22" t="s">
        <v>162</v>
      </c>
      <c r="D1935" s="22" t="s">
        <v>1940</v>
      </c>
      <c r="E1935" s="22" t="n">
        <v>33.8</v>
      </c>
      <c r="F1935" s="22" t="s">
        <v>171</v>
      </c>
    </row>
    <row r="1936" customFormat="false" ht="15" hidden="false" customHeight="false" outlineLevel="0" collapsed="false">
      <c r="A1936" s="22" t="s">
        <v>4597</v>
      </c>
      <c r="B1936" s="22" t="s">
        <v>4598</v>
      </c>
      <c r="C1936" s="22" t="s">
        <v>207</v>
      </c>
      <c r="D1936" s="22" t="s">
        <v>703</v>
      </c>
      <c r="E1936" s="22" t="n">
        <v>60.9</v>
      </c>
      <c r="F1936" s="22" t="s">
        <v>164</v>
      </c>
    </row>
    <row r="1937" customFormat="false" ht="15" hidden="false" customHeight="false" outlineLevel="0" collapsed="false">
      <c r="A1937" s="22" t="s">
        <v>4599</v>
      </c>
      <c r="B1937" s="22" t="s">
        <v>4600</v>
      </c>
      <c r="C1937" s="22" t="s">
        <v>162</v>
      </c>
      <c r="D1937" s="22" t="s">
        <v>1369</v>
      </c>
      <c r="E1937" s="22" t="n">
        <v>36.1</v>
      </c>
      <c r="F1937" s="22" t="s">
        <v>215</v>
      </c>
    </row>
    <row r="1938" customFormat="false" ht="15" hidden="false" customHeight="false" outlineLevel="0" collapsed="false">
      <c r="A1938" s="22" t="s">
        <v>4601</v>
      </c>
      <c r="B1938" s="22" t="s">
        <v>4602</v>
      </c>
      <c r="C1938" s="22" t="s">
        <v>162</v>
      </c>
      <c r="D1938" s="22" t="s">
        <v>752</v>
      </c>
      <c r="E1938" s="22" t="n">
        <v>25.9</v>
      </c>
      <c r="F1938" s="22" t="s">
        <v>171</v>
      </c>
    </row>
    <row r="1939" customFormat="false" ht="15" hidden="false" customHeight="false" outlineLevel="0" collapsed="false">
      <c r="A1939" s="22" t="s">
        <v>4603</v>
      </c>
      <c r="B1939" s="22" t="s">
        <v>4604</v>
      </c>
      <c r="C1939" s="22" t="s">
        <v>162</v>
      </c>
      <c r="D1939" s="22" t="s">
        <v>194</v>
      </c>
      <c r="E1939" s="22" t="n">
        <v>19</v>
      </c>
      <c r="F1939" s="22" t="s">
        <v>159</v>
      </c>
    </row>
    <row r="1940" customFormat="false" ht="15" hidden="false" customHeight="false" outlineLevel="0" collapsed="false">
      <c r="A1940" s="22" t="s">
        <v>4605</v>
      </c>
      <c r="B1940" s="22" t="s">
        <v>4606</v>
      </c>
      <c r="C1940" s="22" t="s">
        <v>162</v>
      </c>
      <c r="D1940" s="22" t="s">
        <v>1634</v>
      </c>
      <c r="E1940" s="22" t="n">
        <v>33.1</v>
      </c>
      <c r="F1940" s="22" t="s">
        <v>198</v>
      </c>
    </row>
    <row r="1941" customFormat="false" ht="15" hidden="false" customHeight="false" outlineLevel="0" collapsed="false">
      <c r="A1941" s="22" t="s">
        <v>4607</v>
      </c>
      <c r="B1941" s="22" t="s">
        <v>4608</v>
      </c>
      <c r="C1941" s="22" t="s">
        <v>162</v>
      </c>
      <c r="D1941" s="22" t="s">
        <v>4609</v>
      </c>
      <c r="E1941" s="22" t="n">
        <v>60.1</v>
      </c>
      <c r="F1941" s="22" t="s">
        <v>164</v>
      </c>
    </row>
    <row r="1942" customFormat="false" ht="15" hidden="false" customHeight="false" outlineLevel="0" collapsed="false">
      <c r="A1942" s="22" t="s">
        <v>4610</v>
      </c>
      <c r="B1942" s="22" t="s">
        <v>4611</v>
      </c>
      <c r="C1942" s="22" t="s">
        <v>162</v>
      </c>
      <c r="D1942" s="22" t="s">
        <v>1968</v>
      </c>
      <c r="E1942" s="22" t="n">
        <v>51</v>
      </c>
      <c r="F1942" s="22" t="s">
        <v>198</v>
      </c>
    </row>
    <row r="1943" customFormat="false" ht="15" hidden="false" customHeight="false" outlineLevel="0" collapsed="false">
      <c r="A1943" s="22" t="s">
        <v>4612</v>
      </c>
      <c r="B1943" s="22" t="s">
        <v>4613</v>
      </c>
      <c r="C1943" s="22" t="s">
        <v>162</v>
      </c>
      <c r="D1943" s="22" t="s">
        <v>170</v>
      </c>
      <c r="E1943" s="22" t="n">
        <v>52.7</v>
      </c>
      <c r="F1943" s="22" t="s">
        <v>175</v>
      </c>
    </row>
    <row r="1944" customFormat="false" ht="15" hidden="false" customHeight="false" outlineLevel="0" collapsed="false">
      <c r="A1944" s="22" t="s">
        <v>4614</v>
      </c>
      <c r="B1944" s="22" t="s">
        <v>4615</v>
      </c>
      <c r="C1944" s="22" t="s">
        <v>162</v>
      </c>
      <c r="D1944" s="22" t="s">
        <v>1229</v>
      </c>
      <c r="E1944" s="22" t="n">
        <v>18.8</v>
      </c>
      <c r="F1944" s="22" t="s">
        <v>164</v>
      </c>
    </row>
    <row r="1945" customFormat="false" ht="15" hidden="false" customHeight="false" outlineLevel="0" collapsed="false">
      <c r="A1945" s="22" t="s">
        <v>4616</v>
      </c>
      <c r="B1945" s="22" t="s">
        <v>4617</v>
      </c>
      <c r="C1945" s="22" t="s">
        <v>162</v>
      </c>
      <c r="D1945" s="22" t="s">
        <v>2915</v>
      </c>
      <c r="E1945" s="22" t="n">
        <v>29.2</v>
      </c>
      <c r="F1945" s="22" t="s">
        <v>175</v>
      </c>
    </row>
    <row r="1946" customFormat="false" ht="15" hidden="false" customHeight="false" outlineLevel="0" collapsed="false">
      <c r="A1946" s="22" t="s">
        <v>4618</v>
      </c>
      <c r="B1946" s="22" t="s">
        <v>4619</v>
      </c>
      <c r="C1946" s="22" t="s">
        <v>162</v>
      </c>
      <c r="D1946" s="22" t="s">
        <v>4620</v>
      </c>
      <c r="E1946" s="22" t="n">
        <v>30.7</v>
      </c>
      <c r="F1946" s="22" t="s">
        <v>164</v>
      </c>
    </row>
    <row r="1947" customFormat="false" ht="15" hidden="false" customHeight="false" outlineLevel="0" collapsed="false">
      <c r="A1947" s="22" t="s">
        <v>4621</v>
      </c>
      <c r="B1947" s="22" t="s">
        <v>4622</v>
      </c>
      <c r="C1947" s="22" t="s">
        <v>162</v>
      </c>
      <c r="D1947" s="22" t="s">
        <v>398</v>
      </c>
      <c r="E1947" s="22" t="n">
        <v>37.2</v>
      </c>
      <c r="F1947" s="22" t="s">
        <v>499</v>
      </c>
    </row>
    <row r="1948" customFormat="false" ht="15" hidden="false" customHeight="false" outlineLevel="0" collapsed="false">
      <c r="A1948" s="22" t="s">
        <v>4623</v>
      </c>
      <c r="B1948" s="22" t="s">
        <v>4624</v>
      </c>
      <c r="C1948" s="22" t="s">
        <v>162</v>
      </c>
      <c r="D1948" s="22" t="s">
        <v>3728</v>
      </c>
      <c r="E1948" s="22" t="n">
        <v>44.8</v>
      </c>
      <c r="F1948" s="22" t="s">
        <v>171</v>
      </c>
    </row>
    <row r="1949" customFormat="false" ht="15" hidden="false" customHeight="false" outlineLevel="0" collapsed="false">
      <c r="A1949" s="22" t="s">
        <v>4625</v>
      </c>
      <c r="B1949" s="22" t="s">
        <v>4626</v>
      </c>
      <c r="C1949" s="22" t="s">
        <v>162</v>
      </c>
      <c r="D1949" s="22" t="s">
        <v>318</v>
      </c>
      <c r="E1949" s="22" t="n">
        <v>41.9</v>
      </c>
      <c r="F1949" s="22" t="s">
        <v>215</v>
      </c>
    </row>
    <row r="1950" customFormat="false" ht="15" hidden="false" customHeight="false" outlineLevel="0" collapsed="false">
      <c r="A1950" s="22" t="s">
        <v>4627</v>
      </c>
      <c r="B1950" s="22" t="s">
        <v>4628</v>
      </c>
      <c r="C1950" s="22" t="s">
        <v>157</v>
      </c>
      <c r="D1950" s="22" t="s">
        <v>2108</v>
      </c>
      <c r="E1950" s="22" t="n">
        <v>47.1</v>
      </c>
      <c r="F1950" s="22" t="s">
        <v>159</v>
      </c>
    </row>
    <row r="1951" customFormat="false" ht="15" hidden="false" customHeight="false" outlineLevel="0" collapsed="false">
      <c r="A1951" s="22" t="s">
        <v>4629</v>
      </c>
      <c r="B1951" s="22" t="s">
        <v>4630</v>
      </c>
      <c r="C1951" s="22" t="s">
        <v>162</v>
      </c>
      <c r="D1951" s="22" t="s">
        <v>1323</v>
      </c>
      <c r="E1951" s="22" t="n">
        <v>23.5</v>
      </c>
      <c r="F1951" s="22" t="s">
        <v>175</v>
      </c>
    </row>
    <row r="1952" customFormat="false" ht="15" hidden="false" customHeight="false" outlineLevel="0" collapsed="false">
      <c r="A1952" s="22" t="s">
        <v>4631</v>
      </c>
      <c r="B1952" s="22" t="s">
        <v>4632</v>
      </c>
      <c r="C1952" s="22" t="s">
        <v>162</v>
      </c>
      <c r="D1952" s="22" t="s">
        <v>480</v>
      </c>
      <c r="E1952" s="22" t="n">
        <v>49.8</v>
      </c>
      <c r="F1952" s="22" t="s">
        <v>164</v>
      </c>
    </row>
    <row r="1953" customFormat="false" ht="15" hidden="false" customHeight="false" outlineLevel="0" collapsed="false">
      <c r="A1953" s="22" t="s">
        <v>4633</v>
      </c>
      <c r="B1953" s="22" t="s">
        <v>4634</v>
      </c>
      <c r="C1953" s="22" t="s">
        <v>162</v>
      </c>
      <c r="D1953" s="22" t="s">
        <v>508</v>
      </c>
      <c r="E1953" s="22" t="n">
        <v>54.4</v>
      </c>
      <c r="F1953" s="22" t="s">
        <v>159</v>
      </c>
    </row>
    <row r="1954" customFormat="false" ht="15" hidden="false" customHeight="false" outlineLevel="0" collapsed="false">
      <c r="A1954" s="22" t="s">
        <v>4635</v>
      </c>
      <c r="B1954" s="22" t="s">
        <v>4636</v>
      </c>
      <c r="C1954" s="22" t="s">
        <v>566</v>
      </c>
      <c r="D1954" s="22" t="s">
        <v>3016</v>
      </c>
      <c r="E1954" s="22" t="n">
        <v>36.2</v>
      </c>
      <c r="F1954" s="22" t="s">
        <v>215</v>
      </c>
    </row>
    <row r="1955" customFormat="false" ht="15" hidden="false" customHeight="false" outlineLevel="0" collapsed="false">
      <c r="A1955" s="22" t="s">
        <v>4637</v>
      </c>
      <c r="B1955" s="22" t="s">
        <v>473</v>
      </c>
      <c r="C1955" s="22" t="s">
        <v>162</v>
      </c>
      <c r="D1955" s="22" t="s">
        <v>236</v>
      </c>
      <c r="E1955" s="22" t="n">
        <v>28.5</v>
      </c>
      <c r="F1955" s="22" t="s">
        <v>175</v>
      </c>
    </row>
    <row r="1956" customFormat="false" ht="15" hidden="false" customHeight="false" outlineLevel="0" collapsed="false">
      <c r="A1956" s="22" t="s">
        <v>4638</v>
      </c>
      <c r="B1956" s="22" t="s">
        <v>4639</v>
      </c>
      <c r="C1956" s="22" t="s">
        <v>162</v>
      </c>
      <c r="D1956" s="22" t="s">
        <v>3657</v>
      </c>
      <c r="E1956" s="22" t="n">
        <v>49.6</v>
      </c>
      <c r="F1956" s="22" t="s">
        <v>198</v>
      </c>
    </row>
    <row r="1957" customFormat="false" ht="15" hidden="false" customHeight="false" outlineLevel="0" collapsed="false">
      <c r="A1957" s="22" t="s">
        <v>4640</v>
      </c>
      <c r="B1957" s="22" t="s">
        <v>4641</v>
      </c>
      <c r="C1957" s="22" t="s">
        <v>162</v>
      </c>
      <c r="D1957" s="22" t="s">
        <v>4642</v>
      </c>
      <c r="E1957" s="22" t="n">
        <v>39.6</v>
      </c>
      <c r="F1957" s="22" t="s">
        <v>198</v>
      </c>
    </row>
    <row r="1958" customFormat="false" ht="15" hidden="false" customHeight="false" outlineLevel="0" collapsed="false">
      <c r="A1958" s="22" t="s">
        <v>4643</v>
      </c>
      <c r="B1958" s="22" t="s">
        <v>4644</v>
      </c>
      <c r="C1958" s="22" t="s">
        <v>162</v>
      </c>
      <c r="D1958" s="22" t="s">
        <v>1499</v>
      </c>
      <c r="E1958" s="22" t="n">
        <v>61.3</v>
      </c>
      <c r="F1958" s="22" t="s">
        <v>159</v>
      </c>
    </row>
    <row r="1959" customFormat="false" ht="15" hidden="false" customHeight="false" outlineLevel="0" collapsed="false">
      <c r="A1959" s="22" t="s">
        <v>4645</v>
      </c>
      <c r="B1959" s="22" t="s">
        <v>4646</v>
      </c>
      <c r="C1959" s="22" t="s">
        <v>162</v>
      </c>
      <c r="D1959" s="22" t="s">
        <v>972</v>
      </c>
      <c r="E1959" s="22" t="n">
        <v>24.3</v>
      </c>
      <c r="F1959" s="22" t="s">
        <v>159</v>
      </c>
    </row>
    <row r="1960" customFormat="false" ht="15" hidden="false" customHeight="false" outlineLevel="0" collapsed="false">
      <c r="A1960" s="22" t="s">
        <v>4647</v>
      </c>
      <c r="B1960" s="22" t="s">
        <v>4648</v>
      </c>
      <c r="C1960" s="22" t="s">
        <v>162</v>
      </c>
      <c r="D1960" s="22" t="s">
        <v>492</v>
      </c>
      <c r="E1960" s="22" t="n">
        <v>31.6</v>
      </c>
      <c r="F1960" s="22" t="s">
        <v>164</v>
      </c>
    </row>
    <row r="1961" customFormat="false" ht="15" hidden="false" customHeight="false" outlineLevel="0" collapsed="false">
      <c r="A1961" s="22" t="s">
        <v>4649</v>
      </c>
      <c r="B1961" s="22" t="s">
        <v>4650</v>
      </c>
      <c r="C1961" s="22" t="s">
        <v>162</v>
      </c>
      <c r="D1961" s="22" t="s">
        <v>257</v>
      </c>
      <c r="E1961" s="22" t="n">
        <v>19.1</v>
      </c>
      <c r="F1961" s="22" t="s">
        <v>198</v>
      </c>
    </row>
    <row r="1962" customFormat="false" ht="15" hidden="false" customHeight="false" outlineLevel="0" collapsed="false">
      <c r="A1962" s="22" t="s">
        <v>4651</v>
      </c>
      <c r="B1962" s="22" t="s">
        <v>4652</v>
      </c>
      <c r="C1962" s="22" t="s">
        <v>162</v>
      </c>
      <c r="D1962" s="22" t="s">
        <v>4653</v>
      </c>
      <c r="E1962" s="22" t="n">
        <v>27.2</v>
      </c>
      <c r="F1962" s="22" t="s">
        <v>164</v>
      </c>
    </row>
    <row r="1963" customFormat="false" ht="15" hidden="false" customHeight="false" outlineLevel="0" collapsed="false">
      <c r="A1963" s="22" t="s">
        <v>4654</v>
      </c>
      <c r="B1963" s="22" t="s">
        <v>4655</v>
      </c>
      <c r="C1963" s="22" t="s">
        <v>157</v>
      </c>
      <c r="D1963" s="22" t="s">
        <v>1538</v>
      </c>
      <c r="E1963" s="22" t="n">
        <v>53.1</v>
      </c>
      <c r="F1963" s="22" t="s">
        <v>499</v>
      </c>
    </row>
    <row r="1964" customFormat="false" ht="15" hidden="false" customHeight="false" outlineLevel="0" collapsed="false">
      <c r="A1964" s="22" t="s">
        <v>4656</v>
      </c>
      <c r="B1964" s="22" t="s">
        <v>4657</v>
      </c>
      <c r="C1964" s="22" t="s">
        <v>162</v>
      </c>
      <c r="D1964" s="22" t="s">
        <v>2656</v>
      </c>
      <c r="E1964" s="22" t="n">
        <v>34.6</v>
      </c>
      <c r="F1964" s="22" t="s">
        <v>159</v>
      </c>
    </row>
    <row r="1965" customFormat="false" ht="15" hidden="false" customHeight="false" outlineLevel="0" collapsed="false">
      <c r="A1965" s="22" t="s">
        <v>4658</v>
      </c>
      <c r="B1965" s="22" t="s">
        <v>4659</v>
      </c>
      <c r="C1965" s="22" t="s">
        <v>162</v>
      </c>
      <c r="D1965" s="22" t="s">
        <v>1996</v>
      </c>
      <c r="E1965" s="22" t="n">
        <v>37.5</v>
      </c>
      <c r="F1965" s="22" t="s">
        <v>171</v>
      </c>
    </row>
    <row r="1966" customFormat="false" ht="15" hidden="false" customHeight="false" outlineLevel="0" collapsed="false">
      <c r="A1966" s="22" t="s">
        <v>4660</v>
      </c>
      <c r="B1966" s="22" t="s">
        <v>4661</v>
      </c>
      <c r="C1966" s="22" t="s">
        <v>162</v>
      </c>
      <c r="D1966" s="22" t="s">
        <v>1743</v>
      </c>
      <c r="E1966" s="22" t="n">
        <v>32.6</v>
      </c>
      <c r="F1966" s="22" t="s">
        <v>164</v>
      </c>
    </row>
    <row r="1967" customFormat="false" ht="15" hidden="false" customHeight="false" outlineLevel="0" collapsed="false">
      <c r="A1967" s="22" t="s">
        <v>4662</v>
      </c>
      <c r="B1967" s="22" t="s">
        <v>4663</v>
      </c>
      <c r="C1967" s="22" t="s">
        <v>207</v>
      </c>
      <c r="D1967" s="22" t="s">
        <v>546</v>
      </c>
      <c r="E1967" s="22" t="n">
        <v>19</v>
      </c>
      <c r="F1967" s="22" t="s">
        <v>164</v>
      </c>
    </row>
    <row r="1968" customFormat="false" ht="15" hidden="false" customHeight="false" outlineLevel="0" collapsed="false">
      <c r="A1968" s="22" t="s">
        <v>4664</v>
      </c>
      <c r="B1968" s="22" t="s">
        <v>4665</v>
      </c>
      <c r="C1968" s="22" t="s">
        <v>162</v>
      </c>
      <c r="D1968" s="22" t="s">
        <v>2592</v>
      </c>
      <c r="E1968" s="22" t="n">
        <v>30.8</v>
      </c>
      <c r="F1968" s="22" t="s">
        <v>164</v>
      </c>
    </row>
    <row r="1969" customFormat="false" ht="15" hidden="false" customHeight="false" outlineLevel="0" collapsed="false">
      <c r="A1969" s="22" t="s">
        <v>4666</v>
      </c>
      <c r="B1969" s="22" t="s">
        <v>4667</v>
      </c>
      <c r="C1969" s="22" t="s">
        <v>162</v>
      </c>
      <c r="D1969" s="22" t="s">
        <v>1054</v>
      </c>
      <c r="E1969" s="22" t="n">
        <v>43.2</v>
      </c>
      <c r="F1969" s="22" t="s">
        <v>164</v>
      </c>
    </row>
    <row r="1970" customFormat="false" ht="15" hidden="false" customHeight="false" outlineLevel="0" collapsed="false">
      <c r="A1970" s="22" t="s">
        <v>4668</v>
      </c>
      <c r="B1970" s="22" t="s">
        <v>4669</v>
      </c>
      <c r="C1970" s="22" t="s">
        <v>162</v>
      </c>
      <c r="D1970" s="22" t="s">
        <v>4670</v>
      </c>
      <c r="E1970" s="22" t="n">
        <v>47.9</v>
      </c>
      <c r="F1970" s="22" t="s">
        <v>175</v>
      </c>
    </row>
    <row r="1971" customFormat="false" ht="15" hidden="false" customHeight="false" outlineLevel="0" collapsed="false">
      <c r="A1971" s="22" t="s">
        <v>4671</v>
      </c>
      <c r="B1971" s="22" t="s">
        <v>4672</v>
      </c>
      <c r="C1971" s="22" t="s">
        <v>162</v>
      </c>
      <c r="D1971" s="22" t="s">
        <v>1548</v>
      </c>
      <c r="E1971" s="22" t="n">
        <v>21</v>
      </c>
      <c r="F1971" s="22" t="s">
        <v>175</v>
      </c>
    </row>
    <row r="1972" customFormat="false" ht="15" hidden="false" customHeight="false" outlineLevel="0" collapsed="false">
      <c r="A1972" s="22" t="s">
        <v>4673</v>
      </c>
      <c r="B1972" s="22" t="s">
        <v>4674</v>
      </c>
      <c r="C1972" s="22" t="s">
        <v>162</v>
      </c>
      <c r="D1972" s="22" t="s">
        <v>570</v>
      </c>
      <c r="E1972" s="22" t="n">
        <v>50.1</v>
      </c>
      <c r="F1972" s="22" t="s">
        <v>164</v>
      </c>
    </row>
    <row r="1973" customFormat="false" ht="15" hidden="false" customHeight="false" outlineLevel="0" collapsed="false">
      <c r="A1973" s="22" t="s">
        <v>4675</v>
      </c>
      <c r="B1973" s="22" t="s">
        <v>4676</v>
      </c>
      <c r="C1973" s="22" t="s">
        <v>162</v>
      </c>
      <c r="D1973" s="22" t="s">
        <v>770</v>
      </c>
      <c r="E1973" s="22" t="n">
        <v>60.5</v>
      </c>
      <c r="F1973" s="22" t="s">
        <v>175</v>
      </c>
    </row>
    <row r="1974" customFormat="false" ht="15" hidden="false" customHeight="false" outlineLevel="0" collapsed="false">
      <c r="A1974" s="22" t="s">
        <v>4677</v>
      </c>
      <c r="B1974" s="22" t="s">
        <v>4678</v>
      </c>
      <c r="C1974" s="22" t="s">
        <v>162</v>
      </c>
      <c r="D1974" s="22" t="s">
        <v>1403</v>
      </c>
      <c r="E1974" s="22" t="n">
        <v>32.9</v>
      </c>
      <c r="F1974" s="22" t="s">
        <v>159</v>
      </c>
    </row>
    <row r="1975" customFormat="false" ht="15" hidden="false" customHeight="false" outlineLevel="0" collapsed="false">
      <c r="A1975" s="22" t="s">
        <v>4679</v>
      </c>
      <c r="B1975" s="22" t="s">
        <v>4680</v>
      </c>
      <c r="C1975" s="22" t="s">
        <v>162</v>
      </c>
      <c r="D1975" s="22" t="s">
        <v>4681</v>
      </c>
      <c r="E1975" s="22" t="n">
        <v>57.8</v>
      </c>
      <c r="F1975" s="22" t="s">
        <v>164</v>
      </c>
    </row>
    <row r="1976" customFormat="false" ht="15" hidden="false" customHeight="false" outlineLevel="0" collapsed="false">
      <c r="A1976" s="22" t="s">
        <v>4682</v>
      </c>
      <c r="B1976" s="22" t="s">
        <v>4683</v>
      </c>
      <c r="C1976" s="22" t="s">
        <v>162</v>
      </c>
      <c r="D1976" s="22" t="s">
        <v>2625</v>
      </c>
      <c r="E1976" s="22" t="n">
        <v>20.4</v>
      </c>
      <c r="F1976" s="22" t="s">
        <v>198</v>
      </c>
    </row>
    <row r="1977" customFormat="false" ht="15" hidden="false" customHeight="false" outlineLevel="0" collapsed="false">
      <c r="A1977" s="22" t="s">
        <v>4684</v>
      </c>
      <c r="B1977" s="22" t="s">
        <v>4685</v>
      </c>
      <c r="C1977" s="22" t="s">
        <v>157</v>
      </c>
      <c r="D1977" s="22" t="s">
        <v>832</v>
      </c>
      <c r="E1977" s="22" t="n">
        <v>53.8</v>
      </c>
      <c r="F1977" s="22" t="s">
        <v>175</v>
      </c>
    </row>
    <row r="1978" customFormat="false" ht="15" hidden="false" customHeight="false" outlineLevel="0" collapsed="false">
      <c r="A1978" s="22" t="s">
        <v>4686</v>
      </c>
      <c r="B1978" s="22" t="s">
        <v>4687</v>
      </c>
      <c r="C1978" s="22" t="s">
        <v>157</v>
      </c>
      <c r="D1978" s="22" t="s">
        <v>1929</v>
      </c>
      <c r="E1978" s="22" t="n">
        <v>49.1</v>
      </c>
      <c r="F1978" s="22" t="s">
        <v>164</v>
      </c>
    </row>
    <row r="1979" customFormat="false" ht="15" hidden="false" customHeight="false" outlineLevel="0" collapsed="false">
      <c r="A1979" s="22" t="s">
        <v>4688</v>
      </c>
      <c r="B1979" s="22" t="s">
        <v>4689</v>
      </c>
      <c r="C1979" s="22" t="s">
        <v>162</v>
      </c>
      <c r="D1979" s="22" t="s">
        <v>1242</v>
      </c>
      <c r="E1979" s="22" t="n">
        <v>61.1</v>
      </c>
      <c r="F1979" s="22" t="s">
        <v>164</v>
      </c>
    </row>
    <row r="1980" customFormat="false" ht="15" hidden="false" customHeight="false" outlineLevel="0" collapsed="false">
      <c r="A1980" s="22" t="s">
        <v>4690</v>
      </c>
      <c r="B1980" s="22" t="s">
        <v>4691</v>
      </c>
      <c r="C1980" s="22" t="s">
        <v>162</v>
      </c>
      <c r="D1980" s="22" t="s">
        <v>2653</v>
      </c>
      <c r="E1980" s="22" t="n">
        <v>55</v>
      </c>
      <c r="F1980" s="22" t="s">
        <v>171</v>
      </c>
    </row>
    <row r="1981" customFormat="false" ht="15" hidden="false" customHeight="false" outlineLevel="0" collapsed="false">
      <c r="A1981" s="22" t="s">
        <v>4692</v>
      </c>
      <c r="B1981" s="22" t="s">
        <v>4693</v>
      </c>
      <c r="C1981" s="22" t="s">
        <v>162</v>
      </c>
      <c r="D1981" s="22" t="s">
        <v>962</v>
      </c>
      <c r="E1981" s="22" t="n">
        <v>47.7</v>
      </c>
      <c r="F1981" s="22" t="s">
        <v>159</v>
      </c>
    </row>
    <row r="1982" customFormat="false" ht="15" hidden="false" customHeight="false" outlineLevel="0" collapsed="false">
      <c r="A1982" s="22" t="s">
        <v>4694</v>
      </c>
      <c r="B1982" s="22" t="s">
        <v>4695</v>
      </c>
      <c r="C1982" s="22" t="s">
        <v>162</v>
      </c>
      <c r="D1982" s="22" t="s">
        <v>1281</v>
      </c>
      <c r="E1982" s="22" t="n">
        <v>26.4</v>
      </c>
      <c r="F1982" s="22" t="s">
        <v>175</v>
      </c>
    </row>
    <row r="1983" customFormat="false" ht="15" hidden="false" customHeight="false" outlineLevel="0" collapsed="false">
      <c r="A1983" s="22" t="s">
        <v>4696</v>
      </c>
      <c r="B1983" s="22" t="s">
        <v>4697</v>
      </c>
      <c r="C1983" s="22" t="s">
        <v>162</v>
      </c>
      <c r="D1983" s="22" t="s">
        <v>404</v>
      </c>
      <c r="E1983" s="22" t="n">
        <v>27.9</v>
      </c>
      <c r="F1983" s="22" t="s">
        <v>499</v>
      </c>
    </row>
    <row r="1984" customFormat="false" ht="15" hidden="false" customHeight="false" outlineLevel="0" collapsed="false">
      <c r="A1984" s="22" t="s">
        <v>4698</v>
      </c>
      <c r="B1984" s="22" t="s">
        <v>4699</v>
      </c>
      <c r="C1984" s="22" t="s">
        <v>162</v>
      </c>
      <c r="D1984" s="22" t="s">
        <v>170</v>
      </c>
      <c r="E1984" s="22" t="n">
        <v>57.3</v>
      </c>
      <c r="F1984" s="22" t="s">
        <v>164</v>
      </c>
    </row>
    <row r="1985" customFormat="false" ht="15" hidden="false" customHeight="false" outlineLevel="0" collapsed="false">
      <c r="A1985" s="22" t="s">
        <v>4700</v>
      </c>
      <c r="B1985" s="22" t="s">
        <v>4701</v>
      </c>
      <c r="C1985" s="22" t="s">
        <v>162</v>
      </c>
      <c r="D1985" s="22" t="s">
        <v>361</v>
      </c>
      <c r="E1985" s="22" t="n">
        <v>58.7</v>
      </c>
      <c r="F1985" s="22" t="s">
        <v>175</v>
      </c>
    </row>
    <row r="1986" customFormat="false" ht="15" hidden="false" customHeight="false" outlineLevel="0" collapsed="false">
      <c r="A1986" s="22" t="s">
        <v>4702</v>
      </c>
      <c r="B1986" s="22" t="s">
        <v>4703</v>
      </c>
      <c r="C1986" s="22" t="s">
        <v>162</v>
      </c>
      <c r="D1986" s="22" t="s">
        <v>4704</v>
      </c>
      <c r="E1986" s="22" t="n">
        <v>36.6</v>
      </c>
      <c r="F1986" s="22" t="s">
        <v>164</v>
      </c>
    </row>
    <row r="1987" customFormat="false" ht="15" hidden="false" customHeight="false" outlineLevel="0" collapsed="false">
      <c r="A1987" s="22" t="s">
        <v>4705</v>
      </c>
      <c r="B1987" s="22" t="s">
        <v>4706</v>
      </c>
      <c r="C1987" s="22" t="s">
        <v>162</v>
      </c>
      <c r="D1987" s="22" t="s">
        <v>687</v>
      </c>
      <c r="E1987" s="22" t="n">
        <v>37</v>
      </c>
      <c r="F1987" s="22" t="s">
        <v>164</v>
      </c>
    </row>
    <row r="1988" customFormat="false" ht="15" hidden="false" customHeight="false" outlineLevel="0" collapsed="false">
      <c r="A1988" s="22" t="s">
        <v>4707</v>
      </c>
      <c r="B1988" s="22" t="s">
        <v>4708</v>
      </c>
      <c r="C1988" s="22" t="s">
        <v>207</v>
      </c>
      <c r="D1988" s="22" t="s">
        <v>1786</v>
      </c>
      <c r="E1988" s="22" t="n">
        <v>39.5</v>
      </c>
      <c r="F1988" s="22" t="s">
        <v>175</v>
      </c>
    </row>
    <row r="1989" customFormat="false" ht="15" hidden="false" customHeight="false" outlineLevel="0" collapsed="false">
      <c r="A1989" s="22" t="s">
        <v>4709</v>
      </c>
      <c r="B1989" s="22" t="s">
        <v>4710</v>
      </c>
      <c r="C1989" s="22" t="s">
        <v>162</v>
      </c>
      <c r="D1989" s="22" t="s">
        <v>1786</v>
      </c>
      <c r="E1989" s="22" t="n">
        <v>33.7</v>
      </c>
      <c r="F1989" s="22" t="s">
        <v>164</v>
      </c>
    </row>
    <row r="1990" customFormat="false" ht="15" hidden="false" customHeight="false" outlineLevel="0" collapsed="false">
      <c r="A1990" s="22" t="s">
        <v>4711</v>
      </c>
      <c r="B1990" s="22" t="s">
        <v>4712</v>
      </c>
      <c r="C1990" s="22" t="s">
        <v>207</v>
      </c>
      <c r="D1990" s="22" t="s">
        <v>2389</v>
      </c>
      <c r="E1990" s="22" t="n">
        <v>56.1</v>
      </c>
      <c r="F1990" s="22" t="s">
        <v>175</v>
      </c>
    </row>
    <row r="1991" customFormat="false" ht="15" hidden="false" customHeight="false" outlineLevel="0" collapsed="false">
      <c r="A1991" s="22" t="s">
        <v>4713</v>
      </c>
      <c r="B1991" s="22" t="s">
        <v>4714</v>
      </c>
      <c r="C1991" s="22" t="s">
        <v>162</v>
      </c>
      <c r="D1991" s="22" t="s">
        <v>4653</v>
      </c>
      <c r="E1991" s="22" t="n">
        <v>21.2</v>
      </c>
      <c r="F1991" s="22" t="s">
        <v>171</v>
      </c>
    </row>
    <row r="1992" customFormat="false" ht="15" hidden="false" customHeight="false" outlineLevel="0" collapsed="false">
      <c r="A1992" s="22" t="s">
        <v>4715</v>
      </c>
      <c r="B1992" s="22" t="s">
        <v>4716</v>
      </c>
      <c r="C1992" s="22" t="s">
        <v>162</v>
      </c>
      <c r="D1992" s="22" t="s">
        <v>893</v>
      </c>
      <c r="E1992" s="22" t="n">
        <v>33.5</v>
      </c>
      <c r="F1992" s="22" t="s">
        <v>188</v>
      </c>
    </row>
    <row r="1993" customFormat="false" ht="15" hidden="false" customHeight="false" outlineLevel="0" collapsed="false">
      <c r="A1993" s="22" t="s">
        <v>4717</v>
      </c>
      <c r="B1993" s="22" t="s">
        <v>4718</v>
      </c>
      <c r="C1993" s="22" t="s">
        <v>162</v>
      </c>
      <c r="D1993" s="22" t="s">
        <v>269</v>
      </c>
      <c r="E1993" s="22" t="n">
        <v>38.3</v>
      </c>
      <c r="F1993" s="22" t="s">
        <v>175</v>
      </c>
    </row>
    <row r="1994" customFormat="false" ht="15" hidden="false" customHeight="false" outlineLevel="0" collapsed="false">
      <c r="A1994" s="22" t="s">
        <v>4719</v>
      </c>
      <c r="B1994" s="22" t="s">
        <v>4720</v>
      </c>
      <c r="C1994" s="22" t="s">
        <v>162</v>
      </c>
      <c r="D1994" s="22" t="s">
        <v>158</v>
      </c>
      <c r="E1994" s="22" t="n">
        <v>29.7</v>
      </c>
      <c r="F1994" s="22" t="s">
        <v>171</v>
      </c>
    </row>
    <row r="1995" customFormat="false" ht="15" hidden="false" customHeight="false" outlineLevel="0" collapsed="false">
      <c r="A1995" s="22" t="s">
        <v>4721</v>
      </c>
      <c r="B1995" s="22" t="s">
        <v>4722</v>
      </c>
      <c r="C1995" s="22" t="s">
        <v>162</v>
      </c>
      <c r="D1995" s="22" t="s">
        <v>1847</v>
      </c>
      <c r="E1995" s="22" t="n">
        <v>24.5</v>
      </c>
      <c r="F1995" s="22" t="s">
        <v>159</v>
      </c>
    </row>
    <row r="1996" customFormat="false" ht="15" hidden="false" customHeight="false" outlineLevel="0" collapsed="false">
      <c r="A1996" s="22" t="s">
        <v>4723</v>
      </c>
      <c r="B1996" s="22" t="s">
        <v>4724</v>
      </c>
      <c r="C1996" s="22" t="s">
        <v>162</v>
      </c>
      <c r="D1996" s="22" t="s">
        <v>3259</v>
      </c>
      <c r="E1996" s="22" t="n">
        <v>41.3</v>
      </c>
      <c r="F1996" s="22" t="s">
        <v>175</v>
      </c>
    </row>
    <row r="1997" customFormat="false" ht="15" hidden="false" customHeight="false" outlineLevel="0" collapsed="false">
      <c r="A1997" s="22" t="s">
        <v>4725</v>
      </c>
      <c r="B1997" s="22" t="s">
        <v>4726</v>
      </c>
      <c r="C1997" s="22" t="s">
        <v>162</v>
      </c>
      <c r="D1997" s="22" t="s">
        <v>1891</v>
      </c>
      <c r="E1997" s="22" t="n">
        <v>41</v>
      </c>
      <c r="F1997" s="22" t="s">
        <v>175</v>
      </c>
    </row>
    <row r="1998" customFormat="false" ht="15" hidden="false" customHeight="false" outlineLevel="0" collapsed="false">
      <c r="A1998" s="22" t="s">
        <v>4727</v>
      </c>
      <c r="B1998" s="22" t="s">
        <v>4728</v>
      </c>
      <c r="C1998" s="22" t="s">
        <v>162</v>
      </c>
      <c r="D1998" s="22" t="s">
        <v>972</v>
      </c>
      <c r="E1998" s="22" t="n">
        <v>40.3</v>
      </c>
      <c r="F1998" s="22" t="s">
        <v>198</v>
      </c>
    </row>
    <row r="1999" customFormat="false" ht="15" hidden="false" customHeight="false" outlineLevel="0" collapsed="false">
      <c r="A1999" s="22" t="s">
        <v>4729</v>
      </c>
      <c r="B1999" s="22" t="s">
        <v>4730</v>
      </c>
      <c r="C1999" s="22" t="s">
        <v>162</v>
      </c>
      <c r="D1999" s="22" t="s">
        <v>563</v>
      </c>
      <c r="E1999" s="22" t="n">
        <v>45.4</v>
      </c>
      <c r="F1999" s="22" t="s">
        <v>171</v>
      </c>
    </row>
    <row r="2000" customFormat="false" ht="15" hidden="false" customHeight="false" outlineLevel="0" collapsed="false">
      <c r="A2000" s="22" t="s">
        <v>4731</v>
      </c>
      <c r="B2000" s="22" t="s">
        <v>4732</v>
      </c>
      <c r="C2000" s="22" t="s">
        <v>162</v>
      </c>
      <c r="D2000" s="22" t="s">
        <v>3657</v>
      </c>
      <c r="E2000" s="22" t="n">
        <v>28.6</v>
      </c>
      <c r="F2000" s="22" t="s">
        <v>164</v>
      </c>
    </row>
    <row r="2001" customFormat="false" ht="15" hidden="false" customHeight="false" outlineLevel="0" collapsed="false">
      <c r="A2001" s="22" t="s">
        <v>4733</v>
      </c>
      <c r="B2001" s="22" t="s">
        <v>4734</v>
      </c>
      <c r="C2001" s="22" t="s">
        <v>162</v>
      </c>
      <c r="D2001" s="22" t="s">
        <v>486</v>
      </c>
      <c r="E2001" s="22" t="n">
        <v>24</v>
      </c>
      <c r="F2001" s="22" t="s">
        <v>175</v>
      </c>
    </row>
    <row r="2002" customFormat="false" ht="15" hidden="false" customHeight="false" outlineLevel="0" collapsed="false">
      <c r="A2002" s="22" t="s">
        <v>4735</v>
      </c>
      <c r="B2002" s="22" t="s">
        <v>4736</v>
      </c>
      <c r="C2002" s="22" t="s">
        <v>162</v>
      </c>
      <c r="D2002" s="22" t="s">
        <v>3082</v>
      </c>
      <c r="E2002" s="22" t="n">
        <v>26.5</v>
      </c>
      <c r="F2002" s="22" t="s">
        <v>171</v>
      </c>
    </row>
    <row r="2003" customFormat="false" ht="15" hidden="false" customHeight="false" outlineLevel="0" collapsed="false">
      <c r="A2003" s="22" t="s">
        <v>4737</v>
      </c>
      <c r="B2003" s="22" t="s">
        <v>4738</v>
      </c>
      <c r="C2003" s="22" t="s">
        <v>162</v>
      </c>
      <c r="D2003" s="22" t="s">
        <v>1857</v>
      </c>
      <c r="E2003" s="22" t="n">
        <v>45</v>
      </c>
      <c r="F2003" s="22" t="s">
        <v>164</v>
      </c>
    </row>
    <row r="2004" customFormat="false" ht="15" hidden="false" customHeight="false" outlineLevel="0" collapsed="false">
      <c r="A2004" s="22" t="s">
        <v>4739</v>
      </c>
      <c r="B2004" s="22" t="s">
        <v>4740</v>
      </c>
      <c r="C2004" s="22" t="s">
        <v>162</v>
      </c>
      <c r="D2004" s="22" t="s">
        <v>576</v>
      </c>
      <c r="E2004" s="22" t="n">
        <v>53.6</v>
      </c>
      <c r="F2004" s="22" t="s">
        <v>188</v>
      </c>
    </row>
    <row r="2005" customFormat="false" ht="15" hidden="false" customHeight="false" outlineLevel="0" collapsed="false">
      <c r="A2005" s="22" t="s">
        <v>4741</v>
      </c>
      <c r="B2005" s="22" t="s">
        <v>4742</v>
      </c>
      <c r="C2005" s="22" t="s">
        <v>162</v>
      </c>
      <c r="D2005" s="22" t="s">
        <v>2265</v>
      </c>
      <c r="E2005" s="22" t="n">
        <v>37.2</v>
      </c>
      <c r="F2005" s="22" t="s">
        <v>164</v>
      </c>
    </row>
    <row r="2006" customFormat="false" ht="15" hidden="false" customHeight="false" outlineLevel="0" collapsed="false">
      <c r="A2006" s="22" t="s">
        <v>4743</v>
      </c>
      <c r="B2006" s="22" t="s">
        <v>4744</v>
      </c>
      <c r="C2006" s="22" t="s">
        <v>162</v>
      </c>
      <c r="D2006" s="22" t="s">
        <v>829</v>
      </c>
      <c r="E2006" s="22" t="n">
        <v>52</v>
      </c>
      <c r="F2006" s="22" t="s">
        <v>175</v>
      </c>
    </row>
    <row r="2007" customFormat="false" ht="15" hidden="false" customHeight="false" outlineLevel="0" collapsed="false">
      <c r="A2007" s="22" t="s">
        <v>4745</v>
      </c>
      <c r="B2007" s="22" t="s">
        <v>4746</v>
      </c>
      <c r="C2007" s="22" t="s">
        <v>162</v>
      </c>
      <c r="D2007" s="22" t="s">
        <v>1750</v>
      </c>
      <c r="E2007" s="22" t="n">
        <v>42.9</v>
      </c>
      <c r="F2007" s="22" t="s">
        <v>171</v>
      </c>
    </row>
    <row r="2008" customFormat="false" ht="15" hidden="false" customHeight="false" outlineLevel="0" collapsed="false">
      <c r="A2008" s="22" t="s">
        <v>4747</v>
      </c>
      <c r="B2008" s="22" t="s">
        <v>4748</v>
      </c>
      <c r="C2008" s="22" t="s">
        <v>162</v>
      </c>
      <c r="D2008" s="22" t="s">
        <v>170</v>
      </c>
      <c r="E2008" s="22" t="n">
        <v>24.7</v>
      </c>
      <c r="F2008" s="22" t="s">
        <v>171</v>
      </c>
    </row>
    <row r="2009" customFormat="false" ht="15" hidden="false" customHeight="false" outlineLevel="0" collapsed="false">
      <c r="A2009" s="22" t="s">
        <v>4749</v>
      </c>
      <c r="B2009" s="22" t="s">
        <v>4750</v>
      </c>
      <c r="C2009" s="22" t="s">
        <v>162</v>
      </c>
      <c r="D2009" s="22" t="s">
        <v>1143</v>
      </c>
      <c r="E2009" s="22" t="n">
        <v>39.3</v>
      </c>
      <c r="F2009" s="22" t="s">
        <v>175</v>
      </c>
    </row>
    <row r="2010" customFormat="false" ht="15" hidden="false" customHeight="false" outlineLevel="0" collapsed="false">
      <c r="A2010" s="22" t="s">
        <v>4751</v>
      </c>
      <c r="B2010" s="22" t="s">
        <v>4752</v>
      </c>
      <c r="C2010" s="22" t="s">
        <v>162</v>
      </c>
      <c r="D2010" s="22" t="s">
        <v>849</v>
      </c>
      <c r="E2010" s="22" t="n">
        <v>54.6</v>
      </c>
      <c r="F2010" s="22" t="s">
        <v>171</v>
      </c>
    </row>
    <row r="2011" customFormat="false" ht="15" hidden="false" customHeight="false" outlineLevel="0" collapsed="false">
      <c r="A2011" s="22" t="s">
        <v>4753</v>
      </c>
      <c r="B2011" s="22" t="s">
        <v>4754</v>
      </c>
      <c r="C2011" s="22" t="s">
        <v>162</v>
      </c>
      <c r="D2011" s="22" t="s">
        <v>1736</v>
      </c>
      <c r="E2011" s="22" t="n">
        <v>36</v>
      </c>
      <c r="F2011" s="22" t="s">
        <v>159</v>
      </c>
    </row>
    <row r="2012" customFormat="false" ht="15" hidden="false" customHeight="false" outlineLevel="0" collapsed="false">
      <c r="A2012" s="22" t="s">
        <v>4755</v>
      </c>
      <c r="B2012" s="22" t="s">
        <v>4756</v>
      </c>
      <c r="C2012" s="22" t="s">
        <v>162</v>
      </c>
      <c r="D2012" s="22" t="s">
        <v>419</v>
      </c>
      <c r="E2012" s="22" t="n">
        <v>22.5</v>
      </c>
      <c r="F2012" s="22" t="s">
        <v>198</v>
      </c>
    </row>
    <row r="2013" customFormat="false" ht="15" hidden="false" customHeight="false" outlineLevel="0" collapsed="false">
      <c r="A2013" s="22" t="s">
        <v>4757</v>
      </c>
      <c r="B2013" s="22" t="s">
        <v>4758</v>
      </c>
      <c r="C2013" s="22" t="s">
        <v>162</v>
      </c>
      <c r="D2013" s="22" t="s">
        <v>1383</v>
      </c>
      <c r="E2013" s="22" t="n">
        <v>61.3</v>
      </c>
      <c r="F2013" s="22" t="s">
        <v>198</v>
      </c>
    </row>
    <row r="2014" customFormat="false" ht="15" hidden="false" customHeight="false" outlineLevel="0" collapsed="false">
      <c r="A2014" s="22" t="s">
        <v>4759</v>
      </c>
      <c r="B2014" s="22" t="s">
        <v>4760</v>
      </c>
      <c r="C2014" s="22" t="s">
        <v>162</v>
      </c>
      <c r="D2014" s="22" t="s">
        <v>629</v>
      </c>
      <c r="E2014" s="22" t="n">
        <v>19.7</v>
      </c>
      <c r="F2014" s="22" t="s">
        <v>188</v>
      </c>
    </row>
    <row r="2015" customFormat="false" ht="15" hidden="false" customHeight="false" outlineLevel="0" collapsed="false">
      <c r="A2015" s="22" t="s">
        <v>4761</v>
      </c>
      <c r="B2015" s="22" t="s">
        <v>4762</v>
      </c>
      <c r="C2015" s="22" t="s">
        <v>162</v>
      </c>
      <c r="D2015" s="22" t="s">
        <v>3182</v>
      </c>
      <c r="E2015" s="22" t="n">
        <v>52.3</v>
      </c>
      <c r="F2015" s="22" t="s">
        <v>159</v>
      </c>
    </row>
    <row r="2016" customFormat="false" ht="15" hidden="false" customHeight="false" outlineLevel="0" collapsed="false">
      <c r="A2016" s="22" t="s">
        <v>4763</v>
      </c>
      <c r="B2016" s="22" t="s">
        <v>4764</v>
      </c>
      <c r="C2016" s="22" t="s">
        <v>162</v>
      </c>
      <c r="D2016" s="22" t="s">
        <v>2563</v>
      </c>
      <c r="E2016" s="22" t="n">
        <v>41.7</v>
      </c>
      <c r="F2016" s="22" t="s">
        <v>175</v>
      </c>
    </row>
    <row r="2017" customFormat="false" ht="15" hidden="false" customHeight="false" outlineLevel="0" collapsed="false">
      <c r="A2017" s="22" t="s">
        <v>4765</v>
      </c>
      <c r="B2017" s="22" t="s">
        <v>4766</v>
      </c>
      <c r="C2017" s="22" t="s">
        <v>162</v>
      </c>
      <c r="D2017" s="22" t="s">
        <v>2394</v>
      </c>
      <c r="E2017" s="22" t="n">
        <v>41.5</v>
      </c>
      <c r="F2017" s="22" t="s">
        <v>198</v>
      </c>
    </row>
    <row r="2018" customFormat="false" ht="15" hidden="false" customHeight="false" outlineLevel="0" collapsed="false">
      <c r="A2018" s="22" t="s">
        <v>4767</v>
      </c>
      <c r="B2018" s="22" t="s">
        <v>4768</v>
      </c>
      <c r="C2018" s="22" t="s">
        <v>162</v>
      </c>
      <c r="D2018" s="22" t="s">
        <v>1445</v>
      </c>
      <c r="E2018" s="22" t="n">
        <v>47.3</v>
      </c>
      <c r="F2018" s="22" t="s">
        <v>164</v>
      </c>
    </row>
    <row r="2019" customFormat="false" ht="15" hidden="false" customHeight="false" outlineLevel="0" collapsed="false">
      <c r="A2019" s="22" t="s">
        <v>4769</v>
      </c>
      <c r="B2019" s="22" t="s">
        <v>4770</v>
      </c>
      <c r="C2019" s="22" t="s">
        <v>162</v>
      </c>
      <c r="D2019" s="22" t="s">
        <v>1869</v>
      </c>
      <c r="E2019" s="22" t="n">
        <v>19.8</v>
      </c>
      <c r="F2019" s="22" t="s">
        <v>164</v>
      </c>
    </row>
    <row r="2020" customFormat="false" ht="15" hidden="false" customHeight="false" outlineLevel="0" collapsed="false">
      <c r="A2020" s="22" t="s">
        <v>4771</v>
      </c>
      <c r="B2020" s="22" t="s">
        <v>4772</v>
      </c>
      <c r="C2020" s="22" t="s">
        <v>162</v>
      </c>
      <c r="D2020" s="22" t="s">
        <v>1783</v>
      </c>
      <c r="E2020" s="22" t="n">
        <v>57.3</v>
      </c>
      <c r="F2020" s="22" t="s">
        <v>215</v>
      </c>
    </row>
    <row r="2021" customFormat="false" ht="15" hidden="false" customHeight="false" outlineLevel="0" collapsed="false">
      <c r="A2021" s="22" t="s">
        <v>4773</v>
      </c>
      <c r="B2021" s="22" t="s">
        <v>4774</v>
      </c>
      <c r="C2021" s="22" t="s">
        <v>162</v>
      </c>
      <c r="D2021" s="22" t="s">
        <v>1158</v>
      </c>
      <c r="E2021" s="22" t="n">
        <v>21.1</v>
      </c>
      <c r="F2021" s="22" t="s">
        <v>175</v>
      </c>
    </row>
    <row r="2022" customFormat="false" ht="15" hidden="false" customHeight="false" outlineLevel="0" collapsed="false">
      <c r="A2022" s="22" t="s">
        <v>4775</v>
      </c>
      <c r="B2022" s="22" t="s">
        <v>4776</v>
      </c>
      <c r="C2022" s="22" t="s">
        <v>207</v>
      </c>
      <c r="D2022" s="22" t="s">
        <v>1659</v>
      </c>
      <c r="E2022" s="22" t="n">
        <v>23.2</v>
      </c>
      <c r="F2022" s="22" t="s">
        <v>164</v>
      </c>
    </row>
    <row r="2023" customFormat="false" ht="15" hidden="false" customHeight="false" outlineLevel="0" collapsed="false">
      <c r="A2023" s="22" t="s">
        <v>4777</v>
      </c>
      <c r="B2023" s="22" t="s">
        <v>4778</v>
      </c>
      <c r="C2023" s="22" t="s">
        <v>162</v>
      </c>
      <c r="D2023" s="22" t="s">
        <v>398</v>
      </c>
      <c r="E2023" s="22" t="n">
        <v>43.7</v>
      </c>
      <c r="F2023" s="22" t="s">
        <v>164</v>
      </c>
    </row>
    <row r="2024" customFormat="false" ht="15" hidden="false" customHeight="false" outlineLevel="0" collapsed="false">
      <c r="A2024" s="22" t="s">
        <v>4779</v>
      </c>
      <c r="B2024" s="22" t="s">
        <v>4780</v>
      </c>
      <c r="C2024" s="22" t="s">
        <v>566</v>
      </c>
      <c r="D2024" s="22" t="s">
        <v>451</v>
      </c>
      <c r="E2024" s="22" t="n">
        <v>55.3</v>
      </c>
      <c r="F2024" s="22" t="s">
        <v>175</v>
      </c>
    </row>
    <row r="2025" customFormat="false" ht="15" hidden="false" customHeight="false" outlineLevel="0" collapsed="false">
      <c r="A2025" s="22" t="s">
        <v>4781</v>
      </c>
      <c r="B2025" s="22" t="s">
        <v>4782</v>
      </c>
      <c r="C2025" s="22" t="s">
        <v>162</v>
      </c>
      <c r="D2025" s="22" t="s">
        <v>621</v>
      </c>
      <c r="E2025" s="22" t="n">
        <v>45.9</v>
      </c>
      <c r="F2025" s="22" t="s">
        <v>164</v>
      </c>
    </row>
    <row r="2026" customFormat="false" ht="15" hidden="false" customHeight="false" outlineLevel="0" collapsed="false">
      <c r="A2026" s="22" t="s">
        <v>4783</v>
      </c>
      <c r="B2026" s="22" t="s">
        <v>4784</v>
      </c>
      <c r="C2026" s="22" t="s">
        <v>157</v>
      </c>
      <c r="D2026" s="22" t="s">
        <v>1057</v>
      </c>
      <c r="E2026" s="22" t="n">
        <v>32.2</v>
      </c>
      <c r="F2026" s="22" t="s">
        <v>175</v>
      </c>
    </row>
    <row r="2027" customFormat="false" ht="15" hidden="false" customHeight="false" outlineLevel="0" collapsed="false">
      <c r="A2027" s="22" t="s">
        <v>4785</v>
      </c>
      <c r="B2027" s="22" t="s">
        <v>4786</v>
      </c>
      <c r="C2027" s="22" t="s">
        <v>162</v>
      </c>
      <c r="D2027" s="22" t="s">
        <v>3075</v>
      </c>
      <c r="E2027" s="22" t="n">
        <v>25.8</v>
      </c>
      <c r="F2027" s="22" t="s">
        <v>175</v>
      </c>
    </row>
    <row r="2028" customFormat="false" ht="15" hidden="false" customHeight="false" outlineLevel="0" collapsed="false">
      <c r="A2028" s="22" t="s">
        <v>4787</v>
      </c>
      <c r="B2028" s="22" t="s">
        <v>4788</v>
      </c>
      <c r="C2028" s="22" t="s">
        <v>157</v>
      </c>
      <c r="D2028" s="22" t="s">
        <v>2116</v>
      </c>
      <c r="E2028" s="22" t="n">
        <v>39.4</v>
      </c>
      <c r="F2028" s="22" t="s">
        <v>164</v>
      </c>
    </row>
    <row r="2029" customFormat="false" ht="15" hidden="false" customHeight="false" outlineLevel="0" collapsed="false">
      <c r="A2029" s="22" t="s">
        <v>4789</v>
      </c>
      <c r="B2029" s="22" t="s">
        <v>4790</v>
      </c>
      <c r="C2029" s="22" t="s">
        <v>162</v>
      </c>
      <c r="D2029" s="22" t="s">
        <v>370</v>
      </c>
      <c r="E2029" s="22" t="n">
        <v>51.7</v>
      </c>
      <c r="F2029" s="22" t="s">
        <v>175</v>
      </c>
    </row>
    <row r="2030" customFormat="false" ht="15" hidden="false" customHeight="false" outlineLevel="0" collapsed="false">
      <c r="A2030" s="22" t="s">
        <v>4791</v>
      </c>
      <c r="B2030" s="22" t="s">
        <v>4792</v>
      </c>
      <c r="C2030" s="22" t="s">
        <v>207</v>
      </c>
      <c r="D2030" s="22" t="s">
        <v>191</v>
      </c>
      <c r="E2030" s="22" t="n">
        <v>51.3</v>
      </c>
      <c r="F2030" s="22" t="s">
        <v>164</v>
      </c>
    </row>
    <row r="2031" customFormat="false" ht="15" hidden="false" customHeight="false" outlineLevel="0" collapsed="false">
      <c r="A2031" s="22" t="s">
        <v>4793</v>
      </c>
      <c r="B2031" s="22" t="s">
        <v>4794</v>
      </c>
      <c r="C2031" s="22" t="s">
        <v>207</v>
      </c>
      <c r="D2031" s="22" t="s">
        <v>1690</v>
      </c>
      <c r="E2031" s="22" t="n">
        <v>44</v>
      </c>
      <c r="F2031" s="22" t="s">
        <v>198</v>
      </c>
    </row>
    <row r="2032" customFormat="false" ht="15" hidden="false" customHeight="false" outlineLevel="0" collapsed="false">
      <c r="A2032" s="22" t="s">
        <v>4795</v>
      </c>
      <c r="B2032" s="22" t="s">
        <v>4796</v>
      </c>
      <c r="C2032" s="22" t="s">
        <v>162</v>
      </c>
      <c r="D2032" s="22" t="s">
        <v>257</v>
      </c>
      <c r="E2032" s="22" t="n">
        <v>28.3</v>
      </c>
      <c r="F2032" s="22" t="s">
        <v>164</v>
      </c>
    </row>
    <row r="2033" customFormat="false" ht="15" hidden="false" customHeight="false" outlineLevel="0" collapsed="false">
      <c r="A2033" s="22" t="s">
        <v>4797</v>
      </c>
      <c r="B2033" s="22" t="s">
        <v>4798</v>
      </c>
      <c r="C2033" s="22" t="s">
        <v>162</v>
      </c>
      <c r="D2033" s="22" t="s">
        <v>1780</v>
      </c>
      <c r="E2033" s="22" t="n">
        <v>19</v>
      </c>
      <c r="F2033" s="22" t="s">
        <v>164</v>
      </c>
    </row>
    <row r="2034" customFormat="false" ht="15" hidden="false" customHeight="false" outlineLevel="0" collapsed="false">
      <c r="A2034" s="22" t="s">
        <v>4799</v>
      </c>
      <c r="B2034" s="22" t="s">
        <v>4800</v>
      </c>
      <c r="C2034" s="22" t="s">
        <v>162</v>
      </c>
      <c r="D2034" s="22" t="s">
        <v>904</v>
      </c>
      <c r="E2034" s="22" t="n">
        <v>26.6</v>
      </c>
      <c r="F2034" s="22" t="s">
        <v>171</v>
      </c>
    </row>
    <row r="2035" customFormat="false" ht="15" hidden="false" customHeight="false" outlineLevel="0" collapsed="false">
      <c r="A2035" s="22" t="s">
        <v>4801</v>
      </c>
      <c r="B2035" s="22" t="s">
        <v>4802</v>
      </c>
      <c r="C2035" s="22" t="s">
        <v>162</v>
      </c>
      <c r="D2035" s="22" t="s">
        <v>885</v>
      </c>
      <c r="E2035" s="22" t="n">
        <v>50.6</v>
      </c>
      <c r="F2035" s="22" t="s">
        <v>164</v>
      </c>
    </row>
    <row r="2036" customFormat="false" ht="15" hidden="false" customHeight="false" outlineLevel="0" collapsed="false">
      <c r="A2036" s="22" t="s">
        <v>4803</v>
      </c>
      <c r="B2036" s="22" t="s">
        <v>4804</v>
      </c>
      <c r="C2036" s="22" t="s">
        <v>162</v>
      </c>
      <c r="D2036" s="22" t="s">
        <v>3031</v>
      </c>
      <c r="E2036" s="22" t="n">
        <v>41.7</v>
      </c>
      <c r="F2036" s="22" t="s">
        <v>171</v>
      </c>
    </row>
    <row r="2037" customFormat="false" ht="15" hidden="false" customHeight="false" outlineLevel="0" collapsed="false">
      <c r="A2037" s="22" t="s">
        <v>4805</v>
      </c>
      <c r="B2037" s="22" t="s">
        <v>4806</v>
      </c>
      <c r="C2037" s="22" t="s">
        <v>162</v>
      </c>
      <c r="D2037" s="22" t="s">
        <v>2420</v>
      </c>
      <c r="E2037" s="22" t="n">
        <v>48.8</v>
      </c>
      <c r="F2037" s="22" t="s">
        <v>175</v>
      </c>
    </row>
    <row r="2038" customFormat="false" ht="15" hidden="false" customHeight="false" outlineLevel="0" collapsed="false">
      <c r="A2038" s="22" t="s">
        <v>4807</v>
      </c>
      <c r="B2038" s="22" t="s">
        <v>4808</v>
      </c>
      <c r="C2038" s="22" t="s">
        <v>162</v>
      </c>
      <c r="D2038" s="22" t="s">
        <v>1833</v>
      </c>
      <c r="E2038" s="22" t="n">
        <v>26.1</v>
      </c>
      <c r="F2038" s="22" t="s">
        <v>164</v>
      </c>
    </row>
    <row r="2039" customFormat="false" ht="15" hidden="false" customHeight="false" outlineLevel="0" collapsed="false">
      <c r="A2039" s="22" t="s">
        <v>4809</v>
      </c>
      <c r="B2039" s="22" t="s">
        <v>4810</v>
      </c>
      <c r="C2039" s="22" t="s">
        <v>162</v>
      </c>
      <c r="D2039" s="22" t="s">
        <v>2643</v>
      </c>
      <c r="E2039" s="22" t="n">
        <v>48.2</v>
      </c>
      <c r="F2039" s="22" t="s">
        <v>164</v>
      </c>
    </row>
    <row r="2040" customFormat="false" ht="15" hidden="false" customHeight="false" outlineLevel="0" collapsed="false">
      <c r="A2040" s="22" t="s">
        <v>4811</v>
      </c>
      <c r="B2040" s="22" t="s">
        <v>4812</v>
      </c>
      <c r="C2040" s="22" t="s">
        <v>566</v>
      </c>
      <c r="D2040" s="22" t="s">
        <v>466</v>
      </c>
      <c r="E2040" s="22" t="n">
        <v>19.9</v>
      </c>
      <c r="F2040" s="22" t="s">
        <v>164</v>
      </c>
    </row>
    <row r="2041" customFormat="false" ht="15" hidden="false" customHeight="false" outlineLevel="0" collapsed="false">
      <c r="A2041" s="22" t="s">
        <v>4813</v>
      </c>
      <c r="B2041" s="22" t="s">
        <v>4814</v>
      </c>
      <c r="C2041" s="22" t="s">
        <v>162</v>
      </c>
      <c r="D2041" s="22" t="s">
        <v>616</v>
      </c>
      <c r="E2041" s="22" t="n">
        <v>19.5</v>
      </c>
      <c r="F2041" s="22" t="s">
        <v>175</v>
      </c>
    </row>
    <row r="2042" customFormat="false" ht="15" hidden="false" customHeight="false" outlineLevel="0" collapsed="false">
      <c r="A2042" s="22" t="s">
        <v>4815</v>
      </c>
      <c r="B2042" s="22" t="s">
        <v>4816</v>
      </c>
      <c r="C2042" s="22" t="s">
        <v>162</v>
      </c>
      <c r="D2042" s="22" t="s">
        <v>1629</v>
      </c>
      <c r="E2042" s="22" t="n">
        <v>19.2</v>
      </c>
      <c r="F2042" s="22" t="s">
        <v>215</v>
      </c>
    </row>
    <row r="2043" customFormat="false" ht="15" hidden="false" customHeight="false" outlineLevel="0" collapsed="false">
      <c r="A2043" s="22" t="s">
        <v>4817</v>
      </c>
      <c r="B2043" s="22" t="s">
        <v>4818</v>
      </c>
      <c r="C2043" s="22" t="s">
        <v>162</v>
      </c>
      <c r="D2043" s="22" t="s">
        <v>224</v>
      </c>
      <c r="E2043" s="22" t="n">
        <v>46.9</v>
      </c>
      <c r="F2043" s="22" t="s">
        <v>175</v>
      </c>
    </row>
    <row r="2044" customFormat="false" ht="15" hidden="false" customHeight="false" outlineLevel="0" collapsed="false">
      <c r="A2044" s="22" t="s">
        <v>4819</v>
      </c>
      <c r="B2044" s="22" t="s">
        <v>4820</v>
      </c>
      <c r="C2044" s="22" t="s">
        <v>162</v>
      </c>
      <c r="D2044" s="22" t="s">
        <v>1668</v>
      </c>
      <c r="E2044" s="22" t="n">
        <v>49.9</v>
      </c>
      <c r="F2044" s="22" t="s">
        <v>171</v>
      </c>
    </row>
    <row r="2045" customFormat="false" ht="15" hidden="false" customHeight="false" outlineLevel="0" collapsed="false">
      <c r="A2045" s="22" t="s">
        <v>4821</v>
      </c>
      <c r="B2045" s="22" t="s">
        <v>4822</v>
      </c>
      <c r="C2045" s="22" t="s">
        <v>162</v>
      </c>
      <c r="D2045" s="22" t="s">
        <v>4823</v>
      </c>
      <c r="E2045" s="22" t="n">
        <v>23.6</v>
      </c>
      <c r="F2045" s="22" t="s">
        <v>215</v>
      </c>
    </row>
    <row r="2046" customFormat="false" ht="15" hidden="false" customHeight="false" outlineLevel="0" collapsed="false">
      <c r="A2046" s="22" t="s">
        <v>4824</v>
      </c>
      <c r="B2046" s="22" t="s">
        <v>4825</v>
      </c>
      <c r="C2046" s="22" t="s">
        <v>162</v>
      </c>
      <c r="D2046" s="22" t="s">
        <v>1390</v>
      </c>
      <c r="E2046" s="22" t="n">
        <v>51.6</v>
      </c>
      <c r="F2046" s="22" t="s">
        <v>164</v>
      </c>
    </row>
    <row r="2047" customFormat="false" ht="15" hidden="false" customHeight="false" outlineLevel="0" collapsed="false">
      <c r="A2047" s="22" t="s">
        <v>4826</v>
      </c>
      <c r="B2047" s="22" t="s">
        <v>4827</v>
      </c>
      <c r="C2047" s="22" t="s">
        <v>207</v>
      </c>
      <c r="D2047" s="22" t="s">
        <v>463</v>
      </c>
      <c r="E2047" s="22" t="n">
        <v>43.5</v>
      </c>
      <c r="F2047" s="22" t="s">
        <v>198</v>
      </c>
    </row>
    <row r="2048" customFormat="false" ht="15" hidden="false" customHeight="false" outlineLevel="0" collapsed="false">
      <c r="A2048" s="22" t="s">
        <v>4828</v>
      </c>
      <c r="B2048" s="22" t="s">
        <v>4829</v>
      </c>
      <c r="C2048" s="22" t="s">
        <v>162</v>
      </c>
      <c r="D2048" s="22" t="s">
        <v>2592</v>
      </c>
      <c r="E2048" s="22" t="n">
        <v>30.5</v>
      </c>
      <c r="F2048" s="22" t="s">
        <v>175</v>
      </c>
    </row>
    <row r="2049" customFormat="false" ht="15" hidden="false" customHeight="false" outlineLevel="0" collapsed="false">
      <c r="A2049" s="22" t="s">
        <v>4830</v>
      </c>
      <c r="B2049" s="22" t="s">
        <v>4831</v>
      </c>
      <c r="C2049" s="22" t="s">
        <v>162</v>
      </c>
      <c r="D2049" s="22" t="s">
        <v>275</v>
      </c>
      <c r="E2049" s="22" t="n">
        <v>37.3</v>
      </c>
      <c r="F2049" s="22" t="s">
        <v>164</v>
      </c>
    </row>
    <row r="2050" customFormat="false" ht="15" hidden="false" customHeight="false" outlineLevel="0" collapsed="false">
      <c r="A2050" s="22" t="s">
        <v>4832</v>
      </c>
      <c r="B2050" s="22" t="s">
        <v>4833</v>
      </c>
      <c r="C2050" s="22" t="s">
        <v>162</v>
      </c>
      <c r="D2050" s="22" t="s">
        <v>2012</v>
      </c>
      <c r="E2050" s="22" t="n">
        <v>25.8</v>
      </c>
      <c r="F2050" s="22" t="s">
        <v>198</v>
      </c>
    </row>
    <row r="2051" customFormat="false" ht="15" hidden="false" customHeight="false" outlineLevel="0" collapsed="false">
      <c r="A2051" s="22" t="s">
        <v>4834</v>
      </c>
      <c r="B2051" s="22" t="s">
        <v>4835</v>
      </c>
      <c r="C2051" s="22" t="s">
        <v>162</v>
      </c>
      <c r="D2051" s="22" t="s">
        <v>585</v>
      </c>
      <c r="E2051" s="22" t="n">
        <v>21.8</v>
      </c>
      <c r="F2051" s="22" t="s">
        <v>164</v>
      </c>
    </row>
    <row r="2052" customFormat="false" ht="15" hidden="false" customHeight="false" outlineLevel="0" collapsed="false">
      <c r="A2052" s="22" t="s">
        <v>4836</v>
      </c>
      <c r="B2052" s="22" t="s">
        <v>4837</v>
      </c>
      <c r="C2052" s="22" t="s">
        <v>157</v>
      </c>
      <c r="D2052" s="22" t="s">
        <v>3590</v>
      </c>
      <c r="E2052" s="22" t="n">
        <v>43.3</v>
      </c>
      <c r="F2052" s="22" t="s">
        <v>175</v>
      </c>
    </row>
    <row r="2053" customFormat="false" ht="15" hidden="false" customHeight="false" outlineLevel="0" collapsed="false">
      <c r="A2053" s="22" t="s">
        <v>4838</v>
      </c>
      <c r="B2053" s="22" t="s">
        <v>4839</v>
      </c>
      <c r="C2053" s="22" t="s">
        <v>162</v>
      </c>
      <c r="D2053" s="22" t="s">
        <v>290</v>
      </c>
      <c r="E2053" s="22" t="n">
        <v>19</v>
      </c>
      <c r="F2053" s="22" t="s">
        <v>198</v>
      </c>
    </row>
    <row r="2054" customFormat="false" ht="15" hidden="false" customHeight="false" outlineLevel="0" collapsed="false">
      <c r="A2054" s="22" t="s">
        <v>4840</v>
      </c>
      <c r="B2054" s="22" t="s">
        <v>4841</v>
      </c>
      <c r="C2054" s="22" t="s">
        <v>162</v>
      </c>
      <c r="D2054" s="22" t="s">
        <v>2755</v>
      </c>
      <c r="E2054" s="22" t="n">
        <v>33.6</v>
      </c>
      <c r="F2054" s="22" t="s">
        <v>164</v>
      </c>
    </row>
    <row r="2055" customFormat="false" ht="15" hidden="false" customHeight="false" outlineLevel="0" collapsed="false">
      <c r="A2055" s="22" t="s">
        <v>4842</v>
      </c>
      <c r="B2055" s="22" t="s">
        <v>4843</v>
      </c>
      <c r="C2055" s="22" t="s">
        <v>162</v>
      </c>
      <c r="D2055" s="22" t="s">
        <v>2468</v>
      </c>
      <c r="E2055" s="22" t="n">
        <v>30.1</v>
      </c>
      <c r="F2055" s="22" t="s">
        <v>175</v>
      </c>
    </row>
    <row r="2056" customFormat="false" ht="15" hidden="false" customHeight="false" outlineLevel="0" collapsed="false">
      <c r="A2056" s="22" t="s">
        <v>4844</v>
      </c>
      <c r="B2056" s="22" t="s">
        <v>4845</v>
      </c>
      <c r="C2056" s="22" t="s">
        <v>162</v>
      </c>
      <c r="D2056" s="22" t="s">
        <v>1929</v>
      </c>
      <c r="E2056" s="22" t="n">
        <v>59.7</v>
      </c>
      <c r="F2056" s="22" t="s">
        <v>164</v>
      </c>
    </row>
    <row r="2057" customFormat="false" ht="15" hidden="false" customHeight="false" outlineLevel="0" collapsed="false">
      <c r="A2057" s="22" t="s">
        <v>4846</v>
      </c>
      <c r="B2057" s="22" t="s">
        <v>4847</v>
      </c>
      <c r="C2057" s="22" t="s">
        <v>157</v>
      </c>
      <c r="D2057" s="22" t="s">
        <v>2057</v>
      </c>
      <c r="E2057" s="22" t="n">
        <v>40.7</v>
      </c>
      <c r="F2057" s="22" t="s">
        <v>499</v>
      </c>
    </row>
    <row r="2058" customFormat="false" ht="15" hidden="false" customHeight="false" outlineLevel="0" collapsed="false">
      <c r="A2058" s="22" t="s">
        <v>4848</v>
      </c>
      <c r="B2058" s="22" t="s">
        <v>4849</v>
      </c>
      <c r="C2058" s="22" t="s">
        <v>162</v>
      </c>
      <c r="D2058" s="22" t="s">
        <v>4850</v>
      </c>
      <c r="E2058" s="22" t="n">
        <v>38.3</v>
      </c>
      <c r="F2058" s="22" t="s">
        <v>175</v>
      </c>
    </row>
    <row r="2059" customFormat="false" ht="15" hidden="false" customHeight="false" outlineLevel="0" collapsed="false">
      <c r="A2059" s="22" t="s">
        <v>4851</v>
      </c>
      <c r="B2059" s="22" t="s">
        <v>4852</v>
      </c>
      <c r="C2059" s="22" t="s">
        <v>162</v>
      </c>
      <c r="D2059" s="22" t="s">
        <v>1750</v>
      </c>
      <c r="E2059" s="22" t="n">
        <v>59.6</v>
      </c>
      <c r="F2059" s="22" t="s">
        <v>175</v>
      </c>
    </row>
    <row r="2060" customFormat="false" ht="15" hidden="false" customHeight="false" outlineLevel="0" collapsed="false">
      <c r="A2060" s="22" t="s">
        <v>4853</v>
      </c>
      <c r="B2060" s="22" t="s">
        <v>4854</v>
      </c>
      <c r="C2060" s="22" t="s">
        <v>157</v>
      </c>
      <c r="D2060" s="22" t="s">
        <v>899</v>
      </c>
      <c r="E2060" s="22" t="n">
        <v>48.2</v>
      </c>
      <c r="F2060" s="22" t="s">
        <v>164</v>
      </c>
    </row>
    <row r="2061" customFormat="false" ht="15" hidden="false" customHeight="false" outlineLevel="0" collapsed="false">
      <c r="A2061" s="22" t="s">
        <v>4855</v>
      </c>
      <c r="B2061" s="22" t="s">
        <v>4856</v>
      </c>
      <c r="C2061" s="22" t="s">
        <v>162</v>
      </c>
      <c r="D2061" s="22" t="s">
        <v>1074</v>
      </c>
      <c r="E2061" s="22" t="n">
        <v>27.6</v>
      </c>
      <c r="F2061" s="22" t="s">
        <v>198</v>
      </c>
    </row>
    <row r="2062" customFormat="false" ht="15" hidden="false" customHeight="false" outlineLevel="0" collapsed="false">
      <c r="A2062" s="22" t="s">
        <v>4857</v>
      </c>
      <c r="B2062" s="22" t="s">
        <v>4858</v>
      </c>
      <c r="C2062" s="22" t="s">
        <v>162</v>
      </c>
      <c r="D2062" s="22" t="s">
        <v>588</v>
      </c>
      <c r="E2062" s="22" t="n">
        <v>43.3</v>
      </c>
      <c r="F2062" s="22" t="s">
        <v>175</v>
      </c>
    </row>
    <row r="2063" customFormat="false" ht="15" hidden="false" customHeight="false" outlineLevel="0" collapsed="false">
      <c r="A2063" s="22" t="s">
        <v>4859</v>
      </c>
      <c r="B2063" s="22" t="s">
        <v>4860</v>
      </c>
      <c r="C2063" s="22" t="s">
        <v>162</v>
      </c>
      <c r="D2063" s="22" t="s">
        <v>2730</v>
      </c>
      <c r="E2063" s="22" t="n">
        <v>47</v>
      </c>
      <c r="F2063" s="22" t="s">
        <v>198</v>
      </c>
    </row>
    <row r="2064" customFormat="false" ht="15" hidden="false" customHeight="false" outlineLevel="0" collapsed="false">
      <c r="A2064" s="22" t="s">
        <v>4861</v>
      </c>
      <c r="B2064" s="22" t="s">
        <v>4862</v>
      </c>
      <c r="C2064" s="22" t="s">
        <v>162</v>
      </c>
      <c r="D2064" s="22" t="s">
        <v>2836</v>
      </c>
      <c r="E2064" s="22" t="n">
        <v>31.6</v>
      </c>
      <c r="F2064" s="22" t="s">
        <v>175</v>
      </c>
    </row>
    <row r="2065" customFormat="false" ht="15" hidden="false" customHeight="false" outlineLevel="0" collapsed="false">
      <c r="A2065" s="22" t="s">
        <v>4863</v>
      </c>
      <c r="B2065" s="22" t="s">
        <v>4864</v>
      </c>
      <c r="C2065" s="22" t="s">
        <v>162</v>
      </c>
      <c r="D2065" s="22" t="s">
        <v>1291</v>
      </c>
      <c r="E2065" s="22" t="n">
        <v>40.3</v>
      </c>
      <c r="F2065" s="22" t="s">
        <v>198</v>
      </c>
    </row>
    <row r="2066" customFormat="false" ht="15" hidden="false" customHeight="false" outlineLevel="0" collapsed="false">
      <c r="A2066" s="22" t="s">
        <v>4865</v>
      </c>
      <c r="B2066" s="22" t="s">
        <v>4866</v>
      </c>
      <c r="C2066" s="22" t="s">
        <v>162</v>
      </c>
      <c r="D2066" s="22" t="s">
        <v>1265</v>
      </c>
      <c r="E2066" s="22" t="n">
        <v>58.2</v>
      </c>
      <c r="F2066" s="22" t="s">
        <v>198</v>
      </c>
    </row>
    <row r="2067" customFormat="false" ht="15" hidden="false" customHeight="false" outlineLevel="0" collapsed="false">
      <c r="A2067" s="22" t="s">
        <v>4867</v>
      </c>
      <c r="B2067" s="22" t="s">
        <v>4868</v>
      </c>
      <c r="C2067" s="22" t="s">
        <v>162</v>
      </c>
      <c r="D2067" s="22" t="s">
        <v>796</v>
      </c>
      <c r="E2067" s="22" t="n">
        <v>53.8</v>
      </c>
      <c r="F2067" s="22" t="s">
        <v>175</v>
      </c>
    </row>
    <row r="2068" customFormat="false" ht="15" hidden="false" customHeight="false" outlineLevel="0" collapsed="false">
      <c r="A2068" s="22" t="s">
        <v>4869</v>
      </c>
      <c r="B2068" s="22" t="s">
        <v>4870</v>
      </c>
      <c r="C2068" s="22" t="s">
        <v>162</v>
      </c>
      <c r="D2068" s="22" t="s">
        <v>717</v>
      </c>
      <c r="E2068" s="22" t="n">
        <v>30.6</v>
      </c>
      <c r="F2068" s="22" t="s">
        <v>164</v>
      </c>
    </row>
    <row r="2069" customFormat="false" ht="15" hidden="false" customHeight="false" outlineLevel="0" collapsed="false">
      <c r="A2069" s="22" t="s">
        <v>4871</v>
      </c>
      <c r="B2069" s="22" t="s">
        <v>4872</v>
      </c>
      <c r="C2069" s="22" t="s">
        <v>162</v>
      </c>
      <c r="D2069" s="22" t="s">
        <v>4873</v>
      </c>
      <c r="E2069" s="22" t="n">
        <v>58.9</v>
      </c>
      <c r="F2069" s="22" t="s">
        <v>175</v>
      </c>
    </row>
    <row r="2070" customFormat="false" ht="15" hidden="false" customHeight="false" outlineLevel="0" collapsed="false">
      <c r="A2070" s="22" t="s">
        <v>4874</v>
      </c>
      <c r="B2070" s="22" t="s">
        <v>4875</v>
      </c>
      <c r="C2070" s="22" t="s">
        <v>162</v>
      </c>
      <c r="D2070" s="22" t="s">
        <v>1736</v>
      </c>
      <c r="E2070" s="22" t="n">
        <v>34.1</v>
      </c>
      <c r="F2070" s="22" t="s">
        <v>175</v>
      </c>
    </row>
    <row r="2071" customFormat="false" ht="15" hidden="false" customHeight="false" outlineLevel="0" collapsed="false">
      <c r="A2071" s="22" t="s">
        <v>4876</v>
      </c>
      <c r="B2071" s="22" t="s">
        <v>4877</v>
      </c>
      <c r="C2071" s="22" t="s">
        <v>162</v>
      </c>
      <c r="D2071" s="22" t="s">
        <v>1882</v>
      </c>
      <c r="E2071" s="22" t="n">
        <v>46.9</v>
      </c>
      <c r="F2071" s="22" t="s">
        <v>215</v>
      </c>
    </row>
    <row r="2072" customFormat="false" ht="15" hidden="false" customHeight="false" outlineLevel="0" collapsed="false">
      <c r="A2072" s="22" t="s">
        <v>4878</v>
      </c>
      <c r="B2072" s="22" t="s">
        <v>4879</v>
      </c>
      <c r="C2072" s="22" t="s">
        <v>162</v>
      </c>
      <c r="D2072" s="22" t="s">
        <v>796</v>
      </c>
      <c r="E2072" s="22" t="n">
        <v>21</v>
      </c>
      <c r="F2072" s="22" t="s">
        <v>198</v>
      </c>
    </row>
    <row r="2073" customFormat="false" ht="15" hidden="false" customHeight="false" outlineLevel="0" collapsed="false">
      <c r="A2073" s="22" t="s">
        <v>4880</v>
      </c>
      <c r="B2073" s="22" t="s">
        <v>4881</v>
      </c>
      <c r="C2073" s="22" t="s">
        <v>162</v>
      </c>
      <c r="D2073" s="22" t="s">
        <v>290</v>
      </c>
      <c r="E2073" s="22" t="n">
        <v>52.3</v>
      </c>
      <c r="F2073" s="22" t="s">
        <v>164</v>
      </c>
    </row>
    <row r="2074" customFormat="false" ht="15" hidden="false" customHeight="false" outlineLevel="0" collapsed="false">
      <c r="A2074" s="22" t="s">
        <v>4882</v>
      </c>
      <c r="B2074" s="22" t="s">
        <v>4883</v>
      </c>
      <c r="C2074" s="22" t="s">
        <v>162</v>
      </c>
      <c r="D2074" s="22" t="s">
        <v>1929</v>
      </c>
      <c r="E2074" s="22" t="n">
        <v>49.8</v>
      </c>
      <c r="F2074" s="22" t="s">
        <v>164</v>
      </c>
    </row>
    <row r="2075" customFormat="false" ht="15" hidden="false" customHeight="false" outlineLevel="0" collapsed="false">
      <c r="A2075" s="22" t="s">
        <v>4884</v>
      </c>
      <c r="B2075" s="22" t="s">
        <v>4885</v>
      </c>
      <c r="C2075" s="22" t="s">
        <v>162</v>
      </c>
      <c r="D2075" s="22" t="s">
        <v>543</v>
      </c>
      <c r="E2075" s="22" t="n">
        <v>31.9</v>
      </c>
      <c r="F2075" s="22" t="s">
        <v>198</v>
      </c>
    </row>
    <row r="2076" customFormat="false" ht="15" hidden="false" customHeight="false" outlineLevel="0" collapsed="false">
      <c r="A2076" s="22" t="s">
        <v>4886</v>
      </c>
      <c r="B2076" s="22" t="s">
        <v>4887</v>
      </c>
      <c r="C2076" s="22" t="s">
        <v>162</v>
      </c>
      <c r="D2076" s="22" t="s">
        <v>1040</v>
      </c>
      <c r="E2076" s="22" t="n">
        <v>52.3</v>
      </c>
      <c r="F2076" s="22" t="s">
        <v>164</v>
      </c>
    </row>
    <row r="2077" customFormat="false" ht="15" hidden="false" customHeight="false" outlineLevel="0" collapsed="false">
      <c r="A2077" s="22" t="s">
        <v>4888</v>
      </c>
      <c r="B2077" s="22" t="s">
        <v>4889</v>
      </c>
      <c r="C2077" s="22" t="s">
        <v>162</v>
      </c>
      <c r="D2077" s="22" t="s">
        <v>2972</v>
      </c>
      <c r="E2077" s="22" t="n">
        <v>48.2</v>
      </c>
      <c r="F2077" s="22" t="s">
        <v>175</v>
      </c>
    </row>
    <row r="2078" customFormat="false" ht="15" hidden="false" customHeight="false" outlineLevel="0" collapsed="false">
      <c r="A2078" s="22" t="s">
        <v>4890</v>
      </c>
      <c r="B2078" s="22" t="s">
        <v>2231</v>
      </c>
      <c r="C2078" s="22" t="s">
        <v>162</v>
      </c>
      <c r="D2078" s="22" t="s">
        <v>525</v>
      </c>
      <c r="E2078" s="22" t="n">
        <v>48.1</v>
      </c>
      <c r="F2078" s="22" t="s">
        <v>164</v>
      </c>
    </row>
    <row r="2079" customFormat="false" ht="15" hidden="false" customHeight="false" outlineLevel="0" collapsed="false">
      <c r="A2079" s="22" t="s">
        <v>4891</v>
      </c>
      <c r="B2079" s="22" t="s">
        <v>4892</v>
      </c>
      <c r="C2079" s="22" t="s">
        <v>162</v>
      </c>
      <c r="D2079" s="22" t="s">
        <v>260</v>
      </c>
      <c r="E2079" s="22" t="n">
        <v>50</v>
      </c>
      <c r="F2079" s="22" t="s">
        <v>198</v>
      </c>
    </row>
    <row r="2080" customFormat="false" ht="15" hidden="false" customHeight="false" outlineLevel="0" collapsed="false">
      <c r="A2080" s="22" t="s">
        <v>4893</v>
      </c>
      <c r="B2080" s="22" t="s">
        <v>4894</v>
      </c>
      <c r="C2080" s="22" t="s">
        <v>162</v>
      </c>
      <c r="D2080" s="22" t="s">
        <v>967</v>
      </c>
      <c r="E2080" s="22" t="n">
        <v>41.4</v>
      </c>
      <c r="F2080" s="22" t="s">
        <v>175</v>
      </c>
    </row>
    <row r="2081" customFormat="false" ht="15" hidden="false" customHeight="false" outlineLevel="0" collapsed="false">
      <c r="A2081" s="22" t="s">
        <v>4895</v>
      </c>
      <c r="B2081" s="22" t="s">
        <v>4896</v>
      </c>
      <c r="C2081" s="22" t="s">
        <v>162</v>
      </c>
      <c r="D2081" s="22" t="s">
        <v>1538</v>
      </c>
      <c r="E2081" s="22" t="n">
        <v>22.6</v>
      </c>
      <c r="F2081" s="22" t="s">
        <v>171</v>
      </c>
    </row>
    <row r="2082" customFormat="false" ht="15" hidden="false" customHeight="false" outlineLevel="0" collapsed="false">
      <c r="A2082" s="22" t="s">
        <v>4897</v>
      </c>
      <c r="B2082" s="22" t="s">
        <v>4898</v>
      </c>
      <c r="C2082" s="22" t="s">
        <v>162</v>
      </c>
      <c r="D2082" s="22" t="s">
        <v>2222</v>
      </c>
      <c r="E2082" s="22" t="n">
        <v>56</v>
      </c>
      <c r="F2082" s="22" t="s">
        <v>164</v>
      </c>
    </row>
    <row r="2083" customFormat="false" ht="15" hidden="false" customHeight="false" outlineLevel="0" collapsed="false">
      <c r="A2083" s="22" t="s">
        <v>4899</v>
      </c>
      <c r="B2083" s="22" t="s">
        <v>4900</v>
      </c>
      <c r="C2083" s="22" t="s">
        <v>566</v>
      </c>
      <c r="D2083" s="22" t="s">
        <v>2744</v>
      </c>
      <c r="E2083" s="22" t="n">
        <v>29.6</v>
      </c>
      <c r="F2083" s="22" t="s">
        <v>164</v>
      </c>
    </row>
    <row r="2084" customFormat="false" ht="15" hidden="false" customHeight="false" outlineLevel="0" collapsed="false">
      <c r="A2084" s="22" t="s">
        <v>4901</v>
      </c>
      <c r="B2084" s="22" t="s">
        <v>3258</v>
      </c>
      <c r="C2084" s="22" t="s">
        <v>162</v>
      </c>
      <c r="D2084" s="22" t="s">
        <v>1922</v>
      </c>
      <c r="E2084" s="22" t="n">
        <v>33.1</v>
      </c>
      <c r="F2084" s="22" t="s">
        <v>171</v>
      </c>
    </row>
    <row r="2085" customFormat="false" ht="15" hidden="false" customHeight="false" outlineLevel="0" collapsed="false">
      <c r="A2085" s="22" t="s">
        <v>4902</v>
      </c>
      <c r="B2085" s="22" t="s">
        <v>3428</v>
      </c>
      <c r="C2085" s="22" t="s">
        <v>162</v>
      </c>
      <c r="D2085" s="22" t="s">
        <v>3632</v>
      </c>
      <c r="E2085" s="22" t="n">
        <v>58.9</v>
      </c>
      <c r="F2085" s="22" t="s">
        <v>164</v>
      </c>
    </row>
    <row r="2086" customFormat="false" ht="15" hidden="false" customHeight="false" outlineLevel="0" collapsed="false">
      <c r="A2086" s="22" t="s">
        <v>4903</v>
      </c>
      <c r="B2086" s="22" t="s">
        <v>4904</v>
      </c>
      <c r="C2086" s="22" t="s">
        <v>162</v>
      </c>
      <c r="D2086" s="22" t="s">
        <v>410</v>
      </c>
      <c r="E2086" s="22" t="n">
        <v>29</v>
      </c>
      <c r="F2086" s="22" t="s">
        <v>198</v>
      </c>
    </row>
    <row r="2087" customFormat="false" ht="15" hidden="false" customHeight="false" outlineLevel="0" collapsed="false">
      <c r="A2087" s="22" t="s">
        <v>4905</v>
      </c>
      <c r="B2087" s="22" t="s">
        <v>4906</v>
      </c>
      <c r="C2087" s="22" t="s">
        <v>162</v>
      </c>
      <c r="D2087" s="22" t="s">
        <v>582</v>
      </c>
      <c r="E2087" s="22" t="n">
        <v>58.2</v>
      </c>
      <c r="F2087" s="22" t="s">
        <v>171</v>
      </c>
    </row>
    <row r="2088" customFormat="false" ht="15" hidden="false" customHeight="false" outlineLevel="0" collapsed="false">
      <c r="A2088" s="22" t="s">
        <v>4907</v>
      </c>
      <c r="B2088" s="22" t="s">
        <v>4908</v>
      </c>
      <c r="C2088" s="22" t="s">
        <v>162</v>
      </c>
      <c r="D2088" s="22" t="s">
        <v>930</v>
      </c>
      <c r="E2088" s="22" t="n">
        <v>18.8</v>
      </c>
      <c r="F2088" s="22" t="s">
        <v>159</v>
      </c>
    </row>
    <row r="2089" customFormat="false" ht="15" hidden="false" customHeight="false" outlineLevel="0" collapsed="false">
      <c r="A2089" s="22" t="s">
        <v>4909</v>
      </c>
      <c r="B2089" s="22" t="s">
        <v>4910</v>
      </c>
      <c r="C2089" s="22" t="s">
        <v>162</v>
      </c>
      <c r="D2089" s="22" t="s">
        <v>4911</v>
      </c>
      <c r="E2089" s="22" t="n">
        <v>52.8</v>
      </c>
      <c r="F2089" s="22" t="s">
        <v>159</v>
      </c>
    </row>
    <row r="2090" customFormat="false" ht="15" hidden="false" customHeight="false" outlineLevel="0" collapsed="false">
      <c r="A2090" s="22" t="s">
        <v>4912</v>
      </c>
      <c r="B2090" s="22" t="s">
        <v>4913</v>
      </c>
      <c r="C2090" s="22" t="s">
        <v>162</v>
      </c>
      <c r="D2090" s="22" t="s">
        <v>2147</v>
      </c>
      <c r="E2090" s="22" t="n">
        <v>25.9</v>
      </c>
      <c r="F2090" s="22" t="s">
        <v>164</v>
      </c>
    </row>
    <row r="2091" customFormat="false" ht="15" hidden="false" customHeight="false" outlineLevel="0" collapsed="false">
      <c r="A2091" s="22" t="s">
        <v>4914</v>
      </c>
      <c r="B2091" s="22" t="s">
        <v>4915</v>
      </c>
      <c r="C2091" s="22" t="s">
        <v>162</v>
      </c>
      <c r="D2091" s="22" t="s">
        <v>1339</v>
      </c>
      <c r="E2091" s="22" t="n">
        <v>47.5</v>
      </c>
      <c r="F2091" s="22" t="s">
        <v>164</v>
      </c>
    </row>
    <row r="2092" customFormat="false" ht="15" hidden="false" customHeight="false" outlineLevel="0" collapsed="false">
      <c r="A2092" s="22" t="s">
        <v>4916</v>
      </c>
      <c r="B2092" s="22" t="s">
        <v>4917</v>
      </c>
      <c r="C2092" s="22" t="s">
        <v>162</v>
      </c>
      <c r="D2092" s="22" t="s">
        <v>204</v>
      </c>
      <c r="E2092" s="22" t="n">
        <v>61.6</v>
      </c>
      <c r="F2092" s="22" t="s">
        <v>198</v>
      </c>
    </row>
    <row r="2093" customFormat="false" ht="15" hidden="false" customHeight="false" outlineLevel="0" collapsed="false">
      <c r="A2093" s="22" t="s">
        <v>4918</v>
      </c>
      <c r="B2093" s="22" t="s">
        <v>4919</v>
      </c>
      <c r="C2093" s="22" t="s">
        <v>162</v>
      </c>
      <c r="D2093" s="22" t="s">
        <v>1413</v>
      </c>
      <c r="E2093" s="22" t="n">
        <v>38.8</v>
      </c>
      <c r="F2093" s="22" t="s">
        <v>164</v>
      </c>
    </row>
    <row r="2094" customFormat="false" ht="15" hidden="false" customHeight="false" outlineLevel="0" collapsed="false">
      <c r="A2094" s="22" t="s">
        <v>4920</v>
      </c>
      <c r="B2094" s="22" t="s">
        <v>4921</v>
      </c>
      <c r="C2094" s="22" t="s">
        <v>207</v>
      </c>
      <c r="D2094" s="22" t="s">
        <v>1959</v>
      </c>
      <c r="E2094" s="22" t="n">
        <v>54.9</v>
      </c>
      <c r="F2094" s="22" t="s">
        <v>164</v>
      </c>
    </row>
    <row r="2095" customFormat="false" ht="15" hidden="false" customHeight="false" outlineLevel="0" collapsed="false">
      <c r="A2095" s="22" t="s">
        <v>4922</v>
      </c>
      <c r="B2095" s="22" t="s">
        <v>4923</v>
      </c>
      <c r="C2095" s="22" t="s">
        <v>162</v>
      </c>
      <c r="D2095" s="22" t="s">
        <v>986</v>
      </c>
      <c r="E2095" s="22" t="n">
        <v>26.2</v>
      </c>
      <c r="F2095" s="22" t="s">
        <v>171</v>
      </c>
    </row>
    <row r="2096" customFormat="false" ht="15" hidden="false" customHeight="false" outlineLevel="0" collapsed="false">
      <c r="A2096" s="22" t="s">
        <v>4924</v>
      </c>
      <c r="B2096" s="22" t="s">
        <v>4925</v>
      </c>
      <c r="C2096" s="22" t="s">
        <v>162</v>
      </c>
      <c r="D2096" s="22" t="s">
        <v>269</v>
      </c>
      <c r="E2096" s="22" t="n">
        <v>46.1</v>
      </c>
      <c r="F2096" s="22" t="s">
        <v>198</v>
      </c>
    </row>
    <row r="2097" customFormat="false" ht="15" hidden="false" customHeight="false" outlineLevel="0" collapsed="false">
      <c r="A2097" s="22" t="s">
        <v>4926</v>
      </c>
      <c r="B2097" s="22" t="s">
        <v>4927</v>
      </c>
      <c r="C2097" s="22" t="s">
        <v>162</v>
      </c>
      <c r="D2097" s="22" t="s">
        <v>2910</v>
      </c>
      <c r="E2097" s="22" t="n">
        <v>53.9</v>
      </c>
      <c r="F2097" s="22" t="s">
        <v>198</v>
      </c>
    </row>
    <row r="2098" customFormat="false" ht="15" hidden="false" customHeight="false" outlineLevel="0" collapsed="false">
      <c r="A2098" s="22" t="s">
        <v>4928</v>
      </c>
      <c r="B2098" s="22" t="s">
        <v>4929</v>
      </c>
      <c r="C2098" s="22" t="s">
        <v>162</v>
      </c>
      <c r="D2098" s="22" t="s">
        <v>191</v>
      </c>
      <c r="E2098" s="22" t="n">
        <v>35.3</v>
      </c>
      <c r="F2098" s="22" t="s">
        <v>215</v>
      </c>
    </row>
    <row r="2099" customFormat="false" ht="15" hidden="false" customHeight="false" outlineLevel="0" collapsed="false">
      <c r="A2099" s="22" t="s">
        <v>4930</v>
      </c>
      <c r="B2099" s="22" t="s">
        <v>4931</v>
      </c>
      <c r="C2099" s="22" t="s">
        <v>162</v>
      </c>
      <c r="D2099" s="22" t="s">
        <v>2386</v>
      </c>
      <c r="E2099" s="22" t="n">
        <v>43.6</v>
      </c>
      <c r="F2099" s="22" t="s">
        <v>499</v>
      </c>
    </row>
    <row r="2100" customFormat="false" ht="15" hidden="false" customHeight="false" outlineLevel="0" collapsed="false">
      <c r="A2100" s="22" t="s">
        <v>4932</v>
      </c>
      <c r="B2100" s="22" t="s">
        <v>4933</v>
      </c>
      <c r="C2100" s="22" t="s">
        <v>162</v>
      </c>
      <c r="D2100" s="22" t="s">
        <v>1668</v>
      </c>
      <c r="E2100" s="22" t="n">
        <v>53</v>
      </c>
      <c r="F2100" s="22" t="s">
        <v>175</v>
      </c>
    </row>
    <row r="2101" customFormat="false" ht="15" hidden="false" customHeight="false" outlineLevel="0" collapsed="false">
      <c r="A2101" s="22" t="s">
        <v>4934</v>
      </c>
      <c r="B2101" s="22" t="s">
        <v>4935</v>
      </c>
      <c r="C2101" s="22" t="s">
        <v>162</v>
      </c>
      <c r="D2101" s="22" t="s">
        <v>778</v>
      </c>
      <c r="E2101" s="22" t="n">
        <v>52.1</v>
      </c>
      <c r="F2101" s="22" t="s">
        <v>175</v>
      </c>
    </row>
    <row r="2102" customFormat="false" ht="15" hidden="false" customHeight="false" outlineLevel="0" collapsed="false">
      <c r="A2102" s="22" t="s">
        <v>4936</v>
      </c>
      <c r="B2102" s="22" t="s">
        <v>4937</v>
      </c>
      <c r="C2102" s="22" t="s">
        <v>162</v>
      </c>
      <c r="D2102" s="22" t="s">
        <v>1489</v>
      </c>
      <c r="E2102" s="22" t="n">
        <v>24.5</v>
      </c>
      <c r="F2102" s="22" t="s">
        <v>164</v>
      </c>
    </row>
    <row r="2103" customFormat="false" ht="15" hidden="false" customHeight="false" outlineLevel="0" collapsed="false">
      <c r="A2103" s="22" t="s">
        <v>4938</v>
      </c>
      <c r="B2103" s="22" t="s">
        <v>4939</v>
      </c>
      <c r="C2103" s="22" t="s">
        <v>162</v>
      </c>
      <c r="D2103" s="22" t="s">
        <v>1637</v>
      </c>
      <c r="E2103" s="22" t="n">
        <v>35.8</v>
      </c>
      <c r="F2103" s="22" t="s">
        <v>198</v>
      </c>
    </row>
    <row r="2104" customFormat="false" ht="15" hidden="false" customHeight="false" outlineLevel="0" collapsed="false">
      <c r="A2104" s="22" t="s">
        <v>4940</v>
      </c>
      <c r="B2104" s="22" t="s">
        <v>4941</v>
      </c>
      <c r="C2104" s="22" t="s">
        <v>162</v>
      </c>
      <c r="D2104" s="22" t="s">
        <v>1896</v>
      </c>
      <c r="E2104" s="22" t="n">
        <v>48.8</v>
      </c>
      <c r="F2104" s="22" t="s">
        <v>215</v>
      </c>
    </row>
    <row r="2105" customFormat="false" ht="15" hidden="false" customHeight="false" outlineLevel="0" collapsed="false">
      <c r="A2105" s="22" t="s">
        <v>4942</v>
      </c>
      <c r="B2105" s="22" t="s">
        <v>4943</v>
      </c>
      <c r="C2105" s="22" t="s">
        <v>162</v>
      </c>
      <c r="D2105" s="22" t="s">
        <v>2081</v>
      </c>
      <c r="E2105" s="22" t="n">
        <v>34.6</v>
      </c>
      <c r="F2105" s="22" t="s">
        <v>499</v>
      </c>
    </row>
    <row r="2106" customFormat="false" ht="15" hidden="false" customHeight="false" outlineLevel="0" collapsed="false">
      <c r="A2106" s="22" t="s">
        <v>4944</v>
      </c>
      <c r="B2106" s="22" t="s">
        <v>4945</v>
      </c>
      <c r="C2106" s="22" t="s">
        <v>162</v>
      </c>
      <c r="D2106" s="22" t="s">
        <v>528</v>
      </c>
      <c r="E2106" s="22" t="n">
        <v>48.2</v>
      </c>
      <c r="F2106" s="22" t="s">
        <v>171</v>
      </c>
    </row>
    <row r="2107" customFormat="false" ht="15" hidden="false" customHeight="false" outlineLevel="0" collapsed="false">
      <c r="A2107" s="22" t="s">
        <v>4946</v>
      </c>
      <c r="B2107" s="22" t="s">
        <v>4947</v>
      </c>
      <c r="C2107" s="22" t="s">
        <v>162</v>
      </c>
      <c r="D2107" s="22" t="s">
        <v>3031</v>
      </c>
      <c r="E2107" s="22" t="n">
        <v>45.1</v>
      </c>
      <c r="F2107" s="22" t="s">
        <v>215</v>
      </c>
    </row>
    <row r="2108" customFormat="false" ht="15" hidden="false" customHeight="false" outlineLevel="0" collapsed="false">
      <c r="A2108" s="22" t="s">
        <v>4948</v>
      </c>
      <c r="B2108" s="22" t="s">
        <v>4949</v>
      </c>
      <c r="C2108" s="22" t="s">
        <v>162</v>
      </c>
      <c r="D2108" s="22" t="s">
        <v>2653</v>
      </c>
      <c r="E2108" s="22" t="n">
        <v>26.9</v>
      </c>
      <c r="F2108" s="22" t="s">
        <v>171</v>
      </c>
    </row>
    <row r="2109" customFormat="false" ht="15" hidden="false" customHeight="false" outlineLevel="0" collapsed="false">
      <c r="A2109" s="22" t="s">
        <v>4950</v>
      </c>
      <c r="B2109" s="22" t="s">
        <v>4951</v>
      </c>
      <c r="C2109" s="22" t="s">
        <v>162</v>
      </c>
      <c r="D2109" s="22" t="s">
        <v>852</v>
      </c>
      <c r="E2109" s="22" t="n">
        <v>58.4</v>
      </c>
      <c r="F2109" s="22" t="s">
        <v>171</v>
      </c>
    </row>
    <row r="2110" customFormat="false" ht="15" hidden="false" customHeight="false" outlineLevel="0" collapsed="false">
      <c r="A2110" s="22" t="s">
        <v>4952</v>
      </c>
      <c r="B2110" s="22" t="s">
        <v>2154</v>
      </c>
      <c r="C2110" s="22" t="s">
        <v>207</v>
      </c>
      <c r="D2110" s="22" t="s">
        <v>1187</v>
      </c>
      <c r="E2110" s="22" t="n">
        <v>35.8</v>
      </c>
      <c r="F2110" s="22" t="s">
        <v>188</v>
      </c>
    </row>
    <row r="2111" customFormat="false" ht="15" hidden="false" customHeight="false" outlineLevel="0" collapsed="false">
      <c r="A2111" s="22" t="s">
        <v>4953</v>
      </c>
      <c r="B2111" s="22" t="s">
        <v>4954</v>
      </c>
      <c r="C2111" s="22" t="s">
        <v>162</v>
      </c>
      <c r="D2111" s="22" t="s">
        <v>1675</v>
      </c>
      <c r="E2111" s="22" t="n">
        <v>28.6</v>
      </c>
      <c r="F2111" s="22" t="s">
        <v>164</v>
      </c>
    </row>
    <row r="2112" customFormat="false" ht="15" hidden="false" customHeight="false" outlineLevel="0" collapsed="false">
      <c r="A2112" s="22" t="s">
        <v>4955</v>
      </c>
      <c r="B2112" s="22" t="s">
        <v>4956</v>
      </c>
      <c r="C2112" s="22" t="s">
        <v>157</v>
      </c>
      <c r="D2112" s="22" t="s">
        <v>1794</v>
      </c>
      <c r="E2112" s="22" t="n">
        <v>36.4</v>
      </c>
      <c r="F2112" s="22" t="s">
        <v>159</v>
      </c>
    </row>
    <row r="2113" customFormat="false" ht="15" hidden="false" customHeight="false" outlineLevel="0" collapsed="false">
      <c r="A2113" s="22" t="s">
        <v>4957</v>
      </c>
      <c r="B2113" s="22" t="s">
        <v>4958</v>
      </c>
      <c r="C2113" s="22" t="s">
        <v>162</v>
      </c>
      <c r="D2113" s="22" t="s">
        <v>4959</v>
      </c>
      <c r="E2113" s="22" t="n">
        <v>56.1</v>
      </c>
      <c r="F2113" s="22" t="s">
        <v>164</v>
      </c>
    </row>
    <row r="2114" customFormat="false" ht="15" hidden="false" customHeight="false" outlineLevel="0" collapsed="false">
      <c r="A2114" s="22" t="s">
        <v>4960</v>
      </c>
      <c r="B2114" s="22" t="s">
        <v>4961</v>
      </c>
      <c r="C2114" s="22" t="s">
        <v>162</v>
      </c>
      <c r="D2114" s="22" t="s">
        <v>2238</v>
      </c>
      <c r="E2114" s="22" t="n">
        <v>55.4</v>
      </c>
      <c r="F2114" s="22" t="s">
        <v>164</v>
      </c>
    </row>
    <row r="2115" customFormat="false" ht="15" hidden="false" customHeight="false" outlineLevel="0" collapsed="false">
      <c r="A2115" s="22" t="s">
        <v>4962</v>
      </c>
      <c r="B2115" s="22" t="s">
        <v>4963</v>
      </c>
      <c r="C2115" s="22" t="s">
        <v>162</v>
      </c>
      <c r="D2115" s="22" t="s">
        <v>799</v>
      </c>
      <c r="E2115" s="22" t="n">
        <v>48.8</v>
      </c>
      <c r="F2115" s="22" t="s">
        <v>164</v>
      </c>
    </row>
    <row r="2116" customFormat="false" ht="15" hidden="false" customHeight="false" outlineLevel="0" collapsed="false">
      <c r="A2116" s="22" t="s">
        <v>4964</v>
      </c>
      <c r="B2116" s="22" t="s">
        <v>4965</v>
      </c>
      <c r="C2116" s="22" t="s">
        <v>162</v>
      </c>
      <c r="D2116" s="22" t="s">
        <v>1743</v>
      </c>
      <c r="E2116" s="22" t="n">
        <v>23.9</v>
      </c>
      <c r="F2116" s="22" t="s">
        <v>175</v>
      </c>
    </row>
    <row r="2117" customFormat="false" ht="15" hidden="false" customHeight="false" outlineLevel="0" collapsed="false">
      <c r="A2117" s="22" t="s">
        <v>4966</v>
      </c>
      <c r="B2117" s="22" t="s">
        <v>4967</v>
      </c>
      <c r="C2117" s="22" t="s">
        <v>162</v>
      </c>
      <c r="D2117" s="22" t="s">
        <v>275</v>
      </c>
      <c r="E2117" s="22" t="n">
        <v>48.6</v>
      </c>
      <c r="F2117" s="22" t="s">
        <v>159</v>
      </c>
    </row>
    <row r="2118" customFormat="false" ht="15" hidden="false" customHeight="false" outlineLevel="0" collapsed="false">
      <c r="A2118" s="22" t="s">
        <v>4968</v>
      </c>
      <c r="B2118" s="22" t="s">
        <v>4969</v>
      </c>
      <c r="C2118" s="22" t="s">
        <v>162</v>
      </c>
      <c r="D2118" s="22" t="s">
        <v>1066</v>
      </c>
      <c r="E2118" s="22" t="n">
        <v>43.5</v>
      </c>
      <c r="F2118" s="22" t="s">
        <v>175</v>
      </c>
    </row>
    <row r="2119" customFormat="false" ht="15" hidden="false" customHeight="false" outlineLevel="0" collapsed="false">
      <c r="A2119" s="22" t="s">
        <v>4970</v>
      </c>
      <c r="B2119" s="22" t="s">
        <v>4971</v>
      </c>
      <c r="C2119" s="22" t="s">
        <v>162</v>
      </c>
      <c r="D2119" s="22" t="s">
        <v>2928</v>
      </c>
      <c r="E2119" s="22" t="n">
        <v>23.2</v>
      </c>
      <c r="F2119" s="22" t="s">
        <v>215</v>
      </c>
    </row>
    <row r="2120" customFormat="false" ht="15" hidden="false" customHeight="false" outlineLevel="0" collapsed="false">
      <c r="A2120" s="22" t="s">
        <v>4972</v>
      </c>
      <c r="B2120" s="22" t="s">
        <v>4973</v>
      </c>
      <c r="C2120" s="22" t="s">
        <v>162</v>
      </c>
      <c r="D2120" s="22" t="s">
        <v>602</v>
      </c>
      <c r="E2120" s="22" t="n">
        <v>25.5</v>
      </c>
      <c r="F2120" s="22" t="s">
        <v>159</v>
      </c>
    </row>
    <row r="2121" customFormat="false" ht="15" hidden="false" customHeight="false" outlineLevel="0" collapsed="false">
      <c r="A2121" s="22" t="s">
        <v>4974</v>
      </c>
      <c r="B2121" s="22" t="s">
        <v>4975</v>
      </c>
      <c r="C2121" s="22" t="s">
        <v>207</v>
      </c>
      <c r="D2121" s="22" t="s">
        <v>570</v>
      </c>
      <c r="E2121" s="22" t="n">
        <v>18.4</v>
      </c>
      <c r="F2121" s="22" t="s">
        <v>159</v>
      </c>
    </row>
    <row r="2122" customFormat="false" ht="15" hidden="false" customHeight="false" outlineLevel="0" collapsed="false">
      <c r="A2122" s="22" t="s">
        <v>4976</v>
      </c>
      <c r="B2122" s="22" t="s">
        <v>4977</v>
      </c>
      <c r="C2122" s="22" t="s">
        <v>162</v>
      </c>
      <c r="D2122" s="22" t="s">
        <v>1034</v>
      </c>
      <c r="E2122" s="22" t="n">
        <v>60.4</v>
      </c>
      <c r="F2122" s="22" t="s">
        <v>159</v>
      </c>
    </row>
    <row r="2123" customFormat="false" ht="15" hidden="false" customHeight="false" outlineLevel="0" collapsed="false">
      <c r="A2123" s="22" t="s">
        <v>4978</v>
      </c>
      <c r="B2123" s="22" t="s">
        <v>4979</v>
      </c>
      <c r="C2123" s="22" t="s">
        <v>162</v>
      </c>
      <c r="D2123" s="22" t="s">
        <v>477</v>
      </c>
      <c r="E2123" s="22" t="n">
        <v>26.9</v>
      </c>
      <c r="F2123" s="22" t="s">
        <v>198</v>
      </c>
    </row>
    <row r="2124" customFormat="false" ht="15" hidden="false" customHeight="false" outlineLevel="0" collapsed="false">
      <c r="A2124" s="22" t="s">
        <v>4980</v>
      </c>
      <c r="B2124" s="22" t="s">
        <v>4981</v>
      </c>
      <c r="C2124" s="22" t="s">
        <v>157</v>
      </c>
      <c r="D2124" s="22" t="s">
        <v>3983</v>
      </c>
      <c r="E2124" s="22" t="n">
        <v>40</v>
      </c>
      <c r="F2124" s="22" t="s">
        <v>164</v>
      </c>
    </row>
    <row r="2125" customFormat="false" ht="15" hidden="false" customHeight="false" outlineLevel="0" collapsed="false">
      <c r="A2125" s="22" t="s">
        <v>4982</v>
      </c>
      <c r="B2125" s="22" t="s">
        <v>4983</v>
      </c>
      <c r="C2125" s="22" t="s">
        <v>157</v>
      </c>
      <c r="D2125" s="22" t="s">
        <v>3728</v>
      </c>
      <c r="E2125" s="22" t="n">
        <v>45</v>
      </c>
      <c r="F2125" s="22" t="s">
        <v>175</v>
      </c>
    </row>
    <row r="2126" customFormat="false" ht="15" hidden="false" customHeight="false" outlineLevel="0" collapsed="false">
      <c r="A2126" s="22" t="s">
        <v>4984</v>
      </c>
      <c r="B2126" s="22" t="s">
        <v>4985</v>
      </c>
      <c r="C2126" s="22" t="s">
        <v>207</v>
      </c>
      <c r="D2126" s="22" t="s">
        <v>1190</v>
      </c>
      <c r="E2126" s="22" t="n">
        <v>39.8</v>
      </c>
      <c r="F2126" s="22" t="s">
        <v>171</v>
      </c>
    </row>
    <row r="2127" customFormat="false" ht="15" hidden="false" customHeight="false" outlineLevel="0" collapsed="false">
      <c r="A2127" s="22" t="s">
        <v>4986</v>
      </c>
      <c r="B2127" s="22" t="s">
        <v>4987</v>
      </c>
      <c r="C2127" s="22" t="s">
        <v>207</v>
      </c>
      <c r="D2127" s="22" t="s">
        <v>4988</v>
      </c>
      <c r="E2127" s="22" t="n">
        <v>60.1</v>
      </c>
      <c r="F2127" s="22" t="s">
        <v>175</v>
      </c>
    </row>
    <row r="2128" customFormat="false" ht="15" hidden="false" customHeight="false" outlineLevel="0" collapsed="false">
      <c r="A2128" s="22" t="s">
        <v>4989</v>
      </c>
      <c r="B2128" s="22" t="s">
        <v>4990</v>
      </c>
      <c r="C2128" s="22" t="s">
        <v>162</v>
      </c>
      <c r="D2128" s="22" t="s">
        <v>687</v>
      </c>
      <c r="E2128" s="22" t="n">
        <v>32.8</v>
      </c>
      <c r="F2128" s="22" t="s">
        <v>159</v>
      </c>
    </row>
    <row r="2129" customFormat="false" ht="15" hidden="false" customHeight="false" outlineLevel="0" collapsed="false">
      <c r="A2129" s="22" t="s">
        <v>4991</v>
      </c>
      <c r="B2129" s="22" t="s">
        <v>4992</v>
      </c>
      <c r="C2129" s="22" t="s">
        <v>162</v>
      </c>
      <c r="D2129" s="22" t="s">
        <v>4993</v>
      </c>
      <c r="E2129" s="22" t="n">
        <v>30.8</v>
      </c>
      <c r="F2129" s="22" t="s">
        <v>164</v>
      </c>
    </row>
    <row r="2130" customFormat="false" ht="15" hidden="false" customHeight="false" outlineLevel="0" collapsed="false">
      <c r="A2130" s="22" t="s">
        <v>4994</v>
      </c>
      <c r="B2130" s="22" t="s">
        <v>4995</v>
      </c>
      <c r="C2130" s="22" t="s">
        <v>162</v>
      </c>
      <c r="D2130" s="22" t="s">
        <v>3566</v>
      </c>
      <c r="E2130" s="22" t="n">
        <v>49.4</v>
      </c>
      <c r="F2130" s="22" t="s">
        <v>164</v>
      </c>
    </row>
    <row r="2131" customFormat="false" ht="15" hidden="false" customHeight="false" outlineLevel="0" collapsed="false">
      <c r="A2131" s="22" t="s">
        <v>4996</v>
      </c>
      <c r="B2131" s="22" t="s">
        <v>4997</v>
      </c>
      <c r="C2131" s="22" t="s">
        <v>162</v>
      </c>
      <c r="D2131" s="22" t="s">
        <v>1077</v>
      </c>
      <c r="E2131" s="22" t="n">
        <v>24.5</v>
      </c>
      <c r="F2131" s="22" t="s">
        <v>175</v>
      </c>
    </row>
    <row r="2132" customFormat="false" ht="15" hidden="false" customHeight="false" outlineLevel="0" collapsed="false">
      <c r="A2132" s="22" t="s">
        <v>4998</v>
      </c>
      <c r="B2132" s="22" t="s">
        <v>4999</v>
      </c>
      <c r="C2132" s="22" t="s">
        <v>162</v>
      </c>
      <c r="D2132" s="22" t="s">
        <v>2865</v>
      </c>
      <c r="E2132" s="22" t="n">
        <v>30</v>
      </c>
      <c r="F2132" s="22" t="s">
        <v>198</v>
      </c>
    </row>
    <row r="2133" customFormat="false" ht="15" hidden="false" customHeight="false" outlineLevel="0" collapsed="false">
      <c r="A2133" s="22" t="s">
        <v>5000</v>
      </c>
      <c r="B2133" s="22" t="s">
        <v>5001</v>
      </c>
      <c r="C2133" s="22" t="s">
        <v>162</v>
      </c>
      <c r="D2133" s="22" t="s">
        <v>4213</v>
      </c>
      <c r="E2133" s="22" t="n">
        <v>56.2</v>
      </c>
      <c r="F2133" s="22" t="s">
        <v>164</v>
      </c>
    </row>
    <row r="2134" customFormat="false" ht="15" hidden="false" customHeight="false" outlineLevel="0" collapsed="false">
      <c r="A2134" s="22" t="s">
        <v>5002</v>
      </c>
      <c r="B2134" s="22" t="s">
        <v>5003</v>
      </c>
      <c r="C2134" s="22" t="s">
        <v>207</v>
      </c>
      <c r="D2134" s="22" t="s">
        <v>2468</v>
      </c>
      <c r="E2134" s="22" t="n">
        <v>23</v>
      </c>
      <c r="F2134" s="22" t="s">
        <v>164</v>
      </c>
    </row>
    <row r="2135" customFormat="false" ht="15" hidden="false" customHeight="false" outlineLevel="0" collapsed="false">
      <c r="A2135" s="22" t="s">
        <v>5004</v>
      </c>
      <c r="B2135" s="22" t="s">
        <v>5005</v>
      </c>
      <c r="C2135" s="22" t="s">
        <v>207</v>
      </c>
      <c r="D2135" s="22" t="s">
        <v>257</v>
      </c>
      <c r="E2135" s="22" t="n">
        <v>22</v>
      </c>
      <c r="F2135" s="22" t="s">
        <v>164</v>
      </c>
    </row>
    <row r="2136" customFormat="false" ht="15" hidden="false" customHeight="false" outlineLevel="0" collapsed="false">
      <c r="A2136" s="22" t="s">
        <v>5006</v>
      </c>
      <c r="B2136" s="22" t="s">
        <v>5007</v>
      </c>
      <c r="C2136" s="22" t="s">
        <v>162</v>
      </c>
      <c r="D2136" s="22" t="s">
        <v>251</v>
      </c>
      <c r="E2136" s="22" t="n">
        <v>18.9</v>
      </c>
      <c r="F2136" s="22" t="s">
        <v>171</v>
      </c>
    </row>
    <row r="2137" customFormat="false" ht="15" hidden="false" customHeight="false" outlineLevel="0" collapsed="false">
      <c r="A2137" s="22" t="s">
        <v>5008</v>
      </c>
      <c r="B2137" s="22" t="s">
        <v>5009</v>
      </c>
      <c r="C2137" s="22" t="s">
        <v>162</v>
      </c>
      <c r="D2137" s="22" t="s">
        <v>752</v>
      </c>
      <c r="E2137" s="22" t="n">
        <v>44.5</v>
      </c>
      <c r="F2137" s="22" t="s">
        <v>198</v>
      </c>
    </row>
    <row r="2138" customFormat="false" ht="15" hidden="false" customHeight="false" outlineLevel="0" collapsed="false">
      <c r="A2138" s="22" t="s">
        <v>5010</v>
      </c>
      <c r="B2138" s="22" t="s">
        <v>5011</v>
      </c>
      <c r="C2138" s="22" t="s">
        <v>207</v>
      </c>
      <c r="D2138" s="22" t="s">
        <v>781</v>
      </c>
      <c r="E2138" s="22" t="n">
        <v>51.5</v>
      </c>
      <c r="F2138" s="22" t="s">
        <v>499</v>
      </c>
    </row>
    <row r="2139" customFormat="false" ht="15" hidden="false" customHeight="false" outlineLevel="0" collapsed="false">
      <c r="A2139" s="22" t="s">
        <v>5012</v>
      </c>
      <c r="B2139" s="22" t="s">
        <v>5013</v>
      </c>
      <c r="C2139" s="22" t="s">
        <v>157</v>
      </c>
      <c r="D2139" s="22" t="s">
        <v>2023</v>
      </c>
      <c r="E2139" s="22" t="n">
        <v>55.1</v>
      </c>
      <c r="F2139" s="22" t="s">
        <v>198</v>
      </c>
    </row>
    <row r="2140" customFormat="false" ht="15" hidden="false" customHeight="false" outlineLevel="0" collapsed="false">
      <c r="A2140" s="22" t="s">
        <v>5014</v>
      </c>
      <c r="B2140" s="22" t="s">
        <v>5015</v>
      </c>
      <c r="C2140" s="22" t="s">
        <v>162</v>
      </c>
      <c r="D2140" s="22" t="s">
        <v>1115</v>
      </c>
      <c r="E2140" s="22" t="n">
        <v>22.7</v>
      </c>
      <c r="F2140" s="22" t="s">
        <v>175</v>
      </c>
    </row>
    <row r="2141" customFormat="false" ht="15" hidden="false" customHeight="false" outlineLevel="0" collapsed="false">
      <c r="A2141" s="22" t="s">
        <v>5016</v>
      </c>
      <c r="B2141" s="22" t="s">
        <v>5017</v>
      </c>
      <c r="C2141" s="22" t="s">
        <v>162</v>
      </c>
      <c r="D2141" s="22" t="s">
        <v>307</v>
      </c>
      <c r="E2141" s="22" t="n">
        <v>26</v>
      </c>
      <c r="F2141" s="22" t="s">
        <v>175</v>
      </c>
    </row>
    <row r="2142" customFormat="false" ht="15" hidden="false" customHeight="false" outlineLevel="0" collapsed="false">
      <c r="A2142" s="22" t="s">
        <v>5018</v>
      </c>
      <c r="B2142" s="22" t="s">
        <v>5019</v>
      </c>
      <c r="C2142" s="22" t="s">
        <v>162</v>
      </c>
      <c r="D2142" s="22" t="s">
        <v>911</v>
      </c>
      <c r="E2142" s="22" t="n">
        <v>32.8</v>
      </c>
      <c r="F2142" s="22" t="s">
        <v>215</v>
      </c>
    </row>
    <row r="2143" customFormat="false" ht="15" hidden="false" customHeight="false" outlineLevel="0" collapsed="false">
      <c r="A2143" s="22" t="s">
        <v>5020</v>
      </c>
      <c r="B2143" s="22" t="s">
        <v>5021</v>
      </c>
      <c r="C2143" s="22" t="s">
        <v>162</v>
      </c>
      <c r="D2143" s="22" t="s">
        <v>820</v>
      </c>
      <c r="E2143" s="22" t="n">
        <v>40.5</v>
      </c>
      <c r="F2143" s="22" t="s">
        <v>175</v>
      </c>
    </row>
    <row r="2144" customFormat="false" ht="15" hidden="false" customHeight="false" outlineLevel="0" collapsed="false">
      <c r="A2144" s="22" t="s">
        <v>5022</v>
      </c>
      <c r="B2144" s="22" t="s">
        <v>5023</v>
      </c>
      <c r="C2144" s="22" t="s">
        <v>162</v>
      </c>
      <c r="D2144" s="22" t="s">
        <v>457</v>
      </c>
      <c r="E2144" s="22" t="n">
        <v>32.5</v>
      </c>
      <c r="F2144" s="22" t="s">
        <v>171</v>
      </c>
    </row>
    <row r="2145" customFormat="false" ht="15" hidden="false" customHeight="false" outlineLevel="0" collapsed="false">
      <c r="A2145" s="22" t="s">
        <v>5024</v>
      </c>
      <c r="B2145" s="22" t="s">
        <v>5025</v>
      </c>
      <c r="C2145" s="22" t="s">
        <v>162</v>
      </c>
      <c r="D2145" s="22" t="s">
        <v>248</v>
      </c>
      <c r="E2145" s="22" t="n">
        <v>28.3</v>
      </c>
      <c r="F2145" s="22" t="s">
        <v>175</v>
      </c>
    </row>
    <row r="2146" customFormat="false" ht="15" hidden="false" customHeight="false" outlineLevel="0" collapsed="false">
      <c r="A2146" s="22" t="s">
        <v>5026</v>
      </c>
      <c r="B2146" s="22" t="s">
        <v>5027</v>
      </c>
      <c r="C2146" s="22" t="s">
        <v>162</v>
      </c>
      <c r="D2146" s="22" t="s">
        <v>3446</v>
      </c>
      <c r="E2146" s="22" t="n">
        <v>46.9</v>
      </c>
      <c r="F2146" s="22" t="s">
        <v>175</v>
      </c>
    </row>
    <row r="2147" customFormat="false" ht="15" hidden="false" customHeight="false" outlineLevel="0" collapsed="false">
      <c r="A2147" s="22" t="s">
        <v>5028</v>
      </c>
      <c r="B2147" s="22" t="s">
        <v>5029</v>
      </c>
      <c r="C2147" s="22" t="s">
        <v>207</v>
      </c>
      <c r="D2147" s="22" t="s">
        <v>2684</v>
      </c>
      <c r="E2147" s="22" t="n">
        <v>43.9</v>
      </c>
      <c r="F2147" s="22" t="s">
        <v>175</v>
      </c>
    </row>
    <row r="2148" customFormat="false" ht="15" hidden="false" customHeight="false" outlineLevel="0" collapsed="false">
      <c r="A2148" s="22" t="s">
        <v>5030</v>
      </c>
      <c r="B2148" s="22" t="s">
        <v>5031</v>
      </c>
      <c r="C2148" s="22" t="s">
        <v>162</v>
      </c>
      <c r="D2148" s="22" t="s">
        <v>2555</v>
      </c>
      <c r="E2148" s="22" t="n">
        <v>51.3</v>
      </c>
      <c r="F2148" s="22" t="s">
        <v>159</v>
      </c>
    </row>
    <row r="2149" customFormat="false" ht="15" hidden="false" customHeight="false" outlineLevel="0" collapsed="false">
      <c r="A2149" s="22" t="s">
        <v>5032</v>
      </c>
      <c r="B2149" s="22" t="s">
        <v>5033</v>
      </c>
      <c r="C2149" s="22" t="s">
        <v>162</v>
      </c>
      <c r="D2149" s="22" t="s">
        <v>2280</v>
      </c>
      <c r="E2149" s="22" t="n">
        <v>47.2</v>
      </c>
      <c r="F2149" s="22" t="s">
        <v>164</v>
      </c>
    </row>
    <row r="2150" customFormat="false" ht="15" hidden="false" customHeight="false" outlineLevel="0" collapsed="false">
      <c r="A2150" s="22" t="s">
        <v>5034</v>
      </c>
      <c r="B2150" s="22" t="s">
        <v>5035</v>
      </c>
      <c r="C2150" s="22" t="s">
        <v>162</v>
      </c>
      <c r="D2150" s="22" t="s">
        <v>616</v>
      </c>
      <c r="E2150" s="22" t="n">
        <v>25.8</v>
      </c>
      <c r="F2150" s="22" t="s">
        <v>164</v>
      </c>
    </row>
    <row r="2151" customFormat="false" ht="15" hidden="false" customHeight="false" outlineLevel="0" collapsed="false">
      <c r="A2151" s="22" t="s">
        <v>5036</v>
      </c>
      <c r="B2151" s="22" t="s">
        <v>5037</v>
      </c>
      <c r="C2151" s="22" t="s">
        <v>162</v>
      </c>
      <c r="D2151" s="22" t="s">
        <v>519</v>
      </c>
      <c r="E2151" s="22" t="n">
        <v>39.7</v>
      </c>
      <c r="F2151" s="22" t="s">
        <v>164</v>
      </c>
    </row>
    <row r="2152" customFormat="false" ht="15" hidden="false" customHeight="false" outlineLevel="0" collapsed="false">
      <c r="A2152" s="22" t="s">
        <v>5038</v>
      </c>
      <c r="B2152" s="22" t="s">
        <v>5039</v>
      </c>
      <c r="C2152" s="22" t="s">
        <v>162</v>
      </c>
      <c r="D2152" s="22" t="s">
        <v>1774</v>
      </c>
      <c r="E2152" s="22" t="n">
        <v>59.5</v>
      </c>
      <c r="F2152" s="22" t="s">
        <v>164</v>
      </c>
    </row>
    <row r="2153" customFormat="false" ht="15" hidden="false" customHeight="false" outlineLevel="0" collapsed="false">
      <c r="A2153" s="22" t="s">
        <v>5040</v>
      </c>
      <c r="B2153" s="22" t="s">
        <v>5041</v>
      </c>
      <c r="C2153" s="22" t="s">
        <v>162</v>
      </c>
      <c r="D2153" s="22" t="s">
        <v>1011</v>
      </c>
      <c r="E2153" s="22" t="n">
        <v>38.9</v>
      </c>
      <c r="F2153" s="22" t="s">
        <v>171</v>
      </c>
    </row>
    <row r="2154" customFormat="false" ht="15" hidden="false" customHeight="false" outlineLevel="0" collapsed="false">
      <c r="A2154" s="22" t="s">
        <v>5042</v>
      </c>
      <c r="B2154" s="22" t="s">
        <v>5043</v>
      </c>
      <c r="C2154" s="22" t="s">
        <v>162</v>
      </c>
      <c r="D2154" s="22" t="s">
        <v>742</v>
      </c>
      <c r="E2154" s="22" t="n">
        <v>31.3</v>
      </c>
      <c r="F2154" s="22" t="s">
        <v>175</v>
      </c>
    </row>
    <row r="2155" customFormat="false" ht="15" hidden="false" customHeight="false" outlineLevel="0" collapsed="false">
      <c r="A2155" s="22" t="s">
        <v>5044</v>
      </c>
      <c r="B2155" s="22" t="s">
        <v>5045</v>
      </c>
      <c r="C2155" s="22" t="s">
        <v>162</v>
      </c>
      <c r="D2155" s="22" t="s">
        <v>194</v>
      </c>
      <c r="E2155" s="22" t="n">
        <v>39.5</v>
      </c>
      <c r="F2155" s="22" t="s">
        <v>164</v>
      </c>
    </row>
    <row r="2156" customFormat="false" ht="15" hidden="false" customHeight="false" outlineLevel="0" collapsed="false">
      <c r="A2156" s="22" t="s">
        <v>5046</v>
      </c>
      <c r="B2156" s="22" t="s">
        <v>5047</v>
      </c>
      <c r="C2156" s="22" t="s">
        <v>162</v>
      </c>
      <c r="D2156" s="22" t="s">
        <v>1187</v>
      </c>
      <c r="E2156" s="22" t="n">
        <v>55.5</v>
      </c>
      <c r="F2156" s="22" t="s">
        <v>188</v>
      </c>
    </row>
    <row r="2157" customFormat="false" ht="15" hidden="false" customHeight="false" outlineLevel="0" collapsed="false">
      <c r="A2157" s="22" t="s">
        <v>5048</v>
      </c>
      <c r="B2157" s="22" t="s">
        <v>5049</v>
      </c>
      <c r="C2157" s="22" t="s">
        <v>162</v>
      </c>
      <c r="D2157" s="22" t="s">
        <v>5050</v>
      </c>
      <c r="E2157" s="22" t="n">
        <v>37.2</v>
      </c>
      <c r="F2157" s="22" t="s">
        <v>171</v>
      </c>
    </row>
    <row r="2158" customFormat="false" ht="15" hidden="false" customHeight="false" outlineLevel="0" collapsed="false">
      <c r="A2158" s="22" t="s">
        <v>5051</v>
      </c>
      <c r="B2158" s="22" t="s">
        <v>5052</v>
      </c>
      <c r="C2158" s="22" t="s">
        <v>162</v>
      </c>
      <c r="D2158" s="22" t="s">
        <v>805</v>
      </c>
      <c r="E2158" s="22" t="n">
        <v>56</v>
      </c>
      <c r="F2158" s="22" t="s">
        <v>188</v>
      </c>
    </row>
    <row r="2159" customFormat="false" ht="15" hidden="false" customHeight="false" outlineLevel="0" collapsed="false">
      <c r="A2159" s="22" t="s">
        <v>5053</v>
      </c>
      <c r="B2159" s="22" t="s">
        <v>5054</v>
      </c>
      <c r="C2159" s="22" t="s">
        <v>162</v>
      </c>
      <c r="D2159" s="22" t="s">
        <v>299</v>
      </c>
      <c r="E2159" s="22" t="n">
        <v>57.9</v>
      </c>
      <c r="F2159" s="22" t="s">
        <v>499</v>
      </c>
    </row>
    <row r="2160" customFormat="false" ht="15" hidden="false" customHeight="false" outlineLevel="0" collapsed="false">
      <c r="A2160" s="22" t="s">
        <v>5055</v>
      </c>
      <c r="B2160" s="22" t="s">
        <v>5056</v>
      </c>
      <c r="C2160" s="22" t="s">
        <v>162</v>
      </c>
      <c r="D2160" s="22" t="s">
        <v>790</v>
      </c>
      <c r="E2160" s="22" t="n">
        <v>30.2</v>
      </c>
      <c r="F2160" s="22" t="s">
        <v>499</v>
      </c>
    </row>
    <row r="2161" customFormat="false" ht="15" hidden="false" customHeight="false" outlineLevel="0" collapsed="false">
      <c r="A2161" s="22" t="s">
        <v>5057</v>
      </c>
      <c r="B2161" s="22" t="s">
        <v>5058</v>
      </c>
      <c r="C2161" s="22" t="s">
        <v>566</v>
      </c>
      <c r="D2161" s="22" t="s">
        <v>296</v>
      </c>
      <c r="E2161" s="22" t="n">
        <v>20.2</v>
      </c>
      <c r="F2161" s="22" t="s">
        <v>215</v>
      </c>
    </row>
    <row r="2162" customFormat="false" ht="15" hidden="false" customHeight="false" outlineLevel="0" collapsed="false">
      <c r="A2162" s="22" t="s">
        <v>5059</v>
      </c>
      <c r="B2162" s="22" t="s">
        <v>5060</v>
      </c>
      <c r="C2162" s="22" t="s">
        <v>162</v>
      </c>
      <c r="D2162" s="22" t="s">
        <v>661</v>
      </c>
      <c r="E2162" s="22" t="n">
        <v>39.5</v>
      </c>
      <c r="F2162" s="22" t="s">
        <v>198</v>
      </c>
    </row>
    <row r="2163" customFormat="false" ht="15" hidden="false" customHeight="false" outlineLevel="0" collapsed="false">
      <c r="A2163" s="22" t="s">
        <v>5061</v>
      </c>
      <c r="B2163" s="22" t="s">
        <v>5062</v>
      </c>
      <c r="C2163" s="22" t="s">
        <v>162</v>
      </c>
      <c r="D2163" s="22" t="s">
        <v>498</v>
      </c>
      <c r="E2163" s="22" t="n">
        <v>37</v>
      </c>
      <c r="F2163" s="22" t="s">
        <v>171</v>
      </c>
    </row>
    <row r="2164" customFormat="false" ht="15" hidden="false" customHeight="false" outlineLevel="0" collapsed="false">
      <c r="A2164" s="22" t="s">
        <v>5063</v>
      </c>
      <c r="B2164" s="22" t="s">
        <v>5064</v>
      </c>
      <c r="C2164" s="22" t="s">
        <v>162</v>
      </c>
      <c r="D2164" s="22" t="s">
        <v>941</v>
      </c>
      <c r="E2164" s="22" t="n">
        <v>43.5</v>
      </c>
      <c r="F2164" s="22" t="s">
        <v>164</v>
      </c>
    </row>
    <row r="2165" customFormat="false" ht="15" hidden="false" customHeight="false" outlineLevel="0" collapsed="false">
      <c r="A2165" s="22" t="s">
        <v>5065</v>
      </c>
      <c r="B2165" s="22" t="s">
        <v>5066</v>
      </c>
      <c r="C2165" s="22" t="s">
        <v>162</v>
      </c>
      <c r="D2165" s="22" t="s">
        <v>866</v>
      </c>
      <c r="E2165" s="22" t="n">
        <v>24.5</v>
      </c>
      <c r="F2165" s="22" t="s">
        <v>198</v>
      </c>
    </row>
    <row r="2166" customFormat="false" ht="15" hidden="false" customHeight="false" outlineLevel="0" collapsed="false">
      <c r="A2166" s="22" t="s">
        <v>5067</v>
      </c>
      <c r="B2166" s="22" t="s">
        <v>5068</v>
      </c>
      <c r="C2166" s="22" t="s">
        <v>162</v>
      </c>
      <c r="D2166" s="22" t="s">
        <v>654</v>
      </c>
      <c r="E2166" s="22" t="n">
        <v>24.4</v>
      </c>
      <c r="F2166" s="22" t="s">
        <v>164</v>
      </c>
    </row>
    <row r="2167" customFormat="false" ht="15" hidden="false" customHeight="false" outlineLevel="0" collapsed="false">
      <c r="A2167" s="22" t="s">
        <v>5069</v>
      </c>
      <c r="B2167" s="22" t="s">
        <v>5070</v>
      </c>
      <c r="C2167" s="22" t="s">
        <v>566</v>
      </c>
      <c r="D2167" s="22" t="s">
        <v>3016</v>
      </c>
      <c r="E2167" s="22" t="n">
        <v>21.2</v>
      </c>
      <c r="F2167" s="22" t="s">
        <v>164</v>
      </c>
    </row>
    <row r="2168" customFormat="false" ht="15" hidden="false" customHeight="false" outlineLevel="0" collapsed="false">
      <c r="A2168" s="22" t="s">
        <v>5071</v>
      </c>
      <c r="B2168" s="22" t="s">
        <v>5072</v>
      </c>
      <c r="C2168" s="22" t="s">
        <v>162</v>
      </c>
      <c r="D2168" s="22" t="s">
        <v>563</v>
      </c>
      <c r="E2168" s="22" t="n">
        <v>27.1</v>
      </c>
      <c r="F2168" s="22" t="s">
        <v>171</v>
      </c>
    </row>
    <row r="2169" customFormat="false" ht="15" hidden="false" customHeight="false" outlineLevel="0" collapsed="false">
      <c r="A2169" s="22" t="s">
        <v>5073</v>
      </c>
      <c r="B2169" s="22" t="s">
        <v>5074</v>
      </c>
      <c r="C2169" s="22" t="s">
        <v>162</v>
      </c>
      <c r="D2169" s="22" t="s">
        <v>723</v>
      </c>
      <c r="E2169" s="22" t="n">
        <v>58.6</v>
      </c>
      <c r="F2169" s="22" t="s">
        <v>164</v>
      </c>
    </row>
    <row r="2170" customFormat="false" ht="15" hidden="false" customHeight="false" outlineLevel="0" collapsed="false">
      <c r="A2170" s="22" t="s">
        <v>5075</v>
      </c>
      <c r="B2170" s="22" t="s">
        <v>5076</v>
      </c>
      <c r="C2170" s="22" t="s">
        <v>162</v>
      </c>
      <c r="D2170" s="22" t="s">
        <v>1045</v>
      </c>
      <c r="E2170" s="22" t="n">
        <v>32.8</v>
      </c>
      <c r="F2170" s="22" t="s">
        <v>215</v>
      </c>
    </row>
    <row r="2171" customFormat="false" ht="15" hidden="false" customHeight="false" outlineLevel="0" collapsed="false">
      <c r="A2171" s="22" t="s">
        <v>5077</v>
      </c>
      <c r="B2171" s="22" t="s">
        <v>5078</v>
      </c>
      <c r="C2171" s="22" t="s">
        <v>162</v>
      </c>
      <c r="D2171" s="22" t="s">
        <v>708</v>
      </c>
      <c r="E2171" s="22" t="n">
        <v>49.5</v>
      </c>
      <c r="F2171" s="22" t="s">
        <v>159</v>
      </c>
    </row>
    <row r="2172" customFormat="false" ht="15" hidden="false" customHeight="false" outlineLevel="0" collapsed="false">
      <c r="A2172" s="22" t="s">
        <v>5079</v>
      </c>
      <c r="B2172" s="22" t="s">
        <v>5080</v>
      </c>
      <c r="C2172" s="22" t="s">
        <v>162</v>
      </c>
      <c r="D2172" s="22" t="s">
        <v>953</v>
      </c>
      <c r="E2172" s="22" t="n">
        <v>58.8</v>
      </c>
      <c r="F2172" s="22" t="s">
        <v>171</v>
      </c>
    </row>
    <row r="2173" customFormat="false" ht="15" hidden="false" customHeight="false" outlineLevel="0" collapsed="false">
      <c r="A2173" s="22" t="s">
        <v>5081</v>
      </c>
      <c r="B2173" s="22" t="s">
        <v>5082</v>
      </c>
      <c r="C2173" s="22" t="s">
        <v>162</v>
      </c>
      <c r="D2173" s="22" t="s">
        <v>1232</v>
      </c>
      <c r="E2173" s="22" t="n">
        <v>61.6</v>
      </c>
      <c r="F2173" s="22" t="s">
        <v>215</v>
      </c>
    </row>
    <row r="2174" customFormat="false" ht="15" hidden="false" customHeight="false" outlineLevel="0" collapsed="false">
      <c r="A2174" s="22" t="s">
        <v>5083</v>
      </c>
      <c r="B2174" s="22" t="s">
        <v>5084</v>
      </c>
      <c r="C2174" s="22" t="s">
        <v>162</v>
      </c>
      <c r="D2174" s="22" t="s">
        <v>4476</v>
      </c>
      <c r="E2174" s="22" t="n">
        <v>27.1</v>
      </c>
      <c r="F2174" s="22" t="s">
        <v>171</v>
      </c>
    </row>
    <row r="2175" customFormat="false" ht="15" hidden="false" customHeight="false" outlineLevel="0" collapsed="false">
      <c r="A2175" s="22" t="s">
        <v>5085</v>
      </c>
      <c r="B2175" s="22" t="s">
        <v>5086</v>
      </c>
      <c r="C2175" s="22" t="s">
        <v>207</v>
      </c>
      <c r="D2175" s="22" t="s">
        <v>1743</v>
      </c>
      <c r="E2175" s="22" t="n">
        <v>58.9</v>
      </c>
      <c r="F2175" s="22" t="s">
        <v>164</v>
      </c>
    </row>
    <row r="2176" customFormat="false" ht="15" hidden="false" customHeight="false" outlineLevel="0" collapsed="false">
      <c r="A2176" s="22" t="s">
        <v>5087</v>
      </c>
      <c r="B2176" s="22" t="s">
        <v>5088</v>
      </c>
      <c r="C2176" s="22" t="s">
        <v>162</v>
      </c>
      <c r="D2176" s="22" t="s">
        <v>5089</v>
      </c>
      <c r="E2176" s="22" t="n">
        <v>57.5</v>
      </c>
      <c r="F2176" s="22" t="s">
        <v>171</v>
      </c>
    </row>
    <row r="2177" customFormat="false" ht="15" hidden="false" customHeight="false" outlineLevel="0" collapsed="false">
      <c r="A2177" s="22" t="s">
        <v>5090</v>
      </c>
      <c r="B2177" s="22" t="s">
        <v>5091</v>
      </c>
      <c r="C2177" s="22" t="s">
        <v>162</v>
      </c>
      <c r="D2177" s="22" t="s">
        <v>1971</v>
      </c>
      <c r="E2177" s="22" t="n">
        <v>27.6</v>
      </c>
      <c r="F2177" s="22" t="s">
        <v>215</v>
      </c>
    </row>
    <row r="2178" customFormat="false" ht="15" hidden="false" customHeight="false" outlineLevel="0" collapsed="false">
      <c r="A2178" s="22" t="s">
        <v>5092</v>
      </c>
      <c r="B2178" s="22" t="s">
        <v>5093</v>
      </c>
      <c r="C2178" s="22" t="s">
        <v>162</v>
      </c>
      <c r="D2178" s="22" t="s">
        <v>736</v>
      </c>
      <c r="E2178" s="22" t="n">
        <v>25.2</v>
      </c>
      <c r="F2178" s="22" t="s">
        <v>164</v>
      </c>
    </row>
    <row r="2179" customFormat="false" ht="15" hidden="false" customHeight="false" outlineLevel="0" collapsed="false">
      <c r="A2179" s="22" t="s">
        <v>5094</v>
      </c>
      <c r="B2179" s="22" t="s">
        <v>5095</v>
      </c>
      <c r="C2179" s="22" t="s">
        <v>207</v>
      </c>
      <c r="D2179" s="22" t="s">
        <v>2918</v>
      </c>
      <c r="E2179" s="22" t="n">
        <v>34.2</v>
      </c>
      <c r="F2179" s="22" t="s">
        <v>164</v>
      </c>
    </row>
    <row r="2180" customFormat="false" ht="15" hidden="false" customHeight="false" outlineLevel="0" collapsed="false">
      <c r="A2180" s="22" t="s">
        <v>5096</v>
      </c>
      <c r="B2180" s="22" t="s">
        <v>5097</v>
      </c>
      <c r="C2180" s="22" t="s">
        <v>162</v>
      </c>
      <c r="D2180" s="22" t="s">
        <v>1403</v>
      </c>
      <c r="E2180" s="22" t="n">
        <v>43.5</v>
      </c>
      <c r="F2180" s="22" t="s">
        <v>499</v>
      </c>
    </row>
    <row r="2181" customFormat="false" ht="15" hidden="false" customHeight="false" outlineLevel="0" collapsed="false">
      <c r="A2181" s="22" t="s">
        <v>5098</v>
      </c>
      <c r="B2181" s="22" t="s">
        <v>5099</v>
      </c>
      <c r="C2181" s="22" t="s">
        <v>162</v>
      </c>
      <c r="D2181" s="22" t="s">
        <v>208</v>
      </c>
      <c r="E2181" s="22" t="n">
        <v>33.7</v>
      </c>
      <c r="F2181" s="22" t="s">
        <v>175</v>
      </c>
    </row>
    <row r="2182" customFormat="false" ht="15" hidden="false" customHeight="false" outlineLevel="0" collapsed="false">
      <c r="A2182" s="22" t="s">
        <v>5100</v>
      </c>
      <c r="B2182" s="22" t="s">
        <v>5101</v>
      </c>
      <c r="C2182" s="22" t="s">
        <v>162</v>
      </c>
      <c r="D2182" s="22" t="s">
        <v>953</v>
      </c>
      <c r="E2182" s="22" t="n">
        <v>36.5</v>
      </c>
      <c r="F2182" s="22" t="s">
        <v>175</v>
      </c>
    </row>
    <row r="2183" customFormat="false" ht="15" hidden="false" customHeight="false" outlineLevel="0" collapsed="false">
      <c r="A2183" s="22" t="s">
        <v>5102</v>
      </c>
      <c r="B2183" s="22" t="s">
        <v>5103</v>
      </c>
      <c r="C2183" s="22" t="s">
        <v>162</v>
      </c>
      <c r="D2183" s="22" t="s">
        <v>5104</v>
      </c>
      <c r="E2183" s="22" t="n">
        <v>29.3</v>
      </c>
      <c r="F2183" s="22" t="s">
        <v>198</v>
      </c>
    </row>
    <row r="2184" customFormat="false" ht="15" hidden="false" customHeight="false" outlineLevel="0" collapsed="false">
      <c r="A2184" s="22" t="s">
        <v>5105</v>
      </c>
      <c r="B2184" s="22" t="s">
        <v>5106</v>
      </c>
      <c r="C2184" s="22" t="s">
        <v>162</v>
      </c>
      <c r="D2184" s="22" t="s">
        <v>1220</v>
      </c>
      <c r="E2184" s="22" t="n">
        <v>46.7</v>
      </c>
      <c r="F2184" s="22" t="s">
        <v>499</v>
      </c>
    </row>
    <row r="2185" customFormat="false" ht="15" hidden="false" customHeight="false" outlineLevel="0" collapsed="false">
      <c r="A2185" s="22" t="s">
        <v>5107</v>
      </c>
      <c r="B2185" s="22" t="s">
        <v>5108</v>
      </c>
      <c r="C2185" s="22" t="s">
        <v>162</v>
      </c>
      <c r="D2185" s="22" t="s">
        <v>2823</v>
      </c>
      <c r="E2185" s="22" t="n">
        <v>54.4</v>
      </c>
      <c r="F2185" s="22" t="s">
        <v>164</v>
      </c>
    </row>
    <row r="2186" customFormat="false" ht="15" hidden="false" customHeight="false" outlineLevel="0" collapsed="false">
      <c r="A2186" s="22" t="s">
        <v>5109</v>
      </c>
      <c r="B2186" s="22" t="s">
        <v>5110</v>
      </c>
      <c r="C2186" s="22" t="s">
        <v>162</v>
      </c>
      <c r="D2186" s="22" t="s">
        <v>2610</v>
      </c>
      <c r="E2186" s="22" t="n">
        <v>34.5</v>
      </c>
      <c r="F2186" s="22" t="s">
        <v>164</v>
      </c>
    </row>
    <row r="2187" customFormat="false" ht="15" hidden="false" customHeight="false" outlineLevel="0" collapsed="false">
      <c r="A2187" s="22" t="s">
        <v>5111</v>
      </c>
      <c r="B2187" s="22" t="s">
        <v>5112</v>
      </c>
      <c r="C2187" s="22" t="s">
        <v>207</v>
      </c>
      <c r="D2187" s="22" t="s">
        <v>1339</v>
      </c>
      <c r="E2187" s="22" t="n">
        <v>34.4</v>
      </c>
      <c r="F2187" s="22" t="s">
        <v>164</v>
      </c>
    </row>
    <row r="2188" customFormat="false" ht="15" hidden="false" customHeight="false" outlineLevel="0" collapsed="false">
      <c r="A2188" s="22" t="s">
        <v>5113</v>
      </c>
      <c r="B2188" s="22" t="s">
        <v>5114</v>
      </c>
      <c r="C2188" s="22" t="s">
        <v>162</v>
      </c>
      <c r="D2188" s="22" t="s">
        <v>2423</v>
      </c>
      <c r="E2188" s="22" t="n">
        <v>49</v>
      </c>
      <c r="F2188" s="22" t="s">
        <v>175</v>
      </c>
    </row>
    <row r="2189" customFormat="false" ht="15" hidden="false" customHeight="false" outlineLevel="0" collapsed="false">
      <c r="A2189" s="22" t="s">
        <v>5115</v>
      </c>
      <c r="B2189" s="22" t="s">
        <v>5116</v>
      </c>
      <c r="C2189" s="22" t="s">
        <v>162</v>
      </c>
      <c r="D2189" s="22" t="s">
        <v>1143</v>
      </c>
      <c r="E2189" s="22" t="n">
        <v>38.3</v>
      </c>
      <c r="F2189" s="22" t="s">
        <v>175</v>
      </c>
    </row>
    <row r="2190" customFormat="false" ht="15" hidden="false" customHeight="false" outlineLevel="0" collapsed="false">
      <c r="A2190" s="22" t="s">
        <v>5117</v>
      </c>
      <c r="B2190" s="22" t="s">
        <v>5118</v>
      </c>
      <c r="C2190" s="22" t="s">
        <v>207</v>
      </c>
      <c r="D2190" s="22" t="s">
        <v>483</v>
      </c>
      <c r="E2190" s="22" t="n">
        <v>25.7</v>
      </c>
      <c r="F2190" s="22" t="s">
        <v>175</v>
      </c>
    </row>
    <row r="2191" customFormat="false" ht="15" hidden="false" customHeight="false" outlineLevel="0" collapsed="false">
      <c r="A2191" s="22" t="s">
        <v>5119</v>
      </c>
      <c r="B2191" s="22" t="s">
        <v>5120</v>
      </c>
      <c r="C2191" s="22" t="s">
        <v>207</v>
      </c>
      <c r="D2191" s="22" t="s">
        <v>2108</v>
      </c>
      <c r="E2191" s="22" t="n">
        <v>35.7</v>
      </c>
      <c r="F2191" s="22" t="s">
        <v>164</v>
      </c>
    </row>
    <row r="2192" customFormat="false" ht="15" hidden="false" customHeight="false" outlineLevel="0" collapsed="false">
      <c r="A2192" s="22" t="s">
        <v>5121</v>
      </c>
      <c r="B2192" s="22" t="s">
        <v>5122</v>
      </c>
      <c r="C2192" s="22" t="s">
        <v>162</v>
      </c>
      <c r="D2192" s="22" t="s">
        <v>469</v>
      </c>
      <c r="E2192" s="22" t="n">
        <v>58.4</v>
      </c>
      <c r="F2192" s="22" t="s">
        <v>164</v>
      </c>
    </row>
    <row r="2193" customFormat="false" ht="15" hidden="false" customHeight="false" outlineLevel="0" collapsed="false">
      <c r="A2193" s="22" t="s">
        <v>5123</v>
      </c>
      <c r="B2193" s="22" t="s">
        <v>5124</v>
      </c>
      <c r="C2193" s="22" t="s">
        <v>162</v>
      </c>
      <c r="D2193" s="22" t="s">
        <v>1991</v>
      </c>
      <c r="E2193" s="22" t="n">
        <v>55.2</v>
      </c>
      <c r="F2193" s="22" t="s">
        <v>175</v>
      </c>
    </row>
    <row r="2194" customFormat="false" ht="15" hidden="false" customHeight="false" outlineLevel="0" collapsed="false">
      <c r="A2194" s="22" t="s">
        <v>5125</v>
      </c>
      <c r="B2194" s="22" t="s">
        <v>5126</v>
      </c>
      <c r="C2194" s="22" t="s">
        <v>162</v>
      </c>
      <c r="D2194" s="22" t="s">
        <v>820</v>
      </c>
      <c r="E2194" s="22" t="n">
        <v>33.2</v>
      </c>
      <c r="F2194" s="22" t="s">
        <v>198</v>
      </c>
    </row>
    <row r="2195" customFormat="false" ht="15" hidden="false" customHeight="false" outlineLevel="0" collapsed="false">
      <c r="A2195" s="22" t="s">
        <v>5127</v>
      </c>
      <c r="B2195" s="22" t="s">
        <v>5128</v>
      </c>
      <c r="C2195" s="22" t="s">
        <v>162</v>
      </c>
      <c r="D2195" s="22" t="s">
        <v>802</v>
      </c>
      <c r="E2195" s="22" t="n">
        <v>20.8</v>
      </c>
      <c r="F2195" s="22" t="s">
        <v>215</v>
      </c>
    </row>
    <row r="2196" customFormat="false" ht="15" hidden="false" customHeight="false" outlineLevel="0" collapsed="false">
      <c r="A2196" s="22" t="s">
        <v>5129</v>
      </c>
      <c r="B2196" s="22" t="s">
        <v>5130</v>
      </c>
      <c r="C2196" s="22" t="s">
        <v>207</v>
      </c>
      <c r="D2196" s="22" t="s">
        <v>2972</v>
      </c>
      <c r="E2196" s="22" t="n">
        <v>29.6</v>
      </c>
      <c r="F2196" s="22" t="s">
        <v>175</v>
      </c>
    </row>
    <row r="2197" customFormat="false" ht="15" hidden="false" customHeight="false" outlineLevel="0" collapsed="false">
      <c r="A2197" s="22" t="s">
        <v>5131</v>
      </c>
      <c r="B2197" s="22" t="s">
        <v>5132</v>
      </c>
      <c r="C2197" s="22" t="s">
        <v>157</v>
      </c>
      <c r="D2197" s="22" t="s">
        <v>1445</v>
      </c>
      <c r="E2197" s="22" t="n">
        <v>54.6</v>
      </c>
      <c r="F2197" s="22" t="s">
        <v>198</v>
      </c>
    </row>
    <row r="2198" customFormat="false" ht="15" hidden="false" customHeight="false" outlineLevel="0" collapsed="false">
      <c r="A2198" s="22" t="s">
        <v>5133</v>
      </c>
      <c r="B2198" s="22" t="s">
        <v>5134</v>
      </c>
      <c r="C2198" s="22" t="s">
        <v>162</v>
      </c>
      <c r="D2198" s="22" t="s">
        <v>2928</v>
      </c>
      <c r="E2198" s="22" t="n">
        <v>23</v>
      </c>
      <c r="F2198" s="22" t="s">
        <v>175</v>
      </c>
    </row>
    <row r="2199" customFormat="false" ht="15" hidden="false" customHeight="false" outlineLevel="0" collapsed="false">
      <c r="A2199" s="22" t="s">
        <v>5135</v>
      </c>
      <c r="B2199" s="22" t="s">
        <v>5136</v>
      </c>
      <c r="C2199" s="22" t="s">
        <v>162</v>
      </c>
      <c r="D2199" s="22" t="s">
        <v>911</v>
      </c>
      <c r="E2199" s="22" t="n">
        <v>23</v>
      </c>
      <c r="F2199" s="22" t="s">
        <v>164</v>
      </c>
    </row>
    <row r="2200" customFormat="false" ht="15" hidden="false" customHeight="false" outlineLevel="0" collapsed="false">
      <c r="A2200" s="22" t="s">
        <v>5137</v>
      </c>
      <c r="B2200" s="22" t="s">
        <v>5138</v>
      </c>
      <c r="C2200" s="22" t="s">
        <v>162</v>
      </c>
      <c r="D2200" s="22" t="s">
        <v>1066</v>
      </c>
      <c r="E2200" s="22" t="n">
        <v>59</v>
      </c>
      <c r="F2200" s="22" t="s">
        <v>159</v>
      </c>
    </row>
    <row r="2201" customFormat="false" ht="15" hidden="false" customHeight="false" outlineLevel="0" collapsed="false">
      <c r="A2201" s="22" t="s">
        <v>5139</v>
      </c>
      <c r="B2201" s="22" t="s">
        <v>5140</v>
      </c>
      <c r="C2201" s="22" t="s">
        <v>157</v>
      </c>
      <c r="D2201" s="22" t="s">
        <v>1017</v>
      </c>
      <c r="E2201" s="22" t="n">
        <v>57.2</v>
      </c>
      <c r="F2201" s="22" t="s">
        <v>164</v>
      </c>
    </row>
    <row r="2202" customFormat="false" ht="15" hidden="false" customHeight="false" outlineLevel="0" collapsed="false">
      <c r="A2202" s="22" t="s">
        <v>5141</v>
      </c>
      <c r="B2202" s="22" t="s">
        <v>5142</v>
      </c>
      <c r="C2202" s="22" t="s">
        <v>162</v>
      </c>
      <c r="D2202" s="22" t="s">
        <v>2147</v>
      </c>
      <c r="E2202" s="22" t="n">
        <v>54.2</v>
      </c>
      <c r="F2202" s="22" t="s">
        <v>215</v>
      </c>
    </row>
    <row r="2203" customFormat="false" ht="15" hidden="false" customHeight="false" outlineLevel="0" collapsed="false">
      <c r="A2203" s="22" t="s">
        <v>5143</v>
      </c>
      <c r="B2203" s="22" t="s">
        <v>3266</v>
      </c>
      <c r="C2203" s="22" t="s">
        <v>162</v>
      </c>
      <c r="D2203" s="22" t="s">
        <v>802</v>
      </c>
      <c r="E2203" s="22" t="n">
        <v>56.9</v>
      </c>
      <c r="F2203" s="22" t="s">
        <v>164</v>
      </c>
    </row>
    <row r="2204" customFormat="false" ht="15" hidden="false" customHeight="false" outlineLevel="0" collapsed="false">
      <c r="A2204" s="22" t="s">
        <v>5144</v>
      </c>
      <c r="B2204" s="22" t="s">
        <v>5145</v>
      </c>
      <c r="C2204" s="22" t="s">
        <v>162</v>
      </c>
      <c r="D2204" s="22" t="s">
        <v>1235</v>
      </c>
      <c r="E2204" s="22" t="n">
        <v>44.4</v>
      </c>
      <c r="F2204" s="22" t="s">
        <v>175</v>
      </c>
    </row>
    <row r="2205" customFormat="false" ht="15" hidden="false" customHeight="false" outlineLevel="0" collapsed="false">
      <c r="A2205" s="22" t="s">
        <v>5146</v>
      </c>
      <c r="B2205" s="22" t="s">
        <v>5147</v>
      </c>
      <c r="C2205" s="22" t="s">
        <v>162</v>
      </c>
      <c r="D2205" s="22" t="s">
        <v>422</v>
      </c>
      <c r="E2205" s="22" t="n">
        <v>43.4</v>
      </c>
      <c r="F2205" s="22" t="s">
        <v>164</v>
      </c>
    </row>
    <row r="2206" customFormat="false" ht="15" hidden="false" customHeight="false" outlineLevel="0" collapsed="false">
      <c r="A2206" s="22" t="s">
        <v>5148</v>
      </c>
      <c r="B2206" s="22" t="s">
        <v>5149</v>
      </c>
      <c r="C2206" s="22" t="s">
        <v>162</v>
      </c>
      <c r="D2206" s="22" t="s">
        <v>2780</v>
      </c>
      <c r="E2206" s="22" t="n">
        <v>43.4</v>
      </c>
      <c r="F2206" s="22" t="s">
        <v>164</v>
      </c>
    </row>
    <row r="2207" customFormat="false" ht="15" hidden="false" customHeight="false" outlineLevel="0" collapsed="false">
      <c r="A2207" s="22" t="s">
        <v>5150</v>
      </c>
      <c r="B2207" s="22" t="s">
        <v>5151</v>
      </c>
      <c r="C2207" s="22" t="s">
        <v>162</v>
      </c>
      <c r="D2207" s="22" t="s">
        <v>1603</v>
      </c>
      <c r="E2207" s="22" t="n">
        <v>56.8</v>
      </c>
      <c r="F2207" s="22" t="s">
        <v>164</v>
      </c>
    </row>
    <row r="2208" customFormat="false" ht="15" hidden="false" customHeight="false" outlineLevel="0" collapsed="false">
      <c r="A2208" s="22" t="s">
        <v>5152</v>
      </c>
      <c r="B2208" s="22" t="s">
        <v>5153</v>
      </c>
      <c r="C2208" s="22" t="s">
        <v>162</v>
      </c>
      <c r="D2208" s="22" t="s">
        <v>1066</v>
      </c>
      <c r="E2208" s="22" t="n">
        <v>22.6</v>
      </c>
      <c r="F2208" s="22" t="s">
        <v>164</v>
      </c>
    </row>
    <row r="2209" customFormat="false" ht="15" hidden="false" customHeight="false" outlineLevel="0" collapsed="false">
      <c r="A2209" s="22" t="s">
        <v>5154</v>
      </c>
      <c r="B2209" s="22" t="s">
        <v>5155</v>
      </c>
      <c r="C2209" s="22" t="s">
        <v>162</v>
      </c>
      <c r="D2209" s="22" t="s">
        <v>3182</v>
      </c>
      <c r="E2209" s="22" t="n">
        <v>43.3</v>
      </c>
      <c r="F2209" s="22" t="s">
        <v>175</v>
      </c>
    </row>
    <row r="2210" customFormat="false" ht="15" hidden="false" customHeight="false" outlineLevel="0" collapsed="false">
      <c r="A2210" s="22" t="s">
        <v>5156</v>
      </c>
      <c r="B2210" s="22" t="s">
        <v>5157</v>
      </c>
      <c r="C2210" s="22" t="s">
        <v>162</v>
      </c>
      <c r="D2210" s="22" t="s">
        <v>4988</v>
      </c>
      <c r="E2210" s="22" t="n">
        <v>36.1</v>
      </c>
      <c r="F2210" s="22" t="s">
        <v>198</v>
      </c>
    </row>
    <row r="2211" customFormat="false" ht="15" hidden="false" customHeight="false" outlineLevel="0" collapsed="false">
      <c r="A2211" s="22" t="s">
        <v>5158</v>
      </c>
      <c r="B2211" s="22" t="s">
        <v>5159</v>
      </c>
      <c r="C2211" s="22" t="s">
        <v>162</v>
      </c>
      <c r="D2211" s="22" t="s">
        <v>428</v>
      </c>
      <c r="E2211" s="22" t="n">
        <v>33.8</v>
      </c>
      <c r="F2211" s="22" t="s">
        <v>164</v>
      </c>
    </row>
    <row r="2212" customFormat="false" ht="15" hidden="false" customHeight="false" outlineLevel="0" collapsed="false">
      <c r="A2212" s="22" t="s">
        <v>5160</v>
      </c>
      <c r="B2212" s="22" t="s">
        <v>5161</v>
      </c>
      <c r="C2212" s="22" t="s">
        <v>162</v>
      </c>
      <c r="D2212" s="22" t="s">
        <v>605</v>
      </c>
      <c r="E2212" s="22" t="n">
        <v>23.6</v>
      </c>
      <c r="F2212" s="22" t="s">
        <v>164</v>
      </c>
    </row>
    <row r="2213" customFormat="false" ht="15" hidden="false" customHeight="false" outlineLevel="0" collapsed="false">
      <c r="A2213" s="22" t="s">
        <v>5162</v>
      </c>
      <c r="B2213" s="22" t="s">
        <v>5163</v>
      </c>
      <c r="C2213" s="22" t="s">
        <v>162</v>
      </c>
      <c r="D2213" s="22" t="s">
        <v>1736</v>
      </c>
      <c r="E2213" s="22" t="n">
        <v>24.2</v>
      </c>
      <c r="F2213" s="22" t="s">
        <v>175</v>
      </c>
    </row>
    <row r="2214" customFormat="false" ht="15" hidden="false" customHeight="false" outlineLevel="0" collapsed="false">
      <c r="A2214" s="22" t="s">
        <v>5164</v>
      </c>
      <c r="B2214" s="22" t="s">
        <v>5165</v>
      </c>
      <c r="C2214" s="22" t="s">
        <v>162</v>
      </c>
      <c r="D2214" s="22" t="s">
        <v>3031</v>
      </c>
      <c r="E2214" s="22" t="n">
        <v>56.9</v>
      </c>
      <c r="F2214" s="22" t="s">
        <v>164</v>
      </c>
    </row>
    <row r="2215" customFormat="false" ht="15" hidden="false" customHeight="false" outlineLevel="0" collapsed="false">
      <c r="A2215" s="22" t="s">
        <v>5166</v>
      </c>
      <c r="B2215" s="22" t="s">
        <v>5167</v>
      </c>
      <c r="C2215" s="22" t="s">
        <v>162</v>
      </c>
      <c r="D2215" s="22" t="s">
        <v>2503</v>
      </c>
      <c r="E2215" s="22" t="n">
        <v>20.5</v>
      </c>
      <c r="F2215" s="22" t="s">
        <v>164</v>
      </c>
    </row>
    <row r="2216" customFormat="false" ht="15" hidden="false" customHeight="false" outlineLevel="0" collapsed="false">
      <c r="A2216" s="22" t="s">
        <v>5168</v>
      </c>
      <c r="B2216" s="22" t="s">
        <v>5169</v>
      </c>
      <c r="C2216" s="22" t="s">
        <v>162</v>
      </c>
      <c r="D2216" s="22" t="s">
        <v>3259</v>
      </c>
      <c r="E2216" s="22" t="n">
        <v>59.7</v>
      </c>
      <c r="F2216" s="22" t="s">
        <v>175</v>
      </c>
    </row>
    <row r="2217" customFormat="false" ht="15" hidden="false" customHeight="false" outlineLevel="0" collapsed="false">
      <c r="A2217" s="22" t="s">
        <v>5170</v>
      </c>
      <c r="B2217" s="22" t="s">
        <v>5171</v>
      </c>
      <c r="C2217" s="22" t="s">
        <v>162</v>
      </c>
      <c r="D2217" s="22" t="s">
        <v>1253</v>
      </c>
      <c r="E2217" s="22" t="n">
        <v>58.3</v>
      </c>
      <c r="F2217" s="22" t="s">
        <v>175</v>
      </c>
    </row>
    <row r="2218" customFormat="false" ht="15" hidden="false" customHeight="false" outlineLevel="0" collapsed="false">
      <c r="A2218" s="22" t="s">
        <v>5172</v>
      </c>
      <c r="B2218" s="22" t="s">
        <v>5173</v>
      </c>
      <c r="C2218" s="22" t="s">
        <v>162</v>
      </c>
      <c r="D2218" s="22" t="s">
        <v>605</v>
      </c>
      <c r="E2218" s="22" t="n">
        <v>29.2</v>
      </c>
      <c r="F2218" s="22" t="s">
        <v>175</v>
      </c>
    </row>
    <row r="2219" customFormat="false" ht="15" hidden="false" customHeight="false" outlineLevel="0" collapsed="false">
      <c r="A2219" s="22" t="s">
        <v>5174</v>
      </c>
      <c r="B2219" s="22" t="s">
        <v>5175</v>
      </c>
      <c r="C2219" s="22" t="s">
        <v>157</v>
      </c>
      <c r="D2219" s="22" t="s">
        <v>4704</v>
      </c>
      <c r="E2219" s="22" t="n">
        <v>54.8</v>
      </c>
      <c r="F2219" s="22" t="s">
        <v>175</v>
      </c>
    </row>
    <row r="2220" customFormat="false" ht="15" hidden="false" customHeight="false" outlineLevel="0" collapsed="false">
      <c r="A2220" s="22" t="s">
        <v>5176</v>
      </c>
      <c r="B2220" s="22" t="s">
        <v>5177</v>
      </c>
      <c r="C2220" s="22" t="s">
        <v>162</v>
      </c>
      <c r="D2220" s="22" t="s">
        <v>416</v>
      </c>
      <c r="E2220" s="22" t="n">
        <v>21.2</v>
      </c>
      <c r="F2220" s="22" t="s">
        <v>164</v>
      </c>
    </row>
    <row r="2221" customFormat="false" ht="15" hidden="false" customHeight="false" outlineLevel="0" collapsed="false">
      <c r="A2221" s="22" t="s">
        <v>5178</v>
      </c>
      <c r="B2221" s="22" t="s">
        <v>5179</v>
      </c>
      <c r="C2221" s="22" t="s">
        <v>162</v>
      </c>
      <c r="D2221" s="22" t="s">
        <v>752</v>
      </c>
      <c r="E2221" s="22" t="n">
        <v>36.1</v>
      </c>
      <c r="F2221" s="22" t="s">
        <v>188</v>
      </c>
    </row>
    <row r="2222" customFormat="false" ht="15" hidden="false" customHeight="false" outlineLevel="0" collapsed="false">
      <c r="A2222" s="22" t="s">
        <v>5180</v>
      </c>
      <c r="B2222" s="22" t="s">
        <v>5181</v>
      </c>
      <c r="C2222" s="22" t="s">
        <v>162</v>
      </c>
      <c r="D2222" s="22" t="s">
        <v>4642</v>
      </c>
      <c r="E2222" s="22" t="n">
        <v>48.3</v>
      </c>
      <c r="F2222" s="22" t="s">
        <v>164</v>
      </c>
    </row>
    <row r="2223" customFormat="false" ht="15" hidden="false" customHeight="false" outlineLevel="0" collapsed="false">
      <c r="A2223" s="22" t="s">
        <v>5182</v>
      </c>
      <c r="B2223" s="22" t="s">
        <v>5183</v>
      </c>
      <c r="C2223" s="22" t="s">
        <v>162</v>
      </c>
      <c r="D2223" s="22" t="s">
        <v>2238</v>
      </c>
      <c r="E2223" s="22" t="n">
        <v>20.8</v>
      </c>
      <c r="F2223" s="22" t="s">
        <v>164</v>
      </c>
    </row>
    <row r="2224" customFormat="false" ht="15" hidden="false" customHeight="false" outlineLevel="0" collapsed="false">
      <c r="A2224" s="22" t="s">
        <v>5184</v>
      </c>
      <c r="B2224" s="22" t="s">
        <v>5185</v>
      </c>
      <c r="C2224" s="22" t="s">
        <v>207</v>
      </c>
      <c r="D2224" s="22" t="s">
        <v>1548</v>
      </c>
      <c r="E2224" s="22" t="n">
        <v>32.5</v>
      </c>
      <c r="F2224" s="22" t="s">
        <v>188</v>
      </c>
    </row>
    <row r="2225" customFormat="false" ht="15" hidden="false" customHeight="false" outlineLevel="0" collapsed="false">
      <c r="A2225" s="22" t="s">
        <v>5186</v>
      </c>
      <c r="B2225" s="22" t="s">
        <v>5187</v>
      </c>
      <c r="C2225" s="22" t="s">
        <v>162</v>
      </c>
      <c r="D2225" s="22" t="s">
        <v>778</v>
      </c>
      <c r="E2225" s="22" t="n">
        <v>56.6</v>
      </c>
      <c r="F2225" s="22" t="s">
        <v>188</v>
      </c>
    </row>
    <row r="2226" customFormat="false" ht="15" hidden="false" customHeight="false" outlineLevel="0" collapsed="false">
      <c r="A2226" s="22" t="s">
        <v>5188</v>
      </c>
      <c r="B2226" s="22" t="s">
        <v>5189</v>
      </c>
      <c r="C2226" s="22" t="s">
        <v>162</v>
      </c>
      <c r="D2226" s="22" t="s">
        <v>546</v>
      </c>
      <c r="E2226" s="22" t="n">
        <v>34.2</v>
      </c>
      <c r="F2226" s="22" t="s">
        <v>198</v>
      </c>
    </row>
    <row r="2227" customFormat="false" ht="15" hidden="false" customHeight="false" outlineLevel="0" collapsed="false">
      <c r="A2227" s="22" t="s">
        <v>5190</v>
      </c>
      <c r="B2227" s="22" t="s">
        <v>5191</v>
      </c>
      <c r="C2227" s="22" t="s">
        <v>162</v>
      </c>
      <c r="D2227" s="22" t="s">
        <v>4653</v>
      </c>
      <c r="E2227" s="22" t="n">
        <v>23.9</v>
      </c>
      <c r="F2227" s="22" t="s">
        <v>164</v>
      </c>
    </row>
    <row r="2228" customFormat="false" ht="15" hidden="false" customHeight="false" outlineLevel="0" collapsed="false">
      <c r="A2228" s="22" t="s">
        <v>5192</v>
      </c>
      <c r="B2228" s="22" t="s">
        <v>5193</v>
      </c>
      <c r="C2228" s="22" t="s">
        <v>162</v>
      </c>
      <c r="D2228" s="22" t="s">
        <v>1695</v>
      </c>
      <c r="E2228" s="22" t="n">
        <v>58.9</v>
      </c>
      <c r="F2228" s="22" t="s">
        <v>198</v>
      </c>
    </row>
    <row r="2229" customFormat="false" ht="15" hidden="false" customHeight="false" outlineLevel="0" collapsed="false">
      <c r="A2229" s="22" t="s">
        <v>5194</v>
      </c>
      <c r="B2229" s="22" t="s">
        <v>5195</v>
      </c>
      <c r="C2229" s="22" t="s">
        <v>162</v>
      </c>
      <c r="D2229" s="22" t="s">
        <v>2468</v>
      </c>
      <c r="E2229" s="22" t="n">
        <v>47.5</v>
      </c>
      <c r="F2229" s="22" t="s">
        <v>499</v>
      </c>
    </row>
    <row r="2230" customFormat="false" ht="15" hidden="false" customHeight="false" outlineLevel="0" collapsed="false">
      <c r="A2230" s="22" t="s">
        <v>5196</v>
      </c>
      <c r="B2230" s="22" t="s">
        <v>5197</v>
      </c>
      <c r="C2230" s="22" t="s">
        <v>162</v>
      </c>
      <c r="D2230" s="22" t="s">
        <v>621</v>
      </c>
      <c r="E2230" s="22" t="n">
        <v>59.8</v>
      </c>
      <c r="F2230" s="22" t="s">
        <v>198</v>
      </c>
    </row>
    <row r="2231" customFormat="false" ht="15" hidden="false" customHeight="false" outlineLevel="0" collapsed="false">
      <c r="A2231" s="22" t="s">
        <v>5198</v>
      </c>
      <c r="B2231" s="22" t="s">
        <v>5199</v>
      </c>
      <c r="C2231" s="22" t="s">
        <v>162</v>
      </c>
      <c r="D2231" s="22" t="s">
        <v>367</v>
      </c>
      <c r="E2231" s="22" t="n">
        <v>60.7</v>
      </c>
      <c r="F2231" s="22" t="s">
        <v>164</v>
      </c>
    </row>
    <row r="2232" customFormat="false" ht="15" hidden="false" customHeight="false" outlineLevel="0" collapsed="false">
      <c r="A2232" s="22" t="s">
        <v>5200</v>
      </c>
      <c r="B2232" s="22" t="s">
        <v>5201</v>
      </c>
      <c r="C2232" s="22" t="s">
        <v>162</v>
      </c>
      <c r="D2232" s="22" t="s">
        <v>3072</v>
      </c>
      <c r="E2232" s="22" t="n">
        <v>21.9</v>
      </c>
      <c r="F2232" s="22" t="s">
        <v>164</v>
      </c>
    </row>
    <row r="2233" customFormat="false" ht="15" hidden="false" customHeight="false" outlineLevel="0" collapsed="false">
      <c r="A2233" s="22" t="s">
        <v>5202</v>
      </c>
      <c r="B2233" s="22" t="s">
        <v>5203</v>
      </c>
      <c r="C2233" s="22" t="s">
        <v>162</v>
      </c>
      <c r="D2233" s="22" t="s">
        <v>787</v>
      </c>
      <c r="E2233" s="22" t="n">
        <v>23.5</v>
      </c>
      <c r="F2233" s="22" t="s">
        <v>159</v>
      </c>
    </row>
    <row r="2234" customFormat="false" ht="15" hidden="false" customHeight="false" outlineLevel="0" collapsed="false">
      <c r="A2234" s="22" t="s">
        <v>5204</v>
      </c>
      <c r="B2234" s="22" t="s">
        <v>5205</v>
      </c>
      <c r="C2234" s="22" t="s">
        <v>162</v>
      </c>
      <c r="D2234" s="22" t="s">
        <v>626</v>
      </c>
      <c r="E2234" s="22" t="n">
        <v>19.2</v>
      </c>
      <c r="F2234" s="22" t="s">
        <v>175</v>
      </c>
    </row>
    <row r="2235" customFormat="false" ht="15" hidden="false" customHeight="false" outlineLevel="0" collapsed="false">
      <c r="A2235" s="22" t="s">
        <v>5206</v>
      </c>
      <c r="B2235" s="22" t="s">
        <v>5207</v>
      </c>
      <c r="C2235" s="22" t="s">
        <v>162</v>
      </c>
      <c r="D2235" s="22" t="s">
        <v>576</v>
      </c>
      <c r="E2235" s="22" t="n">
        <v>39.1</v>
      </c>
      <c r="F2235" s="22" t="s">
        <v>164</v>
      </c>
    </row>
    <row r="2236" customFormat="false" ht="15" hidden="false" customHeight="false" outlineLevel="0" collapsed="false">
      <c r="A2236" s="22" t="s">
        <v>5208</v>
      </c>
      <c r="B2236" s="22" t="s">
        <v>5209</v>
      </c>
      <c r="C2236" s="22" t="s">
        <v>162</v>
      </c>
      <c r="D2236" s="22" t="s">
        <v>2324</v>
      </c>
      <c r="E2236" s="22" t="n">
        <v>60.7</v>
      </c>
      <c r="F2236" s="22" t="s">
        <v>164</v>
      </c>
    </row>
    <row r="2237" customFormat="false" ht="15" hidden="false" customHeight="false" outlineLevel="0" collapsed="false">
      <c r="A2237" s="22" t="s">
        <v>5210</v>
      </c>
      <c r="B2237" s="22" t="s">
        <v>5211</v>
      </c>
      <c r="C2237" s="22" t="s">
        <v>162</v>
      </c>
      <c r="D2237" s="22" t="s">
        <v>602</v>
      </c>
      <c r="E2237" s="22" t="n">
        <v>47.7</v>
      </c>
      <c r="F2237" s="22" t="s">
        <v>188</v>
      </c>
    </row>
    <row r="2238" customFormat="false" ht="15" hidden="false" customHeight="false" outlineLevel="0" collapsed="false">
      <c r="A2238" s="22" t="s">
        <v>5212</v>
      </c>
      <c r="B2238" s="22" t="s">
        <v>5213</v>
      </c>
      <c r="C2238" s="22" t="s">
        <v>162</v>
      </c>
      <c r="D2238" s="22" t="s">
        <v>1774</v>
      </c>
      <c r="E2238" s="22" t="n">
        <v>29</v>
      </c>
      <c r="F2238" s="22" t="s">
        <v>159</v>
      </c>
    </row>
    <row r="2239" customFormat="false" ht="15" hidden="false" customHeight="false" outlineLevel="0" collapsed="false">
      <c r="A2239" s="22" t="s">
        <v>5214</v>
      </c>
      <c r="B2239" s="22" t="s">
        <v>5215</v>
      </c>
      <c r="C2239" s="22" t="s">
        <v>162</v>
      </c>
      <c r="D2239" s="22" t="s">
        <v>1840</v>
      </c>
      <c r="E2239" s="22" t="n">
        <v>44.9</v>
      </c>
      <c r="F2239" s="22" t="s">
        <v>175</v>
      </c>
    </row>
    <row r="2240" customFormat="false" ht="15" hidden="false" customHeight="false" outlineLevel="0" collapsed="false">
      <c r="A2240" s="22" t="s">
        <v>5216</v>
      </c>
      <c r="B2240" s="22" t="s">
        <v>5217</v>
      </c>
      <c r="C2240" s="22" t="s">
        <v>162</v>
      </c>
      <c r="D2240" s="22" t="s">
        <v>5218</v>
      </c>
      <c r="E2240" s="22" t="n">
        <v>21.7</v>
      </c>
      <c r="F2240" s="22" t="s">
        <v>499</v>
      </c>
    </row>
    <row r="2241" customFormat="false" ht="15" hidden="false" customHeight="false" outlineLevel="0" collapsed="false">
      <c r="A2241" s="22" t="s">
        <v>5219</v>
      </c>
      <c r="B2241" s="22" t="s">
        <v>5220</v>
      </c>
      <c r="C2241" s="22" t="s">
        <v>162</v>
      </c>
      <c r="D2241" s="22" t="s">
        <v>3216</v>
      </c>
      <c r="E2241" s="22" t="n">
        <v>31.3</v>
      </c>
      <c r="F2241" s="22" t="s">
        <v>164</v>
      </c>
    </row>
    <row r="2242" customFormat="false" ht="15" hidden="false" customHeight="false" outlineLevel="0" collapsed="false">
      <c r="A2242" s="22" t="s">
        <v>5221</v>
      </c>
      <c r="B2242" s="22" t="s">
        <v>5222</v>
      </c>
      <c r="C2242" s="22" t="s">
        <v>162</v>
      </c>
      <c r="D2242" s="22" t="s">
        <v>3105</v>
      </c>
      <c r="E2242" s="22" t="n">
        <v>39.8</v>
      </c>
      <c r="F2242" s="22" t="s">
        <v>164</v>
      </c>
    </row>
    <row r="2243" customFormat="false" ht="15" hidden="false" customHeight="false" outlineLevel="0" collapsed="false">
      <c r="A2243" s="22" t="s">
        <v>5223</v>
      </c>
      <c r="B2243" s="22" t="s">
        <v>5224</v>
      </c>
      <c r="C2243" s="22" t="s">
        <v>162</v>
      </c>
      <c r="D2243" s="22" t="s">
        <v>4476</v>
      </c>
      <c r="E2243" s="22" t="n">
        <v>60.2</v>
      </c>
      <c r="F2243" s="22" t="s">
        <v>175</v>
      </c>
    </row>
    <row r="2244" customFormat="false" ht="15" hidden="false" customHeight="false" outlineLevel="0" collapsed="false">
      <c r="A2244" s="22" t="s">
        <v>5225</v>
      </c>
      <c r="B2244" s="22" t="s">
        <v>5226</v>
      </c>
      <c r="C2244" s="22" t="s">
        <v>162</v>
      </c>
      <c r="D2244" s="22" t="s">
        <v>364</v>
      </c>
      <c r="E2244" s="22" t="n">
        <v>47.4</v>
      </c>
      <c r="F2244" s="22" t="s">
        <v>198</v>
      </c>
    </row>
    <row r="2245" customFormat="false" ht="15" hidden="false" customHeight="false" outlineLevel="0" collapsed="false">
      <c r="A2245" s="22" t="s">
        <v>5227</v>
      </c>
      <c r="B2245" s="22" t="s">
        <v>5228</v>
      </c>
      <c r="C2245" s="22" t="s">
        <v>162</v>
      </c>
      <c r="D2245" s="22" t="s">
        <v>242</v>
      </c>
      <c r="E2245" s="22" t="n">
        <v>43.4</v>
      </c>
      <c r="F2245" s="22" t="s">
        <v>175</v>
      </c>
    </row>
    <row r="2246" customFormat="false" ht="15" hidden="false" customHeight="false" outlineLevel="0" collapsed="false">
      <c r="A2246" s="22" t="s">
        <v>5229</v>
      </c>
      <c r="B2246" s="22" t="s">
        <v>5230</v>
      </c>
      <c r="C2246" s="22" t="s">
        <v>162</v>
      </c>
      <c r="D2246" s="22" t="s">
        <v>158</v>
      </c>
      <c r="E2246" s="22" t="n">
        <v>39.6</v>
      </c>
      <c r="F2246" s="22" t="s">
        <v>171</v>
      </c>
    </row>
    <row r="2247" customFormat="false" ht="15" hidden="false" customHeight="false" outlineLevel="0" collapsed="false">
      <c r="A2247" s="22" t="s">
        <v>5231</v>
      </c>
      <c r="B2247" s="22" t="s">
        <v>5232</v>
      </c>
      <c r="C2247" s="22" t="s">
        <v>207</v>
      </c>
      <c r="D2247" s="22" t="s">
        <v>1499</v>
      </c>
      <c r="E2247" s="22" t="n">
        <v>29.2</v>
      </c>
      <c r="F2247" s="22" t="s">
        <v>171</v>
      </c>
    </row>
    <row r="2248" customFormat="false" ht="15" hidden="false" customHeight="false" outlineLevel="0" collapsed="false">
      <c r="A2248" s="22" t="s">
        <v>5233</v>
      </c>
      <c r="B2248" s="22" t="s">
        <v>5234</v>
      </c>
      <c r="C2248" s="22" t="s">
        <v>566</v>
      </c>
      <c r="D2248" s="22" t="s">
        <v>2684</v>
      </c>
      <c r="E2248" s="22" t="n">
        <v>33.5</v>
      </c>
      <c r="F2248" s="22" t="s">
        <v>171</v>
      </c>
    </row>
    <row r="2249" customFormat="false" ht="15" hidden="false" customHeight="false" outlineLevel="0" collapsed="false">
      <c r="A2249" s="22" t="s">
        <v>5235</v>
      </c>
      <c r="B2249" s="22" t="s">
        <v>5236</v>
      </c>
      <c r="C2249" s="22" t="s">
        <v>162</v>
      </c>
      <c r="D2249" s="22" t="s">
        <v>588</v>
      </c>
      <c r="E2249" s="22" t="n">
        <v>20.5</v>
      </c>
      <c r="F2249" s="22" t="s">
        <v>175</v>
      </c>
    </row>
    <row r="2250" customFormat="false" ht="15" hidden="false" customHeight="false" outlineLevel="0" collapsed="false">
      <c r="A2250" s="22" t="s">
        <v>5237</v>
      </c>
      <c r="B2250" s="22" t="s">
        <v>5238</v>
      </c>
      <c r="C2250" s="22" t="s">
        <v>162</v>
      </c>
      <c r="D2250" s="22" t="s">
        <v>4873</v>
      </c>
      <c r="E2250" s="22" t="n">
        <v>60.8</v>
      </c>
      <c r="F2250" s="22" t="s">
        <v>164</v>
      </c>
    </row>
    <row r="2251" customFormat="false" ht="15" hidden="false" customHeight="false" outlineLevel="0" collapsed="false">
      <c r="A2251" s="22" t="s">
        <v>5239</v>
      </c>
      <c r="B2251" s="22" t="s">
        <v>5240</v>
      </c>
      <c r="C2251" s="22" t="s">
        <v>162</v>
      </c>
      <c r="D2251" s="22" t="s">
        <v>632</v>
      </c>
      <c r="E2251" s="22" t="n">
        <v>38.3</v>
      </c>
      <c r="F2251" s="22" t="s">
        <v>164</v>
      </c>
    </row>
    <row r="2252" customFormat="false" ht="15" hidden="false" customHeight="false" outlineLevel="0" collapsed="false">
      <c r="A2252" s="22" t="s">
        <v>5241</v>
      </c>
      <c r="B2252" s="22" t="s">
        <v>5242</v>
      </c>
      <c r="C2252" s="22" t="s">
        <v>162</v>
      </c>
      <c r="D2252" s="22" t="s">
        <v>2057</v>
      </c>
      <c r="E2252" s="22" t="n">
        <v>29</v>
      </c>
      <c r="F2252" s="22" t="s">
        <v>164</v>
      </c>
    </row>
    <row r="2253" customFormat="false" ht="15" hidden="false" customHeight="false" outlineLevel="0" collapsed="false">
      <c r="A2253" s="22" t="s">
        <v>5243</v>
      </c>
      <c r="B2253" s="22" t="s">
        <v>5244</v>
      </c>
      <c r="C2253" s="22" t="s">
        <v>162</v>
      </c>
      <c r="D2253" s="22" t="s">
        <v>1428</v>
      </c>
      <c r="E2253" s="22" t="n">
        <v>41.3</v>
      </c>
      <c r="F2253" s="22" t="s">
        <v>175</v>
      </c>
    </row>
    <row r="2254" customFormat="false" ht="15" hidden="false" customHeight="false" outlineLevel="0" collapsed="false">
      <c r="A2254" s="22" t="s">
        <v>5245</v>
      </c>
      <c r="B2254" s="22" t="s">
        <v>5246</v>
      </c>
      <c r="C2254" s="22" t="s">
        <v>162</v>
      </c>
      <c r="D2254" s="22" t="s">
        <v>635</v>
      </c>
      <c r="E2254" s="22" t="n">
        <v>37.1</v>
      </c>
      <c r="F2254" s="22" t="s">
        <v>164</v>
      </c>
    </row>
    <row r="2255" customFormat="false" ht="15" hidden="false" customHeight="false" outlineLevel="0" collapsed="false">
      <c r="A2255" s="22" t="s">
        <v>5247</v>
      </c>
      <c r="B2255" s="22" t="s">
        <v>5248</v>
      </c>
      <c r="C2255" s="22" t="s">
        <v>162</v>
      </c>
      <c r="D2255" s="22" t="s">
        <v>570</v>
      </c>
      <c r="E2255" s="22" t="n">
        <v>19.9</v>
      </c>
      <c r="F2255" s="22" t="s">
        <v>198</v>
      </c>
    </row>
    <row r="2256" customFormat="false" ht="15" hidden="false" customHeight="false" outlineLevel="0" collapsed="false">
      <c r="A2256" s="22" t="s">
        <v>5249</v>
      </c>
      <c r="B2256" s="22" t="s">
        <v>5250</v>
      </c>
      <c r="C2256" s="22" t="s">
        <v>162</v>
      </c>
      <c r="D2256" s="22" t="s">
        <v>3446</v>
      </c>
      <c r="E2256" s="22" t="n">
        <v>56.7</v>
      </c>
      <c r="F2256" s="22" t="s">
        <v>159</v>
      </c>
    </row>
    <row r="2257" customFormat="false" ht="15" hidden="false" customHeight="false" outlineLevel="0" collapsed="false">
      <c r="A2257" s="22" t="s">
        <v>5251</v>
      </c>
      <c r="B2257" s="22" t="s">
        <v>5252</v>
      </c>
      <c r="C2257" s="22" t="s">
        <v>162</v>
      </c>
      <c r="D2257" s="22" t="s">
        <v>2903</v>
      </c>
      <c r="E2257" s="22" t="n">
        <v>50.7</v>
      </c>
      <c r="F2257" s="22" t="s">
        <v>164</v>
      </c>
    </row>
    <row r="2258" customFormat="false" ht="15" hidden="false" customHeight="false" outlineLevel="0" collapsed="false">
      <c r="A2258" s="22" t="s">
        <v>5253</v>
      </c>
      <c r="B2258" s="22" t="s">
        <v>5254</v>
      </c>
      <c r="C2258" s="22" t="s">
        <v>162</v>
      </c>
      <c r="D2258" s="22" t="s">
        <v>5255</v>
      </c>
      <c r="E2258" s="22" t="n">
        <v>37.1</v>
      </c>
      <c r="F2258" s="22" t="s">
        <v>188</v>
      </c>
    </row>
    <row r="2259" customFormat="false" ht="15" hidden="false" customHeight="false" outlineLevel="0" collapsed="false">
      <c r="A2259" s="22" t="s">
        <v>5256</v>
      </c>
      <c r="B2259" s="22" t="s">
        <v>5257</v>
      </c>
      <c r="C2259" s="22" t="s">
        <v>162</v>
      </c>
      <c r="D2259" s="22" t="s">
        <v>3385</v>
      </c>
      <c r="E2259" s="22" t="n">
        <v>21.6</v>
      </c>
      <c r="F2259" s="22" t="s">
        <v>188</v>
      </c>
    </row>
    <row r="2260" customFormat="false" ht="15" hidden="false" customHeight="false" outlineLevel="0" collapsed="false">
      <c r="A2260" s="22" t="s">
        <v>5258</v>
      </c>
      <c r="B2260" s="22" t="s">
        <v>5259</v>
      </c>
      <c r="C2260" s="22" t="s">
        <v>162</v>
      </c>
      <c r="D2260" s="22" t="s">
        <v>684</v>
      </c>
      <c r="E2260" s="22" t="n">
        <v>32.8</v>
      </c>
      <c r="F2260" s="22" t="s">
        <v>164</v>
      </c>
    </row>
    <row r="2261" customFormat="false" ht="15" hidden="false" customHeight="false" outlineLevel="0" collapsed="false">
      <c r="A2261" s="22" t="s">
        <v>5260</v>
      </c>
      <c r="B2261" s="22" t="s">
        <v>5261</v>
      </c>
      <c r="C2261" s="22" t="s">
        <v>162</v>
      </c>
      <c r="D2261" s="22" t="s">
        <v>711</v>
      </c>
      <c r="E2261" s="22" t="n">
        <v>58</v>
      </c>
      <c r="F2261" s="22" t="s">
        <v>164</v>
      </c>
    </row>
    <row r="2262" customFormat="false" ht="15" hidden="false" customHeight="false" outlineLevel="0" collapsed="false">
      <c r="A2262" s="22" t="s">
        <v>5262</v>
      </c>
      <c r="B2262" s="22" t="s">
        <v>5263</v>
      </c>
      <c r="C2262" s="22" t="s">
        <v>162</v>
      </c>
      <c r="D2262" s="22" t="s">
        <v>2871</v>
      </c>
      <c r="E2262" s="22" t="n">
        <v>57</v>
      </c>
      <c r="F2262" s="22" t="s">
        <v>175</v>
      </c>
    </row>
    <row r="2263" customFormat="false" ht="15" hidden="false" customHeight="false" outlineLevel="0" collapsed="false">
      <c r="A2263" s="22" t="s">
        <v>5264</v>
      </c>
      <c r="B2263" s="22" t="s">
        <v>5265</v>
      </c>
      <c r="C2263" s="22" t="s">
        <v>162</v>
      </c>
      <c r="D2263" s="22" t="s">
        <v>1690</v>
      </c>
      <c r="E2263" s="22" t="n">
        <v>26</v>
      </c>
      <c r="F2263" s="22" t="s">
        <v>175</v>
      </c>
    </row>
    <row r="2264" customFormat="false" ht="15" hidden="false" customHeight="false" outlineLevel="0" collapsed="false">
      <c r="A2264" s="22" t="s">
        <v>5266</v>
      </c>
      <c r="B2264" s="22" t="s">
        <v>5267</v>
      </c>
      <c r="C2264" s="22" t="s">
        <v>162</v>
      </c>
      <c r="D2264" s="22" t="s">
        <v>1115</v>
      </c>
      <c r="E2264" s="22" t="n">
        <v>33.6</v>
      </c>
      <c r="F2264" s="22" t="s">
        <v>188</v>
      </c>
    </row>
    <row r="2265" customFormat="false" ht="15" hidden="false" customHeight="false" outlineLevel="0" collapsed="false">
      <c r="A2265" s="22" t="s">
        <v>5268</v>
      </c>
      <c r="B2265" s="22" t="s">
        <v>5269</v>
      </c>
      <c r="C2265" s="22" t="s">
        <v>162</v>
      </c>
      <c r="D2265" s="22" t="s">
        <v>841</v>
      </c>
      <c r="E2265" s="22" t="n">
        <v>40.1</v>
      </c>
      <c r="F2265" s="22" t="s">
        <v>164</v>
      </c>
    </row>
    <row r="2266" customFormat="false" ht="15" hidden="false" customHeight="false" outlineLevel="0" collapsed="false">
      <c r="A2266" s="22" t="s">
        <v>5270</v>
      </c>
      <c r="B2266" s="22" t="s">
        <v>5271</v>
      </c>
      <c r="C2266" s="22" t="s">
        <v>162</v>
      </c>
      <c r="D2266" s="22" t="s">
        <v>4287</v>
      </c>
      <c r="E2266" s="22" t="n">
        <v>50.5</v>
      </c>
      <c r="F2266" s="22" t="s">
        <v>159</v>
      </c>
    </row>
    <row r="2267" customFormat="false" ht="15" hidden="false" customHeight="false" outlineLevel="0" collapsed="false">
      <c r="A2267" s="22" t="s">
        <v>5272</v>
      </c>
      <c r="B2267" s="22" t="s">
        <v>5273</v>
      </c>
      <c r="C2267" s="22" t="s">
        <v>207</v>
      </c>
      <c r="D2267" s="22" t="s">
        <v>972</v>
      </c>
      <c r="E2267" s="22" t="n">
        <v>20.6</v>
      </c>
      <c r="F2267" s="22" t="s">
        <v>164</v>
      </c>
    </row>
    <row r="2268" customFormat="false" ht="15" hidden="false" customHeight="false" outlineLevel="0" collapsed="false">
      <c r="A2268" s="22" t="s">
        <v>5274</v>
      </c>
      <c r="B2268" s="22" t="s">
        <v>5275</v>
      </c>
      <c r="C2268" s="22" t="s">
        <v>162</v>
      </c>
      <c r="D2268" s="22" t="s">
        <v>407</v>
      </c>
      <c r="E2268" s="22" t="n">
        <v>54</v>
      </c>
      <c r="F2268" s="22" t="s">
        <v>175</v>
      </c>
    </row>
    <row r="2269" customFormat="false" ht="15" hidden="false" customHeight="false" outlineLevel="0" collapsed="false">
      <c r="A2269" s="22" t="s">
        <v>5276</v>
      </c>
      <c r="B2269" s="22" t="s">
        <v>5277</v>
      </c>
      <c r="C2269" s="22" t="s">
        <v>162</v>
      </c>
      <c r="D2269" s="22" t="s">
        <v>2147</v>
      </c>
      <c r="E2269" s="22" t="n">
        <v>53.1</v>
      </c>
      <c r="F2269" s="22" t="s">
        <v>171</v>
      </c>
    </row>
    <row r="2270" customFormat="false" ht="15" hidden="false" customHeight="false" outlineLevel="0" collapsed="false">
      <c r="A2270" s="22" t="s">
        <v>5278</v>
      </c>
      <c r="B2270" s="22" t="s">
        <v>5279</v>
      </c>
      <c r="C2270" s="22" t="s">
        <v>162</v>
      </c>
      <c r="D2270" s="22" t="s">
        <v>672</v>
      </c>
      <c r="E2270" s="22" t="n">
        <v>33.7</v>
      </c>
      <c r="F2270" s="22" t="s">
        <v>164</v>
      </c>
    </row>
    <row r="2271" customFormat="false" ht="15" hidden="false" customHeight="false" outlineLevel="0" collapsed="false">
      <c r="A2271" s="22" t="s">
        <v>5280</v>
      </c>
      <c r="B2271" s="22" t="s">
        <v>5281</v>
      </c>
      <c r="C2271" s="22" t="s">
        <v>207</v>
      </c>
      <c r="D2271" s="22" t="s">
        <v>1438</v>
      </c>
      <c r="E2271" s="22" t="n">
        <v>45.7</v>
      </c>
      <c r="F2271" s="22" t="s">
        <v>164</v>
      </c>
    </row>
    <row r="2272" customFormat="false" ht="15" hidden="false" customHeight="false" outlineLevel="0" collapsed="false">
      <c r="A2272" s="22" t="s">
        <v>5282</v>
      </c>
      <c r="B2272" s="22" t="s">
        <v>5283</v>
      </c>
      <c r="C2272" s="22" t="s">
        <v>162</v>
      </c>
      <c r="D2272" s="22" t="s">
        <v>416</v>
      </c>
      <c r="E2272" s="22" t="n">
        <v>24.9</v>
      </c>
      <c r="F2272" s="22" t="s">
        <v>159</v>
      </c>
    </row>
    <row r="2273" customFormat="false" ht="15" hidden="false" customHeight="false" outlineLevel="0" collapsed="false">
      <c r="A2273" s="22" t="s">
        <v>5284</v>
      </c>
      <c r="B2273" s="22" t="s">
        <v>5285</v>
      </c>
      <c r="C2273" s="22" t="s">
        <v>566</v>
      </c>
      <c r="D2273" s="22" t="s">
        <v>838</v>
      </c>
      <c r="E2273" s="22" t="n">
        <v>46.9</v>
      </c>
      <c r="F2273" s="22" t="s">
        <v>159</v>
      </c>
    </row>
    <row r="2274" customFormat="false" ht="15" hidden="false" customHeight="false" outlineLevel="0" collapsed="false">
      <c r="A2274" s="22" t="s">
        <v>5286</v>
      </c>
      <c r="B2274" s="22" t="s">
        <v>5287</v>
      </c>
      <c r="C2274" s="22" t="s">
        <v>162</v>
      </c>
      <c r="D2274" s="22" t="s">
        <v>1974</v>
      </c>
      <c r="E2274" s="22" t="n">
        <v>29.3</v>
      </c>
      <c r="F2274" s="22" t="s">
        <v>175</v>
      </c>
    </row>
    <row r="2275" customFormat="false" ht="15" hidden="false" customHeight="false" outlineLevel="0" collapsed="false">
      <c r="A2275" s="22" t="s">
        <v>5288</v>
      </c>
      <c r="B2275" s="22" t="s">
        <v>5289</v>
      </c>
      <c r="C2275" s="22" t="s">
        <v>162</v>
      </c>
      <c r="D2275" s="22" t="s">
        <v>857</v>
      </c>
      <c r="E2275" s="22" t="n">
        <v>26.3</v>
      </c>
      <c r="F2275" s="22" t="s">
        <v>164</v>
      </c>
    </row>
    <row r="2276" customFormat="false" ht="15" hidden="false" customHeight="false" outlineLevel="0" collapsed="false">
      <c r="A2276" s="22" t="s">
        <v>5290</v>
      </c>
      <c r="B2276" s="22" t="s">
        <v>5291</v>
      </c>
      <c r="C2276" s="22" t="s">
        <v>162</v>
      </c>
      <c r="D2276" s="22" t="s">
        <v>4993</v>
      </c>
      <c r="E2276" s="22" t="n">
        <v>40.5</v>
      </c>
      <c r="F2276" s="22" t="s">
        <v>175</v>
      </c>
    </row>
    <row r="2277" customFormat="false" ht="15" hidden="false" customHeight="false" outlineLevel="0" collapsed="false">
      <c r="A2277" s="22" t="s">
        <v>5292</v>
      </c>
      <c r="B2277" s="22" t="s">
        <v>5293</v>
      </c>
      <c r="C2277" s="22" t="s">
        <v>566</v>
      </c>
      <c r="D2277" s="22" t="s">
        <v>2116</v>
      </c>
      <c r="E2277" s="22" t="n">
        <v>54.9</v>
      </c>
      <c r="F2277" s="22" t="s">
        <v>159</v>
      </c>
    </row>
    <row r="2278" customFormat="false" ht="15" hidden="false" customHeight="false" outlineLevel="0" collapsed="false">
      <c r="A2278" s="22" t="s">
        <v>5294</v>
      </c>
      <c r="B2278" s="22" t="s">
        <v>5295</v>
      </c>
      <c r="C2278" s="22" t="s">
        <v>162</v>
      </c>
      <c r="D2278" s="22" t="s">
        <v>477</v>
      </c>
      <c r="E2278" s="22" t="n">
        <v>61.5</v>
      </c>
      <c r="F2278" s="22" t="s">
        <v>175</v>
      </c>
    </row>
    <row r="2279" customFormat="false" ht="15" hidden="false" customHeight="false" outlineLevel="0" collapsed="false">
      <c r="A2279" s="22" t="s">
        <v>5296</v>
      </c>
      <c r="B2279" s="22" t="s">
        <v>5297</v>
      </c>
      <c r="C2279" s="22" t="s">
        <v>162</v>
      </c>
      <c r="D2279" s="22" t="s">
        <v>1971</v>
      </c>
      <c r="E2279" s="22" t="n">
        <v>31.4</v>
      </c>
      <c r="F2279" s="22" t="s">
        <v>175</v>
      </c>
    </row>
    <row r="2280" customFormat="false" ht="15" hidden="false" customHeight="false" outlineLevel="0" collapsed="false">
      <c r="A2280" s="22" t="s">
        <v>5298</v>
      </c>
      <c r="B2280" s="22" t="s">
        <v>5299</v>
      </c>
      <c r="C2280" s="22" t="s">
        <v>162</v>
      </c>
      <c r="D2280" s="22" t="s">
        <v>1538</v>
      </c>
      <c r="E2280" s="22" t="n">
        <v>51.4</v>
      </c>
      <c r="F2280" s="22" t="s">
        <v>164</v>
      </c>
    </row>
    <row r="2281" customFormat="false" ht="15" hidden="false" customHeight="false" outlineLevel="0" collapsed="false">
      <c r="A2281" s="22" t="s">
        <v>5300</v>
      </c>
      <c r="B2281" s="22" t="s">
        <v>5301</v>
      </c>
      <c r="C2281" s="22" t="s">
        <v>162</v>
      </c>
      <c r="D2281" s="22" t="s">
        <v>880</v>
      </c>
      <c r="E2281" s="22" t="n">
        <v>32.9</v>
      </c>
      <c r="F2281" s="22" t="s">
        <v>159</v>
      </c>
    </row>
    <row r="2282" customFormat="false" ht="15" hidden="false" customHeight="false" outlineLevel="0" collapsed="false">
      <c r="A2282" s="22" t="s">
        <v>5302</v>
      </c>
      <c r="B2282" s="22" t="s">
        <v>5303</v>
      </c>
      <c r="C2282" s="22" t="s">
        <v>162</v>
      </c>
      <c r="D2282" s="22" t="s">
        <v>242</v>
      </c>
      <c r="E2282" s="22" t="n">
        <v>39.9</v>
      </c>
      <c r="F2282" s="22" t="s">
        <v>164</v>
      </c>
    </row>
    <row r="2283" customFormat="false" ht="15" hidden="false" customHeight="false" outlineLevel="0" collapsed="false">
      <c r="A2283" s="22" t="s">
        <v>5304</v>
      </c>
      <c r="B2283" s="22" t="s">
        <v>5305</v>
      </c>
      <c r="C2283" s="22" t="s">
        <v>162</v>
      </c>
      <c r="D2283" s="22" t="s">
        <v>1474</v>
      </c>
      <c r="E2283" s="22" t="n">
        <v>43.8</v>
      </c>
      <c r="F2283" s="22" t="s">
        <v>164</v>
      </c>
    </row>
    <row r="2284" customFormat="false" ht="15" hidden="false" customHeight="false" outlineLevel="0" collapsed="false">
      <c r="A2284" s="22" t="s">
        <v>5306</v>
      </c>
      <c r="B2284" s="22" t="s">
        <v>5307</v>
      </c>
      <c r="C2284" s="22" t="s">
        <v>162</v>
      </c>
      <c r="D2284" s="22" t="s">
        <v>2420</v>
      </c>
      <c r="E2284" s="22" t="n">
        <v>31.5</v>
      </c>
      <c r="F2284" s="22" t="s">
        <v>175</v>
      </c>
    </row>
    <row r="2285" customFormat="false" ht="15" hidden="false" customHeight="false" outlineLevel="0" collapsed="false">
      <c r="A2285" s="22" t="s">
        <v>5308</v>
      </c>
      <c r="B2285" s="22" t="s">
        <v>875</v>
      </c>
      <c r="C2285" s="22" t="s">
        <v>162</v>
      </c>
      <c r="D2285" s="22" t="s">
        <v>1502</v>
      </c>
      <c r="E2285" s="22" t="n">
        <v>31.4</v>
      </c>
      <c r="F2285" s="22" t="s">
        <v>164</v>
      </c>
    </row>
    <row r="2286" customFormat="false" ht="15" hidden="false" customHeight="false" outlineLevel="0" collapsed="false">
      <c r="A2286" s="22" t="s">
        <v>5309</v>
      </c>
      <c r="B2286" s="22" t="s">
        <v>5310</v>
      </c>
      <c r="C2286" s="22" t="s">
        <v>162</v>
      </c>
      <c r="D2286" s="22" t="s">
        <v>1675</v>
      </c>
      <c r="E2286" s="22" t="n">
        <v>34</v>
      </c>
      <c r="F2286" s="22" t="s">
        <v>164</v>
      </c>
    </row>
    <row r="2287" customFormat="false" ht="15" hidden="false" customHeight="false" outlineLevel="0" collapsed="false">
      <c r="A2287" s="22" t="s">
        <v>5311</v>
      </c>
      <c r="B2287" s="22" t="s">
        <v>5312</v>
      </c>
      <c r="C2287" s="22" t="s">
        <v>162</v>
      </c>
      <c r="D2287" s="22" t="s">
        <v>1977</v>
      </c>
      <c r="E2287" s="22" t="n">
        <v>26.2</v>
      </c>
      <c r="F2287" s="22" t="s">
        <v>175</v>
      </c>
    </row>
    <row r="2288" customFormat="false" ht="15" hidden="false" customHeight="false" outlineLevel="0" collapsed="false">
      <c r="A2288" s="22" t="s">
        <v>5313</v>
      </c>
      <c r="B2288" s="22" t="s">
        <v>5314</v>
      </c>
      <c r="C2288" s="22" t="s">
        <v>162</v>
      </c>
      <c r="D2288" s="22" t="s">
        <v>321</v>
      </c>
      <c r="E2288" s="22" t="n">
        <v>35.3</v>
      </c>
      <c r="F2288" s="22" t="s">
        <v>159</v>
      </c>
    </row>
    <row r="2289" customFormat="false" ht="15" hidden="false" customHeight="false" outlineLevel="0" collapsed="false">
      <c r="A2289" s="22" t="s">
        <v>5315</v>
      </c>
      <c r="B2289" s="22" t="s">
        <v>5316</v>
      </c>
      <c r="C2289" s="22" t="s">
        <v>162</v>
      </c>
      <c r="D2289" s="22" t="s">
        <v>194</v>
      </c>
      <c r="E2289" s="22" t="n">
        <v>58.7</v>
      </c>
      <c r="F2289" s="22" t="s">
        <v>175</v>
      </c>
    </row>
    <row r="2290" customFormat="false" ht="15" hidden="false" customHeight="false" outlineLevel="0" collapsed="false">
      <c r="A2290" s="22" t="s">
        <v>5317</v>
      </c>
      <c r="B2290" s="22" t="s">
        <v>5318</v>
      </c>
      <c r="C2290" s="22" t="s">
        <v>162</v>
      </c>
      <c r="D2290" s="22" t="s">
        <v>2172</v>
      </c>
      <c r="E2290" s="22" t="n">
        <v>33.9</v>
      </c>
      <c r="F2290" s="22" t="s">
        <v>175</v>
      </c>
    </row>
    <row r="2291" customFormat="false" ht="15" hidden="false" customHeight="false" outlineLevel="0" collapsed="false">
      <c r="A2291" s="22" t="s">
        <v>5319</v>
      </c>
      <c r="B2291" s="22" t="s">
        <v>5320</v>
      </c>
      <c r="C2291" s="22" t="s">
        <v>162</v>
      </c>
      <c r="D2291" s="22" t="s">
        <v>599</v>
      </c>
      <c r="E2291" s="22" t="n">
        <v>48.5</v>
      </c>
      <c r="F2291" s="22" t="s">
        <v>164</v>
      </c>
    </row>
    <row r="2292" customFormat="false" ht="15" hidden="false" customHeight="false" outlineLevel="0" collapsed="false">
      <c r="A2292" s="22" t="s">
        <v>5321</v>
      </c>
      <c r="B2292" s="22" t="s">
        <v>5322</v>
      </c>
      <c r="C2292" s="22" t="s">
        <v>162</v>
      </c>
      <c r="D2292" s="22" t="s">
        <v>2001</v>
      </c>
      <c r="E2292" s="22" t="n">
        <v>33.3</v>
      </c>
      <c r="F2292" s="22" t="s">
        <v>164</v>
      </c>
    </row>
    <row r="2293" customFormat="false" ht="15" hidden="false" customHeight="false" outlineLevel="0" collapsed="false">
      <c r="A2293" s="22" t="s">
        <v>5323</v>
      </c>
      <c r="B2293" s="22" t="s">
        <v>5324</v>
      </c>
      <c r="C2293" s="22" t="s">
        <v>162</v>
      </c>
      <c r="D2293" s="22" t="s">
        <v>4287</v>
      </c>
      <c r="E2293" s="22" t="n">
        <v>37.7</v>
      </c>
      <c r="F2293" s="22" t="s">
        <v>164</v>
      </c>
    </row>
    <row r="2294" customFormat="false" ht="15" hidden="false" customHeight="false" outlineLevel="0" collapsed="false">
      <c r="A2294" s="22" t="s">
        <v>5325</v>
      </c>
      <c r="B2294" s="22" t="s">
        <v>5326</v>
      </c>
      <c r="C2294" s="22" t="s">
        <v>162</v>
      </c>
      <c r="D2294" s="22" t="s">
        <v>2180</v>
      </c>
      <c r="E2294" s="22" t="n">
        <v>23.2</v>
      </c>
      <c r="F2294" s="22" t="s">
        <v>198</v>
      </c>
    </row>
    <row r="2295" customFormat="false" ht="15" hidden="false" customHeight="false" outlineLevel="0" collapsed="false">
      <c r="A2295" s="22" t="s">
        <v>5327</v>
      </c>
      <c r="B2295" s="22" t="s">
        <v>5328</v>
      </c>
      <c r="C2295" s="22" t="s">
        <v>162</v>
      </c>
      <c r="D2295" s="22" t="s">
        <v>661</v>
      </c>
      <c r="E2295" s="22" t="n">
        <v>28.9</v>
      </c>
      <c r="F2295" s="22" t="s">
        <v>164</v>
      </c>
    </row>
    <row r="2296" customFormat="false" ht="15" hidden="false" customHeight="false" outlineLevel="0" collapsed="false">
      <c r="A2296" s="22" t="s">
        <v>5329</v>
      </c>
      <c r="B2296" s="22" t="s">
        <v>5330</v>
      </c>
      <c r="C2296" s="22" t="s">
        <v>207</v>
      </c>
      <c r="D2296" s="22" t="s">
        <v>178</v>
      </c>
      <c r="E2296" s="22" t="n">
        <v>22.4</v>
      </c>
      <c r="F2296" s="22" t="s">
        <v>164</v>
      </c>
    </row>
    <row r="2297" customFormat="false" ht="15" hidden="false" customHeight="false" outlineLevel="0" collapsed="false">
      <c r="A2297" s="22" t="s">
        <v>5331</v>
      </c>
      <c r="B2297" s="22" t="s">
        <v>5332</v>
      </c>
      <c r="C2297" s="22" t="s">
        <v>162</v>
      </c>
      <c r="D2297" s="22" t="s">
        <v>2903</v>
      </c>
      <c r="E2297" s="22" t="n">
        <v>37.3</v>
      </c>
      <c r="F2297" s="22" t="s">
        <v>175</v>
      </c>
    </row>
    <row r="2298" customFormat="false" ht="15" hidden="false" customHeight="false" outlineLevel="0" collapsed="false">
      <c r="A2298" s="22" t="s">
        <v>5333</v>
      </c>
      <c r="B2298" s="22" t="s">
        <v>5334</v>
      </c>
      <c r="C2298" s="22" t="s">
        <v>162</v>
      </c>
      <c r="D2298" s="22" t="s">
        <v>5335</v>
      </c>
      <c r="E2298" s="22" t="n">
        <v>29.4</v>
      </c>
      <c r="F2298" s="22" t="s">
        <v>164</v>
      </c>
    </row>
    <row r="2299" customFormat="false" ht="15" hidden="false" customHeight="false" outlineLevel="0" collapsed="false">
      <c r="A2299" s="22" t="s">
        <v>5336</v>
      </c>
      <c r="B2299" s="22" t="s">
        <v>5337</v>
      </c>
      <c r="C2299" s="22" t="s">
        <v>162</v>
      </c>
      <c r="D2299" s="22" t="s">
        <v>1024</v>
      </c>
      <c r="E2299" s="22" t="n">
        <v>24</v>
      </c>
      <c r="F2299" s="22" t="s">
        <v>175</v>
      </c>
    </row>
    <row r="2300" customFormat="false" ht="15" hidden="false" customHeight="false" outlineLevel="0" collapsed="false">
      <c r="A2300" s="22" t="s">
        <v>5338</v>
      </c>
      <c r="B2300" s="22" t="s">
        <v>5339</v>
      </c>
      <c r="C2300" s="22" t="s">
        <v>162</v>
      </c>
      <c r="D2300" s="22" t="s">
        <v>3009</v>
      </c>
      <c r="E2300" s="22" t="n">
        <v>59.1</v>
      </c>
      <c r="F2300" s="22" t="s">
        <v>198</v>
      </c>
    </row>
    <row r="2301" customFormat="false" ht="15" hidden="false" customHeight="false" outlineLevel="0" collapsed="false">
      <c r="A2301" s="22" t="s">
        <v>5340</v>
      </c>
      <c r="B2301" s="22" t="s">
        <v>5341</v>
      </c>
      <c r="C2301" s="22" t="s">
        <v>162</v>
      </c>
      <c r="D2301" s="22" t="s">
        <v>3842</v>
      </c>
      <c r="E2301" s="22" t="n">
        <v>26</v>
      </c>
      <c r="F2301" s="22" t="s">
        <v>164</v>
      </c>
    </row>
    <row r="2302" customFormat="false" ht="15" hidden="false" customHeight="false" outlineLevel="0" collapsed="false">
      <c r="A2302" s="22" t="s">
        <v>5342</v>
      </c>
      <c r="B2302" s="22" t="s">
        <v>5343</v>
      </c>
      <c r="C2302" s="22" t="s">
        <v>566</v>
      </c>
      <c r="D2302" s="22" t="s">
        <v>1662</v>
      </c>
      <c r="E2302" s="22" t="n">
        <v>31.5</v>
      </c>
      <c r="F2302" s="22" t="s">
        <v>164</v>
      </c>
    </row>
    <row r="2303" customFormat="false" ht="15" hidden="false" customHeight="false" outlineLevel="0" collapsed="false">
      <c r="A2303" s="22" t="s">
        <v>5344</v>
      </c>
      <c r="B2303" s="22" t="s">
        <v>3112</v>
      </c>
      <c r="C2303" s="22" t="s">
        <v>162</v>
      </c>
      <c r="D2303" s="22" t="s">
        <v>2910</v>
      </c>
      <c r="E2303" s="22" t="n">
        <v>57.8</v>
      </c>
      <c r="F2303" s="22" t="s">
        <v>215</v>
      </c>
    </row>
    <row r="2304" customFormat="false" ht="15" hidden="false" customHeight="false" outlineLevel="0" collapsed="false">
      <c r="A2304" s="22" t="s">
        <v>5345</v>
      </c>
      <c r="B2304" s="22" t="s">
        <v>5346</v>
      </c>
      <c r="C2304" s="22" t="s">
        <v>162</v>
      </c>
      <c r="D2304" s="22" t="s">
        <v>495</v>
      </c>
      <c r="E2304" s="22" t="n">
        <v>59.9</v>
      </c>
      <c r="F2304" s="22" t="s">
        <v>164</v>
      </c>
    </row>
    <row r="2305" customFormat="false" ht="15" hidden="false" customHeight="false" outlineLevel="0" collapsed="false">
      <c r="A2305" s="22" t="s">
        <v>5347</v>
      </c>
      <c r="B2305" s="22" t="s">
        <v>5348</v>
      </c>
      <c r="C2305" s="22" t="s">
        <v>162</v>
      </c>
      <c r="D2305" s="22" t="s">
        <v>2684</v>
      </c>
      <c r="E2305" s="22" t="n">
        <v>19.5</v>
      </c>
      <c r="F2305" s="22" t="s">
        <v>175</v>
      </c>
    </row>
    <row r="2306" customFormat="false" ht="15" hidden="false" customHeight="false" outlineLevel="0" collapsed="false">
      <c r="A2306" s="22" t="s">
        <v>5349</v>
      </c>
      <c r="B2306" s="22" t="s">
        <v>5350</v>
      </c>
      <c r="C2306" s="22" t="s">
        <v>162</v>
      </c>
      <c r="D2306" s="22" t="s">
        <v>1634</v>
      </c>
      <c r="E2306" s="22" t="n">
        <v>52.9</v>
      </c>
      <c r="F2306" s="22" t="s">
        <v>164</v>
      </c>
    </row>
    <row r="2307" customFormat="false" ht="15" hidden="false" customHeight="false" outlineLevel="0" collapsed="false">
      <c r="A2307" s="22" t="s">
        <v>5351</v>
      </c>
      <c r="B2307" s="22" t="s">
        <v>5352</v>
      </c>
      <c r="C2307" s="22" t="s">
        <v>162</v>
      </c>
      <c r="D2307" s="22" t="s">
        <v>260</v>
      </c>
      <c r="E2307" s="22" t="n">
        <v>58.4</v>
      </c>
      <c r="F2307" s="22" t="s">
        <v>198</v>
      </c>
    </row>
    <row r="2308" customFormat="false" ht="15" hidden="false" customHeight="false" outlineLevel="0" collapsed="false">
      <c r="A2308" s="22" t="s">
        <v>5353</v>
      </c>
      <c r="B2308" s="22" t="s">
        <v>5354</v>
      </c>
      <c r="C2308" s="22" t="s">
        <v>162</v>
      </c>
      <c r="D2308" s="22" t="s">
        <v>938</v>
      </c>
      <c r="E2308" s="22" t="n">
        <v>29.9</v>
      </c>
      <c r="F2308" s="22" t="s">
        <v>175</v>
      </c>
    </row>
    <row r="2309" customFormat="false" ht="15" hidden="false" customHeight="false" outlineLevel="0" collapsed="false">
      <c r="A2309" s="22" t="s">
        <v>5355</v>
      </c>
      <c r="B2309" s="22" t="s">
        <v>5356</v>
      </c>
      <c r="C2309" s="22" t="s">
        <v>162</v>
      </c>
      <c r="D2309" s="22" t="s">
        <v>3777</v>
      </c>
      <c r="E2309" s="22" t="n">
        <v>61</v>
      </c>
      <c r="F2309" s="22" t="s">
        <v>164</v>
      </c>
    </row>
    <row r="2310" customFormat="false" ht="15" hidden="false" customHeight="false" outlineLevel="0" collapsed="false">
      <c r="A2310" s="22" t="s">
        <v>5357</v>
      </c>
      <c r="B2310" s="22" t="s">
        <v>5358</v>
      </c>
      <c r="C2310" s="22" t="s">
        <v>162</v>
      </c>
      <c r="D2310" s="22" t="s">
        <v>1780</v>
      </c>
      <c r="E2310" s="22" t="n">
        <v>34.8</v>
      </c>
      <c r="F2310" s="22" t="s">
        <v>164</v>
      </c>
    </row>
    <row r="2311" customFormat="false" ht="15" hidden="false" customHeight="false" outlineLevel="0" collapsed="false">
      <c r="A2311" s="22" t="s">
        <v>5359</v>
      </c>
      <c r="B2311" s="22" t="s">
        <v>5360</v>
      </c>
      <c r="C2311" s="22" t="s">
        <v>162</v>
      </c>
      <c r="D2311" s="22" t="s">
        <v>178</v>
      </c>
      <c r="E2311" s="22" t="n">
        <v>40.7</v>
      </c>
      <c r="F2311" s="22" t="s">
        <v>164</v>
      </c>
    </row>
    <row r="2312" customFormat="false" ht="15" hidden="false" customHeight="false" outlineLevel="0" collapsed="false">
      <c r="A2312" s="22" t="s">
        <v>5361</v>
      </c>
      <c r="B2312" s="22" t="s">
        <v>5362</v>
      </c>
      <c r="C2312" s="22" t="s">
        <v>162</v>
      </c>
      <c r="D2312" s="22" t="s">
        <v>208</v>
      </c>
      <c r="E2312" s="22" t="n">
        <v>41</v>
      </c>
      <c r="F2312" s="22" t="s">
        <v>164</v>
      </c>
    </row>
    <row r="2313" customFormat="false" ht="15" hidden="false" customHeight="false" outlineLevel="0" collapsed="false">
      <c r="A2313" s="22" t="s">
        <v>5363</v>
      </c>
      <c r="B2313" s="22" t="s">
        <v>5364</v>
      </c>
      <c r="C2313" s="22" t="s">
        <v>162</v>
      </c>
      <c r="D2313" s="22" t="s">
        <v>793</v>
      </c>
      <c r="E2313" s="22" t="n">
        <v>37.4</v>
      </c>
      <c r="F2313" s="22" t="s">
        <v>164</v>
      </c>
    </row>
    <row r="2314" customFormat="false" ht="15" hidden="false" customHeight="false" outlineLevel="0" collapsed="false">
      <c r="A2314" s="22" t="s">
        <v>5365</v>
      </c>
      <c r="B2314" s="22" t="s">
        <v>5366</v>
      </c>
      <c r="C2314" s="22" t="s">
        <v>162</v>
      </c>
      <c r="D2314" s="22" t="s">
        <v>980</v>
      </c>
      <c r="E2314" s="22" t="n">
        <v>38.6</v>
      </c>
      <c r="F2314" s="22" t="s">
        <v>198</v>
      </c>
    </row>
    <row r="2315" customFormat="false" ht="15" hidden="false" customHeight="false" outlineLevel="0" collapsed="false">
      <c r="A2315" s="22" t="s">
        <v>5367</v>
      </c>
      <c r="B2315" s="22" t="s">
        <v>5368</v>
      </c>
      <c r="C2315" s="22" t="s">
        <v>162</v>
      </c>
      <c r="D2315" s="22" t="s">
        <v>1198</v>
      </c>
      <c r="E2315" s="22" t="n">
        <v>57</v>
      </c>
      <c r="F2315" s="22" t="s">
        <v>188</v>
      </c>
    </row>
    <row r="2316" customFormat="false" ht="15" hidden="false" customHeight="false" outlineLevel="0" collapsed="false">
      <c r="A2316" s="22" t="s">
        <v>5369</v>
      </c>
      <c r="B2316" s="22" t="s">
        <v>5370</v>
      </c>
      <c r="C2316" s="22" t="s">
        <v>162</v>
      </c>
      <c r="D2316" s="22" t="s">
        <v>582</v>
      </c>
      <c r="E2316" s="22" t="n">
        <v>20.4</v>
      </c>
      <c r="F2316" s="22" t="s">
        <v>188</v>
      </c>
    </row>
    <row r="2317" customFormat="false" ht="15" hidden="false" customHeight="false" outlineLevel="0" collapsed="false">
      <c r="A2317" s="22" t="s">
        <v>5371</v>
      </c>
      <c r="B2317" s="22" t="s">
        <v>5372</v>
      </c>
      <c r="C2317" s="22" t="s">
        <v>207</v>
      </c>
      <c r="D2317" s="22" t="s">
        <v>1395</v>
      </c>
      <c r="E2317" s="22" t="n">
        <v>42.9</v>
      </c>
      <c r="F2317" s="22" t="s">
        <v>164</v>
      </c>
    </row>
    <row r="2318" customFormat="false" ht="15" hidden="false" customHeight="false" outlineLevel="0" collapsed="false">
      <c r="A2318" s="22" t="s">
        <v>5373</v>
      </c>
      <c r="B2318" s="22" t="s">
        <v>5374</v>
      </c>
      <c r="C2318" s="22" t="s">
        <v>207</v>
      </c>
      <c r="D2318" s="22" t="s">
        <v>2038</v>
      </c>
      <c r="E2318" s="22" t="n">
        <v>47.7</v>
      </c>
      <c r="F2318" s="22" t="s">
        <v>164</v>
      </c>
    </row>
    <row r="2319" customFormat="false" ht="15" hidden="false" customHeight="false" outlineLevel="0" collapsed="false">
      <c r="A2319" s="22" t="s">
        <v>5375</v>
      </c>
      <c r="B2319" s="22" t="s">
        <v>5376</v>
      </c>
      <c r="C2319" s="22" t="s">
        <v>162</v>
      </c>
      <c r="D2319" s="22" t="s">
        <v>899</v>
      </c>
      <c r="E2319" s="22" t="n">
        <v>42.3</v>
      </c>
      <c r="F2319" s="22" t="s">
        <v>198</v>
      </c>
    </row>
    <row r="2320" customFormat="false" ht="15" hidden="false" customHeight="false" outlineLevel="0" collapsed="false">
      <c r="A2320" s="22" t="s">
        <v>5377</v>
      </c>
      <c r="B2320" s="22" t="s">
        <v>5378</v>
      </c>
      <c r="C2320" s="22" t="s">
        <v>162</v>
      </c>
      <c r="D2320" s="22" t="s">
        <v>1245</v>
      </c>
      <c r="E2320" s="22" t="n">
        <v>53.7</v>
      </c>
      <c r="F2320" s="22" t="s">
        <v>164</v>
      </c>
    </row>
    <row r="2321" customFormat="false" ht="15" hidden="false" customHeight="false" outlineLevel="0" collapsed="false">
      <c r="A2321" s="22" t="s">
        <v>5379</v>
      </c>
      <c r="B2321" s="22" t="s">
        <v>5380</v>
      </c>
      <c r="C2321" s="22" t="s">
        <v>162</v>
      </c>
      <c r="D2321" s="22" t="s">
        <v>2991</v>
      </c>
      <c r="E2321" s="22" t="n">
        <v>42.5</v>
      </c>
      <c r="F2321" s="22" t="s">
        <v>164</v>
      </c>
    </row>
    <row r="2322" customFormat="false" ht="15" hidden="false" customHeight="false" outlineLevel="0" collapsed="false">
      <c r="A2322" s="22" t="s">
        <v>5381</v>
      </c>
      <c r="B2322" s="22" t="s">
        <v>5382</v>
      </c>
      <c r="C2322" s="22" t="s">
        <v>162</v>
      </c>
      <c r="D2322" s="22" t="s">
        <v>480</v>
      </c>
      <c r="E2322" s="22" t="n">
        <v>22.8</v>
      </c>
      <c r="F2322" s="22" t="s">
        <v>175</v>
      </c>
    </row>
    <row r="2323" customFormat="false" ht="15" hidden="false" customHeight="false" outlineLevel="0" collapsed="false">
      <c r="A2323" s="22" t="s">
        <v>5383</v>
      </c>
      <c r="B2323" s="22" t="s">
        <v>5384</v>
      </c>
      <c r="C2323" s="22" t="s">
        <v>162</v>
      </c>
      <c r="D2323" s="22" t="s">
        <v>422</v>
      </c>
      <c r="E2323" s="22" t="n">
        <v>56.9</v>
      </c>
      <c r="F2323" s="22" t="s">
        <v>164</v>
      </c>
    </row>
    <row r="2324" customFormat="false" ht="15" hidden="false" customHeight="false" outlineLevel="0" collapsed="false">
      <c r="A2324" s="22" t="s">
        <v>5385</v>
      </c>
      <c r="B2324" s="22" t="s">
        <v>5386</v>
      </c>
      <c r="C2324" s="22" t="s">
        <v>162</v>
      </c>
      <c r="D2324" s="22" t="s">
        <v>3082</v>
      </c>
      <c r="E2324" s="22" t="n">
        <v>38</v>
      </c>
      <c r="F2324" s="22" t="s">
        <v>159</v>
      </c>
    </row>
    <row r="2325" customFormat="false" ht="15" hidden="false" customHeight="false" outlineLevel="0" collapsed="false">
      <c r="A2325" s="22" t="s">
        <v>5387</v>
      </c>
      <c r="B2325" s="22" t="s">
        <v>5388</v>
      </c>
      <c r="C2325" s="22" t="s">
        <v>162</v>
      </c>
      <c r="D2325" s="22" t="s">
        <v>2723</v>
      </c>
      <c r="E2325" s="22" t="n">
        <v>41.9</v>
      </c>
      <c r="F2325" s="22" t="s">
        <v>198</v>
      </c>
    </row>
    <row r="2326" customFormat="false" ht="15" hidden="false" customHeight="false" outlineLevel="0" collapsed="false">
      <c r="A2326" s="22" t="s">
        <v>5389</v>
      </c>
      <c r="B2326" s="22" t="s">
        <v>5390</v>
      </c>
      <c r="C2326" s="22" t="s">
        <v>162</v>
      </c>
      <c r="D2326" s="22" t="s">
        <v>752</v>
      </c>
      <c r="E2326" s="22" t="n">
        <v>56.3</v>
      </c>
      <c r="F2326" s="22" t="s">
        <v>164</v>
      </c>
    </row>
    <row r="2327" customFormat="false" ht="15" hidden="false" customHeight="false" outlineLevel="0" collapsed="false">
      <c r="A2327" s="22" t="s">
        <v>5391</v>
      </c>
      <c r="B2327" s="22" t="s">
        <v>5392</v>
      </c>
      <c r="C2327" s="22" t="s">
        <v>162</v>
      </c>
      <c r="D2327" s="22" t="s">
        <v>3072</v>
      </c>
      <c r="E2327" s="22" t="n">
        <v>40</v>
      </c>
      <c r="F2327" s="22" t="s">
        <v>171</v>
      </c>
    </row>
    <row r="2328" customFormat="false" ht="15" hidden="false" customHeight="false" outlineLevel="0" collapsed="false">
      <c r="A2328" s="22" t="s">
        <v>5393</v>
      </c>
      <c r="B2328" s="22" t="s">
        <v>5394</v>
      </c>
      <c r="C2328" s="22" t="s">
        <v>162</v>
      </c>
      <c r="D2328" s="22" t="s">
        <v>962</v>
      </c>
      <c r="E2328" s="22" t="n">
        <v>53.3</v>
      </c>
      <c r="F2328" s="22" t="s">
        <v>175</v>
      </c>
    </row>
    <row r="2329" customFormat="false" ht="15" hidden="false" customHeight="false" outlineLevel="0" collapsed="false">
      <c r="A2329" s="22" t="s">
        <v>5395</v>
      </c>
      <c r="B2329" s="22" t="s">
        <v>5396</v>
      </c>
      <c r="C2329" s="22" t="s">
        <v>162</v>
      </c>
      <c r="D2329" s="22" t="s">
        <v>498</v>
      </c>
      <c r="E2329" s="22" t="n">
        <v>55.8</v>
      </c>
      <c r="F2329" s="22" t="s">
        <v>175</v>
      </c>
    </row>
    <row r="2330" customFormat="false" ht="15" hidden="false" customHeight="false" outlineLevel="0" collapsed="false">
      <c r="A2330" s="22" t="s">
        <v>5397</v>
      </c>
      <c r="B2330" s="22" t="s">
        <v>5398</v>
      </c>
      <c r="C2330" s="22" t="s">
        <v>162</v>
      </c>
      <c r="D2330" s="22" t="s">
        <v>980</v>
      </c>
      <c r="E2330" s="22" t="n">
        <v>36.6</v>
      </c>
      <c r="F2330" s="22" t="s">
        <v>171</v>
      </c>
    </row>
    <row r="2331" customFormat="false" ht="15" hidden="false" customHeight="false" outlineLevel="0" collapsed="false">
      <c r="A2331" s="22" t="s">
        <v>5399</v>
      </c>
      <c r="B2331" s="22" t="s">
        <v>5400</v>
      </c>
      <c r="C2331" s="22" t="s">
        <v>162</v>
      </c>
      <c r="D2331" s="22" t="s">
        <v>1201</v>
      </c>
      <c r="E2331" s="22" t="n">
        <v>56.7</v>
      </c>
      <c r="F2331" s="22" t="s">
        <v>171</v>
      </c>
    </row>
    <row r="2332" customFormat="false" ht="15" hidden="false" customHeight="false" outlineLevel="0" collapsed="false">
      <c r="A2332" s="22" t="s">
        <v>5401</v>
      </c>
      <c r="B2332" s="22" t="s">
        <v>5402</v>
      </c>
      <c r="C2332" s="22" t="s">
        <v>162</v>
      </c>
      <c r="D2332" s="22" t="s">
        <v>967</v>
      </c>
      <c r="E2332" s="22" t="n">
        <v>54</v>
      </c>
      <c r="F2332" s="22" t="s">
        <v>198</v>
      </c>
    </row>
    <row r="2333" customFormat="false" ht="15" hidden="false" customHeight="false" outlineLevel="0" collapsed="false">
      <c r="A2333" s="22" t="s">
        <v>5403</v>
      </c>
      <c r="B2333" s="22" t="s">
        <v>5404</v>
      </c>
      <c r="C2333" s="22" t="s">
        <v>162</v>
      </c>
      <c r="D2333" s="22" t="s">
        <v>483</v>
      </c>
      <c r="E2333" s="22" t="n">
        <v>49.2</v>
      </c>
      <c r="F2333" s="22" t="s">
        <v>188</v>
      </c>
    </row>
    <row r="2334" customFormat="false" ht="15" hidden="false" customHeight="false" outlineLevel="0" collapsed="false">
      <c r="A2334" s="22" t="s">
        <v>5405</v>
      </c>
      <c r="B2334" s="22" t="s">
        <v>5406</v>
      </c>
      <c r="C2334" s="22" t="s">
        <v>162</v>
      </c>
      <c r="D2334" s="22" t="s">
        <v>1220</v>
      </c>
      <c r="E2334" s="22" t="n">
        <v>31.1</v>
      </c>
      <c r="F2334" s="22" t="s">
        <v>171</v>
      </c>
    </row>
    <row r="2335" customFormat="false" ht="15" hidden="false" customHeight="false" outlineLevel="0" collapsed="false">
      <c r="A2335" s="22" t="s">
        <v>5407</v>
      </c>
      <c r="B2335" s="22" t="s">
        <v>3964</v>
      </c>
      <c r="C2335" s="22" t="s">
        <v>157</v>
      </c>
      <c r="D2335" s="22" t="s">
        <v>538</v>
      </c>
      <c r="E2335" s="22" t="n">
        <v>36.1</v>
      </c>
      <c r="F2335" s="22" t="s">
        <v>164</v>
      </c>
    </row>
    <row r="2336" customFormat="false" ht="15" hidden="false" customHeight="false" outlineLevel="0" collapsed="false">
      <c r="A2336" s="22" t="s">
        <v>5408</v>
      </c>
      <c r="B2336" s="22" t="s">
        <v>5409</v>
      </c>
      <c r="C2336" s="22" t="s">
        <v>207</v>
      </c>
      <c r="D2336" s="22" t="s">
        <v>248</v>
      </c>
      <c r="E2336" s="22" t="n">
        <v>54.7</v>
      </c>
      <c r="F2336" s="22" t="s">
        <v>175</v>
      </c>
    </row>
    <row r="2337" customFormat="false" ht="15" hidden="false" customHeight="false" outlineLevel="0" collapsed="false">
      <c r="A2337" s="22" t="s">
        <v>5410</v>
      </c>
      <c r="B2337" s="22" t="s">
        <v>5411</v>
      </c>
      <c r="C2337" s="22" t="s">
        <v>157</v>
      </c>
      <c r="D2337" s="22" t="s">
        <v>1611</v>
      </c>
      <c r="E2337" s="22" t="n">
        <v>19.6</v>
      </c>
      <c r="F2337" s="22" t="s">
        <v>159</v>
      </c>
    </row>
    <row r="2338" customFormat="false" ht="15" hidden="false" customHeight="false" outlineLevel="0" collapsed="false">
      <c r="A2338" s="22" t="s">
        <v>5412</v>
      </c>
      <c r="B2338" s="22" t="s">
        <v>5413</v>
      </c>
      <c r="C2338" s="22" t="s">
        <v>157</v>
      </c>
      <c r="D2338" s="22" t="s">
        <v>708</v>
      </c>
      <c r="E2338" s="22" t="n">
        <v>28.6</v>
      </c>
      <c r="F2338" s="22" t="s">
        <v>175</v>
      </c>
    </row>
    <row r="2339" customFormat="false" ht="15" hidden="false" customHeight="false" outlineLevel="0" collapsed="false">
      <c r="A2339" s="22" t="s">
        <v>5414</v>
      </c>
      <c r="B2339" s="22" t="s">
        <v>5415</v>
      </c>
      <c r="C2339" s="22" t="s">
        <v>162</v>
      </c>
      <c r="D2339" s="22" t="s">
        <v>1922</v>
      </c>
      <c r="E2339" s="22" t="n">
        <v>29.8</v>
      </c>
      <c r="F2339" s="22" t="s">
        <v>164</v>
      </c>
    </row>
    <row r="2340" customFormat="false" ht="15" hidden="false" customHeight="false" outlineLevel="0" collapsed="false">
      <c r="A2340" s="22" t="s">
        <v>5416</v>
      </c>
      <c r="B2340" s="22" t="s">
        <v>5417</v>
      </c>
      <c r="C2340" s="22" t="s">
        <v>162</v>
      </c>
      <c r="D2340" s="22" t="s">
        <v>1882</v>
      </c>
      <c r="E2340" s="22" t="n">
        <v>37.1</v>
      </c>
      <c r="F2340" s="22" t="s">
        <v>171</v>
      </c>
    </row>
    <row r="2341" customFormat="false" ht="15" hidden="false" customHeight="false" outlineLevel="0" collapsed="false">
      <c r="A2341" s="22" t="s">
        <v>5418</v>
      </c>
      <c r="B2341" s="22" t="s">
        <v>5419</v>
      </c>
      <c r="C2341" s="22" t="s">
        <v>162</v>
      </c>
      <c r="D2341" s="22" t="s">
        <v>885</v>
      </c>
      <c r="E2341" s="22" t="n">
        <v>41.6</v>
      </c>
      <c r="F2341" s="22" t="s">
        <v>215</v>
      </c>
    </row>
    <row r="2342" customFormat="false" ht="15" hidden="false" customHeight="false" outlineLevel="0" collapsed="false">
      <c r="A2342" s="22" t="s">
        <v>5420</v>
      </c>
      <c r="B2342" s="22" t="s">
        <v>5421</v>
      </c>
      <c r="C2342" s="22" t="s">
        <v>162</v>
      </c>
      <c r="D2342" s="22" t="s">
        <v>2572</v>
      </c>
      <c r="E2342" s="22" t="n">
        <v>34.6</v>
      </c>
      <c r="F2342" s="22" t="s">
        <v>198</v>
      </c>
    </row>
    <row r="2343" customFormat="false" ht="15" hidden="false" customHeight="false" outlineLevel="0" collapsed="false">
      <c r="A2343" s="22" t="s">
        <v>5422</v>
      </c>
      <c r="B2343" s="22" t="s">
        <v>5423</v>
      </c>
      <c r="C2343" s="22" t="s">
        <v>162</v>
      </c>
      <c r="D2343" s="22" t="s">
        <v>373</v>
      </c>
      <c r="E2343" s="22" t="n">
        <v>38</v>
      </c>
      <c r="F2343" s="22" t="s">
        <v>215</v>
      </c>
    </row>
    <row r="2344" customFormat="false" ht="15" hidden="false" customHeight="false" outlineLevel="0" collapsed="false">
      <c r="A2344" s="22" t="s">
        <v>5424</v>
      </c>
      <c r="B2344" s="22" t="s">
        <v>5425</v>
      </c>
      <c r="C2344" s="22" t="s">
        <v>162</v>
      </c>
      <c r="D2344" s="22" t="s">
        <v>451</v>
      </c>
      <c r="E2344" s="22" t="n">
        <v>54.4</v>
      </c>
      <c r="F2344" s="22" t="s">
        <v>164</v>
      </c>
    </row>
    <row r="2345" customFormat="false" ht="15" hidden="false" customHeight="false" outlineLevel="0" collapsed="false">
      <c r="A2345" s="22" t="s">
        <v>5426</v>
      </c>
      <c r="B2345" s="22" t="s">
        <v>5427</v>
      </c>
      <c r="C2345" s="22" t="s">
        <v>162</v>
      </c>
      <c r="D2345" s="22" t="s">
        <v>442</v>
      </c>
      <c r="E2345" s="22" t="n">
        <v>47.1</v>
      </c>
      <c r="F2345" s="22" t="s">
        <v>164</v>
      </c>
    </row>
    <row r="2346" customFormat="false" ht="15" hidden="false" customHeight="false" outlineLevel="0" collapsed="false">
      <c r="A2346" s="22" t="s">
        <v>5428</v>
      </c>
      <c r="B2346" s="22" t="s">
        <v>5429</v>
      </c>
      <c r="C2346" s="22" t="s">
        <v>162</v>
      </c>
      <c r="D2346" s="22" t="s">
        <v>930</v>
      </c>
      <c r="E2346" s="22" t="n">
        <v>53.3</v>
      </c>
      <c r="F2346" s="22" t="s">
        <v>215</v>
      </c>
    </row>
    <row r="2347" customFormat="false" ht="15" hidden="false" customHeight="false" outlineLevel="0" collapsed="false">
      <c r="A2347" s="22" t="s">
        <v>5430</v>
      </c>
      <c r="B2347" s="22" t="s">
        <v>3176</v>
      </c>
      <c r="C2347" s="22" t="s">
        <v>162</v>
      </c>
      <c r="D2347" s="22" t="s">
        <v>2868</v>
      </c>
      <c r="E2347" s="22" t="n">
        <v>52.5</v>
      </c>
      <c r="F2347" s="22" t="s">
        <v>164</v>
      </c>
    </row>
    <row r="2348" customFormat="false" ht="15" hidden="false" customHeight="false" outlineLevel="0" collapsed="false">
      <c r="A2348" s="22" t="s">
        <v>5431</v>
      </c>
      <c r="B2348" s="22" t="s">
        <v>5432</v>
      </c>
      <c r="C2348" s="22" t="s">
        <v>207</v>
      </c>
      <c r="D2348" s="22" t="s">
        <v>1556</v>
      </c>
      <c r="E2348" s="22" t="n">
        <v>52.2</v>
      </c>
      <c r="F2348" s="22" t="s">
        <v>175</v>
      </c>
    </row>
    <row r="2349" customFormat="false" ht="15" hidden="false" customHeight="false" outlineLevel="0" collapsed="false">
      <c r="A2349" s="22" t="s">
        <v>5433</v>
      </c>
      <c r="B2349" s="22" t="s">
        <v>5434</v>
      </c>
      <c r="C2349" s="22" t="s">
        <v>162</v>
      </c>
      <c r="D2349" s="22" t="s">
        <v>1017</v>
      </c>
      <c r="E2349" s="22" t="n">
        <v>57.4</v>
      </c>
      <c r="F2349" s="22" t="s">
        <v>171</v>
      </c>
    </row>
    <row r="2350" customFormat="false" ht="15" hidden="false" customHeight="false" outlineLevel="0" collapsed="false">
      <c r="A2350" s="22" t="s">
        <v>5435</v>
      </c>
      <c r="B2350" s="22" t="s">
        <v>5436</v>
      </c>
      <c r="C2350" s="22" t="s">
        <v>157</v>
      </c>
      <c r="D2350" s="22" t="s">
        <v>1245</v>
      </c>
      <c r="E2350" s="22" t="n">
        <v>35.8</v>
      </c>
      <c r="F2350" s="22" t="s">
        <v>159</v>
      </c>
    </row>
    <row r="2351" customFormat="false" ht="15" hidden="false" customHeight="false" outlineLevel="0" collapsed="false">
      <c r="A2351" s="22" t="s">
        <v>5437</v>
      </c>
      <c r="B2351" s="22" t="s">
        <v>5438</v>
      </c>
      <c r="C2351" s="22" t="s">
        <v>162</v>
      </c>
      <c r="D2351" s="22" t="s">
        <v>4141</v>
      </c>
      <c r="E2351" s="22" t="n">
        <v>49.1</v>
      </c>
      <c r="F2351" s="22" t="s">
        <v>164</v>
      </c>
    </row>
    <row r="2352" customFormat="false" ht="15" hidden="false" customHeight="false" outlineLevel="0" collapsed="false">
      <c r="A2352" s="22" t="s">
        <v>5439</v>
      </c>
      <c r="B2352" s="22" t="s">
        <v>5440</v>
      </c>
      <c r="C2352" s="22" t="s">
        <v>162</v>
      </c>
      <c r="D2352" s="22" t="s">
        <v>373</v>
      </c>
      <c r="E2352" s="22" t="n">
        <v>40.6</v>
      </c>
      <c r="F2352" s="22" t="s">
        <v>164</v>
      </c>
    </row>
    <row r="2353" customFormat="false" ht="15" hidden="false" customHeight="false" outlineLevel="0" collapsed="false">
      <c r="A2353" s="22" t="s">
        <v>5441</v>
      </c>
      <c r="B2353" s="22" t="s">
        <v>5442</v>
      </c>
      <c r="C2353" s="22" t="s">
        <v>162</v>
      </c>
      <c r="D2353" s="22" t="s">
        <v>980</v>
      </c>
      <c r="E2353" s="22" t="n">
        <v>55.9</v>
      </c>
      <c r="F2353" s="22" t="s">
        <v>499</v>
      </c>
    </row>
    <row r="2354" customFormat="false" ht="15" hidden="false" customHeight="false" outlineLevel="0" collapsed="false">
      <c r="A2354" s="22" t="s">
        <v>5443</v>
      </c>
      <c r="B2354" s="22" t="s">
        <v>5444</v>
      </c>
      <c r="C2354" s="22" t="s">
        <v>162</v>
      </c>
      <c r="D2354" s="22" t="s">
        <v>2871</v>
      </c>
      <c r="E2354" s="22" t="n">
        <v>20.7</v>
      </c>
      <c r="F2354" s="22" t="s">
        <v>175</v>
      </c>
    </row>
    <row r="2355" customFormat="false" ht="15" hidden="false" customHeight="false" outlineLevel="0" collapsed="false">
      <c r="A2355" s="22" t="s">
        <v>5445</v>
      </c>
      <c r="B2355" s="22" t="s">
        <v>5446</v>
      </c>
      <c r="C2355" s="22" t="s">
        <v>162</v>
      </c>
      <c r="D2355" s="22" t="s">
        <v>645</v>
      </c>
      <c r="E2355" s="22" t="n">
        <v>19.4</v>
      </c>
      <c r="F2355" s="22" t="s">
        <v>171</v>
      </c>
    </row>
    <row r="2356" customFormat="false" ht="15" hidden="false" customHeight="false" outlineLevel="0" collapsed="false">
      <c r="A2356" s="22" t="s">
        <v>5447</v>
      </c>
      <c r="B2356" s="22" t="s">
        <v>5448</v>
      </c>
      <c r="C2356" s="22" t="s">
        <v>162</v>
      </c>
      <c r="D2356" s="22" t="s">
        <v>1929</v>
      </c>
      <c r="E2356" s="22" t="n">
        <v>57.4</v>
      </c>
      <c r="F2356" s="22" t="s">
        <v>159</v>
      </c>
    </row>
    <row r="2357" customFormat="false" ht="15" hidden="false" customHeight="false" outlineLevel="0" collapsed="false">
      <c r="A2357" s="22" t="s">
        <v>5449</v>
      </c>
      <c r="B2357" s="22" t="s">
        <v>5450</v>
      </c>
      <c r="C2357" s="22" t="s">
        <v>162</v>
      </c>
      <c r="D2357" s="22" t="s">
        <v>986</v>
      </c>
      <c r="E2357" s="22" t="n">
        <v>33.2</v>
      </c>
      <c r="F2357" s="22" t="s">
        <v>159</v>
      </c>
    </row>
    <row r="2358" customFormat="false" ht="15" hidden="false" customHeight="false" outlineLevel="0" collapsed="false">
      <c r="A2358" s="22" t="s">
        <v>5451</v>
      </c>
      <c r="B2358" s="22" t="s">
        <v>5452</v>
      </c>
      <c r="C2358" s="22" t="s">
        <v>162</v>
      </c>
      <c r="D2358" s="22" t="s">
        <v>579</v>
      </c>
      <c r="E2358" s="22" t="n">
        <v>23.3</v>
      </c>
      <c r="F2358" s="22" t="s">
        <v>188</v>
      </c>
    </row>
    <row r="2359" customFormat="false" ht="15" hidden="false" customHeight="false" outlineLevel="0" collapsed="false">
      <c r="A2359" s="22" t="s">
        <v>5453</v>
      </c>
      <c r="B2359" s="22" t="s">
        <v>5454</v>
      </c>
      <c r="C2359" s="22" t="s">
        <v>162</v>
      </c>
      <c r="D2359" s="22" t="s">
        <v>413</v>
      </c>
      <c r="E2359" s="22" t="n">
        <v>25.7</v>
      </c>
      <c r="F2359" s="22" t="s">
        <v>175</v>
      </c>
    </row>
    <row r="2360" customFormat="false" ht="15" hidden="false" customHeight="false" outlineLevel="0" collapsed="false">
      <c r="A2360" s="22" t="s">
        <v>5455</v>
      </c>
      <c r="B2360" s="22" t="s">
        <v>5456</v>
      </c>
      <c r="C2360" s="22" t="s">
        <v>162</v>
      </c>
      <c r="D2360" s="22" t="s">
        <v>2297</v>
      </c>
      <c r="E2360" s="22" t="n">
        <v>58.8</v>
      </c>
      <c r="F2360" s="22" t="s">
        <v>164</v>
      </c>
    </row>
    <row r="2361" customFormat="false" ht="15" hidden="false" customHeight="false" outlineLevel="0" collapsed="false">
      <c r="A2361" s="22" t="s">
        <v>5457</v>
      </c>
      <c r="B2361" s="22" t="s">
        <v>5458</v>
      </c>
      <c r="C2361" s="22" t="s">
        <v>162</v>
      </c>
      <c r="D2361" s="22" t="s">
        <v>495</v>
      </c>
      <c r="E2361" s="22" t="n">
        <v>56.4</v>
      </c>
      <c r="F2361" s="22" t="s">
        <v>188</v>
      </c>
    </row>
    <row r="2362" customFormat="false" ht="15" hidden="false" customHeight="false" outlineLevel="0" collapsed="false">
      <c r="A2362" s="22" t="s">
        <v>5459</v>
      </c>
      <c r="B2362" s="22" t="s">
        <v>5460</v>
      </c>
      <c r="C2362" s="22" t="s">
        <v>162</v>
      </c>
      <c r="D2362" s="22" t="s">
        <v>962</v>
      </c>
      <c r="E2362" s="22" t="n">
        <v>55.7</v>
      </c>
      <c r="F2362" s="22" t="s">
        <v>175</v>
      </c>
    </row>
    <row r="2363" customFormat="false" ht="15" hidden="false" customHeight="false" outlineLevel="0" collapsed="false">
      <c r="A2363" s="22" t="s">
        <v>5461</v>
      </c>
      <c r="B2363" s="22" t="s">
        <v>5462</v>
      </c>
      <c r="C2363" s="22" t="s">
        <v>162</v>
      </c>
      <c r="D2363" s="22" t="s">
        <v>1833</v>
      </c>
      <c r="E2363" s="22" t="n">
        <v>21</v>
      </c>
      <c r="F2363" s="22" t="s">
        <v>171</v>
      </c>
    </row>
    <row r="2364" customFormat="false" ht="15" hidden="false" customHeight="false" outlineLevel="0" collapsed="false">
      <c r="A2364" s="22" t="s">
        <v>5463</v>
      </c>
      <c r="B2364" s="22" t="s">
        <v>5464</v>
      </c>
      <c r="C2364" s="22" t="s">
        <v>162</v>
      </c>
      <c r="D2364" s="22" t="s">
        <v>552</v>
      </c>
      <c r="E2364" s="22" t="n">
        <v>39.8</v>
      </c>
      <c r="F2364" s="22" t="s">
        <v>164</v>
      </c>
    </row>
    <row r="2365" customFormat="false" ht="15" hidden="false" customHeight="false" outlineLevel="0" collapsed="false">
      <c r="A2365" s="22" t="s">
        <v>5465</v>
      </c>
      <c r="B2365" s="22" t="s">
        <v>5466</v>
      </c>
      <c r="C2365" s="22" t="s">
        <v>162</v>
      </c>
      <c r="D2365" s="22" t="s">
        <v>594</v>
      </c>
      <c r="E2365" s="22" t="n">
        <v>18.3</v>
      </c>
      <c r="F2365" s="22" t="s">
        <v>159</v>
      </c>
    </row>
    <row r="2366" customFormat="false" ht="15" hidden="false" customHeight="false" outlineLevel="0" collapsed="false">
      <c r="A2366" s="22" t="s">
        <v>5467</v>
      </c>
      <c r="B2366" s="22" t="s">
        <v>5468</v>
      </c>
      <c r="C2366" s="22" t="s">
        <v>162</v>
      </c>
      <c r="D2366" s="22" t="s">
        <v>1060</v>
      </c>
      <c r="E2366" s="22" t="n">
        <v>19.1</v>
      </c>
      <c r="F2366" s="22" t="s">
        <v>159</v>
      </c>
    </row>
    <row r="2367" customFormat="false" ht="15" hidden="false" customHeight="false" outlineLevel="0" collapsed="false">
      <c r="A2367" s="22" t="s">
        <v>5469</v>
      </c>
      <c r="B2367" s="22" t="s">
        <v>5470</v>
      </c>
      <c r="C2367" s="22" t="s">
        <v>162</v>
      </c>
      <c r="D2367" s="22" t="s">
        <v>835</v>
      </c>
      <c r="E2367" s="22" t="n">
        <v>60.9</v>
      </c>
      <c r="F2367" s="22" t="s">
        <v>171</v>
      </c>
    </row>
    <row r="2368" customFormat="false" ht="15" hidden="false" customHeight="false" outlineLevel="0" collapsed="false">
      <c r="A2368" s="22" t="s">
        <v>5471</v>
      </c>
      <c r="B2368" s="22" t="s">
        <v>5472</v>
      </c>
      <c r="C2368" s="22" t="s">
        <v>162</v>
      </c>
      <c r="D2368" s="22" t="s">
        <v>2650</v>
      </c>
      <c r="E2368" s="22" t="n">
        <v>47.8</v>
      </c>
      <c r="F2368" s="22" t="s">
        <v>175</v>
      </c>
    </row>
    <row r="2369" customFormat="false" ht="15" hidden="false" customHeight="false" outlineLevel="0" collapsed="false">
      <c r="A2369" s="22" t="s">
        <v>5473</v>
      </c>
      <c r="B2369" s="22" t="s">
        <v>5474</v>
      </c>
      <c r="C2369" s="22" t="s">
        <v>162</v>
      </c>
      <c r="D2369" s="22" t="s">
        <v>1974</v>
      </c>
      <c r="E2369" s="22" t="n">
        <v>41.7</v>
      </c>
      <c r="F2369" s="22" t="s">
        <v>198</v>
      </c>
    </row>
    <row r="2370" customFormat="false" ht="15" hidden="false" customHeight="false" outlineLevel="0" collapsed="false">
      <c r="A2370" s="22" t="s">
        <v>5475</v>
      </c>
      <c r="B2370" s="22" t="s">
        <v>5476</v>
      </c>
      <c r="C2370" s="22" t="s">
        <v>162</v>
      </c>
      <c r="D2370" s="22" t="s">
        <v>3906</v>
      </c>
      <c r="E2370" s="22" t="n">
        <v>47.9</v>
      </c>
      <c r="F2370" s="22" t="s">
        <v>164</v>
      </c>
    </row>
    <row r="2371" customFormat="false" ht="15" hidden="false" customHeight="false" outlineLevel="0" collapsed="false">
      <c r="A2371" s="22" t="s">
        <v>5477</v>
      </c>
      <c r="B2371" s="22" t="s">
        <v>5478</v>
      </c>
      <c r="C2371" s="22" t="s">
        <v>162</v>
      </c>
      <c r="D2371" s="22" t="s">
        <v>2258</v>
      </c>
      <c r="E2371" s="22" t="n">
        <v>42.5</v>
      </c>
      <c r="F2371" s="22" t="s">
        <v>164</v>
      </c>
    </row>
    <row r="2372" customFormat="false" ht="15" hidden="false" customHeight="false" outlineLevel="0" collapsed="false">
      <c r="A2372" s="22" t="s">
        <v>5479</v>
      </c>
      <c r="B2372" s="22" t="s">
        <v>5480</v>
      </c>
      <c r="C2372" s="22" t="s">
        <v>162</v>
      </c>
      <c r="D2372" s="22" t="s">
        <v>201</v>
      </c>
      <c r="E2372" s="22" t="n">
        <v>24.6</v>
      </c>
      <c r="F2372" s="22" t="s">
        <v>159</v>
      </c>
    </row>
    <row r="2373" customFormat="false" ht="15" hidden="false" customHeight="false" outlineLevel="0" collapsed="false">
      <c r="A2373" s="22" t="s">
        <v>5481</v>
      </c>
      <c r="B2373" s="22" t="s">
        <v>5482</v>
      </c>
      <c r="C2373" s="22" t="s">
        <v>162</v>
      </c>
      <c r="D2373" s="22" t="s">
        <v>370</v>
      </c>
      <c r="E2373" s="22" t="n">
        <v>25.7</v>
      </c>
      <c r="F2373" s="22" t="s">
        <v>171</v>
      </c>
    </row>
    <row r="2374" customFormat="false" ht="15" hidden="false" customHeight="false" outlineLevel="0" collapsed="false">
      <c r="A2374" s="22" t="s">
        <v>5483</v>
      </c>
      <c r="B2374" s="22" t="s">
        <v>5484</v>
      </c>
      <c r="C2374" s="22" t="s">
        <v>162</v>
      </c>
      <c r="D2374" s="22" t="s">
        <v>938</v>
      </c>
      <c r="E2374" s="22" t="n">
        <v>36.7</v>
      </c>
      <c r="F2374" s="22" t="s">
        <v>499</v>
      </c>
    </row>
    <row r="2375" customFormat="false" ht="15" hidden="false" customHeight="false" outlineLevel="0" collapsed="false">
      <c r="A2375" s="22" t="s">
        <v>5485</v>
      </c>
      <c r="B2375" s="22" t="s">
        <v>5486</v>
      </c>
      <c r="C2375" s="22" t="s">
        <v>162</v>
      </c>
      <c r="D2375" s="22" t="s">
        <v>1057</v>
      </c>
      <c r="E2375" s="22" t="n">
        <v>48.6</v>
      </c>
      <c r="F2375" s="22" t="s">
        <v>159</v>
      </c>
    </row>
    <row r="2376" customFormat="false" ht="15" hidden="false" customHeight="false" outlineLevel="0" collapsed="false">
      <c r="A2376" s="22" t="s">
        <v>5487</v>
      </c>
      <c r="B2376" s="22" t="s">
        <v>5488</v>
      </c>
      <c r="C2376" s="22" t="s">
        <v>162</v>
      </c>
      <c r="D2376" s="22" t="s">
        <v>953</v>
      </c>
      <c r="E2376" s="22" t="n">
        <v>53.2</v>
      </c>
      <c r="F2376" s="22" t="s">
        <v>164</v>
      </c>
    </row>
    <row r="2377" customFormat="false" ht="15" hidden="false" customHeight="false" outlineLevel="0" collapsed="false">
      <c r="A2377" s="22" t="s">
        <v>5489</v>
      </c>
      <c r="B2377" s="22" t="s">
        <v>5490</v>
      </c>
      <c r="C2377" s="22" t="s">
        <v>162</v>
      </c>
      <c r="D2377" s="22" t="s">
        <v>407</v>
      </c>
      <c r="E2377" s="22" t="n">
        <v>46.2</v>
      </c>
      <c r="F2377" s="22" t="s">
        <v>171</v>
      </c>
    </row>
    <row r="2378" customFormat="false" ht="15" hidden="false" customHeight="false" outlineLevel="0" collapsed="false">
      <c r="A2378" s="22" t="s">
        <v>5491</v>
      </c>
      <c r="B2378" s="22" t="s">
        <v>5492</v>
      </c>
      <c r="C2378" s="22" t="s">
        <v>162</v>
      </c>
      <c r="D2378" s="22" t="s">
        <v>1408</v>
      </c>
      <c r="E2378" s="22" t="n">
        <v>53.2</v>
      </c>
      <c r="F2378" s="22" t="s">
        <v>164</v>
      </c>
    </row>
    <row r="2379" customFormat="false" ht="15" hidden="false" customHeight="false" outlineLevel="0" collapsed="false">
      <c r="A2379" s="22" t="s">
        <v>5493</v>
      </c>
      <c r="B2379" s="22" t="s">
        <v>5494</v>
      </c>
      <c r="C2379" s="22" t="s">
        <v>162</v>
      </c>
      <c r="D2379" s="22" t="s">
        <v>2108</v>
      </c>
      <c r="E2379" s="22" t="n">
        <v>34.6</v>
      </c>
      <c r="F2379" s="22" t="s">
        <v>164</v>
      </c>
    </row>
    <row r="2380" customFormat="false" ht="15" hidden="false" customHeight="false" outlineLevel="0" collapsed="false">
      <c r="A2380" s="22" t="s">
        <v>5495</v>
      </c>
      <c r="B2380" s="22" t="s">
        <v>5496</v>
      </c>
      <c r="C2380" s="22" t="s">
        <v>162</v>
      </c>
      <c r="D2380" s="22" t="s">
        <v>413</v>
      </c>
      <c r="E2380" s="22" t="n">
        <v>61.8</v>
      </c>
      <c r="F2380" s="22" t="s">
        <v>164</v>
      </c>
    </row>
    <row r="2381" customFormat="false" ht="15" hidden="false" customHeight="false" outlineLevel="0" collapsed="false">
      <c r="A2381" s="22" t="s">
        <v>5497</v>
      </c>
      <c r="B2381" s="22" t="s">
        <v>5498</v>
      </c>
      <c r="C2381" s="22" t="s">
        <v>162</v>
      </c>
      <c r="D2381" s="22" t="s">
        <v>1940</v>
      </c>
      <c r="E2381" s="22" t="n">
        <v>47.5</v>
      </c>
      <c r="F2381" s="22" t="s">
        <v>164</v>
      </c>
    </row>
    <row r="2382" customFormat="false" ht="15" hidden="false" customHeight="false" outlineLevel="0" collapsed="false">
      <c r="A2382" s="22" t="s">
        <v>5499</v>
      </c>
      <c r="B2382" s="22" t="s">
        <v>5500</v>
      </c>
      <c r="C2382" s="22" t="s">
        <v>162</v>
      </c>
      <c r="D2382" s="22" t="s">
        <v>1102</v>
      </c>
      <c r="E2382" s="22" t="n">
        <v>36.4</v>
      </c>
      <c r="F2382" s="22" t="s">
        <v>164</v>
      </c>
    </row>
    <row r="2383" customFormat="false" ht="15" hidden="false" customHeight="false" outlineLevel="0" collapsed="false">
      <c r="A2383" s="22" t="s">
        <v>5501</v>
      </c>
      <c r="B2383" s="22" t="s">
        <v>5502</v>
      </c>
      <c r="C2383" s="22" t="s">
        <v>162</v>
      </c>
      <c r="D2383" s="22" t="s">
        <v>1143</v>
      </c>
      <c r="E2383" s="22" t="n">
        <v>42.8</v>
      </c>
      <c r="F2383" s="22" t="s">
        <v>175</v>
      </c>
    </row>
    <row r="2384" customFormat="false" ht="15" hidden="false" customHeight="false" outlineLevel="0" collapsed="false">
      <c r="A2384" s="22" t="s">
        <v>5503</v>
      </c>
      <c r="B2384" s="22" t="s">
        <v>5504</v>
      </c>
      <c r="C2384" s="22" t="s">
        <v>162</v>
      </c>
      <c r="D2384" s="22" t="s">
        <v>3566</v>
      </c>
      <c r="E2384" s="22" t="n">
        <v>38.5</v>
      </c>
      <c r="F2384" s="22" t="s">
        <v>175</v>
      </c>
    </row>
    <row r="2385" customFormat="false" ht="15" hidden="false" customHeight="false" outlineLevel="0" collapsed="false">
      <c r="A2385" s="22" t="s">
        <v>5505</v>
      </c>
      <c r="B2385" s="22" t="s">
        <v>5506</v>
      </c>
      <c r="C2385" s="22" t="s">
        <v>162</v>
      </c>
      <c r="D2385" s="22" t="s">
        <v>263</v>
      </c>
      <c r="E2385" s="22" t="n">
        <v>54.3</v>
      </c>
      <c r="F2385" s="22" t="s">
        <v>499</v>
      </c>
    </row>
    <row r="2386" customFormat="false" ht="15" hidden="false" customHeight="false" outlineLevel="0" collapsed="false">
      <c r="A2386" s="22" t="s">
        <v>5507</v>
      </c>
      <c r="B2386" s="22" t="s">
        <v>5508</v>
      </c>
      <c r="C2386" s="22" t="s">
        <v>162</v>
      </c>
      <c r="D2386" s="22" t="s">
        <v>1761</v>
      </c>
      <c r="E2386" s="22" t="n">
        <v>18.2</v>
      </c>
      <c r="F2386" s="22" t="s">
        <v>198</v>
      </c>
    </row>
    <row r="2387" customFormat="false" ht="15" hidden="false" customHeight="false" outlineLevel="0" collapsed="false">
      <c r="A2387" s="22" t="s">
        <v>5509</v>
      </c>
      <c r="B2387" s="22" t="s">
        <v>5510</v>
      </c>
      <c r="C2387" s="22" t="s">
        <v>207</v>
      </c>
      <c r="D2387" s="22" t="s">
        <v>1158</v>
      </c>
      <c r="E2387" s="22" t="n">
        <v>25</v>
      </c>
      <c r="F2387" s="22" t="s">
        <v>175</v>
      </c>
    </row>
    <row r="2388" customFormat="false" ht="15" hidden="false" customHeight="false" outlineLevel="0" collapsed="false">
      <c r="A2388" s="22" t="s">
        <v>5511</v>
      </c>
      <c r="B2388" s="22" t="s">
        <v>5512</v>
      </c>
      <c r="C2388" s="22" t="s">
        <v>162</v>
      </c>
      <c r="D2388" s="22" t="s">
        <v>1705</v>
      </c>
      <c r="E2388" s="22" t="n">
        <v>54.4</v>
      </c>
      <c r="F2388" s="22" t="s">
        <v>215</v>
      </c>
    </row>
    <row r="2389" customFormat="false" ht="15" hidden="false" customHeight="false" outlineLevel="0" collapsed="false">
      <c r="A2389" s="22" t="s">
        <v>5513</v>
      </c>
      <c r="B2389" s="22" t="s">
        <v>5514</v>
      </c>
      <c r="C2389" s="22" t="s">
        <v>162</v>
      </c>
      <c r="D2389" s="22" t="s">
        <v>2871</v>
      </c>
      <c r="E2389" s="22" t="n">
        <v>43.8</v>
      </c>
      <c r="F2389" s="22" t="s">
        <v>175</v>
      </c>
    </row>
    <row r="2390" customFormat="false" ht="15" hidden="false" customHeight="false" outlineLevel="0" collapsed="false">
      <c r="A2390" s="22" t="s">
        <v>5515</v>
      </c>
      <c r="B2390" s="22" t="s">
        <v>5516</v>
      </c>
      <c r="C2390" s="22" t="s">
        <v>162</v>
      </c>
      <c r="D2390" s="22" t="s">
        <v>2138</v>
      </c>
      <c r="E2390" s="22" t="n">
        <v>24.6</v>
      </c>
      <c r="F2390" s="22" t="s">
        <v>164</v>
      </c>
    </row>
    <row r="2391" customFormat="false" ht="15" hidden="false" customHeight="false" outlineLevel="0" collapsed="false">
      <c r="A2391" s="22" t="s">
        <v>5517</v>
      </c>
      <c r="B2391" s="22" t="s">
        <v>5518</v>
      </c>
      <c r="C2391" s="22" t="s">
        <v>207</v>
      </c>
      <c r="D2391" s="22" t="s">
        <v>5519</v>
      </c>
      <c r="E2391" s="22" t="n">
        <v>29.9</v>
      </c>
      <c r="F2391" s="22" t="s">
        <v>175</v>
      </c>
    </row>
    <row r="2392" customFormat="false" ht="15" hidden="false" customHeight="false" outlineLevel="0" collapsed="false">
      <c r="A2392" s="22" t="s">
        <v>5520</v>
      </c>
      <c r="B2392" s="22" t="s">
        <v>5521</v>
      </c>
      <c r="C2392" s="22" t="s">
        <v>162</v>
      </c>
      <c r="D2392" s="22" t="s">
        <v>2625</v>
      </c>
      <c r="E2392" s="22" t="n">
        <v>40.1</v>
      </c>
      <c r="F2392" s="22" t="s">
        <v>215</v>
      </c>
    </row>
    <row r="2393" customFormat="false" ht="15" hidden="false" customHeight="false" outlineLevel="0" collapsed="false">
      <c r="A2393" s="22" t="s">
        <v>5522</v>
      </c>
      <c r="B2393" s="22" t="s">
        <v>5523</v>
      </c>
      <c r="C2393" s="22" t="s">
        <v>162</v>
      </c>
      <c r="D2393" s="22" t="s">
        <v>3105</v>
      </c>
      <c r="E2393" s="22" t="n">
        <v>32.3</v>
      </c>
      <c r="F2393" s="22" t="s">
        <v>164</v>
      </c>
    </row>
    <row r="2394" customFormat="false" ht="15" hidden="false" customHeight="false" outlineLevel="0" collapsed="false">
      <c r="A2394" s="22" t="s">
        <v>5524</v>
      </c>
      <c r="B2394" s="22" t="s">
        <v>5525</v>
      </c>
      <c r="C2394" s="22" t="s">
        <v>162</v>
      </c>
      <c r="D2394" s="22" t="s">
        <v>4043</v>
      </c>
      <c r="E2394" s="22" t="n">
        <v>62</v>
      </c>
      <c r="F2394" s="22" t="s">
        <v>215</v>
      </c>
    </row>
    <row r="2395" customFormat="false" ht="15" hidden="false" customHeight="false" outlineLevel="0" collapsed="false">
      <c r="A2395" s="22" t="s">
        <v>5526</v>
      </c>
      <c r="B2395" s="22" t="s">
        <v>5527</v>
      </c>
      <c r="C2395" s="22" t="s">
        <v>162</v>
      </c>
      <c r="D2395" s="22" t="s">
        <v>591</v>
      </c>
      <c r="E2395" s="22" t="n">
        <v>28.5</v>
      </c>
      <c r="F2395" s="22" t="s">
        <v>171</v>
      </c>
    </row>
    <row r="2396" customFormat="false" ht="15" hidden="false" customHeight="false" outlineLevel="0" collapsed="false">
      <c r="A2396" s="22" t="s">
        <v>5528</v>
      </c>
      <c r="B2396" s="22" t="s">
        <v>5529</v>
      </c>
      <c r="C2396" s="22" t="s">
        <v>162</v>
      </c>
      <c r="D2396" s="22" t="s">
        <v>2057</v>
      </c>
      <c r="E2396" s="22" t="n">
        <v>42.2</v>
      </c>
      <c r="F2396" s="22" t="s">
        <v>164</v>
      </c>
    </row>
    <row r="2397" customFormat="false" ht="15" hidden="false" customHeight="false" outlineLevel="0" collapsed="false">
      <c r="A2397" s="22" t="s">
        <v>5530</v>
      </c>
      <c r="B2397" s="22" t="s">
        <v>5531</v>
      </c>
      <c r="C2397" s="22" t="s">
        <v>162</v>
      </c>
      <c r="D2397" s="22" t="s">
        <v>1060</v>
      </c>
      <c r="E2397" s="22" t="n">
        <v>24.6</v>
      </c>
      <c r="F2397" s="22" t="s">
        <v>159</v>
      </c>
    </row>
    <row r="2398" customFormat="false" ht="15" hidden="false" customHeight="false" outlineLevel="0" collapsed="false">
      <c r="A2398" s="22" t="s">
        <v>5532</v>
      </c>
      <c r="B2398" s="22" t="s">
        <v>5533</v>
      </c>
      <c r="C2398" s="22" t="s">
        <v>162</v>
      </c>
      <c r="D2398" s="22" t="s">
        <v>1896</v>
      </c>
      <c r="E2398" s="22" t="n">
        <v>18.3</v>
      </c>
      <c r="F2398" s="22" t="s">
        <v>171</v>
      </c>
    </row>
    <row r="2399" customFormat="false" ht="15" hidden="false" customHeight="false" outlineLevel="0" collapsed="false">
      <c r="A2399" s="22" t="s">
        <v>5534</v>
      </c>
      <c r="B2399" s="22" t="s">
        <v>5535</v>
      </c>
      <c r="C2399" s="22" t="s">
        <v>162</v>
      </c>
      <c r="D2399" s="22" t="s">
        <v>1051</v>
      </c>
      <c r="E2399" s="22" t="n">
        <v>34.4</v>
      </c>
      <c r="F2399" s="22" t="s">
        <v>164</v>
      </c>
    </row>
    <row r="2400" customFormat="false" ht="15" hidden="false" customHeight="false" outlineLevel="0" collapsed="false">
      <c r="A2400" s="22" t="s">
        <v>5536</v>
      </c>
      <c r="B2400" s="22" t="s">
        <v>5537</v>
      </c>
      <c r="C2400" s="22" t="s">
        <v>162</v>
      </c>
      <c r="D2400" s="22" t="s">
        <v>2324</v>
      </c>
      <c r="E2400" s="22" t="n">
        <v>25.4</v>
      </c>
      <c r="F2400" s="22" t="s">
        <v>499</v>
      </c>
    </row>
    <row r="2401" customFormat="false" ht="15" hidden="false" customHeight="false" outlineLevel="0" collapsed="false">
      <c r="A2401" s="22" t="s">
        <v>5538</v>
      </c>
      <c r="B2401" s="22" t="s">
        <v>5539</v>
      </c>
      <c r="C2401" s="22" t="s">
        <v>566</v>
      </c>
      <c r="D2401" s="22" t="s">
        <v>871</v>
      </c>
      <c r="E2401" s="22" t="n">
        <v>60.6</v>
      </c>
      <c r="F2401" s="22" t="s">
        <v>164</v>
      </c>
    </row>
    <row r="2402" customFormat="false" ht="15" hidden="false" customHeight="false" outlineLevel="0" collapsed="false">
      <c r="A2402" s="22" t="s">
        <v>5540</v>
      </c>
      <c r="B2402" s="22" t="s">
        <v>5541</v>
      </c>
      <c r="C2402" s="22" t="s">
        <v>162</v>
      </c>
      <c r="D2402" s="22" t="s">
        <v>1758</v>
      </c>
      <c r="E2402" s="22" t="n">
        <v>34.6</v>
      </c>
      <c r="F2402" s="22" t="s">
        <v>164</v>
      </c>
    </row>
    <row r="2403" customFormat="false" ht="15" hidden="false" customHeight="false" outlineLevel="0" collapsed="false">
      <c r="A2403" s="22" t="s">
        <v>5542</v>
      </c>
      <c r="B2403" s="22" t="s">
        <v>5543</v>
      </c>
      <c r="C2403" s="22" t="s">
        <v>162</v>
      </c>
      <c r="D2403" s="22" t="s">
        <v>281</v>
      </c>
      <c r="E2403" s="22" t="n">
        <v>60.7</v>
      </c>
      <c r="F2403" s="22" t="s">
        <v>164</v>
      </c>
    </row>
    <row r="2404" customFormat="false" ht="15" hidden="false" customHeight="false" outlineLevel="0" collapsed="false">
      <c r="A2404" s="22" t="s">
        <v>5544</v>
      </c>
      <c r="B2404" s="22" t="s">
        <v>5545</v>
      </c>
      <c r="C2404" s="22" t="s">
        <v>162</v>
      </c>
      <c r="D2404" s="22" t="s">
        <v>1037</v>
      </c>
      <c r="E2404" s="22" t="n">
        <v>61.6</v>
      </c>
      <c r="F2404" s="22" t="s">
        <v>175</v>
      </c>
    </row>
    <row r="2405" customFormat="false" ht="15" hidden="false" customHeight="false" outlineLevel="0" collapsed="false">
      <c r="A2405" s="22" t="s">
        <v>5546</v>
      </c>
      <c r="B2405" s="22" t="s">
        <v>5547</v>
      </c>
      <c r="C2405" s="22" t="s">
        <v>162</v>
      </c>
      <c r="D2405" s="22" t="s">
        <v>2868</v>
      </c>
      <c r="E2405" s="22" t="n">
        <v>52.9</v>
      </c>
      <c r="F2405" s="22" t="s">
        <v>198</v>
      </c>
    </row>
    <row r="2406" customFormat="false" ht="15" hidden="false" customHeight="false" outlineLevel="0" collapsed="false">
      <c r="A2406" s="22" t="s">
        <v>5548</v>
      </c>
      <c r="B2406" s="22" t="s">
        <v>5549</v>
      </c>
      <c r="C2406" s="22" t="s">
        <v>162</v>
      </c>
      <c r="D2406" s="22" t="s">
        <v>327</v>
      </c>
      <c r="E2406" s="22" t="n">
        <v>38</v>
      </c>
      <c r="F2406" s="22" t="s">
        <v>175</v>
      </c>
    </row>
    <row r="2407" customFormat="false" ht="15" hidden="false" customHeight="false" outlineLevel="0" collapsed="false">
      <c r="A2407" s="22" t="s">
        <v>5550</v>
      </c>
      <c r="B2407" s="22" t="s">
        <v>5551</v>
      </c>
      <c r="C2407" s="22" t="s">
        <v>162</v>
      </c>
      <c r="D2407" s="22" t="s">
        <v>508</v>
      </c>
      <c r="E2407" s="22" t="n">
        <v>49.4</v>
      </c>
      <c r="F2407" s="22" t="s">
        <v>164</v>
      </c>
    </row>
    <row r="2408" customFormat="false" ht="15" hidden="false" customHeight="false" outlineLevel="0" collapsed="false">
      <c r="A2408" s="22" t="s">
        <v>5552</v>
      </c>
      <c r="B2408" s="22" t="s">
        <v>5553</v>
      </c>
      <c r="C2408" s="22" t="s">
        <v>162</v>
      </c>
      <c r="D2408" s="22" t="s">
        <v>260</v>
      </c>
      <c r="E2408" s="22" t="n">
        <v>57.8</v>
      </c>
      <c r="F2408" s="22" t="s">
        <v>171</v>
      </c>
    </row>
    <row r="2409" customFormat="false" ht="15" hidden="false" customHeight="false" outlineLevel="0" collapsed="false">
      <c r="A2409" s="22" t="s">
        <v>5554</v>
      </c>
      <c r="B2409" s="22" t="s">
        <v>5555</v>
      </c>
      <c r="C2409" s="22" t="s">
        <v>162</v>
      </c>
      <c r="D2409" s="22" t="s">
        <v>896</v>
      </c>
      <c r="E2409" s="22" t="n">
        <v>56.6</v>
      </c>
      <c r="F2409" s="22" t="s">
        <v>159</v>
      </c>
    </row>
    <row r="2410" customFormat="false" ht="15" hidden="false" customHeight="false" outlineLevel="0" collapsed="false">
      <c r="A2410" s="22" t="s">
        <v>5556</v>
      </c>
      <c r="B2410" s="22" t="s">
        <v>5557</v>
      </c>
      <c r="C2410" s="22" t="s">
        <v>162</v>
      </c>
      <c r="D2410" s="22" t="s">
        <v>4873</v>
      </c>
      <c r="E2410" s="22" t="n">
        <v>35.5</v>
      </c>
      <c r="F2410" s="22" t="s">
        <v>175</v>
      </c>
    </row>
    <row r="2411" customFormat="false" ht="15" hidden="false" customHeight="false" outlineLevel="0" collapsed="false">
      <c r="A2411" s="22" t="s">
        <v>5558</v>
      </c>
      <c r="B2411" s="22" t="s">
        <v>5559</v>
      </c>
      <c r="C2411" s="22" t="s">
        <v>566</v>
      </c>
      <c r="D2411" s="22" t="s">
        <v>266</v>
      </c>
      <c r="E2411" s="22" t="n">
        <v>24</v>
      </c>
      <c r="F2411" s="22" t="s">
        <v>175</v>
      </c>
    </row>
    <row r="2412" customFormat="false" ht="15" hidden="false" customHeight="false" outlineLevel="0" collapsed="false">
      <c r="A2412" s="22" t="s">
        <v>5560</v>
      </c>
      <c r="B2412" s="22" t="s">
        <v>5561</v>
      </c>
      <c r="C2412" s="22" t="s">
        <v>162</v>
      </c>
      <c r="D2412" s="22" t="s">
        <v>1178</v>
      </c>
      <c r="E2412" s="22" t="n">
        <v>42.4</v>
      </c>
      <c r="F2412" s="22" t="s">
        <v>215</v>
      </c>
    </row>
    <row r="2413" customFormat="false" ht="15" hidden="false" customHeight="false" outlineLevel="0" collapsed="false">
      <c r="A2413" s="22" t="s">
        <v>5562</v>
      </c>
      <c r="B2413" s="22" t="s">
        <v>5563</v>
      </c>
      <c r="C2413" s="22" t="s">
        <v>162</v>
      </c>
      <c r="D2413" s="22" t="s">
        <v>191</v>
      </c>
      <c r="E2413" s="22" t="n">
        <v>38.3</v>
      </c>
      <c r="F2413" s="22" t="s">
        <v>159</v>
      </c>
    </row>
    <row r="2414" customFormat="false" ht="15" hidden="false" customHeight="false" outlineLevel="0" collapsed="false">
      <c r="A2414" s="22" t="s">
        <v>5564</v>
      </c>
      <c r="B2414" s="22" t="s">
        <v>5565</v>
      </c>
      <c r="C2414" s="22" t="s">
        <v>162</v>
      </c>
      <c r="D2414" s="22" t="s">
        <v>436</v>
      </c>
      <c r="E2414" s="22" t="n">
        <v>54</v>
      </c>
      <c r="F2414" s="22" t="s">
        <v>164</v>
      </c>
    </row>
    <row r="2415" customFormat="false" ht="15" hidden="false" customHeight="false" outlineLevel="0" collapsed="false">
      <c r="A2415" s="22" t="s">
        <v>5566</v>
      </c>
      <c r="B2415" s="22" t="s">
        <v>5567</v>
      </c>
      <c r="C2415" s="22" t="s">
        <v>157</v>
      </c>
      <c r="D2415" s="22" t="s">
        <v>1118</v>
      </c>
      <c r="E2415" s="22" t="n">
        <v>45.5</v>
      </c>
      <c r="F2415" s="22" t="s">
        <v>175</v>
      </c>
    </row>
    <row r="2416" customFormat="false" ht="15" hidden="false" customHeight="false" outlineLevel="0" collapsed="false">
      <c r="A2416" s="22" t="s">
        <v>5568</v>
      </c>
      <c r="B2416" s="22" t="s">
        <v>5569</v>
      </c>
      <c r="C2416" s="22" t="s">
        <v>162</v>
      </c>
      <c r="D2416" s="22" t="s">
        <v>260</v>
      </c>
      <c r="E2416" s="22" t="n">
        <v>34.2</v>
      </c>
      <c r="F2416" s="22" t="s">
        <v>175</v>
      </c>
    </row>
    <row r="2417" customFormat="false" ht="15" hidden="false" customHeight="false" outlineLevel="0" collapsed="false">
      <c r="A2417" s="22" t="s">
        <v>5570</v>
      </c>
      <c r="B2417" s="22" t="s">
        <v>5571</v>
      </c>
      <c r="C2417" s="22" t="s">
        <v>162</v>
      </c>
      <c r="D2417" s="22" t="s">
        <v>1646</v>
      </c>
      <c r="E2417" s="22" t="n">
        <v>57.6</v>
      </c>
      <c r="F2417" s="22" t="s">
        <v>164</v>
      </c>
    </row>
    <row r="2418" customFormat="false" ht="15" hidden="false" customHeight="false" outlineLevel="0" collapsed="false">
      <c r="A2418" s="22" t="s">
        <v>5572</v>
      </c>
      <c r="B2418" s="22" t="s">
        <v>5573</v>
      </c>
      <c r="C2418" s="22" t="s">
        <v>162</v>
      </c>
      <c r="D2418" s="22" t="s">
        <v>163</v>
      </c>
      <c r="E2418" s="22" t="n">
        <v>61</v>
      </c>
      <c r="F2418" s="22" t="s">
        <v>164</v>
      </c>
    </row>
    <row r="2419" customFormat="false" ht="15" hidden="false" customHeight="false" outlineLevel="0" collapsed="false">
      <c r="A2419" s="22" t="s">
        <v>5574</v>
      </c>
      <c r="B2419" s="22" t="s">
        <v>5575</v>
      </c>
      <c r="C2419" s="22" t="s">
        <v>162</v>
      </c>
      <c r="D2419" s="22" t="s">
        <v>4222</v>
      </c>
      <c r="E2419" s="22" t="n">
        <v>33.9</v>
      </c>
      <c r="F2419" s="22" t="s">
        <v>175</v>
      </c>
    </row>
    <row r="2420" customFormat="false" ht="15" hidden="false" customHeight="false" outlineLevel="0" collapsed="false">
      <c r="A2420" s="22" t="s">
        <v>5576</v>
      </c>
      <c r="B2420" s="22" t="s">
        <v>5577</v>
      </c>
      <c r="C2420" s="22" t="s">
        <v>162</v>
      </c>
      <c r="D2420" s="22" t="s">
        <v>358</v>
      </c>
      <c r="E2420" s="22" t="n">
        <v>32.8</v>
      </c>
      <c r="F2420" s="22" t="s">
        <v>198</v>
      </c>
    </row>
    <row r="2421" customFormat="false" ht="15" hidden="false" customHeight="false" outlineLevel="0" collapsed="false">
      <c r="A2421" s="22" t="s">
        <v>5578</v>
      </c>
      <c r="B2421" s="22" t="s">
        <v>5579</v>
      </c>
      <c r="C2421" s="22" t="s">
        <v>162</v>
      </c>
      <c r="D2421" s="22" t="s">
        <v>642</v>
      </c>
      <c r="E2421" s="22" t="n">
        <v>56.6</v>
      </c>
      <c r="F2421" s="22" t="s">
        <v>188</v>
      </c>
    </row>
    <row r="2422" customFormat="false" ht="15" hidden="false" customHeight="false" outlineLevel="0" collapsed="false">
      <c r="A2422" s="22" t="s">
        <v>5580</v>
      </c>
      <c r="B2422" s="22" t="s">
        <v>5581</v>
      </c>
      <c r="C2422" s="22" t="s">
        <v>207</v>
      </c>
      <c r="D2422" s="22" t="s">
        <v>318</v>
      </c>
      <c r="E2422" s="22" t="n">
        <v>41.2</v>
      </c>
      <c r="F2422" s="22" t="s">
        <v>164</v>
      </c>
    </row>
    <row r="2423" customFormat="false" ht="15" hidden="false" customHeight="false" outlineLevel="0" collapsed="false">
      <c r="A2423" s="22" t="s">
        <v>5582</v>
      </c>
      <c r="B2423" s="22" t="s">
        <v>5583</v>
      </c>
      <c r="C2423" s="22" t="s">
        <v>162</v>
      </c>
      <c r="D2423" s="22" t="s">
        <v>1840</v>
      </c>
      <c r="E2423" s="22" t="n">
        <v>54.5</v>
      </c>
      <c r="F2423" s="22" t="s">
        <v>164</v>
      </c>
    </row>
    <row r="2424" customFormat="false" ht="15" hidden="false" customHeight="false" outlineLevel="0" collapsed="false">
      <c r="A2424" s="22" t="s">
        <v>5584</v>
      </c>
      <c r="B2424" s="22" t="s">
        <v>5585</v>
      </c>
      <c r="C2424" s="22" t="s">
        <v>162</v>
      </c>
      <c r="D2424" s="22" t="s">
        <v>346</v>
      </c>
      <c r="E2424" s="22" t="n">
        <v>61</v>
      </c>
      <c r="F2424" s="22" t="s">
        <v>164</v>
      </c>
    </row>
    <row r="2425" customFormat="false" ht="15" hidden="false" customHeight="false" outlineLevel="0" collapsed="false">
      <c r="A2425" s="22" t="s">
        <v>5586</v>
      </c>
      <c r="B2425" s="22" t="s">
        <v>5587</v>
      </c>
      <c r="C2425" s="22" t="s">
        <v>162</v>
      </c>
      <c r="D2425" s="22" t="s">
        <v>684</v>
      </c>
      <c r="E2425" s="22" t="n">
        <v>32.4</v>
      </c>
      <c r="F2425" s="22" t="s">
        <v>188</v>
      </c>
    </row>
    <row r="2426" customFormat="false" ht="15" hidden="false" customHeight="false" outlineLevel="0" collapsed="false">
      <c r="A2426" s="22" t="s">
        <v>5588</v>
      </c>
      <c r="B2426" s="22" t="s">
        <v>5589</v>
      </c>
      <c r="C2426" s="22" t="s">
        <v>162</v>
      </c>
      <c r="D2426" s="22" t="s">
        <v>1840</v>
      </c>
      <c r="E2426" s="22" t="n">
        <v>18.4</v>
      </c>
      <c r="F2426" s="22" t="s">
        <v>188</v>
      </c>
    </row>
    <row r="2427" customFormat="false" ht="15" hidden="false" customHeight="false" outlineLevel="0" collapsed="false">
      <c r="A2427" s="22" t="s">
        <v>5590</v>
      </c>
      <c r="B2427" s="22" t="s">
        <v>5591</v>
      </c>
      <c r="C2427" s="22" t="s">
        <v>162</v>
      </c>
      <c r="D2427" s="22" t="s">
        <v>5592</v>
      </c>
      <c r="E2427" s="22" t="n">
        <v>54.6</v>
      </c>
      <c r="F2427" s="22" t="s">
        <v>164</v>
      </c>
    </row>
    <row r="2428" customFormat="false" ht="15" hidden="false" customHeight="false" outlineLevel="0" collapsed="false">
      <c r="A2428" s="22" t="s">
        <v>5593</v>
      </c>
      <c r="B2428" s="22" t="s">
        <v>5594</v>
      </c>
      <c r="C2428" s="22" t="s">
        <v>162</v>
      </c>
      <c r="D2428" s="22" t="s">
        <v>3105</v>
      </c>
      <c r="E2428" s="22" t="n">
        <v>50</v>
      </c>
      <c r="F2428" s="22" t="s">
        <v>198</v>
      </c>
    </row>
    <row r="2429" customFormat="false" ht="15" hidden="false" customHeight="false" outlineLevel="0" collapsed="false">
      <c r="A2429" s="22" t="s">
        <v>5595</v>
      </c>
      <c r="B2429" s="22" t="s">
        <v>5596</v>
      </c>
      <c r="C2429" s="22" t="s">
        <v>162</v>
      </c>
      <c r="D2429" s="22" t="s">
        <v>1896</v>
      </c>
      <c r="E2429" s="22" t="n">
        <v>44.7</v>
      </c>
      <c r="F2429" s="22" t="s">
        <v>159</v>
      </c>
    </row>
    <row r="2430" customFormat="false" ht="15" hidden="false" customHeight="false" outlineLevel="0" collapsed="false">
      <c r="A2430" s="22" t="s">
        <v>5597</v>
      </c>
      <c r="B2430" s="22" t="s">
        <v>5598</v>
      </c>
      <c r="C2430" s="22" t="s">
        <v>162</v>
      </c>
      <c r="D2430" s="22" t="s">
        <v>1193</v>
      </c>
      <c r="E2430" s="22" t="n">
        <v>59.9</v>
      </c>
      <c r="F2430" s="22" t="s">
        <v>171</v>
      </c>
    </row>
    <row r="2431" customFormat="false" ht="15" hidden="false" customHeight="false" outlineLevel="0" collapsed="false">
      <c r="A2431" s="22" t="s">
        <v>5599</v>
      </c>
      <c r="B2431" s="22" t="s">
        <v>5600</v>
      </c>
      <c r="C2431" s="22" t="s">
        <v>207</v>
      </c>
      <c r="D2431" s="22" t="s">
        <v>1304</v>
      </c>
      <c r="E2431" s="22" t="n">
        <v>32.6</v>
      </c>
      <c r="F2431" s="22" t="s">
        <v>188</v>
      </c>
    </row>
    <row r="2432" customFormat="false" ht="15" hidden="false" customHeight="false" outlineLevel="0" collapsed="false">
      <c r="A2432" s="22" t="s">
        <v>5601</v>
      </c>
      <c r="B2432" s="22" t="s">
        <v>5602</v>
      </c>
      <c r="C2432" s="22" t="s">
        <v>162</v>
      </c>
      <c r="D2432" s="22" t="s">
        <v>576</v>
      </c>
      <c r="E2432" s="22" t="n">
        <v>53.8</v>
      </c>
      <c r="F2432" s="22" t="s">
        <v>198</v>
      </c>
    </row>
    <row r="2433" customFormat="false" ht="15" hidden="false" customHeight="false" outlineLevel="0" collapsed="false">
      <c r="A2433" s="22" t="s">
        <v>5603</v>
      </c>
      <c r="B2433" s="22" t="s">
        <v>5604</v>
      </c>
      <c r="C2433" s="22" t="s">
        <v>162</v>
      </c>
      <c r="D2433" s="22" t="s">
        <v>1656</v>
      </c>
      <c r="E2433" s="22" t="n">
        <v>23.5</v>
      </c>
      <c r="F2433" s="22" t="s">
        <v>159</v>
      </c>
    </row>
    <row r="2434" customFormat="false" ht="15" hidden="false" customHeight="false" outlineLevel="0" collapsed="false">
      <c r="A2434" s="22" t="s">
        <v>5605</v>
      </c>
      <c r="B2434" s="22" t="s">
        <v>5606</v>
      </c>
      <c r="C2434" s="22" t="s">
        <v>162</v>
      </c>
      <c r="D2434" s="22" t="s">
        <v>4620</v>
      </c>
      <c r="E2434" s="22" t="n">
        <v>21.2</v>
      </c>
      <c r="F2434" s="22" t="s">
        <v>499</v>
      </c>
    </row>
    <row r="2435" customFormat="false" ht="15" hidden="false" customHeight="false" outlineLevel="0" collapsed="false">
      <c r="A2435" s="22" t="s">
        <v>5607</v>
      </c>
      <c r="B2435" s="22" t="s">
        <v>5608</v>
      </c>
      <c r="C2435" s="22" t="s">
        <v>162</v>
      </c>
      <c r="D2435" s="22" t="s">
        <v>1668</v>
      </c>
      <c r="E2435" s="22" t="n">
        <v>35.5</v>
      </c>
      <c r="F2435" s="22" t="s">
        <v>164</v>
      </c>
    </row>
    <row r="2436" customFormat="false" ht="15" hidden="false" customHeight="false" outlineLevel="0" collapsed="false">
      <c r="A2436" s="22" t="s">
        <v>5609</v>
      </c>
      <c r="B2436" s="22" t="s">
        <v>5610</v>
      </c>
      <c r="C2436" s="22" t="s">
        <v>162</v>
      </c>
      <c r="D2436" s="22" t="s">
        <v>5335</v>
      </c>
      <c r="E2436" s="22" t="n">
        <v>22.8</v>
      </c>
      <c r="F2436" s="22" t="s">
        <v>164</v>
      </c>
    </row>
    <row r="2437" customFormat="false" ht="15" hidden="false" customHeight="false" outlineLevel="0" collapsed="false">
      <c r="A2437" s="22" t="s">
        <v>5611</v>
      </c>
      <c r="B2437" s="22" t="s">
        <v>5612</v>
      </c>
      <c r="C2437" s="22" t="s">
        <v>162</v>
      </c>
      <c r="D2437" s="22" t="s">
        <v>793</v>
      </c>
      <c r="E2437" s="22" t="n">
        <v>47.2</v>
      </c>
      <c r="F2437" s="22" t="s">
        <v>164</v>
      </c>
    </row>
    <row r="2438" customFormat="false" ht="15" hidden="false" customHeight="false" outlineLevel="0" collapsed="false">
      <c r="A2438" s="22" t="s">
        <v>5613</v>
      </c>
      <c r="B2438" s="22" t="s">
        <v>5614</v>
      </c>
      <c r="C2438" s="22" t="s">
        <v>566</v>
      </c>
      <c r="D2438" s="22" t="s">
        <v>1175</v>
      </c>
      <c r="E2438" s="22" t="n">
        <v>36</v>
      </c>
      <c r="F2438" s="22" t="s">
        <v>159</v>
      </c>
    </row>
    <row r="2439" customFormat="false" ht="15" hidden="false" customHeight="false" outlineLevel="0" collapsed="false">
      <c r="A2439" s="22" t="s">
        <v>5615</v>
      </c>
      <c r="B2439" s="22" t="s">
        <v>5616</v>
      </c>
      <c r="C2439" s="22" t="s">
        <v>162</v>
      </c>
      <c r="D2439" s="22" t="s">
        <v>1896</v>
      </c>
      <c r="E2439" s="22" t="n">
        <v>39.1</v>
      </c>
      <c r="F2439" s="22" t="s">
        <v>164</v>
      </c>
    </row>
    <row r="2440" customFormat="false" ht="15" hidden="false" customHeight="false" outlineLevel="0" collapsed="false">
      <c r="A2440" s="22" t="s">
        <v>5617</v>
      </c>
      <c r="B2440" s="22" t="s">
        <v>5618</v>
      </c>
      <c r="C2440" s="22" t="s">
        <v>162</v>
      </c>
      <c r="D2440" s="22" t="s">
        <v>866</v>
      </c>
      <c r="E2440" s="22" t="n">
        <v>38.7</v>
      </c>
      <c r="F2440" s="22" t="s">
        <v>164</v>
      </c>
    </row>
    <row r="2441" customFormat="false" ht="15" hidden="false" customHeight="false" outlineLevel="0" collapsed="false">
      <c r="A2441" s="22" t="s">
        <v>5619</v>
      </c>
      <c r="B2441" s="22" t="s">
        <v>5620</v>
      </c>
      <c r="C2441" s="22" t="s">
        <v>162</v>
      </c>
      <c r="D2441" s="22" t="s">
        <v>1054</v>
      </c>
      <c r="E2441" s="22" t="n">
        <v>24.1</v>
      </c>
      <c r="F2441" s="22" t="s">
        <v>499</v>
      </c>
    </row>
    <row r="2442" customFormat="false" ht="15" hidden="false" customHeight="false" outlineLevel="0" collapsed="false">
      <c r="A2442" s="22" t="s">
        <v>5621</v>
      </c>
      <c r="B2442" s="22" t="s">
        <v>5622</v>
      </c>
      <c r="C2442" s="22" t="s">
        <v>162</v>
      </c>
      <c r="D2442" s="22" t="s">
        <v>284</v>
      </c>
      <c r="E2442" s="22" t="n">
        <v>52.5</v>
      </c>
      <c r="F2442" s="22" t="s">
        <v>171</v>
      </c>
    </row>
    <row r="2443" customFormat="false" ht="15" hidden="false" customHeight="false" outlineLevel="0" collapsed="false">
      <c r="A2443" s="22" t="s">
        <v>5623</v>
      </c>
      <c r="B2443" s="22" t="s">
        <v>5624</v>
      </c>
      <c r="C2443" s="22" t="s">
        <v>162</v>
      </c>
      <c r="D2443" s="22" t="s">
        <v>469</v>
      </c>
      <c r="E2443" s="22" t="n">
        <v>29.5</v>
      </c>
      <c r="F2443" s="22" t="s">
        <v>159</v>
      </c>
    </row>
    <row r="2444" customFormat="false" ht="15" hidden="false" customHeight="false" outlineLevel="0" collapsed="false">
      <c r="A2444" s="22" t="s">
        <v>5625</v>
      </c>
      <c r="B2444" s="22" t="s">
        <v>5626</v>
      </c>
      <c r="C2444" s="22" t="s">
        <v>207</v>
      </c>
      <c r="D2444" s="22" t="s">
        <v>302</v>
      </c>
      <c r="E2444" s="22" t="n">
        <v>51</v>
      </c>
      <c r="F2444" s="22" t="s">
        <v>499</v>
      </c>
    </row>
    <row r="2445" customFormat="false" ht="15" hidden="false" customHeight="false" outlineLevel="0" collapsed="false">
      <c r="A2445" s="22" t="s">
        <v>5627</v>
      </c>
      <c r="B2445" s="22" t="s">
        <v>5628</v>
      </c>
      <c r="C2445" s="22" t="s">
        <v>162</v>
      </c>
      <c r="D2445" s="22" t="s">
        <v>4264</v>
      </c>
      <c r="E2445" s="22" t="n">
        <v>41.6</v>
      </c>
      <c r="F2445" s="22" t="s">
        <v>175</v>
      </c>
    </row>
    <row r="2446" customFormat="false" ht="15" hidden="false" customHeight="false" outlineLevel="0" collapsed="false">
      <c r="A2446" s="22" t="s">
        <v>5629</v>
      </c>
      <c r="B2446" s="22" t="s">
        <v>5630</v>
      </c>
      <c r="C2446" s="22" t="s">
        <v>207</v>
      </c>
      <c r="D2446" s="22" t="s">
        <v>2560</v>
      </c>
      <c r="E2446" s="22" t="n">
        <v>25.8</v>
      </c>
      <c r="F2446" s="22" t="s">
        <v>159</v>
      </c>
    </row>
    <row r="2447" customFormat="false" ht="15" hidden="false" customHeight="false" outlineLevel="0" collapsed="false">
      <c r="A2447" s="22" t="s">
        <v>5631</v>
      </c>
      <c r="B2447" s="22" t="s">
        <v>5632</v>
      </c>
      <c r="C2447" s="22" t="s">
        <v>162</v>
      </c>
      <c r="D2447" s="22" t="s">
        <v>1204</v>
      </c>
      <c r="E2447" s="22" t="n">
        <v>46.5</v>
      </c>
      <c r="F2447" s="22" t="s">
        <v>164</v>
      </c>
    </row>
    <row r="2448" customFormat="false" ht="15" hidden="false" customHeight="false" outlineLevel="0" collapsed="false">
      <c r="A2448" s="22" t="s">
        <v>5633</v>
      </c>
      <c r="B2448" s="22" t="s">
        <v>5634</v>
      </c>
      <c r="C2448" s="22" t="s">
        <v>162</v>
      </c>
      <c r="D2448" s="22" t="s">
        <v>1824</v>
      </c>
      <c r="E2448" s="22" t="n">
        <v>52.8</v>
      </c>
      <c r="F2448" s="22" t="s">
        <v>159</v>
      </c>
    </row>
    <row r="2449" customFormat="false" ht="15" hidden="false" customHeight="false" outlineLevel="0" collapsed="false">
      <c r="A2449" s="22" t="s">
        <v>5635</v>
      </c>
      <c r="B2449" s="22" t="s">
        <v>5636</v>
      </c>
      <c r="C2449" s="22" t="s">
        <v>566</v>
      </c>
      <c r="D2449" s="22" t="s">
        <v>3774</v>
      </c>
      <c r="E2449" s="22" t="n">
        <v>48.5</v>
      </c>
      <c r="F2449" s="22" t="s">
        <v>171</v>
      </c>
    </row>
    <row r="2450" customFormat="false" ht="15" hidden="false" customHeight="false" outlineLevel="0" collapsed="false">
      <c r="A2450" s="22" t="s">
        <v>5637</v>
      </c>
      <c r="B2450" s="22" t="s">
        <v>5638</v>
      </c>
      <c r="C2450" s="22" t="s">
        <v>162</v>
      </c>
      <c r="D2450" s="22" t="s">
        <v>1882</v>
      </c>
      <c r="E2450" s="22" t="n">
        <v>56.3</v>
      </c>
      <c r="F2450" s="22" t="s">
        <v>164</v>
      </c>
    </row>
    <row r="2451" customFormat="false" ht="15" hidden="false" customHeight="false" outlineLevel="0" collapsed="false">
      <c r="A2451" s="22" t="s">
        <v>5639</v>
      </c>
      <c r="B2451" s="22" t="s">
        <v>5640</v>
      </c>
      <c r="C2451" s="22" t="s">
        <v>162</v>
      </c>
      <c r="D2451" s="22" t="s">
        <v>477</v>
      </c>
      <c r="E2451" s="22" t="n">
        <v>38.2</v>
      </c>
      <c r="F2451" s="22" t="s">
        <v>198</v>
      </c>
    </row>
    <row r="2452" customFormat="false" ht="15" hidden="false" customHeight="false" outlineLevel="0" collapsed="false">
      <c r="A2452" s="22" t="s">
        <v>5641</v>
      </c>
      <c r="B2452" s="22" t="s">
        <v>5642</v>
      </c>
      <c r="C2452" s="22" t="s">
        <v>162</v>
      </c>
      <c r="D2452" s="22" t="s">
        <v>3777</v>
      </c>
      <c r="E2452" s="22" t="n">
        <v>50.3</v>
      </c>
      <c r="F2452" s="22" t="s">
        <v>499</v>
      </c>
    </row>
    <row r="2453" customFormat="false" ht="15" hidden="false" customHeight="false" outlineLevel="0" collapsed="false">
      <c r="A2453" s="22" t="s">
        <v>5643</v>
      </c>
      <c r="B2453" s="22" t="s">
        <v>5644</v>
      </c>
      <c r="C2453" s="22" t="s">
        <v>162</v>
      </c>
      <c r="D2453" s="22" t="s">
        <v>364</v>
      </c>
      <c r="E2453" s="22" t="n">
        <v>34</v>
      </c>
      <c r="F2453" s="22" t="s">
        <v>175</v>
      </c>
    </row>
    <row r="2454" customFormat="false" ht="15" hidden="false" customHeight="false" outlineLevel="0" collapsed="false">
      <c r="A2454" s="22" t="s">
        <v>5645</v>
      </c>
      <c r="B2454" s="22" t="s">
        <v>5646</v>
      </c>
      <c r="C2454" s="22" t="s">
        <v>162</v>
      </c>
      <c r="D2454" s="22" t="s">
        <v>1198</v>
      </c>
      <c r="E2454" s="22" t="n">
        <v>36.8</v>
      </c>
      <c r="F2454" s="22" t="s">
        <v>175</v>
      </c>
    </row>
    <row r="2455" customFormat="false" ht="15" hidden="false" customHeight="false" outlineLevel="0" collapsed="false">
      <c r="A2455" s="22" t="s">
        <v>5647</v>
      </c>
      <c r="B2455" s="22" t="s">
        <v>5648</v>
      </c>
      <c r="C2455" s="22" t="s">
        <v>162</v>
      </c>
      <c r="D2455" s="22" t="s">
        <v>2735</v>
      </c>
      <c r="E2455" s="22" t="n">
        <v>55.9</v>
      </c>
      <c r="F2455" s="22" t="s">
        <v>164</v>
      </c>
    </row>
    <row r="2456" customFormat="false" ht="15" hidden="false" customHeight="false" outlineLevel="0" collapsed="false">
      <c r="A2456" s="22" t="s">
        <v>5649</v>
      </c>
      <c r="B2456" s="22" t="s">
        <v>5650</v>
      </c>
      <c r="C2456" s="22" t="s">
        <v>162</v>
      </c>
      <c r="D2456" s="22" t="s">
        <v>3774</v>
      </c>
      <c r="E2456" s="22" t="n">
        <v>60.7</v>
      </c>
      <c r="F2456" s="22" t="s">
        <v>164</v>
      </c>
    </row>
    <row r="2457" customFormat="false" ht="15" hidden="false" customHeight="false" outlineLevel="0" collapsed="false">
      <c r="A2457" s="22" t="s">
        <v>5651</v>
      </c>
      <c r="B2457" s="22" t="s">
        <v>5652</v>
      </c>
      <c r="C2457" s="22" t="s">
        <v>162</v>
      </c>
      <c r="D2457" s="22" t="s">
        <v>773</v>
      </c>
      <c r="E2457" s="22" t="n">
        <v>52.2</v>
      </c>
      <c r="F2457" s="22" t="s">
        <v>164</v>
      </c>
    </row>
    <row r="2458" customFormat="false" ht="15" hidden="false" customHeight="false" outlineLevel="0" collapsed="false">
      <c r="A2458" s="22" t="s">
        <v>5653</v>
      </c>
      <c r="B2458" s="22" t="s">
        <v>5654</v>
      </c>
      <c r="C2458" s="22" t="s">
        <v>162</v>
      </c>
      <c r="D2458" s="22" t="s">
        <v>513</v>
      </c>
      <c r="E2458" s="22" t="n">
        <v>44.8</v>
      </c>
      <c r="F2458" s="22" t="s">
        <v>175</v>
      </c>
    </row>
    <row r="2459" customFormat="false" ht="15" hidden="false" customHeight="false" outlineLevel="0" collapsed="false">
      <c r="A2459" s="22" t="s">
        <v>5655</v>
      </c>
      <c r="B2459" s="22" t="s">
        <v>5656</v>
      </c>
      <c r="C2459" s="22" t="s">
        <v>162</v>
      </c>
      <c r="D2459" s="22" t="s">
        <v>181</v>
      </c>
      <c r="E2459" s="22" t="n">
        <v>21.3</v>
      </c>
      <c r="F2459" s="22" t="s">
        <v>164</v>
      </c>
    </row>
    <row r="2460" customFormat="false" ht="15" hidden="false" customHeight="false" outlineLevel="0" collapsed="false">
      <c r="A2460" s="22" t="s">
        <v>5657</v>
      </c>
      <c r="B2460" s="22" t="s">
        <v>5658</v>
      </c>
      <c r="C2460" s="22" t="s">
        <v>162</v>
      </c>
      <c r="D2460" s="22" t="s">
        <v>463</v>
      </c>
      <c r="E2460" s="22" t="n">
        <v>51.2</v>
      </c>
      <c r="F2460" s="22" t="s">
        <v>171</v>
      </c>
    </row>
    <row r="2461" customFormat="false" ht="15" hidden="false" customHeight="false" outlineLevel="0" collapsed="false">
      <c r="A2461" s="22" t="s">
        <v>5659</v>
      </c>
      <c r="B2461" s="22" t="s">
        <v>5660</v>
      </c>
      <c r="C2461" s="22" t="s">
        <v>162</v>
      </c>
      <c r="D2461" s="22" t="s">
        <v>2572</v>
      </c>
      <c r="E2461" s="22" t="n">
        <v>60.8</v>
      </c>
      <c r="F2461" s="22" t="s">
        <v>175</v>
      </c>
    </row>
    <row r="2462" customFormat="false" ht="15" hidden="false" customHeight="false" outlineLevel="0" collapsed="false">
      <c r="A2462" s="22" t="s">
        <v>5661</v>
      </c>
      <c r="B2462" s="22" t="s">
        <v>5662</v>
      </c>
      <c r="C2462" s="22" t="s">
        <v>162</v>
      </c>
      <c r="D2462" s="22" t="s">
        <v>519</v>
      </c>
      <c r="E2462" s="22" t="n">
        <v>22.1</v>
      </c>
      <c r="F2462" s="22" t="s">
        <v>171</v>
      </c>
    </row>
    <row r="2463" customFormat="false" ht="15" hidden="false" customHeight="false" outlineLevel="0" collapsed="false">
      <c r="A2463" s="22" t="s">
        <v>5663</v>
      </c>
      <c r="B2463" s="22" t="s">
        <v>5664</v>
      </c>
      <c r="C2463" s="22" t="s">
        <v>162</v>
      </c>
      <c r="D2463" s="22" t="s">
        <v>224</v>
      </c>
      <c r="E2463" s="22" t="n">
        <v>44.2</v>
      </c>
      <c r="F2463" s="22" t="s">
        <v>171</v>
      </c>
    </row>
    <row r="2464" customFormat="false" ht="15" hidden="false" customHeight="false" outlineLevel="0" collapsed="false">
      <c r="A2464" s="22" t="s">
        <v>5665</v>
      </c>
      <c r="B2464" s="22" t="s">
        <v>5666</v>
      </c>
      <c r="C2464" s="22" t="s">
        <v>162</v>
      </c>
      <c r="D2464" s="22" t="s">
        <v>355</v>
      </c>
      <c r="E2464" s="22" t="n">
        <v>39.1</v>
      </c>
      <c r="F2464" s="22" t="s">
        <v>171</v>
      </c>
    </row>
    <row r="2465" customFormat="false" ht="15" hidden="false" customHeight="false" outlineLevel="0" collapsed="false">
      <c r="A2465" s="22" t="s">
        <v>5667</v>
      </c>
      <c r="B2465" s="22" t="s">
        <v>5668</v>
      </c>
      <c r="C2465" s="22" t="s">
        <v>162</v>
      </c>
      <c r="D2465" s="22" t="s">
        <v>2172</v>
      </c>
      <c r="E2465" s="22" t="n">
        <v>54.1</v>
      </c>
      <c r="F2465" s="22" t="s">
        <v>175</v>
      </c>
    </row>
    <row r="2466" customFormat="false" ht="15" hidden="false" customHeight="false" outlineLevel="0" collapsed="false">
      <c r="A2466" s="22" t="s">
        <v>5669</v>
      </c>
      <c r="B2466" s="22" t="s">
        <v>5670</v>
      </c>
      <c r="C2466" s="22" t="s">
        <v>162</v>
      </c>
      <c r="D2466" s="22" t="s">
        <v>422</v>
      </c>
      <c r="E2466" s="22" t="n">
        <v>40.1</v>
      </c>
      <c r="F2466" s="22" t="s">
        <v>175</v>
      </c>
    </row>
    <row r="2467" customFormat="false" ht="15" hidden="false" customHeight="false" outlineLevel="0" collapsed="false">
      <c r="A2467" s="22" t="s">
        <v>5671</v>
      </c>
      <c r="B2467" s="22" t="s">
        <v>5672</v>
      </c>
      <c r="C2467" s="22" t="s">
        <v>162</v>
      </c>
      <c r="D2467" s="22" t="s">
        <v>2180</v>
      </c>
      <c r="E2467" s="22" t="n">
        <v>55.1</v>
      </c>
      <c r="F2467" s="22" t="s">
        <v>175</v>
      </c>
    </row>
    <row r="2468" customFormat="false" ht="15" hidden="false" customHeight="false" outlineLevel="0" collapsed="false">
      <c r="A2468" s="22" t="s">
        <v>5673</v>
      </c>
      <c r="B2468" s="22" t="s">
        <v>5674</v>
      </c>
      <c r="C2468" s="22" t="s">
        <v>162</v>
      </c>
      <c r="D2468" s="22" t="s">
        <v>1847</v>
      </c>
      <c r="E2468" s="22" t="n">
        <v>30.5</v>
      </c>
      <c r="F2468" s="22" t="s">
        <v>159</v>
      </c>
    </row>
    <row r="2469" customFormat="false" ht="15" hidden="false" customHeight="false" outlineLevel="0" collapsed="false">
      <c r="A2469" s="22" t="s">
        <v>5675</v>
      </c>
      <c r="B2469" s="22" t="s">
        <v>5676</v>
      </c>
      <c r="C2469" s="22" t="s">
        <v>162</v>
      </c>
      <c r="D2469" s="22" t="s">
        <v>1896</v>
      </c>
      <c r="E2469" s="22" t="n">
        <v>35.4</v>
      </c>
      <c r="F2469" s="22" t="s">
        <v>164</v>
      </c>
    </row>
    <row r="2470" customFormat="false" ht="15" hidden="false" customHeight="false" outlineLevel="0" collapsed="false">
      <c r="A2470" s="22" t="s">
        <v>5677</v>
      </c>
      <c r="B2470" s="22" t="s">
        <v>5678</v>
      </c>
      <c r="C2470" s="22" t="s">
        <v>162</v>
      </c>
      <c r="D2470" s="22" t="s">
        <v>1991</v>
      </c>
      <c r="E2470" s="22" t="n">
        <v>25.8</v>
      </c>
      <c r="F2470" s="22" t="s">
        <v>215</v>
      </c>
    </row>
    <row r="2471" customFormat="false" ht="15" hidden="false" customHeight="false" outlineLevel="0" collapsed="false">
      <c r="A2471" s="22" t="s">
        <v>5679</v>
      </c>
      <c r="B2471" s="22" t="s">
        <v>5680</v>
      </c>
      <c r="C2471" s="22" t="s">
        <v>162</v>
      </c>
      <c r="D2471" s="22" t="s">
        <v>714</v>
      </c>
      <c r="E2471" s="22" t="n">
        <v>19.4</v>
      </c>
      <c r="F2471" s="22" t="s">
        <v>164</v>
      </c>
    </row>
    <row r="2472" customFormat="false" ht="15" hidden="false" customHeight="false" outlineLevel="0" collapsed="false">
      <c r="A2472" s="22" t="s">
        <v>5681</v>
      </c>
      <c r="B2472" s="22" t="s">
        <v>5682</v>
      </c>
      <c r="C2472" s="22" t="s">
        <v>157</v>
      </c>
      <c r="D2472" s="22" t="s">
        <v>2172</v>
      </c>
      <c r="E2472" s="22" t="n">
        <v>37.2</v>
      </c>
      <c r="F2472" s="22" t="s">
        <v>175</v>
      </c>
    </row>
    <row r="2473" customFormat="false" ht="15" hidden="false" customHeight="false" outlineLevel="0" collapsed="false">
      <c r="A2473" s="22" t="s">
        <v>5683</v>
      </c>
      <c r="B2473" s="22" t="s">
        <v>5684</v>
      </c>
      <c r="C2473" s="22" t="s">
        <v>162</v>
      </c>
      <c r="D2473" s="22" t="s">
        <v>885</v>
      </c>
      <c r="E2473" s="22" t="n">
        <v>48.3</v>
      </c>
      <c r="F2473" s="22" t="s">
        <v>171</v>
      </c>
    </row>
    <row r="2474" customFormat="false" ht="15" hidden="false" customHeight="false" outlineLevel="0" collapsed="false">
      <c r="A2474" s="22" t="s">
        <v>5685</v>
      </c>
      <c r="B2474" s="22" t="s">
        <v>5686</v>
      </c>
      <c r="C2474" s="22" t="s">
        <v>162</v>
      </c>
      <c r="D2474" s="22" t="s">
        <v>4141</v>
      </c>
      <c r="E2474" s="22" t="n">
        <v>61.2</v>
      </c>
      <c r="F2474" s="22" t="s">
        <v>175</v>
      </c>
    </row>
    <row r="2475" customFormat="false" ht="15" hidden="false" customHeight="false" outlineLevel="0" collapsed="false">
      <c r="A2475" s="22" t="s">
        <v>5687</v>
      </c>
      <c r="B2475" s="22" t="s">
        <v>5688</v>
      </c>
      <c r="C2475" s="22" t="s">
        <v>162</v>
      </c>
      <c r="D2475" s="22" t="s">
        <v>5104</v>
      </c>
      <c r="E2475" s="22" t="n">
        <v>57.5</v>
      </c>
      <c r="F2475" s="22" t="s">
        <v>175</v>
      </c>
    </row>
    <row r="2476" customFormat="false" ht="15" hidden="false" customHeight="false" outlineLevel="0" collapsed="false">
      <c r="A2476" s="22" t="s">
        <v>5689</v>
      </c>
      <c r="B2476" s="22" t="s">
        <v>5690</v>
      </c>
      <c r="C2476" s="22" t="s">
        <v>162</v>
      </c>
      <c r="D2476" s="22" t="s">
        <v>227</v>
      </c>
      <c r="E2476" s="22" t="n">
        <v>25</v>
      </c>
      <c r="F2476" s="22" t="s">
        <v>164</v>
      </c>
    </row>
    <row r="2477" customFormat="false" ht="15" hidden="false" customHeight="false" outlineLevel="0" collapsed="false">
      <c r="A2477" s="22" t="s">
        <v>5691</v>
      </c>
      <c r="B2477" s="22" t="s">
        <v>5692</v>
      </c>
      <c r="C2477" s="22" t="s">
        <v>207</v>
      </c>
      <c r="D2477" s="22" t="s">
        <v>3105</v>
      </c>
      <c r="E2477" s="22" t="n">
        <v>46.9</v>
      </c>
      <c r="F2477" s="22" t="s">
        <v>164</v>
      </c>
    </row>
    <row r="2478" customFormat="false" ht="15" hidden="false" customHeight="false" outlineLevel="0" collapsed="false">
      <c r="A2478" s="22" t="s">
        <v>5693</v>
      </c>
      <c r="B2478" s="22" t="s">
        <v>5694</v>
      </c>
      <c r="C2478" s="22" t="s">
        <v>162</v>
      </c>
      <c r="D2478" s="22" t="s">
        <v>1646</v>
      </c>
      <c r="E2478" s="22" t="n">
        <v>51.3</v>
      </c>
      <c r="F2478" s="22" t="s">
        <v>159</v>
      </c>
    </row>
    <row r="2479" customFormat="false" ht="15" hidden="false" customHeight="false" outlineLevel="0" collapsed="false">
      <c r="A2479" s="22" t="s">
        <v>5695</v>
      </c>
      <c r="B2479" s="22" t="s">
        <v>5696</v>
      </c>
      <c r="C2479" s="22" t="s">
        <v>162</v>
      </c>
      <c r="D2479" s="22" t="s">
        <v>4873</v>
      </c>
      <c r="E2479" s="22" t="n">
        <v>51.5</v>
      </c>
      <c r="F2479" s="22" t="s">
        <v>164</v>
      </c>
    </row>
    <row r="2480" customFormat="false" ht="15" hidden="false" customHeight="false" outlineLevel="0" collapsed="false">
      <c r="A2480" s="22" t="s">
        <v>5697</v>
      </c>
      <c r="B2480" s="22" t="s">
        <v>5698</v>
      </c>
      <c r="C2480" s="22" t="s">
        <v>162</v>
      </c>
      <c r="D2480" s="22" t="s">
        <v>5699</v>
      </c>
      <c r="E2480" s="22" t="n">
        <v>25.3</v>
      </c>
      <c r="F2480" s="22" t="s">
        <v>215</v>
      </c>
    </row>
    <row r="2481" customFormat="false" ht="15" hidden="false" customHeight="false" outlineLevel="0" collapsed="false">
      <c r="A2481" s="22" t="s">
        <v>5700</v>
      </c>
      <c r="B2481" s="22" t="s">
        <v>5701</v>
      </c>
      <c r="C2481" s="22" t="s">
        <v>162</v>
      </c>
      <c r="D2481" s="22" t="s">
        <v>914</v>
      </c>
      <c r="E2481" s="22" t="n">
        <v>58.1</v>
      </c>
      <c r="F2481" s="22" t="s">
        <v>175</v>
      </c>
    </row>
    <row r="2482" customFormat="false" ht="15" hidden="false" customHeight="false" outlineLevel="0" collapsed="false">
      <c r="A2482" s="22" t="s">
        <v>5702</v>
      </c>
      <c r="B2482" s="22" t="s">
        <v>5703</v>
      </c>
      <c r="C2482" s="22" t="s">
        <v>162</v>
      </c>
      <c r="D2482" s="22" t="s">
        <v>857</v>
      </c>
      <c r="E2482" s="22" t="n">
        <v>22.1</v>
      </c>
      <c r="F2482" s="22" t="s">
        <v>171</v>
      </c>
    </row>
    <row r="2483" customFormat="false" ht="15" hidden="false" customHeight="false" outlineLevel="0" collapsed="false">
      <c r="A2483" s="22" t="s">
        <v>5704</v>
      </c>
      <c r="B2483" s="22" t="s">
        <v>5705</v>
      </c>
      <c r="C2483" s="22" t="s">
        <v>207</v>
      </c>
      <c r="D2483" s="22" t="s">
        <v>525</v>
      </c>
      <c r="E2483" s="22" t="n">
        <v>24.2</v>
      </c>
      <c r="F2483" s="22" t="s">
        <v>159</v>
      </c>
    </row>
    <row r="2484" customFormat="false" ht="15" hidden="false" customHeight="false" outlineLevel="0" collapsed="false">
      <c r="A2484" s="22" t="s">
        <v>5706</v>
      </c>
      <c r="B2484" s="22" t="s">
        <v>5707</v>
      </c>
      <c r="C2484" s="22" t="s">
        <v>162</v>
      </c>
      <c r="D2484" s="22" t="s">
        <v>1702</v>
      </c>
      <c r="E2484" s="22" t="n">
        <v>36.3</v>
      </c>
      <c r="F2484" s="22" t="s">
        <v>198</v>
      </c>
    </row>
    <row r="2485" customFormat="false" ht="15" hidden="false" customHeight="false" outlineLevel="0" collapsed="false">
      <c r="A2485" s="22" t="s">
        <v>5708</v>
      </c>
      <c r="B2485" s="22" t="s">
        <v>5709</v>
      </c>
      <c r="C2485" s="22" t="s">
        <v>162</v>
      </c>
      <c r="D2485" s="22" t="s">
        <v>1764</v>
      </c>
      <c r="E2485" s="22" t="n">
        <v>56.1</v>
      </c>
      <c r="F2485" s="22" t="s">
        <v>175</v>
      </c>
    </row>
    <row r="2486" customFormat="false" ht="15" hidden="false" customHeight="false" outlineLevel="0" collapsed="false">
      <c r="A2486" s="22" t="s">
        <v>5710</v>
      </c>
      <c r="B2486" s="22" t="s">
        <v>5711</v>
      </c>
      <c r="C2486" s="22" t="s">
        <v>162</v>
      </c>
      <c r="D2486" s="22" t="s">
        <v>4213</v>
      </c>
      <c r="E2486" s="22" t="n">
        <v>42.5</v>
      </c>
      <c r="F2486" s="22" t="s">
        <v>164</v>
      </c>
    </row>
    <row r="2487" customFormat="false" ht="15" hidden="false" customHeight="false" outlineLevel="0" collapsed="false">
      <c r="A2487" s="22" t="s">
        <v>5712</v>
      </c>
      <c r="B2487" s="22" t="s">
        <v>5713</v>
      </c>
      <c r="C2487" s="22" t="s">
        <v>162</v>
      </c>
      <c r="D2487" s="22" t="s">
        <v>1281</v>
      </c>
      <c r="E2487" s="22" t="n">
        <v>28</v>
      </c>
      <c r="F2487" s="22" t="s">
        <v>164</v>
      </c>
    </row>
    <row r="2488" customFormat="false" ht="15" hidden="false" customHeight="false" outlineLevel="0" collapsed="false">
      <c r="A2488" s="22" t="s">
        <v>5714</v>
      </c>
      <c r="B2488" s="22" t="s">
        <v>5715</v>
      </c>
      <c r="C2488" s="22" t="s">
        <v>157</v>
      </c>
      <c r="D2488" s="22" t="s">
        <v>1538</v>
      </c>
      <c r="E2488" s="22" t="n">
        <v>24.4</v>
      </c>
      <c r="F2488" s="22" t="s">
        <v>175</v>
      </c>
    </row>
    <row r="2489" customFormat="false" ht="15" hidden="false" customHeight="false" outlineLevel="0" collapsed="false">
      <c r="A2489" s="22" t="s">
        <v>5716</v>
      </c>
      <c r="B2489" s="22" t="s">
        <v>5717</v>
      </c>
      <c r="C2489" s="22" t="s">
        <v>162</v>
      </c>
      <c r="D2489" s="22" t="s">
        <v>1435</v>
      </c>
      <c r="E2489" s="22" t="n">
        <v>34.5</v>
      </c>
      <c r="F2489" s="22" t="s">
        <v>164</v>
      </c>
    </row>
    <row r="2490" customFormat="false" ht="15" hidden="false" customHeight="false" outlineLevel="0" collapsed="false">
      <c r="A2490" s="22" t="s">
        <v>5718</v>
      </c>
      <c r="B2490" s="22" t="s">
        <v>5719</v>
      </c>
      <c r="C2490" s="22" t="s">
        <v>162</v>
      </c>
      <c r="D2490" s="22" t="s">
        <v>3316</v>
      </c>
      <c r="E2490" s="22" t="n">
        <v>59.8</v>
      </c>
      <c r="F2490" s="22" t="s">
        <v>175</v>
      </c>
    </row>
    <row r="2491" customFormat="false" ht="15" hidden="false" customHeight="false" outlineLevel="0" collapsed="false">
      <c r="A2491" s="22" t="s">
        <v>5720</v>
      </c>
      <c r="B2491" s="22" t="s">
        <v>5721</v>
      </c>
      <c r="C2491" s="22" t="s">
        <v>162</v>
      </c>
      <c r="D2491" s="22" t="s">
        <v>672</v>
      </c>
      <c r="E2491" s="22" t="n">
        <v>50.7</v>
      </c>
      <c r="F2491" s="22" t="s">
        <v>164</v>
      </c>
    </row>
    <row r="2492" customFormat="false" ht="15" hidden="false" customHeight="false" outlineLevel="0" collapsed="false">
      <c r="A2492" s="22" t="s">
        <v>5722</v>
      </c>
      <c r="B2492" s="22" t="s">
        <v>5723</v>
      </c>
      <c r="C2492" s="22" t="s">
        <v>157</v>
      </c>
      <c r="D2492" s="22" t="s">
        <v>1695</v>
      </c>
      <c r="E2492" s="22" t="n">
        <v>38</v>
      </c>
      <c r="F2492" s="22" t="s">
        <v>164</v>
      </c>
    </row>
    <row r="2493" customFormat="false" ht="15" hidden="false" customHeight="false" outlineLevel="0" collapsed="false">
      <c r="A2493" s="22" t="s">
        <v>5724</v>
      </c>
      <c r="B2493" s="22" t="s">
        <v>5725</v>
      </c>
      <c r="C2493" s="22" t="s">
        <v>162</v>
      </c>
      <c r="D2493" s="22" t="s">
        <v>474</v>
      </c>
      <c r="E2493" s="22" t="n">
        <v>32.7</v>
      </c>
      <c r="F2493" s="22" t="s">
        <v>499</v>
      </c>
    </row>
    <row r="2494" customFormat="false" ht="15" hidden="false" customHeight="false" outlineLevel="0" collapsed="false">
      <c r="A2494" s="22" t="s">
        <v>5726</v>
      </c>
      <c r="B2494" s="22" t="s">
        <v>5727</v>
      </c>
      <c r="C2494" s="22" t="s">
        <v>162</v>
      </c>
      <c r="D2494" s="22" t="s">
        <v>2015</v>
      </c>
      <c r="E2494" s="22" t="n">
        <v>48.3</v>
      </c>
      <c r="F2494" s="22" t="s">
        <v>164</v>
      </c>
    </row>
    <row r="2495" customFormat="false" ht="15" hidden="false" customHeight="false" outlineLevel="0" collapsed="false">
      <c r="A2495" s="22" t="s">
        <v>5728</v>
      </c>
      <c r="B2495" s="22" t="s">
        <v>5729</v>
      </c>
      <c r="C2495" s="22" t="s">
        <v>162</v>
      </c>
      <c r="D2495" s="22" t="s">
        <v>208</v>
      </c>
      <c r="E2495" s="22" t="n">
        <v>43.5</v>
      </c>
      <c r="F2495" s="22" t="s">
        <v>159</v>
      </c>
    </row>
    <row r="2496" customFormat="false" ht="15" hidden="false" customHeight="false" outlineLevel="0" collapsed="false">
      <c r="A2496" s="22" t="s">
        <v>5730</v>
      </c>
      <c r="B2496" s="22" t="s">
        <v>5731</v>
      </c>
      <c r="C2496" s="22" t="s">
        <v>162</v>
      </c>
      <c r="D2496" s="22" t="s">
        <v>3443</v>
      </c>
      <c r="E2496" s="22" t="n">
        <v>45.7</v>
      </c>
      <c r="F2496" s="22" t="s">
        <v>171</v>
      </c>
    </row>
    <row r="2497" customFormat="false" ht="15" hidden="false" customHeight="false" outlineLevel="0" collapsed="false">
      <c r="A2497" s="22" t="s">
        <v>5732</v>
      </c>
      <c r="B2497" s="22" t="s">
        <v>5733</v>
      </c>
      <c r="C2497" s="22" t="s">
        <v>162</v>
      </c>
      <c r="D2497" s="22" t="s">
        <v>871</v>
      </c>
      <c r="E2497" s="22" t="n">
        <v>53.2</v>
      </c>
      <c r="F2497" s="22" t="s">
        <v>175</v>
      </c>
    </row>
    <row r="2498" customFormat="false" ht="15" hidden="false" customHeight="false" outlineLevel="0" collapsed="false">
      <c r="A2498" s="22" t="s">
        <v>5734</v>
      </c>
      <c r="B2498" s="22" t="s">
        <v>5735</v>
      </c>
      <c r="C2498" s="22" t="s">
        <v>162</v>
      </c>
      <c r="D2498" s="22" t="s">
        <v>1045</v>
      </c>
      <c r="E2498" s="22" t="n">
        <v>43.4</v>
      </c>
      <c r="F2498" s="22" t="s">
        <v>499</v>
      </c>
    </row>
    <row r="2499" customFormat="false" ht="15" hidden="false" customHeight="false" outlineLevel="0" collapsed="false">
      <c r="A2499" s="22" t="s">
        <v>5736</v>
      </c>
      <c r="B2499" s="22" t="s">
        <v>5737</v>
      </c>
      <c r="C2499" s="22" t="s">
        <v>162</v>
      </c>
      <c r="D2499" s="22" t="s">
        <v>1690</v>
      </c>
      <c r="E2499" s="22" t="n">
        <v>41.3</v>
      </c>
      <c r="F2499" s="22" t="s">
        <v>164</v>
      </c>
    </row>
    <row r="2500" customFormat="false" ht="15" hidden="false" customHeight="false" outlineLevel="0" collapsed="false">
      <c r="A2500" s="22" t="s">
        <v>5738</v>
      </c>
      <c r="B2500" s="22" t="s">
        <v>5739</v>
      </c>
      <c r="C2500" s="22" t="s">
        <v>162</v>
      </c>
      <c r="D2500" s="22" t="s">
        <v>728</v>
      </c>
      <c r="E2500" s="22" t="n">
        <v>21.8</v>
      </c>
      <c r="F2500" s="22" t="s">
        <v>164</v>
      </c>
    </row>
    <row r="2501" customFormat="false" ht="15" hidden="false" customHeight="false" outlineLevel="0" collapsed="false">
      <c r="A2501" s="22" t="s">
        <v>5740</v>
      </c>
      <c r="B2501" s="22" t="s">
        <v>5741</v>
      </c>
      <c r="C2501" s="22" t="s">
        <v>162</v>
      </c>
      <c r="D2501" s="22" t="s">
        <v>214</v>
      </c>
      <c r="E2501" s="22" t="n">
        <v>54</v>
      </c>
      <c r="F2501" s="22" t="s">
        <v>499</v>
      </c>
    </row>
    <row r="2502" customFormat="false" ht="15" hidden="false" customHeight="false" outlineLevel="0" collapsed="false">
      <c r="A2502" s="22" t="s">
        <v>5742</v>
      </c>
      <c r="B2502" s="22" t="s">
        <v>5743</v>
      </c>
      <c r="C2502" s="22" t="s">
        <v>162</v>
      </c>
      <c r="D2502" s="22" t="s">
        <v>2533</v>
      </c>
      <c r="E2502" s="22" t="n">
        <v>35.5</v>
      </c>
      <c r="F2502" s="22" t="s">
        <v>198</v>
      </c>
    </row>
    <row r="2503" customFormat="false" ht="15" hidden="false" customHeight="false" outlineLevel="0" collapsed="false">
      <c r="A2503" s="22" t="s">
        <v>5744</v>
      </c>
      <c r="B2503" s="22" t="s">
        <v>5745</v>
      </c>
      <c r="C2503" s="22" t="s">
        <v>162</v>
      </c>
      <c r="D2503" s="22" t="s">
        <v>651</v>
      </c>
      <c r="E2503" s="22" t="n">
        <v>42.5</v>
      </c>
      <c r="F2503" s="22" t="s">
        <v>171</v>
      </c>
    </row>
    <row r="2504" customFormat="false" ht="15" hidden="false" customHeight="false" outlineLevel="0" collapsed="false">
      <c r="A2504" s="22" t="s">
        <v>5746</v>
      </c>
      <c r="B2504" s="22" t="s">
        <v>5747</v>
      </c>
      <c r="C2504" s="22" t="s">
        <v>162</v>
      </c>
      <c r="D2504" s="22" t="s">
        <v>1603</v>
      </c>
      <c r="E2504" s="22" t="n">
        <v>23</v>
      </c>
      <c r="F2504" s="22" t="s">
        <v>159</v>
      </c>
    </row>
    <row r="2505" customFormat="false" ht="15" hidden="false" customHeight="false" outlineLevel="0" collapsed="false">
      <c r="A2505" s="22" t="s">
        <v>5748</v>
      </c>
      <c r="B2505" s="22" t="s">
        <v>5749</v>
      </c>
      <c r="C2505" s="22" t="s">
        <v>162</v>
      </c>
      <c r="D2505" s="22" t="s">
        <v>513</v>
      </c>
      <c r="E2505" s="22" t="n">
        <v>42</v>
      </c>
      <c r="F2505" s="22" t="s">
        <v>215</v>
      </c>
    </row>
    <row r="2506" customFormat="false" ht="15" hidden="false" customHeight="false" outlineLevel="0" collapsed="false">
      <c r="A2506" s="22" t="s">
        <v>5750</v>
      </c>
      <c r="B2506" s="22" t="s">
        <v>5751</v>
      </c>
      <c r="C2506" s="22" t="s">
        <v>162</v>
      </c>
      <c r="D2506" s="22" t="s">
        <v>2222</v>
      </c>
      <c r="E2506" s="22" t="n">
        <v>43.2</v>
      </c>
      <c r="F2506" s="22" t="s">
        <v>171</v>
      </c>
    </row>
    <row r="2507" customFormat="false" ht="15" hidden="false" customHeight="false" outlineLevel="0" collapsed="false">
      <c r="A2507" s="22" t="s">
        <v>5752</v>
      </c>
      <c r="B2507" s="22" t="s">
        <v>5753</v>
      </c>
      <c r="C2507" s="22" t="s">
        <v>207</v>
      </c>
      <c r="D2507" s="22" t="s">
        <v>227</v>
      </c>
      <c r="E2507" s="22" t="n">
        <v>23.6</v>
      </c>
      <c r="F2507" s="22" t="s">
        <v>164</v>
      </c>
    </row>
    <row r="2508" customFormat="false" ht="15" hidden="false" customHeight="false" outlineLevel="0" collapsed="false">
      <c r="A2508" s="22" t="s">
        <v>5754</v>
      </c>
      <c r="B2508" s="22" t="s">
        <v>5755</v>
      </c>
      <c r="C2508" s="22" t="s">
        <v>162</v>
      </c>
      <c r="D2508" s="22" t="s">
        <v>1945</v>
      </c>
      <c r="E2508" s="22" t="n">
        <v>23.3</v>
      </c>
      <c r="F2508" s="22" t="s">
        <v>164</v>
      </c>
    </row>
    <row r="2509" customFormat="false" ht="15" hidden="false" customHeight="false" outlineLevel="0" collapsed="false">
      <c r="A2509" s="22" t="s">
        <v>5756</v>
      </c>
      <c r="B2509" s="22" t="s">
        <v>5757</v>
      </c>
      <c r="C2509" s="22" t="s">
        <v>162</v>
      </c>
      <c r="D2509" s="22" t="s">
        <v>1014</v>
      </c>
      <c r="E2509" s="22" t="n">
        <v>39.9</v>
      </c>
      <c r="F2509" s="22" t="s">
        <v>175</v>
      </c>
    </row>
    <row r="2510" customFormat="false" ht="15" hidden="false" customHeight="false" outlineLevel="0" collapsed="false">
      <c r="A2510" s="22" t="s">
        <v>5758</v>
      </c>
      <c r="B2510" s="22" t="s">
        <v>5759</v>
      </c>
      <c r="C2510" s="22" t="s">
        <v>207</v>
      </c>
      <c r="D2510" s="22" t="s">
        <v>1758</v>
      </c>
      <c r="E2510" s="22" t="n">
        <v>34.7</v>
      </c>
      <c r="F2510" s="22" t="s">
        <v>164</v>
      </c>
    </row>
    <row r="2511" customFormat="false" ht="15" hidden="false" customHeight="false" outlineLevel="0" collapsed="false">
      <c r="A2511" s="22" t="s">
        <v>5760</v>
      </c>
      <c r="B2511" s="22" t="s">
        <v>5761</v>
      </c>
      <c r="C2511" s="22" t="s">
        <v>162</v>
      </c>
      <c r="D2511" s="22" t="s">
        <v>364</v>
      </c>
      <c r="E2511" s="22" t="n">
        <v>42</v>
      </c>
      <c r="F2511" s="22" t="s">
        <v>175</v>
      </c>
    </row>
    <row r="2512" customFormat="false" ht="15" hidden="false" customHeight="false" outlineLevel="0" collapsed="false">
      <c r="A2512" s="22" t="s">
        <v>5762</v>
      </c>
      <c r="B2512" s="22" t="s">
        <v>5763</v>
      </c>
      <c r="C2512" s="22" t="s">
        <v>162</v>
      </c>
      <c r="D2512" s="22" t="s">
        <v>197</v>
      </c>
      <c r="E2512" s="22" t="n">
        <v>40.4</v>
      </c>
      <c r="F2512" s="22" t="s">
        <v>159</v>
      </c>
    </row>
    <row r="2513" customFormat="false" ht="15" hidden="false" customHeight="false" outlineLevel="0" collapsed="false">
      <c r="A2513" s="22" t="s">
        <v>5764</v>
      </c>
      <c r="B2513" s="22" t="s">
        <v>5765</v>
      </c>
      <c r="C2513" s="22" t="s">
        <v>162</v>
      </c>
      <c r="D2513" s="22" t="s">
        <v>516</v>
      </c>
      <c r="E2513" s="22" t="n">
        <v>57.3</v>
      </c>
      <c r="F2513" s="22" t="s">
        <v>175</v>
      </c>
    </row>
    <row r="2514" customFormat="false" ht="15" hidden="false" customHeight="false" outlineLevel="0" collapsed="false">
      <c r="A2514" s="22" t="s">
        <v>5766</v>
      </c>
      <c r="B2514" s="22" t="s">
        <v>5767</v>
      </c>
      <c r="C2514" s="22" t="s">
        <v>162</v>
      </c>
      <c r="D2514" s="22" t="s">
        <v>1400</v>
      </c>
      <c r="E2514" s="22" t="n">
        <v>47.1</v>
      </c>
      <c r="F2514" s="22" t="s">
        <v>159</v>
      </c>
    </row>
    <row r="2515" customFormat="false" ht="15" hidden="false" customHeight="false" outlineLevel="0" collapsed="false">
      <c r="A2515" s="22" t="s">
        <v>5768</v>
      </c>
      <c r="B2515" s="22" t="s">
        <v>5769</v>
      </c>
      <c r="C2515" s="22" t="s">
        <v>162</v>
      </c>
      <c r="D2515" s="22" t="s">
        <v>787</v>
      </c>
      <c r="E2515" s="22" t="n">
        <v>45</v>
      </c>
      <c r="F2515" s="22" t="s">
        <v>164</v>
      </c>
    </row>
    <row r="2516" customFormat="false" ht="15" hidden="false" customHeight="false" outlineLevel="0" collapsed="false">
      <c r="A2516" s="22" t="s">
        <v>5770</v>
      </c>
      <c r="B2516" s="22" t="s">
        <v>5771</v>
      </c>
      <c r="C2516" s="22" t="s">
        <v>162</v>
      </c>
      <c r="D2516" s="22" t="s">
        <v>1135</v>
      </c>
      <c r="E2516" s="22" t="n">
        <v>21.8</v>
      </c>
      <c r="F2516" s="22" t="s">
        <v>198</v>
      </c>
    </row>
    <row r="2517" customFormat="false" ht="15" hidden="false" customHeight="false" outlineLevel="0" collapsed="false">
      <c r="A2517" s="22" t="s">
        <v>5772</v>
      </c>
      <c r="B2517" s="22" t="s">
        <v>5773</v>
      </c>
      <c r="C2517" s="22" t="s">
        <v>162</v>
      </c>
      <c r="D2517" s="22" t="s">
        <v>284</v>
      </c>
      <c r="E2517" s="22" t="n">
        <v>20.5</v>
      </c>
      <c r="F2517" s="22" t="s">
        <v>175</v>
      </c>
    </row>
    <row r="2518" customFormat="false" ht="15" hidden="false" customHeight="false" outlineLevel="0" collapsed="false">
      <c r="A2518" s="22" t="s">
        <v>5774</v>
      </c>
      <c r="B2518" s="22" t="s">
        <v>5775</v>
      </c>
      <c r="C2518" s="22" t="s">
        <v>162</v>
      </c>
      <c r="D2518" s="22" t="s">
        <v>2896</v>
      </c>
      <c r="E2518" s="22" t="n">
        <v>58.9</v>
      </c>
      <c r="F2518" s="22" t="s">
        <v>171</v>
      </c>
    </row>
    <row r="2519" customFormat="false" ht="15" hidden="false" customHeight="false" outlineLevel="0" collapsed="false">
      <c r="A2519" s="22" t="s">
        <v>5776</v>
      </c>
      <c r="B2519" s="22" t="s">
        <v>5777</v>
      </c>
      <c r="C2519" s="22" t="s">
        <v>162</v>
      </c>
      <c r="D2519" s="22" t="s">
        <v>1204</v>
      </c>
      <c r="E2519" s="22" t="n">
        <v>26.3</v>
      </c>
      <c r="F2519" s="22" t="s">
        <v>188</v>
      </c>
    </row>
    <row r="2520" customFormat="false" ht="15" hidden="false" customHeight="false" outlineLevel="0" collapsed="false">
      <c r="A2520" s="22" t="s">
        <v>5778</v>
      </c>
      <c r="B2520" s="22" t="s">
        <v>5779</v>
      </c>
      <c r="C2520" s="22" t="s">
        <v>162</v>
      </c>
      <c r="D2520" s="22" t="s">
        <v>745</v>
      </c>
      <c r="E2520" s="22" t="n">
        <v>31.9</v>
      </c>
      <c r="F2520" s="22" t="s">
        <v>175</v>
      </c>
    </row>
    <row r="2521" customFormat="false" ht="15" hidden="false" customHeight="false" outlineLevel="0" collapsed="false">
      <c r="A2521" s="22" t="s">
        <v>5780</v>
      </c>
      <c r="B2521" s="22" t="s">
        <v>5781</v>
      </c>
      <c r="C2521" s="22" t="s">
        <v>162</v>
      </c>
      <c r="D2521" s="22" t="s">
        <v>731</v>
      </c>
      <c r="E2521" s="22" t="n">
        <v>52</v>
      </c>
      <c r="F2521" s="22" t="s">
        <v>175</v>
      </c>
    </row>
    <row r="2522" customFormat="false" ht="15" hidden="false" customHeight="false" outlineLevel="0" collapsed="false">
      <c r="A2522" s="22" t="s">
        <v>5782</v>
      </c>
      <c r="B2522" s="22" t="s">
        <v>5783</v>
      </c>
      <c r="C2522" s="22" t="s">
        <v>162</v>
      </c>
      <c r="D2522" s="22" t="s">
        <v>3273</v>
      </c>
      <c r="E2522" s="22" t="n">
        <v>61.1</v>
      </c>
      <c r="F2522" s="22" t="s">
        <v>164</v>
      </c>
    </row>
    <row r="2523" customFormat="false" ht="15" hidden="false" customHeight="false" outlineLevel="0" collapsed="false">
      <c r="A2523" s="22" t="s">
        <v>5784</v>
      </c>
      <c r="B2523" s="22" t="s">
        <v>5785</v>
      </c>
      <c r="C2523" s="22" t="s">
        <v>162</v>
      </c>
      <c r="D2523" s="22" t="s">
        <v>4094</v>
      </c>
      <c r="E2523" s="22" t="n">
        <v>46.1</v>
      </c>
      <c r="F2523" s="22" t="s">
        <v>164</v>
      </c>
    </row>
    <row r="2524" customFormat="false" ht="15" hidden="false" customHeight="false" outlineLevel="0" collapsed="false">
      <c r="A2524" s="22" t="s">
        <v>5786</v>
      </c>
      <c r="B2524" s="22" t="s">
        <v>5787</v>
      </c>
      <c r="C2524" s="22" t="s">
        <v>162</v>
      </c>
      <c r="D2524" s="22" t="s">
        <v>2394</v>
      </c>
      <c r="E2524" s="22" t="n">
        <v>53.1</v>
      </c>
      <c r="F2524" s="22" t="s">
        <v>175</v>
      </c>
    </row>
    <row r="2525" customFormat="false" ht="15" hidden="false" customHeight="false" outlineLevel="0" collapsed="false">
      <c r="A2525" s="22" t="s">
        <v>5788</v>
      </c>
      <c r="B2525" s="22" t="s">
        <v>5789</v>
      </c>
      <c r="C2525" s="22" t="s">
        <v>162</v>
      </c>
      <c r="D2525" s="22" t="s">
        <v>911</v>
      </c>
      <c r="E2525" s="22" t="n">
        <v>32.1</v>
      </c>
      <c r="F2525" s="22" t="s">
        <v>164</v>
      </c>
    </row>
    <row r="2526" customFormat="false" ht="15" hidden="false" customHeight="false" outlineLevel="0" collapsed="false">
      <c r="A2526" s="22" t="s">
        <v>5790</v>
      </c>
      <c r="B2526" s="22" t="s">
        <v>5791</v>
      </c>
      <c r="C2526" s="22" t="s">
        <v>207</v>
      </c>
      <c r="D2526" s="22" t="s">
        <v>1538</v>
      </c>
      <c r="E2526" s="22" t="n">
        <v>45.8</v>
      </c>
      <c r="F2526" s="22" t="s">
        <v>164</v>
      </c>
    </row>
    <row r="2527" customFormat="false" ht="15" hidden="false" customHeight="false" outlineLevel="0" collapsed="false">
      <c r="A2527" s="22" t="s">
        <v>5792</v>
      </c>
      <c r="B2527" s="22" t="s">
        <v>5793</v>
      </c>
      <c r="C2527" s="22" t="s">
        <v>162</v>
      </c>
      <c r="D2527" s="22" t="s">
        <v>2610</v>
      </c>
      <c r="E2527" s="22" t="n">
        <v>35.1</v>
      </c>
      <c r="F2527" s="22" t="s">
        <v>159</v>
      </c>
    </row>
    <row r="2528" customFormat="false" ht="15" hidden="false" customHeight="false" outlineLevel="0" collapsed="false">
      <c r="A2528" s="22" t="s">
        <v>5794</v>
      </c>
      <c r="B2528" s="22" t="s">
        <v>5795</v>
      </c>
      <c r="C2528" s="22" t="s">
        <v>162</v>
      </c>
      <c r="D2528" s="22" t="s">
        <v>784</v>
      </c>
      <c r="E2528" s="22" t="n">
        <v>30.5</v>
      </c>
      <c r="F2528" s="22" t="s">
        <v>164</v>
      </c>
    </row>
    <row r="2529" customFormat="false" ht="15" hidden="false" customHeight="false" outlineLevel="0" collapsed="false">
      <c r="A2529" s="22" t="s">
        <v>5796</v>
      </c>
      <c r="B2529" s="22" t="s">
        <v>5797</v>
      </c>
      <c r="C2529" s="22" t="s">
        <v>162</v>
      </c>
      <c r="D2529" s="22" t="s">
        <v>448</v>
      </c>
      <c r="E2529" s="22" t="n">
        <v>43.1</v>
      </c>
      <c r="F2529" s="22" t="s">
        <v>164</v>
      </c>
    </row>
    <row r="2530" customFormat="false" ht="15" hidden="false" customHeight="false" outlineLevel="0" collapsed="false">
      <c r="A2530" s="22" t="s">
        <v>5798</v>
      </c>
      <c r="B2530" s="22" t="s">
        <v>5799</v>
      </c>
      <c r="C2530" s="22" t="s">
        <v>162</v>
      </c>
      <c r="D2530" s="22" t="s">
        <v>802</v>
      </c>
      <c r="E2530" s="22" t="n">
        <v>41.7</v>
      </c>
      <c r="F2530" s="22" t="s">
        <v>159</v>
      </c>
    </row>
    <row r="2531" customFormat="false" ht="15" hidden="false" customHeight="false" outlineLevel="0" collapsed="false">
      <c r="A2531" s="22" t="s">
        <v>5800</v>
      </c>
      <c r="B2531" s="22" t="s">
        <v>5801</v>
      </c>
      <c r="C2531" s="22" t="s">
        <v>162</v>
      </c>
      <c r="D2531" s="22" t="s">
        <v>2468</v>
      </c>
      <c r="E2531" s="22" t="n">
        <v>40.6</v>
      </c>
      <c r="F2531" s="22" t="s">
        <v>175</v>
      </c>
    </row>
    <row r="2532" customFormat="false" ht="15" hidden="false" customHeight="false" outlineLevel="0" collapsed="false">
      <c r="A2532" s="22" t="s">
        <v>5802</v>
      </c>
      <c r="B2532" s="22" t="s">
        <v>5803</v>
      </c>
      <c r="C2532" s="22" t="s">
        <v>162</v>
      </c>
      <c r="D2532" s="22" t="s">
        <v>1786</v>
      </c>
      <c r="E2532" s="22" t="n">
        <v>47.4</v>
      </c>
      <c r="F2532" s="22" t="s">
        <v>175</v>
      </c>
    </row>
    <row r="2533" customFormat="false" ht="15" hidden="false" customHeight="false" outlineLevel="0" collapsed="false">
      <c r="A2533" s="22" t="s">
        <v>5804</v>
      </c>
      <c r="B2533" s="22" t="s">
        <v>5805</v>
      </c>
      <c r="C2533" s="22" t="s">
        <v>162</v>
      </c>
      <c r="D2533" s="22" t="s">
        <v>3385</v>
      </c>
      <c r="E2533" s="22" t="n">
        <v>18.1</v>
      </c>
      <c r="F2533" s="22" t="s">
        <v>188</v>
      </c>
    </row>
    <row r="2534" customFormat="false" ht="15" hidden="false" customHeight="false" outlineLevel="0" collapsed="false">
      <c r="A2534" s="22" t="s">
        <v>5806</v>
      </c>
      <c r="B2534" s="22" t="s">
        <v>5807</v>
      </c>
      <c r="C2534" s="22" t="s">
        <v>162</v>
      </c>
      <c r="D2534" s="22" t="s">
        <v>911</v>
      </c>
      <c r="E2534" s="22" t="n">
        <v>61.9</v>
      </c>
      <c r="F2534" s="22" t="s">
        <v>175</v>
      </c>
    </row>
    <row r="2535" customFormat="false" ht="15" hidden="false" customHeight="false" outlineLevel="0" collapsed="false">
      <c r="A2535" s="22" t="s">
        <v>5808</v>
      </c>
      <c r="B2535" s="22" t="s">
        <v>5809</v>
      </c>
      <c r="C2535" s="22" t="s">
        <v>162</v>
      </c>
      <c r="D2535" s="22" t="s">
        <v>1840</v>
      </c>
      <c r="E2535" s="22" t="n">
        <v>59.7</v>
      </c>
      <c r="F2535" s="22" t="s">
        <v>164</v>
      </c>
    </row>
    <row r="2536" customFormat="false" ht="15" hidden="false" customHeight="false" outlineLevel="0" collapsed="false">
      <c r="A2536" s="22" t="s">
        <v>5810</v>
      </c>
      <c r="B2536" s="22" t="s">
        <v>5811</v>
      </c>
      <c r="C2536" s="22" t="s">
        <v>207</v>
      </c>
      <c r="D2536" s="22" t="s">
        <v>1323</v>
      </c>
      <c r="E2536" s="22" t="n">
        <v>57.7</v>
      </c>
      <c r="F2536" s="22" t="s">
        <v>175</v>
      </c>
    </row>
    <row r="2537" customFormat="false" ht="15" hidden="false" customHeight="false" outlineLevel="0" collapsed="false">
      <c r="A2537" s="22" t="s">
        <v>5812</v>
      </c>
      <c r="B2537" s="22" t="s">
        <v>5813</v>
      </c>
      <c r="C2537" s="22" t="s">
        <v>207</v>
      </c>
      <c r="D2537" s="22" t="s">
        <v>2533</v>
      </c>
      <c r="E2537" s="22" t="n">
        <v>31.1</v>
      </c>
      <c r="F2537" s="22" t="s">
        <v>198</v>
      </c>
    </row>
    <row r="2538" customFormat="false" ht="15" hidden="false" customHeight="false" outlineLevel="0" collapsed="false">
      <c r="A2538" s="22" t="s">
        <v>5814</v>
      </c>
      <c r="B2538" s="22" t="s">
        <v>5815</v>
      </c>
      <c r="C2538" s="22" t="s">
        <v>207</v>
      </c>
      <c r="D2538" s="22" t="s">
        <v>341</v>
      </c>
      <c r="E2538" s="22" t="n">
        <v>42.9</v>
      </c>
      <c r="F2538" s="22" t="s">
        <v>164</v>
      </c>
    </row>
    <row r="2539" customFormat="false" ht="15" hidden="false" customHeight="false" outlineLevel="0" collapsed="false">
      <c r="A2539" s="22" t="s">
        <v>5816</v>
      </c>
      <c r="B2539" s="22" t="s">
        <v>5817</v>
      </c>
      <c r="C2539" s="22" t="s">
        <v>207</v>
      </c>
      <c r="D2539" s="22" t="s">
        <v>1082</v>
      </c>
      <c r="E2539" s="22" t="n">
        <v>37.1</v>
      </c>
      <c r="F2539" s="22" t="s">
        <v>159</v>
      </c>
    </row>
    <row r="2540" customFormat="false" ht="15" hidden="false" customHeight="false" outlineLevel="0" collapsed="false">
      <c r="A2540" s="22" t="s">
        <v>5818</v>
      </c>
      <c r="B2540" s="22" t="s">
        <v>5819</v>
      </c>
      <c r="C2540" s="22" t="s">
        <v>162</v>
      </c>
      <c r="D2540" s="22" t="s">
        <v>1074</v>
      </c>
      <c r="E2540" s="22" t="n">
        <v>50</v>
      </c>
      <c r="F2540" s="22" t="s">
        <v>171</v>
      </c>
    </row>
    <row r="2541" customFormat="false" ht="15" hidden="false" customHeight="false" outlineLevel="0" collapsed="false">
      <c r="A2541" s="22" t="s">
        <v>5820</v>
      </c>
      <c r="B2541" s="22" t="s">
        <v>5821</v>
      </c>
      <c r="C2541" s="22" t="s">
        <v>162</v>
      </c>
      <c r="D2541" s="22" t="s">
        <v>871</v>
      </c>
      <c r="E2541" s="22" t="n">
        <v>41.5</v>
      </c>
      <c r="F2541" s="22" t="s">
        <v>171</v>
      </c>
    </row>
    <row r="2542" customFormat="false" ht="15" hidden="false" customHeight="false" outlineLevel="0" collapsed="false">
      <c r="A2542" s="22" t="s">
        <v>5822</v>
      </c>
      <c r="B2542" s="22" t="s">
        <v>5823</v>
      </c>
      <c r="C2542" s="22" t="s">
        <v>162</v>
      </c>
      <c r="D2542" s="22" t="s">
        <v>1535</v>
      </c>
      <c r="E2542" s="22" t="n">
        <v>42.9</v>
      </c>
      <c r="F2542" s="22" t="s">
        <v>164</v>
      </c>
    </row>
    <row r="2543" customFormat="false" ht="15" hidden="false" customHeight="false" outlineLevel="0" collapsed="false">
      <c r="A2543" s="22" t="s">
        <v>5824</v>
      </c>
      <c r="B2543" s="22" t="s">
        <v>5825</v>
      </c>
      <c r="C2543" s="22" t="s">
        <v>207</v>
      </c>
      <c r="D2543" s="22" t="s">
        <v>959</v>
      </c>
      <c r="E2543" s="22" t="n">
        <v>60.5</v>
      </c>
      <c r="F2543" s="22" t="s">
        <v>164</v>
      </c>
    </row>
    <row r="2544" customFormat="false" ht="15" hidden="false" customHeight="false" outlineLevel="0" collapsed="false">
      <c r="A2544" s="22" t="s">
        <v>5826</v>
      </c>
      <c r="B2544" s="22" t="s">
        <v>5827</v>
      </c>
      <c r="C2544" s="22" t="s">
        <v>207</v>
      </c>
      <c r="D2544" s="22" t="s">
        <v>221</v>
      </c>
      <c r="E2544" s="22" t="n">
        <v>47.5</v>
      </c>
      <c r="F2544" s="22" t="s">
        <v>164</v>
      </c>
    </row>
    <row r="2545" customFormat="false" ht="15" hidden="false" customHeight="false" outlineLevel="0" collapsed="false">
      <c r="A2545" s="22" t="s">
        <v>5828</v>
      </c>
      <c r="B2545" s="22" t="s">
        <v>5585</v>
      </c>
      <c r="C2545" s="22" t="s">
        <v>162</v>
      </c>
      <c r="D2545" s="22" t="s">
        <v>163</v>
      </c>
      <c r="E2545" s="22" t="n">
        <v>19.3</v>
      </c>
      <c r="F2545" s="22" t="s">
        <v>164</v>
      </c>
    </row>
    <row r="2546" customFormat="false" ht="15" hidden="false" customHeight="false" outlineLevel="0" collapsed="false">
      <c r="A2546" s="22" t="s">
        <v>5829</v>
      </c>
      <c r="B2546" s="22" t="s">
        <v>5830</v>
      </c>
      <c r="C2546" s="22" t="s">
        <v>162</v>
      </c>
      <c r="D2546" s="22" t="s">
        <v>1423</v>
      </c>
      <c r="E2546" s="22" t="n">
        <v>42.2</v>
      </c>
      <c r="F2546" s="22" t="s">
        <v>164</v>
      </c>
    </row>
    <row r="2547" customFormat="false" ht="15" hidden="false" customHeight="false" outlineLevel="0" collapsed="false">
      <c r="A2547" s="22" t="s">
        <v>5831</v>
      </c>
      <c r="B2547" s="22" t="s">
        <v>5832</v>
      </c>
      <c r="C2547" s="22" t="s">
        <v>207</v>
      </c>
      <c r="D2547" s="22" t="s">
        <v>1416</v>
      </c>
      <c r="E2547" s="22" t="n">
        <v>18.2</v>
      </c>
      <c r="F2547" s="22" t="s">
        <v>159</v>
      </c>
    </row>
    <row r="2548" customFormat="false" ht="15" hidden="false" customHeight="false" outlineLevel="0" collapsed="false">
      <c r="A2548" s="22" t="s">
        <v>5833</v>
      </c>
      <c r="B2548" s="22" t="s">
        <v>5834</v>
      </c>
      <c r="C2548" s="22" t="s">
        <v>162</v>
      </c>
      <c r="D2548" s="22" t="s">
        <v>681</v>
      </c>
      <c r="E2548" s="22" t="n">
        <v>48.4</v>
      </c>
      <c r="F2548" s="22" t="s">
        <v>164</v>
      </c>
    </row>
    <row r="2549" customFormat="false" ht="15" hidden="false" customHeight="false" outlineLevel="0" collapsed="false">
      <c r="A2549" s="22" t="s">
        <v>5835</v>
      </c>
      <c r="B2549" s="22" t="s">
        <v>5836</v>
      </c>
      <c r="C2549" s="22" t="s">
        <v>162</v>
      </c>
      <c r="D2549" s="22" t="s">
        <v>221</v>
      </c>
      <c r="E2549" s="22" t="n">
        <v>37.4</v>
      </c>
      <c r="F2549" s="22" t="s">
        <v>198</v>
      </c>
    </row>
    <row r="2550" customFormat="false" ht="15" hidden="false" customHeight="false" outlineLevel="0" collapsed="false">
      <c r="A2550" s="22" t="s">
        <v>5837</v>
      </c>
      <c r="B2550" s="22" t="s">
        <v>5838</v>
      </c>
      <c r="C2550" s="22" t="s">
        <v>162</v>
      </c>
      <c r="D2550" s="22" t="s">
        <v>2610</v>
      </c>
      <c r="E2550" s="22" t="n">
        <v>55.5</v>
      </c>
      <c r="F2550" s="22" t="s">
        <v>175</v>
      </c>
    </row>
    <row r="2551" customFormat="false" ht="15" hidden="false" customHeight="false" outlineLevel="0" collapsed="false">
      <c r="A2551" s="22" t="s">
        <v>5839</v>
      </c>
      <c r="B2551" s="22" t="s">
        <v>5840</v>
      </c>
      <c r="C2551" s="22" t="s">
        <v>162</v>
      </c>
      <c r="D2551" s="22" t="s">
        <v>3031</v>
      </c>
      <c r="E2551" s="22" t="n">
        <v>45.6</v>
      </c>
      <c r="F2551" s="22" t="s">
        <v>159</v>
      </c>
    </row>
    <row r="2552" customFormat="false" ht="15" hidden="false" customHeight="false" outlineLevel="0" collapsed="false">
      <c r="A2552" s="22" t="s">
        <v>5841</v>
      </c>
      <c r="B2552" s="22" t="s">
        <v>5842</v>
      </c>
      <c r="C2552" s="22" t="s">
        <v>162</v>
      </c>
      <c r="D2552" s="22" t="s">
        <v>428</v>
      </c>
      <c r="E2552" s="22" t="n">
        <v>58.3</v>
      </c>
      <c r="F2552" s="22" t="s">
        <v>171</v>
      </c>
    </row>
    <row r="2553" customFormat="false" ht="15" hidden="false" customHeight="false" outlineLevel="0" collapsed="false">
      <c r="A2553" s="22" t="s">
        <v>5843</v>
      </c>
      <c r="B2553" s="22" t="s">
        <v>5844</v>
      </c>
      <c r="C2553" s="22" t="s">
        <v>162</v>
      </c>
      <c r="D2553" s="22" t="s">
        <v>4911</v>
      </c>
      <c r="E2553" s="22" t="n">
        <v>58.8</v>
      </c>
      <c r="F2553" s="22" t="s">
        <v>164</v>
      </c>
    </row>
    <row r="2554" customFormat="false" ht="15" hidden="false" customHeight="false" outlineLevel="0" collapsed="false">
      <c r="A2554" s="22" t="s">
        <v>5845</v>
      </c>
      <c r="B2554" s="22" t="s">
        <v>5846</v>
      </c>
      <c r="C2554" s="22" t="s">
        <v>162</v>
      </c>
      <c r="D2554" s="22" t="s">
        <v>755</v>
      </c>
      <c r="E2554" s="22" t="n">
        <v>53.4</v>
      </c>
      <c r="F2554" s="22" t="s">
        <v>164</v>
      </c>
    </row>
    <row r="2555" customFormat="false" ht="15" hidden="false" customHeight="false" outlineLevel="0" collapsed="false">
      <c r="A2555" s="22" t="s">
        <v>5847</v>
      </c>
      <c r="B2555" s="22" t="s">
        <v>5848</v>
      </c>
      <c r="C2555" s="22" t="s">
        <v>162</v>
      </c>
      <c r="D2555" s="22" t="s">
        <v>1665</v>
      </c>
      <c r="E2555" s="22" t="n">
        <v>21.6</v>
      </c>
      <c r="F2555" s="22" t="s">
        <v>175</v>
      </c>
    </row>
    <row r="2556" customFormat="false" ht="15" hidden="false" customHeight="false" outlineLevel="0" collapsed="false">
      <c r="A2556" s="22" t="s">
        <v>5849</v>
      </c>
      <c r="B2556" s="22" t="s">
        <v>5850</v>
      </c>
      <c r="C2556" s="22" t="s">
        <v>207</v>
      </c>
      <c r="D2556" s="22" t="s">
        <v>1390</v>
      </c>
      <c r="E2556" s="22" t="n">
        <v>55.2</v>
      </c>
      <c r="F2556" s="22" t="s">
        <v>164</v>
      </c>
    </row>
    <row r="2557" customFormat="false" ht="15" hidden="false" customHeight="false" outlineLevel="0" collapsed="false">
      <c r="A2557" s="22" t="s">
        <v>5851</v>
      </c>
      <c r="B2557" s="22" t="s">
        <v>5852</v>
      </c>
      <c r="C2557" s="22" t="s">
        <v>162</v>
      </c>
      <c r="D2557" s="22" t="s">
        <v>1069</v>
      </c>
      <c r="E2557" s="22" t="n">
        <v>60.7</v>
      </c>
      <c r="F2557" s="22" t="s">
        <v>175</v>
      </c>
    </row>
    <row r="2558" customFormat="false" ht="15" hidden="false" customHeight="false" outlineLevel="0" collapsed="false">
      <c r="A2558" s="22" t="s">
        <v>5853</v>
      </c>
      <c r="B2558" s="22" t="s">
        <v>5854</v>
      </c>
      <c r="C2558" s="22" t="s">
        <v>162</v>
      </c>
      <c r="D2558" s="22" t="s">
        <v>248</v>
      </c>
      <c r="E2558" s="22" t="n">
        <v>26.6</v>
      </c>
      <c r="F2558" s="22" t="s">
        <v>164</v>
      </c>
    </row>
    <row r="2559" customFormat="false" ht="15" hidden="false" customHeight="false" outlineLevel="0" collapsed="false">
      <c r="A2559" s="22" t="s">
        <v>5855</v>
      </c>
      <c r="B2559" s="22" t="s">
        <v>5856</v>
      </c>
      <c r="C2559" s="22" t="s">
        <v>162</v>
      </c>
      <c r="D2559" s="22" t="s">
        <v>1489</v>
      </c>
      <c r="E2559" s="22" t="n">
        <v>54.5</v>
      </c>
      <c r="F2559" s="22" t="s">
        <v>164</v>
      </c>
    </row>
    <row r="2560" customFormat="false" ht="15" hidden="false" customHeight="false" outlineLevel="0" collapsed="false">
      <c r="A2560" s="22" t="s">
        <v>5857</v>
      </c>
      <c r="B2560" s="22" t="s">
        <v>5858</v>
      </c>
      <c r="C2560" s="22" t="s">
        <v>162</v>
      </c>
      <c r="D2560" s="22" t="s">
        <v>1824</v>
      </c>
      <c r="E2560" s="22" t="n">
        <v>36.5</v>
      </c>
      <c r="F2560" s="22" t="s">
        <v>164</v>
      </c>
    </row>
    <row r="2561" customFormat="false" ht="15" hidden="false" customHeight="false" outlineLevel="0" collapsed="false">
      <c r="A2561" s="22" t="s">
        <v>5859</v>
      </c>
      <c r="B2561" s="22" t="s">
        <v>5860</v>
      </c>
      <c r="C2561" s="22" t="s">
        <v>162</v>
      </c>
      <c r="D2561" s="22" t="s">
        <v>445</v>
      </c>
      <c r="E2561" s="22" t="n">
        <v>30.4</v>
      </c>
      <c r="F2561" s="22" t="s">
        <v>198</v>
      </c>
    </row>
    <row r="2562" customFormat="false" ht="15" hidden="false" customHeight="false" outlineLevel="0" collapsed="false">
      <c r="A2562" s="22" t="s">
        <v>5861</v>
      </c>
      <c r="B2562" s="22" t="s">
        <v>5862</v>
      </c>
      <c r="C2562" s="22" t="s">
        <v>162</v>
      </c>
      <c r="D2562" s="22" t="s">
        <v>1051</v>
      </c>
      <c r="E2562" s="22" t="n">
        <v>23.5</v>
      </c>
      <c r="F2562" s="22" t="s">
        <v>164</v>
      </c>
    </row>
    <row r="2563" customFormat="false" ht="15" hidden="false" customHeight="false" outlineLevel="0" collapsed="false">
      <c r="A2563" s="22" t="s">
        <v>5863</v>
      </c>
      <c r="B2563" s="22" t="s">
        <v>5864</v>
      </c>
      <c r="C2563" s="22" t="s">
        <v>162</v>
      </c>
      <c r="D2563" s="22" t="s">
        <v>4681</v>
      </c>
      <c r="E2563" s="22" t="n">
        <v>47.4</v>
      </c>
      <c r="F2563" s="22" t="s">
        <v>159</v>
      </c>
    </row>
    <row r="2564" customFormat="false" ht="15" hidden="false" customHeight="false" outlineLevel="0" collapsed="false">
      <c r="A2564" s="22" t="s">
        <v>5865</v>
      </c>
      <c r="B2564" s="22" t="s">
        <v>5866</v>
      </c>
      <c r="C2564" s="22" t="s">
        <v>162</v>
      </c>
      <c r="D2564" s="22" t="s">
        <v>1326</v>
      </c>
      <c r="E2564" s="22" t="n">
        <v>53.8</v>
      </c>
      <c r="F2564" s="22" t="s">
        <v>171</v>
      </c>
    </row>
    <row r="2565" customFormat="false" ht="15" hidden="false" customHeight="false" outlineLevel="0" collapsed="false">
      <c r="A2565" s="22" t="s">
        <v>5867</v>
      </c>
      <c r="B2565" s="22" t="s">
        <v>5868</v>
      </c>
      <c r="C2565" s="22" t="s">
        <v>162</v>
      </c>
      <c r="D2565" s="22" t="s">
        <v>672</v>
      </c>
      <c r="E2565" s="22" t="n">
        <v>41.8</v>
      </c>
      <c r="F2565" s="22" t="s">
        <v>159</v>
      </c>
    </row>
    <row r="2566" customFormat="false" ht="15" hidden="false" customHeight="false" outlineLevel="0" collapsed="false">
      <c r="A2566" s="22" t="s">
        <v>5869</v>
      </c>
      <c r="B2566" s="22" t="s">
        <v>5870</v>
      </c>
      <c r="C2566" s="22" t="s">
        <v>162</v>
      </c>
      <c r="D2566" s="22" t="s">
        <v>1217</v>
      </c>
      <c r="E2566" s="22" t="n">
        <v>53.9</v>
      </c>
      <c r="F2566" s="22" t="s">
        <v>198</v>
      </c>
    </row>
    <row r="2567" customFormat="false" ht="15" hidden="false" customHeight="false" outlineLevel="0" collapsed="false">
      <c r="A2567" s="22" t="s">
        <v>5871</v>
      </c>
      <c r="B2567" s="22" t="s">
        <v>5872</v>
      </c>
      <c r="C2567" s="22" t="s">
        <v>162</v>
      </c>
      <c r="D2567" s="22" t="s">
        <v>321</v>
      </c>
      <c r="E2567" s="22" t="n">
        <v>48.2</v>
      </c>
      <c r="F2567" s="22" t="s">
        <v>171</v>
      </c>
    </row>
    <row r="2568" customFormat="false" ht="15" hidden="false" customHeight="false" outlineLevel="0" collapsed="false">
      <c r="A2568" s="22" t="s">
        <v>5873</v>
      </c>
      <c r="B2568" s="22" t="s">
        <v>5874</v>
      </c>
      <c r="C2568" s="22" t="s">
        <v>162</v>
      </c>
      <c r="D2568" s="22" t="s">
        <v>442</v>
      </c>
      <c r="E2568" s="22" t="n">
        <v>52.8</v>
      </c>
      <c r="F2568" s="22" t="s">
        <v>164</v>
      </c>
    </row>
    <row r="2569" customFormat="false" ht="15" hidden="false" customHeight="false" outlineLevel="0" collapsed="false">
      <c r="A2569" s="22" t="s">
        <v>5875</v>
      </c>
      <c r="B2569" s="22" t="s">
        <v>5876</v>
      </c>
      <c r="C2569" s="22" t="s">
        <v>162</v>
      </c>
      <c r="D2569" s="22" t="s">
        <v>2780</v>
      </c>
      <c r="E2569" s="22" t="n">
        <v>26.2</v>
      </c>
      <c r="F2569" s="22" t="s">
        <v>164</v>
      </c>
    </row>
    <row r="2570" customFormat="false" ht="15" hidden="false" customHeight="false" outlineLevel="0" collapsed="false">
      <c r="A2570" s="22" t="s">
        <v>5877</v>
      </c>
      <c r="B2570" s="22" t="s">
        <v>5878</v>
      </c>
      <c r="C2570" s="22" t="s">
        <v>162</v>
      </c>
      <c r="D2570" s="22" t="s">
        <v>516</v>
      </c>
      <c r="E2570" s="22" t="n">
        <v>25.1</v>
      </c>
      <c r="F2570" s="22" t="s">
        <v>175</v>
      </c>
    </row>
    <row r="2571" customFormat="false" ht="15" hidden="false" customHeight="false" outlineLevel="0" collapsed="false">
      <c r="A2571" s="22" t="s">
        <v>5879</v>
      </c>
      <c r="B2571" s="22" t="s">
        <v>5880</v>
      </c>
      <c r="C2571" s="22" t="s">
        <v>162</v>
      </c>
      <c r="D2571" s="22" t="s">
        <v>2610</v>
      </c>
      <c r="E2571" s="22" t="n">
        <v>24.4</v>
      </c>
      <c r="F2571" s="22" t="s">
        <v>198</v>
      </c>
    </row>
    <row r="2572" customFormat="false" ht="15" hidden="false" customHeight="false" outlineLevel="0" collapsed="false">
      <c r="A2572" s="22" t="s">
        <v>5881</v>
      </c>
      <c r="B2572" s="22" t="s">
        <v>5882</v>
      </c>
      <c r="C2572" s="22" t="s">
        <v>162</v>
      </c>
      <c r="D2572" s="22" t="s">
        <v>642</v>
      </c>
      <c r="E2572" s="22" t="n">
        <v>38.2</v>
      </c>
      <c r="F2572" s="22" t="s">
        <v>198</v>
      </c>
    </row>
    <row r="2573" customFormat="false" ht="15" hidden="false" customHeight="false" outlineLevel="0" collapsed="false">
      <c r="A2573" s="22" t="s">
        <v>5883</v>
      </c>
      <c r="B2573" s="22" t="s">
        <v>5884</v>
      </c>
      <c r="C2573" s="22" t="s">
        <v>207</v>
      </c>
      <c r="D2573" s="22" t="s">
        <v>3041</v>
      </c>
      <c r="E2573" s="22" t="n">
        <v>50.5</v>
      </c>
      <c r="F2573" s="22" t="s">
        <v>164</v>
      </c>
    </row>
    <row r="2574" customFormat="false" ht="15" hidden="false" customHeight="false" outlineLevel="0" collapsed="false">
      <c r="A2574" s="22" t="s">
        <v>5885</v>
      </c>
      <c r="B2574" s="22" t="s">
        <v>5886</v>
      </c>
      <c r="C2574" s="22" t="s">
        <v>162</v>
      </c>
      <c r="D2574" s="22" t="s">
        <v>3590</v>
      </c>
      <c r="E2574" s="22" t="n">
        <v>33.1</v>
      </c>
      <c r="F2574" s="22" t="s">
        <v>188</v>
      </c>
    </row>
    <row r="2575" customFormat="false" ht="15" hidden="false" customHeight="false" outlineLevel="0" collapsed="false">
      <c r="A2575" s="22" t="s">
        <v>5887</v>
      </c>
      <c r="B2575" s="22" t="s">
        <v>5888</v>
      </c>
      <c r="C2575" s="22" t="s">
        <v>566</v>
      </c>
      <c r="D2575" s="22" t="s">
        <v>2896</v>
      </c>
      <c r="E2575" s="22" t="n">
        <v>38.5</v>
      </c>
      <c r="F2575" s="22" t="s">
        <v>171</v>
      </c>
    </row>
    <row r="2576" customFormat="false" ht="15" hidden="false" customHeight="false" outlineLevel="0" collapsed="false">
      <c r="A2576" s="22" t="s">
        <v>5889</v>
      </c>
      <c r="B2576" s="22" t="s">
        <v>5890</v>
      </c>
      <c r="C2576" s="22" t="s">
        <v>566</v>
      </c>
      <c r="D2576" s="22" t="s">
        <v>2222</v>
      </c>
      <c r="E2576" s="22" t="n">
        <v>41.2</v>
      </c>
      <c r="F2576" s="22" t="s">
        <v>159</v>
      </c>
    </row>
    <row r="2577" customFormat="false" ht="15" hidden="false" customHeight="false" outlineLevel="0" collapsed="false">
      <c r="A2577" s="22" t="s">
        <v>5891</v>
      </c>
      <c r="B2577" s="22" t="s">
        <v>5892</v>
      </c>
      <c r="C2577" s="22" t="s">
        <v>162</v>
      </c>
      <c r="D2577" s="22" t="s">
        <v>2177</v>
      </c>
      <c r="E2577" s="22" t="n">
        <v>36.2</v>
      </c>
      <c r="F2577" s="22" t="s">
        <v>171</v>
      </c>
    </row>
    <row r="2578" customFormat="false" ht="15" hidden="false" customHeight="false" outlineLevel="0" collapsed="false">
      <c r="A2578" s="22" t="s">
        <v>5893</v>
      </c>
      <c r="B2578" s="22" t="s">
        <v>5894</v>
      </c>
      <c r="C2578" s="22" t="s">
        <v>162</v>
      </c>
      <c r="D2578" s="22" t="s">
        <v>723</v>
      </c>
      <c r="E2578" s="22" t="n">
        <v>27.1</v>
      </c>
      <c r="F2578" s="22" t="s">
        <v>499</v>
      </c>
    </row>
    <row r="2579" customFormat="false" ht="15" hidden="false" customHeight="false" outlineLevel="0" collapsed="false">
      <c r="A2579" s="22" t="s">
        <v>5895</v>
      </c>
      <c r="B2579" s="22" t="s">
        <v>5896</v>
      </c>
      <c r="C2579" s="22" t="s">
        <v>162</v>
      </c>
      <c r="D2579" s="22" t="s">
        <v>2610</v>
      </c>
      <c r="E2579" s="22" t="n">
        <v>44.5</v>
      </c>
      <c r="F2579" s="22" t="s">
        <v>171</v>
      </c>
    </row>
    <row r="2580" customFormat="false" ht="15" hidden="false" customHeight="false" outlineLevel="0" collapsed="false">
      <c r="A2580" s="22" t="s">
        <v>5897</v>
      </c>
      <c r="B2580" s="22" t="s">
        <v>5898</v>
      </c>
      <c r="C2580" s="22" t="s">
        <v>162</v>
      </c>
      <c r="D2580" s="22" t="s">
        <v>469</v>
      </c>
      <c r="E2580" s="22" t="n">
        <v>40.8</v>
      </c>
      <c r="F2580" s="22" t="s">
        <v>171</v>
      </c>
    </row>
    <row r="2581" customFormat="false" ht="15" hidden="false" customHeight="false" outlineLevel="0" collapsed="false">
      <c r="A2581" s="22" t="s">
        <v>5899</v>
      </c>
      <c r="B2581" s="22" t="s">
        <v>5900</v>
      </c>
      <c r="C2581" s="22" t="s">
        <v>162</v>
      </c>
      <c r="D2581" s="22" t="s">
        <v>474</v>
      </c>
      <c r="E2581" s="22" t="n">
        <v>49.1</v>
      </c>
      <c r="F2581" s="22" t="s">
        <v>499</v>
      </c>
    </row>
    <row r="2582" customFormat="false" ht="15" hidden="false" customHeight="false" outlineLevel="0" collapsed="false">
      <c r="A2582" s="22" t="s">
        <v>5901</v>
      </c>
      <c r="B2582" s="22" t="s">
        <v>5902</v>
      </c>
      <c r="C2582" s="22" t="s">
        <v>162</v>
      </c>
      <c r="D2582" s="22" t="s">
        <v>1024</v>
      </c>
      <c r="E2582" s="22" t="n">
        <v>36.9</v>
      </c>
      <c r="F2582" s="22" t="s">
        <v>175</v>
      </c>
    </row>
    <row r="2583" customFormat="false" ht="15" hidden="false" customHeight="false" outlineLevel="0" collapsed="false">
      <c r="A2583" s="22" t="s">
        <v>5903</v>
      </c>
      <c r="B2583" s="22" t="s">
        <v>5904</v>
      </c>
      <c r="C2583" s="22" t="s">
        <v>162</v>
      </c>
      <c r="D2583" s="22" t="s">
        <v>5104</v>
      </c>
      <c r="E2583" s="22" t="n">
        <v>19.9</v>
      </c>
      <c r="F2583" s="22" t="s">
        <v>164</v>
      </c>
    </row>
    <row r="2584" customFormat="false" ht="15" hidden="false" customHeight="false" outlineLevel="0" collapsed="false">
      <c r="A2584" s="22" t="s">
        <v>5905</v>
      </c>
      <c r="B2584" s="22" t="s">
        <v>5906</v>
      </c>
      <c r="C2584" s="22" t="s">
        <v>162</v>
      </c>
      <c r="D2584" s="22" t="s">
        <v>1553</v>
      </c>
      <c r="E2584" s="22" t="n">
        <v>50.6</v>
      </c>
      <c r="F2584" s="22" t="s">
        <v>171</v>
      </c>
    </row>
    <row r="2585" customFormat="false" ht="15" hidden="false" customHeight="false" outlineLevel="0" collapsed="false">
      <c r="A2585" s="22" t="s">
        <v>5907</v>
      </c>
      <c r="B2585" s="22" t="s">
        <v>5908</v>
      </c>
      <c r="C2585" s="22" t="s">
        <v>162</v>
      </c>
      <c r="D2585" s="22" t="s">
        <v>4264</v>
      </c>
      <c r="E2585" s="22" t="n">
        <v>26.5</v>
      </c>
      <c r="F2585" s="22" t="s">
        <v>171</v>
      </c>
    </row>
    <row r="2586" customFormat="false" ht="15" hidden="false" customHeight="false" outlineLevel="0" collapsed="false">
      <c r="A2586" s="22" t="s">
        <v>5909</v>
      </c>
      <c r="B2586" s="22" t="s">
        <v>5910</v>
      </c>
      <c r="C2586" s="22" t="s">
        <v>157</v>
      </c>
      <c r="D2586" s="22" t="s">
        <v>163</v>
      </c>
      <c r="E2586" s="22" t="n">
        <v>35.6</v>
      </c>
      <c r="F2586" s="22" t="s">
        <v>175</v>
      </c>
    </row>
    <row r="2587" customFormat="false" ht="15" hidden="false" customHeight="false" outlineLevel="0" collapsed="false">
      <c r="A2587" s="22" t="s">
        <v>5911</v>
      </c>
      <c r="B2587" s="22" t="s">
        <v>5912</v>
      </c>
      <c r="C2587" s="22" t="s">
        <v>162</v>
      </c>
      <c r="D2587" s="22" t="s">
        <v>3906</v>
      </c>
      <c r="E2587" s="22" t="n">
        <v>61.1</v>
      </c>
      <c r="F2587" s="22" t="s">
        <v>164</v>
      </c>
    </row>
    <row r="2588" customFormat="false" ht="15" hidden="false" customHeight="false" outlineLevel="0" collapsed="false">
      <c r="A2588" s="22" t="s">
        <v>5913</v>
      </c>
      <c r="B2588" s="22" t="s">
        <v>5914</v>
      </c>
      <c r="C2588" s="22" t="s">
        <v>566</v>
      </c>
      <c r="D2588" s="22" t="s">
        <v>5104</v>
      </c>
      <c r="E2588" s="22" t="n">
        <v>40.4</v>
      </c>
      <c r="F2588" s="22" t="s">
        <v>164</v>
      </c>
    </row>
    <row r="2589" customFormat="false" ht="15" hidden="false" customHeight="false" outlineLevel="0" collapsed="false">
      <c r="A2589" s="22" t="s">
        <v>5915</v>
      </c>
      <c r="B2589" s="22" t="s">
        <v>5916</v>
      </c>
      <c r="C2589" s="22" t="s">
        <v>162</v>
      </c>
      <c r="D2589" s="22" t="s">
        <v>941</v>
      </c>
      <c r="E2589" s="22" t="n">
        <v>51.5</v>
      </c>
      <c r="F2589" s="22" t="s">
        <v>164</v>
      </c>
    </row>
    <row r="2590" customFormat="false" ht="15" hidden="false" customHeight="false" outlineLevel="0" collapsed="false">
      <c r="A2590" s="22" t="s">
        <v>5917</v>
      </c>
      <c r="B2590" s="22" t="s">
        <v>5918</v>
      </c>
      <c r="C2590" s="22" t="s">
        <v>162</v>
      </c>
      <c r="D2590" s="22" t="s">
        <v>2555</v>
      </c>
      <c r="E2590" s="22" t="n">
        <v>36.5</v>
      </c>
      <c r="F2590" s="22" t="s">
        <v>164</v>
      </c>
    </row>
    <row r="2591" customFormat="false" ht="15" hidden="false" customHeight="false" outlineLevel="0" collapsed="false">
      <c r="A2591" s="22" t="s">
        <v>5919</v>
      </c>
      <c r="B2591" s="22" t="s">
        <v>5920</v>
      </c>
      <c r="C2591" s="22" t="s">
        <v>162</v>
      </c>
      <c r="D2591" s="22" t="s">
        <v>4653</v>
      </c>
      <c r="E2591" s="22" t="n">
        <v>27.5</v>
      </c>
      <c r="F2591" s="22" t="s">
        <v>164</v>
      </c>
    </row>
    <row r="2592" customFormat="false" ht="15" hidden="false" customHeight="false" outlineLevel="0" collapsed="false">
      <c r="A2592" s="22" t="s">
        <v>5921</v>
      </c>
      <c r="B2592" s="22" t="s">
        <v>5922</v>
      </c>
      <c r="C2592" s="22" t="s">
        <v>162</v>
      </c>
      <c r="D2592" s="22" t="s">
        <v>904</v>
      </c>
      <c r="E2592" s="22" t="n">
        <v>30.4</v>
      </c>
      <c r="F2592" s="22" t="s">
        <v>164</v>
      </c>
    </row>
    <row r="2593" customFormat="false" ht="15" hidden="false" customHeight="false" outlineLevel="0" collapsed="false">
      <c r="A2593" s="22" t="s">
        <v>5923</v>
      </c>
      <c r="B2593" s="22" t="s">
        <v>5924</v>
      </c>
      <c r="C2593" s="22" t="s">
        <v>162</v>
      </c>
      <c r="D2593" s="22" t="s">
        <v>588</v>
      </c>
      <c r="E2593" s="22" t="n">
        <v>40.3</v>
      </c>
      <c r="F2593" s="22" t="s">
        <v>164</v>
      </c>
    </row>
    <row r="2594" customFormat="false" ht="15" hidden="false" customHeight="false" outlineLevel="0" collapsed="false">
      <c r="A2594" s="22" t="s">
        <v>5925</v>
      </c>
      <c r="B2594" s="22" t="s">
        <v>5926</v>
      </c>
      <c r="C2594" s="22" t="s">
        <v>207</v>
      </c>
      <c r="D2594" s="22" t="s">
        <v>260</v>
      </c>
      <c r="E2594" s="22" t="n">
        <v>60.6</v>
      </c>
      <c r="F2594" s="22" t="s">
        <v>198</v>
      </c>
    </row>
    <row r="2595" customFormat="false" ht="15" hidden="false" customHeight="false" outlineLevel="0" collapsed="false">
      <c r="A2595" s="22" t="s">
        <v>5927</v>
      </c>
      <c r="B2595" s="22" t="s">
        <v>5928</v>
      </c>
      <c r="C2595" s="22" t="s">
        <v>162</v>
      </c>
      <c r="D2595" s="22" t="s">
        <v>2324</v>
      </c>
      <c r="E2595" s="22" t="n">
        <v>40.5</v>
      </c>
      <c r="F2595" s="22" t="s">
        <v>198</v>
      </c>
    </row>
    <row r="2596" customFormat="false" ht="15" hidden="false" customHeight="false" outlineLevel="0" collapsed="false">
      <c r="A2596" s="22" t="s">
        <v>5929</v>
      </c>
      <c r="B2596" s="22" t="s">
        <v>5930</v>
      </c>
      <c r="C2596" s="22" t="s">
        <v>162</v>
      </c>
      <c r="D2596" s="22" t="s">
        <v>1637</v>
      </c>
      <c r="E2596" s="22" t="n">
        <v>36.1</v>
      </c>
      <c r="F2596" s="22" t="s">
        <v>164</v>
      </c>
    </row>
    <row r="2597" customFormat="false" ht="15" hidden="false" customHeight="false" outlineLevel="0" collapsed="false">
      <c r="A2597" s="22" t="s">
        <v>5931</v>
      </c>
      <c r="B2597" s="22" t="s">
        <v>5932</v>
      </c>
      <c r="C2597" s="22" t="s">
        <v>207</v>
      </c>
      <c r="D2597" s="22" t="s">
        <v>1029</v>
      </c>
      <c r="E2597" s="22" t="n">
        <v>37.8</v>
      </c>
      <c r="F2597" s="22" t="s">
        <v>198</v>
      </c>
    </row>
    <row r="2598" customFormat="false" ht="15" hidden="false" customHeight="false" outlineLevel="0" collapsed="false">
      <c r="A2598" s="22" t="s">
        <v>5933</v>
      </c>
      <c r="B2598" s="22" t="s">
        <v>5934</v>
      </c>
      <c r="C2598" s="22" t="s">
        <v>162</v>
      </c>
      <c r="D2598" s="22" t="s">
        <v>967</v>
      </c>
      <c r="E2598" s="22" t="n">
        <v>32.5</v>
      </c>
      <c r="F2598" s="22" t="s">
        <v>175</v>
      </c>
    </row>
    <row r="2599" customFormat="false" ht="15" hidden="false" customHeight="false" outlineLevel="0" collapsed="false">
      <c r="A2599" s="22" t="s">
        <v>5935</v>
      </c>
      <c r="B2599" s="22" t="s">
        <v>5936</v>
      </c>
      <c r="C2599" s="22" t="s">
        <v>162</v>
      </c>
      <c r="D2599" s="22" t="s">
        <v>616</v>
      </c>
      <c r="E2599" s="22" t="n">
        <v>27.9</v>
      </c>
      <c r="F2599" s="22" t="s">
        <v>215</v>
      </c>
    </row>
    <row r="2600" customFormat="false" ht="15" hidden="false" customHeight="false" outlineLevel="0" collapsed="false">
      <c r="A2600" s="22" t="s">
        <v>5937</v>
      </c>
      <c r="B2600" s="22" t="s">
        <v>1594</v>
      </c>
      <c r="C2600" s="22" t="s">
        <v>162</v>
      </c>
      <c r="D2600" s="22" t="s">
        <v>1413</v>
      </c>
      <c r="E2600" s="22" t="n">
        <v>42.4</v>
      </c>
      <c r="F2600" s="22" t="s">
        <v>175</v>
      </c>
    </row>
    <row r="2601" customFormat="false" ht="15" hidden="false" customHeight="false" outlineLevel="0" collapsed="false">
      <c r="A2601" s="22" t="s">
        <v>5938</v>
      </c>
      <c r="B2601" s="22" t="s">
        <v>5939</v>
      </c>
      <c r="C2601" s="22" t="s">
        <v>566</v>
      </c>
      <c r="D2601" s="22" t="s">
        <v>516</v>
      </c>
      <c r="E2601" s="22" t="n">
        <v>49.8</v>
      </c>
      <c r="F2601" s="22" t="s">
        <v>164</v>
      </c>
    </row>
    <row r="2602" customFormat="false" ht="15" hidden="false" customHeight="false" outlineLevel="0" collapsed="false">
      <c r="A2602" s="22" t="s">
        <v>5940</v>
      </c>
      <c r="B2602" s="22" t="s">
        <v>5941</v>
      </c>
      <c r="C2602" s="22" t="s">
        <v>162</v>
      </c>
      <c r="D2602" s="22" t="s">
        <v>2034</v>
      </c>
      <c r="E2602" s="22" t="n">
        <v>30.9</v>
      </c>
      <c r="F2602" s="22" t="s">
        <v>175</v>
      </c>
    </row>
    <row r="2603" customFormat="false" ht="15" hidden="false" customHeight="false" outlineLevel="0" collapsed="false">
      <c r="A2603" s="22" t="s">
        <v>5942</v>
      </c>
      <c r="B2603" s="22" t="s">
        <v>5943</v>
      </c>
      <c r="C2603" s="22" t="s">
        <v>162</v>
      </c>
      <c r="D2603" s="22" t="s">
        <v>370</v>
      </c>
      <c r="E2603" s="22" t="n">
        <v>19</v>
      </c>
      <c r="F2603" s="22" t="s">
        <v>198</v>
      </c>
    </row>
    <row r="2604" customFormat="false" ht="15" hidden="false" customHeight="false" outlineLevel="0" collapsed="false">
      <c r="A2604" s="22" t="s">
        <v>5944</v>
      </c>
      <c r="B2604" s="22" t="s">
        <v>5945</v>
      </c>
      <c r="C2604" s="22" t="s">
        <v>162</v>
      </c>
      <c r="D2604" s="22" t="s">
        <v>1866</v>
      </c>
      <c r="E2604" s="22" t="n">
        <v>34</v>
      </c>
      <c r="F2604" s="22" t="s">
        <v>188</v>
      </c>
    </row>
    <row r="2605" customFormat="false" ht="15" hidden="false" customHeight="false" outlineLevel="0" collapsed="false">
      <c r="A2605" s="22" t="s">
        <v>5946</v>
      </c>
      <c r="B2605" s="22" t="s">
        <v>5947</v>
      </c>
      <c r="C2605" s="22" t="s">
        <v>162</v>
      </c>
      <c r="D2605" s="22" t="s">
        <v>927</v>
      </c>
      <c r="E2605" s="22" t="n">
        <v>54.1</v>
      </c>
      <c r="F2605" s="22" t="s">
        <v>215</v>
      </c>
    </row>
    <row r="2606" customFormat="false" ht="15" hidden="false" customHeight="false" outlineLevel="0" collapsed="false">
      <c r="A2606" s="22" t="s">
        <v>5948</v>
      </c>
      <c r="B2606" s="22" t="s">
        <v>5949</v>
      </c>
      <c r="C2606" s="22" t="s">
        <v>162</v>
      </c>
      <c r="D2606" s="22" t="s">
        <v>3075</v>
      </c>
      <c r="E2606" s="22" t="n">
        <v>51.1</v>
      </c>
      <c r="F2606" s="22" t="s">
        <v>164</v>
      </c>
    </row>
    <row r="2607" customFormat="false" ht="15" hidden="false" customHeight="false" outlineLevel="0" collapsed="false">
      <c r="A2607" s="22" t="s">
        <v>5950</v>
      </c>
      <c r="B2607" s="22" t="s">
        <v>5951</v>
      </c>
      <c r="C2607" s="22" t="s">
        <v>162</v>
      </c>
      <c r="D2607" s="22" t="s">
        <v>257</v>
      </c>
      <c r="E2607" s="22" t="n">
        <v>53.2</v>
      </c>
      <c r="F2607" s="22" t="s">
        <v>164</v>
      </c>
    </row>
    <row r="2608" customFormat="false" ht="15" hidden="false" customHeight="false" outlineLevel="0" collapsed="false">
      <c r="A2608" s="22" t="s">
        <v>5952</v>
      </c>
      <c r="B2608" s="22" t="s">
        <v>5953</v>
      </c>
      <c r="C2608" s="22" t="s">
        <v>162</v>
      </c>
      <c r="D2608" s="22" t="s">
        <v>5954</v>
      </c>
      <c r="E2608" s="22" t="n">
        <v>39.4</v>
      </c>
      <c r="F2608" s="22" t="s">
        <v>171</v>
      </c>
    </row>
    <row r="2609" customFormat="false" ht="15" hidden="false" customHeight="false" outlineLevel="0" collapsed="false">
      <c r="A2609" s="22" t="s">
        <v>5955</v>
      </c>
      <c r="B2609" s="22" t="s">
        <v>5956</v>
      </c>
      <c r="C2609" s="22" t="s">
        <v>162</v>
      </c>
      <c r="D2609" s="22" t="s">
        <v>1288</v>
      </c>
      <c r="E2609" s="22" t="n">
        <v>37.7</v>
      </c>
      <c r="F2609" s="22" t="s">
        <v>164</v>
      </c>
    </row>
    <row r="2610" customFormat="false" ht="15" hidden="false" customHeight="false" outlineLevel="0" collapsed="false">
      <c r="A2610" s="22" t="s">
        <v>5957</v>
      </c>
      <c r="B2610" s="22" t="s">
        <v>5958</v>
      </c>
      <c r="C2610" s="22" t="s">
        <v>162</v>
      </c>
      <c r="D2610" s="22" t="s">
        <v>1299</v>
      </c>
      <c r="E2610" s="22" t="n">
        <v>59.7</v>
      </c>
      <c r="F2610" s="22" t="s">
        <v>198</v>
      </c>
    </row>
    <row r="2611" customFormat="false" ht="15" hidden="false" customHeight="false" outlineLevel="0" collapsed="false">
      <c r="A2611" s="22" t="s">
        <v>5959</v>
      </c>
      <c r="B2611" s="22" t="s">
        <v>5960</v>
      </c>
      <c r="C2611" s="22" t="s">
        <v>162</v>
      </c>
      <c r="D2611" s="22" t="s">
        <v>1971</v>
      </c>
      <c r="E2611" s="22" t="n">
        <v>30.5</v>
      </c>
      <c r="F2611" s="22" t="s">
        <v>175</v>
      </c>
    </row>
    <row r="2612" customFormat="false" ht="15" hidden="false" customHeight="false" outlineLevel="0" collapsed="false">
      <c r="A2612" s="22" t="s">
        <v>5961</v>
      </c>
      <c r="B2612" s="22" t="s">
        <v>5962</v>
      </c>
      <c r="C2612" s="22" t="s">
        <v>162</v>
      </c>
      <c r="D2612" s="22" t="s">
        <v>2610</v>
      </c>
      <c r="E2612" s="22" t="n">
        <v>40.2</v>
      </c>
      <c r="F2612" s="22" t="s">
        <v>175</v>
      </c>
    </row>
    <row r="2613" customFormat="false" ht="15" hidden="false" customHeight="false" outlineLevel="0" collapsed="false">
      <c r="A2613" s="22" t="s">
        <v>5963</v>
      </c>
      <c r="B2613" s="22" t="s">
        <v>5964</v>
      </c>
      <c r="C2613" s="22" t="s">
        <v>207</v>
      </c>
      <c r="D2613" s="22" t="s">
        <v>684</v>
      </c>
      <c r="E2613" s="22" t="n">
        <v>36.6</v>
      </c>
      <c r="F2613" s="22" t="s">
        <v>175</v>
      </c>
    </row>
    <row r="2614" customFormat="false" ht="15" hidden="false" customHeight="false" outlineLevel="0" collapsed="false">
      <c r="A2614" s="22" t="s">
        <v>5965</v>
      </c>
      <c r="B2614" s="22" t="s">
        <v>5966</v>
      </c>
      <c r="C2614" s="22" t="s">
        <v>162</v>
      </c>
      <c r="D2614" s="22" t="s">
        <v>170</v>
      </c>
      <c r="E2614" s="22" t="n">
        <v>25.1</v>
      </c>
      <c r="F2614" s="22" t="s">
        <v>164</v>
      </c>
    </row>
    <row r="2615" customFormat="false" ht="15" hidden="false" customHeight="false" outlineLevel="0" collapsed="false">
      <c r="A2615" s="22" t="s">
        <v>5967</v>
      </c>
      <c r="B2615" s="22" t="s">
        <v>5968</v>
      </c>
      <c r="C2615" s="22" t="s">
        <v>162</v>
      </c>
      <c r="D2615" s="22" t="s">
        <v>2238</v>
      </c>
      <c r="E2615" s="22" t="n">
        <v>42.5</v>
      </c>
      <c r="F2615" s="22" t="s">
        <v>175</v>
      </c>
    </row>
    <row r="2616" customFormat="false" ht="15" hidden="false" customHeight="false" outlineLevel="0" collapsed="false">
      <c r="A2616" s="22" t="s">
        <v>5969</v>
      </c>
      <c r="B2616" s="22" t="s">
        <v>5970</v>
      </c>
      <c r="C2616" s="22" t="s">
        <v>162</v>
      </c>
      <c r="D2616" s="22" t="s">
        <v>410</v>
      </c>
      <c r="E2616" s="22" t="n">
        <v>25.2</v>
      </c>
      <c r="F2616" s="22" t="s">
        <v>171</v>
      </c>
    </row>
    <row r="2617" customFormat="false" ht="15" hidden="false" customHeight="false" outlineLevel="0" collapsed="false">
      <c r="A2617" s="22" t="s">
        <v>5971</v>
      </c>
      <c r="B2617" s="22" t="s">
        <v>5972</v>
      </c>
      <c r="C2617" s="22" t="s">
        <v>162</v>
      </c>
      <c r="D2617" s="22" t="s">
        <v>793</v>
      </c>
      <c r="E2617" s="22" t="n">
        <v>53.6</v>
      </c>
      <c r="F2617" s="22" t="s">
        <v>175</v>
      </c>
    </row>
    <row r="2618" customFormat="false" ht="15" hidden="false" customHeight="false" outlineLevel="0" collapsed="false">
      <c r="A2618" s="22" t="s">
        <v>5973</v>
      </c>
      <c r="B2618" s="22" t="s">
        <v>5974</v>
      </c>
      <c r="C2618" s="22" t="s">
        <v>162</v>
      </c>
      <c r="D2618" s="22" t="s">
        <v>1791</v>
      </c>
      <c r="E2618" s="22" t="n">
        <v>34.8</v>
      </c>
      <c r="F2618" s="22" t="s">
        <v>175</v>
      </c>
    </row>
    <row r="2619" customFormat="false" ht="15" hidden="false" customHeight="false" outlineLevel="0" collapsed="false">
      <c r="A2619" s="22" t="s">
        <v>5975</v>
      </c>
      <c r="B2619" s="22" t="s">
        <v>5976</v>
      </c>
      <c r="C2619" s="22" t="s">
        <v>162</v>
      </c>
      <c r="D2619" s="22" t="s">
        <v>1115</v>
      </c>
      <c r="E2619" s="22" t="n">
        <v>18.7</v>
      </c>
      <c r="F2619" s="22" t="s">
        <v>164</v>
      </c>
    </row>
    <row r="2620" customFormat="false" ht="15" hidden="false" customHeight="false" outlineLevel="0" collapsed="false">
      <c r="A2620" s="22" t="s">
        <v>5977</v>
      </c>
      <c r="B2620" s="22" t="s">
        <v>5978</v>
      </c>
      <c r="C2620" s="22" t="s">
        <v>162</v>
      </c>
      <c r="D2620" s="22" t="s">
        <v>352</v>
      </c>
      <c r="E2620" s="22" t="n">
        <v>38.9</v>
      </c>
      <c r="F2620" s="22" t="s">
        <v>171</v>
      </c>
    </row>
    <row r="2621" customFormat="false" ht="15" hidden="false" customHeight="false" outlineLevel="0" collapsed="false">
      <c r="A2621" s="22" t="s">
        <v>5979</v>
      </c>
      <c r="B2621" s="22" t="s">
        <v>5980</v>
      </c>
      <c r="C2621" s="22" t="s">
        <v>162</v>
      </c>
      <c r="D2621" s="22" t="s">
        <v>3728</v>
      </c>
      <c r="E2621" s="22" t="n">
        <v>19.6</v>
      </c>
      <c r="F2621" s="22" t="s">
        <v>198</v>
      </c>
    </row>
    <row r="2622" customFormat="false" ht="15" hidden="false" customHeight="false" outlineLevel="0" collapsed="false">
      <c r="A2622" s="22" t="s">
        <v>5981</v>
      </c>
      <c r="B2622" s="22" t="s">
        <v>5982</v>
      </c>
      <c r="C2622" s="22" t="s">
        <v>162</v>
      </c>
      <c r="D2622" s="22" t="s">
        <v>1006</v>
      </c>
      <c r="E2622" s="22" t="n">
        <v>53.5</v>
      </c>
      <c r="F2622" s="22" t="s">
        <v>215</v>
      </c>
    </row>
    <row r="2623" customFormat="false" ht="15" hidden="false" customHeight="false" outlineLevel="0" collapsed="false">
      <c r="A2623" s="22" t="s">
        <v>5983</v>
      </c>
      <c r="B2623" s="22" t="s">
        <v>5984</v>
      </c>
      <c r="C2623" s="22" t="s">
        <v>162</v>
      </c>
      <c r="D2623" s="22" t="s">
        <v>197</v>
      </c>
      <c r="E2623" s="22" t="n">
        <v>35.7</v>
      </c>
      <c r="F2623" s="22" t="s">
        <v>164</v>
      </c>
    </row>
    <row r="2624" customFormat="false" ht="15" hidden="false" customHeight="false" outlineLevel="0" collapsed="false">
      <c r="A2624" s="22" t="s">
        <v>5985</v>
      </c>
      <c r="B2624" s="22" t="s">
        <v>5986</v>
      </c>
      <c r="C2624" s="22" t="s">
        <v>566</v>
      </c>
      <c r="D2624" s="22" t="s">
        <v>608</v>
      </c>
      <c r="E2624" s="22" t="n">
        <v>50.2</v>
      </c>
      <c r="F2624" s="22" t="s">
        <v>164</v>
      </c>
    </row>
    <row r="2625" customFormat="false" ht="15" hidden="false" customHeight="false" outlineLevel="0" collapsed="false">
      <c r="A2625" s="22" t="s">
        <v>5987</v>
      </c>
      <c r="B2625" s="22" t="s">
        <v>5988</v>
      </c>
      <c r="C2625" s="22" t="s">
        <v>162</v>
      </c>
      <c r="D2625" s="22" t="s">
        <v>2423</v>
      </c>
      <c r="E2625" s="22" t="n">
        <v>30.9</v>
      </c>
      <c r="F2625" s="22" t="s">
        <v>164</v>
      </c>
    </row>
    <row r="2626" customFormat="false" ht="15" hidden="false" customHeight="false" outlineLevel="0" collapsed="false">
      <c r="A2626" s="22" t="s">
        <v>5989</v>
      </c>
      <c r="B2626" s="22" t="s">
        <v>5990</v>
      </c>
      <c r="C2626" s="22" t="s">
        <v>162</v>
      </c>
      <c r="D2626" s="22" t="s">
        <v>5991</v>
      </c>
      <c r="E2626" s="22" t="n">
        <v>42.8</v>
      </c>
      <c r="F2626" s="22" t="s">
        <v>164</v>
      </c>
    </row>
    <row r="2627" customFormat="false" ht="15" hidden="false" customHeight="false" outlineLevel="0" collapsed="false">
      <c r="A2627" s="22" t="s">
        <v>5992</v>
      </c>
      <c r="B2627" s="22" t="s">
        <v>2938</v>
      </c>
      <c r="C2627" s="22" t="s">
        <v>162</v>
      </c>
      <c r="D2627" s="22" t="s">
        <v>654</v>
      </c>
      <c r="E2627" s="22" t="n">
        <v>32.9</v>
      </c>
      <c r="F2627" s="22" t="s">
        <v>164</v>
      </c>
    </row>
    <row r="2628" customFormat="false" ht="15" hidden="false" customHeight="false" outlineLevel="0" collapsed="false">
      <c r="A2628" s="22" t="s">
        <v>5993</v>
      </c>
      <c r="B2628" s="22" t="s">
        <v>5994</v>
      </c>
      <c r="C2628" s="22" t="s">
        <v>157</v>
      </c>
      <c r="D2628" s="22" t="s">
        <v>2871</v>
      </c>
      <c r="E2628" s="22" t="n">
        <v>61.7</v>
      </c>
      <c r="F2628" s="22" t="s">
        <v>171</v>
      </c>
    </row>
    <row r="2629" customFormat="false" ht="15" hidden="false" customHeight="false" outlineLevel="0" collapsed="false">
      <c r="A2629" s="22" t="s">
        <v>5995</v>
      </c>
      <c r="B2629" s="22" t="s">
        <v>5996</v>
      </c>
      <c r="C2629" s="22" t="s">
        <v>162</v>
      </c>
      <c r="D2629" s="22" t="s">
        <v>1416</v>
      </c>
      <c r="E2629" s="22" t="n">
        <v>36.7</v>
      </c>
      <c r="F2629" s="22" t="s">
        <v>164</v>
      </c>
    </row>
    <row r="2630" customFormat="false" ht="15" hidden="false" customHeight="false" outlineLevel="0" collapsed="false">
      <c r="A2630" s="22" t="s">
        <v>5997</v>
      </c>
      <c r="B2630" s="22" t="s">
        <v>5998</v>
      </c>
      <c r="C2630" s="22" t="s">
        <v>162</v>
      </c>
      <c r="D2630" s="22" t="s">
        <v>3213</v>
      </c>
      <c r="E2630" s="22" t="n">
        <v>26.5</v>
      </c>
      <c r="F2630" s="22" t="s">
        <v>164</v>
      </c>
    </row>
    <row r="2631" customFormat="false" ht="15" hidden="false" customHeight="false" outlineLevel="0" collapsed="false">
      <c r="A2631" s="22" t="s">
        <v>5999</v>
      </c>
      <c r="B2631" s="22" t="s">
        <v>6000</v>
      </c>
      <c r="C2631" s="22" t="s">
        <v>162</v>
      </c>
      <c r="D2631" s="22" t="s">
        <v>1011</v>
      </c>
      <c r="E2631" s="22" t="n">
        <v>22.2</v>
      </c>
      <c r="F2631" s="22" t="s">
        <v>164</v>
      </c>
    </row>
    <row r="2632" customFormat="false" ht="15" hidden="false" customHeight="false" outlineLevel="0" collapsed="false">
      <c r="A2632" s="22" t="s">
        <v>6001</v>
      </c>
      <c r="B2632" s="22" t="s">
        <v>6002</v>
      </c>
      <c r="C2632" s="22" t="s">
        <v>162</v>
      </c>
      <c r="D2632" s="22" t="s">
        <v>2663</v>
      </c>
      <c r="E2632" s="22" t="n">
        <v>36.3</v>
      </c>
      <c r="F2632" s="22" t="s">
        <v>198</v>
      </c>
    </row>
    <row r="2633" customFormat="false" ht="15" hidden="false" customHeight="false" outlineLevel="0" collapsed="false">
      <c r="A2633" s="22" t="s">
        <v>6003</v>
      </c>
      <c r="B2633" s="22" t="s">
        <v>6004</v>
      </c>
      <c r="C2633" s="22" t="s">
        <v>162</v>
      </c>
      <c r="D2633" s="22" t="s">
        <v>1508</v>
      </c>
      <c r="E2633" s="22" t="n">
        <v>36.5</v>
      </c>
      <c r="F2633" s="22" t="s">
        <v>198</v>
      </c>
    </row>
    <row r="2634" customFormat="false" ht="15" hidden="false" customHeight="false" outlineLevel="0" collapsed="false">
      <c r="A2634" s="22" t="s">
        <v>6005</v>
      </c>
      <c r="B2634" s="22" t="s">
        <v>6006</v>
      </c>
      <c r="C2634" s="22" t="s">
        <v>162</v>
      </c>
      <c r="D2634" s="22" t="s">
        <v>975</v>
      </c>
      <c r="E2634" s="22" t="n">
        <v>22.1</v>
      </c>
      <c r="F2634" s="22" t="s">
        <v>198</v>
      </c>
    </row>
    <row r="2635" customFormat="false" ht="15" hidden="false" customHeight="false" outlineLevel="0" collapsed="false">
      <c r="A2635" s="22" t="s">
        <v>6007</v>
      </c>
      <c r="B2635" s="22" t="s">
        <v>6008</v>
      </c>
      <c r="C2635" s="22" t="s">
        <v>157</v>
      </c>
      <c r="D2635" s="22" t="s">
        <v>5335</v>
      </c>
      <c r="E2635" s="22" t="n">
        <v>53</v>
      </c>
      <c r="F2635" s="22" t="s">
        <v>171</v>
      </c>
    </row>
    <row r="2636" customFormat="false" ht="15" hidden="false" customHeight="false" outlineLevel="0" collapsed="false">
      <c r="A2636" s="22" t="s">
        <v>6009</v>
      </c>
      <c r="B2636" s="22" t="s">
        <v>6010</v>
      </c>
      <c r="C2636" s="22" t="s">
        <v>162</v>
      </c>
      <c r="D2636" s="22" t="s">
        <v>358</v>
      </c>
      <c r="E2636" s="22" t="n">
        <v>35.2</v>
      </c>
      <c r="F2636" s="22" t="s">
        <v>175</v>
      </c>
    </row>
    <row r="2637" customFormat="false" ht="15" hidden="false" customHeight="false" outlineLevel="0" collapsed="false">
      <c r="A2637" s="22" t="s">
        <v>6011</v>
      </c>
      <c r="B2637" s="22" t="s">
        <v>6012</v>
      </c>
      <c r="C2637" s="22" t="s">
        <v>162</v>
      </c>
      <c r="D2637" s="22" t="s">
        <v>972</v>
      </c>
      <c r="E2637" s="22" t="n">
        <v>29.3</v>
      </c>
      <c r="F2637" s="22" t="s">
        <v>171</v>
      </c>
    </row>
    <row r="2638" customFormat="false" ht="15" hidden="false" customHeight="false" outlineLevel="0" collapsed="false">
      <c r="A2638" s="22" t="s">
        <v>6013</v>
      </c>
      <c r="B2638" s="22" t="s">
        <v>6014</v>
      </c>
      <c r="C2638" s="22" t="s">
        <v>157</v>
      </c>
      <c r="D2638" s="22" t="s">
        <v>460</v>
      </c>
      <c r="E2638" s="22" t="n">
        <v>56.1</v>
      </c>
      <c r="F2638" s="22" t="s">
        <v>198</v>
      </c>
    </row>
    <row r="2639" customFormat="false" ht="15" hidden="false" customHeight="false" outlineLevel="0" collapsed="false">
      <c r="A2639" s="22" t="s">
        <v>6015</v>
      </c>
      <c r="B2639" s="22" t="s">
        <v>6016</v>
      </c>
      <c r="C2639" s="22" t="s">
        <v>162</v>
      </c>
      <c r="D2639" s="22" t="s">
        <v>428</v>
      </c>
      <c r="E2639" s="22" t="n">
        <v>34.4</v>
      </c>
      <c r="F2639" s="22" t="s">
        <v>499</v>
      </c>
    </row>
    <row r="2640" customFormat="false" ht="15" hidden="false" customHeight="false" outlineLevel="0" collapsed="false">
      <c r="A2640" s="22" t="s">
        <v>6017</v>
      </c>
      <c r="B2640" s="22" t="s">
        <v>6018</v>
      </c>
      <c r="C2640" s="22" t="s">
        <v>162</v>
      </c>
      <c r="D2640" s="22" t="s">
        <v>986</v>
      </c>
      <c r="E2640" s="22" t="n">
        <v>39</v>
      </c>
      <c r="F2640" s="22" t="s">
        <v>175</v>
      </c>
    </row>
    <row r="2641" customFormat="false" ht="15" hidden="false" customHeight="false" outlineLevel="0" collapsed="false">
      <c r="A2641" s="22" t="s">
        <v>6019</v>
      </c>
      <c r="B2641" s="22" t="s">
        <v>6020</v>
      </c>
      <c r="C2641" s="22" t="s">
        <v>162</v>
      </c>
      <c r="D2641" s="22" t="s">
        <v>4620</v>
      </c>
      <c r="E2641" s="22" t="n">
        <v>44.9</v>
      </c>
      <c r="F2641" s="22" t="s">
        <v>215</v>
      </c>
    </row>
    <row r="2642" customFormat="false" ht="15" hidden="false" customHeight="false" outlineLevel="0" collapsed="false">
      <c r="A2642" s="22" t="s">
        <v>6021</v>
      </c>
      <c r="B2642" s="22" t="s">
        <v>6022</v>
      </c>
      <c r="C2642" s="22" t="s">
        <v>162</v>
      </c>
      <c r="D2642" s="22" t="s">
        <v>1169</v>
      </c>
      <c r="E2642" s="22" t="n">
        <v>23.7</v>
      </c>
      <c r="F2642" s="22" t="s">
        <v>164</v>
      </c>
    </row>
    <row r="2643" customFormat="false" ht="15" hidden="false" customHeight="false" outlineLevel="0" collapsed="false">
      <c r="A2643" s="22" t="s">
        <v>6023</v>
      </c>
      <c r="B2643" s="22" t="s">
        <v>6024</v>
      </c>
      <c r="C2643" s="22" t="s">
        <v>157</v>
      </c>
      <c r="D2643" s="22" t="s">
        <v>1014</v>
      </c>
      <c r="E2643" s="22" t="n">
        <v>56.4</v>
      </c>
      <c r="F2643" s="22" t="s">
        <v>164</v>
      </c>
    </row>
    <row r="2644" customFormat="false" ht="15" hidden="false" customHeight="false" outlineLevel="0" collapsed="false">
      <c r="A2644" s="22" t="s">
        <v>6025</v>
      </c>
      <c r="B2644" s="22" t="s">
        <v>6026</v>
      </c>
      <c r="C2644" s="22" t="s">
        <v>207</v>
      </c>
      <c r="D2644" s="22" t="s">
        <v>1146</v>
      </c>
      <c r="E2644" s="22" t="n">
        <v>18.4</v>
      </c>
      <c r="F2644" s="22" t="s">
        <v>175</v>
      </c>
    </row>
    <row r="2645" customFormat="false" ht="15" hidden="false" customHeight="false" outlineLevel="0" collapsed="false">
      <c r="A2645" s="22" t="s">
        <v>6027</v>
      </c>
      <c r="B2645" s="22" t="s">
        <v>6028</v>
      </c>
      <c r="C2645" s="22" t="s">
        <v>162</v>
      </c>
      <c r="D2645" s="22" t="s">
        <v>2165</v>
      </c>
      <c r="E2645" s="22" t="n">
        <v>52.5</v>
      </c>
      <c r="F2645" s="22" t="s">
        <v>198</v>
      </c>
    </row>
    <row r="2646" customFormat="false" ht="15" hidden="false" customHeight="false" outlineLevel="0" collapsed="false">
      <c r="A2646" s="22" t="s">
        <v>6029</v>
      </c>
      <c r="B2646" s="22" t="s">
        <v>6030</v>
      </c>
      <c r="C2646" s="22" t="s">
        <v>162</v>
      </c>
      <c r="D2646" s="22" t="s">
        <v>2928</v>
      </c>
      <c r="E2646" s="22" t="n">
        <v>31.4</v>
      </c>
      <c r="F2646" s="22" t="s">
        <v>164</v>
      </c>
    </row>
    <row r="2647" customFormat="false" ht="15" hidden="false" customHeight="false" outlineLevel="0" collapsed="false">
      <c r="A2647" s="22" t="s">
        <v>6031</v>
      </c>
      <c r="B2647" s="22" t="s">
        <v>6032</v>
      </c>
      <c r="C2647" s="22" t="s">
        <v>162</v>
      </c>
      <c r="D2647" s="22" t="s">
        <v>1824</v>
      </c>
      <c r="E2647" s="22" t="n">
        <v>51.3</v>
      </c>
      <c r="F2647" s="22" t="s">
        <v>164</v>
      </c>
    </row>
    <row r="2648" customFormat="false" ht="15" hidden="false" customHeight="false" outlineLevel="0" collapsed="false">
      <c r="A2648" s="22" t="s">
        <v>6033</v>
      </c>
      <c r="B2648" s="22" t="s">
        <v>6034</v>
      </c>
      <c r="C2648" s="22" t="s">
        <v>162</v>
      </c>
      <c r="D2648" s="22" t="s">
        <v>1743</v>
      </c>
      <c r="E2648" s="22" t="n">
        <v>46.6</v>
      </c>
      <c r="F2648" s="22" t="s">
        <v>164</v>
      </c>
    </row>
    <row r="2649" customFormat="false" ht="15" hidden="false" customHeight="false" outlineLevel="0" collapsed="false">
      <c r="A2649" s="22" t="s">
        <v>6035</v>
      </c>
      <c r="B2649" s="22" t="s">
        <v>6036</v>
      </c>
      <c r="C2649" s="22" t="s">
        <v>162</v>
      </c>
      <c r="D2649" s="22" t="s">
        <v>1484</v>
      </c>
      <c r="E2649" s="22" t="n">
        <v>51.6</v>
      </c>
      <c r="F2649" s="22" t="s">
        <v>175</v>
      </c>
    </row>
    <row r="2650" customFormat="false" ht="15" hidden="false" customHeight="false" outlineLevel="0" collapsed="false">
      <c r="A2650" s="22" t="s">
        <v>6037</v>
      </c>
      <c r="B2650" s="22" t="s">
        <v>6038</v>
      </c>
      <c r="C2650" s="22" t="s">
        <v>162</v>
      </c>
      <c r="D2650" s="22" t="s">
        <v>695</v>
      </c>
      <c r="E2650" s="22" t="n">
        <v>22.4</v>
      </c>
      <c r="F2650" s="22" t="s">
        <v>159</v>
      </c>
    </row>
    <row r="2651" customFormat="false" ht="15" hidden="false" customHeight="false" outlineLevel="0" collapsed="false">
      <c r="A2651" s="22" t="s">
        <v>6039</v>
      </c>
      <c r="B2651" s="22" t="s">
        <v>6040</v>
      </c>
      <c r="C2651" s="22" t="s">
        <v>566</v>
      </c>
      <c r="D2651" s="22" t="s">
        <v>2001</v>
      </c>
      <c r="E2651" s="22" t="n">
        <v>50.8</v>
      </c>
      <c r="F2651" s="22" t="s">
        <v>164</v>
      </c>
    </row>
    <row r="2652" customFormat="false" ht="15" hidden="false" customHeight="false" outlineLevel="0" collapsed="false">
      <c r="A2652" s="22" t="s">
        <v>6041</v>
      </c>
      <c r="B2652" s="22" t="s">
        <v>6042</v>
      </c>
      <c r="C2652" s="22" t="s">
        <v>162</v>
      </c>
      <c r="D2652" s="22" t="s">
        <v>2903</v>
      </c>
      <c r="E2652" s="22" t="n">
        <v>24.2</v>
      </c>
      <c r="F2652" s="22" t="s">
        <v>171</v>
      </c>
    </row>
    <row r="2653" customFormat="false" ht="15" hidden="false" customHeight="false" outlineLevel="0" collapsed="false">
      <c r="A2653" s="22" t="s">
        <v>6043</v>
      </c>
      <c r="B2653" s="22" t="s">
        <v>6044</v>
      </c>
      <c r="C2653" s="22" t="s">
        <v>162</v>
      </c>
      <c r="D2653" s="22" t="s">
        <v>6045</v>
      </c>
      <c r="E2653" s="22" t="n">
        <v>27.7</v>
      </c>
      <c r="F2653" s="22" t="s">
        <v>175</v>
      </c>
    </row>
    <row r="2654" customFormat="false" ht="15" hidden="false" customHeight="false" outlineLevel="0" collapsed="false">
      <c r="A2654" s="22" t="s">
        <v>6046</v>
      </c>
      <c r="B2654" s="22" t="s">
        <v>6047</v>
      </c>
      <c r="C2654" s="22" t="s">
        <v>162</v>
      </c>
      <c r="D2654" s="22" t="s">
        <v>5991</v>
      </c>
      <c r="E2654" s="22" t="n">
        <v>57.9</v>
      </c>
      <c r="F2654" s="22" t="s">
        <v>198</v>
      </c>
    </row>
    <row r="2655" customFormat="false" ht="15" hidden="false" customHeight="false" outlineLevel="0" collapsed="false">
      <c r="A2655" s="22" t="s">
        <v>6048</v>
      </c>
      <c r="B2655" s="22" t="s">
        <v>6049</v>
      </c>
      <c r="C2655" s="22" t="s">
        <v>162</v>
      </c>
      <c r="D2655" s="22" t="s">
        <v>2915</v>
      </c>
      <c r="E2655" s="22" t="n">
        <v>50.4</v>
      </c>
      <c r="F2655" s="22" t="s">
        <v>164</v>
      </c>
    </row>
    <row r="2656" customFormat="false" ht="15" hidden="false" customHeight="false" outlineLevel="0" collapsed="false">
      <c r="A2656" s="22" t="s">
        <v>6050</v>
      </c>
      <c r="B2656" s="22" t="s">
        <v>6051</v>
      </c>
      <c r="C2656" s="22" t="s">
        <v>162</v>
      </c>
      <c r="D2656" s="22" t="s">
        <v>239</v>
      </c>
      <c r="E2656" s="22" t="n">
        <v>51.4</v>
      </c>
      <c r="F2656" s="22" t="s">
        <v>198</v>
      </c>
    </row>
    <row r="2657" customFormat="false" ht="15" hidden="false" customHeight="false" outlineLevel="0" collapsed="false">
      <c r="A2657" s="22" t="s">
        <v>6052</v>
      </c>
      <c r="B2657" s="22" t="s">
        <v>6053</v>
      </c>
      <c r="C2657" s="22" t="s">
        <v>162</v>
      </c>
      <c r="D2657" s="22" t="s">
        <v>2180</v>
      </c>
      <c r="E2657" s="22" t="n">
        <v>49.6</v>
      </c>
      <c r="F2657" s="22" t="s">
        <v>164</v>
      </c>
    </row>
    <row r="2658" customFormat="false" ht="15" hidden="false" customHeight="false" outlineLevel="0" collapsed="false">
      <c r="A2658" s="22" t="s">
        <v>6054</v>
      </c>
      <c r="B2658" s="22" t="s">
        <v>6055</v>
      </c>
      <c r="C2658" s="22" t="s">
        <v>162</v>
      </c>
      <c r="D2658" s="22" t="s">
        <v>6056</v>
      </c>
      <c r="E2658" s="22" t="n">
        <v>51.3</v>
      </c>
      <c r="F2658" s="22" t="s">
        <v>164</v>
      </c>
    </row>
    <row r="2659" customFormat="false" ht="15" hidden="false" customHeight="false" outlineLevel="0" collapsed="false">
      <c r="A2659" s="22" t="s">
        <v>6057</v>
      </c>
      <c r="B2659" s="22" t="s">
        <v>6058</v>
      </c>
      <c r="C2659" s="22" t="s">
        <v>162</v>
      </c>
      <c r="D2659" s="22" t="s">
        <v>1102</v>
      </c>
      <c r="E2659" s="22" t="n">
        <v>35.4</v>
      </c>
      <c r="F2659" s="22" t="s">
        <v>171</v>
      </c>
    </row>
    <row r="2660" customFormat="false" ht="15" hidden="false" customHeight="false" outlineLevel="0" collapsed="false">
      <c r="A2660" s="22" t="s">
        <v>6059</v>
      </c>
      <c r="B2660" s="22" t="s">
        <v>6060</v>
      </c>
      <c r="C2660" s="22" t="s">
        <v>162</v>
      </c>
      <c r="D2660" s="22" t="s">
        <v>4670</v>
      </c>
      <c r="E2660" s="22" t="n">
        <v>39.5</v>
      </c>
      <c r="F2660" s="22" t="s">
        <v>159</v>
      </c>
    </row>
    <row r="2661" customFormat="false" ht="15" hidden="false" customHeight="false" outlineLevel="0" collapsed="false">
      <c r="A2661" s="22" t="s">
        <v>6061</v>
      </c>
      <c r="B2661" s="22" t="s">
        <v>6062</v>
      </c>
      <c r="C2661" s="22" t="s">
        <v>162</v>
      </c>
      <c r="D2661" s="22" t="s">
        <v>567</v>
      </c>
      <c r="E2661" s="22" t="n">
        <v>58.3</v>
      </c>
      <c r="F2661" s="22" t="s">
        <v>159</v>
      </c>
    </row>
    <row r="2662" customFormat="false" ht="15" hidden="false" customHeight="false" outlineLevel="0" collapsed="false">
      <c r="A2662" s="22" t="s">
        <v>6063</v>
      </c>
      <c r="B2662" s="22" t="s">
        <v>6064</v>
      </c>
      <c r="C2662" s="22" t="s">
        <v>162</v>
      </c>
      <c r="D2662" s="22" t="s">
        <v>2241</v>
      </c>
      <c r="E2662" s="22" t="n">
        <v>54.8</v>
      </c>
      <c r="F2662" s="22" t="s">
        <v>159</v>
      </c>
    </row>
    <row r="2663" customFormat="false" ht="15" hidden="false" customHeight="false" outlineLevel="0" collapsed="false">
      <c r="A2663" s="22" t="s">
        <v>6065</v>
      </c>
      <c r="B2663" s="22" t="s">
        <v>6066</v>
      </c>
      <c r="C2663" s="22" t="s">
        <v>157</v>
      </c>
      <c r="D2663" s="22" t="s">
        <v>3602</v>
      </c>
      <c r="E2663" s="22" t="n">
        <v>26.9</v>
      </c>
      <c r="F2663" s="22" t="s">
        <v>159</v>
      </c>
    </row>
    <row r="2664" customFormat="false" ht="15" hidden="false" customHeight="false" outlineLevel="0" collapsed="false">
      <c r="A2664" s="22" t="s">
        <v>6067</v>
      </c>
      <c r="B2664" s="22" t="s">
        <v>6068</v>
      </c>
      <c r="C2664" s="22" t="s">
        <v>162</v>
      </c>
      <c r="D2664" s="22" t="s">
        <v>1235</v>
      </c>
      <c r="E2664" s="22" t="n">
        <v>54.6</v>
      </c>
      <c r="F2664" s="22" t="s">
        <v>171</v>
      </c>
    </row>
    <row r="2665" customFormat="false" ht="15" hidden="false" customHeight="false" outlineLevel="0" collapsed="false">
      <c r="A2665" s="22" t="s">
        <v>6069</v>
      </c>
      <c r="B2665" s="22" t="s">
        <v>6070</v>
      </c>
      <c r="C2665" s="22" t="s">
        <v>162</v>
      </c>
      <c r="D2665" s="22" t="s">
        <v>2180</v>
      </c>
      <c r="E2665" s="22" t="n">
        <v>24.6</v>
      </c>
      <c r="F2665" s="22" t="s">
        <v>175</v>
      </c>
    </row>
    <row r="2666" customFormat="false" ht="15" hidden="false" customHeight="false" outlineLevel="0" collapsed="false">
      <c r="A2666" s="22" t="s">
        <v>6071</v>
      </c>
      <c r="B2666" s="22" t="s">
        <v>6072</v>
      </c>
      <c r="C2666" s="22" t="s">
        <v>162</v>
      </c>
      <c r="D2666" s="22" t="s">
        <v>1548</v>
      </c>
      <c r="E2666" s="22" t="n">
        <v>22</v>
      </c>
      <c r="F2666" s="22" t="s">
        <v>499</v>
      </c>
    </row>
    <row r="2667" customFormat="false" ht="15" hidden="false" customHeight="false" outlineLevel="0" collapsed="false">
      <c r="A2667" s="22" t="s">
        <v>6073</v>
      </c>
      <c r="B2667" s="22" t="s">
        <v>6074</v>
      </c>
      <c r="C2667" s="22" t="s">
        <v>162</v>
      </c>
      <c r="D2667" s="22" t="s">
        <v>1517</v>
      </c>
      <c r="E2667" s="22" t="n">
        <v>55.3</v>
      </c>
      <c r="F2667" s="22" t="s">
        <v>198</v>
      </c>
    </row>
    <row r="2668" customFormat="false" ht="15" hidden="false" customHeight="false" outlineLevel="0" collapsed="false">
      <c r="A2668" s="22" t="s">
        <v>6075</v>
      </c>
      <c r="B2668" s="22" t="s">
        <v>6076</v>
      </c>
      <c r="C2668" s="22" t="s">
        <v>162</v>
      </c>
      <c r="D2668" s="22" t="s">
        <v>608</v>
      </c>
      <c r="E2668" s="22" t="n">
        <v>33.4</v>
      </c>
      <c r="F2668" s="22" t="s">
        <v>198</v>
      </c>
    </row>
    <row r="2669" customFormat="false" ht="15" hidden="false" customHeight="false" outlineLevel="0" collapsed="false">
      <c r="A2669" s="22" t="s">
        <v>6077</v>
      </c>
      <c r="B2669" s="22" t="s">
        <v>6078</v>
      </c>
      <c r="C2669" s="22" t="s">
        <v>162</v>
      </c>
      <c r="D2669" s="22" t="s">
        <v>2150</v>
      </c>
      <c r="E2669" s="22" t="n">
        <v>34.1</v>
      </c>
      <c r="F2669" s="22" t="s">
        <v>188</v>
      </c>
    </row>
    <row r="2670" customFormat="false" ht="15" hidden="false" customHeight="false" outlineLevel="0" collapsed="false">
      <c r="A2670" s="22" t="s">
        <v>6079</v>
      </c>
      <c r="B2670" s="22" t="s">
        <v>6080</v>
      </c>
      <c r="C2670" s="22" t="s">
        <v>162</v>
      </c>
      <c r="D2670" s="22" t="s">
        <v>1695</v>
      </c>
      <c r="E2670" s="22" t="n">
        <v>20.4</v>
      </c>
      <c r="F2670" s="22" t="s">
        <v>159</v>
      </c>
    </row>
    <row r="2671" customFormat="false" ht="15" hidden="false" customHeight="false" outlineLevel="0" collapsed="false">
      <c r="A2671" s="22" t="s">
        <v>6081</v>
      </c>
      <c r="B2671" s="22" t="s">
        <v>2784</v>
      </c>
      <c r="C2671" s="22" t="s">
        <v>207</v>
      </c>
      <c r="D2671" s="22" t="s">
        <v>1646</v>
      </c>
      <c r="E2671" s="22" t="n">
        <v>39.1</v>
      </c>
      <c r="F2671" s="22" t="s">
        <v>171</v>
      </c>
    </row>
    <row r="2672" customFormat="false" ht="15" hidden="false" customHeight="false" outlineLevel="0" collapsed="false">
      <c r="A2672" s="22" t="s">
        <v>6082</v>
      </c>
      <c r="B2672" s="22" t="s">
        <v>2200</v>
      </c>
      <c r="C2672" s="22" t="s">
        <v>162</v>
      </c>
      <c r="D2672" s="22" t="s">
        <v>1408</v>
      </c>
      <c r="E2672" s="22" t="n">
        <v>38.1</v>
      </c>
      <c r="F2672" s="22" t="s">
        <v>188</v>
      </c>
    </row>
    <row r="2673" customFormat="false" ht="15" hidden="false" customHeight="false" outlineLevel="0" collapsed="false">
      <c r="A2673" s="22" t="s">
        <v>6083</v>
      </c>
      <c r="B2673" s="22" t="s">
        <v>6084</v>
      </c>
      <c r="C2673" s="22" t="s">
        <v>207</v>
      </c>
      <c r="D2673" s="22" t="s">
        <v>248</v>
      </c>
      <c r="E2673" s="22" t="n">
        <v>36.1</v>
      </c>
      <c r="F2673" s="22" t="s">
        <v>175</v>
      </c>
    </row>
    <row r="2674" customFormat="false" ht="15" hidden="false" customHeight="false" outlineLevel="0" collapsed="false">
      <c r="A2674" s="22" t="s">
        <v>6085</v>
      </c>
      <c r="B2674" s="22" t="s">
        <v>6086</v>
      </c>
      <c r="C2674" s="22" t="s">
        <v>162</v>
      </c>
      <c r="D2674" s="22" t="s">
        <v>3777</v>
      </c>
      <c r="E2674" s="22" t="n">
        <v>46.4</v>
      </c>
      <c r="F2674" s="22" t="s">
        <v>188</v>
      </c>
    </row>
    <row r="2675" customFormat="false" ht="15" hidden="false" customHeight="false" outlineLevel="0" collapsed="false">
      <c r="A2675" s="22" t="s">
        <v>6087</v>
      </c>
      <c r="B2675" s="22" t="s">
        <v>6088</v>
      </c>
      <c r="C2675" s="22" t="s">
        <v>162</v>
      </c>
      <c r="D2675" s="22" t="s">
        <v>4094</v>
      </c>
      <c r="E2675" s="22" t="n">
        <v>33.4</v>
      </c>
      <c r="F2675" s="22" t="s">
        <v>198</v>
      </c>
    </row>
    <row r="2676" customFormat="false" ht="15" hidden="false" customHeight="false" outlineLevel="0" collapsed="false">
      <c r="A2676" s="22" t="s">
        <v>6089</v>
      </c>
      <c r="B2676" s="22" t="s">
        <v>6090</v>
      </c>
      <c r="C2676" s="22" t="s">
        <v>162</v>
      </c>
      <c r="D2676" s="22" t="s">
        <v>6091</v>
      </c>
      <c r="E2676" s="22" t="n">
        <v>29</v>
      </c>
      <c r="F2676" s="22" t="s">
        <v>499</v>
      </c>
    </row>
    <row r="2677" customFormat="false" ht="15" hidden="false" customHeight="false" outlineLevel="0" collapsed="false">
      <c r="A2677" s="22" t="s">
        <v>6092</v>
      </c>
      <c r="B2677" s="22" t="s">
        <v>6093</v>
      </c>
      <c r="C2677" s="22" t="s">
        <v>162</v>
      </c>
      <c r="D2677" s="22" t="s">
        <v>6094</v>
      </c>
      <c r="E2677" s="22" t="n">
        <v>50.6</v>
      </c>
      <c r="F2677" s="22" t="s">
        <v>198</v>
      </c>
    </row>
    <row r="2678" customFormat="false" ht="15" hidden="false" customHeight="false" outlineLevel="0" collapsed="false">
      <c r="A2678" s="22" t="s">
        <v>6095</v>
      </c>
      <c r="B2678" s="22" t="s">
        <v>6096</v>
      </c>
      <c r="C2678" s="22" t="s">
        <v>207</v>
      </c>
      <c r="D2678" s="22" t="s">
        <v>3292</v>
      </c>
      <c r="E2678" s="22" t="n">
        <v>31.8</v>
      </c>
      <c r="F2678" s="22" t="s">
        <v>175</v>
      </c>
    </row>
    <row r="2679" customFormat="false" ht="15" hidden="false" customHeight="false" outlineLevel="0" collapsed="false">
      <c r="A2679" s="22" t="s">
        <v>6097</v>
      </c>
      <c r="B2679" s="22" t="s">
        <v>6098</v>
      </c>
      <c r="C2679" s="22" t="s">
        <v>162</v>
      </c>
      <c r="D2679" s="22" t="s">
        <v>2204</v>
      </c>
      <c r="E2679" s="22" t="n">
        <v>45.1</v>
      </c>
      <c r="F2679" s="22" t="s">
        <v>164</v>
      </c>
    </row>
    <row r="2680" customFormat="false" ht="15" hidden="false" customHeight="false" outlineLevel="0" collapsed="false">
      <c r="A2680" s="22" t="s">
        <v>6099</v>
      </c>
      <c r="B2680" s="22" t="s">
        <v>6100</v>
      </c>
      <c r="C2680" s="22" t="s">
        <v>162</v>
      </c>
      <c r="D2680" s="22" t="s">
        <v>477</v>
      </c>
      <c r="E2680" s="22" t="n">
        <v>26.4</v>
      </c>
      <c r="F2680" s="22" t="s">
        <v>171</v>
      </c>
    </row>
    <row r="2681" customFormat="false" ht="15" hidden="false" customHeight="false" outlineLevel="0" collapsed="false">
      <c r="A2681" s="22" t="s">
        <v>6101</v>
      </c>
      <c r="B2681" s="22" t="s">
        <v>6102</v>
      </c>
      <c r="C2681" s="22" t="s">
        <v>162</v>
      </c>
      <c r="D2681" s="22" t="s">
        <v>3602</v>
      </c>
      <c r="E2681" s="22" t="n">
        <v>23</v>
      </c>
      <c r="F2681" s="22" t="s">
        <v>175</v>
      </c>
    </row>
    <row r="2682" customFormat="false" ht="15" hidden="false" customHeight="false" outlineLevel="0" collapsed="false">
      <c r="A2682" s="22" t="s">
        <v>6103</v>
      </c>
      <c r="B2682" s="22" t="s">
        <v>6104</v>
      </c>
      <c r="C2682" s="22" t="s">
        <v>162</v>
      </c>
      <c r="D2682" s="22" t="s">
        <v>3177</v>
      </c>
      <c r="E2682" s="22" t="n">
        <v>48.5</v>
      </c>
      <c r="F2682" s="22" t="s">
        <v>159</v>
      </c>
    </row>
    <row r="2683" customFormat="false" ht="15" hidden="false" customHeight="false" outlineLevel="0" collapsed="false">
      <c r="A2683" s="22" t="s">
        <v>6105</v>
      </c>
      <c r="B2683" s="22" t="s">
        <v>6106</v>
      </c>
      <c r="C2683" s="22" t="s">
        <v>162</v>
      </c>
      <c r="D2683" s="22" t="s">
        <v>2563</v>
      </c>
      <c r="E2683" s="22" t="n">
        <v>23.5</v>
      </c>
      <c r="F2683" s="22" t="s">
        <v>164</v>
      </c>
    </row>
    <row r="2684" customFormat="false" ht="15" hidden="false" customHeight="false" outlineLevel="0" collapsed="false">
      <c r="A2684" s="22" t="s">
        <v>6107</v>
      </c>
      <c r="B2684" s="22" t="s">
        <v>6108</v>
      </c>
      <c r="C2684" s="22" t="s">
        <v>162</v>
      </c>
      <c r="D2684" s="22" t="s">
        <v>557</v>
      </c>
      <c r="E2684" s="22" t="n">
        <v>57.9</v>
      </c>
      <c r="F2684" s="22" t="s">
        <v>175</v>
      </c>
    </row>
    <row r="2685" customFormat="false" ht="15" hidden="false" customHeight="false" outlineLevel="0" collapsed="false">
      <c r="A2685" s="22" t="s">
        <v>6109</v>
      </c>
      <c r="B2685" s="22" t="s">
        <v>6110</v>
      </c>
      <c r="C2685" s="22" t="s">
        <v>162</v>
      </c>
      <c r="D2685" s="22" t="s">
        <v>745</v>
      </c>
      <c r="E2685" s="22" t="n">
        <v>45.6</v>
      </c>
      <c r="F2685" s="22" t="s">
        <v>159</v>
      </c>
    </row>
    <row r="2686" customFormat="false" ht="15" hidden="false" customHeight="false" outlineLevel="0" collapsed="false">
      <c r="A2686" s="22" t="s">
        <v>6111</v>
      </c>
      <c r="B2686" s="22" t="s">
        <v>6112</v>
      </c>
      <c r="C2686" s="22" t="s">
        <v>162</v>
      </c>
      <c r="D2686" s="22" t="s">
        <v>483</v>
      </c>
      <c r="E2686" s="22" t="n">
        <v>27.2</v>
      </c>
      <c r="F2686" s="22" t="s">
        <v>159</v>
      </c>
    </row>
    <row r="2687" customFormat="false" ht="15" hidden="false" customHeight="false" outlineLevel="0" collapsed="false">
      <c r="A2687" s="22" t="s">
        <v>6113</v>
      </c>
      <c r="B2687" s="22" t="s">
        <v>6114</v>
      </c>
      <c r="C2687" s="22" t="s">
        <v>162</v>
      </c>
      <c r="D2687" s="22" t="s">
        <v>3657</v>
      </c>
      <c r="E2687" s="22" t="n">
        <v>53.2</v>
      </c>
      <c r="F2687" s="22" t="s">
        <v>175</v>
      </c>
    </row>
    <row r="2688" customFormat="false" ht="15" hidden="false" customHeight="false" outlineLevel="0" collapsed="false">
      <c r="A2688" s="22" t="s">
        <v>6115</v>
      </c>
      <c r="B2688" s="22" t="s">
        <v>6116</v>
      </c>
      <c r="C2688" s="22" t="s">
        <v>566</v>
      </c>
      <c r="D2688" s="22" t="s">
        <v>158</v>
      </c>
      <c r="E2688" s="22" t="n">
        <v>38</v>
      </c>
      <c r="F2688" s="22" t="s">
        <v>164</v>
      </c>
    </row>
    <row r="2689" customFormat="false" ht="15" hidden="false" customHeight="false" outlineLevel="0" collapsed="false">
      <c r="A2689" s="22" t="s">
        <v>6117</v>
      </c>
      <c r="B2689" s="22" t="s">
        <v>6118</v>
      </c>
      <c r="C2689" s="22" t="s">
        <v>162</v>
      </c>
      <c r="D2689" s="22" t="s">
        <v>2147</v>
      </c>
      <c r="E2689" s="22" t="n">
        <v>44.7</v>
      </c>
      <c r="F2689" s="22" t="s">
        <v>175</v>
      </c>
    </row>
    <row r="2690" customFormat="false" ht="15" hidden="false" customHeight="false" outlineLevel="0" collapsed="false">
      <c r="A2690" s="22" t="s">
        <v>6119</v>
      </c>
      <c r="B2690" s="22" t="s">
        <v>6120</v>
      </c>
      <c r="C2690" s="22" t="s">
        <v>162</v>
      </c>
      <c r="D2690" s="22" t="s">
        <v>333</v>
      </c>
      <c r="E2690" s="22" t="n">
        <v>39</v>
      </c>
      <c r="F2690" s="22" t="s">
        <v>175</v>
      </c>
    </row>
    <row r="2691" customFormat="false" ht="15" hidden="false" customHeight="false" outlineLevel="0" collapsed="false">
      <c r="A2691" s="22" t="s">
        <v>6121</v>
      </c>
      <c r="B2691" s="22" t="s">
        <v>3308</v>
      </c>
      <c r="C2691" s="22" t="s">
        <v>162</v>
      </c>
      <c r="D2691" s="22" t="s">
        <v>349</v>
      </c>
      <c r="E2691" s="22" t="n">
        <v>46.8</v>
      </c>
      <c r="F2691" s="22" t="s">
        <v>175</v>
      </c>
    </row>
    <row r="2692" customFormat="false" ht="15" hidden="false" customHeight="false" outlineLevel="0" collapsed="false">
      <c r="A2692" s="22" t="s">
        <v>6122</v>
      </c>
      <c r="B2692" s="22" t="s">
        <v>6123</v>
      </c>
      <c r="C2692" s="22" t="s">
        <v>162</v>
      </c>
      <c r="D2692" s="22" t="s">
        <v>648</v>
      </c>
      <c r="E2692" s="22" t="n">
        <v>52.9</v>
      </c>
      <c r="F2692" s="22" t="s">
        <v>175</v>
      </c>
    </row>
    <row r="2693" customFormat="false" ht="15" hidden="false" customHeight="false" outlineLevel="0" collapsed="false">
      <c r="A2693" s="22" t="s">
        <v>6124</v>
      </c>
      <c r="B2693" s="22" t="s">
        <v>6125</v>
      </c>
      <c r="C2693" s="22" t="s">
        <v>162</v>
      </c>
      <c r="D2693" s="22" t="s">
        <v>2258</v>
      </c>
      <c r="E2693" s="22" t="n">
        <v>25.9</v>
      </c>
      <c r="F2693" s="22" t="s">
        <v>198</v>
      </c>
    </row>
    <row r="2694" customFormat="false" ht="15" hidden="false" customHeight="false" outlineLevel="0" collapsed="false">
      <c r="A2694" s="22" t="s">
        <v>6126</v>
      </c>
      <c r="B2694" s="22" t="s">
        <v>6127</v>
      </c>
      <c r="C2694" s="22" t="s">
        <v>162</v>
      </c>
      <c r="D2694" s="22" t="s">
        <v>1291</v>
      </c>
      <c r="E2694" s="22" t="n">
        <v>43.6</v>
      </c>
      <c r="F2694" s="22" t="s">
        <v>198</v>
      </c>
    </row>
    <row r="2695" customFormat="false" ht="15" hidden="false" customHeight="false" outlineLevel="0" collapsed="false">
      <c r="A2695" s="22" t="s">
        <v>6128</v>
      </c>
      <c r="B2695" s="22" t="s">
        <v>6129</v>
      </c>
      <c r="C2695" s="22" t="s">
        <v>207</v>
      </c>
      <c r="D2695" s="22" t="s">
        <v>2991</v>
      </c>
      <c r="E2695" s="22" t="n">
        <v>60.9</v>
      </c>
      <c r="F2695" s="22" t="s">
        <v>164</v>
      </c>
    </row>
    <row r="2696" customFormat="false" ht="15" hidden="false" customHeight="false" outlineLevel="0" collapsed="false">
      <c r="A2696" s="22" t="s">
        <v>6130</v>
      </c>
      <c r="B2696" s="22" t="s">
        <v>6131</v>
      </c>
      <c r="C2696" s="22" t="s">
        <v>162</v>
      </c>
      <c r="D2696" s="22" t="s">
        <v>1499</v>
      </c>
      <c r="E2696" s="22" t="n">
        <v>18.6</v>
      </c>
      <c r="F2696" s="22" t="s">
        <v>175</v>
      </c>
    </row>
    <row r="2697" customFormat="false" ht="15" hidden="false" customHeight="false" outlineLevel="0" collapsed="false">
      <c r="A2697" s="22" t="s">
        <v>6132</v>
      </c>
      <c r="B2697" s="22" t="s">
        <v>6133</v>
      </c>
      <c r="C2697" s="22" t="s">
        <v>162</v>
      </c>
      <c r="D2697" s="22" t="s">
        <v>714</v>
      </c>
      <c r="E2697" s="22" t="n">
        <v>52.7</v>
      </c>
      <c r="F2697" s="22" t="s">
        <v>198</v>
      </c>
    </row>
    <row r="2698" customFormat="false" ht="15" hidden="false" customHeight="false" outlineLevel="0" collapsed="false">
      <c r="A2698" s="22" t="s">
        <v>6134</v>
      </c>
      <c r="B2698" s="22" t="s">
        <v>6135</v>
      </c>
      <c r="C2698" s="22" t="s">
        <v>162</v>
      </c>
      <c r="D2698" s="22" t="s">
        <v>3160</v>
      </c>
      <c r="E2698" s="22" t="n">
        <v>37.4</v>
      </c>
      <c r="F2698" s="22" t="s">
        <v>175</v>
      </c>
    </row>
    <row r="2699" customFormat="false" ht="15" hidden="false" customHeight="false" outlineLevel="0" collapsed="false">
      <c r="A2699" s="22" t="s">
        <v>6136</v>
      </c>
      <c r="B2699" s="22" t="s">
        <v>6137</v>
      </c>
      <c r="C2699" s="22" t="s">
        <v>162</v>
      </c>
      <c r="D2699" s="22" t="s">
        <v>629</v>
      </c>
      <c r="E2699" s="22" t="n">
        <v>24.3</v>
      </c>
      <c r="F2699" s="22" t="s">
        <v>215</v>
      </c>
    </row>
    <row r="2700" customFormat="false" ht="15" hidden="false" customHeight="false" outlineLevel="0" collapsed="false">
      <c r="A2700" s="22" t="s">
        <v>6138</v>
      </c>
      <c r="B2700" s="22" t="s">
        <v>6139</v>
      </c>
      <c r="C2700" s="22" t="s">
        <v>162</v>
      </c>
      <c r="D2700" s="22" t="s">
        <v>962</v>
      </c>
      <c r="E2700" s="22" t="n">
        <v>55.4</v>
      </c>
      <c r="F2700" s="22" t="s">
        <v>215</v>
      </c>
    </row>
    <row r="2701" customFormat="false" ht="15" hidden="false" customHeight="false" outlineLevel="0" collapsed="false">
      <c r="A2701" s="22" t="s">
        <v>6140</v>
      </c>
      <c r="B2701" s="22" t="s">
        <v>6141</v>
      </c>
      <c r="C2701" s="22" t="s">
        <v>162</v>
      </c>
      <c r="D2701" s="22" t="s">
        <v>703</v>
      </c>
      <c r="E2701" s="22" t="n">
        <v>18.6</v>
      </c>
      <c r="F2701" s="22" t="s">
        <v>164</v>
      </c>
    </row>
    <row r="2702" customFormat="false" ht="15" hidden="false" customHeight="false" outlineLevel="0" collapsed="false">
      <c r="A2702" s="22" t="s">
        <v>6142</v>
      </c>
      <c r="B2702" s="22" t="s">
        <v>6143</v>
      </c>
      <c r="C2702" s="22" t="s">
        <v>162</v>
      </c>
      <c r="D2702" s="22" t="s">
        <v>1395</v>
      </c>
      <c r="E2702" s="22" t="n">
        <v>23.5</v>
      </c>
      <c r="F2702" s="22" t="s">
        <v>198</v>
      </c>
    </row>
    <row r="2703" customFormat="false" ht="15" hidden="false" customHeight="false" outlineLevel="0" collapsed="false">
      <c r="A2703" s="22" t="s">
        <v>6144</v>
      </c>
      <c r="B2703" s="22" t="s">
        <v>6145</v>
      </c>
      <c r="C2703" s="22" t="s">
        <v>207</v>
      </c>
      <c r="D2703" s="22" t="s">
        <v>2563</v>
      </c>
      <c r="E2703" s="22" t="n">
        <v>23.1</v>
      </c>
      <c r="F2703" s="22" t="s">
        <v>171</v>
      </c>
    </row>
    <row r="2704" customFormat="false" ht="15" hidden="false" customHeight="false" outlineLevel="0" collapsed="false">
      <c r="A2704" s="22" t="s">
        <v>6146</v>
      </c>
      <c r="B2704" s="22" t="s">
        <v>6147</v>
      </c>
      <c r="C2704" s="22" t="s">
        <v>162</v>
      </c>
      <c r="D2704" s="22" t="s">
        <v>3031</v>
      </c>
      <c r="E2704" s="22" t="n">
        <v>30.1</v>
      </c>
      <c r="F2704" s="22" t="s">
        <v>175</v>
      </c>
    </row>
    <row r="2705" customFormat="false" ht="15" hidden="false" customHeight="false" outlineLevel="0" collapsed="false">
      <c r="A2705" s="22" t="s">
        <v>6148</v>
      </c>
      <c r="B2705" s="22" t="s">
        <v>6149</v>
      </c>
      <c r="C2705" s="22" t="s">
        <v>162</v>
      </c>
      <c r="D2705" s="22" t="s">
        <v>2367</v>
      </c>
      <c r="E2705" s="22" t="n">
        <v>50.3</v>
      </c>
      <c r="F2705" s="22" t="s">
        <v>164</v>
      </c>
    </row>
    <row r="2706" customFormat="false" ht="15" hidden="false" customHeight="false" outlineLevel="0" collapsed="false">
      <c r="A2706" s="22" t="s">
        <v>6150</v>
      </c>
      <c r="B2706" s="22" t="s">
        <v>6151</v>
      </c>
      <c r="C2706" s="22" t="s">
        <v>162</v>
      </c>
      <c r="D2706" s="22" t="s">
        <v>257</v>
      </c>
      <c r="E2706" s="22" t="n">
        <v>36</v>
      </c>
      <c r="F2706" s="22" t="s">
        <v>164</v>
      </c>
    </row>
    <row r="2707" customFormat="false" ht="15" hidden="false" customHeight="false" outlineLevel="0" collapsed="false">
      <c r="A2707" s="22" t="s">
        <v>6152</v>
      </c>
      <c r="B2707" s="22" t="s">
        <v>6153</v>
      </c>
      <c r="C2707" s="22" t="s">
        <v>162</v>
      </c>
      <c r="D2707" s="22" t="s">
        <v>2896</v>
      </c>
      <c r="E2707" s="22" t="n">
        <v>34.5</v>
      </c>
      <c r="F2707" s="22" t="s">
        <v>159</v>
      </c>
    </row>
    <row r="2708" customFormat="false" ht="15" hidden="false" customHeight="false" outlineLevel="0" collapsed="false">
      <c r="A2708" s="22" t="s">
        <v>6154</v>
      </c>
      <c r="B2708" s="22" t="s">
        <v>4461</v>
      </c>
      <c r="C2708" s="22" t="s">
        <v>207</v>
      </c>
      <c r="D2708" s="22" t="s">
        <v>605</v>
      </c>
      <c r="E2708" s="22" t="n">
        <v>48.1</v>
      </c>
      <c r="F2708" s="22" t="s">
        <v>198</v>
      </c>
    </row>
    <row r="2709" customFormat="false" ht="15" hidden="false" customHeight="false" outlineLevel="0" collapsed="false">
      <c r="A2709" s="22" t="s">
        <v>6155</v>
      </c>
      <c r="B2709" s="22" t="s">
        <v>6156</v>
      </c>
      <c r="C2709" s="22" t="s">
        <v>162</v>
      </c>
      <c r="D2709" s="22" t="s">
        <v>2868</v>
      </c>
      <c r="E2709" s="22" t="n">
        <v>61</v>
      </c>
      <c r="F2709" s="22" t="s">
        <v>175</v>
      </c>
    </row>
    <row r="2710" customFormat="false" ht="15" hidden="false" customHeight="false" outlineLevel="0" collapsed="false">
      <c r="A2710" s="22" t="s">
        <v>6157</v>
      </c>
      <c r="B2710" s="22" t="s">
        <v>6158</v>
      </c>
      <c r="C2710" s="22" t="s">
        <v>162</v>
      </c>
      <c r="D2710" s="22" t="s">
        <v>395</v>
      </c>
      <c r="E2710" s="22" t="n">
        <v>54.1</v>
      </c>
      <c r="F2710" s="22" t="s">
        <v>175</v>
      </c>
    </row>
    <row r="2711" customFormat="false" ht="15" hidden="false" customHeight="false" outlineLevel="0" collapsed="false">
      <c r="A2711" s="22" t="s">
        <v>6159</v>
      </c>
      <c r="B2711" s="22" t="s">
        <v>6160</v>
      </c>
      <c r="C2711" s="22" t="s">
        <v>162</v>
      </c>
      <c r="D2711" s="22" t="s">
        <v>355</v>
      </c>
      <c r="E2711" s="22" t="n">
        <v>44.5</v>
      </c>
      <c r="F2711" s="22" t="s">
        <v>188</v>
      </c>
    </row>
    <row r="2712" customFormat="false" ht="15" hidden="false" customHeight="false" outlineLevel="0" collapsed="false">
      <c r="A2712" s="22" t="s">
        <v>6161</v>
      </c>
      <c r="B2712" s="22" t="s">
        <v>6162</v>
      </c>
      <c r="C2712" s="22" t="s">
        <v>162</v>
      </c>
      <c r="D2712" s="22" t="s">
        <v>1774</v>
      </c>
      <c r="E2712" s="22" t="n">
        <v>53.5</v>
      </c>
      <c r="F2712" s="22" t="s">
        <v>171</v>
      </c>
    </row>
    <row r="2713" customFormat="false" ht="15" hidden="false" customHeight="false" outlineLevel="0" collapsed="false">
      <c r="A2713" s="22" t="s">
        <v>6163</v>
      </c>
      <c r="B2713" s="22" t="s">
        <v>6164</v>
      </c>
      <c r="C2713" s="22" t="s">
        <v>207</v>
      </c>
      <c r="D2713" s="22" t="s">
        <v>832</v>
      </c>
      <c r="E2713" s="22" t="n">
        <v>38.8</v>
      </c>
      <c r="F2713" s="22" t="s">
        <v>215</v>
      </c>
    </row>
    <row r="2714" customFormat="false" ht="15" hidden="false" customHeight="false" outlineLevel="0" collapsed="false">
      <c r="A2714" s="22" t="s">
        <v>6165</v>
      </c>
      <c r="B2714" s="22" t="s">
        <v>6166</v>
      </c>
      <c r="C2714" s="22" t="s">
        <v>162</v>
      </c>
      <c r="D2714" s="22" t="s">
        <v>451</v>
      </c>
      <c r="E2714" s="22" t="n">
        <v>48</v>
      </c>
      <c r="F2714" s="22" t="s">
        <v>164</v>
      </c>
    </row>
    <row r="2715" customFormat="false" ht="15" hidden="false" customHeight="false" outlineLevel="0" collapsed="false">
      <c r="A2715" s="22" t="s">
        <v>6167</v>
      </c>
      <c r="B2715" s="22" t="s">
        <v>6168</v>
      </c>
      <c r="C2715" s="22" t="s">
        <v>162</v>
      </c>
      <c r="D2715" s="22" t="s">
        <v>675</v>
      </c>
      <c r="E2715" s="22" t="n">
        <v>42.9</v>
      </c>
      <c r="F2715" s="22" t="s">
        <v>499</v>
      </c>
    </row>
    <row r="2716" customFormat="false" ht="15" hidden="false" customHeight="false" outlineLevel="0" collapsed="false">
      <c r="A2716" s="22" t="s">
        <v>6169</v>
      </c>
      <c r="B2716" s="22" t="s">
        <v>6170</v>
      </c>
      <c r="C2716" s="22" t="s">
        <v>162</v>
      </c>
      <c r="D2716" s="22" t="s">
        <v>466</v>
      </c>
      <c r="E2716" s="22" t="n">
        <v>37</v>
      </c>
      <c r="F2716" s="22" t="s">
        <v>159</v>
      </c>
    </row>
    <row r="2717" customFormat="false" ht="15" hidden="false" customHeight="false" outlineLevel="0" collapsed="false">
      <c r="A2717" s="22" t="s">
        <v>6171</v>
      </c>
      <c r="B2717" s="22" t="s">
        <v>6172</v>
      </c>
      <c r="C2717" s="22" t="s">
        <v>207</v>
      </c>
      <c r="D2717" s="22" t="s">
        <v>4993</v>
      </c>
      <c r="E2717" s="22" t="n">
        <v>56.4</v>
      </c>
      <c r="F2717" s="22" t="s">
        <v>175</v>
      </c>
    </row>
    <row r="2718" customFormat="false" ht="15" hidden="false" customHeight="false" outlineLevel="0" collapsed="false">
      <c r="A2718" s="22" t="s">
        <v>6173</v>
      </c>
      <c r="B2718" s="22" t="s">
        <v>6174</v>
      </c>
      <c r="C2718" s="22" t="s">
        <v>162</v>
      </c>
      <c r="D2718" s="22" t="s">
        <v>3632</v>
      </c>
      <c r="E2718" s="22" t="n">
        <v>44.2</v>
      </c>
      <c r="F2718" s="22" t="s">
        <v>171</v>
      </c>
    </row>
    <row r="2719" customFormat="false" ht="15" hidden="false" customHeight="false" outlineLevel="0" collapsed="false">
      <c r="A2719" s="22" t="s">
        <v>6175</v>
      </c>
      <c r="B2719" s="22" t="s">
        <v>6176</v>
      </c>
      <c r="C2719" s="22" t="s">
        <v>157</v>
      </c>
      <c r="D2719" s="22" t="s">
        <v>6177</v>
      </c>
      <c r="E2719" s="22" t="n">
        <v>47.4</v>
      </c>
      <c r="F2719" s="22" t="s">
        <v>198</v>
      </c>
    </row>
    <row r="2720" customFormat="false" ht="15" hidden="false" customHeight="false" outlineLevel="0" collapsed="false">
      <c r="A2720" s="22" t="s">
        <v>6178</v>
      </c>
      <c r="B2720" s="22" t="s">
        <v>6179</v>
      </c>
      <c r="C2720" s="22" t="s">
        <v>207</v>
      </c>
      <c r="D2720" s="22" t="s">
        <v>2865</v>
      </c>
      <c r="E2720" s="22" t="n">
        <v>20.2</v>
      </c>
      <c r="F2720" s="22" t="s">
        <v>175</v>
      </c>
    </row>
    <row r="2721" customFormat="false" ht="15" hidden="false" customHeight="false" outlineLevel="0" collapsed="false">
      <c r="A2721" s="22" t="s">
        <v>6180</v>
      </c>
      <c r="B2721" s="22" t="s">
        <v>6181</v>
      </c>
      <c r="C2721" s="22" t="s">
        <v>162</v>
      </c>
      <c r="D2721" s="22" t="s">
        <v>1204</v>
      </c>
      <c r="E2721" s="22" t="n">
        <v>25.2</v>
      </c>
      <c r="F2721" s="22" t="s">
        <v>159</v>
      </c>
    </row>
    <row r="2722" customFormat="false" ht="15" hidden="false" customHeight="false" outlineLevel="0" collapsed="false">
      <c r="A2722" s="22" t="s">
        <v>6182</v>
      </c>
      <c r="B2722" s="22" t="s">
        <v>6183</v>
      </c>
      <c r="C2722" s="22" t="s">
        <v>162</v>
      </c>
      <c r="D2722" s="22" t="s">
        <v>616</v>
      </c>
      <c r="E2722" s="22" t="n">
        <v>39.1</v>
      </c>
      <c r="F2722" s="22" t="s">
        <v>171</v>
      </c>
    </row>
    <row r="2723" customFormat="false" ht="15" hidden="false" customHeight="false" outlineLevel="0" collapsed="false">
      <c r="A2723" s="22" t="s">
        <v>6184</v>
      </c>
      <c r="B2723" s="22" t="s">
        <v>6185</v>
      </c>
      <c r="C2723" s="22" t="s">
        <v>162</v>
      </c>
      <c r="D2723" s="22" t="s">
        <v>352</v>
      </c>
      <c r="E2723" s="22" t="n">
        <v>22.4</v>
      </c>
      <c r="F2723" s="22" t="s">
        <v>198</v>
      </c>
    </row>
    <row r="2724" customFormat="false" ht="15" hidden="false" customHeight="false" outlineLevel="0" collapsed="false">
      <c r="A2724" s="22" t="s">
        <v>6186</v>
      </c>
      <c r="B2724" s="22" t="s">
        <v>6187</v>
      </c>
      <c r="C2724" s="22" t="s">
        <v>162</v>
      </c>
      <c r="D2724" s="22" t="s">
        <v>486</v>
      </c>
      <c r="E2724" s="22" t="n">
        <v>28.1</v>
      </c>
      <c r="F2724" s="22" t="s">
        <v>159</v>
      </c>
    </row>
    <row r="2725" customFormat="false" ht="15" hidden="false" customHeight="false" outlineLevel="0" collapsed="false">
      <c r="A2725" s="22" t="s">
        <v>6188</v>
      </c>
      <c r="B2725" s="22" t="s">
        <v>6189</v>
      </c>
      <c r="C2725" s="22" t="s">
        <v>162</v>
      </c>
      <c r="D2725" s="22" t="s">
        <v>4213</v>
      </c>
      <c r="E2725" s="22" t="n">
        <v>44.2</v>
      </c>
      <c r="F2725" s="22" t="s">
        <v>215</v>
      </c>
    </row>
    <row r="2726" customFormat="false" ht="15" hidden="false" customHeight="false" outlineLevel="0" collapsed="false">
      <c r="A2726" s="22" t="s">
        <v>6190</v>
      </c>
      <c r="B2726" s="22" t="s">
        <v>6191</v>
      </c>
      <c r="C2726" s="22" t="s">
        <v>162</v>
      </c>
      <c r="D2726" s="22" t="s">
        <v>959</v>
      </c>
      <c r="E2726" s="22" t="n">
        <v>59.8</v>
      </c>
      <c r="F2726" s="22" t="s">
        <v>164</v>
      </c>
    </row>
    <row r="2727" customFormat="false" ht="15" hidden="false" customHeight="false" outlineLevel="0" collapsed="false">
      <c r="A2727" s="22" t="s">
        <v>6192</v>
      </c>
      <c r="B2727" s="22" t="s">
        <v>6193</v>
      </c>
      <c r="C2727" s="22" t="s">
        <v>162</v>
      </c>
      <c r="D2727" s="22" t="s">
        <v>263</v>
      </c>
      <c r="E2727" s="22" t="n">
        <v>32.3</v>
      </c>
      <c r="F2727" s="22" t="s">
        <v>159</v>
      </c>
    </row>
    <row r="2728" customFormat="false" ht="15" hidden="false" customHeight="false" outlineLevel="0" collapsed="false">
      <c r="A2728" s="22" t="s">
        <v>6194</v>
      </c>
      <c r="B2728" s="22" t="s">
        <v>6195</v>
      </c>
      <c r="C2728" s="22" t="s">
        <v>162</v>
      </c>
      <c r="D2728" s="22" t="s">
        <v>3906</v>
      </c>
      <c r="E2728" s="22" t="n">
        <v>29.6</v>
      </c>
      <c r="F2728" s="22" t="s">
        <v>164</v>
      </c>
    </row>
    <row r="2729" customFormat="false" ht="15" hidden="false" customHeight="false" outlineLevel="0" collapsed="false">
      <c r="A2729" s="22" t="s">
        <v>6196</v>
      </c>
      <c r="B2729" s="22" t="s">
        <v>6197</v>
      </c>
      <c r="C2729" s="22" t="s">
        <v>162</v>
      </c>
      <c r="D2729" s="22" t="s">
        <v>793</v>
      </c>
      <c r="E2729" s="22" t="n">
        <v>38</v>
      </c>
      <c r="F2729" s="22" t="s">
        <v>164</v>
      </c>
    </row>
    <row r="2730" customFormat="false" ht="15" hidden="false" customHeight="false" outlineLevel="0" collapsed="false">
      <c r="A2730" s="22" t="s">
        <v>6198</v>
      </c>
      <c r="B2730" s="22" t="s">
        <v>6199</v>
      </c>
      <c r="C2730" s="22" t="s">
        <v>162</v>
      </c>
      <c r="D2730" s="22" t="s">
        <v>1499</v>
      </c>
      <c r="E2730" s="22" t="n">
        <v>58.1</v>
      </c>
      <c r="F2730" s="22" t="s">
        <v>164</v>
      </c>
    </row>
    <row r="2731" customFormat="false" ht="15" hidden="false" customHeight="false" outlineLevel="0" collapsed="false">
      <c r="A2731" s="22" t="s">
        <v>6200</v>
      </c>
      <c r="B2731" s="22" t="s">
        <v>6201</v>
      </c>
      <c r="C2731" s="22" t="s">
        <v>207</v>
      </c>
      <c r="D2731" s="22" t="s">
        <v>1991</v>
      </c>
      <c r="E2731" s="22" t="n">
        <v>37.6</v>
      </c>
      <c r="F2731" s="22" t="s">
        <v>164</v>
      </c>
    </row>
    <row r="2732" customFormat="false" ht="15" hidden="false" customHeight="false" outlineLevel="0" collapsed="false">
      <c r="A2732" s="22" t="s">
        <v>6202</v>
      </c>
      <c r="B2732" s="22" t="s">
        <v>6203</v>
      </c>
      <c r="C2732" s="22" t="s">
        <v>162</v>
      </c>
      <c r="D2732" s="22" t="s">
        <v>489</v>
      </c>
      <c r="E2732" s="22" t="n">
        <v>42.5</v>
      </c>
      <c r="F2732" s="22" t="s">
        <v>175</v>
      </c>
    </row>
    <row r="2733" customFormat="false" ht="15" hidden="false" customHeight="false" outlineLevel="0" collapsed="false">
      <c r="A2733" s="22" t="s">
        <v>6204</v>
      </c>
      <c r="B2733" s="22" t="s">
        <v>6205</v>
      </c>
      <c r="C2733" s="22" t="s">
        <v>566</v>
      </c>
      <c r="D2733" s="22" t="s">
        <v>711</v>
      </c>
      <c r="E2733" s="22" t="n">
        <v>41.4</v>
      </c>
      <c r="F2733" s="22" t="s">
        <v>198</v>
      </c>
    </row>
    <row r="2734" customFormat="false" ht="15" hidden="false" customHeight="false" outlineLevel="0" collapsed="false">
      <c r="A2734" s="22" t="s">
        <v>6206</v>
      </c>
      <c r="B2734" s="22" t="s">
        <v>6207</v>
      </c>
      <c r="C2734" s="22" t="s">
        <v>207</v>
      </c>
      <c r="D2734" s="22" t="s">
        <v>463</v>
      </c>
      <c r="E2734" s="22" t="n">
        <v>37</v>
      </c>
      <c r="F2734" s="22" t="s">
        <v>198</v>
      </c>
    </row>
    <row r="2735" customFormat="false" ht="15" hidden="false" customHeight="false" outlineLevel="0" collapsed="false">
      <c r="A2735" s="22" t="s">
        <v>6208</v>
      </c>
      <c r="B2735" s="22" t="s">
        <v>6209</v>
      </c>
      <c r="C2735" s="22" t="s">
        <v>162</v>
      </c>
      <c r="D2735" s="22" t="s">
        <v>2201</v>
      </c>
      <c r="E2735" s="22" t="n">
        <v>51.6</v>
      </c>
      <c r="F2735" s="22" t="s">
        <v>175</v>
      </c>
    </row>
    <row r="2736" customFormat="false" ht="15" hidden="false" customHeight="false" outlineLevel="0" collapsed="false">
      <c r="A2736" s="22" t="s">
        <v>6210</v>
      </c>
      <c r="B2736" s="22" t="s">
        <v>6211</v>
      </c>
      <c r="C2736" s="22" t="s">
        <v>162</v>
      </c>
      <c r="D2736" s="22" t="s">
        <v>457</v>
      </c>
      <c r="E2736" s="22" t="n">
        <v>61.2</v>
      </c>
      <c r="F2736" s="22" t="s">
        <v>499</v>
      </c>
    </row>
    <row r="2737" customFormat="false" ht="15" hidden="false" customHeight="false" outlineLevel="0" collapsed="false">
      <c r="A2737" s="22" t="s">
        <v>6212</v>
      </c>
      <c r="B2737" s="22" t="s">
        <v>6213</v>
      </c>
      <c r="C2737" s="22" t="s">
        <v>162</v>
      </c>
      <c r="D2737" s="22" t="s">
        <v>4653</v>
      </c>
      <c r="E2737" s="22" t="n">
        <v>36.9</v>
      </c>
      <c r="F2737" s="22" t="s">
        <v>198</v>
      </c>
    </row>
    <row r="2738" customFormat="false" ht="15" hidden="false" customHeight="false" outlineLevel="0" collapsed="false">
      <c r="A2738" s="22" t="s">
        <v>6214</v>
      </c>
      <c r="B2738" s="22" t="s">
        <v>6215</v>
      </c>
      <c r="C2738" s="22" t="s">
        <v>162</v>
      </c>
      <c r="D2738" s="22" t="s">
        <v>3041</v>
      </c>
      <c r="E2738" s="22" t="n">
        <v>28.8</v>
      </c>
      <c r="F2738" s="22" t="s">
        <v>198</v>
      </c>
    </row>
    <row r="2739" customFormat="false" ht="15" hidden="false" customHeight="false" outlineLevel="0" collapsed="false">
      <c r="A2739" s="22" t="s">
        <v>6216</v>
      </c>
      <c r="B2739" s="22" t="s">
        <v>6217</v>
      </c>
      <c r="C2739" s="22" t="s">
        <v>207</v>
      </c>
      <c r="D2739" s="22" t="s">
        <v>1977</v>
      </c>
      <c r="E2739" s="22" t="n">
        <v>39.3</v>
      </c>
      <c r="F2739" s="22" t="s">
        <v>164</v>
      </c>
    </row>
    <row r="2740" customFormat="false" ht="15" hidden="false" customHeight="false" outlineLevel="0" collapsed="false">
      <c r="A2740" s="22" t="s">
        <v>6218</v>
      </c>
      <c r="B2740" s="22" t="s">
        <v>6219</v>
      </c>
      <c r="C2740" s="22" t="s">
        <v>162</v>
      </c>
      <c r="D2740" s="22" t="s">
        <v>3657</v>
      </c>
      <c r="E2740" s="22" t="n">
        <v>31.3</v>
      </c>
      <c r="F2740" s="22" t="s">
        <v>175</v>
      </c>
    </row>
    <row r="2741" customFormat="false" ht="15" hidden="false" customHeight="false" outlineLevel="0" collapsed="false">
      <c r="A2741" s="22" t="s">
        <v>6220</v>
      </c>
      <c r="B2741" s="22" t="s">
        <v>6221</v>
      </c>
      <c r="C2741" s="22" t="s">
        <v>162</v>
      </c>
      <c r="D2741" s="22" t="s">
        <v>474</v>
      </c>
      <c r="E2741" s="22" t="n">
        <v>24.1</v>
      </c>
      <c r="F2741" s="22" t="s">
        <v>159</v>
      </c>
    </row>
    <row r="2742" customFormat="false" ht="15" hidden="false" customHeight="false" outlineLevel="0" collapsed="false">
      <c r="A2742" s="22" t="s">
        <v>6222</v>
      </c>
      <c r="B2742" s="22" t="s">
        <v>6223</v>
      </c>
      <c r="C2742" s="22" t="s">
        <v>157</v>
      </c>
      <c r="D2742" s="22" t="s">
        <v>546</v>
      </c>
      <c r="E2742" s="22" t="n">
        <v>51.8</v>
      </c>
      <c r="F2742" s="22" t="s">
        <v>175</v>
      </c>
    </row>
    <row r="2743" customFormat="false" ht="15" hidden="false" customHeight="false" outlineLevel="0" collapsed="false">
      <c r="A2743" s="22" t="s">
        <v>6224</v>
      </c>
      <c r="B2743" s="22" t="s">
        <v>6225</v>
      </c>
      <c r="C2743" s="22" t="s">
        <v>162</v>
      </c>
      <c r="D2743" s="22" t="s">
        <v>1956</v>
      </c>
      <c r="E2743" s="22" t="n">
        <v>52.1</v>
      </c>
      <c r="F2743" s="22" t="s">
        <v>198</v>
      </c>
    </row>
    <row r="2744" customFormat="false" ht="15" hidden="false" customHeight="false" outlineLevel="0" collapsed="false">
      <c r="A2744" s="22" t="s">
        <v>6226</v>
      </c>
      <c r="B2744" s="22" t="s">
        <v>6227</v>
      </c>
      <c r="C2744" s="22" t="s">
        <v>162</v>
      </c>
      <c r="D2744" s="22" t="s">
        <v>3072</v>
      </c>
      <c r="E2744" s="22" t="n">
        <v>47.2</v>
      </c>
      <c r="F2744" s="22" t="s">
        <v>159</v>
      </c>
    </row>
    <row r="2745" customFormat="false" ht="15" hidden="false" customHeight="false" outlineLevel="0" collapsed="false">
      <c r="A2745" s="22" t="s">
        <v>6228</v>
      </c>
      <c r="B2745" s="22" t="s">
        <v>6229</v>
      </c>
      <c r="C2745" s="22" t="s">
        <v>162</v>
      </c>
      <c r="D2745" s="22" t="s">
        <v>6230</v>
      </c>
      <c r="E2745" s="22" t="n">
        <v>43.4</v>
      </c>
      <c r="F2745" s="22" t="s">
        <v>164</v>
      </c>
    </row>
    <row r="2746" customFormat="false" ht="15" hidden="false" customHeight="false" outlineLevel="0" collapsed="false">
      <c r="A2746" s="22" t="s">
        <v>6231</v>
      </c>
      <c r="B2746" s="22" t="s">
        <v>6232</v>
      </c>
      <c r="C2746" s="22" t="s">
        <v>162</v>
      </c>
      <c r="D2746" s="22" t="s">
        <v>1190</v>
      </c>
      <c r="E2746" s="22" t="n">
        <v>23.4</v>
      </c>
      <c r="F2746" s="22" t="s">
        <v>164</v>
      </c>
    </row>
    <row r="2747" customFormat="false" ht="15" hidden="false" customHeight="false" outlineLevel="0" collapsed="false">
      <c r="A2747" s="22" t="s">
        <v>6233</v>
      </c>
      <c r="B2747" s="22" t="s">
        <v>6234</v>
      </c>
      <c r="C2747" s="22" t="s">
        <v>207</v>
      </c>
      <c r="D2747" s="22" t="s">
        <v>451</v>
      </c>
      <c r="E2747" s="22" t="n">
        <v>53.5</v>
      </c>
      <c r="F2747" s="22" t="s">
        <v>159</v>
      </c>
    </row>
    <row r="2748" customFormat="false" ht="15" hidden="false" customHeight="false" outlineLevel="0" collapsed="false">
      <c r="A2748" s="22" t="s">
        <v>6235</v>
      </c>
      <c r="B2748" s="22" t="s">
        <v>6236</v>
      </c>
      <c r="C2748" s="22" t="s">
        <v>157</v>
      </c>
      <c r="D2748" s="22" t="s">
        <v>457</v>
      </c>
      <c r="E2748" s="22" t="n">
        <v>46</v>
      </c>
      <c r="F2748" s="22" t="s">
        <v>171</v>
      </c>
    </row>
    <row r="2749" customFormat="false" ht="15" hidden="false" customHeight="false" outlineLevel="0" collapsed="false">
      <c r="A2749" s="22" t="s">
        <v>6237</v>
      </c>
      <c r="B2749" s="22" t="s">
        <v>5951</v>
      </c>
      <c r="C2749" s="22" t="s">
        <v>162</v>
      </c>
      <c r="D2749" s="22" t="s">
        <v>1545</v>
      </c>
      <c r="E2749" s="22" t="n">
        <v>61.5</v>
      </c>
      <c r="F2749" s="22" t="s">
        <v>175</v>
      </c>
    </row>
    <row r="2750" customFormat="false" ht="15" hidden="false" customHeight="false" outlineLevel="0" collapsed="false">
      <c r="A2750" s="22" t="s">
        <v>6238</v>
      </c>
      <c r="B2750" s="22" t="s">
        <v>6239</v>
      </c>
      <c r="C2750" s="22" t="s">
        <v>162</v>
      </c>
      <c r="D2750" s="22" t="s">
        <v>1637</v>
      </c>
      <c r="E2750" s="22" t="n">
        <v>54.4</v>
      </c>
      <c r="F2750" s="22" t="s">
        <v>175</v>
      </c>
    </row>
    <row r="2751" customFormat="false" ht="15" hidden="false" customHeight="false" outlineLevel="0" collapsed="false">
      <c r="A2751" s="22" t="s">
        <v>6240</v>
      </c>
      <c r="B2751" s="22" t="s">
        <v>2190</v>
      </c>
      <c r="C2751" s="22" t="s">
        <v>162</v>
      </c>
      <c r="D2751" s="22" t="s">
        <v>333</v>
      </c>
      <c r="E2751" s="22" t="n">
        <v>36.5</v>
      </c>
      <c r="F2751" s="22" t="s">
        <v>171</v>
      </c>
    </row>
    <row r="2752" customFormat="false" ht="15" hidden="false" customHeight="false" outlineLevel="0" collapsed="false">
      <c r="A2752" s="22" t="s">
        <v>6241</v>
      </c>
      <c r="B2752" s="22" t="s">
        <v>6242</v>
      </c>
      <c r="C2752" s="22" t="s">
        <v>207</v>
      </c>
      <c r="D2752" s="22" t="s">
        <v>1143</v>
      </c>
      <c r="E2752" s="22" t="n">
        <v>54.8</v>
      </c>
      <c r="F2752" s="22" t="s">
        <v>171</v>
      </c>
    </row>
    <row r="2753" customFormat="false" ht="15" hidden="false" customHeight="false" outlineLevel="0" collapsed="false">
      <c r="A2753" s="22" t="s">
        <v>6243</v>
      </c>
      <c r="B2753" s="22" t="s">
        <v>6244</v>
      </c>
      <c r="C2753" s="22" t="s">
        <v>162</v>
      </c>
      <c r="D2753" s="22" t="s">
        <v>820</v>
      </c>
      <c r="E2753" s="22" t="n">
        <v>34.6</v>
      </c>
      <c r="F2753" s="22" t="s">
        <v>198</v>
      </c>
    </row>
    <row r="2754" customFormat="false" ht="15" hidden="false" customHeight="false" outlineLevel="0" collapsed="false">
      <c r="A2754" s="22" t="s">
        <v>6245</v>
      </c>
      <c r="B2754" s="22" t="s">
        <v>6246</v>
      </c>
      <c r="C2754" s="22" t="s">
        <v>157</v>
      </c>
      <c r="D2754" s="22" t="s">
        <v>938</v>
      </c>
      <c r="E2754" s="22" t="n">
        <v>34.7</v>
      </c>
      <c r="F2754" s="22" t="s">
        <v>198</v>
      </c>
    </row>
    <row r="2755" customFormat="false" ht="15" hidden="false" customHeight="false" outlineLevel="0" collapsed="false">
      <c r="A2755" s="22" t="s">
        <v>6247</v>
      </c>
      <c r="B2755" s="22" t="s">
        <v>6248</v>
      </c>
      <c r="C2755" s="22" t="s">
        <v>162</v>
      </c>
      <c r="D2755" s="22" t="s">
        <v>1383</v>
      </c>
      <c r="E2755" s="22" t="n">
        <v>20.5</v>
      </c>
      <c r="F2755" s="22" t="s">
        <v>175</v>
      </c>
    </row>
    <row r="2756" customFormat="false" ht="15" hidden="false" customHeight="false" outlineLevel="0" collapsed="false">
      <c r="A2756" s="22" t="s">
        <v>6249</v>
      </c>
      <c r="B2756" s="22" t="s">
        <v>6250</v>
      </c>
      <c r="C2756" s="22" t="s">
        <v>162</v>
      </c>
      <c r="D2756" s="22" t="s">
        <v>2981</v>
      </c>
      <c r="E2756" s="22" t="n">
        <v>34.2</v>
      </c>
      <c r="F2756" s="22" t="s">
        <v>159</v>
      </c>
    </row>
    <row r="2757" customFormat="false" ht="15" hidden="false" customHeight="false" outlineLevel="0" collapsed="false">
      <c r="A2757" s="22" t="s">
        <v>6251</v>
      </c>
      <c r="B2757" s="22" t="s">
        <v>6252</v>
      </c>
      <c r="C2757" s="22" t="s">
        <v>207</v>
      </c>
      <c r="D2757" s="22" t="s">
        <v>3906</v>
      </c>
      <c r="E2757" s="22" t="n">
        <v>61.3</v>
      </c>
      <c r="F2757" s="22" t="s">
        <v>215</v>
      </c>
    </row>
    <row r="2758" customFormat="false" ht="15" hidden="false" customHeight="false" outlineLevel="0" collapsed="false">
      <c r="A2758" s="22" t="s">
        <v>6253</v>
      </c>
      <c r="B2758" s="22" t="s">
        <v>6254</v>
      </c>
      <c r="C2758" s="22" t="s">
        <v>162</v>
      </c>
      <c r="D2758" s="22" t="s">
        <v>2744</v>
      </c>
      <c r="E2758" s="22" t="n">
        <v>45.8</v>
      </c>
      <c r="F2758" s="22" t="s">
        <v>198</v>
      </c>
    </row>
    <row r="2759" customFormat="false" ht="15" hidden="false" customHeight="false" outlineLevel="0" collapsed="false">
      <c r="A2759" s="22" t="s">
        <v>6255</v>
      </c>
      <c r="B2759" s="22" t="s">
        <v>6256</v>
      </c>
      <c r="C2759" s="22" t="s">
        <v>207</v>
      </c>
      <c r="D2759" s="22" t="s">
        <v>201</v>
      </c>
      <c r="E2759" s="22" t="n">
        <v>41.1</v>
      </c>
      <c r="F2759" s="22" t="s">
        <v>198</v>
      </c>
    </row>
    <row r="2760" customFormat="false" ht="15" hidden="false" customHeight="false" outlineLevel="0" collapsed="false">
      <c r="A2760" s="22" t="s">
        <v>6257</v>
      </c>
      <c r="B2760" s="22" t="s">
        <v>6258</v>
      </c>
      <c r="C2760" s="22" t="s">
        <v>162</v>
      </c>
      <c r="D2760" s="22" t="s">
        <v>1400</v>
      </c>
      <c r="E2760" s="22" t="n">
        <v>58.7</v>
      </c>
      <c r="F2760" s="22" t="s">
        <v>215</v>
      </c>
    </row>
    <row r="2761" customFormat="false" ht="15" hidden="false" customHeight="false" outlineLevel="0" collapsed="false">
      <c r="A2761" s="22" t="s">
        <v>6259</v>
      </c>
      <c r="B2761" s="22" t="s">
        <v>6260</v>
      </c>
      <c r="C2761" s="22" t="s">
        <v>162</v>
      </c>
      <c r="D2761" s="22" t="s">
        <v>516</v>
      </c>
      <c r="E2761" s="22" t="n">
        <v>57.9</v>
      </c>
      <c r="F2761" s="22" t="s">
        <v>164</v>
      </c>
    </row>
    <row r="2762" customFormat="false" ht="15" hidden="false" customHeight="false" outlineLevel="0" collapsed="false">
      <c r="A2762" s="22" t="s">
        <v>6261</v>
      </c>
      <c r="B2762" s="22" t="s">
        <v>6262</v>
      </c>
      <c r="C2762" s="22" t="s">
        <v>207</v>
      </c>
      <c r="D2762" s="22" t="s">
        <v>3216</v>
      </c>
      <c r="E2762" s="22" t="n">
        <v>29.6</v>
      </c>
      <c r="F2762" s="22" t="s">
        <v>198</v>
      </c>
    </row>
    <row r="2763" customFormat="false" ht="15" hidden="false" customHeight="false" outlineLevel="0" collapsed="false">
      <c r="A2763" s="22" t="s">
        <v>6263</v>
      </c>
      <c r="B2763" s="22" t="s">
        <v>6264</v>
      </c>
      <c r="C2763" s="22" t="s">
        <v>162</v>
      </c>
      <c r="D2763" s="22" t="s">
        <v>1850</v>
      </c>
      <c r="E2763" s="22" t="n">
        <v>37.6</v>
      </c>
      <c r="F2763" s="22" t="s">
        <v>164</v>
      </c>
    </row>
    <row r="2764" customFormat="false" ht="15" hidden="false" customHeight="false" outlineLevel="0" collapsed="false">
      <c r="A2764" s="22" t="s">
        <v>6265</v>
      </c>
      <c r="B2764" s="22" t="s">
        <v>6266</v>
      </c>
      <c r="C2764" s="22" t="s">
        <v>162</v>
      </c>
      <c r="D2764" s="22" t="s">
        <v>1138</v>
      </c>
      <c r="E2764" s="22" t="n">
        <v>23.3</v>
      </c>
      <c r="F2764" s="22" t="s">
        <v>175</v>
      </c>
    </row>
    <row r="2765" customFormat="false" ht="15" hidden="false" customHeight="false" outlineLevel="0" collapsed="false">
      <c r="A2765" s="22" t="s">
        <v>6267</v>
      </c>
      <c r="B2765" s="22" t="s">
        <v>6268</v>
      </c>
      <c r="C2765" s="22" t="s">
        <v>162</v>
      </c>
      <c r="D2765" s="22" t="s">
        <v>546</v>
      </c>
      <c r="E2765" s="22" t="n">
        <v>40.6</v>
      </c>
      <c r="F2765" s="22" t="s">
        <v>159</v>
      </c>
    </row>
    <row r="2766" customFormat="false" ht="15" hidden="false" customHeight="false" outlineLevel="0" collapsed="false">
      <c r="A2766" s="22" t="s">
        <v>6269</v>
      </c>
      <c r="B2766" s="22" t="s">
        <v>6270</v>
      </c>
      <c r="C2766" s="22" t="s">
        <v>162</v>
      </c>
      <c r="D2766" s="22" t="s">
        <v>1198</v>
      </c>
      <c r="E2766" s="22" t="n">
        <v>35.9</v>
      </c>
      <c r="F2766" s="22" t="s">
        <v>164</v>
      </c>
    </row>
    <row r="2767" customFormat="false" ht="15" hidden="false" customHeight="false" outlineLevel="0" collapsed="false">
      <c r="A2767" s="22" t="s">
        <v>6271</v>
      </c>
      <c r="B2767" s="22" t="s">
        <v>6272</v>
      </c>
      <c r="C2767" s="22" t="s">
        <v>162</v>
      </c>
      <c r="D2767" s="22" t="s">
        <v>299</v>
      </c>
      <c r="E2767" s="22" t="n">
        <v>53.8</v>
      </c>
      <c r="F2767" s="22" t="s">
        <v>499</v>
      </c>
    </row>
    <row r="2768" customFormat="false" ht="15" hidden="false" customHeight="false" outlineLevel="0" collapsed="false">
      <c r="A2768" s="22" t="s">
        <v>6273</v>
      </c>
      <c r="B2768" s="22" t="s">
        <v>6274</v>
      </c>
      <c r="C2768" s="22" t="s">
        <v>162</v>
      </c>
      <c r="D2768" s="22" t="s">
        <v>661</v>
      </c>
      <c r="E2768" s="22" t="n">
        <v>24.7</v>
      </c>
      <c r="F2768" s="22" t="s">
        <v>175</v>
      </c>
    </row>
    <row r="2769" customFormat="false" ht="15" hidden="false" customHeight="false" outlineLevel="0" collapsed="false">
      <c r="A2769" s="22" t="s">
        <v>6275</v>
      </c>
      <c r="B2769" s="22" t="s">
        <v>6276</v>
      </c>
      <c r="C2769" s="22" t="s">
        <v>162</v>
      </c>
      <c r="D2769" s="22" t="s">
        <v>1713</v>
      </c>
      <c r="E2769" s="22" t="n">
        <v>47.6</v>
      </c>
      <c r="F2769" s="22" t="s">
        <v>159</v>
      </c>
    </row>
    <row r="2770" customFormat="false" ht="15" hidden="false" customHeight="false" outlineLevel="0" collapsed="false">
      <c r="A2770" s="22" t="s">
        <v>6277</v>
      </c>
      <c r="B2770" s="22" t="s">
        <v>6278</v>
      </c>
      <c r="C2770" s="22" t="s">
        <v>162</v>
      </c>
      <c r="D2770" s="22" t="s">
        <v>248</v>
      </c>
      <c r="E2770" s="22" t="n">
        <v>55.2</v>
      </c>
      <c r="F2770" s="22" t="s">
        <v>198</v>
      </c>
    </row>
    <row r="2771" customFormat="false" ht="15" hidden="false" customHeight="false" outlineLevel="0" collapsed="false">
      <c r="A2771" s="22" t="s">
        <v>6279</v>
      </c>
      <c r="B2771" s="22" t="s">
        <v>6280</v>
      </c>
      <c r="C2771" s="22" t="s">
        <v>162</v>
      </c>
      <c r="D2771" s="22" t="s">
        <v>616</v>
      </c>
      <c r="E2771" s="22" t="n">
        <v>41.3</v>
      </c>
      <c r="F2771" s="22" t="s">
        <v>171</v>
      </c>
    </row>
    <row r="2772" customFormat="false" ht="15" hidden="false" customHeight="false" outlineLevel="0" collapsed="false">
      <c r="A2772" s="22" t="s">
        <v>6281</v>
      </c>
      <c r="B2772" s="22" t="s">
        <v>6282</v>
      </c>
      <c r="C2772" s="22" t="s">
        <v>162</v>
      </c>
      <c r="D2772" s="22" t="s">
        <v>1727</v>
      </c>
      <c r="E2772" s="22" t="n">
        <v>61.6</v>
      </c>
      <c r="F2772" s="22" t="s">
        <v>164</v>
      </c>
    </row>
    <row r="2773" customFormat="false" ht="15" hidden="false" customHeight="false" outlineLevel="0" collapsed="false">
      <c r="A2773" s="22" t="s">
        <v>6283</v>
      </c>
      <c r="B2773" s="22" t="s">
        <v>6284</v>
      </c>
      <c r="C2773" s="22" t="s">
        <v>207</v>
      </c>
      <c r="D2773" s="22" t="s">
        <v>428</v>
      </c>
      <c r="E2773" s="22" t="n">
        <v>40.1</v>
      </c>
      <c r="F2773" s="22" t="s">
        <v>175</v>
      </c>
    </row>
    <row r="2774" customFormat="false" ht="15" hidden="false" customHeight="false" outlineLevel="0" collapsed="false">
      <c r="A2774" s="22" t="s">
        <v>6285</v>
      </c>
      <c r="B2774" s="22" t="s">
        <v>6286</v>
      </c>
      <c r="C2774" s="22" t="s">
        <v>162</v>
      </c>
      <c r="D2774" s="22" t="s">
        <v>1245</v>
      </c>
      <c r="E2774" s="22" t="n">
        <v>34.3</v>
      </c>
      <c r="F2774" s="22" t="s">
        <v>175</v>
      </c>
    </row>
    <row r="2775" customFormat="false" ht="15" hidden="false" customHeight="false" outlineLevel="0" collapsed="false">
      <c r="A2775" s="22" t="s">
        <v>6287</v>
      </c>
      <c r="B2775" s="22" t="s">
        <v>6288</v>
      </c>
      <c r="C2775" s="22" t="s">
        <v>162</v>
      </c>
      <c r="D2775" s="22" t="s">
        <v>1945</v>
      </c>
      <c r="E2775" s="22" t="n">
        <v>18.1</v>
      </c>
      <c r="F2775" s="22" t="s">
        <v>159</v>
      </c>
    </row>
    <row r="2776" customFormat="false" ht="15" hidden="false" customHeight="false" outlineLevel="0" collapsed="false">
      <c r="A2776" s="22" t="s">
        <v>6289</v>
      </c>
      <c r="B2776" s="22" t="s">
        <v>6290</v>
      </c>
      <c r="C2776" s="22" t="s">
        <v>157</v>
      </c>
      <c r="D2776" s="22" t="s">
        <v>2258</v>
      </c>
      <c r="E2776" s="22" t="n">
        <v>53.6</v>
      </c>
      <c r="F2776" s="22" t="s">
        <v>159</v>
      </c>
    </row>
    <row r="2777" customFormat="false" ht="15" hidden="false" customHeight="false" outlineLevel="0" collapsed="false">
      <c r="A2777" s="22" t="s">
        <v>6291</v>
      </c>
      <c r="B2777" s="22" t="s">
        <v>6292</v>
      </c>
      <c r="C2777" s="22" t="s">
        <v>162</v>
      </c>
      <c r="D2777" s="22" t="s">
        <v>852</v>
      </c>
      <c r="E2777" s="22" t="n">
        <v>19.8</v>
      </c>
      <c r="F2777" s="22" t="s">
        <v>198</v>
      </c>
    </row>
    <row r="2778" customFormat="false" ht="15" hidden="false" customHeight="false" outlineLevel="0" collapsed="false">
      <c r="A2778" s="22" t="s">
        <v>6293</v>
      </c>
      <c r="B2778" s="22" t="s">
        <v>6294</v>
      </c>
      <c r="C2778" s="22" t="s">
        <v>162</v>
      </c>
      <c r="D2778" s="22" t="s">
        <v>307</v>
      </c>
      <c r="E2778" s="22" t="n">
        <v>44.4</v>
      </c>
      <c r="F2778" s="22" t="s">
        <v>175</v>
      </c>
    </row>
    <row r="2779" customFormat="false" ht="15" hidden="false" customHeight="false" outlineLevel="0" collapsed="false">
      <c r="A2779" s="22" t="s">
        <v>6295</v>
      </c>
      <c r="B2779" s="22" t="s">
        <v>6296</v>
      </c>
      <c r="C2779" s="22" t="s">
        <v>157</v>
      </c>
      <c r="D2779" s="22" t="s">
        <v>1383</v>
      </c>
      <c r="E2779" s="22" t="n">
        <v>59.4</v>
      </c>
      <c r="F2779" s="22" t="s">
        <v>175</v>
      </c>
    </row>
    <row r="2780" customFormat="false" ht="15" hidden="false" customHeight="false" outlineLevel="0" collapsed="false">
      <c r="A2780" s="22" t="s">
        <v>6297</v>
      </c>
      <c r="B2780" s="22" t="s">
        <v>6298</v>
      </c>
      <c r="C2780" s="22" t="s">
        <v>162</v>
      </c>
      <c r="D2780" s="22" t="s">
        <v>1922</v>
      </c>
      <c r="E2780" s="22" t="n">
        <v>36.4</v>
      </c>
      <c r="F2780" s="22" t="s">
        <v>164</v>
      </c>
    </row>
    <row r="2781" customFormat="false" ht="15" hidden="false" customHeight="false" outlineLevel="0" collapsed="false">
      <c r="A2781" s="22" t="s">
        <v>6299</v>
      </c>
      <c r="B2781" s="22" t="s">
        <v>6300</v>
      </c>
      <c r="C2781" s="22" t="s">
        <v>162</v>
      </c>
      <c r="D2781" s="22" t="s">
        <v>1339</v>
      </c>
      <c r="E2781" s="22" t="n">
        <v>53.3</v>
      </c>
      <c r="F2781" s="22" t="s">
        <v>171</v>
      </c>
    </row>
    <row r="2782" customFormat="false" ht="15" hidden="false" customHeight="false" outlineLevel="0" collapsed="false">
      <c r="A2782" s="22" t="s">
        <v>6301</v>
      </c>
      <c r="B2782" s="22" t="s">
        <v>6302</v>
      </c>
      <c r="C2782" s="22" t="s">
        <v>162</v>
      </c>
      <c r="D2782" s="22" t="s">
        <v>1235</v>
      </c>
      <c r="E2782" s="22" t="n">
        <v>20.3</v>
      </c>
      <c r="F2782" s="22" t="s">
        <v>164</v>
      </c>
    </row>
    <row r="2783" customFormat="false" ht="15" hidden="false" customHeight="false" outlineLevel="0" collapsed="false">
      <c r="A2783" s="22" t="s">
        <v>6303</v>
      </c>
      <c r="B2783" s="22" t="s">
        <v>6304</v>
      </c>
      <c r="C2783" s="22" t="s">
        <v>162</v>
      </c>
      <c r="D2783" s="22" t="s">
        <v>793</v>
      </c>
      <c r="E2783" s="22" t="n">
        <v>33.5</v>
      </c>
      <c r="F2783" s="22" t="s">
        <v>175</v>
      </c>
    </row>
    <row r="2784" customFormat="false" ht="15" hidden="false" customHeight="false" outlineLevel="0" collapsed="false">
      <c r="A2784" s="22" t="s">
        <v>6305</v>
      </c>
      <c r="B2784" s="22" t="s">
        <v>6306</v>
      </c>
      <c r="C2784" s="22" t="s">
        <v>162</v>
      </c>
      <c r="D2784" s="22" t="s">
        <v>986</v>
      </c>
      <c r="E2784" s="22" t="n">
        <v>19.1</v>
      </c>
      <c r="F2784" s="22" t="s">
        <v>164</v>
      </c>
    </row>
    <row r="2785" customFormat="false" ht="15" hidden="false" customHeight="false" outlineLevel="0" collapsed="false">
      <c r="A2785" s="22" t="s">
        <v>6307</v>
      </c>
      <c r="B2785" s="22" t="s">
        <v>6308</v>
      </c>
      <c r="C2785" s="22" t="s">
        <v>162</v>
      </c>
      <c r="D2785" s="22" t="s">
        <v>315</v>
      </c>
      <c r="E2785" s="22" t="n">
        <v>55.5</v>
      </c>
      <c r="F2785" s="22" t="s">
        <v>164</v>
      </c>
    </row>
    <row r="2786" customFormat="false" ht="15" hidden="false" customHeight="false" outlineLevel="0" collapsed="false">
      <c r="A2786" s="22" t="s">
        <v>6309</v>
      </c>
      <c r="B2786" s="22" t="s">
        <v>6310</v>
      </c>
      <c r="C2786" s="22" t="s">
        <v>162</v>
      </c>
      <c r="D2786" s="22" t="s">
        <v>1262</v>
      </c>
      <c r="E2786" s="22" t="n">
        <v>39.3</v>
      </c>
      <c r="F2786" s="22" t="s">
        <v>198</v>
      </c>
    </row>
    <row r="2787" customFormat="false" ht="15" hidden="false" customHeight="false" outlineLevel="0" collapsed="false">
      <c r="A2787" s="22" t="s">
        <v>6311</v>
      </c>
      <c r="B2787" s="22" t="s">
        <v>6312</v>
      </c>
      <c r="C2787" s="22" t="s">
        <v>162</v>
      </c>
      <c r="D2787" s="22" t="s">
        <v>1474</v>
      </c>
      <c r="E2787" s="22" t="n">
        <v>22.2</v>
      </c>
      <c r="F2787" s="22" t="s">
        <v>198</v>
      </c>
    </row>
    <row r="2788" customFormat="false" ht="15" hidden="false" customHeight="false" outlineLevel="0" collapsed="false">
      <c r="A2788" s="22" t="s">
        <v>6313</v>
      </c>
      <c r="B2788" s="22" t="s">
        <v>6314</v>
      </c>
      <c r="C2788" s="22" t="s">
        <v>162</v>
      </c>
      <c r="D2788" s="22" t="s">
        <v>678</v>
      </c>
      <c r="E2788" s="22" t="n">
        <v>38.1</v>
      </c>
      <c r="F2788" s="22" t="s">
        <v>164</v>
      </c>
    </row>
    <row r="2789" customFormat="false" ht="15" hidden="false" customHeight="false" outlineLevel="0" collapsed="false">
      <c r="A2789" s="22" t="s">
        <v>6315</v>
      </c>
      <c r="B2789" s="22" t="s">
        <v>6316</v>
      </c>
      <c r="C2789" s="22" t="s">
        <v>162</v>
      </c>
      <c r="D2789" s="22" t="s">
        <v>1288</v>
      </c>
      <c r="E2789" s="22" t="n">
        <v>27.2</v>
      </c>
      <c r="F2789" s="22" t="s">
        <v>159</v>
      </c>
    </row>
    <row r="2790" customFormat="false" ht="15" hidden="false" customHeight="false" outlineLevel="0" collapsed="false">
      <c r="A2790" s="22" t="s">
        <v>6317</v>
      </c>
      <c r="B2790" s="22" t="s">
        <v>6318</v>
      </c>
      <c r="C2790" s="22" t="s">
        <v>162</v>
      </c>
      <c r="D2790" s="22" t="s">
        <v>904</v>
      </c>
      <c r="E2790" s="22" t="n">
        <v>41.8</v>
      </c>
      <c r="F2790" s="22" t="s">
        <v>164</v>
      </c>
    </row>
    <row r="2791" customFormat="false" ht="15" hidden="false" customHeight="false" outlineLevel="0" collapsed="false">
      <c r="A2791" s="22" t="s">
        <v>6319</v>
      </c>
      <c r="B2791" s="22" t="s">
        <v>6320</v>
      </c>
      <c r="C2791" s="22" t="s">
        <v>162</v>
      </c>
      <c r="D2791" s="22" t="s">
        <v>4264</v>
      </c>
      <c r="E2791" s="22" t="n">
        <v>51.9</v>
      </c>
      <c r="F2791" s="22" t="s">
        <v>164</v>
      </c>
    </row>
    <row r="2792" customFormat="false" ht="15" hidden="false" customHeight="false" outlineLevel="0" collapsed="false">
      <c r="A2792" s="22" t="s">
        <v>6321</v>
      </c>
      <c r="B2792" s="22" t="s">
        <v>6322</v>
      </c>
      <c r="C2792" s="22" t="s">
        <v>162</v>
      </c>
      <c r="D2792" s="22" t="s">
        <v>260</v>
      </c>
      <c r="E2792" s="22" t="n">
        <v>24.3</v>
      </c>
      <c r="F2792" s="22" t="s">
        <v>175</v>
      </c>
    </row>
    <row r="2793" customFormat="false" ht="15" hidden="false" customHeight="false" outlineLevel="0" collapsed="false">
      <c r="A2793" s="22" t="s">
        <v>6323</v>
      </c>
      <c r="B2793" s="22" t="s">
        <v>6324</v>
      </c>
      <c r="C2793" s="22" t="s">
        <v>162</v>
      </c>
      <c r="D2793" s="22" t="s">
        <v>1265</v>
      </c>
      <c r="E2793" s="22" t="n">
        <v>54.9</v>
      </c>
      <c r="F2793" s="22" t="s">
        <v>164</v>
      </c>
    </row>
    <row r="2794" customFormat="false" ht="15" hidden="false" customHeight="false" outlineLevel="0" collapsed="false">
      <c r="A2794" s="22" t="s">
        <v>6325</v>
      </c>
      <c r="B2794" s="22" t="s">
        <v>6326</v>
      </c>
      <c r="C2794" s="22" t="s">
        <v>207</v>
      </c>
      <c r="D2794" s="22" t="s">
        <v>1496</v>
      </c>
      <c r="E2794" s="22" t="n">
        <v>22.4</v>
      </c>
      <c r="F2794" s="22" t="s">
        <v>175</v>
      </c>
    </row>
    <row r="2795" customFormat="false" ht="15" hidden="false" customHeight="false" outlineLevel="0" collapsed="false">
      <c r="A2795" s="22" t="s">
        <v>6327</v>
      </c>
      <c r="B2795" s="22" t="s">
        <v>6328</v>
      </c>
      <c r="C2795" s="22" t="s">
        <v>162</v>
      </c>
      <c r="D2795" s="22" t="s">
        <v>1172</v>
      </c>
      <c r="E2795" s="22" t="n">
        <v>27.4</v>
      </c>
      <c r="F2795" s="22" t="s">
        <v>198</v>
      </c>
    </row>
    <row r="2796" customFormat="false" ht="15" hidden="false" customHeight="false" outlineLevel="0" collapsed="false">
      <c r="A2796" s="22" t="s">
        <v>6329</v>
      </c>
      <c r="B2796" s="22" t="s">
        <v>6330</v>
      </c>
      <c r="C2796" s="22" t="s">
        <v>162</v>
      </c>
      <c r="D2796" s="22" t="s">
        <v>2595</v>
      </c>
      <c r="E2796" s="22" t="n">
        <v>27</v>
      </c>
      <c r="F2796" s="22" t="s">
        <v>175</v>
      </c>
    </row>
    <row r="2797" customFormat="false" ht="15" hidden="false" customHeight="false" outlineLevel="0" collapsed="false">
      <c r="A2797" s="22" t="s">
        <v>6331</v>
      </c>
      <c r="B2797" s="22" t="s">
        <v>6332</v>
      </c>
      <c r="C2797" s="22" t="s">
        <v>162</v>
      </c>
      <c r="D2797" s="22" t="s">
        <v>1646</v>
      </c>
      <c r="E2797" s="22" t="n">
        <v>53.6</v>
      </c>
      <c r="F2797" s="22" t="s">
        <v>171</v>
      </c>
    </row>
    <row r="2798" customFormat="false" ht="15" hidden="false" customHeight="false" outlineLevel="0" collapsed="false">
      <c r="A2798" s="22" t="s">
        <v>6333</v>
      </c>
      <c r="B2798" s="22" t="s">
        <v>6334</v>
      </c>
      <c r="C2798" s="22" t="s">
        <v>207</v>
      </c>
      <c r="D2798" s="22" t="s">
        <v>358</v>
      </c>
      <c r="E2798" s="22" t="n">
        <v>60.1</v>
      </c>
      <c r="F2798" s="22" t="s">
        <v>175</v>
      </c>
    </row>
    <row r="2799" customFormat="false" ht="15" hidden="false" customHeight="false" outlineLevel="0" collapsed="false">
      <c r="A2799" s="22" t="s">
        <v>6335</v>
      </c>
      <c r="B2799" s="22" t="s">
        <v>6336</v>
      </c>
      <c r="C2799" s="22" t="s">
        <v>162</v>
      </c>
      <c r="D2799" s="22" t="s">
        <v>451</v>
      </c>
      <c r="E2799" s="22" t="n">
        <v>46.1</v>
      </c>
      <c r="F2799" s="22" t="s">
        <v>171</v>
      </c>
    </row>
    <row r="2800" customFormat="false" ht="15" hidden="false" customHeight="false" outlineLevel="0" collapsed="false">
      <c r="A2800" s="22" t="s">
        <v>6337</v>
      </c>
      <c r="B2800" s="22" t="s">
        <v>6338</v>
      </c>
      <c r="C2800" s="22" t="s">
        <v>162</v>
      </c>
      <c r="D2800" s="22" t="s">
        <v>1690</v>
      </c>
      <c r="E2800" s="22" t="n">
        <v>40.9</v>
      </c>
      <c r="F2800" s="22" t="s">
        <v>175</v>
      </c>
    </row>
    <row r="2801" customFormat="false" ht="15" hidden="false" customHeight="false" outlineLevel="0" collapsed="false">
      <c r="A2801" s="22" t="s">
        <v>6339</v>
      </c>
      <c r="B2801" s="22" t="s">
        <v>6340</v>
      </c>
      <c r="C2801" s="22" t="s">
        <v>162</v>
      </c>
      <c r="D2801" s="22" t="s">
        <v>1764</v>
      </c>
      <c r="E2801" s="22" t="n">
        <v>48.3</v>
      </c>
      <c r="F2801" s="22" t="s">
        <v>164</v>
      </c>
    </row>
    <row r="2802" customFormat="false" ht="15" hidden="false" customHeight="false" outlineLevel="0" collapsed="false">
      <c r="A2802" s="22" t="s">
        <v>6341</v>
      </c>
      <c r="B2802" s="22" t="s">
        <v>2614</v>
      </c>
      <c r="C2802" s="22" t="s">
        <v>162</v>
      </c>
      <c r="D2802" s="22" t="s">
        <v>257</v>
      </c>
      <c r="E2802" s="22" t="n">
        <v>20.9</v>
      </c>
      <c r="F2802" s="22" t="s">
        <v>175</v>
      </c>
    </row>
    <row r="2803" customFormat="false" ht="15" hidden="false" customHeight="false" outlineLevel="0" collapsed="false">
      <c r="A2803" s="22" t="s">
        <v>6342</v>
      </c>
      <c r="B2803" s="22" t="s">
        <v>6343</v>
      </c>
      <c r="C2803" s="22" t="s">
        <v>566</v>
      </c>
      <c r="D2803" s="22" t="s">
        <v>602</v>
      </c>
      <c r="E2803" s="22" t="n">
        <v>52.6</v>
      </c>
      <c r="F2803" s="22" t="s">
        <v>175</v>
      </c>
    </row>
    <row r="2804" customFormat="false" ht="15" hidden="false" customHeight="false" outlineLevel="0" collapsed="false">
      <c r="A2804" s="22" t="s">
        <v>6344</v>
      </c>
      <c r="B2804" s="22" t="s">
        <v>6345</v>
      </c>
      <c r="C2804" s="22" t="s">
        <v>162</v>
      </c>
      <c r="D2804" s="22" t="s">
        <v>1603</v>
      </c>
      <c r="E2804" s="22" t="n">
        <v>43.3</v>
      </c>
      <c r="F2804" s="22" t="s">
        <v>175</v>
      </c>
    </row>
    <row r="2805" customFormat="false" ht="15" hidden="false" customHeight="false" outlineLevel="0" collapsed="false">
      <c r="A2805" s="22" t="s">
        <v>6346</v>
      </c>
      <c r="B2805" s="22" t="s">
        <v>6347</v>
      </c>
      <c r="C2805" s="22" t="s">
        <v>162</v>
      </c>
      <c r="D2805" s="22" t="s">
        <v>1187</v>
      </c>
      <c r="E2805" s="22" t="n">
        <v>20.4</v>
      </c>
      <c r="F2805" s="22" t="s">
        <v>171</v>
      </c>
    </row>
    <row r="2806" customFormat="false" ht="15" hidden="false" customHeight="false" outlineLevel="0" collapsed="false">
      <c r="A2806" s="22" t="s">
        <v>6348</v>
      </c>
      <c r="B2806" s="22" t="s">
        <v>6349</v>
      </c>
      <c r="C2806" s="22" t="s">
        <v>162</v>
      </c>
      <c r="D2806" s="22" t="s">
        <v>899</v>
      </c>
      <c r="E2806" s="22" t="n">
        <v>56.5</v>
      </c>
      <c r="F2806" s="22" t="s">
        <v>198</v>
      </c>
    </row>
    <row r="2807" customFormat="false" ht="15" hidden="false" customHeight="false" outlineLevel="0" collapsed="false">
      <c r="A2807" s="22" t="s">
        <v>6350</v>
      </c>
      <c r="B2807" s="22" t="s">
        <v>6351</v>
      </c>
      <c r="C2807" s="22" t="s">
        <v>162</v>
      </c>
      <c r="D2807" s="22" t="s">
        <v>857</v>
      </c>
      <c r="E2807" s="22" t="n">
        <v>25.5</v>
      </c>
      <c r="F2807" s="22" t="s">
        <v>188</v>
      </c>
    </row>
    <row r="2808" customFormat="false" ht="15" hidden="false" customHeight="false" outlineLevel="0" collapsed="false">
      <c r="A2808" s="22" t="s">
        <v>6352</v>
      </c>
      <c r="B2808" s="22" t="s">
        <v>6353</v>
      </c>
      <c r="C2808" s="22" t="s">
        <v>162</v>
      </c>
      <c r="D2808" s="22" t="s">
        <v>2015</v>
      </c>
      <c r="E2808" s="22" t="n">
        <v>26.6</v>
      </c>
      <c r="F2808" s="22" t="s">
        <v>171</v>
      </c>
    </row>
    <row r="2809" customFormat="false" ht="15" hidden="false" customHeight="false" outlineLevel="0" collapsed="false">
      <c r="A2809" s="22" t="s">
        <v>6354</v>
      </c>
      <c r="B2809" s="22" t="s">
        <v>2000</v>
      </c>
      <c r="C2809" s="22" t="s">
        <v>162</v>
      </c>
      <c r="D2809" s="22" t="s">
        <v>1074</v>
      </c>
      <c r="E2809" s="22" t="n">
        <v>33.8</v>
      </c>
      <c r="F2809" s="22" t="s">
        <v>164</v>
      </c>
    </row>
    <row r="2810" customFormat="false" ht="15" hidden="false" customHeight="false" outlineLevel="0" collapsed="false">
      <c r="A2810" s="22" t="s">
        <v>6355</v>
      </c>
      <c r="B2810" s="22" t="s">
        <v>6356</v>
      </c>
      <c r="C2810" s="22" t="s">
        <v>162</v>
      </c>
      <c r="D2810" s="22" t="s">
        <v>269</v>
      </c>
      <c r="E2810" s="22" t="n">
        <v>30.1</v>
      </c>
      <c r="F2810" s="22" t="s">
        <v>198</v>
      </c>
    </row>
    <row r="2811" customFormat="false" ht="15" hidden="false" customHeight="false" outlineLevel="0" collapsed="false">
      <c r="A2811" s="22" t="s">
        <v>6357</v>
      </c>
      <c r="B2811" s="22" t="s">
        <v>6358</v>
      </c>
      <c r="C2811" s="22" t="s">
        <v>157</v>
      </c>
      <c r="D2811" s="22" t="s">
        <v>3590</v>
      </c>
      <c r="E2811" s="22" t="n">
        <v>60</v>
      </c>
      <c r="F2811" s="22" t="s">
        <v>175</v>
      </c>
    </row>
    <row r="2812" customFormat="false" ht="15" hidden="false" customHeight="false" outlineLevel="0" collapsed="false">
      <c r="A2812" s="22" t="s">
        <v>6359</v>
      </c>
      <c r="B2812" s="22" t="s">
        <v>6360</v>
      </c>
      <c r="C2812" s="22" t="s">
        <v>162</v>
      </c>
      <c r="D2812" s="22" t="s">
        <v>723</v>
      </c>
      <c r="E2812" s="22" t="n">
        <v>49.7</v>
      </c>
      <c r="F2812" s="22" t="s">
        <v>198</v>
      </c>
    </row>
    <row r="2813" customFormat="false" ht="15" hidden="false" customHeight="false" outlineLevel="0" collapsed="false">
      <c r="A2813" s="22" t="s">
        <v>6361</v>
      </c>
      <c r="B2813" s="22" t="s">
        <v>6362</v>
      </c>
      <c r="C2813" s="22" t="s">
        <v>162</v>
      </c>
      <c r="D2813" s="22" t="s">
        <v>2823</v>
      </c>
      <c r="E2813" s="22" t="n">
        <v>57.7</v>
      </c>
      <c r="F2813" s="22" t="s">
        <v>175</v>
      </c>
    </row>
    <row r="2814" customFormat="false" ht="15" hidden="false" customHeight="false" outlineLevel="0" collapsed="false">
      <c r="A2814" s="22" t="s">
        <v>6363</v>
      </c>
      <c r="B2814" s="22" t="s">
        <v>6364</v>
      </c>
      <c r="C2814" s="22" t="s">
        <v>162</v>
      </c>
      <c r="D2814" s="22" t="s">
        <v>436</v>
      </c>
      <c r="E2814" s="22" t="n">
        <v>22.6</v>
      </c>
      <c r="F2814" s="22" t="s">
        <v>175</v>
      </c>
    </row>
    <row r="2815" customFormat="false" ht="15" hidden="false" customHeight="false" outlineLevel="0" collapsed="false">
      <c r="A2815" s="22" t="s">
        <v>6365</v>
      </c>
      <c r="B2815" s="22" t="s">
        <v>6366</v>
      </c>
      <c r="C2815" s="22" t="s">
        <v>162</v>
      </c>
      <c r="D2815" s="22" t="s">
        <v>736</v>
      </c>
      <c r="E2815" s="22" t="n">
        <v>43.9</v>
      </c>
      <c r="F2815" s="22" t="s">
        <v>175</v>
      </c>
    </row>
    <row r="2816" customFormat="false" ht="15" hidden="false" customHeight="false" outlineLevel="0" collapsed="false">
      <c r="A2816" s="22" t="s">
        <v>6367</v>
      </c>
      <c r="B2816" s="22" t="s">
        <v>2494</v>
      </c>
      <c r="C2816" s="22" t="s">
        <v>162</v>
      </c>
      <c r="D2816" s="22" t="s">
        <v>2165</v>
      </c>
      <c r="E2816" s="22" t="n">
        <v>19.2</v>
      </c>
      <c r="F2816" s="22" t="s">
        <v>175</v>
      </c>
    </row>
    <row r="2817" customFormat="false" ht="15" hidden="false" customHeight="false" outlineLevel="0" collapsed="false">
      <c r="A2817" s="22" t="s">
        <v>6368</v>
      </c>
      <c r="B2817" s="22" t="s">
        <v>6369</v>
      </c>
      <c r="C2817" s="22" t="s">
        <v>162</v>
      </c>
      <c r="D2817" s="22" t="s">
        <v>1204</v>
      </c>
      <c r="E2817" s="22" t="n">
        <v>25.7</v>
      </c>
      <c r="F2817" s="22" t="s">
        <v>164</v>
      </c>
    </row>
    <row r="2818" customFormat="false" ht="15" hidden="false" customHeight="false" outlineLevel="0" collapsed="false">
      <c r="A2818" s="22" t="s">
        <v>6370</v>
      </c>
      <c r="B2818" s="22" t="s">
        <v>6371</v>
      </c>
      <c r="C2818" s="22" t="s">
        <v>157</v>
      </c>
      <c r="D2818" s="22" t="s">
        <v>1783</v>
      </c>
      <c r="E2818" s="22" t="n">
        <v>38.5</v>
      </c>
      <c r="F2818" s="22" t="s">
        <v>175</v>
      </c>
    </row>
    <row r="2819" customFormat="false" ht="15" hidden="false" customHeight="false" outlineLevel="0" collapsed="false">
      <c r="A2819" s="22" t="s">
        <v>6372</v>
      </c>
      <c r="B2819" s="22" t="s">
        <v>6373</v>
      </c>
      <c r="C2819" s="22" t="s">
        <v>162</v>
      </c>
      <c r="D2819" s="22" t="s">
        <v>312</v>
      </c>
      <c r="E2819" s="22" t="n">
        <v>37.5</v>
      </c>
      <c r="F2819" s="22" t="s">
        <v>215</v>
      </c>
    </row>
    <row r="2820" customFormat="false" ht="15" hidden="false" customHeight="false" outlineLevel="0" collapsed="false">
      <c r="A2820" s="22" t="s">
        <v>6374</v>
      </c>
      <c r="B2820" s="22" t="s">
        <v>6375</v>
      </c>
      <c r="C2820" s="22" t="s">
        <v>162</v>
      </c>
      <c r="D2820" s="22" t="s">
        <v>3038</v>
      </c>
      <c r="E2820" s="22" t="n">
        <v>34.2</v>
      </c>
      <c r="F2820" s="22" t="s">
        <v>164</v>
      </c>
    </row>
    <row r="2821" customFormat="false" ht="15" hidden="false" customHeight="false" outlineLevel="0" collapsed="false">
      <c r="A2821" s="22" t="s">
        <v>6376</v>
      </c>
      <c r="B2821" s="22" t="s">
        <v>6377</v>
      </c>
      <c r="C2821" s="22" t="s">
        <v>162</v>
      </c>
      <c r="D2821" s="22" t="s">
        <v>2583</v>
      </c>
      <c r="E2821" s="22" t="n">
        <v>47.1</v>
      </c>
      <c r="F2821" s="22" t="s">
        <v>215</v>
      </c>
    </row>
    <row r="2822" customFormat="false" ht="15" hidden="false" customHeight="false" outlineLevel="0" collapsed="false">
      <c r="A2822" s="22" t="s">
        <v>6378</v>
      </c>
      <c r="B2822" s="22" t="s">
        <v>6379</v>
      </c>
      <c r="C2822" s="22" t="s">
        <v>162</v>
      </c>
      <c r="D2822" s="22" t="s">
        <v>290</v>
      </c>
      <c r="E2822" s="22" t="n">
        <v>59.5</v>
      </c>
      <c r="F2822" s="22" t="s">
        <v>164</v>
      </c>
    </row>
    <row r="2823" customFormat="false" ht="15" hidden="false" customHeight="false" outlineLevel="0" collapsed="false">
      <c r="A2823" s="22" t="s">
        <v>6380</v>
      </c>
      <c r="B2823" s="22" t="s">
        <v>6381</v>
      </c>
      <c r="C2823" s="22" t="s">
        <v>157</v>
      </c>
      <c r="D2823" s="22" t="s">
        <v>502</v>
      </c>
      <c r="E2823" s="22" t="n">
        <v>55.3</v>
      </c>
      <c r="F2823" s="22" t="s">
        <v>164</v>
      </c>
    </row>
    <row r="2824" customFormat="false" ht="15" hidden="false" customHeight="false" outlineLevel="0" collapsed="false">
      <c r="A2824" s="22" t="s">
        <v>6382</v>
      </c>
      <c r="B2824" s="22" t="s">
        <v>6383</v>
      </c>
      <c r="C2824" s="22" t="s">
        <v>162</v>
      </c>
      <c r="D2824" s="22" t="s">
        <v>442</v>
      </c>
      <c r="E2824" s="22" t="n">
        <v>57.5</v>
      </c>
      <c r="F2824" s="22" t="s">
        <v>171</v>
      </c>
    </row>
    <row r="2825" customFormat="false" ht="15" hidden="false" customHeight="false" outlineLevel="0" collapsed="false">
      <c r="A2825" s="22" t="s">
        <v>6384</v>
      </c>
      <c r="B2825" s="22" t="s">
        <v>6385</v>
      </c>
      <c r="C2825" s="22" t="s">
        <v>207</v>
      </c>
      <c r="D2825" s="22" t="s">
        <v>1702</v>
      </c>
      <c r="E2825" s="22" t="n">
        <v>37.6</v>
      </c>
      <c r="F2825" s="22" t="s">
        <v>175</v>
      </c>
    </row>
    <row r="2826" customFormat="false" ht="15" hidden="false" customHeight="false" outlineLevel="0" collapsed="false">
      <c r="A2826" s="22" t="s">
        <v>6386</v>
      </c>
      <c r="B2826" s="22" t="s">
        <v>6387</v>
      </c>
      <c r="C2826" s="22" t="s">
        <v>162</v>
      </c>
      <c r="D2826" s="22" t="s">
        <v>2265</v>
      </c>
      <c r="E2826" s="22" t="n">
        <v>36.9</v>
      </c>
      <c r="F2826" s="22" t="s">
        <v>175</v>
      </c>
    </row>
    <row r="2827" customFormat="false" ht="15" hidden="false" customHeight="false" outlineLevel="0" collapsed="false">
      <c r="A2827" s="22" t="s">
        <v>6388</v>
      </c>
      <c r="B2827" s="22" t="s">
        <v>6389</v>
      </c>
      <c r="C2827" s="22" t="s">
        <v>162</v>
      </c>
      <c r="D2827" s="22" t="s">
        <v>3041</v>
      </c>
      <c r="E2827" s="22" t="n">
        <v>18</v>
      </c>
      <c r="F2827" s="22" t="s">
        <v>171</v>
      </c>
    </row>
    <row r="2828" customFormat="false" ht="15" hidden="false" customHeight="false" outlineLevel="0" collapsed="false">
      <c r="A2828" s="22" t="s">
        <v>6390</v>
      </c>
      <c r="B2828" s="22" t="s">
        <v>6391</v>
      </c>
      <c r="C2828" s="22" t="s">
        <v>566</v>
      </c>
      <c r="D2828" s="22" t="s">
        <v>2610</v>
      </c>
      <c r="E2828" s="22" t="n">
        <v>55.3</v>
      </c>
      <c r="F2828" s="22" t="s">
        <v>198</v>
      </c>
    </row>
    <row r="2829" customFormat="false" ht="15" hidden="false" customHeight="false" outlineLevel="0" collapsed="false">
      <c r="A2829" s="22" t="s">
        <v>6392</v>
      </c>
      <c r="B2829" s="22" t="s">
        <v>6393</v>
      </c>
      <c r="C2829" s="22" t="s">
        <v>162</v>
      </c>
      <c r="D2829" s="22" t="s">
        <v>327</v>
      </c>
      <c r="E2829" s="22" t="n">
        <v>38.3</v>
      </c>
      <c r="F2829" s="22" t="s">
        <v>171</v>
      </c>
    </row>
    <row r="2830" customFormat="false" ht="15" hidden="false" customHeight="false" outlineLevel="0" collapsed="false">
      <c r="A2830" s="22" t="s">
        <v>6394</v>
      </c>
      <c r="B2830" s="22" t="s">
        <v>6395</v>
      </c>
      <c r="C2830" s="22" t="s">
        <v>162</v>
      </c>
      <c r="D2830" s="22" t="s">
        <v>675</v>
      </c>
      <c r="E2830" s="22" t="n">
        <v>30</v>
      </c>
      <c r="F2830" s="22" t="s">
        <v>164</v>
      </c>
    </row>
    <row r="2831" customFormat="false" ht="15" hidden="false" customHeight="false" outlineLevel="0" collapsed="false">
      <c r="A2831" s="22" t="s">
        <v>6396</v>
      </c>
      <c r="B2831" s="22" t="s">
        <v>6397</v>
      </c>
      <c r="C2831" s="22" t="s">
        <v>162</v>
      </c>
      <c r="D2831" s="22" t="s">
        <v>4620</v>
      </c>
      <c r="E2831" s="22" t="n">
        <v>31.6</v>
      </c>
      <c r="F2831" s="22" t="s">
        <v>175</v>
      </c>
    </row>
    <row r="2832" customFormat="false" ht="15" hidden="false" customHeight="false" outlineLevel="0" collapsed="false">
      <c r="A2832" s="22" t="s">
        <v>6398</v>
      </c>
      <c r="B2832" s="22" t="s">
        <v>4736</v>
      </c>
      <c r="C2832" s="22" t="s">
        <v>162</v>
      </c>
      <c r="D2832" s="22" t="s">
        <v>1232</v>
      </c>
      <c r="E2832" s="22" t="n">
        <v>21</v>
      </c>
      <c r="F2832" s="22" t="s">
        <v>164</v>
      </c>
    </row>
    <row r="2833" customFormat="false" ht="15" hidden="false" customHeight="false" outlineLevel="0" collapsed="false">
      <c r="A2833" s="22" t="s">
        <v>6399</v>
      </c>
      <c r="B2833" s="22" t="s">
        <v>6400</v>
      </c>
      <c r="C2833" s="22" t="s">
        <v>162</v>
      </c>
      <c r="D2833" s="22" t="s">
        <v>1761</v>
      </c>
      <c r="E2833" s="22" t="n">
        <v>30.9</v>
      </c>
      <c r="F2833" s="22" t="s">
        <v>171</v>
      </c>
    </row>
    <row r="2834" customFormat="false" ht="15" hidden="false" customHeight="false" outlineLevel="0" collapsed="false">
      <c r="A2834" s="22" t="s">
        <v>6401</v>
      </c>
      <c r="B2834" s="22" t="s">
        <v>6402</v>
      </c>
      <c r="C2834" s="22" t="s">
        <v>162</v>
      </c>
      <c r="D2834" s="22" t="s">
        <v>1172</v>
      </c>
      <c r="E2834" s="22" t="n">
        <v>57.3</v>
      </c>
      <c r="F2834" s="22" t="s">
        <v>175</v>
      </c>
    </row>
    <row r="2835" customFormat="false" ht="15" hidden="false" customHeight="false" outlineLevel="0" collapsed="false">
      <c r="A2835" s="22" t="s">
        <v>6403</v>
      </c>
      <c r="B2835" s="22" t="s">
        <v>6404</v>
      </c>
      <c r="C2835" s="22" t="s">
        <v>162</v>
      </c>
      <c r="D2835" s="22" t="s">
        <v>2620</v>
      </c>
      <c r="E2835" s="22" t="n">
        <v>60.5</v>
      </c>
      <c r="F2835" s="22" t="s">
        <v>499</v>
      </c>
    </row>
    <row r="2836" customFormat="false" ht="15" hidden="false" customHeight="false" outlineLevel="0" collapsed="false">
      <c r="A2836" s="22" t="s">
        <v>6405</v>
      </c>
      <c r="B2836" s="22" t="s">
        <v>6406</v>
      </c>
      <c r="C2836" s="22" t="s">
        <v>162</v>
      </c>
      <c r="D2836" s="22" t="s">
        <v>158</v>
      </c>
      <c r="E2836" s="22" t="n">
        <v>53.2</v>
      </c>
      <c r="F2836" s="22" t="s">
        <v>198</v>
      </c>
    </row>
    <row r="2837" customFormat="false" ht="15" hidden="false" customHeight="false" outlineLevel="0" collapsed="false">
      <c r="A2837" s="22" t="s">
        <v>6407</v>
      </c>
      <c r="B2837" s="22" t="s">
        <v>6408</v>
      </c>
      <c r="C2837" s="22" t="s">
        <v>162</v>
      </c>
      <c r="D2837" s="22" t="s">
        <v>2147</v>
      </c>
      <c r="E2837" s="22" t="n">
        <v>41.3</v>
      </c>
      <c r="F2837" s="22" t="s">
        <v>499</v>
      </c>
    </row>
    <row r="2838" customFormat="false" ht="15" hidden="false" customHeight="false" outlineLevel="0" collapsed="false">
      <c r="A2838" s="22" t="s">
        <v>6409</v>
      </c>
      <c r="B2838" s="22" t="s">
        <v>6410</v>
      </c>
      <c r="C2838" s="22" t="s">
        <v>162</v>
      </c>
      <c r="D2838" s="22" t="s">
        <v>2595</v>
      </c>
      <c r="E2838" s="22" t="n">
        <v>18.2</v>
      </c>
      <c r="F2838" s="22" t="s">
        <v>164</v>
      </c>
    </row>
    <row r="2839" customFormat="false" ht="15" hidden="false" customHeight="false" outlineLevel="0" collapsed="false">
      <c r="A2839" s="22" t="s">
        <v>6411</v>
      </c>
      <c r="B2839" s="22" t="s">
        <v>6412</v>
      </c>
      <c r="C2839" s="22" t="s">
        <v>162</v>
      </c>
      <c r="D2839" s="22" t="s">
        <v>3075</v>
      </c>
      <c r="E2839" s="22" t="n">
        <v>29.2</v>
      </c>
      <c r="F2839" s="22" t="s">
        <v>171</v>
      </c>
    </row>
    <row r="2840" customFormat="false" ht="15" hidden="false" customHeight="false" outlineLevel="0" collapsed="false">
      <c r="A2840" s="22" t="s">
        <v>6413</v>
      </c>
      <c r="B2840" s="22" t="s">
        <v>6414</v>
      </c>
      <c r="C2840" s="22" t="s">
        <v>162</v>
      </c>
      <c r="D2840" s="22" t="s">
        <v>233</v>
      </c>
      <c r="E2840" s="22" t="n">
        <v>43.2</v>
      </c>
      <c r="F2840" s="22" t="s">
        <v>159</v>
      </c>
    </row>
    <row r="2841" customFormat="false" ht="15" hidden="false" customHeight="false" outlineLevel="0" collapsed="false">
      <c r="A2841" s="22" t="s">
        <v>6415</v>
      </c>
      <c r="B2841" s="22" t="s">
        <v>6416</v>
      </c>
      <c r="C2841" s="22" t="s">
        <v>162</v>
      </c>
      <c r="D2841" s="22" t="s">
        <v>2720</v>
      </c>
      <c r="E2841" s="22" t="n">
        <v>48.4</v>
      </c>
      <c r="F2841" s="22" t="s">
        <v>164</v>
      </c>
    </row>
    <row r="2842" customFormat="false" ht="15" hidden="false" customHeight="false" outlineLevel="0" collapsed="false">
      <c r="A2842" s="22" t="s">
        <v>6417</v>
      </c>
      <c r="B2842" s="22" t="s">
        <v>6418</v>
      </c>
      <c r="C2842" s="22" t="s">
        <v>162</v>
      </c>
      <c r="D2842" s="22" t="s">
        <v>370</v>
      </c>
      <c r="E2842" s="22" t="n">
        <v>39.7</v>
      </c>
      <c r="F2842" s="22" t="s">
        <v>164</v>
      </c>
    </row>
    <row r="2843" customFormat="false" ht="15" hidden="false" customHeight="false" outlineLevel="0" collapsed="false">
      <c r="A2843" s="22" t="s">
        <v>6419</v>
      </c>
      <c r="B2843" s="22" t="s">
        <v>4065</v>
      </c>
      <c r="C2843" s="22" t="s">
        <v>162</v>
      </c>
      <c r="D2843" s="22" t="s">
        <v>950</v>
      </c>
      <c r="E2843" s="22" t="n">
        <v>58.2</v>
      </c>
      <c r="F2843" s="22" t="s">
        <v>215</v>
      </c>
    </row>
    <row r="2844" customFormat="false" ht="15" hidden="false" customHeight="false" outlineLevel="0" collapsed="false">
      <c r="A2844" s="22" t="s">
        <v>6420</v>
      </c>
      <c r="B2844" s="22" t="s">
        <v>6421</v>
      </c>
      <c r="C2844" s="22" t="s">
        <v>162</v>
      </c>
      <c r="D2844" s="22" t="s">
        <v>1499</v>
      </c>
      <c r="E2844" s="22" t="n">
        <v>53.9</v>
      </c>
      <c r="F2844" s="22" t="s">
        <v>164</v>
      </c>
    </row>
    <row r="2845" customFormat="false" ht="15" hidden="false" customHeight="false" outlineLevel="0" collapsed="false">
      <c r="A2845" s="22" t="s">
        <v>6422</v>
      </c>
      <c r="B2845" s="22" t="s">
        <v>6423</v>
      </c>
      <c r="C2845" s="22" t="s">
        <v>207</v>
      </c>
      <c r="D2845" s="22" t="s">
        <v>2241</v>
      </c>
      <c r="E2845" s="22" t="n">
        <v>48</v>
      </c>
      <c r="F2845" s="22" t="s">
        <v>175</v>
      </c>
    </row>
    <row r="2846" customFormat="false" ht="15" hidden="false" customHeight="false" outlineLevel="0" collapsed="false">
      <c r="A2846" s="22" t="s">
        <v>6424</v>
      </c>
      <c r="B2846" s="22" t="s">
        <v>6425</v>
      </c>
      <c r="C2846" s="22" t="s">
        <v>162</v>
      </c>
      <c r="D2846" s="22" t="s">
        <v>480</v>
      </c>
      <c r="E2846" s="22" t="n">
        <v>57.9</v>
      </c>
      <c r="F2846" s="22" t="s">
        <v>164</v>
      </c>
    </row>
    <row r="2847" customFormat="false" ht="15" hidden="false" customHeight="false" outlineLevel="0" collapsed="false">
      <c r="A2847" s="22" t="s">
        <v>6426</v>
      </c>
      <c r="B2847" s="22" t="s">
        <v>6427</v>
      </c>
      <c r="C2847" s="22" t="s">
        <v>162</v>
      </c>
      <c r="D2847" s="22" t="s">
        <v>1110</v>
      </c>
      <c r="E2847" s="22" t="n">
        <v>56</v>
      </c>
      <c r="F2847" s="22" t="s">
        <v>159</v>
      </c>
    </row>
    <row r="2848" customFormat="false" ht="15" hidden="false" customHeight="false" outlineLevel="0" collapsed="false">
      <c r="A2848" s="22" t="s">
        <v>6428</v>
      </c>
      <c r="B2848" s="22" t="s">
        <v>5354</v>
      </c>
      <c r="C2848" s="22" t="s">
        <v>162</v>
      </c>
      <c r="D2848" s="22" t="s">
        <v>626</v>
      </c>
      <c r="E2848" s="22" t="n">
        <v>23.8</v>
      </c>
      <c r="F2848" s="22" t="s">
        <v>175</v>
      </c>
    </row>
    <row r="2849" customFormat="false" ht="15" hidden="false" customHeight="false" outlineLevel="0" collapsed="false">
      <c r="A2849" s="22" t="s">
        <v>6429</v>
      </c>
      <c r="B2849" s="22" t="s">
        <v>6430</v>
      </c>
      <c r="C2849" s="22" t="s">
        <v>162</v>
      </c>
      <c r="D2849" s="22" t="s">
        <v>327</v>
      </c>
      <c r="E2849" s="22" t="n">
        <v>32</v>
      </c>
      <c r="F2849" s="22" t="s">
        <v>159</v>
      </c>
    </row>
    <row r="2850" customFormat="false" ht="15" hidden="false" customHeight="false" outlineLevel="0" collapsed="false">
      <c r="A2850" s="22" t="s">
        <v>6431</v>
      </c>
      <c r="B2850" s="22" t="s">
        <v>6432</v>
      </c>
      <c r="C2850" s="22" t="s">
        <v>162</v>
      </c>
      <c r="D2850" s="22" t="s">
        <v>1034</v>
      </c>
      <c r="E2850" s="22" t="n">
        <v>60.4</v>
      </c>
      <c r="F2850" s="22" t="s">
        <v>175</v>
      </c>
    </row>
    <row r="2851" customFormat="false" ht="15" hidden="false" customHeight="false" outlineLevel="0" collapsed="false">
      <c r="A2851" s="22" t="s">
        <v>6433</v>
      </c>
      <c r="B2851" s="22" t="s">
        <v>6434</v>
      </c>
      <c r="C2851" s="22" t="s">
        <v>162</v>
      </c>
      <c r="D2851" s="22" t="s">
        <v>361</v>
      </c>
      <c r="E2851" s="22" t="n">
        <v>35.6</v>
      </c>
      <c r="F2851" s="22" t="s">
        <v>175</v>
      </c>
    </row>
    <row r="2852" customFormat="false" ht="15" hidden="false" customHeight="false" outlineLevel="0" collapsed="false">
      <c r="A2852" s="22" t="s">
        <v>6435</v>
      </c>
      <c r="B2852" s="22" t="s">
        <v>6436</v>
      </c>
      <c r="C2852" s="22" t="s">
        <v>162</v>
      </c>
      <c r="D2852" s="22" t="s">
        <v>413</v>
      </c>
      <c r="E2852" s="22" t="n">
        <v>29.3</v>
      </c>
      <c r="F2852" s="22" t="s">
        <v>188</v>
      </c>
    </row>
    <row r="2853" customFormat="false" ht="15" hidden="false" customHeight="false" outlineLevel="0" collapsed="false">
      <c r="A2853" s="22" t="s">
        <v>6437</v>
      </c>
      <c r="B2853" s="22" t="s">
        <v>6438</v>
      </c>
      <c r="C2853" s="22" t="s">
        <v>157</v>
      </c>
      <c r="D2853" s="22" t="s">
        <v>1178</v>
      </c>
      <c r="E2853" s="22" t="n">
        <v>58.5</v>
      </c>
      <c r="F2853" s="22" t="s">
        <v>198</v>
      </c>
    </row>
    <row r="2854" customFormat="false" ht="15" hidden="false" customHeight="false" outlineLevel="0" collapsed="false">
      <c r="A2854" s="22" t="s">
        <v>6439</v>
      </c>
      <c r="B2854" s="22" t="s">
        <v>6440</v>
      </c>
      <c r="C2854" s="22" t="s">
        <v>162</v>
      </c>
      <c r="D2854" s="22" t="s">
        <v>239</v>
      </c>
      <c r="E2854" s="22" t="n">
        <v>32.7</v>
      </c>
      <c r="F2854" s="22" t="s">
        <v>175</v>
      </c>
    </row>
    <row r="2855" customFormat="false" ht="15" hidden="false" customHeight="false" outlineLevel="0" collapsed="false">
      <c r="A2855" s="22" t="s">
        <v>6441</v>
      </c>
      <c r="B2855" s="22" t="s">
        <v>6442</v>
      </c>
      <c r="C2855" s="22" t="s">
        <v>162</v>
      </c>
      <c r="D2855" s="22" t="s">
        <v>687</v>
      </c>
      <c r="E2855" s="22" t="n">
        <v>51.4</v>
      </c>
      <c r="F2855" s="22" t="s">
        <v>164</v>
      </c>
    </row>
    <row r="2856" customFormat="false" ht="15" hidden="false" customHeight="false" outlineLevel="0" collapsed="false">
      <c r="A2856" s="22" t="s">
        <v>6443</v>
      </c>
      <c r="B2856" s="22" t="s">
        <v>6444</v>
      </c>
      <c r="C2856" s="22" t="s">
        <v>162</v>
      </c>
      <c r="D2856" s="22" t="s">
        <v>773</v>
      </c>
      <c r="E2856" s="22" t="n">
        <v>35.8</v>
      </c>
      <c r="F2856" s="22" t="s">
        <v>188</v>
      </c>
    </row>
    <row r="2857" customFormat="false" ht="15" hidden="false" customHeight="false" outlineLevel="0" collapsed="false">
      <c r="A2857" s="22" t="s">
        <v>6445</v>
      </c>
      <c r="B2857" s="22" t="s">
        <v>6446</v>
      </c>
      <c r="C2857" s="22" t="s">
        <v>162</v>
      </c>
      <c r="D2857" s="22" t="s">
        <v>290</v>
      </c>
      <c r="E2857" s="22" t="n">
        <v>23.5</v>
      </c>
      <c r="F2857" s="22" t="s">
        <v>164</v>
      </c>
    </row>
    <row r="2858" customFormat="false" ht="15" hidden="false" customHeight="false" outlineLevel="0" collapsed="false">
      <c r="A2858" s="22" t="s">
        <v>6447</v>
      </c>
      <c r="B2858" s="22" t="s">
        <v>6448</v>
      </c>
      <c r="C2858" s="22" t="s">
        <v>207</v>
      </c>
      <c r="D2858" s="22" t="s">
        <v>1181</v>
      </c>
      <c r="E2858" s="22" t="n">
        <v>45.5</v>
      </c>
      <c r="F2858" s="22" t="s">
        <v>198</v>
      </c>
    </row>
    <row r="2859" customFormat="false" ht="15" hidden="false" customHeight="false" outlineLevel="0" collapsed="false">
      <c r="A2859" s="22" t="s">
        <v>6449</v>
      </c>
      <c r="B2859" s="22" t="s">
        <v>6450</v>
      </c>
      <c r="C2859" s="22" t="s">
        <v>207</v>
      </c>
      <c r="D2859" s="22" t="s">
        <v>690</v>
      </c>
      <c r="E2859" s="22" t="n">
        <v>53.6</v>
      </c>
      <c r="F2859" s="22" t="s">
        <v>171</v>
      </c>
    </row>
    <row r="2860" customFormat="false" ht="15" hidden="false" customHeight="false" outlineLevel="0" collapsed="false">
      <c r="A2860" s="22" t="s">
        <v>6451</v>
      </c>
      <c r="B2860" s="22" t="s">
        <v>6452</v>
      </c>
      <c r="C2860" s="22" t="s">
        <v>162</v>
      </c>
      <c r="D2860" s="22" t="s">
        <v>608</v>
      </c>
      <c r="E2860" s="22" t="n">
        <v>48.4</v>
      </c>
      <c r="F2860" s="22" t="s">
        <v>159</v>
      </c>
    </row>
    <row r="2861" customFormat="false" ht="15" hidden="false" customHeight="false" outlineLevel="0" collapsed="false">
      <c r="A2861" s="22" t="s">
        <v>6453</v>
      </c>
      <c r="B2861" s="22" t="s">
        <v>6454</v>
      </c>
      <c r="C2861" s="22" t="s">
        <v>162</v>
      </c>
      <c r="D2861" s="22" t="s">
        <v>2038</v>
      </c>
      <c r="E2861" s="22" t="n">
        <v>54.6</v>
      </c>
      <c r="F2861" s="22" t="s">
        <v>175</v>
      </c>
    </row>
    <row r="2862" customFormat="false" ht="15" hidden="false" customHeight="false" outlineLevel="0" collapsed="false">
      <c r="A2862" s="22" t="s">
        <v>6455</v>
      </c>
      <c r="B2862" s="22" t="s">
        <v>6456</v>
      </c>
      <c r="C2862" s="22" t="s">
        <v>162</v>
      </c>
      <c r="D2862" s="22" t="s">
        <v>885</v>
      </c>
      <c r="E2862" s="22" t="n">
        <v>49.2</v>
      </c>
      <c r="F2862" s="22" t="s">
        <v>175</v>
      </c>
    </row>
    <row r="2863" customFormat="false" ht="15" hidden="false" customHeight="false" outlineLevel="0" collapsed="false">
      <c r="A2863" s="22" t="s">
        <v>6457</v>
      </c>
      <c r="B2863" s="22" t="s">
        <v>6458</v>
      </c>
      <c r="C2863" s="22" t="s">
        <v>162</v>
      </c>
      <c r="D2863" s="22" t="s">
        <v>519</v>
      </c>
      <c r="E2863" s="22" t="n">
        <v>31.8</v>
      </c>
      <c r="F2863" s="22" t="s">
        <v>171</v>
      </c>
    </row>
    <row r="2864" customFormat="false" ht="15" hidden="false" customHeight="false" outlineLevel="0" collapsed="false">
      <c r="A2864" s="22" t="s">
        <v>6459</v>
      </c>
      <c r="B2864" s="22" t="s">
        <v>6460</v>
      </c>
      <c r="C2864" s="22" t="s">
        <v>162</v>
      </c>
      <c r="D2864" s="22" t="s">
        <v>1265</v>
      </c>
      <c r="E2864" s="22" t="n">
        <v>59.1</v>
      </c>
      <c r="F2864" s="22" t="s">
        <v>499</v>
      </c>
    </row>
    <row r="2865" customFormat="false" ht="15" hidden="false" customHeight="false" outlineLevel="0" collapsed="false">
      <c r="A2865" s="22" t="s">
        <v>6461</v>
      </c>
      <c r="B2865" s="22" t="s">
        <v>6462</v>
      </c>
      <c r="C2865" s="22" t="s">
        <v>162</v>
      </c>
      <c r="D2865" s="22" t="s">
        <v>1102</v>
      </c>
      <c r="E2865" s="22" t="n">
        <v>34.6</v>
      </c>
      <c r="F2865" s="22" t="s">
        <v>159</v>
      </c>
    </row>
    <row r="2866" customFormat="false" ht="15" hidden="false" customHeight="false" outlineLevel="0" collapsed="false">
      <c r="A2866" s="22" t="s">
        <v>6463</v>
      </c>
      <c r="B2866" s="22" t="s">
        <v>6464</v>
      </c>
      <c r="C2866" s="22" t="s">
        <v>162</v>
      </c>
      <c r="D2866" s="22" t="s">
        <v>723</v>
      </c>
      <c r="E2866" s="22" t="n">
        <v>58.8</v>
      </c>
      <c r="F2866" s="22" t="s">
        <v>164</v>
      </c>
    </row>
    <row r="2867" customFormat="false" ht="15" hidden="false" customHeight="false" outlineLevel="0" collapsed="false">
      <c r="A2867" s="22" t="s">
        <v>6465</v>
      </c>
      <c r="B2867" s="22" t="s">
        <v>6466</v>
      </c>
      <c r="C2867" s="22" t="s">
        <v>162</v>
      </c>
      <c r="D2867" s="22" t="s">
        <v>254</v>
      </c>
      <c r="E2867" s="22" t="n">
        <v>55.2</v>
      </c>
      <c r="F2867" s="22" t="s">
        <v>159</v>
      </c>
    </row>
    <row r="2868" customFormat="false" ht="15" hidden="false" customHeight="false" outlineLevel="0" collapsed="false">
      <c r="A2868" s="22" t="s">
        <v>6467</v>
      </c>
      <c r="B2868" s="22" t="s">
        <v>6468</v>
      </c>
      <c r="C2868" s="22" t="s">
        <v>162</v>
      </c>
      <c r="D2868" s="22" t="s">
        <v>269</v>
      </c>
      <c r="E2868" s="22" t="n">
        <v>25.5</v>
      </c>
      <c r="F2868" s="22" t="s">
        <v>159</v>
      </c>
    </row>
    <row r="2869" customFormat="false" ht="15" hidden="false" customHeight="false" outlineLevel="0" collapsed="false">
      <c r="A2869" s="22" t="s">
        <v>6469</v>
      </c>
      <c r="B2869" s="22" t="s">
        <v>6470</v>
      </c>
      <c r="C2869" s="22" t="s">
        <v>162</v>
      </c>
      <c r="D2869" s="22" t="s">
        <v>389</v>
      </c>
      <c r="E2869" s="22" t="n">
        <v>42</v>
      </c>
      <c r="F2869" s="22" t="s">
        <v>164</v>
      </c>
    </row>
    <row r="2870" customFormat="false" ht="15" hidden="false" customHeight="false" outlineLevel="0" collapsed="false">
      <c r="A2870" s="22" t="s">
        <v>6471</v>
      </c>
      <c r="B2870" s="22" t="s">
        <v>6472</v>
      </c>
      <c r="C2870" s="22" t="s">
        <v>162</v>
      </c>
      <c r="D2870" s="22" t="s">
        <v>1821</v>
      </c>
      <c r="E2870" s="22" t="n">
        <v>37</v>
      </c>
      <c r="F2870" s="22" t="s">
        <v>164</v>
      </c>
    </row>
    <row r="2871" customFormat="false" ht="15" hidden="false" customHeight="false" outlineLevel="0" collapsed="false">
      <c r="A2871" s="22" t="s">
        <v>6473</v>
      </c>
      <c r="B2871" s="22" t="s">
        <v>6474</v>
      </c>
      <c r="C2871" s="22" t="s">
        <v>157</v>
      </c>
      <c r="D2871" s="22" t="s">
        <v>972</v>
      </c>
      <c r="E2871" s="22" t="n">
        <v>55.4</v>
      </c>
      <c r="F2871" s="22" t="s">
        <v>175</v>
      </c>
    </row>
    <row r="2872" customFormat="false" ht="15" hidden="false" customHeight="false" outlineLevel="0" collapsed="false">
      <c r="A2872" s="22" t="s">
        <v>6475</v>
      </c>
      <c r="B2872" s="22" t="s">
        <v>6476</v>
      </c>
      <c r="C2872" s="22" t="s">
        <v>162</v>
      </c>
      <c r="D2872" s="22" t="s">
        <v>1232</v>
      </c>
      <c r="E2872" s="22" t="n">
        <v>45.6</v>
      </c>
      <c r="F2872" s="22" t="s">
        <v>164</v>
      </c>
    </row>
    <row r="2873" customFormat="false" ht="15" hidden="false" customHeight="false" outlineLevel="0" collapsed="false">
      <c r="A2873" s="22" t="s">
        <v>6477</v>
      </c>
      <c r="B2873" s="22" t="s">
        <v>6478</v>
      </c>
      <c r="C2873" s="22" t="s">
        <v>162</v>
      </c>
      <c r="D2873" s="22" t="s">
        <v>1695</v>
      </c>
      <c r="E2873" s="22" t="n">
        <v>55.3</v>
      </c>
      <c r="F2873" s="22" t="s">
        <v>164</v>
      </c>
    </row>
    <row r="2874" customFormat="false" ht="15" hidden="false" customHeight="false" outlineLevel="0" collapsed="false">
      <c r="A2874" s="22" t="s">
        <v>6479</v>
      </c>
      <c r="B2874" s="22" t="s">
        <v>6480</v>
      </c>
      <c r="C2874" s="22" t="s">
        <v>162</v>
      </c>
      <c r="D2874" s="22" t="s">
        <v>778</v>
      </c>
      <c r="E2874" s="22" t="n">
        <v>57</v>
      </c>
      <c r="F2874" s="22" t="s">
        <v>175</v>
      </c>
    </row>
    <row r="2875" customFormat="false" ht="15" hidden="false" customHeight="false" outlineLevel="0" collapsed="false">
      <c r="A2875" s="22" t="s">
        <v>6481</v>
      </c>
      <c r="B2875" s="22" t="s">
        <v>6482</v>
      </c>
      <c r="C2875" s="22" t="s">
        <v>162</v>
      </c>
      <c r="D2875" s="22" t="s">
        <v>1665</v>
      </c>
      <c r="E2875" s="22" t="n">
        <v>26.6</v>
      </c>
      <c r="F2875" s="22" t="s">
        <v>164</v>
      </c>
    </row>
    <row r="2876" customFormat="false" ht="15" hidden="false" customHeight="false" outlineLevel="0" collapsed="false">
      <c r="A2876" s="22" t="s">
        <v>6483</v>
      </c>
      <c r="B2876" s="22" t="s">
        <v>6484</v>
      </c>
      <c r="C2876" s="22" t="s">
        <v>162</v>
      </c>
      <c r="D2876" s="22" t="s">
        <v>698</v>
      </c>
      <c r="E2876" s="22" t="n">
        <v>47.7</v>
      </c>
      <c r="F2876" s="22" t="s">
        <v>175</v>
      </c>
    </row>
    <row r="2877" customFormat="false" ht="15" hidden="false" customHeight="false" outlineLevel="0" collapsed="false">
      <c r="A2877" s="22" t="s">
        <v>6485</v>
      </c>
      <c r="B2877" s="22" t="s">
        <v>6486</v>
      </c>
      <c r="C2877" s="22" t="s">
        <v>162</v>
      </c>
      <c r="D2877" s="22" t="s">
        <v>6487</v>
      </c>
      <c r="E2877" s="22" t="n">
        <v>39</v>
      </c>
      <c r="F2877" s="22" t="s">
        <v>164</v>
      </c>
    </row>
    <row r="2878" customFormat="false" ht="15" hidden="false" customHeight="false" outlineLevel="0" collapsed="false">
      <c r="A2878" s="22" t="s">
        <v>6488</v>
      </c>
      <c r="B2878" s="22" t="s">
        <v>6489</v>
      </c>
      <c r="C2878" s="22" t="s">
        <v>162</v>
      </c>
      <c r="D2878" s="22" t="s">
        <v>2034</v>
      </c>
      <c r="E2878" s="22" t="n">
        <v>29.7</v>
      </c>
      <c r="F2878" s="22" t="s">
        <v>164</v>
      </c>
    </row>
    <row r="2879" customFormat="false" ht="15" hidden="false" customHeight="false" outlineLevel="0" collapsed="false">
      <c r="A2879" s="22" t="s">
        <v>6490</v>
      </c>
      <c r="B2879" s="22" t="s">
        <v>6491</v>
      </c>
      <c r="C2879" s="22" t="s">
        <v>207</v>
      </c>
      <c r="D2879" s="22" t="s">
        <v>386</v>
      </c>
      <c r="E2879" s="22" t="n">
        <v>34.2</v>
      </c>
      <c r="F2879" s="22" t="s">
        <v>198</v>
      </c>
    </row>
    <row r="2880" customFormat="false" ht="15" hidden="false" customHeight="false" outlineLevel="0" collapsed="false">
      <c r="A2880" s="22" t="s">
        <v>6492</v>
      </c>
      <c r="B2880" s="22" t="s">
        <v>6493</v>
      </c>
      <c r="C2880" s="22" t="s">
        <v>207</v>
      </c>
      <c r="D2880" s="22" t="s">
        <v>986</v>
      </c>
      <c r="E2880" s="22" t="n">
        <v>54.6</v>
      </c>
      <c r="F2880" s="22" t="s">
        <v>164</v>
      </c>
    </row>
    <row r="2881" customFormat="false" ht="15" hidden="false" customHeight="false" outlineLevel="0" collapsed="false">
      <c r="A2881" s="22" t="s">
        <v>6494</v>
      </c>
      <c r="B2881" s="22" t="s">
        <v>6495</v>
      </c>
      <c r="C2881" s="22" t="s">
        <v>162</v>
      </c>
      <c r="D2881" s="22" t="s">
        <v>428</v>
      </c>
      <c r="E2881" s="22" t="n">
        <v>26.1</v>
      </c>
      <c r="F2881" s="22" t="s">
        <v>164</v>
      </c>
    </row>
    <row r="2882" customFormat="false" ht="15" hidden="false" customHeight="false" outlineLevel="0" collapsed="false">
      <c r="A2882" s="22" t="s">
        <v>6496</v>
      </c>
      <c r="B2882" s="22" t="s">
        <v>6497</v>
      </c>
      <c r="C2882" s="22" t="s">
        <v>162</v>
      </c>
      <c r="D2882" s="22" t="s">
        <v>1659</v>
      </c>
      <c r="E2882" s="22" t="n">
        <v>47</v>
      </c>
      <c r="F2882" s="22" t="s">
        <v>175</v>
      </c>
    </row>
    <row r="2883" customFormat="false" ht="15" hidden="false" customHeight="false" outlineLevel="0" collapsed="false">
      <c r="A2883" s="22" t="s">
        <v>6498</v>
      </c>
      <c r="B2883" s="22" t="s">
        <v>6499</v>
      </c>
      <c r="C2883" s="22" t="s">
        <v>162</v>
      </c>
      <c r="D2883" s="22" t="s">
        <v>1299</v>
      </c>
      <c r="E2883" s="22" t="n">
        <v>37.4</v>
      </c>
      <c r="F2883" s="22" t="s">
        <v>164</v>
      </c>
    </row>
    <row r="2884" customFormat="false" ht="15" hidden="false" customHeight="false" outlineLevel="0" collapsed="false">
      <c r="A2884" s="22" t="s">
        <v>6500</v>
      </c>
      <c r="B2884" s="22" t="s">
        <v>6501</v>
      </c>
      <c r="C2884" s="22" t="s">
        <v>162</v>
      </c>
      <c r="D2884" s="22" t="s">
        <v>1220</v>
      </c>
      <c r="E2884" s="22" t="n">
        <v>50.9</v>
      </c>
      <c r="F2884" s="22" t="s">
        <v>164</v>
      </c>
    </row>
    <row r="2885" customFormat="false" ht="15" hidden="false" customHeight="false" outlineLevel="0" collapsed="false">
      <c r="A2885" s="22" t="s">
        <v>6502</v>
      </c>
      <c r="B2885" s="22" t="s">
        <v>6503</v>
      </c>
      <c r="C2885" s="22" t="s">
        <v>162</v>
      </c>
      <c r="D2885" s="22" t="s">
        <v>395</v>
      </c>
      <c r="E2885" s="22" t="n">
        <v>32.3</v>
      </c>
      <c r="F2885" s="22" t="s">
        <v>159</v>
      </c>
    </row>
    <row r="2886" customFormat="false" ht="15" hidden="false" customHeight="false" outlineLevel="0" collapsed="false">
      <c r="A2886" s="22" t="s">
        <v>6504</v>
      </c>
      <c r="B2886" s="22" t="s">
        <v>6505</v>
      </c>
      <c r="C2886" s="22" t="s">
        <v>207</v>
      </c>
      <c r="D2886" s="22" t="s">
        <v>927</v>
      </c>
      <c r="E2886" s="22" t="n">
        <v>36.7</v>
      </c>
      <c r="F2886" s="22" t="s">
        <v>175</v>
      </c>
    </row>
    <row r="2887" customFormat="false" ht="15" hidden="false" customHeight="false" outlineLevel="0" collapsed="false">
      <c r="A2887" s="22" t="s">
        <v>6506</v>
      </c>
      <c r="B2887" s="22" t="s">
        <v>6507</v>
      </c>
      <c r="C2887" s="22" t="s">
        <v>157</v>
      </c>
      <c r="D2887" s="22" t="s">
        <v>812</v>
      </c>
      <c r="E2887" s="22" t="n">
        <v>55</v>
      </c>
      <c r="F2887" s="22" t="s">
        <v>198</v>
      </c>
    </row>
    <row r="2888" customFormat="false" ht="15" hidden="false" customHeight="false" outlineLevel="0" collapsed="false">
      <c r="A2888" s="22" t="s">
        <v>6508</v>
      </c>
      <c r="B2888" s="22" t="s">
        <v>6509</v>
      </c>
      <c r="C2888" s="22" t="s">
        <v>162</v>
      </c>
      <c r="D2888" s="22" t="s">
        <v>6091</v>
      </c>
      <c r="E2888" s="22" t="n">
        <v>29.6</v>
      </c>
      <c r="F2888" s="22" t="s">
        <v>198</v>
      </c>
    </row>
    <row r="2889" customFormat="false" ht="15" hidden="false" customHeight="false" outlineLevel="0" collapsed="false">
      <c r="A2889" s="22" t="s">
        <v>6510</v>
      </c>
      <c r="B2889" s="22" t="s">
        <v>6511</v>
      </c>
      <c r="C2889" s="22" t="s">
        <v>162</v>
      </c>
      <c r="D2889" s="22" t="s">
        <v>991</v>
      </c>
      <c r="E2889" s="22" t="n">
        <v>57.5</v>
      </c>
      <c r="F2889" s="22" t="s">
        <v>164</v>
      </c>
    </row>
    <row r="2890" customFormat="false" ht="15" hidden="false" customHeight="false" outlineLevel="0" collapsed="false">
      <c r="A2890" s="22" t="s">
        <v>6512</v>
      </c>
      <c r="B2890" s="22" t="s">
        <v>6513</v>
      </c>
      <c r="C2890" s="22" t="s">
        <v>207</v>
      </c>
      <c r="D2890" s="22" t="s">
        <v>1438</v>
      </c>
      <c r="E2890" s="22" t="n">
        <v>53.6</v>
      </c>
      <c r="F2890" s="22" t="s">
        <v>175</v>
      </c>
    </row>
    <row r="2891" customFormat="false" ht="15" hidden="false" customHeight="false" outlineLevel="0" collapsed="false">
      <c r="A2891" s="22" t="s">
        <v>6514</v>
      </c>
      <c r="B2891" s="22" t="s">
        <v>6515</v>
      </c>
      <c r="C2891" s="22" t="s">
        <v>162</v>
      </c>
      <c r="D2891" s="22" t="s">
        <v>2201</v>
      </c>
      <c r="E2891" s="22" t="n">
        <v>58.2</v>
      </c>
      <c r="F2891" s="22" t="s">
        <v>159</v>
      </c>
    </row>
    <row r="2892" customFormat="false" ht="15" hidden="false" customHeight="false" outlineLevel="0" collapsed="false">
      <c r="A2892" s="22" t="s">
        <v>6516</v>
      </c>
      <c r="B2892" s="22" t="s">
        <v>6517</v>
      </c>
      <c r="C2892" s="22" t="s">
        <v>162</v>
      </c>
      <c r="D2892" s="22" t="s">
        <v>227</v>
      </c>
      <c r="E2892" s="22" t="n">
        <v>40.2</v>
      </c>
      <c r="F2892" s="22" t="s">
        <v>175</v>
      </c>
    </row>
    <row r="2893" customFormat="false" ht="15" hidden="false" customHeight="false" outlineLevel="0" collapsed="false">
      <c r="A2893" s="22" t="s">
        <v>6518</v>
      </c>
      <c r="B2893" s="22" t="s">
        <v>6519</v>
      </c>
      <c r="C2893" s="22" t="s">
        <v>566</v>
      </c>
      <c r="D2893" s="22" t="s">
        <v>428</v>
      </c>
      <c r="E2893" s="22" t="n">
        <v>48.6</v>
      </c>
      <c r="F2893" s="22" t="s">
        <v>175</v>
      </c>
    </row>
    <row r="2894" customFormat="false" ht="15" hidden="false" customHeight="false" outlineLevel="0" collapsed="false">
      <c r="A2894" s="22" t="s">
        <v>6520</v>
      </c>
      <c r="B2894" s="22" t="s">
        <v>6521</v>
      </c>
      <c r="C2894" s="22" t="s">
        <v>162</v>
      </c>
      <c r="D2894" s="22" t="s">
        <v>346</v>
      </c>
      <c r="E2894" s="22" t="n">
        <v>53</v>
      </c>
      <c r="F2894" s="22" t="s">
        <v>175</v>
      </c>
    </row>
    <row r="2895" customFormat="false" ht="15" hidden="false" customHeight="false" outlineLevel="0" collapsed="false">
      <c r="A2895" s="22" t="s">
        <v>6522</v>
      </c>
      <c r="B2895" s="22" t="s">
        <v>6523</v>
      </c>
      <c r="C2895" s="22" t="s">
        <v>162</v>
      </c>
      <c r="D2895" s="22" t="s">
        <v>980</v>
      </c>
      <c r="E2895" s="22" t="n">
        <v>47.6</v>
      </c>
      <c r="F2895" s="22" t="s">
        <v>215</v>
      </c>
    </row>
    <row r="2896" customFormat="false" ht="15" hidden="false" customHeight="false" outlineLevel="0" collapsed="false">
      <c r="A2896" s="22" t="s">
        <v>6524</v>
      </c>
      <c r="B2896" s="22" t="s">
        <v>6525</v>
      </c>
      <c r="C2896" s="22" t="s">
        <v>207</v>
      </c>
      <c r="D2896" s="22" t="s">
        <v>370</v>
      </c>
      <c r="E2896" s="22" t="n">
        <v>27.8</v>
      </c>
      <c r="F2896" s="22" t="s">
        <v>159</v>
      </c>
    </row>
    <row r="2897" customFormat="false" ht="15" hidden="false" customHeight="false" outlineLevel="0" collapsed="false">
      <c r="A2897" s="22" t="s">
        <v>6526</v>
      </c>
      <c r="B2897" s="22" t="s">
        <v>6527</v>
      </c>
      <c r="C2897" s="22" t="s">
        <v>162</v>
      </c>
      <c r="D2897" s="22" t="s">
        <v>425</v>
      </c>
      <c r="E2897" s="22" t="n">
        <v>24.3</v>
      </c>
      <c r="F2897" s="22" t="s">
        <v>164</v>
      </c>
    </row>
    <row r="2898" customFormat="false" ht="15" hidden="false" customHeight="false" outlineLevel="0" collapsed="false">
      <c r="A2898" s="22" t="s">
        <v>6528</v>
      </c>
      <c r="B2898" s="22" t="s">
        <v>6529</v>
      </c>
      <c r="C2898" s="22" t="s">
        <v>157</v>
      </c>
      <c r="D2898" s="22" t="s">
        <v>1761</v>
      </c>
      <c r="E2898" s="22" t="n">
        <v>59.4</v>
      </c>
      <c r="F2898" s="22" t="s">
        <v>164</v>
      </c>
    </row>
    <row r="2899" customFormat="false" ht="15" hidden="false" customHeight="false" outlineLevel="0" collapsed="false">
      <c r="A2899" s="22" t="s">
        <v>6530</v>
      </c>
      <c r="B2899" s="22" t="s">
        <v>6531</v>
      </c>
      <c r="C2899" s="22" t="s">
        <v>566</v>
      </c>
      <c r="D2899" s="22" t="s">
        <v>1408</v>
      </c>
      <c r="E2899" s="22" t="n">
        <v>43.7</v>
      </c>
      <c r="F2899" s="22" t="s">
        <v>159</v>
      </c>
    </row>
    <row r="2900" customFormat="false" ht="15" hidden="false" customHeight="false" outlineLevel="0" collapsed="false">
      <c r="A2900" s="22" t="s">
        <v>6532</v>
      </c>
      <c r="B2900" s="22" t="s">
        <v>6533</v>
      </c>
      <c r="C2900" s="22" t="s">
        <v>162</v>
      </c>
      <c r="D2900" s="22" t="s">
        <v>2180</v>
      </c>
      <c r="E2900" s="22" t="n">
        <v>18.5</v>
      </c>
      <c r="F2900" s="22" t="s">
        <v>198</v>
      </c>
    </row>
    <row r="2901" customFormat="false" ht="15" hidden="false" customHeight="false" outlineLevel="0" collapsed="false">
      <c r="A2901" s="22" t="s">
        <v>6534</v>
      </c>
      <c r="B2901" s="22" t="s">
        <v>6535</v>
      </c>
      <c r="C2901" s="22" t="s">
        <v>162</v>
      </c>
      <c r="D2901" s="22" t="s">
        <v>1054</v>
      </c>
      <c r="E2901" s="22" t="n">
        <v>35.2</v>
      </c>
      <c r="F2901" s="22" t="s">
        <v>164</v>
      </c>
    </row>
    <row r="2902" customFormat="false" ht="15" hidden="false" customHeight="false" outlineLevel="0" collapsed="false">
      <c r="A2902" s="22" t="s">
        <v>6536</v>
      </c>
      <c r="B2902" s="22" t="s">
        <v>6537</v>
      </c>
      <c r="C2902" s="22" t="s">
        <v>162</v>
      </c>
      <c r="D2902" s="22" t="s">
        <v>3115</v>
      </c>
      <c r="E2902" s="22" t="n">
        <v>61.1</v>
      </c>
      <c r="F2902" s="22" t="s">
        <v>164</v>
      </c>
    </row>
    <row r="2903" customFormat="false" ht="15" hidden="false" customHeight="false" outlineLevel="0" collapsed="false">
      <c r="A2903" s="22" t="s">
        <v>6538</v>
      </c>
      <c r="B2903" s="22" t="s">
        <v>6539</v>
      </c>
      <c r="C2903" s="22" t="s">
        <v>157</v>
      </c>
      <c r="D2903" s="22" t="s">
        <v>307</v>
      </c>
      <c r="E2903" s="22" t="n">
        <v>44.6</v>
      </c>
      <c r="F2903" s="22" t="s">
        <v>164</v>
      </c>
    </row>
    <row r="2904" customFormat="false" ht="15" hidden="false" customHeight="false" outlineLevel="0" collapsed="false">
      <c r="A2904" s="22" t="s">
        <v>6540</v>
      </c>
      <c r="B2904" s="22" t="s">
        <v>6541</v>
      </c>
      <c r="C2904" s="22" t="s">
        <v>162</v>
      </c>
      <c r="D2904" s="22" t="s">
        <v>1922</v>
      </c>
      <c r="E2904" s="22" t="n">
        <v>31.4</v>
      </c>
      <c r="F2904" s="22" t="s">
        <v>164</v>
      </c>
    </row>
    <row r="2905" customFormat="false" ht="15" hidden="false" customHeight="false" outlineLevel="0" collapsed="false">
      <c r="A2905" s="22" t="s">
        <v>6542</v>
      </c>
      <c r="B2905" s="22" t="s">
        <v>6543</v>
      </c>
      <c r="C2905" s="22" t="s">
        <v>162</v>
      </c>
      <c r="D2905" s="22" t="s">
        <v>2265</v>
      </c>
      <c r="E2905" s="22" t="n">
        <v>33.7</v>
      </c>
      <c r="F2905" s="22" t="s">
        <v>164</v>
      </c>
    </row>
    <row r="2906" customFormat="false" ht="15" hidden="false" customHeight="false" outlineLevel="0" collapsed="false">
      <c r="A2906" s="22" t="s">
        <v>6544</v>
      </c>
      <c r="B2906" s="22" t="s">
        <v>6545</v>
      </c>
      <c r="C2906" s="22" t="s">
        <v>162</v>
      </c>
      <c r="D2906" s="22" t="s">
        <v>367</v>
      </c>
      <c r="E2906" s="22" t="n">
        <v>22.6</v>
      </c>
      <c r="F2906" s="22" t="s">
        <v>188</v>
      </c>
    </row>
    <row r="2907" customFormat="false" ht="15" hidden="false" customHeight="false" outlineLevel="0" collapsed="false">
      <c r="A2907" s="22" t="s">
        <v>6546</v>
      </c>
      <c r="B2907" s="22" t="s">
        <v>6547</v>
      </c>
      <c r="C2907" s="22" t="s">
        <v>162</v>
      </c>
      <c r="D2907" s="22" t="s">
        <v>528</v>
      </c>
      <c r="E2907" s="22" t="n">
        <v>41.5</v>
      </c>
      <c r="F2907" s="22" t="s">
        <v>164</v>
      </c>
    </row>
    <row r="2908" customFormat="false" ht="15" hidden="false" customHeight="false" outlineLevel="0" collapsed="false">
      <c r="A2908" s="22" t="s">
        <v>6548</v>
      </c>
      <c r="B2908" s="22" t="s">
        <v>6549</v>
      </c>
      <c r="C2908" s="22" t="s">
        <v>162</v>
      </c>
      <c r="D2908" s="22" t="s">
        <v>2610</v>
      </c>
      <c r="E2908" s="22" t="n">
        <v>35.9</v>
      </c>
      <c r="F2908" s="22" t="s">
        <v>175</v>
      </c>
    </row>
    <row r="2909" customFormat="false" ht="15" hidden="false" customHeight="false" outlineLevel="0" collapsed="false">
      <c r="A2909" s="22" t="s">
        <v>6550</v>
      </c>
      <c r="B2909" s="22" t="s">
        <v>6551</v>
      </c>
      <c r="C2909" s="22" t="s">
        <v>157</v>
      </c>
      <c r="D2909" s="22" t="s">
        <v>1713</v>
      </c>
      <c r="E2909" s="22" t="n">
        <v>50.1</v>
      </c>
      <c r="F2909" s="22" t="s">
        <v>164</v>
      </c>
    </row>
    <row r="2910" customFormat="false" ht="15" hidden="false" customHeight="false" outlineLevel="0" collapsed="false">
      <c r="A2910" s="22" t="s">
        <v>6552</v>
      </c>
      <c r="B2910" s="22" t="s">
        <v>6553</v>
      </c>
      <c r="C2910" s="22" t="s">
        <v>162</v>
      </c>
      <c r="D2910" s="22" t="s">
        <v>2297</v>
      </c>
      <c r="E2910" s="22" t="n">
        <v>30.5</v>
      </c>
      <c r="F2910" s="22" t="s">
        <v>499</v>
      </c>
    </row>
    <row r="2911" customFormat="false" ht="15" hidden="false" customHeight="false" outlineLevel="0" collapsed="false">
      <c r="A2911" s="22" t="s">
        <v>6554</v>
      </c>
      <c r="B2911" s="22" t="s">
        <v>6555</v>
      </c>
      <c r="C2911" s="22" t="s">
        <v>162</v>
      </c>
      <c r="D2911" s="22" t="s">
        <v>2998</v>
      </c>
      <c r="E2911" s="22" t="n">
        <v>44.8</v>
      </c>
      <c r="F2911" s="22" t="s">
        <v>215</v>
      </c>
    </row>
  </sheetData>
  <autoFilter ref="A1:F2911"/>
  <printOptions headings="false" gridLines="false" gridLinesSet="true" horizontalCentered="false" verticalCentered="false"/>
  <pageMargins left="0.25" right="0.25" top="0.45" bottom="0.45" header="0.511811023622047" footer="0.2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&amp;C&amp;7 Page &amp;P of &amp;N&amp;R&amp;7 Chaldale Harbor District | 2026-08-07</oddFooter>
  </headerFooter>
  <drawing r:id="rId1"/>
  <tableParts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R118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customHeight="true" zeroHeight="false" outlineLevelRow="0" outlineLevelCol="0"/>
  <cols>
    <col collapsed="false" customWidth="true" hidden="false" outlineLevel="0" max="1" min="1" style="0" width="13"/>
    <col collapsed="false" customWidth="true" hidden="false" outlineLevel="0" max="2" min="2" style="0" width="14"/>
    <col collapsed="false" customWidth="true" hidden="false" outlineLevel="0" max="3" min="3" style="0" width="12"/>
    <col collapsed="false" customWidth="true" hidden="false" outlineLevel="0" max="10" min="10" style="0" width="14"/>
    <col collapsed="false" customWidth="true" hidden="false" outlineLevel="0" max="12" min="12" style="0" width="14"/>
    <col collapsed="false" customWidth="true" hidden="false" outlineLevel="0" max="13" min="13" style="0" width="24"/>
    <col collapsed="false" customWidth="true" hidden="false" outlineLevel="0" max="14" min="14" style="0" width="22"/>
    <col collapsed="false" customWidth="true" hidden="false" outlineLevel="0" max="15" min="15" style="0" width="12"/>
  </cols>
  <sheetData>
    <row r="1" customFormat="false" ht="30" hidden="false" customHeight="true" outlineLevel="0" collapsed="false">
      <c r="A1" s="13" t="s">
        <v>6556</v>
      </c>
      <c r="B1" s="13" t="s">
        <v>6557</v>
      </c>
      <c r="C1" s="13" t="s">
        <v>6558</v>
      </c>
      <c r="D1" s="13" t="s">
        <v>6559</v>
      </c>
      <c r="E1" s="13" t="s">
        <v>6560</v>
      </c>
      <c r="F1" s="13" t="s">
        <v>6561</v>
      </c>
      <c r="G1" s="13" t="s">
        <v>6562</v>
      </c>
      <c r="H1" s="13" t="s">
        <v>6563</v>
      </c>
      <c r="I1" s="13" t="s">
        <v>6564</v>
      </c>
      <c r="J1" s="13" t="s">
        <v>151</v>
      </c>
      <c r="K1" s="13" t="s">
        <v>6565</v>
      </c>
      <c r="L1" s="13" t="s">
        <v>6566</v>
      </c>
      <c r="M1" s="13" t="s">
        <v>6567</v>
      </c>
      <c r="N1" s="13" t="s">
        <v>152</v>
      </c>
      <c r="O1" s="13" t="s">
        <v>6568</v>
      </c>
      <c r="P1" s="13" t="s">
        <v>6569</v>
      </c>
      <c r="Q1" s="13" t="s">
        <v>6570</v>
      </c>
      <c r="R1" s="13" t="s">
        <v>6571</v>
      </c>
    </row>
    <row r="2" customFormat="false" ht="15" hidden="false" customHeight="false" outlineLevel="0" collapsed="false">
      <c r="A2" s="22" t="s">
        <v>6572</v>
      </c>
      <c r="B2" s="22" t="s">
        <v>198</v>
      </c>
      <c r="C2" s="22" t="s">
        <v>6562</v>
      </c>
      <c r="D2" s="22" t="s">
        <v>6573</v>
      </c>
      <c r="E2" s="22" t="n">
        <v>24</v>
      </c>
      <c r="F2" s="22" t="s">
        <v>6574</v>
      </c>
      <c r="G2" s="22" t="s">
        <v>6575</v>
      </c>
      <c r="H2" s="22" t="n">
        <v>9</v>
      </c>
      <c r="I2" s="22" t="s">
        <v>6576</v>
      </c>
      <c r="J2" s="22" t="s">
        <v>6577</v>
      </c>
      <c r="K2" s="22" t="s">
        <v>6578</v>
      </c>
      <c r="L2" s="22" t="s">
        <v>3591</v>
      </c>
      <c r="M2" s="22" t="s">
        <v>3592</v>
      </c>
      <c r="N2" s="22" t="s">
        <v>1210</v>
      </c>
      <c r="O2" s="22" t="n">
        <v>51</v>
      </c>
      <c r="P2" s="22" t="n">
        <v>10.4</v>
      </c>
      <c r="Q2" s="22" t="s">
        <v>6579</v>
      </c>
      <c r="R2" s="22"/>
    </row>
    <row r="3" customFormat="false" ht="15" hidden="false" customHeight="false" outlineLevel="0" collapsed="false">
      <c r="A3" s="22" t="s">
        <v>6580</v>
      </c>
      <c r="B3" s="22" t="s">
        <v>198</v>
      </c>
      <c r="C3" s="22" t="s">
        <v>6562</v>
      </c>
      <c r="D3" s="22" t="s">
        <v>6573</v>
      </c>
      <c r="E3" s="22" t="n">
        <v>40</v>
      </c>
      <c r="F3" s="22" t="s">
        <v>6581</v>
      </c>
      <c r="G3" s="22" t="s">
        <v>6575</v>
      </c>
      <c r="H3" s="22" t="n">
        <v>14</v>
      </c>
      <c r="I3" s="22" t="s">
        <v>6582</v>
      </c>
      <c r="J3" s="22" t="s">
        <v>6577</v>
      </c>
      <c r="K3" s="22" t="s">
        <v>6583</v>
      </c>
      <c r="L3" s="22" t="s">
        <v>3531</v>
      </c>
      <c r="M3" s="22" t="s">
        <v>3532</v>
      </c>
      <c r="N3" s="22" t="s">
        <v>629</v>
      </c>
      <c r="O3" s="22" t="n">
        <v>21.9</v>
      </c>
      <c r="P3" s="22" t="n">
        <v>10.4</v>
      </c>
      <c r="Q3" s="22" t="s">
        <v>6584</v>
      </c>
      <c r="R3" s="22"/>
    </row>
    <row r="4" customFormat="false" ht="15" hidden="false" customHeight="false" outlineLevel="0" collapsed="false">
      <c r="A4" s="22" t="s">
        <v>6585</v>
      </c>
      <c r="B4" s="22" t="s">
        <v>198</v>
      </c>
      <c r="C4" s="22" t="s">
        <v>6562</v>
      </c>
      <c r="D4" s="22" t="s">
        <v>6573</v>
      </c>
      <c r="E4" s="22" t="n">
        <v>28</v>
      </c>
      <c r="F4" s="22" t="s">
        <v>6574</v>
      </c>
      <c r="G4" s="22" t="s">
        <v>6575</v>
      </c>
      <c r="H4" s="22" t="n">
        <v>10</v>
      </c>
      <c r="I4" s="22" t="s">
        <v>6576</v>
      </c>
      <c r="J4" s="22" t="s">
        <v>6577</v>
      </c>
      <c r="K4" s="22" t="s">
        <v>6586</v>
      </c>
      <c r="L4" s="22" t="s">
        <v>1375</v>
      </c>
      <c r="M4" s="22" t="s">
        <v>1376</v>
      </c>
      <c r="N4" s="22" t="s">
        <v>1304</v>
      </c>
      <c r="O4" s="22" t="n">
        <v>32.7</v>
      </c>
      <c r="P4" s="22" t="n">
        <v>10.4</v>
      </c>
      <c r="Q4" s="22" t="s">
        <v>6587</v>
      </c>
      <c r="R4" s="22"/>
    </row>
    <row r="5" customFormat="false" ht="15" hidden="false" customHeight="false" outlineLevel="0" collapsed="false">
      <c r="A5" s="22" t="s">
        <v>6588</v>
      </c>
      <c r="B5" s="22" t="s">
        <v>198</v>
      </c>
      <c r="C5" s="22" t="s">
        <v>6562</v>
      </c>
      <c r="D5" s="22" t="s">
        <v>6573</v>
      </c>
      <c r="E5" s="22" t="n">
        <v>24</v>
      </c>
      <c r="F5" s="22" t="s">
        <v>6574</v>
      </c>
      <c r="G5" s="22" t="s">
        <v>6575</v>
      </c>
      <c r="H5" s="22" t="n">
        <v>9</v>
      </c>
      <c r="I5" s="22" t="s">
        <v>6576</v>
      </c>
      <c r="J5" s="22" t="s">
        <v>6577</v>
      </c>
      <c r="K5" s="22" t="s">
        <v>6589</v>
      </c>
      <c r="L5" s="22" t="s">
        <v>5989</v>
      </c>
      <c r="M5" s="22" t="s">
        <v>5990</v>
      </c>
      <c r="N5" s="22" t="s">
        <v>5991</v>
      </c>
      <c r="O5" s="22" t="n">
        <v>42.8</v>
      </c>
      <c r="P5" s="22" t="n">
        <v>10.4</v>
      </c>
      <c r="Q5" s="22" t="s">
        <v>6590</v>
      </c>
      <c r="R5" s="22"/>
    </row>
    <row r="6" customFormat="false" ht="15" hidden="false" customHeight="false" outlineLevel="0" collapsed="false">
      <c r="A6" s="22" t="s">
        <v>6591</v>
      </c>
      <c r="B6" s="22" t="s">
        <v>198</v>
      </c>
      <c r="C6" s="22" t="s">
        <v>6562</v>
      </c>
      <c r="D6" s="22" t="s">
        <v>6573</v>
      </c>
      <c r="E6" s="22" t="n">
        <v>36</v>
      </c>
      <c r="F6" s="22" t="s">
        <v>6581</v>
      </c>
      <c r="G6" s="22" t="s">
        <v>6575</v>
      </c>
      <c r="H6" s="22" t="n">
        <v>13</v>
      </c>
      <c r="I6" s="22" t="s">
        <v>6582</v>
      </c>
      <c r="J6" s="22" t="s">
        <v>6577</v>
      </c>
      <c r="K6" s="22" t="s">
        <v>6592</v>
      </c>
      <c r="L6" s="22" t="s">
        <v>6485</v>
      </c>
      <c r="M6" s="22" t="s">
        <v>6486</v>
      </c>
      <c r="N6" s="22" t="s">
        <v>543</v>
      </c>
      <c r="O6" s="22" t="n">
        <v>39</v>
      </c>
      <c r="P6" s="22" t="n">
        <v>10.4</v>
      </c>
      <c r="Q6" s="22" t="s">
        <v>6593</v>
      </c>
      <c r="R6" s="22"/>
    </row>
    <row r="7" customFormat="false" ht="15" hidden="false" customHeight="false" outlineLevel="0" collapsed="false">
      <c r="A7" s="22" t="s">
        <v>6594</v>
      </c>
      <c r="B7" s="22" t="s">
        <v>198</v>
      </c>
      <c r="C7" s="22" t="s">
        <v>6562</v>
      </c>
      <c r="D7" s="22" t="s">
        <v>6573</v>
      </c>
      <c r="E7" s="22" t="n">
        <v>24</v>
      </c>
      <c r="F7" s="22" t="s">
        <v>6574</v>
      </c>
      <c r="G7" s="22" t="s">
        <v>6575</v>
      </c>
      <c r="H7" s="22" t="n">
        <v>9</v>
      </c>
      <c r="I7" s="22" t="s">
        <v>6576</v>
      </c>
      <c r="J7" s="22" t="s">
        <v>6577</v>
      </c>
      <c r="K7" s="22" t="s">
        <v>6595</v>
      </c>
      <c r="L7" s="22" t="s">
        <v>3331</v>
      </c>
      <c r="M7" s="22" t="s">
        <v>3332</v>
      </c>
      <c r="N7" s="22" t="s">
        <v>174</v>
      </c>
      <c r="O7" s="22" t="n">
        <v>39</v>
      </c>
      <c r="P7" s="22" t="n">
        <v>10.4</v>
      </c>
      <c r="Q7" s="22" t="s">
        <v>6596</v>
      </c>
      <c r="R7" s="22"/>
    </row>
    <row r="8" customFormat="false" ht="15" hidden="false" customHeight="false" outlineLevel="0" collapsed="false">
      <c r="A8" s="22" t="s">
        <v>6597</v>
      </c>
      <c r="B8" s="22" t="s">
        <v>198</v>
      </c>
      <c r="C8" s="22" t="s">
        <v>6562</v>
      </c>
      <c r="D8" s="22" t="s">
        <v>6573</v>
      </c>
      <c r="E8" s="22" t="n">
        <v>24</v>
      </c>
      <c r="F8" s="22" t="s">
        <v>6574</v>
      </c>
      <c r="G8" s="22" t="s">
        <v>6575</v>
      </c>
      <c r="H8" s="22" t="n">
        <v>9</v>
      </c>
      <c r="I8" s="22" t="s">
        <v>6576</v>
      </c>
      <c r="J8" s="22" t="s">
        <v>6577</v>
      </c>
      <c r="K8" s="22" t="s">
        <v>6598</v>
      </c>
      <c r="L8" s="22" t="s">
        <v>3926</v>
      </c>
      <c r="M8" s="22" t="s">
        <v>3927</v>
      </c>
      <c r="N8" s="22" t="s">
        <v>184</v>
      </c>
      <c r="O8" s="22" t="n">
        <v>30.4</v>
      </c>
      <c r="P8" s="22" t="n">
        <v>10.4</v>
      </c>
      <c r="Q8" s="22" t="s">
        <v>6599</v>
      </c>
      <c r="R8" s="22"/>
    </row>
    <row r="9" customFormat="false" ht="15" hidden="false" customHeight="false" outlineLevel="0" collapsed="false">
      <c r="A9" s="22" t="s">
        <v>6600</v>
      </c>
      <c r="B9" s="22" t="s">
        <v>198</v>
      </c>
      <c r="C9" s="22" t="s">
        <v>6562</v>
      </c>
      <c r="D9" s="22" t="s">
        <v>6573</v>
      </c>
      <c r="E9" s="22" t="n">
        <v>32</v>
      </c>
      <c r="F9" s="22" t="s">
        <v>6581</v>
      </c>
      <c r="G9" s="22" t="s">
        <v>6575</v>
      </c>
      <c r="H9" s="22" t="n">
        <v>12</v>
      </c>
      <c r="I9" s="22" t="s">
        <v>6576</v>
      </c>
      <c r="J9" s="22" t="s">
        <v>6577</v>
      </c>
      <c r="K9" s="22" t="s">
        <v>6601</v>
      </c>
      <c r="L9" s="22" t="s">
        <v>1654</v>
      </c>
      <c r="M9" s="22" t="s">
        <v>1655</v>
      </c>
      <c r="N9" s="22" t="s">
        <v>1656</v>
      </c>
      <c r="O9" s="22" t="n">
        <v>23.4</v>
      </c>
      <c r="P9" s="22" t="n">
        <v>10.4</v>
      </c>
      <c r="Q9" s="22" t="s">
        <v>6602</v>
      </c>
      <c r="R9" s="22"/>
    </row>
    <row r="10" customFormat="false" ht="15" hidden="false" customHeight="false" outlineLevel="0" collapsed="false">
      <c r="A10" s="22" t="s">
        <v>6603</v>
      </c>
      <c r="B10" s="22" t="s">
        <v>198</v>
      </c>
      <c r="C10" s="22" t="s">
        <v>6562</v>
      </c>
      <c r="D10" s="22" t="s">
        <v>6573</v>
      </c>
      <c r="E10" s="22" t="n">
        <v>32</v>
      </c>
      <c r="F10" s="22" t="s">
        <v>6581</v>
      </c>
      <c r="G10" s="22" t="s">
        <v>6575</v>
      </c>
      <c r="H10" s="22" t="n">
        <v>12</v>
      </c>
      <c r="I10" s="22" t="s">
        <v>6576</v>
      </c>
      <c r="J10" s="22" t="s">
        <v>6577</v>
      </c>
      <c r="K10" s="22" t="s">
        <v>6604</v>
      </c>
      <c r="L10" s="22" t="s">
        <v>4256</v>
      </c>
      <c r="M10" s="22" t="s">
        <v>4257</v>
      </c>
      <c r="N10" s="22" t="s">
        <v>567</v>
      </c>
      <c r="O10" s="22" t="n">
        <v>20.8</v>
      </c>
      <c r="P10" s="22" t="n">
        <v>10.4</v>
      </c>
      <c r="Q10" s="22" t="s">
        <v>6605</v>
      </c>
      <c r="R10" s="22"/>
    </row>
    <row r="11" customFormat="false" ht="15" hidden="false" customHeight="false" outlineLevel="0" collapsed="false">
      <c r="A11" s="22" t="s">
        <v>6606</v>
      </c>
      <c r="B11" s="22" t="s">
        <v>198</v>
      </c>
      <c r="C11" s="22" t="s">
        <v>6562</v>
      </c>
      <c r="D11" s="22" t="s">
        <v>6573</v>
      </c>
      <c r="E11" s="22" t="n">
        <v>28</v>
      </c>
      <c r="F11" s="22" t="s">
        <v>6574</v>
      </c>
      <c r="G11" s="22" t="s">
        <v>6575</v>
      </c>
      <c r="H11" s="22" t="n">
        <v>10</v>
      </c>
      <c r="I11" s="22" t="s">
        <v>6576</v>
      </c>
      <c r="J11" s="22" t="s">
        <v>6577</v>
      </c>
      <c r="K11" s="22" t="s">
        <v>6607</v>
      </c>
      <c r="L11" s="22" t="s">
        <v>5016</v>
      </c>
      <c r="M11" s="22" t="s">
        <v>5017</v>
      </c>
      <c r="N11" s="22" t="s">
        <v>307</v>
      </c>
      <c r="O11" s="22" t="n">
        <v>26</v>
      </c>
      <c r="P11" s="22" t="n">
        <v>10.4</v>
      </c>
      <c r="Q11" s="22" t="s">
        <v>6608</v>
      </c>
      <c r="R11" s="22"/>
    </row>
    <row r="12" customFormat="false" ht="15" hidden="false" customHeight="false" outlineLevel="0" collapsed="false">
      <c r="A12" s="22" t="s">
        <v>6609</v>
      </c>
      <c r="B12" s="22" t="s">
        <v>198</v>
      </c>
      <c r="C12" s="22" t="s">
        <v>6562</v>
      </c>
      <c r="D12" s="22" t="s">
        <v>6573</v>
      </c>
      <c r="E12" s="22" t="n">
        <v>40</v>
      </c>
      <c r="F12" s="22" t="s">
        <v>6581</v>
      </c>
      <c r="G12" s="22" t="s">
        <v>6575</v>
      </c>
      <c r="H12" s="22" t="n">
        <v>14</v>
      </c>
      <c r="I12" s="22" t="s">
        <v>6582</v>
      </c>
      <c r="J12" s="22" t="s">
        <v>6577</v>
      </c>
      <c r="K12" s="22" t="s">
        <v>6610</v>
      </c>
      <c r="L12" s="22" t="s">
        <v>5981</v>
      </c>
      <c r="M12" s="22" t="s">
        <v>5982</v>
      </c>
      <c r="N12" s="22" t="s">
        <v>1006</v>
      </c>
      <c r="O12" s="22" t="n">
        <v>53.5</v>
      </c>
      <c r="P12" s="22" t="n">
        <v>10.4</v>
      </c>
      <c r="Q12" s="22" t="s">
        <v>6611</v>
      </c>
      <c r="R12" s="22"/>
    </row>
    <row r="13" customFormat="false" ht="15" hidden="false" customHeight="false" outlineLevel="0" collapsed="false">
      <c r="A13" s="22" t="s">
        <v>6612</v>
      </c>
      <c r="B13" s="22" t="s">
        <v>198</v>
      </c>
      <c r="C13" s="22" t="s">
        <v>6562</v>
      </c>
      <c r="D13" s="22" t="s">
        <v>6573</v>
      </c>
      <c r="E13" s="22" t="n">
        <v>32</v>
      </c>
      <c r="F13" s="22" t="s">
        <v>6581</v>
      </c>
      <c r="G13" s="22" t="s">
        <v>6575</v>
      </c>
      <c r="H13" s="22" t="n">
        <v>12</v>
      </c>
      <c r="I13" s="22" t="s">
        <v>6576</v>
      </c>
      <c r="J13" s="22" t="s">
        <v>6613</v>
      </c>
      <c r="K13" s="22"/>
      <c r="L13" s="22"/>
      <c r="M13" s="22"/>
      <c r="N13" s="22"/>
      <c r="O13" s="22"/>
      <c r="P13" s="22" t="n">
        <v>10.4</v>
      </c>
      <c r="Q13" s="22" t="s">
        <v>6614</v>
      </c>
      <c r="R13" s="22"/>
    </row>
    <row r="14" customFormat="false" ht="15" hidden="false" customHeight="false" outlineLevel="0" collapsed="false">
      <c r="A14" s="22" t="s">
        <v>6615</v>
      </c>
      <c r="B14" s="22" t="s">
        <v>198</v>
      </c>
      <c r="C14" s="22" t="s">
        <v>6562</v>
      </c>
      <c r="D14" s="22" t="s">
        <v>6573</v>
      </c>
      <c r="E14" s="22" t="n">
        <v>36</v>
      </c>
      <c r="F14" s="22" t="s">
        <v>6581</v>
      </c>
      <c r="G14" s="22" t="s">
        <v>6575</v>
      </c>
      <c r="H14" s="22" t="n">
        <v>13</v>
      </c>
      <c r="I14" s="22" t="s">
        <v>6582</v>
      </c>
      <c r="J14" s="22" t="s">
        <v>6577</v>
      </c>
      <c r="K14" s="22" t="s">
        <v>6616</v>
      </c>
      <c r="L14" s="22" t="s">
        <v>4245</v>
      </c>
      <c r="M14" s="22" t="s">
        <v>1479</v>
      </c>
      <c r="N14" s="22" t="s">
        <v>1045</v>
      </c>
      <c r="O14" s="22" t="n">
        <v>26</v>
      </c>
      <c r="P14" s="22" t="n">
        <v>10.4</v>
      </c>
      <c r="Q14" s="22" t="s">
        <v>6617</v>
      </c>
      <c r="R14" s="22"/>
    </row>
    <row r="15" customFormat="false" ht="15" hidden="false" customHeight="false" outlineLevel="0" collapsed="false">
      <c r="A15" s="22" t="s">
        <v>6618</v>
      </c>
      <c r="B15" s="22" t="s">
        <v>198</v>
      </c>
      <c r="C15" s="22" t="s">
        <v>6562</v>
      </c>
      <c r="D15" s="22" t="s">
        <v>6573</v>
      </c>
      <c r="E15" s="22" t="n">
        <v>24</v>
      </c>
      <c r="F15" s="22" t="s">
        <v>6574</v>
      </c>
      <c r="G15" s="22" t="s">
        <v>6575</v>
      </c>
      <c r="H15" s="22" t="n">
        <v>9</v>
      </c>
      <c r="I15" s="22" t="s">
        <v>6576</v>
      </c>
      <c r="J15" s="22" t="s">
        <v>6577</v>
      </c>
      <c r="K15" s="22" t="s">
        <v>6619</v>
      </c>
      <c r="L15" s="22" t="s">
        <v>3161</v>
      </c>
      <c r="M15" s="22" t="s">
        <v>3162</v>
      </c>
      <c r="N15" s="22" t="s">
        <v>1262</v>
      </c>
      <c r="O15" s="22" t="n">
        <v>28.2</v>
      </c>
      <c r="P15" s="22" t="n">
        <v>10.4</v>
      </c>
      <c r="Q15" s="22" t="s">
        <v>6620</v>
      </c>
      <c r="R15" s="22"/>
    </row>
    <row r="16" customFormat="false" ht="15" hidden="false" customHeight="false" outlineLevel="0" collapsed="false">
      <c r="A16" s="22" t="s">
        <v>6621</v>
      </c>
      <c r="B16" s="22" t="s">
        <v>198</v>
      </c>
      <c r="C16" s="22" t="s">
        <v>6562</v>
      </c>
      <c r="D16" s="22" t="s">
        <v>6573</v>
      </c>
      <c r="E16" s="22" t="n">
        <v>28</v>
      </c>
      <c r="F16" s="22" t="s">
        <v>6574</v>
      </c>
      <c r="G16" s="22" t="s">
        <v>6575</v>
      </c>
      <c r="H16" s="22" t="n">
        <v>10</v>
      </c>
      <c r="I16" s="22" t="s">
        <v>6576</v>
      </c>
      <c r="J16" s="22" t="s">
        <v>6577</v>
      </c>
      <c r="K16" s="22" t="s">
        <v>6622</v>
      </c>
      <c r="L16" s="22" t="s">
        <v>4614</v>
      </c>
      <c r="M16" s="22" t="s">
        <v>4615</v>
      </c>
      <c r="N16" s="22" t="s">
        <v>1229</v>
      </c>
      <c r="O16" s="22" t="n">
        <v>18.8</v>
      </c>
      <c r="P16" s="22" t="n">
        <v>10.4</v>
      </c>
      <c r="Q16" s="22" t="s">
        <v>6623</v>
      </c>
      <c r="R16" s="22"/>
    </row>
    <row r="17" customFormat="false" ht="15" hidden="false" customHeight="false" outlineLevel="0" collapsed="false">
      <c r="A17" s="22" t="s">
        <v>6624</v>
      </c>
      <c r="B17" s="22" t="s">
        <v>198</v>
      </c>
      <c r="C17" s="22" t="s">
        <v>6562</v>
      </c>
      <c r="D17" s="22" t="s">
        <v>6573</v>
      </c>
      <c r="E17" s="22" t="n">
        <v>28</v>
      </c>
      <c r="F17" s="22" t="s">
        <v>6574</v>
      </c>
      <c r="G17" s="22" t="s">
        <v>6575</v>
      </c>
      <c r="H17" s="22" t="n">
        <v>10</v>
      </c>
      <c r="I17" s="22" t="s">
        <v>6576</v>
      </c>
      <c r="J17" s="22" t="s">
        <v>6577</v>
      </c>
      <c r="K17" s="22" t="s">
        <v>6625</v>
      </c>
      <c r="L17" s="22" t="s">
        <v>2708</v>
      </c>
      <c r="M17" s="22" t="s">
        <v>2709</v>
      </c>
      <c r="N17" s="22" t="s">
        <v>1758</v>
      </c>
      <c r="O17" s="22" t="n">
        <v>19.2</v>
      </c>
      <c r="P17" s="22" t="n">
        <v>10.4</v>
      </c>
      <c r="Q17" s="22" t="s">
        <v>6626</v>
      </c>
      <c r="R17" s="22"/>
    </row>
    <row r="18" customFormat="false" ht="15" hidden="false" customHeight="false" outlineLevel="0" collapsed="false">
      <c r="A18" s="22" t="s">
        <v>6627</v>
      </c>
      <c r="B18" s="22" t="s">
        <v>198</v>
      </c>
      <c r="C18" s="22" t="s">
        <v>6562</v>
      </c>
      <c r="D18" s="22" t="s">
        <v>6573</v>
      </c>
      <c r="E18" s="22" t="n">
        <v>32</v>
      </c>
      <c r="F18" s="22" t="s">
        <v>6581</v>
      </c>
      <c r="G18" s="22" t="s">
        <v>6575</v>
      </c>
      <c r="H18" s="22" t="n">
        <v>12</v>
      </c>
      <c r="I18" s="22" t="s">
        <v>6576</v>
      </c>
      <c r="J18" s="22" t="s">
        <v>6577</v>
      </c>
      <c r="K18" s="22" t="s">
        <v>6628</v>
      </c>
      <c r="L18" s="22" t="s">
        <v>1159</v>
      </c>
      <c r="M18" s="22" t="s">
        <v>1160</v>
      </c>
      <c r="N18" s="22" t="s">
        <v>1054</v>
      </c>
      <c r="O18" s="22" t="n">
        <v>28.7</v>
      </c>
      <c r="P18" s="22" t="n">
        <v>10.4</v>
      </c>
      <c r="Q18" s="22" t="s">
        <v>6629</v>
      </c>
      <c r="R18" s="22"/>
    </row>
    <row r="19" customFormat="false" ht="15" hidden="false" customHeight="false" outlineLevel="0" collapsed="false">
      <c r="A19" s="22" t="s">
        <v>6630</v>
      </c>
      <c r="B19" s="22" t="s">
        <v>198</v>
      </c>
      <c r="C19" s="22" t="s">
        <v>6562</v>
      </c>
      <c r="D19" s="22" t="s">
        <v>6573</v>
      </c>
      <c r="E19" s="22" t="n">
        <v>24</v>
      </c>
      <c r="F19" s="22" t="s">
        <v>6574</v>
      </c>
      <c r="G19" s="22" t="s">
        <v>6575</v>
      </c>
      <c r="H19" s="22" t="n">
        <v>9</v>
      </c>
      <c r="I19" s="22" t="s">
        <v>6576</v>
      </c>
      <c r="J19" s="22" t="s">
        <v>6577</v>
      </c>
      <c r="K19" s="22" t="s">
        <v>6631</v>
      </c>
      <c r="L19" s="22" t="s">
        <v>6005</v>
      </c>
      <c r="M19" s="22" t="s">
        <v>6006</v>
      </c>
      <c r="N19" s="22" t="s">
        <v>975</v>
      </c>
      <c r="O19" s="22" t="n">
        <v>22.1</v>
      </c>
      <c r="P19" s="22" t="n">
        <v>10.4</v>
      </c>
      <c r="Q19" s="22" t="s">
        <v>6632</v>
      </c>
      <c r="R19" s="22"/>
    </row>
    <row r="20" customFormat="false" ht="15" hidden="false" customHeight="false" outlineLevel="0" collapsed="false">
      <c r="A20" s="22" t="s">
        <v>6633</v>
      </c>
      <c r="B20" s="22" t="s">
        <v>198</v>
      </c>
      <c r="C20" s="22" t="s">
        <v>6562</v>
      </c>
      <c r="D20" s="22" t="s">
        <v>6573</v>
      </c>
      <c r="E20" s="22" t="n">
        <v>24</v>
      </c>
      <c r="F20" s="22" t="s">
        <v>6574</v>
      </c>
      <c r="G20" s="22" t="s">
        <v>6575</v>
      </c>
      <c r="H20" s="22" t="n">
        <v>9</v>
      </c>
      <c r="I20" s="22" t="s">
        <v>6576</v>
      </c>
      <c r="J20" s="22" t="s">
        <v>6577</v>
      </c>
      <c r="K20" s="22" t="s">
        <v>6634</v>
      </c>
      <c r="L20" s="22" t="s">
        <v>2373</v>
      </c>
      <c r="M20" s="22" t="s">
        <v>2374</v>
      </c>
      <c r="N20" s="22" t="s">
        <v>1253</v>
      </c>
      <c r="O20" s="22" t="n">
        <v>43.5</v>
      </c>
      <c r="P20" s="22" t="n">
        <v>10.4</v>
      </c>
      <c r="Q20" s="22" t="s">
        <v>6635</v>
      </c>
      <c r="R20" s="22"/>
    </row>
    <row r="21" customFormat="false" ht="15" hidden="false" customHeight="false" outlineLevel="0" collapsed="false">
      <c r="A21" s="22" t="s">
        <v>6636</v>
      </c>
      <c r="B21" s="22" t="s">
        <v>198</v>
      </c>
      <c r="C21" s="22" t="s">
        <v>6562</v>
      </c>
      <c r="D21" s="22" t="s">
        <v>6573</v>
      </c>
      <c r="E21" s="22" t="n">
        <v>32</v>
      </c>
      <c r="F21" s="22" t="s">
        <v>6581</v>
      </c>
      <c r="G21" s="22" t="s">
        <v>6575</v>
      </c>
      <c r="H21" s="22" t="n">
        <v>12</v>
      </c>
      <c r="I21" s="22" t="s">
        <v>6576</v>
      </c>
      <c r="J21" s="22" t="s">
        <v>6577</v>
      </c>
      <c r="K21" s="22" t="s">
        <v>6637</v>
      </c>
      <c r="L21" s="22" t="s">
        <v>4991</v>
      </c>
      <c r="M21" s="22" t="s">
        <v>4992</v>
      </c>
      <c r="N21" s="22" t="s">
        <v>4993</v>
      </c>
      <c r="O21" s="22" t="n">
        <v>30.8</v>
      </c>
      <c r="P21" s="22" t="n">
        <v>10.4</v>
      </c>
      <c r="Q21" s="22" t="s">
        <v>6638</v>
      </c>
      <c r="R21" s="22"/>
    </row>
    <row r="22" customFormat="false" ht="15" hidden="false" customHeight="false" outlineLevel="0" collapsed="false">
      <c r="A22" s="22" t="s">
        <v>6639</v>
      </c>
      <c r="B22" s="22" t="s">
        <v>198</v>
      </c>
      <c r="C22" s="22" t="s">
        <v>6562</v>
      </c>
      <c r="D22" s="22" t="s">
        <v>6573</v>
      </c>
      <c r="E22" s="22" t="n">
        <v>32</v>
      </c>
      <c r="F22" s="22" t="s">
        <v>6581</v>
      </c>
      <c r="G22" s="22" t="s">
        <v>6575</v>
      </c>
      <c r="H22" s="22" t="n">
        <v>12</v>
      </c>
      <c r="I22" s="22" t="s">
        <v>6576</v>
      </c>
      <c r="J22" s="22" t="s">
        <v>6577</v>
      </c>
      <c r="K22" s="22" t="s">
        <v>6640</v>
      </c>
      <c r="L22" s="22" t="s">
        <v>5693</v>
      </c>
      <c r="M22" s="22" t="s">
        <v>5694</v>
      </c>
      <c r="N22" s="22" t="s">
        <v>1646</v>
      </c>
      <c r="O22" s="22" t="n">
        <v>51.3</v>
      </c>
      <c r="P22" s="22" t="n">
        <v>10.4</v>
      </c>
      <c r="Q22" s="22" t="s">
        <v>6641</v>
      </c>
      <c r="R22" s="22"/>
    </row>
    <row r="23" customFormat="false" ht="15" hidden="false" customHeight="false" outlineLevel="0" collapsed="false">
      <c r="A23" s="22" t="s">
        <v>6642</v>
      </c>
      <c r="B23" s="22" t="s">
        <v>198</v>
      </c>
      <c r="C23" s="22" t="s">
        <v>6562</v>
      </c>
      <c r="D23" s="22" t="s">
        <v>6573</v>
      </c>
      <c r="E23" s="22" t="n">
        <v>36</v>
      </c>
      <c r="F23" s="22" t="s">
        <v>6581</v>
      </c>
      <c r="G23" s="22" t="s">
        <v>6575</v>
      </c>
      <c r="H23" s="22" t="n">
        <v>13</v>
      </c>
      <c r="I23" s="22" t="s">
        <v>6582</v>
      </c>
      <c r="J23" s="22" t="s">
        <v>6577</v>
      </c>
      <c r="K23" s="22" t="s">
        <v>6643</v>
      </c>
      <c r="L23" s="22" t="s">
        <v>2581</v>
      </c>
      <c r="M23" s="22" t="s">
        <v>2582</v>
      </c>
      <c r="N23" s="22" t="s">
        <v>2583</v>
      </c>
      <c r="O23" s="22" t="n">
        <v>48.2</v>
      </c>
      <c r="P23" s="22" t="n">
        <v>10.4</v>
      </c>
      <c r="Q23" s="22" t="s">
        <v>6644</v>
      </c>
      <c r="R23" s="22"/>
    </row>
    <row r="24" customFormat="false" ht="15" hidden="false" customHeight="false" outlineLevel="0" collapsed="false">
      <c r="A24" s="22" t="s">
        <v>6645</v>
      </c>
      <c r="B24" s="22" t="s">
        <v>198</v>
      </c>
      <c r="C24" s="22" t="s">
        <v>6562</v>
      </c>
      <c r="D24" s="22" t="s">
        <v>6573</v>
      </c>
      <c r="E24" s="22" t="n">
        <v>32</v>
      </c>
      <c r="F24" s="22" t="s">
        <v>6581</v>
      </c>
      <c r="G24" s="22" t="s">
        <v>6575</v>
      </c>
      <c r="H24" s="22" t="n">
        <v>12</v>
      </c>
      <c r="I24" s="22" t="s">
        <v>6576</v>
      </c>
      <c r="J24" s="22" t="s">
        <v>6577</v>
      </c>
      <c r="K24" s="22" t="s">
        <v>6646</v>
      </c>
      <c r="L24" s="22" t="s">
        <v>5697</v>
      </c>
      <c r="M24" s="22" t="s">
        <v>5698</v>
      </c>
      <c r="N24" s="22" t="s">
        <v>3754</v>
      </c>
      <c r="O24" s="22" t="n">
        <v>25.3</v>
      </c>
      <c r="P24" s="22" t="n">
        <v>10.4</v>
      </c>
      <c r="Q24" s="22" t="s">
        <v>6647</v>
      </c>
      <c r="R24" s="22"/>
    </row>
    <row r="25" customFormat="false" ht="15" hidden="false" customHeight="false" outlineLevel="0" collapsed="false">
      <c r="A25" s="22" t="s">
        <v>6648</v>
      </c>
      <c r="B25" s="22" t="s">
        <v>198</v>
      </c>
      <c r="C25" s="22" t="s">
        <v>6562</v>
      </c>
      <c r="D25" s="22" t="s">
        <v>6573</v>
      </c>
      <c r="E25" s="22" t="n">
        <v>28</v>
      </c>
      <c r="F25" s="22" t="s">
        <v>6574</v>
      </c>
      <c r="G25" s="22" t="s">
        <v>6575</v>
      </c>
      <c r="H25" s="22" t="n">
        <v>10</v>
      </c>
      <c r="I25" s="22" t="s">
        <v>6576</v>
      </c>
      <c r="J25" s="22" t="s">
        <v>6577</v>
      </c>
      <c r="K25" s="22" t="s">
        <v>6649</v>
      </c>
      <c r="L25" s="22" t="s">
        <v>2817</v>
      </c>
      <c r="M25" s="22" t="s">
        <v>2818</v>
      </c>
      <c r="N25" s="22" t="s">
        <v>275</v>
      </c>
      <c r="O25" s="22" t="n">
        <v>38.8</v>
      </c>
      <c r="P25" s="22" t="n">
        <v>10.4</v>
      </c>
      <c r="Q25" s="22" t="s">
        <v>6650</v>
      </c>
      <c r="R25" s="22"/>
    </row>
    <row r="26" customFormat="false" ht="15" hidden="false" customHeight="false" outlineLevel="0" collapsed="false">
      <c r="A26" s="22" t="s">
        <v>6651</v>
      </c>
      <c r="B26" s="22" t="s">
        <v>198</v>
      </c>
      <c r="C26" s="22" t="s">
        <v>6562</v>
      </c>
      <c r="D26" s="22" t="s">
        <v>6652</v>
      </c>
      <c r="E26" s="22" t="n">
        <v>36</v>
      </c>
      <c r="F26" s="22" t="s">
        <v>6581</v>
      </c>
      <c r="G26" s="22" t="s">
        <v>6575</v>
      </c>
      <c r="H26" s="22" t="n">
        <v>13</v>
      </c>
      <c r="I26" s="22" t="s">
        <v>6582</v>
      </c>
      <c r="J26" s="22" t="s">
        <v>6577</v>
      </c>
      <c r="K26" s="22" t="s">
        <v>6653</v>
      </c>
      <c r="L26" s="22" t="s">
        <v>6054</v>
      </c>
      <c r="M26" s="22" t="s">
        <v>6055</v>
      </c>
      <c r="N26" s="22" t="s">
        <v>395</v>
      </c>
      <c r="O26" s="22" t="n">
        <v>51.3</v>
      </c>
      <c r="P26" s="22" t="n">
        <v>10.4</v>
      </c>
      <c r="Q26" s="22" t="s">
        <v>6654</v>
      </c>
      <c r="R26" s="22"/>
    </row>
    <row r="27" customFormat="false" ht="15" hidden="false" customHeight="false" outlineLevel="0" collapsed="false">
      <c r="A27" s="22" t="s">
        <v>6655</v>
      </c>
      <c r="B27" s="22" t="s">
        <v>198</v>
      </c>
      <c r="C27" s="22" t="s">
        <v>6562</v>
      </c>
      <c r="D27" s="22" t="s">
        <v>6652</v>
      </c>
      <c r="E27" s="22" t="n">
        <v>36</v>
      </c>
      <c r="F27" s="22" t="s">
        <v>6581</v>
      </c>
      <c r="G27" s="22" t="s">
        <v>6575</v>
      </c>
      <c r="H27" s="22" t="n">
        <v>13</v>
      </c>
      <c r="I27" s="22" t="s">
        <v>6582</v>
      </c>
      <c r="J27" s="22" t="s">
        <v>6577</v>
      </c>
      <c r="K27" s="22" t="s">
        <v>6656</v>
      </c>
      <c r="L27" s="22" t="s">
        <v>4658</v>
      </c>
      <c r="M27" s="22" t="s">
        <v>4659</v>
      </c>
      <c r="N27" s="22" t="s">
        <v>1996</v>
      </c>
      <c r="O27" s="22" t="n">
        <v>37.5</v>
      </c>
      <c r="P27" s="22" t="n">
        <v>10.4</v>
      </c>
      <c r="Q27" s="22" t="s">
        <v>6657</v>
      </c>
      <c r="R27" s="22"/>
    </row>
    <row r="28" customFormat="false" ht="15" hidden="false" customHeight="false" outlineLevel="0" collapsed="false">
      <c r="A28" s="22" t="s">
        <v>6658</v>
      </c>
      <c r="B28" s="22" t="s">
        <v>198</v>
      </c>
      <c r="C28" s="22" t="s">
        <v>6562</v>
      </c>
      <c r="D28" s="22" t="s">
        <v>6652</v>
      </c>
      <c r="E28" s="22" t="n">
        <v>28</v>
      </c>
      <c r="F28" s="22" t="s">
        <v>6574</v>
      </c>
      <c r="G28" s="22" t="s">
        <v>6575</v>
      </c>
      <c r="H28" s="22" t="n">
        <v>10</v>
      </c>
      <c r="I28" s="22" t="s">
        <v>6576</v>
      </c>
      <c r="J28" s="22" t="s">
        <v>6577</v>
      </c>
      <c r="K28" s="22" t="s">
        <v>6659</v>
      </c>
      <c r="L28" s="22" t="s">
        <v>2244</v>
      </c>
      <c r="M28" s="22" t="s">
        <v>2245</v>
      </c>
      <c r="N28" s="22" t="s">
        <v>885</v>
      </c>
      <c r="O28" s="22" t="n">
        <v>28.3</v>
      </c>
      <c r="P28" s="22" t="n">
        <v>10.4</v>
      </c>
      <c r="Q28" s="22" t="s">
        <v>6660</v>
      </c>
      <c r="R28" s="22"/>
    </row>
    <row r="29" customFormat="false" ht="15" hidden="false" customHeight="false" outlineLevel="0" collapsed="false">
      <c r="A29" s="22" t="s">
        <v>6661</v>
      </c>
      <c r="B29" s="22" t="s">
        <v>198</v>
      </c>
      <c r="C29" s="22" t="s">
        <v>6562</v>
      </c>
      <c r="D29" s="22" t="s">
        <v>6652</v>
      </c>
      <c r="E29" s="22" t="n">
        <v>28</v>
      </c>
      <c r="F29" s="22" t="s">
        <v>6574</v>
      </c>
      <c r="G29" s="22" t="s">
        <v>6575</v>
      </c>
      <c r="H29" s="22" t="n">
        <v>10</v>
      </c>
      <c r="I29" s="22" t="s">
        <v>6576</v>
      </c>
      <c r="J29" s="22" t="s">
        <v>6577</v>
      </c>
      <c r="K29" s="22" t="s">
        <v>6662</v>
      </c>
      <c r="L29" s="22" t="s">
        <v>1703</v>
      </c>
      <c r="M29" s="22" t="s">
        <v>1704</v>
      </c>
      <c r="N29" s="22" t="s">
        <v>1705</v>
      </c>
      <c r="O29" s="22" t="n">
        <v>35.6</v>
      </c>
      <c r="P29" s="22" t="n">
        <v>10.4</v>
      </c>
      <c r="Q29" s="22" t="s">
        <v>6663</v>
      </c>
      <c r="R29" s="22"/>
    </row>
    <row r="30" customFormat="false" ht="15" hidden="false" customHeight="false" outlineLevel="0" collapsed="false">
      <c r="A30" s="22" t="s">
        <v>6664</v>
      </c>
      <c r="B30" s="22" t="s">
        <v>198</v>
      </c>
      <c r="C30" s="22" t="s">
        <v>6562</v>
      </c>
      <c r="D30" s="22" t="s">
        <v>6652</v>
      </c>
      <c r="E30" s="22" t="n">
        <v>40</v>
      </c>
      <c r="F30" s="22" t="s">
        <v>6581</v>
      </c>
      <c r="G30" s="22" t="s">
        <v>6575</v>
      </c>
      <c r="H30" s="22" t="n">
        <v>14</v>
      </c>
      <c r="I30" s="22" t="s">
        <v>6582</v>
      </c>
      <c r="J30" s="22" t="s">
        <v>6577</v>
      </c>
      <c r="K30" s="22" t="s">
        <v>6665</v>
      </c>
      <c r="L30" s="22" t="s">
        <v>1530</v>
      </c>
      <c r="M30" s="22" t="s">
        <v>1531</v>
      </c>
      <c r="N30" s="22" t="s">
        <v>1532</v>
      </c>
      <c r="O30" s="22" t="n">
        <v>23</v>
      </c>
      <c r="P30" s="22" t="n">
        <v>10.4</v>
      </c>
      <c r="Q30" s="22" t="s">
        <v>6666</v>
      </c>
      <c r="R30" s="22"/>
    </row>
    <row r="31" customFormat="false" ht="15" hidden="false" customHeight="false" outlineLevel="0" collapsed="false">
      <c r="A31" s="22" t="s">
        <v>6667</v>
      </c>
      <c r="B31" s="22" t="s">
        <v>198</v>
      </c>
      <c r="C31" s="22" t="s">
        <v>6562</v>
      </c>
      <c r="D31" s="22" t="s">
        <v>6652</v>
      </c>
      <c r="E31" s="22" t="n">
        <v>24</v>
      </c>
      <c r="F31" s="22" t="s">
        <v>6574</v>
      </c>
      <c r="G31" s="22" t="s">
        <v>6575</v>
      </c>
      <c r="H31" s="22" t="n">
        <v>9</v>
      </c>
      <c r="I31" s="22" t="s">
        <v>6576</v>
      </c>
      <c r="J31" s="22" t="s">
        <v>6577</v>
      </c>
      <c r="K31" s="22" t="s">
        <v>6668</v>
      </c>
      <c r="L31" s="22" t="s">
        <v>4893</v>
      </c>
      <c r="M31" s="22" t="s">
        <v>4894</v>
      </c>
      <c r="N31" s="22" t="s">
        <v>967</v>
      </c>
      <c r="O31" s="22" t="n">
        <v>41.4</v>
      </c>
      <c r="P31" s="22" t="n">
        <v>10.4</v>
      </c>
      <c r="Q31" s="22" t="s">
        <v>6669</v>
      </c>
      <c r="R31" s="22"/>
    </row>
    <row r="32" customFormat="false" ht="15" hidden="false" customHeight="false" outlineLevel="0" collapsed="false">
      <c r="A32" s="22" t="s">
        <v>6670</v>
      </c>
      <c r="B32" s="22" t="s">
        <v>198</v>
      </c>
      <c r="C32" s="22" t="s">
        <v>6562</v>
      </c>
      <c r="D32" s="22" t="s">
        <v>6652</v>
      </c>
      <c r="E32" s="22" t="n">
        <v>40</v>
      </c>
      <c r="F32" s="22" t="s">
        <v>6581</v>
      </c>
      <c r="G32" s="22" t="s">
        <v>6575</v>
      </c>
      <c r="H32" s="22" t="n">
        <v>14</v>
      </c>
      <c r="I32" s="22" t="s">
        <v>6582</v>
      </c>
      <c r="J32" s="22" t="s">
        <v>6671</v>
      </c>
      <c r="K32" s="22"/>
      <c r="L32" s="22"/>
      <c r="M32" s="22"/>
      <c r="N32" s="22"/>
      <c r="O32" s="22"/>
      <c r="P32" s="22" t="n">
        <v>10.4</v>
      </c>
      <c r="Q32" s="22" t="s">
        <v>6672</v>
      </c>
      <c r="R32" s="22"/>
    </row>
    <row r="33" customFormat="false" ht="15" hidden="false" customHeight="false" outlineLevel="0" collapsed="false">
      <c r="A33" s="22" t="s">
        <v>6673</v>
      </c>
      <c r="B33" s="22" t="s">
        <v>198</v>
      </c>
      <c r="C33" s="22" t="s">
        <v>6562</v>
      </c>
      <c r="D33" s="22" t="s">
        <v>6652</v>
      </c>
      <c r="E33" s="22" t="n">
        <v>32</v>
      </c>
      <c r="F33" s="22" t="s">
        <v>6581</v>
      </c>
      <c r="G33" s="22" t="s">
        <v>6575</v>
      </c>
      <c r="H33" s="22" t="n">
        <v>12</v>
      </c>
      <c r="I33" s="22" t="s">
        <v>6576</v>
      </c>
      <c r="J33" s="22" t="s">
        <v>6577</v>
      </c>
      <c r="K33" s="22" t="s">
        <v>6674</v>
      </c>
      <c r="L33" s="22" t="s">
        <v>3569</v>
      </c>
      <c r="M33" s="22" t="s">
        <v>3570</v>
      </c>
      <c r="N33" s="22" t="s">
        <v>239</v>
      </c>
      <c r="O33" s="22" t="n">
        <v>35.9</v>
      </c>
      <c r="P33" s="22" t="n">
        <v>10.4</v>
      </c>
      <c r="Q33" s="22" t="s">
        <v>6675</v>
      </c>
      <c r="R33" s="22"/>
    </row>
    <row r="34" customFormat="false" ht="15" hidden="false" customHeight="false" outlineLevel="0" collapsed="false">
      <c r="A34" s="22" t="s">
        <v>6676</v>
      </c>
      <c r="B34" s="22" t="s">
        <v>198</v>
      </c>
      <c r="C34" s="22" t="s">
        <v>6562</v>
      </c>
      <c r="D34" s="22" t="s">
        <v>6652</v>
      </c>
      <c r="E34" s="22" t="n">
        <v>32</v>
      </c>
      <c r="F34" s="22" t="s">
        <v>6581</v>
      </c>
      <c r="G34" s="22" t="s">
        <v>6575</v>
      </c>
      <c r="H34" s="22" t="n">
        <v>12</v>
      </c>
      <c r="I34" s="22" t="s">
        <v>6576</v>
      </c>
      <c r="J34" s="22" t="s">
        <v>6577</v>
      </c>
      <c r="K34" s="22" t="s">
        <v>6677</v>
      </c>
      <c r="L34" s="22" t="s">
        <v>1539</v>
      </c>
      <c r="M34" s="22" t="s">
        <v>1540</v>
      </c>
      <c r="N34" s="22" t="s">
        <v>1175</v>
      </c>
      <c r="O34" s="22" t="n">
        <v>19.8</v>
      </c>
      <c r="P34" s="22" t="n">
        <v>10.4</v>
      </c>
      <c r="Q34" s="22" t="s">
        <v>6678</v>
      </c>
      <c r="R34" s="22"/>
    </row>
    <row r="35" customFormat="false" ht="15" hidden="false" customHeight="false" outlineLevel="0" collapsed="false">
      <c r="A35" s="22" t="s">
        <v>6679</v>
      </c>
      <c r="B35" s="22" t="s">
        <v>198</v>
      </c>
      <c r="C35" s="22" t="s">
        <v>6562</v>
      </c>
      <c r="D35" s="22" t="s">
        <v>6652</v>
      </c>
      <c r="E35" s="22" t="n">
        <v>40</v>
      </c>
      <c r="F35" s="22" t="s">
        <v>6581</v>
      </c>
      <c r="G35" s="22" t="s">
        <v>6575</v>
      </c>
      <c r="H35" s="22" t="n">
        <v>14</v>
      </c>
      <c r="I35" s="22" t="s">
        <v>6582</v>
      </c>
      <c r="J35" s="22" t="s">
        <v>6577</v>
      </c>
      <c r="K35" s="22" t="s">
        <v>6680</v>
      </c>
      <c r="L35" s="22" t="s">
        <v>3034</v>
      </c>
      <c r="M35" s="22" t="s">
        <v>3035</v>
      </c>
      <c r="N35" s="22" t="s">
        <v>1702</v>
      </c>
      <c r="O35" s="22" t="n">
        <v>24.8</v>
      </c>
      <c r="P35" s="22" t="n">
        <v>10.4</v>
      </c>
      <c r="Q35" s="22" t="s">
        <v>6681</v>
      </c>
      <c r="R35" s="22"/>
    </row>
    <row r="36" customFormat="false" ht="15" hidden="false" customHeight="false" outlineLevel="0" collapsed="false">
      <c r="A36" s="22" t="s">
        <v>6682</v>
      </c>
      <c r="B36" s="22" t="s">
        <v>198</v>
      </c>
      <c r="C36" s="22" t="s">
        <v>6562</v>
      </c>
      <c r="D36" s="22" t="s">
        <v>6652</v>
      </c>
      <c r="E36" s="22" t="n">
        <v>24</v>
      </c>
      <c r="F36" s="22" t="s">
        <v>6574</v>
      </c>
      <c r="G36" s="22" t="s">
        <v>6575</v>
      </c>
      <c r="H36" s="22" t="n">
        <v>9</v>
      </c>
      <c r="I36" s="22" t="s">
        <v>6576</v>
      </c>
      <c r="J36" s="22" t="s">
        <v>6671</v>
      </c>
      <c r="K36" s="22"/>
      <c r="L36" s="22"/>
      <c r="M36" s="22"/>
      <c r="N36" s="22"/>
      <c r="O36" s="22"/>
      <c r="P36" s="22" t="n">
        <v>10.4</v>
      </c>
      <c r="Q36" s="22" t="s">
        <v>6683</v>
      </c>
      <c r="R36" s="22"/>
    </row>
    <row r="37" customFormat="false" ht="15" hidden="false" customHeight="false" outlineLevel="0" collapsed="false">
      <c r="A37" s="22" t="s">
        <v>6684</v>
      </c>
      <c r="B37" s="22" t="s">
        <v>198</v>
      </c>
      <c r="C37" s="22" t="s">
        <v>6562</v>
      </c>
      <c r="D37" s="22" t="s">
        <v>6652</v>
      </c>
      <c r="E37" s="22" t="n">
        <v>24</v>
      </c>
      <c r="F37" s="22" t="s">
        <v>6574</v>
      </c>
      <c r="G37" s="22" t="s">
        <v>6575</v>
      </c>
      <c r="H37" s="22" t="n">
        <v>9</v>
      </c>
      <c r="I37" s="22" t="s">
        <v>6576</v>
      </c>
      <c r="J37" s="22" t="s">
        <v>6577</v>
      </c>
      <c r="K37" s="22" t="s">
        <v>6685</v>
      </c>
      <c r="L37" s="22" t="s">
        <v>5433</v>
      </c>
      <c r="M37" s="22" t="s">
        <v>5434</v>
      </c>
      <c r="N37" s="22" t="s">
        <v>1017</v>
      </c>
      <c r="O37" s="22" t="n">
        <v>57.4</v>
      </c>
      <c r="P37" s="22" t="n">
        <v>10.4</v>
      </c>
      <c r="Q37" s="22" t="s">
        <v>6686</v>
      </c>
      <c r="R37" s="22"/>
    </row>
    <row r="38" customFormat="false" ht="15" hidden="false" customHeight="false" outlineLevel="0" collapsed="false">
      <c r="A38" s="22" t="s">
        <v>6687</v>
      </c>
      <c r="B38" s="22" t="s">
        <v>198</v>
      </c>
      <c r="C38" s="22" t="s">
        <v>6562</v>
      </c>
      <c r="D38" s="22" t="s">
        <v>6652</v>
      </c>
      <c r="E38" s="22" t="n">
        <v>40</v>
      </c>
      <c r="F38" s="22" t="s">
        <v>6581</v>
      </c>
      <c r="G38" s="22" t="s">
        <v>6575</v>
      </c>
      <c r="H38" s="22" t="n">
        <v>14</v>
      </c>
      <c r="I38" s="22" t="s">
        <v>6582</v>
      </c>
      <c r="J38" s="22" t="s">
        <v>6577</v>
      </c>
      <c r="K38" s="22" t="s">
        <v>6688</v>
      </c>
      <c r="L38" s="22" t="s">
        <v>3479</v>
      </c>
      <c r="M38" s="22" t="s">
        <v>3480</v>
      </c>
      <c r="N38" s="22" t="s">
        <v>1761</v>
      </c>
      <c r="O38" s="22" t="n">
        <v>49.7</v>
      </c>
      <c r="P38" s="22" t="n">
        <v>10.4</v>
      </c>
      <c r="Q38" s="22" t="s">
        <v>6689</v>
      </c>
      <c r="R38" s="22"/>
    </row>
    <row r="39" customFormat="false" ht="15" hidden="false" customHeight="false" outlineLevel="0" collapsed="false">
      <c r="A39" s="22" t="s">
        <v>6690</v>
      </c>
      <c r="B39" s="22" t="s">
        <v>198</v>
      </c>
      <c r="C39" s="22" t="s">
        <v>6562</v>
      </c>
      <c r="D39" s="22" t="s">
        <v>6652</v>
      </c>
      <c r="E39" s="22" t="n">
        <v>28</v>
      </c>
      <c r="F39" s="22" t="s">
        <v>6574</v>
      </c>
      <c r="G39" s="22" t="s">
        <v>6575</v>
      </c>
      <c r="H39" s="22" t="n">
        <v>10</v>
      </c>
      <c r="I39" s="22" t="s">
        <v>6576</v>
      </c>
      <c r="J39" s="22" t="s">
        <v>6577</v>
      </c>
      <c r="K39" s="22" t="s">
        <v>6691</v>
      </c>
      <c r="L39" s="22" t="s">
        <v>2234</v>
      </c>
      <c r="M39" s="22" t="s">
        <v>2235</v>
      </c>
      <c r="N39" s="22" t="s">
        <v>1753</v>
      </c>
      <c r="O39" s="22" t="n">
        <v>31</v>
      </c>
      <c r="P39" s="22" t="n">
        <v>10.4</v>
      </c>
      <c r="Q39" s="22" t="s">
        <v>6692</v>
      </c>
      <c r="R39" s="22"/>
    </row>
    <row r="40" customFormat="false" ht="15" hidden="false" customHeight="false" outlineLevel="0" collapsed="false">
      <c r="A40" s="22" t="s">
        <v>6693</v>
      </c>
      <c r="B40" s="22" t="s">
        <v>198</v>
      </c>
      <c r="C40" s="22" t="s">
        <v>6562</v>
      </c>
      <c r="D40" s="22" t="s">
        <v>6652</v>
      </c>
      <c r="E40" s="22" t="n">
        <v>28</v>
      </c>
      <c r="F40" s="22" t="s">
        <v>6574</v>
      </c>
      <c r="G40" s="22" t="s">
        <v>6575</v>
      </c>
      <c r="H40" s="22" t="n">
        <v>10</v>
      </c>
      <c r="I40" s="22" t="s">
        <v>6576</v>
      </c>
      <c r="J40" s="22" t="s">
        <v>6577</v>
      </c>
      <c r="K40" s="22" t="s">
        <v>6694</v>
      </c>
      <c r="L40" s="22" t="s">
        <v>1098</v>
      </c>
      <c r="M40" s="22" t="s">
        <v>1099</v>
      </c>
      <c r="N40" s="22" t="s">
        <v>793</v>
      </c>
      <c r="O40" s="22" t="n">
        <v>26.3</v>
      </c>
      <c r="P40" s="22" t="n">
        <v>10.4</v>
      </c>
      <c r="Q40" s="22" t="s">
        <v>6695</v>
      </c>
      <c r="R40" s="22"/>
    </row>
    <row r="41" customFormat="false" ht="15" hidden="false" customHeight="false" outlineLevel="0" collapsed="false">
      <c r="A41" s="22" t="s">
        <v>6696</v>
      </c>
      <c r="B41" s="22" t="s">
        <v>198</v>
      </c>
      <c r="C41" s="22" t="s">
        <v>6562</v>
      </c>
      <c r="D41" s="22" t="s">
        <v>6652</v>
      </c>
      <c r="E41" s="22" t="n">
        <v>32</v>
      </c>
      <c r="F41" s="22" t="s">
        <v>6581</v>
      </c>
      <c r="G41" s="22" t="s">
        <v>6575</v>
      </c>
      <c r="H41" s="22" t="n">
        <v>12</v>
      </c>
      <c r="I41" s="22" t="s">
        <v>6576</v>
      </c>
      <c r="J41" s="22" t="s">
        <v>6577</v>
      </c>
      <c r="K41" s="22" t="s">
        <v>6697</v>
      </c>
      <c r="L41" s="22" t="s">
        <v>1327</v>
      </c>
      <c r="M41" s="22" t="s">
        <v>1328</v>
      </c>
      <c r="N41" s="22" t="s">
        <v>315</v>
      </c>
      <c r="O41" s="22" t="n">
        <v>57</v>
      </c>
      <c r="P41" s="22" t="n">
        <v>10.4</v>
      </c>
      <c r="Q41" s="22" t="s">
        <v>6698</v>
      </c>
      <c r="R41" s="22"/>
    </row>
    <row r="42" customFormat="false" ht="15" hidden="false" customHeight="false" outlineLevel="0" collapsed="false">
      <c r="A42" s="22" t="s">
        <v>6699</v>
      </c>
      <c r="B42" s="22" t="s">
        <v>198</v>
      </c>
      <c r="C42" s="22" t="s">
        <v>6562</v>
      </c>
      <c r="D42" s="22" t="s">
        <v>6652</v>
      </c>
      <c r="E42" s="22" t="n">
        <v>40</v>
      </c>
      <c r="F42" s="22" t="s">
        <v>6581</v>
      </c>
      <c r="G42" s="22" t="s">
        <v>6575</v>
      </c>
      <c r="H42" s="22" t="n">
        <v>14</v>
      </c>
      <c r="I42" s="22" t="s">
        <v>6582</v>
      </c>
      <c r="J42" s="22" t="s">
        <v>6577</v>
      </c>
      <c r="K42" s="22" t="s">
        <v>6700</v>
      </c>
      <c r="L42" s="22" t="s">
        <v>1490</v>
      </c>
      <c r="M42" s="22" t="s">
        <v>1491</v>
      </c>
      <c r="N42" s="22" t="s">
        <v>1034</v>
      </c>
      <c r="O42" s="22" t="n">
        <v>58.7</v>
      </c>
      <c r="P42" s="22" t="n">
        <v>10.4</v>
      </c>
      <c r="Q42" s="22" t="s">
        <v>6701</v>
      </c>
      <c r="R42" s="22"/>
    </row>
    <row r="43" customFormat="false" ht="15" hidden="false" customHeight="false" outlineLevel="0" collapsed="false">
      <c r="A43" s="22" t="s">
        <v>6702</v>
      </c>
      <c r="B43" s="22" t="s">
        <v>198</v>
      </c>
      <c r="C43" s="22" t="s">
        <v>6562</v>
      </c>
      <c r="D43" s="22" t="s">
        <v>6652</v>
      </c>
      <c r="E43" s="22" t="n">
        <v>24</v>
      </c>
      <c r="F43" s="22" t="s">
        <v>6574</v>
      </c>
      <c r="G43" s="22" t="s">
        <v>6575</v>
      </c>
      <c r="H43" s="22" t="n">
        <v>9</v>
      </c>
      <c r="I43" s="22" t="s">
        <v>6576</v>
      </c>
      <c r="J43" s="22" t="s">
        <v>6577</v>
      </c>
      <c r="K43" s="22" t="s">
        <v>6703</v>
      </c>
      <c r="L43" s="22" t="s">
        <v>673</v>
      </c>
      <c r="M43" s="22" t="s">
        <v>674</v>
      </c>
      <c r="N43" s="22" t="s">
        <v>675</v>
      </c>
      <c r="O43" s="22" t="n">
        <v>41.6</v>
      </c>
      <c r="P43" s="22" t="n">
        <v>10.4</v>
      </c>
      <c r="Q43" s="22" t="s">
        <v>6704</v>
      </c>
      <c r="R43" s="22"/>
    </row>
    <row r="44" customFormat="false" ht="15" hidden="false" customHeight="false" outlineLevel="0" collapsed="false">
      <c r="A44" s="22" t="s">
        <v>6705</v>
      </c>
      <c r="B44" s="22" t="s">
        <v>198</v>
      </c>
      <c r="C44" s="22" t="s">
        <v>6562</v>
      </c>
      <c r="D44" s="22" t="s">
        <v>6652</v>
      </c>
      <c r="E44" s="22" t="n">
        <v>28</v>
      </c>
      <c r="F44" s="22" t="s">
        <v>6574</v>
      </c>
      <c r="G44" s="22" t="s">
        <v>6575</v>
      </c>
      <c r="H44" s="22" t="n">
        <v>10</v>
      </c>
      <c r="I44" s="22" t="s">
        <v>6576</v>
      </c>
      <c r="J44" s="22" t="s">
        <v>6577</v>
      </c>
      <c r="K44" s="22" t="s">
        <v>6706</v>
      </c>
      <c r="L44" s="22" t="s">
        <v>1067</v>
      </c>
      <c r="M44" s="22" t="s">
        <v>1068</v>
      </c>
      <c r="N44" s="22" t="s">
        <v>1069</v>
      </c>
      <c r="O44" s="22" t="n">
        <v>46.9</v>
      </c>
      <c r="P44" s="22" t="n">
        <v>10.4</v>
      </c>
      <c r="Q44" s="22" t="s">
        <v>6707</v>
      </c>
      <c r="R44" s="22"/>
    </row>
    <row r="45" customFormat="false" ht="15" hidden="false" customHeight="false" outlineLevel="0" collapsed="false">
      <c r="A45" s="22" t="s">
        <v>6708</v>
      </c>
      <c r="B45" s="22" t="s">
        <v>198</v>
      </c>
      <c r="C45" s="22" t="s">
        <v>6562</v>
      </c>
      <c r="D45" s="22" t="s">
        <v>6652</v>
      </c>
      <c r="E45" s="22" t="n">
        <v>28</v>
      </c>
      <c r="F45" s="22" t="s">
        <v>6574</v>
      </c>
      <c r="G45" s="22" t="s">
        <v>6575</v>
      </c>
      <c r="H45" s="22" t="n">
        <v>10</v>
      </c>
      <c r="I45" s="22" t="s">
        <v>6576</v>
      </c>
      <c r="J45" s="22" t="s">
        <v>6577</v>
      </c>
      <c r="K45" s="22" t="s">
        <v>6709</v>
      </c>
      <c r="L45" s="22" t="s">
        <v>4032</v>
      </c>
      <c r="M45" s="22" t="s">
        <v>4033</v>
      </c>
      <c r="N45" s="22" t="s">
        <v>239</v>
      </c>
      <c r="O45" s="22" t="n">
        <v>45.1</v>
      </c>
      <c r="P45" s="22" t="n">
        <v>10.4</v>
      </c>
      <c r="Q45" s="22" t="s">
        <v>6710</v>
      </c>
      <c r="R45" s="22"/>
    </row>
    <row r="46" customFormat="false" ht="15" hidden="false" customHeight="false" outlineLevel="0" collapsed="false">
      <c r="A46" s="22" t="s">
        <v>6711</v>
      </c>
      <c r="B46" s="22" t="s">
        <v>198</v>
      </c>
      <c r="C46" s="22" t="s">
        <v>6562</v>
      </c>
      <c r="D46" s="22" t="s">
        <v>6652</v>
      </c>
      <c r="E46" s="22" t="n">
        <v>24</v>
      </c>
      <c r="F46" s="22" t="s">
        <v>6574</v>
      </c>
      <c r="G46" s="22" t="s">
        <v>6575</v>
      </c>
      <c r="H46" s="22" t="n">
        <v>9</v>
      </c>
      <c r="I46" s="22" t="s">
        <v>6576</v>
      </c>
      <c r="J46" s="22" t="s">
        <v>6577</v>
      </c>
      <c r="K46" s="22" t="s">
        <v>6712</v>
      </c>
      <c r="L46" s="22" t="s">
        <v>5552</v>
      </c>
      <c r="M46" s="22" t="s">
        <v>5553</v>
      </c>
      <c r="N46" s="22" t="s">
        <v>260</v>
      </c>
      <c r="O46" s="22" t="n">
        <v>57.8</v>
      </c>
      <c r="P46" s="22" t="n">
        <v>10.4</v>
      </c>
      <c r="Q46" s="22" t="s">
        <v>6713</v>
      </c>
      <c r="R46" s="22"/>
    </row>
    <row r="47" customFormat="false" ht="15" hidden="false" customHeight="false" outlineLevel="0" collapsed="false">
      <c r="A47" s="22" t="s">
        <v>6714</v>
      </c>
      <c r="B47" s="22" t="s">
        <v>198</v>
      </c>
      <c r="C47" s="22" t="s">
        <v>6562</v>
      </c>
      <c r="D47" s="22" t="s">
        <v>6652</v>
      </c>
      <c r="E47" s="22" t="n">
        <v>36</v>
      </c>
      <c r="F47" s="22" t="s">
        <v>6581</v>
      </c>
      <c r="G47" s="22" t="s">
        <v>6575</v>
      </c>
      <c r="H47" s="22" t="n">
        <v>13</v>
      </c>
      <c r="I47" s="22" t="s">
        <v>6582</v>
      </c>
      <c r="J47" s="22" t="s">
        <v>6577</v>
      </c>
      <c r="K47" s="22" t="s">
        <v>6715</v>
      </c>
      <c r="L47" s="22" t="s">
        <v>696</v>
      </c>
      <c r="M47" s="22" t="s">
        <v>697</v>
      </c>
      <c r="N47" s="22" t="s">
        <v>698</v>
      </c>
      <c r="O47" s="22" t="n">
        <v>25.5</v>
      </c>
      <c r="P47" s="22" t="n">
        <v>10.4</v>
      </c>
      <c r="Q47" s="22" t="s">
        <v>6716</v>
      </c>
      <c r="R47" s="22"/>
    </row>
    <row r="48" customFormat="false" ht="15" hidden="false" customHeight="false" outlineLevel="0" collapsed="false">
      <c r="A48" s="22" t="s">
        <v>6717</v>
      </c>
      <c r="B48" s="22" t="s">
        <v>198</v>
      </c>
      <c r="C48" s="22" t="s">
        <v>6562</v>
      </c>
      <c r="D48" s="22" t="s">
        <v>6652</v>
      </c>
      <c r="E48" s="22" t="n">
        <v>24</v>
      </c>
      <c r="F48" s="22" t="s">
        <v>6574</v>
      </c>
      <c r="G48" s="22" t="s">
        <v>6575</v>
      </c>
      <c r="H48" s="22" t="n">
        <v>9</v>
      </c>
      <c r="I48" s="22" t="s">
        <v>6576</v>
      </c>
      <c r="J48" s="22" t="s">
        <v>6577</v>
      </c>
      <c r="K48" s="22" t="s">
        <v>6718</v>
      </c>
      <c r="L48" s="22" t="s">
        <v>3697</v>
      </c>
      <c r="M48" s="22" t="s">
        <v>3698</v>
      </c>
      <c r="N48" s="22" t="s">
        <v>278</v>
      </c>
      <c r="O48" s="22" t="n">
        <v>49.8</v>
      </c>
      <c r="P48" s="22" t="n">
        <v>10.4</v>
      </c>
      <c r="Q48" s="22" t="s">
        <v>6719</v>
      </c>
      <c r="R48" s="22"/>
    </row>
    <row r="49" customFormat="false" ht="15" hidden="false" customHeight="false" outlineLevel="0" collapsed="false">
      <c r="A49" s="22" t="s">
        <v>6720</v>
      </c>
      <c r="B49" s="22" t="s">
        <v>198</v>
      </c>
      <c r="C49" s="22" t="s">
        <v>6562</v>
      </c>
      <c r="D49" s="22" t="s">
        <v>6652</v>
      </c>
      <c r="E49" s="22" t="n">
        <v>40</v>
      </c>
      <c r="F49" s="22" t="s">
        <v>6581</v>
      </c>
      <c r="G49" s="22" t="s">
        <v>6575</v>
      </c>
      <c r="H49" s="22" t="n">
        <v>14</v>
      </c>
      <c r="I49" s="22" t="s">
        <v>6582</v>
      </c>
      <c r="J49" s="22" t="s">
        <v>6577</v>
      </c>
      <c r="K49" s="22" t="s">
        <v>6721</v>
      </c>
      <c r="L49" s="22" t="s">
        <v>897</v>
      </c>
      <c r="M49" s="22" t="s">
        <v>898</v>
      </c>
      <c r="N49" s="22" t="s">
        <v>899</v>
      </c>
      <c r="O49" s="22" t="n">
        <v>26.7</v>
      </c>
      <c r="P49" s="22" t="n">
        <v>10.4</v>
      </c>
      <c r="Q49" s="22" t="s">
        <v>6722</v>
      </c>
      <c r="R49" s="22"/>
    </row>
    <row r="50" customFormat="false" ht="15" hidden="false" customHeight="false" outlineLevel="0" collapsed="false">
      <c r="A50" s="22" t="s">
        <v>6723</v>
      </c>
      <c r="B50" s="22" t="s">
        <v>198</v>
      </c>
      <c r="C50" s="22" t="s">
        <v>6562</v>
      </c>
      <c r="D50" s="22" t="s">
        <v>6724</v>
      </c>
      <c r="E50" s="22" t="n">
        <v>28</v>
      </c>
      <c r="F50" s="22" t="s">
        <v>6574</v>
      </c>
      <c r="G50" s="22" t="s">
        <v>6575</v>
      </c>
      <c r="H50" s="22" t="n">
        <v>10</v>
      </c>
      <c r="I50" s="22" t="s">
        <v>6576</v>
      </c>
      <c r="J50" s="22" t="s">
        <v>6577</v>
      </c>
      <c r="K50" s="22" t="s">
        <v>6725</v>
      </c>
      <c r="L50" s="22" t="s">
        <v>5588</v>
      </c>
      <c r="M50" s="22" t="s">
        <v>5589</v>
      </c>
      <c r="N50" s="22" t="s">
        <v>1840</v>
      </c>
      <c r="O50" s="22" t="n">
        <v>18.4</v>
      </c>
      <c r="P50" s="22" t="n">
        <v>10.4</v>
      </c>
      <c r="Q50" s="22" t="s">
        <v>6726</v>
      </c>
      <c r="R50" s="22"/>
    </row>
    <row r="51" customFormat="false" ht="15" hidden="false" customHeight="false" outlineLevel="0" collapsed="false">
      <c r="A51" s="22" t="s">
        <v>6727</v>
      </c>
      <c r="B51" s="22" t="s">
        <v>198</v>
      </c>
      <c r="C51" s="22" t="s">
        <v>6562</v>
      </c>
      <c r="D51" s="22" t="s">
        <v>6724</v>
      </c>
      <c r="E51" s="22" t="n">
        <v>32</v>
      </c>
      <c r="F51" s="22" t="s">
        <v>6581</v>
      </c>
      <c r="G51" s="22" t="s">
        <v>6575</v>
      </c>
      <c r="H51" s="22" t="n">
        <v>12</v>
      </c>
      <c r="I51" s="22" t="s">
        <v>6576</v>
      </c>
      <c r="J51" s="22" t="s">
        <v>6577</v>
      </c>
      <c r="K51" s="22" t="s">
        <v>6728</v>
      </c>
      <c r="L51" s="22" t="s">
        <v>4830</v>
      </c>
      <c r="M51" s="22" t="s">
        <v>4831</v>
      </c>
      <c r="N51" s="22" t="s">
        <v>275</v>
      </c>
      <c r="O51" s="22" t="n">
        <v>37.3</v>
      </c>
      <c r="P51" s="22" t="n">
        <v>10.4</v>
      </c>
      <c r="Q51" s="22" t="s">
        <v>6729</v>
      </c>
      <c r="R51" s="22"/>
    </row>
    <row r="52" customFormat="false" ht="15" hidden="false" customHeight="false" outlineLevel="0" collapsed="false">
      <c r="A52" s="22" t="s">
        <v>6730</v>
      </c>
      <c r="B52" s="22" t="s">
        <v>198</v>
      </c>
      <c r="C52" s="22" t="s">
        <v>6562</v>
      </c>
      <c r="D52" s="22" t="s">
        <v>6724</v>
      </c>
      <c r="E52" s="22" t="n">
        <v>32</v>
      </c>
      <c r="F52" s="22" t="s">
        <v>6581</v>
      </c>
      <c r="G52" s="22" t="s">
        <v>6575</v>
      </c>
      <c r="H52" s="22" t="n">
        <v>12</v>
      </c>
      <c r="I52" s="22" t="s">
        <v>6576</v>
      </c>
      <c r="J52" s="22" t="s">
        <v>6577</v>
      </c>
      <c r="K52" s="22" t="s">
        <v>6731</v>
      </c>
      <c r="L52" s="22" t="s">
        <v>4430</v>
      </c>
      <c r="M52" s="22" t="s">
        <v>4431</v>
      </c>
      <c r="N52" s="22" t="s">
        <v>552</v>
      </c>
      <c r="O52" s="22" t="n">
        <v>54</v>
      </c>
      <c r="P52" s="22" t="n">
        <v>10.4</v>
      </c>
      <c r="Q52" s="22" t="s">
        <v>6732</v>
      </c>
      <c r="R52" s="22"/>
    </row>
    <row r="53" customFormat="false" ht="15" hidden="false" customHeight="false" outlineLevel="0" collapsed="false">
      <c r="A53" s="22" t="s">
        <v>6733</v>
      </c>
      <c r="B53" s="22" t="s">
        <v>198</v>
      </c>
      <c r="C53" s="22" t="s">
        <v>6562</v>
      </c>
      <c r="D53" s="22" t="s">
        <v>6724</v>
      </c>
      <c r="E53" s="22" t="n">
        <v>36</v>
      </c>
      <c r="F53" s="22" t="s">
        <v>6581</v>
      </c>
      <c r="G53" s="22" t="s">
        <v>6575</v>
      </c>
      <c r="H53" s="22" t="n">
        <v>13</v>
      </c>
      <c r="I53" s="22" t="s">
        <v>6582</v>
      </c>
      <c r="J53" s="22" t="s">
        <v>6734</v>
      </c>
      <c r="K53" s="22"/>
      <c r="L53" s="22"/>
      <c r="M53" s="22"/>
      <c r="N53" s="22"/>
      <c r="O53" s="22"/>
      <c r="P53" s="22" t="n">
        <v>10.4</v>
      </c>
      <c r="Q53" s="22" t="s">
        <v>6735</v>
      </c>
      <c r="R53" s="22"/>
    </row>
    <row r="54" customFormat="false" ht="15" hidden="false" customHeight="false" outlineLevel="0" collapsed="false">
      <c r="A54" s="22" t="s">
        <v>6736</v>
      </c>
      <c r="B54" s="22" t="s">
        <v>198</v>
      </c>
      <c r="C54" s="22" t="s">
        <v>6562</v>
      </c>
      <c r="D54" s="22" t="s">
        <v>6724</v>
      </c>
      <c r="E54" s="22" t="n">
        <v>32</v>
      </c>
      <c r="F54" s="22" t="s">
        <v>6581</v>
      </c>
      <c r="G54" s="22" t="s">
        <v>6575</v>
      </c>
      <c r="H54" s="22" t="n">
        <v>12</v>
      </c>
      <c r="I54" s="22" t="s">
        <v>6576</v>
      </c>
      <c r="J54" s="22" t="s">
        <v>6577</v>
      </c>
      <c r="K54" s="22" t="s">
        <v>6737</v>
      </c>
      <c r="L54" s="22" t="s">
        <v>5679</v>
      </c>
      <c r="M54" s="22" t="s">
        <v>5680</v>
      </c>
      <c r="N54" s="22" t="s">
        <v>714</v>
      </c>
      <c r="O54" s="22" t="n">
        <v>19.4</v>
      </c>
      <c r="P54" s="22" t="n">
        <v>10.4</v>
      </c>
      <c r="Q54" s="22" t="s">
        <v>6738</v>
      </c>
      <c r="R54" s="22"/>
    </row>
    <row r="55" customFormat="false" ht="15" hidden="false" customHeight="false" outlineLevel="0" collapsed="false">
      <c r="A55" s="22" t="s">
        <v>6739</v>
      </c>
      <c r="B55" s="22" t="s">
        <v>198</v>
      </c>
      <c r="C55" s="22" t="s">
        <v>6562</v>
      </c>
      <c r="D55" s="22" t="s">
        <v>6724</v>
      </c>
      <c r="E55" s="22" t="n">
        <v>32</v>
      </c>
      <c r="F55" s="22" t="s">
        <v>6581</v>
      </c>
      <c r="G55" s="22" t="s">
        <v>6575</v>
      </c>
      <c r="H55" s="22" t="n">
        <v>12</v>
      </c>
      <c r="I55" s="22" t="s">
        <v>6576</v>
      </c>
      <c r="J55" s="22" t="s">
        <v>6577</v>
      </c>
      <c r="K55" s="22" t="s">
        <v>6740</v>
      </c>
      <c r="L55" s="22" t="s">
        <v>3390</v>
      </c>
      <c r="M55" s="22" t="s">
        <v>3391</v>
      </c>
      <c r="N55" s="22" t="s">
        <v>599</v>
      </c>
      <c r="O55" s="22" t="n">
        <v>54.1</v>
      </c>
      <c r="P55" s="22" t="n">
        <v>10.4</v>
      </c>
      <c r="Q55" s="22" t="s">
        <v>6741</v>
      </c>
      <c r="R55" s="22"/>
    </row>
    <row r="56" customFormat="false" ht="15" hidden="false" customHeight="false" outlineLevel="0" collapsed="false">
      <c r="A56" s="22" t="s">
        <v>6742</v>
      </c>
      <c r="B56" s="22" t="s">
        <v>198</v>
      </c>
      <c r="C56" s="22" t="s">
        <v>6562</v>
      </c>
      <c r="D56" s="22" t="s">
        <v>6724</v>
      </c>
      <c r="E56" s="22" t="n">
        <v>36</v>
      </c>
      <c r="F56" s="22" t="s">
        <v>6581</v>
      </c>
      <c r="G56" s="22" t="s">
        <v>6575</v>
      </c>
      <c r="H56" s="22" t="n">
        <v>13</v>
      </c>
      <c r="I56" s="22" t="s">
        <v>6582</v>
      </c>
      <c r="J56" s="22" t="s">
        <v>6577</v>
      </c>
      <c r="K56" s="22" t="s">
        <v>6743</v>
      </c>
      <c r="L56" s="22" t="s">
        <v>5198</v>
      </c>
      <c r="M56" s="22" t="s">
        <v>5199</v>
      </c>
      <c r="N56" s="22" t="s">
        <v>367</v>
      </c>
      <c r="O56" s="22" t="n">
        <v>60.7</v>
      </c>
      <c r="P56" s="22" t="n">
        <v>10.4</v>
      </c>
      <c r="Q56" s="22" t="s">
        <v>6744</v>
      </c>
      <c r="R56" s="22"/>
    </row>
    <row r="57" customFormat="false" ht="15" hidden="false" customHeight="false" outlineLevel="0" collapsed="false">
      <c r="A57" s="22" t="s">
        <v>6745</v>
      </c>
      <c r="B57" s="22" t="s">
        <v>198</v>
      </c>
      <c r="C57" s="22" t="s">
        <v>6562</v>
      </c>
      <c r="D57" s="22" t="s">
        <v>6724</v>
      </c>
      <c r="E57" s="22" t="n">
        <v>24</v>
      </c>
      <c r="F57" s="22" t="s">
        <v>6574</v>
      </c>
      <c r="G57" s="22" t="s">
        <v>6575</v>
      </c>
      <c r="H57" s="22" t="n">
        <v>9</v>
      </c>
      <c r="I57" s="22" t="s">
        <v>6576</v>
      </c>
      <c r="J57" s="22" t="s">
        <v>6613</v>
      </c>
      <c r="K57" s="22"/>
      <c r="L57" s="22"/>
      <c r="M57" s="22"/>
      <c r="N57" s="22"/>
      <c r="O57" s="22"/>
      <c r="P57" s="22" t="n">
        <v>10.4</v>
      </c>
      <c r="Q57" s="22" t="s">
        <v>6746</v>
      </c>
      <c r="R57" s="22"/>
    </row>
    <row r="58" customFormat="false" ht="15" hidden="false" customHeight="false" outlineLevel="0" collapsed="false">
      <c r="A58" s="22" t="s">
        <v>6747</v>
      </c>
      <c r="B58" s="22" t="s">
        <v>198</v>
      </c>
      <c r="C58" s="22" t="s">
        <v>6562</v>
      </c>
      <c r="D58" s="22" t="s">
        <v>6724</v>
      </c>
      <c r="E58" s="22" t="n">
        <v>40</v>
      </c>
      <c r="F58" s="22" t="s">
        <v>6581</v>
      </c>
      <c r="G58" s="22" t="s">
        <v>6575</v>
      </c>
      <c r="H58" s="22" t="n">
        <v>14</v>
      </c>
      <c r="I58" s="22" t="s">
        <v>6582</v>
      </c>
      <c r="J58" s="22" t="s">
        <v>6577</v>
      </c>
      <c r="K58" s="22" t="s">
        <v>6748</v>
      </c>
      <c r="L58" s="22" t="s">
        <v>4496</v>
      </c>
      <c r="M58" s="22" t="s">
        <v>4497</v>
      </c>
      <c r="N58" s="22" t="s">
        <v>838</v>
      </c>
      <c r="O58" s="22" t="n">
        <v>42.3</v>
      </c>
      <c r="P58" s="22" t="n">
        <v>10.4</v>
      </c>
      <c r="Q58" s="22" t="s">
        <v>6713</v>
      </c>
      <c r="R58" s="22"/>
    </row>
    <row r="59" customFormat="false" ht="15" hidden="false" customHeight="false" outlineLevel="0" collapsed="false">
      <c r="A59" s="22" t="s">
        <v>6749</v>
      </c>
      <c r="B59" s="22" t="s">
        <v>198</v>
      </c>
      <c r="C59" s="22" t="s">
        <v>6562</v>
      </c>
      <c r="D59" s="22" t="s">
        <v>6724</v>
      </c>
      <c r="E59" s="22" t="n">
        <v>32</v>
      </c>
      <c r="F59" s="22" t="s">
        <v>6581</v>
      </c>
      <c r="G59" s="22" t="s">
        <v>6575</v>
      </c>
      <c r="H59" s="22" t="n">
        <v>12</v>
      </c>
      <c r="I59" s="22" t="s">
        <v>6576</v>
      </c>
      <c r="J59" s="22" t="s">
        <v>6613</v>
      </c>
      <c r="K59" s="22"/>
      <c r="L59" s="22"/>
      <c r="M59" s="22"/>
      <c r="N59" s="22"/>
      <c r="O59" s="22"/>
      <c r="P59" s="22" t="n">
        <v>10.4</v>
      </c>
      <c r="Q59" s="22" t="s">
        <v>6750</v>
      </c>
      <c r="R59" s="22"/>
    </row>
    <row r="60" customFormat="false" ht="15" hidden="false" customHeight="false" outlineLevel="0" collapsed="false">
      <c r="A60" s="22" t="s">
        <v>6751</v>
      </c>
      <c r="B60" s="22" t="s">
        <v>198</v>
      </c>
      <c r="C60" s="22" t="s">
        <v>6562</v>
      </c>
      <c r="D60" s="22" t="s">
        <v>6724</v>
      </c>
      <c r="E60" s="22" t="n">
        <v>24</v>
      </c>
      <c r="F60" s="22" t="s">
        <v>6574</v>
      </c>
      <c r="G60" s="22" t="s">
        <v>6575</v>
      </c>
      <c r="H60" s="22" t="n">
        <v>9</v>
      </c>
      <c r="I60" s="22" t="s">
        <v>6576</v>
      </c>
      <c r="J60" s="22" t="s">
        <v>6577</v>
      </c>
      <c r="K60" s="22" t="s">
        <v>6752</v>
      </c>
      <c r="L60" s="22" t="s">
        <v>1748</v>
      </c>
      <c r="M60" s="22" t="s">
        <v>1749</v>
      </c>
      <c r="N60" s="22" t="s">
        <v>1750</v>
      </c>
      <c r="O60" s="22" t="n">
        <v>23.9</v>
      </c>
      <c r="P60" s="22" t="n">
        <v>10.4</v>
      </c>
      <c r="Q60" s="22" t="s">
        <v>6753</v>
      </c>
      <c r="R60" s="22"/>
    </row>
    <row r="61" customFormat="false" ht="15" hidden="false" customHeight="false" outlineLevel="0" collapsed="false">
      <c r="A61" s="22" t="s">
        <v>6754</v>
      </c>
      <c r="B61" s="22" t="s">
        <v>198</v>
      </c>
      <c r="C61" s="22" t="s">
        <v>6562</v>
      </c>
      <c r="D61" s="22" t="s">
        <v>6724</v>
      </c>
      <c r="E61" s="22" t="n">
        <v>24</v>
      </c>
      <c r="F61" s="22" t="s">
        <v>6574</v>
      </c>
      <c r="G61" s="22" t="s">
        <v>6575</v>
      </c>
      <c r="H61" s="22" t="n">
        <v>9</v>
      </c>
      <c r="I61" s="22" t="s">
        <v>6576</v>
      </c>
      <c r="J61" s="22" t="s">
        <v>6577</v>
      </c>
      <c r="K61" s="22" t="s">
        <v>6755</v>
      </c>
      <c r="L61" s="22" t="s">
        <v>5405</v>
      </c>
      <c r="M61" s="22" t="s">
        <v>5406</v>
      </c>
      <c r="N61" s="22" t="s">
        <v>1220</v>
      </c>
      <c r="O61" s="22" t="n">
        <v>31.1</v>
      </c>
      <c r="P61" s="22" t="n">
        <v>10.4</v>
      </c>
      <c r="Q61" s="22" t="s">
        <v>6756</v>
      </c>
      <c r="R61" s="22"/>
    </row>
    <row r="62" customFormat="false" ht="15" hidden="false" customHeight="false" outlineLevel="0" collapsed="false">
      <c r="A62" s="22" t="s">
        <v>6757</v>
      </c>
      <c r="B62" s="22" t="s">
        <v>198</v>
      </c>
      <c r="C62" s="22" t="s">
        <v>6562</v>
      </c>
      <c r="D62" s="22" t="s">
        <v>6724</v>
      </c>
      <c r="E62" s="22" t="n">
        <v>32</v>
      </c>
      <c r="F62" s="22" t="s">
        <v>6581</v>
      </c>
      <c r="G62" s="22" t="s">
        <v>6575</v>
      </c>
      <c r="H62" s="22" t="n">
        <v>12</v>
      </c>
      <c r="I62" s="22" t="s">
        <v>6576</v>
      </c>
      <c r="J62" s="22" t="s">
        <v>6577</v>
      </c>
      <c r="K62" s="22" t="s">
        <v>6758</v>
      </c>
      <c r="L62" s="22" t="s">
        <v>4066</v>
      </c>
      <c r="M62" s="22" t="s">
        <v>4067</v>
      </c>
      <c r="N62" s="22" t="s">
        <v>3754</v>
      </c>
      <c r="O62" s="22" t="n">
        <v>24.8</v>
      </c>
      <c r="P62" s="22" t="n">
        <v>10.4</v>
      </c>
      <c r="Q62" s="22" t="s">
        <v>6759</v>
      </c>
      <c r="R62" s="22"/>
    </row>
    <row r="63" customFormat="false" ht="15" hidden="false" customHeight="false" outlineLevel="0" collapsed="false">
      <c r="A63" s="22" t="s">
        <v>6760</v>
      </c>
      <c r="B63" s="22" t="s">
        <v>198</v>
      </c>
      <c r="C63" s="22" t="s">
        <v>6562</v>
      </c>
      <c r="D63" s="22" t="s">
        <v>6724</v>
      </c>
      <c r="E63" s="22" t="n">
        <v>32</v>
      </c>
      <c r="F63" s="22" t="s">
        <v>6581</v>
      </c>
      <c r="G63" s="22" t="s">
        <v>6575</v>
      </c>
      <c r="H63" s="22" t="n">
        <v>12</v>
      </c>
      <c r="I63" s="22" t="s">
        <v>6576</v>
      </c>
      <c r="J63" s="22" t="s">
        <v>6577</v>
      </c>
      <c r="K63" s="22" t="s">
        <v>6761</v>
      </c>
      <c r="L63" s="22" t="s">
        <v>5288</v>
      </c>
      <c r="M63" s="22" t="s">
        <v>5289</v>
      </c>
      <c r="N63" s="22" t="s">
        <v>857</v>
      </c>
      <c r="O63" s="22" t="n">
        <v>26.3</v>
      </c>
      <c r="P63" s="22" t="n">
        <v>10.4</v>
      </c>
      <c r="Q63" s="22" t="s">
        <v>6762</v>
      </c>
      <c r="R63" s="22"/>
    </row>
    <row r="64" customFormat="false" ht="15" hidden="false" customHeight="false" outlineLevel="0" collapsed="false">
      <c r="A64" s="22" t="s">
        <v>6763</v>
      </c>
      <c r="B64" s="22" t="s">
        <v>198</v>
      </c>
      <c r="C64" s="22" t="s">
        <v>6562</v>
      </c>
      <c r="D64" s="22" t="s">
        <v>6724</v>
      </c>
      <c r="E64" s="22" t="n">
        <v>24</v>
      </c>
      <c r="F64" s="22" t="s">
        <v>6574</v>
      </c>
      <c r="G64" s="22" t="s">
        <v>6575</v>
      </c>
      <c r="H64" s="22" t="n">
        <v>9</v>
      </c>
      <c r="I64" s="22" t="s">
        <v>6576</v>
      </c>
      <c r="J64" s="22" t="s">
        <v>6577</v>
      </c>
      <c r="K64" s="22" t="s">
        <v>6764</v>
      </c>
      <c r="L64" s="22" t="s">
        <v>4233</v>
      </c>
      <c r="M64" s="22" t="s">
        <v>4234</v>
      </c>
      <c r="N64" s="22" t="s">
        <v>1423</v>
      </c>
      <c r="O64" s="22" t="n">
        <v>31.6</v>
      </c>
      <c r="P64" s="22" t="n">
        <v>10.4</v>
      </c>
      <c r="Q64" s="22" t="s">
        <v>6765</v>
      </c>
      <c r="R64" s="22"/>
    </row>
    <row r="65" customFormat="false" ht="15" hidden="false" customHeight="false" outlineLevel="0" collapsed="false">
      <c r="A65" s="22" t="s">
        <v>6766</v>
      </c>
      <c r="B65" s="22" t="s">
        <v>198</v>
      </c>
      <c r="C65" s="22" t="s">
        <v>6562</v>
      </c>
      <c r="D65" s="22" t="s">
        <v>6724</v>
      </c>
      <c r="E65" s="22" t="n">
        <v>40</v>
      </c>
      <c r="F65" s="22" t="s">
        <v>6581</v>
      </c>
      <c r="G65" s="22" t="s">
        <v>6575</v>
      </c>
      <c r="H65" s="22" t="n">
        <v>14</v>
      </c>
      <c r="I65" s="22" t="s">
        <v>6582</v>
      </c>
      <c r="J65" s="22" t="s">
        <v>6577</v>
      </c>
      <c r="K65" s="22" t="s">
        <v>6767</v>
      </c>
      <c r="L65" s="22" t="s">
        <v>6161</v>
      </c>
      <c r="M65" s="22" t="s">
        <v>6162</v>
      </c>
      <c r="N65" s="22" t="s">
        <v>1774</v>
      </c>
      <c r="O65" s="22" t="n">
        <v>53.5</v>
      </c>
      <c r="P65" s="22" t="n">
        <v>10.4</v>
      </c>
      <c r="Q65" s="22" t="s">
        <v>6768</v>
      </c>
      <c r="R65" s="22"/>
    </row>
    <row r="66" customFormat="false" ht="15" hidden="false" customHeight="false" outlineLevel="0" collapsed="false">
      <c r="A66" s="22" t="s">
        <v>6769</v>
      </c>
      <c r="B66" s="22" t="s">
        <v>198</v>
      </c>
      <c r="C66" s="22" t="s">
        <v>6562</v>
      </c>
      <c r="D66" s="22" t="s">
        <v>6724</v>
      </c>
      <c r="E66" s="22" t="n">
        <v>40</v>
      </c>
      <c r="F66" s="22" t="s">
        <v>6581</v>
      </c>
      <c r="G66" s="22" t="s">
        <v>6575</v>
      </c>
      <c r="H66" s="22" t="n">
        <v>14</v>
      </c>
      <c r="I66" s="22" t="s">
        <v>6582</v>
      </c>
      <c r="J66" s="22" t="s">
        <v>6577</v>
      </c>
      <c r="K66" s="22" t="s">
        <v>6770</v>
      </c>
      <c r="L66" s="22" t="s">
        <v>4573</v>
      </c>
      <c r="M66" s="22" t="s">
        <v>4574</v>
      </c>
      <c r="N66" s="22" t="s">
        <v>233</v>
      </c>
      <c r="O66" s="22" t="n">
        <v>22.7</v>
      </c>
      <c r="P66" s="22" t="n">
        <v>10.4</v>
      </c>
      <c r="Q66" s="22" t="s">
        <v>6771</v>
      </c>
      <c r="R66" s="22"/>
    </row>
    <row r="67" customFormat="false" ht="15" hidden="false" customHeight="false" outlineLevel="0" collapsed="false">
      <c r="A67" s="22" t="s">
        <v>6772</v>
      </c>
      <c r="B67" s="22" t="s">
        <v>198</v>
      </c>
      <c r="C67" s="22" t="s">
        <v>6562</v>
      </c>
      <c r="D67" s="22" t="s">
        <v>6724</v>
      </c>
      <c r="E67" s="22" t="n">
        <v>32</v>
      </c>
      <c r="F67" s="22" t="s">
        <v>6581</v>
      </c>
      <c r="G67" s="22" t="s">
        <v>6575</v>
      </c>
      <c r="H67" s="22" t="n">
        <v>12</v>
      </c>
      <c r="I67" s="22" t="s">
        <v>6576</v>
      </c>
      <c r="J67" s="22" t="s">
        <v>6577</v>
      </c>
      <c r="K67" s="22" t="s">
        <v>6773</v>
      </c>
      <c r="L67" s="22" t="s">
        <v>5716</v>
      </c>
      <c r="M67" s="22" t="s">
        <v>5717</v>
      </c>
      <c r="N67" s="22" t="s">
        <v>1435</v>
      </c>
      <c r="O67" s="22" t="n">
        <v>34.5</v>
      </c>
      <c r="P67" s="22" t="n">
        <v>10.4</v>
      </c>
      <c r="Q67" s="22" t="s">
        <v>6774</v>
      </c>
      <c r="R67" s="22"/>
    </row>
    <row r="68" customFormat="false" ht="15" hidden="false" customHeight="false" outlineLevel="0" collapsed="false">
      <c r="A68" s="22" t="s">
        <v>6775</v>
      </c>
      <c r="B68" s="22" t="s">
        <v>198</v>
      </c>
      <c r="C68" s="22" t="s">
        <v>6562</v>
      </c>
      <c r="D68" s="22" t="s">
        <v>6724</v>
      </c>
      <c r="E68" s="22" t="n">
        <v>32</v>
      </c>
      <c r="F68" s="22" t="s">
        <v>6581</v>
      </c>
      <c r="G68" s="22" t="s">
        <v>6575</v>
      </c>
      <c r="H68" s="22" t="n">
        <v>12</v>
      </c>
      <c r="I68" s="22" t="s">
        <v>6576</v>
      </c>
      <c r="J68" s="22" t="s">
        <v>6671</v>
      </c>
      <c r="K68" s="22"/>
      <c r="L68" s="22"/>
      <c r="M68" s="22"/>
      <c r="N68" s="22"/>
      <c r="O68" s="22"/>
      <c r="P68" s="22" t="n">
        <v>10.4</v>
      </c>
      <c r="Q68" s="22" t="s">
        <v>6590</v>
      </c>
      <c r="R68" s="22"/>
    </row>
    <row r="69" customFormat="false" ht="15" hidden="false" customHeight="false" outlineLevel="0" collapsed="false">
      <c r="A69" s="22" t="s">
        <v>6776</v>
      </c>
      <c r="B69" s="22" t="s">
        <v>198</v>
      </c>
      <c r="C69" s="22" t="s">
        <v>6562</v>
      </c>
      <c r="D69" s="22" t="s">
        <v>6724</v>
      </c>
      <c r="E69" s="22" t="n">
        <v>24</v>
      </c>
      <c r="F69" s="22" t="s">
        <v>6574</v>
      </c>
      <c r="G69" s="22" t="s">
        <v>6575</v>
      </c>
      <c r="H69" s="22" t="n">
        <v>9</v>
      </c>
      <c r="I69" s="22" t="s">
        <v>6576</v>
      </c>
      <c r="J69" s="22" t="s">
        <v>6577</v>
      </c>
      <c r="K69" s="22" t="s">
        <v>6777</v>
      </c>
      <c r="L69" s="22" t="s">
        <v>3759</v>
      </c>
      <c r="M69" s="22" t="s">
        <v>3760</v>
      </c>
      <c r="N69" s="22" t="s">
        <v>2034</v>
      </c>
      <c r="O69" s="22" t="n">
        <v>53.4</v>
      </c>
      <c r="P69" s="22" t="n">
        <v>10.4</v>
      </c>
      <c r="Q69" s="22" t="s">
        <v>6778</v>
      </c>
      <c r="R69" s="22"/>
    </row>
    <row r="70" customFormat="false" ht="15" hidden="false" customHeight="false" outlineLevel="0" collapsed="false">
      <c r="A70" s="22" t="s">
        <v>6779</v>
      </c>
      <c r="B70" s="22" t="s">
        <v>198</v>
      </c>
      <c r="C70" s="22" t="s">
        <v>6562</v>
      </c>
      <c r="D70" s="22" t="s">
        <v>6724</v>
      </c>
      <c r="E70" s="22" t="n">
        <v>28</v>
      </c>
      <c r="F70" s="22" t="s">
        <v>6574</v>
      </c>
      <c r="G70" s="22" t="s">
        <v>6575</v>
      </c>
      <c r="H70" s="22" t="n">
        <v>10</v>
      </c>
      <c r="I70" s="22" t="s">
        <v>6576</v>
      </c>
      <c r="J70" s="22" t="s">
        <v>6577</v>
      </c>
      <c r="K70" s="22" t="s">
        <v>6780</v>
      </c>
      <c r="L70" s="22" t="s">
        <v>5568</v>
      </c>
      <c r="M70" s="22" t="s">
        <v>5569</v>
      </c>
      <c r="N70" s="22" t="s">
        <v>260</v>
      </c>
      <c r="O70" s="22" t="n">
        <v>34.2</v>
      </c>
      <c r="P70" s="22" t="n">
        <v>10.4</v>
      </c>
      <c r="Q70" s="22" t="s">
        <v>6781</v>
      </c>
      <c r="R70" s="22"/>
    </row>
    <row r="71" customFormat="false" ht="15" hidden="false" customHeight="false" outlineLevel="0" collapsed="false">
      <c r="A71" s="22" t="s">
        <v>6782</v>
      </c>
      <c r="B71" s="22" t="s">
        <v>198</v>
      </c>
      <c r="C71" s="22" t="s">
        <v>6562</v>
      </c>
      <c r="D71" s="22" t="s">
        <v>6724</v>
      </c>
      <c r="E71" s="22" t="n">
        <v>24</v>
      </c>
      <c r="F71" s="22" t="s">
        <v>6574</v>
      </c>
      <c r="G71" s="22" t="s">
        <v>6575</v>
      </c>
      <c r="H71" s="22" t="n">
        <v>9</v>
      </c>
      <c r="I71" s="22" t="s">
        <v>6576</v>
      </c>
      <c r="J71" s="22" t="s">
        <v>6577</v>
      </c>
      <c r="K71" s="22" t="s">
        <v>6783</v>
      </c>
      <c r="L71" s="22" t="s">
        <v>1622</v>
      </c>
      <c r="M71" s="22" t="s">
        <v>1623</v>
      </c>
      <c r="N71" s="22" t="s">
        <v>522</v>
      </c>
      <c r="O71" s="22" t="n">
        <v>57.4</v>
      </c>
      <c r="P71" s="22" t="n">
        <v>10.4</v>
      </c>
      <c r="Q71" s="22" t="s">
        <v>6784</v>
      </c>
      <c r="R71" s="22"/>
    </row>
    <row r="72" customFormat="false" ht="15" hidden="false" customHeight="false" outlineLevel="0" collapsed="false">
      <c r="A72" s="22" t="s">
        <v>6785</v>
      </c>
      <c r="B72" s="22" t="s">
        <v>198</v>
      </c>
      <c r="C72" s="22" t="s">
        <v>6562</v>
      </c>
      <c r="D72" s="22" t="s">
        <v>6724</v>
      </c>
      <c r="E72" s="22" t="n">
        <v>24</v>
      </c>
      <c r="F72" s="22" t="s">
        <v>6574</v>
      </c>
      <c r="G72" s="22" t="s">
        <v>6575</v>
      </c>
      <c r="H72" s="22" t="n">
        <v>9</v>
      </c>
      <c r="I72" s="22" t="s">
        <v>6576</v>
      </c>
      <c r="J72" s="22" t="s">
        <v>6577</v>
      </c>
      <c r="K72" s="22" t="s">
        <v>6786</v>
      </c>
      <c r="L72" s="22" t="s">
        <v>3630</v>
      </c>
      <c r="M72" s="22" t="s">
        <v>3631</v>
      </c>
      <c r="N72" s="22" t="s">
        <v>3632</v>
      </c>
      <c r="O72" s="22" t="n">
        <v>48.5</v>
      </c>
      <c r="P72" s="22" t="n">
        <v>10.4</v>
      </c>
      <c r="Q72" s="22" t="s">
        <v>6620</v>
      </c>
      <c r="R72" s="22"/>
    </row>
    <row r="73" customFormat="false" ht="15" hidden="false" customHeight="false" outlineLevel="0" collapsed="false">
      <c r="A73" s="22" t="s">
        <v>6787</v>
      </c>
      <c r="B73" s="22" t="s">
        <v>198</v>
      </c>
      <c r="C73" s="22" t="s">
        <v>6562</v>
      </c>
      <c r="D73" s="22" t="s">
        <v>6724</v>
      </c>
      <c r="E73" s="22" t="n">
        <v>32</v>
      </c>
      <c r="F73" s="22" t="s">
        <v>6581</v>
      </c>
      <c r="G73" s="22" t="s">
        <v>6575</v>
      </c>
      <c r="H73" s="22" t="n">
        <v>12</v>
      </c>
      <c r="I73" s="22" t="s">
        <v>6576</v>
      </c>
      <c r="J73" s="22" t="s">
        <v>6577</v>
      </c>
      <c r="K73" s="22" t="s">
        <v>6788</v>
      </c>
      <c r="L73" s="22" t="s">
        <v>1406</v>
      </c>
      <c r="M73" s="22" t="s">
        <v>1407</v>
      </c>
      <c r="N73" s="22" t="s">
        <v>1408</v>
      </c>
      <c r="O73" s="22" t="n">
        <v>44.5</v>
      </c>
      <c r="P73" s="22" t="n">
        <v>10.4</v>
      </c>
      <c r="Q73" s="22" t="s">
        <v>6789</v>
      </c>
      <c r="R73" s="22"/>
    </row>
    <row r="74" customFormat="false" ht="15" hidden="false" customHeight="false" outlineLevel="0" collapsed="false">
      <c r="A74" s="22" t="s">
        <v>6790</v>
      </c>
      <c r="B74" s="22" t="s">
        <v>198</v>
      </c>
      <c r="C74" s="22" t="s">
        <v>6562</v>
      </c>
      <c r="D74" s="22" t="s">
        <v>6791</v>
      </c>
      <c r="E74" s="22" t="n">
        <v>24</v>
      </c>
      <c r="F74" s="22" t="s">
        <v>6574</v>
      </c>
      <c r="G74" s="22" t="s">
        <v>6575</v>
      </c>
      <c r="H74" s="22" t="n">
        <v>9</v>
      </c>
      <c r="I74" s="22" t="s">
        <v>6576</v>
      </c>
      <c r="J74" s="22" t="s">
        <v>6671</v>
      </c>
      <c r="K74" s="22"/>
      <c r="L74" s="22"/>
      <c r="M74" s="22"/>
      <c r="N74" s="22"/>
      <c r="O74" s="22"/>
      <c r="P74" s="22" t="n">
        <v>10.4</v>
      </c>
      <c r="Q74" s="22" t="s">
        <v>6792</v>
      </c>
      <c r="R74" s="22"/>
    </row>
    <row r="75" customFormat="false" ht="15" hidden="false" customHeight="false" outlineLevel="0" collapsed="false">
      <c r="A75" s="22" t="s">
        <v>6793</v>
      </c>
      <c r="B75" s="22" t="s">
        <v>198</v>
      </c>
      <c r="C75" s="22" t="s">
        <v>6562</v>
      </c>
      <c r="D75" s="22" t="s">
        <v>6791</v>
      </c>
      <c r="E75" s="22" t="n">
        <v>28</v>
      </c>
      <c r="F75" s="22" t="s">
        <v>6574</v>
      </c>
      <c r="G75" s="22" t="s">
        <v>6575</v>
      </c>
      <c r="H75" s="22" t="n">
        <v>10</v>
      </c>
      <c r="I75" s="22" t="s">
        <v>6576</v>
      </c>
      <c r="J75" s="22" t="s">
        <v>6577</v>
      </c>
      <c r="K75" s="22" t="s">
        <v>6794</v>
      </c>
      <c r="L75" s="22" t="s">
        <v>704</v>
      </c>
      <c r="M75" s="22" t="s">
        <v>705</v>
      </c>
      <c r="N75" s="22" t="s">
        <v>519</v>
      </c>
      <c r="O75" s="22" t="n">
        <v>36.5</v>
      </c>
      <c r="P75" s="22" t="n">
        <v>10.4</v>
      </c>
      <c r="Q75" s="22" t="s">
        <v>6795</v>
      </c>
      <c r="R75" s="22"/>
    </row>
    <row r="76" customFormat="false" ht="15" hidden="false" customHeight="false" outlineLevel="0" collapsed="false">
      <c r="A76" s="22" t="s">
        <v>6796</v>
      </c>
      <c r="B76" s="22" t="s">
        <v>198</v>
      </c>
      <c r="C76" s="22" t="s">
        <v>6562</v>
      </c>
      <c r="D76" s="22" t="s">
        <v>6791</v>
      </c>
      <c r="E76" s="22" t="n">
        <v>24</v>
      </c>
      <c r="F76" s="22" t="s">
        <v>6574</v>
      </c>
      <c r="G76" s="22" t="s">
        <v>6575</v>
      </c>
      <c r="H76" s="22" t="n">
        <v>9</v>
      </c>
      <c r="I76" s="22" t="s">
        <v>6576</v>
      </c>
      <c r="J76" s="22" t="s">
        <v>6577</v>
      </c>
      <c r="K76" s="22" t="s">
        <v>6797</v>
      </c>
      <c r="L76" s="22" t="s">
        <v>347</v>
      </c>
      <c r="M76" s="22" t="s">
        <v>348</v>
      </c>
      <c r="N76" s="22" t="s">
        <v>349</v>
      </c>
      <c r="O76" s="22" t="n">
        <v>46.9</v>
      </c>
      <c r="P76" s="22" t="n">
        <v>10.4</v>
      </c>
      <c r="Q76" s="22" t="s">
        <v>6798</v>
      </c>
      <c r="R76" s="22"/>
    </row>
    <row r="77" customFormat="false" ht="15" hidden="false" customHeight="false" outlineLevel="0" collapsed="false">
      <c r="A77" s="22" t="s">
        <v>6799</v>
      </c>
      <c r="B77" s="22" t="s">
        <v>198</v>
      </c>
      <c r="C77" s="22" t="s">
        <v>6562</v>
      </c>
      <c r="D77" s="22" t="s">
        <v>6791</v>
      </c>
      <c r="E77" s="22" t="n">
        <v>24</v>
      </c>
      <c r="F77" s="22" t="s">
        <v>6574</v>
      </c>
      <c r="G77" s="22" t="s">
        <v>6575</v>
      </c>
      <c r="H77" s="22" t="n">
        <v>9</v>
      </c>
      <c r="I77" s="22" t="s">
        <v>6576</v>
      </c>
      <c r="J77" s="22" t="s">
        <v>6577</v>
      </c>
      <c r="K77" s="22" t="s">
        <v>6800</v>
      </c>
      <c r="L77" s="22" t="s">
        <v>4651</v>
      </c>
      <c r="M77" s="22" t="s">
        <v>4652</v>
      </c>
      <c r="N77" s="22" t="s">
        <v>4653</v>
      </c>
      <c r="O77" s="22" t="n">
        <v>27.2</v>
      </c>
      <c r="P77" s="22" t="n">
        <v>10.4</v>
      </c>
      <c r="Q77" s="22" t="s">
        <v>6801</v>
      </c>
      <c r="R77" s="22"/>
    </row>
    <row r="78" customFormat="false" ht="15" hidden="false" customHeight="false" outlineLevel="0" collapsed="false">
      <c r="A78" s="22" t="s">
        <v>6802</v>
      </c>
      <c r="B78" s="22" t="s">
        <v>198</v>
      </c>
      <c r="C78" s="22" t="s">
        <v>6562</v>
      </c>
      <c r="D78" s="22" t="s">
        <v>6791</v>
      </c>
      <c r="E78" s="22" t="n">
        <v>24</v>
      </c>
      <c r="F78" s="22" t="s">
        <v>6574</v>
      </c>
      <c r="G78" s="22" t="s">
        <v>6575</v>
      </c>
      <c r="H78" s="22" t="n">
        <v>9</v>
      </c>
      <c r="I78" s="22" t="s">
        <v>6576</v>
      </c>
      <c r="J78" s="22" t="s">
        <v>6577</v>
      </c>
      <c r="K78" s="22" t="s">
        <v>6803</v>
      </c>
      <c r="L78" s="22" t="s">
        <v>3771</v>
      </c>
      <c r="M78" s="22" t="s">
        <v>2795</v>
      </c>
      <c r="N78" s="22" t="s">
        <v>451</v>
      </c>
      <c r="O78" s="22" t="n">
        <v>34.5</v>
      </c>
      <c r="P78" s="22" t="n">
        <v>10.4</v>
      </c>
      <c r="Q78" s="22" t="s">
        <v>6804</v>
      </c>
      <c r="R78" s="22"/>
    </row>
    <row r="79" customFormat="false" ht="15" hidden="false" customHeight="false" outlineLevel="0" collapsed="false">
      <c r="A79" s="22" t="s">
        <v>6805</v>
      </c>
      <c r="B79" s="22" t="s">
        <v>198</v>
      </c>
      <c r="C79" s="22" t="s">
        <v>6562</v>
      </c>
      <c r="D79" s="22" t="s">
        <v>6791</v>
      </c>
      <c r="E79" s="22" t="n">
        <v>24</v>
      </c>
      <c r="F79" s="22" t="s">
        <v>6574</v>
      </c>
      <c r="G79" s="22" t="s">
        <v>6575</v>
      </c>
      <c r="H79" s="22" t="n">
        <v>9</v>
      </c>
      <c r="I79" s="22" t="s">
        <v>6576</v>
      </c>
      <c r="J79" s="22" t="s">
        <v>6577</v>
      </c>
      <c r="K79" s="22" t="s">
        <v>6806</v>
      </c>
      <c r="L79" s="22" t="s">
        <v>3211</v>
      </c>
      <c r="M79" s="22" t="s">
        <v>3212</v>
      </c>
      <c r="N79" s="22" t="s">
        <v>3213</v>
      </c>
      <c r="O79" s="22" t="n">
        <v>59.6</v>
      </c>
      <c r="P79" s="22" t="n">
        <v>10.4</v>
      </c>
      <c r="Q79" s="22" t="s">
        <v>6807</v>
      </c>
      <c r="R79" s="22"/>
    </row>
    <row r="80" customFormat="false" ht="15" hidden="false" customHeight="false" outlineLevel="0" collapsed="false">
      <c r="A80" s="22" t="s">
        <v>6808</v>
      </c>
      <c r="B80" s="22" t="s">
        <v>198</v>
      </c>
      <c r="C80" s="22" t="s">
        <v>6562</v>
      </c>
      <c r="D80" s="22" t="s">
        <v>6791</v>
      </c>
      <c r="E80" s="22" t="n">
        <v>28</v>
      </c>
      <c r="F80" s="22" t="s">
        <v>6574</v>
      </c>
      <c r="G80" s="22" t="s">
        <v>6575</v>
      </c>
      <c r="H80" s="22" t="n">
        <v>10</v>
      </c>
      <c r="I80" s="22" t="s">
        <v>6576</v>
      </c>
      <c r="J80" s="22" t="s">
        <v>6577</v>
      </c>
      <c r="K80" s="22" t="s">
        <v>6809</v>
      </c>
      <c r="L80" s="22" t="s">
        <v>3362</v>
      </c>
      <c r="M80" s="22" t="s">
        <v>3363</v>
      </c>
      <c r="N80" s="22" t="s">
        <v>2620</v>
      </c>
      <c r="O80" s="22" t="n">
        <v>38.4</v>
      </c>
      <c r="P80" s="22" t="n">
        <v>10.4</v>
      </c>
      <c r="Q80" s="22" t="s">
        <v>6810</v>
      </c>
      <c r="R80" s="22"/>
    </row>
    <row r="81" customFormat="false" ht="15" hidden="false" customHeight="false" outlineLevel="0" collapsed="false">
      <c r="A81" s="22" t="s">
        <v>6811</v>
      </c>
      <c r="B81" s="22" t="s">
        <v>198</v>
      </c>
      <c r="C81" s="22" t="s">
        <v>6562</v>
      </c>
      <c r="D81" s="22" t="s">
        <v>6791</v>
      </c>
      <c r="E81" s="22" t="n">
        <v>40</v>
      </c>
      <c r="F81" s="22" t="s">
        <v>6581</v>
      </c>
      <c r="G81" s="22" t="s">
        <v>6575</v>
      </c>
      <c r="H81" s="22" t="n">
        <v>14</v>
      </c>
      <c r="I81" s="22" t="s">
        <v>6582</v>
      </c>
      <c r="J81" s="22" t="s">
        <v>6577</v>
      </c>
      <c r="K81" s="22" t="s">
        <v>6812</v>
      </c>
      <c r="L81" s="22" t="s">
        <v>5190</v>
      </c>
      <c r="M81" s="22" t="s">
        <v>5191</v>
      </c>
      <c r="N81" s="22" t="s">
        <v>4653</v>
      </c>
      <c r="O81" s="22" t="n">
        <v>23.9</v>
      </c>
      <c r="P81" s="22" t="n">
        <v>10.4</v>
      </c>
      <c r="Q81" s="22" t="s">
        <v>6813</v>
      </c>
      <c r="R81" s="22"/>
    </row>
    <row r="82" customFormat="false" ht="15" hidden="false" customHeight="false" outlineLevel="0" collapsed="false">
      <c r="A82" s="22" t="s">
        <v>6814</v>
      </c>
      <c r="B82" s="22" t="s">
        <v>198</v>
      </c>
      <c r="C82" s="22" t="s">
        <v>6562</v>
      </c>
      <c r="D82" s="22" t="s">
        <v>6791</v>
      </c>
      <c r="E82" s="22" t="n">
        <v>32</v>
      </c>
      <c r="F82" s="22" t="s">
        <v>6581</v>
      </c>
      <c r="G82" s="22" t="s">
        <v>6575</v>
      </c>
      <c r="H82" s="22" t="n">
        <v>12</v>
      </c>
      <c r="I82" s="22" t="s">
        <v>6576</v>
      </c>
      <c r="J82" s="22" t="s">
        <v>6577</v>
      </c>
      <c r="K82" s="22" t="s">
        <v>6815</v>
      </c>
      <c r="L82" s="22" t="s">
        <v>4092</v>
      </c>
      <c r="M82" s="22" t="s">
        <v>4093</v>
      </c>
      <c r="N82" s="22" t="s">
        <v>4094</v>
      </c>
      <c r="O82" s="22" t="n">
        <v>48.1</v>
      </c>
      <c r="P82" s="22" t="n">
        <v>10.4</v>
      </c>
      <c r="Q82" s="22" t="s">
        <v>6816</v>
      </c>
      <c r="R82" s="22"/>
    </row>
    <row r="83" customFormat="false" ht="15" hidden="false" customHeight="false" outlineLevel="0" collapsed="false">
      <c r="A83" s="22" t="s">
        <v>6817</v>
      </c>
      <c r="B83" s="22" t="s">
        <v>198</v>
      </c>
      <c r="C83" s="22" t="s">
        <v>6562</v>
      </c>
      <c r="D83" s="22" t="s">
        <v>6791</v>
      </c>
      <c r="E83" s="22" t="n">
        <v>24</v>
      </c>
      <c r="F83" s="22" t="s">
        <v>6574</v>
      </c>
      <c r="G83" s="22" t="s">
        <v>6575</v>
      </c>
      <c r="H83" s="22" t="n">
        <v>9</v>
      </c>
      <c r="I83" s="22" t="s">
        <v>6576</v>
      </c>
      <c r="J83" s="22" t="s">
        <v>6577</v>
      </c>
      <c r="K83" s="22" t="s">
        <v>6818</v>
      </c>
      <c r="L83" s="22" t="s">
        <v>3615</v>
      </c>
      <c r="M83" s="22" t="s">
        <v>3616</v>
      </c>
      <c r="N83" s="22" t="s">
        <v>1395</v>
      </c>
      <c r="O83" s="22" t="n">
        <v>39.7</v>
      </c>
      <c r="P83" s="22" t="n">
        <v>10.4</v>
      </c>
      <c r="Q83" s="22" t="s">
        <v>6819</v>
      </c>
      <c r="R83" s="22"/>
    </row>
    <row r="84" customFormat="false" ht="15" hidden="false" customHeight="false" outlineLevel="0" collapsed="false">
      <c r="A84" s="22" t="s">
        <v>6820</v>
      </c>
      <c r="B84" s="22" t="s">
        <v>198</v>
      </c>
      <c r="C84" s="22" t="s">
        <v>6562</v>
      </c>
      <c r="D84" s="22" t="s">
        <v>6791</v>
      </c>
      <c r="E84" s="22" t="n">
        <v>24</v>
      </c>
      <c r="F84" s="22" t="s">
        <v>6574</v>
      </c>
      <c r="G84" s="22" t="s">
        <v>6575</v>
      </c>
      <c r="H84" s="22" t="n">
        <v>9</v>
      </c>
      <c r="I84" s="22" t="s">
        <v>6576</v>
      </c>
      <c r="J84" s="22" t="s">
        <v>6577</v>
      </c>
      <c r="K84" s="22" t="s">
        <v>6821</v>
      </c>
      <c r="L84" s="22" t="s">
        <v>2486</v>
      </c>
      <c r="M84" s="22" t="s">
        <v>2487</v>
      </c>
      <c r="N84" s="22" t="s">
        <v>522</v>
      </c>
      <c r="O84" s="22" t="n">
        <v>24.6</v>
      </c>
      <c r="P84" s="22" t="n">
        <v>10.4</v>
      </c>
      <c r="Q84" s="22" t="s">
        <v>6822</v>
      </c>
      <c r="R84" s="22"/>
    </row>
    <row r="85" customFormat="false" ht="15" hidden="false" customHeight="false" outlineLevel="0" collapsed="false">
      <c r="A85" s="22" t="s">
        <v>6823</v>
      </c>
      <c r="B85" s="22" t="s">
        <v>198</v>
      </c>
      <c r="C85" s="22" t="s">
        <v>6562</v>
      </c>
      <c r="D85" s="22" t="s">
        <v>6791</v>
      </c>
      <c r="E85" s="22" t="n">
        <v>32</v>
      </c>
      <c r="F85" s="22" t="s">
        <v>6581</v>
      </c>
      <c r="G85" s="22" t="s">
        <v>6575</v>
      </c>
      <c r="H85" s="22" t="n">
        <v>12</v>
      </c>
      <c r="I85" s="22" t="s">
        <v>6576</v>
      </c>
      <c r="J85" s="22" t="s">
        <v>6577</v>
      </c>
      <c r="K85" s="22" t="s">
        <v>6824</v>
      </c>
      <c r="L85" s="22" t="s">
        <v>842</v>
      </c>
      <c r="M85" s="22" t="s">
        <v>843</v>
      </c>
      <c r="N85" s="22" t="s">
        <v>296</v>
      </c>
      <c r="O85" s="22" t="n">
        <v>41.2</v>
      </c>
      <c r="P85" s="22" t="n">
        <v>10.4</v>
      </c>
      <c r="Q85" s="22" t="s">
        <v>6825</v>
      </c>
      <c r="R85" s="22"/>
    </row>
    <row r="86" customFormat="false" ht="15" hidden="false" customHeight="false" outlineLevel="0" collapsed="false">
      <c r="A86" s="22" t="s">
        <v>6826</v>
      </c>
      <c r="B86" s="22" t="s">
        <v>198</v>
      </c>
      <c r="C86" s="22" t="s">
        <v>6562</v>
      </c>
      <c r="D86" s="22" t="s">
        <v>6791</v>
      </c>
      <c r="E86" s="22" t="n">
        <v>28</v>
      </c>
      <c r="F86" s="22" t="s">
        <v>6574</v>
      </c>
      <c r="G86" s="22" t="s">
        <v>6575</v>
      </c>
      <c r="H86" s="22" t="n">
        <v>10</v>
      </c>
      <c r="I86" s="22" t="s">
        <v>6576</v>
      </c>
      <c r="J86" s="22" t="s">
        <v>6577</v>
      </c>
      <c r="K86" s="22" t="s">
        <v>6827</v>
      </c>
      <c r="L86" s="22" t="s">
        <v>3890</v>
      </c>
      <c r="M86" s="22" t="s">
        <v>3891</v>
      </c>
      <c r="N86" s="22" t="s">
        <v>254</v>
      </c>
      <c r="O86" s="22" t="n">
        <v>23.7</v>
      </c>
      <c r="P86" s="22" t="n">
        <v>10.4</v>
      </c>
      <c r="Q86" s="22" t="s">
        <v>6828</v>
      </c>
      <c r="R86" s="22"/>
    </row>
    <row r="87" customFormat="false" ht="15" hidden="false" customHeight="false" outlineLevel="0" collapsed="false">
      <c r="A87" s="22" t="s">
        <v>6829</v>
      </c>
      <c r="B87" s="22" t="s">
        <v>198</v>
      </c>
      <c r="C87" s="22" t="s">
        <v>6562</v>
      </c>
      <c r="D87" s="22" t="s">
        <v>6791</v>
      </c>
      <c r="E87" s="22" t="n">
        <v>40</v>
      </c>
      <c r="F87" s="22" t="s">
        <v>6581</v>
      </c>
      <c r="G87" s="22" t="s">
        <v>6575</v>
      </c>
      <c r="H87" s="22" t="n">
        <v>14</v>
      </c>
      <c r="I87" s="22" t="s">
        <v>6582</v>
      </c>
      <c r="J87" s="22" t="s">
        <v>6613</v>
      </c>
      <c r="K87" s="22"/>
      <c r="L87" s="22"/>
      <c r="M87" s="22"/>
      <c r="N87" s="22"/>
      <c r="O87" s="22"/>
      <c r="P87" s="22" t="n">
        <v>10.4</v>
      </c>
      <c r="Q87" s="22" t="s">
        <v>6830</v>
      </c>
      <c r="R87" s="22"/>
    </row>
    <row r="88" customFormat="false" ht="15" hidden="false" customHeight="false" outlineLevel="0" collapsed="false">
      <c r="A88" s="22" t="s">
        <v>6831</v>
      </c>
      <c r="B88" s="22" t="s">
        <v>198</v>
      </c>
      <c r="C88" s="22" t="s">
        <v>6562</v>
      </c>
      <c r="D88" s="22" t="s">
        <v>6791</v>
      </c>
      <c r="E88" s="22" t="n">
        <v>24</v>
      </c>
      <c r="F88" s="22" t="s">
        <v>6574</v>
      </c>
      <c r="G88" s="22" t="s">
        <v>6575</v>
      </c>
      <c r="H88" s="22" t="n">
        <v>9</v>
      </c>
      <c r="I88" s="22" t="s">
        <v>6576</v>
      </c>
      <c r="J88" s="22" t="s">
        <v>6577</v>
      </c>
      <c r="K88" s="22" t="s">
        <v>6832</v>
      </c>
      <c r="L88" s="22" t="s">
        <v>6548</v>
      </c>
      <c r="M88" s="22" t="s">
        <v>6549</v>
      </c>
      <c r="N88" s="22" t="s">
        <v>2610</v>
      </c>
      <c r="O88" s="22" t="n">
        <v>35.9</v>
      </c>
      <c r="P88" s="22" t="n">
        <v>10.4</v>
      </c>
      <c r="Q88" s="22" t="s">
        <v>6833</v>
      </c>
      <c r="R88" s="22"/>
    </row>
    <row r="89" customFormat="false" ht="15" hidden="false" customHeight="false" outlineLevel="0" collapsed="false">
      <c r="A89" s="22" t="s">
        <v>6834</v>
      </c>
      <c r="B89" s="22" t="s">
        <v>198</v>
      </c>
      <c r="C89" s="22" t="s">
        <v>6562</v>
      </c>
      <c r="D89" s="22" t="s">
        <v>6791</v>
      </c>
      <c r="E89" s="22" t="n">
        <v>24</v>
      </c>
      <c r="F89" s="22" t="s">
        <v>6574</v>
      </c>
      <c r="G89" s="22" t="s">
        <v>6575</v>
      </c>
      <c r="H89" s="22" t="n">
        <v>9</v>
      </c>
      <c r="I89" s="22" t="s">
        <v>6576</v>
      </c>
      <c r="J89" s="22" t="s">
        <v>6577</v>
      </c>
      <c r="K89" s="22" t="s">
        <v>6835</v>
      </c>
      <c r="L89" s="22" t="s">
        <v>1969</v>
      </c>
      <c r="M89" s="22" t="s">
        <v>1970</v>
      </c>
      <c r="N89" s="22" t="s">
        <v>1971</v>
      </c>
      <c r="O89" s="22" t="n">
        <v>47.8</v>
      </c>
      <c r="P89" s="22" t="n">
        <v>10.4</v>
      </c>
      <c r="Q89" s="22" t="s">
        <v>6836</v>
      </c>
      <c r="R89" s="22"/>
    </row>
    <row r="90" customFormat="false" ht="15" hidden="false" customHeight="false" outlineLevel="0" collapsed="false">
      <c r="A90" s="22" t="s">
        <v>6837</v>
      </c>
      <c r="B90" s="22" t="s">
        <v>198</v>
      </c>
      <c r="C90" s="22" t="s">
        <v>6562</v>
      </c>
      <c r="D90" s="22" t="s">
        <v>6791</v>
      </c>
      <c r="E90" s="22" t="n">
        <v>40</v>
      </c>
      <c r="F90" s="22" t="s">
        <v>6581</v>
      </c>
      <c r="G90" s="22" t="s">
        <v>6575</v>
      </c>
      <c r="H90" s="22" t="n">
        <v>14</v>
      </c>
      <c r="I90" s="22" t="s">
        <v>6582</v>
      </c>
      <c r="J90" s="22" t="s">
        <v>6577</v>
      </c>
      <c r="K90" s="22" t="s">
        <v>6838</v>
      </c>
      <c r="L90" s="22" t="s">
        <v>4095</v>
      </c>
      <c r="M90" s="22" t="s">
        <v>4096</v>
      </c>
      <c r="N90" s="22" t="s">
        <v>1743</v>
      </c>
      <c r="O90" s="22" t="n">
        <v>60.9</v>
      </c>
      <c r="P90" s="22" t="n">
        <v>10.4</v>
      </c>
      <c r="Q90" s="22" t="s">
        <v>6839</v>
      </c>
      <c r="R90" s="22"/>
    </row>
    <row r="91" customFormat="false" ht="15" hidden="false" customHeight="false" outlineLevel="0" collapsed="false">
      <c r="A91" s="22" t="s">
        <v>6840</v>
      </c>
      <c r="B91" s="22" t="s">
        <v>198</v>
      </c>
      <c r="C91" s="22" t="s">
        <v>6562</v>
      </c>
      <c r="D91" s="22" t="s">
        <v>6791</v>
      </c>
      <c r="E91" s="22" t="n">
        <v>24</v>
      </c>
      <c r="F91" s="22" t="s">
        <v>6574</v>
      </c>
      <c r="G91" s="22" t="s">
        <v>6575</v>
      </c>
      <c r="H91" s="22" t="n">
        <v>9</v>
      </c>
      <c r="I91" s="22" t="s">
        <v>6576</v>
      </c>
      <c r="J91" s="22" t="s">
        <v>6577</v>
      </c>
      <c r="K91" s="22" t="s">
        <v>6841</v>
      </c>
      <c r="L91" s="22" t="s">
        <v>1980</v>
      </c>
      <c r="M91" s="22" t="s">
        <v>1981</v>
      </c>
      <c r="N91" s="22" t="s">
        <v>1579</v>
      </c>
      <c r="O91" s="22" t="n">
        <v>43.7</v>
      </c>
      <c r="P91" s="22" t="n">
        <v>10.4</v>
      </c>
      <c r="Q91" s="22" t="s">
        <v>6842</v>
      </c>
      <c r="R91" s="22"/>
    </row>
    <row r="92" customFormat="false" ht="15" hidden="false" customHeight="false" outlineLevel="0" collapsed="false">
      <c r="A92" s="22" t="s">
        <v>6843</v>
      </c>
      <c r="B92" s="22" t="s">
        <v>198</v>
      </c>
      <c r="C92" s="22" t="s">
        <v>6562</v>
      </c>
      <c r="D92" s="22" t="s">
        <v>6791</v>
      </c>
      <c r="E92" s="22" t="n">
        <v>24</v>
      </c>
      <c r="F92" s="22" t="s">
        <v>6574</v>
      </c>
      <c r="G92" s="22" t="s">
        <v>6575</v>
      </c>
      <c r="H92" s="22" t="n">
        <v>9</v>
      </c>
      <c r="I92" s="22" t="s">
        <v>6576</v>
      </c>
      <c r="J92" s="22" t="s">
        <v>6577</v>
      </c>
      <c r="K92" s="22" t="s">
        <v>6844</v>
      </c>
      <c r="L92" s="22" t="s">
        <v>4579</v>
      </c>
      <c r="M92" s="22" t="s">
        <v>4580</v>
      </c>
      <c r="N92" s="22" t="s">
        <v>3754</v>
      </c>
      <c r="O92" s="22" t="n">
        <v>44.4</v>
      </c>
      <c r="P92" s="22" t="n">
        <v>10.4</v>
      </c>
      <c r="Q92" s="22" t="s">
        <v>6845</v>
      </c>
      <c r="R92" s="22"/>
    </row>
    <row r="93" customFormat="false" ht="15" hidden="false" customHeight="false" outlineLevel="0" collapsed="false">
      <c r="A93" s="22" t="s">
        <v>6846</v>
      </c>
      <c r="B93" s="22" t="s">
        <v>198</v>
      </c>
      <c r="C93" s="22" t="s">
        <v>6562</v>
      </c>
      <c r="D93" s="22" t="s">
        <v>6791</v>
      </c>
      <c r="E93" s="22" t="n">
        <v>36</v>
      </c>
      <c r="F93" s="22" t="s">
        <v>6581</v>
      </c>
      <c r="G93" s="22" t="s">
        <v>6575</v>
      </c>
      <c r="H93" s="22" t="n">
        <v>13</v>
      </c>
      <c r="I93" s="22" t="s">
        <v>6582</v>
      </c>
      <c r="J93" s="22" t="s">
        <v>6577</v>
      </c>
      <c r="K93" s="22" t="s">
        <v>6847</v>
      </c>
      <c r="L93" s="22" t="s">
        <v>5327</v>
      </c>
      <c r="M93" s="22" t="s">
        <v>5328</v>
      </c>
      <c r="N93" s="22" t="s">
        <v>661</v>
      </c>
      <c r="O93" s="22" t="n">
        <v>28.9</v>
      </c>
      <c r="P93" s="22" t="n">
        <v>10.4</v>
      </c>
      <c r="Q93" s="22" t="s">
        <v>6848</v>
      </c>
      <c r="R93" s="22"/>
    </row>
    <row r="94" customFormat="false" ht="15" hidden="false" customHeight="false" outlineLevel="0" collapsed="false">
      <c r="A94" s="22" t="s">
        <v>6849</v>
      </c>
      <c r="B94" s="22" t="s">
        <v>198</v>
      </c>
      <c r="C94" s="22" t="s">
        <v>6562</v>
      </c>
      <c r="D94" s="22" t="s">
        <v>6791</v>
      </c>
      <c r="E94" s="22" t="n">
        <v>28</v>
      </c>
      <c r="F94" s="22" t="s">
        <v>6574</v>
      </c>
      <c r="G94" s="22" t="s">
        <v>6575</v>
      </c>
      <c r="H94" s="22" t="n">
        <v>10</v>
      </c>
      <c r="I94" s="22" t="s">
        <v>6576</v>
      </c>
      <c r="J94" s="22" t="s">
        <v>6577</v>
      </c>
      <c r="K94" s="22" t="s">
        <v>6850</v>
      </c>
      <c r="L94" s="22" t="s">
        <v>5877</v>
      </c>
      <c r="M94" s="22" t="s">
        <v>5878</v>
      </c>
      <c r="N94" s="22" t="s">
        <v>516</v>
      </c>
      <c r="O94" s="22" t="n">
        <v>25.1</v>
      </c>
      <c r="P94" s="22" t="n">
        <v>10.4</v>
      </c>
      <c r="Q94" s="22" t="s">
        <v>6792</v>
      </c>
      <c r="R94" s="22"/>
    </row>
    <row r="95" customFormat="false" ht="15" hidden="false" customHeight="false" outlineLevel="0" collapsed="false">
      <c r="A95" s="22" t="s">
        <v>6851</v>
      </c>
      <c r="B95" s="22" t="s">
        <v>198</v>
      </c>
      <c r="C95" s="22" t="s">
        <v>6562</v>
      </c>
      <c r="D95" s="22" t="s">
        <v>6791</v>
      </c>
      <c r="E95" s="22" t="n">
        <v>32</v>
      </c>
      <c r="F95" s="22" t="s">
        <v>6581</v>
      </c>
      <c r="G95" s="22" t="s">
        <v>6575</v>
      </c>
      <c r="H95" s="22" t="n">
        <v>12</v>
      </c>
      <c r="I95" s="22" t="s">
        <v>6576</v>
      </c>
      <c r="J95" s="22" t="s">
        <v>6577</v>
      </c>
      <c r="K95" s="22" t="s">
        <v>6852</v>
      </c>
      <c r="L95" s="22" t="s">
        <v>4474</v>
      </c>
      <c r="M95" s="22" t="s">
        <v>4475</v>
      </c>
      <c r="N95" s="22" t="s">
        <v>4476</v>
      </c>
      <c r="O95" s="22" t="n">
        <v>33.5</v>
      </c>
      <c r="P95" s="22" t="n">
        <v>10.4</v>
      </c>
      <c r="Q95" s="22" t="s">
        <v>6853</v>
      </c>
      <c r="R95" s="22"/>
    </row>
    <row r="96" customFormat="false" ht="15" hidden="false" customHeight="false" outlineLevel="0" collapsed="false">
      <c r="A96" s="22" t="s">
        <v>6854</v>
      </c>
      <c r="B96" s="22" t="s">
        <v>198</v>
      </c>
      <c r="C96" s="22" t="s">
        <v>6562</v>
      </c>
      <c r="D96" s="22" t="s">
        <v>6791</v>
      </c>
      <c r="E96" s="22" t="n">
        <v>40</v>
      </c>
      <c r="F96" s="22" t="s">
        <v>6581</v>
      </c>
      <c r="G96" s="22" t="s">
        <v>6575</v>
      </c>
      <c r="H96" s="22" t="n">
        <v>14</v>
      </c>
      <c r="I96" s="22" t="s">
        <v>6582</v>
      </c>
      <c r="J96" s="22" t="s">
        <v>6577</v>
      </c>
      <c r="K96" s="22" t="s">
        <v>6855</v>
      </c>
      <c r="L96" s="22" t="s">
        <v>2148</v>
      </c>
      <c r="M96" s="22" t="s">
        <v>2149</v>
      </c>
      <c r="N96" s="22" t="s">
        <v>2150</v>
      </c>
      <c r="O96" s="22" t="n">
        <v>34.6</v>
      </c>
      <c r="P96" s="22" t="n">
        <v>10.4</v>
      </c>
      <c r="Q96" s="22" t="s">
        <v>6856</v>
      </c>
      <c r="R96" s="22"/>
    </row>
    <row r="97" customFormat="false" ht="15" hidden="false" customHeight="false" outlineLevel="0" collapsed="false">
      <c r="A97" s="22" t="s">
        <v>6857</v>
      </c>
      <c r="B97" s="22" t="s">
        <v>198</v>
      </c>
      <c r="C97" s="22" t="s">
        <v>6562</v>
      </c>
      <c r="D97" s="22" t="s">
        <v>6791</v>
      </c>
      <c r="E97" s="22" t="n">
        <v>28</v>
      </c>
      <c r="F97" s="22" t="s">
        <v>6574</v>
      </c>
      <c r="G97" s="22" t="s">
        <v>6575</v>
      </c>
      <c r="H97" s="22" t="n">
        <v>10</v>
      </c>
      <c r="I97" s="22" t="s">
        <v>6576</v>
      </c>
      <c r="J97" s="22" t="s">
        <v>6577</v>
      </c>
      <c r="K97" s="22" t="s">
        <v>6858</v>
      </c>
      <c r="L97" s="22" t="s">
        <v>4637</v>
      </c>
      <c r="M97" s="22" t="s">
        <v>473</v>
      </c>
      <c r="N97" s="22" t="s">
        <v>236</v>
      </c>
      <c r="O97" s="22" t="n">
        <v>28.5</v>
      </c>
      <c r="P97" s="22" t="n">
        <v>10.4</v>
      </c>
      <c r="Q97" s="22" t="s">
        <v>6859</v>
      </c>
      <c r="R97" s="22"/>
    </row>
    <row r="98" customFormat="false" ht="15" hidden="false" customHeight="false" outlineLevel="0" collapsed="false">
      <c r="A98" s="22" t="s">
        <v>6860</v>
      </c>
      <c r="B98" s="22" t="s">
        <v>198</v>
      </c>
      <c r="C98" s="22" t="s">
        <v>6562</v>
      </c>
      <c r="D98" s="22" t="s">
        <v>6861</v>
      </c>
      <c r="E98" s="22" t="n">
        <v>40</v>
      </c>
      <c r="F98" s="22" t="s">
        <v>6581</v>
      </c>
      <c r="G98" s="22" t="s">
        <v>6575</v>
      </c>
      <c r="H98" s="22" t="n">
        <v>14</v>
      </c>
      <c r="I98" s="22" t="s">
        <v>6582</v>
      </c>
      <c r="J98" s="22" t="s">
        <v>6734</v>
      </c>
      <c r="K98" s="22"/>
      <c r="L98" s="22"/>
      <c r="M98" s="22"/>
      <c r="N98" s="22"/>
      <c r="O98" s="22"/>
      <c r="P98" s="22" t="n">
        <v>10.4</v>
      </c>
      <c r="Q98" s="22" t="s">
        <v>6862</v>
      </c>
      <c r="R98" s="22"/>
    </row>
    <row r="99" customFormat="false" ht="15" hidden="false" customHeight="false" outlineLevel="0" collapsed="false">
      <c r="A99" s="22" t="s">
        <v>6863</v>
      </c>
      <c r="B99" s="22" t="s">
        <v>198</v>
      </c>
      <c r="C99" s="22" t="s">
        <v>6562</v>
      </c>
      <c r="D99" s="22" t="s">
        <v>6861</v>
      </c>
      <c r="E99" s="22" t="n">
        <v>32</v>
      </c>
      <c r="F99" s="22" t="s">
        <v>6581</v>
      </c>
      <c r="G99" s="22" t="s">
        <v>6575</v>
      </c>
      <c r="H99" s="22" t="n">
        <v>12</v>
      </c>
      <c r="I99" s="22" t="s">
        <v>6576</v>
      </c>
      <c r="J99" s="22" t="s">
        <v>6577</v>
      </c>
      <c r="K99" s="22" t="s">
        <v>6864</v>
      </c>
      <c r="L99" s="22" t="s">
        <v>3981</v>
      </c>
      <c r="M99" s="22" t="s">
        <v>3982</v>
      </c>
      <c r="N99" s="22" t="s">
        <v>3983</v>
      </c>
      <c r="O99" s="22" t="n">
        <v>53.6</v>
      </c>
      <c r="P99" s="22" t="n">
        <v>10.4</v>
      </c>
      <c r="Q99" s="22" t="s">
        <v>6865</v>
      </c>
      <c r="R99" s="22"/>
    </row>
    <row r="100" customFormat="false" ht="15" hidden="false" customHeight="false" outlineLevel="0" collapsed="false">
      <c r="A100" s="22" t="s">
        <v>6866</v>
      </c>
      <c r="B100" s="22" t="s">
        <v>198</v>
      </c>
      <c r="C100" s="22" t="s">
        <v>6562</v>
      </c>
      <c r="D100" s="22" t="s">
        <v>6861</v>
      </c>
      <c r="E100" s="22" t="n">
        <v>24</v>
      </c>
      <c r="F100" s="22" t="s">
        <v>6574</v>
      </c>
      <c r="G100" s="22" t="s">
        <v>6575</v>
      </c>
      <c r="H100" s="22" t="n">
        <v>9</v>
      </c>
      <c r="I100" s="22" t="s">
        <v>6576</v>
      </c>
      <c r="J100" s="22" t="s">
        <v>6577</v>
      </c>
      <c r="K100" s="22" t="s">
        <v>6867</v>
      </c>
      <c r="L100" s="22" t="s">
        <v>5944</v>
      </c>
      <c r="M100" s="22" t="s">
        <v>5945</v>
      </c>
      <c r="N100" s="22" t="s">
        <v>1866</v>
      </c>
      <c r="O100" s="22" t="n">
        <v>34</v>
      </c>
      <c r="P100" s="22" t="n">
        <v>10.4</v>
      </c>
      <c r="Q100" s="22" t="s">
        <v>6868</v>
      </c>
      <c r="R100" s="22"/>
    </row>
    <row r="101" customFormat="false" ht="15" hidden="false" customHeight="false" outlineLevel="0" collapsed="false">
      <c r="A101" s="22" t="s">
        <v>6869</v>
      </c>
      <c r="B101" s="22" t="s">
        <v>198</v>
      </c>
      <c r="C101" s="22" t="s">
        <v>6562</v>
      </c>
      <c r="D101" s="22" t="s">
        <v>6861</v>
      </c>
      <c r="E101" s="22" t="n">
        <v>28</v>
      </c>
      <c r="F101" s="22" t="s">
        <v>6574</v>
      </c>
      <c r="G101" s="22" t="s">
        <v>6575</v>
      </c>
      <c r="H101" s="22" t="n">
        <v>10</v>
      </c>
      <c r="I101" s="22" t="s">
        <v>6576</v>
      </c>
      <c r="J101" s="22" t="s">
        <v>6577</v>
      </c>
      <c r="K101" s="22" t="s">
        <v>6870</v>
      </c>
      <c r="L101" s="22" t="s">
        <v>4679</v>
      </c>
      <c r="M101" s="22" t="s">
        <v>4680</v>
      </c>
      <c r="N101" s="22" t="s">
        <v>4681</v>
      </c>
      <c r="O101" s="22" t="n">
        <v>57.8</v>
      </c>
      <c r="P101" s="22" t="n">
        <v>10.4</v>
      </c>
      <c r="Q101" s="22" t="s">
        <v>6871</v>
      </c>
      <c r="R101" s="22"/>
    </row>
    <row r="102" customFormat="false" ht="15" hidden="false" customHeight="false" outlineLevel="0" collapsed="false">
      <c r="A102" s="22" t="s">
        <v>6872</v>
      </c>
      <c r="B102" s="22" t="s">
        <v>198</v>
      </c>
      <c r="C102" s="22" t="s">
        <v>6562</v>
      </c>
      <c r="D102" s="22" t="s">
        <v>6861</v>
      </c>
      <c r="E102" s="22" t="n">
        <v>28</v>
      </c>
      <c r="F102" s="22" t="s">
        <v>6574</v>
      </c>
      <c r="G102" s="22" t="s">
        <v>6575</v>
      </c>
      <c r="H102" s="22" t="n">
        <v>10</v>
      </c>
      <c r="I102" s="22" t="s">
        <v>6576</v>
      </c>
      <c r="J102" s="22" t="s">
        <v>6577</v>
      </c>
      <c r="K102" s="22" t="s">
        <v>6873</v>
      </c>
      <c r="L102" s="22" t="s">
        <v>3571</v>
      </c>
      <c r="M102" s="22" t="s">
        <v>3572</v>
      </c>
      <c r="N102" s="22" t="s">
        <v>2563</v>
      </c>
      <c r="O102" s="22" t="n">
        <v>57.9</v>
      </c>
      <c r="P102" s="22" t="n">
        <v>10.4</v>
      </c>
      <c r="Q102" s="22" t="s">
        <v>6874</v>
      </c>
      <c r="R102" s="22"/>
    </row>
    <row r="103" customFormat="false" ht="15" hidden="false" customHeight="false" outlineLevel="0" collapsed="false">
      <c r="A103" s="22" t="s">
        <v>6875</v>
      </c>
      <c r="B103" s="22" t="s">
        <v>198</v>
      </c>
      <c r="C103" s="22" t="s">
        <v>6562</v>
      </c>
      <c r="D103" s="22" t="s">
        <v>6861</v>
      </c>
      <c r="E103" s="22" t="n">
        <v>24</v>
      </c>
      <c r="F103" s="22" t="s">
        <v>6574</v>
      </c>
      <c r="G103" s="22" t="s">
        <v>6575</v>
      </c>
      <c r="H103" s="22" t="n">
        <v>9</v>
      </c>
      <c r="I103" s="22" t="s">
        <v>6576</v>
      </c>
      <c r="J103" s="22" t="s">
        <v>6577</v>
      </c>
      <c r="K103" s="22" t="s">
        <v>6876</v>
      </c>
      <c r="L103" s="22" t="s">
        <v>555</v>
      </c>
      <c r="M103" s="22" t="s">
        <v>556</v>
      </c>
      <c r="N103" s="22" t="s">
        <v>557</v>
      </c>
      <c r="O103" s="22" t="n">
        <v>46.7</v>
      </c>
      <c r="P103" s="22" t="n">
        <v>10.4</v>
      </c>
      <c r="Q103" s="22" t="s">
        <v>6877</v>
      </c>
      <c r="R103" s="22"/>
    </row>
    <row r="104" customFormat="false" ht="15" hidden="false" customHeight="false" outlineLevel="0" collapsed="false">
      <c r="A104" s="22" t="s">
        <v>6878</v>
      </c>
      <c r="B104" s="22" t="s">
        <v>198</v>
      </c>
      <c r="C104" s="22" t="s">
        <v>6562</v>
      </c>
      <c r="D104" s="22" t="s">
        <v>6861</v>
      </c>
      <c r="E104" s="22" t="n">
        <v>32</v>
      </c>
      <c r="F104" s="22" t="s">
        <v>6581</v>
      </c>
      <c r="G104" s="22" t="s">
        <v>6575</v>
      </c>
      <c r="H104" s="22" t="n">
        <v>12</v>
      </c>
      <c r="I104" s="22" t="s">
        <v>6576</v>
      </c>
      <c r="J104" s="22" t="s">
        <v>6577</v>
      </c>
      <c r="K104" s="22" t="s">
        <v>6879</v>
      </c>
      <c r="L104" s="22" t="s">
        <v>5361</v>
      </c>
      <c r="M104" s="22" t="s">
        <v>5362</v>
      </c>
      <c r="N104" s="22" t="s">
        <v>208</v>
      </c>
      <c r="O104" s="22" t="n">
        <v>41</v>
      </c>
      <c r="P104" s="22" t="n">
        <v>10.4</v>
      </c>
      <c r="Q104" s="22" t="s">
        <v>6848</v>
      </c>
      <c r="R104" s="22"/>
    </row>
    <row r="105" customFormat="false" ht="15" hidden="false" customHeight="false" outlineLevel="0" collapsed="false">
      <c r="A105" s="22" t="s">
        <v>6880</v>
      </c>
      <c r="B105" s="22" t="s">
        <v>198</v>
      </c>
      <c r="C105" s="22" t="s">
        <v>6562</v>
      </c>
      <c r="D105" s="22" t="s">
        <v>6861</v>
      </c>
      <c r="E105" s="22" t="n">
        <v>24</v>
      </c>
      <c r="F105" s="22" t="s">
        <v>6574</v>
      </c>
      <c r="G105" s="22" t="s">
        <v>6575</v>
      </c>
      <c r="H105" s="22" t="n">
        <v>9</v>
      </c>
      <c r="I105" s="22" t="s">
        <v>6576</v>
      </c>
      <c r="J105" s="22" t="s">
        <v>6577</v>
      </c>
      <c r="K105" s="22" t="s">
        <v>6881</v>
      </c>
      <c r="L105" s="22" t="s">
        <v>2320</v>
      </c>
      <c r="M105" s="22" t="s">
        <v>2321</v>
      </c>
      <c r="N105" s="22" t="s">
        <v>281</v>
      </c>
      <c r="O105" s="22" t="n">
        <v>56.6</v>
      </c>
      <c r="P105" s="22" t="n">
        <v>10.4</v>
      </c>
      <c r="Q105" s="22" t="s">
        <v>6657</v>
      </c>
      <c r="R105" s="22"/>
    </row>
    <row r="106" customFormat="false" ht="15" hidden="false" customHeight="false" outlineLevel="0" collapsed="false">
      <c r="A106" s="22" t="s">
        <v>6882</v>
      </c>
      <c r="B106" s="22" t="s">
        <v>198</v>
      </c>
      <c r="C106" s="22" t="s">
        <v>6562</v>
      </c>
      <c r="D106" s="22" t="s">
        <v>6861</v>
      </c>
      <c r="E106" s="22" t="n">
        <v>32</v>
      </c>
      <c r="F106" s="22" t="s">
        <v>6581</v>
      </c>
      <c r="G106" s="22" t="s">
        <v>6575</v>
      </c>
      <c r="H106" s="22" t="n">
        <v>12</v>
      </c>
      <c r="I106" s="22" t="s">
        <v>6576</v>
      </c>
      <c r="J106" s="22" t="s">
        <v>6577</v>
      </c>
      <c r="K106" s="22" t="s">
        <v>6883</v>
      </c>
      <c r="L106" s="22" t="s">
        <v>2568</v>
      </c>
      <c r="M106" s="22" t="s">
        <v>2569</v>
      </c>
      <c r="N106" s="22" t="s">
        <v>648</v>
      </c>
      <c r="O106" s="22" t="n">
        <v>50</v>
      </c>
      <c r="P106" s="22" t="n">
        <v>10.4</v>
      </c>
      <c r="Q106" s="22" t="s">
        <v>6884</v>
      </c>
      <c r="R106" s="22"/>
    </row>
    <row r="107" customFormat="false" ht="15" hidden="false" customHeight="false" outlineLevel="0" collapsed="false">
      <c r="A107" s="22" t="s">
        <v>6885</v>
      </c>
      <c r="B107" s="22" t="s">
        <v>198</v>
      </c>
      <c r="C107" s="22" t="s">
        <v>6562</v>
      </c>
      <c r="D107" s="22" t="s">
        <v>6861</v>
      </c>
      <c r="E107" s="22" t="n">
        <v>36</v>
      </c>
      <c r="F107" s="22" t="s">
        <v>6581</v>
      </c>
      <c r="G107" s="22" t="s">
        <v>6575</v>
      </c>
      <c r="H107" s="22" t="n">
        <v>13</v>
      </c>
      <c r="I107" s="22" t="s">
        <v>6582</v>
      </c>
      <c r="J107" s="22" t="s">
        <v>6577</v>
      </c>
      <c r="K107" s="22" t="s">
        <v>6886</v>
      </c>
      <c r="L107" s="22" t="s">
        <v>5315</v>
      </c>
      <c r="M107" s="22" t="s">
        <v>5316</v>
      </c>
      <c r="N107" s="22" t="s">
        <v>194</v>
      </c>
      <c r="O107" s="22" t="n">
        <v>58.7</v>
      </c>
      <c r="P107" s="22" t="n">
        <v>10.4</v>
      </c>
      <c r="Q107" s="22" t="s">
        <v>6887</v>
      </c>
      <c r="R107" s="22"/>
    </row>
    <row r="108" customFormat="false" ht="15" hidden="false" customHeight="false" outlineLevel="0" collapsed="false">
      <c r="A108" s="22" t="s">
        <v>6888</v>
      </c>
      <c r="B108" s="22" t="s">
        <v>198</v>
      </c>
      <c r="C108" s="22" t="s">
        <v>6562</v>
      </c>
      <c r="D108" s="22" t="s">
        <v>6861</v>
      </c>
      <c r="E108" s="22" t="n">
        <v>40</v>
      </c>
      <c r="F108" s="22" t="s">
        <v>6581</v>
      </c>
      <c r="G108" s="22" t="s">
        <v>6575</v>
      </c>
      <c r="H108" s="22" t="n">
        <v>14</v>
      </c>
      <c r="I108" s="22" t="s">
        <v>6582</v>
      </c>
      <c r="J108" s="22" t="s">
        <v>6577</v>
      </c>
      <c r="K108" s="22" t="s">
        <v>6889</v>
      </c>
      <c r="L108" s="22" t="s">
        <v>339</v>
      </c>
      <c r="M108" s="22" t="s">
        <v>340</v>
      </c>
      <c r="N108" s="22" t="s">
        <v>341</v>
      </c>
      <c r="O108" s="22" t="n">
        <v>23.7</v>
      </c>
      <c r="P108" s="22" t="n">
        <v>10.4</v>
      </c>
      <c r="Q108" s="22" t="s">
        <v>6890</v>
      </c>
      <c r="R108" s="22"/>
    </row>
    <row r="109" customFormat="false" ht="15" hidden="false" customHeight="false" outlineLevel="0" collapsed="false">
      <c r="A109" s="22" t="s">
        <v>6891</v>
      </c>
      <c r="B109" s="22" t="s">
        <v>198</v>
      </c>
      <c r="C109" s="22" t="s">
        <v>6562</v>
      </c>
      <c r="D109" s="22" t="s">
        <v>6861</v>
      </c>
      <c r="E109" s="22" t="n">
        <v>40</v>
      </c>
      <c r="F109" s="22" t="s">
        <v>6581</v>
      </c>
      <c r="G109" s="22" t="s">
        <v>6575</v>
      </c>
      <c r="H109" s="22" t="n">
        <v>14</v>
      </c>
      <c r="I109" s="22" t="s">
        <v>6582</v>
      </c>
      <c r="J109" s="22" t="s">
        <v>6577</v>
      </c>
      <c r="K109" s="22" t="s">
        <v>6892</v>
      </c>
      <c r="L109" s="22" t="s">
        <v>4603</v>
      </c>
      <c r="M109" s="22" t="s">
        <v>4604</v>
      </c>
      <c r="N109" s="22" t="s">
        <v>194</v>
      </c>
      <c r="O109" s="22" t="n">
        <v>19</v>
      </c>
      <c r="P109" s="22" t="n">
        <v>10.4</v>
      </c>
      <c r="Q109" s="22" t="s">
        <v>6893</v>
      </c>
      <c r="R109" s="22"/>
    </row>
    <row r="110" customFormat="false" ht="15" hidden="false" customHeight="false" outlineLevel="0" collapsed="false">
      <c r="A110" s="22" t="s">
        <v>6894</v>
      </c>
      <c r="B110" s="22" t="s">
        <v>198</v>
      </c>
      <c r="C110" s="22" t="s">
        <v>6562</v>
      </c>
      <c r="D110" s="22" t="s">
        <v>6861</v>
      </c>
      <c r="E110" s="22" t="n">
        <v>24</v>
      </c>
      <c r="F110" s="22" t="s">
        <v>6574</v>
      </c>
      <c r="G110" s="22" t="s">
        <v>6575</v>
      </c>
      <c r="H110" s="22" t="n">
        <v>9</v>
      </c>
      <c r="I110" s="22" t="s">
        <v>6576</v>
      </c>
      <c r="J110" s="22" t="s">
        <v>6577</v>
      </c>
      <c r="K110" s="22" t="s">
        <v>6895</v>
      </c>
      <c r="L110" s="22" t="s">
        <v>1520</v>
      </c>
      <c r="M110" s="22" t="s">
        <v>1521</v>
      </c>
      <c r="N110" s="22" t="s">
        <v>466</v>
      </c>
      <c r="O110" s="22" t="n">
        <v>40.2</v>
      </c>
      <c r="P110" s="22" t="n">
        <v>10.4</v>
      </c>
      <c r="Q110" s="22" t="s">
        <v>6896</v>
      </c>
      <c r="R110" s="22"/>
    </row>
    <row r="111" customFormat="false" ht="15" hidden="false" customHeight="false" outlineLevel="0" collapsed="false">
      <c r="A111" s="22" t="s">
        <v>6897</v>
      </c>
      <c r="B111" s="22" t="s">
        <v>198</v>
      </c>
      <c r="C111" s="22" t="s">
        <v>6562</v>
      </c>
      <c r="D111" s="22" t="s">
        <v>6861</v>
      </c>
      <c r="E111" s="22" t="n">
        <v>28</v>
      </c>
      <c r="F111" s="22" t="s">
        <v>6574</v>
      </c>
      <c r="G111" s="22" t="s">
        <v>6575</v>
      </c>
      <c r="H111" s="22" t="n">
        <v>10</v>
      </c>
      <c r="I111" s="22" t="s">
        <v>6576</v>
      </c>
      <c r="J111" s="22" t="s">
        <v>6577</v>
      </c>
      <c r="K111" s="22" t="s">
        <v>6898</v>
      </c>
      <c r="L111" s="22" t="s">
        <v>270</v>
      </c>
      <c r="M111" s="22" t="s">
        <v>271</v>
      </c>
      <c r="N111" s="22" t="s">
        <v>272</v>
      </c>
      <c r="O111" s="22" t="n">
        <v>23.3</v>
      </c>
      <c r="P111" s="22" t="n">
        <v>10.4</v>
      </c>
      <c r="Q111" s="22" t="s">
        <v>6899</v>
      </c>
      <c r="R111" s="22"/>
    </row>
    <row r="112" customFormat="false" ht="15" hidden="false" customHeight="false" outlineLevel="0" collapsed="false">
      <c r="A112" s="22" t="s">
        <v>6900</v>
      </c>
      <c r="B112" s="22" t="s">
        <v>198</v>
      </c>
      <c r="C112" s="22" t="s">
        <v>6562</v>
      </c>
      <c r="D112" s="22" t="s">
        <v>6861</v>
      </c>
      <c r="E112" s="22" t="n">
        <v>40</v>
      </c>
      <c r="F112" s="22" t="s">
        <v>6581</v>
      </c>
      <c r="G112" s="22" t="s">
        <v>6575</v>
      </c>
      <c r="H112" s="22" t="n">
        <v>14</v>
      </c>
      <c r="I112" s="22" t="s">
        <v>6582</v>
      </c>
      <c r="J112" s="22" t="s">
        <v>6901</v>
      </c>
      <c r="K112" s="22"/>
      <c r="L112" s="22"/>
      <c r="M112" s="22"/>
      <c r="N112" s="22"/>
      <c r="O112" s="22"/>
      <c r="P112" s="22" t="n">
        <v>10.4</v>
      </c>
      <c r="Q112" s="22" t="s">
        <v>6611</v>
      </c>
      <c r="R112" s="22"/>
    </row>
    <row r="113" customFormat="false" ht="15" hidden="false" customHeight="false" outlineLevel="0" collapsed="false">
      <c r="A113" s="22" t="s">
        <v>6902</v>
      </c>
      <c r="B113" s="22" t="s">
        <v>198</v>
      </c>
      <c r="C113" s="22" t="s">
        <v>6562</v>
      </c>
      <c r="D113" s="22" t="s">
        <v>6861</v>
      </c>
      <c r="E113" s="22" t="n">
        <v>40</v>
      </c>
      <c r="F113" s="22" t="s">
        <v>6581</v>
      </c>
      <c r="G113" s="22" t="s">
        <v>6575</v>
      </c>
      <c r="H113" s="22" t="n">
        <v>14</v>
      </c>
      <c r="I113" s="22" t="s">
        <v>6582</v>
      </c>
      <c r="J113" s="22" t="s">
        <v>6577</v>
      </c>
      <c r="K113" s="22" t="s">
        <v>6903</v>
      </c>
      <c r="L113" s="22" t="s">
        <v>5006</v>
      </c>
      <c r="M113" s="22" t="s">
        <v>5007</v>
      </c>
      <c r="N113" s="22" t="s">
        <v>251</v>
      </c>
      <c r="O113" s="22" t="n">
        <v>18.9</v>
      </c>
      <c r="P113" s="22" t="n">
        <v>10.4</v>
      </c>
      <c r="Q113" s="22" t="s">
        <v>6904</v>
      </c>
      <c r="R113" s="22"/>
    </row>
    <row r="114" customFormat="false" ht="15" hidden="false" customHeight="false" outlineLevel="0" collapsed="false">
      <c r="A114" s="22" t="s">
        <v>6905</v>
      </c>
      <c r="B114" s="22" t="s">
        <v>198</v>
      </c>
      <c r="C114" s="22" t="s">
        <v>6562</v>
      </c>
      <c r="D114" s="22" t="s">
        <v>6861</v>
      </c>
      <c r="E114" s="22" t="n">
        <v>36</v>
      </c>
      <c r="F114" s="22" t="s">
        <v>6581</v>
      </c>
      <c r="G114" s="22" t="s">
        <v>6575</v>
      </c>
      <c r="H114" s="22" t="n">
        <v>13</v>
      </c>
      <c r="I114" s="22" t="s">
        <v>6582</v>
      </c>
      <c r="J114" s="22" t="s">
        <v>6577</v>
      </c>
      <c r="K114" s="22" t="s">
        <v>6906</v>
      </c>
      <c r="L114" s="22" t="s">
        <v>4150</v>
      </c>
      <c r="M114" s="22" t="s">
        <v>4151</v>
      </c>
      <c r="N114" s="22" t="s">
        <v>2468</v>
      </c>
      <c r="O114" s="22" t="n">
        <v>55</v>
      </c>
      <c r="P114" s="22" t="n">
        <v>10.4</v>
      </c>
      <c r="Q114" s="22" t="s">
        <v>6907</v>
      </c>
      <c r="R114" s="22"/>
    </row>
    <row r="115" customFormat="false" ht="15" hidden="false" customHeight="false" outlineLevel="0" collapsed="false">
      <c r="A115" s="22" t="s">
        <v>6908</v>
      </c>
      <c r="B115" s="22" t="s">
        <v>198</v>
      </c>
      <c r="C115" s="22" t="s">
        <v>6562</v>
      </c>
      <c r="D115" s="22" t="s">
        <v>6861</v>
      </c>
      <c r="E115" s="22" t="n">
        <v>36</v>
      </c>
      <c r="F115" s="22" t="s">
        <v>6581</v>
      </c>
      <c r="G115" s="22" t="s">
        <v>6575</v>
      </c>
      <c r="H115" s="22" t="n">
        <v>13</v>
      </c>
      <c r="I115" s="22" t="s">
        <v>6582</v>
      </c>
      <c r="J115" s="22" t="s">
        <v>6577</v>
      </c>
      <c r="K115" s="22" t="s">
        <v>6909</v>
      </c>
      <c r="L115" s="22" t="s">
        <v>4656</v>
      </c>
      <c r="M115" s="22" t="s">
        <v>4657</v>
      </c>
      <c r="N115" s="22" t="s">
        <v>2656</v>
      </c>
      <c r="O115" s="22" t="n">
        <v>34.6</v>
      </c>
      <c r="P115" s="22" t="n">
        <v>10.4</v>
      </c>
      <c r="Q115" s="22" t="s">
        <v>6910</v>
      </c>
      <c r="R115" s="22"/>
    </row>
    <row r="116" customFormat="false" ht="15" hidden="false" customHeight="false" outlineLevel="0" collapsed="false">
      <c r="A116" s="22" t="s">
        <v>6911</v>
      </c>
      <c r="B116" s="22" t="s">
        <v>198</v>
      </c>
      <c r="C116" s="22" t="s">
        <v>6562</v>
      </c>
      <c r="D116" s="22" t="s">
        <v>6861</v>
      </c>
      <c r="E116" s="22" t="n">
        <v>32</v>
      </c>
      <c r="F116" s="22" t="s">
        <v>6581</v>
      </c>
      <c r="G116" s="22" t="s">
        <v>6575</v>
      </c>
      <c r="H116" s="22" t="n">
        <v>12</v>
      </c>
      <c r="I116" s="22" t="s">
        <v>6576</v>
      </c>
      <c r="J116" s="22" t="s">
        <v>6577</v>
      </c>
      <c r="K116" s="22" t="s">
        <v>6912</v>
      </c>
      <c r="L116" s="22" t="s">
        <v>5100</v>
      </c>
      <c r="M116" s="22" t="s">
        <v>5101</v>
      </c>
      <c r="N116" s="22" t="s">
        <v>953</v>
      </c>
      <c r="O116" s="22" t="n">
        <v>36.5</v>
      </c>
      <c r="P116" s="22" t="n">
        <v>10.4</v>
      </c>
      <c r="Q116" s="22" t="s">
        <v>6913</v>
      </c>
      <c r="R116" s="22"/>
    </row>
    <row r="117" customFormat="false" ht="15" hidden="false" customHeight="false" outlineLevel="0" collapsed="false">
      <c r="A117" s="22" t="s">
        <v>6914</v>
      </c>
      <c r="B117" s="22" t="s">
        <v>198</v>
      </c>
      <c r="C117" s="22" t="s">
        <v>6562</v>
      </c>
      <c r="D117" s="22" t="s">
        <v>6861</v>
      </c>
      <c r="E117" s="22" t="n">
        <v>32</v>
      </c>
      <c r="F117" s="22" t="s">
        <v>6581</v>
      </c>
      <c r="G117" s="22" t="s">
        <v>6575</v>
      </c>
      <c r="H117" s="22" t="n">
        <v>12</v>
      </c>
      <c r="I117" s="22" t="s">
        <v>6576</v>
      </c>
      <c r="J117" s="22" t="s">
        <v>6577</v>
      </c>
      <c r="K117" s="22" t="s">
        <v>6915</v>
      </c>
      <c r="L117" s="22" t="s">
        <v>2410</v>
      </c>
      <c r="M117" s="22" t="s">
        <v>2411</v>
      </c>
      <c r="N117" s="22" t="s">
        <v>1840</v>
      </c>
      <c r="O117" s="22" t="n">
        <v>38.5</v>
      </c>
      <c r="P117" s="22" t="n">
        <v>10.4</v>
      </c>
      <c r="Q117" s="22" t="s">
        <v>6916</v>
      </c>
      <c r="R117" s="22"/>
    </row>
    <row r="118" customFormat="false" ht="15" hidden="false" customHeight="false" outlineLevel="0" collapsed="false">
      <c r="A118" s="22" t="s">
        <v>6917</v>
      </c>
      <c r="B118" s="22" t="s">
        <v>198</v>
      </c>
      <c r="C118" s="22" t="s">
        <v>6562</v>
      </c>
      <c r="D118" s="22" t="s">
        <v>6861</v>
      </c>
      <c r="E118" s="22" t="n">
        <v>40</v>
      </c>
      <c r="F118" s="22" t="s">
        <v>6581</v>
      </c>
      <c r="G118" s="22" t="s">
        <v>6575</v>
      </c>
      <c r="H118" s="22" t="n">
        <v>14</v>
      </c>
      <c r="I118" s="22" t="s">
        <v>6582</v>
      </c>
      <c r="J118" s="22" t="s">
        <v>6577</v>
      </c>
      <c r="K118" s="22" t="s">
        <v>6918</v>
      </c>
      <c r="L118" s="22" t="s">
        <v>5059</v>
      </c>
      <c r="M118" s="22" t="s">
        <v>5060</v>
      </c>
      <c r="N118" s="22" t="s">
        <v>661</v>
      </c>
      <c r="O118" s="22" t="n">
        <v>39.5</v>
      </c>
      <c r="P118" s="22" t="n">
        <v>10.4</v>
      </c>
      <c r="Q118" s="22" t="s">
        <v>6919</v>
      </c>
      <c r="R118" s="22"/>
    </row>
    <row r="119" customFormat="false" ht="15" hidden="false" customHeight="false" outlineLevel="0" collapsed="false">
      <c r="A119" s="22" t="s">
        <v>6920</v>
      </c>
      <c r="B119" s="22" t="s">
        <v>198</v>
      </c>
      <c r="C119" s="22" t="s">
        <v>6562</v>
      </c>
      <c r="D119" s="22" t="s">
        <v>6861</v>
      </c>
      <c r="E119" s="22" t="n">
        <v>40</v>
      </c>
      <c r="F119" s="22" t="s">
        <v>6581</v>
      </c>
      <c r="G119" s="22" t="s">
        <v>6575</v>
      </c>
      <c r="H119" s="22" t="n">
        <v>14</v>
      </c>
      <c r="I119" s="22" t="s">
        <v>6582</v>
      </c>
      <c r="J119" s="22" t="s">
        <v>6577</v>
      </c>
      <c r="K119" s="22" t="s">
        <v>6921</v>
      </c>
      <c r="L119" s="22" t="s">
        <v>1744</v>
      </c>
      <c r="M119" s="22" t="s">
        <v>1745</v>
      </c>
      <c r="N119" s="22" t="s">
        <v>690</v>
      </c>
      <c r="O119" s="22" t="n">
        <v>60.6</v>
      </c>
      <c r="P119" s="22" t="n">
        <v>10.4</v>
      </c>
      <c r="Q119" s="22" t="s">
        <v>6922</v>
      </c>
      <c r="R119" s="22"/>
    </row>
    <row r="120" customFormat="false" ht="15" hidden="false" customHeight="false" outlineLevel="0" collapsed="false">
      <c r="A120" s="22" t="s">
        <v>6923</v>
      </c>
      <c r="B120" s="22" t="s">
        <v>198</v>
      </c>
      <c r="C120" s="22" t="s">
        <v>6562</v>
      </c>
      <c r="D120" s="22" t="s">
        <v>6861</v>
      </c>
      <c r="E120" s="22" t="n">
        <v>24</v>
      </c>
      <c r="F120" s="22" t="s">
        <v>6574</v>
      </c>
      <c r="G120" s="22" t="s">
        <v>6575</v>
      </c>
      <c r="H120" s="22" t="n">
        <v>9</v>
      </c>
      <c r="I120" s="22" t="s">
        <v>6576</v>
      </c>
      <c r="J120" s="22" t="s">
        <v>6577</v>
      </c>
      <c r="K120" s="22" t="s">
        <v>6924</v>
      </c>
      <c r="L120" s="22" t="s">
        <v>5162</v>
      </c>
      <c r="M120" s="22" t="s">
        <v>5163</v>
      </c>
      <c r="N120" s="22" t="s">
        <v>1736</v>
      </c>
      <c r="O120" s="22" t="n">
        <v>24.2</v>
      </c>
      <c r="P120" s="22" t="n">
        <v>10.4</v>
      </c>
      <c r="Q120" s="22" t="s">
        <v>6732</v>
      </c>
      <c r="R120" s="22"/>
    </row>
    <row r="121" customFormat="false" ht="15" hidden="false" customHeight="false" outlineLevel="0" collapsed="false">
      <c r="A121" s="22" t="s">
        <v>6925</v>
      </c>
      <c r="B121" s="22" t="s">
        <v>198</v>
      </c>
      <c r="C121" s="22" t="s">
        <v>6562</v>
      </c>
      <c r="D121" s="22" t="s">
        <v>6861</v>
      </c>
      <c r="E121" s="22" t="n">
        <v>28</v>
      </c>
      <c r="F121" s="22" t="s">
        <v>6574</v>
      </c>
      <c r="G121" s="22" t="s">
        <v>6575</v>
      </c>
      <c r="H121" s="22" t="n">
        <v>10</v>
      </c>
      <c r="I121" s="22" t="s">
        <v>6576</v>
      </c>
      <c r="J121" s="22" t="s">
        <v>6577</v>
      </c>
      <c r="K121" s="22" t="s">
        <v>6926</v>
      </c>
      <c r="L121" s="22" t="s">
        <v>4107</v>
      </c>
      <c r="M121" s="22" t="s">
        <v>4108</v>
      </c>
      <c r="N121" s="22" t="s">
        <v>2625</v>
      </c>
      <c r="O121" s="22" t="n">
        <v>24.6</v>
      </c>
      <c r="P121" s="22" t="n">
        <v>10.4</v>
      </c>
      <c r="Q121" s="22" t="s">
        <v>6927</v>
      </c>
      <c r="R121" s="22"/>
    </row>
    <row r="122" customFormat="false" ht="15" hidden="false" customHeight="false" outlineLevel="0" collapsed="false">
      <c r="A122" s="22" t="s">
        <v>6928</v>
      </c>
      <c r="B122" s="22" t="s">
        <v>198</v>
      </c>
      <c r="C122" s="22" t="s">
        <v>6562</v>
      </c>
      <c r="D122" s="22" t="s">
        <v>6929</v>
      </c>
      <c r="E122" s="22" t="n">
        <v>24</v>
      </c>
      <c r="F122" s="22" t="s">
        <v>6574</v>
      </c>
      <c r="G122" s="22" t="s">
        <v>6575</v>
      </c>
      <c r="H122" s="22" t="n">
        <v>9</v>
      </c>
      <c r="I122" s="22" t="s">
        <v>6576</v>
      </c>
      <c r="J122" s="22" t="s">
        <v>6577</v>
      </c>
      <c r="K122" s="22" t="s">
        <v>6930</v>
      </c>
      <c r="L122" s="22" t="s">
        <v>3992</v>
      </c>
      <c r="M122" s="22" t="s">
        <v>3993</v>
      </c>
      <c r="N122" s="22" t="s">
        <v>1262</v>
      </c>
      <c r="O122" s="22" t="n">
        <v>29.3</v>
      </c>
      <c r="P122" s="22" t="n">
        <v>10.4</v>
      </c>
      <c r="Q122" s="22" t="s">
        <v>6931</v>
      </c>
      <c r="R122" s="22"/>
    </row>
    <row r="123" customFormat="false" ht="15" hidden="false" customHeight="false" outlineLevel="0" collapsed="false">
      <c r="A123" s="22" t="s">
        <v>6932</v>
      </c>
      <c r="B123" s="22" t="s">
        <v>198</v>
      </c>
      <c r="C123" s="22" t="s">
        <v>6562</v>
      </c>
      <c r="D123" s="22" t="s">
        <v>6929</v>
      </c>
      <c r="E123" s="22" t="n">
        <v>36</v>
      </c>
      <c r="F123" s="22" t="s">
        <v>6581</v>
      </c>
      <c r="G123" s="22" t="s">
        <v>6575</v>
      </c>
      <c r="H123" s="22" t="n">
        <v>13</v>
      </c>
      <c r="I123" s="22" t="s">
        <v>6582</v>
      </c>
      <c r="J123" s="22" t="s">
        <v>6577</v>
      </c>
      <c r="K123" s="22" t="s">
        <v>6933</v>
      </c>
      <c r="L123" s="22" t="s">
        <v>1111</v>
      </c>
      <c r="M123" s="22" t="s">
        <v>1112</v>
      </c>
      <c r="N123" s="22" t="s">
        <v>687</v>
      </c>
      <c r="O123" s="22" t="n">
        <v>57.7</v>
      </c>
      <c r="P123" s="22" t="n">
        <v>10.4</v>
      </c>
      <c r="Q123" s="22" t="s">
        <v>6934</v>
      </c>
      <c r="R123" s="22"/>
    </row>
    <row r="124" customFormat="false" ht="15" hidden="false" customHeight="false" outlineLevel="0" collapsed="false">
      <c r="A124" s="22" t="s">
        <v>6935</v>
      </c>
      <c r="B124" s="22" t="s">
        <v>198</v>
      </c>
      <c r="C124" s="22" t="s">
        <v>6562</v>
      </c>
      <c r="D124" s="22" t="s">
        <v>6929</v>
      </c>
      <c r="E124" s="22" t="n">
        <v>28</v>
      </c>
      <c r="F124" s="22" t="s">
        <v>6574</v>
      </c>
      <c r="G124" s="22" t="s">
        <v>6575</v>
      </c>
      <c r="H124" s="22" t="n">
        <v>10</v>
      </c>
      <c r="I124" s="22" t="s">
        <v>6576</v>
      </c>
      <c r="J124" s="22" t="s">
        <v>6577</v>
      </c>
      <c r="K124" s="22" t="s">
        <v>6936</v>
      </c>
      <c r="L124" s="22" t="s">
        <v>4569</v>
      </c>
      <c r="M124" s="22" t="s">
        <v>4570</v>
      </c>
      <c r="N124" s="22" t="s">
        <v>629</v>
      </c>
      <c r="O124" s="22" t="n">
        <v>32.2</v>
      </c>
      <c r="P124" s="22" t="n">
        <v>10.4</v>
      </c>
      <c r="Q124" s="22" t="s">
        <v>6937</v>
      </c>
      <c r="R124" s="22"/>
    </row>
    <row r="125" customFormat="false" ht="15" hidden="false" customHeight="false" outlineLevel="0" collapsed="false">
      <c r="A125" s="22" t="s">
        <v>6938</v>
      </c>
      <c r="B125" s="22" t="s">
        <v>198</v>
      </c>
      <c r="C125" s="22" t="s">
        <v>6562</v>
      </c>
      <c r="D125" s="22" t="s">
        <v>6929</v>
      </c>
      <c r="E125" s="22" t="n">
        <v>40</v>
      </c>
      <c r="F125" s="22" t="s">
        <v>6581</v>
      </c>
      <c r="G125" s="22" t="s">
        <v>6575</v>
      </c>
      <c r="H125" s="22" t="n">
        <v>14</v>
      </c>
      <c r="I125" s="22" t="s">
        <v>6582</v>
      </c>
      <c r="J125" s="22" t="s">
        <v>6577</v>
      </c>
      <c r="K125" s="22" t="s">
        <v>6939</v>
      </c>
      <c r="L125" s="22" t="s">
        <v>3928</v>
      </c>
      <c r="M125" s="22" t="s">
        <v>3929</v>
      </c>
      <c r="N125" s="22" t="s">
        <v>1866</v>
      </c>
      <c r="O125" s="22" t="n">
        <v>51</v>
      </c>
      <c r="P125" s="22" t="n">
        <v>10.4</v>
      </c>
      <c r="Q125" s="22" t="s">
        <v>6940</v>
      </c>
      <c r="R125" s="22"/>
    </row>
    <row r="126" customFormat="false" ht="15" hidden="false" customHeight="false" outlineLevel="0" collapsed="false">
      <c r="A126" s="22" t="s">
        <v>6941</v>
      </c>
      <c r="B126" s="22" t="s">
        <v>198</v>
      </c>
      <c r="C126" s="22" t="s">
        <v>6562</v>
      </c>
      <c r="D126" s="22" t="s">
        <v>6929</v>
      </c>
      <c r="E126" s="22" t="n">
        <v>24</v>
      </c>
      <c r="F126" s="22" t="s">
        <v>6574</v>
      </c>
      <c r="G126" s="22" t="s">
        <v>6575</v>
      </c>
      <c r="H126" s="22" t="n">
        <v>9</v>
      </c>
      <c r="I126" s="22" t="s">
        <v>6576</v>
      </c>
      <c r="J126" s="22" t="s">
        <v>6577</v>
      </c>
      <c r="K126" s="22" t="s">
        <v>6942</v>
      </c>
      <c r="L126" s="22" t="s">
        <v>2079</v>
      </c>
      <c r="M126" s="22" t="s">
        <v>2080</v>
      </c>
      <c r="N126" s="22" t="s">
        <v>2081</v>
      </c>
      <c r="O126" s="22" t="n">
        <v>50.9</v>
      </c>
      <c r="P126" s="22" t="n">
        <v>10.4</v>
      </c>
      <c r="Q126" s="22" t="s">
        <v>6943</v>
      </c>
      <c r="R126" s="22"/>
    </row>
    <row r="127" customFormat="false" ht="15" hidden="false" customHeight="false" outlineLevel="0" collapsed="false">
      <c r="A127" s="22" t="s">
        <v>6944</v>
      </c>
      <c r="B127" s="22" t="s">
        <v>198</v>
      </c>
      <c r="C127" s="22" t="s">
        <v>6562</v>
      </c>
      <c r="D127" s="22" t="s">
        <v>6929</v>
      </c>
      <c r="E127" s="22" t="n">
        <v>24</v>
      </c>
      <c r="F127" s="22" t="s">
        <v>6574</v>
      </c>
      <c r="G127" s="22" t="s">
        <v>6575</v>
      </c>
      <c r="H127" s="22" t="n">
        <v>9</v>
      </c>
      <c r="I127" s="22" t="s">
        <v>6576</v>
      </c>
      <c r="J127" s="22" t="s">
        <v>6577</v>
      </c>
      <c r="K127" s="22" t="s">
        <v>6945</v>
      </c>
      <c r="L127" s="22" t="s">
        <v>6210</v>
      </c>
      <c r="M127" s="22" t="s">
        <v>6211</v>
      </c>
      <c r="N127" s="22" t="s">
        <v>457</v>
      </c>
      <c r="O127" s="22" t="n">
        <v>61.2</v>
      </c>
      <c r="P127" s="22" t="n">
        <v>10.4</v>
      </c>
      <c r="Q127" s="22" t="s">
        <v>6946</v>
      </c>
      <c r="R127" s="22"/>
    </row>
    <row r="128" customFormat="false" ht="15" hidden="false" customHeight="false" outlineLevel="0" collapsed="false">
      <c r="A128" s="22" t="s">
        <v>6947</v>
      </c>
      <c r="B128" s="22" t="s">
        <v>198</v>
      </c>
      <c r="C128" s="22" t="s">
        <v>6562</v>
      </c>
      <c r="D128" s="22" t="s">
        <v>6929</v>
      </c>
      <c r="E128" s="22" t="n">
        <v>40</v>
      </c>
      <c r="F128" s="22" t="s">
        <v>6581</v>
      </c>
      <c r="G128" s="22" t="s">
        <v>6575</v>
      </c>
      <c r="H128" s="22" t="n">
        <v>14</v>
      </c>
      <c r="I128" s="22" t="s">
        <v>6582</v>
      </c>
      <c r="J128" s="22" t="s">
        <v>6577</v>
      </c>
      <c r="K128" s="22" t="s">
        <v>6948</v>
      </c>
      <c r="L128" s="22" t="s">
        <v>1205</v>
      </c>
      <c r="M128" s="22" t="s">
        <v>1206</v>
      </c>
      <c r="N128" s="22" t="s">
        <v>1207</v>
      </c>
      <c r="O128" s="22" t="n">
        <v>30.7</v>
      </c>
      <c r="P128" s="22" t="n">
        <v>10.4</v>
      </c>
      <c r="Q128" s="22" t="s">
        <v>6949</v>
      </c>
      <c r="R128" s="22"/>
    </row>
    <row r="129" customFormat="false" ht="15" hidden="false" customHeight="false" outlineLevel="0" collapsed="false">
      <c r="A129" s="22" t="s">
        <v>6950</v>
      </c>
      <c r="B129" s="22" t="s">
        <v>198</v>
      </c>
      <c r="C129" s="22" t="s">
        <v>6562</v>
      </c>
      <c r="D129" s="22" t="s">
        <v>6929</v>
      </c>
      <c r="E129" s="22" t="n">
        <v>28</v>
      </c>
      <c r="F129" s="22" t="s">
        <v>6574</v>
      </c>
      <c r="G129" s="22" t="s">
        <v>6575</v>
      </c>
      <c r="H129" s="22" t="n">
        <v>10</v>
      </c>
      <c r="I129" s="22" t="s">
        <v>6576</v>
      </c>
      <c r="J129" s="22" t="s">
        <v>6577</v>
      </c>
      <c r="K129" s="22" t="s">
        <v>6951</v>
      </c>
      <c r="L129" s="22" t="s">
        <v>6544</v>
      </c>
      <c r="M129" s="22" t="s">
        <v>6545</v>
      </c>
      <c r="N129" s="22" t="s">
        <v>367</v>
      </c>
      <c r="O129" s="22" t="n">
        <v>22.6</v>
      </c>
      <c r="P129" s="22" t="n">
        <v>10.4</v>
      </c>
      <c r="Q129" s="22" t="s">
        <v>6952</v>
      </c>
      <c r="R129" s="22"/>
    </row>
    <row r="130" customFormat="false" ht="15" hidden="false" customHeight="false" outlineLevel="0" collapsed="false">
      <c r="A130" s="22" t="s">
        <v>6953</v>
      </c>
      <c r="B130" s="22" t="s">
        <v>198</v>
      </c>
      <c r="C130" s="22" t="s">
        <v>6562</v>
      </c>
      <c r="D130" s="22" t="s">
        <v>6929</v>
      </c>
      <c r="E130" s="22" t="n">
        <v>24</v>
      </c>
      <c r="F130" s="22" t="s">
        <v>6574</v>
      </c>
      <c r="G130" s="22" t="s">
        <v>6575</v>
      </c>
      <c r="H130" s="22" t="n">
        <v>9</v>
      </c>
      <c r="I130" s="22" t="s">
        <v>6576</v>
      </c>
      <c r="J130" s="22" t="s">
        <v>6577</v>
      </c>
      <c r="K130" s="22" t="s">
        <v>6954</v>
      </c>
      <c r="L130" s="22" t="s">
        <v>1739</v>
      </c>
      <c r="M130" s="22" t="s">
        <v>1740</v>
      </c>
      <c r="N130" s="22" t="s">
        <v>1029</v>
      </c>
      <c r="O130" s="22" t="n">
        <v>37.3</v>
      </c>
      <c r="P130" s="22" t="n">
        <v>10.4</v>
      </c>
      <c r="Q130" s="22" t="s">
        <v>6955</v>
      </c>
      <c r="R130" s="22"/>
    </row>
    <row r="131" customFormat="false" ht="15" hidden="false" customHeight="false" outlineLevel="0" collapsed="false">
      <c r="A131" s="22" t="s">
        <v>6956</v>
      </c>
      <c r="B131" s="22" t="s">
        <v>198</v>
      </c>
      <c r="C131" s="22" t="s">
        <v>6562</v>
      </c>
      <c r="D131" s="22" t="s">
        <v>6929</v>
      </c>
      <c r="E131" s="22" t="n">
        <v>28</v>
      </c>
      <c r="F131" s="22" t="s">
        <v>6574</v>
      </c>
      <c r="G131" s="22" t="s">
        <v>6575</v>
      </c>
      <c r="H131" s="22" t="n">
        <v>10</v>
      </c>
      <c r="I131" s="22" t="s">
        <v>6576</v>
      </c>
      <c r="J131" s="22" t="s">
        <v>6577</v>
      </c>
      <c r="K131" s="22" t="s">
        <v>6957</v>
      </c>
      <c r="L131" s="22" t="s">
        <v>4536</v>
      </c>
      <c r="M131" s="22" t="s">
        <v>4537</v>
      </c>
      <c r="N131" s="22" t="s">
        <v>287</v>
      </c>
      <c r="O131" s="22" t="n">
        <v>34.5</v>
      </c>
      <c r="P131" s="22" t="n">
        <v>10.4</v>
      </c>
      <c r="Q131" s="22" t="s">
        <v>6958</v>
      </c>
      <c r="R131" s="22"/>
    </row>
    <row r="132" customFormat="false" ht="15" hidden="false" customHeight="false" outlineLevel="0" collapsed="false">
      <c r="A132" s="22" t="s">
        <v>6959</v>
      </c>
      <c r="B132" s="22" t="s">
        <v>198</v>
      </c>
      <c r="C132" s="22" t="s">
        <v>6562</v>
      </c>
      <c r="D132" s="22" t="s">
        <v>6929</v>
      </c>
      <c r="E132" s="22" t="n">
        <v>24</v>
      </c>
      <c r="F132" s="22" t="s">
        <v>6574</v>
      </c>
      <c r="G132" s="22" t="s">
        <v>6575</v>
      </c>
      <c r="H132" s="22" t="n">
        <v>9</v>
      </c>
      <c r="I132" s="22" t="s">
        <v>6576</v>
      </c>
      <c r="J132" s="22" t="s">
        <v>6577</v>
      </c>
      <c r="K132" s="22" t="s">
        <v>6960</v>
      </c>
      <c r="L132" s="22" t="s">
        <v>5851</v>
      </c>
      <c r="M132" s="22" t="s">
        <v>5852</v>
      </c>
      <c r="N132" s="22" t="s">
        <v>1069</v>
      </c>
      <c r="O132" s="22" t="n">
        <v>60.7</v>
      </c>
      <c r="P132" s="22" t="n">
        <v>10.4</v>
      </c>
      <c r="Q132" s="22" t="s">
        <v>6961</v>
      </c>
      <c r="R132" s="22"/>
    </row>
    <row r="133" customFormat="false" ht="15" hidden="false" customHeight="false" outlineLevel="0" collapsed="false">
      <c r="A133" s="22" t="s">
        <v>6962</v>
      </c>
      <c r="B133" s="22" t="s">
        <v>198</v>
      </c>
      <c r="C133" s="22" t="s">
        <v>6562</v>
      </c>
      <c r="D133" s="22" t="s">
        <v>6929</v>
      </c>
      <c r="E133" s="22" t="n">
        <v>32</v>
      </c>
      <c r="F133" s="22" t="s">
        <v>6581</v>
      </c>
      <c r="G133" s="22" t="s">
        <v>6575</v>
      </c>
      <c r="H133" s="22" t="n">
        <v>12</v>
      </c>
      <c r="I133" s="22" t="s">
        <v>6576</v>
      </c>
      <c r="J133" s="22" t="s">
        <v>6577</v>
      </c>
      <c r="K133" s="22" t="s">
        <v>6963</v>
      </c>
      <c r="L133" s="22" t="s">
        <v>1800</v>
      </c>
      <c r="M133" s="22" t="s">
        <v>1801</v>
      </c>
      <c r="N133" s="22" t="s">
        <v>1802</v>
      </c>
      <c r="O133" s="22" t="n">
        <v>18.6</v>
      </c>
      <c r="P133" s="22" t="n">
        <v>10.4</v>
      </c>
      <c r="Q133" s="22" t="s">
        <v>6964</v>
      </c>
      <c r="R133" s="22"/>
    </row>
    <row r="134" customFormat="false" ht="15" hidden="false" customHeight="false" outlineLevel="0" collapsed="false">
      <c r="A134" s="22" t="s">
        <v>6965</v>
      </c>
      <c r="B134" s="22" t="s">
        <v>198</v>
      </c>
      <c r="C134" s="22" t="s">
        <v>6562</v>
      </c>
      <c r="D134" s="22" t="s">
        <v>6929</v>
      </c>
      <c r="E134" s="22" t="n">
        <v>24</v>
      </c>
      <c r="F134" s="22" t="s">
        <v>6574</v>
      </c>
      <c r="G134" s="22" t="s">
        <v>6575</v>
      </c>
      <c r="H134" s="22" t="n">
        <v>9</v>
      </c>
      <c r="I134" s="22" t="s">
        <v>6576</v>
      </c>
      <c r="J134" s="22" t="s">
        <v>6577</v>
      </c>
      <c r="K134" s="22" t="s">
        <v>6966</v>
      </c>
      <c r="L134" s="22" t="s">
        <v>5633</v>
      </c>
      <c r="M134" s="22" t="s">
        <v>5634</v>
      </c>
      <c r="N134" s="22" t="s">
        <v>1824</v>
      </c>
      <c r="O134" s="22" t="n">
        <v>52.8</v>
      </c>
      <c r="P134" s="22" t="n">
        <v>10.4</v>
      </c>
      <c r="Q134" s="22" t="s">
        <v>6967</v>
      </c>
      <c r="R134" s="22"/>
    </row>
    <row r="135" customFormat="false" ht="15" hidden="false" customHeight="false" outlineLevel="0" collapsed="false">
      <c r="A135" s="22" t="s">
        <v>6968</v>
      </c>
      <c r="B135" s="22" t="s">
        <v>198</v>
      </c>
      <c r="C135" s="22" t="s">
        <v>6562</v>
      </c>
      <c r="D135" s="22" t="s">
        <v>6929</v>
      </c>
      <c r="E135" s="22" t="n">
        <v>28</v>
      </c>
      <c r="F135" s="22" t="s">
        <v>6574</v>
      </c>
      <c r="G135" s="22" t="s">
        <v>6575</v>
      </c>
      <c r="H135" s="22" t="n">
        <v>10</v>
      </c>
      <c r="I135" s="22" t="s">
        <v>6576</v>
      </c>
      <c r="J135" s="22" t="s">
        <v>6577</v>
      </c>
      <c r="K135" s="22" t="s">
        <v>6969</v>
      </c>
      <c r="L135" s="22" t="s">
        <v>475</v>
      </c>
      <c r="M135" s="22" t="s">
        <v>476</v>
      </c>
      <c r="N135" s="22" t="s">
        <v>477</v>
      </c>
      <c r="O135" s="22" t="n">
        <v>18.7</v>
      </c>
      <c r="P135" s="22" t="n">
        <v>10.4</v>
      </c>
      <c r="Q135" s="22" t="s">
        <v>6970</v>
      </c>
      <c r="R135" s="22"/>
    </row>
    <row r="136" customFormat="false" ht="15" hidden="false" customHeight="false" outlineLevel="0" collapsed="false">
      <c r="A136" s="22" t="s">
        <v>6971</v>
      </c>
      <c r="B136" s="22" t="s">
        <v>198</v>
      </c>
      <c r="C136" s="22" t="s">
        <v>6562</v>
      </c>
      <c r="D136" s="22" t="s">
        <v>6929</v>
      </c>
      <c r="E136" s="22" t="n">
        <v>36</v>
      </c>
      <c r="F136" s="22" t="s">
        <v>6581</v>
      </c>
      <c r="G136" s="22" t="s">
        <v>6575</v>
      </c>
      <c r="H136" s="22" t="n">
        <v>13</v>
      </c>
      <c r="I136" s="22" t="s">
        <v>6582</v>
      </c>
      <c r="J136" s="22" t="s">
        <v>6577</v>
      </c>
      <c r="K136" s="22" t="s">
        <v>6972</v>
      </c>
      <c r="L136" s="22" t="s">
        <v>6372</v>
      </c>
      <c r="M136" s="22" t="s">
        <v>6373</v>
      </c>
      <c r="N136" s="22" t="s">
        <v>312</v>
      </c>
      <c r="O136" s="22" t="n">
        <v>37.5</v>
      </c>
      <c r="P136" s="22" t="n">
        <v>10.4</v>
      </c>
      <c r="Q136" s="22" t="s">
        <v>6973</v>
      </c>
      <c r="R136" s="22"/>
    </row>
    <row r="137" customFormat="false" ht="15" hidden="false" customHeight="false" outlineLevel="0" collapsed="false">
      <c r="A137" s="22" t="s">
        <v>6974</v>
      </c>
      <c r="B137" s="22" t="s">
        <v>198</v>
      </c>
      <c r="C137" s="22" t="s">
        <v>6562</v>
      </c>
      <c r="D137" s="22" t="s">
        <v>6929</v>
      </c>
      <c r="E137" s="22" t="n">
        <v>24</v>
      </c>
      <c r="F137" s="22" t="s">
        <v>6574</v>
      </c>
      <c r="G137" s="22" t="s">
        <v>6575</v>
      </c>
      <c r="H137" s="22" t="n">
        <v>9</v>
      </c>
      <c r="I137" s="22" t="s">
        <v>6576</v>
      </c>
      <c r="J137" s="22" t="s">
        <v>6577</v>
      </c>
      <c r="K137" s="22" t="s">
        <v>6975</v>
      </c>
      <c r="L137" s="22" t="s">
        <v>6441</v>
      </c>
      <c r="M137" s="22" t="s">
        <v>6442</v>
      </c>
      <c r="N137" s="22" t="s">
        <v>687</v>
      </c>
      <c r="O137" s="22" t="n">
        <v>51.4</v>
      </c>
      <c r="P137" s="22" t="n">
        <v>10.4</v>
      </c>
      <c r="Q137" s="22" t="s">
        <v>6976</v>
      </c>
      <c r="R137" s="22"/>
    </row>
    <row r="138" customFormat="false" ht="15" hidden="false" customHeight="false" outlineLevel="0" collapsed="false">
      <c r="A138" s="22" t="s">
        <v>6977</v>
      </c>
      <c r="B138" s="22" t="s">
        <v>198</v>
      </c>
      <c r="C138" s="22" t="s">
        <v>6562</v>
      </c>
      <c r="D138" s="22" t="s">
        <v>6929</v>
      </c>
      <c r="E138" s="22" t="n">
        <v>28</v>
      </c>
      <c r="F138" s="22" t="s">
        <v>6574</v>
      </c>
      <c r="G138" s="22" t="s">
        <v>6575</v>
      </c>
      <c r="H138" s="22" t="n">
        <v>10</v>
      </c>
      <c r="I138" s="22" t="s">
        <v>6576</v>
      </c>
      <c r="J138" s="22" t="s">
        <v>6577</v>
      </c>
      <c r="K138" s="22" t="s">
        <v>6978</v>
      </c>
      <c r="L138" s="22" t="s">
        <v>2802</v>
      </c>
      <c r="M138" s="22" t="s">
        <v>2803</v>
      </c>
      <c r="N138" s="22" t="s">
        <v>1484</v>
      </c>
      <c r="O138" s="22" t="n">
        <v>35.6</v>
      </c>
      <c r="P138" s="22" t="n">
        <v>10.4</v>
      </c>
      <c r="Q138" s="22" t="s">
        <v>6979</v>
      </c>
      <c r="R138" s="22"/>
    </row>
    <row r="139" customFormat="false" ht="15" hidden="false" customHeight="false" outlineLevel="0" collapsed="false">
      <c r="A139" s="22" t="s">
        <v>6980</v>
      </c>
      <c r="B139" s="22" t="s">
        <v>198</v>
      </c>
      <c r="C139" s="22" t="s">
        <v>6562</v>
      </c>
      <c r="D139" s="22" t="s">
        <v>6929</v>
      </c>
      <c r="E139" s="22" t="n">
        <v>32</v>
      </c>
      <c r="F139" s="22" t="s">
        <v>6581</v>
      </c>
      <c r="G139" s="22" t="s">
        <v>6575</v>
      </c>
      <c r="H139" s="22" t="n">
        <v>12</v>
      </c>
      <c r="I139" s="22" t="s">
        <v>6576</v>
      </c>
      <c r="J139" s="22" t="s">
        <v>6577</v>
      </c>
      <c r="K139" s="22" t="s">
        <v>6981</v>
      </c>
      <c r="L139" s="22" t="s">
        <v>2553</v>
      </c>
      <c r="M139" s="22" t="s">
        <v>2554</v>
      </c>
      <c r="N139" s="22" t="s">
        <v>2555</v>
      </c>
      <c r="O139" s="22" t="n">
        <v>30.1</v>
      </c>
      <c r="P139" s="22" t="n">
        <v>10.4</v>
      </c>
      <c r="Q139" s="22" t="s">
        <v>6982</v>
      </c>
      <c r="R139" s="22"/>
    </row>
    <row r="140" customFormat="false" ht="15" hidden="false" customHeight="false" outlineLevel="0" collapsed="false">
      <c r="A140" s="22" t="s">
        <v>6983</v>
      </c>
      <c r="B140" s="22" t="s">
        <v>198</v>
      </c>
      <c r="C140" s="22" t="s">
        <v>6562</v>
      </c>
      <c r="D140" s="22" t="s">
        <v>6929</v>
      </c>
      <c r="E140" s="22" t="n">
        <v>36</v>
      </c>
      <c r="F140" s="22" t="s">
        <v>6581</v>
      </c>
      <c r="G140" s="22" t="s">
        <v>6575</v>
      </c>
      <c r="H140" s="22" t="n">
        <v>13</v>
      </c>
      <c r="I140" s="22" t="s">
        <v>6582</v>
      </c>
      <c r="J140" s="22" t="s">
        <v>6671</v>
      </c>
      <c r="K140" s="22"/>
      <c r="L140" s="22"/>
      <c r="M140" s="22"/>
      <c r="N140" s="22"/>
      <c r="O140" s="22"/>
      <c r="P140" s="22" t="n">
        <v>10.4</v>
      </c>
      <c r="Q140" s="22" t="s">
        <v>6984</v>
      </c>
      <c r="R140" s="22"/>
    </row>
    <row r="141" customFormat="false" ht="15" hidden="false" customHeight="false" outlineLevel="0" collapsed="false">
      <c r="A141" s="22" t="s">
        <v>6985</v>
      </c>
      <c r="B141" s="22" t="s">
        <v>198</v>
      </c>
      <c r="C141" s="22" t="s">
        <v>6562</v>
      </c>
      <c r="D141" s="22" t="s">
        <v>6929</v>
      </c>
      <c r="E141" s="22" t="n">
        <v>32</v>
      </c>
      <c r="F141" s="22" t="s">
        <v>6581</v>
      </c>
      <c r="G141" s="22" t="s">
        <v>6575</v>
      </c>
      <c r="H141" s="22" t="n">
        <v>12</v>
      </c>
      <c r="I141" s="22" t="s">
        <v>6576</v>
      </c>
      <c r="J141" s="22" t="s">
        <v>6577</v>
      </c>
      <c r="K141" s="22" t="s">
        <v>6986</v>
      </c>
      <c r="L141" s="22" t="s">
        <v>3524</v>
      </c>
      <c r="M141" s="22" t="s">
        <v>3525</v>
      </c>
      <c r="N141" s="22" t="s">
        <v>2420</v>
      </c>
      <c r="O141" s="22" t="n">
        <v>40.5</v>
      </c>
      <c r="P141" s="22" t="n">
        <v>10.4</v>
      </c>
      <c r="Q141" s="22" t="s">
        <v>6987</v>
      </c>
      <c r="R141" s="22"/>
    </row>
    <row r="142" customFormat="false" ht="15" hidden="false" customHeight="false" outlineLevel="0" collapsed="false">
      <c r="A142" s="22" t="s">
        <v>6988</v>
      </c>
      <c r="B142" s="22" t="s">
        <v>198</v>
      </c>
      <c r="C142" s="22" t="s">
        <v>6562</v>
      </c>
      <c r="D142" s="22" t="s">
        <v>6929</v>
      </c>
      <c r="E142" s="22" t="n">
        <v>40</v>
      </c>
      <c r="F142" s="22" t="s">
        <v>6581</v>
      </c>
      <c r="G142" s="22" t="s">
        <v>6575</v>
      </c>
      <c r="H142" s="22" t="n">
        <v>14</v>
      </c>
      <c r="I142" s="22" t="s">
        <v>6582</v>
      </c>
      <c r="J142" s="22" t="s">
        <v>6577</v>
      </c>
      <c r="K142" s="22" t="s">
        <v>6989</v>
      </c>
      <c r="L142" s="22" t="s">
        <v>3068</v>
      </c>
      <c r="M142" s="22" t="s">
        <v>3069</v>
      </c>
      <c r="N142" s="22" t="s">
        <v>508</v>
      </c>
      <c r="O142" s="22" t="n">
        <v>22</v>
      </c>
      <c r="P142" s="22" t="n">
        <v>10.4</v>
      </c>
      <c r="Q142" s="22" t="s">
        <v>6990</v>
      </c>
      <c r="R142" s="22"/>
    </row>
    <row r="143" customFormat="false" ht="15" hidden="false" customHeight="false" outlineLevel="0" collapsed="false">
      <c r="A143" s="22" t="s">
        <v>6991</v>
      </c>
      <c r="B143" s="22" t="s">
        <v>198</v>
      </c>
      <c r="C143" s="22" t="s">
        <v>6562</v>
      </c>
      <c r="D143" s="22" t="s">
        <v>6929</v>
      </c>
      <c r="E143" s="22" t="n">
        <v>32</v>
      </c>
      <c r="F143" s="22" t="s">
        <v>6581</v>
      </c>
      <c r="G143" s="22" t="s">
        <v>6575</v>
      </c>
      <c r="H143" s="22" t="n">
        <v>12</v>
      </c>
      <c r="I143" s="22" t="s">
        <v>6576</v>
      </c>
      <c r="J143" s="22" t="s">
        <v>6577</v>
      </c>
      <c r="K143" s="22" t="s">
        <v>6992</v>
      </c>
      <c r="L143" s="22" t="s">
        <v>5952</v>
      </c>
      <c r="M143" s="22" t="s">
        <v>5953</v>
      </c>
      <c r="N143" s="22" t="s">
        <v>5954</v>
      </c>
      <c r="O143" s="22" t="n">
        <v>39.4</v>
      </c>
      <c r="P143" s="22" t="n">
        <v>10.4</v>
      </c>
      <c r="Q143" s="22" t="s">
        <v>6993</v>
      </c>
      <c r="R143" s="22"/>
    </row>
    <row r="144" customFormat="false" ht="15" hidden="false" customHeight="false" outlineLevel="0" collapsed="false">
      <c r="A144" s="22" t="s">
        <v>6994</v>
      </c>
      <c r="B144" s="22" t="s">
        <v>198</v>
      </c>
      <c r="C144" s="22" t="s">
        <v>6562</v>
      </c>
      <c r="D144" s="22" t="s">
        <v>6929</v>
      </c>
      <c r="E144" s="22" t="n">
        <v>32</v>
      </c>
      <c r="F144" s="22" t="s">
        <v>6581</v>
      </c>
      <c r="G144" s="22" t="s">
        <v>6575</v>
      </c>
      <c r="H144" s="22" t="n">
        <v>12</v>
      </c>
      <c r="I144" s="22" t="s">
        <v>6576</v>
      </c>
      <c r="J144" s="22" t="s">
        <v>6577</v>
      </c>
      <c r="K144" s="22" t="s">
        <v>6995</v>
      </c>
      <c r="L144" s="22" t="s">
        <v>4926</v>
      </c>
      <c r="M144" s="22" t="s">
        <v>4927</v>
      </c>
      <c r="N144" s="22" t="s">
        <v>2910</v>
      </c>
      <c r="O144" s="22" t="n">
        <v>53.9</v>
      </c>
      <c r="P144" s="22" t="n">
        <v>10.4</v>
      </c>
      <c r="Q144" s="22" t="s">
        <v>6704</v>
      </c>
      <c r="R144" s="22"/>
    </row>
    <row r="145" customFormat="false" ht="15" hidden="false" customHeight="false" outlineLevel="0" collapsed="false">
      <c r="A145" s="22" t="s">
        <v>6996</v>
      </c>
      <c r="B145" s="22" t="s">
        <v>198</v>
      </c>
      <c r="C145" s="22" t="s">
        <v>6562</v>
      </c>
      <c r="D145" s="22" t="s">
        <v>6929</v>
      </c>
      <c r="E145" s="22" t="n">
        <v>40</v>
      </c>
      <c r="F145" s="22" t="s">
        <v>6581</v>
      </c>
      <c r="G145" s="22" t="s">
        <v>6575</v>
      </c>
      <c r="H145" s="22" t="n">
        <v>14</v>
      </c>
      <c r="I145" s="22" t="s">
        <v>6582</v>
      </c>
      <c r="J145" s="22" t="s">
        <v>6577</v>
      </c>
      <c r="K145" s="22" t="s">
        <v>6997</v>
      </c>
      <c r="L145" s="22" t="s">
        <v>4631</v>
      </c>
      <c r="M145" s="22" t="s">
        <v>4632</v>
      </c>
      <c r="N145" s="22" t="s">
        <v>480</v>
      </c>
      <c r="O145" s="22" t="n">
        <v>49.8</v>
      </c>
      <c r="P145" s="22" t="n">
        <v>10.4</v>
      </c>
      <c r="Q145" s="22" t="s">
        <v>6998</v>
      </c>
      <c r="R145" s="22"/>
    </row>
    <row r="146" customFormat="false" ht="15" hidden="false" customHeight="false" outlineLevel="0" collapsed="false">
      <c r="A146" s="22" t="s">
        <v>6999</v>
      </c>
      <c r="B146" s="22" t="s">
        <v>198</v>
      </c>
      <c r="C146" s="22" t="s">
        <v>6562</v>
      </c>
      <c r="D146" s="22" t="s">
        <v>7000</v>
      </c>
      <c r="E146" s="22" t="n">
        <v>24</v>
      </c>
      <c r="F146" s="22" t="s">
        <v>6574</v>
      </c>
      <c r="G146" s="22" t="s">
        <v>6575</v>
      </c>
      <c r="H146" s="22" t="n">
        <v>9</v>
      </c>
      <c r="I146" s="22" t="s">
        <v>6576</v>
      </c>
      <c r="J146" s="22" t="s">
        <v>6577</v>
      </c>
      <c r="K146" s="22" t="s">
        <v>7001</v>
      </c>
      <c r="L146" s="22" t="s">
        <v>3388</v>
      </c>
      <c r="M146" s="22" t="s">
        <v>3389</v>
      </c>
      <c r="N146" s="22" t="s">
        <v>1463</v>
      </c>
      <c r="O146" s="22" t="n">
        <v>43.4</v>
      </c>
      <c r="P146" s="22" t="n">
        <v>10.4</v>
      </c>
      <c r="Q146" s="22" t="s">
        <v>7002</v>
      </c>
      <c r="R146" s="22"/>
    </row>
    <row r="147" customFormat="false" ht="15" hidden="false" customHeight="false" outlineLevel="0" collapsed="false">
      <c r="A147" s="22" t="s">
        <v>7003</v>
      </c>
      <c r="B147" s="22" t="s">
        <v>198</v>
      </c>
      <c r="C147" s="22" t="s">
        <v>6562</v>
      </c>
      <c r="D147" s="22" t="s">
        <v>7000</v>
      </c>
      <c r="E147" s="22" t="n">
        <v>32</v>
      </c>
      <c r="F147" s="22" t="s">
        <v>6581</v>
      </c>
      <c r="G147" s="22" t="s">
        <v>6575</v>
      </c>
      <c r="H147" s="22" t="n">
        <v>12</v>
      </c>
      <c r="I147" s="22" t="s">
        <v>6576</v>
      </c>
      <c r="J147" s="22" t="s">
        <v>6577</v>
      </c>
      <c r="K147" s="22" t="s">
        <v>7004</v>
      </c>
      <c r="L147" s="22" t="s">
        <v>1999</v>
      </c>
      <c r="M147" s="22" t="s">
        <v>2000</v>
      </c>
      <c r="N147" s="22" t="s">
        <v>2001</v>
      </c>
      <c r="O147" s="22" t="n">
        <v>51.4</v>
      </c>
      <c r="P147" s="22" t="n">
        <v>10.4</v>
      </c>
      <c r="Q147" s="22" t="s">
        <v>7005</v>
      </c>
      <c r="R147" s="22"/>
    </row>
    <row r="148" customFormat="false" ht="15" hidden="false" customHeight="false" outlineLevel="0" collapsed="false">
      <c r="A148" s="22" t="s">
        <v>7006</v>
      </c>
      <c r="B148" s="22" t="s">
        <v>198</v>
      </c>
      <c r="C148" s="22" t="s">
        <v>6562</v>
      </c>
      <c r="D148" s="22" t="s">
        <v>7000</v>
      </c>
      <c r="E148" s="22" t="n">
        <v>40</v>
      </c>
      <c r="F148" s="22" t="s">
        <v>6581</v>
      </c>
      <c r="G148" s="22" t="s">
        <v>6575</v>
      </c>
      <c r="H148" s="22" t="n">
        <v>14</v>
      </c>
      <c r="I148" s="22" t="s">
        <v>6582</v>
      </c>
      <c r="J148" s="22" t="s">
        <v>6577</v>
      </c>
      <c r="K148" s="22" t="s">
        <v>7007</v>
      </c>
      <c r="L148" s="22" t="s">
        <v>5774</v>
      </c>
      <c r="M148" s="22" t="s">
        <v>5775</v>
      </c>
      <c r="N148" s="22" t="s">
        <v>2896</v>
      </c>
      <c r="O148" s="22" t="n">
        <v>58.9</v>
      </c>
      <c r="P148" s="22" t="n">
        <v>10.4</v>
      </c>
      <c r="Q148" s="22" t="s">
        <v>6726</v>
      </c>
      <c r="R148" s="22"/>
    </row>
    <row r="149" customFormat="false" ht="15" hidden="false" customHeight="false" outlineLevel="0" collapsed="false">
      <c r="A149" s="22" t="s">
        <v>7008</v>
      </c>
      <c r="B149" s="22" t="s">
        <v>198</v>
      </c>
      <c r="C149" s="22" t="s">
        <v>6562</v>
      </c>
      <c r="D149" s="22" t="s">
        <v>7000</v>
      </c>
      <c r="E149" s="22" t="n">
        <v>28</v>
      </c>
      <c r="F149" s="22" t="s">
        <v>6574</v>
      </c>
      <c r="G149" s="22" t="s">
        <v>6575</v>
      </c>
      <c r="H149" s="22" t="n">
        <v>10</v>
      </c>
      <c r="I149" s="22" t="s">
        <v>6576</v>
      </c>
      <c r="J149" s="22" t="s">
        <v>6577</v>
      </c>
      <c r="K149" s="22" t="s">
        <v>7009</v>
      </c>
      <c r="L149" s="22" t="s">
        <v>2843</v>
      </c>
      <c r="M149" s="22" t="s">
        <v>2844</v>
      </c>
      <c r="N149" s="22" t="s">
        <v>454</v>
      </c>
      <c r="O149" s="22" t="n">
        <v>52.4</v>
      </c>
      <c r="P149" s="22" t="n">
        <v>10.4</v>
      </c>
      <c r="Q149" s="22" t="s">
        <v>7010</v>
      </c>
      <c r="R149" s="22"/>
    </row>
    <row r="150" customFormat="false" ht="15" hidden="false" customHeight="false" outlineLevel="0" collapsed="false">
      <c r="A150" s="22" t="s">
        <v>7011</v>
      </c>
      <c r="B150" s="22" t="s">
        <v>198</v>
      </c>
      <c r="C150" s="22" t="s">
        <v>6562</v>
      </c>
      <c r="D150" s="22" t="s">
        <v>7000</v>
      </c>
      <c r="E150" s="22" t="n">
        <v>24</v>
      </c>
      <c r="F150" s="22" t="s">
        <v>6574</v>
      </c>
      <c r="G150" s="22" t="s">
        <v>6575</v>
      </c>
      <c r="H150" s="22" t="n">
        <v>9</v>
      </c>
      <c r="I150" s="22" t="s">
        <v>6576</v>
      </c>
      <c r="J150" s="22" t="s">
        <v>6577</v>
      </c>
      <c r="K150" s="22" t="s">
        <v>7012</v>
      </c>
      <c r="L150" s="22" t="s">
        <v>3352</v>
      </c>
      <c r="M150" s="22" t="s">
        <v>3353</v>
      </c>
      <c r="N150" s="22" t="s">
        <v>1369</v>
      </c>
      <c r="O150" s="22" t="n">
        <v>43.6</v>
      </c>
      <c r="P150" s="22" t="n">
        <v>10.4</v>
      </c>
      <c r="Q150" s="22" t="s">
        <v>6958</v>
      </c>
      <c r="R150" s="22"/>
    </row>
    <row r="151" customFormat="false" ht="15" hidden="false" customHeight="false" outlineLevel="0" collapsed="false">
      <c r="A151" s="22" t="s">
        <v>7013</v>
      </c>
      <c r="B151" s="22" t="s">
        <v>198</v>
      </c>
      <c r="C151" s="22" t="s">
        <v>6562</v>
      </c>
      <c r="D151" s="22" t="s">
        <v>7000</v>
      </c>
      <c r="E151" s="22" t="n">
        <v>28</v>
      </c>
      <c r="F151" s="22" t="s">
        <v>6574</v>
      </c>
      <c r="G151" s="22" t="s">
        <v>6575</v>
      </c>
      <c r="H151" s="22" t="n">
        <v>10</v>
      </c>
      <c r="I151" s="22" t="s">
        <v>6576</v>
      </c>
      <c r="J151" s="22" t="s">
        <v>6577</v>
      </c>
      <c r="K151" s="22" t="s">
        <v>7014</v>
      </c>
      <c r="L151" s="22" t="s">
        <v>2325</v>
      </c>
      <c r="M151" s="22" t="s">
        <v>2326</v>
      </c>
      <c r="N151" s="22" t="s">
        <v>784</v>
      </c>
      <c r="O151" s="22" t="n">
        <v>43.6</v>
      </c>
      <c r="P151" s="22" t="n">
        <v>10.4</v>
      </c>
      <c r="Q151" s="22" t="s">
        <v>7015</v>
      </c>
      <c r="R151" s="22"/>
    </row>
    <row r="152" customFormat="false" ht="15" hidden="false" customHeight="false" outlineLevel="0" collapsed="false">
      <c r="A152" s="22" t="s">
        <v>7016</v>
      </c>
      <c r="B152" s="22" t="s">
        <v>198</v>
      </c>
      <c r="C152" s="22" t="s">
        <v>6562</v>
      </c>
      <c r="D152" s="22" t="s">
        <v>7000</v>
      </c>
      <c r="E152" s="22" t="n">
        <v>28</v>
      </c>
      <c r="F152" s="22" t="s">
        <v>6574</v>
      </c>
      <c r="G152" s="22" t="s">
        <v>6575</v>
      </c>
      <c r="H152" s="22" t="n">
        <v>10</v>
      </c>
      <c r="I152" s="22" t="s">
        <v>6576</v>
      </c>
      <c r="J152" s="22" t="s">
        <v>6577</v>
      </c>
      <c r="K152" s="22" t="s">
        <v>7017</v>
      </c>
      <c r="L152" s="22" t="s">
        <v>3800</v>
      </c>
      <c r="M152" s="22" t="s">
        <v>3801</v>
      </c>
      <c r="N152" s="22" t="s">
        <v>770</v>
      </c>
      <c r="O152" s="22" t="n">
        <v>45.6</v>
      </c>
      <c r="P152" s="22" t="n">
        <v>10.4</v>
      </c>
      <c r="Q152" s="22" t="s">
        <v>7018</v>
      </c>
      <c r="R152" s="22"/>
    </row>
    <row r="153" customFormat="false" ht="15" hidden="false" customHeight="false" outlineLevel="0" collapsed="false">
      <c r="A153" s="22" t="s">
        <v>7019</v>
      </c>
      <c r="B153" s="22" t="s">
        <v>198</v>
      </c>
      <c r="C153" s="22" t="s">
        <v>6562</v>
      </c>
      <c r="D153" s="22" t="s">
        <v>7000</v>
      </c>
      <c r="E153" s="22" t="n">
        <v>32</v>
      </c>
      <c r="F153" s="22" t="s">
        <v>6581</v>
      </c>
      <c r="G153" s="22" t="s">
        <v>6575</v>
      </c>
      <c r="H153" s="22" t="n">
        <v>12</v>
      </c>
      <c r="I153" s="22" t="s">
        <v>6576</v>
      </c>
      <c r="J153" s="22" t="s">
        <v>6577</v>
      </c>
      <c r="K153" s="22" t="s">
        <v>7020</v>
      </c>
      <c r="L153" s="22" t="s">
        <v>6344</v>
      </c>
      <c r="M153" s="22" t="s">
        <v>6345</v>
      </c>
      <c r="N153" s="22" t="s">
        <v>1603</v>
      </c>
      <c r="O153" s="22" t="n">
        <v>43.3</v>
      </c>
      <c r="P153" s="22" t="n">
        <v>10.4</v>
      </c>
      <c r="Q153" s="22" t="s">
        <v>7021</v>
      </c>
      <c r="R153" s="22"/>
    </row>
    <row r="154" customFormat="false" ht="15" hidden="false" customHeight="false" outlineLevel="0" collapsed="false">
      <c r="A154" s="22" t="s">
        <v>7022</v>
      </c>
      <c r="B154" s="22" t="s">
        <v>198</v>
      </c>
      <c r="C154" s="22" t="s">
        <v>6562</v>
      </c>
      <c r="D154" s="22" t="s">
        <v>7000</v>
      </c>
      <c r="E154" s="22" t="n">
        <v>28</v>
      </c>
      <c r="F154" s="22" t="s">
        <v>6574</v>
      </c>
      <c r="G154" s="22" t="s">
        <v>6575</v>
      </c>
      <c r="H154" s="22" t="n">
        <v>10</v>
      </c>
      <c r="I154" s="22" t="s">
        <v>6576</v>
      </c>
      <c r="J154" s="22" t="s">
        <v>6577</v>
      </c>
      <c r="K154" s="22" t="s">
        <v>7023</v>
      </c>
      <c r="L154" s="22" t="s">
        <v>4103</v>
      </c>
      <c r="M154" s="22" t="s">
        <v>4104</v>
      </c>
      <c r="N154" s="22" t="s">
        <v>2998</v>
      </c>
      <c r="O154" s="22" t="n">
        <v>45.7</v>
      </c>
      <c r="P154" s="22" t="n">
        <v>10.4</v>
      </c>
      <c r="Q154" s="22" t="s">
        <v>7024</v>
      </c>
      <c r="R154" s="22"/>
    </row>
    <row r="155" customFormat="false" ht="15" hidden="false" customHeight="false" outlineLevel="0" collapsed="false">
      <c r="A155" s="22" t="s">
        <v>7025</v>
      </c>
      <c r="B155" s="22" t="s">
        <v>198</v>
      </c>
      <c r="C155" s="22" t="s">
        <v>6562</v>
      </c>
      <c r="D155" s="22" t="s">
        <v>7000</v>
      </c>
      <c r="E155" s="22" t="n">
        <v>28</v>
      </c>
      <c r="F155" s="22" t="s">
        <v>6574</v>
      </c>
      <c r="G155" s="22" t="s">
        <v>6575</v>
      </c>
      <c r="H155" s="22" t="n">
        <v>10</v>
      </c>
      <c r="I155" s="22" t="s">
        <v>6576</v>
      </c>
      <c r="J155" s="22" t="s">
        <v>6577</v>
      </c>
      <c r="K155" s="22" t="s">
        <v>7026</v>
      </c>
      <c r="L155" s="22" t="s">
        <v>6542</v>
      </c>
      <c r="M155" s="22" t="s">
        <v>6543</v>
      </c>
      <c r="N155" s="22" t="s">
        <v>2265</v>
      </c>
      <c r="O155" s="22" t="n">
        <v>33.7</v>
      </c>
      <c r="P155" s="22" t="n">
        <v>10.4</v>
      </c>
      <c r="Q155" s="22" t="s">
        <v>7027</v>
      </c>
      <c r="R155" s="22"/>
    </row>
    <row r="156" customFormat="false" ht="15" hidden="false" customHeight="false" outlineLevel="0" collapsed="false">
      <c r="A156" s="22" t="s">
        <v>7028</v>
      </c>
      <c r="B156" s="22" t="s">
        <v>198</v>
      </c>
      <c r="C156" s="22" t="s">
        <v>6562</v>
      </c>
      <c r="D156" s="22" t="s">
        <v>7000</v>
      </c>
      <c r="E156" s="22" t="n">
        <v>36</v>
      </c>
      <c r="F156" s="22" t="s">
        <v>6581</v>
      </c>
      <c r="G156" s="22" t="s">
        <v>6575</v>
      </c>
      <c r="H156" s="22" t="n">
        <v>13</v>
      </c>
      <c r="I156" s="22" t="s">
        <v>6582</v>
      </c>
      <c r="J156" s="22" t="s">
        <v>6577</v>
      </c>
      <c r="K156" s="22" t="s">
        <v>7029</v>
      </c>
      <c r="L156" s="22" t="s">
        <v>2064</v>
      </c>
      <c r="M156" s="22" t="s">
        <v>2065</v>
      </c>
      <c r="N156" s="22" t="s">
        <v>428</v>
      </c>
      <c r="O156" s="22" t="n">
        <v>43.4</v>
      </c>
      <c r="P156" s="22" t="n">
        <v>10.4</v>
      </c>
      <c r="Q156" s="22" t="s">
        <v>6632</v>
      </c>
      <c r="R156" s="22"/>
    </row>
    <row r="157" customFormat="false" ht="15" hidden="false" customHeight="false" outlineLevel="0" collapsed="false">
      <c r="A157" s="22" t="s">
        <v>7030</v>
      </c>
      <c r="B157" s="22" t="s">
        <v>198</v>
      </c>
      <c r="C157" s="22" t="s">
        <v>6562</v>
      </c>
      <c r="D157" s="22" t="s">
        <v>7000</v>
      </c>
      <c r="E157" s="22" t="n">
        <v>36</v>
      </c>
      <c r="F157" s="22" t="s">
        <v>6581</v>
      </c>
      <c r="G157" s="22" t="s">
        <v>6575</v>
      </c>
      <c r="H157" s="22" t="n">
        <v>13</v>
      </c>
      <c r="I157" s="22" t="s">
        <v>6582</v>
      </c>
      <c r="J157" s="22" t="s">
        <v>6577</v>
      </c>
      <c r="K157" s="22" t="s">
        <v>7031</v>
      </c>
      <c r="L157" s="22" t="s">
        <v>4599</v>
      </c>
      <c r="M157" s="22" t="s">
        <v>4600</v>
      </c>
      <c r="N157" s="22" t="s">
        <v>1369</v>
      </c>
      <c r="O157" s="22" t="n">
        <v>36.1</v>
      </c>
      <c r="P157" s="22" t="n">
        <v>10.4</v>
      </c>
      <c r="Q157" s="22" t="s">
        <v>6695</v>
      </c>
      <c r="R157" s="22"/>
    </row>
    <row r="158" customFormat="false" ht="15" hidden="false" customHeight="false" outlineLevel="0" collapsed="false">
      <c r="A158" s="22" t="s">
        <v>7032</v>
      </c>
      <c r="B158" s="22" t="s">
        <v>198</v>
      </c>
      <c r="C158" s="22" t="s">
        <v>6562</v>
      </c>
      <c r="D158" s="22" t="s">
        <v>7000</v>
      </c>
      <c r="E158" s="22" t="n">
        <v>40</v>
      </c>
      <c r="F158" s="22" t="s">
        <v>6581</v>
      </c>
      <c r="G158" s="22" t="s">
        <v>6575</v>
      </c>
      <c r="H158" s="22" t="n">
        <v>14</v>
      </c>
      <c r="I158" s="22" t="s">
        <v>6582</v>
      </c>
      <c r="J158" s="22" t="s">
        <v>6577</v>
      </c>
      <c r="K158" s="22" t="s">
        <v>7033</v>
      </c>
      <c r="L158" s="22" t="s">
        <v>5615</v>
      </c>
      <c r="M158" s="22" t="s">
        <v>5616</v>
      </c>
      <c r="N158" s="22" t="s">
        <v>1896</v>
      </c>
      <c r="O158" s="22" t="n">
        <v>39.1</v>
      </c>
      <c r="P158" s="22" t="n">
        <v>10.4</v>
      </c>
      <c r="Q158" s="22" t="s">
        <v>7034</v>
      </c>
      <c r="R158" s="22"/>
    </row>
    <row r="159" customFormat="false" ht="15" hidden="false" customHeight="false" outlineLevel="0" collapsed="false">
      <c r="A159" s="22" t="s">
        <v>7035</v>
      </c>
      <c r="B159" s="22" t="s">
        <v>198</v>
      </c>
      <c r="C159" s="22" t="s">
        <v>6562</v>
      </c>
      <c r="D159" s="22" t="s">
        <v>7000</v>
      </c>
      <c r="E159" s="22" t="n">
        <v>24</v>
      </c>
      <c r="F159" s="22" t="s">
        <v>6574</v>
      </c>
      <c r="G159" s="22" t="s">
        <v>6575</v>
      </c>
      <c r="H159" s="22" t="n">
        <v>9</v>
      </c>
      <c r="I159" s="22" t="s">
        <v>6576</v>
      </c>
      <c r="J159" s="22" t="s">
        <v>6577</v>
      </c>
      <c r="K159" s="22" t="s">
        <v>7036</v>
      </c>
      <c r="L159" s="22" t="s">
        <v>1347</v>
      </c>
      <c r="M159" s="22" t="s">
        <v>1348</v>
      </c>
      <c r="N159" s="22" t="s">
        <v>1143</v>
      </c>
      <c r="O159" s="22" t="n">
        <v>31.9</v>
      </c>
      <c r="P159" s="22" t="n">
        <v>10.4</v>
      </c>
      <c r="Q159" s="22" t="s">
        <v>6825</v>
      </c>
      <c r="R159" s="22"/>
    </row>
    <row r="160" customFormat="false" ht="15" hidden="false" customHeight="false" outlineLevel="0" collapsed="false">
      <c r="A160" s="22" t="s">
        <v>7037</v>
      </c>
      <c r="B160" s="22" t="s">
        <v>198</v>
      </c>
      <c r="C160" s="22" t="s">
        <v>6562</v>
      </c>
      <c r="D160" s="22" t="s">
        <v>7000</v>
      </c>
      <c r="E160" s="22" t="n">
        <v>32</v>
      </c>
      <c r="F160" s="22" t="s">
        <v>6581</v>
      </c>
      <c r="G160" s="22" t="s">
        <v>6575</v>
      </c>
      <c r="H160" s="22" t="n">
        <v>12</v>
      </c>
      <c r="I160" s="22" t="s">
        <v>6576</v>
      </c>
      <c r="J160" s="22" t="s">
        <v>6577</v>
      </c>
      <c r="K160" s="22" t="s">
        <v>7038</v>
      </c>
      <c r="L160" s="22" t="s">
        <v>5647</v>
      </c>
      <c r="M160" s="22" t="s">
        <v>5648</v>
      </c>
      <c r="N160" s="22" t="s">
        <v>2735</v>
      </c>
      <c r="O160" s="22" t="n">
        <v>55.9</v>
      </c>
      <c r="P160" s="22" t="n">
        <v>10.4</v>
      </c>
      <c r="Q160" s="22" t="s">
        <v>7039</v>
      </c>
      <c r="R160" s="22"/>
    </row>
    <row r="161" customFormat="false" ht="15" hidden="false" customHeight="false" outlineLevel="0" collapsed="false">
      <c r="A161" s="22" t="s">
        <v>7040</v>
      </c>
      <c r="B161" s="22" t="s">
        <v>198</v>
      </c>
      <c r="C161" s="22" t="s">
        <v>6562</v>
      </c>
      <c r="D161" s="22" t="s">
        <v>7000</v>
      </c>
      <c r="E161" s="22" t="n">
        <v>24</v>
      </c>
      <c r="F161" s="22" t="s">
        <v>6574</v>
      </c>
      <c r="G161" s="22" t="s">
        <v>6575</v>
      </c>
      <c r="H161" s="22" t="n">
        <v>9</v>
      </c>
      <c r="I161" s="22" t="s">
        <v>6576</v>
      </c>
      <c r="J161" s="22" t="s">
        <v>6577</v>
      </c>
      <c r="K161" s="22" t="s">
        <v>7041</v>
      </c>
      <c r="L161" s="22" t="s">
        <v>5927</v>
      </c>
      <c r="M161" s="22" t="s">
        <v>5928</v>
      </c>
      <c r="N161" s="22" t="s">
        <v>2324</v>
      </c>
      <c r="O161" s="22" t="n">
        <v>40.5</v>
      </c>
      <c r="P161" s="22" t="n">
        <v>10.4</v>
      </c>
      <c r="Q161" s="22" t="s">
        <v>7042</v>
      </c>
      <c r="R161" s="22"/>
    </row>
    <row r="162" customFormat="false" ht="15" hidden="false" customHeight="false" outlineLevel="0" collapsed="false">
      <c r="A162" s="22" t="s">
        <v>7043</v>
      </c>
      <c r="B162" s="22" t="s">
        <v>198</v>
      </c>
      <c r="C162" s="22" t="s">
        <v>6562</v>
      </c>
      <c r="D162" s="22" t="s">
        <v>7000</v>
      </c>
      <c r="E162" s="22" t="n">
        <v>24</v>
      </c>
      <c r="F162" s="22" t="s">
        <v>6574</v>
      </c>
      <c r="G162" s="22" t="s">
        <v>6575</v>
      </c>
      <c r="H162" s="22" t="n">
        <v>9</v>
      </c>
      <c r="I162" s="22" t="s">
        <v>6576</v>
      </c>
      <c r="J162" s="22" t="s">
        <v>6577</v>
      </c>
      <c r="K162" s="22" t="s">
        <v>7044</v>
      </c>
      <c r="L162" s="22" t="s">
        <v>1041</v>
      </c>
      <c r="M162" s="22" t="s">
        <v>1042</v>
      </c>
      <c r="N162" s="22" t="s">
        <v>163</v>
      </c>
      <c r="O162" s="22" t="n">
        <v>55.2</v>
      </c>
      <c r="P162" s="22" t="n">
        <v>10.4</v>
      </c>
      <c r="Q162" s="22" t="s">
        <v>6608</v>
      </c>
      <c r="R162" s="22"/>
    </row>
    <row r="163" customFormat="false" ht="15" hidden="false" customHeight="false" outlineLevel="0" collapsed="false">
      <c r="A163" s="22" t="s">
        <v>7045</v>
      </c>
      <c r="B163" s="22" t="s">
        <v>198</v>
      </c>
      <c r="C163" s="22" t="s">
        <v>6562</v>
      </c>
      <c r="D163" s="22" t="s">
        <v>7000</v>
      </c>
      <c r="E163" s="22" t="n">
        <v>32</v>
      </c>
      <c r="F163" s="22" t="s">
        <v>6581</v>
      </c>
      <c r="G163" s="22" t="s">
        <v>6575</v>
      </c>
      <c r="H163" s="22" t="n">
        <v>12</v>
      </c>
      <c r="I163" s="22" t="s">
        <v>6576</v>
      </c>
      <c r="J163" s="22" t="s">
        <v>6577</v>
      </c>
      <c r="K163" s="22" t="s">
        <v>7046</v>
      </c>
      <c r="L163" s="22" t="s">
        <v>5536</v>
      </c>
      <c r="M163" s="22" t="s">
        <v>5537</v>
      </c>
      <c r="N163" s="22" t="s">
        <v>2324</v>
      </c>
      <c r="O163" s="22" t="n">
        <v>25.4</v>
      </c>
      <c r="P163" s="22" t="n">
        <v>10.4</v>
      </c>
      <c r="Q163" s="22" t="s">
        <v>6813</v>
      </c>
      <c r="R163" s="22"/>
    </row>
    <row r="164" customFormat="false" ht="15" hidden="false" customHeight="false" outlineLevel="0" collapsed="false">
      <c r="A164" s="22" t="s">
        <v>7047</v>
      </c>
      <c r="B164" s="22" t="s">
        <v>198</v>
      </c>
      <c r="C164" s="22" t="s">
        <v>6562</v>
      </c>
      <c r="D164" s="22" t="s">
        <v>7000</v>
      </c>
      <c r="E164" s="22" t="n">
        <v>32</v>
      </c>
      <c r="F164" s="22" t="s">
        <v>6581</v>
      </c>
      <c r="G164" s="22" t="s">
        <v>6575</v>
      </c>
      <c r="H164" s="22" t="n">
        <v>12</v>
      </c>
      <c r="I164" s="22" t="s">
        <v>6576</v>
      </c>
      <c r="J164" s="22" t="s">
        <v>6577</v>
      </c>
      <c r="K164" s="22" t="s">
        <v>7048</v>
      </c>
      <c r="L164" s="22" t="s">
        <v>3735</v>
      </c>
      <c r="M164" s="22" t="s">
        <v>3736</v>
      </c>
      <c r="N164" s="22" t="s">
        <v>1896</v>
      </c>
      <c r="O164" s="22" t="n">
        <v>32.7</v>
      </c>
      <c r="P164" s="22" t="n">
        <v>10.4</v>
      </c>
      <c r="Q164" s="22" t="s">
        <v>7049</v>
      </c>
      <c r="R164" s="22"/>
    </row>
    <row r="165" customFormat="false" ht="15" hidden="false" customHeight="false" outlineLevel="0" collapsed="false">
      <c r="A165" s="22" t="s">
        <v>7050</v>
      </c>
      <c r="B165" s="22" t="s">
        <v>198</v>
      </c>
      <c r="C165" s="22" t="s">
        <v>6562</v>
      </c>
      <c r="D165" s="22" t="s">
        <v>7000</v>
      </c>
      <c r="E165" s="22" t="n">
        <v>32</v>
      </c>
      <c r="F165" s="22" t="s">
        <v>6581</v>
      </c>
      <c r="G165" s="22" t="s">
        <v>6575</v>
      </c>
      <c r="H165" s="22" t="n">
        <v>12</v>
      </c>
      <c r="I165" s="22" t="s">
        <v>6576</v>
      </c>
      <c r="J165" s="22" t="s">
        <v>6577</v>
      </c>
      <c r="K165" s="22" t="s">
        <v>7051</v>
      </c>
      <c r="L165" s="22" t="s">
        <v>1994</v>
      </c>
      <c r="M165" s="22" t="s">
        <v>1995</v>
      </c>
      <c r="N165" s="22" t="s">
        <v>1996</v>
      </c>
      <c r="O165" s="22" t="n">
        <v>53.5</v>
      </c>
      <c r="P165" s="22" t="n">
        <v>10.4</v>
      </c>
      <c r="Q165" s="22" t="s">
        <v>7052</v>
      </c>
      <c r="R165" s="22"/>
    </row>
    <row r="166" customFormat="false" ht="15" hidden="false" customHeight="false" outlineLevel="0" collapsed="false">
      <c r="A166" s="22" t="s">
        <v>7053</v>
      </c>
      <c r="B166" s="22" t="s">
        <v>198</v>
      </c>
      <c r="C166" s="22" t="s">
        <v>6562</v>
      </c>
      <c r="D166" s="22" t="s">
        <v>7000</v>
      </c>
      <c r="E166" s="22" t="n">
        <v>36</v>
      </c>
      <c r="F166" s="22" t="s">
        <v>6581</v>
      </c>
      <c r="G166" s="22" t="s">
        <v>6575</v>
      </c>
      <c r="H166" s="22" t="n">
        <v>13</v>
      </c>
      <c r="I166" s="22" t="s">
        <v>6582</v>
      </c>
      <c r="J166" s="22" t="s">
        <v>6613</v>
      </c>
      <c r="K166" s="22"/>
      <c r="L166" s="22"/>
      <c r="M166" s="22"/>
      <c r="N166" s="22"/>
      <c r="O166" s="22"/>
      <c r="P166" s="22" t="n">
        <v>10.4</v>
      </c>
      <c r="Q166" s="22" t="s">
        <v>7054</v>
      </c>
      <c r="R166" s="22"/>
    </row>
    <row r="167" customFormat="false" ht="15" hidden="false" customHeight="false" outlineLevel="0" collapsed="false">
      <c r="A167" s="22" t="s">
        <v>7055</v>
      </c>
      <c r="B167" s="22" t="s">
        <v>198</v>
      </c>
      <c r="C167" s="22" t="s">
        <v>6562</v>
      </c>
      <c r="D167" s="22" t="s">
        <v>7000</v>
      </c>
      <c r="E167" s="22" t="n">
        <v>24</v>
      </c>
      <c r="F167" s="22" t="s">
        <v>6574</v>
      </c>
      <c r="G167" s="22" t="s">
        <v>6575</v>
      </c>
      <c r="H167" s="22" t="n">
        <v>9</v>
      </c>
      <c r="I167" s="22" t="s">
        <v>6576</v>
      </c>
      <c r="J167" s="22" t="s">
        <v>6577</v>
      </c>
      <c r="K167" s="22" t="s">
        <v>7056</v>
      </c>
      <c r="L167" s="22" t="s">
        <v>3761</v>
      </c>
      <c r="M167" s="22" t="s">
        <v>3762</v>
      </c>
      <c r="N167" s="22" t="s">
        <v>251</v>
      </c>
      <c r="O167" s="22" t="n">
        <v>59.7</v>
      </c>
      <c r="P167" s="22" t="n">
        <v>10.4</v>
      </c>
      <c r="Q167" s="22" t="s">
        <v>7057</v>
      </c>
      <c r="R167" s="22"/>
    </row>
    <row r="168" customFormat="false" ht="15" hidden="false" customHeight="false" outlineLevel="0" collapsed="false">
      <c r="A168" s="22" t="s">
        <v>7058</v>
      </c>
      <c r="B168" s="22" t="s">
        <v>198</v>
      </c>
      <c r="C168" s="22" t="s">
        <v>6562</v>
      </c>
      <c r="D168" s="22" t="s">
        <v>7000</v>
      </c>
      <c r="E168" s="22" t="n">
        <v>28</v>
      </c>
      <c r="F168" s="22" t="s">
        <v>6574</v>
      </c>
      <c r="G168" s="22" t="s">
        <v>6575</v>
      </c>
      <c r="H168" s="22" t="n">
        <v>10</v>
      </c>
      <c r="I168" s="22" t="s">
        <v>6576</v>
      </c>
      <c r="J168" s="22" t="s">
        <v>6577</v>
      </c>
      <c r="K168" s="22" t="s">
        <v>7059</v>
      </c>
      <c r="L168" s="22" t="s">
        <v>472</v>
      </c>
      <c r="M168" s="22" t="s">
        <v>473</v>
      </c>
      <c r="N168" s="22" t="s">
        <v>474</v>
      </c>
      <c r="O168" s="22" t="n">
        <v>37.7</v>
      </c>
      <c r="P168" s="22" t="n">
        <v>10.4</v>
      </c>
      <c r="Q168" s="22" t="s">
        <v>6669</v>
      </c>
      <c r="R168" s="22"/>
    </row>
    <row r="169" customFormat="false" ht="15" hidden="false" customHeight="false" outlineLevel="0" collapsed="false">
      <c r="A169" s="22" t="s">
        <v>7060</v>
      </c>
      <c r="B169" s="22" t="s">
        <v>198</v>
      </c>
      <c r="C169" s="22" t="s">
        <v>6562</v>
      </c>
      <c r="D169" s="22" t="s">
        <v>7000</v>
      </c>
      <c r="E169" s="22" t="n">
        <v>28</v>
      </c>
      <c r="F169" s="22" t="s">
        <v>6574</v>
      </c>
      <c r="G169" s="22" t="s">
        <v>6575</v>
      </c>
      <c r="H169" s="22" t="n">
        <v>10</v>
      </c>
      <c r="I169" s="22" t="s">
        <v>6576</v>
      </c>
      <c r="J169" s="22" t="s">
        <v>6577</v>
      </c>
      <c r="K169" s="22" t="s">
        <v>7061</v>
      </c>
      <c r="L169" s="22" t="s">
        <v>2060</v>
      </c>
      <c r="M169" s="22" t="s">
        <v>2061</v>
      </c>
      <c r="N169" s="22" t="s">
        <v>591</v>
      </c>
      <c r="O169" s="22" t="n">
        <v>56.3</v>
      </c>
      <c r="P169" s="22" t="n">
        <v>10.4</v>
      </c>
      <c r="Q169" s="22" t="s">
        <v>6937</v>
      </c>
      <c r="R169" s="22"/>
    </row>
    <row r="170" customFormat="false" ht="15" hidden="false" customHeight="false" outlineLevel="0" collapsed="false">
      <c r="A170" s="22" t="s">
        <v>7062</v>
      </c>
      <c r="B170" s="22" t="s">
        <v>198</v>
      </c>
      <c r="C170" s="22" t="s">
        <v>6562</v>
      </c>
      <c r="D170" s="22" t="s">
        <v>7063</v>
      </c>
      <c r="E170" s="22" t="n">
        <v>36</v>
      </c>
      <c r="F170" s="22" t="s">
        <v>6581</v>
      </c>
      <c r="G170" s="22" t="s">
        <v>6575</v>
      </c>
      <c r="H170" s="22" t="n">
        <v>13</v>
      </c>
      <c r="I170" s="22" t="s">
        <v>6582</v>
      </c>
      <c r="J170" s="22" t="s">
        <v>6577</v>
      </c>
      <c r="K170" s="22" t="s">
        <v>7064</v>
      </c>
      <c r="L170" s="22" t="s">
        <v>3343</v>
      </c>
      <c r="M170" s="22" t="s">
        <v>3344</v>
      </c>
      <c r="N170" s="22" t="s">
        <v>805</v>
      </c>
      <c r="O170" s="22" t="n">
        <v>46.1</v>
      </c>
      <c r="P170" s="22" t="n">
        <v>10.4</v>
      </c>
      <c r="Q170" s="22" t="s">
        <v>7065</v>
      </c>
      <c r="R170" s="22"/>
    </row>
    <row r="171" customFormat="false" ht="15" hidden="false" customHeight="false" outlineLevel="0" collapsed="false">
      <c r="A171" s="22" t="s">
        <v>7066</v>
      </c>
      <c r="B171" s="22" t="s">
        <v>198</v>
      </c>
      <c r="C171" s="22" t="s">
        <v>6562</v>
      </c>
      <c r="D171" s="22" t="s">
        <v>7063</v>
      </c>
      <c r="E171" s="22" t="n">
        <v>40</v>
      </c>
      <c r="F171" s="22" t="s">
        <v>6581</v>
      </c>
      <c r="G171" s="22" t="s">
        <v>6575</v>
      </c>
      <c r="H171" s="22" t="n">
        <v>14</v>
      </c>
      <c r="I171" s="22" t="s">
        <v>6582</v>
      </c>
      <c r="J171" s="22" t="s">
        <v>6577</v>
      </c>
      <c r="K171" s="22" t="s">
        <v>7067</v>
      </c>
      <c r="L171" s="22" t="s">
        <v>5792</v>
      </c>
      <c r="M171" s="22" t="s">
        <v>5793</v>
      </c>
      <c r="N171" s="22" t="s">
        <v>2610</v>
      </c>
      <c r="O171" s="22" t="n">
        <v>35.1</v>
      </c>
      <c r="P171" s="22" t="n">
        <v>10.4</v>
      </c>
      <c r="Q171" s="22" t="s">
        <v>7068</v>
      </c>
      <c r="R171" s="22"/>
    </row>
    <row r="172" customFormat="false" ht="15" hidden="false" customHeight="false" outlineLevel="0" collapsed="false">
      <c r="A172" s="22" t="s">
        <v>7069</v>
      </c>
      <c r="B172" s="22" t="s">
        <v>198</v>
      </c>
      <c r="C172" s="22" t="s">
        <v>6562</v>
      </c>
      <c r="D172" s="22" t="s">
        <v>7063</v>
      </c>
      <c r="E172" s="22" t="n">
        <v>28</v>
      </c>
      <c r="F172" s="22" t="s">
        <v>6574</v>
      </c>
      <c r="G172" s="22" t="s">
        <v>6575</v>
      </c>
      <c r="H172" s="22" t="n">
        <v>10</v>
      </c>
      <c r="I172" s="22" t="s">
        <v>6576</v>
      </c>
      <c r="J172" s="22" t="s">
        <v>6577</v>
      </c>
      <c r="K172" s="22" t="s">
        <v>7070</v>
      </c>
      <c r="L172" s="22" t="s">
        <v>5471</v>
      </c>
      <c r="M172" s="22" t="s">
        <v>5472</v>
      </c>
      <c r="N172" s="22" t="s">
        <v>2650</v>
      </c>
      <c r="O172" s="22" t="n">
        <v>47.8</v>
      </c>
      <c r="P172" s="22" t="n">
        <v>10.4</v>
      </c>
      <c r="Q172" s="22" t="s">
        <v>7071</v>
      </c>
      <c r="R172" s="22"/>
    </row>
    <row r="173" customFormat="false" ht="15" hidden="false" customHeight="false" outlineLevel="0" collapsed="false">
      <c r="A173" s="22" t="s">
        <v>7072</v>
      </c>
      <c r="B173" s="22" t="s">
        <v>198</v>
      </c>
      <c r="C173" s="22" t="s">
        <v>6562</v>
      </c>
      <c r="D173" s="22" t="s">
        <v>7063</v>
      </c>
      <c r="E173" s="22" t="n">
        <v>32</v>
      </c>
      <c r="F173" s="22" t="s">
        <v>6581</v>
      </c>
      <c r="G173" s="22" t="s">
        <v>6575</v>
      </c>
      <c r="H173" s="22" t="n">
        <v>12</v>
      </c>
      <c r="I173" s="22" t="s">
        <v>6576</v>
      </c>
      <c r="J173" s="22" t="s">
        <v>6671</v>
      </c>
      <c r="K173" s="22"/>
      <c r="L173" s="22"/>
      <c r="M173" s="22"/>
      <c r="N173" s="22"/>
      <c r="O173" s="22"/>
      <c r="P173" s="22" t="n">
        <v>10.4</v>
      </c>
      <c r="Q173" s="22" t="s">
        <v>6868</v>
      </c>
      <c r="R173" s="22"/>
    </row>
    <row r="174" customFormat="false" ht="15" hidden="false" customHeight="false" outlineLevel="0" collapsed="false">
      <c r="A174" s="22" t="s">
        <v>7073</v>
      </c>
      <c r="B174" s="22" t="s">
        <v>198</v>
      </c>
      <c r="C174" s="22" t="s">
        <v>6562</v>
      </c>
      <c r="D174" s="22" t="s">
        <v>7063</v>
      </c>
      <c r="E174" s="22" t="n">
        <v>36</v>
      </c>
      <c r="F174" s="22" t="s">
        <v>6581</v>
      </c>
      <c r="G174" s="22" t="s">
        <v>6575</v>
      </c>
      <c r="H174" s="22" t="n">
        <v>13</v>
      </c>
      <c r="I174" s="22" t="s">
        <v>6582</v>
      </c>
      <c r="J174" s="22" t="s">
        <v>6577</v>
      </c>
      <c r="K174" s="22" t="s">
        <v>7074</v>
      </c>
      <c r="L174" s="22" t="s">
        <v>3178</v>
      </c>
      <c r="M174" s="22" t="s">
        <v>3179</v>
      </c>
      <c r="N174" s="22" t="s">
        <v>442</v>
      </c>
      <c r="O174" s="22" t="n">
        <v>39.6</v>
      </c>
      <c r="P174" s="22" t="n">
        <v>10.4</v>
      </c>
      <c r="Q174" s="22" t="s">
        <v>7075</v>
      </c>
      <c r="R174" s="22"/>
    </row>
    <row r="175" customFormat="false" ht="15" hidden="false" customHeight="false" outlineLevel="0" collapsed="false">
      <c r="A175" s="22" t="s">
        <v>7076</v>
      </c>
      <c r="B175" s="22" t="s">
        <v>198</v>
      </c>
      <c r="C175" s="22" t="s">
        <v>6562</v>
      </c>
      <c r="D175" s="22" t="s">
        <v>7063</v>
      </c>
      <c r="E175" s="22" t="n">
        <v>36</v>
      </c>
      <c r="F175" s="22" t="s">
        <v>6581</v>
      </c>
      <c r="G175" s="22" t="s">
        <v>6575</v>
      </c>
      <c r="H175" s="22" t="n">
        <v>13</v>
      </c>
      <c r="I175" s="22" t="s">
        <v>6582</v>
      </c>
      <c r="J175" s="22" t="s">
        <v>6577</v>
      </c>
      <c r="K175" s="22" t="s">
        <v>7077</v>
      </c>
      <c r="L175" s="22" t="s">
        <v>4262</v>
      </c>
      <c r="M175" s="22" t="s">
        <v>4263</v>
      </c>
      <c r="N175" s="22" t="s">
        <v>4264</v>
      </c>
      <c r="O175" s="22" t="n">
        <v>55.1</v>
      </c>
      <c r="P175" s="22" t="n">
        <v>10.4</v>
      </c>
      <c r="Q175" s="22" t="s">
        <v>7078</v>
      </c>
      <c r="R175" s="22"/>
    </row>
    <row r="176" customFormat="false" ht="15" hidden="false" customHeight="false" outlineLevel="0" collapsed="false">
      <c r="A176" s="22" t="s">
        <v>7079</v>
      </c>
      <c r="B176" s="22" t="s">
        <v>198</v>
      </c>
      <c r="C176" s="22" t="s">
        <v>6562</v>
      </c>
      <c r="D176" s="22" t="s">
        <v>7063</v>
      </c>
      <c r="E176" s="22" t="n">
        <v>24</v>
      </c>
      <c r="F176" s="22" t="s">
        <v>6574</v>
      </c>
      <c r="G176" s="22" t="s">
        <v>6575</v>
      </c>
      <c r="H176" s="22" t="n">
        <v>9</v>
      </c>
      <c r="I176" s="22" t="s">
        <v>6576</v>
      </c>
      <c r="J176" s="22" t="s">
        <v>6577</v>
      </c>
      <c r="K176" s="22" t="s">
        <v>7080</v>
      </c>
      <c r="L176" s="22" t="s">
        <v>4008</v>
      </c>
      <c r="M176" s="22" t="s">
        <v>4009</v>
      </c>
      <c r="N176" s="22" t="s">
        <v>3530</v>
      </c>
      <c r="O176" s="22" t="n">
        <v>40.6</v>
      </c>
      <c r="P176" s="22" t="n">
        <v>10.4</v>
      </c>
      <c r="Q176" s="22" t="s">
        <v>6660</v>
      </c>
      <c r="R176" s="22"/>
    </row>
    <row r="177" customFormat="false" ht="15" hidden="false" customHeight="false" outlineLevel="0" collapsed="false">
      <c r="A177" s="22" t="s">
        <v>7081</v>
      </c>
      <c r="B177" s="22" t="s">
        <v>198</v>
      </c>
      <c r="C177" s="22" t="s">
        <v>6562</v>
      </c>
      <c r="D177" s="22" t="s">
        <v>7063</v>
      </c>
      <c r="E177" s="22" t="n">
        <v>40</v>
      </c>
      <c r="F177" s="22" t="s">
        <v>6581</v>
      </c>
      <c r="G177" s="22" t="s">
        <v>6575</v>
      </c>
      <c r="H177" s="22" t="n">
        <v>14</v>
      </c>
      <c r="I177" s="22" t="s">
        <v>6582</v>
      </c>
      <c r="J177" s="22" t="s">
        <v>6577</v>
      </c>
      <c r="K177" s="22" t="s">
        <v>7082</v>
      </c>
      <c r="L177" s="22" t="s">
        <v>5375</v>
      </c>
      <c r="M177" s="22" t="s">
        <v>5376</v>
      </c>
      <c r="N177" s="22" t="s">
        <v>899</v>
      </c>
      <c r="O177" s="22" t="n">
        <v>42.3</v>
      </c>
      <c r="P177" s="22" t="n">
        <v>10.4</v>
      </c>
      <c r="Q177" s="22" t="s">
        <v>6689</v>
      </c>
      <c r="R177" s="22"/>
    </row>
    <row r="178" customFormat="false" ht="15" hidden="false" customHeight="false" outlineLevel="0" collapsed="false">
      <c r="A178" s="22" t="s">
        <v>7083</v>
      </c>
      <c r="B178" s="22" t="s">
        <v>198</v>
      </c>
      <c r="C178" s="22" t="s">
        <v>6562</v>
      </c>
      <c r="D178" s="22" t="s">
        <v>7063</v>
      </c>
      <c r="E178" s="22" t="n">
        <v>28</v>
      </c>
      <c r="F178" s="22" t="s">
        <v>6574</v>
      </c>
      <c r="G178" s="22" t="s">
        <v>6575</v>
      </c>
      <c r="H178" s="22" t="n">
        <v>10</v>
      </c>
      <c r="I178" s="22" t="s">
        <v>6576</v>
      </c>
      <c r="J178" s="22" t="s">
        <v>6577</v>
      </c>
      <c r="K178" s="22" t="s">
        <v>7084</v>
      </c>
      <c r="L178" s="22" t="s">
        <v>3093</v>
      </c>
      <c r="M178" s="22" t="s">
        <v>3094</v>
      </c>
      <c r="N178" s="22" t="s">
        <v>428</v>
      </c>
      <c r="O178" s="22" t="n">
        <v>34.3</v>
      </c>
      <c r="P178" s="22" t="n">
        <v>10.4</v>
      </c>
      <c r="Q178" s="22" t="s">
        <v>7085</v>
      </c>
      <c r="R178" s="22"/>
    </row>
    <row r="179" customFormat="false" ht="15" hidden="false" customHeight="false" outlineLevel="0" collapsed="false">
      <c r="A179" s="22" t="s">
        <v>7086</v>
      </c>
      <c r="B179" s="22" t="s">
        <v>198</v>
      </c>
      <c r="C179" s="22" t="s">
        <v>6562</v>
      </c>
      <c r="D179" s="22" t="s">
        <v>7063</v>
      </c>
      <c r="E179" s="22" t="n">
        <v>36</v>
      </c>
      <c r="F179" s="22" t="s">
        <v>6581</v>
      </c>
      <c r="G179" s="22" t="s">
        <v>6575</v>
      </c>
      <c r="H179" s="22" t="n">
        <v>13</v>
      </c>
      <c r="I179" s="22" t="s">
        <v>6582</v>
      </c>
      <c r="J179" s="22" t="s">
        <v>6734</v>
      </c>
      <c r="K179" s="22"/>
      <c r="L179" s="22"/>
      <c r="M179" s="22"/>
      <c r="N179" s="22"/>
      <c r="O179" s="22"/>
      <c r="P179" s="22" t="n">
        <v>10.4</v>
      </c>
      <c r="Q179" s="22" t="s">
        <v>7087</v>
      </c>
      <c r="R179" s="22"/>
    </row>
    <row r="180" customFormat="false" ht="15" hidden="false" customHeight="false" outlineLevel="0" collapsed="false">
      <c r="A180" s="22" t="s">
        <v>7088</v>
      </c>
      <c r="B180" s="22" t="s">
        <v>198</v>
      </c>
      <c r="C180" s="22" t="s">
        <v>6562</v>
      </c>
      <c r="D180" s="22" t="s">
        <v>7063</v>
      </c>
      <c r="E180" s="22" t="n">
        <v>36</v>
      </c>
      <c r="F180" s="22" t="s">
        <v>6581</v>
      </c>
      <c r="G180" s="22" t="s">
        <v>6575</v>
      </c>
      <c r="H180" s="22" t="n">
        <v>13</v>
      </c>
      <c r="I180" s="22" t="s">
        <v>6582</v>
      </c>
      <c r="J180" s="22" t="s">
        <v>6577</v>
      </c>
      <c r="K180" s="22" t="s">
        <v>7089</v>
      </c>
      <c r="L180" s="22" t="s">
        <v>2854</v>
      </c>
      <c r="M180" s="22" t="s">
        <v>2855</v>
      </c>
      <c r="N180" s="22" t="s">
        <v>2856</v>
      </c>
      <c r="O180" s="22" t="n">
        <v>51.3</v>
      </c>
      <c r="P180" s="22" t="n">
        <v>10.4</v>
      </c>
      <c r="Q180" s="22" t="s">
        <v>7090</v>
      </c>
      <c r="R180" s="22"/>
    </row>
    <row r="181" customFormat="false" ht="15" hidden="false" customHeight="false" outlineLevel="0" collapsed="false">
      <c r="A181" s="22" t="s">
        <v>7091</v>
      </c>
      <c r="B181" s="22" t="s">
        <v>198</v>
      </c>
      <c r="C181" s="22" t="s">
        <v>6562</v>
      </c>
      <c r="D181" s="22" t="s">
        <v>7063</v>
      </c>
      <c r="E181" s="22" t="n">
        <v>28</v>
      </c>
      <c r="F181" s="22" t="s">
        <v>6574</v>
      </c>
      <c r="G181" s="22" t="s">
        <v>6575</v>
      </c>
      <c r="H181" s="22" t="n">
        <v>10</v>
      </c>
      <c r="I181" s="22" t="s">
        <v>6576</v>
      </c>
      <c r="J181" s="22" t="s">
        <v>6577</v>
      </c>
      <c r="K181" s="22" t="s">
        <v>7092</v>
      </c>
      <c r="L181" s="22" t="s">
        <v>3733</v>
      </c>
      <c r="M181" s="22" t="s">
        <v>3734</v>
      </c>
      <c r="N181" s="22" t="s">
        <v>242</v>
      </c>
      <c r="O181" s="22" t="n">
        <v>25.6</v>
      </c>
      <c r="P181" s="22" t="n">
        <v>10.4</v>
      </c>
      <c r="Q181" s="22" t="s">
        <v>7078</v>
      </c>
      <c r="R181" s="22"/>
    </row>
    <row r="182" customFormat="false" ht="15" hidden="false" customHeight="false" outlineLevel="0" collapsed="false">
      <c r="A182" s="22" t="s">
        <v>7093</v>
      </c>
      <c r="B182" s="22" t="s">
        <v>198</v>
      </c>
      <c r="C182" s="22" t="s">
        <v>6562</v>
      </c>
      <c r="D182" s="22" t="s">
        <v>7063</v>
      </c>
      <c r="E182" s="22" t="n">
        <v>32</v>
      </c>
      <c r="F182" s="22" t="s">
        <v>6581</v>
      </c>
      <c r="G182" s="22" t="s">
        <v>6575</v>
      </c>
      <c r="H182" s="22" t="n">
        <v>12</v>
      </c>
      <c r="I182" s="22" t="s">
        <v>6576</v>
      </c>
      <c r="J182" s="22" t="s">
        <v>6577</v>
      </c>
      <c r="K182" s="22" t="s">
        <v>7094</v>
      </c>
      <c r="L182" s="22" t="s">
        <v>3600</v>
      </c>
      <c r="M182" s="22" t="s">
        <v>3601</v>
      </c>
      <c r="N182" s="22" t="s">
        <v>3602</v>
      </c>
      <c r="O182" s="22" t="n">
        <v>37.5</v>
      </c>
      <c r="P182" s="22" t="n">
        <v>10.4</v>
      </c>
      <c r="Q182" s="22" t="s">
        <v>7095</v>
      </c>
      <c r="R182" s="22"/>
    </row>
    <row r="183" customFormat="false" ht="15" hidden="false" customHeight="false" outlineLevel="0" collapsed="false">
      <c r="A183" s="22" t="s">
        <v>7096</v>
      </c>
      <c r="B183" s="22" t="s">
        <v>198</v>
      </c>
      <c r="C183" s="22" t="s">
        <v>6562</v>
      </c>
      <c r="D183" s="22" t="s">
        <v>7063</v>
      </c>
      <c r="E183" s="22" t="n">
        <v>32</v>
      </c>
      <c r="F183" s="22" t="s">
        <v>6581</v>
      </c>
      <c r="G183" s="22" t="s">
        <v>6575</v>
      </c>
      <c r="H183" s="22" t="n">
        <v>12</v>
      </c>
      <c r="I183" s="22" t="s">
        <v>6576</v>
      </c>
      <c r="J183" s="22" t="s">
        <v>6577</v>
      </c>
      <c r="K183" s="22" t="s">
        <v>7097</v>
      </c>
      <c r="L183" s="22" t="s">
        <v>3522</v>
      </c>
      <c r="M183" s="22" t="s">
        <v>3523</v>
      </c>
      <c r="N183" s="22" t="s">
        <v>480</v>
      </c>
      <c r="O183" s="22" t="n">
        <v>34.5</v>
      </c>
      <c r="P183" s="22" t="n">
        <v>10.4</v>
      </c>
      <c r="Q183" s="22" t="s">
        <v>7098</v>
      </c>
      <c r="R183" s="22"/>
    </row>
    <row r="184" customFormat="false" ht="15" hidden="false" customHeight="false" outlineLevel="0" collapsed="false">
      <c r="A184" s="22" t="s">
        <v>7099</v>
      </c>
      <c r="B184" s="22" t="s">
        <v>198</v>
      </c>
      <c r="C184" s="22" t="s">
        <v>6562</v>
      </c>
      <c r="D184" s="22" t="s">
        <v>7063</v>
      </c>
      <c r="E184" s="22" t="n">
        <v>24</v>
      </c>
      <c r="F184" s="22" t="s">
        <v>6574</v>
      </c>
      <c r="G184" s="22" t="s">
        <v>6575</v>
      </c>
      <c r="H184" s="22" t="n">
        <v>9</v>
      </c>
      <c r="I184" s="22" t="s">
        <v>6576</v>
      </c>
      <c r="J184" s="22" t="s">
        <v>6577</v>
      </c>
      <c r="K184" s="22" t="s">
        <v>7100</v>
      </c>
      <c r="L184" s="22" t="s">
        <v>2521</v>
      </c>
      <c r="M184" s="22" t="s">
        <v>2522</v>
      </c>
      <c r="N184" s="22" t="s">
        <v>573</v>
      </c>
      <c r="O184" s="22" t="n">
        <v>49.8</v>
      </c>
      <c r="P184" s="22" t="n">
        <v>10.4</v>
      </c>
      <c r="Q184" s="22" t="s">
        <v>6716</v>
      </c>
      <c r="R184" s="22"/>
    </row>
    <row r="185" customFormat="false" ht="15" hidden="false" customHeight="false" outlineLevel="0" collapsed="false">
      <c r="A185" s="22" t="s">
        <v>7101</v>
      </c>
      <c r="B185" s="22" t="s">
        <v>198</v>
      </c>
      <c r="C185" s="22" t="s">
        <v>6562</v>
      </c>
      <c r="D185" s="22" t="s">
        <v>7063</v>
      </c>
      <c r="E185" s="22" t="n">
        <v>28</v>
      </c>
      <c r="F185" s="22" t="s">
        <v>6574</v>
      </c>
      <c r="G185" s="22" t="s">
        <v>6575</v>
      </c>
      <c r="H185" s="22" t="n">
        <v>10</v>
      </c>
      <c r="I185" s="22" t="s">
        <v>6576</v>
      </c>
      <c r="J185" s="22" t="s">
        <v>6577</v>
      </c>
      <c r="K185" s="22" t="s">
        <v>7102</v>
      </c>
      <c r="L185" s="22" t="s">
        <v>5225</v>
      </c>
      <c r="M185" s="22" t="s">
        <v>5226</v>
      </c>
      <c r="N185" s="22" t="s">
        <v>364</v>
      </c>
      <c r="O185" s="22" t="n">
        <v>47.4</v>
      </c>
      <c r="P185" s="22" t="n">
        <v>10.4</v>
      </c>
      <c r="Q185" s="22" t="s">
        <v>7103</v>
      </c>
      <c r="R185" s="22"/>
    </row>
    <row r="186" customFormat="false" ht="15" hidden="false" customHeight="false" outlineLevel="0" collapsed="false">
      <c r="A186" s="22" t="s">
        <v>7104</v>
      </c>
      <c r="B186" s="22" t="s">
        <v>198</v>
      </c>
      <c r="C186" s="22" t="s">
        <v>6562</v>
      </c>
      <c r="D186" s="22" t="s">
        <v>7063</v>
      </c>
      <c r="E186" s="22" t="n">
        <v>32</v>
      </c>
      <c r="F186" s="22" t="s">
        <v>6581</v>
      </c>
      <c r="G186" s="22" t="s">
        <v>6575</v>
      </c>
      <c r="H186" s="22" t="n">
        <v>12</v>
      </c>
      <c r="I186" s="22" t="s">
        <v>6576</v>
      </c>
      <c r="J186" s="22" t="s">
        <v>6577</v>
      </c>
      <c r="K186" s="22" t="s">
        <v>7105</v>
      </c>
      <c r="L186" s="22" t="s">
        <v>5999</v>
      </c>
      <c r="M186" s="22" t="s">
        <v>6000</v>
      </c>
      <c r="N186" s="22" t="s">
        <v>1011</v>
      </c>
      <c r="O186" s="22" t="n">
        <v>22.2</v>
      </c>
      <c r="P186" s="22" t="n">
        <v>10.4</v>
      </c>
      <c r="Q186" s="22" t="s">
        <v>7106</v>
      </c>
      <c r="R186" s="22"/>
    </row>
    <row r="187" customFormat="false" ht="15" hidden="false" customHeight="false" outlineLevel="0" collapsed="false">
      <c r="A187" s="22" t="s">
        <v>7107</v>
      </c>
      <c r="B187" s="22" t="s">
        <v>198</v>
      </c>
      <c r="C187" s="22" t="s">
        <v>6562</v>
      </c>
      <c r="D187" s="22" t="s">
        <v>7063</v>
      </c>
      <c r="E187" s="22" t="n">
        <v>28</v>
      </c>
      <c r="F187" s="22" t="s">
        <v>6574</v>
      </c>
      <c r="G187" s="22" t="s">
        <v>6575</v>
      </c>
      <c r="H187" s="22" t="n">
        <v>10</v>
      </c>
      <c r="I187" s="22" t="s">
        <v>6576</v>
      </c>
      <c r="J187" s="22" t="s">
        <v>6577</v>
      </c>
      <c r="K187" s="22" t="s">
        <v>7108</v>
      </c>
      <c r="L187" s="22" t="s">
        <v>4538</v>
      </c>
      <c r="M187" s="22" t="s">
        <v>4539</v>
      </c>
      <c r="N187" s="22" t="s">
        <v>543</v>
      </c>
      <c r="O187" s="22" t="n">
        <v>60.9</v>
      </c>
      <c r="P187" s="22" t="n">
        <v>10.4</v>
      </c>
      <c r="Q187" s="22" t="s">
        <v>6638</v>
      </c>
      <c r="R187" s="22"/>
    </row>
    <row r="188" customFormat="false" ht="15" hidden="false" customHeight="false" outlineLevel="0" collapsed="false">
      <c r="A188" s="22" t="s">
        <v>7109</v>
      </c>
      <c r="B188" s="22" t="s">
        <v>198</v>
      </c>
      <c r="C188" s="22" t="s">
        <v>6562</v>
      </c>
      <c r="D188" s="22" t="s">
        <v>7063</v>
      </c>
      <c r="E188" s="22" t="n">
        <v>32</v>
      </c>
      <c r="F188" s="22" t="s">
        <v>6581</v>
      </c>
      <c r="G188" s="22" t="s">
        <v>6575</v>
      </c>
      <c r="H188" s="22" t="n">
        <v>12</v>
      </c>
      <c r="I188" s="22" t="s">
        <v>6576</v>
      </c>
      <c r="J188" s="22" t="s">
        <v>6577</v>
      </c>
      <c r="K188" s="22" t="s">
        <v>7110</v>
      </c>
      <c r="L188" s="22" t="s">
        <v>3003</v>
      </c>
      <c r="M188" s="22" t="s">
        <v>3004</v>
      </c>
      <c r="N188" s="22" t="s">
        <v>2563</v>
      </c>
      <c r="O188" s="22" t="n">
        <v>19.1</v>
      </c>
      <c r="P188" s="22" t="n">
        <v>10.4</v>
      </c>
      <c r="Q188" s="22" t="s">
        <v>7111</v>
      </c>
      <c r="R188" s="22"/>
    </row>
    <row r="189" customFormat="false" ht="15" hidden="false" customHeight="false" outlineLevel="0" collapsed="false">
      <c r="A189" s="22" t="s">
        <v>7112</v>
      </c>
      <c r="B189" s="22" t="s">
        <v>198</v>
      </c>
      <c r="C189" s="22" t="s">
        <v>6562</v>
      </c>
      <c r="D189" s="22" t="s">
        <v>7063</v>
      </c>
      <c r="E189" s="22" t="n">
        <v>32</v>
      </c>
      <c r="F189" s="22" t="s">
        <v>6581</v>
      </c>
      <c r="G189" s="22" t="s">
        <v>6575</v>
      </c>
      <c r="H189" s="22" t="n">
        <v>12</v>
      </c>
      <c r="I189" s="22" t="s">
        <v>6576</v>
      </c>
      <c r="J189" s="22" t="s">
        <v>6577</v>
      </c>
      <c r="K189" s="22" t="s">
        <v>7113</v>
      </c>
      <c r="L189" s="22" t="s">
        <v>481</v>
      </c>
      <c r="M189" s="22" t="s">
        <v>482</v>
      </c>
      <c r="N189" s="22" t="s">
        <v>483</v>
      </c>
      <c r="O189" s="22" t="n">
        <v>43.9</v>
      </c>
      <c r="P189" s="22" t="n">
        <v>10.4</v>
      </c>
      <c r="Q189" s="22" t="s">
        <v>6644</v>
      </c>
      <c r="R189" s="22"/>
    </row>
    <row r="190" customFormat="false" ht="15" hidden="false" customHeight="false" outlineLevel="0" collapsed="false">
      <c r="A190" s="22" t="s">
        <v>7114</v>
      </c>
      <c r="B190" s="22" t="s">
        <v>198</v>
      </c>
      <c r="C190" s="22" t="s">
        <v>6562</v>
      </c>
      <c r="D190" s="22" t="s">
        <v>7063</v>
      </c>
      <c r="E190" s="22" t="n">
        <v>28</v>
      </c>
      <c r="F190" s="22" t="s">
        <v>6574</v>
      </c>
      <c r="G190" s="22" t="s">
        <v>6575</v>
      </c>
      <c r="H190" s="22" t="n">
        <v>10</v>
      </c>
      <c r="I190" s="22" t="s">
        <v>6576</v>
      </c>
      <c r="J190" s="22" t="s">
        <v>6577</v>
      </c>
      <c r="K190" s="22" t="s">
        <v>7115</v>
      </c>
      <c r="L190" s="22" t="s">
        <v>5487</v>
      </c>
      <c r="M190" s="22" t="s">
        <v>5488</v>
      </c>
      <c r="N190" s="22" t="s">
        <v>953</v>
      </c>
      <c r="O190" s="22" t="n">
        <v>53.2</v>
      </c>
      <c r="P190" s="22" t="n">
        <v>10.4</v>
      </c>
      <c r="Q190" s="22" t="s">
        <v>7116</v>
      </c>
      <c r="R190" s="22"/>
    </row>
    <row r="191" customFormat="false" ht="15" hidden="false" customHeight="false" outlineLevel="0" collapsed="false">
      <c r="A191" s="22" t="s">
        <v>7117</v>
      </c>
      <c r="B191" s="22" t="s">
        <v>198</v>
      </c>
      <c r="C191" s="22" t="s">
        <v>6562</v>
      </c>
      <c r="D191" s="22" t="s">
        <v>7063</v>
      </c>
      <c r="E191" s="22" t="n">
        <v>36</v>
      </c>
      <c r="F191" s="22" t="s">
        <v>6581</v>
      </c>
      <c r="G191" s="22" t="s">
        <v>6575</v>
      </c>
      <c r="H191" s="22" t="n">
        <v>13</v>
      </c>
      <c r="I191" s="22" t="s">
        <v>6582</v>
      </c>
      <c r="J191" s="22" t="s">
        <v>6577</v>
      </c>
      <c r="K191" s="22" t="s">
        <v>7118</v>
      </c>
      <c r="L191" s="22" t="s">
        <v>4175</v>
      </c>
      <c r="M191" s="22" t="s">
        <v>4176</v>
      </c>
      <c r="N191" s="22" t="s">
        <v>386</v>
      </c>
      <c r="O191" s="22" t="n">
        <v>60.7</v>
      </c>
      <c r="P191" s="22" t="n">
        <v>10.4</v>
      </c>
      <c r="Q191" s="22" t="s">
        <v>6871</v>
      </c>
      <c r="R191" s="22"/>
    </row>
    <row r="192" customFormat="false" ht="15" hidden="false" customHeight="false" outlineLevel="0" collapsed="false">
      <c r="A192" s="22" t="s">
        <v>7119</v>
      </c>
      <c r="B192" s="22" t="s">
        <v>198</v>
      </c>
      <c r="C192" s="22" t="s">
        <v>6562</v>
      </c>
      <c r="D192" s="22" t="s">
        <v>7063</v>
      </c>
      <c r="E192" s="22" t="n">
        <v>24</v>
      </c>
      <c r="F192" s="22" t="s">
        <v>6574</v>
      </c>
      <c r="G192" s="22" t="s">
        <v>6575</v>
      </c>
      <c r="H192" s="22" t="n">
        <v>9</v>
      </c>
      <c r="I192" s="22" t="s">
        <v>6576</v>
      </c>
      <c r="J192" s="22" t="s">
        <v>6577</v>
      </c>
      <c r="K192" s="22" t="s">
        <v>7120</v>
      </c>
      <c r="L192" s="22" t="s">
        <v>5379</v>
      </c>
      <c r="M192" s="22" t="s">
        <v>5380</v>
      </c>
      <c r="N192" s="22" t="s">
        <v>2991</v>
      </c>
      <c r="O192" s="22" t="n">
        <v>42.5</v>
      </c>
      <c r="P192" s="22" t="n">
        <v>10.4</v>
      </c>
      <c r="Q192" s="22" t="s">
        <v>7121</v>
      </c>
      <c r="R192" s="22"/>
    </row>
    <row r="193" customFormat="false" ht="15" hidden="false" customHeight="false" outlineLevel="0" collapsed="false">
      <c r="A193" s="22" t="s">
        <v>7122</v>
      </c>
      <c r="B193" s="22" t="s">
        <v>198</v>
      </c>
      <c r="C193" s="22" t="s">
        <v>6562</v>
      </c>
      <c r="D193" s="22" t="s">
        <v>7063</v>
      </c>
      <c r="E193" s="22" t="n">
        <v>40</v>
      </c>
      <c r="F193" s="22" t="s">
        <v>6581</v>
      </c>
      <c r="G193" s="22" t="s">
        <v>6575</v>
      </c>
      <c r="H193" s="22" t="n">
        <v>14</v>
      </c>
      <c r="I193" s="22" t="s">
        <v>6582</v>
      </c>
      <c r="J193" s="22" t="s">
        <v>6577</v>
      </c>
      <c r="K193" s="22" t="s">
        <v>7123</v>
      </c>
      <c r="L193" s="22" t="s">
        <v>234</v>
      </c>
      <c r="M193" s="22" t="s">
        <v>235</v>
      </c>
      <c r="N193" s="22" t="s">
        <v>236</v>
      </c>
      <c r="O193" s="22" t="n">
        <v>48.1</v>
      </c>
      <c r="P193" s="22" t="n">
        <v>10.4</v>
      </c>
      <c r="Q193" s="22" t="s">
        <v>7124</v>
      </c>
      <c r="R193" s="22"/>
    </row>
    <row r="194" customFormat="false" ht="15" hidden="false" customHeight="false" outlineLevel="0" collapsed="false">
      <c r="A194" s="22" t="s">
        <v>7125</v>
      </c>
      <c r="B194" s="22" t="s">
        <v>198</v>
      </c>
      <c r="C194" s="22" t="s">
        <v>6562</v>
      </c>
      <c r="D194" s="22" t="s">
        <v>7126</v>
      </c>
      <c r="E194" s="22" t="n">
        <v>40</v>
      </c>
      <c r="F194" s="22" t="s">
        <v>6581</v>
      </c>
      <c r="G194" s="22" t="s">
        <v>6575</v>
      </c>
      <c r="H194" s="22" t="n">
        <v>14</v>
      </c>
      <c r="I194" s="22" t="s">
        <v>6582</v>
      </c>
      <c r="J194" s="22" t="s">
        <v>6577</v>
      </c>
      <c r="K194" s="22" t="s">
        <v>7127</v>
      </c>
      <c r="L194" s="22" t="s">
        <v>4036</v>
      </c>
      <c r="M194" s="22" t="s">
        <v>4037</v>
      </c>
      <c r="N194" s="22" t="s">
        <v>4038</v>
      </c>
      <c r="O194" s="22" t="n">
        <v>24.3</v>
      </c>
      <c r="P194" s="22" t="n">
        <v>10.4</v>
      </c>
      <c r="Q194" s="22" t="s">
        <v>7128</v>
      </c>
      <c r="R194" s="22"/>
    </row>
    <row r="195" customFormat="false" ht="15" hidden="false" customHeight="false" outlineLevel="0" collapsed="false">
      <c r="A195" s="22" t="s">
        <v>7129</v>
      </c>
      <c r="B195" s="22" t="s">
        <v>198</v>
      </c>
      <c r="C195" s="22" t="s">
        <v>6562</v>
      </c>
      <c r="D195" s="22" t="s">
        <v>7126</v>
      </c>
      <c r="E195" s="22" t="n">
        <v>32</v>
      </c>
      <c r="F195" s="22" t="s">
        <v>6581</v>
      </c>
      <c r="G195" s="22" t="s">
        <v>6575</v>
      </c>
      <c r="H195" s="22" t="n">
        <v>12</v>
      </c>
      <c r="I195" s="22" t="s">
        <v>6576</v>
      </c>
      <c r="J195" s="22" t="s">
        <v>6577</v>
      </c>
      <c r="K195" s="22" t="s">
        <v>7130</v>
      </c>
      <c r="L195" s="22" t="s">
        <v>2355</v>
      </c>
      <c r="M195" s="22" t="s">
        <v>2356</v>
      </c>
      <c r="N195" s="22" t="s">
        <v>272</v>
      </c>
      <c r="O195" s="22" t="n">
        <v>57.6</v>
      </c>
      <c r="P195" s="22" t="n">
        <v>10.4</v>
      </c>
      <c r="Q195" s="22" t="s">
        <v>7131</v>
      </c>
      <c r="R195" s="22"/>
    </row>
    <row r="196" customFormat="false" ht="15" hidden="false" customHeight="false" outlineLevel="0" collapsed="false">
      <c r="A196" s="22" t="s">
        <v>7132</v>
      </c>
      <c r="B196" s="22" t="s">
        <v>198</v>
      </c>
      <c r="C196" s="22" t="s">
        <v>6562</v>
      </c>
      <c r="D196" s="22" t="s">
        <v>7126</v>
      </c>
      <c r="E196" s="22" t="n">
        <v>36</v>
      </c>
      <c r="F196" s="22" t="s">
        <v>6581</v>
      </c>
      <c r="G196" s="22" t="s">
        <v>6575</v>
      </c>
      <c r="H196" s="22" t="n">
        <v>13</v>
      </c>
      <c r="I196" s="22" t="s">
        <v>6582</v>
      </c>
      <c r="J196" s="22" t="s">
        <v>6577</v>
      </c>
      <c r="K196" s="22" t="s">
        <v>7133</v>
      </c>
      <c r="L196" s="22" t="s">
        <v>718</v>
      </c>
      <c r="M196" s="22" t="s">
        <v>719</v>
      </c>
      <c r="N196" s="22" t="s">
        <v>720</v>
      </c>
      <c r="O196" s="22" t="n">
        <v>20.2</v>
      </c>
      <c r="P196" s="22" t="n">
        <v>10.4</v>
      </c>
      <c r="Q196" s="22" t="s">
        <v>7095</v>
      </c>
      <c r="R196" s="22"/>
    </row>
    <row r="197" customFormat="false" ht="15" hidden="false" customHeight="false" outlineLevel="0" collapsed="false">
      <c r="A197" s="22" t="s">
        <v>7134</v>
      </c>
      <c r="B197" s="22" t="s">
        <v>198</v>
      </c>
      <c r="C197" s="22" t="s">
        <v>6562</v>
      </c>
      <c r="D197" s="22" t="s">
        <v>7126</v>
      </c>
      <c r="E197" s="22" t="n">
        <v>32</v>
      </c>
      <c r="F197" s="22" t="s">
        <v>6581</v>
      </c>
      <c r="G197" s="22" t="s">
        <v>6575</v>
      </c>
      <c r="H197" s="22" t="n">
        <v>12</v>
      </c>
      <c r="I197" s="22" t="s">
        <v>6576</v>
      </c>
      <c r="J197" s="22" t="s">
        <v>6577</v>
      </c>
      <c r="K197" s="22" t="s">
        <v>7135</v>
      </c>
      <c r="L197" s="22" t="s">
        <v>6281</v>
      </c>
      <c r="M197" s="22" t="s">
        <v>6282</v>
      </c>
      <c r="N197" s="22" t="s">
        <v>1727</v>
      </c>
      <c r="O197" s="22" t="n">
        <v>61.6</v>
      </c>
      <c r="P197" s="22" t="n">
        <v>10.4</v>
      </c>
      <c r="Q197" s="22" t="s">
        <v>7136</v>
      </c>
      <c r="R197" s="22"/>
    </row>
    <row r="198" customFormat="false" ht="15" hidden="false" customHeight="false" outlineLevel="0" collapsed="false">
      <c r="A198" s="22" t="s">
        <v>7137</v>
      </c>
      <c r="B198" s="22" t="s">
        <v>198</v>
      </c>
      <c r="C198" s="22" t="s">
        <v>6562</v>
      </c>
      <c r="D198" s="22" t="s">
        <v>7126</v>
      </c>
      <c r="E198" s="22" t="n">
        <v>36</v>
      </c>
      <c r="F198" s="22" t="s">
        <v>6581</v>
      </c>
      <c r="G198" s="22" t="s">
        <v>6575</v>
      </c>
      <c r="H198" s="22" t="n">
        <v>13</v>
      </c>
      <c r="I198" s="22" t="s">
        <v>6582</v>
      </c>
      <c r="J198" s="22" t="s">
        <v>6577</v>
      </c>
      <c r="K198" s="22" t="s">
        <v>7138</v>
      </c>
      <c r="L198" s="22" t="s">
        <v>2187</v>
      </c>
      <c r="M198" s="22" t="s">
        <v>2188</v>
      </c>
      <c r="N198" s="22" t="s">
        <v>899</v>
      </c>
      <c r="O198" s="22" t="n">
        <v>53.6</v>
      </c>
      <c r="P198" s="22" t="n">
        <v>10.4</v>
      </c>
      <c r="Q198" s="22" t="s">
        <v>7021</v>
      </c>
      <c r="R198" s="22"/>
    </row>
    <row r="199" customFormat="false" ht="15" hidden="false" customHeight="false" outlineLevel="0" collapsed="false">
      <c r="A199" s="22" t="s">
        <v>7139</v>
      </c>
      <c r="B199" s="22" t="s">
        <v>198</v>
      </c>
      <c r="C199" s="22" t="s">
        <v>6562</v>
      </c>
      <c r="D199" s="22" t="s">
        <v>7126</v>
      </c>
      <c r="E199" s="22" t="n">
        <v>28</v>
      </c>
      <c r="F199" s="22" t="s">
        <v>6574</v>
      </c>
      <c r="G199" s="22" t="s">
        <v>6575</v>
      </c>
      <c r="H199" s="22" t="n">
        <v>10</v>
      </c>
      <c r="I199" s="22" t="s">
        <v>6576</v>
      </c>
      <c r="J199" s="22" t="s">
        <v>6577</v>
      </c>
      <c r="K199" s="22" t="s">
        <v>7140</v>
      </c>
      <c r="L199" s="22" t="s">
        <v>4771</v>
      </c>
      <c r="M199" s="22" t="s">
        <v>4772</v>
      </c>
      <c r="N199" s="22" t="s">
        <v>1783</v>
      </c>
      <c r="O199" s="22" t="n">
        <v>57.3</v>
      </c>
      <c r="P199" s="22" t="n">
        <v>10.4</v>
      </c>
      <c r="Q199" s="22" t="s">
        <v>7141</v>
      </c>
      <c r="R199" s="22"/>
    </row>
    <row r="200" customFormat="false" ht="15" hidden="false" customHeight="false" outlineLevel="0" collapsed="false">
      <c r="A200" s="22" t="s">
        <v>7142</v>
      </c>
      <c r="B200" s="22" t="s">
        <v>198</v>
      </c>
      <c r="C200" s="22" t="s">
        <v>6562</v>
      </c>
      <c r="D200" s="22" t="s">
        <v>7126</v>
      </c>
      <c r="E200" s="22" t="n">
        <v>24</v>
      </c>
      <c r="F200" s="22" t="s">
        <v>6574</v>
      </c>
      <c r="G200" s="22" t="s">
        <v>6575</v>
      </c>
      <c r="H200" s="22" t="n">
        <v>9</v>
      </c>
      <c r="I200" s="22" t="s">
        <v>6576</v>
      </c>
      <c r="J200" s="22" t="s">
        <v>6577</v>
      </c>
      <c r="K200" s="22" t="s">
        <v>7143</v>
      </c>
      <c r="L200" s="22" t="s">
        <v>4470</v>
      </c>
      <c r="M200" s="22" t="s">
        <v>4471</v>
      </c>
      <c r="N200" s="22" t="s">
        <v>422</v>
      </c>
      <c r="O200" s="22" t="n">
        <v>45.7</v>
      </c>
      <c r="P200" s="22" t="n">
        <v>10.4</v>
      </c>
      <c r="Q200" s="22" t="s">
        <v>7144</v>
      </c>
      <c r="R200" s="22"/>
    </row>
    <row r="201" customFormat="false" ht="15" hidden="false" customHeight="false" outlineLevel="0" collapsed="false">
      <c r="A201" s="22" t="s">
        <v>7145</v>
      </c>
      <c r="B201" s="22" t="s">
        <v>198</v>
      </c>
      <c r="C201" s="22" t="s">
        <v>6562</v>
      </c>
      <c r="D201" s="22" t="s">
        <v>7126</v>
      </c>
      <c r="E201" s="22" t="n">
        <v>28</v>
      </c>
      <c r="F201" s="22" t="s">
        <v>6574</v>
      </c>
      <c r="G201" s="22" t="s">
        <v>6575</v>
      </c>
      <c r="H201" s="22" t="n">
        <v>10</v>
      </c>
      <c r="I201" s="22" t="s">
        <v>6576</v>
      </c>
      <c r="J201" s="22" t="s">
        <v>6577</v>
      </c>
      <c r="K201" s="22" t="s">
        <v>7146</v>
      </c>
      <c r="L201" s="22" t="s">
        <v>172</v>
      </c>
      <c r="M201" s="22" t="s">
        <v>173</v>
      </c>
      <c r="N201" s="22" t="s">
        <v>174</v>
      </c>
      <c r="O201" s="22" t="n">
        <v>49.9</v>
      </c>
      <c r="P201" s="22" t="n">
        <v>10.4</v>
      </c>
      <c r="Q201" s="22" t="s">
        <v>7147</v>
      </c>
      <c r="R201" s="22"/>
    </row>
    <row r="202" customFormat="false" ht="15" hidden="false" customHeight="false" outlineLevel="0" collapsed="false">
      <c r="A202" s="22" t="s">
        <v>7148</v>
      </c>
      <c r="B202" s="22" t="s">
        <v>198</v>
      </c>
      <c r="C202" s="22" t="s">
        <v>6562</v>
      </c>
      <c r="D202" s="22" t="s">
        <v>7126</v>
      </c>
      <c r="E202" s="22" t="n">
        <v>24</v>
      </c>
      <c r="F202" s="22" t="s">
        <v>6574</v>
      </c>
      <c r="G202" s="22" t="s">
        <v>6575</v>
      </c>
      <c r="H202" s="22" t="n">
        <v>9</v>
      </c>
      <c r="I202" s="22" t="s">
        <v>6576</v>
      </c>
      <c r="J202" s="22" t="s">
        <v>6577</v>
      </c>
      <c r="K202" s="22" t="s">
        <v>7149</v>
      </c>
      <c r="L202" s="22" t="s">
        <v>2216</v>
      </c>
      <c r="M202" s="22" t="s">
        <v>2217</v>
      </c>
      <c r="N202" s="22" t="s">
        <v>1082</v>
      </c>
      <c r="O202" s="22" t="n">
        <v>46.7</v>
      </c>
      <c r="P202" s="22" t="n">
        <v>10.4</v>
      </c>
      <c r="Q202" s="22" t="s">
        <v>7150</v>
      </c>
      <c r="R202" s="22"/>
    </row>
    <row r="203" customFormat="false" ht="15" hidden="false" customHeight="false" outlineLevel="0" collapsed="false">
      <c r="A203" s="22" t="s">
        <v>7151</v>
      </c>
      <c r="B203" s="22" t="s">
        <v>198</v>
      </c>
      <c r="C203" s="22" t="s">
        <v>6562</v>
      </c>
      <c r="D203" s="22" t="s">
        <v>7126</v>
      </c>
      <c r="E203" s="22" t="n">
        <v>28</v>
      </c>
      <c r="F203" s="22" t="s">
        <v>6574</v>
      </c>
      <c r="G203" s="22" t="s">
        <v>6575</v>
      </c>
      <c r="H203" s="22" t="n">
        <v>10</v>
      </c>
      <c r="I203" s="22" t="s">
        <v>6576</v>
      </c>
      <c r="J203" s="22" t="s">
        <v>6577</v>
      </c>
      <c r="K203" s="22" t="s">
        <v>7152</v>
      </c>
      <c r="L203" s="22" t="s">
        <v>2621</v>
      </c>
      <c r="M203" s="22" t="s">
        <v>2622</v>
      </c>
      <c r="N203" s="22" t="s">
        <v>191</v>
      </c>
      <c r="O203" s="22" t="n">
        <v>38</v>
      </c>
      <c r="P203" s="22" t="n">
        <v>10.4</v>
      </c>
      <c r="Q203" s="22" t="s">
        <v>7153</v>
      </c>
      <c r="R203" s="22"/>
    </row>
    <row r="204" customFormat="false" ht="15" hidden="false" customHeight="false" outlineLevel="0" collapsed="false">
      <c r="A204" s="22" t="s">
        <v>7154</v>
      </c>
      <c r="B204" s="22" t="s">
        <v>198</v>
      </c>
      <c r="C204" s="22" t="s">
        <v>6562</v>
      </c>
      <c r="D204" s="22" t="s">
        <v>7126</v>
      </c>
      <c r="E204" s="22" t="n">
        <v>24</v>
      </c>
      <c r="F204" s="22" t="s">
        <v>6574</v>
      </c>
      <c r="G204" s="22" t="s">
        <v>6575</v>
      </c>
      <c r="H204" s="22" t="n">
        <v>9</v>
      </c>
      <c r="I204" s="22" t="s">
        <v>6576</v>
      </c>
      <c r="J204" s="22" t="s">
        <v>6577</v>
      </c>
      <c r="K204" s="22" t="s">
        <v>7155</v>
      </c>
      <c r="L204" s="22" t="s">
        <v>2635</v>
      </c>
      <c r="M204" s="22" t="s">
        <v>2636</v>
      </c>
      <c r="N204" s="22" t="s">
        <v>1125</v>
      </c>
      <c r="O204" s="22" t="n">
        <v>43.3</v>
      </c>
      <c r="P204" s="22" t="n">
        <v>10.4</v>
      </c>
      <c r="Q204" s="22" t="s">
        <v>6590</v>
      </c>
      <c r="R204" s="22"/>
    </row>
    <row r="205" customFormat="false" ht="15" hidden="false" customHeight="false" outlineLevel="0" collapsed="false">
      <c r="A205" s="22" t="s">
        <v>7156</v>
      </c>
      <c r="B205" s="22" t="s">
        <v>198</v>
      </c>
      <c r="C205" s="22" t="s">
        <v>6562</v>
      </c>
      <c r="D205" s="22" t="s">
        <v>7126</v>
      </c>
      <c r="E205" s="22" t="n">
        <v>32</v>
      </c>
      <c r="F205" s="22" t="s">
        <v>6581</v>
      </c>
      <c r="G205" s="22" t="s">
        <v>6575</v>
      </c>
      <c r="H205" s="22" t="n">
        <v>12</v>
      </c>
      <c r="I205" s="22" t="s">
        <v>6576</v>
      </c>
      <c r="J205" s="22" t="s">
        <v>6577</v>
      </c>
      <c r="K205" s="22" t="s">
        <v>7157</v>
      </c>
      <c r="L205" s="22" t="s">
        <v>4660</v>
      </c>
      <c r="M205" s="22" t="s">
        <v>4661</v>
      </c>
      <c r="N205" s="22" t="s">
        <v>1743</v>
      </c>
      <c r="O205" s="22" t="n">
        <v>32.6</v>
      </c>
      <c r="P205" s="22" t="n">
        <v>10.4</v>
      </c>
      <c r="Q205" s="22" t="s">
        <v>6599</v>
      </c>
      <c r="R205" s="22"/>
    </row>
    <row r="206" customFormat="false" ht="15" hidden="false" customHeight="false" outlineLevel="0" collapsed="false">
      <c r="A206" s="22" t="s">
        <v>7158</v>
      </c>
      <c r="B206" s="22" t="s">
        <v>198</v>
      </c>
      <c r="C206" s="22" t="s">
        <v>6562</v>
      </c>
      <c r="D206" s="22" t="s">
        <v>7126</v>
      </c>
      <c r="E206" s="22" t="n">
        <v>32</v>
      </c>
      <c r="F206" s="22" t="s">
        <v>6581</v>
      </c>
      <c r="G206" s="22" t="s">
        <v>6575</v>
      </c>
      <c r="H206" s="22" t="n">
        <v>12</v>
      </c>
      <c r="I206" s="22" t="s">
        <v>6576</v>
      </c>
      <c r="J206" s="22" t="s">
        <v>6577</v>
      </c>
      <c r="K206" s="22" t="s">
        <v>7159</v>
      </c>
      <c r="L206" s="22" t="s">
        <v>3303</v>
      </c>
      <c r="M206" s="22" t="s">
        <v>3304</v>
      </c>
      <c r="N206" s="22" t="s">
        <v>962</v>
      </c>
      <c r="O206" s="22" t="n">
        <v>43.1</v>
      </c>
      <c r="P206" s="22" t="n">
        <v>10.4</v>
      </c>
      <c r="Q206" s="22" t="s">
        <v>7160</v>
      </c>
      <c r="R206" s="22"/>
    </row>
    <row r="207" customFormat="false" ht="15" hidden="false" customHeight="false" outlineLevel="0" collapsed="false">
      <c r="A207" s="22" t="s">
        <v>7161</v>
      </c>
      <c r="B207" s="22" t="s">
        <v>198</v>
      </c>
      <c r="C207" s="22" t="s">
        <v>6562</v>
      </c>
      <c r="D207" s="22" t="s">
        <v>7126</v>
      </c>
      <c r="E207" s="22" t="n">
        <v>40</v>
      </c>
      <c r="F207" s="22" t="s">
        <v>6581</v>
      </c>
      <c r="G207" s="22" t="s">
        <v>6575</v>
      </c>
      <c r="H207" s="22" t="n">
        <v>14</v>
      </c>
      <c r="I207" s="22" t="s">
        <v>6582</v>
      </c>
      <c r="J207" s="22" t="s">
        <v>6577</v>
      </c>
      <c r="K207" s="22" t="s">
        <v>7162</v>
      </c>
      <c r="L207" s="22" t="s">
        <v>1964</v>
      </c>
      <c r="M207" s="22" t="s">
        <v>1965</v>
      </c>
      <c r="N207" s="22" t="s">
        <v>781</v>
      </c>
      <c r="O207" s="22" t="n">
        <v>35.1</v>
      </c>
      <c r="P207" s="22" t="n">
        <v>10.4</v>
      </c>
      <c r="Q207" s="22" t="s">
        <v>6958</v>
      </c>
      <c r="R207" s="22"/>
    </row>
    <row r="208" customFormat="false" ht="15" hidden="false" customHeight="false" outlineLevel="0" collapsed="false">
      <c r="A208" s="22" t="s">
        <v>7163</v>
      </c>
      <c r="B208" s="22" t="s">
        <v>198</v>
      </c>
      <c r="C208" s="22" t="s">
        <v>6562</v>
      </c>
      <c r="D208" s="22" t="s">
        <v>7126</v>
      </c>
      <c r="E208" s="22" t="n">
        <v>32</v>
      </c>
      <c r="F208" s="22" t="s">
        <v>6581</v>
      </c>
      <c r="G208" s="22" t="s">
        <v>6575</v>
      </c>
      <c r="H208" s="22" t="n">
        <v>12</v>
      </c>
      <c r="I208" s="22" t="s">
        <v>6576</v>
      </c>
      <c r="J208" s="22" t="s">
        <v>6577</v>
      </c>
      <c r="K208" s="22" t="s">
        <v>7164</v>
      </c>
      <c r="L208" s="22" t="s">
        <v>1297</v>
      </c>
      <c r="M208" s="22" t="s">
        <v>1298</v>
      </c>
      <c r="N208" s="22" t="s">
        <v>1299</v>
      </c>
      <c r="O208" s="22" t="n">
        <v>35.1</v>
      </c>
      <c r="P208" s="22" t="n">
        <v>10.4</v>
      </c>
      <c r="Q208" s="22" t="s">
        <v>7165</v>
      </c>
      <c r="R208" s="22"/>
    </row>
    <row r="209" customFormat="false" ht="15" hidden="false" customHeight="false" outlineLevel="0" collapsed="false">
      <c r="A209" s="22" t="s">
        <v>7166</v>
      </c>
      <c r="B209" s="22" t="s">
        <v>198</v>
      </c>
      <c r="C209" s="22" t="s">
        <v>6562</v>
      </c>
      <c r="D209" s="22" t="s">
        <v>7126</v>
      </c>
      <c r="E209" s="22" t="n">
        <v>36</v>
      </c>
      <c r="F209" s="22" t="s">
        <v>6581</v>
      </c>
      <c r="G209" s="22" t="s">
        <v>6575</v>
      </c>
      <c r="H209" s="22" t="n">
        <v>13</v>
      </c>
      <c r="I209" s="22" t="s">
        <v>6582</v>
      </c>
      <c r="J209" s="22" t="s">
        <v>6671</v>
      </c>
      <c r="K209" s="22"/>
      <c r="L209" s="22"/>
      <c r="M209" s="22"/>
      <c r="N209" s="22"/>
      <c r="O209" s="22"/>
      <c r="P209" s="22" t="n">
        <v>10.4</v>
      </c>
      <c r="Q209" s="22" t="s">
        <v>6632</v>
      </c>
      <c r="R209" s="22"/>
    </row>
    <row r="210" customFormat="false" ht="15" hidden="false" customHeight="false" outlineLevel="0" collapsed="false">
      <c r="A210" s="22" t="s">
        <v>7167</v>
      </c>
      <c r="B210" s="22" t="s">
        <v>198</v>
      </c>
      <c r="C210" s="22" t="s">
        <v>6562</v>
      </c>
      <c r="D210" s="22" t="s">
        <v>7126</v>
      </c>
      <c r="E210" s="22" t="n">
        <v>36</v>
      </c>
      <c r="F210" s="22" t="s">
        <v>6581</v>
      </c>
      <c r="G210" s="22" t="s">
        <v>6575</v>
      </c>
      <c r="H210" s="22" t="n">
        <v>13</v>
      </c>
      <c r="I210" s="22" t="s">
        <v>6582</v>
      </c>
      <c r="J210" s="22" t="s">
        <v>6577</v>
      </c>
      <c r="K210" s="22" t="s">
        <v>7168</v>
      </c>
      <c r="L210" s="22" t="s">
        <v>1240</v>
      </c>
      <c r="M210" s="22" t="s">
        <v>1241</v>
      </c>
      <c r="N210" s="22" t="s">
        <v>1242</v>
      </c>
      <c r="O210" s="22" t="n">
        <v>34.5</v>
      </c>
      <c r="P210" s="22" t="n">
        <v>10.4</v>
      </c>
      <c r="Q210" s="22" t="s">
        <v>7169</v>
      </c>
      <c r="R210" s="22"/>
    </row>
    <row r="211" customFormat="false" ht="15" hidden="false" customHeight="false" outlineLevel="0" collapsed="false">
      <c r="A211" s="22" t="s">
        <v>7170</v>
      </c>
      <c r="B211" s="22" t="s">
        <v>198</v>
      </c>
      <c r="C211" s="22" t="s">
        <v>6562</v>
      </c>
      <c r="D211" s="22" t="s">
        <v>7126</v>
      </c>
      <c r="E211" s="22" t="n">
        <v>36</v>
      </c>
      <c r="F211" s="22" t="s">
        <v>6581</v>
      </c>
      <c r="G211" s="22" t="s">
        <v>6575</v>
      </c>
      <c r="H211" s="22" t="n">
        <v>13</v>
      </c>
      <c r="I211" s="22" t="s">
        <v>6582</v>
      </c>
      <c r="J211" s="22" t="s">
        <v>6577</v>
      </c>
      <c r="K211" s="22" t="s">
        <v>7171</v>
      </c>
      <c r="L211" s="22" t="s">
        <v>6419</v>
      </c>
      <c r="M211" s="22" t="s">
        <v>4065</v>
      </c>
      <c r="N211" s="22" t="s">
        <v>950</v>
      </c>
      <c r="O211" s="22" t="n">
        <v>58.2</v>
      </c>
      <c r="P211" s="22" t="n">
        <v>10.4</v>
      </c>
      <c r="Q211" s="22" t="s">
        <v>6768</v>
      </c>
      <c r="R211" s="22"/>
    </row>
    <row r="212" customFormat="false" ht="15" hidden="false" customHeight="false" outlineLevel="0" collapsed="false">
      <c r="A212" s="22" t="s">
        <v>7172</v>
      </c>
      <c r="B212" s="22" t="s">
        <v>198</v>
      </c>
      <c r="C212" s="22" t="s">
        <v>6562</v>
      </c>
      <c r="D212" s="22" t="s">
        <v>7126</v>
      </c>
      <c r="E212" s="22" t="n">
        <v>32</v>
      </c>
      <c r="F212" s="22" t="s">
        <v>6581</v>
      </c>
      <c r="G212" s="22" t="s">
        <v>6575</v>
      </c>
      <c r="H212" s="22" t="n">
        <v>12</v>
      </c>
      <c r="I212" s="22" t="s">
        <v>6576</v>
      </c>
      <c r="J212" s="22" t="s">
        <v>6577</v>
      </c>
      <c r="K212" s="22" t="s">
        <v>7173</v>
      </c>
      <c r="L212" s="22" t="s">
        <v>4721</v>
      </c>
      <c r="M212" s="22" t="s">
        <v>4722</v>
      </c>
      <c r="N212" s="22" t="s">
        <v>1847</v>
      </c>
      <c r="O212" s="22" t="n">
        <v>24.5</v>
      </c>
      <c r="P212" s="22" t="n">
        <v>10.4</v>
      </c>
      <c r="Q212" s="22" t="s">
        <v>7174</v>
      </c>
      <c r="R212" s="22"/>
    </row>
    <row r="213" customFormat="false" ht="15" hidden="false" customHeight="false" outlineLevel="0" collapsed="false">
      <c r="A213" s="22" t="s">
        <v>7175</v>
      </c>
      <c r="B213" s="22" t="s">
        <v>198</v>
      </c>
      <c r="C213" s="22" t="s">
        <v>6562</v>
      </c>
      <c r="D213" s="22" t="s">
        <v>7126</v>
      </c>
      <c r="E213" s="22" t="n">
        <v>28</v>
      </c>
      <c r="F213" s="22" t="s">
        <v>6574</v>
      </c>
      <c r="G213" s="22" t="s">
        <v>6575</v>
      </c>
      <c r="H213" s="22" t="n">
        <v>10</v>
      </c>
      <c r="I213" s="22" t="s">
        <v>6576</v>
      </c>
      <c r="J213" s="22" t="s">
        <v>6577</v>
      </c>
      <c r="K213" s="22" t="s">
        <v>7176</v>
      </c>
      <c r="L213" s="22" t="s">
        <v>665</v>
      </c>
      <c r="M213" s="22" t="s">
        <v>666</v>
      </c>
      <c r="N213" s="22" t="s">
        <v>486</v>
      </c>
      <c r="O213" s="22" t="n">
        <v>38.3</v>
      </c>
      <c r="P213" s="22" t="n">
        <v>10.4</v>
      </c>
      <c r="Q213" s="22" t="s">
        <v>7177</v>
      </c>
      <c r="R213" s="22"/>
    </row>
    <row r="214" customFormat="false" ht="15" hidden="false" customHeight="false" outlineLevel="0" collapsed="false">
      <c r="A214" s="22" t="s">
        <v>7178</v>
      </c>
      <c r="B214" s="22" t="s">
        <v>198</v>
      </c>
      <c r="C214" s="22" t="s">
        <v>6562</v>
      </c>
      <c r="D214" s="22" t="s">
        <v>7126</v>
      </c>
      <c r="E214" s="22" t="n">
        <v>28</v>
      </c>
      <c r="F214" s="22" t="s">
        <v>6574</v>
      </c>
      <c r="G214" s="22" t="s">
        <v>6575</v>
      </c>
      <c r="H214" s="22" t="n">
        <v>10</v>
      </c>
      <c r="I214" s="22" t="s">
        <v>6576</v>
      </c>
      <c r="J214" s="22" t="s">
        <v>6577</v>
      </c>
      <c r="K214" s="22" t="s">
        <v>7179</v>
      </c>
      <c r="L214" s="22" t="s">
        <v>3437</v>
      </c>
      <c r="M214" s="22" t="s">
        <v>3438</v>
      </c>
      <c r="N214" s="22" t="s">
        <v>1477</v>
      </c>
      <c r="O214" s="22" t="n">
        <v>24.8</v>
      </c>
      <c r="P214" s="22" t="n">
        <v>10.4</v>
      </c>
      <c r="Q214" s="22" t="s">
        <v>7042</v>
      </c>
      <c r="R214" s="22"/>
    </row>
    <row r="215" customFormat="false" ht="15" hidden="false" customHeight="false" outlineLevel="0" collapsed="false">
      <c r="A215" s="22" t="s">
        <v>7180</v>
      </c>
      <c r="B215" s="22" t="s">
        <v>198</v>
      </c>
      <c r="C215" s="22" t="s">
        <v>6562</v>
      </c>
      <c r="D215" s="22" t="s">
        <v>7126</v>
      </c>
      <c r="E215" s="22" t="n">
        <v>24</v>
      </c>
      <c r="F215" s="22" t="s">
        <v>6574</v>
      </c>
      <c r="G215" s="22" t="s">
        <v>6575</v>
      </c>
      <c r="H215" s="22" t="n">
        <v>9</v>
      </c>
      <c r="I215" s="22" t="s">
        <v>6576</v>
      </c>
      <c r="J215" s="22" t="s">
        <v>6577</v>
      </c>
      <c r="K215" s="22" t="s">
        <v>7181</v>
      </c>
      <c r="L215" s="22" t="s">
        <v>5260</v>
      </c>
      <c r="M215" s="22" t="s">
        <v>5261</v>
      </c>
      <c r="N215" s="22" t="s">
        <v>711</v>
      </c>
      <c r="O215" s="22" t="n">
        <v>58</v>
      </c>
      <c r="P215" s="22" t="n">
        <v>10.4</v>
      </c>
      <c r="Q215" s="22" t="s">
        <v>6590</v>
      </c>
      <c r="R215" s="22"/>
    </row>
    <row r="216" customFormat="false" ht="15" hidden="false" customHeight="false" outlineLevel="0" collapsed="false">
      <c r="A216" s="22" t="s">
        <v>7182</v>
      </c>
      <c r="B216" s="22" t="s">
        <v>198</v>
      </c>
      <c r="C216" s="22" t="s">
        <v>6562</v>
      </c>
      <c r="D216" s="22" t="s">
        <v>7126</v>
      </c>
      <c r="E216" s="22" t="n">
        <v>24</v>
      </c>
      <c r="F216" s="22" t="s">
        <v>6574</v>
      </c>
      <c r="G216" s="22" t="s">
        <v>6575</v>
      </c>
      <c r="H216" s="22" t="n">
        <v>9</v>
      </c>
      <c r="I216" s="22" t="s">
        <v>6576</v>
      </c>
      <c r="J216" s="22" t="s">
        <v>6577</v>
      </c>
      <c r="K216" s="22" t="s">
        <v>7183</v>
      </c>
      <c r="L216" s="22" t="s">
        <v>4060</v>
      </c>
      <c r="M216" s="22" t="s">
        <v>4061</v>
      </c>
      <c r="N216" s="22" t="s">
        <v>1102</v>
      </c>
      <c r="O216" s="22" t="n">
        <v>21</v>
      </c>
      <c r="P216" s="22" t="n">
        <v>10.4</v>
      </c>
      <c r="Q216" s="22" t="s">
        <v>7184</v>
      </c>
      <c r="R216" s="22"/>
    </row>
    <row r="217" customFormat="false" ht="15" hidden="false" customHeight="false" outlineLevel="0" collapsed="false">
      <c r="A217" s="22" t="s">
        <v>7185</v>
      </c>
      <c r="B217" s="22" t="s">
        <v>198</v>
      </c>
      <c r="C217" s="22" t="s">
        <v>6562</v>
      </c>
      <c r="D217" s="22" t="s">
        <v>7126</v>
      </c>
      <c r="E217" s="22" t="n">
        <v>28</v>
      </c>
      <c r="F217" s="22" t="s">
        <v>6574</v>
      </c>
      <c r="G217" s="22" t="s">
        <v>6575</v>
      </c>
      <c r="H217" s="22" t="n">
        <v>10</v>
      </c>
      <c r="I217" s="22" t="s">
        <v>6576</v>
      </c>
      <c r="J217" s="22" t="s">
        <v>6577</v>
      </c>
      <c r="K217" s="22" t="s">
        <v>7186</v>
      </c>
      <c r="L217" s="22" t="s">
        <v>1032</v>
      </c>
      <c r="M217" s="22" t="s">
        <v>1033</v>
      </c>
      <c r="N217" s="22" t="s">
        <v>1034</v>
      </c>
      <c r="O217" s="22" t="n">
        <v>59.9</v>
      </c>
      <c r="P217" s="22" t="n">
        <v>10.4</v>
      </c>
      <c r="Q217" s="22" t="s">
        <v>6695</v>
      </c>
      <c r="R217" s="22"/>
    </row>
    <row r="218" customFormat="false" ht="15" hidden="false" customHeight="false" outlineLevel="0" collapsed="false">
      <c r="A218" s="22" t="s">
        <v>7187</v>
      </c>
      <c r="B218" s="22" t="s">
        <v>198</v>
      </c>
      <c r="C218" s="22" t="s">
        <v>6562</v>
      </c>
      <c r="D218" s="22" t="s">
        <v>7188</v>
      </c>
      <c r="E218" s="22" t="n">
        <v>40</v>
      </c>
      <c r="F218" s="22" t="s">
        <v>6581</v>
      </c>
      <c r="G218" s="22" t="s">
        <v>6575</v>
      </c>
      <c r="H218" s="22" t="n">
        <v>14</v>
      </c>
      <c r="I218" s="22" t="s">
        <v>6582</v>
      </c>
      <c r="J218" s="22" t="s">
        <v>6577</v>
      </c>
      <c r="K218" s="22" t="s">
        <v>7189</v>
      </c>
      <c r="L218" s="22" t="s">
        <v>5107</v>
      </c>
      <c r="M218" s="22" t="s">
        <v>5108</v>
      </c>
      <c r="N218" s="22" t="s">
        <v>2823</v>
      </c>
      <c r="O218" s="22" t="n">
        <v>54.4</v>
      </c>
      <c r="P218" s="22" t="n">
        <v>10.4</v>
      </c>
      <c r="Q218" s="22" t="s">
        <v>7190</v>
      </c>
      <c r="R218" s="22"/>
    </row>
    <row r="219" customFormat="false" ht="15" hidden="false" customHeight="false" outlineLevel="0" collapsed="false">
      <c r="A219" s="22" t="s">
        <v>7191</v>
      </c>
      <c r="B219" s="22" t="s">
        <v>198</v>
      </c>
      <c r="C219" s="22" t="s">
        <v>6562</v>
      </c>
      <c r="D219" s="22" t="s">
        <v>7188</v>
      </c>
      <c r="E219" s="22" t="n">
        <v>32</v>
      </c>
      <c r="F219" s="22" t="s">
        <v>6581</v>
      </c>
      <c r="G219" s="22" t="s">
        <v>6575</v>
      </c>
      <c r="H219" s="22" t="n">
        <v>12</v>
      </c>
      <c r="I219" s="22" t="s">
        <v>6576</v>
      </c>
      <c r="J219" s="22" t="s">
        <v>6577</v>
      </c>
      <c r="K219" s="22" t="s">
        <v>7192</v>
      </c>
      <c r="L219" s="22" t="s">
        <v>5524</v>
      </c>
      <c r="M219" s="22" t="s">
        <v>5525</v>
      </c>
      <c r="N219" s="22" t="s">
        <v>4043</v>
      </c>
      <c r="O219" s="22" t="n">
        <v>62</v>
      </c>
      <c r="P219" s="22" t="n">
        <v>10.4</v>
      </c>
      <c r="Q219" s="22" t="s">
        <v>7193</v>
      </c>
      <c r="R219" s="22"/>
    </row>
    <row r="220" customFormat="false" ht="15" hidden="false" customHeight="false" outlineLevel="0" collapsed="false">
      <c r="A220" s="22" t="s">
        <v>7194</v>
      </c>
      <c r="B220" s="22" t="s">
        <v>198</v>
      </c>
      <c r="C220" s="22" t="s">
        <v>6562</v>
      </c>
      <c r="D220" s="22" t="s">
        <v>7188</v>
      </c>
      <c r="E220" s="22" t="n">
        <v>28</v>
      </c>
      <c r="F220" s="22" t="s">
        <v>6574</v>
      </c>
      <c r="G220" s="22" t="s">
        <v>6575</v>
      </c>
      <c r="H220" s="22" t="n">
        <v>10</v>
      </c>
      <c r="I220" s="22" t="s">
        <v>6576</v>
      </c>
      <c r="J220" s="22" t="s">
        <v>6577</v>
      </c>
      <c r="K220" s="22" t="s">
        <v>7195</v>
      </c>
      <c r="L220" s="22" t="s">
        <v>1027</v>
      </c>
      <c r="M220" s="22" t="s">
        <v>1028</v>
      </c>
      <c r="N220" s="22" t="s">
        <v>1029</v>
      </c>
      <c r="O220" s="22" t="n">
        <v>56.2</v>
      </c>
      <c r="P220" s="22" t="n">
        <v>10.4</v>
      </c>
      <c r="Q220" s="22" t="s">
        <v>6650</v>
      </c>
      <c r="R220" s="22"/>
    </row>
    <row r="221" customFormat="false" ht="15" hidden="false" customHeight="false" outlineLevel="0" collapsed="false">
      <c r="A221" s="22" t="s">
        <v>7196</v>
      </c>
      <c r="B221" s="22" t="s">
        <v>198</v>
      </c>
      <c r="C221" s="22" t="s">
        <v>6562</v>
      </c>
      <c r="D221" s="22" t="s">
        <v>7188</v>
      </c>
      <c r="E221" s="22" t="n">
        <v>24</v>
      </c>
      <c r="F221" s="22" t="s">
        <v>6574</v>
      </c>
      <c r="G221" s="22" t="s">
        <v>6575</v>
      </c>
      <c r="H221" s="22" t="n">
        <v>9</v>
      </c>
      <c r="I221" s="22" t="s">
        <v>6576</v>
      </c>
      <c r="J221" s="22" t="s">
        <v>6577</v>
      </c>
      <c r="K221" s="22" t="s">
        <v>7197</v>
      </c>
      <c r="L221" s="22" t="s">
        <v>5574</v>
      </c>
      <c r="M221" s="22" t="s">
        <v>5575</v>
      </c>
      <c r="N221" s="22" t="s">
        <v>4222</v>
      </c>
      <c r="O221" s="22" t="n">
        <v>33.9</v>
      </c>
      <c r="P221" s="22" t="n">
        <v>10.4</v>
      </c>
      <c r="Q221" s="22" t="s">
        <v>6839</v>
      </c>
      <c r="R221" s="22"/>
    </row>
    <row r="222" customFormat="false" ht="15" hidden="false" customHeight="false" outlineLevel="0" collapsed="false">
      <c r="A222" s="22" t="s">
        <v>7198</v>
      </c>
      <c r="B222" s="22" t="s">
        <v>198</v>
      </c>
      <c r="C222" s="22" t="s">
        <v>6562</v>
      </c>
      <c r="D222" s="22" t="s">
        <v>7188</v>
      </c>
      <c r="E222" s="22" t="n">
        <v>28</v>
      </c>
      <c r="F222" s="22" t="s">
        <v>6574</v>
      </c>
      <c r="G222" s="22" t="s">
        <v>6575</v>
      </c>
      <c r="H222" s="22" t="n">
        <v>10</v>
      </c>
      <c r="I222" s="22" t="s">
        <v>6576</v>
      </c>
      <c r="J222" s="22" t="s">
        <v>6577</v>
      </c>
      <c r="K222" s="22" t="s">
        <v>7199</v>
      </c>
      <c r="L222" s="22" t="s">
        <v>6196</v>
      </c>
      <c r="M222" s="22" t="s">
        <v>6197</v>
      </c>
      <c r="N222" s="22" t="s">
        <v>793</v>
      </c>
      <c r="O222" s="22" t="n">
        <v>38</v>
      </c>
      <c r="P222" s="22" t="n">
        <v>10.4</v>
      </c>
      <c r="Q222" s="22" t="s">
        <v>7200</v>
      </c>
      <c r="R222" s="22"/>
    </row>
    <row r="223" customFormat="false" ht="15" hidden="false" customHeight="false" outlineLevel="0" collapsed="false">
      <c r="A223" s="22" t="s">
        <v>7201</v>
      </c>
      <c r="B223" s="22" t="s">
        <v>198</v>
      </c>
      <c r="C223" s="22" t="s">
        <v>6562</v>
      </c>
      <c r="D223" s="22" t="s">
        <v>7188</v>
      </c>
      <c r="E223" s="22" t="n">
        <v>36</v>
      </c>
      <c r="F223" s="22" t="s">
        <v>6581</v>
      </c>
      <c r="G223" s="22" t="s">
        <v>6575</v>
      </c>
      <c r="H223" s="22" t="n">
        <v>13</v>
      </c>
      <c r="I223" s="22" t="s">
        <v>6582</v>
      </c>
      <c r="J223" s="22" t="s">
        <v>6577</v>
      </c>
      <c r="K223" s="22" t="s">
        <v>7202</v>
      </c>
      <c r="L223" s="22" t="s">
        <v>4160</v>
      </c>
      <c r="M223" s="22" t="s">
        <v>4161</v>
      </c>
      <c r="N223" s="22" t="s">
        <v>2177</v>
      </c>
      <c r="O223" s="22" t="n">
        <v>19.5</v>
      </c>
      <c r="P223" s="22" t="n">
        <v>10.4</v>
      </c>
      <c r="Q223" s="22" t="s">
        <v>7203</v>
      </c>
      <c r="R223" s="22"/>
    </row>
    <row r="224" customFormat="false" ht="15" hidden="false" customHeight="false" outlineLevel="0" collapsed="false">
      <c r="A224" s="22" t="s">
        <v>7204</v>
      </c>
      <c r="B224" s="22" t="s">
        <v>198</v>
      </c>
      <c r="C224" s="22" t="s">
        <v>6562</v>
      </c>
      <c r="D224" s="22" t="s">
        <v>7188</v>
      </c>
      <c r="E224" s="22" t="n">
        <v>32</v>
      </c>
      <c r="F224" s="22" t="s">
        <v>6581</v>
      </c>
      <c r="G224" s="22" t="s">
        <v>6575</v>
      </c>
      <c r="H224" s="22" t="n">
        <v>12</v>
      </c>
      <c r="I224" s="22" t="s">
        <v>6576</v>
      </c>
      <c r="J224" s="22" t="s">
        <v>6577</v>
      </c>
      <c r="K224" s="22" t="s">
        <v>7205</v>
      </c>
      <c r="L224" s="22" t="s">
        <v>6107</v>
      </c>
      <c r="M224" s="22" t="s">
        <v>6108</v>
      </c>
      <c r="N224" s="22" t="s">
        <v>557</v>
      </c>
      <c r="O224" s="22" t="n">
        <v>57.9</v>
      </c>
      <c r="P224" s="22" t="n">
        <v>10.4</v>
      </c>
      <c r="Q224" s="22" t="s">
        <v>7206</v>
      </c>
      <c r="R224" s="22"/>
    </row>
    <row r="225" customFormat="false" ht="15" hidden="false" customHeight="false" outlineLevel="0" collapsed="false">
      <c r="A225" s="22" t="s">
        <v>7207</v>
      </c>
      <c r="B225" s="22" t="s">
        <v>198</v>
      </c>
      <c r="C225" s="22" t="s">
        <v>6562</v>
      </c>
      <c r="D225" s="22" t="s">
        <v>7188</v>
      </c>
      <c r="E225" s="22" t="n">
        <v>32</v>
      </c>
      <c r="F225" s="22" t="s">
        <v>6581</v>
      </c>
      <c r="G225" s="22" t="s">
        <v>6575</v>
      </c>
      <c r="H225" s="22" t="n">
        <v>12</v>
      </c>
      <c r="I225" s="22" t="s">
        <v>6576</v>
      </c>
      <c r="J225" s="22" t="s">
        <v>6577</v>
      </c>
      <c r="K225" s="22" t="s">
        <v>7208</v>
      </c>
      <c r="L225" s="22" t="s">
        <v>4156</v>
      </c>
      <c r="M225" s="22" t="s">
        <v>4157</v>
      </c>
      <c r="N225" s="22" t="s">
        <v>2856</v>
      </c>
      <c r="O225" s="22" t="n">
        <v>58.9</v>
      </c>
      <c r="P225" s="22" t="n">
        <v>10.4</v>
      </c>
      <c r="Q225" s="22" t="s">
        <v>7209</v>
      </c>
      <c r="R225" s="22"/>
    </row>
    <row r="226" customFormat="false" ht="15" hidden="false" customHeight="false" outlineLevel="0" collapsed="false">
      <c r="A226" s="22" t="s">
        <v>7210</v>
      </c>
      <c r="B226" s="22" t="s">
        <v>198</v>
      </c>
      <c r="C226" s="22" t="s">
        <v>6562</v>
      </c>
      <c r="D226" s="22" t="s">
        <v>7188</v>
      </c>
      <c r="E226" s="22" t="n">
        <v>32</v>
      </c>
      <c r="F226" s="22" t="s">
        <v>6581</v>
      </c>
      <c r="G226" s="22" t="s">
        <v>6575</v>
      </c>
      <c r="H226" s="22" t="n">
        <v>12</v>
      </c>
      <c r="I226" s="22" t="s">
        <v>6576</v>
      </c>
      <c r="J226" s="22" t="s">
        <v>6577</v>
      </c>
      <c r="K226" s="22" t="s">
        <v>7211</v>
      </c>
      <c r="L226" s="22" t="s">
        <v>2263</v>
      </c>
      <c r="M226" s="22" t="s">
        <v>2264</v>
      </c>
      <c r="N226" s="22" t="s">
        <v>2265</v>
      </c>
      <c r="O226" s="22" t="n">
        <v>19.3</v>
      </c>
      <c r="P226" s="22" t="n">
        <v>10.4</v>
      </c>
      <c r="Q226" s="22" t="s">
        <v>6845</v>
      </c>
      <c r="R226" s="22"/>
    </row>
    <row r="227" customFormat="false" ht="15" hidden="false" customHeight="false" outlineLevel="0" collapsed="false">
      <c r="A227" s="22" t="s">
        <v>7212</v>
      </c>
      <c r="B227" s="22" t="s">
        <v>198</v>
      </c>
      <c r="C227" s="22" t="s">
        <v>6562</v>
      </c>
      <c r="D227" s="22" t="s">
        <v>7188</v>
      </c>
      <c r="E227" s="22" t="n">
        <v>32</v>
      </c>
      <c r="F227" s="22" t="s">
        <v>6581</v>
      </c>
      <c r="G227" s="22" t="s">
        <v>6575</v>
      </c>
      <c r="H227" s="22" t="n">
        <v>12</v>
      </c>
      <c r="I227" s="22" t="s">
        <v>6576</v>
      </c>
      <c r="J227" s="22" t="s">
        <v>6577</v>
      </c>
      <c r="K227" s="22" t="s">
        <v>7213</v>
      </c>
      <c r="L227" s="22" t="s">
        <v>1972</v>
      </c>
      <c r="M227" s="22" t="s">
        <v>1973</v>
      </c>
      <c r="N227" s="22" t="s">
        <v>1974</v>
      </c>
      <c r="O227" s="22" t="n">
        <v>61.8</v>
      </c>
      <c r="P227" s="22" t="n">
        <v>10.4</v>
      </c>
      <c r="Q227" s="22" t="s">
        <v>7214</v>
      </c>
      <c r="R227" s="22"/>
    </row>
    <row r="228" customFormat="false" ht="15" hidden="false" customHeight="false" outlineLevel="0" collapsed="false">
      <c r="A228" s="22" t="s">
        <v>7215</v>
      </c>
      <c r="B228" s="22" t="s">
        <v>198</v>
      </c>
      <c r="C228" s="22" t="s">
        <v>6562</v>
      </c>
      <c r="D228" s="22" t="s">
        <v>7188</v>
      </c>
      <c r="E228" s="22" t="n">
        <v>24</v>
      </c>
      <c r="F228" s="22" t="s">
        <v>6574</v>
      </c>
      <c r="G228" s="22" t="s">
        <v>6575</v>
      </c>
      <c r="H228" s="22" t="n">
        <v>9</v>
      </c>
      <c r="I228" s="22" t="s">
        <v>6576</v>
      </c>
      <c r="J228" s="22" t="s">
        <v>6577</v>
      </c>
      <c r="K228" s="22" t="s">
        <v>7216</v>
      </c>
      <c r="L228" s="22" t="s">
        <v>4576</v>
      </c>
      <c r="M228" s="22" t="s">
        <v>4577</v>
      </c>
      <c r="N228" s="22" t="s">
        <v>770</v>
      </c>
      <c r="O228" s="22" t="n">
        <v>40.9</v>
      </c>
      <c r="P228" s="22" t="n">
        <v>10.4</v>
      </c>
      <c r="Q228" s="22" t="s">
        <v>7217</v>
      </c>
      <c r="R228" s="22"/>
    </row>
    <row r="229" customFormat="false" ht="15" hidden="false" customHeight="false" outlineLevel="0" collapsed="false">
      <c r="A229" s="22" t="s">
        <v>7218</v>
      </c>
      <c r="B229" s="22" t="s">
        <v>198</v>
      </c>
      <c r="C229" s="22" t="s">
        <v>6562</v>
      </c>
      <c r="D229" s="22" t="s">
        <v>7188</v>
      </c>
      <c r="E229" s="22" t="n">
        <v>28</v>
      </c>
      <c r="F229" s="22" t="s">
        <v>6574</v>
      </c>
      <c r="G229" s="22" t="s">
        <v>6575</v>
      </c>
      <c r="H229" s="22" t="n">
        <v>10</v>
      </c>
      <c r="I229" s="22" t="s">
        <v>6576</v>
      </c>
      <c r="J229" s="22" t="s">
        <v>6577</v>
      </c>
      <c r="K229" s="22" t="s">
        <v>7219</v>
      </c>
      <c r="L229" s="22" t="s">
        <v>2834</v>
      </c>
      <c r="M229" s="22" t="s">
        <v>2835</v>
      </c>
      <c r="N229" s="22" t="s">
        <v>2836</v>
      </c>
      <c r="O229" s="22" t="n">
        <v>28.7</v>
      </c>
      <c r="P229" s="22" t="n">
        <v>10.4</v>
      </c>
      <c r="Q229" s="22" t="s">
        <v>7220</v>
      </c>
      <c r="R229" s="22"/>
    </row>
    <row r="230" customFormat="false" ht="15" hidden="false" customHeight="false" outlineLevel="0" collapsed="false">
      <c r="A230" s="22" t="s">
        <v>7221</v>
      </c>
      <c r="B230" s="22" t="s">
        <v>198</v>
      </c>
      <c r="C230" s="22" t="s">
        <v>6562</v>
      </c>
      <c r="D230" s="22" t="s">
        <v>7188</v>
      </c>
      <c r="E230" s="22" t="n">
        <v>28</v>
      </c>
      <c r="F230" s="22" t="s">
        <v>6574</v>
      </c>
      <c r="G230" s="22" t="s">
        <v>6575</v>
      </c>
      <c r="H230" s="22" t="n">
        <v>10</v>
      </c>
      <c r="I230" s="22" t="s">
        <v>6576</v>
      </c>
      <c r="J230" s="22" t="s">
        <v>6577</v>
      </c>
      <c r="K230" s="22" t="s">
        <v>7222</v>
      </c>
      <c r="L230" s="22" t="s">
        <v>850</v>
      </c>
      <c r="M230" s="22" t="s">
        <v>851</v>
      </c>
      <c r="N230" s="22" t="s">
        <v>852</v>
      </c>
      <c r="O230" s="22" t="n">
        <v>19.5</v>
      </c>
      <c r="P230" s="22" t="n">
        <v>10.4</v>
      </c>
      <c r="Q230" s="22" t="s">
        <v>6833</v>
      </c>
      <c r="R230" s="22"/>
    </row>
    <row r="231" customFormat="false" ht="15" hidden="false" customHeight="false" outlineLevel="0" collapsed="false">
      <c r="A231" s="22" t="s">
        <v>7223</v>
      </c>
      <c r="B231" s="22" t="s">
        <v>198</v>
      </c>
      <c r="C231" s="22" t="s">
        <v>6562</v>
      </c>
      <c r="D231" s="22" t="s">
        <v>7188</v>
      </c>
      <c r="E231" s="22" t="n">
        <v>24</v>
      </c>
      <c r="F231" s="22" t="s">
        <v>6574</v>
      </c>
      <c r="G231" s="22" t="s">
        <v>6575</v>
      </c>
      <c r="H231" s="22" t="n">
        <v>9</v>
      </c>
      <c r="I231" s="22" t="s">
        <v>6576</v>
      </c>
      <c r="J231" s="22" t="s">
        <v>6577</v>
      </c>
      <c r="K231" s="22" t="s">
        <v>7224</v>
      </c>
      <c r="L231" s="22" t="s">
        <v>3782</v>
      </c>
      <c r="M231" s="22" t="s">
        <v>3783</v>
      </c>
      <c r="N231" s="22" t="s">
        <v>2265</v>
      </c>
      <c r="O231" s="22" t="n">
        <v>19.4</v>
      </c>
      <c r="P231" s="22" t="n">
        <v>10.4</v>
      </c>
      <c r="Q231" s="22" t="s">
        <v>7225</v>
      </c>
      <c r="R231" s="22"/>
    </row>
    <row r="232" customFormat="false" ht="15" hidden="false" customHeight="false" outlineLevel="0" collapsed="false">
      <c r="A232" s="22" t="s">
        <v>7226</v>
      </c>
      <c r="B232" s="22" t="s">
        <v>198</v>
      </c>
      <c r="C232" s="22" t="s">
        <v>6562</v>
      </c>
      <c r="D232" s="22" t="s">
        <v>7188</v>
      </c>
      <c r="E232" s="22" t="n">
        <v>24</v>
      </c>
      <c r="F232" s="22" t="s">
        <v>6574</v>
      </c>
      <c r="G232" s="22" t="s">
        <v>6575</v>
      </c>
      <c r="H232" s="22" t="n">
        <v>9</v>
      </c>
      <c r="I232" s="22" t="s">
        <v>6576</v>
      </c>
      <c r="J232" s="22" t="s">
        <v>6613</v>
      </c>
      <c r="K232" s="22"/>
      <c r="L232" s="22"/>
      <c r="M232" s="22"/>
      <c r="N232" s="22"/>
      <c r="O232" s="22"/>
      <c r="P232" s="22" t="n">
        <v>10.4</v>
      </c>
      <c r="Q232" s="22" t="s">
        <v>6675</v>
      </c>
      <c r="R232" s="22"/>
    </row>
    <row r="233" customFormat="false" ht="15" hidden="false" customHeight="false" outlineLevel="0" collapsed="false">
      <c r="A233" s="22" t="s">
        <v>7227</v>
      </c>
      <c r="B233" s="22" t="s">
        <v>198</v>
      </c>
      <c r="C233" s="22" t="s">
        <v>6562</v>
      </c>
      <c r="D233" s="22" t="s">
        <v>7188</v>
      </c>
      <c r="E233" s="22" t="n">
        <v>28</v>
      </c>
      <c r="F233" s="22" t="s">
        <v>6574</v>
      </c>
      <c r="G233" s="22" t="s">
        <v>6575</v>
      </c>
      <c r="H233" s="22" t="n">
        <v>10</v>
      </c>
      <c r="I233" s="22" t="s">
        <v>6576</v>
      </c>
      <c r="J233" s="22" t="s">
        <v>6577</v>
      </c>
      <c r="K233" s="22" t="s">
        <v>7228</v>
      </c>
      <c r="L233" s="22" t="s">
        <v>4912</v>
      </c>
      <c r="M233" s="22" t="s">
        <v>4913</v>
      </c>
      <c r="N233" s="22" t="s">
        <v>2147</v>
      </c>
      <c r="O233" s="22" t="n">
        <v>25.9</v>
      </c>
      <c r="P233" s="22" t="n">
        <v>10.4</v>
      </c>
      <c r="Q233" s="22" t="s">
        <v>6741</v>
      </c>
      <c r="R233" s="22"/>
    </row>
    <row r="234" customFormat="false" ht="15" hidden="false" customHeight="false" outlineLevel="0" collapsed="false">
      <c r="A234" s="22" t="s">
        <v>7229</v>
      </c>
      <c r="B234" s="22" t="s">
        <v>198</v>
      </c>
      <c r="C234" s="22" t="s">
        <v>6562</v>
      </c>
      <c r="D234" s="22" t="s">
        <v>7188</v>
      </c>
      <c r="E234" s="22" t="n">
        <v>32</v>
      </c>
      <c r="F234" s="22" t="s">
        <v>6581</v>
      </c>
      <c r="G234" s="22" t="s">
        <v>6575</v>
      </c>
      <c r="H234" s="22" t="n">
        <v>12</v>
      </c>
      <c r="I234" s="22" t="s">
        <v>6576</v>
      </c>
      <c r="J234" s="22" t="s">
        <v>6577</v>
      </c>
      <c r="K234" s="22" t="s">
        <v>7230</v>
      </c>
      <c r="L234" s="22" t="s">
        <v>2283</v>
      </c>
      <c r="M234" s="22" t="s">
        <v>2284</v>
      </c>
      <c r="N234" s="22" t="s">
        <v>664</v>
      </c>
      <c r="O234" s="22" t="n">
        <v>55.1</v>
      </c>
      <c r="P234" s="22" t="n">
        <v>10.4</v>
      </c>
      <c r="Q234" s="22" t="s">
        <v>7231</v>
      </c>
      <c r="R234" s="22"/>
    </row>
    <row r="235" customFormat="false" ht="15" hidden="false" customHeight="false" outlineLevel="0" collapsed="false">
      <c r="A235" s="22" t="s">
        <v>7232</v>
      </c>
      <c r="B235" s="22" t="s">
        <v>198</v>
      </c>
      <c r="C235" s="22" t="s">
        <v>6562</v>
      </c>
      <c r="D235" s="22" t="s">
        <v>7188</v>
      </c>
      <c r="E235" s="22" t="n">
        <v>32</v>
      </c>
      <c r="F235" s="22" t="s">
        <v>6581</v>
      </c>
      <c r="G235" s="22" t="s">
        <v>6575</v>
      </c>
      <c r="H235" s="22" t="n">
        <v>12</v>
      </c>
      <c r="I235" s="22" t="s">
        <v>6576</v>
      </c>
      <c r="J235" s="22" t="s">
        <v>6577</v>
      </c>
      <c r="K235" s="22" t="s">
        <v>7233</v>
      </c>
      <c r="L235" s="22" t="s">
        <v>853</v>
      </c>
      <c r="M235" s="22" t="s">
        <v>854</v>
      </c>
      <c r="N235" s="22" t="s">
        <v>645</v>
      </c>
      <c r="O235" s="22" t="n">
        <v>53.2</v>
      </c>
      <c r="P235" s="22" t="n">
        <v>10.4</v>
      </c>
      <c r="Q235" s="22" t="s">
        <v>6647</v>
      </c>
      <c r="R235" s="22"/>
    </row>
    <row r="236" customFormat="false" ht="15" hidden="false" customHeight="false" outlineLevel="0" collapsed="false">
      <c r="A236" s="22" t="s">
        <v>7234</v>
      </c>
      <c r="B236" s="22" t="s">
        <v>198</v>
      </c>
      <c r="C236" s="22" t="s">
        <v>6562</v>
      </c>
      <c r="D236" s="22" t="s">
        <v>7188</v>
      </c>
      <c r="E236" s="22" t="n">
        <v>32</v>
      </c>
      <c r="F236" s="22" t="s">
        <v>6581</v>
      </c>
      <c r="G236" s="22" t="s">
        <v>6575</v>
      </c>
      <c r="H236" s="22" t="n">
        <v>12</v>
      </c>
      <c r="I236" s="22" t="s">
        <v>6576</v>
      </c>
      <c r="J236" s="22" t="s">
        <v>6613</v>
      </c>
      <c r="K236" s="22"/>
      <c r="L236" s="22"/>
      <c r="M236" s="22"/>
      <c r="N236" s="22"/>
      <c r="O236" s="22"/>
      <c r="P236" s="22" t="n">
        <v>10.4</v>
      </c>
      <c r="Q236" s="22" t="s">
        <v>6970</v>
      </c>
      <c r="R236" s="22"/>
    </row>
    <row r="237" customFormat="false" ht="15" hidden="false" customHeight="false" outlineLevel="0" collapsed="false">
      <c r="A237" s="22" t="s">
        <v>7235</v>
      </c>
      <c r="B237" s="22" t="s">
        <v>198</v>
      </c>
      <c r="C237" s="22" t="s">
        <v>6562</v>
      </c>
      <c r="D237" s="22" t="s">
        <v>7188</v>
      </c>
      <c r="E237" s="22" t="n">
        <v>32</v>
      </c>
      <c r="F237" s="22" t="s">
        <v>6581</v>
      </c>
      <c r="G237" s="22" t="s">
        <v>6575</v>
      </c>
      <c r="H237" s="22" t="n">
        <v>12</v>
      </c>
      <c r="I237" s="22" t="s">
        <v>6576</v>
      </c>
      <c r="J237" s="22" t="s">
        <v>6577</v>
      </c>
      <c r="K237" s="22" t="s">
        <v>7236</v>
      </c>
      <c r="L237" s="22" t="s">
        <v>2617</v>
      </c>
      <c r="M237" s="22" t="s">
        <v>2524</v>
      </c>
      <c r="N237" s="22" t="s">
        <v>742</v>
      </c>
      <c r="O237" s="22" t="n">
        <v>25.1</v>
      </c>
      <c r="P237" s="22" t="n">
        <v>10.4</v>
      </c>
      <c r="Q237" s="22" t="s">
        <v>7160</v>
      </c>
      <c r="R237" s="22"/>
    </row>
    <row r="238" customFormat="false" ht="15" hidden="false" customHeight="false" outlineLevel="0" collapsed="false">
      <c r="A238" s="22" t="s">
        <v>7237</v>
      </c>
      <c r="B238" s="22" t="s">
        <v>198</v>
      </c>
      <c r="C238" s="22" t="s">
        <v>6562</v>
      </c>
      <c r="D238" s="22" t="s">
        <v>7188</v>
      </c>
      <c r="E238" s="22" t="n">
        <v>24</v>
      </c>
      <c r="F238" s="22" t="s">
        <v>6574</v>
      </c>
      <c r="G238" s="22" t="s">
        <v>6575</v>
      </c>
      <c r="H238" s="22" t="n">
        <v>9</v>
      </c>
      <c r="I238" s="22" t="s">
        <v>6576</v>
      </c>
      <c r="J238" s="22" t="s">
        <v>6577</v>
      </c>
      <c r="K238" s="22" t="s">
        <v>7238</v>
      </c>
      <c r="L238" s="22" t="s">
        <v>4378</v>
      </c>
      <c r="M238" s="22" t="s">
        <v>4379</v>
      </c>
      <c r="N238" s="22" t="s">
        <v>2113</v>
      </c>
      <c r="O238" s="22" t="n">
        <v>36.2</v>
      </c>
      <c r="P238" s="22" t="n">
        <v>10.4</v>
      </c>
      <c r="Q238" s="22" t="s">
        <v>6893</v>
      </c>
      <c r="R238" s="22"/>
    </row>
    <row r="239" customFormat="false" ht="15" hidden="false" customHeight="false" outlineLevel="0" collapsed="false">
      <c r="A239" s="22" t="s">
        <v>7239</v>
      </c>
      <c r="B239" s="22" t="s">
        <v>198</v>
      </c>
      <c r="C239" s="22" t="s">
        <v>6562</v>
      </c>
      <c r="D239" s="22" t="s">
        <v>7188</v>
      </c>
      <c r="E239" s="22" t="n">
        <v>24</v>
      </c>
      <c r="F239" s="22" t="s">
        <v>6574</v>
      </c>
      <c r="G239" s="22" t="s">
        <v>6575</v>
      </c>
      <c r="H239" s="22" t="n">
        <v>9</v>
      </c>
      <c r="I239" s="22" t="s">
        <v>6576</v>
      </c>
      <c r="J239" s="22" t="s">
        <v>6577</v>
      </c>
      <c r="K239" s="22" t="s">
        <v>7240</v>
      </c>
      <c r="L239" s="22" t="s">
        <v>2214</v>
      </c>
      <c r="M239" s="22" t="s">
        <v>2215</v>
      </c>
      <c r="N239" s="22" t="s">
        <v>645</v>
      </c>
      <c r="O239" s="22" t="n">
        <v>28.7</v>
      </c>
      <c r="P239" s="22" t="n">
        <v>10.4</v>
      </c>
      <c r="Q239" s="22" t="s">
        <v>6949</v>
      </c>
      <c r="R239" s="22"/>
    </row>
    <row r="240" customFormat="false" ht="15" hidden="false" customHeight="false" outlineLevel="0" collapsed="false">
      <c r="A240" s="22" t="s">
        <v>7241</v>
      </c>
      <c r="B240" s="22" t="s">
        <v>198</v>
      </c>
      <c r="C240" s="22" t="s">
        <v>6562</v>
      </c>
      <c r="D240" s="22" t="s">
        <v>7188</v>
      </c>
      <c r="E240" s="22" t="n">
        <v>24</v>
      </c>
      <c r="F240" s="22" t="s">
        <v>6574</v>
      </c>
      <c r="G240" s="22" t="s">
        <v>6575</v>
      </c>
      <c r="H240" s="22" t="n">
        <v>9</v>
      </c>
      <c r="I240" s="22" t="s">
        <v>6576</v>
      </c>
      <c r="J240" s="22" t="s">
        <v>6577</v>
      </c>
      <c r="K240" s="22" t="s">
        <v>7242</v>
      </c>
      <c r="L240" s="22" t="s">
        <v>1165</v>
      </c>
      <c r="M240" s="22" t="s">
        <v>1166</v>
      </c>
      <c r="N240" s="22" t="s">
        <v>480</v>
      </c>
      <c r="O240" s="22" t="n">
        <v>20</v>
      </c>
      <c r="P240" s="22" t="n">
        <v>10.4</v>
      </c>
      <c r="Q240" s="22" t="s">
        <v>6830</v>
      </c>
      <c r="R240" s="22"/>
    </row>
    <row r="241" customFormat="false" ht="15" hidden="false" customHeight="false" outlineLevel="0" collapsed="false">
      <c r="A241" s="22" t="s">
        <v>7243</v>
      </c>
      <c r="B241" s="22" t="s">
        <v>198</v>
      </c>
      <c r="C241" s="22" t="s">
        <v>6562</v>
      </c>
      <c r="D241" s="22" t="s">
        <v>7188</v>
      </c>
      <c r="E241" s="22" t="n">
        <v>32</v>
      </c>
      <c r="F241" s="22" t="s">
        <v>6581</v>
      </c>
      <c r="G241" s="22" t="s">
        <v>6575</v>
      </c>
      <c r="H241" s="22" t="n">
        <v>12</v>
      </c>
      <c r="I241" s="22" t="s">
        <v>6576</v>
      </c>
      <c r="J241" s="22" t="s">
        <v>6577</v>
      </c>
      <c r="K241" s="22" t="s">
        <v>7244</v>
      </c>
      <c r="L241" s="22" t="s">
        <v>246</v>
      </c>
      <c r="M241" s="22" t="s">
        <v>247</v>
      </c>
      <c r="N241" s="22" t="s">
        <v>248</v>
      </c>
      <c r="O241" s="22" t="n">
        <v>53.7</v>
      </c>
      <c r="P241" s="22" t="n">
        <v>10.4</v>
      </c>
      <c r="Q241" s="22" t="s">
        <v>7245</v>
      </c>
      <c r="R241" s="22"/>
    </row>
    <row r="242" customFormat="false" ht="15" hidden="false" customHeight="false" outlineLevel="0" collapsed="false">
      <c r="A242" s="22" t="s">
        <v>7246</v>
      </c>
      <c r="B242" s="22" t="s">
        <v>198</v>
      </c>
      <c r="C242" s="22" t="s">
        <v>6562</v>
      </c>
      <c r="D242" s="22" t="s">
        <v>7247</v>
      </c>
      <c r="E242" s="22" t="n">
        <v>36</v>
      </c>
      <c r="F242" s="22" t="s">
        <v>6581</v>
      </c>
      <c r="G242" s="22" t="s">
        <v>6575</v>
      </c>
      <c r="H242" s="22" t="n">
        <v>13</v>
      </c>
      <c r="I242" s="22" t="s">
        <v>6582</v>
      </c>
      <c r="J242" s="22" t="s">
        <v>6901</v>
      </c>
      <c r="K242" s="22"/>
      <c r="L242" s="22"/>
      <c r="M242" s="22"/>
      <c r="N242" s="22"/>
      <c r="O242" s="22"/>
      <c r="P242" s="22" t="n">
        <v>10.4</v>
      </c>
      <c r="Q242" s="22" t="s">
        <v>7248</v>
      </c>
      <c r="R242" s="22"/>
    </row>
    <row r="243" customFormat="false" ht="15" hidden="false" customHeight="false" outlineLevel="0" collapsed="false">
      <c r="A243" s="22" t="s">
        <v>7249</v>
      </c>
      <c r="B243" s="22" t="s">
        <v>198</v>
      </c>
      <c r="C243" s="22" t="s">
        <v>6562</v>
      </c>
      <c r="D243" s="22" t="s">
        <v>7247</v>
      </c>
      <c r="E243" s="22" t="n">
        <v>28</v>
      </c>
      <c r="F243" s="22" t="s">
        <v>6574</v>
      </c>
      <c r="G243" s="22" t="s">
        <v>6575</v>
      </c>
      <c r="H243" s="22" t="n">
        <v>10</v>
      </c>
      <c r="I243" s="22" t="s">
        <v>6576</v>
      </c>
      <c r="J243" s="22" t="s">
        <v>6577</v>
      </c>
      <c r="K243" s="22" t="s">
        <v>7250</v>
      </c>
      <c r="L243" s="22" t="s">
        <v>6323</v>
      </c>
      <c r="M243" s="22" t="s">
        <v>6324</v>
      </c>
      <c r="N243" s="22" t="s">
        <v>1265</v>
      </c>
      <c r="O243" s="22" t="n">
        <v>54.9</v>
      </c>
      <c r="P243" s="22" t="n">
        <v>10.4</v>
      </c>
      <c r="Q243" s="22" t="s">
        <v>7251</v>
      </c>
      <c r="R243" s="22"/>
    </row>
    <row r="244" customFormat="false" ht="15" hidden="false" customHeight="false" outlineLevel="0" collapsed="false">
      <c r="A244" s="22" t="s">
        <v>7252</v>
      </c>
      <c r="B244" s="22" t="s">
        <v>198</v>
      </c>
      <c r="C244" s="22" t="s">
        <v>6562</v>
      </c>
      <c r="D244" s="22" t="s">
        <v>7247</v>
      </c>
      <c r="E244" s="22" t="n">
        <v>32</v>
      </c>
      <c r="F244" s="22" t="s">
        <v>6581</v>
      </c>
      <c r="G244" s="22" t="s">
        <v>6575</v>
      </c>
      <c r="H244" s="22" t="n">
        <v>12</v>
      </c>
      <c r="I244" s="22" t="s">
        <v>6576</v>
      </c>
      <c r="J244" s="22" t="s">
        <v>6577</v>
      </c>
      <c r="K244" s="22" t="s">
        <v>7253</v>
      </c>
      <c r="L244" s="22" t="s">
        <v>4970</v>
      </c>
      <c r="M244" s="22" t="s">
        <v>4971</v>
      </c>
      <c r="N244" s="22" t="s">
        <v>2928</v>
      </c>
      <c r="O244" s="22" t="n">
        <v>23.2</v>
      </c>
      <c r="P244" s="22" t="n">
        <v>10.4</v>
      </c>
      <c r="Q244" s="22" t="s">
        <v>7254</v>
      </c>
      <c r="R244" s="22"/>
    </row>
    <row r="245" customFormat="false" ht="15" hidden="false" customHeight="false" outlineLevel="0" collapsed="false">
      <c r="A245" s="22" t="s">
        <v>7255</v>
      </c>
      <c r="B245" s="22" t="s">
        <v>198</v>
      </c>
      <c r="C245" s="22" t="s">
        <v>6562</v>
      </c>
      <c r="D245" s="22" t="s">
        <v>7247</v>
      </c>
      <c r="E245" s="22" t="n">
        <v>32</v>
      </c>
      <c r="F245" s="22" t="s">
        <v>6581</v>
      </c>
      <c r="G245" s="22" t="s">
        <v>6575</v>
      </c>
      <c r="H245" s="22" t="n">
        <v>12</v>
      </c>
      <c r="I245" s="22" t="s">
        <v>6576</v>
      </c>
      <c r="J245" s="22" t="s">
        <v>6577</v>
      </c>
      <c r="K245" s="22" t="s">
        <v>7256</v>
      </c>
      <c r="L245" s="22" t="s">
        <v>4739</v>
      </c>
      <c r="M245" s="22" t="s">
        <v>4740</v>
      </c>
      <c r="N245" s="22" t="s">
        <v>576</v>
      </c>
      <c r="O245" s="22" t="n">
        <v>53.6</v>
      </c>
      <c r="P245" s="22" t="n">
        <v>10.4</v>
      </c>
      <c r="Q245" s="22" t="s">
        <v>6884</v>
      </c>
      <c r="R245" s="22"/>
    </row>
    <row r="246" customFormat="false" ht="15" hidden="false" customHeight="false" outlineLevel="0" collapsed="false">
      <c r="A246" s="22" t="s">
        <v>7257</v>
      </c>
      <c r="B246" s="22" t="s">
        <v>198</v>
      </c>
      <c r="C246" s="22" t="s">
        <v>6562</v>
      </c>
      <c r="D246" s="22" t="s">
        <v>7247</v>
      </c>
      <c r="E246" s="22" t="n">
        <v>36</v>
      </c>
      <c r="F246" s="22" t="s">
        <v>6581</v>
      </c>
      <c r="G246" s="22" t="s">
        <v>6575</v>
      </c>
      <c r="H246" s="22" t="n">
        <v>13</v>
      </c>
      <c r="I246" s="22" t="s">
        <v>6582</v>
      </c>
      <c r="J246" s="22" t="s">
        <v>6577</v>
      </c>
      <c r="K246" s="22" t="s">
        <v>7258</v>
      </c>
      <c r="L246" s="22" t="s">
        <v>2674</v>
      </c>
      <c r="M246" s="22" t="s">
        <v>2675</v>
      </c>
      <c r="N246" s="22" t="s">
        <v>570</v>
      </c>
      <c r="O246" s="22" t="n">
        <v>48.9</v>
      </c>
      <c r="P246" s="22" t="n">
        <v>10.4</v>
      </c>
      <c r="Q246" s="22" t="s">
        <v>7259</v>
      </c>
      <c r="R246" s="22"/>
    </row>
    <row r="247" customFormat="false" ht="15" hidden="false" customHeight="false" outlineLevel="0" collapsed="false">
      <c r="A247" s="22" t="s">
        <v>7260</v>
      </c>
      <c r="B247" s="22" t="s">
        <v>198</v>
      </c>
      <c r="C247" s="22" t="s">
        <v>6562</v>
      </c>
      <c r="D247" s="22" t="s">
        <v>7247</v>
      </c>
      <c r="E247" s="22" t="n">
        <v>24</v>
      </c>
      <c r="F247" s="22" t="s">
        <v>6574</v>
      </c>
      <c r="G247" s="22" t="s">
        <v>6575</v>
      </c>
      <c r="H247" s="22" t="n">
        <v>9</v>
      </c>
      <c r="I247" s="22" t="s">
        <v>6576</v>
      </c>
      <c r="J247" s="22" t="s">
        <v>6577</v>
      </c>
      <c r="K247" s="22" t="s">
        <v>7261</v>
      </c>
      <c r="L247" s="22" t="s">
        <v>1899</v>
      </c>
      <c r="M247" s="22" t="s">
        <v>1900</v>
      </c>
      <c r="N247" s="22" t="s">
        <v>221</v>
      </c>
      <c r="O247" s="22" t="n">
        <v>18.6</v>
      </c>
      <c r="P247" s="22" t="n">
        <v>10.4</v>
      </c>
      <c r="Q247" s="22" t="s">
        <v>7262</v>
      </c>
      <c r="R247" s="22"/>
    </row>
    <row r="248" customFormat="false" ht="15" hidden="false" customHeight="false" outlineLevel="0" collapsed="false">
      <c r="A248" s="22" t="s">
        <v>7263</v>
      </c>
      <c r="B248" s="22" t="s">
        <v>198</v>
      </c>
      <c r="C248" s="22" t="s">
        <v>6562</v>
      </c>
      <c r="D248" s="22" t="s">
        <v>7247</v>
      </c>
      <c r="E248" s="22" t="n">
        <v>28</v>
      </c>
      <c r="F248" s="22" t="s">
        <v>6574</v>
      </c>
      <c r="G248" s="22" t="s">
        <v>6575</v>
      </c>
      <c r="H248" s="22" t="n">
        <v>10</v>
      </c>
      <c r="I248" s="22" t="s">
        <v>6576</v>
      </c>
      <c r="J248" s="22" t="s">
        <v>6577</v>
      </c>
      <c r="K248" s="22" t="s">
        <v>7264</v>
      </c>
      <c r="L248" s="22" t="s">
        <v>6275</v>
      </c>
      <c r="M248" s="22" t="s">
        <v>6276</v>
      </c>
      <c r="N248" s="22" t="s">
        <v>1713</v>
      </c>
      <c r="O248" s="22" t="n">
        <v>47.6</v>
      </c>
      <c r="P248" s="22" t="n">
        <v>10.4</v>
      </c>
      <c r="Q248" s="22" t="s">
        <v>7265</v>
      </c>
      <c r="R248" s="22"/>
    </row>
    <row r="249" customFormat="false" ht="15" hidden="false" customHeight="false" outlineLevel="0" collapsed="false">
      <c r="A249" s="22" t="s">
        <v>7266</v>
      </c>
      <c r="B249" s="22" t="s">
        <v>198</v>
      </c>
      <c r="C249" s="22" t="s">
        <v>6562</v>
      </c>
      <c r="D249" s="22" t="s">
        <v>7247</v>
      </c>
      <c r="E249" s="22" t="n">
        <v>32</v>
      </c>
      <c r="F249" s="22" t="s">
        <v>6581</v>
      </c>
      <c r="G249" s="22" t="s">
        <v>6575</v>
      </c>
      <c r="H249" s="22" t="n">
        <v>12</v>
      </c>
      <c r="I249" s="22" t="s">
        <v>6576</v>
      </c>
      <c r="J249" s="22" t="s">
        <v>6577</v>
      </c>
      <c r="K249" s="22" t="s">
        <v>7267</v>
      </c>
      <c r="L249" s="22" t="s">
        <v>3861</v>
      </c>
      <c r="M249" s="22" t="s">
        <v>3862</v>
      </c>
      <c r="N249" s="22" t="s">
        <v>367</v>
      </c>
      <c r="O249" s="22" t="n">
        <v>30.9</v>
      </c>
      <c r="P249" s="22" t="n">
        <v>10.4</v>
      </c>
      <c r="Q249" s="22" t="s">
        <v>6804</v>
      </c>
      <c r="R249" s="22"/>
    </row>
    <row r="250" customFormat="false" ht="15" hidden="false" customHeight="false" outlineLevel="0" collapsed="false">
      <c r="A250" s="22" t="s">
        <v>7268</v>
      </c>
      <c r="B250" s="22" t="s">
        <v>198</v>
      </c>
      <c r="C250" s="22" t="s">
        <v>6562</v>
      </c>
      <c r="D250" s="22" t="s">
        <v>7247</v>
      </c>
      <c r="E250" s="22" t="n">
        <v>24</v>
      </c>
      <c r="F250" s="22" t="s">
        <v>6574</v>
      </c>
      <c r="G250" s="22" t="s">
        <v>6575</v>
      </c>
      <c r="H250" s="22" t="n">
        <v>9</v>
      </c>
      <c r="I250" s="22" t="s">
        <v>6576</v>
      </c>
      <c r="J250" s="22" t="s">
        <v>6577</v>
      </c>
      <c r="K250" s="22" t="s">
        <v>7269</v>
      </c>
      <c r="L250" s="22" t="s">
        <v>4099</v>
      </c>
      <c r="M250" s="22" t="s">
        <v>4100</v>
      </c>
      <c r="N250" s="22" t="s">
        <v>275</v>
      </c>
      <c r="O250" s="22" t="n">
        <v>29.2</v>
      </c>
      <c r="P250" s="22" t="n">
        <v>10.4</v>
      </c>
      <c r="Q250" s="22" t="s">
        <v>7270</v>
      </c>
      <c r="R250" s="22"/>
    </row>
    <row r="251" customFormat="false" ht="15" hidden="false" customHeight="false" outlineLevel="0" collapsed="false">
      <c r="A251" s="22" t="s">
        <v>7271</v>
      </c>
      <c r="B251" s="22" t="s">
        <v>198</v>
      </c>
      <c r="C251" s="22" t="s">
        <v>6562</v>
      </c>
      <c r="D251" s="22" t="s">
        <v>7247</v>
      </c>
      <c r="E251" s="22" t="n">
        <v>24</v>
      </c>
      <c r="F251" s="22" t="s">
        <v>6574</v>
      </c>
      <c r="G251" s="22" t="s">
        <v>6575</v>
      </c>
      <c r="H251" s="22" t="n">
        <v>9</v>
      </c>
      <c r="I251" s="22" t="s">
        <v>6576</v>
      </c>
      <c r="J251" s="22" t="s">
        <v>6577</v>
      </c>
      <c r="K251" s="22" t="s">
        <v>7272</v>
      </c>
      <c r="L251" s="22" t="s">
        <v>434</v>
      </c>
      <c r="M251" s="22" t="s">
        <v>435</v>
      </c>
      <c r="N251" s="22" t="s">
        <v>436</v>
      </c>
      <c r="O251" s="22" t="n">
        <v>34.1</v>
      </c>
      <c r="P251" s="22" t="n">
        <v>10.4</v>
      </c>
      <c r="Q251" s="22" t="s">
        <v>7273</v>
      </c>
      <c r="R251" s="22"/>
    </row>
    <row r="252" customFormat="false" ht="15" hidden="false" customHeight="false" outlineLevel="0" collapsed="false">
      <c r="A252" s="22" t="s">
        <v>7274</v>
      </c>
      <c r="B252" s="22" t="s">
        <v>198</v>
      </c>
      <c r="C252" s="22" t="s">
        <v>6562</v>
      </c>
      <c r="D252" s="22" t="s">
        <v>7247</v>
      </c>
      <c r="E252" s="22" t="n">
        <v>32</v>
      </c>
      <c r="F252" s="22" t="s">
        <v>6581</v>
      </c>
      <c r="G252" s="22" t="s">
        <v>6575</v>
      </c>
      <c r="H252" s="22" t="n">
        <v>12</v>
      </c>
      <c r="I252" s="22" t="s">
        <v>6576</v>
      </c>
      <c r="J252" s="22" t="s">
        <v>6577</v>
      </c>
      <c r="K252" s="22" t="s">
        <v>7275</v>
      </c>
      <c r="L252" s="22" t="s">
        <v>4252</v>
      </c>
      <c r="M252" s="22" t="s">
        <v>4253</v>
      </c>
      <c r="N252" s="22" t="s">
        <v>1484</v>
      </c>
      <c r="O252" s="22" t="n">
        <v>54.5</v>
      </c>
      <c r="P252" s="22" t="n">
        <v>10.4</v>
      </c>
      <c r="Q252" s="22" t="s">
        <v>7276</v>
      </c>
      <c r="R252" s="22"/>
    </row>
    <row r="253" customFormat="false" ht="15" hidden="false" customHeight="false" outlineLevel="0" collapsed="false">
      <c r="A253" s="22" t="s">
        <v>7277</v>
      </c>
      <c r="B253" s="22" t="s">
        <v>198</v>
      </c>
      <c r="C253" s="22" t="s">
        <v>6562</v>
      </c>
      <c r="D253" s="22" t="s">
        <v>7247</v>
      </c>
      <c r="E253" s="22" t="n">
        <v>40</v>
      </c>
      <c r="F253" s="22" t="s">
        <v>6581</v>
      </c>
      <c r="G253" s="22" t="s">
        <v>6575</v>
      </c>
      <c r="H253" s="22" t="n">
        <v>14</v>
      </c>
      <c r="I253" s="22" t="s">
        <v>6582</v>
      </c>
      <c r="J253" s="22" t="s">
        <v>6577</v>
      </c>
      <c r="K253" s="22" t="s">
        <v>7278</v>
      </c>
      <c r="L253" s="22" t="s">
        <v>6152</v>
      </c>
      <c r="M253" s="22" t="s">
        <v>6153</v>
      </c>
      <c r="N253" s="22" t="s">
        <v>2896</v>
      </c>
      <c r="O253" s="22" t="n">
        <v>34.5</v>
      </c>
      <c r="P253" s="22" t="n">
        <v>10.4</v>
      </c>
      <c r="Q253" s="22" t="s">
        <v>7279</v>
      </c>
      <c r="R253" s="22"/>
    </row>
    <row r="254" customFormat="false" ht="15" hidden="false" customHeight="false" outlineLevel="0" collapsed="false">
      <c r="A254" s="22" t="s">
        <v>7280</v>
      </c>
      <c r="B254" s="22" t="s">
        <v>198</v>
      </c>
      <c r="C254" s="22" t="s">
        <v>6562</v>
      </c>
      <c r="D254" s="22" t="s">
        <v>7247</v>
      </c>
      <c r="E254" s="22" t="n">
        <v>24</v>
      </c>
      <c r="F254" s="22" t="s">
        <v>6574</v>
      </c>
      <c r="G254" s="22" t="s">
        <v>6575</v>
      </c>
      <c r="H254" s="22" t="n">
        <v>9</v>
      </c>
      <c r="I254" s="22" t="s">
        <v>6576</v>
      </c>
      <c r="J254" s="22" t="s">
        <v>6577</v>
      </c>
      <c r="K254" s="22" t="s">
        <v>7281</v>
      </c>
      <c r="L254" s="22" t="s">
        <v>2704</v>
      </c>
      <c r="M254" s="22" t="s">
        <v>2705</v>
      </c>
      <c r="N254" s="22" t="s">
        <v>1294</v>
      </c>
      <c r="O254" s="22" t="n">
        <v>18</v>
      </c>
      <c r="P254" s="22" t="n">
        <v>10.4</v>
      </c>
      <c r="Q254" s="22" t="s">
        <v>7282</v>
      </c>
      <c r="R254" s="22"/>
    </row>
    <row r="255" customFormat="false" ht="15" hidden="false" customHeight="false" outlineLevel="0" collapsed="false">
      <c r="A255" s="22" t="s">
        <v>7283</v>
      </c>
      <c r="B255" s="22" t="s">
        <v>198</v>
      </c>
      <c r="C255" s="22" t="s">
        <v>6562</v>
      </c>
      <c r="D255" s="22" t="s">
        <v>7247</v>
      </c>
      <c r="E255" s="22" t="n">
        <v>32</v>
      </c>
      <c r="F255" s="22" t="s">
        <v>6581</v>
      </c>
      <c r="G255" s="22" t="s">
        <v>6575</v>
      </c>
      <c r="H255" s="22" t="n">
        <v>12</v>
      </c>
      <c r="I255" s="22" t="s">
        <v>6576</v>
      </c>
      <c r="J255" s="22" t="s">
        <v>6577</v>
      </c>
      <c r="K255" s="22" t="s">
        <v>7284</v>
      </c>
      <c r="L255" s="22" t="s">
        <v>1925</v>
      </c>
      <c r="M255" s="22" t="s">
        <v>1926</v>
      </c>
      <c r="N255" s="22" t="s">
        <v>492</v>
      </c>
      <c r="O255" s="22" t="n">
        <v>21.4</v>
      </c>
      <c r="P255" s="22" t="n">
        <v>10.4</v>
      </c>
      <c r="Q255" s="22" t="s">
        <v>7285</v>
      </c>
      <c r="R255" s="22"/>
    </row>
    <row r="256" customFormat="false" ht="15" hidden="false" customHeight="false" outlineLevel="0" collapsed="false">
      <c r="A256" s="22" t="s">
        <v>7286</v>
      </c>
      <c r="B256" s="22" t="s">
        <v>198</v>
      </c>
      <c r="C256" s="22" t="s">
        <v>6562</v>
      </c>
      <c r="D256" s="22" t="s">
        <v>7247</v>
      </c>
      <c r="E256" s="22" t="n">
        <v>28</v>
      </c>
      <c r="F256" s="22" t="s">
        <v>6574</v>
      </c>
      <c r="G256" s="22" t="s">
        <v>6575</v>
      </c>
      <c r="H256" s="22" t="n">
        <v>10</v>
      </c>
      <c r="I256" s="22" t="s">
        <v>6576</v>
      </c>
      <c r="J256" s="22" t="s">
        <v>6577</v>
      </c>
      <c r="K256" s="22" t="s">
        <v>7287</v>
      </c>
      <c r="L256" s="22" t="s">
        <v>4306</v>
      </c>
      <c r="M256" s="22" t="s">
        <v>4307</v>
      </c>
      <c r="N256" s="22" t="s">
        <v>3174</v>
      </c>
      <c r="O256" s="22" t="n">
        <v>58.7</v>
      </c>
      <c r="P256" s="22" t="n">
        <v>10.4</v>
      </c>
      <c r="Q256" s="22" t="s">
        <v>7288</v>
      </c>
      <c r="R256" s="22"/>
    </row>
    <row r="257" customFormat="false" ht="15" hidden="false" customHeight="false" outlineLevel="0" collapsed="false">
      <c r="A257" s="22" t="s">
        <v>7289</v>
      </c>
      <c r="B257" s="22" t="s">
        <v>198</v>
      </c>
      <c r="C257" s="22" t="s">
        <v>6562</v>
      </c>
      <c r="D257" s="22" t="s">
        <v>7247</v>
      </c>
      <c r="E257" s="22" t="n">
        <v>28</v>
      </c>
      <c r="F257" s="22" t="s">
        <v>6574</v>
      </c>
      <c r="G257" s="22" t="s">
        <v>6575</v>
      </c>
      <c r="H257" s="22" t="n">
        <v>10</v>
      </c>
      <c r="I257" s="22" t="s">
        <v>6576</v>
      </c>
      <c r="J257" s="22" t="s">
        <v>6577</v>
      </c>
      <c r="K257" s="22" t="s">
        <v>7290</v>
      </c>
      <c r="L257" s="22" t="s">
        <v>5645</v>
      </c>
      <c r="M257" s="22" t="s">
        <v>5646</v>
      </c>
      <c r="N257" s="22" t="s">
        <v>1198</v>
      </c>
      <c r="O257" s="22" t="n">
        <v>36.8</v>
      </c>
      <c r="P257" s="22" t="n">
        <v>10.4</v>
      </c>
      <c r="Q257" s="22" t="s">
        <v>7291</v>
      </c>
      <c r="R257" s="22"/>
    </row>
    <row r="258" customFormat="false" ht="15" hidden="false" customHeight="false" outlineLevel="0" collapsed="false">
      <c r="A258" s="22" t="s">
        <v>7292</v>
      </c>
      <c r="B258" s="22" t="s">
        <v>198</v>
      </c>
      <c r="C258" s="22" t="s">
        <v>6562</v>
      </c>
      <c r="D258" s="22" t="s">
        <v>7247</v>
      </c>
      <c r="E258" s="22" t="n">
        <v>24</v>
      </c>
      <c r="F258" s="22" t="s">
        <v>6574</v>
      </c>
      <c r="G258" s="22" t="s">
        <v>6575</v>
      </c>
      <c r="H258" s="22" t="n">
        <v>9</v>
      </c>
      <c r="I258" s="22" t="s">
        <v>6576</v>
      </c>
      <c r="J258" s="22" t="s">
        <v>6577</v>
      </c>
      <c r="K258" s="22" t="s">
        <v>7293</v>
      </c>
      <c r="L258" s="22" t="s">
        <v>2515</v>
      </c>
      <c r="M258" s="22" t="s">
        <v>2516</v>
      </c>
      <c r="N258" s="22" t="s">
        <v>1786</v>
      </c>
      <c r="O258" s="22" t="n">
        <v>62</v>
      </c>
      <c r="P258" s="22" t="n">
        <v>10.4</v>
      </c>
      <c r="Q258" s="22" t="s">
        <v>7294</v>
      </c>
      <c r="R258" s="22"/>
    </row>
    <row r="259" customFormat="false" ht="15" hidden="false" customHeight="false" outlineLevel="0" collapsed="false">
      <c r="A259" s="22" t="s">
        <v>7295</v>
      </c>
      <c r="B259" s="22" t="s">
        <v>198</v>
      </c>
      <c r="C259" s="22" t="s">
        <v>6562</v>
      </c>
      <c r="D259" s="22" t="s">
        <v>7247</v>
      </c>
      <c r="E259" s="22" t="n">
        <v>24</v>
      </c>
      <c r="F259" s="22" t="s">
        <v>6574</v>
      </c>
      <c r="G259" s="22" t="s">
        <v>6575</v>
      </c>
      <c r="H259" s="22" t="n">
        <v>9</v>
      </c>
      <c r="I259" s="22" t="s">
        <v>6576</v>
      </c>
      <c r="J259" s="22" t="s">
        <v>6577</v>
      </c>
      <c r="K259" s="22" t="s">
        <v>7296</v>
      </c>
      <c r="L259" s="22" t="s">
        <v>3687</v>
      </c>
      <c r="M259" s="22" t="s">
        <v>3688</v>
      </c>
      <c r="N259" s="22" t="s">
        <v>2896</v>
      </c>
      <c r="O259" s="22" t="n">
        <v>59.8</v>
      </c>
      <c r="P259" s="22" t="n">
        <v>10.4</v>
      </c>
      <c r="Q259" s="22" t="s">
        <v>7297</v>
      </c>
      <c r="R259" s="22"/>
    </row>
    <row r="260" customFormat="false" ht="15" hidden="false" customHeight="false" outlineLevel="0" collapsed="false">
      <c r="A260" s="22" t="s">
        <v>7298</v>
      </c>
      <c r="B260" s="22" t="s">
        <v>198</v>
      </c>
      <c r="C260" s="22" t="s">
        <v>6562</v>
      </c>
      <c r="D260" s="22" t="s">
        <v>7247</v>
      </c>
      <c r="E260" s="22" t="n">
        <v>32</v>
      </c>
      <c r="F260" s="22" t="s">
        <v>6581</v>
      </c>
      <c r="G260" s="22" t="s">
        <v>6575</v>
      </c>
      <c r="H260" s="22" t="n">
        <v>12</v>
      </c>
      <c r="I260" s="22" t="s">
        <v>6576</v>
      </c>
      <c r="J260" s="22" t="s">
        <v>6577</v>
      </c>
      <c r="K260" s="22" t="s">
        <v>7299</v>
      </c>
      <c r="L260" s="22" t="s">
        <v>5243</v>
      </c>
      <c r="M260" s="22" t="s">
        <v>5244</v>
      </c>
      <c r="N260" s="22" t="s">
        <v>1428</v>
      </c>
      <c r="O260" s="22" t="n">
        <v>41.3</v>
      </c>
      <c r="P260" s="22" t="n">
        <v>10.4</v>
      </c>
      <c r="Q260" s="22" t="s">
        <v>7300</v>
      </c>
      <c r="R260" s="22"/>
    </row>
    <row r="261" customFormat="false" ht="15" hidden="false" customHeight="false" outlineLevel="0" collapsed="false">
      <c r="A261" s="22" t="s">
        <v>7301</v>
      </c>
      <c r="B261" s="22" t="s">
        <v>198</v>
      </c>
      <c r="C261" s="22" t="s">
        <v>6562</v>
      </c>
      <c r="D261" s="22" t="s">
        <v>7247</v>
      </c>
      <c r="E261" s="22" t="n">
        <v>32</v>
      </c>
      <c r="F261" s="22" t="s">
        <v>6581</v>
      </c>
      <c r="G261" s="22" t="s">
        <v>6575</v>
      </c>
      <c r="H261" s="22" t="n">
        <v>12</v>
      </c>
      <c r="I261" s="22" t="s">
        <v>6576</v>
      </c>
      <c r="J261" s="22" t="s">
        <v>6577</v>
      </c>
      <c r="K261" s="22" t="s">
        <v>7302</v>
      </c>
      <c r="L261" s="22" t="s">
        <v>225</v>
      </c>
      <c r="M261" s="22" t="s">
        <v>226</v>
      </c>
      <c r="N261" s="22" t="s">
        <v>227</v>
      </c>
      <c r="O261" s="22" t="n">
        <v>24.1</v>
      </c>
      <c r="P261" s="22" t="n">
        <v>10.4</v>
      </c>
      <c r="Q261" s="22" t="s">
        <v>6759</v>
      </c>
      <c r="R261" s="22"/>
    </row>
    <row r="262" customFormat="false" ht="15" hidden="false" customHeight="false" outlineLevel="0" collapsed="false">
      <c r="A262" s="22" t="s">
        <v>7303</v>
      </c>
      <c r="B262" s="22" t="s">
        <v>159</v>
      </c>
      <c r="C262" s="22" t="s">
        <v>6562</v>
      </c>
      <c r="D262" s="22" t="s">
        <v>6573</v>
      </c>
      <c r="E262" s="22" t="n">
        <v>36</v>
      </c>
      <c r="F262" s="22" t="s">
        <v>6581</v>
      </c>
      <c r="G262" s="22" t="s">
        <v>6575</v>
      </c>
      <c r="H262" s="22" t="n">
        <v>13</v>
      </c>
      <c r="I262" s="22" t="s">
        <v>6582</v>
      </c>
      <c r="J262" s="22" t="s">
        <v>6577</v>
      </c>
      <c r="K262" s="22" t="s">
        <v>6578</v>
      </c>
      <c r="L262" s="22" t="s">
        <v>5584</v>
      </c>
      <c r="M262" s="22" t="s">
        <v>5585</v>
      </c>
      <c r="N262" s="22" t="s">
        <v>346</v>
      </c>
      <c r="O262" s="22" t="n">
        <v>61</v>
      </c>
      <c r="P262" s="22" t="n">
        <v>10.4</v>
      </c>
      <c r="Q262" s="22" t="s">
        <v>6982</v>
      </c>
      <c r="R262" s="22"/>
    </row>
    <row r="263" customFormat="false" ht="15" hidden="false" customHeight="false" outlineLevel="0" collapsed="false">
      <c r="A263" s="22" t="s">
        <v>7304</v>
      </c>
      <c r="B263" s="22" t="s">
        <v>159</v>
      </c>
      <c r="C263" s="22" t="s">
        <v>6562</v>
      </c>
      <c r="D263" s="22" t="s">
        <v>6573</v>
      </c>
      <c r="E263" s="22" t="n">
        <v>24</v>
      </c>
      <c r="F263" s="22" t="s">
        <v>6574</v>
      </c>
      <c r="G263" s="22" t="s">
        <v>6575</v>
      </c>
      <c r="H263" s="22" t="n">
        <v>9</v>
      </c>
      <c r="I263" s="22" t="s">
        <v>6576</v>
      </c>
      <c r="J263" s="22" t="s">
        <v>6577</v>
      </c>
      <c r="K263" s="22" t="s">
        <v>6583</v>
      </c>
      <c r="L263" s="22" t="s">
        <v>5449</v>
      </c>
      <c r="M263" s="22" t="s">
        <v>5450</v>
      </c>
      <c r="N263" s="22" t="s">
        <v>986</v>
      </c>
      <c r="O263" s="22" t="n">
        <v>33.2</v>
      </c>
      <c r="P263" s="22" t="n">
        <v>10.4</v>
      </c>
      <c r="Q263" s="22" t="s">
        <v>7018</v>
      </c>
      <c r="R263" s="22"/>
    </row>
    <row r="264" customFormat="false" ht="15" hidden="false" customHeight="false" outlineLevel="0" collapsed="false">
      <c r="A264" s="22" t="s">
        <v>7305</v>
      </c>
      <c r="B264" s="22" t="s">
        <v>159</v>
      </c>
      <c r="C264" s="22" t="s">
        <v>6562</v>
      </c>
      <c r="D264" s="22" t="s">
        <v>6573</v>
      </c>
      <c r="E264" s="22" t="n">
        <v>24</v>
      </c>
      <c r="F264" s="22" t="s">
        <v>6574</v>
      </c>
      <c r="G264" s="22" t="s">
        <v>6575</v>
      </c>
      <c r="H264" s="22" t="n">
        <v>9</v>
      </c>
      <c r="I264" s="22" t="s">
        <v>6576</v>
      </c>
      <c r="J264" s="22" t="s">
        <v>6577</v>
      </c>
      <c r="K264" s="22" t="s">
        <v>6586</v>
      </c>
      <c r="L264" s="22" t="s">
        <v>5040</v>
      </c>
      <c r="M264" s="22" t="s">
        <v>5041</v>
      </c>
      <c r="N264" s="22" t="s">
        <v>1011</v>
      </c>
      <c r="O264" s="22" t="n">
        <v>38.9</v>
      </c>
      <c r="P264" s="22" t="n">
        <v>10.4</v>
      </c>
      <c r="Q264" s="22" t="s">
        <v>7306</v>
      </c>
      <c r="R264" s="22"/>
    </row>
    <row r="265" customFormat="false" ht="15" hidden="false" customHeight="false" outlineLevel="0" collapsed="false">
      <c r="A265" s="22" t="s">
        <v>7307</v>
      </c>
      <c r="B265" s="22" t="s">
        <v>159</v>
      </c>
      <c r="C265" s="22" t="s">
        <v>6562</v>
      </c>
      <c r="D265" s="22" t="s">
        <v>6573</v>
      </c>
      <c r="E265" s="22" t="n">
        <v>24</v>
      </c>
      <c r="F265" s="22" t="s">
        <v>6574</v>
      </c>
      <c r="G265" s="22" t="s">
        <v>6575</v>
      </c>
      <c r="H265" s="22" t="n">
        <v>9</v>
      </c>
      <c r="I265" s="22" t="s">
        <v>6576</v>
      </c>
      <c r="J265" s="22" t="s">
        <v>6901</v>
      </c>
      <c r="K265" s="22"/>
      <c r="L265" s="22"/>
      <c r="M265" s="22"/>
      <c r="N265" s="22"/>
      <c r="O265" s="22"/>
      <c r="P265" s="22" t="n">
        <v>10.4</v>
      </c>
      <c r="Q265" s="22" t="s">
        <v>7308</v>
      </c>
      <c r="R265" s="22"/>
    </row>
    <row r="266" customFormat="false" ht="15" hidden="false" customHeight="false" outlineLevel="0" collapsed="false">
      <c r="A266" s="22" t="s">
        <v>7309</v>
      </c>
      <c r="B266" s="22" t="s">
        <v>159</v>
      </c>
      <c r="C266" s="22" t="s">
        <v>6562</v>
      </c>
      <c r="D266" s="22" t="s">
        <v>6573</v>
      </c>
      <c r="E266" s="22" t="n">
        <v>40</v>
      </c>
      <c r="F266" s="22" t="s">
        <v>6581</v>
      </c>
      <c r="G266" s="22" t="s">
        <v>6575</v>
      </c>
      <c r="H266" s="22" t="n">
        <v>14</v>
      </c>
      <c r="I266" s="22" t="s">
        <v>6582</v>
      </c>
      <c r="J266" s="22" t="s">
        <v>6577</v>
      </c>
      <c r="K266" s="22" t="s">
        <v>6592</v>
      </c>
      <c r="L266" s="22" t="s">
        <v>6420</v>
      </c>
      <c r="M266" s="22" t="s">
        <v>6421</v>
      </c>
      <c r="N266" s="22" t="s">
        <v>1499</v>
      </c>
      <c r="O266" s="22" t="n">
        <v>53.9</v>
      </c>
      <c r="P266" s="22" t="n">
        <v>10.4</v>
      </c>
      <c r="Q266" s="22" t="s">
        <v>7310</v>
      </c>
      <c r="R266" s="22"/>
    </row>
    <row r="267" customFormat="false" ht="15" hidden="false" customHeight="false" outlineLevel="0" collapsed="false">
      <c r="A267" s="22" t="s">
        <v>7311</v>
      </c>
      <c r="B267" s="22" t="s">
        <v>159</v>
      </c>
      <c r="C267" s="22" t="s">
        <v>6562</v>
      </c>
      <c r="D267" s="22" t="s">
        <v>6573</v>
      </c>
      <c r="E267" s="22" t="n">
        <v>24</v>
      </c>
      <c r="F267" s="22" t="s">
        <v>6574</v>
      </c>
      <c r="G267" s="22" t="s">
        <v>6575</v>
      </c>
      <c r="H267" s="22" t="n">
        <v>9</v>
      </c>
      <c r="I267" s="22" t="s">
        <v>6576</v>
      </c>
      <c r="J267" s="22" t="s">
        <v>6577</v>
      </c>
      <c r="K267" s="22" t="s">
        <v>6595</v>
      </c>
      <c r="L267" s="22" t="s">
        <v>874</v>
      </c>
      <c r="M267" s="22" t="s">
        <v>875</v>
      </c>
      <c r="N267" s="22" t="s">
        <v>519</v>
      </c>
      <c r="O267" s="22" t="n">
        <v>48.2</v>
      </c>
      <c r="P267" s="22" t="n">
        <v>10.4</v>
      </c>
      <c r="Q267" s="22" t="s">
        <v>7206</v>
      </c>
      <c r="R267" s="22"/>
    </row>
    <row r="268" customFormat="false" ht="15" hidden="false" customHeight="false" outlineLevel="0" collapsed="false">
      <c r="A268" s="22" t="s">
        <v>7312</v>
      </c>
      <c r="B268" s="22" t="s">
        <v>159</v>
      </c>
      <c r="C268" s="22" t="s">
        <v>6562</v>
      </c>
      <c r="D268" s="22" t="s">
        <v>6573</v>
      </c>
      <c r="E268" s="22" t="n">
        <v>24</v>
      </c>
      <c r="F268" s="22" t="s">
        <v>6574</v>
      </c>
      <c r="G268" s="22" t="s">
        <v>6575</v>
      </c>
      <c r="H268" s="22" t="n">
        <v>9</v>
      </c>
      <c r="I268" s="22" t="s">
        <v>6576</v>
      </c>
      <c r="J268" s="22" t="s">
        <v>6577</v>
      </c>
      <c r="K268" s="22" t="s">
        <v>6598</v>
      </c>
      <c r="L268" s="22" t="s">
        <v>4414</v>
      </c>
      <c r="M268" s="22" t="s">
        <v>4415</v>
      </c>
      <c r="N268" s="22" t="s">
        <v>1210</v>
      </c>
      <c r="O268" s="22" t="n">
        <v>35.5</v>
      </c>
      <c r="P268" s="22" t="n">
        <v>10.4</v>
      </c>
      <c r="Q268" s="22" t="s">
        <v>7313</v>
      </c>
      <c r="R268" s="22"/>
    </row>
    <row r="269" customFormat="false" ht="15" hidden="false" customHeight="false" outlineLevel="0" collapsed="false">
      <c r="A269" s="22" t="s">
        <v>7314</v>
      </c>
      <c r="B269" s="22" t="s">
        <v>159</v>
      </c>
      <c r="C269" s="22" t="s">
        <v>6562</v>
      </c>
      <c r="D269" s="22" t="s">
        <v>6573</v>
      </c>
      <c r="E269" s="22" t="n">
        <v>32</v>
      </c>
      <c r="F269" s="22" t="s">
        <v>6581</v>
      </c>
      <c r="G269" s="22" t="s">
        <v>6575</v>
      </c>
      <c r="H269" s="22" t="n">
        <v>12</v>
      </c>
      <c r="I269" s="22" t="s">
        <v>6576</v>
      </c>
      <c r="J269" s="22" t="s">
        <v>6577</v>
      </c>
      <c r="K269" s="22" t="s">
        <v>6601</v>
      </c>
      <c r="L269" s="22" t="s">
        <v>6488</v>
      </c>
      <c r="M269" s="22" t="s">
        <v>6489</v>
      </c>
      <c r="N269" s="22" t="s">
        <v>2034</v>
      </c>
      <c r="O269" s="22" t="n">
        <v>29.7</v>
      </c>
      <c r="P269" s="22" t="n">
        <v>10.4</v>
      </c>
      <c r="Q269" s="22" t="s">
        <v>7315</v>
      </c>
      <c r="R269" s="22"/>
    </row>
    <row r="270" customFormat="false" ht="15" hidden="false" customHeight="false" outlineLevel="0" collapsed="false">
      <c r="A270" s="22" t="s">
        <v>7316</v>
      </c>
      <c r="B270" s="22" t="s">
        <v>159</v>
      </c>
      <c r="C270" s="22" t="s">
        <v>6562</v>
      </c>
      <c r="D270" s="22" t="s">
        <v>6573</v>
      </c>
      <c r="E270" s="22" t="n">
        <v>28</v>
      </c>
      <c r="F270" s="22" t="s">
        <v>6574</v>
      </c>
      <c r="G270" s="22" t="s">
        <v>6575</v>
      </c>
      <c r="H270" s="22" t="n">
        <v>10</v>
      </c>
      <c r="I270" s="22" t="s">
        <v>6576</v>
      </c>
      <c r="J270" s="22" t="s">
        <v>6577</v>
      </c>
      <c r="K270" s="22" t="s">
        <v>6604</v>
      </c>
      <c r="L270" s="22" t="s">
        <v>3813</v>
      </c>
      <c r="M270" s="22" t="s">
        <v>3814</v>
      </c>
      <c r="N270" s="22" t="s">
        <v>1060</v>
      </c>
      <c r="O270" s="22" t="n">
        <v>30.9</v>
      </c>
      <c r="P270" s="22" t="n">
        <v>10.4</v>
      </c>
      <c r="Q270" s="22" t="s">
        <v>7317</v>
      </c>
      <c r="R270" s="22"/>
    </row>
    <row r="271" customFormat="false" ht="15" hidden="false" customHeight="false" outlineLevel="0" collapsed="false">
      <c r="A271" s="22" t="s">
        <v>7318</v>
      </c>
      <c r="B271" s="22" t="s">
        <v>159</v>
      </c>
      <c r="C271" s="22" t="s">
        <v>6562</v>
      </c>
      <c r="D271" s="22" t="s">
        <v>6573</v>
      </c>
      <c r="E271" s="22" t="n">
        <v>24</v>
      </c>
      <c r="F271" s="22" t="s">
        <v>6574</v>
      </c>
      <c r="G271" s="22" t="s">
        <v>6575</v>
      </c>
      <c r="H271" s="22" t="n">
        <v>9</v>
      </c>
      <c r="I271" s="22" t="s">
        <v>6576</v>
      </c>
      <c r="J271" s="22" t="s">
        <v>6577</v>
      </c>
      <c r="K271" s="22" t="s">
        <v>6607</v>
      </c>
      <c r="L271" s="22" t="s">
        <v>2408</v>
      </c>
      <c r="M271" s="22" t="s">
        <v>2409</v>
      </c>
      <c r="N271" s="22" t="s">
        <v>1774</v>
      </c>
      <c r="O271" s="22" t="n">
        <v>52</v>
      </c>
      <c r="P271" s="22" t="n">
        <v>10.4</v>
      </c>
      <c r="Q271" s="22" t="s">
        <v>7319</v>
      </c>
      <c r="R271" s="22"/>
    </row>
    <row r="272" customFormat="false" ht="15" hidden="false" customHeight="false" outlineLevel="0" collapsed="false">
      <c r="A272" s="22" t="s">
        <v>7320</v>
      </c>
      <c r="B272" s="22" t="s">
        <v>159</v>
      </c>
      <c r="C272" s="22" t="s">
        <v>6562</v>
      </c>
      <c r="D272" s="22" t="s">
        <v>6573</v>
      </c>
      <c r="E272" s="22" t="n">
        <v>32</v>
      </c>
      <c r="F272" s="22" t="s">
        <v>6581</v>
      </c>
      <c r="G272" s="22" t="s">
        <v>6575</v>
      </c>
      <c r="H272" s="22" t="n">
        <v>12</v>
      </c>
      <c r="I272" s="22" t="s">
        <v>6576</v>
      </c>
      <c r="J272" s="22" t="s">
        <v>6577</v>
      </c>
      <c r="K272" s="22" t="s">
        <v>6610</v>
      </c>
      <c r="L272" s="22" t="s">
        <v>6017</v>
      </c>
      <c r="M272" s="22" t="s">
        <v>6018</v>
      </c>
      <c r="N272" s="22" t="s">
        <v>986</v>
      </c>
      <c r="O272" s="22" t="n">
        <v>39</v>
      </c>
      <c r="P272" s="22" t="n">
        <v>10.4</v>
      </c>
      <c r="Q272" s="22" t="s">
        <v>6839</v>
      </c>
      <c r="R272" s="22"/>
    </row>
    <row r="273" customFormat="false" ht="15" hidden="false" customHeight="false" outlineLevel="0" collapsed="false">
      <c r="A273" s="22" t="s">
        <v>7321</v>
      </c>
      <c r="B273" s="22" t="s">
        <v>159</v>
      </c>
      <c r="C273" s="22" t="s">
        <v>6562</v>
      </c>
      <c r="D273" s="22" t="s">
        <v>6573</v>
      </c>
      <c r="E273" s="22" t="n">
        <v>36</v>
      </c>
      <c r="F273" s="22" t="s">
        <v>6581</v>
      </c>
      <c r="G273" s="22" t="s">
        <v>6575</v>
      </c>
      <c r="H273" s="22" t="n">
        <v>13</v>
      </c>
      <c r="I273" s="22" t="s">
        <v>6582</v>
      </c>
      <c r="J273" s="22" t="s">
        <v>6577</v>
      </c>
      <c r="K273" s="22" t="s">
        <v>7322</v>
      </c>
      <c r="L273" s="22" t="s">
        <v>726</v>
      </c>
      <c r="M273" s="22" t="s">
        <v>727</v>
      </c>
      <c r="N273" s="22" t="s">
        <v>728</v>
      </c>
      <c r="O273" s="22" t="n">
        <v>53</v>
      </c>
      <c r="P273" s="22" t="n">
        <v>10.4</v>
      </c>
      <c r="Q273" s="22" t="s">
        <v>7279</v>
      </c>
      <c r="R273" s="22"/>
    </row>
    <row r="274" customFormat="false" ht="15" hidden="false" customHeight="false" outlineLevel="0" collapsed="false">
      <c r="A274" s="22" t="s">
        <v>7323</v>
      </c>
      <c r="B274" s="22" t="s">
        <v>159</v>
      </c>
      <c r="C274" s="22" t="s">
        <v>6562</v>
      </c>
      <c r="D274" s="22" t="s">
        <v>6573</v>
      </c>
      <c r="E274" s="22" t="n">
        <v>28</v>
      </c>
      <c r="F274" s="22" t="s">
        <v>6574</v>
      </c>
      <c r="G274" s="22" t="s">
        <v>6575</v>
      </c>
      <c r="H274" s="22" t="n">
        <v>10</v>
      </c>
      <c r="I274" s="22" t="s">
        <v>6576</v>
      </c>
      <c r="J274" s="22" t="s">
        <v>6577</v>
      </c>
      <c r="K274" s="22" t="s">
        <v>6616</v>
      </c>
      <c r="L274" s="22" t="s">
        <v>1734</v>
      </c>
      <c r="M274" s="22" t="s">
        <v>1735</v>
      </c>
      <c r="N274" s="22" t="s">
        <v>1736</v>
      </c>
      <c r="O274" s="22" t="n">
        <v>24.8</v>
      </c>
      <c r="P274" s="22" t="n">
        <v>10.4</v>
      </c>
      <c r="Q274" s="22" t="s">
        <v>7324</v>
      </c>
      <c r="R274" s="22"/>
    </row>
    <row r="275" customFormat="false" ht="15" hidden="false" customHeight="false" outlineLevel="0" collapsed="false">
      <c r="A275" s="22" t="s">
        <v>7325</v>
      </c>
      <c r="B275" s="22" t="s">
        <v>159</v>
      </c>
      <c r="C275" s="22" t="s">
        <v>6562</v>
      </c>
      <c r="D275" s="22" t="s">
        <v>6573</v>
      </c>
      <c r="E275" s="22" t="n">
        <v>28</v>
      </c>
      <c r="F275" s="22" t="s">
        <v>6574</v>
      </c>
      <c r="G275" s="22" t="s">
        <v>6575</v>
      </c>
      <c r="H275" s="22" t="n">
        <v>10</v>
      </c>
      <c r="I275" s="22" t="s">
        <v>6576</v>
      </c>
      <c r="J275" s="22" t="s">
        <v>6577</v>
      </c>
      <c r="K275" s="22" t="s">
        <v>6619</v>
      </c>
      <c r="L275" s="22" t="s">
        <v>2984</v>
      </c>
      <c r="M275" s="22" t="s">
        <v>2985</v>
      </c>
      <c r="N275" s="22" t="s">
        <v>318</v>
      </c>
      <c r="O275" s="22" t="n">
        <v>40.2</v>
      </c>
      <c r="P275" s="22" t="n">
        <v>10.4</v>
      </c>
      <c r="Q275" s="22" t="s">
        <v>7326</v>
      </c>
      <c r="R275" s="22"/>
    </row>
    <row r="276" customFormat="false" ht="15" hidden="false" customHeight="false" outlineLevel="0" collapsed="false">
      <c r="A276" s="22" t="s">
        <v>7327</v>
      </c>
      <c r="B276" s="22" t="s">
        <v>159</v>
      </c>
      <c r="C276" s="22" t="s">
        <v>6562</v>
      </c>
      <c r="D276" s="22" t="s">
        <v>6573</v>
      </c>
      <c r="E276" s="22" t="n">
        <v>24</v>
      </c>
      <c r="F276" s="22" t="s">
        <v>6574</v>
      </c>
      <c r="G276" s="22" t="s">
        <v>6575</v>
      </c>
      <c r="H276" s="22" t="n">
        <v>9</v>
      </c>
      <c r="I276" s="22" t="s">
        <v>6576</v>
      </c>
      <c r="J276" s="22" t="s">
        <v>6577</v>
      </c>
      <c r="K276" s="22" t="s">
        <v>6622</v>
      </c>
      <c r="L276" s="22" t="s">
        <v>6429</v>
      </c>
      <c r="M276" s="22" t="s">
        <v>6430</v>
      </c>
      <c r="N276" s="22" t="s">
        <v>327</v>
      </c>
      <c r="O276" s="22" t="n">
        <v>32</v>
      </c>
      <c r="P276" s="22" t="n">
        <v>10.4</v>
      </c>
      <c r="Q276" s="22" t="s">
        <v>7328</v>
      </c>
      <c r="R276" s="22"/>
    </row>
    <row r="277" customFormat="false" ht="15" hidden="false" customHeight="false" outlineLevel="0" collapsed="false">
      <c r="A277" s="22" t="s">
        <v>7329</v>
      </c>
      <c r="B277" s="22" t="s">
        <v>159</v>
      </c>
      <c r="C277" s="22" t="s">
        <v>6562</v>
      </c>
      <c r="D277" s="22" t="s">
        <v>6573</v>
      </c>
      <c r="E277" s="22" t="n">
        <v>36</v>
      </c>
      <c r="F277" s="22" t="s">
        <v>6581</v>
      </c>
      <c r="G277" s="22" t="s">
        <v>6575</v>
      </c>
      <c r="H277" s="22" t="n">
        <v>13</v>
      </c>
      <c r="I277" s="22" t="s">
        <v>6582</v>
      </c>
      <c r="J277" s="22" t="s">
        <v>6577</v>
      </c>
      <c r="K277" s="22" t="s">
        <v>6625</v>
      </c>
      <c r="L277" s="22" t="s">
        <v>5590</v>
      </c>
      <c r="M277" s="22" t="s">
        <v>5591</v>
      </c>
      <c r="N277" s="22" t="s">
        <v>1130</v>
      </c>
      <c r="O277" s="22" t="n">
        <v>54.6</v>
      </c>
      <c r="P277" s="22" t="n">
        <v>10.4</v>
      </c>
      <c r="Q277" s="22" t="s">
        <v>7330</v>
      </c>
      <c r="R277" s="22"/>
    </row>
    <row r="278" customFormat="false" ht="15" hidden="false" customHeight="false" outlineLevel="0" collapsed="false">
      <c r="A278" s="22" t="s">
        <v>7331</v>
      </c>
      <c r="B278" s="22" t="s">
        <v>159</v>
      </c>
      <c r="C278" s="22" t="s">
        <v>6562</v>
      </c>
      <c r="D278" s="22" t="s">
        <v>6573</v>
      </c>
      <c r="E278" s="22" t="n">
        <v>32</v>
      </c>
      <c r="F278" s="22" t="s">
        <v>6581</v>
      </c>
      <c r="G278" s="22" t="s">
        <v>6575</v>
      </c>
      <c r="H278" s="22" t="n">
        <v>12</v>
      </c>
      <c r="I278" s="22" t="s">
        <v>6576</v>
      </c>
      <c r="J278" s="22" t="s">
        <v>6577</v>
      </c>
      <c r="K278" s="22" t="s">
        <v>6628</v>
      </c>
      <c r="L278" s="22" t="s">
        <v>1987</v>
      </c>
      <c r="M278" s="22" t="s">
        <v>1988</v>
      </c>
      <c r="N278" s="22" t="s">
        <v>616</v>
      </c>
      <c r="O278" s="22" t="n">
        <v>53.2</v>
      </c>
      <c r="P278" s="22" t="n">
        <v>10.4</v>
      </c>
      <c r="Q278" s="22" t="s">
        <v>6729</v>
      </c>
      <c r="R278" s="22"/>
    </row>
    <row r="279" customFormat="false" ht="15" hidden="false" customHeight="false" outlineLevel="0" collapsed="false">
      <c r="A279" s="22" t="s">
        <v>7332</v>
      </c>
      <c r="B279" s="22" t="s">
        <v>159</v>
      </c>
      <c r="C279" s="22" t="s">
        <v>6562</v>
      </c>
      <c r="D279" s="22" t="s">
        <v>6573</v>
      </c>
      <c r="E279" s="22" t="n">
        <v>24</v>
      </c>
      <c r="F279" s="22" t="s">
        <v>6574</v>
      </c>
      <c r="G279" s="22" t="s">
        <v>6575</v>
      </c>
      <c r="H279" s="22" t="n">
        <v>9</v>
      </c>
      <c r="I279" s="22" t="s">
        <v>6576</v>
      </c>
      <c r="J279" s="22" t="s">
        <v>6577</v>
      </c>
      <c r="K279" s="22" t="s">
        <v>6631</v>
      </c>
      <c r="L279" s="22" t="s">
        <v>994</v>
      </c>
      <c r="M279" s="22" t="s">
        <v>995</v>
      </c>
      <c r="N279" s="22" t="s">
        <v>204</v>
      </c>
      <c r="O279" s="22" t="n">
        <v>44</v>
      </c>
      <c r="P279" s="22" t="n">
        <v>10.4</v>
      </c>
      <c r="Q279" s="22" t="s">
        <v>6774</v>
      </c>
      <c r="R279" s="22"/>
    </row>
    <row r="280" customFormat="false" ht="15" hidden="false" customHeight="false" outlineLevel="0" collapsed="false">
      <c r="A280" s="22" t="s">
        <v>7333</v>
      </c>
      <c r="B280" s="22" t="s">
        <v>159</v>
      </c>
      <c r="C280" s="22" t="s">
        <v>6562</v>
      </c>
      <c r="D280" s="22" t="s">
        <v>6573</v>
      </c>
      <c r="E280" s="22" t="n">
        <v>32</v>
      </c>
      <c r="F280" s="22" t="s">
        <v>6581</v>
      </c>
      <c r="G280" s="22" t="s">
        <v>6575</v>
      </c>
      <c r="H280" s="22" t="n">
        <v>12</v>
      </c>
      <c r="I280" s="22" t="s">
        <v>6576</v>
      </c>
      <c r="J280" s="22" t="s">
        <v>6577</v>
      </c>
      <c r="K280" s="22" t="s">
        <v>6634</v>
      </c>
      <c r="L280" s="22" t="s">
        <v>1834</v>
      </c>
      <c r="M280" s="22" t="s">
        <v>1835</v>
      </c>
      <c r="N280" s="22" t="s">
        <v>728</v>
      </c>
      <c r="O280" s="22" t="n">
        <v>61.3</v>
      </c>
      <c r="P280" s="22" t="n">
        <v>10.4</v>
      </c>
      <c r="Q280" s="22" t="s">
        <v>7184</v>
      </c>
      <c r="R280" s="22"/>
    </row>
    <row r="281" customFormat="false" ht="15" hidden="false" customHeight="false" outlineLevel="0" collapsed="false">
      <c r="A281" s="22" t="s">
        <v>7334</v>
      </c>
      <c r="B281" s="22" t="s">
        <v>159</v>
      </c>
      <c r="C281" s="22" t="s">
        <v>6562</v>
      </c>
      <c r="D281" s="22" t="s">
        <v>6573</v>
      </c>
      <c r="E281" s="22" t="n">
        <v>28</v>
      </c>
      <c r="F281" s="22" t="s">
        <v>6574</v>
      </c>
      <c r="G281" s="22" t="s">
        <v>6575</v>
      </c>
      <c r="H281" s="22" t="n">
        <v>10</v>
      </c>
      <c r="I281" s="22" t="s">
        <v>6576</v>
      </c>
      <c r="J281" s="22" t="s">
        <v>6577</v>
      </c>
      <c r="K281" s="22" t="s">
        <v>6637</v>
      </c>
      <c r="L281" s="22" t="s">
        <v>2706</v>
      </c>
      <c r="M281" s="22" t="s">
        <v>2707</v>
      </c>
      <c r="N281" s="22" t="s">
        <v>1572</v>
      </c>
      <c r="O281" s="22" t="n">
        <v>47.6</v>
      </c>
      <c r="P281" s="22" t="n">
        <v>10.4</v>
      </c>
      <c r="Q281" s="22" t="s">
        <v>7002</v>
      </c>
      <c r="R281" s="22"/>
    </row>
    <row r="282" customFormat="false" ht="15" hidden="false" customHeight="false" outlineLevel="0" collapsed="false">
      <c r="A282" s="22" t="s">
        <v>7335</v>
      </c>
      <c r="B282" s="22" t="s">
        <v>159</v>
      </c>
      <c r="C282" s="22" t="s">
        <v>6562</v>
      </c>
      <c r="D282" s="22" t="s">
        <v>6573</v>
      </c>
      <c r="E282" s="22" t="n">
        <v>32</v>
      </c>
      <c r="F282" s="22" t="s">
        <v>6581</v>
      </c>
      <c r="G282" s="22" t="s">
        <v>6575</v>
      </c>
      <c r="H282" s="22" t="n">
        <v>12</v>
      </c>
      <c r="I282" s="22" t="s">
        <v>6576</v>
      </c>
      <c r="J282" s="22" t="s">
        <v>6577</v>
      </c>
      <c r="K282" s="22" t="s">
        <v>6640</v>
      </c>
      <c r="L282" s="22" t="s">
        <v>4437</v>
      </c>
      <c r="M282" s="22" t="s">
        <v>4438</v>
      </c>
      <c r="N282" s="22" t="s">
        <v>1014</v>
      </c>
      <c r="O282" s="22" t="n">
        <v>56.3</v>
      </c>
      <c r="P282" s="22" t="n">
        <v>10.4</v>
      </c>
      <c r="Q282" s="22" t="s">
        <v>6620</v>
      </c>
      <c r="R282" s="22"/>
    </row>
    <row r="283" customFormat="false" ht="15" hidden="false" customHeight="false" outlineLevel="0" collapsed="false">
      <c r="A283" s="22" t="s">
        <v>7336</v>
      </c>
      <c r="B283" s="22" t="s">
        <v>159</v>
      </c>
      <c r="C283" s="22" t="s">
        <v>6562</v>
      </c>
      <c r="D283" s="22" t="s">
        <v>6573</v>
      </c>
      <c r="E283" s="22" t="n">
        <v>40</v>
      </c>
      <c r="F283" s="22" t="s">
        <v>6581</v>
      </c>
      <c r="G283" s="22" t="s">
        <v>6575</v>
      </c>
      <c r="H283" s="22" t="n">
        <v>14</v>
      </c>
      <c r="I283" s="22" t="s">
        <v>6582</v>
      </c>
      <c r="J283" s="22" t="s">
        <v>6577</v>
      </c>
      <c r="K283" s="22" t="s">
        <v>6643</v>
      </c>
      <c r="L283" s="22" t="s">
        <v>1985</v>
      </c>
      <c r="M283" s="22" t="s">
        <v>1986</v>
      </c>
      <c r="N283" s="22" t="s">
        <v>445</v>
      </c>
      <c r="O283" s="22" t="n">
        <v>31.4</v>
      </c>
      <c r="P283" s="22" t="n">
        <v>10.4</v>
      </c>
      <c r="Q283" s="22" t="s">
        <v>7337</v>
      </c>
      <c r="R283" s="22"/>
    </row>
    <row r="284" customFormat="false" ht="15" hidden="false" customHeight="false" outlineLevel="0" collapsed="false">
      <c r="A284" s="22" t="s">
        <v>7338</v>
      </c>
      <c r="B284" s="22" t="s">
        <v>159</v>
      </c>
      <c r="C284" s="22" t="s">
        <v>6562</v>
      </c>
      <c r="D284" s="22" t="s">
        <v>6573</v>
      </c>
      <c r="E284" s="22" t="n">
        <v>36</v>
      </c>
      <c r="F284" s="22" t="s">
        <v>6581</v>
      </c>
      <c r="G284" s="22" t="s">
        <v>6575</v>
      </c>
      <c r="H284" s="22" t="n">
        <v>13</v>
      </c>
      <c r="I284" s="22" t="s">
        <v>6582</v>
      </c>
      <c r="J284" s="22" t="s">
        <v>6577</v>
      </c>
      <c r="K284" s="22" t="s">
        <v>6646</v>
      </c>
      <c r="L284" s="22" t="s">
        <v>5079</v>
      </c>
      <c r="M284" s="22" t="s">
        <v>5080</v>
      </c>
      <c r="N284" s="22" t="s">
        <v>953</v>
      </c>
      <c r="O284" s="22" t="n">
        <v>58.8</v>
      </c>
      <c r="P284" s="22" t="n">
        <v>10.4</v>
      </c>
      <c r="Q284" s="22" t="s">
        <v>7124</v>
      </c>
      <c r="R284" s="22"/>
    </row>
    <row r="285" customFormat="false" ht="15" hidden="false" customHeight="false" outlineLevel="0" collapsed="false">
      <c r="A285" s="22" t="s">
        <v>7339</v>
      </c>
      <c r="B285" s="22" t="s">
        <v>159</v>
      </c>
      <c r="C285" s="22" t="s">
        <v>6562</v>
      </c>
      <c r="D285" s="22" t="s">
        <v>6573</v>
      </c>
      <c r="E285" s="22" t="n">
        <v>32</v>
      </c>
      <c r="F285" s="22" t="s">
        <v>6581</v>
      </c>
      <c r="G285" s="22" t="s">
        <v>6575</v>
      </c>
      <c r="H285" s="22" t="n">
        <v>12</v>
      </c>
      <c r="I285" s="22" t="s">
        <v>6576</v>
      </c>
      <c r="J285" s="22" t="s">
        <v>6577</v>
      </c>
      <c r="K285" s="22" t="s">
        <v>6649</v>
      </c>
      <c r="L285" s="22" t="s">
        <v>5026</v>
      </c>
      <c r="M285" s="22" t="s">
        <v>5027</v>
      </c>
      <c r="N285" s="22" t="s">
        <v>3446</v>
      </c>
      <c r="O285" s="22" t="n">
        <v>46.9</v>
      </c>
      <c r="P285" s="22" t="n">
        <v>10.4</v>
      </c>
      <c r="Q285" s="22" t="s">
        <v>6990</v>
      </c>
      <c r="R285" s="22"/>
    </row>
    <row r="286" customFormat="false" ht="15" hidden="false" customHeight="false" outlineLevel="0" collapsed="false">
      <c r="A286" s="22" t="s">
        <v>7340</v>
      </c>
      <c r="B286" s="22" t="s">
        <v>159</v>
      </c>
      <c r="C286" s="22" t="s">
        <v>6562</v>
      </c>
      <c r="D286" s="22" t="s">
        <v>6652</v>
      </c>
      <c r="E286" s="22" t="n">
        <v>32</v>
      </c>
      <c r="F286" s="22" t="s">
        <v>6581</v>
      </c>
      <c r="G286" s="22" t="s">
        <v>6575</v>
      </c>
      <c r="H286" s="22" t="n">
        <v>12</v>
      </c>
      <c r="I286" s="22" t="s">
        <v>6576</v>
      </c>
      <c r="J286" s="22" t="s">
        <v>6577</v>
      </c>
      <c r="K286" s="22" t="s">
        <v>6653</v>
      </c>
      <c r="L286" s="22" t="s">
        <v>1809</v>
      </c>
      <c r="M286" s="22" t="s">
        <v>1810</v>
      </c>
      <c r="N286" s="22" t="s">
        <v>787</v>
      </c>
      <c r="O286" s="22" t="n">
        <v>42.3</v>
      </c>
      <c r="P286" s="22" t="n">
        <v>10.4</v>
      </c>
      <c r="Q286" s="22" t="s">
        <v>7341</v>
      </c>
      <c r="R286" s="22"/>
    </row>
    <row r="287" customFormat="false" ht="15" hidden="false" customHeight="false" outlineLevel="0" collapsed="false">
      <c r="A287" s="22" t="s">
        <v>7342</v>
      </c>
      <c r="B287" s="22" t="s">
        <v>159</v>
      </c>
      <c r="C287" s="22" t="s">
        <v>6562</v>
      </c>
      <c r="D287" s="22" t="s">
        <v>6652</v>
      </c>
      <c r="E287" s="22" t="n">
        <v>40</v>
      </c>
      <c r="F287" s="22" t="s">
        <v>6581</v>
      </c>
      <c r="G287" s="22" t="s">
        <v>6575</v>
      </c>
      <c r="H287" s="22" t="n">
        <v>14</v>
      </c>
      <c r="I287" s="22" t="s">
        <v>6582</v>
      </c>
      <c r="J287" s="22" t="s">
        <v>6577</v>
      </c>
      <c r="K287" s="22" t="s">
        <v>6656</v>
      </c>
      <c r="L287" s="22" t="s">
        <v>4070</v>
      </c>
      <c r="M287" s="22" t="s">
        <v>4071</v>
      </c>
      <c r="N287" s="22" t="s">
        <v>1383</v>
      </c>
      <c r="O287" s="22" t="n">
        <v>27.2</v>
      </c>
      <c r="P287" s="22" t="n">
        <v>10.4</v>
      </c>
      <c r="Q287" s="22" t="s">
        <v>7343</v>
      </c>
      <c r="R287" s="22"/>
    </row>
    <row r="288" customFormat="false" ht="15" hidden="false" customHeight="false" outlineLevel="0" collapsed="false">
      <c r="A288" s="22" t="s">
        <v>7344</v>
      </c>
      <c r="B288" s="22" t="s">
        <v>159</v>
      </c>
      <c r="C288" s="22" t="s">
        <v>6562</v>
      </c>
      <c r="D288" s="22" t="s">
        <v>6652</v>
      </c>
      <c r="E288" s="22" t="n">
        <v>32</v>
      </c>
      <c r="F288" s="22" t="s">
        <v>6581</v>
      </c>
      <c r="G288" s="22" t="s">
        <v>6575</v>
      </c>
      <c r="H288" s="22" t="n">
        <v>12</v>
      </c>
      <c r="I288" s="22" t="s">
        <v>6576</v>
      </c>
      <c r="J288" s="22" t="s">
        <v>6577</v>
      </c>
      <c r="K288" s="22" t="s">
        <v>6659</v>
      </c>
      <c r="L288" s="22" t="s">
        <v>6150</v>
      </c>
      <c r="M288" s="22" t="s">
        <v>6151</v>
      </c>
      <c r="N288" s="22" t="s">
        <v>257</v>
      </c>
      <c r="O288" s="22" t="n">
        <v>36</v>
      </c>
      <c r="P288" s="22" t="n">
        <v>10.4</v>
      </c>
      <c r="Q288" s="22" t="s">
        <v>6887</v>
      </c>
      <c r="R288" s="22"/>
    </row>
    <row r="289" customFormat="false" ht="15" hidden="false" customHeight="false" outlineLevel="0" collapsed="false">
      <c r="A289" s="22" t="s">
        <v>7345</v>
      </c>
      <c r="B289" s="22" t="s">
        <v>159</v>
      </c>
      <c r="C289" s="22" t="s">
        <v>6562</v>
      </c>
      <c r="D289" s="22" t="s">
        <v>6652</v>
      </c>
      <c r="E289" s="22" t="n">
        <v>40</v>
      </c>
      <c r="F289" s="22" t="s">
        <v>6581</v>
      </c>
      <c r="G289" s="22" t="s">
        <v>6575</v>
      </c>
      <c r="H289" s="22" t="n">
        <v>14</v>
      </c>
      <c r="I289" s="22" t="s">
        <v>6582</v>
      </c>
      <c r="J289" s="22" t="s">
        <v>6577</v>
      </c>
      <c r="K289" s="22" t="s">
        <v>6662</v>
      </c>
      <c r="L289" s="22" t="s">
        <v>4763</v>
      </c>
      <c r="M289" s="22" t="s">
        <v>4764</v>
      </c>
      <c r="N289" s="22" t="s">
        <v>2563</v>
      </c>
      <c r="O289" s="22" t="n">
        <v>41.7</v>
      </c>
      <c r="P289" s="22" t="n">
        <v>10.4</v>
      </c>
      <c r="Q289" s="22" t="s">
        <v>6836</v>
      </c>
      <c r="R289" s="22"/>
    </row>
    <row r="290" customFormat="false" ht="15" hidden="false" customHeight="false" outlineLevel="0" collapsed="false">
      <c r="A290" s="22" t="s">
        <v>7346</v>
      </c>
      <c r="B290" s="22" t="s">
        <v>159</v>
      </c>
      <c r="C290" s="22" t="s">
        <v>6562</v>
      </c>
      <c r="D290" s="22" t="s">
        <v>6652</v>
      </c>
      <c r="E290" s="22" t="n">
        <v>28</v>
      </c>
      <c r="F290" s="22" t="s">
        <v>6574</v>
      </c>
      <c r="G290" s="22" t="s">
        <v>6575</v>
      </c>
      <c r="H290" s="22" t="n">
        <v>10</v>
      </c>
      <c r="I290" s="22" t="s">
        <v>6576</v>
      </c>
      <c r="J290" s="22" t="s">
        <v>6577</v>
      </c>
      <c r="K290" s="22" t="s">
        <v>6665</v>
      </c>
      <c r="L290" s="22" t="s">
        <v>3957</v>
      </c>
      <c r="M290" s="22" t="s">
        <v>3958</v>
      </c>
      <c r="N290" s="22" t="s">
        <v>248</v>
      </c>
      <c r="O290" s="22" t="n">
        <v>34.3</v>
      </c>
      <c r="P290" s="22" t="n">
        <v>10.4</v>
      </c>
      <c r="Q290" s="22" t="s">
        <v>6819</v>
      </c>
      <c r="R290" s="22"/>
    </row>
    <row r="291" customFormat="false" ht="15" hidden="false" customHeight="false" outlineLevel="0" collapsed="false">
      <c r="A291" s="22" t="s">
        <v>7347</v>
      </c>
      <c r="B291" s="22" t="s">
        <v>159</v>
      </c>
      <c r="C291" s="22" t="s">
        <v>6562</v>
      </c>
      <c r="D291" s="22" t="s">
        <v>6652</v>
      </c>
      <c r="E291" s="22" t="n">
        <v>28</v>
      </c>
      <c r="F291" s="22" t="s">
        <v>6574</v>
      </c>
      <c r="G291" s="22" t="s">
        <v>6575</v>
      </c>
      <c r="H291" s="22" t="n">
        <v>10</v>
      </c>
      <c r="I291" s="22" t="s">
        <v>6576</v>
      </c>
      <c r="J291" s="22" t="s">
        <v>6577</v>
      </c>
      <c r="K291" s="22" t="s">
        <v>6668</v>
      </c>
      <c r="L291" s="22" t="s">
        <v>1202</v>
      </c>
      <c r="M291" s="22" t="s">
        <v>1203</v>
      </c>
      <c r="N291" s="22" t="s">
        <v>1204</v>
      </c>
      <c r="O291" s="22" t="n">
        <v>22.5</v>
      </c>
      <c r="P291" s="22" t="n">
        <v>10.4</v>
      </c>
      <c r="Q291" s="22" t="s">
        <v>7348</v>
      </c>
      <c r="R291" s="22"/>
    </row>
    <row r="292" customFormat="false" ht="15" hidden="false" customHeight="false" outlineLevel="0" collapsed="false">
      <c r="A292" s="22" t="s">
        <v>7349</v>
      </c>
      <c r="B292" s="22" t="s">
        <v>159</v>
      </c>
      <c r="C292" s="22" t="s">
        <v>6562</v>
      </c>
      <c r="D292" s="22" t="s">
        <v>6652</v>
      </c>
      <c r="E292" s="22" t="n">
        <v>24</v>
      </c>
      <c r="F292" s="22" t="s">
        <v>6574</v>
      </c>
      <c r="G292" s="22" t="s">
        <v>6575</v>
      </c>
      <c r="H292" s="22" t="n">
        <v>9</v>
      </c>
      <c r="I292" s="22" t="s">
        <v>6576</v>
      </c>
      <c r="J292" s="22" t="s">
        <v>6577</v>
      </c>
      <c r="K292" s="22" t="s">
        <v>7350</v>
      </c>
      <c r="L292" s="22" t="s">
        <v>5899</v>
      </c>
      <c r="M292" s="22" t="s">
        <v>5900</v>
      </c>
      <c r="N292" s="22" t="s">
        <v>474</v>
      </c>
      <c r="O292" s="22" t="n">
        <v>49.1</v>
      </c>
      <c r="P292" s="22" t="n">
        <v>10.4</v>
      </c>
      <c r="Q292" s="22" t="s">
        <v>7206</v>
      </c>
      <c r="R292" s="22"/>
    </row>
    <row r="293" customFormat="false" ht="15" hidden="false" customHeight="false" outlineLevel="0" collapsed="false">
      <c r="A293" s="22" t="s">
        <v>7351</v>
      </c>
      <c r="B293" s="22" t="s">
        <v>159</v>
      </c>
      <c r="C293" s="22" t="s">
        <v>6562</v>
      </c>
      <c r="D293" s="22" t="s">
        <v>6652</v>
      </c>
      <c r="E293" s="22" t="n">
        <v>40</v>
      </c>
      <c r="F293" s="22" t="s">
        <v>6581</v>
      </c>
      <c r="G293" s="22" t="s">
        <v>6575</v>
      </c>
      <c r="H293" s="22" t="n">
        <v>14</v>
      </c>
      <c r="I293" s="22" t="s">
        <v>6582</v>
      </c>
      <c r="J293" s="22" t="s">
        <v>6577</v>
      </c>
      <c r="K293" s="22" t="s">
        <v>6674</v>
      </c>
      <c r="L293" s="22" t="s">
        <v>5738</v>
      </c>
      <c r="M293" s="22" t="s">
        <v>5739</v>
      </c>
      <c r="N293" s="22" t="s">
        <v>728</v>
      </c>
      <c r="O293" s="22" t="n">
        <v>21.8</v>
      </c>
      <c r="P293" s="22" t="n">
        <v>10.4</v>
      </c>
      <c r="Q293" s="22" t="s">
        <v>7288</v>
      </c>
      <c r="R293" s="22"/>
    </row>
    <row r="294" customFormat="false" ht="15" hidden="false" customHeight="false" outlineLevel="0" collapsed="false">
      <c r="A294" s="22" t="s">
        <v>7352</v>
      </c>
      <c r="B294" s="22" t="s">
        <v>159</v>
      </c>
      <c r="C294" s="22" t="s">
        <v>6562</v>
      </c>
      <c r="D294" s="22" t="s">
        <v>6652</v>
      </c>
      <c r="E294" s="22" t="n">
        <v>32</v>
      </c>
      <c r="F294" s="22" t="s">
        <v>6581</v>
      </c>
      <c r="G294" s="22" t="s">
        <v>6575</v>
      </c>
      <c r="H294" s="22" t="n">
        <v>12</v>
      </c>
      <c r="I294" s="22" t="s">
        <v>6576</v>
      </c>
      <c r="J294" s="22" t="s">
        <v>6577</v>
      </c>
      <c r="K294" s="22" t="s">
        <v>6677</v>
      </c>
      <c r="L294" s="22" t="s">
        <v>4187</v>
      </c>
      <c r="M294" s="22" t="s">
        <v>4188</v>
      </c>
      <c r="N294" s="22" t="s">
        <v>224</v>
      </c>
      <c r="O294" s="22" t="n">
        <v>38.1</v>
      </c>
      <c r="P294" s="22" t="n">
        <v>10.4</v>
      </c>
      <c r="Q294" s="22" t="s">
        <v>7353</v>
      </c>
      <c r="R294" s="22"/>
    </row>
    <row r="295" customFormat="false" ht="15" hidden="false" customHeight="false" outlineLevel="0" collapsed="false">
      <c r="A295" s="22" t="s">
        <v>7354</v>
      </c>
      <c r="B295" s="22" t="s">
        <v>159</v>
      </c>
      <c r="C295" s="22" t="s">
        <v>6562</v>
      </c>
      <c r="D295" s="22" t="s">
        <v>6652</v>
      </c>
      <c r="E295" s="22" t="n">
        <v>28</v>
      </c>
      <c r="F295" s="22" t="s">
        <v>6574</v>
      </c>
      <c r="G295" s="22" t="s">
        <v>6575</v>
      </c>
      <c r="H295" s="22" t="n">
        <v>10</v>
      </c>
      <c r="I295" s="22" t="s">
        <v>6576</v>
      </c>
      <c r="J295" s="22" t="s">
        <v>6577</v>
      </c>
      <c r="K295" s="22" t="s">
        <v>6680</v>
      </c>
      <c r="L295" s="22" t="s">
        <v>4460</v>
      </c>
      <c r="M295" s="22" t="s">
        <v>4461</v>
      </c>
      <c r="N295" s="22" t="s">
        <v>3842</v>
      </c>
      <c r="O295" s="22" t="n">
        <v>20.9</v>
      </c>
      <c r="P295" s="22" t="n">
        <v>10.4</v>
      </c>
      <c r="Q295" s="22" t="s">
        <v>7355</v>
      </c>
      <c r="R295" s="22"/>
    </row>
    <row r="296" customFormat="false" ht="15" hidden="false" customHeight="false" outlineLevel="0" collapsed="false">
      <c r="A296" s="22" t="s">
        <v>7356</v>
      </c>
      <c r="B296" s="22" t="s">
        <v>159</v>
      </c>
      <c r="C296" s="22" t="s">
        <v>6562</v>
      </c>
      <c r="D296" s="22" t="s">
        <v>6652</v>
      </c>
      <c r="E296" s="22" t="n">
        <v>40</v>
      </c>
      <c r="F296" s="22" t="s">
        <v>6581</v>
      </c>
      <c r="G296" s="22" t="s">
        <v>6575</v>
      </c>
      <c r="H296" s="22" t="n">
        <v>14</v>
      </c>
      <c r="I296" s="22" t="s">
        <v>6582</v>
      </c>
      <c r="J296" s="22" t="s">
        <v>6577</v>
      </c>
      <c r="K296" s="22" t="s">
        <v>7357</v>
      </c>
      <c r="L296" s="22" t="s">
        <v>3095</v>
      </c>
      <c r="M296" s="22" t="s">
        <v>3096</v>
      </c>
      <c r="N296" s="22" t="s">
        <v>2836</v>
      </c>
      <c r="O296" s="22" t="n">
        <v>38.3</v>
      </c>
      <c r="P296" s="22" t="n">
        <v>10.4</v>
      </c>
      <c r="Q296" s="22" t="s">
        <v>7128</v>
      </c>
      <c r="R296" s="22"/>
    </row>
    <row r="297" customFormat="false" ht="15" hidden="false" customHeight="false" outlineLevel="0" collapsed="false">
      <c r="A297" s="22" t="s">
        <v>7358</v>
      </c>
      <c r="B297" s="22" t="s">
        <v>159</v>
      </c>
      <c r="C297" s="22" t="s">
        <v>6562</v>
      </c>
      <c r="D297" s="22" t="s">
        <v>6652</v>
      </c>
      <c r="E297" s="22" t="n">
        <v>24</v>
      </c>
      <c r="F297" s="22" t="s">
        <v>6574</v>
      </c>
      <c r="G297" s="22" t="s">
        <v>6575</v>
      </c>
      <c r="H297" s="22" t="n">
        <v>9</v>
      </c>
      <c r="I297" s="22" t="s">
        <v>6576</v>
      </c>
      <c r="J297" s="22" t="s">
        <v>6577</v>
      </c>
      <c r="K297" s="22" t="s">
        <v>6685</v>
      </c>
      <c r="L297" s="22" t="s">
        <v>4698</v>
      </c>
      <c r="M297" s="22" t="s">
        <v>4699</v>
      </c>
      <c r="N297" s="22" t="s">
        <v>170</v>
      </c>
      <c r="O297" s="22" t="n">
        <v>57.3</v>
      </c>
      <c r="P297" s="22" t="n">
        <v>10.4</v>
      </c>
      <c r="Q297" s="22" t="s">
        <v>7359</v>
      </c>
      <c r="R297" s="22"/>
    </row>
    <row r="298" customFormat="false" ht="15" hidden="false" customHeight="false" outlineLevel="0" collapsed="false">
      <c r="A298" s="22" t="s">
        <v>7360</v>
      </c>
      <c r="B298" s="22" t="s">
        <v>159</v>
      </c>
      <c r="C298" s="22" t="s">
        <v>6562</v>
      </c>
      <c r="D298" s="22" t="s">
        <v>6652</v>
      </c>
      <c r="E298" s="22" t="n">
        <v>24</v>
      </c>
      <c r="F298" s="22" t="s">
        <v>6574</v>
      </c>
      <c r="G298" s="22" t="s">
        <v>6575</v>
      </c>
      <c r="H298" s="22" t="n">
        <v>9</v>
      </c>
      <c r="I298" s="22" t="s">
        <v>6576</v>
      </c>
      <c r="J298" s="22" t="s">
        <v>6577</v>
      </c>
      <c r="K298" s="22" t="s">
        <v>6688</v>
      </c>
      <c r="L298" s="22" t="s">
        <v>160</v>
      </c>
      <c r="M298" s="22" t="s">
        <v>161</v>
      </c>
      <c r="N298" s="22" t="s">
        <v>163</v>
      </c>
      <c r="O298" s="22" t="n">
        <v>38.2</v>
      </c>
      <c r="P298" s="22" t="n">
        <v>10.4</v>
      </c>
      <c r="Q298" s="22" t="s">
        <v>7348</v>
      </c>
      <c r="R298" s="22"/>
    </row>
    <row r="299" customFormat="false" ht="15" hidden="false" customHeight="false" outlineLevel="0" collapsed="false">
      <c r="A299" s="22" t="s">
        <v>7361</v>
      </c>
      <c r="B299" s="22" t="s">
        <v>159</v>
      </c>
      <c r="C299" s="22" t="s">
        <v>6562</v>
      </c>
      <c r="D299" s="22" t="s">
        <v>6652</v>
      </c>
      <c r="E299" s="22" t="n">
        <v>24</v>
      </c>
      <c r="F299" s="22" t="s">
        <v>6574</v>
      </c>
      <c r="G299" s="22" t="s">
        <v>6575</v>
      </c>
      <c r="H299" s="22" t="n">
        <v>9</v>
      </c>
      <c r="I299" s="22" t="s">
        <v>6576</v>
      </c>
      <c r="J299" s="22" t="s">
        <v>6577</v>
      </c>
      <c r="K299" s="22" t="s">
        <v>6691</v>
      </c>
      <c r="L299" s="22" t="s">
        <v>2353</v>
      </c>
      <c r="M299" s="22" t="s">
        <v>2354</v>
      </c>
      <c r="N299" s="22" t="s">
        <v>1304</v>
      </c>
      <c r="O299" s="22" t="n">
        <v>60.4</v>
      </c>
      <c r="P299" s="22" t="n">
        <v>10.4</v>
      </c>
      <c r="Q299" s="22" t="s">
        <v>7362</v>
      </c>
      <c r="R299" s="22"/>
    </row>
    <row r="300" customFormat="false" ht="15" hidden="false" customHeight="false" outlineLevel="0" collapsed="false">
      <c r="A300" s="22" t="s">
        <v>7363</v>
      </c>
      <c r="B300" s="22" t="s">
        <v>159</v>
      </c>
      <c r="C300" s="22" t="s">
        <v>6562</v>
      </c>
      <c r="D300" s="22" t="s">
        <v>6652</v>
      </c>
      <c r="E300" s="22" t="n">
        <v>28</v>
      </c>
      <c r="F300" s="22" t="s">
        <v>6574</v>
      </c>
      <c r="G300" s="22" t="s">
        <v>6575</v>
      </c>
      <c r="H300" s="22" t="n">
        <v>10</v>
      </c>
      <c r="I300" s="22" t="s">
        <v>6576</v>
      </c>
      <c r="J300" s="22" t="s">
        <v>6577</v>
      </c>
      <c r="K300" s="22" t="s">
        <v>6694</v>
      </c>
      <c r="L300" s="22" t="s">
        <v>5465</v>
      </c>
      <c r="M300" s="22" t="s">
        <v>5466</v>
      </c>
      <c r="N300" s="22" t="s">
        <v>594</v>
      </c>
      <c r="O300" s="22" t="n">
        <v>18.3</v>
      </c>
      <c r="P300" s="22" t="n">
        <v>10.4</v>
      </c>
      <c r="Q300" s="22" t="s">
        <v>7184</v>
      </c>
      <c r="R300" s="22"/>
    </row>
    <row r="301" customFormat="false" ht="15" hidden="false" customHeight="false" outlineLevel="0" collapsed="false">
      <c r="A301" s="22" t="s">
        <v>7364</v>
      </c>
      <c r="B301" s="22" t="s">
        <v>159</v>
      </c>
      <c r="C301" s="22" t="s">
        <v>6562</v>
      </c>
      <c r="D301" s="22" t="s">
        <v>6652</v>
      </c>
      <c r="E301" s="22" t="n">
        <v>40</v>
      </c>
      <c r="F301" s="22" t="s">
        <v>6581</v>
      </c>
      <c r="G301" s="22" t="s">
        <v>6575</v>
      </c>
      <c r="H301" s="22" t="n">
        <v>14</v>
      </c>
      <c r="I301" s="22" t="s">
        <v>6582</v>
      </c>
      <c r="J301" s="22" t="s">
        <v>6577</v>
      </c>
      <c r="K301" s="22" t="s">
        <v>6697</v>
      </c>
      <c r="L301" s="22" t="s">
        <v>3197</v>
      </c>
      <c r="M301" s="22" t="s">
        <v>3198</v>
      </c>
      <c r="N301" s="22" t="s">
        <v>1968</v>
      </c>
      <c r="O301" s="22" t="n">
        <v>30.8</v>
      </c>
      <c r="P301" s="22" t="n">
        <v>10.4</v>
      </c>
      <c r="Q301" s="22" t="s">
        <v>7365</v>
      </c>
      <c r="R301" s="22"/>
    </row>
    <row r="302" customFormat="false" ht="15" hidden="false" customHeight="false" outlineLevel="0" collapsed="false">
      <c r="A302" s="22" t="s">
        <v>7366</v>
      </c>
      <c r="B302" s="22" t="s">
        <v>159</v>
      </c>
      <c r="C302" s="22" t="s">
        <v>6562</v>
      </c>
      <c r="D302" s="22" t="s">
        <v>6652</v>
      </c>
      <c r="E302" s="22" t="n">
        <v>24</v>
      </c>
      <c r="F302" s="22" t="s">
        <v>6574</v>
      </c>
      <c r="G302" s="22" t="s">
        <v>6575</v>
      </c>
      <c r="H302" s="22" t="n">
        <v>9</v>
      </c>
      <c r="I302" s="22" t="s">
        <v>6576</v>
      </c>
      <c r="J302" s="22" t="s">
        <v>6577</v>
      </c>
      <c r="K302" s="22" t="s">
        <v>6700</v>
      </c>
      <c r="L302" s="22" t="s">
        <v>5503</v>
      </c>
      <c r="M302" s="22" t="s">
        <v>5504</v>
      </c>
      <c r="N302" s="22" t="s">
        <v>3566</v>
      </c>
      <c r="O302" s="22" t="n">
        <v>38.5</v>
      </c>
      <c r="P302" s="22" t="n">
        <v>10.4</v>
      </c>
      <c r="Q302" s="22" t="s">
        <v>7049</v>
      </c>
      <c r="R302" s="22"/>
    </row>
    <row r="303" customFormat="false" ht="15" hidden="false" customHeight="false" outlineLevel="0" collapsed="false">
      <c r="A303" s="22" t="s">
        <v>7367</v>
      </c>
      <c r="B303" s="22" t="s">
        <v>159</v>
      </c>
      <c r="C303" s="22" t="s">
        <v>6562</v>
      </c>
      <c r="D303" s="22" t="s">
        <v>6652</v>
      </c>
      <c r="E303" s="22" t="n">
        <v>24</v>
      </c>
      <c r="F303" s="22" t="s">
        <v>6574</v>
      </c>
      <c r="G303" s="22" t="s">
        <v>6575</v>
      </c>
      <c r="H303" s="22" t="n">
        <v>9</v>
      </c>
      <c r="I303" s="22" t="s">
        <v>6576</v>
      </c>
      <c r="J303" s="22" t="s">
        <v>6577</v>
      </c>
      <c r="K303" s="22" t="s">
        <v>6703</v>
      </c>
      <c r="L303" s="22" t="s">
        <v>3780</v>
      </c>
      <c r="M303" s="22" t="s">
        <v>3781</v>
      </c>
      <c r="N303" s="22" t="s">
        <v>1545</v>
      </c>
      <c r="O303" s="22" t="n">
        <v>27</v>
      </c>
      <c r="P303" s="22" t="n">
        <v>10.4</v>
      </c>
      <c r="Q303" s="22" t="s">
        <v>7313</v>
      </c>
      <c r="R303" s="22"/>
    </row>
    <row r="304" customFormat="false" ht="15" hidden="false" customHeight="false" outlineLevel="0" collapsed="false">
      <c r="A304" s="22" t="s">
        <v>7368</v>
      </c>
      <c r="B304" s="22" t="s">
        <v>159</v>
      </c>
      <c r="C304" s="22" t="s">
        <v>6562</v>
      </c>
      <c r="D304" s="22" t="s">
        <v>6652</v>
      </c>
      <c r="E304" s="22" t="n">
        <v>28</v>
      </c>
      <c r="F304" s="22" t="s">
        <v>6574</v>
      </c>
      <c r="G304" s="22" t="s">
        <v>6575</v>
      </c>
      <c r="H304" s="22" t="n">
        <v>10</v>
      </c>
      <c r="I304" s="22" t="s">
        <v>6576</v>
      </c>
      <c r="J304" s="22" t="s">
        <v>6577</v>
      </c>
      <c r="K304" s="22" t="s">
        <v>6706</v>
      </c>
      <c r="L304" s="22" t="s">
        <v>4692</v>
      </c>
      <c r="M304" s="22" t="s">
        <v>4693</v>
      </c>
      <c r="N304" s="22" t="s">
        <v>962</v>
      </c>
      <c r="O304" s="22" t="n">
        <v>47.7</v>
      </c>
      <c r="P304" s="22" t="n">
        <v>10.4</v>
      </c>
      <c r="Q304" s="22" t="s">
        <v>7369</v>
      </c>
      <c r="R304" s="22"/>
    </row>
    <row r="305" customFormat="false" ht="15" hidden="false" customHeight="false" outlineLevel="0" collapsed="false">
      <c r="A305" s="22" t="s">
        <v>7370</v>
      </c>
      <c r="B305" s="22" t="s">
        <v>159</v>
      </c>
      <c r="C305" s="22" t="s">
        <v>6562</v>
      </c>
      <c r="D305" s="22" t="s">
        <v>6652</v>
      </c>
      <c r="E305" s="22" t="n">
        <v>28</v>
      </c>
      <c r="F305" s="22" t="s">
        <v>6574</v>
      </c>
      <c r="G305" s="22" t="s">
        <v>6575</v>
      </c>
      <c r="H305" s="22" t="n">
        <v>10</v>
      </c>
      <c r="I305" s="22" t="s">
        <v>6576</v>
      </c>
      <c r="J305" s="22" t="s">
        <v>6577</v>
      </c>
      <c r="K305" s="22" t="s">
        <v>6709</v>
      </c>
      <c r="L305" s="22" t="s">
        <v>3786</v>
      </c>
      <c r="M305" s="22" t="s">
        <v>3787</v>
      </c>
      <c r="N305" s="22" t="s">
        <v>1190</v>
      </c>
      <c r="O305" s="22" t="n">
        <v>24.4</v>
      </c>
      <c r="P305" s="22" t="n">
        <v>10.4</v>
      </c>
      <c r="Q305" s="22" t="s">
        <v>7371</v>
      </c>
      <c r="R305" s="22"/>
    </row>
    <row r="306" customFormat="false" ht="15" hidden="false" customHeight="false" outlineLevel="0" collapsed="false">
      <c r="A306" s="22" t="s">
        <v>7372</v>
      </c>
      <c r="B306" s="22" t="s">
        <v>159</v>
      </c>
      <c r="C306" s="22" t="s">
        <v>6562</v>
      </c>
      <c r="D306" s="22" t="s">
        <v>6652</v>
      </c>
      <c r="E306" s="22" t="n">
        <v>24</v>
      </c>
      <c r="F306" s="22" t="s">
        <v>6574</v>
      </c>
      <c r="G306" s="22" t="s">
        <v>6575</v>
      </c>
      <c r="H306" s="22" t="n">
        <v>9</v>
      </c>
      <c r="I306" s="22" t="s">
        <v>6576</v>
      </c>
      <c r="J306" s="22" t="s">
        <v>6577</v>
      </c>
      <c r="K306" s="22" t="s">
        <v>6712</v>
      </c>
      <c r="L306" s="22" t="s">
        <v>541</v>
      </c>
      <c r="M306" s="22" t="s">
        <v>542</v>
      </c>
      <c r="N306" s="22" t="s">
        <v>543</v>
      </c>
      <c r="O306" s="22" t="n">
        <v>31.2</v>
      </c>
      <c r="P306" s="22" t="n">
        <v>10.4</v>
      </c>
      <c r="Q306" s="22" t="s">
        <v>6602</v>
      </c>
      <c r="R306" s="22"/>
    </row>
    <row r="307" customFormat="false" ht="15" hidden="false" customHeight="false" outlineLevel="0" collapsed="false">
      <c r="A307" s="22" t="s">
        <v>7373</v>
      </c>
      <c r="B307" s="22" t="s">
        <v>159</v>
      </c>
      <c r="C307" s="22" t="s">
        <v>6562</v>
      </c>
      <c r="D307" s="22" t="s">
        <v>6652</v>
      </c>
      <c r="E307" s="22" t="n">
        <v>28</v>
      </c>
      <c r="F307" s="22" t="s">
        <v>6574</v>
      </c>
      <c r="G307" s="22" t="s">
        <v>6575</v>
      </c>
      <c r="H307" s="22" t="n">
        <v>10</v>
      </c>
      <c r="I307" s="22" t="s">
        <v>6576</v>
      </c>
      <c r="J307" s="22" t="s">
        <v>6577</v>
      </c>
      <c r="K307" s="22" t="s">
        <v>6715</v>
      </c>
      <c r="L307" s="22" t="s">
        <v>3360</v>
      </c>
      <c r="M307" s="22" t="s">
        <v>3361</v>
      </c>
      <c r="N307" s="22" t="s">
        <v>184</v>
      </c>
      <c r="O307" s="22" t="n">
        <v>61.3</v>
      </c>
      <c r="P307" s="22" t="n">
        <v>10.4</v>
      </c>
      <c r="Q307" s="22" t="s">
        <v>7374</v>
      </c>
      <c r="R307" s="22"/>
    </row>
    <row r="308" customFormat="false" ht="15" hidden="false" customHeight="false" outlineLevel="0" collapsed="false">
      <c r="A308" s="22" t="s">
        <v>7375</v>
      </c>
      <c r="B308" s="22" t="s">
        <v>159</v>
      </c>
      <c r="C308" s="22" t="s">
        <v>6562</v>
      </c>
      <c r="D308" s="22" t="s">
        <v>6652</v>
      </c>
      <c r="E308" s="22" t="n">
        <v>32</v>
      </c>
      <c r="F308" s="22" t="s">
        <v>6581</v>
      </c>
      <c r="G308" s="22" t="s">
        <v>6575</v>
      </c>
      <c r="H308" s="22" t="n">
        <v>12</v>
      </c>
      <c r="I308" s="22" t="s">
        <v>6576</v>
      </c>
      <c r="J308" s="22" t="s">
        <v>6577</v>
      </c>
      <c r="K308" s="22" t="s">
        <v>6718</v>
      </c>
      <c r="L308" s="22" t="s">
        <v>2812</v>
      </c>
      <c r="M308" s="22" t="s">
        <v>2813</v>
      </c>
      <c r="N308" s="22" t="s">
        <v>2814</v>
      </c>
      <c r="O308" s="22" t="n">
        <v>31.4</v>
      </c>
      <c r="P308" s="22" t="n">
        <v>10.4</v>
      </c>
      <c r="Q308" s="22" t="s">
        <v>7341</v>
      </c>
      <c r="R308" s="22"/>
    </row>
    <row r="309" customFormat="false" ht="15" hidden="false" customHeight="false" outlineLevel="0" collapsed="false">
      <c r="A309" s="22" t="s">
        <v>7376</v>
      </c>
      <c r="B309" s="22" t="s">
        <v>159</v>
      </c>
      <c r="C309" s="22" t="s">
        <v>6562</v>
      </c>
      <c r="D309" s="22" t="s">
        <v>6652</v>
      </c>
      <c r="E309" s="22" t="n">
        <v>28</v>
      </c>
      <c r="F309" s="22" t="s">
        <v>6574</v>
      </c>
      <c r="G309" s="22" t="s">
        <v>6575</v>
      </c>
      <c r="H309" s="22" t="n">
        <v>10</v>
      </c>
      <c r="I309" s="22" t="s">
        <v>6576</v>
      </c>
      <c r="J309" s="22" t="s">
        <v>6577</v>
      </c>
      <c r="K309" s="22" t="s">
        <v>6721</v>
      </c>
      <c r="L309" s="22" t="s">
        <v>902</v>
      </c>
      <c r="M309" s="22" t="s">
        <v>903</v>
      </c>
      <c r="N309" s="22" t="s">
        <v>904</v>
      </c>
      <c r="O309" s="22" t="n">
        <v>27</v>
      </c>
      <c r="P309" s="22" t="n">
        <v>10.4</v>
      </c>
      <c r="Q309" s="22" t="s">
        <v>6970</v>
      </c>
      <c r="R309" s="22"/>
    </row>
    <row r="310" customFormat="false" ht="15" hidden="false" customHeight="false" outlineLevel="0" collapsed="false">
      <c r="A310" s="22" t="s">
        <v>7377</v>
      </c>
      <c r="B310" s="22" t="s">
        <v>159</v>
      </c>
      <c r="C310" s="22" t="s">
        <v>6562</v>
      </c>
      <c r="D310" s="22" t="s">
        <v>6724</v>
      </c>
      <c r="E310" s="22" t="n">
        <v>24</v>
      </c>
      <c r="F310" s="22" t="s">
        <v>6574</v>
      </c>
      <c r="G310" s="22" t="s">
        <v>6575</v>
      </c>
      <c r="H310" s="22" t="n">
        <v>9</v>
      </c>
      <c r="I310" s="22" t="s">
        <v>6576</v>
      </c>
      <c r="J310" s="22" t="s">
        <v>6613</v>
      </c>
      <c r="K310" s="22"/>
      <c r="L310" s="22"/>
      <c r="M310" s="22"/>
      <c r="N310" s="22"/>
      <c r="O310" s="22"/>
      <c r="P310" s="22" t="n">
        <v>10.4</v>
      </c>
      <c r="Q310" s="22" t="s">
        <v>7378</v>
      </c>
      <c r="R310" s="22"/>
    </row>
    <row r="311" customFormat="false" ht="15" hidden="false" customHeight="false" outlineLevel="0" collapsed="false">
      <c r="A311" s="22" t="s">
        <v>7379</v>
      </c>
      <c r="B311" s="22" t="s">
        <v>159</v>
      </c>
      <c r="C311" s="22" t="s">
        <v>6562</v>
      </c>
      <c r="D311" s="22" t="s">
        <v>6724</v>
      </c>
      <c r="E311" s="22" t="n">
        <v>28</v>
      </c>
      <c r="F311" s="22" t="s">
        <v>6574</v>
      </c>
      <c r="G311" s="22" t="s">
        <v>6575</v>
      </c>
      <c r="H311" s="22" t="n">
        <v>10</v>
      </c>
      <c r="I311" s="22" t="s">
        <v>6576</v>
      </c>
      <c r="J311" s="22" t="s">
        <v>6577</v>
      </c>
      <c r="K311" s="22" t="s">
        <v>6728</v>
      </c>
      <c r="L311" s="22" t="s">
        <v>1370</v>
      </c>
      <c r="M311" s="22" t="s">
        <v>1371</v>
      </c>
      <c r="N311" s="22" t="s">
        <v>1130</v>
      </c>
      <c r="O311" s="22" t="n">
        <v>41.3</v>
      </c>
      <c r="P311" s="22" t="n">
        <v>10.4</v>
      </c>
      <c r="Q311" s="22" t="s">
        <v>6689</v>
      </c>
      <c r="R311" s="22"/>
    </row>
    <row r="312" customFormat="false" ht="15" hidden="false" customHeight="false" outlineLevel="0" collapsed="false">
      <c r="A312" s="22" t="s">
        <v>7380</v>
      </c>
      <c r="B312" s="22" t="s">
        <v>159</v>
      </c>
      <c r="C312" s="22" t="s">
        <v>6562</v>
      </c>
      <c r="D312" s="22" t="s">
        <v>6724</v>
      </c>
      <c r="E312" s="22" t="n">
        <v>32</v>
      </c>
      <c r="F312" s="22" t="s">
        <v>6581</v>
      </c>
      <c r="G312" s="22" t="s">
        <v>6575</v>
      </c>
      <c r="H312" s="22" t="n">
        <v>12</v>
      </c>
      <c r="I312" s="22" t="s">
        <v>6576</v>
      </c>
      <c r="J312" s="22" t="s">
        <v>6577</v>
      </c>
      <c r="K312" s="22" t="s">
        <v>6731</v>
      </c>
      <c r="L312" s="22" t="s">
        <v>1103</v>
      </c>
      <c r="M312" s="22" t="s">
        <v>1104</v>
      </c>
      <c r="N312" s="22" t="s">
        <v>1105</v>
      </c>
      <c r="O312" s="22" t="n">
        <v>30.5</v>
      </c>
      <c r="P312" s="22" t="n">
        <v>10.4</v>
      </c>
      <c r="Q312" s="22" t="s">
        <v>7381</v>
      </c>
      <c r="R312" s="22"/>
    </row>
    <row r="313" customFormat="false" ht="15" hidden="false" customHeight="false" outlineLevel="0" collapsed="false">
      <c r="A313" s="22" t="s">
        <v>7382</v>
      </c>
      <c r="B313" s="22" t="s">
        <v>159</v>
      </c>
      <c r="C313" s="22" t="s">
        <v>6562</v>
      </c>
      <c r="D313" s="22" t="s">
        <v>6724</v>
      </c>
      <c r="E313" s="22" t="n">
        <v>32</v>
      </c>
      <c r="F313" s="22" t="s">
        <v>6581</v>
      </c>
      <c r="G313" s="22" t="s">
        <v>6575</v>
      </c>
      <c r="H313" s="22" t="n">
        <v>12</v>
      </c>
      <c r="I313" s="22" t="s">
        <v>6576</v>
      </c>
      <c r="J313" s="22" t="s">
        <v>6577</v>
      </c>
      <c r="K313" s="22" t="s">
        <v>7383</v>
      </c>
      <c r="L313" s="22" t="s">
        <v>1009</v>
      </c>
      <c r="M313" s="22" t="s">
        <v>1010</v>
      </c>
      <c r="N313" s="22" t="s">
        <v>1011</v>
      </c>
      <c r="O313" s="22" t="n">
        <v>32.2</v>
      </c>
      <c r="P313" s="22" t="n">
        <v>10.4</v>
      </c>
      <c r="Q313" s="22" t="s">
        <v>7384</v>
      </c>
      <c r="R313" s="22"/>
    </row>
    <row r="314" customFormat="false" ht="15" hidden="false" customHeight="false" outlineLevel="0" collapsed="false">
      <c r="A314" s="22" t="s">
        <v>7385</v>
      </c>
      <c r="B314" s="22" t="s">
        <v>159</v>
      </c>
      <c r="C314" s="22" t="s">
        <v>6562</v>
      </c>
      <c r="D314" s="22" t="s">
        <v>6724</v>
      </c>
      <c r="E314" s="22" t="n">
        <v>24</v>
      </c>
      <c r="F314" s="22" t="s">
        <v>6574</v>
      </c>
      <c r="G314" s="22" t="s">
        <v>6575</v>
      </c>
      <c r="H314" s="22" t="n">
        <v>9</v>
      </c>
      <c r="I314" s="22" t="s">
        <v>6576</v>
      </c>
      <c r="J314" s="22" t="s">
        <v>6577</v>
      </c>
      <c r="K314" s="22" t="s">
        <v>6737</v>
      </c>
      <c r="L314" s="22" t="s">
        <v>2929</v>
      </c>
      <c r="M314" s="22" t="s">
        <v>2930</v>
      </c>
      <c r="N314" s="22" t="s">
        <v>1082</v>
      </c>
      <c r="O314" s="22" t="n">
        <v>45.8</v>
      </c>
      <c r="P314" s="22" t="n">
        <v>10.4</v>
      </c>
      <c r="Q314" s="22" t="s">
        <v>7165</v>
      </c>
      <c r="R314" s="22"/>
    </row>
    <row r="315" customFormat="false" ht="15" hidden="false" customHeight="false" outlineLevel="0" collapsed="false">
      <c r="A315" s="22" t="s">
        <v>7386</v>
      </c>
      <c r="B315" s="22" t="s">
        <v>159</v>
      </c>
      <c r="C315" s="22" t="s">
        <v>6562</v>
      </c>
      <c r="D315" s="22" t="s">
        <v>6724</v>
      </c>
      <c r="E315" s="22" t="n">
        <v>28</v>
      </c>
      <c r="F315" s="22" t="s">
        <v>6574</v>
      </c>
      <c r="G315" s="22" t="s">
        <v>6575</v>
      </c>
      <c r="H315" s="22" t="n">
        <v>10</v>
      </c>
      <c r="I315" s="22" t="s">
        <v>6576</v>
      </c>
      <c r="J315" s="22" t="s">
        <v>6577</v>
      </c>
      <c r="K315" s="22" t="s">
        <v>6740</v>
      </c>
      <c r="L315" s="22" t="s">
        <v>5532</v>
      </c>
      <c r="M315" s="22" t="s">
        <v>5533</v>
      </c>
      <c r="N315" s="22" t="s">
        <v>1896</v>
      </c>
      <c r="O315" s="22" t="n">
        <v>18.3</v>
      </c>
      <c r="P315" s="22" t="n">
        <v>10.4</v>
      </c>
      <c r="Q315" s="22" t="s">
        <v>7387</v>
      </c>
      <c r="R315" s="22"/>
    </row>
    <row r="316" customFormat="false" ht="15" hidden="false" customHeight="false" outlineLevel="0" collapsed="false">
      <c r="A316" s="22" t="s">
        <v>7388</v>
      </c>
      <c r="B316" s="22" t="s">
        <v>159</v>
      </c>
      <c r="C316" s="22" t="s">
        <v>6562</v>
      </c>
      <c r="D316" s="22" t="s">
        <v>6724</v>
      </c>
      <c r="E316" s="22" t="n">
        <v>24</v>
      </c>
      <c r="F316" s="22" t="s">
        <v>6574</v>
      </c>
      <c r="G316" s="22" t="s">
        <v>6575</v>
      </c>
      <c r="H316" s="22" t="n">
        <v>9</v>
      </c>
      <c r="I316" s="22" t="s">
        <v>6576</v>
      </c>
      <c r="J316" s="22" t="s">
        <v>6577</v>
      </c>
      <c r="K316" s="22" t="s">
        <v>6743</v>
      </c>
      <c r="L316" s="22" t="s">
        <v>1208</v>
      </c>
      <c r="M316" s="22" t="s">
        <v>1209</v>
      </c>
      <c r="N316" s="22" t="s">
        <v>1210</v>
      </c>
      <c r="O316" s="22" t="n">
        <v>32</v>
      </c>
      <c r="P316" s="22" t="n">
        <v>10.4</v>
      </c>
      <c r="Q316" s="22" t="s">
        <v>7389</v>
      </c>
      <c r="R316" s="22"/>
    </row>
    <row r="317" customFormat="false" ht="15" hidden="false" customHeight="false" outlineLevel="0" collapsed="false">
      <c r="A317" s="22" t="s">
        <v>7390</v>
      </c>
      <c r="B317" s="22" t="s">
        <v>159</v>
      </c>
      <c r="C317" s="22" t="s">
        <v>6562</v>
      </c>
      <c r="D317" s="22" t="s">
        <v>6724</v>
      </c>
      <c r="E317" s="22" t="n">
        <v>24</v>
      </c>
      <c r="F317" s="22" t="s">
        <v>6574</v>
      </c>
      <c r="G317" s="22" t="s">
        <v>6575</v>
      </c>
      <c r="H317" s="22" t="n">
        <v>9</v>
      </c>
      <c r="I317" s="22" t="s">
        <v>6576</v>
      </c>
      <c r="J317" s="22" t="s">
        <v>6577</v>
      </c>
      <c r="K317" s="22" t="s">
        <v>7391</v>
      </c>
      <c r="L317" s="22" t="s">
        <v>5867</v>
      </c>
      <c r="M317" s="22" t="s">
        <v>5868</v>
      </c>
      <c r="N317" s="22" t="s">
        <v>672</v>
      </c>
      <c r="O317" s="22" t="n">
        <v>41.8</v>
      </c>
      <c r="P317" s="22" t="n">
        <v>10.4</v>
      </c>
      <c r="Q317" s="22" t="s">
        <v>7392</v>
      </c>
      <c r="R317" s="22"/>
    </row>
    <row r="318" customFormat="false" ht="15" hidden="false" customHeight="false" outlineLevel="0" collapsed="false">
      <c r="A318" s="22" t="s">
        <v>7393</v>
      </c>
      <c r="B318" s="22" t="s">
        <v>159</v>
      </c>
      <c r="C318" s="22" t="s">
        <v>6562</v>
      </c>
      <c r="D318" s="22" t="s">
        <v>6724</v>
      </c>
      <c r="E318" s="22" t="n">
        <v>36</v>
      </c>
      <c r="F318" s="22" t="s">
        <v>6581</v>
      </c>
      <c r="G318" s="22" t="s">
        <v>6575</v>
      </c>
      <c r="H318" s="22" t="n">
        <v>13</v>
      </c>
      <c r="I318" s="22" t="s">
        <v>6582</v>
      </c>
      <c r="J318" s="22" t="s">
        <v>6577</v>
      </c>
      <c r="K318" s="22" t="s">
        <v>6748</v>
      </c>
      <c r="L318" s="22" t="s">
        <v>4026</v>
      </c>
      <c r="M318" s="22" t="s">
        <v>4027</v>
      </c>
      <c r="N318" s="22" t="s">
        <v>3590</v>
      </c>
      <c r="O318" s="22" t="n">
        <v>20.6</v>
      </c>
      <c r="P318" s="22" t="n">
        <v>10.4</v>
      </c>
      <c r="Q318" s="22" t="s">
        <v>7394</v>
      </c>
      <c r="R318" s="22"/>
    </row>
    <row r="319" customFormat="false" ht="15" hidden="false" customHeight="false" outlineLevel="0" collapsed="false">
      <c r="A319" s="22" t="s">
        <v>7395</v>
      </c>
      <c r="B319" s="22" t="s">
        <v>159</v>
      </c>
      <c r="C319" s="22" t="s">
        <v>6562</v>
      </c>
      <c r="D319" s="22" t="s">
        <v>6724</v>
      </c>
      <c r="E319" s="22" t="n">
        <v>28</v>
      </c>
      <c r="F319" s="22" t="s">
        <v>6574</v>
      </c>
      <c r="G319" s="22" t="s">
        <v>6575</v>
      </c>
      <c r="H319" s="22" t="n">
        <v>10</v>
      </c>
      <c r="I319" s="22" t="s">
        <v>6576</v>
      </c>
      <c r="J319" s="22" t="s">
        <v>6577</v>
      </c>
      <c r="K319" s="22" t="s">
        <v>7396</v>
      </c>
      <c r="L319" s="22" t="s">
        <v>5365</v>
      </c>
      <c r="M319" s="22" t="s">
        <v>5366</v>
      </c>
      <c r="N319" s="22" t="s">
        <v>980</v>
      </c>
      <c r="O319" s="22" t="n">
        <v>38.6</v>
      </c>
      <c r="P319" s="22" t="n">
        <v>10.4</v>
      </c>
      <c r="Q319" s="22" t="s">
        <v>7068</v>
      </c>
      <c r="R319" s="22"/>
    </row>
    <row r="320" customFormat="false" ht="15" hidden="false" customHeight="false" outlineLevel="0" collapsed="false">
      <c r="A320" s="22" t="s">
        <v>7397</v>
      </c>
      <c r="B320" s="22" t="s">
        <v>159</v>
      </c>
      <c r="C320" s="22" t="s">
        <v>6562</v>
      </c>
      <c r="D320" s="22" t="s">
        <v>6724</v>
      </c>
      <c r="E320" s="22" t="n">
        <v>32</v>
      </c>
      <c r="F320" s="22" t="s">
        <v>6581</v>
      </c>
      <c r="G320" s="22" t="s">
        <v>6575</v>
      </c>
      <c r="H320" s="22" t="n">
        <v>12</v>
      </c>
      <c r="I320" s="22" t="s">
        <v>6576</v>
      </c>
      <c r="J320" s="22" t="s">
        <v>6577</v>
      </c>
      <c r="K320" s="22" t="s">
        <v>6752</v>
      </c>
      <c r="L320" s="22" t="s">
        <v>2106</v>
      </c>
      <c r="M320" s="22" t="s">
        <v>2107</v>
      </c>
      <c r="N320" s="22" t="s">
        <v>2108</v>
      </c>
      <c r="O320" s="22" t="n">
        <v>46.6</v>
      </c>
      <c r="P320" s="22" t="n">
        <v>10.4</v>
      </c>
      <c r="Q320" s="22" t="s">
        <v>7398</v>
      </c>
      <c r="R320" s="22"/>
    </row>
    <row r="321" customFormat="false" ht="15" hidden="false" customHeight="false" outlineLevel="0" collapsed="false">
      <c r="A321" s="22" t="s">
        <v>7399</v>
      </c>
      <c r="B321" s="22" t="s">
        <v>159</v>
      </c>
      <c r="C321" s="22" t="s">
        <v>6562</v>
      </c>
      <c r="D321" s="22" t="s">
        <v>6724</v>
      </c>
      <c r="E321" s="22" t="n">
        <v>24</v>
      </c>
      <c r="F321" s="22" t="s">
        <v>6574</v>
      </c>
      <c r="G321" s="22" t="s">
        <v>6575</v>
      </c>
      <c r="H321" s="22" t="n">
        <v>9</v>
      </c>
      <c r="I321" s="22" t="s">
        <v>6576</v>
      </c>
      <c r="J321" s="22" t="s">
        <v>6577</v>
      </c>
      <c r="K321" s="22" t="s">
        <v>6755</v>
      </c>
      <c r="L321" s="22" t="s">
        <v>5186</v>
      </c>
      <c r="M321" s="22" t="s">
        <v>5187</v>
      </c>
      <c r="N321" s="22" t="s">
        <v>778</v>
      </c>
      <c r="O321" s="22" t="n">
        <v>56.6</v>
      </c>
      <c r="P321" s="22" t="n">
        <v>10.4</v>
      </c>
      <c r="Q321" s="22" t="s">
        <v>7400</v>
      </c>
      <c r="R321" s="22"/>
    </row>
    <row r="322" customFormat="false" ht="15" hidden="false" customHeight="false" outlineLevel="0" collapsed="false">
      <c r="A322" s="22" t="s">
        <v>7401</v>
      </c>
      <c r="B322" s="22" t="s">
        <v>159</v>
      </c>
      <c r="C322" s="22" t="s">
        <v>6562</v>
      </c>
      <c r="D322" s="22" t="s">
        <v>6724</v>
      </c>
      <c r="E322" s="22" t="n">
        <v>24</v>
      </c>
      <c r="F322" s="22" t="s">
        <v>6574</v>
      </c>
      <c r="G322" s="22" t="s">
        <v>6575</v>
      </c>
      <c r="H322" s="22" t="n">
        <v>9</v>
      </c>
      <c r="I322" s="22" t="s">
        <v>6576</v>
      </c>
      <c r="J322" s="22" t="s">
        <v>6901</v>
      </c>
      <c r="K322" s="22"/>
      <c r="L322" s="22"/>
      <c r="M322" s="22"/>
      <c r="N322" s="22"/>
      <c r="O322" s="22"/>
      <c r="P322" s="22" t="n">
        <v>10.4</v>
      </c>
      <c r="Q322" s="22" t="s">
        <v>7402</v>
      </c>
      <c r="R322" s="22"/>
    </row>
    <row r="323" customFormat="false" ht="15" hidden="false" customHeight="false" outlineLevel="0" collapsed="false">
      <c r="A323" s="22" t="s">
        <v>7403</v>
      </c>
      <c r="B323" s="22" t="s">
        <v>159</v>
      </c>
      <c r="C323" s="22" t="s">
        <v>6562</v>
      </c>
      <c r="D323" s="22" t="s">
        <v>6724</v>
      </c>
      <c r="E323" s="22" t="n">
        <v>24</v>
      </c>
      <c r="F323" s="22" t="s">
        <v>6574</v>
      </c>
      <c r="G323" s="22" t="s">
        <v>6575</v>
      </c>
      <c r="H323" s="22" t="n">
        <v>9</v>
      </c>
      <c r="I323" s="22" t="s">
        <v>6576</v>
      </c>
      <c r="J323" s="22" t="s">
        <v>6577</v>
      </c>
      <c r="K323" s="22" t="s">
        <v>6761</v>
      </c>
      <c r="L323" s="22" t="s">
        <v>3329</v>
      </c>
      <c r="M323" s="22" t="s">
        <v>3330</v>
      </c>
      <c r="N323" s="22" t="s">
        <v>1996</v>
      </c>
      <c r="O323" s="22" t="n">
        <v>61.1</v>
      </c>
      <c r="P323" s="22" t="n">
        <v>10.4</v>
      </c>
      <c r="Q323" s="22" t="s">
        <v>7404</v>
      </c>
      <c r="R323" s="22"/>
    </row>
    <row r="324" customFormat="false" ht="15" hidden="false" customHeight="false" outlineLevel="0" collapsed="false">
      <c r="A324" s="22" t="s">
        <v>7405</v>
      </c>
      <c r="B324" s="22" t="s">
        <v>159</v>
      </c>
      <c r="C324" s="22" t="s">
        <v>6562</v>
      </c>
      <c r="D324" s="22" t="s">
        <v>6724</v>
      </c>
      <c r="E324" s="22" t="n">
        <v>28</v>
      </c>
      <c r="F324" s="22" t="s">
        <v>6574</v>
      </c>
      <c r="G324" s="22" t="s">
        <v>6575</v>
      </c>
      <c r="H324" s="22" t="n">
        <v>10</v>
      </c>
      <c r="I324" s="22" t="s">
        <v>6576</v>
      </c>
      <c r="J324" s="22" t="s">
        <v>6577</v>
      </c>
      <c r="K324" s="22" t="s">
        <v>6764</v>
      </c>
      <c r="L324" s="22" t="s">
        <v>5391</v>
      </c>
      <c r="M324" s="22" t="s">
        <v>5392</v>
      </c>
      <c r="N324" s="22" t="s">
        <v>3072</v>
      </c>
      <c r="O324" s="22" t="n">
        <v>40</v>
      </c>
      <c r="P324" s="22" t="n">
        <v>10.4</v>
      </c>
      <c r="Q324" s="22" t="s">
        <v>6726</v>
      </c>
      <c r="R324" s="22"/>
    </row>
    <row r="325" customFormat="false" ht="15" hidden="false" customHeight="false" outlineLevel="0" collapsed="false">
      <c r="A325" s="22" t="s">
        <v>7406</v>
      </c>
      <c r="B325" s="22" t="s">
        <v>159</v>
      </c>
      <c r="C325" s="22" t="s">
        <v>6562</v>
      </c>
      <c r="D325" s="22" t="s">
        <v>6724</v>
      </c>
      <c r="E325" s="22" t="n">
        <v>36</v>
      </c>
      <c r="F325" s="22" t="s">
        <v>6581</v>
      </c>
      <c r="G325" s="22" t="s">
        <v>6575</v>
      </c>
      <c r="H325" s="22" t="n">
        <v>13</v>
      </c>
      <c r="I325" s="22" t="s">
        <v>6582</v>
      </c>
      <c r="J325" s="22" t="s">
        <v>6577</v>
      </c>
      <c r="K325" s="22" t="s">
        <v>6767</v>
      </c>
      <c r="L325" s="22" t="s">
        <v>5724</v>
      </c>
      <c r="M325" s="22" t="s">
        <v>5725</v>
      </c>
      <c r="N325" s="22" t="s">
        <v>474</v>
      </c>
      <c r="O325" s="22" t="n">
        <v>32.7</v>
      </c>
      <c r="P325" s="22" t="n">
        <v>10.4</v>
      </c>
      <c r="Q325" s="22" t="s">
        <v>7407</v>
      </c>
      <c r="R325" s="22"/>
    </row>
    <row r="326" customFormat="false" ht="15" hidden="false" customHeight="false" outlineLevel="0" collapsed="false">
      <c r="A326" s="22" t="s">
        <v>7408</v>
      </c>
      <c r="B326" s="22" t="s">
        <v>159</v>
      </c>
      <c r="C326" s="22" t="s">
        <v>6562</v>
      </c>
      <c r="D326" s="22" t="s">
        <v>6724</v>
      </c>
      <c r="E326" s="22" t="n">
        <v>24</v>
      </c>
      <c r="F326" s="22" t="s">
        <v>6574</v>
      </c>
      <c r="G326" s="22" t="s">
        <v>6575</v>
      </c>
      <c r="H326" s="22" t="n">
        <v>9</v>
      </c>
      <c r="I326" s="22" t="s">
        <v>6576</v>
      </c>
      <c r="J326" s="22" t="s">
        <v>6577</v>
      </c>
      <c r="K326" s="22" t="s">
        <v>6770</v>
      </c>
      <c r="L326" s="22" t="s">
        <v>3023</v>
      </c>
      <c r="M326" s="22" t="s">
        <v>3024</v>
      </c>
      <c r="N326" s="22" t="s">
        <v>632</v>
      </c>
      <c r="O326" s="22" t="n">
        <v>38.4</v>
      </c>
      <c r="P326" s="22" t="n">
        <v>10.4</v>
      </c>
      <c r="Q326" s="22" t="s">
        <v>7409</v>
      </c>
      <c r="R326" s="22"/>
    </row>
    <row r="327" customFormat="false" ht="15" hidden="false" customHeight="false" outlineLevel="0" collapsed="false">
      <c r="A327" s="22" t="s">
        <v>7410</v>
      </c>
      <c r="B327" s="22" t="s">
        <v>159</v>
      </c>
      <c r="C327" s="22" t="s">
        <v>6562</v>
      </c>
      <c r="D327" s="22" t="s">
        <v>6724</v>
      </c>
      <c r="E327" s="22" t="n">
        <v>32</v>
      </c>
      <c r="F327" s="22" t="s">
        <v>6581</v>
      </c>
      <c r="G327" s="22" t="s">
        <v>6575</v>
      </c>
      <c r="H327" s="22" t="n">
        <v>12</v>
      </c>
      <c r="I327" s="22" t="s">
        <v>6576</v>
      </c>
      <c r="J327" s="22" t="s">
        <v>6577</v>
      </c>
      <c r="K327" s="22" t="s">
        <v>6773</v>
      </c>
      <c r="L327" s="22" t="s">
        <v>3201</v>
      </c>
      <c r="M327" s="22" t="s">
        <v>3202</v>
      </c>
      <c r="N327" s="22" t="s">
        <v>269</v>
      </c>
      <c r="O327" s="22" t="n">
        <v>27.2</v>
      </c>
      <c r="P327" s="22" t="n">
        <v>10.4</v>
      </c>
      <c r="Q327" s="22" t="s">
        <v>7411</v>
      </c>
      <c r="R327" s="22"/>
    </row>
    <row r="328" customFormat="false" ht="15" hidden="false" customHeight="false" outlineLevel="0" collapsed="false">
      <c r="A328" s="22" t="s">
        <v>7412</v>
      </c>
      <c r="B328" s="22" t="s">
        <v>159</v>
      </c>
      <c r="C328" s="22" t="s">
        <v>6562</v>
      </c>
      <c r="D328" s="22" t="s">
        <v>6724</v>
      </c>
      <c r="E328" s="22" t="n">
        <v>28</v>
      </c>
      <c r="F328" s="22" t="s">
        <v>6574</v>
      </c>
      <c r="G328" s="22" t="s">
        <v>6575</v>
      </c>
      <c r="H328" s="22" t="n">
        <v>10</v>
      </c>
      <c r="I328" s="22" t="s">
        <v>6576</v>
      </c>
      <c r="J328" s="22" t="s">
        <v>6577</v>
      </c>
      <c r="K328" s="22" t="s">
        <v>7413</v>
      </c>
      <c r="L328" s="22" t="s">
        <v>1213</v>
      </c>
      <c r="M328" s="22" t="s">
        <v>1214</v>
      </c>
      <c r="N328" s="22" t="s">
        <v>266</v>
      </c>
      <c r="O328" s="22" t="n">
        <v>25.8</v>
      </c>
      <c r="P328" s="22" t="n">
        <v>10.4</v>
      </c>
      <c r="Q328" s="22" t="s">
        <v>7414</v>
      </c>
      <c r="R328" s="22"/>
    </row>
    <row r="329" customFormat="false" ht="15" hidden="false" customHeight="false" outlineLevel="0" collapsed="false">
      <c r="A329" s="22" t="s">
        <v>7415</v>
      </c>
      <c r="B329" s="22" t="s">
        <v>159</v>
      </c>
      <c r="C329" s="22" t="s">
        <v>6562</v>
      </c>
      <c r="D329" s="22" t="s">
        <v>6724</v>
      </c>
      <c r="E329" s="22" t="n">
        <v>32</v>
      </c>
      <c r="F329" s="22" t="s">
        <v>6581</v>
      </c>
      <c r="G329" s="22" t="s">
        <v>6575</v>
      </c>
      <c r="H329" s="22" t="n">
        <v>12</v>
      </c>
      <c r="I329" s="22" t="s">
        <v>6576</v>
      </c>
      <c r="J329" s="22" t="s">
        <v>6577</v>
      </c>
      <c r="K329" s="22" t="s">
        <v>6777</v>
      </c>
      <c r="L329" s="22" t="s">
        <v>878</v>
      </c>
      <c r="M329" s="22" t="s">
        <v>879</v>
      </c>
      <c r="N329" s="22" t="s">
        <v>880</v>
      </c>
      <c r="O329" s="22" t="n">
        <v>50</v>
      </c>
      <c r="P329" s="22" t="n">
        <v>10.4</v>
      </c>
      <c r="Q329" s="22" t="s">
        <v>7416</v>
      </c>
      <c r="R329" s="22"/>
    </row>
    <row r="330" customFormat="false" ht="15" hidden="false" customHeight="false" outlineLevel="0" collapsed="false">
      <c r="A330" s="22" t="s">
        <v>7417</v>
      </c>
      <c r="B330" s="22" t="s">
        <v>159</v>
      </c>
      <c r="C330" s="22" t="s">
        <v>6562</v>
      </c>
      <c r="D330" s="22" t="s">
        <v>6724</v>
      </c>
      <c r="E330" s="22" t="n">
        <v>28</v>
      </c>
      <c r="F330" s="22" t="s">
        <v>6574</v>
      </c>
      <c r="G330" s="22" t="s">
        <v>6575</v>
      </c>
      <c r="H330" s="22" t="n">
        <v>10</v>
      </c>
      <c r="I330" s="22" t="s">
        <v>6576</v>
      </c>
      <c r="J330" s="22" t="s">
        <v>6577</v>
      </c>
      <c r="K330" s="22" t="s">
        <v>6780</v>
      </c>
      <c r="L330" s="22" t="s">
        <v>4922</v>
      </c>
      <c r="M330" s="22" t="s">
        <v>4923</v>
      </c>
      <c r="N330" s="22" t="s">
        <v>986</v>
      </c>
      <c r="O330" s="22" t="n">
        <v>26.2</v>
      </c>
      <c r="P330" s="22" t="n">
        <v>10.4</v>
      </c>
      <c r="Q330" s="22" t="s">
        <v>6877</v>
      </c>
      <c r="R330" s="22"/>
    </row>
    <row r="331" customFormat="false" ht="15" hidden="false" customHeight="false" outlineLevel="0" collapsed="false">
      <c r="A331" s="22" t="s">
        <v>7418</v>
      </c>
      <c r="B331" s="22" t="s">
        <v>159</v>
      </c>
      <c r="C331" s="22" t="s">
        <v>6562</v>
      </c>
      <c r="D331" s="22" t="s">
        <v>6724</v>
      </c>
      <c r="E331" s="22" t="n">
        <v>40</v>
      </c>
      <c r="F331" s="22" t="s">
        <v>6581</v>
      </c>
      <c r="G331" s="22" t="s">
        <v>6575</v>
      </c>
      <c r="H331" s="22" t="n">
        <v>14</v>
      </c>
      <c r="I331" s="22" t="s">
        <v>6582</v>
      </c>
      <c r="J331" s="22" t="s">
        <v>6577</v>
      </c>
      <c r="K331" s="22" t="s">
        <v>6783</v>
      </c>
      <c r="L331" s="22" t="s">
        <v>3203</v>
      </c>
      <c r="M331" s="22" t="s">
        <v>3204</v>
      </c>
      <c r="N331" s="22" t="s">
        <v>410</v>
      </c>
      <c r="O331" s="22" t="n">
        <v>22.7</v>
      </c>
      <c r="P331" s="22" t="n">
        <v>10.4</v>
      </c>
      <c r="Q331" s="22" t="s">
        <v>7419</v>
      </c>
      <c r="R331" s="22"/>
    </row>
    <row r="332" customFormat="false" ht="15" hidden="false" customHeight="false" outlineLevel="0" collapsed="false">
      <c r="A332" s="22" t="s">
        <v>7420</v>
      </c>
      <c r="B332" s="22" t="s">
        <v>159</v>
      </c>
      <c r="C332" s="22" t="s">
        <v>6562</v>
      </c>
      <c r="D332" s="22" t="s">
        <v>6724</v>
      </c>
      <c r="E332" s="22" t="n">
        <v>40</v>
      </c>
      <c r="F332" s="22" t="s">
        <v>6581</v>
      </c>
      <c r="G332" s="22" t="s">
        <v>6575</v>
      </c>
      <c r="H332" s="22" t="n">
        <v>14</v>
      </c>
      <c r="I332" s="22" t="s">
        <v>6582</v>
      </c>
      <c r="J332" s="22" t="s">
        <v>6577</v>
      </c>
      <c r="K332" s="22" t="s">
        <v>6786</v>
      </c>
      <c r="L332" s="22" t="s">
        <v>1468</v>
      </c>
      <c r="M332" s="22" t="s">
        <v>1469</v>
      </c>
      <c r="N332" s="22" t="s">
        <v>835</v>
      </c>
      <c r="O332" s="22" t="n">
        <v>43.8</v>
      </c>
      <c r="P332" s="22" t="n">
        <v>10.4</v>
      </c>
      <c r="Q332" s="22" t="s">
        <v>7421</v>
      </c>
      <c r="R332" s="22"/>
    </row>
    <row r="333" customFormat="false" ht="15" hidden="false" customHeight="false" outlineLevel="0" collapsed="false">
      <c r="A333" s="22" t="s">
        <v>7422</v>
      </c>
      <c r="B333" s="22" t="s">
        <v>159</v>
      </c>
      <c r="C333" s="22" t="s">
        <v>6562</v>
      </c>
      <c r="D333" s="22" t="s">
        <v>6724</v>
      </c>
      <c r="E333" s="22" t="n">
        <v>36</v>
      </c>
      <c r="F333" s="22" t="s">
        <v>6581</v>
      </c>
      <c r="G333" s="22" t="s">
        <v>6575</v>
      </c>
      <c r="H333" s="22" t="n">
        <v>13</v>
      </c>
      <c r="I333" s="22" t="s">
        <v>6582</v>
      </c>
      <c r="J333" s="22" t="s">
        <v>6577</v>
      </c>
      <c r="K333" s="22" t="s">
        <v>6788</v>
      </c>
      <c r="L333" s="22" t="s">
        <v>1030</v>
      </c>
      <c r="M333" s="22" t="s">
        <v>1031</v>
      </c>
      <c r="N333" s="22" t="s">
        <v>386</v>
      </c>
      <c r="O333" s="22" t="n">
        <v>36.7</v>
      </c>
      <c r="P333" s="22" t="n">
        <v>10.4</v>
      </c>
      <c r="Q333" s="22" t="s">
        <v>7423</v>
      </c>
      <c r="R333" s="22"/>
    </row>
    <row r="334" customFormat="false" ht="15" hidden="false" customHeight="false" outlineLevel="0" collapsed="false">
      <c r="A334" s="22" t="s">
        <v>7424</v>
      </c>
      <c r="B334" s="22" t="s">
        <v>159</v>
      </c>
      <c r="C334" s="22" t="s">
        <v>6562</v>
      </c>
      <c r="D334" s="22" t="s">
        <v>6791</v>
      </c>
      <c r="E334" s="22" t="n">
        <v>24</v>
      </c>
      <c r="F334" s="22" t="s">
        <v>6574</v>
      </c>
      <c r="G334" s="22" t="s">
        <v>6575</v>
      </c>
      <c r="H334" s="22" t="n">
        <v>9</v>
      </c>
      <c r="I334" s="22" t="s">
        <v>6576</v>
      </c>
      <c r="J334" s="22" t="s">
        <v>6577</v>
      </c>
      <c r="K334" s="22" t="s">
        <v>7425</v>
      </c>
      <c r="L334" s="22" t="s">
        <v>2195</v>
      </c>
      <c r="M334" s="22" t="s">
        <v>2196</v>
      </c>
      <c r="N334" s="22" t="s">
        <v>675</v>
      </c>
      <c r="O334" s="22" t="n">
        <v>41.1</v>
      </c>
      <c r="P334" s="22" t="n">
        <v>10.4</v>
      </c>
      <c r="Q334" s="22" t="s">
        <v>7426</v>
      </c>
      <c r="R334" s="22"/>
    </row>
    <row r="335" customFormat="false" ht="15" hidden="false" customHeight="false" outlineLevel="0" collapsed="false">
      <c r="A335" s="22" t="s">
        <v>7427</v>
      </c>
      <c r="B335" s="22" t="s">
        <v>159</v>
      </c>
      <c r="C335" s="22" t="s">
        <v>6562</v>
      </c>
      <c r="D335" s="22" t="s">
        <v>6791</v>
      </c>
      <c r="E335" s="22" t="n">
        <v>36</v>
      </c>
      <c r="F335" s="22" t="s">
        <v>6581</v>
      </c>
      <c r="G335" s="22" t="s">
        <v>6575</v>
      </c>
      <c r="H335" s="22" t="n">
        <v>13</v>
      </c>
      <c r="I335" s="22" t="s">
        <v>6582</v>
      </c>
      <c r="J335" s="22" t="s">
        <v>6577</v>
      </c>
      <c r="K335" s="22" t="s">
        <v>6794</v>
      </c>
      <c r="L335" s="22" t="s">
        <v>2547</v>
      </c>
      <c r="M335" s="22" t="s">
        <v>2548</v>
      </c>
      <c r="N335" s="22" t="s">
        <v>838</v>
      </c>
      <c r="O335" s="22" t="n">
        <v>46.8</v>
      </c>
      <c r="P335" s="22" t="n">
        <v>10.4</v>
      </c>
      <c r="Q335" s="22" t="s">
        <v>7398</v>
      </c>
      <c r="R335" s="22"/>
    </row>
    <row r="336" customFormat="false" ht="15" hidden="false" customHeight="false" outlineLevel="0" collapsed="false">
      <c r="A336" s="22" t="s">
        <v>7428</v>
      </c>
      <c r="B336" s="22" t="s">
        <v>159</v>
      </c>
      <c r="C336" s="22" t="s">
        <v>6562</v>
      </c>
      <c r="D336" s="22" t="s">
        <v>6791</v>
      </c>
      <c r="E336" s="22" t="n">
        <v>28</v>
      </c>
      <c r="F336" s="22" t="s">
        <v>6574</v>
      </c>
      <c r="G336" s="22" t="s">
        <v>6575</v>
      </c>
      <c r="H336" s="22" t="n">
        <v>10</v>
      </c>
      <c r="I336" s="22" t="s">
        <v>6576</v>
      </c>
      <c r="J336" s="22" t="s">
        <v>6577</v>
      </c>
      <c r="K336" s="22" t="s">
        <v>6797</v>
      </c>
      <c r="L336" s="22" t="s">
        <v>5835</v>
      </c>
      <c r="M336" s="22" t="s">
        <v>5836</v>
      </c>
      <c r="N336" s="22" t="s">
        <v>221</v>
      </c>
      <c r="O336" s="22" t="n">
        <v>37.4</v>
      </c>
      <c r="P336" s="22" t="n">
        <v>10.4</v>
      </c>
      <c r="Q336" s="22" t="s">
        <v>7429</v>
      </c>
      <c r="R336" s="22"/>
    </row>
    <row r="337" customFormat="false" ht="15" hidden="false" customHeight="false" outlineLevel="0" collapsed="false">
      <c r="A337" s="22" t="s">
        <v>7430</v>
      </c>
      <c r="B337" s="22" t="s">
        <v>159</v>
      </c>
      <c r="C337" s="22" t="s">
        <v>6562</v>
      </c>
      <c r="D337" s="22" t="s">
        <v>6791</v>
      </c>
      <c r="E337" s="22" t="n">
        <v>28</v>
      </c>
      <c r="F337" s="22" t="s">
        <v>6574</v>
      </c>
      <c r="G337" s="22" t="s">
        <v>6575</v>
      </c>
      <c r="H337" s="22" t="n">
        <v>10</v>
      </c>
      <c r="I337" s="22" t="s">
        <v>6576</v>
      </c>
      <c r="J337" s="22" t="s">
        <v>6613</v>
      </c>
      <c r="K337" s="22"/>
      <c r="L337" s="22"/>
      <c r="M337" s="22"/>
      <c r="N337" s="22"/>
      <c r="O337" s="22"/>
      <c r="P337" s="22" t="n">
        <v>10.4</v>
      </c>
      <c r="Q337" s="22" t="s">
        <v>7369</v>
      </c>
      <c r="R337" s="22"/>
    </row>
    <row r="338" customFormat="false" ht="15" hidden="false" customHeight="false" outlineLevel="0" collapsed="false">
      <c r="A338" s="22" t="s">
        <v>7431</v>
      </c>
      <c r="B338" s="22" t="s">
        <v>159</v>
      </c>
      <c r="C338" s="22" t="s">
        <v>6562</v>
      </c>
      <c r="D338" s="22" t="s">
        <v>6791</v>
      </c>
      <c r="E338" s="22" t="n">
        <v>36</v>
      </c>
      <c r="F338" s="22" t="s">
        <v>6581</v>
      </c>
      <c r="G338" s="22" t="s">
        <v>6575</v>
      </c>
      <c r="H338" s="22" t="n">
        <v>13</v>
      </c>
      <c r="I338" s="22" t="s">
        <v>6582</v>
      </c>
      <c r="J338" s="22" t="s">
        <v>6577</v>
      </c>
      <c r="K338" s="22" t="s">
        <v>6803</v>
      </c>
      <c r="L338" s="22" t="s">
        <v>2901</v>
      </c>
      <c r="M338" s="22" t="s">
        <v>2902</v>
      </c>
      <c r="N338" s="22" t="s">
        <v>2903</v>
      </c>
      <c r="O338" s="22" t="n">
        <v>55.4</v>
      </c>
      <c r="P338" s="22" t="n">
        <v>10.4</v>
      </c>
      <c r="Q338" s="22" t="s">
        <v>7432</v>
      </c>
      <c r="R338" s="22"/>
    </row>
    <row r="339" customFormat="false" ht="15" hidden="false" customHeight="false" outlineLevel="0" collapsed="false">
      <c r="A339" s="22" t="s">
        <v>7433</v>
      </c>
      <c r="B339" s="22" t="s">
        <v>159</v>
      </c>
      <c r="C339" s="22" t="s">
        <v>6562</v>
      </c>
      <c r="D339" s="22" t="s">
        <v>6791</v>
      </c>
      <c r="E339" s="22" t="n">
        <v>40</v>
      </c>
      <c r="F339" s="22" t="s">
        <v>6581</v>
      </c>
      <c r="G339" s="22" t="s">
        <v>6575</v>
      </c>
      <c r="H339" s="22" t="n">
        <v>14</v>
      </c>
      <c r="I339" s="22" t="s">
        <v>6582</v>
      </c>
      <c r="J339" s="22" t="s">
        <v>6577</v>
      </c>
      <c r="K339" s="22" t="s">
        <v>6806</v>
      </c>
      <c r="L339" s="22" t="s">
        <v>1714</v>
      </c>
      <c r="M339" s="22" t="s">
        <v>1715</v>
      </c>
      <c r="N339" s="22" t="s">
        <v>642</v>
      </c>
      <c r="O339" s="22" t="n">
        <v>56.4</v>
      </c>
      <c r="P339" s="22" t="n">
        <v>10.4</v>
      </c>
      <c r="Q339" s="22" t="s">
        <v>7434</v>
      </c>
      <c r="R339" s="22"/>
    </row>
    <row r="340" customFormat="false" ht="15" hidden="false" customHeight="false" outlineLevel="0" collapsed="false">
      <c r="A340" s="22" t="s">
        <v>7435</v>
      </c>
      <c r="B340" s="22" t="s">
        <v>159</v>
      </c>
      <c r="C340" s="22" t="s">
        <v>6562</v>
      </c>
      <c r="D340" s="22" t="s">
        <v>6791</v>
      </c>
      <c r="E340" s="22" t="n">
        <v>24</v>
      </c>
      <c r="F340" s="22" t="s">
        <v>6574</v>
      </c>
      <c r="G340" s="22" t="s">
        <v>6575</v>
      </c>
      <c r="H340" s="22" t="n">
        <v>9</v>
      </c>
      <c r="I340" s="22" t="s">
        <v>6576</v>
      </c>
      <c r="J340" s="22" t="s">
        <v>6577</v>
      </c>
      <c r="K340" s="22" t="s">
        <v>6809</v>
      </c>
      <c r="L340" s="22" t="s">
        <v>4181</v>
      </c>
      <c r="M340" s="22" t="s">
        <v>4182</v>
      </c>
      <c r="N340" s="22" t="s">
        <v>287</v>
      </c>
      <c r="O340" s="22" t="n">
        <v>30.6</v>
      </c>
      <c r="P340" s="22" t="n">
        <v>10.4</v>
      </c>
      <c r="Q340" s="22" t="s">
        <v>7436</v>
      </c>
      <c r="R340" s="22"/>
    </row>
    <row r="341" customFormat="false" ht="15" hidden="false" customHeight="false" outlineLevel="0" collapsed="false">
      <c r="A341" s="22" t="s">
        <v>7437</v>
      </c>
      <c r="B341" s="22" t="s">
        <v>159</v>
      </c>
      <c r="C341" s="22" t="s">
        <v>6562</v>
      </c>
      <c r="D341" s="22" t="s">
        <v>6791</v>
      </c>
      <c r="E341" s="22" t="n">
        <v>36</v>
      </c>
      <c r="F341" s="22" t="s">
        <v>6581</v>
      </c>
      <c r="G341" s="22" t="s">
        <v>6575</v>
      </c>
      <c r="H341" s="22" t="n">
        <v>13</v>
      </c>
      <c r="I341" s="22" t="s">
        <v>6582</v>
      </c>
      <c r="J341" s="22" t="s">
        <v>6577</v>
      </c>
      <c r="K341" s="22" t="s">
        <v>6812</v>
      </c>
      <c r="L341" s="22" t="s">
        <v>342</v>
      </c>
      <c r="M341" s="22" t="s">
        <v>343</v>
      </c>
      <c r="N341" s="22" t="s">
        <v>296</v>
      </c>
      <c r="O341" s="22" t="n">
        <v>52.4</v>
      </c>
      <c r="P341" s="22" t="n">
        <v>10.4</v>
      </c>
      <c r="Q341" s="22" t="s">
        <v>7438</v>
      </c>
      <c r="R341" s="22"/>
    </row>
    <row r="342" customFormat="false" ht="15" hidden="false" customHeight="false" outlineLevel="0" collapsed="false">
      <c r="A342" s="22" t="s">
        <v>7439</v>
      </c>
      <c r="B342" s="22" t="s">
        <v>159</v>
      </c>
      <c r="C342" s="22" t="s">
        <v>6562</v>
      </c>
      <c r="D342" s="22" t="s">
        <v>6791</v>
      </c>
      <c r="E342" s="22" t="n">
        <v>32</v>
      </c>
      <c r="F342" s="22" t="s">
        <v>6581</v>
      </c>
      <c r="G342" s="22" t="s">
        <v>6575</v>
      </c>
      <c r="H342" s="22" t="n">
        <v>12</v>
      </c>
      <c r="I342" s="22" t="s">
        <v>6576</v>
      </c>
      <c r="J342" s="22" t="s">
        <v>6577</v>
      </c>
      <c r="K342" s="22" t="s">
        <v>6815</v>
      </c>
      <c r="L342" s="22" t="s">
        <v>2270</v>
      </c>
      <c r="M342" s="22" t="s">
        <v>2271</v>
      </c>
      <c r="N342" s="22" t="s">
        <v>483</v>
      </c>
      <c r="O342" s="22" t="n">
        <v>57</v>
      </c>
      <c r="P342" s="22" t="n">
        <v>10.4</v>
      </c>
      <c r="Q342" s="22" t="s">
        <v>7440</v>
      </c>
      <c r="R342" s="22"/>
    </row>
    <row r="343" customFormat="false" ht="15" hidden="false" customHeight="false" outlineLevel="0" collapsed="false">
      <c r="A343" s="22" t="s">
        <v>7441</v>
      </c>
      <c r="B343" s="22" t="s">
        <v>159</v>
      </c>
      <c r="C343" s="22" t="s">
        <v>6562</v>
      </c>
      <c r="D343" s="22" t="s">
        <v>6791</v>
      </c>
      <c r="E343" s="22" t="n">
        <v>32</v>
      </c>
      <c r="F343" s="22" t="s">
        <v>6581</v>
      </c>
      <c r="G343" s="22" t="s">
        <v>6575</v>
      </c>
      <c r="H343" s="22" t="n">
        <v>12</v>
      </c>
      <c r="I343" s="22" t="s">
        <v>6576</v>
      </c>
      <c r="J343" s="22" t="s">
        <v>6577</v>
      </c>
      <c r="K343" s="22" t="s">
        <v>6818</v>
      </c>
      <c r="L343" s="22" t="s">
        <v>4209</v>
      </c>
      <c r="M343" s="22" t="s">
        <v>4210</v>
      </c>
      <c r="N343" s="22" t="s">
        <v>787</v>
      </c>
      <c r="O343" s="22" t="n">
        <v>20.6</v>
      </c>
      <c r="P343" s="22" t="n">
        <v>10.4</v>
      </c>
      <c r="Q343" s="22" t="s">
        <v>6695</v>
      </c>
      <c r="R343" s="22"/>
    </row>
    <row r="344" customFormat="false" ht="15" hidden="false" customHeight="false" outlineLevel="0" collapsed="false">
      <c r="A344" s="22" t="s">
        <v>7442</v>
      </c>
      <c r="B344" s="22" t="s">
        <v>159</v>
      </c>
      <c r="C344" s="22" t="s">
        <v>6562</v>
      </c>
      <c r="D344" s="22" t="s">
        <v>6791</v>
      </c>
      <c r="E344" s="22" t="n">
        <v>24</v>
      </c>
      <c r="F344" s="22" t="s">
        <v>6574</v>
      </c>
      <c r="G344" s="22" t="s">
        <v>6575</v>
      </c>
      <c r="H344" s="22" t="n">
        <v>9</v>
      </c>
      <c r="I344" s="22" t="s">
        <v>6576</v>
      </c>
      <c r="J344" s="22" t="s">
        <v>6577</v>
      </c>
      <c r="K344" s="22" t="s">
        <v>6821</v>
      </c>
      <c r="L344" s="22" t="s">
        <v>4705</v>
      </c>
      <c r="M344" s="22" t="s">
        <v>4706</v>
      </c>
      <c r="N344" s="22" t="s">
        <v>687</v>
      </c>
      <c r="O344" s="22" t="n">
        <v>37</v>
      </c>
      <c r="P344" s="22" t="n">
        <v>10.4</v>
      </c>
      <c r="Q344" s="22" t="s">
        <v>6611</v>
      </c>
      <c r="R344" s="22"/>
    </row>
    <row r="345" customFormat="false" ht="15" hidden="false" customHeight="false" outlineLevel="0" collapsed="false">
      <c r="A345" s="22" t="s">
        <v>7443</v>
      </c>
      <c r="B345" s="22" t="s">
        <v>159</v>
      </c>
      <c r="C345" s="22" t="s">
        <v>6562</v>
      </c>
      <c r="D345" s="22" t="s">
        <v>6791</v>
      </c>
      <c r="E345" s="22" t="n">
        <v>36</v>
      </c>
      <c r="F345" s="22" t="s">
        <v>6581</v>
      </c>
      <c r="G345" s="22" t="s">
        <v>6575</v>
      </c>
      <c r="H345" s="22" t="n">
        <v>13</v>
      </c>
      <c r="I345" s="22" t="s">
        <v>6582</v>
      </c>
      <c r="J345" s="22" t="s">
        <v>6577</v>
      </c>
      <c r="K345" s="22" t="s">
        <v>6824</v>
      </c>
      <c r="L345" s="22" t="s">
        <v>3195</v>
      </c>
      <c r="M345" s="22" t="s">
        <v>3196</v>
      </c>
      <c r="N345" s="22" t="s">
        <v>454</v>
      </c>
      <c r="O345" s="22" t="n">
        <v>55.9</v>
      </c>
      <c r="P345" s="22" t="n">
        <v>10.4</v>
      </c>
      <c r="Q345" s="22" t="s">
        <v>7444</v>
      </c>
      <c r="R345" s="22"/>
    </row>
    <row r="346" customFormat="false" ht="15" hidden="false" customHeight="false" outlineLevel="0" collapsed="false">
      <c r="A346" s="22" t="s">
        <v>7445</v>
      </c>
      <c r="B346" s="22" t="s">
        <v>159</v>
      </c>
      <c r="C346" s="22" t="s">
        <v>6562</v>
      </c>
      <c r="D346" s="22" t="s">
        <v>6791</v>
      </c>
      <c r="E346" s="22" t="n">
        <v>32</v>
      </c>
      <c r="F346" s="22" t="s">
        <v>6581</v>
      </c>
      <c r="G346" s="22" t="s">
        <v>6575</v>
      </c>
      <c r="H346" s="22" t="n">
        <v>12</v>
      </c>
      <c r="I346" s="22" t="s">
        <v>6576</v>
      </c>
      <c r="J346" s="22" t="s">
        <v>6577</v>
      </c>
      <c r="K346" s="22" t="s">
        <v>6827</v>
      </c>
      <c r="L346" s="22" t="s">
        <v>202</v>
      </c>
      <c r="M346" s="22" t="s">
        <v>203</v>
      </c>
      <c r="N346" s="22" t="s">
        <v>204</v>
      </c>
      <c r="O346" s="22" t="n">
        <v>43.6</v>
      </c>
      <c r="P346" s="22" t="n">
        <v>10.4</v>
      </c>
      <c r="Q346" s="22" t="s">
        <v>7446</v>
      </c>
      <c r="R346" s="22"/>
    </row>
    <row r="347" customFormat="false" ht="15" hidden="false" customHeight="false" outlineLevel="0" collapsed="false">
      <c r="A347" s="22" t="s">
        <v>7447</v>
      </c>
      <c r="B347" s="22" t="s">
        <v>159</v>
      </c>
      <c r="C347" s="22" t="s">
        <v>6562</v>
      </c>
      <c r="D347" s="22" t="s">
        <v>6791</v>
      </c>
      <c r="E347" s="22" t="n">
        <v>32</v>
      </c>
      <c r="F347" s="22" t="s">
        <v>6581</v>
      </c>
      <c r="G347" s="22" t="s">
        <v>6575</v>
      </c>
      <c r="H347" s="22" t="n">
        <v>12</v>
      </c>
      <c r="I347" s="22" t="s">
        <v>6576</v>
      </c>
      <c r="J347" s="22" t="s">
        <v>6577</v>
      </c>
      <c r="K347" s="22" t="s">
        <v>7448</v>
      </c>
      <c r="L347" s="22" t="s">
        <v>6138</v>
      </c>
      <c r="M347" s="22" t="s">
        <v>6139</v>
      </c>
      <c r="N347" s="22" t="s">
        <v>962</v>
      </c>
      <c r="O347" s="22" t="n">
        <v>55.4</v>
      </c>
      <c r="P347" s="22" t="n">
        <v>10.4</v>
      </c>
      <c r="Q347" s="22" t="s">
        <v>7440</v>
      </c>
      <c r="R347" s="22"/>
    </row>
    <row r="348" customFormat="false" ht="15" hidden="false" customHeight="false" outlineLevel="0" collapsed="false">
      <c r="A348" s="22" t="s">
        <v>7449</v>
      </c>
      <c r="B348" s="22" t="s">
        <v>159</v>
      </c>
      <c r="C348" s="22" t="s">
        <v>6562</v>
      </c>
      <c r="D348" s="22" t="s">
        <v>6791</v>
      </c>
      <c r="E348" s="22" t="n">
        <v>24</v>
      </c>
      <c r="F348" s="22" t="s">
        <v>6574</v>
      </c>
      <c r="G348" s="22" t="s">
        <v>6575</v>
      </c>
      <c r="H348" s="22" t="n">
        <v>9</v>
      </c>
      <c r="I348" s="22" t="s">
        <v>6576</v>
      </c>
      <c r="J348" s="22" t="s">
        <v>6577</v>
      </c>
      <c r="K348" s="22" t="s">
        <v>6832</v>
      </c>
      <c r="L348" s="22" t="s">
        <v>5754</v>
      </c>
      <c r="M348" s="22" t="s">
        <v>5755</v>
      </c>
      <c r="N348" s="22" t="s">
        <v>1945</v>
      </c>
      <c r="O348" s="22" t="n">
        <v>23.3</v>
      </c>
      <c r="P348" s="22" t="n">
        <v>10.4</v>
      </c>
      <c r="Q348" s="22" t="s">
        <v>7288</v>
      </c>
      <c r="R348" s="22"/>
    </row>
    <row r="349" customFormat="false" ht="15" hidden="false" customHeight="false" outlineLevel="0" collapsed="false">
      <c r="A349" s="22" t="s">
        <v>7450</v>
      </c>
      <c r="B349" s="22" t="s">
        <v>159</v>
      </c>
      <c r="C349" s="22" t="s">
        <v>6562</v>
      </c>
      <c r="D349" s="22" t="s">
        <v>6791</v>
      </c>
      <c r="E349" s="22" t="n">
        <v>36</v>
      </c>
      <c r="F349" s="22" t="s">
        <v>6581</v>
      </c>
      <c r="G349" s="22" t="s">
        <v>6575</v>
      </c>
      <c r="H349" s="22" t="n">
        <v>13</v>
      </c>
      <c r="I349" s="22" t="s">
        <v>6582</v>
      </c>
      <c r="J349" s="22" t="s">
        <v>6577</v>
      </c>
      <c r="K349" s="22" t="s">
        <v>6835</v>
      </c>
      <c r="L349" s="22" t="s">
        <v>5942</v>
      </c>
      <c r="M349" s="22" t="s">
        <v>5943</v>
      </c>
      <c r="N349" s="22" t="s">
        <v>370</v>
      </c>
      <c r="O349" s="22" t="n">
        <v>19</v>
      </c>
      <c r="P349" s="22" t="n">
        <v>10.4</v>
      </c>
      <c r="Q349" s="22" t="s">
        <v>7451</v>
      </c>
      <c r="R349" s="22"/>
    </row>
    <row r="350" customFormat="false" ht="15" hidden="false" customHeight="false" outlineLevel="0" collapsed="false">
      <c r="A350" s="22" t="s">
        <v>7452</v>
      </c>
      <c r="B350" s="22" t="s">
        <v>159</v>
      </c>
      <c r="C350" s="22" t="s">
        <v>6562</v>
      </c>
      <c r="D350" s="22" t="s">
        <v>6791</v>
      </c>
      <c r="E350" s="22" t="n">
        <v>32</v>
      </c>
      <c r="F350" s="22" t="s">
        <v>6581</v>
      </c>
      <c r="G350" s="22" t="s">
        <v>6575</v>
      </c>
      <c r="H350" s="22" t="n">
        <v>12</v>
      </c>
      <c r="I350" s="22" t="s">
        <v>6576</v>
      </c>
      <c r="J350" s="22" t="s">
        <v>6577</v>
      </c>
      <c r="K350" s="22" t="s">
        <v>6838</v>
      </c>
      <c r="L350" s="22" t="s">
        <v>5453</v>
      </c>
      <c r="M350" s="22" t="s">
        <v>5454</v>
      </c>
      <c r="N350" s="22" t="s">
        <v>413</v>
      </c>
      <c r="O350" s="22" t="n">
        <v>25.7</v>
      </c>
      <c r="P350" s="22" t="n">
        <v>10.4</v>
      </c>
      <c r="Q350" s="22" t="s">
        <v>6719</v>
      </c>
      <c r="R350" s="22"/>
    </row>
    <row r="351" customFormat="false" ht="15" hidden="false" customHeight="false" outlineLevel="0" collapsed="false">
      <c r="A351" s="22" t="s">
        <v>7453</v>
      </c>
      <c r="B351" s="22" t="s">
        <v>159</v>
      </c>
      <c r="C351" s="22" t="s">
        <v>6562</v>
      </c>
      <c r="D351" s="22" t="s">
        <v>6791</v>
      </c>
      <c r="E351" s="22" t="n">
        <v>32</v>
      </c>
      <c r="F351" s="22" t="s">
        <v>6581</v>
      </c>
      <c r="G351" s="22" t="s">
        <v>6575</v>
      </c>
      <c r="H351" s="22" t="n">
        <v>12</v>
      </c>
      <c r="I351" s="22" t="s">
        <v>6576</v>
      </c>
      <c r="J351" s="22" t="s">
        <v>6577</v>
      </c>
      <c r="K351" s="22" t="s">
        <v>6841</v>
      </c>
      <c r="L351" s="22" t="s">
        <v>5158</v>
      </c>
      <c r="M351" s="22" t="s">
        <v>5159</v>
      </c>
      <c r="N351" s="22" t="s">
        <v>428</v>
      </c>
      <c r="O351" s="22" t="n">
        <v>33.8</v>
      </c>
      <c r="P351" s="22" t="n">
        <v>10.4</v>
      </c>
      <c r="Q351" s="22" t="s">
        <v>6964</v>
      </c>
      <c r="R351" s="22"/>
    </row>
    <row r="352" customFormat="false" ht="15" hidden="false" customHeight="false" outlineLevel="0" collapsed="false">
      <c r="A352" s="22" t="s">
        <v>7454</v>
      </c>
      <c r="B352" s="22" t="s">
        <v>159</v>
      </c>
      <c r="C352" s="22" t="s">
        <v>6562</v>
      </c>
      <c r="D352" s="22" t="s">
        <v>6791</v>
      </c>
      <c r="E352" s="22" t="n">
        <v>32</v>
      </c>
      <c r="F352" s="22" t="s">
        <v>6581</v>
      </c>
      <c r="G352" s="22" t="s">
        <v>6575</v>
      </c>
      <c r="H352" s="22" t="n">
        <v>12</v>
      </c>
      <c r="I352" s="22" t="s">
        <v>6576</v>
      </c>
      <c r="J352" s="22" t="s">
        <v>6577</v>
      </c>
      <c r="K352" s="22" t="s">
        <v>6844</v>
      </c>
      <c r="L352" s="22" t="s">
        <v>6502</v>
      </c>
      <c r="M352" s="22" t="s">
        <v>6503</v>
      </c>
      <c r="N352" s="22" t="s">
        <v>395</v>
      </c>
      <c r="O352" s="22" t="n">
        <v>32.3</v>
      </c>
      <c r="P352" s="22" t="n">
        <v>10.4</v>
      </c>
      <c r="Q352" s="22" t="s">
        <v>7455</v>
      </c>
      <c r="R352" s="22"/>
    </row>
    <row r="353" customFormat="false" ht="15" hidden="false" customHeight="false" outlineLevel="0" collapsed="false">
      <c r="A353" s="22" t="s">
        <v>7456</v>
      </c>
      <c r="B353" s="22" t="s">
        <v>159</v>
      </c>
      <c r="C353" s="22" t="s">
        <v>6562</v>
      </c>
      <c r="D353" s="22" t="s">
        <v>6791</v>
      </c>
      <c r="E353" s="22" t="n">
        <v>24</v>
      </c>
      <c r="F353" s="22" t="s">
        <v>6574</v>
      </c>
      <c r="G353" s="22" t="s">
        <v>6575</v>
      </c>
      <c r="H353" s="22" t="n">
        <v>9</v>
      </c>
      <c r="I353" s="22" t="s">
        <v>6576</v>
      </c>
      <c r="J353" s="22" t="s">
        <v>6577</v>
      </c>
      <c r="K353" s="22" t="s">
        <v>6847</v>
      </c>
      <c r="L353" s="22" t="s">
        <v>776</v>
      </c>
      <c r="M353" s="22" t="s">
        <v>777</v>
      </c>
      <c r="N353" s="22" t="s">
        <v>778</v>
      </c>
      <c r="O353" s="22" t="n">
        <v>27.2</v>
      </c>
      <c r="P353" s="22" t="n">
        <v>10.4</v>
      </c>
      <c r="Q353" s="22" t="s">
        <v>7457</v>
      </c>
      <c r="R353" s="22"/>
    </row>
    <row r="354" customFormat="false" ht="15" hidden="false" customHeight="false" outlineLevel="0" collapsed="false">
      <c r="A354" s="22" t="s">
        <v>7458</v>
      </c>
      <c r="B354" s="22" t="s">
        <v>159</v>
      </c>
      <c r="C354" s="22" t="s">
        <v>6562</v>
      </c>
      <c r="D354" s="22" t="s">
        <v>6791</v>
      </c>
      <c r="E354" s="22" t="n">
        <v>40</v>
      </c>
      <c r="F354" s="22" t="s">
        <v>6581</v>
      </c>
      <c r="G354" s="22" t="s">
        <v>6575</v>
      </c>
      <c r="H354" s="22" t="n">
        <v>14</v>
      </c>
      <c r="I354" s="22" t="s">
        <v>6582</v>
      </c>
      <c r="J354" s="22" t="s">
        <v>6901</v>
      </c>
      <c r="K354" s="22"/>
      <c r="L354" s="22"/>
      <c r="M354" s="22"/>
      <c r="N354" s="22"/>
      <c r="O354" s="22"/>
      <c r="P354" s="22" t="n">
        <v>10.4</v>
      </c>
      <c r="Q354" s="22" t="s">
        <v>7459</v>
      </c>
      <c r="R354" s="22"/>
    </row>
    <row r="355" customFormat="false" ht="15" hidden="false" customHeight="false" outlineLevel="0" collapsed="false">
      <c r="A355" s="22" t="s">
        <v>7460</v>
      </c>
      <c r="B355" s="22" t="s">
        <v>159</v>
      </c>
      <c r="C355" s="22" t="s">
        <v>6562</v>
      </c>
      <c r="D355" s="22" t="s">
        <v>6791</v>
      </c>
      <c r="E355" s="22" t="n">
        <v>36</v>
      </c>
      <c r="F355" s="22" t="s">
        <v>6581</v>
      </c>
      <c r="G355" s="22" t="s">
        <v>6575</v>
      </c>
      <c r="H355" s="22" t="n">
        <v>13</v>
      </c>
      <c r="I355" s="22" t="s">
        <v>6582</v>
      </c>
      <c r="J355" s="22" t="s">
        <v>6577</v>
      </c>
      <c r="K355" s="22" t="s">
        <v>6852</v>
      </c>
      <c r="L355" s="22" t="s">
        <v>6396</v>
      </c>
      <c r="M355" s="22" t="s">
        <v>6397</v>
      </c>
      <c r="N355" s="22" t="s">
        <v>4620</v>
      </c>
      <c r="O355" s="22" t="n">
        <v>31.6</v>
      </c>
      <c r="P355" s="22" t="n">
        <v>10.4</v>
      </c>
      <c r="Q355" s="22" t="s">
        <v>7461</v>
      </c>
      <c r="R355" s="22"/>
    </row>
    <row r="356" customFormat="false" ht="15" hidden="false" customHeight="false" outlineLevel="0" collapsed="false">
      <c r="A356" s="22" t="s">
        <v>7462</v>
      </c>
      <c r="B356" s="22" t="s">
        <v>159</v>
      </c>
      <c r="C356" s="22" t="s">
        <v>6562</v>
      </c>
      <c r="D356" s="22" t="s">
        <v>6791</v>
      </c>
      <c r="E356" s="22" t="n">
        <v>24</v>
      </c>
      <c r="F356" s="22" t="s">
        <v>6574</v>
      </c>
      <c r="G356" s="22" t="s">
        <v>6575</v>
      </c>
      <c r="H356" s="22" t="n">
        <v>9</v>
      </c>
      <c r="I356" s="22" t="s">
        <v>6576</v>
      </c>
      <c r="J356" s="22" t="s">
        <v>6577</v>
      </c>
      <c r="K356" s="22" t="s">
        <v>6855</v>
      </c>
      <c r="L356" s="22" t="s">
        <v>4842</v>
      </c>
      <c r="M356" s="22" t="s">
        <v>4843</v>
      </c>
      <c r="N356" s="22" t="s">
        <v>2468</v>
      </c>
      <c r="O356" s="22" t="n">
        <v>30.1</v>
      </c>
      <c r="P356" s="22" t="n">
        <v>10.4</v>
      </c>
      <c r="Q356" s="22" t="s">
        <v>6660</v>
      </c>
      <c r="R356" s="22"/>
    </row>
    <row r="357" customFormat="false" ht="15" hidden="false" customHeight="false" outlineLevel="0" collapsed="false">
      <c r="A357" s="22" t="s">
        <v>7463</v>
      </c>
      <c r="B357" s="22" t="s">
        <v>159</v>
      </c>
      <c r="C357" s="22" t="s">
        <v>6562</v>
      </c>
      <c r="D357" s="22" t="s">
        <v>6791</v>
      </c>
      <c r="E357" s="22" t="n">
        <v>40</v>
      </c>
      <c r="F357" s="22" t="s">
        <v>6581</v>
      </c>
      <c r="G357" s="22" t="s">
        <v>6575</v>
      </c>
      <c r="H357" s="22" t="n">
        <v>14</v>
      </c>
      <c r="I357" s="22" t="s">
        <v>6582</v>
      </c>
      <c r="J357" s="22" t="s">
        <v>6577</v>
      </c>
      <c r="K357" s="22" t="s">
        <v>6858</v>
      </c>
      <c r="L357" s="22" t="s">
        <v>4355</v>
      </c>
      <c r="M357" s="22" t="s">
        <v>4356</v>
      </c>
      <c r="N357" s="22" t="s">
        <v>802</v>
      </c>
      <c r="O357" s="22" t="n">
        <v>48.8</v>
      </c>
      <c r="P357" s="22" t="n">
        <v>10.4</v>
      </c>
      <c r="Q357" s="22" t="s">
        <v>7464</v>
      </c>
      <c r="R357" s="22"/>
    </row>
    <row r="358" customFormat="false" ht="15" hidden="false" customHeight="false" outlineLevel="0" collapsed="false">
      <c r="A358" s="22" t="s">
        <v>7465</v>
      </c>
      <c r="B358" s="22" t="s">
        <v>159</v>
      </c>
      <c r="C358" s="22" t="s">
        <v>6562</v>
      </c>
      <c r="D358" s="22" t="s">
        <v>6861</v>
      </c>
      <c r="E358" s="22" t="n">
        <v>28</v>
      </c>
      <c r="F358" s="22" t="s">
        <v>6574</v>
      </c>
      <c r="G358" s="22" t="s">
        <v>6575</v>
      </c>
      <c r="H358" s="22" t="n">
        <v>10</v>
      </c>
      <c r="I358" s="22" t="s">
        <v>6576</v>
      </c>
      <c r="J358" s="22" t="s">
        <v>6577</v>
      </c>
      <c r="K358" s="22" t="s">
        <v>7466</v>
      </c>
      <c r="L358" s="22" t="s">
        <v>5891</v>
      </c>
      <c r="M358" s="22" t="s">
        <v>5892</v>
      </c>
      <c r="N358" s="22" t="s">
        <v>2177</v>
      </c>
      <c r="O358" s="22" t="n">
        <v>36.2</v>
      </c>
      <c r="P358" s="22" t="n">
        <v>10.4</v>
      </c>
      <c r="Q358" s="22" t="s">
        <v>6644</v>
      </c>
      <c r="R358" s="22"/>
    </row>
    <row r="359" customFormat="false" ht="15" hidden="false" customHeight="false" outlineLevel="0" collapsed="false">
      <c r="A359" s="22" t="s">
        <v>7467</v>
      </c>
      <c r="B359" s="22" t="s">
        <v>159</v>
      </c>
      <c r="C359" s="22" t="s">
        <v>6562</v>
      </c>
      <c r="D359" s="22" t="s">
        <v>6861</v>
      </c>
      <c r="E359" s="22" t="n">
        <v>32</v>
      </c>
      <c r="F359" s="22" t="s">
        <v>6581</v>
      </c>
      <c r="G359" s="22" t="s">
        <v>6575</v>
      </c>
      <c r="H359" s="22" t="n">
        <v>12</v>
      </c>
      <c r="I359" s="22" t="s">
        <v>6576</v>
      </c>
      <c r="J359" s="22" t="s">
        <v>6577</v>
      </c>
      <c r="K359" s="22" t="s">
        <v>6864</v>
      </c>
      <c r="L359" s="22" t="s">
        <v>2923</v>
      </c>
      <c r="M359" s="22" t="s">
        <v>1005</v>
      </c>
      <c r="N359" s="22" t="s">
        <v>1974</v>
      </c>
      <c r="O359" s="22" t="n">
        <v>40.1</v>
      </c>
      <c r="P359" s="22" t="n">
        <v>10.4</v>
      </c>
      <c r="Q359" s="22" t="s">
        <v>7468</v>
      </c>
      <c r="R359" s="22"/>
    </row>
    <row r="360" customFormat="false" ht="15" hidden="false" customHeight="false" outlineLevel="0" collapsed="false">
      <c r="A360" s="22" t="s">
        <v>7469</v>
      </c>
      <c r="B360" s="22" t="s">
        <v>159</v>
      </c>
      <c r="C360" s="22" t="s">
        <v>6562</v>
      </c>
      <c r="D360" s="22" t="s">
        <v>6861</v>
      </c>
      <c r="E360" s="22" t="n">
        <v>24</v>
      </c>
      <c r="F360" s="22" t="s">
        <v>6574</v>
      </c>
      <c r="G360" s="22" t="s">
        <v>6575</v>
      </c>
      <c r="H360" s="22" t="n">
        <v>9</v>
      </c>
      <c r="I360" s="22" t="s">
        <v>6576</v>
      </c>
      <c r="J360" s="22" t="s">
        <v>6613</v>
      </c>
      <c r="K360" s="22"/>
      <c r="L360" s="22"/>
      <c r="M360" s="22"/>
      <c r="N360" s="22"/>
      <c r="O360" s="22"/>
      <c r="P360" s="22" t="n">
        <v>10.4</v>
      </c>
      <c r="Q360" s="22" t="s">
        <v>7470</v>
      </c>
      <c r="R360" s="22"/>
    </row>
    <row r="361" customFormat="false" ht="15" hidden="false" customHeight="false" outlineLevel="0" collapsed="false">
      <c r="A361" s="22" t="s">
        <v>7471</v>
      </c>
      <c r="B361" s="22" t="s">
        <v>159</v>
      </c>
      <c r="C361" s="22" t="s">
        <v>6562</v>
      </c>
      <c r="D361" s="22" t="s">
        <v>6861</v>
      </c>
      <c r="E361" s="22" t="n">
        <v>36</v>
      </c>
      <c r="F361" s="22" t="s">
        <v>6581</v>
      </c>
      <c r="G361" s="22" t="s">
        <v>6575</v>
      </c>
      <c r="H361" s="22" t="n">
        <v>13</v>
      </c>
      <c r="I361" s="22" t="s">
        <v>6582</v>
      </c>
      <c r="J361" s="22" t="s">
        <v>6577</v>
      </c>
      <c r="K361" s="22" t="s">
        <v>6870</v>
      </c>
      <c r="L361" s="22" t="s">
        <v>6208</v>
      </c>
      <c r="M361" s="22" t="s">
        <v>6209</v>
      </c>
      <c r="N361" s="22" t="s">
        <v>2201</v>
      </c>
      <c r="O361" s="22" t="n">
        <v>51.6</v>
      </c>
      <c r="P361" s="22" t="n">
        <v>10.4</v>
      </c>
      <c r="Q361" s="22" t="s">
        <v>6946</v>
      </c>
      <c r="R361" s="22"/>
    </row>
    <row r="362" customFormat="false" ht="15" hidden="false" customHeight="false" outlineLevel="0" collapsed="false">
      <c r="A362" s="22" t="s">
        <v>7472</v>
      </c>
      <c r="B362" s="22" t="s">
        <v>159</v>
      </c>
      <c r="C362" s="22" t="s">
        <v>6562</v>
      </c>
      <c r="D362" s="22" t="s">
        <v>6861</v>
      </c>
      <c r="E362" s="22" t="n">
        <v>36</v>
      </c>
      <c r="F362" s="22" t="s">
        <v>6581</v>
      </c>
      <c r="G362" s="22" t="s">
        <v>6575</v>
      </c>
      <c r="H362" s="22" t="n">
        <v>13</v>
      </c>
      <c r="I362" s="22" t="s">
        <v>6582</v>
      </c>
      <c r="J362" s="22" t="s">
        <v>6577</v>
      </c>
      <c r="K362" s="22" t="s">
        <v>6873</v>
      </c>
      <c r="L362" s="22" t="s">
        <v>5424</v>
      </c>
      <c r="M362" s="22" t="s">
        <v>5425</v>
      </c>
      <c r="N362" s="22" t="s">
        <v>451</v>
      </c>
      <c r="O362" s="22" t="n">
        <v>54.4</v>
      </c>
      <c r="P362" s="22" t="n">
        <v>10.4</v>
      </c>
      <c r="Q362" s="22" t="s">
        <v>6726</v>
      </c>
      <c r="R362" s="22"/>
    </row>
    <row r="363" customFormat="false" ht="15" hidden="false" customHeight="false" outlineLevel="0" collapsed="false">
      <c r="A363" s="22" t="s">
        <v>7473</v>
      </c>
      <c r="B363" s="22" t="s">
        <v>159</v>
      </c>
      <c r="C363" s="22" t="s">
        <v>6562</v>
      </c>
      <c r="D363" s="22" t="s">
        <v>6861</v>
      </c>
      <c r="E363" s="22" t="n">
        <v>28</v>
      </c>
      <c r="F363" s="22" t="s">
        <v>6574</v>
      </c>
      <c r="G363" s="22" t="s">
        <v>6575</v>
      </c>
      <c r="H363" s="22" t="n">
        <v>10</v>
      </c>
      <c r="I363" s="22" t="s">
        <v>6576</v>
      </c>
      <c r="J363" s="22" t="s">
        <v>6577</v>
      </c>
      <c r="K363" s="22" t="s">
        <v>6876</v>
      </c>
      <c r="L363" s="22" t="s">
        <v>5044</v>
      </c>
      <c r="M363" s="22" t="s">
        <v>5045</v>
      </c>
      <c r="N363" s="22" t="s">
        <v>194</v>
      </c>
      <c r="O363" s="22" t="n">
        <v>39.5</v>
      </c>
      <c r="P363" s="22" t="n">
        <v>10.4</v>
      </c>
      <c r="Q363" s="22" t="s">
        <v>7474</v>
      </c>
      <c r="R363" s="22"/>
    </row>
    <row r="364" customFormat="false" ht="15" hidden="false" customHeight="false" outlineLevel="0" collapsed="false">
      <c r="A364" s="22" t="s">
        <v>7475</v>
      </c>
      <c r="B364" s="22" t="s">
        <v>159</v>
      </c>
      <c r="C364" s="22" t="s">
        <v>6562</v>
      </c>
      <c r="D364" s="22" t="s">
        <v>6861</v>
      </c>
      <c r="E364" s="22" t="n">
        <v>40</v>
      </c>
      <c r="F364" s="22" t="s">
        <v>6581</v>
      </c>
      <c r="G364" s="22" t="s">
        <v>6575</v>
      </c>
      <c r="H364" s="22" t="n">
        <v>14</v>
      </c>
      <c r="I364" s="22" t="s">
        <v>6582</v>
      </c>
      <c r="J364" s="22" t="s">
        <v>6577</v>
      </c>
      <c r="K364" s="22" t="s">
        <v>6879</v>
      </c>
      <c r="L364" s="22" t="s">
        <v>1595</v>
      </c>
      <c r="M364" s="22" t="s">
        <v>1596</v>
      </c>
      <c r="N364" s="22" t="s">
        <v>422</v>
      </c>
      <c r="O364" s="22" t="n">
        <v>29.8</v>
      </c>
      <c r="P364" s="22" t="n">
        <v>10.4</v>
      </c>
      <c r="Q364" s="22" t="s">
        <v>7315</v>
      </c>
      <c r="R364" s="22"/>
    </row>
    <row r="365" customFormat="false" ht="15" hidden="false" customHeight="false" outlineLevel="0" collapsed="false">
      <c r="A365" s="22" t="s">
        <v>7476</v>
      </c>
      <c r="B365" s="22" t="s">
        <v>159</v>
      </c>
      <c r="C365" s="22" t="s">
        <v>6562</v>
      </c>
      <c r="D365" s="22" t="s">
        <v>6861</v>
      </c>
      <c r="E365" s="22" t="n">
        <v>24</v>
      </c>
      <c r="F365" s="22" t="s">
        <v>6574</v>
      </c>
      <c r="G365" s="22" t="s">
        <v>6575</v>
      </c>
      <c r="H365" s="22" t="n">
        <v>9</v>
      </c>
      <c r="I365" s="22" t="s">
        <v>6576</v>
      </c>
      <c r="J365" s="22" t="s">
        <v>6577</v>
      </c>
      <c r="K365" s="22" t="s">
        <v>6881</v>
      </c>
      <c r="L365" s="22" t="s">
        <v>2274</v>
      </c>
      <c r="M365" s="22" t="s">
        <v>2275</v>
      </c>
      <c r="N365" s="22" t="s">
        <v>1024</v>
      </c>
      <c r="O365" s="22" t="n">
        <v>53.2</v>
      </c>
      <c r="P365" s="22" t="n">
        <v>10.4</v>
      </c>
      <c r="Q365" s="22" t="s">
        <v>6801</v>
      </c>
      <c r="R365" s="22"/>
    </row>
    <row r="366" customFormat="false" ht="15" hidden="false" customHeight="false" outlineLevel="0" collapsed="false">
      <c r="A366" s="22" t="s">
        <v>7477</v>
      </c>
      <c r="B366" s="22" t="s">
        <v>159</v>
      </c>
      <c r="C366" s="22" t="s">
        <v>6562</v>
      </c>
      <c r="D366" s="22" t="s">
        <v>6861</v>
      </c>
      <c r="E366" s="22" t="n">
        <v>28</v>
      </c>
      <c r="F366" s="22" t="s">
        <v>6574</v>
      </c>
      <c r="G366" s="22" t="s">
        <v>6575</v>
      </c>
      <c r="H366" s="22" t="n">
        <v>10</v>
      </c>
      <c r="I366" s="22" t="s">
        <v>6576</v>
      </c>
      <c r="J366" s="22" t="s">
        <v>6577</v>
      </c>
      <c r="K366" s="22" t="s">
        <v>6883</v>
      </c>
      <c r="L366" s="22" t="s">
        <v>3350</v>
      </c>
      <c r="M366" s="22" t="s">
        <v>3351</v>
      </c>
      <c r="N366" s="22" t="s">
        <v>1115</v>
      </c>
      <c r="O366" s="22" t="n">
        <v>33</v>
      </c>
      <c r="P366" s="22" t="n">
        <v>10.4</v>
      </c>
      <c r="Q366" s="22" t="s">
        <v>6681</v>
      </c>
      <c r="R366" s="22"/>
    </row>
    <row r="367" customFormat="false" ht="15" hidden="false" customHeight="false" outlineLevel="0" collapsed="false">
      <c r="A367" s="22" t="s">
        <v>7478</v>
      </c>
      <c r="B367" s="22" t="s">
        <v>159</v>
      </c>
      <c r="C367" s="22" t="s">
        <v>6562</v>
      </c>
      <c r="D367" s="22" t="s">
        <v>6861</v>
      </c>
      <c r="E367" s="22" t="n">
        <v>40</v>
      </c>
      <c r="F367" s="22" t="s">
        <v>6581</v>
      </c>
      <c r="G367" s="22" t="s">
        <v>6575</v>
      </c>
      <c r="H367" s="22" t="n">
        <v>14</v>
      </c>
      <c r="I367" s="22" t="s">
        <v>6582</v>
      </c>
      <c r="J367" s="22" t="s">
        <v>6577</v>
      </c>
      <c r="K367" s="22" t="s">
        <v>6886</v>
      </c>
      <c r="L367" s="22" t="s">
        <v>6398</v>
      </c>
      <c r="M367" s="22" t="s">
        <v>4736</v>
      </c>
      <c r="N367" s="22" t="s">
        <v>1232</v>
      </c>
      <c r="O367" s="22" t="n">
        <v>21</v>
      </c>
      <c r="P367" s="22" t="n">
        <v>10.4</v>
      </c>
      <c r="Q367" s="22" t="s">
        <v>7027</v>
      </c>
      <c r="R367" s="22"/>
    </row>
    <row r="368" customFormat="false" ht="15" hidden="false" customHeight="false" outlineLevel="0" collapsed="false">
      <c r="A368" s="22" t="s">
        <v>7479</v>
      </c>
      <c r="B368" s="22" t="s">
        <v>159</v>
      </c>
      <c r="C368" s="22" t="s">
        <v>6562</v>
      </c>
      <c r="D368" s="22" t="s">
        <v>6861</v>
      </c>
      <c r="E368" s="22" t="n">
        <v>28</v>
      </c>
      <c r="F368" s="22" t="s">
        <v>6574</v>
      </c>
      <c r="G368" s="22" t="s">
        <v>6575</v>
      </c>
      <c r="H368" s="22" t="n">
        <v>10</v>
      </c>
      <c r="I368" s="22" t="s">
        <v>6576</v>
      </c>
      <c r="J368" s="22" t="s">
        <v>6577</v>
      </c>
      <c r="K368" s="22" t="s">
        <v>6889</v>
      </c>
      <c r="L368" s="22" t="s">
        <v>2718</v>
      </c>
      <c r="M368" s="22" t="s">
        <v>2719</v>
      </c>
      <c r="N368" s="22" t="s">
        <v>2720</v>
      </c>
      <c r="O368" s="22" t="n">
        <v>46.2</v>
      </c>
      <c r="P368" s="22" t="n">
        <v>10.4</v>
      </c>
      <c r="Q368" s="22" t="s">
        <v>7480</v>
      </c>
      <c r="R368" s="22"/>
    </row>
    <row r="369" customFormat="false" ht="15" hidden="false" customHeight="false" outlineLevel="0" collapsed="false">
      <c r="A369" s="22" t="s">
        <v>7481</v>
      </c>
      <c r="B369" s="22" t="s">
        <v>159</v>
      </c>
      <c r="C369" s="22" t="s">
        <v>6562</v>
      </c>
      <c r="D369" s="22" t="s">
        <v>6861</v>
      </c>
      <c r="E369" s="22" t="n">
        <v>28</v>
      </c>
      <c r="F369" s="22" t="s">
        <v>6574</v>
      </c>
      <c r="G369" s="22" t="s">
        <v>6575</v>
      </c>
      <c r="H369" s="22" t="n">
        <v>10</v>
      </c>
      <c r="I369" s="22" t="s">
        <v>6576</v>
      </c>
      <c r="J369" s="22" t="s">
        <v>6577</v>
      </c>
      <c r="K369" s="22" t="s">
        <v>6892</v>
      </c>
      <c r="L369" s="22" t="s">
        <v>3896</v>
      </c>
      <c r="M369" s="22" t="s">
        <v>3897</v>
      </c>
      <c r="N369" s="22" t="s">
        <v>1718</v>
      </c>
      <c r="O369" s="22" t="n">
        <v>21.8</v>
      </c>
      <c r="P369" s="22" t="n">
        <v>10.4</v>
      </c>
      <c r="Q369" s="22" t="s">
        <v>6626</v>
      </c>
      <c r="R369" s="22"/>
    </row>
    <row r="370" customFormat="false" ht="15" hidden="false" customHeight="false" outlineLevel="0" collapsed="false">
      <c r="A370" s="22" t="s">
        <v>7482</v>
      </c>
      <c r="B370" s="22" t="s">
        <v>159</v>
      </c>
      <c r="C370" s="22" t="s">
        <v>6562</v>
      </c>
      <c r="D370" s="22" t="s">
        <v>6861</v>
      </c>
      <c r="E370" s="22" t="n">
        <v>32</v>
      </c>
      <c r="F370" s="22" t="s">
        <v>6581</v>
      </c>
      <c r="G370" s="22" t="s">
        <v>6575</v>
      </c>
      <c r="H370" s="22" t="n">
        <v>12</v>
      </c>
      <c r="I370" s="22" t="s">
        <v>6576</v>
      </c>
      <c r="J370" s="22" t="s">
        <v>6577</v>
      </c>
      <c r="K370" s="22" t="s">
        <v>6895</v>
      </c>
      <c r="L370" s="22" t="s">
        <v>652</v>
      </c>
      <c r="M370" s="22" t="s">
        <v>653</v>
      </c>
      <c r="N370" s="22" t="s">
        <v>654</v>
      </c>
      <c r="O370" s="22" t="n">
        <v>57.9</v>
      </c>
      <c r="P370" s="22" t="n">
        <v>10.4</v>
      </c>
      <c r="Q370" s="22" t="s">
        <v>6689</v>
      </c>
      <c r="R370" s="22"/>
    </row>
    <row r="371" customFormat="false" ht="15" hidden="false" customHeight="false" outlineLevel="0" collapsed="false">
      <c r="A371" s="22" t="s">
        <v>7483</v>
      </c>
      <c r="B371" s="22" t="s">
        <v>159</v>
      </c>
      <c r="C371" s="22" t="s">
        <v>6562</v>
      </c>
      <c r="D371" s="22" t="s">
        <v>6861</v>
      </c>
      <c r="E371" s="22" t="n">
        <v>24</v>
      </c>
      <c r="F371" s="22" t="s">
        <v>6574</v>
      </c>
      <c r="G371" s="22" t="s">
        <v>6575</v>
      </c>
      <c r="H371" s="22" t="n">
        <v>9</v>
      </c>
      <c r="I371" s="22" t="s">
        <v>6576</v>
      </c>
      <c r="J371" s="22" t="s">
        <v>6577</v>
      </c>
      <c r="K371" s="22" t="s">
        <v>6898</v>
      </c>
      <c r="L371" s="22" t="s">
        <v>5264</v>
      </c>
      <c r="M371" s="22" t="s">
        <v>5265</v>
      </c>
      <c r="N371" s="22" t="s">
        <v>1690</v>
      </c>
      <c r="O371" s="22" t="n">
        <v>26</v>
      </c>
      <c r="P371" s="22" t="n">
        <v>10.4</v>
      </c>
      <c r="Q371" s="22" t="s">
        <v>6919</v>
      </c>
      <c r="R371" s="22"/>
    </row>
    <row r="372" customFormat="false" ht="15" hidden="false" customHeight="false" outlineLevel="0" collapsed="false">
      <c r="A372" s="22" t="s">
        <v>7484</v>
      </c>
      <c r="B372" s="22" t="s">
        <v>159</v>
      </c>
      <c r="C372" s="22" t="s">
        <v>6562</v>
      </c>
      <c r="D372" s="22" t="s">
        <v>6861</v>
      </c>
      <c r="E372" s="22" t="n">
        <v>24</v>
      </c>
      <c r="F372" s="22" t="s">
        <v>6574</v>
      </c>
      <c r="G372" s="22" t="s">
        <v>6575</v>
      </c>
      <c r="H372" s="22" t="n">
        <v>9</v>
      </c>
      <c r="I372" s="22" t="s">
        <v>6576</v>
      </c>
      <c r="J372" s="22" t="s">
        <v>6577</v>
      </c>
      <c r="K372" s="22" t="s">
        <v>7485</v>
      </c>
      <c r="L372" s="22" t="s">
        <v>3892</v>
      </c>
      <c r="M372" s="22" t="s">
        <v>3893</v>
      </c>
      <c r="N372" s="22" t="s">
        <v>1484</v>
      </c>
      <c r="O372" s="22" t="n">
        <v>41.5</v>
      </c>
      <c r="P372" s="22" t="n">
        <v>10.4</v>
      </c>
      <c r="Q372" s="22" t="s">
        <v>7486</v>
      </c>
      <c r="R372" s="22"/>
    </row>
    <row r="373" customFormat="false" ht="15" hidden="false" customHeight="false" outlineLevel="0" collapsed="false">
      <c r="A373" s="22" t="s">
        <v>7487</v>
      </c>
      <c r="B373" s="22" t="s">
        <v>159</v>
      </c>
      <c r="C373" s="22" t="s">
        <v>6562</v>
      </c>
      <c r="D373" s="22" t="s">
        <v>6861</v>
      </c>
      <c r="E373" s="22" t="n">
        <v>32</v>
      </c>
      <c r="F373" s="22" t="s">
        <v>6581</v>
      </c>
      <c r="G373" s="22" t="s">
        <v>6575</v>
      </c>
      <c r="H373" s="22" t="n">
        <v>12</v>
      </c>
      <c r="I373" s="22" t="s">
        <v>6576</v>
      </c>
      <c r="J373" s="22" t="s">
        <v>6613</v>
      </c>
      <c r="K373" s="22"/>
      <c r="L373" s="22"/>
      <c r="M373" s="22"/>
      <c r="N373" s="22"/>
      <c r="O373" s="22"/>
      <c r="P373" s="22" t="n">
        <v>10.4</v>
      </c>
      <c r="Q373" s="22" t="s">
        <v>7488</v>
      </c>
      <c r="R373" s="22"/>
    </row>
    <row r="374" customFormat="false" ht="15" hidden="false" customHeight="false" outlineLevel="0" collapsed="false">
      <c r="A374" s="22" t="s">
        <v>7489</v>
      </c>
      <c r="B374" s="22" t="s">
        <v>159</v>
      </c>
      <c r="C374" s="22" t="s">
        <v>6562</v>
      </c>
      <c r="D374" s="22" t="s">
        <v>6861</v>
      </c>
      <c r="E374" s="22" t="n">
        <v>28</v>
      </c>
      <c r="F374" s="22" t="s">
        <v>6574</v>
      </c>
      <c r="G374" s="22" t="s">
        <v>6575</v>
      </c>
      <c r="H374" s="22" t="n">
        <v>10</v>
      </c>
      <c r="I374" s="22" t="s">
        <v>6576</v>
      </c>
      <c r="J374" s="22" t="s">
        <v>6577</v>
      </c>
      <c r="K374" s="22" t="s">
        <v>6906</v>
      </c>
      <c r="L374" s="22" t="s">
        <v>5718</v>
      </c>
      <c r="M374" s="22" t="s">
        <v>5719</v>
      </c>
      <c r="N374" s="22" t="s">
        <v>3316</v>
      </c>
      <c r="O374" s="22" t="n">
        <v>59.8</v>
      </c>
      <c r="P374" s="22" t="n">
        <v>10.4</v>
      </c>
      <c r="Q374" s="22" t="s">
        <v>7490</v>
      </c>
      <c r="R374" s="22"/>
    </row>
    <row r="375" customFormat="false" ht="15" hidden="false" customHeight="false" outlineLevel="0" collapsed="false">
      <c r="A375" s="22" t="s">
        <v>7491</v>
      </c>
      <c r="B375" s="22" t="s">
        <v>159</v>
      </c>
      <c r="C375" s="22" t="s">
        <v>6562</v>
      </c>
      <c r="D375" s="22" t="s">
        <v>6861</v>
      </c>
      <c r="E375" s="22" t="n">
        <v>28</v>
      </c>
      <c r="F375" s="22" t="s">
        <v>6574</v>
      </c>
      <c r="G375" s="22" t="s">
        <v>6575</v>
      </c>
      <c r="H375" s="22" t="n">
        <v>10</v>
      </c>
      <c r="I375" s="22" t="s">
        <v>6576</v>
      </c>
      <c r="J375" s="22" t="s">
        <v>6577</v>
      </c>
      <c r="K375" s="22" t="s">
        <v>6909</v>
      </c>
      <c r="L375" s="22" t="s">
        <v>1640</v>
      </c>
      <c r="M375" s="22" t="s">
        <v>1641</v>
      </c>
      <c r="N375" s="22" t="s">
        <v>576</v>
      </c>
      <c r="O375" s="22" t="n">
        <v>56.9</v>
      </c>
      <c r="P375" s="22" t="n">
        <v>10.4</v>
      </c>
      <c r="Q375" s="22" t="s">
        <v>6833</v>
      </c>
      <c r="R375" s="22"/>
    </row>
    <row r="376" customFormat="false" ht="15" hidden="false" customHeight="false" outlineLevel="0" collapsed="false">
      <c r="A376" s="22" t="s">
        <v>7492</v>
      </c>
      <c r="B376" s="22" t="s">
        <v>159</v>
      </c>
      <c r="C376" s="22" t="s">
        <v>6562</v>
      </c>
      <c r="D376" s="22" t="s">
        <v>6861</v>
      </c>
      <c r="E376" s="22" t="n">
        <v>24</v>
      </c>
      <c r="F376" s="22" t="s">
        <v>6574</v>
      </c>
      <c r="G376" s="22" t="s">
        <v>6575</v>
      </c>
      <c r="H376" s="22" t="n">
        <v>9</v>
      </c>
      <c r="I376" s="22" t="s">
        <v>6576</v>
      </c>
      <c r="J376" s="22" t="s">
        <v>6577</v>
      </c>
      <c r="K376" s="22" t="s">
        <v>6912</v>
      </c>
      <c r="L376" s="22" t="s">
        <v>4223</v>
      </c>
      <c r="M376" s="22" t="s">
        <v>4224</v>
      </c>
      <c r="N376" s="22" t="s">
        <v>2656</v>
      </c>
      <c r="O376" s="22" t="n">
        <v>48.2</v>
      </c>
      <c r="P376" s="22" t="n">
        <v>10.4</v>
      </c>
      <c r="Q376" s="22" t="s">
        <v>7310</v>
      </c>
      <c r="R376" s="22"/>
    </row>
    <row r="377" customFormat="false" ht="15" hidden="false" customHeight="false" outlineLevel="0" collapsed="false">
      <c r="A377" s="22" t="s">
        <v>7493</v>
      </c>
      <c r="B377" s="22" t="s">
        <v>159</v>
      </c>
      <c r="C377" s="22" t="s">
        <v>6562</v>
      </c>
      <c r="D377" s="22" t="s">
        <v>6861</v>
      </c>
      <c r="E377" s="22" t="n">
        <v>28</v>
      </c>
      <c r="F377" s="22" t="s">
        <v>6574</v>
      </c>
      <c r="G377" s="22" t="s">
        <v>6575</v>
      </c>
      <c r="H377" s="22" t="n">
        <v>10</v>
      </c>
      <c r="I377" s="22" t="s">
        <v>6576</v>
      </c>
      <c r="J377" s="22" t="s">
        <v>6577</v>
      </c>
      <c r="K377" s="22" t="s">
        <v>6915</v>
      </c>
      <c r="L377" s="22" t="s">
        <v>4753</v>
      </c>
      <c r="M377" s="22" t="s">
        <v>4754</v>
      </c>
      <c r="N377" s="22" t="s">
        <v>1736</v>
      </c>
      <c r="O377" s="22" t="n">
        <v>36</v>
      </c>
      <c r="P377" s="22" t="n">
        <v>10.4</v>
      </c>
      <c r="Q377" s="22" t="s">
        <v>7389</v>
      </c>
      <c r="R377" s="22"/>
    </row>
    <row r="378" customFormat="false" ht="15" hidden="false" customHeight="false" outlineLevel="0" collapsed="false">
      <c r="A378" s="22" t="s">
        <v>7494</v>
      </c>
      <c r="B378" s="22" t="s">
        <v>159</v>
      </c>
      <c r="C378" s="22" t="s">
        <v>6562</v>
      </c>
      <c r="D378" s="22" t="s">
        <v>6861</v>
      </c>
      <c r="E378" s="22" t="n">
        <v>32</v>
      </c>
      <c r="F378" s="22" t="s">
        <v>6581</v>
      </c>
      <c r="G378" s="22" t="s">
        <v>6575</v>
      </c>
      <c r="H378" s="22" t="n">
        <v>12</v>
      </c>
      <c r="I378" s="22" t="s">
        <v>6576</v>
      </c>
      <c r="J378" s="22" t="s">
        <v>6577</v>
      </c>
      <c r="K378" s="22" t="s">
        <v>6918</v>
      </c>
      <c r="L378" s="22" t="s">
        <v>4479</v>
      </c>
      <c r="M378" s="22" t="s">
        <v>4480</v>
      </c>
      <c r="N378" s="22" t="s">
        <v>4481</v>
      </c>
      <c r="O378" s="22" t="n">
        <v>33.2</v>
      </c>
      <c r="P378" s="22" t="n">
        <v>10.4</v>
      </c>
      <c r="Q378" s="22" t="s">
        <v>6839</v>
      </c>
      <c r="R378" s="22"/>
    </row>
    <row r="379" customFormat="false" ht="15" hidden="false" customHeight="false" outlineLevel="0" collapsed="false">
      <c r="A379" s="22" t="s">
        <v>7495</v>
      </c>
      <c r="B379" s="22" t="s">
        <v>159</v>
      </c>
      <c r="C379" s="22" t="s">
        <v>6562</v>
      </c>
      <c r="D379" s="22" t="s">
        <v>6861</v>
      </c>
      <c r="E379" s="22" t="n">
        <v>32</v>
      </c>
      <c r="F379" s="22" t="s">
        <v>6581</v>
      </c>
      <c r="G379" s="22" t="s">
        <v>6575</v>
      </c>
      <c r="H379" s="22" t="n">
        <v>12</v>
      </c>
      <c r="I379" s="22" t="s">
        <v>6576</v>
      </c>
      <c r="J379" s="22" t="s">
        <v>6577</v>
      </c>
      <c r="K379" s="22" t="s">
        <v>6921</v>
      </c>
      <c r="L379" s="22" t="s">
        <v>5710</v>
      </c>
      <c r="M379" s="22" t="s">
        <v>5711</v>
      </c>
      <c r="N379" s="22" t="s">
        <v>4213</v>
      </c>
      <c r="O379" s="22" t="n">
        <v>42.5</v>
      </c>
      <c r="P379" s="22" t="n">
        <v>10.4</v>
      </c>
      <c r="Q379" s="22" t="s">
        <v>7496</v>
      </c>
      <c r="R379" s="22"/>
    </row>
    <row r="380" customFormat="false" ht="15" hidden="false" customHeight="false" outlineLevel="0" collapsed="false">
      <c r="A380" s="22" t="s">
        <v>7497</v>
      </c>
      <c r="B380" s="22" t="s">
        <v>159</v>
      </c>
      <c r="C380" s="22" t="s">
        <v>6562</v>
      </c>
      <c r="D380" s="22" t="s">
        <v>6861</v>
      </c>
      <c r="E380" s="22" t="n">
        <v>32</v>
      </c>
      <c r="F380" s="22" t="s">
        <v>6581</v>
      </c>
      <c r="G380" s="22" t="s">
        <v>6575</v>
      </c>
      <c r="H380" s="22" t="n">
        <v>12</v>
      </c>
      <c r="I380" s="22" t="s">
        <v>6576</v>
      </c>
      <c r="J380" s="22" t="s">
        <v>6577</v>
      </c>
      <c r="K380" s="22" t="s">
        <v>6924</v>
      </c>
      <c r="L380" s="22" t="s">
        <v>2475</v>
      </c>
      <c r="M380" s="22" t="s">
        <v>2476</v>
      </c>
      <c r="N380" s="22" t="s">
        <v>573</v>
      </c>
      <c r="O380" s="22" t="n">
        <v>38.7</v>
      </c>
      <c r="P380" s="22" t="n">
        <v>10.4</v>
      </c>
      <c r="Q380" s="22" t="s">
        <v>7498</v>
      </c>
      <c r="R380" s="22"/>
    </row>
    <row r="381" customFormat="false" ht="15" hidden="false" customHeight="false" outlineLevel="0" collapsed="false">
      <c r="A381" s="22" t="s">
        <v>7499</v>
      </c>
      <c r="B381" s="22" t="s">
        <v>159</v>
      </c>
      <c r="C381" s="22" t="s">
        <v>6562</v>
      </c>
      <c r="D381" s="22" t="s">
        <v>6861</v>
      </c>
      <c r="E381" s="22" t="n">
        <v>28</v>
      </c>
      <c r="F381" s="22" t="s">
        <v>6574</v>
      </c>
      <c r="G381" s="22" t="s">
        <v>6575</v>
      </c>
      <c r="H381" s="22" t="n">
        <v>10</v>
      </c>
      <c r="I381" s="22" t="s">
        <v>6576</v>
      </c>
      <c r="J381" s="22" t="s">
        <v>6577</v>
      </c>
      <c r="K381" s="22" t="s">
        <v>6926</v>
      </c>
      <c r="L381" s="22" t="s">
        <v>4296</v>
      </c>
      <c r="M381" s="22" t="s">
        <v>4297</v>
      </c>
      <c r="N381" s="22" t="s">
        <v>1294</v>
      </c>
      <c r="O381" s="22" t="n">
        <v>22.5</v>
      </c>
      <c r="P381" s="22" t="n">
        <v>10.4</v>
      </c>
      <c r="Q381" s="22" t="s">
        <v>7434</v>
      </c>
      <c r="R381" s="22"/>
    </row>
    <row r="382" customFormat="false" ht="15" hidden="false" customHeight="false" outlineLevel="0" collapsed="false">
      <c r="A382" s="22" t="s">
        <v>7500</v>
      </c>
      <c r="B382" s="22" t="s">
        <v>159</v>
      </c>
      <c r="C382" s="22" t="s">
        <v>6562</v>
      </c>
      <c r="D382" s="22" t="s">
        <v>6929</v>
      </c>
      <c r="E382" s="22" t="n">
        <v>24</v>
      </c>
      <c r="F382" s="22" t="s">
        <v>6574</v>
      </c>
      <c r="G382" s="22" t="s">
        <v>6575</v>
      </c>
      <c r="H382" s="22" t="n">
        <v>9</v>
      </c>
      <c r="I382" s="22" t="s">
        <v>6576</v>
      </c>
      <c r="J382" s="22" t="s">
        <v>6577</v>
      </c>
      <c r="K382" s="22" t="s">
        <v>6930</v>
      </c>
      <c r="L382" s="22" t="s">
        <v>2043</v>
      </c>
      <c r="M382" s="22" t="s">
        <v>2044</v>
      </c>
      <c r="N382" s="22" t="s">
        <v>1288</v>
      </c>
      <c r="O382" s="22" t="n">
        <v>45.6</v>
      </c>
      <c r="P382" s="22" t="n">
        <v>10.4</v>
      </c>
      <c r="Q382" s="22" t="s">
        <v>7501</v>
      </c>
      <c r="R382" s="22"/>
    </row>
    <row r="383" customFormat="false" ht="15" hidden="false" customHeight="false" outlineLevel="0" collapsed="false">
      <c r="A383" s="22" t="s">
        <v>7502</v>
      </c>
      <c r="B383" s="22" t="s">
        <v>159</v>
      </c>
      <c r="C383" s="22" t="s">
        <v>6562</v>
      </c>
      <c r="D383" s="22" t="s">
        <v>6929</v>
      </c>
      <c r="E383" s="22" t="n">
        <v>24</v>
      </c>
      <c r="F383" s="22" t="s">
        <v>6574</v>
      </c>
      <c r="G383" s="22" t="s">
        <v>6575</v>
      </c>
      <c r="H383" s="22" t="n">
        <v>9</v>
      </c>
      <c r="I383" s="22" t="s">
        <v>6576</v>
      </c>
      <c r="J383" s="22" t="s">
        <v>6577</v>
      </c>
      <c r="K383" s="22" t="s">
        <v>6933</v>
      </c>
      <c r="L383" s="22" t="s">
        <v>5221</v>
      </c>
      <c r="M383" s="22" t="s">
        <v>5222</v>
      </c>
      <c r="N383" s="22" t="s">
        <v>3105</v>
      </c>
      <c r="O383" s="22" t="n">
        <v>39.8</v>
      </c>
      <c r="P383" s="22" t="n">
        <v>10.4</v>
      </c>
      <c r="Q383" s="22" t="s">
        <v>7503</v>
      </c>
      <c r="R383" s="22"/>
    </row>
    <row r="384" customFormat="false" ht="15" hidden="false" customHeight="false" outlineLevel="0" collapsed="false">
      <c r="A384" s="22" t="s">
        <v>7504</v>
      </c>
      <c r="B384" s="22" t="s">
        <v>159</v>
      </c>
      <c r="C384" s="22" t="s">
        <v>6562</v>
      </c>
      <c r="D384" s="22" t="s">
        <v>6929</v>
      </c>
      <c r="E384" s="22" t="n">
        <v>28</v>
      </c>
      <c r="F384" s="22" t="s">
        <v>6574</v>
      </c>
      <c r="G384" s="22" t="s">
        <v>6575</v>
      </c>
      <c r="H384" s="22" t="n">
        <v>10</v>
      </c>
      <c r="I384" s="22" t="s">
        <v>6576</v>
      </c>
      <c r="J384" s="22" t="s">
        <v>6577</v>
      </c>
      <c r="K384" s="22" t="s">
        <v>6936</v>
      </c>
      <c r="L384" s="22" t="s">
        <v>539</v>
      </c>
      <c r="M384" s="22" t="s">
        <v>540</v>
      </c>
      <c r="N384" s="22" t="s">
        <v>355</v>
      </c>
      <c r="O384" s="22" t="n">
        <v>27.8</v>
      </c>
      <c r="P384" s="22" t="n">
        <v>10.4</v>
      </c>
      <c r="Q384" s="22" t="s">
        <v>6842</v>
      </c>
      <c r="R384" s="22"/>
    </row>
    <row r="385" customFormat="false" ht="15" hidden="false" customHeight="false" outlineLevel="0" collapsed="false">
      <c r="A385" s="22" t="s">
        <v>7505</v>
      </c>
      <c r="B385" s="22" t="s">
        <v>159</v>
      </c>
      <c r="C385" s="22" t="s">
        <v>6562</v>
      </c>
      <c r="D385" s="22" t="s">
        <v>6929</v>
      </c>
      <c r="E385" s="22" t="n">
        <v>28</v>
      </c>
      <c r="F385" s="22" t="s">
        <v>6574</v>
      </c>
      <c r="G385" s="22" t="s">
        <v>6575</v>
      </c>
      <c r="H385" s="22" t="n">
        <v>10</v>
      </c>
      <c r="I385" s="22" t="s">
        <v>6576</v>
      </c>
      <c r="J385" s="22" t="s">
        <v>6577</v>
      </c>
      <c r="K385" s="22" t="s">
        <v>6939</v>
      </c>
      <c r="L385" s="22" t="s">
        <v>2637</v>
      </c>
      <c r="M385" s="22" t="s">
        <v>2638</v>
      </c>
      <c r="N385" s="22" t="s">
        <v>911</v>
      </c>
      <c r="O385" s="22" t="n">
        <v>19.5</v>
      </c>
      <c r="P385" s="22" t="n">
        <v>10.4</v>
      </c>
      <c r="Q385" s="22" t="s">
        <v>6825</v>
      </c>
      <c r="R385" s="22"/>
    </row>
    <row r="386" customFormat="false" ht="15" hidden="false" customHeight="false" outlineLevel="0" collapsed="false">
      <c r="A386" s="22" t="s">
        <v>7506</v>
      </c>
      <c r="B386" s="22" t="s">
        <v>159</v>
      </c>
      <c r="C386" s="22" t="s">
        <v>6562</v>
      </c>
      <c r="D386" s="22" t="s">
        <v>6929</v>
      </c>
      <c r="E386" s="22" t="n">
        <v>24</v>
      </c>
      <c r="F386" s="22" t="s">
        <v>6574</v>
      </c>
      <c r="G386" s="22" t="s">
        <v>6575</v>
      </c>
      <c r="H386" s="22" t="n">
        <v>9</v>
      </c>
      <c r="I386" s="22" t="s">
        <v>6576</v>
      </c>
      <c r="J386" s="22" t="s">
        <v>6577</v>
      </c>
      <c r="K386" s="22" t="s">
        <v>6942</v>
      </c>
      <c r="L386" s="22" t="s">
        <v>4506</v>
      </c>
      <c r="M386" s="22" t="s">
        <v>4507</v>
      </c>
      <c r="N386" s="22" t="s">
        <v>3865</v>
      </c>
      <c r="O386" s="22" t="n">
        <v>35.2</v>
      </c>
      <c r="P386" s="22" t="n">
        <v>10.4</v>
      </c>
      <c r="Q386" s="22" t="s">
        <v>7416</v>
      </c>
      <c r="R386" s="22"/>
    </row>
    <row r="387" customFormat="false" ht="15" hidden="false" customHeight="false" outlineLevel="0" collapsed="false">
      <c r="A387" s="22" t="s">
        <v>7507</v>
      </c>
      <c r="B387" s="22" t="s">
        <v>159</v>
      </c>
      <c r="C387" s="22" t="s">
        <v>6562</v>
      </c>
      <c r="D387" s="22" t="s">
        <v>6929</v>
      </c>
      <c r="E387" s="22" t="n">
        <v>28</v>
      </c>
      <c r="F387" s="22" t="s">
        <v>6574</v>
      </c>
      <c r="G387" s="22" t="s">
        <v>6575</v>
      </c>
      <c r="H387" s="22" t="n">
        <v>10</v>
      </c>
      <c r="I387" s="22" t="s">
        <v>6576</v>
      </c>
      <c r="J387" s="22" t="s">
        <v>6577</v>
      </c>
      <c r="K387" s="22" t="s">
        <v>6945</v>
      </c>
      <c r="L387" s="22" t="s">
        <v>3512</v>
      </c>
      <c r="M387" s="22" t="s">
        <v>3513</v>
      </c>
      <c r="N387" s="22" t="s">
        <v>324</v>
      </c>
      <c r="O387" s="22" t="n">
        <v>44.8</v>
      </c>
      <c r="P387" s="22" t="n">
        <v>10.4</v>
      </c>
      <c r="Q387" s="22" t="s">
        <v>7508</v>
      </c>
      <c r="R387" s="22"/>
    </row>
    <row r="388" customFormat="false" ht="15" hidden="false" customHeight="false" outlineLevel="0" collapsed="false">
      <c r="A388" s="22" t="s">
        <v>7509</v>
      </c>
      <c r="B388" s="22" t="s">
        <v>159</v>
      </c>
      <c r="C388" s="22" t="s">
        <v>6562</v>
      </c>
      <c r="D388" s="22" t="s">
        <v>6929</v>
      </c>
      <c r="E388" s="22" t="n">
        <v>36</v>
      </c>
      <c r="F388" s="22" t="s">
        <v>6581</v>
      </c>
      <c r="G388" s="22" t="s">
        <v>6575</v>
      </c>
      <c r="H388" s="22" t="n">
        <v>13</v>
      </c>
      <c r="I388" s="22" t="s">
        <v>6582</v>
      </c>
      <c r="J388" s="22" t="s">
        <v>6577</v>
      </c>
      <c r="K388" s="22" t="s">
        <v>6948</v>
      </c>
      <c r="L388" s="22" t="s">
        <v>1711</v>
      </c>
      <c r="M388" s="22" t="s">
        <v>1712</v>
      </c>
      <c r="N388" s="22" t="s">
        <v>1713</v>
      </c>
      <c r="O388" s="22" t="n">
        <v>29.2</v>
      </c>
      <c r="P388" s="22" t="n">
        <v>10.4</v>
      </c>
      <c r="Q388" s="22" t="s">
        <v>7510</v>
      </c>
      <c r="R388" s="22"/>
    </row>
    <row r="389" customFormat="false" ht="15" hidden="false" customHeight="false" outlineLevel="0" collapsed="false">
      <c r="A389" s="22" t="s">
        <v>7511</v>
      </c>
      <c r="B389" s="22" t="s">
        <v>159</v>
      </c>
      <c r="C389" s="22" t="s">
        <v>6562</v>
      </c>
      <c r="D389" s="22" t="s">
        <v>6929</v>
      </c>
      <c r="E389" s="22" t="n">
        <v>32</v>
      </c>
      <c r="F389" s="22" t="s">
        <v>6581</v>
      </c>
      <c r="G389" s="22" t="s">
        <v>6575</v>
      </c>
      <c r="H389" s="22" t="n">
        <v>12</v>
      </c>
      <c r="I389" s="22" t="s">
        <v>6576</v>
      </c>
      <c r="J389" s="22" t="s">
        <v>6671</v>
      </c>
      <c r="K389" s="22"/>
      <c r="L389" s="22"/>
      <c r="M389" s="22"/>
      <c r="N389" s="22"/>
      <c r="O389" s="22"/>
      <c r="P389" s="22" t="n">
        <v>10.4</v>
      </c>
      <c r="Q389" s="22" t="s">
        <v>7512</v>
      </c>
      <c r="R389" s="22"/>
    </row>
    <row r="390" customFormat="false" ht="15" hidden="false" customHeight="false" outlineLevel="0" collapsed="false">
      <c r="A390" s="22" t="s">
        <v>7513</v>
      </c>
      <c r="B390" s="22" t="s">
        <v>159</v>
      </c>
      <c r="C390" s="22" t="s">
        <v>6562</v>
      </c>
      <c r="D390" s="22" t="s">
        <v>6929</v>
      </c>
      <c r="E390" s="22" t="n">
        <v>36</v>
      </c>
      <c r="F390" s="22" t="s">
        <v>6581</v>
      </c>
      <c r="G390" s="22" t="s">
        <v>6575</v>
      </c>
      <c r="H390" s="22" t="n">
        <v>13</v>
      </c>
      <c r="I390" s="22" t="s">
        <v>6582</v>
      </c>
      <c r="J390" s="22" t="s">
        <v>6577</v>
      </c>
      <c r="K390" s="22" t="s">
        <v>6954</v>
      </c>
      <c r="L390" s="22" t="s">
        <v>1608</v>
      </c>
      <c r="M390" s="22" t="s">
        <v>1609</v>
      </c>
      <c r="N390" s="22" t="s">
        <v>355</v>
      </c>
      <c r="O390" s="22" t="n">
        <v>34.2</v>
      </c>
      <c r="P390" s="22" t="n">
        <v>10.4</v>
      </c>
      <c r="Q390" s="22" t="s">
        <v>7514</v>
      </c>
      <c r="R390" s="22"/>
    </row>
    <row r="391" customFormat="false" ht="15" hidden="false" customHeight="false" outlineLevel="0" collapsed="false">
      <c r="A391" s="22" t="s">
        <v>7515</v>
      </c>
      <c r="B391" s="22" t="s">
        <v>159</v>
      </c>
      <c r="C391" s="22" t="s">
        <v>6562</v>
      </c>
      <c r="D391" s="22" t="s">
        <v>6929</v>
      </c>
      <c r="E391" s="22" t="n">
        <v>32</v>
      </c>
      <c r="F391" s="22" t="s">
        <v>6581</v>
      </c>
      <c r="G391" s="22" t="s">
        <v>6575</v>
      </c>
      <c r="H391" s="22" t="n">
        <v>12</v>
      </c>
      <c r="I391" s="22" t="s">
        <v>6576</v>
      </c>
      <c r="J391" s="22" t="s">
        <v>6577</v>
      </c>
      <c r="K391" s="22" t="s">
        <v>6957</v>
      </c>
      <c r="L391" s="22" t="s">
        <v>4851</v>
      </c>
      <c r="M391" s="22" t="s">
        <v>4852</v>
      </c>
      <c r="N391" s="22" t="s">
        <v>1750</v>
      </c>
      <c r="O391" s="22" t="n">
        <v>59.6</v>
      </c>
      <c r="P391" s="22" t="n">
        <v>10.4</v>
      </c>
      <c r="Q391" s="22" t="s">
        <v>7516</v>
      </c>
      <c r="R391" s="22"/>
    </row>
    <row r="392" customFormat="false" ht="15" hidden="false" customHeight="false" outlineLevel="0" collapsed="false">
      <c r="A392" s="22" t="s">
        <v>7517</v>
      </c>
      <c r="B392" s="22" t="s">
        <v>159</v>
      </c>
      <c r="C392" s="22" t="s">
        <v>6562</v>
      </c>
      <c r="D392" s="22" t="s">
        <v>6929</v>
      </c>
      <c r="E392" s="22" t="n">
        <v>32</v>
      </c>
      <c r="F392" s="22" t="s">
        <v>6581</v>
      </c>
      <c r="G392" s="22" t="s">
        <v>6575</v>
      </c>
      <c r="H392" s="22" t="n">
        <v>12</v>
      </c>
      <c r="I392" s="22" t="s">
        <v>6576</v>
      </c>
      <c r="J392" s="22" t="s">
        <v>6577</v>
      </c>
      <c r="K392" s="22" t="s">
        <v>6960</v>
      </c>
      <c r="L392" s="22" t="s">
        <v>1083</v>
      </c>
      <c r="M392" s="22" t="s">
        <v>1084</v>
      </c>
      <c r="N392" s="22" t="s">
        <v>739</v>
      </c>
      <c r="O392" s="22" t="n">
        <v>18.3</v>
      </c>
      <c r="P392" s="22" t="n">
        <v>10.4</v>
      </c>
      <c r="Q392" s="22" t="s">
        <v>7518</v>
      </c>
      <c r="R392" s="22"/>
    </row>
    <row r="393" customFormat="false" ht="15" hidden="false" customHeight="false" outlineLevel="0" collapsed="false">
      <c r="A393" s="22" t="s">
        <v>7519</v>
      </c>
      <c r="B393" s="22" t="s">
        <v>159</v>
      </c>
      <c r="C393" s="22" t="s">
        <v>6562</v>
      </c>
      <c r="D393" s="22" t="s">
        <v>6929</v>
      </c>
      <c r="E393" s="22" t="n">
        <v>24</v>
      </c>
      <c r="F393" s="22" t="s">
        <v>6574</v>
      </c>
      <c r="G393" s="22" t="s">
        <v>6575</v>
      </c>
      <c r="H393" s="22" t="n">
        <v>9</v>
      </c>
      <c r="I393" s="22" t="s">
        <v>6576</v>
      </c>
      <c r="J393" s="22" t="s">
        <v>6577</v>
      </c>
      <c r="K393" s="22" t="s">
        <v>6963</v>
      </c>
      <c r="L393" s="22" t="s">
        <v>6479</v>
      </c>
      <c r="M393" s="22" t="s">
        <v>6480</v>
      </c>
      <c r="N393" s="22" t="s">
        <v>778</v>
      </c>
      <c r="O393" s="22" t="n">
        <v>57</v>
      </c>
      <c r="P393" s="22" t="n">
        <v>10.4</v>
      </c>
      <c r="Q393" s="22" t="s">
        <v>7464</v>
      </c>
      <c r="R393" s="22"/>
    </row>
    <row r="394" customFormat="false" ht="15" hidden="false" customHeight="false" outlineLevel="0" collapsed="false">
      <c r="A394" s="22" t="s">
        <v>7520</v>
      </c>
      <c r="B394" s="22" t="s">
        <v>159</v>
      </c>
      <c r="C394" s="22" t="s">
        <v>6562</v>
      </c>
      <c r="D394" s="22" t="s">
        <v>6929</v>
      </c>
      <c r="E394" s="22" t="n">
        <v>24</v>
      </c>
      <c r="F394" s="22" t="s">
        <v>6574</v>
      </c>
      <c r="G394" s="22" t="s">
        <v>6575</v>
      </c>
      <c r="H394" s="22" t="n">
        <v>9</v>
      </c>
      <c r="I394" s="22" t="s">
        <v>6576</v>
      </c>
      <c r="J394" s="22" t="s">
        <v>6577</v>
      </c>
      <c r="K394" s="22" t="s">
        <v>6966</v>
      </c>
      <c r="L394" s="22" t="s">
        <v>3643</v>
      </c>
      <c r="M394" s="22" t="s">
        <v>3644</v>
      </c>
      <c r="N394" s="22" t="s">
        <v>1502</v>
      </c>
      <c r="O394" s="22" t="n">
        <v>54.3</v>
      </c>
      <c r="P394" s="22" t="n">
        <v>10.4</v>
      </c>
      <c r="Q394" s="22" t="s">
        <v>7160</v>
      </c>
      <c r="R394" s="22"/>
    </row>
    <row r="395" customFormat="false" ht="15" hidden="false" customHeight="false" outlineLevel="0" collapsed="false">
      <c r="A395" s="22" t="s">
        <v>7521</v>
      </c>
      <c r="B395" s="22" t="s">
        <v>159</v>
      </c>
      <c r="C395" s="22" t="s">
        <v>6562</v>
      </c>
      <c r="D395" s="22" t="s">
        <v>6929</v>
      </c>
      <c r="E395" s="22" t="n">
        <v>32</v>
      </c>
      <c r="F395" s="22" t="s">
        <v>6581</v>
      </c>
      <c r="G395" s="22" t="s">
        <v>6575</v>
      </c>
      <c r="H395" s="22" t="n">
        <v>12</v>
      </c>
      <c r="I395" s="22" t="s">
        <v>6576</v>
      </c>
      <c r="J395" s="22" t="s">
        <v>6577</v>
      </c>
      <c r="K395" s="22" t="s">
        <v>6969</v>
      </c>
      <c r="L395" s="22" t="s">
        <v>2295</v>
      </c>
      <c r="M395" s="22" t="s">
        <v>2296</v>
      </c>
      <c r="N395" s="22" t="s">
        <v>2297</v>
      </c>
      <c r="O395" s="22" t="n">
        <v>44.8</v>
      </c>
      <c r="P395" s="22" t="n">
        <v>10.4</v>
      </c>
      <c r="Q395" s="22" t="s">
        <v>7409</v>
      </c>
      <c r="R395" s="22"/>
    </row>
    <row r="396" customFormat="false" ht="15" hidden="false" customHeight="false" outlineLevel="0" collapsed="false">
      <c r="A396" s="22" t="s">
        <v>7522</v>
      </c>
      <c r="B396" s="22" t="s">
        <v>159</v>
      </c>
      <c r="C396" s="22" t="s">
        <v>6562</v>
      </c>
      <c r="D396" s="22" t="s">
        <v>6929</v>
      </c>
      <c r="E396" s="22" t="n">
        <v>40</v>
      </c>
      <c r="F396" s="22" t="s">
        <v>6581</v>
      </c>
      <c r="G396" s="22" t="s">
        <v>6575</v>
      </c>
      <c r="H396" s="22" t="n">
        <v>14</v>
      </c>
      <c r="I396" s="22" t="s">
        <v>6582</v>
      </c>
      <c r="J396" s="22" t="s">
        <v>6577</v>
      </c>
      <c r="K396" s="22" t="s">
        <v>6972</v>
      </c>
      <c r="L396" s="22" t="s">
        <v>4115</v>
      </c>
      <c r="M396" s="22" t="s">
        <v>4116</v>
      </c>
      <c r="N396" s="22" t="s">
        <v>4094</v>
      </c>
      <c r="O396" s="22" t="n">
        <v>49.6</v>
      </c>
      <c r="P396" s="22" t="n">
        <v>10.4</v>
      </c>
      <c r="Q396" s="22" t="s">
        <v>7523</v>
      </c>
      <c r="R396" s="22"/>
    </row>
    <row r="397" customFormat="false" ht="15" hidden="false" customHeight="false" outlineLevel="0" collapsed="false">
      <c r="A397" s="22" t="s">
        <v>7524</v>
      </c>
      <c r="B397" s="22" t="s">
        <v>159</v>
      </c>
      <c r="C397" s="22" t="s">
        <v>6562</v>
      </c>
      <c r="D397" s="22" t="s">
        <v>6929</v>
      </c>
      <c r="E397" s="22" t="n">
        <v>24</v>
      </c>
      <c r="F397" s="22" t="s">
        <v>6574</v>
      </c>
      <c r="G397" s="22" t="s">
        <v>6575</v>
      </c>
      <c r="H397" s="22" t="n">
        <v>9</v>
      </c>
      <c r="I397" s="22" t="s">
        <v>6576</v>
      </c>
      <c r="J397" s="22" t="s">
        <v>6577</v>
      </c>
      <c r="K397" s="22" t="s">
        <v>6975</v>
      </c>
      <c r="L397" s="22" t="s">
        <v>1805</v>
      </c>
      <c r="M397" s="22" t="s">
        <v>1806</v>
      </c>
      <c r="N397" s="22" t="s">
        <v>745</v>
      </c>
      <c r="O397" s="22" t="n">
        <v>32.5</v>
      </c>
      <c r="P397" s="22" t="n">
        <v>10.4</v>
      </c>
      <c r="Q397" s="22" t="s">
        <v>7525</v>
      </c>
      <c r="R397" s="22"/>
    </row>
    <row r="398" customFormat="false" ht="15" hidden="false" customHeight="false" outlineLevel="0" collapsed="false">
      <c r="A398" s="22" t="s">
        <v>7526</v>
      </c>
      <c r="B398" s="22" t="s">
        <v>159</v>
      </c>
      <c r="C398" s="22" t="s">
        <v>6562</v>
      </c>
      <c r="D398" s="22" t="s">
        <v>6929</v>
      </c>
      <c r="E398" s="22" t="n">
        <v>40</v>
      </c>
      <c r="F398" s="22" t="s">
        <v>6581</v>
      </c>
      <c r="G398" s="22" t="s">
        <v>6575</v>
      </c>
      <c r="H398" s="22" t="n">
        <v>14</v>
      </c>
      <c r="I398" s="22" t="s">
        <v>6582</v>
      </c>
      <c r="J398" s="22" t="s">
        <v>6577</v>
      </c>
      <c r="K398" s="22" t="s">
        <v>6978</v>
      </c>
      <c r="L398" s="22" t="s">
        <v>4500</v>
      </c>
      <c r="M398" s="22" t="s">
        <v>4501</v>
      </c>
      <c r="N398" s="22" t="s">
        <v>871</v>
      </c>
      <c r="O398" s="22" t="n">
        <v>48.2</v>
      </c>
      <c r="P398" s="22" t="n">
        <v>10.4</v>
      </c>
      <c r="Q398" s="22" t="s">
        <v>7527</v>
      </c>
      <c r="R398" s="22"/>
    </row>
    <row r="399" customFormat="false" ht="15" hidden="false" customHeight="false" outlineLevel="0" collapsed="false">
      <c r="A399" s="22" t="s">
        <v>7528</v>
      </c>
      <c r="B399" s="22" t="s">
        <v>159</v>
      </c>
      <c r="C399" s="22" t="s">
        <v>6562</v>
      </c>
      <c r="D399" s="22" t="s">
        <v>6929</v>
      </c>
      <c r="E399" s="22" t="n">
        <v>24</v>
      </c>
      <c r="F399" s="22" t="s">
        <v>6574</v>
      </c>
      <c r="G399" s="22" t="s">
        <v>6575</v>
      </c>
      <c r="H399" s="22" t="n">
        <v>9</v>
      </c>
      <c r="I399" s="22" t="s">
        <v>6576</v>
      </c>
      <c r="J399" s="22" t="s">
        <v>6577</v>
      </c>
      <c r="K399" s="22" t="s">
        <v>6981</v>
      </c>
      <c r="L399" s="22" t="s">
        <v>4380</v>
      </c>
      <c r="M399" s="22" t="s">
        <v>4381</v>
      </c>
      <c r="N399" s="22" t="s">
        <v>736</v>
      </c>
      <c r="O399" s="22" t="n">
        <v>59.7</v>
      </c>
      <c r="P399" s="22" t="n">
        <v>10.4</v>
      </c>
      <c r="Q399" s="22" t="s">
        <v>7529</v>
      </c>
      <c r="R399" s="22"/>
    </row>
    <row r="400" customFormat="false" ht="15" hidden="false" customHeight="false" outlineLevel="0" collapsed="false">
      <c r="A400" s="22" t="s">
        <v>7530</v>
      </c>
      <c r="B400" s="22" t="s">
        <v>159</v>
      </c>
      <c r="C400" s="22" t="s">
        <v>6562</v>
      </c>
      <c r="D400" s="22" t="s">
        <v>6929</v>
      </c>
      <c r="E400" s="22" t="n">
        <v>24</v>
      </c>
      <c r="F400" s="22" t="s">
        <v>6574</v>
      </c>
      <c r="G400" s="22" t="s">
        <v>6575</v>
      </c>
      <c r="H400" s="22" t="n">
        <v>9</v>
      </c>
      <c r="I400" s="22" t="s">
        <v>6576</v>
      </c>
      <c r="J400" s="22" t="s">
        <v>6577</v>
      </c>
      <c r="K400" s="22" t="s">
        <v>7531</v>
      </c>
      <c r="L400" s="22" t="s">
        <v>2290</v>
      </c>
      <c r="M400" s="22" t="s">
        <v>2291</v>
      </c>
      <c r="N400" s="22" t="s">
        <v>661</v>
      </c>
      <c r="O400" s="22" t="n">
        <v>61.4</v>
      </c>
      <c r="P400" s="22" t="n">
        <v>10.4</v>
      </c>
      <c r="Q400" s="22" t="s">
        <v>7217</v>
      </c>
      <c r="R400" s="22"/>
    </row>
    <row r="401" customFormat="false" ht="15" hidden="false" customHeight="false" outlineLevel="0" collapsed="false">
      <c r="A401" s="22" t="s">
        <v>7532</v>
      </c>
      <c r="B401" s="22" t="s">
        <v>159</v>
      </c>
      <c r="C401" s="22" t="s">
        <v>6562</v>
      </c>
      <c r="D401" s="22" t="s">
        <v>6929</v>
      </c>
      <c r="E401" s="22" t="n">
        <v>40</v>
      </c>
      <c r="F401" s="22" t="s">
        <v>6581</v>
      </c>
      <c r="G401" s="22" t="s">
        <v>6575</v>
      </c>
      <c r="H401" s="22" t="n">
        <v>14</v>
      </c>
      <c r="I401" s="22" t="s">
        <v>6582</v>
      </c>
      <c r="J401" s="22" t="s">
        <v>6577</v>
      </c>
      <c r="K401" s="22" t="s">
        <v>6986</v>
      </c>
      <c r="L401" s="22" t="s">
        <v>808</v>
      </c>
      <c r="M401" s="22" t="s">
        <v>809</v>
      </c>
      <c r="N401" s="22" t="s">
        <v>664</v>
      </c>
      <c r="O401" s="22" t="n">
        <v>48</v>
      </c>
      <c r="P401" s="22" t="n">
        <v>10.4</v>
      </c>
      <c r="Q401" s="22" t="s">
        <v>6778</v>
      </c>
      <c r="R401" s="22"/>
    </row>
    <row r="402" customFormat="false" ht="15" hidden="false" customHeight="false" outlineLevel="0" collapsed="false">
      <c r="A402" s="22" t="s">
        <v>7533</v>
      </c>
      <c r="B402" s="22" t="s">
        <v>159</v>
      </c>
      <c r="C402" s="22" t="s">
        <v>6562</v>
      </c>
      <c r="D402" s="22" t="s">
        <v>6929</v>
      </c>
      <c r="E402" s="22" t="n">
        <v>24</v>
      </c>
      <c r="F402" s="22" t="s">
        <v>6574</v>
      </c>
      <c r="G402" s="22" t="s">
        <v>6575</v>
      </c>
      <c r="H402" s="22" t="n">
        <v>9</v>
      </c>
      <c r="I402" s="22" t="s">
        <v>6576</v>
      </c>
      <c r="J402" s="22" t="s">
        <v>6577</v>
      </c>
      <c r="K402" s="22" t="s">
        <v>6989</v>
      </c>
      <c r="L402" s="22" t="s">
        <v>934</v>
      </c>
      <c r="M402" s="22" t="s">
        <v>935</v>
      </c>
      <c r="N402" s="22" t="s">
        <v>163</v>
      </c>
      <c r="O402" s="22" t="n">
        <v>19.9</v>
      </c>
      <c r="P402" s="22" t="n">
        <v>10.4</v>
      </c>
      <c r="Q402" s="22" t="s">
        <v>7534</v>
      </c>
      <c r="R402" s="22"/>
    </row>
    <row r="403" customFormat="false" ht="15" hidden="false" customHeight="false" outlineLevel="0" collapsed="false">
      <c r="A403" s="22" t="s">
        <v>7535</v>
      </c>
      <c r="B403" s="22" t="s">
        <v>159</v>
      </c>
      <c r="C403" s="22" t="s">
        <v>6562</v>
      </c>
      <c r="D403" s="22" t="s">
        <v>6929</v>
      </c>
      <c r="E403" s="22" t="n">
        <v>32</v>
      </c>
      <c r="F403" s="22" t="s">
        <v>6581</v>
      </c>
      <c r="G403" s="22" t="s">
        <v>6575</v>
      </c>
      <c r="H403" s="22" t="n">
        <v>12</v>
      </c>
      <c r="I403" s="22" t="s">
        <v>6576</v>
      </c>
      <c r="J403" s="22" t="s">
        <v>6577</v>
      </c>
      <c r="K403" s="22" t="s">
        <v>6992</v>
      </c>
      <c r="L403" s="22" t="s">
        <v>405</v>
      </c>
      <c r="M403" s="22" t="s">
        <v>406</v>
      </c>
      <c r="N403" s="22" t="s">
        <v>407</v>
      </c>
      <c r="O403" s="22" t="n">
        <v>19.6</v>
      </c>
      <c r="P403" s="22" t="n">
        <v>10.4</v>
      </c>
      <c r="Q403" s="22" t="s">
        <v>7536</v>
      </c>
      <c r="R403" s="22"/>
    </row>
    <row r="404" customFormat="false" ht="15" hidden="false" customHeight="false" outlineLevel="0" collapsed="false">
      <c r="A404" s="22" t="s">
        <v>7537</v>
      </c>
      <c r="B404" s="22" t="s">
        <v>159</v>
      </c>
      <c r="C404" s="22" t="s">
        <v>6562</v>
      </c>
      <c r="D404" s="22" t="s">
        <v>6929</v>
      </c>
      <c r="E404" s="22" t="n">
        <v>24</v>
      </c>
      <c r="F404" s="22" t="s">
        <v>6574</v>
      </c>
      <c r="G404" s="22" t="s">
        <v>6575</v>
      </c>
      <c r="H404" s="22" t="n">
        <v>9</v>
      </c>
      <c r="I404" s="22" t="s">
        <v>6576</v>
      </c>
      <c r="J404" s="22" t="s">
        <v>6577</v>
      </c>
      <c r="K404" s="22" t="s">
        <v>6995</v>
      </c>
      <c r="L404" s="22" t="s">
        <v>4216</v>
      </c>
      <c r="M404" s="22" t="s">
        <v>4217</v>
      </c>
      <c r="N404" s="22" t="s">
        <v>2625</v>
      </c>
      <c r="O404" s="22" t="n">
        <v>42.6</v>
      </c>
      <c r="P404" s="22" t="n">
        <v>10.4</v>
      </c>
      <c r="Q404" s="22" t="s">
        <v>7538</v>
      </c>
      <c r="R404" s="22"/>
    </row>
    <row r="405" customFormat="false" ht="15" hidden="false" customHeight="false" outlineLevel="0" collapsed="false">
      <c r="A405" s="22" t="s">
        <v>7539</v>
      </c>
      <c r="B405" s="22" t="s">
        <v>159</v>
      </c>
      <c r="C405" s="22" t="s">
        <v>6562</v>
      </c>
      <c r="D405" s="22" t="s">
        <v>6929</v>
      </c>
      <c r="E405" s="22" t="n">
        <v>40</v>
      </c>
      <c r="F405" s="22" t="s">
        <v>6581</v>
      </c>
      <c r="G405" s="22" t="s">
        <v>6575</v>
      </c>
      <c r="H405" s="22" t="n">
        <v>14</v>
      </c>
      <c r="I405" s="22" t="s">
        <v>6582</v>
      </c>
      <c r="J405" s="22" t="s">
        <v>6577</v>
      </c>
      <c r="K405" s="22" t="s">
        <v>6997</v>
      </c>
      <c r="L405" s="22" t="s">
        <v>5347</v>
      </c>
      <c r="M405" s="22" t="s">
        <v>5348</v>
      </c>
      <c r="N405" s="22" t="s">
        <v>2684</v>
      </c>
      <c r="O405" s="22" t="n">
        <v>19.5</v>
      </c>
      <c r="P405" s="22" t="n">
        <v>10.4</v>
      </c>
      <c r="Q405" s="22" t="s">
        <v>7540</v>
      </c>
      <c r="R405" s="22"/>
    </row>
    <row r="406" customFormat="false" ht="15" hidden="false" customHeight="false" outlineLevel="0" collapsed="false">
      <c r="A406" s="22" t="s">
        <v>7541</v>
      </c>
      <c r="B406" s="22" t="s">
        <v>159</v>
      </c>
      <c r="C406" s="22" t="s">
        <v>6562</v>
      </c>
      <c r="D406" s="22" t="s">
        <v>7000</v>
      </c>
      <c r="E406" s="22" t="n">
        <v>32</v>
      </c>
      <c r="F406" s="22" t="s">
        <v>6581</v>
      </c>
      <c r="G406" s="22" t="s">
        <v>6575</v>
      </c>
      <c r="H406" s="22" t="n">
        <v>12</v>
      </c>
      <c r="I406" s="22" t="s">
        <v>6576</v>
      </c>
      <c r="J406" s="22" t="s">
        <v>6577</v>
      </c>
      <c r="K406" s="22" t="s">
        <v>7001</v>
      </c>
      <c r="L406" s="22" t="s">
        <v>3085</v>
      </c>
      <c r="M406" s="22" t="s">
        <v>3086</v>
      </c>
      <c r="N406" s="22" t="s">
        <v>1794</v>
      </c>
      <c r="O406" s="22" t="n">
        <v>38</v>
      </c>
      <c r="P406" s="22" t="n">
        <v>10.4</v>
      </c>
      <c r="Q406" s="22" t="s">
        <v>7542</v>
      </c>
      <c r="R406" s="22"/>
    </row>
    <row r="407" customFormat="false" ht="15" hidden="false" customHeight="false" outlineLevel="0" collapsed="false">
      <c r="A407" s="22" t="s">
        <v>7543</v>
      </c>
      <c r="B407" s="22" t="s">
        <v>159</v>
      </c>
      <c r="C407" s="22" t="s">
        <v>6562</v>
      </c>
      <c r="D407" s="22" t="s">
        <v>7000</v>
      </c>
      <c r="E407" s="22" t="n">
        <v>32</v>
      </c>
      <c r="F407" s="22" t="s">
        <v>6581</v>
      </c>
      <c r="G407" s="22" t="s">
        <v>6575</v>
      </c>
      <c r="H407" s="22" t="n">
        <v>12</v>
      </c>
      <c r="I407" s="22" t="s">
        <v>6576</v>
      </c>
      <c r="J407" s="22" t="s">
        <v>6671</v>
      </c>
      <c r="K407" s="22"/>
      <c r="L407" s="22"/>
      <c r="M407" s="22"/>
      <c r="N407" s="22"/>
      <c r="O407" s="22"/>
      <c r="P407" s="22" t="n">
        <v>10.4</v>
      </c>
      <c r="Q407" s="22" t="s">
        <v>7165</v>
      </c>
      <c r="R407" s="22"/>
    </row>
    <row r="408" customFormat="false" ht="15" hidden="false" customHeight="false" outlineLevel="0" collapsed="false">
      <c r="A408" s="22" t="s">
        <v>7544</v>
      </c>
      <c r="B408" s="22" t="s">
        <v>159</v>
      </c>
      <c r="C408" s="22" t="s">
        <v>6562</v>
      </c>
      <c r="D408" s="22" t="s">
        <v>7000</v>
      </c>
      <c r="E408" s="22" t="n">
        <v>28</v>
      </c>
      <c r="F408" s="22" t="s">
        <v>6574</v>
      </c>
      <c r="G408" s="22" t="s">
        <v>6575</v>
      </c>
      <c r="H408" s="22" t="n">
        <v>10</v>
      </c>
      <c r="I408" s="22" t="s">
        <v>6576</v>
      </c>
      <c r="J408" s="22" t="s">
        <v>6577</v>
      </c>
      <c r="K408" s="22" t="s">
        <v>7007</v>
      </c>
      <c r="L408" s="22" t="s">
        <v>2412</v>
      </c>
      <c r="M408" s="22" t="s">
        <v>2413</v>
      </c>
      <c r="N408" s="22" t="s">
        <v>642</v>
      </c>
      <c r="O408" s="22" t="n">
        <v>60.8</v>
      </c>
      <c r="P408" s="22" t="n">
        <v>10.4</v>
      </c>
      <c r="Q408" s="22" t="s">
        <v>7315</v>
      </c>
      <c r="R408" s="22"/>
    </row>
    <row r="409" customFormat="false" ht="15" hidden="false" customHeight="false" outlineLevel="0" collapsed="false">
      <c r="A409" s="22" t="s">
        <v>7545</v>
      </c>
      <c r="B409" s="22" t="s">
        <v>159</v>
      </c>
      <c r="C409" s="22" t="s">
        <v>6562</v>
      </c>
      <c r="D409" s="22" t="s">
        <v>7000</v>
      </c>
      <c r="E409" s="22" t="n">
        <v>40</v>
      </c>
      <c r="F409" s="22" t="s">
        <v>6581</v>
      </c>
      <c r="G409" s="22" t="s">
        <v>6575</v>
      </c>
      <c r="H409" s="22" t="n">
        <v>14</v>
      </c>
      <c r="I409" s="22" t="s">
        <v>6582</v>
      </c>
      <c r="J409" s="22" t="s">
        <v>6577</v>
      </c>
      <c r="K409" s="22" t="s">
        <v>7009</v>
      </c>
      <c r="L409" s="22" t="s">
        <v>4193</v>
      </c>
      <c r="M409" s="22" t="s">
        <v>4194</v>
      </c>
      <c r="N409" s="22" t="s">
        <v>1438</v>
      </c>
      <c r="O409" s="22" t="n">
        <v>43.1</v>
      </c>
      <c r="P409" s="22" t="n">
        <v>10.4</v>
      </c>
      <c r="Q409" s="22" t="s">
        <v>7546</v>
      </c>
      <c r="R409" s="22"/>
    </row>
    <row r="410" customFormat="false" ht="15" hidden="false" customHeight="false" outlineLevel="0" collapsed="false">
      <c r="A410" s="22" t="s">
        <v>7547</v>
      </c>
      <c r="B410" s="22" t="s">
        <v>159</v>
      </c>
      <c r="C410" s="22" t="s">
        <v>6562</v>
      </c>
      <c r="D410" s="22" t="s">
        <v>7000</v>
      </c>
      <c r="E410" s="22" t="n">
        <v>28</v>
      </c>
      <c r="F410" s="22" t="s">
        <v>6574</v>
      </c>
      <c r="G410" s="22" t="s">
        <v>6575</v>
      </c>
      <c r="H410" s="22" t="n">
        <v>10</v>
      </c>
      <c r="I410" s="22" t="s">
        <v>6576</v>
      </c>
      <c r="J410" s="22" t="s">
        <v>6577</v>
      </c>
      <c r="K410" s="22" t="s">
        <v>7012</v>
      </c>
      <c r="L410" s="22" t="s">
        <v>4729</v>
      </c>
      <c r="M410" s="22" t="s">
        <v>4730</v>
      </c>
      <c r="N410" s="22" t="s">
        <v>563</v>
      </c>
      <c r="O410" s="22" t="n">
        <v>45.4</v>
      </c>
      <c r="P410" s="22" t="n">
        <v>10.4</v>
      </c>
      <c r="Q410" s="22" t="s">
        <v>7548</v>
      </c>
      <c r="R410" s="22"/>
    </row>
    <row r="411" customFormat="false" ht="15" hidden="false" customHeight="false" outlineLevel="0" collapsed="false">
      <c r="A411" s="22" t="s">
        <v>7549</v>
      </c>
      <c r="B411" s="22" t="s">
        <v>159</v>
      </c>
      <c r="C411" s="22" t="s">
        <v>6562</v>
      </c>
      <c r="D411" s="22" t="s">
        <v>7000</v>
      </c>
      <c r="E411" s="22" t="n">
        <v>32</v>
      </c>
      <c r="F411" s="22" t="s">
        <v>6581</v>
      </c>
      <c r="G411" s="22" t="s">
        <v>6575</v>
      </c>
      <c r="H411" s="22" t="n">
        <v>12</v>
      </c>
      <c r="I411" s="22" t="s">
        <v>6576</v>
      </c>
      <c r="J411" s="22" t="s">
        <v>6577</v>
      </c>
      <c r="K411" s="22" t="s">
        <v>7014</v>
      </c>
      <c r="L411" s="22" t="s">
        <v>3967</v>
      </c>
      <c r="M411" s="22" t="s">
        <v>3968</v>
      </c>
      <c r="N411" s="22" t="s">
        <v>321</v>
      </c>
      <c r="O411" s="22" t="n">
        <v>33.5</v>
      </c>
      <c r="P411" s="22" t="n">
        <v>10.4</v>
      </c>
      <c r="Q411" s="22" t="s">
        <v>7111</v>
      </c>
      <c r="R411" s="22"/>
    </row>
    <row r="412" customFormat="false" ht="15" hidden="false" customHeight="false" outlineLevel="0" collapsed="false">
      <c r="A412" s="22" t="s">
        <v>7550</v>
      </c>
      <c r="B412" s="22" t="s">
        <v>159</v>
      </c>
      <c r="C412" s="22" t="s">
        <v>6562</v>
      </c>
      <c r="D412" s="22" t="s">
        <v>7000</v>
      </c>
      <c r="E412" s="22" t="n">
        <v>28</v>
      </c>
      <c r="F412" s="22" t="s">
        <v>6574</v>
      </c>
      <c r="G412" s="22" t="s">
        <v>6575</v>
      </c>
      <c r="H412" s="22" t="n">
        <v>10</v>
      </c>
      <c r="I412" s="22" t="s">
        <v>6576</v>
      </c>
      <c r="J412" s="22" t="s">
        <v>6577</v>
      </c>
      <c r="K412" s="22" t="s">
        <v>7017</v>
      </c>
      <c r="L412" s="22" t="s">
        <v>583</v>
      </c>
      <c r="M412" s="22" t="s">
        <v>584</v>
      </c>
      <c r="N412" s="22" t="s">
        <v>585</v>
      </c>
      <c r="O412" s="22" t="n">
        <v>19.6</v>
      </c>
      <c r="P412" s="22" t="n">
        <v>10.4</v>
      </c>
      <c r="Q412" s="22" t="s">
        <v>6964</v>
      </c>
      <c r="R412" s="22"/>
    </row>
    <row r="413" customFormat="false" ht="15" hidden="false" customHeight="false" outlineLevel="0" collapsed="false">
      <c r="A413" s="22" t="s">
        <v>7551</v>
      </c>
      <c r="B413" s="22" t="s">
        <v>159</v>
      </c>
      <c r="C413" s="22" t="s">
        <v>6562</v>
      </c>
      <c r="D413" s="22" t="s">
        <v>7000</v>
      </c>
      <c r="E413" s="22" t="n">
        <v>36</v>
      </c>
      <c r="F413" s="22" t="s">
        <v>6581</v>
      </c>
      <c r="G413" s="22" t="s">
        <v>6575</v>
      </c>
      <c r="H413" s="22" t="n">
        <v>13</v>
      </c>
      <c r="I413" s="22" t="s">
        <v>6582</v>
      </c>
      <c r="J413" s="22" t="s">
        <v>6577</v>
      </c>
      <c r="K413" s="22" t="s">
        <v>7020</v>
      </c>
      <c r="L413" s="22" t="s">
        <v>1612</v>
      </c>
      <c r="M413" s="22" t="s">
        <v>1613</v>
      </c>
      <c r="N413" s="22" t="s">
        <v>1445</v>
      </c>
      <c r="O413" s="22" t="n">
        <v>21.4</v>
      </c>
      <c r="P413" s="22" t="n">
        <v>10.4</v>
      </c>
      <c r="Q413" s="22" t="s">
        <v>7552</v>
      </c>
      <c r="R413" s="22"/>
    </row>
    <row r="414" customFormat="false" ht="15" hidden="false" customHeight="false" outlineLevel="0" collapsed="false">
      <c r="A414" s="22" t="s">
        <v>7553</v>
      </c>
      <c r="B414" s="22" t="s">
        <v>159</v>
      </c>
      <c r="C414" s="22" t="s">
        <v>6562</v>
      </c>
      <c r="D414" s="22" t="s">
        <v>7000</v>
      </c>
      <c r="E414" s="22" t="n">
        <v>40</v>
      </c>
      <c r="F414" s="22" t="s">
        <v>6581</v>
      </c>
      <c r="G414" s="22" t="s">
        <v>6575</v>
      </c>
      <c r="H414" s="22" t="n">
        <v>14</v>
      </c>
      <c r="I414" s="22" t="s">
        <v>6582</v>
      </c>
      <c r="J414" s="22" t="s">
        <v>6577</v>
      </c>
      <c r="K414" s="22" t="s">
        <v>7023</v>
      </c>
      <c r="L414" s="22" t="s">
        <v>4968</v>
      </c>
      <c r="M414" s="22" t="s">
        <v>4969</v>
      </c>
      <c r="N414" s="22" t="s">
        <v>1066</v>
      </c>
      <c r="O414" s="22" t="n">
        <v>43.5</v>
      </c>
      <c r="P414" s="22" t="n">
        <v>10.4</v>
      </c>
      <c r="Q414" s="22" t="s">
        <v>7343</v>
      </c>
      <c r="R414" s="22"/>
    </row>
    <row r="415" customFormat="false" ht="15" hidden="false" customHeight="false" outlineLevel="0" collapsed="false">
      <c r="A415" s="22" t="s">
        <v>7554</v>
      </c>
      <c r="B415" s="22" t="s">
        <v>159</v>
      </c>
      <c r="C415" s="22" t="s">
        <v>6562</v>
      </c>
      <c r="D415" s="22" t="s">
        <v>7000</v>
      </c>
      <c r="E415" s="22" t="n">
        <v>36</v>
      </c>
      <c r="F415" s="22" t="s">
        <v>6581</v>
      </c>
      <c r="G415" s="22" t="s">
        <v>6575</v>
      </c>
      <c r="H415" s="22" t="n">
        <v>13</v>
      </c>
      <c r="I415" s="22" t="s">
        <v>6582</v>
      </c>
      <c r="J415" s="22" t="s">
        <v>6577</v>
      </c>
      <c r="K415" s="22" t="s">
        <v>7026</v>
      </c>
      <c r="L415" s="22" t="s">
        <v>589</v>
      </c>
      <c r="M415" s="22" t="s">
        <v>590</v>
      </c>
      <c r="N415" s="22" t="s">
        <v>591</v>
      </c>
      <c r="O415" s="22" t="n">
        <v>36.7</v>
      </c>
      <c r="P415" s="22" t="n">
        <v>10.4</v>
      </c>
      <c r="Q415" s="22" t="s">
        <v>7555</v>
      </c>
      <c r="R415" s="22"/>
    </row>
    <row r="416" customFormat="false" ht="15" hidden="false" customHeight="false" outlineLevel="0" collapsed="false">
      <c r="A416" s="22" t="s">
        <v>7556</v>
      </c>
      <c r="B416" s="22" t="s">
        <v>159</v>
      </c>
      <c r="C416" s="22" t="s">
        <v>6562</v>
      </c>
      <c r="D416" s="22" t="s">
        <v>7000</v>
      </c>
      <c r="E416" s="22" t="n">
        <v>36</v>
      </c>
      <c r="F416" s="22" t="s">
        <v>6581</v>
      </c>
      <c r="G416" s="22" t="s">
        <v>6575</v>
      </c>
      <c r="H416" s="22" t="n">
        <v>13</v>
      </c>
      <c r="I416" s="22" t="s">
        <v>6582</v>
      </c>
      <c r="J416" s="22" t="s">
        <v>6577</v>
      </c>
      <c r="K416" s="22" t="s">
        <v>7029</v>
      </c>
      <c r="L416" s="22" t="s">
        <v>5048</v>
      </c>
      <c r="M416" s="22" t="s">
        <v>5049</v>
      </c>
      <c r="N416" s="22" t="s">
        <v>1288</v>
      </c>
      <c r="O416" s="22" t="n">
        <v>37.2</v>
      </c>
      <c r="P416" s="22" t="n">
        <v>10.4</v>
      </c>
      <c r="Q416" s="22" t="s">
        <v>7557</v>
      </c>
      <c r="R416" s="22"/>
    </row>
    <row r="417" customFormat="false" ht="15" hidden="false" customHeight="false" outlineLevel="0" collapsed="false">
      <c r="A417" s="22" t="s">
        <v>7558</v>
      </c>
      <c r="B417" s="22" t="s">
        <v>159</v>
      </c>
      <c r="C417" s="22" t="s">
        <v>6562</v>
      </c>
      <c r="D417" s="22" t="s">
        <v>7000</v>
      </c>
      <c r="E417" s="22" t="n">
        <v>28</v>
      </c>
      <c r="F417" s="22" t="s">
        <v>6574</v>
      </c>
      <c r="G417" s="22" t="s">
        <v>6575</v>
      </c>
      <c r="H417" s="22" t="n">
        <v>10</v>
      </c>
      <c r="I417" s="22" t="s">
        <v>6576</v>
      </c>
      <c r="J417" s="22" t="s">
        <v>6577</v>
      </c>
      <c r="K417" s="22" t="s">
        <v>7031</v>
      </c>
      <c r="L417" s="22" t="s">
        <v>5800</v>
      </c>
      <c r="M417" s="22" t="s">
        <v>5801</v>
      </c>
      <c r="N417" s="22" t="s">
        <v>2468</v>
      </c>
      <c r="O417" s="22" t="n">
        <v>40.6</v>
      </c>
      <c r="P417" s="22" t="n">
        <v>10.4</v>
      </c>
      <c r="Q417" s="22" t="s">
        <v>7559</v>
      </c>
      <c r="R417" s="22"/>
    </row>
    <row r="418" customFormat="false" ht="15" hidden="false" customHeight="false" outlineLevel="0" collapsed="false">
      <c r="A418" s="22" t="s">
        <v>7560</v>
      </c>
      <c r="B418" s="22" t="s">
        <v>159</v>
      </c>
      <c r="C418" s="22" t="s">
        <v>6562</v>
      </c>
      <c r="D418" s="22" t="s">
        <v>7000</v>
      </c>
      <c r="E418" s="22" t="n">
        <v>32</v>
      </c>
      <c r="F418" s="22" t="s">
        <v>6581</v>
      </c>
      <c r="G418" s="22" t="s">
        <v>6575</v>
      </c>
      <c r="H418" s="22" t="n">
        <v>12</v>
      </c>
      <c r="I418" s="22" t="s">
        <v>6576</v>
      </c>
      <c r="J418" s="22" t="s">
        <v>6577</v>
      </c>
      <c r="K418" s="22" t="s">
        <v>7033</v>
      </c>
      <c r="L418" s="22" t="s">
        <v>936</v>
      </c>
      <c r="M418" s="22" t="s">
        <v>937</v>
      </c>
      <c r="N418" s="22" t="s">
        <v>938</v>
      </c>
      <c r="O418" s="22" t="n">
        <v>33.8</v>
      </c>
      <c r="P418" s="22" t="n">
        <v>10.4</v>
      </c>
      <c r="Q418" s="22" t="s">
        <v>7561</v>
      </c>
      <c r="R418" s="22"/>
    </row>
    <row r="419" customFormat="false" ht="15" hidden="false" customHeight="false" outlineLevel="0" collapsed="false">
      <c r="A419" s="22" t="s">
        <v>7562</v>
      </c>
      <c r="B419" s="22" t="s">
        <v>159</v>
      </c>
      <c r="C419" s="22" t="s">
        <v>6562</v>
      </c>
      <c r="D419" s="22" t="s">
        <v>7000</v>
      </c>
      <c r="E419" s="22" t="n">
        <v>32</v>
      </c>
      <c r="F419" s="22" t="s">
        <v>6581</v>
      </c>
      <c r="G419" s="22" t="s">
        <v>6575</v>
      </c>
      <c r="H419" s="22" t="n">
        <v>12</v>
      </c>
      <c r="I419" s="22" t="s">
        <v>6576</v>
      </c>
      <c r="J419" s="22" t="s">
        <v>6577</v>
      </c>
      <c r="K419" s="22" t="s">
        <v>7036</v>
      </c>
      <c r="L419" s="22" t="s">
        <v>3217</v>
      </c>
      <c r="M419" s="22" t="s">
        <v>2765</v>
      </c>
      <c r="N419" s="22" t="s">
        <v>921</v>
      </c>
      <c r="O419" s="22" t="n">
        <v>61.3</v>
      </c>
      <c r="P419" s="22" t="n">
        <v>10.4</v>
      </c>
      <c r="Q419" s="22" t="s">
        <v>7563</v>
      </c>
      <c r="R419" s="22"/>
    </row>
    <row r="420" customFormat="false" ht="15" hidden="false" customHeight="false" outlineLevel="0" collapsed="false">
      <c r="A420" s="22" t="s">
        <v>7564</v>
      </c>
      <c r="B420" s="22" t="s">
        <v>159</v>
      </c>
      <c r="C420" s="22" t="s">
        <v>6562</v>
      </c>
      <c r="D420" s="22" t="s">
        <v>7000</v>
      </c>
      <c r="E420" s="22" t="n">
        <v>24</v>
      </c>
      <c r="F420" s="22" t="s">
        <v>6574</v>
      </c>
      <c r="G420" s="22" t="s">
        <v>6575</v>
      </c>
      <c r="H420" s="22" t="n">
        <v>9</v>
      </c>
      <c r="I420" s="22" t="s">
        <v>6576</v>
      </c>
      <c r="J420" s="22" t="s">
        <v>6577</v>
      </c>
      <c r="K420" s="22" t="s">
        <v>7038</v>
      </c>
      <c r="L420" s="22" t="s">
        <v>4424</v>
      </c>
      <c r="M420" s="22" t="s">
        <v>4425</v>
      </c>
      <c r="N420" s="22" t="s">
        <v>914</v>
      </c>
      <c r="O420" s="22" t="n">
        <v>48.7</v>
      </c>
      <c r="P420" s="22" t="n">
        <v>10.4</v>
      </c>
      <c r="Q420" s="22" t="s">
        <v>7565</v>
      </c>
      <c r="R420" s="22"/>
    </row>
    <row r="421" customFormat="false" ht="15" hidden="false" customHeight="false" outlineLevel="0" collapsed="false">
      <c r="A421" s="22" t="s">
        <v>7566</v>
      </c>
      <c r="B421" s="22" t="s">
        <v>159</v>
      </c>
      <c r="C421" s="22" t="s">
        <v>6562</v>
      </c>
      <c r="D421" s="22" t="s">
        <v>7000</v>
      </c>
      <c r="E421" s="22" t="n">
        <v>32</v>
      </c>
      <c r="F421" s="22" t="s">
        <v>6581</v>
      </c>
      <c r="G421" s="22" t="s">
        <v>6575</v>
      </c>
      <c r="H421" s="22" t="n">
        <v>12</v>
      </c>
      <c r="I421" s="22" t="s">
        <v>6576</v>
      </c>
      <c r="J421" s="22" t="s">
        <v>6577</v>
      </c>
      <c r="K421" s="22" t="s">
        <v>7041</v>
      </c>
      <c r="L421" s="22" t="s">
        <v>3673</v>
      </c>
      <c r="M421" s="22" t="s">
        <v>3674</v>
      </c>
      <c r="N421" s="22" t="s">
        <v>1178</v>
      </c>
      <c r="O421" s="22" t="n">
        <v>57.3</v>
      </c>
      <c r="P421" s="22" t="n">
        <v>10.4</v>
      </c>
      <c r="Q421" s="22" t="s">
        <v>7282</v>
      </c>
      <c r="R421" s="22"/>
    </row>
    <row r="422" customFormat="false" ht="15" hidden="false" customHeight="false" outlineLevel="0" collapsed="false">
      <c r="A422" s="22" t="s">
        <v>7567</v>
      </c>
      <c r="B422" s="22" t="s">
        <v>159</v>
      </c>
      <c r="C422" s="22" t="s">
        <v>6562</v>
      </c>
      <c r="D422" s="22" t="s">
        <v>7000</v>
      </c>
      <c r="E422" s="22" t="n">
        <v>32</v>
      </c>
      <c r="F422" s="22" t="s">
        <v>6581</v>
      </c>
      <c r="G422" s="22" t="s">
        <v>6575</v>
      </c>
      <c r="H422" s="22" t="n">
        <v>12</v>
      </c>
      <c r="I422" s="22" t="s">
        <v>6576</v>
      </c>
      <c r="J422" s="22" t="s">
        <v>6577</v>
      </c>
      <c r="K422" s="22" t="s">
        <v>7044</v>
      </c>
      <c r="L422" s="22" t="s">
        <v>1533</v>
      </c>
      <c r="M422" s="22" t="s">
        <v>1534</v>
      </c>
      <c r="N422" s="22" t="s">
        <v>1535</v>
      </c>
      <c r="O422" s="22" t="n">
        <v>50.3</v>
      </c>
      <c r="P422" s="22" t="n">
        <v>10.4</v>
      </c>
      <c r="Q422" s="22" t="s">
        <v>7568</v>
      </c>
      <c r="R422" s="22"/>
    </row>
    <row r="423" customFormat="false" ht="15" hidden="false" customHeight="false" outlineLevel="0" collapsed="false">
      <c r="A423" s="22" t="s">
        <v>7569</v>
      </c>
      <c r="B423" s="22" t="s">
        <v>159</v>
      </c>
      <c r="C423" s="22" t="s">
        <v>6562</v>
      </c>
      <c r="D423" s="22" t="s">
        <v>7000</v>
      </c>
      <c r="E423" s="22" t="n">
        <v>28</v>
      </c>
      <c r="F423" s="22" t="s">
        <v>6574</v>
      </c>
      <c r="G423" s="22" t="s">
        <v>6575</v>
      </c>
      <c r="H423" s="22" t="n">
        <v>10</v>
      </c>
      <c r="I423" s="22" t="s">
        <v>6576</v>
      </c>
      <c r="J423" s="22" t="s">
        <v>6577</v>
      </c>
      <c r="K423" s="22" t="s">
        <v>7046</v>
      </c>
      <c r="L423" s="22" t="s">
        <v>4056</v>
      </c>
      <c r="M423" s="22" t="s">
        <v>4057</v>
      </c>
      <c r="N423" s="22" t="s">
        <v>495</v>
      </c>
      <c r="O423" s="22" t="n">
        <v>35.6</v>
      </c>
      <c r="P423" s="22" t="n">
        <v>10.4</v>
      </c>
      <c r="Q423" s="22" t="s">
        <v>7570</v>
      </c>
      <c r="R423" s="22"/>
    </row>
    <row r="424" customFormat="false" ht="15" hidden="false" customHeight="false" outlineLevel="0" collapsed="false">
      <c r="A424" s="22" t="s">
        <v>7571</v>
      </c>
      <c r="B424" s="22" t="s">
        <v>159</v>
      </c>
      <c r="C424" s="22" t="s">
        <v>6562</v>
      </c>
      <c r="D424" s="22" t="s">
        <v>7000</v>
      </c>
      <c r="E424" s="22" t="n">
        <v>32</v>
      </c>
      <c r="F424" s="22" t="s">
        <v>6581</v>
      </c>
      <c r="G424" s="22" t="s">
        <v>6575</v>
      </c>
      <c r="H424" s="22" t="n">
        <v>12</v>
      </c>
      <c r="I424" s="22" t="s">
        <v>6576</v>
      </c>
      <c r="J424" s="22" t="s">
        <v>6577</v>
      </c>
      <c r="K424" s="22" t="s">
        <v>7048</v>
      </c>
      <c r="L424" s="22" t="s">
        <v>2082</v>
      </c>
      <c r="M424" s="22" t="s">
        <v>2083</v>
      </c>
      <c r="N424" s="22" t="s">
        <v>1977</v>
      </c>
      <c r="O424" s="22" t="n">
        <v>22.5</v>
      </c>
      <c r="P424" s="22" t="n">
        <v>10.4</v>
      </c>
      <c r="Q424" s="22" t="s">
        <v>6798</v>
      </c>
      <c r="R424" s="22"/>
    </row>
    <row r="425" customFormat="false" ht="15" hidden="false" customHeight="false" outlineLevel="0" collapsed="false">
      <c r="A425" s="22" t="s">
        <v>7572</v>
      </c>
      <c r="B425" s="22" t="s">
        <v>159</v>
      </c>
      <c r="C425" s="22" t="s">
        <v>6562</v>
      </c>
      <c r="D425" s="22" t="s">
        <v>7000</v>
      </c>
      <c r="E425" s="22" t="n">
        <v>40</v>
      </c>
      <c r="F425" s="22" t="s">
        <v>6581</v>
      </c>
      <c r="G425" s="22" t="s">
        <v>6575</v>
      </c>
      <c r="H425" s="22" t="n">
        <v>14</v>
      </c>
      <c r="I425" s="22" t="s">
        <v>6582</v>
      </c>
      <c r="J425" s="22" t="s">
        <v>6577</v>
      </c>
      <c r="K425" s="22" t="s">
        <v>7051</v>
      </c>
      <c r="L425" s="22" t="s">
        <v>291</v>
      </c>
      <c r="M425" s="22" t="s">
        <v>292</v>
      </c>
      <c r="N425" s="22" t="s">
        <v>293</v>
      </c>
      <c r="O425" s="22" t="n">
        <v>61.5</v>
      </c>
      <c r="P425" s="22" t="n">
        <v>10.4</v>
      </c>
      <c r="Q425" s="22" t="s">
        <v>7573</v>
      </c>
      <c r="R425" s="22"/>
    </row>
    <row r="426" customFormat="false" ht="15" hidden="false" customHeight="false" outlineLevel="0" collapsed="false">
      <c r="A426" s="22" t="s">
        <v>7574</v>
      </c>
      <c r="B426" s="22" t="s">
        <v>159</v>
      </c>
      <c r="C426" s="22" t="s">
        <v>6562</v>
      </c>
      <c r="D426" s="22" t="s">
        <v>7000</v>
      </c>
      <c r="E426" s="22" t="n">
        <v>28</v>
      </c>
      <c r="F426" s="22" t="s">
        <v>6574</v>
      </c>
      <c r="G426" s="22" t="s">
        <v>6575</v>
      </c>
      <c r="H426" s="22" t="n">
        <v>10</v>
      </c>
      <c r="I426" s="22" t="s">
        <v>6576</v>
      </c>
      <c r="J426" s="22" t="s">
        <v>6577</v>
      </c>
      <c r="K426" s="22" t="s">
        <v>7575</v>
      </c>
      <c r="L426" s="22" t="s">
        <v>925</v>
      </c>
      <c r="M426" s="22" t="s">
        <v>926</v>
      </c>
      <c r="N426" s="22" t="s">
        <v>927</v>
      </c>
      <c r="O426" s="22" t="n">
        <v>20.5</v>
      </c>
      <c r="P426" s="22" t="n">
        <v>10.4</v>
      </c>
      <c r="Q426" s="22" t="s">
        <v>7576</v>
      </c>
      <c r="R426" s="22"/>
    </row>
    <row r="427" customFormat="false" ht="15" hidden="false" customHeight="false" outlineLevel="0" collapsed="false">
      <c r="A427" s="22" t="s">
        <v>7577</v>
      </c>
      <c r="B427" s="22" t="s">
        <v>159</v>
      </c>
      <c r="C427" s="22" t="s">
        <v>6562</v>
      </c>
      <c r="D427" s="22" t="s">
        <v>7000</v>
      </c>
      <c r="E427" s="22" t="n">
        <v>32</v>
      </c>
      <c r="F427" s="22" t="s">
        <v>6581</v>
      </c>
      <c r="G427" s="22" t="s">
        <v>6575</v>
      </c>
      <c r="H427" s="22" t="n">
        <v>12</v>
      </c>
      <c r="I427" s="22" t="s">
        <v>6576</v>
      </c>
      <c r="J427" s="22" t="s">
        <v>6577</v>
      </c>
      <c r="K427" s="22" t="s">
        <v>7056</v>
      </c>
      <c r="L427" s="22" t="s">
        <v>4867</v>
      </c>
      <c r="M427" s="22" t="s">
        <v>4868</v>
      </c>
      <c r="N427" s="22" t="s">
        <v>796</v>
      </c>
      <c r="O427" s="22" t="n">
        <v>53.8</v>
      </c>
      <c r="P427" s="22" t="n">
        <v>10.4</v>
      </c>
      <c r="Q427" s="22" t="s">
        <v>7308</v>
      </c>
      <c r="R427" s="22"/>
    </row>
    <row r="428" customFormat="false" ht="15" hidden="false" customHeight="false" outlineLevel="0" collapsed="false">
      <c r="A428" s="22" t="s">
        <v>7578</v>
      </c>
      <c r="B428" s="22" t="s">
        <v>159</v>
      </c>
      <c r="C428" s="22" t="s">
        <v>6562</v>
      </c>
      <c r="D428" s="22" t="s">
        <v>7000</v>
      </c>
      <c r="E428" s="22" t="n">
        <v>24</v>
      </c>
      <c r="F428" s="22" t="s">
        <v>6574</v>
      </c>
      <c r="G428" s="22" t="s">
        <v>6575</v>
      </c>
      <c r="H428" s="22" t="n">
        <v>9</v>
      </c>
      <c r="I428" s="22" t="s">
        <v>6576</v>
      </c>
      <c r="J428" s="22" t="s">
        <v>6577</v>
      </c>
      <c r="K428" s="22" t="s">
        <v>7059</v>
      </c>
      <c r="L428" s="22" t="s">
        <v>5123</v>
      </c>
      <c r="M428" s="22" t="s">
        <v>5124</v>
      </c>
      <c r="N428" s="22" t="s">
        <v>1991</v>
      </c>
      <c r="O428" s="22" t="n">
        <v>55.2</v>
      </c>
      <c r="P428" s="22" t="n">
        <v>10.4</v>
      </c>
      <c r="Q428" s="22" t="s">
        <v>6672</v>
      </c>
      <c r="R428" s="22"/>
    </row>
    <row r="429" customFormat="false" ht="15" hidden="false" customHeight="false" outlineLevel="0" collapsed="false">
      <c r="A429" s="22" t="s">
        <v>7579</v>
      </c>
      <c r="B429" s="22" t="s">
        <v>159</v>
      </c>
      <c r="C429" s="22" t="s">
        <v>6562</v>
      </c>
      <c r="D429" s="22" t="s">
        <v>7000</v>
      </c>
      <c r="E429" s="22" t="n">
        <v>24</v>
      </c>
      <c r="F429" s="22" t="s">
        <v>6574</v>
      </c>
      <c r="G429" s="22" t="s">
        <v>6575</v>
      </c>
      <c r="H429" s="22" t="n">
        <v>9</v>
      </c>
      <c r="I429" s="22" t="s">
        <v>6576</v>
      </c>
      <c r="J429" s="22" t="s">
        <v>6577</v>
      </c>
      <c r="K429" s="22" t="s">
        <v>7061</v>
      </c>
      <c r="L429" s="22" t="s">
        <v>4146</v>
      </c>
      <c r="M429" s="22" t="s">
        <v>4147</v>
      </c>
      <c r="N429" s="22" t="s">
        <v>698</v>
      </c>
      <c r="O429" s="22" t="n">
        <v>54.7</v>
      </c>
      <c r="P429" s="22" t="n">
        <v>10.4</v>
      </c>
      <c r="Q429" s="22" t="s">
        <v>6654</v>
      </c>
      <c r="R429" s="22"/>
    </row>
    <row r="430" customFormat="false" ht="15" hidden="false" customHeight="false" outlineLevel="0" collapsed="false">
      <c r="A430" s="22" t="s">
        <v>7580</v>
      </c>
      <c r="B430" s="22" t="s">
        <v>159</v>
      </c>
      <c r="C430" s="22" t="s">
        <v>6562</v>
      </c>
      <c r="D430" s="22" t="s">
        <v>7063</v>
      </c>
      <c r="E430" s="22" t="n">
        <v>40</v>
      </c>
      <c r="F430" s="22" t="s">
        <v>6581</v>
      </c>
      <c r="G430" s="22" t="s">
        <v>6575</v>
      </c>
      <c r="H430" s="22" t="n">
        <v>14</v>
      </c>
      <c r="I430" s="22" t="s">
        <v>6582</v>
      </c>
      <c r="J430" s="22" t="s">
        <v>6577</v>
      </c>
      <c r="K430" s="22" t="s">
        <v>7064</v>
      </c>
      <c r="L430" s="22" t="s">
        <v>452</v>
      </c>
      <c r="M430" s="22" t="s">
        <v>453</v>
      </c>
      <c r="N430" s="22" t="s">
        <v>454</v>
      </c>
      <c r="O430" s="22" t="n">
        <v>37.8</v>
      </c>
      <c r="P430" s="22" t="n">
        <v>10.4</v>
      </c>
      <c r="Q430" s="22" t="s">
        <v>7581</v>
      </c>
      <c r="R430" s="22"/>
    </row>
    <row r="431" customFormat="false" ht="15" hidden="false" customHeight="false" outlineLevel="0" collapsed="false">
      <c r="A431" s="22" t="s">
        <v>7582</v>
      </c>
      <c r="B431" s="22" t="s">
        <v>159</v>
      </c>
      <c r="C431" s="22" t="s">
        <v>6562</v>
      </c>
      <c r="D431" s="22" t="s">
        <v>7063</v>
      </c>
      <c r="E431" s="22" t="n">
        <v>40</v>
      </c>
      <c r="F431" s="22" t="s">
        <v>6581</v>
      </c>
      <c r="G431" s="22" t="s">
        <v>6575</v>
      </c>
      <c r="H431" s="22" t="n">
        <v>14</v>
      </c>
      <c r="I431" s="22" t="s">
        <v>6582</v>
      </c>
      <c r="J431" s="22" t="s">
        <v>6577</v>
      </c>
      <c r="K431" s="22" t="s">
        <v>7067</v>
      </c>
      <c r="L431" s="22" t="s">
        <v>4882</v>
      </c>
      <c r="M431" s="22" t="s">
        <v>4883</v>
      </c>
      <c r="N431" s="22" t="s">
        <v>1929</v>
      </c>
      <c r="O431" s="22" t="n">
        <v>49.8</v>
      </c>
      <c r="P431" s="22" t="n">
        <v>10.4</v>
      </c>
      <c r="Q431" s="22" t="s">
        <v>7583</v>
      </c>
      <c r="R431" s="22"/>
    </row>
    <row r="432" customFormat="false" ht="15" hidden="false" customHeight="false" outlineLevel="0" collapsed="false">
      <c r="A432" s="22" t="s">
        <v>7584</v>
      </c>
      <c r="B432" s="22" t="s">
        <v>159</v>
      </c>
      <c r="C432" s="22" t="s">
        <v>6562</v>
      </c>
      <c r="D432" s="22" t="s">
        <v>7063</v>
      </c>
      <c r="E432" s="22" t="n">
        <v>28</v>
      </c>
      <c r="F432" s="22" t="s">
        <v>6574</v>
      </c>
      <c r="G432" s="22" t="s">
        <v>6575</v>
      </c>
      <c r="H432" s="22" t="n">
        <v>10</v>
      </c>
      <c r="I432" s="22" t="s">
        <v>6576</v>
      </c>
      <c r="J432" s="22" t="s">
        <v>6577</v>
      </c>
      <c r="K432" s="22" t="s">
        <v>7070</v>
      </c>
      <c r="L432" s="22" t="s">
        <v>2395</v>
      </c>
      <c r="M432" s="22" t="s">
        <v>2396</v>
      </c>
      <c r="N432" s="22" t="s">
        <v>871</v>
      </c>
      <c r="O432" s="22" t="n">
        <v>27.9</v>
      </c>
      <c r="P432" s="22" t="n">
        <v>10.4</v>
      </c>
      <c r="Q432" s="22" t="s">
        <v>6657</v>
      </c>
      <c r="R432" s="22"/>
    </row>
    <row r="433" customFormat="false" ht="15" hidden="false" customHeight="false" outlineLevel="0" collapsed="false">
      <c r="A433" s="22" t="s">
        <v>7585</v>
      </c>
      <c r="B433" s="22" t="s">
        <v>159</v>
      </c>
      <c r="C433" s="22" t="s">
        <v>6562</v>
      </c>
      <c r="D433" s="22" t="s">
        <v>7063</v>
      </c>
      <c r="E433" s="22" t="n">
        <v>24</v>
      </c>
      <c r="F433" s="22" t="s">
        <v>6574</v>
      </c>
      <c r="G433" s="22" t="s">
        <v>6575</v>
      </c>
      <c r="H433" s="22" t="n">
        <v>9</v>
      </c>
      <c r="I433" s="22" t="s">
        <v>6576</v>
      </c>
      <c r="J433" s="22" t="s">
        <v>6577</v>
      </c>
      <c r="K433" s="22" t="s">
        <v>7586</v>
      </c>
      <c r="L433" s="22" t="s">
        <v>4398</v>
      </c>
      <c r="M433" s="22" t="s">
        <v>4399</v>
      </c>
      <c r="N433" s="22" t="s">
        <v>1374</v>
      </c>
      <c r="O433" s="22" t="n">
        <v>21.2</v>
      </c>
      <c r="P433" s="22" t="n">
        <v>10.4</v>
      </c>
      <c r="Q433" s="22" t="s">
        <v>7306</v>
      </c>
      <c r="R433" s="22"/>
    </row>
    <row r="434" customFormat="false" ht="15" hidden="false" customHeight="false" outlineLevel="0" collapsed="false">
      <c r="A434" s="22" t="s">
        <v>7587</v>
      </c>
      <c r="B434" s="22" t="s">
        <v>159</v>
      </c>
      <c r="C434" s="22" t="s">
        <v>6562</v>
      </c>
      <c r="D434" s="22" t="s">
        <v>7063</v>
      </c>
      <c r="E434" s="22" t="n">
        <v>32</v>
      </c>
      <c r="F434" s="22" t="s">
        <v>6581</v>
      </c>
      <c r="G434" s="22" t="s">
        <v>6575</v>
      </c>
      <c r="H434" s="22" t="n">
        <v>12</v>
      </c>
      <c r="I434" s="22" t="s">
        <v>6576</v>
      </c>
      <c r="J434" s="22" t="s">
        <v>6577</v>
      </c>
      <c r="K434" s="22" t="s">
        <v>7074</v>
      </c>
      <c r="L434" s="22" t="s">
        <v>5325</v>
      </c>
      <c r="M434" s="22" t="s">
        <v>5326</v>
      </c>
      <c r="N434" s="22" t="s">
        <v>2180</v>
      </c>
      <c r="O434" s="22" t="n">
        <v>23.2</v>
      </c>
      <c r="P434" s="22" t="n">
        <v>10.4</v>
      </c>
      <c r="Q434" s="22" t="s">
        <v>7588</v>
      </c>
      <c r="R434" s="22"/>
    </row>
    <row r="435" customFormat="false" ht="15" hidden="false" customHeight="false" outlineLevel="0" collapsed="false">
      <c r="A435" s="22" t="s">
        <v>7589</v>
      </c>
      <c r="B435" s="22" t="s">
        <v>159</v>
      </c>
      <c r="C435" s="22" t="s">
        <v>6562</v>
      </c>
      <c r="D435" s="22" t="s">
        <v>7063</v>
      </c>
      <c r="E435" s="22" t="n">
        <v>32</v>
      </c>
      <c r="F435" s="22" t="s">
        <v>6581</v>
      </c>
      <c r="G435" s="22" t="s">
        <v>6575</v>
      </c>
      <c r="H435" s="22" t="n">
        <v>12</v>
      </c>
      <c r="I435" s="22" t="s">
        <v>6576</v>
      </c>
      <c r="J435" s="22" t="s">
        <v>6577</v>
      </c>
      <c r="K435" s="22" t="s">
        <v>7077</v>
      </c>
      <c r="L435" s="22" t="s">
        <v>1480</v>
      </c>
      <c r="M435" s="22" t="s">
        <v>1481</v>
      </c>
      <c r="N435" s="22" t="s">
        <v>1181</v>
      </c>
      <c r="O435" s="22" t="n">
        <v>18.4</v>
      </c>
      <c r="P435" s="22" t="n">
        <v>10.4</v>
      </c>
      <c r="Q435" s="22" t="s">
        <v>7590</v>
      </c>
      <c r="R435" s="22"/>
    </row>
    <row r="436" customFormat="false" ht="15" hidden="false" customHeight="false" outlineLevel="0" collapsed="false">
      <c r="A436" s="22" t="s">
        <v>7591</v>
      </c>
      <c r="B436" s="22" t="s">
        <v>159</v>
      </c>
      <c r="C436" s="22" t="s">
        <v>6562</v>
      </c>
      <c r="D436" s="22" t="s">
        <v>7063</v>
      </c>
      <c r="E436" s="22" t="n">
        <v>36</v>
      </c>
      <c r="F436" s="22" t="s">
        <v>6581</v>
      </c>
      <c r="G436" s="22" t="s">
        <v>6575</v>
      </c>
      <c r="H436" s="22" t="n">
        <v>13</v>
      </c>
      <c r="I436" s="22" t="s">
        <v>6582</v>
      </c>
      <c r="J436" s="22" t="s">
        <v>6577</v>
      </c>
      <c r="K436" s="22" t="s">
        <v>7080</v>
      </c>
      <c r="L436" s="22" t="s">
        <v>1478</v>
      </c>
      <c r="M436" s="22" t="s">
        <v>1479</v>
      </c>
      <c r="N436" s="22" t="s">
        <v>364</v>
      </c>
      <c r="O436" s="22" t="n">
        <v>58.2</v>
      </c>
      <c r="P436" s="22" t="n">
        <v>10.4</v>
      </c>
      <c r="Q436" s="22" t="s">
        <v>7592</v>
      </c>
      <c r="R436" s="22"/>
    </row>
    <row r="437" customFormat="false" ht="15" hidden="false" customHeight="false" outlineLevel="0" collapsed="false">
      <c r="A437" s="22" t="s">
        <v>7593</v>
      </c>
      <c r="B437" s="22" t="s">
        <v>159</v>
      </c>
      <c r="C437" s="22" t="s">
        <v>6562</v>
      </c>
      <c r="D437" s="22" t="s">
        <v>7063</v>
      </c>
      <c r="E437" s="22" t="n">
        <v>24</v>
      </c>
      <c r="F437" s="22" t="s">
        <v>6574</v>
      </c>
      <c r="G437" s="22" t="s">
        <v>6575</v>
      </c>
      <c r="H437" s="22" t="n">
        <v>9</v>
      </c>
      <c r="I437" s="22" t="s">
        <v>6576</v>
      </c>
      <c r="J437" s="22" t="s">
        <v>6577</v>
      </c>
      <c r="K437" s="22" t="s">
        <v>7082</v>
      </c>
      <c r="L437" s="22" t="s">
        <v>6409</v>
      </c>
      <c r="M437" s="22" t="s">
        <v>6410</v>
      </c>
      <c r="N437" s="22" t="s">
        <v>2595</v>
      </c>
      <c r="O437" s="22" t="n">
        <v>18.2</v>
      </c>
      <c r="P437" s="22" t="n">
        <v>10.4</v>
      </c>
      <c r="Q437" s="22" t="s">
        <v>6683</v>
      </c>
      <c r="R437" s="22"/>
    </row>
    <row r="438" customFormat="false" ht="15" hidden="false" customHeight="false" outlineLevel="0" collapsed="false">
      <c r="A438" s="22" t="s">
        <v>7594</v>
      </c>
      <c r="B438" s="22" t="s">
        <v>159</v>
      </c>
      <c r="C438" s="22" t="s">
        <v>6562</v>
      </c>
      <c r="D438" s="22" t="s">
        <v>7063</v>
      </c>
      <c r="E438" s="22" t="n">
        <v>28</v>
      </c>
      <c r="F438" s="22" t="s">
        <v>6574</v>
      </c>
      <c r="G438" s="22" t="s">
        <v>6575</v>
      </c>
      <c r="H438" s="22" t="n">
        <v>10</v>
      </c>
      <c r="I438" s="22" t="s">
        <v>6576</v>
      </c>
      <c r="J438" s="22" t="s">
        <v>6734</v>
      </c>
      <c r="K438" s="22"/>
      <c r="L438" s="22"/>
      <c r="M438" s="22"/>
      <c r="N438" s="22"/>
      <c r="O438" s="22"/>
      <c r="P438" s="22" t="n">
        <v>10.4</v>
      </c>
      <c r="Q438" s="22" t="s">
        <v>7595</v>
      </c>
      <c r="R438" s="22"/>
    </row>
    <row r="439" customFormat="false" ht="15" hidden="false" customHeight="false" outlineLevel="0" collapsed="false">
      <c r="A439" s="22" t="s">
        <v>7596</v>
      </c>
      <c r="B439" s="22" t="s">
        <v>159</v>
      </c>
      <c r="C439" s="22" t="s">
        <v>6562</v>
      </c>
      <c r="D439" s="22" t="s">
        <v>7063</v>
      </c>
      <c r="E439" s="22" t="n">
        <v>32</v>
      </c>
      <c r="F439" s="22" t="s">
        <v>6581</v>
      </c>
      <c r="G439" s="22" t="s">
        <v>6575</v>
      </c>
      <c r="H439" s="22" t="n">
        <v>12</v>
      </c>
      <c r="I439" s="22" t="s">
        <v>6576</v>
      </c>
      <c r="J439" s="22" t="s">
        <v>6577</v>
      </c>
      <c r="K439" s="22" t="s">
        <v>7597</v>
      </c>
      <c r="L439" s="22" t="s">
        <v>5655</v>
      </c>
      <c r="M439" s="22" t="s">
        <v>5656</v>
      </c>
      <c r="N439" s="22" t="s">
        <v>181</v>
      </c>
      <c r="O439" s="22" t="n">
        <v>21.3</v>
      </c>
      <c r="P439" s="22" t="n">
        <v>10.4</v>
      </c>
      <c r="Q439" s="22" t="s">
        <v>7598</v>
      </c>
      <c r="R439" s="22"/>
    </row>
    <row r="440" customFormat="false" ht="15" hidden="false" customHeight="false" outlineLevel="0" collapsed="false">
      <c r="A440" s="22" t="s">
        <v>7599</v>
      </c>
      <c r="B440" s="22" t="s">
        <v>159</v>
      </c>
      <c r="C440" s="22" t="s">
        <v>6562</v>
      </c>
      <c r="D440" s="22" t="s">
        <v>7063</v>
      </c>
      <c r="E440" s="22" t="n">
        <v>40</v>
      </c>
      <c r="F440" s="22" t="s">
        <v>6581</v>
      </c>
      <c r="G440" s="22" t="s">
        <v>6575</v>
      </c>
      <c r="H440" s="22" t="n">
        <v>14</v>
      </c>
      <c r="I440" s="22" t="s">
        <v>6582</v>
      </c>
      <c r="J440" s="22" t="s">
        <v>6577</v>
      </c>
      <c r="K440" s="22" t="s">
        <v>7089</v>
      </c>
      <c r="L440" s="22" t="s">
        <v>3543</v>
      </c>
      <c r="M440" s="22" t="s">
        <v>3544</v>
      </c>
      <c r="N440" s="22" t="s">
        <v>1857</v>
      </c>
      <c r="O440" s="22" t="n">
        <v>52.9</v>
      </c>
      <c r="P440" s="22" t="n">
        <v>10.4</v>
      </c>
      <c r="Q440" s="22" t="s">
        <v>7600</v>
      </c>
      <c r="R440" s="22"/>
    </row>
    <row r="441" customFormat="false" ht="15" hidden="false" customHeight="false" outlineLevel="0" collapsed="false">
      <c r="A441" s="22" t="s">
        <v>7601</v>
      </c>
      <c r="B441" s="22" t="s">
        <v>159</v>
      </c>
      <c r="C441" s="22" t="s">
        <v>6562</v>
      </c>
      <c r="D441" s="22" t="s">
        <v>7063</v>
      </c>
      <c r="E441" s="22" t="n">
        <v>32</v>
      </c>
      <c r="F441" s="22" t="s">
        <v>6581</v>
      </c>
      <c r="G441" s="22" t="s">
        <v>6575</v>
      </c>
      <c r="H441" s="22" t="n">
        <v>12</v>
      </c>
      <c r="I441" s="22" t="s">
        <v>6576</v>
      </c>
      <c r="J441" s="22" t="s">
        <v>6577</v>
      </c>
      <c r="K441" s="22" t="s">
        <v>7092</v>
      </c>
      <c r="L441" s="22" t="s">
        <v>3986</v>
      </c>
      <c r="M441" s="22" t="s">
        <v>3987</v>
      </c>
      <c r="N441" s="22" t="s">
        <v>263</v>
      </c>
      <c r="O441" s="22" t="n">
        <v>33.4</v>
      </c>
      <c r="P441" s="22" t="n">
        <v>10.4</v>
      </c>
      <c r="Q441" s="22" t="s">
        <v>7602</v>
      </c>
      <c r="R441" s="22"/>
    </row>
    <row r="442" customFormat="false" ht="15" hidden="false" customHeight="false" outlineLevel="0" collapsed="false">
      <c r="A442" s="22" t="s">
        <v>7603</v>
      </c>
      <c r="B442" s="22" t="s">
        <v>159</v>
      </c>
      <c r="C442" s="22" t="s">
        <v>6562</v>
      </c>
      <c r="D442" s="22" t="s">
        <v>7063</v>
      </c>
      <c r="E442" s="22" t="n">
        <v>28</v>
      </c>
      <c r="F442" s="22" t="s">
        <v>6574</v>
      </c>
      <c r="G442" s="22" t="s">
        <v>6575</v>
      </c>
      <c r="H442" s="22" t="n">
        <v>10</v>
      </c>
      <c r="I442" s="22" t="s">
        <v>6576</v>
      </c>
      <c r="J442" s="22" t="s">
        <v>6577</v>
      </c>
      <c r="K442" s="22" t="s">
        <v>7094</v>
      </c>
      <c r="L442" s="22" t="s">
        <v>5000</v>
      </c>
      <c r="M442" s="22" t="s">
        <v>5001</v>
      </c>
      <c r="N442" s="22" t="s">
        <v>4213</v>
      </c>
      <c r="O442" s="22" t="n">
        <v>56.2</v>
      </c>
      <c r="P442" s="22" t="n">
        <v>10.4</v>
      </c>
      <c r="Q442" s="22" t="s">
        <v>7604</v>
      </c>
      <c r="R442" s="22"/>
    </row>
    <row r="443" customFormat="false" ht="15" hidden="false" customHeight="false" outlineLevel="0" collapsed="false">
      <c r="A443" s="22" t="s">
        <v>7605</v>
      </c>
      <c r="B443" s="22" t="s">
        <v>159</v>
      </c>
      <c r="C443" s="22" t="s">
        <v>6562</v>
      </c>
      <c r="D443" s="22" t="s">
        <v>7063</v>
      </c>
      <c r="E443" s="22" t="n">
        <v>28</v>
      </c>
      <c r="F443" s="22" t="s">
        <v>6574</v>
      </c>
      <c r="G443" s="22" t="s">
        <v>6575</v>
      </c>
      <c r="H443" s="22" t="n">
        <v>10</v>
      </c>
      <c r="I443" s="22" t="s">
        <v>6576</v>
      </c>
      <c r="J443" s="22" t="s">
        <v>6577</v>
      </c>
      <c r="K443" s="22" t="s">
        <v>7097</v>
      </c>
      <c r="L443" s="22" t="s">
        <v>5957</v>
      </c>
      <c r="M443" s="22" t="s">
        <v>5958</v>
      </c>
      <c r="N443" s="22" t="s">
        <v>1299</v>
      </c>
      <c r="O443" s="22" t="n">
        <v>59.7</v>
      </c>
      <c r="P443" s="22" t="n">
        <v>10.4</v>
      </c>
      <c r="Q443" s="22" t="s">
        <v>7606</v>
      </c>
      <c r="R443" s="22"/>
    </row>
    <row r="444" customFormat="false" ht="15" hidden="false" customHeight="false" outlineLevel="0" collapsed="false">
      <c r="A444" s="22" t="s">
        <v>7607</v>
      </c>
      <c r="B444" s="22" t="s">
        <v>159</v>
      </c>
      <c r="C444" s="22" t="s">
        <v>6562</v>
      </c>
      <c r="D444" s="22" t="s">
        <v>7063</v>
      </c>
      <c r="E444" s="22" t="n">
        <v>36</v>
      </c>
      <c r="F444" s="22" t="s">
        <v>6581</v>
      </c>
      <c r="G444" s="22" t="s">
        <v>6575</v>
      </c>
      <c r="H444" s="22" t="n">
        <v>13</v>
      </c>
      <c r="I444" s="22" t="s">
        <v>6582</v>
      </c>
      <c r="J444" s="22" t="s">
        <v>6577</v>
      </c>
      <c r="K444" s="22" t="s">
        <v>7100</v>
      </c>
      <c r="L444" s="22" t="s">
        <v>2310</v>
      </c>
      <c r="M444" s="22" t="s">
        <v>2311</v>
      </c>
      <c r="N444" s="22" t="s">
        <v>1945</v>
      </c>
      <c r="O444" s="22" t="n">
        <v>22.4</v>
      </c>
      <c r="P444" s="22" t="n">
        <v>10.4</v>
      </c>
      <c r="Q444" s="22" t="s">
        <v>6795</v>
      </c>
      <c r="R444" s="22"/>
    </row>
    <row r="445" customFormat="false" ht="15" hidden="false" customHeight="false" outlineLevel="0" collapsed="false">
      <c r="A445" s="22" t="s">
        <v>7608</v>
      </c>
      <c r="B445" s="22" t="s">
        <v>159</v>
      </c>
      <c r="C445" s="22" t="s">
        <v>6562</v>
      </c>
      <c r="D445" s="22" t="s">
        <v>7063</v>
      </c>
      <c r="E445" s="22" t="n">
        <v>32</v>
      </c>
      <c r="F445" s="22" t="s">
        <v>6581</v>
      </c>
      <c r="G445" s="22" t="s">
        <v>6575</v>
      </c>
      <c r="H445" s="22" t="n">
        <v>12</v>
      </c>
      <c r="I445" s="22" t="s">
        <v>6576</v>
      </c>
      <c r="J445" s="22" t="s">
        <v>6577</v>
      </c>
      <c r="K445" s="22" t="s">
        <v>7102</v>
      </c>
      <c r="L445" s="22" t="s">
        <v>4373</v>
      </c>
      <c r="M445" s="22" t="s">
        <v>4374</v>
      </c>
      <c r="N445" s="22" t="s">
        <v>3075</v>
      </c>
      <c r="O445" s="22" t="n">
        <v>58.6</v>
      </c>
      <c r="P445" s="22" t="n">
        <v>10.4</v>
      </c>
      <c r="Q445" s="22" t="s">
        <v>7374</v>
      </c>
      <c r="R445" s="22"/>
    </row>
    <row r="446" customFormat="false" ht="15" hidden="false" customHeight="false" outlineLevel="0" collapsed="false">
      <c r="A446" s="22" t="s">
        <v>7609</v>
      </c>
      <c r="B446" s="22" t="s">
        <v>159</v>
      </c>
      <c r="C446" s="22" t="s">
        <v>6562</v>
      </c>
      <c r="D446" s="22" t="s">
        <v>7063</v>
      </c>
      <c r="E446" s="22" t="n">
        <v>28</v>
      </c>
      <c r="F446" s="22" t="s">
        <v>6574</v>
      </c>
      <c r="G446" s="22" t="s">
        <v>6575</v>
      </c>
      <c r="H446" s="22" t="n">
        <v>10</v>
      </c>
      <c r="I446" s="22" t="s">
        <v>6576</v>
      </c>
      <c r="J446" s="22" t="s">
        <v>6577</v>
      </c>
      <c r="K446" s="22" t="s">
        <v>7105</v>
      </c>
      <c r="L446" s="22" t="s">
        <v>2800</v>
      </c>
      <c r="M446" s="22" t="s">
        <v>2801</v>
      </c>
      <c r="N446" s="22" t="s">
        <v>1029</v>
      </c>
      <c r="O446" s="22" t="n">
        <v>54.9</v>
      </c>
      <c r="P446" s="22" t="n">
        <v>10.4</v>
      </c>
      <c r="Q446" s="22" t="s">
        <v>7573</v>
      </c>
      <c r="R446" s="22"/>
    </row>
    <row r="447" customFormat="false" ht="15" hidden="false" customHeight="false" outlineLevel="0" collapsed="false">
      <c r="A447" s="22" t="s">
        <v>7610</v>
      </c>
      <c r="B447" s="22" t="s">
        <v>159</v>
      </c>
      <c r="C447" s="22" t="s">
        <v>6562</v>
      </c>
      <c r="D447" s="22" t="s">
        <v>7063</v>
      </c>
      <c r="E447" s="22" t="n">
        <v>24</v>
      </c>
      <c r="F447" s="22" t="s">
        <v>6574</v>
      </c>
      <c r="G447" s="22" t="s">
        <v>6575</v>
      </c>
      <c r="H447" s="22" t="n">
        <v>9</v>
      </c>
      <c r="I447" s="22" t="s">
        <v>6576</v>
      </c>
      <c r="J447" s="22" t="s">
        <v>6577</v>
      </c>
      <c r="K447" s="22" t="s">
        <v>7108</v>
      </c>
      <c r="L447" s="22" t="s">
        <v>1500</v>
      </c>
      <c r="M447" s="22" t="s">
        <v>1501</v>
      </c>
      <c r="N447" s="22" t="s">
        <v>1502</v>
      </c>
      <c r="O447" s="22" t="n">
        <v>47</v>
      </c>
      <c r="P447" s="22" t="n">
        <v>10.4</v>
      </c>
      <c r="Q447" s="22" t="s">
        <v>7611</v>
      </c>
      <c r="R447" s="22"/>
    </row>
    <row r="448" customFormat="false" ht="15" hidden="false" customHeight="false" outlineLevel="0" collapsed="false">
      <c r="A448" s="22" t="s">
        <v>7612</v>
      </c>
      <c r="B448" s="22" t="s">
        <v>159</v>
      </c>
      <c r="C448" s="22" t="s">
        <v>6562</v>
      </c>
      <c r="D448" s="22" t="s">
        <v>7063</v>
      </c>
      <c r="E448" s="22" t="n">
        <v>24</v>
      </c>
      <c r="F448" s="22" t="s">
        <v>6574</v>
      </c>
      <c r="G448" s="22" t="s">
        <v>6575</v>
      </c>
      <c r="H448" s="22" t="n">
        <v>9</v>
      </c>
      <c r="I448" s="22" t="s">
        <v>6576</v>
      </c>
      <c r="J448" s="22" t="s">
        <v>6577</v>
      </c>
      <c r="K448" s="22" t="s">
        <v>7110</v>
      </c>
      <c r="L448" s="22" t="s">
        <v>5143</v>
      </c>
      <c r="M448" s="22" t="s">
        <v>3266</v>
      </c>
      <c r="N448" s="22" t="s">
        <v>802</v>
      </c>
      <c r="O448" s="22" t="n">
        <v>56.9</v>
      </c>
      <c r="P448" s="22" t="n">
        <v>10.4</v>
      </c>
      <c r="Q448" s="22" t="s">
        <v>7613</v>
      </c>
      <c r="R448" s="22"/>
    </row>
    <row r="449" customFormat="false" ht="15" hidden="false" customHeight="false" outlineLevel="0" collapsed="false">
      <c r="A449" s="22" t="s">
        <v>7614</v>
      </c>
      <c r="B449" s="22" t="s">
        <v>159</v>
      </c>
      <c r="C449" s="22" t="s">
        <v>6562</v>
      </c>
      <c r="D449" s="22" t="s">
        <v>7063</v>
      </c>
      <c r="E449" s="22" t="n">
        <v>36</v>
      </c>
      <c r="F449" s="22" t="s">
        <v>6581</v>
      </c>
      <c r="G449" s="22" t="s">
        <v>6575</v>
      </c>
      <c r="H449" s="22" t="n">
        <v>13</v>
      </c>
      <c r="I449" s="22" t="s">
        <v>6582</v>
      </c>
      <c r="J449" s="22" t="s">
        <v>6577</v>
      </c>
      <c r="K449" s="22" t="s">
        <v>7113</v>
      </c>
      <c r="L449" s="22" t="s">
        <v>2293</v>
      </c>
      <c r="M449" s="22" t="s">
        <v>2294</v>
      </c>
      <c r="N449" s="22" t="s">
        <v>312</v>
      </c>
      <c r="O449" s="22" t="n">
        <v>39.8</v>
      </c>
      <c r="P449" s="22" t="n">
        <v>10.4</v>
      </c>
      <c r="Q449" s="22" t="s">
        <v>7615</v>
      </c>
      <c r="R449" s="22"/>
    </row>
    <row r="450" customFormat="false" ht="15" hidden="false" customHeight="false" outlineLevel="0" collapsed="false">
      <c r="A450" s="22" t="s">
        <v>7616</v>
      </c>
      <c r="B450" s="22" t="s">
        <v>159</v>
      </c>
      <c r="C450" s="22" t="s">
        <v>6562</v>
      </c>
      <c r="D450" s="22" t="s">
        <v>7063</v>
      </c>
      <c r="E450" s="22" t="n">
        <v>40</v>
      </c>
      <c r="F450" s="22" t="s">
        <v>6581</v>
      </c>
      <c r="G450" s="22" t="s">
        <v>6575</v>
      </c>
      <c r="H450" s="22" t="n">
        <v>14</v>
      </c>
      <c r="I450" s="22" t="s">
        <v>6582</v>
      </c>
      <c r="J450" s="22" t="s">
        <v>6577</v>
      </c>
      <c r="K450" s="22" t="s">
        <v>7115</v>
      </c>
      <c r="L450" s="22" t="s">
        <v>3262</v>
      </c>
      <c r="M450" s="22" t="s">
        <v>3263</v>
      </c>
      <c r="N450" s="22" t="s">
        <v>1821</v>
      </c>
      <c r="O450" s="22" t="n">
        <v>57.6</v>
      </c>
      <c r="P450" s="22" t="n">
        <v>10.4</v>
      </c>
      <c r="Q450" s="22" t="s">
        <v>7523</v>
      </c>
      <c r="R450" s="22"/>
    </row>
    <row r="451" customFormat="false" ht="15" hidden="false" customHeight="false" outlineLevel="0" collapsed="false">
      <c r="A451" s="22" t="s">
        <v>7617</v>
      </c>
      <c r="B451" s="22" t="s">
        <v>159</v>
      </c>
      <c r="C451" s="22" t="s">
        <v>6562</v>
      </c>
      <c r="D451" s="22" t="s">
        <v>7063</v>
      </c>
      <c r="E451" s="22" t="n">
        <v>36</v>
      </c>
      <c r="F451" s="22" t="s">
        <v>6581</v>
      </c>
      <c r="G451" s="22" t="s">
        <v>6575</v>
      </c>
      <c r="H451" s="22" t="n">
        <v>13</v>
      </c>
      <c r="I451" s="22" t="s">
        <v>6582</v>
      </c>
      <c r="J451" s="22" t="s">
        <v>6577</v>
      </c>
      <c r="K451" s="22" t="s">
        <v>7118</v>
      </c>
      <c r="L451" s="22" t="s">
        <v>1055</v>
      </c>
      <c r="M451" s="22" t="s">
        <v>1056</v>
      </c>
      <c r="N451" s="22" t="s">
        <v>1057</v>
      </c>
      <c r="O451" s="22" t="n">
        <v>50.8</v>
      </c>
      <c r="P451" s="22" t="n">
        <v>10.4</v>
      </c>
      <c r="Q451" s="22" t="s">
        <v>6798</v>
      </c>
      <c r="R451" s="22"/>
    </row>
    <row r="452" customFormat="false" ht="15" hidden="false" customHeight="false" outlineLevel="0" collapsed="false">
      <c r="A452" s="22" t="s">
        <v>7618</v>
      </c>
      <c r="B452" s="22" t="s">
        <v>159</v>
      </c>
      <c r="C452" s="22" t="s">
        <v>6562</v>
      </c>
      <c r="D452" s="22" t="s">
        <v>7063</v>
      </c>
      <c r="E452" s="22" t="n">
        <v>40</v>
      </c>
      <c r="F452" s="22" t="s">
        <v>6581</v>
      </c>
      <c r="G452" s="22" t="s">
        <v>6575</v>
      </c>
      <c r="H452" s="22" t="n">
        <v>14</v>
      </c>
      <c r="I452" s="22" t="s">
        <v>6582</v>
      </c>
      <c r="J452" s="22" t="s">
        <v>6577</v>
      </c>
      <c r="K452" s="22" t="s">
        <v>7120</v>
      </c>
      <c r="L452" s="22" t="s">
        <v>2426</v>
      </c>
      <c r="M452" s="22" t="s">
        <v>2427</v>
      </c>
      <c r="N452" s="22" t="s">
        <v>890</v>
      </c>
      <c r="O452" s="22" t="n">
        <v>58.3</v>
      </c>
      <c r="P452" s="22" t="n">
        <v>10.4</v>
      </c>
      <c r="Q452" s="22" t="s">
        <v>7619</v>
      </c>
      <c r="R452" s="22"/>
    </row>
    <row r="453" customFormat="false" ht="15" hidden="false" customHeight="false" outlineLevel="0" collapsed="false">
      <c r="A453" s="22" t="s">
        <v>7620</v>
      </c>
      <c r="B453" s="22" t="s">
        <v>159</v>
      </c>
      <c r="C453" s="22" t="s">
        <v>6562</v>
      </c>
      <c r="D453" s="22" t="s">
        <v>7063</v>
      </c>
      <c r="E453" s="22" t="n">
        <v>28</v>
      </c>
      <c r="F453" s="22" t="s">
        <v>6574</v>
      </c>
      <c r="G453" s="22" t="s">
        <v>6575</v>
      </c>
      <c r="H453" s="22" t="n">
        <v>10</v>
      </c>
      <c r="I453" s="22" t="s">
        <v>6576</v>
      </c>
      <c r="J453" s="22" t="s">
        <v>6734</v>
      </c>
      <c r="K453" s="22"/>
      <c r="L453" s="22"/>
      <c r="M453" s="22"/>
      <c r="N453" s="22"/>
      <c r="O453" s="22"/>
      <c r="P453" s="22" t="n">
        <v>10.4</v>
      </c>
      <c r="Q453" s="22" t="s">
        <v>6701</v>
      </c>
      <c r="R453" s="22"/>
    </row>
    <row r="454" customFormat="false" ht="15" hidden="false" customHeight="false" outlineLevel="0" collapsed="false">
      <c r="A454" s="22" t="s">
        <v>7621</v>
      </c>
      <c r="B454" s="22" t="s">
        <v>159</v>
      </c>
      <c r="C454" s="22" t="s">
        <v>6562</v>
      </c>
      <c r="D454" s="22" t="s">
        <v>7126</v>
      </c>
      <c r="E454" s="22" t="n">
        <v>36</v>
      </c>
      <c r="F454" s="22" t="s">
        <v>6581</v>
      </c>
      <c r="G454" s="22" t="s">
        <v>6575</v>
      </c>
      <c r="H454" s="22" t="n">
        <v>13</v>
      </c>
      <c r="I454" s="22" t="s">
        <v>6582</v>
      </c>
      <c r="J454" s="22" t="s">
        <v>6577</v>
      </c>
      <c r="K454" s="22" t="s">
        <v>7127</v>
      </c>
      <c r="L454" s="22" t="s">
        <v>4014</v>
      </c>
      <c r="M454" s="22" t="s">
        <v>4015</v>
      </c>
      <c r="N454" s="22" t="s">
        <v>1665</v>
      </c>
      <c r="O454" s="22" t="n">
        <v>46.5</v>
      </c>
      <c r="P454" s="22" t="n">
        <v>10.4</v>
      </c>
      <c r="Q454" s="22" t="s">
        <v>6990</v>
      </c>
      <c r="R454" s="22"/>
    </row>
    <row r="455" customFormat="false" ht="15" hidden="false" customHeight="false" outlineLevel="0" collapsed="false">
      <c r="A455" s="22" t="s">
        <v>7622</v>
      </c>
      <c r="B455" s="22" t="s">
        <v>159</v>
      </c>
      <c r="C455" s="22" t="s">
        <v>6562</v>
      </c>
      <c r="D455" s="22" t="s">
        <v>7126</v>
      </c>
      <c r="E455" s="22" t="n">
        <v>28</v>
      </c>
      <c r="F455" s="22" t="s">
        <v>6574</v>
      </c>
      <c r="G455" s="22" t="s">
        <v>6575</v>
      </c>
      <c r="H455" s="22" t="n">
        <v>10</v>
      </c>
      <c r="I455" s="22" t="s">
        <v>6576</v>
      </c>
      <c r="J455" s="22" t="s">
        <v>6577</v>
      </c>
      <c r="K455" s="22" t="s">
        <v>7130</v>
      </c>
      <c r="L455" s="22" t="s">
        <v>928</v>
      </c>
      <c r="M455" s="22" t="s">
        <v>929</v>
      </c>
      <c r="N455" s="22" t="s">
        <v>930</v>
      </c>
      <c r="O455" s="22" t="n">
        <v>58.1</v>
      </c>
      <c r="P455" s="22" t="n">
        <v>10.4</v>
      </c>
      <c r="Q455" s="22" t="s">
        <v>7623</v>
      </c>
      <c r="R455" s="22"/>
    </row>
    <row r="456" customFormat="false" ht="15" hidden="false" customHeight="false" outlineLevel="0" collapsed="false">
      <c r="A456" s="22" t="s">
        <v>7624</v>
      </c>
      <c r="B456" s="22" t="s">
        <v>159</v>
      </c>
      <c r="C456" s="22" t="s">
        <v>6562</v>
      </c>
      <c r="D456" s="22" t="s">
        <v>7126</v>
      </c>
      <c r="E456" s="22" t="n">
        <v>36</v>
      </c>
      <c r="F456" s="22" t="s">
        <v>6581</v>
      </c>
      <c r="G456" s="22" t="s">
        <v>6575</v>
      </c>
      <c r="H456" s="22" t="n">
        <v>13</v>
      </c>
      <c r="I456" s="22" t="s">
        <v>6582</v>
      </c>
      <c r="J456" s="22" t="s">
        <v>6577</v>
      </c>
      <c r="K456" s="22" t="s">
        <v>7133</v>
      </c>
      <c r="L456" s="22" t="s">
        <v>3621</v>
      </c>
      <c r="M456" s="22" t="s">
        <v>3622</v>
      </c>
      <c r="N456" s="22" t="s">
        <v>2420</v>
      </c>
      <c r="O456" s="22" t="n">
        <v>56.6</v>
      </c>
      <c r="P456" s="22" t="n">
        <v>10.4</v>
      </c>
      <c r="Q456" s="22" t="s">
        <v>7625</v>
      </c>
      <c r="R456" s="22"/>
    </row>
    <row r="457" customFormat="false" ht="15" hidden="false" customHeight="false" outlineLevel="0" collapsed="false">
      <c r="A457" s="22" t="s">
        <v>7626</v>
      </c>
      <c r="B457" s="22" t="s">
        <v>159</v>
      </c>
      <c r="C457" s="22" t="s">
        <v>6562</v>
      </c>
      <c r="D457" s="22" t="s">
        <v>7126</v>
      </c>
      <c r="E457" s="22" t="n">
        <v>28</v>
      </c>
      <c r="F457" s="22" t="s">
        <v>6574</v>
      </c>
      <c r="G457" s="22" t="s">
        <v>6575</v>
      </c>
      <c r="H457" s="22" t="n">
        <v>10</v>
      </c>
      <c r="I457" s="22" t="s">
        <v>6576</v>
      </c>
      <c r="J457" s="22" t="s">
        <v>6577</v>
      </c>
      <c r="K457" s="22" t="s">
        <v>7135</v>
      </c>
      <c r="L457" s="22" t="s">
        <v>3409</v>
      </c>
      <c r="M457" s="22" t="s">
        <v>3410</v>
      </c>
      <c r="N457" s="22" t="s">
        <v>1011</v>
      </c>
      <c r="O457" s="22" t="n">
        <v>56.5</v>
      </c>
      <c r="P457" s="22" t="n">
        <v>10.4</v>
      </c>
      <c r="Q457" s="22" t="s">
        <v>7165</v>
      </c>
      <c r="R457" s="22"/>
    </row>
    <row r="458" customFormat="false" ht="15" hidden="false" customHeight="false" outlineLevel="0" collapsed="false">
      <c r="A458" s="22" t="s">
        <v>7627</v>
      </c>
      <c r="B458" s="22" t="s">
        <v>159</v>
      </c>
      <c r="C458" s="22" t="s">
        <v>6562</v>
      </c>
      <c r="D458" s="22" t="s">
        <v>7126</v>
      </c>
      <c r="E458" s="22" t="n">
        <v>28</v>
      </c>
      <c r="F458" s="22" t="s">
        <v>6574</v>
      </c>
      <c r="G458" s="22" t="s">
        <v>6575</v>
      </c>
      <c r="H458" s="22" t="n">
        <v>10</v>
      </c>
      <c r="I458" s="22" t="s">
        <v>6576</v>
      </c>
      <c r="J458" s="22" t="s">
        <v>6577</v>
      </c>
      <c r="K458" s="22" t="s">
        <v>7138</v>
      </c>
      <c r="L458" s="22" t="s">
        <v>4936</v>
      </c>
      <c r="M458" s="22" t="s">
        <v>4937</v>
      </c>
      <c r="N458" s="22" t="s">
        <v>1489</v>
      </c>
      <c r="O458" s="22" t="n">
        <v>24.5</v>
      </c>
      <c r="P458" s="22" t="n">
        <v>10.4</v>
      </c>
      <c r="Q458" s="22" t="s">
        <v>7378</v>
      </c>
      <c r="R458" s="22"/>
    </row>
    <row r="459" customFormat="false" ht="15" hidden="false" customHeight="false" outlineLevel="0" collapsed="false">
      <c r="A459" s="22" t="s">
        <v>7628</v>
      </c>
      <c r="B459" s="22" t="s">
        <v>159</v>
      </c>
      <c r="C459" s="22" t="s">
        <v>6562</v>
      </c>
      <c r="D459" s="22" t="s">
        <v>7126</v>
      </c>
      <c r="E459" s="22" t="n">
        <v>36</v>
      </c>
      <c r="F459" s="22" t="s">
        <v>6581</v>
      </c>
      <c r="G459" s="22" t="s">
        <v>6575</v>
      </c>
      <c r="H459" s="22" t="n">
        <v>13</v>
      </c>
      <c r="I459" s="22" t="s">
        <v>6582</v>
      </c>
      <c r="J459" s="22" t="s">
        <v>6577</v>
      </c>
      <c r="K459" s="22" t="s">
        <v>7140</v>
      </c>
      <c r="L459" s="22" t="s">
        <v>4214</v>
      </c>
      <c r="M459" s="22" t="s">
        <v>4215</v>
      </c>
      <c r="N459" s="22" t="s">
        <v>422</v>
      </c>
      <c r="O459" s="22" t="n">
        <v>29.3</v>
      </c>
      <c r="P459" s="22" t="n">
        <v>10.4</v>
      </c>
      <c r="Q459" s="22" t="s">
        <v>7629</v>
      </c>
      <c r="R459" s="22"/>
    </row>
    <row r="460" customFormat="false" ht="15" hidden="false" customHeight="false" outlineLevel="0" collapsed="false">
      <c r="A460" s="22" t="s">
        <v>7630</v>
      </c>
      <c r="B460" s="22" t="s">
        <v>159</v>
      </c>
      <c r="C460" s="22" t="s">
        <v>6562</v>
      </c>
      <c r="D460" s="22" t="s">
        <v>7126</v>
      </c>
      <c r="E460" s="22" t="n">
        <v>28</v>
      </c>
      <c r="F460" s="22" t="s">
        <v>6574</v>
      </c>
      <c r="G460" s="22" t="s">
        <v>6575</v>
      </c>
      <c r="H460" s="22" t="n">
        <v>10</v>
      </c>
      <c r="I460" s="22" t="s">
        <v>6576</v>
      </c>
      <c r="J460" s="22" t="s">
        <v>6577</v>
      </c>
      <c r="K460" s="22" t="s">
        <v>7143</v>
      </c>
      <c r="L460" s="22" t="s">
        <v>6443</v>
      </c>
      <c r="M460" s="22" t="s">
        <v>6444</v>
      </c>
      <c r="N460" s="22" t="s">
        <v>773</v>
      </c>
      <c r="O460" s="22" t="n">
        <v>35.8</v>
      </c>
      <c r="P460" s="22" t="n">
        <v>10.4</v>
      </c>
      <c r="Q460" s="22" t="s">
        <v>7631</v>
      </c>
      <c r="R460" s="22"/>
    </row>
    <row r="461" customFormat="false" ht="15" hidden="false" customHeight="false" outlineLevel="0" collapsed="false">
      <c r="A461" s="22" t="s">
        <v>7632</v>
      </c>
      <c r="B461" s="22" t="s">
        <v>159</v>
      </c>
      <c r="C461" s="22" t="s">
        <v>6562</v>
      </c>
      <c r="D461" s="22" t="s">
        <v>7126</v>
      </c>
      <c r="E461" s="22" t="n">
        <v>32</v>
      </c>
      <c r="F461" s="22" t="s">
        <v>6581</v>
      </c>
      <c r="G461" s="22" t="s">
        <v>6575</v>
      </c>
      <c r="H461" s="22" t="n">
        <v>12</v>
      </c>
      <c r="I461" s="22" t="s">
        <v>6576</v>
      </c>
      <c r="J461" s="22" t="s">
        <v>6577</v>
      </c>
      <c r="K461" s="22" t="s">
        <v>7146</v>
      </c>
      <c r="L461" s="22" t="s">
        <v>4139</v>
      </c>
      <c r="M461" s="22" t="s">
        <v>4140</v>
      </c>
      <c r="N461" s="22" t="s">
        <v>4141</v>
      </c>
      <c r="O461" s="22" t="n">
        <v>55.4</v>
      </c>
      <c r="P461" s="22" t="n">
        <v>10.4</v>
      </c>
      <c r="Q461" s="22" t="s">
        <v>7633</v>
      </c>
      <c r="R461" s="22"/>
    </row>
    <row r="462" customFormat="false" ht="15" hidden="false" customHeight="false" outlineLevel="0" collapsed="false">
      <c r="A462" s="22" t="s">
        <v>7634</v>
      </c>
      <c r="B462" s="22" t="s">
        <v>159</v>
      </c>
      <c r="C462" s="22" t="s">
        <v>6562</v>
      </c>
      <c r="D462" s="22" t="s">
        <v>7126</v>
      </c>
      <c r="E462" s="22" t="n">
        <v>24</v>
      </c>
      <c r="F462" s="22" t="s">
        <v>6574</v>
      </c>
      <c r="G462" s="22" t="s">
        <v>6575</v>
      </c>
      <c r="H462" s="22" t="n">
        <v>9</v>
      </c>
      <c r="I462" s="22" t="s">
        <v>6576</v>
      </c>
      <c r="J462" s="22" t="s">
        <v>6577</v>
      </c>
      <c r="K462" s="22" t="s">
        <v>7149</v>
      </c>
      <c r="L462" s="22" t="s">
        <v>3325</v>
      </c>
      <c r="M462" s="22" t="s">
        <v>3326</v>
      </c>
      <c r="N462" s="22" t="s">
        <v>341</v>
      </c>
      <c r="O462" s="22" t="n">
        <v>61.6</v>
      </c>
      <c r="P462" s="22" t="n">
        <v>10.4</v>
      </c>
      <c r="Q462" s="22" t="s">
        <v>7635</v>
      </c>
      <c r="R462" s="22"/>
    </row>
    <row r="463" customFormat="false" ht="15" hidden="false" customHeight="false" outlineLevel="0" collapsed="false">
      <c r="A463" s="22" t="s">
        <v>7636</v>
      </c>
      <c r="B463" s="22" t="s">
        <v>159</v>
      </c>
      <c r="C463" s="22" t="s">
        <v>6562</v>
      </c>
      <c r="D463" s="22" t="s">
        <v>7126</v>
      </c>
      <c r="E463" s="22" t="n">
        <v>36</v>
      </c>
      <c r="F463" s="22" t="s">
        <v>6581</v>
      </c>
      <c r="G463" s="22" t="s">
        <v>6575</v>
      </c>
      <c r="H463" s="22" t="n">
        <v>13</v>
      </c>
      <c r="I463" s="22" t="s">
        <v>6582</v>
      </c>
      <c r="J463" s="22" t="s">
        <v>6577</v>
      </c>
      <c r="K463" s="22" t="s">
        <v>7152</v>
      </c>
      <c r="L463" s="22" t="s">
        <v>5355</v>
      </c>
      <c r="M463" s="22" t="s">
        <v>5356</v>
      </c>
      <c r="N463" s="22" t="s">
        <v>3777</v>
      </c>
      <c r="O463" s="22" t="n">
        <v>61</v>
      </c>
      <c r="P463" s="22" t="n">
        <v>10.4</v>
      </c>
      <c r="Q463" s="22" t="s">
        <v>7557</v>
      </c>
      <c r="R463" s="22"/>
    </row>
    <row r="464" customFormat="false" ht="15" hidden="false" customHeight="false" outlineLevel="0" collapsed="false">
      <c r="A464" s="22" t="s">
        <v>7637</v>
      </c>
      <c r="B464" s="22" t="s">
        <v>159</v>
      </c>
      <c r="C464" s="22" t="s">
        <v>6562</v>
      </c>
      <c r="D464" s="22" t="s">
        <v>7126</v>
      </c>
      <c r="E464" s="22" t="n">
        <v>40</v>
      </c>
      <c r="F464" s="22" t="s">
        <v>6581</v>
      </c>
      <c r="G464" s="22" t="s">
        <v>6575</v>
      </c>
      <c r="H464" s="22" t="n">
        <v>14</v>
      </c>
      <c r="I464" s="22" t="s">
        <v>6582</v>
      </c>
      <c r="J464" s="22" t="s">
        <v>6577</v>
      </c>
      <c r="K464" s="22" t="s">
        <v>7155</v>
      </c>
      <c r="L464" s="22" t="s">
        <v>1528</v>
      </c>
      <c r="M464" s="22" t="s">
        <v>1529</v>
      </c>
      <c r="N464" s="22" t="s">
        <v>871</v>
      </c>
      <c r="O464" s="22" t="n">
        <v>47.3</v>
      </c>
      <c r="P464" s="22" t="n">
        <v>10.4</v>
      </c>
      <c r="Q464" s="22" t="s">
        <v>7024</v>
      </c>
      <c r="R464" s="22"/>
    </row>
    <row r="465" customFormat="false" ht="15" hidden="false" customHeight="false" outlineLevel="0" collapsed="false">
      <c r="A465" s="22" t="s">
        <v>7638</v>
      </c>
      <c r="B465" s="22" t="s">
        <v>159</v>
      </c>
      <c r="C465" s="22" t="s">
        <v>6562</v>
      </c>
      <c r="D465" s="22" t="s">
        <v>7126</v>
      </c>
      <c r="E465" s="22" t="n">
        <v>40</v>
      </c>
      <c r="F465" s="22" t="s">
        <v>6581</v>
      </c>
      <c r="G465" s="22" t="s">
        <v>6575</v>
      </c>
      <c r="H465" s="22" t="n">
        <v>14</v>
      </c>
      <c r="I465" s="22" t="s">
        <v>6582</v>
      </c>
      <c r="J465" s="22" t="s">
        <v>6577</v>
      </c>
      <c r="K465" s="22" t="s">
        <v>7157</v>
      </c>
      <c r="L465" s="22" t="s">
        <v>243</v>
      </c>
      <c r="M465" s="22" t="s">
        <v>244</v>
      </c>
      <c r="N465" s="22" t="s">
        <v>245</v>
      </c>
      <c r="O465" s="22" t="n">
        <v>53.9</v>
      </c>
      <c r="P465" s="22" t="n">
        <v>10.4</v>
      </c>
      <c r="Q465" s="22" t="s">
        <v>7639</v>
      </c>
      <c r="R465" s="22"/>
    </row>
    <row r="466" customFormat="false" ht="15" hidden="false" customHeight="false" outlineLevel="0" collapsed="false">
      <c r="A466" s="22" t="s">
        <v>7640</v>
      </c>
      <c r="B466" s="22" t="s">
        <v>159</v>
      </c>
      <c r="C466" s="22" t="s">
        <v>6562</v>
      </c>
      <c r="D466" s="22" t="s">
        <v>7126</v>
      </c>
      <c r="E466" s="22" t="n">
        <v>24</v>
      </c>
      <c r="F466" s="22" t="s">
        <v>6574</v>
      </c>
      <c r="G466" s="22" t="s">
        <v>6575</v>
      </c>
      <c r="H466" s="22" t="n">
        <v>9</v>
      </c>
      <c r="I466" s="22" t="s">
        <v>6576</v>
      </c>
      <c r="J466" s="22" t="s">
        <v>6577</v>
      </c>
      <c r="K466" s="22" t="s">
        <v>7159</v>
      </c>
      <c r="L466" s="22" t="s">
        <v>6411</v>
      </c>
      <c r="M466" s="22" t="s">
        <v>6412</v>
      </c>
      <c r="N466" s="22" t="s">
        <v>3075</v>
      </c>
      <c r="O466" s="22" t="n">
        <v>29.2</v>
      </c>
      <c r="P466" s="22" t="n">
        <v>10.4</v>
      </c>
      <c r="Q466" s="22" t="s">
        <v>7641</v>
      </c>
      <c r="R466" s="22"/>
    </row>
    <row r="467" customFormat="false" ht="15" hidden="false" customHeight="false" outlineLevel="0" collapsed="false">
      <c r="A467" s="22" t="s">
        <v>7642</v>
      </c>
      <c r="B467" s="22" t="s">
        <v>159</v>
      </c>
      <c r="C467" s="22" t="s">
        <v>6562</v>
      </c>
      <c r="D467" s="22" t="s">
        <v>7126</v>
      </c>
      <c r="E467" s="22" t="n">
        <v>28</v>
      </c>
      <c r="F467" s="22" t="s">
        <v>6574</v>
      </c>
      <c r="G467" s="22" t="s">
        <v>6575</v>
      </c>
      <c r="H467" s="22" t="n">
        <v>10</v>
      </c>
      <c r="I467" s="22" t="s">
        <v>6576</v>
      </c>
      <c r="J467" s="22" t="s">
        <v>6577</v>
      </c>
      <c r="K467" s="22" t="s">
        <v>7162</v>
      </c>
      <c r="L467" s="22" t="s">
        <v>4629</v>
      </c>
      <c r="M467" s="22" t="s">
        <v>4630</v>
      </c>
      <c r="N467" s="22" t="s">
        <v>1323</v>
      </c>
      <c r="O467" s="22" t="n">
        <v>23.5</v>
      </c>
      <c r="P467" s="22" t="n">
        <v>10.4</v>
      </c>
      <c r="Q467" s="22" t="s">
        <v>7384</v>
      </c>
      <c r="R467" s="22"/>
    </row>
    <row r="468" customFormat="false" ht="15" hidden="false" customHeight="false" outlineLevel="0" collapsed="false">
      <c r="A468" s="22" t="s">
        <v>7643</v>
      </c>
      <c r="B468" s="22" t="s">
        <v>159</v>
      </c>
      <c r="C468" s="22" t="s">
        <v>6562</v>
      </c>
      <c r="D468" s="22" t="s">
        <v>7126</v>
      </c>
      <c r="E468" s="22" t="n">
        <v>28</v>
      </c>
      <c r="F468" s="22" t="s">
        <v>6574</v>
      </c>
      <c r="G468" s="22" t="s">
        <v>6575</v>
      </c>
      <c r="H468" s="22" t="n">
        <v>10</v>
      </c>
      <c r="I468" s="22" t="s">
        <v>6576</v>
      </c>
      <c r="J468" s="22" t="s">
        <v>6577</v>
      </c>
      <c r="K468" s="22" t="s">
        <v>7164</v>
      </c>
      <c r="L468" s="22" t="s">
        <v>3552</v>
      </c>
      <c r="M468" s="22" t="s">
        <v>3553</v>
      </c>
      <c r="N468" s="22" t="s">
        <v>1014</v>
      </c>
      <c r="O468" s="22" t="n">
        <v>37</v>
      </c>
      <c r="P468" s="22" t="n">
        <v>10.4</v>
      </c>
      <c r="Q468" s="22" t="s">
        <v>7259</v>
      </c>
      <c r="R468" s="22"/>
    </row>
    <row r="469" customFormat="false" ht="15" hidden="false" customHeight="false" outlineLevel="0" collapsed="false">
      <c r="A469" s="22" t="s">
        <v>7644</v>
      </c>
      <c r="B469" s="22" t="s">
        <v>159</v>
      </c>
      <c r="C469" s="22" t="s">
        <v>6562</v>
      </c>
      <c r="D469" s="22" t="s">
        <v>7126</v>
      </c>
      <c r="E469" s="22" t="n">
        <v>24</v>
      </c>
      <c r="F469" s="22" t="s">
        <v>6574</v>
      </c>
      <c r="G469" s="22" t="s">
        <v>6575</v>
      </c>
      <c r="H469" s="22" t="n">
        <v>9</v>
      </c>
      <c r="I469" s="22" t="s">
        <v>6576</v>
      </c>
      <c r="J469" s="22" t="s">
        <v>6577</v>
      </c>
      <c r="K469" s="22" t="s">
        <v>7645</v>
      </c>
      <c r="L469" s="22" t="s">
        <v>721</v>
      </c>
      <c r="M469" s="22" t="s">
        <v>722</v>
      </c>
      <c r="N469" s="22" t="s">
        <v>723</v>
      </c>
      <c r="O469" s="22" t="n">
        <v>26.9</v>
      </c>
      <c r="P469" s="22" t="n">
        <v>10.4</v>
      </c>
      <c r="Q469" s="22" t="s">
        <v>6964</v>
      </c>
      <c r="R469" s="22"/>
    </row>
    <row r="470" customFormat="false" ht="15" hidden="false" customHeight="false" outlineLevel="0" collapsed="false">
      <c r="A470" s="22" t="s">
        <v>7646</v>
      </c>
      <c r="B470" s="22" t="s">
        <v>159</v>
      </c>
      <c r="C470" s="22" t="s">
        <v>6562</v>
      </c>
      <c r="D470" s="22" t="s">
        <v>7126</v>
      </c>
      <c r="E470" s="22" t="n">
        <v>28</v>
      </c>
      <c r="F470" s="22" t="s">
        <v>6574</v>
      </c>
      <c r="G470" s="22" t="s">
        <v>6575</v>
      </c>
      <c r="H470" s="22" t="n">
        <v>10</v>
      </c>
      <c r="I470" s="22" t="s">
        <v>6576</v>
      </c>
      <c r="J470" s="22" t="s">
        <v>6577</v>
      </c>
      <c r="K470" s="22" t="s">
        <v>7168</v>
      </c>
      <c r="L470" s="22" t="s">
        <v>5582</v>
      </c>
      <c r="M470" s="22" t="s">
        <v>5583</v>
      </c>
      <c r="N470" s="22" t="s">
        <v>1840</v>
      </c>
      <c r="O470" s="22" t="n">
        <v>54.5</v>
      </c>
      <c r="P470" s="22" t="n">
        <v>10.4</v>
      </c>
      <c r="Q470" s="22" t="s">
        <v>7606</v>
      </c>
      <c r="R470" s="22"/>
    </row>
    <row r="471" customFormat="false" ht="15" hidden="false" customHeight="false" outlineLevel="0" collapsed="false">
      <c r="A471" s="22" t="s">
        <v>7647</v>
      </c>
      <c r="B471" s="22" t="s">
        <v>159</v>
      </c>
      <c r="C471" s="22" t="s">
        <v>6562</v>
      </c>
      <c r="D471" s="22" t="s">
        <v>7126</v>
      </c>
      <c r="E471" s="22" t="n">
        <v>36</v>
      </c>
      <c r="F471" s="22" t="s">
        <v>6581</v>
      </c>
      <c r="G471" s="22" t="s">
        <v>6575</v>
      </c>
      <c r="H471" s="22" t="n">
        <v>13</v>
      </c>
      <c r="I471" s="22" t="s">
        <v>6582</v>
      </c>
      <c r="J471" s="22" t="s">
        <v>6577</v>
      </c>
      <c r="K471" s="22" t="s">
        <v>7171</v>
      </c>
      <c r="L471" s="22" t="s">
        <v>4799</v>
      </c>
      <c r="M471" s="22" t="s">
        <v>4800</v>
      </c>
      <c r="N471" s="22" t="s">
        <v>904</v>
      </c>
      <c r="O471" s="22" t="n">
        <v>26.6</v>
      </c>
      <c r="P471" s="22" t="n">
        <v>10.4</v>
      </c>
      <c r="Q471" s="22" t="s">
        <v>7648</v>
      </c>
      <c r="R471" s="22"/>
    </row>
    <row r="472" customFormat="false" ht="15" hidden="false" customHeight="false" outlineLevel="0" collapsed="false">
      <c r="A472" s="22" t="s">
        <v>7649</v>
      </c>
      <c r="B472" s="22" t="s">
        <v>159</v>
      </c>
      <c r="C472" s="22" t="s">
        <v>6562</v>
      </c>
      <c r="D472" s="22" t="s">
        <v>7126</v>
      </c>
      <c r="E472" s="22" t="n">
        <v>24</v>
      </c>
      <c r="F472" s="22" t="s">
        <v>6574</v>
      </c>
      <c r="G472" s="22" t="s">
        <v>6575</v>
      </c>
      <c r="H472" s="22" t="n">
        <v>9</v>
      </c>
      <c r="I472" s="22" t="s">
        <v>6576</v>
      </c>
      <c r="J472" s="22" t="s">
        <v>6577</v>
      </c>
      <c r="K472" s="22" t="s">
        <v>7173</v>
      </c>
      <c r="L472" s="22" t="s">
        <v>4916</v>
      </c>
      <c r="M472" s="22" t="s">
        <v>4917</v>
      </c>
      <c r="N472" s="22" t="s">
        <v>204</v>
      </c>
      <c r="O472" s="22" t="n">
        <v>61.6</v>
      </c>
      <c r="P472" s="22" t="n">
        <v>10.4</v>
      </c>
      <c r="Q472" s="22" t="s">
        <v>7291</v>
      </c>
      <c r="R472" s="22"/>
    </row>
    <row r="473" customFormat="false" ht="15" hidden="false" customHeight="false" outlineLevel="0" collapsed="false">
      <c r="A473" s="22" t="s">
        <v>7650</v>
      </c>
      <c r="B473" s="22" t="s">
        <v>159</v>
      </c>
      <c r="C473" s="22" t="s">
        <v>6562</v>
      </c>
      <c r="D473" s="22" t="s">
        <v>7126</v>
      </c>
      <c r="E473" s="22" t="n">
        <v>32</v>
      </c>
      <c r="F473" s="22" t="s">
        <v>6581</v>
      </c>
      <c r="G473" s="22" t="s">
        <v>6575</v>
      </c>
      <c r="H473" s="22" t="n">
        <v>12</v>
      </c>
      <c r="I473" s="22" t="s">
        <v>6576</v>
      </c>
      <c r="J473" s="22" t="s">
        <v>6577</v>
      </c>
      <c r="K473" s="22" t="s">
        <v>7176</v>
      </c>
      <c r="L473" s="22" t="s">
        <v>3222</v>
      </c>
      <c r="M473" s="22" t="s">
        <v>3223</v>
      </c>
      <c r="N473" s="22" t="s">
        <v>233</v>
      </c>
      <c r="O473" s="22" t="n">
        <v>47.1</v>
      </c>
      <c r="P473" s="22" t="n">
        <v>10.4</v>
      </c>
      <c r="Q473" s="22" t="s">
        <v>7651</v>
      </c>
      <c r="R473" s="22"/>
    </row>
    <row r="474" customFormat="false" ht="15" hidden="false" customHeight="false" outlineLevel="0" collapsed="false">
      <c r="A474" s="22" t="s">
        <v>7652</v>
      </c>
      <c r="B474" s="22" t="s">
        <v>159</v>
      </c>
      <c r="C474" s="22" t="s">
        <v>6562</v>
      </c>
      <c r="D474" s="22" t="s">
        <v>7126</v>
      </c>
      <c r="E474" s="22" t="n">
        <v>28</v>
      </c>
      <c r="F474" s="22" t="s">
        <v>6574</v>
      </c>
      <c r="G474" s="22" t="s">
        <v>6575</v>
      </c>
      <c r="H474" s="22" t="n">
        <v>10</v>
      </c>
      <c r="I474" s="22" t="s">
        <v>6576</v>
      </c>
      <c r="J474" s="22" t="s">
        <v>6577</v>
      </c>
      <c r="K474" s="22" t="s">
        <v>7179</v>
      </c>
      <c r="L474" s="22" t="s">
        <v>5828</v>
      </c>
      <c r="M474" s="22" t="s">
        <v>5585</v>
      </c>
      <c r="N474" s="22" t="s">
        <v>163</v>
      </c>
      <c r="O474" s="22" t="n">
        <v>19.3</v>
      </c>
      <c r="P474" s="22" t="n">
        <v>10.4</v>
      </c>
      <c r="Q474" s="22" t="s">
        <v>6859</v>
      </c>
      <c r="R474" s="22"/>
    </row>
    <row r="475" customFormat="false" ht="15" hidden="false" customHeight="false" outlineLevel="0" collapsed="false">
      <c r="A475" s="22" t="s">
        <v>7653</v>
      </c>
      <c r="B475" s="22" t="s">
        <v>159</v>
      </c>
      <c r="C475" s="22" t="s">
        <v>6562</v>
      </c>
      <c r="D475" s="22" t="s">
        <v>7126</v>
      </c>
      <c r="E475" s="22" t="n">
        <v>28</v>
      </c>
      <c r="F475" s="22" t="s">
        <v>6574</v>
      </c>
      <c r="G475" s="22" t="s">
        <v>6575</v>
      </c>
      <c r="H475" s="22" t="n">
        <v>10</v>
      </c>
      <c r="I475" s="22" t="s">
        <v>6576</v>
      </c>
      <c r="J475" s="22" t="s">
        <v>6613</v>
      </c>
      <c r="K475" s="22"/>
      <c r="L475" s="22"/>
      <c r="M475" s="22"/>
      <c r="N475" s="22"/>
      <c r="O475" s="22"/>
      <c r="P475" s="22" t="n">
        <v>10.4</v>
      </c>
      <c r="Q475" s="22" t="s">
        <v>6704</v>
      </c>
      <c r="R475" s="22"/>
    </row>
    <row r="476" customFormat="false" ht="15" hidden="false" customHeight="false" outlineLevel="0" collapsed="false">
      <c r="A476" s="22" t="s">
        <v>7654</v>
      </c>
      <c r="B476" s="22" t="s">
        <v>159</v>
      </c>
      <c r="C476" s="22" t="s">
        <v>6562</v>
      </c>
      <c r="D476" s="22" t="s">
        <v>7126</v>
      </c>
      <c r="E476" s="22" t="n">
        <v>36</v>
      </c>
      <c r="F476" s="22" t="s">
        <v>6581</v>
      </c>
      <c r="G476" s="22" t="s">
        <v>6575</v>
      </c>
      <c r="H476" s="22" t="n">
        <v>13</v>
      </c>
      <c r="I476" s="22" t="s">
        <v>6582</v>
      </c>
      <c r="J476" s="22" t="s">
        <v>6577</v>
      </c>
      <c r="K476" s="22" t="s">
        <v>7183</v>
      </c>
      <c r="L476" s="22" t="s">
        <v>4048</v>
      </c>
      <c r="M476" s="22" t="s">
        <v>4049</v>
      </c>
      <c r="N476" s="22" t="s">
        <v>1014</v>
      </c>
      <c r="O476" s="22" t="n">
        <v>40.3</v>
      </c>
      <c r="P476" s="22" t="n">
        <v>10.4</v>
      </c>
      <c r="Q476" s="22" t="s">
        <v>6632</v>
      </c>
      <c r="R476" s="22"/>
    </row>
    <row r="477" customFormat="false" ht="15" hidden="false" customHeight="false" outlineLevel="0" collapsed="false">
      <c r="A477" s="22" t="s">
        <v>7655</v>
      </c>
      <c r="B477" s="22" t="s">
        <v>159</v>
      </c>
      <c r="C477" s="22" t="s">
        <v>6562</v>
      </c>
      <c r="D477" s="22" t="s">
        <v>7126</v>
      </c>
      <c r="E477" s="22" t="n">
        <v>32</v>
      </c>
      <c r="F477" s="22" t="s">
        <v>6581</v>
      </c>
      <c r="G477" s="22" t="s">
        <v>6575</v>
      </c>
      <c r="H477" s="22" t="n">
        <v>12</v>
      </c>
      <c r="I477" s="22" t="s">
        <v>6576</v>
      </c>
      <c r="J477" s="22" t="s">
        <v>6577</v>
      </c>
      <c r="K477" s="22" t="s">
        <v>7186</v>
      </c>
      <c r="L477" s="22" t="s">
        <v>5090</v>
      </c>
      <c r="M477" s="22" t="s">
        <v>5091</v>
      </c>
      <c r="N477" s="22" t="s">
        <v>1971</v>
      </c>
      <c r="O477" s="22" t="n">
        <v>27.6</v>
      </c>
      <c r="P477" s="22" t="n">
        <v>10.4</v>
      </c>
      <c r="Q477" s="22" t="s">
        <v>7259</v>
      </c>
      <c r="R477" s="22"/>
    </row>
    <row r="478" customFormat="false" ht="15" hidden="false" customHeight="false" outlineLevel="0" collapsed="false">
      <c r="A478" s="22" t="s">
        <v>7656</v>
      </c>
      <c r="B478" s="22" t="s">
        <v>159</v>
      </c>
      <c r="C478" s="22" t="s">
        <v>6562</v>
      </c>
      <c r="D478" s="22" t="s">
        <v>7188</v>
      </c>
      <c r="E478" s="22" t="n">
        <v>40</v>
      </c>
      <c r="F478" s="22" t="s">
        <v>6581</v>
      </c>
      <c r="G478" s="22" t="s">
        <v>6575</v>
      </c>
      <c r="H478" s="22" t="n">
        <v>14</v>
      </c>
      <c r="I478" s="22" t="s">
        <v>6582</v>
      </c>
      <c r="J478" s="22" t="s">
        <v>6577</v>
      </c>
      <c r="K478" s="22" t="s">
        <v>7189</v>
      </c>
      <c r="L478" s="22" t="s">
        <v>6341</v>
      </c>
      <c r="M478" s="22" t="s">
        <v>2614</v>
      </c>
      <c r="N478" s="22" t="s">
        <v>257</v>
      </c>
      <c r="O478" s="22" t="n">
        <v>20.9</v>
      </c>
      <c r="P478" s="22" t="n">
        <v>10.4</v>
      </c>
      <c r="Q478" s="22" t="s">
        <v>7657</v>
      </c>
      <c r="R478" s="22"/>
    </row>
    <row r="479" customFormat="false" ht="15" hidden="false" customHeight="false" outlineLevel="0" collapsed="false">
      <c r="A479" s="22" t="s">
        <v>7658</v>
      </c>
      <c r="B479" s="22" t="s">
        <v>159</v>
      </c>
      <c r="C479" s="22" t="s">
        <v>6562</v>
      </c>
      <c r="D479" s="22" t="s">
        <v>7188</v>
      </c>
      <c r="E479" s="22" t="n">
        <v>28</v>
      </c>
      <c r="F479" s="22" t="s">
        <v>6574</v>
      </c>
      <c r="G479" s="22" t="s">
        <v>6575</v>
      </c>
      <c r="H479" s="22" t="n">
        <v>10</v>
      </c>
      <c r="I479" s="22" t="s">
        <v>6576</v>
      </c>
      <c r="J479" s="22" t="s">
        <v>6577</v>
      </c>
      <c r="K479" s="22" t="s">
        <v>7192</v>
      </c>
      <c r="L479" s="22" t="s">
        <v>4529</v>
      </c>
      <c r="M479" s="22" t="s">
        <v>4530</v>
      </c>
      <c r="N479" s="22" t="s">
        <v>1940</v>
      </c>
      <c r="O479" s="22" t="n">
        <v>60</v>
      </c>
      <c r="P479" s="22" t="n">
        <v>10.4</v>
      </c>
      <c r="Q479" s="22" t="s">
        <v>6982</v>
      </c>
      <c r="R479" s="22"/>
    </row>
    <row r="480" customFormat="false" ht="15" hidden="false" customHeight="false" outlineLevel="0" collapsed="false">
      <c r="A480" s="22" t="s">
        <v>7659</v>
      </c>
      <c r="B480" s="22" t="s">
        <v>159</v>
      </c>
      <c r="C480" s="22" t="s">
        <v>6562</v>
      </c>
      <c r="D480" s="22" t="s">
        <v>7188</v>
      </c>
      <c r="E480" s="22" t="n">
        <v>32</v>
      </c>
      <c r="F480" s="22" t="s">
        <v>6581</v>
      </c>
      <c r="G480" s="22" t="s">
        <v>6575</v>
      </c>
      <c r="H480" s="22" t="n">
        <v>12</v>
      </c>
      <c r="I480" s="22" t="s">
        <v>6576</v>
      </c>
      <c r="J480" s="22" t="s">
        <v>6734</v>
      </c>
      <c r="K480" s="22"/>
      <c r="L480" s="22"/>
      <c r="M480" s="22"/>
      <c r="N480" s="22"/>
      <c r="O480" s="22"/>
      <c r="P480" s="22" t="n">
        <v>10.4</v>
      </c>
      <c r="Q480" s="22" t="s">
        <v>7461</v>
      </c>
      <c r="R480" s="22"/>
    </row>
    <row r="481" customFormat="false" ht="15" hidden="false" customHeight="false" outlineLevel="0" collapsed="false">
      <c r="A481" s="22" t="s">
        <v>7660</v>
      </c>
      <c r="B481" s="22" t="s">
        <v>159</v>
      </c>
      <c r="C481" s="22" t="s">
        <v>6562</v>
      </c>
      <c r="D481" s="22" t="s">
        <v>7188</v>
      </c>
      <c r="E481" s="22" t="n">
        <v>28</v>
      </c>
      <c r="F481" s="22" t="s">
        <v>6574</v>
      </c>
      <c r="G481" s="22" t="s">
        <v>6575</v>
      </c>
      <c r="H481" s="22" t="n">
        <v>10</v>
      </c>
      <c r="I481" s="22" t="s">
        <v>6576</v>
      </c>
      <c r="J481" s="22" t="s">
        <v>6577</v>
      </c>
      <c r="K481" s="22" t="s">
        <v>7197</v>
      </c>
      <c r="L481" s="22" t="s">
        <v>6269</v>
      </c>
      <c r="M481" s="22" t="s">
        <v>6270</v>
      </c>
      <c r="N481" s="22" t="s">
        <v>1198</v>
      </c>
      <c r="O481" s="22" t="n">
        <v>35.9</v>
      </c>
      <c r="P481" s="22" t="n">
        <v>10.4</v>
      </c>
      <c r="Q481" s="22" t="s">
        <v>6853</v>
      </c>
      <c r="R481" s="22"/>
    </row>
    <row r="482" customFormat="false" ht="15" hidden="false" customHeight="false" outlineLevel="0" collapsed="false">
      <c r="A482" s="22" t="s">
        <v>7661</v>
      </c>
      <c r="B482" s="22" t="s">
        <v>159</v>
      </c>
      <c r="C482" s="22" t="s">
        <v>6562</v>
      </c>
      <c r="D482" s="22" t="s">
        <v>7188</v>
      </c>
      <c r="E482" s="22" t="n">
        <v>28</v>
      </c>
      <c r="F482" s="22" t="s">
        <v>6574</v>
      </c>
      <c r="G482" s="22" t="s">
        <v>6575</v>
      </c>
      <c r="H482" s="22" t="n">
        <v>10</v>
      </c>
      <c r="I482" s="22" t="s">
        <v>6576</v>
      </c>
      <c r="J482" s="22" t="s">
        <v>6577</v>
      </c>
      <c r="K482" s="22" t="s">
        <v>7199</v>
      </c>
      <c r="L482" s="22" t="s">
        <v>2359</v>
      </c>
      <c r="M482" s="22" t="s">
        <v>2360</v>
      </c>
      <c r="N482" s="22" t="s">
        <v>1438</v>
      </c>
      <c r="O482" s="22" t="n">
        <v>56.3</v>
      </c>
      <c r="P482" s="22" t="n">
        <v>10.4</v>
      </c>
      <c r="Q482" s="22" t="s">
        <v>7002</v>
      </c>
      <c r="R482" s="22"/>
    </row>
    <row r="483" customFormat="false" ht="15" hidden="false" customHeight="false" outlineLevel="0" collapsed="false">
      <c r="A483" s="22" t="s">
        <v>7662</v>
      </c>
      <c r="B483" s="22" t="s">
        <v>159</v>
      </c>
      <c r="C483" s="22" t="s">
        <v>6562</v>
      </c>
      <c r="D483" s="22" t="s">
        <v>7188</v>
      </c>
      <c r="E483" s="22" t="n">
        <v>24</v>
      </c>
      <c r="F483" s="22" t="s">
        <v>6574</v>
      </c>
      <c r="G483" s="22" t="s">
        <v>6575</v>
      </c>
      <c r="H483" s="22" t="n">
        <v>9</v>
      </c>
      <c r="I483" s="22" t="s">
        <v>6576</v>
      </c>
      <c r="J483" s="22" t="s">
        <v>6577</v>
      </c>
      <c r="K483" s="22" t="s">
        <v>7202</v>
      </c>
      <c r="L483" s="22" t="s">
        <v>6186</v>
      </c>
      <c r="M483" s="22" t="s">
        <v>6187</v>
      </c>
      <c r="N483" s="22" t="s">
        <v>486</v>
      </c>
      <c r="O483" s="22" t="n">
        <v>28.1</v>
      </c>
      <c r="P483" s="22" t="n">
        <v>10.4</v>
      </c>
      <c r="Q483" s="22" t="s">
        <v>7663</v>
      </c>
      <c r="R483" s="22"/>
    </row>
    <row r="484" customFormat="false" ht="15" hidden="false" customHeight="false" outlineLevel="0" collapsed="false">
      <c r="A484" s="22" t="s">
        <v>7664</v>
      </c>
      <c r="B484" s="22" t="s">
        <v>159</v>
      </c>
      <c r="C484" s="22" t="s">
        <v>6562</v>
      </c>
      <c r="D484" s="22" t="s">
        <v>7188</v>
      </c>
      <c r="E484" s="22" t="n">
        <v>36</v>
      </c>
      <c r="F484" s="22" t="s">
        <v>6581</v>
      </c>
      <c r="G484" s="22" t="s">
        <v>6575</v>
      </c>
      <c r="H484" s="22" t="n">
        <v>13</v>
      </c>
      <c r="I484" s="22" t="s">
        <v>6582</v>
      </c>
      <c r="J484" s="22" t="s">
        <v>6577</v>
      </c>
      <c r="K484" s="22" t="s">
        <v>7205</v>
      </c>
      <c r="L484" s="22" t="s">
        <v>4314</v>
      </c>
      <c r="M484" s="22" t="s">
        <v>4315</v>
      </c>
      <c r="N484" s="22" t="s">
        <v>3177</v>
      </c>
      <c r="O484" s="22" t="n">
        <v>46.3</v>
      </c>
      <c r="P484" s="22" t="n">
        <v>10.4</v>
      </c>
      <c r="Q484" s="22" t="s">
        <v>7665</v>
      </c>
      <c r="R484" s="22"/>
    </row>
    <row r="485" customFormat="false" ht="15" hidden="false" customHeight="false" outlineLevel="0" collapsed="false">
      <c r="A485" s="22" t="s">
        <v>7666</v>
      </c>
      <c r="B485" s="22" t="s">
        <v>159</v>
      </c>
      <c r="C485" s="22" t="s">
        <v>6562</v>
      </c>
      <c r="D485" s="22" t="s">
        <v>7188</v>
      </c>
      <c r="E485" s="22" t="n">
        <v>36</v>
      </c>
      <c r="F485" s="22" t="s">
        <v>6581</v>
      </c>
      <c r="G485" s="22" t="s">
        <v>6575</v>
      </c>
      <c r="H485" s="22" t="n">
        <v>13</v>
      </c>
      <c r="I485" s="22" t="s">
        <v>6582</v>
      </c>
      <c r="J485" s="22" t="s">
        <v>6577</v>
      </c>
      <c r="K485" s="22" t="s">
        <v>7208</v>
      </c>
      <c r="L485" s="22" t="s">
        <v>3066</v>
      </c>
      <c r="M485" s="22" t="s">
        <v>3067</v>
      </c>
      <c r="N485" s="22" t="s">
        <v>1169</v>
      </c>
      <c r="O485" s="22" t="n">
        <v>49.2</v>
      </c>
      <c r="P485" s="22" t="n">
        <v>10.4</v>
      </c>
      <c r="Q485" s="22" t="s">
        <v>7667</v>
      </c>
      <c r="R485" s="22"/>
    </row>
    <row r="486" customFormat="false" ht="15" hidden="false" customHeight="false" outlineLevel="0" collapsed="false">
      <c r="A486" s="22" t="s">
        <v>7668</v>
      </c>
      <c r="B486" s="22" t="s">
        <v>159</v>
      </c>
      <c r="C486" s="22" t="s">
        <v>6562</v>
      </c>
      <c r="D486" s="22" t="s">
        <v>7188</v>
      </c>
      <c r="E486" s="22" t="n">
        <v>28</v>
      </c>
      <c r="F486" s="22" t="s">
        <v>6574</v>
      </c>
      <c r="G486" s="22" t="s">
        <v>6575</v>
      </c>
      <c r="H486" s="22" t="n">
        <v>10</v>
      </c>
      <c r="I486" s="22" t="s">
        <v>6576</v>
      </c>
      <c r="J486" s="22" t="s">
        <v>6577</v>
      </c>
      <c r="K486" s="22" t="s">
        <v>7211</v>
      </c>
      <c r="L486" s="22" t="s">
        <v>4326</v>
      </c>
      <c r="M486" s="22" t="s">
        <v>4327</v>
      </c>
      <c r="N486" s="22" t="s">
        <v>1705</v>
      </c>
      <c r="O486" s="22" t="n">
        <v>43.3</v>
      </c>
      <c r="P486" s="22" t="n">
        <v>10.4</v>
      </c>
      <c r="Q486" s="22" t="s">
        <v>7669</v>
      </c>
      <c r="R486" s="22"/>
    </row>
    <row r="487" customFormat="false" ht="15" hidden="false" customHeight="false" outlineLevel="0" collapsed="false">
      <c r="A487" s="22" t="s">
        <v>7670</v>
      </c>
      <c r="B487" s="22" t="s">
        <v>159</v>
      </c>
      <c r="C487" s="22" t="s">
        <v>6562</v>
      </c>
      <c r="D487" s="22" t="s">
        <v>7188</v>
      </c>
      <c r="E487" s="22" t="n">
        <v>24</v>
      </c>
      <c r="F487" s="22" t="s">
        <v>6574</v>
      </c>
      <c r="G487" s="22" t="s">
        <v>6575</v>
      </c>
      <c r="H487" s="22" t="n">
        <v>9</v>
      </c>
      <c r="I487" s="22" t="s">
        <v>6576</v>
      </c>
      <c r="J487" s="22" t="s">
        <v>6577</v>
      </c>
      <c r="K487" s="22" t="s">
        <v>7213</v>
      </c>
      <c r="L487" s="22" t="s">
        <v>4890</v>
      </c>
      <c r="M487" s="22" t="s">
        <v>2231</v>
      </c>
      <c r="N487" s="22" t="s">
        <v>525</v>
      </c>
      <c r="O487" s="22" t="n">
        <v>48.1</v>
      </c>
      <c r="P487" s="22" t="n">
        <v>10.4</v>
      </c>
      <c r="Q487" s="22" t="s">
        <v>7514</v>
      </c>
      <c r="R487" s="22"/>
    </row>
    <row r="488" customFormat="false" ht="15" hidden="false" customHeight="false" outlineLevel="0" collapsed="false">
      <c r="A488" s="22" t="s">
        <v>7671</v>
      </c>
      <c r="B488" s="22" t="s">
        <v>159</v>
      </c>
      <c r="C488" s="22" t="s">
        <v>6562</v>
      </c>
      <c r="D488" s="22" t="s">
        <v>7188</v>
      </c>
      <c r="E488" s="22" t="n">
        <v>40</v>
      </c>
      <c r="F488" s="22" t="s">
        <v>6581</v>
      </c>
      <c r="G488" s="22" t="s">
        <v>6575</v>
      </c>
      <c r="H488" s="22" t="n">
        <v>14</v>
      </c>
      <c r="I488" s="22" t="s">
        <v>6582</v>
      </c>
      <c r="J488" s="22" t="s">
        <v>6577</v>
      </c>
      <c r="K488" s="22" t="s">
        <v>7216</v>
      </c>
      <c r="L488" s="22" t="s">
        <v>701</v>
      </c>
      <c r="M488" s="22" t="s">
        <v>702</v>
      </c>
      <c r="N488" s="22" t="s">
        <v>703</v>
      </c>
      <c r="O488" s="22" t="n">
        <v>28.3</v>
      </c>
      <c r="P488" s="22" t="n">
        <v>10.4</v>
      </c>
      <c r="Q488" s="22" t="s">
        <v>7672</v>
      </c>
      <c r="R488" s="22"/>
    </row>
    <row r="489" customFormat="false" ht="15" hidden="false" customHeight="false" outlineLevel="0" collapsed="false">
      <c r="A489" s="22" t="s">
        <v>7673</v>
      </c>
      <c r="B489" s="22" t="s">
        <v>159</v>
      </c>
      <c r="C489" s="22" t="s">
        <v>6562</v>
      </c>
      <c r="D489" s="22" t="s">
        <v>7188</v>
      </c>
      <c r="E489" s="22" t="n">
        <v>40</v>
      </c>
      <c r="F489" s="22" t="s">
        <v>6581</v>
      </c>
      <c r="G489" s="22" t="s">
        <v>6575</v>
      </c>
      <c r="H489" s="22" t="n">
        <v>14</v>
      </c>
      <c r="I489" s="22" t="s">
        <v>6582</v>
      </c>
      <c r="J489" s="22" t="s">
        <v>6577</v>
      </c>
      <c r="K489" s="22" t="s">
        <v>7219</v>
      </c>
      <c r="L489" s="22" t="s">
        <v>1064</v>
      </c>
      <c r="M489" s="22" t="s">
        <v>1065</v>
      </c>
      <c r="N489" s="22" t="s">
        <v>1066</v>
      </c>
      <c r="O489" s="22" t="n">
        <v>57.4</v>
      </c>
      <c r="P489" s="22" t="n">
        <v>10.4</v>
      </c>
      <c r="Q489" s="22" t="s">
        <v>7540</v>
      </c>
      <c r="R489" s="22"/>
    </row>
    <row r="490" customFormat="false" ht="15" hidden="false" customHeight="false" outlineLevel="0" collapsed="false">
      <c r="A490" s="22" t="s">
        <v>7674</v>
      </c>
      <c r="B490" s="22" t="s">
        <v>159</v>
      </c>
      <c r="C490" s="22" t="s">
        <v>6562</v>
      </c>
      <c r="D490" s="22" t="s">
        <v>7188</v>
      </c>
      <c r="E490" s="22" t="n">
        <v>28</v>
      </c>
      <c r="F490" s="22" t="s">
        <v>6574</v>
      </c>
      <c r="G490" s="22" t="s">
        <v>6575</v>
      </c>
      <c r="H490" s="22" t="n">
        <v>10</v>
      </c>
      <c r="I490" s="22" t="s">
        <v>6576</v>
      </c>
      <c r="J490" s="22" t="s">
        <v>6577</v>
      </c>
      <c r="K490" s="22" t="s">
        <v>7222</v>
      </c>
      <c r="L490" s="22" t="s">
        <v>2874</v>
      </c>
      <c r="M490" s="22" t="s">
        <v>2875</v>
      </c>
      <c r="N490" s="22" t="s">
        <v>594</v>
      </c>
      <c r="O490" s="22" t="n">
        <v>21</v>
      </c>
      <c r="P490" s="22" t="n">
        <v>10.4</v>
      </c>
      <c r="Q490" s="22" t="s">
        <v>7675</v>
      </c>
      <c r="R490" s="22"/>
    </row>
    <row r="491" customFormat="false" ht="15" hidden="false" customHeight="false" outlineLevel="0" collapsed="false">
      <c r="A491" s="22" t="s">
        <v>7676</v>
      </c>
      <c r="B491" s="22" t="s">
        <v>159</v>
      </c>
      <c r="C491" s="22" t="s">
        <v>6562</v>
      </c>
      <c r="D491" s="22" t="s">
        <v>7188</v>
      </c>
      <c r="E491" s="22" t="n">
        <v>36</v>
      </c>
      <c r="F491" s="22" t="s">
        <v>6581</v>
      </c>
      <c r="G491" s="22" t="s">
        <v>6575</v>
      </c>
      <c r="H491" s="22" t="n">
        <v>13</v>
      </c>
      <c r="I491" s="22" t="s">
        <v>6582</v>
      </c>
      <c r="J491" s="22" t="s">
        <v>6577</v>
      </c>
      <c r="K491" s="22" t="s">
        <v>7224</v>
      </c>
      <c r="L491" s="22" t="s">
        <v>3056</v>
      </c>
      <c r="M491" s="22" t="s">
        <v>3057</v>
      </c>
      <c r="N491" s="22" t="s">
        <v>492</v>
      </c>
      <c r="O491" s="22" t="n">
        <v>32.3</v>
      </c>
      <c r="P491" s="22" t="n">
        <v>10.4</v>
      </c>
      <c r="Q491" s="22" t="s">
        <v>7225</v>
      </c>
      <c r="R491" s="22"/>
    </row>
    <row r="492" customFormat="false" ht="15" hidden="false" customHeight="false" outlineLevel="0" collapsed="false">
      <c r="A492" s="22" t="s">
        <v>7677</v>
      </c>
      <c r="B492" s="22" t="s">
        <v>159</v>
      </c>
      <c r="C492" s="22" t="s">
        <v>6562</v>
      </c>
      <c r="D492" s="22" t="s">
        <v>7188</v>
      </c>
      <c r="E492" s="22" t="n">
        <v>36</v>
      </c>
      <c r="F492" s="22" t="s">
        <v>6581</v>
      </c>
      <c r="G492" s="22" t="s">
        <v>6575</v>
      </c>
      <c r="H492" s="22" t="n">
        <v>13</v>
      </c>
      <c r="I492" s="22" t="s">
        <v>6582</v>
      </c>
      <c r="J492" s="22" t="s">
        <v>6577</v>
      </c>
      <c r="K492" s="22" t="s">
        <v>7678</v>
      </c>
      <c r="L492" s="22" t="s">
        <v>1446</v>
      </c>
      <c r="M492" s="22" t="s">
        <v>1447</v>
      </c>
      <c r="N492" s="22" t="s">
        <v>1187</v>
      </c>
      <c r="O492" s="22" t="n">
        <v>38.1</v>
      </c>
      <c r="P492" s="22" t="n">
        <v>10.4</v>
      </c>
      <c r="Q492" s="22" t="s">
        <v>7657</v>
      </c>
      <c r="R492" s="22"/>
    </row>
    <row r="493" customFormat="false" ht="15" hidden="false" customHeight="false" outlineLevel="0" collapsed="false">
      <c r="A493" s="22" t="s">
        <v>7679</v>
      </c>
      <c r="B493" s="22" t="s">
        <v>159</v>
      </c>
      <c r="C493" s="22" t="s">
        <v>6562</v>
      </c>
      <c r="D493" s="22" t="s">
        <v>7188</v>
      </c>
      <c r="E493" s="22" t="n">
        <v>24</v>
      </c>
      <c r="F493" s="22" t="s">
        <v>6574</v>
      </c>
      <c r="G493" s="22" t="s">
        <v>6575</v>
      </c>
      <c r="H493" s="22" t="n">
        <v>9</v>
      </c>
      <c r="I493" s="22" t="s">
        <v>6576</v>
      </c>
      <c r="J493" s="22" t="s">
        <v>6577</v>
      </c>
      <c r="K493" s="22" t="s">
        <v>7228</v>
      </c>
      <c r="L493" s="22" t="s">
        <v>4891</v>
      </c>
      <c r="M493" s="22" t="s">
        <v>4892</v>
      </c>
      <c r="N493" s="22" t="s">
        <v>260</v>
      </c>
      <c r="O493" s="22" t="n">
        <v>50</v>
      </c>
      <c r="P493" s="22" t="n">
        <v>10.4</v>
      </c>
      <c r="Q493" s="22" t="s">
        <v>7680</v>
      </c>
      <c r="R493" s="22"/>
    </row>
    <row r="494" customFormat="false" ht="15" hidden="false" customHeight="false" outlineLevel="0" collapsed="false">
      <c r="A494" s="22" t="s">
        <v>7681</v>
      </c>
      <c r="B494" s="22" t="s">
        <v>159</v>
      </c>
      <c r="C494" s="22" t="s">
        <v>6562</v>
      </c>
      <c r="D494" s="22" t="s">
        <v>7188</v>
      </c>
      <c r="E494" s="22" t="n">
        <v>24</v>
      </c>
      <c r="F494" s="22" t="s">
        <v>6574</v>
      </c>
      <c r="G494" s="22" t="s">
        <v>6575</v>
      </c>
      <c r="H494" s="22" t="n">
        <v>9</v>
      </c>
      <c r="I494" s="22" t="s">
        <v>6576</v>
      </c>
      <c r="J494" s="22" t="s">
        <v>6577</v>
      </c>
      <c r="K494" s="22" t="s">
        <v>7230</v>
      </c>
      <c r="L494" s="22" t="s">
        <v>4942</v>
      </c>
      <c r="M494" s="22" t="s">
        <v>4943</v>
      </c>
      <c r="N494" s="22" t="s">
        <v>2081</v>
      </c>
      <c r="O494" s="22" t="n">
        <v>34.6</v>
      </c>
      <c r="P494" s="22" t="n">
        <v>10.4</v>
      </c>
      <c r="Q494" s="22" t="s">
        <v>7054</v>
      </c>
      <c r="R494" s="22"/>
    </row>
    <row r="495" customFormat="false" ht="15" hidden="false" customHeight="false" outlineLevel="0" collapsed="false">
      <c r="A495" s="22" t="s">
        <v>7682</v>
      </c>
      <c r="B495" s="22" t="s">
        <v>159</v>
      </c>
      <c r="C495" s="22" t="s">
        <v>6562</v>
      </c>
      <c r="D495" s="22" t="s">
        <v>7188</v>
      </c>
      <c r="E495" s="22" t="n">
        <v>36</v>
      </c>
      <c r="F495" s="22" t="s">
        <v>6581</v>
      </c>
      <c r="G495" s="22" t="s">
        <v>6575</v>
      </c>
      <c r="H495" s="22" t="n">
        <v>13</v>
      </c>
      <c r="I495" s="22" t="s">
        <v>6582</v>
      </c>
      <c r="J495" s="22" t="s">
        <v>6577</v>
      </c>
      <c r="K495" s="22" t="s">
        <v>7233</v>
      </c>
      <c r="L495" s="22" t="s">
        <v>2861</v>
      </c>
      <c r="M495" s="22" t="s">
        <v>2862</v>
      </c>
      <c r="N495" s="22" t="s">
        <v>2730</v>
      </c>
      <c r="O495" s="22" t="n">
        <v>51.9</v>
      </c>
      <c r="P495" s="22" t="n">
        <v>10.4</v>
      </c>
      <c r="Q495" s="22" t="s">
        <v>7683</v>
      </c>
      <c r="R495" s="22"/>
    </row>
    <row r="496" customFormat="false" ht="15" hidden="false" customHeight="false" outlineLevel="0" collapsed="false">
      <c r="A496" s="22" t="s">
        <v>7684</v>
      </c>
      <c r="B496" s="22" t="s">
        <v>159</v>
      </c>
      <c r="C496" s="22" t="s">
        <v>6562</v>
      </c>
      <c r="D496" s="22" t="s">
        <v>7188</v>
      </c>
      <c r="E496" s="22" t="n">
        <v>24</v>
      </c>
      <c r="F496" s="22" t="s">
        <v>6574</v>
      </c>
      <c r="G496" s="22" t="s">
        <v>6575</v>
      </c>
      <c r="H496" s="22" t="n">
        <v>9</v>
      </c>
      <c r="I496" s="22" t="s">
        <v>6576</v>
      </c>
      <c r="J496" s="22" t="s">
        <v>6577</v>
      </c>
      <c r="K496" s="22" t="s">
        <v>7685</v>
      </c>
      <c r="L496" s="22" t="s">
        <v>6087</v>
      </c>
      <c r="M496" s="22" t="s">
        <v>6088</v>
      </c>
      <c r="N496" s="22" t="s">
        <v>4094</v>
      </c>
      <c r="O496" s="22" t="n">
        <v>33.4</v>
      </c>
      <c r="P496" s="22" t="n">
        <v>10.4</v>
      </c>
      <c r="Q496" s="22" t="s">
        <v>7686</v>
      </c>
      <c r="R496" s="22"/>
    </row>
    <row r="497" customFormat="false" ht="15" hidden="false" customHeight="false" outlineLevel="0" collapsed="false">
      <c r="A497" s="22" t="s">
        <v>7687</v>
      </c>
      <c r="B497" s="22" t="s">
        <v>159</v>
      </c>
      <c r="C497" s="22" t="s">
        <v>6562</v>
      </c>
      <c r="D497" s="22" t="s">
        <v>7188</v>
      </c>
      <c r="E497" s="22" t="n">
        <v>40</v>
      </c>
      <c r="F497" s="22" t="s">
        <v>6581</v>
      </c>
      <c r="G497" s="22" t="s">
        <v>6575</v>
      </c>
      <c r="H497" s="22" t="n">
        <v>14</v>
      </c>
      <c r="I497" s="22" t="s">
        <v>6582</v>
      </c>
      <c r="J497" s="22" t="s">
        <v>6577</v>
      </c>
      <c r="K497" s="22" t="s">
        <v>7236</v>
      </c>
      <c r="L497" s="22" t="s">
        <v>2888</v>
      </c>
      <c r="M497" s="22" t="s">
        <v>2889</v>
      </c>
      <c r="N497" s="22" t="s">
        <v>1037</v>
      </c>
      <c r="O497" s="22" t="n">
        <v>36.8</v>
      </c>
      <c r="P497" s="22" t="n">
        <v>10.4</v>
      </c>
      <c r="Q497" s="22" t="s">
        <v>7075</v>
      </c>
      <c r="R497" s="22"/>
    </row>
    <row r="498" customFormat="false" ht="15" hidden="false" customHeight="false" outlineLevel="0" collapsed="false">
      <c r="A498" s="22" t="s">
        <v>7688</v>
      </c>
      <c r="B498" s="22" t="s">
        <v>159</v>
      </c>
      <c r="C498" s="22" t="s">
        <v>6562</v>
      </c>
      <c r="D498" s="22" t="s">
        <v>7188</v>
      </c>
      <c r="E498" s="22" t="n">
        <v>40</v>
      </c>
      <c r="F498" s="22" t="s">
        <v>6581</v>
      </c>
      <c r="G498" s="22" t="s">
        <v>6575</v>
      </c>
      <c r="H498" s="22" t="n">
        <v>14</v>
      </c>
      <c r="I498" s="22" t="s">
        <v>6582</v>
      </c>
      <c r="J498" s="22" t="s">
        <v>6577</v>
      </c>
      <c r="K498" s="22" t="s">
        <v>7238</v>
      </c>
      <c r="L498" s="22" t="s">
        <v>5020</v>
      </c>
      <c r="M498" s="22" t="s">
        <v>5021</v>
      </c>
      <c r="N498" s="22" t="s">
        <v>820</v>
      </c>
      <c r="O498" s="22" t="n">
        <v>40.5</v>
      </c>
      <c r="P498" s="22" t="n">
        <v>10.4</v>
      </c>
      <c r="Q498" s="22" t="s">
        <v>7054</v>
      </c>
      <c r="R498" s="22"/>
    </row>
    <row r="499" customFormat="false" ht="15" hidden="false" customHeight="false" outlineLevel="0" collapsed="false">
      <c r="A499" s="22" t="s">
        <v>7689</v>
      </c>
      <c r="B499" s="22" t="s">
        <v>159</v>
      </c>
      <c r="C499" s="22" t="s">
        <v>6562</v>
      </c>
      <c r="D499" s="22" t="s">
        <v>7188</v>
      </c>
      <c r="E499" s="22" t="n">
        <v>36</v>
      </c>
      <c r="F499" s="22" t="s">
        <v>6581</v>
      </c>
      <c r="G499" s="22" t="s">
        <v>6575</v>
      </c>
      <c r="H499" s="22" t="n">
        <v>13</v>
      </c>
      <c r="I499" s="22" t="s">
        <v>6582</v>
      </c>
      <c r="J499" s="22" t="s">
        <v>6577</v>
      </c>
      <c r="K499" s="22" t="s">
        <v>7240</v>
      </c>
      <c r="L499" s="22" t="s">
        <v>2598</v>
      </c>
      <c r="M499" s="22" t="s">
        <v>2599</v>
      </c>
      <c r="N499" s="22" t="s">
        <v>1217</v>
      </c>
      <c r="O499" s="22" t="n">
        <v>56.3</v>
      </c>
      <c r="P499" s="22" t="n">
        <v>10.4</v>
      </c>
      <c r="Q499" s="22" t="s">
        <v>7690</v>
      </c>
      <c r="R499" s="22"/>
    </row>
    <row r="500" customFormat="false" ht="15" hidden="false" customHeight="false" outlineLevel="0" collapsed="false">
      <c r="A500" s="22" t="s">
        <v>7691</v>
      </c>
      <c r="B500" s="22" t="s">
        <v>159</v>
      </c>
      <c r="C500" s="22" t="s">
        <v>6562</v>
      </c>
      <c r="D500" s="22" t="s">
        <v>7188</v>
      </c>
      <c r="E500" s="22" t="n">
        <v>28</v>
      </c>
      <c r="F500" s="22" t="s">
        <v>6574</v>
      </c>
      <c r="G500" s="22" t="s">
        <v>6575</v>
      </c>
      <c r="H500" s="22" t="n">
        <v>10</v>
      </c>
      <c r="I500" s="22" t="s">
        <v>6576</v>
      </c>
      <c r="J500" s="22" t="s">
        <v>6577</v>
      </c>
      <c r="K500" s="22" t="s">
        <v>7242</v>
      </c>
      <c r="L500" s="22" t="s">
        <v>1419</v>
      </c>
      <c r="M500" s="22" t="s">
        <v>1420</v>
      </c>
      <c r="N500" s="22" t="s">
        <v>1077</v>
      </c>
      <c r="O500" s="22" t="n">
        <v>29.6</v>
      </c>
      <c r="P500" s="22" t="n">
        <v>10.4</v>
      </c>
      <c r="Q500" s="22" t="s">
        <v>7474</v>
      </c>
      <c r="R500" s="22"/>
    </row>
    <row r="501" customFormat="false" ht="15" hidden="false" customHeight="false" outlineLevel="0" collapsed="false">
      <c r="A501" s="22" t="s">
        <v>7692</v>
      </c>
      <c r="B501" s="22" t="s">
        <v>159</v>
      </c>
      <c r="C501" s="22" t="s">
        <v>6562</v>
      </c>
      <c r="D501" s="22" t="s">
        <v>7188</v>
      </c>
      <c r="E501" s="22" t="n">
        <v>32</v>
      </c>
      <c r="F501" s="22" t="s">
        <v>6581</v>
      </c>
      <c r="G501" s="22" t="s">
        <v>6575</v>
      </c>
      <c r="H501" s="22" t="n">
        <v>12</v>
      </c>
      <c r="I501" s="22" t="s">
        <v>6576</v>
      </c>
      <c r="J501" s="22" t="s">
        <v>6577</v>
      </c>
      <c r="K501" s="22" t="s">
        <v>7244</v>
      </c>
      <c r="L501" s="22" t="s">
        <v>3636</v>
      </c>
      <c r="M501" s="22" t="s">
        <v>3637</v>
      </c>
      <c r="N501" s="22" t="s">
        <v>428</v>
      </c>
      <c r="O501" s="22" t="n">
        <v>55.7</v>
      </c>
      <c r="P501" s="22" t="n">
        <v>10.4</v>
      </c>
      <c r="Q501" s="22" t="s">
        <v>6970</v>
      </c>
      <c r="R501" s="22"/>
    </row>
    <row r="502" customFormat="false" ht="15" hidden="false" customHeight="false" outlineLevel="0" collapsed="false">
      <c r="A502" s="22" t="s">
        <v>7693</v>
      </c>
      <c r="B502" s="22" t="s">
        <v>215</v>
      </c>
      <c r="C502" s="22" t="s">
        <v>7694</v>
      </c>
      <c r="D502" s="22" t="s">
        <v>6573</v>
      </c>
      <c r="E502" s="22" t="n">
        <v>80</v>
      </c>
      <c r="F502" s="22" t="s">
        <v>7695</v>
      </c>
      <c r="G502" s="22" t="s">
        <v>7696</v>
      </c>
      <c r="H502" s="22" t="n">
        <v>24</v>
      </c>
      <c r="I502" s="22" t="s">
        <v>7697</v>
      </c>
      <c r="J502" s="22" t="s">
        <v>6577</v>
      </c>
      <c r="K502" s="22" t="s">
        <v>6578</v>
      </c>
      <c r="L502" s="22" t="s">
        <v>1292</v>
      </c>
      <c r="M502" s="22" t="s">
        <v>1293</v>
      </c>
      <c r="N502" s="22" t="s">
        <v>1294</v>
      </c>
      <c r="O502" s="22" t="n">
        <v>29.3</v>
      </c>
      <c r="P502" s="22" t="n">
        <v>7.55</v>
      </c>
      <c r="Q502" s="22" t="s">
        <v>6927</v>
      </c>
      <c r="R502" s="22"/>
    </row>
    <row r="503" customFormat="false" ht="15" hidden="false" customHeight="false" outlineLevel="0" collapsed="false">
      <c r="A503" s="22" t="s">
        <v>7698</v>
      </c>
      <c r="B503" s="22" t="s">
        <v>215</v>
      </c>
      <c r="C503" s="22" t="s">
        <v>7694</v>
      </c>
      <c r="D503" s="22" t="s">
        <v>6573</v>
      </c>
      <c r="E503" s="22" t="n">
        <v>24</v>
      </c>
      <c r="F503" s="22" t="s">
        <v>6574</v>
      </c>
      <c r="G503" s="22" t="s">
        <v>7696</v>
      </c>
      <c r="H503" s="22" t="n">
        <v>9</v>
      </c>
      <c r="I503" s="22" t="s">
        <v>6576</v>
      </c>
      <c r="J503" s="22" t="s">
        <v>6577</v>
      </c>
      <c r="K503" s="22" t="s">
        <v>6583</v>
      </c>
      <c r="L503" s="22" t="s">
        <v>6073</v>
      </c>
      <c r="M503" s="22" t="s">
        <v>6074</v>
      </c>
      <c r="N503" s="22" t="s">
        <v>1517</v>
      </c>
      <c r="O503" s="22" t="n">
        <v>55.3</v>
      </c>
      <c r="P503" s="22" t="n">
        <v>7.55</v>
      </c>
      <c r="Q503" s="22" t="s">
        <v>7128</v>
      </c>
      <c r="R503" s="22"/>
    </row>
    <row r="504" customFormat="false" ht="15" hidden="false" customHeight="false" outlineLevel="0" collapsed="false">
      <c r="A504" s="22" t="s">
        <v>7699</v>
      </c>
      <c r="B504" s="22" t="s">
        <v>215</v>
      </c>
      <c r="C504" s="22" t="s">
        <v>7694</v>
      </c>
      <c r="D504" s="22" t="s">
        <v>6573</v>
      </c>
      <c r="E504" s="22" t="n">
        <v>36</v>
      </c>
      <c r="F504" s="22" t="s">
        <v>6581</v>
      </c>
      <c r="G504" s="22" t="s">
        <v>7696</v>
      </c>
      <c r="H504" s="22" t="n">
        <v>13</v>
      </c>
      <c r="I504" s="22" t="s">
        <v>6582</v>
      </c>
      <c r="J504" s="22" t="s">
        <v>6577</v>
      </c>
      <c r="K504" s="22" t="s">
        <v>6586</v>
      </c>
      <c r="L504" s="22" t="s">
        <v>597</v>
      </c>
      <c r="M504" s="22" t="s">
        <v>598</v>
      </c>
      <c r="N504" s="22" t="s">
        <v>599</v>
      </c>
      <c r="O504" s="22" t="n">
        <v>42.6</v>
      </c>
      <c r="P504" s="22" t="n">
        <v>7.55</v>
      </c>
      <c r="Q504" s="22" t="s">
        <v>7288</v>
      </c>
      <c r="R504" s="22"/>
    </row>
    <row r="505" customFormat="false" ht="15" hidden="false" customHeight="false" outlineLevel="0" collapsed="false">
      <c r="A505" s="22" t="s">
        <v>7700</v>
      </c>
      <c r="B505" s="22" t="s">
        <v>215</v>
      </c>
      <c r="C505" s="22" t="s">
        <v>7694</v>
      </c>
      <c r="D505" s="22" t="s">
        <v>6573</v>
      </c>
      <c r="E505" s="22" t="n">
        <v>40</v>
      </c>
      <c r="F505" s="22" t="s">
        <v>6581</v>
      </c>
      <c r="G505" s="22" t="s">
        <v>7696</v>
      </c>
      <c r="H505" s="22" t="n">
        <v>14</v>
      </c>
      <c r="I505" s="22" t="s">
        <v>6582</v>
      </c>
      <c r="J505" s="22" t="s">
        <v>6734</v>
      </c>
      <c r="K505" s="22"/>
      <c r="L505" s="22"/>
      <c r="M505" s="22"/>
      <c r="N505" s="22"/>
      <c r="O505" s="22"/>
      <c r="P505" s="22" t="n">
        <v>7.55</v>
      </c>
      <c r="Q505" s="22" t="s">
        <v>7518</v>
      </c>
      <c r="R505" s="22"/>
    </row>
    <row r="506" customFormat="false" ht="15" hidden="false" customHeight="false" outlineLevel="0" collapsed="false">
      <c r="A506" s="22" t="s">
        <v>7701</v>
      </c>
      <c r="B506" s="22" t="s">
        <v>215</v>
      </c>
      <c r="C506" s="22" t="s">
        <v>7694</v>
      </c>
      <c r="D506" s="22" t="s">
        <v>6573</v>
      </c>
      <c r="E506" s="22" t="n">
        <v>36</v>
      </c>
      <c r="F506" s="22" t="s">
        <v>6581</v>
      </c>
      <c r="G506" s="22" t="s">
        <v>7696</v>
      </c>
      <c r="H506" s="22" t="n">
        <v>13</v>
      </c>
      <c r="I506" s="22" t="s">
        <v>6582</v>
      </c>
      <c r="J506" s="22" t="s">
        <v>6577</v>
      </c>
      <c r="K506" s="22" t="s">
        <v>6592</v>
      </c>
      <c r="L506" s="22" t="s">
        <v>5223</v>
      </c>
      <c r="M506" s="22" t="s">
        <v>5224</v>
      </c>
      <c r="N506" s="22" t="s">
        <v>4476</v>
      </c>
      <c r="O506" s="22" t="n">
        <v>60.2</v>
      </c>
      <c r="P506" s="22" t="n">
        <v>7.55</v>
      </c>
      <c r="Q506" s="22" t="s">
        <v>7702</v>
      </c>
      <c r="R506" s="22"/>
    </row>
    <row r="507" customFormat="false" ht="15" hidden="false" customHeight="false" outlineLevel="0" collapsed="false">
      <c r="A507" s="22" t="s">
        <v>7703</v>
      </c>
      <c r="B507" s="22" t="s">
        <v>215</v>
      </c>
      <c r="C507" s="22" t="s">
        <v>7694</v>
      </c>
      <c r="D507" s="22" t="s">
        <v>6573</v>
      </c>
      <c r="E507" s="22" t="n">
        <v>45</v>
      </c>
      <c r="F507" s="22" t="s">
        <v>7704</v>
      </c>
      <c r="G507" s="22" t="s">
        <v>7696</v>
      </c>
      <c r="H507" s="22" t="n">
        <v>16</v>
      </c>
      <c r="I507" s="22" t="s">
        <v>7705</v>
      </c>
      <c r="J507" s="22" t="s">
        <v>6577</v>
      </c>
      <c r="K507" s="22" t="s">
        <v>6595</v>
      </c>
      <c r="L507" s="22" t="s">
        <v>5497</v>
      </c>
      <c r="M507" s="22" t="s">
        <v>5498</v>
      </c>
      <c r="N507" s="22" t="s">
        <v>1940</v>
      </c>
      <c r="O507" s="22" t="n">
        <v>47.5</v>
      </c>
      <c r="P507" s="22" t="n">
        <v>7.55</v>
      </c>
      <c r="Q507" s="22" t="s">
        <v>7310</v>
      </c>
      <c r="R507" s="22"/>
    </row>
    <row r="508" customFormat="false" ht="15" hidden="false" customHeight="false" outlineLevel="0" collapsed="false">
      <c r="A508" s="22" t="s">
        <v>7706</v>
      </c>
      <c r="B508" s="22" t="s">
        <v>215</v>
      </c>
      <c r="C508" s="22" t="s">
        <v>7694</v>
      </c>
      <c r="D508" s="22" t="s">
        <v>6573</v>
      </c>
      <c r="E508" s="22" t="n">
        <v>28</v>
      </c>
      <c r="F508" s="22" t="s">
        <v>6574</v>
      </c>
      <c r="G508" s="22" t="s">
        <v>7696</v>
      </c>
      <c r="H508" s="22" t="n">
        <v>10</v>
      </c>
      <c r="I508" s="22" t="s">
        <v>6576</v>
      </c>
      <c r="J508" s="22" t="s">
        <v>6577</v>
      </c>
      <c r="K508" s="22" t="s">
        <v>6598</v>
      </c>
      <c r="L508" s="22" t="s">
        <v>1176</v>
      </c>
      <c r="M508" s="22" t="s">
        <v>1177</v>
      </c>
      <c r="N508" s="22" t="s">
        <v>1178</v>
      </c>
      <c r="O508" s="22" t="n">
        <v>23.7</v>
      </c>
      <c r="P508" s="22" t="n">
        <v>7.55</v>
      </c>
      <c r="Q508" s="22" t="s">
        <v>7707</v>
      </c>
      <c r="R508" s="22"/>
    </row>
    <row r="509" customFormat="false" ht="15" hidden="false" customHeight="false" outlineLevel="0" collapsed="false">
      <c r="A509" s="22" t="s">
        <v>7708</v>
      </c>
      <c r="B509" s="22" t="s">
        <v>215</v>
      </c>
      <c r="C509" s="22" t="s">
        <v>7694</v>
      </c>
      <c r="D509" s="22" t="s">
        <v>6573</v>
      </c>
      <c r="E509" s="22" t="n">
        <v>40</v>
      </c>
      <c r="F509" s="22" t="s">
        <v>6581</v>
      </c>
      <c r="G509" s="22" t="s">
        <v>7696</v>
      </c>
      <c r="H509" s="22" t="n">
        <v>14</v>
      </c>
      <c r="I509" s="22" t="s">
        <v>6582</v>
      </c>
      <c r="J509" s="22" t="s">
        <v>6577</v>
      </c>
      <c r="K509" s="22" t="s">
        <v>6601</v>
      </c>
      <c r="L509" s="22" t="s">
        <v>2796</v>
      </c>
      <c r="M509" s="22" t="s">
        <v>2797</v>
      </c>
      <c r="N509" s="22" t="s">
        <v>1037</v>
      </c>
      <c r="O509" s="22" t="n">
        <v>59.3</v>
      </c>
      <c r="P509" s="22" t="n">
        <v>7.55</v>
      </c>
      <c r="Q509" s="22" t="s">
        <v>7262</v>
      </c>
      <c r="R509" s="22"/>
    </row>
    <row r="510" customFormat="false" ht="15" hidden="false" customHeight="false" outlineLevel="0" collapsed="false">
      <c r="A510" s="22" t="s">
        <v>7709</v>
      </c>
      <c r="B510" s="22" t="s">
        <v>215</v>
      </c>
      <c r="C510" s="22" t="s">
        <v>7694</v>
      </c>
      <c r="D510" s="22" t="s">
        <v>6573</v>
      </c>
      <c r="E510" s="22" t="n">
        <v>60</v>
      </c>
      <c r="F510" s="22" t="s">
        <v>7695</v>
      </c>
      <c r="G510" s="22" t="s">
        <v>7696</v>
      </c>
      <c r="H510" s="22" t="n">
        <v>20</v>
      </c>
      <c r="I510" s="22" t="s">
        <v>7697</v>
      </c>
      <c r="J510" s="22" t="s">
        <v>6577</v>
      </c>
      <c r="K510" s="22" t="s">
        <v>6604</v>
      </c>
      <c r="L510" s="22" t="s">
        <v>5987</v>
      </c>
      <c r="M510" s="22" t="s">
        <v>5988</v>
      </c>
      <c r="N510" s="22" t="s">
        <v>2423</v>
      </c>
      <c r="O510" s="22" t="n">
        <v>30.9</v>
      </c>
      <c r="P510" s="22" t="n">
        <v>7.55</v>
      </c>
      <c r="Q510" s="22" t="s">
        <v>6810</v>
      </c>
      <c r="R510" s="22"/>
    </row>
    <row r="511" customFormat="false" ht="15" hidden="false" customHeight="false" outlineLevel="0" collapsed="false">
      <c r="A511" s="22" t="s">
        <v>7710</v>
      </c>
      <c r="B511" s="22" t="s">
        <v>215</v>
      </c>
      <c r="C511" s="22" t="s">
        <v>7694</v>
      </c>
      <c r="D511" s="22" t="s">
        <v>6573</v>
      </c>
      <c r="E511" s="22" t="n">
        <v>28</v>
      </c>
      <c r="F511" s="22" t="s">
        <v>6574</v>
      </c>
      <c r="G511" s="22" t="s">
        <v>7696</v>
      </c>
      <c r="H511" s="22" t="n">
        <v>10</v>
      </c>
      <c r="I511" s="22" t="s">
        <v>6576</v>
      </c>
      <c r="J511" s="22" t="s">
        <v>6577</v>
      </c>
      <c r="K511" s="22" t="s">
        <v>6607</v>
      </c>
      <c r="L511" s="22" t="s">
        <v>2268</v>
      </c>
      <c r="M511" s="22" t="s">
        <v>2269</v>
      </c>
      <c r="N511" s="22" t="s">
        <v>1764</v>
      </c>
      <c r="O511" s="22" t="n">
        <v>36.3</v>
      </c>
      <c r="P511" s="22" t="n">
        <v>7.55</v>
      </c>
      <c r="Q511" s="22" t="s">
        <v>6949</v>
      </c>
      <c r="R511" s="22"/>
    </row>
    <row r="512" customFormat="false" ht="15" hidden="false" customHeight="false" outlineLevel="0" collapsed="false">
      <c r="A512" s="22" t="s">
        <v>7711</v>
      </c>
      <c r="B512" s="22" t="s">
        <v>215</v>
      </c>
      <c r="C512" s="22" t="s">
        <v>7694</v>
      </c>
      <c r="D512" s="22" t="s">
        <v>6573</v>
      </c>
      <c r="E512" s="22" t="n">
        <v>28</v>
      </c>
      <c r="F512" s="22" t="s">
        <v>6574</v>
      </c>
      <c r="G512" s="22" t="s">
        <v>7696</v>
      </c>
      <c r="H512" s="22" t="n">
        <v>10</v>
      </c>
      <c r="I512" s="22" t="s">
        <v>6576</v>
      </c>
      <c r="J512" s="22" t="s">
        <v>6577</v>
      </c>
      <c r="K512" s="22" t="s">
        <v>6610</v>
      </c>
      <c r="L512" s="22" t="s">
        <v>1778</v>
      </c>
      <c r="M512" s="22" t="s">
        <v>1779</v>
      </c>
      <c r="N512" s="22" t="s">
        <v>1780</v>
      </c>
      <c r="O512" s="22" t="n">
        <v>43.9</v>
      </c>
      <c r="P512" s="22" t="n">
        <v>7.55</v>
      </c>
      <c r="Q512" s="22" t="s">
        <v>7712</v>
      </c>
      <c r="R512" s="22"/>
    </row>
    <row r="513" customFormat="false" ht="15" hidden="false" customHeight="false" outlineLevel="0" collapsed="false">
      <c r="A513" s="22" t="s">
        <v>7713</v>
      </c>
      <c r="B513" s="22" t="s">
        <v>215</v>
      </c>
      <c r="C513" s="22" t="s">
        <v>7694</v>
      </c>
      <c r="D513" s="22" t="s">
        <v>6573</v>
      </c>
      <c r="E513" s="22" t="n">
        <v>70</v>
      </c>
      <c r="F513" s="22" t="s">
        <v>7695</v>
      </c>
      <c r="G513" s="22" t="s">
        <v>7696</v>
      </c>
      <c r="H513" s="22" t="n">
        <v>22</v>
      </c>
      <c r="I513" s="22" t="s">
        <v>7697</v>
      </c>
      <c r="J513" s="22" t="s">
        <v>6577</v>
      </c>
      <c r="K513" s="22" t="s">
        <v>7322</v>
      </c>
      <c r="L513" s="22" t="s">
        <v>1577</v>
      </c>
      <c r="M513" s="22" t="s">
        <v>1578</v>
      </c>
      <c r="N513" s="22" t="s">
        <v>1579</v>
      </c>
      <c r="O513" s="22" t="n">
        <v>38.7</v>
      </c>
      <c r="P513" s="22" t="n">
        <v>7.55</v>
      </c>
      <c r="Q513" s="22" t="s">
        <v>7546</v>
      </c>
      <c r="R513" s="22"/>
    </row>
    <row r="514" customFormat="false" ht="15" hidden="false" customHeight="false" outlineLevel="0" collapsed="false">
      <c r="A514" s="22" t="s">
        <v>7714</v>
      </c>
      <c r="B514" s="22" t="s">
        <v>215</v>
      </c>
      <c r="C514" s="22" t="s">
        <v>7694</v>
      </c>
      <c r="D514" s="22" t="s">
        <v>6573</v>
      </c>
      <c r="E514" s="22" t="n">
        <v>45</v>
      </c>
      <c r="F514" s="22" t="s">
        <v>7704</v>
      </c>
      <c r="G514" s="22" t="s">
        <v>7696</v>
      </c>
      <c r="H514" s="22" t="n">
        <v>16</v>
      </c>
      <c r="I514" s="22" t="s">
        <v>7705</v>
      </c>
      <c r="J514" s="22" t="s">
        <v>6577</v>
      </c>
      <c r="K514" s="22" t="s">
        <v>6616</v>
      </c>
      <c r="L514" s="22" t="s">
        <v>1454</v>
      </c>
      <c r="M514" s="22" t="s">
        <v>1455</v>
      </c>
      <c r="N514" s="22" t="s">
        <v>1207</v>
      </c>
      <c r="O514" s="22" t="n">
        <v>61.3</v>
      </c>
      <c r="P514" s="22" t="n">
        <v>7.55</v>
      </c>
      <c r="Q514" s="22" t="s">
        <v>7715</v>
      </c>
      <c r="R514" s="22"/>
    </row>
    <row r="515" customFormat="false" ht="15" hidden="false" customHeight="false" outlineLevel="0" collapsed="false">
      <c r="A515" s="22" t="s">
        <v>7716</v>
      </c>
      <c r="B515" s="22" t="s">
        <v>215</v>
      </c>
      <c r="C515" s="22" t="s">
        <v>7694</v>
      </c>
      <c r="D515" s="22" t="s">
        <v>6573</v>
      </c>
      <c r="E515" s="22" t="n">
        <v>24</v>
      </c>
      <c r="F515" s="22" t="s">
        <v>6574</v>
      </c>
      <c r="G515" s="22" t="s">
        <v>7696</v>
      </c>
      <c r="H515" s="22" t="n">
        <v>9</v>
      </c>
      <c r="I515" s="22" t="s">
        <v>6576</v>
      </c>
      <c r="J515" s="22" t="s">
        <v>6577</v>
      </c>
      <c r="K515" s="22" t="s">
        <v>6619</v>
      </c>
      <c r="L515" s="22" t="s">
        <v>5418</v>
      </c>
      <c r="M515" s="22" t="s">
        <v>5419</v>
      </c>
      <c r="N515" s="22" t="s">
        <v>885</v>
      </c>
      <c r="O515" s="22" t="n">
        <v>41.6</v>
      </c>
      <c r="P515" s="22" t="n">
        <v>7.55</v>
      </c>
      <c r="Q515" s="22" t="s">
        <v>7717</v>
      </c>
      <c r="R515" s="22"/>
    </row>
    <row r="516" customFormat="false" ht="15" hidden="false" customHeight="false" outlineLevel="0" collapsed="false">
      <c r="A516" s="22" t="s">
        <v>7718</v>
      </c>
      <c r="B516" s="22" t="s">
        <v>215</v>
      </c>
      <c r="C516" s="22" t="s">
        <v>7694</v>
      </c>
      <c r="D516" s="22" t="s">
        <v>6573</v>
      </c>
      <c r="E516" s="22" t="n">
        <v>32</v>
      </c>
      <c r="F516" s="22" t="s">
        <v>6581</v>
      </c>
      <c r="G516" s="22" t="s">
        <v>7696</v>
      </c>
      <c r="H516" s="22" t="n">
        <v>12</v>
      </c>
      <c r="I516" s="22" t="s">
        <v>6576</v>
      </c>
      <c r="J516" s="22" t="s">
        <v>6577</v>
      </c>
      <c r="K516" s="22" t="s">
        <v>6622</v>
      </c>
      <c r="L516" s="22" t="s">
        <v>2218</v>
      </c>
      <c r="M516" s="22" t="s">
        <v>2219</v>
      </c>
      <c r="N516" s="22" t="s">
        <v>1423</v>
      </c>
      <c r="O516" s="22" t="n">
        <v>38.4</v>
      </c>
      <c r="P516" s="22" t="n">
        <v>7.55</v>
      </c>
      <c r="Q516" s="22" t="s">
        <v>6819</v>
      </c>
      <c r="R516" s="22"/>
    </row>
    <row r="517" customFormat="false" ht="15" hidden="false" customHeight="false" outlineLevel="0" collapsed="false">
      <c r="A517" s="22" t="s">
        <v>7719</v>
      </c>
      <c r="B517" s="22" t="s">
        <v>215</v>
      </c>
      <c r="C517" s="22" t="s">
        <v>7694</v>
      </c>
      <c r="D517" s="22" t="s">
        <v>6573</v>
      </c>
      <c r="E517" s="22" t="n">
        <v>32</v>
      </c>
      <c r="F517" s="22" t="s">
        <v>6581</v>
      </c>
      <c r="G517" s="22" t="s">
        <v>7696</v>
      </c>
      <c r="H517" s="22" t="n">
        <v>12</v>
      </c>
      <c r="I517" s="22" t="s">
        <v>6576</v>
      </c>
      <c r="J517" s="22" t="s">
        <v>6577</v>
      </c>
      <c r="K517" s="22" t="s">
        <v>6625</v>
      </c>
      <c r="L517" s="22" t="s">
        <v>3827</v>
      </c>
      <c r="M517" s="22" t="s">
        <v>3828</v>
      </c>
      <c r="N517" s="22" t="s">
        <v>2201</v>
      </c>
      <c r="O517" s="22" t="n">
        <v>25.7</v>
      </c>
      <c r="P517" s="22" t="n">
        <v>7.55</v>
      </c>
      <c r="Q517" s="22" t="s">
        <v>7720</v>
      </c>
      <c r="R517" s="22"/>
    </row>
    <row r="518" customFormat="false" ht="15" hidden="false" customHeight="false" outlineLevel="0" collapsed="false">
      <c r="A518" s="22" t="s">
        <v>7721</v>
      </c>
      <c r="B518" s="22" t="s">
        <v>215</v>
      </c>
      <c r="C518" s="22" t="s">
        <v>7694</v>
      </c>
      <c r="D518" s="22" t="s">
        <v>6573</v>
      </c>
      <c r="E518" s="22" t="n">
        <v>80</v>
      </c>
      <c r="F518" s="22" t="s">
        <v>7695</v>
      </c>
      <c r="G518" s="22" t="s">
        <v>7696</v>
      </c>
      <c r="H518" s="22" t="n">
        <v>24</v>
      </c>
      <c r="I518" s="22" t="s">
        <v>7697</v>
      </c>
      <c r="J518" s="22" t="s">
        <v>6613</v>
      </c>
      <c r="K518" s="22"/>
      <c r="L518" s="22"/>
      <c r="M518" s="22"/>
      <c r="N518" s="22"/>
      <c r="O518" s="22"/>
      <c r="P518" s="22" t="n">
        <v>7.55</v>
      </c>
      <c r="Q518" s="22" t="s">
        <v>7722</v>
      </c>
      <c r="R518" s="22"/>
    </row>
    <row r="519" customFormat="false" ht="15" hidden="false" customHeight="false" outlineLevel="0" collapsed="false">
      <c r="A519" s="22" t="s">
        <v>7723</v>
      </c>
      <c r="B519" s="22" t="s">
        <v>215</v>
      </c>
      <c r="C519" s="22" t="s">
        <v>7694</v>
      </c>
      <c r="D519" s="22" t="s">
        <v>6573</v>
      </c>
      <c r="E519" s="22" t="n">
        <v>45</v>
      </c>
      <c r="F519" s="22" t="s">
        <v>7704</v>
      </c>
      <c r="G519" s="22" t="s">
        <v>7696</v>
      </c>
      <c r="H519" s="22" t="n">
        <v>16</v>
      </c>
      <c r="I519" s="22" t="s">
        <v>7705</v>
      </c>
      <c r="J519" s="22" t="s">
        <v>6577</v>
      </c>
      <c r="K519" s="22" t="s">
        <v>6631</v>
      </c>
      <c r="L519" s="22" t="s">
        <v>5683</v>
      </c>
      <c r="M519" s="22" t="s">
        <v>5684</v>
      </c>
      <c r="N519" s="22" t="s">
        <v>885</v>
      </c>
      <c r="O519" s="22" t="n">
        <v>48.3</v>
      </c>
      <c r="P519" s="22" t="n">
        <v>7.55</v>
      </c>
      <c r="Q519" s="22" t="s">
        <v>7297</v>
      </c>
      <c r="R519" s="22"/>
    </row>
    <row r="520" customFormat="false" ht="15" hidden="false" customHeight="false" outlineLevel="0" collapsed="false">
      <c r="A520" s="22" t="s">
        <v>7724</v>
      </c>
      <c r="B520" s="22" t="s">
        <v>215</v>
      </c>
      <c r="C520" s="22" t="s">
        <v>7694</v>
      </c>
      <c r="D520" s="22" t="s">
        <v>6573</v>
      </c>
      <c r="E520" s="22" t="n">
        <v>32</v>
      </c>
      <c r="F520" s="22" t="s">
        <v>6581</v>
      </c>
      <c r="G520" s="22" t="s">
        <v>7696</v>
      </c>
      <c r="H520" s="22" t="n">
        <v>12</v>
      </c>
      <c r="I520" s="22" t="s">
        <v>6576</v>
      </c>
      <c r="J520" s="22" t="s">
        <v>6577</v>
      </c>
      <c r="K520" s="22" t="s">
        <v>6634</v>
      </c>
      <c r="L520" s="22" t="s">
        <v>3539</v>
      </c>
      <c r="M520" s="22" t="s">
        <v>3540</v>
      </c>
      <c r="N520" s="22" t="s">
        <v>752</v>
      </c>
      <c r="O520" s="22" t="n">
        <v>48.3</v>
      </c>
      <c r="P520" s="22" t="n">
        <v>7.55</v>
      </c>
      <c r="Q520" s="22" t="s">
        <v>6810</v>
      </c>
      <c r="R520" s="22"/>
    </row>
    <row r="521" customFormat="false" ht="15" hidden="false" customHeight="false" outlineLevel="0" collapsed="false">
      <c r="A521" s="22" t="s">
        <v>7725</v>
      </c>
      <c r="B521" s="22" t="s">
        <v>215</v>
      </c>
      <c r="C521" s="22" t="s">
        <v>7694</v>
      </c>
      <c r="D521" s="22" t="s">
        <v>6573</v>
      </c>
      <c r="E521" s="22" t="n">
        <v>80</v>
      </c>
      <c r="F521" s="22" t="s">
        <v>7695</v>
      </c>
      <c r="G521" s="22" t="s">
        <v>7696</v>
      </c>
      <c r="H521" s="22" t="n">
        <v>24</v>
      </c>
      <c r="I521" s="22" t="s">
        <v>7697</v>
      </c>
      <c r="J521" s="22" t="s">
        <v>6577</v>
      </c>
      <c r="K521" s="22" t="s">
        <v>6637</v>
      </c>
      <c r="L521" s="22" t="s">
        <v>2968</v>
      </c>
      <c r="M521" s="22" t="s">
        <v>2969</v>
      </c>
      <c r="N521" s="22" t="s">
        <v>632</v>
      </c>
      <c r="O521" s="22" t="n">
        <v>59.3</v>
      </c>
      <c r="P521" s="22" t="n">
        <v>7.55</v>
      </c>
      <c r="Q521" s="22" t="s">
        <v>7717</v>
      </c>
      <c r="R521" s="22"/>
    </row>
    <row r="522" customFormat="false" ht="15" hidden="false" customHeight="false" outlineLevel="0" collapsed="false">
      <c r="A522" s="22" t="s">
        <v>7726</v>
      </c>
      <c r="B522" s="22" t="s">
        <v>215</v>
      </c>
      <c r="C522" s="22" t="s">
        <v>7694</v>
      </c>
      <c r="D522" s="22" t="s">
        <v>6573</v>
      </c>
      <c r="E522" s="22" t="n">
        <v>28</v>
      </c>
      <c r="F522" s="22" t="s">
        <v>6574</v>
      </c>
      <c r="G522" s="22" t="s">
        <v>7696</v>
      </c>
      <c r="H522" s="22" t="n">
        <v>10</v>
      </c>
      <c r="I522" s="22" t="s">
        <v>6576</v>
      </c>
      <c r="J522" s="22" t="s">
        <v>6577</v>
      </c>
      <c r="K522" s="22" t="s">
        <v>6640</v>
      </c>
      <c r="L522" s="22" t="s">
        <v>529</v>
      </c>
      <c r="M522" s="22" t="s">
        <v>530</v>
      </c>
      <c r="N522" s="22" t="s">
        <v>204</v>
      </c>
      <c r="O522" s="22" t="n">
        <v>37.9</v>
      </c>
      <c r="P522" s="22" t="n">
        <v>7.55</v>
      </c>
      <c r="Q522" s="22" t="s">
        <v>7727</v>
      </c>
      <c r="R522" s="22"/>
    </row>
    <row r="523" customFormat="false" ht="15" hidden="false" customHeight="false" outlineLevel="0" collapsed="false">
      <c r="A523" s="22" t="s">
        <v>7728</v>
      </c>
      <c r="B523" s="22" t="s">
        <v>215</v>
      </c>
      <c r="C523" s="22" t="s">
        <v>7694</v>
      </c>
      <c r="D523" s="22" t="s">
        <v>6573</v>
      </c>
      <c r="E523" s="22" t="n">
        <v>70</v>
      </c>
      <c r="F523" s="22" t="s">
        <v>7695</v>
      </c>
      <c r="G523" s="22" t="s">
        <v>7696</v>
      </c>
      <c r="H523" s="22" t="n">
        <v>22</v>
      </c>
      <c r="I523" s="22" t="s">
        <v>7697</v>
      </c>
      <c r="J523" s="22" t="s">
        <v>6577</v>
      </c>
      <c r="K523" s="22" t="s">
        <v>6643</v>
      </c>
      <c r="L523" s="22" t="s">
        <v>6368</v>
      </c>
      <c r="M523" s="22" t="s">
        <v>6369</v>
      </c>
      <c r="N523" s="22" t="s">
        <v>1204</v>
      </c>
      <c r="O523" s="22" t="n">
        <v>25.7</v>
      </c>
      <c r="P523" s="22" t="n">
        <v>7.55</v>
      </c>
      <c r="Q523" s="22" t="s">
        <v>7729</v>
      </c>
      <c r="R523" s="22"/>
    </row>
    <row r="524" customFormat="false" ht="15" hidden="false" customHeight="false" outlineLevel="0" collapsed="false">
      <c r="A524" s="22" t="s">
        <v>7730</v>
      </c>
      <c r="B524" s="22" t="s">
        <v>215</v>
      </c>
      <c r="C524" s="22" t="s">
        <v>7694</v>
      </c>
      <c r="D524" s="22" t="s">
        <v>6573</v>
      </c>
      <c r="E524" s="22" t="n">
        <v>28</v>
      </c>
      <c r="F524" s="22" t="s">
        <v>6574</v>
      </c>
      <c r="G524" s="22" t="s">
        <v>7696</v>
      </c>
      <c r="H524" s="22" t="n">
        <v>10</v>
      </c>
      <c r="I524" s="22" t="s">
        <v>6576</v>
      </c>
      <c r="J524" s="22" t="s">
        <v>6577</v>
      </c>
      <c r="K524" s="22" t="s">
        <v>6646</v>
      </c>
      <c r="L524" s="22" t="s">
        <v>5144</v>
      </c>
      <c r="M524" s="22" t="s">
        <v>5145</v>
      </c>
      <c r="N524" s="22" t="s">
        <v>1235</v>
      </c>
      <c r="O524" s="22" t="n">
        <v>44.4</v>
      </c>
      <c r="P524" s="22" t="n">
        <v>7.55</v>
      </c>
      <c r="Q524" s="22" t="s">
        <v>7496</v>
      </c>
      <c r="R524" s="22"/>
    </row>
    <row r="525" customFormat="false" ht="15" hidden="false" customHeight="false" outlineLevel="0" collapsed="false">
      <c r="A525" s="22" t="s">
        <v>7731</v>
      </c>
      <c r="B525" s="22" t="s">
        <v>215</v>
      </c>
      <c r="C525" s="22" t="s">
        <v>7694</v>
      </c>
      <c r="D525" s="22" t="s">
        <v>6573</v>
      </c>
      <c r="E525" s="22" t="n">
        <v>32</v>
      </c>
      <c r="F525" s="22" t="s">
        <v>6581</v>
      </c>
      <c r="G525" s="22" t="s">
        <v>7696</v>
      </c>
      <c r="H525" s="22" t="n">
        <v>12</v>
      </c>
      <c r="I525" s="22" t="s">
        <v>6576</v>
      </c>
      <c r="J525" s="22" t="s">
        <v>6577</v>
      </c>
      <c r="K525" s="22" t="s">
        <v>6649</v>
      </c>
      <c r="L525" s="22" t="s">
        <v>5459</v>
      </c>
      <c r="M525" s="22" t="s">
        <v>5460</v>
      </c>
      <c r="N525" s="22" t="s">
        <v>962</v>
      </c>
      <c r="O525" s="22" t="n">
        <v>55.7</v>
      </c>
      <c r="P525" s="22" t="n">
        <v>7.55</v>
      </c>
      <c r="Q525" s="22" t="s">
        <v>7732</v>
      </c>
      <c r="R525" s="22"/>
    </row>
    <row r="526" customFormat="false" ht="15" hidden="false" customHeight="false" outlineLevel="0" collapsed="false">
      <c r="A526" s="22" t="s">
        <v>7733</v>
      </c>
      <c r="B526" s="22" t="s">
        <v>215</v>
      </c>
      <c r="C526" s="22" t="s">
        <v>7694</v>
      </c>
      <c r="D526" s="22" t="s">
        <v>6652</v>
      </c>
      <c r="E526" s="22" t="n">
        <v>36</v>
      </c>
      <c r="F526" s="22" t="s">
        <v>6581</v>
      </c>
      <c r="G526" s="22" t="s">
        <v>7696</v>
      </c>
      <c r="H526" s="22" t="n">
        <v>13</v>
      </c>
      <c r="I526" s="22" t="s">
        <v>6582</v>
      </c>
      <c r="J526" s="22" t="s">
        <v>6577</v>
      </c>
      <c r="K526" s="22" t="s">
        <v>6653</v>
      </c>
      <c r="L526" s="22" t="s">
        <v>4359</v>
      </c>
      <c r="M526" s="22" t="s">
        <v>4360</v>
      </c>
      <c r="N526" s="22" t="s">
        <v>312</v>
      </c>
      <c r="O526" s="22" t="n">
        <v>39.3</v>
      </c>
      <c r="P526" s="22" t="n">
        <v>7.55</v>
      </c>
      <c r="Q526" s="22" t="s">
        <v>7734</v>
      </c>
      <c r="R526" s="22"/>
    </row>
    <row r="527" customFormat="false" ht="15" hidden="false" customHeight="false" outlineLevel="0" collapsed="false">
      <c r="A527" s="22" t="s">
        <v>7735</v>
      </c>
      <c r="B527" s="22" t="s">
        <v>215</v>
      </c>
      <c r="C527" s="22" t="s">
        <v>7694</v>
      </c>
      <c r="D527" s="22" t="s">
        <v>6652</v>
      </c>
      <c r="E527" s="22" t="n">
        <v>32</v>
      </c>
      <c r="F527" s="22" t="s">
        <v>6581</v>
      </c>
      <c r="G527" s="22" t="s">
        <v>7696</v>
      </c>
      <c r="H527" s="22" t="n">
        <v>12</v>
      </c>
      <c r="I527" s="22" t="s">
        <v>6576</v>
      </c>
      <c r="J527" s="22" t="s">
        <v>6577</v>
      </c>
      <c r="K527" s="22" t="s">
        <v>6656</v>
      </c>
      <c r="L527" s="22" t="s">
        <v>5403</v>
      </c>
      <c r="M527" s="22" t="s">
        <v>5404</v>
      </c>
      <c r="N527" s="22" t="s">
        <v>483</v>
      </c>
      <c r="O527" s="22" t="n">
        <v>49.2</v>
      </c>
      <c r="P527" s="22" t="n">
        <v>7.55</v>
      </c>
      <c r="Q527" s="22" t="s">
        <v>7736</v>
      </c>
      <c r="R527" s="22"/>
    </row>
    <row r="528" customFormat="false" ht="15" hidden="false" customHeight="false" outlineLevel="0" collapsed="false">
      <c r="A528" s="22" t="s">
        <v>7737</v>
      </c>
      <c r="B528" s="22" t="s">
        <v>215</v>
      </c>
      <c r="C528" s="22" t="s">
        <v>7694</v>
      </c>
      <c r="D528" s="22" t="s">
        <v>6652</v>
      </c>
      <c r="E528" s="22" t="n">
        <v>28</v>
      </c>
      <c r="F528" s="22" t="s">
        <v>6574</v>
      </c>
      <c r="G528" s="22" t="s">
        <v>7696</v>
      </c>
      <c r="H528" s="22" t="n">
        <v>10</v>
      </c>
      <c r="I528" s="22" t="s">
        <v>6576</v>
      </c>
      <c r="J528" s="22" t="s">
        <v>6577</v>
      </c>
      <c r="K528" s="22" t="s">
        <v>6659</v>
      </c>
      <c r="L528" s="22" t="s">
        <v>4068</v>
      </c>
      <c r="M528" s="22" t="s">
        <v>4069</v>
      </c>
      <c r="N528" s="22" t="s">
        <v>871</v>
      </c>
      <c r="O528" s="22" t="n">
        <v>34.1</v>
      </c>
      <c r="P528" s="22" t="n">
        <v>7.55</v>
      </c>
      <c r="Q528" s="22" t="s">
        <v>7498</v>
      </c>
      <c r="R528" s="22"/>
    </row>
    <row r="529" customFormat="false" ht="15" hidden="false" customHeight="false" outlineLevel="0" collapsed="false">
      <c r="A529" s="22" t="s">
        <v>7738</v>
      </c>
      <c r="B529" s="22" t="s">
        <v>215</v>
      </c>
      <c r="C529" s="22" t="s">
        <v>7694</v>
      </c>
      <c r="D529" s="22" t="s">
        <v>6652</v>
      </c>
      <c r="E529" s="22" t="n">
        <v>40</v>
      </c>
      <c r="F529" s="22" t="s">
        <v>6581</v>
      </c>
      <c r="G529" s="22" t="s">
        <v>7696</v>
      </c>
      <c r="H529" s="22" t="n">
        <v>14</v>
      </c>
      <c r="I529" s="22" t="s">
        <v>6582</v>
      </c>
      <c r="J529" s="22" t="s">
        <v>6577</v>
      </c>
      <c r="K529" s="22" t="s">
        <v>6662</v>
      </c>
      <c r="L529" s="22" t="s">
        <v>1604</v>
      </c>
      <c r="M529" s="22" t="s">
        <v>1605</v>
      </c>
      <c r="N529" s="22" t="s">
        <v>538</v>
      </c>
      <c r="O529" s="22" t="n">
        <v>21.1</v>
      </c>
      <c r="P529" s="22" t="n">
        <v>7.55</v>
      </c>
      <c r="Q529" s="22" t="s">
        <v>6599</v>
      </c>
      <c r="R529" s="22"/>
    </row>
    <row r="530" customFormat="false" ht="15" hidden="false" customHeight="false" outlineLevel="0" collapsed="false">
      <c r="A530" s="22" t="s">
        <v>7739</v>
      </c>
      <c r="B530" s="22" t="s">
        <v>215</v>
      </c>
      <c r="C530" s="22" t="s">
        <v>7694</v>
      </c>
      <c r="D530" s="22" t="s">
        <v>6652</v>
      </c>
      <c r="E530" s="22" t="n">
        <v>60</v>
      </c>
      <c r="F530" s="22" t="s">
        <v>7695</v>
      </c>
      <c r="G530" s="22" t="s">
        <v>7696</v>
      </c>
      <c r="H530" s="22" t="n">
        <v>20</v>
      </c>
      <c r="I530" s="22" t="s">
        <v>7697</v>
      </c>
      <c r="J530" s="22" t="s">
        <v>6734</v>
      </c>
      <c r="K530" s="22"/>
      <c r="L530" s="22"/>
      <c r="M530" s="22"/>
      <c r="N530" s="22"/>
      <c r="O530" s="22"/>
      <c r="P530" s="22" t="n">
        <v>7.55</v>
      </c>
      <c r="Q530" s="22" t="s">
        <v>7740</v>
      </c>
      <c r="R530" s="22"/>
    </row>
    <row r="531" customFormat="false" ht="15" hidden="false" customHeight="false" outlineLevel="0" collapsed="false">
      <c r="A531" s="22" t="s">
        <v>7741</v>
      </c>
      <c r="B531" s="22" t="s">
        <v>215</v>
      </c>
      <c r="C531" s="22" t="s">
        <v>7694</v>
      </c>
      <c r="D531" s="22" t="s">
        <v>6652</v>
      </c>
      <c r="E531" s="22" t="n">
        <v>24</v>
      </c>
      <c r="F531" s="22" t="s">
        <v>6574</v>
      </c>
      <c r="G531" s="22" t="s">
        <v>7696</v>
      </c>
      <c r="H531" s="22" t="n">
        <v>9</v>
      </c>
      <c r="I531" s="22" t="s">
        <v>6576</v>
      </c>
      <c r="J531" s="22" t="s">
        <v>6577</v>
      </c>
      <c r="K531" s="22" t="s">
        <v>6668</v>
      </c>
      <c r="L531" s="22" t="s">
        <v>965</v>
      </c>
      <c r="M531" s="22" t="s">
        <v>966</v>
      </c>
      <c r="N531" s="22" t="s">
        <v>967</v>
      </c>
      <c r="O531" s="22" t="n">
        <v>35.2</v>
      </c>
      <c r="P531" s="22" t="n">
        <v>7.55</v>
      </c>
      <c r="Q531" s="22" t="s">
        <v>7742</v>
      </c>
      <c r="R531" s="22"/>
    </row>
    <row r="532" customFormat="false" ht="15" hidden="false" customHeight="false" outlineLevel="0" collapsed="false">
      <c r="A532" s="22" t="s">
        <v>7743</v>
      </c>
      <c r="B532" s="22" t="s">
        <v>215</v>
      </c>
      <c r="C532" s="22" t="s">
        <v>7694</v>
      </c>
      <c r="D532" s="22" t="s">
        <v>6652</v>
      </c>
      <c r="E532" s="22" t="n">
        <v>45</v>
      </c>
      <c r="F532" s="22" t="s">
        <v>7704</v>
      </c>
      <c r="G532" s="22" t="s">
        <v>7696</v>
      </c>
      <c r="H532" s="22" t="n">
        <v>16</v>
      </c>
      <c r="I532" s="22" t="s">
        <v>7705</v>
      </c>
      <c r="J532" s="22" t="s">
        <v>6577</v>
      </c>
      <c r="K532" s="22" t="s">
        <v>7350</v>
      </c>
      <c r="L532" s="22" t="s">
        <v>1464</v>
      </c>
      <c r="M532" s="22" t="s">
        <v>1465</v>
      </c>
      <c r="N532" s="22" t="s">
        <v>621</v>
      </c>
      <c r="O532" s="22" t="n">
        <v>42.1</v>
      </c>
      <c r="P532" s="22" t="n">
        <v>7.55</v>
      </c>
      <c r="Q532" s="22" t="s">
        <v>7744</v>
      </c>
      <c r="R532" s="22"/>
    </row>
    <row r="533" customFormat="false" ht="15" hidden="false" customHeight="false" outlineLevel="0" collapsed="false">
      <c r="A533" s="22" t="s">
        <v>7745</v>
      </c>
      <c r="B533" s="22" t="s">
        <v>215</v>
      </c>
      <c r="C533" s="22" t="s">
        <v>7694</v>
      </c>
      <c r="D533" s="22" t="s">
        <v>6652</v>
      </c>
      <c r="E533" s="22" t="n">
        <v>32</v>
      </c>
      <c r="F533" s="22" t="s">
        <v>6581</v>
      </c>
      <c r="G533" s="22" t="s">
        <v>7696</v>
      </c>
      <c r="H533" s="22" t="n">
        <v>12</v>
      </c>
      <c r="I533" s="22" t="s">
        <v>6576</v>
      </c>
      <c r="J533" s="22" t="s">
        <v>6577</v>
      </c>
      <c r="K533" s="22" t="s">
        <v>6674</v>
      </c>
      <c r="L533" s="22" t="s">
        <v>4996</v>
      </c>
      <c r="M533" s="22" t="s">
        <v>4997</v>
      </c>
      <c r="N533" s="22" t="s">
        <v>1077</v>
      </c>
      <c r="O533" s="22" t="n">
        <v>24.5</v>
      </c>
      <c r="P533" s="22" t="n">
        <v>7.55</v>
      </c>
      <c r="Q533" s="22" t="s">
        <v>7552</v>
      </c>
      <c r="R533" s="22"/>
    </row>
    <row r="534" customFormat="false" ht="15" hidden="false" customHeight="false" outlineLevel="0" collapsed="false">
      <c r="A534" s="22" t="s">
        <v>7746</v>
      </c>
      <c r="B534" s="22" t="s">
        <v>215</v>
      </c>
      <c r="C534" s="22" t="s">
        <v>7694</v>
      </c>
      <c r="D534" s="22" t="s">
        <v>6652</v>
      </c>
      <c r="E534" s="22" t="n">
        <v>36</v>
      </c>
      <c r="F534" s="22" t="s">
        <v>6581</v>
      </c>
      <c r="G534" s="22" t="s">
        <v>7696</v>
      </c>
      <c r="H534" s="22" t="n">
        <v>13</v>
      </c>
      <c r="I534" s="22" t="s">
        <v>6582</v>
      </c>
      <c r="J534" s="22" t="s">
        <v>6577</v>
      </c>
      <c r="K534" s="22" t="s">
        <v>6677</v>
      </c>
      <c r="L534" s="22" t="s">
        <v>4062</v>
      </c>
      <c r="M534" s="22" t="s">
        <v>4063</v>
      </c>
      <c r="N534" s="22" t="s">
        <v>364</v>
      </c>
      <c r="O534" s="22" t="n">
        <v>30.4</v>
      </c>
      <c r="P534" s="22" t="n">
        <v>7.55</v>
      </c>
      <c r="Q534" s="22" t="s">
        <v>7747</v>
      </c>
      <c r="R534" s="22"/>
    </row>
    <row r="535" customFormat="false" ht="15" hidden="false" customHeight="false" outlineLevel="0" collapsed="false">
      <c r="A535" s="22" t="s">
        <v>7748</v>
      </c>
      <c r="B535" s="22" t="s">
        <v>215</v>
      </c>
      <c r="C535" s="22" t="s">
        <v>7694</v>
      </c>
      <c r="D535" s="22" t="s">
        <v>6652</v>
      </c>
      <c r="E535" s="22" t="n">
        <v>24</v>
      </c>
      <c r="F535" s="22" t="s">
        <v>6574</v>
      </c>
      <c r="G535" s="22" t="s">
        <v>7696</v>
      </c>
      <c r="H535" s="22" t="n">
        <v>9</v>
      </c>
      <c r="I535" s="22" t="s">
        <v>6576</v>
      </c>
      <c r="J535" s="22" t="s">
        <v>6577</v>
      </c>
      <c r="K535" s="22" t="s">
        <v>6680</v>
      </c>
      <c r="L535" s="22" t="s">
        <v>2041</v>
      </c>
      <c r="M535" s="22" t="s">
        <v>2042</v>
      </c>
      <c r="N535" s="22" t="s">
        <v>495</v>
      </c>
      <c r="O535" s="22" t="n">
        <v>39.6</v>
      </c>
      <c r="P535" s="22" t="n">
        <v>7.55</v>
      </c>
      <c r="Q535" s="22" t="s">
        <v>7362</v>
      </c>
      <c r="R535" s="22"/>
    </row>
    <row r="536" customFormat="false" ht="15" hidden="false" customHeight="false" outlineLevel="0" collapsed="false">
      <c r="A536" s="22" t="s">
        <v>7749</v>
      </c>
      <c r="B536" s="22" t="s">
        <v>215</v>
      </c>
      <c r="C536" s="22" t="s">
        <v>7694</v>
      </c>
      <c r="D536" s="22" t="s">
        <v>6652</v>
      </c>
      <c r="E536" s="22" t="n">
        <v>50</v>
      </c>
      <c r="F536" s="22" t="s">
        <v>7704</v>
      </c>
      <c r="G536" s="22" t="s">
        <v>7696</v>
      </c>
      <c r="H536" s="22" t="n">
        <v>18</v>
      </c>
      <c r="I536" s="22" t="s">
        <v>7705</v>
      </c>
      <c r="J536" s="22" t="s">
        <v>6577</v>
      </c>
      <c r="K536" s="22" t="s">
        <v>7357</v>
      </c>
      <c r="L536" s="22" t="s">
        <v>3019</v>
      </c>
      <c r="M536" s="22" t="s">
        <v>3020</v>
      </c>
      <c r="N536" s="22" t="s">
        <v>1572</v>
      </c>
      <c r="O536" s="22" t="n">
        <v>41.5</v>
      </c>
      <c r="P536" s="22" t="n">
        <v>7.55</v>
      </c>
      <c r="Q536" s="22" t="s">
        <v>7750</v>
      </c>
      <c r="R536" s="22"/>
    </row>
    <row r="537" customFormat="false" ht="15" hidden="false" customHeight="false" outlineLevel="0" collapsed="false">
      <c r="A537" s="22" t="s">
        <v>7751</v>
      </c>
      <c r="B537" s="22" t="s">
        <v>215</v>
      </c>
      <c r="C537" s="22" t="s">
        <v>7694</v>
      </c>
      <c r="D537" s="22" t="s">
        <v>6652</v>
      </c>
      <c r="E537" s="22" t="n">
        <v>32</v>
      </c>
      <c r="F537" s="22" t="s">
        <v>6581</v>
      </c>
      <c r="G537" s="22" t="s">
        <v>7696</v>
      </c>
      <c r="H537" s="22" t="n">
        <v>12</v>
      </c>
      <c r="I537" s="22" t="s">
        <v>6576</v>
      </c>
      <c r="J537" s="22" t="s">
        <v>6577</v>
      </c>
      <c r="K537" s="22" t="s">
        <v>6685</v>
      </c>
      <c r="L537" s="22" t="s">
        <v>1709</v>
      </c>
      <c r="M537" s="22" t="s">
        <v>1710</v>
      </c>
      <c r="N537" s="22" t="s">
        <v>841</v>
      </c>
      <c r="O537" s="22" t="n">
        <v>19.5</v>
      </c>
      <c r="P537" s="22" t="n">
        <v>7.55</v>
      </c>
      <c r="Q537" s="22" t="s">
        <v>6722</v>
      </c>
      <c r="R537" s="22"/>
    </row>
    <row r="538" customFormat="false" ht="15" hidden="false" customHeight="false" outlineLevel="0" collapsed="false">
      <c r="A538" s="22" t="s">
        <v>7752</v>
      </c>
      <c r="B538" s="22" t="s">
        <v>215</v>
      </c>
      <c r="C538" s="22" t="s">
        <v>7694</v>
      </c>
      <c r="D538" s="22" t="s">
        <v>6652</v>
      </c>
      <c r="E538" s="22" t="n">
        <v>28</v>
      </c>
      <c r="F538" s="22" t="s">
        <v>6574</v>
      </c>
      <c r="G538" s="22" t="s">
        <v>7696</v>
      </c>
      <c r="H538" s="22" t="n">
        <v>10</v>
      </c>
      <c r="I538" s="22" t="s">
        <v>6576</v>
      </c>
      <c r="J538" s="22" t="s">
        <v>6613</v>
      </c>
      <c r="K538" s="22"/>
      <c r="L538" s="22"/>
      <c r="M538" s="22"/>
      <c r="N538" s="22"/>
      <c r="O538" s="22"/>
      <c r="P538" s="22" t="n">
        <v>7.55</v>
      </c>
      <c r="Q538" s="22" t="s">
        <v>7753</v>
      </c>
      <c r="R538" s="22"/>
    </row>
    <row r="539" customFormat="false" ht="15" hidden="false" customHeight="false" outlineLevel="0" collapsed="false">
      <c r="A539" s="22" t="s">
        <v>7754</v>
      </c>
      <c r="B539" s="22" t="s">
        <v>215</v>
      </c>
      <c r="C539" s="22" t="s">
        <v>7694</v>
      </c>
      <c r="D539" s="22" t="s">
        <v>6652</v>
      </c>
      <c r="E539" s="22" t="n">
        <v>60</v>
      </c>
      <c r="F539" s="22" t="s">
        <v>7695</v>
      </c>
      <c r="G539" s="22" t="s">
        <v>7696</v>
      </c>
      <c r="H539" s="22" t="n">
        <v>20</v>
      </c>
      <c r="I539" s="22" t="s">
        <v>7697</v>
      </c>
      <c r="J539" s="22" t="s">
        <v>6577</v>
      </c>
      <c r="K539" s="22" t="s">
        <v>6691</v>
      </c>
      <c r="L539" s="22" t="s">
        <v>1860</v>
      </c>
      <c r="M539" s="22" t="s">
        <v>1861</v>
      </c>
      <c r="N539" s="22" t="s">
        <v>1857</v>
      </c>
      <c r="O539" s="22" t="n">
        <v>23.2</v>
      </c>
      <c r="P539" s="22" t="n">
        <v>7.55</v>
      </c>
      <c r="Q539" s="22" t="s">
        <v>7755</v>
      </c>
      <c r="R539" s="22"/>
    </row>
    <row r="540" customFormat="false" ht="15" hidden="false" customHeight="false" outlineLevel="0" collapsed="false">
      <c r="A540" s="22" t="s">
        <v>7756</v>
      </c>
      <c r="B540" s="22" t="s">
        <v>215</v>
      </c>
      <c r="C540" s="22" t="s">
        <v>7694</v>
      </c>
      <c r="D540" s="22" t="s">
        <v>6652</v>
      </c>
      <c r="E540" s="22" t="n">
        <v>32</v>
      </c>
      <c r="F540" s="22" t="s">
        <v>6581</v>
      </c>
      <c r="G540" s="22" t="s">
        <v>7696</v>
      </c>
      <c r="H540" s="22" t="n">
        <v>12</v>
      </c>
      <c r="I540" s="22" t="s">
        <v>6576</v>
      </c>
      <c r="J540" s="22" t="s">
        <v>6577</v>
      </c>
      <c r="K540" s="22" t="s">
        <v>6694</v>
      </c>
      <c r="L540" s="22" t="s">
        <v>6079</v>
      </c>
      <c r="M540" s="22" t="s">
        <v>6080</v>
      </c>
      <c r="N540" s="22" t="s">
        <v>1695</v>
      </c>
      <c r="O540" s="22" t="n">
        <v>20.4</v>
      </c>
      <c r="P540" s="22" t="n">
        <v>7.55</v>
      </c>
      <c r="Q540" s="22" t="s">
        <v>6934</v>
      </c>
      <c r="R540" s="22"/>
    </row>
    <row r="541" customFormat="false" ht="15" hidden="false" customHeight="false" outlineLevel="0" collapsed="false">
      <c r="A541" s="22" t="s">
        <v>7757</v>
      </c>
      <c r="B541" s="22" t="s">
        <v>215</v>
      </c>
      <c r="C541" s="22" t="s">
        <v>7694</v>
      </c>
      <c r="D541" s="22" t="s">
        <v>6652</v>
      </c>
      <c r="E541" s="22" t="n">
        <v>50</v>
      </c>
      <c r="F541" s="22" t="s">
        <v>7704</v>
      </c>
      <c r="G541" s="22" t="s">
        <v>7696</v>
      </c>
      <c r="H541" s="22" t="n">
        <v>18</v>
      </c>
      <c r="I541" s="22" t="s">
        <v>7705</v>
      </c>
      <c r="J541" s="22" t="s">
        <v>6577</v>
      </c>
      <c r="K541" s="22" t="s">
        <v>6697</v>
      </c>
      <c r="L541" s="22" t="s">
        <v>1136</v>
      </c>
      <c r="M541" s="22" t="s">
        <v>1137</v>
      </c>
      <c r="N541" s="22" t="s">
        <v>1138</v>
      </c>
      <c r="O541" s="22" t="n">
        <v>42.6</v>
      </c>
      <c r="P541" s="22" t="n">
        <v>7.55</v>
      </c>
      <c r="Q541" s="22" t="s">
        <v>6893</v>
      </c>
      <c r="R541" s="22"/>
    </row>
    <row r="542" customFormat="false" ht="15" hidden="false" customHeight="false" outlineLevel="0" collapsed="false">
      <c r="A542" s="22" t="s">
        <v>7758</v>
      </c>
      <c r="B542" s="22" t="s">
        <v>215</v>
      </c>
      <c r="C542" s="22" t="s">
        <v>7694</v>
      </c>
      <c r="D542" s="22" t="s">
        <v>6652</v>
      </c>
      <c r="E542" s="22" t="n">
        <v>32</v>
      </c>
      <c r="F542" s="22" t="s">
        <v>6581</v>
      </c>
      <c r="G542" s="22" t="s">
        <v>7696</v>
      </c>
      <c r="H542" s="22" t="n">
        <v>12</v>
      </c>
      <c r="I542" s="22" t="s">
        <v>6576</v>
      </c>
      <c r="J542" s="22" t="s">
        <v>6577</v>
      </c>
      <c r="K542" s="22" t="s">
        <v>6700</v>
      </c>
      <c r="L542" s="22" t="s">
        <v>1652</v>
      </c>
      <c r="M542" s="22" t="s">
        <v>1653</v>
      </c>
      <c r="N542" s="22" t="s">
        <v>835</v>
      </c>
      <c r="O542" s="22" t="n">
        <v>32.9</v>
      </c>
      <c r="P542" s="22" t="n">
        <v>7.55</v>
      </c>
      <c r="Q542" s="22" t="s">
        <v>7759</v>
      </c>
      <c r="R542" s="22"/>
    </row>
    <row r="543" customFormat="false" ht="15" hidden="false" customHeight="false" outlineLevel="0" collapsed="false">
      <c r="A543" s="22" t="s">
        <v>7760</v>
      </c>
      <c r="B543" s="22" t="s">
        <v>215</v>
      </c>
      <c r="C543" s="22" t="s">
        <v>7694</v>
      </c>
      <c r="D543" s="22" t="s">
        <v>6652</v>
      </c>
      <c r="E543" s="22" t="n">
        <v>36</v>
      </c>
      <c r="F543" s="22" t="s">
        <v>6581</v>
      </c>
      <c r="G543" s="22" t="s">
        <v>7696</v>
      </c>
      <c r="H543" s="22" t="n">
        <v>13</v>
      </c>
      <c r="I543" s="22" t="s">
        <v>6582</v>
      </c>
      <c r="J543" s="22" t="s">
        <v>6577</v>
      </c>
      <c r="K543" s="22" t="s">
        <v>6703</v>
      </c>
      <c r="L543" s="22" t="s">
        <v>195</v>
      </c>
      <c r="M543" s="22" t="s">
        <v>196</v>
      </c>
      <c r="N543" s="22" t="s">
        <v>197</v>
      </c>
      <c r="O543" s="22" t="n">
        <v>23</v>
      </c>
      <c r="P543" s="22" t="n">
        <v>7.55</v>
      </c>
      <c r="Q543" s="22" t="s">
        <v>7034</v>
      </c>
      <c r="R543" s="22"/>
    </row>
    <row r="544" customFormat="false" ht="15" hidden="false" customHeight="false" outlineLevel="0" collapsed="false">
      <c r="A544" s="22" t="s">
        <v>7761</v>
      </c>
      <c r="B544" s="22" t="s">
        <v>215</v>
      </c>
      <c r="C544" s="22" t="s">
        <v>7694</v>
      </c>
      <c r="D544" s="22" t="s">
        <v>6652</v>
      </c>
      <c r="E544" s="22" t="n">
        <v>70</v>
      </c>
      <c r="F544" s="22" t="s">
        <v>7695</v>
      </c>
      <c r="G544" s="22" t="s">
        <v>7696</v>
      </c>
      <c r="H544" s="22" t="n">
        <v>22</v>
      </c>
      <c r="I544" s="22" t="s">
        <v>7697</v>
      </c>
      <c r="J544" s="22" t="s">
        <v>6577</v>
      </c>
      <c r="K544" s="22" t="s">
        <v>6706</v>
      </c>
      <c r="L544" s="22" t="s">
        <v>3175</v>
      </c>
      <c r="M544" s="22" t="s">
        <v>3176</v>
      </c>
      <c r="N544" s="22" t="s">
        <v>3177</v>
      </c>
      <c r="O544" s="22" t="n">
        <v>21.3</v>
      </c>
      <c r="P544" s="22" t="n">
        <v>7.55</v>
      </c>
      <c r="Q544" s="22" t="s">
        <v>7762</v>
      </c>
      <c r="R544" s="22"/>
    </row>
    <row r="545" customFormat="false" ht="15" hidden="false" customHeight="false" outlineLevel="0" collapsed="false">
      <c r="A545" s="22" t="s">
        <v>7763</v>
      </c>
      <c r="B545" s="22" t="s">
        <v>215</v>
      </c>
      <c r="C545" s="22" t="s">
        <v>7694</v>
      </c>
      <c r="D545" s="22" t="s">
        <v>6652</v>
      </c>
      <c r="E545" s="22" t="n">
        <v>40</v>
      </c>
      <c r="F545" s="22" t="s">
        <v>6581</v>
      </c>
      <c r="G545" s="22" t="s">
        <v>7696</v>
      </c>
      <c r="H545" s="22" t="n">
        <v>14</v>
      </c>
      <c r="I545" s="22" t="s">
        <v>6582</v>
      </c>
      <c r="J545" s="22" t="s">
        <v>6577</v>
      </c>
      <c r="K545" s="22" t="s">
        <v>6709</v>
      </c>
      <c r="L545" s="22" t="s">
        <v>746</v>
      </c>
      <c r="M545" s="22" t="s">
        <v>747</v>
      </c>
      <c r="N545" s="22" t="s">
        <v>648</v>
      </c>
      <c r="O545" s="22" t="n">
        <v>22.1</v>
      </c>
      <c r="P545" s="22" t="n">
        <v>7.55</v>
      </c>
      <c r="Q545" s="22" t="s">
        <v>6976</v>
      </c>
      <c r="R545" s="22"/>
    </row>
    <row r="546" customFormat="false" ht="15" hidden="false" customHeight="false" outlineLevel="0" collapsed="false">
      <c r="A546" s="22" t="s">
        <v>7764</v>
      </c>
      <c r="B546" s="22" t="s">
        <v>215</v>
      </c>
      <c r="C546" s="22" t="s">
        <v>7694</v>
      </c>
      <c r="D546" s="22" t="s">
        <v>6652</v>
      </c>
      <c r="E546" s="22" t="n">
        <v>28</v>
      </c>
      <c r="F546" s="22" t="s">
        <v>6574</v>
      </c>
      <c r="G546" s="22" t="s">
        <v>7696</v>
      </c>
      <c r="H546" s="22" t="n">
        <v>10</v>
      </c>
      <c r="I546" s="22" t="s">
        <v>6576</v>
      </c>
      <c r="J546" s="22" t="s">
        <v>6577</v>
      </c>
      <c r="K546" s="22" t="s">
        <v>6712</v>
      </c>
      <c r="L546" s="22" t="s">
        <v>4004</v>
      </c>
      <c r="M546" s="22" t="s">
        <v>4005</v>
      </c>
      <c r="N546" s="22" t="s">
        <v>1204</v>
      </c>
      <c r="O546" s="22" t="n">
        <v>57.1</v>
      </c>
      <c r="P546" s="22" t="n">
        <v>7.55</v>
      </c>
      <c r="Q546" s="22" t="s">
        <v>6614</v>
      </c>
      <c r="R546" s="22"/>
    </row>
    <row r="547" customFormat="false" ht="15" hidden="false" customHeight="false" outlineLevel="0" collapsed="false">
      <c r="A547" s="22" t="s">
        <v>7765</v>
      </c>
      <c r="B547" s="22" t="s">
        <v>215</v>
      </c>
      <c r="C547" s="22" t="s">
        <v>7694</v>
      </c>
      <c r="D547" s="22" t="s">
        <v>6652</v>
      </c>
      <c r="E547" s="22" t="n">
        <v>24</v>
      </c>
      <c r="F547" s="22" t="s">
        <v>6574</v>
      </c>
      <c r="G547" s="22" t="s">
        <v>7696</v>
      </c>
      <c r="H547" s="22" t="n">
        <v>9</v>
      </c>
      <c r="I547" s="22" t="s">
        <v>6576</v>
      </c>
      <c r="J547" s="22" t="s">
        <v>6577</v>
      </c>
      <c r="K547" s="22" t="s">
        <v>6715</v>
      </c>
      <c r="L547" s="22" t="s">
        <v>4546</v>
      </c>
      <c r="M547" s="22" t="s">
        <v>4547</v>
      </c>
      <c r="N547" s="22" t="s">
        <v>275</v>
      </c>
      <c r="O547" s="22" t="n">
        <v>29.3</v>
      </c>
      <c r="P547" s="22" t="n">
        <v>7.55</v>
      </c>
      <c r="Q547" s="22" t="s">
        <v>7766</v>
      </c>
      <c r="R547" s="22"/>
    </row>
    <row r="548" customFormat="false" ht="15" hidden="false" customHeight="false" outlineLevel="0" collapsed="false">
      <c r="A548" s="22" t="s">
        <v>7767</v>
      </c>
      <c r="B548" s="22" t="s">
        <v>215</v>
      </c>
      <c r="C548" s="22" t="s">
        <v>7694</v>
      </c>
      <c r="D548" s="22" t="s">
        <v>6652</v>
      </c>
      <c r="E548" s="22" t="n">
        <v>36</v>
      </c>
      <c r="F548" s="22" t="s">
        <v>6581</v>
      </c>
      <c r="G548" s="22" t="s">
        <v>7696</v>
      </c>
      <c r="H548" s="22" t="n">
        <v>13</v>
      </c>
      <c r="I548" s="22" t="s">
        <v>6582</v>
      </c>
      <c r="J548" s="22" t="s">
        <v>6577</v>
      </c>
      <c r="K548" s="22" t="s">
        <v>6718</v>
      </c>
      <c r="L548" s="22" t="s">
        <v>2517</v>
      </c>
      <c r="M548" s="22" t="s">
        <v>2518</v>
      </c>
      <c r="N548" s="22" t="s">
        <v>1956</v>
      </c>
      <c r="O548" s="22" t="n">
        <v>19</v>
      </c>
      <c r="P548" s="22" t="n">
        <v>7.55</v>
      </c>
      <c r="Q548" s="22" t="s">
        <v>7018</v>
      </c>
      <c r="R548" s="22"/>
    </row>
    <row r="549" customFormat="false" ht="15" hidden="false" customHeight="false" outlineLevel="0" collapsed="false">
      <c r="A549" s="22" t="s">
        <v>7768</v>
      </c>
      <c r="B549" s="22" t="s">
        <v>215</v>
      </c>
      <c r="C549" s="22" t="s">
        <v>7694</v>
      </c>
      <c r="D549" s="22" t="s">
        <v>6652</v>
      </c>
      <c r="E549" s="22" t="n">
        <v>24</v>
      </c>
      <c r="F549" s="22" t="s">
        <v>6574</v>
      </c>
      <c r="G549" s="22" t="s">
        <v>7696</v>
      </c>
      <c r="H549" s="22" t="n">
        <v>9</v>
      </c>
      <c r="I549" s="22" t="s">
        <v>6576</v>
      </c>
      <c r="J549" s="22" t="s">
        <v>6577</v>
      </c>
      <c r="K549" s="22" t="s">
        <v>6721</v>
      </c>
      <c r="L549" s="22" t="s">
        <v>534</v>
      </c>
      <c r="M549" s="22" t="s">
        <v>535</v>
      </c>
      <c r="N549" s="22" t="s">
        <v>312</v>
      </c>
      <c r="O549" s="22" t="n">
        <v>49.6</v>
      </c>
      <c r="P549" s="22" t="n">
        <v>7.55</v>
      </c>
      <c r="Q549" s="22" t="s">
        <v>6678</v>
      </c>
      <c r="R549" s="22"/>
    </row>
    <row r="550" customFormat="false" ht="15" hidden="false" customHeight="false" outlineLevel="0" collapsed="false">
      <c r="A550" s="22" t="s">
        <v>7769</v>
      </c>
      <c r="B550" s="22" t="s">
        <v>215</v>
      </c>
      <c r="C550" s="22" t="s">
        <v>7694</v>
      </c>
      <c r="D550" s="22" t="s">
        <v>6724</v>
      </c>
      <c r="E550" s="22" t="n">
        <v>28</v>
      </c>
      <c r="F550" s="22" t="s">
        <v>6574</v>
      </c>
      <c r="G550" s="22" t="s">
        <v>7696</v>
      </c>
      <c r="H550" s="22" t="n">
        <v>10</v>
      </c>
      <c r="I550" s="22" t="s">
        <v>6576</v>
      </c>
      <c r="J550" s="22" t="s">
        <v>6901</v>
      </c>
      <c r="K550" s="22"/>
      <c r="L550" s="22"/>
      <c r="M550" s="22"/>
      <c r="N550" s="22"/>
      <c r="O550" s="22"/>
      <c r="P550" s="22" t="n">
        <v>7.55</v>
      </c>
      <c r="Q550" s="22" t="s">
        <v>7770</v>
      </c>
      <c r="R550" s="22"/>
    </row>
    <row r="551" customFormat="false" ht="15" hidden="false" customHeight="false" outlineLevel="0" collapsed="false">
      <c r="A551" s="22" t="s">
        <v>7771</v>
      </c>
      <c r="B551" s="22" t="s">
        <v>215</v>
      </c>
      <c r="C551" s="22" t="s">
        <v>7694</v>
      </c>
      <c r="D551" s="22" t="s">
        <v>6724</v>
      </c>
      <c r="E551" s="22" t="n">
        <v>40</v>
      </c>
      <c r="F551" s="22" t="s">
        <v>6581</v>
      </c>
      <c r="G551" s="22" t="s">
        <v>7696</v>
      </c>
      <c r="H551" s="22" t="n">
        <v>14</v>
      </c>
      <c r="I551" s="22" t="s">
        <v>6582</v>
      </c>
      <c r="J551" s="22" t="s">
        <v>6577</v>
      </c>
      <c r="K551" s="22" t="s">
        <v>6728</v>
      </c>
      <c r="L551" s="22" t="s">
        <v>2440</v>
      </c>
      <c r="M551" s="22" t="s">
        <v>2441</v>
      </c>
      <c r="N551" s="22" t="s">
        <v>2001</v>
      </c>
      <c r="O551" s="22" t="n">
        <v>49.2</v>
      </c>
      <c r="P551" s="22" t="n">
        <v>7.55</v>
      </c>
      <c r="Q551" s="22" t="s">
        <v>7461</v>
      </c>
      <c r="R551" s="22"/>
    </row>
    <row r="552" customFormat="false" ht="15" hidden="false" customHeight="false" outlineLevel="0" collapsed="false">
      <c r="A552" s="22" t="s">
        <v>7772</v>
      </c>
      <c r="B552" s="22" t="s">
        <v>215</v>
      </c>
      <c r="C552" s="22" t="s">
        <v>7694</v>
      </c>
      <c r="D552" s="22" t="s">
        <v>6724</v>
      </c>
      <c r="E552" s="22" t="n">
        <v>40</v>
      </c>
      <c r="F552" s="22" t="s">
        <v>6581</v>
      </c>
      <c r="G552" s="22" t="s">
        <v>7696</v>
      </c>
      <c r="H552" s="22" t="n">
        <v>14</v>
      </c>
      <c r="I552" s="22" t="s">
        <v>6582</v>
      </c>
      <c r="J552" s="22" t="s">
        <v>6577</v>
      </c>
      <c r="K552" s="22" t="s">
        <v>6731</v>
      </c>
      <c r="L552" s="22" t="s">
        <v>437</v>
      </c>
      <c r="M552" s="22" t="s">
        <v>438</v>
      </c>
      <c r="N552" s="22" t="s">
        <v>439</v>
      </c>
      <c r="O552" s="22" t="n">
        <v>29.4</v>
      </c>
      <c r="P552" s="22" t="n">
        <v>7.55</v>
      </c>
      <c r="Q552" s="22" t="s">
        <v>7773</v>
      </c>
      <c r="R552" s="22"/>
    </row>
    <row r="553" customFormat="false" ht="15" hidden="false" customHeight="false" outlineLevel="0" collapsed="false">
      <c r="A553" s="22" t="s">
        <v>7774</v>
      </c>
      <c r="B553" s="22" t="s">
        <v>215</v>
      </c>
      <c r="C553" s="22" t="s">
        <v>7694</v>
      </c>
      <c r="D553" s="22" t="s">
        <v>6724</v>
      </c>
      <c r="E553" s="22" t="n">
        <v>36</v>
      </c>
      <c r="F553" s="22" t="s">
        <v>6581</v>
      </c>
      <c r="G553" s="22" t="s">
        <v>7696</v>
      </c>
      <c r="H553" s="22" t="n">
        <v>13</v>
      </c>
      <c r="I553" s="22" t="s">
        <v>6582</v>
      </c>
      <c r="J553" s="22" t="s">
        <v>6577</v>
      </c>
      <c r="K553" s="22" t="s">
        <v>7383</v>
      </c>
      <c r="L553" s="22" t="s">
        <v>6182</v>
      </c>
      <c r="M553" s="22" t="s">
        <v>6183</v>
      </c>
      <c r="N553" s="22" t="s">
        <v>616</v>
      </c>
      <c r="O553" s="22" t="n">
        <v>39.1</v>
      </c>
      <c r="P553" s="22" t="n">
        <v>7.55</v>
      </c>
      <c r="Q553" s="22" t="s">
        <v>6623</v>
      </c>
      <c r="R553" s="22"/>
    </row>
    <row r="554" customFormat="false" ht="15" hidden="false" customHeight="false" outlineLevel="0" collapsed="false">
      <c r="A554" s="22" t="s">
        <v>7775</v>
      </c>
      <c r="B554" s="22" t="s">
        <v>215</v>
      </c>
      <c r="C554" s="22" t="s">
        <v>7694</v>
      </c>
      <c r="D554" s="22" t="s">
        <v>6724</v>
      </c>
      <c r="E554" s="22" t="n">
        <v>40</v>
      </c>
      <c r="F554" s="22" t="s">
        <v>6581</v>
      </c>
      <c r="G554" s="22" t="s">
        <v>7696</v>
      </c>
      <c r="H554" s="22" t="n">
        <v>14</v>
      </c>
      <c r="I554" s="22" t="s">
        <v>6582</v>
      </c>
      <c r="J554" s="22" t="s">
        <v>6577</v>
      </c>
      <c r="K554" s="22" t="s">
        <v>6737</v>
      </c>
      <c r="L554" s="22" t="s">
        <v>3866</v>
      </c>
      <c r="M554" s="22" t="s">
        <v>3867</v>
      </c>
      <c r="N554" s="22" t="s">
        <v>2503</v>
      </c>
      <c r="O554" s="22" t="n">
        <v>61.9</v>
      </c>
      <c r="P554" s="22" t="n">
        <v>7.55</v>
      </c>
      <c r="Q554" s="22" t="s">
        <v>7776</v>
      </c>
      <c r="R554" s="22"/>
    </row>
    <row r="555" customFormat="false" ht="15" hidden="false" customHeight="false" outlineLevel="0" collapsed="false">
      <c r="A555" s="22" t="s">
        <v>7777</v>
      </c>
      <c r="B555" s="22" t="s">
        <v>215</v>
      </c>
      <c r="C555" s="22" t="s">
        <v>7694</v>
      </c>
      <c r="D555" s="22" t="s">
        <v>6724</v>
      </c>
      <c r="E555" s="22" t="n">
        <v>50</v>
      </c>
      <c r="F555" s="22" t="s">
        <v>7704</v>
      </c>
      <c r="G555" s="22" t="s">
        <v>7696</v>
      </c>
      <c r="H555" s="22" t="n">
        <v>18</v>
      </c>
      <c r="I555" s="22" t="s">
        <v>7705</v>
      </c>
      <c r="J555" s="22" t="s">
        <v>6577</v>
      </c>
      <c r="K555" s="22" t="s">
        <v>6740</v>
      </c>
      <c r="L555" s="22" t="s">
        <v>2331</v>
      </c>
      <c r="M555" s="22" t="s">
        <v>2332</v>
      </c>
      <c r="N555" s="22" t="s">
        <v>632</v>
      </c>
      <c r="O555" s="22" t="n">
        <v>21</v>
      </c>
      <c r="P555" s="22" t="n">
        <v>7.55</v>
      </c>
      <c r="Q555" s="22" t="s">
        <v>6632</v>
      </c>
      <c r="R555" s="22"/>
    </row>
    <row r="556" customFormat="false" ht="15" hidden="false" customHeight="false" outlineLevel="0" collapsed="false">
      <c r="A556" s="22" t="s">
        <v>7778</v>
      </c>
      <c r="B556" s="22" t="s">
        <v>215</v>
      </c>
      <c r="C556" s="22" t="s">
        <v>7694</v>
      </c>
      <c r="D556" s="22" t="s">
        <v>6724</v>
      </c>
      <c r="E556" s="22" t="n">
        <v>70</v>
      </c>
      <c r="F556" s="22" t="s">
        <v>7695</v>
      </c>
      <c r="G556" s="22" t="s">
        <v>7696</v>
      </c>
      <c r="H556" s="22" t="n">
        <v>22</v>
      </c>
      <c r="I556" s="22" t="s">
        <v>7697</v>
      </c>
      <c r="J556" s="22" t="s">
        <v>6577</v>
      </c>
      <c r="K556" s="22" t="s">
        <v>6743</v>
      </c>
      <c r="L556" s="22" t="s">
        <v>691</v>
      </c>
      <c r="M556" s="22" t="s">
        <v>692</v>
      </c>
      <c r="N556" s="22" t="s">
        <v>519</v>
      </c>
      <c r="O556" s="22" t="n">
        <v>19.3</v>
      </c>
      <c r="P556" s="22" t="n">
        <v>7.55</v>
      </c>
      <c r="Q556" s="22" t="s">
        <v>7248</v>
      </c>
      <c r="R556" s="22"/>
    </row>
    <row r="557" customFormat="false" ht="15" hidden="false" customHeight="false" outlineLevel="0" collapsed="false">
      <c r="A557" s="22" t="s">
        <v>7779</v>
      </c>
      <c r="B557" s="22" t="s">
        <v>215</v>
      </c>
      <c r="C557" s="22" t="s">
        <v>7694</v>
      </c>
      <c r="D557" s="22" t="s">
        <v>6724</v>
      </c>
      <c r="E557" s="22" t="n">
        <v>28</v>
      </c>
      <c r="F557" s="22" t="s">
        <v>6574</v>
      </c>
      <c r="G557" s="22" t="s">
        <v>7696</v>
      </c>
      <c r="H557" s="22" t="n">
        <v>10</v>
      </c>
      <c r="I557" s="22" t="s">
        <v>6576</v>
      </c>
      <c r="J557" s="22" t="s">
        <v>6577</v>
      </c>
      <c r="K557" s="22" t="s">
        <v>7391</v>
      </c>
      <c r="L557" s="22" t="s">
        <v>2878</v>
      </c>
      <c r="M557" s="22" t="s">
        <v>2879</v>
      </c>
      <c r="N557" s="22" t="s">
        <v>278</v>
      </c>
      <c r="O557" s="22" t="n">
        <v>26.7</v>
      </c>
      <c r="P557" s="22" t="n">
        <v>7.55</v>
      </c>
      <c r="Q557" s="22" t="s">
        <v>7780</v>
      </c>
      <c r="R557" s="22"/>
    </row>
    <row r="558" customFormat="false" ht="15" hidden="false" customHeight="false" outlineLevel="0" collapsed="false">
      <c r="A558" s="22" t="s">
        <v>7781</v>
      </c>
      <c r="B558" s="22" t="s">
        <v>215</v>
      </c>
      <c r="C558" s="22" t="s">
        <v>7694</v>
      </c>
      <c r="D558" s="22" t="s">
        <v>6724</v>
      </c>
      <c r="E558" s="22" t="n">
        <v>50</v>
      </c>
      <c r="F558" s="22" t="s">
        <v>7704</v>
      </c>
      <c r="G558" s="22" t="s">
        <v>7696</v>
      </c>
      <c r="H558" s="22" t="n">
        <v>18</v>
      </c>
      <c r="I558" s="22" t="s">
        <v>7705</v>
      </c>
      <c r="J558" s="22" t="s">
        <v>6577</v>
      </c>
      <c r="K558" s="22" t="s">
        <v>6748</v>
      </c>
      <c r="L558" s="22" t="s">
        <v>2556</v>
      </c>
      <c r="M558" s="22" t="s">
        <v>2557</v>
      </c>
      <c r="N558" s="22" t="s">
        <v>498</v>
      </c>
      <c r="O558" s="22" t="n">
        <v>43.4</v>
      </c>
      <c r="P558" s="22" t="n">
        <v>7.55</v>
      </c>
      <c r="Q558" s="22" t="s">
        <v>7782</v>
      </c>
      <c r="R558" s="22"/>
    </row>
    <row r="559" customFormat="false" ht="15" hidden="false" customHeight="false" outlineLevel="0" collapsed="false">
      <c r="A559" s="22" t="s">
        <v>7783</v>
      </c>
      <c r="B559" s="22" t="s">
        <v>215</v>
      </c>
      <c r="C559" s="22" t="s">
        <v>7694</v>
      </c>
      <c r="D559" s="22" t="s">
        <v>6724</v>
      </c>
      <c r="E559" s="22" t="n">
        <v>24</v>
      </c>
      <c r="F559" s="22" t="s">
        <v>6574</v>
      </c>
      <c r="G559" s="22" t="s">
        <v>7696</v>
      </c>
      <c r="H559" s="22" t="n">
        <v>9</v>
      </c>
      <c r="I559" s="22" t="s">
        <v>6576</v>
      </c>
      <c r="J559" s="22" t="s">
        <v>6671</v>
      </c>
      <c r="K559" s="22"/>
      <c r="L559" s="22"/>
      <c r="M559" s="22"/>
      <c r="N559" s="22"/>
      <c r="O559" s="22"/>
      <c r="P559" s="22" t="n">
        <v>7.55</v>
      </c>
      <c r="Q559" s="22" t="s">
        <v>6632</v>
      </c>
      <c r="R559" s="22"/>
    </row>
    <row r="560" customFormat="false" ht="15" hidden="false" customHeight="false" outlineLevel="0" collapsed="false">
      <c r="A560" s="22" t="s">
        <v>7784</v>
      </c>
      <c r="B560" s="22" t="s">
        <v>215</v>
      </c>
      <c r="C560" s="22" t="s">
        <v>7694</v>
      </c>
      <c r="D560" s="22" t="s">
        <v>6724</v>
      </c>
      <c r="E560" s="22" t="n">
        <v>32</v>
      </c>
      <c r="F560" s="22" t="s">
        <v>6581</v>
      </c>
      <c r="G560" s="22" t="s">
        <v>7696</v>
      </c>
      <c r="H560" s="22" t="n">
        <v>12</v>
      </c>
      <c r="I560" s="22" t="s">
        <v>6576</v>
      </c>
      <c r="J560" s="22" t="s">
        <v>6577</v>
      </c>
      <c r="K560" s="22" t="s">
        <v>6752</v>
      </c>
      <c r="L560" s="22" t="s">
        <v>3187</v>
      </c>
      <c r="M560" s="22" t="s">
        <v>3188</v>
      </c>
      <c r="N560" s="22" t="s">
        <v>2108</v>
      </c>
      <c r="O560" s="22" t="n">
        <v>22.3</v>
      </c>
      <c r="P560" s="22" t="n">
        <v>7.55</v>
      </c>
      <c r="Q560" s="22" t="s">
        <v>7434</v>
      </c>
      <c r="R560" s="22"/>
    </row>
    <row r="561" customFormat="false" ht="15" hidden="false" customHeight="false" outlineLevel="0" collapsed="false">
      <c r="A561" s="22" t="s">
        <v>7785</v>
      </c>
      <c r="B561" s="22" t="s">
        <v>215</v>
      </c>
      <c r="C561" s="22" t="s">
        <v>7694</v>
      </c>
      <c r="D561" s="22" t="s">
        <v>6724</v>
      </c>
      <c r="E561" s="22" t="n">
        <v>28</v>
      </c>
      <c r="F561" s="22" t="s">
        <v>6574</v>
      </c>
      <c r="G561" s="22" t="s">
        <v>7696</v>
      </c>
      <c r="H561" s="22" t="n">
        <v>10</v>
      </c>
      <c r="I561" s="22" t="s">
        <v>6576</v>
      </c>
      <c r="J561" s="22" t="s">
        <v>6577</v>
      </c>
      <c r="K561" s="22" t="s">
        <v>6755</v>
      </c>
      <c r="L561" s="22" t="s">
        <v>6355</v>
      </c>
      <c r="M561" s="22" t="s">
        <v>6356</v>
      </c>
      <c r="N561" s="22" t="s">
        <v>269</v>
      </c>
      <c r="O561" s="22" t="n">
        <v>30.1</v>
      </c>
      <c r="P561" s="22" t="n">
        <v>7.55</v>
      </c>
      <c r="Q561" s="22" t="s">
        <v>7625</v>
      </c>
      <c r="R561" s="22"/>
    </row>
    <row r="562" customFormat="false" ht="15" hidden="false" customHeight="false" outlineLevel="0" collapsed="false">
      <c r="A562" s="22" t="s">
        <v>7786</v>
      </c>
      <c r="B562" s="22" t="s">
        <v>215</v>
      </c>
      <c r="C562" s="22" t="s">
        <v>7694</v>
      </c>
      <c r="D562" s="22" t="s">
        <v>6724</v>
      </c>
      <c r="E562" s="22" t="n">
        <v>50</v>
      </c>
      <c r="F562" s="22" t="s">
        <v>7704</v>
      </c>
      <c r="G562" s="22" t="s">
        <v>7696</v>
      </c>
      <c r="H562" s="22" t="n">
        <v>18</v>
      </c>
      <c r="I562" s="22" t="s">
        <v>7705</v>
      </c>
      <c r="J562" s="22" t="s">
        <v>6577</v>
      </c>
      <c r="K562" s="22" t="s">
        <v>6758</v>
      </c>
      <c r="L562" s="22" t="s">
        <v>1329</v>
      </c>
      <c r="M562" s="22" t="s">
        <v>1330</v>
      </c>
      <c r="N562" s="22" t="s">
        <v>781</v>
      </c>
      <c r="O562" s="22" t="n">
        <v>21.8</v>
      </c>
      <c r="P562" s="22" t="n">
        <v>7.55</v>
      </c>
      <c r="Q562" s="22" t="s">
        <v>7310</v>
      </c>
      <c r="R562" s="22"/>
    </row>
    <row r="563" customFormat="false" ht="15" hidden="false" customHeight="false" outlineLevel="0" collapsed="false">
      <c r="A563" s="22" t="s">
        <v>7787</v>
      </c>
      <c r="B563" s="22" t="s">
        <v>215</v>
      </c>
      <c r="C563" s="22" t="s">
        <v>7694</v>
      </c>
      <c r="D563" s="22" t="s">
        <v>6724</v>
      </c>
      <c r="E563" s="22" t="n">
        <v>32</v>
      </c>
      <c r="F563" s="22" t="s">
        <v>6581</v>
      </c>
      <c r="G563" s="22" t="s">
        <v>7696</v>
      </c>
      <c r="H563" s="22" t="n">
        <v>12</v>
      </c>
      <c r="I563" s="22" t="s">
        <v>6576</v>
      </c>
      <c r="J563" s="22" t="s">
        <v>6577</v>
      </c>
      <c r="K563" s="22" t="s">
        <v>6761</v>
      </c>
      <c r="L563" s="22" t="s">
        <v>2010</v>
      </c>
      <c r="M563" s="22" t="s">
        <v>2011</v>
      </c>
      <c r="N563" s="22" t="s">
        <v>2012</v>
      </c>
      <c r="O563" s="22" t="n">
        <v>32.5</v>
      </c>
      <c r="P563" s="22" t="n">
        <v>7.55</v>
      </c>
      <c r="Q563" s="22" t="s">
        <v>7776</v>
      </c>
      <c r="R563" s="22"/>
    </row>
    <row r="564" customFormat="false" ht="15" hidden="false" customHeight="false" outlineLevel="0" collapsed="false">
      <c r="A564" s="22" t="s">
        <v>7788</v>
      </c>
      <c r="B564" s="22" t="s">
        <v>215</v>
      </c>
      <c r="C564" s="22" t="s">
        <v>7694</v>
      </c>
      <c r="D564" s="22" t="s">
        <v>6724</v>
      </c>
      <c r="E564" s="22" t="n">
        <v>24</v>
      </c>
      <c r="F564" s="22" t="s">
        <v>6574</v>
      </c>
      <c r="G564" s="22" t="s">
        <v>7696</v>
      </c>
      <c r="H564" s="22" t="n">
        <v>9</v>
      </c>
      <c r="I564" s="22" t="s">
        <v>6576</v>
      </c>
      <c r="J564" s="22" t="s">
        <v>6577</v>
      </c>
      <c r="K564" s="22" t="s">
        <v>6764</v>
      </c>
      <c r="L564" s="22" t="s">
        <v>1223</v>
      </c>
      <c r="M564" s="22" t="s">
        <v>1224</v>
      </c>
      <c r="N564" s="22" t="s">
        <v>611</v>
      </c>
      <c r="O564" s="22" t="n">
        <v>43.2</v>
      </c>
      <c r="P564" s="22" t="n">
        <v>7.55</v>
      </c>
      <c r="Q564" s="22" t="s">
        <v>7789</v>
      </c>
      <c r="R564" s="22"/>
    </row>
    <row r="565" customFormat="false" ht="15" hidden="false" customHeight="false" outlineLevel="0" collapsed="false">
      <c r="A565" s="22" t="s">
        <v>7790</v>
      </c>
      <c r="B565" s="22" t="s">
        <v>215</v>
      </c>
      <c r="C565" s="22" t="s">
        <v>7694</v>
      </c>
      <c r="D565" s="22" t="s">
        <v>6724</v>
      </c>
      <c r="E565" s="22" t="n">
        <v>36</v>
      </c>
      <c r="F565" s="22" t="s">
        <v>6581</v>
      </c>
      <c r="G565" s="22" t="s">
        <v>7696</v>
      </c>
      <c r="H565" s="22" t="n">
        <v>13</v>
      </c>
      <c r="I565" s="22" t="s">
        <v>6582</v>
      </c>
      <c r="J565" s="22" t="s">
        <v>6577</v>
      </c>
      <c r="K565" s="22" t="s">
        <v>6767</v>
      </c>
      <c r="L565" s="22" t="s">
        <v>4607</v>
      </c>
      <c r="M565" s="22" t="s">
        <v>4608</v>
      </c>
      <c r="N565" s="22" t="s">
        <v>4609</v>
      </c>
      <c r="O565" s="22" t="n">
        <v>60.1</v>
      </c>
      <c r="P565" s="22" t="n">
        <v>7.55</v>
      </c>
      <c r="Q565" s="22" t="s">
        <v>7791</v>
      </c>
      <c r="R565" s="22"/>
    </row>
    <row r="566" customFormat="false" ht="15" hidden="false" customHeight="false" outlineLevel="0" collapsed="false">
      <c r="A566" s="22" t="s">
        <v>7792</v>
      </c>
      <c r="B566" s="22" t="s">
        <v>215</v>
      </c>
      <c r="C566" s="22" t="s">
        <v>7694</v>
      </c>
      <c r="D566" s="22" t="s">
        <v>6724</v>
      </c>
      <c r="E566" s="22" t="n">
        <v>36</v>
      </c>
      <c r="F566" s="22" t="s">
        <v>6581</v>
      </c>
      <c r="G566" s="22" t="s">
        <v>7696</v>
      </c>
      <c r="H566" s="22" t="n">
        <v>13</v>
      </c>
      <c r="I566" s="22" t="s">
        <v>6582</v>
      </c>
      <c r="J566" s="22" t="s">
        <v>6577</v>
      </c>
      <c r="K566" s="22" t="s">
        <v>6770</v>
      </c>
      <c r="L566" s="22" t="s">
        <v>2678</v>
      </c>
      <c r="M566" s="22" t="s">
        <v>2679</v>
      </c>
      <c r="N566" s="22" t="s">
        <v>812</v>
      </c>
      <c r="O566" s="22" t="n">
        <v>44.2</v>
      </c>
      <c r="P566" s="22" t="n">
        <v>7.55</v>
      </c>
      <c r="Q566" s="22" t="s">
        <v>7203</v>
      </c>
      <c r="R566" s="22"/>
    </row>
    <row r="567" customFormat="false" ht="15" hidden="false" customHeight="false" outlineLevel="0" collapsed="false">
      <c r="A567" s="22" t="s">
        <v>7793</v>
      </c>
      <c r="B567" s="22" t="s">
        <v>215</v>
      </c>
      <c r="C567" s="22" t="s">
        <v>7694</v>
      </c>
      <c r="D567" s="22" t="s">
        <v>6724</v>
      </c>
      <c r="E567" s="22" t="n">
        <v>32</v>
      </c>
      <c r="F567" s="22" t="s">
        <v>6581</v>
      </c>
      <c r="G567" s="22" t="s">
        <v>7696</v>
      </c>
      <c r="H567" s="22" t="n">
        <v>12</v>
      </c>
      <c r="I567" s="22" t="s">
        <v>6576</v>
      </c>
      <c r="J567" s="22" t="s">
        <v>6577</v>
      </c>
      <c r="K567" s="22" t="s">
        <v>6773</v>
      </c>
      <c r="L567" s="22" t="s">
        <v>5061</v>
      </c>
      <c r="M567" s="22" t="s">
        <v>5062</v>
      </c>
      <c r="N567" s="22" t="s">
        <v>498</v>
      </c>
      <c r="O567" s="22" t="n">
        <v>37</v>
      </c>
      <c r="P567" s="22" t="n">
        <v>7.55</v>
      </c>
      <c r="Q567" s="22" t="s">
        <v>7165</v>
      </c>
      <c r="R567" s="22"/>
    </row>
    <row r="568" customFormat="false" ht="15" hidden="false" customHeight="false" outlineLevel="0" collapsed="false">
      <c r="A568" s="22" t="s">
        <v>7794</v>
      </c>
      <c r="B568" s="22" t="s">
        <v>215</v>
      </c>
      <c r="C568" s="22" t="s">
        <v>7694</v>
      </c>
      <c r="D568" s="22" t="s">
        <v>6724</v>
      </c>
      <c r="E568" s="22" t="n">
        <v>70</v>
      </c>
      <c r="F568" s="22" t="s">
        <v>7695</v>
      </c>
      <c r="G568" s="22" t="s">
        <v>7696</v>
      </c>
      <c r="H568" s="22" t="n">
        <v>22</v>
      </c>
      <c r="I568" s="22" t="s">
        <v>7697</v>
      </c>
      <c r="J568" s="22" t="s">
        <v>6577</v>
      </c>
      <c r="K568" s="22" t="s">
        <v>7413</v>
      </c>
      <c r="L568" s="22" t="s">
        <v>4111</v>
      </c>
      <c r="M568" s="22" t="s">
        <v>4112</v>
      </c>
      <c r="N568" s="22" t="s">
        <v>563</v>
      </c>
      <c r="O568" s="22" t="n">
        <v>56.8</v>
      </c>
      <c r="P568" s="22" t="n">
        <v>7.55</v>
      </c>
      <c r="Q568" s="22" t="s">
        <v>7254</v>
      </c>
      <c r="R568" s="22"/>
    </row>
    <row r="569" customFormat="false" ht="15" hidden="false" customHeight="false" outlineLevel="0" collapsed="false">
      <c r="A569" s="22" t="s">
        <v>7795</v>
      </c>
      <c r="B569" s="22" t="s">
        <v>215</v>
      </c>
      <c r="C569" s="22" t="s">
        <v>7694</v>
      </c>
      <c r="D569" s="22" t="s">
        <v>6724</v>
      </c>
      <c r="E569" s="22" t="n">
        <v>60</v>
      </c>
      <c r="F569" s="22" t="s">
        <v>7695</v>
      </c>
      <c r="G569" s="22" t="s">
        <v>7696</v>
      </c>
      <c r="H569" s="22" t="n">
        <v>20</v>
      </c>
      <c r="I569" s="22" t="s">
        <v>7697</v>
      </c>
      <c r="J569" s="22" t="s">
        <v>6671</v>
      </c>
      <c r="K569" s="22"/>
      <c r="L569" s="22"/>
      <c r="M569" s="22"/>
      <c r="N569" s="22"/>
      <c r="O569" s="22"/>
      <c r="P569" s="22" t="n">
        <v>7.55</v>
      </c>
      <c r="Q569" s="22" t="s">
        <v>7095</v>
      </c>
      <c r="R569" s="22"/>
    </row>
    <row r="570" customFormat="false" ht="15" hidden="false" customHeight="false" outlineLevel="0" collapsed="false">
      <c r="A570" s="22" t="s">
        <v>7796</v>
      </c>
      <c r="B570" s="22" t="s">
        <v>215</v>
      </c>
      <c r="C570" s="22" t="s">
        <v>7694</v>
      </c>
      <c r="D570" s="22" t="s">
        <v>6724</v>
      </c>
      <c r="E570" s="22" t="n">
        <v>70</v>
      </c>
      <c r="F570" s="22" t="s">
        <v>7695</v>
      </c>
      <c r="G570" s="22" t="s">
        <v>7696</v>
      </c>
      <c r="H570" s="22" t="n">
        <v>22</v>
      </c>
      <c r="I570" s="22" t="s">
        <v>7697</v>
      </c>
      <c r="J570" s="22" t="s">
        <v>6577</v>
      </c>
      <c r="K570" s="22" t="s">
        <v>6780</v>
      </c>
      <c r="L570" s="22" t="s">
        <v>4034</v>
      </c>
      <c r="M570" s="22" t="s">
        <v>4035</v>
      </c>
      <c r="N570" s="22" t="s">
        <v>416</v>
      </c>
      <c r="O570" s="22" t="n">
        <v>18.7</v>
      </c>
      <c r="P570" s="22" t="n">
        <v>7.55</v>
      </c>
      <c r="Q570" s="22" t="s">
        <v>7581</v>
      </c>
      <c r="R570" s="22"/>
    </row>
    <row r="571" customFormat="false" ht="15" hidden="false" customHeight="false" outlineLevel="0" collapsed="false">
      <c r="A571" s="22" t="s">
        <v>7797</v>
      </c>
      <c r="B571" s="22" t="s">
        <v>215</v>
      </c>
      <c r="C571" s="22" t="s">
        <v>7694</v>
      </c>
      <c r="D571" s="22" t="s">
        <v>6724</v>
      </c>
      <c r="E571" s="22" t="n">
        <v>28</v>
      </c>
      <c r="F571" s="22" t="s">
        <v>6574</v>
      </c>
      <c r="G571" s="22" t="s">
        <v>7696</v>
      </c>
      <c r="H571" s="22" t="n">
        <v>10</v>
      </c>
      <c r="I571" s="22" t="s">
        <v>6576</v>
      </c>
      <c r="J571" s="22" t="s">
        <v>6577</v>
      </c>
      <c r="K571" s="22" t="s">
        <v>6783</v>
      </c>
      <c r="L571" s="22" t="s">
        <v>2664</v>
      </c>
      <c r="M571" s="22" t="s">
        <v>2665</v>
      </c>
      <c r="N571" s="22" t="s">
        <v>546</v>
      </c>
      <c r="O571" s="22" t="n">
        <v>56.7</v>
      </c>
      <c r="P571" s="22" t="n">
        <v>7.55</v>
      </c>
      <c r="Q571" s="22" t="s">
        <v>7742</v>
      </c>
      <c r="R571" s="22"/>
    </row>
    <row r="572" customFormat="false" ht="15" hidden="false" customHeight="false" outlineLevel="0" collapsed="false">
      <c r="A572" s="22" t="s">
        <v>7798</v>
      </c>
      <c r="B572" s="22" t="s">
        <v>215</v>
      </c>
      <c r="C572" s="22" t="s">
        <v>7694</v>
      </c>
      <c r="D572" s="22" t="s">
        <v>6724</v>
      </c>
      <c r="E572" s="22" t="n">
        <v>36</v>
      </c>
      <c r="F572" s="22" t="s">
        <v>6581</v>
      </c>
      <c r="G572" s="22" t="s">
        <v>7696</v>
      </c>
      <c r="H572" s="22" t="n">
        <v>13</v>
      </c>
      <c r="I572" s="22" t="s">
        <v>6582</v>
      </c>
      <c r="J572" s="22" t="s">
        <v>6577</v>
      </c>
      <c r="K572" s="22" t="s">
        <v>6786</v>
      </c>
      <c r="L572" s="22" t="s">
        <v>4086</v>
      </c>
      <c r="M572" s="22" t="s">
        <v>4087</v>
      </c>
      <c r="N572" s="22" t="s">
        <v>1198</v>
      </c>
      <c r="O572" s="22" t="n">
        <v>50.2</v>
      </c>
      <c r="P572" s="22" t="n">
        <v>7.55</v>
      </c>
      <c r="Q572" s="22" t="s">
        <v>7782</v>
      </c>
      <c r="R572" s="22"/>
    </row>
    <row r="573" customFormat="false" ht="15" hidden="false" customHeight="false" outlineLevel="0" collapsed="false">
      <c r="A573" s="22" t="s">
        <v>7799</v>
      </c>
      <c r="B573" s="22" t="s">
        <v>215</v>
      </c>
      <c r="C573" s="22" t="s">
        <v>7694</v>
      </c>
      <c r="D573" s="22" t="s">
        <v>6724</v>
      </c>
      <c r="E573" s="22" t="n">
        <v>80</v>
      </c>
      <c r="F573" s="22" t="s">
        <v>7695</v>
      </c>
      <c r="G573" s="22" t="s">
        <v>7696</v>
      </c>
      <c r="H573" s="22" t="n">
        <v>24</v>
      </c>
      <c r="I573" s="22" t="s">
        <v>7697</v>
      </c>
      <c r="J573" s="22" t="s">
        <v>6577</v>
      </c>
      <c r="K573" s="22" t="s">
        <v>6788</v>
      </c>
      <c r="L573" s="22" t="s">
        <v>3627</v>
      </c>
      <c r="M573" s="22" t="s">
        <v>1890</v>
      </c>
      <c r="N573" s="22" t="s">
        <v>2592</v>
      </c>
      <c r="O573" s="22" t="n">
        <v>19.3</v>
      </c>
      <c r="P573" s="22" t="n">
        <v>7.55</v>
      </c>
      <c r="Q573" s="22" t="s">
        <v>7800</v>
      </c>
      <c r="R573" s="22"/>
    </row>
    <row r="574" customFormat="false" ht="15" hidden="false" customHeight="false" outlineLevel="0" collapsed="false">
      <c r="A574" s="22" t="s">
        <v>7801</v>
      </c>
      <c r="B574" s="22" t="s">
        <v>215</v>
      </c>
      <c r="C574" s="22" t="s">
        <v>7694</v>
      </c>
      <c r="D574" s="22" t="s">
        <v>6791</v>
      </c>
      <c r="E574" s="22" t="n">
        <v>28</v>
      </c>
      <c r="F574" s="22" t="s">
        <v>6574</v>
      </c>
      <c r="G574" s="22" t="s">
        <v>7696</v>
      </c>
      <c r="H574" s="22" t="n">
        <v>10</v>
      </c>
      <c r="I574" s="22" t="s">
        <v>6576</v>
      </c>
      <c r="J574" s="22" t="s">
        <v>6577</v>
      </c>
      <c r="K574" s="22" t="s">
        <v>7425</v>
      </c>
      <c r="L574" s="22" t="s">
        <v>3456</v>
      </c>
      <c r="M574" s="22" t="s">
        <v>3457</v>
      </c>
      <c r="N574" s="22" t="s">
        <v>991</v>
      </c>
      <c r="O574" s="22" t="n">
        <v>50.5</v>
      </c>
      <c r="P574" s="22" t="n">
        <v>7.55</v>
      </c>
      <c r="Q574" s="22" t="s">
        <v>7802</v>
      </c>
      <c r="R574" s="22"/>
    </row>
    <row r="575" customFormat="false" ht="15" hidden="false" customHeight="false" outlineLevel="0" collapsed="false">
      <c r="A575" s="22" t="s">
        <v>7803</v>
      </c>
      <c r="B575" s="22" t="s">
        <v>215</v>
      </c>
      <c r="C575" s="22" t="s">
        <v>7694</v>
      </c>
      <c r="D575" s="22" t="s">
        <v>6791</v>
      </c>
      <c r="E575" s="22" t="n">
        <v>40</v>
      </c>
      <c r="F575" s="22" t="s">
        <v>6581</v>
      </c>
      <c r="G575" s="22" t="s">
        <v>7696</v>
      </c>
      <c r="H575" s="22" t="n">
        <v>14</v>
      </c>
      <c r="I575" s="22" t="s">
        <v>6582</v>
      </c>
      <c r="J575" s="22" t="s">
        <v>6577</v>
      </c>
      <c r="K575" s="22" t="s">
        <v>6794</v>
      </c>
      <c r="L575" s="22" t="s">
        <v>2066</v>
      </c>
      <c r="M575" s="22" t="s">
        <v>2067</v>
      </c>
      <c r="N575" s="22" t="s">
        <v>720</v>
      </c>
      <c r="O575" s="22" t="n">
        <v>31.6</v>
      </c>
      <c r="P575" s="22" t="n">
        <v>7.55</v>
      </c>
      <c r="Q575" s="22" t="s">
        <v>7804</v>
      </c>
      <c r="R575" s="22"/>
    </row>
    <row r="576" customFormat="false" ht="15" hidden="false" customHeight="false" outlineLevel="0" collapsed="false">
      <c r="A576" s="22" t="s">
        <v>7805</v>
      </c>
      <c r="B576" s="22" t="s">
        <v>215</v>
      </c>
      <c r="C576" s="22" t="s">
        <v>7694</v>
      </c>
      <c r="D576" s="22" t="s">
        <v>6791</v>
      </c>
      <c r="E576" s="22" t="n">
        <v>50</v>
      </c>
      <c r="F576" s="22" t="s">
        <v>7704</v>
      </c>
      <c r="G576" s="22" t="s">
        <v>7696</v>
      </c>
      <c r="H576" s="22" t="n">
        <v>18</v>
      </c>
      <c r="I576" s="22" t="s">
        <v>7705</v>
      </c>
      <c r="J576" s="22" t="s">
        <v>6577</v>
      </c>
      <c r="K576" s="22" t="s">
        <v>6797</v>
      </c>
      <c r="L576" s="22" t="s">
        <v>760</v>
      </c>
      <c r="M576" s="22" t="s">
        <v>761</v>
      </c>
      <c r="N576" s="22" t="s">
        <v>762</v>
      </c>
      <c r="O576" s="22" t="n">
        <v>60</v>
      </c>
      <c r="P576" s="22" t="n">
        <v>7.55</v>
      </c>
      <c r="Q576" s="22" t="s">
        <v>7806</v>
      </c>
      <c r="R576" s="22"/>
    </row>
    <row r="577" customFormat="false" ht="15" hidden="false" customHeight="false" outlineLevel="0" collapsed="false">
      <c r="A577" s="22" t="s">
        <v>7807</v>
      </c>
      <c r="B577" s="22" t="s">
        <v>215</v>
      </c>
      <c r="C577" s="22" t="s">
        <v>7694</v>
      </c>
      <c r="D577" s="22" t="s">
        <v>6791</v>
      </c>
      <c r="E577" s="22" t="n">
        <v>70</v>
      </c>
      <c r="F577" s="22" t="s">
        <v>7695</v>
      </c>
      <c r="G577" s="22" t="s">
        <v>7696</v>
      </c>
      <c r="H577" s="22" t="n">
        <v>22</v>
      </c>
      <c r="I577" s="22" t="s">
        <v>7697</v>
      </c>
      <c r="J577" s="22" t="s">
        <v>6577</v>
      </c>
      <c r="K577" s="22" t="s">
        <v>6800</v>
      </c>
      <c r="L577" s="22" t="s">
        <v>1182</v>
      </c>
      <c r="M577" s="22" t="s">
        <v>1183</v>
      </c>
      <c r="N577" s="22" t="s">
        <v>1184</v>
      </c>
      <c r="O577" s="22" t="n">
        <v>31.8</v>
      </c>
      <c r="P577" s="22" t="n">
        <v>7.55</v>
      </c>
      <c r="Q577" s="22" t="s">
        <v>7675</v>
      </c>
      <c r="R577" s="22"/>
    </row>
    <row r="578" customFormat="false" ht="15" hidden="false" customHeight="false" outlineLevel="0" collapsed="false">
      <c r="A578" s="22" t="s">
        <v>7808</v>
      </c>
      <c r="B578" s="22" t="s">
        <v>215</v>
      </c>
      <c r="C578" s="22" t="s">
        <v>7694</v>
      </c>
      <c r="D578" s="22" t="s">
        <v>6791</v>
      </c>
      <c r="E578" s="22" t="n">
        <v>24</v>
      </c>
      <c r="F578" s="22" t="s">
        <v>6574</v>
      </c>
      <c r="G578" s="22" t="s">
        <v>7696</v>
      </c>
      <c r="H578" s="22" t="n">
        <v>9</v>
      </c>
      <c r="I578" s="22" t="s">
        <v>6576</v>
      </c>
      <c r="J578" s="22" t="s">
        <v>6577</v>
      </c>
      <c r="K578" s="22" t="s">
        <v>6803</v>
      </c>
      <c r="L578" s="22" t="s">
        <v>3669</v>
      </c>
      <c r="M578" s="22" t="s">
        <v>3670</v>
      </c>
      <c r="N578" s="22" t="s">
        <v>257</v>
      </c>
      <c r="O578" s="22" t="n">
        <v>46.9</v>
      </c>
      <c r="P578" s="22" t="n">
        <v>7.55</v>
      </c>
      <c r="Q578" s="22" t="s">
        <v>7809</v>
      </c>
      <c r="R578" s="22"/>
    </row>
    <row r="579" customFormat="false" ht="15" hidden="false" customHeight="false" outlineLevel="0" collapsed="false">
      <c r="A579" s="22" t="s">
        <v>7810</v>
      </c>
      <c r="B579" s="22" t="s">
        <v>215</v>
      </c>
      <c r="C579" s="22" t="s">
        <v>7694</v>
      </c>
      <c r="D579" s="22" t="s">
        <v>6791</v>
      </c>
      <c r="E579" s="22" t="n">
        <v>40</v>
      </c>
      <c r="F579" s="22" t="s">
        <v>6581</v>
      </c>
      <c r="G579" s="22" t="s">
        <v>7696</v>
      </c>
      <c r="H579" s="22" t="n">
        <v>14</v>
      </c>
      <c r="I579" s="22" t="s">
        <v>6582</v>
      </c>
      <c r="J579" s="22" t="s">
        <v>6577</v>
      </c>
      <c r="K579" s="22" t="s">
        <v>6806</v>
      </c>
      <c r="L579" s="22" t="s">
        <v>4342</v>
      </c>
      <c r="M579" s="22" t="s">
        <v>4343</v>
      </c>
      <c r="N579" s="22" t="s">
        <v>2506</v>
      </c>
      <c r="O579" s="22" t="n">
        <v>29.4</v>
      </c>
      <c r="P579" s="22" t="n">
        <v>7.55</v>
      </c>
      <c r="Q579" s="22" t="s">
        <v>7121</v>
      </c>
      <c r="R579" s="22"/>
    </row>
    <row r="580" customFormat="false" ht="15" hidden="false" customHeight="false" outlineLevel="0" collapsed="false">
      <c r="A580" s="22" t="s">
        <v>7811</v>
      </c>
      <c r="B580" s="22" t="s">
        <v>215</v>
      </c>
      <c r="C580" s="22" t="s">
        <v>7694</v>
      </c>
      <c r="D580" s="22" t="s">
        <v>6791</v>
      </c>
      <c r="E580" s="22" t="n">
        <v>45</v>
      </c>
      <c r="F580" s="22" t="s">
        <v>7704</v>
      </c>
      <c r="G580" s="22" t="s">
        <v>7696</v>
      </c>
      <c r="H580" s="22" t="n">
        <v>16</v>
      </c>
      <c r="I580" s="22" t="s">
        <v>7705</v>
      </c>
      <c r="J580" s="22" t="s">
        <v>6577</v>
      </c>
      <c r="K580" s="22" t="s">
        <v>6809</v>
      </c>
      <c r="L580" s="22" t="s">
        <v>3327</v>
      </c>
      <c r="M580" s="22" t="s">
        <v>3328</v>
      </c>
      <c r="N580" s="22" t="s">
        <v>1115</v>
      </c>
      <c r="O580" s="22" t="n">
        <v>31.1</v>
      </c>
      <c r="P580" s="22" t="n">
        <v>7.55</v>
      </c>
      <c r="Q580" s="22" t="s">
        <v>7812</v>
      </c>
      <c r="R580" s="22"/>
    </row>
    <row r="581" customFormat="false" ht="15" hidden="false" customHeight="false" outlineLevel="0" collapsed="false">
      <c r="A581" s="22" t="s">
        <v>7813</v>
      </c>
      <c r="B581" s="22" t="s">
        <v>215</v>
      </c>
      <c r="C581" s="22" t="s">
        <v>7694</v>
      </c>
      <c r="D581" s="22" t="s">
        <v>6791</v>
      </c>
      <c r="E581" s="22" t="n">
        <v>28</v>
      </c>
      <c r="F581" s="22" t="s">
        <v>6574</v>
      </c>
      <c r="G581" s="22" t="s">
        <v>7696</v>
      </c>
      <c r="H581" s="22" t="n">
        <v>10</v>
      </c>
      <c r="I581" s="22" t="s">
        <v>6576</v>
      </c>
      <c r="J581" s="22" t="s">
        <v>6577</v>
      </c>
      <c r="K581" s="22" t="s">
        <v>6812</v>
      </c>
      <c r="L581" s="22" t="s">
        <v>4127</v>
      </c>
      <c r="M581" s="22" t="s">
        <v>4128</v>
      </c>
      <c r="N581" s="22" t="s">
        <v>492</v>
      </c>
      <c r="O581" s="22" t="n">
        <v>59.4</v>
      </c>
      <c r="P581" s="22" t="n">
        <v>7.55</v>
      </c>
      <c r="Q581" s="22" t="s">
        <v>7814</v>
      </c>
      <c r="R581" s="22"/>
    </row>
    <row r="582" customFormat="false" ht="15" hidden="false" customHeight="false" outlineLevel="0" collapsed="false">
      <c r="A582" s="22" t="s">
        <v>7815</v>
      </c>
      <c r="B582" s="22" t="s">
        <v>215</v>
      </c>
      <c r="C582" s="22" t="s">
        <v>7694</v>
      </c>
      <c r="D582" s="22" t="s">
        <v>6791</v>
      </c>
      <c r="E582" s="22" t="n">
        <v>70</v>
      </c>
      <c r="F582" s="22" t="s">
        <v>7695</v>
      </c>
      <c r="G582" s="22" t="s">
        <v>7696</v>
      </c>
      <c r="H582" s="22" t="n">
        <v>22</v>
      </c>
      <c r="I582" s="22" t="s">
        <v>7697</v>
      </c>
      <c r="J582" s="22" t="s">
        <v>6577</v>
      </c>
      <c r="K582" s="22" t="s">
        <v>6815</v>
      </c>
      <c r="L582" s="22" t="s">
        <v>905</v>
      </c>
      <c r="M582" s="22" t="s">
        <v>906</v>
      </c>
      <c r="N582" s="22" t="s">
        <v>522</v>
      </c>
      <c r="O582" s="22" t="n">
        <v>51.6</v>
      </c>
      <c r="P582" s="22" t="n">
        <v>7.55</v>
      </c>
      <c r="Q582" s="22" t="s">
        <v>6686</v>
      </c>
      <c r="R582" s="22"/>
    </row>
    <row r="583" customFormat="false" ht="15" hidden="false" customHeight="false" outlineLevel="0" collapsed="false">
      <c r="A583" s="22" t="s">
        <v>7816</v>
      </c>
      <c r="B583" s="22" t="s">
        <v>215</v>
      </c>
      <c r="C583" s="22" t="s">
        <v>7694</v>
      </c>
      <c r="D583" s="22" t="s">
        <v>6791</v>
      </c>
      <c r="E583" s="22" t="n">
        <v>32</v>
      </c>
      <c r="F583" s="22" t="s">
        <v>6581</v>
      </c>
      <c r="G583" s="22" t="s">
        <v>7696</v>
      </c>
      <c r="H583" s="22" t="n">
        <v>12</v>
      </c>
      <c r="I583" s="22" t="s">
        <v>6576</v>
      </c>
      <c r="J583" s="22" t="s">
        <v>6577</v>
      </c>
      <c r="K583" s="22" t="s">
        <v>6818</v>
      </c>
      <c r="L583" s="22" t="s">
        <v>3608</v>
      </c>
      <c r="M583" s="22" t="s">
        <v>3609</v>
      </c>
      <c r="N583" s="22" t="s">
        <v>278</v>
      </c>
      <c r="O583" s="22" t="n">
        <v>44.8</v>
      </c>
      <c r="P583" s="22" t="n">
        <v>7.55</v>
      </c>
      <c r="Q583" s="22" t="s">
        <v>7231</v>
      </c>
      <c r="R583" s="22"/>
    </row>
    <row r="584" customFormat="false" ht="15" hidden="false" customHeight="false" outlineLevel="0" collapsed="false">
      <c r="A584" s="22" t="s">
        <v>7817</v>
      </c>
      <c r="B584" s="22" t="s">
        <v>215</v>
      </c>
      <c r="C584" s="22" t="s">
        <v>7694</v>
      </c>
      <c r="D584" s="22" t="s">
        <v>6791</v>
      </c>
      <c r="E584" s="22" t="n">
        <v>70</v>
      </c>
      <c r="F584" s="22" t="s">
        <v>7695</v>
      </c>
      <c r="G584" s="22" t="s">
        <v>7696</v>
      </c>
      <c r="H584" s="22" t="n">
        <v>22</v>
      </c>
      <c r="I584" s="22" t="s">
        <v>7697</v>
      </c>
      <c r="J584" s="22" t="s">
        <v>6577</v>
      </c>
      <c r="K584" s="22" t="s">
        <v>6821</v>
      </c>
      <c r="L584" s="22" t="s">
        <v>1470</v>
      </c>
      <c r="M584" s="22" t="s">
        <v>1471</v>
      </c>
      <c r="N584" s="22" t="s">
        <v>967</v>
      </c>
      <c r="O584" s="22" t="n">
        <v>26.8</v>
      </c>
      <c r="P584" s="22" t="n">
        <v>7.55</v>
      </c>
      <c r="Q584" s="22" t="s">
        <v>7602</v>
      </c>
      <c r="R584" s="22"/>
    </row>
    <row r="585" customFormat="false" ht="15" hidden="false" customHeight="false" outlineLevel="0" collapsed="false">
      <c r="A585" s="22" t="s">
        <v>7818</v>
      </c>
      <c r="B585" s="22" t="s">
        <v>215</v>
      </c>
      <c r="C585" s="22" t="s">
        <v>7694</v>
      </c>
      <c r="D585" s="22" t="s">
        <v>6791</v>
      </c>
      <c r="E585" s="22" t="n">
        <v>70</v>
      </c>
      <c r="F585" s="22" t="s">
        <v>7695</v>
      </c>
      <c r="G585" s="22" t="s">
        <v>7696</v>
      </c>
      <c r="H585" s="22" t="n">
        <v>22</v>
      </c>
      <c r="I585" s="22" t="s">
        <v>7697</v>
      </c>
      <c r="J585" s="22" t="s">
        <v>6577</v>
      </c>
      <c r="K585" s="22" t="s">
        <v>6824</v>
      </c>
      <c r="L585" s="22" t="s">
        <v>2318</v>
      </c>
      <c r="M585" s="22" t="s">
        <v>2319</v>
      </c>
      <c r="N585" s="22" t="s">
        <v>543</v>
      </c>
      <c r="O585" s="22" t="n">
        <v>42.5</v>
      </c>
      <c r="P585" s="22" t="n">
        <v>7.55</v>
      </c>
      <c r="Q585" s="22" t="s">
        <v>7819</v>
      </c>
      <c r="R585" s="22"/>
    </row>
    <row r="586" customFormat="false" ht="15" hidden="false" customHeight="false" outlineLevel="0" collapsed="false">
      <c r="A586" s="22" t="s">
        <v>7820</v>
      </c>
      <c r="B586" s="22" t="s">
        <v>215</v>
      </c>
      <c r="C586" s="22" t="s">
        <v>7694</v>
      </c>
      <c r="D586" s="22" t="s">
        <v>6791</v>
      </c>
      <c r="E586" s="22" t="n">
        <v>70</v>
      </c>
      <c r="F586" s="22" t="s">
        <v>7695</v>
      </c>
      <c r="G586" s="22" t="s">
        <v>7696</v>
      </c>
      <c r="H586" s="22" t="n">
        <v>22</v>
      </c>
      <c r="I586" s="22" t="s">
        <v>7697</v>
      </c>
      <c r="J586" s="22" t="s">
        <v>6577</v>
      </c>
      <c r="K586" s="22" t="s">
        <v>6827</v>
      </c>
      <c r="L586" s="22" t="s">
        <v>3014</v>
      </c>
      <c r="M586" s="22" t="s">
        <v>3015</v>
      </c>
      <c r="N586" s="22" t="s">
        <v>3016</v>
      </c>
      <c r="O586" s="22" t="n">
        <v>58.8</v>
      </c>
      <c r="P586" s="22" t="n">
        <v>7.55</v>
      </c>
      <c r="Q586" s="22" t="s">
        <v>7821</v>
      </c>
      <c r="R586" s="22"/>
    </row>
    <row r="587" customFormat="false" ht="15" hidden="false" customHeight="false" outlineLevel="0" collapsed="false">
      <c r="A587" s="22" t="s">
        <v>7822</v>
      </c>
      <c r="B587" s="22" t="s">
        <v>215</v>
      </c>
      <c r="C587" s="22" t="s">
        <v>7694</v>
      </c>
      <c r="D587" s="22" t="s">
        <v>6791</v>
      </c>
      <c r="E587" s="22" t="n">
        <v>40</v>
      </c>
      <c r="F587" s="22" t="s">
        <v>6581</v>
      </c>
      <c r="G587" s="22" t="s">
        <v>7696</v>
      </c>
      <c r="H587" s="22" t="n">
        <v>14</v>
      </c>
      <c r="I587" s="22" t="s">
        <v>6582</v>
      </c>
      <c r="J587" s="22" t="s">
        <v>6577</v>
      </c>
      <c r="K587" s="22" t="s">
        <v>7448</v>
      </c>
      <c r="L587" s="22" t="s">
        <v>3128</v>
      </c>
      <c r="M587" s="22" t="s">
        <v>3129</v>
      </c>
      <c r="N587" s="22" t="s">
        <v>549</v>
      </c>
      <c r="O587" s="22" t="n">
        <v>20.6</v>
      </c>
      <c r="P587" s="22" t="n">
        <v>7.55</v>
      </c>
      <c r="Q587" s="22" t="s">
        <v>7265</v>
      </c>
      <c r="R587" s="22"/>
    </row>
    <row r="588" customFormat="false" ht="15" hidden="false" customHeight="false" outlineLevel="0" collapsed="false">
      <c r="A588" s="22" t="s">
        <v>7823</v>
      </c>
      <c r="B588" s="22" t="s">
        <v>215</v>
      </c>
      <c r="C588" s="22" t="s">
        <v>7694</v>
      </c>
      <c r="D588" s="22" t="s">
        <v>6791</v>
      </c>
      <c r="E588" s="22" t="n">
        <v>24</v>
      </c>
      <c r="F588" s="22" t="s">
        <v>6574</v>
      </c>
      <c r="G588" s="22" t="s">
        <v>7696</v>
      </c>
      <c r="H588" s="22" t="n">
        <v>9</v>
      </c>
      <c r="I588" s="22" t="s">
        <v>6576</v>
      </c>
      <c r="J588" s="22" t="s">
        <v>6577</v>
      </c>
      <c r="K588" s="22" t="s">
        <v>6832</v>
      </c>
      <c r="L588" s="22" t="s">
        <v>3784</v>
      </c>
      <c r="M588" s="22" t="s">
        <v>3785</v>
      </c>
      <c r="N588" s="22" t="s">
        <v>793</v>
      </c>
      <c r="O588" s="22" t="n">
        <v>42.4</v>
      </c>
      <c r="P588" s="22" t="n">
        <v>7.55</v>
      </c>
      <c r="Q588" s="22" t="s">
        <v>7824</v>
      </c>
      <c r="R588" s="22"/>
    </row>
    <row r="589" customFormat="false" ht="15" hidden="false" customHeight="false" outlineLevel="0" collapsed="false">
      <c r="A589" s="22" t="s">
        <v>7825</v>
      </c>
      <c r="B589" s="22" t="s">
        <v>215</v>
      </c>
      <c r="C589" s="22" t="s">
        <v>7694</v>
      </c>
      <c r="D589" s="22" t="s">
        <v>6791</v>
      </c>
      <c r="E589" s="22" t="n">
        <v>24</v>
      </c>
      <c r="F589" s="22" t="s">
        <v>6574</v>
      </c>
      <c r="G589" s="22" t="s">
        <v>7696</v>
      </c>
      <c r="H589" s="22" t="n">
        <v>9</v>
      </c>
      <c r="I589" s="22" t="s">
        <v>6576</v>
      </c>
      <c r="J589" s="22" t="s">
        <v>6577</v>
      </c>
      <c r="K589" s="22" t="s">
        <v>6835</v>
      </c>
      <c r="L589" s="22" t="s">
        <v>4709</v>
      </c>
      <c r="M589" s="22" t="s">
        <v>4710</v>
      </c>
      <c r="N589" s="22" t="s">
        <v>1786</v>
      </c>
      <c r="O589" s="22" t="n">
        <v>33.7</v>
      </c>
      <c r="P589" s="22" t="n">
        <v>7.55</v>
      </c>
      <c r="Q589" s="22" t="s">
        <v>7826</v>
      </c>
      <c r="R589" s="22"/>
    </row>
    <row r="590" customFormat="false" ht="15" hidden="false" customHeight="false" outlineLevel="0" collapsed="false">
      <c r="A590" s="22" t="s">
        <v>7827</v>
      </c>
      <c r="B590" s="22" t="s">
        <v>215</v>
      </c>
      <c r="C590" s="22" t="s">
        <v>7694</v>
      </c>
      <c r="D590" s="22" t="s">
        <v>6791</v>
      </c>
      <c r="E590" s="22" t="n">
        <v>28</v>
      </c>
      <c r="F590" s="22" t="s">
        <v>6574</v>
      </c>
      <c r="G590" s="22" t="s">
        <v>7696</v>
      </c>
      <c r="H590" s="22" t="n">
        <v>10</v>
      </c>
      <c r="I590" s="22" t="s">
        <v>6576</v>
      </c>
      <c r="J590" s="22" t="s">
        <v>6577</v>
      </c>
      <c r="K590" s="22" t="s">
        <v>6838</v>
      </c>
      <c r="L590" s="22" t="s">
        <v>2633</v>
      </c>
      <c r="M590" s="22" t="s">
        <v>2634</v>
      </c>
      <c r="N590" s="22" t="s">
        <v>233</v>
      </c>
      <c r="O590" s="22" t="n">
        <v>56.9</v>
      </c>
      <c r="P590" s="22" t="n">
        <v>7.55</v>
      </c>
      <c r="Q590" s="22" t="s">
        <v>7498</v>
      </c>
      <c r="R590" s="22"/>
    </row>
    <row r="591" customFormat="false" ht="15" hidden="false" customHeight="false" outlineLevel="0" collapsed="false">
      <c r="A591" s="22" t="s">
        <v>7828</v>
      </c>
      <c r="B591" s="22" t="s">
        <v>215</v>
      </c>
      <c r="C591" s="22" t="s">
        <v>7694</v>
      </c>
      <c r="D591" s="22" t="s">
        <v>6791</v>
      </c>
      <c r="E591" s="22" t="n">
        <v>24</v>
      </c>
      <c r="F591" s="22" t="s">
        <v>6574</v>
      </c>
      <c r="G591" s="22" t="s">
        <v>7696</v>
      </c>
      <c r="H591" s="22" t="n">
        <v>9</v>
      </c>
      <c r="I591" s="22" t="s">
        <v>6576</v>
      </c>
      <c r="J591" s="22" t="s">
        <v>6577</v>
      </c>
      <c r="K591" s="22" t="s">
        <v>6841</v>
      </c>
      <c r="L591" s="22" t="s">
        <v>4265</v>
      </c>
      <c r="M591" s="22" t="s">
        <v>4266</v>
      </c>
      <c r="N591" s="22" t="s">
        <v>3216</v>
      </c>
      <c r="O591" s="22" t="n">
        <v>58</v>
      </c>
      <c r="P591" s="22" t="n">
        <v>7.55</v>
      </c>
      <c r="Q591" s="22" t="s">
        <v>7804</v>
      </c>
      <c r="R591" s="22"/>
    </row>
    <row r="592" customFormat="false" ht="15" hidden="false" customHeight="false" outlineLevel="0" collapsed="false">
      <c r="A592" s="22" t="s">
        <v>7829</v>
      </c>
      <c r="B592" s="22" t="s">
        <v>215</v>
      </c>
      <c r="C592" s="22" t="s">
        <v>7694</v>
      </c>
      <c r="D592" s="22" t="s">
        <v>6791</v>
      </c>
      <c r="E592" s="22" t="n">
        <v>45</v>
      </c>
      <c r="F592" s="22" t="s">
        <v>7704</v>
      </c>
      <c r="G592" s="22" t="s">
        <v>7696</v>
      </c>
      <c r="H592" s="22" t="n">
        <v>16</v>
      </c>
      <c r="I592" s="22" t="s">
        <v>7705</v>
      </c>
      <c r="J592" s="22" t="s">
        <v>6577</v>
      </c>
      <c r="K592" s="22" t="s">
        <v>6844</v>
      </c>
      <c r="L592" s="22" t="s">
        <v>6240</v>
      </c>
      <c r="M592" s="22" t="s">
        <v>2190</v>
      </c>
      <c r="N592" s="22" t="s">
        <v>333</v>
      </c>
      <c r="O592" s="22" t="n">
        <v>36.5</v>
      </c>
      <c r="P592" s="22" t="n">
        <v>7.55</v>
      </c>
      <c r="Q592" s="22" t="s">
        <v>6907</v>
      </c>
      <c r="R592" s="22"/>
    </row>
    <row r="593" customFormat="false" ht="15" hidden="false" customHeight="false" outlineLevel="0" collapsed="false">
      <c r="A593" s="22" t="s">
        <v>7830</v>
      </c>
      <c r="B593" s="22" t="s">
        <v>215</v>
      </c>
      <c r="C593" s="22" t="s">
        <v>7694</v>
      </c>
      <c r="D593" s="22" t="s">
        <v>6791</v>
      </c>
      <c r="E593" s="22" t="n">
        <v>32</v>
      </c>
      <c r="F593" s="22" t="s">
        <v>6581</v>
      </c>
      <c r="G593" s="22" t="s">
        <v>7696</v>
      </c>
      <c r="H593" s="22" t="n">
        <v>12</v>
      </c>
      <c r="I593" s="22" t="s">
        <v>6576</v>
      </c>
      <c r="J593" s="22" t="s">
        <v>6577</v>
      </c>
      <c r="K593" s="22" t="s">
        <v>6847</v>
      </c>
      <c r="L593" s="22" t="s">
        <v>4834</v>
      </c>
      <c r="M593" s="22" t="s">
        <v>4835</v>
      </c>
      <c r="N593" s="22" t="s">
        <v>585</v>
      </c>
      <c r="O593" s="22" t="n">
        <v>21.8</v>
      </c>
      <c r="P593" s="22" t="n">
        <v>7.55</v>
      </c>
      <c r="Q593" s="22" t="s">
        <v>7831</v>
      </c>
      <c r="R593" s="22"/>
    </row>
    <row r="594" customFormat="false" ht="15" hidden="false" customHeight="false" outlineLevel="0" collapsed="false">
      <c r="A594" s="22" t="s">
        <v>7832</v>
      </c>
      <c r="B594" s="22" t="s">
        <v>215</v>
      </c>
      <c r="C594" s="22" t="s">
        <v>7694</v>
      </c>
      <c r="D594" s="22" t="s">
        <v>6791</v>
      </c>
      <c r="E594" s="22" t="n">
        <v>36</v>
      </c>
      <c r="F594" s="22" t="s">
        <v>6581</v>
      </c>
      <c r="G594" s="22" t="s">
        <v>7696</v>
      </c>
      <c r="H594" s="22" t="n">
        <v>13</v>
      </c>
      <c r="I594" s="22" t="s">
        <v>6582</v>
      </c>
      <c r="J594" s="22" t="s">
        <v>6577</v>
      </c>
      <c r="K594" s="22" t="s">
        <v>6850</v>
      </c>
      <c r="L594" s="22" t="s">
        <v>1308</v>
      </c>
      <c r="M594" s="22" t="s">
        <v>1309</v>
      </c>
      <c r="N594" s="22" t="s">
        <v>1204</v>
      </c>
      <c r="O594" s="22" t="n">
        <v>26.2</v>
      </c>
      <c r="P594" s="22" t="n">
        <v>7.55</v>
      </c>
      <c r="Q594" s="22" t="s">
        <v>7833</v>
      </c>
      <c r="R594" s="22"/>
    </row>
    <row r="595" customFormat="false" ht="15" hidden="false" customHeight="false" outlineLevel="0" collapsed="false">
      <c r="A595" s="22" t="s">
        <v>7834</v>
      </c>
      <c r="B595" s="22" t="s">
        <v>215</v>
      </c>
      <c r="C595" s="22" t="s">
        <v>7694</v>
      </c>
      <c r="D595" s="22" t="s">
        <v>6791</v>
      </c>
      <c r="E595" s="22" t="n">
        <v>60</v>
      </c>
      <c r="F595" s="22" t="s">
        <v>7695</v>
      </c>
      <c r="G595" s="22" t="s">
        <v>7696</v>
      </c>
      <c r="H595" s="22" t="n">
        <v>20</v>
      </c>
      <c r="I595" s="22" t="s">
        <v>7697</v>
      </c>
      <c r="J595" s="22" t="s">
        <v>6734</v>
      </c>
      <c r="K595" s="22"/>
      <c r="L595" s="22"/>
      <c r="M595" s="22"/>
      <c r="N595" s="22"/>
      <c r="O595" s="22"/>
      <c r="P595" s="22" t="n">
        <v>7.55</v>
      </c>
      <c r="Q595" s="22" t="s">
        <v>7824</v>
      </c>
      <c r="R595" s="22"/>
    </row>
    <row r="596" customFormat="false" ht="15" hidden="false" customHeight="false" outlineLevel="0" collapsed="false">
      <c r="A596" s="22" t="s">
        <v>7835</v>
      </c>
      <c r="B596" s="22" t="s">
        <v>215</v>
      </c>
      <c r="C596" s="22" t="s">
        <v>7694</v>
      </c>
      <c r="D596" s="22" t="s">
        <v>6791</v>
      </c>
      <c r="E596" s="22" t="n">
        <v>70</v>
      </c>
      <c r="F596" s="22" t="s">
        <v>7695</v>
      </c>
      <c r="G596" s="22" t="s">
        <v>7696</v>
      </c>
      <c r="H596" s="22" t="n">
        <v>22</v>
      </c>
      <c r="I596" s="22" t="s">
        <v>7697</v>
      </c>
      <c r="J596" s="22" t="s">
        <v>6577</v>
      </c>
      <c r="K596" s="22" t="s">
        <v>6855</v>
      </c>
      <c r="L596" s="22" t="s">
        <v>2432</v>
      </c>
      <c r="M596" s="22" t="s">
        <v>2433</v>
      </c>
      <c r="N596" s="22" t="s">
        <v>346</v>
      </c>
      <c r="O596" s="22" t="n">
        <v>37.2</v>
      </c>
      <c r="P596" s="22" t="n">
        <v>7.55</v>
      </c>
      <c r="Q596" s="22" t="s">
        <v>7220</v>
      </c>
      <c r="R596" s="22"/>
    </row>
    <row r="597" customFormat="false" ht="15" hidden="false" customHeight="false" outlineLevel="0" collapsed="false">
      <c r="A597" s="22" t="s">
        <v>7836</v>
      </c>
      <c r="B597" s="22" t="s">
        <v>215</v>
      </c>
      <c r="C597" s="22" t="s">
        <v>7694</v>
      </c>
      <c r="D597" s="22" t="s">
        <v>6791</v>
      </c>
      <c r="E597" s="22" t="n">
        <v>45</v>
      </c>
      <c r="F597" s="22" t="s">
        <v>7704</v>
      </c>
      <c r="G597" s="22" t="s">
        <v>7696</v>
      </c>
      <c r="H597" s="22" t="n">
        <v>16</v>
      </c>
      <c r="I597" s="22" t="s">
        <v>7705</v>
      </c>
      <c r="J597" s="22" t="s">
        <v>6577</v>
      </c>
      <c r="K597" s="22" t="s">
        <v>6858</v>
      </c>
      <c r="L597" s="22" t="s">
        <v>6319</v>
      </c>
      <c r="M597" s="22" t="s">
        <v>6320</v>
      </c>
      <c r="N597" s="22" t="s">
        <v>4264</v>
      </c>
      <c r="O597" s="22" t="n">
        <v>51.9</v>
      </c>
      <c r="P597" s="22" t="n">
        <v>7.55</v>
      </c>
      <c r="Q597" s="22" t="s">
        <v>7446</v>
      </c>
      <c r="R597" s="22"/>
    </row>
    <row r="598" customFormat="false" ht="15" hidden="false" customHeight="false" outlineLevel="0" collapsed="false">
      <c r="A598" s="22" t="s">
        <v>7837</v>
      </c>
      <c r="B598" s="22" t="s">
        <v>215</v>
      </c>
      <c r="C598" s="22" t="s">
        <v>7694</v>
      </c>
      <c r="D598" s="22" t="s">
        <v>6861</v>
      </c>
      <c r="E598" s="22" t="n">
        <v>24</v>
      </c>
      <c r="F598" s="22" t="s">
        <v>6574</v>
      </c>
      <c r="G598" s="22" t="s">
        <v>7696</v>
      </c>
      <c r="H598" s="22" t="n">
        <v>9</v>
      </c>
      <c r="I598" s="22" t="s">
        <v>6576</v>
      </c>
      <c r="J598" s="22" t="s">
        <v>6671</v>
      </c>
      <c r="K598" s="22"/>
      <c r="L598" s="22"/>
      <c r="M598" s="22"/>
      <c r="N598" s="22"/>
      <c r="O598" s="22"/>
      <c r="P598" s="22" t="n">
        <v>7.55</v>
      </c>
      <c r="Q598" s="22" t="s">
        <v>6683</v>
      </c>
      <c r="R598" s="22"/>
    </row>
    <row r="599" customFormat="false" ht="15" hidden="false" customHeight="false" outlineLevel="0" collapsed="false">
      <c r="A599" s="22" t="s">
        <v>7838</v>
      </c>
      <c r="B599" s="22" t="s">
        <v>215</v>
      </c>
      <c r="C599" s="22" t="s">
        <v>7694</v>
      </c>
      <c r="D599" s="22" t="s">
        <v>6861</v>
      </c>
      <c r="E599" s="22" t="n">
        <v>32</v>
      </c>
      <c r="F599" s="22" t="s">
        <v>6581</v>
      </c>
      <c r="G599" s="22" t="s">
        <v>7696</v>
      </c>
      <c r="H599" s="22" t="n">
        <v>12</v>
      </c>
      <c r="I599" s="22" t="s">
        <v>6576</v>
      </c>
      <c r="J599" s="22" t="s">
        <v>6577</v>
      </c>
      <c r="K599" s="22" t="s">
        <v>6864</v>
      </c>
      <c r="L599" s="22" t="s">
        <v>3829</v>
      </c>
      <c r="M599" s="22" t="s">
        <v>3830</v>
      </c>
      <c r="N599" s="22" t="s">
        <v>2222</v>
      </c>
      <c r="O599" s="22" t="n">
        <v>46.4</v>
      </c>
      <c r="P599" s="22" t="n">
        <v>7.55</v>
      </c>
      <c r="Q599" s="22" t="s">
        <v>7839</v>
      </c>
      <c r="R599" s="22"/>
    </row>
    <row r="600" customFormat="false" ht="15" hidden="false" customHeight="false" outlineLevel="0" collapsed="false">
      <c r="A600" s="22" t="s">
        <v>7840</v>
      </c>
      <c r="B600" s="22" t="s">
        <v>215</v>
      </c>
      <c r="C600" s="22" t="s">
        <v>7694</v>
      </c>
      <c r="D600" s="22" t="s">
        <v>6861</v>
      </c>
      <c r="E600" s="22" t="n">
        <v>36</v>
      </c>
      <c r="F600" s="22" t="s">
        <v>6581</v>
      </c>
      <c r="G600" s="22" t="s">
        <v>7696</v>
      </c>
      <c r="H600" s="22" t="n">
        <v>13</v>
      </c>
      <c r="I600" s="22" t="s">
        <v>6582</v>
      </c>
      <c r="J600" s="22" t="s">
        <v>6577</v>
      </c>
      <c r="K600" s="22" t="s">
        <v>6867</v>
      </c>
      <c r="L600" s="22" t="s">
        <v>2098</v>
      </c>
      <c r="M600" s="22" t="s">
        <v>2099</v>
      </c>
      <c r="N600" s="22" t="s">
        <v>1649</v>
      </c>
      <c r="O600" s="22" t="n">
        <v>58.9</v>
      </c>
      <c r="P600" s="22" t="n">
        <v>7.55</v>
      </c>
      <c r="Q600" s="22" t="s">
        <v>7470</v>
      </c>
      <c r="R600" s="22"/>
    </row>
    <row r="601" customFormat="false" ht="15" hidden="false" customHeight="false" outlineLevel="0" collapsed="false">
      <c r="A601" s="22" t="s">
        <v>7841</v>
      </c>
      <c r="B601" s="22" t="s">
        <v>215</v>
      </c>
      <c r="C601" s="22" t="s">
        <v>7694</v>
      </c>
      <c r="D601" s="22" t="s">
        <v>6861</v>
      </c>
      <c r="E601" s="22" t="n">
        <v>28</v>
      </c>
      <c r="F601" s="22" t="s">
        <v>6574</v>
      </c>
      <c r="G601" s="22" t="s">
        <v>7696</v>
      </c>
      <c r="H601" s="22" t="n">
        <v>10</v>
      </c>
      <c r="I601" s="22" t="s">
        <v>6576</v>
      </c>
      <c r="J601" s="22" t="s">
        <v>6577</v>
      </c>
      <c r="K601" s="22" t="s">
        <v>6870</v>
      </c>
      <c r="L601" s="22" t="s">
        <v>3122</v>
      </c>
      <c r="M601" s="22" t="s">
        <v>3123</v>
      </c>
      <c r="N601" s="22" t="s">
        <v>181</v>
      </c>
      <c r="O601" s="22" t="n">
        <v>54.2</v>
      </c>
      <c r="P601" s="22" t="n">
        <v>7.55</v>
      </c>
      <c r="Q601" s="22" t="s">
        <v>6762</v>
      </c>
      <c r="R601" s="22"/>
    </row>
    <row r="602" customFormat="false" ht="15" hidden="false" customHeight="false" outlineLevel="0" collapsed="false">
      <c r="A602" s="22" t="s">
        <v>7842</v>
      </c>
      <c r="B602" s="22" t="s">
        <v>215</v>
      </c>
      <c r="C602" s="22" t="s">
        <v>7694</v>
      </c>
      <c r="D602" s="22" t="s">
        <v>6861</v>
      </c>
      <c r="E602" s="22" t="n">
        <v>32</v>
      </c>
      <c r="F602" s="22" t="s">
        <v>6581</v>
      </c>
      <c r="G602" s="22" t="s">
        <v>7696</v>
      </c>
      <c r="H602" s="22" t="n">
        <v>12</v>
      </c>
      <c r="I602" s="22" t="s">
        <v>6576</v>
      </c>
      <c r="J602" s="22" t="s">
        <v>6577</v>
      </c>
      <c r="K602" s="22" t="s">
        <v>6873</v>
      </c>
      <c r="L602" s="22" t="s">
        <v>3638</v>
      </c>
      <c r="M602" s="22" t="s">
        <v>2135</v>
      </c>
      <c r="N602" s="22" t="s">
        <v>849</v>
      </c>
      <c r="O602" s="22" t="n">
        <v>26.2</v>
      </c>
      <c r="P602" s="22" t="n">
        <v>7.55</v>
      </c>
      <c r="Q602" s="22" t="s">
        <v>7057</v>
      </c>
      <c r="R602" s="22"/>
    </row>
    <row r="603" customFormat="false" ht="15" hidden="false" customHeight="false" outlineLevel="0" collapsed="false">
      <c r="A603" s="22" t="s">
        <v>7843</v>
      </c>
      <c r="B603" s="22" t="s">
        <v>215</v>
      </c>
      <c r="C603" s="22" t="s">
        <v>7694</v>
      </c>
      <c r="D603" s="22" t="s">
        <v>6861</v>
      </c>
      <c r="E603" s="22" t="n">
        <v>60</v>
      </c>
      <c r="F603" s="22" t="s">
        <v>7695</v>
      </c>
      <c r="G603" s="22" t="s">
        <v>7696</v>
      </c>
      <c r="H603" s="22" t="n">
        <v>20</v>
      </c>
      <c r="I603" s="22" t="s">
        <v>7697</v>
      </c>
      <c r="J603" s="22" t="s">
        <v>6577</v>
      </c>
      <c r="K603" s="22" t="s">
        <v>6876</v>
      </c>
      <c r="L603" s="22" t="s">
        <v>1754</v>
      </c>
      <c r="M603" s="22" t="s">
        <v>1755</v>
      </c>
      <c r="N603" s="22" t="s">
        <v>1353</v>
      </c>
      <c r="O603" s="22" t="n">
        <v>37.4</v>
      </c>
      <c r="P603" s="22" t="n">
        <v>7.55</v>
      </c>
      <c r="Q603" s="22" t="s">
        <v>7844</v>
      </c>
      <c r="R603" s="22"/>
    </row>
    <row r="604" customFormat="false" ht="15" hidden="false" customHeight="false" outlineLevel="0" collapsed="false">
      <c r="A604" s="22" t="s">
        <v>7845</v>
      </c>
      <c r="B604" s="22" t="s">
        <v>215</v>
      </c>
      <c r="C604" s="22" t="s">
        <v>7694</v>
      </c>
      <c r="D604" s="22" t="s">
        <v>6861</v>
      </c>
      <c r="E604" s="22" t="n">
        <v>70</v>
      </c>
      <c r="F604" s="22" t="s">
        <v>7695</v>
      </c>
      <c r="G604" s="22" t="s">
        <v>7696</v>
      </c>
      <c r="H604" s="22" t="n">
        <v>22</v>
      </c>
      <c r="I604" s="22" t="s">
        <v>7697</v>
      </c>
      <c r="J604" s="22" t="s">
        <v>6577</v>
      </c>
      <c r="K604" s="22" t="s">
        <v>6879</v>
      </c>
      <c r="L604" s="22" t="s">
        <v>4462</v>
      </c>
      <c r="M604" s="22" t="s">
        <v>4463</v>
      </c>
      <c r="N604" s="22" t="s">
        <v>1956</v>
      </c>
      <c r="O604" s="22" t="n">
        <v>55.2</v>
      </c>
      <c r="P604" s="22" t="n">
        <v>7.55</v>
      </c>
      <c r="Q604" s="22" t="s">
        <v>7846</v>
      </c>
      <c r="R604" s="22"/>
    </row>
    <row r="605" customFormat="false" ht="15" hidden="false" customHeight="false" outlineLevel="0" collapsed="false">
      <c r="A605" s="22" t="s">
        <v>7847</v>
      </c>
      <c r="B605" s="22" t="s">
        <v>215</v>
      </c>
      <c r="C605" s="22" t="s">
        <v>7694</v>
      </c>
      <c r="D605" s="22" t="s">
        <v>6861</v>
      </c>
      <c r="E605" s="22" t="n">
        <v>36</v>
      </c>
      <c r="F605" s="22" t="s">
        <v>6581</v>
      </c>
      <c r="G605" s="22" t="s">
        <v>7696</v>
      </c>
      <c r="H605" s="22" t="n">
        <v>13</v>
      </c>
      <c r="I605" s="22" t="s">
        <v>6582</v>
      </c>
      <c r="J605" s="22" t="s">
        <v>6577</v>
      </c>
      <c r="K605" s="22" t="s">
        <v>6881</v>
      </c>
      <c r="L605" s="22" t="s">
        <v>5808</v>
      </c>
      <c r="M605" s="22" t="s">
        <v>5809</v>
      </c>
      <c r="N605" s="22" t="s">
        <v>1840</v>
      </c>
      <c r="O605" s="22" t="n">
        <v>59.7</v>
      </c>
      <c r="P605" s="22" t="n">
        <v>7.55</v>
      </c>
      <c r="Q605" s="22" t="s">
        <v>7434</v>
      </c>
      <c r="R605" s="22"/>
    </row>
    <row r="606" customFormat="false" ht="15" hidden="false" customHeight="false" outlineLevel="0" collapsed="false">
      <c r="A606" s="22" t="s">
        <v>7848</v>
      </c>
      <c r="B606" s="22" t="s">
        <v>215</v>
      </c>
      <c r="C606" s="22" t="s">
        <v>7694</v>
      </c>
      <c r="D606" s="22" t="s">
        <v>6861</v>
      </c>
      <c r="E606" s="22" t="n">
        <v>40</v>
      </c>
      <c r="F606" s="22" t="s">
        <v>6581</v>
      </c>
      <c r="G606" s="22" t="s">
        <v>7696</v>
      </c>
      <c r="H606" s="22" t="n">
        <v>14</v>
      </c>
      <c r="I606" s="22" t="s">
        <v>6582</v>
      </c>
      <c r="J606" s="22" t="s">
        <v>6613</v>
      </c>
      <c r="K606" s="22"/>
      <c r="L606" s="22"/>
      <c r="M606" s="22"/>
      <c r="N606" s="22"/>
      <c r="O606" s="22"/>
      <c r="P606" s="22" t="n">
        <v>7.55</v>
      </c>
      <c r="Q606" s="22" t="s">
        <v>7078</v>
      </c>
      <c r="R606" s="22"/>
    </row>
    <row r="607" customFormat="false" ht="15" hidden="false" customHeight="false" outlineLevel="0" collapsed="false">
      <c r="A607" s="22" t="s">
        <v>7849</v>
      </c>
      <c r="B607" s="22" t="s">
        <v>215</v>
      </c>
      <c r="C607" s="22" t="s">
        <v>7694</v>
      </c>
      <c r="D607" s="22" t="s">
        <v>6861</v>
      </c>
      <c r="E607" s="22" t="n">
        <v>28</v>
      </c>
      <c r="F607" s="22" t="s">
        <v>6574</v>
      </c>
      <c r="G607" s="22" t="s">
        <v>7696</v>
      </c>
      <c r="H607" s="22" t="n">
        <v>10</v>
      </c>
      <c r="I607" s="22" t="s">
        <v>6576</v>
      </c>
      <c r="J607" s="22" t="s">
        <v>6577</v>
      </c>
      <c r="K607" s="22" t="s">
        <v>6886</v>
      </c>
      <c r="L607" s="22" t="s">
        <v>5430</v>
      </c>
      <c r="M607" s="22" t="s">
        <v>3176</v>
      </c>
      <c r="N607" s="22" t="s">
        <v>2868</v>
      </c>
      <c r="O607" s="22" t="n">
        <v>52.5</v>
      </c>
      <c r="P607" s="22" t="n">
        <v>7.55</v>
      </c>
      <c r="Q607" s="22" t="s">
        <v>7054</v>
      </c>
      <c r="R607" s="22"/>
    </row>
    <row r="608" customFormat="false" ht="15" hidden="false" customHeight="false" outlineLevel="0" collapsed="false">
      <c r="A608" s="22" t="s">
        <v>7850</v>
      </c>
      <c r="B608" s="22" t="s">
        <v>215</v>
      </c>
      <c r="C608" s="22" t="s">
        <v>7694</v>
      </c>
      <c r="D608" s="22" t="s">
        <v>6861</v>
      </c>
      <c r="E608" s="22" t="n">
        <v>28</v>
      </c>
      <c r="F608" s="22" t="s">
        <v>6574</v>
      </c>
      <c r="G608" s="22" t="s">
        <v>7696</v>
      </c>
      <c r="H608" s="22" t="n">
        <v>10</v>
      </c>
      <c r="I608" s="22" t="s">
        <v>6576</v>
      </c>
      <c r="J608" s="22" t="s">
        <v>6577</v>
      </c>
      <c r="K608" s="22" t="s">
        <v>6889</v>
      </c>
      <c r="L608" s="22" t="s">
        <v>5313</v>
      </c>
      <c r="M608" s="22" t="s">
        <v>5314</v>
      </c>
      <c r="N608" s="22" t="s">
        <v>321</v>
      </c>
      <c r="O608" s="22" t="n">
        <v>35.3</v>
      </c>
      <c r="P608" s="22" t="n">
        <v>7.55</v>
      </c>
      <c r="Q608" s="22" t="s">
        <v>7217</v>
      </c>
      <c r="R608" s="22"/>
    </row>
    <row r="609" customFormat="false" ht="15" hidden="false" customHeight="false" outlineLevel="0" collapsed="false">
      <c r="A609" s="22" t="s">
        <v>7851</v>
      </c>
      <c r="B609" s="22" t="s">
        <v>215</v>
      </c>
      <c r="C609" s="22" t="s">
        <v>7694</v>
      </c>
      <c r="D609" s="22" t="s">
        <v>6861</v>
      </c>
      <c r="E609" s="22" t="n">
        <v>60</v>
      </c>
      <c r="F609" s="22" t="s">
        <v>7695</v>
      </c>
      <c r="G609" s="22" t="s">
        <v>7696</v>
      </c>
      <c r="H609" s="22" t="n">
        <v>20</v>
      </c>
      <c r="I609" s="22" t="s">
        <v>7697</v>
      </c>
      <c r="J609" s="22" t="s">
        <v>6577</v>
      </c>
      <c r="K609" s="22" t="s">
        <v>6892</v>
      </c>
      <c r="L609" s="22" t="s">
        <v>4484</v>
      </c>
      <c r="M609" s="22" t="s">
        <v>4485</v>
      </c>
      <c r="N609" s="22" t="s">
        <v>1767</v>
      </c>
      <c r="O609" s="22" t="n">
        <v>43.8</v>
      </c>
      <c r="P609" s="22" t="n">
        <v>7.55</v>
      </c>
      <c r="Q609" s="22" t="s">
        <v>6781</v>
      </c>
      <c r="R609" s="22"/>
    </row>
    <row r="610" customFormat="false" ht="15" hidden="false" customHeight="false" outlineLevel="0" collapsed="false">
      <c r="A610" s="22" t="s">
        <v>7852</v>
      </c>
      <c r="B610" s="22" t="s">
        <v>215</v>
      </c>
      <c r="C610" s="22" t="s">
        <v>7694</v>
      </c>
      <c r="D610" s="22" t="s">
        <v>6861</v>
      </c>
      <c r="E610" s="22" t="n">
        <v>24</v>
      </c>
      <c r="F610" s="22" t="s">
        <v>6574</v>
      </c>
      <c r="G610" s="22" t="s">
        <v>7696</v>
      </c>
      <c r="H610" s="22" t="n">
        <v>9</v>
      </c>
      <c r="I610" s="22" t="s">
        <v>6576</v>
      </c>
      <c r="J610" s="22" t="s">
        <v>6577</v>
      </c>
      <c r="K610" s="22" t="s">
        <v>6895</v>
      </c>
      <c r="L610" s="22" t="s">
        <v>1957</v>
      </c>
      <c r="M610" s="22" t="s">
        <v>1958</v>
      </c>
      <c r="N610" s="22" t="s">
        <v>1959</v>
      </c>
      <c r="O610" s="22" t="n">
        <v>40.1</v>
      </c>
      <c r="P610" s="22" t="n">
        <v>7.55</v>
      </c>
      <c r="Q610" s="22" t="s">
        <v>7853</v>
      </c>
      <c r="R610" s="22"/>
    </row>
    <row r="611" customFormat="false" ht="15" hidden="false" customHeight="false" outlineLevel="0" collapsed="false">
      <c r="A611" s="22" t="s">
        <v>7854</v>
      </c>
      <c r="B611" s="22" t="s">
        <v>215</v>
      </c>
      <c r="C611" s="22" t="s">
        <v>7694</v>
      </c>
      <c r="D611" s="22" t="s">
        <v>6861</v>
      </c>
      <c r="E611" s="22" t="n">
        <v>24</v>
      </c>
      <c r="F611" s="22" t="s">
        <v>6574</v>
      </c>
      <c r="G611" s="22" t="s">
        <v>7696</v>
      </c>
      <c r="H611" s="22" t="n">
        <v>9</v>
      </c>
      <c r="I611" s="22" t="s">
        <v>6576</v>
      </c>
      <c r="J611" s="22" t="s">
        <v>6577</v>
      </c>
      <c r="K611" s="22" t="s">
        <v>6898</v>
      </c>
      <c r="L611" s="22" t="s">
        <v>4101</v>
      </c>
      <c r="M611" s="22" t="s">
        <v>4102</v>
      </c>
      <c r="N611" s="22" t="s">
        <v>3602</v>
      </c>
      <c r="O611" s="22" t="n">
        <v>50.2</v>
      </c>
      <c r="P611" s="22" t="n">
        <v>7.55</v>
      </c>
      <c r="Q611" s="22" t="s">
        <v>7068</v>
      </c>
      <c r="R611" s="22"/>
    </row>
    <row r="612" customFormat="false" ht="15" hidden="false" customHeight="false" outlineLevel="0" collapsed="false">
      <c r="A612" s="22" t="s">
        <v>7855</v>
      </c>
      <c r="B612" s="22" t="s">
        <v>215</v>
      </c>
      <c r="C612" s="22" t="s">
        <v>7694</v>
      </c>
      <c r="D612" s="22" t="s">
        <v>6861</v>
      </c>
      <c r="E612" s="22" t="n">
        <v>24</v>
      </c>
      <c r="F612" s="22" t="s">
        <v>6574</v>
      </c>
      <c r="G612" s="22" t="s">
        <v>7696</v>
      </c>
      <c r="H612" s="22" t="n">
        <v>9</v>
      </c>
      <c r="I612" s="22" t="s">
        <v>6576</v>
      </c>
      <c r="J612" s="22" t="s">
        <v>6577</v>
      </c>
      <c r="K612" s="22" t="s">
        <v>7485</v>
      </c>
      <c r="L612" s="22" t="s">
        <v>2495</v>
      </c>
      <c r="M612" s="22" t="s">
        <v>2496</v>
      </c>
      <c r="N612" s="22" t="s">
        <v>1060</v>
      </c>
      <c r="O612" s="22" t="n">
        <v>61</v>
      </c>
      <c r="P612" s="22" t="n">
        <v>7.55</v>
      </c>
      <c r="Q612" s="22" t="s">
        <v>7273</v>
      </c>
      <c r="R612" s="22"/>
    </row>
    <row r="613" customFormat="false" ht="15" hidden="false" customHeight="false" outlineLevel="0" collapsed="false">
      <c r="A613" s="22" t="s">
        <v>7856</v>
      </c>
      <c r="B613" s="22" t="s">
        <v>215</v>
      </c>
      <c r="C613" s="22" t="s">
        <v>7694</v>
      </c>
      <c r="D613" s="22" t="s">
        <v>6861</v>
      </c>
      <c r="E613" s="22" t="n">
        <v>40</v>
      </c>
      <c r="F613" s="22" t="s">
        <v>6581</v>
      </c>
      <c r="G613" s="22" t="s">
        <v>7696</v>
      </c>
      <c r="H613" s="22" t="n">
        <v>14</v>
      </c>
      <c r="I613" s="22" t="s">
        <v>6582</v>
      </c>
      <c r="J613" s="22" t="s">
        <v>6577</v>
      </c>
      <c r="K613" s="22" t="s">
        <v>6903</v>
      </c>
      <c r="L613" s="22" t="s">
        <v>6552</v>
      </c>
      <c r="M613" s="22" t="s">
        <v>6553</v>
      </c>
      <c r="N613" s="22" t="s">
        <v>2297</v>
      </c>
      <c r="O613" s="22" t="n">
        <v>30.5</v>
      </c>
      <c r="P613" s="22" t="n">
        <v>7.55</v>
      </c>
      <c r="Q613" s="22" t="s">
        <v>6836</v>
      </c>
      <c r="R613" s="22"/>
    </row>
    <row r="614" customFormat="false" ht="15" hidden="false" customHeight="false" outlineLevel="0" collapsed="false">
      <c r="A614" s="22" t="s">
        <v>7857</v>
      </c>
      <c r="B614" s="22" t="s">
        <v>215</v>
      </c>
      <c r="C614" s="22" t="s">
        <v>7694</v>
      </c>
      <c r="D614" s="22" t="s">
        <v>6861</v>
      </c>
      <c r="E614" s="22" t="n">
        <v>24</v>
      </c>
      <c r="F614" s="22" t="s">
        <v>6574</v>
      </c>
      <c r="G614" s="22" t="s">
        <v>7696</v>
      </c>
      <c r="H614" s="22" t="n">
        <v>9</v>
      </c>
      <c r="I614" s="22" t="s">
        <v>6576</v>
      </c>
      <c r="J614" s="22" t="s">
        <v>6577</v>
      </c>
      <c r="K614" s="22" t="s">
        <v>6906</v>
      </c>
      <c r="L614" s="22" t="s">
        <v>1909</v>
      </c>
      <c r="M614" s="22" t="s">
        <v>1910</v>
      </c>
      <c r="N614" s="22" t="s">
        <v>1911</v>
      </c>
      <c r="O614" s="22" t="n">
        <v>38.6</v>
      </c>
      <c r="P614" s="22" t="n">
        <v>7.55</v>
      </c>
      <c r="Q614" s="22" t="s">
        <v>7858</v>
      </c>
      <c r="R614" s="22"/>
    </row>
    <row r="615" customFormat="false" ht="15" hidden="false" customHeight="false" outlineLevel="0" collapsed="false">
      <c r="A615" s="22" t="s">
        <v>7859</v>
      </c>
      <c r="B615" s="22" t="s">
        <v>215</v>
      </c>
      <c r="C615" s="22" t="s">
        <v>7694</v>
      </c>
      <c r="D615" s="22" t="s">
        <v>6861</v>
      </c>
      <c r="E615" s="22" t="n">
        <v>50</v>
      </c>
      <c r="F615" s="22" t="s">
        <v>7704</v>
      </c>
      <c r="G615" s="22" t="s">
        <v>7696</v>
      </c>
      <c r="H615" s="22" t="n">
        <v>18</v>
      </c>
      <c r="I615" s="22" t="s">
        <v>7705</v>
      </c>
      <c r="J615" s="22" t="s">
        <v>6577</v>
      </c>
      <c r="K615" s="22" t="s">
        <v>6909</v>
      </c>
      <c r="L615" s="22" t="s">
        <v>1337</v>
      </c>
      <c r="M615" s="22" t="s">
        <v>1338</v>
      </c>
      <c r="N615" s="22" t="s">
        <v>1339</v>
      </c>
      <c r="O615" s="22" t="n">
        <v>36.8</v>
      </c>
      <c r="P615" s="22" t="n">
        <v>7.55</v>
      </c>
      <c r="Q615" s="22" t="s">
        <v>6874</v>
      </c>
      <c r="R615" s="22"/>
    </row>
    <row r="616" customFormat="false" ht="15" hidden="false" customHeight="false" outlineLevel="0" collapsed="false">
      <c r="A616" s="22" t="s">
        <v>7860</v>
      </c>
      <c r="B616" s="22" t="s">
        <v>215</v>
      </c>
      <c r="C616" s="22" t="s">
        <v>7694</v>
      </c>
      <c r="D616" s="22" t="s">
        <v>6861</v>
      </c>
      <c r="E616" s="22" t="n">
        <v>32</v>
      </c>
      <c r="F616" s="22" t="s">
        <v>6581</v>
      </c>
      <c r="G616" s="22" t="s">
        <v>7696</v>
      </c>
      <c r="H616" s="22" t="n">
        <v>12</v>
      </c>
      <c r="I616" s="22" t="s">
        <v>6576</v>
      </c>
      <c r="J616" s="22" t="s">
        <v>6577</v>
      </c>
      <c r="K616" s="22" t="s">
        <v>6912</v>
      </c>
      <c r="L616" s="22" t="s">
        <v>2119</v>
      </c>
      <c r="M616" s="22" t="s">
        <v>2120</v>
      </c>
      <c r="N616" s="22" t="s">
        <v>230</v>
      </c>
      <c r="O616" s="22" t="n">
        <v>53.2</v>
      </c>
      <c r="P616" s="22" t="n">
        <v>7.55</v>
      </c>
      <c r="Q616" s="22" t="s">
        <v>7615</v>
      </c>
      <c r="R616" s="22"/>
    </row>
    <row r="617" customFormat="false" ht="15" hidden="false" customHeight="false" outlineLevel="0" collapsed="false">
      <c r="A617" s="22" t="s">
        <v>7861</v>
      </c>
      <c r="B617" s="22" t="s">
        <v>215</v>
      </c>
      <c r="C617" s="22" t="s">
        <v>7694</v>
      </c>
      <c r="D617" s="22" t="s">
        <v>6861</v>
      </c>
      <c r="E617" s="22" t="n">
        <v>24</v>
      </c>
      <c r="F617" s="22" t="s">
        <v>6574</v>
      </c>
      <c r="G617" s="22" t="s">
        <v>7696</v>
      </c>
      <c r="H617" s="22" t="n">
        <v>9</v>
      </c>
      <c r="I617" s="22" t="s">
        <v>6576</v>
      </c>
      <c r="J617" s="22" t="s">
        <v>6577</v>
      </c>
      <c r="K617" s="22" t="s">
        <v>6915</v>
      </c>
      <c r="L617" s="22" t="s">
        <v>4109</v>
      </c>
      <c r="M617" s="22" t="s">
        <v>4110</v>
      </c>
      <c r="N617" s="22" t="s">
        <v>1553</v>
      </c>
      <c r="O617" s="22" t="n">
        <v>26.9</v>
      </c>
      <c r="P617" s="22" t="n">
        <v>7.55</v>
      </c>
      <c r="Q617" s="22" t="s">
        <v>7862</v>
      </c>
      <c r="R617" s="22"/>
    </row>
    <row r="618" customFormat="false" ht="15" hidden="false" customHeight="false" outlineLevel="0" collapsed="false">
      <c r="A618" s="22" t="s">
        <v>7863</v>
      </c>
      <c r="B618" s="22" t="s">
        <v>215</v>
      </c>
      <c r="C618" s="22" t="s">
        <v>7694</v>
      </c>
      <c r="D618" s="22" t="s">
        <v>6861</v>
      </c>
      <c r="E618" s="22" t="n">
        <v>50</v>
      </c>
      <c r="F618" s="22" t="s">
        <v>7704</v>
      </c>
      <c r="G618" s="22" t="s">
        <v>7696</v>
      </c>
      <c r="H618" s="22" t="n">
        <v>18</v>
      </c>
      <c r="I618" s="22" t="s">
        <v>7705</v>
      </c>
      <c r="J618" s="22" t="s">
        <v>6577</v>
      </c>
      <c r="K618" s="22" t="s">
        <v>6918</v>
      </c>
      <c r="L618" s="22" t="s">
        <v>4717</v>
      </c>
      <c r="M618" s="22" t="s">
        <v>4718</v>
      </c>
      <c r="N618" s="22" t="s">
        <v>269</v>
      </c>
      <c r="O618" s="22" t="n">
        <v>38.3</v>
      </c>
      <c r="P618" s="22" t="n">
        <v>7.55</v>
      </c>
      <c r="Q618" s="22" t="s">
        <v>7864</v>
      </c>
      <c r="R618" s="22"/>
    </row>
    <row r="619" customFormat="false" ht="15" hidden="false" customHeight="false" outlineLevel="0" collapsed="false">
      <c r="A619" s="22" t="s">
        <v>7865</v>
      </c>
      <c r="B619" s="22" t="s">
        <v>215</v>
      </c>
      <c r="C619" s="22" t="s">
        <v>7694</v>
      </c>
      <c r="D619" s="22" t="s">
        <v>6861</v>
      </c>
      <c r="E619" s="22" t="n">
        <v>36</v>
      </c>
      <c r="F619" s="22" t="s">
        <v>6581</v>
      </c>
      <c r="G619" s="22" t="s">
        <v>7696</v>
      </c>
      <c r="H619" s="22" t="n">
        <v>13</v>
      </c>
      <c r="I619" s="22" t="s">
        <v>6582</v>
      </c>
      <c r="J619" s="22" t="s">
        <v>6577</v>
      </c>
      <c r="K619" s="22" t="s">
        <v>6921</v>
      </c>
      <c r="L619" s="22" t="s">
        <v>5997</v>
      </c>
      <c r="M619" s="22" t="s">
        <v>5998</v>
      </c>
      <c r="N619" s="22" t="s">
        <v>3213</v>
      </c>
      <c r="O619" s="22" t="n">
        <v>26.5</v>
      </c>
      <c r="P619" s="22" t="n">
        <v>7.55</v>
      </c>
      <c r="Q619" s="22" t="s">
        <v>7791</v>
      </c>
      <c r="R619" s="22"/>
    </row>
    <row r="620" customFormat="false" ht="15" hidden="false" customHeight="false" outlineLevel="0" collapsed="false">
      <c r="A620" s="22" t="s">
        <v>7866</v>
      </c>
      <c r="B620" s="22" t="s">
        <v>215</v>
      </c>
      <c r="C620" s="22" t="s">
        <v>7694</v>
      </c>
      <c r="D620" s="22" t="s">
        <v>6861</v>
      </c>
      <c r="E620" s="22" t="n">
        <v>24</v>
      </c>
      <c r="F620" s="22" t="s">
        <v>6574</v>
      </c>
      <c r="G620" s="22" t="s">
        <v>7696</v>
      </c>
      <c r="H620" s="22" t="n">
        <v>9</v>
      </c>
      <c r="I620" s="22" t="s">
        <v>6576</v>
      </c>
      <c r="J620" s="22" t="s">
        <v>6577</v>
      </c>
      <c r="K620" s="22" t="s">
        <v>6924</v>
      </c>
      <c r="L620" s="22" t="s">
        <v>2577</v>
      </c>
      <c r="M620" s="22" t="s">
        <v>2578</v>
      </c>
      <c r="N620" s="22" t="s">
        <v>871</v>
      </c>
      <c r="O620" s="22" t="n">
        <v>57.9</v>
      </c>
      <c r="P620" s="22" t="n">
        <v>7.55</v>
      </c>
      <c r="Q620" s="22" t="s">
        <v>7259</v>
      </c>
      <c r="R620" s="22"/>
    </row>
    <row r="621" customFormat="false" ht="15" hidden="false" customHeight="false" outlineLevel="0" collapsed="false">
      <c r="A621" s="22" t="s">
        <v>7867</v>
      </c>
      <c r="B621" s="22" t="s">
        <v>215</v>
      </c>
      <c r="C621" s="22" t="s">
        <v>7694</v>
      </c>
      <c r="D621" s="22" t="s">
        <v>6861</v>
      </c>
      <c r="E621" s="22" t="n">
        <v>32</v>
      </c>
      <c r="F621" s="22" t="s">
        <v>6581</v>
      </c>
      <c r="G621" s="22" t="s">
        <v>7696</v>
      </c>
      <c r="H621" s="22" t="n">
        <v>12</v>
      </c>
      <c r="I621" s="22" t="s">
        <v>6576</v>
      </c>
      <c r="J621" s="22" t="s">
        <v>6577</v>
      </c>
      <c r="K621" s="22" t="s">
        <v>6926</v>
      </c>
      <c r="L621" s="22" t="s">
        <v>996</v>
      </c>
      <c r="M621" s="22" t="s">
        <v>997</v>
      </c>
      <c r="N621" s="22" t="s">
        <v>7868</v>
      </c>
      <c r="O621" s="22" t="n">
        <v>19.2</v>
      </c>
      <c r="P621" s="22" t="n">
        <v>7.55</v>
      </c>
      <c r="Q621" s="22" t="s">
        <v>7869</v>
      </c>
      <c r="R621" s="22"/>
    </row>
    <row r="622" customFormat="false" ht="15" hidden="false" customHeight="false" outlineLevel="0" collapsed="false">
      <c r="A622" s="22" t="s">
        <v>7870</v>
      </c>
      <c r="B622" s="22" t="s">
        <v>215</v>
      </c>
      <c r="C622" s="22" t="s">
        <v>7694</v>
      </c>
      <c r="D622" s="22" t="s">
        <v>6929</v>
      </c>
      <c r="E622" s="22" t="n">
        <v>24</v>
      </c>
      <c r="F622" s="22" t="s">
        <v>6574</v>
      </c>
      <c r="G622" s="22" t="s">
        <v>7696</v>
      </c>
      <c r="H622" s="22" t="n">
        <v>9</v>
      </c>
      <c r="I622" s="22" t="s">
        <v>6576</v>
      </c>
      <c r="J622" s="22" t="s">
        <v>6577</v>
      </c>
      <c r="K622" s="22" t="s">
        <v>6930</v>
      </c>
      <c r="L622" s="22" t="s">
        <v>4285</v>
      </c>
      <c r="M622" s="22" t="s">
        <v>4286</v>
      </c>
      <c r="N622" s="22" t="s">
        <v>4287</v>
      </c>
      <c r="O622" s="22" t="n">
        <v>22.8</v>
      </c>
      <c r="P622" s="22" t="n">
        <v>7.55</v>
      </c>
      <c r="Q622" s="22" t="s">
        <v>7871</v>
      </c>
      <c r="R622" s="22"/>
    </row>
    <row r="623" customFormat="false" ht="15" hidden="false" customHeight="false" outlineLevel="0" collapsed="false">
      <c r="A623" s="22" t="s">
        <v>7872</v>
      </c>
      <c r="B623" s="22" t="s">
        <v>215</v>
      </c>
      <c r="C623" s="22" t="s">
        <v>7694</v>
      </c>
      <c r="D623" s="22" t="s">
        <v>6929</v>
      </c>
      <c r="E623" s="22" t="n">
        <v>50</v>
      </c>
      <c r="F623" s="22" t="s">
        <v>7704</v>
      </c>
      <c r="G623" s="22" t="s">
        <v>7696</v>
      </c>
      <c r="H623" s="22" t="n">
        <v>18</v>
      </c>
      <c r="I623" s="22" t="s">
        <v>7705</v>
      </c>
      <c r="J623" s="22" t="s">
        <v>6577</v>
      </c>
      <c r="K623" s="22" t="s">
        <v>6933</v>
      </c>
      <c r="L623" s="22" t="s">
        <v>3855</v>
      </c>
      <c r="M623" s="22" t="s">
        <v>3856</v>
      </c>
      <c r="N623" s="22" t="s">
        <v>2533</v>
      </c>
      <c r="O623" s="22" t="n">
        <v>26.9</v>
      </c>
      <c r="P623" s="22" t="n">
        <v>7.55</v>
      </c>
      <c r="Q623" s="22" t="s">
        <v>7873</v>
      </c>
      <c r="R623" s="22"/>
    </row>
    <row r="624" customFormat="false" ht="15" hidden="false" customHeight="false" outlineLevel="0" collapsed="false">
      <c r="A624" s="22" t="s">
        <v>7874</v>
      </c>
      <c r="B624" s="22" t="s">
        <v>215</v>
      </c>
      <c r="C624" s="22" t="s">
        <v>7694</v>
      </c>
      <c r="D624" s="22" t="s">
        <v>6929</v>
      </c>
      <c r="E624" s="22" t="n">
        <v>24</v>
      </c>
      <c r="F624" s="22" t="s">
        <v>6574</v>
      </c>
      <c r="G624" s="22" t="s">
        <v>7696</v>
      </c>
      <c r="H624" s="22" t="n">
        <v>9</v>
      </c>
      <c r="I624" s="22" t="s">
        <v>6576</v>
      </c>
      <c r="J624" s="22" t="s">
        <v>6577</v>
      </c>
      <c r="K624" s="22" t="s">
        <v>6936</v>
      </c>
      <c r="L624" s="22" t="s">
        <v>6071</v>
      </c>
      <c r="M624" s="22" t="s">
        <v>6072</v>
      </c>
      <c r="N624" s="22" t="s">
        <v>1548</v>
      </c>
      <c r="O624" s="22" t="n">
        <v>22</v>
      </c>
      <c r="P624" s="22" t="n">
        <v>7.55</v>
      </c>
      <c r="Q624" s="22" t="s">
        <v>7875</v>
      </c>
      <c r="R624" s="22"/>
    </row>
    <row r="625" customFormat="false" ht="15" hidden="false" customHeight="false" outlineLevel="0" collapsed="false">
      <c r="A625" s="22" t="s">
        <v>7876</v>
      </c>
      <c r="B625" s="22" t="s">
        <v>215</v>
      </c>
      <c r="C625" s="22" t="s">
        <v>7694</v>
      </c>
      <c r="D625" s="22" t="s">
        <v>6929</v>
      </c>
      <c r="E625" s="22" t="n">
        <v>60</v>
      </c>
      <c r="F625" s="22" t="s">
        <v>7695</v>
      </c>
      <c r="G625" s="22" t="s">
        <v>7696</v>
      </c>
      <c r="H625" s="22" t="n">
        <v>20</v>
      </c>
      <c r="I625" s="22" t="s">
        <v>7697</v>
      </c>
      <c r="J625" s="22" t="s">
        <v>6577</v>
      </c>
      <c r="K625" s="22" t="s">
        <v>6939</v>
      </c>
      <c r="L625" s="22" t="s">
        <v>3282</v>
      </c>
      <c r="M625" s="22" t="s">
        <v>3283</v>
      </c>
      <c r="N625" s="22" t="s">
        <v>2643</v>
      </c>
      <c r="O625" s="22" t="n">
        <v>35</v>
      </c>
      <c r="P625" s="22" t="n">
        <v>7.55</v>
      </c>
      <c r="Q625" s="22" t="s">
        <v>7877</v>
      </c>
      <c r="R625" s="22"/>
    </row>
    <row r="626" customFormat="false" ht="15" hidden="false" customHeight="false" outlineLevel="0" collapsed="false">
      <c r="A626" s="22" t="s">
        <v>7878</v>
      </c>
      <c r="B626" s="22" t="s">
        <v>215</v>
      </c>
      <c r="C626" s="22" t="s">
        <v>7694</v>
      </c>
      <c r="D626" s="22" t="s">
        <v>6929</v>
      </c>
      <c r="E626" s="22" t="n">
        <v>40</v>
      </c>
      <c r="F626" s="22" t="s">
        <v>6581</v>
      </c>
      <c r="G626" s="22" t="s">
        <v>7696</v>
      </c>
      <c r="H626" s="22" t="n">
        <v>14</v>
      </c>
      <c r="I626" s="22" t="s">
        <v>6582</v>
      </c>
      <c r="J626" s="22" t="s">
        <v>6577</v>
      </c>
      <c r="K626" s="22" t="s">
        <v>6942</v>
      </c>
      <c r="L626" s="22" t="s">
        <v>2676</v>
      </c>
      <c r="M626" s="22" t="s">
        <v>2677</v>
      </c>
      <c r="N626" s="22" t="s">
        <v>1198</v>
      </c>
      <c r="O626" s="22" t="n">
        <v>54.9</v>
      </c>
      <c r="P626" s="22" t="n">
        <v>7.55</v>
      </c>
      <c r="Q626" s="22" t="s">
        <v>6871</v>
      </c>
      <c r="R626" s="22"/>
    </row>
    <row r="627" customFormat="false" ht="15" hidden="false" customHeight="false" outlineLevel="0" collapsed="false">
      <c r="A627" s="22" t="s">
        <v>7879</v>
      </c>
      <c r="B627" s="22" t="s">
        <v>215</v>
      </c>
      <c r="C627" s="22" t="s">
        <v>7694</v>
      </c>
      <c r="D627" s="22" t="s">
        <v>6929</v>
      </c>
      <c r="E627" s="22" t="n">
        <v>45</v>
      </c>
      <c r="F627" s="22" t="s">
        <v>7704</v>
      </c>
      <c r="G627" s="22" t="s">
        <v>7696</v>
      </c>
      <c r="H627" s="22" t="n">
        <v>16</v>
      </c>
      <c r="I627" s="22" t="s">
        <v>7705</v>
      </c>
      <c r="J627" s="22" t="s">
        <v>6577</v>
      </c>
      <c r="K627" s="22" t="s">
        <v>6945</v>
      </c>
      <c r="L627" s="22" t="s">
        <v>5601</v>
      </c>
      <c r="M627" s="22" t="s">
        <v>5602</v>
      </c>
      <c r="N627" s="22" t="s">
        <v>576</v>
      </c>
      <c r="O627" s="22" t="n">
        <v>53.8</v>
      </c>
      <c r="P627" s="22" t="n">
        <v>7.55</v>
      </c>
      <c r="Q627" s="22" t="s">
        <v>7722</v>
      </c>
      <c r="R627" s="22"/>
    </row>
    <row r="628" customFormat="false" ht="15" hidden="false" customHeight="false" outlineLevel="0" collapsed="false">
      <c r="A628" s="22" t="s">
        <v>7880</v>
      </c>
      <c r="B628" s="22" t="s">
        <v>215</v>
      </c>
      <c r="C628" s="22" t="s">
        <v>7694</v>
      </c>
      <c r="D628" s="22" t="s">
        <v>6929</v>
      </c>
      <c r="E628" s="22" t="n">
        <v>24</v>
      </c>
      <c r="F628" s="22" t="s">
        <v>6574</v>
      </c>
      <c r="G628" s="22" t="s">
        <v>7696</v>
      </c>
      <c r="H628" s="22" t="n">
        <v>9</v>
      </c>
      <c r="I628" s="22" t="s">
        <v>6576</v>
      </c>
      <c r="J628" s="22" t="s">
        <v>6577</v>
      </c>
      <c r="K628" s="22" t="s">
        <v>6948</v>
      </c>
      <c r="L628" s="22" t="s">
        <v>3103</v>
      </c>
      <c r="M628" s="22" t="s">
        <v>3104</v>
      </c>
      <c r="N628" s="22" t="s">
        <v>3105</v>
      </c>
      <c r="O628" s="22" t="n">
        <v>40</v>
      </c>
      <c r="P628" s="22" t="n">
        <v>7.55</v>
      </c>
      <c r="Q628" s="22" t="s">
        <v>7680</v>
      </c>
      <c r="R628" s="22"/>
    </row>
    <row r="629" customFormat="false" ht="15" hidden="false" customHeight="false" outlineLevel="0" collapsed="false">
      <c r="A629" s="22" t="s">
        <v>7881</v>
      </c>
      <c r="B629" s="22" t="s">
        <v>215</v>
      </c>
      <c r="C629" s="22" t="s">
        <v>7694</v>
      </c>
      <c r="D629" s="22" t="s">
        <v>6929</v>
      </c>
      <c r="E629" s="22" t="n">
        <v>28</v>
      </c>
      <c r="F629" s="22" t="s">
        <v>6574</v>
      </c>
      <c r="G629" s="22" t="s">
        <v>7696</v>
      </c>
      <c r="H629" s="22" t="n">
        <v>10</v>
      </c>
      <c r="I629" s="22" t="s">
        <v>6576</v>
      </c>
      <c r="J629" s="22" t="s">
        <v>6577</v>
      </c>
      <c r="K629" s="22" t="s">
        <v>6951</v>
      </c>
      <c r="L629" s="22" t="s">
        <v>3705</v>
      </c>
      <c r="M629" s="22" t="s">
        <v>3706</v>
      </c>
      <c r="N629" s="22" t="s">
        <v>1896</v>
      </c>
      <c r="O629" s="22" t="n">
        <v>42.7</v>
      </c>
      <c r="P629" s="22" t="n">
        <v>7.55</v>
      </c>
      <c r="Q629" s="22" t="s">
        <v>7882</v>
      </c>
      <c r="R629" s="22"/>
    </row>
    <row r="630" customFormat="false" ht="15" hidden="false" customHeight="false" outlineLevel="0" collapsed="false">
      <c r="A630" s="22" t="s">
        <v>7883</v>
      </c>
      <c r="B630" s="22" t="s">
        <v>215</v>
      </c>
      <c r="C630" s="22" t="s">
        <v>7694</v>
      </c>
      <c r="D630" s="22" t="s">
        <v>6929</v>
      </c>
      <c r="E630" s="22" t="n">
        <v>28</v>
      </c>
      <c r="F630" s="22" t="s">
        <v>6574</v>
      </c>
      <c r="G630" s="22" t="s">
        <v>7696</v>
      </c>
      <c r="H630" s="22" t="n">
        <v>10</v>
      </c>
      <c r="I630" s="22" t="s">
        <v>6576</v>
      </c>
      <c r="J630" s="22" t="s">
        <v>6577</v>
      </c>
      <c r="K630" s="22" t="s">
        <v>6954</v>
      </c>
      <c r="L630" s="22" t="s">
        <v>1524</v>
      </c>
      <c r="M630" s="22" t="s">
        <v>1525</v>
      </c>
      <c r="N630" s="22" t="s">
        <v>352</v>
      </c>
      <c r="O630" s="22" t="n">
        <v>51.6</v>
      </c>
      <c r="P630" s="22" t="n">
        <v>7.55</v>
      </c>
      <c r="Q630" s="22" t="s">
        <v>6804</v>
      </c>
      <c r="R630" s="22"/>
    </row>
    <row r="631" customFormat="false" ht="15" hidden="false" customHeight="false" outlineLevel="0" collapsed="false">
      <c r="A631" s="22" t="s">
        <v>7884</v>
      </c>
      <c r="B631" s="22" t="s">
        <v>215</v>
      </c>
      <c r="C631" s="22" t="s">
        <v>7694</v>
      </c>
      <c r="D631" s="22" t="s">
        <v>6929</v>
      </c>
      <c r="E631" s="22" t="n">
        <v>28</v>
      </c>
      <c r="F631" s="22" t="s">
        <v>6574</v>
      </c>
      <c r="G631" s="22" t="s">
        <v>7696</v>
      </c>
      <c r="H631" s="22" t="n">
        <v>10</v>
      </c>
      <c r="I631" s="22" t="s">
        <v>6576</v>
      </c>
      <c r="J631" s="22" t="s">
        <v>6577</v>
      </c>
      <c r="K631" s="22" t="s">
        <v>6957</v>
      </c>
      <c r="L631" s="22" t="s">
        <v>3833</v>
      </c>
      <c r="M631" s="22" t="s">
        <v>3834</v>
      </c>
      <c r="N631" s="22" t="s">
        <v>1649</v>
      </c>
      <c r="O631" s="22" t="n">
        <v>50.3</v>
      </c>
      <c r="P631" s="22" t="n">
        <v>7.55</v>
      </c>
      <c r="Q631" s="22" t="s">
        <v>6663</v>
      </c>
      <c r="R631" s="22"/>
    </row>
    <row r="632" customFormat="false" ht="15" hidden="false" customHeight="false" outlineLevel="0" collapsed="false">
      <c r="A632" s="22" t="s">
        <v>7885</v>
      </c>
      <c r="B632" s="22" t="s">
        <v>215</v>
      </c>
      <c r="C632" s="22" t="s">
        <v>7694</v>
      </c>
      <c r="D632" s="22" t="s">
        <v>6929</v>
      </c>
      <c r="E632" s="22" t="n">
        <v>24</v>
      </c>
      <c r="F632" s="22" t="s">
        <v>6574</v>
      </c>
      <c r="G632" s="22" t="s">
        <v>7696</v>
      </c>
      <c r="H632" s="22" t="n">
        <v>9</v>
      </c>
      <c r="I632" s="22" t="s">
        <v>6576</v>
      </c>
      <c r="J632" s="22" t="s">
        <v>6577</v>
      </c>
      <c r="K632" s="22" t="s">
        <v>6960</v>
      </c>
      <c r="L632" s="22" t="s">
        <v>2189</v>
      </c>
      <c r="M632" s="22" t="s">
        <v>2190</v>
      </c>
      <c r="N632" s="22" t="s">
        <v>1968</v>
      </c>
      <c r="O632" s="22" t="n">
        <v>47</v>
      </c>
      <c r="P632" s="22" t="n">
        <v>7.55</v>
      </c>
      <c r="Q632" s="22" t="s">
        <v>6650</v>
      </c>
      <c r="R632" s="22"/>
    </row>
    <row r="633" customFormat="false" ht="15" hidden="false" customHeight="false" outlineLevel="0" collapsed="false">
      <c r="A633" s="22" t="s">
        <v>7886</v>
      </c>
      <c r="B633" s="22" t="s">
        <v>215</v>
      </c>
      <c r="C633" s="22" t="s">
        <v>7694</v>
      </c>
      <c r="D633" s="22" t="s">
        <v>6929</v>
      </c>
      <c r="E633" s="22" t="n">
        <v>70</v>
      </c>
      <c r="F633" s="22" t="s">
        <v>7695</v>
      </c>
      <c r="G633" s="22" t="s">
        <v>7696</v>
      </c>
      <c r="H633" s="22" t="n">
        <v>22</v>
      </c>
      <c r="I633" s="22" t="s">
        <v>7697</v>
      </c>
      <c r="J633" s="22" t="s">
        <v>6671</v>
      </c>
      <c r="K633" s="22"/>
      <c r="L633" s="22"/>
      <c r="M633" s="22"/>
      <c r="N633" s="22"/>
      <c r="O633" s="22"/>
      <c r="P633" s="22" t="n">
        <v>7.55</v>
      </c>
      <c r="Q633" s="22" t="s">
        <v>7887</v>
      </c>
      <c r="R633" s="22"/>
    </row>
    <row r="634" customFormat="false" ht="15" hidden="false" customHeight="false" outlineLevel="0" collapsed="false">
      <c r="A634" s="22" t="s">
        <v>7888</v>
      </c>
      <c r="B634" s="22" t="s">
        <v>215</v>
      </c>
      <c r="C634" s="22" t="s">
        <v>7694</v>
      </c>
      <c r="D634" s="22" t="s">
        <v>6929</v>
      </c>
      <c r="E634" s="22" t="n">
        <v>36</v>
      </c>
      <c r="F634" s="22" t="s">
        <v>6581</v>
      </c>
      <c r="G634" s="22" t="s">
        <v>7696</v>
      </c>
      <c r="H634" s="22" t="n">
        <v>13</v>
      </c>
      <c r="I634" s="22" t="s">
        <v>6582</v>
      </c>
      <c r="J634" s="22" t="s">
        <v>6734</v>
      </c>
      <c r="K634" s="22"/>
      <c r="L634" s="22"/>
      <c r="M634" s="22"/>
      <c r="N634" s="22"/>
      <c r="O634" s="22"/>
      <c r="P634" s="22" t="n">
        <v>7.55</v>
      </c>
      <c r="Q634" s="22" t="s">
        <v>7488</v>
      </c>
      <c r="R634" s="22"/>
    </row>
    <row r="635" customFormat="false" ht="15" hidden="false" customHeight="false" outlineLevel="0" collapsed="false">
      <c r="A635" s="22" t="s">
        <v>7889</v>
      </c>
      <c r="B635" s="22" t="s">
        <v>215</v>
      </c>
      <c r="C635" s="22" t="s">
        <v>7694</v>
      </c>
      <c r="D635" s="22" t="s">
        <v>6929</v>
      </c>
      <c r="E635" s="22" t="n">
        <v>45</v>
      </c>
      <c r="F635" s="22" t="s">
        <v>7704</v>
      </c>
      <c r="G635" s="22" t="s">
        <v>7696</v>
      </c>
      <c r="H635" s="22" t="n">
        <v>16</v>
      </c>
      <c r="I635" s="22" t="s">
        <v>7705</v>
      </c>
      <c r="J635" s="22" t="s">
        <v>6577</v>
      </c>
      <c r="K635" s="22" t="s">
        <v>6969</v>
      </c>
      <c r="L635" s="22" t="s">
        <v>3319</v>
      </c>
      <c r="M635" s="22" t="s">
        <v>3320</v>
      </c>
      <c r="N635" s="22" t="s">
        <v>933</v>
      </c>
      <c r="O635" s="22" t="n">
        <v>53</v>
      </c>
      <c r="P635" s="22" t="n">
        <v>7.55</v>
      </c>
      <c r="Q635" s="22" t="s">
        <v>7049</v>
      </c>
      <c r="R635" s="22"/>
    </row>
    <row r="636" customFormat="false" ht="15" hidden="false" customHeight="false" outlineLevel="0" collapsed="false">
      <c r="A636" s="22" t="s">
        <v>7890</v>
      </c>
      <c r="B636" s="22" t="s">
        <v>215</v>
      </c>
      <c r="C636" s="22" t="s">
        <v>7694</v>
      </c>
      <c r="D636" s="22" t="s">
        <v>6929</v>
      </c>
      <c r="E636" s="22" t="n">
        <v>45</v>
      </c>
      <c r="F636" s="22" t="s">
        <v>7704</v>
      </c>
      <c r="G636" s="22" t="s">
        <v>7696</v>
      </c>
      <c r="H636" s="22" t="n">
        <v>16</v>
      </c>
      <c r="I636" s="22" t="s">
        <v>7705</v>
      </c>
      <c r="J636" s="22" t="s">
        <v>6577</v>
      </c>
      <c r="K636" s="22" t="s">
        <v>6972</v>
      </c>
      <c r="L636" s="22" t="s">
        <v>5861</v>
      </c>
      <c r="M636" s="22" t="s">
        <v>5862</v>
      </c>
      <c r="N636" s="22" t="s">
        <v>1051</v>
      </c>
      <c r="O636" s="22" t="n">
        <v>23.5</v>
      </c>
      <c r="P636" s="22" t="n">
        <v>7.55</v>
      </c>
      <c r="Q636" s="22" t="s">
        <v>6692</v>
      </c>
      <c r="R636" s="22"/>
    </row>
    <row r="637" customFormat="false" ht="15" hidden="false" customHeight="false" outlineLevel="0" collapsed="false">
      <c r="A637" s="22" t="s">
        <v>7891</v>
      </c>
      <c r="B637" s="22" t="s">
        <v>215</v>
      </c>
      <c r="C637" s="22" t="s">
        <v>7694</v>
      </c>
      <c r="D637" s="22" t="s">
        <v>6929</v>
      </c>
      <c r="E637" s="22" t="n">
        <v>36</v>
      </c>
      <c r="F637" s="22" t="s">
        <v>6581</v>
      </c>
      <c r="G637" s="22" t="s">
        <v>7696</v>
      </c>
      <c r="H637" s="22" t="n">
        <v>13</v>
      </c>
      <c r="I637" s="22" t="s">
        <v>6582</v>
      </c>
      <c r="J637" s="22" t="s">
        <v>6577</v>
      </c>
      <c r="K637" s="22" t="s">
        <v>6975</v>
      </c>
      <c r="L637" s="22" t="s">
        <v>973</v>
      </c>
      <c r="M637" s="22" t="s">
        <v>974</v>
      </c>
      <c r="N637" s="22" t="s">
        <v>975</v>
      </c>
      <c r="O637" s="22" t="n">
        <v>42.6</v>
      </c>
      <c r="P637" s="22" t="n">
        <v>7.55</v>
      </c>
      <c r="Q637" s="22" t="s">
        <v>7892</v>
      </c>
      <c r="R637" s="22"/>
    </row>
    <row r="638" customFormat="false" ht="15" hidden="false" customHeight="false" outlineLevel="0" collapsed="false">
      <c r="A638" s="22" t="s">
        <v>7893</v>
      </c>
      <c r="B638" s="22" t="s">
        <v>215</v>
      </c>
      <c r="C638" s="22" t="s">
        <v>7694</v>
      </c>
      <c r="D638" s="22" t="s">
        <v>6929</v>
      </c>
      <c r="E638" s="22" t="n">
        <v>70</v>
      </c>
      <c r="F638" s="22" t="s">
        <v>7695</v>
      </c>
      <c r="G638" s="22" t="s">
        <v>7696</v>
      </c>
      <c r="H638" s="22" t="n">
        <v>22</v>
      </c>
      <c r="I638" s="22" t="s">
        <v>7697</v>
      </c>
      <c r="J638" s="22" t="s">
        <v>6577</v>
      </c>
      <c r="K638" s="22" t="s">
        <v>6978</v>
      </c>
      <c r="L638" s="22" t="s">
        <v>2239</v>
      </c>
      <c r="M638" s="22" t="s">
        <v>2240</v>
      </c>
      <c r="N638" s="22" t="s">
        <v>2241</v>
      </c>
      <c r="O638" s="22" t="n">
        <v>27</v>
      </c>
      <c r="P638" s="22" t="n">
        <v>7.55</v>
      </c>
      <c r="Q638" s="22" t="s">
        <v>7075</v>
      </c>
      <c r="R638" s="22"/>
    </row>
    <row r="639" customFormat="false" ht="15" hidden="false" customHeight="false" outlineLevel="0" collapsed="false">
      <c r="A639" s="22" t="s">
        <v>7894</v>
      </c>
      <c r="B639" s="22" t="s">
        <v>215</v>
      </c>
      <c r="C639" s="22" t="s">
        <v>7694</v>
      </c>
      <c r="D639" s="22" t="s">
        <v>6929</v>
      </c>
      <c r="E639" s="22" t="n">
        <v>28</v>
      </c>
      <c r="F639" s="22" t="s">
        <v>6574</v>
      </c>
      <c r="G639" s="22" t="s">
        <v>7696</v>
      </c>
      <c r="H639" s="22" t="n">
        <v>10</v>
      </c>
      <c r="I639" s="22" t="s">
        <v>6576</v>
      </c>
      <c r="J639" s="22" t="s">
        <v>6577</v>
      </c>
      <c r="K639" s="22" t="s">
        <v>6981</v>
      </c>
      <c r="L639" s="22" t="s">
        <v>2381</v>
      </c>
      <c r="M639" s="22" t="s">
        <v>2382</v>
      </c>
      <c r="N639" s="22" t="s">
        <v>538</v>
      </c>
      <c r="O639" s="22" t="n">
        <v>27.3</v>
      </c>
      <c r="P639" s="22" t="n">
        <v>7.55</v>
      </c>
      <c r="Q639" s="22" t="s">
        <v>7516</v>
      </c>
      <c r="R639" s="22"/>
    </row>
    <row r="640" customFormat="false" ht="15" hidden="false" customHeight="false" outlineLevel="0" collapsed="false">
      <c r="A640" s="22" t="s">
        <v>7895</v>
      </c>
      <c r="B640" s="22" t="s">
        <v>215</v>
      </c>
      <c r="C640" s="22" t="s">
        <v>7694</v>
      </c>
      <c r="D640" s="22" t="s">
        <v>6929</v>
      </c>
      <c r="E640" s="22" t="n">
        <v>45</v>
      </c>
      <c r="F640" s="22" t="s">
        <v>7704</v>
      </c>
      <c r="G640" s="22" t="s">
        <v>7696</v>
      </c>
      <c r="H640" s="22" t="n">
        <v>16</v>
      </c>
      <c r="I640" s="22" t="s">
        <v>7705</v>
      </c>
      <c r="J640" s="22" t="s">
        <v>6613</v>
      </c>
      <c r="K640" s="22"/>
      <c r="L640" s="22"/>
      <c r="M640" s="22"/>
      <c r="N640" s="22"/>
      <c r="O640" s="22"/>
      <c r="P640" s="22" t="n">
        <v>7.55</v>
      </c>
      <c r="Q640" s="22" t="s">
        <v>7371</v>
      </c>
      <c r="R640" s="22"/>
    </row>
    <row r="641" customFormat="false" ht="15" hidden="false" customHeight="false" outlineLevel="0" collapsed="false">
      <c r="A641" s="22" t="s">
        <v>7896</v>
      </c>
      <c r="B641" s="22" t="s">
        <v>215</v>
      </c>
      <c r="C641" s="22" t="s">
        <v>7694</v>
      </c>
      <c r="D641" s="22" t="s">
        <v>6929</v>
      </c>
      <c r="E641" s="22" t="n">
        <v>70</v>
      </c>
      <c r="F641" s="22" t="s">
        <v>7695</v>
      </c>
      <c r="G641" s="22" t="s">
        <v>7696</v>
      </c>
      <c r="H641" s="22" t="n">
        <v>22</v>
      </c>
      <c r="I641" s="22" t="s">
        <v>7697</v>
      </c>
      <c r="J641" s="22" t="s">
        <v>6901</v>
      </c>
      <c r="K641" s="22"/>
      <c r="L641" s="22"/>
      <c r="M641" s="22"/>
      <c r="N641" s="22"/>
      <c r="O641" s="22"/>
      <c r="P641" s="22" t="n">
        <v>7.55</v>
      </c>
      <c r="Q641" s="22" t="s">
        <v>6746</v>
      </c>
      <c r="R641" s="22"/>
    </row>
    <row r="642" customFormat="false" ht="15" hidden="false" customHeight="false" outlineLevel="0" collapsed="false">
      <c r="A642" s="22" t="s">
        <v>7897</v>
      </c>
      <c r="B642" s="22" t="s">
        <v>215</v>
      </c>
      <c r="C642" s="22" t="s">
        <v>7694</v>
      </c>
      <c r="D642" s="22" t="s">
        <v>6929</v>
      </c>
      <c r="E642" s="22" t="n">
        <v>80</v>
      </c>
      <c r="F642" s="22" t="s">
        <v>7695</v>
      </c>
      <c r="G642" s="22" t="s">
        <v>7696</v>
      </c>
      <c r="H642" s="22" t="n">
        <v>24</v>
      </c>
      <c r="I642" s="22" t="s">
        <v>7697</v>
      </c>
      <c r="J642" s="22" t="s">
        <v>6577</v>
      </c>
      <c r="K642" s="22" t="s">
        <v>6989</v>
      </c>
      <c r="L642" s="22" t="s">
        <v>168</v>
      </c>
      <c r="M642" s="22" t="s">
        <v>169</v>
      </c>
      <c r="N642" s="22" t="s">
        <v>170</v>
      </c>
      <c r="O642" s="22" t="n">
        <v>61.6</v>
      </c>
      <c r="P642" s="22" t="n">
        <v>7.55</v>
      </c>
      <c r="Q642" s="22" t="s">
        <v>7898</v>
      </c>
      <c r="R642" s="22"/>
    </row>
    <row r="643" customFormat="false" ht="15" hidden="false" customHeight="false" outlineLevel="0" collapsed="false">
      <c r="A643" s="22" t="s">
        <v>7899</v>
      </c>
      <c r="B643" s="22" t="s">
        <v>215</v>
      </c>
      <c r="C643" s="22" t="s">
        <v>7694</v>
      </c>
      <c r="D643" s="22" t="s">
        <v>6929</v>
      </c>
      <c r="E643" s="22" t="n">
        <v>70</v>
      </c>
      <c r="F643" s="22" t="s">
        <v>7695</v>
      </c>
      <c r="G643" s="22" t="s">
        <v>7696</v>
      </c>
      <c r="H643" s="22" t="n">
        <v>22</v>
      </c>
      <c r="I643" s="22" t="s">
        <v>7697</v>
      </c>
      <c r="J643" s="22" t="s">
        <v>6671</v>
      </c>
      <c r="K643" s="22"/>
      <c r="L643" s="22"/>
      <c r="M643" s="22"/>
      <c r="N643" s="22"/>
      <c r="O643" s="22"/>
      <c r="P643" s="22" t="n">
        <v>7.55</v>
      </c>
      <c r="Q643" s="22" t="s">
        <v>7381</v>
      </c>
      <c r="R643" s="22"/>
    </row>
    <row r="644" customFormat="false" ht="15" hidden="false" customHeight="false" outlineLevel="0" collapsed="false">
      <c r="A644" s="22" t="s">
        <v>7900</v>
      </c>
      <c r="B644" s="22" t="s">
        <v>215</v>
      </c>
      <c r="C644" s="22" t="s">
        <v>7694</v>
      </c>
      <c r="D644" s="22" t="s">
        <v>6929</v>
      </c>
      <c r="E644" s="22" t="n">
        <v>32</v>
      </c>
      <c r="F644" s="22" t="s">
        <v>6581</v>
      </c>
      <c r="G644" s="22" t="s">
        <v>7696</v>
      </c>
      <c r="H644" s="22" t="n">
        <v>12</v>
      </c>
      <c r="I644" s="22" t="s">
        <v>6576</v>
      </c>
      <c r="J644" s="22" t="s">
        <v>6577</v>
      </c>
      <c r="K644" s="22" t="s">
        <v>6995</v>
      </c>
      <c r="L644" s="22" t="s">
        <v>4498</v>
      </c>
      <c r="M644" s="22" t="s">
        <v>4499</v>
      </c>
      <c r="N644" s="22" t="s">
        <v>2720</v>
      </c>
      <c r="O644" s="22" t="n">
        <v>61.8</v>
      </c>
      <c r="P644" s="22" t="n">
        <v>7.55</v>
      </c>
      <c r="Q644" s="22" t="s">
        <v>6756</v>
      </c>
      <c r="R644" s="22"/>
    </row>
    <row r="645" customFormat="false" ht="15" hidden="false" customHeight="false" outlineLevel="0" collapsed="false">
      <c r="A645" s="22" t="s">
        <v>7901</v>
      </c>
      <c r="B645" s="22" t="s">
        <v>215</v>
      </c>
      <c r="C645" s="22" t="s">
        <v>7694</v>
      </c>
      <c r="D645" s="22" t="s">
        <v>6929</v>
      </c>
      <c r="E645" s="22" t="n">
        <v>60</v>
      </c>
      <c r="F645" s="22" t="s">
        <v>7695</v>
      </c>
      <c r="G645" s="22" t="s">
        <v>7696</v>
      </c>
      <c r="H645" s="22" t="n">
        <v>20</v>
      </c>
      <c r="I645" s="22" t="s">
        <v>7697</v>
      </c>
      <c r="J645" s="22" t="s">
        <v>6577</v>
      </c>
      <c r="K645" s="22" t="s">
        <v>6997</v>
      </c>
      <c r="L645" s="22" t="s">
        <v>886</v>
      </c>
      <c r="M645" s="22" t="s">
        <v>887</v>
      </c>
      <c r="N645" s="22" t="s">
        <v>799</v>
      </c>
      <c r="O645" s="22" t="n">
        <v>47.3</v>
      </c>
      <c r="P645" s="22" t="n">
        <v>7.55</v>
      </c>
      <c r="Q645" s="22" t="s">
        <v>7542</v>
      </c>
      <c r="R645" s="22"/>
    </row>
    <row r="646" customFormat="false" ht="15" hidden="false" customHeight="false" outlineLevel="0" collapsed="false">
      <c r="A646" s="22" t="s">
        <v>7902</v>
      </c>
      <c r="B646" s="22" t="s">
        <v>215</v>
      </c>
      <c r="C646" s="22" t="s">
        <v>7694</v>
      </c>
      <c r="D646" s="22" t="s">
        <v>7000</v>
      </c>
      <c r="E646" s="22" t="n">
        <v>60</v>
      </c>
      <c r="F646" s="22" t="s">
        <v>7695</v>
      </c>
      <c r="G646" s="22" t="s">
        <v>7696</v>
      </c>
      <c r="H646" s="22" t="n">
        <v>20</v>
      </c>
      <c r="I646" s="22" t="s">
        <v>7697</v>
      </c>
      <c r="J646" s="22" t="s">
        <v>6671</v>
      </c>
      <c r="K646" s="22"/>
      <c r="L646" s="22"/>
      <c r="M646" s="22"/>
      <c r="N646" s="22"/>
      <c r="O646" s="22"/>
      <c r="P646" s="22" t="n">
        <v>7.55</v>
      </c>
      <c r="Q646" s="22" t="s">
        <v>7903</v>
      </c>
      <c r="R646" s="22"/>
    </row>
    <row r="647" customFormat="false" ht="15" hidden="false" customHeight="false" outlineLevel="0" collapsed="false">
      <c r="A647" s="22" t="s">
        <v>7904</v>
      </c>
      <c r="B647" s="22" t="s">
        <v>215</v>
      </c>
      <c r="C647" s="22" t="s">
        <v>7694</v>
      </c>
      <c r="D647" s="22" t="s">
        <v>7000</v>
      </c>
      <c r="E647" s="22" t="n">
        <v>45</v>
      </c>
      <c r="F647" s="22" t="s">
        <v>7704</v>
      </c>
      <c r="G647" s="22" t="s">
        <v>7696</v>
      </c>
      <c r="H647" s="22" t="n">
        <v>16</v>
      </c>
      <c r="I647" s="22" t="s">
        <v>7705</v>
      </c>
      <c r="J647" s="22" t="s">
        <v>6577</v>
      </c>
      <c r="K647" s="22" t="s">
        <v>7004</v>
      </c>
      <c r="L647" s="22" t="s">
        <v>3386</v>
      </c>
      <c r="M647" s="22" t="s">
        <v>3387</v>
      </c>
      <c r="N647" s="22" t="s">
        <v>361</v>
      </c>
      <c r="O647" s="22" t="n">
        <v>24</v>
      </c>
      <c r="P647" s="22" t="n">
        <v>7.55</v>
      </c>
      <c r="Q647" s="22" t="s">
        <v>7510</v>
      </c>
      <c r="R647" s="22"/>
    </row>
    <row r="648" customFormat="false" ht="15" hidden="false" customHeight="false" outlineLevel="0" collapsed="false">
      <c r="A648" s="22" t="s">
        <v>7905</v>
      </c>
      <c r="B648" s="22" t="s">
        <v>215</v>
      </c>
      <c r="C648" s="22" t="s">
        <v>7694</v>
      </c>
      <c r="D648" s="22" t="s">
        <v>7000</v>
      </c>
      <c r="E648" s="22" t="n">
        <v>32</v>
      </c>
      <c r="F648" s="22" t="s">
        <v>6581</v>
      </c>
      <c r="G648" s="22" t="s">
        <v>7696</v>
      </c>
      <c r="H648" s="22" t="n">
        <v>12</v>
      </c>
      <c r="I648" s="22" t="s">
        <v>6576</v>
      </c>
      <c r="J648" s="22" t="s">
        <v>6577</v>
      </c>
      <c r="K648" s="22" t="s">
        <v>7007</v>
      </c>
      <c r="L648" s="22" t="s">
        <v>622</v>
      </c>
      <c r="M648" s="22" t="s">
        <v>623</v>
      </c>
      <c r="N648" s="22" t="s">
        <v>333</v>
      </c>
      <c r="O648" s="22" t="n">
        <v>51.2</v>
      </c>
      <c r="P648" s="22" t="n">
        <v>7.55</v>
      </c>
      <c r="Q648" s="22" t="s">
        <v>7423</v>
      </c>
      <c r="R648" s="22"/>
    </row>
    <row r="649" customFormat="false" ht="15" hidden="false" customHeight="false" outlineLevel="0" collapsed="false">
      <c r="A649" s="22" t="s">
        <v>7906</v>
      </c>
      <c r="B649" s="22" t="s">
        <v>215</v>
      </c>
      <c r="C649" s="22" t="s">
        <v>7694</v>
      </c>
      <c r="D649" s="22" t="s">
        <v>7000</v>
      </c>
      <c r="E649" s="22" t="n">
        <v>32</v>
      </c>
      <c r="F649" s="22" t="s">
        <v>6581</v>
      </c>
      <c r="G649" s="22" t="s">
        <v>7696</v>
      </c>
      <c r="H649" s="22" t="n">
        <v>12</v>
      </c>
      <c r="I649" s="22" t="s">
        <v>6576</v>
      </c>
      <c r="J649" s="22" t="s">
        <v>6577</v>
      </c>
      <c r="K649" s="22" t="s">
        <v>7009</v>
      </c>
      <c r="L649" s="22" t="s">
        <v>6173</v>
      </c>
      <c r="M649" s="22" t="s">
        <v>6174</v>
      </c>
      <c r="N649" s="22" t="s">
        <v>3632</v>
      </c>
      <c r="O649" s="22" t="n">
        <v>44.2</v>
      </c>
      <c r="P649" s="22" t="n">
        <v>7.55</v>
      </c>
      <c r="Q649" s="22" t="s">
        <v>7907</v>
      </c>
      <c r="R649" s="22"/>
    </row>
    <row r="650" customFormat="false" ht="15" hidden="false" customHeight="false" outlineLevel="0" collapsed="false">
      <c r="A650" s="22" t="s">
        <v>7908</v>
      </c>
      <c r="B650" s="22" t="s">
        <v>215</v>
      </c>
      <c r="C650" s="22" t="s">
        <v>7694</v>
      </c>
      <c r="D650" s="22" t="s">
        <v>7000</v>
      </c>
      <c r="E650" s="22" t="n">
        <v>40</v>
      </c>
      <c r="F650" s="22" t="s">
        <v>6581</v>
      </c>
      <c r="G650" s="22" t="s">
        <v>7696</v>
      </c>
      <c r="H650" s="22" t="n">
        <v>14</v>
      </c>
      <c r="I650" s="22" t="s">
        <v>6582</v>
      </c>
      <c r="J650" s="22" t="s">
        <v>6577</v>
      </c>
      <c r="K650" s="22" t="s">
        <v>7012</v>
      </c>
      <c r="L650" s="22" t="s">
        <v>1927</v>
      </c>
      <c r="M650" s="22" t="s">
        <v>1928</v>
      </c>
      <c r="N650" s="22" t="s">
        <v>1929</v>
      </c>
      <c r="O650" s="22" t="n">
        <v>50.3</v>
      </c>
      <c r="P650" s="22" t="n">
        <v>7.55</v>
      </c>
      <c r="Q650" s="22" t="s">
        <v>6990</v>
      </c>
      <c r="R650" s="22"/>
    </row>
    <row r="651" customFormat="false" ht="15" hidden="false" customHeight="false" outlineLevel="0" collapsed="false">
      <c r="A651" s="22" t="s">
        <v>7909</v>
      </c>
      <c r="B651" s="22" t="s">
        <v>215</v>
      </c>
      <c r="C651" s="22" t="s">
        <v>7694</v>
      </c>
      <c r="D651" s="22" t="s">
        <v>7000</v>
      </c>
      <c r="E651" s="22" t="n">
        <v>36</v>
      </c>
      <c r="F651" s="22" t="s">
        <v>6581</v>
      </c>
      <c r="G651" s="22" t="s">
        <v>7696</v>
      </c>
      <c r="H651" s="22" t="n">
        <v>13</v>
      </c>
      <c r="I651" s="22" t="s">
        <v>6582</v>
      </c>
      <c r="J651" s="22" t="s">
        <v>6577</v>
      </c>
      <c r="K651" s="22" t="s">
        <v>7014</v>
      </c>
      <c r="L651" s="22" t="s">
        <v>5744</v>
      </c>
      <c r="M651" s="22" t="s">
        <v>5745</v>
      </c>
      <c r="N651" s="22" t="s">
        <v>651</v>
      </c>
      <c r="O651" s="22" t="n">
        <v>42.5</v>
      </c>
      <c r="P651" s="22" t="n">
        <v>7.55</v>
      </c>
      <c r="Q651" s="22" t="s">
        <v>7910</v>
      </c>
      <c r="R651" s="22"/>
    </row>
    <row r="652" customFormat="false" ht="15" hidden="false" customHeight="false" outlineLevel="0" collapsed="false">
      <c r="A652" s="22" t="s">
        <v>7911</v>
      </c>
      <c r="B652" s="22" t="s">
        <v>215</v>
      </c>
      <c r="C652" s="22" t="s">
        <v>7694</v>
      </c>
      <c r="D652" s="22" t="s">
        <v>7000</v>
      </c>
      <c r="E652" s="22" t="n">
        <v>28</v>
      </c>
      <c r="F652" s="22" t="s">
        <v>6574</v>
      </c>
      <c r="G652" s="22" t="s">
        <v>7696</v>
      </c>
      <c r="H652" s="22" t="n">
        <v>10</v>
      </c>
      <c r="I652" s="22" t="s">
        <v>6576</v>
      </c>
      <c r="J652" s="22" t="s">
        <v>6734</v>
      </c>
      <c r="K652" s="22"/>
      <c r="L652" s="22"/>
      <c r="M652" s="22"/>
      <c r="N652" s="22"/>
      <c r="O652" s="22"/>
      <c r="P652" s="22" t="n">
        <v>7.55</v>
      </c>
      <c r="Q652" s="22" t="s">
        <v>7657</v>
      </c>
      <c r="R652" s="22"/>
    </row>
    <row r="653" customFormat="false" ht="15" hidden="false" customHeight="false" outlineLevel="0" collapsed="false">
      <c r="A653" s="22" t="s">
        <v>7912</v>
      </c>
      <c r="B653" s="22" t="s">
        <v>215</v>
      </c>
      <c r="C653" s="22" t="s">
        <v>7694</v>
      </c>
      <c r="D653" s="22" t="s">
        <v>7000</v>
      </c>
      <c r="E653" s="22" t="n">
        <v>50</v>
      </c>
      <c r="F653" s="22" t="s">
        <v>7704</v>
      </c>
      <c r="G653" s="22" t="s">
        <v>7696</v>
      </c>
      <c r="H653" s="22" t="n">
        <v>18</v>
      </c>
      <c r="I653" s="22" t="s">
        <v>7705</v>
      </c>
      <c r="J653" s="22" t="s">
        <v>6577</v>
      </c>
      <c r="K653" s="22" t="s">
        <v>7020</v>
      </c>
      <c r="L653" s="22" t="s">
        <v>4468</v>
      </c>
      <c r="M653" s="22" t="s">
        <v>4469</v>
      </c>
      <c r="N653" s="22" t="s">
        <v>695</v>
      </c>
      <c r="O653" s="22" t="n">
        <v>44.2</v>
      </c>
      <c r="P653" s="22" t="n">
        <v>7.55</v>
      </c>
      <c r="Q653" s="22" t="s">
        <v>6922</v>
      </c>
      <c r="R653" s="22"/>
    </row>
    <row r="654" customFormat="false" ht="15" hidden="false" customHeight="false" outlineLevel="0" collapsed="false">
      <c r="A654" s="22" t="s">
        <v>7913</v>
      </c>
      <c r="B654" s="22" t="s">
        <v>215</v>
      </c>
      <c r="C654" s="22" t="s">
        <v>7694</v>
      </c>
      <c r="D654" s="22" t="s">
        <v>7000</v>
      </c>
      <c r="E654" s="22" t="n">
        <v>28</v>
      </c>
      <c r="F654" s="22" t="s">
        <v>6574</v>
      </c>
      <c r="G654" s="22" t="s">
        <v>7696</v>
      </c>
      <c r="H654" s="22" t="n">
        <v>10</v>
      </c>
      <c r="I654" s="22" t="s">
        <v>6576</v>
      </c>
      <c r="J654" s="22" t="s">
        <v>6577</v>
      </c>
      <c r="K654" s="22" t="s">
        <v>7023</v>
      </c>
      <c r="L654" s="22" t="s">
        <v>881</v>
      </c>
      <c r="M654" s="22" t="s">
        <v>882</v>
      </c>
      <c r="N654" s="22" t="s">
        <v>742</v>
      </c>
      <c r="O654" s="22" t="n">
        <v>23.6</v>
      </c>
      <c r="P654" s="22" t="n">
        <v>7.55</v>
      </c>
      <c r="Q654" s="22" t="s">
        <v>7279</v>
      </c>
      <c r="R654" s="22"/>
    </row>
    <row r="655" customFormat="false" ht="15" hidden="false" customHeight="false" outlineLevel="0" collapsed="false">
      <c r="A655" s="22" t="s">
        <v>7914</v>
      </c>
      <c r="B655" s="22" t="s">
        <v>215</v>
      </c>
      <c r="C655" s="22" t="s">
        <v>7694</v>
      </c>
      <c r="D655" s="22" t="s">
        <v>7000</v>
      </c>
      <c r="E655" s="22" t="n">
        <v>24</v>
      </c>
      <c r="F655" s="22" t="s">
        <v>6574</v>
      </c>
      <c r="G655" s="22" t="s">
        <v>7696</v>
      </c>
      <c r="H655" s="22" t="n">
        <v>9</v>
      </c>
      <c r="I655" s="22" t="s">
        <v>6576</v>
      </c>
      <c r="J655" s="22" t="s">
        <v>6577</v>
      </c>
      <c r="K655" s="22" t="s">
        <v>7026</v>
      </c>
      <c r="L655" s="22" t="s">
        <v>976</v>
      </c>
      <c r="M655" s="22" t="s">
        <v>977</v>
      </c>
      <c r="N655" s="22" t="s">
        <v>201</v>
      </c>
      <c r="O655" s="22" t="n">
        <v>27.6</v>
      </c>
      <c r="P655" s="22" t="n">
        <v>7.55</v>
      </c>
      <c r="Q655" s="22" t="s">
        <v>7503</v>
      </c>
      <c r="R655" s="22"/>
    </row>
    <row r="656" customFormat="false" ht="15" hidden="false" customHeight="false" outlineLevel="0" collapsed="false">
      <c r="A656" s="22" t="s">
        <v>7915</v>
      </c>
      <c r="B656" s="22" t="s">
        <v>215</v>
      </c>
      <c r="C656" s="22" t="s">
        <v>7694</v>
      </c>
      <c r="D656" s="22" t="s">
        <v>7000</v>
      </c>
      <c r="E656" s="22" t="n">
        <v>36</v>
      </c>
      <c r="F656" s="22" t="s">
        <v>6581</v>
      </c>
      <c r="G656" s="22" t="s">
        <v>7696</v>
      </c>
      <c r="H656" s="22" t="n">
        <v>13</v>
      </c>
      <c r="I656" s="22" t="s">
        <v>6582</v>
      </c>
      <c r="J656" s="22" t="s">
        <v>6671</v>
      </c>
      <c r="K656" s="22"/>
      <c r="L656" s="22"/>
      <c r="M656" s="22"/>
      <c r="N656" s="22"/>
      <c r="O656" s="22"/>
      <c r="P656" s="22" t="n">
        <v>7.55</v>
      </c>
      <c r="Q656" s="22" t="s">
        <v>7576</v>
      </c>
      <c r="R656" s="22"/>
    </row>
    <row r="657" customFormat="false" ht="15" hidden="false" customHeight="false" outlineLevel="0" collapsed="false">
      <c r="A657" s="22" t="s">
        <v>7916</v>
      </c>
      <c r="B657" s="22" t="s">
        <v>215</v>
      </c>
      <c r="C657" s="22" t="s">
        <v>7694</v>
      </c>
      <c r="D657" s="22" t="s">
        <v>7000</v>
      </c>
      <c r="E657" s="22" t="n">
        <v>32</v>
      </c>
      <c r="F657" s="22" t="s">
        <v>6581</v>
      </c>
      <c r="G657" s="22" t="s">
        <v>7696</v>
      </c>
      <c r="H657" s="22" t="n">
        <v>12</v>
      </c>
      <c r="I657" s="22" t="s">
        <v>6576</v>
      </c>
      <c r="J657" s="22" t="s">
        <v>6577</v>
      </c>
      <c r="K657" s="22" t="s">
        <v>7031</v>
      </c>
      <c r="L657" s="22" t="s">
        <v>3526</v>
      </c>
      <c r="M657" s="22" t="s">
        <v>3527</v>
      </c>
      <c r="N657" s="22" t="s">
        <v>2741</v>
      </c>
      <c r="O657" s="22" t="n">
        <v>50.6</v>
      </c>
      <c r="P657" s="22" t="n">
        <v>7.55</v>
      </c>
      <c r="Q657" s="22" t="s">
        <v>6641</v>
      </c>
      <c r="R657" s="22"/>
    </row>
    <row r="658" customFormat="false" ht="15" hidden="false" customHeight="false" outlineLevel="0" collapsed="false">
      <c r="A658" s="22" t="s">
        <v>7917</v>
      </c>
      <c r="B658" s="22" t="s">
        <v>215</v>
      </c>
      <c r="C658" s="22" t="s">
        <v>7694</v>
      </c>
      <c r="D658" s="22" t="s">
        <v>7000</v>
      </c>
      <c r="E658" s="22" t="n">
        <v>32</v>
      </c>
      <c r="F658" s="22" t="s">
        <v>6581</v>
      </c>
      <c r="G658" s="22" t="s">
        <v>7696</v>
      </c>
      <c r="H658" s="22" t="n">
        <v>12</v>
      </c>
      <c r="I658" s="22" t="s">
        <v>6576</v>
      </c>
      <c r="J658" s="22" t="s">
        <v>6577</v>
      </c>
      <c r="K658" s="22" t="s">
        <v>7033</v>
      </c>
      <c r="L658" s="22" t="s">
        <v>6192</v>
      </c>
      <c r="M658" s="22" t="s">
        <v>6193</v>
      </c>
      <c r="N658" s="22" t="s">
        <v>263</v>
      </c>
      <c r="O658" s="22" t="n">
        <v>32.3</v>
      </c>
      <c r="P658" s="22" t="n">
        <v>7.55</v>
      </c>
      <c r="Q658" s="22" t="s">
        <v>7747</v>
      </c>
      <c r="R658" s="22"/>
    </row>
    <row r="659" customFormat="false" ht="15" hidden="false" customHeight="false" outlineLevel="0" collapsed="false">
      <c r="A659" s="22" t="s">
        <v>7918</v>
      </c>
      <c r="B659" s="22" t="s">
        <v>215</v>
      </c>
      <c r="C659" s="22" t="s">
        <v>7694</v>
      </c>
      <c r="D659" s="22" t="s">
        <v>7000</v>
      </c>
      <c r="E659" s="22" t="n">
        <v>50</v>
      </c>
      <c r="F659" s="22" t="s">
        <v>7704</v>
      </c>
      <c r="G659" s="22" t="s">
        <v>7696</v>
      </c>
      <c r="H659" s="22" t="n">
        <v>18</v>
      </c>
      <c r="I659" s="22" t="s">
        <v>7705</v>
      </c>
      <c r="J659" s="22" t="s">
        <v>6577</v>
      </c>
      <c r="K659" s="22" t="s">
        <v>7036</v>
      </c>
      <c r="L659" s="22" t="s">
        <v>6459</v>
      </c>
      <c r="M659" s="22" t="s">
        <v>6460</v>
      </c>
      <c r="N659" s="22" t="s">
        <v>1265</v>
      </c>
      <c r="O659" s="22" t="n">
        <v>59.1</v>
      </c>
      <c r="P659" s="22" t="n">
        <v>7.55</v>
      </c>
      <c r="Q659" s="22" t="s">
        <v>6784</v>
      </c>
      <c r="R659" s="22"/>
    </row>
    <row r="660" customFormat="false" ht="15" hidden="false" customHeight="false" outlineLevel="0" collapsed="false">
      <c r="A660" s="22" t="s">
        <v>7919</v>
      </c>
      <c r="B660" s="22" t="s">
        <v>215</v>
      </c>
      <c r="C660" s="22" t="s">
        <v>7694</v>
      </c>
      <c r="D660" s="22" t="s">
        <v>7000</v>
      </c>
      <c r="E660" s="22" t="n">
        <v>45</v>
      </c>
      <c r="F660" s="22" t="s">
        <v>7704</v>
      </c>
      <c r="G660" s="22" t="s">
        <v>7696</v>
      </c>
      <c r="H660" s="22" t="n">
        <v>16</v>
      </c>
      <c r="I660" s="22" t="s">
        <v>7705</v>
      </c>
      <c r="J660" s="22" t="s">
        <v>6577</v>
      </c>
      <c r="K660" s="22" t="s">
        <v>7038</v>
      </c>
      <c r="L660" s="22" t="s">
        <v>2982</v>
      </c>
      <c r="M660" s="22" t="s">
        <v>2983</v>
      </c>
      <c r="N660" s="22" t="s">
        <v>2389</v>
      </c>
      <c r="O660" s="22" t="n">
        <v>49.1</v>
      </c>
      <c r="P660" s="22" t="n">
        <v>7.55</v>
      </c>
      <c r="Q660" s="22" t="s">
        <v>7920</v>
      </c>
      <c r="R660" s="22"/>
    </row>
    <row r="661" customFormat="false" ht="15" hidden="false" customHeight="false" outlineLevel="0" collapsed="false">
      <c r="A661" s="22" t="s">
        <v>7921</v>
      </c>
      <c r="B661" s="22" t="s">
        <v>215</v>
      </c>
      <c r="C661" s="22" t="s">
        <v>7694</v>
      </c>
      <c r="D661" s="22" t="s">
        <v>7000</v>
      </c>
      <c r="E661" s="22" t="n">
        <v>28</v>
      </c>
      <c r="F661" s="22" t="s">
        <v>6574</v>
      </c>
      <c r="G661" s="22" t="s">
        <v>7696</v>
      </c>
      <c r="H661" s="22" t="n">
        <v>10</v>
      </c>
      <c r="I661" s="22" t="s">
        <v>6576</v>
      </c>
      <c r="J661" s="22" t="s">
        <v>6577</v>
      </c>
      <c r="K661" s="22" t="s">
        <v>7041</v>
      </c>
      <c r="L661" s="22" t="s">
        <v>3253</v>
      </c>
      <c r="M661" s="22" t="s">
        <v>3254</v>
      </c>
      <c r="N661" s="22" t="s">
        <v>2116</v>
      </c>
      <c r="O661" s="22" t="n">
        <v>21.9</v>
      </c>
      <c r="P661" s="22" t="n">
        <v>7.55</v>
      </c>
      <c r="Q661" s="22" t="s">
        <v>6856</v>
      </c>
      <c r="R661" s="22"/>
    </row>
    <row r="662" customFormat="false" ht="15" hidden="false" customHeight="false" outlineLevel="0" collapsed="false">
      <c r="A662" s="22" t="s">
        <v>7922</v>
      </c>
      <c r="B662" s="22" t="s">
        <v>215</v>
      </c>
      <c r="C662" s="22" t="s">
        <v>7694</v>
      </c>
      <c r="D662" s="22" t="s">
        <v>7000</v>
      </c>
      <c r="E662" s="22" t="n">
        <v>36</v>
      </c>
      <c r="F662" s="22" t="s">
        <v>6581</v>
      </c>
      <c r="G662" s="22" t="s">
        <v>7696</v>
      </c>
      <c r="H662" s="22" t="n">
        <v>13</v>
      </c>
      <c r="I662" s="22" t="s">
        <v>6582</v>
      </c>
      <c r="J662" s="22" t="s">
        <v>6577</v>
      </c>
      <c r="K662" s="22" t="s">
        <v>7044</v>
      </c>
      <c r="L662" s="22" t="s">
        <v>3510</v>
      </c>
      <c r="M662" s="22" t="s">
        <v>3511</v>
      </c>
      <c r="N662" s="22" t="s">
        <v>681</v>
      </c>
      <c r="O662" s="22" t="n">
        <v>39.5</v>
      </c>
      <c r="P662" s="22" t="n">
        <v>7.55</v>
      </c>
      <c r="Q662" s="22" t="s">
        <v>7923</v>
      </c>
      <c r="R662" s="22"/>
    </row>
    <row r="663" customFormat="false" ht="15" hidden="false" customHeight="false" outlineLevel="0" collapsed="false">
      <c r="A663" s="22" t="s">
        <v>7924</v>
      </c>
      <c r="B663" s="22" t="s">
        <v>215</v>
      </c>
      <c r="C663" s="22" t="s">
        <v>7694</v>
      </c>
      <c r="D663" s="22" t="s">
        <v>7000</v>
      </c>
      <c r="E663" s="22" t="n">
        <v>60</v>
      </c>
      <c r="F663" s="22" t="s">
        <v>7695</v>
      </c>
      <c r="G663" s="22" t="s">
        <v>7696</v>
      </c>
      <c r="H663" s="22" t="n">
        <v>20</v>
      </c>
      <c r="I663" s="22" t="s">
        <v>7697</v>
      </c>
      <c r="J663" s="22" t="s">
        <v>6577</v>
      </c>
      <c r="K663" s="22" t="s">
        <v>7046</v>
      </c>
      <c r="L663" s="22" t="s">
        <v>624</v>
      </c>
      <c r="M663" s="22" t="s">
        <v>625</v>
      </c>
      <c r="N663" s="22" t="s">
        <v>626</v>
      </c>
      <c r="O663" s="22" t="n">
        <v>35.8</v>
      </c>
      <c r="P663" s="22" t="n">
        <v>7.55</v>
      </c>
      <c r="Q663" s="22" t="s">
        <v>7136</v>
      </c>
      <c r="R663" s="22"/>
    </row>
    <row r="664" customFormat="false" ht="15" hidden="false" customHeight="false" outlineLevel="0" collapsed="false">
      <c r="A664" s="22" t="s">
        <v>7925</v>
      </c>
      <c r="B664" s="22" t="s">
        <v>215</v>
      </c>
      <c r="C664" s="22" t="s">
        <v>7694</v>
      </c>
      <c r="D664" s="22" t="s">
        <v>7000</v>
      </c>
      <c r="E664" s="22" t="n">
        <v>36</v>
      </c>
      <c r="F664" s="22" t="s">
        <v>6581</v>
      </c>
      <c r="G664" s="22" t="s">
        <v>7696</v>
      </c>
      <c r="H664" s="22" t="n">
        <v>13</v>
      </c>
      <c r="I664" s="22" t="s">
        <v>6582</v>
      </c>
      <c r="J664" s="22" t="s">
        <v>6577</v>
      </c>
      <c r="K664" s="22" t="s">
        <v>7048</v>
      </c>
      <c r="L664" s="22" t="s">
        <v>4320</v>
      </c>
      <c r="M664" s="22" t="s">
        <v>4321</v>
      </c>
      <c r="N664" s="22" t="s">
        <v>1029</v>
      </c>
      <c r="O664" s="22" t="n">
        <v>51.1</v>
      </c>
      <c r="P664" s="22" t="n">
        <v>7.55</v>
      </c>
      <c r="Q664" s="22" t="s">
        <v>6853</v>
      </c>
      <c r="R664" s="22"/>
    </row>
    <row r="665" customFormat="false" ht="15" hidden="false" customHeight="false" outlineLevel="0" collapsed="false">
      <c r="A665" s="22" t="s">
        <v>7926</v>
      </c>
      <c r="B665" s="22" t="s">
        <v>215</v>
      </c>
      <c r="C665" s="22" t="s">
        <v>7694</v>
      </c>
      <c r="D665" s="22" t="s">
        <v>7000</v>
      </c>
      <c r="E665" s="22" t="n">
        <v>40</v>
      </c>
      <c r="F665" s="22" t="s">
        <v>6581</v>
      </c>
      <c r="G665" s="22" t="s">
        <v>7696</v>
      </c>
      <c r="H665" s="22" t="n">
        <v>14</v>
      </c>
      <c r="I665" s="22" t="s">
        <v>6582</v>
      </c>
      <c r="J665" s="22" t="s">
        <v>6577</v>
      </c>
      <c r="K665" s="22" t="s">
        <v>7051</v>
      </c>
      <c r="L665" s="22" t="s">
        <v>6011</v>
      </c>
      <c r="M665" s="22" t="s">
        <v>6012</v>
      </c>
      <c r="N665" s="22" t="s">
        <v>972</v>
      </c>
      <c r="O665" s="22" t="n">
        <v>29.3</v>
      </c>
      <c r="P665" s="22" t="n">
        <v>7.55</v>
      </c>
      <c r="Q665" s="22" t="s">
        <v>6704</v>
      </c>
      <c r="R665" s="22"/>
    </row>
    <row r="666" customFormat="false" ht="15" hidden="false" customHeight="false" outlineLevel="0" collapsed="false">
      <c r="A666" s="22" t="s">
        <v>7927</v>
      </c>
      <c r="B666" s="22" t="s">
        <v>215</v>
      </c>
      <c r="C666" s="22" t="s">
        <v>7694</v>
      </c>
      <c r="D666" s="22" t="s">
        <v>7000</v>
      </c>
      <c r="E666" s="22" t="n">
        <v>24</v>
      </c>
      <c r="F666" s="22" t="s">
        <v>6574</v>
      </c>
      <c r="G666" s="22" t="s">
        <v>7696</v>
      </c>
      <c r="H666" s="22" t="n">
        <v>9</v>
      </c>
      <c r="I666" s="22" t="s">
        <v>6576</v>
      </c>
      <c r="J666" s="22" t="s">
        <v>6577</v>
      </c>
      <c r="K666" s="22" t="s">
        <v>7575</v>
      </c>
      <c r="L666" s="22" t="s">
        <v>1874</v>
      </c>
      <c r="M666" s="22" t="s">
        <v>1875</v>
      </c>
      <c r="N666" s="22" t="s">
        <v>330</v>
      </c>
      <c r="O666" s="22" t="n">
        <v>46.9</v>
      </c>
      <c r="P666" s="22" t="n">
        <v>7.55</v>
      </c>
      <c r="Q666" s="22" t="s">
        <v>7619</v>
      </c>
      <c r="R666" s="22"/>
    </row>
    <row r="667" customFormat="false" ht="15" hidden="false" customHeight="false" outlineLevel="0" collapsed="false">
      <c r="A667" s="22" t="s">
        <v>7928</v>
      </c>
      <c r="B667" s="22" t="s">
        <v>215</v>
      </c>
      <c r="C667" s="22" t="s">
        <v>7694</v>
      </c>
      <c r="D667" s="22" t="s">
        <v>7000</v>
      </c>
      <c r="E667" s="22" t="n">
        <v>32</v>
      </c>
      <c r="F667" s="22" t="s">
        <v>6581</v>
      </c>
      <c r="G667" s="22" t="s">
        <v>7696</v>
      </c>
      <c r="H667" s="22" t="n">
        <v>12</v>
      </c>
      <c r="I667" s="22" t="s">
        <v>6576</v>
      </c>
      <c r="J667" s="22" t="s">
        <v>6577</v>
      </c>
      <c r="K667" s="22" t="s">
        <v>7056</v>
      </c>
      <c r="L667" s="22" t="s">
        <v>4633</v>
      </c>
      <c r="M667" s="22" t="s">
        <v>4634</v>
      </c>
      <c r="N667" s="22" t="s">
        <v>508</v>
      </c>
      <c r="O667" s="22" t="n">
        <v>54.4</v>
      </c>
      <c r="P667" s="22" t="n">
        <v>7.55</v>
      </c>
      <c r="Q667" s="22" t="s">
        <v>7387</v>
      </c>
      <c r="R667" s="22"/>
    </row>
    <row r="668" customFormat="false" ht="15" hidden="false" customHeight="false" outlineLevel="0" collapsed="false">
      <c r="A668" s="22" t="s">
        <v>7929</v>
      </c>
      <c r="B668" s="22" t="s">
        <v>215</v>
      </c>
      <c r="C668" s="22" t="s">
        <v>7694</v>
      </c>
      <c r="D668" s="22" t="s">
        <v>7000</v>
      </c>
      <c r="E668" s="22" t="n">
        <v>50</v>
      </c>
      <c r="F668" s="22" t="s">
        <v>7704</v>
      </c>
      <c r="G668" s="22" t="s">
        <v>7696</v>
      </c>
      <c r="H668" s="22" t="n">
        <v>18</v>
      </c>
      <c r="I668" s="22" t="s">
        <v>7705</v>
      </c>
      <c r="J668" s="22" t="s">
        <v>6577</v>
      </c>
      <c r="K668" s="22" t="s">
        <v>7059</v>
      </c>
      <c r="L668" s="22" t="s">
        <v>5393</v>
      </c>
      <c r="M668" s="22" t="s">
        <v>5394</v>
      </c>
      <c r="N668" s="22" t="s">
        <v>962</v>
      </c>
      <c r="O668" s="22" t="n">
        <v>53.3</v>
      </c>
      <c r="P668" s="22" t="n">
        <v>7.55</v>
      </c>
      <c r="Q668" s="22" t="s">
        <v>6845</v>
      </c>
      <c r="R668" s="22"/>
    </row>
    <row r="669" customFormat="false" ht="15" hidden="false" customHeight="false" outlineLevel="0" collapsed="false">
      <c r="A669" s="22" t="s">
        <v>7930</v>
      </c>
      <c r="B669" s="22" t="s">
        <v>215</v>
      </c>
      <c r="C669" s="22" t="s">
        <v>7694</v>
      </c>
      <c r="D669" s="22" t="s">
        <v>7000</v>
      </c>
      <c r="E669" s="22" t="n">
        <v>70</v>
      </c>
      <c r="F669" s="22" t="s">
        <v>7695</v>
      </c>
      <c r="G669" s="22" t="s">
        <v>7696</v>
      </c>
      <c r="H669" s="22" t="n">
        <v>22</v>
      </c>
      <c r="I669" s="22" t="s">
        <v>7697</v>
      </c>
      <c r="J669" s="22" t="s">
        <v>6577</v>
      </c>
      <c r="K669" s="22" t="s">
        <v>7061</v>
      </c>
      <c r="L669" s="22" t="s">
        <v>2651</v>
      </c>
      <c r="M669" s="22" t="s">
        <v>2652</v>
      </c>
      <c r="N669" s="22" t="s">
        <v>2653</v>
      </c>
      <c r="O669" s="22" t="n">
        <v>35.8</v>
      </c>
      <c r="P669" s="22" t="n">
        <v>7.55</v>
      </c>
      <c r="Q669" s="22" t="s">
        <v>7931</v>
      </c>
      <c r="R669" s="22"/>
    </row>
    <row r="670" customFormat="false" ht="15" hidden="false" customHeight="false" outlineLevel="0" collapsed="false">
      <c r="A670" s="22" t="s">
        <v>7932</v>
      </c>
      <c r="B670" s="22" t="s">
        <v>215</v>
      </c>
      <c r="C670" s="22" t="s">
        <v>7694</v>
      </c>
      <c r="D670" s="22" t="s">
        <v>7063</v>
      </c>
      <c r="E670" s="22" t="n">
        <v>45</v>
      </c>
      <c r="F670" s="22" t="s">
        <v>7704</v>
      </c>
      <c r="G670" s="22" t="s">
        <v>7696</v>
      </c>
      <c r="H670" s="22" t="n">
        <v>16</v>
      </c>
      <c r="I670" s="22" t="s">
        <v>7705</v>
      </c>
      <c r="J670" s="22" t="s">
        <v>6577</v>
      </c>
      <c r="K670" s="22" t="s">
        <v>7064</v>
      </c>
      <c r="L670" s="22" t="s">
        <v>2682</v>
      </c>
      <c r="M670" s="22" t="s">
        <v>2683</v>
      </c>
      <c r="N670" s="22" t="s">
        <v>2684</v>
      </c>
      <c r="O670" s="22" t="n">
        <v>22.3</v>
      </c>
      <c r="P670" s="22" t="n">
        <v>7.55</v>
      </c>
      <c r="Q670" s="22" t="s">
        <v>7933</v>
      </c>
      <c r="R670" s="22"/>
    </row>
    <row r="671" customFormat="false" ht="15" hidden="false" customHeight="false" outlineLevel="0" collapsed="false">
      <c r="A671" s="22" t="s">
        <v>7934</v>
      </c>
      <c r="B671" s="22" t="s">
        <v>215</v>
      </c>
      <c r="C671" s="22" t="s">
        <v>7694</v>
      </c>
      <c r="D671" s="22" t="s">
        <v>7063</v>
      </c>
      <c r="E671" s="22" t="n">
        <v>70</v>
      </c>
      <c r="F671" s="22" t="s">
        <v>7695</v>
      </c>
      <c r="G671" s="22" t="s">
        <v>7696</v>
      </c>
      <c r="H671" s="22" t="n">
        <v>22</v>
      </c>
      <c r="I671" s="22" t="s">
        <v>7697</v>
      </c>
      <c r="J671" s="22" t="s">
        <v>6577</v>
      </c>
      <c r="K671" s="22" t="s">
        <v>7067</v>
      </c>
      <c r="L671" s="22" t="s">
        <v>6299</v>
      </c>
      <c r="M671" s="22" t="s">
        <v>6300</v>
      </c>
      <c r="N671" s="22" t="s">
        <v>1339</v>
      </c>
      <c r="O671" s="22" t="n">
        <v>53.3</v>
      </c>
      <c r="P671" s="22" t="n">
        <v>7.55</v>
      </c>
      <c r="Q671" s="22" t="s">
        <v>7276</v>
      </c>
      <c r="R671" s="22"/>
    </row>
    <row r="672" customFormat="false" ht="15" hidden="false" customHeight="false" outlineLevel="0" collapsed="false">
      <c r="A672" s="22" t="s">
        <v>7935</v>
      </c>
      <c r="B672" s="22" t="s">
        <v>215</v>
      </c>
      <c r="C672" s="22" t="s">
        <v>7694</v>
      </c>
      <c r="D672" s="22" t="s">
        <v>7063</v>
      </c>
      <c r="E672" s="22" t="n">
        <v>28</v>
      </c>
      <c r="F672" s="22" t="s">
        <v>6574</v>
      </c>
      <c r="G672" s="22" t="s">
        <v>7696</v>
      </c>
      <c r="H672" s="22" t="n">
        <v>10</v>
      </c>
      <c r="I672" s="22" t="s">
        <v>6576</v>
      </c>
      <c r="J672" s="22" t="s">
        <v>6577</v>
      </c>
      <c r="K672" s="22" t="s">
        <v>7070</v>
      </c>
      <c r="L672" s="22" t="s">
        <v>5457</v>
      </c>
      <c r="M672" s="22" t="s">
        <v>5458</v>
      </c>
      <c r="N672" s="22" t="s">
        <v>495</v>
      </c>
      <c r="O672" s="22" t="n">
        <v>56.4</v>
      </c>
      <c r="P672" s="22" t="n">
        <v>7.55</v>
      </c>
      <c r="Q672" s="22" t="s">
        <v>7557</v>
      </c>
      <c r="R672" s="22"/>
    </row>
    <row r="673" customFormat="false" ht="15" hidden="false" customHeight="false" outlineLevel="0" collapsed="false">
      <c r="A673" s="22" t="s">
        <v>7936</v>
      </c>
      <c r="B673" s="22" t="s">
        <v>215</v>
      </c>
      <c r="C673" s="22" t="s">
        <v>7694</v>
      </c>
      <c r="D673" s="22" t="s">
        <v>7063</v>
      </c>
      <c r="E673" s="22" t="n">
        <v>32</v>
      </c>
      <c r="F673" s="22" t="s">
        <v>6581</v>
      </c>
      <c r="G673" s="22" t="s">
        <v>7696</v>
      </c>
      <c r="H673" s="22" t="n">
        <v>12</v>
      </c>
      <c r="I673" s="22" t="s">
        <v>6576</v>
      </c>
      <c r="J673" s="22" t="s">
        <v>6577</v>
      </c>
      <c r="K673" s="22" t="s">
        <v>7586</v>
      </c>
      <c r="L673" s="22" t="s">
        <v>6184</v>
      </c>
      <c r="M673" s="22" t="s">
        <v>6185</v>
      </c>
      <c r="N673" s="22" t="s">
        <v>352</v>
      </c>
      <c r="O673" s="22" t="n">
        <v>22.4</v>
      </c>
      <c r="P673" s="22" t="n">
        <v>7.55</v>
      </c>
      <c r="Q673" s="22" t="s">
        <v>7937</v>
      </c>
      <c r="R673" s="22"/>
    </row>
    <row r="674" customFormat="false" ht="15" hidden="false" customHeight="false" outlineLevel="0" collapsed="false">
      <c r="A674" s="22" t="s">
        <v>7938</v>
      </c>
      <c r="B674" s="22" t="s">
        <v>215</v>
      </c>
      <c r="C674" s="22" t="s">
        <v>7694</v>
      </c>
      <c r="D674" s="22" t="s">
        <v>7063</v>
      </c>
      <c r="E674" s="22" t="n">
        <v>28</v>
      </c>
      <c r="F674" s="22" t="s">
        <v>6574</v>
      </c>
      <c r="G674" s="22" t="s">
        <v>7696</v>
      </c>
      <c r="H674" s="22" t="n">
        <v>10</v>
      </c>
      <c r="I674" s="22" t="s">
        <v>6576</v>
      </c>
      <c r="J674" s="22" t="s">
        <v>6577</v>
      </c>
      <c r="K674" s="22" t="s">
        <v>7074</v>
      </c>
      <c r="L674" s="22" t="s">
        <v>1660</v>
      </c>
      <c r="M674" s="22" t="s">
        <v>1661</v>
      </c>
      <c r="N674" s="22" t="s">
        <v>1662</v>
      </c>
      <c r="O674" s="22" t="n">
        <v>59</v>
      </c>
      <c r="P674" s="22" t="n">
        <v>7.55</v>
      </c>
      <c r="Q674" s="22" t="s">
        <v>7570</v>
      </c>
      <c r="R674" s="22"/>
    </row>
    <row r="675" customFormat="false" ht="15" hidden="false" customHeight="false" outlineLevel="0" collapsed="false">
      <c r="A675" s="22" t="s">
        <v>7939</v>
      </c>
      <c r="B675" s="22" t="s">
        <v>215</v>
      </c>
      <c r="C675" s="22" t="s">
        <v>7694</v>
      </c>
      <c r="D675" s="22" t="s">
        <v>7063</v>
      </c>
      <c r="E675" s="22" t="n">
        <v>36</v>
      </c>
      <c r="F675" s="22" t="s">
        <v>6581</v>
      </c>
      <c r="G675" s="22" t="s">
        <v>7696</v>
      </c>
      <c r="H675" s="22" t="n">
        <v>13</v>
      </c>
      <c r="I675" s="22" t="s">
        <v>6582</v>
      </c>
      <c r="J675" s="22" t="s">
        <v>6577</v>
      </c>
      <c r="K675" s="22" t="s">
        <v>7077</v>
      </c>
      <c r="L675" s="22" t="s">
        <v>1196</v>
      </c>
      <c r="M675" s="22" t="s">
        <v>1197</v>
      </c>
      <c r="N675" s="22" t="s">
        <v>1198</v>
      </c>
      <c r="O675" s="22" t="n">
        <v>33.5</v>
      </c>
      <c r="P675" s="22" t="n">
        <v>7.55</v>
      </c>
      <c r="Q675" s="22" t="s">
        <v>7940</v>
      </c>
      <c r="R675" s="22"/>
    </row>
    <row r="676" customFormat="false" ht="15" hidden="false" customHeight="false" outlineLevel="0" collapsed="false">
      <c r="A676" s="22" t="s">
        <v>7941</v>
      </c>
      <c r="B676" s="22" t="s">
        <v>215</v>
      </c>
      <c r="C676" s="22" t="s">
        <v>7694</v>
      </c>
      <c r="D676" s="22" t="s">
        <v>7063</v>
      </c>
      <c r="E676" s="22" t="n">
        <v>28</v>
      </c>
      <c r="F676" s="22" t="s">
        <v>6574</v>
      </c>
      <c r="G676" s="22" t="s">
        <v>7696</v>
      </c>
      <c r="H676" s="22" t="n">
        <v>10</v>
      </c>
      <c r="I676" s="22" t="s">
        <v>6576</v>
      </c>
      <c r="J676" s="22" t="s">
        <v>6577</v>
      </c>
      <c r="K676" s="22" t="s">
        <v>7080</v>
      </c>
      <c r="L676" s="22" t="s">
        <v>5102</v>
      </c>
      <c r="M676" s="22" t="s">
        <v>5103</v>
      </c>
      <c r="N676" s="22" t="s">
        <v>5104</v>
      </c>
      <c r="O676" s="22" t="n">
        <v>29.3</v>
      </c>
      <c r="P676" s="22" t="n">
        <v>7.55</v>
      </c>
      <c r="Q676" s="22" t="s">
        <v>7942</v>
      </c>
      <c r="R676" s="22"/>
    </row>
    <row r="677" customFormat="false" ht="15" hidden="false" customHeight="false" outlineLevel="0" collapsed="false">
      <c r="A677" s="22" t="s">
        <v>7943</v>
      </c>
      <c r="B677" s="22" t="s">
        <v>215</v>
      </c>
      <c r="C677" s="22" t="s">
        <v>7694</v>
      </c>
      <c r="D677" s="22" t="s">
        <v>7063</v>
      </c>
      <c r="E677" s="22" t="n">
        <v>80</v>
      </c>
      <c r="F677" s="22" t="s">
        <v>7695</v>
      </c>
      <c r="G677" s="22" t="s">
        <v>7696</v>
      </c>
      <c r="H677" s="22" t="n">
        <v>24</v>
      </c>
      <c r="I677" s="22" t="s">
        <v>7697</v>
      </c>
      <c r="J677" s="22" t="s">
        <v>6577</v>
      </c>
      <c r="K677" s="22" t="s">
        <v>7082</v>
      </c>
      <c r="L677" s="22" t="s">
        <v>3321</v>
      </c>
      <c r="M677" s="22" t="s">
        <v>3322</v>
      </c>
      <c r="N677" s="22" t="s">
        <v>621</v>
      </c>
      <c r="O677" s="22" t="n">
        <v>49.7</v>
      </c>
      <c r="P677" s="22" t="n">
        <v>7.55</v>
      </c>
      <c r="Q677" s="22" t="s">
        <v>6735</v>
      </c>
      <c r="R677" s="22"/>
    </row>
    <row r="678" customFormat="false" ht="15" hidden="false" customHeight="false" outlineLevel="0" collapsed="false">
      <c r="A678" s="22" t="s">
        <v>7944</v>
      </c>
      <c r="B678" s="22" t="s">
        <v>215</v>
      </c>
      <c r="C678" s="22" t="s">
        <v>7694</v>
      </c>
      <c r="D678" s="22" t="s">
        <v>7063</v>
      </c>
      <c r="E678" s="22" t="n">
        <v>70</v>
      </c>
      <c r="F678" s="22" t="s">
        <v>7695</v>
      </c>
      <c r="G678" s="22" t="s">
        <v>7696</v>
      </c>
      <c r="H678" s="22" t="n">
        <v>22</v>
      </c>
      <c r="I678" s="22" t="s">
        <v>7697</v>
      </c>
      <c r="J678" s="22" t="s">
        <v>6577</v>
      </c>
      <c r="K678" s="22" t="s">
        <v>7084</v>
      </c>
      <c r="L678" s="22" t="s">
        <v>3902</v>
      </c>
      <c r="M678" s="22" t="s">
        <v>3903</v>
      </c>
      <c r="N678" s="22" t="s">
        <v>1138</v>
      </c>
      <c r="O678" s="22" t="n">
        <v>58.3</v>
      </c>
      <c r="P678" s="22" t="n">
        <v>7.55</v>
      </c>
      <c r="Q678" s="22" t="s">
        <v>6641</v>
      </c>
      <c r="R678" s="22"/>
    </row>
    <row r="679" customFormat="false" ht="15" hidden="false" customHeight="false" outlineLevel="0" collapsed="false">
      <c r="A679" s="22" t="s">
        <v>7945</v>
      </c>
      <c r="B679" s="22" t="s">
        <v>215</v>
      </c>
      <c r="C679" s="22" t="s">
        <v>7694</v>
      </c>
      <c r="D679" s="22" t="s">
        <v>7063</v>
      </c>
      <c r="E679" s="22" t="n">
        <v>28</v>
      </c>
      <c r="F679" s="22" t="s">
        <v>6574</v>
      </c>
      <c r="G679" s="22" t="s">
        <v>7696</v>
      </c>
      <c r="H679" s="22" t="n">
        <v>10</v>
      </c>
      <c r="I679" s="22" t="s">
        <v>6576</v>
      </c>
      <c r="J679" s="22" t="s">
        <v>6577</v>
      </c>
      <c r="K679" s="22" t="s">
        <v>7597</v>
      </c>
      <c r="L679" s="22" t="s">
        <v>5776</v>
      </c>
      <c r="M679" s="22" t="s">
        <v>5777</v>
      </c>
      <c r="N679" s="22" t="s">
        <v>1204</v>
      </c>
      <c r="O679" s="22" t="n">
        <v>26.3</v>
      </c>
      <c r="P679" s="22" t="n">
        <v>7.55</v>
      </c>
      <c r="Q679" s="22" t="s">
        <v>6579</v>
      </c>
      <c r="R679" s="22"/>
    </row>
    <row r="680" customFormat="false" ht="15" hidden="false" customHeight="false" outlineLevel="0" collapsed="false">
      <c r="A680" s="22" t="s">
        <v>7946</v>
      </c>
      <c r="B680" s="22" t="s">
        <v>215</v>
      </c>
      <c r="C680" s="22" t="s">
        <v>7694</v>
      </c>
      <c r="D680" s="22" t="s">
        <v>7063</v>
      </c>
      <c r="E680" s="22" t="n">
        <v>70</v>
      </c>
      <c r="F680" s="22" t="s">
        <v>7695</v>
      </c>
      <c r="G680" s="22" t="s">
        <v>7696</v>
      </c>
      <c r="H680" s="22" t="n">
        <v>22</v>
      </c>
      <c r="I680" s="22" t="s">
        <v>7697</v>
      </c>
      <c r="J680" s="22" t="s">
        <v>6577</v>
      </c>
      <c r="K680" s="22" t="s">
        <v>7089</v>
      </c>
      <c r="L680" s="22" t="s">
        <v>6155</v>
      </c>
      <c r="M680" s="22" t="s">
        <v>6156</v>
      </c>
      <c r="N680" s="22" t="s">
        <v>2868</v>
      </c>
      <c r="O680" s="22" t="n">
        <v>61</v>
      </c>
      <c r="P680" s="22" t="n">
        <v>7.55</v>
      </c>
      <c r="Q680" s="22" t="s">
        <v>6726</v>
      </c>
      <c r="R680" s="22"/>
    </row>
    <row r="681" customFormat="false" ht="15" hidden="false" customHeight="false" outlineLevel="0" collapsed="false">
      <c r="A681" s="22" t="s">
        <v>7947</v>
      </c>
      <c r="B681" s="22" t="s">
        <v>215</v>
      </c>
      <c r="C681" s="22" t="s">
        <v>7694</v>
      </c>
      <c r="D681" s="22" t="s">
        <v>7063</v>
      </c>
      <c r="E681" s="22" t="n">
        <v>28</v>
      </c>
      <c r="F681" s="22" t="s">
        <v>6574</v>
      </c>
      <c r="G681" s="22" t="s">
        <v>7696</v>
      </c>
      <c r="H681" s="22" t="n">
        <v>10</v>
      </c>
      <c r="I681" s="22" t="s">
        <v>6576</v>
      </c>
      <c r="J681" s="22" t="s">
        <v>6577</v>
      </c>
      <c r="K681" s="22" t="s">
        <v>7092</v>
      </c>
      <c r="L681" s="22" t="s">
        <v>6099</v>
      </c>
      <c r="M681" s="22" t="s">
        <v>6100</v>
      </c>
      <c r="N681" s="22" t="s">
        <v>477</v>
      </c>
      <c r="O681" s="22" t="n">
        <v>26.4</v>
      </c>
      <c r="P681" s="22" t="n">
        <v>7.55</v>
      </c>
      <c r="Q681" s="22" t="s">
        <v>7657</v>
      </c>
      <c r="R681" s="22"/>
    </row>
    <row r="682" customFormat="false" ht="15" hidden="false" customHeight="false" outlineLevel="0" collapsed="false">
      <c r="A682" s="22" t="s">
        <v>7948</v>
      </c>
      <c r="B682" s="22" t="s">
        <v>215</v>
      </c>
      <c r="C682" s="22" t="s">
        <v>7694</v>
      </c>
      <c r="D682" s="22" t="s">
        <v>7063</v>
      </c>
      <c r="E682" s="22" t="n">
        <v>45</v>
      </c>
      <c r="F682" s="22" t="s">
        <v>7704</v>
      </c>
      <c r="G682" s="22" t="s">
        <v>7696</v>
      </c>
      <c r="H682" s="22" t="n">
        <v>16</v>
      </c>
      <c r="I682" s="22" t="s">
        <v>7705</v>
      </c>
      <c r="J682" s="22" t="s">
        <v>6577</v>
      </c>
      <c r="K682" s="22" t="s">
        <v>7094</v>
      </c>
      <c r="L682" s="22" t="s">
        <v>3078</v>
      </c>
      <c r="M682" s="22" t="s">
        <v>3079</v>
      </c>
      <c r="N682" s="22" t="s">
        <v>1435</v>
      </c>
      <c r="O682" s="22" t="n">
        <v>54.3</v>
      </c>
      <c r="P682" s="22" t="n">
        <v>7.55</v>
      </c>
      <c r="Q682" s="22" t="s">
        <v>7231</v>
      </c>
      <c r="R682" s="22"/>
    </row>
    <row r="683" customFormat="false" ht="15" hidden="false" customHeight="false" outlineLevel="0" collapsed="false">
      <c r="A683" s="22" t="s">
        <v>7949</v>
      </c>
      <c r="B683" s="22" t="s">
        <v>215</v>
      </c>
      <c r="C683" s="22" t="s">
        <v>7694</v>
      </c>
      <c r="D683" s="22" t="s">
        <v>7063</v>
      </c>
      <c r="E683" s="22" t="n">
        <v>40</v>
      </c>
      <c r="F683" s="22" t="s">
        <v>6581</v>
      </c>
      <c r="G683" s="22" t="s">
        <v>7696</v>
      </c>
      <c r="H683" s="22" t="n">
        <v>14</v>
      </c>
      <c r="I683" s="22" t="s">
        <v>6582</v>
      </c>
      <c r="J683" s="22" t="s">
        <v>6577</v>
      </c>
      <c r="K683" s="22" t="s">
        <v>7097</v>
      </c>
      <c r="L683" s="22" t="s">
        <v>2314</v>
      </c>
      <c r="M683" s="22" t="s">
        <v>2315</v>
      </c>
      <c r="N683" s="22" t="s">
        <v>1408</v>
      </c>
      <c r="O683" s="22" t="n">
        <v>30.1</v>
      </c>
      <c r="P683" s="22" t="n">
        <v>7.55</v>
      </c>
      <c r="Q683" s="22" t="s">
        <v>7712</v>
      </c>
      <c r="R683" s="22"/>
    </row>
    <row r="684" customFormat="false" ht="15" hidden="false" customHeight="false" outlineLevel="0" collapsed="false">
      <c r="A684" s="22" t="s">
        <v>7950</v>
      </c>
      <c r="B684" s="22" t="s">
        <v>215</v>
      </c>
      <c r="C684" s="22" t="s">
        <v>7694</v>
      </c>
      <c r="D684" s="22" t="s">
        <v>7063</v>
      </c>
      <c r="E684" s="22" t="n">
        <v>50</v>
      </c>
      <c r="F684" s="22" t="s">
        <v>7704</v>
      </c>
      <c r="G684" s="22" t="s">
        <v>7696</v>
      </c>
      <c r="H684" s="22" t="n">
        <v>18</v>
      </c>
      <c r="I684" s="22" t="s">
        <v>7705</v>
      </c>
      <c r="J684" s="22" t="s">
        <v>6577</v>
      </c>
      <c r="K684" s="22" t="s">
        <v>7100</v>
      </c>
      <c r="L684" s="22" t="s">
        <v>5473</v>
      </c>
      <c r="M684" s="22" t="s">
        <v>5474</v>
      </c>
      <c r="N684" s="22" t="s">
        <v>1974</v>
      </c>
      <c r="O684" s="22" t="n">
        <v>41.7</v>
      </c>
      <c r="P684" s="22" t="n">
        <v>7.55</v>
      </c>
      <c r="Q684" s="22" t="s">
        <v>7581</v>
      </c>
      <c r="R684" s="22"/>
    </row>
    <row r="685" customFormat="false" ht="15" hidden="false" customHeight="false" outlineLevel="0" collapsed="false">
      <c r="A685" s="22" t="s">
        <v>7951</v>
      </c>
      <c r="B685" s="22" t="s">
        <v>215</v>
      </c>
      <c r="C685" s="22" t="s">
        <v>7694</v>
      </c>
      <c r="D685" s="22" t="s">
        <v>7063</v>
      </c>
      <c r="E685" s="22" t="n">
        <v>80</v>
      </c>
      <c r="F685" s="22" t="s">
        <v>7695</v>
      </c>
      <c r="G685" s="22" t="s">
        <v>7696</v>
      </c>
      <c r="H685" s="22" t="n">
        <v>24</v>
      </c>
      <c r="I685" s="22" t="s">
        <v>7697</v>
      </c>
      <c r="J685" s="22" t="s">
        <v>6577</v>
      </c>
      <c r="K685" s="22" t="s">
        <v>7102</v>
      </c>
      <c r="L685" s="22" t="s">
        <v>3597</v>
      </c>
      <c r="M685" s="22" t="s">
        <v>3598</v>
      </c>
      <c r="N685" s="22" t="s">
        <v>3599</v>
      </c>
      <c r="O685" s="22" t="n">
        <v>39.4</v>
      </c>
      <c r="P685" s="22" t="n">
        <v>7.55</v>
      </c>
      <c r="Q685" s="22" t="s">
        <v>7952</v>
      </c>
      <c r="R685" s="22"/>
    </row>
    <row r="686" customFormat="false" ht="15" hidden="false" customHeight="false" outlineLevel="0" collapsed="false">
      <c r="A686" s="22" t="s">
        <v>7953</v>
      </c>
      <c r="B686" s="22" t="s">
        <v>215</v>
      </c>
      <c r="C686" s="22" t="s">
        <v>7694</v>
      </c>
      <c r="D686" s="22" t="s">
        <v>7063</v>
      </c>
      <c r="E686" s="22" t="n">
        <v>24</v>
      </c>
      <c r="F686" s="22" t="s">
        <v>6574</v>
      </c>
      <c r="G686" s="22" t="s">
        <v>7696</v>
      </c>
      <c r="H686" s="22" t="n">
        <v>9</v>
      </c>
      <c r="I686" s="22" t="s">
        <v>6576</v>
      </c>
      <c r="J686" s="22" t="s">
        <v>6577</v>
      </c>
      <c r="K686" s="22" t="s">
        <v>7105</v>
      </c>
      <c r="L686" s="22" t="s">
        <v>5607</v>
      </c>
      <c r="M686" s="22" t="s">
        <v>5608</v>
      </c>
      <c r="N686" s="22" t="s">
        <v>1668</v>
      </c>
      <c r="O686" s="22" t="n">
        <v>35.5</v>
      </c>
      <c r="P686" s="22" t="n">
        <v>7.55</v>
      </c>
      <c r="Q686" s="22" t="s">
        <v>7954</v>
      </c>
      <c r="R686" s="22"/>
    </row>
    <row r="687" customFormat="false" ht="15" hidden="false" customHeight="false" outlineLevel="0" collapsed="false">
      <c r="A687" s="22" t="s">
        <v>7955</v>
      </c>
      <c r="B687" s="22" t="s">
        <v>215</v>
      </c>
      <c r="C687" s="22" t="s">
        <v>7694</v>
      </c>
      <c r="D687" s="22" t="s">
        <v>7063</v>
      </c>
      <c r="E687" s="22" t="n">
        <v>32</v>
      </c>
      <c r="F687" s="22" t="s">
        <v>6581</v>
      </c>
      <c r="G687" s="22" t="s">
        <v>7696</v>
      </c>
      <c r="H687" s="22" t="n">
        <v>12</v>
      </c>
      <c r="I687" s="22" t="s">
        <v>6576</v>
      </c>
      <c r="J687" s="22" t="s">
        <v>6577</v>
      </c>
      <c r="K687" s="22" t="s">
        <v>7108</v>
      </c>
      <c r="L687" s="22" t="s">
        <v>6157</v>
      </c>
      <c r="M687" s="22" t="s">
        <v>6158</v>
      </c>
      <c r="N687" s="22" t="s">
        <v>395</v>
      </c>
      <c r="O687" s="22" t="n">
        <v>54.1</v>
      </c>
      <c r="P687" s="22" t="n">
        <v>7.55</v>
      </c>
      <c r="Q687" s="22" t="s">
        <v>7956</v>
      </c>
      <c r="R687" s="22"/>
    </row>
    <row r="688" customFormat="false" ht="15" hidden="false" customHeight="false" outlineLevel="0" collapsed="false">
      <c r="A688" s="22" t="s">
        <v>7957</v>
      </c>
      <c r="B688" s="22" t="s">
        <v>215</v>
      </c>
      <c r="C688" s="22" t="s">
        <v>7694</v>
      </c>
      <c r="D688" s="22" t="s">
        <v>7063</v>
      </c>
      <c r="E688" s="22" t="n">
        <v>24</v>
      </c>
      <c r="F688" s="22" t="s">
        <v>6574</v>
      </c>
      <c r="G688" s="22" t="s">
        <v>7696</v>
      </c>
      <c r="H688" s="22" t="n">
        <v>9</v>
      </c>
      <c r="I688" s="22" t="s">
        <v>6576</v>
      </c>
      <c r="J688" s="22" t="s">
        <v>6577</v>
      </c>
      <c r="K688" s="22" t="s">
        <v>7110</v>
      </c>
      <c r="L688" s="22" t="s">
        <v>3886</v>
      </c>
      <c r="M688" s="22" t="s">
        <v>3887</v>
      </c>
      <c r="N688" s="22" t="s">
        <v>436</v>
      </c>
      <c r="O688" s="22" t="n">
        <v>35</v>
      </c>
      <c r="P688" s="22" t="n">
        <v>7.55</v>
      </c>
      <c r="Q688" s="22" t="s">
        <v>7958</v>
      </c>
      <c r="R688" s="22"/>
    </row>
    <row r="689" customFormat="false" ht="15" hidden="false" customHeight="false" outlineLevel="0" collapsed="false">
      <c r="A689" s="22" t="s">
        <v>7959</v>
      </c>
      <c r="B689" s="22" t="s">
        <v>215</v>
      </c>
      <c r="C689" s="22" t="s">
        <v>7694</v>
      </c>
      <c r="D689" s="22" t="s">
        <v>7063</v>
      </c>
      <c r="E689" s="22" t="n">
        <v>40</v>
      </c>
      <c r="F689" s="22" t="s">
        <v>6581</v>
      </c>
      <c r="G689" s="22" t="s">
        <v>7696</v>
      </c>
      <c r="H689" s="22" t="n">
        <v>14</v>
      </c>
      <c r="I689" s="22" t="s">
        <v>6582</v>
      </c>
      <c r="J689" s="22" t="s">
        <v>6613</v>
      </c>
      <c r="K689" s="22"/>
      <c r="L689" s="22"/>
      <c r="M689" s="22"/>
      <c r="N689" s="22"/>
      <c r="O689" s="22"/>
      <c r="P689" s="22" t="n">
        <v>7.55</v>
      </c>
      <c r="Q689" s="22" t="s">
        <v>7960</v>
      </c>
      <c r="R689" s="22"/>
    </row>
    <row r="690" customFormat="false" ht="15" hidden="false" customHeight="false" outlineLevel="0" collapsed="false">
      <c r="A690" s="22" t="s">
        <v>7961</v>
      </c>
      <c r="B690" s="22" t="s">
        <v>215</v>
      </c>
      <c r="C690" s="22" t="s">
        <v>7694</v>
      </c>
      <c r="D690" s="22" t="s">
        <v>7063</v>
      </c>
      <c r="E690" s="22" t="n">
        <v>40</v>
      </c>
      <c r="F690" s="22" t="s">
        <v>6581</v>
      </c>
      <c r="G690" s="22" t="s">
        <v>7696</v>
      </c>
      <c r="H690" s="22" t="n">
        <v>14</v>
      </c>
      <c r="I690" s="22" t="s">
        <v>6582</v>
      </c>
      <c r="J690" s="22" t="s">
        <v>6577</v>
      </c>
      <c r="K690" s="22" t="s">
        <v>7115</v>
      </c>
      <c r="L690" s="22" t="s">
        <v>3120</v>
      </c>
      <c r="M690" s="22" t="s">
        <v>3121</v>
      </c>
      <c r="N690" s="22" t="s">
        <v>341</v>
      </c>
      <c r="O690" s="22" t="n">
        <v>28.5</v>
      </c>
      <c r="P690" s="22" t="n">
        <v>7.55</v>
      </c>
      <c r="Q690" s="22" t="s">
        <v>7962</v>
      </c>
      <c r="R690" s="22"/>
    </row>
    <row r="691" customFormat="false" ht="15" hidden="false" customHeight="false" outlineLevel="0" collapsed="false">
      <c r="A691" s="22" t="s">
        <v>7963</v>
      </c>
      <c r="B691" s="22" t="s">
        <v>215</v>
      </c>
      <c r="C691" s="22" t="s">
        <v>7694</v>
      </c>
      <c r="D691" s="22" t="s">
        <v>7063</v>
      </c>
      <c r="E691" s="22" t="n">
        <v>60</v>
      </c>
      <c r="F691" s="22" t="s">
        <v>7695</v>
      </c>
      <c r="G691" s="22" t="s">
        <v>7696</v>
      </c>
      <c r="H691" s="22" t="n">
        <v>20</v>
      </c>
      <c r="I691" s="22" t="s">
        <v>7697</v>
      </c>
      <c r="J691" s="22" t="s">
        <v>6577</v>
      </c>
      <c r="K691" s="22" t="s">
        <v>7118</v>
      </c>
      <c r="L691" s="22" t="s">
        <v>384</v>
      </c>
      <c r="M691" s="22" t="s">
        <v>385</v>
      </c>
      <c r="N691" s="22" t="s">
        <v>386</v>
      </c>
      <c r="O691" s="22" t="n">
        <v>49.9</v>
      </c>
      <c r="P691" s="22" t="n">
        <v>7.55</v>
      </c>
      <c r="Q691" s="22" t="s">
        <v>7461</v>
      </c>
      <c r="R691" s="22"/>
    </row>
    <row r="692" customFormat="false" ht="15" hidden="false" customHeight="false" outlineLevel="0" collapsed="false">
      <c r="A692" s="22" t="s">
        <v>7964</v>
      </c>
      <c r="B692" s="22" t="s">
        <v>215</v>
      </c>
      <c r="C692" s="22" t="s">
        <v>7694</v>
      </c>
      <c r="D692" s="22" t="s">
        <v>7063</v>
      </c>
      <c r="E692" s="22" t="n">
        <v>32</v>
      </c>
      <c r="F692" s="22" t="s">
        <v>6581</v>
      </c>
      <c r="G692" s="22" t="s">
        <v>7696</v>
      </c>
      <c r="H692" s="22" t="n">
        <v>12</v>
      </c>
      <c r="I692" s="22" t="s">
        <v>6576</v>
      </c>
      <c r="J692" s="22" t="s">
        <v>6577</v>
      </c>
      <c r="K692" s="22" t="s">
        <v>7120</v>
      </c>
      <c r="L692" s="22" t="s">
        <v>5141</v>
      </c>
      <c r="M692" s="22" t="s">
        <v>5142</v>
      </c>
      <c r="N692" s="22" t="s">
        <v>2147</v>
      </c>
      <c r="O692" s="22" t="n">
        <v>54.2</v>
      </c>
      <c r="P692" s="22" t="n">
        <v>7.55</v>
      </c>
      <c r="Q692" s="22" t="s">
        <v>7068</v>
      </c>
      <c r="R692" s="22"/>
    </row>
    <row r="693" customFormat="false" ht="15" hidden="false" customHeight="false" outlineLevel="0" collapsed="false">
      <c r="A693" s="22" t="s">
        <v>7965</v>
      </c>
      <c r="B693" s="22" t="s">
        <v>215</v>
      </c>
      <c r="C693" s="22" t="s">
        <v>7694</v>
      </c>
      <c r="D693" s="22" t="s">
        <v>7063</v>
      </c>
      <c r="E693" s="22" t="n">
        <v>28</v>
      </c>
      <c r="F693" s="22" t="s">
        <v>6574</v>
      </c>
      <c r="G693" s="22" t="s">
        <v>7696</v>
      </c>
      <c r="H693" s="22" t="n">
        <v>10</v>
      </c>
      <c r="I693" s="22" t="s">
        <v>6576</v>
      </c>
      <c r="J693" s="22" t="s">
        <v>6734</v>
      </c>
      <c r="K693" s="22"/>
      <c r="L693" s="22"/>
      <c r="M693" s="22"/>
      <c r="N693" s="22"/>
      <c r="O693" s="22"/>
      <c r="P693" s="22" t="n">
        <v>7.55</v>
      </c>
      <c r="Q693" s="22" t="s">
        <v>7966</v>
      </c>
      <c r="R693" s="22"/>
    </row>
    <row r="694" customFormat="false" ht="15" hidden="false" customHeight="false" outlineLevel="0" collapsed="false">
      <c r="A694" s="22" t="s">
        <v>7967</v>
      </c>
      <c r="B694" s="22" t="s">
        <v>215</v>
      </c>
      <c r="C694" s="22" t="s">
        <v>7694</v>
      </c>
      <c r="D694" s="22" t="s">
        <v>7126</v>
      </c>
      <c r="E694" s="22" t="n">
        <v>28</v>
      </c>
      <c r="F694" s="22" t="s">
        <v>6574</v>
      </c>
      <c r="G694" s="22" t="s">
        <v>7696</v>
      </c>
      <c r="H694" s="22" t="n">
        <v>10</v>
      </c>
      <c r="I694" s="22" t="s">
        <v>6576</v>
      </c>
      <c r="J694" s="22" t="s">
        <v>6577</v>
      </c>
      <c r="K694" s="22" t="s">
        <v>7127</v>
      </c>
      <c r="L694" s="22" t="s">
        <v>3874</v>
      </c>
      <c r="M694" s="22" t="s">
        <v>3875</v>
      </c>
      <c r="N694" s="22" t="s">
        <v>2034</v>
      </c>
      <c r="O694" s="22" t="n">
        <v>37.9</v>
      </c>
      <c r="P694" s="22" t="n">
        <v>7.55</v>
      </c>
      <c r="Q694" s="22" t="s">
        <v>7285</v>
      </c>
      <c r="R694" s="22"/>
    </row>
    <row r="695" customFormat="false" ht="15" hidden="false" customHeight="false" outlineLevel="0" collapsed="false">
      <c r="A695" s="22" t="s">
        <v>7968</v>
      </c>
      <c r="B695" s="22" t="s">
        <v>215</v>
      </c>
      <c r="C695" s="22" t="s">
        <v>7694</v>
      </c>
      <c r="D695" s="22" t="s">
        <v>7126</v>
      </c>
      <c r="E695" s="22" t="n">
        <v>80</v>
      </c>
      <c r="F695" s="22" t="s">
        <v>7695</v>
      </c>
      <c r="G695" s="22" t="s">
        <v>7696</v>
      </c>
      <c r="H695" s="22" t="n">
        <v>24</v>
      </c>
      <c r="I695" s="22" t="s">
        <v>7697</v>
      </c>
      <c r="J695" s="22" t="s">
        <v>6577</v>
      </c>
      <c r="K695" s="22" t="s">
        <v>7130</v>
      </c>
      <c r="L695" s="22" t="s">
        <v>6121</v>
      </c>
      <c r="M695" s="22" t="s">
        <v>3308</v>
      </c>
      <c r="N695" s="22" t="s">
        <v>349</v>
      </c>
      <c r="O695" s="22" t="n">
        <v>46.8</v>
      </c>
      <c r="P695" s="22" t="n">
        <v>7.55</v>
      </c>
      <c r="Q695" s="22" t="s">
        <v>7969</v>
      </c>
      <c r="R695" s="22"/>
    </row>
    <row r="696" customFormat="false" ht="15" hidden="false" customHeight="false" outlineLevel="0" collapsed="false">
      <c r="A696" s="22" t="s">
        <v>7970</v>
      </c>
      <c r="B696" s="22" t="s">
        <v>215</v>
      </c>
      <c r="C696" s="22" t="s">
        <v>7694</v>
      </c>
      <c r="D696" s="22" t="s">
        <v>7126</v>
      </c>
      <c r="E696" s="22" t="n">
        <v>24</v>
      </c>
      <c r="F696" s="22" t="s">
        <v>6574</v>
      </c>
      <c r="G696" s="22" t="s">
        <v>7696</v>
      </c>
      <c r="H696" s="22" t="n">
        <v>9</v>
      </c>
      <c r="I696" s="22" t="s">
        <v>6576</v>
      </c>
      <c r="J696" s="22" t="s">
        <v>6577</v>
      </c>
      <c r="K696" s="22" t="s">
        <v>7133</v>
      </c>
      <c r="L696" s="22" t="s">
        <v>2399</v>
      </c>
      <c r="M696" s="22" t="s">
        <v>2400</v>
      </c>
      <c r="N696" s="22" t="s">
        <v>284</v>
      </c>
      <c r="O696" s="22" t="n">
        <v>26.2</v>
      </c>
      <c r="P696" s="22" t="n">
        <v>7.55</v>
      </c>
      <c r="Q696" s="22" t="s">
        <v>7057</v>
      </c>
      <c r="R696" s="22"/>
    </row>
    <row r="697" customFormat="false" ht="15" hidden="false" customHeight="false" outlineLevel="0" collapsed="false">
      <c r="A697" s="22" t="s">
        <v>7971</v>
      </c>
      <c r="B697" s="22" t="s">
        <v>215</v>
      </c>
      <c r="C697" s="22" t="s">
        <v>7694</v>
      </c>
      <c r="D697" s="22" t="s">
        <v>7126</v>
      </c>
      <c r="E697" s="22" t="n">
        <v>45</v>
      </c>
      <c r="F697" s="22" t="s">
        <v>7704</v>
      </c>
      <c r="G697" s="22" t="s">
        <v>7696</v>
      </c>
      <c r="H697" s="22" t="n">
        <v>16</v>
      </c>
      <c r="I697" s="22" t="s">
        <v>7705</v>
      </c>
      <c r="J697" s="22" t="s">
        <v>6577</v>
      </c>
      <c r="K697" s="22" t="s">
        <v>7135</v>
      </c>
      <c r="L697" s="22" t="s">
        <v>5562</v>
      </c>
      <c r="M697" s="22" t="s">
        <v>5563</v>
      </c>
      <c r="N697" s="22" t="s">
        <v>191</v>
      </c>
      <c r="O697" s="22" t="n">
        <v>38.3</v>
      </c>
      <c r="P697" s="22" t="n">
        <v>7.55</v>
      </c>
      <c r="Q697" s="22" t="s">
        <v>7972</v>
      </c>
      <c r="R697" s="22"/>
    </row>
    <row r="698" customFormat="false" ht="15" hidden="false" customHeight="false" outlineLevel="0" collapsed="false">
      <c r="A698" s="22" t="s">
        <v>7973</v>
      </c>
      <c r="B698" s="22" t="s">
        <v>215</v>
      </c>
      <c r="C698" s="22" t="s">
        <v>7694</v>
      </c>
      <c r="D698" s="22" t="s">
        <v>7126</v>
      </c>
      <c r="E698" s="22" t="n">
        <v>45</v>
      </c>
      <c r="F698" s="22" t="s">
        <v>7704</v>
      </c>
      <c r="G698" s="22" t="s">
        <v>7696</v>
      </c>
      <c r="H698" s="22" t="n">
        <v>16</v>
      </c>
      <c r="I698" s="22" t="s">
        <v>7705</v>
      </c>
      <c r="J698" s="22" t="s">
        <v>6577</v>
      </c>
      <c r="K698" s="22" t="s">
        <v>7138</v>
      </c>
      <c r="L698" s="22" t="s">
        <v>1243</v>
      </c>
      <c r="M698" s="22" t="s">
        <v>1244</v>
      </c>
      <c r="N698" s="22" t="s">
        <v>1245</v>
      </c>
      <c r="O698" s="22" t="n">
        <v>47</v>
      </c>
      <c r="P698" s="22" t="n">
        <v>7.55</v>
      </c>
      <c r="Q698" s="22" t="s">
        <v>7974</v>
      </c>
      <c r="R698" s="22"/>
    </row>
    <row r="699" customFormat="false" ht="15" hidden="false" customHeight="false" outlineLevel="0" collapsed="false">
      <c r="A699" s="22" t="s">
        <v>7975</v>
      </c>
      <c r="B699" s="22" t="s">
        <v>215</v>
      </c>
      <c r="C699" s="22" t="s">
        <v>7694</v>
      </c>
      <c r="D699" s="22" t="s">
        <v>7126</v>
      </c>
      <c r="E699" s="22" t="n">
        <v>80</v>
      </c>
      <c r="F699" s="22" t="s">
        <v>7695</v>
      </c>
      <c r="G699" s="22" t="s">
        <v>7696</v>
      </c>
      <c r="H699" s="22" t="n">
        <v>24</v>
      </c>
      <c r="I699" s="22" t="s">
        <v>7697</v>
      </c>
      <c r="J699" s="22" t="s">
        <v>6577</v>
      </c>
      <c r="K699" s="22" t="s">
        <v>7140</v>
      </c>
      <c r="L699" s="22" t="s">
        <v>267</v>
      </c>
      <c r="M699" s="22" t="s">
        <v>268</v>
      </c>
      <c r="N699" s="22" t="s">
        <v>269</v>
      </c>
      <c r="O699" s="22" t="n">
        <v>58.9</v>
      </c>
      <c r="P699" s="22" t="n">
        <v>7.55</v>
      </c>
      <c r="Q699" s="22" t="s">
        <v>7976</v>
      </c>
      <c r="R699" s="22"/>
    </row>
    <row r="700" customFormat="false" ht="15" hidden="false" customHeight="false" outlineLevel="0" collapsed="false">
      <c r="A700" s="22" t="s">
        <v>7977</v>
      </c>
      <c r="B700" s="22" t="s">
        <v>215</v>
      </c>
      <c r="C700" s="22" t="s">
        <v>7694</v>
      </c>
      <c r="D700" s="22" t="s">
        <v>7126</v>
      </c>
      <c r="E700" s="22" t="n">
        <v>40</v>
      </c>
      <c r="F700" s="22" t="s">
        <v>6581</v>
      </c>
      <c r="G700" s="22" t="s">
        <v>7696</v>
      </c>
      <c r="H700" s="22" t="n">
        <v>14</v>
      </c>
      <c r="I700" s="22" t="s">
        <v>6582</v>
      </c>
      <c r="J700" s="22" t="s">
        <v>6577</v>
      </c>
      <c r="K700" s="22" t="s">
        <v>7143</v>
      </c>
      <c r="L700" s="22" t="s">
        <v>4488</v>
      </c>
      <c r="M700" s="22" t="s">
        <v>4489</v>
      </c>
      <c r="N700" s="22" t="s">
        <v>419</v>
      </c>
      <c r="O700" s="22" t="n">
        <v>52</v>
      </c>
      <c r="P700" s="22" t="n">
        <v>7.55</v>
      </c>
      <c r="Q700" s="22" t="s">
        <v>7942</v>
      </c>
      <c r="R700" s="22"/>
    </row>
    <row r="701" customFormat="false" ht="15" hidden="false" customHeight="false" outlineLevel="0" collapsed="false">
      <c r="A701" s="22" t="s">
        <v>7978</v>
      </c>
      <c r="B701" s="22" t="s">
        <v>215</v>
      </c>
      <c r="C701" s="22" t="s">
        <v>7694</v>
      </c>
      <c r="D701" s="22" t="s">
        <v>7126</v>
      </c>
      <c r="E701" s="22" t="n">
        <v>40</v>
      </c>
      <c r="F701" s="22" t="s">
        <v>6581</v>
      </c>
      <c r="G701" s="22" t="s">
        <v>7696</v>
      </c>
      <c r="H701" s="22" t="n">
        <v>14</v>
      </c>
      <c r="I701" s="22" t="s">
        <v>6582</v>
      </c>
      <c r="J701" s="22" t="s">
        <v>6577</v>
      </c>
      <c r="K701" s="22" t="s">
        <v>7146</v>
      </c>
      <c r="L701" s="22" t="s">
        <v>3665</v>
      </c>
      <c r="M701" s="22" t="s">
        <v>3666</v>
      </c>
      <c r="N701" s="22" t="s">
        <v>793</v>
      </c>
      <c r="O701" s="22" t="n">
        <v>34.8</v>
      </c>
      <c r="P701" s="22" t="n">
        <v>7.55</v>
      </c>
      <c r="Q701" s="22" t="s">
        <v>7979</v>
      </c>
      <c r="R701" s="22"/>
    </row>
    <row r="702" customFormat="false" ht="15" hidden="false" customHeight="false" outlineLevel="0" collapsed="false">
      <c r="A702" s="22" t="s">
        <v>7980</v>
      </c>
      <c r="B702" s="22" t="s">
        <v>215</v>
      </c>
      <c r="C702" s="22" t="s">
        <v>7694</v>
      </c>
      <c r="D702" s="22" t="s">
        <v>7126</v>
      </c>
      <c r="E702" s="22" t="n">
        <v>45</v>
      </c>
      <c r="F702" s="22" t="s">
        <v>7704</v>
      </c>
      <c r="G702" s="22" t="s">
        <v>7696</v>
      </c>
      <c r="H702" s="22" t="n">
        <v>16</v>
      </c>
      <c r="I702" s="22" t="s">
        <v>7705</v>
      </c>
      <c r="J702" s="22" t="s">
        <v>6577</v>
      </c>
      <c r="K702" s="22" t="s">
        <v>7149</v>
      </c>
      <c r="L702" s="22" t="s">
        <v>5530</v>
      </c>
      <c r="M702" s="22" t="s">
        <v>5531</v>
      </c>
      <c r="N702" s="22" t="s">
        <v>1060</v>
      </c>
      <c r="O702" s="22" t="n">
        <v>24.6</v>
      </c>
      <c r="P702" s="22" t="n">
        <v>7.55</v>
      </c>
      <c r="Q702" s="22" t="s">
        <v>6710</v>
      </c>
      <c r="R702" s="22"/>
    </row>
    <row r="703" customFormat="false" ht="15" hidden="false" customHeight="false" outlineLevel="0" collapsed="false">
      <c r="A703" s="22" t="s">
        <v>7981</v>
      </c>
      <c r="B703" s="22" t="s">
        <v>215</v>
      </c>
      <c r="C703" s="22" t="s">
        <v>7694</v>
      </c>
      <c r="D703" s="22" t="s">
        <v>7126</v>
      </c>
      <c r="E703" s="22" t="n">
        <v>70</v>
      </c>
      <c r="F703" s="22" t="s">
        <v>7695</v>
      </c>
      <c r="G703" s="22" t="s">
        <v>7696</v>
      </c>
      <c r="H703" s="22" t="n">
        <v>22</v>
      </c>
      <c r="I703" s="22" t="s">
        <v>7697</v>
      </c>
      <c r="J703" s="22" t="s">
        <v>6577</v>
      </c>
      <c r="K703" s="22" t="s">
        <v>7152</v>
      </c>
      <c r="L703" s="22" t="s">
        <v>5377</v>
      </c>
      <c r="M703" s="22" t="s">
        <v>5378</v>
      </c>
      <c r="N703" s="22" t="s">
        <v>1245</v>
      </c>
      <c r="O703" s="22" t="n">
        <v>53.7</v>
      </c>
      <c r="P703" s="22" t="n">
        <v>7.55</v>
      </c>
      <c r="Q703" s="22" t="s">
        <v>7976</v>
      </c>
      <c r="R703" s="22"/>
    </row>
    <row r="704" customFormat="false" ht="15" hidden="false" customHeight="false" outlineLevel="0" collapsed="false">
      <c r="A704" s="22" t="s">
        <v>7982</v>
      </c>
      <c r="B704" s="22" t="s">
        <v>215</v>
      </c>
      <c r="C704" s="22" t="s">
        <v>7694</v>
      </c>
      <c r="D704" s="22" t="s">
        <v>7126</v>
      </c>
      <c r="E704" s="22" t="n">
        <v>60</v>
      </c>
      <c r="F704" s="22" t="s">
        <v>7695</v>
      </c>
      <c r="G704" s="22" t="s">
        <v>7696</v>
      </c>
      <c r="H704" s="22" t="n">
        <v>20</v>
      </c>
      <c r="I704" s="22" t="s">
        <v>7697</v>
      </c>
      <c r="J704" s="22" t="s">
        <v>6577</v>
      </c>
      <c r="K704" s="22" t="s">
        <v>7155</v>
      </c>
      <c r="L704" s="22" t="s">
        <v>4466</v>
      </c>
      <c r="M704" s="22" t="s">
        <v>4467</v>
      </c>
      <c r="N704" s="22" t="s">
        <v>933</v>
      </c>
      <c r="O704" s="22" t="n">
        <v>24</v>
      </c>
      <c r="P704" s="22" t="n">
        <v>7.55</v>
      </c>
      <c r="Q704" s="22" t="s">
        <v>7983</v>
      </c>
      <c r="R704" s="22"/>
    </row>
    <row r="705" customFormat="false" ht="15" hidden="false" customHeight="false" outlineLevel="0" collapsed="false">
      <c r="A705" s="22" t="s">
        <v>7984</v>
      </c>
      <c r="B705" s="22" t="s">
        <v>215</v>
      </c>
      <c r="C705" s="22" t="s">
        <v>7694</v>
      </c>
      <c r="D705" s="22" t="s">
        <v>7126</v>
      </c>
      <c r="E705" s="22" t="n">
        <v>70</v>
      </c>
      <c r="F705" s="22" t="s">
        <v>7695</v>
      </c>
      <c r="G705" s="22" t="s">
        <v>7696</v>
      </c>
      <c r="H705" s="22" t="n">
        <v>22</v>
      </c>
      <c r="I705" s="22" t="s">
        <v>7697</v>
      </c>
      <c r="J705" s="22" t="s">
        <v>6577</v>
      </c>
      <c r="K705" s="22" t="s">
        <v>7157</v>
      </c>
      <c r="L705" s="22" t="s">
        <v>5863</v>
      </c>
      <c r="M705" s="22" t="s">
        <v>5864</v>
      </c>
      <c r="N705" s="22" t="s">
        <v>4681</v>
      </c>
      <c r="O705" s="22" t="n">
        <v>47.4</v>
      </c>
      <c r="P705" s="22" t="n">
        <v>7.55</v>
      </c>
      <c r="Q705" s="22" t="s">
        <v>7468</v>
      </c>
      <c r="R705" s="22"/>
    </row>
    <row r="706" customFormat="false" ht="15" hidden="false" customHeight="false" outlineLevel="0" collapsed="false">
      <c r="A706" s="22" t="s">
        <v>7985</v>
      </c>
      <c r="B706" s="22" t="s">
        <v>215</v>
      </c>
      <c r="C706" s="22" t="s">
        <v>7694</v>
      </c>
      <c r="D706" s="22" t="s">
        <v>7126</v>
      </c>
      <c r="E706" s="22" t="n">
        <v>32</v>
      </c>
      <c r="F706" s="22" t="s">
        <v>6581</v>
      </c>
      <c r="G706" s="22" t="s">
        <v>7696</v>
      </c>
      <c r="H706" s="22" t="n">
        <v>12</v>
      </c>
      <c r="I706" s="22" t="s">
        <v>6576</v>
      </c>
      <c r="J706" s="22" t="s">
        <v>6577</v>
      </c>
      <c r="K706" s="22" t="s">
        <v>7159</v>
      </c>
      <c r="L706" s="22" t="s">
        <v>3467</v>
      </c>
      <c r="M706" s="22" t="s">
        <v>3468</v>
      </c>
      <c r="N706" s="22" t="s">
        <v>281</v>
      </c>
      <c r="O706" s="22" t="n">
        <v>47.2</v>
      </c>
      <c r="P706" s="22" t="n">
        <v>7.55</v>
      </c>
      <c r="Q706" s="22" t="s">
        <v>6907</v>
      </c>
      <c r="R706" s="22"/>
    </row>
    <row r="707" customFormat="false" ht="15" hidden="false" customHeight="false" outlineLevel="0" collapsed="false">
      <c r="A707" s="22" t="s">
        <v>7986</v>
      </c>
      <c r="B707" s="22" t="s">
        <v>215</v>
      </c>
      <c r="C707" s="22" t="s">
        <v>7694</v>
      </c>
      <c r="D707" s="22" t="s">
        <v>7126</v>
      </c>
      <c r="E707" s="22" t="n">
        <v>28</v>
      </c>
      <c r="F707" s="22" t="s">
        <v>6574</v>
      </c>
      <c r="G707" s="22" t="s">
        <v>7696</v>
      </c>
      <c r="H707" s="22" t="n">
        <v>10</v>
      </c>
      <c r="I707" s="22" t="s">
        <v>6576</v>
      </c>
      <c r="J707" s="22" t="s">
        <v>6577</v>
      </c>
      <c r="K707" s="22" t="s">
        <v>7162</v>
      </c>
      <c r="L707" s="22" t="s">
        <v>2745</v>
      </c>
      <c r="M707" s="22" t="s">
        <v>2746</v>
      </c>
      <c r="N707" s="22" t="s">
        <v>1538</v>
      </c>
      <c r="O707" s="22" t="n">
        <v>25.3</v>
      </c>
      <c r="P707" s="22" t="n">
        <v>7.55</v>
      </c>
      <c r="Q707" s="22" t="s">
        <v>7409</v>
      </c>
      <c r="R707" s="22"/>
    </row>
    <row r="708" customFormat="false" ht="15" hidden="false" customHeight="false" outlineLevel="0" collapsed="false">
      <c r="A708" s="22" t="s">
        <v>7987</v>
      </c>
      <c r="B708" s="22" t="s">
        <v>215</v>
      </c>
      <c r="C708" s="22" t="s">
        <v>7694</v>
      </c>
      <c r="D708" s="22" t="s">
        <v>7126</v>
      </c>
      <c r="E708" s="22" t="n">
        <v>50</v>
      </c>
      <c r="F708" s="22" t="s">
        <v>7704</v>
      </c>
      <c r="G708" s="22" t="s">
        <v>7696</v>
      </c>
      <c r="H708" s="22" t="n">
        <v>18</v>
      </c>
      <c r="I708" s="22" t="s">
        <v>7705</v>
      </c>
      <c r="J708" s="22" t="s">
        <v>6577</v>
      </c>
      <c r="K708" s="22" t="s">
        <v>7164</v>
      </c>
      <c r="L708" s="22" t="s">
        <v>5077</v>
      </c>
      <c r="M708" s="22" t="s">
        <v>5078</v>
      </c>
      <c r="N708" s="22" t="s">
        <v>708</v>
      </c>
      <c r="O708" s="22" t="n">
        <v>49.5</v>
      </c>
      <c r="P708" s="22" t="n">
        <v>7.55</v>
      </c>
      <c r="Q708" s="22" t="s">
        <v>7542</v>
      </c>
      <c r="R708" s="22"/>
    </row>
    <row r="709" customFormat="false" ht="15" hidden="false" customHeight="false" outlineLevel="0" collapsed="false">
      <c r="A709" s="22" t="s">
        <v>7988</v>
      </c>
      <c r="B709" s="22" t="s">
        <v>215</v>
      </c>
      <c r="C709" s="22" t="s">
        <v>7694</v>
      </c>
      <c r="D709" s="22" t="s">
        <v>7126</v>
      </c>
      <c r="E709" s="22" t="n">
        <v>24</v>
      </c>
      <c r="F709" s="22" t="s">
        <v>6574</v>
      </c>
      <c r="G709" s="22" t="s">
        <v>7696</v>
      </c>
      <c r="H709" s="22" t="n">
        <v>9</v>
      </c>
      <c r="I709" s="22" t="s">
        <v>6576</v>
      </c>
      <c r="J709" s="22" t="s">
        <v>6577</v>
      </c>
      <c r="K709" s="22" t="s">
        <v>7645</v>
      </c>
      <c r="L709" s="22" t="s">
        <v>5276</v>
      </c>
      <c r="M709" s="22" t="s">
        <v>5277</v>
      </c>
      <c r="N709" s="22" t="s">
        <v>2147</v>
      </c>
      <c r="O709" s="22" t="n">
        <v>53.1</v>
      </c>
      <c r="P709" s="22" t="n">
        <v>7.55</v>
      </c>
      <c r="Q709" s="22" t="s">
        <v>6681</v>
      </c>
      <c r="R709" s="22"/>
    </row>
    <row r="710" customFormat="false" ht="15" hidden="false" customHeight="false" outlineLevel="0" collapsed="false">
      <c r="A710" s="22" t="s">
        <v>7989</v>
      </c>
      <c r="B710" s="22" t="s">
        <v>215</v>
      </c>
      <c r="C710" s="22" t="s">
        <v>7694</v>
      </c>
      <c r="D710" s="22" t="s">
        <v>7126</v>
      </c>
      <c r="E710" s="22" t="n">
        <v>24</v>
      </c>
      <c r="F710" s="22" t="s">
        <v>6574</v>
      </c>
      <c r="G710" s="22" t="s">
        <v>7696</v>
      </c>
      <c r="H710" s="22" t="n">
        <v>9</v>
      </c>
      <c r="I710" s="22" t="s">
        <v>6576</v>
      </c>
      <c r="J710" s="22" t="s">
        <v>6577</v>
      </c>
      <c r="K710" s="22" t="s">
        <v>7168</v>
      </c>
      <c r="L710" s="22" t="s">
        <v>5485</v>
      </c>
      <c r="M710" s="22" t="s">
        <v>5486</v>
      </c>
      <c r="N710" s="22" t="s">
        <v>1057</v>
      </c>
      <c r="O710" s="22" t="n">
        <v>48.6</v>
      </c>
      <c r="P710" s="22" t="n">
        <v>7.55</v>
      </c>
      <c r="Q710" s="22" t="s">
        <v>7184</v>
      </c>
      <c r="R710" s="22"/>
    </row>
    <row r="711" customFormat="false" ht="15" hidden="false" customHeight="false" outlineLevel="0" collapsed="false">
      <c r="A711" s="22" t="s">
        <v>7990</v>
      </c>
      <c r="B711" s="22" t="s">
        <v>215</v>
      </c>
      <c r="C711" s="22" t="s">
        <v>7694</v>
      </c>
      <c r="D711" s="22" t="s">
        <v>7126</v>
      </c>
      <c r="E711" s="22" t="n">
        <v>24</v>
      </c>
      <c r="F711" s="22" t="s">
        <v>6574</v>
      </c>
      <c r="G711" s="22" t="s">
        <v>7696</v>
      </c>
      <c r="H711" s="22" t="n">
        <v>9</v>
      </c>
      <c r="I711" s="22" t="s">
        <v>6576</v>
      </c>
      <c r="J711" s="22" t="s">
        <v>6577</v>
      </c>
      <c r="K711" s="22" t="s">
        <v>7171</v>
      </c>
      <c r="L711" s="22" t="s">
        <v>3714</v>
      </c>
      <c r="M711" s="22" t="s">
        <v>3715</v>
      </c>
      <c r="N711" s="22" t="s">
        <v>731</v>
      </c>
      <c r="O711" s="22" t="n">
        <v>29.8</v>
      </c>
      <c r="P711" s="22" t="n">
        <v>7.55</v>
      </c>
      <c r="Q711" s="22" t="s">
        <v>7991</v>
      </c>
      <c r="R711" s="22"/>
    </row>
    <row r="712" customFormat="false" ht="15" hidden="false" customHeight="false" outlineLevel="0" collapsed="false">
      <c r="A712" s="22" t="s">
        <v>7992</v>
      </c>
      <c r="B712" s="22" t="s">
        <v>215</v>
      </c>
      <c r="C712" s="22" t="s">
        <v>7694</v>
      </c>
      <c r="D712" s="22" t="s">
        <v>7126</v>
      </c>
      <c r="E712" s="22" t="n">
        <v>28</v>
      </c>
      <c r="F712" s="22" t="s">
        <v>6574</v>
      </c>
      <c r="G712" s="22" t="s">
        <v>7696</v>
      </c>
      <c r="H712" s="22" t="n">
        <v>10</v>
      </c>
      <c r="I712" s="22" t="s">
        <v>6576</v>
      </c>
      <c r="J712" s="22" t="s">
        <v>6577</v>
      </c>
      <c r="K712" s="22" t="s">
        <v>7173</v>
      </c>
      <c r="L712" s="22" t="s">
        <v>4757</v>
      </c>
      <c r="M712" s="22" t="s">
        <v>4758</v>
      </c>
      <c r="N712" s="22" t="s">
        <v>1383</v>
      </c>
      <c r="O712" s="22" t="n">
        <v>61.3</v>
      </c>
      <c r="P712" s="22" t="n">
        <v>7.55</v>
      </c>
      <c r="Q712" s="22" t="s">
        <v>6778</v>
      </c>
      <c r="R712" s="22"/>
    </row>
    <row r="713" customFormat="false" ht="15" hidden="false" customHeight="false" outlineLevel="0" collapsed="false">
      <c r="A713" s="22" t="s">
        <v>7993</v>
      </c>
      <c r="B713" s="22" t="s">
        <v>215</v>
      </c>
      <c r="C713" s="22" t="s">
        <v>7694</v>
      </c>
      <c r="D713" s="22" t="s">
        <v>7126</v>
      </c>
      <c r="E713" s="22" t="n">
        <v>40</v>
      </c>
      <c r="F713" s="22" t="s">
        <v>6581</v>
      </c>
      <c r="G713" s="22" t="s">
        <v>7696</v>
      </c>
      <c r="H713" s="22" t="n">
        <v>14</v>
      </c>
      <c r="I713" s="22" t="s">
        <v>6582</v>
      </c>
      <c r="J713" s="22" t="s">
        <v>6577</v>
      </c>
      <c r="K713" s="22" t="s">
        <v>7176</v>
      </c>
      <c r="L713" s="22" t="s">
        <v>3612</v>
      </c>
      <c r="M713" s="22" t="s">
        <v>3613</v>
      </c>
      <c r="N713" s="22" t="s">
        <v>1656</v>
      </c>
      <c r="O713" s="22" t="n">
        <v>51.4</v>
      </c>
      <c r="P713" s="22" t="n">
        <v>7.55</v>
      </c>
      <c r="Q713" s="22" t="s">
        <v>7994</v>
      </c>
      <c r="R713" s="22"/>
    </row>
    <row r="714" customFormat="false" ht="15" hidden="false" customHeight="false" outlineLevel="0" collapsed="false">
      <c r="A714" s="22" t="s">
        <v>7995</v>
      </c>
      <c r="B714" s="22" t="s">
        <v>215</v>
      </c>
      <c r="C714" s="22" t="s">
        <v>7694</v>
      </c>
      <c r="D714" s="22" t="s">
        <v>7126</v>
      </c>
      <c r="E714" s="22" t="n">
        <v>32</v>
      </c>
      <c r="F714" s="22" t="s">
        <v>6581</v>
      </c>
      <c r="G714" s="22" t="s">
        <v>7696</v>
      </c>
      <c r="H714" s="22" t="n">
        <v>12</v>
      </c>
      <c r="I714" s="22" t="s">
        <v>6576</v>
      </c>
      <c r="J714" s="22" t="s">
        <v>6577</v>
      </c>
      <c r="K714" s="22" t="s">
        <v>7179</v>
      </c>
      <c r="L714" s="22" t="s">
        <v>1494</v>
      </c>
      <c r="M714" s="22" t="s">
        <v>1495</v>
      </c>
      <c r="N714" s="22" t="s">
        <v>1496</v>
      </c>
      <c r="O714" s="22" t="n">
        <v>61.9</v>
      </c>
      <c r="P714" s="22" t="n">
        <v>7.55</v>
      </c>
      <c r="Q714" s="22" t="s">
        <v>7824</v>
      </c>
      <c r="R714" s="22"/>
    </row>
    <row r="715" customFormat="false" ht="15" hidden="false" customHeight="false" outlineLevel="0" collapsed="false">
      <c r="A715" s="22" t="s">
        <v>7996</v>
      </c>
      <c r="B715" s="22" t="s">
        <v>215</v>
      </c>
      <c r="C715" s="22" t="s">
        <v>7694</v>
      </c>
      <c r="D715" s="22" t="s">
        <v>7126</v>
      </c>
      <c r="E715" s="22" t="n">
        <v>28</v>
      </c>
      <c r="F715" s="22" t="s">
        <v>6574</v>
      </c>
      <c r="G715" s="22" t="s">
        <v>7696</v>
      </c>
      <c r="H715" s="22" t="n">
        <v>10</v>
      </c>
      <c r="I715" s="22" t="s">
        <v>6576</v>
      </c>
      <c r="J715" s="22" t="s">
        <v>6577</v>
      </c>
      <c r="K715" s="22" t="s">
        <v>7181</v>
      </c>
      <c r="L715" s="22" t="s">
        <v>5875</v>
      </c>
      <c r="M715" s="22" t="s">
        <v>5876</v>
      </c>
      <c r="N715" s="22" t="s">
        <v>2780</v>
      </c>
      <c r="O715" s="22" t="n">
        <v>26.2</v>
      </c>
      <c r="P715" s="22" t="n">
        <v>7.55</v>
      </c>
      <c r="Q715" s="22" t="s">
        <v>7997</v>
      </c>
      <c r="R715" s="22"/>
    </row>
    <row r="716" customFormat="false" ht="15" hidden="false" customHeight="false" outlineLevel="0" collapsed="false">
      <c r="A716" s="22" t="s">
        <v>7998</v>
      </c>
      <c r="B716" s="22" t="s">
        <v>215</v>
      </c>
      <c r="C716" s="22" t="s">
        <v>7694</v>
      </c>
      <c r="D716" s="22" t="s">
        <v>7126</v>
      </c>
      <c r="E716" s="22" t="n">
        <v>32</v>
      </c>
      <c r="F716" s="22" t="s">
        <v>6581</v>
      </c>
      <c r="G716" s="22" t="s">
        <v>7696</v>
      </c>
      <c r="H716" s="22" t="n">
        <v>12</v>
      </c>
      <c r="I716" s="22" t="s">
        <v>6576</v>
      </c>
      <c r="J716" s="22" t="s">
        <v>6577</v>
      </c>
      <c r="K716" s="22" t="s">
        <v>7183</v>
      </c>
      <c r="L716" s="22" t="s">
        <v>5439</v>
      </c>
      <c r="M716" s="22" t="s">
        <v>5440</v>
      </c>
      <c r="N716" s="22" t="s">
        <v>373</v>
      </c>
      <c r="O716" s="22" t="n">
        <v>40.6</v>
      </c>
      <c r="P716" s="22" t="n">
        <v>7.55</v>
      </c>
      <c r="Q716" s="22" t="s">
        <v>7999</v>
      </c>
      <c r="R716" s="22"/>
    </row>
    <row r="717" customFormat="false" ht="15" hidden="false" customHeight="false" outlineLevel="0" collapsed="false">
      <c r="A717" s="22" t="s">
        <v>8000</v>
      </c>
      <c r="B717" s="22" t="s">
        <v>215</v>
      </c>
      <c r="C717" s="22" t="s">
        <v>7694</v>
      </c>
      <c r="D717" s="22" t="s">
        <v>7126</v>
      </c>
      <c r="E717" s="22" t="n">
        <v>36</v>
      </c>
      <c r="F717" s="22" t="s">
        <v>6581</v>
      </c>
      <c r="G717" s="22" t="s">
        <v>7696</v>
      </c>
      <c r="H717" s="22" t="n">
        <v>13</v>
      </c>
      <c r="I717" s="22" t="s">
        <v>6582</v>
      </c>
      <c r="J717" s="22" t="s">
        <v>6613</v>
      </c>
      <c r="K717" s="22"/>
      <c r="L717" s="22"/>
      <c r="M717" s="22"/>
      <c r="N717" s="22"/>
      <c r="O717" s="22"/>
      <c r="P717" s="22" t="n">
        <v>7.55</v>
      </c>
      <c r="Q717" s="22" t="s">
        <v>7727</v>
      </c>
      <c r="R717" s="22"/>
    </row>
    <row r="718" customFormat="false" ht="15" hidden="false" customHeight="false" outlineLevel="0" collapsed="false">
      <c r="A718" s="22" t="s">
        <v>8001</v>
      </c>
      <c r="B718" s="22" t="s">
        <v>215</v>
      </c>
      <c r="C718" s="22" t="s">
        <v>7694</v>
      </c>
      <c r="D718" s="22" t="s">
        <v>7188</v>
      </c>
      <c r="E718" s="22" t="n">
        <v>45</v>
      </c>
      <c r="F718" s="22" t="s">
        <v>7704</v>
      </c>
      <c r="G718" s="22" t="s">
        <v>7696</v>
      </c>
      <c r="H718" s="22" t="n">
        <v>16</v>
      </c>
      <c r="I718" s="22" t="s">
        <v>7705</v>
      </c>
      <c r="J718" s="22" t="s">
        <v>6577</v>
      </c>
      <c r="K718" s="22" t="s">
        <v>7189</v>
      </c>
      <c r="L718" s="22" t="s">
        <v>6378</v>
      </c>
      <c r="M718" s="22" t="s">
        <v>6379</v>
      </c>
      <c r="N718" s="22" t="s">
        <v>290</v>
      </c>
      <c r="O718" s="22" t="n">
        <v>59.5</v>
      </c>
      <c r="P718" s="22" t="n">
        <v>7.55</v>
      </c>
      <c r="Q718" s="22" t="s">
        <v>7343</v>
      </c>
      <c r="R718" s="22"/>
    </row>
    <row r="719" customFormat="false" ht="15" hidden="false" customHeight="false" outlineLevel="0" collapsed="false">
      <c r="A719" s="22" t="s">
        <v>8002</v>
      </c>
      <c r="B719" s="22" t="s">
        <v>215</v>
      </c>
      <c r="C719" s="22" t="s">
        <v>7694</v>
      </c>
      <c r="D719" s="22" t="s">
        <v>7188</v>
      </c>
      <c r="E719" s="22" t="n">
        <v>28</v>
      </c>
      <c r="F719" s="22" t="s">
        <v>6574</v>
      </c>
      <c r="G719" s="22" t="s">
        <v>7696</v>
      </c>
      <c r="H719" s="22" t="n">
        <v>10</v>
      </c>
      <c r="I719" s="22" t="s">
        <v>6576</v>
      </c>
      <c r="J719" s="22" t="s">
        <v>6577</v>
      </c>
      <c r="K719" s="22" t="s">
        <v>7192</v>
      </c>
      <c r="L719" s="22" t="s">
        <v>2906</v>
      </c>
      <c r="M719" s="22" t="s">
        <v>2907</v>
      </c>
      <c r="N719" s="22" t="s">
        <v>605</v>
      </c>
      <c r="O719" s="22" t="n">
        <v>26.7</v>
      </c>
      <c r="P719" s="22" t="n">
        <v>7.55</v>
      </c>
      <c r="Q719" s="22" t="s">
        <v>6967</v>
      </c>
      <c r="R719" s="22"/>
    </row>
    <row r="720" customFormat="false" ht="15" hidden="false" customHeight="false" outlineLevel="0" collapsed="false">
      <c r="A720" s="22" t="s">
        <v>8003</v>
      </c>
      <c r="B720" s="22" t="s">
        <v>215</v>
      </c>
      <c r="C720" s="22" t="s">
        <v>7694</v>
      </c>
      <c r="D720" s="22" t="s">
        <v>7188</v>
      </c>
      <c r="E720" s="22" t="n">
        <v>40</v>
      </c>
      <c r="F720" s="22" t="s">
        <v>6581</v>
      </c>
      <c r="G720" s="22" t="s">
        <v>7696</v>
      </c>
      <c r="H720" s="22" t="n">
        <v>14</v>
      </c>
      <c r="I720" s="22" t="s">
        <v>6582</v>
      </c>
      <c r="J720" s="22" t="s">
        <v>6577</v>
      </c>
      <c r="K720" s="22" t="s">
        <v>7195</v>
      </c>
      <c r="L720" s="22" t="s">
        <v>1723</v>
      </c>
      <c r="M720" s="22" t="s">
        <v>1724</v>
      </c>
      <c r="N720" s="22" t="s">
        <v>1665</v>
      </c>
      <c r="O720" s="22" t="n">
        <v>34.4</v>
      </c>
      <c r="P720" s="22" t="n">
        <v>7.55</v>
      </c>
      <c r="Q720" s="22" t="s">
        <v>8004</v>
      </c>
      <c r="R720" s="22"/>
    </row>
    <row r="721" customFormat="false" ht="15" hidden="false" customHeight="false" outlineLevel="0" collapsed="false">
      <c r="A721" s="22" t="s">
        <v>8005</v>
      </c>
      <c r="B721" s="22" t="s">
        <v>215</v>
      </c>
      <c r="C721" s="22" t="s">
        <v>7694</v>
      </c>
      <c r="D721" s="22" t="s">
        <v>7188</v>
      </c>
      <c r="E721" s="22" t="n">
        <v>24</v>
      </c>
      <c r="F721" s="22" t="s">
        <v>6574</v>
      </c>
      <c r="G721" s="22" t="s">
        <v>7696</v>
      </c>
      <c r="H721" s="22" t="n">
        <v>9</v>
      </c>
      <c r="I721" s="22" t="s">
        <v>6576</v>
      </c>
      <c r="J721" s="22" t="s">
        <v>6671</v>
      </c>
      <c r="K721" s="22"/>
      <c r="L721" s="22"/>
      <c r="M721" s="22"/>
      <c r="N721" s="22"/>
      <c r="O721" s="22"/>
      <c r="P721" s="22" t="n">
        <v>7.55</v>
      </c>
      <c r="Q721" s="22" t="s">
        <v>7559</v>
      </c>
      <c r="R721" s="22"/>
    </row>
    <row r="722" customFormat="false" ht="15" hidden="false" customHeight="false" outlineLevel="0" collapsed="false">
      <c r="A722" s="22" t="s">
        <v>8006</v>
      </c>
      <c r="B722" s="22" t="s">
        <v>215</v>
      </c>
      <c r="C722" s="22" t="s">
        <v>7694</v>
      </c>
      <c r="D722" s="22" t="s">
        <v>7188</v>
      </c>
      <c r="E722" s="22" t="n">
        <v>32</v>
      </c>
      <c r="F722" s="22" t="s">
        <v>6581</v>
      </c>
      <c r="G722" s="22" t="s">
        <v>7696</v>
      </c>
      <c r="H722" s="22" t="n">
        <v>12</v>
      </c>
      <c r="I722" s="22" t="s">
        <v>6576</v>
      </c>
      <c r="J722" s="22" t="s">
        <v>6577</v>
      </c>
      <c r="K722" s="22" t="s">
        <v>7199</v>
      </c>
      <c r="L722" s="22" t="s">
        <v>189</v>
      </c>
      <c r="M722" s="22" t="s">
        <v>190</v>
      </c>
      <c r="N722" s="22" t="s">
        <v>191</v>
      </c>
      <c r="O722" s="22" t="n">
        <v>26.5</v>
      </c>
      <c r="P722" s="22" t="n">
        <v>7.55</v>
      </c>
      <c r="Q722" s="22" t="s">
        <v>7328</v>
      </c>
      <c r="R722" s="22"/>
    </row>
    <row r="723" customFormat="false" ht="15" hidden="false" customHeight="false" outlineLevel="0" collapsed="false">
      <c r="A723" s="22" t="s">
        <v>8007</v>
      </c>
      <c r="B723" s="22" t="s">
        <v>215</v>
      </c>
      <c r="C723" s="22" t="s">
        <v>7694</v>
      </c>
      <c r="D723" s="22" t="s">
        <v>7188</v>
      </c>
      <c r="E723" s="22" t="n">
        <v>50</v>
      </c>
      <c r="F723" s="22" t="s">
        <v>7704</v>
      </c>
      <c r="G723" s="22" t="s">
        <v>7696</v>
      </c>
      <c r="H723" s="22" t="n">
        <v>18</v>
      </c>
      <c r="I723" s="22" t="s">
        <v>7705</v>
      </c>
      <c r="J723" s="22" t="s">
        <v>6671</v>
      </c>
      <c r="K723" s="22"/>
      <c r="L723" s="22"/>
      <c r="M723" s="22"/>
      <c r="N723" s="22"/>
      <c r="O723" s="22"/>
      <c r="P723" s="22" t="n">
        <v>7.55</v>
      </c>
      <c r="Q723" s="22" t="s">
        <v>8008</v>
      </c>
      <c r="R723" s="22"/>
    </row>
    <row r="724" customFormat="false" ht="15" hidden="false" customHeight="false" outlineLevel="0" collapsed="false">
      <c r="A724" s="22" t="s">
        <v>8009</v>
      </c>
      <c r="B724" s="22" t="s">
        <v>215</v>
      </c>
      <c r="C724" s="22" t="s">
        <v>7694</v>
      </c>
      <c r="D724" s="22" t="s">
        <v>7188</v>
      </c>
      <c r="E724" s="22" t="n">
        <v>32</v>
      </c>
      <c r="F724" s="22" t="s">
        <v>6581</v>
      </c>
      <c r="G724" s="22" t="s">
        <v>7696</v>
      </c>
      <c r="H724" s="22" t="n">
        <v>12</v>
      </c>
      <c r="I724" s="22" t="s">
        <v>6576</v>
      </c>
      <c r="J724" s="22" t="s">
        <v>6577</v>
      </c>
      <c r="K724" s="22" t="s">
        <v>7205</v>
      </c>
      <c r="L724" s="22" t="s">
        <v>3581</v>
      </c>
      <c r="M724" s="22" t="s">
        <v>3582</v>
      </c>
      <c r="N724" s="22" t="s">
        <v>266</v>
      </c>
      <c r="O724" s="22" t="n">
        <v>53.6</v>
      </c>
      <c r="P724" s="22" t="n">
        <v>7.55</v>
      </c>
      <c r="Q724" s="22" t="s">
        <v>6590</v>
      </c>
      <c r="R724" s="22"/>
    </row>
    <row r="725" customFormat="false" ht="15" hidden="false" customHeight="false" outlineLevel="0" collapsed="false">
      <c r="A725" s="22" t="s">
        <v>8010</v>
      </c>
      <c r="B725" s="22" t="s">
        <v>215</v>
      </c>
      <c r="C725" s="22" t="s">
        <v>7694</v>
      </c>
      <c r="D725" s="22" t="s">
        <v>7188</v>
      </c>
      <c r="E725" s="22" t="n">
        <v>50</v>
      </c>
      <c r="F725" s="22" t="s">
        <v>7704</v>
      </c>
      <c r="G725" s="22" t="s">
        <v>7696</v>
      </c>
      <c r="H725" s="22" t="n">
        <v>18</v>
      </c>
      <c r="I725" s="22" t="s">
        <v>7705</v>
      </c>
      <c r="J725" s="22" t="s">
        <v>6577</v>
      </c>
      <c r="K725" s="22" t="s">
        <v>7208</v>
      </c>
      <c r="L725" s="22" t="s">
        <v>3124</v>
      </c>
      <c r="M725" s="22" t="s">
        <v>3125</v>
      </c>
      <c r="N725" s="22" t="s">
        <v>1821</v>
      </c>
      <c r="O725" s="22" t="n">
        <v>19.8</v>
      </c>
      <c r="P725" s="22" t="n">
        <v>7.55</v>
      </c>
      <c r="Q725" s="22" t="s">
        <v>6830</v>
      </c>
      <c r="R725" s="22"/>
    </row>
    <row r="726" customFormat="false" ht="15" hidden="false" customHeight="false" outlineLevel="0" collapsed="false">
      <c r="A726" s="22" t="s">
        <v>8011</v>
      </c>
      <c r="B726" s="22" t="s">
        <v>215</v>
      </c>
      <c r="C726" s="22" t="s">
        <v>7694</v>
      </c>
      <c r="D726" s="22" t="s">
        <v>7188</v>
      </c>
      <c r="E726" s="22" t="n">
        <v>24</v>
      </c>
      <c r="F726" s="22" t="s">
        <v>6574</v>
      </c>
      <c r="G726" s="22" t="s">
        <v>7696</v>
      </c>
      <c r="H726" s="22" t="n">
        <v>9</v>
      </c>
      <c r="I726" s="22" t="s">
        <v>6576</v>
      </c>
      <c r="J726" s="22" t="s">
        <v>6671</v>
      </c>
      <c r="K726" s="22"/>
      <c r="L726" s="22"/>
      <c r="M726" s="22"/>
      <c r="N726" s="22"/>
      <c r="O726" s="22"/>
      <c r="P726" s="22" t="n">
        <v>7.55</v>
      </c>
      <c r="Q726" s="22" t="s">
        <v>8012</v>
      </c>
      <c r="R726" s="22"/>
    </row>
    <row r="727" customFormat="false" ht="15" hidden="false" customHeight="false" outlineLevel="0" collapsed="false">
      <c r="A727" s="22" t="s">
        <v>8013</v>
      </c>
      <c r="B727" s="22" t="s">
        <v>215</v>
      </c>
      <c r="C727" s="22" t="s">
        <v>7694</v>
      </c>
      <c r="D727" s="22" t="s">
        <v>7188</v>
      </c>
      <c r="E727" s="22" t="n">
        <v>32</v>
      </c>
      <c r="F727" s="22" t="s">
        <v>6581</v>
      </c>
      <c r="G727" s="22" t="s">
        <v>7696</v>
      </c>
      <c r="H727" s="22" t="n">
        <v>12</v>
      </c>
      <c r="I727" s="22" t="s">
        <v>6576</v>
      </c>
      <c r="J727" s="22" t="s">
        <v>6577</v>
      </c>
      <c r="K727" s="22" t="s">
        <v>7213</v>
      </c>
      <c r="L727" s="22" t="s">
        <v>2781</v>
      </c>
      <c r="M727" s="22" t="s">
        <v>2782</v>
      </c>
      <c r="N727" s="22" t="s">
        <v>2533</v>
      </c>
      <c r="O727" s="22" t="n">
        <v>44.2</v>
      </c>
      <c r="P727" s="22" t="n">
        <v>7.55</v>
      </c>
      <c r="Q727" s="22" t="s">
        <v>8014</v>
      </c>
      <c r="R727" s="22"/>
    </row>
    <row r="728" customFormat="false" ht="15" hidden="false" customHeight="false" outlineLevel="0" collapsed="false">
      <c r="A728" s="22" t="s">
        <v>8015</v>
      </c>
      <c r="B728" s="22" t="s">
        <v>215</v>
      </c>
      <c r="C728" s="22" t="s">
        <v>7694</v>
      </c>
      <c r="D728" s="22" t="s">
        <v>7188</v>
      </c>
      <c r="E728" s="22" t="n">
        <v>32</v>
      </c>
      <c r="F728" s="22" t="s">
        <v>6581</v>
      </c>
      <c r="G728" s="22" t="s">
        <v>7696</v>
      </c>
      <c r="H728" s="22" t="n">
        <v>12</v>
      </c>
      <c r="I728" s="22" t="s">
        <v>6576</v>
      </c>
      <c r="J728" s="22" t="s">
        <v>6577</v>
      </c>
      <c r="K728" s="22" t="s">
        <v>7216</v>
      </c>
      <c r="L728" s="22" t="s">
        <v>5669</v>
      </c>
      <c r="M728" s="22" t="s">
        <v>5670</v>
      </c>
      <c r="N728" s="22" t="s">
        <v>422</v>
      </c>
      <c r="O728" s="22" t="n">
        <v>40.1</v>
      </c>
      <c r="P728" s="22" t="n">
        <v>7.55</v>
      </c>
      <c r="Q728" s="22" t="s">
        <v>7846</v>
      </c>
      <c r="R728" s="22"/>
    </row>
    <row r="729" customFormat="false" ht="15" hidden="false" customHeight="false" outlineLevel="0" collapsed="false">
      <c r="A729" s="22" t="s">
        <v>8016</v>
      </c>
      <c r="B729" s="22" t="s">
        <v>215</v>
      </c>
      <c r="C729" s="22" t="s">
        <v>7694</v>
      </c>
      <c r="D729" s="22" t="s">
        <v>7188</v>
      </c>
      <c r="E729" s="22" t="n">
        <v>45</v>
      </c>
      <c r="F729" s="22" t="s">
        <v>7704</v>
      </c>
      <c r="G729" s="22" t="s">
        <v>7696</v>
      </c>
      <c r="H729" s="22" t="n">
        <v>16</v>
      </c>
      <c r="I729" s="22" t="s">
        <v>7705</v>
      </c>
      <c r="J729" s="22" t="s">
        <v>6577</v>
      </c>
      <c r="K729" s="22" t="s">
        <v>7219</v>
      </c>
      <c r="L729" s="22" t="s">
        <v>3516</v>
      </c>
      <c r="M729" s="22" t="s">
        <v>3517</v>
      </c>
      <c r="N729" s="22" t="s">
        <v>3174</v>
      </c>
      <c r="O729" s="22" t="n">
        <v>53</v>
      </c>
      <c r="P729" s="22" t="n">
        <v>7.55</v>
      </c>
      <c r="Q729" s="22" t="s">
        <v>8017</v>
      </c>
      <c r="R729" s="22"/>
    </row>
    <row r="730" customFormat="false" ht="15" hidden="false" customHeight="false" outlineLevel="0" collapsed="false">
      <c r="A730" s="22" t="s">
        <v>8018</v>
      </c>
      <c r="B730" s="22" t="s">
        <v>215</v>
      </c>
      <c r="C730" s="22" t="s">
        <v>7694</v>
      </c>
      <c r="D730" s="22" t="s">
        <v>7188</v>
      </c>
      <c r="E730" s="22" t="n">
        <v>40</v>
      </c>
      <c r="F730" s="22" t="s">
        <v>6581</v>
      </c>
      <c r="G730" s="22" t="s">
        <v>7696</v>
      </c>
      <c r="H730" s="22" t="n">
        <v>14</v>
      </c>
      <c r="I730" s="22" t="s">
        <v>6582</v>
      </c>
      <c r="J730" s="22" t="s">
        <v>6577</v>
      </c>
      <c r="K730" s="22" t="s">
        <v>7222</v>
      </c>
      <c r="L730" s="22" t="s">
        <v>2659</v>
      </c>
      <c r="M730" s="22" t="s">
        <v>2660</v>
      </c>
      <c r="N730" s="22" t="s">
        <v>1945</v>
      </c>
      <c r="O730" s="22" t="n">
        <v>21.2</v>
      </c>
      <c r="P730" s="22" t="n">
        <v>7.55</v>
      </c>
      <c r="Q730" s="22" t="s">
        <v>7174</v>
      </c>
      <c r="R730" s="22"/>
    </row>
    <row r="731" customFormat="false" ht="15" hidden="false" customHeight="false" outlineLevel="0" collapsed="false">
      <c r="A731" s="22" t="s">
        <v>8019</v>
      </c>
      <c r="B731" s="22" t="s">
        <v>215</v>
      </c>
      <c r="C731" s="22" t="s">
        <v>7694</v>
      </c>
      <c r="D731" s="22" t="s">
        <v>7188</v>
      </c>
      <c r="E731" s="22" t="n">
        <v>40</v>
      </c>
      <c r="F731" s="22" t="s">
        <v>6581</v>
      </c>
      <c r="G731" s="22" t="s">
        <v>7696</v>
      </c>
      <c r="H731" s="22" t="n">
        <v>14</v>
      </c>
      <c r="I731" s="22" t="s">
        <v>6582</v>
      </c>
      <c r="J731" s="22" t="s">
        <v>6577</v>
      </c>
      <c r="K731" s="22" t="s">
        <v>7224</v>
      </c>
      <c r="L731" s="22" t="s">
        <v>4076</v>
      </c>
      <c r="M731" s="22" t="s">
        <v>4077</v>
      </c>
      <c r="N731" s="22" t="s">
        <v>841</v>
      </c>
      <c r="O731" s="22" t="n">
        <v>34.4</v>
      </c>
      <c r="P731" s="22" t="n">
        <v>7.55</v>
      </c>
      <c r="Q731" s="22" t="s">
        <v>7440</v>
      </c>
      <c r="R731" s="22"/>
    </row>
    <row r="732" customFormat="false" ht="15" hidden="false" customHeight="false" outlineLevel="0" collapsed="false">
      <c r="A732" s="22" t="s">
        <v>8020</v>
      </c>
      <c r="B732" s="22" t="s">
        <v>215</v>
      </c>
      <c r="C732" s="22" t="s">
        <v>7694</v>
      </c>
      <c r="D732" s="22" t="s">
        <v>7188</v>
      </c>
      <c r="E732" s="22" t="n">
        <v>24</v>
      </c>
      <c r="F732" s="22" t="s">
        <v>6574</v>
      </c>
      <c r="G732" s="22" t="s">
        <v>7696</v>
      </c>
      <c r="H732" s="22" t="n">
        <v>9</v>
      </c>
      <c r="I732" s="22" t="s">
        <v>6576</v>
      </c>
      <c r="J732" s="22" t="s">
        <v>6577</v>
      </c>
      <c r="K732" s="22" t="s">
        <v>7678</v>
      </c>
      <c r="L732" s="22" t="s">
        <v>5443</v>
      </c>
      <c r="M732" s="22" t="s">
        <v>5444</v>
      </c>
      <c r="N732" s="22" t="s">
        <v>2871</v>
      </c>
      <c r="O732" s="22" t="n">
        <v>20.7</v>
      </c>
      <c r="P732" s="22" t="n">
        <v>7.55</v>
      </c>
      <c r="Q732" s="22" t="s">
        <v>7141</v>
      </c>
      <c r="R732" s="22"/>
    </row>
    <row r="733" customFormat="false" ht="15" hidden="false" customHeight="false" outlineLevel="0" collapsed="false">
      <c r="A733" s="22" t="s">
        <v>8021</v>
      </c>
      <c r="B733" s="22" t="s">
        <v>215</v>
      </c>
      <c r="C733" s="22" t="s">
        <v>7694</v>
      </c>
      <c r="D733" s="22" t="s">
        <v>7188</v>
      </c>
      <c r="E733" s="22" t="n">
        <v>28</v>
      </c>
      <c r="F733" s="22" t="s">
        <v>6574</v>
      </c>
      <c r="G733" s="22" t="s">
        <v>7696</v>
      </c>
      <c r="H733" s="22" t="n">
        <v>10</v>
      </c>
      <c r="I733" s="22" t="s">
        <v>6576</v>
      </c>
      <c r="J733" s="22" t="s">
        <v>6577</v>
      </c>
      <c r="K733" s="22" t="s">
        <v>7228</v>
      </c>
      <c r="L733" s="22" t="s">
        <v>2076</v>
      </c>
      <c r="M733" s="22" t="s">
        <v>2077</v>
      </c>
      <c r="N733" s="22" t="s">
        <v>2078</v>
      </c>
      <c r="O733" s="22" t="n">
        <v>55.1</v>
      </c>
      <c r="P733" s="22" t="n">
        <v>7.55</v>
      </c>
      <c r="Q733" s="22" t="s">
        <v>7365</v>
      </c>
      <c r="R733" s="22"/>
    </row>
    <row r="734" customFormat="false" ht="15" hidden="false" customHeight="false" outlineLevel="0" collapsed="false">
      <c r="A734" s="22" t="s">
        <v>8022</v>
      </c>
      <c r="B734" s="22" t="s">
        <v>215</v>
      </c>
      <c r="C734" s="22" t="s">
        <v>7694</v>
      </c>
      <c r="D734" s="22" t="s">
        <v>7188</v>
      </c>
      <c r="E734" s="22" t="n">
        <v>32</v>
      </c>
      <c r="F734" s="22" t="s">
        <v>6581</v>
      </c>
      <c r="G734" s="22" t="s">
        <v>7696</v>
      </c>
      <c r="H734" s="22" t="n">
        <v>12</v>
      </c>
      <c r="I734" s="22" t="s">
        <v>6576</v>
      </c>
      <c r="J734" s="22" t="s">
        <v>6577</v>
      </c>
      <c r="K734" s="22" t="s">
        <v>7230</v>
      </c>
      <c r="L734" s="22" t="s">
        <v>4152</v>
      </c>
      <c r="M734" s="22" t="s">
        <v>4153</v>
      </c>
      <c r="N734" s="22" t="s">
        <v>318</v>
      </c>
      <c r="O734" s="22" t="n">
        <v>61.8</v>
      </c>
      <c r="P734" s="22" t="n">
        <v>7.55</v>
      </c>
      <c r="Q734" s="22" t="s">
        <v>7750</v>
      </c>
      <c r="R734" s="22"/>
    </row>
    <row r="735" customFormat="false" ht="15" hidden="false" customHeight="false" outlineLevel="0" collapsed="false">
      <c r="A735" s="22" t="s">
        <v>8023</v>
      </c>
      <c r="B735" s="22" t="s">
        <v>215</v>
      </c>
      <c r="C735" s="22" t="s">
        <v>7694</v>
      </c>
      <c r="D735" s="22" t="s">
        <v>7188</v>
      </c>
      <c r="E735" s="22" t="n">
        <v>28</v>
      </c>
      <c r="F735" s="22" t="s">
        <v>6574</v>
      </c>
      <c r="G735" s="22" t="s">
        <v>7696</v>
      </c>
      <c r="H735" s="22" t="n">
        <v>10</v>
      </c>
      <c r="I735" s="22" t="s">
        <v>6576</v>
      </c>
      <c r="J735" s="22" t="s">
        <v>6577</v>
      </c>
      <c r="K735" s="22" t="s">
        <v>7233</v>
      </c>
      <c r="L735" s="22" t="s">
        <v>1593</v>
      </c>
      <c r="M735" s="22" t="s">
        <v>1594</v>
      </c>
      <c r="N735" s="22" t="s">
        <v>1383</v>
      </c>
      <c r="O735" s="22" t="n">
        <v>60.8</v>
      </c>
      <c r="P735" s="22" t="n">
        <v>7.55</v>
      </c>
      <c r="Q735" s="22" t="s">
        <v>7844</v>
      </c>
      <c r="R735" s="22"/>
    </row>
    <row r="736" customFormat="false" ht="15" hidden="false" customHeight="false" outlineLevel="0" collapsed="false">
      <c r="A736" s="22" t="s">
        <v>8024</v>
      </c>
      <c r="B736" s="22" t="s">
        <v>215</v>
      </c>
      <c r="C736" s="22" t="s">
        <v>7694</v>
      </c>
      <c r="D736" s="22" t="s">
        <v>7188</v>
      </c>
      <c r="E736" s="22" t="n">
        <v>45</v>
      </c>
      <c r="F736" s="22" t="s">
        <v>7704</v>
      </c>
      <c r="G736" s="22" t="s">
        <v>7696</v>
      </c>
      <c r="H736" s="22" t="n">
        <v>16</v>
      </c>
      <c r="I736" s="22" t="s">
        <v>7705</v>
      </c>
      <c r="J736" s="22" t="s">
        <v>6577</v>
      </c>
      <c r="K736" s="22" t="s">
        <v>7685</v>
      </c>
      <c r="L736" s="22" t="s">
        <v>5905</v>
      </c>
      <c r="M736" s="22" t="s">
        <v>5906</v>
      </c>
      <c r="N736" s="22" t="s">
        <v>1553</v>
      </c>
      <c r="O736" s="22" t="n">
        <v>50.6</v>
      </c>
      <c r="P736" s="22" t="n">
        <v>7.55</v>
      </c>
      <c r="Q736" s="22" t="s">
        <v>7461</v>
      </c>
      <c r="R736" s="22"/>
    </row>
    <row r="737" customFormat="false" ht="15" hidden="false" customHeight="false" outlineLevel="0" collapsed="false">
      <c r="A737" s="22" t="s">
        <v>8025</v>
      </c>
      <c r="B737" s="22" t="s">
        <v>215</v>
      </c>
      <c r="C737" s="22" t="s">
        <v>7694</v>
      </c>
      <c r="D737" s="22" t="s">
        <v>7188</v>
      </c>
      <c r="E737" s="22" t="n">
        <v>28</v>
      </c>
      <c r="F737" s="22" t="s">
        <v>6574</v>
      </c>
      <c r="G737" s="22" t="s">
        <v>7696</v>
      </c>
      <c r="H737" s="22" t="n">
        <v>10</v>
      </c>
      <c r="I737" s="22" t="s">
        <v>6576</v>
      </c>
      <c r="J737" s="22" t="s">
        <v>6671</v>
      </c>
      <c r="K737" s="22"/>
      <c r="L737" s="22"/>
      <c r="M737" s="22"/>
      <c r="N737" s="22"/>
      <c r="O737" s="22"/>
      <c r="P737" s="22" t="n">
        <v>7.55</v>
      </c>
      <c r="Q737" s="22" t="s">
        <v>6943</v>
      </c>
      <c r="R737" s="22"/>
    </row>
    <row r="738" customFormat="false" ht="15" hidden="false" customHeight="false" outlineLevel="0" collapsed="false">
      <c r="A738" s="22" t="s">
        <v>8026</v>
      </c>
      <c r="B738" s="22" t="s">
        <v>215</v>
      </c>
      <c r="C738" s="22" t="s">
        <v>7694</v>
      </c>
      <c r="D738" s="22" t="s">
        <v>7188</v>
      </c>
      <c r="E738" s="22" t="n">
        <v>70</v>
      </c>
      <c r="F738" s="22" t="s">
        <v>7695</v>
      </c>
      <c r="G738" s="22" t="s">
        <v>7696</v>
      </c>
      <c r="H738" s="22" t="n">
        <v>22</v>
      </c>
      <c r="I738" s="22" t="s">
        <v>7697</v>
      </c>
      <c r="J738" s="22" t="s">
        <v>6577</v>
      </c>
      <c r="K738" s="22" t="s">
        <v>7238</v>
      </c>
      <c r="L738" s="22" t="s">
        <v>6510</v>
      </c>
      <c r="M738" s="22" t="s">
        <v>6511</v>
      </c>
      <c r="N738" s="22" t="s">
        <v>991</v>
      </c>
      <c r="O738" s="22" t="n">
        <v>57.5</v>
      </c>
      <c r="P738" s="22" t="n">
        <v>7.55</v>
      </c>
      <c r="Q738" s="22" t="s">
        <v>8027</v>
      </c>
      <c r="R738" s="22"/>
    </row>
    <row r="739" customFormat="false" ht="15" hidden="false" customHeight="false" outlineLevel="0" collapsed="false">
      <c r="A739" s="22" t="s">
        <v>8028</v>
      </c>
      <c r="B739" s="22" t="s">
        <v>215</v>
      </c>
      <c r="C739" s="22" t="s">
        <v>7694</v>
      </c>
      <c r="D739" s="22" t="s">
        <v>7188</v>
      </c>
      <c r="E739" s="22" t="n">
        <v>32</v>
      </c>
      <c r="F739" s="22" t="s">
        <v>6581</v>
      </c>
      <c r="G739" s="22" t="s">
        <v>7696</v>
      </c>
      <c r="H739" s="22" t="n">
        <v>12</v>
      </c>
      <c r="I739" s="22" t="s">
        <v>6576</v>
      </c>
      <c r="J739" s="22" t="s">
        <v>6577</v>
      </c>
      <c r="K739" s="22" t="s">
        <v>7240</v>
      </c>
      <c r="L739" s="22" t="s">
        <v>2170</v>
      </c>
      <c r="M739" s="22" t="s">
        <v>2171</v>
      </c>
      <c r="N739" s="22" t="s">
        <v>2172</v>
      </c>
      <c r="O739" s="22" t="n">
        <v>39</v>
      </c>
      <c r="P739" s="22" t="n">
        <v>7.55</v>
      </c>
      <c r="Q739" s="22" t="s">
        <v>8029</v>
      </c>
      <c r="R739" s="22"/>
    </row>
    <row r="740" customFormat="false" ht="15" hidden="false" customHeight="false" outlineLevel="0" collapsed="false">
      <c r="A740" s="22" t="s">
        <v>8030</v>
      </c>
      <c r="B740" s="22" t="s">
        <v>215</v>
      </c>
      <c r="C740" s="22" t="s">
        <v>7694</v>
      </c>
      <c r="D740" s="22" t="s">
        <v>7188</v>
      </c>
      <c r="E740" s="22" t="n">
        <v>60</v>
      </c>
      <c r="F740" s="22" t="s">
        <v>7695</v>
      </c>
      <c r="G740" s="22" t="s">
        <v>7696</v>
      </c>
      <c r="H740" s="22" t="n">
        <v>20</v>
      </c>
      <c r="I740" s="22" t="s">
        <v>7697</v>
      </c>
      <c r="J740" s="22" t="s">
        <v>6577</v>
      </c>
      <c r="K740" s="22" t="s">
        <v>7242</v>
      </c>
      <c r="L740" s="22" t="s">
        <v>2252</v>
      </c>
      <c r="M740" s="22" t="s">
        <v>2253</v>
      </c>
      <c r="N740" s="22" t="s">
        <v>1626</v>
      </c>
      <c r="O740" s="22" t="n">
        <v>26.5</v>
      </c>
      <c r="P740" s="22" t="n">
        <v>7.55</v>
      </c>
      <c r="Q740" s="22" t="s">
        <v>8031</v>
      </c>
      <c r="R740" s="22"/>
    </row>
    <row r="741" customFormat="false" ht="15" hidden="false" customHeight="false" outlineLevel="0" collapsed="false">
      <c r="A741" s="22" t="s">
        <v>8032</v>
      </c>
      <c r="B741" s="22" t="s">
        <v>215</v>
      </c>
      <c r="C741" s="22" t="s">
        <v>7694</v>
      </c>
      <c r="D741" s="22" t="s">
        <v>7188</v>
      </c>
      <c r="E741" s="22" t="n">
        <v>24</v>
      </c>
      <c r="F741" s="22" t="s">
        <v>6574</v>
      </c>
      <c r="G741" s="22" t="s">
        <v>7696</v>
      </c>
      <c r="H741" s="22" t="n">
        <v>9</v>
      </c>
      <c r="I741" s="22" t="s">
        <v>6576</v>
      </c>
      <c r="J741" s="22" t="s">
        <v>6577</v>
      </c>
      <c r="K741" s="22" t="s">
        <v>7244</v>
      </c>
      <c r="L741" s="22" t="s">
        <v>5098</v>
      </c>
      <c r="M741" s="22" t="s">
        <v>5099</v>
      </c>
      <c r="N741" s="22" t="s">
        <v>208</v>
      </c>
      <c r="O741" s="22" t="n">
        <v>33.7</v>
      </c>
      <c r="P741" s="22" t="n">
        <v>7.55</v>
      </c>
      <c r="Q741" s="22" t="s">
        <v>8033</v>
      </c>
      <c r="R741" s="22"/>
    </row>
    <row r="742" customFormat="false" ht="15" hidden="false" customHeight="false" outlineLevel="0" collapsed="false">
      <c r="A742" s="22" t="s">
        <v>8034</v>
      </c>
      <c r="B742" s="22" t="s">
        <v>499</v>
      </c>
      <c r="C742" s="22" t="s">
        <v>7694</v>
      </c>
      <c r="D742" s="22" t="s">
        <v>6573</v>
      </c>
      <c r="E742" s="22" t="n">
        <v>24</v>
      </c>
      <c r="F742" s="22" t="s">
        <v>6574</v>
      </c>
      <c r="G742" s="22" t="s">
        <v>7696</v>
      </c>
      <c r="H742" s="22" t="n">
        <v>9</v>
      </c>
      <c r="I742" s="22" t="s">
        <v>6576</v>
      </c>
      <c r="J742" s="22" t="s">
        <v>6613</v>
      </c>
      <c r="K742" s="22"/>
      <c r="L742" s="22"/>
      <c r="M742" s="22"/>
      <c r="N742" s="22"/>
      <c r="O742" s="22"/>
      <c r="P742" s="22" t="n">
        <v>7.55</v>
      </c>
      <c r="Q742" s="22" t="s">
        <v>7791</v>
      </c>
      <c r="R742" s="22"/>
    </row>
    <row r="743" customFormat="false" ht="15" hidden="false" customHeight="false" outlineLevel="0" collapsed="false">
      <c r="A743" s="22" t="s">
        <v>8035</v>
      </c>
      <c r="B743" s="22" t="s">
        <v>499</v>
      </c>
      <c r="C743" s="22" t="s">
        <v>7694</v>
      </c>
      <c r="D743" s="22" t="s">
        <v>6573</v>
      </c>
      <c r="E743" s="22" t="n">
        <v>40</v>
      </c>
      <c r="F743" s="22" t="s">
        <v>6581</v>
      </c>
      <c r="G743" s="22" t="s">
        <v>7696</v>
      </c>
      <c r="H743" s="22" t="n">
        <v>14</v>
      </c>
      <c r="I743" s="22" t="s">
        <v>6582</v>
      </c>
      <c r="J743" s="22" t="s">
        <v>6577</v>
      </c>
      <c r="K743" s="22" t="s">
        <v>6583</v>
      </c>
      <c r="L743" s="22" t="s">
        <v>558</v>
      </c>
      <c r="M743" s="22" t="s">
        <v>559</v>
      </c>
      <c r="N743" s="22" t="s">
        <v>560</v>
      </c>
      <c r="O743" s="22" t="n">
        <v>43.8</v>
      </c>
      <c r="P743" s="22" t="n">
        <v>7.55</v>
      </c>
      <c r="Q743" s="22" t="s">
        <v>8036</v>
      </c>
      <c r="R743" s="22"/>
    </row>
    <row r="744" customFormat="false" ht="15" hidden="false" customHeight="false" outlineLevel="0" collapsed="false">
      <c r="A744" s="22" t="s">
        <v>8037</v>
      </c>
      <c r="B744" s="22" t="s">
        <v>499</v>
      </c>
      <c r="C744" s="22" t="s">
        <v>7694</v>
      </c>
      <c r="D744" s="22" t="s">
        <v>6573</v>
      </c>
      <c r="E744" s="22" t="n">
        <v>45</v>
      </c>
      <c r="F744" s="22" t="s">
        <v>7704</v>
      </c>
      <c r="G744" s="22" t="s">
        <v>7696</v>
      </c>
      <c r="H744" s="22" t="n">
        <v>16</v>
      </c>
      <c r="I744" s="22" t="s">
        <v>7705</v>
      </c>
      <c r="J744" s="22" t="s">
        <v>6577</v>
      </c>
      <c r="K744" s="22" t="s">
        <v>6586</v>
      </c>
      <c r="L744" s="22" t="s">
        <v>3152</v>
      </c>
      <c r="M744" s="22" t="s">
        <v>3153</v>
      </c>
      <c r="N744" s="22" t="s">
        <v>448</v>
      </c>
      <c r="O744" s="22" t="n">
        <v>21.9</v>
      </c>
      <c r="P744" s="22" t="n">
        <v>7.55</v>
      </c>
      <c r="Q744" s="22" t="s">
        <v>6614</v>
      </c>
      <c r="R744" s="22"/>
    </row>
    <row r="745" customFormat="false" ht="15" hidden="false" customHeight="false" outlineLevel="0" collapsed="false">
      <c r="A745" s="22" t="s">
        <v>8038</v>
      </c>
      <c r="B745" s="22" t="s">
        <v>499</v>
      </c>
      <c r="C745" s="22" t="s">
        <v>7694</v>
      </c>
      <c r="D745" s="22" t="s">
        <v>6573</v>
      </c>
      <c r="E745" s="22" t="n">
        <v>40</v>
      </c>
      <c r="F745" s="22" t="s">
        <v>6581</v>
      </c>
      <c r="G745" s="22" t="s">
        <v>7696</v>
      </c>
      <c r="H745" s="22" t="n">
        <v>14</v>
      </c>
      <c r="I745" s="22" t="s">
        <v>6582</v>
      </c>
      <c r="J745" s="22" t="s">
        <v>6577</v>
      </c>
      <c r="K745" s="22" t="s">
        <v>6589</v>
      </c>
      <c r="L745" s="22" t="s">
        <v>2596</v>
      </c>
      <c r="M745" s="22" t="s">
        <v>2597</v>
      </c>
      <c r="N745" s="22" t="s">
        <v>1603</v>
      </c>
      <c r="O745" s="22" t="n">
        <v>49.6</v>
      </c>
      <c r="P745" s="22" t="n">
        <v>7.55</v>
      </c>
      <c r="Q745" s="22" t="s">
        <v>7371</v>
      </c>
      <c r="R745" s="22"/>
    </row>
    <row r="746" customFormat="false" ht="15" hidden="false" customHeight="false" outlineLevel="0" collapsed="false">
      <c r="A746" s="22" t="s">
        <v>8039</v>
      </c>
      <c r="B746" s="22" t="s">
        <v>499</v>
      </c>
      <c r="C746" s="22" t="s">
        <v>7694</v>
      </c>
      <c r="D746" s="22" t="s">
        <v>6573</v>
      </c>
      <c r="E746" s="22" t="n">
        <v>60</v>
      </c>
      <c r="F746" s="22" t="s">
        <v>7695</v>
      </c>
      <c r="G746" s="22" t="s">
        <v>7696</v>
      </c>
      <c r="H746" s="22" t="n">
        <v>20</v>
      </c>
      <c r="I746" s="22" t="s">
        <v>7697</v>
      </c>
      <c r="J746" s="22" t="s">
        <v>6577</v>
      </c>
      <c r="K746" s="22" t="s">
        <v>6592</v>
      </c>
      <c r="L746" s="22" t="s">
        <v>5556</v>
      </c>
      <c r="M746" s="22" t="s">
        <v>5557</v>
      </c>
      <c r="N746" s="22" t="s">
        <v>4873</v>
      </c>
      <c r="O746" s="22" t="n">
        <v>35.5</v>
      </c>
      <c r="P746" s="22" t="n">
        <v>7.55</v>
      </c>
      <c r="Q746" s="22" t="s">
        <v>7514</v>
      </c>
      <c r="R746" s="22"/>
    </row>
    <row r="747" customFormat="false" ht="15" hidden="false" customHeight="false" outlineLevel="0" collapsed="false">
      <c r="A747" s="22" t="s">
        <v>8040</v>
      </c>
      <c r="B747" s="22" t="s">
        <v>499</v>
      </c>
      <c r="C747" s="22" t="s">
        <v>7694</v>
      </c>
      <c r="D747" s="22" t="s">
        <v>6573</v>
      </c>
      <c r="E747" s="22" t="n">
        <v>80</v>
      </c>
      <c r="F747" s="22" t="s">
        <v>7695</v>
      </c>
      <c r="G747" s="22" t="s">
        <v>7696</v>
      </c>
      <c r="H747" s="22" t="n">
        <v>24</v>
      </c>
      <c r="I747" s="22" t="s">
        <v>7697</v>
      </c>
      <c r="J747" s="22" t="s">
        <v>6577</v>
      </c>
      <c r="K747" s="22" t="s">
        <v>6595</v>
      </c>
      <c r="L747" s="22" t="s">
        <v>2136</v>
      </c>
      <c r="M747" s="22" t="s">
        <v>2137</v>
      </c>
      <c r="N747" s="22" t="s">
        <v>2138</v>
      </c>
      <c r="O747" s="22" t="n">
        <v>40.5</v>
      </c>
      <c r="P747" s="22" t="n">
        <v>7.55</v>
      </c>
      <c r="Q747" s="22" t="s">
        <v>7675</v>
      </c>
      <c r="R747" s="22"/>
    </row>
    <row r="748" customFormat="false" ht="15" hidden="false" customHeight="false" outlineLevel="0" collapsed="false">
      <c r="A748" s="22" t="s">
        <v>8041</v>
      </c>
      <c r="B748" s="22" t="s">
        <v>499</v>
      </c>
      <c r="C748" s="22" t="s">
        <v>7694</v>
      </c>
      <c r="D748" s="22" t="s">
        <v>6573</v>
      </c>
      <c r="E748" s="22" t="n">
        <v>32</v>
      </c>
      <c r="F748" s="22" t="s">
        <v>6581</v>
      </c>
      <c r="G748" s="22" t="s">
        <v>7696</v>
      </c>
      <c r="H748" s="22" t="n">
        <v>12</v>
      </c>
      <c r="I748" s="22" t="s">
        <v>6576</v>
      </c>
      <c r="J748" s="22" t="s">
        <v>6613</v>
      </c>
      <c r="K748" s="22"/>
      <c r="L748" s="22"/>
      <c r="M748" s="22"/>
      <c r="N748" s="22"/>
      <c r="O748" s="22"/>
      <c r="P748" s="22" t="n">
        <v>7.55</v>
      </c>
      <c r="Q748" s="22" t="s">
        <v>8042</v>
      </c>
      <c r="R748" s="22"/>
    </row>
    <row r="749" customFormat="false" ht="15" hidden="false" customHeight="false" outlineLevel="0" collapsed="false">
      <c r="A749" s="22" t="s">
        <v>8043</v>
      </c>
      <c r="B749" s="22" t="s">
        <v>499</v>
      </c>
      <c r="C749" s="22" t="s">
        <v>7694</v>
      </c>
      <c r="D749" s="22" t="s">
        <v>6573</v>
      </c>
      <c r="E749" s="22" t="n">
        <v>32</v>
      </c>
      <c r="F749" s="22" t="s">
        <v>6581</v>
      </c>
      <c r="G749" s="22" t="s">
        <v>7696</v>
      </c>
      <c r="H749" s="22" t="n">
        <v>12</v>
      </c>
      <c r="I749" s="22" t="s">
        <v>6576</v>
      </c>
      <c r="J749" s="22" t="s">
        <v>6577</v>
      </c>
      <c r="K749" s="22" t="s">
        <v>6601</v>
      </c>
      <c r="L749" s="22" t="s">
        <v>4581</v>
      </c>
      <c r="M749" s="22" t="s">
        <v>4582</v>
      </c>
      <c r="N749" s="22" t="s">
        <v>938</v>
      </c>
      <c r="O749" s="22" t="n">
        <v>46.9</v>
      </c>
      <c r="P749" s="22" t="n">
        <v>7.55</v>
      </c>
      <c r="Q749" s="22" t="s">
        <v>8044</v>
      </c>
      <c r="R749" s="22"/>
    </row>
    <row r="750" customFormat="false" ht="15" hidden="false" customHeight="false" outlineLevel="0" collapsed="false">
      <c r="A750" s="22" t="s">
        <v>8045</v>
      </c>
      <c r="B750" s="22" t="s">
        <v>499</v>
      </c>
      <c r="C750" s="22" t="s">
        <v>7694</v>
      </c>
      <c r="D750" s="22" t="s">
        <v>6573</v>
      </c>
      <c r="E750" s="22" t="n">
        <v>28</v>
      </c>
      <c r="F750" s="22" t="s">
        <v>6574</v>
      </c>
      <c r="G750" s="22" t="s">
        <v>7696</v>
      </c>
      <c r="H750" s="22" t="n">
        <v>10</v>
      </c>
      <c r="I750" s="22" t="s">
        <v>6576</v>
      </c>
      <c r="J750" s="22" t="s">
        <v>6577</v>
      </c>
      <c r="K750" s="22" t="s">
        <v>6604</v>
      </c>
      <c r="L750" s="22" t="s">
        <v>4690</v>
      </c>
      <c r="M750" s="22" t="s">
        <v>4691</v>
      </c>
      <c r="N750" s="22" t="s">
        <v>2653</v>
      </c>
      <c r="O750" s="22" t="n">
        <v>55</v>
      </c>
      <c r="P750" s="22" t="n">
        <v>7.55</v>
      </c>
      <c r="Q750" s="22" t="s">
        <v>8046</v>
      </c>
      <c r="R750" s="22"/>
    </row>
    <row r="751" customFormat="false" ht="15" hidden="false" customHeight="false" outlineLevel="0" collapsed="false">
      <c r="A751" s="22" t="s">
        <v>8047</v>
      </c>
      <c r="B751" s="22" t="s">
        <v>499</v>
      </c>
      <c r="C751" s="22" t="s">
        <v>7694</v>
      </c>
      <c r="D751" s="22" t="s">
        <v>6573</v>
      </c>
      <c r="E751" s="22" t="n">
        <v>80</v>
      </c>
      <c r="F751" s="22" t="s">
        <v>7695</v>
      </c>
      <c r="G751" s="22" t="s">
        <v>7696</v>
      </c>
      <c r="H751" s="22" t="n">
        <v>24</v>
      </c>
      <c r="I751" s="22" t="s">
        <v>7697</v>
      </c>
      <c r="J751" s="22" t="s">
        <v>6577</v>
      </c>
      <c r="K751" s="22" t="s">
        <v>6607</v>
      </c>
      <c r="L751" s="22" t="s">
        <v>3667</v>
      </c>
      <c r="M751" s="22" t="s">
        <v>3668</v>
      </c>
      <c r="N751" s="22" t="s">
        <v>645</v>
      </c>
      <c r="O751" s="22" t="n">
        <v>42.1</v>
      </c>
      <c r="P751" s="22" t="n">
        <v>7.55</v>
      </c>
      <c r="Q751" s="22" t="s">
        <v>7789</v>
      </c>
      <c r="R751" s="22"/>
    </row>
    <row r="752" customFormat="false" ht="15" hidden="false" customHeight="false" outlineLevel="0" collapsed="false">
      <c r="A752" s="22" t="s">
        <v>8048</v>
      </c>
      <c r="B752" s="22" t="s">
        <v>499</v>
      </c>
      <c r="C752" s="22" t="s">
        <v>7694</v>
      </c>
      <c r="D752" s="22" t="s">
        <v>6573</v>
      </c>
      <c r="E752" s="22" t="n">
        <v>28</v>
      </c>
      <c r="F752" s="22" t="s">
        <v>6574</v>
      </c>
      <c r="G752" s="22" t="s">
        <v>7696</v>
      </c>
      <c r="H752" s="22" t="n">
        <v>10</v>
      </c>
      <c r="I752" s="22" t="s">
        <v>6576</v>
      </c>
      <c r="J752" s="22" t="s">
        <v>6577</v>
      </c>
      <c r="K752" s="22" t="s">
        <v>6610</v>
      </c>
      <c r="L752" s="22" t="s">
        <v>5196</v>
      </c>
      <c r="M752" s="22" t="s">
        <v>5197</v>
      </c>
      <c r="N752" s="22" t="s">
        <v>621</v>
      </c>
      <c r="O752" s="22" t="n">
        <v>59.8</v>
      </c>
      <c r="P752" s="22" t="n">
        <v>7.55</v>
      </c>
      <c r="Q752" s="22" t="s">
        <v>6816</v>
      </c>
      <c r="R752" s="22"/>
    </row>
    <row r="753" customFormat="false" ht="15" hidden="false" customHeight="false" outlineLevel="0" collapsed="false">
      <c r="A753" s="22" t="s">
        <v>8049</v>
      </c>
      <c r="B753" s="22" t="s">
        <v>499</v>
      </c>
      <c r="C753" s="22" t="s">
        <v>7694</v>
      </c>
      <c r="D753" s="22" t="s">
        <v>6573</v>
      </c>
      <c r="E753" s="22" t="n">
        <v>32</v>
      </c>
      <c r="F753" s="22" t="s">
        <v>6581</v>
      </c>
      <c r="G753" s="22" t="s">
        <v>7696</v>
      </c>
      <c r="H753" s="22" t="n">
        <v>12</v>
      </c>
      <c r="I753" s="22" t="s">
        <v>6576</v>
      </c>
      <c r="J753" s="22" t="s">
        <v>6577</v>
      </c>
      <c r="K753" s="22" t="s">
        <v>7322</v>
      </c>
      <c r="L753" s="22" t="s">
        <v>758</v>
      </c>
      <c r="M753" s="22" t="s">
        <v>759</v>
      </c>
      <c r="N753" s="22" t="s">
        <v>404</v>
      </c>
      <c r="O753" s="22" t="n">
        <v>19.8</v>
      </c>
      <c r="P753" s="22" t="n">
        <v>7.55</v>
      </c>
      <c r="Q753" s="22" t="s">
        <v>7220</v>
      </c>
      <c r="R753" s="22"/>
    </row>
    <row r="754" customFormat="false" ht="15" hidden="false" customHeight="false" outlineLevel="0" collapsed="false">
      <c r="A754" s="22" t="s">
        <v>8050</v>
      </c>
      <c r="B754" s="22" t="s">
        <v>499</v>
      </c>
      <c r="C754" s="22" t="s">
        <v>7694</v>
      </c>
      <c r="D754" s="22" t="s">
        <v>6573</v>
      </c>
      <c r="E754" s="22" t="n">
        <v>45</v>
      </c>
      <c r="F754" s="22" t="s">
        <v>7704</v>
      </c>
      <c r="G754" s="22" t="s">
        <v>7696</v>
      </c>
      <c r="H754" s="22" t="n">
        <v>16</v>
      </c>
      <c r="I754" s="22" t="s">
        <v>7705</v>
      </c>
      <c r="J754" s="22" t="s">
        <v>6577</v>
      </c>
      <c r="K754" s="22" t="s">
        <v>6616</v>
      </c>
      <c r="L754" s="22" t="s">
        <v>891</v>
      </c>
      <c r="M754" s="22" t="s">
        <v>892</v>
      </c>
      <c r="N754" s="22" t="s">
        <v>893</v>
      </c>
      <c r="O754" s="22" t="n">
        <v>45.1</v>
      </c>
      <c r="P754" s="22" t="n">
        <v>7.55</v>
      </c>
      <c r="Q754" s="22" t="s">
        <v>8051</v>
      </c>
      <c r="R754" s="22"/>
    </row>
    <row r="755" customFormat="false" ht="15" hidden="false" customHeight="false" outlineLevel="0" collapsed="false">
      <c r="A755" s="22" t="s">
        <v>8052</v>
      </c>
      <c r="B755" s="22" t="s">
        <v>499</v>
      </c>
      <c r="C755" s="22" t="s">
        <v>7694</v>
      </c>
      <c r="D755" s="22" t="s">
        <v>6573</v>
      </c>
      <c r="E755" s="22" t="n">
        <v>24</v>
      </c>
      <c r="F755" s="22" t="s">
        <v>6574</v>
      </c>
      <c r="G755" s="22" t="s">
        <v>7696</v>
      </c>
      <c r="H755" s="22" t="n">
        <v>9</v>
      </c>
      <c r="I755" s="22" t="s">
        <v>6576</v>
      </c>
      <c r="J755" s="22" t="s">
        <v>6577</v>
      </c>
      <c r="K755" s="22" t="s">
        <v>6619</v>
      </c>
      <c r="L755" s="22" t="s">
        <v>4702</v>
      </c>
      <c r="M755" s="22" t="s">
        <v>4703</v>
      </c>
      <c r="N755" s="22" t="s">
        <v>4704</v>
      </c>
      <c r="O755" s="22" t="n">
        <v>36.6</v>
      </c>
      <c r="P755" s="22" t="n">
        <v>7.55</v>
      </c>
      <c r="Q755" s="22" t="s">
        <v>6614</v>
      </c>
      <c r="R755" s="22"/>
    </row>
    <row r="756" customFormat="false" ht="15" hidden="false" customHeight="false" outlineLevel="0" collapsed="false">
      <c r="A756" s="22" t="s">
        <v>8053</v>
      </c>
      <c r="B756" s="22" t="s">
        <v>499</v>
      </c>
      <c r="C756" s="22" t="s">
        <v>7694</v>
      </c>
      <c r="D756" s="22" t="s">
        <v>6573</v>
      </c>
      <c r="E756" s="22" t="n">
        <v>50</v>
      </c>
      <c r="F756" s="22" t="s">
        <v>7704</v>
      </c>
      <c r="G756" s="22" t="s">
        <v>7696</v>
      </c>
      <c r="H756" s="22" t="n">
        <v>18</v>
      </c>
      <c r="I756" s="22" t="s">
        <v>7705</v>
      </c>
      <c r="J756" s="22" t="s">
        <v>6577</v>
      </c>
      <c r="K756" s="22" t="s">
        <v>6622</v>
      </c>
      <c r="L756" s="22" t="s">
        <v>1759</v>
      </c>
      <c r="M756" s="22" t="s">
        <v>1760</v>
      </c>
      <c r="N756" s="22" t="s">
        <v>1761</v>
      </c>
      <c r="O756" s="22" t="n">
        <v>26.4</v>
      </c>
      <c r="P756" s="22" t="n">
        <v>7.55</v>
      </c>
      <c r="Q756" s="22" t="s">
        <v>7369</v>
      </c>
      <c r="R756" s="22"/>
    </row>
    <row r="757" customFormat="false" ht="15" hidden="false" customHeight="false" outlineLevel="0" collapsed="false">
      <c r="A757" s="22" t="s">
        <v>8054</v>
      </c>
      <c r="B757" s="22" t="s">
        <v>499</v>
      </c>
      <c r="C757" s="22" t="s">
        <v>7694</v>
      </c>
      <c r="D757" s="22" t="s">
        <v>6573</v>
      </c>
      <c r="E757" s="22" t="n">
        <v>32</v>
      </c>
      <c r="F757" s="22" t="s">
        <v>6581</v>
      </c>
      <c r="G757" s="22" t="s">
        <v>7696</v>
      </c>
      <c r="H757" s="22" t="n">
        <v>12</v>
      </c>
      <c r="I757" s="22" t="s">
        <v>6576</v>
      </c>
      <c r="J757" s="22" t="s">
        <v>6577</v>
      </c>
      <c r="K757" s="22" t="s">
        <v>6625</v>
      </c>
      <c r="L757" s="22" t="s">
        <v>4166</v>
      </c>
      <c r="M757" s="22" t="s">
        <v>4167</v>
      </c>
      <c r="N757" s="22" t="s">
        <v>664</v>
      </c>
      <c r="O757" s="22" t="n">
        <v>49.4</v>
      </c>
      <c r="P757" s="22" t="n">
        <v>7.55</v>
      </c>
      <c r="Q757" s="22" t="s">
        <v>7625</v>
      </c>
      <c r="R757" s="22"/>
    </row>
    <row r="758" customFormat="false" ht="15" hidden="false" customHeight="false" outlineLevel="0" collapsed="false">
      <c r="A758" s="22" t="s">
        <v>8055</v>
      </c>
      <c r="B758" s="22" t="s">
        <v>499</v>
      </c>
      <c r="C758" s="22" t="s">
        <v>7694</v>
      </c>
      <c r="D758" s="22" t="s">
        <v>6573</v>
      </c>
      <c r="E758" s="22" t="n">
        <v>50</v>
      </c>
      <c r="F758" s="22" t="s">
        <v>7704</v>
      </c>
      <c r="G758" s="22" t="s">
        <v>7696</v>
      </c>
      <c r="H758" s="22" t="n">
        <v>18</v>
      </c>
      <c r="I758" s="22" t="s">
        <v>7705</v>
      </c>
      <c r="J758" s="22" t="s">
        <v>6577</v>
      </c>
      <c r="K758" s="22" t="s">
        <v>6628</v>
      </c>
      <c r="L758" s="22" t="s">
        <v>3888</v>
      </c>
      <c r="M758" s="22" t="s">
        <v>3889</v>
      </c>
      <c r="N758" s="22" t="s">
        <v>324</v>
      </c>
      <c r="O758" s="22" t="n">
        <v>50</v>
      </c>
      <c r="P758" s="22" t="n">
        <v>7.55</v>
      </c>
      <c r="Q758" s="22" t="s">
        <v>8056</v>
      </c>
      <c r="R758" s="22"/>
    </row>
    <row r="759" customFormat="false" ht="15" hidden="false" customHeight="false" outlineLevel="0" collapsed="false">
      <c r="A759" s="22" t="s">
        <v>8057</v>
      </c>
      <c r="B759" s="22" t="s">
        <v>499</v>
      </c>
      <c r="C759" s="22" t="s">
        <v>7694</v>
      </c>
      <c r="D759" s="22" t="s">
        <v>6573</v>
      </c>
      <c r="E759" s="22" t="n">
        <v>60</v>
      </c>
      <c r="F759" s="22" t="s">
        <v>7695</v>
      </c>
      <c r="G759" s="22" t="s">
        <v>7696</v>
      </c>
      <c r="H759" s="22" t="n">
        <v>20</v>
      </c>
      <c r="I759" s="22" t="s">
        <v>7697</v>
      </c>
      <c r="J759" s="22" t="s">
        <v>6577</v>
      </c>
      <c r="K759" s="22" t="s">
        <v>6631</v>
      </c>
      <c r="L759" s="22" t="s">
        <v>4404</v>
      </c>
      <c r="M759" s="22" t="s">
        <v>4405</v>
      </c>
      <c r="N759" s="22" t="s">
        <v>2720</v>
      </c>
      <c r="O759" s="22" t="n">
        <v>53.9</v>
      </c>
      <c r="P759" s="22" t="n">
        <v>7.55</v>
      </c>
      <c r="Q759" s="22" t="s">
        <v>8058</v>
      </c>
      <c r="R759" s="22"/>
    </row>
    <row r="760" customFormat="false" ht="15" hidden="false" customHeight="false" outlineLevel="0" collapsed="false">
      <c r="A760" s="22" t="s">
        <v>8059</v>
      </c>
      <c r="B760" s="22" t="s">
        <v>499</v>
      </c>
      <c r="C760" s="22" t="s">
        <v>7694</v>
      </c>
      <c r="D760" s="22" t="s">
        <v>6573</v>
      </c>
      <c r="E760" s="22" t="n">
        <v>28</v>
      </c>
      <c r="F760" s="22" t="s">
        <v>6574</v>
      </c>
      <c r="G760" s="22" t="s">
        <v>7696</v>
      </c>
      <c r="H760" s="22" t="n">
        <v>10</v>
      </c>
      <c r="I760" s="22" t="s">
        <v>6576</v>
      </c>
      <c r="J760" s="22" t="s">
        <v>6577</v>
      </c>
      <c r="K760" s="22" t="s">
        <v>6634</v>
      </c>
      <c r="L760" s="22" t="s">
        <v>1798</v>
      </c>
      <c r="M760" s="22" t="s">
        <v>1799</v>
      </c>
      <c r="N760" s="22" t="s">
        <v>871</v>
      </c>
      <c r="O760" s="22" t="n">
        <v>37.9</v>
      </c>
      <c r="P760" s="22" t="n">
        <v>7.55</v>
      </c>
      <c r="Q760" s="22" t="s">
        <v>8060</v>
      </c>
      <c r="R760" s="22"/>
    </row>
    <row r="761" customFormat="false" ht="15" hidden="false" customHeight="false" outlineLevel="0" collapsed="false">
      <c r="A761" s="22" t="s">
        <v>8061</v>
      </c>
      <c r="B761" s="22" t="s">
        <v>499</v>
      </c>
      <c r="C761" s="22" t="s">
        <v>7694</v>
      </c>
      <c r="D761" s="22" t="s">
        <v>6573</v>
      </c>
      <c r="E761" s="22" t="n">
        <v>32</v>
      </c>
      <c r="F761" s="22" t="s">
        <v>6581</v>
      </c>
      <c r="G761" s="22" t="s">
        <v>7696</v>
      </c>
      <c r="H761" s="22" t="n">
        <v>12</v>
      </c>
      <c r="I761" s="22" t="s">
        <v>6576</v>
      </c>
      <c r="J761" s="22" t="s">
        <v>6577</v>
      </c>
      <c r="K761" s="22" t="s">
        <v>6637</v>
      </c>
      <c r="L761" s="22" t="s">
        <v>803</v>
      </c>
      <c r="M761" s="22" t="s">
        <v>804</v>
      </c>
      <c r="N761" s="22" t="s">
        <v>805</v>
      </c>
      <c r="O761" s="22" t="n">
        <v>49.8</v>
      </c>
      <c r="P761" s="22" t="n">
        <v>7.55</v>
      </c>
      <c r="Q761" s="22" t="s">
        <v>7809</v>
      </c>
      <c r="R761" s="22"/>
    </row>
    <row r="762" customFormat="false" ht="15" hidden="false" customHeight="false" outlineLevel="0" collapsed="false">
      <c r="A762" s="22" t="s">
        <v>8062</v>
      </c>
      <c r="B762" s="22" t="s">
        <v>499</v>
      </c>
      <c r="C762" s="22" t="s">
        <v>7694</v>
      </c>
      <c r="D762" s="22" t="s">
        <v>6573</v>
      </c>
      <c r="E762" s="22" t="n">
        <v>32</v>
      </c>
      <c r="F762" s="22" t="s">
        <v>6581</v>
      </c>
      <c r="G762" s="22" t="s">
        <v>7696</v>
      </c>
      <c r="H762" s="22" t="n">
        <v>12</v>
      </c>
      <c r="I762" s="22" t="s">
        <v>6576</v>
      </c>
      <c r="J762" s="22" t="s">
        <v>6577</v>
      </c>
      <c r="K762" s="22" t="s">
        <v>6640</v>
      </c>
      <c r="L762" s="22" t="s">
        <v>2114</v>
      </c>
      <c r="M762" s="22" t="s">
        <v>2115</v>
      </c>
      <c r="N762" s="22" t="s">
        <v>2116</v>
      </c>
      <c r="O762" s="22" t="n">
        <v>40.7</v>
      </c>
      <c r="P762" s="22" t="n">
        <v>7.55</v>
      </c>
      <c r="Q762" s="22" t="s">
        <v>7548</v>
      </c>
      <c r="R762" s="22"/>
    </row>
    <row r="763" customFormat="false" ht="15" hidden="false" customHeight="false" outlineLevel="0" collapsed="false">
      <c r="A763" s="22" t="s">
        <v>8063</v>
      </c>
      <c r="B763" s="22" t="s">
        <v>499</v>
      </c>
      <c r="C763" s="22" t="s">
        <v>7694</v>
      </c>
      <c r="D763" s="22" t="s">
        <v>6573</v>
      </c>
      <c r="E763" s="22" t="n">
        <v>32</v>
      </c>
      <c r="F763" s="22" t="s">
        <v>6581</v>
      </c>
      <c r="G763" s="22" t="s">
        <v>7696</v>
      </c>
      <c r="H763" s="22" t="n">
        <v>12</v>
      </c>
      <c r="I763" s="22" t="s">
        <v>6576</v>
      </c>
      <c r="J763" s="22" t="s">
        <v>6577</v>
      </c>
      <c r="K763" s="22" t="s">
        <v>6643</v>
      </c>
      <c r="L763" s="22" t="s">
        <v>1932</v>
      </c>
      <c r="M763" s="22" t="s">
        <v>1933</v>
      </c>
      <c r="N763" s="22" t="s">
        <v>315</v>
      </c>
      <c r="O763" s="22" t="n">
        <v>26.5</v>
      </c>
      <c r="P763" s="22" t="n">
        <v>7.55</v>
      </c>
      <c r="Q763" s="22" t="s">
        <v>6937</v>
      </c>
      <c r="R763" s="22"/>
    </row>
    <row r="764" customFormat="false" ht="15" hidden="false" customHeight="false" outlineLevel="0" collapsed="false">
      <c r="A764" s="22" t="s">
        <v>8064</v>
      </c>
      <c r="B764" s="22" t="s">
        <v>499</v>
      </c>
      <c r="C764" s="22" t="s">
        <v>7694</v>
      </c>
      <c r="D764" s="22" t="s">
        <v>6573</v>
      </c>
      <c r="E764" s="22" t="n">
        <v>80</v>
      </c>
      <c r="F764" s="22" t="s">
        <v>7695</v>
      </c>
      <c r="G764" s="22" t="s">
        <v>7696</v>
      </c>
      <c r="H764" s="22" t="n">
        <v>24</v>
      </c>
      <c r="I764" s="22" t="s">
        <v>7697</v>
      </c>
      <c r="J764" s="22" t="s">
        <v>6577</v>
      </c>
      <c r="K764" s="22" t="s">
        <v>6646</v>
      </c>
      <c r="L764" s="22" t="s">
        <v>5961</v>
      </c>
      <c r="M764" s="22" t="s">
        <v>5962</v>
      </c>
      <c r="N764" s="22" t="s">
        <v>2610</v>
      </c>
      <c r="O764" s="22" t="n">
        <v>40.2</v>
      </c>
      <c r="P764" s="22" t="n">
        <v>7.55</v>
      </c>
      <c r="Q764" s="22" t="s">
        <v>8065</v>
      </c>
      <c r="R764" s="22"/>
    </row>
    <row r="765" customFormat="false" ht="15" hidden="false" customHeight="false" outlineLevel="0" collapsed="false">
      <c r="A765" s="22" t="s">
        <v>8066</v>
      </c>
      <c r="B765" s="22" t="s">
        <v>499</v>
      </c>
      <c r="C765" s="22" t="s">
        <v>7694</v>
      </c>
      <c r="D765" s="22" t="s">
        <v>6652</v>
      </c>
      <c r="E765" s="22" t="n">
        <v>32</v>
      </c>
      <c r="F765" s="22" t="s">
        <v>6581</v>
      </c>
      <c r="G765" s="22" t="s">
        <v>7696</v>
      </c>
      <c r="H765" s="22" t="n">
        <v>12</v>
      </c>
      <c r="I765" s="22" t="s">
        <v>6576</v>
      </c>
      <c r="J765" s="22" t="s">
        <v>6577</v>
      </c>
      <c r="K765" s="22" t="s">
        <v>6653</v>
      </c>
      <c r="L765" s="22" t="s">
        <v>2157</v>
      </c>
      <c r="M765" s="22" t="s">
        <v>2158</v>
      </c>
      <c r="N765" s="22" t="s">
        <v>1063</v>
      </c>
      <c r="O765" s="22" t="n">
        <v>36.5</v>
      </c>
      <c r="P765" s="22" t="n">
        <v>7.55</v>
      </c>
      <c r="Q765" s="22" t="s">
        <v>8067</v>
      </c>
      <c r="R765" s="22"/>
    </row>
    <row r="766" customFormat="false" ht="15" hidden="false" customHeight="false" outlineLevel="0" collapsed="false">
      <c r="A766" s="22" t="s">
        <v>8068</v>
      </c>
      <c r="B766" s="22" t="s">
        <v>499</v>
      </c>
      <c r="C766" s="22" t="s">
        <v>7694</v>
      </c>
      <c r="D766" s="22" t="s">
        <v>6652</v>
      </c>
      <c r="E766" s="22" t="n">
        <v>80</v>
      </c>
      <c r="F766" s="22" t="s">
        <v>7695</v>
      </c>
      <c r="G766" s="22" t="s">
        <v>7696</v>
      </c>
      <c r="H766" s="22" t="n">
        <v>24</v>
      </c>
      <c r="I766" s="22" t="s">
        <v>7697</v>
      </c>
      <c r="J766" s="22" t="s">
        <v>6577</v>
      </c>
      <c r="K766" s="22" t="s">
        <v>6656</v>
      </c>
      <c r="L766" s="22" t="s">
        <v>4905</v>
      </c>
      <c r="M766" s="22" t="s">
        <v>4906</v>
      </c>
      <c r="N766" s="22" t="s">
        <v>582</v>
      </c>
      <c r="O766" s="22" t="n">
        <v>58.2</v>
      </c>
      <c r="P766" s="22" t="n">
        <v>7.55</v>
      </c>
      <c r="Q766" s="22" t="s">
        <v>7750</v>
      </c>
      <c r="R766" s="22"/>
    </row>
    <row r="767" customFormat="false" ht="15" hidden="false" customHeight="false" outlineLevel="0" collapsed="false">
      <c r="A767" s="22" t="s">
        <v>8069</v>
      </c>
      <c r="B767" s="22" t="s">
        <v>499</v>
      </c>
      <c r="C767" s="22" t="s">
        <v>7694</v>
      </c>
      <c r="D767" s="22" t="s">
        <v>6652</v>
      </c>
      <c r="E767" s="22" t="n">
        <v>70</v>
      </c>
      <c r="F767" s="22" t="s">
        <v>7695</v>
      </c>
      <c r="G767" s="22" t="s">
        <v>7696</v>
      </c>
      <c r="H767" s="22" t="n">
        <v>22</v>
      </c>
      <c r="I767" s="22" t="s">
        <v>7697</v>
      </c>
      <c r="J767" s="22" t="s">
        <v>6671</v>
      </c>
      <c r="K767" s="22"/>
      <c r="L767" s="22"/>
      <c r="M767" s="22"/>
      <c r="N767" s="22"/>
      <c r="O767" s="22"/>
      <c r="P767" s="22" t="n">
        <v>7.55</v>
      </c>
      <c r="Q767" s="22" t="s">
        <v>8070</v>
      </c>
      <c r="R767" s="22"/>
    </row>
    <row r="768" customFormat="false" ht="15" hidden="false" customHeight="false" outlineLevel="0" collapsed="false">
      <c r="A768" s="22" t="s">
        <v>8071</v>
      </c>
      <c r="B768" s="22" t="s">
        <v>499</v>
      </c>
      <c r="C768" s="22" t="s">
        <v>7694</v>
      </c>
      <c r="D768" s="22" t="s">
        <v>6652</v>
      </c>
      <c r="E768" s="22" t="n">
        <v>32</v>
      </c>
      <c r="F768" s="22" t="s">
        <v>6581</v>
      </c>
      <c r="G768" s="22" t="s">
        <v>7696</v>
      </c>
      <c r="H768" s="22" t="n">
        <v>12</v>
      </c>
      <c r="I768" s="22" t="s">
        <v>6576</v>
      </c>
      <c r="J768" s="22" t="s">
        <v>6577</v>
      </c>
      <c r="K768" s="22" t="s">
        <v>6662</v>
      </c>
      <c r="L768" s="22" t="s">
        <v>2794</v>
      </c>
      <c r="M768" s="22" t="s">
        <v>2795</v>
      </c>
      <c r="N768" s="22" t="s">
        <v>260</v>
      </c>
      <c r="O768" s="22" t="n">
        <v>25.1</v>
      </c>
      <c r="P768" s="22" t="n">
        <v>7.55</v>
      </c>
      <c r="Q768" s="22" t="s">
        <v>8072</v>
      </c>
      <c r="R768" s="22"/>
    </row>
    <row r="769" customFormat="false" ht="15" hidden="false" customHeight="false" outlineLevel="0" collapsed="false">
      <c r="A769" s="22" t="s">
        <v>8073</v>
      </c>
      <c r="B769" s="22" t="s">
        <v>499</v>
      </c>
      <c r="C769" s="22" t="s">
        <v>7694</v>
      </c>
      <c r="D769" s="22" t="s">
        <v>6652</v>
      </c>
      <c r="E769" s="22" t="n">
        <v>50</v>
      </c>
      <c r="F769" s="22" t="s">
        <v>7704</v>
      </c>
      <c r="G769" s="22" t="s">
        <v>7696</v>
      </c>
      <c r="H769" s="22" t="n">
        <v>18</v>
      </c>
      <c r="I769" s="22" t="s">
        <v>7705</v>
      </c>
      <c r="J769" s="22" t="s">
        <v>6577</v>
      </c>
      <c r="K769" s="22" t="s">
        <v>6665</v>
      </c>
      <c r="L769" s="22" t="s">
        <v>2341</v>
      </c>
      <c r="M769" s="22" t="s">
        <v>2342</v>
      </c>
      <c r="N769" s="22" t="s">
        <v>477</v>
      </c>
      <c r="O769" s="22" t="n">
        <v>43.1</v>
      </c>
      <c r="P769" s="22" t="n">
        <v>7.55</v>
      </c>
      <c r="Q769" s="22" t="s">
        <v>7615</v>
      </c>
      <c r="R769" s="22"/>
    </row>
    <row r="770" customFormat="false" ht="15" hidden="false" customHeight="false" outlineLevel="0" collapsed="false">
      <c r="A770" s="22" t="s">
        <v>8074</v>
      </c>
      <c r="B770" s="22" t="s">
        <v>499</v>
      </c>
      <c r="C770" s="22" t="s">
        <v>7694</v>
      </c>
      <c r="D770" s="22" t="s">
        <v>6652</v>
      </c>
      <c r="E770" s="22" t="n">
        <v>24</v>
      </c>
      <c r="F770" s="22" t="s">
        <v>6574</v>
      </c>
      <c r="G770" s="22" t="s">
        <v>7696</v>
      </c>
      <c r="H770" s="22" t="n">
        <v>9</v>
      </c>
      <c r="I770" s="22" t="s">
        <v>6576</v>
      </c>
      <c r="J770" s="22" t="s">
        <v>6577</v>
      </c>
      <c r="K770" s="22" t="s">
        <v>6668</v>
      </c>
      <c r="L770" s="22" t="s">
        <v>5441</v>
      </c>
      <c r="M770" s="22" t="s">
        <v>5442</v>
      </c>
      <c r="N770" s="22" t="s">
        <v>980</v>
      </c>
      <c r="O770" s="22" t="n">
        <v>55.9</v>
      </c>
      <c r="P770" s="22" t="n">
        <v>7.55</v>
      </c>
      <c r="Q770" s="22" t="s">
        <v>7276</v>
      </c>
      <c r="R770" s="22"/>
    </row>
    <row r="771" customFormat="false" ht="15" hidden="false" customHeight="false" outlineLevel="0" collapsed="false">
      <c r="A771" s="22" t="s">
        <v>8075</v>
      </c>
      <c r="B771" s="22" t="s">
        <v>499</v>
      </c>
      <c r="C771" s="22" t="s">
        <v>7694</v>
      </c>
      <c r="D771" s="22" t="s">
        <v>6652</v>
      </c>
      <c r="E771" s="22" t="n">
        <v>24</v>
      </c>
      <c r="F771" s="22" t="s">
        <v>6574</v>
      </c>
      <c r="G771" s="22" t="s">
        <v>7696</v>
      </c>
      <c r="H771" s="22" t="n">
        <v>9</v>
      </c>
      <c r="I771" s="22" t="s">
        <v>6576</v>
      </c>
      <c r="J771" s="22" t="s">
        <v>6577</v>
      </c>
      <c r="K771" s="22" t="s">
        <v>7350</v>
      </c>
      <c r="L771" s="22" t="s">
        <v>978</v>
      </c>
      <c r="M771" s="22" t="s">
        <v>979</v>
      </c>
      <c r="N771" s="22" t="s">
        <v>980</v>
      </c>
      <c r="O771" s="22" t="n">
        <v>52.2</v>
      </c>
      <c r="P771" s="22" t="n">
        <v>7.55</v>
      </c>
      <c r="Q771" s="22" t="s">
        <v>6952</v>
      </c>
      <c r="R771" s="22"/>
    </row>
    <row r="772" customFormat="false" ht="15" hidden="false" customHeight="false" outlineLevel="0" collapsed="false">
      <c r="A772" s="22" t="s">
        <v>8076</v>
      </c>
      <c r="B772" s="22" t="s">
        <v>499</v>
      </c>
      <c r="C772" s="22" t="s">
        <v>7694</v>
      </c>
      <c r="D772" s="22" t="s">
        <v>6652</v>
      </c>
      <c r="E772" s="22" t="n">
        <v>24</v>
      </c>
      <c r="F772" s="22" t="s">
        <v>6574</v>
      </c>
      <c r="G772" s="22" t="s">
        <v>7696</v>
      </c>
      <c r="H772" s="22" t="n">
        <v>9</v>
      </c>
      <c r="I772" s="22" t="s">
        <v>6576</v>
      </c>
      <c r="J772" s="22" t="s">
        <v>6577</v>
      </c>
      <c r="K772" s="22" t="s">
        <v>6674</v>
      </c>
      <c r="L772" s="22" t="s">
        <v>3720</v>
      </c>
      <c r="M772" s="22" t="s">
        <v>3721</v>
      </c>
      <c r="N772" s="22" t="s">
        <v>2723</v>
      </c>
      <c r="O772" s="22" t="n">
        <v>57.6</v>
      </c>
      <c r="P772" s="22" t="n">
        <v>7.55</v>
      </c>
      <c r="Q772" s="22" t="s">
        <v>7686</v>
      </c>
      <c r="R772" s="22"/>
    </row>
    <row r="773" customFormat="false" ht="15" hidden="false" customHeight="false" outlineLevel="0" collapsed="false">
      <c r="A773" s="22" t="s">
        <v>8077</v>
      </c>
      <c r="B773" s="22" t="s">
        <v>499</v>
      </c>
      <c r="C773" s="22" t="s">
        <v>7694</v>
      </c>
      <c r="D773" s="22" t="s">
        <v>6652</v>
      </c>
      <c r="E773" s="22" t="n">
        <v>40</v>
      </c>
      <c r="F773" s="22" t="s">
        <v>6581</v>
      </c>
      <c r="G773" s="22" t="s">
        <v>7696</v>
      </c>
      <c r="H773" s="22" t="n">
        <v>14</v>
      </c>
      <c r="I773" s="22" t="s">
        <v>6582</v>
      </c>
      <c r="J773" s="22" t="s">
        <v>6577</v>
      </c>
      <c r="K773" s="22" t="s">
        <v>6677</v>
      </c>
      <c r="L773" s="22" t="s">
        <v>1310</v>
      </c>
      <c r="M773" s="22" t="s">
        <v>1311</v>
      </c>
      <c r="N773" s="22" t="s">
        <v>463</v>
      </c>
      <c r="O773" s="22" t="n">
        <v>36</v>
      </c>
      <c r="P773" s="22" t="n">
        <v>7.55</v>
      </c>
      <c r="Q773" s="22" t="s">
        <v>8078</v>
      </c>
      <c r="R773" s="22"/>
    </row>
    <row r="774" customFormat="false" ht="15" hidden="false" customHeight="false" outlineLevel="0" collapsed="false">
      <c r="A774" s="22" t="s">
        <v>8079</v>
      </c>
      <c r="B774" s="22" t="s">
        <v>499</v>
      </c>
      <c r="C774" s="22" t="s">
        <v>7694</v>
      </c>
      <c r="D774" s="22" t="s">
        <v>6652</v>
      </c>
      <c r="E774" s="22" t="n">
        <v>40</v>
      </c>
      <c r="F774" s="22" t="s">
        <v>6581</v>
      </c>
      <c r="G774" s="22" t="s">
        <v>7696</v>
      </c>
      <c r="H774" s="22" t="n">
        <v>14</v>
      </c>
      <c r="I774" s="22" t="s">
        <v>6582</v>
      </c>
      <c r="J774" s="22" t="s">
        <v>6577</v>
      </c>
      <c r="K774" s="22" t="s">
        <v>6680</v>
      </c>
      <c r="L774" s="22" t="s">
        <v>6399</v>
      </c>
      <c r="M774" s="22" t="s">
        <v>6400</v>
      </c>
      <c r="N774" s="22" t="s">
        <v>1761</v>
      </c>
      <c r="O774" s="22" t="n">
        <v>30.9</v>
      </c>
      <c r="P774" s="22" t="n">
        <v>7.55</v>
      </c>
      <c r="Q774" s="22" t="s">
        <v>6913</v>
      </c>
      <c r="R774" s="22"/>
    </row>
    <row r="775" customFormat="false" ht="15" hidden="false" customHeight="false" outlineLevel="0" collapsed="false">
      <c r="A775" s="22" t="s">
        <v>8080</v>
      </c>
      <c r="B775" s="22" t="s">
        <v>499</v>
      </c>
      <c r="C775" s="22" t="s">
        <v>7694</v>
      </c>
      <c r="D775" s="22" t="s">
        <v>6652</v>
      </c>
      <c r="E775" s="22" t="n">
        <v>28</v>
      </c>
      <c r="F775" s="22" t="s">
        <v>6574</v>
      </c>
      <c r="G775" s="22" t="s">
        <v>7696</v>
      </c>
      <c r="H775" s="22" t="n">
        <v>10</v>
      </c>
      <c r="I775" s="22" t="s">
        <v>6576</v>
      </c>
      <c r="J775" s="22" t="s">
        <v>6577</v>
      </c>
      <c r="K775" s="22" t="s">
        <v>7357</v>
      </c>
      <c r="L775" s="22" t="s">
        <v>5014</v>
      </c>
      <c r="M775" s="22" t="s">
        <v>5015</v>
      </c>
      <c r="N775" s="22" t="s">
        <v>1115</v>
      </c>
      <c r="O775" s="22" t="n">
        <v>22.7</v>
      </c>
      <c r="P775" s="22" t="n">
        <v>7.55</v>
      </c>
      <c r="Q775" s="22" t="s">
        <v>6629</v>
      </c>
      <c r="R775" s="22"/>
    </row>
    <row r="776" customFormat="false" ht="15" hidden="false" customHeight="false" outlineLevel="0" collapsed="false">
      <c r="A776" s="22" t="s">
        <v>8081</v>
      </c>
      <c r="B776" s="22" t="s">
        <v>499</v>
      </c>
      <c r="C776" s="22" t="s">
        <v>7694</v>
      </c>
      <c r="D776" s="22" t="s">
        <v>6652</v>
      </c>
      <c r="E776" s="22" t="n">
        <v>60</v>
      </c>
      <c r="F776" s="22" t="s">
        <v>7695</v>
      </c>
      <c r="G776" s="22" t="s">
        <v>7696</v>
      </c>
      <c r="H776" s="22" t="n">
        <v>20</v>
      </c>
      <c r="I776" s="22" t="s">
        <v>7697</v>
      </c>
      <c r="J776" s="22" t="s">
        <v>6577</v>
      </c>
      <c r="K776" s="22" t="s">
        <v>6685</v>
      </c>
      <c r="L776" s="22" t="s">
        <v>3048</v>
      </c>
      <c r="M776" s="22" t="s">
        <v>3049</v>
      </c>
      <c r="N776" s="22" t="s">
        <v>1791</v>
      </c>
      <c r="O776" s="22" t="n">
        <v>31.8</v>
      </c>
      <c r="P776" s="22" t="n">
        <v>7.55</v>
      </c>
      <c r="Q776" s="22" t="s">
        <v>8082</v>
      </c>
      <c r="R776" s="22"/>
    </row>
    <row r="777" customFormat="false" ht="15" hidden="false" customHeight="false" outlineLevel="0" collapsed="false">
      <c r="A777" s="22" t="s">
        <v>8083</v>
      </c>
      <c r="B777" s="22" t="s">
        <v>499</v>
      </c>
      <c r="C777" s="22" t="s">
        <v>7694</v>
      </c>
      <c r="D777" s="22" t="s">
        <v>6652</v>
      </c>
      <c r="E777" s="22" t="n">
        <v>28</v>
      </c>
      <c r="F777" s="22" t="s">
        <v>6574</v>
      </c>
      <c r="G777" s="22" t="s">
        <v>7696</v>
      </c>
      <c r="H777" s="22" t="n">
        <v>10</v>
      </c>
      <c r="I777" s="22" t="s">
        <v>6576</v>
      </c>
      <c r="J777" s="22" t="s">
        <v>6577</v>
      </c>
      <c r="K777" s="22" t="s">
        <v>6688</v>
      </c>
      <c r="L777" s="22" t="s">
        <v>3427</v>
      </c>
      <c r="M777" s="22" t="s">
        <v>3428</v>
      </c>
      <c r="N777" s="22" t="s">
        <v>2394</v>
      </c>
      <c r="O777" s="22" t="n">
        <v>28.3</v>
      </c>
      <c r="P777" s="22" t="n">
        <v>7.55</v>
      </c>
      <c r="Q777" s="22" t="s">
        <v>8084</v>
      </c>
      <c r="R777" s="22"/>
    </row>
    <row r="778" customFormat="false" ht="15" hidden="false" customHeight="false" outlineLevel="0" collapsed="false">
      <c r="A778" s="22" t="s">
        <v>8085</v>
      </c>
      <c r="B778" s="22" t="s">
        <v>499</v>
      </c>
      <c r="C778" s="22" t="s">
        <v>7694</v>
      </c>
      <c r="D778" s="22" t="s">
        <v>6652</v>
      </c>
      <c r="E778" s="22" t="n">
        <v>24</v>
      </c>
      <c r="F778" s="22" t="s">
        <v>6574</v>
      </c>
      <c r="G778" s="22" t="s">
        <v>7696</v>
      </c>
      <c r="H778" s="22" t="n">
        <v>9</v>
      </c>
      <c r="I778" s="22" t="s">
        <v>6576</v>
      </c>
      <c r="J778" s="22" t="s">
        <v>6577</v>
      </c>
      <c r="K778" s="22" t="s">
        <v>6691</v>
      </c>
      <c r="L778" s="22" t="s">
        <v>6180</v>
      </c>
      <c r="M778" s="22" t="s">
        <v>6181</v>
      </c>
      <c r="N778" s="22" t="s">
        <v>1204</v>
      </c>
      <c r="O778" s="22" t="n">
        <v>25.2</v>
      </c>
      <c r="P778" s="22" t="n">
        <v>7.55</v>
      </c>
      <c r="Q778" s="22" t="s">
        <v>7819</v>
      </c>
      <c r="R778" s="22"/>
    </row>
    <row r="779" customFormat="false" ht="15" hidden="false" customHeight="false" outlineLevel="0" collapsed="false">
      <c r="A779" s="22" t="s">
        <v>8086</v>
      </c>
      <c r="B779" s="22" t="s">
        <v>499</v>
      </c>
      <c r="C779" s="22" t="s">
        <v>7694</v>
      </c>
      <c r="D779" s="22" t="s">
        <v>6652</v>
      </c>
      <c r="E779" s="22" t="n">
        <v>28</v>
      </c>
      <c r="F779" s="22" t="s">
        <v>6574</v>
      </c>
      <c r="G779" s="22" t="s">
        <v>7696</v>
      </c>
      <c r="H779" s="22" t="n">
        <v>10</v>
      </c>
      <c r="I779" s="22" t="s">
        <v>6576</v>
      </c>
      <c r="J779" s="22" t="s">
        <v>6577</v>
      </c>
      <c r="K779" s="22" t="s">
        <v>6694</v>
      </c>
      <c r="L779" s="22" t="s">
        <v>1345</v>
      </c>
      <c r="M779" s="22" t="s">
        <v>1346</v>
      </c>
      <c r="N779" s="22" t="s">
        <v>651</v>
      </c>
      <c r="O779" s="22" t="n">
        <v>33.7</v>
      </c>
      <c r="P779" s="22" t="n">
        <v>7.55</v>
      </c>
      <c r="Q779" s="22" t="s">
        <v>7169</v>
      </c>
      <c r="R779" s="22"/>
    </row>
    <row r="780" customFormat="false" ht="15" hidden="false" customHeight="false" outlineLevel="0" collapsed="false">
      <c r="A780" s="22" t="s">
        <v>8087</v>
      </c>
      <c r="B780" s="22" t="s">
        <v>499</v>
      </c>
      <c r="C780" s="22" t="s">
        <v>7694</v>
      </c>
      <c r="D780" s="22" t="s">
        <v>6652</v>
      </c>
      <c r="E780" s="22" t="n">
        <v>80</v>
      </c>
      <c r="F780" s="22" t="s">
        <v>7695</v>
      </c>
      <c r="G780" s="22" t="s">
        <v>7696</v>
      </c>
      <c r="H780" s="22" t="n">
        <v>24</v>
      </c>
      <c r="I780" s="22" t="s">
        <v>7697</v>
      </c>
      <c r="J780" s="22" t="s">
        <v>6577</v>
      </c>
      <c r="K780" s="22" t="s">
        <v>6697</v>
      </c>
      <c r="L780" s="22" t="s">
        <v>5967</v>
      </c>
      <c r="M780" s="22" t="s">
        <v>5968</v>
      </c>
      <c r="N780" s="22" t="s">
        <v>2238</v>
      </c>
      <c r="O780" s="22" t="n">
        <v>42.5</v>
      </c>
      <c r="P780" s="22" t="n">
        <v>7.55</v>
      </c>
      <c r="Q780" s="22" t="s">
        <v>7374</v>
      </c>
      <c r="R780" s="22"/>
    </row>
    <row r="781" customFormat="false" ht="15" hidden="false" customHeight="false" outlineLevel="0" collapsed="false">
      <c r="A781" s="22" t="s">
        <v>8088</v>
      </c>
      <c r="B781" s="22" t="s">
        <v>499</v>
      </c>
      <c r="C781" s="22" t="s">
        <v>7694</v>
      </c>
      <c r="D781" s="22" t="s">
        <v>6652</v>
      </c>
      <c r="E781" s="22" t="n">
        <v>80</v>
      </c>
      <c r="F781" s="22" t="s">
        <v>7695</v>
      </c>
      <c r="G781" s="22" t="s">
        <v>7696</v>
      </c>
      <c r="H781" s="22" t="n">
        <v>24</v>
      </c>
      <c r="I781" s="22" t="s">
        <v>7697</v>
      </c>
      <c r="J781" s="22" t="s">
        <v>6577</v>
      </c>
      <c r="K781" s="22" t="s">
        <v>6700</v>
      </c>
      <c r="L781" s="22" t="s">
        <v>4700</v>
      </c>
      <c r="M781" s="22" t="s">
        <v>4701</v>
      </c>
      <c r="N781" s="22" t="s">
        <v>361</v>
      </c>
      <c r="O781" s="22" t="n">
        <v>58.7</v>
      </c>
      <c r="P781" s="22" t="n">
        <v>7.55</v>
      </c>
      <c r="Q781" s="22" t="s">
        <v>8089</v>
      </c>
      <c r="R781" s="22"/>
    </row>
    <row r="782" customFormat="false" ht="15" hidden="false" customHeight="false" outlineLevel="0" collapsed="false">
      <c r="A782" s="22" t="s">
        <v>8090</v>
      </c>
      <c r="B782" s="22" t="s">
        <v>499</v>
      </c>
      <c r="C782" s="22" t="s">
        <v>7694</v>
      </c>
      <c r="D782" s="22" t="s">
        <v>6652</v>
      </c>
      <c r="E782" s="22" t="n">
        <v>60</v>
      </c>
      <c r="F782" s="22" t="s">
        <v>7695</v>
      </c>
      <c r="G782" s="22" t="s">
        <v>7696</v>
      </c>
      <c r="H782" s="22" t="n">
        <v>20</v>
      </c>
      <c r="I782" s="22" t="s">
        <v>7697</v>
      </c>
      <c r="J782" s="22" t="s">
        <v>6577</v>
      </c>
      <c r="K782" s="22" t="s">
        <v>6703</v>
      </c>
      <c r="L782" s="22" t="s">
        <v>1627</v>
      </c>
      <c r="M782" s="22" t="s">
        <v>1628</v>
      </c>
      <c r="N782" s="22" t="s">
        <v>1629</v>
      </c>
      <c r="O782" s="22" t="n">
        <v>56.1</v>
      </c>
      <c r="P782" s="22" t="n">
        <v>7.55</v>
      </c>
      <c r="Q782" s="22" t="s">
        <v>7669</v>
      </c>
      <c r="R782" s="22"/>
    </row>
    <row r="783" customFormat="false" ht="15" hidden="false" customHeight="false" outlineLevel="0" collapsed="false">
      <c r="A783" s="22" t="s">
        <v>8091</v>
      </c>
      <c r="B783" s="22" t="s">
        <v>499</v>
      </c>
      <c r="C783" s="22" t="s">
        <v>7694</v>
      </c>
      <c r="D783" s="22" t="s">
        <v>6652</v>
      </c>
      <c r="E783" s="22" t="n">
        <v>80</v>
      </c>
      <c r="F783" s="22" t="s">
        <v>7695</v>
      </c>
      <c r="G783" s="22" t="s">
        <v>7696</v>
      </c>
      <c r="H783" s="22" t="n">
        <v>24</v>
      </c>
      <c r="I783" s="22" t="s">
        <v>7697</v>
      </c>
      <c r="J783" s="22" t="s">
        <v>6613</v>
      </c>
      <c r="K783" s="22"/>
      <c r="L783" s="22"/>
      <c r="M783" s="22"/>
      <c r="N783" s="22"/>
      <c r="O783" s="22"/>
      <c r="P783" s="22" t="n">
        <v>7.55</v>
      </c>
      <c r="Q783" s="22" t="s">
        <v>8092</v>
      </c>
      <c r="R783" s="22"/>
    </row>
    <row r="784" customFormat="false" ht="15" hidden="false" customHeight="false" outlineLevel="0" collapsed="false">
      <c r="A784" s="22" t="s">
        <v>8093</v>
      </c>
      <c r="B784" s="22" t="s">
        <v>499</v>
      </c>
      <c r="C784" s="22" t="s">
        <v>7694</v>
      </c>
      <c r="D784" s="22" t="s">
        <v>6652</v>
      </c>
      <c r="E784" s="22" t="n">
        <v>60</v>
      </c>
      <c r="F784" s="22" t="s">
        <v>7695</v>
      </c>
      <c r="G784" s="22" t="s">
        <v>7696</v>
      </c>
      <c r="H784" s="22" t="n">
        <v>20</v>
      </c>
      <c r="I784" s="22" t="s">
        <v>7697</v>
      </c>
      <c r="J784" s="22" t="s">
        <v>6577</v>
      </c>
      <c r="K784" s="22" t="s">
        <v>6709</v>
      </c>
      <c r="L784" s="22" t="s">
        <v>3577</v>
      </c>
      <c r="M784" s="22" t="s">
        <v>3578</v>
      </c>
      <c r="N784" s="22" t="s">
        <v>1869</v>
      </c>
      <c r="O784" s="22" t="n">
        <v>54.9</v>
      </c>
      <c r="P784" s="22" t="n">
        <v>7.55</v>
      </c>
      <c r="Q784" s="22" t="s">
        <v>7583</v>
      </c>
      <c r="R784" s="22"/>
    </row>
    <row r="785" customFormat="false" ht="15" hidden="false" customHeight="false" outlineLevel="0" collapsed="false">
      <c r="A785" s="22" t="s">
        <v>8094</v>
      </c>
      <c r="B785" s="22" t="s">
        <v>499</v>
      </c>
      <c r="C785" s="22" t="s">
        <v>7694</v>
      </c>
      <c r="D785" s="22" t="s">
        <v>6652</v>
      </c>
      <c r="E785" s="22" t="n">
        <v>80</v>
      </c>
      <c r="F785" s="22" t="s">
        <v>7695</v>
      </c>
      <c r="G785" s="22" t="s">
        <v>7696</v>
      </c>
      <c r="H785" s="22" t="n">
        <v>24</v>
      </c>
      <c r="I785" s="22" t="s">
        <v>7697</v>
      </c>
      <c r="J785" s="22" t="s">
        <v>6577</v>
      </c>
      <c r="K785" s="22" t="s">
        <v>6712</v>
      </c>
      <c r="L785" s="22" t="s">
        <v>3337</v>
      </c>
      <c r="M785" s="22" t="s">
        <v>3338</v>
      </c>
      <c r="N785" s="22" t="s">
        <v>1110</v>
      </c>
      <c r="O785" s="22" t="n">
        <v>31.6</v>
      </c>
      <c r="P785" s="22" t="n">
        <v>7.55</v>
      </c>
      <c r="Q785" s="22" t="s">
        <v>8095</v>
      </c>
      <c r="R785" s="22"/>
    </row>
    <row r="786" customFormat="false" ht="15" hidden="false" customHeight="false" outlineLevel="0" collapsed="false">
      <c r="A786" s="22" t="s">
        <v>8096</v>
      </c>
      <c r="B786" s="22" t="s">
        <v>499</v>
      </c>
      <c r="C786" s="22" t="s">
        <v>7694</v>
      </c>
      <c r="D786" s="22" t="s">
        <v>6652</v>
      </c>
      <c r="E786" s="22" t="n">
        <v>60</v>
      </c>
      <c r="F786" s="22" t="s">
        <v>7695</v>
      </c>
      <c r="G786" s="22" t="s">
        <v>7696</v>
      </c>
      <c r="H786" s="22" t="n">
        <v>20</v>
      </c>
      <c r="I786" s="22" t="s">
        <v>7697</v>
      </c>
      <c r="J786" s="22" t="s">
        <v>6577</v>
      </c>
      <c r="K786" s="22" t="s">
        <v>6715</v>
      </c>
      <c r="L786" s="22" t="s">
        <v>1167</v>
      </c>
      <c r="M786" s="22" t="s">
        <v>1168</v>
      </c>
      <c r="N786" s="22" t="s">
        <v>1169</v>
      </c>
      <c r="O786" s="22" t="n">
        <v>29.9</v>
      </c>
      <c r="P786" s="22" t="n">
        <v>7.55</v>
      </c>
      <c r="Q786" s="22" t="s">
        <v>7514</v>
      </c>
      <c r="R786" s="22"/>
    </row>
    <row r="787" customFormat="false" ht="15" hidden="false" customHeight="false" outlineLevel="0" collapsed="false">
      <c r="A787" s="22" t="s">
        <v>8097</v>
      </c>
      <c r="B787" s="22" t="s">
        <v>499</v>
      </c>
      <c r="C787" s="22" t="s">
        <v>7694</v>
      </c>
      <c r="D787" s="22" t="s">
        <v>6652</v>
      </c>
      <c r="E787" s="22" t="n">
        <v>28</v>
      </c>
      <c r="F787" s="22" t="s">
        <v>6574</v>
      </c>
      <c r="G787" s="22" t="s">
        <v>7696</v>
      </c>
      <c r="H787" s="22" t="n">
        <v>10</v>
      </c>
      <c r="I787" s="22" t="s">
        <v>6576</v>
      </c>
      <c r="J787" s="22" t="s">
        <v>6577</v>
      </c>
      <c r="K787" s="22" t="s">
        <v>6718</v>
      </c>
      <c r="L787" s="22" t="s">
        <v>2584</v>
      </c>
      <c r="M787" s="22" t="s">
        <v>2585</v>
      </c>
      <c r="N787" s="22" t="s">
        <v>1850</v>
      </c>
      <c r="O787" s="22" t="n">
        <v>45.5</v>
      </c>
      <c r="P787" s="22" t="n">
        <v>7.55</v>
      </c>
      <c r="Q787" s="22" t="s">
        <v>8098</v>
      </c>
      <c r="R787" s="22"/>
    </row>
    <row r="788" customFormat="false" ht="15" hidden="false" customHeight="false" outlineLevel="0" collapsed="false">
      <c r="A788" s="22" t="s">
        <v>8099</v>
      </c>
      <c r="B788" s="22" t="s">
        <v>499</v>
      </c>
      <c r="C788" s="22" t="s">
        <v>7694</v>
      </c>
      <c r="D788" s="22" t="s">
        <v>6724</v>
      </c>
      <c r="E788" s="22" t="n">
        <v>24</v>
      </c>
      <c r="F788" s="22" t="s">
        <v>6574</v>
      </c>
      <c r="G788" s="22" t="s">
        <v>7696</v>
      </c>
      <c r="H788" s="22" t="n">
        <v>9</v>
      </c>
      <c r="I788" s="22" t="s">
        <v>6576</v>
      </c>
      <c r="J788" s="22" t="s">
        <v>6577</v>
      </c>
      <c r="K788" s="22" t="s">
        <v>6725</v>
      </c>
      <c r="L788" s="22" t="s">
        <v>2558</v>
      </c>
      <c r="M788" s="22" t="s">
        <v>2559</v>
      </c>
      <c r="N788" s="22" t="s">
        <v>2560</v>
      </c>
      <c r="O788" s="22" t="n">
        <v>32.4</v>
      </c>
      <c r="P788" s="22" t="n">
        <v>7.55</v>
      </c>
      <c r="Q788" s="22" t="s">
        <v>8100</v>
      </c>
      <c r="R788" s="22"/>
    </row>
    <row r="789" customFormat="false" ht="15" hidden="false" customHeight="false" outlineLevel="0" collapsed="false">
      <c r="A789" s="22" t="s">
        <v>8101</v>
      </c>
      <c r="B789" s="22" t="s">
        <v>499</v>
      </c>
      <c r="C789" s="22" t="s">
        <v>7694</v>
      </c>
      <c r="D789" s="22" t="s">
        <v>6724</v>
      </c>
      <c r="E789" s="22" t="n">
        <v>28</v>
      </c>
      <c r="F789" s="22" t="s">
        <v>6574</v>
      </c>
      <c r="G789" s="22" t="s">
        <v>7696</v>
      </c>
      <c r="H789" s="22" t="n">
        <v>10</v>
      </c>
      <c r="I789" s="22" t="s">
        <v>6576</v>
      </c>
      <c r="J789" s="22" t="s">
        <v>6577</v>
      </c>
      <c r="K789" s="22" t="s">
        <v>6728</v>
      </c>
      <c r="L789" s="22" t="s">
        <v>2053</v>
      </c>
      <c r="M789" s="22" t="s">
        <v>2054</v>
      </c>
      <c r="N789" s="22" t="s">
        <v>690</v>
      </c>
      <c r="O789" s="22" t="n">
        <v>55.3</v>
      </c>
      <c r="P789" s="22" t="n">
        <v>7.55</v>
      </c>
      <c r="Q789" s="22" t="s">
        <v>8102</v>
      </c>
      <c r="R789" s="22"/>
    </row>
    <row r="790" customFormat="false" ht="15" hidden="false" customHeight="false" outlineLevel="0" collapsed="false">
      <c r="A790" s="22" t="s">
        <v>8103</v>
      </c>
      <c r="B790" s="22" t="s">
        <v>499</v>
      </c>
      <c r="C790" s="22" t="s">
        <v>7694</v>
      </c>
      <c r="D790" s="22" t="s">
        <v>6724</v>
      </c>
      <c r="E790" s="22" t="n">
        <v>28</v>
      </c>
      <c r="F790" s="22" t="s">
        <v>6574</v>
      </c>
      <c r="G790" s="22" t="s">
        <v>7696</v>
      </c>
      <c r="H790" s="22" t="n">
        <v>10</v>
      </c>
      <c r="I790" s="22" t="s">
        <v>6576</v>
      </c>
      <c r="J790" s="22" t="s">
        <v>6577</v>
      </c>
      <c r="K790" s="22" t="s">
        <v>6731</v>
      </c>
      <c r="L790" s="22" t="s">
        <v>2841</v>
      </c>
      <c r="M790" s="22" t="s">
        <v>2842</v>
      </c>
      <c r="N790" s="22" t="s">
        <v>170</v>
      </c>
      <c r="O790" s="22" t="n">
        <v>29.9</v>
      </c>
      <c r="P790" s="22" t="n">
        <v>7.55</v>
      </c>
      <c r="Q790" s="22" t="s">
        <v>8104</v>
      </c>
      <c r="R790" s="22"/>
    </row>
    <row r="791" customFormat="false" ht="15" hidden="false" customHeight="false" outlineLevel="0" collapsed="false">
      <c r="A791" s="22" t="s">
        <v>8105</v>
      </c>
      <c r="B791" s="22" t="s">
        <v>499</v>
      </c>
      <c r="C791" s="22" t="s">
        <v>7694</v>
      </c>
      <c r="D791" s="22" t="s">
        <v>6724</v>
      </c>
      <c r="E791" s="22" t="n">
        <v>32</v>
      </c>
      <c r="F791" s="22" t="s">
        <v>6581</v>
      </c>
      <c r="G791" s="22" t="s">
        <v>7696</v>
      </c>
      <c r="H791" s="22" t="n">
        <v>12</v>
      </c>
      <c r="I791" s="22" t="s">
        <v>6576</v>
      </c>
      <c r="J791" s="22" t="s">
        <v>6577</v>
      </c>
      <c r="K791" s="22" t="s">
        <v>7383</v>
      </c>
      <c r="L791" s="22" t="s">
        <v>282</v>
      </c>
      <c r="M791" s="22" t="s">
        <v>283</v>
      </c>
      <c r="N791" s="22" t="s">
        <v>284</v>
      </c>
      <c r="O791" s="22" t="n">
        <v>35.3</v>
      </c>
      <c r="P791" s="22" t="n">
        <v>7.55</v>
      </c>
      <c r="Q791" s="22" t="s">
        <v>8106</v>
      </c>
      <c r="R791" s="22"/>
    </row>
    <row r="792" customFormat="false" ht="15" hidden="false" customHeight="false" outlineLevel="0" collapsed="false">
      <c r="A792" s="22" t="s">
        <v>8107</v>
      </c>
      <c r="B792" s="22" t="s">
        <v>499</v>
      </c>
      <c r="C792" s="22" t="s">
        <v>7694</v>
      </c>
      <c r="D792" s="22" t="s">
        <v>6724</v>
      </c>
      <c r="E792" s="22" t="n">
        <v>80</v>
      </c>
      <c r="F792" s="22" t="s">
        <v>7695</v>
      </c>
      <c r="G792" s="22" t="s">
        <v>7696</v>
      </c>
      <c r="H792" s="22" t="n">
        <v>24</v>
      </c>
      <c r="I792" s="22" t="s">
        <v>7697</v>
      </c>
      <c r="J792" s="22" t="s">
        <v>6577</v>
      </c>
      <c r="K792" s="22" t="s">
        <v>6737</v>
      </c>
      <c r="L792" s="22" t="s">
        <v>3767</v>
      </c>
      <c r="M792" s="22" t="s">
        <v>3768</v>
      </c>
      <c r="N792" s="22" t="s">
        <v>2238</v>
      </c>
      <c r="O792" s="22" t="n">
        <v>60</v>
      </c>
      <c r="P792" s="22" t="n">
        <v>7.55</v>
      </c>
      <c r="Q792" s="22" t="s">
        <v>7773</v>
      </c>
      <c r="R792" s="22"/>
    </row>
    <row r="793" customFormat="false" ht="15" hidden="false" customHeight="false" outlineLevel="0" collapsed="false">
      <c r="A793" s="22" t="s">
        <v>8108</v>
      </c>
      <c r="B793" s="22" t="s">
        <v>499</v>
      </c>
      <c r="C793" s="22" t="s">
        <v>7694</v>
      </c>
      <c r="D793" s="22" t="s">
        <v>6724</v>
      </c>
      <c r="E793" s="22" t="n">
        <v>32</v>
      </c>
      <c r="F793" s="22" t="s">
        <v>6581</v>
      </c>
      <c r="G793" s="22" t="s">
        <v>7696</v>
      </c>
      <c r="H793" s="22" t="n">
        <v>12</v>
      </c>
      <c r="I793" s="22" t="s">
        <v>6576</v>
      </c>
      <c r="J793" s="22" t="s">
        <v>6577</v>
      </c>
      <c r="K793" s="22" t="s">
        <v>6740</v>
      </c>
      <c r="L793" s="22" t="s">
        <v>4164</v>
      </c>
      <c r="M793" s="22" t="s">
        <v>4165</v>
      </c>
      <c r="N793" s="22" t="s">
        <v>588</v>
      </c>
      <c r="O793" s="22" t="n">
        <v>46.9</v>
      </c>
      <c r="P793" s="22" t="n">
        <v>7.55</v>
      </c>
      <c r="Q793" s="22" t="s">
        <v>7976</v>
      </c>
      <c r="R793" s="22"/>
    </row>
    <row r="794" customFormat="false" ht="15" hidden="false" customHeight="false" outlineLevel="0" collapsed="false">
      <c r="A794" s="22" t="s">
        <v>8109</v>
      </c>
      <c r="B794" s="22" t="s">
        <v>499</v>
      </c>
      <c r="C794" s="22" t="s">
        <v>7694</v>
      </c>
      <c r="D794" s="22" t="s">
        <v>6724</v>
      </c>
      <c r="E794" s="22" t="n">
        <v>32</v>
      </c>
      <c r="F794" s="22" t="s">
        <v>6581</v>
      </c>
      <c r="G794" s="22" t="s">
        <v>7696</v>
      </c>
      <c r="H794" s="22" t="n">
        <v>12</v>
      </c>
      <c r="I794" s="22" t="s">
        <v>6576</v>
      </c>
      <c r="J794" s="22" t="s">
        <v>6577</v>
      </c>
      <c r="K794" s="22" t="s">
        <v>6743</v>
      </c>
      <c r="L794" s="22" t="s">
        <v>3579</v>
      </c>
      <c r="M794" s="22" t="s">
        <v>3580</v>
      </c>
      <c r="N794" s="22" t="s">
        <v>841</v>
      </c>
      <c r="O794" s="22" t="n">
        <v>41.2</v>
      </c>
      <c r="P794" s="22" t="n">
        <v>7.55</v>
      </c>
      <c r="Q794" s="22" t="s">
        <v>7319</v>
      </c>
      <c r="R794" s="22"/>
    </row>
    <row r="795" customFormat="false" ht="15" hidden="false" customHeight="false" outlineLevel="0" collapsed="false">
      <c r="A795" s="22" t="s">
        <v>8110</v>
      </c>
      <c r="B795" s="22" t="s">
        <v>499</v>
      </c>
      <c r="C795" s="22" t="s">
        <v>7694</v>
      </c>
      <c r="D795" s="22" t="s">
        <v>6724</v>
      </c>
      <c r="E795" s="22" t="n">
        <v>60</v>
      </c>
      <c r="F795" s="22" t="s">
        <v>7695</v>
      </c>
      <c r="G795" s="22" t="s">
        <v>7696</v>
      </c>
      <c r="H795" s="22" t="n">
        <v>20</v>
      </c>
      <c r="I795" s="22" t="s">
        <v>7697</v>
      </c>
      <c r="J795" s="22" t="s">
        <v>6577</v>
      </c>
      <c r="K795" s="22" t="s">
        <v>7391</v>
      </c>
      <c r="L795" s="22" t="s">
        <v>640</v>
      </c>
      <c r="M795" s="22" t="s">
        <v>641</v>
      </c>
      <c r="N795" s="22" t="s">
        <v>642</v>
      </c>
      <c r="O795" s="22" t="n">
        <v>51.5</v>
      </c>
      <c r="P795" s="22" t="n">
        <v>7.55</v>
      </c>
      <c r="Q795" s="22" t="s">
        <v>8111</v>
      </c>
      <c r="R795" s="22"/>
    </row>
    <row r="796" customFormat="false" ht="15" hidden="false" customHeight="false" outlineLevel="0" collapsed="false">
      <c r="A796" s="22" t="s">
        <v>8112</v>
      </c>
      <c r="B796" s="22" t="s">
        <v>499</v>
      </c>
      <c r="C796" s="22" t="s">
        <v>7694</v>
      </c>
      <c r="D796" s="22" t="s">
        <v>6724</v>
      </c>
      <c r="E796" s="22" t="n">
        <v>40</v>
      </c>
      <c r="F796" s="22" t="s">
        <v>6581</v>
      </c>
      <c r="G796" s="22" t="s">
        <v>7696</v>
      </c>
      <c r="H796" s="22" t="n">
        <v>14</v>
      </c>
      <c r="I796" s="22" t="s">
        <v>6582</v>
      </c>
      <c r="J796" s="22" t="s">
        <v>6577</v>
      </c>
      <c r="K796" s="22" t="s">
        <v>6748</v>
      </c>
      <c r="L796" s="22" t="s">
        <v>5319</v>
      </c>
      <c r="M796" s="22" t="s">
        <v>5320</v>
      </c>
      <c r="N796" s="22" t="s">
        <v>599</v>
      </c>
      <c r="O796" s="22" t="n">
        <v>48.5</v>
      </c>
      <c r="P796" s="22" t="n">
        <v>7.55</v>
      </c>
      <c r="Q796" s="22" t="s">
        <v>7085</v>
      </c>
      <c r="R796" s="22"/>
    </row>
    <row r="797" customFormat="false" ht="15" hidden="false" customHeight="false" outlineLevel="0" collapsed="false">
      <c r="A797" s="22" t="s">
        <v>8113</v>
      </c>
      <c r="B797" s="22" t="s">
        <v>499</v>
      </c>
      <c r="C797" s="22" t="s">
        <v>7694</v>
      </c>
      <c r="D797" s="22" t="s">
        <v>6724</v>
      </c>
      <c r="E797" s="22" t="n">
        <v>36</v>
      </c>
      <c r="F797" s="22" t="s">
        <v>6581</v>
      </c>
      <c r="G797" s="22" t="s">
        <v>7696</v>
      </c>
      <c r="H797" s="22" t="n">
        <v>13</v>
      </c>
      <c r="I797" s="22" t="s">
        <v>6582</v>
      </c>
      <c r="J797" s="22" t="s">
        <v>6577</v>
      </c>
      <c r="K797" s="22" t="s">
        <v>7396</v>
      </c>
      <c r="L797" s="22" t="s">
        <v>5369</v>
      </c>
      <c r="M797" s="22" t="s">
        <v>5370</v>
      </c>
      <c r="N797" s="22" t="s">
        <v>582</v>
      </c>
      <c r="O797" s="22" t="n">
        <v>20.4</v>
      </c>
      <c r="P797" s="22" t="n">
        <v>7.55</v>
      </c>
      <c r="Q797" s="22" t="s">
        <v>7265</v>
      </c>
      <c r="R797" s="22"/>
    </row>
    <row r="798" customFormat="false" ht="15" hidden="false" customHeight="false" outlineLevel="0" collapsed="false">
      <c r="A798" s="22" t="s">
        <v>8114</v>
      </c>
      <c r="B798" s="22" t="s">
        <v>499</v>
      </c>
      <c r="C798" s="22" t="s">
        <v>7694</v>
      </c>
      <c r="D798" s="22" t="s">
        <v>6724</v>
      </c>
      <c r="E798" s="22" t="n">
        <v>70</v>
      </c>
      <c r="F798" s="22" t="s">
        <v>7695</v>
      </c>
      <c r="G798" s="22" t="s">
        <v>7696</v>
      </c>
      <c r="H798" s="22" t="n">
        <v>22</v>
      </c>
      <c r="I798" s="22" t="s">
        <v>7697</v>
      </c>
      <c r="J798" s="22" t="s">
        <v>6671</v>
      </c>
      <c r="K798" s="22"/>
      <c r="L798" s="22"/>
      <c r="M798" s="22"/>
      <c r="N798" s="22"/>
      <c r="O798" s="22"/>
      <c r="P798" s="22" t="n">
        <v>7.55</v>
      </c>
      <c r="Q798" s="22" t="s">
        <v>7873</v>
      </c>
      <c r="R798" s="22"/>
    </row>
    <row r="799" customFormat="false" ht="15" hidden="false" customHeight="false" outlineLevel="0" collapsed="false">
      <c r="A799" s="22" t="s">
        <v>8115</v>
      </c>
      <c r="B799" s="22" t="s">
        <v>499</v>
      </c>
      <c r="C799" s="22" t="s">
        <v>7694</v>
      </c>
      <c r="D799" s="22" t="s">
        <v>6724</v>
      </c>
      <c r="E799" s="22" t="n">
        <v>70</v>
      </c>
      <c r="F799" s="22" t="s">
        <v>7695</v>
      </c>
      <c r="G799" s="22" t="s">
        <v>7696</v>
      </c>
      <c r="H799" s="22" t="n">
        <v>22</v>
      </c>
      <c r="I799" s="22" t="s">
        <v>7697</v>
      </c>
      <c r="J799" s="22" t="s">
        <v>6577</v>
      </c>
      <c r="K799" s="22" t="s">
        <v>6755</v>
      </c>
      <c r="L799" s="22" t="s">
        <v>2538</v>
      </c>
      <c r="M799" s="22" t="s">
        <v>2539</v>
      </c>
      <c r="N799" s="22" t="s">
        <v>755</v>
      </c>
      <c r="O799" s="22" t="n">
        <v>51.7</v>
      </c>
      <c r="P799" s="22" t="n">
        <v>7.55</v>
      </c>
      <c r="Q799" s="22" t="s">
        <v>8116</v>
      </c>
      <c r="R799" s="22"/>
    </row>
    <row r="800" customFormat="false" ht="15" hidden="false" customHeight="false" outlineLevel="0" collapsed="false">
      <c r="A800" s="22" t="s">
        <v>8117</v>
      </c>
      <c r="B800" s="22" t="s">
        <v>499</v>
      </c>
      <c r="C800" s="22" t="s">
        <v>7694</v>
      </c>
      <c r="D800" s="22" t="s">
        <v>6724</v>
      </c>
      <c r="E800" s="22" t="n">
        <v>32</v>
      </c>
      <c r="F800" s="22" t="s">
        <v>6581</v>
      </c>
      <c r="G800" s="22" t="s">
        <v>7696</v>
      </c>
      <c r="H800" s="22" t="n">
        <v>12</v>
      </c>
      <c r="I800" s="22" t="s">
        <v>6576</v>
      </c>
      <c r="J800" s="22" t="s">
        <v>6577</v>
      </c>
      <c r="K800" s="22" t="s">
        <v>6758</v>
      </c>
      <c r="L800" s="22" t="s">
        <v>5649</v>
      </c>
      <c r="M800" s="22" t="s">
        <v>5650</v>
      </c>
      <c r="N800" s="22" t="s">
        <v>3774</v>
      </c>
      <c r="O800" s="22" t="n">
        <v>60.7</v>
      </c>
      <c r="P800" s="22" t="n">
        <v>7.55</v>
      </c>
      <c r="Q800" s="22" t="s">
        <v>7486</v>
      </c>
      <c r="R800" s="22"/>
    </row>
    <row r="801" customFormat="false" ht="15" hidden="false" customHeight="false" outlineLevel="0" collapsed="false">
      <c r="A801" s="22" t="s">
        <v>8118</v>
      </c>
      <c r="B801" s="22" t="s">
        <v>499</v>
      </c>
      <c r="C801" s="22" t="s">
        <v>7694</v>
      </c>
      <c r="D801" s="22" t="s">
        <v>6724</v>
      </c>
      <c r="E801" s="22" t="n">
        <v>32</v>
      </c>
      <c r="F801" s="22" t="s">
        <v>6581</v>
      </c>
      <c r="G801" s="22" t="s">
        <v>7696</v>
      </c>
      <c r="H801" s="22" t="n">
        <v>12</v>
      </c>
      <c r="I801" s="22" t="s">
        <v>6576</v>
      </c>
      <c r="J801" s="22" t="s">
        <v>6734</v>
      </c>
      <c r="K801" s="22"/>
      <c r="L801" s="22"/>
      <c r="M801" s="22"/>
      <c r="N801" s="22"/>
      <c r="O801" s="22"/>
      <c r="P801" s="22" t="n">
        <v>7.55</v>
      </c>
      <c r="Q801" s="22" t="s">
        <v>8119</v>
      </c>
      <c r="R801" s="22"/>
    </row>
    <row r="802" customFormat="false" ht="15" hidden="false" customHeight="false" outlineLevel="0" collapsed="false">
      <c r="A802" s="22" t="s">
        <v>8120</v>
      </c>
      <c r="B802" s="22" t="s">
        <v>499</v>
      </c>
      <c r="C802" s="22" t="s">
        <v>7694</v>
      </c>
      <c r="D802" s="22" t="s">
        <v>6724</v>
      </c>
      <c r="E802" s="22" t="n">
        <v>32</v>
      </c>
      <c r="F802" s="22" t="s">
        <v>6581</v>
      </c>
      <c r="G802" s="22" t="s">
        <v>7696</v>
      </c>
      <c r="H802" s="22" t="n">
        <v>12</v>
      </c>
      <c r="I802" s="22" t="s">
        <v>6576</v>
      </c>
      <c r="J802" s="22" t="s">
        <v>6577</v>
      </c>
      <c r="K802" s="22" t="s">
        <v>6764</v>
      </c>
      <c r="L802" s="22" t="s">
        <v>5351</v>
      </c>
      <c r="M802" s="22" t="s">
        <v>5352</v>
      </c>
      <c r="N802" s="22" t="s">
        <v>260</v>
      </c>
      <c r="O802" s="22" t="n">
        <v>58.4</v>
      </c>
      <c r="P802" s="22" t="n">
        <v>7.55</v>
      </c>
      <c r="Q802" s="22" t="s">
        <v>8121</v>
      </c>
      <c r="R802" s="22"/>
    </row>
    <row r="803" customFormat="false" ht="15" hidden="false" customHeight="false" outlineLevel="0" collapsed="false">
      <c r="A803" s="22" t="s">
        <v>8122</v>
      </c>
      <c r="B803" s="22" t="s">
        <v>499</v>
      </c>
      <c r="C803" s="22" t="s">
        <v>7694</v>
      </c>
      <c r="D803" s="22" t="s">
        <v>6724</v>
      </c>
      <c r="E803" s="22" t="n">
        <v>32</v>
      </c>
      <c r="F803" s="22" t="s">
        <v>6581</v>
      </c>
      <c r="G803" s="22" t="s">
        <v>7696</v>
      </c>
      <c r="H803" s="22" t="n">
        <v>12</v>
      </c>
      <c r="I803" s="22" t="s">
        <v>6576</v>
      </c>
      <c r="J803" s="22" t="s">
        <v>6577</v>
      </c>
      <c r="K803" s="22" t="s">
        <v>6767</v>
      </c>
      <c r="L803" s="22" t="s">
        <v>1853</v>
      </c>
      <c r="M803" s="22" t="s">
        <v>1854</v>
      </c>
      <c r="N803" s="22" t="s">
        <v>1786</v>
      </c>
      <c r="O803" s="22" t="n">
        <v>25.6</v>
      </c>
      <c r="P803" s="22" t="n">
        <v>7.55</v>
      </c>
      <c r="Q803" s="22" t="s">
        <v>8123</v>
      </c>
      <c r="R803" s="22"/>
    </row>
    <row r="804" customFormat="false" ht="15" hidden="false" customHeight="false" outlineLevel="0" collapsed="false">
      <c r="A804" s="22" t="s">
        <v>8124</v>
      </c>
      <c r="B804" s="22" t="s">
        <v>499</v>
      </c>
      <c r="C804" s="22" t="s">
        <v>7694</v>
      </c>
      <c r="D804" s="22" t="s">
        <v>6724</v>
      </c>
      <c r="E804" s="22" t="n">
        <v>32</v>
      </c>
      <c r="F804" s="22" t="s">
        <v>6581</v>
      </c>
      <c r="G804" s="22" t="s">
        <v>7696</v>
      </c>
      <c r="H804" s="22" t="n">
        <v>12</v>
      </c>
      <c r="I804" s="22" t="s">
        <v>6576</v>
      </c>
      <c r="J804" s="22" t="s">
        <v>6577</v>
      </c>
      <c r="K804" s="22" t="s">
        <v>6770</v>
      </c>
      <c r="L804" s="22" t="s">
        <v>3233</v>
      </c>
      <c r="M804" s="22" t="s">
        <v>3234</v>
      </c>
      <c r="N804" s="22" t="s">
        <v>1207</v>
      </c>
      <c r="O804" s="22" t="n">
        <v>58.8</v>
      </c>
      <c r="P804" s="22" t="n">
        <v>7.55</v>
      </c>
      <c r="Q804" s="22" t="s">
        <v>7651</v>
      </c>
      <c r="R804" s="22"/>
    </row>
    <row r="805" customFormat="false" ht="15" hidden="false" customHeight="false" outlineLevel="0" collapsed="false">
      <c r="A805" s="22" t="s">
        <v>8125</v>
      </c>
      <c r="B805" s="22" t="s">
        <v>499</v>
      </c>
      <c r="C805" s="22" t="s">
        <v>7694</v>
      </c>
      <c r="D805" s="22" t="s">
        <v>6724</v>
      </c>
      <c r="E805" s="22" t="n">
        <v>28</v>
      </c>
      <c r="F805" s="22" t="s">
        <v>6574</v>
      </c>
      <c r="G805" s="22" t="s">
        <v>7696</v>
      </c>
      <c r="H805" s="22" t="n">
        <v>10</v>
      </c>
      <c r="I805" s="22" t="s">
        <v>6576</v>
      </c>
      <c r="J805" s="22" t="s">
        <v>6577</v>
      </c>
      <c r="K805" s="22" t="s">
        <v>6773</v>
      </c>
      <c r="L805" s="22" t="s">
        <v>520</v>
      </c>
      <c r="M805" s="22" t="s">
        <v>521</v>
      </c>
      <c r="N805" s="22" t="s">
        <v>522</v>
      </c>
      <c r="O805" s="22" t="n">
        <v>32.1</v>
      </c>
      <c r="P805" s="22" t="n">
        <v>7.55</v>
      </c>
      <c r="Q805" s="22" t="s">
        <v>8126</v>
      </c>
      <c r="R805" s="22"/>
    </row>
    <row r="806" customFormat="false" ht="15" hidden="false" customHeight="false" outlineLevel="0" collapsed="false">
      <c r="A806" s="22" t="s">
        <v>8127</v>
      </c>
      <c r="B806" s="22" t="s">
        <v>499</v>
      </c>
      <c r="C806" s="22" t="s">
        <v>7694</v>
      </c>
      <c r="D806" s="22" t="s">
        <v>6724</v>
      </c>
      <c r="E806" s="22" t="n">
        <v>28</v>
      </c>
      <c r="F806" s="22" t="s">
        <v>6574</v>
      </c>
      <c r="G806" s="22" t="s">
        <v>7696</v>
      </c>
      <c r="H806" s="22" t="n">
        <v>10</v>
      </c>
      <c r="I806" s="22" t="s">
        <v>6576</v>
      </c>
      <c r="J806" s="22" t="s">
        <v>6671</v>
      </c>
      <c r="K806" s="22"/>
      <c r="L806" s="22"/>
      <c r="M806" s="22"/>
      <c r="N806" s="22"/>
      <c r="O806" s="22"/>
      <c r="P806" s="22" t="n">
        <v>7.55</v>
      </c>
      <c r="Q806" s="22" t="s">
        <v>7740</v>
      </c>
      <c r="R806" s="22"/>
    </row>
    <row r="807" customFormat="false" ht="15" hidden="false" customHeight="false" outlineLevel="0" collapsed="false">
      <c r="A807" s="22" t="s">
        <v>8128</v>
      </c>
      <c r="B807" s="22" t="s">
        <v>499</v>
      </c>
      <c r="C807" s="22" t="s">
        <v>7694</v>
      </c>
      <c r="D807" s="22" t="s">
        <v>6724</v>
      </c>
      <c r="E807" s="22" t="n">
        <v>36</v>
      </c>
      <c r="F807" s="22" t="s">
        <v>6581</v>
      </c>
      <c r="G807" s="22" t="s">
        <v>7696</v>
      </c>
      <c r="H807" s="22" t="n">
        <v>13</v>
      </c>
      <c r="I807" s="22" t="s">
        <v>6582</v>
      </c>
      <c r="J807" s="22" t="s">
        <v>6577</v>
      </c>
      <c r="K807" s="22" t="s">
        <v>6777</v>
      </c>
      <c r="L807" s="22" t="s">
        <v>1466</v>
      </c>
      <c r="M807" s="22" t="s">
        <v>1467</v>
      </c>
      <c r="N807" s="22" t="s">
        <v>784</v>
      </c>
      <c r="O807" s="22" t="n">
        <v>42.3</v>
      </c>
      <c r="P807" s="22" t="n">
        <v>7.55</v>
      </c>
      <c r="Q807" s="22" t="s">
        <v>7514</v>
      </c>
      <c r="R807" s="22"/>
    </row>
    <row r="808" customFormat="false" ht="15" hidden="false" customHeight="false" outlineLevel="0" collapsed="false">
      <c r="A808" s="22" t="s">
        <v>8129</v>
      </c>
      <c r="B808" s="22" t="s">
        <v>499</v>
      </c>
      <c r="C808" s="22" t="s">
        <v>7694</v>
      </c>
      <c r="D808" s="22" t="s">
        <v>6724</v>
      </c>
      <c r="E808" s="22" t="n">
        <v>45</v>
      </c>
      <c r="F808" s="22" t="s">
        <v>7704</v>
      </c>
      <c r="G808" s="22" t="s">
        <v>7696</v>
      </c>
      <c r="H808" s="22" t="n">
        <v>16</v>
      </c>
      <c r="I808" s="22" t="s">
        <v>7705</v>
      </c>
      <c r="J808" s="22" t="s">
        <v>6577</v>
      </c>
      <c r="K808" s="22" t="s">
        <v>6780</v>
      </c>
      <c r="L808" s="22" t="s">
        <v>4571</v>
      </c>
      <c r="M808" s="22" t="s">
        <v>4572</v>
      </c>
      <c r="N808" s="22" t="s">
        <v>2165</v>
      </c>
      <c r="O808" s="22" t="n">
        <v>58</v>
      </c>
      <c r="P808" s="22" t="n">
        <v>7.55</v>
      </c>
      <c r="Q808" s="22" t="s">
        <v>8130</v>
      </c>
      <c r="R808" s="22"/>
    </row>
    <row r="809" customFormat="false" ht="15" hidden="false" customHeight="false" outlineLevel="0" collapsed="false">
      <c r="A809" s="22" t="s">
        <v>8131</v>
      </c>
      <c r="B809" s="22" t="s">
        <v>499</v>
      </c>
      <c r="C809" s="22" t="s">
        <v>7694</v>
      </c>
      <c r="D809" s="22" t="s">
        <v>6724</v>
      </c>
      <c r="E809" s="22" t="n">
        <v>45</v>
      </c>
      <c r="F809" s="22" t="s">
        <v>7704</v>
      </c>
      <c r="G809" s="22" t="s">
        <v>7696</v>
      </c>
      <c r="H809" s="22" t="n">
        <v>16</v>
      </c>
      <c r="I809" s="22" t="s">
        <v>7705</v>
      </c>
      <c r="J809" s="22" t="s">
        <v>6577</v>
      </c>
      <c r="K809" s="22" t="s">
        <v>6783</v>
      </c>
      <c r="L809" s="22" t="s">
        <v>2232</v>
      </c>
      <c r="M809" s="22" t="s">
        <v>2233</v>
      </c>
      <c r="N809" s="22" t="s">
        <v>361</v>
      </c>
      <c r="O809" s="22" t="n">
        <v>30.1</v>
      </c>
      <c r="P809" s="22" t="n">
        <v>7.55</v>
      </c>
      <c r="Q809" s="22" t="s">
        <v>8132</v>
      </c>
      <c r="R809" s="22"/>
    </row>
    <row r="810" customFormat="false" ht="15" hidden="false" customHeight="false" outlineLevel="0" collapsed="false">
      <c r="A810" s="22" t="s">
        <v>8133</v>
      </c>
      <c r="B810" s="22" t="s">
        <v>499</v>
      </c>
      <c r="C810" s="22" t="s">
        <v>7694</v>
      </c>
      <c r="D810" s="22" t="s">
        <v>6724</v>
      </c>
      <c r="E810" s="22" t="n">
        <v>80</v>
      </c>
      <c r="F810" s="22" t="s">
        <v>7695</v>
      </c>
      <c r="G810" s="22" t="s">
        <v>7696</v>
      </c>
      <c r="H810" s="22" t="n">
        <v>24</v>
      </c>
      <c r="I810" s="22" t="s">
        <v>7697</v>
      </c>
      <c r="J810" s="22" t="s">
        <v>6577</v>
      </c>
      <c r="K810" s="22" t="s">
        <v>6786</v>
      </c>
      <c r="L810" s="22" t="s">
        <v>4189</v>
      </c>
      <c r="M810" s="22" t="s">
        <v>4190</v>
      </c>
      <c r="N810" s="22" t="s">
        <v>1786</v>
      </c>
      <c r="O810" s="22" t="n">
        <v>54.2</v>
      </c>
      <c r="P810" s="22" t="n">
        <v>7.55</v>
      </c>
      <c r="Q810" s="22" t="s">
        <v>6904</v>
      </c>
      <c r="R810" s="22"/>
    </row>
    <row r="811" customFormat="false" ht="15" hidden="false" customHeight="false" outlineLevel="0" collapsed="false">
      <c r="A811" s="22" t="s">
        <v>8134</v>
      </c>
      <c r="B811" s="22" t="s">
        <v>499</v>
      </c>
      <c r="C811" s="22" t="s">
        <v>7694</v>
      </c>
      <c r="D811" s="22" t="s">
        <v>6791</v>
      </c>
      <c r="E811" s="22" t="n">
        <v>45</v>
      </c>
      <c r="F811" s="22" t="s">
        <v>7704</v>
      </c>
      <c r="G811" s="22" t="s">
        <v>7696</v>
      </c>
      <c r="H811" s="22" t="n">
        <v>16</v>
      </c>
      <c r="I811" s="22" t="s">
        <v>7705</v>
      </c>
      <c r="J811" s="22" t="s">
        <v>6577</v>
      </c>
      <c r="K811" s="22" t="s">
        <v>7425</v>
      </c>
      <c r="L811" s="22" t="s">
        <v>4863</v>
      </c>
      <c r="M811" s="22" t="s">
        <v>4864</v>
      </c>
      <c r="N811" s="22" t="s">
        <v>1291</v>
      </c>
      <c r="O811" s="22" t="n">
        <v>40.3</v>
      </c>
      <c r="P811" s="22" t="n">
        <v>7.55</v>
      </c>
      <c r="Q811" s="22" t="s">
        <v>8135</v>
      </c>
      <c r="R811" s="22"/>
    </row>
    <row r="812" customFormat="false" ht="15" hidden="false" customHeight="false" outlineLevel="0" collapsed="false">
      <c r="A812" s="22" t="s">
        <v>8136</v>
      </c>
      <c r="B812" s="22" t="s">
        <v>499</v>
      </c>
      <c r="C812" s="22" t="s">
        <v>7694</v>
      </c>
      <c r="D812" s="22" t="s">
        <v>6791</v>
      </c>
      <c r="E812" s="22" t="n">
        <v>24</v>
      </c>
      <c r="F812" s="22" t="s">
        <v>6574</v>
      </c>
      <c r="G812" s="22" t="s">
        <v>7696</v>
      </c>
      <c r="H812" s="22" t="n">
        <v>9</v>
      </c>
      <c r="I812" s="22" t="s">
        <v>6576</v>
      </c>
      <c r="J812" s="22" t="s">
        <v>6577</v>
      </c>
      <c r="K812" s="22" t="s">
        <v>6794</v>
      </c>
      <c r="L812" s="22" t="s">
        <v>3984</v>
      </c>
      <c r="M812" s="22" t="s">
        <v>3985</v>
      </c>
      <c r="N812" s="22" t="s">
        <v>1105</v>
      </c>
      <c r="O812" s="22" t="n">
        <v>33.6</v>
      </c>
      <c r="P812" s="22" t="n">
        <v>7.55</v>
      </c>
      <c r="Q812" s="22" t="s">
        <v>7362</v>
      </c>
      <c r="R812" s="22"/>
    </row>
    <row r="813" customFormat="false" ht="15" hidden="false" customHeight="false" outlineLevel="0" collapsed="false">
      <c r="A813" s="22" t="s">
        <v>8137</v>
      </c>
      <c r="B813" s="22" t="s">
        <v>499</v>
      </c>
      <c r="C813" s="22" t="s">
        <v>7694</v>
      </c>
      <c r="D813" s="22" t="s">
        <v>6791</v>
      </c>
      <c r="E813" s="22" t="n">
        <v>32</v>
      </c>
      <c r="F813" s="22" t="s">
        <v>6581</v>
      </c>
      <c r="G813" s="22" t="s">
        <v>7696</v>
      </c>
      <c r="H813" s="22" t="n">
        <v>12</v>
      </c>
      <c r="I813" s="22" t="s">
        <v>6576</v>
      </c>
      <c r="J813" s="22" t="s">
        <v>6577</v>
      </c>
      <c r="K813" s="22" t="s">
        <v>6797</v>
      </c>
      <c r="L813" s="22" t="s">
        <v>3501</v>
      </c>
      <c r="M813" s="22" t="s">
        <v>3502</v>
      </c>
      <c r="N813" s="22" t="s">
        <v>296</v>
      </c>
      <c r="O813" s="22" t="n">
        <v>26.3</v>
      </c>
      <c r="P813" s="22" t="n">
        <v>7.55</v>
      </c>
      <c r="Q813" s="22" t="s">
        <v>7623</v>
      </c>
      <c r="R813" s="22"/>
    </row>
    <row r="814" customFormat="false" ht="15" hidden="false" customHeight="false" outlineLevel="0" collapsed="false">
      <c r="A814" s="22" t="s">
        <v>8138</v>
      </c>
      <c r="B814" s="22" t="s">
        <v>499</v>
      </c>
      <c r="C814" s="22" t="s">
        <v>7694</v>
      </c>
      <c r="D814" s="22" t="s">
        <v>6791</v>
      </c>
      <c r="E814" s="22" t="n">
        <v>60</v>
      </c>
      <c r="F814" s="22" t="s">
        <v>7695</v>
      </c>
      <c r="G814" s="22" t="s">
        <v>7696</v>
      </c>
      <c r="H814" s="22" t="n">
        <v>20</v>
      </c>
      <c r="I814" s="22" t="s">
        <v>7697</v>
      </c>
      <c r="J814" s="22" t="s">
        <v>6577</v>
      </c>
      <c r="K814" s="22" t="s">
        <v>6800</v>
      </c>
      <c r="L814" s="22" t="s">
        <v>6082</v>
      </c>
      <c r="M814" s="22" t="s">
        <v>2200</v>
      </c>
      <c r="N814" s="22" t="s">
        <v>1408</v>
      </c>
      <c r="O814" s="22" t="n">
        <v>38.1</v>
      </c>
      <c r="P814" s="22" t="n">
        <v>7.55</v>
      </c>
      <c r="Q814" s="22" t="s">
        <v>7457</v>
      </c>
      <c r="R814" s="22"/>
    </row>
    <row r="815" customFormat="false" ht="15" hidden="false" customHeight="false" outlineLevel="0" collapsed="false">
      <c r="A815" s="22" t="s">
        <v>8139</v>
      </c>
      <c r="B815" s="22" t="s">
        <v>499</v>
      </c>
      <c r="C815" s="22" t="s">
        <v>7694</v>
      </c>
      <c r="D815" s="22" t="s">
        <v>6791</v>
      </c>
      <c r="E815" s="22" t="n">
        <v>45</v>
      </c>
      <c r="F815" s="22" t="s">
        <v>7704</v>
      </c>
      <c r="G815" s="22" t="s">
        <v>7696</v>
      </c>
      <c r="H815" s="22" t="n">
        <v>16</v>
      </c>
      <c r="I815" s="22" t="s">
        <v>7705</v>
      </c>
      <c r="J815" s="22" t="s">
        <v>6577</v>
      </c>
      <c r="K815" s="22" t="s">
        <v>6803</v>
      </c>
      <c r="L815" s="22" t="s">
        <v>984</v>
      </c>
      <c r="M815" s="22" t="s">
        <v>985</v>
      </c>
      <c r="N815" s="22" t="s">
        <v>986</v>
      </c>
      <c r="O815" s="22" t="n">
        <v>31.8</v>
      </c>
      <c r="P815" s="22" t="n">
        <v>7.55</v>
      </c>
      <c r="Q815" s="22" t="s">
        <v>7559</v>
      </c>
      <c r="R815" s="22"/>
    </row>
    <row r="816" customFormat="false" ht="15" hidden="false" customHeight="false" outlineLevel="0" collapsed="false">
      <c r="A816" s="22" t="s">
        <v>8140</v>
      </c>
      <c r="B816" s="22" t="s">
        <v>499</v>
      </c>
      <c r="C816" s="22" t="s">
        <v>7694</v>
      </c>
      <c r="D816" s="22" t="s">
        <v>6791</v>
      </c>
      <c r="E816" s="22" t="n">
        <v>28</v>
      </c>
      <c r="F816" s="22" t="s">
        <v>6574</v>
      </c>
      <c r="G816" s="22" t="s">
        <v>7696</v>
      </c>
      <c r="H816" s="22" t="n">
        <v>10</v>
      </c>
      <c r="I816" s="22" t="s">
        <v>6576</v>
      </c>
      <c r="J816" s="22" t="s">
        <v>6577</v>
      </c>
      <c r="K816" s="22" t="s">
        <v>6806</v>
      </c>
      <c r="L816" s="22" t="s">
        <v>2810</v>
      </c>
      <c r="M816" s="22" t="s">
        <v>2811</v>
      </c>
      <c r="N816" s="22" t="s">
        <v>1138</v>
      </c>
      <c r="O816" s="22" t="n">
        <v>61.4</v>
      </c>
      <c r="P816" s="22" t="n">
        <v>7.55</v>
      </c>
      <c r="Q816" s="22" t="s">
        <v>7976</v>
      </c>
      <c r="R816" s="22"/>
    </row>
    <row r="817" customFormat="false" ht="15" hidden="false" customHeight="false" outlineLevel="0" collapsed="false">
      <c r="A817" s="22" t="s">
        <v>8141</v>
      </c>
      <c r="B817" s="22" t="s">
        <v>499</v>
      </c>
      <c r="C817" s="22" t="s">
        <v>7694</v>
      </c>
      <c r="D817" s="22" t="s">
        <v>6791</v>
      </c>
      <c r="E817" s="22" t="n">
        <v>45</v>
      </c>
      <c r="F817" s="22" t="s">
        <v>7704</v>
      </c>
      <c r="G817" s="22" t="s">
        <v>7696</v>
      </c>
      <c r="H817" s="22" t="n">
        <v>16</v>
      </c>
      <c r="I817" s="22" t="s">
        <v>7705</v>
      </c>
      <c r="J817" s="22" t="s">
        <v>6577</v>
      </c>
      <c r="K817" s="22" t="s">
        <v>6809</v>
      </c>
      <c r="L817" s="22" t="s">
        <v>6105</v>
      </c>
      <c r="M817" s="22" t="s">
        <v>6106</v>
      </c>
      <c r="N817" s="22" t="s">
        <v>2563</v>
      </c>
      <c r="O817" s="22" t="n">
        <v>23.5</v>
      </c>
      <c r="P817" s="22" t="n">
        <v>7.55</v>
      </c>
      <c r="Q817" s="22" t="s">
        <v>7116</v>
      </c>
      <c r="R817" s="22"/>
    </row>
    <row r="818" customFormat="false" ht="15" hidden="false" customHeight="false" outlineLevel="0" collapsed="false">
      <c r="A818" s="22" t="s">
        <v>8142</v>
      </c>
      <c r="B818" s="22" t="s">
        <v>499</v>
      </c>
      <c r="C818" s="22" t="s">
        <v>7694</v>
      </c>
      <c r="D818" s="22" t="s">
        <v>6791</v>
      </c>
      <c r="E818" s="22" t="n">
        <v>28</v>
      </c>
      <c r="F818" s="22" t="s">
        <v>6574</v>
      </c>
      <c r="G818" s="22" t="s">
        <v>7696</v>
      </c>
      <c r="H818" s="22" t="n">
        <v>10</v>
      </c>
      <c r="I818" s="22" t="s">
        <v>6576</v>
      </c>
      <c r="J818" s="22" t="s">
        <v>6577</v>
      </c>
      <c r="K818" s="22" t="s">
        <v>6812</v>
      </c>
      <c r="L818" s="22" t="s">
        <v>1616</v>
      </c>
      <c r="M818" s="22" t="s">
        <v>1617</v>
      </c>
      <c r="N818" s="22" t="s">
        <v>525</v>
      </c>
      <c r="O818" s="22" t="n">
        <v>21</v>
      </c>
      <c r="P818" s="22" t="n">
        <v>7.55</v>
      </c>
      <c r="Q818" s="22" t="s">
        <v>7461</v>
      </c>
      <c r="R818" s="22"/>
    </row>
    <row r="819" customFormat="false" ht="15" hidden="false" customHeight="false" outlineLevel="0" collapsed="false">
      <c r="A819" s="22" t="s">
        <v>8143</v>
      </c>
      <c r="B819" s="22" t="s">
        <v>499</v>
      </c>
      <c r="C819" s="22" t="s">
        <v>7694</v>
      </c>
      <c r="D819" s="22" t="s">
        <v>6791</v>
      </c>
      <c r="E819" s="22" t="n">
        <v>45</v>
      </c>
      <c r="F819" s="22" t="s">
        <v>7704</v>
      </c>
      <c r="G819" s="22" t="s">
        <v>7696</v>
      </c>
      <c r="H819" s="22" t="n">
        <v>16</v>
      </c>
      <c r="I819" s="22" t="s">
        <v>7705</v>
      </c>
      <c r="J819" s="22" t="s">
        <v>6577</v>
      </c>
      <c r="K819" s="22" t="s">
        <v>6815</v>
      </c>
      <c r="L819" s="22" t="s">
        <v>3354</v>
      </c>
      <c r="M819" s="22" t="s">
        <v>3355</v>
      </c>
      <c r="N819" s="22" t="s">
        <v>272</v>
      </c>
      <c r="O819" s="22" t="n">
        <v>55.5</v>
      </c>
      <c r="P819" s="22" t="n">
        <v>7.55</v>
      </c>
      <c r="Q819" s="22" t="s">
        <v>7214</v>
      </c>
      <c r="R819" s="22"/>
    </row>
    <row r="820" customFormat="false" ht="15" hidden="false" customHeight="false" outlineLevel="0" collapsed="false">
      <c r="A820" s="22" t="s">
        <v>8144</v>
      </c>
      <c r="B820" s="22" t="s">
        <v>499</v>
      </c>
      <c r="C820" s="22" t="s">
        <v>7694</v>
      </c>
      <c r="D820" s="22" t="s">
        <v>6791</v>
      </c>
      <c r="E820" s="22" t="n">
        <v>70</v>
      </c>
      <c r="F820" s="22" t="s">
        <v>7695</v>
      </c>
      <c r="G820" s="22" t="s">
        <v>7696</v>
      </c>
      <c r="H820" s="22" t="n">
        <v>22</v>
      </c>
      <c r="I820" s="22" t="s">
        <v>7697</v>
      </c>
      <c r="J820" s="22" t="s">
        <v>6577</v>
      </c>
      <c r="K820" s="22" t="s">
        <v>6818</v>
      </c>
      <c r="L820" s="22" t="s">
        <v>2804</v>
      </c>
      <c r="M820" s="22" t="s">
        <v>2805</v>
      </c>
      <c r="N820" s="22" t="s">
        <v>703</v>
      </c>
      <c r="O820" s="22" t="n">
        <v>40.2</v>
      </c>
      <c r="P820" s="22" t="n">
        <v>7.55</v>
      </c>
      <c r="Q820" s="22" t="s">
        <v>7225</v>
      </c>
      <c r="R820" s="22"/>
    </row>
    <row r="821" customFormat="false" ht="15" hidden="false" customHeight="false" outlineLevel="0" collapsed="false">
      <c r="A821" s="22" t="s">
        <v>8145</v>
      </c>
      <c r="B821" s="22" t="s">
        <v>499</v>
      </c>
      <c r="C821" s="22" t="s">
        <v>7694</v>
      </c>
      <c r="D821" s="22" t="s">
        <v>6791</v>
      </c>
      <c r="E821" s="22" t="n">
        <v>32</v>
      </c>
      <c r="F821" s="22" t="s">
        <v>6581</v>
      </c>
      <c r="G821" s="22" t="s">
        <v>7696</v>
      </c>
      <c r="H821" s="22" t="n">
        <v>12</v>
      </c>
      <c r="I821" s="22" t="s">
        <v>6576</v>
      </c>
      <c r="J821" s="22" t="s">
        <v>6577</v>
      </c>
      <c r="K821" s="22" t="s">
        <v>6821</v>
      </c>
      <c r="L821" s="22" t="s">
        <v>2329</v>
      </c>
      <c r="M821" s="22" t="s">
        <v>2330</v>
      </c>
      <c r="N821" s="22" t="s">
        <v>1089</v>
      </c>
      <c r="O821" s="22" t="n">
        <v>48.1</v>
      </c>
      <c r="P821" s="22" t="n">
        <v>7.55</v>
      </c>
      <c r="Q821" s="22" t="s">
        <v>7365</v>
      </c>
      <c r="R821" s="22"/>
    </row>
    <row r="822" customFormat="false" ht="15" hidden="false" customHeight="false" outlineLevel="0" collapsed="false">
      <c r="A822" s="22" t="s">
        <v>8146</v>
      </c>
      <c r="B822" s="22" t="s">
        <v>499</v>
      </c>
      <c r="C822" s="22" t="s">
        <v>7694</v>
      </c>
      <c r="D822" s="22" t="s">
        <v>6791</v>
      </c>
      <c r="E822" s="22" t="n">
        <v>24</v>
      </c>
      <c r="F822" s="22" t="s">
        <v>6574</v>
      </c>
      <c r="G822" s="22" t="s">
        <v>7696</v>
      </c>
      <c r="H822" s="22" t="n">
        <v>9</v>
      </c>
      <c r="I822" s="22" t="s">
        <v>6576</v>
      </c>
      <c r="J822" s="22" t="s">
        <v>6577</v>
      </c>
      <c r="K822" s="22" t="s">
        <v>6824</v>
      </c>
      <c r="L822" s="22" t="s">
        <v>954</v>
      </c>
      <c r="M822" s="22" t="s">
        <v>955</v>
      </c>
      <c r="N822" s="22" t="s">
        <v>956</v>
      </c>
      <c r="O822" s="22" t="n">
        <v>35.1</v>
      </c>
      <c r="P822" s="22" t="n">
        <v>7.55</v>
      </c>
      <c r="Q822" s="22" t="s">
        <v>7844</v>
      </c>
      <c r="R822" s="22"/>
    </row>
    <row r="823" customFormat="false" ht="15" hidden="false" customHeight="false" outlineLevel="0" collapsed="false">
      <c r="A823" s="22" t="s">
        <v>8147</v>
      </c>
      <c r="B823" s="22" t="s">
        <v>499</v>
      </c>
      <c r="C823" s="22" t="s">
        <v>7694</v>
      </c>
      <c r="D823" s="22" t="s">
        <v>6791</v>
      </c>
      <c r="E823" s="22" t="n">
        <v>60</v>
      </c>
      <c r="F823" s="22" t="s">
        <v>7695</v>
      </c>
      <c r="G823" s="22" t="s">
        <v>7696</v>
      </c>
      <c r="H823" s="22" t="n">
        <v>20</v>
      </c>
      <c r="I823" s="22" t="s">
        <v>7697</v>
      </c>
      <c r="J823" s="22" t="s">
        <v>6577</v>
      </c>
      <c r="K823" s="22" t="s">
        <v>6827</v>
      </c>
      <c r="L823" s="22" t="s">
        <v>6273</v>
      </c>
      <c r="M823" s="22" t="s">
        <v>6274</v>
      </c>
      <c r="N823" s="22" t="s">
        <v>661</v>
      </c>
      <c r="O823" s="22" t="n">
        <v>24.7</v>
      </c>
      <c r="P823" s="22" t="n">
        <v>7.55</v>
      </c>
      <c r="Q823" s="22" t="s">
        <v>7557</v>
      </c>
      <c r="R823" s="22"/>
    </row>
    <row r="824" customFormat="false" ht="15" hidden="false" customHeight="false" outlineLevel="0" collapsed="false">
      <c r="A824" s="22" t="s">
        <v>8148</v>
      </c>
      <c r="B824" s="22" t="s">
        <v>499</v>
      </c>
      <c r="C824" s="22" t="s">
        <v>7694</v>
      </c>
      <c r="D824" s="22" t="s">
        <v>6791</v>
      </c>
      <c r="E824" s="22" t="n">
        <v>45</v>
      </c>
      <c r="F824" s="22" t="s">
        <v>7704</v>
      </c>
      <c r="G824" s="22" t="s">
        <v>7696</v>
      </c>
      <c r="H824" s="22" t="n">
        <v>16</v>
      </c>
      <c r="I824" s="22" t="s">
        <v>7705</v>
      </c>
      <c r="J824" s="22" t="s">
        <v>6577</v>
      </c>
      <c r="K824" s="22" t="s">
        <v>7448</v>
      </c>
      <c r="L824" s="22" t="s">
        <v>2361</v>
      </c>
      <c r="M824" s="22" t="s">
        <v>2362</v>
      </c>
      <c r="N824" s="22" t="s">
        <v>1193</v>
      </c>
      <c r="O824" s="22" t="n">
        <v>31.7</v>
      </c>
      <c r="P824" s="22" t="n">
        <v>7.55</v>
      </c>
      <c r="Q824" s="22" t="s">
        <v>6771</v>
      </c>
      <c r="R824" s="22"/>
    </row>
    <row r="825" customFormat="false" ht="15" hidden="false" customHeight="false" outlineLevel="0" collapsed="false">
      <c r="A825" s="22" t="s">
        <v>8149</v>
      </c>
      <c r="B825" s="22" t="s">
        <v>499</v>
      </c>
      <c r="C825" s="22" t="s">
        <v>7694</v>
      </c>
      <c r="D825" s="22" t="s">
        <v>6791</v>
      </c>
      <c r="E825" s="22" t="n">
        <v>24</v>
      </c>
      <c r="F825" s="22" t="s">
        <v>6574</v>
      </c>
      <c r="G825" s="22" t="s">
        <v>7696</v>
      </c>
      <c r="H825" s="22" t="n">
        <v>9</v>
      </c>
      <c r="I825" s="22" t="s">
        <v>6576</v>
      </c>
      <c r="J825" s="22" t="s">
        <v>6577</v>
      </c>
      <c r="K825" s="22" t="s">
        <v>6832</v>
      </c>
      <c r="L825" s="22" t="s">
        <v>4668</v>
      </c>
      <c r="M825" s="22" t="s">
        <v>4669</v>
      </c>
      <c r="N825" s="22" t="s">
        <v>4670</v>
      </c>
      <c r="O825" s="22" t="n">
        <v>47.9</v>
      </c>
      <c r="P825" s="22" t="n">
        <v>7.55</v>
      </c>
      <c r="Q825" s="22" t="s">
        <v>8150</v>
      </c>
      <c r="R825" s="22"/>
    </row>
    <row r="826" customFormat="false" ht="15" hidden="false" customHeight="false" outlineLevel="0" collapsed="false">
      <c r="A826" s="22" t="s">
        <v>8151</v>
      </c>
      <c r="B826" s="22" t="s">
        <v>499</v>
      </c>
      <c r="C826" s="22" t="s">
        <v>7694</v>
      </c>
      <c r="D826" s="22" t="s">
        <v>6791</v>
      </c>
      <c r="E826" s="22" t="n">
        <v>32</v>
      </c>
      <c r="F826" s="22" t="s">
        <v>6581</v>
      </c>
      <c r="G826" s="22" t="s">
        <v>7696</v>
      </c>
      <c r="H826" s="22" t="n">
        <v>12</v>
      </c>
      <c r="I826" s="22" t="s">
        <v>6576</v>
      </c>
      <c r="J826" s="22" t="s">
        <v>6577</v>
      </c>
      <c r="K826" s="22" t="s">
        <v>6835</v>
      </c>
      <c r="L826" s="22" t="s">
        <v>2006</v>
      </c>
      <c r="M826" s="22" t="s">
        <v>2007</v>
      </c>
      <c r="N826" s="22" t="s">
        <v>812</v>
      </c>
      <c r="O826" s="22" t="n">
        <v>23.7</v>
      </c>
      <c r="P826" s="22" t="n">
        <v>7.55</v>
      </c>
      <c r="Q826" s="22" t="s">
        <v>7869</v>
      </c>
      <c r="R826" s="22"/>
    </row>
    <row r="827" customFormat="false" ht="15" hidden="false" customHeight="false" outlineLevel="0" collapsed="false">
      <c r="A827" s="22" t="s">
        <v>8152</v>
      </c>
      <c r="B827" s="22" t="s">
        <v>499</v>
      </c>
      <c r="C827" s="22" t="s">
        <v>7694</v>
      </c>
      <c r="D827" s="22" t="s">
        <v>6791</v>
      </c>
      <c r="E827" s="22" t="n">
        <v>32</v>
      </c>
      <c r="F827" s="22" t="s">
        <v>6581</v>
      </c>
      <c r="G827" s="22" t="s">
        <v>7696</v>
      </c>
      <c r="H827" s="22" t="n">
        <v>12</v>
      </c>
      <c r="I827" s="22" t="s">
        <v>6576</v>
      </c>
      <c r="J827" s="22" t="s">
        <v>6577</v>
      </c>
      <c r="K827" s="22" t="s">
        <v>6838</v>
      </c>
      <c r="L827" s="22" t="s">
        <v>3551</v>
      </c>
      <c r="M827" s="22" t="s">
        <v>1863</v>
      </c>
      <c r="N827" s="22" t="s">
        <v>1138</v>
      </c>
      <c r="O827" s="22" t="n">
        <v>52.8</v>
      </c>
      <c r="P827" s="22" t="n">
        <v>7.55</v>
      </c>
      <c r="Q827" s="22" t="s">
        <v>8153</v>
      </c>
      <c r="R827" s="22"/>
    </row>
    <row r="828" customFormat="false" ht="15" hidden="false" customHeight="false" outlineLevel="0" collapsed="false">
      <c r="A828" s="22" t="s">
        <v>8154</v>
      </c>
      <c r="B828" s="22" t="s">
        <v>499</v>
      </c>
      <c r="C828" s="22" t="s">
        <v>7694</v>
      </c>
      <c r="D828" s="22" t="s">
        <v>6791</v>
      </c>
      <c r="E828" s="22" t="n">
        <v>24</v>
      </c>
      <c r="F828" s="22" t="s">
        <v>6574</v>
      </c>
      <c r="G828" s="22" t="s">
        <v>7696</v>
      </c>
      <c r="H828" s="22" t="n">
        <v>9</v>
      </c>
      <c r="I828" s="22" t="s">
        <v>6576</v>
      </c>
      <c r="J828" s="22" t="s">
        <v>6577</v>
      </c>
      <c r="K828" s="22" t="s">
        <v>6841</v>
      </c>
      <c r="L828" s="22" t="s">
        <v>5024</v>
      </c>
      <c r="M828" s="22" t="s">
        <v>5025</v>
      </c>
      <c r="N828" s="22" t="s">
        <v>248</v>
      </c>
      <c r="O828" s="22" t="n">
        <v>28.3</v>
      </c>
      <c r="P828" s="22" t="n">
        <v>7.55</v>
      </c>
      <c r="Q828" s="22" t="s">
        <v>7665</v>
      </c>
      <c r="R828" s="22"/>
    </row>
    <row r="829" customFormat="false" ht="15" hidden="false" customHeight="false" outlineLevel="0" collapsed="false">
      <c r="A829" s="22" t="s">
        <v>8155</v>
      </c>
      <c r="B829" s="22" t="s">
        <v>499</v>
      </c>
      <c r="C829" s="22" t="s">
        <v>7694</v>
      </c>
      <c r="D829" s="22" t="s">
        <v>6791</v>
      </c>
      <c r="E829" s="22" t="n">
        <v>32</v>
      </c>
      <c r="F829" s="22" t="s">
        <v>6581</v>
      </c>
      <c r="G829" s="22" t="s">
        <v>7696</v>
      </c>
      <c r="H829" s="22" t="n">
        <v>12</v>
      </c>
      <c r="I829" s="22" t="s">
        <v>6576</v>
      </c>
      <c r="J829" s="22" t="s">
        <v>6577</v>
      </c>
      <c r="K829" s="22" t="s">
        <v>6844</v>
      </c>
      <c r="L829" s="22" t="s">
        <v>6329</v>
      </c>
      <c r="M829" s="22" t="s">
        <v>6330</v>
      </c>
      <c r="N829" s="22" t="s">
        <v>2595</v>
      </c>
      <c r="O829" s="22" t="n">
        <v>27</v>
      </c>
      <c r="P829" s="22" t="n">
        <v>7.55</v>
      </c>
      <c r="Q829" s="22" t="s">
        <v>6871</v>
      </c>
      <c r="R829" s="22"/>
    </row>
    <row r="830" customFormat="false" ht="15" hidden="false" customHeight="false" outlineLevel="0" collapsed="false">
      <c r="A830" s="22" t="s">
        <v>8156</v>
      </c>
      <c r="B830" s="22" t="s">
        <v>499</v>
      </c>
      <c r="C830" s="22" t="s">
        <v>7694</v>
      </c>
      <c r="D830" s="22" t="s">
        <v>6791</v>
      </c>
      <c r="E830" s="22" t="n">
        <v>28</v>
      </c>
      <c r="F830" s="22" t="s">
        <v>6574</v>
      </c>
      <c r="G830" s="22" t="s">
        <v>7696</v>
      </c>
      <c r="H830" s="22" t="n">
        <v>10</v>
      </c>
      <c r="I830" s="22" t="s">
        <v>6576</v>
      </c>
      <c r="J830" s="22" t="s">
        <v>6577</v>
      </c>
      <c r="K830" s="22" t="s">
        <v>6847</v>
      </c>
      <c r="L830" s="22" t="s">
        <v>550</v>
      </c>
      <c r="M830" s="22" t="s">
        <v>551</v>
      </c>
      <c r="N830" s="22" t="s">
        <v>552</v>
      </c>
      <c r="O830" s="22" t="n">
        <v>18.5</v>
      </c>
      <c r="P830" s="22" t="n">
        <v>7.55</v>
      </c>
      <c r="Q830" s="22" t="s">
        <v>6713</v>
      </c>
      <c r="R830" s="22"/>
    </row>
    <row r="831" customFormat="false" ht="15" hidden="false" customHeight="false" outlineLevel="0" collapsed="false">
      <c r="A831" s="22" t="s">
        <v>8157</v>
      </c>
      <c r="B831" s="22" t="s">
        <v>499</v>
      </c>
      <c r="C831" s="22" t="s">
        <v>7694</v>
      </c>
      <c r="D831" s="22" t="s">
        <v>6791</v>
      </c>
      <c r="E831" s="22" t="n">
        <v>80</v>
      </c>
      <c r="F831" s="22" t="s">
        <v>7695</v>
      </c>
      <c r="G831" s="22" t="s">
        <v>7696</v>
      </c>
      <c r="H831" s="22" t="n">
        <v>24</v>
      </c>
      <c r="I831" s="22" t="s">
        <v>7697</v>
      </c>
      <c r="J831" s="22" t="s">
        <v>6577</v>
      </c>
      <c r="K831" s="22" t="s">
        <v>6850</v>
      </c>
      <c r="L831" s="22" t="s">
        <v>748</v>
      </c>
      <c r="M831" s="22" t="s">
        <v>749</v>
      </c>
      <c r="N831" s="22" t="s">
        <v>567</v>
      </c>
      <c r="O831" s="22" t="n">
        <v>46.6</v>
      </c>
      <c r="P831" s="22" t="n">
        <v>7.55</v>
      </c>
      <c r="Q831" s="22" t="s">
        <v>7600</v>
      </c>
      <c r="R831" s="22"/>
    </row>
    <row r="832" customFormat="false" ht="15" hidden="false" customHeight="false" outlineLevel="0" collapsed="false">
      <c r="A832" s="22" t="s">
        <v>8158</v>
      </c>
      <c r="B832" s="22" t="s">
        <v>499</v>
      </c>
      <c r="C832" s="22" t="s">
        <v>7694</v>
      </c>
      <c r="D832" s="22" t="s">
        <v>6791</v>
      </c>
      <c r="E832" s="22" t="n">
        <v>80</v>
      </c>
      <c r="F832" s="22" t="s">
        <v>7695</v>
      </c>
      <c r="G832" s="22" t="s">
        <v>7696</v>
      </c>
      <c r="H832" s="22" t="n">
        <v>24</v>
      </c>
      <c r="I832" s="22" t="s">
        <v>7697</v>
      </c>
      <c r="J832" s="22" t="s">
        <v>6577</v>
      </c>
      <c r="K832" s="22" t="s">
        <v>6852</v>
      </c>
      <c r="L832" s="22" t="s">
        <v>6337</v>
      </c>
      <c r="M832" s="22" t="s">
        <v>6338</v>
      </c>
      <c r="N832" s="22" t="s">
        <v>1690</v>
      </c>
      <c r="O832" s="22" t="n">
        <v>40.9</v>
      </c>
      <c r="P832" s="22" t="n">
        <v>7.55</v>
      </c>
      <c r="Q832" s="22" t="s">
        <v>7573</v>
      </c>
      <c r="R832" s="22"/>
    </row>
    <row r="833" customFormat="false" ht="15" hidden="false" customHeight="false" outlineLevel="0" collapsed="false">
      <c r="A833" s="22" t="s">
        <v>8159</v>
      </c>
      <c r="B833" s="22" t="s">
        <v>499</v>
      </c>
      <c r="C833" s="22" t="s">
        <v>7694</v>
      </c>
      <c r="D833" s="22" t="s">
        <v>6791</v>
      </c>
      <c r="E833" s="22" t="n">
        <v>32</v>
      </c>
      <c r="F833" s="22" t="s">
        <v>6581</v>
      </c>
      <c r="G833" s="22" t="s">
        <v>7696</v>
      </c>
      <c r="H833" s="22" t="n">
        <v>12</v>
      </c>
      <c r="I833" s="22" t="s">
        <v>6576</v>
      </c>
      <c r="J833" s="22" t="s">
        <v>6577</v>
      </c>
      <c r="K833" s="22" t="s">
        <v>6855</v>
      </c>
      <c r="L833" s="22" t="s">
        <v>2760</v>
      </c>
      <c r="M833" s="22" t="s">
        <v>2761</v>
      </c>
      <c r="N833" s="22" t="s">
        <v>857</v>
      </c>
      <c r="O833" s="22" t="n">
        <v>42</v>
      </c>
      <c r="P833" s="22" t="n">
        <v>7.55</v>
      </c>
      <c r="Q833" s="22" t="s">
        <v>7326</v>
      </c>
      <c r="R833" s="22"/>
    </row>
    <row r="834" customFormat="false" ht="15" hidden="false" customHeight="false" outlineLevel="0" collapsed="false">
      <c r="A834" s="22" t="s">
        <v>8160</v>
      </c>
      <c r="B834" s="22" t="s">
        <v>499</v>
      </c>
      <c r="C834" s="22" t="s">
        <v>7694</v>
      </c>
      <c r="D834" s="22" t="s">
        <v>6861</v>
      </c>
      <c r="E834" s="22" t="n">
        <v>40</v>
      </c>
      <c r="F834" s="22" t="s">
        <v>6581</v>
      </c>
      <c r="G834" s="22" t="s">
        <v>7696</v>
      </c>
      <c r="H834" s="22" t="n">
        <v>14</v>
      </c>
      <c r="I834" s="22" t="s">
        <v>6582</v>
      </c>
      <c r="J834" s="22" t="s">
        <v>6577</v>
      </c>
      <c r="K834" s="22" t="s">
        <v>7466</v>
      </c>
      <c r="L834" s="22" t="s">
        <v>1377</v>
      </c>
      <c r="M834" s="22" t="s">
        <v>1378</v>
      </c>
      <c r="N834" s="22" t="s">
        <v>389</v>
      </c>
      <c r="O834" s="22" t="n">
        <v>22.6</v>
      </c>
      <c r="P834" s="22" t="n">
        <v>7.55</v>
      </c>
      <c r="Q834" s="22" t="s">
        <v>7285</v>
      </c>
      <c r="R834" s="22"/>
    </row>
    <row r="835" customFormat="false" ht="15" hidden="false" customHeight="false" outlineLevel="0" collapsed="false">
      <c r="A835" s="22" t="s">
        <v>8161</v>
      </c>
      <c r="B835" s="22" t="s">
        <v>499</v>
      </c>
      <c r="C835" s="22" t="s">
        <v>7694</v>
      </c>
      <c r="D835" s="22" t="s">
        <v>6861</v>
      </c>
      <c r="E835" s="22" t="n">
        <v>60</v>
      </c>
      <c r="F835" s="22" t="s">
        <v>7695</v>
      </c>
      <c r="G835" s="22" t="s">
        <v>7696</v>
      </c>
      <c r="H835" s="22" t="n">
        <v>20</v>
      </c>
      <c r="I835" s="22" t="s">
        <v>7697</v>
      </c>
      <c r="J835" s="22" t="s">
        <v>6577</v>
      </c>
      <c r="K835" s="22" t="s">
        <v>6864</v>
      </c>
      <c r="L835" s="22" t="s">
        <v>5857</v>
      </c>
      <c r="M835" s="22" t="s">
        <v>5858</v>
      </c>
      <c r="N835" s="22" t="s">
        <v>1824</v>
      </c>
      <c r="O835" s="22" t="n">
        <v>36.5</v>
      </c>
      <c r="P835" s="22" t="n">
        <v>7.55</v>
      </c>
      <c r="Q835" s="22" t="s">
        <v>8162</v>
      </c>
      <c r="R835" s="22"/>
    </row>
    <row r="836" customFormat="false" ht="15" hidden="false" customHeight="false" outlineLevel="0" collapsed="false">
      <c r="A836" s="22" t="s">
        <v>8163</v>
      </c>
      <c r="B836" s="22" t="s">
        <v>499</v>
      </c>
      <c r="C836" s="22" t="s">
        <v>7694</v>
      </c>
      <c r="D836" s="22" t="s">
        <v>6861</v>
      </c>
      <c r="E836" s="22" t="n">
        <v>32</v>
      </c>
      <c r="F836" s="22" t="s">
        <v>6581</v>
      </c>
      <c r="G836" s="22" t="s">
        <v>7696</v>
      </c>
      <c r="H836" s="22" t="n">
        <v>12</v>
      </c>
      <c r="I836" s="22" t="s">
        <v>6576</v>
      </c>
      <c r="J836" s="22" t="s">
        <v>6577</v>
      </c>
      <c r="K836" s="22" t="s">
        <v>6867</v>
      </c>
      <c r="L836" s="22" t="s">
        <v>1482</v>
      </c>
      <c r="M836" s="22" t="s">
        <v>1483</v>
      </c>
      <c r="N836" s="22" t="s">
        <v>1484</v>
      </c>
      <c r="O836" s="22" t="n">
        <v>43.9</v>
      </c>
      <c r="P836" s="22" t="n">
        <v>7.55</v>
      </c>
      <c r="Q836" s="22" t="s">
        <v>8164</v>
      </c>
      <c r="R836" s="22"/>
    </row>
    <row r="837" customFormat="false" ht="15" hidden="false" customHeight="false" outlineLevel="0" collapsed="false">
      <c r="A837" s="22" t="s">
        <v>8165</v>
      </c>
      <c r="B837" s="22" t="s">
        <v>499</v>
      </c>
      <c r="C837" s="22" t="s">
        <v>7694</v>
      </c>
      <c r="D837" s="22" t="s">
        <v>6861</v>
      </c>
      <c r="E837" s="22" t="n">
        <v>50</v>
      </c>
      <c r="F837" s="22" t="s">
        <v>7704</v>
      </c>
      <c r="G837" s="22" t="s">
        <v>7696</v>
      </c>
      <c r="H837" s="22" t="n">
        <v>18</v>
      </c>
      <c r="I837" s="22" t="s">
        <v>7705</v>
      </c>
      <c r="J837" s="22" t="s">
        <v>6577</v>
      </c>
      <c r="K837" s="22" t="s">
        <v>6870</v>
      </c>
      <c r="L837" s="22" t="s">
        <v>1497</v>
      </c>
      <c r="M837" s="22" t="s">
        <v>1498</v>
      </c>
      <c r="N837" s="22" t="s">
        <v>1499</v>
      </c>
      <c r="O837" s="22" t="n">
        <v>25.2</v>
      </c>
      <c r="P837" s="22" t="n">
        <v>7.55</v>
      </c>
      <c r="Q837" s="22" t="s">
        <v>8166</v>
      </c>
      <c r="R837" s="22"/>
    </row>
    <row r="838" customFormat="false" ht="15" hidden="false" customHeight="false" outlineLevel="0" collapsed="false">
      <c r="A838" s="22" t="s">
        <v>8167</v>
      </c>
      <c r="B838" s="22" t="s">
        <v>499</v>
      </c>
      <c r="C838" s="22" t="s">
        <v>7694</v>
      </c>
      <c r="D838" s="22" t="s">
        <v>6861</v>
      </c>
      <c r="E838" s="22" t="n">
        <v>60</v>
      </c>
      <c r="F838" s="22" t="s">
        <v>7695</v>
      </c>
      <c r="G838" s="22" t="s">
        <v>7696</v>
      </c>
      <c r="H838" s="22" t="n">
        <v>20</v>
      </c>
      <c r="I838" s="22" t="s">
        <v>7697</v>
      </c>
      <c r="J838" s="22" t="s">
        <v>6577</v>
      </c>
      <c r="K838" s="22" t="s">
        <v>6873</v>
      </c>
      <c r="L838" s="22" t="s">
        <v>423</v>
      </c>
      <c r="M838" s="22" t="s">
        <v>424</v>
      </c>
      <c r="N838" s="22" t="s">
        <v>425</v>
      </c>
      <c r="O838" s="22" t="n">
        <v>54.3</v>
      </c>
      <c r="P838" s="22" t="n">
        <v>7.55</v>
      </c>
      <c r="Q838" s="22" t="s">
        <v>8168</v>
      </c>
      <c r="R838" s="22"/>
    </row>
    <row r="839" customFormat="false" ht="15" hidden="false" customHeight="false" outlineLevel="0" collapsed="false">
      <c r="A839" s="22" t="s">
        <v>8169</v>
      </c>
      <c r="B839" s="22" t="s">
        <v>499</v>
      </c>
      <c r="C839" s="22" t="s">
        <v>7694</v>
      </c>
      <c r="D839" s="22" t="s">
        <v>6861</v>
      </c>
      <c r="E839" s="22" t="n">
        <v>45</v>
      </c>
      <c r="F839" s="22" t="s">
        <v>7704</v>
      </c>
      <c r="G839" s="22" t="s">
        <v>7696</v>
      </c>
      <c r="H839" s="22" t="n">
        <v>16</v>
      </c>
      <c r="I839" s="22" t="s">
        <v>7705</v>
      </c>
      <c r="J839" s="22" t="s">
        <v>6577</v>
      </c>
      <c r="K839" s="22" t="s">
        <v>6876</v>
      </c>
      <c r="L839" s="22" t="s">
        <v>5969</v>
      </c>
      <c r="M839" s="22" t="s">
        <v>5970</v>
      </c>
      <c r="N839" s="22" t="s">
        <v>410</v>
      </c>
      <c r="O839" s="22" t="n">
        <v>25.2</v>
      </c>
      <c r="P839" s="22" t="n">
        <v>7.55</v>
      </c>
      <c r="Q839" s="22" t="s">
        <v>6584</v>
      </c>
      <c r="R839" s="22"/>
    </row>
    <row r="840" customFormat="false" ht="15" hidden="false" customHeight="false" outlineLevel="0" collapsed="false">
      <c r="A840" s="22" t="s">
        <v>8170</v>
      </c>
      <c r="B840" s="22" t="s">
        <v>499</v>
      </c>
      <c r="C840" s="22" t="s">
        <v>7694</v>
      </c>
      <c r="D840" s="22" t="s">
        <v>6861</v>
      </c>
      <c r="E840" s="22" t="n">
        <v>24</v>
      </c>
      <c r="F840" s="22" t="s">
        <v>6574</v>
      </c>
      <c r="G840" s="22" t="s">
        <v>7696</v>
      </c>
      <c r="H840" s="22" t="n">
        <v>9</v>
      </c>
      <c r="I840" s="22" t="s">
        <v>6576</v>
      </c>
      <c r="J840" s="22" t="s">
        <v>6577</v>
      </c>
      <c r="K840" s="22" t="s">
        <v>6879</v>
      </c>
      <c r="L840" s="22" t="s">
        <v>4848</v>
      </c>
      <c r="M840" s="22" t="s">
        <v>4849</v>
      </c>
      <c r="N840" s="22" t="s">
        <v>3038</v>
      </c>
      <c r="O840" s="22" t="n">
        <v>38.3</v>
      </c>
      <c r="P840" s="22" t="n">
        <v>7.55</v>
      </c>
      <c r="Q840" s="22" t="s">
        <v>8171</v>
      </c>
      <c r="R840" s="22"/>
    </row>
    <row r="841" customFormat="false" ht="15" hidden="false" customHeight="false" outlineLevel="0" collapsed="false">
      <c r="A841" s="22" t="s">
        <v>8172</v>
      </c>
      <c r="B841" s="22" t="s">
        <v>499</v>
      </c>
      <c r="C841" s="22" t="s">
        <v>7694</v>
      </c>
      <c r="D841" s="22" t="s">
        <v>6861</v>
      </c>
      <c r="E841" s="22" t="n">
        <v>70</v>
      </c>
      <c r="F841" s="22" t="s">
        <v>7695</v>
      </c>
      <c r="G841" s="22" t="s">
        <v>7696</v>
      </c>
      <c r="H841" s="22" t="n">
        <v>22</v>
      </c>
      <c r="I841" s="22" t="s">
        <v>7697</v>
      </c>
      <c r="J841" s="22" t="s">
        <v>6577</v>
      </c>
      <c r="K841" s="22" t="s">
        <v>6881</v>
      </c>
      <c r="L841" s="22" t="s">
        <v>6124</v>
      </c>
      <c r="M841" s="22" t="s">
        <v>6125</v>
      </c>
      <c r="N841" s="22" t="s">
        <v>2258</v>
      </c>
      <c r="O841" s="22" t="n">
        <v>25.9</v>
      </c>
      <c r="P841" s="22" t="n">
        <v>7.55</v>
      </c>
      <c r="Q841" s="22" t="s">
        <v>6654</v>
      </c>
      <c r="R841" s="22"/>
    </row>
    <row r="842" customFormat="false" ht="15" hidden="false" customHeight="false" outlineLevel="0" collapsed="false">
      <c r="A842" s="22" t="s">
        <v>8173</v>
      </c>
      <c r="B842" s="22" t="s">
        <v>499</v>
      </c>
      <c r="C842" s="22" t="s">
        <v>7694</v>
      </c>
      <c r="D842" s="22" t="s">
        <v>6861</v>
      </c>
      <c r="E842" s="22" t="n">
        <v>45</v>
      </c>
      <c r="F842" s="22" t="s">
        <v>7704</v>
      </c>
      <c r="G842" s="22" t="s">
        <v>7696</v>
      </c>
      <c r="H842" s="22" t="n">
        <v>16</v>
      </c>
      <c r="I842" s="22" t="s">
        <v>7705</v>
      </c>
      <c r="J842" s="22" t="s">
        <v>6577</v>
      </c>
      <c r="K842" s="22" t="s">
        <v>6883</v>
      </c>
      <c r="L842" s="22" t="s">
        <v>6433</v>
      </c>
      <c r="M842" s="22" t="s">
        <v>6434</v>
      </c>
      <c r="N842" s="22" t="s">
        <v>361</v>
      </c>
      <c r="O842" s="22" t="n">
        <v>35.6</v>
      </c>
      <c r="P842" s="22" t="n">
        <v>7.55</v>
      </c>
      <c r="Q842" s="22" t="s">
        <v>8174</v>
      </c>
      <c r="R842" s="22"/>
    </row>
    <row r="843" customFormat="false" ht="15" hidden="false" customHeight="false" outlineLevel="0" collapsed="false">
      <c r="A843" s="22" t="s">
        <v>8175</v>
      </c>
      <c r="B843" s="22" t="s">
        <v>499</v>
      </c>
      <c r="C843" s="22" t="s">
        <v>7694</v>
      </c>
      <c r="D843" s="22" t="s">
        <v>6861</v>
      </c>
      <c r="E843" s="22" t="n">
        <v>24</v>
      </c>
      <c r="F843" s="22" t="s">
        <v>6574</v>
      </c>
      <c r="G843" s="22" t="s">
        <v>7696</v>
      </c>
      <c r="H843" s="22" t="n">
        <v>9</v>
      </c>
      <c r="I843" s="22" t="s">
        <v>6576</v>
      </c>
      <c r="J843" s="22" t="s">
        <v>6734</v>
      </c>
      <c r="K843" s="22"/>
      <c r="L843" s="22"/>
      <c r="M843" s="22"/>
      <c r="N843" s="22"/>
      <c r="O843" s="22"/>
      <c r="P843" s="22" t="n">
        <v>7.55</v>
      </c>
      <c r="Q843" s="22" t="s">
        <v>6816</v>
      </c>
      <c r="R843" s="22"/>
    </row>
    <row r="844" customFormat="false" ht="15" hidden="false" customHeight="false" outlineLevel="0" collapsed="false">
      <c r="A844" s="22" t="s">
        <v>8176</v>
      </c>
      <c r="B844" s="22" t="s">
        <v>499</v>
      </c>
      <c r="C844" s="22" t="s">
        <v>7694</v>
      </c>
      <c r="D844" s="22" t="s">
        <v>6861</v>
      </c>
      <c r="E844" s="22" t="n">
        <v>70</v>
      </c>
      <c r="F844" s="22" t="s">
        <v>7695</v>
      </c>
      <c r="G844" s="22" t="s">
        <v>7696</v>
      </c>
      <c r="H844" s="22" t="n">
        <v>22</v>
      </c>
      <c r="I844" s="22" t="s">
        <v>7697</v>
      </c>
      <c r="J844" s="22" t="s">
        <v>6577</v>
      </c>
      <c r="K844" s="22" t="s">
        <v>6889</v>
      </c>
      <c r="L844" s="22" t="s">
        <v>4330</v>
      </c>
      <c r="M844" s="22" t="s">
        <v>4331</v>
      </c>
      <c r="N844" s="22" t="s">
        <v>266</v>
      </c>
      <c r="O844" s="22" t="n">
        <v>28.7</v>
      </c>
      <c r="P844" s="22" t="n">
        <v>7.55</v>
      </c>
      <c r="Q844" s="22" t="s">
        <v>7518</v>
      </c>
      <c r="R844" s="22"/>
    </row>
    <row r="845" customFormat="false" ht="15" hidden="false" customHeight="false" outlineLevel="0" collapsed="false">
      <c r="A845" s="22" t="s">
        <v>8177</v>
      </c>
      <c r="B845" s="22" t="s">
        <v>499</v>
      </c>
      <c r="C845" s="22" t="s">
        <v>7694</v>
      </c>
      <c r="D845" s="22" t="s">
        <v>6861</v>
      </c>
      <c r="E845" s="22" t="n">
        <v>32</v>
      </c>
      <c r="F845" s="22" t="s">
        <v>6581</v>
      </c>
      <c r="G845" s="22" t="s">
        <v>7696</v>
      </c>
      <c r="H845" s="22" t="n">
        <v>12</v>
      </c>
      <c r="I845" s="22" t="s">
        <v>6576</v>
      </c>
      <c r="J845" s="22" t="s">
        <v>6577</v>
      </c>
      <c r="K845" s="22" t="s">
        <v>6892</v>
      </c>
      <c r="L845" s="22" t="s">
        <v>6471</v>
      </c>
      <c r="M845" s="22" t="s">
        <v>6472</v>
      </c>
      <c r="N845" s="22" t="s">
        <v>1821</v>
      </c>
      <c r="O845" s="22" t="n">
        <v>37</v>
      </c>
      <c r="P845" s="22" t="n">
        <v>7.55</v>
      </c>
      <c r="Q845" s="22" t="s">
        <v>7548</v>
      </c>
      <c r="R845" s="22"/>
    </row>
    <row r="846" customFormat="false" ht="15" hidden="false" customHeight="false" outlineLevel="0" collapsed="false">
      <c r="A846" s="22" t="s">
        <v>8178</v>
      </c>
      <c r="B846" s="22" t="s">
        <v>499</v>
      </c>
      <c r="C846" s="22" t="s">
        <v>7694</v>
      </c>
      <c r="D846" s="22" t="s">
        <v>6861</v>
      </c>
      <c r="E846" s="22" t="n">
        <v>32</v>
      </c>
      <c r="F846" s="22" t="s">
        <v>6581</v>
      </c>
      <c r="G846" s="22" t="s">
        <v>7696</v>
      </c>
      <c r="H846" s="22" t="n">
        <v>12</v>
      </c>
      <c r="I846" s="22" t="s">
        <v>6576</v>
      </c>
      <c r="J846" s="22" t="s">
        <v>6577</v>
      </c>
      <c r="K846" s="22" t="s">
        <v>6895</v>
      </c>
      <c r="L846" s="22" t="s">
        <v>4824</v>
      </c>
      <c r="M846" s="22" t="s">
        <v>4825</v>
      </c>
      <c r="N846" s="22" t="s">
        <v>1390</v>
      </c>
      <c r="O846" s="22" t="n">
        <v>51.6</v>
      </c>
      <c r="P846" s="22" t="n">
        <v>7.55</v>
      </c>
      <c r="Q846" s="22" t="s">
        <v>8179</v>
      </c>
      <c r="R846" s="22"/>
    </row>
    <row r="847" customFormat="false" ht="15" hidden="false" customHeight="false" outlineLevel="0" collapsed="false">
      <c r="A847" s="22" t="s">
        <v>8180</v>
      </c>
      <c r="B847" s="22" t="s">
        <v>499</v>
      </c>
      <c r="C847" s="22" t="s">
        <v>7694</v>
      </c>
      <c r="D847" s="22" t="s">
        <v>6861</v>
      </c>
      <c r="E847" s="22" t="n">
        <v>40</v>
      </c>
      <c r="F847" s="22" t="s">
        <v>6581</v>
      </c>
      <c r="G847" s="22" t="s">
        <v>7696</v>
      </c>
      <c r="H847" s="22" t="n">
        <v>14</v>
      </c>
      <c r="I847" s="22" t="s">
        <v>6582</v>
      </c>
      <c r="J847" s="22" t="s">
        <v>6577</v>
      </c>
      <c r="K847" s="22" t="s">
        <v>6898</v>
      </c>
      <c r="L847" s="22" t="s">
        <v>5022</v>
      </c>
      <c r="M847" s="22" t="s">
        <v>5023</v>
      </c>
      <c r="N847" s="22" t="s">
        <v>457</v>
      </c>
      <c r="O847" s="22" t="n">
        <v>32.5</v>
      </c>
      <c r="P847" s="22" t="n">
        <v>7.55</v>
      </c>
      <c r="Q847" s="22" t="s">
        <v>7294</v>
      </c>
      <c r="R847" s="22"/>
    </row>
    <row r="848" customFormat="false" ht="15" hidden="false" customHeight="false" outlineLevel="0" collapsed="false">
      <c r="A848" s="22" t="s">
        <v>8181</v>
      </c>
      <c r="B848" s="22" t="s">
        <v>499</v>
      </c>
      <c r="C848" s="22" t="s">
        <v>7694</v>
      </c>
      <c r="D848" s="22" t="s">
        <v>6861</v>
      </c>
      <c r="E848" s="22" t="n">
        <v>32</v>
      </c>
      <c r="F848" s="22" t="s">
        <v>6581</v>
      </c>
      <c r="G848" s="22" t="s">
        <v>7696</v>
      </c>
      <c r="H848" s="22" t="n">
        <v>12</v>
      </c>
      <c r="I848" s="22" t="s">
        <v>6576</v>
      </c>
      <c r="J848" s="22" t="s">
        <v>6577</v>
      </c>
      <c r="K848" s="22" t="s">
        <v>7485</v>
      </c>
      <c r="L848" s="22" t="s">
        <v>2696</v>
      </c>
      <c r="M848" s="22" t="s">
        <v>2697</v>
      </c>
      <c r="N848" s="22" t="s">
        <v>538</v>
      </c>
      <c r="O848" s="22" t="n">
        <v>18.1</v>
      </c>
      <c r="P848" s="22" t="n">
        <v>7.55</v>
      </c>
      <c r="Q848" s="22" t="s">
        <v>7259</v>
      </c>
      <c r="R848" s="22"/>
    </row>
    <row r="849" customFormat="false" ht="15" hidden="false" customHeight="false" outlineLevel="0" collapsed="false">
      <c r="A849" s="22" t="s">
        <v>8182</v>
      </c>
      <c r="B849" s="22" t="s">
        <v>499</v>
      </c>
      <c r="C849" s="22" t="s">
        <v>7694</v>
      </c>
      <c r="D849" s="22" t="s">
        <v>6861</v>
      </c>
      <c r="E849" s="22" t="n">
        <v>70</v>
      </c>
      <c r="F849" s="22" t="s">
        <v>7695</v>
      </c>
      <c r="G849" s="22" t="s">
        <v>7696</v>
      </c>
      <c r="H849" s="22" t="n">
        <v>22</v>
      </c>
      <c r="I849" s="22" t="s">
        <v>7697</v>
      </c>
      <c r="J849" s="22" t="s">
        <v>6577</v>
      </c>
      <c r="K849" s="22" t="s">
        <v>6903</v>
      </c>
      <c r="L849" s="22" t="s">
        <v>374</v>
      </c>
      <c r="M849" s="22" t="s">
        <v>375</v>
      </c>
      <c r="N849" s="22" t="s">
        <v>376</v>
      </c>
      <c r="O849" s="22" t="n">
        <v>52.3</v>
      </c>
      <c r="P849" s="22" t="n">
        <v>7.55</v>
      </c>
      <c r="Q849" s="22" t="s">
        <v>7455</v>
      </c>
      <c r="R849" s="22"/>
    </row>
    <row r="850" customFormat="false" ht="15" hidden="false" customHeight="false" outlineLevel="0" collapsed="false">
      <c r="A850" s="22" t="s">
        <v>8183</v>
      </c>
      <c r="B850" s="22" t="s">
        <v>499</v>
      </c>
      <c r="C850" s="22" t="s">
        <v>7694</v>
      </c>
      <c r="D850" s="22" t="s">
        <v>6861</v>
      </c>
      <c r="E850" s="22" t="n">
        <v>24</v>
      </c>
      <c r="F850" s="22" t="s">
        <v>6574</v>
      </c>
      <c r="G850" s="22" t="s">
        <v>7696</v>
      </c>
      <c r="H850" s="22" t="n">
        <v>9</v>
      </c>
      <c r="I850" s="22" t="s">
        <v>6576</v>
      </c>
      <c r="J850" s="22" t="s">
        <v>6577</v>
      </c>
      <c r="K850" s="22" t="s">
        <v>6906</v>
      </c>
      <c r="L850" s="22" t="s">
        <v>2608</v>
      </c>
      <c r="M850" s="22" t="s">
        <v>2609</v>
      </c>
      <c r="N850" s="22" t="s">
        <v>2610</v>
      </c>
      <c r="O850" s="22" t="n">
        <v>46.9</v>
      </c>
      <c r="P850" s="22" t="n">
        <v>7.55</v>
      </c>
      <c r="Q850" s="22" t="s">
        <v>7812</v>
      </c>
      <c r="R850" s="22"/>
    </row>
    <row r="851" customFormat="false" ht="15" hidden="false" customHeight="false" outlineLevel="0" collapsed="false">
      <c r="A851" s="22" t="s">
        <v>8184</v>
      </c>
      <c r="B851" s="22" t="s">
        <v>499</v>
      </c>
      <c r="C851" s="22" t="s">
        <v>7694</v>
      </c>
      <c r="D851" s="22" t="s">
        <v>6861</v>
      </c>
      <c r="E851" s="22" t="n">
        <v>80</v>
      </c>
      <c r="F851" s="22" t="s">
        <v>7695</v>
      </c>
      <c r="G851" s="22" t="s">
        <v>7696</v>
      </c>
      <c r="H851" s="22" t="n">
        <v>24</v>
      </c>
      <c r="I851" s="22" t="s">
        <v>7697</v>
      </c>
      <c r="J851" s="22" t="s">
        <v>6577</v>
      </c>
      <c r="K851" s="22" t="s">
        <v>6909</v>
      </c>
      <c r="L851" s="22" t="s">
        <v>3109</v>
      </c>
      <c r="M851" s="22" t="s">
        <v>3110</v>
      </c>
      <c r="N851" s="22" t="s">
        <v>2394</v>
      </c>
      <c r="O851" s="22" t="n">
        <v>54.3</v>
      </c>
      <c r="P851" s="22" t="n">
        <v>7.55</v>
      </c>
      <c r="Q851" s="22" t="s">
        <v>8185</v>
      </c>
      <c r="R851" s="22"/>
    </row>
    <row r="852" customFormat="false" ht="15" hidden="false" customHeight="false" outlineLevel="0" collapsed="false">
      <c r="A852" s="22" t="s">
        <v>8186</v>
      </c>
      <c r="B852" s="22" t="s">
        <v>499</v>
      </c>
      <c r="C852" s="22" t="s">
        <v>7694</v>
      </c>
      <c r="D852" s="22" t="s">
        <v>6861</v>
      </c>
      <c r="E852" s="22" t="n">
        <v>40</v>
      </c>
      <c r="F852" s="22" t="s">
        <v>6581</v>
      </c>
      <c r="G852" s="22" t="s">
        <v>7696</v>
      </c>
      <c r="H852" s="22" t="n">
        <v>14</v>
      </c>
      <c r="I852" s="22" t="s">
        <v>6582</v>
      </c>
      <c r="J852" s="22" t="s">
        <v>6577</v>
      </c>
      <c r="K852" s="22" t="s">
        <v>6912</v>
      </c>
      <c r="L852" s="22" t="s">
        <v>5278</v>
      </c>
      <c r="M852" s="22" t="s">
        <v>5279</v>
      </c>
      <c r="N852" s="22" t="s">
        <v>672</v>
      </c>
      <c r="O852" s="22" t="n">
        <v>33.7</v>
      </c>
      <c r="P852" s="22" t="n">
        <v>7.55</v>
      </c>
      <c r="Q852" s="22" t="s">
        <v>8008</v>
      </c>
      <c r="R852" s="22"/>
    </row>
    <row r="853" customFormat="false" ht="15" hidden="false" customHeight="false" outlineLevel="0" collapsed="false">
      <c r="A853" s="22" t="s">
        <v>8187</v>
      </c>
      <c r="B853" s="22" t="s">
        <v>499</v>
      </c>
      <c r="C853" s="22" t="s">
        <v>7694</v>
      </c>
      <c r="D853" s="22" t="s">
        <v>6861</v>
      </c>
      <c r="E853" s="22" t="n">
        <v>70</v>
      </c>
      <c r="F853" s="22" t="s">
        <v>7695</v>
      </c>
      <c r="G853" s="22" t="s">
        <v>7696</v>
      </c>
      <c r="H853" s="22" t="n">
        <v>22</v>
      </c>
      <c r="I853" s="22" t="s">
        <v>7697</v>
      </c>
      <c r="J853" s="22" t="s">
        <v>6577</v>
      </c>
      <c r="K853" s="22" t="s">
        <v>6915</v>
      </c>
      <c r="L853" s="22" t="s">
        <v>909</v>
      </c>
      <c r="M853" s="22" t="s">
        <v>910</v>
      </c>
      <c r="N853" s="22" t="s">
        <v>911</v>
      </c>
      <c r="O853" s="22" t="n">
        <v>61.4</v>
      </c>
      <c r="P853" s="22" t="n">
        <v>7.55</v>
      </c>
      <c r="Q853" s="22" t="s">
        <v>7282</v>
      </c>
      <c r="R853" s="22"/>
    </row>
    <row r="854" customFormat="false" ht="15" hidden="false" customHeight="false" outlineLevel="0" collapsed="false">
      <c r="A854" s="22" t="s">
        <v>8188</v>
      </c>
      <c r="B854" s="22" t="s">
        <v>499</v>
      </c>
      <c r="C854" s="22" t="s">
        <v>7694</v>
      </c>
      <c r="D854" s="22" t="s">
        <v>6861</v>
      </c>
      <c r="E854" s="22" t="n">
        <v>80</v>
      </c>
      <c r="F854" s="22" t="s">
        <v>7695</v>
      </c>
      <c r="G854" s="22" t="s">
        <v>7696</v>
      </c>
      <c r="H854" s="22" t="n">
        <v>24</v>
      </c>
      <c r="I854" s="22" t="s">
        <v>7697</v>
      </c>
      <c r="J854" s="22" t="s">
        <v>6577</v>
      </c>
      <c r="K854" s="22" t="s">
        <v>6918</v>
      </c>
      <c r="L854" s="22" t="s">
        <v>1610</v>
      </c>
      <c r="M854" s="22" t="s">
        <v>1341</v>
      </c>
      <c r="N854" s="22" t="s">
        <v>1611</v>
      </c>
      <c r="O854" s="22" t="n">
        <v>19.9</v>
      </c>
      <c r="P854" s="22" t="n">
        <v>7.55</v>
      </c>
      <c r="Q854" s="22" t="s">
        <v>6632</v>
      </c>
      <c r="R854" s="22"/>
    </row>
    <row r="855" customFormat="false" ht="15" hidden="false" customHeight="false" outlineLevel="0" collapsed="false">
      <c r="A855" s="22" t="s">
        <v>8189</v>
      </c>
      <c r="B855" s="22" t="s">
        <v>499</v>
      </c>
      <c r="C855" s="22" t="s">
        <v>7694</v>
      </c>
      <c r="D855" s="22" t="s">
        <v>6861</v>
      </c>
      <c r="E855" s="22" t="n">
        <v>28</v>
      </c>
      <c r="F855" s="22" t="s">
        <v>6574</v>
      </c>
      <c r="G855" s="22" t="s">
        <v>7696</v>
      </c>
      <c r="H855" s="22" t="n">
        <v>10</v>
      </c>
      <c r="I855" s="22" t="s">
        <v>6576</v>
      </c>
      <c r="J855" s="22" t="s">
        <v>6577</v>
      </c>
      <c r="K855" s="22" t="s">
        <v>6921</v>
      </c>
      <c r="L855" s="22" t="s">
        <v>5105</v>
      </c>
      <c r="M855" s="22" t="s">
        <v>5106</v>
      </c>
      <c r="N855" s="22" t="s">
        <v>1220</v>
      </c>
      <c r="O855" s="22" t="n">
        <v>46.7</v>
      </c>
      <c r="P855" s="22" t="n">
        <v>7.55</v>
      </c>
      <c r="Q855" s="22" t="s">
        <v>8190</v>
      </c>
      <c r="R855" s="22"/>
    </row>
    <row r="856" customFormat="false" ht="15" hidden="false" customHeight="false" outlineLevel="0" collapsed="false">
      <c r="A856" s="22" t="s">
        <v>8191</v>
      </c>
      <c r="B856" s="22" t="s">
        <v>499</v>
      </c>
      <c r="C856" s="22" t="s">
        <v>7694</v>
      </c>
      <c r="D856" s="22" t="s">
        <v>6861</v>
      </c>
      <c r="E856" s="22" t="n">
        <v>28</v>
      </c>
      <c r="F856" s="22" t="s">
        <v>6574</v>
      </c>
      <c r="G856" s="22" t="s">
        <v>7696</v>
      </c>
      <c r="H856" s="22" t="n">
        <v>10</v>
      </c>
      <c r="I856" s="22" t="s">
        <v>6576</v>
      </c>
      <c r="J856" s="22" t="s">
        <v>6577</v>
      </c>
      <c r="K856" s="22" t="s">
        <v>6924</v>
      </c>
      <c r="L856" s="22" t="s">
        <v>2916</v>
      </c>
      <c r="M856" s="22" t="s">
        <v>2917</v>
      </c>
      <c r="N856" s="22" t="s">
        <v>2918</v>
      </c>
      <c r="O856" s="22" t="n">
        <v>41.9</v>
      </c>
      <c r="P856" s="22" t="n">
        <v>7.55</v>
      </c>
      <c r="Q856" s="22" t="s">
        <v>8192</v>
      </c>
      <c r="R856" s="22"/>
    </row>
    <row r="857" customFormat="false" ht="15" hidden="false" customHeight="false" outlineLevel="0" collapsed="false">
      <c r="A857" s="22" t="s">
        <v>8193</v>
      </c>
      <c r="B857" s="22" t="s">
        <v>499</v>
      </c>
      <c r="C857" s="22" t="s">
        <v>7694</v>
      </c>
      <c r="D857" s="22" t="s">
        <v>6929</v>
      </c>
      <c r="E857" s="22" t="n">
        <v>32</v>
      </c>
      <c r="F857" s="22" t="s">
        <v>6581</v>
      </c>
      <c r="G857" s="22" t="s">
        <v>7696</v>
      </c>
      <c r="H857" s="22" t="n">
        <v>12</v>
      </c>
      <c r="I857" s="22" t="s">
        <v>6576</v>
      </c>
      <c r="J857" s="22" t="s">
        <v>6577</v>
      </c>
      <c r="K857" s="22" t="s">
        <v>6930</v>
      </c>
      <c r="L857" s="22" t="s">
        <v>446</v>
      </c>
      <c r="M857" s="22" t="s">
        <v>447</v>
      </c>
      <c r="N857" s="22" t="s">
        <v>448</v>
      </c>
      <c r="O857" s="22" t="n">
        <v>19.1</v>
      </c>
      <c r="P857" s="22" t="n">
        <v>7.55</v>
      </c>
      <c r="Q857" s="22" t="s">
        <v>8194</v>
      </c>
      <c r="R857" s="22"/>
    </row>
    <row r="858" customFormat="false" ht="15" hidden="false" customHeight="false" outlineLevel="0" collapsed="false">
      <c r="A858" s="22" t="s">
        <v>8195</v>
      </c>
      <c r="B858" s="22" t="s">
        <v>499</v>
      </c>
      <c r="C858" s="22" t="s">
        <v>7694</v>
      </c>
      <c r="D858" s="22" t="s">
        <v>6929</v>
      </c>
      <c r="E858" s="22" t="n">
        <v>50</v>
      </c>
      <c r="F858" s="22" t="s">
        <v>7704</v>
      </c>
      <c r="G858" s="22" t="s">
        <v>7696</v>
      </c>
      <c r="H858" s="22" t="n">
        <v>18</v>
      </c>
      <c r="I858" s="22" t="s">
        <v>7705</v>
      </c>
      <c r="J858" s="22" t="s">
        <v>6613</v>
      </c>
      <c r="K858" s="22"/>
      <c r="L858" s="22"/>
      <c r="M858" s="22"/>
      <c r="N858" s="22"/>
      <c r="O858" s="22"/>
      <c r="P858" s="22" t="n">
        <v>7.55</v>
      </c>
      <c r="Q858" s="22" t="s">
        <v>7759</v>
      </c>
      <c r="R858" s="22"/>
    </row>
    <row r="859" customFormat="false" ht="15" hidden="false" customHeight="false" outlineLevel="0" collapsed="false">
      <c r="A859" s="22" t="s">
        <v>8196</v>
      </c>
      <c r="B859" s="22" t="s">
        <v>499</v>
      </c>
      <c r="C859" s="22" t="s">
        <v>7694</v>
      </c>
      <c r="D859" s="22" t="s">
        <v>6929</v>
      </c>
      <c r="E859" s="22" t="n">
        <v>70</v>
      </c>
      <c r="F859" s="22" t="s">
        <v>7695</v>
      </c>
      <c r="G859" s="22" t="s">
        <v>7696</v>
      </c>
      <c r="H859" s="22" t="n">
        <v>22</v>
      </c>
      <c r="I859" s="22" t="s">
        <v>7697</v>
      </c>
      <c r="J859" s="22" t="s">
        <v>6577</v>
      </c>
      <c r="K859" s="22" t="s">
        <v>6936</v>
      </c>
      <c r="L859" s="22" t="s">
        <v>2837</v>
      </c>
      <c r="M859" s="22" t="s">
        <v>2838</v>
      </c>
      <c r="N859" s="22" t="s">
        <v>2116</v>
      </c>
      <c r="O859" s="22" t="n">
        <v>30.9</v>
      </c>
      <c r="P859" s="22" t="n">
        <v>7.55</v>
      </c>
      <c r="Q859" s="22" t="s">
        <v>7732</v>
      </c>
      <c r="R859" s="22"/>
    </row>
    <row r="860" customFormat="false" ht="15" hidden="false" customHeight="false" outlineLevel="0" collapsed="false">
      <c r="A860" s="22" t="s">
        <v>8197</v>
      </c>
      <c r="B860" s="22" t="s">
        <v>499</v>
      </c>
      <c r="C860" s="22" t="s">
        <v>7694</v>
      </c>
      <c r="D860" s="22" t="s">
        <v>6929</v>
      </c>
      <c r="E860" s="22" t="n">
        <v>70</v>
      </c>
      <c r="F860" s="22" t="s">
        <v>7695</v>
      </c>
      <c r="G860" s="22" t="s">
        <v>7696</v>
      </c>
      <c r="H860" s="22" t="n">
        <v>22</v>
      </c>
      <c r="I860" s="22" t="s">
        <v>7697</v>
      </c>
      <c r="J860" s="22" t="s">
        <v>6577</v>
      </c>
      <c r="K860" s="22" t="s">
        <v>6939</v>
      </c>
      <c r="L860" s="22" t="s">
        <v>4260</v>
      </c>
      <c r="M860" s="22" t="s">
        <v>4261</v>
      </c>
      <c r="N860" s="22" t="s">
        <v>463</v>
      </c>
      <c r="O860" s="22" t="n">
        <v>41.2</v>
      </c>
      <c r="P860" s="22" t="n">
        <v>7.55</v>
      </c>
      <c r="Q860" s="22" t="s">
        <v>8198</v>
      </c>
      <c r="R860" s="22"/>
    </row>
    <row r="861" customFormat="false" ht="15" hidden="false" customHeight="false" outlineLevel="0" collapsed="false">
      <c r="A861" s="22" t="s">
        <v>8199</v>
      </c>
      <c r="B861" s="22" t="s">
        <v>499</v>
      </c>
      <c r="C861" s="22" t="s">
        <v>7694</v>
      </c>
      <c r="D861" s="22" t="s">
        <v>6929</v>
      </c>
      <c r="E861" s="22" t="n">
        <v>24</v>
      </c>
      <c r="F861" s="22" t="s">
        <v>6574</v>
      </c>
      <c r="G861" s="22" t="s">
        <v>7696</v>
      </c>
      <c r="H861" s="22" t="n">
        <v>9</v>
      </c>
      <c r="I861" s="22" t="s">
        <v>6576</v>
      </c>
      <c r="J861" s="22" t="s">
        <v>6577</v>
      </c>
      <c r="K861" s="22" t="s">
        <v>6942</v>
      </c>
      <c r="L861" s="22" t="s">
        <v>5469</v>
      </c>
      <c r="M861" s="22" t="s">
        <v>5470</v>
      </c>
      <c r="N861" s="22" t="s">
        <v>835</v>
      </c>
      <c r="O861" s="22" t="n">
        <v>60.9</v>
      </c>
      <c r="P861" s="22" t="n">
        <v>7.55</v>
      </c>
      <c r="Q861" s="22" t="s">
        <v>8200</v>
      </c>
      <c r="R861" s="22"/>
    </row>
    <row r="862" customFormat="false" ht="15" hidden="false" customHeight="false" outlineLevel="0" collapsed="false">
      <c r="A862" s="22" t="s">
        <v>8201</v>
      </c>
      <c r="B862" s="22" t="s">
        <v>499</v>
      </c>
      <c r="C862" s="22" t="s">
        <v>7694</v>
      </c>
      <c r="D862" s="22" t="s">
        <v>6929</v>
      </c>
      <c r="E862" s="22" t="n">
        <v>60</v>
      </c>
      <c r="F862" s="22" t="s">
        <v>7695</v>
      </c>
      <c r="G862" s="22" t="s">
        <v>7696</v>
      </c>
      <c r="H862" s="22" t="n">
        <v>20</v>
      </c>
      <c r="I862" s="22" t="s">
        <v>7697</v>
      </c>
      <c r="J862" s="22" t="s">
        <v>6577</v>
      </c>
      <c r="K862" s="22" t="s">
        <v>6945</v>
      </c>
      <c r="L862" s="22" t="s">
        <v>894</v>
      </c>
      <c r="M862" s="22" t="s">
        <v>895</v>
      </c>
      <c r="N862" s="22" t="s">
        <v>896</v>
      </c>
      <c r="O862" s="22" t="n">
        <v>31.3</v>
      </c>
      <c r="P862" s="22" t="n">
        <v>7.55</v>
      </c>
      <c r="Q862" s="22" t="s">
        <v>6781</v>
      </c>
      <c r="R862" s="22"/>
    </row>
    <row r="863" customFormat="false" ht="15" hidden="false" customHeight="false" outlineLevel="0" collapsed="false">
      <c r="A863" s="22" t="s">
        <v>8202</v>
      </c>
      <c r="B863" s="22" t="s">
        <v>499</v>
      </c>
      <c r="C863" s="22" t="s">
        <v>7694</v>
      </c>
      <c r="D863" s="22" t="s">
        <v>6929</v>
      </c>
      <c r="E863" s="22" t="n">
        <v>60</v>
      </c>
      <c r="F863" s="22" t="s">
        <v>7695</v>
      </c>
      <c r="G863" s="22" t="s">
        <v>7696</v>
      </c>
      <c r="H863" s="22" t="n">
        <v>20</v>
      </c>
      <c r="I863" s="22" t="s">
        <v>7697</v>
      </c>
      <c r="J863" s="22" t="s">
        <v>6577</v>
      </c>
      <c r="K863" s="22" t="s">
        <v>6948</v>
      </c>
      <c r="L863" s="22" t="s">
        <v>2375</v>
      </c>
      <c r="M863" s="22" t="s">
        <v>2376</v>
      </c>
      <c r="N863" s="22" t="s">
        <v>2001</v>
      </c>
      <c r="O863" s="22" t="n">
        <v>29.8</v>
      </c>
      <c r="P863" s="22" t="n">
        <v>7.55</v>
      </c>
      <c r="Q863" s="22" t="s">
        <v>8078</v>
      </c>
      <c r="R863" s="22"/>
    </row>
    <row r="864" customFormat="false" ht="15" hidden="false" customHeight="false" outlineLevel="0" collapsed="false">
      <c r="A864" s="22" t="s">
        <v>8203</v>
      </c>
      <c r="B864" s="22" t="s">
        <v>499</v>
      </c>
      <c r="C864" s="22" t="s">
        <v>7694</v>
      </c>
      <c r="D864" s="22" t="s">
        <v>6929</v>
      </c>
      <c r="E864" s="22" t="n">
        <v>70</v>
      </c>
      <c r="F864" s="22" t="s">
        <v>7695</v>
      </c>
      <c r="G864" s="22" t="s">
        <v>7696</v>
      </c>
      <c r="H864" s="22" t="n">
        <v>22</v>
      </c>
      <c r="I864" s="22" t="s">
        <v>7697</v>
      </c>
      <c r="J864" s="22" t="s">
        <v>6577</v>
      </c>
      <c r="K864" s="22" t="s">
        <v>6951</v>
      </c>
      <c r="L864" s="22" t="s">
        <v>3288</v>
      </c>
      <c r="M864" s="22" t="s">
        <v>3289</v>
      </c>
      <c r="N864" s="22" t="s">
        <v>1833</v>
      </c>
      <c r="O864" s="22" t="n">
        <v>53.7</v>
      </c>
      <c r="P864" s="22" t="n">
        <v>7.55</v>
      </c>
      <c r="Q864" s="22" t="s">
        <v>6987</v>
      </c>
      <c r="R864" s="22"/>
    </row>
    <row r="865" customFormat="false" ht="15" hidden="false" customHeight="false" outlineLevel="0" collapsed="false">
      <c r="A865" s="22" t="s">
        <v>8204</v>
      </c>
      <c r="B865" s="22" t="s">
        <v>499</v>
      </c>
      <c r="C865" s="22" t="s">
        <v>7694</v>
      </c>
      <c r="D865" s="22" t="s">
        <v>6929</v>
      </c>
      <c r="E865" s="22" t="n">
        <v>24</v>
      </c>
      <c r="F865" s="22" t="s">
        <v>6574</v>
      </c>
      <c r="G865" s="22" t="s">
        <v>7696</v>
      </c>
      <c r="H865" s="22" t="n">
        <v>9</v>
      </c>
      <c r="I865" s="22" t="s">
        <v>6576</v>
      </c>
      <c r="J865" s="22" t="s">
        <v>6577</v>
      </c>
      <c r="K865" s="22" t="s">
        <v>6954</v>
      </c>
      <c r="L865" s="22" t="s">
        <v>4556</v>
      </c>
      <c r="M865" s="22" t="s">
        <v>4557</v>
      </c>
      <c r="N865" s="22" t="s">
        <v>546</v>
      </c>
      <c r="O865" s="22" t="n">
        <v>28.3</v>
      </c>
      <c r="P865" s="22" t="n">
        <v>7.55</v>
      </c>
      <c r="Q865" s="22" t="s">
        <v>7446</v>
      </c>
      <c r="R865" s="22"/>
    </row>
    <row r="866" customFormat="false" ht="15" hidden="false" customHeight="false" outlineLevel="0" collapsed="false">
      <c r="A866" s="22" t="s">
        <v>8205</v>
      </c>
      <c r="B866" s="22" t="s">
        <v>499</v>
      </c>
      <c r="C866" s="22" t="s">
        <v>7694</v>
      </c>
      <c r="D866" s="22" t="s">
        <v>6929</v>
      </c>
      <c r="E866" s="22" t="n">
        <v>32</v>
      </c>
      <c r="F866" s="22" t="s">
        <v>6581</v>
      </c>
      <c r="G866" s="22" t="s">
        <v>7696</v>
      </c>
      <c r="H866" s="22" t="n">
        <v>12</v>
      </c>
      <c r="I866" s="22" t="s">
        <v>6576</v>
      </c>
      <c r="J866" s="22" t="s">
        <v>6577</v>
      </c>
      <c r="K866" s="22" t="s">
        <v>6957</v>
      </c>
      <c r="L866" s="22" t="s">
        <v>753</v>
      </c>
      <c r="M866" s="22" t="s">
        <v>754</v>
      </c>
      <c r="N866" s="22" t="s">
        <v>755</v>
      </c>
      <c r="O866" s="22" t="n">
        <v>41.9</v>
      </c>
      <c r="P866" s="22" t="n">
        <v>7.55</v>
      </c>
      <c r="Q866" s="22" t="s">
        <v>7421</v>
      </c>
      <c r="R866" s="22"/>
    </row>
    <row r="867" customFormat="false" ht="15" hidden="false" customHeight="false" outlineLevel="0" collapsed="false">
      <c r="A867" s="22" t="s">
        <v>8206</v>
      </c>
      <c r="B867" s="22" t="s">
        <v>499</v>
      </c>
      <c r="C867" s="22" t="s">
        <v>7694</v>
      </c>
      <c r="D867" s="22" t="s">
        <v>6929</v>
      </c>
      <c r="E867" s="22" t="n">
        <v>24</v>
      </c>
      <c r="F867" s="22" t="s">
        <v>6574</v>
      </c>
      <c r="G867" s="22" t="s">
        <v>7696</v>
      </c>
      <c r="H867" s="22" t="n">
        <v>9</v>
      </c>
      <c r="I867" s="22" t="s">
        <v>6576</v>
      </c>
      <c r="J867" s="22" t="s">
        <v>6671</v>
      </c>
      <c r="K867" s="22"/>
      <c r="L867" s="22"/>
      <c r="M867" s="22"/>
      <c r="N867" s="22"/>
      <c r="O867" s="22"/>
      <c r="P867" s="22" t="n">
        <v>7.55</v>
      </c>
      <c r="Q867" s="22" t="s">
        <v>7116</v>
      </c>
      <c r="R867" s="22"/>
    </row>
    <row r="868" customFormat="false" ht="15" hidden="false" customHeight="false" outlineLevel="0" collapsed="false">
      <c r="A868" s="22" t="s">
        <v>8207</v>
      </c>
      <c r="B868" s="22" t="s">
        <v>499</v>
      </c>
      <c r="C868" s="22" t="s">
        <v>7694</v>
      </c>
      <c r="D868" s="22" t="s">
        <v>6929</v>
      </c>
      <c r="E868" s="22" t="n">
        <v>32</v>
      </c>
      <c r="F868" s="22" t="s">
        <v>6581</v>
      </c>
      <c r="G868" s="22" t="s">
        <v>7696</v>
      </c>
      <c r="H868" s="22" t="n">
        <v>12</v>
      </c>
      <c r="I868" s="22" t="s">
        <v>6576</v>
      </c>
      <c r="J868" s="22" t="s">
        <v>6577</v>
      </c>
      <c r="K868" s="22" t="s">
        <v>6963</v>
      </c>
      <c r="L868" s="22" t="s">
        <v>4671</v>
      </c>
      <c r="M868" s="22" t="s">
        <v>4672</v>
      </c>
      <c r="N868" s="22" t="s">
        <v>1548</v>
      </c>
      <c r="O868" s="22" t="n">
        <v>21</v>
      </c>
      <c r="P868" s="22" t="n">
        <v>7.55</v>
      </c>
      <c r="Q868" s="22" t="s">
        <v>8208</v>
      </c>
      <c r="R868" s="22"/>
    </row>
    <row r="869" customFormat="false" ht="15" hidden="false" customHeight="false" outlineLevel="0" collapsed="false">
      <c r="A869" s="22" t="s">
        <v>8209</v>
      </c>
      <c r="B869" s="22" t="s">
        <v>499</v>
      </c>
      <c r="C869" s="22" t="s">
        <v>7694</v>
      </c>
      <c r="D869" s="22" t="s">
        <v>6929</v>
      </c>
      <c r="E869" s="22" t="n">
        <v>28</v>
      </c>
      <c r="F869" s="22" t="s">
        <v>6574</v>
      </c>
      <c r="G869" s="22" t="s">
        <v>7696</v>
      </c>
      <c r="H869" s="22" t="n">
        <v>10</v>
      </c>
      <c r="I869" s="22" t="s">
        <v>6576</v>
      </c>
      <c r="J869" s="22" t="s">
        <v>6577</v>
      </c>
      <c r="K869" s="22" t="s">
        <v>6966</v>
      </c>
      <c r="L869" s="22" t="s">
        <v>3556</v>
      </c>
      <c r="M869" s="22" t="s">
        <v>3557</v>
      </c>
      <c r="N869" s="22" t="s">
        <v>333</v>
      </c>
      <c r="O869" s="22" t="n">
        <v>30.7</v>
      </c>
      <c r="P869" s="22" t="n">
        <v>7.55</v>
      </c>
      <c r="Q869" s="22" t="s">
        <v>7536</v>
      </c>
      <c r="R869" s="22"/>
    </row>
    <row r="870" customFormat="false" ht="15" hidden="false" customHeight="false" outlineLevel="0" collapsed="false">
      <c r="A870" s="22" t="s">
        <v>8210</v>
      </c>
      <c r="B870" s="22" t="s">
        <v>499</v>
      </c>
      <c r="C870" s="22" t="s">
        <v>7694</v>
      </c>
      <c r="D870" s="22" t="s">
        <v>6929</v>
      </c>
      <c r="E870" s="22" t="n">
        <v>32</v>
      </c>
      <c r="F870" s="22" t="s">
        <v>6581</v>
      </c>
      <c r="G870" s="22" t="s">
        <v>7696</v>
      </c>
      <c r="H870" s="22" t="n">
        <v>12</v>
      </c>
      <c r="I870" s="22" t="s">
        <v>6576</v>
      </c>
      <c r="J870" s="22" t="s">
        <v>6577</v>
      </c>
      <c r="K870" s="22" t="s">
        <v>6969</v>
      </c>
      <c r="L870" s="22" t="s">
        <v>2629</v>
      </c>
      <c r="M870" s="22" t="s">
        <v>2630</v>
      </c>
      <c r="N870" s="22" t="s">
        <v>890</v>
      </c>
      <c r="O870" s="22" t="n">
        <v>55.7</v>
      </c>
      <c r="P870" s="22" t="n">
        <v>7.55</v>
      </c>
      <c r="Q870" s="22" t="s">
        <v>7411</v>
      </c>
      <c r="R870" s="22"/>
    </row>
    <row r="871" customFormat="false" ht="15" hidden="false" customHeight="false" outlineLevel="0" collapsed="false">
      <c r="A871" s="22" t="s">
        <v>8211</v>
      </c>
      <c r="B871" s="22" t="s">
        <v>499</v>
      </c>
      <c r="C871" s="22" t="s">
        <v>7694</v>
      </c>
      <c r="D871" s="22" t="s">
        <v>6929</v>
      </c>
      <c r="E871" s="22" t="n">
        <v>24</v>
      </c>
      <c r="F871" s="22" t="s">
        <v>6574</v>
      </c>
      <c r="G871" s="22" t="s">
        <v>7696</v>
      </c>
      <c r="H871" s="22" t="n">
        <v>9</v>
      </c>
      <c r="I871" s="22" t="s">
        <v>6576</v>
      </c>
      <c r="J871" s="22" t="s">
        <v>6577</v>
      </c>
      <c r="K871" s="22" t="s">
        <v>6972</v>
      </c>
      <c r="L871" s="22" t="s">
        <v>1978</v>
      </c>
      <c r="M871" s="22" t="s">
        <v>1979</v>
      </c>
      <c r="N871" s="22" t="s">
        <v>799</v>
      </c>
      <c r="O871" s="22" t="n">
        <v>58.3</v>
      </c>
      <c r="P871" s="22" t="n">
        <v>7.55</v>
      </c>
      <c r="Q871" s="22" t="s">
        <v>7432</v>
      </c>
      <c r="R871" s="22"/>
    </row>
    <row r="872" customFormat="false" ht="15" hidden="false" customHeight="false" outlineLevel="0" collapsed="false">
      <c r="A872" s="22" t="s">
        <v>8212</v>
      </c>
      <c r="B872" s="22" t="s">
        <v>499</v>
      </c>
      <c r="C872" s="22" t="s">
        <v>7694</v>
      </c>
      <c r="D872" s="22" t="s">
        <v>6929</v>
      </c>
      <c r="E872" s="22" t="n">
        <v>45</v>
      </c>
      <c r="F872" s="22" t="s">
        <v>7704</v>
      </c>
      <c r="G872" s="22" t="s">
        <v>7696</v>
      </c>
      <c r="H872" s="22" t="n">
        <v>16</v>
      </c>
      <c r="I872" s="22" t="s">
        <v>7705</v>
      </c>
      <c r="J872" s="22" t="s">
        <v>6734</v>
      </c>
      <c r="K872" s="22"/>
      <c r="L872" s="22"/>
      <c r="M872" s="22"/>
      <c r="N872" s="22"/>
      <c r="O872" s="22"/>
      <c r="P872" s="22" t="n">
        <v>7.55</v>
      </c>
      <c r="Q872" s="22" t="s">
        <v>8213</v>
      </c>
      <c r="R872" s="22"/>
    </row>
    <row r="873" customFormat="false" ht="15" hidden="false" customHeight="false" outlineLevel="0" collapsed="false">
      <c r="A873" s="22" t="s">
        <v>8214</v>
      </c>
      <c r="B873" s="22" t="s">
        <v>499</v>
      </c>
      <c r="C873" s="22" t="s">
        <v>7694</v>
      </c>
      <c r="D873" s="22" t="s">
        <v>6929</v>
      </c>
      <c r="E873" s="22" t="n">
        <v>32</v>
      </c>
      <c r="F873" s="22" t="s">
        <v>6581</v>
      </c>
      <c r="G873" s="22" t="s">
        <v>7696</v>
      </c>
      <c r="H873" s="22" t="n">
        <v>12</v>
      </c>
      <c r="I873" s="22" t="s">
        <v>6576</v>
      </c>
      <c r="J873" s="22" t="s">
        <v>6577</v>
      </c>
      <c r="K873" s="22" t="s">
        <v>6978</v>
      </c>
      <c r="L873" s="22" t="s">
        <v>3503</v>
      </c>
      <c r="M873" s="22" t="s">
        <v>3504</v>
      </c>
      <c r="N873" s="22" t="s">
        <v>2389</v>
      </c>
      <c r="O873" s="22" t="n">
        <v>50.2</v>
      </c>
      <c r="P873" s="22" t="n">
        <v>7.55</v>
      </c>
      <c r="Q873" s="22" t="s">
        <v>8215</v>
      </c>
      <c r="R873" s="22"/>
    </row>
    <row r="874" customFormat="false" ht="15" hidden="false" customHeight="false" outlineLevel="0" collapsed="false">
      <c r="A874" s="22" t="s">
        <v>8216</v>
      </c>
      <c r="B874" s="22" t="s">
        <v>499</v>
      </c>
      <c r="C874" s="22" t="s">
        <v>7694</v>
      </c>
      <c r="D874" s="22" t="s">
        <v>6929</v>
      </c>
      <c r="E874" s="22" t="n">
        <v>24</v>
      </c>
      <c r="F874" s="22" t="s">
        <v>6574</v>
      </c>
      <c r="G874" s="22" t="s">
        <v>7696</v>
      </c>
      <c r="H874" s="22" t="n">
        <v>9</v>
      </c>
      <c r="I874" s="22" t="s">
        <v>6576</v>
      </c>
      <c r="J874" s="22" t="s">
        <v>6577</v>
      </c>
      <c r="K874" s="22" t="s">
        <v>6981</v>
      </c>
      <c r="L874" s="22" t="s">
        <v>5673</v>
      </c>
      <c r="M874" s="22" t="s">
        <v>5674</v>
      </c>
      <c r="N874" s="22" t="s">
        <v>1847</v>
      </c>
      <c r="O874" s="22" t="n">
        <v>30.5</v>
      </c>
      <c r="P874" s="22" t="n">
        <v>7.55</v>
      </c>
      <c r="Q874" s="22" t="s">
        <v>7225</v>
      </c>
      <c r="R874" s="22"/>
    </row>
    <row r="875" customFormat="false" ht="15" hidden="false" customHeight="false" outlineLevel="0" collapsed="false">
      <c r="A875" s="22" t="s">
        <v>8217</v>
      </c>
      <c r="B875" s="22" t="s">
        <v>499</v>
      </c>
      <c r="C875" s="22" t="s">
        <v>7694</v>
      </c>
      <c r="D875" s="22" t="s">
        <v>6929</v>
      </c>
      <c r="E875" s="22" t="n">
        <v>45</v>
      </c>
      <c r="F875" s="22" t="s">
        <v>7704</v>
      </c>
      <c r="G875" s="22" t="s">
        <v>7696</v>
      </c>
      <c r="H875" s="22" t="n">
        <v>16</v>
      </c>
      <c r="I875" s="22" t="s">
        <v>7705</v>
      </c>
      <c r="J875" s="22" t="s">
        <v>6577</v>
      </c>
      <c r="K875" s="22" t="s">
        <v>7531</v>
      </c>
      <c r="L875" s="22" t="s">
        <v>4953</v>
      </c>
      <c r="M875" s="22" t="s">
        <v>4954</v>
      </c>
      <c r="N875" s="22" t="s">
        <v>1675</v>
      </c>
      <c r="O875" s="22" t="n">
        <v>28.6</v>
      </c>
      <c r="P875" s="22" t="n">
        <v>7.55</v>
      </c>
      <c r="Q875" s="22" t="s">
        <v>7282</v>
      </c>
      <c r="R875" s="22"/>
    </row>
    <row r="876" customFormat="false" ht="15" hidden="false" customHeight="false" outlineLevel="0" collapsed="false">
      <c r="A876" s="22" t="s">
        <v>8218</v>
      </c>
      <c r="B876" s="22" t="s">
        <v>499</v>
      </c>
      <c r="C876" s="22" t="s">
        <v>7694</v>
      </c>
      <c r="D876" s="22" t="s">
        <v>6929</v>
      </c>
      <c r="E876" s="22" t="n">
        <v>70</v>
      </c>
      <c r="F876" s="22" t="s">
        <v>7695</v>
      </c>
      <c r="G876" s="22" t="s">
        <v>7696</v>
      </c>
      <c r="H876" s="22" t="n">
        <v>22</v>
      </c>
      <c r="I876" s="22" t="s">
        <v>7697</v>
      </c>
      <c r="J876" s="22" t="s">
        <v>6577</v>
      </c>
      <c r="K876" s="22" t="s">
        <v>6986</v>
      </c>
      <c r="L876" s="22" t="s">
        <v>1149</v>
      </c>
      <c r="M876" s="22" t="s">
        <v>1150</v>
      </c>
      <c r="N876" s="22" t="s">
        <v>230</v>
      </c>
      <c r="O876" s="22" t="n">
        <v>39.9</v>
      </c>
      <c r="P876" s="22" t="n">
        <v>7.55</v>
      </c>
      <c r="Q876" s="22" t="s">
        <v>8121</v>
      </c>
      <c r="R876" s="22"/>
    </row>
    <row r="877" customFormat="false" ht="15" hidden="false" customHeight="false" outlineLevel="0" collapsed="false">
      <c r="A877" s="22" t="s">
        <v>8219</v>
      </c>
      <c r="B877" s="22" t="s">
        <v>499</v>
      </c>
      <c r="C877" s="22" t="s">
        <v>7694</v>
      </c>
      <c r="D877" s="22" t="s">
        <v>6929</v>
      </c>
      <c r="E877" s="22" t="n">
        <v>28</v>
      </c>
      <c r="F877" s="22" t="s">
        <v>6574</v>
      </c>
      <c r="G877" s="22" t="s">
        <v>7696</v>
      </c>
      <c r="H877" s="22" t="n">
        <v>10</v>
      </c>
      <c r="I877" s="22" t="s">
        <v>6576</v>
      </c>
      <c r="J877" s="22" t="s">
        <v>6577</v>
      </c>
      <c r="K877" s="22" t="s">
        <v>6989</v>
      </c>
      <c r="L877" s="22" t="s">
        <v>5929</v>
      </c>
      <c r="M877" s="22" t="s">
        <v>5930</v>
      </c>
      <c r="N877" s="22" t="s">
        <v>1637</v>
      </c>
      <c r="O877" s="22" t="n">
        <v>36.1</v>
      </c>
      <c r="P877" s="22" t="n">
        <v>7.55</v>
      </c>
      <c r="Q877" s="22" t="s">
        <v>6890</v>
      </c>
      <c r="R877" s="22"/>
    </row>
    <row r="878" customFormat="false" ht="15" hidden="false" customHeight="false" outlineLevel="0" collapsed="false">
      <c r="A878" s="22" t="s">
        <v>8220</v>
      </c>
      <c r="B878" s="22" t="s">
        <v>499</v>
      </c>
      <c r="C878" s="22" t="s">
        <v>7694</v>
      </c>
      <c r="D878" s="22" t="s">
        <v>6929</v>
      </c>
      <c r="E878" s="22" t="n">
        <v>60</v>
      </c>
      <c r="F878" s="22" t="s">
        <v>7695</v>
      </c>
      <c r="G878" s="22" t="s">
        <v>7696</v>
      </c>
      <c r="H878" s="22" t="n">
        <v>20</v>
      </c>
      <c r="I878" s="22" t="s">
        <v>7697</v>
      </c>
      <c r="J878" s="22" t="s">
        <v>6577</v>
      </c>
      <c r="K878" s="22" t="s">
        <v>6992</v>
      </c>
      <c r="L878" s="22" t="s">
        <v>382</v>
      </c>
      <c r="M878" s="22" t="s">
        <v>383</v>
      </c>
      <c r="N878" s="22" t="s">
        <v>269</v>
      </c>
      <c r="O878" s="22" t="n">
        <v>53.2</v>
      </c>
      <c r="P878" s="22" t="n">
        <v>7.55</v>
      </c>
      <c r="Q878" s="22" t="s">
        <v>7423</v>
      </c>
      <c r="R878" s="22"/>
    </row>
    <row r="879" customFormat="false" ht="15" hidden="false" customHeight="false" outlineLevel="0" collapsed="false">
      <c r="A879" s="22" t="s">
        <v>8221</v>
      </c>
      <c r="B879" s="22" t="s">
        <v>499</v>
      </c>
      <c r="C879" s="22" t="s">
        <v>7694</v>
      </c>
      <c r="D879" s="22" t="s">
        <v>6929</v>
      </c>
      <c r="E879" s="22" t="n">
        <v>70</v>
      </c>
      <c r="F879" s="22" t="s">
        <v>7695</v>
      </c>
      <c r="G879" s="22" t="s">
        <v>7696</v>
      </c>
      <c r="H879" s="22" t="n">
        <v>22</v>
      </c>
      <c r="I879" s="22" t="s">
        <v>7697</v>
      </c>
      <c r="J879" s="22" t="s">
        <v>6577</v>
      </c>
      <c r="K879" s="22" t="s">
        <v>6995</v>
      </c>
      <c r="L879" s="22" t="s">
        <v>6374</v>
      </c>
      <c r="M879" s="22" t="s">
        <v>6375</v>
      </c>
      <c r="N879" s="22" t="s">
        <v>3038</v>
      </c>
      <c r="O879" s="22" t="n">
        <v>34.2</v>
      </c>
      <c r="P879" s="22" t="n">
        <v>7.55</v>
      </c>
      <c r="Q879" s="22" t="s">
        <v>8222</v>
      </c>
      <c r="R879" s="22"/>
    </row>
    <row r="880" customFormat="false" ht="15" hidden="false" customHeight="false" outlineLevel="0" collapsed="false">
      <c r="A880" s="22" t="s">
        <v>8223</v>
      </c>
      <c r="B880" s="22" t="s">
        <v>499</v>
      </c>
      <c r="C880" s="22" t="s">
        <v>7694</v>
      </c>
      <c r="D880" s="22" t="s">
        <v>7000</v>
      </c>
      <c r="E880" s="22" t="n">
        <v>80</v>
      </c>
      <c r="F880" s="22" t="s">
        <v>7695</v>
      </c>
      <c r="G880" s="22" t="s">
        <v>7696</v>
      </c>
      <c r="H880" s="22" t="n">
        <v>24</v>
      </c>
      <c r="I880" s="22" t="s">
        <v>7697</v>
      </c>
      <c r="J880" s="22" t="s">
        <v>6671</v>
      </c>
      <c r="K880" s="22"/>
      <c r="L880" s="22"/>
      <c r="M880" s="22"/>
      <c r="N880" s="22"/>
      <c r="O880" s="22"/>
      <c r="P880" s="22" t="n">
        <v>7.55</v>
      </c>
      <c r="Q880" s="22" t="s">
        <v>8224</v>
      </c>
      <c r="R880" s="22"/>
    </row>
    <row r="881" customFormat="false" ht="15" hidden="false" customHeight="false" outlineLevel="0" collapsed="false">
      <c r="A881" s="22" t="s">
        <v>8225</v>
      </c>
      <c r="B881" s="22" t="s">
        <v>499</v>
      </c>
      <c r="C881" s="22" t="s">
        <v>7694</v>
      </c>
      <c r="D881" s="22" t="s">
        <v>7000</v>
      </c>
      <c r="E881" s="22" t="n">
        <v>32</v>
      </c>
      <c r="F881" s="22" t="s">
        <v>6581</v>
      </c>
      <c r="G881" s="22" t="s">
        <v>7696</v>
      </c>
      <c r="H881" s="22" t="n">
        <v>12</v>
      </c>
      <c r="I881" s="22" t="s">
        <v>6576</v>
      </c>
      <c r="J881" s="22" t="s">
        <v>6577</v>
      </c>
      <c r="K881" s="22" t="s">
        <v>7004</v>
      </c>
      <c r="L881" s="22" t="s">
        <v>2753</v>
      </c>
      <c r="M881" s="22" t="s">
        <v>2754</v>
      </c>
      <c r="N881" s="22" t="s">
        <v>2755</v>
      </c>
      <c r="O881" s="22" t="n">
        <v>36.4</v>
      </c>
      <c r="P881" s="22" t="n">
        <v>7.55</v>
      </c>
      <c r="Q881" s="22" t="s">
        <v>6781</v>
      </c>
      <c r="R881" s="22"/>
    </row>
    <row r="882" customFormat="false" ht="15" hidden="false" customHeight="false" outlineLevel="0" collapsed="false">
      <c r="A882" s="22" t="s">
        <v>8226</v>
      </c>
      <c r="B882" s="22" t="s">
        <v>499</v>
      </c>
      <c r="C882" s="22" t="s">
        <v>7694</v>
      </c>
      <c r="D882" s="22" t="s">
        <v>7000</v>
      </c>
      <c r="E882" s="22" t="n">
        <v>32</v>
      </c>
      <c r="F882" s="22" t="s">
        <v>6581</v>
      </c>
      <c r="G882" s="22" t="s">
        <v>7696</v>
      </c>
      <c r="H882" s="22" t="n">
        <v>12</v>
      </c>
      <c r="I882" s="22" t="s">
        <v>6576</v>
      </c>
      <c r="J882" s="22" t="s">
        <v>6577</v>
      </c>
      <c r="K882" s="22" t="s">
        <v>7007</v>
      </c>
      <c r="L882" s="22" t="s">
        <v>3535</v>
      </c>
      <c r="M882" s="22" t="s">
        <v>3536</v>
      </c>
      <c r="N882" s="22" t="s">
        <v>1603</v>
      </c>
      <c r="O882" s="22" t="n">
        <v>53.6</v>
      </c>
      <c r="P882" s="22" t="n">
        <v>7.55</v>
      </c>
      <c r="Q882" s="22" t="s">
        <v>8072</v>
      </c>
      <c r="R882" s="22"/>
    </row>
    <row r="883" customFormat="false" ht="15" hidden="false" customHeight="false" outlineLevel="0" collapsed="false">
      <c r="A883" s="22" t="s">
        <v>8227</v>
      </c>
      <c r="B883" s="22" t="s">
        <v>499</v>
      </c>
      <c r="C883" s="22" t="s">
        <v>7694</v>
      </c>
      <c r="D883" s="22" t="s">
        <v>7000</v>
      </c>
      <c r="E883" s="22" t="n">
        <v>50</v>
      </c>
      <c r="F883" s="22" t="s">
        <v>7704</v>
      </c>
      <c r="G883" s="22" t="s">
        <v>7696</v>
      </c>
      <c r="H883" s="22" t="n">
        <v>18</v>
      </c>
      <c r="I883" s="22" t="s">
        <v>7705</v>
      </c>
      <c r="J883" s="22" t="s">
        <v>6577</v>
      </c>
      <c r="K883" s="22" t="s">
        <v>7009</v>
      </c>
      <c r="L883" s="22" t="s">
        <v>209</v>
      </c>
      <c r="M883" s="22" t="s">
        <v>210</v>
      </c>
      <c r="N883" s="22" t="s">
        <v>651</v>
      </c>
      <c r="O883" s="22" t="n">
        <v>43.6</v>
      </c>
      <c r="P883" s="22" t="n">
        <v>7.55</v>
      </c>
      <c r="Q883" s="22" t="s">
        <v>6744</v>
      </c>
      <c r="R883" s="22"/>
    </row>
    <row r="884" customFormat="false" ht="15" hidden="false" customHeight="false" outlineLevel="0" collapsed="false">
      <c r="A884" s="22" t="s">
        <v>8228</v>
      </c>
      <c r="B884" s="22" t="s">
        <v>499</v>
      </c>
      <c r="C884" s="22" t="s">
        <v>7694</v>
      </c>
      <c r="D884" s="22" t="s">
        <v>7000</v>
      </c>
      <c r="E884" s="22" t="n">
        <v>24</v>
      </c>
      <c r="F884" s="22" t="s">
        <v>6574</v>
      </c>
      <c r="G884" s="22" t="s">
        <v>7696</v>
      </c>
      <c r="H884" s="22" t="n">
        <v>9</v>
      </c>
      <c r="I884" s="22" t="s">
        <v>6576</v>
      </c>
      <c r="J884" s="22" t="s">
        <v>6577</v>
      </c>
      <c r="K884" s="22" t="s">
        <v>7012</v>
      </c>
      <c r="L884" s="22" t="s">
        <v>5073</v>
      </c>
      <c r="M884" s="22" t="s">
        <v>5074</v>
      </c>
      <c r="N884" s="22" t="s">
        <v>723</v>
      </c>
      <c r="O884" s="22" t="n">
        <v>58.6</v>
      </c>
      <c r="P884" s="22" t="n">
        <v>7.55</v>
      </c>
      <c r="Q884" s="22" t="s">
        <v>8229</v>
      </c>
      <c r="R884" s="22"/>
    </row>
    <row r="885" customFormat="false" ht="15" hidden="false" customHeight="false" outlineLevel="0" collapsed="false">
      <c r="A885" s="22" t="s">
        <v>8230</v>
      </c>
      <c r="B885" s="22" t="s">
        <v>499</v>
      </c>
      <c r="C885" s="22" t="s">
        <v>7694</v>
      </c>
      <c r="D885" s="22" t="s">
        <v>7000</v>
      </c>
      <c r="E885" s="22" t="n">
        <v>80</v>
      </c>
      <c r="F885" s="22" t="s">
        <v>7695</v>
      </c>
      <c r="G885" s="22" t="s">
        <v>7696</v>
      </c>
      <c r="H885" s="22" t="n">
        <v>24</v>
      </c>
      <c r="I885" s="22" t="s">
        <v>7697</v>
      </c>
      <c r="J885" s="22" t="s">
        <v>6577</v>
      </c>
      <c r="K885" s="22" t="s">
        <v>7014</v>
      </c>
      <c r="L885" s="22" t="s">
        <v>3716</v>
      </c>
      <c r="M885" s="22" t="s">
        <v>3717</v>
      </c>
      <c r="N885" s="22" t="s">
        <v>1882</v>
      </c>
      <c r="O885" s="22" t="n">
        <v>33.4</v>
      </c>
      <c r="P885" s="22" t="n">
        <v>7.55</v>
      </c>
      <c r="Q885" s="22" t="s">
        <v>6830</v>
      </c>
      <c r="R885" s="22"/>
    </row>
    <row r="886" customFormat="false" ht="15" hidden="false" customHeight="false" outlineLevel="0" collapsed="false">
      <c r="A886" s="22" t="s">
        <v>8231</v>
      </c>
      <c r="B886" s="22" t="s">
        <v>499</v>
      </c>
      <c r="C886" s="22" t="s">
        <v>7694</v>
      </c>
      <c r="D886" s="22" t="s">
        <v>7000</v>
      </c>
      <c r="E886" s="22" t="n">
        <v>24</v>
      </c>
      <c r="F886" s="22" t="s">
        <v>6574</v>
      </c>
      <c r="G886" s="22" t="s">
        <v>7696</v>
      </c>
      <c r="H886" s="22" t="n">
        <v>9</v>
      </c>
      <c r="I886" s="22" t="s">
        <v>6576</v>
      </c>
      <c r="J886" s="22" t="s">
        <v>6577</v>
      </c>
      <c r="K886" s="22" t="s">
        <v>7017</v>
      </c>
      <c r="L886" s="22" t="s">
        <v>1943</v>
      </c>
      <c r="M886" s="22" t="s">
        <v>1944</v>
      </c>
      <c r="N886" s="22" t="s">
        <v>1945</v>
      </c>
      <c r="O886" s="22" t="n">
        <v>39.3</v>
      </c>
      <c r="P886" s="22" t="n">
        <v>7.55</v>
      </c>
      <c r="Q886" s="22" t="s">
        <v>7675</v>
      </c>
      <c r="R886" s="22"/>
    </row>
    <row r="887" customFormat="false" ht="15" hidden="false" customHeight="false" outlineLevel="0" collapsed="false">
      <c r="A887" s="22" t="s">
        <v>8232</v>
      </c>
      <c r="B887" s="22" t="s">
        <v>499</v>
      </c>
      <c r="C887" s="22" t="s">
        <v>7694</v>
      </c>
      <c r="D887" s="22" t="s">
        <v>7000</v>
      </c>
      <c r="E887" s="22" t="n">
        <v>70</v>
      </c>
      <c r="F887" s="22" t="s">
        <v>7695</v>
      </c>
      <c r="G887" s="22" t="s">
        <v>7696</v>
      </c>
      <c r="H887" s="22" t="n">
        <v>22</v>
      </c>
      <c r="I887" s="22" t="s">
        <v>7697</v>
      </c>
      <c r="J887" s="22" t="s">
        <v>6577</v>
      </c>
      <c r="K887" s="22" t="s">
        <v>7020</v>
      </c>
      <c r="L887" s="22" t="s">
        <v>1349</v>
      </c>
      <c r="M887" s="22" t="s">
        <v>1350</v>
      </c>
      <c r="N887" s="22" t="s">
        <v>770</v>
      </c>
      <c r="O887" s="22" t="n">
        <v>28.7</v>
      </c>
      <c r="P887" s="22" t="n">
        <v>7.55</v>
      </c>
      <c r="Q887" s="22" t="s">
        <v>6859</v>
      </c>
      <c r="R887" s="22"/>
    </row>
    <row r="888" customFormat="false" ht="15" hidden="false" customHeight="false" outlineLevel="0" collapsed="false">
      <c r="A888" s="22" t="s">
        <v>8233</v>
      </c>
      <c r="B888" s="22" t="s">
        <v>499</v>
      </c>
      <c r="C888" s="22" t="s">
        <v>7694</v>
      </c>
      <c r="D888" s="22" t="s">
        <v>7000</v>
      </c>
      <c r="E888" s="22" t="n">
        <v>32</v>
      </c>
      <c r="F888" s="22" t="s">
        <v>6581</v>
      </c>
      <c r="G888" s="22" t="s">
        <v>7696</v>
      </c>
      <c r="H888" s="22" t="n">
        <v>12</v>
      </c>
      <c r="I888" s="22" t="s">
        <v>6576</v>
      </c>
      <c r="J888" s="22" t="s">
        <v>6671</v>
      </c>
      <c r="K888" s="22"/>
      <c r="L888" s="22"/>
      <c r="M888" s="22"/>
      <c r="N888" s="22"/>
      <c r="O888" s="22"/>
      <c r="P888" s="22" t="n">
        <v>7.55</v>
      </c>
      <c r="Q888" s="22" t="s">
        <v>7169</v>
      </c>
      <c r="R888" s="22"/>
    </row>
    <row r="889" customFormat="false" ht="15" hidden="false" customHeight="false" outlineLevel="0" collapsed="false">
      <c r="A889" s="22" t="s">
        <v>8234</v>
      </c>
      <c r="B889" s="22" t="s">
        <v>499</v>
      </c>
      <c r="C889" s="22" t="s">
        <v>7694</v>
      </c>
      <c r="D889" s="22" t="s">
        <v>7000</v>
      </c>
      <c r="E889" s="22" t="n">
        <v>36</v>
      </c>
      <c r="F889" s="22" t="s">
        <v>6581</v>
      </c>
      <c r="G889" s="22" t="s">
        <v>7696</v>
      </c>
      <c r="H889" s="22" t="n">
        <v>13</v>
      </c>
      <c r="I889" s="22" t="s">
        <v>6582</v>
      </c>
      <c r="J889" s="22" t="s">
        <v>6577</v>
      </c>
      <c r="K889" s="22" t="s">
        <v>7026</v>
      </c>
      <c r="L889" s="22" t="s">
        <v>1365</v>
      </c>
      <c r="M889" s="22" t="s">
        <v>1366</v>
      </c>
      <c r="N889" s="22" t="s">
        <v>1262</v>
      </c>
      <c r="O889" s="22" t="n">
        <v>43.8</v>
      </c>
      <c r="P889" s="22" t="n">
        <v>7.55</v>
      </c>
      <c r="Q889" s="22" t="s">
        <v>7875</v>
      </c>
      <c r="R889" s="22"/>
    </row>
    <row r="890" customFormat="false" ht="15" hidden="false" customHeight="false" outlineLevel="0" collapsed="false">
      <c r="A890" s="22" t="s">
        <v>8235</v>
      </c>
      <c r="B890" s="22" t="s">
        <v>499</v>
      </c>
      <c r="C890" s="22" t="s">
        <v>7694</v>
      </c>
      <c r="D890" s="22" t="s">
        <v>7000</v>
      </c>
      <c r="E890" s="22" t="n">
        <v>45</v>
      </c>
      <c r="F890" s="22" t="s">
        <v>7704</v>
      </c>
      <c r="G890" s="22" t="s">
        <v>7696</v>
      </c>
      <c r="H890" s="22" t="n">
        <v>16</v>
      </c>
      <c r="I890" s="22" t="s">
        <v>7705</v>
      </c>
      <c r="J890" s="22" t="s">
        <v>6577</v>
      </c>
      <c r="K890" s="22" t="s">
        <v>7029</v>
      </c>
      <c r="L890" s="22" t="s">
        <v>511</v>
      </c>
      <c r="M890" s="22" t="s">
        <v>512</v>
      </c>
      <c r="N890" s="22" t="s">
        <v>513</v>
      </c>
      <c r="O890" s="22" t="n">
        <v>40.5</v>
      </c>
      <c r="P890" s="22" t="n">
        <v>7.55</v>
      </c>
      <c r="Q890" s="22" t="s">
        <v>8058</v>
      </c>
      <c r="R890" s="22"/>
    </row>
    <row r="891" customFormat="false" ht="15" hidden="false" customHeight="false" outlineLevel="0" collapsed="false">
      <c r="A891" s="22" t="s">
        <v>8236</v>
      </c>
      <c r="B891" s="22" t="s">
        <v>499</v>
      </c>
      <c r="C891" s="22" t="s">
        <v>7694</v>
      </c>
      <c r="D891" s="22" t="s">
        <v>7000</v>
      </c>
      <c r="E891" s="22" t="n">
        <v>45</v>
      </c>
      <c r="F891" s="22" t="s">
        <v>7704</v>
      </c>
      <c r="G891" s="22" t="s">
        <v>7696</v>
      </c>
      <c r="H891" s="22" t="n">
        <v>16</v>
      </c>
      <c r="I891" s="22" t="s">
        <v>7705</v>
      </c>
      <c r="J891" s="22" t="s">
        <v>6577</v>
      </c>
      <c r="K891" s="22" t="s">
        <v>7031</v>
      </c>
      <c r="L891" s="22" t="s">
        <v>1682</v>
      </c>
      <c r="M891" s="22" t="s">
        <v>814</v>
      </c>
      <c r="N891" s="22" t="s">
        <v>1045</v>
      </c>
      <c r="O891" s="22" t="n">
        <v>48.3</v>
      </c>
      <c r="P891" s="22" t="n">
        <v>7.55</v>
      </c>
      <c r="Q891" s="22" t="s">
        <v>8224</v>
      </c>
      <c r="R891" s="22"/>
    </row>
    <row r="892" customFormat="false" ht="15" hidden="false" customHeight="false" outlineLevel="0" collapsed="false">
      <c r="A892" s="22" t="s">
        <v>8237</v>
      </c>
      <c r="B892" s="22" t="s">
        <v>499</v>
      </c>
      <c r="C892" s="22" t="s">
        <v>7694</v>
      </c>
      <c r="D892" s="22" t="s">
        <v>7000</v>
      </c>
      <c r="E892" s="22" t="n">
        <v>80</v>
      </c>
      <c r="F892" s="22" t="s">
        <v>7695</v>
      </c>
      <c r="G892" s="22" t="s">
        <v>7696</v>
      </c>
      <c r="H892" s="22" t="n">
        <v>24</v>
      </c>
      <c r="I892" s="22" t="s">
        <v>7697</v>
      </c>
      <c r="J892" s="22" t="s">
        <v>6577</v>
      </c>
      <c r="K892" s="22" t="s">
        <v>7033</v>
      </c>
      <c r="L892" s="22" t="s">
        <v>3661</v>
      </c>
      <c r="M892" s="22" t="s">
        <v>3662</v>
      </c>
      <c r="N892" s="22" t="s">
        <v>1971</v>
      </c>
      <c r="O892" s="22" t="n">
        <v>45</v>
      </c>
      <c r="P892" s="22" t="n">
        <v>7.55</v>
      </c>
      <c r="Q892" s="22" t="s">
        <v>8238</v>
      </c>
      <c r="R892" s="22"/>
    </row>
    <row r="893" customFormat="false" ht="15" hidden="false" customHeight="false" outlineLevel="0" collapsed="false">
      <c r="A893" s="22" t="s">
        <v>8239</v>
      </c>
      <c r="B893" s="22" t="s">
        <v>499</v>
      </c>
      <c r="C893" s="22" t="s">
        <v>7694</v>
      </c>
      <c r="D893" s="22" t="s">
        <v>7000</v>
      </c>
      <c r="E893" s="22" t="n">
        <v>28</v>
      </c>
      <c r="F893" s="22" t="s">
        <v>6574</v>
      </c>
      <c r="G893" s="22" t="s">
        <v>7696</v>
      </c>
      <c r="H893" s="22" t="n">
        <v>10</v>
      </c>
      <c r="I893" s="22" t="s">
        <v>6576</v>
      </c>
      <c r="J893" s="22" t="s">
        <v>6577</v>
      </c>
      <c r="K893" s="22" t="s">
        <v>7036</v>
      </c>
      <c r="L893" s="22" t="s">
        <v>1398</v>
      </c>
      <c r="M893" s="22" t="s">
        <v>1399</v>
      </c>
      <c r="N893" s="22" t="s">
        <v>1400</v>
      </c>
      <c r="O893" s="22" t="n">
        <v>40.5</v>
      </c>
      <c r="P893" s="22" t="n">
        <v>7.55</v>
      </c>
      <c r="Q893" s="22" t="s">
        <v>7440</v>
      </c>
      <c r="R893" s="22"/>
    </row>
    <row r="894" customFormat="false" ht="15" hidden="false" customHeight="false" outlineLevel="0" collapsed="false">
      <c r="A894" s="22" t="s">
        <v>8240</v>
      </c>
      <c r="B894" s="22" t="s">
        <v>499</v>
      </c>
      <c r="C894" s="22" t="s">
        <v>7694</v>
      </c>
      <c r="D894" s="22" t="s">
        <v>7000</v>
      </c>
      <c r="E894" s="22" t="n">
        <v>24</v>
      </c>
      <c r="F894" s="22" t="s">
        <v>6574</v>
      </c>
      <c r="G894" s="22" t="s">
        <v>7696</v>
      </c>
      <c r="H894" s="22" t="n">
        <v>9</v>
      </c>
      <c r="I894" s="22" t="s">
        <v>6576</v>
      </c>
      <c r="J894" s="22" t="s">
        <v>6577</v>
      </c>
      <c r="K894" s="22" t="s">
        <v>7038</v>
      </c>
      <c r="L894" s="22" t="s">
        <v>6243</v>
      </c>
      <c r="M894" s="22" t="s">
        <v>6244</v>
      </c>
      <c r="N894" s="22" t="s">
        <v>820</v>
      </c>
      <c r="O894" s="22" t="n">
        <v>34.6</v>
      </c>
      <c r="P894" s="22" t="n">
        <v>7.55</v>
      </c>
      <c r="Q894" s="22" t="s">
        <v>8241</v>
      </c>
      <c r="R894" s="22"/>
    </row>
    <row r="895" customFormat="false" ht="15" hidden="false" customHeight="false" outlineLevel="0" collapsed="false">
      <c r="A895" s="22" t="s">
        <v>8242</v>
      </c>
      <c r="B895" s="22" t="s">
        <v>499</v>
      </c>
      <c r="C895" s="22" t="s">
        <v>7694</v>
      </c>
      <c r="D895" s="22" t="s">
        <v>7000</v>
      </c>
      <c r="E895" s="22" t="n">
        <v>24</v>
      </c>
      <c r="F895" s="22" t="s">
        <v>6574</v>
      </c>
      <c r="G895" s="22" t="s">
        <v>7696</v>
      </c>
      <c r="H895" s="22" t="n">
        <v>9</v>
      </c>
      <c r="I895" s="22" t="s">
        <v>6576</v>
      </c>
      <c r="J895" s="22" t="s">
        <v>6577</v>
      </c>
      <c r="K895" s="22" t="s">
        <v>7041</v>
      </c>
      <c r="L895" s="22" t="s">
        <v>4351</v>
      </c>
      <c r="M895" s="22" t="s">
        <v>4352</v>
      </c>
      <c r="N895" s="22" t="s">
        <v>549</v>
      </c>
      <c r="O895" s="22" t="n">
        <v>27.9</v>
      </c>
      <c r="P895" s="22" t="n">
        <v>7.55</v>
      </c>
      <c r="Q895" s="22" t="s">
        <v>7831</v>
      </c>
      <c r="R895" s="22"/>
    </row>
    <row r="896" customFormat="false" ht="15" hidden="false" customHeight="false" outlineLevel="0" collapsed="false">
      <c r="A896" s="22" t="s">
        <v>8243</v>
      </c>
      <c r="B896" s="22" t="s">
        <v>499</v>
      </c>
      <c r="C896" s="22" t="s">
        <v>7694</v>
      </c>
      <c r="D896" s="22" t="s">
        <v>7000</v>
      </c>
      <c r="E896" s="22" t="n">
        <v>60</v>
      </c>
      <c r="F896" s="22" t="s">
        <v>7695</v>
      </c>
      <c r="G896" s="22" t="s">
        <v>7696</v>
      </c>
      <c r="H896" s="22" t="n">
        <v>20</v>
      </c>
      <c r="I896" s="22" t="s">
        <v>7697</v>
      </c>
      <c r="J896" s="22" t="s">
        <v>6577</v>
      </c>
      <c r="K896" s="22" t="s">
        <v>7044</v>
      </c>
      <c r="L896" s="22" t="s">
        <v>2377</v>
      </c>
      <c r="M896" s="22" t="s">
        <v>2378</v>
      </c>
      <c r="N896" s="22" t="s">
        <v>2081</v>
      </c>
      <c r="O896" s="22" t="n">
        <v>49.7</v>
      </c>
      <c r="P896" s="22" t="n">
        <v>7.55</v>
      </c>
      <c r="Q896" s="22" t="s">
        <v>7592</v>
      </c>
      <c r="R896" s="22"/>
    </row>
    <row r="897" customFormat="false" ht="15" hidden="false" customHeight="false" outlineLevel="0" collapsed="false">
      <c r="A897" s="22" t="s">
        <v>8244</v>
      </c>
      <c r="B897" s="22" t="s">
        <v>499</v>
      </c>
      <c r="C897" s="22" t="s">
        <v>7694</v>
      </c>
      <c r="D897" s="22" t="s">
        <v>7000</v>
      </c>
      <c r="E897" s="22" t="n">
        <v>32</v>
      </c>
      <c r="F897" s="22" t="s">
        <v>6581</v>
      </c>
      <c r="G897" s="22" t="s">
        <v>7696</v>
      </c>
      <c r="H897" s="22" t="n">
        <v>12</v>
      </c>
      <c r="I897" s="22" t="s">
        <v>6576</v>
      </c>
      <c r="J897" s="22" t="s">
        <v>6613</v>
      </c>
      <c r="K897" s="22"/>
      <c r="L897" s="22"/>
      <c r="M897" s="22"/>
      <c r="N897" s="22"/>
      <c r="O897" s="22"/>
      <c r="P897" s="22" t="n">
        <v>7.55</v>
      </c>
      <c r="Q897" s="22" t="s">
        <v>8245</v>
      </c>
      <c r="R897" s="22"/>
    </row>
    <row r="898" customFormat="false" ht="15" hidden="false" customHeight="false" outlineLevel="0" collapsed="false">
      <c r="A898" s="22" t="s">
        <v>8246</v>
      </c>
      <c r="B898" s="22" t="s">
        <v>499</v>
      </c>
      <c r="C898" s="22" t="s">
        <v>7694</v>
      </c>
      <c r="D898" s="22" t="s">
        <v>7000</v>
      </c>
      <c r="E898" s="22" t="n">
        <v>50</v>
      </c>
      <c r="F898" s="22" t="s">
        <v>7704</v>
      </c>
      <c r="G898" s="22" t="s">
        <v>7696</v>
      </c>
      <c r="H898" s="22" t="n">
        <v>18</v>
      </c>
      <c r="I898" s="22" t="s">
        <v>7705</v>
      </c>
      <c r="J898" s="22" t="s">
        <v>6577</v>
      </c>
      <c r="K898" s="22" t="s">
        <v>7048</v>
      </c>
      <c r="L898" s="22" t="s">
        <v>5748</v>
      </c>
      <c r="M898" s="22" t="s">
        <v>5749</v>
      </c>
      <c r="N898" s="22" t="s">
        <v>513</v>
      </c>
      <c r="O898" s="22" t="n">
        <v>42</v>
      </c>
      <c r="P898" s="22" t="n">
        <v>7.55</v>
      </c>
      <c r="Q898" s="22" t="s">
        <v>8247</v>
      </c>
      <c r="R898" s="22"/>
    </row>
    <row r="899" customFormat="false" ht="15" hidden="false" customHeight="false" outlineLevel="0" collapsed="false">
      <c r="A899" s="22" t="s">
        <v>8248</v>
      </c>
      <c r="B899" s="22" t="s">
        <v>499</v>
      </c>
      <c r="C899" s="22" t="s">
        <v>7694</v>
      </c>
      <c r="D899" s="22" t="s">
        <v>7000</v>
      </c>
      <c r="E899" s="22" t="n">
        <v>50</v>
      </c>
      <c r="F899" s="22" t="s">
        <v>7704</v>
      </c>
      <c r="G899" s="22" t="s">
        <v>7696</v>
      </c>
      <c r="H899" s="22" t="n">
        <v>18</v>
      </c>
      <c r="I899" s="22" t="s">
        <v>7705</v>
      </c>
      <c r="J899" s="22" t="s">
        <v>6577</v>
      </c>
      <c r="K899" s="22" t="s">
        <v>7051</v>
      </c>
      <c r="L899" s="22" t="s">
        <v>5363</v>
      </c>
      <c r="M899" s="22" t="s">
        <v>5364</v>
      </c>
      <c r="N899" s="22" t="s">
        <v>793</v>
      </c>
      <c r="O899" s="22" t="n">
        <v>37.4</v>
      </c>
      <c r="P899" s="22" t="n">
        <v>7.55</v>
      </c>
      <c r="Q899" s="22" t="s">
        <v>7496</v>
      </c>
      <c r="R899" s="22"/>
    </row>
    <row r="900" customFormat="false" ht="15" hidden="false" customHeight="false" outlineLevel="0" collapsed="false">
      <c r="A900" s="22" t="s">
        <v>8249</v>
      </c>
      <c r="B900" s="22" t="s">
        <v>499</v>
      </c>
      <c r="C900" s="22" t="s">
        <v>7694</v>
      </c>
      <c r="D900" s="22" t="s">
        <v>7000</v>
      </c>
      <c r="E900" s="22" t="n">
        <v>50</v>
      </c>
      <c r="F900" s="22" t="s">
        <v>7704</v>
      </c>
      <c r="G900" s="22" t="s">
        <v>7696</v>
      </c>
      <c r="H900" s="22" t="n">
        <v>18</v>
      </c>
      <c r="I900" s="22" t="s">
        <v>7705</v>
      </c>
      <c r="J900" s="22" t="s">
        <v>6577</v>
      </c>
      <c r="K900" s="22" t="s">
        <v>7575</v>
      </c>
      <c r="L900" s="22" t="s">
        <v>5168</v>
      </c>
      <c r="M900" s="22" t="s">
        <v>5169</v>
      </c>
      <c r="N900" s="22" t="s">
        <v>3259</v>
      </c>
      <c r="O900" s="22" t="n">
        <v>59.7</v>
      </c>
      <c r="P900" s="22" t="n">
        <v>7.55</v>
      </c>
      <c r="Q900" s="22" t="s">
        <v>7341</v>
      </c>
      <c r="R900" s="22"/>
    </row>
    <row r="901" customFormat="false" ht="15" hidden="false" customHeight="false" outlineLevel="0" collapsed="false">
      <c r="A901" s="22" t="s">
        <v>8250</v>
      </c>
      <c r="B901" s="22" t="s">
        <v>499</v>
      </c>
      <c r="C901" s="22" t="s">
        <v>7694</v>
      </c>
      <c r="D901" s="22" t="s">
        <v>7000</v>
      </c>
      <c r="E901" s="22" t="n">
        <v>32</v>
      </c>
      <c r="F901" s="22" t="s">
        <v>6581</v>
      </c>
      <c r="G901" s="22" t="s">
        <v>7696</v>
      </c>
      <c r="H901" s="22" t="n">
        <v>12</v>
      </c>
      <c r="I901" s="22" t="s">
        <v>6576</v>
      </c>
      <c r="J901" s="22" t="s">
        <v>6577</v>
      </c>
      <c r="K901" s="22" t="s">
        <v>7056</v>
      </c>
      <c r="L901" s="22" t="s">
        <v>682</v>
      </c>
      <c r="M901" s="22" t="s">
        <v>683</v>
      </c>
      <c r="N901" s="22" t="s">
        <v>684</v>
      </c>
      <c r="O901" s="22" t="n">
        <v>39.4</v>
      </c>
      <c r="P901" s="22" t="n">
        <v>7.55</v>
      </c>
      <c r="Q901" s="22" t="s">
        <v>6647</v>
      </c>
      <c r="R901" s="22"/>
    </row>
    <row r="902" customFormat="false" ht="15" hidden="false" customHeight="false" outlineLevel="0" collapsed="false">
      <c r="A902" s="22" t="s">
        <v>8251</v>
      </c>
      <c r="B902" s="22" t="s">
        <v>499</v>
      </c>
      <c r="C902" s="22" t="s">
        <v>7694</v>
      </c>
      <c r="D902" s="22" t="s">
        <v>7000</v>
      </c>
      <c r="E902" s="22" t="n">
        <v>45</v>
      </c>
      <c r="F902" s="22" t="s">
        <v>7704</v>
      </c>
      <c r="G902" s="22" t="s">
        <v>7696</v>
      </c>
      <c r="H902" s="22" t="n">
        <v>16</v>
      </c>
      <c r="I902" s="22" t="s">
        <v>7705</v>
      </c>
      <c r="J902" s="22" t="s">
        <v>6577</v>
      </c>
      <c r="K902" s="22" t="s">
        <v>7059</v>
      </c>
      <c r="L902" s="22" t="s">
        <v>1233</v>
      </c>
      <c r="M902" s="22" t="s">
        <v>1234</v>
      </c>
      <c r="N902" s="22" t="s">
        <v>1235</v>
      </c>
      <c r="O902" s="22" t="n">
        <v>37</v>
      </c>
      <c r="P902" s="22" t="n">
        <v>7.55</v>
      </c>
      <c r="Q902" s="22" t="s">
        <v>8252</v>
      </c>
      <c r="R902" s="22"/>
    </row>
    <row r="903" customFormat="false" ht="15" hidden="false" customHeight="false" outlineLevel="0" collapsed="false">
      <c r="A903" s="22" t="s">
        <v>8253</v>
      </c>
      <c r="B903" s="22" t="s">
        <v>499</v>
      </c>
      <c r="C903" s="22" t="s">
        <v>7694</v>
      </c>
      <c r="D903" s="22" t="s">
        <v>7063</v>
      </c>
      <c r="E903" s="22" t="n">
        <v>80</v>
      </c>
      <c r="F903" s="22" t="s">
        <v>7695</v>
      </c>
      <c r="G903" s="22" t="s">
        <v>7696</v>
      </c>
      <c r="H903" s="22" t="n">
        <v>24</v>
      </c>
      <c r="I903" s="22" t="s">
        <v>7697</v>
      </c>
      <c r="J903" s="22" t="s">
        <v>6671</v>
      </c>
      <c r="K903" s="22"/>
      <c r="L903" s="22"/>
      <c r="M903" s="22"/>
      <c r="N903" s="22"/>
      <c r="O903" s="22"/>
      <c r="P903" s="22" t="n">
        <v>7.55</v>
      </c>
      <c r="Q903" s="22" t="s">
        <v>8254</v>
      </c>
      <c r="R903" s="22"/>
    </row>
    <row r="904" customFormat="false" ht="15" hidden="false" customHeight="false" outlineLevel="0" collapsed="false">
      <c r="A904" s="22" t="s">
        <v>8255</v>
      </c>
      <c r="B904" s="22" t="s">
        <v>499</v>
      </c>
      <c r="C904" s="22" t="s">
        <v>7694</v>
      </c>
      <c r="D904" s="22" t="s">
        <v>7063</v>
      </c>
      <c r="E904" s="22" t="n">
        <v>45</v>
      </c>
      <c r="F904" s="22" t="s">
        <v>7704</v>
      </c>
      <c r="G904" s="22" t="s">
        <v>7696</v>
      </c>
      <c r="H904" s="22" t="n">
        <v>16</v>
      </c>
      <c r="I904" s="22" t="s">
        <v>7705</v>
      </c>
      <c r="J904" s="22" t="s">
        <v>6577</v>
      </c>
      <c r="K904" s="22" t="s">
        <v>7067</v>
      </c>
      <c r="L904" s="22" t="s">
        <v>1038</v>
      </c>
      <c r="M904" s="22" t="s">
        <v>1039</v>
      </c>
      <c r="N904" s="22" t="s">
        <v>1040</v>
      </c>
      <c r="O904" s="22" t="n">
        <v>46.2</v>
      </c>
      <c r="P904" s="22" t="n">
        <v>7.55</v>
      </c>
      <c r="Q904" s="22" t="s">
        <v>8256</v>
      </c>
      <c r="R904" s="22"/>
    </row>
    <row r="905" customFormat="false" ht="15" hidden="false" customHeight="false" outlineLevel="0" collapsed="false">
      <c r="A905" s="22" t="s">
        <v>8257</v>
      </c>
      <c r="B905" s="22" t="s">
        <v>499</v>
      </c>
      <c r="C905" s="22" t="s">
        <v>7694</v>
      </c>
      <c r="D905" s="22" t="s">
        <v>7063</v>
      </c>
      <c r="E905" s="22" t="n">
        <v>45</v>
      </c>
      <c r="F905" s="22" t="s">
        <v>7704</v>
      </c>
      <c r="G905" s="22" t="s">
        <v>7696</v>
      </c>
      <c r="H905" s="22" t="n">
        <v>16</v>
      </c>
      <c r="I905" s="22" t="s">
        <v>7705</v>
      </c>
      <c r="J905" s="22" t="s">
        <v>6577</v>
      </c>
      <c r="K905" s="22" t="s">
        <v>7070</v>
      </c>
      <c r="L905" s="22" t="s">
        <v>830</v>
      </c>
      <c r="M905" s="22" t="s">
        <v>831</v>
      </c>
      <c r="N905" s="22" t="s">
        <v>832</v>
      </c>
      <c r="O905" s="22" t="n">
        <v>59.8</v>
      </c>
      <c r="P905" s="22" t="n">
        <v>7.55</v>
      </c>
      <c r="Q905" s="22" t="s">
        <v>7631</v>
      </c>
      <c r="R905" s="22"/>
    </row>
    <row r="906" customFormat="false" ht="15" hidden="false" customHeight="false" outlineLevel="0" collapsed="false">
      <c r="A906" s="22" t="s">
        <v>8258</v>
      </c>
      <c r="B906" s="22" t="s">
        <v>499</v>
      </c>
      <c r="C906" s="22" t="s">
        <v>7694</v>
      </c>
      <c r="D906" s="22" t="s">
        <v>7063</v>
      </c>
      <c r="E906" s="22" t="n">
        <v>40</v>
      </c>
      <c r="F906" s="22" t="s">
        <v>6581</v>
      </c>
      <c r="G906" s="22" t="s">
        <v>7696</v>
      </c>
      <c r="H906" s="22" t="n">
        <v>14</v>
      </c>
      <c r="I906" s="22" t="s">
        <v>6582</v>
      </c>
      <c r="J906" s="22" t="s">
        <v>6577</v>
      </c>
      <c r="K906" s="22" t="s">
        <v>7586</v>
      </c>
      <c r="L906" s="22" t="s">
        <v>2450</v>
      </c>
      <c r="M906" s="22" t="s">
        <v>2451</v>
      </c>
      <c r="N906" s="22" t="s">
        <v>728</v>
      </c>
      <c r="O906" s="22" t="n">
        <v>31.6</v>
      </c>
      <c r="P906" s="22" t="n">
        <v>7.55</v>
      </c>
      <c r="Q906" s="22" t="s">
        <v>6819</v>
      </c>
      <c r="R906" s="22"/>
    </row>
    <row r="907" customFormat="false" ht="15" hidden="false" customHeight="false" outlineLevel="0" collapsed="false">
      <c r="A907" s="22" t="s">
        <v>8259</v>
      </c>
      <c r="B907" s="22" t="s">
        <v>499</v>
      </c>
      <c r="C907" s="22" t="s">
        <v>7694</v>
      </c>
      <c r="D907" s="22" t="s">
        <v>7063</v>
      </c>
      <c r="E907" s="22" t="n">
        <v>28</v>
      </c>
      <c r="F907" s="22" t="s">
        <v>6574</v>
      </c>
      <c r="G907" s="22" t="s">
        <v>7696</v>
      </c>
      <c r="H907" s="22" t="n">
        <v>10</v>
      </c>
      <c r="I907" s="22" t="s">
        <v>6576</v>
      </c>
      <c r="J907" s="22" t="s">
        <v>6577</v>
      </c>
      <c r="K907" s="22" t="s">
        <v>7074</v>
      </c>
      <c r="L907" s="22" t="s">
        <v>6392</v>
      </c>
      <c r="M907" s="22" t="s">
        <v>6393</v>
      </c>
      <c r="N907" s="22" t="s">
        <v>327</v>
      </c>
      <c r="O907" s="22" t="n">
        <v>38.3</v>
      </c>
      <c r="P907" s="22" t="n">
        <v>7.55</v>
      </c>
      <c r="Q907" s="22" t="s">
        <v>8260</v>
      </c>
      <c r="R907" s="22"/>
    </row>
    <row r="908" customFormat="false" ht="15" hidden="false" customHeight="false" outlineLevel="0" collapsed="false">
      <c r="A908" s="22" t="s">
        <v>8261</v>
      </c>
      <c r="B908" s="22" t="s">
        <v>499</v>
      </c>
      <c r="C908" s="22" t="s">
        <v>7694</v>
      </c>
      <c r="D908" s="22" t="s">
        <v>7063</v>
      </c>
      <c r="E908" s="22" t="n">
        <v>36</v>
      </c>
      <c r="F908" s="22" t="s">
        <v>6581</v>
      </c>
      <c r="G908" s="22" t="s">
        <v>7696</v>
      </c>
      <c r="H908" s="22" t="n">
        <v>13</v>
      </c>
      <c r="I908" s="22" t="s">
        <v>6582</v>
      </c>
      <c r="J908" s="22" t="s">
        <v>6577</v>
      </c>
      <c r="K908" s="22" t="s">
        <v>7077</v>
      </c>
      <c r="L908" s="22" t="s">
        <v>4960</v>
      </c>
      <c r="M908" s="22" t="s">
        <v>4961</v>
      </c>
      <c r="N908" s="22" t="s">
        <v>2238</v>
      </c>
      <c r="O908" s="22" t="n">
        <v>55.4</v>
      </c>
      <c r="P908" s="22" t="n">
        <v>7.55</v>
      </c>
      <c r="Q908" s="22" t="s">
        <v>6830</v>
      </c>
      <c r="R908" s="22"/>
    </row>
    <row r="909" customFormat="false" ht="15" hidden="false" customHeight="false" outlineLevel="0" collapsed="false">
      <c r="A909" s="22" t="s">
        <v>8262</v>
      </c>
      <c r="B909" s="22" t="s">
        <v>499</v>
      </c>
      <c r="C909" s="22" t="s">
        <v>7694</v>
      </c>
      <c r="D909" s="22" t="s">
        <v>7063</v>
      </c>
      <c r="E909" s="22" t="n">
        <v>45</v>
      </c>
      <c r="F909" s="22" t="s">
        <v>7704</v>
      </c>
      <c r="G909" s="22" t="s">
        <v>7696</v>
      </c>
      <c r="H909" s="22" t="n">
        <v>16</v>
      </c>
      <c r="I909" s="22" t="s">
        <v>7705</v>
      </c>
      <c r="J909" s="22" t="s">
        <v>6577</v>
      </c>
      <c r="K909" s="22" t="s">
        <v>7080</v>
      </c>
      <c r="L909" s="22" t="s">
        <v>484</v>
      </c>
      <c r="M909" s="22" t="s">
        <v>485</v>
      </c>
      <c r="N909" s="22" t="s">
        <v>486</v>
      </c>
      <c r="O909" s="22" t="n">
        <v>57.4</v>
      </c>
      <c r="P909" s="22" t="n">
        <v>7.55</v>
      </c>
      <c r="Q909" s="22" t="s">
        <v>7744</v>
      </c>
      <c r="R909" s="22"/>
    </row>
    <row r="910" customFormat="false" ht="15" hidden="false" customHeight="false" outlineLevel="0" collapsed="false">
      <c r="A910" s="22" t="s">
        <v>8263</v>
      </c>
      <c r="B910" s="22" t="s">
        <v>499</v>
      </c>
      <c r="C910" s="22" t="s">
        <v>7694</v>
      </c>
      <c r="D910" s="22" t="s">
        <v>7063</v>
      </c>
      <c r="E910" s="22" t="n">
        <v>28</v>
      </c>
      <c r="F910" s="22" t="s">
        <v>6574</v>
      </c>
      <c r="G910" s="22" t="s">
        <v>7696</v>
      </c>
      <c r="H910" s="22" t="n">
        <v>10</v>
      </c>
      <c r="I910" s="22" t="s">
        <v>6576</v>
      </c>
      <c r="J910" s="22" t="s">
        <v>6577</v>
      </c>
      <c r="K910" s="22" t="s">
        <v>7082</v>
      </c>
      <c r="L910" s="22" t="s">
        <v>2919</v>
      </c>
      <c r="M910" s="22" t="s">
        <v>2920</v>
      </c>
      <c r="N910" s="22" t="s">
        <v>1374</v>
      </c>
      <c r="O910" s="22" t="n">
        <v>43.1</v>
      </c>
      <c r="P910" s="22" t="n">
        <v>7.55</v>
      </c>
      <c r="Q910" s="22" t="s">
        <v>7220</v>
      </c>
      <c r="R910" s="22"/>
    </row>
    <row r="911" customFormat="false" ht="15" hidden="false" customHeight="false" outlineLevel="0" collapsed="false">
      <c r="A911" s="22" t="s">
        <v>8264</v>
      </c>
      <c r="B911" s="22" t="s">
        <v>499</v>
      </c>
      <c r="C911" s="22" t="s">
        <v>7694</v>
      </c>
      <c r="D911" s="22" t="s">
        <v>7063</v>
      </c>
      <c r="E911" s="22" t="n">
        <v>70</v>
      </c>
      <c r="F911" s="22" t="s">
        <v>7695</v>
      </c>
      <c r="G911" s="22" t="s">
        <v>7696</v>
      </c>
      <c r="H911" s="22" t="n">
        <v>22</v>
      </c>
      <c r="I911" s="22" t="s">
        <v>7697</v>
      </c>
      <c r="J911" s="22" t="s">
        <v>6577</v>
      </c>
      <c r="K911" s="22" t="s">
        <v>7084</v>
      </c>
      <c r="L911" s="22" t="s">
        <v>2702</v>
      </c>
      <c r="M911" s="22" t="s">
        <v>2703</v>
      </c>
      <c r="N911" s="22" t="s">
        <v>1929</v>
      </c>
      <c r="O911" s="22" t="n">
        <v>29.2</v>
      </c>
      <c r="P911" s="22" t="n">
        <v>7.55</v>
      </c>
      <c r="Q911" s="22" t="s">
        <v>7034</v>
      </c>
      <c r="R911" s="22"/>
    </row>
    <row r="912" customFormat="false" ht="15" hidden="false" customHeight="false" outlineLevel="0" collapsed="false">
      <c r="A912" s="22" t="s">
        <v>8265</v>
      </c>
      <c r="B912" s="22" t="s">
        <v>499</v>
      </c>
      <c r="C912" s="22" t="s">
        <v>7694</v>
      </c>
      <c r="D912" s="22" t="s">
        <v>7063</v>
      </c>
      <c r="E912" s="22" t="n">
        <v>70</v>
      </c>
      <c r="F912" s="22" t="s">
        <v>7695</v>
      </c>
      <c r="G912" s="22" t="s">
        <v>7696</v>
      </c>
      <c r="H912" s="22" t="n">
        <v>22</v>
      </c>
      <c r="I912" s="22" t="s">
        <v>7697</v>
      </c>
      <c r="J912" s="22" t="s">
        <v>6577</v>
      </c>
      <c r="K912" s="22" t="s">
        <v>7597</v>
      </c>
      <c r="L912" s="22" t="s">
        <v>5794</v>
      </c>
      <c r="M912" s="22" t="s">
        <v>5795</v>
      </c>
      <c r="N912" s="22" t="s">
        <v>784</v>
      </c>
      <c r="O912" s="22" t="n">
        <v>30.5</v>
      </c>
      <c r="P912" s="22" t="n">
        <v>7.55</v>
      </c>
      <c r="Q912" s="22" t="s">
        <v>6998</v>
      </c>
      <c r="R912" s="22"/>
    </row>
    <row r="913" customFormat="false" ht="15" hidden="false" customHeight="false" outlineLevel="0" collapsed="false">
      <c r="A913" s="22" t="s">
        <v>8266</v>
      </c>
      <c r="B913" s="22" t="s">
        <v>499</v>
      </c>
      <c r="C913" s="22" t="s">
        <v>7694</v>
      </c>
      <c r="D913" s="22" t="s">
        <v>7063</v>
      </c>
      <c r="E913" s="22" t="n">
        <v>45</v>
      </c>
      <c r="F913" s="22" t="s">
        <v>7704</v>
      </c>
      <c r="G913" s="22" t="s">
        <v>7696</v>
      </c>
      <c r="H913" s="22" t="n">
        <v>16</v>
      </c>
      <c r="I913" s="22" t="s">
        <v>7705</v>
      </c>
      <c r="J913" s="22" t="s">
        <v>6577</v>
      </c>
      <c r="K913" s="22" t="s">
        <v>7089</v>
      </c>
      <c r="L913" s="22" t="s">
        <v>3349</v>
      </c>
      <c r="M913" s="22" t="s">
        <v>2409</v>
      </c>
      <c r="N913" s="22" t="s">
        <v>1956</v>
      </c>
      <c r="O913" s="22" t="n">
        <v>34.6</v>
      </c>
      <c r="P913" s="22" t="n">
        <v>7.55</v>
      </c>
      <c r="Q913" s="22" t="s">
        <v>7604</v>
      </c>
      <c r="R913" s="22"/>
    </row>
    <row r="914" customFormat="false" ht="15" hidden="false" customHeight="false" outlineLevel="0" collapsed="false">
      <c r="A914" s="22" t="s">
        <v>8267</v>
      </c>
      <c r="B914" s="22" t="s">
        <v>499</v>
      </c>
      <c r="C914" s="22" t="s">
        <v>7694</v>
      </c>
      <c r="D914" s="22" t="s">
        <v>7063</v>
      </c>
      <c r="E914" s="22" t="n">
        <v>28</v>
      </c>
      <c r="F914" s="22" t="s">
        <v>6574</v>
      </c>
      <c r="G914" s="22" t="s">
        <v>7696</v>
      </c>
      <c r="H914" s="22" t="n">
        <v>10</v>
      </c>
      <c r="I914" s="22" t="s">
        <v>6576</v>
      </c>
      <c r="J914" s="22" t="s">
        <v>6577</v>
      </c>
      <c r="K914" s="22" t="s">
        <v>7092</v>
      </c>
      <c r="L914" s="22" t="s">
        <v>4170</v>
      </c>
      <c r="M914" s="22" t="s">
        <v>4171</v>
      </c>
      <c r="N914" s="22" t="s">
        <v>4172</v>
      </c>
      <c r="O914" s="22" t="n">
        <v>48.3</v>
      </c>
      <c r="P914" s="22" t="n">
        <v>7.55</v>
      </c>
      <c r="Q914" s="22" t="s">
        <v>7384</v>
      </c>
      <c r="R914" s="22"/>
    </row>
    <row r="915" customFormat="false" ht="15" hidden="false" customHeight="false" outlineLevel="0" collapsed="false">
      <c r="A915" s="22" t="s">
        <v>8268</v>
      </c>
      <c r="B915" s="22" t="s">
        <v>499</v>
      </c>
      <c r="C915" s="22" t="s">
        <v>7694</v>
      </c>
      <c r="D915" s="22" t="s">
        <v>7063</v>
      </c>
      <c r="E915" s="22" t="n">
        <v>28</v>
      </c>
      <c r="F915" s="22" t="s">
        <v>6574</v>
      </c>
      <c r="G915" s="22" t="s">
        <v>7696</v>
      </c>
      <c r="H915" s="22" t="n">
        <v>10</v>
      </c>
      <c r="I915" s="22" t="s">
        <v>6576</v>
      </c>
      <c r="J915" s="22" t="s">
        <v>6577</v>
      </c>
      <c r="K915" s="22" t="s">
        <v>7094</v>
      </c>
      <c r="L915" s="22" t="s">
        <v>592</v>
      </c>
      <c r="M915" s="22" t="s">
        <v>593</v>
      </c>
      <c r="N915" s="22" t="s">
        <v>594</v>
      </c>
      <c r="O915" s="22" t="n">
        <v>48.7</v>
      </c>
      <c r="P915" s="22" t="n">
        <v>7.55</v>
      </c>
      <c r="Q915" s="22" t="s">
        <v>8269</v>
      </c>
      <c r="R915" s="22"/>
    </row>
    <row r="916" customFormat="false" ht="15" hidden="false" customHeight="false" outlineLevel="0" collapsed="false">
      <c r="A916" s="22" t="s">
        <v>8270</v>
      </c>
      <c r="B916" s="22" t="s">
        <v>499</v>
      </c>
      <c r="C916" s="22" t="s">
        <v>7694</v>
      </c>
      <c r="D916" s="22" t="s">
        <v>7063</v>
      </c>
      <c r="E916" s="22" t="n">
        <v>70</v>
      </c>
      <c r="F916" s="22" t="s">
        <v>7695</v>
      </c>
      <c r="G916" s="22" t="s">
        <v>7696</v>
      </c>
      <c r="H916" s="22" t="n">
        <v>22</v>
      </c>
      <c r="I916" s="22" t="s">
        <v>7697</v>
      </c>
      <c r="J916" s="22" t="s">
        <v>6577</v>
      </c>
      <c r="K916" s="22" t="s">
        <v>7097</v>
      </c>
      <c r="L916" s="22" t="s">
        <v>5885</v>
      </c>
      <c r="M916" s="22" t="s">
        <v>5886</v>
      </c>
      <c r="N916" s="22" t="s">
        <v>3590</v>
      </c>
      <c r="O916" s="22" t="n">
        <v>33.1</v>
      </c>
      <c r="P916" s="22" t="n">
        <v>7.55</v>
      </c>
      <c r="Q916" s="22" t="s">
        <v>7514</v>
      </c>
      <c r="R916" s="22"/>
    </row>
    <row r="917" customFormat="false" ht="15" hidden="false" customHeight="false" outlineLevel="0" collapsed="false">
      <c r="A917" s="22" t="s">
        <v>8271</v>
      </c>
      <c r="B917" s="22" t="s">
        <v>499</v>
      </c>
      <c r="C917" s="22" t="s">
        <v>7694</v>
      </c>
      <c r="D917" s="22" t="s">
        <v>7063</v>
      </c>
      <c r="E917" s="22" t="n">
        <v>32</v>
      </c>
      <c r="F917" s="22" t="s">
        <v>6581</v>
      </c>
      <c r="G917" s="22" t="s">
        <v>7696</v>
      </c>
      <c r="H917" s="22" t="n">
        <v>12</v>
      </c>
      <c r="I917" s="22" t="s">
        <v>6576</v>
      </c>
      <c r="J917" s="22" t="s">
        <v>6734</v>
      </c>
      <c r="K917" s="22"/>
      <c r="L917" s="22"/>
      <c r="M917" s="22"/>
      <c r="N917" s="22"/>
      <c r="O917" s="22"/>
      <c r="P917" s="22" t="n">
        <v>7.55</v>
      </c>
      <c r="Q917" s="22" t="s">
        <v>7871</v>
      </c>
      <c r="R917" s="22"/>
    </row>
    <row r="918" customFormat="false" ht="15" hidden="false" customHeight="false" outlineLevel="0" collapsed="false">
      <c r="A918" s="22" t="s">
        <v>8272</v>
      </c>
      <c r="B918" s="22" t="s">
        <v>499</v>
      </c>
      <c r="C918" s="22" t="s">
        <v>7694</v>
      </c>
      <c r="D918" s="22" t="s">
        <v>7063</v>
      </c>
      <c r="E918" s="22" t="n">
        <v>70</v>
      </c>
      <c r="F918" s="22" t="s">
        <v>7695</v>
      </c>
      <c r="G918" s="22" t="s">
        <v>7696</v>
      </c>
      <c r="H918" s="22" t="n">
        <v>22</v>
      </c>
      <c r="I918" s="22" t="s">
        <v>7697</v>
      </c>
      <c r="J918" s="22" t="s">
        <v>6577</v>
      </c>
      <c r="K918" s="22" t="s">
        <v>7102</v>
      </c>
      <c r="L918" s="22" t="s">
        <v>294</v>
      </c>
      <c r="M918" s="22" t="s">
        <v>295</v>
      </c>
      <c r="N918" s="22" t="s">
        <v>296</v>
      </c>
      <c r="O918" s="22" t="n">
        <v>55.9</v>
      </c>
      <c r="P918" s="22" t="n">
        <v>7.55</v>
      </c>
      <c r="Q918" s="22" t="s">
        <v>6608</v>
      </c>
      <c r="R918" s="22"/>
    </row>
    <row r="919" customFormat="false" ht="15" hidden="false" customHeight="false" outlineLevel="0" collapsed="false">
      <c r="A919" s="22" t="s">
        <v>8273</v>
      </c>
      <c r="B919" s="22" t="s">
        <v>499</v>
      </c>
      <c r="C919" s="22" t="s">
        <v>7694</v>
      </c>
      <c r="D919" s="22" t="s">
        <v>7063</v>
      </c>
      <c r="E919" s="22" t="n">
        <v>60</v>
      </c>
      <c r="F919" s="22" t="s">
        <v>7695</v>
      </c>
      <c r="G919" s="22" t="s">
        <v>7696</v>
      </c>
      <c r="H919" s="22" t="n">
        <v>20</v>
      </c>
      <c r="I919" s="22" t="s">
        <v>7697</v>
      </c>
      <c r="J919" s="22" t="s">
        <v>6577</v>
      </c>
      <c r="K919" s="22" t="s">
        <v>7105</v>
      </c>
      <c r="L919" s="22" t="s">
        <v>5554</v>
      </c>
      <c r="M919" s="22" t="s">
        <v>5555</v>
      </c>
      <c r="N919" s="22" t="s">
        <v>896</v>
      </c>
      <c r="O919" s="22" t="n">
        <v>56.6</v>
      </c>
      <c r="P919" s="22" t="n">
        <v>7.55</v>
      </c>
      <c r="Q919" s="22" t="s">
        <v>7831</v>
      </c>
      <c r="R919" s="22"/>
    </row>
    <row r="920" customFormat="false" ht="15" hidden="false" customHeight="false" outlineLevel="0" collapsed="false">
      <c r="A920" s="22" t="s">
        <v>8274</v>
      </c>
      <c r="B920" s="22" t="s">
        <v>499</v>
      </c>
      <c r="C920" s="22" t="s">
        <v>7694</v>
      </c>
      <c r="D920" s="22" t="s">
        <v>7063</v>
      </c>
      <c r="E920" s="22" t="n">
        <v>70</v>
      </c>
      <c r="F920" s="22" t="s">
        <v>7695</v>
      </c>
      <c r="G920" s="22" t="s">
        <v>7696</v>
      </c>
      <c r="H920" s="22" t="n">
        <v>22</v>
      </c>
      <c r="I920" s="22" t="s">
        <v>7697</v>
      </c>
      <c r="J920" s="22" t="s">
        <v>6577</v>
      </c>
      <c r="K920" s="22" t="s">
        <v>7108</v>
      </c>
      <c r="L920" s="22" t="s">
        <v>4897</v>
      </c>
      <c r="M920" s="22" t="s">
        <v>4898</v>
      </c>
      <c r="N920" s="22" t="s">
        <v>2222</v>
      </c>
      <c r="O920" s="22" t="n">
        <v>56</v>
      </c>
      <c r="P920" s="22" t="n">
        <v>7.55</v>
      </c>
      <c r="Q920" s="22" t="s">
        <v>8046</v>
      </c>
      <c r="R920" s="22"/>
    </row>
    <row r="921" customFormat="false" ht="15" hidden="false" customHeight="false" outlineLevel="0" collapsed="false">
      <c r="A921" s="22" t="s">
        <v>8275</v>
      </c>
      <c r="B921" s="22" t="s">
        <v>499</v>
      </c>
      <c r="C921" s="22" t="s">
        <v>7694</v>
      </c>
      <c r="D921" s="22" t="s">
        <v>7063</v>
      </c>
      <c r="E921" s="22" t="n">
        <v>24</v>
      </c>
      <c r="F921" s="22" t="s">
        <v>6574</v>
      </c>
      <c r="G921" s="22" t="s">
        <v>7696</v>
      </c>
      <c r="H921" s="22" t="n">
        <v>9</v>
      </c>
      <c r="I921" s="22" t="s">
        <v>6576</v>
      </c>
      <c r="J921" s="22" t="s">
        <v>6577</v>
      </c>
      <c r="K921" s="22" t="s">
        <v>7110</v>
      </c>
      <c r="L921" s="22" t="s">
        <v>228</v>
      </c>
      <c r="M921" s="22" t="s">
        <v>229</v>
      </c>
      <c r="N921" s="22" t="s">
        <v>230</v>
      </c>
      <c r="O921" s="22" t="n">
        <v>43.9</v>
      </c>
      <c r="P921" s="22" t="n">
        <v>7.55</v>
      </c>
      <c r="Q921" s="22" t="s">
        <v>8276</v>
      </c>
      <c r="R921" s="22"/>
    </row>
    <row r="922" customFormat="false" ht="15" hidden="false" customHeight="false" outlineLevel="0" collapsed="false">
      <c r="A922" s="22" t="s">
        <v>8277</v>
      </c>
      <c r="B922" s="22" t="s">
        <v>499</v>
      </c>
      <c r="C922" s="22" t="s">
        <v>7694</v>
      </c>
      <c r="D922" s="22" t="s">
        <v>7063</v>
      </c>
      <c r="E922" s="22" t="n">
        <v>28</v>
      </c>
      <c r="F922" s="22" t="s">
        <v>6574</v>
      </c>
      <c r="G922" s="22" t="s">
        <v>7696</v>
      </c>
      <c r="H922" s="22" t="n">
        <v>10</v>
      </c>
      <c r="I922" s="22" t="s">
        <v>6576</v>
      </c>
      <c r="J922" s="22" t="s">
        <v>6577</v>
      </c>
      <c r="K922" s="22" t="s">
        <v>7113</v>
      </c>
      <c r="L922" s="22" t="s">
        <v>6259</v>
      </c>
      <c r="M922" s="22" t="s">
        <v>6260</v>
      </c>
      <c r="N922" s="22" t="s">
        <v>516</v>
      </c>
      <c r="O922" s="22" t="n">
        <v>57.9</v>
      </c>
      <c r="P922" s="22" t="n">
        <v>7.55</v>
      </c>
      <c r="Q922" s="22" t="s">
        <v>8278</v>
      </c>
      <c r="R922" s="22"/>
    </row>
    <row r="923" customFormat="false" ht="15" hidden="false" customHeight="false" outlineLevel="0" collapsed="false">
      <c r="A923" s="22" t="s">
        <v>8279</v>
      </c>
      <c r="B923" s="22" t="s">
        <v>499</v>
      </c>
      <c r="C923" s="22" t="s">
        <v>7694</v>
      </c>
      <c r="D923" s="22" t="s">
        <v>7063</v>
      </c>
      <c r="E923" s="22" t="n">
        <v>24</v>
      </c>
      <c r="F923" s="22" t="s">
        <v>6574</v>
      </c>
      <c r="G923" s="22" t="s">
        <v>7696</v>
      </c>
      <c r="H923" s="22" t="n">
        <v>9</v>
      </c>
      <c r="I923" s="22" t="s">
        <v>6576</v>
      </c>
      <c r="J923" s="22" t="s">
        <v>6577</v>
      </c>
      <c r="K923" s="22" t="s">
        <v>7115</v>
      </c>
      <c r="L923" s="22" t="s">
        <v>3639</v>
      </c>
      <c r="M923" s="22" t="s">
        <v>3640</v>
      </c>
      <c r="N923" s="22" t="s">
        <v>236</v>
      </c>
      <c r="O923" s="22" t="n">
        <v>48.4</v>
      </c>
      <c r="P923" s="22" t="n">
        <v>7.55</v>
      </c>
      <c r="Q923" s="22" t="s">
        <v>7270</v>
      </c>
      <c r="R923" s="22"/>
    </row>
    <row r="924" customFormat="false" ht="15" hidden="false" customHeight="false" outlineLevel="0" collapsed="false">
      <c r="A924" s="22" t="s">
        <v>8280</v>
      </c>
      <c r="B924" s="22" t="s">
        <v>499</v>
      </c>
      <c r="C924" s="22" t="s">
        <v>7694</v>
      </c>
      <c r="D924" s="22" t="s">
        <v>7063</v>
      </c>
      <c r="E924" s="22" t="n">
        <v>24</v>
      </c>
      <c r="F924" s="22" t="s">
        <v>6574</v>
      </c>
      <c r="G924" s="22" t="s">
        <v>7696</v>
      </c>
      <c r="H924" s="22" t="n">
        <v>9</v>
      </c>
      <c r="I924" s="22" t="s">
        <v>6576</v>
      </c>
      <c r="J924" s="22" t="s">
        <v>6577</v>
      </c>
      <c r="K924" s="22" t="s">
        <v>7118</v>
      </c>
      <c r="L924" s="22" t="s">
        <v>3973</v>
      </c>
      <c r="M924" s="22" t="s">
        <v>3974</v>
      </c>
      <c r="N924" s="22" t="s">
        <v>1802</v>
      </c>
      <c r="O924" s="22" t="n">
        <v>27.3</v>
      </c>
      <c r="P924" s="22" t="n">
        <v>7.55</v>
      </c>
      <c r="Q924" s="22" t="s">
        <v>7937</v>
      </c>
      <c r="R924" s="22"/>
    </row>
    <row r="925" customFormat="false" ht="15" hidden="false" customHeight="false" outlineLevel="0" collapsed="false">
      <c r="A925" s="22" t="s">
        <v>8281</v>
      </c>
      <c r="B925" s="22" t="s">
        <v>499</v>
      </c>
      <c r="C925" s="22" t="s">
        <v>7694</v>
      </c>
      <c r="D925" s="22" t="s">
        <v>7063</v>
      </c>
      <c r="E925" s="22" t="n">
        <v>60</v>
      </c>
      <c r="F925" s="22" t="s">
        <v>7695</v>
      </c>
      <c r="G925" s="22" t="s">
        <v>7696</v>
      </c>
      <c r="H925" s="22" t="n">
        <v>20</v>
      </c>
      <c r="I925" s="22" t="s">
        <v>7697</v>
      </c>
      <c r="J925" s="22" t="s">
        <v>6577</v>
      </c>
      <c r="K925" s="22" t="s">
        <v>7120</v>
      </c>
      <c r="L925" s="22" t="s">
        <v>2254</v>
      </c>
      <c r="M925" s="22" t="s">
        <v>2255</v>
      </c>
      <c r="N925" s="22" t="s">
        <v>1971</v>
      </c>
      <c r="O925" s="22" t="n">
        <v>29.8</v>
      </c>
      <c r="P925" s="22" t="n">
        <v>7.55</v>
      </c>
      <c r="Q925" s="22" t="s">
        <v>7359</v>
      </c>
      <c r="R925" s="22"/>
    </row>
    <row r="926" customFormat="false" ht="15" hidden="false" customHeight="false" outlineLevel="0" collapsed="false">
      <c r="A926" s="22" t="s">
        <v>8282</v>
      </c>
      <c r="B926" s="22" t="s">
        <v>499</v>
      </c>
      <c r="C926" s="22" t="s">
        <v>7694</v>
      </c>
      <c r="D926" s="22" t="s">
        <v>7126</v>
      </c>
      <c r="E926" s="22" t="n">
        <v>24</v>
      </c>
      <c r="F926" s="22" t="s">
        <v>6574</v>
      </c>
      <c r="G926" s="22" t="s">
        <v>7696</v>
      </c>
      <c r="H926" s="22" t="n">
        <v>9</v>
      </c>
      <c r="I926" s="22" t="s">
        <v>6576</v>
      </c>
      <c r="J926" s="22" t="s">
        <v>6577</v>
      </c>
      <c r="K926" s="22" t="s">
        <v>7127</v>
      </c>
      <c r="L926" s="22" t="s">
        <v>6253</v>
      </c>
      <c r="M926" s="22" t="s">
        <v>6254</v>
      </c>
      <c r="N926" s="22" t="s">
        <v>2744</v>
      </c>
      <c r="O926" s="22" t="n">
        <v>45.8</v>
      </c>
      <c r="P926" s="22" t="n">
        <v>7.55</v>
      </c>
      <c r="Q926" s="22" t="s">
        <v>7416</v>
      </c>
      <c r="R926" s="22"/>
    </row>
    <row r="927" customFormat="false" ht="15" hidden="false" customHeight="false" outlineLevel="0" collapsed="false">
      <c r="A927" s="22" t="s">
        <v>8283</v>
      </c>
      <c r="B927" s="22" t="s">
        <v>499</v>
      </c>
      <c r="C927" s="22" t="s">
        <v>7694</v>
      </c>
      <c r="D927" s="22" t="s">
        <v>7126</v>
      </c>
      <c r="E927" s="22" t="n">
        <v>36</v>
      </c>
      <c r="F927" s="22" t="s">
        <v>6581</v>
      </c>
      <c r="G927" s="22" t="s">
        <v>7696</v>
      </c>
      <c r="H927" s="22" t="n">
        <v>13</v>
      </c>
      <c r="I927" s="22" t="s">
        <v>6582</v>
      </c>
      <c r="J927" s="22" t="s">
        <v>6577</v>
      </c>
      <c r="K927" s="22" t="s">
        <v>7130</v>
      </c>
      <c r="L927" s="22" t="s">
        <v>2931</v>
      </c>
      <c r="M927" s="22" t="s">
        <v>2932</v>
      </c>
      <c r="N927" s="22" t="s">
        <v>1705</v>
      </c>
      <c r="O927" s="22" t="n">
        <v>59.7</v>
      </c>
      <c r="P927" s="22" t="n">
        <v>7.55</v>
      </c>
      <c r="Q927" s="22" t="s">
        <v>8051</v>
      </c>
      <c r="R927" s="22"/>
    </row>
    <row r="928" customFormat="false" ht="15" hidden="false" customHeight="false" outlineLevel="0" collapsed="false">
      <c r="A928" s="22" t="s">
        <v>8284</v>
      </c>
      <c r="B928" s="22" t="s">
        <v>499</v>
      </c>
      <c r="C928" s="22" t="s">
        <v>7694</v>
      </c>
      <c r="D928" s="22" t="s">
        <v>7126</v>
      </c>
      <c r="E928" s="22" t="n">
        <v>36</v>
      </c>
      <c r="F928" s="22" t="s">
        <v>6581</v>
      </c>
      <c r="G928" s="22" t="s">
        <v>7696</v>
      </c>
      <c r="H928" s="22" t="n">
        <v>13</v>
      </c>
      <c r="I928" s="22" t="s">
        <v>6582</v>
      </c>
      <c r="J928" s="22" t="s">
        <v>6577</v>
      </c>
      <c r="K928" s="22" t="s">
        <v>7133</v>
      </c>
      <c r="L928" s="22" t="s">
        <v>5597</v>
      </c>
      <c r="M928" s="22" t="s">
        <v>5598</v>
      </c>
      <c r="N928" s="22" t="s">
        <v>1193</v>
      </c>
      <c r="O928" s="22" t="n">
        <v>59.9</v>
      </c>
      <c r="P928" s="22" t="n">
        <v>7.55</v>
      </c>
      <c r="Q928" s="22" t="s">
        <v>8213</v>
      </c>
      <c r="R928" s="22"/>
    </row>
    <row r="929" customFormat="false" ht="15" hidden="false" customHeight="false" outlineLevel="0" collapsed="false">
      <c r="A929" s="22" t="s">
        <v>8285</v>
      </c>
      <c r="B929" s="22" t="s">
        <v>499</v>
      </c>
      <c r="C929" s="22" t="s">
        <v>7694</v>
      </c>
      <c r="D929" s="22" t="s">
        <v>7126</v>
      </c>
      <c r="E929" s="22" t="n">
        <v>32</v>
      </c>
      <c r="F929" s="22" t="s">
        <v>6581</v>
      </c>
      <c r="G929" s="22" t="s">
        <v>7696</v>
      </c>
      <c r="H929" s="22" t="n">
        <v>12</v>
      </c>
      <c r="I929" s="22" t="s">
        <v>6576</v>
      </c>
      <c r="J929" s="22" t="s">
        <v>6577</v>
      </c>
      <c r="K929" s="22" t="s">
        <v>7135</v>
      </c>
      <c r="L929" s="22" t="s">
        <v>2687</v>
      </c>
      <c r="M929" s="22" t="s">
        <v>2688</v>
      </c>
      <c r="N929" s="22" t="s">
        <v>1395</v>
      </c>
      <c r="O929" s="22" t="n">
        <v>49.7</v>
      </c>
      <c r="P929" s="22" t="n">
        <v>7.55</v>
      </c>
      <c r="Q929" s="22" t="s">
        <v>7641</v>
      </c>
      <c r="R929" s="22"/>
    </row>
    <row r="930" customFormat="false" ht="15" hidden="false" customHeight="false" outlineLevel="0" collapsed="false">
      <c r="A930" s="22" t="s">
        <v>8286</v>
      </c>
      <c r="B930" s="22" t="s">
        <v>499</v>
      </c>
      <c r="C930" s="22" t="s">
        <v>7694</v>
      </c>
      <c r="D930" s="22" t="s">
        <v>7126</v>
      </c>
      <c r="E930" s="22" t="n">
        <v>50</v>
      </c>
      <c r="F930" s="22" t="s">
        <v>7704</v>
      </c>
      <c r="G930" s="22" t="s">
        <v>7696</v>
      </c>
      <c r="H930" s="22" t="n">
        <v>18</v>
      </c>
      <c r="I930" s="22" t="s">
        <v>7705</v>
      </c>
      <c r="J930" s="22" t="s">
        <v>6577</v>
      </c>
      <c r="K930" s="22" t="s">
        <v>7138</v>
      </c>
      <c r="L930" s="22" t="s">
        <v>2863</v>
      </c>
      <c r="M930" s="22" t="s">
        <v>2864</v>
      </c>
      <c r="N930" s="22" t="s">
        <v>2865</v>
      </c>
      <c r="O930" s="22" t="n">
        <v>38.9</v>
      </c>
      <c r="P930" s="22" t="n">
        <v>7.55</v>
      </c>
      <c r="Q930" s="22" t="s">
        <v>6781</v>
      </c>
      <c r="R930" s="22"/>
    </row>
    <row r="931" customFormat="false" ht="15" hidden="false" customHeight="false" outlineLevel="0" collapsed="false">
      <c r="A931" s="22" t="s">
        <v>8287</v>
      </c>
      <c r="B931" s="22" t="s">
        <v>499</v>
      </c>
      <c r="C931" s="22" t="s">
        <v>7694</v>
      </c>
      <c r="D931" s="22" t="s">
        <v>7126</v>
      </c>
      <c r="E931" s="22" t="n">
        <v>45</v>
      </c>
      <c r="F931" s="22" t="s">
        <v>7704</v>
      </c>
      <c r="G931" s="22" t="s">
        <v>7696</v>
      </c>
      <c r="H931" s="22" t="n">
        <v>16</v>
      </c>
      <c r="I931" s="22" t="s">
        <v>7705</v>
      </c>
      <c r="J931" s="22" t="s">
        <v>6577</v>
      </c>
      <c r="K931" s="22" t="s">
        <v>7140</v>
      </c>
      <c r="L931" s="22" t="s">
        <v>2185</v>
      </c>
      <c r="M931" s="22" t="s">
        <v>2186</v>
      </c>
      <c r="N931" s="22" t="s">
        <v>364</v>
      </c>
      <c r="O931" s="22" t="n">
        <v>53.3</v>
      </c>
      <c r="P931" s="22" t="n">
        <v>7.55</v>
      </c>
      <c r="Q931" s="22" t="s">
        <v>7068</v>
      </c>
      <c r="R931" s="22"/>
    </row>
    <row r="932" customFormat="false" ht="15" hidden="false" customHeight="false" outlineLevel="0" collapsed="false">
      <c r="A932" s="22" t="s">
        <v>8288</v>
      </c>
      <c r="B932" s="22" t="s">
        <v>499</v>
      </c>
      <c r="C932" s="22" t="s">
        <v>7694</v>
      </c>
      <c r="D932" s="22" t="s">
        <v>7126</v>
      </c>
      <c r="E932" s="22" t="n">
        <v>45</v>
      </c>
      <c r="F932" s="22" t="s">
        <v>7704</v>
      </c>
      <c r="G932" s="22" t="s">
        <v>7696</v>
      </c>
      <c r="H932" s="22" t="n">
        <v>16</v>
      </c>
      <c r="I932" s="22" t="s">
        <v>7705</v>
      </c>
      <c r="J932" s="22" t="s">
        <v>6577</v>
      </c>
      <c r="K932" s="22" t="s">
        <v>7143</v>
      </c>
      <c r="L932" s="22" t="s">
        <v>3431</v>
      </c>
      <c r="M932" s="22" t="s">
        <v>3432</v>
      </c>
      <c r="N932" s="22" t="s">
        <v>178</v>
      </c>
      <c r="O932" s="22" t="n">
        <v>25.5</v>
      </c>
      <c r="P932" s="22" t="n">
        <v>7.55</v>
      </c>
      <c r="Q932" s="22" t="s">
        <v>8289</v>
      </c>
      <c r="R932" s="22"/>
    </row>
    <row r="933" customFormat="false" ht="15" hidden="false" customHeight="false" outlineLevel="0" collapsed="false">
      <c r="A933" s="22" t="s">
        <v>8290</v>
      </c>
      <c r="B933" s="22" t="s">
        <v>499</v>
      </c>
      <c r="C933" s="22" t="s">
        <v>7694</v>
      </c>
      <c r="D933" s="22" t="s">
        <v>7126</v>
      </c>
      <c r="E933" s="22" t="n">
        <v>24</v>
      </c>
      <c r="F933" s="22" t="s">
        <v>6574</v>
      </c>
      <c r="G933" s="22" t="s">
        <v>7696</v>
      </c>
      <c r="H933" s="22" t="n">
        <v>9</v>
      </c>
      <c r="I933" s="22" t="s">
        <v>6576</v>
      </c>
      <c r="J933" s="22" t="s">
        <v>6577</v>
      </c>
      <c r="K933" s="22" t="s">
        <v>7146</v>
      </c>
      <c r="L933" s="22" t="s">
        <v>1772</v>
      </c>
      <c r="M933" s="22" t="s">
        <v>1773</v>
      </c>
      <c r="N933" s="22" t="s">
        <v>1774</v>
      </c>
      <c r="O933" s="22" t="n">
        <v>50.9</v>
      </c>
      <c r="P933" s="22" t="n">
        <v>7.55</v>
      </c>
      <c r="Q933" s="22" t="s">
        <v>6987</v>
      </c>
      <c r="R933" s="22"/>
    </row>
    <row r="934" customFormat="false" ht="15" hidden="false" customHeight="false" outlineLevel="0" collapsed="false">
      <c r="A934" s="22" t="s">
        <v>8291</v>
      </c>
      <c r="B934" s="22" t="s">
        <v>499</v>
      </c>
      <c r="C934" s="22" t="s">
        <v>7694</v>
      </c>
      <c r="D934" s="22" t="s">
        <v>7126</v>
      </c>
      <c r="E934" s="22" t="n">
        <v>40</v>
      </c>
      <c r="F934" s="22" t="s">
        <v>6581</v>
      </c>
      <c r="G934" s="22" t="s">
        <v>7696</v>
      </c>
      <c r="H934" s="22" t="n">
        <v>14</v>
      </c>
      <c r="I934" s="22" t="s">
        <v>6582</v>
      </c>
      <c r="J934" s="22" t="s">
        <v>6577</v>
      </c>
      <c r="K934" s="22" t="s">
        <v>7149</v>
      </c>
      <c r="L934" s="22" t="s">
        <v>261</v>
      </c>
      <c r="M934" s="22" t="s">
        <v>262</v>
      </c>
      <c r="N934" s="22" t="s">
        <v>263</v>
      </c>
      <c r="O934" s="22" t="n">
        <v>29</v>
      </c>
      <c r="P934" s="22" t="n">
        <v>7.55</v>
      </c>
      <c r="Q934" s="22" t="s">
        <v>7136</v>
      </c>
      <c r="R934" s="22"/>
    </row>
    <row r="935" customFormat="false" ht="15" hidden="false" customHeight="false" outlineLevel="0" collapsed="false">
      <c r="A935" s="22" t="s">
        <v>8292</v>
      </c>
      <c r="B935" s="22" t="s">
        <v>499</v>
      </c>
      <c r="C935" s="22" t="s">
        <v>7694</v>
      </c>
      <c r="D935" s="22" t="s">
        <v>7126</v>
      </c>
      <c r="E935" s="22" t="n">
        <v>50</v>
      </c>
      <c r="F935" s="22" t="s">
        <v>7704</v>
      </c>
      <c r="G935" s="22" t="s">
        <v>7696</v>
      </c>
      <c r="H935" s="22" t="n">
        <v>18</v>
      </c>
      <c r="I935" s="22" t="s">
        <v>7705</v>
      </c>
      <c r="J935" s="22" t="s">
        <v>6577</v>
      </c>
      <c r="K935" s="22" t="s">
        <v>7152</v>
      </c>
      <c r="L935" s="22" t="s">
        <v>1575</v>
      </c>
      <c r="M935" s="22" t="s">
        <v>1576</v>
      </c>
      <c r="N935" s="22" t="s">
        <v>477</v>
      </c>
      <c r="O935" s="22" t="n">
        <v>25.9</v>
      </c>
      <c r="P935" s="22" t="n">
        <v>7.55</v>
      </c>
      <c r="Q935" s="22" t="s">
        <v>7648</v>
      </c>
      <c r="R935" s="22"/>
    </row>
    <row r="936" customFormat="false" ht="15" hidden="false" customHeight="false" outlineLevel="0" collapsed="false">
      <c r="A936" s="22" t="s">
        <v>8293</v>
      </c>
      <c r="B936" s="22" t="s">
        <v>499</v>
      </c>
      <c r="C936" s="22" t="s">
        <v>7694</v>
      </c>
      <c r="D936" s="22" t="s">
        <v>7126</v>
      </c>
      <c r="E936" s="22" t="n">
        <v>32</v>
      </c>
      <c r="F936" s="22" t="s">
        <v>6581</v>
      </c>
      <c r="G936" s="22" t="s">
        <v>7696</v>
      </c>
      <c r="H936" s="22" t="n">
        <v>12</v>
      </c>
      <c r="I936" s="22" t="s">
        <v>6576</v>
      </c>
      <c r="J936" s="22" t="s">
        <v>6577</v>
      </c>
      <c r="K936" s="22" t="s">
        <v>7155</v>
      </c>
      <c r="L936" s="22" t="s">
        <v>6003</v>
      </c>
      <c r="M936" s="22" t="s">
        <v>6004</v>
      </c>
      <c r="N936" s="22" t="s">
        <v>1508</v>
      </c>
      <c r="O936" s="22" t="n">
        <v>36.5</v>
      </c>
      <c r="P936" s="22" t="n">
        <v>7.55</v>
      </c>
      <c r="Q936" s="22" t="s">
        <v>8294</v>
      </c>
      <c r="R936" s="22"/>
    </row>
    <row r="937" customFormat="false" ht="15" hidden="false" customHeight="false" outlineLevel="0" collapsed="false">
      <c r="A937" s="22" t="s">
        <v>8295</v>
      </c>
      <c r="B937" s="22" t="s">
        <v>499</v>
      </c>
      <c r="C937" s="22" t="s">
        <v>7694</v>
      </c>
      <c r="D937" s="22" t="s">
        <v>7126</v>
      </c>
      <c r="E937" s="22" t="n">
        <v>32</v>
      </c>
      <c r="F937" s="22" t="s">
        <v>6581</v>
      </c>
      <c r="G937" s="22" t="s">
        <v>7696</v>
      </c>
      <c r="H937" s="22" t="n">
        <v>12</v>
      </c>
      <c r="I937" s="22" t="s">
        <v>6576</v>
      </c>
      <c r="J937" s="22" t="s">
        <v>6577</v>
      </c>
      <c r="K937" s="22" t="s">
        <v>7157</v>
      </c>
      <c r="L937" s="22" t="s">
        <v>3381</v>
      </c>
      <c r="M937" s="22" t="s">
        <v>3382</v>
      </c>
      <c r="N937" s="22" t="s">
        <v>2207</v>
      </c>
      <c r="O937" s="22" t="n">
        <v>59</v>
      </c>
      <c r="P937" s="22" t="n">
        <v>7.55</v>
      </c>
      <c r="Q937" s="22" t="s">
        <v>7534</v>
      </c>
      <c r="R937" s="22"/>
    </row>
    <row r="938" customFormat="false" ht="15" hidden="false" customHeight="false" outlineLevel="0" collapsed="false">
      <c r="A938" s="22" t="s">
        <v>8296</v>
      </c>
      <c r="B938" s="22" t="s">
        <v>499</v>
      </c>
      <c r="C938" s="22" t="s">
        <v>7694</v>
      </c>
      <c r="D938" s="22" t="s">
        <v>7126</v>
      </c>
      <c r="E938" s="22" t="n">
        <v>28</v>
      </c>
      <c r="F938" s="22" t="s">
        <v>6574</v>
      </c>
      <c r="G938" s="22" t="s">
        <v>7696</v>
      </c>
      <c r="H938" s="22" t="n">
        <v>10</v>
      </c>
      <c r="I938" s="22" t="s">
        <v>6576</v>
      </c>
      <c r="J938" s="22" t="s">
        <v>6577</v>
      </c>
      <c r="K938" s="22" t="s">
        <v>7159</v>
      </c>
      <c r="L938" s="22" t="s">
        <v>5786</v>
      </c>
      <c r="M938" s="22" t="s">
        <v>5787</v>
      </c>
      <c r="N938" s="22" t="s">
        <v>2394</v>
      </c>
      <c r="O938" s="22" t="n">
        <v>53.1</v>
      </c>
      <c r="P938" s="22" t="n">
        <v>7.55</v>
      </c>
      <c r="Q938" s="22" t="s">
        <v>7034</v>
      </c>
      <c r="R938" s="22"/>
    </row>
    <row r="939" customFormat="false" ht="15" hidden="false" customHeight="false" outlineLevel="0" collapsed="false">
      <c r="A939" s="22" t="s">
        <v>8297</v>
      </c>
      <c r="B939" s="22" t="s">
        <v>499</v>
      </c>
      <c r="C939" s="22" t="s">
        <v>7694</v>
      </c>
      <c r="D939" s="22" t="s">
        <v>7126</v>
      </c>
      <c r="E939" s="22" t="n">
        <v>24</v>
      </c>
      <c r="F939" s="22" t="s">
        <v>6574</v>
      </c>
      <c r="G939" s="22" t="s">
        <v>7696</v>
      </c>
      <c r="H939" s="22" t="n">
        <v>9</v>
      </c>
      <c r="I939" s="22" t="s">
        <v>6576</v>
      </c>
      <c r="J939" s="22" t="s">
        <v>6577</v>
      </c>
      <c r="K939" s="22" t="s">
        <v>7162</v>
      </c>
      <c r="L939" s="22" t="s">
        <v>1401</v>
      </c>
      <c r="M939" s="22" t="s">
        <v>1402</v>
      </c>
      <c r="N939" s="22" t="s">
        <v>1403</v>
      </c>
      <c r="O939" s="22" t="n">
        <v>45.4</v>
      </c>
      <c r="P939" s="22" t="n">
        <v>7.55</v>
      </c>
      <c r="Q939" s="22" t="s">
        <v>8298</v>
      </c>
      <c r="R939" s="22"/>
    </row>
    <row r="940" customFormat="false" ht="15" hidden="false" customHeight="false" outlineLevel="0" collapsed="false">
      <c r="A940" s="22" t="s">
        <v>8299</v>
      </c>
      <c r="B940" s="22" t="s">
        <v>499</v>
      </c>
      <c r="C940" s="22" t="s">
        <v>7694</v>
      </c>
      <c r="D940" s="22" t="s">
        <v>7126</v>
      </c>
      <c r="E940" s="22" t="n">
        <v>32</v>
      </c>
      <c r="F940" s="22" t="s">
        <v>6581</v>
      </c>
      <c r="G940" s="22" t="s">
        <v>7696</v>
      </c>
      <c r="H940" s="22" t="n">
        <v>12</v>
      </c>
      <c r="I940" s="22" t="s">
        <v>6576</v>
      </c>
      <c r="J940" s="22" t="s">
        <v>6577</v>
      </c>
      <c r="K940" s="22" t="s">
        <v>7164</v>
      </c>
      <c r="L940" s="22" t="s">
        <v>6465</v>
      </c>
      <c r="M940" s="22" t="s">
        <v>6466</v>
      </c>
      <c r="N940" s="22" t="s">
        <v>254</v>
      </c>
      <c r="O940" s="22" t="n">
        <v>55.2</v>
      </c>
      <c r="P940" s="22" t="n">
        <v>7.55</v>
      </c>
      <c r="Q940" s="22" t="s">
        <v>8300</v>
      </c>
      <c r="R940" s="22"/>
    </row>
    <row r="941" customFormat="false" ht="15" hidden="false" customHeight="false" outlineLevel="0" collapsed="false">
      <c r="A941" s="22" t="s">
        <v>8301</v>
      </c>
      <c r="B941" s="22" t="s">
        <v>499</v>
      </c>
      <c r="C941" s="22" t="s">
        <v>7694</v>
      </c>
      <c r="D941" s="22" t="s">
        <v>7126</v>
      </c>
      <c r="E941" s="22" t="n">
        <v>24</v>
      </c>
      <c r="F941" s="22" t="s">
        <v>6574</v>
      </c>
      <c r="G941" s="22" t="s">
        <v>7696</v>
      </c>
      <c r="H941" s="22" t="n">
        <v>9</v>
      </c>
      <c r="I941" s="22" t="s">
        <v>6576</v>
      </c>
      <c r="J941" s="22" t="s">
        <v>6577</v>
      </c>
      <c r="K941" s="22" t="s">
        <v>7645</v>
      </c>
      <c r="L941" s="22" t="s">
        <v>2448</v>
      </c>
      <c r="M941" s="22" t="s">
        <v>2449</v>
      </c>
      <c r="N941" s="22" t="s">
        <v>1040</v>
      </c>
      <c r="O941" s="22" t="n">
        <v>61.5</v>
      </c>
      <c r="P941" s="22" t="n">
        <v>7.55</v>
      </c>
      <c r="Q941" s="22" t="s">
        <v>8302</v>
      </c>
      <c r="R941" s="22"/>
    </row>
    <row r="942" customFormat="false" ht="15" hidden="false" customHeight="false" outlineLevel="0" collapsed="false">
      <c r="A942" s="22" t="s">
        <v>8303</v>
      </c>
      <c r="B942" s="22" t="s">
        <v>499</v>
      </c>
      <c r="C942" s="22" t="s">
        <v>7694</v>
      </c>
      <c r="D942" s="22" t="s">
        <v>7126</v>
      </c>
      <c r="E942" s="22" t="n">
        <v>24</v>
      </c>
      <c r="F942" s="22" t="s">
        <v>6574</v>
      </c>
      <c r="G942" s="22" t="s">
        <v>7696</v>
      </c>
      <c r="H942" s="22" t="n">
        <v>9</v>
      </c>
      <c r="I942" s="22" t="s">
        <v>6576</v>
      </c>
      <c r="J942" s="22" t="s">
        <v>6577</v>
      </c>
      <c r="K942" s="22" t="s">
        <v>7168</v>
      </c>
      <c r="L942" s="22" t="s">
        <v>3918</v>
      </c>
      <c r="M942" s="22" t="s">
        <v>3919</v>
      </c>
      <c r="N942" s="22" t="s">
        <v>585</v>
      </c>
      <c r="O942" s="22" t="n">
        <v>56.4</v>
      </c>
      <c r="P942" s="22" t="n">
        <v>7.55</v>
      </c>
      <c r="Q942" s="22" t="s">
        <v>8304</v>
      </c>
      <c r="R942" s="22"/>
    </row>
    <row r="943" customFormat="false" ht="15" hidden="false" customHeight="false" outlineLevel="0" collapsed="false">
      <c r="A943" s="22" t="s">
        <v>8305</v>
      </c>
      <c r="B943" s="22" t="s">
        <v>499</v>
      </c>
      <c r="C943" s="22" t="s">
        <v>7694</v>
      </c>
      <c r="D943" s="22" t="s">
        <v>7126</v>
      </c>
      <c r="E943" s="22" t="n">
        <v>50</v>
      </c>
      <c r="F943" s="22" t="s">
        <v>7704</v>
      </c>
      <c r="G943" s="22" t="s">
        <v>7696</v>
      </c>
      <c r="H943" s="22" t="n">
        <v>18</v>
      </c>
      <c r="I943" s="22" t="s">
        <v>7705</v>
      </c>
      <c r="J943" s="22" t="s">
        <v>6577</v>
      </c>
      <c r="K943" s="22" t="s">
        <v>7171</v>
      </c>
      <c r="L943" s="22" t="s">
        <v>5081</v>
      </c>
      <c r="M943" s="22" t="s">
        <v>5082</v>
      </c>
      <c r="N943" s="22" t="s">
        <v>1232</v>
      </c>
      <c r="O943" s="22" t="n">
        <v>61.6</v>
      </c>
      <c r="P943" s="22" t="n">
        <v>7.55</v>
      </c>
      <c r="Q943" s="22" t="s">
        <v>8306</v>
      </c>
      <c r="R943" s="22"/>
    </row>
    <row r="944" customFormat="false" ht="15" hidden="false" customHeight="false" outlineLevel="0" collapsed="false">
      <c r="A944" s="22" t="s">
        <v>8307</v>
      </c>
      <c r="B944" s="22" t="s">
        <v>499</v>
      </c>
      <c r="C944" s="22" t="s">
        <v>7694</v>
      </c>
      <c r="D944" s="22" t="s">
        <v>7126</v>
      </c>
      <c r="E944" s="22" t="n">
        <v>36</v>
      </c>
      <c r="F944" s="22" t="s">
        <v>6581</v>
      </c>
      <c r="G944" s="22" t="s">
        <v>7696</v>
      </c>
      <c r="H944" s="22" t="n">
        <v>13</v>
      </c>
      <c r="I944" s="22" t="s">
        <v>6582</v>
      </c>
      <c r="J944" s="22" t="s">
        <v>6577</v>
      </c>
      <c r="K944" s="22" t="s">
        <v>7173</v>
      </c>
      <c r="L944" s="22" t="s">
        <v>2504</v>
      </c>
      <c r="M944" s="22" t="s">
        <v>2505</v>
      </c>
      <c r="N944" s="22" t="s">
        <v>2506</v>
      </c>
      <c r="O944" s="22" t="n">
        <v>53.5</v>
      </c>
      <c r="P944" s="22" t="n">
        <v>7.55</v>
      </c>
      <c r="Q944" s="22" t="s">
        <v>7542</v>
      </c>
      <c r="R944" s="22"/>
    </row>
    <row r="945" customFormat="false" ht="15" hidden="false" customHeight="false" outlineLevel="0" collapsed="false">
      <c r="A945" s="22" t="s">
        <v>8308</v>
      </c>
      <c r="B945" s="22" t="s">
        <v>499</v>
      </c>
      <c r="C945" s="22" t="s">
        <v>7694</v>
      </c>
      <c r="D945" s="22" t="s">
        <v>7126</v>
      </c>
      <c r="E945" s="22" t="n">
        <v>28</v>
      </c>
      <c r="F945" s="22" t="s">
        <v>6574</v>
      </c>
      <c r="G945" s="22" t="s">
        <v>7696</v>
      </c>
      <c r="H945" s="22" t="n">
        <v>10</v>
      </c>
      <c r="I945" s="22" t="s">
        <v>6576</v>
      </c>
      <c r="J945" s="22" t="s">
        <v>6577</v>
      </c>
      <c r="K945" s="22" t="s">
        <v>7176</v>
      </c>
      <c r="L945" s="22" t="s">
        <v>1100</v>
      </c>
      <c r="M945" s="22" t="s">
        <v>1101</v>
      </c>
      <c r="N945" s="22" t="s">
        <v>1102</v>
      </c>
      <c r="O945" s="22" t="n">
        <v>35.7</v>
      </c>
      <c r="P945" s="22" t="n">
        <v>7.55</v>
      </c>
      <c r="Q945" s="22" t="s">
        <v>7470</v>
      </c>
      <c r="R945" s="22"/>
    </row>
    <row r="946" customFormat="false" ht="15" hidden="false" customHeight="false" outlineLevel="0" collapsed="false">
      <c r="A946" s="22" t="s">
        <v>8309</v>
      </c>
      <c r="B946" s="22" t="s">
        <v>499</v>
      </c>
      <c r="C946" s="22" t="s">
        <v>7694</v>
      </c>
      <c r="D946" s="22" t="s">
        <v>7126</v>
      </c>
      <c r="E946" s="22" t="n">
        <v>32</v>
      </c>
      <c r="F946" s="22" t="s">
        <v>6581</v>
      </c>
      <c r="G946" s="22" t="s">
        <v>7696</v>
      </c>
      <c r="H946" s="22" t="n">
        <v>12</v>
      </c>
      <c r="I946" s="22" t="s">
        <v>6576</v>
      </c>
      <c r="J946" s="22" t="s">
        <v>6577</v>
      </c>
      <c r="K946" s="22" t="s">
        <v>7179</v>
      </c>
      <c r="L946" s="22" t="s">
        <v>4028</v>
      </c>
      <c r="M946" s="22" t="s">
        <v>4029</v>
      </c>
      <c r="N946" s="22" t="s">
        <v>1374</v>
      </c>
      <c r="O946" s="22" t="n">
        <v>46.7</v>
      </c>
      <c r="P946" s="22" t="n">
        <v>7.55</v>
      </c>
      <c r="Q946" s="22" t="s">
        <v>7005</v>
      </c>
      <c r="R946" s="22"/>
    </row>
    <row r="947" customFormat="false" ht="15" hidden="false" customHeight="false" outlineLevel="0" collapsed="false">
      <c r="A947" s="22" t="s">
        <v>8310</v>
      </c>
      <c r="B947" s="22" t="s">
        <v>499</v>
      </c>
      <c r="C947" s="22" t="s">
        <v>7694</v>
      </c>
      <c r="D947" s="22" t="s">
        <v>7126</v>
      </c>
      <c r="E947" s="22" t="n">
        <v>70</v>
      </c>
      <c r="F947" s="22" t="s">
        <v>7695</v>
      </c>
      <c r="G947" s="22" t="s">
        <v>7696</v>
      </c>
      <c r="H947" s="22" t="n">
        <v>22</v>
      </c>
      <c r="I947" s="22" t="s">
        <v>7697</v>
      </c>
      <c r="J947" s="22" t="s">
        <v>6577</v>
      </c>
      <c r="K947" s="22" t="s">
        <v>7181</v>
      </c>
      <c r="L947" s="22" t="s">
        <v>5802</v>
      </c>
      <c r="M947" s="22" t="s">
        <v>5803</v>
      </c>
      <c r="N947" s="22" t="s">
        <v>1786</v>
      </c>
      <c r="O947" s="22" t="n">
        <v>47.4</v>
      </c>
      <c r="P947" s="22" t="n">
        <v>7.55</v>
      </c>
      <c r="Q947" s="22" t="s">
        <v>7362</v>
      </c>
      <c r="R947" s="22"/>
    </row>
    <row r="948" customFormat="false" ht="15" hidden="false" customHeight="false" outlineLevel="0" collapsed="false">
      <c r="A948" s="22" t="s">
        <v>8311</v>
      </c>
      <c r="B948" s="22" t="s">
        <v>499</v>
      </c>
      <c r="C948" s="22" t="s">
        <v>7694</v>
      </c>
      <c r="D948" s="22" t="s">
        <v>7126</v>
      </c>
      <c r="E948" s="22" t="n">
        <v>70</v>
      </c>
      <c r="F948" s="22" t="s">
        <v>7695</v>
      </c>
      <c r="G948" s="22" t="s">
        <v>7696</v>
      </c>
      <c r="H948" s="22" t="n">
        <v>22</v>
      </c>
      <c r="I948" s="22" t="s">
        <v>7697</v>
      </c>
      <c r="J948" s="22" t="s">
        <v>6577</v>
      </c>
      <c r="K948" s="22" t="s">
        <v>7183</v>
      </c>
      <c r="L948" s="22" t="s">
        <v>3859</v>
      </c>
      <c r="M948" s="22" t="s">
        <v>3860</v>
      </c>
      <c r="N948" s="22" t="s">
        <v>431</v>
      </c>
      <c r="O948" s="22" t="n">
        <v>26.3</v>
      </c>
      <c r="P948" s="22" t="n">
        <v>7.55</v>
      </c>
      <c r="Q948" s="22" t="s">
        <v>7729</v>
      </c>
      <c r="R948" s="22"/>
    </row>
    <row r="949" customFormat="false" ht="15" hidden="false" customHeight="false" outlineLevel="0" collapsed="false">
      <c r="A949" s="22" t="s">
        <v>8312</v>
      </c>
      <c r="B949" s="22" t="s">
        <v>499</v>
      </c>
      <c r="C949" s="22" t="s">
        <v>7694</v>
      </c>
      <c r="D949" s="22" t="s">
        <v>7188</v>
      </c>
      <c r="E949" s="22" t="n">
        <v>32</v>
      </c>
      <c r="F949" s="22" t="s">
        <v>6581</v>
      </c>
      <c r="G949" s="22" t="s">
        <v>7696</v>
      </c>
      <c r="H949" s="22" t="n">
        <v>12</v>
      </c>
      <c r="I949" s="22" t="s">
        <v>6576</v>
      </c>
      <c r="J949" s="22" t="s">
        <v>6577</v>
      </c>
      <c r="K949" s="22" t="s">
        <v>7189</v>
      </c>
      <c r="L949" s="22" t="s">
        <v>2824</v>
      </c>
      <c r="M949" s="22" t="s">
        <v>2825</v>
      </c>
      <c r="N949" s="22" t="s">
        <v>1840</v>
      </c>
      <c r="O949" s="22" t="n">
        <v>47.2</v>
      </c>
      <c r="P949" s="22" t="n">
        <v>7.55</v>
      </c>
      <c r="Q949" s="22" t="s">
        <v>7371</v>
      </c>
      <c r="R949" s="22"/>
    </row>
    <row r="950" customFormat="false" ht="15" hidden="false" customHeight="false" outlineLevel="0" collapsed="false">
      <c r="A950" s="22" t="s">
        <v>8313</v>
      </c>
      <c r="B950" s="22" t="s">
        <v>499</v>
      </c>
      <c r="C950" s="22" t="s">
        <v>7694</v>
      </c>
      <c r="D950" s="22" t="s">
        <v>7188</v>
      </c>
      <c r="E950" s="22" t="n">
        <v>60</v>
      </c>
      <c r="F950" s="22" t="s">
        <v>7695</v>
      </c>
      <c r="G950" s="22" t="s">
        <v>7696</v>
      </c>
      <c r="H950" s="22" t="n">
        <v>20</v>
      </c>
      <c r="I950" s="22" t="s">
        <v>7697</v>
      </c>
      <c r="J950" s="22" t="s">
        <v>6577</v>
      </c>
      <c r="K950" s="22" t="s">
        <v>7192</v>
      </c>
      <c r="L950" s="22" t="s">
        <v>478</v>
      </c>
      <c r="M950" s="22" t="s">
        <v>479</v>
      </c>
      <c r="N950" s="22" t="s">
        <v>480</v>
      </c>
      <c r="O950" s="22" t="n">
        <v>36.7</v>
      </c>
      <c r="P950" s="22" t="n">
        <v>7.55</v>
      </c>
      <c r="Q950" s="22" t="s">
        <v>6729</v>
      </c>
      <c r="R950" s="22"/>
    </row>
    <row r="951" customFormat="false" ht="15" hidden="false" customHeight="false" outlineLevel="0" collapsed="false">
      <c r="A951" s="22" t="s">
        <v>8314</v>
      </c>
      <c r="B951" s="22" t="s">
        <v>499</v>
      </c>
      <c r="C951" s="22" t="s">
        <v>7694</v>
      </c>
      <c r="D951" s="22" t="s">
        <v>7188</v>
      </c>
      <c r="E951" s="22" t="n">
        <v>24</v>
      </c>
      <c r="F951" s="22" t="s">
        <v>6574</v>
      </c>
      <c r="G951" s="22" t="s">
        <v>7696</v>
      </c>
      <c r="H951" s="22" t="n">
        <v>9</v>
      </c>
      <c r="I951" s="22" t="s">
        <v>6576</v>
      </c>
      <c r="J951" s="22" t="s">
        <v>6577</v>
      </c>
      <c r="K951" s="22" t="s">
        <v>7195</v>
      </c>
      <c r="L951" s="22" t="s">
        <v>4838</v>
      </c>
      <c r="M951" s="22" t="s">
        <v>4839</v>
      </c>
      <c r="N951" s="22" t="s">
        <v>290</v>
      </c>
      <c r="O951" s="22" t="n">
        <v>19</v>
      </c>
      <c r="P951" s="22" t="n">
        <v>7.55</v>
      </c>
      <c r="Q951" s="22" t="s">
        <v>6716</v>
      </c>
      <c r="R951" s="22"/>
    </row>
    <row r="952" customFormat="false" ht="15" hidden="false" customHeight="false" outlineLevel="0" collapsed="false">
      <c r="A952" s="22" t="s">
        <v>8315</v>
      </c>
      <c r="B952" s="22" t="s">
        <v>499</v>
      </c>
      <c r="C952" s="22" t="s">
        <v>7694</v>
      </c>
      <c r="D952" s="22" t="s">
        <v>7188</v>
      </c>
      <c r="E952" s="22" t="n">
        <v>36</v>
      </c>
      <c r="F952" s="22" t="s">
        <v>6581</v>
      </c>
      <c r="G952" s="22" t="s">
        <v>7696</v>
      </c>
      <c r="H952" s="22" t="n">
        <v>13</v>
      </c>
      <c r="I952" s="22" t="s">
        <v>6582</v>
      </c>
      <c r="J952" s="22" t="s">
        <v>6577</v>
      </c>
      <c r="K952" s="22" t="s">
        <v>7197</v>
      </c>
      <c r="L952" s="22" t="s">
        <v>5034</v>
      </c>
      <c r="M952" s="22" t="s">
        <v>5035</v>
      </c>
      <c r="N952" s="22" t="s">
        <v>616</v>
      </c>
      <c r="O952" s="22" t="n">
        <v>25.8</v>
      </c>
      <c r="P952" s="22" t="n">
        <v>7.55</v>
      </c>
      <c r="Q952" s="22" t="s">
        <v>6868</v>
      </c>
      <c r="R952" s="22"/>
    </row>
    <row r="953" customFormat="false" ht="15" hidden="false" customHeight="false" outlineLevel="0" collapsed="false">
      <c r="A953" s="22" t="s">
        <v>8316</v>
      </c>
      <c r="B953" s="22" t="s">
        <v>499</v>
      </c>
      <c r="C953" s="22" t="s">
        <v>7694</v>
      </c>
      <c r="D953" s="22" t="s">
        <v>7188</v>
      </c>
      <c r="E953" s="22" t="n">
        <v>32</v>
      </c>
      <c r="F953" s="22" t="s">
        <v>6581</v>
      </c>
      <c r="G953" s="22" t="s">
        <v>7696</v>
      </c>
      <c r="H953" s="22" t="n">
        <v>12</v>
      </c>
      <c r="I953" s="22" t="s">
        <v>6576</v>
      </c>
      <c r="J953" s="22" t="s">
        <v>6577</v>
      </c>
      <c r="K953" s="22" t="s">
        <v>7199</v>
      </c>
      <c r="L953" s="22" t="s">
        <v>5121</v>
      </c>
      <c r="M953" s="22" t="s">
        <v>5122</v>
      </c>
      <c r="N953" s="22" t="s">
        <v>469</v>
      </c>
      <c r="O953" s="22" t="n">
        <v>58.4</v>
      </c>
      <c r="P953" s="22" t="n">
        <v>7.55</v>
      </c>
      <c r="Q953" s="22" t="s">
        <v>6762</v>
      </c>
      <c r="R953" s="22"/>
    </row>
    <row r="954" customFormat="false" ht="15" hidden="false" customHeight="false" outlineLevel="0" collapsed="false">
      <c r="A954" s="22" t="s">
        <v>8317</v>
      </c>
      <c r="B954" s="22" t="s">
        <v>499</v>
      </c>
      <c r="C954" s="22" t="s">
        <v>7694</v>
      </c>
      <c r="D954" s="22" t="s">
        <v>7188</v>
      </c>
      <c r="E954" s="22" t="n">
        <v>32</v>
      </c>
      <c r="F954" s="22" t="s">
        <v>6581</v>
      </c>
      <c r="G954" s="22" t="s">
        <v>7696</v>
      </c>
      <c r="H954" s="22" t="n">
        <v>12</v>
      </c>
      <c r="I954" s="22" t="s">
        <v>6576</v>
      </c>
      <c r="J954" s="22" t="s">
        <v>6577</v>
      </c>
      <c r="K954" s="22" t="s">
        <v>7202</v>
      </c>
      <c r="L954" s="22" t="s">
        <v>3017</v>
      </c>
      <c r="M954" s="22" t="s">
        <v>3018</v>
      </c>
      <c r="N954" s="22" t="s">
        <v>684</v>
      </c>
      <c r="O954" s="22" t="n">
        <v>31.4</v>
      </c>
      <c r="P954" s="22" t="n">
        <v>7.55</v>
      </c>
      <c r="Q954" s="22" t="s">
        <v>7087</v>
      </c>
      <c r="R954" s="22"/>
    </row>
    <row r="955" customFormat="false" ht="15" hidden="false" customHeight="false" outlineLevel="0" collapsed="false">
      <c r="A955" s="22" t="s">
        <v>8318</v>
      </c>
      <c r="B955" s="22" t="s">
        <v>499</v>
      </c>
      <c r="C955" s="22" t="s">
        <v>7694</v>
      </c>
      <c r="D955" s="22" t="s">
        <v>7188</v>
      </c>
      <c r="E955" s="22" t="n">
        <v>60</v>
      </c>
      <c r="F955" s="22" t="s">
        <v>7695</v>
      </c>
      <c r="G955" s="22" t="s">
        <v>7696</v>
      </c>
      <c r="H955" s="22" t="n">
        <v>20</v>
      </c>
      <c r="I955" s="22" t="s">
        <v>7697</v>
      </c>
      <c r="J955" s="22" t="s">
        <v>6577</v>
      </c>
      <c r="K955" s="22" t="s">
        <v>7205</v>
      </c>
      <c r="L955" s="22" t="s">
        <v>2068</v>
      </c>
      <c r="M955" s="22" t="s">
        <v>2069</v>
      </c>
      <c r="N955" s="22" t="s">
        <v>956</v>
      </c>
      <c r="O955" s="22" t="n">
        <v>29.1</v>
      </c>
      <c r="P955" s="22" t="n">
        <v>7.55</v>
      </c>
      <c r="Q955" s="22" t="s">
        <v>7319</v>
      </c>
      <c r="R955" s="22"/>
    </row>
    <row r="956" customFormat="false" ht="15" hidden="false" customHeight="false" outlineLevel="0" collapsed="false">
      <c r="A956" s="22" t="s">
        <v>8319</v>
      </c>
      <c r="B956" s="22" t="s">
        <v>499</v>
      </c>
      <c r="C956" s="22" t="s">
        <v>7694</v>
      </c>
      <c r="D956" s="22" t="s">
        <v>7188</v>
      </c>
      <c r="E956" s="22" t="n">
        <v>60</v>
      </c>
      <c r="F956" s="22" t="s">
        <v>7695</v>
      </c>
      <c r="G956" s="22" t="s">
        <v>7696</v>
      </c>
      <c r="H956" s="22" t="n">
        <v>20</v>
      </c>
      <c r="I956" s="22" t="s">
        <v>7697</v>
      </c>
      <c r="J956" s="22" t="s">
        <v>6577</v>
      </c>
      <c r="K956" s="22" t="s">
        <v>7208</v>
      </c>
      <c r="L956" s="22" t="s">
        <v>5170</v>
      </c>
      <c r="M956" s="22" t="s">
        <v>5171</v>
      </c>
      <c r="N956" s="22" t="s">
        <v>1253</v>
      </c>
      <c r="O956" s="22" t="n">
        <v>58.3</v>
      </c>
      <c r="P956" s="22" t="n">
        <v>7.55</v>
      </c>
      <c r="Q956" s="22" t="s">
        <v>8320</v>
      </c>
      <c r="R956" s="22"/>
    </row>
    <row r="957" customFormat="false" ht="15" hidden="false" customHeight="false" outlineLevel="0" collapsed="false">
      <c r="A957" s="22" t="s">
        <v>8321</v>
      </c>
      <c r="B957" s="22" t="s">
        <v>499</v>
      </c>
      <c r="C957" s="22" t="s">
        <v>7694</v>
      </c>
      <c r="D957" s="22" t="s">
        <v>7188</v>
      </c>
      <c r="E957" s="22" t="n">
        <v>45</v>
      </c>
      <c r="F957" s="22" t="s">
        <v>7704</v>
      </c>
      <c r="G957" s="22" t="s">
        <v>7696</v>
      </c>
      <c r="H957" s="22" t="n">
        <v>16</v>
      </c>
      <c r="I957" s="22" t="s">
        <v>7705</v>
      </c>
      <c r="J957" s="22" t="s">
        <v>6577</v>
      </c>
      <c r="K957" s="22" t="s">
        <v>7211</v>
      </c>
      <c r="L957" s="22" t="s">
        <v>5194</v>
      </c>
      <c r="M957" s="22" t="s">
        <v>5195</v>
      </c>
      <c r="N957" s="22" t="s">
        <v>2468</v>
      </c>
      <c r="O957" s="22" t="n">
        <v>47.5</v>
      </c>
      <c r="P957" s="22" t="n">
        <v>7.55</v>
      </c>
      <c r="Q957" s="22" t="s">
        <v>8174</v>
      </c>
      <c r="R957" s="22"/>
    </row>
    <row r="958" customFormat="false" ht="15" hidden="false" customHeight="false" outlineLevel="0" collapsed="false">
      <c r="A958" s="22" t="s">
        <v>8322</v>
      </c>
      <c r="B958" s="22" t="s">
        <v>499</v>
      </c>
      <c r="C958" s="22" t="s">
        <v>7694</v>
      </c>
      <c r="D958" s="22" t="s">
        <v>7188</v>
      </c>
      <c r="E958" s="22" t="n">
        <v>45</v>
      </c>
      <c r="F958" s="22" t="s">
        <v>7704</v>
      </c>
      <c r="G958" s="22" t="s">
        <v>7696</v>
      </c>
      <c r="H958" s="22" t="n">
        <v>16</v>
      </c>
      <c r="I958" s="22" t="s">
        <v>7705</v>
      </c>
      <c r="J958" s="22" t="s">
        <v>6577</v>
      </c>
      <c r="K958" s="22" t="s">
        <v>7213</v>
      </c>
      <c r="L958" s="22" t="s">
        <v>1599</v>
      </c>
      <c r="M958" s="22" t="s">
        <v>1600</v>
      </c>
      <c r="N958" s="22" t="s">
        <v>1307</v>
      </c>
      <c r="O958" s="22" t="n">
        <v>27.2</v>
      </c>
      <c r="P958" s="22" t="n">
        <v>7.55</v>
      </c>
      <c r="Q958" s="22" t="s">
        <v>8323</v>
      </c>
      <c r="R958" s="22"/>
    </row>
    <row r="959" customFormat="false" ht="15" hidden="false" customHeight="false" outlineLevel="0" collapsed="false">
      <c r="A959" s="22" t="s">
        <v>8324</v>
      </c>
      <c r="B959" s="22" t="s">
        <v>499</v>
      </c>
      <c r="C959" s="22" t="s">
        <v>7694</v>
      </c>
      <c r="D959" s="22" t="s">
        <v>7188</v>
      </c>
      <c r="E959" s="22" t="n">
        <v>80</v>
      </c>
      <c r="F959" s="22" t="s">
        <v>7695</v>
      </c>
      <c r="G959" s="22" t="s">
        <v>7696</v>
      </c>
      <c r="H959" s="22" t="n">
        <v>24</v>
      </c>
      <c r="I959" s="22" t="s">
        <v>7697</v>
      </c>
      <c r="J959" s="22" t="s">
        <v>6577</v>
      </c>
      <c r="K959" s="22" t="s">
        <v>7216</v>
      </c>
      <c r="L959" s="22" t="s">
        <v>3207</v>
      </c>
      <c r="M959" s="22" t="s">
        <v>3208</v>
      </c>
      <c r="N959" s="22" t="s">
        <v>938</v>
      </c>
      <c r="O959" s="22" t="n">
        <v>51.7</v>
      </c>
      <c r="P959" s="22" t="n">
        <v>7.55</v>
      </c>
      <c r="Q959" s="22" t="s">
        <v>6810</v>
      </c>
      <c r="R959" s="22"/>
    </row>
    <row r="960" customFormat="false" ht="15" hidden="false" customHeight="false" outlineLevel="0" collapsed="false">
      <c r="A960" s="22" t="s">
        <v>8325</v>
      </c>
      <c r="B960" s="22" t="s">
        <v>499</v>
      </c>
      <c r="C960" s="22" t="s">
        <v>7694</v>
      </c>
      <c r="D960" s="22" t="s">
        <v>7188</v>
      </c>
      <c r="E960" s="22" t="n">
        <v>80</v>
      </c>
      <c r="F960" s="22" t="s">
        <v>7695</v>
      </c>
      <c r="G960" s="22" t="s">
        <v>7696</v>
      </c>
      <c r="H960" s="22" t="n">
        <v>24</v>
      </c>
      <c r="I960" s="22" t="s">
        <v>7697</v>
      </c>
      <c r="J960" s="22" t="s">
        <v>6577</v>
      </c>
      <c r="K960" s="22" t="s">
        <v>7219</v>
      </c>
      <c r="L960" s="22" t="s">
        <v>1450</v>
      </c>
      <c r="M960" s="22" t="s">
        <v>1451</v>
      </c>
      <c r="N960" s="22" t="s">
        <v>1175</v>
      </c>
      <c r="O960" s="22" t="n">
        <v>48</v>
      </c>
      <c r="P960" s="22" t="n">
        <v>7.55</v>
      </c>
      <c r="Q960" s="22" t="s">
        <v>7276</v>
      </c>
      <c r="R960" s="22"/>
    </row>
    <row r="961" customFormat="false" ht="15" hidden="false" customHeight="false" outlineLevel="0" collapsed="false">
      <c r="A961" s="22" t="s">
        <v>8326</v>
      </c>
      <c r="B961" s="22" t="s">
        <v>499</v>
      </c>
      <c r="C961" s="22" t="s">
        <v>7694</v>
      </c>
      <c r="D961" s="22" t="s">
        <v>7188</v>
      </c>
      <c r="E961" s="22" t="n">
        <v>60</v>
      </c>
      <c r="F961" s="22" t="s">
        <v>7695</v>
      </c>
      <c r="G961" s="22" t="s">
        <v>7696</v>
      </c>
      <c r="H961" s="22" t="n">
        <v>20</v>
      </c>
      <c r="I961" s="22" t="s">
        <v>7697</v>
      </c>
      <c r="J961" s="22" t="s">
        <v>6577</v>
      </c>
      <c r="K961" s="22" t="s">
        <v>7222</v>
      </c>
      <c r="L961" s="22" t="s">
        <v>2724</v>
      </c>
      <c r="M961" s="22" t="s">
        <v>2725</v>
      </c>
      <c r="N961" s="22" t="s">
        <v>1690</v>
      </c>
      <c r="O961" s="22" t="n">
        <v>27.1</v>
      </c>
      <c r="P961" s="22" t="n">
        <v>7.55</v>
      </c>
      <c r="Q961" s="22" t="s">
        <v>6746</v>
      </c>
      <c r="R961" s="22"/>
    </row>
    <row r="962" customFormat="false" ht="15" hidden="false" customHeight="false" outlineLevel="0" collapsed="false">
      <c r="A962" s="22" t="s">
        <v>8327</v>
      </c>
      <c r="B962" s="22" t="s">
        <v>499</v>
      </c>
      <c r="C962" s="22" t="s">
        <v>7694</v>
      </c>
      <c r="D962" s="22" t="s">
        <v>7188</v>
      </c>
      <c r="E962" s="22" t="n">
        <v>32</v>
      </c>
      <c r="F962" s="22" t="s">
        <v>6581</v>
      </c>
      <c r="G962" s="22" t="s">
        <v>7696</v>
      </c>
      <c r="H962" s="22" t="n">
        <v>12</v>
      </c>
      <c r="I962" s="22" t="s">
        <v>6576</v>
      </c>
      <c r="J962" s="22" t="s">
        <v>6577</v>
      </c>
      <c r="K962" s="22" t="s">
        <v>7224</v>
      </c>
      <c r="L962" s="22" t="s">
        <v>4869</v>
      </c>
      <c r="M962" s="22" t="s">
        <v>4870</v>
      </c>
      <c r="N962" s="22" t="s">
        <v>717</v>
      </c>
      <c r="O962" s="22" t="n">
        <v>30.6</v>
      </c>
      <c r="P962" s="22" t="n">
        <v>7.55</v>
      </c>
      <c r="Q962" s="22" t="s">
        <v>6990</v>
      </c>
      <c r="R962" s="22"/>
    </row>
    <row r="963" customFormat="false" ht="15" hidden="false" customHeight="false" outlineLevel="0" collapsed="false">
      <c r="A963" s="22" t="s">
        <v>8328</v>
      </c>
      <c r="B963" s="22" t="s">
        <v>499</v>
      </c>
      <c r="C963" s="22" t="s">
        <v>7694</v>
      </c>
      <c r="D963" s="22" t="s">
        <v>7188</v>
      </c>
      <c r="E963" s="22" t="n">
        <v>70</v>
      </c>
      <c r="F963" s="22" t="s">
        <v>7695</v>
      </c>
      <c r="G963" s="22" t="s">
        <v>7696</v>
      </c>
      <c r="H963" s="22" t="n">
        <v>22</v>
      </c>
      <c r="I963" s="22" t="s">
        <v>7697</v>
      </c>
      <c r="J963" s="22" t="s">
        <v>6577</v>
      </c>
      <c r="K963" s="22" t="s">
        <v>7678</v>
      </c>
      <c r="L963" s="22" t="s">
        <v>2956</v>
      </c>
      <c r="M963" s="22" t="s">
        <v>2957</v>
      </c>
      <c r="N963" s="22" t="s">
        <v>588</v>
      </c>
      <c r="O963" s="22" t="n">
        <v>50.8</v>
      </c>
      <c r="P963" s="22" t="n">
        <v>7.55</v>
      </c>
      <c r="Q963" s="22" t="s">
        <v>7667</v>
      </c>
      <c r="R963" s="22"/>
    </row>
    <row r="964" customFormat="false" ht="15" hidden="false" customHeight="false" outlineLevel="0" collapsed="false">
      <c r="A964" s="22" t="s">
        <v>8329</v>
      </c>
      <c r="B964" s="22" t="s">
        <v>499</v>
      </c>
      <c r="C964" s="22" t="s">
        <v>7694</v>
      </c>
      <c r="D964" s="22" t="s">
        <v>7188</v>
      </c>
      <c r="E964" s="22" t="n">
        <v>24</v>
      </c>
      <c r="F964" s="22" t="s">
        <v>6574</v>
      </c>
      <c r="G964" s="22" t="s">
        <v>7696</v>
      </c>
      <c r="H964" s="22" t="n">
        <v>9</v>
      </c>
      <c r="I964" s="22" t="s">
        <v>6576</v>
      </c>
      <c r="J964" s="22" t="s">
        <v>6577</v>
      </c>
      <c r="K964" s="22" t="s">
        <v>7228</v>
      </c>
      <c r="L964" s="22" t="s">
        <v>3593</v>
      </c>
      <c r="M964" s="22" t="s">
        <v>3594</v>
      </c>
      <c r="N964" s="22" t="s">
        <v>2663</v>
      </c>
      <c r="O964" s="22" t="n">
        <v>31.6</v>
      </c>
      <c r="P964" s="22" t="n">
        <v>7.55</v>
      </c>
      <c r="Q964" s="22" t="s">
        <v>7254</v>
      </c>
      <c r="R964" s="22"/>
    </row>
    <row r="965" customFormat="false" ht="15" hidden="false" customHeight="false" outlineLevel="0" collapsed="false">
      <c r="A965" s="22" t="s">
        <v>8330</v>
      </c>
      <c r="B965" s="22" t="s">
        <v>499</v>
      </c>
      <c r="C965" s="22" t="s">
        <v>7694</v>
      </c>
      <c r="D965" s="22" t="s">
        <v>7188</v>
      </c>
      <c r="E965" s="22" t="n">
        <v>32</v>
      </c>
      <c r="F965" s="22" t="s">
        <v>6581</v>
      </c>
      <c r="G965" s="22" t="s">
        <v>7696</v>
      </c>
      <c r="H965" s="22" t="n">
        <v>12</v>
      </c>
      <c r="I965" s="22" t="s">
        <v>6576</v>
      </c>
      <c r="J965" s="22" t="s">
        <v>6577</v>
      </c>
      <c r="K965" s="22" t="s">
        <v>7230</v>
      </c>
      <c r="L965" s="22" t="s">
        <v>1131</v>
      </c>
      <c r="M965" s="22" t="s">
        <v>1132</v>
      </c>
      <c r="N965" s="22" t="s">
        <v>616</v>
      </c>
      <c r="O965" s="22" t="n">
        <v>22.5</v>
      </c>
      <c r="P965" s="22" t="n">
        <v>7.55</v>
      </c>
      <c r="Q965" s="22" t="s">
        <v>8029</v>
      </c>
      <c r="R965" s="22"/>
    </row>
    <row r="966" customFormat="false" ht="15" hidden="false" customHeight="false" outlineLevel="0" collapsed="false">
      <c r="A966" s="22" t="s">
        <v>8331</v>
      </c>
      <c r="B966" s="22" t="s">
        <v>499</v>
      </c>
      <c r="C966" s="22" t="s">
        <v>7694</v>
      </c>
      <c r="D966" s="22" t="s">
        <v>7188</v>
      </c>
      <c r="E966" s="22" t="n">
        <v>24</v>
      </c>
      <c r="F966" s="22" t="s">
        <v>6574</v>
      </c>
      <c r="G966" s="22" t="s">
        <v>7696</v>
      </c>
      <c r="H966" s="22" t="n">
        <v>9</v>
      </c>
      <c r="I966" s="22" t="s">
        <v>6576</v>
      </c>
      <c r="J966" s="22" t="s">
        <v>6577</v>
      </c>
      <c r="K966" s="22" t="s">
        <v>7233</v>
      </c>
      <c r="L966" s="22" t="s">
        <v>4610</v>
      </c>
      <c r="M966" s="22" t="s">
        <v>4611</v>
      </c>
      <c r="N966" s="22" t="s">
        <v>1968</v>
      </c>
      <c r="O966" s="22" t="n">
        <v>51</v>
      </c>
      <c r="P966" s="22" t="n">
        <v>7.55</v>
      </c>
      <c r="Q966" s="22" t="s">
        <v>7432</v>
      </c>
      <c r="R966" s="22"/>
    </row>
    <row r="967" customFormat="false" ht="15" hidden="false" customHeight="false" outlineLevel="0" collapsed="false">
      <c r="A967" s="22" t="s">
        <v>8332</v>
      </c>
      <c r="B967" s="22" t="s">
        <v>499</v>
      </c>
      <c r="C967" s="22" t="s">
        <v>7694</v>
      </c>
      <c r="D967" s="22" t="s">
        <v>7188</v>
      </c>
      <c r="E967" s="22" t="n">
        <v>45</v>
      </c>
      <c r="F967" s="22" t="s">
        <v>7704</v>
      </c>
      <c r="G967" s="22" t="s">
        <v>7696</v>
      </c>
      <c r="H967" s="22" t="n">
        <v>16</v>
      </c>
      <c r="I967" s="22" t="s">
        <v>7705</v>
      </c>
      <c r="J967" s="22" t="s">
        <v>6577</v>
      </c>
      <c r="K967" s="22" t="s">
        <v>7685</v>
      </c>
      <c r="L967" s="22" t="s">
        <v>3154</v>
      </c>
      <c r="M967" s="22" t="s">
        <v>3155</v>
      </c>
      <c r="N967" s="22" t="s">
        <v>1629</v>
      </c>
      <c r="O967" s="22" t="n">
        <v>42.1</v>
      </c>
      <c r="P967" s="22" t="n">
        <v>7.55</v>
      </c>
      <c r="Q967" s="22" t="s">
        <v>7444</v>
      </c>
      <c r="R967" s="22"/>
    </row>
    <row r="968" customFormat="false" ht="15" hidden="false" customHeight="false" outlineLevel="0" collapsed="false">
      <c r="A968" s="22" t="s">
        <v>8333</v>
      </c>
      <c r="B968" s="22" t="s">
        <v>499</v>
      </c>
      <c r="C968" s="22" t="s">
        <v>7694</v>
      </c>
      <c r="D968" s="22" t="s">
        <v>7188</v>
      </c>
      <c r="E968" s="22" t="n">
        <v>32</v>
      </c>
      <c r="F968" s="22" t="s">
        <v>6581</v>
      </c>
      <c r="G968" s="22" t="s">
        <v>7696</v>
      </c>
      <c r="H968" s="22" t="n">
        <v>12</v>
      </c>
      <c r="I968" s="22" t="s">
        <v>6576</v>
      </c>
      <c r="J968" s="22" t="s">
        <v>6577</v>
      </c>
      <c r="K968" s="22" t="s">
        <v>7236</v>
      </c>
      <c r="L968" s="22" t="s">
        <v>6291</v>
      </c>
      <c r="M968" s="22" t="s">
        <v>6292</v>
      </c>
      <c r="N968" s="22" t="s">
        <v>852</v>
      </c>
      <c r="O968" s="22" t="n">
        <v>19.8</v>
      </c>
      <c r="P968" s="22" t="n">
        <v>7.55</v>
      </c>
      <c r="Q968" s="22" t="s">
        <v>8306</v>
      </c>
      <c r="R968" s="22"/>
    </row>
    <row r="969" customFormat="false" ht="15" hidden="false" customHeight="false" outlineLevel="0" collapsed="false">
      <c r="A969" s="22" t="s">
        <v>8334</v>
      </c>
      <c r="B969" s="22" t="s">
        <v>499</v>
      </c>
      <c r="C969" s="22" t="s">
        <v>7694</v>
      </c>
      <c r="D969" s="22" t="s">
        <v>7188</v>
      </c>
      <c r="E969" s="22" t="n">
        <v>45</v>
      </c>
      <c r="F969" s="22" t="s">
        <v>7704</v>
      </c>
      <c r="G969" s="22" t="s">
        <v>7696</v>
      </c>
      <c r="H969" s="22" t="n">
        <v>16</v>
      </c>
      <c r="I969" s="22" t="s">
        <v>7705</v>
      </c>
      <c r="J969" s="22" t="s">
        <v>6577</v>
      </c>
      <c r="K969" s="22" t="s">
        <v>7238</v>
      </c>
      <c r="L969" s="22" t="s">
        <v>5526</v>
      </c>
      <c r="M969" s="22" t="s">
        <v>5527</v>
      </c>
      <c r="N969" s="22" t="s">
        <v>591</v>
      </c>
      <c r="O969" s="22" t="n">
        <v>28.5</v>
      </c>
      <c r="P969" s="22" t="n">
        <v>7.55</v>
      </c>
      <c r="Q969" s="22" t="s">
        <v>8335</v>
      </c>
      <c r="R969" s="22"/>
    </row>
    <row r="970" customFormat="false" ht="15" hidden="false" customHeight="false" outlineLevel="0" collapsed="false">
      <c r="A970" s="22" t="s">
        <v>8336</v>
      </c>
      <c r="B970" s="22" t="s">
        <v>499</v>
      </c>
      <c r="C970" s="22" t="s">
        <v>7694</v>
      </c>
      <c r="D970" s="22" t="s">
        <v>7188</v>
      </c>
      <c r="E970" s="22" t="n">
        <v>36</v>
      </c>
      <c r="F970" s="22" t="s">
        <v>6581</v>
      </c>
      <c r="G970" s="22" t="s">
        <v>7696</v>
      </c>
      <c r="H970" s="22" t="n">
        <v>13</v>
      </c>
      <c r="I970" s="22" t="s">
        <v>6582</v>
      </c>
      <c r="J970" s="22" t="s">
        <v>6671</v>
      </c>
      <c r="K970" s="22"/>
      <c r="L970" s="22"/>
      <c r="M970" s="22"/>
      <c r="N970" s="22"/>
      <c r="O970" s="22"/>
      <c r="P970" s="22" t="n">
        <v>7.55</v>
      </c>
      <c r="Q970" s="22" t="s">
        <v>7702</v>
      </c>
      <c r="R970" s="22"/>
    </row>
    <row r="971" customFormat="false" ht="15" hidden="false" customHeight="false" outlineLevel="0" collapsed="false">
      <c r="A971" s="22" t="s">
        <v>8337</v>
      </c>
      <c r="B971" s="22" t="s">
        <v>499</v>
      </c>
      <c r="C971" s="22" t="s">
        <v>7694</v>
      </c>
      <c r="D971" s="22" t="s">
        <v>7188</v>
      </c>
      <c r="E971" s="22" t="n">
        <v>28</v>
      </c>
      <c r="F971" s="22" t="s">
        <v>6574</v>
      </c>
      <c r="G971" s="22" t="s">
        <v>7696</v>
      </c>
      <c r="H971" s="22" t="n">
        <v>10</v>
      </c>
      <c r="I971" s="22" t="s">
        <v>6576</v>
      </c>
      <c r="J971" s="22" t="s">
        <v>6577</v>
      </c>
      <c r="K971" s="22" t="s">
        <v>7242</v>
      </c>
      <c r="L971" s="22" t="s">
        <v>4388</v>
      </c>
      <c r="M971" s="22" t="s">
        <v>4389</v>
      </c>
      <c r="N971" s="22" t="s">
        <v>2001</v>
      </c>
      <c r="O971" s="22" t="n">
        <v>35</v>
      </c>
      <c r="P971" s="22" t="n">
        <v>7.55</v>
      </c>
      <c r="Q971" s="22" t="s">
        <v>7446</v>
      </c>
      <c r="R971" s="22"/>
    </row>
    <row r="972" customFormat="false" ht="15" hidden="false" customHeight="false" outlineLevel="0" collapsed="false">
      <c r="A972" s="22" t="s">
        <v>8338</v>
      </c>
      <c r="B972" s="22" t="s">
        <v>188</v>
      </c>
      <c r="C972" s="22" t="s">
        <v>7694</v>
      </c>
      <c r="D972" s="22" t="s">
        <v>6573</v>
      </c>
      <c r="E972" s="22" t="n">
        <v>70</v>
      </c>
      <c r="F972" s="22" t="s">
        <v>7695</v>
      </c>
      <c r="G972" s="22" t="s">
        <v>7696</v>
      </c>
      <c r="H972" s="22" t="n">
        <v>22</v>
      </c>
      <c r="I972" s="22" t="s">
        <v>7697</v>
      </c>
      <c r="J972" s="22" t="s">
        <v>6577</v>
      </c>
      <c r="K972" s="22" t="s">
        <v>6578</v>
      </c>
      <c r="L972" s="22" t="s">
        <v>4855</v>
      </c>
      <c r="M972" s="22" t="s">
        <v>4856</v>
      </c>
      <c r="N972" s="22" t="s">
        <v>1074</v>
      </c>
      <c r="O972" s="22" t="n">
        <v>27.6</v>
      </c>
      <c r="P972" s="22" t="n">
        <v>7.55</v>
      </c>
      <c r="Q972" s="22" t="s">
        <v>6940</v>
      </c>
      <c r="R972" s="22"/>
    </row>
    <row r="973" customFormat="false" ht="15" hidden="false" customHeight="false" outlineLevel="0" collapsed="false">
      <c r="A973" s="22" t="s">
        <v>8339</v>
      </c>
      <c r="B973" s="22" t="s">
        <v>188</v>
      </c>
      <c r="C973" s="22" t="s">
        <v>7694</v>
      </c>
      <c r="D973" s="22" t="s">
        <v>6573</v>
      </c>
      <c r="E973" s="22" t="n">
        <v>32</v>
      </c>
      <c r="F973" s="22" t="s">
        <v>6581</v>
      </c>
      <c r="G973" s="22" t="s">
        <v>7696</v>
      </c>
      <c r="H973" s="22" t="n">
        <v>12</v>
      </c>
      <c r="I973" s="22" t="s">
        <v>6576</v>
      </c>
      <c r="J973" s="22" t="s">
        <v>6577</v>
      </c>
      <c r="K973" s="22" t="s">
        <v>6583</v>
      </c>
      <c r="L973" s="22" t="s">
        <v>4426</v>
      </c>
      <c r="M973" s="22" t="s">
        <v>4427</v>
      </c>
      <c r="N973" s="22" t="s">
        <v>959</v>
      </c>
      <c r="O973" s="22" t="n">
        <v>44.3</v>
      </c>
      <c r="P973" s="22" t="n">
        <v>7.55</v>
      </c>
      <c r="Q973" s="22" t="s">
        <v>6701</v>
      </c>
      <c r="R973" s="22"/>
    </row>
    <row r="974" customFormat="false" ht="15" hidden="false" customHeight="false" outlineLevel="0" collapsed="false">
      <c r="A974" s="22" t="s">
        <v>8340</v>
      </c>
      <c r="B974" s="22" t="s">
        <v>188</v>
      </c>
      <c r="C974" s="22" t="s">
        <v>7694</v>
      </c>
      <c r="D974" s="22" t="s">
        <v>6573</v>
      </c>
      <c r="E974" s="22" t="n">
        <v>36</v>
      </c>
      <c r="F974" s="22" t="s">
        <v>6581</v>
      </c>
      <c r="G974" s="22" t="s">
        <v>7696</v>
      </c>
      <c r="H974" s="22" t="n">
        <v>13</v>
      </c>
      <c r="I974" s="22" t="s">
        <v>6582</v>
      </c>
      <c r="J974" s="22" t="s">
        <v>6577</v>
      </c>
      <c r="K974" s="22" t="s">
        <v>6586</v>
      </c>
      <c r="L974" s="22" t="s">
        <v>5046</v>
      </c>
      <c r="M974" s="22" t="s">
        <v>5047</v>
      </c>
      <c r="N974" s="22" t="s">
        <v>1187</v>
      </c>
      <c r="O974" s="22" t="n">
        <v>55.5</v>
      </c>
      <c r="P974" s="22" t="n">
        <v>7.55</v>
      </c>
      <c r="Q974" s="22" t="s">
        <v>8341</v>
      </c>
      <c r="R974" s="22"/>
    </row>
    <row r="975" customFormat="false" ht="15" hidden="false" customHeight="false" outlineLevel="0" collapsed="false">
      <c r="A975" s="22" t="s">
        <v>8342</v>
      </c>
      <c r="B975" s="22" t="s">
        <v>188</v>
      </c>
      <c r="C975" s="22" t="s">
        <v>7694</v>
      </c>
      <c r="D975" s="22" t="s">
        <v>6573</v>
      </c>
      <c r="E975" s="22" t="n">
        <v>50</v>
      </c>
      <c r="F975" s="22" t="s">
        <v>7704</v>
      </c>
      <c r="G975" s="22" t="s">
        <v>7696</v>
      </c>
      <c r="H975" s="22" t="n">
        <v>18</v>
      </c>
      <c r="I975" s="22" t="s">
        <v>7705</v>
      </c>
      <c r="J975" s="22" t="s">
        <v>6577</v>
      </c>
      <c r="K975" s="22" t="s">
        <v>6589</v>
      </c>
      <c r="L975" s="22" t="s">
        <v>2815</v>
      </c>
      <c r="M975" s="22" t="s">
        <v>2816</v>
      </c>
      <c r="N975" s="22" t="s">
        <v>516</v>
      </c>
      <c r="O975" s="22" t="n">
        <v>52.4</v>
      </c>
      <c r="P975" s="22" t="n">
        <v>7.55</v>
      </c>
      <c r="Q975" s="22" t="s">
        <v>6689</v>
      </c>
      <c r="R975" s="22"/>
    </row>
    <row r="976" customFormat="false" ht="15" hidden="false" customHeight="false" outlineLevel="0" collapsed="false">
      <c r="A976" s="22" t="s">
        <v>8343</v>
      </c>
      <c r="B976" s="22" t="s">
        <v>188</v>
      </c>
      <c r="C976" s="22" t="s">
        <v>7694</v>
      </c>
      <c r="D976" s="22" t="s">
        <v>6573</v>
      </c>
      <c r="E976" s="22" t="n">
        <v>60</v>
      </c>
      <c r="F976" s="22" t="s">
        <v>7695</v>
      </c>
      <c r="G976" s="22" t="s">
        <v>7696</v>
      </c>
      <c r="H976" s="22" t="n">
        <v>20</v>
      </c>
      <c r="I976" s="22" t="s">
        <v>7697</v>
      </c>
      <c r="J976" s="22" t="s">
        <v>6671</v>
      </c>
      <c r="K976" s="22"/>
      <c r="L976" s="22"/>
      <c r="M976" s="22"/>
      <c r="N976" s="22"/>
      <c r="O976" s="22"/>
      <c r="P976" s="22" t="n">
        <v>7.55</v>
      </c>
      <c r="Q976" s="22" t="s">
        <v>8344</v>
      </c>
      <c r="R976" s="22"/>
    </row>
    <row r="977" customFormat="false" ht="15" hidden="false" customHeight="false" outlineLevel="0" collapsed="false">
      <c r="A977" s="22" t="s">
        <v>8345</v>
      </c>
      <c r="B977" s="22" t="s">
        <v>188</v>
      </c>
      <c r="C977" s="22" t="s">
        <v>7694</v>
      </c>
      <c r="D977" s="22" t="s">
        <v>6573</v>
      </c>
      <c r="E977" s="22" t="n">
        <v>28</v>
      </c>
      <c r="F977" s="22" t="s">
        <v>6574</v>
      </c>
      <c r="G977" s="22" t="s">
        <v>7696</v>
      </c>
      <c r="H977" s="22" t="n">
        <v>10</v>
      </c>
      <c r="I977" s="22" t="s">
        <v>6576</v>
      </c>
      <c r="J977" s="22" t="s">
        <v>6577</v>
      </c>
      <c r="K977" s="22" t="s">
        <v>6595</v>
      </c>
      <c r="L977" s="22" t="s">
        <v>6212</v>
      </c>
      <c r="M977" s="22" t="s">
        <v>6213</v>
      </c>
      <c r="N977" s="22" t="s">
        <v>4653</v>
      </c>
      <c r="O977" s="22" t="n">
        <v>36.9</v>
      </c>
      <c r="P977" s="22" t="n">
        <v>7.55</v>
      </c>
      <c r="Q977" s="22" t="s">
        <v>8346</v>
      </c>
      <c r="R977" s="22"/>
    </row>
    <row r="978" customFormat="false" ht="15" hidden="false" customHeight="false" outlineLevel="0" collapsed="false">
      <c r="A978" s="22" t="s">
        <v>8347</v>
      </c>
      <c r="B978" s="22" t="s">
        <v>188</v>
      </c>
      <c r="C978" s="22" t="s">
        <v>7694</v>
      </c>
      <c r="D978" s="22" t="s">
        <v>6573</v>
      </c>
      <c r="E978" s="22" t="n">
        <v>40</v>
      </c>
      <c r="F978" s="22" t="s">
        <v>6581</v>
      </c>
      <c r="G978" s="22" t="s">
        <v>7696</v>
      </c>
      <c r="H978" s="22" t="n">
        <v>14</v>
      </c>
      <c r="I978" s="22" t="s">
        <v>6582</v>
      </c>
      <c r="J978" s="22" t="s">
        <v>6577</v>
      </c>
      <c r="K978" s="22" t="s">
        <v>6598</v>
      </c>
      <c r="L978" s="22" t="s">
        <v>2798</v>
      </c>
      <c r="M978" s="22" t="s">
        <v>2799</v>
      </c>
      <c r="N978" s="22" t="s">
        <v>1545</v>
      </c>
      <c r="O978" s="22" t="n">
        <v>47.8</v>
      </c>
      <c r="P978" s="22" t="n">
        <v>7.55</v>
      </c>
      <c r="Q978" s="22" t="s">
        <v>7400</v>
      </c>
      <c r="R978" s="22"/>
    </row>
    <row r="979" customFormat="false" ht="15" hidden="false" customHeight="false" outlineLevel="0" collapsed="false">
      <c r="A979" s="22" t="s">
        <v>8348</v>
      </c>
      <c r="B979" s="22" t="s">
        <v>188</v>
      </c>
      <c r="C979" s="22" t="s">
        <v>7694</v>
      </c>
      <c r="D979" s="22" t="s">
        <v>6573</v>
      </c>
      <c r="E979" s="22" t="n">
        <v>28</v>
      </c>
      <c r="F979" s="22" t="s">
        <v>6574</v>
      </c>
      <c r="G979" s="22" t="s">
        <v>7696</v>
      </c>
      <c r="H979" s="22" t="n">
        <v>10</v>
      </c>
      <c r="I979" s="22" t="s">
        <v>6576</v>
      </c>
      <c r="J979" s="22" t="s">
        <v>6577</v>
      </c>
      <c r="K979" s="22" t="s">
        <v>6601</v>
      </c>
      <c r="L979" s="22" t="s">
        <v>5643</v>
      </c>
      <c r="M979" s="22" t="s">
        <v>5644</v>
      </c>
      <c r="N979" s="22" t="s">
        <v>364</v>
      </c>
      <c r="O979" s="22" t="n">
        <v>34</v>
      </c>
      <c r="P979" s="22" t="n">
        <v>7.55</v>
      </c>
      <c r="Q979" s="22" t="s">
        <v>8349</v>
      </c>
      <c r="R979" s="22"/>
    </row>
    <row r="980" customFormat="false" ht="15" hidden="false" customHeight="false" outlineLevel="0" collapsed="false">
      <c r="A980" s="22" t="s">
        <v>8350</v>
      </c>
      <c r="B980" s="22" t="s">
        <v>188</v>
      </c>
      <c r="C980" s="22" t="s">
        <v>7694</v>
      </c>
      <c r="D980" s="22" t="s">
        <v>6573</v>
      </c>
      <c r="E980" s="22" t="n">
        <v>32</v>
      </c>
      <c r="F980" s="22" t="s">
        <v>6581</v>
      </c>
      <c r="G980" s="22" t="s">
        <v>7696</v>
      </c>
      <c r="H980" s="22" t="n">
        <v>12</v>
      </c>
      <c r="I980" s="22" t="s">
        <v>6576</v>
      </c>
      <c r="J980" s="22" t="s">
        <v>6577</v>
      </c>
      <c r="K980" s="22" t="s">
        <v>6604</v>
      </c>
      <c r="L980" s="22" t="s">
        <v>4747</v>
      </c>
      <c r="M980" s="22" t="s">
        <v>4748</v>
      </c>
      <c r="N980" s="22" t="s">
        <v>170</v>
      </c>
      <c r="O980" s="22" t="n">
        <v>24.7</v>
      </c>
      <c r="P980" s="22" t="n">
        <v>7.55</v>
      </c>
      <c r="Q980" s="22" t="s">
        <v>8351</v>
      </c>
      <c r="R980" s="22"/>
    </row>
    <row r="981" customFormat="false" ht="15" hidden="false" customHeight="false" outlineLevel="0" collapsed="false">
      <c r="A981" s="22" t="s">
        <v>8352</v>
      </c>
      <c r="B981" s="22" t="s">
        <v>188</v>
      </c>
      <c r="C981" s="22" t="s">
        <v>7694</v>
      </c>
      <c r="D981" s="22" t="s">
        <v>6573</v>
      </c>
      <c r="E981" s="22" t="n">
        <v>28</v>
      </c>
      <c r="F981" s="22" t="s">
        <v>6574</v>
      </c>
      <c r="G981" s="22" t="s">
        <v>7696</v>
      </c>
      <c r="H981" s="22" t="n">
        <v>10</v>
      </c>
      <c r="I981" s="22" t="s">
        <v>6576</v>
      </c>
      <c r="J981" s="22" t="s">
        <v>6577</v>
      </c>
      <c r="K981" s="22" t="s">
        <v>6607</v>
      </c>
      <c r="L981" s="22" t="s">
        <v>3996</v>
      </c>
      <c r="M981" s="22" t="s">
        <v>3997</v>
      </c>
      <c r="N981" s="22" t="s">
        <v>2868</v>
      </c>
      <c r="O981" s="22" t="n">
        <v>34.6</v>
      </c>
      <c r="P981" s="22" t="n">
        <v>7.55</v>
      </c>
      <c r="Q981" s="22" t="s">
        <v>6964</v>
      </c>
      <c r="R981" s="22"/>
    </row>
    <row r="982" customFormat="false" ht="15" hidden="false" customHeight="false" outlineLevel="0" collapsed="false">
      <c r="A982" s="22" t="s">
        <v>8353</v>
      </c>
      <c r="B982" s="22" t="s">
        <v>188</v>
      </c>
      <c r="C982" s="22" t="s">
        <v>7694</v>
      </c>
      <c r="D982" s="22" t="s">
        <v>6573</v>
      </c>
      <c r="E982" s="22" t="n">
        <v>45</v>
      </c>
      <c r="F982" s="22" t="s">
        <v>7704</v>
      </c>
      <c r="G982" s="22" t="s">
        <v>7696</v>
      </c>
      <c r="H982" s="22" t="n">
        <v>16</v>
      </c>
      <c r="I982" s="22" t="s">
        <v>7705</v>
      </c>
      <c r="J982" s="22" t="s">
        <v>6577</v>
      </c>
      <c r="K982" s="22" t="s">
        <v>6610</v>
      </c>
      <c r="L982" s="22" t="s">
        <v>5959</v>
      </c>
      <c r="M982" s="22" t="s">
        <v>5960</v>
      </c>
      <c r="N982" s="22" t="s">
        <v>1971</v>
      </c>
      <c r="O982" s="22" t="n">
        <v>30.5</v>
      </c>
      <c r="P982" s="22" t="n">
        <v>7.55</v>
      </c>
      <c r="Q982" s="22" t="s">
        <v>8354</v>
      </c>
      <c r="R982" s="22"/>
    </row>
    <row r="983" customFormat="false" ht="15" hidden="false" customHeight="false" outlineLevel="0" collapsed="false">
      <c r="A983" s="22" t="s">
        <v>8355</v>
      </c>
      <c r="B983" s="22" t="s">
        <v>188</v>
      </c>
      <c r="C983" s="22" t="s">
        <v>7694</v>
      </c>
      <c r="D983" s="22" t="s">
        <v>6573</v>
      </c>
      <c r="E983" s="22" t="n">
        <v>32</v>
      </c>
      <c r="F983" s="22" t="s">
        <v>6581</v>
      </c>
      <c r="G983" s="22" t="s">
        <v>7696</v>
      </c>
      <c r="H983" s="22" t="n">
        <v>12</v>
      </c>
      <c r="I983" s="22" t="s">
        <v>6576</v>
      </c>
      <c r="J983" s="22" t="s">
        <v>6577</v>
      </c>
      <c r="K983" s="22" t="s">
        <v>7322</v>
      </c>
      <c r="L983" s="22" t="s">
        <v>4819</v>
      </c>
      <c r="M983" s="22" t="s">
        <v>4820</v>
      </c>
      <c r="N983" s="22" t="s">
        <v>1668</v>
      </c>
      <c r="O983" s="22" t="n">
        <v>49.9</v>
      </c>
      <c r="P983" s="22" t="n">
        <v>7.55</v>
      </c>
      <c r="Q983" s="22" t="s">
        <v>6984</v>
      </c>
      <c r="R983" s="22"/>
    </row>
    <row r="984" customFormat="false" ht="15" hidden="false" customHeight="false" outlineLevel="0" collapsed="false">
      <c r="A984" s="22" t="s">
        <v>8356</v>
      </c>
      <c r="B984" s="22" t="s">
        <v>188</v>
      </c>
      <c r="C984" s="22" t="s">
        <v>7694</v>
      </c>
      <c r="D984" s="22" t="s">
        <v>6573</v>
      </c>
      <c r="E984" s="22" t="n">
        <v>36</v>
      </c>
      <c r="F984" s="22" t="s">
        <v>6581</v>
      </c>
      <c r="G984" s="22" t="s">
        <v>7696</v>
      </c>
      <c r="H984" s="22" t="n">
        <v>13</v>
      </c>
      <c r="I984" s="22" t="s">
        <v>6582</v>
      </c>
      <c r="J984" s="22" t="s">
        <v>6577</v>
      </c>
      <c r="K984" s="22" t="s">
        <v>6616</v>
      </c>
      <c r="L984" s="22" t="s">
        <v>5720</v>
      </c>
      <c r="M984" s="22" t="s">
        <v>5721</v>
      </c>
      <c r="N984" s="22" t="s">
        <v>672</v>
      </c>
      <c r="O984" s="22" t="n">
        <v>50.7</v>
      </c>
      <c r="P984" s="22" t="n">
        <v>7.55</v>
      </c>
      <c r="Q984" s="22" t="s">
        <v>8215</v>
      </c>
      <c r="R984" s="22"/>
    </row>
    <row r="985" customFormat="false" ht="15" hidden="false" customHeight="false" outlineLevel="0" collapsed="false">
      <c r="A985" s="22" t="s">
        <v>8357</v>
      </c>
      <c r="B985" s="22" t="s">
        <v>188</v>
      </c>
      <c r="C985" s="22" t="s">
        <v>7694</v>
      </c>
      <c r="D985" s="22" t="s">
        <v>6573</v>
      </c>
      <c r="E985" s="22" t="n">
        <v>32</v>
      </c>
      <c r="F985" s="22" t="s">
        <v>6581</v>
      </c>
      <c r="G985" s="22" t="s">
        <v>7696</v>
      </c>
      <c r="H985" s="22" t="n">
        <v>12</v>
      </c>
      <c r="I985" s="22" t="s">
        <v>6576</v>
      </c>
      <c r="J985" s="22" t="s">
        <v>6577</v>
      </c>
      <c r="K985" s="22" t="s">
        <v>6619</v>
      </c>
      <c r="L985" s="22" t="s">
        <v>5461</v>
      </c>
      <c r="M985" s="22" t="s">
        <v>5462</v>
      </c>
      <c r="N985" s="22" t="s">
        <v>1833</v>
      </c>
      <c r="O985" s="22" t="n">
        <v>21</v>
      </c>
      <c r="P985" s="22" t="n">
        <v>7.55</v>
      </c>
      <c r="Q985" s="22" t="s">
        <v>8306</v>
      </c>
      <c r="R985" s="22"/>
    </row>
    <row r="986" customFormat="false" ht="15" hidden="false" customHeight="false" outlineLevel="0" collapsed="false">
      <c r="A986" s="22" t="s">
        <v>8358</v>
      </c>
      <c r="B986" s="22" t="s">
        <v>188</v>
      </c>
      <c r="C986" s="22" t="s">
        <v>7694</v>
      </c>
      <c r="D986" s="22" t="s">
        <v>6573</v>
      </c>
      <c r="E986" s="22" t="n">
        <v>24</v>
      </c>
      <c r="F986" s="22" t="s">
        <v>6574</v>
      </c>
      <c r="G986" s="22" t="s">
        <v>7696</v>
      </c>
      <c r="H986" s="22" t="n">
        <v>9</v>
      </c>
      <c r="I986" s="22" t="s">
        <v>6576</v>
      </c>
      <c r="J986" s="22" t="s">
        <v>6577</v>
      </c>
      <c r="K986" s="22" t="s">
        <v>6622</v>
      </c>
      <c r="L986" s="22" t="s">
        <v>4769</v>
      </c>
      <c r="M986" s="22" t="s">
        <v>4770</v>
      </c>
      <c r="N986" s="22" t="s">
        <v>1869</v>
      </c>
      <c r="O986" s="22" t="n">
        <v>19.8</v>
      </c>
      <c r="P986" s="22" t="n">
        <v>7.55</v>
      </c>
      <c r="Q986" s="22" t="s">
        <v>7488</v>
      </c>
      <c r="R986" s="22"/>
    </row>
    <row r="987" customFormat="false" ht="15" hidden="false" customHeight="false" outlineLevel="0" collapsed="false">
      <c r="A987" s="22" t="s">
        <v>8359</v>
      </c>
      <c r="B987" s="22" t="s">
        <v>188</v>
      </c>
      <c r="C987" s="22" t="s">
        <v>7694</v>
      </c>
      <c r="D987" s="22" t="s">
        <v>6573</v>
      </c>
      <c r="E987" s="22" t="n">
        <v>70</v>
      </c>
      <c r="F987" s="22" t="s">
        <v>7695</v>
      </c>
      <c r="G987" s="22" t="s">
        <v>7696</v>
      </c>
      <c r="H987" s="22" t="n">
        <v>22</v>
      </c>
      <c r="I987" s="22" t="s">
        <v>7697</v>
      </c>
      <c r="J987" s="22" t="s">
        <v>6577</v>
      </c>
      <c r="K987" s="22" t="s">
        <v>6625</v>
      </c>
      <c r="L987" s="22" t="s">
        <v>6413</v>
      </c>
      <c r="M987" s="22" t="s">
        <v>6414</v>
      </c>
      <c r="N987" s="22" t="s">
        <v>233</v>
      </c>
      <c r="O987" s="22" t="n">
        <v>43.2</v>
      </c>
      <c r="P987" s="22" t="n">
        <v>7.55</v>
      </c>
      <c r="Q987" s="22" t="s">
        <v>7999</v>
      </c>
      <c r="R987" s="22"/>
    </row>
    <row r="988" customFormat="false" ht="15" hidden="false" customHeight="false" outlineLevel="0" collapsed="false">
      <c r="A988" s="22" t="s">
        <v>8360</v>
      </c>
      <c r="B988" s="22" t="s">
        <v>188</v>
      </c>
      <c r="C988" s="22" t="s">
        <v>7694</v>
      </c>
      <c r="D988" s="22" t="s">
        <v>6573</v>
      </c>
      <c r="E988" s="22" t="n">
        <v>24</v>
      </c>
      <c r="F988" s="22" t="s">
        <v>6574</v>
      </c>
      <c r="G988" s="22" t="s">
        <v>7696</v>
      </c>
      <c r="H988" s="22" t="n">
        <v>9</v>
      </c>
      <c r="I988" s="22" t="s">
        <v>6576</v>
      </c>
      <c r="J988" s="22" t="s">
        <v>6577</v>
      </c>
      <c r="K988" s="22" t="s">
        <v>6628</v>
      </c>
      <c r="L988" s="22" t="s">
        <v>4647</v>
      </c>
      <c r="M988" s="22" t="s">
        <v>4648</v>
      </c>
      <c r="N988" s="22" t="s">
        <v>492</v>
      </c>
      <c r="O988" s="22" t="n">
        <v>31.6</v>
      </c>
      <c r="P988" s="22" t="n">
        <v>7.55</v>
      </c>
      <c r="Q988" s="22" t="s">
        <v>6716</v>
      </c>
      <c r="R988" s="22"/>
    </row>
    <row r="989" customFormat="false" ht="15" hidden="false" customHeight="false" outlineLevel="0" collapsed="false">
      <c r="A989" s="22" t="s">
        <v>8361</v>
      </c>
      <c r="B989" s="22" t="s">
        <v>188</v>
      </c>
      <c r="C989" s="22" t="s">
        <v>7694</v>
      </c>
      <c r="D989" s="22" t="s">
        <v>6573</v>
      </c>
      <c r="E989" s="22" t="n">
        <v>60</v>
      </c>
      <c r="F989" s="22" t="s">
        <v>7695</v>
      </c>
      <c r="G989" s="22" t="s">
        <v>7696</v>
      </c>
      <c r="H989" s="22" t="n">
        <v>20</v>
      </c>
      <c r="I989" s="22" t="s">
        <v>7697</v>
      </c>
      <c r="J989" s="22" t="s">
        <v>6577</v>
      </c>
      <c r="K989" s="22" t="s">
        <v>6631</v>
      </c>
      <c r="L989" s="22" t="s">
        <v>3462</v>
      </c>
      <c r="M989" s="22" t="s">
        <v>3463</v>
      </c>
      <c r="N989" s="22" t="s">
        <v>3464</v>
      </c>
      <c r="O989" s="22" t="n">
        <v>52.3</v>
      </c>
      <c r="P989" s="22" t="n">
        <v>7.55</v>
      </c>
      <c r="Q989" s="22" t="s">
        <v>7611</v>
      </c>
      <c r="R989" s="22"/>
    </row>
    <row r="990" customFormat="false" ht="15" hidden="false" customHeight="false" outlineLevel="0" collapsed="false">
      <c r="A990" s="22" t="s">
        <v>8362</v>
      </c>
      <c r="B990" s="22" t="s">
        <v>188</v>
      </c>
      <c r="C990" s="22" t="s">
        <v>7694</v>
      </c>
      <c r="D990" s="22" t="s">
        <v>6573</v>
      </c>
      <c r="E990" s="22" t="n">
        <v>32</v>
      </c>
      <c r="F990" s="22" t="s">
        <v>6581</v>
      </c>
      <c r="G990" s="22" t="s">
        <v>7696</v>
      </c>
      <c r="H990" s="22" t="n">
        <v>12</v>
      </c>
      <c r="I990" s="22" t="s">
        <v>6576</v>
      </c>
      <c r="J990" s="22" t="s">
        <v>6577</v>
      </c>
      <c r="K990" s="22" t="s">
        <v>6634</v>
      </c>
      <c r="L990" s="22" t="s">
        <v>3533</v>
      </c>
      <c r="M990" s="22" t="s">
        <v>3534</v>
      </c>
      <c r="N990" s="22" t="s">
        <v>1767</v>
      </c>
      <c r="O990" s="22" t="n">
        <v>27.8</v>
      </c>
      <c r="P990" s="22" t="n">
        <v>7.55</v>
      </c>
      <c r="Q990" s="22" t="s">
        <v>8363</v>
      </c>
      <c r="R990" s="22"/>
    </row>
    <row r="991" customFormat="false" ht="15" hidden="false" customHeight="false" outlineLevel="0" collapsed="false">
      <c r="A991" s="22" t="s">
        <v>8364</v>
      </c>
      <c r="B991" s="22" t="s">
        <v>188</v>
      </c>
      <c r="C991" s="22" t="s">
        <v>7694</v>
      </c>
      <c r="D991" s="22" t="s">
        <v>6573</v>
      </c>
      <c r="E991" s="22" t="n">
        <v>40</v>
      </c>
      <c r="F991" s="22" t="s">
        <v>6581</v>
      </c>
      <c r="G991" s="22" t="s">
        <v>7696</v>
      </c>
      <c r="H991" s="22" t="n">
        <v>14</v>
      </c>
      <c r="I991" s="22" t="s">
        <v>6582</v>
      </c>
      <c r="J991" s="22" t="s">
        <v>6577</v>
      </c>
      <c r="K991" s="22" t="s">
        <v>6637</v>
      </c>
      <c r="L991" s="22" t="s">
        <v>6401</v>
      </c>
      <c r="M991" s="22" t="s">
        <v>6402</v>
      </c>
      <c r="N991" s="22" t="s">
        <v>1172</v>
      </c>
      <c r="O991" s="22" t="n">
        <v>57.3</v>
      </c>
      <c r="P991" s="22" t="n">
        <v>7.55</v>
      </c>
      <c r="Q991" s="22" t="s">
        <v>8106</v>
      </c>
      <c r="R991" s="22"/>
    </row>
    <row r="992" customFormat="false" ht="15" hidden="false" customHeight="false" outlineLevel="0" collapsed="false">
      <c r="A992" s="22" t="s">
        <v>8365</v>
      </c>
      <c r="B992" s="22" t="s">
        <v>188</v>
      </c>
      <c r="C992" s="22" t="s">
        <v>7694</v>
      </c>
      <c r="D992" s="22" t="s">
        <v>6573</v>
      </c>
      <c r="E992" s="22" t="n">
        <v>80</v>
      </c>
      <c r="F992" s="22" t="s">
        <v>7695</v>
      </c>
      <c r="G992" s="22" t="s">
        <v>7696</v>
      </c>
      <c r="H992" s="22" t="n">
        <v>24</v>
      </c>
      <c r="I992" s="22" t="s">
        <v>7697</v>
      </c>
      <c r="J992" s="22" t="s">
        <v>6577</v>
      </c>
      <c r="K992" s="22" t="s">
        <v>6640</v>
      </c>
      <c r="L992" s="22" t="s">
        <v>3488</v>
      </c>
      <c r="M992" s="22" t="s">
        <v>908</v>
      </c>
      <c r="N992" s="22" t="s">
        <v>181</v>
      </c>
      <c r="O992" s="22" t="n">
        <v>53.4</v>
      </c>
      <c r="P992" s="22" t="n">
        <v>7.55</v>
      </c>
      <c r="Q992" s="22" t="s">
        <v>7444</v>
      </c>
      <c r="R992" s="22"/>
    </row>
    <row r="993" customFormat="false" ht="15" hidden="false" customHeight="false" outlineLevel="0" collapsed="false">
      <c r="A993" s="22" t="s">
        <v>8366</v>
      </c>
      <c r="B993" s="22" t="s">
        <v>188</v>
      </c>
      <c r="C993" s="22" t="s">
        <v>7694</v>
      </c>
      <c r="D993" s="22" t="s">
        <v>6573</v>
      </c>
      <c r="E993" s="22" t="n">
        <v>24</v>
      </c>
      <c r="F993" s="22" t="s">
        <v>6574</v>
      </c>
      <c r="G993" s="22" t="s">
        <v>7696</v>
      </c>
      <c r="H993" s="22" t="n">
        <v>9</v>
      </c>
      <c r="I993" s="22" t="s">
        <v>6576</v>
      </c>
      <c r="J993" s="22" t="s">
        <v>6577</v>
      </c>
      <c r="K993" s="22" t="s">
        <v>6643</v>
      </c>
      <c r="L993" s="22" t="s">
        <v>6445</v>
      </c>
      <c r="M993" s="22" t="s">
        <v>6446</v>
      </c>
      <c r="N993" s="22" t="s">
        <v>290</v>
      </c>
      <c r="O993" s="22" t="n">
        <v>23.5</v>
      </c>
      <c r="P993" s="22" t="n">
        <v>7.55</v>
      </c>
      <c r="Q993" s="22" t="s">
        <v>7940</v>
      </c>
      <c r="R993" s="22"/>
    </row>
    <row r="994" customFormat="false" ht="15" hidden="false" customHeight="false" outlineLevel="0" collapsed="false">
      <c r="A994" s="22" t="s">
        <v>8367</v>
      </c>
      <c r="B994" s="22" t="s">
        <v>188</v>
      </c>
      <c r="C994" s="22" t="s">
        <v>7694</v>
      </c>
      <c r="D994" s="22" t="s">
        <v>6573</v>
      </c>
      <c r="E994" s="22" t="n">
        <v>45</v>
      </c>
      <c r="F994" s="22" t="s">
        <v>7704</v>
      </c>
      <c r="G994" s="22" t="s">
        <v>7696</v>
      </c>
      <c r="H994" s="22" t="n">
        <v>16</v>
      </c>
      <c r="I994" s="22" t="s">
        <v>7705</v>
      </c>
      <c r="J994" s="22" t="s">
        <v>6671</v>
      </c>
      <c r="K994" s="22"/>
      <c r="L994" s="22"/>
      <c r="M994" s="22"/>
      <c r="N994" s="22"/>
      <c r="O994" s="22"/>
      <c r="P994" s="22" t="n">
        <v>7.55</v>
      </c>
      <c r="Q994" s="22" t="s">
        <v>6657</v>
      </c>
      <c r="R994" s="22"/>
    </row>
    <row r="995" customFormat="false" ht="15" hidden="false" customHeight="false" outlineLevel="0" collapsed="false">
      <c r="A995" s="22" t="s">
        <v>8368</v>
      </c>
      <c r="B995" s="22" t="s">
        <v>188</v>
      </c>
      <c r="C995" s="22" t="s">
        <v>7694</v>
      </c>
      <c r="D995" s="22" t="s">
        <v>6573</v>
      </c>
      <c r="E995" s="22" t="n">
        <v>80</v>
      </c>
      <c r="F995" s="22" t="s">
        <v>7695</v>
      </c>
      <c r="G995" s="22" t="s">
        <v>7696</v>
      </c>
      <c r="H995" s="22" t="n">
        <v>24</v>
      </c>
      <c r="I995" s="22" t="s">
        <v>7697</v>
      </c>
      <c r="J995" s="22" t="s">
        <v>6734</v>
      </c>
      <c r="K995" s="22"/>
      <c r="L995" s="22"/>
      <c r="M995" s="22"/>
      <c r="N995" s="22"/>
      <c r="O995" s="22"/>
      <c r="P995" s="22" t="n">
        <v>7.55</v>
      </c>
      <c r="Q995" s="22" t="s">
        <v>6707</v>
      </c>
      <c r="R995" s="22"/>
    </row>
    <row r="996" customFormat="false" ht="15" hidden="false" customHeight="false" outlineLevel="0" collapsed="false">
      <c r="A996" s="22" t="s">
        <v>8369</v>
      </c>
      <c r="B996" s="22" t="s">
        <v>188</v>
      </c>
      <c r="C996" s="22" t="s">
        <v>7694</v>
      </c>
      <c r="D996" s="22" t="s">
        <v>6652</v>
      </c>
      <c r="E996" s="22" t="n">
        <v>32</v>
      </c>
      <c r="F996" s="22" t="s">
        <v>6581</v>
      </c>
      <c r="G996" s="22" t="s">
        <v>7696</v>
      </c>
      <c r="H996" s="22" t="n">
        <v>12</v>
      </c>
      <c r="I996" s="22" t="s">
        <v>6576</v>
      </c>
      <c r="J996" s="22" t="s">
        <v>6577</v>
      </c>
      <c r="K996" s="22" t="s">
        <v>6653</v>
      </c>
      <c r="L996" s="22" t="s">
        <v>1260</v>
      </c>
      <c r="M996" s="22" t="s">
        <v>1261</v>
      </c>
      <c r="N996" s="22" t="s">
        <v>1262</v>
      </c>
      <c r="O996" s="22" t="n">
        <v>39.8</v>
      </c>
      <c r="P996" s="22" t="n">
        <v>7.55</v>
      </c>
      <c r="Q996" s="22" t="s">
        <v>7371</v>
      </c>
      <c r="R996" s="22"/>
    </row>
    <row r="997" customFormat="false" ht="15" hidden="false" customHeight="false" outlineLevel="0" collapsed="false">
      <c r="A997" s="22" t="s">
        <v>8370</v>
      </c>
      <c r="B997" s="22" t="s">
        <v>188</v>
      </c>
      <c r="C997" s="22" t="s">
        <v>7694</v>
      </c>
      <c r="D997" s="22" t="s">
        <v>6652</v>
      </c>
      <c r="E997" s="22" t="n">
        <v>80</v>
      </c>
      <c r="F997" s="22" t="s">
        <v>7695</v>
      </c>
      <c r="G997" s="22" t="s">
        <v>7696</v>
      </c>
      <c r="H997" s="22" t="n">
        <v>24</v>
      </c>
      <c r="I997" s="22" t="s">
        <v>7697</v>
      </c>
      <c r="J997" s="22" t="s">
        <v>6577</v>
      </c>
      <c r="K997" s="22" t="s">
        <v>6656</v>
      </c>
      <c r="L997" s="22" t="s">
        <v>5053</v>
      </c>
      <c r="M997" s="22" t="s">
        <v>5054</v>
      </c>
      <c r="N997" s="22" t="s">
        <v>299</v>
      </c>
      <c r="O997" s="22" t="n">
        <v>57.9</v>
      </c>
      <c r="P997" s="22" t="n">
        <v>7.55</v>
      </c>
      <c r="Q997" s="22" t="s">
        <v>8371</v>
      </c>
      <c r="R997" s="22"/>
    </row>
    <row r="998" customFormat="false" ht="15" hidden="false" customHeight="false" outlineLevel="0" collapsed="false">
      <c r="A998" s="22" t="s">
        <v>8372</v>
      </c>
      <c r="B998" s="22" t="s">
        <v>188</v>
      </c>
      <c r="C998" s="22" t="s">
        <v>7694</v>
      </c>
      <c r="D998" s="22" t="s">
        <v>6652</v>
      </c>
      <c r="E998" s="22" t="n">
        <v>36</v>
      </c>
      <c r="F998" s="22" t="s">
        <v>6581</v>
      </c>
      <c r="G998" s="22" t="s">
        <v>7696</v>
      </c>
      <c r="H998" s="22" t="n">
        <v>13</v>
      </c>
      <c r="I998" s="22" t="s">
        <v>6582</v>
      </c>
      <c r="J998" s="22" t="s">
        <v>6671</v>
      </c>
      <c r="K998" s="22"/>
      <c r="L998" s="22"/>
      <c r="M998" s="22"/>
      <c r="N998" s="22"/>
      <c r="O998" s="22"/>
      <c r="P998" s="22" t="n">
        <v>7.55</v>
      </c>
      <c r="Q998" s="22" t="s">
        <v>6919</v>
      </c>
      <c r="R998" s="22"/>
    </row>
    <row r="999" customFormat="false" ht="15" hidden="false" customHeight="false" outlineLevel="0" collapsed="false">
      <c r="A999" s="22" t="s">
        <v>8373</v>
      </c>
      <c r="B999" s="22" t="s">
        <v>188</v>
      </c>
      <c r="C999" s="22" t="s">
        <v>7694</v>
      </c>
      <c r="D999" s="22" t="s">
        <v>6652</v>
      </c>
      <c r="E999" s="22" t="n">
        <v>32</v>
      </c>
      <c r="F999" s="22" t="s">
        <v>6581</v>
      </c>
      <c r="G999" s="22" t="s">
        <v>7696</v>
      </c>
      <c r="H999" s="22" t="n">
        <v>12</v>
      </c>
      <c r="I999" s="22" t="s">
        <v>6576</v>
      </c>
      <c r="J999" s="22" t="s">
        <v>6577</v>
      </c>
      <c r="K999" s="22" t="s">
        <v>6662</v>
      </c>
      <c r="L999" s="22" t="s">
        <v>1983</v>
      </c>
      <c r="M999" s="22" t="s">
        <v>1984</v>
      </c>
      <c r="N999" s="22" t="s">
        <v>1051</v>
      </c>
      <c r="O999" s="22" t="n">
        <v>24.6</v>
      </c>
      <c r="P999" s="22" t="n">
        <v>7.55</v>
      </c>
      <c r="Q999" s="22" t="s">
        <v>8374</v>
      </c>
      <c r="R999" s="22"/>
    </row>
    <row r="1000" customFormat="false" ht="15" hidden="false" customHeight="false" outlineLevel="0" collapsed="false">
      <c r="A1000" s="22" t="s">
        <v>8375</v>
      </c>
      <c r="B1000" s="22" t="s">
        <v>188</v>
      </c>
      <c r="C1000" s="22" t="s">
        <v>7694</v>
      </c>
      <c r="D1000" s="22" t="s">
        <v>6652</v>
      </c>
      <c r="E1000" s="22" t="n">
        <v>45</v>
      </c>
      <c r="F1000" s="22" t="s">
        <v>7704</v>
      </c>
      <c r="G1000" s="22" t="s">
        <v>7696</v>
      </c>
      <c r="H1000" s="22" t="n">
        <v>16</v>
      </c>
      <c r="I1000" s="22" t="s">
        <v>7705</v>
      </c>
      <c r="J1000" s="22" t="s">
        <v>6577</v>
      </c>
      <c r="K1000" s="22" t="s">
        <v>6665</v>
      </c>
      <c r="L1000" s="22" t="s">
        <v>6415</v>
      </c>
      <c r="M1000" s="22" t="s">
        <v>6416</v>
      </c>
      <c r="N1000" s="22" t="s">
        <v>2720</v>
      </c>
      <c r="O1000" s="22" t="n">
        <v>48.4</v>
      </c>
      <c r="P1000" s="22" t="n">
        <v>7.55</v>
      </c>
      <c r="Q1000" s="22" t="s">
        <v>7451</v>
      </c>
      <c r="R1000" s="22"/>
    </row>
    <row r="1001" customFormat="false" ht="15" hidden="false" customHeight="false" outlineLevel="0" collapsed="false">
      <c r="A1001" s="22" t="s">
        <v>8376</v>
      </c>
      <c r="B1001" s="22" t="s">
        <v>188</v>
      </c>
      <c r="C1001" s="22" t="s">
        <v>7694</v>
      </c>
      <c r="D1001" s="22" t="s">
        <v>6652</v>
      </c>
      <c r="E1001" s="22" t="n">
        <v>32</v>
      </c>
      <c r="F1001" s="22" t="s">
        <v>6581</v>
      </c>
      <c r="G1001" s="22" t="s">
        <v>7696</v>
      </c>
      <c r="H1001" s="22" t="n">
        <v>12</v>
      </c>
      <c r="I1001" s="22" t="s">
        <v>6576</v>
      </c>
      <c r="J1001" s="22" t="s">
        <v>6577</v>
      </c>
      <c r="K1001" s="22" t="s">
        <v>6668</v>
      </c>
      <c r="L1001" s="22" t="s">
        <v>3297</v>
      </c>
      <c r="M1001" s="22" t="s">
        <v>3298</v>
      </c>
      <c r="N1001" s="22" t="s">
        <v>2592</v>
      </c>
      <c r="O1001" s="22" t="n">
        <v>27.3</v>
      </c>
      <c r="P1001" s="22" t="n">
        <v>7.55</v>
      </c>
      <c r="Q1001" s="22" t="s">
        <v>7956</v>
      </c>
      <c r="R1001" s="22"/>
    </row>
    <row r="1002" customFormat="false" ht="15" hidden="false" customHeight="false" outlineLevel="0" collapsed="false">
      <c r="A1002" s="22" t="s">
        <v>8377</v>
      </c>
      <c r="B1002" s="22" t="s">
        <v>188</v>
      </c>
      <c r="C1002" s="22" t="s">
        <v>7694</v>
      </c>
      <c r="D1002" s="22" t="s">
        <v>6652</v>
      </c>
      <c r="E1002" s="22" t="n">
        <v>24</v>
      </c>
      <c r="F1002" s="22" t="s">
        <v>6574</v>
      </c>
      <c r="G1002" s="22" t="s">
        <v>7696</v>
      </c>
      <c r="H1002" s="22" t="n">
        <v>9</v>
      </c>
      <c r="I1002" s="22" t="s">
        <v>6576</v>
      </c>
      <c r="J1002" s="22" t="s">
        <v>6577</v>
      </c>
      <c r="K1002" s="22" t="s">
        <v>7350</v>
      </c>
      <c r="L1002" s="22" t="s">
        <v>3265</v>
      </c>
      <c r="M1002" s="22" t="s">
        <v>3266</v>
      </c>
      <c r="N1002" s="22" t="s">
        <v>257</v>
      </c>
      <c r="O1002" s="22" t="n">
        <v>46</v>
      </c>
      <c r="P1002" s="22" t="n">
        <v>7.55</v>
      </c>
      <c r="Q1002" s="22" t="s">
        <v>6828</v>
      </c>
      <c r="R1002" s="22"/>
    </row>
    <row r="1003" customFormat="false" ht="15" hidden="false" customHeight="false" outlineLevel="0" collapsed="false">
      <c r="A1003" s="22" t="s">
        <v>8378</v>
      </c>
      <c r="B1003" s="22" t="s">
        <v>188</v>
      </c>
      <c r="C1003" s="22" t="s">
        <v>7694</v>
      </c>
      <c r="D1003" s="22" t="s">
        <v>6652</v>
      </c>
      <c r="E1003" s="22" t="n">
        <v>24</v>
      </c>
      <c r="F1003" s="22" t="s">
        <v>6574</v>
      </c>
      <c r="G1003" s="22" t="s">
        <v>7696</v>
      </c>
      <c r="H1003" s="22" t="n">
        <v>9</v>
      </c>
      <c r="I1003" s="22" t="s">
        <v>6576</v>
      </c>
      <c r="J1003" s="22" t="s">
        <v>6577</v>
      </c>
      <c r="K1003" s="22" t="s">
        <v>6674</v>
      </c>
      <c r="L1003" s="22" t="s">
        <v>1218</v>
      </c>
      <c r="M1003" s="22" t="s">
        <v>1219</v>
      </c>
      <c r="N1003" s="22" t="s">
        <v>1220</v>
      </c>
      <c r="O1003" s="22" t="n">
        <v>27.6</v>
      </c>
      <c r="P1003" s="22" t="n">
        <v>7.55</v>
      </c>
      <c r="Q1003" s="22" t="s">
        <v>8029</v>
      </c>
      <c r="R1003" s="22"/>
    </row>
    <row r="1004" customFormat="false" ht="15" hidden="false" customHeight="false" outlineLevel="0" collapsed="false">
      <c r="A1004" s="22" t="s">
        <v>8379</v>
      </c>
      <c r="B1004" s="22" t="s">
        <v>188</v>
      </c>
      <c r="C1004" s="22" t="s">
        <v>7694</v>
      </c>
      <c r="D1004" s="22" t="s">
        <v>6652</v>
      </c>
      <c r="E1004" s="22" t="n">
        <v>24</v>
      </c>
      <c r="F1004" s="22" t="s">
        <v>6574</v>
      </c>
      <c r="G1004" s="22" t="s">
        <v>7696</v>
      </c>
      <c r="H1004" s="22" t="n">
        <v>9</v>
      </c>
      <c r="I1004" s="22" t="s">
        <v>6576</v>
      </c>
      <c r="J1004" s="22" t="s">
        <v>6577</v>
      </c>
      <c r="K1004" s="22" t="s">
        <v>6677</v>
      </c>
      <c r="L1004" s="22" t="s">
        <v>496</v>
      </c>
      <c r="M1004" s="22" t="s">
        <v>497</v>
      </c>
      <c r="N1004" s="22" t="s">
        <v>498</v>
      </c>
      <c r="O1004" s="22" t="n">
        <v>46.5</v>
      </c>
      <c r="P1004" s="22" t="n">
        <v>7.55</v>
      </c>
      <c r="Q1004" s="22" t="s">
        <v>8380</v>
      </c>
      <c r="R1004" s="22"/>
    </row>
    <row r="1005" customFormat="false" ht="15" hidden="false" customHeight="false" outlineLevel="0" collapsed="false">
      <c r="A1005" s="22" t="s">
        <v>8381</v>
      </c>
      <c r="B1005" s="22" t="s">
        <v>188</v>
      </c>
      <c r="C1005" s="22" t="s">
        <v>7694</v>
      </c>
      <c r="D1005" s="22" t="s">
        <v>6652</v>
      </c>
      <c r="E1005" s="22" t="n">
        <v>24</v>
      </c>
      <c r="F1005" s="22" t="s">
        <v>6574</v>
      </c>
      <c r="G1005" s="22" t="s">
        <v>7696</v>
      </c>
      <c r="H1005" s="22" t="n">
        <v>9</v>
      </c>
      <c r="I1005" s="22" t="s">
        <v>6576</v>
      </c>
      <c r="J1005" s="22" t="s">
        <v>6577</v>
      </c>
      <c r="K1005" s="22" t="s">
        <v>6680</v>
      </c>
      <c r="L1005" s="22" t="s">
        <v>5665</v>
      </c>
      <c r="M1005" s="22" t="s">
        <v>5666</v>
      </c>
      <c r="N1005" s="22" t="s">
        <v>355</v>
      </c>
      <c r="O1005" s="22" t="n">
        <v>39.1</v>
      </c>
      <c r="P1005" s="22" t="n">
        <v>7.55</v>
      </c>
      <c r="Q1005" s="22" t="s">
        <v>8382</v>
      </c>
      <c r="R1005" s="22"/>
    </row>
    <row r="1006" customFormat="false" ht="15" hidden="false" customHeight="false" outlineLevel="0" collapsed="false">
      <c r="A1006" s="22" t="s">
        <v>8383</v>
      </c>
      <c r="B1006" s="22" t="s">
        <v>188</v>
      </c>
      <c r="C1006" s="22" t="s">
        <v>7694</v>
      </c>
      <c r="D1006" s="22" t="s">
        <v>6652</v>
      </c>
      <c r="E1006" s="22" t="n">
        <v>45</v>
      </c>
      <c r="F1006" s="22" t="s">
        <v>7704</v>
      </c>
      <c r="G1006" s="22" t="s">
        <v>7696</v>
      </c>
      <c r="H1006" s="22" t="n">
        <v>16</v>
      </c>
      <c r="I1006" s="22" t="s">
        <v>7705</v>
      </c>
      <c r="J1006" s="22" t="s">
        <v>6577</v>
      </c>
      <c r="K1006" s="22" t="s">
        <v>7357</v>
      </c>
      <c r="L1006" s="22" t="s">
        <v>192</v>
      </c>
      <c r="M1006" s="22" t="s">
        <v>193</v>
      </c>
      <c r="N1006" s="22" t="s">
        <v>194</v>
      </c>
      <c r="O1006" s="22" t="n">
        <v>60.3</v>
      </c>
      <c r="P1006" s="22" t="n">
        <v>7.55</v>
      </c>
      <c r="Q1006" s="22" t="s">
        <v>7606</v>
      </c>
      <c r="R1006" s="22"/>
    </row>
    <row r="1007" customFormat="false" ht="15" hidden="false" customHeight="false" outlineLevel="0" collapsed="false">
      <c r="A1007" s="22" t="s">
        <v>8384</v>
      </c>
      <c r="B1007" s="22" t="s">
        <v>188</v>
      </c>
      <c r="C1007" s="22" t="s">
        <v>7694</v>
      </c>
      <c r="D1007" s="22" t="s">
        <v>6652</v>
      </c>
      <c r="E1007" s="22" t="n">
        <v>32</v>
      </c>
      <c r="F1007" s="22" t="s">
        <v>6581</v>
      </c>
      <c r="G1007" s="22" t="s">
        <v>7696</v>
      </c>
      <c r="H1007" s="22" t="n">
        <v>12</v>
      </c>
      <c r="I1007" s="22" t="s">
        <v>6576</v>
      </c>
      <c r="J1007" s="22" t="s">
        <v>6577</v>
      </c>
      <c r="K1007" s="22" t="s">
        <v>6685</v>
      </c>
      <c r="L1007" s="22" t="s">
        <v>3091</v>
      </c>
      <c r="M1007" s="22" t="s">
        <v>3092</v>
      </c>
      <c r="N1007" s="22" t="s">
        <v>1395</v>
      </c>
      <c r="O1007" s="22" t="n">
        <v>58.9</v>
      </c>
      <c r="P1007" s="22" t="n">
        <v>7.55</v>
      </c>
      <c r="Q1007" s="22" t="s">
        <v>6729</v>
      </c>
      <c r="R1007" s="22"/>
    </row>
    <row r="1008" customFormat="false" ht="15" hidden="false" customHeight="false" outlineLevel="0" collapsed="false">
      <c r="A1008" s="22" t="s">
        <v>8385</v>
      </c>
      <c r="B1008" s="22" t="s">
        <v>188</v>
      </c>
      <c r="C1008" s="22" t="s">
        <v>7694</v>
      </c>
      <c r="D1008" s="22" t="s">
        <v>6652</v>
      </c>
      <c r="E1008" s="22" t="n">
        <v>40</v>
      </c>
      <c r="F1008" s="22" t="s">
        <v>6581</v>
      </c>
      <c r="G1008" s="22" t="s">
        <v>7696</v>
      </c>
      <c r="H1008" s="22" t="n">
        <v>14</v>
      </c>
      <c r="I1008" s="22" t="s">
        <v>6582</v>
      </c>
      <c r="J1008" s="22" t="s">
        <v>6577</v>
      </c>
      <c r="K1008" s="22" t="s">
        <v>6688</v>
      </c>
      <c r="L1008" s="22" t="s">
        <v>1671</v>
      </c>
      <c r="M1008" s="22" t="s">
        <v>1672</v>
      </c>
      <c r="N1008" s="22" t="s">
        <v>1390</v>
      </c>
      <c r="O1008" s="22" t="n">
        <v>22.7</v>
      </c>
      <c r="P1008" s="22" t="n">
        <v>7.55</v>
      </c>
      <c r="Q1008" s="22" t="s">
        <v>7686</v>
      </c>
      <c r="R1008" s="22"/>
    </row>
    <row r="1009" customFormat="false" ht="15" hidden="false" customHeight="false" outlineLevel="0" collapsed="false">
      <c r="A1009" s="22" t="s">
        <v>8386</v>
      </c>
      <c r="B1009" s="22" t="s">
        <v>188</v>
      </c>
      <c r="C1009" s="22" t="s">
        <v>7694</v>
      </c>
      <c r="D1009" s="22" t="s">
        <v>6652</v>
      </c>
      <c r="E1009" s="22" t="n">
        <v>28</v>
      </c>
      <c r="F1009" s="22" t="s">
        <v>6574</v>
      </c>
      <c r="G1009" s="22" t="s">
        <v>7696</v>
      </c>
      <c r="H1009" s="22" t="n">
        <v>10</v>
      </c>
      <c r="I1009" s="22" t="s">
        <v>6576</v>
      </c>
      <c r="J1009" s="22" t="s">
        <v>6577</v>
      </c>
      <c r="K1009" s="22" t="s">
        <v>6691</v>
      </c>
      <c r="L1009" s="22" t="s">
        <v>1762</v>
      </c>
      <c r="M1009" s="22" t="s">
        <v>1763</v>
      </c>
      <c r="N1009" s="22" t="s">
        <v>1764</v>
      </c>
      <c r="O1009" s="22" t="n">
        <v>58.1</v>
      </c>
      <c r="P1009" s="22" t="n">
        <v>7.55</v>
      </c>
      <c r="Q1009" s="22" t="s">
        <v>7498</v>
      </c>
      <c r="R1009" s="22"/>
    </row>
    <row r="1010" customFormat="false" ht="15" hidden="false" customHeight="false" outlineLevel="0" collapsed="false">
      <c r="A1010" s="22" t="s">
        <v>8387</v>
      </c>
      <c r="B1010" s="22" t="s">
        <v>188</v>
      </c>
      <c r="C1010" s="22" t="s">
        <v>7694</v>
      </c>
      <c r="D1010" s="22" t="s">
        <v>6652</v>
      </c>
      <c r="E1010" s="22" t="n">
        <v>70</v>
      </c>
      <c r="F1010" s="22" t="s">
        <v>7695</v>
      </c>
      <c r="G1010" s="22" t="s">
        <v>7696</v>
      </c>
      <c r="H1010" s="22" t="n">
        <v>22</v>
      </c>
      <c r="I1010" s="22" t="s">
        <v>7697</v>
      </c>
      <c r="J1010" s="22" t="s">
        <v>6577</v>
      </c>
      <c r="K1010" s="22" t="s">
        <v>6694</v>
      </c>
      <c r="L1010" s="22" t="s">
        <v>5766</v>
      </c>
      <c r="M1010" s="22" t="s">
        <v>5767</v>
      </c>
      <c r="N1010" s="22" t="s">
        <v>1400</v>
      </c>
      <c r="O1010" s="22" t="n">
        <v>47.1</v>
      </c>
      <c r="P1010" s="22" t="n">
        <v>7.55</v>
      </c>
      <c r="Q1010" s="22" t="s">
        <v>7374</v>
      </c>
      <c r="R1010" s="22"/>
    </row>
    <row r="1011" customFormat="false" ht="15" hidden="false" customHeight="false" outlineLevel="0" collapsed="false">
      <c r="A1011" s="22" t="s">
        <v>8388</v>
      </c>
      <c r="B1011" s="22" t="s">
        <v>188</v>
      </c>
      <c r="C1011" s="22" t="s">
        <v>7694</v>
      </c>
      <c r="D1011" s="22" t="s">
        <v>6652</v>
      </c>
      <c r="E1011" s="22" t="n">
        <v>28</v>
      </c>
      <c r="F1011" s="22" t="s">
        <v>6574</v>
      </c>
      <c r="G1011" s="22" t="s">
        <v>7696</v>
      </c>
      <c r="H1011" s="22" t="n">
        <v>10</v>
      </c>
      <c r="I1011" s="22" t="s">
        <v>6576</v>
      </c>
      <c r="J1011" s="22" t="s">
        <v>6577</v>
      </c>
      <c r="K1011" s="22" t="s">
        <v>6697</v>
      </c>
      <c r="L1011" s="22" t="s">
        <v>2418</v>
      </c>
      <c r="M1011" s="22" t="s">
        <v>2419</v>
      </c>
      <c r="N1011" s="22" t="s">
        <v>2420</v>
      </c>
      <c r="O1011" s="22" t="n">
        <v>37.5</v>
      </c>
      <c r="P1011" s="22" t="n">
        <v>7.55</v>
      </c>
      <c r="Q1011" s="22" t="s">
        <v>7404</v>
      </c>
      <c r="R1011" s="22"/>
    </row>
    <row r="1012" customFormat="false" ht="15" hidden="false" customHeight="false" outlineLevel="0" collapsed="false">
      <c r="A1012" s="22" t="s">
        <v>8389</v>
      </c>
      <c r="B1012" s="22" t="s">
        <v>188</v>
      </c>
      <c r="C1012" s="22" t="s">
        <v>7694</v>
      </c>
      <c r="D1012" s="22" t="s">
        <v>6652</v>
      </c>
      <c r="E1012" s="22" t="n">
        <v>50</v>
      </c>
      <c r="F1012" s="22" t="s">
        <v>7704</v>
      </c>
      <c r="G1012" s="22" t="s">
        <v>7696</v>
      </c>
      <c r="H1012" s="22" t="n">
        <v>18</v>
      </c>
      <c r="I1012" s="22" t="s">
        <v>7705</v>
      </c>
      <c r="J1012" s="22" t="s">
        <v>6577</v>
      </c>
      <c r="K1012" s="22" t="s">
        <v>6700</v>
      </c>
      <c r="L1012" s="22" t="s">
        <v>6188</v>
      </c>
      <c r="M1012" s="22" t="s">
        <v>6189</v>
      </c>
      <c r="N1012" s="22" t="s">
        <v>4213</v>
      </c>
      <c r="O1012" s="22" t="n">
        <v>44.2</v>
      </c>
      <c r="P1012" s="22" t="n">
        <v>7.55</v>
      </c>
      <c r="Q1012" s="22" t="s">
        <v>8106</v>
      </c>
      <c r="R1012" s="22"/>
    </row>
    <row r="1013" customFormat="false" ht="15" hidden="false" customHeight="false" outlineLevel="0" collapsed="false">
      <c r="A1013" s="22" t="s">
        <v>8390</v>
      </c>
      <c r="B1013" s="22" t="s">
        <v>188</v>
      </c>
      <c r="C1013" s="22" t="s">
        <v>7694</v>
      </c>
      <c r="D1013" s="22" t="s">
        <v>6652</v>
      </c>
      <c r="E1013" s="22" t="n">
        <v>50</v>
      </c>
      <c r="F1013" s="22" t="s">
        <v>7704</v>
      </c>
      <c r="G1013" s="22" t="s">
        <v>7696</v>
      </c>
      <c r="H1013" s="22" t="n">
        <v>18</v>
      </c>
      <c r="I1013" s="22" t="s">
        <v>7705</v>
      </c>
      <c r="J1013" s="22" t="s">
        <v>6577</v>
      </c>
      <c r="K1013" s="22" t="s">
        <v>6703</v>
      </c>
      <c r="L1013" s="22" t="s">
        <v>4940</v>
      </c>
      <c r="M1013" s="22" t="s">
        <v>4941</v>
      </c>
      <c r="N1013" s="22" t="s">
        <v>1896</v>
      </c>
      <c r="O1013" s="22" t="n">
        <v>48.8</v>
      </c>
      <c r="P1013" s="22" t="n">
        <v>7.55</v>
      </c>
      <c r="Q1013" s="22" t="s">
        <v>7136</v>
      </c>
      <c r="R1013" s="22"/>
    </row>
    <row r="1014" customFormat="false" ht="15" hidden="false" customHeight="false" outlineLevel="0" collapsed="false">
      <c r="A1014" s="22" t="s">
        <v>8391</v>
      </c>
      <c r="B1014" s="22" t="s">
        <v>188</v>
      </c>
      <c r="C1014" s="22" t="s">
        <v>7694</v>
      </c>
      <c r="D1014" s="22" t="s">
        <v>6652</v>
      </c>
      <c r="E1014" s="22" t="n">
        <v>28</v>
      </c>
      <c r="F1014" s="22" t="s">
        <v>6574</v>
      </c>
      <c r="G1014" s="22" t="s">
        <v>7696</v>
      </c>
      <c r="H1014" s="22" t="n">
        <v>10</v>
      </c>
      <c r="I1014" s="22" t="s">
        <v>6576</v>
      </c>
      <c r="J1014" s="22" t="s">
        <v>6577</v>
      </c>
      <c r="K1014" s="22" t="s">
        <v>6706</v>
      </c>
      <c r="L1014" s="22" t="s">
        <v>5915</v>
      </c>
      <c r="M1014" s="22" t="s">
        <v>5916</v>
      </c>
      <c r="N1014" s="22" t="s">
        <v>941</v>
      </c>
      <c r="O1014" s="22" t="n">
        <v>51.5</v>
      </c>
      <c r="P1014" s="22" t="n">
        <v>7.55</v>
      </c>
      <c r="Q1014" s="22" t="s">
        <v>6856</v>
      </c>
      <c r="R1014" s="22"/>
    </row>
    <row r="1015" customFormat="false" ht="15" hidden="false" customHeight="false" outlineLevel="0" collapsed="false">
      <c r="A1015" s="22" t="s">
        <v>8392</v>
      </c>
      <c r="B1015" s="22" t="s">
        <v>188</v>
      </c>
      <c r="C1015" s="22" t="s">
        <v>7694</v>
      </c>
      <c r="D1015" s="22" t="s">
        <v>6652</v>
      </c>
      <c r="E1015" s="22" t="n">
        <v>40</v>
      </c>
      <c r="F1015" s="22" t="s">
        <v>6581</v>
      </c>
      <c r="G1015" s="22" t="s">
        <v>7696</v>
      </c>
      <c r="H1015" s="22" t="n">
        <v>14</v>
      </c>
      <c r="I1015" s="22" t="s">
        <v>6582</v>
      </c>
      <c r="J1015" s="22" t="s">
        <v>6577</v>
      </c>
      <c r="K1015" s="22" t="s">
        <v>6709</v>
      </c>
      <c r="L1015" s="22" t="s">
        <v>3946</v>
      </c>
      <c r="M1015" s="22" t="s">
        <v>3947</v>
      </c>
      <c r="N1015" s="22" t="s">
        <v>684</v>
      </c>
      <c r="O1015" s="22" t="n">
        <v>26.4</v>
      </c>
      <c r="P1015" s="22" t="n">
        <v>7.55</v>
      </c>
      <c r="Q1015" s="22" t="s">
        <v>6955</v>
      </c>
      <c r="R1015" s="22"/>
    </row>
    <row r="1016" customFormat="false" ht="15" hidden="false" customHeight="false" outlineLevel="0" collapsed="false">
      <c r="A1016" s="22" t="s">
        <v>8393</v>
      </c>
      <c r="B1016" s="22" t="s">
        <v>188</v>
      </c>
      <c r="C1016" s="22" t="s">
        <v>7694</v>
      </c>
      <c r="D1016" s="22" t="s">
        <v>6652</v>
      </c>
      <c r="E1016" s="22" t="n">
        <v>50</v>
      </c>
      <c r="F1016" s="22" t="s">
        <v>7704</v>
      </c>
      <c r="G1016" s="22" t="s">
        <v>7696</v>
      </c>
      <c r="H1016" s="22" t="n">
        <v>18</v>
      </c>
      <c r="I1016" s="22" t="s">
        <v>7705</v>
      </c>
      <c r="J1016" s="22" t="s">
        <v>6901</v>
      </c>
      <c r="K1016" s="22"/>
      <c r="L1016" s="22"/>
      <c r="M1016" s="22"/>
      <c r="N1016" s="22"/>
      <c r="O1016" s="22"/>
      <c r="P1016" s="22" t="n">
        <v>7.55</v>
      </c>
      <c r="Q1016" s="22" t="s">
        <v>6839</v>
      </c>
      <c r="R1016" s="22"/>
    </row>
    <row r="1017" customFormat="false" ht="15" hidden="false" customHeight="false" outlineLevel="0" collapsed="false">
      <c r="A1017" s="22" t="s">
        <v>8394</v>
      </c>
      <c r="B1017" s="22" t="s">
        <v>188</v>
      </c>
      <c r="C1017" s="22" t="s">
        <v>7694</v>
      </c>
      <c r="D1017" s="22" t="s">
        <v>6652</v>
      </c>
      <c r="E1017" s="22" t="n">
        <v>32</v>
      </c>
      <c r="F1017" s="22" t="s">
        <v>6581</v>
      </c>
      <c r="G1017" s="22" t="s">
        <v>7696</v>
      </c>
      <c r="H1017" s="22" t="n">
        <v>12</v>
      </c>
      <c r="I1017" s="22" t="s">
        <v>6576</v>
      </c>
      <c r="J1017" s="22" t="s">
        <v>6577</v>
      </c>
      <c r="K1017" s="22" t="s">
        <v>6715</v>
      </c>
      <c r="L1017" s="22" t="s">
        <v>3675</v>
      </c>
      <c r="M1017" s="22" t="s">
        <v>3676</v>
      </c>
      <c r="N1017" s="22" t="s">
        <v>3464</v>
      </c>
      <c r="O1017" s="22" t="n">
        <v>23.2</v>
      </c>
      <c r="P1017" s="22" t="n">
        <v>7.55</v>
      </c>
      <c r="Q1017" s="22" t="s">
        <v>7209</v>
      </c>
      <c r="R1017" s="22"/>
    </row>
    <row r="1018" customFormat="false" ht="15" hidden="false" customHeight="false" outlineLevel="0" collapsed="false">
      <c r="A1018" s="22" t="s">
        <v>8395</v>
      </c>
      <c r="B1018" s="22" t="s">
        <v>188</v>
      </c>
      <c r="C1018" s="22" t="s">
        <v>7694</v>
      </c>
      <c r="D1018" s="22" t="s">
        <v>6652</v>
      </c>
      <c r="E1018" s="22" t="n">
        <v>80</v>
      </c>
      <c r="F1018" s="22" t="s">
        <v>7695</v>
      </c>
      <c r="G1018" s="22" t="s">
        <v>7696</v>
      </c>
      <c r="H1018" s="22" t="n">
        <v>24</v>
      </c>
      <c r="I1018" s="22" t="s">
        <v>7697</v>
      </c>
      <c r="J1018" s="22" t="s">
        <v>6577</v>
      </c>
      <c r="K1018" s="22" t="s">
        <v>6718</v>
      </c>
      <c r="L1018" s="22" t="s">
        <v>4966</v>
      </c>
      <c r="M1018" s="22" t="s">
        <v>4967</v>
      </c>
      <c r="N1018" s="22" t="s">
        <v>275</v>
      </c>
      <c r="O1018" s="22" t="n">
        <v>48.6</v>
      </c>
      <c r="P1018" s="22" t="n">
        <v>7.55</v>
      </c>
      <c r="Q1018" s="22" t="s">
        <v>8396</v>
      </c>
      <c r="R1018" s="22"/>
    </row>
    <row r="1019" customFormat="false" ht="15" hidden="false" customHeight="false" outlineLevel="0" collapsed="false">
      <c r="A1019" s="22" t="s">
        <v>8397</v>
      </c>
      <c r="B1019" s="22" t="s">
        <v>188</v>
      </c>
      <c r="C1019" s="22" t="s">
        <v>7694</v>
      </c>
      <c r="D1019" s="22" t="s">
        <v>6652</v>
      </c>
      <c r="E1019" s="22" t="n">
        <v>32</v>
      </c>
      <c r="F1019" s="22" t="s">
        <v>6581</v>
      </c>
      <c r="G1019" s="22" t="s">
        <v>7696</v>
      </c>
      <c r="H1019" s="22" t="n">
        <v>12</v>
      </c>
      <c r="I1019" s="22" t="s">
        <v>6576</v>
      </c>
      <c r="J1019" s="22" t="s">
        <v>6577</v>
      </c>
      <c r="K1019" s="22" t="s">
        <v>6721</v>
      </c>
      <c r="L1019" s="22" t="s">
        <v>2549</v>
      </c>
      <c r="M1019" s="22" t="s">
        <v>2550</v>
      </c>
      <c r="N1019" s="22" t="s">
        <v>1135</v>
      </c>
      <c r="O1019" s="22" t="n">
        <v>30.9</v>
      </c>
      <c r="P1019" s="22" t="n">
        <v>7.55</v>
      </c>
      <c r="Q1019" s="22" t="s">
        <v>8380</v>
      </c>
      <c r="R1019" s="22"/>
    </row>
    <row r="1020" customFormat="false" ht="15" hidden="false" customHeight="false" outlineLevel="0" collapsed="false">
      <c r="A1020" s="22" t="s">
        <v>8398</v>
      </c>
      <c r="B1020" s="22" t="s">
        <v>188</v>
      </c>
      <c r="C1020" s="22" t="s">
        <v>7694</v>
      </c>
      <c r="D1020" s="22" t="s">
        <v>6724</v>
      </c>
      <c r="E1020" s="22" t="n">
        <v>70</v>
      </c>
      <c r="F1020" s="22" t="s">
        <v>7695</v>
      </c>
      <c r="G1020" s="22" t="s">
        <v>7696</v>
      </c>
      <c r="H1020" s="22" t="n">
        <v>22</v>
      </c>
      <c r="I1020" s="22" t="s">
        <v>7697</v>
      </c>
      <c r="J1020" s="22" t="s">
        <v>6577</v>
      </c>
      <c r="K1020" s="22" t="s">
        <v>6725</v>
      </c>
      <c r="L1020" s="22" t="s">
        <v>5447</v>
      </c>
      <c r="M1020" s="22" t="s">
        <v>5448</v>
      </c>
      <c r="N1020" s="22" t="s">
        <v>1929</v>
      </c>
      <c r="O1020" s="22" t="n">
        <v>57.4</v>
      </c>
      <c r="P1020" s="22" t="n">
        <v>7.55</v>
      </c>
      <c r="Q1020" s="22" t="s">
        <v>7514</v>
      </c>
      <c r="R1020" s="22"/>
    </row>
    <row r="1021" customFormat="false" ht="15" hidden="false" customHeight="false" outlineLevel="0" collapsed="false">
      <c r="A1021" s="22" t="s">
        <v>8399</v>
      </c>
      <c r="B1021" s="22" t="s">
        <v>188</v>
      </c>
      <c r="C1021" s="22" t="s">
        <v>7694</v>
      </c>
      <c r="D1021" s="22" t="s">
        <v>6724</v>
      </c>
      <c r="E1021" s="22" t="n">
        <v>28</v>
      </c>
      <c r="F1021" s="22" t="s">
        <v>6574</v>
      </c>
      <c r="G1021" s="22" t="s">
        <v>7696</v>
      </c>
      <c r="H1021" s="22" t="n">
        <v>10</v>
      </c>
      <c r="I1021" s="22" t="s">
        <v>6576</v>
      </c>
      <c r="J1021" s="22" t="s">
        <v>6577</v>
      </c>
      <c r="K1021" s="22" t="s">
        <v>6728</v>
      </c>
      <c r="L1021" s="22" t="s">
        <v>362</v>
      </c>
      <c r="M1021" s="22" t="s">
        <v>363</v>
      </c>
      <c r="N1021" s="22" t="s">
        <v>364</v>
      </c>
      <c r="O1021" s="22" t="n">
        <v>20.7</v>
      </c>
      <c r="P1021" s="22" t="n">
        <v>7.55</v>
      </c>
      <c r="Q1021" s="22" t="s">
        <v>8200</v>
      </c>
      <c r="R1021" s="22"/>
    </row>
    <row r="1022" customFormat="false" ht="15" hidden="false" customHeight="false" outlineLevel="0" collapsed="false">
      <c r="A1022" s="22" t="s">
        <v>8400</v>
      </c>
      <c r="B1022" s="22" t="s">
        <v>188</v>
      </c>
      <c r="C1022" s="22" t="s">
        <v>7694</v>
      </c>
      <c r="D1022" s="22" t="s">
        <v>6724</v>
      </c>
      <c r="E1022" s="22" t="n">
        <v>24</v>
      </c>
      <c r="F1022" s="22" t="s">
        <v>6574</v>
      </c>
      <c r="G1022" s="22" t="s">
        <v>7696</v>
      </c>
      <c r="H1022" s="22" t="n">
        <v>9</v>
      </c>
      <c r="I1022" s="22" t="s">
        <v>6576</v>
      </c>
      <c r="J1022" s="22" t="s">
        <v>6577</v>
      </c>
      <c r="K1022" s="22" t="s">
        <v>6731</v>
      </c>
      <c r="L1022" s="22" t="s">
        <v>6394</v>
      </c>
      <c r="M1022" s="22" t="s">
        <v>6395</v>
      </c>
      <c r="N1022" s="22" t="s">
        <v>675</v>
      </c>
      <c r="O1022" s="22" t="n">
        <v>30</v>
      </c>
      <c r="P1022" s="22" t="n">
        <v>7.55</v>
      </c>
      <c r="Q1022" s="22" t="s">
        <v>8401</v>
      </c>
      <c r="R1022" s="22"/>
    </row>
    <row r="1023" customFormat="false" ht="15" hidden="false" customHeight="false" outlineLevel="0" collapsed="false">
      <c r="A1023" s="22" t="s">
        <v>8402</v>
      </c>
      <c r="B1023" s="22" t="s">
        <v>188</v>
      </c>
      <c r="C1023" s="22" t="s">
        <v>7694</v>
      </c>
      <c r="D1023" s="22" t="s">
        <v>6724</v>
      </c>
      <c r="E1023" s="22" t="n">
        <v>24</v>
      </c>
      <c r="F1023" s="22" t="s">
        <v>6574</v>
      </c>
      <c r="G1023" s="22" t="s">
        <v>7696</v>
      </c>
      <c r="H1023" s="22" t="n">
        <v>9</v>
      </c>
      <c r="I1023" s="22" t="s">
        <v>6576</v>
      </c>
      <c r="J1023" s="22" t="s">
        <v>6577</v>
      </c>
      <c r="K1023" s="22" t="s">
        <v>7383</v>
      </c>
      <c r="L1023" s="22" t="s">
        <v>6198</v>
      </c>
      <c r="M1023" s="22" t="s">
        <v>6199</v>
      </c>
      <c r="N1023" s="22" t="s">
        <v>1499</v>
      </c>
      <c r="O1023" s="22" t="n">
        <v>58.1</v>
      </c>
      <c r="P1023" s="22" t="n">
        <v>7.55</v>
      </c>
      <c r="Q1023" s="22" t="s">
        <v>6666</v>
      </c>
      <c r="R1023" s="22"/>
    </row>
    <row r="1024" customFormat="false" ht="15" hidden="false" customHeight="false" outlineLevel="0" collapsed="false">
      <c r="A1024" s="22" t="s">
        <v>8403</v>
      </c>
      <c r="B1024" s="22" t="s">
        <v>188</v>
      </c>
      <c r="C1024" s="22" t="s">
        <v>7694</v>
      </c>
      <c r="D1024" s="22" t="s">
        <v>6724</v>
      </c>
      <c r="E1024" s="22" t="n">
        <v>70</v>
      </c>
      <c r="F1024" s="22" t="s">
        <v>7695</v>
      </c>
      <c r="G1024" s="22" t="s">
        <v>7696</v>
      </c>
      <c r="H1024" s="22" t="n">
        <v>22</v>
      </c>
      <c r="I1024" s="22" t="s">
        <v>7697</v>
      </c>
      <c r="J1024" s="22" t="s">
        <v>6577</v>
      </c>
      <c r="K1024" s="22" t="s">
        <v>6737</v>
      </c>
      <c r="L1024" s="22" t="s">
        <v>6061</v>
      </c>
      <c r="M1024" s="22" t="s">
        <v>6062</v>
      </c>
      <c r="N1024" s="22" t="s">
        <v>567</v>
      </c>
      <c r="O1024" s="22" t="n">
        <v>58.3</v>
      </c>
      <c r="P1024" s="22" t="n">
        <v>7.55</v>
      </c>
      <c r="Q1024" s="22" t="s">
        <v>7480</v>
      </c>
      <c r="R1024" s="22"/>
    </row>
    <row r="1025" customFormat="false" ht="15" hidden="false" customHeight="false" outlineLevel="0" collapsed="false">
      <c r="A1025" s="22" t="s">
        <v>8404</v>
      </c>
      <c r="B1025" s="22" t="s">
        <v>188</v>
      </c>
      <c r="C1025" s="22" t="s">
        <v>7694</v>
      </c>
      <c r="D1025" s="22" t="s">
        <v>6724</v>
      </c>
      <c r="E1025" s="22" t="n">
        <v>70</v>
      </c>
      <c r="F1025" s="22" t="s">
        <v>7695</v>
      </c>
      <c r="G1025" s="22" t="s">
        <v>7696</v>
      </c>
      <c r="H1025" s="22" t="n">
        <v>22</v>
      </c>
      <c r="I1025" s="22" t="s">
        <v>7697</v>
      </c>
      <c r="J1025" s="22" t="s">
        <v>6577</v>
      </c>
      <c r="K1025" s="22" t="s">
        <v>6740</v>
      </c>
      <c r="L1025" s="22" t="s">
        <v>6057</v>
      </c>
      <c r="M1025" s="22" t="s">
        <v>6058</v>
      </c>
      <c r="N1025" s="22" t="s">
        <v>1102</v>
      </c>
      <c r="O1025" s="22" t="n">
        <v>35.4</v>
      </c>
      <c r="P1025" s="22" t="n">
        <v>7.55</v>
      </c>
      <c r="Q1025" s="22" t="s">
        <v>8349</v>
      </c>
      <c r="R1025" s="22"/>
    </row>
    <row r="1026" customFormat="false" ht="15" hidden="false" customHeight="false" outlineLevel="0" collapsed="false">
      <c r="A1026" s="22" t="s">
        <v>8405</v>
      </c>
      <c r="B1026" s="22" t="s">
        <v>188</v>
      </c>
      <c r="C1026" s="22" t="s">
        <v>7694</v>
      </c>
      <c r="D1026" s="22" t="s">
        <v>6724</v>
      </c>
      <c r="E1026" s="22" t="n">
        <v>32</v>
      </c>
      <c r="F1026" s="22" t="s">
        <v>6581</v>
      </c>
      <c r="G1026" s="22" t="s">
        <v>7696</v>
      </c>
      <c r="H1026" s="22" t="n">
        <v>12</v>
      </c>
      <c r="I1026" s="22" t="s">
        <v>6576</v>
      </c>
      <c r="J1026" s="22" t="s">
        <v>6577</v>
      </c>
      <c r="K1026" s="22" t="s">
        <v>6743</v>
      </c>
      <c r="L1026" s="22" t="s">
        <v>3118</v>
      </c>
      <c r="M1026" s="22" t="s">
        <v>3119</v>
      </c>
      <c r="N1026" s="22" t="s">
        <v>1082</v>
      </c>
      <c r="O1026" s="22" t="n">
        <v>60.3</v>
      </c>
      <c r="P1026" s="22" t="n">
        <v>7.55</v>
      </c>
      <c r="Q1026" s="22" t="s">
        <v>7759</v>
      </c>
      <c r="R1026" s="22"/>
    </row>
    <row r="1027" customFormat="false" ht="15" hidden="false" customHeight="false" outlineLevel="0" collapsed="false">
      <c r="A1027" s="22" t="s">
        <v>8406</v>
      </c>
      <c r="B1027" s="22" t="s">
        <v>188</v>
      </c>
      <c r="C1027" s="22" t="s">
        <v>7694</v>
      </c>
      <c r="D1027" s="22" t="s">
        <v>6724</v>
      </c>
      <c r="E1027" s="22" t="n">
        <v>50</v>
      </c>
      <c r="F1027" s="22" t="s">
        <v>7704</v>
      </c>
      <c r="G1027" s="22" t="s">
        <v>7696</v>
      </c>
      <c r="H1027" s="22" t="n">
        <v>18</v>
      </c>
      <c r="I1027" s="22" t="s">
        <v>7705</v>
      </c>
      <c r="J1027" s="22" t="s">
        <v>6577</v>
      </c>
      <c r="K1027" s="22" t="s">
        <v>7391</v>
      </c>
      <c r="L1027" s="22" t="s">
        <v>4422</v>
      </c>
      <c r="M1027" s="22" t="s">
        <v>4423</v>
      </c>
      <c r="N1027" s="22" t="s">
        <v>1489</v>
      </c>
      <c r="O1027" s="22" t="n">
        <v>20.9</v>
      </c>
      <c r="P1027" s="22" t="n">
        <v>7.55</v>
      </c>
      <c r="Q1027" s="22" t="s">
        <v>8407</v>
      </c>
      <c r="R1027" s="22"/>
    </row>
    <row r="1028" customFormat="false" ht="15" hidden="false" customHeight="false" outlineLevel="0" collapsed="false">
      <c r="A1028" s="22" t="s">
        <v>8408</v>
      </c>
      <c r="B1028" s="22" t="s">
        <v>188</v>
      </c>
      <c r="C1028" s="22" t="s">
        <v>7694</v>
      </c>
      <c r="D1028" s="22" t="s">
        <v>6724</v>
      </c>
      <c r="E1028" s="22" t="n">
        <v>40</v>
      </c>
      <c r="F1028" s="22" t="s">
        <v>6581</v>
      </c>
      <c r="G1028" s="22" t="s">
        <v>7696</v>
      </c>
      <c r="H1028" s="22" t="n">
        <v>14</v>
      </c>
      <c r="I1028" s="22" t="s">
        <v>6582</v>
      </c>
      <c r="J1028" s="22" t="s">
        <v>6577</v>
      </c>
      <c r="K1028" s="22" t="s">
        <v>6748</v>
      </c>
      <c r="L1028" s="22" t="s">
        <v>5853</v>
      </c>
      <c r="M1028" s="22" t="s">
        <v>5854</v>
      </c>
      <c r="N1028" s="22" t="s">
        <v>248</v>
      </c>
      <c r="O1028" s="22" t="n">
        <v>26.6</v>
      </c>
      <c r="P1028" s="22" t="n">
        <v>7.55</v>
      </c>
      <c r="Q1028" s="22" t="s">
        <v>7315</v>
      </c>
      <c r="R1028" s="22"/>
    </row>
    <row r="1029" customFormat="false" ht="15" hidden="false" customHeight="false" outlineLevel="0" collapsed="false">
      <c r="A1029" s="22" t="s">
        <v>8409</v>
      </c>
      <c r="B1029" s="22" t="s">
        <v>188</v>
      </c>
      <c r="C1029" s="22" t="s">
        <v>7694</v>
      </c>
      <c r="D1029" s="22" t="s">
        <v>6724</v>
      </c>
      <c r="E1029" s="22" t="n">
        <v>70</v>
      </c>
      <c r="F1029" s="22" t="s">
        <v>7695</v>
      </c>
      <c r="G1029" s="22" t="s">
        <v>7696</v>
      </c>
      <c r="H1029" s="22" t="n">
        <v>22</v>
      </c>
      <c r="I1029" s="22" t="s">
        <v>7697</v>
      </c>
      <c r="J1029" s="22" t="s">
        <v>6901</v>
      </c>
      <c r="K1029" s="22"/>
      <c r="L1029" s="22"/>
      <c r="M1029" s="22"/>
      <c r="N1029" s="22"/>
      <c r="O1029" s="22"/>
      <c r="P1029" s="22" t="n">
        <v>7.55</v>
      </c>
      <c r="Q1029" s="22" t="s">
        <v>8213</v>
      </c>
      <c r="R1029" s="22"/>
    </row>
    <row r="1030" customFormat="false" ht="15" hidden="false" customHeight="false" outlineLevel="0" collapsed="false">
      <c r="A1030" s="22" t="s">
        <v>8410</v>
      </c>
      <c r="B1030" s="22" t="s">
        <v>188</v>
      </c>
      <c r="C1030" s="22" t="s">
        <v>7694</v>
      </c>
      <c r="D1030" s="22" t="s">
        <v>6724</v>
      </c>
      <c r="E1030" s="22" t="n">
        <v>28</v>
      </c>
      <c r="F1030" s="22" t="s">
        <v>6574</v>
      </c>
      <c r="G1030" s="22" t="s">
        <v>7696</v>
      </c>
      <c r="H1030" s="22" t="n">
        <v>10</v>
      </c>
      <c r="I1030" s="22" t="s">
        <v>6576</v>
      </c>
      <c r="J1030" s="22" t="s">
        <v>6577</v>
      </c>
      <c r="K1030" s="22" t="s">
        <v>6752</v>
      </c>
      <c r="L1030" s="22" t="s">
        <v>5304</v>
      </c>
      <c r="M1030" s="22" t="s">
        <v>5305</v>
      </c>
      <c r="N1030" s="22" t="s">
        <v>1474</v>
      </c>
      <c r="O1030" s="22" t="n">
        <v>43.8</v>
      </c>
      <c r="P1030" s="22" t="n">
        <v>7.55</v>
      </c>
      <c r="Q1030" s="22" t="s">
        <v>7573</v>
      </c>
      <c r="R1030" s="22"/>
    </row>
    <row r="1031" customFormat="false" ht="15" hidden="false" customHeight="false" outlineLevel="0" collapsed="false">
      <c r="A1031" s="22" t="s">
        <v>8411</v>
      </c>
      <c r="B1031" s="22" t="s">
        <v>188</v>
      </c>
      <c r="C1031" s="22" t="s">
        <v>7694</v>
      </c>
      <c r="D1031" s="22" t="s">
        <v>6724</v>
      </c>
      <c r="E1031" s="22" t="n">
        <v>50</v>
      </c>
      <c r="F1031" s="22" t="s">
        <v>7704</v>
      </c>
      <c r="G1031" s="22" t="s">
        <v>7696</v>
      </c>
      <c r="H1031" s="22" t="n">
        <v>18</v>
      </c>
      <c r="I1031" s="22" t="s">
        <v>7705</v>
      </c>
      <c r="J1031" s="22" t="s">
        <v>6577</v>
      </c>
      <c r="K1031" s="22" t="s">
        <v>6755</v>
      </c>
      <c r="L1031" s="22" t="s">
        <v>3724</v>
      </c>
      <c r="M1031" s="22" t="s">
        <v>3725</v>
      </c>
      <c r="N1031" s="22" t="s">
        <v>885</v>
      </c>
      <c r="O1031" s="22" t="n">
        <v>37.7</v>
      </c>
      <c r="P1031" s="22" t="n">
        <v>7.55</v>
      </c>
      <c r="Q1031" s="22" t="s">
        <v>8412</v>
      </c>
      <c r="R1031" s="22"/>
    </row>
    <row r="1032" customFormat="false" ht="15" hidden="false" customHeight="false" outlineLevel="0" collapsed="false">
      <c r="A1032" s="22" t="s">
        <v>8413</v>
      </c>
      <c r="B1032" s="22" t="s">
        <v>188</v>
      </c>
      <c r="C1032" s="22" t="s">
        <v>7694</v>
      </c>
      <c r="D1032" s="22" t="s">
        <v>6724</v>
      </c>
      <c r="E1032" s="22" t="n">
        <v>24</v>
      </c>
      <c r="F1032" s="22" t="s">
        <v>6574</v>
      </c>
      <c r="G1032" s="22" t="s">
        <v>7696</v>
      </c>
      <c r="H1032" s="22" t="n">
        <v>9</v>
      </c>
      <c r="I1032" s="22" t="s">
        <v>6576</v>
      </c>
      <c r="J1032" s="22" t="s">
        <v>6577</v>
      </c>
      <c r="K1032" s="22" t="s">
        <v>6758</v>
      </c>
      <c r="L1032" s="22" t="s">
        <v>2926</v>
      </c>
      <c r="M1032" s="22" t="s">
        <v>2927</v>
      </c>
      <c r="N1032" s="22" t="s">
        <v>2928</v>
      </c>
      <c r="O1032" s="22" t="n">
        <v>52.1</v>
      </c>
      <c r="P1032" s="22" t="n">
        <v>7.55</v>
      </c>
      <c r="Q1032" s="22" t="s">
        <v>7389</v>
      </c>
      <c r="R1032" s="22"/>
    </row>
    <row r="1033" customFormat="false" ht="15" hidden="false" customHeight="false" outlineLevel="0" collapsed="false">
      <c r="A1033" s="22" t="s">
        <v>8414</v>
      </c>
      <c r="B1033" s="22" t="s">
        <v>188</v>
      </c>
      <c r="C1033" s="22" t="s">
        <v>7694</v>
      </c>
      <c r="D1033" s="22" t="s">
        <v>6724</v>
      </c>
      <c r="E1033" s="22" t="n">
        <v>70</v>
      </c>
      <c r="F1033" s="22" t="s">
        <v>7695</v>
      </c>
      <c r="G1033" s="22" t="s">
        <v>7696</v>
      </c>
      <c r="H1033" s="22" t="n">
        <v>22</v>
      </c>
      <c r="I1033" s="22" t="s">
        <v>7697</v>
      </c>
      <c r="J1033" s="22" t="s">
        <v>6577</v>
      </c>
      <c r="K1033" s="22" t="s">
        <v>6761</v>
      </c>
      <c r="L1033" s="22" t="s">
        <v>5345</v>
      </c>
      <c r="M1033" s="22" t="s">
        <v>5346</v>
      </c>
      <c r="N1033" s="22" t="s">
        <v>495</v>
      </c>
      <c r="O1033" s="22" t="n">
        <v>59.9</v>
      </c>
      <c r="P1033" s="22" t="n">
        <v>7.55</v>
      </c>
      <c r="Q1033" s="22" t="s">
        <v>8341</v>
      </c>
      <c r="R1033" s="22"/>
    </row>
    <row r="1034" customFormat="false" ht="15" hidden="false" customHeight="false" outlineLevel="0" collapsed="false">
      <c r="A1034" s="22" t="s">
        <v>8415</v>
      </c>
      <c r="B1034" s="22" t="s">
        <v>188</v>
      </c>
      <c r="C1034" s="22" t="s">
        <v>7694</v>
      </c>
      <c r="D1034" s="22" t="s">
        <v>6724</v>
      </c>
      <c r="E1034" s="22" t="n">
        <v>24</v>
      </c>
      <c r="F1034" s="22" t="s">
        <v>6574</v>
      </c>
      <c r="G1034" s="22" t="s">
        <v>7696</v>
      </c>
      <c r="H1034" s="22" t="n">
        <v>9</v>
      </c>
      <c r="I1034" s="22" t="s">
        <v>6576</v>
      </c>
      <c r="J1034" s="22" t="s">
        <v>6577</v>
      </c>
      <c r="K1034" s="22" t="s">
        <v>6764</v>
      </c>
      <c r="L1034" s="22" t="s">
        <v>3373</v>
      </c>
      <c r="M1034" s="22" t="s">
        <v>3374</v>
      </c>
      <c r="N1034" s="22" t="s">
        <v>1496</v>
      </c>
      <c r="O1034" s="22" t="n">
        <v>55.5</v>
      </c>
      <c r="P1034" s="22" t="n">
        <v>7.55</v>
      </c>
      <c r="Q1034" s="22" t="s">
        <v>7496</v>
      </c>
      <c r="R1034" s="22"/>
    </row>
    <row r="1035" customFormat="false" ht="15" hidden="false" customHeight="false" outlineLevel="0" collapsed="false">
      <c r="A1035" s="22" t="s">
        <v>8416</v>
      </c>
      <c r="B1035" s="22" t="s">
        <v>188</v>
      </c>
      <c r="C1035" s="22" t="s">
        <v>7694</v>
      </c>
      <c r="D1035" s="22" t="s">
        <v>6724</v>
      </c>
      <c r="E1035" s="22" t="n">
        <v>24</v>
      </c>
      <c r="F1035" s="22" t="s">
        <v>6574</v>
      </c>
      <c r="G1035" s="22" t="s">
        <v>7696</v>
      </c>
      <c r="H1035" s="22" t="n">
        <v>9</v>
      </c>
      <c r="I1035" s="22" t="s">
        <v>6576</v>
      </c>
      <c r="J1035" s="22" t="s">
        <v>6577</v>
      </c>
      <c r="K1035" s="22" t="s">
        <v>6767</v>
      </c>
      <c r="L1035" s="22" t="s">
        <v>2685</v>
      </c>
      <c r="M1035" s="22" t="s">
        <v>2686</v>
      </c>
      <c r="N1035" s="22" t="s">
        <v>398</v>
      </c>
      <c r="O1035" s="22" t="n">
        <v>32.9</v>
      </c>
      <c r="P1035" s="22" t="n">
        <v>7.55</v>
      </c>
      <c r="Q1035" s="22" t="s">
        <v>6907</v>
      </c>
      <c r="R1035" s="22"/>
    </row>
    <row r="1036" customFormat="false" ht="15" hidden="false" customHeight="false" outlineLevel="0" collapsed="false">
      <c r="A1036" s="22" t="s">
        <v>8417</v>
      </c>
      <c r="B1036" s="22" t="s">
        <v>188</v>
      </c>
      <c r="C1036" s="22" t="s">
        <v>7694</v>
      </c>
      <c r="D1036" s="22" t="s">
        <v>6724</v>
      </c>
      <c r="E1036" s="22" t="n">
        <v>28</v>
      </c>
      <c r="F1036" s="22" t="s">
        <v>6574</v>
      </c>
      <c r="G1036" s="22" t="s">
        <v>7696</v>
      </c>
      <c r="H1036" s="22" t="n">
        <v>10</v>
      </c>
      <c r="I1036" s="22" t="s">
        <v>6576</v>
      </c>
      <c r="J1036" s="22" t="s">
        <v>6577</v>
      </c>
      <c r="K1036" s="22" t="s">
        <v>6770</v>
      </c>
      <c r="L1036" s="22" t="s">
        <v>1666</v>
      </c>
      <c r="M1036" s="22" t="s">
        <v>1667</v>
      </c>
      <c r="N1036" s="22" t="s">
        <v>1668</v>
      </c>
      <c r="O1036" s="22" t="n">
        <v>45.8</v>
      </c>
      <c r="P1036" s="22" t="n">
        <v>7.55</v>
      </c>
      <c r="Q1036" s="22" t="s">
        <v>7116</v>
      </c>
      <c r="R1036" s="22"/>
    </row>
    <row r="1037" customFormat="false" ht="15" hidden="false" customHeight="false" outlineLevel="0" collapsed="false">
      <c r="A1037" s="22" t="s">
        <v>8418</v>
      </c>
      <c r="B1037" s="22" t="s">
        <v>188</v>
      </c>
      <c r="C1037" s="22" t="s">
        <v>7694</v>
      </c>
      <c r="D1037" s="22" t="s">
        <v>6724</v>
      </c>
      <c r="E1037" s="22" t="n">
        <v>28</v>
      </c>
      <c r="F1037" s="22" t="s">
        <v>6574</v>
      </c>
      <c r="G1037" s="22" t="s">
        <v>7696</v>
      </c>
      <c r="H1037" s="22" t="n">
        <v>10</v>
      </c>
      <c r="I1037" s="22" t="s">
        <v>6576</v>
      </c>
      <c r="J1037" s="22" t="s">
        <v>6577</v>
      </c>
      <c r="K1037" s="22" t="s">
        <v>6773</v>
      </c>
      <c r="L1037" s="22" t="s">
        <v>5083</v>
      </c>
      <c r="M1037" s="22" t="s">
        <v>5084</v>
      </c>
      <c r="N1037" s="22" t="s">
        <v>4476</v>
      </c>
      <c r="O1037" s="22" t="n">
        <v>27.1</v>
      </c>
      <c r="P1037" s="22" t="n">
        <v>7.55</v>
      </c>
      <c r="Q1037" s="22" t="s">
        <v>7078</v>
      </c>
      <c r="R1037" s="22"/>
    </row>
    <row r="1038" customFormat="false" ht="15" hidden="false" customHeight="false" outlineLevel="0" collapsed="false">
      <c r="A1038" s="22" t="s">
        <v>8419</v>
      </c>
      <c r="B1038" s="22" t="s">
        <v>188</v>
      </c>
      <c r="C1038" s="22" t="s">
        <v>7694</v>
      </c>
      <c r="D1038" s="22" t="s">
        <v>6724</v>
      </c>
      <c r="E1038" s="22" t="n">
        <v>32</v>
      </c>
      <c r="F1038" s="22" t="s">
        <v>6581</v>
      </c>
      <c r="G1038" s="22" t="s">
        <v>7696</v>
      </c>
      <c r="H1038" s="22" t="n">
        <v>12</v>
      </c>
      <c r="I1038" s="22" t="s">
        <v>6576</v>
      </c>
      <c r="J1038" s="22" t="s">
        <v>6577</v>
      </c>
      <c r="K1038" s="22" t="s">
        <v>7413</v>
      </c>
      <c r="L1038" s="22" t="s">
        <v>3021</v>
      </c>
      <c r="M1038" s="22" t="s">
        <v>3022</v>
      </c>
      <c r="N1038" s="22" t="s">
        <v>2823</v>
      </c>
      <c r="O1038" s="22" t="n">
        <v>53.4</v>
      </c>
      <c r="P1038" s="22" t="n">
        <v>7.55</v>
      </c>
      <c r="Q1038" s="22" t="s">
        <v>8082</v>
      </c>
      <c r="R1038" s="22"/>
    </row>
    <row r="1039" customFormat="false" ht="15" hidden="false" customHeight="false" outlineLevel="0" collapsed="false">
      <c r="A1039" s="22" t="s">
        <v>8420</v>
      </c>
      <c r="B1039" s="22" t="s">
        <v>188</v>
      </c>
      <c r="C1039" s="22" t="s">
        <v>7694</v>
      </c>
      <c r="D1039" s="22" t="s">
        <v>6724</v>
      </c>
      <c r="E1039" s="22" t="n">
        <v>36</v>
      </c>
      <c r="F1039" s="22" t="s">
        <v>6581</v>
      </c>
      <c r="G1039" s="22" t="s">
        <v>7696</v>
      </c>
      <c r="H1039" s="22" t="n">
        <v>13</v>
      </c>
      <c r="I1039" s="22" t="s">
        <v>6582</v>
      </c>
      <c r="J1039" s="22" t="s">
        <v>6577</v>
      </c>
      <c r="K1039" s="22" t="s">
        <v>6777</v>
      </c>
      <c r="L1039" s="22" t="s">
        <v>2266</v>
      </c>
      <c r="M1039" s="22" t="s">
        <v>2267</v>
      </c>
      <c r="N1039" s="22" t="s">
        <v>1220</v>
      </c>
      <c r="O1039" s="22" t="n">
        <v>28.9</v>
      </c>
      <c r="P1039" s="22" t="n">
        <v>7.55</v>
      </c>
      <c r="Q1039" s="22" t="s">
        <v>6973</v>
      </c>
      <c r="R1039" s="22"/>
    </row>
    <row r="1040" customFormat="false" ht="15" hidden="false" customHeight="false" outlineLevel="0" collapsed="false">
      <c r="A1040" s="22" t="s">
        <v>8421</v>
      </c>
      <c r="B1040" s="22" t="s">
        <v>188</v>
      </c>
      <c r="C1040" s="22" t="s">
        <v>7694</v>
      </c>
      <c r="D1040" s="22" t="s">
        <v>6724</v>
      </c>
      <c r="E1040" s="22" t="n">
        <v>45</v>
      </c>
      <c r="F1040" s="22" t="s">
        <v>7704</v>
      </c>
      <c r="G1040" s="22" t="s">
        <v>7696</v>
      </c>
      <c r="H1040" s="22" t="n">
        <v>16</v>
      </c>
      <c r="I1040" s="22" t="s">
        <v>7705</v>
      </c>
      <c r="J1040" s="22" t="s">
        <v>6577</v>
      </c>
      <c r="K1040" s="22" t="s">
        <v>6780</v>
      </c>
      <c r="L1040" s="22" t="s">
        <v>3653</v>
      </c>
      <c r="M1040" s="22" t="s">
        <v>3654</v>
      </c>
      <c r="N1040" s="22" t="s">
        <v>1463</v>
      </c>
      <c r="O1040" s="22" t="n">
        <v>24</v>
      </c>
      <c r="P1040" s="22" t="n">
        <v>7.55</v>
      </c>
      <c r="Q1040" s="22" t="s">
        <v>6868</v>
      </c>
      <c r="R1040" s="22"/>
    </row>
    <row r="1041" customFormat="false" ht="15" hidden="false" customHeight="false" outlineLevel="0" collapsed="false">
      <c r="A1041" s="22" t="s">
        <v>8422</v>
      </c>
      <c r="B1041" s="22" t="s">
        <v>188</v>
      </c>
      <c r="C1041" s="22" t="s">
        <v>7694</v>
      </c>
      <c r="D1041" s="22" t="s">
        <v>6724</v>
      </c>
      <c r="E1041" s="22" t="n">
        <v>24</v>
      </c>
      <c r="F1041" s="22" t="s">
        <v>6574</v>
      </c>
      <c r="G1041" s="22" t="s">
        <v>7696</v>
      </c>
      <c r="H1041" s="22" t="n">
        <v>9</v>
      </c>
      <c r="I1041" s="22" t="s">
        <v>6576</v>
      </c>
      <c r="J1041" s="22" t="s">
        <v>6577</v>
      </c>
      <c r="K1041" s="22" t="s">
        <v>6783</v>
      </c>
      <c r="L1041" s="22" t="s">
        <v>3454</v>
      </c>
      <c r="M1041" s="22" t="s">
        <v>3455</v>
      </c>
      <c r="N1041" s="22" t="s">
        <v>1063</v>
      </c>
      <c r="O1041" s="22" t="n">
        <v>35.5</v>
      </c>
      <c r="P1041" s="22" t="n">
        <v>7.55</v>
      </c>
      <c r="Q1041" s="22" t="s">
        <v>8126</v>
      </c>
      <c r="R1041" s="22"/>
    </row>
    <row r="1042" customFormat="false" ht="15" hidden="false" customHeight="false" outlineLevel="0" collapsed="false">
      <c r="A1042" s="22" t="s">
        <v>8423</v>
      </c>
      <c r="B1042" s="22" t="s">
        <v>188</v>
      </c>
      <c r="C1042" s="22" t="s">
        <v>7694</v>
      </c>
      <c r="D1042" s="22" t="s">
        <v>6724</v>
      </c>
      <c r="E1042" s="22" t="n">
        <v>70</v>
      </c>
      <c r="F1042" s="22" t="s">
        <v>7695</v>
      </c>
      <c r="G1042" s="22" t="s">
        <v>7696</v>
      </c>
      <c r="H1042" s="22" t="n">
        <v>22</v>
      </c>
      <c r="I1042" s="22" t="s">
        <v>7697</v>
      </c>
      <c r="J1042" s="22" t="s">
        <v>6577</v>
      </c>
      <c r="K1042" s="22" t="s">
        <v>6786</v>
      </c>
      <c r="L1042" s="22" t="s">
        <v>6376</v>
      </c>
      <c r="M1042" s="22" t="s">
        <v>6377</v>
      </c>
      <c r="N1042" s="22" t="s">
        <v>2583</v>
      </c>
      <c r="O1042" s="22" t="n">
        <v>47.1</v>
      </c>
      <c r="P1042" s="22" t="n">
        <v>7.55</v>
      </c>
      <c r="Q1042" s="22" t="s">
        <v>7707</v>
      </c>
      <c r="R1042" s="22"/>
    </row>
    <row r="1043" customFormat="false" ht="15" hidden="false" customHeight="false" outlineLevel="0" collapsed="false">
      <c r="A1043" s="22" t="s">
        <v>8424</v>
      </c>
      <c r="B1043" s="22" t="s">
        <v>188</v>
      </c>
      <c r="C1043" s="22" t="s">
        <v>7694</v>
      </c>
      <c r="D1043" s="22" t="s">
        <v>6724</v>
      </c>
      <c r="E1043" s="22" t="n">
        <v>32</v>
      </c>
      <c r="F1043" s="22" t="s">
        <v>6581</v>
      </c>
      <c r="G1043" s="22" t="s">
        <v>7696</v>
      </c>
      <c r="H1043" s="22" t="n">
        <v>12</v>
      </c>
      <c r="I1043" s="22" t="s">
        <v>6576</v>
      </c>
      <c r="J1043" s="22" t="s">
        <v>6577</v>
      </c>
      <c r="K1043" s="22" t="s">
        <v>6788</v>
      </c>
      <c r="L1043" s="22" t="s">
        <v>2454</v>
      </c>
      <c r="M1043" s="22" t="s">
        <v>2455</v>
      </c>
      <c r="N1043" s="22" t="s">
        <v>972</v>
      </c>
      <c r="O1043" s="22" t="n">
        <v>48.1</v>
      </c>
      <c r="P1043" s="22" t="n">
        <v>7.55</v>
      </c>
      <c r="Q1043" s="22" t="s">
        <v>7744</v>
      </c>
      <c r="R1043" s="22"/>
    </row>
    <row r="1044" customFormat="false" ht="15" hidden="false" customHeight="false" outlineLevel="0" collapsed="false">
      <c r="A1044" s="22" t="s">
        <v>8425</v>
      </c>
      <c r="B1044" s="22" t="s">
        <v>188</v>
      </c>
      <c r="C1044" s="22" t="s">
        <v>7694</v>
      </c>
      <c r="D1044" s="22" t="s">
        <v>6791</v>
      </c>
      <c r="E1044" s="22" t="n">
        <v>60</v>
      </c>
      <c r="F1044" s="22" t="s">
        <v>7695</v>
      </c>
      <c r="G1044" s="22" t="s">
        <v>7696</v>
      </c>
      <c r="H1044" s="22" t="n">
        <v>20</v>
      </c>
      <c r="I1044" s="22" t="s">
        <v>7697</v>
      </c>
      <c r="J1044" s="22" t="s">
        <v>6577</v>
      </c>
      <c r="K1044" s="22" t="s">
        <v>7425</v>
      </c>
      <c r="L1044" s="22" t="s">
        <v>1248</v>
      </c>
      <c r="M1044" s="22" t="s">
        <v>1249</v>
      </c>
      <c r="N1044" s="22" t="s">
        <v>1143</v>
      </c>
      <c r="O1044" s="22" t="n">
        <v>23.8</v>
      </c>
      <c r="P1044" s="22" t="n">
        <v>7.55</v>
      </c>
      <c r="Q1044" s="22" t="s">
        <v>7359</v>
      </c>
      <c r="R1044" s="22"/>
    </row>
    <row r="1045" customFormat="false" ht="15" hidden="false" customHeight="false" outlineLevel="0" collapsed="false">
      <c r="A1045" s="22" t="s">
        <v>8426</v>
      </c>
      <c r="B1045" s="22" t="s">
        <v>188</v>
      </c>
      <c r="C1045" s="22" t="s">
        <v>7694</v>
      </c>
      <c r="D1045" s="22" t="s">
        <v>6791</v>
      </c>
      <c r="E1045" s="22" t="n">
        <v>32</v>
      </c>
      <c r="F1045" s="22" t="s">
        <v>6581</v>
      </c>
      <c r="G1045" s="22" t="s">
        <v>7696</v>
      </c>
      <c r="H1045" s="22" t="n">
        <v>12</v>
      </c>
      <c r="I1045" s="22" t="s">
        <v>6576</v>
      </c>
      <c r="J1045" s="22" t="s">
        <v>6577</v>
      </c>
      <c r="K1045" s="22" t="s">
        <v>6794</v>
      </c>
      <c r="L1045" s="22" t="s">
        <v>5869</v>
      </c>
      <c r="M1045" s="22" t="s">
        <v>5870</v>
      </c>
      <c r="N1045" s="22" t="s">
        <v>1217</v>
      </c>
      <c r="O1045" s="22" t="n">
        <v>53.9</v>
      </c>
      <c r="P1045" s="22" t="n">
        <v>7.55</v>
      </c>
      <c r="Q1045" s="22" t="s">
        <v>8412</v>
      </c>
      <c r="R1045" s="22"/>
    </row>
    <row r="1046" customFormat="false" ht="15" hidden="false" customHeight="false" outlineLevel="0" collapsed="false">
      <c r="A1046" s="22" t="s">
        <v>8427</v>
      </c>
      <c r="B1046" s="22" t="s">
        <v>188</v>
      </c>
      <c r="C1046" s="22" t="s">
        <v>7694</v>
      </c>
      <c r="D1046" s="22" t="s">
        <v>6791</v>
      </c>
      <c r="E1046" s="22" t="n">
        <v>24</v>
      </c>
      <c r="F1046" s="22" t="s">
        <v>6574</v>
      </c>
      <c r="G1046" s="22" t="s">
        <v>7696</v>
      </c>
      <c r="H1046" s="22" t="n">
        <v>9</v>
      </c>
      <c r="I1046" s="22" t="s">
        <v>6576</v>
      </c>
      <c r="J1046" s="22" t="s">
        <v>6577</v>
      </c>
      <c r="K1046" s="22" t="s">
        <v>6797</v>
      </c>
      <c r="L1046" s="22" t="s">
        <v>4510</v>
      </c>
      <c r="M1046" s="22" t="s">
        <v>4511</v>
      </c>
      <c r="N1046" s="22" t="s">
        <v>815</v>
      </c>
      <c r="O1046" s="22" t="n">
        <v>47.7</v>
      </c>
      <c r="P1046" s="22" t="n">
        <v>7.55</v>
      </c>
      <c r="Q1046" s="22" t="s">
        <v>6617</v>
      </c>
      <c r="R1046" s="22"/>
    </row>
    <row r="1047" customFormat="false" ht="15" hidden="false" customHeight="false" outlineLevel="0" collapsed="false">
      <c r="A1047" s="22" t="s">
        <v>8428</v>
      </c>
      <c r="B1047" s="22" t="s">
        <v>188</v>
      </c>
      <c r="C1047" s="22" t="s">
        <v>7694</v>
      </c>
      <c r="D1047" s="22" t="s">
        <v>6791</v>
      </c>
      <c r="E1047" s="22" t="n">
        <v>40</v>
      </c>
      <c r="F1047" s="22" t="s">
        <v>6581</v>
      </c>
      <c r="G1047" s="22" t="s">
        <v>7696</v>
      </c>
      <c r="H1047" s="22" t="n">
        <v>14</v>
      </c>
      <c r="I1047" s="22" t="s">
        <v>6582</v>
      </c>
      <c r="J1047" s="22" t="s">
        <v>6577</v>
      </c>
      <c r="K1047" s="22" t="s">
        <v>6800</v>
      </c>
      <c r="L1047" s="22" t="s">
        <v>2994</v>
      </c>
      <c r="M1047" s="22" t="s">
        <v>2995</v>
      </c>
      <c r="N1047" s="22" t="s">
        <v>346</v>
      </c>
      <c r="O1047" s="22" t="n">
        <v>54.9</v>
      </c>
      <c r="P1047" s="22" t="n">
        <v>7.55</v>
      </c>
      <c r="Q1047" s="22" t="s">
        <v>8100</v>
      </c>
      <c r="R1047" s="22"/>
    </row>
    <row r="1048" customFormat="false" ht="15" hidden="false" customHeight="false" outlineLevel="0" collapsed="false">
      <c r="A1048" s="22" t="s">
        <v>8429</v>
      </c>
      <c r="B1048" s="22" t="s">
        <v>188</v>
      </c>
      <c r="C1048" s="22" t="s">
        <v>7694</v>
      </c>
      <c r="D1048" s="22" t="s">
        <v>6791</v>
      </c>
      <c r="E1048" s="22" t="n">
        <v>45</v>
      </c>
      <c r="F1048" s="22" t="s">
        <v>7704</v>
      </c>
      <c r="G1048" s="22" t="s">
        <v>7696</v>
      </c>
      <c r="H1048" s="22" t="n">
        <v>16</v>
      </c>
      <c r="I1048" s="22" t="s">
        <v>7705</v>
      </c>
      <c r="J1048" s="22" t="s">
        <v>6577</v>
      </c>
      <c r="K1048" s="22" t="s">
        <v>6803</v>
      </c>
      <c r="L1048" s="22" t="s">
        <v>3132</v>
      </c>
      <c r="M1048" s="22" t="s">
        <v>3133</v>
      </c>
      <c r="N1048" s="22" t="s">
        <v>2572</v>
      </c>
      <c r="O1048" s="22" t="n">
        <v>57.3</v>
      </c>
      <c r="P1048" s="22" t="n">
        <v>7.55</v>
      </c>
      <c r="Q1048" s="22" t="s">
        <v>8320</v>
      </c>
      <c r="R1048" s="22"/>
    </row>
    <row r="1049" customFormat="false" ht="15" hidden="false" customHeight="false" outlineLevel="0" collapsed="false">
      <c r="A1049" s="22" t="s">
        <v>8430</v>
      </c>
      <c r="B1049" s="22" t="s">
        <v>188</v>
      </c>
      <c r="C1049" s="22" t="s">
        <v>7694</v>
      </c>
      <c r="D1049" s="22" t="s">
        <v>6791</v>
      </c>
      <c r="E1049" s="22" t="n">
        <v>40</v>
      </c>
      <c r="F1049" s="22" t="s">
        <v>6581</v>
      </c>
      <c r="G1049" s="22" t="s">
        <v>7696</v>
      </c>
      <c r="H1049" s="22" t="n">
        <v>14</v>
      </c>
      <c r="I1049" s="22" t="s">
        <v>6582</v>
      </c>
      <c r="J1049" s="22" t="s">
        <v>6577</v>
      </c>
      <c r="K1049" s="22" t="s">
        <v>6806</v>
      </c>
      <c r="L1049" s="22" t="s">
        <v>4508</v>
      </c>
      <c r="M1049" s="22" t="s">
        <v>4509</v>
      </c>
      <c r="N1049" s="22" t="s">
        <v>519</v>
      </c>
      <c r="O1049" s="22" t="n">
        <v>55.3</v>
      </c>
      <c r="P1049" s="22" t="n">
        <v>7.55</v>
      </c>
      <c r="Q1049" s="22" t="s">
        <v>7501</v>
      </c>
      <c r="R1049" s="22"/>
    </row>
    <row r="1050" customFormat="false" ht="15" hidden="false" customHeight="false" outlineLevel="0" collapsed="false">
      <c r="A1050" s="22" t="s">
        <v>8431</v>
      </c>
      <c r="B1050" s="22" t="s">
        <v>188</v>
      </c>
      <c r="C1050" s="22" t="s">
        <v>7694</v>
      </c>
      <c r="D1050" s="22" t="s">
        <v>6791</v>
      </c>
      <c r="E1050" s="22" t="n">
        <v>24</v>
      </c>
      <c r="F1050" s="22" t="s">
        <v>6574</v>
      </c>
      <c r="G1050" s="22" t="s">
        <v>7696</v>
      </c>
      <c r="H1050" s="22" t="n">
        <v>9</v>
      </c>
      <c r="I1050" s="22" t="s">
        <v>6576</v>
      </c>
      <c r="J1050" s="22" t="s">
        <v>6577</v>
      </c>
      <c r="K1050" s="22" t="s">
        <v>6809</v>
      </c>
      <c r="L1050" s="22" t="s">
        <v>4477</v>
      </c>
      <c r="M1050" s="22" t="s">
        <v>4478</v>
      </c>
      <c r="N1050" s="22" t="s">
        <v>1048</v>
      </c>
      <c r="O1050" s="22" t="n">
        <v>32.7</v>
      </c>
      <c r="P1050" s="22" t="n">
        <v>7.55</v>
      </c>
      <c r="Q1050" s="22" t="s">
        <v>6683</v>
      </c>
      <c r="R1050" s="22"/>
    </row>
    <row r="1051" customFormat="false" ht="15" hidden="false" customHeight="false" outlineLevel="0" collapsed="false">
      <c r="A1051" s="22" t="s">
        <v>8432</v>
      </c>
      <c r="B1051" s="22" t="s">
        <v>188</v>
      </c>
      <c r="C1051" s="22" t="s">
        <v>7694</v>
      </c>
      <c r="D1051" s="22" t="s">
        <v>6791</v>
      </c>
      <c r="E1051" s="22" t="n">
        <v>28</v>
      </c>
      <c r="F1051" s="22" t="s">
        <v>6574</v>
      </c>
      <c r="G1051" s="22" t="s">
        <v>7696</v>
      </c>
      <c r="H1051" s="22" t="n">
        <v>10</v>
      </c>
      <c r="I1051" s="22" t="s">
        <v>6576</v>
      </c>
      <c r="J1051" s="22" t="s">
        <v>6577</v>
      </c>
      <c r="K1051" s="22" t="s">
        <v>6812</v>
      </c>
      <c r="L1051" s="22" t="s">
        <v>951</v>
      </c>
      <c r="M1051" s="22" t="s">
        <v>952</v>
      </c>
      <c r="N1051" s="22" t="s">
        <v>953</v>
      </c>
      <c r="O1051" s="22" t="n">
        <v>50.7</v>
      </c>
      <c r="P1051" s="22" t="n">
        <v>7.55</v>
      </c>
      <c r="Q1051" s="22" t="s">
        <v>8300</v>
      </c>
      <c r="R1051" s="22"/>
    </row>
    <row r="1052" customFormat="false" ht="15" hidden="false" customHeight="false" outlineLevel="0" collapsed="false">
      <c r="A1052" s="22" t="s">
        <v>8433</v>
      </c>
      <c r="B1052" s="22" t="s">
        <v>188</v>
      </c>
      <c r="C1052" s="22" t="s">
        <v>7694</v>
      </c>
      <c r="D1052" s="22" t="s">
        <v>6791</v>
      </c>
      <c r="E1052" s="22" t="n">
        <v>40</v>
      </c>
      <c r="F1052" s="22" t="s">
        <v>6581</v>
      </c>
      <c r="G1052" s="22" t="s">
        <v>7696</v>
      </c>
      <c r="H1052" s="22" t="n">
        <v>14</v>
      </c>
      <c r="I1052" s="22" t="s">
        <v>6582</v>
      </c>
      <c r="J1052" s="22" t="s">
        <v>6577</v>
      </c>
      <c r="K1052" s="22" t="s">
        <v>6815</v>
      </c>
      <c r="L1052" s="22" t="s">
        <v>2111</v>
      </c>
      <c r="M1052" s="22" t="s">
        <v>2112</v>
      </c>
      <c r="N1052" s="22" t="s">
        <v>2113</v>
      </c>
      <c r="O1052" s="22" t="n">
        <v>28.6</v>
      </c>
      <c r="P1052" s="22" t="n">
        <v>7.55</v>
      </c>
      <c r="Q1052" s="22" t="s">
        <v>8434</v>
      </c>
      <c r="R1052" s="22"/>
    </row>
    <row r="1053" customFormat="false" ht="15" hidden="false" customHeight="false" outlineLevel="0" collapsed="false">
      <c r="A1053" s="22" t="s">
        <v>8435</v>
      </c>
      <c r="B1053" s="22" t="s">
        <v>188</v>
      </c>
      <c r="C1053" s="22" t="s">
        <v>7694</v>
      </c>
      <c r="D1053" s="22" t="s">
        <v>6791</v>
      </c>
      <c r="E1053" s="22" t="n">
        <v>24</v>
      </c>
      <c r="F1053" s="22" t="s">
        <v>6574</v>
      </c>
      <c r="G1053" s="22" t="s">
        <v>7696</v>
      </c>
      <c r="H1053" s="22" t="n">
        <v>9</v>
      </c>
      <c r="I1053" s="22" t="s">
        <v>6576</v>
      </c>
      <c r="J1053" s="22" t="s">
        <v>6577</v>
      </c>
      <c r="K1053" s="22" t="s">
        <v>6818</v>
      </c>
      <c r="L1053" s="22" t="s">
        <v>2130</v>
      </c>
      <c r="M1053" s="22" t="s">
        <v>2131</v>
      </c>
      <c r="N1053" s="22" t="s">
        <v>257</v>
      </c>
      <c r="O1053" s="22" t="n">
        <v>31.4</v>
      </c>
      <c r="P1053" s="22" t="n">
        <v>7.55</v>
      </c>
      <c r="Q1053" s="22" t="s">
        <v>7600</v>
      </c>
      <c r="R1053" s="22"/>
    </row>
    <row r="1054" customFormat="false" ht="15" hidden="false" customHeight="false" outlineLevel="0" collapsed="false">
      <c r="A1054" s="22" t="s">
        <v>8436</v>
      </c>
      <c r="B1054" s="22" t="s">
        <v>188</v>
      </c>
      <c r="C1054" s="22" t="s">
        <v>7694</v>
      </c>
      <c r="D1054" s="22" t="s">
        <v>6791</v>
      </c>
      <c r="E1054" s="22" t="n">
        <v>24</v>
      </c>
      <c r="F1054" s="22" t="s">
        <v>6574</v>
      </c>
      <c r="G1054" s="22" t="s">
        <v>7696</v>
      </c>
      <c r="H1054" s="22" t="n">
        <v>9</v>
      </c>
      <c r="I1054" s="22" t="s">
        <v>6576</v>
      </c>
      <c r="J1054" s="22" t="s">
        <v>6577</v>
      </c>
      <c r="K1054" s="22" t="s">
        <v>6821</v>
      </c>
      <c r="L1054" s="22" t="s">
        <v>3796</v>
      </c>
      <c r="M1054" s="22" t="s">
        <v>3797</v>
      </c>
      <c r="N1054" s="22" t="s">
        <v>752</v>
      </c>
      <c r="O1054" s="22" t="n">
        <v>28.3</v>
      </c>
      <c r="P1054" s="22" t="n">
        <v>7.55</v>
      </c>
      <c r="Q1054" s="22" t="s">
        <v>8437</v>
      </c>
      <c r="R1054" s="22"/>
    </row>
    <row r="1055" customFormat="false" ht="15" hidden="false" customHeight="false" outlineLevel="0" collapsed="false">
      <c r="A1055" s="22" t="s">
        <v>8438</v>
      </c>
      <c r="B1055" s="22" t="s">
        <v>188</v>
      </c>
      <c r="C1055" s="22" t="s">
        <v>7694</v>
      </c>
      <c r="D1055" s="22" t="s">
        <v>6791</v>
      </c>
      <c r="E1055" s="22" t="n">
        <v>70</v>
      </c>
      <c r="F1055" s="22" t="s">
        <v>7695</v>
      </c>
      <c r="G1055" s="22" t="s">
        <v>7696</v>
      </c>
      <c r="H1055" s="22" t="n">
        <v>22</v>
      </c>
      <c r="I1055" s="22" t="s">
        <v>7697</v>
      </c>
      <c r="J1055" s="22" t="s">
        <v>6577</v>
      </c>
      <c r="K1055" s="22" t="s">
        <v>6824</v>
      </c>
      <c r="L1055" s="22" t="s">
        <v>5428</v>
      </c>
      <c r="M1055" s="22" t="s">
        <v>5429</v>
      </c>
      <c r="N1055" s="22" t="s">
        <v>930</v>
      </c>
      <c r="O1055" s="22" t="n">
        <v>53.3</v>
      </c>
      <c r="P1055" s="22" t="n">
        <v>7.55</v>
      </c>
      <c r="Q1055" s="22" t="s">
        <v>8412</v>
      </c>
      <c r="R1055" s="22"/>
    </row>
    <row r="1056" customFormat="false" ht="15" hidden="false" customHeight="false" outlineLevel="0" collapsed="false">
      <c r="A1056" s="22" t="s">
        <v>8439</v>
      </c>
      <c r="B1056" s="22" t="s">
        <v>188</v>
      </c>
      <c r="C1056" s="22" t="s">
        <v>7694</v>
      </c>
      <c r="D1056" s="22" t="s">
        <v>6791</v>
      </c>
      <c r="E1056" s="22" t="n">
        <v>45</v>
      </c>
      <c r="F1056" s="22" t="s">
        <v>7704</v>
      </c>
      <c r="G1056" s="22" t="s">
        <v>7696</v>
      </c>
      <c r="H1056" s="22" t="n">
        <v>16</v>
      </c>
      <c r="I1056" s="22" t="s">
        <v>7705</v>
      </c>
      <c r="J1056" s="22" t="s">
        <v>6577</v>
      </c>
      <c r="K1056" s="22" t="s">
        <v>6827</v>
      </c>
      <c r="L1056" s="22" t="s">
        <v>862</v>
      </c>
      <c r="M1056" s="22" t="s">
        <v>863</v>
      </c>
      <c r="N1056" s="22" t="s">
        <v>698</v>
      </c>
      <c r="O1056" s="22" t="n">
        <v>27.8</v>
      </c>
      <c r="P1056" s="22" t="n">
        <v>7.55</v>
      </c>
      <c r="Q1056" s="22" t="s">
        <v>6704</v>
      </c>
      <c r="R1056" s="22"/>
    </row>
    <row r="1057" customFormat="false" ht="15" hidden="false" customHeight="false" outlineLevel="0" collapsed="false">
      <c r="A1057" s="22" t="s">
        <v>8440</v>
      </c>
      <c r="B1057" s="22" t="s">
        <v>188</v>
      </c>
      <c r="C1057" s="22" t="s">
        <v>7694</v>
      </c>
      <c r="D1057" s="22" t="s">
        <v>6791</v>
      </c>
      <c r="E1057" s="22" t="n">
        <v>32</v>
      </c>
      <c r="F1057" s="22" t="s">
        <v>6581</v>
      </c>
      <c r="G1057" s="22" t="s">
        <v>7696</v>
      </c>
      <c r="H1057" s="22" t="n">
        <v>12</v>
      </c>
      <c r="I1057" s="22" t="s">
        <v>6576</v>
      </c>
      <c r="J1057" s="22" t="s">
        <v>6577</v>
      </c>
      <c r="K1057" s="22" t="s">
        <v>7448</v>
      </c>
      <c r="L1057" s="22" t="s">
        <v>2128</v>
      </c>
      <c r="M1057" s="22" t="s">
        <v>2129</v>
      </c>
      <c r="N1057" s="22" t="s">
        <v>1780</v>
      </c>
      <c r="O1057" s="22" t="n">
        <v>59.1</v>
      </c>
      <c r="P1057" s="22" t="n">
        <v>7.55</v>
      </c>
      <c r="Q1057" s="22" t="s">
        <v>8198</v>
      </c>
      <c r="R1057" s="22"/>
    </row>
    <row r="1058" customFormat="false" ht="15" hidden="false" customHeight="false" outlineLevel="0" collapsed="false">
      <c r="A1058" s="22" t="s">
        <v>8441</v>
      </c>
      <c r="B1058" s="22" t="s">
        <v>188</v>
      </c>
      <c r="C1058" s="22" t="s">
        <v>7694</v>
      </c>
      <c r="D1058" s="22" t="s">
        <v>6791</v>
      </c>
      <c r="E1058" s="22" t="n">
        <v>28</v>
      </c>
      <c r="F1058" s="22" t="s">
        <v>6574</v>
      </c>
      <c r="G1058" s="22" t="s">
        <v>7696</v>
      </c>
      <c r="H1058" s="22" t="n">
        <v>10</v>
      </c>
      <c r="I1058" s="22" t="s">
        <v>6576</v>
      </c>
      <c r="J1058" s="22" t="s">
        <v>6577</v>
      </c>
      <c r="K1058" s="22" t="s">
        <v>6832</v>
      </c>
      <c r="L1058" s="22" t="s">
        <v>5820</v>
      </c>
      <c r="M1058" s="22" t="s">
        <v>5821</v>
      </c>
      <c r="N1058" s="22" t="s">
        <v>871</v>
      </c>
      <c r="O1058" s="22" t="n">
        <v>41.5</v>
      </c>
      <c r="P1058" s="22" t="n">
        <v>7.55</v>
      </c>
      <c r="Q1058" s="22" t="s">
        <v>8302</v>
      </c>
      <c r="R1058" s="22"/>
    </row>
    <row r="1059" customFormat="false" ht="15" hidden="false" customHeight="false" outlineLevel="0" collapsed="false">
      <c r="A1059" s="22" t="s">
        <v>8442</v>
      </c>
      <c r="B1059" s="22" t="s">
        <v>188</v>
      </c>
      <c r="C1059" s="22" t="s">
        <v>7694</v>
      </c>
      <c r="D1059" s="22" t="s">
        <v>6791</v>
      </c>
      <c r="E1059" s="22" t="n">
        <v>28</v>
      </c>
      <c r="F1059" s="22" t="s">
        <v>6574</v>
      </c>
      <c r="G1059" s="22" t="s">
        <v>7696</v>
      </c>
      <c r="H1059" s="22" t="n">
        <v>10</v>
      </c>
      <c r="I1059" s="22" t="s">
        <v>6576</v>
      </c>
      <c r="J1059" s="22" t="s">
        <v>6577</v>
      </c>
      <c r="K1059" s="22" t="s">
        <v>6835</v>
      </c>
      <c r="L1059" s="22" t="s">
        <v>5387</v>
      </c>
      <c r="M1059" s="22" t="s">
        <v>5388</v>
      </c>
      <c r="N1059" s="22" t="s">
        <v>2723</v>
      </c>
      <c r="O1059" s="22" t="n">
        <v>41.9</v>
      </c>
      <c r="P1059" s="22" t="n">
        <v>7.55</v>
      </c>
      <c r="Q1059" s="22" t="s">
        <v>7426</v>
      </c>
      <c r="R1059" s="22"/>
    </row>
    <row r="1060" customFormat="false" ht="15" hidden="false" customHeight="false" outlineLevel="0" collapsed="false">
      <c r="A1060" s="22" t="s">
        <v>8443</v>
      </c>
      <c r="B1060" s="22" t="s">
        <v>188</v>
      </c>
      <c r="C1060" s="22" t="s">
        <v>7694</v>
      </c>
      <c r="D1060" s="22" t="s">
        <v>6791</v>
      </c>
      <c r="E1060" s="22" t="n">
        <v>70</v>
      </c>
      <c r="F1060" s="22" t="s">
        <v>7695</v>
      </c>
      <c r="G1060" s="22" t="s">
        <v>7696</v>
      </c>
      <c r="H1060" s="22" t="n">
        <v>22</v>
      </c>
      <c r="I1060" s="22" t="s">
        <v>7697</v>
      </c>
      <c r="J1060" s="22" t="s">
        <v>6671</v>
      </c>
      <c r="K1060" s="22"/>
      <c r="L1060" s="22"/>
      <c r="M1060" s="22"/>
      <c r="N1060" s="22"/>
      <c r="O1060" s="22"/>
      <c r="P1060" s="22" t="n">
        <v>7.55</v>
      </c>
      <c r="Q1060" s="22" t="s">
        <v>7273</v>
      </c>
      <c r="R1060" s="22"/>
    </row>
    <row r="1061" customFormat="false" ht="15" hidden="false" customHeight="false" outlineLevel="0" collapsed="false">
      <c r="A1061" s="22" t="s">
        <v>8444</v>
      </c>
      <c r="B1061" s="22" t="s">
        <v>188</v>
      </c>
      <c r="C1061" s="22" t="s">
        <v>7694</v>
      </c>
      <c r="D1061" s="22" t="s">
        <v>6791</v>
      </c>
      <c r="E1061" s="22" t="n">
        <v>45</v>
      </c>
      <c r="F1061" s="22" t="s">
        <v>7704</v>
      </c>
      <c r="G1061" s="22" t="s">
        <v>7696</v>
      </c>
      <c r="H1061" s="22" t="n">
        <v>16</v>
      </c>
      <c r="I1061" s="22" t="s">
        <v>7705</v>
      </c>
      <c r="J1061" s="22" t="s">
        <v>6577</v>
      </c>
      <c r="K1061" s="22" t="s">
        <v>6841</v>
      </c>
      <c r="L1061" s="22" t="s">
        <v>5881</v>
      </c>
      <c r="M1061" s="22" t="s">
        <v>5882</v>
      </c>
      <c r="N1061" s="22" t="s">
        <v>642</v>
      </c>
      <c r="O1061" s="22" t="n">
        <v>38.2</v>
      </c>
      <c r="P1061" s="22" t="n">
        <v>7.55</v>
      </c>
      <c r="Q1061" s="22" t="s">
        <v>7568</v>
      </c>
      <c r="R1061" s="22"/>
    </row>
    <row r="1062" customFormat="false" ht="15" hidden="false" customHeight="false" outlineLevel="0" collapsed="false">
      <c r="A1062" s="22" t="s">
        <v>8445</v>
      </c>
      <c r="B1062" s="22" t="s">
        <v>188</v>
      </c>
      <c r="C1062" s="22" t="s">
        <v>7694</v>
      </c>
      <c r="D1062" s="22" t="s">
        <v>6791</v>
      </c>
      <c r="E1062" s="22" t="n">
        <v>32</v>
      </c>
      <c r="F1062" s="22" t="s">
        <v>6581</v>
      </c>
      <c r="G1062" s="22" t="s">
        <v>7696</v>
      </c>
      <c r="H1062" s="22" t="n">
        <v>12</v>
      </c>
      <c r="I1062" s="22" t="s">
        <v>6576</v>
      </c>
      <c r="J1062" s="22" t="s">
        <v>6577</v>
      </c>
      <c r="K1062" s="22" t="s">
        <v>6844</v>
      </c>
      <c r="L1062" s="22" t="s">
        <v>4888</v>
      </c>
      <c r="M1062" s="22" t="s">
        <v>4889</v>
      </c>
      <c r="N1062" s="22" t="s">
        <v>2972</v>
      </c>
      <c r="O1062" s="22" t="n">
        <v>48.2</v>
      </c>
      <c r="P1062" s="22" t="n">
        <v>7.55</v>
      </c>
      <c r="Q1062" s="22" t="s">
        <v>8446</v>
      </c>
      <c r="R1062" s="22"/>
    </row>
    <row r="1063" customFormat="false" ht="15" hidden="false" customHeight="false" outlineLevel="0" collapsed="false">
      <c r="A1063" s="22" t="s">
        <v>8447</v>
      </c>
      <c r="B1063" s="22" t="s">
        <v>188</v>
      </c>
      <c r="C1063" s="22" t="s">
        <v>7694</v>
      </c>
      <c r="D1063" s="22" t="s">
        <v>6791</v>
      </c>
      <c r="E1063" s="22" t="n">
        <v>32</v>
      </c>
      <c r="F1063" s="22" t="s">
        <v>6581</v>
      </c>
      <c r="G1063" s="22" t="s">
        <v>7696</v>
      </c>
      <c r="H1063" s="22" t="n">
        <v>12</v>
      </c>
      <c r="I1063" s="22" t="s">
        <v>6576</v>
      </c>
      <c r="J1063" s="22" t="s">
        <v>6577</v>
      </c>
      <c r="K1063" s="22" t="s">
        <v>6847</v>
      </c>
      <c r="L1063" s="22" t="s">
        <v>5685</v>
      </c>
      <c r="M1063" s="22" t="s">
        <v>5686</v>
      </c>
      <c r="N1063" s="22" t="s">
        <v>4141</v>
      </c>
      <c r="O1063" s="22" t="n">
        <v>61.2</v>
      </c>
      <c r="P1063" s="22" t="n">
        <v>7.55</v>
      </c>
      <c r="Q1063" s="22" t="s">
        <v>6877</v>
      </c>
      <c r="R1063" s="22"/>
    </row>
    <row r="1064" customFormat="false" ht="15" hidden="false" customHeight="false" outlineLevel="0" collapsed="false">
      <c r="A1064" s="22" t="s">
        <v>8448</v>
      </c>
      <c r="B1064" s="22" t="s">
        <v>188</v>
      </c>
      <c r="C1064" s="22" t="s">
        <v>7694</v>
      </c>
      <c r="D1064" s="22" t="s">
        <v>6791</v>
      </c>
      <c r="E1064" s="22" t="n">
        <v>60</v>
      </c>
      <c r="F1064" s="22" t="s">
        <v>7695</v>
      </c>
      <c r="G1064" s="22" t="s">
        <v>7696</v>
      </c>
      <c r="H1064" s="22" t="n">
        <v>20</v>
      </c>
      <c r="I1064" s="22" t="s">
        <v>7697</v>
      </c>
      <c r="J1064" s="22" t="s">
        <v>6577</v>
      </c>
      <c r="K1064" s="22" t="s">
        <v>6850</v>
      </c>
      <c r="L1064" s="22" t="s">
        <v>3815</v>
      </c>
      <c r="M1064" s="22" t="s">
        <v>3816</v>
      </c>
      <c r="N1064" s="22" t="s">
        <v>2972</v>
      </c>
      <c r="O1064" s="22" t="n">
        <v>48.4</v>
      </c>
      <c r="P1064" s="22" t="n">
        <v>7.55</v>
      </c>
      <c r="Q1064" s="22" t="s">
        <v>7078</v>
      </c>
      <c r="R1064" s="22"/>
    </row>
    <row r="1065" customFormat="false" ht="15" hidden="false" customHeight="false" outlineLevel="0" collapsed="false">
      <c r="A1065" s="22" t="s">
        <v>8449</v>
      </c>
      <c r="B1065" s="22" t="s">
        <v>188</v>
      </c>
      <c r="C1065" s="22" t="s">
        <v>7694</v>
      </c>
      <c r="D1065" s="22" t="s">
        <v>6791</v>
      </c>
      <c r="E1065" s="22" t="n">
        <v>24</v>
      </c>
      <c r="F1065" s="22" t="s">
        <v>6574</v>
      </c>
      <c r="G1065" s="22" t="s">
        <v>7696</v>
      </c>
      <c r="H1065" s="22" t="n">
        <v>9</v>
      </c>
      <c r="I1065" s="22" t="s">
        <v>6576</v>
      </c>
      <c r="J1065" s="22" t="s">
        <v>6577</v>
      </c>
      <c r="K1065" s="22" t="s">
        <v>6852</v>
      </c>
      <c r="L1065" s="22" t="s">
        <v>3403</v>
      </c>
      <c r="M1065" s="22" t="s">
        <v>3404</v>
      </c>
      <c r="N1065" s="22" t="s">
        <v>227</v>
      </c>
      <c r="O1065" s="22" t="n">
        <v>26.5</v>
      </c>
      <c r="P1065" s="22" t="n">
        <v>7.55</v>
      </c>
      <c r="Q1065" s="22" t="s">
        <v>7039</v>
      </c>
      <c r="R1065" s="22"/>
    </row>
    <row r="1066" customFormat="false" ht="15" hidden="false" customHeight="false" outlineLevel="0" collapsed="false">
      <c r="A1066" s="22" t="s">
        <v>8450</v>
      </c>
      <c r="B1066" s="22" t="s">
        <v>188</v>
      </c>
      <c r="C1066" s="22" t="s">
        <v>7694</v>
      </c>
      <c r="D1066" s="22" t="s">
        <v>6791</v>
      </c>
      <c r="E1066" s="22" t="n">
        <v>80</v>
      </c>
      <c r="F1066" s="22" t="s">
        <v>7695</v>
      </c>
      <c r="G1066" s="22" t="s">
        <v>7696</v>
      </c>
      <c r="H1066" s="22" t="n">
        <v>24</v>
      </c>
      <c r="I1066" s="22" t="s">
        <v>7697</v>
      </c>
      <c r="J1066" s="22" t="s">
        <v>6577</v>
      </c>
      <c r="K1066" s="22" t="s">
        <v>6855</v>
      </c>
      <c r="L1066" s="22" t="s">
        <v>5950</v>
      </c>
      <c r="M1066" s="22" t="s">
        <v>5951</v>
      </c>
      <c r="N1066" s="22" t="s">
        <v>257</v>
      </c>
      <c r="O1066" s="22" t="n">
        <v>53.2</v>
      </c>
      <c r="P1066" s="22" t="n">
        <v>7.55</v>
      </c>
      <c r="Q1066" s="22" t="s">
        <v>8451</v>
      </c>
      <c r="R1066" s="22"/>
    </row>
    <row r="1067" customFormat="false" ht="15" hidden="false" customHeight="false" outlineLevel="0" collapsed="false">
      <c r="A1067" s="22" t="s">
        <v>8452</v>
      </c>
      <c r="B1067" s="22" t="s">
        <v>188</v>
      </c>
      <c r="C1067" s="22" t="s">
        <v>7694</v>
      </c>
      <c r="D1067" s="22" t="s">
        <v>6791</v>
      </c>
      <c r="E1067" s="22" t="n">
        <v>24</v>
      </c>
      <c r="F1067" s="22" t="s">
        <v>6574</v>
      </c>
      <c r="G1067" s="22" t="s">
        <v>7696</v>
      </c>
      <c r="H1067" s="22" t="n">
        <v>9</v>
      </c>
      <c r="I1067" s="22" t="s">
        <v>6576</v>
      </c>
      <c r="J1067" s="22" t="s">
        <v>6577</v>
      </c>
      <c r="K1067" s="22" t="s">
        <v>6858</v>
      </c>
      <c r="L1067" s="22" t="s">
        <v>3286</v>
      </c>
      <c r="M1067" s="22" t="s">
        <v>3287</v>
      </c>
      <c r="N1067" s="22" t="s">
        <v>1304</v>
      </c>
      <c r="O1067" s="22" t="n">
        <v>52.5</v>
      </c>
      <c r="P1067" s="22" t="n">
        <v>7.55</v>
      </c>
      <c r="Q1067" s="22" t="s">
        <v>6922</v>
      </c>
      <c r="R1067" s="22"/>
    </row>
    <row r="1068" customFormat="false" ht="15" hidden="false" customHeight="false" outlineLevel="0" collapsed="false">
      <c r="A1068" s="22" t="s">
        <v>8453</v>
      </c>
      <c r="B1068" s="22" t="s">
        <v>188</v>
      </c>
      <c r="C1068" s="22" t="s">
        <v>7694</v>
      </c>
      <c r="D1068" s="22" t="s">
        <v>6861</v>
      </c>
      <c r="E1068" s="22" t="n">
        <v>36</v>
      </c>
      <c r="F1068" s="22" t="s">
        <v>6581</v>
      </c>
      <c r="G1068" s="22" t="s">
        <v>7696</v>
      </c>
      <c r="H1068" s="22" t="n">
        <v>13</v>
      </c>
      <c r="I1068" s="22" t="s">
        <v>6582</v>
      </c>
      <c r="J1068" s="22" t="s">
        <v>6671</v>
      </c>
      <c r="K1068" s="22"/>
      <c r="L1068" s="22"/>
      <c r="M1068" s="22"/>
      <c r="N1068" s="22"/>
      <c r="O1068" s="22"/>
      <c r="P1068" s="22" t="n">
        <v>7.55</v>
      </c>
      <c r="Q1068" s="22" t="s">
        <v>8454</v>
      </c>
      <c r="R1068" s="22"/>
    </row>
    <row r="1069" customFormat="false" ht="15" hidden="false" customHeight="false" outlineLevel="0" collapsed="false">
      <c r="A1069" s="22" t="s">
        <v>8455</v>
      </c>
      <c r="B1069" s="22" t="s">
        <v>188</v>
      </c>
      <c r="C1069" s="22" t="s">
        <v>7694</v>
      </c>
      <c r="D1069" s="22" t="s">
        <v>6861</v>
      </c>
      <c r="E1069" s="22" t="n">
        <v>80</v>
      </c>
      <c r="F1069" s="22" t="s">
        <v>7695</v>
      </c>
      <c r="G1069" s="22" t="s">
        <v>7696</v>
      </c>
      <c r="H1069" s="22" t="n">
        <v>24</v>
      </c>
      <c r="I1069" s="22" t="s">
        <v>7697</v>
      </c>
      <c r="J1069" s="22" t="s">
        <v>6577</v>
      </c>
      <c r="K1069" s="22" t="s">
        <v>6864</v>
      </c>
      <c r="L1069" s="22" t="s">
        <v>1384</v>
      </c>
      <c r="M1069" s="22" t="s">
        <v>1385</v>
      </c>
      <c r="N1069" s="22" t="s">
        <v>980</v>
      </c>
      <c r="O1069" s="22" t="n">
        <v>40.6</v>
      </c>
      <c r="P1069" s="22" t="n">
        <v>7.55</v>
      </c>
      <c r="Q1069" s="22" t="s">
        <v>6666</v>
      </c>
      <c r="R1069" s="22"/>
    </row>
    <row r="1070" customFormat="false" ht="15" hidden="false" customHeight="false" outlineLevel="0" collapsed="false">
      <c r="A1070" s="22" t="s">
        <v>8456</v>
      </c>
      <c r="B1070" s="22" t="s">
        <v>188</v>
      </c>
      <c r="C1070" s="22" t="s">
        <v>7694</v>
      </c>
      <c r="D1070" s="22" t="s">
        <v>6861</v>
      </c>
      <c r="E1070" s="22" t="n">
        <v>45</v>
      </c>
      <c r="F1070" s="22" t="s">
        <v>7704</v>
      </c>
      <c r="G1070" s="22" t="s">
        <v>7696</v>
      </c>
      <c r="H1070" s="22" t="n">
        <v>16</v>
      </c>
      <c r="I1070" s="22" t="s">
        <v>7705</v>
      </c>
      <c r="J1070" s="22" t="s">
        <v>6577</v>
      </c>
      <c r="K1070" s="22" t="s">
        <v>6867</v>
      </c>
      <c r="L1070" s="22" t="s">
        <v>4332</v>
      </c>
      <c r="M1070" s="22" t="s">
        <v>4333</v>
      </c>
      <c r="N1070" s="22" t="s">
        <v>278</v>
      </c>
      <c r="O1070" s="22" t="n">
        <v>37.5</v>
      </c>
      <c r="P1070" s="22" t="n">
        <v>7.55</v>
      </c>
      <c r="Q1070" s="22" t="s">
        <v>8457</v>
      </c>
      <c r="R1070" s="22"/>
    </row>
    <row r="1071" customFormat="false" ht="15" hidden="false" customHeight="false" outlineLevel="0" collapsed="false">
      <c r="A1071" s="22" t="s">
        <v>8458</v>
      </c>
      <c r="B1071" s="22" t="s">
        <v>188</v>
      </c>
      <c r="C1071" s="22" t="s">
        <v>7694</v>
      </c>
      <c r="D1071" s="22" t="s">
        <v>6861</v>
      </c>
      <c r="E1071" s="22" t="n">
        <v>70</v>
      </c>
      <c r="F1071" s="22" t="s">
        <v>7695</v>
      </c>
      <c r="G1071" s="22" t="s">
        <v>7696</v>
      </c>
      <c r="H1071" s="22" t="n">
        <v>22</v>
      </c>
      <c r="I1071" s="22" t="s">
        <v>7697</v>
      </c>
      <c r="J1071" s="22" t="s">
        <v>6577</v>
      </c>
      <c r="K1071" s="22" t="s">
        <v>6870</v>
      </c>
      <c r="L1071" s="22" t="s">
        <v>4751</v>
      </c>
      <c r="M1071" s="22" t="s">
        <v>4752</v>
      </c>
      <c r="N1071" s="22" t="s">
        <v>849</v>
      </c>
      <c r="O1071" s="22" t="n">
        <v>54.6</v>
      </c>
      <c r="P1071" s="22" t="n">
        <v>7.55</v>
      </c>
      <c r="Q1071" s="22" t="s">
        <v>7552</v>
      </c>
      <c r="R1071" s="22"/>
    </row>
    <row r="1072" customFormat="false" ht="15" hidden="false" customHeight="false" outlineLevel="0" collapsed="false">
      <c r="A1072" s="22" t="s">
        <v>8459</v>
      </c>
      <c r="B1072" s="22" t="s">
        <v>188</v>
      </c>
      <c r="C1072" s="22" t="s">
        <v>7694</v>
      </c>
      <c r="D1072" s="22" t="s">
        <v>6861</v>
      </c>
      <c r="E1072" s="22" t="n">
        <v>80</v>
      </c>
      <c r="F1072" s="22" t="s">
        <v>7695</v>
      </c>
      <c r="G1072" s="22" t="s">
        <v>7696</v>
      </c>
      <c r="H1072" s="22" t="n">
        <v>24</v>
      </c>
      <c r="I1072" s="22" t="s">
        <v>7697</v>
      </c>
      <c r="J1072" s="22" t="s">
        <v>6577</v>
      </c>
      <c r="K1072" s="22" t="s">
        <v>6873</v>
      </c>
      <c r="L1072" s="22" t="s">
        <v>5784</v>
      </c>
      <c r="M1072" s="22" t="s">
        <v>5785</v>
      </c>
      <c r="N1072" s="22" t="s">
        <v>4094</v>
      </c>
      <c r="O1072" s="22" t="n">
        <v>46.1</v>
      </c>
      <c r="P1072" s="22" t="n">
        <v>7.55</v>
      </c>
      <c r="Q1072" s="22" t="s">
        <v>8460</v>
      </c>
      <c r="R1072" s="22"/>
    </row>
    <row r="1073" customFormat="false" ht="15" hidden="false" customHeight="false" outlineLevel="0" collapsed="false">
      <c r="A1073" s="22" t="s">
        <v>8461</v>
      </c>
      <c r="B1073" s="22" t="s">
        <v>188</v>
      </c>
      <c r="C1073" s="22" t="s">
        <v>7694</v>
      </c>
      <c r="D1073" s="22" t="s">
        <v>6861</v>
      </c>
      <c r="E1073" s="22" t="n">
        <v>32</v>
      </c>
      <c r="F1073" s="22" t="s">
        <v>6581</v>
      </c>
      <c r="G1073" s="22" t="s">
        <v>7696</v>
      </c>
      <c r="H1073" s="22" t="n">
        <v>12</v>
      </c>
      <c r="I1073" s="22" t="s">
        <v>6576</v>
      </c>
      <c r="J1073" s="22" t="s">
        <v>6577</v>
      </c>
      <c r="K1073" s="22" t="s">
        <v>6876</v>
      </c>
      <c r="L1073" s="22" t="s">
        <v>2789</v>
      </c>
      <c r="M1073" s="22" t="s">
        <v>2790</v>
      </c>
      <c r="N1073" s="22" t="s">
        <v>1634</v>
      </c>
      <c r="O1073" s="22" t="n">
        <v>47.8</v>
      </c>
      <c r="P1073" s="22" t="n">
        <v>7.55</v>
      </c>
      <c r="Q1073" s="22" t="s">
        <v>7844</v>
      </c>
      <c r="R1073" s="22"/>
    </row>
    <row r="1074" customFormat="false" ht="15" hidden="false" customHeight="false" outlineLevel="0" collapsed="false">
      <c r="A1074" s="22" t="s">
        <v>8462</v>
      </c>
      <c r="B1074" s="22" t="s">
        <v>188</v>
      </c>
      <c r="C1074" s="22" t="s">
        <v>7694</v>
      </c>
      <c r="D1074" s="22" t="s">
        <v>6861</v>
      </c>
      <c r="E1074" s="22" t="n">
        <v>24</v>
      </c>
      <c r="F1074" s="22" t="s">
        <v>6574</v>
      </c>
      <c r="G1074" s="22" t="s">
        <v>7696</v>
      </c>
      <c r="H1074" s="22" t="n">
        <v>9</v>
      </c>
      <c r="I1074" s="22" t="s">
        <v>6576</v>
      </c>
      <c r="J1074" s="22" t="s">
        <v>6577</v>
      </c>
      <c r="K1074" s="22" t="s">
        <v>6879</v>
      </c>
      <c r="L1074" s="22" t="s">
        <v>5919</v>
      </c>
      <c r="M1074" s="22" t="s">
        <v>5920</v>
      </c>
      <c r="N1074" s="22" t="s">
        <v>4653</v>
      </c>
      <c r="O1074" s="22" t="n">
        <v>27.5</v>
      </c>
      <c r="P1074" s="22" t="n">
        <v>7.55</v>
      </c>
      <c r="Q1074" s="22" t="s">
        <v>8463</v>
      </c>
      <c r="R1074" s="22"/>
    </row>
    <row r="1075" customFormat="false" ht="15" hidden="false" customHeight="false" outlineLevel="0" collapsed="false">
      <c r="A1075" s="22" t="s">
        <v>8464</v>
      </c>
      <c r="B1075" s="22" t="s">
        <v>188</v>
      </c>
      <c r="C1075" s="22" t="s">
        <v>7694</v>
      </c>
      <c r="D1075" s="22" t="s">
        <v>6861</v>
      </c>
      <c r="E1075" s="22" t="n">
        <v>24</v>
      </c>
      <c r="F1075" s="22" t="s">
        <v>6574</v>
      </c>
      <c r="G1075" s="22" t="s">
        <v>7696</v>
      </c>
      <c r="H1075" s="22" t="n">
        <v>9</v>
      </c>
      <c r="I1075" s="22" t="s">
        <v>6576</v>
      </c>
      <c r="J1075" s="22" t="s">
        <v>6734</v>
      </c>
      <c r="K1075" s="22"/>
      <c r="L1075" s="22"/>
      <c r="M1075" s="22"/>
      <c r="N1075" s="22"/>
      <c r="O1075" s="22"/>
      <c r="P1075" s="22" t="n">
        <v>7.55</v>
      </c>
      <c r="Q1075" s="22" t="s">
        <v>6874</v>
      </c>
      <c r="R1075" s="22"/>
    </row>
    <row r="1076" customFormat="false" ht="15" hidden="false" customHeight="false" outlineLevel="0" collapsed="false">
      <c r="A1076" s="22" t="s">
        <v>8465</v>
      </c>
      <c r="B1076" s="22" t="s">
        <v>188</v>
      </c>
      <c r="C1076" s="22" t="s">
        <v>7694</v>
      </c>
      <c r="D1076" s="22" t="s">
        <v>6861</v>
      </c>
      <c r="E1076" s="22" t="n">
        <v>32</v>
      </c>
      <c r="F1076" s="22" t="s">
        <v>6581</v>
      </c>
      <c r="G1076" s="22" t="s">
        <v>7696</v>
      </c>
      <c r="H1076" s="22" t="n">
        <v>12</v>
      </c>
      <c r="I1076" s="22" t="s">
        <v>6576</v>
      </c>
      <c r="J1076" s="22" t="s">
        <v>6577</v>
      </c>
      <c r="K1076" s="22" t="s">
        <v>6883</v>
      </c>
      <c r="L1076" s="22" t="s">
        <v>3752</v>
      </c>
      <c r="M1076" s="22" t="s">
        <v>3753</v>
      </c>
      <c r="N1076" s="22" t="s">
        <v>3754</v>
      </c>
      <c r="O1076" s="22" t="n">
        <v>35.6</v>
      </c>
      <c r="P1076" s="22" t="n">
        <v>7.55</v>
      </c>
      <c r="Q1076" s="22" t="s">
        <v>7343</v>
      </c>
      <c r="R1076" s="22"/>
    </row>
    <row r="1077" customFormat="false" ht="15" hidden="false" customHeight="false" outlineLevel="0" collapsed="false">
      <c r="A1077" s="22" t="s">
        <v>8466</v>
      </c>
      <c r="B1077" s="22" t="s">
        <v>188</v>
      </c>
      <c r="C1077" s="22" t="s">
        <v>7694</v>
      </c>
      <c r="D1077" s="22" t="s">
        <v>6861</v>
      </c>
      <c r="E1077" s="22" t="n">
        <v>32</v>
      </c>
      <c r="F1077" s="22" t="s">
        <v>6581</v>
      </c>
      <c r="G1077" s="22" t="s">
        <v>7696</v>
      </c>
      <c r="H1077" s="22" t="n">
        <v>12</v>
      </c>
      <c r="I1077" s="22" t="s">
        <v>6576</v>
      </c>
      <c r="J1077" s="22" t="s">
        <v>6577</v>
      </c>
      <c r="K1077" s="22" t="s">
        <v>6886</v>
      </c>
      <c r="L1077" s="22" t="s">
        <v>3335</v>
      </c>
      <c r="M1077" s="22" t="s">
        <v>3336</v>
      </c>
      <c r="N1077" s="22" t="s">
        <v>1891</v>
      </c>
      <c r="O1077" s="22" t="n">
        <v>19.9</v>
      </c>
      <c r="P1077" s="22" t="n">
        <v>7.55</v>
      </c>
      <c r="Q1077" s="22" t="s">
        <v>8467</v>
      </c>
      <c r="R1077" s="22"/>
    </row>
    <row r="1078" customFormat="false" ht="15" hidden="false" customHeight="false" outlineLevel="0" collapsed="false">
      <c r="A1078" s="22" t="s">
        <v>8468</v>
      </c>
      <c r="B1078" s="22" t="s">
        <v>188</v>
      </c>
      <c r="C1078" s="22" t="s">
        <v>7694</v>
      </c>
      <c r="D1078" s="22" t="s">
        <v>6861</v>
      </c>
      <c r="E1078" s="22" t="n">
        <v>36</v>
      </c>
      <c r="F1078" s="22" t="s">
        <v>6581</v>
      </c>
      <c r="G1078" s="22" t="s">
        <v>7696</v>
      </c>
      <c r="H1078" s="22" t="n">
        <v>13</v>
      </c>
      <c r="I1078" s="22" t="s">
        <v>6582</v>
      </c>
      <c r="J1078" s="22" t="s">
        <v>6577</v>
      </c>
      <c r="K1078" s="22" t="s">
        <v>6889</v>
      </c>
      <c r="L1078" s="22" t="s">
        <v>2298</v>
      </c>
      <c r="M1078" s="22" t="s">
        <v>2299</v>
      </c>
      <c r="N1078" s="22" t="s">
        <v>1797</v>
      </c>
      <c r="O1078" s="22" t="n">
        <v>55.4</v>
      </c>
      <c r="P1078" s="22" t="n">
        <v>7.55</v>
      </c>
      <c r="Q1078" s="22" t="s">
        <v>7308</v>
      </c>
      <c r="R1078" s="22"/>
    </row>
    <row r="1079" customFormat="false" ht="15" hidden="false" customHeight="false" outlineLevel="0" collapsed="false">
      <c r="A1079" s="22" t="s">
        <v>8469</v>
      </c>
      <c r="B1079" s="22" t="s">
        <v>188</v>
      </c>
      <c r="C1079" s="22" t="s">
        <v>7694</v>
      </c>
      <c r="D1079" s="22" t="s">
        <v>6861</v>
      </c>
      <c r="E1079" s="22" t="n">
        <v>45</v>
      </c>
      <c r="F1079" s="22" t="s">
        <v>7704</v>
      </c>
      <c r="G1079" s="22" t="s">
        <v>7696</v>
      </c>
      <c r="H1079" s="22" t="n">
        <v>16</v>
      </c>
      <c r="I1079" s="22" t="s">
        <v>7705</v>
      </c>
      <c r="J1079" s="22" t="s">
        <v>6577</v>
      </c>
      <c r="K1079" s="22" t="s">
        <v>6892</v>
      </c>
      <c r="L1079" s="22" t="s">
        <v>876</v>
      </c>
      <c r="M1079" s="22" t="s">
        <v>877</v>
      </c>
      <c r="N1079" s="22" t="s">
        <v>251</v>
      </c>
      <c r="O1079" s="22" t="n">
        <v>52.6</v>
      </c>
      <c r="P1079" s="22" t="n">
        <v>7.55</v>
      </c>
      <c r="Q1079" s="22" t="s">
        <v>8229</v>
      </c>
      <c r="R1079" s="22"/>
    </row>
    <row r="1080" customFormat="false" ht="15" hidden="false" customHeight="false" outlineLevel="0" collapsed="false">
      <c r="A1080" s="22" t="s">
        <v>8470</v>
      </c>
      <c r="B1080" s="22" t="s">
        <v>188</v>
      </c>
      <c r="C1080" s="22" t="s">
        <v>7694</v>
      </c>
      <c r="D1080" s="22" t="s">
        <v>6861</v>
      </c>
      <c r="E1080" s="22" t="n">
        <v>28</v>
      </c>
      <c r="F1080" s="22" t="s">
        <v>6574</v>
      </c>
      <c r="G1080" s="22" t="s">
        <v>7696</v>
      </c>
      <c r="H1080" s="22" t="n">
        <v>10</v>
      </c>
      <c r="I1080" s="22" t="s">
        <v>6576</v>
      </c>
      <c r="J1080" s="22" t="s">
        <v>6613</v>
      </c>
      <c r="K1080" s="22"/>
      <c r="L1080" s="22"/>
      <c r="M1080" s="22"/>
      <c r="N1080" s="22"/>
      <c r="O1080" s="22"/>
      <c r="P1080" s="22" t="n">
        <v>7.55</v>
      </c>
      <c r="Q1080" s="22" t="s">
        <v>8471</v>
      </c>
      <c r="R1080" s="22"/>
    </row>
    <row r="1081" customFormat="false" ht="15" hidden="false" customHeight="false" outlineLevel="0" collapsed="false">
      <c r="A1081" s="22" t="s">
        <v>8472</v>
      </c>
      <c r="B1081" s="22" t="s">
        <v>188</v>
      </c>
      <c r="C1081" s="22" t="s">
        <v>7694</v>
      </c>
      <c r="D1081" s="22" t="s">
        <v>6861</v>
      </c>
      <c r="E1081" s="22" t="n">
        <v>45</v>
      </c>
      <c r="F1081" s="22" t="s">
        <v>7704</v>
      </c>
      <c r="G1081" s="22" t="s">
        <v>7696</v>
      </c>
      <c r="H1081" s="22" t="n">
        <v>16</v>
      </c>
      <c r="I1081" s="22" t="s">
        <v>7705</v>
      </c>
      <c r="J1081" s="22" t="s">
        <v>6577</v>
      </c>
      <c r="K1081" s="22" t="s">
        <v>6898</v>
      </c>
      <c r="L1081" s="22" t="s">
        <v>709</v>
      </c>
      <c r="M1081" s="22" t="s">
        <v>710</v>
      </c>
      <c r="N1081" s="22" t="s">
        <v>711</v>
      </c>
      <c r="O1081" s="22" t="n">
        <v>20.1</v>
      </c>
      <c r="P1081" s="22" t="n">
        <v>7.55</v>
      </c>
      <c r="Q1081" s="22" t="s">
        <v>8473</v>
      </c>
      <c r="R1081" s="22"/>
    </row>
    <row r="1082" customFormat="false" ht="15" hidden="false" customHeight="false" outlineLevel="0" collapsed="false">
      <c r="A1082" s="22" t="s">
        <v>8474</v>
      </c>
      <c r="B1082" s="22" t="s">
        <v>188</v>
      </c>
      <c r="C1082" s="22" t="s">
        <v>7694</v>
      </c>
      <c r="D1082" s="22" t="s">
        <v>6861</v>
      </c>
      <c r="E1082" s="22" t="n">
        <v>40</v>
      </c>
      <c r="F1082" s="22" t="s">
        <v>6581</v>
      </c>
      <c r="G1082" s="22" t="s">
        <v>7696</v>
      </c>
      <c r="H1082" s="22" t="n">
        <v>14</v>
      </c>
      <c r="I1082" s="22" t="s">
        <v>6582</v>
      </c>
      <c r="J1082" s="22" t="s">
        <v>6577</v>
      </c>
      <c r="K1082" s="22" t="s">
        <v>7485</v>
      </c>
      <c r="L1082" s="22" t="s">
        <v>1396</v>
      </c>
      <c r="M1082" s="22" t="s">
        <v>1397</v>
      </c>
      <c r="N1082" s="22" t="s">
        <v>376</v>
      </c>
      <c r="O1082" s="22" t="n">
        <v>22.8</v>
      </c>
      <c r="P1082" s="22" t="n">
        <v>7.55</v>
      </c>
      <c r="Q1082" s="22" t="s">
        <v>7776</v>
      </c>
      <c r="R1082" s="22"/>
    </row>
    <row r="1083" customFormat="false" ht="15" hidden="false" customHeight="false" outlineLevel="0" collapsed="false">
      <c r="A1083" s="22" t="s">
        <v>8475</v>
      </c>
      <c r="B1083" s="22" t="s">
        <v>188</v>
      </c>
      <c r="C1083" s="22" t="s">
        <v>7694</v>
      </c>
      <c r="D1083" s="22" t="s">
        <v>6861</v>
      </c>
      <c r="E1083" s="22" t="n">
        <v>60</v>
      </c>
      <c r="F1083" s="22" t="s">
        <v>7695</v>
      </c>
      <c r="G1083" s="22" t="s">
        <v>7696</v>
      </c>
      <c r="H1083" s="22" t="n">
        <v>20</v>
      </c>
      <c r="I1083" s="22" t="s">
        <v>7697</v>
      </c>
      <c r="J1083" s="22" t="s">
        <v>6577</v>
      </c>
      <c r="K1083" s="22" t="s">
        <v>6903</v>
      </c>
      <c r="L1083" s="22" t="s">
        <v>4010</v>
      </c>
      <c r="M1083" s="22" t="s">
        <v>4011</v>
      </c>
      <c r="N1083" s="22" t="s">
        <v>2423</v>
      </c>
      <c r="O1083" s="22" t="n">
        <v>36.4</v>
      </c>
      <c r="P1083" s="22" t="n">
        <v>7.55</v>
      </c>
      <c r="Q1083" s="22" t="s">
        <v>8119</v>
      </c>
      <c r="R1083" s="22"/>
    </row>
    <row r="1084" customFormat="false" ht="15" hidden="false" customHeight="false" outlineLevel="0" collapsed="false">
      <c r="A1084" s="22" t="s">
        <v>8476</v>
      </c>
      <c r="B1084" s="22" t="s">
        <v>188</v>
      </c>
      <c r="C1084" s="22" t="s">
        <v>7694</v>
      </c>
      <c r="D1084" s="22" t="s">
        <v>6861</v>
      </c>
      <c r="E1084" s="22" t="n">
        <v>32</v>
      </c>
      <c r="F1084" s="22" t="s">
        <v>6581</v>
      </c>
      <c r="G1084" s="22" t="s">
        <v>7696</v>
      </c>
      <c r="H1084" s="22" t="n">
        <v>12</v>
      </c>
      <c r="I1084" s="22" t="s">
        <v>6576</v>
      </c>
      <c r="J1084" s="22" t="s">
        <v>6613</v>
      </c>
      <c r="K1084" s="22"/>
      <c r="L1084" s="22"/>
      <c r="M1084" s="22"/>
      <c r="N1084" s="22"/>
      <c r="O1084" s="22"/>
      <c r="P1084" s="22" t="n">
        <v>7.55</v>
      </c>
      <c r="Q1084" s="22" t="s">
        <v>7611</v>
      </c>
      <c r="R1084" s="22"/>
    </row>
    <row r="1085" customFormat="false" ht="15" hidden="false" customHeight="false" outlineLevel="0" collapsed="false">
      <c r="A1085" s="22" t="s">
        <v>8477</v>
      </c>
      <c r="B1085" s="22" t="s">
        <v>188</v>
      </c>
      <c r="C1085" s="22" t="s">
        <v>7694</v>
      </c>
      <c r="D1085" s="22" t="s">
        <v>6861</v>
      </c>
      <c r="E1085" s="22" t="n">
        <v>45</v>
      </c>
      <c r="F1085" s="22" t="s">
        <v>7704</v>
      </c>
      <c r="G1085" s="22" t="s">
        <v>7696</v>
      </c>
      <c r="H1085" s="22" t="n">
        <v>16</v>
      </c>
      <c r="I1085" s="22" t="s">
        <v>7705</v>
      </c>
      <c r="J1085" s="22" t="s">
        <v>6577</v>
      </c>
      <c r="K1085" s="22" t="s">
        <v>6909</v>
      </c>
      <c r="L1085" s="22" t="s">
        <v>3493</v>
      </c>
      <c r="M1085" s="22" t="s">
        <v>3494</v>
      </c>
      <c r="N1085" s="22" t="s">
        <v>1323</v>
      </c>
      <c r="O1085" s="22" t="n">
        <v>24.9</v>
      </c>
      <c r="P1085" s="22" t="n">
        <v>7.55</v>
      </c>
      <c r="Q1085" s="22" t="s">
        <v>7402</v>
      </c>
      <c r="R1085" s="22"/>
    </row>
    <row r="1086" customFormat="false" ht="15" hidden="false" customHeight="false" outlineLevel="0" collapsed="false">
      <c r="A1086" s="22" t="s">
        <v>8478</v>
      </c>
      <c r="B1086" s="22" t="s">
        <v>188</v>
      </c>
      <c r="C1086" s="22" t="s">
        <v>7694</v>
      </c>
      <c r="D1086" s="22" t="s">
        <v>6861</v>
      </c>
      <c r="E1086" s="22" t="n">
        <v>32</v>
      </c>
      <c r="F1086" s="22" t="s">
        <v>6581</v>
      </c>
      <c r="G1086" s="22" t="s">
        <v>7696</v>
      </c>
      <c r="H1086" s="22" t="n">
        <v>12</v>
      </c>
      <c r="I1086" s="22" t="s">
        <v>6576</v>
      </c>
      <c r="J1086" s="22" t="s">
        <v>6613</v>
      </c>
      <c r="K1086" s="22"/>
      <c r="L1086" s="22"/>
      <c r="M1086" s="22"/>
      <c r="N1086" s="22"/>
      <c r="O1086" s="22"/>
      <c r="P1086" s="22" t="n">
        <v>7.55</v>
      </c>
      <c r="Q1086" s="22" t="s">
        <v>7409</v>
      </c>
      <c r="R1086" s="22"/>
    </row>
    <row r="1087" customFormat="false" ht="15" hidden="false" customHeight="false" outlineLevel="0" collapsed="false">
      <c r="A1087" s="22" t="s">
        <v>8479</v>
      </c>
      <c r="B1087" s="22" t="s">
        <v>188</v>
      </c>
      <c r="C1087" s="22" t="s">
        <v>7694</v>
      </c>
      <c r="D1087" s="22" t="s">
        <v>6861</v>
      </c>
      <c r="E1087" s="22" t="n">
        <v>45</v>
      </c>
      <c r="F1087" s="22" t="s">
        <v>7704</v>
      </c>
      <c r="G1087" s="22" t="s">
        <v>7696</v>
      </c>
      <c r="H1087" s="22" t="n">
        <v>16</v>
      </c>
      <c r="I1087" s="22" t="s">
        <v>7705</v>
      </c>
      <c r="J1087" s="22" t="s">
        <v>6577</v>
      </c>
      <c r="K1087" s="22" t="s">
        <v>6915</v>
      </c>
      <c r="L1087" s="22" t="s">
        <v>4418</v>
      </c>
      <c r="M1087" s="22" t="s">
        <v>4419</v>
      </c>
      <c r="N1087" s="22" t="s">
        <v>967</v>
      </c>
      <c r="O1087" s="22" t="n">
        <v>25.7</v>
      </c>
      <c r="P1087" s="22" t="n">
        <v>7.55</v>
      </c>
      <c r="Q1087" s="22" t="s">
        <v>7090</v>
      </c>
      <c r="R1087" s="22"/>
    </row>
    <row r="1088" customFormat="false" ht="15" hidden="false" customHeight="false" outlineLevel="0" collapsed="false">
      <c r="A1088" s="22" t="s">
        <v>8480</v>
      </c>
      <c r="B1088" s="22" t="s">
        <v>188</v>
      </c>
      <c r="C1088" s="22" t="s">
        <v>7694</v>
      </c>
      <c r="D1088" s="22" t="s">
        <v>6861</v>
      </c>
      <c r="E1088" s="22" t="n">
        <v>28</v>
      </c>
      <c r="F1088" s="22" t="s">
        <v>6574</v>
      </c>
      <c r="G1088" s="22" t="s">
        <v>7696</v>
      </c>
      <c r="H1088" s="22" t="n">
        <v>10</v>
      </c>
      <c r="I1088" s="22" t="s">
        <v>6576</v>
      </c>
      <c r="J1088" s="22" t="s">
        <v>6577</v>
      </c>
      <c r="K1088" s="22" t="s">
        <v>6918</v>
      </c>
      <c r="L1088" s="22" t="s">
        <v>6067</v>
      </c>
      <c r="M1088" s="22" t="s">
        <v>6068</v>
      </c>
      <c r="N1088" s="22" t="s">
        <v>1235</v>
      </c>
      <c r="O1088" s="22" t="n">
        <v>54.6</v>
      </c>
      <c r="P1088" s="22" t="n">
        <v>7.55</v>
      </c>
      <c r="Q1088" s="22" t="s">
        <v>8481</v>
      </c>
      <c r="R1088" s="22"/>
    </row>
    <row r="1089" customFormat="false" ht="15" hidden="false" customHeight="false" outlineLevel="0" collapsed="false">
      <c r="A1089" s="22" t="s">
        <v>8482</v>
      </c>
      <c r="B1089" s="22" t="s">
        <v>188</v>
      </c>
      <c r="C1089" s="22" t="s">
        <v>7694</v>
      </c>
      <c r="D1089" s="22" t="s">
        <v>6861</v>
      </c>
      <c r="E1089" s="22" t="n">
        <v>40</v>
      </c>
      <c r="F1089" s="22" t="s">
        <v>6581</v>
      </c>
      <c r="G1089" s="22" t="s">
        <v>7696</v>
      </c>
      <c r="H1089" s="22" t="n">
        <v>14</v>
      </c>
      <c r="I1089" s="22" t="s">
        <v>6582</v>
      </c>
      <c r="J1089" s="22" t="s">
        <v>6577</v>
      </c>
      <c r="K1089" s="22" t="s">
        <v>6921</v>
      </c>
      <c r="L1089" s="22" t="s">
        <v>4861</v>
      </c>
      <c r="M1089" s="22" t="s">
        <v>4862</v>
      </c>
      <c r="N1089" s="22" t="s">
        <v>2836</v>
      </c>
      <c r="O1089" s="22" t="n">
        <v>31.6</v>
      </c>
      <c r="P1089" s="22" t="n">
        <v>7.55</v>
      </c>
      <c r="Q1089" s="22" t="s">
        <v>7177</v>
      </c>
      <c r="R1089" s="22"/>
    </row>
    <row r="1090" customFormat="false" ht="15" hidden="false" customHeight="false" outlineLevel="0" collapsed="false">
      <c r="A1090" s="22" t="s">
        <v>8483</v>
      </c>
      <c r="B1090" s="22" t="s">
        <v>188</v>
      </c>
      <c r="C1090" s="22" t="s">
        <v>7694</v>
      </c>
      <c r="D1090" s="22" t="s">
        <v>6861</v>
      </c>
      <c r="E1090" s="22" t="n">
        <v>32</v>
      </c>
      <c r="F1090" s="22" t="s">
        <v>6581</v>
      </c>
      <c r="G1090" s="22" t="s">
        <v>7696</v>
      </c>
      <c r="H1090" s="22" t="n">
        <v>12</v>
      </c>
      <c r="I1090" s="22" t="s">
        <v>6576</v>
      </c>
      <c r="J1090" s="22" t="s">
        <v>6577</v>
      </c>
      <c r="K1090" s="22" t="s">
        <v>6924</v>
      </c>
      <c r="L1090" s="22" t="s">
        <v>5611</v>
      </c>
      <c r="M1090" s="22" t="s">
        <v>5612</v>
      </c>
      <c r="N1090" s="22" t="s">
        <v>793</v>
      </c>
      <c r="O1090" s="22" t="n">
        <v>47.2</v>
      </c>
      <c r="P1090" s="22" t="n">
        <v>7.55</v>
      </c>
      <c r="Q1090" s="22" t="s">
        <v>6692</v>
      </c>
      <c r="R1090" s="22"/>
    </row>
    <row r="1091" customFormat="false" ht="15" hidden="false" customHeight="false" outlineLevel="0" collapsed="false">
      <c r="A1091" s="22" t="s">
        <v>8484</v>
      </c>
      <c r="B1091" s="22" t="s">
        <v>188</v>
      </c>
      <c r="C1091" s="22" t="s">
        <v>7694</v>
      </c>
      <c r="D1091" s="22" t="s">
        <v>6861</v>
      </c>
      <c r="E1091" s="22" t="n">
        <v>24</v>
      </c>
      <c r="F1091" s="22" t="s">
        <v>6574</v>
      </c>
      <c r="G1091" s="22" t="s">
        <v>7696</v>
      </c>
      <c r="H1091" s="22" t="n">
        <v>9</v>
      </c>
      <c r="I1091" s="22" t="s">
        <v>6576</v>
      </c>
      <c r="J1091" s="22" t="s">
        <v>6577</v>
      </c>
      <c r="K1091" s="22" t="s">
        <v>6926</v>
      </c>
      <c r="L1091" s="22" t="s">
        <v>5762</v>
      </c>
      <c r="M1091" s="22" t="s">
        <v>5763</v>
      </c>
      <c r="N1091" s="22" t="s">
        <v>197</v>
      </c>
      <c r="O1091" s="22" t="n">
        <v>40.4</v>
      </c>
      <c r="P1091" s="22" t="n">
        <v>7.55</v>
      </c>
      <c r="Q1091" s="22" t="s">
        <v>8485</v>
      </c>
      <c r="R1091" s="22"/>
    </row>
    <row r="1092" customFormat="false" ht="15" hidden="false" customHeight="false" outlineLevel="0" collapsed="false">
      <c r="A1092" s="22" t="s">
        <v>8486</v>
      </c>
      <c r="B1092" s="22" t="s">
        <v>188</v>
      </c>
      <c r="C1092" s="22" t="s">
        <v>7694</v>
      </c>
      <c r="D1092" s="22" t="s">
        <v>6929</v>
      </c>
      <c r="E1092" s="22" t="n">
        <v>24</v>
      </c>
      <c r="F1092" s="22" t="s">
        <v>6574</v>
      </c>
      <c r="G1092" s="22" t="s">
        <v>7696</v>
      </c>
      <c r="H1092" s="22" t="n">
        <v>9</v>
      </c>
      <c r="I1092" s="22" t="s">
        <v>6576</v>
      </c>
      <c r="J1092" s="22" t="s">
        <v>6577</v>
      </c>
      <c r="K1092" s="22" t="s">
        <v>6930</v>
      </c>
      <c r="L1092" s="22" t="s">
        <v>4434</v>
      </c>
      <c r="M1092" s="22" t="s">
        <v>4435</v>
      </c>
      <c r="N1092" s="22" t="s">
        <v>358</v>
      </c>
      <c r="O1092" s="22" t="n">
        <v>34.5</v>
      </c>
      <c r="P1092" s="22" t="n">
        <v>7.55</v>
      </c>
      <c r="Q1092" s="22" t="s">
        <v>8300</v>
      </c>
      <c r="R1092" s="22"/>
    </row>
    <row r="1093" customFormat="false" ht="15" hidden="false" customHeight="false" outlineLevel="0" collapsed="false">
      <c r="A1093" s="22" t="s">
        <v>8487</v>
      </c>
      <c r="B1093" s="22" t="s">
        <v>188</v>
      </c>
      <c r="C1093" s="22" t="s">
        <v>7694</v>
      </c>
      <c r="D1093" s="22" t="s">
        <v>6929</v>
      </c>
      <c r="E1093" s="22" t="n">
        <v>40</v>
      </c>
      <c r="F1093" s="22" t="s">
        <v>6581</v>
      </c>
      <c r="G1093" s="22" t="s">
        <v>7696</v>
      </c>
      <c r="H1093" s="22" t="n">
        <v>14</v>
      </c>
      <c r="I1093" s="22" t="s">
        <v>6582</v>
      </c>
      <c r="J1093" s="22" t="s">
        <v>6577</v>
      </c>
      <c r="K1093" s="22" t="s">
        <v>6933</v>
      </c>
      <c r="L1093" s="22" t="s">
        <v>6132</v>
      </c>
      <c r="M1093" s="22" t="s">
        <v>6133</v>
      </c>
      <c r="N1093" s="22" t="s">
        <v>714</v>
      </c>
      <c r="O1093" s="22" t="n">
        <v>52.7</v>
      </c>
      <c r="P1093" s="22" t="n">
        <v>7.55</v>
      </c>
      <c r="Q1093" s="22" t="s">
        <v>7400</v>
      </c>
      <c r="R1093" s="22"/>
    </row>
    <row r="1094" customFormat="false" ht="15" hidden="false" customHeight="false" outlineLevel="0" collapsed="false">
      <c r="A1094" s="22" t="s">
        <v>8488</v>
      </c>
      <c r="B1094" s="22" t="s">
        <v>188</v>
      </c>
      <c r="C1094" s="22" t="s">
        <v>7694</v>
      </c>
      <c r="D1094" s="22" t="s">
        <v>6929</v>
      </c>
      <c r="E1094" s="22" t="n">
        <v>32</v>
      </c>
      <c r="F1094" s="22" t="s">
        <v>6581</v>
      </c>
      <c r="G1094" s="22" t="s">
        <v>7696</v>
      </c>
      <c r="H1094" s="22" t="n">
        <v>12</v>
      </c>
      <c r="I1094" s="22" t="s">
        <v>6576</v>
      </c>
      <c r="J1094" s="22" t="s">
        <v>6577</v>
      </c>
      <c r="K1094" s="22" t="s">
        <v>6936</v>
      </c>
      <c r="L1094" s="22" t="s">
        <v>1072</v>
      </c>
      <c r="M1094" s="22" t="s">
        <v>1073</v>
      </c>
      <c r="N1094" s="22" t="s">
        <v>1074</v>
      </c>
      <c r="O1094" s="22" t="n">
        <v>33.2</v>
      </c>
      <c r="P1094" s="22" t="n">
        <v>7.55</v>
      </c>
      <c r="Q1094" s="22" t="s">
        <v>7490</v>
      </c>
      <c r="R1094" s="22"/>
    </row>
    <row r="1095" customFormat="false" ht="15" hidden="false" customHeight="false" outlineLevel="0" collapsed="false">
      <c r="A1095" s="22" t="s">
        <v>8489</v>
      </c>
      <c r="B1095" s="22" t="s">
        <v>188</v>
      </c>
      <c r="C1095" s="22" t="s">
        <v>7694</v>
      </c>
      <c r="D1095" s="22" t="s">
        <v>6929</v>
      </c>
      <c r="E1095" s="22" t="n">
        <v>80</v>
      </c>
      <c r="F1095" s="22" t="s">
        <v>7695</v>
      </c>
      <c r="G1095" s="22" t="s">
        <v>7696</v>
      </c>
      <c r="H1095" s="22" t="n">
        <v>24</v>
      </c>
      <c r="I1095" s="22" t="s">
        <v>7697</v>
      </c>
      <c r="J1095" s="22" t="s">
        <v>6577</v>
      </c>
      <c r="K1095" s="22" t="s">
        <v>6939</v>
      </c>
      <c r="L1095" s="22" t="s">
        <v>4878</v>
      </c>
      <c r="M1095" s="22" t="s">
        <v>4879</v>
      </c>
      <c r="N1095" s="22" t="s">
        <v>796</v>
      </c>
      <c r="O1095" s="22" t="n">
        <v>21</v>
      </c>
      <c r="P1095" s="22" t="n">
        <v>7.55</v>
      </c>
      <c r="Q1095" s="22" t="s">
        <v>7940</v>
      </c>
      <c r="R1095" s="22"/>
    </row>
    <row r="1096" customFormat="false" ht="15" hidden="false" customHeight="false" outlineLevel="0" collapsed="false">
      <c r="A1096" s="22" t="s">
        <v>8490</v>
      </c>
      <c r="B1096" s="22" t="s">
        <v>188</v>
      </c>
      <c r="C1096" s="22" t="s">
        <v>7694</v>
      </c>
      <c r="D1096" s="22" t="s">
        <v>6929</v>
      </c>
      <c r="E1096" s="22" t="n">
        <v>24</v>
      </c>
      <c r="F1096" s="22" t="s">
        <v>6574</v>
      </c>
      <c r="G1096" s="22" t="s">
        <v>7696</v>
      </c>
      <c r="H1096" s="22" t="n">
        <v>9</v>
      </c>
      <c r="I1096" s="22" t="s">
        <v>6576</v>
      </c>
      <c r="J1096" s="22" t="s">
        <v>6577</v>
      </c>
      <c r="K1096" s="22" t="s">
        <v>6942</v>
      </c>
      <c r="L1096" s="22" t="s">
        <v>3477</v>
      </c>
      <c r="M1096" s="22" t="s">
        <v>3478</v>
      </c>
      <c r="N1096" s="22" t="s">
        <v>1045</v>
      </c>
      <c r="O1096" s="22" t="n">
        <v>41.9</v>
      </c>
      <c r="P1096" s="22" t="n">
        <v>7.55</v>
      </c>
      <c r="Q1096" s="22" t="s">
        <v>6732</v>
      </c>
      <c r="R1096" s="22"/>
    </row>
    <row r="1097" customFormat="false" ht="15" hidden="false" customHeight="false" outlineLevel="0" collapsed="false">
      <c r="A1097" s="22" t="s">
        <v>8491</v>
      </c>
      <c r="B1097" s="22" t="s">
        <v>188</v>
      </c>
      <c r="C1097" s="22" t="s">
        <v>7694</v>
      </c>
      <c r="D1097" s="22" t="s">
        <v>6929</v>
      </c>
      <c r="E1097" s="22" t="n">
        <v>80</v>
      </c>
      <c r="F1097" s="22" t="s">
        <v>7695</v>
      </c>
      <c r="G1097" s="22" t="s">
        <v>7696</v>
      </c>
      <c r="H1097" s="22" t="n">
        <v>24</v>
      </c>
      <c r="I1097" s="22" t="s">
        <v>7697</v>
      </c>
      <c r="J1097" s="22" t="s">
        <v>6577</v>
      </c>
      <c r="K1097" s="22" t="s">
        <v>6945</v>
      </c>
      <c r="L1097" s="22" t="s">
        <v>3473</v>
      </c>
      <c r="M1097" s="22" t="s">
        <v>3474</v>
      </c>
      <c r="N1097" s="22" t="s">
        <v>1395</v>
      </c>
      <c r="O1097" s="22" t="n">
        <v>47.1</v>
      </c>
      <c r="P1097" s="22" t="n">
        <v>7.55</v>
      </c>
      <c r="Q1097" s="22" t="s">
        <v>8401</v>
      </c>
      <c r="R1097" s="22"/>
    </row>
    <row r="1098" customFormat="false" ht="15" hidden="false" customHeight="false" outlineLevel="0" collapsed="false">
      <c r="A1098" s="22" t="s">
        <v>8492</v>
      </c>
      <c r="B1098" s="22" t="s">
        <v>188</v>
      </c>
      <c r="C1098" s="22" t="s">
        <v>7694</v>
      </c>
      <c r="D1098" s="22" t="s">
        <v>6929</v>
      </c>
      <c r="E1098" s="22" t="n">
        <v>40</v>
      </c>
      <c r="F1098" s="22" t="s">
        <v>6581</v>
      </c>
      <c r="G1098" s="22" t="s">
        <v>7696</v>
      </c>
      <c r="H1098" s="22" t="n">
        <v>14</v>
      </c>
      <c r="I1098" s="22" t="s">
        <v>6582</v>
      </c>
      <c r="J1098" s="22" t="s">
        <v>6577</v>
      </c>
      <c r="K1098" s="22" t="s">
        <v>6948</v>
      </c>
      <c r="L1098" s="22" t="s">
        <v>5940</v>
      </c>
      <c r="M1098" s="22" t="s">
        <v>5941</v>
      </c>
      <c r="N1098" s="22" t="s">
        <v>2034</v>
      </c>
      <c r="O1098" s="22" t="n">
        <v>30.9</v>
      </c>
      <c r="P1098" s="22" t="n">
        <v>7.55</v>
      </c>
      <c r="Q1098" s="22" t="s">
        <v>7085</v>
      </c>
      <c r="R1098" s="22"/>
    </row>
    <row r="1099" customFormat="false" ht="15" hidden="false" customHeight="false" outlineLevel="0" collapsed="false">
      <c r="A1099" s="22" t="s">
        <v>8493</v>
      </c>
      <c r="B1099" s="22" t="s">
        <v>188</v>
      </c>
      <c r="C1099" s="22" t="s">
        <v>7694</v>
      </c>
      <c r="D1099" s="22" t="s">
        <v>6929</v>
      </c>
      <c r="E1099" s="22" t="n">
        <v>50</v>
      </c>
      <c r="F1099" s="22" t="s">
        <v>7704</v>
      </c>
      <c r="G1099" s="22" t="s">
        <v>7696</v>
      </c>
      <c r="H1099" s="22" t="n">
        <v>18</v>
      </c>
      <c r="I1099" s="22" t="s">
        <v>7705</v>
      </c>
      <c r="J1099" s="22" t="s">
        <v>6671</v>
      </c>
      <c r="K1099" s="22"/>
      <c r="L1099" s="22"/>
      <c r="M1099" s="22"/>
      <c r="N1099" s="22"/>
      <c r="O1099" s="22"/>
      <c r="P1099" s="22" t="n">
        <v>7.55</v>
      </c>
      <c r="Q1099" s="22" t="s">
        <v>7552</v>
      </c>
      <c r="R1099" s="22"/>
    </row>
    <row r="1100" customFormat="false" ht="15" hidden="false" customHeight="false" outlineLevel="0" collapsed="false">
      <c r="A1100" s="22" t="s">
        <v>8494</v>
      </c>
      <c r="B1100" s="22" t="s">
        <v>188</v>
      </c>
      <c r="C1100" s="22" t="s">
        <v>7694</v>
      </c>
      <c r="D1100" s="22" t="s">
        <v>6929</v>
      </c>
      <c r="E1100" s="22" t="n">
        <v>36</v>
      </c>
      <c r="F1100" s="22" t="s">
        <v>6581</v>
      </c>
      <c r="G1100" s="22" t="s">
        <v>7696</v>
      </c>
      <c r="H1100" s="22" t="n">
        <v>13</v>
      </c>
      <c r="I1100" s="22" t="s">
        <v>6582</v>
      </c>
      <c r="J1100" s="22" t="s">
        <v>6577</v>
      </c>
      <c r="K1100" s="22" t="s">
        <v>6954</v>
      </c>
      <c r="L1100" s="22" t="s">
        <v>1817</v>
      </c>
      <c r="M1100" s="22" t="s">
        <v>1818</v>
      </c>
      <c r="N1100" s="22" t="s">
        <v>980</v>
      </c>
      <c r="O1100" s="22" t="n">
        <v>37</v>
      </c>
      <c r="P1100" s="22" t="n">
        <v>7.55</v>
      </c>
      <c r="Q1100" s="22" t="s">
        <v>8162</v>
      </c>
      <c r="R1100" s="22"/>
    </row>
    <row r="1101" customFormat="false" ht="15" hidden="false" customHeight="false" outlineLevel="0" collapsed="false">
      <c r="A1101" s="22" t="s">
        <v>8495</v>
      </c>
      <c r="B1101" s="22" t="s">
        <v>188</v>
      </c>
      <c r="C1101" s="22" t="s">
        <v>7694</v>
      </c>
      <c r="D1101" s="22" t="s">
        <v>6929</v>
      </c>
      <c r="E1101" s="22" t="n">
        <v>60</v>
      </c>
      <c r="F1101" s="22" t="s">
        <v>7695</v>
      </c>
      <c r="G1101" s="22" t="s">
        <v>7696</v>
      </c>
      <c r="H1101" s="22" t="n">
        <v>20</v>
      </c>
      <c r="I1101" s="22" t="s">
        <v>7697</v>
      </c>
      <c r="J1101" s="22" t="s">
        <v>6577</v>
      </c>
      <c r="K1101" s="22" t="s">
        <v>6957</v>
      </c>
      <c r="L1101" s="22" t="s">
        <v>4432</v>
      </c>
      <c r="M1101" s="22" t="s">
        <v>4433</v>
      </c>
      <c r="N1101" s="22" t="s">
        <v>3385</v>
      </c>
      <c r="O1101" s="22" t="n">
        <v>31.7</v>
      </c>
      <c r="P1101" s="22" t="n">
        <v>7.55</v>
      </c>
      <c r="Q1101" s="22" t="s">
        <v>8496</v>
      </c>
      <c r="R1101" s="22"/>
    </row>
    <row r="1102" customFormat="false" ht="15" hidden="false" customHeight="false" outlineLevel="0" collapsed="false">
      <c r="A1102" s="22" t="s">
        <v>8497</v>
      </c>
      <c r="B1102" s="22" t="s">
        <v>188</v>
      </c>
      <c r="C1102" s="22" t="s">
        <v>7694</v>
      </c>
      <c r="D1102" s="22" t="s">
        <v>6929</v>
      </c>
      <c r="E1102" s="22" t="n">
        <v>36</v>
      </c>
      <c r="F1102" s="22" t="s">
        <v>6581</v>
      </c>
      <c r="G1102" s="22" t="s">
        <v>7696</v>
      </c>
      <c r="H1102" s="22" t="n">
        <v>13</v>
      </c>
      <c r="I1102" s="22" t="s">
        <v>6582</v>
      </c>
      <c r="J1102" s="22" t="s">
        <v>6577</v>
      </c>
      <c r="K1102" s="22" t="s">
        <v>6960</v>
      </c>
      <c r="L1102" s="22" t="s">
        <v>3465</v>
      </c>
      <c r="M1102" s="22" t="s">
        <v>3466</v>
      </c>
      <c r="N1102" s="22" t="s">
        <v>1896</v>
      </c>
      <c r="O1102" s="22" t="n">
        <v>24.7</v>
      </c>
      <c r="P1102" s="22" t="n">
        <v>7.55</v>
      </c>
      <c r="Q1102" s="22" t="s">
        <v>7326</v>
      </c>
      <c r="R1102" s="22"/>
    </row>
    <row r="1103" customFormat="false" ht="15" hidden="false" customHeight="false" outlineLevel="0" collapsed="false">
      <c r="A1103" s="22" t="s">
        <v>8498</v>
      </c>
      <c r="B1103" s="22" t="s">
        <v>188</v>
      </c>
      <c r="C1103" s="22" t="s">
        <v>7694</v>
      </c>
      <c r="D1103" s="22" t="s">
        <v>6929</v>
      </c>
      <c r="E1103" s="22" t="n">
        <v>24</v>
      </c>
      <c r="F1103" s="22" t="s">
        <v>6574</v>
      </c>
      <c r="G1103" s="22" t="s">
        <v>7696</v>
      </c>
      <c r="H1103" s="22" t="n">
        <v>9</v>
      </c>
      <c r="I1103" s="22" t="s">
        <v>6576</v>
      </c>
      <c r="J1103" s="22" t="s">
        <v>6577</v>
      </c>
      <c r="K1103" s="22" t="s">
        <v>6963</v>
      </c>
      <c r="L1103" s="22" t="s">
        <v>5768</v>
      </c>
      <c r="M1103" s="22" t="s">
        <v>5769</v>
      </c>
      <c r="N1103" s="22" t="s">
        <v>787</v>
      </c>
      <c r="O1103" s="22" t="n">
        <v>45</v>
      </c>
      <c r="P1103" s="22" t="n">
        <v>7.55</v>
      </c>
      <c r="Q1103" s="22" t="s">
        <v>7021</v>
      </c>
      <c r="R1103" s="22"/>
    </row>
    <row r="1104" customFormat="false" ht="15" hidden="false" customHeight="false" outlineLevel="0" collapsed="false">
      <c r="A1104" s="22" t="s">
        <v>8499</v>
      </c>
      <c r="B1104" s="22" t="s">
        <v>188</v>
      </c>
      <c r="C1104" s="22" t="s">
        <v>7694</v>
      </c>
      <c r="D1104" s="22" t="s">
        <v>6929</v>
      </c>
      <c r="E1104" s="22" t="n">
        <v>28</v>
      </c>
      <c r="F1104" s="22" t="s">
        <v>6574</v>
      </c>
      <c r="G1104" s="22" t="s">
        <v>7696</v>
      </c>
      <c r="H1104" s="22" t="n">
        <v>10</v>
      </c>
      <c r="I1104" s="22" t="s">
        <v>6576</v>
      </c>
      <c r="J1104" s="22" t="s">
        <v>6577</v>
      </c>
      <c r="K1104" s="22" t="s">
        <v>6966</v>
      </c>
      <c r="L1104" s="22" t="s">
        <v>5971</v>
      </c>
      <c r="M1104" s="22" t="s">
        <v>5972</v>
      </c>
      <c r="N1104" s="22" t="s">
        <v>793</v>
      </c>
      <c r="O1104" s="22" t="n">
        <v>53.6</v>
      </c>
      <c r="P1104" s="22" t="n">
        <v>7.55</v>
      </c>
      <c r="Q1104" s="22" t="s">
        <v>8164</v>
      </c>
      <c r="R1104" s="22"/>
    </row>
    <row r="1105" customFormat="false" ht="15" hidden="false" customHeight="false" outlineLevel="0" collapsed="false">
      <c r="A1105" s="22" t="s">
        <v>8500</v>
      </c>
      <c r="B1105" s="22" t="s">
        <v>188</v>
      </c>
      <c r="C1105" s="22" t="s">
        <v>7694</v>
      </c>
      <c r="D1105" s="22" t="s">
        <v>6929</v>
      </c>
      <c r="E1105" s="22" t="n">
        <v>80</v>
      </c>
      <c r="F1105" s="22" t="s">
        <v>7695</v>
      </c>
      <c r="G1105" s="22" t="s">
        <v>7696</v>
      </c>
      <c r="H1105" s="22" t="n">
        <v>24</v>
      </c>
      <c r="I1105" s="22" t="s">
        <v>7697</v>
      </c>
      <c r="J1105" s="22" t="s">
        <v>6577</v>
      </c>
      <c r="K1105" s="22" t="s">
        <v>6969</v>
      </c>
      <c r="L1105" s="22" t="s">
        <v>2096</v>
      </c>
      <c r="M1105" s="22" t="s">
        <v>2097</v>
      </c>
      <c r="N1105" s="22" t="s">
        <v>1118</v>
      </c>
      <c r="O1105" s="22" t="n">
        <v>49.5</v>
      </c>
      <c r="P1105" s="22" t="n">
        <v>7.55</v>
      </c>
      <c r="Q1105" s="22" t="s">
        <v>7434</v>
      </c>
      <c r="R1105" s="22"/>
    </row>
    <row r="1106" customFormat="false" ht="15" hidden="false" customHeight="false" outlineLevel="0" collapsed="false">
      <c r="A1106" s="22" t="s">
        <v>8501</v>
      </c>
      <c r="B1106" s="22" t="s">
        <v>188</v>
      </c>
      <c r="C1106" s="22" t="s">
        <v>7694</v>
      </c>
      <c r="D1106" s="22" t="s">
        <v>6929</v>
      </c>
      <c r="E1106" s="22" t="n">
        <v>45</v>
      </c>
      <c r="F1106" s="22" t="s">
        <v>7704</v>
      </c>
      <c r="G1106" s="22" t="s">
        <v>7696</v>
      </c>
      <c r="H1106" s="22" t="n">
        <v>16</v>
      </c>
      <c r="I1106" s="22" t="s">
        <v>7705</v>
      </c>
      <c r="J1106" s="22" t="s">
        <v>6577</v>
      </c>
      <c r="K1106" s="22" t="s">
        <v>6972</v>
      </c>
      <c r="L1106" s="22" t="s">
        <v>1316</v>
      </c>
      <c r="M1106" s="22" t="s">
        <v>1317</v>
      </c>
      <c r="N1106" s="22" t="s">
        <v>1318</v>
      </c>
      <c r="O1106" s="22" t="n">
        <v>27.7</v>
      </c>
      <c r="P1106" s="22" t="n">
        <v>7.55</v>
      </c>
      <c r="Q1106" s="22" t="s">
        <v>7510</v>
      </c>
      <c r="R1106" s="22"/>
    </row>
    <row r="1107" customFormat="false" ht="15" hidden="false" customHeight="false" outlineLevel="0" collapsed="false">
      <c r="A1107" s="22" t="s">
        <v>8502</v>
      </c>
      <c r="B1107" s="22" t="s">
        <v>188</v>
      </c>
      <c r="C1107" s="22" t="s">
        <v>7694</v>
      </c>
      <c r="D1107" s="22" t="s">
        <v>6929</v>
      </c>
      <c r="E1107" s="22" t="n">
        <v>24</v>
      </c>
      <c r="F1107" s="22" t="s">
        <v>6574</v>
      </c>
      <c r="G1107" s="22" t="s">
        <v>7696</v>
      </c>
      <c r="H1107" s="22" t="n">
        <v>9</v>
      </c>
      <c r="I1107" s="22" t="s">
        <v>6576</v>
      </c>
      <c r="J1107" s="22" t="s">
        <v>6577</v>
      </c>
      <c r="K1107" s="22" t="s">
        <v>6975</v>
      </c>
      <c r="L1107" s="22" t="s">
        <v>6317</v>
      </c>
      <c r="M1107" s="22" t="s">
        <v>6318</v>
      </c>
      <c r="N1107" s="22" t="s">
        <v>904</v>
      </c>
      <c r="O1107" s="22" t="n">
        <v>41.8</v>
      </c>
      <c r="P1107" s="22" t="n">
        <v>7.55</v>
      </c>
      <c r="Q1107" s="22" t="s">
        <v>6719</v>
      </c>
      <c r="R1107" s="22"/>
    </row>
    <row r="1108" customFormat="false" ht="15" hidden="false" customHeight="false" outlineLevel="0" collapsed="false">
      <c r="A1108" s="22" t="s">
        <v>8503</v>
      </c>
      <c r="B1108" s="22" t="s">
        <v>188</v>
      </c>
      <c r="C1108" s="22" t="s">
        <v>7694</v>
      </c>
      <c r="D1108" s="22" t="s">
        <v>6929</v>
      </c>
      <c r="E1108" s="22" t="n">
        <v>36</v>
      </c>
      <c r="F1108" s="22" t="s">
        <v>6581</v>
      </c>
      <c r="G1108" s="22" t="s">
        <v>7696</v>
      </c>
      <c r="H1108" s="22" t="n">
        <v>13</v>
      </c>
      <c r="I1108" s="22" t="s">
        <v>6582</v>
      </c>
      <c r="J1108" s="22" t="s">
        <v>6577</v>
      </c>
      <c r="K1108" s="22" t="s">
        <v>6978</v>
      </c>
      <c r="L1108" s="22" t="s">
        <v>2406</v>
      </c>
      <c r="M1108" s="22" t="s">
        <v>2407</v>
      </c>
      <c r="N1108" s="22" t="s">
        <v>1383</v>
      </c>
      <c r="O1108" s="22" t="n">
        <v>26.3</v>
      </c>
      <c r="P1108" s="22" t="n">
        <v>7.55</v>
      </c>
      <c r="Q1108" s="22" t="s">
        <v>8051</v>
      </c>
      <c r="R1108" s="22"/>
    </row>
    <row r="1109" customFormat="false" ht="15" hidden="false" customHeight="false" outlineLevel="0" collapsed="false">
      <c r="A1109" s="22" t="s">
        <v>8504</v>
      </c>
      <c r="B1109" s="22" t="s">
        <v>188</v>
      </c>
      <c r="C1109" s="22" t="s">
        <v>7694</v>
      </c>
      <c r="D1109" s="22" t="s">
        <v>6929</v>
      </c>
      <c r="E1109" s="22" t="n">
        <v>32</v>
      </c>
      <c r="F1109" s="22" t="s">
        <v>6581</v>
      </c>
      <c r="G1109" s="22" t="s">
        <v>7696</v>
      </c>
      <c r="H1109" s="22" t="n">
        <v>12</v>
      </c>
      <c r="I1109" s="22" t="s">
        <v>6576</v>
      </c>
      <c r="J1109" s="22" t="s">
        <v>6734</v>
      </c>
      <c r="K1109" s="22"/>
      <c r="L1109" s="22"/>
      <c r="M1109" s="22"/>
      <c r="N1109" s="22"/>
      <c r="O1109" s="22"/>
      <c r="P1109" s="22" t="n">
        <v>7.55</v>
      </c>
      <c r="Q1109" s="22" t="s">
        <v>7341</v>
      </c>
      <c r="R1109" s="22"/>
    </row>
    <row r="1110" customFormat="false" ht="15" hidden="false" customHeight="false" outlineLevel="0" collapsed="false">
      <c r="A1110" s="22" t="s">
        <v>8505</v>
      </c>
      <c r="B1110" s="22" t="s">
        <v>188</v>
      </c>
      <c r="C1110" s="22" t="s">
        <v>7694</v>
      </c>
      <c r="D1110" s="22" t="s">
        <v>6929</v>
      </c>
      <c r="E1110" s="22" t="n">
        <v>24</v>
      </c>
      <c r="F1110" s="22" t="s">
        <v>6574</v>
      </c>
      <c r="G1110" s="22" t="s">
        <v>7696</v>
      </c>
      <c r="H1110" s="22" t="n">
        <v>9</v>
      </c>
      <c r="I1110" s="22" t="s">
        <v>6576</v>
      </c>
      <c r="J1110" s="22" t="s">
        <v>6577</v>
      </c>
      <c r="K1110" s="22" t="s">
        <v>7531</v>
      </c>
      <c r="L1110" s="22" t="s">
        <v>2588</v>
      </c>
      <c r="M1110" s="22" t="s">
        <v>2589</v>
      </c>
      <c r="N1110" s="22" t="s">
        <v>684</v>
      </c>
      <c r="O1110" s="22" t="n">
        <v>26.3</v>
      </c>
      <c r="P1110" s="22" t="n">
        <v>7.55</v>
      </c>
      <c r="Q1110" s="22" t="s">
        <v>7844</v>
      </c>
      <c r="R1110" s="22"/>
    </row>
    <row r="1111" customFormat="false" ht="15" hidden="false" customHeight="false" outlineLevel="0" collapsed="false">
      <c r="A1111" s="22" t="s">
        <v>8506</v>
      </c>
      <c r="B1111" s="22" t="s">
        <v>188</v>
      </c>
      <c r="C1111" s="22" t="s">
        <v>7694</v>
      </c>
      <c r="D1111" s="22" t="s">
        <v>6929</v>
      </c>
      <c r="E1111" s="22" t="n">
        <v>60</v>
      </c>
      <c r="F1111" s="22" t="s">
        <v>7695</v>
      </c>
      <c r="G1111" s="22" t="s">
        <v>7696</v>
      </c>
      <c r="H1111" s="22" t="n">
        <v>20</v>
      </c>
      <c r="I1111" s="22" t="s">
        <v>7697</v>
      </c>
      <c r="J1111" s="22" t="s">
        <v>6577</v>
      </c>
      <c r="K1111" s="22" t="s">
        <v>6986</v>
      </c>
      <c r="L1111" s="22" t="s">
        <v>1321</v>
      </c>
      <c r="M1111" s="22" t="s">
        <v>1322</v>
      </c>
      <c r="N1111" s="22" t="s">
        <v>1323</v>
      </c>
      <c r="O1111" s="22" t="n">
        <v>61.4</v>
      </c>
      <c r="P1111" s="22" t="n">
        <v>7.55</v>
      </c>
      <c r="Q1111" s="22" t="s">
        <v>8507</v>
      </c>
      <c r="R1111" s="22"/>
    </row>
    <row r="1112" customFormat="false" ht="15" hidden="false" customHeight="false" outlineLevel="0" collapsed="false">
      <c r="A1112" s="22" t="s">
        <v>8508</v>
      </c>
      <c r="B1112" s="22" t="s">
        <v>188</v>
      </c>
      <c r="C1112" s="22" t="s">
        <v>7694</v>
      </c>
      <c r="D1112" s="22" t="s">
        <v>6929</v>
      </c>
      <c r="E1112" s="22" t="n">
        <v>32</v>
      </c>
      <c r="F1112" s="22" t="s">
        <v>6581</v>
      </c>
      <c r="G1112" s="22" t="s">
        <v>7696</v>
      </c>
      <c r="H1112" s="22" t="n">
        <v>12</v>
      </c>
      <c r="I1112" s="22" t="s">
        <v>6576</v>
      </c>
      <c r="J1112" s="22" t="s">
        <v>6577</v>
      </c>
      <c r="K1112" s="22" t="s">
        <v>6989</v>
      </c>
      <c r="L1112" s="22" t="s">
        <v>1295</v>
      </c>
      <c r="M1112" s="22" t="s">
        <v>1296</v>
      </c>
      <c r="N1112" s="22" t="s">
        <v>208</v>
      </c>
      <c r="O1112" s="22" t="n">
        <v>25.8</v>
      </c>
      <c r="P1112" s="22" t="n">
        <v>7.55</v>
      </c>
      <c r="Q1112" s="22" t="s">
        <v>6890</v>
      </c>
      <c r="R1112" s="22"/>
    </row>
    <row r="1113" customFormat="false" ht="15" hidden="false" customHeight="false" outlineLevel="0" collapsed="false">
      <c r="A1113" s="22" t="s">
        <v>8509</v>
      </c>
      <c r="B1113" s="22" t="s">
        <v>188</v>
      </c>
      <c r="C1113" s="22" t="s">
        <v>7694</v>
      </c>
      <c r="D1113" s="22" t="s">
        <v>6929</v>
      </c>
      <c r="E1113" s="22" t="n">
        <v>32</v>
      </c>
      <c r="F1113" s="22" t="s">
        <v>6581</v>
      </c>
      <c r="G1113" s="22" t="s">
        <v>7696</v>
      </c>
      <c r="H1113" s="22" t="n">
        <v>12</v>
      </c>
      <c r="I1113" s="22" t="s">
        <v>6576</v>
      </c>
      <c r="J1113" s="22" t="s">
        <v>6577</v>
      </c>
      <c r="K1113" s="22" t="s">
        <v>6992</v>
      </c>
      <c r="L1113" s="22" t="s">
        <v>6077</v>
      </c>
      <c r="M1113" s="22" t="s">
        <v>6078</v>
      </c>
      <c r="N1113" s="22" t="s">
        <v>2150</v>
      </c>
      <c r="O1113" s="22" t="n">
        <v>34.1</v>
      </c>
      <c r="P1113" s="22" t="n">
        <v>7.55</v>
      </c>
      <c r="Q1113" s="22" t="s">
        <v>8510</v>
      </c>
      <c r="R1113" s="22"/>
    </row>
    <row r="1114" customFormat="false" ht="15" hidden="false" customHeight="false" outlineLevel="0" collapsed="false">
      <c r="A1114" s="22" t="s">
        <v>8511</v>
      </c>
      <c r="B1114" s="22" t="s">
        <v>188</v>
      </c>
      <c r="C1114" s="22" t="s">
        <v>7694</v>
      </c>
      <c r="D1114" s="22" t="s">
        <v>6929</v>
      </c>
      <c r="E1114" s="22" t="n">
        <v>28</v>
      </c>
      <c r="F1114" s="22" t="s">
        <v>6574</v>
      </c>
      <c r="G1114" s="22" t="s">
        <v>7696</v>
      </c>
      <c r="H1114" s="22" t="n">
        <v>10</v>
      </c>
      <c r="I1114" s="22" t="s">
        <v>6576</v>
      </c>
      <c r="J1114" s="22" t="s">
        <v>6577</v>
      </c>
      <c r="K1114" s="22" t="s">
        <v>6995</v>
      </c>
      <c r="L1114" s="22" t="s">
        <v>2499</v>
      </c>
      <c r="M1114" s="22" t="s">
        <v>2500</v>
      </c>
      <c r="N1114" s="22" t="s">
        <v>218</v>
      </c>
      <c r="O1114" s="22" t="n">
        <v>41.8</v>
      </c>
      <c r="P1114" s="22" t="n">
        <v>7.55</v>
      </c>
      <c r="Q1114" s="22" t="s">
        <v>8215</v>
      </c>
      <c r="R1114" s="22"/>
    </row>
    <row r="1115" customFormat="false" ht="15" hidden="false" customHeight="false" outlineLevel="0" collapsed="false">
      <c r="A1115" s="22" t="s">
        <v>8512</v>
      </c>
      <c r="B1115" s="22" t="s">
        <v>188</v>
      </c>
      <c r="C1115" s="22" t="s">
        <v>7694</v>
      </c>
      <c r="D1115" s="22" t="s">
        <v>6929</v>
      </c>
      <c r="E1115" s="22" t="n">
        <v>24</v>
      </c>
      <c r="F1115" s="22" t="s">
        <v>6574</v>
      </c>
      <c r="G1115" s="22" t="s">
        <v>7696</v>
      </c>
      <c r="H1115" s="22" t="n">
        <v>9</v>
      </c>
      <c r="I1115" s="22" t="s">
        <v>6576</v>
      </c>
      <c r="J1115" s="22" t="s">
        <v>6577</v>
      </c>
      <c r="K1115" s="22" t="s">
        <v>6997</v>
      </c>
      <c r="L1115" s="22" t="s">
        <v>1570</v>
      </c>
      <c r="M1115" s="22" t="s">
        <v>1571</v>
      </c>
      <c r="N1115" s="22" t="s">
        <v>1572</v>
      </c>
      <c r="O1115" s="22" t="n">
        <v>32.4</v>
      </c>
      <c r="P1115" s="22" t="n">
        <v>7.55</v>
      </c>
      <c r="Q1115" s="22" t="s">
        <v>6620</v>
      </c>
      <c r="R1115" s="22"/>
    </row>
    <row r="1116" customFormat="false" ht="15" hidden="false" customHeight="false" outlineLevel="0" collapsed="false">
      <c r="A1116" s="22" t="s">
        <v>8513</v>
      </c>
      <c r="B1116" s="22" t="s">
        <v>188</v>
      </c>
      <c r="C1116" s="22" t="s">
        <v>7694</v>
      </c>
      <c r="D1116" s="22" t="s">
        <v>7000</v>
      </c>
      <c r="E1116" s="22" t="n">
        <v>28</v>
      </c>
      <c r="F1116" s="22" t="s">
        <v>6574</v>
      </c>
      <c r="G1116" s="22" t="s">
        <v>7696</v>
      </c>
      <c r="H1116" s="22" t="n">
        <v>10</v>
      </c>
      <c r="I1116" s="22" t="s">
        <v>6576</v>
      </c>
      <c r="J1116" s="22" t="s">
        <v>6577</v>
      </c>
      <c r="K1116" s="22" t="s">
        <v>7001</v>
      </c>
      <c r="L1116" s="22" t="s">
        <v>4243</v>
      </c>
      <c r="M1116" s="22" t="s">
        <v>4244</v>
      </c>
      <c r="N1116" s="22" t="s">
        <v>1307</v>
      </c>
      <c r="O1116" s="22" t="n">
        <v>37.3</v>
      </c>
      <c r="P1116" s="22" t="n">
        <v>7.55</v>
      </c>
      <c r="Q1116" s="22" t="s">
        <v>6678</v>
      </c>
      <c r="R1116" s="22"/>
    </row>
    <row r="1117" customFormat="false" ht="15" hidden="false" customHeight="false" outlineLevel="0" collapsed="false">
      <c r="A1117" s="22" t="s">
        <v>8514</v>
      </c>
      <c r="B1117" s="22" t="s">
        <v>188</v>
      </c>
      <c r="C1117" s="22" t="s">
        <v>7694</v>
      </c>
      <c r="D1117" s="22" t="s">
        <v>7000</v>
      </c>
      <c r="E1117" s="22" t="n">
        <v>50</v>
      </c>
      <c r="F1117" s="22" t="s">
        <v>7704</v>
      </c>
      <c r="G1117" s="22" t="s">
        <v>7696</v>
      </c>
      <c r="H1117" s="22" t="n">
        <v>18</v>
      </c>
      <c r="I1117" s="22" t="s">
        <v>7705</v>
      </c>
      <c r="J1117" s="22" t="s">
        <v>6577</v>
      </c>
      <c r="K1117" s="22" t="s">
        <v>7004</v>
      </c>
      <c r="L1117" s="22" t="s">
        <v>5204</v>
      </c>
      <c r="M1117" s="22" t="s">
        <v>5205</v>
      </c>
      <c r="N1117" s="22" t="s">
        <v>626</v>
      </c>
      <c r="O1117" s="22" t="n">
        <v>19.2</v>
      </c>
      <c r="P1117" s="22" t="n">
        <v>7.55</v>
      </c>
      <c r="Q1117" s="22" t="s">
        <v>7438</v>
      </c>
      <c r="R1117" s="22"/>
    </row>
    <row r="1118" customFormat="false" ht="15" hidden="false" customHeight="false" outlineLevel="0" collapsed="false">
      <c r="A1118" s="22" t="s">
        <v>8515</v>
      </c>
      <c r="B1118" s="22" t="s">
        <v>188</v>
      </c>
      <c r="C1118" s="22" t="s">
        <v>7694</v>
      </c>
      <c r="D1118" s="22" t="s">
        <v>7000</v>
      </c>
      <c r="E1118" s="22" t="n">
        <v>32</v>
      </c>
      <c r="F1118" s="22" t="s">
        <v>6581</v>
      </c>
      <c r="G1118" s="22" t="s">
        <v>7696</v>
      </c>
      <c r="H1118" s="22" t="n">
        <v>12</v>
      </c>
      <c r="I1118" s="22" t="s">
        <v>6576</v>
      </c>
      <c r="J1118" s="22" t="s">
        <v>6577</v>
      </c>
      <c r="K1118" s="22" t="s">
        <v>7007</v>
      </c>
      <c r="L1118" s="22" t="s">
        <v>4821</v>
      </c>
      <c r="M1118" s="22" t="s">
        <v>4822</v>
      </c>
      <c r="N1118" s="22" t="s">
        <v>4823</v>
      </c>
      <c r="O1118" s="22" t="n">
        <v>23.6</v>
      </c>
      <c r="P1118" s="22" t="n">
        <v>7.55</v>
      </c>
      <c r="Q1118" s="22" t="s">
        <v>7740</v>
      </c>
      <c r="R1118" s="22"/>
    </row>
    <row r="1119" customFormat="false" ht="15" hidden="false" customHeight="false" outlineLevel="0" collapsed="false">
      <c r="A1119" s="22" t="s">
        <v>8516</v>
      </c>
      <c r="B1119" s="22" t="s">
        <v>188</v>
      </c>
      <c r="C1119" s="22" t="s">
        <v>7694</v>
      </c>
      <c r="D1119" s="22" t="s">
        <v>7000</v>
      </c>
      <c r="E1119" s="22" t="n">
        <v>70</v>
      </c>
      <c r="F1119" s="22" t="s">
        <v>7695</v>
      </c>
      <c r="G1119" s="22" t="s">
        <v>7696</v>
      </c>
      <c r="H1119" s="22" t="n">
        <v>22</v>
      </c>
      <c r="I1119" s="22" t="s">
        <v>7697</v>
      </c>
      <c r="J1119" s="22" t="s">
        <v>6577</v>
      </c>
      <c r="K1119" s="22" t="s">
        <v>7009</v>
      </c>
      <c r="L1119" s="22" t="s">
        <v>3375</v>
      </c>
      <c r="M1119" s="22" t="s">
        <v>3376</v>
      </c>
      <c r="N1119" s="22" t="s">
        <v>1718</v>
      </c>
      <c r="O1119" s="22" t="n">
        <v>25.3</v>
      </c>
      <c r="P1119" s="22" t="n">
        <v>7.55</v>
      </c>
      <c r="Q1119" s="22" t="s">
        <v>8517</v>
      </c>
      <c r="R1119" s="22"/>
    </row>
    <row r="1120" customFormat="false" ht="15" hidden="false" customHeight="false" outlineLevel="0" collapsed="false">
      <c r="A1120" s="22" t="s">
        <v>8518</v>
      </c>
      <c r="B1120" s="22" t="s">
        <v>188</v>
      </c>
      <c r="C1120" s="22" t="s">
        <v>7694</v>
      </c>
      <c r="D1120" s="22" t="s">
        <v>7000</v>
      </c>
      <c r="E1120" s="22" t="n">
        <v>28</v>
      </c>
      <c r="F1120" s="22" t="s">
        <v>6574</v>
      </c>
      <c r="G1120" s="22" t="s">
        <v>7696</v>
      </c>
      <c r="H1120" s="22" t="n">
        <v>10</v>
      </c>
      <c r="I1120" s="22" t="s">
        <v>6576</v>
      </c>
      <c r="J1120" s="22" t="s">
        <v>6577</v>
      </c>
      <c r="K1120" s="22" t="s">
        <v>7012</v>
      </c>
      <c r="L1120" s="22" t="s">
        <v>2464</v>
      </c>
      <c r="M1120" s="22" t="s">
        <v>2465</v>
      </c>
      <c r="N1120" s="22" t="s">
        <v>579</v>
      </c>
      <c r="O1120" s="22" t="n">
        <v>48.9</v>
      </c>
      <c r="P1120" s="22" t="n">
        <v>7.55</v>
      </c>
      <c r="Q1120" s="22" t="s">
        <v>8446</v>
      </c>
      <c r="R1120" s="22"/>
    </row>
    <row r="1121" customFormat="false" ht="15" hidden="false" customHeight="false" outlineLevel="0" collapsed="false">
      <c r="A1121" s="22" t="s">
        <v>8519</v>
      </c>
      <c r="B1121" s="22" t="s">
        <v>188</v>
      </c>
      <c r="C1121" s="22" t="s">
        <v>7694</v>
      </c>
      <c r="D1121" s="22" t="s">
        <v>7000</v>
      </c>
      <c r="E1121" s="22" t="n">
        <v>28</v>
      </c>
      <c r="F1121" s="22" t="s">
        <v>6574</v>
      </c>
      <c r="G1121" s="22" t="s">
        <v>7696</v>
      </c>
      <c r="H1121" s="22" t="n">
        <v>10</v>
      </c>
      <c r="I1121" s="22" t="s">
        <v>6576</v>
      </c>
      <c r="J1121" s="22" t="s">
        <v>6577</v>
      </c>
      <c r="K1121" s="22" t="s">
        <v>7014</v>
      </c>
      <c r="L1121" s="22" t="s">
        <v>3392</v>
      </c>
      <c r="M1121" s="22" t="s">
        <v>3393</v>
      </c>
      <c r="N1121" s="22" t="s">
        <v>3394</v>
      </c>
      <c r="O1121" s="22" t="n">
        <v>44.5</v>
      </c>
      <c r="P1121" s="22" t="n">
        <v>7.55</v>
      </c>
      <c r="Q1121" s="22" t="s">
        <v>8520</v>
      </c>
      <c r="R1121" s="22"/>
    </row>
    <row r="1122" customFormat="false" ht="15" hidden="false" customHeight="false" outlineLevel="0" collapsed="false">
      <c r="A1122" s="22" t="s">
        <v>8521</v>
      </c>
      <c r="B1122" s="22" t="s">
        <v>188</v>
      </c>
      <c r="C1122" s="22" t="s">
        <v>7694</v>
      </c>
      <c r="D1122" s="22" t="s">
        <v>7000</v>
      </c>
      <c r="E1122" s="22" t="n">
        <v>45</v>
      </c>
      <c r="F1122" s="22" t="s">
        <v>7704</v>
      </c>
      <c r="G1122" s="22" t="s">
        <v>7696</v>
      </c>
      <c r="H1122" s="22" t="n">
        <v>16</v>
      </c>
      <c r="I1122" s="22" t="s">
        <v>7705</v>
      </c>
      <c r="J1122" s="22" t="s">
        <v>6577</v>
      </c>
      <c r="K1122" s="22" t="s">
        <v>7017</v>
      </c>
      <c r="L1122" s="22" t="s">
        <v>2519</v>
      </c>
      <c r="M1122" s="22" t="s">
        <v>2520</v>
      </c>
      <c r="N1122" s="22" t="s">
        <v>1172</v>
      </c>
      <c r="O1122" s="22" t="n">
        <v>38.7</v>
      </c>
      <c r="P1122" s="22" t="n">
        <v>7.55</v>
      </c>
      <c r="Q1122" s="22" t="s">
        <v>7940</v>
      </c>
      <c r="R1122" s="22"/>
    </row>
    <row r="1123" customFormat="false" ht="15" hidden="false" customHeight="false" outlineLevel="0" collapsed="false">
      <c r="A1123" s="22" t="s">
        <v>8522</v>
      </c>
      <c r="B1123" s="22" t="s">
        <v>188</v>
      </c>
      <c r="C1123" s="22" t="s">
        <v>7694</v>
      </c>
      <c r="D1123" s="22" t="s">
        <v>7000</v>
      </c>
      <c r="E1123" s="22" t="n">
        <v>24</v>
      </c>
      <c r="F1123" s="22" t="s">
        <v>6574</v>
      </c>
      <c r="G1123" s="22" t="s">
        <v>7696</v>
      </c>
      <c r="H1123" s="22" t="n">
        <v>9</v>
      </c>
      <c r="I1123" s="22" t="s">
        <v>6576</v>
      </c>
      <c r="J1123" s="22" t="s">
        <v>6577</v>
      </c>
      <c r="K1123" s="22" t="s">
        <v>7020</v>
      </c>
      <c r="L1123" s="22" t="s">
        <v>2785</v>
      </c>
      <c r="M1123" s="22" t="s">
        <v>2786</v>
      </c>
      <c r="N1123" s="22" t="s">
        <v>321</v>
      </c>
      <c r="O1123" s="22" t="n">
        <v>25.7</v>
      </c>
      <c r="P1123" s="22" t="n">
        <v>7.55</v>
      </c>
      <c r="Q1123" s="22" t="s">
        <v>7400</v>
      </c>
      <c r="R1123" s="22"/>
    </row>
    <row r="1124" customFormat="false" ht="15" hidden="false" customHeight="false" outlineLevel="0" collapsed="false">
      <c r="A1124" s="22" t="s">
        <v>8523</v>
      </c>
      <c r="B1124" s="22" t="s">
        <v>188</v>
      </c>
      <c r="C1124" s="22" t="s">
        <v>7694</v>
      </c>
      <c r="D1124" s="22" t="s">
        <v>7000</v>
      </c>
      <c r="E1124" s="22" t="n">
        <v>28</v>
      </c>
      <c r="F1124" s="22" t="s">
        <v>6574</v>
      </c>
      <c r="G1124" s="22" t="s">
        <v>7696</v>
      </c>
      <c r="H1124" s="22" t="n">
        <v>10</v>
      </c>
      <c r="I1124" s="22" t="s">
        <v>6576</v>
      </c>
      <c r="J1124" s="22" t="s">
        <v>6577</v>
      </c>
      <c r="K1124" s="22" t="s">
        <v>7023</v>
      </c>
      <c r="L1124" s="22" t="s">
        <v>5893</v>
      </c>
      <c r="M1124" s="22" t="s">
        <v>5894</v>
      </c>
      <c r="N1124" s="22" t="s">
        <v>723</v>
      </c>
      <c r="O1124" s="22" t="n">
        <v>27.1</v>
      </c>
      <c r="P1124" s="22" t="n">
        <v>7.55</v>
      </c>
      <c r="Q1124" s="22" t="s">
        <v>8121</v>
      </c>
      <c r="R1124" s="22"/>
    </row>
    <row r="1125" customFormat="false" ht="15" hidden="false" customHeight="false" outlineLevel="0" collapsed="false">
      <c r="A1125" s="22" t="s">
        <v>8524</v>
      </c>
      <c r="B1125" s="22" t="s">
        <v>188</v>
      </c>
      <c r="C1125" s="22" t="s">
        <v>7694</v>
      </c>
      <c r="D1125" s="22" t="s">
        <v>7000</v>
      </c>
      <c r="E1125" s="22" t="n">
        <v>50</v>
      </c>
      <c r="F1125" s="22" t="s">
        <v>7704</v>
      </c>
      <c r="G1125" s="22" t="s">
        <v>7696</v>
      </c>
      <c r="H1125" s="22" t="n">
        <v>18</v>
      </c>
      <c r="I1125" s="22" t="s">
        <v>7705</v>
      </c>
      <c r="J1125" s="22" t="s">
        <v>6577</v>
      </c>
      <c r="K1125" s="22" t="s">
        <v>7026</v>
      </c>
      <c r="L1125" s="22" t="s">
        <v>1559</v>
      </c>
      <c r="M1125" s="22" t="s">
        <v>1560</v>
      </c>
      <c r="N1125" s="22" t="s">
        <v>266</v>
      </c>
      <c r="O1125" s="22" t="n">
        <v>36.7</v>
      </c>
      <c r="P1125" s="22" t="n">
        <v>7.55</v>
      </c>
      <c r="Q1125" s="22" t="s">
        <v>8119</v>
      </c>
      <c r="R1125" s="22"/>
    </row>
    <row r="1126" customFormat="false" ht="15" hidden="false" customHeight="false" outlineLevel="0" collapsed="false">
      <c r="A1126" s="22" t="s">
        <v>8525</v>
      </c>
      <c r="B1126" s="22" t="s">
        <v>188</v>
      </c>
      <c r="C1126" s="22" t="s">
        <v>7694</v>
      </c>
      <c r="D1126" s="22" t="s">
        <v>7000</v>
      </c>
      <c r="E1126" s="22" t="n">
        <v>24</v>
      </c>
      <c r="F1126" s="22" t="s">
        <v>6574</v>
      </c>
      <c r="G1126" s="22" t="s">
        <v>7696</v>
      </c>
      <c r="H1126" s="22" t="n">
        <v>9</v>
      </c>
      <c r="I1126" s="22" t="s">
        <v>6576</v>
      </c>
      <c r="J1126" s="22" t="s">
        <v>6577</v>
      </c>
      <c r="K1126" s="22" t="s">
        <v>7029</v>
      </c>
      <c r="L1126" s="22" t="s">
        <v>6455</v>
      </c>
      <c r="M1126" s="22" t="s">
        <v>6456</v>
      </c>
      <c r="N1126" s="22" t="s">
        <v>885</v>
      </c>
      <c r="O1126" s="22" t="n">
        <v>49.2</v>
      </c>
      <c r="P1126" s="22" t="n">
        <v>7.55</v>
      </c>
      <c r="Q1126" s="22" t="s">
        <v>7153</v>
      </c>
      <c r="R1126" s="22"/>
    </row>
    <row r="1127" customFormat="false" ht="15" hidden="false" customHeight="false" outlineLevel="0" collapsed="false">
      <c r="A1127" s="22" t="s">
        <v>8526</v>
      </c>
      <c r="B1127" s="22" t="s">
        <v>188</v>
      </c>
      <c r="C1127" s="22" t="s">
        <v>7694</v>
      </c>
      <c r="D1127" s="22" t="s">
        <v>7000</v>
      </c>
      <c r="E1127" s="22" t="n">
        <v>70</v>
      </c>
      <c r="F1127" s="22" t="s">
        <v>7695</v>
      </c>
      <c r="G1127" s="22" t="s">
        <v>7696</v>
      </c>
      <c r="H1127" s="22" t="n">
        <v>22</v>
      </c>
      <c r="I1127" s="22" t="s">
        <v>7697</v>
      </c>
      <c r="J1127" s="22" t="s">
        <v>6577</v>
      </c>
      <c r="K1127" s="22" t="s">
        <v>7031</v>
      </c>
      <c r="L1127" s="22" t="s">
        <v>5235</v>
      </c>
      <c r="M1127" s="22" t="s">
        <v>5236</v>
      </c>
      <c r="N1127" s="22" t="s">
        <v>588</v>
      </c>
      <c r="O1127" s="22" t="n">
        <v>20.5</v>
      </c>
      <c r="P1127" s="22" t="n">
        <v>7.55</v>
      </c>
      <c r="Q1127" s="22" t="s">
        <v>8100</v>
      </c>
      <c r="R1127" s="22"/>
    </row>
    <row r="1128" customFormat="false" ht="15" hidden="false" customHeight="false" outlineLevel="0" collapsed="false">
      <c r="A1128" s="22" t="s">
        <v>8527</v>
      </c>
      <c r="B1128" s="22" t="s">
        <v>188</v>
      </c>
      <c r="C1128" s="22" t="s">
        <v>7694</v>
      </c>
      <c r="D1128" s="22" t="s">
        <v>7000</v>
      </c>
      <c r="E1128" s="22" t="n">
        <v>60</v>
      </c>
      <c r="F1128" s="22" t="s">
        <v>7695</v>
      </c>
      <c r="G1128" s="22" t="s">
        <v>7696</v>
      </c>
      <c r="H1128" s="22" t="n">
        <v>20</v>
      </c>
      <c r="I1128" s="22" t="s">
        <v>7697</v>
      </c>
      <c r="J1128" s="22" t="s">
        <v>6577</v>
      </c>
      <c r="K1128" s="22" t="s">
        <v>7033</v>
      </c>
      <c r="L1128" s="22" t="s">
        <v>5760</v>
      </c>
      <c r="M1128" s="22" t="s">
        <v>5761</v>
      </c>
      <c r="N1128" s="22" t="s">
        <v>364</v>
      </c>
      <c r="O1128" s="22" t="n">
        <v>42</v>
      </c>
      <c r="P1128" s="22" t="n">
        <v>7.55</v>
      </c>
      <c r="Q1128" s="22" t="s">
        <v>7824</v>
      </c>
      <c r="R1128" s="22"/>
    </row>
    <row r="1129" customFormat="false" ht="15" hidden="false" customHeight="false" outlineLevel="0" collapsed="false">
      <c r="A1129" s="22" t="s">
        <v>8528</v>
      </c>
      <c r="B1129" s="22" t="s">
        <v>188</v>
      </c>
      <c r="C1129" s="22" t="s">
        <v>7694</v>
      </c>
      <c r="D1129" s="22" t="s">
        <v>7000</v>
      </c>
      <c r="E1129" s="22" t="n">
        <v>70</v>
      </c>
      <c r="F1129" s="22" t="s">
        <v>7695</v>
      </c>
      <c r="G1129" s="22" t="s">
        <v>7696</v>
      </c>
      <c r="H1129" s="22" t="n">
        <v>22</v>
      </c>
      <c r="I1129" s="22" t="s">
        <v>7697</v>
      </c>
      <c r="J1129" s="22" t="s">
        <v>6577</v>
      </c>
      <c r="K1129" s="22" t="s">
        <v>7036</v>
      </c>
      <c r="L1129" s="22" t="s">
        <v>5067</v>
      </c>
      <c r="M1129" s="22" t="s">
        <v>5068</v>
      </c>
      <c r="N1129" s="22" t="s">
        <v>654</v>
      </c>
      <c r="O1129" s="22" t="n">
        <v>24.4</v>
      </c>
      <c r="P1129" s="22" t="n">
        <v>7.55</v>
      </c>
      <c r="Q1129" s="22" t="s">
        <v>7015</v>
      </c>
      <c r="R1129" s="22"/>
    </row>
    <row r="1130" customFormat="false" ht="15" hidden="false" customHeight="false" outlineLevel="0" collapsed="false">
      <c r="A1130" s="22" t="s">
        <v>8529</v>
      </c>
      <c r="B1130" s="22" t="s">
        <v>188</v>
      </c>
      <c r="C1130" s="22" t="s">
        <v>7694</v>
      </c>
      <c r="D1130" s="22" t="s">
        <v>7000</v>
      </c>
      <c r="E1130" s="22" t="n">
        <v>28</v>
      </c>
      <c r="F1130" s="22" t="s">
        <v>6574</v>
      </c>
      <c r="G1130" s="22" t="s">
        <v>7696</v>
      </c>
      <c r="H1130" s="22" t="n">
        <v>10</v>
      </c>
      <c r="I1130" s="22" t="s">
        <v>6576</v>
      </c>
      <c r="J1130" s="22" t="s">
        <v>6577</v>
      </c>
      <c r="K1130" s="22" t="s">
        <v>7038</v>
      </c>
      <c r="L1130" s="22" t="s">
        <v>5399</v>
      </c>
      <c r="M1130" s="22" t="s">
        <v>5400</v>
      </c>
      <c r="N1130" s="22" t="s">
        <v>1201</v>
      </c>
      <c r="O1130" s="22" t="n">
        <v>56.7</v>
      </c>
      <c r="P1130" s="22" t="n">
        <v>7.55</v>
      </c>
      <c r="Q1130" s="22" t="s">
        <v>7625</v>
      </c>
      <c r="R1130" s="22"/>
    </row>
    <row r="1131" customFormat="false" ht="15" hidden="false" customHeight="false" outlineLevel="0" collapsed="false">
      <c r="A1131" s="22" t="s">
        <v>8530</v>
      </c>
      <c r="B1131" s="22" t="s">
        <v>188</v>
      </c>
      <c r="C1131" s="22" t="s">
        <v>7694</v>
      </c>
      <c r="D1131" s="22" t="s">
        <v>7000</v>
      </c>
      <c r="E1131" s="22" t="n">
        <v>24</v>
      </c>
      <c r="F1131" s="22" t="s">
        <v>6574</v>
      </c>
      <c r="G1131" s="22" t="s">
        <v>7696</v>
      </c>
      <c r="H1131" s="22" t="n">
        <v>9</v>
      </c>
      <c r="I1131" s="22" t="s">
        <v>6576</v>
      </c>
      <c r="J1131" s="22" t="s">
        <v>6577</v>
      </c>
      <c r="K1131" s="22" t="s">
        <v>7041</v>
      </c>
      <c r="L1131" s="22" t="s">
        <v>4523</v>
      </c>
      <c r="M1131" s="22" t="s">
        <v>4524</v>
      </c>
      <c r="N1131" s="22" t="s">
        <v>599</v>
      </c>
      <c r="O1131" s="22" t="n">
        <v>61.6</v>
      </c>
      <c r="P1131" s="22" t="n">
        <v>7.55</v>
      </c>
      <c r="Q1131" s="22" t="s">
        <v>7116</v>
      </c>
      <c r="R1131" s="22"/>
    </row>
    <row r="1132" customFormat="false" ht="15" hidden="false" customHeight="false" outlineLevel="0" collapsed="false">
      <c r="A1132" s="22" t="s">
        <v>8531</v>
      </c>
      <c r="B1132" s="22" t="s">
        <v>188</v>
      </c>
      <c r="C1132" s="22" t="s">
        <v>7694</v>
      </c>
      <c r="D1132" s="22" t="s">
        <v>7000</v>
      </c>
      <c r="E1132" s="22" t="n">
        <v>60</v>
      </c>
      <c r="F1132" s="22" t="s">
        <v>7695</v>
      </c>
      <c r="G1132" s="22" t="s">
        <v>7696</v>
      </c>
      <c r="H1132" s="22" t="n">
        <v>20</v>
      </c>
      <c r="I1132" s="22" t="s">
        <v>7697</v>
      </c>
      <c r="J1132" s="22" t="s">
        <v>6577</v>
      </c>
      <c r="K1132" s="22" t="s">
        <v>7044</v>
      </c>
      <c r="L1132" s="22" t="s">
        <v>6063</v>
      </c>
      <c r="M1132" s="22" t="s">
        <v>6064</v>
      </c>
      <c r="N1132" s="22" t="s">
        <v>2241</v>
      </c>
      <c r="O1132" s="22" t="n">
        <v>54.8</v>
      </c>
      <c r="P1132" s="22" t="n">
        <v>7.55</v>
      </c>
      <c r="Q1132" s="22" t="s">
        <v>7341</v>
      </c>
      <c r="R1132" s="22"/>
    </row>
    <row r="1133" customFormat="false" ht="15" hidden="false" customHeight="false" outlineLevel="0" collapsed="false">
      <c r="A1133" s="22" t="s">
        <v>8532</v>
      </c>
      <c r="B1133" s="22" t="s">
        <v>188</v>
      </c>
      <c r="C1133" s="22" t="s">
        <v>7694</v>
      </c>
      <c r="D1133" s="22" t="s">
        <v>7000</v>
      </c>
      <c r="E1133" s="22" t="n">
        <v>80</v>
      </c>
      <c r="F1133" s="22" t="s">
        <v>7695</v>
      </c>
      <c r="G1133" s="22" t="s">
        <v>7696</v>
      </c>
      <c r="H1133" s="22" t="n">
        <v>24</v>
      </c>
      <c r="I1133" s="22" t="s">
        <v>7697</v>
      </c>
      <c r="J1133" s="22" t="s">
        <v>6577</v>
      </c>
      <c r="K1133" s="22" t="s">
        <v>7046</v>
      </c>
      <c r="L1133" s="22" t="s">
        <v>487</v>
      </c>
      <c r="M1133" s="22" t="s">
        <v>488</v>
      </c>
      <c r="N1133" s="22" t="s">
        <v>489</v>
      </c>
      <c r="O1133" s="22" t="n">
        <v>20.2</v>
      </c>
      <c r="P1133" s="22" t="n">
        <v>7.55</v>
      </c>
      <c r="Q1133" s="22" t="s">
        <v>6629</v>
      </c>
      <c r="R1133" s="22"/>
    </row>
    <row r="1134" customFormat="false" ht="15" hidden="false" customHeight="false" outlineLevel="0" collapsed="false">
      <c r="A1134" s="22" t="s">
        <v>8533</v>
      </c>
      <c r="B1134" s="22" t="s">
        <v>188</v>
      </c>
      <c r="C1134" s="22" t="s">
        <v>7694</v>
      </c>
      <c r="D1134" s="22" t="s">
        <v>7000</v>
      </c>
      <c r="E1134" s="22" t="n">
        <v>28</v>
      </c>
      <c r="F1134" s="22" t="s">
        <v>6574</v>
      </c>
      <c r="G1134" s="22" t="s">
        <v>7696</v>
      </c>
      <c r="H1134" s="22" t="n">
        <v>10</v>
      </c>
      <c r="I1134" s="22" t="s">
        <v>6576</v>
      </c>
      <c r="J1134" s="22" t="s">
        <v>6577</v>
      </c>
      <c r="K1134" s="22" t="s">
        <v>7048</v>
      </c>
      <c r="L1134" s="22" t="s">
        <v>5137</v>
      </c>
      <c r="M1134" s="22" t="s">
        <v>5138</v>
      </c>
      <c r="N1134" s="22" t="s">
        <v>1066</v>
      </c>
      <c r="O1134" s="22" t="n">
        <v>59</v>
      </c>
      <c r="P1134" s="22" t="n">
        <v>7.55</v>
      </c>
      <c r="Q1134" s="22" t="s">
        <v>6726</v>
      </c>
      <c r="R1134" s="22"/>
    </row>
    <row r="1135" customFormat="false" ht="15" hidden="false" customHeight="false" outlineLevel="0" collapsed="false">
      <c r="A1135" s="22" t="s">
        <v>8534</v>
      </c>
      <c r="B1135" s="22" t="s">
        <v>188</v>
      </c>
      <c r="C1135" s="22" t="s">
        <v>7694</v>
      </c>
      <c r="D1135" s="22" t="s">
        <v>7000</v>
      </c>
      <c r="E1135" s="22" t="n">
        <v>28</v>
      </c>
      <c r="F1135" s="22" t="s">
        <v>6574</v>
      </c>
      <c r="G1135" s="22" t="s">
        <v>7696</v>
      </c>
      <c r="H1135" s="22" t="n">
        <v>10</v>
      </c>
      <c r="I1135" s="22" t="s">
        <v>6576</v>
      </c>
      <c r="J1135" s="22" t="s">
        <v>6577</v>
      </c>
      <c r="K1135" s="22" t="s">
        <v>7051</v>
      </c>
      <c r="L1135" s="22" t="s">
        <v>4022</v>
      </c>
      <c r="M1135" s="22" t="s">
        <v>4023</v>
      </c>
      <c r="N1135" s="22" t="s">
        <v>983</v>
      </c>
      <c r="O1135" s="22" t="n">
        <v>31.5</v>
      </c>
      <c r="P1135" s="22" t="n">
        <v>7.55</v>
      </c>
      <c r="Q1135" s="22" t="s">
        <v>8496</v>
      </c>
      <c r="R1135" s="22"/>
    </row>
    <row r="1136" customFormat="false" ht="15" hidden="false" customHeight="false" outlineLevel="0" collapsed="false">
      <c r="A1136" s="22" t="s">
        <v>8535</v>
      </c>
      <c r="B1136" s="22" t="s">
        <v>188</v>
      </c>
      <c r="C1136" s="22" t="s">
        <v>7694</v>
      </c>
      <c r="D1136" s="22" t="s">
        <v>7000</v>
      </c>
      <c r="E1136" s="22" t="n">
        <v>28</v>
      </c>
      <c r="F1136" s="22" t="s">
        <v>6574</v>
      </c>
      <c r="G1136" s="22" t="s">
        <v>7696</v>
      </c>
      <c r="H1136" s="22" t="n">
        <v>10</v>
      </c>
      <c r="I1136" s="22" t="s">
        <v>6576</v>
      </c>
      <c r="J1136" s="22" t="s">
        <v>6577</v>
      </c>
      <c r="K1136" s="22" t="s">
        <v>7575</v>
      </c>
      <c r="L1136" s="22" t="s">
        <v>3237</v>
      </c>
      <c r="M1136" s="22" t="s">
        <v>3238</v>
      </c>
      <c r="N1136" s="22" t="s">
        <v>463</v>
      </c>
      <c r="O1136" s="22" t="n">
        <v>29.7</v>
      </c>
      <c r="P1136" s="22" t="n">
        <v>7.55</v>
      </c>
      <c r="Q1136" s="22" t="s">
        <v>7747</v>
      </c>
      <c r="R1136" s="22"/>
    </row>
    <row r="1137" customFormat="false" ht="15" hidden="false" customHeight="false" outlineLevel="0" collapsed="false">
      <c r="A1137" s="22" t="s">
        <v>8536</v>
      </c>
      <c r="B1137" s="22" t="s">
        <v>188</v>
      </c>
      <c r="C1137" s="22" t="s">
        <v>7694</v>
      </c>
      <c r="D1137" s="22" t="s">
        <v>7000</v>
      </c>
      <c r="E1137" s="22" t="n">
        <v>24</v>
      </c>
      <c r="F1137" s="22" t="s">
        <v>6574</v>
      </c>
      <c r="G1137" s="22" t="s">
        <v>7696</v>
      </c>
      <c r="H1137" s="22" t="n">
        <v>9</v>
      </c>
      <c r="I1137" s="22" t="s">
        <v>6576</v>
      </c>
      <c r="J1137" s="22" t="s">
        <v>6577</v>
      </c>
      <c r="K1137" s="22" t="s">
        <v>7056</v>
      </c>
      <c r="L1137" s="22" t="s">
        <v>5401</v>
      </c>
      <c r="M1137" s="22" t="s">
        <v>5402</v>
      </c>
      <c r="N1137" s="22" t="s">
        <v>967</v>
      </c>
      <c r="O1137" s="22" t="n">
        <v>54</v>
      </c>
      <c r="P1137" s="22" t="n">
        <v>7.55</v>
      </c>
      <c r="Q1137" s="22" t="s">
        <v>8537</v>
      </c>
      <c r="R1137" s="22"/>
    </row>
    <row r="1138" customFormat="false" ht="15" hidden="false" customHeight="false" outlineLevel="0" collapsed="false">
      <c r="A1138" s="22" t="s">
        <v>8538</v>
      </c>
      <c r="B1138" s="22" t="s">
        <v>188</v>
      </c>
      <c r="C1138" s="22" t="s">
        <v>7694</v>
      </c>
      <c r="D1138" s="22" t="s">
        <v>7000</v>
      </c>
      <c r="E1138" s="22" t="n">
        <v>24</v>
      </c>
      <c r="F1138" s="22" t="s">
        <v>6574</v>
      </c>
      <c r="G1138" s="22" t="s">
        <v>7696</v>
      </c>
      <c r="H1138" s="22" t="n">
        <v>9</v>
      </c>
      <c r="I1138" s="22" t="s">
        <v>6576</v>
      </c>
      <c r="J1138" s="22" t="s">
        <v>6577</v>
      </c>
      <c r="K1138" s="22" t="s">
        <v>7059</v>
      </c>
      <c r="L1138" s="22" t="s">
        <v>3558</v>
      </c>
      <c r="M1138" s="22" t="s">
        <v>3559</v>
      </c>
      <c r="N1138" s="22" t="s">
        <v>778</v>
      </c>
      <c r="O1138" s="22" t="n">
        <v>40.1</v>
      </c>
      <c r="P1138" s="22" t="n">
        <v>7.55</v>
      </c>
      <c r="Q1138" s="22" t="s">
        <v>7392</v>
      </c>
      <c r="R1138" s="22"/>
    </row>
    <row r="1139" customFormat="false" ht="15" hidden="false" customHeight="false" outlineLevel="0" collapsed="false">
      <c r="A1139" s="22" t="s">
        <v>8539</v>
      </c>
      <c r="B1139" s="22" t="s">
        <v>188</v>
      </c>
      <c r="C1139" s="22" t="s">
        <v>7694</v>
      </c>
      <c r="D1139" s="22" t="s">
        <v>7000</v>
      </c>
      <c r="E1139" s="22" t="n">
        <v>40</v>
      </c>
      <c r="F1139" s="22" t="s">
        <v>6581</v>
      </c>
      <c r="G1139" s="22" t="s">
        <v>7696</v>
      </c>
      <c r="H1139" s="22" t="n">
        <v>14</v>
      </c>
      <c r="I1139" s="22" t="s">
        <v>6582</v>
      </c>
      <c r="J1139" s="22" t="s">
        <v>6577</v>
      </c>
      <c r="K1139" s="22" t="s">
        <v>7061</v>
      </c>
      <c r="L1139" s="22" t="s">
        <v>5843</v>
      </c>
      <c r="M1139" s="22" t="s">
        <v>5844</v>
      </c>
      <c r="N1139" s="22" t="s">
        <v>4911</v>
      </c>
      <c r="O1139" s="22" t="n">
        <v>58.8</v>
      </c>
      <c r="P1139" s="22" t="n">
        <v>7.55</v>
      </c>
      <c r="Q1139" s="22" t="s">
        <v>7611</v>
      </c>
      <c r="R1139" s="22"/>
    </row>
    <row r="1140" customFormat="false" ht="15" hidden="false" customHeight="false" outlineLevel="0" collapsed="false">
      <c r="A1140" s="22" t="s">
        <v>8540</v>
      </c>
      <c r="B1140" s="22" t="s">
        <v>188</v>
      </c>
      <c r="C1140" s="22" t="s">
        <v>7694</v>
      </c>
      <c r="D1140" s="22" t="s">
        <v>7063</v>
      </c>
      <c r="E1140" s="22" t="n">
        <v>32</v>
      </c>
      <c r="F1140" s="22" t="s">
        <v>6581</v>
      </c>
      <c r="G1140" s="22" t="s">
        <v>7696</v>
      </c>
      <c r="H1140" s="22" t="n">
        <v>12</v>
      </c>
      <c r="I1140" s="22" t="s">
        <v>6576</v>
      </c>
      <c r="J1140" s="22" t="s">
        <v>6577</v>
      </c>
      <c r="K1140" s="22" t="s">
        <v>7064</v>
      </c>
      <c r="L1140" s="22" t="s">
        <v>531</v>
      </c>
      <c r="M1140" s="22" t="s">
        <v>532</v>
      </c>
      <c r="N1140" s="22" t="s">
        <v>533</v>
      </c>
      <c r="O1140" s="22" t="n">
        <v>44.8</v>
      </c>
      <c r="P1140" s="22" t="n">
        <v>7.55</v>
      </c>
      <c r="Q1140" s="22" t="s">
        <v>6672</v>
      </c>
      <c r="R1140" s="22"/>
    </row>
    <row r="1141" customFormat="false" ht="15" hidden="false" customHeight="false" outlineLevel="0" collapsed="false">
      <c r="A1141" s="22" t="s">
        <v>8541</v>
      </c>
      <c r="B1141" s="22" t="s">
        <v>188</v>
      </c>
      <c r="C1141" s="22" t="s">
        <v>7694</v>
      </c>
      <c r="D1141" s="22" t="s">
        <v>7063</v>
      </c>
      <c r="E1141" s="22" t="n">
        <v>45</v>
      </c>
      <c r="F1141" s="22" t="s">
        <v>7704</v>
      </c>
      <c r="G1141" s="22" t="s">
        <v>7696</v>
      </c>
      <c r="H1141" s="22" t="n">
        <v>16</v>
      </c>
      <c r="I1141" s="22" t="s">
        <v>7705</v>
      </c>
      <c r="J1141" s="22" t="s">
        <v>6577</v>
      </c>
      <c r="K1141" s="22" t="s">
        <v>7067</v>
      </c>
      <c r="L1141" s="22" t="s">
        <v>6285</v>
      </c>
      <c r="M1141" s="22" t="s">
        <v>6286</v>
      </c>
      <c r="N1141" s="22" t="s">
        <v>1245</v>
      </c>
      <c r="O1141" s="22" t="n">
        <v>34.3</v>
      </c>
      <c r="P1141" s="22" t="n">
        <v>7.55</v>
      </c>
      <c r="Q1141" s="22" t="s">
        <v>7193</v>
      </c>
      <c r="R1141" s="22"/>
    </row>
    <row r="1142" customFormat="false" ht="15" hidden="false" customHeight="false" outlineLevel="0" collapsed="false">
      <c r="A1142" s="22" t="s">
        <v>8542</v>
      </c>
      <c r="B1142" s="22" t="s">
        <v>188</v>
      </c>
      <c r="C1142" s="22" t="s">
        <v>7694</v>
      </c>
      <c r="D1142" s="22" t="s">
        <v>7063</v>
      </c>
      <c r="E1142" s="22" t="n">
        <v>32</v>
      </c>
      <c r="F1142" s="22" t="s">
        <v>6581</v>
      </c>
      <c r="G1142" s="22" t="s">
        <v>7696</v>
      </c>
      <c r="H1142" s="22" t="n">
        <v>12</v>
      </c>
      <c r="I1142" s="22" t="s">
        <v>6576</v>
      </c>
      <c r="J1142" s="22" t="s">
        <v>6577</v>
      </c>
      <c r="K1142" s="22" t="s">
        <v>7070</v>
      </c>
      <c r="L1142" s="22" t="s">
        <v>5367</v>
      </c>
      <c r="M1142" s="22" t="s">
        <v>5368</v>
      </c>
      <c r="N1142" s="22" t="s">
        <v>1198</v>
      </c>
      <c r="O1142" s="22" t="n">
        <v>57</v>
      </c>
      <c r="P1142" s="22" t="n">
        <v>7.55</v>
      </c>
      <c r="Q1142" s="22" t="s">
        <v>7604</v>
      </c>
      <c r="R1142" s="22"/>
    </row>
    <row r="1143" customFormat="false" ht="15" hidden="false" customHeight="false" outlineLevel="0" collapsed="false">
      <c r="A1143" s="22" t="s">
        <v>8543</v>
      </c>
      <c r="B1143" s="22" t="s">
        <v>188</v>
      </c>
      <c r="C1143" s="22" t="s">
        <v>7694</v>
      </c>
      <c r="D1143" s="22" t="s">
        <v>7063</v>
      </c>
      <c r="E1143" s="22" t="n">
        <v>24</v>
      </c>
      <c r="F1143" s="22" t="s">
        <v>6574</v>
      </c>
      <c r="G1143" s="22" t="s">
        <v>7696</v>
      </c>
      <c r="H1143" s="22" t="n">
        <v>9</v>
      </c>
      <c r="I1143" s="22" t="s">
        <v>6576</v>
      </c>
      <c r="J1143" s="22" t="s">
        <v>6577</v>
      </c>
      <c r="K1143" s="22" t="s">
        <v>7586</v>
      </c>
      <c r="L1143" s="22" t="s">
        <v>1128</v>
      </c>
      <c r="M1143" s="22" t="s">
        <v>1129</v>
      </c>
      <c r="N1143" s="22" t="s">
        <v>1130</v>
      </c>
      <c r="O1143" s="22" t="n">
        <v>44.8</v>
      </c>
      <c r="P1143" s="22" t="n">
        <v>7.55</v>
      </c>
      <c r="Q1143" s="22" t="s">
        <v>8401</v>
      </c>
      <c r="R1143" s="22"/>
    </row>
    <row r="1144" customFormat="false" ht="15" hidden="false" customHeight="false" outlineLevel="0" collapsed="false">
      <c r="A1144" s="22" t="s">
        <v>8544</v>
      </c>
      <c r="B1144" s="22" t="s">
        <v>188</v>
      </c>
      <c r="C1144" s="22" t="s">
        <v>7694</v>
      </c>
      <c r="D1144" s="22" t="s">
        <v>7063</v>
      </c>
      <c r="E1144" s="22" t="n">
        <v>24</v>
      </c>
      <c r="F1144" s="22" t="s">
        <v>6574</v>
      </c>
      <c r="G1144" s="22" t="s">
        <v>7696</v>
      </c>
      <c r="H1144" s="22" t="n">
        <v>9</v>
      </c>
      <c r="I1144" s="22" t="s">
        <v>6576</v>
      </c>
      <c r="J1144" s="22" t="s">
        <v>6577</v>
      </c>
      <c r="K1144" s="22" t="s">
        <v>7074</v>
      </c>
      <c r="L1144" s="22" t="s">
        <v>3001</v>
      </c>
      <c r="M1144" s="22" t="s">
        <v>3002</v>
      </c>
      <c r="N1144" s="22" t="s">
        <v>2238</v>
      </c>
      <c r="O1144" s="22" t="n">
        <v>21.9</v>
      </c>
      <c r="P1144" s="22" t="n">
        <v>7.55</v>
      </c>
      <c r="Q1144" s="22" t="s">
        <v>8545</v>
      </c>
      <c r="R1144" s="22"/>
    </row>
    <row r="1145" customFormat="false" ht="15" hidden="false" customHeight="false" outlineLevel="0" collapsed="false">
      <c r="A1145" s="22" t="s">
        <v>8546</v>
      </c>
      <c r="B1145" s="22" t="s">
        <v>188</v>
      </c>
      <c r="C1145" s="22" t="s">
        <v>7694</v>
      </c>
      <c r="D1145" s="22" t="s">
        <v>7063</v>
      </c>
      <c r="E1145" s="22" t="n">
        <v>28</v>
      </c>
      <c r="F1145" s="22" t="s">
        <v>6574</v>
      </c>
      <c r="G1145" s="22" t="s">
        <v>7696</v>
      </c>
      <c r="H1145" s="22" t="n">
        <v>10</v>
      </c>
      <c r="I1145" s="22" t="s">
        <v>6576</v>
      </c>
      <c r="J1145" s="22" t="s">
        <v>6577</v>
      </c>
      <c r="K1145" s="22" t="s">
        <v>7077</v>
      </c>
      <c r="L1145" s="22" t="s">
        <v>5782</v>
      </c>
      <c r="M1145" s="22" t="s">
        <v>5783</v>
      </c>
      <c r="N1145" s="22" t="s">
        <v>3273</v>
      </c>
      <c r="O1145" s="22" t="n">
        <v>61.1</v>
      </c>
      <c r="P1145" s="22" t="n">
        <v>7.55</v>
      </c>
      <c r="Q1145" s="22" t="s">
        <v>8190</v>
      </c>
      <c r="R1145" s="22"/>
    </row>
    <row r="1146" customFormat="false" ht="15" hidden="false" customHeight="false" outlineLevel="0" collapsed="false">
      <c r="A1146" s="22" t="s">
        <v>8547</v>
      </c>
      <c r="B1146" s="22" t="s">
        <v>188</v>
      </c>
      <c r="C1146" s="22" t="s">
        <v>7694</v>
      </c>
      <c r="D1146" s="22" t="s">
        <v>7063</v>
      </c>
      <c r="E1146" s="22" t="n">
        <v>50</v>
      </c>
      <c r="F1146" s="22" t="s">
        <v>7704</v>
      </c>
      <c r="G1146" s="22" t="s">
        <v>7696</v>
      </c>
      <c r="H1146" s="22" t="n">
        <v>18</v>
      </c>
      <c r="I1146" s="22" t="s">
        <v>7705</v>
      </c>
      <c r="J1146" s="22" t="s">
        <v>6613</v>
      </c>
      <c r="K1146" s="22"/>
      <c r="L1146" s="22"/>
      <c r="M1146" s="22"/>
      <c r="N1146" s="22"/>
      <c r="O1146" s="22"/>
      <c r="P1146" s="22" t="n">
        <v>7.55</v>
      </c>
      <c r="Q1146" s="22" t="s">
        <v>8548</v>
      </c>
      <c r="R1146" s="22"/>
    </row>
    <row r="1147" customFormat="false" ht="15" hidden="false" customHeight="false" outlineLevel="0" collapsed="false">
      <c r="A1147" s="22" t="s">
        <v>8549</v>
      </c>
      <c r="B1147" s="22" t="s">
        <v>188</v>
      </c>
      <c r="C1147" s="22" t="s">
        <v>7694</v>
      </c>
      <c r="D1147" s="22" t="s">
        <v>7063</v>
      </c>
      <c r="E1147" s="22" t="n">
        <v>28</v>
      </c>
      <c r="F1147" s="22" t="s">
        <v>6574</v>
      </c>
      <c r="G1147" s="22" t="s">
        <v>7696</v>
      </c>
      <c r="H1147" s="22" t="n">
        <v>10</v>
      </c>
      <c r="I1147" s="22" t="s">
        <v>6576</v>
      </c>
      <c r="J1147" s="22" t="s">
        <v>6577</v>
      </c>
      <c r="K1147" s="22" t="s">
        <v>7082</v>
      </c>
      <c r="L1147" s="22" t="s">
        <v>4575</v>
      </c>
      <c r="M1147" s="22" t="s">
        <v>4073</v>
      </c>
      <c r="N1147" s="22" t="s">
        <v>3368</v>
      </c>
      <c r="O1147" s="22" t="n">
        <v>22.2</v>
      </c>
      <c r="P1147" s="22" t="n">
        <v>7.55</v>
      </c>
      <c r="Q1147" s="22" t="s">
        <v>7727</v>
      </c>
      <c r="R1147" s="22"/>
    </row>
    <row r="1148" customFormat="false" ht="15" hidden="false" customHeight="false" outlineLevel="0" collapsed="false">
      <c r="A1148" s="22" t="s">
        <v>8550</v>
      </c>
      <c r="B1148" s="22" t="s">
        <v>188</v>
      </c>
      <c r="C1148" s="22" t="s">
        <v>7694</v>
      </c>
      <c r="D1148" s="22" t="s">
        <v>7063</v>
      </c>
      <c r="E1148" s="22" t="n">
        <v>45</v>
      </c>
      <c r="F1148" s="22" t="s">
        <v>7704</v>
      </c>
      <c r="G1148" s="22" t="s">
        <v>7696</v>
      </c>
      <c r="H1148" s="22" t="n">
        <v>16</v>
      </c>
      <c r="I1148" s="22" t="s">
        <v>7705</v>
      </c>
      <c r="J1148" s="22" t="s">
        <v>6577</v>
      </c>
      <c r="K1148" s="22" t="s">
        <v>7084</v>
      </c>
      <c r="L1148" s="22" t="s">
        <v>5176</v>
      </c>
      <c r="M1148" s="22" t="s">
        <v>5177</v>
      </c>
      <c r="N1148" s="22" t="s">
        <v>416</v>
      </c>
      <c r="O1148" s="22" t="n">
        <v>21.2</v>
      </c>
      <c r="P1148" s="22" t="n">
        <v>7.55</v>
      </c>
      <c r="Q1148" s="22" t="s">
        <v>7010</v>
      </c>
      <c r="R1148" s="22"/>
    </row>
    <row r="1149" customFormat="false" ht="15" hidden="false" customHeight="false" outlineLevel="0" collapsed="false">
      <c r="A1149" s="22" t="s">
        <v>8551</v>
      </c>
      <c r="B1149" s="22" t="s">
        <v>188</v>
      </c>
      <c r="C1149" s="22" t="s">
        <v>7694</v>
      </c>
      <c r="D1149" s="22" t="s">
        <v>7063</v>
      </c>
      <c r="E1149" s="22" t="n">
        <v>40</v>
      </c>
      <c r="F1149" s="22" t="s">
        <v>6581</v>
      </c>
      <c r="G1149" s="22" t="s">
        <v>7696</v>
      </c>
      <c r="H1149" s="22" t="n">
        <v>14</v>
      </c>
      <c r="I1149" s="22" t="s">
        <v>6582</v>
      </c>
      <c r="J1149" s="22" t="s">
        <v>6577</v>
      </c>
      <c r="K1149" s="22" t="s">
        <v>7597</v>
      </c>
      <c r="L1149" s="22" t="s">
        <v>4353</v>
      </c>
      <c r="M1149" s="22" t="s">
        <v>4354</v>
      </c>
      <c r="N1149" s="22" t="s">
        <v>1294</v>
      </c>
      <c r="O1149" s="22" t="n">
        <v>34.1</v>
      </c>
      <c r="P1149" s="22" t="n">
        <v>7.55</v>
      </c>
      <c r="Q1149" s="22" t="s">
        <v>6868</v>
      </c>
      <c r="R1149" s="22"/>
    </row>
    <row r="1150" customFormat="false" ht="15" hidden="false" customHeight="false" outlineLevel="0" collapsed="false">
      <c r="A1150" s="22" t="s">
        <v>8552</v>
      </c>
      <c r="B1150" s="22" t="s">
        <v>188</v>
      </c>
      <c r="C1150" s="22" t="s">
        <v>7694</v>
      </c>
      <c r="D1150" s="22" t="s">
        <v>7063</v>
      </c>
      <c r="E1150" s="22" t="n">
        <v>24</v>
      </c>
      <c r="F1150" s="22" t="s">
        <v>6574</v>
      </c>
      <c r="G1150" s="22" t="s">
        <v>7696</v>
      </c>
      <c r="H1150" s="22" t="n">
        <v>9</v>
      </c>
      <c r="I1150" s="22" t="s">
        <v>6576</v>
      </c>
      <c r="J1150" s="22" t="s">
        <v>6671</v>
      </c>
      <c r="K1150" s="22"/>
      <c r="L1150" s="22"/>
      <c r="M1150" s="22"/>
      <c r="N1150" s="22"/>
      <c r="O1150" s="22"/>
      <c r="P1150" s="22" t="n">
        <v>7.55</v>
      </c>
      <c r="Q1150" s="22" t="s">
        <v>7583</v>
      </c>
      <c r="R1150" s="22"/>
    </row>
    <row r="1151" customFormat="false" ht="15" hidden="false" customHeight="false" outlineLevel="0" collapsed="false">
      <c r="A1151" s="22" t="s">
        <v>8553</v>
      </c>
      <c r="B1151" s="22" t="s">
        <v>188</v>
      </c>
      <c r="C1151" s="22" t="s">
        <v>7694</v>
      </c>
      <c r="D1151" s="22" t="s">
        <v>7063</v>
      </c>
      <c r="E1151" s="22" t="n">
        <v>32</v>
      </c>
      <c r="F1151" s="22" t="s">
        <v>6581</v>
      </c>
      <c r="G1151" s="22" t="s">
        <v>7696</v>
      </c>
      <c r="H1151" s="22" t="n">
        <v>12</v>
      </c>
      <c r="I1151" s="22" t="s">
        <v>6576</v>
      </c>
      <c r="J1151" s="22" t="s">
        <v>6577</v>
      </c>
      <c r="K1151" s="22" t="s">
        <v>7092</v>
      </c>
      <c r="L1151" s="22" t="s">
        <v>2977</v>
      </c>
      <c r="M1151" s="22" t="s">
        <v>2978</v>
      </c>
      <c r="N1151" s="22" t="s">
        <v>1232</v>
      </c>
      <c r="O1151" s="22" t="n">
        <v>22.1</v>
      </c>
      <c r="P1151" s="22" t="n">
        <v>7.55</v>
      </c>
      <c r="Q1151" s="22" t="s">
        <v>8060</v>
      </c>
      <c r="R1151" s="22"/>
    </row>
    <row r="1152" customFormat="false" ht="15" hidden="false" customHeight="false" outlineLevel="0" collapsed="false">
      <c r="A1152" s="22" t="s">
        <v>8554</v>
      </c>
      <c r="B1152" s="22" t="s">
        <v>188</v>
      </c>
      <c r="C1152" s="22" t="s">
        <v>7694</v>
      </c>
      <c r="D1152" s="22" t="s">
        <v>7063</v>
      </c>
      <c r="E1152" s="22" t="n">
        <v>24</v>
      </c>
      <c r="F1152" s="22" t="s">
        <v>6574</v>
      </c>
      <c r="G1152" s="22" t="s">
        <v>7696</v>
      </c>
      <c r="H1152" s="22" t="n">
        <v>9</v>
      </c>
      <c r="I1152" s="22" t="s">
        <v>6576</v>
      </c>
      <c r="J1152" s="22" t="s">
        <v>6577</v>
      </c>
      <c r="K1152" s="22" t="s">
        <v>7094</v>
      </c>
      <c r="L1152" s="22" t="s">
        <v>1851</v>
      </c>
      <c r="M1152" s="22" t="s">
        <v>1852</v>
      </c>
      <c r="N1152" s="22" t="s">
        <v>1229</v>
      </c>
      <c r="O1152" s="22" t="n">
        <v>24.6</v>
      </c>
      <c r="P1152" s="22" t="n">
        <v>7.55</v>
      </c>
      <c r="Q1152" s="22" t="s">
        <v>8215</v>
      </c>
      <c r="R1152" s="22"/>
    </row>
    <row r="1153" customFormat="false" ht="15" hidden="false" customHeight="false" outlineLevel="0" collapsed="false">
      <c r="A1153" s="22" t="s">
        <v>8555</v>
      </c>
      <c r="B1153" s="22" t="s">
        <v>188</v>
      </c>
      <c r="C1153" s="22" t="s">
        <v>7694</v>
      </c>
      <c r="D1153" s="22" t="s">
        <v>7063</v>
      </c>
      <c r="E1153" s="22" t="n">
        <v>28</v>
      </c>
      <c r="F1153" s="22" t="s">
        <v>6574</v>
      </c>
      <c r="G1153" s="22" t="s">
        <v>7696</v>
      </c>
      <c r="H1153" s="22" t="n">
        <v>10</v>
      </c>
      <c r="I1153" s="22" t="s">
        <v>6576</v>
      </c>
      <c r="J1153" s="22" t="s">
        <v>6577</v>
      </c>
      <c r="K1153" s="22" t="s">
        <v>7097</v>
      </c>
      <c r="L1153" s="22" t="s">
        <v>1751</v>
      </c>
      <c r="M1153" s="22" t="s">
        <v>1752</v>
      </c>
      <c r="N1153" s="22" t="s">
        <v>1753</v>
      </c>
      <c r="O1153" s="22" t="n">
        <v>52.3</v>
      </c>
      <c r="P1153" s="22" t="n">
        <v>7.55</v>
      </c>
      <c r="Q1153" s="22" t="s">
        <v>8192</v>
      </c>
      <c r="R1153" s="22"/>
    </row>
    <row r="1154" customFormat="false" ht="15" hidden="false" customHeight="false" outlineLevel="0" collapsed="false">
      <c r="A1154" s="22" t="s">
        <v>8556</v>
      </c>
      <c r="B1154" s="22" t="s">
        <v>188</v>
      </c>
      <c r="C1154" s="22" t="s">
        <v>7694</v>
      </c>
      <c r="D1154" s="22" t="s">
        <v>7063</v>
      </c>
      <c r="E1154" s="22" t="n">
        <v>70</v>
      </c>
      <c r="F1154" s="22" t="s">
        <v>7695</v>
      </c>
      <c r="G1154" s="22" t="s">
        <v>7696</v>
      </c>
      <c r="H1154" s="22" t="n">
        <v>22</v>
      </c>
      <c r="I1154" s="22" t="s">
        <v>7697</v>
      </c>
      <c r="J1154" s="22" t="s">
        <v>6577</v>
      </c>
      <c r="K1154" s="22" t="s">
        <v>7100</v>
      </c>
      <c r="L1154" s="22" t="s">
        <v>836</v>
      </c>
      <c r="M1154" s="22" t="s">
        <v>837</v>
      </c>
      <c r="N1154" s="22" t="s">
        <v>838</v>
      </c>
      <c r="O1154" s="22" t="n">
        <v>25.9</v>
      </c>
      <c r="P1154" s="22" t="n">
        <v>7.55</v>
      </c>
      <c r="Q1154" s="22" t="s">
        <v>7098</v>
      </c>
      <c r="R1154" s="22"/>
    </row>
    <row r="1155" customFormat="false" ht="15" hidden="false" customHeight="false" outlineLevel="0" collapsed="false">
      <c r="A1155" s="22" t="s">
        <v>8557</v>
      </c>
      <c r="B1155" s="22" t="s">
        <v>188</v>
      </c>
      <c r="C1155" s="22" t="s">
        <v>7694</v>
      </c>
      <c r="D1155" s="22" t="s">
        <v>7063</v>
      </c>
      <c r="E1155" s="22" t="n">
        <v>28</v>
      </c>
      <c r="F1155" s="22" t="s">
        <v>6574</v>
      </c>
      <c r="G1155" s="22" t="s">
        <v>7696</v>
      </c>
      <c r="H1155" s="22" t="n">
        <v>10</v>
      </c>
      <c r="I1155" s="22" t="s">
        <v>6576</v>
      </c>
      <c r="J1155" s="22" t="s">
        <v>6577</v>
      </c>
      <c r="K1155" s="22" t="s">
        <v>7102</v>
      </c>
      <c r="L1155" s="22" t="s">
        <v>5631</v>
      </c>
      <c r="M1155" s="22" t="s">
        <v>5632</v>
      </c>
      <c r="N1155" s="22" t="s">
        <v>1204</v>
      </c>
      <c r="O1155" s="22" t="n">
        <v>46.5</v>
      </c>
      <c r="P1155" s="22" t="n">
        <v>7.55</v>
      </c>
      <c r="Q1155" s="22" t="s">
        <v>6830</v>
      </c>
      <c r="R1155" s="22"/>
    </row>
    <row r="1156" customFormat="false" ht="15" hidden="false" customHeight="false" outlineLevel="0" collapsed="false">
      <c r="A1156" s="22" t="s">
        <v>8558</v>
      </c>
      <c r="B1156" s="22" t="s">
        <v>188</v>
      </c>
      <c r="C1156" s="22" t="s">
        <v>7694</v>
      </c>
      <c r="D1156" s="22" t="s">
        <v>7063</v>
      </c>
      <c r="E1156" s="22" t="n">
        <v>36</v>
      </c>
      <c r="F1156" s="22" t="s">
        <v>6581</v>
      </c>
      <c r="G1156" s="22" t="s">
        <v>7696</v>
      </c>
      <c r="H1156" s="22" t="n">
        <v>13</v>
      </c>
      <c r="I1156" s="22" t="s">
        <v>6582</v>
      </c>
      <c r="J1156" s="22" t="s">
        <v>6671</v>
      </c>
      <c r="K1156" s="22"/>
      <c r="L1156" s="22"/>
      <c r="M1156" s="22"/>
      <c r="N1156" s="22"/>
      <c r="O1156" s="22"/>
      <c r="P1156" s="22" t="n">
        <v>7.55</v>
      </c>
      <c r="Q1156" s="22" t="s">
        <v>8042</v>
      </c>
      <c r="R1156" s="22"/>
    </row>
    <row r="1157" customFormat="false" ht="15" hidden="false" customHeight="false" outlineLevel="0" collapsed="false">
      <c r="A1157" s="22" t="s">
        <v>8559</v>
      </c>
      <c r="B1157" s="22" t="s">
        <v>188</v>
      </c>
      <c r="C1157" s="22" t="s">
        <v>7694</v>
      </c>
      <c r="D1157" s="22" t="s">
        <v>7063</v>
      </c>
      <c r="E1157" s="22" t="n">
        <v>70</v>
      </c>
      <c r="F1157" s="22" t="s">
        <v>7695</v>
      </c>
      <c r="G1157" s="22" t="s">
        <v>7696</v>
      </c>
      <c r="H1157" s="22" t="n">
        <v>22</v>
      </c>
      <c r="I1157" s="22" t="s">
        <v>7697</v>
      </c>
      <c r="J1157" s="22" t="s">
        <v>6577</v>
      </c>
      <c r="K1157" s="22" t="s">
        <v>7108</v>
      </c>
      <c r="L1157" s="22" t="s">
        <v>5712</v>
      </c>
      <c r="M1157" s="22" t="s">
        <v>5713</v>
      </c>
      <c r="N1157" s="22" t="s">
        <v>1281</v>
      </c>
      <c r="O1157" s="22" t="n">
        <v>28</v>
      </c>
      <c r="P1157" s="22" t="n">
        <v>7.55</v>
      </c>
      <c r="Q1157" s="22" t="s">
        <v>6931</v>
      </c>
      <c r="R1157" s="22"/>
    </row>
    <row r="1158" customFormat="false" ht="15" hidden="false" customHeight="false" outlineLevel="0" collapsed="false">
      <c r="A1158" s="22" t="s">
        <v>8560</v>
      </c>
      <c r="B1158" s="22" t="s">
        <v>188</v>
      </c>
      <c r="C1158" s="22" t="s">
        <v>7694</v>
      </c>
      <c r="D1158" s="22" t="s">
        <v>7063</v>
      </c>
      <c r="E1158" s="22" t="n">
        <v>24</v>
      </c>
      <c r="F1158" s="22" t="s">
        <v>6574</v>
      </c>
      <c r="G1158" s="22" t="s">
        <v>7696</v>
      </c>
      <c r="H1158" s="22" t="n">
        <v>9</v>
      </c>
      <c r="I1158" s="22" t="s">
        <v>6576</v>
      </c>
      <c r="J1158" s="22" t="s">
        <v>6577</v>
      </c>
      <c r="K1158" s="22" t="s">
        <v>7110</v>
      </c>
      <c r="L1158" s="22" t="s">
        <v>4248</v>
      </c>
      <c r="M1158" s="22" t="s">
        <v>4249</v>
      </c>
      <c r="N1158" s="22" t="s">
        <v>793</v>
      </c>
      <c r="O1158" s="22" t="n">
        <v>25.9</v>
      </c>
      <c r="P1158" s="22" t="n">
        <v>7.55</v>
      </c>
      <c r="Q1158" s="22" t="s">
        <v>8116</v>
      </c>
      <c r="R1158" s="22"/>
    </row>
    <row r="1159" customFormat="false" ht="15" hidden="false" customHeight="false" outlineLevel="0" collapsed="false">
      <c r="A1159" s="22" t="s">
        <v>8561</v>
      </c>
      <c r="B1159" s="22" t="s">
        <v>188</v>
      </c>
      <c r="C1159" s="22" t="s">
        <v>7694</v>
      </c>
      <c r="D1159" s="22" t="s">
        <v>7063</v>
      </c>
      <c r="E1159" s="22" t="n">
        <v>40</v>
      </c>
      <c r="F1159" s="22" t="s">
        <v>6581</v>
      </c>
      <c r="G1159" s="22" t="s">
        <v>7696</v>
      </c>
      <c r="H1159" s="22" t="n">
        <v>14</v>
      </c>
      <c r="I1159" s="22" t="s">
        <v>6582</v>
      </c>
      <c r="J1159" s="22" t="s">
        <v>6577</v>
      </c>
      <c r="K1159" s="22" t="s">
        <v>7113</v>
      </c>
      <c r="L1159" s="22" t="s">
        <v>2892</v>
      </c>
      <c r="M1159" s="22" t="s">
        <v>2893</v>
      </c>
      <c r="N1159" s="22" t="s">
        <v>533</v>
      </c>
      <c r="O1159" s="22" t="n">
        <v>47.3</v>
      </c>
      <c r="P1159" s="22" t="n">
        <v>7.55</v>
      </c>
      <c r="Q1159" s="22" t="s">
        <v>8562</v>
      </c>
      <c r="R1159" s="22"/>
    </row>
    <row r="1160" customFormat="false" ht="15" hidden="false" customHeight="false" outlineLevel="0" collapsed="false">
      <c r="A1160" s="22" t="s">
        <v>8563</v>
      </c>
      <c r="B1160" s="22" t="s">
        <v>188</v>
      </c>
      <c r="C1160" s="22" t="s">
        <v>7694</v>
      </c>
      <c r="D1160" s="22" t="s">
        <v>7063</v>
      </c>
      <c r="E1160" s="22" t="n">
        <v>36</v>
      </c>
      <c r="F1160" s="22" t="s">
        <v>6581</v>
      </c>
      <c r="G1160" s="22" t="s">
        <v>7696</v>
      </c>
      <c r="H1160" s="22" t="n">
        <v>13</v>
      </c>
      <c r="I1160" s="22" t="s">
        <v>6582</v>
      </c>
      <c r="J1160" s="22" t="s">
        <v>6577</v>
      </c>
      <c r="K1160" s="22" t="s">
        <v>7115</v>
      </c>
      <c r="L1160" s="22" t="s">
        <v>1954</v>
      </c>
      <c r="M1160" s="22" t="s">
        <v>1955</v>
      </c>
      <c r="N1160" s="22" t="s">
        <v>1956</v>
      </c>
      <c r="O1160" s="22" t="n">
        <v>26.8</v>
      </c>
      <c r="P1160" s="22" t="n">
        <v>7.55</v>
      </c>
      <c r="Q1160" s="22" t="s">
        <v>7054</v>
      </c>
      <c r="R1160" s="22"/>
    </row>
    <row r="1161" customFormat="false" ht="15" hidden="false" customHeight="false" outlineLevel="0" collapsed="false">
      <c r="A1161" s="22" t="s">
        <v>8564</v>
      </c>
      <c r="B1161" s="22" t="s">
        <v>188</v>
      </c>
      <c r="C1161" s="22" t="s">
        <v>7694</v>
      </c>
      <c r="D1161" s="22" t="s">
        <v>7063</v>
      </c>
      <c r="E1161" s="22" t="n">
        <v>32</v>
      </c>
      <c r="F1161" s="22" t="s">
        <v>6581</v>
      </c>
      <c r="G1161" s="22" t="s">
        <v>7696</v>
      </c>
      <c r="H1161" s="22" t="n">
        <v>12</v>
      </c>
      <c r="I1161" s="22" t="s">
        <v>6576</v>
      </c>
      <c r="J1161" s="22" t="s">
        <v>6577</v>
      </c>
      <c r="K1161" s="22" t="s">
        <v>7118</v>
      </c>
      <c r="L1161" s="22" t="s">
        <v>5420</v>
      </c>
      <c r="M1161" s="22" t="s">
        <v>5421</v>
      </c>
      <c r="N1161" s="22" t="s">
        <v>2572</v>
      </c>
      <c r="O1161" s="22" t="n">
        <v>34.6</v>
      </c>
      <c r="P1161" s="22" t="n">
        <v>7.55</v>
      </c>
      <c r="Q1161" s="22" t="s">
        <v>6638</v>
      </c>
      <c r="R1161" s="22"/>
    </row>
    <row r="1162" customFormat="false" ht="15" hidden="false" customHeight="false" outlineLevel="0" collapsed="false">
      <c r="A1162" s="22" t="s">
        <v>8565</v>
      </c>
      <c r="B1162" s="22" t="s">
        <v>188</v>
      </c>
      <c r="C1162" s="22" t="s">
        <v>7694</v>
      </c>
      <c r="D1162" s="22" t="s">
        <v>7063</v>
      </c>
      <c r="E1162" s="22" t="n">
        <v>80</v>
      </c>
      <c r="F1162" s="22" t="s">
        <v>7695</v>
      </c>
      <c r="G1162" s="22" t="s">
        <v>7696</v>
      </c>
      <c r="H1162" s="22" t="n">
        <v>24</v>
      </c>
      <c r="I1162" s="22" t="s">
        <v>7697</v>
      </c>
      <c r="J1162" s="22" t="s">
        <v>6671</v>
      </c>
      <c r="K1162" s="22"/>
      <c r="L1162" s="22"/>
      <c r="M1162" s="22"/>
      <c r="N1162" s="22"/>
      <c r="O1162" s="22"/>
      <c r="P1162" s="22" t="n">
        <v>7.55</v>
      </c>
      <c r="Q1162" s="22" t="s">
        <v>6741</v>
      </c>
      <c r="R1162" s="22"/>
    </row>
    <row r="1163" customFormat="false" ht="15" hidden="false" customHeight="false" outlineLevel="0" collapsed="false">
      <c r="A1163" s="22" t="s">
        <v>8566</v>
      </c>
      <c r="B1163" s="22" t="s">
        <v>188</v>
      </c>
      <c r="C1163" s="22" t="s">
        <v>7694</v>
      </c>
      <c r="D1163" s="22" t="s">
        <v>7063</v>
      </c>
      <c r="E1163" s="22" t="n">
        <v>24</v>
      </c>
      <c r="F1163" s="22" t="s">
        <v>6574</v>
      </c>
      <c r="G1163" s="22" t="s">
        <v>7696</v>
      </c>
      <c r="H1163" s="22" t="n">
        <v>9</v>
      </c>
      <c r="I1163" s="22" t="s">
        <v>6576</v>
      </c>
      <c r="J1163" s="22" t="s">
        <v>6577</v>
      </c>
      <c r="K1163" s="22" t="s">
        <v>7123</v>
      </c>
      <c r="L1163" s="22" t="s">
        <v>2575</v>
      </c>
      <c r="M1163" s="22" t="s">
        <v>2576</v>
      </c>
      <c r="N1163" s="22" t="s">
        <v>1408</v>
      </c>
      <c r="O1163" s="22" t="n">
        <v>43.8</v>
      </c>
      <c r="P1163" s="22" t="n">
        <v>7.55</v>
      </c>
      <c r="Q1163" s="22" t="s">
        <v>8457</v>
      </c>
      <c r="R1163" s="22"/>
    </row>
    <row r="1164" customFormat="false" ht="15" hidden="false" customHeight="false" outlineLevel="0" collapsed="false">
      <c r="A1164" s="22" t="s">
        <v>8567</v>
      </c>
      <c r="B1164" s="22" t="s">
        <v>188</v>
      </c>
      <c r="C1164" s="22" t="s">
        <v>7694</v>
      </c>
      <c r="D1164" s="22" t="s">
        <v>7126</v>
      </c>
      <c r="E1164" s="22" t="n">
        <v>45</v>
      </c>
      <c r="F1164" s="22" t="s">
        <v>7704</v>
      </c>
      <c r="G1164" s="22" t="s">
        <v>7696</v>
      </c>
      <c r="H1164" s="22" t="n">
        <v>16</v>
      </c>
      <c r="I1164" s="22" t="s">
        <v>7705</v>
      </c>
      <c r="J1164" s="22" t="s">
        <v>6577</v>
      </c>
      <c r="K1164" s="22" t="s">
        <v>7127</v>
      </c>
      <c r="L1164" s="22" t="s">
        <v>6117</v>
      </c>
      <c r="M1164" s="22" t="s">
        <v>6118</v>
      </c>
      <c r="N1164" s="22" t="s">
        <v>2147</v>
      </c>
      <c r="O1164" s="22" t="n">
        <v>44.7</v>
      </c>
      <c r="P1164" s="22" t="n">
        <v>7.55</v>
      </c>
      <c r="Q1164" s="22" t="s">
        <v>7717</v>
      </c>
      <c r="R1164" s="22"/>
    </row>
    <row r="1165" customFormat="false" ht="15" hidden="false" customHeight="false" outlineLevel="0" collapsed="false">
      <c r="A1165" s="22" t="s">
        <v>8568</v>
      </c>
      <c r="B1165" s="22" t="s">
        <v>188</v>
      </c>
      <c r="C1165" s="22" t="s">
        <v>7694</v>
      </c>
      <c r="D1165" s="22" t="s">
        <v>7126</v>
      </c>
      <c r="E1165" s="22" t="n">
        <v>24</v>
      </c>
      <c r="F1165" s="22" t="s">
        <v>6574</v>
      </c>
      <c r="G1165" s="22" t="s">
        <v>7696</v>
      </c>
      <c r="H1165" s="22" t="n">
        <v>9</v>
      </c>
      <c r="I1165" s="22" t="s">
        <v>6576</v>
      </c>
      <c r="J1165" s="22" t="s">
        <v>6901</v>
      </c>
      <c r="K1165" s="22"/>
      <c r="L1165" s="22"/>
      <c r="M1165" s="22"/>
      <c r="N1165" s="22"/>
      <c r="O1165" s="22"/>
      <c r="P1165" s="22" t="n">
        <v>7.55</v>
      </c>
      <c r="Q1165" s="22" t="s">
        <v>7359</v>
      </c>
      <c r="R1165" s="22"/>
    </row>
    <row r="1166" customFormat="false" ht="15" hidden="false" customHeight="false" outlineLevel="0" collapsed="false">
      <c r="A1166" s="22" t="s">
        <v>8569</v>
      </c>
      <c r="B1166" s="22" t="s">
        <v>188</v>
      </c>
      <c r="C1166" s="22" t="s">
        <v>7694</v>
      </c>
      <c r="D1166" s="22" t="s">
        <v>7126</v>
      </c>
      <c r="E1166" s="22" t="n">
        <v>80</v>
      </c>
      <c r="F1166" s="22" t="s">
        <v>7695</v>
      </c>
      <c r="G1166" s="22" t="s">
        <v>7696</v>
      </c>
      <c r="H1166" s="22" t="n">
        <v>24</v>
      </c>
      <c r="I1166" s="22" t="s">
        <v>7697</v>
      </c>
      <c r="J1166" s="22" t="s">
        <v>6577</v>
      </c>
      <c r="K1166" s="22" t="s">
        <v>7133</v>
      </c>
      <c r="L1166" s="22" t="s">
        <v>5778</v>
      </c>
      <c r="M1166" s="22" t="s">
        <v>5779</v>
      </c>
      <c r="N1166" s="22" t="s">
        <v>745</v>
      </c>
      <c r="O1166" s="22" t="n">
        <v>31.9</v>
      </c>
      <c r="P1166" s="22" t="n">
        <v>7.55</v>
      </c>
      <c r="Q1166" s="22" t="s">
        <v>7416</v>
      </c>
      <c r="R1166" s="22"/>
    </row>
    <row r="1167" customFormat="false" ht="15" hidden="false" customHeight="false" outlineLevel="0" collapsed="false">
      <c r="A1167" s="22" t="s">
        <v>8570</v>
      </c>
      <c r="B1167" s="22" t="s">
        <v>188</v>
      </c>
      <c r="C1167" s="22" t="s">
        <v>7694</v>
      </c>
      <c r="D1167" s="22" t="s">
        <v>7126</v>
      </c>
      <c r="E1167" s="22" t="n">
        <v>80</v>
      </c>
      <c r="F1167" s="22" t="s">
        <v>7695</v>
      </c>
      <c r="G1167" s="22" t="s">
        <v>7696</v>
      </c>
      <c r="H1167" s="22" t="n">
        <v>24</v>
      </c>
      <c r="I1167" s="22" t="s">
        <v>7697</v>
      </c>
      <c r="J1167" s="22" t="s">
        <v>6577</v>
      </c>
      <c r="K1167" s="22" t="s">
        <v>7135</v>
      </c>
      <c r="L1167" s="22" t="s">
        <v>3039</v>
      </c>
      <c r="M1167" s="22" t="s">
        <v>3040</v>
      </c>
      <c r="N1167" s="22" t="s">
        <v>3041</v>
      </c>
      <c r="O1167" s="22" t="n">
        <v>59.4</v>
      </c>
      <c r="P1167" s="22" t="n">
        <v>7.55</v>
      </c>
      <c r="Q1167" s="22" t="s">
        <v>7529</v>
      </c>
      <c r="R1167" s="22"/>
    </row>
    <row r="1168" customFormat="false" ht="15" hidden="false" customHeight="false" outlineLevel="0" collapsed="false">
      <c r="A1168" s="22" t="s">
        <v>8571</v>
      </c>
      <c r="B1168" s="22" t="s">
        <v>188</v>
      </c>
      <c r="C1168" s="22" t="s">
        <v>7694</v>
      </c>
      <c r="D1168" s="22" t="s">
        <v>7126</v>
      </c>
      <c r="E1168" s="22" t="n">
        <v>32</v>
      </c>
      <c r="F1168" s="22" t="s">
        <v>6581</v>
      </c>
      <c r="G1168" s="22" t="s">
        <v>7696</v>
      </c>
      <c r="H1168" s="22" t="n">
        <v>12</v>
      </c>
      <c r="I1168" s="22" t="s">
        <v>6576</v>
      </c>
      <c r="J1168" s="22" t="s">
        <v>6577</v>
      </c>
      <c r="K1168" s="22" t="s">
        <v>7138</v>
      </c>
      <c r="L1168" s="22" t="s">
        <v>6167</v>
      </c>
      <c r="M1168" s="22" t="s">
        <v>6168</v>
      </c>
      <c r="N1168" s="22" t="s">
        <v>675</v>
      </c>
      <c r="O1168" s="22" t="n">
        <v>42.9</v>
      </c>
      <c r="P1168" s="22" t="n">
        <v>7.55</v>
      </c>
      <c r="Q1168" s="22" t="s">
        <v>7498</v>
      </c>
      <c r="R1168" s="22"/>
    </row>
    <row r="1169" customFormat="false" ht="15" hidden="false" customHeight="false" outlineLevel="0" collapsed="false">
      <c r="A1169" s="22" t="s">
        <v>8572</v>
      </c>
      <c r="B1169" s="22" t="s">
        <v>188</v>
      </c>
      <c r="C1169" s="22" t="s">
        <v>7694</v>
      </c>
      <c r="D1169" s="22" t="s">
        <v>7126</v>
      </c>
      <c r="E1169" s="22" t="n">
        <v>36</v>
      </c>
      <c r="F1169" s="22" t="s">
        <v>6581</v>
      </c>
      <c r="G1169" s="22" t="s">
        <v>7696</v>
      </c>
      <c r="H1169" s="22" t="n">
        <v>13</v>
      </c>
      <c r="I1169" s="22" t="s">
        <v>6582</v>
      </c>
      <c r="J1169" s="22" t="s">
        <v>6577</v>
      </c>
      <c r="K1169" s="22" t="s">
        <v>7140</v>
      </c>
      <c r="L1169" s="22" t="s">
        <v>743</v>
      </c>
      <c r="M1169" s="22" t="s">
        <v>744</v>
      </c>
      <c r="N1169" s="22" t="s">
        <v>745</v>
      </c>
      <c r="O1169" s="22" t="n">
        <v>44</v>
      </c>
      <c r="P1169" s="22" t="n">
        <v>7.55</v>
      </c>
      <c r="Q1169" s="22" t="s">
        <v>7773</v>
      </c>
      <c r="R1169" s="22"/>
    </row>
    <row r="1170" customFormat="false" ht="15" hidden="false" customHeight="false" outlineLevel="0" collapsed="false">
      <c r="A1170" s="22" t="s">
        <v>8573</v>
      </c>
      <c r="B1170" s="22" t="s">
        <v>188</v>
      </c>
      <c r="C1170" s="22" t="s">
        <v>7694</v>
      </c>
      <c r="D1170" s="22" t="s">
        <v>7126</v>
      </c>
      <c r="E1170" s="22" t="n">
        <v>32</v>
      </c>
      <c r="F1170" s="22" t="s">
        <v>6581</v>
      </c>
      <c r="G1170" s="22" t="s">
        <v>7696</v>
      </c>
      <c r="H1170" s="22" t="n">
        <v>12</v>
      </c>
      <c r="I1170" s="22" t="s">
        <v>6576</v>
      </c>
      <c r="J1170" s="22" t="s">
        <v>6613</v>
      </c>
      <c r="K1170" s="22"/>
      <c r="L1170" s="22"/>
      <c r="M1170" s="22"/>
      <c r="N1170" s="22"/>
      <c r="O1170" s="22"/>
      <c r="P1170" s="22" t="n">
        <v>7.55</v>
      </c>
      <c r="Q1170" s="22" t="s">
        <v>8194</v>
      </c>
      <c r="R1170" s="22"/>
    </row>
    <row r="1171" customFormat="false" ht="15" hidden="false" customHeight="false" outlineLevel="0" collapsed="false">
      <c r="A1171" s="22" t="s">
        <v>8574</v>
      </c>
      <c r="B1171" s="22" t="s">
        <v>188</v>
      </c>
      <c r="C1171" s="22" t="s">
        <v>7694</v>
      </c>
      <c r="D1171" s="22" t="s">
        <v>7126</v>
      </c>
      <c r="E1171" s="22" t="n">
        <v>36</v>
      </c>
      <c r="F1171" s="22" t="s">
        <v>6581</v>
      </c>
      <c r="G1171" s="22" t="s">
        <v>7696</v>
      </c>
      <c r="H1171" s="22" t="n">
        <v>13</v>
      </c>
      <c r="I1171" s="22" t="s">
        <v>6582</v>
      </c>
      <c r="J1171" s="22" t="s">
        <v>6577</v>
      </c>
      <c r="K1171" s="22" t="s">
        <v>7146</v>
      </c>
      <c r="L1171" s="22" t="s">
        <v>6331</v>
      </c>
      <c r="M1171" s="22" t="s">
        <v>6332</v>
      </c>
      <c r="N1171" s="22" t="s">
        <v>1646</v>
      </c>
      <c r="O1171" s="22" t="n">
        <v>53.6</v>
      </c>
      <c r="P1171" s="22" t="n">
        <v>7.55</v>
      </c>
      <c r="Q1171" s="22" t="s">
        <v>8575</v>
      </c>
      <c r="R1171" s="22"/>
    </row>
    <row r="1172" customFormat="false" ht="15" hidden="false" customHeight="false" outlineLevel="0" collapsed="false">
      <c r="A1172" s="22" t="s">
        <v>8576</v>
      </c>
      <c r="B1172" s="22" t="s">
        <v>188</v>
      </c>
      <c r="C1172" s="22" t="s">
        <v>7694</v>
      </c>
      <c r="D1172" s="22" t="s">
        <v>7126</v>
      </c>
      <c r="E1172" s="22" t="n">
        <v>24</v>
      </c>
      <c r="F1172" s="22" t="s">
        <v>6574</v>
      </c>
      <c r="G1172" s="22" t="s">
        <v>7696</v>
      </c>
      <c r="H1172" s="22" t="n">
        <v>9</v>
      </c>
      <c r="I1172" s="22" t="s">
        <v>6576</v>
      </c>
      <c r="J1172" s="22" t="s">
        <v>6577</v>
      </c>
      <c r="K1172" s="22" t="s">
        <v>7149</v>
      </c>
      <c r="L1172" s="22" t="s">
        <v>2458</v>
      </c>
      <c r="M1172" s="22" t="s">
        <v>2459</v>
      </c>
      <c r="N1172" s="22" t="s">
        <v>1786</v>
      </c>
      <c r="O1172" s="22" t="n">
        <v>52.9</v>
      </c>
      <c r="P1172" s="22" t="n">
        <v>7.55</v>
      </c>
      <c r="Q1172" s="22" t="s">
        <v>6620</v>
      </c>
      <c r="R1172" s="22"/>
    </row>
    <row r="1173" customFormat="false" ht="15" hidden="false" customHeight="false" outlineLevel="0" collapsed="false">
      <c r="A1173" s="22" t="s">
        <v>8577</v>
      </c>
      <c r="B1173" s="22" t="s">
        <v>188</v>
      </c>
      <c r="C1173" s="22" t="s">
        <v>7694</v>
      </c>
      <c r="D1173" s="22" t="s">
        <v>7126</v>
      </c>
      <c r="E1173" s="22" t="n">
        <v>28</v>
      </c>
      <c r="F1173" s="22" t="s">
        <v>6574</v>
      </c>
      <c r="G1173" s="22" t="s">
        <v>7696</v>
      </c>
      <c r="H1173" s="22" t="n">
        <v>10</v>
      </c>
      <c r="I1173" s="22" t="s">
        <v>6576</v>
      </c>
      <c r="J1173" s="22" t="s">
        <v>6577</v>
      </c>
      <c r="K1173" s="22" t="s">
        <v>7152</v>
      </c>
      <c r="L1173" s="22" t="s">
        <v>1506</v>
      </c>
      <c r="M1173" s="22" t="s">
        <v>1507</v>
      </c>
      <c r="N1173" s="22" t="s">
        <v>1508</v>
      </c>
      <c r="O1173" s="22" t="n">
        <v>61.1</v>
      </c>
      <c r="P1173" s="22" t="n">
        <v>7.55</v>
      </c>
      <c r="Q1173" s="22" t="s">
        <v>6848</v>
      </c>
      <c r="R1173" s="22"/>
    </row>
    <row r="1174" customFormat="false" ht="15" hidden="false" customHeight="false" outlineLevel="0" collapsed="false">
      <c r="A1174" s="22" t="s">
        <v>8578</v>
      </c>
      <c r="B1174" s="22" t="s">
        <v>188</v>
      </c>
      <c r="C1174" s="22" t="s">
        <v>7694</v>
      </c>
      <c r="D1174" s="22" t="s">
        <v>7126</v>
      </c>
      <c r="E1174" s="22" t="n">
        <v>28</v>
      </c>
      <c r="F1174" s="22" t="s">
        <v>6574</v>
      </c>
      <c r="G1174" s="22" t="s">
        <v>7696</v>
      </c>
      <c r="H1174" s="22" t="n">
        <v>10</v>
      </c>
      <c r="I1174" s="22" t="s">
        <v>6576</v>
      </c>
      <c r="J1174" s="22" t="s">
        <v>6577</v>
      </c>
      <c r="K1174" s="22" t="s">
        <v>7155</v>
      </c>
      <c r="L1174" s="22" t="s">
        <v>4550</v>
      </c>
      <c r="M1174" s="22" t="s">
        <v>4551</v>
      </c>
      <c r="N1174" s="22" t="s">
        <v>413</v>
      </c>
      <c r="O1174" s="22" t="n">
        <v>52.6</v>
      </c>
      <c r="P1174" s="22" t="n">
        <v>7.55</v>
      </c>
      <c r="Q1174" s="22" t="s">
        <v>7755</v>
      </c>
      <c r="R1174" s="22"/>
    </row>
    <row r="1175" customFormat="false" ht="15" hidden="false" customHeight="false" outlineLevel="0" collapsed="false">
      <c r="A1175" s="22" t="s">
        <v>8579</v>
      </c>
      <c r="B1175" s="22" t="s">
        <v>188</v>
      </c>
      <c r="C1175" s="22" t="s">
        <v>7694</v>
      </c>
      <c r="D1175" s="22" t="s">
        <v>7126</v>
      </c>
      <c r="E1175" s="22" t="n">
        <v>32</v>
      </c>
      <c r="F1175" s="22" t="s">
        <v>6581</v>
      </c>
      <c r="G1175" s="22" t="s">
        <v>7696</v>
      </c>
      <c r="H1175" s="22" t="n">
        <v>12</v>
      </c>
      <c r="I1175" s="22" t="s">
        <v>6576</v>
      </c>
      <c r="J1175" s="22" t="s">
        <v>6577</v>
      </c>
      <c r="K1175" s="22" t="s">
        <v>7157</v>
      </c>
      <c r="L1175" s="22" t="s">
        <v>3401</v>
      </c>
      <c r="M1175" s="22" t="s">
        <v>3402</v>
      </c>
      <c r="N1175" s="22" t="s">
        <v>2468</v>
      </c>
      <c r="O1175" s="22" t="n">
        <v>58.2</v>
      </c>
      <c r="P1175" s="22" t="n">
        <v>7.55</v>
      </c>
      <c r="Q1175" s="22" t="s">
        <v>7423</v>
      </c>
      <c r="R1175" s="22"/>
    </row>
    <row r="1176" customFormat="false" ht="15" hidden="false" customHeight="false" outlineLevel="0" collapsed="false">
      <c r="A1176" s="22" t="s">
        <v>8580</v>
      </c>
      <c r="B1176" s="22" t="s">
        <v>188</v>
      </c>
      <c r="C1176" s="22" t="s">
        <v>7694</v>
      </c>
      <c r="D1176" s="22" t="s">
        <v>7126</v>
      </c>
      <c r="E1176" s="22" t="n">
        <v>28</v>
      </c>
      <c r="F1176" s="22" t="s">
        <v>6574</v>
      </c>
      <c r="G1176" s="22" t="s">
        <v>7696</v>
      </c>
      <c r="H1176" s="22" t="n">
        <v>10</v>
      </c>
      <c r="I1176" s="22" t="s">
        <v>6576</v>
      </c>
      <c r="J1176" s="22" t="s">
        <v>6577</v>
      </c>
      <c r="K1176" s="22" t="s">
        <v>7159</v>
      </c>
      <c r="L1176" s="22" t="s">
        <v>2904</v>
      </c>
      <c r="M1176" s="22" t="s">
        <v>2905</v>
      </c>
      <c r="N1176" s="22" t="s">
        <v>1532</v>
      </c>
      <c r="O1176" s="22" t="n">
        <v>57.3</v>
      </c>
      <c r="P1176" s="22" t="n">
        <v>7.55</v>
      </c>
      <c r="Q1176" s="22" t="s">
        <v>8581</v>
      </c>
      <c r="R1176" s="22"/>
    </row>
    <row r="1177" customFormat="false" ht="15" hidden="false" customHeight="false" outlineLevel="0" collapsed="false">
      <c r="A1177" s="22" t="s">
        <v>8582</v>
      </c>
      <c r="B1177" s="22" t="s">
        <v>188</v>
      </c>
      <c r="C1177" s="22" t="s">
        <v>7694</v>
      </c>
      <c r="D1177" s="22" t="s">
        <v>7126</v>
      </c>
      <c r="E1177" s="22" t="n">
        <v>50</v>
      </c>
      <c r="F1177" s="22" t="s">
        <v>7704</v>
      </c>
      <c r="G1177" s="22" t="s">
        <v>7696</v>
      </c>
      <c r="H1177" s="22" t="n">
        <v>18</v>
      </c>
      <c r="I1177" s="22" t="s">
        <v>7705</v>
      </c>
      <c r="J1177" s="22" t="s">
        <v>6577</v>
      </c>
      <c r="K1177" s="22" t="s">
        <v>7162</v>
      </c>
      <c r="L1177" s="22" t="s">
        <v>3916</v>
      </c>
      <c r="M1177" s="22" t="s">
        <v>3917</v>
      </c>
      <c r="N1177" s="22" t="s">
        <v>2287</v>
      </c>
      <c r="O1177" s="22" t="n">
        <v>27.7</v>
      </c>
      <c r="P1177" s="22" t="n">
        <v>7.55</v>
      </c>
      <c r="Q1177" s="22" t="s">
        <v>8583</v>
      </c>
      <c r="R1177" s="22"/>
    </row>
    <row r="1178" customFormat="false" ht="15" hidden="false" customHeight="false" outlineLevel="0" collapsed="false">
      <c r="A1178" s="22" t="s">
        <v>8584</v>
      </c>
      <c r="B1178" s="22" t="s">
        <v>188</v>
      </c>
      <c r="C1178" s="22" t="s">
        <v>7694</v>
      </c>
      <c r="D1178" s="22" t="s">
        <v>7126</v>
      </c>
      <c r="E1178" s="22" t="n">
        <v>32</v>
      </c>
      <c r="F1178" s="22" t="s">
        <v>6581</v>
      </c>
      <c r="G1178" s="22" t="s">
        <v>7696</v>
      </c>
      <c r="H1178" s="22" t="n">
        <v>12</v>
      </c>
      <c r="I1178" s="22" t="s">
        <v>6576</v>
      </c>
      <c r="J1178" s="22" t="s">
        <v>6577</v>
      </c>
      <c r="K1178" s="22" t="s">
        <v>7164</v>
      </c>
      <c r="L1178" s="22" t="s">
        <v>4902</v>
      </c>
      <c r="M1178" s="22" t="s">
        <v>3428</v>
      </c>
      <c r="N1178" s="22" t="s">
        <v>3632</v>
      </c>
      <c r="O1178" s="22" t="n">
        <v>58.9</v>
      </c>
      <c r="P1178" s="22" t="n">
        <v>7.55</v>
      </c>
      <c r="Q1178" s="22" t="s">
        <v>8354</v>
      </c>
      <c r="R1178" s="22"/>
    </row>
    <row r="1179" customFormat="false" ht="15" hidden="false" customHeight="false" outlineLevel="0" collapsed="false">
      <c r="A1179" s="22" t="s">
        <v>8585</v>
      </c>
      <c r="B1179" s="22" t="s">
        <v>188</v>
      </c>
      <c r="C1179" s="22" t="s">
        <v>7694</v>
      </c>
      <c r="D1179" s="22" t="s">
        <v>7126</v>
      </c>
      <c r="E1179" s="22" t="n">
        <v>60</v>
      </c>
      <c r="F1179" s="22" t="s">
        <v>7695</v>
      </c>
      <c r="G1179" s="22" t="s">
        <v>7696</v>
      </c>
      <c r="H1179" s="22" t="n">
        <v>20</v>
      </c>
      <c r="I1179" s="22" t="s">
        <v>7697</v>
      </c>
      <c r="J1179" s="22" t="s">
        <v>6577</v>
      </c>
      <c r="K1179" s="22" t="s">
        <v>7645</v>
      </c>
      <c r="L1179" s="22" t="s">
        <v>5796</v>
      </c>
      <c r="M1179" s="22" t="s">
        <v>5797</v>
      </c>
      <c r="N1179" s="22" t="s">
        <v>448</v>
      </c>
      <c r="O1179" s="22" t="n">
        <v>43.1</v>
      </c>
      <c r="P1179" s="22" t="n">
        <v>7.55</v>
      </c>
      <c r="Q1179" s="22" t="s">
        <v>7365</v>
      </c>
      <c r="R1179" s="22"/>
    </row>
    <row r="1180" customFormat="false" ht="15" hidden="false" customHeight="false" outlineLevel="0" collapsed="false">
      <c r="A1180" s="22" t="s">
        <v>8586</v>
      </c>
      <c r="B1180" s="22" t="s">
        <v>188</v>
      </c>
      <c r="C1180" s="22" t="s">
        <v>7694</v>
      </c>
      <c r="D1180" s="22" t="s">
        <v>7126</v>
      </c>
      <c r="E1180" s="22" t="n">
        <v>45</v>
      </c>
      <c r="F1180" s="22" t="s">
        <v>7704</v>
      </c>
      <c r="G1180" s="22" t="s">
        <v>7696</v>
      </c>
      <c r="H1180" s="22" t="n">
        <v>16</v>
      </c>
      <c r="I1180" s="22" t="s">
        <v>7705</v>
      </c>
      <c r="J1180" s="22" t="s">
        <v>6577</v>
      </c>
      <c r="K1180" s="22" t="s">
        <v>7168</v>
      </c>
      <c r="L1180" s="22" t="s">
        <v>987</v>
      </c>
      <c r="M1180" s="22" t="s">
        <v>988</v>
      </c>
      <c r="N1180" s="22" t="s">
        <v>805</v>
      </c>
      <c r="O1180" s="22" t="n">
        <v>48.2</v>
      </c>
      <c r="P1180" s="22" t="n">
        <v>7.55</v>
      </c>
      <c r="Q1180" s="22" t="s">
        <v>8587</v>
      </c>
      <c r="R1180" s="22"/>
    </row>
    <row r="1181" customFormat="false" ht="15" hidden="false" customHeight="false" outlineLevel="0" collapsed="false">
      <c r="A1181" s="22" t="s">
        <v>8588</v>
      </c>
      <c r="B1181" s="22" t="s">
        <v>188</v>
      </c>
      <c r="C1181" s="22" t="s">
        <v>7694</v>
      </c>
      <c r="D1181" s="22" t="s">
        <v>7126</v>
      </c>
      <c r="E1181" s="22" t="n">
        <v>80</v>
      </c>
      <c r="F1181" s="22" t="s">
        <v>7695</v>
      </c>
      <c r="G1181" s="22" t="s">
        <v>7696</v>
      </c>
      <c r="H1181" s="22" t="n">
        <v>24</v>
      </c>
      <c r="I1181" s="22" t="s">
        <v>7697</v>
      </c>
      <c r="J1181" s="22" t="s">
        <v>6577</v>
      </c>
      <c r="K1181" s="22" t="s">
        <v>7171</v>
      </c>
      <c r="L1181" s="22" t="s">
        <v>5578</v>
      </c>
      <c r="M1181" s="22" t="s">
        <v>5579</v>
      </c>
      <c r="N1181" s="22" t="s">
        <v>642</v>
      </c>
      <c r="O1181" s="22" t="n">
        <v>56.6</v>
      </c>
      <c r="P1181" s="22" t="n">
        <v>7.55</v>
      </c>
      <c r="Q1181" s="22" t="s">
        <v>8116</v>
      </c>
      <c r="R1181" s="22"/>
    </row>
  </sheetData>
  <autoFilter ref="A1:R1181"/>
  <printOptions headings="false" gridLines="false" gridLinesSet="true" horizontalCentered="false" verticalCentered="false"/>
  <pageMargins left="0.25" right="0.25" top="0.45" bottom="0.45" header="0.511811023622047" footer="0.2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&amp;C&amp;7 Page &amp;P of &amp;N&amp;R&amp;7 Chaldale Harbor District | 2026-08-07</oddFooter>
  </headerFooter>
  <drawing r:id="rId1"/>
  <tableParts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R148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customHeight="true" zeroHeight="false" outlineLevelRow="0" outlineLevelCol="0"/>
  <cols>
    <col collapsed="false" customWidth="true" hidden="false" outlineLevel="0" max="1" min="1" style="0" width="17"/>
    <col collapsed="false" customWidth="true" hidden="false" outlineLevel="0" max="2" min="2" style="0" width="12"/>
    <col collapsed="false" customWidth="true" hidden="false" outlineLevel="0" max="3" min="3" style="0" width="14"/>
    <col collapsed="false" customWidth="true" hidden="false" outlineLevel="0" max="5" min="5" style="0" width="13"/>
    <col collapsed="false" customWidth="true" hidden="false" outlineLevel="0" max="12" min="12" style="0" width="18"/>
    <col collapsed="false" customWidth="true" hidden="false" outlineLevel="0" max="16" min="16" style="0" width="22"/>
  </cols>
  <sheetData>
    <row r="1" customFormat="false" ht="30" hidden="false" customHeight="true" outlineLevel="0" collapsed="false">
      <c r="A1" s="13" t="s">
        <v>8589</v>
      </c>
      <c r="B1" s="13" t="s">
        <v>8590</v>
      </c>
      <c r="C1" s="13" t="s">
        <v>149</v>
      </c>
      <c r="D1" s="13" t="s">
        <v>8591</v>
      </c>
      <c r="E1" s="13" t="s">
        <v>6556</v>
      </c>
      <c r="F1" s="13" t="s">
        <v>6557</v>
      </c>
      <c r="G1" s="13" t="s">
        <v>6560</v>
      </c>
      <c r="H1" s="13" t="s">
        <v>6562</v>
      </c>
      <c r="I1" s="13" t="s">
        <v>8592</v>
      </c>
      <c r="J1" s="13" t="s">
        <v>6569</v>
      </c>
      <c r="K1" s="13" t="s">
        <v>8593</v>
      </c>
      <c r="L1" s="13" t="s">
        <v>8594</v>
      </c>
      <c r="M1" s="13" t="s">
        <v>8595</v>
      </c>
      <c r="N1" s="13" t="s">
        <v>8596</v>
      </c>
      <c r="O1" s="13" t="s">
        <v>8597</v>
      </c>
      <c r="P1" s="13" t="s">
        <v>8598</v>
      </c>
      <c r="Q1" s="13" t="s">
        <v>8599</v>
      </c>
      <c r="R1" s="13" t="s">
        <v>6571</v>
      </c>
    </row>
    <row r="2" customFormat="false" ht="15" hidden="false" customHeight="false" outlineLevel="0" collapsed="false">
      <c r="A2" s="22" t="s">
        <v>8600</v>
      </c>
      <c r="B2" s="23" t="n">
        <v>44582</v>
      </c>
      <c r="C2" s="22" t="s">
        <v>2941</v>
      </c>
      <c r="D2" s="22" t="n">
        <v>1136</v>
      </c>
      <c r="E2" s="22" t="s">
        <v>8223</v>
      </c>
      <c r="F2" s="22" t="s">
        <v>499</v>
      </c>
      <c r="G2" s="22" t="n">
        <v>80</v>
      </c>
      <c r="H2" s="22" t="s">
        <v>7696</v>
      </c>
      <c r="I2" s="22" t="s">
        <v>8601</v>
      </c>
      <c r="J2" s="22" t="n">
        <v>7.55</v>
      </c>
      <c r="K2" s="22" t="n">
        <v>1</v>
      </c>
      <c r="L2" s="22" t="s">
        <v>8602</v>
      </c>
      <c r="M2" s="23" t="n">
        <v>44596</v>
      </c>
      <c r="N2" s="23"/>
      <c r="O2" s="22"/>
      <c r="P2" s="22" t="s">
        <v>8603</v>
      </c>
      <c r="Q2" s="22"/>
      <c r="R2" s="22"/>
    </row>
    <row r="3" customFormat="false" ht="15" hidden="false" customHeight="false" outlineLevel="0" collapsed="false">
      <c r="A3" s="22" t="s">
        <v>8604</v>
      </c>
      <c r="B3" s="23" t="n">
        <v>44569</v>
      </c>
      <c r="C3" s="22" t="s">
        <v>3503</v>
      </c>
      <c r="D3" s="22" t="n">
        <v>1400</v>
      </c>
      <c r="E3" s="22" t="s">
        <v>7630</v>
      </c>
      <c r="F3" s="22" t="s">
        <v>159</v>
      </c>
      <c r="G3" s="22" t="n">
        <v>28</v>
      </c>
      <c r="H3" s="22" t="s">
        <v>6575</v>
      </c>
      <c r="I3" s="22" t="s">
        <v>8601</v>
      </c>
      <c r="J3" s="22" t="n">
        <v>10.4</v>
      </c>
      <c r="K3" s="22" t="n">
        <v>1</v>
      </c>
      <c r="L3" s="22" t="s">
        <v>8605</v>
      </c>
      <c r="M3" s="23" t="n">
        <v>44579</v>
      </c>
      <c r="N3" s="23" t="n">
        <v>44581</v>
      </c>
      <c r="O3" s="22" t="n">
        <v>12</v>
      </c>
      <c r="P3" s="22"/>
      <c r="Q3" s="22" t="s">
        <v>8606</v>
      </c>
      <c r="R3" s="22"/>
    </row>
    <row r="4" customFormat="false" ht="15" hidden="false" customHeight="false" outlineLevel="0" collapsed="false">
      <c r="A4" s="22" t="s">
        <v>8607</v>
      </c>
      <c r="B4" s="23" t="n">
        <v>44575</v>
      </c>
      <c r="C4" s="22" t="s">
        <v>3697</v>
      </c>
      <c r="D4" s="22" t="n">
        <v>1494</v>
      </c>
      <c r="E4" s="22" t="s">
        <v>8234</v>
      </c>
      <c r="F4" s="22" t="s">
        <v>499</v>
      </c>
      <c r="G4" s="22" t="n">
        <v>36</v>
      </c>
      <c r="H4" s="22" t="s">
        <v>7696</v>
      </c>
      <c r="I4" s="22" t="s">
        <v>8601</v>
      </c>
      <c r="J4" s="22" t="n">
        <v>7.55</v>
      </c>
      <c r="K4" s="22" t="n">
        <v>1</v>
      </c>
      <c r="L4" s="22" t="s">
        <v>8608</v>
      </c>
      <c r="M4" s="23" t="n">
        <v>44589</v>
      </c>
      <c r="N4" s="23" t="n">
        <v>44588</v>
      </c>
      <c r="O4" s="22" t="n">
        <v>13</v>
      </c>
      <c r="P4" s="22"/>
      <c r="Q4" s="22"/>
      <c r="R4" s="22"/>
    </row>
    <row r="5" customFormat="false" ht="15" hidden="false" customHeight="false" outlineLevel="0" collapsed="false">
      <c r="A5" s="22" t="s">
        <v>8609</v>
      </c>
      <c r="B5" s="23" t="n">
        <v>44584</v>
      </c>
      <c r="C5" s="22" t="s">
        <v>467</v>
      </c>
      <c r="D5" s="22" t="n">
        <v>104</v>
      </c>
      <c r="E5" s="22" t="s">
        <v>6829</v>
      </c>
      <c r="F5" s="22" t="s">
        <v>198</v>
      </c>
      <c r="G5" s="22" t="n">
        <v>40</v>
      </c>
      <c r="H5" s="22" t="s">
        <v>6575</v>
      </c>
      <c r="I5" s="22" t="s">
        <v>8601</v>
      </c>
      <c r="J5" s="22" t="n">
        <v>10.4</v>
      </c>
      <c r="K5" s="22" t="n">
        <v>1</v>
      </c>
      <c r="L5" s="22" t="s">
        <v>157</v>
      </c>
      <c r="M5" s="23" t="n">
        <v>44594</v>
      </c>
      <c r="N5" s="23" t="n">
        <v>44588</v>
      </c>
      <c r="O5" s="22" t="n">
        <v>4</v>
      </c>
      <c r="P5" s="22"/>
      <c r="Q5" s="22"/>
      <c r="R5" s="22"/>
    </row>
    <row r="6" customFormat="false" ht="15" hidden="false" customHeight="false" outlineLevel="0" collapsed="false">
      <c r="A6" s="22" t="s">
        <v>8610</v>
      </c>
      <c r="B6" s="23" t="n">
        <v>44577</v>
      </c>
      <c r="C6" s="22" t="s">
        <v>4082</v>
      </c>
      <c r="D6" s="22" t="n">
        <v>1683</v>
      </c>
      <c r="E6" s="22" t="s">
        <v>7072</v>
      </c>
      <c r="F6" s="22" t="s">
        <v>198</v>
      </c>
      <c r="G6" s="22" t="n">
        <v>32</v>
      </c>
      <c r="H6" s="22" t="s">
        <v>6575</v>
      </c>
      <c r="I6" s="22" t="s">
        <v>8601</v>
      </c>
      <c r="J6" s="22" t="n">
        <v>10.4</v>
      </c>
      <c r="K6" s="22" t="n">
        <v>1</v>
      </c>
      <c r="L6" s="22" t="s">
        <v>8605</v>
      </c>
      <c r="M6" s="23" t="n">
        <v>44587</v>
      </c>
      <c r="N6" s="23" t="n">
        <v>44587</v>
      </c>
      <c r="O6" s="22" t="n">
        <v>10</v>
      </c>
      <c r="P6" s="22"/>
      <c r="Q6" s="22" t="s">
        <v>8611</v>
      </c>
      <c r="R6" s="22"/>
    </row>
    <row r="7" customFormat="false" ht="15" hidden="false" customHeight="false" outlineLevel="0" collapsed="false">
      <c r="A7" s="22" t="s">
        <v>8612</v>
      </c>
      <c r="B7" s="23" t="n">
        <v>44570</v>
      </c>
      <c r="C7" s="22" t="s">
        <v>5083</v>
      </c>
      <c r="D7" s="22" t="n">
        <v>2173</v>
      </c>
      <c r="E7" s="22" t="s">
        <v>8553</v>
      </c>
      <c r="F7" s="22" t="s">
        <v>188</v>
      </c>
      <c r="G7" s="22" t="n">
        <v>32</v>
      </c>
      <c r="H7" s="22" t="s">
        <v>7696</v>
      </c>
      <c r="I7" s="22" t="s">
        <v>8601</v>
      </c>
      <c r="J7" s="22" t="n">
        <v>7.55</v>
      </c>
      <c r="K7" s="22" t="n">
        <v>2</v>
      </c>
      <c r="L7" s="22" t="s">
        <v>8613</v>
      </c>
      <c r="M7" s="23" t="n">
        <v>44584</v>
      </c>
      <c r="N7" s="22"/>
      <c r="O7" s="22"/>
      <c r="P7" s="22"/>
      <c r="Q7" s="22"/>
      <c r="R7" s="22"/>
    </row>
    <row r="8" customFormat="false" ht="15" hidden="false" customHeight="false" outlineLevel="0" collapsed="false">
      <c r="A8" s="22" t="s">
        <v>8614</v>
      </c>
      <c r="B8" s="23" t="n">
        <v>44562</v>
      </c>
      <c r="C8" s="22" t="s">
        <v>1179</v>
      </c>
      <c r="D8" s="22" t="n">
        <v>369</v>
      </c>
      <c r="E8" s="22" t="s">
        <v>7955</v>
      </c>
      <c r="F8" s="22" t="s">
        <v>215</v>
      </c>
      <c r="G8" s="22" t="n">
        <v>32</v>
      </c>
      <c r="H8" s="22" t="s">
        <v>7696</v>
      </c>
      <c r="I8" s="22" t="s">
        <v>8601</v>
      </c>
      <c r="J8" s="22" t="n">
        <v>7.55</v>
      </c>
      <c r="K8" s="22" t="n">
        <v>2</v>
      </c>
      <c r="L8" s="22" t="s">
        <v>157</v>
      </c>
      <c r="M8" s="23" t="n">
        <v>44576</v>
      </c>
      <c r="N8" s="23" t="n">
        <v>44569</v>
      </c>
      <c r="O8" s="22" t="n">
        <v>7</v>
      </c>
      <c r="P8" s="22"/>
      <c r="Q8" s="22"/>
      <c r="R8" s="22"/>
    </row>
    <row r="9" customFormat="false" ht="15" hidden="false" customHeight="false" outlineLevel="0" collapsed="false">
      <c r="A9" s="22" t="s">
        <v>8615</v>
      </c>
      <c r="B9" s="23" t="n">
        <v>44563</v>
      </c>
      <c r="C9" s="22" t="s">
        <v>4492</v>
      </c>
      <c r="D9" s="22" t="n">
        <v>1883</v>
      </c>
      <c r="E9" s="22" t="s">
        <v>8379</v>
      </c>
      <c r="F9" s="22" t="s">
        <v>188</v>
      </c>
      <c r="G9" s="22" t="n">
        <v>24</v>
      </c>
      <c r="H9" s="22" t="s">
        <v>7696</v>
      </c>
      <c r="I9" s="22" t="s">
        <v>8601</v>
      </c>
      <c r="J9" s="22" t="n">
        <v>7.55</v>
      </c>
      <c r="K9" s="22" t="n">
        <v>1</v>
      </c>
      <c r="L9" s="22" t="s">
        <v>157</v>
      </c>
      <c r="M9" s="23" t="n">
        <v>44577</v>
      </c>
      <c r="N9" s="23" t="n">
        <v>44577</v>
      </c>
      <c r="O9" s="22" t="n">
        <v>14</v>
      </c>
      <c r="P9" s="22"/>
      <c r="Q9" s="22"/>
      <c r="R9" s="22"/>
    </row>
    <row r="10" customFormat="false" ht="15" hidden="false" customHeight="false" outlineLevel="0" collapsed="false">
      <c r="A10" s="22" t="s">
        <v>8616</v>
      </c>
      <c r="B10" s="23" t="n">
        <v>44581</v>
      </c>
      <c r="C10" s="22" t="s">
        <v>2751</v>
      </c>
      <c r="D10" s="22" t="n">
        <v>1049</v>
      </c>
      <c r="E10" s="22" t="s">
        <v>7016</v>
      </c>
      <c r="F10" s="22" t="s">
        <v>198</v>
      </c>
      <c r="G10" s="22" t="n">
        <v>28</v>
      </c>
      <c r="H10" s="22" t="s">
        <v>6575</v>
      </c>
      <c r="I10" s="22" t="s">
        <v>8601</v>
      </c>
      <c r="J10" s="22" t="n">
        <v>10.4</v>
      </c>
      <c r="K10" s="22" t="n">
        <v>1</v>
      </c>
      <c r="L10" s="22" t="s">
        <v>8608</v>
      </c>
      <c r="M10" s="23" t="n">
        <v>44591</v>
      </c>
      <c r="N10" s="23" t="n">
        <v>44591</v>
      </c>
      <c r="O10" s="22" t="n">
        <v>10</v>
      </c>
      <c r="P10" s="22"/>
      <c r="Q10" s="22"/>
      <c r="R10" s="22"/>
    </row>
    <row r="11" customFormat="false" ht="15" hidden="false" customHeight="false" outlineLevel="0" collapsed="false">
      <c r="A11" s="22" t="s">
        <v>8617</v>
      </c>
      <c r="B11" s="23" t="n">
        <v>44582</v>
      </c>
      <c r="C11" s="22" t="s">
        <v>168</v>
      </c>
      <c r="D11" s="22" t="n">
        <v>4</v>
      </c>
      <c r="E11" s="22" t="s">
        <v>8145</v>
      </c>
      <c r="F11" s="22" t="s">
        <v>499</v>
      </c>
      <c r="G11" s="22" t="n">
        <v>32</v>
      </c>
      <c r="H11" s="22" t="s">
        <v>7696</v>
      </c>
      <c r="I11" s="22" t="s">
        <v>8601</v>
      </c>
      <c r="J11" s="22" t="n">
        <v>7.55</v>
      </c>
      <c r="K11" s="22" t="n">
        <v>1</v>
      </c>
      <c r="L11" s="22" t="s">
        <v>8602</v>
      </c>
      <c r="M11" s="23" t="n">
        <v>44596</v>
      </c>
      <c r="N11" s="22"/>
      <c r="O11" s="22"/>
      <c r="P11" s="22" t="s">
        <v>8618</v>
      </c>
      <c r="Q11" s="22"/>
      <c r="R11" s="22"/>
    </row>
    <row r="12" customFormat="false" ht="15" hidden="false" customHeight="false" outlineLevel="0" collapsed="false">
      <c r="A12" s="22" t="s">
        <v>8619</v>
      </c>
      <c r="B12" s="23" t="n">
        <v>44571</v>
      </c>
      <c r="C12" s="22" t="s">
        <v>5845</v>
      </c>
      <c r="D12" s="22" t="n">
        <v>2553</v>
      </c>
      <c r="E12" s="22" t="s">
        <v>7614</v>
      </c>
      <c r="F12" s="22" t="s">
        <v>159</v>
      </c>
      <c r="G12" s="22" t="n">
        <v>36</v>
      </c>
      <c r="H12" s="22" t="s">
        <v>6575</v>
      </c>
      <c r="I12" s="22" t="s">
        <v>8601</v>
      </c>
      <c r="J12" s="22" t="n">
        <v>10.4</v>
      </c>
      <c r="K12" s="22" t="n">
        <v>1</v>
      </c>
      <c r="L12" s="22" t="s">
        <v>8605</v>
      </c>
      <c r="M12" s="23" t="n">
        <v>44581</v>
      </c>
      <c r="N12" s="23" t="n">
        <v>44584</v>
      </c>
      <c r="O12" s="22" t="n">
        <v>13</v>
      </c>
      <c r="P12" s="22"/>
      <c r="Q12" s="22" t="s">
        <v>8620</v>
      </c>
      <c r="R12" s="22"/>
    </row>
    <row r="13" customFormat="false" ht="15" hidden="false" customHeight="false" outlineLevel="0" collapsed="false">
      <c r="A13" s="22" t="s">
        <v>8621</v>
      </c>
      <c r="B13" s="23" t="n">
        <v>44568</v>
      </c>
      <c r="C13" s="22" t="s">
        <v>5637</v>
      </c>
      <c r="D13" s="22" t="n">
        <v>2449</v>
      </c>
      <c r="E13" s="22" t="s">
        <v>6757</v>
      </c>
      <c r="F13" s="22" t="s">
        <v>198</v>
      </c>
      <c r="G13" s="22" t="n">
        <v>32</v>
      </c>
      <c r="H13" s="22" t="s">
        <v>6575</v>
      </c>
      <c r="I13" s="22" t="s">
        <v>8601</v>
      </c>
      <c r="J13" s="22" t="n">
        <v>10.4</v>
      </c>
      <c r="K13" s="22" t="n">
        <v>1</v>
      </c>
      <c r="L13" s="22" t="s">
        <v>8608</v>
      </c>
      <c r="M13" s="23" t="n">
        <v>44578</v>
      </c>
      <c r="N13" s="23" t="n">
        <v>44581</v>
      </c>
      <c r="O13" s="22" t="n">
        <v>13</v>
      </c>
      <c r="P13" s="22"/>
      <c r="Q13" s="22"/>
      <c r="R13" s="22"/>
    </row>
    <row r="14" customFormat="false" ht="15" hidden="false" customHeight="false" outlineLevel="0" collapsed="false">
      <c r="A14" s="22" t="s">
        <v>8622</v>
      </c>
      <c r="B14" s="23" t="n">
        <v>44585</v>
      </c>
      <c r="C14" s="22" t="s">
        <v>6210</v>
      </c>
      <c r="D14" s="22" t="n">
        <v>2735</v>
      </c>
      <c r="E14" s="22" t="s">
        <v>6962</v>
      </c>
      <c r="F14" s="22" t="s">
        <v>198</v>
      </c>
      <c r="G14" s="22" t="n">
        <v>32</v>
      </c>
      <c r="H14" s="22" t="s">
        <v>6575</v>
      </c>
      <c r="I14" s="22" t="s">
        <v>8601</v>
      </c>
      <c r="J14" s="22" t="n">
        <v>10.4</v>
      </c>
      <c r="K14" s="22" t="n">
        <v>2</v>
      </c>
      <c r="L14" s="22" t="s">
        <v>8605</v>
      </c>
      <c r="M14" s="23" t="n">
        <v>44595</v>
      </c>
      <c r="N14" s="23" t="n">
        <v>44595</v>
      </c>
      <c r="O14" s="22" t="n">
        <v>10</v>
      </c>
      <c r="P14" s="22"/>
      <c r="Q14" s="22" t="s">
        <v>8623</v>
      </c>
      <c r="R14" s="22"/>
    </row>
    <row r="15" customFormat="false" ht="15" hidden="false" customHeight="false" outlineLevel="0" collapsed="false">
      <c r="A15" s="22" t="s">
        <v>8624</v>
      </c>
      <c r="B15" s="23" t="n">
        <v>44568</v>
      </c>
      <c r="C15" s="22" t="s">
        <v>6388</v>
      </c>
      <c r="D15" s="22" t="n">
        <v>2826</v>
      </c>
      <c r="E15" s="22" t="s">
        <v>6696</v>
      </c>
      <c r="F15" s="22" t="s">
        <v>198</v>
      </c>
      <c r="G15" s="22" t="n">
        <v>32</v>
      </c>
      <c r="H15" s="22" t="s">
        <v>6575</v>
      </c>
      <c r="I15" s="22" t="s">
        <v>8601</v>
      </c>
      <c r="J15" s="22" t="n">
        <v>10.4</v>
      </c>
      <c r="K15" s="22" t="n">
        <v>1</v>
      </c>
      <c r="L15" s="22" t="s">
        <v>8608</v>
      </c>
      <c r="M15" s="23" t="n">
        <v>44578</v>
      </c>
      <c r="N15" s="23" t="n">
        <v>44573</v>
      </c>
      <c r="O15" s="22" t="n">
        <v>5</v>
      </c>
      <c r="P15" s="22"/>
      <c r="Q15" s="22"/>
      <c r="R15" s="22"/>
    </row>
    <row r="16" customFormat="false" ht="15" hidden="false" customHeight="false" outlineLevel="0" collapsed="false">
      <c r="A16" s="22" t="s">
        <v>8625</v>
      </c>
      <c r="B16" s="23" t="n">
        <v>44574</v>
      </c>
      <c r="C16" s="22" t="s">
        <v>2236</v>
      </c>
      <c r="D16" s="22" t="n">
        <v>817</v>
      </c>
      <c r="E16" s="22" t="s">
        <v>8405</v>
      </c>
      <c r="F16" s="22" t="s">
        <v>188</v>
      </c>
      <c r="G16" s="22" t="n">
        <v>32</v>
      </c>
      <c r="H16" s="22" t="s">
        <v>7696</v>
      </c>
      <c r="I16" s="22" t="s">
        <v>8601</v>
      </c>
      <c r="J16" s="22" t="n">
        <v>7.55</v>
      </c>
      <c r="K16" s="22" t="n">
        <v>1</v>
      </c>
      <c r="L16" s="22" t="s">
        <v>8608</v>
      </c>
      <c r="M16" s="23" t="n">
        <v>44588</v>
      </c>
      <c r="N16" s="23" t="n">
        <v>44578</v>
      </c>
      <c r="O16" s="22" t="n">
        <v>4</v>
      </c>
      <c r="P16" s="22"/>
      <c r="Q16" s="22"/>
      <c r="R16" s="22"/>
    </row>
    <row r="17" customFormat="false" ht="15" hidden="false" customHeight="false" outlineLevel="0" collapsed="false">
      <c r="A17" s="22" t="s">
        <v>8626</v>
      </c>
      <c r="B17" s="23" t="n">
        <v>44577</v>
      </c>
      <c r="C17" s="22" t="s">
        <v>1421</v>
      </c>
      <c r="D17" s="22" t="n">
        <v>468</v>
      </c>
      <c r="E17" s="22" t="s">
        <v>7194</v>
      </c>
      <c r="F17" s="22" t="s">
        <v>198</v>
      </c>
      <c r="G17" s="22" t="n">
        <v>28</v>
      </c>
      <c r="H17" s="22" t="s">
        <v>6575</v>
      </c>
      <c r="I17" s="22" t="s">
        <v>8601</v>
      </c>
      <c r="J17" s="22" t="n">
        <v>10.4</v>
      </c>
      <c r="K17" s="22" t="n">
        <v>1</v>
      </c>
      <c r="L17" s="22" t="s">
        <v>8605</v>
      </c>
      <c r="M17" s="23" t="n">
        <v>44587</v>
      </c>
      <c r="N17" s="23" t="n">
        <v>44581</v>
      </c>
      <c r="O17" s="22" t="n">
        <v>4</v>
      </c>
      <c r="P17" s="22"/>
      <c r="Q17" s="22" t="s">
        <v>8627</v>
      </c>
      <c r="R17" s="22"/>
    </row>
    <row r="18" customFormat="false" ht="15" hidden="false" customHeight="false" outlineLevel="0" collapsed="false">
      <c r="A18" s="22" t="s">
        <v>8628</v>
      </c>
      <c r="B18" s="23" t="n">
        <v>44576</v>
      </c>
      <c r="C18" s="22" t="s">
        <v>4426</v>
      </c>
      <c r="D18" s="22" t="n">
        <v>1851</v>
      </c>
      <c r="E18" s="22" t="s">
        <v>8415</v>
      </c>
      <c r="F18" s="22" t="s">
        <v>188</v>
      </c>
      <c r="G18" s="22" t="n">
        <v>24</v>
      </c>
      <c r="H18" s="22" t="s">
        <v>7696</v>
      </c>
      <c r="I18" s="22" t="s">
        <v>8601</v>
      </c>
      <c r="J18" s="22" t="n">
        <v>7.55</v>
      </c>
      <c r="K18" s="22" t="n">
        <v>1</v>
      </c>
      <c r="L18" s="22" t="s">
        <v>8629</v>
      </c>
      <c r="M18" s="23" t="n">
        <v>44590</v>
      </c>
      <c r="N18" s="23" t="n">
        <v>44588</v>
      </c>
      <c r="O18" s="22" t="n">
        <v>12</v>
      </c>
      <c r="P18" s="22"/>
      <c r="Q18" s="22"/>
      <c r="R18" s="22"/>
    </row>
    <row r="19" customFormat="false" ht="15" hidden="false" customHeight="false" outlineLevel="0" collapsed="false">
      <c r="A19" s="22" t="s">
        <v>8630</v>
      </c>
      <c r="B19" s="23" t="n">
        <v>44575</v>
      </c>
      <c r="C19" s="22" t="s">
        <v>1165</v>
      </c>
      <c r="D19" s="22" t="n">
        <v>364</v>
      </c>
      <c r="E19" s="22" t="s">
        <v>8266</v>
      </c>
      <c r="F19" s="22" t="s">
        <v>499</v>
      </c>
      <c r="G19" s="22" t="n">
        <v>45</v>
      </c>
      <c r="H19" s="22" t="s">
        <v>7696</v>
      </c>
      <c r="I19" s="22" t="s">
        <v>8601</v>
      </c>
      <c r="J19" s="22" t="n">
        <v>7.55</v>
      </c>
      <c r="K19" s="22" t="n">
        <v>1</v>
      </c>
      <c r="L19" s="22" t="s">
        <v>8602</v>
      </c>
      <c r="M19" s="23" t="n">
        <v>44589</v>
      </c>
      <c r="N19" s="22"/>
      <c r="O19" s="22"/>
      <c r="P19" s="22" t="s">
        <v>8631</v>
      </c>
      <c r="Q19" s="22"/>
      <c r="R19" s="22"/>
    </row>
    <row r="20" customFormat="false" ht="15" hidden="false" customHeight="false" outlineLevel="0" collapsed="false">
      <c r="A20" s="22" t="s">
        <v>8632</v>
      </c>
      <c r="B20" s="23" t="n">
        <v>44578</v>
      </c>
      <c r="C20" s="22" t="s">
        <v>1972</v>
      </c>
      <c r="D20" s="22" t="n">
        <v>700</v>
      </c>
      <c r="E20" s="22" t="s">
        <v>7234</v>
      </c>
      <c r="F20" s="22" t="s">
        <v>198</v>
      </c>
      <c r="G20" s="22" t="n">
        <v>32</v>
      </c>
      <c r="H20" s="22" t="s">
        <v>6575</v>
      </c>
      <c r="I20" s="22" t="s">
        <v>8601</v>
      </c>
      <c r="J20" s="22" t="n">
        <v>10.4</v>
      </c>
      <c r="K20" s="22" t="n">
        <v>1</v>
      </c>
      <c r="L20" s="22" t="s">
        <v>8602</v>
      </c>
      <c r="M20" s="23" t="n">
        <v>44588</v>
      </c>
      <c r="N20" s="22"/>
      <c r="O20" s="22"/>
      <c r="P20" s="22" t="s">
        <v>8603</v>
      </c>
      <c r="Q20" s="22"/>
      <c r="R20" s="22"/>
    </row>
    <row r="21" customFormat="false" ht="15" hidden="false" customHeight="false" outlineLevel="0" collapsed="false">
      <c r="A21" s="22" t="s">
        <v>8633</v>
      </c>
      <c r="B21" s="23" t="n">
        <v>44573</v>
      </c>
      <c r="C21" s="22" t="s">
        <v>1746</v>
      </c>
      <c r="D21" s="22" t="n">
        <v>605</v>
      </c>
      <c r="E21" s="22" t="s">
        <v>6609</v>
      </c>
      <c r="F21" s="22" t="s">
        <v>198</v>
      </c>
      <c r="G21" s="22" t="n">
        <v>40</v>
      </c>
      <c r="H21" s="22" t="s">
        <v>6575</v>
      </c>
      <c r="I21" s="22" t="s">
        <v>8601</v>
      </c>
      <c r="J21" s="22" t="n">
        <v>10.4</v>
      </c>
      <c r="K21" s="22" t="n">
        <v>1</v>
      </c>
      <c r="L21" s="22" t="s">
        <v>8629</v>
      </c>
      <c r="M21" s="23" t="n">
        <v>44583</v>
      </c>
      <c r="N21" s="23" t="n">
        <v>44586</v>
      </c>
      <c r="O21" s="22" t="n">
        <v>13</v>
      </c>
      <c r="P21" s="22"/>
      <c r="Q21" s="22"/>
      <c r="R21" s="22"/>
    </row>
    <row r="22" customFormat="false" ht="15" hidden="false" customHeight="false" outlineLevel="0" collapsed="false">
      <c r="A22" s="22" t="s">
        <v>8634</v>
      </c>
      <c r="B22" s="23" t="n">
        <v>44579</v>
      </c>
      <c r="C22" s="22" t="s">
        <v>5772</v>
      </c>
      <c r="D22" s="22" t="n">
        <v>2516</v>
      </c>
      <c r="E22" s="22" t="s">
        <v>8155</v>
      </c>
      <c r="F22" s="22" t="s">
        <v>499</v>
      </c>
      <c r="G22" s="22" t="n">
        <v>32</v>
      </c>
      <c r="H22" s="22" t="s">
        <v>7696</v>
      </c>
      <c r="I22" s="22" t="s">
        <v>8601</v>
      </c>
      <c r="J22" s="22" t="n">
        <v>7.55</v>
      </c>
      <c r="K22" s="22" t="n">
        <v>1</v>
      </c>
      <c r="L22" s="22" t="s">
        <v>157</v>
      </c>
      <c r="M22" s="23" t="n">
        <v>44593</v>
      </c>
      <c r="N22" s="23" t="n">
        <v>44592</v>
      </c>
      <c r="O22" s="22" t="n">
        <v>13</v>
      </c>
      <c r="P22" s="22"/>
      <c r="Q22" s="22"/>
      <c r="R22" s="22"/>
    </row>
    <row r="23" customFormat="false" ht="15" hidden="false" customHeight="false" outlineLevel="0" collapsed="false">
      <c r="A23" s="22" t="s">
        <v>8635</v>
      </c>
      <c r="B23" s="23" t="n">
        <v>44564</v>
      </c>
      <c r="C23" s="22" t="s">
        <v>1620</v>
      </c>
      <c r="D23" s="22" t="n">
        <v>553</v>
      </c>
      <c r="E23" s="22" t="s">
        <v>7813</v>
      </c>
      <c r="F23" s="22" t="s">
        <v>215</v>
      </c>
      <c r="G23" s="22" t="n">
        <v>28</v>
      </c>
      <c r="H23" s="22" t="s">
        <v>7696</v>
      </c>
      <c r="I23" s="22" t="s">
        <v>8601</v>
      </c>
      <c r="J23" s="22" t="n">
        <v>7.55</v>
      </c>
      <c r="K23" s="22" t="n">
        <v>1</v>
      </c>
      <c r="L23" s="22" t="s">
        <v>8629</v>
      </c>
      <c r="M23" s="23" t="n">
        <v>44578</v>
      </c>
      <c r="N23" s="23" t="n">
        <v>44578</v>
      </c>
      <c r="O23" s="22" t="n">
        <v>14</v>
      </c>
      <c r="P23" s="22"/>
      <c r="Q23" s="22"/>
      <c r="R23" s="22"/>
    </row>
    <row r="24" customFormat="false" ht="15" hidden="false" customHeight="false" outlineLevel="0" collapsed="false">
      <c r="A24" s="22" t="s">
        <v>8636</v>
      </c>
      <c r="B24" s="23" t="n">
        <v>44585</v>
      </c>
      <c r="C24" s="22" t="s">
        <v>1256</v>
      </c>
      <c r="D24" s="22" t="n">
        <v>399</v>
      </c>
      <c r="E24" s="22" t="s">
        <v>6776</v>
      </c>
      <c r="F24" s="22" t="s">
        <v>198</v>
      </c>
      <c r="G24" s="22" t="n">
        <v>24</v>
      </c>
      <c r="H24" s="22" t="s">
        <v>6575</v>
      </c>
      <c r="I24" s="22" t="s">
        <v>8601</v>
      </c>
      <c r="J24" s="22" t="n">
        <v>10.4</v>
      </c>
      <c r="K24" s="22" t="n">
        <v>1</v>
      </c>
      <c r="L24" s="22" t="s">
        <v>8602</v>
      </c>
      <c r="M24" s="23" t="n">
        <v>44595</v>
      </c>
      <c r="N24" s="22"/>
      <c r="O24" s="22"/>
      <c r="P24" s="22" t="s">
        <v>8637</v>
      </c>
      <c r="Q24" s="22"/>
      <c r="R24" s="22"/>
    </row>
    <row r="25" customFormat="false" ht="15" hidden="false" customHeight="false" outlineLevel="0" collapsed="false">
      <c r="A25" s="22" t="s">
        <v>8638</v>
      </c>
      <c r="B25" s="23" t="n">
        <v>44603</v>
      </c>
      <c r="C25" s="22" t="s">
        <v>5053</v>
      </c>
      <c r="D25" s="22" t="n">
        <v>2158</v>
      </c>
      <c r="E25" s="22" t="s">
        <v>7982</v>
      </c>
      <c r="F25" s="22" t="s">
        <v>215</v>
      </c>
      <c r="G25" s="22" t="n">
        <v>60</v>
      </c>
      <c r="H25" s="22" t="s">
        <v>7696</v>
      </c>
      <c r="I25" s="22" t="s">
        <v>8601</v>
      </c>
      <c r="J25" s="22" t="n">
        <v>7.55</v>
      </c>
      <c r="K25" s="22" t="n">
        <v>1</v>
      </c>
      <c r="L25" s="22" t="s">
        <v>8605</v>
      </c>
      <c r="M25" s="23" t="n">
        <v>44617</v>
      </c>
      <c r="N25" s="23" t="n">
        <v>44617</v>
      </c>
      <c r="O25" s="22" t="n">
        <v>14</v>
      </c>
      <c r="P25" s="22"/>
      <c r="Q25" s="22" t="s">
        <v>8639</v>
      </c>
      <c r="R25" s="22"/>
    </row>
    <row r="26" customFormat="false" ht="15" hidden="false" customHeight="false" outlineLevel="0" collapsed="false">
      <c r="A26" s="22" t="s">
        <v>8640</v>
      </c>
      <c r="B26" s="23" t="n">
        <v>44614</v>
      </c>
      <c r="C26" s="22" t="s">
        <v>6437</v>
      </c>
      <c r="D26" s="22" t="n">
        <v>2852</v>
      </c>
      <c r="E26" s="22" t="s">
        <v>7786</v>
      </c>
      <c r="F26" s="22" t="s">
        <v>215</v>
      </c>
      <c r="G26" s="22" t="n">
        <v>50</v>
      </c>
      <c r="H26" s="22" t="s">
        <v>7696</v>
      </c>
      <c r="I26" s="22" t="s">
        <v>8601</v>
      </c>
      <c r="J26" s="22" t="n">
        <v>7.55</v>
      </c>
      <c r="K26" s="22" t="n">
        <v>2</v>
      </c>
      <c r="L26" s="22" t="s">
        <v>8602</v>
      </c>
      <c r="M26" s="23" t="n">
        <v>44628</v>
      </c>
      <c r="N26" s="22"/>
      <c r="O26" s="22"/>
      <c r="P26" s="22" t="s">
        <v>8631</v>
      </c>
      <c r="Q26" s="22"/>
      <c r="R26" s="22"/>
    </row>
    <row r="27" customFormat="false" ht="15" hidden="false" customHeight="false" outlineLevel="0" collapsed="false">
      <c r="A27" s="22" t="s">
        <v>8641</v>
      </c>
      <c r="B27" s="23" t="n">
        <v>44605</v>
      </c>
      <c r="C27" s="22" t="s">
        <v>5430</v>
      </c>
      <c r="D27" s="22" t="n">
        <v>2346</v>
      </c>
      <c r="E27" s="22" t="s">
        <v>8140</v>
      </c>
      <c r="F27" s="22" t="s">
        <v>499</v>
      </c>
      <c r="G27" s="22" t="n">
        <v>28</v>
      </c>
      <c r="H27" s="22" t="s">
        <v>7696</v>
      </c>
      <c r="I27" s="22" t="s">
        <v>8601</v>
      </c>
      <c r="J27" s="22" t="n">
        <v>7.55</v>
      </c>
      <c r="K27" s="22" t="n">
        <v>1</v>
      </c>
      <c r="L27" s="22" t="s">
        <v>8602</v>
      </c>
      <c r="M27" s="23" t="n">
        <v>44619</v>
      </c>
      <c r="N27" s="22"/>
      <c r="O27" s="22"/>
      <c r="P27" s="22" t="s">
        <v>8603</v>
      </c>
      <c r="Q27" s="22"/>
      <c r="R27" s="22"/>
    </row>
    <row r="28" customFormat="false" ht="15" hidden="false" customHeight="false" outlineLevel="0" collapsed="false">
      <c r="A28" s="22" t="s">
        <v>8642</v>
      </c>
      <c r="B28" s="23" t="n">
        <v>44611</v>
      </c>
      <c r="C28" s="22" t="s">
        <v>3295</v>
      </c>
      <c r="D28" s="22" t="n">
        <v>1299</v>
      </c>
      <c r="E28" s="22" t="s">
        <v>8305</v>
      </c>
      <c r="F28" s="22" t="s">
        <v>499</v>
      </c>
      <c r="G28" s="22" t="n">
        <v>50</v>
      </c>
      <c r="H28" s="22" t="s">
        <v>7696</v>
      </c>
      <c r="I28" s="22" t="s">
        <v>8601</v>
      </c>
      <c r="J28" s="22" t="n">
        <v>7.55</v>
      </c>
      <c r="K28" s="22" t="n">
        <v>2</v>
      </c>
      <c r="L28" s="22" t="s">
        <v>8608</v>
      </c>
      <c r="M28" s="23" t="n">
        <v>44625</v>
      </c>
      <c r="N28" s="23" t="n">
        <v>44621</v>
      </c>
      <c r="O28" s="22" t="n">
        <v>10</v>
      </c>
      <c r="P28" s="22"/>
      <c r="Q28" s="22"/>
      <c r="R28" s="22"/>
    </row>
    <row r="29" customFormat="false" ht="15" hidden="false" customHeight="false" outlineLevel="0" collapsed="false">
      <c r="A29" s="22" t="s">
        <v>8643</v>
      </c>
      <c r="B29" s="23" t="n">
        <v>44600</v>
      </c>
      <c r="C29" s="22" t="s">
        <v>4162</v>
      </c>
      <c r="D29" s="22" t="n">
        <v>1722</v>
      </c>
      <c r="E29" s="22" t="s">
        <v>8268</v>
      </c>
      <c r="F29" s="22" t="s">
        <v>499</v>
      </c>
      <c r="G29" s="22" t="n">
        <v>28</v>
      </c>
      <c r="H29" s="22" t="s">
        <v>7696</v>
      </c>
      <c r="I29" s="22" t="s">
        <v>8601</v>
      </c>
      <c r="J29" s="22" t="n">
        <v>7.55</v>
      </c>
      <c r="K29" s="22" t="n">
        <v>2</v>
      </c>
      <c r="L29" s="22" t="s">
        <v>8605</v>
      </c>
      <c r="M29" s="23" t="n">
        <v>44614</v>
      </c>
      <c r="N29" s="23" t="n">
        <v>44617</v>
      </c>
      <c r="O29" s="22" t="n">
        <v>17</v>
      </c>
      <c r="P29" s="22"/>
      <c r="Q29" s="22" t="s">
        <v>8644</v>
      </c>
      <c r="R29" s="22"/>
    </row>
    <row r="30" customFormat="false" ht="15" hidden="false" customHeight="false" outlineLevel="0" collapsed="false">
      <c r="A30" s="22" t="s">
        <v>8645</v>
      </c>
      <c r="B30" s="23" t="n">
        <v>44604</v>
      </c>
      <c r="C30" s="22" t="s">
        <v>3872</v>
      </c>
      <c r="D30" s="22" t="n">
        <v>1580</v>
      </c>
      <c r="E30" s="22" t="s">
        <v>7681</v>
      </c>
      <c r="F30" s="22" t="s">
        <v>159</v>
      </c>
      <c r="G30" s="22" t="n">
        <v>24</v>
      </c>
      <c r="H30" s="22" t="s">
        <v>6575</v>
      </c>
      <c r="I30" s="22" t="s">
        <v>8601</v>
      </c>
      <c r="J30" s="22" t="n">
        <v>10.4</v>
      </c>
      <c r="K30" s="22" t="n">
        <v>1</v>
      </c>
      <c r="L30" s="22" t="s">
        <v>157</v>
      </c>
      <c r="M30" s="23" t="n">
        <v>44614</v>
      </c>
      <c r="N30" s="23" t="n">
        <v>44616</v>
      </c>
      <c r="O30" s="22" t="n">
        <v>12</v>
      </c>
      <c r="P30" s="22"/>
      <c r="Q30" s="22"/>
      <c r="R30" s="22"/>
    </row>
    <row r="31" customFormat="false" ht="15" hidden="false" customHeight="false" outlineLevel="0" collapsed="false">
      <c r="A31" s="22" t="s">
        <v>8646</v>
      </c>
      <c r="B31" s="23" t="n">
        <v>44600</v>
      </c>
      <c r="C31" s="22" t="s">
        <v>313</v>
      </c>
      <c r="D31" s="22" t="n">
        <v>51</v>
      </c>
      <c r="E31" s="22" t="s">
        <v>8397</v>
      </c>
      <c r="F31" s="22" t="s">
        <v>188</v>
      </c>
      <c r="G31" s="22" t="n">
        <v>32</v>
      </c>
      <c r="H31" s="22" t="s">
        <v>7696</v>
      </c>
      <c r="I31" s="22" t="s">
        <v>8601</v>
      </c>
      <c r="J31" s="22" t="n">
        <v>7.55</v>
      </c>
      <c r="K31" s="22" t="n">
        <v>2</v>
      </c>
      <c r="L31" s="22" t="s">
        <v>8605</v>
      </c>
      <c r="M31" s="23" t="n">
        <v>44614</v>
      </c>
      <c r="N31" s="23" t="n">
        <v>44617</v>
      </c>
      <c r="O31" s="22" t="n">
        <v>17</v>
      </c>
      <c r="P31" s="22"/>
      <c r="Q31" s="22" t="s">
        <v>8647</v>
      </c>
      <c r="R31" s="22"/>
    </row>
    <row r="32" customFormat="false" ht="15" hidden="false" customHeight="false" outlineLevel="0" collapsed="false">
      <c r="A32" s="22" t="s">
        <v>8648</v>
      </c>
      <c r="B32" s="23" t="n">
        <v>44596</v>
      </c>
      <c r="C32" s="22" t="s">
        <v>5897</v>
      </c>
      <c r="D32" s="22" t="n">
        <v>2579</v>
      </c>
      <c r="E32" s="22" t="s">
        <v>8325</v>
      </c>
      <c r="F32" s="22" t="s">
        <v>499</v>
      </c>
      <c r="G32" s="22" t="n">
        <v>80</v>
      </c>
      <c r="H32" s="22" t="s">
        <v>7696</v>
      </c>
      <c r="I32" s="22" t="s">
        <v>8601</v>
      </c>
      <c r="J32" s="22" t="n">
        <v>7.55</v>
      </c>
      <c r="K32" s="22" t="n">
        <v>1</v>
      </c>
      <c r="L32" s="22" t="s">
        <v>8602</v>
      </c>
      <c r="M32" s="23" t="n">
        <v>44610</v>
      </c>
      <c r="N32" s="22"/>
      <c r="O32" s="22"/>
      <c r="P32" s="22" t="s">
        <v>8603</v>
      </c>
      <c r="Q32" s="22"/>
      <c r="R32" s="22"/>
    </row>
    <row r="33" customFormat="false" ht="15" hidden="false" customHeight="false" outlineLevel="0" collapsed="false">
      <c r="A33" s="22" t="s">
        <v>8649</v>
      </c>
      <c r="B33" s="23" t="n">
        <v>44619</v>
      </c>
      <c r="C33" s="22" t="s">
        <v>1734</v>
      </c>
      <c r="D33" s="22" t="n">
        <v>600</v>
      </c>
      <c r="E33" s="22" t="s">
        <v>7792</v>
      </c>
      <c r="F33" s="22" t="s">
        <v>215</v>
      </c>
      <c r="G33" s="22" t="n">
        <v>36</v>
      </c>
      <c r="H33" s="22" t="s">
        <v>7696</v>
      </c>
      <c r="I33" s="22" t="s">
        <v>8601</v>
      </c>
      <c r="J33" s="22" t="n">
        <v>7.55</v>
      </c>
      <c r="K33" s="22" t="n">
        <v>1</v>
      </c>
      <c r="L33" s="22" t="s">
        <v>8629</v>
      </c>
      <c r="M33" s="23" t="n">
        <v>44633</v>
      </c>
      <c r="N33" s="23" t="n">
        <v>44621</v>
      </c>
      <c r="O33" s="22" t="n">
        <v>2</v>
      </c>
      <c r="P33" s="22"/>
      <c r="Q33" s="22"/>
      <c r="R33" s="22"/>
    </row>
    <row r="34" customFormat="false" ht="15" hidden="false" customHeight="false" outlineLevel="0" collapsed="false">
      <c r="A34" s="22" t="s">
        <v>8650</v>
      </c>
      <c r="B34" s="23" t="n">
        <v>44609</v>
      </c>
      <c r="C34" s="22" t="s">
        <v>3134</v>
      </c>
      <c r="D34" s="22" t="n">
        <v>1224</v>
      </c>
      <c r="E34" s="22" t="s">
        <v>6639</v>
      </c>
      <c r="F34" s="22" t="s">
        <v>198</v>
      </c>
      <c r="G34" s="22" t="n">
        <v>32</v>
      </c>
      <c r="H34" s="22" t="s">
        <v>6575</v>
      </c>
      <c r="I34" s="22" t="s">
        <v>8601</v>
      </c>
      <c r="J34" s="22" t="n">
        <v>10.4</v>
      </c>
      <c r="K34" s="22" t="n">
        <v>1</v>
      </c>
      <c r="L34" s="22" t="s">
        <v>8602</v>
      </c>
      <c r="M34" s="23" t="n">
        <v>44619</v>
      </c>
      <c r="N34" s="22"/>
      <c r="O34" s="22"/>
      <c r="P34" s="22" t="s">
        <v>8637</v>
      </c>
      <c r="Q34" s="22"/>
      <c r="R34" s="22"/>
    </row>
    <row r="35" customFormat="false" ht="15" hidden="false" customHeight="false" outlineLevel="0" collapsed="false">
      <c r="A35" s="22" t="s">
        <v>8651</v>
      </c>
      <c r="B35" s="23" t="n">
        <v>44604</v>
      </c>
      <c r="C35" s="22" t="s">
        <v>2575</v>
      </c>
      <c r="D35" s="22" t="n">
        <v>971</v>
      </c>
      <c r="E35" s="22" t="s">
        <v>8083</v>
      </c>
      <c r="F35" s="22" t="s">
        <v>499</v>
      </c>
      <c r="G35" s="22" t="n">
        <v>28</v>
      </c>
      <c r="H35" s="22" t="s">
        <v>7696</v>
      </c>
      <c r="I35" s="22" t="s">
        <v>8601</v>
      </c>
      <c r="J35" s="22" t="n">
        <v>7.55</v>
      </c>
      <c r="K35" s="22" t="n">
        <v>2</v>
      </c>
      <c r="L35" s="22" t="s">
        <v>8629</v>
      </c>
      <c r="M35" s="23" t="n">
        <v>44618</v>
      </c>
      <c r="N35" s="23" t="n">
        <v>44613</v>
      </c>
      <c r="O35" s="22" t="n">
        <v>9</v>
      </c>
      <c r="P35" s="22"/>
      <c r="Q35" s="22"/>
      <c r="R35" s="22"/>
    </row>
    <row r="36" customFormat="false" ht="15" hidden="false" customHeight="false" outlineLevel="0" collapsed="false">
      <c r="A36" s="22" t="s">
        <v>8652</v>
      </c>
      <c r="B36" s="23" t="n">
        <v>44620</v>
      </c>
      <c r="C36" s="22" t="s">
        <v>2781</v>
      </c>
      <c r="D36" s="22" t="n">
        <v>1063</v>
      </c>
      <c r="E36" s="22" t="s">
        <v>7370</v>
      </c>
      <c r="F36" s="22" t="s">
        <v>159</v>
      </c>
      <c r="G36" s="22" t="n">
        <v>28</v>
      </c>
      <c r="H36" s="22" t="s">
        <v>6575</v>
      </c>
      <c r="I36" s="22" t="s">
        <v>8601</v>
      </c>
      <c r="J36" s="22" t="n">
        <v>10.4</v>
      </c>
      <c r="K36" s="22" t="n">
        <v>2</v>
      </c>
      <c r="L36" s="22" t="s">
        <v>8602</v>
      </c>
      <c r="M36" s="23" t="n">
        <v>44630</v>
      </c>
      <c r="N36" s="22"/>
      <c r="O36" s="22"/>
      <c r="P36" s="22" t="s">
        <v>8631</v>
      </c>
      <c r="Q36" s="22"/>
      <c r="R36" s="22"/>
    </row>
    <row r="37" customFormat="false" ht="15" hidden="false" customHeight="false" outlineLevel="0" collapsed="false">
      <c r="A37" s="22" t="s">
        <v>8653</v>
      </c>
      <c r="B37" s="23" t="n">
        <v>44595</v>
      </c>
      <c r="C37" s="22" t="s">
        <v>1020</v>
      </c>
      <c r="D37" s="22" t="n">
        <v>307</v>
      </c>
      <c r="E37" s="22" t="s">
        <v>8176</v>
      </c>
      <c r="F37" s="22" t="s">
        <v>499</v>
      </c>
      <c r="G37" s="22" t="n">
        <v>70</v>
      </c>
      <c r="H37" s="22" t="s">
        <v>7696</v>
      </c>
      <c r="I37" s="22" t="s">
        <v>8601</v>
      </c>
      <c r="J37" s="22" t="n">
        <v>7.55</v>
      </c>
      <c r="K37" s="22" t="n">
        <v>1</v>
      </c>
      <c r="L37" s="22" t="s">
        <v>157</v>
      </c>
      <c r="M37" s="23" t="n">
        <v>44609</v>
      </c>
      <c r="N37" s="23" t="n">
        <v>44604</v>
      </c>
      <c r="O37" s="22" t="n">
        <v>9</v>
      </c>
      <c r="P37" s="22"/>
      <c r="Q37" s="22"/>
      <c r="R37" s="22"/>
    </row>
    <row r="38" customFormat="false" ht="15" hidden="false" customHeight="false" outlineLevel="0" collapsed="false">
      <c r="A38" s="22" t="s">
        <v>8654</v>
      </c>
      <c r="B38" s="23" t="n">
        <v>44640</v>
      </c>
      <c r="C38" s="22" t="s">
        <v>571</v>
      </c>
      <c r="D38" s="22" t="n">
        <v>140</v>
      </c>
      <c r="E38" s="22" t="s">
        <v>8466</v>
      </c>
      <c r="F38" s="22" t="s">
        <v>188</v>
      </c>
      <c r="G38" s="22" t="n">
        <v>32</v>
      </c>
      <c r="H38" s="22" t="s">
        <v>7696</v>
      </c>
      <c r="I38" s="22" t="s">
        <v>8601</v>
      </c>
      <c r="J38" s="22" t="n">
        <v>7.55</v>
      </c>
      <c r="K38" s="22" t="n">
        <v>1</v>
      </c>
      <c r="L38" s="22" t="s">
        <v>8602</v>
      </c>
      <c r="M38" s="23" t="n">
        <v>44654</v>
      </c>
      <c r="N38" s="22"/>
      <c r="O38" s="22"/>
      <c r="P38" s="22" t="s">
        <v>8637</v>
      </c>
      <c r="Q38" s="22"/>
      <c r="R38" s="22"/>
    </row>
    <row r="39" customFormat="false" ht="15" hidden="false" customHeight="false" outlineLevel="0" collapsed="false">
      <c r="A39" s="22" t="s">
        <v>8655</v>
      </c>
      <c r="B39" s="23" t="n">
        <v>44625</v>
      </c>
      <c r="C39" s="22" t="s">
        <v>5570</v>
      </c>
      <c r="D39" s="22" t="n">
        <v>2416</v>
      </c>
      <c r="E39" s="22" t="s">
        <v>8419</v>
      </c>
      <c r="F39" s="22" t="s">
        <v>188</v>
      </c>
      <c r="G39" s="22" t="n">
        <v>32</v>
      </c>
      <c r="H39" s="22" t="s">
        <v>7696</v>
      </c>
      <c r="I39" s="22" t="s">
        <v>8601</v>
      </c>
      <c r="J39" s="22" t="n">
        <v>7.55</v>
      </c>
      <c r="K39" s="22" t="n">
        <v>1</v>
      </c>
      <c r="L39" s="22" t="s">
        <v>8605</v>
      </c>
      <c r="M39" s="23" t="n">
        <v>44639</v>
      </c>
      <c r="N39" s="23" t="n">
        <v>44636</v>
      </c>
      <c r="O39" s="22" t="n">
        <v>11</v>
      </c>
      <c r="P39" s="22"/>
      <c r="Q39" s="22" t="s">
        <v>8656</v>
      </c>
      <c r="R39" s="22"/>
    </row>
    <row r="40" customFormat="false" ht="15" hidden="false" customHeight="false" outlineLevel="0" collapsed="false">
      <c r="A40" s="22" t="s">
        <v>8657</v>
      </c>
      <c r="B40" s="23" t="n">
        <v>44634</v>
      </c>
      <c r="C40" s="22" t="s">
        <v>2479</v>
      </c>
      <c r="D40" s="22" t="n">
        <v>929</v>
      </c>
      <c r="E40" s="22" t="s">
        <v>7724</v>
      </c>
      <c r="F40" s="22" t="s">
        <v>215</v>
      </c>
      <c r="G40" s="22" t="n">
        <v>32</v>
      </c>
      <c r="H40" s="22" t="s">
        <v>7696</v>
      </c>
      <c r="I40" s="22" t="s">
        <v>8601</v>
      </c>
      <c r="J40" s="22" t="n">
        <v>7.55</v>
      </c>
      <c r="K40" s="22" t="n">
        <v>1</v>
      </c>
      <c r="L40" s="22" t="s">
        <v>8602</v>
      </c>
      <c r="M40" s="23" t="n">
        <v>44648</v>
      </c>
      <c r="N40" s="22"/>
      <c r="O40" s="22"/>
      <c r="P40" s="22" t="s">
        <v>8618</v>
      </c>
      <c r="Q40" s="22"/>
      <c r="R40" s="22"/>
    </row>
    <row r="41" customFormat="false" ht="15" hidden="false" customHeight="false" outlineLevel="0" collapsed="false">
      <c r="A41" s="22" t="s">
        <v>8658</v>
      </c>
      <c r="B41" s="23" t="n">
        <v>44637</v>
      </c>
      <c r="C41" s="22" t="s">
        <v>2285</v>
      </c>
      <c r="D41" s="22" t="n">
        <v>839</v>
      </c>
      <c r="E41" s="22" t="s">
        <v>7957</v>
      </c>
      <c r="F41" s="22" t="s">
        <v>215</v>
      </c>
      <c r="G41" s="22" t="n">
        <v>24</v>
      </c>
      <c r="H41" s="22" t="s">
        <v>7696</v>
      </c>
      <c r="I41" s="22" t="s">
        <v>8601</v>
      </c>
      <c r="J41" s="22" t="n">
        <v>7.55</v>
      </c>
      <c r="K41" s="22" t="n">
        <v>1</v>
      </c>
      <c r="L41" s="22" t="s">
        <v>8602</v>
      </c>
      <c r="M41" s="23" t="n">
        <v>44651</v>
      </c>
      <c r="N41" s="22"/>
      <c r="O41" s="22"/>
      <c r="P41" s="22" t="s">
        <v>8637</v>
      </c>
      <c r="Q41" s="22"/>
      <c r="R41" s="22"/>
    </row>
    <row r="42" customFormat="false" ht="15" hidden="false" customHeight="false" outlineLevel="0" collapsed="false">
      <c r="A42" s="22" t="s">
        <v>8659</v>
      </c>
      <c r="B42" s="23" t="n">
        <v>44633</v>
      </c>
      <c r="C42" s="22" t="s">
        <v>1305</v>
      </c>
      <c r="D42" s="22" t="n">
        <v>419</v>
      </c>
      <c r="E42" s="22" t="s">
        <v>8366</v>
      </c>
      <c r="F42" s="22" t="s">
        <v>188</v>
      </c>
      <c r="G42" s="22" t="n">
        <v>24</v>
      </c>
      <c r="H42" s="22" t="s">
        <v>7696</v>
      </c>
      <c r="I42" s="22" t="s">
        <v>8601</v>
      </c>
      <c r="J42" s="22" t="n">
        <v>7.55</v>
      </c>
      <c r="K42" s="22" t="n">
        <v>1</v>
      </c>
      <c r="L42" s="22" t="s">
        <v>8629</v>
      </c>
      <c r="M42" s="23" t="n">
        <v>44647</v>
      </c>
      <c r="N42" s="23" t="n">
        <v>44645</v>
      </c>
      <c r="O42" s="22" t="n">
        <v>12</v>
      </c>
      <c r="P42" s="22"/>
      <c r="Q42" s="22"/>
      <c r="R42" s="22"/>
    </row>
    <row r="43" customFormat="false" ht="15" hidden="false" customHeight="false" outlineLevel="0" collapsed="false">
      <c r="A43" s="22" t="s">
        <v>8660</v>
      </c>
      <c r="B43" s="23" t="n">
        <v>44628</v>
      </c>
      <c r="C43" s="22" t="s">
        <v>4046</v>
      </c>
      <c r="D43" s="22" t="n">
        <v>1665</v>
      </c>
      <c r="E43" s="22" t="s">
        <v>7076</v>
      </c>
      <c r="F43" s="22" t="s">
        <v>198</v>
      </c>
      <c r="G43" s="22" t="n">
        <v>36</v>
      </c>
      <c r="H43" s="22" t="s">
        <v>6575</v>
      </c>
      <c r="I43" s="22" t="s">
        <v>8601</v>
      </c>
      <c r="J43" s="22" t="n">
        <v>10.4</v>
      </c>
      <c r="K43" s="22" t="n">
        <v>1</v>
      </c>
      <c r="L43" s="22" t="s">
        <v>8602</v>
      </c>
      <c r="M43" s="23" t="n">
        <v>44638</v>
      </c>
      <c r="N43" s="22"/>
      <c r="O43" s="22"/>
      <c r="P43" s="22" t="s">
        <v>8618</v>
      </c>
      <c r="Q43" s="22"/>
      <c r="R43" s="22"/>
    </row>
    <row r="44" customFormat="false" ht="15" hidden="false" customHeight="false" outlineLevel="0" collapsed="false">
      <c r="A44" s="22" t="s">
        <v>8661</v>
      </c>
      <c r="B44" s="23" t="n">
        <v>44643</v>
      </c>
      <c r="C44" s="22" t="s">
        <v>4258</v>
      </c>
      <c r="D44" s="22" t="n">
        <v>1769</v>
      </c>
      <c r="E44" s="22" t="s">
        <v>6866</v>
      </c>
      <c r="F44" s="22" t="s">
        <v>198</v>
      </c>
      <c r="G44" s="22" t="n">
        <v>24</v>
      </c>
      <c r="H44" s="22" t="s">
        <v>6575</v>
      </c>
      <c r="I44" s="22" t="s">
        <v>8601</v>
      </c>
      <c r="J44" s="22" t="n">
        <v>10.4</v>
      </c>
      <c r="K44" s="22" t="n">
        <v>1</v>
      </c>
      <c r="L44" s="22" t="s">
        <v>8602</v>
      </c>
      <c r="M44" s="23" t="n">
        <v>44653</v>
      </c>
      <c r="N44" s="22"/>
      <c r="O44" s="22"/>
      <c r="P44" s="22" t="s">
        <v>8637</v>
      </c>
      <c r="Q44" s="22"/>
      <c r="R44" s="22"/>
    </row>
    <row r="45" customFormat="false" ht="15" hidden="false" customHeight="false" outlineLevel="0" collapsed="false">
      <c r="A45" s="22" t="s">
        <v>8662</v>
      </c>
      <c r="B45" s="23" t="n">
        <v>44636</v>
      </c>
      <c r="C45" s="22" t="s">
        <v>6054</v>
      </c>
      <c r="D45" s="22" t="n">
        <v>2657</v>
      </c>
      <c r="E45" s="22" t="s">
        <v>7981</v>
      </c>
      <c r="F45" s="22" t="s">
        <v>215</v>
      </c>
      <c r="G45" s="22" t="n">
        <v>70</v>
      </c>
      <c r="H45" s="22" t="s">
        <v>7696</v>
      </c>
      <c r="I45" s="22" t="s">
        <v>8601</v>
      </c>
      <c r="J45" s="22" t="n">
        <v>7.55</v>
      </c>
      <c r="K45" s="22" t="n">
        <v>1</v>
      </c>
      <c r="L45" s="22" t="s">
        <v>8629</v>
      </c>
      <c r="M45" s="23" t="n">
        <v>44650</v>
      </c>
      <c r="N45" s="23" t="n">
        <v>44653</v>
      </c>
      <c r="O45" s="22" t="n">
        <v>17</v>
      </c>
      <c r="P45" s="22"/>
      <c r="Q45" s="22"/>
      <c r="R45" s="22"/>
    </row>
    <row r="46" customFormat="false" ht="15" hidden="false" customHeight="false" outlineLevel="0" collapsed="false">
      <c r="A46" s="22" t="s">
        <v>8663</v>
      </c>
      <c r="B46" s="23" t="n">
        <v>44628</v>
      </c>
      <c r="C46" s="22" t="s">
        <v>2387</v>
      </c>
      <c r="D46" s="22" t="n">
        <v>886</v>
      </c>
      <c r="E46" s="22" t="s">
        <v>7959</v>
      </c>
      <c r="F46" s="22" t="s">
        <v>215</v>
      </c>
      <c r="G46" s="22" t="n">
        <v>40</v>
      </c>
      <c r="H46" s="22" t="s">
        <v>7696</v>
      </c>
      <c r="I46" s="22" t="s">
        <v>8601</v>
      </c>
      <c r="J46" s="22" t="n">
        <v>7.55</v>
      </c>
      <c r="K46" s="22" t="n">
        <v>1</v>
      </c>
      <c r="L46" s="22" t="s">
        <v>8605</v>
      </c>
      <c r="M46" s="23" t="n">
        <v>44642</v>
      </c>
      <c r="N46" s="23" t="n">
        <v>44638</v>
      </c>
      <c r="O46" s="22" t="n">
        <v>10</v>
      </c>
      <c r="P46" s="22"/>
      <c r="Q46" s="22" t="s">
        <v>8620</v>
      </c>
      <c r="R46" s="22"/>
    </row>
    <row r="47" customFormat="false" ht="15" hidden="false" customHeight="false" outlineLevel="0" collapsed="false">
      <c r="A47" s="22" t="s">
        <v>8664</v>
      </c>
      <c r="B47" s="23" t="n">
        <v>44640</v>
      </c>
      <c r="C47" s="22" t="s">
        <v>5917</v>
      </c>
      <c r="D47" s="22" t="n">
        <v>2589</v>
      </c>
      <c r="E47" s="22" t="s">
        <v>7028</v>
      </c>
      <c r="F47" s="22" t="s">
        <v>198</v>
      </c>
      <c r="G47" s="22" t="n">
        <v>36</v>
      </c>
      <c r="H47" s="22" t="s">
        <v>6575</v>
      </c>
      <c r="I47" s="22" t="s">
        <v>8601</v>
      </c>
      <c r="J47" s="22" t="n">
        <v>10.4</v>
      </c>
      <c r="K47" s="22" t="n">
        <v>1</v>
      </c>
      <c r="L47" s="22" t="s">
        <v>8613</v>
      </c>
      <c r="M47" s="23" t="n">
        <v>44650</v>
      </c>
      <c r="N47" s="22"/>
      <c r="O47" s="22"/>
      <c r="P47" s="22"/>
      <c r="Q47" s="22"/>
      <c r="R47" s="22"/>
    </row>
    <row r="48" customFormat="false" ht="15" hidden="false" customHeight="false" outlineLevel="0" collapsed="false">
      <c r="A48" s="22" t="s">
        <v>8665</v>
      </c>
      <c r="B48" s="23" t="n">
        <v>44625</v>
      </c>
      <c r="C48" s="22" t="s">
        <v>1347</v>
      </c>
      <c r="D48" s="22" t="n">
        <v>437</v>
      </c>
      <c r="E48" s="22" t="s">
        <v>7533</v>
      </c>
      <c r="F48" s="22" t="s">
        <v>159</v>
      </c>
      <c r="G48" s="22" t="n">
        <v>24</v>
      </c>
      <c r="H48" s="22" t="s">
        <v>6575</v>
      </c>
      <c r="I48" s="22" t="s">
        <v>8601</v>
      </c>
      <c r="J48" s="22" t="n">
        <v>10.4</v>
      </c>
      <c r="K48" s="22" t="n">
        <v>1</v>
      </c>
      <c r="L48" s="22" t="s">
        <v>8608</v>
      </c>
      <c r="M48" s="23" t="n">
        <v>44635</v>
      </c>
      <c r="N48" s="23" t="n">
        <v>44632</v>
      </c>
      <c r="O48" s="22" t="n">
        <v>7</v>
      </c>
      <c r="P48" s="22"/>
      <c r="Q48" s="22"/>
      <c r="R48" s="22"/>
    </row>
    <row r="49" customFormat="false" ht="15" hidden="false" customHeight="false" outlineLevel="0" collapsed="false">
      <c r="A49" s="22" t="s">
        <v>8666</v>
      </c>
      <c r="B49" s="23" t="n">
        <v>44645</v>
      </c>
      <c r="C49" s="22" t="s">
        <v>1838</v>
      </c>
      <c r="D49" s="22" t="n">
        <v>642</v>
      </c>
      <c r="E49" s="22" t="s">
        <v>8019</v>
      </c>
      <c r="F49" s="22" t="s">
        <v>215</v>
      </c>
      <c r="G49" s="22" t="n">
        <v>40</v>
      </c>
      <c r="H49" s="22" t="s">
        <v>7696</v>
      </c>
      <c r="I49" s="22" t="s">
        <v>8601</v>
      </c>
      <c r="J49" s="22" t="n">
        <v>7.55</v>
      </c>
      <c r="K49" s="22" t="n">
        <v>2</v>
      </c>
      <c r="L49" s="22" t="s">
        <v>8602</v>
      </c>
      <c r="M49" s="23" t="n">
        <v>44659</v>
      </c>
      <c r="N49" s="22"/>
      <c r="O49" s="22"/>
      <c r="P49" s="22" t="s">
        <v>8631</v>
      </c>
      <c r="Q49" s="22"/>
      <c r="R49" s="22"/>
    </row>
    <row r="50" customFormat="false" ht="15" hidden="false" customHeight="false" outlineLevel="0" collapsed="false">
      <c r="A50" s="22" t="s">
        <v>8667</v>
      </c>
      <c r="B50" s="23" t="n">
        <v>44645</v>
      </c>
      <c r="C50" s="22" t="s">
        <v>6477</v>
      </c>
      <c r="D50" s="22" t="n">
        <v>2872</v>
      </c>
      <c r="E50" s="22" t="s">
        <v>7652</v>
      </c>
      <c r="F50" s="22" t="s">
        <v>159</v>
      </c>
      <c r="G50" s="22" t="n">
        <v>28</v>
      </c>
      <c r="H50" s="22" t="s">
        <v>6575</v>
      </c>
      <c r="I50" s="22" t="s">
        <v>8601</v>
      </c>
      <c r="J50" s="22" t="n">
        <v>10.4</v>
      </c>
      <c r="K50" s="22" t="n">
        <v>1</v>
      </c>
      <c r="L50" s="22" t="s">
        <v>8605</v>
      </c>
      <c r="M50" s="23" t="n">
        <v>44655</v>
      </c>
      <c r="N50" s="23" t="n">
        <v>44657</v>
      </c>
      <c r="O50" s="22" t="n">
        <v>12</v>
      </c>
      <c r="P50" s="22"/>
      <c r="Q50" s="22" t="s">
        <v>8668</v>
      </c>
      <c r="R50" s="22"/>
    </row>
    <row r="51" customFormat="false" ht="15" hidden="false" customHeight="false" outlineLevel="0" collapsed="false">
      <c r="A51" s="22" t="s">
        <v>8669</v>
      </c>
      <c r="B51" s="23" t="n">
        <v>44634</v>
      </c>
      <c r="C51" s="22" t="s">
        <v>3963</v>
      </c>
      <c r="D51" s="22" t="n">
        <v>1625</v>
      </c>
      <c r="E51" s="22" t="s">
        <v>8543</v>
      </c>
      <c r="F51" s="22" t="s">
        <v>188</v>
      </c>
      <c r="G51" s="22" t="n">
        <v>24</v>
      </c>
      <c r="H51" s="22" t="s">
        <v>7696</v>
      </c>
      <c r="I51" s="22" t="s">
        <v>8601</v>
      </c>
      <c r="J51" s="22" t="n">
        <v>7.55</v>
      </c>
      <c r="K51" s="22" t="n">
        <v>1</v>
      </c>
      <c r="L51" s="22" t="s">
        <v>8602</v>
      </c>
      <c r="M51" s="23" t="n">
        <v>44648</v>
      </c>
      <c r="N51" s="22"/>
      <c r="O51" s="22"/>
      <c r="P51" s="22" t="s">
        <v>8637</v>
      </c>
      <c r="Q51" s="22"/>
      <c r="R51" s="22"/>
    </row>
    <row r="52" customFormat="false" ht="15" hidden="false" customHeight="false" outlineLevel="0" collapsed="false">
      <c r="A52" s="22" t="s">
        <v>8670</v>
      </c>
      <c r="B52" s="23" t="n">
        <v>44647</v>
      </c>
      <c r="C52" s="22" t="s">
        <v>4008</v>
      </c>
      <c r="D52" s="22" t="n">
        <v>1647</v>
      </c>
      <c r="E52" s="22" t="s">
        <v>7593</v>
      </c>
      <c r="F52" s="22" t="s">
        <v>159</v>
      </c>
      <c r="G52" s="22" t="n">
        <v>24</v>
      </c>
      <c r="H52" s="22" t="s">
        <v>6575</v>
      </c>
      <c r="I52" s="22" t="s">
        <v>8601</v>
      </c>
      <c r="J52" s="22" t="n">
        <v>10.4</v>
      </c>
      <c r="K52" s="22" t="n">
        <v>2</v>
      </c>
      <c r="L52" s="22" t="s">
        <v>8605</v>
      </c>
      <c r="M52" s="23" t="n">
        <v>44657</v>
      </c>
      <c r="N52" s="23" t="n">
        <v>44656</v>
      </c>
      <c r="O52" s="22" t="n">
        <v>9</v>
      </c>
      <c r="P52" s="22"/>
      <c r="Q52" s="22" t="s">
        <v>8671</v>
      </c>
      <c r="R52" s="22"/>
    </row>
    <row r="53" customFormat="false" ht="15" hidden="false" customHeight="false" outlineLevel="0" collapsed="false">
      <c r="A53" s="22" t="s">
        <v>8672</v>
      </c>
      <c r="B53" s="23" t="n">
        <v>44646</v>
      </c>
      <c r="C53" s="22" t="s">
        <v>6435</v>
      </c>
      <c r="D53" s="22" t="n">
        <v>2851</v>
      </c>
      <c r="E53" s="22" t="s">
        <v>6615</v>
      </c>
      <c r="F53" s="22" t="s">
        <v>198</v>
      </c>
      <c r="G53" s="22" t="n">
        <v>36</v>
      </c>
      <c r="H53" s="22" t="s">
        <v>6575</v>
      </c>
      <c r="I53" s="22" t="s">
        <v>8601</v>
      </c>
      <c r="J53" s="22" t="n">
        <v>10.4</v>
      </c>
      <c r="K53" s="22" t="n">
        <v>1</v>
      </c>
      <c r="L53" s="22" t="s">
        <v>8602</v>
      </c>
      <c r="M53" s="23" t="n">
        <v>44656</v>
      </c>
      <c r="N53" s="22"/>
      <c r="O53" s="22"/>
      <c r="P53" s="22" t="s">
        <v>8618</v>
      </c>
      <c r="Q53" s="22"/>
      <c r="R53" s="22"/>
    </row>
    <row r="54" customFormat="false" ht="15" hidden="false" customHeight="false" outlineLevel="0" collapsed="false">
      <c r="A54" s="22" t="s">
        <v>8673</v>
      </c>
      <c r="B54" s="23" t="n">
        <v>44626</v>
      </c>
      <c r="C54" s="22" t="s">
        <v>6463</v>
      </c>
      <c r="D54" s="22" t="n">
        <v>2865</v>
      </c>
      <c r="E54" s="22" t="s">
        <v>6826</v>
      </c>
      <c r="F54" s="22" t="s">
        <v>198</v>
      </c>
      <c r="G54" s="22" t="n">
        <v>28</v>
      </c>
      <c r="H54" s="22" t="s">
        <v>6575</v>
      </c>
      <c r="I54" s="22" t="s">
        <v>8601</v>
      </c>
      <c r="J54" s="22" t="n">
        <v>10.4</v>
      </c>
      <c r="K54" s="22" t="n">
        <v>1</v>
      </c>
      <c r="L54" s="22" t="s">
        <v>8605</v>
      </c>
      <c r="M54" s="23" t="n">
        <v>44636</v>
      </c>
      <c r="N54" s="23" t="n">
        <v>44631</v>
      </c>
      <c r="O54" s="22" t="n">
        <v>5</v>
      </c>
      <c r="P54" s="22"/>
      <c r="Q54" s="22" t="s">
        <v>8674</v>
      </c>
      <c r="R54" s="22"/>
    </row>
    <row r="55" customFormat="false" ht="15" hidden="false" customHeight="false" outlineLevel="0" collapsed="false">
      <c r="A55" s="22" t="s">
        <v>8675</v>
      </c>
      <c r="B55" s="23" t="n">
        <v>44628</v>
      </c>
      <c r="C55" s="22" t="s">
        <v>2024</v>
      </c>
      <c r="D55" s="22" t="n">
        <v>721</v>
      </c>
      <c r="E55" s="22" t="s">
        <v>8154</v>
      </c>
      <c r="F55" s="22" t="s">
        <v>499</v>
      </c>
      <c r="G55" s="22" t="n">
        <v>24</v>
      </c>
      <c r="H55" s="22" t="s">
        <v>7696</v>
      </c>
      <c r="I55" s="22" t="s">
        <v>8601</v>
      </c>
      <c r="J55" s="22" t="n">
        <v>7.55</v>
      </c>
      <c r="K55" s="22" t="n">
        <v>1</v>
      </c>
      <c r="L55" s="22" t="s">
        <v>8629</v>
      </c>
      <c r="M55" s="23" t="n">
        <v>44642</v>
      </c>
      <c r="N55" s="23" t="n">
        <v>44632</v>
      </c>
      <c r="O55" s="22" t="n">
        <v>4</v>
      </c>
      <c r="P55" s="22"/>
      <c r="Q55" s="22"/>
      <c r="R55" s="22"/>
    </row>
    <row r="56" customFormat="false" ht="15" hidden="false" customHeight="false" outlineLevel="0" collapsed="false">
      <c r="A56" s="22" t="s">
        <v>8676</v>
      </c>
      <c r="B56" s="23" t="n">
        <v>44639</v>
      </c>
      <c r="C56" s="22" t="s">
        <v>5677</v>
      </c>
      <c r="D56" s="22" t="n">
        <v>2469</v>
      </c>
      <c r="E56" s="22" t="s">
        <v>6808</v>
      </c>
      <c r="F56" s="22" t="s">
        <v>198</v>
      </c>
      <c r="G56" s="22" t="n">
        <v>28</v>
      </c>
      <c r="H56" s="22" t="s">
        <v>6575</v>
      </c>
      <c r="I56" s="22" t="s">
        <v>8601</v>
      </c>
      <c r="J56" s="22" t="n">
        <v>10.4</v>
      </c>
      <c r="K56" s="22" t="n">
        <v>1</v>
      </c>
      <c r="L56" s="22" t="s">
        <v>8608</v>
      </c>
      <c r="M56" s="23" t="n">
        <v>44649</v>
      </c>
      <c r="N56" s="23" t="n">
        <v>44642</v>
      </c>
      <c r="O56" s="22" t="n">
        <v>3</v>
      </c>
      <c r="P56" s="22"/>
      <c r="Q56" s="22"/>
      <c r="R56" s="22"/>
    </row>
    <row r="57" customFormat="false" ht="15" hidden="false" customHeight="false" outlineLevel="0" collapsed="false">
      <c r="A57" s="22" t="s">
        <v>8677</v>
      </c>
      <c r="B57" s="23" t="n">
        <v>44629</v>
      </c>
      <c r="C57" s="22" t="s">
        <v>6099</v>
      </c>
      <c r="D57" s="22" t="n">
        <v>2679</v>
      </c>
      <c r="E57" s="22" t="s">
        <v>7929</v>
      </c>
      <c r="F57" s="22" t="s">
        <v>215</v>
      </c>
      <c r="G57" s="22" t="n">
        <v>50</v>
      </c>
      <c r="H57" s="22" t="s">
        <v>7696</v>
      </c>
      <c r="I57" s="22" t="s">
        <v>8601</v>
      </c>
      <c r="J57" s="22" t="n">
        <v>7.55</v>
      </c>
      <c r="K57" s="22" t="n">
        <v>2</v>
      </c>
      <c r="L57" s="22" t="s">
        <v>8629</v>
      </c>
      <c r="M57" s="23" t="n">
        <v>44643</v>
      </c>
      <c r="N57" s="23" t="n">
        <v>44632</v>
      </c>
      <c r="O57" s="22" t="n">
        <v>3</v>
      </c>
      <c r="P57" s="22"/>
      <c r="Q57" s="22"/>
      <c r="R57" s="22"/>
    </row>
    <row r="58" customFormat="false" ht="15" hidden="false" customHeight="false" outlineLevel="0" collapsed="false">
      <c r="A58" s="22" t="s">
        <v>8678</v>
      </c>
      <c r="B58" s="23" t="n">
        <v>44632</v>
      </c>
      <c r="C58" s="22" t="s">
        <v>2191</v>
      </c>
      <c r="D58" s="22" t="n">
        <v>797</v>
      </c>
      <c r="E58" s="22" t="s">
        <v>8090</v>
      </c>
      <c r="F58" s="22" t="s">
        <v>499</v>
      </c>
      <c r="G58" s="22" t="n">
        <v>60</v>
      </c>
      <c r="H58" s="22" t="s">
        <v>7696</v>
      </c>
      <c r="I58" s="22" t="s">
        <v>8601</v>
      </c>
      <c r="J58" s="22" t="n">
        <v>7.55</v>
      </c>
      <c r="K58" s="22" t="n">
        <v>1</v>
      </c>
      <c r="L58" s="22" t="s">
        <v>8605</v>
      </c>
      <c r="M58" s="23" t="n">
        <v>44646</v>
      </c>
      <c r="N58" s="23" t="n">
        <v>44633</v>
      </c>
      <c r="O58" s="22" t="n">
        <v>1</v>
      </c>
      <c r="P58" s="22"/>
      <c r="Q58" s="22" t="s">
        <v>8679</v>
      </c>
      <c r="R58" s="22"/>
    </row>
    <row r="59" customFormat="false" ht="15" hidden="false" customHeight="false" outlineLevel="0" collapsed="false">
      <c r="A59" s="22" t="s">
        <v>8680</v>
      </c>
      <c r="B59" s="23" t="n">
        <v>44643</v>
      </c>
      <c r="C59" s="22" t="s">
        <v>2852</v>
      </c>
      <c r="D59" s="22" t="n">
        <v>1096</v>
      </c>
      <c r="E59" s="22" t="s">
        <v>8079</v>
      </c>
      <c r="F59" s="22" t="s">
        <v>499</v>
      </c>
      <c r="G59" s="22" t="n">
        <v>40</v>
      </c>
      <c r="H59" s="22" t="s">
        <v>7696</v>
      </c>
      <c r="I59" s="22" t="s">
        <v>8601</v>
      </c>
      <c r="J59" s="22" t="n">
        <v>7.55</v>
      </c>
      <c r="K59" s="22" t="n">
        <v>1</v>
      </c>
      <c r="L59" s="22" t="s">
        <v>8605</v>
      </c>
      <c r="M59" s="23" t="n">
        <v>44657</v>
      </c>
      <c r="N59" s="23" t="n">
        <v>44649</v>
      </c>
      <c r="O59" s="22" t="n">
        <v>6</v>
      </c>
      <c r="P59" s="22"/>
      <c r="Q59" s="22" t="s">
        <v>8681</v>
      </c>
      <c r="R59" s="22"/>
    </row>
    <row r="60" customFormat="false" ht="15" hidden="false" customHeight="false" outlineLevel="0" collapsed="false">
      <c r="A60" s="22" t="s">
        <v>8682</v>
      </c>
      <c r="B60" s="23" t="n">
        <v>44676</v>
      </c>
      <c r="C60" s="22" t="s">
        <v>810</v>
      </c>
      <c r="D60" s="22" t="n">
        <v>227</v>
      </c>
      <c r="E60" s="22" t="s">
        <v>6897</v>
      </c>
      <c r="F60" s="22" t="s">
        <v>198</v>
      </c>
      <c r="G60" s="22" t="n">
        <v>28</v>
      </c>
      <c r="H60" s="22" t="s">
        <v>6575</v>
      </c>
      <c r="I60" s="22" t="s">
        <v>8601</v>
      </c>
      <c r="J60" s="22" t="n">
        <v>10.4</v>
      </c>
      <c r="K60" s="22" t="n">
        <v>1</v>
      </c>
      <c r="L60" s="22" t="s">
        <v>8602</v>
      </c>
      <c r="M60" s="23" t="n">
        <v>44686</v>
      </c>
      <c r="N60" s="22"/>
      <c r="O60" s="22"/>
      <c r="P60" s="22" t="s">
        <v>8618</v>
      </c>
      <c r="Q60" s="22"/>
      <c r="R60" s="22"/>
    </row>
    <row r="61" customFormat="false" ht="15" hidden="false" customHeight="false" outlineLevel="0" collapsed="false">
      <c r="A61" s="22" t="s">
        <v>8683</v>
      </c>
      <c r="B61" s="23" t="n">
        <v>44679</v>
      </c>
      <c r="C61" s="22" t="s">
        <v>1604</v>
      </c>
      <c r="D61" s="22" t="n">
        <v>545</v>
      </c>
      <c r="E61" s="22" t="s">
        <v>8516</v>
      </c>
      <c r="F61" s="22" t="s">
        <v>188</v>
      </c>
      <c r="G61" s="22" t="n">
        <v>70</v>
      </c>
      <c r="H61" s="22" t="s">
        <v>7696</v>
      </c>
      <c r="I61" s="22" t="s">
        <v>8601</v>
      </c>
      <c r="J61" s="22" t="n">
        <v>7.55</v>
      </c>
      <c r="K61" s="22" t="n">
        <v>1</v>
      </c>
      <c r="L61" s="22" t="s">
        <v>8602</v>
      </c>
      <c r="M61" s="23" t="n">
        <v>44693</v>
      </c>
      <c r="N61" s="22"/>
      <c r="O61" s="22"/>
      <c r="P61" s="22" t="s">
        <v>8603</v>
      </c>
      <c r="Q61" s="22"/>
      <c r="R61" s="22"/>
    </row>
    <row r="62" customFormat="false" ht="15" hidden="false" customHeight="false" outlineLevel="0" collapsed="false">
      <c r="A62" s="22" t="s">
        <v>8684</v>
      </c>
      <c r="B62" s="23" t="n">
        <v>44658</v>
      </c>
      <c r="C62" s="22" t="s">
        <v>5399</v>
      </c>
      <c r="D62" s="22" t="n">
        <v>2330</v>
      </c>
      <c r="E62" s="22" t="s">
        <v>7415</v>
      </c>
      <c r="F62" s="22" t="s">
        <v>159</v>
      </c>
      <c r="G62" s="22" t="n">
        <v>32</v>
      </c>
      <c r="H62" s="22" t="s">
        <v>6575</v>
      </c>
      <c r="I62" s="22" t="s">
        <v>8601</v>
      </c>
      <c r="J62" s="22" t="n">
        <v>10.4</v>
      </c>
      <c r="K62" s="22" t="n">
        <v>1</v>
      </c>
      <c r="L62" s="22" t="s">
        <v>8629</v>
      </c>
      <c r="M62" s="23" t="n">
        <v>44668</v>
      </c>
      <c r="N62" s="23" t="n">
        <v>44661</v>
      </c>
      <c r="O62" s="22" t="n">
        <v>3</v>
      </c>
      <c r="P62" s="22"/>
      <c r="Q62" s="22"/>
      <c r="R62" s="22"/>
    </row>
    <row r="63" customFormat="false" ht="15" hidden="false" customHeight="false" outlineLevel="0" collapsed="false">
      <c r="A63" s="22" t="s">
        <v>8685</v>
      </c>
      <c r="B63" s="23" t="n">
        <v>44661</v>
      </c>
      <c r="C63" s="22" t="s">
        <v>4203</v>
      </c>
      <c r="D63" s="22" t="n">
        <v>1742</v>
      </c>
      <c r="E63" s="22" t="s">
        <v>7709</v>
      </c>
      <c r="F63" s="22" t="s">
        <v>215</v>
      </c>
      <c r="G63" s="22" t="n">
        <v>60</v>
      </c>
      <c r="H63" s="22" t="s">
        <v>7696</v>
      </c>
      <c r="I63" s="22" t="s">
        <v>8601</v>
      </c>
      <c r="J63" s="22" t="n">
        <v>7.55</v>
      </c>
      <c r="K63" s="22" t="n">
        <v>1</v>
      </c>
      <c r="L63" s="22" t="s">
        <v>8602</v>
      </c>
      <c r="M63" s="23" t="n">
        <v>44675</v>
      </c>
      <c r="N63" s="22"/>
      <c r="O63" s="22"/>
      <c r="P63" s="22" t="s">
        <v>8618</v>
      </c>
      <c r="Q63" s="22"/>
      <c r="R63" s="22"/>
    </row>
    <row r="64" customFormat="false" ht="15" hidden="false" customHeight="false" outlineLevel="0" collapsed="false">
      <c r="A64" s="22" t="s">
        <v>8686</v>
      </c>
      <c r="B64" s="23" t="n">
        <v>44652</v>
      </c>
      <c r="C64" s="22" t="s">
        <v>5284</v>
      </c>
      <c r="D64" s="22" t="n">
        <v>2272</v>
      </c>
      <c r="E64" s="22" t="s">
        <v>7379</v>
      </c>
      <c r="F64" s="22" t="s">
        <v>159</v>
      </c>
      <c r="G64" s="22" t="n">
        <v>28</v>
      </c>
      <c r="H64" s="22" t="s">
        <v>6575</v>
      </c>
      <c r="I64" s="22" t="s">
        <v>8601</v>
      </c>
      <c r="J64" s="22" t="n">
        <v>10.4</v>
      </c>
      <c r="K64" s="22" t="n">
        <v>2</v>
      </c>
      <c r="L64" s="22" t="s">
        <v>8602</v>
      </c>
      <c r="M64" s="23" t="n">
        <v>44662</v>
      </c>
      <c r="N64" s="22"/>
      <c r="O64" s="22"/>
      <c r="P64" s="22" t="s">
        <v>8618</v>
      </c>
      <c r="Q64" s="22"/>
      <c r="R64" s="22"/>
    </row>
    <row r="65" customFormat="false" ht="15" hidden="false" customHeight="false" outlineLevel="0" collapsed="false">
      <c r="A65" s="22" t="s">
        <v>8687</v>
      </c>
      <c r="B65" s="23" t="n">
        <v>44669</v>
      </c>
      <c r="C65" s="22" t="s">
        <v>4396</v>
      </c>
      <c r="D65" s="22" t="n">
        <v>1836</v>
      </c>
      <c r="E65" s="22" t="s">
        <v>7424</v>
      </c>
      <c r="F65" s="22" t="s">
        <v>159</v>
      </c>
      <c r="G65" s="22" t="n">
        <v>24</v>
      </c>
      <c r="H65" s="22" t="s">
        <v>6575</v>
      </c>
      <c r="I65" s="22" t="s">
        <v>8601</v>
      </c>
      <c r="J65" s="22" t="n">
        <v>10.4</v>
      </c>
      <c r="K65" s="22" t="n">
        <v>1</v>
      </c>
      <c r="L65" s="22" t="s">
        <v>8602</v>
      </c>
      <c r="M65" s="23" t="n">
        <v>44679</v>
      </c>
      <c r="N65" s="22"/>
      <c r="O65" s="22"/>
      <c r="P65" s="22" t="s">
        <v>8637</v>
      </c>
      <c r="Q65" s="22"/>
      <c r="R65" s="22"/>
    </row>
    <row r="66" customFormat="false" ht="15" hidden="false" customHeight="false" outlineLevel="0" collapsed="false">
      <c r="A66" s="22" t="s">
        <v>8688</v>
      </c>
      <c r="B66" s="23" t="n">
        <v>44674</v>
      </c>
      <c r="C66" s="22" t="s">
        <v>5687</v>
      </c>
      <c r="D66" s="22" t="n">
        <v>2474</v>
      </c>
      <c r="E66" s="22" t="s">
        <v>7731</v>
      </c>
      <c r="F66" s="22" t="s">
        <v>215</v>
      </c>
      <c r="G66" s="22" t="n">
        <v>32</v>
      </c>
      <c r="H66" s="22" t="s">
        <v>7696</v>
      </c>
      <c r="I66" s="22" t="s">
        <v>8601</v>
      </c>
      <c r="J66" s="22" t="n">
        <v>7.55</v>
      </c>
      <c r="K66" s="22" t="n">
        <v>1</v>
      </c>
      <c r="L66" s="22" t="s">
        <v>157</v>
      </c>
      <c r="M66" s="23" t="n">
        <v>44688</v>
      </c>
      <c r="N66" s="23" t="n">
        <v>44676</v>
      </c>
      <c r="O66" s="22" t="n">
        <v>2</v>
      </c>
      <c r="P66" s="22"/>
      <c r="Q66" s="22"/>
      <c r="R66" s="22"/>
    </row>
    <row r="67" customFormat="false" ht="15" hidden="false" customHeight="false" outlineLevel="0" collapsed="false">
      <c r="A67" s="22" t="s">
        <v>8689</v>
      </c>
      <c r="B67" s="23" t="n">
        <v>44656</v>
      </c>
      <c r="C67" s="22" t="s">
        <v>4380</v>
      </c>
      <c r="D67" s="22" t="n">
        <v>1828</v>
      </c>
      <c r="E67" s="22" t="s">
        <v>7836</v>
      </c>
      <c r="F67" s="22" t="s">
        <v>215</v>
      </c>
      <c r="G67" s="22" t="n">
        <v>45</v>
      </c>
      <c r="H67" s="22" t="s">
        <v>7696</v>
      </c>
      <c r="I67" s="22" t="s">
        <v>8601</v>
      </c>
      <c r="J67" s="22" t="n">
        <v>7.55</v>
      </c>
      <c r="K67" s="22" t="n">
        <v>1</v>
      </c>
      <c r="L67" s="22" t="s">
        <v>8605</v>
      </c>
      <c r="M67" s="23" t="n">
        <v>44670</v>
      </c>
      <c r="N67" s="23" t="n">
        <v>44668</v>
      </c>
      <c r="O67" s="22" t="n">
        <v>12</v>
      </c>
      <c r="P67" s="22"/>
      <c r="Q67" s="22" t="s">
        <v>8690</v>
      </c>
      <c r="R67" s="22"/>
    </row>
    <row r="68" customFormat="false" ht="15" hidden="false" customHeight="false" outlineLevel="0" collapsed="false">
      <c r="A68" s="22" t="s">
        <v>8691</v>
      </c>
      <c r="B68" s="23" t="n">
        <v>44652</v>
      </c>
      <c r="C68" s="22" t="s">
        <v>5937</v>
      </c>
      <c r="D68" s="22" t="n">
        <v>2599</v>
      </c>
      <c r="E68" s="22" t="s">
        <v>6829</v>
      </c>
      <c r="F68" s="22" t="s">
        <v>198</v>
      </c>
      <c r="G68" s="22" t="n">
        <v>40</v>
      </c>
      <c r="H68" s="22" t="s">
        <v>6575</v>
      </c>
      <c r="I68" s="22" t="s">
        <v>8601</v>
      </c>
      <c r="J68" s="22" t="n">
        <v>10.4</v>
      </c>
      <c r="K68" s="22" t="n">
        <v>1</v>
      </c>
      <c r="L68" s="22" t="s">
        <v>8629</v>
      </c>
      <c r="M68" s="23" t="n">
        <v>44662</v>
      </c>
      <c r="N68" s="23" t="n">
        <v>44664</v>
      </c>
      <c r="O68" s="22" t="n">
        <v>12</v>
      </c>
      <c r="P68" s="22"/>
      <c r="Q68" s="22"/>
      <c r="R68" s="22"/>
    </row>
    <row r="69" customFormat="false" ht="15" hidden="false" customHeight="false" outlineLevel="0" collapsed="false">
      <c r="A69" s="22" t="s">
        <v>8692</v>
      </c>
      <c r="B69" s="23" t="n">
        <v>44661</v>
      </c>
      <c r="C69" s="22" t="s">
        <v>5208</v>
      </c>
      <c r="D69" s="22" t="n">
        <v>2235</v>
      </c>
      <c r="E69" s="22" t="s">
        <v>8369</v>
      </c>
      <c r="F69" s="22" t="s">
        <v>188</v>
      </c>
      <c r="G69" s="22" t="n">
        <v>32</v>
      </c>
      <c r="H69" s="22" t="s">
        <v>7696</v>
      </c>
      <c r="I69" s="22" t="s">
        <v>8601</v>
      </c>
      <c r="J69" s="22" t="n">
        <v>7.55</v>
      </c>
      <c r="K69" s="22" t="n">
        <v>2</v>
      </c>
      <c r="L69" s="22" t="s">
        <v>8605</v>
      </c>
      <c r="M69" s="23" t="n">
        <v>44675</v>
      </c>
      <c r="N69" s="23" t="n">
        <v>44669</v>
      </c>
      <c r="O69" s="22" t="n">
        <v>8</v>
      </c>
      <c r="P69" s="22"/>
      <c r="Q69" s="22" t="s">
        <v>8693</v>
      </c>
      <c r="R69" s="22"/>
    </row>
    <row r="70" customFormat="false" ht="15" hidden="false" customHeight="false" outlineLevel="0" collapsed="false">
      <c r="A70" s="22" t="s">
        <v>8694</v>
      </c>
      <c r="B70" s="23" t="n">
        <v>44673</v>
      </c>
      <c r="C70" s="22" t="s">
        <v>900</v>
      </c>
      <c r="D70" s="22" t="n">
        <v>262</v>
      </c>
      <c r="E70" s="22" t="s">
        <v>7832</v>
      </c>
      <c r="F70" s="22" t="s">
        <v>215</v>
      </c>
      <c r="G70" s="22" t="n">
        <v>36</v>
      </c>
      <c r="H70" s="22" t="s">
        <v>7696</v>
      </c>
      <c r="I70" s="22" t="s">
        <v>8601</v>
      </c>
      <c r="J70" s="22" t="n">
        <v>7.55</v>
      </c>
      <c r="K70" s="22" t="n">
        <v>2</v>
      </c>
      <c r="L70" s="22" t="s">
        <v>8602</v>
      </c>
      <c r="M70" s="23" t="n">
        <v>44687</v>
      </c>
      <c r="N70" s="22"/>
      <c r="O70" s="22"/>
      <c r="P70" s="22" t="s">
        <v>8618</v>
      </c>
      <c r="Q70" s="22"/>
      <c r="R70" s="22"/>
    </row>
    <row r="71" customFormat="false" ht="15" hidden="false" customHeight="false" outlineLevel="0" collapsed="false">
      <c r="A71" s="22" t="s">
        <v>8695</v>
      </c>
      <c r="B71" s="23" t="n">
        <v>44678</v>
      </c>
      <c r="C71" s="22" t="s">
        <v>408</v>
      </c>
      <c r="D71" s="22" t="n">
        <v>84</v>
      </c>
      <c r="E71" s="22" t="s">
        <v>8303</v>
      </c>
      <c r="F71" s="22" t="s">
        <v>499</v>
      </c>
      <c r="G71" s="22" t="n">
        <v>24</v>
      </c>
      <c r="H71" s="22" t="s">
        <v>7696</v>
      </c>
      <c r="I71" s="22" t="s">
        <v>8601</v>
      </c>
      <c r="J71" s="22" t="n">
        <v>7.55</v>
      </c>
      <c r="K71" s="22" t="n">
        <v>1</v>
      </c>
      <c r="L71" s="22" t="s">
        <v>8602</v>
      </c>
      <c r="M71" s="23" t="n">
        <v>44692</v>
      </c>
      <c r="N71" s="22"/>
      <c r="O71" s="22"/>
      <c r="P71" s="22" t="s">
        <v>8603</v>
      </c>
      <c r="Q71" s="22"/>
      <c r="R71" s="22"/>
    </row>
    <row r="72" customFormat="false" ht="15" hidden="false" customHeight="false" outlineLevel="0" collapsed="false">
      <c r="A72" s="22" t="s">
        <v>8696</v>
      </c>
      <c r="B72" s="23" t="n">
        <v>44676</v>
      </c>
      <c r="C72" s="22" t="s">
        <v>3101</v>
      </c>
      <c r="D72" s="22" t="n">
        <v>1209</v>
      </c>
      <c r="E72" s="22" t="s">
        <v>8184</v>
      </c>
      <c r="F72" s="22" t="s">
        <v>499</v>
      </c>
      <c r="G72" s="22" t="n">
        <v>80</v>
      </c>
      <c r="H72" s="22" t="s">
        <v>7696</v>
      </c>
      <c r="I72" s="22" t="s">
        <v>8601</v>
      </c>
      <c r="J72" s="22" t="n">
        <v>7.55</v>
      </c>
      <c r="K72" s="22" t="n">
        <v>1</v>
      </c>
      <c r="L72" s="22" t="s">
        <v>8605</v>
      </c>
      <c r="M72" s="23" t="n">
        <v>44690</v>
      </c>
      <c r="N72" s="23" t="n">
        <v>44692</v>
      </c>
      <c r="O72" s="22" t="n">
        <v>16</v>
      </c>
      <c r="P72" s="22"/>
      <c r="Q72" s="22" t="s">
        <v>8697</v>
      </c>
      <c r="R72" s="22"/>
    </row>
    <row r="73" customFormat="false" ht="15" hidden="false" customHeight="false" outlineLevel="0" collapsed="false">
      <c r="A73" s="22" t="s">
        <v>8698</v>
      </c>
      <c r="B73" s="23" t="n">
        <v>44664</v>
      </c>
      <c r="C73" s="22" t="s">
        <v>5158</v>
      </c>
      <c r="D73" s="22" t="n">
        <v>2210</v>
      </c>
      <c r="E73" s="22" t="s">
        <v>7148</v>
      </c>
      <c r="F73" s="22" t="s">
        <v>198</v>
      </c>
      <c r="G73" s="22" t="n">
        <v>24</v>
      </c>
      <c r="H73" s="22" t="s">
        <v>6575</v>
      </c>
      <c r="I73" s="22" t="s">
        <v>8601</v>
      </c>
      <c r="J73" s="22" t="n">
        <v>10.4</v>
      </c>
      <c r="K73" s="22" t="n">
        <v>1</v>
      </c>
      <c r="L73" s="22" t="s">
        <v>157</v>
      </c>
      <c r="M73" s="23" t="n">
        <v>44674</v>
      </c>
      <c r="N73" s="23" t="n">
        <v>44677</v>
      </c>
      <c r="O73" s="22" t="n">
        <v>13</v>
      </c>
      <c r="P73" s="22"/>
      <c r="Q73" s="22"/>
      <c r="R73" s="22"/>
    </row>
    <row r="74" customFormat="false" ht="15" hidden="false" customHeight="false" outlineLevel="0" collapsed="false">
      <c r="A74" s="22" t="s">
        <v>8699</v>
      </c>
      <c r="B74" s="23" t="n">
        <v>44658</v>
      </c>
      <c r="C74" s="22" t="s">
        <v>2949</v>
      </c>
      <c r="D74" s="22" t="n">
        <v>1140</v>
      </c>
      <c r="E74" s="22" t="s">
        <v>7835</v>
      </c>
      <c r="F74" s="22" t="s">
        <v>215</v>
      </c>
      <c r="G74" s="22" t="n">
        <v>70</v>
      </c>
      <c r="H74" s="22" t="s">
        <v>7696</v>
      </c>
      <c r="I74" s="22" t="s">
        <v>8601</v>
      </c>
      <c r="J74" s="22" t="n">
        <v>7.55</v>
      </c>
      <c r="K74" s="22" t="n">
        <v>1</v>
      </c>
      <c r="L74" s="22" t="s">
        <v>8605</v>
      </c>
      <c r="M74" s="23" t="n">
        <v>44672</v>
      </c>
      <c r="N74" s="23" t="n">
        <v>44665</v>
      </c>
      <c r="O74" s="22" t="n">
        <v>7</v>
      </c>
      <c r="P74" s="22"/>
      <c r="Q74" s="22" t="s">
        <v>8700</v>
      </c>
      <c r="R74" s="22"/>
    </row>
    <row r="75" customFormat="false" ht="15" hidden="false" customHeight="false" outlineLevel="0" collapsed="false">
      <c r="A75" s="22" t="s">
        <v>8701</v>
      </c>
      <c r="B75" s="23" t="n">
        <v>44676</v>
      </c>
      <c r="C75" s="22" t="s">
        <v>2657</v>
      </c>
      <c r="D75" s="22" t="n">
        <v>1007</v>
      </c>
      <c r="E75" s="22" t="s">
        <v>8459</v>
      </c>
      <c r="F75" s="22" t="s">
        <v>188</v>
      </c>
      <c r="G75" s="22" t="n">
        <v>80</v>
      </c>
      <c r="H75" s="22" t="s">
        <v>7696</v>
      </c>
      <c r="I75" s="22" t="s">
        <v>8601</v>
      </c>
      <c r="J75" s="22" t="n">
        <v>7.55</v>
      </c>
      <c r="K75" s="22" t="n">
        <v>1</v>
      </c>
      <c r="L75" s="22" t="s">
        <v>8629</v>
      </c>
      <c r="M75" s="23" t="n">
        <v>44690</v>
      </c>
      <c r="N75" s="23" t="n">
        <v>44681</v>
      </c>
      <c r="O75" s="22" t="n">
        <v>5</v>
      </c>
      <c r="P75" s="22"/>
      <c r="Q75" s="22"/>
      <c r="R75" s="22"/>
    </row>
    <row r="76" customFormat="false" ht="15" hidden="false" customHeight="false" outlineLevel="0" collapsed="false">
      <c r="A76" s="22" t="s">
        <v>8702</v>
      </c>
      <c r="B76" s="23" t="n">
        <v>44662</v>
      </c>
      <c r="C76" s="22" t="s">
        <v>2448</v>
      </c>
      <c r="D76" s="22" t="n">
        <v>914</v>
      </c>
      <c r="E76" s="22" t="s">
        <v>7260</v>
      </c>
      <c r="F76" s="22" t="s">
        <v>198</v>
      </c>
      <c r="G76" s="22" t="n">
        <v>24</v>
      </c>
      <c r="H76" s="22" t="s">
        <v>6575</v>
      </c>
      <c r="I76" s="22" t="s">
        <v>8601</v>
      </c>
      <c r="J76" s="22" t="n">
        <v>10.4</v>
      </c>
      <c r="K76" s="22" t="n">
        <v>1</v>
      </c>
      <c r="L76" s="22" t="s">
        <v>8605</v>
      </c>
      <c r="M76" s="23" t="n">
        <v>44672</v>
      </c>
      <c r="N76" s="23" t="n">
        <v>44672</v>
      </c>
      <c r="O76" s="22" t="n">
        <v>10</v>
      </c>
      <c r="P76" s="22"/>
      <c r="Q76" s="22" t="s">
        <v>8703</v>
      </c>
      <c r="R76" s="22"/>
    </row>
    <row r="77" customFormat="false" ht="15" hidden="false" customHeight="false" outlineLevel="0" collapsed="false">
      <c r="A77" s="22" t="s">
        <v>8704</v>
      </c>
      <c r="B77" s="23" t="n">
        <v>44676</v>
      </c>
      <c r="C77" s="22" t="s">
        <v>4146</v>
      </c>
      <c r="D77" s="22" t="n">
        <v>1714</v>
      </c>
      <c r="E77" s="22" t="s">
        <v>8430</v>
      </c>
      <c r="F77" s="22" t="s">
        <v>188</v>
      </c>
      <c r="G77" s="22" t="n">
        <v>40</v>
      </c>
      <c r="H77" s="22" t="s">
        <v>7696</v>
      </c>
      <c r="I77" s="22" t="s">
        <v>8601</v>
      </c>
      <c r="J77" s="22" t="n">
        <v>7.55</v>
      </c>
      <c r="K77" s="22" t="n">
        <v>1</v>
      </c>
      <c r="L77" s="22" t="s">
        <v>8602</v>
      </c>
      <c r="M77" s="23" t="n">
        <v>44690</v>
      </c>
      <c r="N77" s="22"/>
      <c r="O77" s="22"/>
      <c r="P77" s="22" t="s">
        <v>8631</v>
      </c>
      <c r="Q77" s="22"/>
      <c r="R77" s="22"/>
    </row>
    <row r="78" customFormat="false" ht="15" hidden="false" customHeight="false" outlineLevel="0" collapsed="false">
      <c r="A78" s="22" t="s">
        <v>8705</v>
      </c>
      <c r="B78" s="23" t="n">
        <v>44655</v>
      </c>
      <c r="C78" s="22" t="s">
        <v>939</v>
      </c>
      <c r="D78" s="22" t="n">
        <v>277</v>
      </c>
      <c r="E78" s="22" t="s">
        <v>7851</v>
      </c>
      <c r="F78" s="22" t="s">
        <v>215</v>
      </c>
      <c r="G78" s="22" t="n">
        <v>60</v>
      </c>
      <c r="H78" s="22" t="s">
        <v>7696</v>
      </c>
      <c r="I78" s="22" t="s">
        <v>8601</v>
      </c>
      <c r="J78" s="22" t="n">
        <v>7.55</v>
      </c>
      <c r="K78" s="22" t="n">
        <v>1</v>
      </c>
      <c r="L78" s="22" t="s">
        <v>8605</v>
      </c>
      <c r="M78" s="23" t="n">
        <v>44669</v>
      </c>
      <c r="N78" s="23" t="n">
        <v>44660</v>
      </c>
      <c r="O78" s="22" t="n">
        <v>5</v>
      </c>
      <c r="P78" s="22"/>
      <c r="Q78" s="22" t="s">
        <v>8706</v>
      </c>
      <c r="R78" s="22"/>
    </row>
    <row r="79" customFormat="false" ht="15" hidden="false" customHeight="false" outlineLevel="0" collapsed="false">
      <c r="A79" s="22" t="s">
        <v>8707</v>
      </c>
      <c r="B79" s="23" t="n">
        <v>44657</v>
      </c>
      <c r="C79" s="22" t="s">
        <v>3278</v>
      </c>
      <c r="D79" s="22" t="n">
        <v>1291</v>
      </c>
      <c r="E79" s="22" t="s">
        <v>8223</v>
      </c>
      <c r="F79" s="22" t="s">
        <v>499</v>
      </c>
      <c r="G79" s="22" t="n">
        <v>80</v>
      </c>
      <c r="H79" s="22" t="s">
        <v>7696</v>
      </c>
      <c r="I79" s="22" t="s">
        <v>8601</v>
      </c>
      <c r="J79" s="22" t="n">
        <v>7.55</v>
      </c>
      <c r="K79" s="22" t="n">
        <v>1</v>
      </c>
      <c r="L79" s="22" t="s">
        <v>8629</v>
      </c>
      <c r="M79" s="23" t="n">
        <v>44671</v>
      </c>
      <c r="N79" s="23" t="n">
        <v>44660</v>
      </c>
      <c r="O79" s="22" t="n">
        <v>3</v>
      </c>
      <c r="P79" s="22"/>
      <c r="Q79" s="22"/>
      <c r="R79" s="22"/>
    </row>
    <row r="80" customFormat="false" ht="15" hidden="false" customHeight="false" outlineLevel="0" collapsed="false">
      <c r="A80" s="22" t="s">
        <v>8708</v>
      </c>
      <c r="B80" s="23" t="n">
        <v>44671</v>
      </c>
      <c r="C80" s="22" t="s">
        <v>2351</v>
      </c>
      <c r="D80" s="22" t="n">
        <v>870</v>
      </c>
      <c r="E80" s="22" t="s">
        <v>8167</v>
      </c>
      <c r="F80" s="22" t="s">
        <v>499</v>
      </c>
      <c r="G80" s="22" t="n">
        <v>60</v>
      </c>
      <c r="H80" s="22" t="s">
        <v>7696</v>
      </c>
      <c r="I80" s="22" t="s">
        <v>8601</v>
      </c>
      <c r="J80" s="22" t="n">
        <v>7.55</v>
      </c>
      <c r="K80" s="22" t="n">
        <v>1</v>
      </c>
      <c r="L80" s="22" t="s">
        <v>8605</v>
      </c>
      <c r="M80" s="23" t="n">
        <v>44685</v>
      </c>
      <c r="N80" s="23" t="n">
        <v>44685</v>
      </c>
      <c r="O80" s="22" t="n">
        <v>14</v>
      </c>
      <c r="P80" s="22"/>
      <c r="Q80" s="22" t="s">
        <v>8709</v>
      </c>
      <c r="R80" s="22"/>
    </row>
    <row r="81" customFormat="false" ht="15" hidden="false" customHeight="false" outlineLevel="0" collapsed="false">
      <c r="A81" s="22" t="s">
        <v>8710</v>
      </c>
      <c r="B81" s="23" t="n">
        <v>44658</v>
      </c>
      <c r="C81" s="22" t="s">
        <v>800</v>
      </c>
      <c r="D81" s="22" t="n">
        <v>223</v>
      </c>
      <c r="E81" s="22" t="s">
        <v>7885</v>
      </c>
      <c r="F81" s="22" t="s">
        <v>215</v>
      </c>
      <c r="G81" s="22" t="n">
        <v>24</v>
      </c>
      <c r="H81" s="22" t="s">
        <v>7696</v>
      </c>
      <c r="I81" s="22" t="s">
        <v>8601</v>
      </c>
      <c r="J81" s="22" t="n">
        <v>7.55</v>
      </c>
      <c r="K81" s="22" t="n">
        <v>1</v>
      </c>
      <c r="L81" s="22" t="s">
        <v>8602</v>
      </c>
      <c r="M81" s="23" t="n">
        <v>44672</v>
      </c>
      <c r="N81" s="22"/>
      <c r="O81" s="22"/>
      <c r="P81" s="22" t="s">
        <v>8637</v>
      </c>
      <c r="Q81" s="22"/>
      <c r="R81" s="22"/>
    </row>
    <row r="82" customFormat="false" ht="15" hidden="false" customHeight="false" outlineLevel="0" collapsed="false">
      <c r="A82" s="22" t="s">
        <v>8711</v>
      </c>
      <c r="B82" s="23" t="n">
        <v>44664</v>
      </c>
      <c r="C82" s="22" t="s">
        <v>3709</v>
      </c>
      <c r="D82" s="22" t="n">
        <v>1500</v>
      </c>
      <c r="E82" s="22" t="s">
        <v>6983</v>
      </c>
      <c r="F82" s="22" t="s">
        <v>198</v>
      </c>
      <c r="G82" s="22" t="n">
        <v>36</v>
      </c>
      <c r="H82" s="22" t="s">
        <v>6575</v>
      </c>
      <c r="I82" s="22" t="s">
        <v>8601</v>
      </c>
      <c r="J82" s="22" t="n">
        <v>10.4</v>
      </c>
      <c r="K82" s="22" t="n">
        <v>2</v>
      </c>
      <c r="L82" s="22" t="s">
        <v>8629</v>
      </c>
      <c r="M82" s="23" t="n">
        <v>44674</v>
      </c>
      <c r="N82" s="23" t="n">
        <v>44676</v>
      </c>
      <c r="O82" s="22" t="n">
        <v>12</v>
      </c>
      <c r="P82" s="22"/>
      <c r="Q82" s="22"/>
      <c r="R82" s="22"/>
    </row>
    <row r="83" customFormat="false" ht="15" hidden="false" customHeight="false" outlineLevel="0" collapsed="false">
      <c r="A83" s="22" t="s">
        <v>8712</v>
      </c>
      <c r="B83" s="23" t="n">
        <v>44663</v>
      </c>
      <c r="C83" s="22" t="s">
        <v>970</v>
      </c>
      <c r="D83" s="22" t="n">
        <v>288</v>
      </c>
      <c r="E83" s="22" t="s">
        <v>7571</v>
      </c>
      <c r="F83" s="22" t="s">
        <v>159</v>
      </c>
      <c r="G83" s="22" t="n">
        <v>32</v>
      </c>
      <c r="H83" s="22" t="s">
        <v>6575</v>
      </c>
      <c r="I83" s="22" t="s">
        <v>8601</v>
      </c>
      <c r="J83" s="22" t="n">
        <v>10.4</v>
      </c>
      <c r="K83" s="22" t="n">
        <v>1</v>
      </c>
      <c r="L83" s="22" t="s">
        <v>8629</v>
      </c>
      <c r="M83" s="23" t="n">
        <v>44673</v>
      </c>
      <c r="N83" s="23" t="n">
        <v>44668</v>
      </c>
      <c r="O83" s="22" t="n">
        <v>5</v>
      </c>
      <c r="P83" s="22"/>
      <c r="Q83" s="22"/>
      <c r="R83" s="22"/>
    </row>
    <row r="84" customFormat="false" ht="15" hidden="false" customHeight="false" outlineLevel="0" collapsed="false">
      <c r="A84" s="22" t="s">
        <v>8713</v>
      </c>
      <c r="B84" s="23" t="n">
        <v>44659</v>
      </c>
      <c r="C84" s="22" t="s">
        <v>4964</v>
      </c>
      <c r="D84" s="22" t="n">
        <v>2115</v>
      </c>
      <c r="E84" s="22" t="s">
        <v>6894</v>
      </c>
      <c r="F84" s="22" t="s">
        <v>198</v>
      </c>
      <c r="G84" s="22" t="n">
        <v>24</v>
      </c>
      <c r="H84" s="22" t="s">
        <v>6575</v>
      </c>
      <c r="I84" s="22" t="s">
        <v>8601</v>
      </c>
      <c r="J84" s="22" t="n">
        <v>10.4</v>
      </c>
      <c r="K84" s="22" t="n">
        <v>1</v>
      </c>
      <c r="L84" s="22" t="s">
        <v>8605</v>
      </c>
      <c r="M84" s="23" t="n">
        <v>44669</v>
      </c>
      <c r="N84" s="23" t="n">
        <v>44663</v>
      </c>
      <c r="O84" s="22" t="n">
        <v>4</v>
      </c>
      <c r="P84" s="22"/>
      <c r="Q84" s="22" t="s">
        <v>8714</v>
      </c>
      <c r="R84" s="22"/>
    </row>
    <row r="85" customFormat="false" ht="15" hidden="false" customHeight="false" outlineLevel="0" collapsed="false">
      <c r="A85" s="22" t="s">
        <v>8715</v>
      </c>
      <c r="B85" s="23" t="n">
        <v>44678</v>
      </c>
      <c r="C85" s="22" t="s">
        <v>3269</v>
      </c>
      <c r="D85" s="22" t="n">
        <v>1287</v>
      </c>
      <c r="E85" s="22" t="s">
        <v>8091</v>
      </c>
      <c r="F85" s="22" t="s">
        <v>499</v>
      </c>
      <c r="G85" s="22" t="n">
        <v>80</v>
      </c>
      <c r="H85" s="22" t="s">
        <v>7696</v>
      </c>
      <c r="I85" s="22" t="s">
        <v>8601</v>
      </c>
      <c r="J85" s="22" t="n">
        <v>7.55</v>
      </c>
      <c r="K85" s="22" t="n">
        <v>1</v>
      </c>
      <c r="L85" s="22" t="s">
        <v>8605</v>
      </c>
      <c r="M85" s="23" t="n">
        <v>44692</v>
      </c>
      <c r="N85" s="23" t="n">
        <v>44685</v>
      </c>
      <c r="O85" s="22" t="n">
        <v>7</v>
      </c>
      <c r="P85" s="22"/>
      <c r="Q85" s="22" t="s">
        <v>8716</v>
      </c>
      <c r="R85" s="22"/>
    </row>
    <row r="86" customFormat="false" ht="15" hidden="false" customHeight="false" outlineLevel="0" collapsed="false">
      <c r="A86" s="22" t="s">
        <v>8717</v>
      </c>
      <c r="B86" s="23" t="n">
        <v>44678</v>
      </c>
      <c r="C86" s="22" t="s">
        <v>4761</v>
      </c>
      <c r="D86" s="22" t="n">
        <v>2014</v>
      </c>
      <c r="E86" s="22" t="s">
        <v>8201</v>
      </c>
      <c r="F86" s="22" t="s">
        <v>499</v>
      </c>
      <c r="G86" s="22" t="n">
        <v>60</v>
      </c>
      <c r="H86" s="22" t="s">
        <v>7696</v>
      </c>
      <c r="I86" s="22" t="s">
        <v>8601</v>
      </c>
      <c r="J86" s="22" t="n">
        <v>7.55</v>
      </c>
      <c r="K86" s="22" t="n">
        <v>2</v>
      </c>
      <c r="L86" s="22" t="s">
        <v>8602</v>
      </c>
      <c r="M86" s="23" t="n">
        <v>44692</v>
      </c>
      <c r="N86" s="22"/>
      <c r="O86" s="22"/>
      <c r="P86" s="22" t="s">
        <v>8631</v>
      </c>
      <c r="Q86" s="22"/>
      <c r="R86" s="22"/>
    </row>
    <row r="87" customFormat="false" ht="15" hidden="false" customHeight="false" outlineLevel="0" collapsed="false">
      <c r="A87" s="22" t="s">
        <v>8718</v>
      </c>
      <c r="B87" s="23" t="n">
        <v>44661</v>
      </c>
      <c r="C87" s="22" t="s">
        <v>2314</v>
      </c>
      <c r="D87" s="22" t="n">
        <v>852</v>
      </c>
      <c r="E87" s="22" t="s">
        <v>7643</v>
      </c>
      <c r="F87" s="22" t="s">
        <v>159</v>
      </c>
      <c r="G87" s="22" t="n">
        <v>28</v>
      </c>
      <c r="H87" s="22" t="s">
        <v>6575</v>
      </c>
      <c r="I87" s="22" t="s">
        <v>8601</v>
      </c>
      <c r="J87" s="22" t="n">
        <v>10.4</v>
      </c>
      <c r="K87" s="22" t="n">
        <v>2</v>
      </c>
      <c r="L87" s="22" t="s">
        <v>8605</v>
      </c>
      <c r="M87" s="23" t="n">
        <v>44671</v>
      </c>
      <c r="N87" s="23" t="n">
        <v>44672</v>
      </c>
      <c r="O87" s="22" t="n">
        <v>11</v>
      </c>
      <c r="P87" s="22"/>
      <c r="Q87" s="22" t="s">
        <v>8719</v>
      </c>
      <c r="R87" s="22"/>
    </row>
    <row r="88" customFormat="false" ht="15" hidden="false" customHeight="false" outlineLevel="0" collapsed="false">
      <c r="A88" s="22" t="s">
        <v>8720</v>
      </c>
      <c r="B88" s="23" t="n">
        <v>44652</v>
      </c>
      <c r="C88" s="22" t="s">
        <v>5051</v>
      </c>
      <c r="D88" s="22" t="n">
        <v>2157</v>
      </c>
      <c r="E88" s="22" t="s">
        <v>6875</v>
      </c>
      <c r="F88" s="22" t="s">
        <v>198</v>
      </c>
      <c r="G88" s="22" t="n">
        <v>24</v>
      </c>
      <c r="H88" s="22" t="s">
        <v>6575</v>
      </c>
      <c r="I88" s="22" t="s">
        <v>8601</v>
      </c>
      <c r="J88" s="22" t="n">
        <v>10.4</v>
      </c>
      <c r="K88" s="22" t="n">
        <v>2</v>
      </c>
      <c r="L88" s="22" t="s">
        <v>8602</v>
      </c>
      <c r="M88" s="23" t="n">
        <v>44662</v>
      </c>
      <c r="N88" s="22"/>
      <c r="O88" s="22"/>
      <c r="P88" s="22" t="s">
        <v>8603</v>
      </c>
      <c r="Q88" s="22"/>
      <c r="R88" s="22"/>
    </row>
    <row r="89" customFormat="false" ht="15" hidden="false" customHeight="false" outlineLevel="0" collapsed="false">
      <c r="A89" s="22" t="s">
        <v>8721</v>
      </c>
      <c r="B89" s="23" t="n">
        <v>44654</v>
      </c>
      <c r="C89" s="22" t="s">
        <v>5168</v>
      </c>
      <c r="D89" s="22" t="n">
        <v>2215</v>
      </c>
      <c r="E89" s="22" t="s">
        <v>7088</v>
      </c>
      <c r="F89" s="22" t="s">
        <v>198</v>
      </c>
      <c r="G89" s="22" t="n">
        <v>36</v>
      </c>
      <c r="H89" s="22" t="s">
        <v>6575</v>
      </c>
      <c r="I89" s="22" t="s">
        <v>8601</v>
      </c>
      <c r="J89" s="22" t="n">
        <v>10.4</v>
      </c>
      <c r="K89" s="22" t="n">
        <v>2</v>
      </c>
      <c r="L89" s="22" t="s">
        <v>8605</v>
      </c>
      <c r="M89" s="23" t="n">
        <v>44664</v>
      </c>
      <c r="N89" s="23" t="n">
        <v>44660</v>
      </c>
      <c r="O89" s="22" t="n">
        <v>6</v>
      </c>
      <c r="P89" s="22"/>
      <c r="Q89" s="22" t="s">
        <v>8722</v>
      </c>
      <c r="R89" s="22"/>
    </row>
    <row r="90" customFormat="false" ht="15" hidden="false" customHeight="false" outlineLevel="0" collapsed="false">
      <c r="A90" s="22" t="s">
        <v>8723</v>
      </c>
      <c r="B90" s="23" t="n">
        <v>44657</v>
      </c>
      <c r="C90" s="22" t="s">
        <v>4842</v>
      </c>
      <c r="D90" s="22" t="n">
        <v>2054</v>
      </c>
      <c r="E90" s="22" t="s">
        <v>7728</v>
      </c>
      <c r="F90" s="22" t="s">
        <v>215</v>
      </c>
      <c r="G90" s="22" t="n">
        <v>70</v>
      </c>
      <c r="H90" s="22" t="s">
        <v>7696</v>
      </c>
      <c r="I90" s="22" t="s">
        <v>8601</v>
      </c>
      <c r="J90" s="22" t="n">
        <v>7.55</v>
      </c>
      <c r="K90" s="22" t="n">
        <v>1</v>
      </c>
      <c r="L90" s="22" t="s">
        <v>8605</v>
      </c>
      <c r="M90" s="23" t="n">
        <v>44671</v>
      </c>
      <c r="N90" s="23" t="n">
        <v>44666</v>
      </c>
      <c r="O90" s="22" t="n">
        <v>9</v>
      </c>
      <c r="P90" s="22"/>
      <c r="Q90" s="22" t="s">
        <v>8724</v>
      </c>
      <c r="R90" s="22"/>
    </row>
    <row r="91" customFormat="false" ht="15" hidden="false" customHeight="false" outlineLevel="0" collapsed="false">
      <c r="A91" s="22" t="s">
        <v>8725</v>
      </c>
      <c r="B91" s="23" t="n">
        <v>44656</v>
      </c>
      <c r="C91" s="22" t="s">
        <v>917</v>
      </c>
      <c r="D91" s="22" t="n">
        <v>269</v>
      </c>
      <c r="E91" s="22" t="s">
        <v>8214</v>
      </c>
      <c r="F91" s="22" t="s">
        <v>499</v>
      </c>
      <c r="G91" s="22" t="n">
        <v>32</v>
      </c>
      <c r="H91" s="22" t="s">
        <v>7696</v>
      </c>
      <c r="I91" s="22" t="s">
        <v>8601</v>
      </c>
      <c r="J91" s="22" t="n">
        <v>7.55</v>
      </c>
      <c r="K91" s="22" t="n">
        <v>1</v>
      </c>
      <c r="L91" s="22" t="s">
        <v>8602</v>
      </c>
      <c r="M91" s="23" t="n">
        <v>44670</v>
      </c>
      <c r="N91" s="22"/>
      <c r="O91" s="22"/>
      <c r="P91" s="22" t="s">
        <v>8637</v>
      </c>
      <c r="Q91" s="22"/>
      <c r="R91" s="22"/>
    </row>
    <row r="92" customFormat="false" ht="15" hidden="false" customHeight="false" outlineLevel="0" collapsed="false">
      <c r="A92" s="22" t="s">
        <v>8726</v>
      </c>
      <c r="B92" s="23" t="n">
        <v>44661</v>
      </c>
      <c r="C92" s="22" t="s">
        <v>4416</v>
      </c>
      <c r="D92" s="22" t="n">
        <v>1846</v>
      </c>
      <c r="E92" s="22" t="s">
        <v>7949</v>
      </c>
      <c r="F92" s="22" t="s">
        <v>215</v>
      </c>
      <c r="G92" s="22" t="n">
        <v>40</v>
      </c>
      <c r="H92" s="22" t="s">
        <v>7696</v>
      </c>
      <c r="I92" s="22" t="s">
        <v>8601</v>
      </c>
      <c r="J92" s="22" t="n">
        <v>7.55</v>
      </c>
      <c r="K92" s="22" t="n">
        <v>1</v>
      </c>
      <c r="L92" s="22" t="s">
        <v>157</v>
      </c>
      <c r="M92" s="23" t="n">
        <v>44675</v>
      </c>
      <c r="N92" s="23" t="n">
        <v>44664</v>
      </c>
      <c r="O92" s="22" t="n">
        <v>3</v>
      </c>
      <c r="P92" s="22"/>
      <c r="Q92" s="22"/>
      <c r="R92" s="22"/>
    </row>
    <row r="93" customFormat="false" ht="15" hidden="false" customHeight="false" outlineLevel="0" collapsed="false">
      <c r="A93" s="22" t="s">
        <v>8727</v>
      </c>
      <c r="B93" s="23" t="n">
        <v>44661</v>
      </c>
      <c r="C93" s="22" t="s">
        <v>5647</v>
      </c>
      <c r="D93" s="22" t="n">
        <v>2454</v>
      </c>
      <c r="E93" s="22" t="s">
        <v>7679</v>
      </c>
      <c r="F93" s="22" t="s">
        <v>159</v>
      </c>
      <c r="G93" s="22" t="n">
        <v>24</v>
      </c>
      <c r="H93" s="22" t="s">
        <v>6575</v>
      </c>
      <c r="I93" s="22" t="s">
        <v>8601</v>
      </c>
      <c r="J93" s="22" t="n">
        <v>10.4</v>
      </c>
      <c r="K93" s="22" t="n">
        <v>1</v>
      </c>
      <c r="L93" s="22" t="s">
        <v>8629</v>
      </c>
      <c r="M93" s="23" t="n">
        <v>44671</v>
      </c>
      <c r="N93" s="23" t="n">
        <v>44672</v>
      </c>
      <c r="O93" s="22" t="n">
        <v>11</v>
      </c>
      <c r="P93" s="22"/>
      <c r="Q93" s="22"/>
      <c r="R93" s="22"/>
    </row>
    <row r="94" customFormat="false" ht="15" hidden="false" customHeight="false" outlineLevel="0" collapsed="false">
      <c r="A94" s="22" t="s">
        <v>8728</v>
      </c>
      <c r="B94" s="23" t="n">
        <v>44657</v>
      </c>
      <c r="C94" s="22" t="s">
        <v>3477</v>
      </c>
      <c r="D94" s="22" t="n">
        <v>1387</v>
      </c>
      <c r="E94" s="22" t="s">
        <v>7037</v>
      </c>
      <c r="F94" s="22" t="s">
        <v>198</v>
      </c>
      <c r="G94" s="22" t="n">
        <v>32</v>
      </c>
      <c r="H94" s="22" t="s">
        <v>6575</v>
      </c>
      <c r="I94" s="22" t="s">
        <v>8601</v>
      </c>
      <c r="J94" s="22" t="n">
        <v>10.4</v>
      </c>
      <c r="K94" s="22" t="n">
        <v>1</v>
      </c>
      <c r="L94" s="22" t="s">
        <v>8729</v>
      </c>
      <c r="M94" s="23" t="n">
        <v>44667</v>
      </c>
      <c r="N94" s="23" t="n">
        <v>44660</v>
      </c>
      <c r="O94" s="22" t="n">
        <v>3</v>
      </c>
      <c r="P94" s="22"/>
      <c r="Q94" s="22"/>
      <c r="R94" s="22"/>
    </row>
    <row r="95" customFormat="false" ht="15" hidden="false" customHeight="false" outlineLevel="0" collapsed="false">
      <c r="A95" s="22" t="s">
        <v>8730</v>
      </c>
      <c r="B95" s="23" t="n">
        <v>44669</v>
      </c>
      <c r="C95" s="22" t="s">
        <v>1149</v>
      </c>
      <c r="D95" s="22" t="n">
        <v>357</v>
      </c>
      <c r="E95" s="22" t="s">
        <v>7793</v>
      </c>
      <c r="F95" s="22" t="s">
        <v>215</v>
      </c>
      <c r="G95" s="22" t="n">
        <v>32</v>
      </c>
      <c r="H95" s="22" t="s">
        <v>7696</v>
      </c>
      <c r="I95" s="22" t="s">
        <v>8601</v>
      </c>
      <c r="J95" s="22" t="n">
        <v>7.55</v>
      </c>
      <c r="K95" s="22" t="n">
        <v>1</v>
      </c>
      <c r="L95" s="22" t="s">
        <v>8629</v>
      </c>
      <c r="M95" s="23" t="n">
        <v>44683</v>
      </c>
      <c r="N95" s="23" t="n">
        <v>44673</v>
      </c>
      <c r="O95" s="22" t="n">
        <v>4</v>
      </c>
      <c r="P95" s="22"/>
      <c r="Q95" s="22"/>
      <c r="R95" s="22"/>
    </row>
    <row r="96" customFormat="false" ht="15" hidden="false" customHeight="false" outlineLevel="0" collapsed="false">
      <c r="A96" s="22" t="s">
        <v>8731</v>
      </c>
      <c r="B96" s="23" t="n">
        <v>44705</v>
      </c>
      <c r="C96" s="22" t="s">
        <v>3207</v>
      </c>
      <c r="D96" s="22" t="n">
        <v>1258</v>
      </c>
      <c r="E96" s="22" t="s">
        <v>7901</v>
      </c>
      <c r="F96" s="22" t="s">
        <v>215</v>
      </c>
      <c r="G96" s="22" t="n">
        <v>60</v>
      </c>
      <c r="H96" s="22" t="s">
        <v>7696</v>
      </c>
      <c r="I96" s="22" t="s">
        <v>8601</v>
      </c>
      <c r="J96" s="22" t="n">
        <v>7.55</v>
      </c>
      <c r="K96" s="22" t="n">
        <v>1</v>
      </c>
      <c r="L96" s="22" t="s">
        <v>8602</v>
      </c>
      <c r="M96" s="23" t="n">
        <v>44719</v>
      </c>
      <c r="N96" s="22"/>
      <c r="O96" s="22"/>
      <c r="P96" s="22" t="s">
        <v>8603</v>
      </c>
      <c r="Q96" s="22"/>
      <c r="R96" s="22"/>
    </row>
    <row r="97" customFormat="false" ht="15" hidden="false" customHeight="false" outlineLevel="0" collapsed="false">
      <c r="A97" s="22" t="s">
        <v>8732</v>
      </c>
      <c r="B97" s="23" t="n">
        <v>44687</v>
      </c>
      <c r="C97" s="22" t="s">
        <v>774</v>
      </c>
      <c r="D97" s="22" t="n">
        <v>214</v>
      </c>
      <c r="E97" s="22" t="s">
        <v>7870</v>
      </c>
      <c r="F97" s="22" t="s">
        <v>215</v>
      </c>
      <c r="G97" s="22" t="n">
        <v>24</v>
      </c>
      <c r="H97" s="22" t="s">
        <v>7696</v>
      </c>
      <c r="I97" s="22" t="s">
        <v>8601</v>
      </c>
      <c r="J97" s="22" t="n">
        <v>7.55</v>
      </c>
      <c r="K97" s="22" t="n">
        <v>1</v>
      </c>
      <c r="L97" s="22" t="s">
        <v>8605</v>
      </c>
      <c r="M97" s="23" t="n">
        <v>44701</v>
      </c>
      <c r="N97" s="23" t="n">
        <v>44696</v>
      </c>
      <c r="O97" s="22" t="n">
        <v>9</v>
      </c>
      <c r="P97" s="22"/>
      <c r="Q97" s="22" t="s">
        <v>8733</v>
      </c>
      <c r="R97" s="22"/>
    </row>
    <row r="98" customFormat="false" ht="15" hidden="false" customHeight="false" outlineLevel="0" collapsed="false">
      <c r="A98" s="22" t="s">
        <v>8734</v>
      </c>
      <c r="B98" s="23" t="n">
        <v>44706</v>
      </c>
      <c r="C98" s="22" t="s">
        <v>928</v>
      </c>
      <c r="D98" s="22" t="n">
        <v>273</v>
      </c>
      <c r="E98" s="22" t="s">
        <v>8156</v>
      </c>
      <c r="F98" s="22" t="s">
        <v>499</v>
      </c>
      <c r="G98" s="22" t="n">
        <v>28</v>
      </c>
      <c r="H98" s="22" t="s">
        <v>7696</v>
      </c>
      <c r="I98" s="22" t="s">
        <v>8601</v>
      </c>
      <c r="J98" s="22" t="n">
        <v>7.55</v>
      </c>
      <c r="K98" s="22" t="n">
        <v>1</v>
      </c>
      <c r="L98" s="22" t="s">
        <v>8602</v>
      </c>
      <c r="M98" s="23" t="n">
        <v>44720</v>
      </c>
      <c r="N98" s="22"/>
      <c r="O98" s="22"/>
      <c r="P98" s="22" t="s">
        <v>8603</v>
      </c>
      <c r="Q98" s="22"/>
      <c r="R98" s="22"/>
    </row>
    <row r="99" customFormat="false" ht="15" hidden="false" customHeight="false" outlineLevel="0" collapsed="false">
      <c r="A99" s="22" t="s">
        <v>8735</v>
      </c>
      <c r="B99" s="23" t="n">
        <v>44688</v>
      </c>
      <c r="C99" s="22" t="s">
        <v>417</v>
      </c>
      <c r="D99" s="22" t="n">
        <v>87</v>
      </c>
      <c r="E99" s="22" t="s">
        <v>7050</v>
      </c>
      <c r="F99" s="22" t="s">
        <v>198</v>
      </c>
      <c r="G99" s="22" t="n">
        <v>32</v>
      </c>
      <c r="H99" s="22" t="s">
        <v>6575</v>
      </c>
      <c r="I99" s="22" t="s">
        <v>8601</v>
      </c>
      <c r="J99" s="22" t="n">
        <v>10.4</v>
      </c>
      <c r="K99" s="22" t="n">
        <v>2</v>
      </c>
      <c r="L99" s="22" t="s">
        <v>8602</v>
      </c>
      <c r="M99" s="23" t="n">
        <v>44698</v>
      </c>
      <c r="N99" s="22"/>
      <c r="O99" s="22"/>
      <c r="P99" s="22" t="s">
        <v>8631</v>
      </c>
      <c r="Q99" s="22"/>
      <c r="R99" s="22"/>
    </row>
    <row r="100" customFormat="false" ht="15" hidden="false" customHeight="false" outlineLevel="0" collapsed="false">
      <c r="A100" s="22" t="s">
        <v>8736</v>
      </c>
      <c r="B100" s="23" t="n">
        <v>44686</v>
      </c>
      <c r="C100" s="22" t="s">
        <v>3951</v>
      </c>
      <c r="D100" s="22" t="n">
        <v>1619</v>
      </c>
      <c r="E100" s="22" t="s">
        <v>6820</v>
      </c>
      <c r="F100" s="22" t="s">
        <v>198</v>
      </c>
      <c r="G100" s="22" t="n">
        <v>24</v>
      </c>
      <c r="H100" s="22" t="s">
        <v>6575</v>
      </c>
      <c r="I100" s="22" t="s">
        <v>8601</v>
      </c>
      <c r="J100" s="22" t="n">
        <v>10.4</v>
      </c>
      <c r="K100" s="22" t="n">
        <v>1</v>
      </c>
      <c r="L100" s="22" t="s">
        <v>8605</v>
      </c>
      <c r="M100" s="23" t="n">
        <v>44696</v>
      </c>
      <c r="N100" s="23" t="n">
        <v>44692</v>
      </c>
      <c r="O100" s="22" t="n">
        <v>6</v>
      </c>
      <c r="P100" s="22"/>
      <c r="Q100" s="22" t="s">
        <v>8737</v>
      </c>
      <c r="R100" s="22"/>
    </row>
    <row r="101" customFormat="false" ht="15" hidden="false" customHeight="false" outlineLevel="0" collapsed="false">
      <c r="A101" s="22" t="s">
        <v>8738</v>
      </c>
      <c r="B101" s="23" t="n">
        <v>44682</v>
      </c>
      <c r="C101" s="22" t="s">
        <v>6249</v>
      </c>
      <c r="D101" s="22" t="n">
        <v>2755</v>
      </c>
      <c r="E101" s="22" t="s">
        <v>8236</v>
      </c>
      <c r="F101" s="22" t="s">
        <v>499</v>
      </c>
      <c r="G101" s="22" t="n">
        <v>45</v>
      </c>
      <c r="H101" s="22" t="s">
        <v>7696</v>
      </c>
      <c r="I101" s="22" t="s">
        <v>8601</v>
      </c>
      <c r="J101" s="22" t="n">
        <v>7.55</v>
      </c>
      <c r="K101" s="22" t="n">
        <v>1</v>
      </c>
      <c r="L101" s="22" t="s">
        <v>8629</v>
      </c>
      <c r="M101" s="23" t="n">
        <v>44696</v>
      </c>
      <c r="N101" s="23" t="n">
        <v>44684</v>
      </c>
      <c r="O101" s="22" t="n">
        <v>2</v>
      </c>
      <c r="P101" s="22"/>
      <c r="Q101" s="22"/>
      <c r="R101" s="22"/>
    </row>
    <row r="102" customFormat="false" ht="15" hidden="false" customHeight="false" outlineLevel="0" collapsed="false">
      <c r="A102" s="22" t="s">
        <v>8739</v>
      </c>
      <c r="B102" s="23" t="n">
        <v>44701</v>
      </c>
      <c r="C102" s="22" t="s">
        <v>6155</v>
      </c>
      <c r="D102" s="22" t="n">
        <v>2708</v>
      </c>
      <c r="E102" s="22" t="s">
        <v>7692</v>
      </c>
      <c r="F102" s="22" t="s">
        <v>159</v>
      </c>
      <c r="G102" s="22" t="n">
        <v>32</v>
      </c>
      <c r="H102" s="22" t="s">
        <v>6575</v>
      </c>
      <c r="I102" s="22" t="s">
        <v>8601</v>
      </c>
      <c r="J102" s="22" t="n">
        <v>10.4</v>
      </c>
      <c r="K102" s="22" t="n">
        <v>2</v>
      </c>
      <c r="L102" s="22" t="s">
        <v>8602</v>
      </c>
      <c r="M102" s="23" t="n">
        <v>44711</v>
      </c>
      <c r="N102" s="22"/>
      <c r="O102" s="22"/>
      <c r="P102" s="22" t="s">
        <v>8618</v>
      </c>
      <c r="Q102" s="22"/>
      <c r="R102" s="22"/>
    </row>
    <row r="103" customFormat="false" ht="15" hidden="false" customHeight="false" outlineLevel="0" collapsed="false">
      <c r="A103" s="22" t="s">
        <v>8740</v>
      </c>
      <c r="B103" s="23" t="n">
        <v>44686</v>
      </c>
      <c r="C103" s="22" t="s">
        <v>4373</v>
      </c>
      <c r="D103" s="22" t="n">
        <v>1825</v>
      </c>
      <c r="E103" s="22" t="s">
        <v>7656</v>
      </c>
      <c r="F103" s="22" t="s">
        <v>159</v>
      </c>
      <c r="G103" s="22" t="n">
        <v>40</v>
      </c>
      <c r="H103" s="22" t="s">
        <v>6575</v>
      </c>
      <c r="I103" s="22" t="s">
        <v>8601</v>
      </c>
      <c r="J103" s="22" t="n">
        <v>10.4</v>
      </c>
      <c r="K103" s="22" t="n">
        <v>2</v>
      </c>
      <c r="L103" s="22" t="s">
        <v>8602</v>
      </c>
      <c r="M103" s="23" t="n">
        <v>44696</v>
      </c>
      <c r="N103" s="22"/>
      <c r="O103" s="22"/>
      <c r="P103" s="22" t="s">
        <v>8631</v>
      </c>
      <c r="Q103" s="22"/>
      <c r="R103" s="22"/>
    </row>
    <row r="104" customFormat="false" ht="15" hidden="false" customHeight="false" outlineLevel="0" collapsed="false">
      <c r="A104" s="22" t="s">
        <v>8741</v>
      </c>
      <c r="B104" s="23" t="n">
        <v>44694</v>
      </c>
      <c r="C104" s="22" t="s">
        <v>5258</v>
      </c>
      <c r="D104" s="22" t="n">
        <v>2259</v>
      </c>
      <c r="E104" s="22" t="s">
        <v>8352</v>
      </c>
      <c r="F104" s="22" t="s">
        <v>188</v>
      </c>
      <c r="G104" s="22" t="n">
        <v>28</v>
      </c>
      <c r="H104" s="22" t="s">
        <v>7696</v>
      </c>
      <c r="I104" s="22" t="s">
        <v>8601</v>
      </c>
      <c r="J104" s="22" t="n">
        <v>7.55</v>
      </c>
      <c r="K104" s="22" t="n">
        <v>1</v>
      </c>
      <c r="L104" s="22" t="s">
        <v>8605</v>
      </c>
      <c r="M104" s="23" t="n">
        <v>44708</v>
      </c>
      <c r="N104" s="23" t="n">
        <v>44706</v>
      </c>
      <c r="O104" s="22" t="n">
        <v>12</v>
      </c>
      <c r="P104" s="22"/>
      <c r="Q104" s="22" t="s">
        <v>8742</v>
      </c>
      <c r="R104" s="22"/>
    </row>
    <row r="105" customFormat="false" ht="15" hidden="false" customHeight="false" outlineLevel="0" collapsed="false">
      <c r="A105" s="22" t="s">
        <v>8743</v>
      </c>
      <c r="B105" s="23" t="n">
        <v>44682</v>
      </c>
      <c r="C105" s="22" t="s">
        <v>1406</v>
      </c>
      <c r="D105" s="22" t="n">
        <v>462</v>
      </c>
      <c r="E105" s="22" t="s">
        <v>8325</v>
      </c>
      <c r="F105" s="22" t="s">
        <v>499</v>
      </c>
      <c r="G105" s="22" t="n">
        <v>80</v>
      </c>
      <c r="H105" s="22" t="s">
        <v>7696</v>
      </c>
      <c r="I105" s="22" t="s">
        <v>8601</v>
      </c>
      <c r="J105" s="22" t="n">
        <v>7.55</v>
      </c>
      <c r="K105" s="22" t="n">
        <v>2</v>
      </c>
      <c r="L105" s="22" t="s">
        <v>8605</v>
      </c>
      <c r="M105" s="23" t="n">
        <v>44696</v>
      </c>
      <c r="N105" s="23" t="n">
        <v>44695</v>
      </c>
      <c r="O105" s="22" t="n">
        <v>13</v>
      </c>
      <c r="P105" s="22"/>
      <c r="Q105" s="22" t="s">
        <v>8744</v>
      </c>
      <c r="R105" s="22"/>
    </row>
    <row r="106" customFormat="false" ht="15" hidden="false" customHeight="false" outlineLevel="0" collapsed="false">
      <c r="A106" s="22" t="s">
        <v>8745</v>
      </c>
      <c r="B106" s="23" t="n">
        <v>44700</v>
      </c>
      <c r="C106" s="22" t="s">
        <v>4440</v>
      </c>
      <c r="D106" s="22" t="n">
        <v>1858</v>
      </c>
      <c r="E106" s="22" t="s">
        <v>7344</v>
      </c>
      <c r="F106" s="22" t="s">
        <v>159</v>
      </c>
      <c r="G106" s="22" t="n">
        <v>32</v>
      </c>
      <c r="H106" s="22" t="s">
        <v>6575</v>
      </c>
      <c r="I106" s="22" t="s">
        <v>8601</v>
      </c>
      <c r="J106" s="22" t="n">
        <v>10.4</v>
      </c>
      <c r="K106" s="22" t="n">
        <v>2</v>
      </c>
      <c r="L106" s="22" t="s">
        <v>8602</v>
      </c>
      <c r="M106" s="23" t="n">
        <v>44710</v>
      </c>
      <c r="N106" s="22"/>
      <c r="O106" s="22"/>
      <c r="P106" s="22" t="s">
        <v>8631</v>
      </c>
      <c r="Q106" s="22"/>
      <c r="R106" s="22"/>
    </row>
    <row r="107" customFormat="false" ht="15" hidden="false" customHeight="false" outlineLevel="0" collapsed="false">
      <c r="A107" s="22" t="s">
        <v>8746</v>
      </c>
      <c r="B107" s="23" t="n">
        <v>44704</v>
      </c>
      <c r="C107" s="22" t="s">
        <v>3971</v>
      </c>
      <c r="D107" s="22" t="n">
        <v>1629</v>
      </c>
      <c r="E107" s="22" t="s">
        <v>7607</v>
      </c>
      <c r="F107" s="22" t="s">
        <v>159</v>
      </c>
      <c r="G107" s="22" t="n">
        <v>36</v>
      </c>
      <c r="H107" s="22" t="s">
        <v>6575</v>
      </c>
      <c r="I107" s="22" t="s">
        <v>8601</v>
      </c>
      <c r="J107" s="22" t="n">
        <v>10.4</v>
      </c>
      <c r="K107" s="22" t="n">
        <v>1</v>
      </c>
      <c r="L107" s="22" t="s">
        <v>157</v>
      </c>
      <c r="M107" s="23" t="n">
        <v>44714</v>
      </c>
      <c r="N107" s="23" t="n">
        <v>44709</v>
      </c>
      <c r="O107" s="22" t="n">
        <v>5</v>
      </c>
      <c r="P107" s="22"/>
      <c r="Q107" s="22"/>
      <c r="R107" s="22"/>
    </row>
    <row r="108" customFormat="false" ht="15" hidden="false" customHeight="false" outlineLevel="0" collapsed="false">
      <c r="A108" s="22" t="s">
        <v>8747</v>
      </c>
      <c r="B108" s="23" t="n">
        <v>44700</v>
      </c>
      <c r="C108" s="22" t="s">
        <v>3148</v>
      </c>
      <c r="D108" s="22" t="n">
        <v>1231</v>
      </c>
      <c r="E108" s="22" t="s">
        <v>6782</v>
      </c>
      <c r="F108" s="22" t="s">
        <v>198</v>
      </c>
      <c r="G108" s="22" t="n">
        <v>24</v>
      </c>
      <c r="H108" s="22" t="s">
        <v>6575</v>
      </c>
      <c r="I108" s="22" t="s">
        <v>8601</v>
      </c>
      <c r="J108" s="22" t="n">
        <v>10.4</v>
      </c>
      <c r="K108" s="22" t="n">
        <v>1</v>
      </c>
      <c r="L108" s="22" t="s">
        <v>8602</v>
      </c>
      <c r="M108" s="23" t="n">
        <v>44710</v>
      </c>
      <c r="N108" s="22"/>
      <c r="O108" s="22"/>
      <c r="P108" s="22" t="s">
        <v>8618</v>
      </c>
      <c r="Q108" s="22"/>
      <c r="R108" s="22"/>
    </row>
    <row r="109" customFormat="false" ht="15" hidden="false" customHeight="false" outlineLevel="0" collapsed="false">
      <c r="A109" s="22" t="s">
        <v>8748</v>
      </c>
      <c r="B109" s="23" t="n">
        <v>44695</v>
      </c>
      <c r="C109" s="22" t="s">
        <v>4440</v>
      </c>
      <c r="D109" s="22" t="n">
        <v>1858</v>
      </c>
      <c r="E109" s="22" t="s">
        <v>8444</v>
      </c>
      <c r="F109" s="22" t="s">
        <v>188</v>
      </c>
      <c r="G109" s="22" t="n">
        <v>45</v>
      </c>
      <c r="H109" s="22" t="s">
        <v>7696</v>
      </c>
      <c r="I109" s="22" t="s">
        <v>8601</v>
      </c>
      <c r="J109" s="22" t="n">
        <v>7.55</v>
      </c>
      <c r="K109" s="22" t="n">
        <v>1</v>
      </c>
      <c r="L109" s="22" t="s">
        <v>8629</v>
      </c>
      <c r="M109" s="23" t="n">
        <v>44709</v>
      </c>
      <c r="N109" s="23" t="n">
        <v>44706</v>
      </c>
      <c r="O109" s="22" t="n">
        <v>11</v>
      </c>
      <c r="P109" s="22"/>
      <c r="Q109" s="22"/>
      <c r="R109" s="22"/>
    </row>
    <row r="110" customFormat="false" ht="15" hidden="false" customHeight="false" outlineLevel="0" collapsed="false">
      <c r="A110" s="22" t="s">
        <v>8749</v>
      </c>
      <c r="B110" s="23" t="n">
        <v>44709</v>
      </c>
      <c r="C110" s="22" t="s">
        <v>5168</v>
      </c>
      <c r="D110" s="22" t="n">
        <v>2215</v>
      </c>
      <c r="E110" s="22" t="s">
        <v>6696</v>
      </c>
      <c r="F110" s="22" t="s">
        <v>198</v>
      </c>
      <c r="G110" s="22" t="n">
        <v>32</v>
      </c>
      <c r="H110" s="22" t="s">
        <v>6575</v>
      </c>
      <c r="I110" s="22" t="s">
        <v>8601</v>
      </c>
      <c r="J110" s="22" t="n">
        <v>10.4</v>
      </c>
      <c r="K110" s="22" t="n">
        <v>1</v>
      </c>
      <c r="L110" s="22" t="s">
        <v>8605</v>
      </c>
      <c r="M110" s="23" t="n">
        <v>44719</v>
      </c>
      <c r="N110" s="23" t="n">
        <v>44716</v>
      </c>
      <c r="O110" s="22" t="n">
        <v>7</v>
      </c>
      <c r="P110" s="22"/>
      <c r="Q110" s="22" t="s">
        <v>8750</v>
      </c>
      <c r="R110" s="22"/>
    </row>
    <row r="111" customFormat="false" ht="15" hidden="false" customHeight="false" outlineLevel="0" collapsed="false">
      <c r="A111" s="22" t="s">
        <v>8751</v>
      </c>
      <c r="B111" s="23" t="n">
        <v>44696</v>
      </c>
      <c r="C111" s="22" t="s">
        <v>2848</v>
      </c>
      <c r="D111" s="22" t="n">
        <v>1094</v>
      </c>
      <c r="E111" s="22" t="s">
        <v>8357</v>
      </c>
      <c r="F111" s="22" t="s">
        <v>188</v>
      </c>
      <c r="G111" s="22" t="n">
        <v>32</v>
      </c>
      <c r="H111" s="22" t="s">
        <v>7696</v>
      </c>
      <c r="I111" s="22" t="s">
        <v>8601</v>
      </c>
      <c r="J111" s="22" t="n">
        <v>7.55</v>
      </c>
      <c r="K111" s="22" t="n">
        <v>1</v>
      </c>
      <c r="L111" s="22" t="s">
        <v>8602</v>
      </c>
      <c r="M111" s="23" t="n">
        <v>44710</v>
      </c>
      <c r="N111" s="22"/>
      <c r="O111" s="22"/>
      <c r="P111" s="22" t="s">
        <v>8637</v>
      </c>
      <c r="Q111" s="22"/>
      <c r="R111" s="22"/>
    </row>
    <row r="112" customFormat="false" ht="15" hidden="false" customHeight="false" outlineLevel="0" collapsed="false">
      <c r="A112" s="22" t="s">
        <v>8752</v>
      </c>
      <c r="B112" s="23" t="n">
        <v>44695</v>
      </c>
      <c r="C112" s="22" t="s">
        <v>4765</v>
      </c>
      <c r="D112" s="22" t="n">
        <v>2016</v>
      </c>
      <c r="E112" s="22" t="s">
        <v>7902</v>
      </c>
      <c r="F112" s="22" t="s">
        <v>215</v>
      </c>
      <c r="G112" s="22" t="n">
        <v>60</v>
      </c>
      <c r="H112" s="22" t="s">
        <v>7696</v>
      </c>
      <c r="I112" s="22" t="s">
        <v>8601</v>
      </c>
      <c r="J112" s="22" t="n">
        <v>7.55</v>
      </c>
      <c r="K112" s="22" t="n">
        <v>1</v>
      </c>
      <c r="L112" s="22" t="s">
        <v>8605</v>
      </c>
      <c r="M112" s="23" t="n">
        <v>44709</v>
      </c>
      <c r="N112" s="23" t="n">
        <v>44704</v>
      </c>
      <c r="O112" s="22" t="n">
        <v>9</v>
      </c>
      <c r="P112" s="22"/>
      <c r="Q112" s="22" t="s">
        <v>8753</v>
      </c>
      <c r="R112" s="22"/>
    </row>
    <row r="113" customFormat="false" ht="15" hidden="false" customHeight="false" outlineLevel="0" collapsed="false">
      <c r="A113" s="22" t="s">
        <v>8754</v>
      </c>
      <c r="B113" s="23" t="n">
        <v>44693</v>
      </c>
      <c r="C113" s="22" t="s">
        <v>606</v>
      </c>
      <c r="D113" s="22" t="n">
        <v>152</v>
      </c>
      <c r="E113" s="22" t="s">
        <v>7112</v>
      </c>
      <c r="F113" s="22" t="s">
        <v>198</v>
      </c>
      <c r="G113" s="22" t="n">
        <v>32</v>
      </c>
      <c r="H113" s="22" t="s">
        <v>6575</v>
      </c>
      <c r="I113" s="22" t="s">
        <v>8601</v>
      </c>
      <c r="J113" s="22" t="n">
        <v>10.4</v>
      </c>
      <c r="K113" s="22" t="n">
        <v>2</v>
      </c>
      <c r="L113" s="22" t="s">
        <v>8629</v>
      </c>
      <c r="M113" s="23" t="n">
        <v>44703</v>
      </c>
      <c r="N113" s="23" t="n">
        <v>44694</v>
      </c>
      <c r="O113" s="22" t="n">
        <v>1</v>
      </c>
      <c r="P113" s="22"/>
      <c r="Q113" s="22"/>
      <c r="R113" s="22"/>
    </row>
    <row r="114" customFormat="false" ht="15" hidden="false" customHeight="false" outlineLevel="0" collapsed="false">
      <c r="A114" s="22" t="s">
        <v>8755</v>
      </c>
      <c r="B114" s="23" t="n">
        <v>44696</v>
      </c>
      <c r="C114" s="22" t="s">
        <v>5422</v>
      </c>
      <c r="D114" s="22" t="n">
        <v>2342</v>
      </c>
      <c r="E114" s="22" t="s">
        <v>8087</v>
      </c>
      <c r="F114" s="22" t="s">
        <v>499</v>
      </c>
      <c r="G114" s="22" t="n">
        <v>80</v>
      </c>
      <c r="H114" s="22" t="s">
        <v>7696</v>
      </c>
      <c r="I114" s="22" t="s">
        <v>8601</v>
      </c>
      <c r="J114" s="22" t="n">
        <v>7.55</v>
      </c>
      <c r="K114" s="22" t="n">
        <v>1</v>
      </c>
      <c r="L114" s="22" t="s">
        <v>8605</v>
      </c>
      <c r="M114" s="23" t="n">
        <v>44710</v>
      </c>
      <c r="N114" s="23" t="n">
        <v>44709</v>
      </c>
      <c r="O114" s="22" t="n">
        <v>13</v>
      </c>
      <c r="P114" s="22"/>
      <c r="Q114" s="22" t="s">
        <v>8750</v>
      </c>
      <c r="R114" s="22"/>
    </row>
    <row r="115" customFormat="false" ht="15" hidden="false" customHeight="false" outlineLevel="0" collapsed="false">
      <c r="A115" s="22" t="s">
        <v>8756</v>
      </c>
      <c r="B115" s="23" t="n">
        <v>44703</v>
      </c>
      <c r="C115" s="22" t="s">
        <v>5040</v>
      </c>
      <c r="D115" s="22" t="n">
        <v>2152</v>
      </c>
      <c r="E115" s="22" t="s">
        <v>8339</v>
      </c>
      <c r="F115" s="22" t="s">
        <v>188</v>
      </c>
      <c r="G115" s="22" t="n">
        <v>32</v>
      </c>
      <c r="H115" s="22" t="s">
        <v>7696</v>
      </c>
      <c r="I115" s="22" t="s">
        <v>8601</v>
      </c>
      <c r="J115" s="22" t="n">
        <v>7.55</v>
      </c>
      <c r="K115" s="22" t="n">
        <v>1</v>
      </c>
      <c r="L115" s="22" t="s">
        <v>8605</v>
      </c>
      <c r="M115" s="23" t="n">
        <v>44717</v>
      </c>
      <c r="N115" s="23" t="n">
        <v>44706</v>
      </c>
      <c r="O115" s="22" t="n">
        <v>3</v>
      </c>
      <c r="P115" s="22"/>
      <c r="Q115" s="22" t="s">
        <v>8757</v>
      </c>
      <c r="R115" s="22"/>
    </row>
    <row r="116" customFormat="false" ht="15" hidden="false" customHeight="false" outlineLevel="0" collapsed="false">
      <c r="A116" s="22" t="s">
        <v>8758</v>
      </c>
      <c r="B116" s="23" t="n">
        <v>44698</v>
      </c>
      <c r="C116" s="22" t="s">
        <v>3039</v>
      </c>
      <c r="D116" s="22" t="n">
        <v>1180</v>
      </c>
      <c r="E116" s="22" t="s">
        <v>7817</v>
      </c>
      <c r="F116" s="22" t="s">
        <v>215</v>
      </c>
      <c r="G116" s="22" t="n">
        <v>70</v>
      </c>
      <c r="H116" s="22" t="s">
        <v>7696</v>
      </c>
      <c r="I116" s="22" t="s">
        <v>8601</v>
      </c>
      <c r="J116" s="22" t="n">
        <v>7.55</v>
      </c>
      <c r="K116" s="22" t="n">
        <v>1</v>
      </c>
      <c r="L116" s="22" t="s">
        <v>8602</v>
      </c>
      <c r="M116" s="23" t="n">
        <v>44712</v>
      </c>
      <c r="N116" s="22"/>
      <c r="O116" s="22"/>
      <c r="P116" s="22" t="s">
        <v>8603</v>
      </c>
      <c r="Q116" s="22"/>
      <c r="R116" s="22"/>
    </row>
    <row r="117" customFormat="false" ht="15" hidden="false" customHeight="false" outlineLevel="0" collapsed="false">
      <c r="A117" s="22" t="s">
        <v>8759</v>
      </c>
      <c r="B117" s="23" t="n">
        <v>44696</v>
      </c>
      <c r="C117" s="22" t="s">
        <v>405</v>
      </c>
      <c r="D117" s="22" t="n">
        <v>83</v>
      </c>
      <c r="E117" s="22" t="s">
        <v>8373</v>
      </c>
      <c r="F117" s="22" t="s">
        <v>188</v>
      </c>
      <c r="G117" s="22" t="n">
        <v>32</v>
      </c>
      <c r="H117" s="22" t="s">
        <v>7696</v>
      </c>
      <c r="I117" s="22" t="s">
        <v>8601</v>
      </c>
      <c r="J117" s="22" t="n">
        <v>7.55</v>
      </c>
      <c r="K117" s="22" t="n">
        <v>1</v>
      </c>
      <c r="L117" s="22" t="s">
        <v>157</v>
      </c>
      <c r="M117" s="23" t="n">
        <v>44710</v>
      </c>
      <c r="N117" s="23" t="n">
        <v>44712</v>
      </c>
      <c r="O117" s="22" t="n">
        <v>16</v>
      </c>
      <c r="P117" s="22"/>
      <c r="Q117" s="22"/>
      <c r="R117" s="22"/>
    </row>
    <row r="118" customFormat="false" ht="15" hidden="false" customHeight="false" outlineLevel="0" collapsed="false">
      <c r="A118" s="22" t="s">
        <v>8760</v>
      </c>
      <c r="B118" s="23" t="n">
        <v>44697</v>
      </c>
      <c r="C118" s="22" t="s">
        <v>3134</v>
      </c>
      <c r="D118" s="22" t="n">
        <v>1224</v>
      </c>
      <c r="E118" s="22" t="s">
        <v>8141</v>
      </c>
      <c r="F118" s="22" t="s">
        <v>499</v>
      </c>
      <c r="G118" s="22" t="n">
        <v>45</v>
      </c>
      <c r="H118" s="22" t="s">
        <v>7696</v>
      </c>
      <c r="I118" s="22" t="s">
        <v>8601</v>
      </c>
      <c r="J118" s="22" t="n">
        <v>7.55</v>
      </c>
      <c r="K118" s="22" t="n">
        <v>1</v>
      </c>
      <c r="L118" s="22" t="s">
        <v>8602</v>
      </c>
      <c r="M118" s="23" t="n">
        <v>44711</v>
      </c>
      <c r="N118" s="22"/>
      <c r="O118" s="22"/>
      <c r="P118" s="22" t="s">
        <v>8603</v>
      </c>
      <c r="Q118" s="22"/>
      <c r="R118" s="22"/>
    </row>
    <row r="119" customFormat="false" ht="15" hidden="false" customHeight="false" outlineLevel="0" collapsed="false">
      <c r="A119" s="22" t="s">
        <v>8761</v>
      </c>
      <c r="B119" s="23" t="n">
        <v>44705</v>
      </c>
      <c r="C119" s="22" t="s">
        <v>2947</v>
      </c>
      <c r="D119" s="22" t="n">
        <v>1139</v>
      </c>
      <c r="E119" s="22" t="s">
        <v>7517</v>
      </c>
      <c r="F119" s="22" t="s">
        <v>159</v>
      </c>
      <c r="G119" s="22" t="n">
        <v>32</v>
      </c>
      <c r="H119" s="22" t="s">
        <v>6575</v>
      </c>
      <c r="I119" s="22" t="s">
        <v>8601</v>
      </c>
      <c r="J119" s="22" t="n">
        <v>10.4</v>
      </c>
      <c r="K119" s="22" t="n">
        <v>1</v>
      </c>
      <c r="L119" s="22" t="s">
        <v>8605</v>
      </c>
      <c r="M119" s="23" t="n">
        <v>44715</v>
      </c>
      <c r="N119" s="23" t="n">
        <v>44708</v>
      </c>
      <c r="O119" s="22" t="n">
        <v>3</v>
      </c>
      <c r="P119" s="22"/>
      <c r="Q119" s="22" t="s">
        <v>8762</v>
      </c>
      <c r="R119" s="22"/>
    </row>
    <row r="120" customFormat="false" ht="15" hidden="false" customHeight="false" outlineLevel="0" collapsed="false">
      <c r="A120" s="22" t="s">
        <v>8763</v>
      </c>
      <c r="B120" s="23" t="n">
        <v>44692</v>
      </c>
      <c r="C120" s="22" t="s">
        <v>5522</v>
      </c>
      <c r="D120" s="22" t="n">
        <v>2392</v>
      </c>
      <c r="E120" s="22" t="s">
        <v>7212</v>
      </c>
      <c r="F120" s="22" t="s">
        <v>198</v>
      </c>
      <c r="G120" s="22" t="n">
        <v>32</v>
      </c>
      <c r="H120" s="22" t="s">
        <v>6575</v>
      </c>
      <c r="I120" s="22" t="s">
        <v>8601</v>
      </c>
      <c r="J120" s="22" t="n">
        <v>10.4</v>
      </c>
      <c r="K120" s="22" t="n">
        <v>2</v>
      </c>
      <c r="L120" s="22" t="s">
        <v>8605</v>
      </c>
      <c r="M120" s="23" t="n">
        <v>44702</v>
      </c>
      <c r="N120" s="23" t="n">
        <v>44703</v>
      </c>
      <c r="O120" s="22" t="n">
        <v>11</v>
      </c>
      <c r="P120" s="22"/>
      <c r="Q120" s="22" t="s">
        <v>8764</v>
      </c>
      <c r="R120" s="22"/>
    </row>
    <row r="121" customFormat="false" ht="15" hidden="false" customHeight="false" outlineLevel="0" collapsed="false">
      <c r="A121" s="22" t="s">
        <v>8765</v>
      </c>
      <c r="B121" s="23" t="n">
        <v>44692</v>
      </c>
      <c r="C121" s="22" t="s">
        <v>945</v>
      </c>
      <c r="D121" s="22" t="n">
        <v>279</v>
      </c>
      <c r="E121" s="22" t="s">
        <v>8385</v>
      </c>
      <c r="F121" s="22" t="s">
        <v>188</v>
      </c>
      <c r="G121" s="22" t="n">
        <v>40</v>
      </c>
      <c r="H121" s="22" t="s">
        <v>7696</v>
      </c>
      <c r="I121" s="22" t="s">
        <v>8601</v>
      </c>
      <c r="J121" s="22" t="n">
        <v>7.55</v>
      </c>
      <c r="K121" s="22" t="n">
        <v>1</v>
      </c>
      <c r="L121" s="22" t="s">
        <v>8605</v>
      </c>
      <c r="M121" s="23" t="n">
        <v>44706</v>
      </c>
      <c r="N121" s="23" t="n">
        <v>44702</v>
      </c>
      <c r="O121" s="22" t="n">
        <v>10</v>
      </c>
      <c r="P121" s="22"/>
      <c r="Q121" s="22" t="s">
        <v>8766</v>
      </c>
      <c r="R121" s="22"/>
    </row>
    <row r="122" customFormat="false" ht="15" hidden="false" customHeight="false" outlineLevel="0" collapsed="false">
      <c r="A122" s="22" t="s">
        <v>8767</v>
      </c>
      <c r="B122" s="23" t="n">
        <v>44690</v>
      </c>
      <c r="C122" s="22" t="s">
        <v>5061</v>
      </c>
      <c r="D122" s="22" t="n">
        <v>2162</v>
      </c>
      <c r="E122" s="22" t="s">
        <v>8531</v>
      </c>
      <c r="F122" s="22" t="s">
        <v>188</v>
      </c>
      <c r="G122" s="22" t="n">
        <v>60</v>
      </c>
      <c r="H122" s="22" t="s">
        <v>7696</v>
      </c>
      <c r="I122" s="22" t="s">
        <v>8601</v>
      </c>
      <c r="J122" s="22" t="n">
        <v>7.55</v>
      </c>
      <c r="K122" s="22" t="n">
        <v>1</v>
      </c>
      <c r="L122" s="22" t="s">
        <v>8608</v>
      </c>
      <c r="M122" s="23" t="n">
        <v>44704</v>
      </c>
      <c r="N122" s="23" t="n">
        <v>44697</v>
      </c>
      <c r="O122" s="22" t="n">
        <v>7</v>
      </c>
      <c r="P122" s="22"/>
      <c r="Q122" s="22"/>
      <c r="R122" s="22"/>
    </row>
    <row r="123" customFormat="false" ht="15" hidden="false" customHeight="false" outlineLevel="0" collapsed="false">
      <c r="A123" s="22" t="s">
        <v>8768</v>
      </c>
      <c r="B123" s="23" t="n">
        <v>44682</v>
      </c>
      <c r="C123" s="22" t="s">
        <v>5802</v>
      </c>
      <c r="D123" s="22" t="n">
        <v>2531</v>
      </c>
      <c r="E123" s="22" t="s">
        <v>8134</v>
      </c>
      <c r="F123" s="22" t="s">
        <v>499</v>
      </c>
      <c r="G123" s="22" t="n">
        <v>45</v>
      </c>
      <c r="H123" s="22" t="s">
        <v>7696</v>
      </c>
      <c r="I123" s="22" t="s">
        <v>8601</v>
      </c>
      <c r="J123" s="22" t="n">
        <v>7.55</v>
      </c>
      <c r="K123" s="22" t="n">
        <v>1</v>
      </c>
      <c r="L123" s="22" t="s">
        <v>8605</v>
      </c>
      <c r="M123" s="23" t="n">
        <v>44696</v>
      </c>
      <c r="N123" s="23" t="n">
        <v>44693</v>
      </c>
      <c r="O123" s="22" t="n">
        <v>11</v>
      </c>
      <c r="P123" s="22"/>
      <c r="Q123" s="22" t="s">
        <v>8769</v>
      </c>
      <c r="R123" s="22"/>
    </row>
    <row r="124" customFormat="false" ht="15" hidden="false" customHeight="false" outlineLevel="0" collapsed="false">
      <c r="A124" s="22" t="s">
        <v>8770</v>
      </c>
      <c r="B124" s="23" t="n">
        <v>44696</v>
      </c>
      <c r="C124" s="22" t="s">
        <v>1356</v>
      </c>
      <c r="D124" s="22" t="n">
        <v>441</v>
      </c>
      <c r="E124" s="22" t="s">
        <v>6923</v>
      </c>
      <c r="F124" s="22" t="s">
        <v>198</v>
      </c>
      <c r="G124" s="22" t="n">
        <v>24</v>
      </c>
      <c r="H124" s="22" t="s">
        <v>6575</v>
      </c>
      <c r="I124" s="22" t="s">
        <v>8601</v>
      </c>
      <c r="J124" s="22" t="n">
        <v>10.4</v>
      </c>
      <c r="K124" s="22" t="n">
        <v>1</v>
      </c>
      <c r="L124" s="22" t="s">
        <v>8613</v>
      </c>
      <c r="M124" s="23" t="n">
        <v>44706</v>
      </c>
      <c r="N124" s="22"/>
      <c r="O124" s="22"/>
      <c r="P124" s="22"/>
      <c r="Q124" s="22"/>
      <c r="R124" s="22"/>
    </row>
    <row r="125" customFormat="false" ht="15" hidden="false" customHeight="false" outlineLevel="0" collapsed="false">
      <c r="A125" s="22" t="s">
        <v>8771</v>
      </c>
      <c r="B125" s="23" t="n">
        <v>44682</v>
      </c>
      <c r="C125" s="22" t="s">
        <v>4903</v>
      </c>
      <c r="D125" s="22" t="n">
        <v>2085</v>
      </c>
      <c r="E125" s="22" t="s">
        <v>7522</v>
      </c>
      <c r="F125" s="22" t="s">
        <v>159</v>
      </c>
      <c r="G125" s="22" t="n">
        <v>40</v>
      </c>
      <c r="H125" s="22" t="s">
        <v>6575</v>
      </c>
      <c r="I125" s="22" t="s">
        <v>8601</v>
      </c>
      <c r="J125" s="22" t="n">
        <v>10.4</v>
      </c>
      <c r="K125" s="22" t="n">
        <v>2</v>
      </c>
      <c r="L125" s="22" t="s">
        <v>8605</v>
      </c>
      <c r="M125" s="23" t="n">
        <v>44692</v>
      </c>
      <c r="N125" s="23" t="n">
        <v>44687</v>
      </c>
      <c r="O125" s="22" t="n">
        <v>5</v>
      </c>
      <c r="P125" s="22"/>
      <c r="Q125" s="22" t="s">
        <v>8772</v>
      </c>
      <c r="R125" s="22"/>
    </row>
    <row r="126" customFormat="false" ht="15" hidden="false" customHeight="false" outlineLevel="0" collapsed="false">
      <c r="A126" s="22" t="s">
        <v>8773</v>
      </c>
      <c r="B126" s="23" t="n">
        <v>44713</v>
      </c>
      <c r="C126" s="22" t="s">
        <v>4285</v>
      </c>
      <c r="D126" s="22" t="n">
        <v>1782</v>
      </c>
      <c r="E126" s="22" t="s">
        <v>7091</v>
      </c>
      <c r="F126" s="22" t="s">
        <v>198</v>
      </c>
      <c r="G126" s="22" t="n">
        <v>28</v>
      </c>
      <c r="H126" s="22" t="s">
        <v>6575</v>
      </c>
      <c r="I126" s="22" t="s">
        <v>8601</v>
      </c>
      <c r="J126" s="22" t="n">
        <v>10.4</v>
      </c>
      <c r="K126" s="22" t="n">
        <v>1</v>
      </c>
      <c r="L126" s="22" t="s">
        <v>8602</v>
      </c>
      <c r="M126" s="23" t="n">
        <v>44723</v>
      </c>
      <c r="N126" s="22"/>
      <c r="O126" s="22"/>
      <c r="P126" s="22" t="s">
        <v>8603</v>
      </c>
      <c r="Q126" s="22"/>
      <c r="R126" s="22"/>
    </row>
    <row r="127" customFormat="false" ht="15" hidden="false" customHeight="false" outlineLevel="0" collapsed="false">
      <c r="A127" s="22" t="s">
        <v>8774</v>
      </c>
      <c r="B127" s="23" t="n">
        <v>44713</v>
      </c>
      <c r="C127" s="22" t="s">
        <v>1577</v>
      </c>
      <c r="D127" s="22" t="n">
        <v>533</v>
      </c>
      <c r="E127" s="22" t="s">
        <v>7891</v>
      </c>
      <c r="F127" s="22" t="s">
        <v>215</v>
      </c>
      <c r="G127" s="22" t="n">
        <v>36</v>
      </c>
      <c r="H127" s="22" t="s">
        <v>7696</v>
      </c>
      <c r="I127" s="22" t="s">
        <v>8601</v>
      </c>
      <c r="J127" s="22" t="n">
        <v>7.55</v>
      </c>
      <c r="K127" s="22" t="n">
        <v>1</v>
      </c>
      <c r="L127" s="22" t="s">
        <v>157</v>
      </c>
      <c r="M127" s="23" t="n">
        <v>44727</v>
      </c>
      <c r="N127" s="23" t="n">
        <v>44723</v>
      </c>
      <c r="O127" s="22" t="n">
        <v>10</v>
      </c>
      <c r="P127" s="22"/>
      <c r="Q127" s="22"/>
      <c r="R127" s="22"/>
    </row>
    <row r="128" customFormat="false" ht="15" hidden="false" customHeight="false" outlineLevel="0" collapsed="false">
      <c r="A128" s="22" t="s">
        <v>8775</v>
      </c>
      <c r="B128" s="23" t="n">
        <v>44718</v>
      </c>
      <c r="C128" s="22" t="s">
        <v>5266</v>
      </c>
      <c r="D128" s="22" t="n">
        <v>2263</v>
      </c>
      <c r="E128" s="22" t="s">
        <v>7829</v>
      </c>
      <c r="F128" s="22" t="s">
        <v>215</v>
      </c>
      <c r="G128" s="22" t="n">
        <v>45</v>
      </c>
      <c r="H128" s="22" t="s">
        <v>7696</v>
      </c>
      <c r="I128" s="22" t="s">
        <v>8601</v>
      </c>
      <c r="J128" s="22" t="n">
        <v>7.55</v>
      </c>
      <c r="K128" s="22" t="n">
        <v>1</v>
      </c>
      <c r="L128" s="22" t="s">
        <v>8605</v>
      </c>
      <c r="M128" s="23" t="n">
        <v>44732</v>
      </c>
      <c r="N128" s="23" t="n">
        <v>44735</v>
      </c>
      <c r="O128" s="22" t="n">
        <v>17</v>
      </c>
      <c r="P128" s="22"/>
      <c r="Q128" s="22" t="s">
        <v>8776</v>
      </c>
      <c r="R128" s="22"/>
    </row>
    <row r="129" customFormat="false" ht="15" hidden="false" customHeight="false" outlineLevel="0" collapsed="false">
      <c r="A129" s="22" t="s">
        <v>8777</v>
      </c>
      <c r="B129" s="23" t="n">
        <v>44726</v>
      </c>
      <c r="C129" s="22" t="s">
        <v>4320</v>
      </c>
      <c r="D129" s="22" t="n">
        <v>1799</v>
      </c>
      <c r="E129" s="22" t="s">
        <v>7850</v>
      </c>
      <c r="F129" s="22" t="s">
        <v>215</v>
      </c>
      <c r="G129" s="22" t="n">
        <v>28</v>
      </c>
      <c r="H129" s="22" t="s">
        <v>7696</v>
      </c>
      <c r="I129" s="22" t="s">
        <v>8601</v>
      </c>
      <c r="J129" s="22" t="n">
        <v>7.55</v>
      </c>
      <c r="K129" s="22" t="n">
        <v>1</v>
      </c>
      <c r="L129" s="22" t="s">
        <v>8605</v>
      </c>
      <c r="M129" s="23" t="n">
        <v>44740</v>
      </c>
      <c r="N129" s="23" t="n">
        <v>44730</v>
      </c>
      <c r="O129" s="22" t="n">
        <v>4</v>
      </c>
      <c r="P129" s="22"/>
      <c r="Q129" s="22" t="s">
        <v>8778</v>
      </c>
      <c r="R129" s="22"/>
    </row>
    <row r="130" customFormat="false" ht="15" hidden="false" customHeight="false" outlineLevel="0" collapsed="false">
      <c r="A130" s="22" t="s">
        <v>8779</v>
      </c>
      <c r="B130" s="23" t="n">
        <v>44736</v>
      </c>
      <c r="C130" s="22" t="s">
        <v>1520</v>
      </c>
      <c r="D130" s="22" t="n">
        <v>509</v>
      </c>
      <c r="E130" s="22" t="s">
        <v>7797</v>
      </c>
      <c r="F130" s="22" t="s">
        <v>215</v>
      </c>
      <c r="G130" s="22" t="n">
        <v>28</v>
      </c>
      <c r="H130" s="22" t="s">
        <v>7696</v>
      </c>
      <c r="I130" s="22" t="s">
        <v>8601</v>
      </c>
      <c r="J130" s="22" t="n">
        <v>7.55</v>
      </c>
      <c r="K130" s="22" t="n">
        <v>1</v>
      </c>
      <c r="L130" s="22" t="s">
        <v>8629</v>
      </c>
      <c r="M130" s="23" t="n">
        <v>44750</v>
      </c>
      <c r="N130" s="23" t="n">
        <v>44744</v>
      </c>
      <c r="O130" s="22" t="n">
        <v>8</v>
      </c>
      <c r="P130" s="22"/>
      <c r="Q130" s="22"/>
      <c r="R130" s="22"/>
    </row>
    <row r="131" customFormat="false" ht="15" hidden="false" customHeight="false" outlineLevel="0" collapsed="false">
      <c r="A131" s="22" t="s">
        <v>8780</v>
      </c>
      <c r="B131" s="23" t="n">
        <v>44737</v>
      </c>
      <c r="C131" s="22" t="s">
        <v>5544</v>
      </c>
      <c r="D131" s="22" t="n">
        <v>2403</v>
      </c>
      <c r="E131" s="22" t="s">
        <v>8186</v>
      </c>
      <c r="F131" s="22" t="s">
        <v>499</v>
      </c>
      <c r="G131" s="22" t="n">
        <v>40</v>
      </c>
      <c r="H131" s="22" t="s">
        <v>7696</v>
      </c>
      <c r="I131" s="22" t="s">
        <v>8601</v>
      </c>
      <c r="J131" s="22" t="n">
        <v>7.55</v>
      </c>
      <c r="K131" s="22" t="n">
        <v>1</v>
      </c>
      <c r="L131" s="22" t="s">
        <v>8602</v>
      </c>
      <c r="M131" s="23" t="n">
        <v>44751</v>
      </c>
      <c r="N131" s="22"/>
      <c r="O131" s="22"/>
      <c r="P131" s="22" t="s">
        <v>8618</v>
      </c>
      <c r="Q131" s="22"/>
      <c r="R131" s="22"/>
    </row>
    <row r="132" customFormat="false" ht="15" hidden="false" customHeight="false" outlineLevel="0" collapsed="false">
      <c r="A132" s="22" t="s">
        <v>8781</v>
      </c>
      <c r="B132" s="23" t="n">
        <v>44719</v>
      </c>
      <c r="C132" s="22" t="s">
        <v>2598</v>
      </c>
      <c r="D132" s="22" t="n">
        <v>981</v>
      </c>
      <c r="E132" s="22" t="s">
        <v>8476</v>
      </c>
      <c r="F132" s="22" t="s">
        <v>188</v>
      </c>
      <c r="G132" s="22" t="n">
        <v>32</v>
      </c>
      <c r="H132" s="22" t="s">
        <v>7696</v>
      </c>
      <c r="I132" s="22" t="s">
        <v>8601</v>
      </c>
      <c r="J132" s="22" t="n">
        <v>7.55</v>
      </c>
      <c r="K132" s="22" t="n">
        <v>2</v>
      </c>
      <c r="L132" s="22" t="s">
        <v>8605</v>
      </c>
      <c r="M132" s="23" t="n">
        <v>44733</v>
      </c>
      <c r="N132" s="23" t="n">
        <v>44732</v>
      </c>
      <c r="O132" s="22" t="n">
        <v>13</v>
      </c>
      <c r="P132" s="22"/>
      <c r="Q132" s="22" t="s">
        <v>8782</v>
      </c>
      <c r="R132" s="22"/>
    </row>
    <row r="133" customFormat="false" ht="15" hidden="false" customHeight="false" outlineLevel="0" collapsed="false">
      <c r="A133" s="22" t="s">
        <v>8783</v>
      </c>
      <c r="B133" s="23" t="n">
        <v>44720</v>
      </c>
      <c r="C133" s="22" t="s">
        <v>4793</v>
      </c>
      <c r="D133" s="22" t="n">
        <v>2030</v>
      </c>
      <c r="E133" s="22" t="s">
        <v>7993</v>
      </c>
      <c r="F133" s="22" t="s">
        <v>215</v>
      </c>
      <c r="G133" s="22" t="n">
        <v>40</v>
      </c>
      <c r="H133" s="22" t="s">
        <v>7696</v>
      </c>
      <c r="I133" s="22" t="s">
        <v>8601</v>
      </c>
      <c r="J133" s="22" t="n">
        <v>7.55</v>
      </c>
      <c r="K133" s="22" t="n">
        <v>1</v>
      </c>
      <c r="L133" s="22" t="s">
        <v>8605</v>
      </c>
      <c r="M133" s="23" t="n">
        <v>44734</v>
      </c>
      <c r="N133" s="23" t="n">
        <v>44731</v>
      </c>
      <c r="O133" s="22" t="n">
        <v>11</v>
      </c>
      <c r="P133" s="22"/>
      <c r="Q133" s="22" t="s">
        <v>8784</v>
      </c>
      <c r="R133" s="22"/>
    </row>
    <row r="134" customFormat="false" ht="15" hidden="false" customHeight="false" outlineLevel="0" collapsed="false">
      <c r="A134" s="22" t="s">
        <v>8785</v>
      </c>
      <c r="B134" s="23" t="n">
        <v>44725</v>
      </c>
      <c r="C134" s="22" t="s">
        <v>2325</v>
      </c>
      <c r="D134" s="22" t="n">
        <v>857</v>
      </c>
      <c r="E134" s="22" t="s">
        <v>8540</v>
      </c>
      <c r="F134" s="22" t="s">
        <v>188</v>
      </c>
      <c r="G134" s="22" t="n">
        <v>32</v>
      </c>
      <c r="H134" s="22" t="s">
        <v>7696</v>
      </c>
      <c r="I134" s="22" t="s">
        <v>8601</v>
      </c>
      <c r="J134" s="22" t="n">
        <v>7.55</v>
      </c>
      <c r="K134" s="22" t="n">
        <v>1</v>
      </c>
      <c r="L134" s="22" t="s">
        <v>8613</v>
      </c>
      <c r="M134" s="23" t="n">
        <v>44739</v>
      </c>
      <c r="N134" s="22"/>
      <c r="O134" s="22"/>
      <c r="P134" s="22"/>
      <c r="Q134" s="22"/>
      <c r="R134" s="22"/>
    </row>
    <row r="135" customFormat="false" ht="15" hidden="false" customHeight="false" outlineLevel="0" collapsed="false">
      <c r="A135" s="22" t="s">
        <v>8786</v>
      </c>
      <c r="B135" s="23" t="n">
        <v>44728</v>
      </c>
      <c r="C135" s="22" t="s">
        <v>5973</v>
      </c>
      <c r="D135" s="22" t="n">
        <v>2617</v>
      </c>
      <c r="E135" s="22" t="s">
        <v>8441</v>
      </c>
      <c r="F135" s="22" t="s">
        <v>188</v>
      </c>
      <c r="G135" s="22" t="n">
        <v>28</v>
      </c>
      <c r="H135" s="22" t="s">
        <v>7696</v>
      </c>
      <c r="I135" s="22" t="s">
        <v>8601</v>
      </c>
      <c r="J135" s="22" t="n">
        <v>7.55</v>
      </c>
      <c r="K135" s="22" t="n">
        <v>1</v>
      </c>
      <c r="L135" s="22" t="s">
        <v>8605</v>
      </c>
      <c r="M135" s="23" t="n">
        <v>44742</v>
      </c>
      <c r="N135" s="23" t="n">
        <v>44733</v>
      </c>
      <c r="O135" s="22" t="n">
        <v>5</v>
      </c>
      <c r="P135" s="22"/>
      <c r="Q135" s="22" t="s">
        <v>8787</v>
      </c>
      <c r="R135" s="22"/>
    </row>
    <row r="136" customFormat="false" ht="15" hidden="false" customHeight="false" outlineLevel="0" collapsed="false">
      <c r="A136" s="22" t="s">
        <v>8788</v>
      </c>
      <c r="B136" s="23" t="n">
        <v>44725</v>
      </c>
      <c r="C136" s="22" t="s">
        <v>4512</v>
      </c>
      <c r="D136" s="22" t="n">
        <v>1893</v>
      </c>
      <c r="E136" s="22" t="s">
        <v>8259</v>
      </c>
      <c r="F136" s="22" t="s">
        <v>499</v>
      </c>
      <c r="G136" s="22" t="n">
        <v>28</v>
      </c>
      <c r="H136" s="22" t="s">
        <v>7696</v>
      </c>
      <c r="I136" s="22" t="s">
        <v>8601</v>
      </c>
      <c r="J136" s="22" t="n">
        <v>7.55</v>
      </c>
      <c r="K136" s="22" t="n">
        <v>2</v>
      </c>
      <c r="L136" s="22" t="s">
        <v>157</v>
      </c>
      <c r="M136" s="23" t="n">
        <v>44739</v>
      </c>
      <c r="N136" s="23" t="n">
        <v>44726</v>
      </c>
      <c r="O136" s="22" t="n">
        <v>1</v>
      </c>
      <c r="P136" s="22"/>
      <c r="Q136" s="22"/>
      <c r="R136" s="22"/>
    </row>
    <row r="137" customFormat="false" ht="15" hidden="false" customHeight="false" outlineLevel="0" collapsed="false">
      <c r="A137" s="22" t="s">
        <v>8789</v>
      </c>
      <c r="B137" s="23" t="n">
        <v>44723</v>
      </c>
      <c r="C137" s="22" t="s">
        <v>5416</v>
      </c>
      <c r="D137" s="22" t="n">
        <v>2339</v>
      </c>
      <c r="E137" s="22" t="s">
        <v>7558</v>
      </c>
      <c r="F137" s="22" t="s">
        <v>159</v>
      </c>
      <c r="G137" s="22" t="n">
        <v>28</v>
      </c>
      <c r="H137" s="22" t="s">
        <v>6575</v>
      </c>
      <c r="I137" s="22" t="s">
        <v>8601</v>
      </c>
      <c r="J137" s="22" t="n">
        <v>10.4</v>
      </c>
      <c r="K137" s="22" t="n">
        <v>2</v>
      </c>
      <c r="L137" s="22" t="s">
        <v>8605</v>
      </c>
      <c r="M137" s="23" t="n">
        <v>44733</v>
      </c>
      <c r="N137" s="23" t="n">
        <v>44736</v>
      </c>
      <c r="O137" s="22" t="n">
        <v>13</v>
      </c>
      <c r="P137" s="22"/>
      <c r="Q137" s="22" t="s">
        <v>8790</v>
      </c>
      <c r="R137" s="22"/>
    </row>
    <row r="138" customFormat="false" ht="15" hidden="false" customHeight="false" outlineLevel="0" collapsed="false">
      <c r="A138" s="22" t="s">
        <v>8791</v>
      </c>
      <c r="B138" s="23" t="n">
        <v>44724</v>
      </c>
      <c r="C138" s="22" t="s">
        <v>5566</v>
      </c>
      <c r="D138" s="22" t="n">
        <v>2414</v>
      </c>
      <c r="E138" s="22" t="s">
        <v>8075</v>
      </c>
      <c r="F138" s="22" t="s">
        <v>499</v>
      </c>
      <c r="G138" s="22" t="n">
        <v>24</v>
      </c>
      <c r="H138" s="22" t="s">
        <v>7696</v>
      </c>
      <c r="I138" s="22" t="s">
        <v>8601</v>
      </c>
      <c r="J138" s="22" t="n">
        <v>7.55</v>
      </c>
      <c r="K138" s="22" t="n">
        <v>1</v>
      </c>
      <c r="L138" s="22" t="s">
        <v>8602</v>
      </c>
      <c r="M138" s="23" t="n">
        <v>44738</v>
      </c>
      <c r="N138" s="22"/>
      <c r="O138" s="22"/>
      <c r="P138" s="22" t="s">
        <v>8637</v>
      </c>
      <c r="Q138" s="22"/>
      <c r="R138" s="22"/>
    </row>
    <row r="139" customFormat="false" ht="15" hidden="false" customHeight="false" outlineLevel="0" collapsed="false">
      <c r="A139" s="22" t="s">
        <v>8792</v>
      </c>
      <c r="B139" s="23" t="n">
        <v>44738</v>
      </c>
      <c r="C139" s="22" t="s">
        <v>1737</v>
      </c>
      <c r="D139" s="22" t="n">
        <v>601</v>
      </c>
      <c r="E139" s="22" t="s">
        <v>8288</v>
      </c>
      <c r="F139" s="22" t="s">
        <v>499</v>
      </c>
      <c r="G139" s="22" t="n">
        <v>45</v>
      </c>
      <c r="H139" s="22" t="s">
        <v>7696</v>
      </c>
      <c r="I139" s="22" t="s">
        <v>8601</v>
      </c>
      <c r="J139" s="22" t="n">
        <v>7.55</v>
      </c>
      <c r="K139" s="22" t="n">
        <v>2</v>
      </c>
      <c r="L139" s="22" t="s">
        <v>8602</v>
      </c>
      <c r="M139" s="23" t="n">
        <v>44752</v>
      </c>
      <c r="N139" s="22"/>
      <c r="O139" s="22"/>
      <c r="P139" s="22" t="s">
        <v>8631</v>
      </c>
      <c r="Q139" s="22"/>
      <c r="R139" s="22"/>
    </row>
    <row r="140" customFormat="false" ht="15" hidden="false" customHeight="false" outlineLevel="0" collapsed="false">
      <c r="A140" s="22" t="s">
        <v>8793</v>
      </c>
      <c r="B140" s="23" t="n">
        <v>44714</v>
      </c>
      <c r="C140" s="22" t="s">
        <v>3456</v>
      </c>
      <c r="D140" s="22" t="n">
        <v>1377</v>
      </c>
      <c r="E140" s="22" t="s">
        <v>6851</v>
      </c>
      <c r="F140" s="22" t="s">
        <v>198</v>
      </c>
      <c r="G140" s="22" t="n">
        <v>32</v>
      </c>
      <c r="H140" s="22" t="s">
        <v>6575</v>
      </c>
      <c r="I140" s="22" t="s">
        <v>8601</v>
      </c>
      <c r="J140" s="22" t="n">
        <v>10.4</v>
      </c>
      <c r="K140" s="22" t="n">
        <v>1</v>
      </c>
      <c r="L140" s="22" t="s">
        <v>8629</v>
      </c>
      <c r="M140" s="23" t="n">
        <v>44724</v>
      </c>
      <c r="N140" s="23" t="n">
        <v>44715</v>
      </c>
      <c r="O140" s="22" t="n">
        <v>1</v>
      </c>
      <c r="P140" s="22"/>
      <c r="Q140" s="22"/>
      <c r="R140" s="22"/>
    </row>
    <row r="141" customFormat="false" ht="15" hidden="false" customHeight="false" outlineLevel="0" collapsed="false">
      <c r="A141" s="22" t="s">
        <v>8794</v>
      </c>
      <c r="B141" s="23" t="n">
        <v>44724</v>
      </c>
      <c r="C141" s="22" t="s">
        <v>5131</v>
      </c>
      <c r="D141" s="22" t="n">
        <v>2196</v>
      </c>
      <c r="E141" s="22" t="s">
        <v>7957</v>
      </c>
      <c r="F141" s="22" t="s">
        <v>215</v>
      </c>
      <c r="G141" s="22" t="n">
        <v>24</v>
      </c>
      <c r="H141" s="22" t="s">
        <v>7696</v>
      </c>
      <c r="I141" s="22" t="s">
        <v>8601</v>
      </c>
      <c r="J141" s="22" t="n">
        <v>7.55</v>
      </c>
      <c r="K141" s="22" t="n">
        <v>1</v>
      </c>
      <c r="L141" s="22" t="s">
        <v>8605</v>
      </c>
      <c r="M141" s="23" t="n">
        <v>44738</v>
      </c>
      <c r="N141" s="23" t="n">
        <v>44738</v>
      </c>
      <c r="O141" s="22" t="n">
        <v>14</v>
      </c>
      <c r="P141" s="22"/>
      <c r="Q141" s="22" t="s">
        <v>8795</v>
      </c>
      <c r="R141" s="22"/>
    </row>
    <row r="142" customFormat="false" ht="15" hidden="false" customHeight="false" outlineLevel="0" collapsed="false">
      <c r="A142" s="22" t="s">
        <v>8796</v>
      </c>
      <c r="B142" s="23" t="n">
        <v>44725</v>
      </c>
      <c r="C142" s="22" t="s">
        <v>2964</v>
      </c>
      <c r="D142" s="22" t="n">
        <v>1147</v>
      </c>
      <c r="E142" s="22" t="s">
        <v>7963</v>
      </c>
      <c r="F142" s="22" t="s">
        <v>215</v>
      </c>
      <c r="G142" s="22" t="n">
        <v>60</v>
      </c>
      <c r="H142" s="22" t="s">
        <v>7696</v>
      </c>
      <c r="I142" s="22" t="s">
        <v>8601</v>
      </c>
      <c r="J142" s="22" t="n">
        <v>7.55</v>
      </c>
      <c r="K142" s="22" t="n">
        <v>1</v>
      </c>
      <c r="L142" s="22" t="s">
        <v>8629</v>
      </c>
      <c r="M142" s="23" t="n">
        <v>44739</v>
      </c>
      <c r="N142" s="23" t="n">
        <v>44733</v>
      </c>
      <c r="O142" s="22" t="n">
        <v>8</v>
      </c>
      <c r="P142" s="22"/>
      <c r="Q142" s="22"/>
      <c r="R142" s="22"/>
    </row>
    <row r="143" customFormat="false" ht="15" hidden="false" customHeight="false" outlineLevel="0" collapsed="false">
      <c r="A143" s="22" t="s">
        <v>8797</v>
      </c>
      <c r="B143" s="23" t="n">
        <v>44719</v>
      </c>
      <c r="C143" s="22" t="s">
        <v>5414</v>
      </c>
      <c r="D143" s="22" t="n">
        <v>2338</v>
      </c>
      <c r="E143" s="22" t="s">
        <v>6714</v>
      </c>
      <c r="F143" s="22" t="s">
        <v>198</v>
      </c>
      <c r="G143" s="22" t="n">
        <v>36</v>
      </c>
      <c r="H143" s="22" t="s">
        <v>6575</v>
      </c>
      <c r="I143" s="22" t="s">
        <v>8601</v>
      </c>
      <c r="J143" s="22" t="n">
        <v>10.4</v>
      </c>
      <c r="K143" s="22" t="n">
        <v>1</v>
      </c>
      <c r="L143" s="22" t="s">
        <v>8629</v>
      </c>
      <c r="M143" s="23" t="n">
        <v>44729</v>
      </c>
      <c r="N143" s="23" t="n">
        <v>44727</v>
      </c>
      <c r="O143" s="22" t="n">
        <v>8</v>
      </c>
      <c r="P143" s="22"/>
      <c r="Q143" s="22"/>
      <c r="R143" s="22"/>
    </row>
    <row r="144" customFormat="false" ht="15" hidden="false" customHeight="false" outlineLevel="0" collapsed="false">
      <c r="A144" s="22" t="s">
        <v>8798</v>
      </c>
      <c r="B144" s="23" t="n">
        <v>44723</v>
      </c>
      <c r="C144" s="22" t="s">
        <v>1880</v>
      </c>
      <c r="D144" s="22" t="n">
        <v>660</v>
      </c>
      <c r="E144" s="22" t="s">
        <v>8426</v>
      </c>
      <c r="F144" s="22" t="s">
        <v>188</v>
      </c>
      <c r="G144" s="22" t="n">
        <v>32</v>
      </c>
      <c r="H144" s="22" t="s">
        <v>7696</v>
      </c>
      <c r="I144" s="22" t="s">
        <v>8601</v>
      </c>
      <c r="J144" s="22" t="n">
        <v>7.55</v>
      </c>
      <c r="K144" s="22" t="n">
        <v>1</v>
      </c>
      <c r="L144" s="22" t="s">
        <v>8605</v>
      </c>
      <c r="M144" s="23" t="n">
        <v>44737</v>
      </c>
      <c r="N144" s="23" t="n">
        <v>44729</v>
      </c>
      <c r="O144" s="22" t="n">
        <v>6</v>
      </c>
      <c r="P144" s="22"/>
      <c r="Q144" s="22" t="s">
        <v>8799</v>
      </c>
      <c r="R144" s="22"/>
    </row>
    <row r="145" customFormat="false" ht="15" hidden="false" customHeight="false" outlineLevel="0" collapsed="false">
      <c r="A145" s="22" t="s">
        <v>8800</v>
      </c>
      <c r="B145" s="23" t="n">
        <v>44733</v>
      </c>
      <c r="C145" s="22" t="s">
        <v>4633</v>
      </c>
      <c r="D145" s="22" t="n">
        <v>1952</v>
      </c>
      <c r="E145" s="22" t="s">
        <v>7450</v>
      </c>
      <c r="F145" s="22" t="s">
        <v>159</v>
      </c>
      <c r="G145" s="22" t="n">
        <v>36</v>
      </c>
      <c r="H145" s="22" t="s">
        <v>6575</v>
      </c>
      <c r="I145" s="22" t="s">
        <v>8601</v>
      </c>
      <c r="J145" s="22" t="n">
        <v>10.4</v>
      </c>
      <c r="K145" s="22" t="n">
        <v>1</v>
      </c>
      <c r="L145" s="22" t="s">
        <v>8602</v>
      </c>
      <c r="M145" s="23" t="n">
        <v>44743</v>
      </c>
      <c r="N145" s="22"/>
      <c r="O145" s="22"/>
      <c r="P145" s="22" t="s">
        <v>8618</v>
      </c>
      <c r="Q145" s="22"/>
      <c r="R145" s="22"/>
    </row>
    <row r="146" customFormat="false" ht="15" hidden="false" customHeight="false" outlineLevel="0" collapsed="false">
      <c r="A146" s="22" t="s">
        <v>8801</v>
      </c>
      <c r="B146" s="23" t="n">
        <v>44730</v>
      </c>
      <c r="C146" s="22" t="s">
        <v>5251</v>
      </c>
      <c r="D146" s="22" t="n">
        <v>2256</v>
      </c>
      <c r="E146" s="22" t="s">
        <v>8483</v>
      </c>
      <c r="F146" s="22" t="s">
        <v>188</v>
      </c>
      <c r="G146" s="22" t="n">
        <v>32</v>
      </c>
      <c r="H146" s="22" t="s">
        <v>7696</v>
      </c>
      <c r="I146" s="22" t="s">
        <v>8601</v>
      </c>
      <c r="J146" s="22" t="n">
        <v>7.55</v>
      </c>
      <c r="K146" s="22" t="n">
        <v>1</v>
      </c>
      <c r="L146" s="22" t="s">
        <v>8605</v>
      </c>
      <c r="M146" s="23" t="n">
        <v>44744</v>
      </c>
      <c r="N146" s="23" t="n">
        <v>44744</v>
      </c>
      <c r="O146" s="22" t="n">
        <v>14</v>
      </c>
      <c r="P146" s="22"/>
      <c r="Q146" s="22" t="s">
        <v>8802</v>
      </c>
      <c r="R146" s="22"/>
    </row>
    <row r="147" customFormat="false" ht="15" hidden="false" customHeight="false" outlineLevel="0" collapsed="false">
      <c r="A147" s="22" t="s">
        <v>8803</v>
      </c>
      <c r="B147" s="23" t="n">
        <v>44727</v>
      </c>
      <c r="C147" s="22" t="s">
        <v>5657</v>
      </c>
      <c r="D147" s="22" t="n">
        <v>2459</v>
      </c>
      <c r="E147" s="22" t="s">
        <v>7585</v>
      </c>
      <c r="F147" s="22" t="s">
        <v>159</v>
      </c>
      <c r="G147" s="22" t="n">
        <v>24</v>
      </c>
      <c r="H147" s="22" t="s">
        <v>6575</v>
      </c>
      <c r="I147" s="22" t="s">
        <v>8601</v>
      </c>
      <c r="J147" s="22" t="n">
        <v>10.4</v>
      </c>
      <c r="K147" s="22" t="n">
        <v>1</v>
      </c>
      <c r="L147" s="22" t="s">
        <v>8602</v>
      </c>
      <c r="M147" s="23" t="n">
        <v>44737</v>
      </c>
      <c r="N147" s="22"/>
      <c r="O147" s="22"/>
      <c r="P147" s="22" t="s">
        <v>8631</v>
      </c>
      <c r="Q147" s="22"/>
      <c r="R147" s="22"/>
    </row>
    <row r="148" customFormat="false" ht="15" hidden="false" customHeight="false" outlineLevel="0" collapsed="false">
      <c r="A148" s="22" t="s">
        <v>8804</v>
      </c>
      <c r="B148" s="23" t="n">
        <v>44739</v>
      </c>
      <c r="C148" s="22" t="s">
        <v>3653</v>
      </c>
      <c r="D148" s="22" t="n">
        <v>1472</v>
      </c>
      <c r="E148" s="22" t="s">
        <v>7578</v>
      </c>
      <c r="F148" s="22" t="s">
        <v>159</v>
      </c>
      <c r="G148" s="22" t="n">
        <v>24</v>
      </c>
      <c r="H148" s="22" t="s">
        <v>6575</v>
      </c>
      <c r="I148" s="22" t="s">
        <v>8601</v>
      </c>
      <c r="J148" s="22" t="n">
        <v>10.4</v>
      </c>
      <c r="K148" s="22" t="n">
        <v>1</v>
      </c>
      <c r="L148" s="22" t="s">
        <v>157</v>
      </c>
      <c r="M148" s="23" t="n">
        <v>44749</v>
      </c>
      <c r="N148" s="23" t="n">
        <v>44741</v>
      </c>
      <c r="O148" s="22" t="n">
        <v>2</v>
      </c>
      <c r="P148" s="22"/>
      <c r="Q148" s="22"/>
      <c r="R148" s="22"/>
    </row>
    <row r="149" customFormat="false" ht="15" hidden="false" customHeight="false" outlineLevel="0" collapsed="false">
      <c r="A149" s="22" t="s">
        <v>8805</v>
      </c>
      <c r="B149" s="23" t="n">
        <v>44735</v>
      </c>
      <c r="C149" s="22" t="s">
        <v>282</v>
      </c>
      <c r="D149" s="22" t="n">
        <v>40</v>
      </c>
      <c r="E149" s="22" t="s">
        <v>8109</v>
      </c>
      <c r="F149" s="22" t="s">
        <v>499</v>
      </c>
      <c r="G149" s="22" t="n">
        <v>32</v>
      </c>
      <c r="H149" s="22" t="s">
        <v>7696</v>
      </c>
      <c r="I149" s="22" t="s">
        <v>8601</v>
      </c>
      <c r="J149" s="22" t="n">
        <v>7.55</v>
      </c>
      <c r="K149" s="22" t="n">
        <v>1</v>
      </c>
      <c r="L149" s="22" t="s">
        <v>8629</v>
      </c>
      <c r="M149" s="23" t="n">
        <v>44749</v>
      </c>
      <c r="N149" s="23" t="n">
        <v>44736</v>
      </c>
      <c r="O149" s="22" t="n">
        <v>1</v>
      </c>
      <c r="P149" s="22"/>
      <c r="Q149" s="22"/>
      <c r="R149" s="22"/>
    </row>
    <row r="150" customFormat="false" ht="15" hidden="false" customHeight="false" outlineLevel="0" collapsed="false">
      <c r="A150" s="22" t="s">
        <v>8806</v>
      </c>
      <c r="B150" s="23" t="n">
        <v>44735</v>
      </c>
      <c r="C150" s="22" t="s">
        <v>3775</v>
      </c>
      <c r="D150" s="22" t="n">
        <v>1532</v>
      </c>
      <c r="E150" s="22" t="s">
        <v>6985</v>
      </c>
      <c r="F150" s="22" t="s">
        <v>198</v>
      </c>
      <c r="G150" s="22" t="n">
        <v>32</v>
      </c>
      <c r="H150" s="22" t="s">
        <v>6575</v>
      </c>
      <c r="I150" s="22" t="s">
        <v>8601</v>
      </c>
      <c r="J150" s="22" t="n">
        <v>10.4</v>
      </c>
      <c r="K150" s="22" t="n">
        <v>1</v>
      </c>
      <c r="L150" s="22" t="s">
        <v>8605</v>
      </c>
      <c r="M150" s="23" t="n">
        <v>44745</v>
      </c>
      <c r="N150" s="23" t="n">
        <v>44744</v>
      </c>
      <c r="O150" s="22" t="n">
        <v>9</v>
      </c>
      <c r="P150" s="22"/>
      <c r="Q150" s="22" t="s">
        <v>8807</v>
      </c>
      <c r="R150" s="22"/>
    </row>
    <row r="151" customFormat="false" ht="15" hidden="false" customHeight="false" outlineLevel="0" collapsed="false">
      <c r="A151" s="22" t="s">
        <v>8808</v>
      </c>
      <c r="B151" s="23" t="n">
        <v>44724</v>
      </c>
      <c r="C151" s="22" t="s">
        <v>3778</v>
      </c>
      <c r="D151" s="22" t="n">
        <v>1533</v>
      </c>
      <c r="E151" s="22" t="s">
        <v>7951</v>
      </c>
      <c r="F151" s="22" t="s">
        <v>215</v>
      </c>
      <c r="G151" s="22" t="n">
        <v>80</v>
      </c>
      <c r="H151" s="22" t="s">
        <v>7696</v>
      </c>
      <c r="I151" s="22" t="s">
        <v>8601</v>
      </c>
      <c r="J151" s="22" t="n">
        <v>7.55</v>
      </c>
      <c r="K151" s="22" t="n">
        <v>1</v>
      </c>
      <c r="L151" s="22" t="s">
        <v>8613</v>
      </c>
      <c r="M151" s="23" t="n">
        <v>44738</v>
      </c>
      <c r="N151" s="22"/>
      <c r="O151" s="22"/>
      <c r="P151" s="22"/>
      <c r="Q151" s="22"/>
      <c r="R151" s="22"/>
    </row>
    <row r="152" customFormat="false" ht="15" hidden="false" customHeight="false" outlineLevel="0" collapsed="false">
      <c r="A152" s="22" t="s">
        <v>8809</v>
      </c>
      <c r="B152" s="23" t="n">
        <v>44737</v>
      </c>
      <c r="C152" s="22" t="s">
        <v>3922</v>
      </c>
      <c r="D152" s="22" t="n">
        <v>1605</v>
      </c>
      <c r="E152" s="22" t="s">
        <v>8110</v>
      </c>
      <c r="F152" s="22" t="s">
        <v>499</v>
      </c>
      <c r="G152" s="22" t="n">
        <v>60</v>
      </c>
      <c r="H152" s="22" t="s">
        <v>7696</v>
      </c>
      <c r="I152" s="22" t="s">
        <v>8601</v>
      </c>
      <c r="J152" s="22" t="n">
        <v>7.55</v>
      </c>
      <c r="K152" s="22" t="n">
        <v>1</v>
      </c>
      <c r="L152" s="22" t="s">
        <v>157</v>
      </c>
      <c r="M152" s="23" t="n">
        <v>44751</v>
      </c>
      <c r="N152" s="23" t="n">
        <v>44738</v>
      </c>
      <c r="O152" s="22" t="n">
        <v>1</v>
      </c>
      <c r="P152" s="22"/>
      <c r="Q152" s="22"/>
      <c r="R152" s="22"/>
    </row>
    <row r="153" customFormat="false" ht="15" hidden="false" customHeight="false" outlineLevel="0" collapsed="false">
      <c r="A153" s="22" t="s">
        <v>8810</v>
      </c>
      <c r="B153" s="23" t="n">
        <v>44733</v>
      </c>
      <c r="C153" s="22" t="s">
        <v>4078</v>
      </c>
      <c r="D153" s="22" t="n">
        <v>1681</v>
      </c>
      <c r="E153" s="22" t="s">
        <v>7922</v>
      </c>
      <c r="F153" s="22" t="s">
        <v>215</v>
      </c>
      <c r="G153" s="22" t="n">
        <v>36</v>
      </c>
      <c r="H153" s="22" t="s">
        <v>7696</v>
      </c>
      <c r="I153" s="22" t="s">
        <v>8601</v>
      </c>
      <c r="J153" s="22" t="n">
        <v>7.55</v>
      </c>
      <c r="K153" s="22" t="n">
        <v>2</v>
      </c>
      <c r="L153" s="22" t="s">
        <v>8729</v>
      </c>
      <c r="M153" s="23" t="n">
        <v>44747</v>
      </c>
      <c r="N153" s="23" t="n">
        <v>44745</v>
      </c>
      <c r="O153" s="22" t="n">
        <v>12</v>
      </c>
      <c r="P153" s="22"/>
      <c r="Q153" s="22"/>
      <c r="R153" s="22"/>
    </row>
    <row r="154" customFormat="false" ht="15" hidden="false" customHeight="false" outlineLevel="0" collapsed="false">
      <c r="A154" s="22" t="s">
        <v>8811</v>
      </c>
      <c r="B154" s="23" t="n">
        <v>44722</v>
      </c>
      <c r="C154" s="22" t="s">
        <v>3798</v>
      </c>
      <c r="D154" s="22" t="n">
        <v>1543</v>
      </c>
      <c r="E154" s="22" t="s">
        <v>8345</v>
      </c>
      <c r="F154" s="22" t="s">
        <v>188</v>
      </c>
      <c r="G154" s="22" t="n">
        <v>28</v>
      </c>
      <c r="H154" s="22" t="s">
        <v>7696</v>
      </c>
      <c r="I154" s="22" t="s">
        <v>8601</v>
      </c>
      <c r="J154" s="22" t="n">
        <v>7.55</v>
      </c>
      <c r="K154" s="22" t="n">
        <v>1</v>
      </c>
      <c r="L154" s="22" t="s">
        <v>8608</v>
      </c>
      <c r="M154" s="23" t="n">
        <v>44736</v>
      </c>
      <c r="N154" s="23" t="n">
        <v>44728</v>
      </c>
      <c r="O154" s="22" t="n">
        <v>6</v>
      </c>
      <c r="P154" s="22"/>
      <c r="Q154" s="22"/>
      <c r="R154" s="22"/>
    </row>
    <row r="155" customFormat="false" ht="15" hidden="false" customHeight="false" outlineLevel="0" collapsed="false">
      <c r="A155" s="22" t="s">
        <v>8812</v>
      </c>
      <c r="B155" s="23" t="n">
        <v>44732</v>
      </c>
      <c r="C155" s="22" t="s">
        <v>3211</v>
      </c>
      <c r="D155" s="22" t="n">
        <v>1260</v>
      </c>
      <c r="E155" s="22" t="s">
        <v>6742</v>
      </c>
      <c r="F155" s="22" t="s">
        <v>198</v>
      </c>
      <c r="G155" s="22" t="n">
        <v>36</v>
      </c>
      <c r="H155" s="22" t="s">
        <v>6575</v>
      </c>
      <c r="I155" s="22" t="s">
        <v>8601</v>
      </c>
      <c r="J155" s="22" t="n">
        <v>10.4</v>
      </c>
      <c r="K155" s="22" t="n">
        <v>1</v>
      </c>
      <c r="L155" s="22" t="s">
        <v>8605</v>
      </c>
      <c r="M155" s="23" t="n">
        <v>44742</v>
      </c>
      <c r="N155" s="23" t="n">
        <v>44742</v>
      </c>
      <c r="O155" s="22" t="n">
        <v>10</v>
      </c>
      <c r="P155" s="22"/>
      <c r="Q155" s="22" t="s">
        <v>8813</v>
      </c>
      <c r="R155" s="22"/>
    </row>
    <row r="156" customFormat="false" ht="15" hidden="false" customHeight="false" outlineLevel="0" collapsed="false">
      <c r="A156" s="22" t="s">
        <v>8814</v>
      </c>
      <c r="B156" s="23" t="n">
        <v>44720</v>
      </c>
      <c r="C156" s="22" t="s">
        <v>5156</v>
      </c>
      <c r="D156" s="22" t="n">
        <v>2209</v>
      </c>
      <c r="E156" s="22" t="s">
        <v>7437</v>
      </c>
      <c r="F156" s="22" t="s">
        <v>159</v>
      </c>
      <c r="G156" s="22" t="n">
        <v>36</v>
      </c>
      <c r="H156" s="22" t="s">
        <v>6575</v>
      </c>
      <c r="I156" s="22" t="s">
        <v>8601</v>
      </c>
      <c r="J156" s="22" t="n">
        <v>10.4</v>
      </c>
      <c r="K156" s="22" t="n">
        <v>1</v>
      </c>
      <c r="L156" s="22" t="s">
        <v>8602</v>
      </c>
      <c r="M156" s="23" t="n">
        <v>44730</v>
      </c>
      <c r="N156" s="22"/>
      <c r="O156" s="22"/>
      <c r="P156" s="22" t="s">
        <v>8637</v>
      </c>
      <c r="Q156" s="22"/>
      <c r="R156" s="22"/>
    </row>
    <row r="157" customFormat="false" ht="15" hidden="false" customHeight="false" outlineLevel="0" collapsed="false">
      <c r="A157" s="22" t="s">
        <v>8815</v>
      </c>
      <c r="B157" s="23" t="n">
        <v>44730</v>
      </c>
      <c r="C157" s="22" t="s">
        <v>4014</v>
      </c>
      <c r="D157" s="22" t="n">
        <v>1650</v>
      </c>
      <c r="E157" s="22" t="s">
        <v>7499</v>
      </c>
      <c r="F157" s="22" t="s">
        <v>159</v>
      </c>
      <c r="G157" s="22" t="n">
        <v>28</v>
      </c>
      <c r="H157" s="22" t="s">
        <v>6575</v>
      </c>
      <c r="I157" s="22" t="s">
        <v>8601</v>
      </c>
      <c r="J157" s="22" t="n">
        <v>10.4</v>
      </c>
      <c r="K157" s="22" t="n">
        <v>1</v>
      </c>
      <c r="L157" s="22" t="s">
        <v>8608</v>
      </c>
      <c r="M157" s="23" t="n">
        <v>44740</v>
      </c>
      <c r="N157" s="23" t="n">
        <v>44732</v>
      </c>
      <c r="O157" s="22" t="n">
        <v>2</v>
      </c>
      <c r="P157" s="22"/>
      <c r="Q157" s="22"/>
      <c r="R157" s="22"/>
    </row>
    <row r="158" customFormat="false" ht="15" hidden="false" customHeight="false" outlineLevel="0" collapsed="false">
      <c r="A158" s="22" t="s">
        <v>8816</v>
      </c>
      <c r="B158" s="23" t="n">
        <v>44728</v>
      </c>
      <c r="C158" s="22" t="s">
        <v>300</v>
      </c>
      <c r="D158" s="22" t="n">
        <v>46</v>
      </c>
      <c r="E158" s="22" t="s">
        <v>8025</v>
      </c>
      <c r="F158" s="22" t="s">
        <v>215</v>
      </c>
      <c r="G158" s="22" t="n">
        <v>28</v>
      </c>
      <c r="H158" s="22" t="s">
        <v>7696</v>
      </c>
      <c r="I158" s="22" t="s">
        <v>8601</v>
      </c>
      <c r="J158" s="22" t="n">
        <v>7.55</v>
      </c>
      <c r="K158" s="22" t="n">
        <v>1</v>
      </c>
      <c r="L158" s="22" t="s">
        <v>8602</v>
      </c>
      <c r="M158" s="23" t="n">
        <v>44742</v>
      </c>
      <c r="N158" s="22"/>
      <c r="O158" s="22"/>
      <c r="P158" s="22" t="s">
        <v>8603</v>
      </c>
      <c r="Q158" s="22"/>
      <c r="R158" s="22"/>
    </row>
    <row r="159" customFormat="false" ht="15" hidden="false" customHeight="false" outlineLevel="0" collapsed="false">
      <c r="A159" s="22" t="s">
        <v>8817</v>
      </c>
      <c r="B159" s="23" t="n">
        <v>44730</v>
      </c>
      <c r="C159" s="22" t="s">
        <v>6077</v>
      </c>
      <c r="D159" s="22" t="n">
        <v>2668</v>
      </c>
      <c r="E159" s="22" t="s">
        <v>7676</v>
      </c>
      <c r="F159" s="22" t="s">
        <v>159</v>
      </c>
      <c r="G159" s="22" t="n">
        <v>36</v>
      </c>
      <c r="H159" s="22" t="s">
        <v>6575</v>
      </c>
      <c r="I159" s="22" t="s">
        <v>8601</v>
      </c>
      <c r="J159" s="22" t="n">
        <v>10.4</v>
      </c>
      <c r="K159" s="22" t="n">
        <v>2</v>
      </c>
      <c r="L159" s="22" t="s">
        <v>8605</v>
      </c>
      <c r="M159" s="23" t="n">
        <v>44740</v>
      </c>
      <c r="N159" s="23" t="n">
        <v>44735</v>
      </c>
      <c r="O159" s="22" t="n">
        <v>5</v>
      </c>
      <c r="P159" s="22"/>
      <c r="Q159" s="22" t="s">
        <v>8818</v>
      </c>
      <c r="R159" s="22"/>
    </row>
    <row r="160" customFormat="false" ht="15" hidden="false" customHeight="false" outlineLevel="0" collapsed="false">
      <c r="A160" s="22" t="s">
        <v>8819</v>
      </c>
      <c r="B160" s="23" t="n">
        <v>44716</v>
      </c>
      <c r="C160" s="22" t="s">
        <v>5081</v>
      </c>
      <c r="D160" s="22" t="n">
        <v>2172</v>
      </c>
      <c r="E160" s="22" t="s">
        <v>8514</v>
      </c>
      <c r="F160" s="22" t="s">
        <v>188</v>
      </c>
      <c r="G160" s="22" t="n">
        <v>50</v>
      </c>
      <c r="H160" s="22" t="s">
        <v>7696</v>
      </c>
      <c r="I160" s="22" t="s">
        <v>8601</v>
      </c>
      <c r="J160" s="22" t="n">
        <v>7.55</v>
      </c>
      <c r="K160" s="22" t="n">
        <v>1</v>
      </c>
      <c r="L160" s="22" t="s">
        <v>8602</v>
      </c>
      <c r="M160" s="23" t="n">
        <v>44730</v>
      </c>
      <c r="N160" s="22"/>
      <c r="O160" s="22"/>
      <c r="P160" s="22" t="s">
        <v>8631</v>
      </c>
      <c r="Q160" s="22"/>
      <c r="R160" s="22"/>
    </row>
    <row r="161" customFormat="false" ht="15" hidden="false" customHeight="false" outlineLevel="0" collapsed="false">
      <c r="A161" s="22" t="s">
        <v>8820</v>
      </c>
      <c r="B161" s="23" t="n">
        <v>44722</v>
      </c>
      <c r="C161" s="22" t="s">
        <v>5253</v>
      </c>
      <c r="D161" s="22" t="n">
        <v>2257</v>
      </c>
      <c r="E161" s="22" t="s">
        <v>6872</v>
      </c>
      <c r="F161" s="22" t="s">
        <v>198</v>
      </c>
      <c r="G161" s="22" t="n">
        <v>28</v>
      </c>
      <c r="H161" s="22" t="s">
        <v>6575</v>
      </c>
      <c r="I161" s="22" t="s">
        <v>8601</v>
      </c>
      <c r="J161" s="22" t="n">
        <v>10.4</v>
      </c>
      <c r="K161" s="22" t="n">
        <v>1</v>
      </c>
      <c r="L161" s="22" t="s">
        <v>8602</v>
      </c>
      <c r="M161" s="23" t="n">
        <v>44732</v>
      </c>
      <c r="N161" s="22"/>
      <c r="O161" s="22"/>
      <c r="P161" s="22" t="s">
        <v>8603</v>
      </c>
      <c r="Q161" s="22"/>
      <c r="R161" s="22"/>
    </row>
    <row r="162" customFormat="false" ht="15" hidden="false" customHeight="false" outlineLevel="0" collapsed="false">
      <c r="A162" s="22" t="s">
        <v>8821</v>
      </c>
      <c r="B162" s="23" t="n">
        <v>44757</v>
      </c>
      <c r="C162" s="22" t="s">
        <v>3712</v>
      </c>
      <c r="D162" s="22" t="n">
        <v>1501</v>
      </c>
      <c r="E162" s="22" t="s">
        <v>7671</v>
      </c>
      <c r="F162" s="22" t="s">
        <v>159</v>
      </c>
      <c r="G162" s="22" t="n">
        <v>40</v>
      </c>
      <c r="H162" s="22" t="s">
        <v>6575</v>
      </c>
      <c r="I162" s="22" t="s">
        <v>8601</v>
      </c>
      <c r="J162" s="22" t="n">
        <v>10.4</v>
      </c>
      <c r="K162" s="22" t="n">
        <v>1</v>
      </c>
      <c r="L162" s="22" t="s">
        <v>8605</v>
      </c>
      <c r="M162" s="23" t="n">
        <v>44767</v>
      </c>
      <c r="N162" s="23" t="n">
        <v>44765</v>
      </c>
      <c r="O162" s="22" t="n">
        <v>8</v>
      </c>
      <c r="P162" s="22"/>
      <c r="Q162" s="22" t="s">
        <v>8822</v>
      </c>
      <c r="R162" s="22"/>
    </row>
    <row r="163" customFormat="false" ht="15" hidden="false" customHeight="false" outlineLevel="0" collapsed="false">
      <c r="A163" s="22" t="s">
        <v>8823</v>
      </c>
      <c r="B163" s="23" t="n">
        <v>44759</v>
      </c>
      <c r="C163" s="22" t="s">
        <v>3554</v>
      </c>
      <c r="D163" s="22" t="n">
        <v>1425</v>
      </c>
      <c r="E163" s="22" t="s">
        <v>6760</v>
      </c>
      <c r="F163" s="22" t="s">
        <v>198</v>
      </c>
      <c r="G163" s="22" t="n">
        <v>32</v>
      </c>
      <c r="H163" s="22" t="s">
        <v>6575</v>
      </c>
      <c r="I163" s="22" t="s">
        <v>8601</v>
      </c>
      <c r="J163" s="22" t="n">
        <v>10.4</v>
      </c>
      <c r="K163" s="22" t="n">
        <v>1</v>
      </c>
      <c r="L163" s="22" t="s">
        <v>8605</v>
      </c>
      <c r="M163" s="23" t="n">
        <v>44769</v>
      </c>
      <c r="N163" s="23" t="n">
        <v>44763</v>
      </c>
      <c r="O163" s="22" t="n">
        <v>4</v>
      </c>
      <c r="P163" s="22"/>
      <c r="Q163" s="22" t="s">
        <v>8824</v>
      </c>
      <c r="R163" s="22"/>
    </row>
    <row r="164" customFormat="false" ht="15" hidden="false" customHeight="false" outlineLevel="0" collapsed="false">
      <c r="A164" s="22" t="s">
        <v>8825</v>
      </c>
      <c r="B164" s="23" t="n">
        <v>44761</v>
      </c>
      <c r="C164" s="22" t="s">
        <v>4953</v>
      </c>
      <c r="D164" s="22" t="n">
        <v>2110</v>
      </c>
      <c r="E164" s="22" t="s">
        <v>7277</v>
      </c>
      <c r="F164" s="22" t="s">
        <v>198</v>
      </c>
      <c r="G164" s="22" t="n">
        <v>40</v>
      </c>
      <c r="H164" s="22" t="s">
        <v>6575</v>
      </c>
      <c r="I164" s="22" t="s">
        <v>8601</v>
      </c>
      <c r="J164" s="22" t="n">
        <v>10.4</v>
      </c>
      <c r="K164" s="22" t="n">
        <v>1</v>
      </c>
      <c r="L164" s="22" t="s">
        <v>8608</v>
      </c>
      <c r="M164" s="23" t="n">
        <v>44771</v>
      </c>
      <c r="N164" s="23" t="n">
        <v>44771</v>
      </c>
      <c r="O164" s="22" t="n">
        <v>10</v>
      </c>
      <c r="P164" s="22"/>
      <c r="Q164" s="22"/>
      <c r="R164" s="22"/>
    </row>
    <row r="165" customFormat="false" ht="15" hidden="false" customHeight="false" outlineLevel="0" collapsed="false">
      <c r="A165" s="22" t="s">
        <v>8826</v>
      </c>
      <c r="B165" s="23" t="n">
        <v>44770</v>
      </c>
      <c r="C165" s="22" t="s">
        <v>1492</v>
      </c>
      <c r="D165" s="22" t="n">
        <v>498</v>
      </c>
      <c r="E165" s="22" t="s">
        <v>8518</v>
      </c>
      <c r="F165" s="22" t="s">
        <v>188</v>
      </c>
      <c r="G165" s="22" t="n">
        <v>28</v>
      </c>
      <c r="H165" s="22" t="s">
        <v>7696</v>
      </c>
      <c r="I165" s="22" t="s">
        <v>8601</v>
      </c>
      <c r="J165" s="22" t="n">
        <v>7.55</v>
      </c>
      <c r="K165" s="22" t="n">
        <v>1</v>
      </c>
      <c r="L165" s="22" t="s">
        <v>8605</v>
      </c>
      <c r="M165" s="23" t="n">
        <v>44784</v>
      </c>
      <c r="N165" s="23" t="n">
        <v>44771</v>
      </c>
      <c r="O165" s="22" t="n">
        <v>1</v>
      </c>
      <c r="P165" s="22"/>
      <c r="Q165" s="22" t="s">
        <v>8827</v>
      </c>
      <c r="R165" s="22"/>
    </row>
    <row r="166" customFormat="false" ht="15" hidden="false" customHeight="false" outlineLevel="0" collapsed="false">
      <c r="A166" s="22" t="s">
        <v>8828</v>
      </c>
      <c r="B166" s="23" t="n">
        <v>44767</v>
      </c>
      <c r="C166" s="22" t="s">
        <v>1085</v>
      </c>
      <c r="D166" s="22" t="n">
        <v>331</v>
      </c>
      <c r="E166" s="22" t="s">
        <v>7569</v>
      </c>
      <c r="F166" s="22" t="s">
        <v>159</v>
      </c>
      <c r="G166" s="22" t="n">
        <v>28</v>
      </c>
      <c r="H166" s="22" t="s">
        <v>6575</v>
      </c>
      <c r="I166" s="22" t="s">
        <v>8601</v>
      </c>
      <c r="J166" s="22" t="n">
        <v>10.4</v>
      </c>
      <c r="K166" s="22" t="n">
        <v>2</v>
      </c>
      <c r="L166" s="22" t="s">
        <v>8605</v>
      </c>
      <c r="M166" s="23" t="n">
        <v>44777</v>
      </c>
      <c r="N166" s="23" t="n">
        <v>44772</v>
      </c>
      <c r="O166" s="22" t="n">
        <v>5</v>
      </c>
      <c r="P166" s="22"/>
      <c r="Q166" s="22" t="s">
        <v>8829</v>
      </c>
      <c r="R166" s="22"/>
    </row>
    <row r="167" customFormat="false" ht="15" hidden="false" customHeight="false" outlineLevel="0" collapsed="false">
      <c r="A167" s="22" t="s">
        <v>8830</v>
      </c>
      <c r="B167" s="23" t="n">
        <v>44748</v>
      </c>
      <c r="C167" s="22" t="s">
        <v>426</v>
      </c>
      <c r="D167" s="22" t="n">
        <v>90</v>
      </c>
      <c r="E167" s="22" t="s">
        <v>8085</v>
      </c>
      <c r="F167" s="22" t="s">
        <v>499</v>
      </c>
      <c r="G167" s="22" t="n">
        <v>24</v>
      </c>
      <c r="H167" s="22" t="s">
        <v>7696</v>
      </c>
      <c r="I167" s="22" t="s">
        <v>8601</v>
      </c>
      <c r="J167" s="22" t="n">
        <v>7.55</v>
      </c>
      <c r="K167" s="22" t="n">
        <v>1</v>
      </c>
      <c r="L167" s="22" t="s">
        <v>8608</v>
      </c>
      <c r="M167" s="23" t="n">
        <v>44762</v>
      </c>
      <c r="N167" s="23" t="n">
        <v>44765</v>
      </c>
      <c r="O167" s="22" t="n">
        <v>17</v>
      </c>
      <c r="P167" s="22"/>
      <c r="Q167" s="22"/>
      <c r="R167" s="22"/>
    </row>
    <row r="168" customFormat="false" ht="15" hidden="false" customHeight="false" outlineLevel="0" collapsed="false">
      <c r="A168" s="22" t="s">
        <v>8831</v>
      </c>
      <c r="B168" s="23" t="n">
        <v>44767</v>
      </c>
      <c r="C168" s="22" t="s">
        <v>555</v>
      </c>
      <c r="D168" s="22" t="n">
        <v>135</v>
      </c>
      <c r="E168" s="22" t="s">
        <v>6693</v>
      </c>
      <c r="F168" s="22" t="s">
        <v>198</v>
      </c>
      <c r="G168" s="22" t="n">
        <v>28</v>
      </c>
      <c r="H168" s="22" t="s">
        <v>6575</v>
      </c>
      <c r="I168" s="22" t="s">
        <v>8601</v>
      </c>
      <c r="J168" s="22" t="n">
        <v>10.4</v>
      </c>
      <c r="K168" s="22" t="n">
        <v>2</v>
      </c>
      <c r="L168" s="22" t="s">
        <v>8605</v>
      </c>
      <c r="M168" s="23" t="n">
        <v>44777</v>
      </c>
      <c r="N168" s="23" t="n">
        <v>44771</v>
      </c>
      <c r="O168" s="22" t="n">
        <v>4</v>
      </c>
      <c r="P168" s="22"/>
      <c r="Q168" s="22" t="s">
        <v>8832</v>
      </c>
      <c r="R168" s="22"/>
    </row>
    <row r="169" customFormat="false" ht="15" hidden="false" customHeight="false" outlineLevel="0" collapsed="false">
      <c r="A169" s="22" t="s">
        <v>8833</v>
      </c>
      <c r="B169" s="23" t="n">
        <v>44748</v>
      </c>
      <c r="C169" s="22" t="s">
        <v>4713</v>
      </c>
      <c r="D169" s="22" t="n">
        <v>1990</v>
      </c>
      <c r="E169" s="22" t="s">
        <v>8307</v>
      </c>
      <c r="F169" s="22" t="s">
        <v>499</v>
      </c>
      <c r="G169" s="22" t="n">
        <v>36</v>
      </c>
      <c r="H169" s="22" t="s">
        <v>7696</v>
      </c>
      <c r="I169" s="22" t="s">
        <v>8601</v>
      </c>
      <c r="J169" s="22" t="n">
        <v>7.55</v>
      </c>
      <c r="K169" s="22" t="n">
        <v>1</v>
      </c>
      <c r="L169" s="22" t="s">
        <v>157</v>
      </c>
      <c r="M169" s="23" t="n">
        <v>44762</v>
      </c>
      <c r="N169" s="23" t="n">
        <v>44753</v>
      </c>
      <c r="O169" s="22" t="n">
        <v>5</v>
      </c>
      <c r="P169" s="22"/>
      <c r="Q169" s="22"/>
      <c r="R169" s="22"/>
    </row>
    <row r="170" customFormat="false" ht="15" hidden="false" customHeight="false" outlineLevel="0" collapsed="false">
      <c r="A170" s="22" t="s">
        <v>8834</v>
      </c>
      <c r="B170" s="23" t="n">
        <v>44749</v>
      </c>
      <c r="C170" s="22" t="s">
        <v>4694</v>
      </c>
      <c r="D170" s="22" t="n">
        <v>1981</v>
      </c>
      <c r="E170" s="22" t="s">
        <v>8057</v>
      </c>
      <c r="F170" s="22" t="s">
        <v>499</v>
      </c>
      <c r="G170" s="22" t="n">
        <v>60</v>
      </c>
      <c r="H170" s="22" t="s">
        <v>7696</v>
      </c>
      <c r="I170" s="22" t="s">
        <v>8601</v>
      </c>
      <c r="J170" s="22" t="n">
        <v>7.55</v>
      </c>
      <c r="K170" s="22" t="n">
        <v>2</v>
      </c>
      <c r="L170" s="22" t="s">
        <v>8602</v>
      </c>
      <c r="M170" s="23" t="n">
        <v>44763</v>
      </c>
      <c r="N170" s="22"/>
      <c r="O170" s="22"/>
      <c r="P170" s="22" t="s">
        <v>8618</v>
      </c>
      <c r="Q170" s="22"/>
      <c r="R170" s="22"/>
    </row>
    <row r="171" customFormat="false" ht="15" hidden="false" customHeight="false" outlineLevel="0" collapsed="false">
      <c r="A171" s="22" t="s">
        <v>8835</v>
      </c>
      <c r="B171" s="23" t="n">
        <v>44770</v>
      </c>
      <c r="C171" s="22" t="s">
        <v>4175</v>
      </c>
      <c r="D171" s="22" t="n">
        <v>1728</v>
      </c>
      <c r="E171" s="22" t="s">
        <v>8308</v>
      </c>
      <c r="F171" s="22" t="s">
        <v>499</v>
      </c>
      <c r="G171" s="22" t="n">
        <v>28</v>
      </c>
      <c r="H171" s="22" t="s">
        <v>7696</v>
      </c>
      <c r="I171" s="22" t="s">
        <v>8601</v>
      </c>
      <c r="J171" s="22" t="n">
        <v>7.55</v>
      </c>
      <c r="K171" s="22" t="n">
        <v>2</v>
      </c>
      <c r="L171" s="22" t="s">
        <v>8629</v>
      </c>
      <c r="M171" s="23" t="n">
        <v>44784</v>
      </c>
      <c r="N171" s="23" t="n">
        <v>44777</v>
      </c>
      <c r="O171" s="22" t="n">
        <v>7</v>
      </c>
      <c r="P171" s="22"/>
      <c r="Q171" s="22"/>
      <c r="R171" s="22"/>
    </row>
    <row r="172" customFormat="false" ht="15" hidden="false" customHeight="false" outlineLevel="0" collapsed="false">
      <c r="A172" s="22" t="s">
        <v>8836</v>
      </c>
      <c r="B172" s="23" t="n">
        <v>44764</v>
      </c>
      <c r="C172" s="22" t="s">
        <v>3659</v>
      </c>
      <c r="D172" s="22" t="n">
        <v>1475</v>
      </c>
      <c r="E172" s="22" t="s">
        <v>7905</v>
      </c>
      <c r="F172" s="22" t="s">
        <v>215</v>
      </c>
      <c r="G172" s="22" t="n">
        <v>32</v>
      </c>
      <c r="H172" s="22" t="s">
        <v>7696</v>
      </c>
      <c r="I172" s="22" t="s">
        <v>8601</v>
      </c>
      <c r="J172" s="22" t="n">
        <v>7.55</v>
      </c>
      <c r="K172" s="22" t="n">
        <v>2</v>
      </c>
      <c r="L172" s="22" t="s">
        <v>157</v>
      </c>
      <c r="M172" s="23" t="n">
        <v>44778</v>
      </c>
      <c r="N172" s="23" t="n">
        <v>44778</v>
      </c>
      <c r="O172" s="22" t="n">
        <v>14</v>
      </c>
      <c r="P172" s="22"/>
      <c r="Q172" s="22"/>
      <c r="R172" s="22"/>
    </row>
    <row r="173" customFormat="false" ht="15" hidden="false" customHeight="false" outlineLevel="0" collapsed="false">
      <c r="A173" s="22" t="s">
        <v>8837</v>
      </c>
      <c r="B173" s="23" t="n">
        <v>44761</v>
      </c>
      <c r="C173" s="22" t="s">
        <v>5798</v>
      </c>
      <c r="D173" s="22" t="n">
        <v>2529</v>
      </c>
      <c r="E173" s="22" t="s">
        <v>8028</v>
      </c>
      <c r="F173" s="22" t="s">
        <v>215</v>
      </c>
      <c r="G173" s="22" t="n">
        <v>32</v>
      </c>
      <c r="H173" s="22" t="s">
        <v>7696</v>
      </c>
      <c r="I173" s="22" t="s">
        <v>8601</v>
      </c>
      <c r="J173" s="22" t="n">
        <v>7.55</v>
      </c>
      <c r="K173" s="22" t="n">
        <v>1</v>
      </c>
      <c r="L173" s="22" t="s">
        <v>8602</v>
      </c>
      <c r="M173" s="23" t="n">
        <v>44775</v>
      </c>
      <c r="N173" s="22"/>
      <c r="O173" s="22"/>
      <c r="P173" s="22" t="s">
        <v>8603</v>
      </c>
      <c r="Q173" s="22"/>
      <c r="R173" s="22"/>
    </row>
    <row r="174" customFormat="false" ht="15" hidden="false" customHeight="false" outlineLevel="0" collapsed="false">
      <c r="A174" s="22" t="s">
        <v>8838</v>
      </c>
      <c r="B174" s="23" t="n">
        <v>44755</v>
      </c>
      <c r="C174" s="22" t="s">
        <v>3621</v>
      </c>
      <c r="D174" s="22" t="n">
        <v>1456</v>
      </c>
      <c r="E174" s="22" t="s">
        <v>7616</v>
      </c>
      <c r="F174" s="22" t="s">
        <v>159</v>
      </c>
      <c r="G174" s="22" t="n">
        <v>40</v>
      </c>
      <c r="H174" s="22" t="s">
        <v>6575</v>
      </c>
      <c r="I174" s="22" t="s">
        <v>8601</v>
      </c>
      <c r="J174" s="22" t="n">
        <v>10.4</v>
      </c>
      <c r="K174" s="22" t="n">
        <v>1</v>
      </c>
      <c r="L174" s="22" t="s">
        <v>8608</v>
      </c>
      <c r="M174" s="23" t="n">
        <v>44765</v>
      </c>
      <c r="N174" s="23" t="n">
        <v>44767</v>
      </c>
      <c r="O174" s="22" t="n">
        <v>12</v>
      </c>
      <c r="P174" s="22"/>
      <c r="Q174" s="22"/>
      <c r="R174" s="22"/>
    </row>
    <row r="175" customFormat="false" ht="15" hidden="false" customHeight="false" outlineLevel="0" collapsed="false">
      <c r="A175" s="22" t="s">
        <v>8839</v>
      </c>
      <c r="B175" s="23" t="n">
        <v>44744</v>
      </c>
      <c r="C175" s="22" t="s">
        <v>3437</v>
      </c>
      <c r="D175" s="22" t="n">
        <v>1368</v>
      </c>
      <c r="E175" s="22" t="s">
        <v>7649</v>
      </c>
      <c r="F175" s="22" t="s">
        <v>159</v>
      </c>
      <c r="G175" s="22" t="n">
        <v>24</v>
      </c>
      <c r="H175" s="22" t="s">
        <v>6575</v>
      </c>
      <c r="I175" s="22" t="s">
        <v>8601</v>
      </c>
      <c r="J175" s="22" t="n">
        <v>10.4</v>
      </c>
      <c r="K175" s="22" t="n">
        <v>1</v>
      </c>
      <c r="L175" s="22" t="s">
        <v>8602</v>
      </c>
      <c r="M175" s="23" t="n">
        <v>44754</v>
      </c>
      <c r="N175" s="22"/>
      <c r="O175" s="22"/>
      <c r="P175" s="22" t="s">
        <v>8603</v>
      </c>
      <c r="Q175" s="22"/>
      <c r="R175" s="22"/>
    </row>
    <row r="176" customFormat="false" ht="15" hidden="false" customHeight="false" outlineLevel="0" collapsed="false">
      <c r="A176" s="22" t="s">
        <v>8840</v>
      </c>
      <c r="B176" s="23" t="n">
        <v>44759</v>
      </c>
      <c r="C176" s="22" t="s">
        <v>643</v>
      </c>
      <c r="D176" s="22" t="n">
        <v>166</v>
      </c>
      <c r="E176" s="22" t="s">
        <v>6897</v>
      </c>
      <c r="F176" s="22" t="s">
        <v>198</v>
      </c>
      <c r="G176" s="22" t="n">
        <v>28</v>
      </c>
      <c r="H176" s="22" t="s">
        <v>6575</v>
      </c>
      <c r="I176" s="22" t="s">
        <v>8601</v>
      </c>
      <c r="J176" s="22" t="n">
        <v>10.4</v>
      </c>
      <c r="K176" s="22" t="n">
        <v>2</v>
      </c>
      <c r="L176" s="22" t="s">
        <v>8605</v>
      </c>
      <c r="M176" s="23" t="n">
        <v>44769</v>
      </c>
      <c r="N176" s="23" t="n">
        <v>44772</v>
      </c>
      <c r="O176" s="22" t="n">
        <v>13</v>
      </c>
      <c r="P176" s="22"/>
      <c r="Q176" s="22" t="s">
        <v>8841</v>
      </c>
      <c r="R176" s="22"/>
    </row>
    <row r="177" customFormat="false" ht="15" hidden="false" customHeight="false" outlineLevel="0" collapsed="false">
      <c r="A177" s="22" t="s">
        <v>8842</v>
      </c>
      <c r="B177" s="23" t="n">
        <v>44759</v>
      </c>
      <c r="C177" s="22" t="s">
        <v>1480</v>
      </c>
      <c r="D177" s="22" t="n">
        <v>493</v>
      </c>
      <c r="E177" s="22" t="s">
        <v>7801</v>
      </c>
      <c r="F177" s="22" t="s">
        <v>215</v>
      </c>
      <c r="G177" s="22" t="n">
        <v>28</v>
      </c>
      <c r="H177" s="22" t="s">
        <v>7696</v>
      </c>
      <c r="I177" s="22" t="s">
        <v>8601</v>
      </c>
      <c r="J177" s="22" t="n">
        <v>7.55</v>
      </c>
      <c r="K177" s="22" t="n">
        <v>1</v>
      </c>
      <c r="L177" s="22" t="s">
        <v>8613</v>
      </c>
      <c r="M177" s="23" t="n">
        <v>44773</v>
      </c>
      <c r="N177" s="22"/>
      <c r="O177" s="22"/>
      <c r="P177" s="22"/>
      <c r="Q177" s="22"/>
      <c r="R177" s="22"/>
    </row>
    <row r="178" customFormat="false" ht="15" hidden="false" customHeight="false" outlineLevel="0" collapsed="false">
      <c r="A178" s="22" t="s">
        <v>8843</v>
      </c>
      <c r="B178" s="23" t="n">
        <v>44760</v>
      </c>
      <c r="C178" s="22" t="s">
        <v>2859</v>
      </c>
      <c r="D178" s="22" t="n">
        <v>1099</v>
      </c>
      <c r="E178" s="22" t="s">
        <v>8492</v>
      </c>
      <c r="F178" s="22" t="s">
        <v>188</v>
      </c>
      <c r="G178" s="22" t="n">
        <v>40</v>
      </c>
      <c r="H178" s="22" t="s">
        <v>7696</v>
      </c>
      <c r="I178" s="22" t="s">
        <v>8601</v>
      </c>
      <c r="J178" s="22" t="n">
        <v>7.55</v>
      </c>
      <c r="K178" s="22" t="n">
        <v>1</v>
      </c>
      <c r="L178" s="22" t="s">
        <v>8602</v>
      </c>
      <c r="M178" s="23" t="n">
        <v>44774</v>
      </c>
      <c r="N178" s="22"/>
      <c r="O178" s="22"/>
      <c r="P178" s="22" t="s">
        <v>8603</v>
      </c>
      <c r="Q178" s="22"/>
      <c r="R178" s="22"/>
    </row>
    <row r="179" customFormat="false" ht="15" hidden="false" customHeight="false" outlineLevel="0" collapsed="false">
      <c r="A179" s="22" t="s">
        <v>8844</v>
      </c>
      <c r="B179" s="23" t="n">
        <v>44765</v>
      </c>
      <c r="C179" s="22" t="s">
        <v>1851</v>
      </c>
      <c r="D179" s="22" t="n">
        <v>647</v>
      </c>
      <c r="E179" s="22" t="s">
        <v>7073</v>
      </c>
      <c r="F179" s="22" t="s">
        <v>198</v>
      </c>
      <c r="G179" s="22" t="n">
        <v>36</v>
      </c>
      <c r="H179" s="22" t="s">
        <v>6575</v>
      </c>
      <c r="I179" s="22" t="s">
        <v>8601</v>
      </c>
      <c r="J179" s="22" t="n">
        <v>10.4</v>
      </c>
      <c r="K179" s="22" t="n">
        <v>1</v>
      </c>
      <c r="L179" s="22" t="s">
        <v>8602</v>
      </c>
      <c r="M179" s="23" t="n">
        <v>44775</v>
      </c>
      <c r="N179" s="22"/>
      <c r="O179" s="22"/>
      <c r="P179" s="22" t="s">
        <v>8603</v>
      </c>
      <c r="Q179" s="22"/>
      <c r="R179" s="22"/>
    </row>
    <row r="180" customFormat="false" ht="15" hidden="false" customHeight="false" outlineLevel="0" collapsed="false">
      <c r="A180" s="22" t="s">
        <v>8845</v>
      </c>
      <c r="B180" s="23" t="n">
        <v>44755</v>
      </c>
      <c r="C180" s="22" t="s">
        <v>2392</v>
      </c>
      <c r="D180" s="22" t="n">
        <v>888</v>
      </c>
      <c r="E180" s="22" t="s">
        <v>6615</v>
      </c>
      <c r="F180" s="22" t="s">
        <v>198</v>
      </c>
      <c r="G180" s="22" t="n">
        <v>36</v>
      </c>
      <c r="H180" s="22" t="s">
        <v>6575</v>
      </c>
      <c r="I180" s="22" t="s">
        <v>8601</v>
      </c>
      <c r="J180" s="22" t="n">
        <v>10.4</v>
      </c>
      <c r="K180" s="22" t="n">
        <v>1</v>
      </c>
      <c r="L180" s="22" t="s">
        <v>8605</v>
      </c>
      <c r="M180" s="23" t="n">
        <v>44765</v>
      </c>
      <c r="N180" s="23" t="n">
        <v>44758</v>
      </c>
      <c r="O180" s="22" t="n">
        <v>3</v>
      </c>
      <c r="P180" s="22"/>
      <c r="Q180" s="22" t="s">
        <v>8846</v>
      </c>
      <c r="R180" s="22"/>
    </row>
    <row r="181" customFormat="false" ht="15" hidden="false" customHeight="false" outlineLevel="0" collapsed="false">
      <c r="A181" s="22" t="s">
        <v>8847</v>
      </c>
      <c r="B181" s="23" t="n">
        <v>44754</v>
      </c>
      <c r="C181" s="22" t="s">
        <v>1246</v>
      </c>
      <c r="D181" s="22" t="n">
        <v>394</v>
      </c>
      <c r="E181" s="22" t="s">
        <v>6902</v>
      </c>
      <c r="F181" s="22" t="s">
        <v>198</v>
      </c>
      <c r="G181" s="22" t="n">
        <v>40</v>
      </c>
      <c r="H181" s="22" t="s">
        <v>6575</v>
      </c>
      <c r="I181" s="22" t="s">
        <v>8601</v>
      </c>
      <c r="J181" s="22" t="n">
        <v>10.4</v>
      </c>
      <c r="K181" s="22" t="n">
        <v>2</v>
      </c>
      <c r="L181" s="22" t="s">
        <v>8605</v>
      </c>
      <c r="M181" s="23" t="n">
        <v>44764</v>
      </c>
      <c r="N181" s="23" t="n">
        <v>44758</v>
      </c>
      <c r="O181" s="22" t="n">
        <v>4</v>
      </c>
      <c r="P181" s="22"/>
      <c r="Q181" s="22" t="s">
        <v>8848</v>
      </c>
      <c r="R181" s="22"/>
    </row>
    <row r="182" customFormat="false" ht="15" hidden="false" customHeight="false" outlineLevel="0" collapsed="false">
      <c r="A182" s="22" t="s">
        <v>8849</v>
      </c>
      <c r="B182" s="23" t="n">
        <v>44770</v>
      </c>
      <c r="C182" s="22" t="s">
        <v>4426</v>
      </c>
      <c r="D182" s="22" t="n">
        <v>1851</v>
      </c>
      <c r="E182" s="22" t="s">
        <v>8447</v>
      </c>
      <c r="F182" s="22" t="s">
        <v>188</v>
      </c>
      <c r="G182" s="22" t="n">
        <v>32</v>
      </c>
      <c r="H182" s="22" t="s">
        <v>7696</v>
      </c>
      <c r="I182" s="22" t="s">
        <v>8601</v>
      </c>
      <c r="J182" s="22" t="n">
        <v>7.55</v>
      </c>
      <c r="K182" s="22" t="n">
        <v>1</v>
      </c>
      <c r="L182" s="22" t="s">
        <v>8729</v>
      </c>
      <c r="M182" s="23" t="n">
        <v>44784</v>
      </c>
      <c r="N182" s="23" t="n">
        <v>44782</v>
      </c>
      <c r="O182" s="22" t="n">
        <v>12</v>
      </c>
      <c r="P182" s="22"/>
      <c r="Q182" s="22"/>
      <c r="R182" s="22"/>
    </row>
    <row r="183" customFormat="false" ht="15" hidden="false" customHeight="false" outlineLevel="0" collapsed="false">
      <c r="A183" s="22" t="s">
        <v>8850</v>
      </c>
      <c r="B183" s="23" t="n">
        <v>44764</v>
      </c>
      <c r="C183" s="22" t="s">
        <v>1930</v>
      </c>
      <c r="D183" s="22" t="n">
        <v>682</v>
      </c>
      <c r="E183" s="22" t="s">
        <v>8188</v>
      </c>
      <c r="F183" s="22" t="s">
        <v>499</v>
      </c>
      <c r="G183" s="22" t="n">
        <v>80</v>
      </c>
      <c r="H183" s="22" t="s">
        <v>7696</v>
      </c>
      <c r="I183" s="22" t="s">
        <v>8601</v>
      </c>
      <c r="J183" s="22" t="n">
        <v>7.55</v>
      </c>
      <c r="K183" s="22" t="n">
        <v>1</v>
      </c>
      <c r="L183" s="22" t="s">
        <v>8602</v>
      </c>
      <c r="M183" s="23" t="n">
        <v>44778</v>
      </c>
      <c r="N183" s="22"/>
      <c r="O183" s="22"/>
      <c r="P183" s="22" t="s">
        <v>8603</v>
      </c>
      <c r="Q183" s="22"/>
      <c r="R183" s="22"/>
    </row>
    <row r="184" customFormat="false" ht="15" hidden="false" customHeight="false" outlineLevel="0" collapsed="false">
      <c r="A184" s="22" t="s">
        <v>8851</v>
      </c>
      <c r="B184" s="23" t="n">
        <v>44762</v>
      </c>
      <c r="C184" s="22" t="s">
        <v>3180</v>
      </c>
      <c r="D184" s="22" t="n">
        <v>1245</v>
      </c>
      <c r="E184" s="22" t="s">
        <v>7532</v>
      </c>
      <c r="F184" s="22" t="s">
        <v>159</v>
      </c>
      <c r="G184" s="22" t="n">
        <v>40</v>
      </c>
      <c r="H184" s="22" t="s">
        <v>6575</v>
      </c>
      <c r="I184" s="22" t="s">
        <v>8601</v>
      </c>
      <c r="J184" s="22" t="n">
        <v>10.4</v>
      </c>
      <c r="K184" s="22" t="n">
        <v>1</v>
      </c>
      <c r="L184" s="22" t="s">
        <v>8613</v>
      </c>
      <c r="M184" s="23" t="n">
        <v>44772</v>
      </c>
      <c r="N184" s="22"/>
      <c r="O184" s="22"/>
      <c r="P184" s="22"/>
      <c r="Q184" s="22"/>
      <c r="R184" s="22"/>
    </row>
    <row r="185" customFormat="false" ht="15" hidden="false" customHeight="false" outlineLevel="0" collapsed="false">
      <c r="A185" s="22" t="s">
        <v>8852</v>
      </c>
      <c r="B185" s="23" t="n">
        <v>44766</v>
      </c>
      <c r="C185" s="22" t="s">
        <v>4314</v>
      </c>
      <c r="D185" s="22" t="n">
        <v>1796</v>
      </c>
      <c r="E185" s="22" t="s">
        <v>7229</v>
      </c>
      <c r="F185" s="22" t="s">
        <v>198</v>
      </c>
      <c r="G185" s="22" t="n">
        <v>32</v>
      </c>
      <c r="H185" s="22" t="s">
        <v>6575</v>
      </c>
      <c r="I185" s="22" t="s">
        <v>8601</v>
      </c>
      <c r="J185" s="22" t="n">
        <v>10.4</v>
      </c>
      <c r="K185" s="22" t="n">
        <v>2</v>
      </c>
      <c r="L185" s="22" t="s">
        <v>157</v>
      </c>
      <c r="M185" s="23" t="n">
        <v>44776</v>
      </c>
      <c r="N185" s="23" t="n">
        <v>44772</v>
      </c>
      <c r="O185" s="22" t="n">
        <v>6</v>
      </c>
      <c r="P185" s="22"/>
      <c r="Q185" s="22"/>
      <c r="R185" s="22"/>
    </row>
    <row r="186" customFormat="false" ht="15" hidden="false" customHeight="false" outlineLevel="0" collapsed="false">
      <c r="A186" s="22" t="s">
        <v>8853</v>
      </c>
      <c r="B186" s="23" t="n">
        <v>44767</v>
      </c>
      <c r="C186" s="22" t="s">
        <v>2623</v>
      </c>
      <c r="D186" s="22" t="n">
        <v>993</v>
      </c>
      <c r="E186" s="22" t="s">
        <v>8188</v>
      </c>
      <c r="F186" s="22" t="s">
        <v>499</v>
      </c>
      <c r="G186" s="22" t="n">
        <v>80</v>
      </c>
      <c r="H186" s="22" t="s">
        <v>7696</v>
      </c>
      <c r="I186" s="22" t="s">
        <v>8601</v>
      </c>
      <c r="J186" s="22" t="n">
        <v>7.55</v>
      </c>
      <c r="K186" s="22" t="n">
        <v>2</v>
      </c>
      <c r="L186" s="22" t="s">
        <v>8605</v>
      </c>
      <c r="M186" s="23" t="n">
        <v>44781</v>
      </c>
      <c r="N186" s="23" t="n">
        <v>44776</v>
      </c>
      <c r="O186" s="22" t="n">
        <v>9</v>
      </c>
      <c r="P186" s="22"/>
      <c r="Q186" s="22" t="s">
        <v>8854</v>
      </c>
      <c r="R186" s="22"/>
    </row>
    <row r="187" customFormat="false" ht="15" hidden="false" customHeight="false" outlineLevel="0" collapsed="false">
      <c r="A187" s="22" t="s">
        <v>8855</v>
      </c>
      <c r="B187" s="23" t="n">
        <v>44793</v>
      </c>
      <c r="C187" s="22" t="s">
        <v>1275</v>
      </c>
      <c r="D187" s="22" t="n">
        <v>407</v>
      </c>
      <c r="E187" s="22" t="s">
        <v>7373</v>
      </c>
      <c r="F187" s="22" t="s">
        <v>159</v>
      </c>
      <c r="G187" s="22" t="n">
        <v>28</v>
      </c>
      <c r="H187" s="22" t="s">
        <v>6575</v>
      </c>
      <c r="I187" s="22" t="s">
        <v>8601</v>
      </c>
      <c r="J187" s="22" t="n">
        <v>10.4</v>
      </c>
      <c r="K187" s="22" t="n">
        <v>1</v>
      </c>
      <c r="L187" s="22" t="s">
        <v>157</v>
      </c>
      <c r="M187" s="23" t="n">
        <v>44803</v>
      </c>
      <c r="N187" s="23" t="n">
        <v>44799</v>
      </c>
      <c r="O187" s="22" t="n">
        <v>6</v>
      </c>
      <c r="P187" s="22"/>
      <c r="Q187" s="22"/>
      <c r="R187" s="22"/>
    </row>
    <row r="188" customFormat="false" ht="15" hidden="false" customHeight="false" outlineLevel="0" collapsed="false">
      <c r="A188" s="22" t="s">
        <v>8856</v>
      </c>
      <c r="B188" s="23" t="n">
        <v>44777</v>
      </c>
      <c r="C188" s="22" t="s">
        <v>5410</v>
      </c>
      <c r="D188" s="22" t="n">
        <v>2336</v>
      </c>
      <c r="E188" s="22" t="s">
        <v>8161</v>
      </c>
      <c r="F188" s="22" t="s">
        <v>499</v>
      </c>
      <c r="G188" s="22" t="n">
        <v>60</v>
      </c>
      <c r="H188" s="22" t="s">
        <v>7696</v>
      </c>
      <c r="I188" s="22" t="s">
        <v>8601</v>
      </c>
      <c r="J188" s="22" t="n">
        <v>7.55</v>
      </c>
      <c r="K188" s="22" t="n">
        <v>2</v>
      </c>
      <c r="L188" s="22" t="s">
        <v>8605</v>
      </c>
      <c r="M188" s="23" t="n">
        <v>44791</v>
      </c>
      <c r="N188" s="23" t="n">
        <v>44785</v>
      </c>
      <c r="O188" s="22" t="n">
        <v>8</v>
      </c>
      <c r="P188" s="22"/>
      <c r="Q188" s="22" t="s">
        <v>8857</v>
      </c>
      <c r="R188" s="22"/>
    </row>
    <row r="189" customFormat="false" ht="15" hidden="false" customHeight="false" outlineLevel="0" collapsed="false">
      <c r="A189" s="22" t="s">
        <v>8858</v>
      </c>
      <c r="B189" s="23" t="n">
        <v>44793</v>
      </c>
      <c r="C189" s="22" t="s">
        <v>3269</v>
      </c>
      <c r="D189" s="22" t="n">
        <v>1287</v>
      </c>
      <c r="E189" s="22" t="s">
        <v>8139</v>
      </c>
      <c r="F189" s="22" t="s">
        <v>499</v>
      </c>
      <c r="G189" s="22" t="n">
        <v>45</v>
      </c>
      <c r="H189" s="22" t="s">
        <v>7696</v>
      </c>
      <c r="I189" s="22" t="s">
        <v>8601</v>
      </c>
      <c r="J189" s="22" t="n">
        <v>7.55</v>
      </c>
      <c r="K189" s="22" t="n">
        <v>2</v>
      </c>
      <c r="L189" s="22" t="s">
        <v>8602</v>
      </c>
      <c r="M189" s="23" t="n">
        <v>44807</v>
      </c>
      <c r="N189" s="22"/>
      <c r="O189" s="22"/>
      <c r="P189" s="22" t="s">
        <v>8603</v>
      </c>
      <c r="Q189" s="22"/>
      <c r="R189" s="22"/>
    </row>
    <row r="190" customFormat="false" ht="15" hidden="false" customHeight="false" outlineLevel="0" collapsed="false">
      <c r="A190" s="22" t="s">
        <v>8859</v>
      </c>
      <c r="B190" s="23" t="n">
        <v>44792</v>
      </c>
      <c r="C190" s="22" t="s">
        <v>2139</v>
      </c>
      <c r="D190" s="22" t="n">
        <v>774</v>
      </c>
      <c r="E190" s="22" t="s">
        <v>8163</v>
      </c>
      <c r="F190" s="22" t="s">
        <v>499</v>
      </c>
      <c r="G190" s="22" t="n">
        <v>32</v>
      </c>
      <c r="H190" s="22" t="s">
        <v>7696</v>
      </c>
      <c r="I190" s="22" t="s">
        <v>8601</v>
      </c>
      <c r="J190" s="22" t="n">
        <v>7.55</v>
      </c>
      <c r="K190" s="22" t="n">
        <v>1</v>
      </c>
      <c r="L190" s="22" t="s">
        <v>8605</v>
      </c>
      <c r="M190" s="23" t="n">
        <v>44806</v>
      </c>
      <c r="N190" s="23" t="n">
        <v>44805</v>
      </c>
      <c r="O190" s="22" t="n">
        <v>13</v>
      </c>
      <c r="P190" s="22"/>
      <c r="Q190" s="22" t="s">
        <v>8860</v>
      </c>
      <c r="R190" s="22"/>
    </row>
    <row r="191" customFormat="false" ht="15" hidden="false" customHeight="false" outlineLevel="0" collapsed="false">
      <c r="A191" s="22" t="s">
        <v>8861</v>
      </c>
      <c r="B191" s="23" t="n">
        <v>44780</v>
      </c>
      <c r="C191" s="22" t="s">
        <v>2921</v>
      </c>
      <c r="D191" s="22" t="n">
        <v>1126</v>
      </c>
      <c r="E191" s="22" t="s">
        <v>7912</v>
      </c>
      <c r="F191" s="22" t="s">
        <v>215</v>
      </c>
      <c r="G191" s="22" t="n">
        <v>50</v>
      </c>
      <c r="H191" s="22" t="s">
        <v>7696</v>
      </c>
      <c r="I191" s="22" t="s">
        <v>8601</v>
      </c>
      <c r="J191" s="22" t="n">
        <v>7.55</v>
      </c>
      <c r="K191" s="22" t="n">
        <v>2</v>
      </c>
      <c r="L191" s="22" t="s">
        <v>8605</v>
      </c>
      <c r="M191" s="23" t="n">
        <v>44794</v>
      </c>
      <c r="N191" s="23" t="n">
        <v>44784</v>
      </c>
      <c r="O191" s="22" t="n">
        <v>4</v>
      </c>
      <c r="P191" s="22"/>
      <c r="Q191" s="22" t="s">
        <v>8862</v>
      </c>
      <c r="R191" s="22"/>
    </row>
    <row r="192" customFormat="false" ht="15" hidden="false" customHeight="false" outlineLevel="0" collapsed="false">
      <c r="A192" s="22" t="s">
        <v>8863</v>
      </c>
      <c r="B192" s="23" t="n">
        <v>44793</v>
      </c>
      <c r="C192" s="22" t="s">
        <v>5168</v>
      </c>
      <c r="D192" s="22" t="n">
        <v>2215</v>
      </c>
      <c r="E192" s="22" t="s">
        <v>8389</v>
      </c>
      <c r="F192" s="22" t="s">
        <v>188</v>
      </c>
      <c r="G192" s="22" t="n">
        <v>50</v>
      </c>
      <c r="H192" s="22" t="s">
        <v>7696</v>
      </c>
      <c r="I192" s="22" t="s">
        <v>8601</v>
      </c>
      <c r="J192" s="22" t="n">
        <v>7.55</v>
      </c>
      <c r="K192" s="22" t="n">
        <v>1</v>
      </c>
      <c r="L192" s="22" t="s">
        <v>8605</v>
      </c>
      <c r="M192" s="23" t="n">
        <v>44807</v>
      </c>
      <c r="N192" s="23" t="n">
        <v>44809</v>
      </c>
      <c r="O192" s="22" t="n">
        <v>16</v>
      </c>
      <c r="P192" s="22"/>
      <c r="Q192" s="22" t="s">
        <v>8864</v>
      </c>
      <c r="R192" s="22"/>
    </row>
    <row r="193" customFormat="false" ht="15" hidden="false" customHeight="false" outlineLevel="0" collapsed="false">
      <c r="A193" s="22" t="s">
        <v>8865</v>
      </c>
      <c r="B193" s="23" t="n">
        <v>44788</v>
      </c>
      <c r="C193" s="22" t="s">
        <v>3233</v>
      </c>
      <c r="D193" s="22" t="n">
        <v>1270</v>
      </c>
      <c r="E193" s="22" t="s">
        <v>6645</v>
      </c>
      <c r="F193" s="22" t="s">
        <v>198</v>
      </c>
      <c r="G193" s="22" t="n">
        <v>32</v>
      </c>
      <c r="H193" s="22" t="s">
        <v>6575</v>
      </c>
      <c r="I193" s="22" t="s">
        <v>8601</v>
      </c>
      <c r="J193" s="22" t="n">
        <v>10.4</v>
      </c>
      <c r="K193" s="22" t="n">
        <v>1</v>
      </c>
      <c r="L193" s="22" t="s">
        <v>8605</v>
      </c>
      <c r="M193" s="23" t="n">
        <v>44798</v>
      </c>
      <c r="N193" s="23" t="n">
        <v>44801</v>
      </c>
      <c r="O193" s="22" t="n">
        <v>13</v>
      </c>
      <c r="P193" s="22"/>
      <c r="Q193" s="22" t="s">
        <v>8866</v>
      </c>
      <c r="R193" s="22"/>
    </row>
    <row r="194" customFormat="false" ht="15" hidden="false" customHeight="false" outlineLevel="0" collapsed="false">
      <c r="A194" s="22" t="s">
        <v>8867</v>
      </c>
      <c r="B194" s="23" t="n">
        <v>44782</v>
      </c>
      <c r="C194" s="22" t="s">
        <v>3228</v>
      </c>
      <c r="D194" s="22" t="n">
        <v>1268</v>
      </c>
      <c r="E194" s="22" t="s">
        <v>8005</v>
      </c>
      <c r="F194" s="22" t="s">
        <v>215</v>
      </c>
      <c r="G194" s="22" t="n">
        <v>24</v>
      </c>
      <c r="H194" s="22" t="s">
        <v>7696</v>
      </c>
      <c r="I194" s="22" t="s">
        <v>8601</v>
      </c>
      <c r="J194" s="22" t="n">
        <v>7.55</v>
      </c>
      <c r="K194" s="22" t="n">
        <v>1</v>
      </c>
      <c r="L194" s="22" t="s">
        <v>8605</v>
      </c>
      <c r="M194" s="23" t="n">
        <v>44796</v>
      </c>
      <c r="N194" s="23" t="n">
        <v>44797</v>
      </c>
      <c r="O194" s="22" t="n">
        <v>15</v>
      </c>
      <c r="P194" s="22"/>
      <c r="Q194" s="22" t="s">
        <v>8868</v>
      </c>
      <c r="R194" s="22"/>
    </row>
    <row r="195" customFormat="false" ht="15" hidden="false" customHeight="false" outlineLevel="0" collapsed="false">
      <c r="A195" s="22" t="s">
        <v>8869</v>
      </c>
      <c r="B195" s="23" t="n">
        <v>44775</v>
      </c>
      <c r="C195" s="22" t="s">
        <v>310</v>
      </c>
      <c r="D195" s="22" t="n">
        <v>50</v>
      </c>
      <c r="E195" s="22" t="s">
        <v>8178</v>
      </c>
      <c r="F195" s="22" t="s">
        <v>499</v>
      </c>
      <c r="G195" s="22" t="n">
        <v>32</v>
      </c>
      <c r="H195" s="22" t="s">
        <v>7696</v>
      </c>
      <c r="I195" s="22" t="s">
        <v>8601</v>
      </c>
      <c r="J195" s="22" t="n">
        <v>7.55</v>
      </c>
      <c r="K195" s="22" t="n">
        <v>1</v>
      </c>
      <c r="L195" s="22" t="s">
        <v>8602</v>
      </c>
      <c r="M195" s="23" t="n">
        <v>44789</v>
      </c>
      <c r="N195" s="22"/>
      <c r="O195" s="22"/>
      <c r="P195" s="22" t="s">
        <v>8631</v>
      </c>
      <c r="Q195" s="22"/>
      <c r="R195" s="22"/>
    </row>
    <row r="196" customFormat="false" ht="15" hidden="false" customHeight="false" outlineLevel="0" collapsed="false">
      <c r="A196" s="22" t="s">
        <v>8870</v>
      </c>
      <c r="B196" s="23" t="n">
        <v>44786</v>
      </c>
      <c r="C196" s="22" t="s">
        <v>3792</v>
      </c>
      <c r="D196" s="22" t="n">
        <v>1540</v>
      </c>
      <c r="E196" s="22" t="s">
        <v>7988</v>
      </c>
      <c r="F196" s="22" t="s">
        <v>215</v>
      </c>
      <c r="G196" s="22" t="n">
        <v>24</v>
      </c>
      <c r="H196" s="22" t="s">
        <v>7696</v>
      </c>
      <c r="I196" s="22" t="s">
        <v>8601</v>
      </c>
      <c r="J196" s="22" t="n">
        <v>7.55</v>
      </c>
      <c r="K196" s="22" t="n">
        <v>1</v>
      </c>
      <c r="L196" s="22" t="s">
        <v>8605</v>
      </c>
      <c r="M196" s="23" t="n">
        <v>44800</v>
      </c>
      <c r="N196" s="23" t="n">
        <v>44799</v>
      </c>
      <c r="O196" s="22" t="n">
        <v>13</v>
      </c>
      <c r="P196" s="22"/>
      <c r="Q196" s="22" t="s">
        <v>8871</v>
      </c>
      <c r="R196" s="22"/>
    </row>
    <row r="197" customFormat="false" ht="15" hidden="false" customHeight="false" outlineLevel="0" collapsed="false">
      <c r="A197" s="22" t="s">
        <v>8872</v>
      </c>
      <c r="B197" s="23" t="n">
        <v>44793</v>
      </c>
      <c r="C197" s="22" t="s">
        <v>5778</v>
      </c>
      <c r="D197" s="22" t="n">
        <v>2519</v>
      </c>
      <c r="E197" s="22" t="s">
        <v>8296</v>
      </c>
      <c r="F197" s="22" t="s">
        <v>499</v>
      </c>
      <c r="G197" s="22" t="n">
        <v>28</v>
      </c>
      <c r="H197" s="22" t="s">
        <v>7696</v>
      </c>
      <c r="I197" s="22" t="s">
        <v>8601</v>
      </c>
      <c r="J197" s="22" t="n">
        <v>7.55</v>
      </c>
      <c r="K197" s="22" t="n">
        <v>1</v>
      </c>
      <c r="L197" s="22" t="s">
        <v>8605</v>
      </c>
      <c r="M197" s="23" t="n">
        <v>44807</v>
      </c>
      <c r="N197" s="23" t="n">
        <v>44810</v>
      </c>
      <c r="O197" s="22" t="n">
        <v>17</v>
      </c>
      <c r="P197" s="22"/>
      <c r="Q197" s="22" t="s">
        <v>8873</v>
      </c>
      <c r="R197" s="22"/>
    </row>
    <row r="198" customFormat="false" ht="15" hidden="false" customHeight="false" outlineLevel="0" collapsed="false">
      <c r="A198" s="22" t="s">
        <v>8874</v>
      </c>
      <c r="B198" s="23" t="n">
        <v>44794</v>
      </c>
      <c r="C198" s="22" t="s">
        <v>5162</v>
      </c>
      <c r="D198" s="22" t="n">
        <v>2212</v>
      </c>
      <c r="E198" s="22" t="s">
        <v>8074</v>
      </c>
      <c r="F198" s="22" t="s">
        <v>499</v>
      </c>
      <c r="G198" s="22" t="n">
        <v>24</v>
      </c>
      <c r="H198" s="22" t="s">
        <v>7696</v>
      </c>
      <c r="I198" s="22" t="s">
        <v>8601</v>
      </c>
      <c r="J198" s="22" t="n">
        <v>7.55</v>
      </c>
      <c r="K198" s="22" t="n">
        <v>1</v>
      </c>
      <c r="L198" s="22" t="s">
        <v>8629</v>
      </c>
      <c r="M198" s="23" t="n">
        <v>44808</v>
      </c>
      <c r="N198" s="23" t="n">
        <v>44806</v>
      </c>
      <c r="O198" s="22" t="n">
        <v>12</v>
      </c>
      <c r="P198" s="22"/>
      <c r="Q198" s="22"/>
      <c r="R198" s="22"/>
    </row>
    <row r="199" customFormat="false" ht="15" hidden="false" customHeight="false" outlineLevel="0" collapsed="false">
      <c r="A199" s="22" t="s">
        <v>8875</v>
      </c>
      <c r="B199" s="23" t="n">
        <v>44788</v>
      </c>
      <c r="C199" s="22" t="s">
        <v>4974</v>
      </c>
      <c r="D199" s="22" t="n">
        <v>2120</v>
      </c>
      <c r="E199" s="22" t="s">
        <v>8160</v>
      </c>
      <c r="F199" s="22" t="s">
        <v>499</v>
      </c>
      <c r="G199" s="22" t="n">
        <v>40</v>
      </c>
      <c r="H199" s="22" t="s">
        <v>7696</v>
      </c>
      <c r="I199" s="22" t="s">
        <v>8601</v>
      </c>
      <c r="J199" s="22" t="n">
        <v>7.55</v>
      </c>
      <c r="K199" s="22" t="n">
        <v>1</v>
      </c>
      <c r="L199" s="22" t="s">
        <v>8605</v>
      </c>
      <c r="M199" s="23" t="n">
        <v>44802</v>
      </c>
      <c r="N199" s="23" t="n">
        <v>44793</v>
      </c>
      <c r="O199" s="22" t="n">
        <v>5</v>
      </c>
      <c r="P199" s="22"/>
      <c r="Q199" s="22" t="s">
        <v>8876</v>
      </c>
      <c r="R199" s="22"/>
    </row>
    <row r="200" customFormat="false" ht="15" hidden="false" customHeight="false" outlineLevel="0" collapsed="false">
      <c r="A200" s="22" t="s">
        <v>8877</v>
      </c>
      <c r="B200" s="23" t="n">
        <v>44788</v>
      </c>
      <c r="C200" s="22" t="s">
        <v>5399</v>
      </c>
      <c r="D200" s="22" t="n">
        <v>2330</v>
      </c>
      <c r="E200" s="22" t="s">
        <v>7964</v>
      </c>
      <c r="F200" s="22" t="s">
        <v>215</v>
      </c>
      <c r="G200" s="22" t="n">
        <v>32</v>
      </c>
      <c r="H200" s="22" t="s">
        <v>7696</v>
      </c>
      <c r="I200" s="22" t="s">
        <v>8601</v>
      </c>
      <c r="J200" s="22" t="n">
        <v>7.55</v>
      </c>
      <c r="K200" s="22" t="n">
        <v>1</v>
      </c>
      <c r="L200" s="22" t="s">
        <v>8602</v>
      </c>
      <c r="M200" s="23" t="n">
        <v>44802</v>
      </c>
      <c r="N200" s="22"/>
      <c r="O200" s="22"/>
      <c r="P200" s="22" t="s">
        <v>8603</v>
      </c>
      <c r="Q200" s="22"/>
      <c r="R200" s="22"/>
    </row>
    <row r="201" customFormat="false" ht="15" hidden="false" customHeight="false" outlineLevel="0" collapsed="false">
      <c r="A201" s="22" t="s">
        <v>8878</v>
      </c>
      <c r="B201" s="23" t="n">
        <v>44800</v>
      </c>
      <c r="C201" s="22" t="s">
        <v>2666</v>
      </c>
      <c r="D201" s="22" t="n">
        <v>1011</v>
      </c>
      <c r="E201" s="22" t="s">
        <v>6736</v>
      </c>
      <c r="F201" s="22" t="s">
        <v>198</v>
      </c>
      <c r="G201" s="22" t="n">
        <v>32</v>
      </c>
      <c r="H201" s="22" t="s">
        <v>6575</v>
      </c>
      <c r="I201" s="22" t="s">
        <v>8601</v>
      </c>
      <c r="J201" s="22" t="n">
        <v>10.4</v>
      </c>
      <c r="K201" s="22" t="n">
        <v>2</v>
      </c>
      <c r="L201" s="22" t="s">
        <v>8613</v>
      </c>
      <c r="M201" s="23" t="n">
        <v>44810</v>
      </c>
      <c r="N201" s="22"/>
      <c r="O201" s="22"/>
      <c r="P201" s="22"/>
      <c r="Q201" s="22"/>
      <c r="R201" s="22"/>
    </row>
    <row r="202" customFormat="false" ht="15" hidden="false" customHeight="false" outlineLevel="0" collapsed="false">
      <c r="A202" s="22" t="s">
        <v>8879</v>
      </c>
      <c r="B202" s="23" t="n">
        <v>44775</v>
      </c>
      <c r="C202" s="22" t="s">
        <v>2421</v>
      </c>
      <c r="D202" s="22" t="n">
        <v>901</v>
      </c>
      <c r="E202" s="22" t="s">
        <v>7682</v>
      </c>
      <c r="F202" s="22" t="s">
        <v>159</v>
      </c>
      <c r="G202" s="22" t="n">
        <v>36</v>
      </c>
      <c r="H202" s="22" t="s">
        <v>6575</v>
      </c>
      <c r="I202" s="22" t="s">
        <v>8601</v>
      </c>
      <c r="J202" s="22" t="n">
        <v>10.4</v>
      </c>
      <c r="K202" s="22" t="n">
        <v>2</v>
      </c>
      <c r="L202" s="22" t="s">
        <v>8729</v>
      </c>
      <c r="M202" s="23" t="n">
        <v>44785</v>
      </c>
      <c r="N202" s="23" t="n">
        <v>44782</v>
      </c>
      <c r="O202" s="22" t="n">
        <v>7</v>
      </c>
      <c r="P202" s="22"/>
      <c r="Q202" s="22"/>
      <c r="R202" s="22"/>
    </row>
    <row r="203" customFormat="false" ht="15" hidden="false" customHeight="false" outlineLevel="0" collapsed="false">
      <c r="A203" s="22" t="s">
        <v>8880</v>
      </c>
      <c r="B203" s="23" t="n">
        <v>44775</v>
      </c>
      <c r="C203" s="22" t="s">
        <v>2488</v>
      </c>
      <c r="D203" s="22" t="n">
        <v>933</v>
      </c>
      <c r="E203" s="22" t="s">
        <v>8494</v>
      </c>
      <c r="F203" s="22" t="s">
        <v>188</v>
      </c>
      <c r="G203" s="22" t="n">
        <v>36</v>
      </c>
      <c r="H203" s="22" t="s">
        <v>7696</v>
      </c>
      <c r="I203" s="22" t="s">
        <v>8601</v>
      </c>
      <c r="J203" s="22" t="n">
        <v>7.55</v>
      </c>
      <c r="K203" s="22" t="n">
        <v>1</v>
      </c>
      <c r="L203" s="22" t="s">
        <v>8605</v>
      </c>
      <c r="M203" s="23" t="n">
        <v>44789</v>
      </c>
      <c r="N203" s="23" t="n">
        <v>44782</v>
      </c>
      <c r="O203" s="22" t="n">
        <v>7</v>
      </c>
      <c r="P203" s="22"/>
      <c r="Q203" s="22" t="s">
        <v>8881</v>
      </c>
      <c r="R203" s="22"/>
    </row>
    <row r="204" customFormat="false" ht="15" hidden="false" customHeight="false" outlineLevel="0" collapsed="false">
      <c r="A204" s="22" t="s">
        <v>8882</v>
      </c>
      <c r="B204" s="23" t="n">
        <v>44790</v>
      </c>
      <c r="C204" s="22" t="s">
        <v>3735</v>
      </c>
      <c r="D204" s="22" t="n">
        <v>1512</v>
      </c>
      <c r="E204" s="22" t="s">
        <v>8543</v>
      </c>
      <c r="F204" s="22" t="s">
        <v>188</v>
      </c>
      <c r="G204" s="22" t="n">
        <v>24</v>
      </c>
      <c r="H204" s="22" t="s">
        <v>7696</v>
      </c>
      <c r="I204" s="22" t="s">
        <v>8601</v>
      </c>
      <c r="J204" s="22" t="n">
        <v>7.55</v>
      </c>
      <c r="K204" s="22" t="n">
        <v>1</v>
      </c>
      <c r="L204" s="22" t="s">
        <v>8605</v>
      </c>
      <c r="M204" s="23" t="n">
        <v>44804</v>
      </c>
      <c r="N204" s="23" t="n">
        <v>44797</v>
      </c>
      <c r="O204" s="22" t="n">
        <v>7</v>
      </c>
      <c r="P204" s="22"/>
      <c r="Q204" s="22" t="s">
        <v>8611</v>
      </c>
      <c r="R204" s="22"/>
    </row>
    <row r="205" customFormat="false" ht="15" hidden="false" customHeight="false" outlineLevel="0" collapsed="false">
      <c r="A205" s="22" t="s">
        <v>8883</v>
      </c>
      <c r="B205" s="23" t="n">
        <v>44786</v>
      </c>
      <c r="C205" s="22" t="s">
        <v>1696</v>
      </c>
      <c r="D205" s="22" t="n">
        <v>584</v>
      </c>
      <c r="E205" s="22" t="s">
        <v>8340</v>
      </c>
      <c r="F205" s="22" t="s">
        <v>188</v>
      </c>
      <c r="G205" s="22" t="n">
        <v>36</v>
      </c>
      <c r="H205" s="22" t="s">
        <v>7696</v>
      </c>
      <c r="I205" s="22" t="s">
        <v>8601</v>
      </c>
      <c r="J205" s="22" t="n">
        <v>7.55</v>
      </c>
      <c r="K205" s="22" t="n">
        <v>1</v>
      </c>
      <c r="L205" s="22" t="s">
        <v>8605</v>
      </c>
      <c r="M205" s="23" t="n">
        <v>44800</v>
      </c>
      <c r="N205" s="23" t="n">
        <v>44802</v>
      </c>
      <c r="O205" s="22" t="n">
        <v>16</v>
      </c>
      <c r="P205" s="22"/>
      <c r="Q205" s="22" t="s">
        <v>8884</v>
      </c>
      <c r="R205" s="22"/>
    </row>
    <row r="206" customFormat="false" ht="15" hidden="false" customHeight="false" outlineLevel="0" collapsed="false">
      <c r="A206" s="22" t="s">
        <v>8885</v>
      </c>
      <c r="B206" s="23" t="n">
        <v>44798</v>
      </c>
      <c r="C206" s="22" t="s">
        <v>3817</v>
      </c>
      <c r="D206" s="22" t="n">
        <v>1553</v>
      </c>
      <c r="E206" s="22" t="s">
        <v>7283</v>
      </c>
      <c r="F206" s="22" t="s">
        <v>198</v>
      </c>
      <c r="G206" s="22" t="n">
        <v>32</v>
      </c>
      <c r="H206" s="22" t="s">
        <v>6575</v>
      </c>
      <c r="I206" s="22" t="s">
        <v>8601</v>
      </c>
      <c r="J206" s="22" t="n">
        <v>10.4</v>
      </c>
      <c r="K206" s="22" t="n">
        <v>1</v>
      </c>
      <c r="L206" s="22" t="s">
        <v>8602</v>
      </c>
      <c r="M206" s="23" t="n">
        <v>44808</v>
      </c>
      <c r="N206" s="22"/>
      <c r="O206" s="22"/>
      <c r="P206" s="22" t="s">
        <v>8631</v>
      </c>
      <c r="Q206" s="22"/>
      <c r="R206" s="22"/>
    </row>
    <row r="207" customFormat="false" ht="15" hidden="false" customHeight="false" outlineLevel="0" collapsed="false">
      <c r="A207" s="22" t="s">
        <v>8886</v>
      </c>
      <c r="B207" s="23" t="n">
        <v>44785</v>
      </c>
      <c r="C207" s="22" t="s">
        <v>3218</v>
      </c>
      <c r="D207" s="22" t="n">
        <v>1263</v>
      </c>
      <c r="E207" s="22" t="s">
        <v>7939</v>
      </c>
      <c r="F207" s="22" t="s">
        <v>215</v>
      </c>
      <c r="G207" s="22" t="n">
        <v>36</v>
      </c>
      <c r="H207" s="22" t="s">
        <v>7696</v>
      </c>
      <c r="I207" s="22" t="s">
        <v>8601</v>
      </c>
      <c r="J207" s="22" t="n">
        <v>7.55</v>
      </c>
      <c r="K207" s="22" t="n">
        <v>1</v>
      </c>
      <c r="L207" s="22" t="s">
        <v>8605</v>
      </c>
      <c r="M207" s="23" t="n">
        <v>44799</v>
      </c>
      <c r="N207" s="23" t="n">
        <v>44791</v>
      </c>
      <c r="O207" s="22" t="n">
        <v>6</v>
      </c>
      <c r="P207" s="22"/>
      <c r="Q207" s="22" t="s">
        <v>8887</v>
      </c>
      <c r="R207" s="22"/>
    </row>
    <row r="208" customFormat="false" ht="15" hidden="false" customHeight="false" outlineLevel="0" collapsed="false">
      <c r="A208" s="22" t="s">
        <v>8888</v>
      </c>
      <c r="B208" s="23" t="n">
        <v>44783</v>
      </c>
      <c r="C208" s="22" t="s">
        <v>1188</v>
      </c>
      <c r="D208" s="22" t="n">
        <v>372</v>
      </c>
      <c r="E208" s="22" t="s">
        <v>7612</v>
      </c>
      <c r="F208" s="22" t="s">
        <v>159</v>
      </c>
      <c r="G208" s="22" t="n">
        <v>24</v>
      </c>
      <c r="H208" s="22" t="s">
        <v>6575</v>
      </c>
      <c r="I208" s="22" t="s">
        <v>8601</v>
      </c>
      <c r="J208" s="22" t="n">
        <v>10.4</v>
      </c>
      <c r="K208" s="22" t="n">
        <v>1</v>
      </c>
      <c r="L208" s="22" t="s">
        <v>8605</v>
      </c>
      <c r="M208" s="23" t="n">
        <v>44793</v>
      </c>
      <c r="N208" s="23" t="n">
        <v>44796</v>
      </c>
      <c r="O208" s="22" t="n">
        <v>13</v>
      </c>
      <c r="P208" s="22"/>
      <c r="Q208" s="22" t="s">
        <v>8795</v>
      </c>
      <c r="R208" s="22"/>
    </row>
    <row r="209" customFormat="false" ht="15" hidden="false" customHeight="false" outlineLevel="0" collapsed="false">
      <c r="A209" s="22" t="s">
        <v>8889</v>
      </c>
      <c r="B209" s="23" t="n">
        <v>44783</v>
      </c>
      <c r="C209" s="22" t="s">
        <v>5588</v>
      </c>
      <c r="D209" s="22" t="n">
        <v>2425</v>
      </c>
      <c r="E209" s="22" t="s">
        <v>7872</v>
      </c>
      <c r="F209" s="22" t="s">
        <v>215</v>
      </c>
      <c r="G209" s="22" t="n">
        <v>50</v>
      </c>
      <c r="H209" s="22" t="s">
        <v>7696</v>
      </c>
      <c r="I209" s="22" t="s">
        <v>8601</v>
      </c>
      <c r="J209" s="22" t="n">
        <v>7.55</v>
      </c>
      <c r="K209" s="22" t="n">
        <v>2</v>
      </c>
      <c r="L209" s="22" t="s">
        <v>8602</v>
      </c>
      <c r="M209" s="23" t="n">
        <v>44797</v>
      </c>
      <c r="N209" s="22"/>
      <c r="O209" s="22"/>
      <c r="P209" s="22" t="s">
        <v>8618</v>
      </c>
      <c r="Q209" s="22"/>
      <c r="R209" s="22"/>
    </row>
    <row r="210" customFormat="false" ht="15" hidden="false" customHeight="false" outlineLevel="0" collapsed="false">
      <c r="A210" s="22" t="s">
        <v>8890</v>
      </c>
      <c r="B210" s="23" t="n">
        <v>44793</v>
      </c>
      <c r="C210" s="22" t="s">
        <v>3452</v>
      </c>
      <c r="D210" s="22" t="n">
        <v>1375</v>
      </c>
      <c r="E210" s="22" t="s">
        <v>8503</v>
      </c>
      <c r="F210" s="22" t="s">
        <v>188</v>
      </c>
      <c r="G210" s="22" t="n">
        <v>36</v>
      </c>
      <c r="H210" s="22" t="s">
        <v>7696</v>
      </c>
      <c r="I210" s="22" t="s">
        <v>8601</v>
      </c>
      <c r="J210" s="22" t="n">
        <v>7.55</v>
      </c>
      <c r="K210" s="22" t="n">
        <v>1</v>
      </c>
      <c r="L210" s="22" t="s">
        <v>8605</v>
      </c>
      <c r="M210" s="23" t="n">
        <v>44807</v>
      </c>
      <c r="N210" s="23" t="n">
        <v>44803</v>
      </c>
      <c r="O210" s="22" t="n">
        <v>10</v>
      </c>
      <c r="P210" s="22"/>
      <c r="Q210" s="22" t="s">
        <v>8891</v>
      </c>
      <c r="R210" s="22"/>
    </row>
    <row r="211" customFormat="false" ht="15" hidden="false" customHeight="false" outlineLevel="0" collapsed="false">
      <c r="A211" s="22" t="s">
        <v>8892</v>
      </c>
      <c r="B211" s="23" t="n">
        <v>44798</v>
      </c>
      <c r="C211" s="22" t="s">
        <v>1441</v>
      </c>
      <c r="D211" s="22" t="n">
        <v>476</v>
      </c>
      <c r="E211" s="22" t="s">
        <v>8426</v>
      </c>
      <c r="F211" s="22" t="s">
        <v>188</v>
      </c>
      <c r="G211" s="22" t="n">
        <v>32</v>
      </c>
      <c r="H211" s="22" t="s">
        <v>7696</v>
      </c>
      <c r="I211" s="22" t="s">
        <v>8601</v>
      </c>
      <c r="J211" s="22" t="n">
        <v>7.55</v>
      </c>
      <c r="K211" s="22" t="n">
        <v>1</v>
      </c>
      <c r="L211" s="22" t="s">
        <v>8605</v>
      </c>
      <c r="M211" s="23" t="n">
        <v>44812</v>
      </c>
      <c r="N211" s="23" t="n">
        <v>44808</v>
      </c>
      <c r="O211" s="22" t="n">
        <v>10</v>
      </c>
      <c r="P211" s="22"/>
      <c r="Q211" s="22" t="s">
        <v>8799</v>
      </c>
      <c r="R211" s="22"/>
    </row>
    <row r="212" customFormat="false" ht="15" hidden="false" customHeight="false" outlineLevel="0" collapsed="false">
      <c r="A212" s="22" t="s">
        <v>8893</v>
      </c>
      <c r="B212" s="23" t="n">
        <v>44799</v>
      </c>
      <c r="C212" s="22" t="s">
        <v>3349</v>
      </c>
      <c r="D212" s="22" t="n">
        <v>1325</v>
      </c>
      <c r="E212" s="22" t="s">
        <v>8103</v>
      </c>
      <c r="F212" s="22" t="s">
        <v>499</v>
      </c>
      <c r="G212" s="22" t="n">
        <v>28</v>
      </c>
      <c r="H212" s="22" t="s">
        <v>7696</v>
      </c>
      <c r="I212" s="22" t="s">
        <v>8601</v>
      </c>
      <c r="J212" s="22" t="n">
        <v>7.55</v>
      </c>
      <c r="K212" s="22" t="n">
        <v>2</v>
      </c>
      <c r="L212" s="22" t="s">
        <v>8602</v>
      </c>
      <c r="M212" s="23" t="n">
        <v>44813</v>
      </c>
      <c r="N212" s="22"/>
      <c r="O212" s="22"/>
      <c r="P212" s="22" t="s">
        <v>8618</v>
      </c>
      <c r="Q212" s="22"/>
      <c r="R212" s="22"/>
    </row>
    <row r="213" customFormat="false" ht="15" hidden="false" customHeight="false" outlineLevel="0" collapsed="false">
      <c r="A213" s="22" t="s">
        <v>8894</v>
      </c>
      <c r="B213" s="23" t="n">
        <v>44799</v>
      </c>
      <c r="C213" s="22" t="s">
        <v>3645</v>
      </c>
      <c r="D213" s="22" t="n">
        <v>1468</v>
      </c>
      <c r="E213" s="22" t="s">
        <v>7260</v>
      </c>
      <c r="F213" s="22" t="s">
        <v>198</v>
      </c>
      <c r="G213" s="22" t="n">
        <v>24</v>
      </c>
      <c r="H213" s="22" t="s">
        <v>6575</v>
      </c>
      <c r="I213" s="22" t="s">
        <v>8601</v>
      </c>
      <c r="J213" s="22" t="n">
        <v>10.4</v>
      </c>
      <c r="K213" s="22" t="n">
        <v>1</v>
      </c>
      <c r="L213" s="22" t="s">
        <v>8629</v>
      </c>
      <c r="M213" s="23" t="n">
        <v>44809</v>
      </c>
      <c r="N213" s="23" t="n">
        <v>44801</v>
      </c>
      <c r="O213" s="22" t="n">
        <v>2</v>
      </c>
      <c r="P213" s="22"/>
      <c r="Q213" s="22"/>
      <c r="R213" s="22"/>
    </row>
    <row r="214" customFormat="false" ht="15" hidden="false" customHeight="false" outlineLevel="0" collapsed="false">
      <c r="A214" s="22" t="s">
        <v>8895</v>
      </c>
      <c r="B214" s="23" t="n">
        <v>44781</v>
      </c>
      <c r="C214" s="22" t="s">
        <v>4243</v>
      </c>
      <c r="D214" s="22" t="n">
        <v>1761</v>
      </c>
      <c r="E214" s="22" t="s">
        <v>8493</v>
      </c>
      <c r="F214" s="22" t="s">
        <v>188</v>
      </c>
      <c r="G214" s="22" t="n">
        <v>50</v>
      </c>
      <c r="H214" s="22" t="s">
        <v>7696</v>
      </c>
      <c r="I214" s="22" t="s">
        <v>8601</v>
      </c>
      <c r="J214" s="22" t="n">
        <v>7.55</v>
      </c>
      <c r="K214" s="22" t="n">
        <v>1</v>
      </c>
      <c r="L214" s="22" t="s">
        <v>8605</v>
      </c>
      <c r="M214" s="23" t="n">
        <v>44795</v>
      </c>
      <c r="N214" s="23" t="n">
        <v>44791</v>
      </c>
      <c r="O214" s="22" t="n">
        <v>10</v>
      </c>
      <c r="P214" s="22"/>
      <c r="Q214" s="22" t="s">
        <v>8896</v>
      </c>
      <c r="R214" s="22"/>
    </row>
    <row r="215" customFormat="false" ht="15" hidden="false" customHeight="false" outlineLevel="0" collapsed="false">
      <c r="A215" s="22" t="s">
        <v>8897</v>
      </c>
      <c r="B215" s="23" t="n">
        <v>44784</v>
      </c>
      <c r="C215" s="22" t="s">
        <v>5981</v>
      </c>
      <c r="D215" s="22" t="n">
        <v>2621</v>
      </c>
      <c r="E215" s="22" t="s">
        <v>7567</v>
      </c>
      <c r="F215" s="22" t="s">
        <v>159</v>
      </c>
      <c r="G215" s="22" t="n">
        <v>32</v>
      </c>
      <c r="H215" s="22" t="s">
        <v>6575</v>
      </c>
      <c r="I215" s="22" t="s">
        <v>8601</v>
      </c>
      <c r="J215" s="22" t="n">
        <v>10.4</v>
      </c>
      <c r="K215" s="22" t="n">
        <v>1</v>
      </c>
      <c r="L215" s="22" t="s">
        <v>8605</v>
      </c>
      <c r="M215" s="23" t="n">
        <v>44794</v>
      </c>
      <c r="N215" s="23" t="n">
        <v>44793</v>
      </c>
      <c r="O215" s="22" t="n">
        <v>9</v>
      </c>
      <c r="P215" s="22"/>
      <c r="Q215" s="22" t="s">
        <v>8898</v>
      </c>
      <c r="R215" s="22"/>
    </row>
    <row r="216" customFormat="false" ht="15" hidden="false" customHeight="false" outlineLevel="0" collapsed="false">
      <c r="A216" s="22" t="s">
        <v>8899</v>
      </c>
      <c r="B216" s="23" t="n">
        <v>44783</v>
      </c>
      <c r="C216" s="22" t="s">
        <v>5687</v>
      </c>
      <c r="D216" s="22" t="n">
        <v>2474</v>
      </c>
      <c r="E216" s="22" t="s">
        <v>8547</v>
      </c>
      <c r="F216" s="22" t="s">
        <v>188</v>
      </c>
      <c r="G216" s="22" t="n">
        <v>50</v>
      </c>
      <c r="H216" s="22" t="s">
        <v>7696</v>
      </c>
      <c r="I216" s="22" t="s">
        <v>8601</v>
      </c>
      <c r="J216" s="22" t="n">
        <v>7.55</v>
      </c>
      <c r="K216" s="22" t="n">
        <v>1</v>
      </c>
      <c r="L216" s="22" t="s">
        <v>8613</v>
      </c>
      <c r="M216" s="23" t="n">
        <v>44797</v>
      </c>
      <c r="N216" s="22"/>
      <c r="O216" s="22"/>
      <c r="P216" s="22"/>
      <c r="Q216" s="22"/>
      <c r="R216" s="22"/>
    </row>
    <row r="217" customFormat="false" ht="15" hidden="false" customHeight="false" outlineLevel="0" collapsed="false">
      <c r="A217" s="22" t="s">
        <v>8900</v>
      </c>
      <c r="B217" s="23" t="n">
        <v>44789</v>
      </c>
      <c r="C217" s="22" t="s">
        <v>5081</v>
      </c>
      <c r="D217" s="22" t="n">
        <v>2172</v>
      </c>
      <c r="E217" s="22" t="s">
        <v>8515</v>
      </c>
      <c r="F217" s="22" t="s">
        <v>188</v>
      </c>
      <c r="G217" s="22" t="n">
        <v>32</v>
      </c>
      <c r="H217" s="22" t="s">
        <v>7696</v>
      </c>
      <c r="I217" s="22" t="s">
        <v>8601</v>
      </c>
      <c r="J217" s="22" t="n">
        <v>7.55</v>
      </c>
      <c r="K217" s="22" t="n">
        <v>1</v>
      </c>
      <c r="L217" s="22" t="s">
        <v>8605</v>
      </c>
      <c r="M217" s="23" t="n">
        <v>44803</v>
      </c>
      <c r="N217" s="23" t="n">
        <v>44798</v>
      </c>
      <c r="O217" s="22" t="n">
        <v>9</v>
      </c>
      <c r="P217" s="22"/>
      <c r="Q217" s="22" t="s">
        <v>8901</v>
      </c>
      <c r="R217" s="22"/>
    </row>
    <row r="218" customFormat="false" ht="15" hidden="false" customHeight="false" outlineLevel="0" collapsed="false">
      <c r="A218" s="22" t="s">
        <v>8902</v>
      </c>
      <c r="B218" s="23" t="n">
        <v>44787</v>
      </c>
      <c r="C218" s="22" t="s">
        <v>3699</v>
      </c>
      <c r="D218" s="22" t="n">
        <v>1495</v>
      </c>
      <c r="E218" s="22" t="s">
        <v>7725</v>
      </c>
      <c r="F218" s="22" t="s">
        <v>215</v>
      </c>
      <c r="G218" s="22" t="n">
        <v>80</v>
      </c>
      <c r="H218" s="22" t="s">
        <v>7696</v>
      </c>
      <c r="I218" s="22" t="s">
        <v>8601</v>
      </c>
      <c r="J218" s="22" t="n">
        <v>7.55</v>
      </c>
      <c r="K218" s="22" t="n">
        <v>1</v>
      </c>
      <c r="L218" s="22" t="s">
        <v>8602</v>
      </c>
      <c r="M218" s="23" t="n">
        <v>44801</v>
      </c>
      <c r="N218" s="22"/>
      <c r="O218" s="22"/>
      <c r="P218" s="22" t="s">
        <v>8637</v>
      </c>
      <c r="Q218" s="22"/>
      <c r="R218" s="22"/>
    </row>
    <row r="219" customFormat="false" ht="15" hidden="false" customHeight="false" outlineLevel="0" collapsed="false">
      <c r="A219" s="22" t="s">
        <v>8903</v>
      </c>
      <c r="B219" s="23" t="n">
        <v>44775</v>
      </c>
      <c r="C219" s="22" t="s">
        <v>3178</v>
      </c>
      <c r="D219" s="22" t="n">
        <v>1244</v>
      </c>
      <c r="E219" s="22" t="s">
        <v>7765</v>
      </c>
      <c r="F219" s="22" t="s">
        <v>215</v>
      </c>
      <c r="G219" s="22" t="n">
        <v>24</v>
      </c>
      <c r="H219" s="22" t="s">
        <v>7696</v>
      </c>
      <c r="I219" s="22" t="s">
        <v>8601</v>
      </c>
      <c r="J219" s="22" t="n">
        <v>7.55</v>
      </c>
      <c r="K219" s="22" t="n">
        <v>2</v>
      </c>
      <c r="L219" s="22" t="s">
        <v>8605</v>
      </c>
      <c r="M219" s="23" t="n">
        <v>44789</v>
      </c>
      <c r="N219" s="23" t="n">
        <v>44783</v>
      </c>
      <c r="O219" s="22" t="n">
        <v>8</v>
      </c>
      <c r="P219" s="22"/>
      <c r="Q219" s="22" t="s">
        <v>8904</v>
      </c>
      <c r="R219" s="22"/>
    </row>
    <row r="220" customFormat="false" ht="15" hidden="false" customHeight="false" outlineLevel="0" collapsed="false">
      <c r="A220" s="22" t="s">
        <v>8905</v>
      </c>
      <c r="B220" s="23" t="n">
        <v>44793</v>
      </c>
      <c r="C220" s="22" t="s">
        <v>6488</v>
      </c>
      <c r="D220" s="22" t="n">
        <v>2877</v>
      </c>
      <c r="E220" s="22" t="s">
        <v>7533</v>
      </c>
      <c r="F220" s="22" t="s">
        <v>159</v>
      </c>
      <c r="G220" s="22" t="n">
        <v>24</v>
      </c>
      <c r="H220" s="22" t="s">
        <v>6575</v>
      </c>
      <c r="I220" s="22" t="s">
        <v>8601</v>
      </c>
      <c r="J220" s="22" t="n">
        <v>10.4</v>
      </c>
      <c r="K220" s="22" t="n">
        <v>1</v>
      </c>
      <c r="L220" s="22" t="s">
        <v>8602</v>
      </c>
      <c r="M220" s="23" t="n">
        <v>44803</v>
      </c>
      <c r="N220" s="22"/>
      <c r="O220" s="22"/>
      <c r="P220" s="22" t="s">
        <v>8603</v>
      </c>
      <c r="Q220" s="22"/>
      <c r="R220" s="22"/>
    </row>
    <row r="221" customFormat="false" ht="15" hidden="false" customHeight="false" outlineLevel="0" collapsed="false">
      <c r="A221" s="22" t="s">
        <v>8906</v>
      </c>
      <c r="B221" s="23" t="n">
        <v>44787</v>
      </c>
      <c r="C221" s="22" t="s">
        <v>2377</v>
      </c>
      <c r="D221" s="22" t="n">
        <v>882</v>
      </c>
      <c r="E221" s="22" t="s">
        <v>8328</v>
      </c>
      <c r="F221" s="22" t="s">
        <v>499</v>
      </c>
      <c r="G221" s="22" t="n">
        <v>70</v>
      </c>
      <c r="H221" s="22" t="s">
        <v>7696</v>
      </c>
      <c r="I221" s="22" t="s">
        <v>8601</v>
      </c>
      <c r="J221" s="22" t="n">
        <v>7.55</v>
      </c>
      <c r="K221" s="22" t="n">
        <v>1</v>
      </c>
      <c r="L221" s="22" t="s">
        <v>8602</v>
      </c>
      <c r="M221" s="23" t="n">
        <v>44801</v>
      </c>
      <c r="N221" s="22"/>
      <c r="O221" s="22"/>
      <c r="P221" s="22" t="s">
        <v>8631</v>
      </c>
      <c r="Q221" s="22"/>
      <c r="R221" s="22"/>
    </row>
    <row r="222" customFormat="false" ht="15" hidden="false" customHeight="false" outlineLevel="0" collapsed="false">
      <c r="A222" s="22" t="s">
        <v>8907</v>
      </c>
      <c r="B222" s="23" t="n">
        <v>44789</v>
      </c>
      <c r="C222" s="22" t="s">
        <v>4344</v>
      </c>
      <c r="D222" s="22" t="n">
        <v>1811</v>
      </c>
      <c r="E222" s="22" t="s">
        <v>8366</v>
      </c>
      <c r="F222" s="22" t="s">
        <v>188</v>
      </c>
      <c r="G222" s="22" t="n">
        <v>24</v>
      </c>
      <c r="H222" s="22" t="s">
        <v>7696</v>
      </c>
      <c r="I222" s="22" t="s">
        <v>8601</v>
      </c>
      <c r="J222" s="22" t="n">
        <v>7.55</v>
      </c>
      <c r="K222" s="22" t="n">
        <v>1</v>
      </c>
      <c r="L222" s="22" t="s">
        <v>8605</v>
      </c>
      <c r="M222" s="23" t="n">
        <v>44803</v>
      </c>
      <c r="N222" s="23" t="n">
        <v>44805</v>
      </c>
      <c r="O222" s="22" t="n">
        <v>16</v>
      </c>
      <c r="P222" s="22"/>
      <c r="Q222" s="22" t="s">
        <v>8724</v>
      </c>
      <c r="R222" s="22"/>
    </row>
    <row r="223" customFormat="false" ht="15" hidden="false" customHeight="false" outlineLevel="0" collapsed="false">
      <c r="A223" s="22" t="s">
        <v>8908</v>
      </c>
      <c r="B223" s="23" t="n">
        <v>44790</v>
      </c>
      <c r="C223" s="22" t="s">
        <v>5863</v>
      </c>
      <c r="D223" s="22" t="n">
        <v>2562</v>
      </c>
      <c r="E223" s="22" t="s">
        <v>7684</v>
      </c>
      <c r="F223" s="22" t="s">
        <v>159</v>
      </c>
      <c r="G223" s="22" t="n">
        <v>24</v>
      </c>
      <c r="H223" s="22" t="s">
        <v>6575</v>
      </c>
      <c r="I223" s="22" t="s">
        <v>8601</v>
      </c>
      <c r="J223" s="22" t="n">
        <v>10.4</v>
      </c>
      <c r="K223" s="22" t="n">
        <v>2</v>
      </c>
      <c r="L223" s="22" t="s">
        <v>8629</v>
      </c>
      <c r="M223" s="23" t="n">
        <v>44800</v>
      </c>
      <c r="N223" s="23" t="n">
        <v>44803</v>
      </c>
      <c r="O223" s="22" t="n">
        <v>13</v>
      </c>
      <c r="P223" s="22"/>
      <c r="Q223" s="22"/>
      <c r="R223" s="22"/>
    </row>
    <row r="224" customFormat="false" ht="15" hidden="false" customHeight="false" outlineLevel="0" collapsed="false">
      <c r="A224" s="22" t="s">
        <v>8909</v>
      </c>
      <c r="B224" s="23" t="n">
        <v>44782</v>
      </c>
      <c r="C224" s="22" t="s">
        <v>5371</v>
      </c>
      <c r="D224" s="22" t="n">
        <v>2316</v>
      </c>
      <c r="E224" s="22" t="s">
        <v>7995</v>
      </c>
      <c r="F224" s="22" t="s">
        <v>215</v>
      </c>
      <c r="G224" s="22" t="n">
        <v>32</v>
      </c>
      <c r="H224" s="22" t="s">
        <v>7696</v>
      </c>
      <c r="I224" s="22" t="s">
        <v>8601</v>
      </c>
      <c r="J224" s="22" t="n">
        <v>7.55</v>
      </c>
      <c r="K224" s="22" t="n">
        <v>1</v>
      </c>
      <c r="L224" s="22" t="s">
        <v>8605</v>
      </c>
      <c r="M224" s="23" t="n">
        <v>44796</v>
      </c>
      <c r="N224" s="23" t="n">
        <v>44798</v>
      </c>
      <c r="O224" s="22" t="n">
        <v>16</v>
      </c>
      <c r="P224" s="22"/>
      <c r="Q224" s="22" t="s">
        <v>8668</v>
      </c>
      <c r="R224" s="22"/>
    </row>
    <row r="225" customFormat="false" ht="15" hidden="false" customHeight="false" outlineLevel="0" collapsed="false">
      <c r="A225" s="22" t="s">
        <v>8910</v>
      </c>
      <c r="B225" s="23" t="n">
        <v>44778</v>
      </c>
      <c r="C225" s="22" t="s">
        <v>1310</v>
      </c>
      <c r="D225" s="22" t="n">
        <v>421</v>
      </c>
      <c r="E225" s="22" t="s">
        <v>8494</v>
      </c>
      <c r="F225" s="22" t="s">
        <v>188</v>
      </c>
      <c r="G225" s="22" t="n">
        <v>36</v>
      </c>
      <c r="H225" s="22" t="s">
        <v>7696</v>
      </c>
      <c r="I225" s="22" t="s">
        <v>8601</v>
      </c>
      <c r="J225" s="22" t="n">
        <v>7.55</v>
      </c>
      <c r="K225" s="22" t="n">
        <v>2</v>
      </c>
      <c r="L225" s="22" t="s">
        <v>8605</v>
      </c>
      <c r="M225" s="23" t="n">
        <v>44792</v>
      </c>
      <c r="N225" s="23" t="n">
        <v>44782</v>
      </c>
      <c r="O225" s="22" t="n">
        <v>4</v>
      </c>
      <c r="P225" s="22"/>
      <c r="Q225" s="22" t="s">
        <v>8881</v>
      </c>
      <c r="R225" s="22"/>
    </row>
    <row r="226" customFormat="false" ht="15" hidden="false" customHeight="false" outlineLevel="0" collapsed="false">
      <c r="A226" s="22" t="s">
        <v>8911</v>
      </c>
      <c r="B226" s="23" t="n">
        <v>44822</v>
      </c>
      <c r="C226" s="22" t="s">
        <v>4707</v>
      </c>
      <c r="D226" s="22" t="n">
        <v>1987</v>
      </c>
      <c r="E226" s="22" t="s">
        <v>7327</v>
      </c>
      <c r="F226" s="22" t="s">
        <v>159</v>
      </c>
      <c r="G226" s="22" t="n">
        <v>24</v>
      </c>
      <c r="H226" s="22" t="s">
        <v>6575</v>
      </c>
      <c r="I226" s="22" t="s">
        <v>8601</v>
      </c>
      <c r="J226" s="22" t="n">
        <v>10.4</v>
      </c>
      <c r="K226" s="22" t="n">
        <v>1</v>
      </c>
      <c r="L226" s="22" t="s">
        <v>8605</v>
      </c>
      <c r="M226" s="23" t="n">
        <v>44832</v>
      </c>
      <c r="N226" s="23" t="n">
        <v>44824</v>
      </c>
      <c r="O226" s="22" t="n">
        <v>2</v>
      </c>
      <c r="P226" s="22"/>
      <c r="Q226" s="22" t="s">
        <v>8912</v>
      </c>
      <c r="R226" s="22"/>
    </row>
    <row r="227" customFormat="false" ht="15" hidden="false" customHeight="false" outlineLevel="0" collapsed="false">
      <c r="A227" s="22" t="s">
        <v>8913</v>
      </c>
      <c r="B227" s="23" t="n">
        <v>44811</v>
      </c>
      <c r="C227" s="22" t="s">
        <v>1640</v>
      </c>
      <c r="D227" s="22" t="n">
        <v>561</v>
      </c>
      <c r="E227" s="22" t="s">
        <v>7338</v>
      </c>
      <c r="F227" s="22" t="s">
        <v>159</v>
      </c>
      <c r="G227" s="22" t="n">
        <v>36</v>
      </c>
      <c r="H227" s="22" t="s">
        <v>6575</v>
      </c>
      <c r="I227" s="22" t="s">
        <v>8601</v>
      </c>
      <c r="J227" s="22" t="n">
        <v>10.4</v>
      </c>
      <c r="K227" s="22" t="n">
        <v>1</v>
      </c>
      <c r="L227" s="22" t="s">
        <v>8729</v>
      </c>
      <c r="M227" s="23" t="n">
        <v>44821</v>
      </c>
      <c r="N227" s="23" t="n">
        <v>44819</v>
      </c>
      <c r="O227" s="22" t="n">
        <v>8</v>
      </c>
      <c r="P227" s="22"/>
      <c r="Q227" s="22"/>
      <c r="R227" s="22"/>
    </row>
    <row r="228" customFormat="false" ht="15" hidden="false" customHeight="false" outlineLevel="0" collapsed="false">
      <c r="A228" s="22" t="s">
        <v>8914</v>
      </c>
      <c r="B228" s="23" t="n">
        <v>44819</v>
      </c>
      <c r="C228" s="22" t="s">
        <v>6552</v>
      </c>
      <c r="D228" s="22" t="n">
        <v>2909</v>
      </c>
      <c r="E228" s="22" t="s">
        <v>8297</v>
      </c>
      <c r="F228" s="22" t="s">
        <v>499</v>
      </c>
      <c r="G228" s="22" t="n">
        <v>24</v>
      </c>
      <c r="H228" s="22" t="s">
        <v>7696</v>
      </c>
      <c r="I228" s="22" t="s">
        <v>8601</v>
      </c>
      <c r="J228" s="22" t="n">
        <v>7.55</v>
      </c>
      <c r="K228" s="22" t="n">
        <v>2</v>
      </c>
      <c r="L228" s="22" t="s">
        <v>8629</v>
      </c>
      <c r="M228" s="23" t="n">
        <v>44833</v>
      </c>
      <c r="N228" s="23" t="n">
        <v>44828</v>
      </c>
      <c r="O228" s="22" t="n">
        <v>9</v>
      </c>
      <c r="P228" s="22"/>
      <c r="Q228" s="22"/>
      <c r="R228" s="22"/>
    </row>
    <row r="229" customFormat="false" ht="15" hidden="false" customHeight="false" outlineLevel="0" collapsed="false">
      <c r="A229" s="22" t="s">
        <v>8915</v>
      </c>
      <c r="B229" s="23" t="n">
        <v>44808</v>
      </c>
      <c r="C229" s="22" t="s">
        <v>3963</v>
      </c>
      <c r="D229" s="22" t="n">
        <v>1625</v>
      </c>
      <c r="E229" s="22" t="s">
        <v>6854</v>
      </c>
      <c r="F229" s="22" t="s">
        <v>198</v>
      </c>
      <c r="G229" s="22" t="n">
        <v>40</v>
      </c>
      <c r="H229" s="22" t="s">
        <v>6575</v>
      </c>
      <c r="I229" s="22" t="s">
        <v>8601</v>
      </c>
      <c r="J229" s="22" t="n">
        <v>10.4</v>
      </c>
      <c r="K229" s="22" t="n">
        <v>2</v>
      </c>
      <c r="L229" s="22" t="s">
        <v>8605</v>
      </c>
      <c r="M229" s="23" t="n">
        <v>44818</v>
      </c>
      <c r="N229" s="23" t="n">
        <v>44815</v>
      </c>
      <c r="O229" s="22" t="n">
        <v>7</v>
      </c>
      <c r="P229" s="22"/>
      <c r="Q229" s="22" t="s">
        <v>8700</v>
      </c>
      <c r="R229" s="22"/>
    </row>
    <row r="230" customFormat="false" ht="15" hidden="false" customHeight="false" outlineLevel="0" collapsed="false">
      <c r="A230" s="22" t="s">
        <v>8916</v>
      </c>
      <c r="B230" s="23" t="n">
        <v>44831</v>
      </c>
      <c r="C230" s="22" t="s">
        <v>4056</v>
      </c>
      <c r="D230" s="22" t="n">
        <v>1670</v>
      </c>
      <c r="E230" s="22" t="s">
        <v>8045</v>
      </c>
      <c r="F230" s="22" t="s">
        <v>499</v>
      </c>
      <c r="G230" s="22" t="n">
        <v>28</v>
      </c>
      <c r="H230" s="22" t="s">
        <v>7696</v>
      </c>
      <c r="I230" s="22" t="s">
        <v>8601</v>
      </c>
      <c r="J230" s="22" t="n">
        <v>7.55</v>
      </c>
      <c r="K230" s="22" t="n">
        <v>2</v>
      </c>
      <c r="L230" s="22" t="s">
        <v>8602</v>
      </c>
      <c r="M230" s="23" t="n">
        <v>44845</v>
      </c>
      <c r="N230" s="22"/>
      <c r="O230" s="22"/>
      <c r="P230" s="22" t="s">
        <v>8603</v>
      </c>
      <c r="Q230" s="22"/>
      <c r="R230" s="22"/>
    </row>
    <row r="231" customFormat="false" ht="15" hidden="false" customHeight="false" outlineLevel="0" collapsed="false">
      <c r="A231" s="22" t="s">
        <v>8917</v>
      </c>
      <c r="B231" s="23" t="n">
        <v>44811</v>
      </c>
      <c r="C231" s="22" t="s">
        <v>3888</v>
      </c>
      <c r="D231" s="22" t="n">
        <v>1588</v>
      </c>
      <c r="E231" s="22" t="s">
        <v>8157</v>
      </c>
      <c r="F231" s="22" t="s">
        <v>499</v>
      </c>
      <c r="G231" s="22" t="n">
        <v>80</v>
      </c>
      <c r="H231" s="22" t="s">
        <v>7696</v>
      </c>
      <c r="I231" s="22" t="s">
        <v>8601</v>
      </c>
      <c r="J231" s="22" t="n">
        <v>7.55</v>
      </c>
      <c r="K231" s="22" t="n">
        <v>1</v>
      </c>
      <c r="L231" s="22" t="s">
        <v>8605</v>
      </c>
      <c r="M231" s="23" t="n">
        <v>44825</v>
      </c>
      <c r="N231" s="23" t="n">
        <v>44827</v>
      </c>
      <c r="O231" s="22" t="n">
        <v>16</v>
      </c>
      <c r="P231" s="22"/>
      <c r="Q231" s="22" t="s">
        <v>8918</v>
      </c>
      <c r="R231" s="22"/>
    </row>
    <row r="232" customFormat="false" ht="15" hidden="false" customHeight="false" outlineLevel="0" collapsed="false">
      <c r="A232" s="22" t="s">
        <v>8919</v>
      </c>
      <c r="B232" s="23" t="n">
        <v>44818</v>
      </c>
      <c r="C232" s="22" t="s">
        <v>2659</v>
      </c>
      <c r="D232" s="22" t="n">
        <v>1008</v>
      </c>
      <c r="E232" s="22" t="s">
        <v>7047</v>
      </c>
      <c r="F232" s="22" t="s">
        <v>198</v>
      </c>
      <c r="G232" s="22" t="n">
        <v>32</v>
      </c>
      <c r="H232" s="22" t="s">
        <v>6575</v>
      </c>
      <c r="I232" s="22" t="s">
        <v>8601</v>
      </c>
      <c r="J232" s="22" t="n">
        <v>10.4</v>
      </c>
      <c r="K232" s="22" t="n">
        <v>2</v>
      </c>
      <c r="L232" s="22" t="s">
        <v>8605</v>
      </c>
      <c r="M232" s="23" t="n">
        <v>44828</v>
      </c>
      <c r="N232" s="23" t="n">
        <v>44828</v>
      </c>
      <c r="O232" s="22" t="n">
        <v>10</v>
      </c>
      <c r="P232" s="22"/>
      <c r="Q232" s="22" t="s">
        <v>8920</v>
      </c>
      <c r="R232" s="22"/>
    </row>
    <row r="233" customFormat="false" ht="15" hidden="false" customHeight="false" outlineLevel="0" collapsed="false">
      <c r="A233" s="22" t="s">
        <v>8921</v>
      </c>
      <c r="B233" s="23" t="n">
        <v>44829</v>
      </c>
      <c r="C233" s="22" t="s">
        <v>3297</v>
      </c>
      <c r="D233" s="22" t="n">
        <v>1300</v>
      </c>
      <c r="E233" s="22" t="s">
        <v>7088</v>
      </c>
      <c r="F233" s="22" t="s">
        <v>198</v>
      </c>
      <c r="G233" s="22" t="n">
        <v>36</v>
      </c>
      <c r="H233" s="22" t="s">
        <v>6575</v>
      </c>
      <c r="I233" s="22" t="s">
        <v>8601</v>
      </c>
      <c r="J233" s="22" t="n">
        <v>10.4</v>
      </c>
      <c r="K233" s="22" t="n">
        <v>2</v>
      </c>
      <c r="L233" s="22" t="s">
        <v>8729</v>
      </c>
      <c r="M233" s="23" t="n">
        <v>44839</v>
      </c>
      <c r="N233" s="23" t="n">
        <v>44831</v>
      </c>
      <c r="O233" s="22" t="n">
        <v>2</v>
      </c>
      <c r="P233" s="22"/>
      <c r="Q233" s="22"/>
      <c r="R233" s="22"/>
    </row>
    <row r="234" customFormat="false" ht="15" hidden="false" customHeight="false" outlineLevel="0" collapsed="false">
      <c r="A234" s="22" t="s">
        <v>8922</v>
      </c>
      <c r="B234" s="23" t="n">
        <v>44831</v>
      </c>
      <c r="C234" s="22" t="s">
        <v>3379</v>
      </c>
      <c r="D234" s="22" t="n">
        <v>1340</v>
      </c>
      <c r="E234" s="22" t="s">
        <v>7798</v>
      </c>
      <c r="F234" s="22" t="s">
        <v>215</v>
      </c>
      <c r="G234" s="22" t="n">
        <v>36</v>
      </c>
      <c r="H234" s="22" t="s">
        <v>7696</v>
      </c>
      <c r="I234" s="22" t="s">
        <v>8601</v>
      </c>
      <c r="J234" s="22" t="n">
        <v>7.55</v>
      </c>
      <c r="K234" s="22" t="n">
        <v>1</v>
      </c>
      <c r="L234" s="22" t="s">
        <v>8613</v>
      </c>
      <c r="M234" s="23" t="n">
        <v>44845</v>
      </c>
      <c r="N234" s="22"/>
      <c r="O234" s="22"/>
      <c r="P234" s="22"/>
      <c r="Q234" s="22"/>
      <c r="R234" s="22"/>
    </row>
    <row r="235" customFormat="false" ht="15" hidden="false" customHeight="false" outlineLevel="0" collapsed="false">
      <c r="A235" s="22" t="s">
        <v>8923</v>
      </c>
      <c r="B235" s="23" t="n">
        <v>44828</v>
      </c>
      <c r="C235" s="22" t="s">
        <v>4125</v>
      </c>
      <c r="D235" s="22" t="n">
        <v>1704</v>
      </c>
      <c r="E235" s="22" t="s">
        <v>7537</v>
      </c>
      <c r="F235" s="22" t="s">
        <v>159</v>
      </c>
      <c r="G235" s="22" t="n">
        <v>24</v>
      </c>
      <c r="H235" s="22" t="s">
        <v>6575</v>
      </c>
      <c r="I235" s="22" t="s">
        <v>8601</v>
      </c>
      <c r="J235" s="22" t="n">
        <v>10.4</v>
      </c>
      <c r="K235" s="22" t="n">
        <v>2</v>
      </c>
      <c r="L235" s="22" t="s">
        <v>8605</v>
      </c>
      <c r="M235" s="23" t="n">
        <v>44838</v>
      </c>
      <c r="N235" s="23" t="n">
        <v>44835</v>
      </c>
      <c r="O235" s="22" t="n">
        <v>7</v>
      </c>
      <c r="P235" s="22"/>
      <c r="Q235" s="22" t="s">
        <v>8924</v>
      </c>
      <c r="R235" s="22"/>
    </row>
    <row r="236" customFormat="false" ht="15" hidden="false" customHeight="false" outlineLevel="0" collapsed="false">
      <c r="A236" s="22" t="s">
        <v>8925</v>
      </c>
      <c r="B236" s="23" t="n">
        <v>44832</v>
      </c>
      <c r="C236" s="22" t="s">
        <v>3003</v>
      </c>
      <c r="D236" s="22" t="n">
        <v>1164</v>
      </c>
      <c r="E236" s="22" t="s">
        <v>7627</v>
      </c>
      <c r="F236" s="22" t="s">
        <v>159</v>
      </c>
      <c r="G236" s="22" t="n">
        <v>28</v>
      </c>
      <c r="H236" s="22" t="s">
        <v>6575</v>
      </c>
      <c r="I236" s="22" t="s">
        <v>8601</v>
      </c>
      <c r="J236" s="22" t="n">
        <v>10.4</v>
      </c>
      <c r="K236" s="22" t="n">
        <v>1</v>
      </c>
      <c r="L236" s="22" t="s">
        <v>157</v>
      </c>
      <c r="M236" s="23" t="n">
        <v>44842</v>
      </c>
      <c r="N236" s="23" t="n">
        <v>44845</v>
      </c>
      <c r="O236" s="22" t="n">
        <v>13</v>
      </c>
      <c r="P236" s="22"/>
      <c r="Q236" s="22"/>
      <c r="R236" s="22"/>
    </row>
    <row r="237" customFormat="false" ht="15" hidden="false" customHeight="false" outlineLevel="0" collapsed="false">
      <c r="A237" s="22" t="s">
        <v>8926</v>
      </c>
      <c r="B237" s="23" t="n">
        <v>44808</v>
      </c>
      <c r="C237" s="22" t="s">
        <v>4688</v>
      </c>
      <c r="D237" s="22" t="n">
        <v>1978</v>
      </c>
      <c r="E237" s="22" t="s">
        <v>8149</v>
      </c>
      <c r="F237" s="22" t="s">
        <v>499</v>
      </c>
      <c r="G237" s="22" t="n">
        <v>24</v>
      </c>
      <c r="H237" s="22" t="s">
        <v>7696</v>
      </c>
      <c r="I237" s="22" t="s">
        <v>8601</v>
      </c>
      <c r="J237" s="22" t="n">
        <v>7.55</v>
      </c>
      <c r="K237" s="22" t="n">
        <v>2</v>
      </c>
      <c r="L237" s="22" t="s">
        <v>8602</v>
      </c>
      <c r="M237" s="23" t="n">
        <v>44822</v>
      </c>
      <c r="N237" s="22"/>
      <c r="O237" s="22"/>
      <c r="P237" s="22" t="s">
        <v>8603</v>
      </c>
      <c r="Q237" s="22"/>
      <c r="R237" s="22"/>
    </row>
    <row r="238" customFormat="false" ht="15" hidden="false" customHeight="false" outlineLevel="0" collapsed="false">
      <c r="A238" s="22" t="s">
        <v>8927</v>
      </c>
      <c r="B238" s="23" t="n">
        <v>44807</v>
      </c>
      <c r="C238" s="22" t="s">
        <v>4759</v>
      </c>
      <c r="D238" s="22" t="n">
        <v>2013</v>
      </c>
      <c r="E238" s="22" t="s">
        <v>8057</v>
      </c>
      <c r="F238" s="22" t="s">
        <v>499</v>
      </c>
      <c r="G238" s="22" t="n">
        <v>60</v>
      </c>
      <c r="H238" s="22" t="s">
        <v>7696</v>
      </c>
      <c r="I238" s="22" t="s">
        <v>8601</v>
      </c>
      <c r="J238" s="22" t="n">
        <v>7.55</v>
      </c>
      <c r="K238" s="22" t="n">
        <v>1</v>
      </c>
      <c r="L238" s="22" t="s">
        <v>8605</v>
      </c>
      <c r="M238" s="23" t="n">
        <v>44821</v>
      </c>
      <c r="N238" s="23" t="n">
        <v>44817</v>
      </c>
      <c r="O238" s="22" t="n">
        <v>10</v>
      </c>
      <c r="P238" s="22"/>
      <c r="Q238" s="22" t="s">
        <v>8928</v>
      </c>
      <c r="R238" s="22"/>
    </row>
    <row r="239" customFormat="false" ht="15" hidden="false" customHeight="false" outlineLevel="0" collapsed="false">
      <c r="A239" s="22" t="s">
        <v>8929</v>
      </c>
      <c r="B239" s="23" t="n">
        <v>44829</v>
      </c>
      <c r="C239" s="22" t="s">
        <v>3280</v>
      </c>
      <c r="D239" s="22" t="n">
        <v>1292</v>
      </c>
      <c r="E239" s="22" t="s">
        <v>8362</v>
      </c>
      <c r="F239" s="22" t="s">
        <v>188</v>
      </c>
      <c r="G239" s="22" t="n">
        <v>32</v>
      </c>
      <c r="H239" s="22" t="s">
        <v>7696</v>
      </c>
      <c r="I239" s="22" t="s">
        <v>8601</v>
      </c>
      <c r="J239" s="22" t="n">
        <v>7.55</v>
      </c>
      <c r="K239" s="22" t="n">
        <v>2</v>
      </c>
      <c r="L239" s="22" t="s">
        <v>8602</v>
      </c>
      <c r="M239" s="23" t="n">
        <v>44843</v>
      </c>
      <c r="N239" s="22"/>
      <c r="O239" s="22"/>
      <c r="P239" s="22" t="s">
        <v>8618</v>
      </c>
      <c r="Q239" s="22"/>
      <c r="R239" s="22"/>
    </row>
    <row r="240" customFormat="false" ht="15" hidden="false" customHeight="false" outlineLevel="0" collapsed="false">
      <c r="A240" s="22" t="s">
        <v>8930</v>
      </c>
      <c r="B240" s="23" t="n">
        <v>44817</v>
      </c>
      <c r="C240" s="22" t="s">
        <v>1478</v>
      </c>
      <c r="D240" s="22" t="n">
        <v>492</v>
      </c>
      <c r="E240" s="22" t="s">
        <v>8233</v>
      </c>
      <c r="F240" s="22" t="s">
        <v>499</v>
      </c>
      <c r="G240" s="22" t="n">
        <v>32</v>
      </c>
      <c r="H240" s="22" t="s">
        <v>7696</v>
      </c>
      <c r="I240" s="22" t="s">
        <v>8601</v>
      </c>
      <c r="J240" s="22" t="n">
        <v>7.55</v>
      </c>
      <c r="K240" s="22" t="n">
        <v>2</v>
      </c>
      <c r="L240" s="22" t="s">
        <v>8602</v>
      </c>
      <c r="M240" s="23" t="n">
        <v>44831</v>
      </c>
      <c r="N240" s="22"/>
      <c r="O240" s="22"/>
      <c r="P240" s="22" t="s">
        <v>8603</v>
      </c>
      <c r="Q240" s="22"/>
      <c r="R240" s="22"/>
    </row>
    <row r="241" customFormat="false" ht="15" hidden="false" customHeight="false" outlineLevel="0" collapsed="false">
      <c r="A241" s="22" t="s">
        <v>8931</v>
      </c>
      <c r="B241" s="23" t="n">
        <v>44817</v>
      </c>
      <c r="C241" s="22" t="s">
        <v>1072</v>
      </c>
      <c r="D241" s="22" t="n">
        <v>326</v>
      </c>
      <c r="E241" s="22" t="s">
        <v>7616</v>
      </c>
      <c r="F241" s="22" t="s">
        <v>159</v>
      </c>
      <c r="G241" s="22" t="n">
        <v>40</v>
      </c>
      <c r="H241" s="22" t="s">
        <v>6575</v>
      </c>
      <c r="I241" s="22" t="s">
        <v>8601</v>
      </c>
      <c r="J241" s="22" t="n">
        <v>10.4</v>
      </c>
      <c r="K241" s="22" t="n">
        <v>2</v>
      </c>
      <c r="L241" s="22" t="s">
        <v>8602</v>
      </c>
      <c r="M241" s="23" t="n">
        <v>44827</v>
      </c>
      <c r="N241" s="22"/>
      <c r="O241" s="22"/>
      <c r="P241" s="22" t="s">
        <v>8637</v>
      </c>
      <c r="Q241" s="22"/>
      <c r="R241" s="22"/>
    </row>
    <row r="242" customFormat="false" ht="15" hidden="false" customHeight="false" outlineLevel="0" collapsed="false">
      <c r="A242" s="22" t="s">
        <v>8932</v>
      </c>
      <c r="B242" s="23" t="n">
        <v>44816</v>
      </c>
      <c r="C242" s="22" t="s">
        <v>3233</v>
      </c>
      <c r="D242" s="22" t="n">
        <v>1270</v>
      </c>
      <c r="E242" s="22" t="s">
        <v>7304</v>
      </c>
      <c r="F242" s="22" t="s">
        <v>159</v>
      </c>
      <c r="G242" s="22" t="n">
        <v>24</v>
      </c>
      <c r="H242" s="22" t="s">
        <v>6575</v>
      </c>
      <c r="I242" s="22" t="s">
        <v>8601</v>
      </c>
      <c r="J242" s="22" t="n">
        <v>10.4</v>
      </c>
      <c r="K242" s="22" t="n">
        <v>1</v>
      </c>
      <c r="L242" s="22" t="s">
        <v>8608</v>
      </c>
      <c r="M242" s="23" t="n">
        <v>44826</v>
      </c>
      <c r="N242" s="23" t="n">
        <v>44822</v>
      </c>
      <c r="O242" s="22" t="n">
        <v>6</v>
      </c>
      <c r="P242" s="22"/>
      <c r="Q242" s="22"/>
      <c r="R242" s="22"/>
    </row>
    <row r="243" customFormat="false" ht="15" hidden="false" customHeight="false" outlineLevel="0" collapsed="false">
      <c r="A243" s="22" t="s">
        <v>8933</v>
      </c>
      <c r="B243" s="23" t="n">
        <v>44806</v>
      </c>
      <c r="C243" s="22" t="s">
        <v>2189</v>
      </c>
      <c r="D243" s="22" t="n">
        <v>796</v>
      </c>
      <c r="E243" s="22" t="s">
        <v>8026</v>
      </c>
      <c r="F243" s="22" t="s">
        <v>215</v>
      </c>
      <c r="G243" s="22" t="n">
        <v>70</v>
      </c>
      <c r="H243" s="22" t="s">
        <v>7696</v>
      </c>
      <c r="I243" s="22" t="s">
        <v>8601</v>
      </c>
      <c r="J243" s="22" t="n">
        <v>7.55</v>
      </c>
      <c r="K243" s="22" t="n">
        <v>1</v>
      </c>
      <c r="L243" s="22" t="s">
        <v>8605</v>
      </c>
      <c r="M243" s="23" t="n">
        <v>44820</v>
      </c>
      <c r="N243" s="23" t="n">
        <v>44817</v>
      </c>
      <c r="O243" s="22" t="n">
        <v>11</v>
      </c>
      <c r="P243" s="22"/>
      <c r="Q243" s="22" t="s">
        <v>8934</v>
      </c>
      <c r="R243" s="22"/>
    </row>
    <row r="244" customFormat="false" ht="15" hidden="false" customHeight="false" outlineLevel="0" collapsed="false">
      <c r="A244" s="22" t="s">
        <v>8935</v>
      </c>
      <c r="B244" s="23" t="n">
        <v>44811</v>
      </c>
      <c r="C244" s="22" t="s">
        <v>5515</v>
      </c>
      <c r="D244" s="22" t="n">
        <v>2389</v>
      </c>
      <c r="E244" s="22" t="s">
        <v>8336</v>
      </c>
      <c r="F244" s="22" t="s">
        <v>499</v>
      </c>
      <c r="G244" s="22" t="n">
        <v>36</v>
      </c>
      <c r="H244" s="22" t="s">
        <v>7696</v>
      </c>
      <c r="I244" s="22" t="s">
        <v>8601</v>
      </c>
      <c r="J244" s="22" t="n">
        <v>7.55</v>
      </c>
      <c r="K244" s="22" t="n">
        <v>1</v>
      </c>
      <c r="L244" s="22" t="s">
        <v>8629</v>
      </c>
      <c r="M244" s="23" t="n">
        <v>44825</v>
      </c>
      <c r="N244" s="23" t="n">
        <v>44813</v>
      </c>
      <c r="O244" s="22" t="n">
        <v>2</v>
      </c>
      <c r="P244" s="22"/>
      <c r="Q244" s="22"/>
      <c r="R244" s="22"/>
    </row>
    <row r="245" customFormat="false" ht="15" hidden="false" customHeight="false" outlineLevel="0" collapsed="false">
      <c r="A245" s="22" t="s">
        <v>8936</v>
      </c>
      <c r="B245" s="23" t="n">
        <v>44820</v>
      </c>
      <c r="C245" s="22" t="s">
        <v>2041</v>
      </c>
      <c r="D245" s="22" t="n">
        <v>729</v>
      </c>
      <c r="E245" s="22" t="s">
        <v>8030</v>
      </c>
      <c r="F245" s="22" t="s">
        <v>215</v>
      </c>
      <c r="G245" s="22" t="n">
        <v>60</v>
      </c>
      <c r="H245" s="22" t="s">
        <v>7696</v>
      </c>
      <c r="I245" s="22" t="s">
        <v>8601</v>
      </c>
      <c r="J245" s="22" t="n">
        <v>7.55</v>
      </c>
      <c r="K245" s="22" t="n">
        <v>1</v>
      </c>
      <c r="L245" s="22" t="s">
        <v>8602</v>
      </c>
      <c r="M245" s="23" t="n">
        <v>44834</v>
      </c>
      <c r="N245" s="22"/>
      <c r="O245" s="22"/>
      <c r="P245" s="22" t="s">
        <v>8637</v>
      </c>
      <c r="Q245" s="22"/>
      <c r="R245" s="22"/>
    </row>
    <row r="246" customFormat="false" ht="15" hidden="false" customHeight="false" outlineLevel="0" collapsed="false">
      <c r="A246" s="22" t="s">
        <v>8937</v>
      </c>
      <c r="B246" s="23" t="n">
        <v>44825</v>
      </c>
      <c r="C246" s="22" t="s">
        <v>1741</v>
      </c>
      <c r="D246" s="22" t="n">
        <v>603</v>
      </c>
      <c r="E246" s="22" t="s">
        <v>8152</v>
      </c>
      <c r="F246" s="22" t="s">
        <v>499</v>
      </c>
      <c r="G246" s="22" t="n">
        <v>32</v>
      </c>
      <c r="H246" s="22" t="s">
        <v>7696</v>
      </c>
      <c r="I246" s="22" t="s">
        <v>8601</v>
      </c>
      <c r="J246" s="22" t="n">
        <v>7.55</v>
      </c>
      <c r="K246" s="22" t="n">
        <v>2</v>
      </c>
      <c r="L246" s="22" t="s">
        <v>8605</v>
      </c>
      <c r="M246" s="23" t="n">
        <v>44839</v>
      </c>
      <c r="N246" s="23" t="n">
        <v>44828</v>
      </c>
      <c r="O246" s="22" t="n">
        <v>3</v>
      </c>
      <c r="P246" s="22"/>
      <c r="Q246" s="22" t="s">
        <v>8938</v>
      </c>
      <c r="R246" s="22"/>
    </row>
    <row r="247" customFormat="false" ht="15" hidden="false" customHeight="false" outlineLevel="0" collapsed="false">
      <c r="A247" s="22" t="s">
        <v>8939</v>
      </c>
      <c r="B247" s="23" t="n">
        <v>44818</v>
      </c>
      <c r="C247" s="22" t="s">
        <v>2450</v>
      </c>
      <c r="D247" s="22" t="n">
        <v>915</v>
      </c>
      <c r="E247" s="22" t="s">
        <v>7982</v>
      </c>
      <c r="F247" s="22" t="s">
        <v>215</v>
      </c>
      <c r="G247" s="22" t="n">
        <v>60</v>
      </c>
      <c r="H247" s="22" t="s">
        <v>7696</v>
      </c>
      <c r="I247" s="22" t="s">
        <v>8601</v>
      </c>
      <c r="J247" s="22" t="n">
        <v>7.55</v>
      </c>
      <c r="K247" s="22" t="n">
        <v>1</v>
      </c>
      <c r="L247" s="22" t="s">
        <v>8602</v>
      </c>
      <c r="M247" s="23" t="n">
        <v>44832</v>
      </c>
      <c r="N247" s="22"/>
      <c r="O247" s="22"/>
      <c r="P247" s="22" t="s">
        <v>8603</v>
      </c>
      <c r="Q247" s="22"/>
      <c r="R247" s="22"/>
    </row>
    <row r="248" customFormat="false" ht="15" hidden="false" customHeight="false" outlineLevel="0" collapsed="false">
      <c r="A248" s="22" t="s">
        <v>8940</v>
      </c>
      <c r="B248" s="23" t="n">
        <v>44822</v>
      </c>
      <c r="C248" s="22" t="s">
        <v>3295</v>
      </c>
      <c r="D248" s="22" t="n">
        <v>1299</v>
      </c>
      <c r="E248" s="22" t="s">
        <v>7778</v>
      </c>
      <c r="F248" s="22" t="s">
        <v>215</v>
      </c>
      <c r="G248" s="22" t="n">
        <v>70</v>
      </c>
      <c r="H248" s="22" t="s">
        <v>7696</v>
      </c>
      <c r="I248" s="22" t="s">
        <v>8601</v>
      </c>
      <c r="J248" s="22" t="n">
        <v>7.55</v>
      </c>
      <c r="K248" s="22" t="n">
        <v>2</v>
      </c>
      <c r="L248" s="22" t="s">
        <v>8629</v>
      </c>
      <c r="M248" s="23" t="n">
        <v>44836</v>
      </c>
      <c r="N248" s="23" t="n">
        <v>44828</v>
      </c>
      <c r="O248" s="22" t="n">
        <v>6</v>
      </c>
      <c r="P248" s="22"/>
      <c r="Q248" s="22"/>
      <c r="R248" s="22"/>
    </row>
    <row r="249" customFormat="false" ht="15" hidden="false" customHeight="false" outlineLevel="0" collapsed="false">
      <c r="A249" s="22" t="s">
        <v>8941</v>
      </c>
      <c r="B249" s="23" t="n">
        <v>44818</v>
      </c>
      <c r="C249" s="22" t="s">
        <v>1354</v>
      </c>
      <c r="D249" s="22" t="n">
        <v>440</v>
      </c>
      <c r="E249" s="22" t="s">
        <v>7922</v>
      </c>
      <c r="F249" s="22" t="s">
        <v>215</v>
      </c>
      <c r="G249" s="22" t="n">
        <v>36</v>
      </c>
      <c r="H249" s="22" t="s">
        <v>7696</v>
      </c>
      <c r="I249" s="22" t="s">
        <v>8601</v>
      </c>
      <c r="J249" s="22" t="n">
        <v>7.55</v>
      </c>
      <c r="K249" s="22" t="n">
        <v>1</v>
      </c>
      <c r="L249" s="22" t="s">
        <v>8602</v>
      </c>
      <c r="M249" s="23" t="n">
        <v>44832</v>
      </c>
      <c r="N249" s="22"/>
      <c r="O249" s="22"/>
      <c r="P249" s="22" t="s">
        <v>8603</v>
      </c>
      <c r="Q249" s="22"/>
      <c r="R249" s="22"/>
    </row>
    <row r="250" customFormat="false" ht="15" hidden="false" customHeight="false" outlineLevel="0" collapsed="false">
      <c r="A250" s="22" t="s">
        <v>8942</v>
      </c>
      <c r="B250" s="23" t="n">
        <v>44813</v>
      </c>
      <c r="C250" s="22" t="s">
        <v>6424</v>
      </c>
      <c r="D250" s="22" t="n">
        <v>2845</v>
      </c>
      <c r="E250" s="22" t="s">
        <v>7790</v>
      </c>
      <c r="F250" s="22" t="s">
        <v>215</v>
      </c>
      <c r="G250" s="22" t="n">
        <v>36</v>
      </c>
      <c r="H250" s="22" t="s">
        <v>7696</v>
      </c>
      <c r="I250" s="22" t="s">
        <v>8601</v>
      </c>
      <c r="J250" s="22" t="n">
        <v>7.55</v>
      </c>
      <c r="K250" s="22" t="n">
        <v>1</v>
      </c>
      <c r="L250" s="22" t="s">
        <v>8605</v>
      </c>
      <c r="M250" s="23" t="n">
        <v>44827</v>
      </c>
      <c r="N250" s="23" t="n">
        <v>44819</v>
      </c>
      <c r="O250" s="22" t="n">
        <v>6</v>
      </c>
      <c r="P250" s="22"/>
      <c r="Q250" s="22" t="s">
        <v>8943</v>
      </c>
      <c r="R250" s="22"/>
    </row>
    <row r="251" customFormat="false" ht="15" hidden="false" customHeight="false" outlineLevel="0" collapsed="false">
      <c r="A251" s="22" t="s">
        <v>8944</v>
      </c>
      <c r="B251" s="23" t="n">
        <v>44810</v>
      </c>
      <c r="C251" s="22" t="s">
        <v>640</v>
      </c>
      <c r="D251" s="22" t="n">
        <v>165</v>
      </c>
      <c r="E251" s="22" t="s">
        <v>7379</v>
      </c>
      <c r="F251" s="22" t="s">
        <v>159</v>
      </c>
      <c r="G251" s="22" t="n">
        <v>28</v>
      </c>
      <c r="H251" s="22" t="s">
        <v>6575</v>
      </c>
      <c r="I251" s="22" t="s">
        <v>8601</v>
      </c>
      <c r="J251" s="22" t="n">
        <v>10.4</v>
      </c>
      <c r="K251" s="22" t="n">
        <v>1</v>
      </c>
      <c r="L251" s="22" t="s">
        <v>8602</v>
      </c>
      <c r="M251" s="23" t="n">
        <v>44820</v>
      </c>
      <c r="N251" s="22"/>
      <c r="O251" s="22"/>
      <c r="P251" s="22" t="s">
        <v>8603</v>
      </c>
      <c r="Q251" s="22"/>
      <c r="R251" s="22"/>
    </row>
    <row r="252" customFormat="false" ht="15" hidden="false" customHeight="false" outlineLevel="0" collapsed="false">
      <c r="A252" s="22" t="s">
        <v>8945</v>
      </c>
      <c r="B252" s="23" t="n">
        <v>44821</v>
      </c>
      <c r="C252" s="22" t="s">
        <v>3241</v>
      </c>
      <c r="D252" s="22" t="n">
        <v>1274</v>
      </c>
      <c r="E252" s="22" t="s">
        <v>7889</v>
      </c>
      <c r="F252" s="22" t="s">
        <v>215</v>
      </c>
      <c r="G252" s="22" t="n">
        <v>45</v>
      </c>
      <c r="H252" s="22" t="s">
        <v>7696</v>
      </c>
      <c r="I252" s="22" t="s">
        <v>8601</v>
      </c>
      <c r="J252" s="22" t="n">
        <v>7.55</v>
      </c>
      <c r="K252" s="22" t="n">
        <v>1</v>
      </c>
      <c r="L252" s="22" t="s">
        <v>8605</v>
      </c>
      <c r="M252" s="23" t="n">
        <v>44835</v>
      </c>
      <c r="N252" s="23" t="n">
        <v>44833</v>
      </c>
      <c r="O252" s="22" t="n">
        <v>12</v>
      </c>
      <c r="P252" s="22"/>
      <c r="Q252" s="22" t="s">
        <v>8946</v>
      </c>
      <c r="R252" s="22"/>
    </row>
    <row r="253" customFormat="false" ht="15" hidden="false" customHeight="false" outlineLevel="0" collapsed="false">
      <c r="A253" s="22" t="s">
        <v>8947</v>
      </c>
      <c r="B253" s="23" t="n">
        <v>44810</v>
      </c>
      <c r="C253" s="22" t="s">
        <v>6275</v>
      </c>
      <c r="D253" s="22" t="n">
        <v>2768</v>
      </c>
      <c r="E253" s="22" t="s">
        <v>7382</v>
      </c>
      <c r="F253" s="22" t="s">
        <v>159</v>
      </c>
      <c r="G253" s="22" t="n">
        <v>32</v>
      </c>
      <c r="H253" s="22" t="s">
        <v>6575</v>
      </c>
      <c r="I253" s="22" t="s">
        <v>8601</v>
      </c>
      <c r="J253" s="22" t="n">
        <v>10.4</v>
      </c>
      <c r="K253" s="22" t="n">
        <v>1</v>
      </c>
      <c r="L253" s="22" t="s">
        <v>8605</v>
      </c>
      <c r="M253" s="23" t="n">
        <v>44820</v>
      </c>
      <c r="N253" s="23" t="n">
        <v>44819</v>
      </c>
      <c r="O253" s="22" t="n">
        <v>9</v>
      </c>
      <c r="P253" s="22"/>
      <c r="Q253" s="22" t="s">
        <v>8948</v>
      </c>
      <c r="R253" s="22"/>
    </row>
    <row r="254" customFormat="false" ht="15" hidden="false" customHeight="false" outlineLevel="0" collapsed="false">
      <c r="A254" s="22" t="s">
        <v>8949</v>
      </c>
      <c r="B254" s="23" t="n">
        <v>44822</v>
      </c>
      <c r="C254" s="22" t="s">
        <v>2475</v>
      </c>
      <c r="D254" s="22" t="n">
        <v>927</v>
      </c>
      <c r="E254" s="22" t="s">
        <v>8248</v>
      </c>
      <c r="F254" s="22" t="s">
        <v>499</v>
      </c>
      <c r="G254" s="22" t="n">
        <v>50</v>
      </c>
      <c r="H254" s="22" t="s">
        <v>7696</v>
      </c>
      <c r="I254" s="22" t="s">
        <v>8601</v>
      </c>
      <c r="J254" s="22" t="n">
        <v>7.55</v>
      </c>
      <c r="K254" s="22" t="n">
        <v>1</v>
      </c>
      <c r="L254" s="22" t="s">
        <v>8608</v>
      </c>
      <c r="M254" s="23" t="n">
        <v>44836</v>
      </c>
      <c r="N254" s="23" t="n">
        <v>44831</v>
      </c>
      <c r="O254" s="22" t="n">
        <v>9</v>
      </c>
      <c r="P254" s="22"/>
      <c r="Q254" s="22"/>
      <c r="R254" s="22"/>
    </row>
    <row r="255" customFormat="false" ht="15" hidden="false" customHeight="false" outlineLevel="0" collapsed="false">
      <c r="A255" s="22" t="s">
        <v>8950</v>
      </c>
      <c r="B255" s="23" t="n">
        <v>44809</v>
      </c>
      <c r="C255" s="22" t="s">
        <v>3870</v>
      </c>
      <c r="D255" s="22" t="n">
        <v>1579</v>
      </c>
      <c r="E255" s="22" t="s">
        <v>7601</v>
      </c>
      <c r="F255" s="22" t="s">
        <v>159</v>
      </c>
      <c r="G255" s="22" t="n">
        <v>32</v>
      </c>
      <c r="H255" s="22" t="s">
        <v>6575</v>
      </c>
      <c r="I255" s="22" t="s">
        <v>8601</v>
      </c>
      <c r="J255" s="22" t="n">
        <v>10.4</v>
      </c>
      <c r="K255" s="22" t="n">
        <v>1</v>
      </c>
      <c r="L255" s="22" t="s">
        <v>8605</v>
      </c>
      <c r="M255" s="23" t="n">
        <v>44819</v>
      </c>
      <c r="N255" s="23" t="n">
        <v>44816</v>
      </c>
      <c r="O255" s="22" t="n">
        <v>7</v>
      </c>
      <c r="P255" s="22"/>
      <c r="Q255" s="22" t="s">
        <v>8951</v>
      </c>
      <c r="R255" s="22"/>
    </row>
    <row r="256" customFormat="false" ht="15" hidden="false" customHeight="false" outlineLevel="0" collapsed="false">
      <c r="A256" s="22" t="s">
        <v>8952</v>
      </c>
      <c r="B256" s="23" t="n">
        <v>44809</v>
      </c>
      <c r="C256" s="22" t="s">
        <v>696</v>
      </c>
      <c r="D256" s="22" t="n">
        <v>185</v>
      </c>
      <c r="E256" s="22" t="s">
        <v>8018</v>
      </c>
      <c r="F256" s="22" t="s">
        <v>215</v>
      </c>
      <c r="G256" s="22" t="n">
        <v>40</v>
      </c>
      <c r="H256" s="22" t="s">
        <v>7696</v>
      </c>
      <c r="I256" s="22" t="s">
        <v>8601</v>
      </c>
      <c r="J256" s="22" t="n">
        <v>7.55</v>
      </c>
      <c r="K256" s="22" t="n">
        <v>1</v>
      </c>
      <c r="L256" s="22" t="s">
        <v>8602</v>
      </c>
      <c r="M256" s="23" t="n">
        <v>44823</v>
      </c>
      <c r="N256" s="22"/>
      <c r="O256" s="22"/>
      <c r="P256" s="22" t="s">
        <v>8603</v>
      </c>
      <c r="Q256" s="22"/>
      <c r="R256" s="22"/>
    </row>
    <row r="257" customFormat="false" ht="15" hidden="false" customHeight="false" outlineLevel="0" collapsed="false">
      <c r="A257" s="22" t="s">
        <v>8953</v>
      </c>
      <c r="B257" s="23" t="n">
        <v>44825</v>
      </c>
      <c r="C257" s="22" t="s">
        <v>6384</v>
      </c>
      <c r="D257" s="22" t="n">
        <v>2824</v>
      </c>
      <c r="E257" s="22" t="s">
        <v>8394</v>
      </c>
      <c r="F257" s="22" t="s">
        <v>188</v>
      </c>
      <c r="G257" s="22" t="n">
        <v>32</v>
      </c>
      <c r="H257" s="22" t="s">
        <v>7696</v>
      </c>
      <c r="I257" s="22" t="s">
        <v>8601</v>
      </c>
      <c r="J257" s="22" t="n">
        <v>7.55</v>
      </c>
      <c r="K257" s="22" t="n">
        <v>2</v>
      </c>
      <c r="L257" s="22" t="s">
        <v>8605</v>
      </c>
      <c r="M257" s="23" t="n">
        <v>44839</v>
      </c>
      <c r="N257" s="23" t="n">
        <v>44828</v>
      </c>
      <c r="O257" s="22" t="n">
        <v>3</v>
      </c>
      <c r="P257" s="22"/>
      <c r="Q257" s="22" t="s">
        <v>8904</v>
      </c>
      <c r="R257" s="22"/>
    </row>
    <row r="258" customFormat="false" ht="15" hidden="false" customHeight="false" outlineLevel="0" collapsed="false">
      <c r="A258" s="22" t="s">
        <v>8954</v>
      </c>
      <c r="B258" s="23" t="n">
        <v>44821</v>
      </c>
      <c r="C258" s="22" t="s">
        <v>1848</v>
      </c>
      <c r="D258" s="22" t="n">
        <v>646</v>
      </c>
      <c r="E258" s="22" t="s">
        <v>7235</v>
      </c>
      <c r="F258" s="22" t="s">
        <v>198</v>
      </c>
      <c r="G258" s="22" t="n">
        <v>32</v>
      </c>
      <c r="H258" s="22" t="s">
        <v>6575</v>
      </c>
      <c r="I258" s="22" t="s">
        <v>8601</v>
      </c>
      <c r="J258" s="22" t="n">
        <v>10.4</v>
      </c>
      <c r="K258" s="22" t="n">
        <v>1</v>
      </c>
      <c r="L258" s="22" t="s">
        <v>8605</v>
      </c>
      <c r="M258" s="23" t="n">
        <v>44831</v>
      </c>
      <c r="N258" s="23" t="n">
        <v>44824</v>
      </c>
      <c r="O258" s="22" t="n">
        <v>3</v>
      </c>
      <c r="P258" s="22"/>
      <c r="Q258" s="22" t="s">
        <v>8955</v>
      </c>
      <c r="R258" s="22"/>
    </row>
    <row r="259" customFormat="false" ht="15" hidden="false" customHeight="false" outlineLevel="0" collapsed="false">
      <c r="A259" s="22" t="s">
        <v>8956</v>
      </c>
      <c r="B259" s="23" t="n">
        <v>44836</v>
      </c>
      <c r="C259" s="22" t="s">
        <v>5760</v>
      </c>
      <c r="D259" s="22" t="n">
        <v>2510</v>
      </c>
      <c r="E259" s="22" t="s">
        <v>7797</v>
      </c>
      <c r="F259" s="22" t="s">
        <v>215</v>
      </c>
      <c r="G259" s="22" t="n">
        <v>28</v>
      </c>
      <c r="H259" s="22" t="s">
        <v>7696</v>
      </c>
      <c r="I259" s="22" t="s">
        <v>8601</v>
      </c>
      <c r="J259" s="22" t="n">
        <v>7.55</v>
      </c>
      <c r="K259" s="22" t="n">
        <v>1</v>
      </c>
      <c r="L259" s="22" t="s">
        <v>8729</v>
      </c>
      <c r="M259" s="23" t="n">
        <v>44850</v>
      </c>
      <c r="N259" s="23" t="n">
        <v>44837</v>
      </c>
      <c r="O259" s="22" t="n">
        <v>1</v>
      </c>
      <c r="P259" s="22"/>
      <c r="Q259" s="22"/>
      <c r="R259" s="22"/>
    </row>
    <row r="260" customFormat="false" ht="15" hidden="false" customHeight="false" outlineLevel="0" collapsed="false">
      <c r="A260" s="22" t="s">
        <v>8957</v>
      </c>
      <c r="B260" s="23" t="n">
        <v>44850</v>
      </c>
      <c r="C260" s="22" t="s">
        <v>6043</v>
      </c>
      <c r="D260" s="22" t="n">
        <v>2652</v>
      </c>
      <c r="E260" s="22" t="s">
        <v>8207</v>
      </c>
      <c r="F260" s="22" t="s">
        <v>499</v>
      </c>
      <c r="G260" s="22" t="n">
        <v>32</v>
      </c>
      <c r="H260" s="22" t="s">
        <v>7696</v>
      </c>
      <c r="I260" s="22" t="s">
        <v>8601</v>
      </c>
      <c r="J260" s="22" t="n">
        <v>7.55</v>
      </c>
      <c r="K260" s="22" t="n">
        <v>1</v>
      </c>
      <c r="L260" s="22" t="s">
        <v>8602</v>
      </c>
      <c r="M260" s="23" t="n">
        <v>44864</v>
      </c>
      <c r="N260" s="22"/>
      <c r="O260" s="22"/>
      <c r="P260" s="22" t="s">
        <v>8631</v>
      </c>
      <c r="Q260" s="22"/>
      <c r="R260" s="22"/>
    </row>
    <row r="261" customFormat="false" ht="15" hidden="false" customHeight="false" outlineLevel="0" collapsed="false">
      <c r="A261" s="22" t="s">
        <v>8958</v>
      </c>
      <c r="B261" s="23" t="n">
        <v>44855</v>
      </c>
      <c r="C261" s="22" t="s">
        <v>2598</v>
      </c>
      <c r="D261" s="22" t="n">
        <v>981</v>
      </c>
      <c r="E261" s="22" t="s">
        <v>8037</v>
      </c>
      <c r="F261" s="22" t="s">
        <v>499</v>
      </c>
      <c r="G261" s="22" t="n">
        <v>45</v>
      </c>
      <c r="H261" s="22" t="s">
        <v>7696</v>
      </c>
      <c r="I261" s="22" t="s">
        <v>8601</v>
      </c>
      <c r="J261" s="22" t="n">
        <v>7.55</v>
      </c>
      <c r="K261" s="22" t="n">
        <v>1</v>
      </c>
      <c r="L261" s="22" t="s">
        <v>8629</v>
      </c>
      <c r="M261" s="23" t="n">
        <v>44869</v>
      </c>
      <c r="N261" s="23" t="n">
        <v>44871</v>
      </c>
      <c r="O261" s="22" t="n">
        <v>16</v>
      </c>
      <c r="P261" s="22"/>
      <c r="Q261" s="22"/>
      <c r="R261" s="22"/>
    </row>
    <row r="262" customFormat="false" ht="15" hidden="false" customHeight="false" outlineLevel="0" collapsed="false">
      <c r="A262" s="22" t="s">
        <v>8959</v>
      </c>
      <c r="B262" s="23" t="n">
        <v>44844</v>
      </c>
      <c r="C262" s="22" t="s">
        <v>6419</v>
      </c>
      <c r="D262" s="22" t="n">
        <v>2842</v>
      </c>
      <c r="E262" s="22" t="s">
        <v>8518</v>
      </c>
      <c r="F262" s="22" t="s">
        <v>188</v>
      </c>
      <c r="G262" s="22" t="n">
        <v>28</v>
      </c>
      <c r="H262" s="22" t="s">
        <v>7696</v>
      </c>
      <c r="I262" s="22" t="s">
        <v>8601</v>
      </c>
      <c r="J262" s="22" t="n">
        <v>7.55</v>
      </c>
      <c r="K262" s="22" t="n">
        <v>2</v>
      </c>
      <c r="L262" s="22" t="s">
        <v>8605</v>
      </c>
      <c r="M262" s="23" t="n">
        <v>44858</v>
      </c>
      <c r="N262" s="23" t="n">
        <v>44857</v>
      </c>
      <c r="O262" s="22" t="n">
        <v>13</v>
      </c>
      <c r="P262" s="22"/>
      <c r="Q262" s="22" t="s">
        <v>8827</v>
      </c>
      <c r="R262" s="22"/>
    </row>
    <row r="263" customFormat="false" ht="15" hidden="false" customHeight="false" outlineLevel="0" collapsed="false">
      <c r="A263" s="22" t="s">
        <v>8960</v>
      </c>
      <c r="B263" s="23" t="n">
        <v>44842</v>
      </c>
      <c r="C263" s="22" t="s">
        <v>2426</v>
      </c>
      <c r="D263" s="22" t="n">
        <v>903</v>
      </c>
      <c r="E263" s="22" t="s">
        <v>7321</v>
      </c>
      <c r="F263" s="22" t="s">
        <v>159</v>
      </c>
      <c r="G263" s="22" t="n">
        <v>36</v>
      </c>
      <c r="H263" s="22" t="s">
        <v>6575</v>
      </c>
      <c r="I263" s="22" t="s">
        <v>8601</v>
      </c>
      <c r="J263" s="22" t="n">
        <v>10.4</v>
      </c>
      <c r="K263" s="22" t="n">
        <v>2</v>
      </c>
      <c r="L263" s="22" t="s">
        <v>8613</v>
      </c>
      <c r="M263" s="23" t="n">
        <v>44852</v>
      </c>
      <c r="N263" s="22"/>
      <c r="O263" s="22"/>
      <c r="P263" s="22"/>
      <c r="Q263" s="22"/>
      <c r="R263" s="22"/>
    </row>
    <row r="264" customFormat="false" ht="15" hidden="false" customHeight="false" outlineLevel="0" collapsed="false">
      <c r="A264" s="22" t="s">
        <v>8961</v>
      </c>
      <c r="B264" s="23" t="n">
        <v>44845</v>
      </c>
      <c r="C264" s="22" t="s">
        <v>3658</v>
      </c>
      <c r="D264" s="22" t="n">
        <v>1474</v>
      </c>
      <c r="E264" s="22" t="s">
        <v>7838</v>
      </c>
      <c r="F264" s="22" t="s">
        <v>215</v>
      </c>
      <c r="G264" s="22" t="n">
        <v>32</v>
      </c>
      <c r="H264" s="22" t="s">
        <v>7696</v>
      </c>
      <c r="I264" s="22" t="s">
        <v>8601</v>
      </c>
      <c r="J264" s="22" t="n">
        <v>7.55</v>
      </c>
      <c r="K264" s="22" t="n">
        <v>1</v>
      </c>
      <c r="L264" s="22" t="s">
        <v>8605</v>
      </c>
      <c r="M264" s="23" t="n">
        <v>44859</v>
      </c>
      <c r="N264" s="23" t="n">
        <v>44851</v>
      </c>
      <c r="O264" s="22" t="n">
        <v>6</v>
      </c>
      <c r="P264" s="22"/>
      <c r="Q264" s="22" t="s">
        <v>8857</v>
      </c>
      <c r="R264" s="22"/>
    </row>
    <row r="265" customFormat="false" ht="15" hidden="false" customHeight="false" outlineLevel="0" collapsed="false">
      <c r="A265" s="22" t="s">
        <v>8962</v>
      </c>
      <c r="B265" s="23" t="n">
        <v>44853</v>
      </c>
      <c r="C265" s="22" t="s">
        <v>3782</v>
      </c>
      <c r="D265" s="22" t="n">
        <v>1535</v>
      </c>
      <c r="E265" s="22" t="s">
        <v>7234</v>
      </c>
      <c r="F265" s="22" t="s">
        <v>198</v>
      </c>
      <c r="G265" s="22" t="n">
        <v>32</v>
      </c>
      <c r="H265" s="22" t="s">
        <v>6575</v>
      </c>
      <c r="I265" s="22" t="s">
        <v>8601</v>
      </c>
      <c r="J265" s="22" t="n">
        <v>10.4</v>
      </c>
      <c r="K265" s="22" t="n">
        <v>1</v>
      </c>
      <c r="L265" s="22" t="s">
        <v>157</v>
      </c>
      <c r="M265" s="23" t="n">
        <v>44863</v>
      </c>
      <c r="N265" s="23" t="n">
        <v>44859</v>
      </c>
      <c r="O265" s="22" t="n">
        <v>6</v>
      </c>
      <c r="P265" s="22"/>
      <c r="Q265" s="22"/>
      <c r="R265" s="22"/>
    </row>
    <row r="266" customFormat="false" ht="15" hidden="false" customHeight="false" outlineLevel="0" collapsed="false">
      <c r="A266" s="22" t="s">
        <v>8963</v>
      </c>
      <c r="B266" s="23" t="n">
        <v>44854</v>
      </c>
      <c r="C266" s="22" t="s">
        <v>6013</v>
      </c>
      <c r="D266" s="22" t="n">
        <v>2637</v>
      </c>
      <c r="E266" s="22" t="s">
        <v>7567</v>
      </c>
      <c r="F266" s="22" t="s">
        <v>159</v>
      </c>
      <c r="G266" s="22" t="n">
        <v>32</v>
      </c>
      <c r="H266" s="22" t="s">
        <v>6575</v>
      </c>
      <c r="I266" s="22" t="s">
        <v>8601</v>
      </c>
      <c r="J266" s="22" t="n">
        <v>10.4</v>
      </c>
      <c r="K266" s="22" t="n">
        <v>2</v>
      </c>
      <c r="L266" s="22" t="s">
        <v>8602</v>
      </c>
      <c r="M266" s="23" t="n">
        <v>44864</v>
      </c>
      <c r="N266" s="22"/>
      <c r="O266" s="22"/>
      <c r="P266" s="22" t="s">
        <v>8631</v>
      </c>
      <c r="Q266" s="22"/>
      <c r="R266" s="22"/>
    </row>
    <row r="267" customFormat="false" ht="15" hidden="false" customHeight="false" outlineLevel="0" collapsed="false">
      <c r="A267" s="22" t="s">
        <v>8964</v>
      </c>
      <c r="B267" s="23" t="n">
        <v>44861</v>
      </c>
      <c r="C267" s="22" t="s">
        <v>3052</v>
      </c>
      <c r="D267" s="22" t="n">
        <v>1186</v>
      </c>
      <c r="E267" s="22" t="s">
        <v>8054</v>
      </c>
      <c r="F267" s="22" t="s">
        <v>499</v>
      </c>
      <c r="G267" s="22" t="n">
        <v>32</v>
      </c>
      <c r="H267" s="22" t="s">
        <v>7696</v>
      </c>
      <c r="I267" s="22" t="s">
        <v>8601</v>
      </c>
      <c r="J267" s="22" t="n">
        <v>7.55</v>
      </c>
      <c r="K267" s="22" t="n">
        <v>2</v>
      </c>
      <c r="L267" s="22" t="s">
        <v>8605</v>
      </c>
      <c r="M267" s="23" t="n">
        <v>44875</v>
      </c>
      <c r="N267" s="23" t="n">
        <v>44862</v>
      </c>
      <c r="O267" s="22" t="n">
        <v>1</v>
      </c>
      <c r="P267" s="22"/>
      <c r="Q267" s="22" t="s">
        <v>8965</v>
      </c>
      <c r="R267" s="22"/>
    </row>
    <row r="268" customFormat="false" ht="15" hidden="false" customHeight="false" outlineLevel="0" collapsed="false">
      <c r="A268" s="22" t="s">
        <v>8966</v>
      </c>
      <c r="B268" s="23" t="n">
        <v>44846</v>
      </c>
      <c r="C268" s="22" t="s">
        <v>4018</v>
      </c>
      <c r="D268" s="22" t="n">
        <v>1652</v>
      </c>
      <c r="E268" s="22" t="s">
        <v>7274</v>
      </c>
      <c r="F268" s="22" t="s">
        <v>198</v>
      </c>
      <c r="G268" s="22" t="n">
        <v>32</v>
      </c>
      <c r="H268" s="22" t="s">
        <v>6575</v>
      </c>
      <c r="I268" s="22" t="s">
        <v>8601</v>
      </c>
      <c r="J268" s="22" t="n">
        <v>10.4</v>
      </c>
      <c r="K268" s="22" t="n">
        <v>1</v>
      </c>
      <c r="L268" s="22" t="s">
        <v>8613</v>
      </c>
      <c r="M268" s="23" t="n">
        <v>44856</v>
      </c>
      <c r="N268" s="22"/>
      <c r="O268" s="22"/>
      <c r="P268" s="22"/>
      <c r="Q268" s="22"/>
      <c r="R268" s="22"/>
    </row>
    <row r="269" customFormat="false" ht="15" hidden="false" customHeight="false" outlineLevel="0" collapsed="false">
      <c r="A269" s="22" t="s">
        <v>8967</v>
      </c>
      <c r="B269" s="23" t="n">
        <v>44841</v>
      </c>
      <c r="C269" s="22" t="s">
        <v>3981</v>
      </c>
      <c r="D269" s="22" t="n">
        <v>1634</v>
      </c>
      <c r="E269" s="22" t="s">
        <v>7854</v>
      </c>
      <c r="F269" s="22" t="s">
        <v>215</v>
      </c>
      <c r="G269" s="22" t="n">
        <v>24</v>
      </c>
      <c r="H269" s="22" t="s">
        <v>7696</v>
      </c>
      <c r="I269" s="22" t="s">
        <v>8601</v>
      </c>
      <c r="J269" s="22" t="n">
        <v>7.55</v>
      </c>
      <c r="K269" s="22" t="n">
        <v>1</v>
      </c>
      <c r="L269" s="22" t="s">
        <v>8605</v>
      </c>
      <c r="M269" s="23" t="n">
        <v>44855</v>
      </c>
      <c r="N269" s="23" t="n">
        <v>44854</v>
      </c>
      <c r="O269" s="22" t="n">
        <v>13</v>
      </c>
      <c r="P269" s="22"/>
      <c r="Q269" s="22" t="s">
        <v>8841</v>
      </c>
      <c r="R269" s="22"/>
    </row>
    <row r="270" customFormat="false" ht="15" hidden="false" customHeight="false" outlineLevel="0" collapsed="false">
      <c r="A270" s="22" t="s">
        <v>8968</v>
      </c>
      <c r="B270" s="23" t="n">
        <v>44851</v>
      </c>
      <c r="C270" s="22" t="s">
        <v>4330</v>
      </c>
      <c r="D270" s="22" t="n">
        <v>1804</v>
      </c>
      <c r="E270" s="22" t="s">
        <v>8220</v>
      </c>
      <c r="F270" s="22" t="s">
        <v>499</v>
      </c>
      <c r="G270" s="22" t="n">
        <v>60</v>
      </c>
      <c r="H270" s="22" t="s">
        <v>7696</v>
      </c>
      <c r="I270" s="22" t="s">
        <v>8601</v>
      </c>
      <c r="J270" s="22" t="n">
        <v>7.55</v>
      </c>
      <c r="K270" s="22" t="n">
        <v>1</v>
      </c>
      <c r="L270" s="22" t="s">
        <v>8605</v>
      </c>
      <c r="M270" s="23" t="n">
        <v>44865</v>
      </c>
      <c r="N270" s="23" t="n">
        <v>44855</v>
      </c>
      <c r="O270" s="22" t="n">
        <v>4</v>
      </c>
      <c r="P270" s="22"/>
      <c r="Q270" s="22" t="s">
        <v>8969</v>
      </c>
      <c r="R270" s="22"/>
    </row>
    <row r="271" customFormat="false" ht="15" hidden="false" customHeight="false" outlineLevel="0" collapsed="false">
      <c r="A271" s="22" t="s">
        <v>8970</v>
      </c>
      <c r="B271" s="23" t="n">
        <v>44840</v>
      </c>
      <c r="C271" s="22" t="s">
        <v>6245</v>
      </c>
      <c r="D271" s="22" t="n">
        <v>2753</v>
      </c>
      <c r="E271" s="22" t="s">
        <v>8189</v>
      </c>
      <c r="F271" s="22" t="s">
        <v>499</v>
      </c>
      <c r="G271" s="22" t="n">
        <v>28</v>
      </c>
      <c r="H271" s="22" t="s">
        <v>7696</v>
      </c>
      <c r="I271" s="22" t="s">
        <v>8601</v>
      </c>
      <c r="J271" s="22" t="n">
        <v>7.55</v>
      </c>
      <c r="K271" s="22" t="n">
        <v>1</v>
      </c>
      <c r="L271" s="22" t="s">
        <v>8602</v>
      </c>
      <c r="M271" s="23" t="n">
        <v>44854</v>
      </c>
      <c r="N271" s="22"/>
      <c r="O271" s="22"/>
      <c r="P271" s="22" t="s">
        <v>8603</v>
      </c>
      <c r="Q271" s="22"/>
      <c r="R271" s="22"/>
    </row>
    <row r="272" customFormat="false" ht="15" hidden="false" customHeight="false" outlineLevel="0" collapsed="false">
      <c r="A272" s="22" t="s">
        <v>8971</v>
      </c>
      <c r="B272" s="23" t="n">
        <v>44851</v>
      </c>
      <c r="C272" s="22" t="s">
        <v>4607</v>
      </c>
      <c r="D272" s="22" t="n">
        <v>1940</v>
      </c>
      <c r="E272" s="22" t="s">
        <v>8540</v>
      </c>
      <c r="F272" s="22" t="s">
        <v>188</v>
      </c>
      <c r="G272" s="22" t="n">
        <v>32</v>
      </c>
      <c r="H272" s="22" t="s">
        <v>7696</v>
      </c>
      <c r="I272" s="22" t="s">
        <v>8601</v>
      </c>
      <c r="J272" s="22" t="n">
        <v>7.55</v>
      </c>
      <c r="K272" s="22" t="n">
        <v>1</v>
      </c>
      <c r="L272" s="22" t="s">
        <v>8602</v>
      </c>
      <c r="M272" s="23" t="n">
        <v>44865</v>
      </c>
      <c r="N272" s="22"/>
      <c r="O272" s="22"/>
      <c r="P272" s="22" t="s">
        <v>8603</v>
      </c>
      <c r="Q272" s="22"/>
      <c r="R272" s="22"/>
    </row>
    <row r="273" customFormat="false" ht="15" hidden="false" customHeight="false" outlineLevel="0" collapsed="false">
      <c r="A273" s="22" t="s">
        <v>8972</v>
      </c>
      <c r="B273" s="23" t="n">
        <v>44852</v>
      </c>
      <c r="C273" s="22" t="s">
        <v>2281</v>
      </c>
      <c r="D273" s="22" t="n">
        <v>837</v>
      </c>
      <c r="E273" s="22" t="s">
        <v>7187</v>
      </c>
      <c r="F273" s="22" t="s">
        <v>198</v>
      </c>
      <c r="G273" s="22" t="n">
        <v>40</v>
      </c>
      <c r="H273" s="22" t="s">
        <v>6575</v>
      </c>
      <c r="I273" s="22" t="s">
        <v>8601</v>
      </c>
      <c r="J273" s="22" t="n">
        <v>10.4</v>
      </c>
      <c r="K273" s="22" t="n">
        <v>2</v>
      </c>
      <c r="L273" s="22" t="s">
        <v>8602</v>
      </c>
      <c r="M273" s="23" t="n">
        <v>44862</v>
      </c>
      <c r="N273" s="22"/>
      <c r="O273" s="22"/>
      <c r="P273" s="22" t="s">
        <v>8603</v>
      </c>
      <c r="Q273" s="22"/>
      <c r="R273" s="22"/>
    </row>
    <row r="274" customFormat="false" ht="15" hidden="false" customHeight="false" outlineLevel="0" collapsed="false">
      <c r="A274" s="22" t="s">
        <v>8973</v>
      </c>
      <c r="B274" s="23" t="n">
        <v>44862</v>
      </c>
      <c r="C274" s="22" t="s">
        <v>2579</v>
      </c>
      <c r="D274" s="22" t="n">
        <v>973</v>
      </c>
      <c r="E274" s="22" t="s">
        <v>8549</v>
      </c>
      <c r="F274" s="22" t="s">
        <v>188</v>
      </c>
      <c r="G274" s="22" t="n">
        <v>28</v>
      </c>
      <c r="H274" s="22" t="s">
        <v>7696</v>
      </c>
      <c r="I274" s="22" t="s">
        <v>8601</v>
      </c>
      <c r="J274" s="22" t="n">
        <v>7.55</v>
      </c>
      <c r="K274" s="22" t="n">
        <v>1</v>
      </c>
      <c r="L274" s="22" t="s">
        <v>157</v>
      </c>
      <c r="M274" s="23" t="n">
        <v>44876</v>
      </c>
      <c r="N274" s="23" t="n">
        <v>44868</v>
      </c>
      <c r="O274" s="22" t="n">
        <v>6</v>
      </c>
      <c r="P274" s="22"/>
      <c r="Q274" s="22"/>
      <c r="R274" s="22"/>
    </row>
    <row r="275" customFormat="false" ht="15" hidden="false" customHeight="false" outlineLevel="0" collapsed="false">
      <c r="A275" s="22" t="s">
        <v>8974</v>
      </c>
      <c r="B275" s="23" t="n">
        <v>44840</v>
      </c>
      <c r="C275" s="22" t="s">
        <v>5229</v>
      </c>
      <c r="D275" s="22" t="n">
        <v>2245</v>
      </c>
      <c r="E275" s="22" t="s">
        <v>8210</v>
      </c>
      <c r="F275" s="22" t="s">
        <v>499</v>
      </c>
      <c r="G275" s="22" t="n">
        <v>32</v>
      </c>
      <c r="H275" s="22" t="s">
        <v>7696</v>
      </c>
      <c r="I275" s="22" t="s">
        <v>8601</v>
      </c>
      <c r="J275" s="22" t="n">
        <v>7.55</v>
      </c>
      <c r="K275" s="22" t="n">
        <v>1</v>
      </c>
      <c r="L275" s="22" t="s">
        <v>8602</v>
      </c>
      <c r="M275" s="23" t="n">
        <v>44854</v>
      </c>
      <c r="N275" s="22"/>
      <c r="O275" s="22"/>
      <c r="P275" s="22" t="s">
        <v>8603</v>
      </c>
      <c r="Q275" s="22"/>
      <c r="R275" s="22"/>
    </row>
    <row r="276" customFormat="false" ht="15" hidden="false" customHeight="false" outlineLevel="0" collapsed="false">
      <c r="A276" s="22" t="s">
        <v>8975</v>
      </c>
      <c r="B276" s="23" t="n">
        <v>44847</v>
      </c>
      <c r="C276" s="22" t="s">
        <v>4107</v>
      </c>
      <c r="D276" s="22" t="n">
        <v>1695</v>
      </c>
      <c r="E276" s="22" t="s">
        <v>7344</v>
      </c>
      <c r="F276" s="22" t="s">
        <v>159</v>
      </c>
      <c r="G276" s="22" t="n">
        <v>32</v>
      </c>
      <c r="H276" s="22" t="s">
        <v>6575</v>
      </c>
      <c r="I276" s="22" t="s">
        <v>8601</v>
      </c>
      <c r="J276" s="22" t="n">
        <v>10.4</v>
      </c>
      <c r="K276" s="22" t="n">
        <v>1</v>
      </c>
      <c r="L276" s="22" t="s">
        <v>8605</v>
      </c>
      <c r="M276" s="23" t="n">
        <v>44857</v>
      </c>
      <c r="N276" s="23" t="n">
        <v>44852</v>
      </c>
      <c r="O276" s="22" t="n">
        <v>5</v>
      </c>
      <c r="P276" s="22"/>
      <c r="Q276" s="22" t="s">
        <v>8976</v>
      </c>
      <c r="R276" s="22"/>
    </row>
    <row r="277" customFormat="false" ht="15" hidden="false" customHeight="false" outlineLevel="0" collapsed="false">
      <c r="A277" s="22" t="s">
        <v>8977</v>
      </c>
      <c r="B277" s="23" t="n">
        <v>44838</v>
      </c>
      <c r="C277" s="22" t="s">
        <v>860</v>
      </c>
      <c r="D277" s="22" t="n">
        <v>246</v>
      </c>
      <c r="E277" s="22" t="s">
        <v>7790</v>
      </c>
      <c r="F277" s="22" t="s">
        <v>215</v>
      </c>
      <c r="G277" s="22" t="n">
        <v>36</v>
      </c>
      <c r="H277" s="22" t="s">
        <v>7696</v>
      </c>
      <c r="I277" s="22" t="s">
        <v>8601</v>
      </c>
      <c r="J277" s="22" t="n">
        <v>7.55</v>
      </c>
      <c r="K277" s="22" t="n">
        <v>1</v>
      </c>
      <c r="L277" s="22" t="s">
        <v>8602</v>
      </c>
      <c r="M277" s="23" t="n">
        <v>44852</v>
      </c>
      <c r="N277" s="22"/>
      <c r="O277" s="22"/>
      <c r="P277" s="22" t="s">
        <v>8618</v>
      </c>
      <c r="Q277" s="22"/>
      <c r="R277" s="22"/>
    </row>
    <row r="278" customFormat="false" ht="15" hidden="false" customHeight="false" outlineLevel="0" collapsed="false">
      <c r="A278" s="22" t="s">
        <v>8978</v>
      </c>
      <c r="B278" s="23" t="n">
        <v>44860</v>
      </c>
      <c r="C278" s="22" t="s">
        <v>5467</v>
      </c>
      <c r="D278" s="22" t="n">
        <v>2365</v>
      </c>
      <c r="E278" s="22" t="s">
        <v>7050</v>
      </c>
      <c r="F278" s="22" t="s">
        <v>198</v>
      </c>
      <c r="G278" s="22" t="n">
        <v>32</v>
      </c>
      <c r="H278" s="22" t="s">
        <v>6575</v>
      </c>
      <c r="I278" s="22" t="s">
        <v>8601</v>
      </c>
      <c r="J278" s="22" t="n">
        <v>10.4</v>
      </c>
      <c r="K278" s="22" t="n">
        <v>1</v>
      </c>
      <c r="L278" s="22" t="s">
        <v>8605</v>
      </c>
      <c r="M278" s="23" t="n">
        <v>44870</v>
      </c>
      <c r="N278" s="23" t="n">
        <v>44863</v>
      </c>
      <c r="O278" s="22" t="n">
        <v>3</v>
      </c>
      <c r="P278" s="22"/>
      <c r="Q278" s="22" t="s">
        <v>8979</v>
      </c>
      <c r="R278" s="22"/>
    </row>
    <row r="279" customFormat="false" ht="15" hidden="false" customHeight="false" outlineLevel="0" collapsed="false">
      <c r="A279" s="22" t="s">
        <v>8980</v>
      </c>
      <c r="B279" s="23" t="n">
        <v>44842</v>
      </c>
      <c r="C279" s="22" t="s">
        <v>2800</v>
      </c>
      <c r="D279" s="22" t="n">
        <v>1072</v>
      </c>
      <c r="E279" s="22" t="s">
        <v>7761</v>
      </c>
      <c r="F279" s="22" t="s">
        <v>215</v>
      </c>
      <c r="G279" s="22" t="n">
        <v>70</v>
      </c>
      <c r="H279" s="22" t="s">
        <v>7696</v>
      </c>
      <c r="I279" s="22" t="s">
        <v>8601</v>
      </c>
      <c r="J279" s="22" t="n">
        <v>7.55</v>
      </c>
      <c r="K279" s="22" t="n">
        <v>1</v>
      </c>
      <c r="L279" s="22" t="s">
        <v>8602</v>
      </c>
      <c r="M279" s="23" t="n">
        <v>44856</v>
      </c>
      <c r="N279" s="22"/>
      <c r="O279" s="22"/>
      <c r="P279" s="22" t="s">
        <v>8631</v>
      </c>
      <c r="Q279" s="22"/>
      <c r="R279" s="22"/>
    </row>
    <row r="280" customFormat="false" ht="15" hidden="false" customHeight="false" outlineLevel="0" collapsed="false">
      <c r="A280" s="22" t="s">
        <v>8981</v>
      </c>
      <c r="B280" s="23" t="n">
        <v>44861</v>
      </c>
      <c r="C280" s="22" t="s">
        <v>4410</v>
      </c>
      <c r="D280" s="22" t="n">
        <v>1843</v>
      </c>
      <c r="E280" s="22" t="s">
        <v>6779</v>
      </c>
      <c r="F280" s="22" t="s">
        <v>198</v>
      </c>
      <c r="G280" s="22" t="n">
        <v>28</v>
      </c>
      <c r="H280" s="22" t="s">
        <v>6575</v>
      </c>
      <c r="I280" s="22" t="s">
        <v>8601</v>
      </c>
      <c r="J280" s="22" t="n">
        <v>10.4</v>
      </c>
      <c r="K280" s="22" t="n">
        <v>1</v>
      </c>
      <c r="L280" s="22" t="s">
        <v>8602</v>
      </c>
      <c r="M280" s="23" t="n">
        <v>44871</v>
      </c>
      <c r="N280" s="22"/>
      <c r="O280" s="22"/>
      <c r="P280" s="22" t="s">
        <v>8603</v>
      </c>
      <c r="Q280" s="22"/>
      <c r="R280" s="22"/>
    </row>
    <row r="281" customFormat="false" ht="15" hidden="false" customHeight="false" outlineLevel="0" collapsed="false">
      <c r="A281" s="22" t="s">
        <v>8982</v>
      </c>
      <c r="B281" s="23" t="n">
        <v>44842</v>
      </c>
      <c r="C281" s="22" t="s">
        <v>957</v>
      </c>
      <c r="D281" s="22" t="n">
        <v>283</v>
      </c>
      <c r="E281" s="22" t="s">
        <v>8404</v>
      </c>
      <c r="F281" s="22" t="s">
        <v>188</v>
      </c>
      <c r="G281" s="22" t="n">
        <v>70</v>
      </c>
      <c r="H281" s="22" t="s">
        <v>7696</v>
      </c>
      <c r="I281" s="22" t="s">
        <v>8601</v>
      </c>
      <c r="J281" s="22" t="n">
        <v>7.55</v>
      </c>
      <c r="K281" s="22" t="n">
        <v>1</v>
      </c>
      <c r="L281" s="22" t="s">
        <v>8605</v>
      </c>
      <c r="M281" s="23" t="n">
        <v>44856</v>
      </c>
      <c r="N281" s="23" t="n">
        <v>44859</v>
      </c>
      <c r="O281" s="22" t="n">
        <v>17</v>
      </c>
      <c r="P281" s="22"/>
      <c r="Q281" s="22" t="s">
        <v>8983</v>
      </c>
      <c r="R281" s="22"/>
    </row>
    <row r="282" customFormat="false" ht="15" hidden="false" customHeight="false" outlineLevel="0" collapsed="false">
      <c r="A282" s="22" t="s">
        <v>8984</v>
      </c>
      <c r="B282" s="23" t="n">
        <v>44844</v>
      </c>
      <c r="C282" s="22" t="s">
        <v>5857</v>
      </c>
      <c r="D282" s="22" t="n">
        <v>2559</v>
      </c>
      <c r="E282" s="22" t="s">
        <v>8263</v>
      </c>
      <c r="F282" s="22" t="s">
        <v>499</v>
      </c>
      <c r="G282" s="22" t="n">
        <v>28</v>
      </c>
      <c r="H282" s="22" t="s">
        <v>7696</v>
      </c>
      <c r="I282" s="22" t="s">
        <v>8601</v>
      </c>
      <c r="J282" s="22" t="n">
        <v>7.55</v>
      </c>
      <c r="K282" s="22" t="n">
        <v>1</v>
      </c>
      <c r="L282" s="22" t="s">
        <v>8629</v>
      </c>
      <c r="M282" s="23" t="n">
        <v>44858</v>
      </c>
      <c r="N282" s="23" t="n">
        <v>44853</v>
      </c>
      <c r="O282" s="22" t="n">
        <v>9</v>
      </c>
      <c r="P282" s="22"/>
      <c r="Q282" s="22"/>
      <c r="R282" s="22"/>
    </row>
    <row r="283" customFormat="false" ht="15" hidden="false" customHeight="false" outlineLevel="0" collapsed="false">
      <c r="A283" s="22" t="s">
        <v>8985</v>
      </c>
      <c r="B283" s="23" t="n">
        <v>44849</v>
      </c>
      <c r="C283" s="22" t="s">
        <v>5146</v>
      </c>
      <c r="D283" s="22" t="n">
        <v>2204</v>
      </c>
      <c r="E283" s="22" t="s">
        <v>7226</v>
      </c>
      <c r="F283" s="22" t="s">
        <v>198</v>
      </c>
      <c r="G283" s="22" t="n">
        <v>24</v>
      </c>
      <c r="H283" s="22" t="s">
        <v>6575</v>
      </c>
      <c r="I283" s="22" t="s">
        <v>8601</v>
      </c>
      <c r="J283" s="22" t="n">
        <v>10.4</v>
      </c>
      <c r="K283" s="22" t="n">
        <v>1</v>
      </c>
      <c r="L283" s="22" t="s">
        <v>8602</v>
      </c>
      <c r="M283" s="23" t="n">
        <v>44859</v>
      </c>
      <c r="N283" s="22"/>
      <c r="O283" s="22"/>
      <c r="P283" s="22" t="s">
        <v>8618</v>
      </c>
      <c r="Q283" s="22"/>
      <c r="R283" s="22"/>
    </row>
    <row r="284" customFormat="false" ht="15" hidden="false" customHeight="false" outlineLevel="0" collapsed="false">
      <c r="A284" s="22" t="s">
        <v>8986</v>
      </c>
      <c r="B284" s="23" t="n">
        <v>44836</v>
      </c>
      <c r="C284" s="22" t="s">
        <v>5034</v>
      </c>
      <c r="D284" s="22" t="n">
        <v>2149</v>
      </c>
      <c r="E284" s="22" t="s">
        <v>7836</v>
      </c>
      <c r="F284" s="22" t="s">
        <v>215</v>
      </c>
      <c r="G284" s="22" t="n">
        <v>45</v>
      </c>
      <c r="H284" s="22" t="s">
        <v>7696</v>
      </c>
      <c r="I284" s="22" t="s">
        <v>8601</v>
      </c>
      <c r="J284" s="22" t="n">
        <v>7.55</v>
      </c>
      <c r="K284" s="22" t="n">
        <v>2</v>
      </c>
      <c r="L284" s="22" t="s">
        <v>8605</v>
      </c>
      <c r="M284" s="23" t="n">
        <v>44850</v>
      </c>
      <c r="N284" s="23" t="n">
        <v>44846</v>
      </c>
      <c r="O284" s="22" t="n">
        <v>10</v>
      </c>
      <c r="P284" s="22"/>
      <c r="Q284" s="22" t="s">
        <v>8690</v>
      </c>
      <c r="R284" s="22"/>
    </row>
    <row r="285" customFormat="false" ht="15" hidden="false" customHeight="false" outlineLevel="0" collapsed="false">
      <c r="A285" s="22" t="s">
        <v>8987</v>
      </c>
      <c r="B285" s="23" t="n">
        <v>44840</v>
      </c>
      <c r="C285" s="22" t="s">
        <v>1271</v>
      </c>
      <c r="D285" s="22" t="n">
        <v>405</v>
      </c>
      <c r="E285" s="22" t="s">
        <v>8448</v>
      </c>
      <c r="F285" s="22" t="s">
        <v>188</v>
      </c>
      <c r="G285" s="22" t="n">
        <v>60</v>
      </c>
      <c r="H285" s="22" t="s">
        <v>7696</v>
      </c>
      <c r="I285" s="22" t="s">
        <v>8601</v>
      </c>
      <c r="J285" s="22" t="n">
        <v>7.55</v>
      </c>
      <c r="K285" s="22" t="n">
        <v>1</v>
      </c>
      <c r="L285" s="22" t="s">
        <v>8605</v>
      </c>
      <c r="M285" s="23" t="n">
        <v>44854</v>
      </c>
      <c r="N285" s="23" t="n">
        <v>44849</v>
      </c>
      <c r="O285" s="22" t="n">
        <v>9</v>
      </c>
      <c r="P285" s="22"/>
      <c r="Q285" s="22" t="s">
        <v>8918</v>
      </c>
      <c r="R285" s="22"/>
    </row>
    <row r="286" customFormat="false" ht="15" hidden="false" customHeight="false" outlineLevel="0" collapsed="false">
      <c r="A286" s="22" t="s">
        <v>8988</v>
      </c>
      <c r="B286" s="23" t="n">
        <v>44848</v>
      </c>
      <c r="C286" s="22" t="s">
        <v>992</v>
      </c>
      <c r="D286" s="22" t="n">
        <v>296</v>
      </c>
      <c r="E286" s="22" t="s">
        <v>8492</v>
      </c>
      <c r="F286" s="22" t="s">
        <v>188</v>
      </c>
      <c r="G286" s="22" t="n">
        <v>40</v>
      </c>
      <c r="H286" s="22" t="s">
        <v>7696</v>
      </c>
      <c r="I286" s="22" t="s">
        <v>8601</v>
      </c>
      <c r="J286" s="22" t="n">
        <v>7.55</v>
      </c>
      <c r="K286" s="22" t="n">
        <v>2</v>
      </c>
      <c r="L286" s="22" t="s">
        <v>8605</v>
      </c>
      <c r="M286" s="23" t="n">
        <v>44862</v>
      </c>
      <c r="N286" s="23" t="n">
        <v>44858</v>
      </c>
      <c r="O286" s="22" t="n">
        <v>10</v>
      </c>
      <c r="P286" s="22"/>
      <c r="Q286" s="22" t="s">
        <v>8989</v>
      </c>
      <c r="R286" s="22"/>
    </row>
    <row r="287" customFormat="false" ht="15" hidden="false" customHeight="false" outlineLevel="0" collapsed="false">
      <c r="A287" s="22" t="s">
        <v>8990</v>
      </c>
      <c r="B287" s="23" t="n">
        <v>44861</v>
      </c>
      <c r="C287" s="22" t="s">
        <v>4139</v>
      </c>
      <c r="D287" s="22" t="n">
        <v>1711</v>
      </c>
      <c r="E287" s="22" t="s">
        <v>8163</v>
      </c>
      <c r="F287" s="22" t="s">
        <v>499</v>
      </c>
      <c r="G287" s="22" t="n">
        <v>32</v>
      </c>
      <c r="H287" s="22" t="s">
        <v>7696</v>
      </c>
      <c r="I287" s="22" t="s">
        <v>8601</v>
      </c>
      <c r="J287" s="22" t="n">
        <v>7.55</v>
      </c>
      <c r="K287" s="22" t="n">
        <v>1</v>
      </c>
      <c r="L287" s="22" t="s">
        <v>8613</v>
      </c>
      <c r="M287" s="23" t="n">
        <v>44875</v>
      </c>
      <c r="N287" s="22"/>
      <c r="O287" s="22"/>
      <c r="P287" s="22"/>
      <c r="Q287" s="22"/>
      <c r="R287" s="22"/>
    </row>
    <row r="288" customFormat="false" ht="15" hidden="false" customHeight="false" outlineLevel="0" collapsed="false">
      <c r="A288" s="22" t="s">
        <v>8991</v>
      </c>
      <c r="B288" s="23" t="n">
        <v>44840</v>
      </c>
      <c r="C288" s="22" t="s">
        <v>4344</v>
      </c>
      <c r="D288" s="22" t="n">
        <v>1811</v>
      </c>
      <c r="E288" s="22" t="s">
        <v>8364</v>
      </c>
      <c r="F288" s="22" t="s">
        <v>188</v>
      </c>
      <c r="G288" s="22" t="n">
        <v>40</v>
      </c>
      <c r="H288" s="22" t="s">
        <v>7696</v>
      </c>
      <c r="I288" s="22" t="s">
        <v>8601</v>
      </c>
      <c r="J288" s="22" t="n">
        <v>7.55</v>
      </c>
      <c r="K288" s="22" t="n">
        <v>1</v>
      </c>
      <c r="L288" s="22" t="s">
        <v>8605</v>
      </c>
      <c r="M288" s="23" t="n">
        <v>44854</v>
      </c>
      <c r="N288" s="23" t="n">
        <v>44847</v>
      </c>
      <c r="O288" s="22" t="n">
        <v>7</v>
      </c>
      <c r="P288" s="22"/>
      <c r="Q288" s="22" t="s">
        <v>8992</v>
      </c>
      <c r="R288" s="22"/>
    </row>
    <row r="289" customFormat="false" ht="15" hidden="false" customHeight="false" outlineLevel="0" collapsed="false">
      <c r="A289" s="22" t="s">
        <v>8993</v>
      </c>
      <c r="B289" s="23" t="n">
        <v>44855</v>
      </c>
      <c r="C289" s="22" t="s">
        <v>5202</v>
      </c>
      <c r="D289" s="22" t="n">
        <v>2232</v>
      </c>
      <c r="E289" s="22" t="s">
        <v>8476</v>
      </c>
      <c r="F289" s="22" t="s">
        <v>188</v>
      </c>
      <c r="G289" s="22" t="n">
        <v>32</v>
      </c>
      <c r="H289" s="22" t="s">
        <v>7696</v>
      </c>
      <c r="I289" s="22" t="s">
        <v>8601</v>
      </c>
      <c r="J289" s="22" t="n">
        <v>7.55</v>
      </c>
      <c r="K289" s="22" t="n">
        <v>1</v>
      </c>
      <c r="L289" s="22" t="s">
        <v>8629</v>
      </c>
      <c r="M289" s="23" t="n">
        <v>44869</v>
      </c>
      <c r="N289" s="23" t="n">
        <v>44858</v>
      </c>
      <c r="O289" s="22" t="n">
        <v>3</v>
      </c>
      <c r="P289" s="22"/>
      <c r="Q289" s="22"/>
      <c r="R289" s="22"/>
    </row>
    <row r="290" customFormat="false" ht="15" hidden="false" customHeight="false" outlineLevel="0" collapsed="false">
      <c r="A290" s="22" t="s">
        <v>8994</v>
      </c>
      <c r="B290" s="23" t="n">
        <v>44862</v>
      </c>
      <c r="C290" s="22" t="s">
        <v>5441</v>
      </c>
      <c r="D290" s="22" t="n">
        <v>2352</v>
      </c>
      <c r="E290" s="22" t="s">
        <v>7472</v>
      </c>
      <c r="F290" s="22" t="s">
        <v>159</v>
      </c>
      <c r="G290" s="22" t="n">
        <v>36</v>
      </c>
      <c r="H290" s="22" t="s">
        <v>6575</v>
      </c>
      <c r="I290" s="22" t="s">
        <v>8601</v>
      </c>
      <c r="J290" s="22" t="n">
        <v>10.4</v>
      </c>
      <c r="K290" s="22" t="n">
        <v>1</v>
      </c>
      <c r="L290" s="22" t="s">
        <v>157</v>
      </c>
      <c r="M290" s="23" t="n">
        <v>44872</v>
      </c>
      <c r="N290" s="23" t="n">
        <v>44873</v>
      </c>
      <c r="O290" s="22" t="n">
        <v>11</v>
      </c>
      <c r="P290" s="22"/>
      <c r="Q290" s="22"/>
      <c r="R290" s="22"/>
    </row>
    <row r="291" customFormat="false" ht="15" hidden="false" customHeight="false" outlineLevel="0" collapsed="false">
      <c r="A291" s="22" t="s">
        <v>8995</v>
      </c>
      <c r="B291" s="23" t="n">
        <v>44868</v>
      </c>
      <c r="C291" s="22" t="s">
        <v>2989</v>
      </c>
      <c r="D291" s="22" t="n">
        <v>1158</v>
      </c>
      <c r="E291" s="22" t="s">
        <v>8588</v>
      </c>
      <c r="F291" s="22" t="s">
        <v>188</v>
      </c>
      <c r="G291" s="22" t="n">
        <v>80</v>
      </c>
      <c r="H291" s="22" t="s">
        <v>7696</v>
      </c>
      <c r="I291" s="22" t="s">
        <v>8601</v>
      </c>
      <c r="J291" s="22" t="n">
        <v>7.55</v>
      </c>
      <c r="K291" s="22" t="n">
        <v>2</v>
      </c>
      <c r="L291" s="22" t="s">
        <v>8602</v>
      </c>
      <c r="M291" s="23" t="n">
        <v>44882</v>
      </c>
      <c r="N291" s="22"/>
      <c r="O291" s="22"/>
      <c r="P291" s="22" t="s">
        <v>8618</v>
      </c>
      <c r="Q291" s="22"/>
      <c r="R291" s="22"/>
    </row>
    <row r="292" customFormat="false" ht="15" hidden="false" customHeight="false" outlineLevel="0" collapsed="false">
      <c r="A292" s="22" t="s">
        <v>8996</v>
      </c>
      <c r="B292" s="23" t="n">
        <v>44877</v>
      </c>
      <c r="C292" s="22" t="s">
        <v>3605</v>
      </c>
      <c r="D292" s="22" t="n">
        <v>1448</v>
      </c>
      <c r="E292" s="22" t="s">
        <v>8558</v>
      </c>
      <c r="F292" s="22" t="s">
        <v>188</v>
      </c>
      <c r="G292" s="22" t="n">
        <v>36</v>
      </c>
      <c r="H292" s="22" t="s">
        <v>7696</v>
      </c>
      <c r="I292" s="22" t="s">
        <v>8601</v>
      </c>
      <c r="J292" s="22" t="n">
        <v>7.55</v>
      </c>
      <c r="K292" s="22" t="n">
        <v>1</v>
      </c>
      <c r="L292" s="22" t="s">
        <v>157</v>
      </c>
      <c r="M292" s="23" t="n">
        <v>44891</v>
      </c>
      <c r="N292" s="23" t="n">
        <v>44879</v>
      </c>
      <c r="O292" s="22" t="n">
        <v>2</v>
      </c>
      <c r="P292" s="22"/>
      <c r="Q292" s="22"/>
      <c r="R292" s="22"/>
    </row>
    <row r="293" customFormat="false" ht="15" hidden="false" customHeight="false" outlineLevel="0" collapsed="false">
      <c r="A293" s="22" t="s">
        <v>8997</v>
      </c>
      <c r="B293" s="23" t="n">
        <v>44872</v>
      </c>
      <c r="C293" s="22" t="s">
        <v>1716</v>
      </c>
      <c r="D293" s="22" t="n">
        <v>592</v>
      </c>
      <c r="E293" s="22" t="s">
        <v>8147</v>
      </c>
      <c r="F293" s="22" t="s">
        <v>499</v>
      </c>
      <c r="G293" s="22" t="n">
        <v>60</v>
      </c>
      <c r="H293" s="22" t="s">
        <v>7696</v>
      </c>
      <c r="I293" s="22" t="s">
        <v>8601</v>
      </c>
      <c r="J293" s="22" t="n">
        <v>7.55</v>
      </c>
      <c r="K293" s="22" t="n">
        <v>1</v>
      </c>
      <c r="L293" s="22" t="s">
        <v>8629</v>
      </c>
      <c r="M293" s="23" t="n">
        <v>44886</v>
      </c>
      <c r="N293" s="23" t="n">
        <v>44885</v>
      </c>
      <c r="O293" s="22" t="n">
        <v>13</v>
      </c>
      <c r="P293" s="22"/>
      <c r="Q293" s="22"/>
      <c r="R293" s="22"/>
    </row>
    <row r="294" customFormat="false" ht="15" hidden="false" customHeight="false" outlineLevel="0" collapsed="false">
      <c r="A294" s="22" t="s">
        <v>8998</v>
      </c>
      <c r="B294" s="23" t="n">
        <v>44890</v>
      </c>
      <c r="C294" s="22" t="s">
        <v>3109</v>
      </c>
      <c r="D294" s="22" t="n">
        <v>1212</v>
      </c>
      <c r="E294" s="22" t="s">
        <v>7093</v>
      </c>
      <c r="F294" s="22" t="s">
        <v>198</v>
      </c>
      <c r="G294" s="22" t="n">
        <v>32</v>
      </c>
      <c r="H294" s="22" t="s">
        <v>6575</v>
      </c>
      <c r="I294" s="22" t="s">
        <v>8601</v>
      </c>
      <c r="J294" s="22" t="n">
        <v>10.4</v>
      </c>
      <c r="K294" s="22" t="n">
        <v>1</v>
      </c>
      <c r="L294" s="22" t="s">
        <v>8602</v>
      </c>
      <c r="M294" s="23" t="n">
        <v>44900</v>
      </c>
      <c r="N294" s="22"/>
      <c r="O294" s="22"/>
      <c r="P294" s="22" t="s">
        <v>8618</v>
      </c>
      <c r="Q294" s="22"/>
      <c r="R294" s="22"/>
    </row>
    <row r="295" customFormat="false" ht="15" hidden="false" customHeight="false" outlineLevel="0" collapsed="false">
      <c r="A295" s="22" t="s">
        <v>8999</v>
      </c>
      <c r="B295" s="23" t="n">
        <v>44891</v>
      </c>
      <c r="C295" s="22" t="s">
        <v>6433</v>
      </c>
      <c r="D295" s="22" t="n">
        <v>2850</v>
      </c>
      <c r="E295" s="22" t="s">
        <v>8405</v>
      </c>
      <c r="F295" s="22" t="s">
        <v>188</v>
      </c>
      <c r="G295" s="22" t="n">
        <v>32</v>
      </c>
      <c r="H295" s="22" t="s">
        <v>7696</v>
      </c>
      <c r="I295" s="22" t="s">
        <v>8601</v>
      </c>
      <c r="J295" s="22" t="n">
        <v>7.55</v>
      </c>
      <c r="K295" s="22" t="n">
        <v>2</v>
      </c>
      <c r="L295" s="22" t="s">
        <v>8608</v>
      </c>
      <c r="M295" s="23" t="n">
        <v>44905</v>
      </c>
      <c r="N295" s="23" t="n">
        <v>44901</v>
      </c>
      <c r="O295" s="22" t="n">
        <v>10</v>
      </c>
      <c r="P295" s="22"/>
      <c r="Q295" s="22"/>
      <c r="R295" s="22"/>
    </row>
    <row r="296" customFormat="false" ht="15" hidden="false" customHeight="false" outlineLevel="0" collapsed="false">
      <c r="A296" s="22" t="s">
        <v>9000</v>
      </c>
      <c r="B296" s="23" t="n">
        <v>44874</v>
      </c>
      <c r="C296" s="22" t="s">
        <v>4521</v>
      </c>
      <c r="D296" s="22" t="n">
        <v>1898</v>
      </c>
      <c r="E296" s="22" t="s">
        <v>8231</v>
      </c>
      <c r="F296" s="22" t="s">
        <v>499</v>
      </c>
      <c r="G296" s="22" t="n">
        <v>24</v>
      </c>
      <c r="H296" s="22" t="s">
        <v>7696</v>
      </c>
      <c r="I296" s="22" t="s">
        <v>8601</v>
      </c>
      <c r="J296" s="22" t="n">
        <v>7.55</v>
      </c>
      <c r="K296" s="22" t="n">
        <v>1</v>
      </c>
      <c r="L296" s="22" t="s">
        <v>8602</v>
      </c>
      <c r="M296" s="23" t="n">
        <v>44888</v>
      </c>
      <c r="N296" s="22"/>
      <c r="O296" s="22"/>
      <c r="P296" s="22" t="s">
        <v>8603</v>
      </c>
      <c r="Q296" s="22"/>
      <c r="R296" s="22"/>
    </row>
    <row r="297" customFormat="false" ht="15" hidden="false" customHeight="false" outlineLevel="0" collapsed="false">
      <c r="A297" s="22" t="s">
        <v>9001</v>
      </c>
      <c r="B297" s="23" t="n">
        <v>44868</v>
      </c>
      <c r="C297" s="22" t="s">
        <v>5266</v>
      </c>
      <c r="D297" s="22" t="n">
        <v>2263</v>
      </c>
      <c r="E297" s="22" t="s">
        <v>8410</v>
      </c>
      <c r="F297" s="22" t="s">
        <v>188</v>
      </c>
      <c r="G297" s="22" t="n">
        <v>28</v>
      </c>
      <c r="H297" s="22" t="s">
        <v>7696</v>
      </c>
      <c r="I297" s="22" t="s">
        <v>8601</v>
      </c>
      <c r="J297" s="22" t="n">
        <v>7.55</v>
      </c>
      <c r="K297" s="22" t="n">
        <v>2</v>
      </c>
      <c r="L297" s="22" t="s">
        <v>8602</v>
      </c>
      <c r="M297" s="23" t="n">
        <v>44882</v>
      </c>
      <c r="N297" s="22"/>
      <c r="O297" s="22"/>
      <c r="P297" s="22" t="s">
        <v>8603</v>
      </c>
      <c r="Q297" s="22"/>
      <c r="R297" s="22"/>
    </row>
    <row r="298" customFormat="false" ht="15" hidden="false" customHeight="false" outlineLevel="0" collapsed="false">
      <c r="A298" s="22" t="s">
        <v>9002</v>
      </c>
      <c r="B298" s="23" t="n">
        <v>44868</v>
      </c>
      <c r="C298" s="22" t="s">
        <v>2458</v>
      </c>
      <c r="D298" s="22" t="n">
        <v>919</v>
      </c>
      <c r="E298" s="22" t="s">
        <v>7692</v>
      </c>
      <c r="F298" s="22" t="s">
        <v>159</v>
      </c>
      <c r="G298" s="22" t="n">
        <v>32</v>
      </c>
      <c r="H298" s="22" t="s">
        <v>6575</v>
      </c>
      <c r="I298" s="22" t="s">
        <v>8601</v>
      </c>
      <c r="J298" s="22" t="n">
        <v>10.4</v>
      </c>
      <c r="K298" s="22" t="n">
        <v>1</v>
      </c>
      <c r="L298" s="22" t="s">
        <v>8605</v>
      </c>
      <c r="M298" s="23" t="n">
        <v>44878</v>
      </c>
      <c r="N298" s="23" t="n">
        <v>44880</v>
      </c>
      <c r="O298" s="22" t="n">
        <v>12</v>
      </c>
      <c r="P298" s="22"/>
      <c r="Q298" s="22" t="s">
        <v>9003</v>
      </c>
      <c r="R298" s="22"/>
    </row>
    <row r="299" customFormat="false" ht="15" hidden="false" customHeight="false" outlineLevel="0" collapsed="false">
      <c r="A299" s="22" t="s">
        <v>9004</v>
      </c>
      <c r="B299" s="23" t="n">
        <v>44870</v>
      </c>
      <c r="C299" s="22" t="s">
        <v>4801</v>
      </c>
      <c r="D299" s="22" t="n">
        <v>2034</v>
      </c>
      <c r="E299" s="22" t="s">
        <v>7936</v>
      </c>
      <c r="F299" s="22" t="s">
        <v>215</v>
      </c>
      <c r="G299" s="22" t="n">
        <v>32</v>
      </c>
      <c r="H299" s="22" t="s">
        <v>7696</v>
      </c>
      <c r="I299" s="22" t="s">
        <v>8601</v>
      </c>
      <c r="J299" s="22" t="n">
        <v>7.55</v>
      </c>
      <c r="K299" s="22" t="n">
        <v>1</v>
      </c>
      <c r="L299" s="22" t="s">
        <v>8605</v>
      </c>
      <c r="M299" s="23" t="n">
        <v>44884</v>
      </c>
      <c r="N299" s="23" t="n">
        <v>44872</v>
      </c>
      <c r="O299" s="22" t="n">
        <v>2</v>
      </c>
      <c r="P299" s="22"/>
      <c r="Q299" s="22" t="s">
        <v>8611</v>
      </c>
      <c r="R299" s="22"/>
    </row>
    <row r="300" customFormat="false" ht="15" hidden="false" customHeight="false" outlineLevel="0" collapsed="false">
      <c r="A300" s="22" t="s">
        <v>9005</v>
      </c>
      <c r="B300" s="23" t="n">
        <v>44877</v>
      </c>
      <c r="C300" s="22" t="s">
        <v>5393</v>
      </c>
      <c r="D300" s="22" t="n">
        <v>2327</v>
      </c>
      <c r="E300" s="22" t="s">
        <v>7166</v>
      </c>
      <c r="F300" s="22" t="s">
        <v>198</v>
      </c>
      <c r="G300" s="22" t="n">
        <v>36</v>
      </c>
      <c r="H300" s="22" t="s">
        <v>6575</v>
      </c>
      <c r="I300" s="22" t="s">
        <v>8601</v>
      </c>
      <c r="J300" s="22" t="n">
        <v>10.4</v>
      </c>
      <c r="K300" s="22" t="n">
        <v>2</v>
      </c>
      <c r="L300" s="22" t="s">
        <v>8605</v>
      </c>
      <c r="M300" s="23" t="n">
        <v>44887</v>
      </c>
      <c r="N300" s="23" t="n">
        <v>44886</v>
      </c>
      <c r="O300" s="22" t="n">
        <v>9</v>
      </c>
      <c r="P300" s="22"/>
      <c r="Q300" s="22" t="s">
        <v>8871</v>
      </c>
      <c r="R300" s="22"/>
    </row>
    <row r="301" customFormat="false" ht="15" hidden="false" customHeight="false" outlineLevel="0" collapsed="false">
      <c r="A301" s="22" t="s">
        <v>9006</v>
      </c>
      <c r="B301" s="23" t="n">
        <v>44886</v>
      </c>
      <c r="C301" s="22" t="s">
        <v>1156</v>
      </c>
      <c r="D301" s="22" t="n">
        <v>360</v>
      </c>
      <c r="E301" s="22" t="s">
        <v>7003</v>
      </c>
      <c r="F301" s="22" t="s">
        <v>198</v>
      </c>
      <c r="G301" s="22" t="n">
        <v>32</v>
      </c>
      <c r="H301" s="22" t="s">
        <v>6575</v>
      </c>
      <c r="I301" s="22" t="s">
        <v>8601</v>
      </c>
      <c r="J301" s="22" t="n">
        <v>10.4</v>
      </c>
      <c r="K301" s="22" t="n">
        <v>1</v>
      </c>
      <c r="L301" s="22" t="s">
        <v>8602</v>
      </c>
      <c r="M301" s="23" t="n">
        <v>44896</v>
      </c>
      <c r="N301" s="22"/>
      <c r="O301" s="22"/>
      <c r="P301" s="22" t="s">
        <v>8603</v>
      </c>
      <c r="Q301" s="22"/>
      <c r="R301" s="22"/>
    </row>
    <row r="302" customFormat="false" ht="15" hidden="false" customHeight="false" outlineLevel="0" collapsed="false">
      <c r="A302" s="22" t="s">
        <v>9007</v>
      </c>
      <c r="B302" s="23" t="n">
        <v>44887</v>
      </c>
      <c r="C302" s="22" t="s">
        <v>4871</v>
      </c>
      <c r="D302" s="22" t="n">
        <v>2068</v>
      </c>
      <c r="E302" s="22" t="s">
        <v>6717</v>
      </c>
      <c r="F302" s="22" t="s">
        <v>198</v>
      </c>
      <c r="G302" s="22" t="n">
        <v>24</v>
      </c>
      <c r="H302" s="22" t="s">
        <v>6575</v>
      </c>
      <c r="I302" s="22" t="s">
        <v>8601</v>
      </c>
      <c r="J302" s="22" t="n">
        <v>10.4</v>
      </c>
      <c r="K302" s="22" t="n">
        <v>1</v>
      </c>
      <c r="L302" s="22" t="s">
        <v>8613</v>
      </c>
      <c r="M302" s="23" t="n">
        <v>44897</v>
      </c>
      <c r="N302" s="22"/>
      <c r="O302" s="22"/>
      <c r="P302" s="22"/>
      <c r="Q302" s="22"/>
      <c r="R302" s="22"/>
    </row>
    <row r="303" customFormat="false" ht="15" hidden="false" customHeight="false" outlineLevel="0" collapsed="false">
      <c r="A303" s="22" t="s">
        <v>9008</v>
      </c>
      <c r="B303" s="23" t="n">
        <v>44871</v>
      </c>
      <c r="C303" s="22" t="s">
        <v>5329</v>
      </c>
      <c r="D303" s="22" t="n">
        <v>2295</v>
      </c>
      <c r="E303" s="22" t="s">
        <v>8415</v>
      </c>
      <c r="F303" s="22" t="s">
        <v>188</v>
      </c>
      <c r="G303" s="22" t="n">
        <v>24</v>
      </c>
      <c r="H303" s="22" t="s">
        <v>7696</v>
      </c>
      <c r="I303" s="22" t="s">
        <v>8601</v>
      </c>
      <c r="J303" s="22" t="n">
        <v>7.55</v>
      </c>
      <c r="K303" s="22" t="n">
        <v>1</v>
      </c>
      <c r="L303" s="22" t="s">
        <v>8629</v>
      </c>
      <c r="M303" s="23" t="n">
        <v>44885</v>
      </c>
      <c r="N303" s="23" t="n">
        <v>44872</v>
      </c>
      <c r="O303" s="22" t="n">
        <v>1</v>
      </c>
      <c r="P303" s="22"/>
      <c r="Q303" s="22"/>
      <c r="R303" s="22"/>
    </row>
    <row r="304" customFormat="false" ht="15" hidden="false" customHeight="false" outlineLevel="0" collapsed="false">
      <c r="A304" s="22" t="s">
        <v>9009</v>
      </c>
      <c r="B304" s="23" t="n">
        <v>44870</v>
      </c>
      <c r="C304" s="22" t="s">
        <v>5391</v>
      </c>
      <c r="D304" s="22" t="n">
        <v>2326</v>
      </c>
      <c r="E304" s="22" t="s">
        <v>6760</v>
      </c>
      <c r="F304" s="22" t="s">
        <v>198</v>
      </c>
      <c r="G304" s="22" t="n">
        <v>32</v>
      </c>
      <c r="H304" s="22" t="s">
        <v>6575</v>
      </c>
      <c r="I304" s="22" t="s">
        <v>8601</v>
      </c>
      <c r="J304" s="22" t="n">
        <v>10.4</v>
      </c>
      <c r="K304" s="22" t="n">
        <v>1</v>
      </c>
      <c r="L304" s="22" t="s">
        <v>8605</v>
      </c>
      <c r="M304" s="23" t="n">
        <v>44880</v>
      </c>
      <c r="N304" s="23" t="n">
        <v>44876</v>
      </c>
      <c r="O304" s="22" t="n">
        <v>6</v>
      </c>
      <c r="P304" s="22"/>
      <c r="Q304" s="22" t="s">
        <v>8824</v>
      </c>
      <c r="R304" s="22"/>
    </row>
    <row r="305" customFormat="false" ht="15" hidden="false" customHeight="false" outlineLevel="0" collapsed="false">
      <c r="A305" s="22" t="s">
        <v>9010</v>
      </c>
      <c r="B305" s="23" t="n">
        <v>44878</v>
      </c>
      <c r="C305" s="22" t="s">
        <v>1414</v>
      </c>
      <c r="D305" s="22" t="n">
        <v>465</v>
      </c>
      <c r="E305" s="22" t="s">
        <v>7571</v>
      </c>
      <c r="F305" s="22" t="s">
        <v>159</v>
      </c>
      <c r="G305" s="22" t="n">
        <v>32</v>
      </c>
      <c r="H305" s="22" t="s">
        <v>6575</v>
      </c>
      <c r="I305" s="22" t="s">
        <v>8601</v>
      </c>
      <c r="J305" s="22" t="n">
        <v>10.4</v>
      </c>
      <c r="K305" s="22" t="n">
        <v>2</v>
      </c>
      <c r="L305" s="22" t="s">
        <v>8613</v>
      </c>
      <c r="M305" s="23" t="n">
        <v>44888</v>
      </c>
      <c r="N305" s="22"/>
      <c r="O305" s="22"/>
      <c r="P305" s="22"/>
      <c r="Q305" s="22"/>
      <c r="R305" s="22"/>
    </row>
    <row r="306" customFormat="false" ht="15" hidden="false" customHeight="false" outlineLevel="0" collapsed="false">
      <c r="A306" s="22" t="s">
        <v>9011</v>
      </c>
      <c r="B306" s="23" t="n">
        <v>44886</v>
      </c>
      <c r="C306" s="22" t="s">
        <v>4004</v>
      </c>
      <c r="D306" s="22" t="n">
        <v>1645</v>
      </c>
      <c r="E306" s="22" t="s">
        <v>7166</v>
      </c>
      <c r="F306" s="22" t="s">
        <v>198</v>
      </c>
      <c r="G306" s="22" t="n">
        <v>36</v>
      </c>
      <c r="H306" s="22" t="s">
        <v>6575</v>
      </c>
      <c r="I306" s="22" t="s">
        <v>8601</v>
      </c>
      <c r="J306" s="22" t="n">
        <v>10.4</v>
      </c>
      <c r="K306" s="22" t="n">
        <v>2</v>
      </c>
      <c r="L306" s="22" t="s">
        <v>157</v>
      </c>
      <c r="M306" s="23" t="n">
        <v>44896</v>
      </c>
      <c r="N306" s="23" t="n">
        <v>44896</v>
      </c>
      <c r="O306" s="22" t="n">
        <v>10</v>
      </c>
      <c r="P306" s="22"/>
      <c r="Q306" s="22"/>
      <c r="R306" s="22"/>
    </row>
    <row r="307" customFormat="false" ht="15" hidden="false" customHeight="false" outlineLevel="0" collapsed="false">
      <c r="A307" s="22" t="s">
        <v>9012</v>
      </c>
      <c r="B307" s="23" t="n">
        <v>44879</v>
      </c>
      <c r="C307" s="22" t="s">
        <v>825</v>
      </c>
      <c r="D307" s="22" t="n">
        <v>233</v>
      </c>
      <c r="E307" s="22" t="s">
        <v>8128</v>
      </c>
      <c r="F307" s="22" t="s">
        <v>499</v>
      </c>
      <c r="G307" s="22" t="n">
        <v>36</v>
      </c>
      <c r="H307" s="22" t="s">
        <v>7696</v>
      </c>
      <c r="I307" s="22" t="s">
        <v>8601</v>
      </c>
      <c r="J307" s="22" t="n">
        <v>7.55</v>
      </c>
      <c r="K307" s="22" t="n">
        <v>1</v>
      </c>
      <c r="L307" s="22" t="s">
        <v>157</v>
      </c>
      <c r="M307" s="23" t="n">
        <v>44893</v>
      </c>
      <c r="N307" s="23" t="n">
        <v>44891</v>
      </c>
      <c r="O307" s="22" t="n">
        <v>12</v>
      </c>
      <c r="P307" s="22"/>
      <c r="Q307" s="22"/>
      <c r="R307" s="22"/>
    </row>
    <row r="308" customFormat="false" ht="15" hidden="false" customHeight="false" outlineLevel="0" collapsed="false">
      <c r="A308" s="22" t="s">
        <v>9013</v>
      </c>
      <c r="B308" s="23" t="n">
        <v>44881</v>
      </c>
      <c r="C308" s="22" t="s">
        <v>1756</v>
      </c>
      <c r="D308" s="22" t="n">
        <v>609</v>
      </c>
      <c r="E308" s="22" t="s">
        <v>8019</v>
      </c>
      <c r="F308" s="22" t="s">
        <v>215</v>
      </c>
      <c r="G308" s="22" t="n">
        <v>40</v>
      </c>
      <c r="H308" s="22" t="s">
        <v>7696</v>
      </c>
      <c r="I308" s="22" t="s">
        <v>8601</v>
      </c>
      <c r="J308" s="22" t="n">
        <v>7.55</v>
      </c>
      <c r="K308" s="22" t="n">
        <v>1</v>
      </c>
      <c r="L308" s="22" t="s">
        <v>8605</v>
      </c>
      <c r="M308" s="23" t="n">
        <v>44895</v>
      </c>
      <c r="N308" s="23" t="n">
        <v>44883</v>
      </c>
      <c r="O308" s="22" t="n">
        <v>2</v>
      </c>
      <c r="P308" s="22"/>
      <c r="Q308" s="22" t="s">
        <v>8818</v>
      </c>
      <c r="R308" s="22"/>
    </row>
    <row r="309" customFormat="false" ht="15" hidden="false" customHeight="false" outlineLevel="0" collapsed="false">
      <c r="A309" s="22" t="s">
        <v>9014</v>
      </c>
      <c r="B309" s="23" t="n">
        <v>44882</v>
      </c>
      <c r="C309" s="22" t="s">
        <v>5919</v>
      </c>
      <c r="D309" s="22" t="n">
        <v>2590</v>
      </c>
      <c r="E309" s="22" t="s">
        <v>7363</v>
      </c>
      <c r="F309" s="22" t="s">
        <v>159</v>
      </c>
      <c r="G309" s="22" t="n">
        <v>28</v>
      </c>
      <c r="H309" s="22" t="s">
        <v>6575</v>
      </c>
      <c r="I309" s="22" t="s">
        <v>8601</v>
      </c>
      <c r="J309" s="22" t="n">
        <v>10.4</v>
      </c>
      <c r="K309" s="22" t="n">
        <v>2</v>
      </c>
      <c r="L309" s="22" t="s">
        <v>8608</v>
      </c>
      <c r="M309" s="23" t="n">
        <v>44892</v>
      </c>
      <c r="N309" s="23" t="n">
        <v>44887</v>
      </c>
      <c r="O309" s="22" t="n">
        <v>5</v>
      </c>
      <c r="P309" s="22"/>
      <c r="Q309" s="22"/>
      <c r="R309" s="22"/>
    </row>
    <row r="310" customFormat="false" ht="15" hidden="false" customHeight="false" outlineLevel="0" collapsed="false">
      <c r="A310" s="22" t="s">
        <v>9015</v>
      </c>
      <c r="B310" s="23" t="n">
        <v>44879</v>
      </c>
      <c r="C310" s="22" t="s">
        <v>4444</v>
      </c>
      <c r="D310" s="22" t="n">
        <v>1860</v>
      </c>
      <c r="E310" s="22" t="s">
        <v>8124</v>
      </c>
      <c r="F310" s="22" t="s">
        <v>499</v>
      </c>
      <c r="G310" s="22" t="n">
        <v>32</v>
      </c>
      <c r="H310" s="22" t="s">
        <v>7696</v>
      </c>
      <c r="I310" s="22" t="s">
        <v>8601</v>
      </c>
      <c r="J310" s="22" t="n">
        <v>7.55</v>
      </c>
      <c r="K310" s="22" t="n">
        <v>2</v>
      </c>
      <c r="L310" s="22" t="s">
        <v>8602</v>
      </c>
      <c r="M310" s="23" t="n">
        <v>44893</v>
      </c>
      <c r="N310" s="22"/>
      <c r="O310" s="22"/>
      <c r="P310" s="22" t="s">
        <v>8637</v>
      </c>
      <c r="Q310" s="22"/>
      <c r="R310" s="22"/>
    </row>
    <row r="311" customFormat="false" ht="15" hidden="false" customHeight="false" outlineLevel="0" collapsed="false">
      <c r="A311" s="22" t="s">
        <v>9016</v>
      </c>
      <c r="B311" s="23" t="n">
        <v>44881</v>
      </c>
      <c r="C311" s="22" t="s">
        <v>633</v>
      </c>
      <c r="D311" s="22" t="n">
        <v>162</v>
      </c>
      <c r="E311" s="22" t="s">
        <v>7491</v>
      </c>
      <c r="F311" s="22" t="s">
        <v>159</v>
      </c>
      <c r="G311" s="22" t="n">
        <v>28</v>
      </c>
      <c r="H311" s="22" t="s">
        <v>6575</v>
      </c>
      <c r="I311" s="22" t="s">
        <v>8601</v>
      </c>
      <c r="J311" s="22" t="n">
        <v>10.4</v>
      </c>
      <c r="K311" s="22" t="n">
        <v>2</v>
      </c>
      <c r="L311" s="22" t="s">
        <v>8602</v>
      </c>
      <c r="M311" s="23" t="n">
        <v>44891</v>
      </c>
      <c r="N311" s="22"/>
      <c r="O311" s="22"/>
      <c r="P311" s="22" t="s">
        <v>8618</v>
      </c>
      <c r="Q311" s="22"/>
      <c r="R311" s="22"/>
    </row>
    <row r="312" customFormat="false" ht="15" hidden="false" customHeight="false" outlineLevel="0" collapsed="false">
      <c r="A312" s="22" t="s">
        <v>9017</v>
      </c>
      <c r="B312" s="23" t="n">
        <v>44900</v>
      </c>
      <c r="C312" s="22" t="s">
        <v>2543</v>
      </c>
      <c r="D312" s="22" t="n">
        <v>957</v>
      </c>
      <c r="E312" s="22" t="s">
        <v>8292</v>
      </c>
      <c r="F312" s="22" t="s">
        <v>499</v>
      </c>
      <c r="G312" s="22" t="n">
        <v>50</v>
      </c>
      <c r="H312" s="22" t="s">
        <v>7696</v>
      </c>
      <c r="I312" s="22" t="s">
        <v>8601</v>
      </c>
      <c r="J312" s="22" t="n">
        <v>7.55</v>
      </c>
      <c r="K312" s="22" t="n">
        <v>2</v>
      </c>
      <c r="L312" s="22" t="s">
        <v>8613</v>
      </c>
      <c r="M312" s="23" t="n">
        <v>44914</v>
      </c>
      <c r="N312" s="22"/>
      <c r="O312" s="22"/>
      <c r="P312" s="22"/>
      <c r="Q312" s="22"/>
      <c r="R312" s="22"/>
    </row>
    <row r="313" customFormat="false" ht="15" hidden="false" customHeight="false" outlineLevel="0" collapsed="false">
      <c r="A313" s="22" t="s">
        <v>9018</v>
      </c>
      <c r="B313" s="23" t="n">
        <v>44915</v>
      </c>
      <c r="C313" s="22" t="s">
        <v>5679</v>
      </c>
      <c r="D313" s="22" t="n">
        <v>2470</v>
      </c>
      <c r="E313" s="22" t="s">
        <v>8486</v>
      </c>
      <c r="F313" s="22" t="s">
        <v>188</v>
      </c>
      <c r="G313" s="22" t="n">
        <v>24</v>
      </c>
      <c r="H313" s="22" t="s">
        <v>7696</v>
      </c>
      <c r="I313" s="22" t="s">
        <v>8601</v>
      </c>
      <c r="J313" s="22" t="n">
        <v>7.55</v>
      </c>
      <c r="K313" s="22" t="n">
        <v>1</v>
      </c>
      <c r="L313" s="22" t="s">
        <v>8602</v>
      </c>
      <c r="M313" s="23" t="n">
        <v>44929</v>
      </c>
      <c r="N313" s="22"/>
      <c r="O313" s="22"/>
      <c r="P313" s="22" t="s">
        <v>8637</v>
      </c>
      <c r="Q313" s="22"/>
      <c r="R313" s="22"/>
    </row>
    <row r="314" customFormat="false" ht="15" hidden="false" customHeight="false" outlineLevel="0" collapsed="false">
      <c r="A314" s="22" t="s">
        <v>9019</v>
      </c>
      <c r="B314" s="23" t="n">
        <v>44913</v>
      </c>
      <c r="C314" s="22" t="s">
        <v>1429</v>
      </c>
      <c r="D314" s="22" t="n">
        <v>471</v>
      </c>
      <c r="E314" s="22" t="s">
        <v>8262</v>
      </c>
      <c r="F314" s="22" t="s">
        <v>499</v>
      </c>
      <c r="G314" s="22" t="n">
        <v>45</v>
      </c>
      <c r="H314" s="22" t="s">
        <v>7696</v>
      </c>
      <c r="I314" s="22" t="s">
        <v>8601</v>
      </c>
      <c r="J314" s="22" t="n">
        <v>7.55</v>
      </c>
      <c r="K314" s="22" t="n">
        <v>1</v>
      </c>
      <c r="L314" s="22" t="s">
        <v>8605</v>
      </c>
      <c r="M314" s="23" t="n">
        <v>44927</v>
      </c>
      <c r="N314" s="23" t="n">
        <v>44925</v>
      </c>
      <c r="O314" s="22" t="n">
        <v>12</v>
      </c>
      <c r="P314" s="22"/>
      <c r="Q314" s="22" t="s">
        <v>9020</v>
      </c>
      <c r="R314" s="22"/>
    </row>
    <row r="315" customFormat="false" ht="15" hidden="false" customHeight="false" outlineLevel="0" collapsed="false">
      <c r="A315" s="22" t="s">
        <v>9021</v>
      </c>
      <c r="B315" s="23" t="n">
        <v>44909</v>
      </c>
      <c r="C315" s="22" t="s">
        <v>2796</v>
      </c>
      <c r="D315" s="22" t="n">
        <v>1070</v>
      </c>
      <c r="E315" s="22" t="s">
        <v>8281</v>
      </c>
      <c r="F315" s="22" t="s">
        <v>499</v>
      </c>
      <c r="G315" s="22" t="n">
        <v>60</v>
      </c>
      <c r="H315" s="22" t="s">
        <v>7696</v>
      </c>
      <c r="I315" s="22" t="s">
        <v>8601</v>
      </c>
      <c r="J315" s="22" t="n">
        <v>7.55</v>
      </c>
      <c r="K315" s="22" t="n">
        <v>2</v>
      </c>
      <c r="L315" s="22" t="s">
        <v>8605</v>
      </c>
      <c r="M315" s="23" t="n">
        <v>44923</v>
      </c>
      <c r="N315" s="23" t="n">
        <v>44912</v>
      </c>
      <c r="O315" s="22" t="n">
        <v>3</v>
      </c>
      <c r="P315" s="22"/>
      <c r="Q315" s="22" t="s">
        <v>9022</v>
      </c>
      <c r="R315" s="22"/>
    </row>
    <row r="316" customFormat="false" ht="15" hidden="false" customHeight="false" outlineLevel="0" collapsed="false">
      <c r="A316" s="22" t="s">
        <v>9023</v>
      </c>
      <c r="B316" s="23" t="n">
        <v>44905</v>
      </c>
      <c r="C316" s="22" t="s">
        <v>1085</v>
      </c>
      <c r="D316" s="22" t="n">
        <v>331</v>
      </c>
      <c r="E316" s="22" t="s">
        <v>6661</v>
      </c>
      <c r="F316" s="22" t="s">
        <v>198</v>
      </c>
      <c r="G316" s="22" t="n">
        <v>28</v>
      </c>
      <c r="H316" s="22" t="s">
        <v>6575</v>
      </c>
      <c r="I316" s="22" t="s">
        <v>8601</v>
      </c>
      <c r="J316" s="22" t="n">
        <v>10.4</v>
      </c>
      <c r="K316" s="22" t="n">
        <v>1</v>
      </c>
      <c r="L316" s="22" t="s">
        <v>8605</v>
      </c>
      <c r="M316" s="23" t="n">
        <v>44915</v>
      </c>
      <c r="N316" s="23" t="n">
        <v>44911</v>
      </c>
      <c r="O316" s="22" t="n">
        <v>6</v>
      </c>
      <c r="P316" s="22"/>
      <c r="Q316" s="22" t="s">
        <v>9024</v>
      </c>
      <c r="R316" s="22"/>
    </row>
    <row r="317" customFormat="false" ht="15" hidden="false" customHeight="false" outlineLevel="0" collapsed="false">
      <c r="A317" s="22" t="s">
        <v>9025</v>
      </c>
      <c r="B317" s="23" t="n">
        <v>44907</v>
      </c>
      <c r="C317" s="22" t="s">
        <v>2252</v>
      </c>
      <c r="D317" s="22" t="n">
        <v>824</v>
      </c>
      <c r="E317" s="22" t="s">
        <v>7073</v>
      </c>
      <c r="F317" s="22" t="s">
        <v>198</v>
      </c>
      <c r="G317" s="22" t="n">
        <v>36</v>
      </c>
      <c r="H317" s="22" t="s">
        <v>6575</v>
      </c>
      <c r="I317" s="22" t="s">
        <v>8601</v>
      </c>
      <c r="J317" s="22" t="n">
        <v>10.4</v>
      </c>
      <c r="K317" s="22" t="n">
        <v>1</v>
      </c>
      <c r="L317" s="22" t="s">
        <v>8602</v>
      </c>
      <c r="M317" s="23" t="n">
        <v>44917</v>
      </c>
      <c r="N317" s="22"/>
      <c r="O317" s="22"/>
      <c r="P317" s="22" t="s">
        <v>8618</v>
      </c>
      <c r="Q317" s="22"/>
      <c r="R317" s="22"/>
    </row>
    <row r="318" customFormat="false" ht="15" hidden="false" customHeight="false" outlineLevel="0" collapsed="false">
      <c r="A318" s="22" t="s">
        <v>9026</v>
      </c>
      <c r="B318" s="23" t="n">
        <v>44901</v>
      </c>
      <c r="C318" s="22" t="s">
        <v>4414</v>
      </c>
      <c r="D318" s="22" t="n">
        <v>1845</v>
      </c>
      <c r="E318" s="22" t="s">
        <v>7901</v>
      </c>
      <c r="F318" s="22" t="s">
        <v>215</v>
      </c>
      <c r="G318" s="22" t="n">
        <v>60</v>
      </c>
      <c r="H318" s="22" t="s">
        <v>7696</v>
      </c>
      <c r="I318" s="22" t="s">
        <v>8601</v>
      </c>
      <c r="J318" s="22" t="n">
        <v>7.55</v>
      </c>
      <c r="K318" s="22" t="n">
        <v>2</v>
      </c>
      <c r="L318" s="22" t="s">
        <v>8605</v>
      </c>
      <c r="M318" s="23" t="n">
        <v>44915</v>
      </c>
      <c r="N318" s="23" t="n">
        <v>44909</v>
      </c>
      <c r="O318" s="22" t="n">
        <v>8</v>
      </c>
      <c r="P318" s="22"/>
      <c r="Q318" s="22" t="s">
        <v>9027</v>
      </c>
      <c r="R318" s="22"/>
    </row>
    <row r="319" customFormat="false" ht="15" hidden="false" customHeight="false" outlineLevel="0" collapsed="false">
      <c r="A319" s="22" t="s">
        <v>9028</v>
      </c>
      <c r="B319" s="23" t="n">
        <v>44923</v>
      </c>
      <c r="C319" s="22" t="s">
        <v>4006</v>
      </c>
      <c r="D319" s="22" t="n">
        <v>1646</v>
      </c>
      <c r="E319" s="22" t="s">
        <v>6597</v>
      </c>
      <c r="F319" s="22" t="s">
        <v>198</v>
      </c>
      <c r="G319" s="22" t="n">
        <v>24</v>
      </c>
      <c r="H319" s="22" t="s">
        <v>6575</v>
      </c>
      <c r="I319" s="22" t="s">
        <v>8601</v>
      </c>
      <c r="J319" s="22" t="n">
        <v>10.4</v>
      </c>
      <c r="K319" s="22" t="n">
        <v>1</v>
      </c>
      <c r="L319" s="22" t="s">
        <v>8605</v>
      </c>
      <c r="M319" s="23" t="n">
        <v>44933</v>
      </c>
      <c r="N319" s="23" t="n">
        <v>44930</v>
      </c>
      <c r="O319" s="22" t="n">
        <v>7</v>
      </c>
      <c r="P319" s="22"/>
      <c r="Q319" s="22" t="s">
        <v>9029</v>
      </c>
      <c r="R319" s="22"/>
    </row>
    <row r="320" customFormat="false" ht="15" hidden="false" customHeight="false" outlineLevel="0" collapsed="false">
      <c r="A320" s="22" t="s">
        <v>9030</v>
      </c>
      <c r="B320" s="23" t="n">
        <v>44897</v>
      </c>
      <c r="C320" s="22" t="s">
        <v>4000</v>
      </c>
      <c r="D320" s="22" t="n">
        <v>1643</v>
      </c>
      <c r="E320" s="22" t="s">
        <v>7830</v>
      </c>
      <c r="F320" s="22" t="s">
        <v>215</v>
      </c>
      <c r="G320" s="22" t="n">
        <v>32</v>
      </c>
      <c r="H320" s="22" t="s">
        <v>7696</v>
      </c>
      <c r="I320" s="22" t="s">
        <v>8601</v>
      </c>
      <c r="J320" s="22" t="n">
        <v>7.55</v>
      </c>
      <c r="K320" s="22" t="n">
        <v>1</v>
      </c>
      <c r="L320" s="22" t="s">
        <v>8629</v>
      </c>
      <c r="M320" s="23" t="n">
        <v>44911</v>
      </c>
      <c r="N320" s="23" t="n">
        <v>44899</v>
      </c>
      <c r="O320" s="22" t="n">
        <v>2</v>
      </c>
      <c r="P320" s="22"/>
      <c r="Q320" s="22"/>
      <c r="R320" s="22"/>
    </row>
    <row r="321" customFormat="false" ht="15" hidden="false" customHeight="false" outlineLevel="0" collapsed="false">
      <c r="A321" s="22" t="s">
        <v>9031</v>
      </c>
      <c r="B321" s="23" t="n">
        <v>44900</v>
      </c>
      <c r="C321" s="22" t="s">
        <v>4109</v>
      </c>
      <c r="D321" s="22" t="n">
        <v>1696</v>
      </c>
      <c r="E321" s="22" t="s">
        <v>8469</v>
      </c>
      <c r="F321" s="22" t="s">
        <v>188</v>
      </c>
      <c r="G321" s="22" t="n">
        <v>45</v>
      </c>
      <c r="H321" s="22" t="s">
        <v>7696</v>
      </c>
      <c r="I321" s="22" t="s">
        <v>8601</v>
      </c>
      <c r="J321" s="22" t="n">
        <v>7.55</v>
      </c>
      <c r="K321" s="22" t="n">
        <v>2</v>
      </c>
      <c r="L321" s="22" t="s">
        <v>8613</v>
      </c>
      <c r="M321" s="23" t="n">
        <v>44914</v>
      </c>
      <c r="N321" s="22"/>
      <c r="O321" s="22"/>
      <c r="P321" s="22"/>
      <c r="Q321" s="22"/>
      <c r="R321" s="22"/>
    </row>
    <row r="322" customFormat="false" ht="15" hidden="false" customHeight="false" outlineLevel="0" collapsed="false">
      <c r="A322" s="22" t="s">
        <v>9032</v>
      </c>
      <c r="B322" s="23" t="n">
        <v>44948</v>
      </c>
      <c r="C322" s="22" t="s">
        <v>4767</v>
      </c>
      <c r="D322" s="22" t="n">
        <v>2017</v>
      </c>
      <c r="E322" s="22" t="s">
        <v>7897</v>
      </c>
      <c r="F322" s="22" t="s">
        <v>215</v>
      </c>
      <c r="G322" s="22" t="n">
        <v>80</v>
      </c>
      <c r="H322" s="22" t="s">
        <v>7696</v>
      </c>
      <c r="I322" s="22" t="s">
        <v>8601</v>
      </c>
      <c r="J322" s="22" t="n">
        <v>7.55</v>
      </c>
      <c r="K322" s="22" t="n">
        <v>1</v>
      </c>
      <c r="L322" s="22" t="s">
        <v>8605</v>
      </c>
      <c r="M322" s="23" t="n">
        <v>44962</v>
      </c>
      <c r="N322" s="23" t="n">
        <v>44951</v>
      </c>
      <c r="O322" s="22" t="n">
        <v>3</v>
      </c>
      <c r="P322" s="22"/>
      <c r="Q322" s="22" t="s">
        <v>9033</v>
      </c>
      <c r="R322" s="22"/>
    </row>
    <row r="323" customFormat="false" ht="15" hidden="false" customHeight="false" outlineLevel="0" collapsed="false">
      <c r="A323" s="22" t="s">
        <v>9034</v>
      </c>
      <c r="B323" s="23" t="n">
        <v>44932</v>
      </c>
      <c r="C323" s="22" t="s">
        <v>2904</v>
      </c>
      <c r="D323" s="22" t="n">
        <v>1119</v>
      </c>
      <c r="E323" s="22" t="s">
        <v>7897</v>
      </c>
      <c r="F323" s="22" t="s">
        <v>215</v>
      </c>
      <c r="G323" s="22" t="n">
        <v>80</v>
      </c>
      <c r="H323" s="22" t="s">
        <v>7696</v>
      </c>
      <c r="I323" s="22" t="s">
        <v>8601</v>
      </c>
      <c r="J323" s="22" t="n">
        <v>7.55</v>
      </c>
      <c r="K323" s="22" t="n">
        <v>1</v>
      </c>
      <c r="L323" s="22" t="s">
        <v>8605</v>
      </c>
      <c r="M323" s="23" t="n">
        <v>44946</v>
      </c>
      <c r="N323" s="23" t="n">
        <v>44941</v>
      </c>
      <c r="O323" s="22" t="n">
        <v>9</v>
      </c>
      <c r="P323" s="22"/>
      <c r="Q323" s="22" t="s">
        <v>9033</v>
      </c>
      <c r="R323" s="22"/>
    </row>
    <row r="324" customFormat="false" ht="15" hidden="false" customHeight="false" outlineLevel="0" collapsed="false">
      <c r="A324" s="22" t="s">
        <v>9035</v>
      </c>
      <c r="B324" s="23" t="n">
        <v>44934</v>
      </c>
      <c r="C324" s="22" t="s">
        <v>4932</v>
      </c>
      <c r="D324" s="22" t="n">
        <v>2099</v>
      </c>
      <c r="E324" s="22" t="s">
        <v>6769</v>
      </c>
      <c r="F324" s="22" t="s">
        <v>198</v>
      </c>
      <c r="G324" s="22" t="n">
        <v>40</v>
      </c>
      <c r="H324" s="22" t="s">
        <v>6575</v>
      </c>
      <c r="I324" s="22" t="s">
        <v>8601</v>
      </c>
      <c r="J324" s="22" t="n">
        <v>10.4</v>
      </c>
      <c r="K324" s="22" t="n">
        <v>1</v>
      </c>
      <c r="L324" s="22" t="s">
        <v>8602</v>
      </c>
      <c r="M324" s="23" t="n">
        <v>44944</v>
      </c>
      <c r="N324" s="22"/>
      <c r="O324" s="22"/>
      <c r="P324" s="22" t="s">
        <v>8603</v>
      </c>
      <c r="Q324" s="22"/>
      <c r="R324" s="22"/>
    </row>
    <row r="325" customFormat="false" ht="15" hidden="false" customHeight="false" outlineLevel="0" collapsed="false">
      <c r="A325" s="22" t="s">
        <v>9036</v>
      </c>
      <c r="B325" s="23" t="n">
        <v>44934</v>
      </c>
      <c r="C325" s="22" t="s">
        <v>4086</v>
      </c>
      <c r="D325" s="22" t="n">
        <v>1685</v>
      </c>
      <c r="E325" s="22" t="s">
        <v>7139</v>
      </c>
      <c r="F325" s="22" t="s">
        <v>198</v>
      </c>
      <c r="G325" s="22" t="n">
        <v>28</v>
      </c>
      <c r="H325" s="22" t="s">
        <v>6575</v>
      </c>
      <c r="I325" s="22" t="s">
        <v>8601</v>
      </c>
      <c r="J325" s="22" t="n">
        <v>10.4</v>
      </c>
      <c r="K325" s="22" t="n">
        <v>1</v>
      </c>
      <c r="L325" s="22" t="s">
        <v>8602</v>
      </c>
      <c r="M325" s="23" t="n">
        <v>44944</v>
      </c>
      <c r="N325" s="22"/>
      <c r="O325" s="22"/>
      <c r="P325" s="22" t="s">
        <v>8603</v>
      </c>
      <c r="Q325" s="22"/>
      <c r="R325" s="22"/>
    </row>
    <row r="326" customFormat="false" ht="15" hidden="false" customHeight="false" outlineLevel="0" collapsed="false">
      <c r="A326" s="22" t="s">
        <v>9037</v>
      </c>
      <c r="B326" s="23" t="n">
        <v>44936</v>
      </c>
      <c r="C326" s="22" t="s">
        <v>2956</v>
      </c>
      <c r="D326" s="22" t="n">
        <v>1143</v>
      </c>
      <c r="E326" s="22" t="s">
        <v>8020</v>
      </c>
      <c r="F326" s="22" t="s">
        <v>215</v>
      </c>
      <c r="G326" s="22" t="n">
        <v>24</v>
      </c>
      <c r="H326" s="22" t="s">
        <v>7696</v>
      </c>
      <c r="I326" s="22" t="s">
        <v>8601</v>
      </c>
      <c r="J326" s="22" t="n">
        <v>7.55</v>
      </c>
      <c r="K326" s="22" t="n">
        <v>1</v>
      </c>
      <c r="L326" s="22" t="s">
        <v>8629</v>
      </c>
      <c r="M326" s="23" t="n">
        <v>44950</v>
      </c>
      <c r="N326" s="23" t="n">
        <v>44946</v>
      </c>
      <c r="O326" s="22" t="n">
        <v>10</v>
      </c>
      <c r="P326" s="22"/>
      <c r="Q326" s="22"/>
      <c r="R326" s="22"/>
    </row>
    <row r="327" customFormat="false" ht="15" hidden="false" customHeight="false" outlineLevel="0" collapsed="false">
      <c r="A327" s="22" t="s">
        <v>9038</v>
      </c>
      <c r="B327" s="23" t="n">
        <v>44952</v>
      </c>
      <c r="C327" s="22" t="s">
        <v>996</v>
      </c>
      <c r="D327" s="22" t="n">
        <v>298</v>
      </c>
      <c r="E327" s="22" t="s">
        <v>8232</v>
      </c>
      <c r="F327" s="22" t="s">
        <v>499</v>
      </c>
      <c r="G327" s="22" t="n">
        <v>70</v>
      </c>
      <c r="H327" s="22" t="s">
        <v>7696</v>
      </c>
      <c r="I327" s="22" t="s">
        <v>8601</v>
      </c>
      <c r="J327" s="22" t="n">
        <v>7.55</v>
      </c>
      <c r="K327" s="22" t="n">
        <v>1</v>
      </c>
      <c r="L327" s="22" t="s">
        <v>8602</v>
      </c>
      <c r="M327" s="23" t="n">
        <v>44966</v>
      </c>
      <c r="N327" s="22"/>
      <c r="O327" s="22"/>
      <c r="P327" s="22" t="s">
        <v>8603</v>
      </c>
      <c r="Q327" s="22"/>
      <c r="R327" s="22"/>
    </row>
    <row r="328" customFormat="false" ht="15" hidden="false" customHeight="false" outlineLevel="0" collapsed="false">
      <c r="A328" s="22" t="s">
        <v>9039</v>
      </c>
      <c r="B328" s="23" t="n">
        <v>44933</v>
      </c>
      <c r="C328" s="22" t="s">
        <v>2828</v>
      </c>
      <c r="D328" s="22" t="n">
        <v>1085</v>
      </c>
      <c r="E328" s="22" t="s">
        <v>8586</v>
      </c>
      <c r="F328" s="22" t="s">
        <v>188</v>
      </c>
      <c r="G328" s="22" t="n">
        <v>45</v>
      </c>
      <c r="H328" s="22" t="s">
        <v>7696</v>
      </c>
      <c r="I328" s="22" t="s">
        <v>8601</v>
      </c>
      <c r="J328" s="22" t="n">
        <v>7.55</v>
      </c>
      <c r="K328" s="22" t="n">
        <v>1</v>
      </c>
      <c r="L328" s="22" t="s">
        <v>157</v>
      </c>
      <c r="M328" s="23" t="n">
        <v>44947</v>
      </c>
      <c r="N328" s="23" t="n">
        <v>44941</v>
      </c>
      <c r="O328" s="22" t="n">
        <v>8</v>
      </c>
      <c r="P328" s="22"/>
      <c r="Q328" s="22"/>
      <c r="R328" s="22"/>
    </row>
    <row r="329" customFormat="false" ht="15" hidden="false" customHeight="false" outlineLevel="0" collapsed="false">
      <c r="A329" s="22" t="s">
        <v>9040</v>
      </c>
      <c r="B329" s="23" t="n">
        <v>44941</v>
      </c>
      <c r="C329" s="22" t="s">
        <v>1188</v>
      </c>
      <c r="D329" s="22" t="n">
        <v>372</v>
      </c>
      <c r="E329" s="22" t="s">
        <v>8205</v>
      </c>
      <c r="F329" s="22" t="s">
        <v>499</v>
      </c>
      <c r="G329" s="22" t="n">
        <v>32</v>
      </c>
      <c r="H329" s="22" t="s">
        <v>7696</v>
      </c>
      <c r="I329" s="22" t="s">
        <v>8601</v>
      </c>
      <c r="J329" s="22" t="n">
        <v>7.55</v>
      </c>
      <c r="K329" s="22" t="n">
        <v>1</v>
      </c>
      <c r="L329" s="22" t="s">
        <v>8629</v>
      </c>
      <c r="M329" s="23" t="n">
        <v>44955</v>
      </c>
      <c r="N329" s="23" t="n">
        <v>44943</v>
      </c>
      <c r="O329" s="22" t="n">
        <v>2</v>
      </c>
      <c r="P329" s="22"/>
      <c r="Q329" s="22"/>
      <c r="R329" s="22"/>
    </row>
    <row r="330" customFormat="false" ht="15" hidden="false" customHeight="false" outlineLevel="0" collapsed="false">
      <c r="A330" s="22" t="s">
        <v>9041</v>
      </c>
      <c r="B330" s="23" t="n">
        <v>44927</v>
      </c>
      <c r="C330" s="22" t="s">
        <v>2685</v>
      </c>
      <c r="D330" s="22" t="n">
        <v>1020</v>
      </c>
      <c r="E330" s="22" t="s">
        <v>7693</v>
      </c>
      <c r="F330" s="22" t="s">
        <v>215</v>
      </c>
      <c r="G330" s="22" t="n">
        <v>80</v>
      </c>
      <c r="H330" s="22" t="s">
        <v>7696</v>
      </c>
      <c r="I330" s="22" t="s">
        <v>8601</v>
      </c>
      <c r="J330" s="22" t="n">
        <v>7.55</v>
      </c>
      <c r="K330" s="22" t="n">
        <v>1</v>
      </c>
      <c r="L330" s="22" t="s">
        <v>8605</v>
      </c>
      <c r="M330" s="23" t="n">
        <v>44941</v>
      </c>
      <c r="N330" s="23" t="n">
        <v>44935</v>
      </c>
      <c r="O330" s="22" t="n">
        <v>8</v>
      </c>
      <c r="P330" s="22"/>
      <c r="Q330" s="22" t="s">
        <v>9042</v>
      </c>
      <c r="R330" s="22"/>
    </row>
    <row r="331" customFormat="false" ht="15" hidden="false" customHeight="false" outlineLevel="0" collapsed="false">
      <c r="A331" s="22" t="s">
        <v>9043</v>
      </c>
      <c r="B331" s="23" t="n">
        <v>44940</v>
      </c>
      <c r="C331" s="22" t="s">
        <v>3977</v>
      </c>
      <c r="D331" s="22" t="n">
        <v>1632</v>
      </c>
      <c r="E331" s="22" t="s">
        <v>8381</v>
      </c>
      <c r="F331" s="22" t="s">
        <v>188</v>
      </c>
      <c r="G331" s="22" t="n">
        <v>24</v>
      </c>
      <c r="H331" s="22" t="s">
        <v>7696</v>
      </c>
      <c r="I331" s="22" t="s">
        <v>8601</v>
      </c>
      <c r="J331" s="22" t="n">
        <v>7.55</v>
      </c>
      <c r="K331" s="22" t="n">
        <v>1</v>
      </c>
      <c r="L331" s="22" t="s">
        <v>157</v>
      </c>
      <c r="M331" s="23" t="n">
        <v>44954</v>
      </c>
      <c r="N331" s="23" t="n">
        <v>44950</v>
      </c>
      <c r="O331" s="22" t="n">
        <v>10</v>
      </c>
      <c r="P331" s="22"/>
      <c r="Q331" s="22"/>
      <c r="R331" s="22"/>
    </row>
    <row r="332" customFormat="false" ht="15" hidden="false" customHeight="false" outlineLevel="0" collapsed="false">
      <c r="A332" s="22" t="s">
        <v>9044</v>
      </c>
      <c r="B332" s="23" t="n">
        <v>44943</v>
      </c>
      <c r="C332" s="22" t="s">
        <v>5083</v>
      </c>
      <c r="D332" s="22" t="n">
        <v>2173</v>
      </c>
      <c r="E332" s="22" t="s">
        <v>8542</v>
      </c>
      <c r="F332" s="22" t="s">
        <v>188</v>
      </c>
      <c r="G332" s="22" t="n">
        <v>32</v>
      </c>
      <c r="H332" s="22" t="s">
        <v>7696</v>
      </c>
      <c r="I332" s="22" t="s">
        <v>8601</v>
      </c>
      <c r="J332" s="22" t="n">
        <v>7.55</v>
      </c>
      <c r="K332" s="22" t="n">
        <v>1</v>
      </c>
      <c r="L332" s="22" t="s">
        <v>8605</v>
      </c>
      <c r="M332" s="23" t="n">
        <v>44957</v>
      </c>
      <c r="N332" s="23" t="n">
        <v>44960</v>
      </c>
      <c r="O332" s="22" t="n">
        <v>17</v>
      </c>
      <c r="P332" s="22"/>
      <c r="Q332" s="22" t="s">
        <v>9045</v>
      </c>
      <c r="R332" s="22"/>
    </row>
    <row r="333" customFormat="false" ht="15" hidden="false" customHeight="false" outlineLevel="0" collapsed="false">
      <c r="A333" s="22" t="s">
        <v>9046</v>
      </c>
      <c r="B333" s="23" t="n">
        <v>44941</v>
      </c>
      <c r="C333" s="22" t="s">
        <v>1759</v>
      </c>
      <c r="D333" s="22" t="n">
        <v>610</v>
      </c>
      <c r="E333" s="22" t="s">
        <v>6811</v>
      </c>
      <c r="F333" s="22" t="s">
        <v>198</v>
      </c>
      <c r="G333" s="22" t="n">
        <v>40</v>
      </c>
      <c r="H333" s="22" t="s">
        <v>6575</v>
      </c>
      <c r="I333" s="22" t="s">
        <v>8601</v>
      </c>
      <c r="J333" s="22" t="n">
        <v>10.4</v>
      </c>
      <c r="K333" s="22" t="n">
        <v>2</v>
      </c>
      <c r="L333" s="22" t="s">
        <v>8613</v>
      </c>
      <c r="M333" s="23" t="n">
        <v>44951</v>
      </c>
      <c r="N333" s="22"/>
      <c r="O333" s="22"/>
      <c r="P333" s="22"/>
      <c r="Q333" s="22"/>
      <c r="R333" s="22"/>
    </row>
    <row r="334" customFormat="false" ht="15" hidden="false" customHeight="false" outlineLevel="0" collapsed="false">
      <c r="A334" s="22" t="s">
        <v>9047</v>
      </c>
      <c r="B334" s="23" t="n">
        <v>44953</v>
      </c>
      <c r="C334" s="22" t="s">
        <v>6536</v>
      </c>
      <c r="D334" s="22" t="n">
        <v>2901</v>
      </c>
      <c r="E334" s="22" t="s">
        <v>8105</v>
      </c>
      <c r="F334" s="22" t="s">
        <v>499</v>
      </c>
      <c r="G334" s="22" t="n">
        <v>32</v>
      </c>
      <c r="H334" s="22" t="s">
        <v>7696</v>
      </c>
      <c r="I334" s="22" t="s">
        <v>8601</v>
      </c>
      <c r="J334" s="22" t="n">
        <v>7.55</v>
      </c>
      <c r="K334" s="22" t="n">
        <v>1</v>
      </c>
      <c r="L334" s="22" t="s">
        <v>157</v>
      </c>
      <c r="M334" s="23" t="n">
        <v>44967</v>
      </c>
      <c r="N334" s="23" t="n">
        <v>44966</v>
      </c>
      <c r="O334" s="22" t="n">
        <v>13</v>
      </c>
      <c r="P334" s="22"/>
      <c r="Q334" s="22"/>
      <c r="R334" s="22"/>
    </row>
    <row r="335" customFormat="false" ht="15" hidden="false" customHeight="false" outlineLevel="0" collapsed="false">
      <c r="A335" s="22" t="s">
        <v>9048</v>
      </c>
      <c r="B335" s="23" t="n">
        <v>44934</v>
      </c>
      <c r="C335" s="22" t="s">
        <v>2547</v>
      </c>
      <c r="D335" s="22" t="n">
        <v>959</v>
      </c>
      <c r="E335" s="22" t="s">
        <v>7691</v>
      </c>
      <c r="F335" s="22" t="s">
        <v>159</v>
      </c>
      <c r="G335" s="22" t="n">
        <v>28</v>
      </c>
      <c r="H335" s="22" t="s">
        <v>6575</v>
      </c>
      <c r="I335" s="22" t="s">
        <v>8601</v>
      </c>
      <c r="J335" s="22" t="n">
        <v>10.4</v>
      </c>
      <c r="K335" s="22" t="n">
        <v>2</v>
      </c>
      <c r="L335" s="22" t="s">
        <v>8602</v>
      </c>
      <c r="M335" s="23" t="n">
        <v>44944</v>
      </c>
      <c r="N335" s="22"/>
      <c r="O335" s="22"/>
      <c r="P335" s="22" t="s">
        <v>8618</v>
      </c>
      <c r="Q335" s="22"/>
      <c r="R335" s="22"/>
    </row>
    <row r="336" customFormat="false" ht="15" hidden="false" customHeight="false" outlineLevel="0" collapsed="false">
      <c r="A336" s="22" t="s">
        <v>9049</v>
      </c>
      <c r="B336" s="23" t="n">
        <v>44935</v>
      </c>
      <c r="C336" s="22" t="s">
        <v>4654</v>
      </c>
      <c r="D336" s="22" t="n">
        <v>1962</v>
      </c>
      <c r="E336" s="22" t="s">
        <v>8563</v>
      </c>
      <c r="F336" s="22" t="s">
        <v>188</v>
      </c>
      <c r="G336" s="22" t="n">
        <v>36</v>
      </c>
      <c r="H336" s="22" t="s">
        <v>7696</v>
      </c>
      <c r="I336" s="22" t="s">
        <v>8601</v>
      </c>
      <c r="J336" s="22" t="n">
        <v>7.55</v>
      </c>
      <c r="K336" s="22" t="n">
        <v>2</v>
      </c>
      <c r="L336" s="22" t="s">
        <v>8605</v>
      </c>
      <c r="M336" s="23" t="n">
        <v>44949</v>
      </c>
      <c r="N336" s="23" t="n">
        <v>44943</v>
      </c>
      <c r="O336" s="22" t="n">
        <v>8</v>
      </c>
      <c r="P336" s="22"/>
      <c r="Q336" s="22" t="s">
        <v>9050</v>
      </c>
      <c r="R336" s="22"/>
    </row>
    <row r="337" customFormat="false" ht="15" hidden="false" customHeight="false" outlineLevel="0" collapsed="false">
      <c r="A337" s="22" t="s">
        <v>9051</v>
      </c>
      <c r="B337" s="23" t="n">
        <v>44944</v>
      </c>
      <c r="C337" s="22" t="s">
        <v>1721</v>
      </c>
      <c r="D337" s="22" t="n">
        <v>594</v>
      </c>
      <c r="E337" s="22" t="s">
        <v>7784</v>
      </c>
      <c r="F337" s="22" t="s">
        <v>215</v>
      </c>
      <c r="G337" s="22" t="n">
        <v>32</v>
      </c>
      <c r="H337" s="22" t="s">
        <v>7696</v>
      </c>
      <c r="I337" s="22" t="s">
        <v>8601</v>
      </c>
      <c r="J337" s="22" t="n">
        <v>7.55</v>
      </c>
      <c r="K337" s="22" t="n">
        <v>2</v>
      </c>
      <c r="L337" s="22" t="s">
        <v>8613</v>
      </c>
      <c r="M337" s="23" t="n">
        <v>44958</v>
      </c>
      <c r="N337" s="22"/>
      <c r="O337" s="22"/>
      <c r="P337" s="22"/>
      <c r="Q337" s="22"/>
      <c r="R337" s="22"/>
    </row>
    <row r="338" customFormat="false" ht="15" hidden="false" customHeight="false" outlineLevel="0" collapsed="false">
      <c r="A338" s="22" t="s">
        <v>9052</v>
      </c>
      <c r="B338" s="23" t="n">
        <v>44944</v>
      </c>
      <c r="C338" s="22" t="s">
        <v>1108</v>
      </c>
      <c r="D338" s="22" t="n">
        <v>341</v>
      </c>
      <c r="E338" s="22" t="s">
        <v>8170</v>
      </c>
      <c r="F338" s="22" t="s">
        <v>499</v>
      </c>
      <c r="G338" s="22" t="n">
        <v>24</v>
      </c>
      <c r="H338" s="22" t="s">
        <v>7696</v>
      </c>
      <c r="I338" s="22" t="s">
        <v>8601</v>
      </c>
      <c r="J338" s="22" t="n">
        <v>7.55</v>
      </c>
      <c r="K338" s="22" t="n">
        <v>2</v>
      </c>
      <c r="L338" s="22" t="s">
        <v>8605</v>
      </c>
      <c r="M338" s="23" t="n">
        <v>44958</v>
      </c>
      <c r="N338" s="23" t="n">
        <v>44954</v>
      </c>
      <c r="O338" s="22" t="n">
        <v>10</v>
      </c>
      <c r="P338" s="22"/>
      <c r="Q338" s="22" t="s">
        <v>9053</v>
      </c>
      <c r="R338" s="22"/>
    </row>
    <row r="339" customFormat="false" ht="15" hidden="false" customHeight="false" outlineLevel="0" collapsed="false">
      <c r="A339" s="22" t="s">
        <v>9054</v>
      </c>
      <c r="B339" s="23" t="n">
        <v>44936</v>
      </c>
      <c r="C339" s="22" t="s">
        <v>1960</v>
      </c>
      <c r="D339" s="22" t="n">
        <v>695</v>
      </c>
      <c r="E339" s="22" t="s">
        <v>7737</v>
      </c>
      <c r="F339" s="22" t="s">
        <v>215</v>
      </c>
      <c r="G339" s="22" t="n">
        <v>28</v>
      </c>
      <c r="H339" s="22" t="s">
        <v>7696</v>
      </c>
      <c r="I339" s="22" t="s">
        <v>8601</v>
      </c>
      <c r="J339" s="22" t="n">
        <v>7.55</v>
      </c>
      <c r="K339" s="22" t="n">
        <v>1</v>
      </c>
      <c r="L339" s="22" t="s">
        <v>8602</v>
      </c>
      <c r="M339" s="23" t="n">
        <v>44950</v>
      </c>
      <c r="N339" s="22"/>
      <c r="O339" s="22"/>
      <c r="P339" s="22" t="s">
        <v>8603</v>
      </c>
      <c r="Q339" s="22"/>
      <c r="R339" s="22"/>
    </row>
    <row r="340" customFormat="false" ht="15" hidden="false" customHeight="false" outlineLevel="0" collapsed="false">
      <c r="A340" s="22" t="s">
        <v>9055</v>
      </c>
      <c r="B340" s="23" t="n">
        <v>44934</v>
      </c>
      <c r="C340" s="22" t="s">
        <v>1429</v>
      </c>
      <c r="D340" s="22" t="n">
        <v>471</v>
      </c>
      <c r="E340" s="22" t="s">
        <v>7911</v>
      </c>
      <c r="F340" s="22" t="s">
        <v>215</v>
      </c>
      <c r="G340" s="22" t="n">
        <v>28</v>
      </c>
      <c r="H340" s="22" t="s">
        <v>7696</v>
      </c>
      <c r="I340" s="22" t="s">
        <v>8601</v>
      </c>
      <c r="J340" s="22" t="n">
        <v>7.55</v>
      </c>
      <c r="K340" s="22" t="n">
        <v>1</v>
      </c>
      <c r="L340" s="22" t="s">
        <v>8629</v>
      </c>
      <c r="M340" s="23" t="n">
        <v>44948</v>
      </c>
      <c r="N340" s="23" t="n">
        <v>44936</v>
      </c>
      <c r="O340" s="22" t="n">
        <v>2</v>
      </c>
      <c r="P340" s="22"/>
      <c r="Q340" s="22"/>
      <c r="R340" s="22"/>
    </row>
    <row r="341" customFormat="false" ht="15" hidden="false" customHeight="false" outlineLevel="0" collapsed="false">
      <c r="A341" s="22" t="s">
        <v>9056</v>
      </c>
      <c r="B341" s="23" t="n">
        <v>44981</v>
      </c>
      <c r="C341" s="22" t="s">
        <v>4805</v>
      </c>
      <c r="D341" s="22" t="n">
        <v>2036</v>
      </c>
      <c r="E341" s="22" t="s">
        <v>8085</v>
      </c>
      <c r="F341" s="22" t="s">
        <v>499</v>
      </c>
      <c r="G341" s="22" t="n">
        <v>24</v>
      </c>
      <c r="H341" s="22" t="s">
        <v>7696</v>
      </c>
      <c r="I341" s="22" t="s">
        <v>8601</v>
      </c>
      <c r="J341" s="22" t="n">
        <v>7.55</v>
      </c>
      <c r="K341" s="22" t="n">
        <v>1</v>
      </c>
      <c r="L341" s="22" t="s">
        <v>8729</v>
      </c>
      <c r="M341" s="23" t="n">
        <v>44995</v>
      </c>
      <c r="N341" s="23" t="n">
        <v>44995</v>
      </c>
      <c r="O341" s="22" t="n">
        <v>14</v>
      </c>
      <c r="P341" s="22"/>
      <c r="Q341" s="22"/>
      <c r="R341" s="22"/>
    </row>
    <row r="342" customFormat="false" ht="15" hidden="false" customHeight="false" outlineLevel="0" collapsed="false">
      <c r="A342" s="22" t="s">
        <v>9057</v>
      </c>
      <c r="B342" s="23" t="n">
        <v>44962</v>
      </c>
      <c r="C342" s="22" t="s">
        <v>4795</v>
      </c>
      <c r="D342" s="22" t="n">
        <v>2031</v>
      </c>
      <c r="E342" s="22" t="s">
        <v>8390</v>
      </c>
      <c r="F342" s="22" t="s">
        <v>188</v>
      </c>
      <c r="G342" s="22" t="n">
        <v>50</v>
      </c>
      <c r="H342" s="22" t="s">
        <v>7696</v>
      </c>
      <c r="I342" s="22" t="s">
        <v>8601</v>
      </c>
      <c r="J342" s="22" t="n">
        <v>7.55</v>
      </c>
      <c r="K342" s="22" t="n">
        <v>1</v>
      </c>
      <c r="L342" s="22" t="s">
        <v>8605</v>
      </c>
      <c r="M342" s="23" t="n">
        <v>44976</v>
      </c>
      <c r="N342" s="23" t="n">
        <v>44969</v>
      </c>
      <c r="O342" s="22" t="n">
        <v>7</v>
      </c>
      <c r="P342" s="22"/>
      <c r="Q342" s="22" t="s">
        <v>9058</v>
      </c>
      <c r="R342" s="22"/>
    </row>
    <row r="343" customFormat="false" ht="15" hidden="false" customHeight="false" outlineLevel="0" collapsed="false">
      <c r="A343" s="22" t="s">
        <v>9059</v>
      </c>
      <c r="B343" s="23" t="n">
        <v>44979</v>
      </c>
      <c r="C343" s="22" t="s">
        <v>1770</v>
      </c>
      <c r="D343" s="22" t="n">
        <v>614</v>
      </c>
      <c r="E343" s="22" t="s">
        <v>6928</v>
      </c>
      <c r="F343" s="22" t="s">
        <v>198</v>
      </c>
      <c r="G343" s="22" t="n">
        <v>24</v>
      </c>
      <c r="H343" s="22" t="s">
        <v>6575</v>
      </c>
      <c r="I343" s="22" t="s">
        <v>8601</v>
      </c>
      <c r="J343" s="22" t="n">
        <v>10.4</v>
      </c>
      <c r="K343" s="22" t="n">
        <v>1</v>
      </c>
      <c r="L343" s="22" t="s">
        <v>157</v>
      </c>
      <c r="M343" s="23" t="n">
        <v>44989</v>
      </c>
      <c r="N343" s="23" t="n">
        <v>44991</v>
      </c>
      <c r="O343" s="22" t="n">
        <v>12</v>
      </c>
      <c r="P343" s="22"/>
      <c r="Q343" s="22"/>
      <c r="R343" s="22"/>
    </row>
    <row r="344" customFormat="false" ht="15" hidden="false" customHeight="false" outlineLevel="0" collapsed="false">
      <c r="A344" s="22" t="s">
        <v>9060</v>
      </c>
      <c r="B344" s="23" t="n">
        <v>44975</v>
      </c>
      <c r="C344" s="22" t="s">
        <v>3841</v>
      </c>
      <c r="D344" s="22" t="n">
        <v>1565</v>
      </c>
      <c r="E344" s="22" t="s">
        <v>8054</v>
      </c>
      <c r="F344" s="22" t="s">
        <v>499</v>
      </c>
      <c r="G344" s="22" t="n">
        <v>32</v>
      </c>
      <c r="H344" s="22" t="s">
        <v>7696</v>
      </c>
      <c r="I344" s="22" t="s">
        <v>8601</v>
      </c>
      <c r="J344" s="22" t="n">
        <v>7.55</v>
      </c>
      <c r="K344" s="22" t="n">
        <v>1</v>
      </c>
      <c r="L344" s="22" t="s">
        <v>8602</v>
      </c>
      <c r="M344" s="23" t="n">
        <v>44989</v>
      </c>
      <c r="N344" s="22"/>
      <c r="O344" s="22"/>
      <c r="P344" s="22" t="s">
        <v>8603</v>
      </c>
      <c r="Q344" s="22"/>
      <c r="R344" s="22"/>
    </row>
    <row r="345" customFormat="false" ht="15" hidden="false" customHeight="false" outlineLevel="0" collapsed="false">
      <c r="A345" s="22" t="s">
        <v>9061</v>
      </c>
      <c r="B345" s="23" t="n">
        <v>44984</v>
      </c>
      <c r="C345" s="22" t="s">
        <v>3843</v>
      </c>
      <c r="D345" s="22" t="n">
        <v>1566</v>
      </c>
      <c r="E345" s="22" t="s">
        <v>8136</v>
      </c>
      <c r="F345" s="22" t="s">
        <v>499</v>
      </c>
      <c r="G345" s="22" t="n">
        <v>24</v>
      </c>
      <c r="H345" s="22" t="s">
        <v>7696</v>
      </c>
      <c r="I345" s="22" t="s">
        <v>8601</v>
      </c>
      <c r="J345" s="22" t="n">
        <v>7.55</v>
      </c>
      <c r="K345" s="22" t="n">
        <v>1</v>
      </c>
      <c r="L345" s="22" t="s">
        <v>8605</v>
      </c>
      <c r="M345" s="23" t="n">
        <v>44998</v>
      </c>
      <c r="N345" s="23" t="n">
        <v>44997</v>
      </c>
      <c r="O345" s="22" t="n">
        <v>13</v>
      </c>
      <c r="P345" s="22"/>
      <c r="Q345" s="22" t="s">
        <v>9062</v>
      </c>
      <c r="R345" s="22"/>
    </row>
    <row r="346" customFormat="false" ht="15" hidden="false" customHeight="false" outlineLevel="0" collapsed="false">
      <c r="A346" s="22" t="s">
        <v>9063</v>
      </c>
      <c r="B346" s="23" t="n">
        <v>44976</v>
      </c>
      <c r="C346" s="22" t="s">
        <v>4044</v>
      </c>
      <c r="D346" s="22" t="n">
        <v>1664</v>
      </c>
      <c r="E346" s="22" t="s">
        <v>8093</v>
      </c>
      <c r="F346" s="22" t="s">
        <v>499</v>
      </c>
      <c r="G346" s="22" t="n">
        <v>60</v>
      </c>
      <c r="H346" s="22" t="s">
        <v>7696</v>
      </c>
      <c r="I346" s="22" t="s">
        <v>8601</v>
      </c>
      <c r="J346" s="22" t="n">
        <v>7.55</v>
      </c>
      <c r="K346" s="22" t="n">
        <v>1</v>
      </c>
      <c r="L346" s="22" t="s">
        <v>8602</v>
      </c>
      <c r="M346" s="23" t="n">
        <v>44990</v>
      </c>
      <c r="N346" s="22"/>
      <c r="O346" s="22"/>
      <c r="P346" s="22" t="s">
        <v>8637</v>
      </c>
      <c r="Q346" s="22"/>
      <c r="R346" s="22"/>
    </row>
    <row r="347" customFormat="false" ht="15" hidden="false" customHeight="false" outlineLevel="0" collapsed="false">
      <c r="A347" s="22" t="s">
        <v>9064</v>
      </c>
      <c r="B347" s="23" t="n">
        <v>44967</v>
      </c>
      <c r="C347" s="22" t="s">
        <v>5903</v>
      </c>
      <c r="D347" s="22" t="n">
        <v>2582</v>
      </c>
      <c r="E347" s="22" t="s">
        <v>8211</v>
      </c>
      <c r="F347" s="22" t="s">
        <v>499</v>
      </c>
      <c r="G347" s="22" t="n">
        <v>24</v>
      </c>
      <c r="H347" s="22" t="s">
        <v>7696</v>
      </c>
      <c r="I347" s="22" t="s">
        <v>8601</v>
      </c>
      <c r="J347" s="22" t="n">
        <v>7.55</v>
      </c>
      <c r="K347" s="22" t="n">
        <v>1</v>
      </c>
      <c r="L347" s="22" t="s">
        <v>8602</v>
      </c>
      <c r="M347" s="23" t="n">
        <v>44981</v>
      </c>
      <c r="N347" s="22"/>
      <c r="O347" s="22"/>
      <c r="P347" s="22" t="s">
        <v>8618</v>
      </c>
      <c r="Q347" s="22"/>
      <c r="R347" s="22"/>
    </row>
    <row r="348" customFormat="false" ht="15" hidden="false" customHeight="false" outlineLevel="0" collapsed="false">
      <c r="A348" s="22" t="s">
        <v>9065</v>
      </c>
      <c r="B348" s="23" t="n">
        <v>44959</v>
      </c>
      <c r="C348" s="22" t="s">
        <v>3647</v>
      </c>
      <c r="D348" s="22" t="n">
        <v>1469</v>
      </c>
      <c r="E348" s="22" t="s">
        <v>8167</v>
      </c>
      <c r="F348" s="22" t="s">
        <v>499</v>
      </c>
      <c r="G348" s="22" t="n">
        <v>60</v>
      </c>
      <c r="H348" s="22" t="s">
        <v>7696</v>
      </c>
      <c r="I348" s="22" t="s">
        <v>8601</v>
      </c>
      <c r="J348" s="22" t="n">
        <v>7.55</v>
      </c>
      <c r="K348" s="22" t="n">
        <v>2</v>
      </c>
      <c r="L348" s="22" t="s">
        <v>8605</v>
      </c>
      <c r="M348" s="23" t="n">
        <v>44973</v>
      </c>
      <c r="N348" s="23" t="n">
        <v>44964</v>
      </c>
      <c r="O348" s="22" t="n">
        <v>5</v>
      </c>
      <c r="P348" s="22"/>
      <c r="Q348" s="22" t="s">
        <v>9066</v>
      </c>
      <c r="R348" s="22"/>
    </row>
    <row r="349" customFormat="false" ht="15" hidden="false" customHeight="false" outlineLevel="0" collapsed="false">
      <c r="A349" s="22" t="s">
        <v>9067</v>
      </c>
      <c r="B349" s="23" t="n">
        <v>44966</v>
      </c>
      <c r="C349" s="22" t="s">
        <v>4675</v>
      </c>
      <c r="D349" s="22" t="n">
        <v>1972</v>
      </c>
      <c r="E349" s="22" t="s">
        <v>6594</v>
      </c>
      <c r="F349" s="22" t="s">
        <v>198</v>
      </c>
      <c r="G349" s="22" t="n">
        <v>24</v>
      </c>
      <c r="H349" s="22" t="s">
        <v>6575</v>
      </c>
      <c r="I349" s="22" t="s">
        <v>8601</v>
      </c>
      <c r="J349" s="22" t="n">
        <v>10.4</v>
      </c>
      <c r="K349" s="22" t="n">
        <v>2</v>
      </c>
      <c r="L349" s="22" t="s">
        <v>8605</v>
      </c>
      <c r="M349" s="23" t="n">
        <v>44976</v>
      </c>
      <c r="N349" s="23" t="n">
        <v>44977</v>
      </c>
      <c r="O349" s="22" t="n">
        <v>11</v>
      </c>
      <c r="P349" s="22"/>
      <c r="Q349" s="22" t="s">
        <v>9068</v>
      </c>
      <c r="R349" s="22"/>
    </row>
    <row r="350" customFormat="false" ht="15" hidden="false" customHeight="false" outlineLevel="0" collapsed="false">
      <c r="A350" s="22" t="s">
        <v>9069</v>
      </c>
      <c r="B350" s="23" t="n">
        <v>44959</v>
      </c>
      <c r="C350" s="22" t="s">
        <v>2343</v>
      </c>
      <c r="D350" s="22" t="n">
        <v>866</v>
      </c>
      <c r="E350" s="22" t="s">
        <v>7634</v>
      </c>
      <c r="F350" s="22" t="s">
        <v>159</v>
      </c>
      <c r="G350" s="22" t="n">
        <v>24</v>
      </c>
      <c r="H350" s="22" t="s">
        <v>6575</v>
      </c>
      <c r="I350" s="22" t="s">
        <v>8601</v>
      </c>
      <c r="J350" s="22" t="n">
        <v>10.4</v>
      </c>
      <c r="K350" s="22" t="n">
        <v>1</v>
      </c>
      <c r="L350" s="22" t="s">
        <v>8605</v>
      </c>
      <c r="M350" s="23" t="n">
        <v>44969</v>
      </c>
      <c r="N350" s="23" t="n">
        <v>44962</v>
      </c>
      <c r="O350" s="22" t="n">
        <v>3</v>
      </c>
      <c r="P350" s="22"/>
      <c r="Q350" s="22" t="s">
        <v>9070</v>
      </c>
      <c r="R350" s="22"/>
    </row>
    <row r="351" customFormat="false" ht="15" hidden="false" customHeight="false" outlineLevel="0" collapsed="false">
      <c r="A351" s="22" t="s">
        <v>9071</v>
      </c>
      <c r="B351" s="23" t="n">
        <v>44974</v>
      </c>
      <c r="C351" s="22" t="s">
        <v>4562</v>
      </c>
      <c r="D351" s="22" t="n">
        <v>1918</v>
      </c>
      <c r="E351" s="22" t="s">
        <v>7289</v>
      </c>
      <c r="F351" s="22" t="s">
        <v>198</v>
      </c>
      <c r="G351" s="22" t="n">
        <v>28</v>
      </c>
      <c r="H351" s="22" t="s">
        <v>6575</v>
      </c>
      <c r="I351" s="22" t="s">
        <v>8601</v>
      </c>
      <c r="J351" s="22" t="n">
        <v>10.4</v>
      </c>
      <c r="K351" s="22" t="n">
        <v>2</v>
      </c>
      <c r="L351" s="22" t="s">
        <v>8602</v>
      </c>
      <c r="M351" s="23" t="n">
        <v>44984</v>
      </c>
      <c r="N351" s="22"/>
      <c r="O351" s="22"/>
      <c r="P351" s="22" t="s">
        <v>8631</v>
      </c>
      <c r="Q351" s="22"/>
      <c r="R351" s="22"/>
    </row>
    <row r="352" customFormat="false" ht="15" hidden="false" customHeight="false" outlineLevel="0" collapsed="false">
      <c r="A352" s="22" t="s">
        <v>9072</v>
      </c>
      <c r="B352" s="23" t="n">
        <v>44981</v>
      </c>
      <c r="C352" s="22" t="s">
        <v>249</v>
      </c>
      <c r="D352" s="22" t="n">
        <v>29</v>
      </c>
      <c r="E352" s="22" t="s">
        <v>8531</v>
      </c>
      <c r="F352" s="22" t="s">
        <v>188</v>
      </c>
      <c r="G352" s="22" t="n">
        <v>60</v>
      </c>
      <c r="H352" s="22" t="s">
        <v>7696</v>
      </c>
      <c r="I352" s="22" t="s">
        <v>8601</v>
      </c>
      <c r="J352" s="22" t="n">
        <v>7.55</v>
      </c>
      <c r="K352" s="22" t="n">
        <v>1</v>
      </c>
      <c r="L352" s="22" t="s">
        <v>8608</v>
      </c>
      <c r="M352" s="23" t="n">
        <v>44995</v>
      </c>
      <c r="N352" s="23" t="n">
        <v>44994</v>
      </c>
      <c r="O352" s="22" t="n">
        <v>13</v>
      </c>
      <c r="P352" s="22"/>
      <c r="Q352" s="22"/>
      <c r="R352" s="22"/>
    </row>
    <row r="353" customFormat="false" ht="15" hidden="false" customHeight="false" outlineLevel="0" collapsed="false">
      <c r="A353" s="22" t="s">
        <v>9073</v>
      </c>
      <c r="B353" s="23" t="n">
        <v>44984</v>
      </c>
      <c r="C353" s="22" t="s">
        <v>4028</v>
      </c>
      <c r="D353" s="22" t="n">
        <v>1657</v>
      </c>
      <c r="E353" s="22" t="s">
        <v>8528</v>
      </c>
      <c r="F353" s="22" t="s">
        <v>188</v>
      </c>
      <c r="G353" s="22" t="n">
        <v>70</v>
      </c>
      <c r="H353" s="22" t="s">
        <v>7696</v>
      </c>
      <c r="I353" s="22" t="s">
        <v>8601</v>
      </c>
      <c r="J353" s="22" t="n">
        <v>7.55</v>
      </c>
      <c r="K353" s="22" t="n">
        <v>2</v>
      </c>
      <c r="L353" s="22" t="s">
        <v>8605</v>
      </c>
      <c r="M353" s="23" t="n">
        <v>44998</v>
      </c>
      <c r="N353" s="23" t="n">
        <v>44997</v>
      </c>
      <c r="O353" s="22" t="n">
        <v>13</v>
      </c>
      <c r="P353" s="22"/>
      <c r="Q353" s="22" t="s">
        <v>9074</v>
      </c>
      <c r="R353" s="22"/>
    </row>
    <row r="354" customFormat="false" ht="15" hidden="false" customHeight="false" outlineLevel="0" collapsed="false">
      <c r="A354" s="22" t="s">
        <v>9075</v>
      </c>
      <c r="B354" s="23" t="n">
        <v>44975</v>
      </c>
      <c r="C354" s="22" t="s">
        <v>6544</v>
      </c>
      <c r="D354" s="22" t="n">
        <v>2905</v>
      </c>
      <c r="E354" s="22" t="s">
        <v>7941</v>
      </c>
      <c r="F354" s="22" t="s">
        <v>215</v>
      </c>
      <c r="G354" s="22" t="n">
        <v>28</v>
      </c>
      <c r="H354" s="22" t="s">
        <v>7696</v>
      </c>
      <c r="I354" s="22" t="s">
        <v>8601</v>
      </c>
      <c r="J354" s="22" t="n">
        <v>7.55</v>
      </c>
      <c r="K354" s="22" t="n">
        <v>1</v>
      </c>
      <c r="L354" s="22" t="s">
        <v>8605</v>
      </c>
      <c r="M354" s="23" t="n">
        <v>44989</v>
      </c>
      <c r="N354" s="23" t="n">
        <v>44985</v>
      </c>
      <c r="O354" s="22" t="n">
        <v>10</v>
      </c>
      <c r="P354" s="22"/>
      <c r="Q354" s="22" t="s">
        <v>9076</v>
      </c>
      <c r="R354" s="22"/>
    </row>
    <row r="355" customFormat="false" ht="15" hidden="false" customHeight="false" outlineLevel="0" collapsed="false">
      <c r="A355" s="22" t="s">
        <v>9077</v>
      </c>
      <c r="B355" s="23" t="n">
        <v>44966</v>
      </c>
      <c r="C355" s="22" t="s">
        <v>6095</v>
      </c>
      <c r="D355" s="22" t="n">
        <v>2677</v>
      </c>
      <c r="E355" s="22" t="s">
        <v>8417</v>
      </c>
      <c r="F355" s="22" t="s">
        <v>188</v>
      </c>
      <c r="G355" s="22" t="n">
        <v>28</v>
      </c>
      <c r="H355" s="22" t="s">
        <v>7696</v>
      </c>
      <c r="I355" s="22" t="s">
        <v>8601</v>
      </c>
      <c r="J355" s="22" t="n">
        <v>7.55</v>
      </c>
      <c r="K355" s="22" t="n">
        <v>1</v>
      </c>
      <c r="L355" s="22" t="s">
        <v>8605</v>
      </c>
      <c r="M355" s="23" t="n">
        <v>44980</v>
      </c>
      <c r="N355" s="23" t="n">
        <v>44968</v>
      </c>
      <c r="O355" s="22" t="n">
        <v>2</v>
      </c>
      <c r="P355" s="22"/>
      <c r="Q355" s="22" t="s">
        <v>9078</v>
      </c>
      <c r="R355" s="22"/>
    </row>
    <row r="356" customFormat="false" ht="15" hidden="false" customHeight="false" outlineLevel="0" collapsed="false">
      <c r="A356" s="22" t="s">
        <v>9079</v>
      </c>
      <c r="B356" s="23" t="n">
        <v>44964</v>
      </c>
      <c r="C356" s="22" t="s">
        <v>1969</v>
      </c>
      <c r="D356" s="22" t="n">
        <v>699</v>
      </c>
      <c r="E356" s="22" t="s">
        <v>7156</v>
      </c>
      <c r="F356" s="22" t="s">
        <v>198</v>
      </c>
      <c r="G356" s="22" t="n">
        <v>32</v>
      </c>
      <c r="H356" s="22" t="s">
        <v>6575</v>
      </c>
      <c r="I356" s="22" t="s">
        <v>8601</v>
      </c>
      <c r="J356" s="22" t="n">
        <v>10.4</v>
      </c>
      <c r="K356" s="22" t="n">
        <v>1</v>
      </c>
      <c r="L356" s="22" t="s">
        <v>8605</v>
      </c>
      <c r="M356" s="23" t="n">
        <v>44974</v>
      </c>
      <c r="N356" s="23" t="n">
        <v>44977</v>
      </c>
      <c r="O356" s="22" t="n">
        <v>13</v>
      </c>
      <c r="P356" s="22"/>
      <c r="Q356" s="22" t="s">
        <v>9080</v>
      </c>
      <c r="R356" s="22"/>
    </row>
    <row r="357" customFormat="false" ht="15" hidden="false" customHeight="false" outlineLevel="0" collapsed="false">
      <c r="A357" s="22" t="s">
        <v>9081</v>
      </c>
      <c r="B357" s="23" t="n">
        <v>44978</v>
      </c>
      <c r="C357" s="22" t="s">
        <v>1022</v>
      </c>
      <c r="D357" s="22" t="n">
        <v>308</v>
      </c>
      <c r="E357" s="22" t="s">
        <v>8369</v>
      </c>
      <c r="F357" s="22" t="s">
        <v>188</v>
      </c>
      <c r="G357" s="22" t="n">
        <v>32</v>
      </c>
      <c r="H357" s="22" t="s">
        <v>7696</v>
      </c>
      <c r="I357" s="22" t="s">
        <v>8601</v>
      </c>
      <c r="J357" s="22" t="n">
        <v>7.55</v>
      </c>
      <c r="K357" s="22" t="n">
        <v>1</v>
      </c>
      <c r="L357" s="22" t="s">
        <v>8613</v>
      </c>
      <c r="M357" s="23" t="n">
        <v>44992</v>
      </c>
      <c r="N357" s="22"/>
      <c r="O357" s="22"/>
      <c r="P357" s="22"/>
      <c r="Q357" s="22"/>
      <c r="R357" s="22"/>
    </row>
    <row r="358" customFormat="false" ht="15" hidden="false" customHeight="false" outlineLevel="0" collapsed="false">
      <c r="A358" s="22" t="s">
        <v>9082</v>
      </c>
      <c r="B358" s="23" t="n">
        <v>44973</v>
      </c>
      <c r="C358" s="22" t="s">
        <v>3833</v>
      </c>
      <c r="D358" s="22" t="n">
        <v>1561</v>
      </c>
      <c r="E358" s="22" t="s">
        <v>8433</v>
      </c>
      <c r="F358" s="22" t="s">
        <v>188</v>
      </c>
      <c r="G358" s="22" t="n">
        <v>40</v>
      </c>
      <c r="H358" s="22" t="s">
        <v>7696</v>
      </c>
      <c r="I358" s="22" t="s">
        <v>8601</v>
      </c>
      <c r="J358" s="22" t="n">
        <v>7.55</v>
      </c>
      <c r="K358" s="22" t="n">
        <v>1</v>
      </c>
      <c r="L358" s="22" t="s">
        <v>8629</v>
      </c>
      <c r="M358" s="23" t="n">
        <v>44987</v>
      </c>
      <c r="N358" s="23" t="n">
        <v>44985</v>
      </c>
      <c r="O358" s="22" t="n">
        <v>12</v>
      </c>
      <c r="P358" s="22"/>
      <c r="Q358" s="22"/>
      <c r="R358" s="22"/>
    </row>
    <row r="359" customFormat="false" ht="15" hidden="false" customHeight="false" outlineLevel="0" collapsed="false">
      <c r="A359" s="22" t="s">
        <v>9083</v>
      </c>
      <c r="B359" s="23" t="n">
        <v>44963</v>
      </c>
      <c r="C359" s="22" t="s">
        <v>6321</v>
      </c>
      <c r="D359" s="22" t="n">
        <v>2791</v>
      </c>
      <c r="E359" s="22" t="s">
        <v>8456</v>
      </c>
      <c r="F359" s="22" t="s">
        <v>188</v>
      </c>
      <c r="G359" s="22" t="n">
        <v>45</v>
      </c>
      <c r="H359" s="22" t="s">
        <v>7696</v>
      </c>
      <c r="I359" s="22" t="s">
        <v>8601</v>
      </c>
      <c r="J359" s="22" t="n">
        <v>7.55</v>
      </c>
      <c r="K359" s="22" t="n">
        <v>1</v>
      </c>
      <c r="L359" s="22" t="s">
        <v>8605</v>
      </c>
      <c r="M359" s="23" t="n">
        <v>44977</v>
      </c>
      <c r="N359" s="23" t="n">
        <v>44978</v>
      </c>
      <c r="O359" s="22" t="n">
        <v>15</v>
      </c>
      <c r="P359" s="22"/>
      <c r="Q359" s="22" t="s">
        <v>9084</v>
      </c>
      <c r="R359" s="22"/>
    </row>
    <row r="360" customFormat="false" ht="15" hidden="false" customHeight="false" outlineLevel="0" collapsed="false">
      <c r="A360" s="22" t="s">
        <v>9085</v>
      </c>
      <c r="B360" s="23" t="n">
        <v>44995</v>
      </c>
      <c r="C360" s="22" t="s">
        <v>655</v>
      </c>
      <c r="D360" s="22" t="n">
        <v>170</v>
      </c>
      <c r="E360" s="22" t="s">
        <v>7549</v>
      </c>
      <c r="F360" s="22" t="s">
        <v>159</v>
      </c>
      <c r="G360" s="22" t="n">
        <v>32</v>
      </c>
      <c r="H360" s="22" t="s">
        <v>6575</v>
      </c>
      <c r="I360" s="22" t="s">
        <v>8601</v>
      </c>
      <c r="J360" s="22" t="n">
        <v>10.4</v>
      </c>
      <c r="K360" s="22" t="n">
        <v>1</v>
      </c>
      <c r="L360" s="22" t="s">
        <v>157</v>
      </c>
      <c r="M360" s="23" t="n">
        <v>45005</v>
      </c>
      <c r="N360" s="23" t="n">
        <v>45004</v>
      </c>
      <c r="O360" s="22" t="n">
        <v>9</v>
      </c>
      <c r="P360" s="22"/>
      <c r="Q360" s="22"/>
      <c r="R360" s="22"/>
    </row>
    <row r="361" customFormat="false" ht="15" hidden="false" customHeight="false" outlineLevel="0" collapsed="false">
      <c r="A361" s="22" t="s">
        <v>9086</v>
      </c>
      <c r="B361" s="23" t="n">
        <v>45000</v>
      </c>
      <c r="C361" s="22" t="s">
        <v>5786</v>
      </c>
      <c r="D361" s="22" t="n">
        <v>2523</v>
      </c>
      <c r="E361" s="22" t="s">
        <v>8381</v>
      </c>
      <c r="F361" s="22" t="s">
        <v>188</v>
      </c>
      <c r="G361" s="22" t="n">
        <v>24</v>
      </c>
      <c r="H361" s="22" t="s">
        <v>7696</v>
      </c>
      <c r="I361" s="22" t="s">
        <v>8601</v>
      </c>
      <c r="J361" s="22" t="n">
        <v>7.55</v>
      </c>
      <c r="K361" s="22" t="n">
        <v>1</v>
      </c>
      <c r="L361" s="22" t="s">
        <v>8602</v>
      </c>
      <c r="M361" s="23" t="n">
        <v>45014</v>
      </c>
      <c r="N361" s="22"/>
      <c r="O361" s="22"/>
      <c r="P361" s="22" t="s">
        <v>8603</v>
      </c>
      <c r="Q361" s="22"/>
      <c r="R361" s="22"/>
    </row>
    <row r="362" customFormat="false" ht="15" hidden="false" customHeight="false" outlineLevel="0" collapsed="false">
      <c r="A362" s="22" t="s">
        <v>9087</v>
      </c>
      <c r="B362" s="23" t="n">
        <v>44991</v>
      </c>
      <c r="C362" s="22" t="s">
        <v>3433</v>
      </c>
      <c r="D362" s="22" t="n">
        <v>1366</v>
      </c>
      <c r="E362" s="22" t="s">
        <v>7289</v>
      </c>
      <c r="F362" s="22" t="s">
        <v>198</v>
      </c>
      <c r="G362" s="22" t="n">
        <v>28</v>
      </c>
      <c r="H362" s="22" t="s">
        <v>6575</v>
      </c>
      <c r="I362" s="22" t="s">
        <v>8601</v>
      </c>
      <c r="J362" s="22" t="n">
        <v>10.4</v>
      </c>
      <c r="K362" s="22" t="n">
        <v>2</v>
      </c>
      <c r="L362" s="22" t="s">
        <v>8602</v>
      </c>
      <c r="M362" s="23" t="n">
        <v>45001</v>
      </c>
      <c r="N362" s="22"/>
      <c r="O362" s="22"/>
      <c r="P362" s="22" t="s">
        <v>8603</v>
      </c>
      <c r="Q362" s="22"/>
      <c r="R362" s="22"/>
    </row>
    <row r="363" customFormat="false" ht="15" hidden="false" customHeight="false" outlineLevel="0" collapsed="false">
      <c r="A363" s="22" t="s">
        <v>9088</v>
      </c>
      <c r="B363" s="23" t="n">
        <v>45011</v>
      </c>
      <c r="C363" s="22" t="s">
        <v>5657</v>
      </c>
      <c r="D363" s="22" t="n">
        <v>2459</v>
      </c>
      <c r="E363" s="22" t="s">
        <v>8435</v>
      </c>
      <c r="F363" s="22" t="s">
        <v>188</v>
      </c>
      <c r="G363" s="22" t="n">
        <v>24</v>
      </c>
      <c r="H363" s="22" t="s">
        <v>7696</v>
      </c>
      <c r="I363" s="22" t="s">
        <v>8601</v>
      </c>
      <c r="J363" s="22" t="n">
        <v>7.55</v>
      </c>
      <c r="K363" s="22" t="n">
        <v>1</v>
      </c>
      <c r="L363" s="22" t="s">
        <v>8605</v>
      </c>
      <c r="M363" s="23" t="n">
        <v>45025</v>
      </c>
      <c r="N363" s="23" t="n">
        <v>45025</v>
      </c>
      <c r="O363" s="22" t="n">
        <v>14</v>
      </c>
      <c r="P363" s="22"/>
      <c r="Q363" s="22" t="s">
        <v>9089</v>
      </c>
      <c r="R363" s="22"/>
    </row>
    <row r="364" customFormat="false" ht="15" hidden="false" customHeight="false" outlineLevel="0" collapsed="false">
      <c r="A364" s="22" t="s">
        <v>9090</v>
      </c>
      <c r="B364" s="23" t="n">
        <v>44987</v>
      </c>
      <c r="C364" s="22" t="s">
        <v>4621</v>
      </c>
      <c r="D364" s="22" t="n">
        <v>1946</v>
      </c>
      <c r="E364" s="22" t="s">
        <v>7218</v>
      </c>
      <c r="F364" s="22" t="s">
        <v>198</v>
      </c>
      <c r="G364" s="22" t="n">
        <v>28</v>
      </c>
      <c r="H364" s="22" t="s">
        <v>6575</v>
      </c>
      <c r="I364" s="22" t="s">
        <v>8601</v>
      </c>
      <c r="J364" s="22" t="n">
        <v>10.4</v>
      </c>
      <c r="K364" s="22" t="n">
        <v>1</v>
      </c>
      <c r="L364" s="22" t="s">
        <v>8605</v>
      </c>
      <c r="M364" s="23" t="n">
        <v>44997</v>
      </c>
      <c r="N364" s="23" t="n">
        <v>44995</v>
      </c>
      <c r="O364" s="22" t="n">
        <v>8</v>
      </c>
      <c r="P364" s="22"/>
      <c r="Q364" s="22" t="s">
        <v>9091</v>
      </c>
      <c r="R364" s="22"/>
    </row>
    <row r="365" customFormat="false" ht="15" hidden="false" customHeight="false" outlineLevel="0" collapsed="false">
      <c r="A365" s="22" t="s">
        <v>9092</v>
      </c>
      <c r="B365" s="23" t="n">
        <v>45012</v>
      </c>
      <c r="C365" s="22" t="s">
        <v>1230</v>
      </c>
      <c r="D365" s="22" t="n">
        <v>388</v>
      </c>
      <c r="E365" s="22" t="s">
        <v>8503</v>
      </c>
      <c r="F365" s="22" t="s">
        <v>188</v>
      </c>
      <c r="G365" s="22" t="n">
        <v>36</v>
      </c>
      <c r="H365" s="22" t="s">
        <v>7696</v>
      </c>
      <c r="I365" s="22" t="s">
        <v>8601</v>
      </c>
      <c r="J365" s="22" t="n">
        <v>7.55</v>
      </c>
      <c r="K365" s="22" t="n">
        <v>1</v>
      </c>
      <c r="L365" s="22" t="s">
        <v>8602</v>
      </c>
      <c r="M365" s="23" t="n">
        <v>45026</v>
      </c>
      <c r="N365" s="22"/>
      <c r="O365" s="22"/>
      <c r="P365" s="22" t="s">
        <v>8603</v>
      </c>
      <c r="Q365" s="22"/>
      <c r="R365" s="22"/>
    </row>
    <row r="366" customFormat="false" ht="15" hidden="false" customHeight="false" outlineLevel="0" collapsed="false">
      <c r="A366" s="22" t="s">
        <v>9093</v>
      </c>
      <c r="B366" s="23" t="n">
        <v>44993</v>
      </c>
      <c r="C366" s="22" t="s">
        <v>4733</v>
      </c>
      <c r="D366" s="22" t="n">
        <v>2000</v>
      </c>
      <c r="E366" s="22" t="s">
        <v>6854</v>
      </c>
      <c r="F366" s="22" t="s">
        <v>198</v>
      </c>
      <c r="G366" s="22" t="n">
        <v>40</v>
      </c>
      <c r="H366" s="22" t="s">
        <v>6575</v>
      </c>
      <c r="I366" s="22" t="s">
        <v>8601</v>
      </c>
      <c r="J366" s="22" t="n">
        <v>10.4</v>
      </c>
      <c r="K366" s="22" t="n">
        <v>1</v>
      </c>
      <c r="L366" s="22" t="s">
        <v>8605</v>
      </c>
      <c r="M366" s="23" t="n">
        <v>45003</v>
      </c>
      <c r="N366" s="23" t="n">
        <v>44998</v>
      </c>
      <c r="O366" s="22" t="n">
        <v>5</v>
      </c>
      <c r="P366" s="22"/>
      <c r="Q366" s="22" t="s">
        <v>9094</v>
      </c>
      <c r="R366" s="22"/>
    </row>
    <row r="367" customFormat="false" ht="15" hidden="false" customHeight="false" outlineLevel="0" collapsed="false">
      <c r="A367" s="22" t="s">
        <v>9095</v>
      </c>
      <c r="B367" s="23" t="n">
        <v>44998</v>
      </c>
      <c r="C367" s="22" t="s">
        <v>1275</v>
      </c>
      <c r="D367" s="22" t="n">
        <v>407</v>
      </c>
      <c r="E367" s="22" t="s">
        <v>6585</v>
      </c>
      <c r="F367" s="22" t="s">
        <v>198</v>
      </c>
      <c r="G367" s="22" t="n">
        <v>28</v>
      </c>
      <c r="H367" s="22" t="s">
        <v>6575</v>
      </c>
      <c r="I367" s="22" t="s">
        <v>8601</v>
      </c>
      <c r="J367" s="22" t="n">
        <v>10.4</v>
      </c>
      <c r="K367" s="22" t="n">
        <v>1</v>
      </c>
      <c r="L367" s="22" t="s">
        <v>157</v>
      </c>
      <c r="M367" s="23" t="n">
        <v>45008</v>
      </c>
      <c r="N367" s="23" t="n">
        <v>45004</v>
      </c>
      <c r="O367" s="22" t="n">
        <v>6</v>
      </c>
      <c r="P367" s="22"/>
      <c r="Q367" s="22"/>
      <c r="R367" s="22"/>
    </row>
    <row r="368" customFormat="false" ht="15" hidden="false" customHeight="false" outlineLevel="0" collapsed="false">
      <c r="A368" s="22" t="s">
        <v>9096</v>
      </c>
      <c r="B368" s="23" t="n">
        <v>45005</v>
      </c>
      <c r="C368" s="22" t="s">
        <v>3012</v>
      </c>
      <c r="D368" s="22" t="n">
        <v>1168</v>
      </c>
      <c r="E368" s="22" t="s">
        <v>7610</v>
      </c>
      <c r="F368" s="22" t="s">
        <v>159</v>
      </c>
      <c r="G368" s="22" t="n">
        <v>24</v>
      </c>
      <c r="H368" s="22" t="s">
        <v>6575</v>
      </c>
      <c r="I368" s="22" t="s">
        <v>8601</v>
      </c>
      <c r="J368" s="22" t="n">
        <v>10.4</v>
      </c>
      <c r="K368" s="22" t="n">
        <v>1</v>
      </c>
      <c r="L368" s="22" t="s">
        <v>8613</v>
      </c>
      <c r="M368" s="23" t="n">
        <v>45015</v>
      </c>
      <c r="N368" s="22"/>
      <c r="O368" s="22"/>
      <c r="P368" s="22"/>
      <c r="Q368" s="22"/>
      <c r="R368" s="22"/>
    </row>
    <row r="369" customFormat="false" ht="15" hidden="false" customHeight="false" outlineLevel="0" collapsed="false">
      <c r="A369" s="22" t="s">
        <v>9097</v>
      </c>
      <c r="B369" s="23" t="n">
        <v>44995</v>
      </c>
      <c r="C369" s="22" t="s">
        <v>2604</v>
      </c>
      <c r="D369" s="22" t="n">
        <v>984</v>
      </c>
      <c r="E369" s="22" t="s">
        <v>8201</v>
      </c>
      <c r="F369" s="22" t="s">
        <v>499</v>
      </c>
      <c r="G369" s="22" t="n">
        <v>60</v>
      </c>
      <c r="H369" s="22" t="s">
        <v>7696</v>
      </c>
      <c r="I369" s="22" t="s">
        <v>8601</v>
      </c>
      <c r="J369" s="22" t="n">
        <v>7.55</v>
      </c>
      <c r="K369" s="22" t="n">
        <v>1</v>
      </c>
      <c r="L369" s="22" t="s">
        <v>8602</v>
      </c>
      <c r="M369" s="23" t="n">
        <v>45009</v>
      </c>
      <c r="N369" s="22"/>
      <c r="O369" s="22"/>
      <c r="P369" s="22" t="s">
        <v>8631</v>
      </c>
      <c r="Q369" s="22"/>
      <c r="R369" s="22"/>
    </row>
    <row r="370" customFormat="false" ht="15" hidden="false" customHeight="false" outlineLevel="0" collapsed="false">
      <c r="A370" s="22" t="s">
        <v>9098</v>
      </c>
      <c r="B370" s="23" t="n">
        <v>45011</v>
      </c>
      <c r="C370" s="22" t="s">
        <v>2096</v>
      </c>
      <c r="D370" s="22" t="n">
        <v>755</v>
      </c>
      <c r="E370" s="22" t="s">
        <v>8391</v>
      </c>
      <c r="F370" s="22" t="s">
        <v>188</v>
      </c>
      <c r="G370" s="22" t="n">
        <v>28</v>
      </c>
      <c r="H370" s="22" t="s">
        <v>7696</v>
      </c>
      <c r="I370" s="22" t="s">
        <v>8601</v>
      </c>
      <c r="J370" s="22" t="n">
        <v>7.55</v>
      </c>
      <c r="K370" s="22" t="n">
        <v>1</v>
      </c>
      <c r="L370" s="22" t="s">
        <v>8613</v>
      </c>
      <c r="M370" s="23" t="n">
        <v>45025</v>
      </c>
      <c r="N370" s="22"/>
      <c r="O370" s="22"/>
      <c r="P370" s="22"/>
      <c r="Q370" s="22"/>
      <c r="R370" s="22"/>
    </row>
    <row r="371" customFormat="false" ht="15" hidden="false" customHeight="false" outlineLevel="0" collapsed="false">
      <c r="A371" s="22" t="s">
        <v>9099</v>
      </c>
      <c r="B371" s="23" t="n">
        <v>45006</v>
      </c>
      <c r="C371" s="22" t="s">
        <v>1855</v>
      </c>
      <c r="D371" s="22" t="n">
        <v>649</v>
      </c>
      <c r="E371" s="22" t="s">
        <v>7567</v>
      </c>
      <c r="F371" s="22" t="s">
        <v>159</v>
      </c>
      <c r="G371" s="22" t="n">
        <v>32</v>
      </c>
      <c r="H371" s="22" t="s">
        <v>6575</v>
      </c>
      <c r="I371" s="22" t="s">
        <v>8601</v>
      </c>
      <c r="J371" s="22" t="n">
        <v>10.4</v>
      </c>
      <c r="K371" s="22" t="n">
        <v>1</v>
      </c>
      <c r="L371" s="22" t="s">
        <v>8602</v>
      </c>
      <c r="M371" s="23" t="n">
        <v>45016</v>
      </c>
      <c r="N371" s="22"/>
      <c r="O371" s="22"/>
      <c r="P371" s="22" t="s">
        <v>8603</v>
      </c>
      <c r="Q371" s="22"/>
      <c r="R371" s="22"/>
    </row>
    <row r="372" customFormat="false" ht="15" hidden="false" customHeight="false" outlineLevel="0" collapsed="false">
      <c r="A372" s="22" t="s">
        <v>9100</v>
      </c>
      <c r="B372" s="23" t="n">
        <v>45010</v>
      </c>
      <c r="C372" s="22" t="s">
        <v>5810</v>
      </c>
      <c r="D372" s="22" t="n">
        <v>2535</v>
      </c>
      <c r="E372" s="22" t="s">
        <v>8034</v>
      </c>
      <c r="F372" s="22" t="s">
        <v>499</v>
      </c>
      <c r="G372" s="22" t="n">
        <v>24</v>
      </c>
      <c r="H372" s="22" t="s">
        <v>7696</v>
      </c>
      <c r="I372" s="22" t="s">
        <v>8601</v>
      </c>
      <c r="J372" s="22" t="n">
        <v>7.55</v>
      </c>
      <c r="K372" s="22" t="n">
        <v>1</v>
      </c>
      <c r="L372" s="22" t="s">
        <v>8602</v>
      </c>
      <c r="M372" s="23" t="n">
        <v>45024</v>
      </c>
      <c r="N372" s="22"/>
      <c r="O372" s="22"/>
      <c r="P372" s="22" t="s">
        <v>8603</v>
      </c>
      <c r="Q372" s="22"/>
      <c r="R372" s="22"/>
    </row>
    <row r="373" customFormat="false" ht="15" hidden="false" customHeight="false" outlineLevel="0" collapsed="false">
      <c r="A373" s="22" t="s">
        <v>9101</v>
      </c>
      <c r="B373" s="23" t="n">
        <v>45000</v>
      </c>
      <c r="C373" s="22" t="s">
        <v>3981</v>
      </c>
      <c r="D373" s="22" t="n">
        <v>1634</v>
      </c>
      <c r="E373" s="22" t="s">
        <v>8541</v>
      </c>
      <c r="F373" s="22" t="s">
        <v>188</v>
      </c>
      <c r="G373" s="22" t="n">
        <v>45</v>
      </c>
      <c r="H373" s="22" t="s">
        <v>7696</v>
      </c>
      <c r="I373" s="22" t="s">
        <v>8601</v>
      </c>
      <c r="J373" s="22" t="n">
        <v>7.55</v>
      </c>
      <c r="K373" s="22" t="n">
        <v>1</v>
      </c>
      <c r="L373" s="22" t="s">
        <v>8613</v>
      </c>
      <c r="M373" s="23" t="n">
        <v>45014</v>
      </c>
      <c r="N373" s="22"/>
      <c r="O373" s="22"/>
      <c r="P373" s="22"/>
      <c r="Q373" s="22"/>
      <c r="R373" s="22"/>
    </row>
    <row r="374" customFormat="false" ht="15" hidden="false" customHeight="false" outlineLevel="0" collapsed="false">
      <c r="A374" s="22" t="s">
        <v>9102</v>
      </c>
      <c r="B374" s="23" t="n">
        <v>45012</v>
      </c>
      <c r="C374" s="22" t="s">
        <v>5677</v>
      </c>
      <c r="D374" s="22" t="n">
        <v>2469</v>
      </c>
      <c r="E374" s="22" t="s">
        <v>6693</v>
      </c>
      <c r="F374" s="22" t="s">
        <v>198</v>
      </c>
      <c r="G374" s="22" t="n">
        <v>28</v>
      </c>
      <c r="H374" s="22" t="s">
        <v>6575</v>
      </c>
      <c r="I374" s="22" t="s">
        <v>8601</v>
      </c>
      <c r="J374" s="22" t="n">
        <v>10.4</v>
      </c>
      <c r="K374" s="22" t="n">
        <v>1</v>
      </c>
      <c r="L374" s="22" t="s">
        <v>8605</v>
      </c>
      <c r="M374" s="23" t="n">
        <v>45022</v>
      </c>
      <c r="N374" s="23" t="n">
        <v>45025</v>
      </c>
      <c r="O374" s="22" t="n">
        <v>13</v>
      </c>
      <c r="P374" s="22"/>
      <c r="Q374" s="22" t="s">
        <v>9103</v>
      </c>
      <c r="R374" s="22"/>
    </row>
    <row r="375" customFormat="false" ht="15" hidden="false" customHeight="false" outlineLevel="0" collapsed="false">
      <c r="A375" s="22" t="s">
        <v>9104</v>
      </c>
      <c r="B375" s="23" t="n">
        <v>45036</v>
      </c>
      <c r="C375" s="22" t="s">
        <v>1433</v>
      </c>
      <c r="D375" s="22" t="n">
        <v>473</v>
      </c>
      <c r="E375" s="22" t="s">
        <v>8511</v>
      </c>
      <c r="F375" s="22" t="s">
        <v>188</v>
      </c>
      <c r="G375" s="22" t="n">
        <v>28</v>
      </c>
      <c r="H375" s="22" t="s">
        <v>7696</v>
      </c>
      <c r="I375" s="22" t="s">
        <v>8601</v>
      </c>
      <c r="J375" s="22" t="n">
        <v>7.55</v>
      </c>
      <c r="K375" s="22" t="n">
        <v>1</v>
      </c>
      <c r="L375" s="22" t="s">
        <v>8602</v>
      </c>
      <c r="M375" s="23" t="n">
        <v>45050</v>
      </c>
      <c r="N375" s="22"/>
      <c r="O375" s="22"/>
      <c r="P375" s="22" t="s">
        <v>8603</v>
      </c>
      <c r="Q375" s="22"/>
      <c r="R375" s="22"/>
    </row>
    <row r="376" customFormat="false" ht="15" hidden="false" customHeight="false" outlineLevel="0" collapsed="false">
      <c r="A376" s="22" t="s">
        <v>9105</v>
      </c>
      <c r="B376" s="23" t="n">
        <v>45036</v>
      </c>
      <c r="C376" s="22" t="s">
        <v>4610</v>
      </c>
      <c r="D376" s="22" t="n">
        <v>1941</v>
      </c>
      <c r="E376" s="22" t="s">
        <v>8350</v>
      </c>
      <c r="F376" s="22" t="s">
        <v>188</v>
      </c>
      <c r="G376" s="22" t="n">
        <v>32</v>
      </c>
      <c r="H376" s="22" t="s">
        <v>7696</v>
      </c>
      <c r="I376" s="22" t="s">
        <v>8601</v>
      </c>
      <c r="J376" s="22" t="n">
        <v>7.55</v>
      </c>
      <c r="K376" s="22" t="n">
        <v>2</v>
      </c>
      <c r="L376" s="22" t="s">
        <v>8602</v>
      </c>
      <c r="M376" s="23" t="n">
        <v>45050</v>
      </c>
      <c r="N376" s="22"/>
      <c r="O376" s="22"/>
      <c r="P376" s="22" t="s">
        <v>8603</v>
      </c>
      <c r="Q376" s="22"/>
      <c r="R376" s="22"/>
    </row>
    <row r="377" customFormat="false" ht="15" hidden="false" customHeight="false" outlineLevel="0" collapsed="false">
      <c r="A377" s="22" t="s">
        <v>9106</v>
      </c>
      <c r="B377" s="23" t="n">
        <v>45031</v>
      </c>
      <c r="C377" s="22" t="s">
        <v>1568</v>
      </c>
      <c r="D377" s="22" t="n">
        <v>529</v>
      </c>
      <c r="E377" s="22" t="s">
        <v>7305</v>
      </c>
      <c r="F377" s="22" t="s">
        <v>159</v>
      </c>
      <c r="G377" s="22" t="n">
        <v>24</v>
      </c>
      <c r="H377" s="22" t="s">
        <v>6575</v>
      </c>
      <c r="I377" s="22" t="s">
        <v>8601</v>
      </c>
      <c r="J377" s="22" t="n">
        <v>10.4</v>
      </c>
      <c r="K377" s="22" t="n">
        <v>1</v>
      </c>
      <c r="L377" s="22" t="s">
        <v>8605</v>
      </c>
      <c r="M377" s="23" t="n">
        <v>45041</v>
      </c>
      <c r="N377" s="23" t="n">
        <v>45038</v>
      </c>
      <c r="O377" s="22" t="n">
        <v>7</v>
      </c>
      <c r="P377" s="22"/>
      <c r="Q377" s="22" t="s">
        <v>9107</v>
      </c>
      <c r="R377" s="22"/>
    </row>
    <row r="378" customFormat="false" ht="15" hidden="false" customHeight="false" outlineLevel="0" collapsed="false">
      <c r="A378" s="22" t="s">
        <v>9108</v>
      </c>
      <c r="B378" s="23" t="n">
        <v>45027</v>
      </c>
      <c r="C378" s="22" t="s">
        <v>617</v>
      </c>
      <c r="D378" s="22" t="n">
        <v>156</v>
      </c>
      <c r="E378" s="22" t="s">
        <v>8284</v>
      </c>
      <c r="F378" s="22" t="s">
        <v>499</v>
      </c>
      <c r="G378" s="22" t="n">
        <v>36</v>
      </c>
      <c r="H378" s="22" t="s">
        <v>7696</v>
      </c>
      <c r="I378" s="22" t="s">
        <v>8601</v>
      </c>
      <c r="J378" s="22" t="n">
        <v>7.55</v>
      </c>
      <c r="K378" s="22" t="n">
        <v>1</v>
      </c>
      <c r="L378" s="22" t="s">
        <v>8629</v>
      </c>
      <c r="M378" s="23" t="n">
        <v>45041</v>
      </c>
      <c r="N378" s="23" t="n">
        <v>45041</v>
      </c>
      <c r="O378" s="22" t="n">
        <v>14</v>
      </c>
      <c r="P378" s="22"/>
      <c r="Q378" s="22"/>
      <c r="R378" s="22"/>
    </row>
    <row r="379" customFormat="false" ht="15" hidden="false" customHeight="false" outlineLevel="0" collapsed="false">
      <c r="A379" s="22" t="s">
        <v>9109</v>
      </c>
      <c r="B379" s="23" t="n">
        <v>45031</v>
      </c>
      <c r="C379" s="22" t="s">
        <v>3233</v>
      </c>
      <c r="D379" s="22" t="n">
        <v>1270</v>
      </c>
      <c r="E379" s="22" t="s">
        <v>8435</v>
      </c>
      <c r="F379" s="22" t="s">
        <v>188</v>
      </c>
      <c r="G379" s="22" t="n">
        <v>24</v>
      </c>
      <c r="H379" s="22" t="s">
        <v>7696</v>
      </c>
      <c r="I379" s="22" t="s">
        <v>8601</v>
      </c>
      <c r="J379" s="22" t="n">
        <v>7.55</v>
      </c>
      <c r="K379" s="22" t="n">
        <v>1</v>
      </c>
      <c r="L379" s="22" t="s">
        <v>8605</v>
      </c>
      <c r="M379" s="23" t="n">
        <v>45045</v>
      </c>
      <c r="N379" s="23" t="n">
        <v>45046</v>
      </c>
      <c r="O379" s="22" t="n">
        <v>15</v>
      </c>
      <c r="P379" s="22"/>
      <c r="Q379" s="22" t="s">
        <v>9089</v>
      </c>
      <c r="R379" s="22"/>
    </row>
    <row r="380" customFormat="false" ht="15" hidden="false" customHeight="false" outlineLevel="0" collapsed="false">
      <c r="A380" s="22" t="s">
        <v>9110</v>
      </c>
      <c r="B380" s="23" t="n">
        <v>45025</v>
      </c>
      <c r="C380" s="22" t="s">
        <v>2151</v>
      </c>
      <c r="D380" s="22" t="n">
        <v>779</v>
      </c>
      <c r="E380" s="22" t="s">
        <v>7893</v>
      </c>
      <c r="F380" s="22" t="s">
        <v>215</v>
      </c>
      <c r="G380" s="22" t="n">
        <v>70</v>
      </c>
      <c r="H380" s="22" t="s">
        <v>7696</v>
      </c>
      <c r="I380" s="22" t="s">
        <v>8601</v>
      </c>
      <c r="J380" s="22" t="n">
        <v>7.55</v>
      </c>
      <c r="K380" s="22" t="n">
        <v>1</v>
      </c>
      <c r="L380" s="22" t="s">
        <v>8729</v>
      </c>
      <c r="M380" s="23" t="n">
        <v>45039</v>
      </c>
      <c r="N380" s="23" t="n">
        <v>45028</v>
      </c>
      <c r="O380" s="22" t="n">
        <v>3</v>
      </c>
      <c r="P380" s="22"/>
      <c r="Q380" s="22"/>
      <c r="R380" s="22"/>
    </row>
    <row r="381" customFormat="false" ht="15" hidden="false" customHeight="false" outlineLevel="0" collapsed="false">
      <c r="A381" s="22" t="s">
        <v>9111</v>
      </c>
      <c r="B381" s="23" t="n">
        <v>45044</v>
      </c>
      <c r="C381" s="22" t="s">
        <v>5911</v>
      </c>
      <c r="D381" s="22" t="n">
        <v>2586</v>
      </c>
      <c r="E381" s="22" t="s">
        <v>7079</v>
      </c>
      <c r="F381" s="22" t="s">
        <v>198</v>
      </c>
      <c r="G381" s="22" t="n">
        <v>24</v>
      </c>
      <c r="H381" s="22" t="s">
        <v>6575</v>
      </c>
      <c r="I381" s="22" t="s">
        <v>8601</v>
      </c>
      <c r="J381" s="22" t="n">
        <v>10.4</v>
      </c>
      <c r="K381" s="22" t="n">
        <v>2</v>
      </c>
      <c r="L381" s="22" t="s">
        <v>8605</v>
      </c>
      <c r="M381" s="23" t="n">
        <v>45054</v>
      </c>
      <c r="N381" s="23" t="n">
        <v>45046</v>
      </c>
      <c r="O381" s="22" t="n">
        <v>2</v>
      </c>
      <c r="P381" s="22"/>
      <c r="Q381" s="22" t="s">
        <v>9076</v>
      </c>
      <c r="R381" s="22"/>
    </row>
    <row r="382" customFormat="false" ht="15" hidden="false" customHeight="false" outlineLevel="0" collapsed="false">
      <c r="A382" s="22" t="s">
        <v>9112</v>
      </c>
      <c r="B382" s="23" t="n">
        <v>45024</v>
      </c>
      <c r="C382" s="22" t="s">
        <v>3649</v>
      </c>
      <c r="D382" s="22" t="n">
        <v>1470</v>
      </c>
      <c r="E382" s="22" t="s">
        <v>8148</v>
      </c>
      <c r="F382" s="22" t="s">
        <v>499</v>
      </c>
      <c r="G382" s="22" t="n">
        <v>45</v>
      </c>
      <c r="H382" s="22" t="s">
        <v>7696</v>
      </c>
      <c r="I382" s="22" t="s">
        <v>8601</v>
      </c>
      <c r="J382" s="22" t="n">
        <v>7.55</v>
      </c>
      <c r="K382" s="22" t="n">
        <v>2</v>
      </c>
      <c r="L382" s="22" t="s">
        <v>8613</v>
      </c>
      <c r="M382" s="23" t="n">
        <v>45038</v>
      </c>
      <c r="N382" s="22"/>
      <c r="O382" s="22"/>
      <c r="P382" s="22"/>
      <c r="Q382" s="22"/>
      <c r="R382" s="22"/>
    </row>
    <row r="383" customFormat="false" ht="15" hidden="false" customHeight="false" outlineLevel="0" collapsed="false">
      <c r="A383" s="22" t="s">
        <v>9113</v>
      </c>
      <c r="B383" s="23" t="n">
        <v>45042</v>
      </c>
      <c r="C383" s="22" t="s">
        <v>5595</v>
      </c>
      <c r="D383" s="22" t="n">
        <v>2428</v>
      </c>
      <c r="E383" s="22" t="s">
        <v>6925</v>
      </c>
      <c r="F383" s="22" t="s">
        <v>198</v>
      </c>
      <c r="G383" s="22" t="n">
        <v>28</v>
      </c>
      <c r="H383" s="22" t="s">
        <v>6575</v>
      </c>
      <c r="I383" s="22" t="s">
        <v>8601</v>
      </c>
      <c r="J383" s="22" t="n">
        <v>10.4</v>
      </c>
      <c r="K383" s="22" t="n">
        <v>2</v>
      </c>
      <c r="L383" s="22" t="s">
        <v>8605</v>
      </c>
      <c r="M383" s="23" t="n">
        <v>45052</v>
      </c>
      <c r="N383" s="23" t="n">
        <v>45047</v>
      </c>
      <c r="O383" s="22" t="n">
        <v>5</v>
      </c>
      <c r="P383" s="22"/>
      <c r="Q383" s="22" t="s">
        <v>9114</v>
      </c>
      <c r="R383" s="22"/>
    </row>
    <row r="384" customFormat="false" ht="15" hidden="false" customHeight="false" outlineLevel="0" collapsed="false">
      <c r="A384" s="22" t="s">
        <v>9115</v>
      </c>
      <c r="B384" s="23" t="n">
        <v>45022</v>
      </c>
      <c r="C384" s="22" t="s">
        <v>3915</v>
      </c>
      <c r="D384" s="22" t="n">
        <v>1601</v>
      </c>
      <c r="E384" s="22" t="s">
        <v>7478</v>
      </c>
      <c r="F384" s="22" t="s">
        <v>159</v>
      </c>
      <c r="G384" s="22" t="n">
        <v>40</v>
      </c>
      <c r="H384" s="22" t="s">
        <v>6575</v>
      </c>
      <c r="I384" s="22" t="s">
        <v>8601</v>
      </c>
      <c r="J384" s="22" t="n">
        <v>10.4</v>
      </c>
      <c r="K384" s="22" t="n">
        <v>1</v>
      </c>
      <c r="L384" s="22" t="s">
        <v>8605</v>
      </c>
      <c r="M384" s="23" t="n">
        <v>45032</v>
      </c>
      <c r="N384" s="23" t="n">
        <v>45023</v>
      </c>
      <c r="O384" s="22" t="n">
        <v>1</v>
      </c>
      <c r="P384" s="22"/>
      <c r="Q384" s="22" t="s">
        <v>9116</v>
      </c>
      <c r="R384" s="22"/>
    </row>
    <row r="385" customFormat="false" ht="15" hidden="false" customHeight="false" outlineLevel="0" collapsed="false">
      <c r="A385" s="22" t="s">
        <v>9117</v>
      </c>
      <c r="B385" s="23" t="n">
        <v>45031</v>
      </c>
      <c r="C385" s="22" t="s">
        <v>850</v>
      </c>
      <c r="D385" s="22" t="n">
        <v>242</v>
      </c>
      <c r="E385" s="22" t="s">
        <v>7377</v>
      </c>
      <c r="F385" s="22" t="s">
        <v>159</v>
      </c>
      <c r="G385" s="22" t="n">
        <v>24</v>
      </c>
      <c r="H385" s="22" t="s">
        <v>6575</v>
      </c>
      <c r="I385" s="22" t="s">
        <v>8601</v>
      </c>
      <c r="J385" s="22" t="n">
        <v>10.4</v>
      </c>
      <c r="K385" s="22" t="n">
        <v>1</v>
      </c>
      <c r="L385" s="22" t="s">
        <v>157</v>
      </c>
      <c r="M385" s="23" t="n">
        <v>45041</v>
      </c>
      <c r="N385" s="23" t="n">
        <v>45032</v>
      </c>
      <c r="O385" s="22" t="n">
        <v>1</v>
      </c>
      <c r="P385" s="22"/>
      <c r="Q385" s="22"/>
      <c r="R385" s="22"/>
    </row>
    <row r="386" customFormat="false" ht="15" hidden="false" customHeight="false" outlineLevel="0" collapsed="false">
      <c r="A386" s="22" t="s">
        <v>9118</v>
      </c>
      <c r="B386" s="23" t="n">
        <v>45021</v>
      </c>
      <c r="C386" s="22" t="s">
        <v>3377</v>
      </c>
      <c r="D386" s="22" t="n">
        <v>1339</v>
      </c>
      <c r="E386" s="22" t="s">
        <v>7182</v>
      </c>
      <c r="F386" s="22" t="s">
        <v>198</v>
      </c>
      <c r="G386" s="22" t="n">
        <v>24</v>
      </c>
      <c r="H386" s="22" t="s">
        <v>6575</v>
      </c>
      <c r="I386" s="22" t="s">
        <v>8601</v>
      </c>
      <c r="J386" s="22" t="n">
        <v>10.4</v>
      </c>
      <c r="K386" s="22" t="n">
        <v>2</v>
      </c>
      <c r="L386" s="22" t="s">
        <v>8613</v>
      </c>
      <c r="M386" s="23" t="n">
        <v>45031</v>
      </c>
      <c r="N386" s="22"/>
      <c r="O386" s="22"/>
      <c r="P386" s="22"/>
      <c r="Q386" s="22"/>
      <c r="R386" s="22"/>
    </row>
    <row r="387" customFormat="false" ht="15" hidden="false" customHeight="false" outlineLevel="0" collapsed="false">
      <c r="A387" s="22" t="s">
        <v>9119</v>
      </c>
      <c r="B387" s="23" t="n">
        <v>45032</v>
      </c>
      <c r="C387" s="22" t="s">
        <v>6530</v>
      </c>
      <c r="D387" s="22" t="n">
        <v>2898</v>
      </c>
      <c r="E387" s="22" t="s">
        <v>7316</v>
      </c>
      <c r="F387" s="22" t="s">
        <v>159</v>
      </c>
      <c r="G387" s="22" t="n">
        <v>28</v>
      </c>
      <c r="H387" s="22" t="s">
        <v>6575</v>
      </c>
      <c r="I387" s="22" t="s">
        <v>8601</v>
      </c>
      <c r="J387" s="22" t="n">
        <v>10.4</v>
      </c>
      <c r="K387" s="22" t="n">
        <v>2</v>
      </c>
      <c r="L387" s="22" t="s">
        <v>8729</v>
      </c>
      <c r="M387" s="23" t="n">
        <v>45042</v>
      </c>
      <c r="N387" s="23" t="n">
        <v>45045</v>
      </c>
      <c r="O387" s="22" t="n">
        <v>13</v>
      </c>
      <c r="P387" s="22"/>
      <c r="Q387" s="22"/>
      <c r="R387" s="22"/>
    </row>
    <row r="388" customFormat="false" ht="15" hidden="false" customHeight="false" outlineLevel="0" collapsed="false">
      <c r="A388" s="22" t="s">
        <v>9120</v>
      </c>
      <c r="B388" s="23" t="n">
        <v>45019</v>
      </c>
      <c r="C388" s="22" t="s">
        <v>4761</v>
      </c>
      <c r="D388" s="22" t="n">
        <v>2014</v>
      </c>
      <c r="E388" s="22" t="s">
        <v>6661</v>
      </c>
      <c r="F388" s="22" t="s">
        <v>198</v>
      </c>
      <c r="G388" s="22" t="n">
        <v>28</v>
      </c>
      <c r="H388" s="22" t="s">
        <v>6575</v>
      </c>
      <c r="I388" s="22" t="s">
        <v>8601</v>
      </c>
      <c r="J388" s="22" t="n">
        <v>10.4</v>
      </c>
      <c r="K388" s="22" t="n">
        <v>1</v>
      </c>
      <c r="L388" s="22" t="s">
        <v>8602</v>
      </c>
      <c r="M388" s="23" t="n">
        <v>45029</v>
      </c>
      <c r="N388" s="22"/>
      <c r="O388" s="22"/>
      <c r="P388" s="22" t="s">
        <v>8603</v>
      </c>
      <c r="Q388" s="22"/>
      <c r="R388" s="22"/>
    </row>
    <row r="389" customFormat="false" ht="15" hidden="false" customHeight="false" outlineLevel="0" collapsed="false">
      <c r="A389" s="22" t="s">
        <v>9121</v>
      </c>
      <c r="B389" s="23" t="n">
        <v>45030</v>
      </c>
      <c r="C389" s="22" t="s">
        <v>3716</v>
      </c>
      <c r="D389" s="22" t="n">
        <v>1503</v>
      </c>
      <c r="E389" s="22" t="s">
        <v>8527</v>
      </c>
      <c r="F389" s="22" t="s">
        <v>188</v>
      </c>
      <c r="G389" s="22" t="n">
        <v>60</v>
      </c>
      <c r="H389" s="22" t="s">
        <v>7696</v>
      </c>
      <c r="I389" s="22" t="s">
        <v>8601</v>
      </c>
      <c r="J389" s="22" t="n">
        <v>7.55</v>
      </c>
      <c r="K389" s="22" t="n">
        <v>1</v>
      </c>
      <c r="L389" s="22" t="s">
        <v>8605</v>
      </c>
      <c r="M389" s="23" t="n">
        <v>45044</v>
      </c>
      <c r="N389" s="23" t="n">
        <v>45041</v>
      </c>
      <c r="O389" s="22" t="n">
        <v>11</v>
      </c>
      <c r="P389" s="22"/>
      <c r="Q389" s="22" t="s">
        <v>9122</v>
      </c>
      <c r="R389" s="22"/>
    </row>
    <row r="390" customFormat="false" ht="15" hidden="false" customHeight="false" outlineLevel="0" collapsed="false">
      <c r="A390" s="22" t="s">
        <v>9123</v>
      </c>
      <c r="B390" s="23" t="n">
        <v>45023</v>
      </c>
      <c r="C390" s="22" t="s">
        <v>520</v>
      </c>
      <c r="D390" s="22" t="n">
        <v>122</v>
      </c>
      <c r="E390" s="22" t="s">
        <v>6727</v>
      </c>
      <c r="F390" s="22" t="s">
        <v>198</v>
      </c>
      <c r="G390" s="22" t="n">
        <v>32</v>
      </c>
      <c r="H390" s="22" t="s">
        <v>6575</v>
      </c>
      <c r="I390" s="22" t="s">
        <v>8601</v>
      </c>
      <c r="J390" s="22" t="n">
        <v>10.4</v>
      </c>
      <c r="K390" s="22" t="n">
        <v>1</v>
      </c>
      <c r="L390" s="22" t="s">
        <v>8605</v>
      </c>
      <c r="M390" s="23" t="n">
        <v>45033</v>
      </c>
      <c r="N390" s="23" t="n">
        <v>45034</v>
      </c>
      <c r="O390" s="22" t="n">
        <v>11</v>
      </c>
      <c r="P390" s="22"/>
      <c r="Q390" s="22" t="s">
        <v>9124</v>
      </c>
      <c r="R390" s="22"/>
    </row>
    <row r="391" customFormat="false" ht="15" hidden="false" customHeight="false" outlineLevel="0" collapsed="false">
      <c r="A391" s="22" t="s">
        <v>9125</v>
      </c>
      <c r="B391" s="23" t="n">
        <v>45017</v>
      </c>
      <c r="C391" s="22" t="s">
        <v>2043</v>
      </c>
      <c r="D391" s="22" t="n">
        <v>730</v>
      </c>
      <c r="E391" s="22" t="s">
        <v>8288</v>
      </c>
      <c r="F391" s="22" t="s">
        <v>499</v>
      </c>
      <c r="G391" s="22" t="n">
        <v>45</v>
      </c>
      <c r="H391" s="22" t="s">
        <v>7696</v>
      </c>
      <c r="I391" s="22" t="s">
        <v>8601</v>
      </c>
      <c r="J391" s="22" t="n">
        <v>7.55</v>
      </c>
      <c r="K391" s="22" t="n">
        <v>2</v>
      </c>
      <c r="L391" s="22" t="s">
        <v>157</v>
      </c>
      <c r="M391" s="23" t="n">
        <v>45031</v>
      </c>
      <c r="N391" s="23" t="n">
        <v>45033</v>
      </c>
      <c r="O391" s="22" t="n">
        <v>16</v>
      </c>
      <c r="P391" s="22"/>
      <c r="Q391" s="22"/>
      <c r="R391" s="22"/>
    </row>
    <row r="392" customFormat="false" ht="15" hidden="false" customHeight="false" outlineLevel="0" collapsed="false">
      <c r="A392" s="22" t="s">
        <v>9126</v>
      </c>
      <c r="B392" s="23" t="n">
        <v>45025</v>
      </c>
      <c r="C392" s="22" t="s">
        <v>2343</v>
      </c>
      <c r="D392" s="22" t="n">
        <v>866</v>
      </c>
      <c r="E392" s="22" t="s">
        <v>7981</v>
      </c>
      <c r="F392" s="22" t="s">
        <v>215</v>
      </c>
      <c r="G392" s="22" t="n">
        <v>70</v>
      </c>
      <c r="H392" s="22" t="s">
        <v>7696</v>
      </c>
      <c r="I392" s="22" t="s">
        <v>8601</v>
      </c>
      <c r="J392" s="22" t="n">
        <v>7.55</v>
      </c>
      <c r="K392" s="22" t="n">
        <v>2</v>
      </c>
      <c r="L392" s="22" t="s">
        <v>8613</v>
      </c>
      <c r="M392" s="23" t="n">
        <v>45039</v>
      </c>
      <c r="N392" s="22"/>
      <c r="O392" s="22"/>
      <c r="P392" s="22"/>
      <c r="Q392" s="22"/>
      <c r="R392" s="22"/>
    </row>
    <row r="393" customFormat="false" ht="15" hidden="false" customHeight="false" outlineLevel="0" collapsed="false">
      <c r="A393" s="22" t="s">
        <v>9127</v>
      </c>
      <c r="B393" s="23" t="n">
        <v>45025</v>
      </c>
      <c r="C393" s="22" t="s">
        <v>2387</v>
      </c>
      <c r="D393" s="22" t="n">
        <v>886</v>
      </c>
      <c r="E393" s="22" t="s">
        <v>8054</v>
      </c>
      <c r="F393" s="22" t="s">
        <v>499</v>
      </c>
      <c r="G393" s="22" t="n">
        <v>32</v>
      </c>
      <c r="H393" s="22" t="s">
        <v>7696</v>
      </c>
      <c r="I393" s="22" t="s">
        <v>8601</v>
      </c>
      <c r="J393" s="22" t="n">
        <v>7.55</v>
      </c>
      <c r="K393" s="22" t="n">
        <v>1</v>
      </c>
      <c r="L393" s="22" t="s">
        <v>8602</v>
      </c>
      <c r="M393" s="23" t="n">
        <v>45039</v>
      </c>
      <c r="N393" s="22"/>
      <c r="O393" s="22"/>
      <c r="P393" s="22" t="s">
        <v>8618</v>
      </c>
      <c r="Q393" s="22"/>
      <c r="R393" s="22"/>
    </row>
    <row r="394" customFormat="false" ht="15" hidden="false" customHeight="false" outlineLevel="0" collapsed="false">
      <c r="A394" s="22" t="s">
        <v>9128</v>
      </c>
      <c r="B394" s="23" t="n">
        <v>45039</v>
      </c>
      <c r="C394" s="22" t="s">
        <v>353</v>
      </c>
      <c r="D394" s="22" t="n">
        <v>65</v>
      </c>
      <c r="E394" s="22" t="s">
        <v>8557</v>
      </c>
      <c r="F394" s="22" t="s">
        <v>188</v>
      </c>
      <c r="G394" s="22" t="n">
        <v>28</v>
      </c>
      <c r="H394" s="22" t="s">
        <v>7696</v>
      </c>
      <c r="I394" s="22" t="s">
        <v>8601</v>
      </c>
      <c r="J394" s="22" t="n">
        <v>7.55</v>
      </c>
      <c r="K394" s="22" t="n">
        <v>2</v>
      </c>
      <c r="L394" s="22" t="s">
        <v>8613</v>
      </c>
      <c r="M394" s="23" t="n">
        <v>45053</v>
      </c>
      <c r="N394" s="22"/>
      <c r="O394" s="22"/>
      <c r="P394" s="22"/>
      <c r="Q394" s="22"/>
      <c r="R394" s="22"/>
    </row>
    <row r="395" customFormat="false" ht="15" hidden="false" customHeight="false" outlineLevel="0" collapsed="false">
      <c r="A395" s="22" t="s">
        <v>9129</v>
      </c>
      <c r="B395" s="23" t="n">
        <v>45020</v>
      </c>
      <c r="C395" s="22" t="s">
        <v>6534</v>
      </c>
      <c r="D395" s="22" t="n">
        <v>2900</v>
      </c>
      <c r="E395" s="22" t="s">
        <v>8203</v>
      </c>
      <c r="F395" s="22" t="s">
        <v>499</v>
      </c>
      <c r="G395" s="22" t="n">
        <v>70</v>
      </c>
      <c r="H395" s="22" t="s">
        <v>7696</v>
      </c>
      <c r="I395" s="22" t="s">
        <v>8601</v>
      </c>
      <c r="J395" s="22" t="n">
        <v>7.55</v>
      </c>
      <c r="K395" s="22" t="n">
        <v>1</v>
      </c>
      <c r="L395" s="22" t="s">
        <v>8605</v>
      </c>
      <c r="M395" s="23" t="n">
        <v>45034</v>
      </c>
      <c r="N395" s="23" t="n">
        <v>45028</v>
      </c>
      <c r="O395" s="22" t="n">
        <v>8</v>
      </c>
      <c r="P395" s="22"/>
      <c r="Q395" s="22" t="s">
        <v>9130</v>
      </c>
      <c r="R395" s="22"/>
    </row>
    <row r="396" customFormat="false" ht="15" hidden="false" customHeight="false" outlineLevel="0" collapsed="false">
      <c r="A396" s="22" t="s">
        <v>9131</v>
      </c>
      <c r="B396" s="23" t="n">
        <v>45027</v>
      </c>
      <c r="C396" s="22" t="s">
        <v>2804</v>
      </c>
      <c r="D396" s="22" t="n">
        <v>1074</v>
      </c>
      <c r="E396" s="22" t="s">
        <v>8009</v>
      </c>
      <c r="F396" s="22" t="s">
        <v>215</v>
      </c>
      <c r="G396" s="22" t="n">
        <v>32</v>
      </c>
      <c r="H396" s="22" t="s">
        <v>7696</v>
      </c>
      <c r="I396" s="22" t="s">
        <v>8601</v>
      </c>
      <c r="J396" s="22" t="n">
        <v>7.55</v>
      </c>
      <c r="K396" s="22" t="n">
        <v>1</v>
      </c>
      <c r="L396" s="22" t="s">
        <v>8602</v>
      </c>
      <c r="M396" s="23" t="n">
        <v>45041</v>
      </c>
      <c r="N396" s="22"/>
      <c r="O396" s="22"/>
      <c r="P396" s="22" t="s">
        <v>8603</v>
      </c>
      <c r="Q396" s="22"/>
      <c r="R396" s="22"/>
    </row>
    <row r="397" customFormat="false" ht="15" hidden="false" customHeight="false" outlineLevel="0" collapsed="false">
      <c r="A397" s="22" t="s">
        <v>9132</v>
      </c>
      <c r="B397" s="23" t="n">
        <v>45036</v>
      </c>
      <c r="C397" s="22" t="s">
        <v>6134</v>
      </c>
      <c r="D397" s="22" t="n">
        <v>2697</v>
      </c>
      <c r="E397" s="22" t="s">
        <v>7756</v>
      </c>
      <c r="F397" s="22" t="s">
        <v>215</v>
      </c>
      <c r="G397" s="22" t="n">
        <v>32</v>
      </c>
      <c r="H397" s="22" t="s">
        <v>7696</v>
      </c>
      <c r="I397" s="22" t="s">
        <v>8601</v>
      </c>
      <c r="J397" s="22" t="n">
        <v>7.55</v>
      </c>
      <c r="K397" s="22" t="n">
        <v>1</v>
      </c>
      <c r="L397" s="22" t="s">
        <v>157</v>
      </c>
      <c r="M397" s="23" t="n">
        <v>45050</v>
      </c>
      <c r="N397" s="23" t="n">
        <v>45049</v>
      </c>
      <c r="O397" s="22" t="n">
        <v>13</v>
      </c>
      <c r="P397" s="22"/>
      <c r="Q397" s="22"/>
      <c r="R397" s="22"/>
    </row>
    <row r="398" customFormat="false" ht="15" hidden="false" customHeight="false" outlineLevel="0" collapsed="false">
      <c r="A398" s="22" t="s">
        <v>9133</v>
      </c>
      <c r="B398" s="23" t="n">
        <v>45043</v>
      </c>
      <c r="C398" s="22" t="s">
        <v>2225</v>
      </c>
      <c r="D398" s="22" t="n">
        <v>812</v>
      </c>
      <c r="E398" s="22" t="s">
        <v>8325</v>
      </c>
      <c r="F398" s="22" t="s">
        <v>499</v>
      </c>
      <c r="G398" s="22" t="n">
        <v>80</v>
      </c>
      <c r="H398" s="22" t="s">
        <v>7696</v>
      </c>
      <c r="I398" s="22" t="s">
        <v>8601</v>
      </c>
      <c r="J398" s="22" t="n">
        <v>7.55</v>
      </c>
      <c r="K398" s="22" t="n">
        <v>1</v>
      </c>
      <c r="L398" s="22" t="s">
        <v>8605</v>
      </c>
      <c r="M398" s="23" t="n">
        <v>45057</v>
      </c>
      <c r="N398" s="23" t="n">
        <v>45053</v>
      </c>
      <c r="O398" s="22" t="n">
        <v>10</v>
      </c>
      <c r="P398" s="22"/>
      <c r="Q398" s="22" t="s">
        <v>9091</v>
      </c>
      <c r="R398" s="22"/>
    </row>
    <row r="399" customFormat="false" ht="15" hidden="false" customHeight="false" outlineLevel="0" collapsed="false">
      <c r="A399" s="22" t="s">
        <v>9134</v>
      </c>
      <c r="B399" s="23" t="n">
        <v>45035</v>
      </c>
      <c r="C399" s="22" t="s">
        <v>3573</v>
      </c>
      <c r="D399" s="22" t="n">
        <v>1434</v>
      </c>
      <c r="E399" s="22" t="s">
        <v>8028</v>
      </c>
      <c r="F399" s="22" t="s">
        <v>215</v>
      </c>
      <c r="G399" s="22" t="n">
        <v>32</v>
      </c>
      <c r="H399" s="22" t="s">
        <v>7696</v>
      </c>
      <c r="I399" s="22" t="s">
        <v>8601</v>
      </c>
      <c r="J399" s="22" t="n">
        <v>7.55</v>
      </c>
      <c r="K399" s="22" t="n">
        <v>1</v>
      </c>
      <c r="L399" s="22" t="s">
        <v>8608</v>
      </c>
      <c r="M399" s="23" t="n">
        <v>45049</v>
      </c>
      <c r="N399" s="23" t="n">
        <v>45045</v>
      </c>
      <c r="O399" s="22" t="n">
        <v>10</v>
      </c>
      <c r="P399" s="22"/>
      <c r="Q399" s="22"/>
      <c r="R399" s="22"/>
    </row>
    <row r="400" customFormat="false" ht="15" hidden="false" customHeight="false" outlineLevel="0" collapsed="false">
      <c r="A400" s="22" t="s">
        <v>9135</v>
      </c>
      <c r="B400" s="23" t="n">
        <v>45017</v>
      </c>
      <c r="C400" s="22" t="s">
        <v>2086</v>
      </c>
      <c r="D400" s="22" t="n">
        <v>750</v>
      </c>
      <c r="E400" s="22" t="s">
        <v>7476</v>
      </c>
      <c r="F400" s="22" t="s">
        <v>159</v>
      </c>
      <c r="G400" s="22" t="n">
        <v>24</v>
      </c>
      <c r="H400" s="22" t="s">
        <v>6575</v>
      </c>
      <c r="I400" s="22" t="s">
        <v>8601</v>
      </c>
      <c r="J400" s="22" t="n">
        <v>10.4</v>
      </c>
      <c r="K400" s="22" t="n">
        <v>2</v>
      </c>
      <c r="L400" s="22" t="s">
        <v>8629</v>
      </c>
      <c r="M400" s="23" t="n">
        <v>45027</v>
      </c>
      <c r="N400" s="23" t="n">
        <v>45026</v>
      </c>
      <c r="O400" s="22" t="n">
        <v>9</v>
      </c>
      <c r="P400" s="22"/>
      <c r="Q400" s="22"/>
      <c r="R400" s="22"/>
    </row>
    <row r="401" customFormat="false" ht="15" hidden="false" customHeight="false" outlineLevel="0" collapsed="false">
      <c r="A401" s="22" t="s">
        <v>9136</v>
      </c>
      <c r="B401" s="23" t="n">
        <v>45019</v>
      </c>
      <c r="C401" s="22" t="s">
        <v>3307</v>
      </c>
      <c r="D401" s="22" t="n">
        <v>1305</v>
      </c>
      <c r="E401" s="22" t="s">
        <v>6699</v>
      </c>
      <c r="F401" s="22" t="s">
        <v>198</v>
      </c>
      <c r="G401" s="22" t="n">
        <v>40</v>
      </c>
      <c r="H401" s="22" t="s">
        <v>6575</v>
      </c>
      <c r="I401" s="22" t="s">
        <v>8601</v>
      </c>
      <c r="J401" s="22" t="n">
        <v>10.4</v>
      </c>
      <c r="K401" s="22" t="n">
        <v>2</v>
      </c>
      <c r="L401" s="22" t="s">
        <v>8629</v>
      </c>
      <c r="M401" s="23" t="n">
        <v>45029</v>
      </c>
      <c r="N401" s="23" t="n">
        <v>45020</v>
      </c>
      <c r="O401" s="22" t="n">
        <v>1</v>
      </c>
      <c r="P401" s="22"/>
      <c r="Q401" s="22"/>
      <c r="R401" s="22"/>
    </row>
    <row r="402" customFormat="false" ht="15" hidden="false" customHeight="false" outlineLevel="0" collapsed="false">
      <c r="A402" s="22" t="s">
        <v>9137</v>
      </c>
      <c r="B402" s="23" t="n">
        <v>45024</v>
      </c>
      <c r="C402" s="22" t="s">
        <v>586</v>
      </c>
      <c r="D402" s="22" t="n">
        <v>145</v>
      </c>
      <c r="E402" s="22" t="s">
        <v>7774</v>
      </c>
      <c r="F402" s="22" t="s">
        <v>215</v>
      </c>
      <c r="G402" s="22" t="n">
        <v>36</v>
      </c>
      <c r="H402" s="22" t="s">
        <v>7696</v>
      </c>
      <c r="I402" s="22" t="s">
        <v>8601</v>
      </c>
      <c r="J402" s="22" t="n">
        <v>7.55</v>
      </c>
      <c r="K402" s="22" t="n">
        <v>1</v>
      </c>
      <c r="L402" s="22" t="s">
        <v>8602</v>
      </c>
      <c r="M402" s="23" t="n">
        <v>45038</v>
      </c>
      <c r="N402" s="22"/>
      <c r="O402" s="22"/>
      <c r="P402" s="22" t="s">
        <v>8618</v>
      </c>
      <c r="Q402" s="22"/>
      <c r="R402" s="22"/>
    </row>
    <row r="403" customFormat="false" ht="15" hidden="false" customHeight="false" outlineLevel="0" collapsed="false">
      <c r="A403" s="22" t="s">
        <v>9138</v>
      </c>
      <c r="B403" s="23" t="n">
        <v>45021</v>
      </c>
      <c r="C403" s="22" t="s">
        <v>6455</v>
      </c>
      <c r="D403" s="22" t="n">
        <v>2861</v>
      </c>
      <c r="E403" s="22" t="s">
        <v>7674</v>
      </c>
      <c r="F403" s="22" t="s">
        <v>159</v>
      </c>
      <c r="G403" s="22" t="n">
        <v>28</v>
      </c>
      <c r="H403" s="22" t="s">
        <v>6575</v>
      </c>
      <c r="I403" s="22" t="s">
        <v>8601</v>
      </c>
      <c r="J403" s="22" t="n">
        <v>10.4</v>
      </c>
      <c r="K403" s="22" t="n">
        <v>1</v>
      </c>
      <c r="L403" s="22" t="s">
        <v>8605</v>
      </c>
      <c r="M403" s="23" t="n">
        <v>45031</v>
      </c>
      <c r="N403" s="23" t="n">
        <v>45028</v>
      </c>
      <c r="O403" s="22" t="n">
        <v>7</v>
      </c>
      <c r="P403" s="22"/>
      <c r="Q403" s="22" t="s">
        <v>9139</v>
      </c>
      <c r="R403" s="22"/>
    </row>
    <row r="404" customFormat="false" ht="15" hidden="false" customHeight="false" outlineLevel="0" collapsed="false">
      <c r="A404" s="22" t="s">
        <v>9140</v>
      </c>
      <c r="B404" s="23" t="n">
        <v>45044</v>
      </c>
      <c r="C404" s="22" t="s">
        <v>931</v>
      </c>
      <c r="D404" s="22" t="n">
        <v>274</v>
      </c>
      <c r="E404" s="22" t="s">
        <v>8286</v>
      </c>
      <c r="F404" s="22" t="s">
        <v>499</v>
      </c>
      <c r="G404" s="22" t="n">
        <v>50</v>
      </c>
      <c r="H404" s="22" t="s">
        <v>7696</v>
      </c>
      <c r="I404" s="22" t="s">
        <v>8601</v>
      </c>
      <c r="J404" s="22" t="n">
        <v>7.55</v>
      </c>
      <c r="K404" s="22" t="n">
        <v>1</v>
      </c>
      <c r="L404" s="22" t="s">
        <v>8602</v>
      </c>
      <c r="M404" s="23" t="n">
        <v>45058</v>
      </c>
      <c r="N404" s="22"/>
      <c r="O404" s="22"/>
      <c r="P404" s="22" t="s">
        <v>8603</v>
      </c>
      <c r="Q404" s="22"/>
      <c r="R404" s="22"/>
    </row>
    <row r="405" customFormat="false" ht="15" hidden="false" customHeight="false" outlineLevel="0" collapsed="false">
      <c r="A405" s="22" t="s">
        <v>9141</v>
      </c>
      <c r="B405" s="23" t="n">
        <v>45038</v>
      </c>
      <c r="C405" s="22" t="s">
        <v>4316</v>
      </c>
      <c r="D405" s="22" t="n">
        <v>1797</v>
      </c>
      <c r="E405" s="22" t="s">
        <v>8314</v>
      </c>
      <c r="F405" s="22" t="s">
        <v>499</v>
      </c>
      <c r="G405" s="22" t="n">
        <v>24</v>
      </c>
      <c r="H405" s="22" t="s">
        <v>7696</v>
      </c>
      <c r="I405" s="22" t="s">
        <v>8601</v>
      </c>
      <c r="J405" s="22" t="n">
        <v>7.55</v>
      </c>
      <c r="K405" s="22" t="n">
        <v>2</v>
      </c>
      <c r="L405" s="22" t="s">
        <v>8605</v>
      </c>
      <c r="M405" s="23" t="n">
        <v>45052</v>
      </c>
      <c r="N405" s="23" t="n">
        <v>45042</v>
      </c>
      <c r="O405" s="22" t="n">
        <v>4</v>
      </c>
      <c r="P405" s="22"/>
      <c r="Q405" s="22" t="s">
        <v>9142</v>
      </c>
      <c r="R405" s="22"/>
    </row>
    <row r="406" customFormat="false" ht="15" hidden="false" customHeight="false" outlineLevel="0" collapsed="false">
      <c r="A406" s="22" t="s">
        <v>9143</v>
      </c>
      <c r="B406" s="23" t="n">
        <v>45035</v>
      </c>
      <c r="C406" s="22" t="s">
        <v>2933</v>
      </c>
      <c r="D406" s="22" t="n">
        <v>1132</v>
      </c>
      <c r="E406" s="22" t="s">
        <v>7515</v>
      </c>
      <c r="F406" s="22" t="s">
        <v>159</v>
      </c>
      <c r="G406" s="22" t="n">
        <v>32</v>
      </c>
      <c r="H406" s="22" t="s">
        <v>6575</v>
      </c>
      <c r="I406" s="22" t="s">
        <v>8601</v>
      </c>
      <c r="J406" s="22" t="n">
        <v>10.4</v>
      </c>
      <c r="K406" s="22" t="n">
        <v>2</v>
      </c>
      <c r="L406" s="22" t="s">
        <v>8605</v>
      </c>
      <c r="M406" s="23" t="n">
        <v>45045</v>
      </c>
      <c r="N406" s="23" t="n">
        <v>45044</v>
      </c>
      <c r="O406" s="22" t="n">
        <v>9</v>
      </c>
      <c r="P406" s="22"/>
      <c r="Q406" s="22" t="s">
        <v>9144</v>
      </c>
      <c r="R406" s="22"/>
    </row>
    <row r="407" customFormat="false" ht="15" hidden="false" customHeight="false" outlineLevel="0" collapsed="false">
      <c r="A407" s="22" t="s">
        <v>9145</v>
      </c>
      <c r="B407" s="23" t="n">
        <v>45034</v>
      </c>
      <c r="C407" s="22" t="s">
        <v>3224</v>
      </c>
      <c r="D407" s="22" t="n">
        <v>1266</v>
      </c>
      <c r="E407" s="22" t="s">
        <v>7495</v>
      </c>
      <c r="F407" s="22" t="s">
        <v>159</v>
      </c>
      <c r="G407" s="22" t="n">
        <v>32</v>
      </c>
      <c r="H407" s="22" t="s">
        <v>6575</v>
      </c>
      <c r="I407" s="22" t="s">
        <v>8601</v>
      </c>
      <c r="J407" s="22" t="n">
        <v>10.4</v>
      </c>
      <c r="K407" s="22" t="n">
        <v>2</v>
      </c>
      <c r="L407" s="22" t="s">
        <v>8605</v>
      </c>
      <c r="M407" s="23" t="n">
        <v>45044</v>
      </c>
      <c r="N407" s="23" t="n">
        <v>45037</v>
      </c>
      <c r="O407" s="22" t="n">
        <v>3</v>
      </c>
      <c r="P407" s="22"/>
      <c r="Q407" s="22" t="s">
        <v>9146</v>
      </c>
      <c r="R407" s="22"/>
    </row>
    <row r="408" customFormat="false" ht="15" hidden="false" customHeight="false" outlineLevel="0" collapsed="false">
      <c r="A408" s="22" t="s">
        <v>9147</v>
      </c>
      <c r="B408" s="23" t="n">
        <v>45017</v>
      </c>
      <c r="C408" s="22" t="s">
        <v>2523</v>
      </c>
      <c r="D408" s="22" t="n">
        <v>948</v>
      </c>
      <c r="E408" s="22" t="s">
        <v>8529</v>
      </c>
      <c r="F408" s="22" t="s">
        <v>188</v>
      </c>
      <c r="G408" s="22" t="n">
        <v>28</v>
      </c>
      <c r="H408" s="22" t="s">
        <v>7696</v>
      </c>
      <c r="I408" s="22" t="s">
        <v>8601</v>
      </c>
      <c r="J408" s="22" t="n">
        <v>7.55</v>
      </c>
      <c r="K408" s="22" t="n">
        <v>1</v>
      </c>
      <c r="L408" s="22" t="s">
        <v>157</v>
      </c>
      <c r="M408" s="23" t="n">
        <v>45031</v>
      </c>
      <c r="N408" s="23" t="n">
        <v>45024</v>
      </c>
      <c r="O408" s="22" t="n">
        <v>7</v>
      </c>
      <c r="P408" s="22"/>
      <c r="Q408" s="22"/>
      <c r="R408" s="22"/>
    </row>
    <row r="409" customFormat="false" ht="15" hidden="false" customHeight="false" outlineLevel="0" collapsed="false">
      <c r="A409" s="22" t="s">
        <v>9148</v>
      </c>
      <c r="B409" s="23" t="n">
        <v>45041</v>
      </c>
      <c r="C409" s="22" t="s">
        <v>5016</v>
      </c>
      <c r="D409" s="22" t="n">
        <v>2140</v>
      </c>
      <c r="E409" s="22" t="s">
        <v>7688</v>
      </c>
      <c r="F409" s="22" t="s">
        <v>159</v>
      </c>
      <c r="G409" s="22" t="n">
        <v>40</v>
      </c>
      <c r="H409" s="22" t="s">
        <v>6575</v>
      </c>
      <c r="I409" s="22" t="s">
        <v>8601</v>
      </c>
      <c r="J409" s="22" t="n">
        <v>10.4</v>
      </c>
      <c r="K409" s="22" t="n">
        <v>1</v>
      </c>
      <c r="L409" s="22" t="s">
        <v>8605</v>
      </c>
      <c r="M409" s="23" t="n">
        <v>45051</v>
      </c>
      <c r="N409" s="23" t="n">
        <v>45054</v>
      </c>
      <c r="O409" s="22" t="n">
        <v>13</v>
      </c>
      <c r="P409" s="22"/>
      <c r="Q409" s="22" t="s">
        <v>9149</v>
      </c>
      <c r="R409" s="22"/>
    </row>
    <row r="410" customFormat="false" ht="15" hidden="false" customHeight="false" outlineLevel="0" collapsed="false">
      <c r="A410" s="22" t="s">
        <v>9150</v>
      </c>
      <c r="B410" s="23" t="n">
        <v>45018</v>
      </c>
      <c r="C410" s="22" t="s">
        <v>423</v>
      </c>
      <c r="D410" s="22" t="n">
        <v>89</v>
      </c>
      <c r="E410" s="22" t="s">
        <v>8108</v>
      </c>
      <c r="F410" s="22" t="s">
        <v>499</v>
      </c>
      <c r="G410" s="22" t="n">
        <v>32</v>
      </c>
      <c r="H410" s="22" t="s">
        <v>7696</v>
      </c>
      <c r="I410" s="22" t="s">
        <v>8601</v>
      </c>
      <c r="J410" s="22" t="n">
        <v>7.55</v>
      </c>
      <c r="K410" s="22" t="n">
        <v>1</v>
      </c>
      <c r="L410" s="22" t="s">
        <v>8602</v>
      </c>
      <c r="M410" s="23" t="n">
        <v>45032</v>
      </c>
      <c r="N410" s="22"/>
      <c r="O410" s="22"/>
      <c r="P410" s="22" t="s">
        <v>8631</v>
      </c>
      <c r="Q410" s="22"/>
      <c r="R410" s="22"/>
    </row>
    <row r="411" customFormat="false" ht="15" hidden="false" customHeight="false" outlineLevel="0" collapsed="false">
      <c r="A411" s="22" t="s">
        <v>9151</v>
      </c>
      <c r="B411" s="23" t="n">
        <v>45063</v>
      </c>
      <c r="C411" s="22" t="s">
        <v>5407</v>
      </c>
      <c r="D411" s="22" t="n">
        <v>2334</v>
      </c>
      <c r="E411" s="22" t="s">
        <v>8383</v>
      </c>
      <c r="F411" s="22" t="s">
        <v>188</v>
      </c>
      <c r="G411" s="22" t="n">
        <v>45</v>
      </c>
      <c r="H411" s="22" t="s">
        <v>7696</v>
      </c>
      <c r="I411" s="22" t="s">
        <v>8601</v>
      </c>
      <c r="J411" s="22" t="n">
        <v>7.55</v>
      </c>
      <c r="K411" s="22" t="n">
        <v>1</v>
      </c>
      <c r="L411" s="22" t="s">
        <v>8605</v>
      </c>
      <c r="M411" s="23" t="n">
        <v>45077</v>
      </c>
      <c r="N411" s="23" t="n">
        <v>45065</v>
      </c>
      <c r="O411" s="22" t="n">
        <v>2</v>
      </c>
      <c r="P411" s="22"/>
      <c r="Q411" s="22" t="s">
        <v>9152</v>
      </c>
      <c r="R411" s="22"/>
    </row>
    <row r="412" customFormat="false" ht="15" hidden="false" customHeight="false" outlineLevel="0" collapsed="false">
      <c r="A412" s="22" t="s">
        <v>9153</v>
      </c>
      <c r="B412" s="23" t="n">
        <v>45059</v>
      </c>
      <c r="C412" s="22" t="s">
        <v>3679</v>
      </c>
      <c r="D412" s="22" t="n">
        <v>1485</v>
      </c>
      <c r="E412" s="22" t="s">
        <v>7494</v>
      </c>
      <c r="F412" s="22" t="s">
        <v>159</v>
      </c>
      <c r="G412" s="22" t="n">
        <v>32</v>
      </c>
      <c r="H412" s="22" t="s">
        <v>6575</v>
      </c>
      <c r="I412" s="22" t="s">
        <v>8601</v>
      </c>
      <c r="J412" s="22" t="n">
        <v>10.4</v>
      </c>
      <c r="K412" s="22" t="n">
        <v>1</v>
      </c>
      <c r="L412" s="22" t="s">
        <v>8602</v>
      </c>
      <c r="M412" s="23" t="n">
        <v>45069</v>
      </c>
      <c r="N412" s="22"/>
      <c r="O412" s="22"/>
      <c r="P412" s="22" t="s">
        <v>8618</v>
      </c>
      <c r="Q412" s="22"/>
      <c r="R412" s="22"/>
    </row>
    <row r="413" customFormat="false" ht="15" hidden="false" customHeight="false" outlineLevel="0" collapsed="false">
      <c r="A413" s="22" t="s">
        <v>9154</v>
      </c>
      <c r="B413" s="23" t="n">
        <v>45051</v>
      </c>
      <c r="C413" s="22" t="s">
        <v>5038</v>
      </c>
      <c r="D413" s="22" t="n">
        <v>2151</v>
      </c>
      <c r="E413" s="22" t="s">
        <v>7370</v>
      </c>
      <c r="F413" s="22" t="s">
        <v>159</v>
      </c>
      <c r="G413" s="22" t="n">
        <v>28</v>
      </c>
      <c r="H413" s="22" t="s">
        <v>6575</v>
      </c>
      <c r="I413" s="22" t="s">
        <v>8601</v>
      </c>
      <c r="J413" s="22" t="n">
        <v>10.4</v>
      </c>
      <c r="K413" s="22" t="n">
        <v>1</v>
      </c>
      <c r="L413" s="22" t="s">
        <v>8602</v>
      </c>
      <c r="M413" s="23" t="n">
        <v>45061</v>
      </c>
      <c r="N413" s="22"/>
      <c r="O413" s="22"/>
      <c r="P413" s="22" t="s">
        <v>8631</v>
      </c>
      <c r="Q413" s="22"/>
      <c r="R413" s="22"/>
    </row>
    <row r="414" customFormat="false" ht="15" hidden="false" customHeight="false" outlineLevel="0" collapsed="false">
      <c r="A414" s="22" t="s">
        <v>9155</v>
      </c>
      <c r="B414" s="23" t="n">
        <v>45066</v>
      </c>
      <c r="C414" s="22" t="s">
        <v>6394</v>
      </c>
      <c r="D414" s="22" t="n">
        <v>2829</v>
      </c>
      <c r="E414" s="22" t="s">
        <v>8522</v>
      </c>
      <c r="F414" s="22" t="s">
        <v>188</v>
      </c>
      <c r="G414" s="22" t="n">
        <v>24</v>
      </c>
      <c r="H414" s="22" t="s">
        <v>7696</v>
      </c>
      <c r="I414" s="22" t="s">
        <v>8601</v>
      </c>
      <c r="J414" s="22" t="n">
        <v>7.55</v>
      </c>
      <c r="K414" s="22" t="n">
        <v>1</v>
      </c>
      <c r="L414" s="22" t="s">
        <v>8605</v>
      </c>
      <c r="M414" s="23" t="n">
        <v>45080</v>
      </c>
      <c r="N414" s="23" t="n">
        <v>45083</v>
      </c>
      <c r="O414" s="22" t="n">
        <v>17</v>
      </c>
      <c r="P414" s="22"/>
      <c r="Q414" s="22" t="s">
        <v>9156</v>
      </c>
      <c r="R414" s="22"/>
    </row>
    <row r="415" customFormat="false" ht="15" hidden="false" customHeight="false" outlineLevel="0" collapsed="false">
      <c r="A415" s="22" t="s">
        <v>9157</v>
      </c>
      <c r="B415" s="23" t="n">
        <v>45065</v>
      </c>
      <c r="C415" s="22" t="s">
        <v>6025</v>
      </c>
      <c r="D415" s="22" t="n">
        <v>2643</v>
      </c>
      <c r="E415" s="22" t="s">
        <v>7509</v>
      </c>
      <c r="F415" s="22" t="s">
        <v>159</v>
      </c>
      <c r="G415" s="22" t="n">
        <v>36</v>
      </c>
      <c r="H415" s="22" t="s">
        <v>6575</v>
      </c>
      <c r="I415" s="22" t="s">
        <v>8601</v>
      </c>
      <c r="J415" s="22" t="n">
        <v>10.4</v>
      </c>
      <c r="K415" s="22" t="n">
        <v>1</v>
      </c>
      <c r="L415" s="22" t="s">
        <v>8605</v>
      </c>
      <c r="M415" s="23" t="n">
        <v>45075</v>
      </c>
      <c r="N415" s="23" t="n">
        <v>45071</v>
      </c>
      <c r="O415" s="22" t="n">
        <v>6</v>
      </c>
      <c r="P415" s="22"/>
      <c r="Q415" s="22" t="s">
        <v>9158</v>
      </c>
      <c r="R415" s="22"/>
    </row>
    <row r="416" customFormat="false" ht="15" hidden="false" customHeight="false" outlineLevel="0" collapsed="false">
      <c r="A416" s="22" t="s">
        <v>9159</v>
      </c>
      <c r="B416" s="23" t="n">
        <v>45069</v>
      </c>
      <c r="C416" s="22" t="s">
        <v>2454</v>
      </c>
      <c r="D416" s="22" t="n">
        <v>917</v>
      </c>
      <c r="E416" s="22" t="s">
        <v>7418</v>
      </c>
      <c r="F416" s="22" t="s">
        <v>159</v>
      </c>
      <c r="G416" s="22" t="n">
        <v>40</v>
      </c>
      <c r="H416" s="22" t="s">
        <v>6575</v>
      </c>
      <c r="I416" s="22" t="s">
        <v>8601</v>
      </c>
      <c r="J416" s="22" t="n">
        <v>10.4</v>
      </c>
      <c r="K416" s="22" t="n">
        <v>1</v>
      </c>
      <c r="L416" s="22" t="s">
        <v>8605</v>
      </c>
      <c r="M416" s="23" t="n">
        <v>45079</v>
      </c>
      <c r="N416" s="23" t="n">
        <v>45076</v>
      </c>
      <c r="O416" s="22" t="n">
        <v>7</v>
      </c>
      <c r="P416" s="22"/>
      <c r="Q416" s="22" t="s">
        <v>9160</v>
      </c>
      <c r="R416" s="22"/>
    </row>
    <row r="417" customFormat="false" ht="15" hidden="false" customHeight="false" outlineLevel="0" collapsed="false">
      <c r="A417" s="22" t="s">
        <v>9161</v>
      </c>
      <c r="B417" s="23" t="n">
        <v>45072</v>
      </c>
      <c r="C417" s="22" t="s">
        <v>6204</v>
      </c>
      <c r="D417" s="22" t="n">
        <v>2732</v>
      </c>
      <c r="E417" s="22" t="s">
        <v>7630</v>
      </c>
      <c r="F417" s="22" t="s">
        <v>159</v>
      </c>
      <c r="G417" s="22" t="n">
        <v>28</v>
      </c>
      <c r="H417" s="22" t="s">
        <v>6575</v>
      </c>
      <c r="I417" s="22" t="s">
        <v>8601</v>
      </c>
      <c r="J417" s="22" t="n">
        <v>10.4</v>
      </c>
      <c r="K417" s="22" t="n">
        <v>1</v>
      </c>
      <c r="L417" s="22" t="s">
        <v>8629</v>
      </c>
      <c r="M417" s="23" t="n">
        <v>45082</v>
      </c>
      <c r="N417" s="23" t="n">
        <v>45082</v>
      </c>
      <c r="O417" s="22" t="n">
        <v>10</v>
      </c>
      <c r="P417" s="22"/>
      <c r="Q417" s="22"/>
      <c r="R417" s="22"/>
    </row>
    <row r="418" customFormat="false" ht="15" hidden="false" customHeight="false" outlineLevel="0" collapsed="false">
      <c r="A418" s="22" t="s">
        <v>9162</v>
      </c>
      <c r="B418" s="23" t="n">
        <v>45048</v>
      </c>
      <c r="C418" s="22" t="s">
        <v>1424</v>
      </c>
      <c r="D418" s="22" t="n">
        <v>469</v>
      </c>
      <c r="E418" s="22" t="s">
        <v>7255</v>
      </c>
      <c r="F418" s="22" t="s">
        <v>198</v>
      </c>
      <c r="G418" s="22" t="n">
        <v>32</v>
      </c>
      <c r="H418" s="22" t="s">
        <v>6575</v>
      </c>
      <c r="I418" s="22" t="s">
        <v>8601</v>
      </c>
      <c r="J418" s="22" t="n">
        <v>10.4</v>
      </c>
      <c r="K418" s="22" t="n">
        <v>1</v>
      </c>
      <c r="L418" s="22" t="s">
        <v>8602</v>
      </c>
      <c r="M418" s="23" t="n">
        <v>45058</v>
      </c>
      <c r="N418" s="22"/>
      <c r="O418" s="22"/>
      <c r="P418" s="22" t="s">
        <v>8603</v>
      </c>
      <c r="Q418" s="22"/>
      <c r="R418" s="22"/>
    </row>
    <row r="419" customFormat="false" ht="15" hidden="false" customHeight="false" outlineLevel="0" collapsed="false">
      <c r="A419" s="22" t="s">
        <v>9163</v>
      </c>
      <c r="B419" s="23" t="n">
        <v>45058</v>
      </c>
      <c r="C419" s="22" t="s">
        <v>5100</v>
      </c>
      <c r="D419" s="22" t="n">
        <v>2181</v>
      </c>
      <c r="E419" s="22" t="s">
        <v>8569</v>
      </c>
      <c r="F419" s="22" t="s">
        <v>188</v>
      </c>
      <c r="G419" s="22" t="n">
        <v>80</v>
      </c>
      <c r="H419" s="22" t="s">
        <v>7696</v>
      </c>
      <c r="I419" s="22" t="s">
        <v>8601</v>
      </c>
      <c r="J419" s="22" t="n">
        <v>7.55</v>
      </c>
      <c r="K419" s="22" t="n">
        <v>2</v>
      </c>
      <c r="L419" s="22" t="s">
        <v>8602</v>
      </c>
      <c r="M419" s="23" t="n">
        <v>45072</v>
      </c>
      <c r="N419" s="22"/>
      <c r="O419" s="22"/>
      <c r="P419" s="22" t="s">
        <v>8603</v>
      </c>
      <c r="Q419" s="22"/>
      <c r="R419" s="22"/>
    </row>
    <row r="420" customFormat="false" ht="15" hidden="false" customHeight="false" outlineLevel="0" collapsed="false">
      <c r="A420" s="22" t="s">
        <v>9164</v>
      </c>
      <c r="B420" s="23" t="n">
        <v>45066</v>
      </c>
      <c r="C420" s="22" t="s">
        <v>6368</v>
      </c>
      <c r="D420" s="22" t="n">
        <v>2816</v>
      </c>
      <c r="E420" s="22" t="s">
        <v>7323</v>
      </c>
      <c r="F420" s="22" t="s">
        <v>159</v>
      </c>
      <c r="G420" s="22" t="n">
        <v>28</v>
      </c>
      <c r="H420" s="22" t="s">
        <v>6575</v>
      </c>
      <c r="I420" s="22" t="s">
        <v>8601</v>
      </c>
      <c r="J420" s="22" t="n">
        <v>10.4</v>
      </c>
      <c r="K420" s="22" t="n">
        <v>2</v>
      </c>
      <c r="L420" s="22" t="s">
        <v>8602</v>
      </c>
      <c r="M420" s="23" t="n">
        <v>45076</v>
      </c>
      <c r="N420" s="22"/>
      <c r="O420" s="22"/>
      <c r="P420" s="22" t="s">
        <v>8637</v>
      </c>
      <c r="Q420" s="22"/>
      <c r="R420" s="22"/>
    </row>
    <row r="421" customFormat="false" ht="15" hidden="false" customHeight="false" outlineLevel="0" collapsed="false">
      <c r="A421" s="22" t="s">
        <v>9165</v>
      </c>
      <c r="B421" s="23" t="n">
        <v>45049</v>
      </c>
      <c r="C421" s="22" t="s">
        <v>6392</v>
      </c>
      <c r="D421" s="22" t="n">
        <v>2828</v>
      </c>
      <c r="E421" s="22" t="s">
        <v>6723</v>
      </c>
      <c r="F421" s="22" t="s">
        <v>198</v>
      </c>
      <c r="G421" s="22" t="n">
        <v>28</v>
      </c>
      <c r="H421" s="22" t="s">
        <v>6575</v>
      </c>
      <c r="I421" s="22" t="s">
        <v>8601</v>
      </c>
      <c r="J421" s="22" t="n">
        <v>10.4</v>
      </c>
      <c r="K421" s="22" t="n">
        <v>2</v>
      </c>
      <c r="L421" s="22" t="s">
        <v>8613</v>
      </c>
      <c r="M421" s="23" t="n">
        <v>45059</v>
      </c>
      <c r="N421" s="22"/>
      <c r="O421" s="22"/>
      <c r="P421" s="22"/>
      <c r="Q421" s="22"/>
      <c r="R421" s="22"/>
    </row>
    <row r="422" customFormat="false" ht="15" hidden="false" customHeight="false" outlineLevel="0" collapsed="false">
      <c r="A422" s="22" t="s">
        <v>9166</v>
      </c>
      <c r="B422" s="23" t="n">
        <v>45067</v>
      </c>
      <c r="C422" s="22" t="s">
        <v>6163</v>
      </c>
      <c r="D422" s="22" t="n">
        <v>2712</v>
      </c>
      <c r="E422" s="22" t="s">
        <v>6615</v>
      </c>
      <c r="F422" s="22" t="s">
        <v>198</v>
      </c>
      <c r="G422" s="22" t="n">
        <v>36</v>
      </c>
      <c r="H422" s="22" t="s">
        <v>6575</v>
      </c>
      <c r="I422" s="22" t="s">
        <v>8601</v>
      </c>
      <c r="J422" s="22" t="n">
        <v>10.4</v>
      </c>
      <c r="K422" s="22" t="n">
        <v>2</v>
      </c>
      <c r="L422" s="22" t="s">
        <v>8602</v>
      </c>
      <c r="M422" s="23" t="n">
        <v>45077</v>
      </c>
      <c r="N422" s="22"/>
      <c r="O422" s="22"/>
      <c r="P422" s="22" t="s">
        <v>8631</v>
      </c>
      <c r="Q422" s="22"/>
      <c r="R422" s="22"/>
    </row>
    <row r="423" customFormat="false" ht="15" hidden="false" customHeight="false" outlineLevel="0" collapsed="false">
      <c r="A423" s="22" t="s">
        <v>9167</v>
      </c>
      <c r="B423" s="23" t="n">
        <v>45065</v>
      </c>
      <c r="C423" s="22" t="s">
        <v>2861</v>
      </c>
      <c r="D423" s="22" t="n">
        <v>1100</v>
      </c>
      <c r="E423" s="22" t="s">
        <v>7471</v>
      </c>
      <c r="F423" s="22" t="s">
        <v>159</v>
      </c>
      <c r="G423" s="22" t="n">
        <v>36</v>
      </c>
      <c r="H423" s="22" t="s">
        <v>6575</v>
      </c>
      <c r="I423" s="22" t="s">
        <v>8601</v>
      </c>
      <c r="J423" s="22" t="n">
        <v>10.4</v>
      </c>
      <c r="K423" s="22" t="n">
        <v>1</v>
      </c>
      <c r="L423" s="22" t="s">
        <v>8602</v>
      </c>
      <c r="M423" s="23" t="n">
        <v>45075</v>
      </c>
      <c r="N423" s="22"/>
      <c r="O423" s="22"/>
      <c r="P423" s="22" t="s">
        <v>8637</v>
      </c>
      <c r="Q423" s="22"/>
      <c r="R423" s="22"/>
    </row>
    <row r="424" customFormat="false" ht="15" hidden="false" customHeight="false" outlineLevel="0" collapsed="false">
      <c r="A424" s="22" t="s">
        <v>9168</v>
      </c>
      <c r="B424" s="23" t="n">
        <v>45052</v>
      </c>
      <c r="C424" s="22" t="s">
        <v>3977</v>
      </c>
      <c r="D424" s="22" t="n">
        <v>1632</v>
      </c>
      <c r="E424" s="22" t="s">
        <v>8233</v>
      </c>
      <c r="F424" s="22" t="s">
        <v>499</v>
      </c>
      <c r="G424" s="22" t="n">
        <v>32</v>
      </c>
      <c r="H424" s="22" t="s">
        <v>7696</v>
      </c>
      <c r="I424" s="22" t="s">
        <v>8601</v>
      </c>
      <c r="J424" s="22" t="n">
        <v>7.55</v>
      </c>
      <c r="K424" s="22" t="n">
        <v>1</v>
      </c>
      <c r="L424" s="22" t="s">
        <v>8613</v>
      </c>
      <c r="M424" s="23" t="n">
        <v>45066</v>
      </c>
      <c r="N424" s="22"/>
      <c r="O424" s="22"/>
      <c r="P424" s="22"/>
      <c r="Q424" s="22"/>
      <c r="R424" s="22"/>
    </row>
    <row r="425" customFormat="false" ht="15" hidden="false" customHeight="false" outlineLevel="0" collapsed="false">
      <c r="A425" s="22" t="s">
        <v>9169</v>
      </c>
      <c r="B425" s="23" t="n">
        <v>45053</v>
      </c>
      <c r="C425" s="22" t="s">
        <v>390</v>
      </c>
      <c r="D425" s="22" t="n">
        <v>78</v>
      </c>
      <c r="E425" s="22" t="s">
        <v>7187</v>
      </c>
      <c r="F425" s="22" t="s">
        <v>198</v>
      </c>
      <c r="G425" s="22" t="n">
        <v>40</v>
      </c>
      <c r="H425" s="22" t="s">
        <v>6575</v>
      </c>
      <c r="I425" s="22" t="s">
        <v>8601</v>
      </c>
      <c r="J425" s="22" t="n">
        <v>10.4</v>
      </c>
      <c r="K425" s="22" t="n">
        <v>1</v>
      </c>
      <c r="L425" s="22" t="s">
        <v>8629</v>
      </c>
      <c r="M425" s="23" t="n">
        <v>45063</v>
      </c>
      <c r="N425" s="23" t="n">
        <v>45058</v>
      </c>
      <c r="O425" s="22" t="n">
        <v>5</v>
      </c>
      <c r="P425" s="22"/>
      <c r="Q425" s="22"/>
      <c r="R425" s="22"/>
    </row>
    <row r="426" customFormat="false" ht="15" hidden="false" customHeight="false" outlineLevel="0" collapsed="false">
      <c r="A426" s="22" t="s">
        <v>9170</v>
      </c>
      <c r="B426" s="23" t="n">
        <v>45062</v>
      </c>
      <c r="C426" s="22" t="s">
        <v>2208</v>
      </c>
      <c r="D426" s="22" t="n">
        <v>804</v>
      </c>
      <c r="E426" s="22" t="s">
        <v>8148</v>
      </c>
      <c r="F426" s="22" t="s">
        <v>499</v>
      </c>
      <c r="G426" s="22" t="n">
        <v>45</v>
      </c>
      <c r="H426" s="22" t="s">
        <v>7696</v>
      </c>
      <c r="I426" s="22" t="s">
        <v>8601</v>
      </c>
      <c r="J426" s="22" t="n">
        <v>7.55</v>
      </c>
      <c r="K426" s="22" t="n">
        <v>1</v>
      </c>
      <c r="L426" s="22" t="s">
        <v>8613</v>
      </c>
      <c r="M426" s="23" t="n">
        <v>45076</v>
      </c>
      <c r="N426" s="22"/>
      <c r="O426" s="22"/>
      <c r="P426" s="22"/>
      <c r="Q426" s="22"/>
      <c r="R426" s="22"/>
    </row>
    <row r="427" customFormat="false" ht="15" hidden="false" customHeight="false" outlineLevel="0" collapsed="false">
      <c r="A427" s="22" t="s">
        <v>9171</v>
      </c>
      <c r="B427" s="23" t="n">
        <v>45059</v>
      </c>
      <c r="C427" s="22" t="s">
        <v>2248</v>
      </c>
      <c r="D427" s="22" t="n">
        <v>822</v>
      </c>
      <c r="E427" s="22" t="s">
        <v>7890</v>
      </c>
      <c r="F427" s="22" t="s">
        <v>215</v>
      </c>
      <c r="G427" s="22" t="n">
        <v>45</v>
      </c>
      <c r="H427" s="22" t="s">
        <v>7696</v>
      </c>
      <c r="I427" s="22" t="s">
        <v>8601</v>
      </c>
      <c r="J427" s="22" t="n">
        <v>7.55</v>
      </c>
      <c r="K427" s="22" t="n">
        <v>2</v>
      </c>
      <c r="L427" s="22" t="s">
        <v>8605</v>
      </c>
      <c r="M427" s="23" t="n">
        <v>45073</v>
      </c>
      <c r="N427" s="23" t="n">
        <v>45063</v>
      </c>
      <c r="O427" s="22" t="n">
        <v>4</v>
      </c>
      <c r="P427" s="22"/>
      <c r="Q427" s="22" t="s">
        <v>9172</v>
      </c>
      <c r="R427" s="22"/>
    </row>
    <row r="428" customFormat="false" ht="15" hidden="false" customHeight="false" outlineLevel="0" collapsed="false">
      <c r="A428" s="22" t="s">
        <v>9173</v>
      </c>
      <c r="B428" s="23" t="n">
        <v>45053</v>
      </c>
      <c r="C428" s="22" t="s">
        <v>4420</v>
      </c>
      <c r="D428" s="22" t="n">
        <v>1848</v>
      </c>
      <c r="E428" s="22" t="s">
        <v>8232</v>
      </c>
      <c r="F428" s="22" t="s">
        <v>499</v>
      </c>
      <c r="G428" s="22" t="n">
        <v>70</v>
      </c>
      <c r="H428" s="22" t="s">
        <v>7696</v>
      </c>
      <c r="I428" s="22" t="s">
        <v>8601</v>
      </c>
      <c r="J428" s="22" t="n">
        <v>7.55</v>
      </c>
      <c r="K428" s="22" t="n">
        <v>1</v>
      </c>
      <c r="L428" s="22" t="s">
        <v>8605</v>
      </c>
      <c r="M428" s="23" t="n">
        <v>45067</v>
      </c>
      <c r="N428" s="23" t="n">
        <v>45065</v>
      </c>
      <c r="O428" s="22" t="n">
        <v>12</v>
      </c>
      <c r="P428" s="22"/>
      <c r="Q428" s="22" t="s">
        <v>9156</v>
      </c>
      <c r="R428" s="22"/>
    </row>
    <row r="429" customFormat="false" ht="15" hidden="false" customHeight="false" outlineLevel="0" collapsed="false">
      <c r="A429" s="22" t="s">
        <v>9174</v>
      </c>
      <c r="B429" s="23" t="n">
        <v>45067</v>
      </c>
      <c r="C429" s="22" t="s">
        <v>1678</v>
      </c>
      <c r="D429" s="22" t="n">
        <v>576</v>
      </c>
      <c r="E429" s="22" t="s">
        <v>7951</v>
      </c>
      <c r="F429" s="22" t="s">
        <v>215</v>
      </c>
      <c r="G429" s="22" t="n">
        <v>80</v>
      </c>
      <c r="H429" s="22" t="s">
        <v>7696</v>
      </c>
      <c r="I429" s="22" t="s">
        <v>8601</v>
      </c>
      <c r="J429" s="22" t="n">
        <v>7.55</v>
      </c>
      <c r="K429" s="22" t="n">
        <v>2</v>
      </c>
      <c r="L429" s="22" t="s">
        <v>8605</v>
      </c>
      <c r="M429" s="23" t="n">
        <v>45081</v>
      </c>
      <c r="N429" s="23" t="n">
        <v>45084</v>
      </c>
      <c r="O429" s="22" t="n">
        <v>17</v>
      </c>
      <c r="P429" s="22"/>
      <c r="Q429" s="22" t="s">
        <v>9175</v>
      </c>
      <c r="R429" s="22"/>
    </row>
    <row r="430" customFormat="false" ht="15" hidden="false" customHeight="false" outlineLevel="0" collapsed="false">
      <c r="A430" s="22" t="s">
        <v>9176</v>
      </c>
      <c r="B430" s="23" t="n">
        <v>45067</v>
      </c>
      <c r="C430" s="22" t="s">
        <v>4275</v>
      </c>
      <c r="D430" s="22" t="n">
        <v>1777</v>
      </c>
      <c r="E430" s="22" t="s">
        <v>6793</v>
      </c>
      <c r="F430" s="22" t="s">
        <v>198</v>
      </c>
      <c r="G430" s="22" t="n">
        <v>28</v>
      </c>
      <c r="H430" s="22" t="s">
        <v>6575</v>
      </c>
      <c r="I430" s="22" t="s">
        <v>8601</v>
      </c>
      <c r="J430" s="22" t="n">
        <v>10.4</v>
      </c>
      <c r="K430" s="22" t="n">
        <v>1</v>
      </c>
      <c r="L430" s="22" t="s">
        <v>8602</v>
      </c>
      <c r="M430" s="23" t="n">
        <v>45077</v>
      </c>
      <c r="N430" s="22"/>
      <c r="O430" s="22"/>
      <c r="P430" s="22" t="s">
        <v>8603</v>
      </c>
      <c r="Q430" s="22"/>
      <c r="R430" s="22"/>
    </row>
    <row r="431" customFormat="false" ht="15" hidden="false" customHeight="false" outlineLevel="0" collapsed="false">
      <c r="A431" s="22" t="s">
        <v>9177</v>
      </c>
      <c r="B431" s="23" t="n">
        <v>45072</v>
      </c>
      <c r="C431" s="22" t="s">
        <v>2363</v>
      </c>
      <c r="D431" s="22" t="n">
        <v>876</v>
      </c>
      <c r="E431" s="22" t="s">
        <v>8480</v>
      </c>
      <c r="F431" s="22" t="s">
        <v>188</v>
      </c>
      <c r="G431" s="22" t="n">
        <v>28</v>
      </c>
      <c r="H431" s="22" t="s">
        <v>7696</v>
      </c>
      <c r="I431" s="22" t="s">
        <v>8601</v>
      </c>
      <c r="J431" s="22" t="n">
        <v>7.55</v>
      </c>
      <c r="K431" s="22" t="n">
        <v>1</v>
      </c>
      <c r="L431" s="22" t="s">
        <v>8629</v>
      </c>
      <c r="M431" s="23" t="n">
        <v>45086</v>
      </c>
      <c r="N431" s="23" t="n">
        <v>45075</v>
      </c>
      <c r="O431" s="22" t="n">
        <v>3</v>
      </c>
      <c r="P431" s="22"/>
      <c r="Q431" s="22"/>
      <c r="R431" s="22"/>
    </row>
    <row r="432" customFormat="false" ht="15" hidden="false" customHeight="false" outlineLevel="0" collapsed="false">
      <c r="A432" s="22" t="s">
        <v>9178</v>
      </c>
      <c r="B432" s="23" t="n">
        <v>45071</v>
      </c>
      <c r="C432" s="22" t="s">
        <v>1765</v>
      </c>
      <c r="D432" s="22" t="n">
        <v>612</v>
      </c>
      <c r="E432" s="22" t="s">
        <v>7973</v>
      </c>
      <c r="F432" s="22" t="s">
        <v>215</v>
      </c>
      <c r="G432" s="22" t="n">
        <v>45</v>
      </c>
      <c r="H432" s="22" t="s">
        <v>7696</v>
      </c>
      <c r="I432" s="22" t="s">
        <v>8601</v>
      </c>
      <c r="J432" s="22" t="n">
        <v>7.55</v>
      </c>
      <c r="K432" s="22" t="n">
        <v>1</v>
      </c>
      <c r="L432" s="22" t="s">
        <v>8605</v>
      </c>
      <c r="M432" s="23" t="n">
        <v>45085</v>
      </c>
      <c r="N432" s="23" t="n">
        <v>45084</v>
      </c>
      <c r="O432" s="22" t="n">
        <v>13</v>
      </c>
      <c r="P432" s="22"/>
      <c r="Q432" s="22" t="s">
        <v>9179</v>
      </c>
      <c r="R432" s="22"/>
    </row>
    <row r="433" customFormat="false" ht="15" hidden="false" customHeight="false" outlineLevel="0" collapsed="false">
      <c r="A433" s="22" t="s">
        <v>9180</v>
      </c>
      <c r="B433" s="23" t="n">
        <v>45056</v>
      </c>
      <c r="C433" s="22" t="s">
        <v>2937</v>
      </c>
      <c r="D433" s="22" t="n">
        <v>1134</v>
      </c>
      <c r="E433" s="22" t="s">
        <v>7795</v>
      </c>
      <c r="F433" s="22" t="s">
        <v>215</v>
      </c>
      <c r="G433" s="22" t="n">
        <v>60</v>
      </c>
      <c r="H433" s="22" t="s">
        <v>7696</v>
      </c>
      <c r="I433" s="22" t="s">
        <v>8601</v>
      </c>
      <c r="J433" s="22" t="n">
        <v>7.55</v>
      </c>
      <c r="K433" s="22" t="n">
        <v>2</v>
      </c>
      <c r="L433" s="22" t="s">
        <v>8602</v>
      </c>
      <c r="M433" s="23" t="n">
        <v>45070</v>
      </c>
      <c r="N433" s="22"/>
      <c r="O433" s="22"/>
      <c r="P433" s="22" t="s">
        <v>8618</v>
      </c>
      <c r="Q433" s="22"/>
      <c r="R433" s="22"/>
    </row>
    <row r="434" customFormat="false" ht="15" hidden="false" customHeight="false" outlineLevel="0" collapsed="false">
      <c r="A434" s="22" t="s">
        <v>9181</v>
      </c>
      <c r="B434" s="23" t="n">
        <v>45065</v>
      </c>
      <c r="C434" s="22" t="s">
        <v>5667</v>
      </c>
      <c r="D434" s="22" t="n">
        <v>2464</v>
      </c>
      <c r="E434" s="22" t="s">
        <v>7698</v>
      </c>
      <c r="F434" s="22" t="s">
        <v>215</v>
      </c>
      <c r="G434" s="22" t="n">
        <v>24</v>
      </c>
      <c r="H434" s="22" t="s">
        <v>7696</v>
      </c>
      <c r="I434" s="22" t="s">
        <v>8601</v>
      </c>
      <c r="J434" s="22" t="n">
        <v>7.55</v>
      </c>
      <c r="K434" s="22" t="n">
        <v>1</v>
      </c>
      <c r="L434" s="22" t="s">
        <v>8605</v>
      </c>
      <c r="M434" s="23" t="n">
        <v>45079</v>
      </c>
      <c r="N434" s="23" t="n">
        <v>45078</v>
      </c>
      <c r="O434" s="22" t="n">
        <v>13</v>
      </c>
      <c r="P434" s="22"/>
      <c r="Q434" s="22" t="s">
        <v>9182</v>
      </c>
      <c r="R434" s="22"/>
    </row>
    <row r="435" customFormat="false" ht="15" hidden="false" customHeight="false" outlineLevel="0" collapsed="false">
      <c r="A435" s="22" t="s">
        <v>9183</v>
      </c>
      <c r="B435" s="23" t="n">
        <v>45052</v>
      </c>
      <c r="C435" s="22" t="s">
        <v>3467</v>
      </c>
      <c r="D435" s="22" t="n">
        <v>1382</v>
      </c>
      <c r="E435" s="22" t="s">
        <v>6894</v>
      </c>
      <c r="F435" s="22" t="s">
        <v>198</v>
      </c>
      <c r="G435" s="22" t="n">
        <v>24</v>
      </c>
      <c r="H435" s="22" t="s">
        <v>6575</v>
      </c>
      <c r="I435" s="22" t="s">
        <v>8601</v>
      </c>
      <c r="J435" s="22" t="n">
        <v>10.4</v>
      </c>
      <c r="K435" s="22" t="n">
        <v>1</v>
      </c>
      <c r="L435" s="22" t="s">
        <v>8629</v>
      </c>
      <c r="M435" s="23" t="n">
        <v>45062</v>
      </c>
      <c r="N435" s="23" t="n">
        <v>45056</v>
      </c>
      <c r="O435" s="22" t="n">
        <v>4</v>
      </c>
      <c r="P435" s="22"/>
      <c r="Q435" s="22"/>
      <c r="R435" s="22"/>
    </row>
    <row r="436" customFormat="false" ht="15" hidden="false" customHeight="false" outlineLevel="0" collapsed="false">
      <c r="A436" s="22" t="s">
        <v>9184</v>
      </c>
      <c r="B436" s="23" t="n">
        <v>45067</v>
      </c>
      <c r="C436" s="22" t="s">
        <v>1308</v>
      </c>
      <c r="D436" s="22" t="n">
        <v>420</v>
      </c>
      <c r="E436" s="22" t="s">
        <v>8429</v>
      </c>
      <c r="F436" s="22" t="s">
        <v>188</v>
      </c>
      <c r="G436" s="22" t="n">
        <v>45</v>
      </c>
      <c r="H436" s="22" t="s">
        <v>7696</v>
      </c>
      <c r="I436" s="22" t="s">
        <v>8601</v>
      </c>
      <c r="J436" s="22" t="n">
        <v>7.55</v>
      </c>
      <c r="K436" s="22" t="n">
        <v>2</v>
      </c>
      <c r="L436" s="22" t="s">
        <v>8602</v>
      </c>
      <c r="M436" s="23" t="n">
        <v>45081</v>
      </c>
      <c r="N436" s="22"/>
      <c r="O436" s="22"/>
      <c r="P436" s="22" t="s">
        <v>8603</v>
      </c>
      <c r="Q436" s="22"/>
      <c r="R436" s="22"/>
    </row>
    <row r="437" customFormat="false" ht="15" hidden="false" customHeight="false" outlineLevel="0" collapsed="false">
      <c r="A437" s="22" t="s">
        <v>9185</v>
      </c>
      <c r="B437" s="23" t="n">
        <v>45050</v>
      </c>
      <c r="C437" s="22" t="s">
        <v>5814</v>
      </c>
      <c r="D437" s="22" t="n">
        <v>2537</v>
      </c>
      <c r="E437" s="22" t="s">
        <v>8233</v>
      </c>
      <c r="F437" s="22" t="s">
        <v>499</v>
      </c>
      <c r="G437" s="22" t="n">
        <v>32</v>
      </c>
      <c r="H437" s="22" t="s">
        <v>7696</v>
      </c>
      <c r="I437" s="22" t="s">
        <v>8601</v>
      </c>
      <c r="J437" s="22" t="n">
        <v>7.55</v>
      </c>
      <c r="K437" s="22" t="n">
        <v>1</v>
      </c>
      <c r="L437" s="22" t="s">
        <v>8602</v>
      </c>
      <c r="M437" s="23" t="n">
        <v>45064</v>
      </c>
      <c r="N437" s="22"/>
      <c r="O437" s="22"/>
      <c r="P437" s="22" t="s">
        <v>8618</v>
      </c>
      <c r="Q437" s="22"/>
      <c r="R437" s="22"/>
    </row>
    <row r="438" customFormat="false" ht="15" hidden="false" customHeight="false" outlineLevel="0" collapsed="false">
      <c r="A438" s="22" t="s">
        <v>9186</v>
      </c>
      <c r="B438" s="23" t="n">
        <v>45047</v>
      </c>
      <c r="C438" s="22" t="s">
        <v>1359</v>
      </c>
      <c r="D438" s="22" t="n">
        <v>442</v>
      </c>
      <c r="E438" s="22" t="s">
        <v>7526</v>
      </c>
      <c r="F438" s="22" t="s">
        <v>159</v>
      </c>
      <c r="G438" s="22" t="n">
        <v>40</v>
      </c>
      <c r="H438" s="22" t="s">
        <v>6575</v>
      </c>
      <c r="I438" s="22" t="s">
        <v>8601</v>
      </c>
      <c r="J438" s="22" t="n">
        <v>10.4</v>
      </c>
      <c r="K438" s="22" t="n">
        <v>1</v>
      </c>
      <c r="L438" s="22" t="s">
        <v>157</v>
      </c>
      <c r="M438" s="23" t="n">
        <v>45057</v>
      </c>
      <c r="N438" s="23" t="n">
        <v>45055</v>
      </c>
      <c r="O438" s="22" t="n">
        <v>8</v>
      </c>
      <c r="P438" s="22"/>
      <c r="Q438" s="22"/>
      <c r="R438" s="22"/>
    </row>
    <row r="439" customFormat="false" ht="15" hidden="false" customHeight="false" outlineLevel="0" collapsed="false">
      <c r="A439" s="22" t="s">
        <v>9187</v>
      </c>
      <c r="B439" s="23" t="n">
        <v>45055</v>
      </c>
      <c r="C439" s="22" t="s">
        <v>5806</v>
      </c>
      <c r="D439" s="22" t="n">
        <v>2533</v>
      </c>
      <c r="E439" s="22" t="s">
        <v>8435</v>
      </c>
      <c r="F439" s="22" t="s">
        <v>188</v>
      </c>
      <c r="G439" s="22" t="n">
        <v>24</v>
      </c>
      <c r="H439" s="22" t="s">
        <v>7696</v>
      </c>
      <c r="I439" s="22" t="s">
        <v>8601</v>
      </c>
      <c r="J439" s="22" t="n">
        <v>7.55</v>
      </c>
      <c r="K439" s="22" t="n">
        <v>2</v>
      </c>
      <c r="L439" s="22" t="s">
        <v>8605</v>
      </c>
      <c r="M439" s="23" t="n">
        <v>45069</v>
      </c>
      <c r="N439" s="23" t="n">
        <v>45064</v>
      </c>
      <c r="O439" s="22" t="n">
        <v>9</v>
      </c>
      <c r="P439" s="22"/>
      <c r="Q439" s="22" t="s">
        <v>9089</v>
      </c>
      <c r="R439" s="22"/>
    </row>
    <row r="440" customFormat="false" ht="15" hidden="false" customHeight="false" outlineLevel="0" collapsed="false">
      <c r="A440" s="22" t="s">
        <v>9188</v>
      </c>
      <c r="B440" s="23" t="n">
        <v>45073</v>
      </c>
      <c r="C440" s="22" t="s">
        <v>4361</v>
      </c>
      <c r="D440" s="22" t="n">
        <v>1819</v>
      </c>
      <c r="E440" s="22" t="s">
        <v>8052</v>
      </c>
      <c r="F440" s="22" t="s">
        <v>499</v>
      </c>
      <c r="G440" s="22" t="n">
        <v>24</v>
      </c>
      <c r="H440" s="22" t="s">
        <v>7696</v>
      </c>
      <c r="I440" s="22" t="s">
        <v>8601</v>
      </c>
      <c r="J440" s="22" t="n">
        <v>7.55</v>
      </c>
      <c r="K440" s="22" t="n">
        <v>1</v>
      </c>
      <c r="L440" s="22" t="s">
        <v>8605</v>
      </c>
      <c r="M440" s="23" t="n">
        <v>45087</v>
      </c>
      <c r="N440" s="23" t="n">
        <v>45090</v>
      </c>
      <c r="O440" s="22" t="n">
        <v>17</v>
      </c>
      <c r="P440" s="22"/>
      <c r="Q440" s="22" t="s">
        <v>9189</v>
      </c>
      <c r="R440" s="22"/>
    </row>
    <row r="441" customFormat="false" ht="15" hidden="false" customHeight="false" outlineLevel="0" collapsed="false">
      <c r="A441" s="22" t="s">
        <v>9190</v>
      </c>
      <c r="B441" s="23" t="n">
        <v>45048</v>
      </c>
      <c r="C441" s="22" t="s">
        <v>5094</v>
      </c>
      <c r="D441" s="22" t="n">
        <v>2178</v>
      </c>
      <c r="E441" s="22" t="s">
        <v>7596</v>
      </c>
      <c r="F441" s="22" t="s">
        <v>159</v>
      </c>
      <c r="G441" s="22" t="n">
        <v>32</v>
      </c>
      <c r="H441" s="22" t="s">
        <v>6575</v>
      </c>
      <c r="I441" s="22" t="s">
        <v>8601</v>
      </c>
      <c r="J441" s="22" t="n">
        <v>10.4</v>
      </c>
      <c r="K441" s="22" t="n">
        <v>1</v>
      </c>
      <c r="L441" s="22" t="s">
        <v>8602</v>
      </c>
      <c r="M441" s="23" t="n">
        <v>45058</v>
      </c>
      <c r="N441" s="22"/>
      <c r="O441" s="22"/>
      <c r="P441" s="22" t="s">
        <v>8603</v>
      </c>
      <c r="Q441" s="22"/>
      <c r="R441" s="22"/>
    </row>
    <row r="442" customFormat="false" ht="15" hidden="false" customHeight="false" outlineLevel="0" collapsed="false">
      <c r="A442" s="22" t="s">
        <v>9191</v>
      </c>
      <c r="B442" s="23" t="n">
        <v>45050</v>
      </c>
      <c r="C442" s="22" t="s">
        <v>1359</v>
      </c>
      <c r="D442" s="22" t="n">
        <v>442</v>
      </c>
      <c r="E442" s="22" t="s">
        <v>7664</v>
      </c>
      <c r="F442" s="22" t="s">
        <v>159</v>
      </c>
      <c r="G442" s="22" t="n">
        <v>36</v>
      </c>
      <c r="H442" s="22" t="s">
        <v>6575</v>
      </c>
      <c r="I442" s="22" t="s">
        <v>8601</v>
      </c>
      <c r="J442" s="22" t="n">
        <v>10.4</v>
      </c>
      <c r="K442" s="22" t="n">
        <v>1</v>
      </c>
      <c r="L442" s="22" t="s">
        <v>8605</v>
      </c>
      <c r="M442" s="23" t="n">
        <v>45060</v>
      </c>
      <c r="N442" s="23" t="n">
        <v>45063</v>
      </c>
      <c r="O442" s="22" t="n">
        <v>13</v>
      </c>
      <c r="P442" s="22"/>
      <c r="Q442" s="22" t="s">
        <v>9192</v>
      </c>
      <c r="R442" s="22"/>
    </row>
    <row r="443" customFormat="false" ht="15" hidden="false" customHeight="false" outlineLevel="0" collapsed="false">
      <c r="A443" s="22" t="s">
        <v>9193</v>
      </c>
      <c r="B443" s="23" t="n">
        <v>45087</v>
      </c>
      <c r="C443" s="22" t="s">
        <v>2706</v>
      </c>
      <c r="D443" s="22" t="n">
        <v>1030</v>
      </c>
      <c r="E443" s="22" t="s">
        <v>6840</v>
      </c>
      <c r="F443" s="22" t="s">
        <v>198</v>
      </c>
      <c r="G443" s="22" t="n">
        <v>24</v>
      </c>
      <c r="H443" s="22" t="s">
        <v>6575</v>
      </c>
      <c r="I443" s="22" t="s">
        <v>8601</v>
      </c>
      <c r="J443" s="22" t="n">
        <v>10.4</v>
      </c>
      <c r="K443" s="22" t="n">
        <v>2</v>
      </c>
      <c r="L443" s="22" t="s">
        <v>8629</v>
      </c>
      <c r="M443" s="23" t="n">
        <v>45097</v>
      </c>
      <c r="N443" s="23" t="n">
        <v>45098</v>
      </c>
      <c r="O443" s="22" t="n">
        <v>11</v>
      </c>
      <c r="P443" s="22"/>
      <c r="Q443" s="22"/>
      <c r="R443" s="22"/>
    </row>
    <row r="444" customFormat="false" ht="15" hidden="false" customHeight="false" outlineLevel="0" collapsed="false">
      <c r="A444" s="22" t="s">
        <v>9194</v>
      </c>
      <c r="B444" s="23" t="n">
        <v>45087</v>
      </c>
      <c r="C444" s="22" t="s">
        <v>4903</v>
      </c>
      <c r="D444" s="22" t="n">
        <v>2085</v>
      </c>
      <c r="E444" s="22" t="s">
        <v>8280</v>
      </c>
      <c r="F444" s="22" t="s">
        <v>499</v>
      </c>
      <c r="G444" s="22" t="n">
        <v>24</v>
      </c>
      <c r="H444" s="22" t="s">
        <v>7696</v>
      </c>
      <c r="I444" s="22" t="s">
        <v>8601</v>
      </c>
      <c r="J444" s="22" t="n">
        <v>7.55</v>
      </c>
      <c r="K444" s="22" t="n">
        <v>1</v>
      </c>
      <c r="L444" s="22" t="s">
        <v>8605</v>
      </c>
      <c r="M444" s="23" t="n">
        <v>45101</v>
      </c>
      <c r="N444" s="23" t="n">
        <v>45092</v>
      </c>
      <c r="O444" s="22" t="n">
        <v>5</v>
      </c>
      <c r="P444" s="22"/>
      <c r="Q444" s="22" t="s">
        <v>9195</v>
      </c>
      <c r="R444" s="22"/>
    </row>
    <row r="445" customFormat="false" ht="15" hidden="false" customHeight="false" outlineLevel="0" collapsed="false">
      <c r="A445" s="22" t="s">
        <v>9196</v>
      </c>
      <c r="B445" s="23" t="n">
        <v>45096</v>
      </c>
      <c r="C445" s="22" t="s">
        <v>6092</v>
      </c>
      <c r="D445" s="22" t="n">
        <v>2676</v>
      </c>
      <c r="E445" s="22" t="s">
        <v>8573</v>
      </c>
      <c r="F445" s="22" t="s">
        <v>188</v>
      </c>
      <c r="G445" s="22" t="n">
        <v>32</v>
      </c>
      <c r="H445" s="22" t="s">
        <v>7696</v>
      </c>
      <c r="I445" s="22" t="s">
        <v>8601</v>
      </c>
      <c r="J445" s="22" t="n">
        <v>7.55</v>
      </c>
      <c r="K445" s="22" t="n">
        <v>2</v>
      </c>
      <c r="L445" s="22" t="s">
        <v>8629</v>
      </c>
      <c r="M445" s="23" t="n">
        <v>45110</v>
      </c>
      <c r="N445" s="23" t="n">
        <v>45105</v>
      </c>
      <c r="O445" s="22" t="n">
        <v>9</v>
      </c>
      <c r="P445" s="22"/>
      <c r="Q445" s="22"/>
      <c r="R445" s="22"/>
    </row>
    <row r="446" customFormat="false" ht="15" hidden="false" customHeight="false" outlineLevel="0" collapsed="false">
      <c r="A446" s="22" t="s">
        <v>9197</v>
      </c>
      <c r="B446" s="23" t="n">
        <v>45080</v>
      </c>
      <c r="C446" s="22" t="s">
        <v>4150</v>
      </c>
      <c r="D446" s="22" t="n">
        <v>1716</v>
      </c>
      <c r="E446" s="22" t="s">
        <v>8021</v>
      </c>
      <c r="F446" s="22" t="s">
        <v>215</v>
      </c>
      <c r="G446" s="22" t="n">
        <v>28</v>
      </c>
      <c r="H446" s="22" t="s">
        <v>7696</v>
      </c>
      <c r="I446" s="22" t="s">
        <v>8601</v>
      </c>
      <c r="J446" s="22" t="n">
        <v>7.55</v>
      </c>
      <c r="K446" s="22" t="n">
        <v>1</v>
      </c>
      <c r="L446" s="22" t="s">
        <v>8629</v>
      </c>
      <c r="M446" s="23" t="n">
        <v>45094</v>
      </c>
      <c r="N446" s="23" t="n">
        <v>45090</v>
      </c>
      <c r="O446" s="22" t="n">
        <v>10</v>
      </c>
      <c r="P446" s="22"/>
      <c r="Q446" s="22"/>
      <c r="R446" s="22"/>
    </row>
    <row r="447" customFormat="false" ht="15" hidden="false" customHeight="false" outlineLevel="0" collapsed="false">
      <c r="A447" s="22" t="s">
        <v>9198</v>
      </c>
      <c r="B447" s="23" t="n">
        <v>45089</v>
      </c>
      <c r="C447" s="22" t="s">
        <v>902</v>
      </c>
      <c r="D447" s="22" t="n">
        <v>263</v>
      </c>
      <c r="E447" s="22" t="s">
        <v>7506</v>
      </c>
      <c r="F447" s="22" t="s">
        <v>159</v>
      </c>
      <c r="G447" s="22" t="n">
        <v>24</v>
      </c>
      <c r="H447" s="22" t="s">
        <v>6575</v>
      </c>
      <c r="I447" s="22" t="s">
        <v>8601</v>
      </c>
      <c r="J447" s="22" t="n">
        <v>10.4</v>
      </c>
      <c r="K447" s="22" t="n">
        <v>1</v>
      </c>
      <c r="L447" s="22" t="s">
        <v>8629</v>
      </c>
      <c r="M447" s="23" t="n">
        <v>45099</v>
      </c>
      <c r="N447" s="23" t="n">
        <v>45096</v>
      </c>
      <c r="O447" s="22" t="n">
        <v>7</v>
      </c>
      <c r="P447" s="22"/>
      <c r="Q447" s="22"/>
      <c r="R447" s="22"/>
    </row>
    <row r="448" customFormat="false" ht="15" hidden="false" customHeight="false" outlineLevel="0" collapsed="false">
      <c r="A448" s="22" t="s">
        <v>9199</v>
      </c>
      <c r="B448" s="23" t="n">
        <v>45089</v>
      </c>
      <c r="C448" s="22" t="s">
        <v>4575</v>
      </c>
      <c r="D448" s="22" t="n">
        <v>1924</v>
      </c>
      <c r="E448" s="22" t="s">
        <v>7572</v>
      </c>
      <c r="F448" s="22" t="s">
        <v>159</v>
      </c>
      <c r="G448" s="22" t="n">
        <v>40</v>
      </c>
      <c r="H448" s="22" t="s">
        <v>6575</v>
      </c>
      <c r="I448" s="22" t="s">
        <v>8601</v>
      </c>
      <c r="J448" s="22" t="n">
        <v>10.4</v>
      </c>
      <c r="K448" s="22" t="n">
        <v>2</v>
      </c>
      <c r="L448" s="22" t="s">
        <v>8602</v>
      </c>
      <c r="M448" s="23" t="n">
        <v>45099</v>
      </c>
      <c r="N448" s="22"/>
      <c r="O448" s="22"/>
      <c r="P448" s="22" t="s">
        <v>8618</v>
      </c>
      <c r="Q448" s="22"/>
      <c r="R448" s="22"/>
    </row>
    <row r="449" customFormat="false" ht="15" hidden="false" customHeight="false" outlineLevel="0" collapsed="false">
      <c r="A449" s="22" t="s">
        <v>9200</v>
      </c>
      <c r="B449" s="23" t="n">
        <v>45092</v>
      </c>
      <c r="C449" s="22" t="s">
        <v>2155</v>
      </c>
      <c r="D449" s="22" t="n">
        <v>781</v>
      </c>
      <c r="E449" s="22" t="s">
        <v>6708</v>
      </c>
      <c r="F449" s="22" t="s">
        <v>198</v>
      </c>
      <c r="G449" s="22" t="n">
        <v>28</v>
      </c>
      <c r="H449" s="22" t="s">
        <v>6575</v>
      </c>
      <c r="I449" s="22" t="s">
        <v>8601</v>
      </c>
      <c r="J449" s="22" t="n">
        <v>10.4</v>
      </c>
      <c r="K449" s="22" t="n">
        <v>2</v>
      </c>
      <c r="L449" s="22" t="s">
        <v>8602</v>
      </c>
      <c r="M449" s="23" t="n">
        <v>45102</v>
      </c>
      <c r="N449" s="22"/>
      <c r="O449" s="22"/>
      <c r="P449" s="22" t="s">
        <v>8637</v>
      </c>
      <c r="Q449" s="22"/>
      <c r="R449" s="22"/>
    </row>
    <row r="450" customFormat="false" ht="15" hidden="false" customHeight="false" outlineLevel="0" collapsed="false">
      <c r="A450" s="22" t="s">
        <v>9201</v>
      </c>
      <c r="B450" s="23" t="n">
        <v>45085</v>
      </c>
      <c r="C450" s="22" t="s">
        <v>718</v>
      </c>
      <c r="D450" s="22" t="n">
        <v>193</v>
      </c>
      <c r="E450" s="22" t="s">
        <v>7346</v>
      </c>
      <c r="F450" s="22" t="s">
        <v>159</v>
      </c>
      <c r="G450" s="22" t="n">
        <v>28</v>
      </c>
      <c r="H450" s="22" t="s">
        <v>6575</v>
      </c>
      <c r="I450" s="22" t="s">
        <v>8601</v>
      </c>
      <c r="J450" s="22" t="n">
        <v>10.4</v>
      </c>
      <c r="K450" s="22" t="n">
        <v>1</v>
      </c>
      <c r="L450" s="22" t="s">
        <v>8602</v>
      </c>
      <c r="M450" s="23" t="n">
        <v>45095</v>
      </c>
      <c r="N450" s="22"/>
      <c r="O450" s="22"/>
      <c r="P450" s="22" t="s">
        <v>8631</v>
      </c>
      <c r="Q450" s="22"/>
      <c r="R450" s="22"/>
    </row>
    <row r="451" customFormat="false" ht="15" hidden="false" customHeight="false" outlineLevel="0" collapsed="false">
      <c r="A451" s="22" t="s">
        <v>9202</v>
      </c>
      <c r="B451" s="23" t="n">
        <v>45090</v>
      </c>
      <c r="C451" s="22" t="s">
        <v>3955</v>
      </c>
      <c r="D451" s="22" t="n">
        <v>1621</v>
      </c>
      <c r="E451" s="22" t="s">
        <v>7761</v>
      </c>
      <c r="F451" s="22" t="s">
        <v>215</v>
      </c>
      <c r="G451" s="22" t="n">
        <v>70</v>
      </c>
      <c r="H451" s="22" t="s">
        <v>7696</v>
      </c>
      <c r="I451" s="22" t="s">
        <v>8601</v>
      </c>
      <c r="J451" s="22" t="n">
        <v>7.55</v>
      </c>
      <c r="K451" s="22" t="n">
        <v>1</v>
      </c>
      <c r="L451" s="22" t="s">
        <v>8605</v>
      </c>
      <c r="M451" s="23" t="n">
        <v>45104</v>
      </c>
      <c r="N451" s="23" t="n">
        <v>45106</v>
      </c>
      <c r="O451" s="22" t="n">
        <v>16</v>
      </c>
      <c r="P451" s="22"/>
      <c r="Q451" s="22" t="s">
        <v>9203</v>
      </c>
      <c r="R451" s="22"/>
    </row>
    <row r="452" customFormat="false" ht="15" hidden="false" customHeight="false" outlineLevel="0" collapsed="false">
      <c r="A452" s="22" t="s">
        <v>9204</v>
      </c>
      <c r="B452" s="23" t="n">
        <v>45083</v>
      </c>
      <c r="C452" s="22" t="s">
        <v>3217</v>
      </c>
      <c r="D452" s="22" t="n">
        <v>1262</v>
      </c>
      <c r="E452" s="22" t="s">
        <v>7865</v>
      </c>
      <c r="F452" s="22" t="s">
        <v>215</v>
      </c>
      <c r="G452" s="22" t="n">
        <v>36</v>
      </c>
      <c r="H452" s="22" t="s">
        <v>7696</v>
      </c>
      <c r="I452" s="22" t="s">
        <v>8601</v>
      </c>
      <c r="J452" s="22" t="n">
        <v>7.55</v>
      </c>
      <c r="K452" s="22" t="n">
        <v>1</v>
      </c>
      <c r="L452" s="22" t="s">
        <v>157</v>
      </c>
      <c r="M452" s="23" t="n">
        <v>45097</v>
      </c>
      <c r="N452" s="23" t="n">
        <v>45092</v>
      </c>
      <c r="O452" s="22" t="n">
        <v>9</v>
      </c>
      <c r="P452" s="22"/>
      <c r="Q452" s="22"/>
      <c r="R452" s="22"/>
    </row>
    <row r="453" customFormat="false" ht="15" hidden="false" customHeight="false" outlineLevel="0" collapsed="false">
      <c r="A453" s="22" t="s">
        <v>9205</v>
      </c>
      <c r="B453" s="23" t="n">
        <v>45105</v>
      </c>
      <c r="C453" s="22" t="s">
        <v>878</v>
      </c>
      <c r="D453" s="22" t="n">
        <v>254</v>
      </c>
      <c r="E453" s="22" t="s">
        <v>8059</v>
      </c>
      <c r="F453" s="22" t="s">
        <v>499</v>
      </c>
      <c r="G453" s="22" t="n">
        <v>28</v>
      </c>
      <c r="H453" s="22" t="s">
        <v>7696</v>
      </c>
      <c r="I453" s="22" t="s">
        <v>8601</v>
      </c>
      <c r="J453" s="22" t="n">
        <v>7.55</v>
      </c>
      <c r="K453" s="22" t="n">
        <v>1</v>
      </c>
      <c r="L453" s="22" t="s">
        <v>8608</v>
      </c>
      <c r="M453" s="23" t="n">
        <v>45119</v>
      </c>
      <c r="N453" s="23" t="n">
        <v>45116</v>
      </c>
      <c r="O453" s="22" t="n">
        <v>11</v>
      </c>
      <c r="P453" s="22"/>
      <c r="Q453" s="22"/>
      <c r="R453" s="22"/>
    </row>
    <row r="454" customFormat="false" ht="15" hidden="false" customHeight="false" outlineLevel="0" collapsed="false">
      <c r="A454" s="22" t="s">
        <v>9206</v>
      </c>
      <c r="B454" s="23" t="n">
        <v>45095</v>
      </c>
      <c r="C454" s="22" t="s">
        <v>1141</v>
      </c>
      <c r="D454" s="22" t="n">
        <v>354</v>
      </c>
      <c r="E454" s="22" t="s">
        <v>6661</v>
      </c>
      <c r="F454" s="22" t="s">
        <v>198</v>
      </c>
      <c r="G454" s="22" t="n">
        <v>28</v>
      </c>
      <c r="H454" s="22" t="s">
        <v>6575</v>
      </c>
      <c r="I454" s="22" t="s">
        <v>8601</v>
      </c>
      <c r="J454" s="22" t="n">
        <v>10.4</v>
      </c>
      <c r="K454" s="22" t="n">
        <v>1</v>
      </c>
      <c r="L454" s="22" t="s">
        <v>8605</v>
      </c>
      <c r="M454" s="23" t="n">
        <v>45105</v>
      </c>
      <c r="N454" s="23" t="n">
        <v>45106</v>
      </c>
      <c r="O454" s="22" t="n">
        <v>11</v>
      </c>
      <c r="P454" s="22"/>
      <c r="Q454" s="22" t="s">
        <v>9207</v>
      </c>
      <c r="R454" s="22"/>
    </row>
    <row r="455" customFormat="false" ht="15" hidden="false" customHeight="false" outlineLevel="0" collapsed="false">
      <c r="A455" s="22" t="s">
        <v>9208</v>
      </c>
      <c r="B455" s="23" t="n">
        <v>45092</v>
      </c>
      <c r="C455" s="22" t="s">
        <v>5284</v>
      </c>
      <c r="D455" s="22" t="n">
        <v>2272</v>
      </c>
      <c r="E455" s="22" t="s">
        <v>6965</v>
      </c>
      <c r="F455" s="22" t="s">
        <v>198</v>
      </c>
      <c r="G455" s="22" t="n">
        <v>24</v>
      </c>
      <c r="H455" s="22" t="s">
        <v>6575</v>
      </c>
      <c r="I455" s="22" t="s">
        <v>8601</v>
      </c>
      <c r="J455" s="22" t="n">
        <v>10.4</v>
      </c>
      <c r="K455" s="22" t="n">
        <v>1</v>
      </c>
      <c r="L455" s="22" t="s">
        <v>8613</v>
      </c>
      <c r="M455" s="23" t="n">
        <v>45102</v>
      </c>
      <c r="N455" s="22"/>
      <c r="O455" s="22"/>
      <c r="P455" s="22"/>
      <c r="Q455" s="22"/>
      <c r="R455" s="22"/>
    </row>
    <row r="456" customFormat="false" ht="15" hidden="false" customHeight="false" outlineLevel="0" collapsed="false">
      <c r="A456" s="22" t="s">
        <v>9209</v>
      </c>
      <c r="B456" s="23" t="n">
        <v>45091</v>
      </c>
      <c r="C456" s="22" t="s">
        <v>4506</v>
      </c>
      <c r="D456" s="22" t="n">
        <v>1890</v>
      </c>
      <c r="E456" s="22" t="s">
        <v>8296</v>
      </c>
      <c r="F456" s="22" t="s">
        <v>499</v>
      </c>
      <c r="G456" s="22" t="n">
        <v>28</v>
      </c>
      <c r="H456" s="22" t="s">
        <v>7696</v>
      </c>
      <c r="I456" s="22" t="s">
        <v>8601</v>
      </c>
      <c r="J456" s="22" t="n">
        <v>7.55</v>
      </c>
      <c r="K456" s="22" t="n">
        <v>1</v>
      </c>
      <c r="L456" s="22" t="s">
        <v>8613</v>
      </c>
      <c r="M456" s="23" t="n">
        <v>45105</v>
      </c>
      <c r="N456" s="22"/>
      <c r="O456" s="22"/>
      <c r="P456" s="22"/>
      <c r="Q456" s="22"/>
      <c r="R456" s="22"/>
    </row>
    <row r="457" customFormat="false" ht="15" hidden="false" customHeight="false" outlineLevel="0" collapsed="false">
      <c r="A457" s="22" t="s">
        <v>9210</v>
      </c>
      <c r="B457" s="23" t="n">
        <v>45099</v>
      </c>
      <c r="C457" s="22" t="s">
        <v>1721</v>
      </c>
      <c r="D457" s="22" t="n">
        <v>594</v>
      </c>
      <c r="E457" s="22" t="s">
        <v>7941</v>
      </c>
      <c r="F457" s="22" t="s">
        <v>215</v>
      </c>
      <c r="G457" s="22" t="n">
        <v>28</v>
      </c>
      <c r="H457" s="22" t="s">
        <v>7696</v>
      </c>
      <c r="I457" s="22" t="s">
        <v>8601</v>
      </c>
      <c r="J457" s="22" t="n">
        <v>7.55</v>
      </c>
      <c r="K457" s="22" t="n">
        <v>2</v>
      </c>
      <c r="L457" s="22" t="s">
        <v>157</v>
      </c>
      <c r="M457" s="23" t="n">
        <v>45113</v>
      </c>
      <c r="N457" s="23" t="n">
        <v>45103</v>
      </c>
      <c r="O457" s="22" t="n">
        <v>4</v>
      </c>
      <c r="P457" s="22"/>
      <c r="Q457" s="22"/>
      <c r="R457" s="22"/>
    </row>
    <row r="458" customFormat="false" ht="15" hidden="false" customHeight="false" outlineLevel="0" collapsed="false">
      <c r="A458" s="22" t="s">
        <v>9211</v>
      </c>
      <c r="B458" s="23" t="n">
        <v>45087</v>
      </c>
      <c r="C458" s="22" t="s">
        <v>1052</v>
      </c>
      <c r="D458" s="22" t="n">
        <v>319</v>
      </c>
      <c r="E458" s="22" t="s">
        <v>8319</v>
      </c>
      <c r="F458" s="22" t="s">
        <v>499</v>
      </c>
      <c r="G458" s="22" t="n">
        <v>60</v>
      </c>
      <c r="H458" s="22" t="s">
        <v>7696</v>
      </c>
      <c r="I458" s="22" t="s">
        <v>8601</v>
      </c>
      <c r="J458" s="22" t="n">
        <v>7.55</v>
      </c>
      <c r="K458" s="22" t="n">
        <v>1</v>
      </c>
      <c r="L458" s="22" t="s">
        <v>8602</v>
      </c>
      <c r="M458" s="23" t="n">
        <v>45101</v>
      </c>
      <c r="N458" s="22"/>
      <c r="O458" s="22"/>
      <c r="P458" s="22" t="s">
        <v>8618</v>
      </c>
      <c r="Q458" s="22"/>
      <c r="R458" s="22"/>
    </row>
    <row r="459" customFormat="false" ht="15" hidden="false" customHeight="false" outlineLevel="0" collapsed="false">
      <c r="A459" s="22" t="s">
        <v>9212</v>
      </c>
      <c r="B459" s="23" t="n">
        <v>45101</v>
      </c>
      <c r="C459" s="22" t="s">
        <v>3023</v>
      </c>
      <c r="D459" s="22" t="n">
        <v>1173</v>
      </c>
      <c r="E459" s="22" t="s">
        <v>8375</v>
      </c>
      <c r="F459" s="22" t="s">
        <v>188</v>
      </c>
      <c r="G459" s="22" t="n">
        <v>45</v>
      </c>
      <c r="H459" s="22" t="s">
        <v>7696</v>
      </c>
      <c r="I459" s="22" t="s">
        <v>8601</v>
      </c>
      <c r="J459" s="22" t="n">
        <v>7.55</v>
      </c>
      <c r="K459" s="22" t="n">
        <v>1</v>
      </c>
      <c r="L459" s="22" t="s">
        <v>8602</v>
      </c>
      <c r="M459" s="23" t="n">
        <v>45115</v>
      </c>
      <c r="N459" s="22"/>
      <c r="O459" s="22"/>
      <c r="P459" s="22" t="s">
        <v>8603</v>
      </c>
      <c r="Q459" s="22"/>
      <c r="R459" s="22"/>
    </row>
    <row r="460" customFormat="false" ht="15" hidden="false" customHeight="false" outlineLevel="0" collapsed="false">
      <c r="A460" s="22" t="s">
        <v>9213</v>
      </c>
      <c r="B460" s="23" t="n">
        <v>45098</v>
      </c>
      <c r="C460" s="22" t="s">
        <v>5675</v>
      </c>
      <c r="D460" s="22" t="n">
        <v>2468</v>
      </c>
      <c r="E460" s="22" t="s">
        <v>8432</v>
      </c>
      <c r="F460" s="22" t="s">
        <v>188</v>
      </c>
      <c r="G460" s="22" t="n">
        <v>28</v>
      </c>
      <c r="H460" s="22" t="s">
        <v>7696</v>
      </c>
      <c r="I460" s="22" t="s">
        <v>8601</v>
      </c>
      <c r="J460" s="22" t="n">
        <v>7.55</v>
      </c>
      <c r="K460" s="22" t="n">
        <v>2</v>
      </c>
      <c r="L460" s="22" t="s">
        <v>8605</v>
      </c>
      <c r="M460" s="23" t="n">
        <v>45112</v>
      </c>
      <c r="N460" s="23" t="n">
        <v>45112</v>
      </c>
      <c r="O460" s="22" t="n">
        <v>14</v>
      </c>
      <c r="P460" s="22"/>
      <c r="Q460" s="22" t="s">
        <v>9214</v>
      </c>
      <c r="R460" s="22"/>
    </row>
    <row r="461" customFormat="false" ht="15" hidden="false" customHeight="false" outlineLevel="0" collapsed="false">
      <c r="A461" s="22" t="s">
        <v>9215</v>
      </c>
      <c r="B461" s="23" t="n">
        <v>45102</v>
      </c>
      <c r="C461" s="22" t="s">
        <v>1657</v>
      </c>
      <c r="D461" s="22" t="n">
        <v>568</v>
      </c>
      <c r="E461" s="22" t="s">
        <v>6705</v>
      </c>
      <c r="F461" s="22" t="s">
        <v>198</v>
      </c>
      <c r="G461" s="22" t="n">
        <v>28</v>
      </c>
      <c r="H461" s="22" t="s">
        <v>6575</v>
      </c>
      <c r="I461" s="22" t="s">
        <v>8601</v>
      </c>
      <c r="J461" s="22" t="n">
        <v>10.4</v>
      </c>
      <c r="K461" s="22" t="n">
        <v>2</v>
      </c>
      <c r="L461" s="22" t="s">
        <v>8602</v>
      </c>
      <c r="M461" s="23" t="n">
        <v>45112</v>
      </c>
      <c r="N461" s="22"/>
      <c r="O461" s="22"/>
      <c r="P461" s="22" t="s">
        <v>8631</v>
      </c>
      <c r="Q461" s="22"/>
      <c r="R461" s="22"/>
    </row>
    <row r="462" customFormat="false" ht="15" hidden="false" customHeight="false" outlineLevel="0" collapsed="false">
      <c r="A462" s="22" t="s">
        <v>9216</v>
      </c>
      <c r="B462" s="23" t="n">
        <v>45085</v>
      </c>
      <c r="C462" s="22" t="s">
        <v>6255</v>
      </c>
      <c r="D462" s="22" t="n">
        <v>2758</v>
      </c>
      <c r="E462" s="22" t="s">
        <v>6639</v>
      </c>
      <c r="F462" s="22" t="s">
        <v>198</v>
      </c>
      <c r="G462" s="22" t="n">
        <v>32</v>
      </c>
      <c r="H462" s="22" t="s">
        <v>6575</v>
      </c>
      <c r="I462" s="22" t="s">
        <v>8601</v>
      </c>
      <c r="J462" s="22" t="n">
        <v>10.4</v>
      </c>
      <c r="K462" s="22" t="n">
        <v>1</v>
      </c>
      <c r="L462" s="22" t="s">
        <v>8602</v>
      </c>
      <c r="M462" s="23" t="n">
        <v>45095</v>
      </c>
      <c r="N462" s="22"/>
      <c r="O462" s="22"/>
      <c r="P462" s="22" t="s">
        <v>8637</v>
      </c>
      <c r="Q462" s="22"/>
      <c r="R462" s="22"/>
    </row>
    <row r="463" customFormat="false" ht="15" hidden="false" customHeight="false" outlineLevel="0" collapsed="false">
      <c r="A463" s="22" t="s">
        <v>9217</v>
      </c>
      <c r="B463" s="23" t="n">
        <v>45084</v>
      </c>
      <c r="C463" s="22" t="s">
        <v>3782</v>
      </c>
      <c r="D463" s="22" t="n">
        <v>1535</v>
      </c>
      <c r="E463" s="22" t="s">
        <v>7587</v>
      </c>
      <c r="F463" s="22" t="s">
        <v>159</v>
      </c>
      <c r="G463" s="22" t="n">
        <v>32</v>
      </c>
      <c r="H463" s="22" t="s">
        <v>6575</v>
      </c>
      <c r="I463" s="22" t="s">
        <v>8601</v>
      </c>
      <c r="J463" s="22" t="n">
        <v>10.4</v>
      </c>
      <c r="K463" s="22" t="n">
        <v>2</v>
      </c>
      <c r="L463" s="22" t="s">
        <v>8602</v>
      </c>
      <c r="M463" s="23" t="n">
        <v>45094</v>
      </c>
      <c r="N463" s="22"/>
      <c r="O463" s="22"/>
      <c r="P463" s="22" t="s">
        <v>8631</v>
      </c>
      <c r="Q463" s="22"/>
      <c r="R463" s="22"/>
    </row>
    <row r="464" customFormat="false" ht="15" hidden="false" customHeight="false" outlineLevel="0" collapsed="false">
      <c r="A464" s="22" t="s">
        <v>9218</v>
      </c>
      <c r="B464" s="23" t="n">
        <v>45081</v>
      </c>
      <c r="C464" s="22" t="s">
        <v>2872</v>
      </c>
      <c r="D464" s="22" t="n">
        <v>1104</v>
      </c>
      <c r="E464" s="22" t="s">
        <v>7207</v>
      </c>
      <c r="F464" s="22" t="s">
        <v>198</v>
      </c>
      <c r="G464" s="22" t="n">
        <v>32</v>
      </c>
      <c r="H464" s="22" t="s">
        <v>6575</v>
      </c>
      <c r="I464" s="22" t="s">
        <v>8601</v>
      </c>
      <c r="J464" s="22" t="n">
        <v>10.4</v>
      </c>
      <c r="K464" s="22" t="n">
        <v>2</v>
      </c>
      <c r="L464" s="22" t="s">
        <v>8605</v>
      </c>
      <c r="M464" s="23" t="n">
        <v>45091</v>
      </c>
      <c r="N464" s="23" t="n">
        <v>45085</v>
      </c>
      <c r="O464" s="22" t="n">
        <v>4</v>
      </c>
      <c r="P464" s="22"/>
      <c r="Q464" s="22" t="s">
        <v>9219</v>
      </c>
      <c r="R464" s="22"/>
    </row>
    <row r="465" customFormat="false" ht="15" hidden="false" customHeight="false" outlineLevel="0" collapsed="false">
      <c r="A465" s="22" t="s">
        <v>9220</v>
      </c>
      <c r="B465" s="23" t="n">
        <v>45090</v>
      </c>
      <c r="C465" s="22" t="s">
        <v>4041</v>
      </c>
      <c r="D465" s="22" t="n">
        <v>1663</v>
      </c>
      <c r="E465" s="22" t="s">
        <v>8265</v>
      </c>
      <c r="F465" s="22" t="s">
        <v>499</v>
      </c>
      <c r="G465" s="22" t="n">
        <v>70</v>
      </c>
      <c r="H465" s="22" t="s">
        <v>7696</v>
      </c>
      <c r="I465" s="22" t="s">
        <v>8601</v>
      </c>
      <c r="J465" s="22" t="n">
        <v>7.55</v>
      </c>
      <c r="K465" s="22" t="n">
        <v>1</v>
      </c>
      <c r="L465" s="22" t="s">
        <v>8602</v>
      </c>
      <c r="M465" s="23" t="n">
        <v>45104</v>
      </c>
      <c r="N465" s="22"/>
      <c r="O465" s="22"/>
      <c r="P465" s="22" t="s">
        <v>8603</v>
      </c>
      <c r="Q465" s="22"/>
      <c r="R465" s="22"/>
    </row>
    <row r="466" customFormat="false" ht="15" hidden="false" customHeight="false" outlineLevel="0" collapsed="false">
      <c r="A466" s="22" t="s">
        <v>9221</v>
      </c>
      <c r="B466" s="23" t="n">
        <v>45097</v>
      </c>
      <c r="C466" s="22" t="s">
        <v>5659</v>
      </c>
      <c r="D466" s="22" t="n">
        <v>2460</v>
      </c>
      <c r="E466" s="22" t="s">
        <v>7982</v>
      </c>
      <c r="F466" s="22" t="s">
        <v>215</v>
      </c>
      <c r="G466" s="22" t="n">
        <v>60</v>
      </c>
      <c r="H466" s="22" t="s">
        <v>7696</v>
      </c>
      <c r="I466" s="22" t="s">
        <v>8601</v>
      </c>
      <c r="J466" s="22" t="n">
        <v>7.55</v>
      </c>
      <c r="K466" s="22" t="n">
        <v>1</v>
      </c>
      <c r="L466" s="22" t="s">
        <v>8605</v>
      </c>
      <c r="M466" s="23" t="n">
        <v>45111</v>
      </c>
      <c r="N466" s="23" t="n">
        <v>45107</v>
      </c>
      <c r="O466" s="22" t="n">
        <v>10</v>
      </c>
      <c r="P466" s="22"/>
      <c r="Q466" s="22" t="s">
        <v>9222</v>
      </c>
      <c r="R466" s="22"/>
    </row>
    <row r="467" customFormat="false" ht="15" hidden="false" customHeight="false" outlineLevel="0" collapsed="false">
      <c r="A467" s="22" t="s">
        <v>9223</v>
      </c>
      <c r="B467" s="23" t="n">
        <v>45085</v>
      </c>
      <c r="C467" s="22" t="s">
        <v>3827</v>
      </c>
      <c r="D467" s="22" t="n">
        <v>1558</v>
      </c>
      <c r="E467" s="22" t="s">
        <v>8462</v>
      </c>
      <c r="F467" s="22" t="s">
        <v>188</v>
      </c>
      <c r="G467" s="22" t="n">
        <v>24</v>
      </c>
      <c r="H467" s="22" t="s">
        <v>7696</v>
      </c>
      <c r="I467" s="22" t="s">
        <v>8601</v>
      </c>
      <c r="J467" s="22" t="n">
        <v>7.55</v>
      </c>
      <c r="K467" s="22" t="n">
        <v>1</v>
      </c>
      <c r="L467" s="22" t="s">
        <v>8629</v>
      </c>
      <c r="M467" s="23" t="n">
        <v>45099</v>
      </c>
      <c r="N467" s="23" t="n">
        <v>45100</v>
      </c>
      <c r="O467" s="22" t="n">
        <v>15</v>
      </c>
      <c r="P467" s="22"/>
      <c r="Q467" s="22"/>
      <c r="R467" s="22"/>
    </row>
    <row r="468" customFormat="false" ht="15" hidden="false" customHeight="false" outlineLevel="0" collapsed="false">
      <c r="A468" s="22" t="s">
        <v>9224</v>
      </c>
      <c r="B468" s="23" t="n">
        <v>45102</v>
      </c>
      <c r="C468" s="22" t="s">
        <v>305</v>
      </c>
      <c r="D468" s="22" t="n">
        <v>48</v>
      </c>
      <c r="E468" s="22" t="s">
        <v>7777</v>
      </c>
      <c r="F468" s="22" t="s">
        <v>215</v>
      </c>
      <c r="G468" s="22" t="n">
        <v>50</v>
      </c>
      <c r="H468" s="22" t="s">
        <v>7696</v>
      </c>
      <c r="I468" s="22" t="s">
        <v>8601</v>
      </c>
      <c r="J468" s="22" t="n">
        <v>7.55</v>
      </c>
      <c r="K468" s="22" t="n">
        <v>1</v>
      </c>
      <c r="L468" s="22" t="s">
        <v>8605</v>
      </c>
      <c r="M468" s="23" t="n">
        <v>45116</v>
      </c>
      <c r="N468" s="23" t="n">
        <v>45119</v>
      </c>
      <c r="O468" s="22" t="n">
        <v>17</v>
      </c>
      <c r="P468" s="22"/>
      <c r="Q468" s="22" t="s">
        <v>9225</v>
      </c>
      <c r="R468" s="22"/>
    </row>
    <row r="469" customFormat="false" ht="15" hidden="false" customHeight="false" outlineLevel="0" collapsed="false">
      <c r="A469" s="22" t="s">
        <v>9226</v>
      </c>
      <c r="B469" s="23" t="n">
        <v>45102</v>
      </c>
      <c r="C469" s="22" t="s">
        <v>461</v>
      </c>
      <c r="D469" s="22" t="n">
        <v>102</v>
      </c>
      <c r="E469" s="22" t="s">
        <v>7788</v>
      </c>
      <c r="F469" s="22" t="s">
        <v>215</v>
      </c>
      <c r="G469" s="22" t="n">
        <v>24</v>
      </c>
      <c r="H469" s="22" t="s">
        <v>7696</v>
      </c>
      <c r="I469" s="22" t="s">
        <v>8601</v>
      </c>
      <c r="J469" s="22" t="n">
        <v>7.55</v>
      </c>
      <c r="K469" s="22" t="n">
        <v>1</v>
      </c>
      <c r="L469" s="22" t="s">
        <v>8613</v>
      </c>
      <c r="M469" s="23" t="n">
        <v>45116</v>
      </c>
      <c r="N469" s="22"/>
      <c r="O469" s="22"/>
      <c r="P469" s="22"/>
      <c r="Q469" s="22"/>
      <c r="R469" s="22"/>
    </row>
    <row r="470" customFormat="false" ht="15" hidden="false" customHeight="false" outlineLevel="0" collapsed="false">
      <c r="A470" s="22" t="s">
        <v>9227</v>
      </c>
      <c r="B470" s="23" t="n">
        <v>45086</v>
      </c>
      <c r="C470" s="22" t="s">
        <v>539</v>
      </c>
      <c r="D470" s="22" t="n">
        <v>129</v>
      </c>
      <c r="E470" s="22" t="s">
        <v>8148</v>
      </c>
      <c r="F470" s="22" t="s">
        <v>499</v>
      </c>
      <c r="G470" s="22" t="n">
        <v>45</v>
      </c>
      <c r="H470" s="22" t="s">
        <v>7696</v>
      </c>
      <c r="I470" s="22" t="s">
        <v>8601</v>
      </c>
      <c r="J470" s="22" t="n">
        <v>7.55</v>
      </c>
      <c r="K470" s="22" t="n">
        <v>1</v>
      </c>
      <c r="L470" s="22" t="s">
        <v>8602</v>
      </c>
      <c r="M470" s="23" t="n">
        <v>45100</v>
      </c>
      <c r="N470" s="22"/>
      <c r="O470" s="22"/>
      <c r="P470" s="22" t="s">
        <v>8637</v>
      </c>
      <c r="Q470" s="22"/>
      <c r="R470" s="22"/>
    </row>
    <row r="471" customFormat="false" ht="15" hidden="false" customHeight="false" outlineLevel="0" collapsed="false">
      <c r="A471" s="22" t="s">
        <v>9228</v>
      </c>
      <c r="B471" s="23" t="n">
        <v>45097</v>
      </c>
      <c r="C471" s="22" t="s">
        <v>586</v>
      </c>
      <c r="D471" s="22" t="n">
        <v>145</v>
      </c>
      <c r="E471" s="22" t="s">
        <v>7210</v>
      </c>
      <c r="F471" s="22" t="s">
        <v>198</v>
      </c>
      <c r="G471" s="22" t="n">
        <v>32</v>
      </c>
      <c r="H471" s="22" t="s">
        <v>6575</v>
      </c>
      <c r="I471" s="22" t="s">
        <v>8601</v>
      </c>
      <c r="J471" s="22" t="n">
        <v>10.4</v>
      </c>
      <c r="K471" s="22" t="n">
        <v>2</v>
      </c>
      <c r="L471" s="22" t="s">
        <v>157</v>
      </c>
      <c r="M471" s="23" t="n">
        <v>45107</v>
      </c>
      <c r="N471" s="23" t="n">
        <v>45105</v>
      </c>
      <c r="O471" s="22" t="n">
        <v>8</v>
      </c>
      <c r="P471" s="22"/>
      <c r="Q471" s="22"/>
      <c r="R471" s="22"/>
    </row>
    <row r="472" customFormat="false" ht="15" hidden="false" customHeight="false" outlineLevel="0" collapsed="false">
      <c r="A472" s="22" t="s">
        <v>9229</v>
      </c>
      <c r="B472" s="23" t="n">
        <v>45090</v>
      </c>
      <c r="C472" s="22" t="s">
        <v>6516</v>
      </c>
      <c r="D472" s="22" t="n">
        <v>2891</v>
      </c>
      <c r="E472" s="22" t="s">
        <v>8226</v>
      </c>
      <c r="F472" s="22" t="s">
        <v>499</v>
      </c>
      <c r="G472" s="22" t="n">
        <v>32</v>
      </c>
      <c r="H472" s="22" t="s">
        <v>7696</v>
      </c>
      <c r="I472" s="22" t="s">
        <v>8601</v>
      </c>
      <c r="J472" s="22" t="n">
        <v>7.55</v>
      </c>
      <c r="K472" s="22" t="n">
        <v>1</v>
      </c>
      <c r="L472" s="22" t="s">
        <v>8605</v>
      </c>
      <c r="M472" s="23" t="n">
        <v>45104</v>
      </c>
      <c r="N472" s="23" t="n">
        <v>45096</v>
      </c>
      <c r="O472" s="22" t="n">
        <v>6</v>
      </c>
      <c r="P472" s="22"/>
      <c r="Q472" s="22" t="s">
        <v>9230</v>
      </c>
      <c r="R472" s="22"/>
    </row>
    <row r="473" customFormat="false" ht="15" hidden="false" customHeight="false" outlineLevel="0" collapsed="false">
      <c r="A473" s="22" t="s">
        <v>9231</v>
      </c>
      <c r="B473" s="23" t="n">
        <v>45084</v>
      </c>
      <c r="C473" s="22" t="s">
        <v>3977</v>
      </c>
      <c r="D473" s="22" t="n">
        <v>1632</v>
      </c>
      <c r="E473" s="22" t="s">
        <v>6658</v>
      </c>
      <c r="F473" s="22" t="s">
        <v>198</v>
      </c>
      <c r="G473" s="22" t="n">
        <v>28</v>
      </c>
      <c r="H473" s="22" t="s">
        <v>6575</v>
      </c>
      <c r="I473" s="22" t="s">
        <v>8601</v>
      </c>
      <c r="J473" s="22" t="n">
        <v>10.4</v>
      </c>
      <c r="K473" s="22" t="n">
        <v>1</v>
      </c>
      <c r="L473" s="22" t="s">
        <v>8605</v>
      </c>
      <c r="M473" s="23" t="n">
        <v>45094</v>
      </c>
      <c r="N473" s="23" t="n">
        <v>45089</v>
      </c>
      <c r="O473" s="22" t="n">
        <v>5</v>
      </c>
      <c r="P473" s="22"/>
      <c r="Q473" s="22" t="s">
        <v>9232</v>
      </c>
      <c r="R473" s="22"/>
    </row>
    <row r="474" customFormat="false" ht="15" hidden="false" customHeight="false" outlineLevel="0" collapsed="false">
      <c r="A474" s="22" t="s">
        <v>9233</v>
      </c>
      <c r="B474" s="23" t="n">
        <v>45089</v>
      </c>
      <c r="C474" s="22" t="s">
        <v>4934</v>
      </c>
      <c r="D474" s="22" t="n">
        <v>2100</v>
      </c>
      <c r="E474" s="22" t="s">
        <v>7899</v>
      </c>
      <c r="F474" s="22" t="s">
        <v>215</v>
      </c>
      <c r="G474" s="22" t="n">
        <v>70</v>
      </c>
      <c r="H474" s="22" t="s">
        <v>7696</v>
      </c>
      <c r="I474" s="22" t="s">
        <v>8601</v>
      </c>
      <c r="J474" s="22" t="n">
        <v>7.55</v>
      </c>
      <c r="K474" s="22" t="n">
        <v>1</v>
      </c>
      <c r="L474" s="22" t="s">
        <v>8602</v>
      </c>
      <c r="M474" s="23" t="n">
        <v>45103</v>
      </c>
      <c r="N474" s="22"/>
      <c r="O474" s="22"/>
      <c r="P474" s="22" t="s">
        <v>8603</v>
      </c>
      <c r="Q474" s="22"/>
      <c r="R474" s="22"/>
    </row>
    <row r="475" customFormat="false" ht="15" hidden="false" customHeight="false" outlineLevel="0" collapsed="false">
      <c r="A475" s="22" t="s">
        <v>9234</v>
      </c>
      <c r="B475" s="23" t="n">
        <v>45105</v>
      </c>
      <c r="C475" s="22" t="s">
        <v>5422</v>
      </c>
      <c r="D475" s="22" t="n">
        <v>2342</v>
      </c>
      <c r="E475" s="22" t="s">
        <v>7572</v>
      </c>
      <c r="F475" s="22" t="s">
        <v>159</v>
      </c>
      <c r="G475" s="22" t="n">
        <v>40</v>
      </c>
      <c r="H475" s="22" t="s">
        <v>6575</v>
      </c>
      <c r="I475" s="22" t="s">
        <v>8601</v>
      </c>
      <c r="J475" s="22" t="n">
        <v>10.4</v>
      </c>
      <c r="K475" s="22" t="n">
        <v>1</v>
      </c>
      <c r="L475" s="22" t="s">
        <v>8729</v>
      </c>
      <c r="M475" s="23" t="n">
        <v>45115</v>
      </c>
      <c r="N475" s="23" t="n">
        <v>45108</v>
      </c>
      <c r="O475" s="22" t="n">
        <v>3</v>
      </c>
      <c r="P475" s="22"/>
      <c r="Q475" s="22"/>
      <c r="R475" s="22"/>
    </row>
    <row r="476" customFormat="false" ht="15" hidden="false" customHeight="false" outlineLevel="0" collapsed="false">
      <c r="A476" s="22" t="s">
        <v>9235</v>
      </c>
      <c r="B476" s="23" t="n">
        <v>45100</v>
      </c>
      <c r="C476" s="22" t="s">
        <v>3481</v>
      </c>
      <c r="D476" s="22" t="n">
        <v>1389</v>
      </c>
      <c r="E476" s="22" t="s">
        <v>6651</v>
      </c>
      <c r="F476" s="22" t="s">
        <v>198</v>
      </c>
      <c r="G476" s="22" t="n">
        <v>36</v>
      </c>
      <c r="H476" s="22" t="s">
        <v>6575</v>
      </c>
      <c r="I476" s="22" t="s">
        <v>8601</v>
      </c>
      <c r="J476" s="22" t="n">
        <v>10.4</v>
      </c>
      <c r="K476" s="22" t="n">
        <v>2</v>
      </c>
      <c r="L476" s="22" t="s">
        <v>8605</v>
      </c>
      <c r="M476" s="23" t="n">
        <v>45110</v>
      </c>
      <c r="N476" s="23" t="n">
        <v>45105</v>
      </c>
      <c r="O476" s="22" t="n">
        <v>5</v>
      </c>
      <c r="P476" s="22"/>
      <c r="Q476" s="22" t="s">
        <v>9236</v>
      </c>
      <c r="R476" s="22"/>
    </row>
    <row r="477" customFormat="false" ht="15" hidden="false" customHeight="false" outlineLevel="0" collapsed="false">
      <c r="A477" s="22" t="s">
        <v>9237</v>
      </c>
      <c r="B477" s="23" t="n">
        <v>45110</v>
      </c>
      <c r="C477" s="22" t="s">
        <v>2416</v>
      </c>
      <c r="D477" s="22" t="n">
        <v>899</v>
      </c>
      <c r="E477" s="22" t="s">
        <v>7482</v>
      </c>
      <c r="F477" s="22" t="s">
        <v>159</v>
      </c>
      <c r="G477" s="22" t="n">
        <v>32</v>
      </c>
      <c r="H477" s="22" t="s">
        <v>6575</v>
      </c>
      <c r="I477" s="22" t="s">
        <v>8601</v>
      </c>
      <c r="J477" s="22" t="n">
        <v>10.4</v>
      </c>
      <c r="K477" s="22" t="n">
        <v>1</v>
      </c>
      <c r="L477" s="22" t="s">
        <v>8605</v>
      </c>
      <c r="M477" s="23" t="n">
        <v>45120</v>
      </c>
      <c r="N477" s="23" t="n">
        <v>45117</v>
      </c>
      <c r="O477" s="22" t="n">
        <v>7</v>
      </c>
      <c r="P477" s="22"/>
      <c r="Q477" s="22" t="s">
        <v>9238</v>
      </c>
      <c r="R477" s="22"/>
    </row>
    <row r="478" customFormat="false" ht="15" hidden="false" customHeight="false" outlineLevel="0" collapsed="false">
      <c r="A478" s="22" t="s">
        <v>9239</v>
      </c>
      <c r="B478" s="23" t="n">
        <v>45113</v>
      </c>
      <c r="C478" s="22" t="s">
        <v>539</v>
      </c>
      <c r="D478" s="22" t="n">
        <v>129</v>
      </c>
      <c r="E478" s="22" t="s">
        <v>8173</v>
      </c>
      <c r="F478" s="22" t="s">
        <v>499</v>
      </c>
      <c r="G478" s="22" t="n">
        <v>45</v>
      </c>
      <c r="H478" s="22" t="s">
        <v>7696</v>
      </c>
      <c r="I478" s="22" t="s">
        <v>8601</v>
      </c>
      <c r="J478" s="22" t="n">
        <v>7.55</v>
      </c>
      <c r="K478" s="22" t="n">
        <v>1</v>
      </c>
      <c r="L478" s="22" t="s">
        <v>8605</v>
      </c>
      <c r="M478" s="23" t="n">
        <v>45127</v>
      </c>
      <c r="N478" s="23" t="n">
        <v>45120</v>
      </c>
      <c r="O478" s="22" t="n">
        <v>7</v>
      </c>
      <c r="P478" s="22"/>
      <c r="Q478" s="22" t="s">
        <v>9240</v>
      </c>
      <c r="R478" s="22"/>
    </row>
    <row r="479" customFormat="false" ht="15" hidden="false" customHeight="false" outlineLevel="0" collapsed="false">
      <c r="A479" s="22" t="s">
        <v>9241</v>
      </c>
      <c r="B479" s="23" t="n">
        <v>45111</v>
      </c>
      <c r="C479" s="22" t="s">
        <v>6447</v>
      </c>
      <c r="D479" s="22" t="n">
        <v>2857</v>
      </c>
      <c r="E479" s="22" t="s">
        <v>8487</v>
      </c>
      <c r="F479" s="22" t="s">
        <v>188</v>
      </c>
      <c r="G479" s="22" t="n">
        <v>40</v>
      </c>
      <c r="H479" s="22" t="s">
        <v>7696</v>
      </c>
      <c r="I479" s="22" t="s">
        <v>8601</v>
      </c>
      <c r="J479" s="22" t="n">
        <v>7.55</v>
      </c>
      <c r="K479" s="22" t="n">
        <v>1</v>
      </c>
      <c r="L479" s="22" t="s">
        <v>8602</v>
      </c>
      <c r="M479" s="23" t="n">
        <v>45125</v>
      </c>
      <c r="N479" s="22"/>
      <c r="O479" s="22"/>
      <c r="P479" s="22" t="s">
        <v>8618</v>
      </c>
      <c r="Q479" s="22"/>
      <c r="R479" s="22"/>
    </row>
    <row r="480" customFormat="false" ht="15" hidden="false" customHeight="false" outlineLevel="0" collapsed="false">
      <c r="A480" s="22" t="s">
        <v>9242</v>
      </c>
      <c r="B480" s="23" t="n">
        <v>45122</v>
      </c>
      <c r="C480" s="22" t="s">
        <v>322</v>
      </c>
      <c r="D480" s="22" t="n">
        <v>54</v>
      </c>
      <c r="E480" s="22" t="s">
        <v>7532</v>
      </c>
      <c r="F480" s="22" t="s">
        <v>159</v>
      </c>
      <c r="G480" s="22" t="n">
        <v>40</v>
      </c>
      <c r="H480" s="22" t="s">
        <v>6575</v>
      </c>
      <c r="I480" s="22" t="s">
        <v>8601</v>
      </c>
      <c r="J480" s="22" t="n">
        <v>10.4</v>
      </c>
      <c r="K480" s="22" t="n">
        <v>1</v>
      </c>
      <c r="L480" s="22" t="s">
        <v>8602</v>
      </c>
      <c r="M480" s="23" t="n">
        <v>45132</v>
      </c>
      <c r="N480" s="22"/>
      <c r="O480" s="22"/>
      <c r="P480" s="22" t="s">
        <v>8603</v>
      </c>
      <c r="Q480" s="22"/>
      <c r="R480" s="22"/>
    </row>
    <row r="481" customFormat="false" ht="15" hidden="false" customHeight="false" outlineLevel="0" collapsed="false">
      <c r="A481" s="22" t="s">
        <v>9243</v>
      </c>
      <c r="B481" s="23" t="n">
        <v>45126</v>
      </c>
      <c r="C481" s="22" t="s">
        <v>3603</v>
      </c>
      <c r="D481" s="22" t="n">
        <v>1447</v>
      </c>
      <c r="E481" s="22" t="s">
        <v>7428</v>
      </c>
      <c r="F481" s="22" t="s">
        <v>159</v>
      </c>
      <c r="G481" s="22" t="n">
        <v>28</v>
      </c>
      <c r="H481" s="22" t="s">
        <v>6575</v>
      </c>
      <c r="I481" s="22" t="s">
        <v>8601</v>
      </c>
      <c r="J481" s="22" t="n">
        <v>10.4</v>
      </c>
      <c r="K481" s="22" t="n">
        <v>1</v>
      </c>
      <c r="L481" s="22" t="s">
        <v>8605</v>
      </c>
      <c r="M481" s="23" t="n">
        <v>45136</v>
      </c>
      <c r="N481" s="23" t="n">
        <v>45136</v>
      </c>
      <c r="O481" s="22" t="n">
        <v>10</v>
      </c>
      <c r="P481" s="22"/>
      <c r="Q481" s="22" t="s">
        <v>9244</v>
      </c>
      <c r="R481" s="22"/>
    </row>
    <row r="482" customFormat="false" ht="15" hidden="false" customHeight="false" outlineLevel="0" collapsed="false">
      <c r="A482" s="22" t="s">
        <v>9245</v>
      </c>
      <c r="B482" s="23" t="n">
        <v>45110</v>
      </c>
      <c r="C482" s="22" t="s">
        <v>2002</v>
      </c>
      <c r="D482" s="22" t="n">
        <v>712</v>
      </c>
      <c r="E482" s="22" t="s">
        <v>8057</v>
      </c>
      <c r="F482" s="22" t="s">
        <v>499</v>
      </c>
      <c r="G482" s="22" t="n">
        <v>60</v>
      </c>
      <c r="H482" s="22" t="s">
        <v>7696</v>
      </c>
      <c r="I482" s="22" t="s">
        <v>8601</v>
      </c>
      <c r="J482" s="22" t="n">
        <v>7.55</v>
      </c>
      <c r="K482" s="22" t="n">
        <v>2</v>
      </c>
      <c r="L482" s="22" t="s">
        <v>8602</v>
      </c>
      <c r="M482" s="23" t="n">
        <v>45124</v>
      </c>
      <c r="N482" s="22"/>
      <c r="O482" s="22"/>
      <c r="P482" s="22" t="s">
        <v>8603</v>
      </c>
      <c r="Q482" s="22"/>
      <c r="R482" s="22"/>
    </row>
    <row r="483" customFormat="false" ht="15" hidden="false" customHeight="false" outlineLevel="0" collapsed="false">
      <c r="A483" s="22" t="s">
        <v>9246</v>
      </c>
      <c r="B483" s="23" t="n">
        <v>45131</v>
      </c>
      <c r="C483" s="22" t="s">
        <v>4472</v>
      </c>
      <c r="D483" s="22" t="n">
        <v>1874</v>
      </c>
      <c r="E483" s="22" t="s">
        <v>8018</v>
      </c>
      <c r="F483" s="22" t="s">
        <v>215</v>
      </c>
      <c r="G483" s="22" t="n">
        <v>40</v>
      </c>
      <c r="H483" s="22" t="s">
        <v>7696</v>
      </c>
      <c r="I483" s="22" t="s">
        <v>8601</v>
      </c>
      <c r="J483" s="22" t="n">
        <v>7.55</v>
      </c>
      <c r="K483" s="22" t="n">
        <v>2</v>
      </c>
      <c r="L483" s="22" t="s">
        <v>8629</v>
      </c>
      <c r="M483" s="23" t="n">
        <v>45145</v>
      </c>
      <c r="N483" s="23" t="n">
        <v>45135</v>
      </c>
      <c r="O483" s="22" t="n">
        <v>4</v>
      </c>
      <c r="P483" s="22"/>
      <c r="Q483" s="22"/>
      <c r="R483" s="22"/>
    </row>
    <row r="484" customFormat="false" ht="15" hidden="false" customHeight="false" outlineLevel="0" collapsed="false">
      <c r="A484" s="22" t="s">
        <v>9247</v>
      </c>
      <c r="B484" s="23" t="n">
        <v>45114</v>
      </c>
      <c r="C484" s="22" t="s">
        <v>2994</v>
      </c>
      <c r="D484" s="22" t="n">
        <v>1160</v>
      </c>
      <c r="E484" s="22" t="s">
        <v>6914</v>
      </c>
      <c r="F484" s="22" t="s">
        <v>198</v>
      </c>
      <c r="G484" s="22" t="n">
        <v>32</v>
      </c>
      <c r="H484" s="22" t="s">
        <v>6575</v>
      </c>
      <c r="I484" s="22" t="s">
        <v>8601</v>
      </c>
      <c r="J484" s="22" t="n">
        <v>10.4</v>
      </c>
      <c r="K484" s="22" t="n">
        <v>1</v>
      </c>
      <c r="L484" s="22" t="s">
        <v>8602</v>
      </c>
      <c r="M484" s="23" t="n">
        <v>45124</v>
      </c>
      <c r="N484" s="22"/>
      <c r="O484" s="22"/>
      <c r="P484" s="22" t="s">
        <v>8618</v>
      </c>
      <c r="Q484" s="22"/>
      <c r="R484" s="22"/>
    </row>
    <row r="485" customFormat="false" ht="15" hidden="false" customHeight="false" outlineLevel="0" collapsed="false">
      <c r="A485" s="22" t="s">
        <v>9248</v>
      </c>
      <c r="B485" s="23" t="n">
        <v>45129</v>
      </c>
      <c r="C485" s="22" t="s">
        <v>3203</v>
      </c>
      <c r="D485" s="22" t="n">
        <v>1256</v>
      </c>
      <c r="E485" s="22" t="s">
        <v>7585</v>
      </c>
      <c r="F485" s="22" t="s">
        <v>159</v>
      </c>
      <c r="G485" s="22" t="n">
        <v>24</v>
      </c>
      <c r="H485" s="22" t="s">
        <v>6575</v>
      </c>
      <c r="I485" s="22" t="s">
        <v>8601</v>
      </c>
      <c r="J485" s="22" t="n">
        <v>10.4</v>
      </c>
      <c r="K485" s="22" t="n">
        <v>1</v>
      </c>
      <c r="L485" s="22" t="s">
        <v>157</v>
      </c>
      <c r="M485" s="23" t="n">
        <v>45139</v>
      </c>
      <c r="N485" s="23" t="n">
        <v>45137</v>
      </c>
      <c r="O485" s="22" t="n">
        <v>8</v>
      </c>
      <c r="P485" s="22"/>
      <c r="Q485" s="22"/>
      <c r="R485" s="22"/>
    </row>
    <row r="486" customFormat="false" ht="15" hidden="false" customHeight="false" outlineLevel="0" collapsed="false">
      <c r="A486" s="22" t="s">
        <v>9249</v>
      </c>
      <c r="B486" s="23" t="n">
        <v>45116</v>
      </c>
      <c r="C486" s="22" t="s">
        <v>850</v>
      </c>
      <c r="D486" s="22" t="n">
        <v>242</v>
      </c>
      <c r="E486" s="22" t="s">
        <v>8414</v>
      </c>
      <c r="F486" s="22" t="s">
        <v>188</v>
      </c>
      <c r="G486" s="22" t="n">
        <v>70</v>
      </c>
      <c r="H486" s="22" t="s">
        <v>7696</v>
      </c>
      <c r="I486" s="22" t="s">
        <v>8601</v>
      </c>
      <c r="J486" s="22" t="n">
        <v>7.55</v>
      </c>
      <c r="K486" s="22" t="n">
        <v>1</v>
      </c>
      <c r="L486" s="22" t="s">
        <v>8602</v>
      </c>
      <c r="M486" s="23" t="n">
        <v>45130</v>
      </c>
      <c r="N486" s="22"/>
      <c r="O486" s="22"/>
      <c r="P486" s="22" t="s">
        <v>8603</v>
      </c>
      <c r="Q486" s="22"/>
      <c r="R486" s="22"/>
    </row>
    <row r="487" customFormat="false" ht="15" hidden="false" customHeight="false" outlineLevel="0" collapsed="false">
      <c r="A487" s="22" t="s">
        <v>9250</v>
      </c>
      <c r="B487" s="23" t="n">
        <v>45131</v>
      </c>
      <c r="C487" s="22" t="s">
        <v>3080</v>
      </c>
      <c r="D487" s="22" t="n">
        <v>1199</v>
      </c>
      <c r="E487" s="22" t="s">
        <v>8314</v>
      </c>
      <c r="F487" s="22" t="s">
        <v>499</v>
      </c>
      <c r="G487" s="22" t="n">
        <v>24</v>
      </c>
      <c r="H487" s="22" t="s">
        <v>7696</v>
      </c>
      <c r="I487" s="22" t="s">
        <v>8601</v>
      </c>
      <c r="J487" s="22" t="n">
        <v>7.55</v>
      </c>
      <c r="K487" s="22" t="n">
        <v>2</v>
      </c>
      <c r="L487" s="22" t="s">
        <v>8602</v>
      </c>
      <c r="M487" s="23" t="n">
        <v>45145</v>
      </c>
      <c r="N487" s="22"/>
      <c r="O487" s="22"/>
      <c r="P487" s="22" t="s">
        <v>8618</v>
      </c>
      <c r="Q487" s="22"/>
      <c r="R487" s="22"/>
    </row>
    <row r="488" customFormat="false" ht="15" hidden="false" customHeight="false" outlineLevel="0" collapsed="false">
      <c r="A488" s="22" t="s">
        <v>9251</v>
      </c>
      <c r="B488" s="23" t="n">
        <v>45126</v>
      </c>
      <c r="C488" s="22" t="s">
        <v>5491</v>
      </c>
      <c r="D488" s="22" t="n">
        <v>2377</v>
      </c>
      <c r="E488" s="22" t="s">
        <v>8576</v>
      </c>
      <c r="F488" s="22" t="s">
        <v>188</v>
      </c>
      <c r="G488" s="22" t="n">
        <v>24</v>
      </c>
      <c r="H488" s="22" t="s">
        <v>7696</v>
      </c>
      <c r="I488" s="22" t="s">
        <v>8601</v>
      </c>
      <c r="J488" s="22" t="n">
        <v>7.55</v>
      </c>
      <c r="K488" s="22" t="n">
        <v>1</v>
      </c>
      <c r="L488" s="22" t="s">
        <v>8629</v>
      </c>
      <c r="M488" s="23" t="n">
        <v>45140</v>
      </c>
      <c r="N488" s="23" t="n">
        <v>45127</v>
      </c>
      <c r="O488" s="22" t="n">
        <v>1</v>
      </c>
      <c r="P488" s="22"/>
      <c r="Q488" s="22"/>
      <c r="R488" s="22"/>
    </row>
    <row r="489" customFormat="false" ht="15" hidden="false" customHeight="false" outlineLevel="0" collapsed="false">
      <c r="A489" s="22" t="s">
        <v>9252</v>
      </c>
      <c r="B489" s="23" t="n">
        <v>45116</v>
      </c>
      <c r="C489" s="22" t="s">
        <v>4989</v>
      </c>
      <c r="D489" s="22" t="n">
        <v>2127</v>
      </c>
      <c r="E489" s="22" t="s">
        <v>6793</v>
      </c>
      <c r="F489" s="22" t="s">
        <v>198</v>
      </c>
      <c r="G489" s="22" t="n">
        <v>28</v>
      </c>
      <c r="H489" s="22" t="s">
        <v>6575</v>
      </c>
      <c r="I489" s="22" t="s">
        <v>8601</v>
      </c>
      <c r="J489" s="22" t="n">
        <v>10.4</v>
      </c>
      <c r="K489" s="22" t="n">
        <v>2</v>
      </c>
      <c r="L489" s="22" t="s">
        <v>8608</v>
      </c>
      <c r="M489" s="23" t="n">
        <v>45126</v>
      </c>
      <c r="N489" s="23" t="n">
        <v>45128</v>
      </c>
      <c r="O489" s="22" t="n">
        <v>12</v>
      </c>
      <c r="P489" s="22"/>
      <c r="Q489" s="22"/>
      <c r="R489" s="22"/>
    </row>
    <row r="490" customFormat="false" ht="15" hidden="false" customHeight="false" outlineLevel="0" collapsed="false">
      <c r="A490" s="22" t="s">
        <v>9253</v>
      </c>
      <c r="B490" s="23" t="n">
        <v>45133</v>
      </c>
      <c r="C490" s="22" t="s">
        <v>864</v>
      </c>
      <c r="D490" s="22" t="n">
        <v>248</v>
      </c>
      <c r="E490" s="22" t="s">
        <v>8584</v>
      </c>
      <c r="F490" s="22" t="s">
        <v>188</v>
      </c>
      <c r="G490" s="22" t="n">
        <v>32</v>
      </c>
      <c r="H490" s="22" t="s">
        <v>7696</v>
      </c>
      <c r="I490" s="22" t="s">
        <v>8601</v>
      </c>
      <c r="J490" s="22" t="n">
        <v>7.55</v>
      </c>
      <c r="K490" s="22" t="n">
        <v>1</v>
      </c>
      <c r="L490" s="22" t="s">
        <v>8602</v>
      </c>
      <c r="M490" s="23" t="n">
        <v>45147</v>
      </c>
      <c r="N490" s="22"/>
      <c r="O490" s="22"/>
      <c r="P490" s="22" t="s">
        <v>8637</v>
      </c>
      <c r="Q490" s="22"/>
      <c r="R490" s="22"/>
    </row>
    <row r="491" customFormat="false" ht="15" hidden="false" customHeight="false" outlineLevel="0" collapsed="false">
      <c r="A491" s="22" t="s">
        <v>9254</v>
      </c>
      <c r="B491" s="23" t="n">
        <v>45118</v>
      </c>
      <c r="C491" s="22" t="s">
        <v>3095</v>
      </c>
      <c r="D491" s="22" t="n">
        <v>1206</v>
      </c>
      <c r="E491" s="22" t="s">
        <v>8246</v>
      </c>
      <c r="F491" s="22" t="s">
        <v>499</v>
      </c>
      <c r="G491" s="22" t="n">
        <v>50</v>
      </c>
      <c r="H491" s="22" t="s">
        <v>7696</v>
      </c>
      <c r="I491" s="22" t="s">
        <v>8601</v>
      </c>
      <c r="J491" s="22" t="n">
        <v>7.55</v>
      </c>
      <c r="K491" s="22" t="n">
        <v>1</v>
      </c>
      <c r="L491" s="22" t="s">
        <v>8602</v>
      </c>
      <c r="M491" s="23" t="n">
        <v>45132</v>
      </c>
      <c r="N491" s="22"/>
      <c r="O491" s="22"/>
      <c r="P491" s="22" t="s">
        <v>8603</v>
      </c>
      <c r="Q491" s="22"/>
      <c r="R491" s="22"/>
    </row>
    <row r="492" customFormat="false" ht="15" hidden="false" customHeight="false" outlineLevel="0" collapsed="false">
      <c r="A492" s="22" t="s">
        <v>9255</v>
      </c>
      <c r="B492" s="23" t="n">
        <v>45112</v>
      </c>
      <c r="C492" s="22" t="s">
        <v>782</v>
      </c>
      <c r="D492" s="22" t="n">
        <v>217</v>
      </c>
      <c r="E492" s="22" t="s">
        <v>8137</v>
      </c>
      <c r="F492" s="22" t="s">
        <v>499</v>
      </c>
      <c r="G492" s="22" t="n">
        <v>32</v>
      </c>
      <c r="H492" s="22" t="s">
        <v>7696</v>
      </c>
      <c r="I492" s="22" t="s">
        <v>8601</v>
      </c>
      <c r="J492" s="22" t="n">
        <v>7.55</v>
      </c>
      <c r="K492" s="22" t="n">
        <v>1</v>
      </c>
      <c r="L492" s="22" t="s">
        <v>8605</v>
      </c>
      <c r="M492" s="23" t="n">
        <v>45126</v>
      </c>
      <c r="N492" s="23" t="n">
        <v>45114</v>
      </c>
      <c r="O492" s="22" t="n">
        <v>2</v>
      </c>
      <c r="P492" s="22"/>
      <c r="Q492" s="22" t="s">
        <v>9244</v>
      </c>
      <c r="R492" s="22"/>
    </row>
    <row r="493" customFormat="false" ht="15" hidden="false" customHeight="false" outlineLevel="0" collapsed="false">
      <c r="A493" s="22" t="s">
        <v>9256</v>
      </c>
      <c r="B493" s="23" t="n">
        <v>45129</v>
      </c>
      <c r="C493" s="22" t="s">
        <v>5578</v>
      </c>
      <c r="D493" s="22" t="n">
        <v>2420</v>
      </c>
      <c r="E493" s="22" t="s">
        <v>8528</v>
      </c>
      <c r="F493" s="22" t="s">
        <v>188</v>
      </c>
      <c r="G493" s="22" t="n">
        <v>70</v>
      </c>
      <c r="H493" s="22" t="s">
        <v>7696</v>
      </c>
      <c r="I493" s="22" t="s">
        <v>8601</v>
      </c>
      <c r="J493" s="22" t="n">
        <v>7.55</v>
      </c>
      <c r="K493" s="22" t="n">
        <v>1</v>
      </c>
      <c r="L493" s="22" t="s">
        <v>157</v>
      </c>
      <c r="M493" s="23" t="n">
        <v>45143</v>
      </c>
      <c r="N493" s="23" t="n">
        <v>45141</v>
      </c>
      <c r="O493" s="22" t="n">
        <v>12</v>
      </c>
      <c r="P493" s="22"/>
      <c r="Q493" s="22"/>
      <c r="R493" s="22"/>
    </row>
    <row r="494" customFormat="false" ht="15" hidden="false" customHeight="false" outlineLevel="0" collapsed="false">
      <c r="A494" s="22" t="s">
        <v>9257</v>
      </c>
      <c r="B494" s="23" t="n">
        <v>45112</v>
      </c>
      <c r="C494" s="22" t="s">
        <v>195</v>
      </c>
      <c r="D494" s="22" t="n">
        <v>12</v>
      </c>
      <c r="E494" s="22" t="s">
        <v>8563</v>
      </c>
      <c r="F494" s="22" t="s">
        <v>188</v>
      </c>
      <c r="G494" s="22" t="n">
        <v>36</v>
      </c>
      <c r="H494" s="22" t="s">
        <v>7696</v>
      </c>
      <c r="I494" s="22" t="s">
        <v>8601</v>
      </c>
      <c r="J494" s="22" t="n">
        <v>7.55</v>
      </c>
      <c r="K494" s="22" t="n">
        <v>1</v>
      </c>
      <c r="L494" s="22" t="s">
        <v>157</v>
      </c>
      <c r="M494" s="23" t="n">
        <v>45126</v>
      </c>
      <c r="N494" s="23" t="n">
        <v>45115</v>
      </c>
      <c r="O494" s="22" t="n">
        <v>3</v>
      </c>
      <c r="P494" s="22"/>
      <c r="Q494" s="22"/>
      <c r="R494" s="22"/>
    </row>
    <row r="495" customFormat="false" ht="15" hidden="false" customHeight="false" outlineLevel="0" collapsed="false">
      <c r="A495" s="22" t="s">
        <v>9258</v>
      </c>
      <c r="B495" s="23" t="n">
        <v>45123</v>
      </c>
      <c r="C495" s="22" t="s">
        <v>1671</v>
      </c>
      <c r="D495" s="22" t="n">
        <v>573</v>
      </c>
      <c r="E495" s="22" t="s">
        <v>7255</v>
      </c>
      <c r="F495" s="22" t="s">
        <v>198</v>
      </c>
      <c r="G495" s="22" t="n">
        <v>32</v>
      </c>
      <c r="H495" s="22" t="s">
        <v>6575</v>
      </c>
      <c r="I495" s="22" t="s">
        <v>8601</v>
      </c>
      <c r="J495" s="22" t="n">
        <v>10.4</v>
      </c>
      <c r="K495" s="22" t="n">
        <v>1</v>
      </c>
      <c r="L495" s="22" t="s">
        <v>157</v>
      </c>
      <c r="M495" s="23" t="n">
        <v>45133</v>
      </c>
      <c r="N495" s="23" t="n">
        <v>45125</v>
      </c>
      <c r="O495" s="22" t="n">
        <v>2</v>
      </c>
      <c r="P495" s="22"/>
      <c r="Q495" s="22"/>
      <c r="R495" s="22"/>
    </row>
    <row r="496" customFormat="false" ht="15" hidden="false" customHeight="false" outlineLevel="0" collapsed="false">
      <c r="A496" s="22" t="s">
        <v>9259</v>
      </c>
      <c r="B496" s="23" t="n">
        <v>45133</v>
      </c>
      <c r="C496" s="22" t="s">
        <v>4129</v>
      </c>
      <c r="D496" s="22" t="n">
        <v>1706</v>
      </c>
      <c r="E496" s="22" t="s">
        <v>6588</v>
      </c>
      <c r="F496" s="22" t="s">
        <v>198</v>
      </c>
      <c r="G496" s="22" t="n">
        <v>24</v>
      </c>
      <c r="H496" s="22" t="s">
        <v>6575</v>
      </c>
      <c r="I496" s="22" t="s">
        <v>8601</v>
      </c>
      <c r="J496" s="22" t="n">
        <v>10.4</v>
      </c>
      <c r="K496" s="22" t="n">
        <v>1</v>
      </c>
      <c r="L496" s="22" t="s">
        <v>8602</v>
      </c>
      <c r="M496" s="23" t="n">
        <v>45143</v>
      </c>
      <c r="N496" s="22"/>
      <c r="O496" s="22"/>
      <c r="P496" s="22" t="s">
        <v>8631</v>
      </c>
      <c r="Q496" s="22"/>
      <c r="R496" s="22"/>
    </row>
    <row r="497" customFormat="false" ht="15" hidden="false" customHeight="false" outlineLevel="0" collapsed="false">
      <c r="A497" s="22" t="s">
        <v>9260</v>
      </c>
      <c r="B497" s="23" t="n">
        <v>45110</v>
      </c>
      <c r="C497" s="22" t="s">
        <v>981</v>
      </c>
      <c r="D497" s="22" t="n">
        <v>292</v>
      </c>
      <c r="E497" s="22" t="s">
        <v>7710</v>
      </c>
      <c r="F497" s="22" t="s">
        <v>215</v>
      </c>
      <c r="G497" s="22" t="n">
        <v>28</v>
      </c>
      <c r="H497" s="22" t="s">
        <v>7696</v>
      </c>
      <c r="I497" s="22" t="s">
        <v>8601</v>
      </c>
      <c r="J497" s="22" t="n">
        <v>7.55</v>
      </c>
      <c r="K497" s="22" t="n">
        <v>1</v>
      </c>
      <c r="L497" s="22" t="s">
        <v>8605</v>
      </c>
      <c r="M497" s="23" t="n">
        <v>45124</v>
      </c>
      <c r="N497" s="23" t="n">
        <v>45111</v>
      </c>
      <c r="O497" s="22" t="n">
        <v>1</v>
      </c>
      <c r="P497" s="22"/>
      <c r="Q497" s="22" t="s">
        <v>9261</v>
      </c>
      <c r="R497" s="22"/>
    </row>
    <row r="498" customFormat="false" ht="15" hidden="false" customHeight="false" outlineLevel="0" collapsed="false">
      <c r="A498" s="22" t="s">
        <v>9262</v>
      </c>
      <c r="B498" s="23" t="n">
        <v>45119</v>
      </c>
      <c r="C498" s="22" t="s">
        <v>2047</v>
      </c>
      <c r="D498" s="22" t="n">
        <v>732</v>
      </c>
      <c r="E498" s="22" t="s">
        <v>8279</v>
      </c>
      <c r="F498" s="22" t="s">
        <v>499</v>
      </c>
      <c r="G498" s="22" t="n">
        <v>24</v>
      </c>
      <c r="H498" s="22" t="s">
        <v>7696</v>
      </c>
      <c r="I498" s="22" t="s">
        <v>8601</v>
      </c>
      <c r="J498" s="22" t="n">
        <v>7.55</v>
      </c>
      <c r="K498" s="22" t="n">
        <v>1</v>
      </c>
      <c r="L498" s="22" t="s">
        <v>8629</v>
      </c>
      <c r="M498" s="23" t="n">
        <v>45133</v>
      </c>
      <c r="N498" s="23" t="n">
        <v>45135</v>
      </c>
      <c r="O498" s="22" t="n">
        <v>16</v>
      </c>
      <c r="P498" s="22"/>
      <c r="Q498" s="22"/>
      <c r="R498" s="22"/>
    </row>
    <row r="499" customFormat="false" ht="15" hidden="false" customHeight="false" outlineLevel="0" collapsed="false">
      <c r="A499" s="22" t="s">
        <v>9263</v>
      </c>
      <c r="B499" s="23" t="n">
        <v>45121</v>
      </c>
      <c r="C499" s="22" t="s">
        <v>4058</v>
      </c>
      <c r="D499" s="22" t="n">
        <v>1671</v>
      </c>
      <c r="E499" s="22" t="s">
        <v>8340</v>
      </c>
      <c r="F499" s="22" t="s">
        <v>188</v>
      </c>
      <c r="G499" s="22" t="n">
        <v>36</v>
      </c>
      <c r="H499" s="22" t="s">
        <v>7696</v>
      </c>
      <c r="I499" s="22" t="s">
        <v>8601</v>
      </c>
      <c r="J499" s="22" t="n">
        <v>7.55</v>
      </c>
      <c r="K499" s="22" t="n">
        <v>1</v>
      </c>
      <c r="L499" s="22" t="s">
        <v>8629</v>
      </c>
      <c r="M499" s="23" t="n">
        <v>45135</v>
      </c>
      <c r="N499" s="23" t="n">
        <v>45126</v>
      </c>
      <c r="O499" s="22" t="n">
        <v>5</v>
      </c>
      <c r="P499" s="22"/>
      <c r="Q499" s="22"/>
      <c r="R499" s="22"/>
    </row>
    <row r="500" customFormat="false" ht="15" hidden="false" customHeight="false" outlineLevel="0" collapsed="false">
      <c r="A500" s="22" t="s">
        <v>9264</v>
      </c>
      <c r="B500" s="23" t="n">
        <v>45124</v>
      </c>
      <c r="C500" s="22" t="s">
        <v>4550</v>
      </c>
      <c r="D500" s="22" t="n">
        <v>1912</v>
      </c>
      <c r="E500" s="22" t="s">
        <v>7841</v>
      </c>
      <c r="F500" s="22" t="s">
        <v>215</v>
      </c>
      <c r="G500" s="22" t="n">
        <v>28</v>
      </c>
      <c r="H500" s="22" t="s">
        <v>7696</v>
      </c>
      <c r="I500" s="22" t="s">
        <v>8601</v>
      </c>
      <c r="J500" s="22" t="n">
        <v>7.55</v>
      </c>
      <c r="K500" s="22" t="n">
        <v>1</v>
      </c>
      <c r="L500" s="22" t="s">
        <v>8605</v>
      </c>
      <c r="M500" s="23" t="n">
        <v>45138</v>
      </c>
      <c r="N500" s="23" t="n">
        <v>45137</v>
      </c>
      <c r="O500" s="22" t="n">
        <v>13</v>
      </c>
      <c r="P500" s="22"/>
      <c r="Q500" s="22" t="s">
        <v>9265</v>
      </c>
      <c r="R500" s="22"/>
    </row>
    <row r="501" customFormat="false" ht="15" hidden="false" customHeight="false" outlineLevel="0" collapsed="false">
      <c r="A501" s="22" t="s">
        <v>9266</v>
      </c>
      <c r="B501" s="23" t="n">
        <v>45123</v>
      </c>
      <c r="C501" s="22" t="s">
        <v>4595</v>
      </c>
      <c r="D501" s="22" t="n">
        <v>1934</v>
      </c>
      <c r="E501" s="22" t="s">
        <v>7043</v>
      </c>
      <c r="F501" s="22" t="s">
        <v>198</v>
      </c>
      <c r="G501" s="22" t="n">
        <v>24</v>
      </c>
      <c r="H501" s="22" t="s">
        <v>6575</v>
      </c>
      <c r="I501" s="22" t="s">
        <v>8601</v>
      </c>
      <c r="J501" s="22" t="n">
        <v>10.4</v>
      </c>
      <c r="K501" s="22" t="n">
        <v>2</v>
      </c>
      <c r="L501" s="22" t="s">
        <v>8605</v>
      </c>
      <c r="M501" s="23" t="n">
        <v>45133</v>
      </c>
      <c r="N501" s="23" t="n">
        <v>45136</v>
      </c>
      <c r="O501" s="22" t="n">
        <v>13</v>
      </c>
      <c r="P501" s="22"/>
      <c r="Q501" s="22" t="s">
        <v>9267</v>
      </c>
      <c r="R501" s="22"/>
    </row>
    <row r="502" customFormat="false" ht="15" hidden="false" customHeight="false" outlineLevel="0" collapsed="false">
      <c r="A502" s="22" t="s">
        <v>9268</v>
      </c>
      <c r="B502" s="23" t="n">
        <v>45110</v>
      </c>
      <c r="C502" s="22" t="s">
        <v>2469</v>
      </c>
      <c r="D502" s="22" t="n">
        <v>924</v>
      </c>
      <c r="E502" s="22" t="s">
        <v>7711</v>
      </c>
      <c r="F502" s="22" t="s">
        <v>215</v>
      </c>
      <c r="G502" s="22" t="n">
        <v>28</v>
      </c>
      <c r="H502" s="22" t="s">
        <v>7696</v>
      </c>
      <c r="I502" s="22" t="s">
        <v>8601</v>
      </c>
      <c r="J502" s="22" t="n">
        <v>7.55</v>
      </c>
      <c r="K502" s="22" t="n">
        <v>2</v>
      </c>
      <c r="L502" s="22" t="s">
        <v>8602</v>
      </c>
      <c r="M502" s="23" t="n">
        <v>45124</v>
      </c>
      <c r="N502" s="22"/>
      <c r="O502" s="22"/>
      <c r="P502" s="22" t="s">
        <v>8603</v>
      </c>
      <c r="Q502" s="22"/>
      <c r="R502" s="22"/>
    </row>
    <row r="503" customFormat="false" ht="15" hidden="false" customHeight="false" outlineLevel="0" collapsed="false">
      <c r="A503" s="22" t="s">
        <v>9269</v>
      </c>
      <c r="B503" s="23" t="n">
        <v>45117</v>
      </c>
      <c r="C503" s="22" t="s">
        <v>4713</v>
      </c>
      <c r="D503" s="22" t="n">
        <v>1990</v>
      </c>
      <c r="E503" s="22" t="s">
        <v>8494</v>
      </c>
      <c r="F503" s="22" t="s">
        <v>188</v>
      </c>
      <c r="G503" s="22" t="n">
        <v>36</v>
      </c>
      <c r="H503" s="22" t="s">
        <v>7696</v>
      </c>
      <c r="I503" s="22" t="s">
        <v>8601</v>
      </c>
      <c r="J503" s="22" t="n">
        <v>7.55</v>
      </c>
      <c r="K503" s="22" t="n">
        <v>1</v>
      </c>
      <c r="L503" s="22" t="s">
        <v>8605</v>
      </c>
      <c r="M503" s="23" t="n">
        <v>45131</v>
      </c>
      <c r="N503" s="23" t="n">
        <v>45133</v>
      </c>
      <c r="O503" s="22" t="n">
        <v>16</v>
      </c>
      <c r="P503" s="22"/>
      <c r="Q503" s="22" t="s">
        <v>9270</v>
      </c>
      <c r="R503" s="22"/>
    </row>
    <row r="504" customFormat="false" ht="15" hidden="false" customHeight="false" outlineLevel="0" collapsed="false">
      <c r="A504" s="22" t="s">
        <v>9271</v>
      </c>
      <c r="B504" s="23" t="n">
        <v>45132</v>
      </c>
      <c r="C504" s="22" t="s">
        <v>500</v>
      </c>
      <c r="D504" s="22" t="n">
        <v>115</v>
      </c>
      <c r="E504" s="22" t="s">
        <v>8001</v>
      </c>
      <c r="F504" s="22" t="s">
        <v>215</v>
      </c>
      <c r="G504" s="22" t="n">
        <v>45</v>
      </c>
      <c r="H504" s="22" t="s">
        <v>7696</v>
      </c>
      <c r="I504" s="22" t="s">
        <v>8601</v>
      </c>
      <c r="J504" s="22" t="n">
        <v>7.55</v>
      </c>
      <c r="K504" s="22" t="n">
        <v>1</v>
      </c>
      <c r="L504" s="22" t="s">
        <v>157</v>
      </c>
      <c r="M504" s="23" t="n">
        <v>45146</v>
      </c>
      <c r="N504" s="23" t="n">
        <v>45148</v>
      </c>
      <c r="O504" s="22" t="n">
        <v>16</v>
      </c>
      <c r="P504" s="22"/>
      <c r="Q504" s="22"/>
      <c r="R504" s="22"/>
    </row>
    <row r="505" customFormat="false" ht="15" hidden="false" customHeight="false" outlineLevel="0" collapsed="false">
      <c r="A505" s="22" t="s">
        <v>9272</v>
      </c>
      <c r="B505" s="23" t="n">
        <v>45134</v>
      </c>
      <c r="C505" s="22" t="s">
        <v>6043</v>
      </c>
      <c r="D505" s="22" t="n">
        <v>2652</v>
      </c>
      <c r="E505" s="22" t="s">
        <v>8099</v>
      </c>
      <c r="F505" s="22" t="s">
        <v>499</v>
      </c>
      <c r="G505" s="22" t="n">
        <v>24</v>
      </c>
      <c r="H505" s="22" t="s">
        <v>7696</v>
      </c>
      <c r="I505" s="22" t="s">
        <v>8601</v>
      </c>
      <c r="J505" s="22" t="n">
        <v>7.55</v>
      </c>
      <c r="K505" s="22" t="n">
        <v>1</v>
      </c>
      <c r="L505" s="22" t="s">
        <v>8602</v>
      </c>
      <c r="M505" s="23" t="n">
        <v>45148</v>
      </c>
      <c r="N505" s="22"/>
      <c r="O505" s="22"/>
      <c r="P505" s="22" t="s">
        <v>8603</v>
      </c>
      <c r="Q505" s="22"/>
      <c r="R505" s="22"/>
    </row>
    <row r="506" customFormat="false" ht="15" hidden="false" customHeight="false" outlineLevel="0" collapsed="false">
      <c r="A506" s="22" t="s">
        <v>9273</v>
      </c>
      <c r="B506" s="23" t="n">
        <v>45127</v>
      </c>
      <c r="C506" s="22" t="s">
        <v>5560</v>
      </c>
      <c r="D506" s="22" t="n">
        <v>2411</v>
      </c>
      <c r="E506" s="22" t="s">
        <v>7571</v>
      </c>
      <c r="F506" s="22" t="s">
        <v>159</v>
      </c>
      <c r="G506" s="22" t="n">
        <v>32</v>
      </c>
      <c r="H506" s="22" t="s">
        <v>6575</v>
      </c>
      <c r="I506" s="22" t="s">
        <v>8601</v>
      </c>
      <c r="J506" s="22" t="n">
        <v>10.4</v>
      </c>
      <c r="K506" s="22" t="n">
        <v>2</v>
      </c>
      <c r="L506" s="22" t="s">
        <v>8602</v>
      </c>
      <c r="M506" s="23" t="n">
        <v>45137</v>
      </c>
      <c r="N506" s="22"/>
      <c r="O506" s="22"/>
      <c r="P506" s="22" t="s">
        <v>8637</v>
      </c>
      <c r="Q506" s="22"/>
      <c r="R506" s="22"/>
    </row>
    <row r="507" customFormat="false" ht="15" hidden="false" customHeight="false" outlineLevel="0" collapsed="false">
      <c r="A507" s="22" t="s">
        <v>9274</v>
      </c>
      <c r="B507" s="23" t="n">
        <v>45114</v>
      </c>
      <c r="C507" s="22" t="s">
        <v>4785</v>
      </c>
      <c r="D507" s="22" t="n">
        <v>2026</v>
      </c>
      <c r="E507" s="22" t="s">
        <v>7072</v>
      </c>
      <c r="F507" s="22" t="s">
        <v>198</v>
      </c>
      <c r="G507" s="22" t="n">
        <v>32</v>
      </c>
      <c r="H507" s="22" t="s">
        <v>6575</v>
      </c>
      <c r="I507" s="22" t="s">
        <v>8601</v>
      </c>
      <c r="J507" s="22" t="n">
        <v>10.4</v>
      </c>
      <c r="K507" s="22" t="n">
        <v>2</v>
      </c>
      <c r="L507" s="22" t="s">
        <v>8605</v>
      </c>
      <c r="M507" s="23" t="n">
        <v>45124</v>
      </c>
      <c r="N507" s="23" t="n">
        <v>45126</v>
      </c>
      <c r="O507" s="22" t="n">
        <v>12</v>
      </c>
      <c r="P507" s="22"/>
      <c r="Q507" s="22" t="s">
        <v>9275</v>
      </c>
      <c r="R507" s="22"/>
    </row>
    <row r="508" customFormat="false" ht="15" hidden="false" customHeight="false" outlineLevel="0" collapsed="false">
      <c r="A508" s="22" t="s">
        <v>9276</v>
      </c>
      <c r="B508" s="23" t="n">
        <v>45135</v>
      </c>
      <c r="C508" s="22" t="s">
        <v>2947</v>
      </c>
      <c r="D508" s="22" t="n">
        <v>1139</v>
      </c>
      <c r="E508" s="22" t="s">
        <v>8472</v>
      </c>
      <c r="F508" s="22" t="s">
        <v>188</v>
      </c>
      <c r="G508" s="22" t="n">
        <v>45</v>
      </c>
      <c r="H508" s="22" t="s">
        <v>7696</v>
      </c>
      <c r="I508" s="22" t="s">
        <v>8601</v>
      </c>
      <c r="J508" s="22" t="n">
        <v>7.55</v>
      </c>
      <c r="K508" s="22" t="n">
        <v>1</v>
      </c>
      <c r="L508" s="22" t="s">
        <v>157</v>
      </c>
      <c r="M508" s="23" t="n">
        <v>45149</v>
      </c>
      <c r="N508" s="23" t="n">
        <v>45138</v>
      </c>
      <c r="O508" s="22" t="n">
        <v>3</v>
      </c>
      <c r="P508" s="22"/>
      <c r="Q508" s="22"/>
      <c r="R508" s="22"/>
    </row>
    <row r="509" customFormat="false" ht="15" hidden="false" customHeight="false" outlineLevel="0" collapsed="false">
      <c r="A509" s="22" t="s">
        <v>9277</v>
      </c>
      <c r="B509" s="23" t="n">
        <v>45144</v>
      </c>
      <c r="C509" s="22" t="s">
        <v>249</v>
      </c>
      <c r="D509" s="22" t="n">
        <v>29</v>
      </c>
      <c r="E509" s="22" t="s">
        <v>7724</v>
      </c>
      <c r="F509" s="22" t="s">
        <v>215</v>
      </c>
      <c r="G509" s="22" t="n">
        <v>32</v>
      </c>
      <c r="H509" s="22" t="s">
        <v>7696</v>
      </c>
      <c r="I509" s="22" t="s">
        <v>8601</v>
      </c>
      <c r="J509" s="22" t="n">
        <v>7.55</v>
      </c>
      <c r="K509" s="22" t="n">
        <v>1</v>
      </c>
      <c r="L509" s="22" t="s">
        <v>8602</v>
      </c>
      <c r="M509" s="23" t="n">
        <v>45158</v>
      </c>
      <c r="N509" s="22"/>
      <c r="O509" s="22"/>
      <c r="P509" s="22" t="s">
        <v>8637</v>
      </c>
      <c r="Q509" s="22"/>
      <c r="R509" s="22"/>
    </row>
    <row r="510" customFormat="false" ht="15" hidden="false" customHeight="false" outlineLevel="0" collapsed="false">
      <c r="A510" s="22" t="s">
        <v>9278</v>
      </c>
      <c r="B510" s="23" t="n">
        <v>45141</v>
      </c>
      <c r="C510" s="22" t="s">
        <v>3533</v>
      </c>
      <c r="D510" s="22" t="n">
        <v>1414</v>
      </c>
      <c r="E510" s="22" t="s">
        <v>8578</v>
      </c>
      <c r="F510" s="22" t="s">
        <v>188</v>
      </c>
      <c r="G510" s="22" t="n">
        <v>28</v>
      </c>
      <c r="H510" s="22" t="s">
        <v>7696</v>
      </c>
      <c r="I510" s="22" t="s">
        <v>8601</v>
      </c>
      <c r="J510" s="22" t="n">
        <v>7.55</v>
      </c>
      <c r="K510" s="22" t="n">
        <v>1</v>
      </c>
      <c r="L510" s="22" t="s">
        <v>8605</v>
      </c>
      <c r="M510" s="23" t="n">
        <v>45155</v>
      </c>
      <c r="N510" s="23" t="n">
        <v>45154</v>
      </c>
      <c r="O510" s="22" t="n">
        <v>13</v>
      </c>
      <c r="P510" s="22"/>
      <c r="Q510" s="22" t="s">
        <v>9222</v>
      </c>
      <c r="R510" s="22"/>
    </row>
    <row r="511" customFormat="false" ht="15" hidden="false" customHeight="false" outlineLevel="0" collapsed="false">
      <c r="A511" s="22" t="s">
        <v>9279</v>
      </c>
      <c r="B511" s="23" t="n">
        <v>45149</v>
      </c>
      <c r="C511" s="22" t="s">
        <v>3796</v>
      </c>
      <c r="D511" s="22" t="n">
        <v>1542</v>
      </c>
      <c r="E511" s="22" t="s">
        <v>7620</v>
      </c>
      <c r="F511" s="22" t="s">
        <v>159</v>
      </c>
      <c r="G511" s="22" t="n">
        <v>28</v>
      </c>
      <c r="H511" s="22" t="s">
        <v>6575</v>
      </c>
      <c r="I511" s="22" t="s">
        <v>8601</v>
      </c>
      <c r="J511" s="22" t="n">
        <v>10.4</v>
      </c>
      <c r="K511" s="22" t="n">
        <v>1</v>
      </c>
      <c r="L511" s="22" t="s">
        <v>8605</v>
      </c>
      <c r="M511" s="23" t="n">
        <v>45159</v>
      </c>
      <c r="N511" s="23" t="n">
        <v>45156</v>
      </c>
      <c r="O511" s="22" t="n">
        <v>7</v>
      </c>
      <c r="P511" s="22"/>
      <c r="Q511" s="22" t="s">
        <v>9280</v>
      </c>
      <c r="R511" s="22"/>
    </row>
    <row r="512" customFormat="false" ht="15" hidden="false" customHeight="false" outlineLevel="0" collapsed="false">
      <c r="A512" s="22" t="s">
        <v>9281</v>
      </c>
      <c r="B512" s="23" t="n">
        <v>45160</v>
      </c>
      <c r="C512" s="22" t="s">
        <v>3782</v>
      </c>
      <c r="D512" s="22" t="n">
        <v>1535</v>
      </c>
      <c r="E512" s="22" t="s">
        <v>8249</v>
      </c>
      <c r="F512" s="22" t="s">
        <v>499</v>
      </c>
      <c r="G512" s="22" t="n">
        <v>50</v>
      </c>
      <c r="H512" s="22" t="s">
        <v>7696</v>
      </c>
      <c r="I512" s="22" t="s">
        <v>8601</v>
      </c>
      <c r="J512" s="22" t="n">
        <v>7.55</v>
      </c>
      <c r="K512" s="22" t="n">
        <v>1</v>
      </c>
      <c r="L512" s="22" t="s">
        <v>8605</v>
      </c>
      <c r="M512" s="23" t="n">
        <v>45174</v>
      </c>
      <c r="N512" s="23" t="n">
        <v>45165</v>
      </c>
      <c r="O512" s="22" t="n">
        <v>5</v>
      </c>
      <c r="P512" s="22"/>
      <c r="Q512" s="22" t="s">
        <v>9282</v>
      </c>
      <c r="R512" s="22"/>
    </row>
    <row r="513" customFormat="false" ht="15" hidden="false" customHeight="false" outlineLevel="0" collapsed="false">
      <c r="A513" s="22" t="s">
        <v>9283</v>
      </c>
      <c r="B513" s="23" t="n">
        <v>45143</v>
      </c>
      <c r="C513" s="22" t="s">
        <v>3798</v>
      </c>
      <c r="D513" s="22" t="n">
        <v>1543</v>
      </c>
      <c r="E513" s="22" t="s">
        <v>8062</v>
      </c>
      <c r="F513" s="22" t="s">
        <v>499</v>
      </c>
      <c r="G513" s="22" t="n">
        <v>32</v>
      </c>
      <c r="H513" s="22" t="s">
        <v>7696</v>
      </c>
      <c r="I513" s="22" t="s">
        <v>8601</v>
      </c>
      <c r="J513" s="22" t="n">
        <v>7.55</v>
      </c>
      <c r="K513" s="22" t="n">
        <v>2</v>
      </c>
      <c r="L513" s="22" t="s">
        <v>8605</v>
      </c>
      <c r="M513" s="23" t="n">
        <v>45157</v>
      </c>
      <c r="N513" s="23" t="n">
        <v>45157</v>
      </c>
      <c r="O513" s="22" t="n">
        <v>14</v>
      </c>
      <c r="P513" s="22"/>
      <c r="Q513" s="22" t="s">
        <v>9284</v>
      </c>
      <c r="R513" s="22"/>
    </row>
    <row r="514" customFormat="false" ht="15" hidden="false" customHeight="false" outlineLevel="0" collapsed="false">
      <c r="A514" s="22" t="s">
        <v>9285</v>
      </c>
      <c r="B514" s="23" t="n">
        <v>45149</v>
      </c>
      <c r="C514" s="22" t="s">
        <v>1997</v>
      </c>
      <c r="D514" s="22" t="n">
        <v>710</v>
      </c>
      <c r="E514" s="22" t="s">
        <v>8425</v>
      </c>
      <c r="F514" s="22" t="s">
        <v>188</v>
      </c>
      <c r="G514" s="22" t="n">
        <v>60</v>
      </c>
      <c r="H514" s="22" t="s">
        <v>7696</v>
      </c>
      <c r="I514" s="22" t="s">
        <v>8601</v>
      </c>
      <c r="J514" s="22" t="n">
        <v>7.55</v>
      </c>
      <c r="K514" s="22" t="n">
        <v>1</v>
      </c>
      <c r="L514" s="22" t="s">
        <v>157</v>
      </c>
      <c r="M514" s="23" t="n">
        <v>45163</v>
      </c>
      <c r="N514" s="23" t="n">
        <v>45166</v>
      </c>
      <c r="O514" s="22" t="n">
        <v>17</v>
      </c>
      <c r="P514" s="22"/>
      <c r="Q514" s="22"/>
      <c r="R514" s="22"/>
    </row>
    <row r="515" customFormat="false" ht="15" hidden="false" customHeight="false" outlineLevel="0" collapsed="false">
      <c r="A515" s="22" t="s">
        <v>9286</v>
      </c>
      <c r="B515" s="23" t="n">
        <v>45147</v>
      </c>
      <c r="C515" s="22" t="s">
        <v>4878</v>
      </c>
      <c r="D515" s="22" t="n">
        <v>2071</v>
      </c>
      <c r="E515" s="22" t="s">
        <v>8090</v>
      </c>
      <c r="F515" s="22" t="s">
        <v>499</v>
      </c>
      <c r="G515" s="22" t="n">
        <v>60</v>
      </c>
      <c r="H515" s="22" t="s">
        <v>7696</v>
      </c>
      <c r="I515" s="22" t="s">
        <v>8601</v>
      </c>
      <c r="J515" s="22" t="n">
        <v>7.55</v>
      </c>
      <c r="K515" s="22" t="n">
        <v>1</v>
      </c>
      <c r="L515" s="22" t="s">
        <v>8608</v>
      </c>
      <c r="M515" s="23" t="n">
        <v>45161</v>
      </c>
      <c r="N515" s="23" t="n">
        <v>45164</v>
      </c>
      <c r="O515" s="22" t="n">
        <v>17</v>
      </c>
      <c r="P515" s="22"/>
      <c r="Q515" s="22"/>
      <c r="R515" s="22"/>
    </row>
    <row r="516" customFormat="false" ht="15" hidden="false" customHeight="false" outlineLevel="0" collapsed="false">
      <c r="A516" s="22" t="s">
        <v>9287</v>
      </c>
      <c r="B516" s="23" t="n">
        <v>45154</v>
      </c>
      <c r="C516" s="22" t="s">
        <v>2304</v>
      </c>
      <c r="D516" s="22" t="n">
        <v>847</v>
      </c>
      <c r="E516" s="22" t="s">
        <v>7710</v>
      </c>
      <c r="F516" s="22" t="s">
        <v>215</v>
      </c>
      <c r="G516" s="22" t="n">
        <v>28</v>
      </c>
      <c r="H516" s="22" t="s">
        <v>7696</v>
      </c>
      <c r="I516" s="22" t="s">
        <v>8601</v>
      </c>
      <c r="J516" s="22" t="n">
        <v>7.55</v>
      </c>
      <c r="K516" s="22" t="n">
        <v>2</v>
      </c>
      <c r="L516" s="22" t="s">
        <v>8602</v>
      </c>
      <c r="M516" s="23" t="n">
        <v>45168</v>
      </c>
      <c r="N516" s="22"/>
      <c r="O516" s="22"/>
      <c r="P516" s="22" t="s">
        <v>8618</v>
      </c>
      <c r="Q516" s="22"/>
      <c r="R516" s="22"/>
    </row>
    <row r="517" customFormat="false" ht="15" hidden="false" customHeight="false" outlineLevel="0" collapsed="false">
      <c r="A517" s="22" t="s">
        <v>9288</v>
      </c>
      <c r="B517" s="23" t="n">
        <v>45166</v>
      </c>
      <c r="C517" s="22" t="s">
        <v>2691</v>
      </c>
      <c r="D517" s="22" t="n">
        <v>1023</v>
      </c>
      <c r="E517" s="22" t="s">
        <v>8308</v>
      </c>
      <c r="F517" s="22" t="s">
        <v>499</v>
      </c>
      <c r="G517" s="22" t="n">
        <v>28</v>
      </c>
      <c r="H517" s="22" t="s">
        <v>7696</v>
      </c>
      <c r="I517" s="22" t="s">
        <v>8601</v>
      </c>
      <c r="J517" s="22" t="n">
        <v>7.55</v>
      </c>
      <c r="K517" s="22" t="n">
        <v>1</v>
      </c>
      <c r="L517" s="22" t="s">
        <v>8629</v>
      </c>
      <c r="M517" s="23" t="n">
        <v>45180</v>
      </c>
      <c r="N517" s="23" t="n">
        <v>45180</v>
      </c>
      <c r="O517" s="22" t="n">
        <v>14</v>
      </c>
      <c r="P517" s="22"/>
      <c r="Q517" s="22"/>
      <c r="R517" s="22"/>
    </row>
    <row r="518" customFormat="false" ht="15" hidden="false" customHeight="false" outlineLevel="0" collapsed="false">
      <c r="A518" s="22" t="s">
        <v>9289</v>
      </c>
      <c r="B518" s="23" t="n">
        <v>45147</v>
      </c>
      <c r="C518" s="22" t="s">
        <v>994</v>
      </c>
      <c r="D518" s="22" t="n">
        <v>297</v>
      </c>
      <c r="E518" s="22" t="s">
        <v>7481</v>
      </c>
      <c r="F518" s="22" t="s">
        <v>159</v>
      </c>
      <c r="G518" s="22" t="n">
        <v>28</v>
      </c>
      <c r="H518" s="22" t="s">
        <v>6575</v>
      </c>
      <c r="I518" s="22" t="s">
        <v>8601</v>
      </c>
      <c r="J518" s="22" t="n">
        <v>10.4</v>
      </c>
      <c r="K518" s="22" t="n">
        <v>1</v>
      </c>
      <c r="L518" s="22" t="s">
        <v>8602</v>
      </c>
      <c r="M518" s="23" t="n">
        <v>45157</v>
      </c>
      <c r="N518" s="22"/>
      <c r="O518" s="22"/>
      <c r="P518" s="22" t="s">
        <v>8618</v>
      </c>
      <c r="Q518" s="22"/>
      <c r="R518" s="22"/>
    </row>
    <row r="519" customFormat="false" ht="15" hidden="false" customHeight="false" outlineLevel="0" collapsed="false">
      <c r="A519" s="22" t="s">
        <v>9290</v>
      </c>
      <c r="B519" s="23" t="n">
        <v>45140</v>
      </c>
      <c r="C519" s="22" t="s">
        <v>3918</v>
      </c>
      <c r="D519" s="22" t="n">
        <v>1603</v>
      </c>
      <c r="E519" s="22" t="s">
        <v>8206</v>
      </c>
      <c r="F519" s="22" t="s">
        <v>499</v>
      </c>
      <c r="G519" s="22" t="n">
        <v>24</v>
      </c>
      <c r="H519" s="22" t="s">
        <v>7696</v>
      </c>
      <c r="I519" s="22" t="s">
        <v>8601</v>
      </c>
      <c r="J519" s="22" t="n">
        <v>7.55</v>
      </c>
      <c r="K519" s="22" t="n">
        <v>1</v>
      </c>
      <c r="L519" s="22" t="s">
        <v>8602</v>
      </c>
      <c r="M519" s="23" t="n">
        <v>45154</v>
      </c>
      <c r="N519" s="22"/>
      <c r="O519" s="22"/>
      <c r="P519" s="22" t="s">
        <v>8631</v>
      </c>
      <c r="Q519" s="22"/>
      <c r="R519" s="22"/>
    </row>
    <row r="520" customFormat="false" ht="15" hidden="false" customHeight="false" outlineLevel="0" collapsed="false">
      <c r="A520" s="22" t="s">
        <v>9291</v>
      </c>
      <c r="B520" s="23" t="n">
        <v>45158</v>
      </c>
      <c r="C520" s="22" t="s">
        <v>2337</v>
      </c>
      <c r="D520" s="22" t="n">
        <v>863</v>
      </c>
      <c r="E520" s="22" t="s">
        <v>6799</v>
      </c>
      <c r="F520" s="22" t="s">
        <v>198</v>
      </c>
      <c r="G520" s="22" t="n">
        <v>24</v>
      </c>
      <c r="H520" s="22" t="s">
        <v>6575</v>
      </c>
      <c r="I520" s="22" t="s">
        <v>8601</v>
      </c>
      <c r="J520" s="22" t="n">
        <v>10.4</v>
      </c>
      <c r="K520" s="22" t="n">
        <v>1</v>
      </c>
      <c r="L520" s="22" t="s">
        <v>157</v>
      </c>
      <c r="M520" s="23" t="n">
        <v>45168</v>
      </c>
      <c r="N520" s="23" t="n">
        <v>45171</v>
      </c>
      <c r="O520" s="22" t="n">
        <v>13</v>
      </c>
      <c r="P520" s="22"/>
      <c r="Q520" s="22"/>
      <c r="R520" s="22"/>
    </row>
    <row r="521" customFormat="false" ht="15" hidden="false" customHeight="false" outlineLevel="0" collapsed="false">
      <c r="A521" s="22" t="s">
        <v>9292</v>
      </c>
      <c r="B521" s="23" t="n">
        <v>45162</v>
      </c>
      <c r="C521" s="22" t="s">
        <v>2923</v>
      </c>
      <c r="D521" s="22" t="n">
        <v>1127</v>
      </c>
      <c r="E521" s="22" t="s">
        <v>7777</v>
      </c>
      <c r="F521" s="22" t="s">
        <v>215</v>
      </c>
      <c r="G521" s="22" t="n">
        <v>50</v>
      </c>
      <c r="H521" s="22" t="s">
        <v>7696</v>
      </c>
      <c r="I521" s="22" t="s">
        <v>8601</v>
      </c>
      <c r="J521" s="22" t="n">
        <v>7.55</v>
      </c>
      <c r="K521" s="22" t="n">
        <v>1</v>
      </c>
      <c r="L521" s="22" t="s">
        <v>8605</v>
      </c>
      <c r="M521" s="23" t="n">
        <v>45176</v>
      </c>
      <c r="N521" s="23" t="n">
        <v>45176</v>
      </c>
      <c r="O521" s="22" t="n">
        <v>14</v>
      </c>
      <c r="P521" s="22"/>
      <c r="Q521" s="22" t="s">
        <v>9225</v>
      </c>
      <c r="R521" s="22"/>
    </row>
    <row r="522" customFormat="false" ht="15" hidden="false" customHeight="false" outlineLevel="0" collapsed="false">
      <c r="A522" s="22" t="s">
        <v>9293</v>
      </c>
      <c r="B522" s="23" t="n">
        <v>45146</v>
      </c>
      <c r="C522" s="22" t="s">
        <v>4367</v>
      </c>
      <c r="D522" s="22" t="n">
        <v>1822</v>
      </c>
      <c r="E522" s="22" t="s">
        <v>7701</v>
      </c>
      <c r="F522" s="22" t="s">
        <v>215</v>
      </c>
      <c r="G522" s="22" t="n">
        <v>36</v>
      </c>
      <c r="H522" s="22" t="s">
        <v>7696</v>
      </c>
      <c r="I522" s="22" t="s">
        <v>8601</v>
      </c>
      <c r="J522" s="22" t="n">
        <v>7.55</v>
      </c>
      <c r="K522" s="22" t="n">
        <v>1</v>
      </c>
      <c r="L522" s="22" t="s">
        <v>8605</v>
      </c>
      <c r="M522" s="23" t="n">
        <v>45160</v>
      </c>
      <c r="N522" s="23" t="n">
        <v>45156</v>
      </c>
      <c r="O522" s="22" t="n">
        <v>10</v>
      </c>
      <c r="P522" s="22"/>
      <c r="Q522" s="22" t="s">
        <v>9294</v>
      </c>
      <c r="R522" s="22"/>
    </row>
    <row r="523" customFormat="false" ht="15" hidden="false" customHeight="false" outlineLevel="0" collapsed="false">
      <c r="A523" s="22" t="s">
        <v>9295</v>
      </c>
      <c r="B523" s="23" t="n">
        <v>45153</v>
      </c>
      <c r="C523" s="22" t="s">
        <v>2923</v>
      </c>
      <c r="D523" s="22" t="n">
        <v>1127</v>
      </c>
      <c r="E523" s="22" t="s">
        <v>8377</v>
      </c>
      <c r="F523" s="22" t="s">
        <v>188</v>
      </c>
      <c r="G523" s="22" t="n">
        <v>24</v>
      </c>
      <c r="H523" s="22" t="s">
        <v>7696</v>
      </c>
      <c r="I523" s="22" t="s">
        <v>8601</v>
      </c>
      <c r="J523" s="22" t="n">
        <v>7.55</v>
      </c>
      <c r="K523" s="22" t="n">
        <v>1</v>
      </c>
      <c r="L523" s="22" t="s">
        <v>157</v>
      </c>
      <c r="M523" s="23" t="n">
        <v>45167</v>
      </c>
      <c r="N523" s="23" t="n">
        <v>45168</v>
      </c>
      <c r="O523" s="22" t="n">
        <v>15</v>
      </c>
      <c r="P523" s="22"/>
      <c r="Q523" s="22"/>
      <c r="R523" s="22"/>
    </row>
    <row r="524" customFormat="false" ht="15" hidden="false" customHeight="false" outlineLevel="0" collapsed="false">
      <c r="A524" s="22" t="s">
        <v>9296</v>
      </c>
      <c r="B524" s="23" t="n">
        <v>45142</v>
      </c>
      <c r="C524" s="22" t="s">
        <v>5026</v>
      </c>
      <c r="D524" s="22" t="n">
        <v>2145</v>
      </c>
      <c r="E524" s="22" t="s">
        <v>8144</v>
      </c>
      <c r="F524" s="22" t="s">
        <v>499</v>
      </c>
      <c r="G524" s="22" t="n">
        <v>70</v>
      </c>
      <c r="H524" s="22" t="s">
        <v>7696</v>
      </c>
      <c r="I524" s="22" t="s">
        <v>8601</v>
      </c>
      <c r="J524" s="22" t="n">
        <v>7.55</v>
      </c>
      <c r="K524" s="22" t="n">
        <v>1</v>
      </c>
      <c r="L524" s="22" t="s">
        <v>8605</v>
      </c>
      <c r="M524" s="23" t="n">
        <v>45156</v>
      </c>
      <c r="N524" s="23" t="n">
        <v>45146</v>
      </c>
      <c r="O524" s="22" t="n">
        <v>4</v>
      </c>
      <c r="P524" s="22"/>
      <c r="Q524" s="22" t="s">
        <v>9089</v>
      </c>
      <c r="R524" s="22"/>
    </row>
    <row r="525" customFormat="false" ht="15" hidden="false" customHeight="false" outlineLevel="0" collapsed="false">
      <c r="A525" s="22" t="s">
        <v>9297</v>
      </c>
      <c r="B525" s="23" t="n">
        <v>45160</v>
      </c>
      <c r="C525" s="22" t="s">
        <v>5042</v>
      </c>
      <c r="D525" s="22" t="n">
        <v>2153</v>
      </c>
      <c r="E525" s="22" t="s">
        <v>7752</v>
      </c>
      <c r="F525" s="22" t="s">
        <v>215</v>
      </c>
      <c r="G525" s="22" t="n">
        <v>28</v>
      </c>
      <c r="H525" s="22" t="s">
        <v>7696</v>
      </c>
      <c r="I525" s="22" t="s">
        <v>8601</v>
      </c>
      <c r="J525" s="22" t="n">
        <v>7.55</v>
      </c>
      <c r="K525" s="22" t="n">
        <v>1</v>
      </c>
      <c r="L525" s="22" t="s">
        <v>8602</v>
      </c>
      <c r="M525" s="23" t="n">
        <v>45174</v>
      </c>
      <c r="N525" s="22"/>
      <c r="O525" s="22"/>
      <c r="P525" s="22" t="s">
        <v>8637</v>
      </c>
      <c r="Q525" s="22"/>
      <c r="R525" s="22"/>
    </row>
    <row r="526" customFormat="false" ht="15" hidden="false" customHeight="false" outlineLevel="0" collapsed="false">
      <c r="A526" s="22" t="s">
        <v>9298</v>
      </c>
      <c r="B526" s="23" t="n">
        <v>45142</v>
      </c>
      <c r="C526" s="22" t="s">
        <v>6313</v>
      </c>
      <c r="D526" s="22" t="n">
        <v>2787</v>
      </c>
      <c r="E526" s="22" t="s">
        <v>7935</v>
      </c>
      <c r="F526" s="22" t="s">
        <v>215</v>
      </c>
      <c r="G526" s="22" t="n">
        <v>28</v>
      </c>
      <c r="H526" s="22" t="s">
        <v>7696</v>
      </c>
      <c r="I526" s="22" t="s">
        <v>8601</v>
      </c>
      <c r="J526" s="22" t="n">
        <v>7.55</v>
      </c>
      <c r="K526" s="22" t="n">
        <v>1</v>
      </c>
      <c r="L526" s="22" t="s">
        <v>8729</v>
      </c>
      <c r="M526" s="23" t="n">
        <v>45156</v>
      </c>
      <c r="N526" s="23" t="n">
        <v>45154</v>
      </c>
      <c r="O526" s="22" t="n">
        <v>12</v>
      </c>
      <c r="P526" s="22"/>
      <c r="Q526" s="22"/>
      <c r="R526" s="22"/>
    </row>
    <row r="527" customFormat="false" ht="15" hidden="false" customHeight="false" outlineLevel="0" collapsed="false">
      <c r="A527" s="22" t="s">
        <v>9299</v>
      </c>
      <c r="B527" s="23" t="n">
        <v>45160</v>
      </c>
      <c r="C527" s="22" t="s">
        <v>4014</v>
      </c>
      <c r="D527" s="22" t="n">
        <v>1650</v>
      </c>
      <c r="E527" s="22" t="s">
        <v>7783</v>
      </c>
      <c r="F527" s="22" t="s">
        <v>215</v>
      </c>
      <c r="G527" s="22" t="n">
        <v>24</v>
      </c>
      <c r="H527" s="22" t="s">
        <v>7696</v>
      </c>
      <c r="I527" s="22" t="s">
        <v>8601</v>
      </c>
      <c r="J527" s="22" t="n">
        <v>7.55</v>
      </c>
      <c r="K527" s="22" t="n">
        <v>1</v>
      </c>
      <c r="L527" s="22" t="s">
        <v>8602</v>
      </c>
      <c r="M527" s="23" t="n">
        <v>45174</v>
      </c>
      <c r="N527" s="22"/>
      <c r="O527" s="22"/>
      <c r="P527" s="22" t="s">
        <v>8631</v>
      </c>
      <c r="Q527" s="22"/>
      <c r="R527" s="22"/>
    </row>
    <row r="528" customFormat="false" ht="15" hidden="false" customHeight="false" outlineLevel="0" collapsed="false">
      <c r="A528" s="22" t="s">
        <v>9300</v>
      </c>
      <c r="B528" s="23" t="n">
        <v>45143</v>
      </c>
      <c r="C528" s="22" t="s">
        <v>2208</v>
      </c>
      <c r="D528" s="22" t="n">
        <v>804</v>
      </c>
      <c r="E528" s="22" t="s">
        <v>7507</v>
      </c>
      <c r="F528" s="22" t="s">
        <v>159</v>
      </c>
      <c r="G528" s="22" t="n">
        <v>28</v>
      </c>
      <c r="H528" s="22" t="s">
        <v>6575</v>
      </c>
      <c r="I528" s="22" t="s">
        <v>8601</v>
      </c>
      <c r="J528" s="22" t="n">
        <v>10.4</v>
      </c>
      <c r="K528" s="22" t="n">
        <v>2</v>
      </c>
      <c r="L528" s="22" t="s">
        <v>8605</v>
      </c>
      <c r="M528" s="23" t="n">
        <v>45153</v>
      </c>
      <c r="N528" s="23" t="n">
        <v>45155</v>
      </c>
      <c r="O528" s="22" t="n">
        <v>12</v>
      </c>
      <c r="P528" s="22"/>
      <c r="Q528" s="22" t="s">
        <v>9301</v>
      </c>
      <c r="R528" s="22"/>
    </row>
    <row r="529" customFormat="false" ht="15" hidden="false" customHeight="false" outlineLevel="0" collapsed="false">
      <c r="A529" s="22" t="s">
        <v>9302</v>
      </c>
      <c r="B529" s="23" t="n">
        <v>45148</v>
      </c>
      <c r="C529" s="22" t="s">
        <v>1156</v>
      </c>
      <c r="D529" s="22" t="n">
        <v>360</v>
      </c>
      <c r="E529" s="22" t="s">
        <v>6902</v>
      </c>
      <c r="F529" s="22" t="s">
        <v>198</v>
      </c>
      <c r="G529" s="22" t="n">
        <v>40</v>
      </c>
      <c r="H529" s="22" t="s">
        <v>6575</v>
      </c>
      <c r="I529" s="22" t="s">
        <v>8601</v>
      </c>
      <c r="J529" s="22" t="n">
        <v>10.4</v>
      </c>
      <c r="K529" s="22" t="n">
        <v>1</v>
      </c>
      <c r="L529" s="22" t="s">
        <v>8602</v>
      </c>
      <c r="M529" s="23" t="n">
        <v>45158</v>
      </c>
      <c r="N529" s="22"/>
      <c r="O529" s="22"/>
      <c r="P529" s="22" t="s">
        <v>8603</v>
      </c>
      <c r="Q529" s="22"/>
      <c r="R529" s="22"/>
    </row>
    <row r="530" customFormat="false" ht="15" hidden="false" customHeight="false" outlineLevel="0" collapsed="false">
      <c r="A530" s="22" t="s">
        <v>9303</v>
      </c>
      <c r="B530" s="23" t="n">
        <v>45159</v>
      </c>
      <c r="C530" s="22" t="s">
        <v>6378</v>
      </c>
      <c r="D530" s="22" t="n">
        <v>2821</v>
      </c>
      <c r="E530" s="22" t="s">
        <v>8157</v>
      </c>
      <c r="F530" s="22" t="s">
        <v>499</v>
      </c>
      <c r="G530" s="22" t="n">
        <v>80</v>
      </c>
      <c r="H530" s="22" t="s">
        <v>7696</v>
      </c>
      <c r="I530" s="22" t="s">
        <v>8601</v>
      </c>
      <c r="J530" s="22" t="n">
        <v>7.55</v>
      </c>
      <c r="K530" s="22" t="n">
        <v>1</v>
      </c>
      <c r="L530" s="22" t="s">
        <v>8605</v>
      </c>
      <c r="M530" s="23" t="n">
        <v>45173</v>
      </c>
      <c r="N530" s="23" t="n">
        <v>45171</v>
      </c>
      <c r="O530" s="22" t="n">
        <v>12</v>
      </c>
      <c r="P530" s="22"/>
      <c r="Q530" s="22" t="s">
        <v>9304</v>
      </c>
      <c r="R530" s="22"/>
    </row>
    <row r="531" customFormat="false" ht="15" hidden="false" customHeight="false" outlineLevel="0" collapsed="false">
      <c r="A531" s="22" t="s">
        <v>9305</v>
      </c>
      <c r="B531" s="23" t="n">
        <v>45143</v>
      </c>
      <c r="C531" s="22" t="s">
        <v>1173</v>
      </c>
      <c r="D531" s="22" t="n">
        <v>367</v>
      </c>
      <c r="E531" s="22" t="s">
        <v>8226</v>
      </c>
      <c r="F531" s="22" t="s">
        <v>499</v>
      </c>
      <c r="G531" s="22" t="n">
        <v>32</v>
      </c>
      <c r="H531" s="22" t="s">
        <v>7696</v>
      </c>
      <c r="I531" s="22" t="s">
        <v>8601</v>
      </c>
      <c r="J531" s="22" t="n">
        <v>7.55</v>
      </c>
      <c r="K531" s="22" t="n">
        <v>1</v>
      </c>
      <c r="L531" s="22" t="s">
        <v>8602</v>
      </c>
      <c r="M531" s="23" t="n">
        <v>45157</v>
      </c>
      <c r="N531" s="22"/>
      <c r="O531" s="22"/>
      <c r="P531" s="22" t="s">
        <v>8603</v>
      </c>
      <c r="Q531" s="22"/>
      <c r="R531" s="22"/>
    </row>
    <row r="532" customFormat="false" ht="15" hidden="false" customHeight="false" outlineLevel="0" collapsed="false">
      <c r="A532" s="22" t="s">
        <v>9306</v>
      </c>
      <c r="B532" s="23" t="n">
        <v>45154</v>
      </c>
      <c r="C532" s="22" t="s">
        <v>411</v>
      </c>
      <c r="D532" s="22" t="n">
        <v>85</v>
      </c>
      <c r="E532" s="22" t="s">
        <v>6785</v>
      </c>
      <c r="F532" s="22" t="s">
        <v>198</v>
      </c>
      <c r="G532" s="22" t="n">
        <v>24</v>
      </c>
      <c r="H532" s="22" t="s">
        <v>6575</v>
      </c>
      <c r="I532" s="22" t="s">
        <v>8601</v>
      </c>
      <c r="J532" s="22" t="n">
        <v>10.4</v>
      </c>
      <c r="K532" s="22" t="n">
        <v>1</v>
      </c>
      <c r="L532" s="22" t="s">
        <v>157</v>
      </c>
      <c r="M532" s="23" t="n">
        <v>45164</v>
      </c>
      <c r="N532" s="23" t="n">
        <v>45162</v>
      </c>
      <c r="O532" s="22" t="n">
        <v>8</v>
      </c>
      <c r="P532" s="22"/>
      <c r="Q532" s="22"/>
      <c r="R532" s="22"/>
    </row>
    <row r="533" customFormat="false" ht="15" hidden="false" customHeight="false" outlineLevel="0" collapsed="false">
      <c r="A533" s="22" t="s">
        <v>9307</v>
      </c>
      <c r="B533" s="23" t="n">
        <v>45148</v>
      </c>
      <c r="C533" s="22" t="s">
        <v>4131</v>
      </c>
      <c r="D533" s="22" t="n">
        <v>1707</v>
      </c>
      <c r="E533" s="22" t="s">
        <v>7919</v>
      </c>
      <c r="F533" s="22" t="s">
        <v>215</v>
      </c>
      <c r="G533" s="22" t="n">
        <v>45</v>
      </c>
      <c r="H533" s="22" t="s">
        <v>7696</v>
      </c>
      <c r="I533" s="22" t="s">
        <v>8601</v>
      </c>
      <c r="J533" s="22" t="n">
        <v>7.55</v>
      </c>
      <c r="K533" s="22" t="n">
        <v>1</v>
      </c>
      <c r="L533" s="22" t="s">
        <v>8605</v>
      </c>
      <c r="M533" s="23" t="n">
        <v>45162</v>
      </c>
      <c r="N533" s="23" t="n">
        <v>45164</v>
      </c>
      <c r="O533" s="22" t="n">
        <v>16</v>
      </c>
      <c r="P533" s="22"/>
      <c r="Q533" s="22" t="s">
        <v>9308</v>
      </c>
      <c r="R533" s="22"/>
    </row>
    <row r="534" customFormat="false" ht="15" hidden="false" customHeight="false" outlineLevel="0" collapsed="false">
      <c r="A534" s="22" t="s">
        <v>9309</v>
      </c>
      <c r="B534" s="23" t="n">
        <v>45156</v>
      </c>
      <c r="C534" s="22" t="s">
        <v>4308</v>
      </c>
      <c r="D534" s="22" t="n">
        <v>1793</v>
      </c>
      <c r="E534" s="22" t="s">
        <v>7949</v>
      </c>
      <c r="F534" s="22" t="s">
        <v>215</v>
      </c>
      <c r="G534" s="22" t="n">
        <v>40</v>
      </c>
      <c r="H534" s="22" t="s">
        <v>7696</v>
      </c>
      <c r="I534" s="22" t="s">
        <v>8601</v>
      </c>
      <c r="J534" s="22" t="n">
        <v>7.55</v>
      </c>
      <c r="K534" s="22" t="n">
        <v>2</v>
      </c>
      <c r="L534" s="22" t="s">
        <v>8602</v>
      </c>
      <c r="M534" s="23" t="n">
        <v>45170</v>
      </c>
      <c r="N534" s="22"/>
      <c r="O534" s="22"/>
      <c r="P534" s="22" t="s">
        <v>8603</v>
      </c>
      <c r="Q534" s="22"/>
      <c r="R534" s="22"/>
    </row>
    <row r="535" customFormat="false" ht="15" hidden="false" customHeight="false" outlineLevel="0" collapsed="false">
      <c r="A535" s="22" t="s">
        <v>9310</v>
      </c>
      <c r="B535" s="23" t="n">
        <v>45139</v>
      </c>
      <c r="C535" s="22" t="s">
        <v>3709</v>
      </c>
      <c r="D535" s="22" t="n">
        <v>1500</v>
      </c>
      <c r="E535" s="22" t="s">
        <v>6790</v>
      </c>
      <c r="F535" s="22" t="s">
        <v>198</v>
      </c>
      <c r="G535" s="22" t="n">
        <v>24</v>
      </c>
      <c r="H535" s="22" t="s">
        <v>6575</v>
      </c>
      <c r="I535" s="22" t="s">
        <v>8601</v>
      </c>
      <c r="J535" s="22" t="n">
        <v>10.4</v>
      </c>
      <c r="K535" s="22" t="n">
        <v>2</v>
      </c>
      <c r="L535" s="22" t="s">
        <v>157</v>
      </c>
      <c r="M535" s="23" t="n">
        <v>45149</v>
      </c>
      <c r="N535" s="23" t="n">
        <v>45152</v>
      </c>
      <c r="O535" s="22" t="n">
        <v>13</v>
      </c>
      <c r="P535" s="22"/>
      <c r="Q535" s="22"/>
      <c r="R535" s="22"/>
    </row>
    <row r="536" customFormat="false" ht="15" hidden="false" customHeight="false" outlineLevel="0" collapsed="false">
      <c r="A536" s="22" t="s">
        <v>9311</v>
      </c>
      <c r="B536" s="23" t="n">
        <v>45150</v>
      </c>
      <c r="C536" s="22" t="s">
        <v>3775</v>
      </c>
      <c r="D536" s="22" t="n">
        <v>1532</v>
      </c>
      <c r="E536" s="22" t="s">
        <v>7325</v>
      </c>
      <c r="F536" s="22" t="s">
        <v>159</v>
      </c>
      <c r="G536" s="22" t="n">
        <v>28</v>
      </c>
      <c r="H536" s="22" t="s">
        <v>6575</v>
      </c>
      <c r="I536" s="22" t="s">
        <v>8601</v>
      </c>
      <c r="J536" s="22" t="n">
        <v>10.4</v>
      </c>
      <c r="K536" s="22" t="n">
        <v>1</v>
      </c>
      <c r="L536" s="22" t="s">
        <v>8629</v>
      </c>
      <c r="M536" s="23" t="n">
        <v>45160</v>
      </c>
      <c r="N536" s="23" t="n">
        <v>45157</v>
      </c>
      <c r="O536" s="22" t="n">
        <v>7</v>
      </c>
      <c r="P536" s="22"/>
      <c r="Q536" s="22"/>
      <c r="R536" s="22"/>
    </row>
    <row r="537" customFormat="false" ht="15" hidden="false" customHeight="false" outlineLevel="0" collapsed="false">
      <c r="A537" s="22" t="s">
        <v>9312</v>
      </c>
      <c r="B537" s="23" t="n">
        <v>45145</v>
      </c>
      <c r="C537" s="22" t="s">
        <v>2517</v>
      </c>
      <c r="D537" s="22" t="n">
        <v>945</v>
      </c>
      <c r="E537" s="22" t="s">
        <v>7232</v>
      </c>
      <c r="F537" s="22" t="s">
        <v>198</v>
      </c>
      <c r="G537" s="22" t="n">
        <v>32</v>
      </c>
      <c r="H537" s="22" t="s">
        <v>6575</v>
      </c>
      <c r="I537" s="22" t="s">
        <v>8601</v>
      </c>
      <c r="J537" s="22" t="n">
        <v>10.4</v>
      </c>
      <c r="K537" s="22" t="n">
        <v>1</v>
      </c>
      <c r="L537" s="22" t="s">
        <v>8629</v>
      </c>
      <c r="M537" s="23" t="n">
        <v>45155</v>
      </c>
      <c r="N537" s="23" t="n">
        <v>45155</v>
      </c>
      <c r="O537" s="22" t="n">
        <v>10</v>
      </c>
      <c r="P537" s="22"/>
      <c r="Q537" s="22"/>
      <c r="R537" s="22"/>
    </row>
    <row r="538" customFormat="false" ht="15" hidden="false" customHeight="false" outlineLevel="0" collapsed="false">
      <c r="A538" s="22" t="s">
        <v>9313</v>
      </c>
      <c r="B538" s="23" t="n">
        <v>45166</v>
      </c>
      <c r="C538" s="22" t="s">
        <v>2999</v>
      </c>
      <c r="D538" s="22" t="n">
        <v>1162</v>
      </c>
      <c r="E538" s="22" t="s">
        <v>7622</v>
      </c>
      <c r="F538" s="22" t="s">
        <v>159</v>
      </c>
      <c r="G538" s="22" t="n">
        <v>28</v>
      </c>
      <c r="H538" s="22" t="s">
        <v>6575</v>
      </c>
      <c r="I538" s="22" t="s">
        <v>8601</v>
      </c>
      <c r="J538" s="22" t="n">
        <v>10.4</v>
      </c>
      <c r="K538" s="22" t="n">
        <v>1</v>
      </c>
      <c r="L538" s="22" t="s">
        <v>8605</v>
      </c>
      <c r="M538" s="23" t="n">
        <v>45176</v>
      </c>
      <c r="N538" s="23" t="n">
        <v>45169</v>
      </c>
      <c r="O538" s="22" t="n">
        <v>3</v>
      </c>
      <c r="P538" s="22"/>
      <c r="Q538" s="22" t="s">
        <v>9314</v>
      </c>
      <c r="R538" s="22"/>
    </row>
    <row r="539" customFormat="false" ht="15" hidden="false" customHeight="false" outlineLevel="0" collapsed="false">
      <c r="A539" s="22" t="s">
        <v>9315</v>
      </c>
      <c r="B539" s="23" t="n">
        <v>45150</v>
      </c>
      <c r="C539" s="22" t="s">
        <v>842</v>
      </c>
      <c r="D539" s="22" t="n">
        <v>239</v>
      </c>
      <c r="E539" s="22" t="s">
        <v>8093</v>
      </c>
      <c r="F539" s="22" t="s">
        <v>499</v>
      </c>
      <c r="G539" s="22" t="n">
        <v>60</v>
      </c>
      <c r="H539" s="22" t="s">
        <v>7696</v>
      </c>
      <c r="I539" s="22" t="s">
        <v>8601</v>
      </c>
      <c r="J539" s="22" t="n">
        <v>7.55</v>
      </c>
      <c r="K539" s="22" t="n">
        <v>1</v>
      </c>
      <c r="L539" s="22" t="s">
        <v>157</v>
      </c>
      <c r="M539" s="23" t="n">
        <v>45164</v>
      </c>
      <c r="N539" s="23" t="n">
        <v>45166</v>
      </c>
      <c r="O539" s="22" t="n">
        <v>16</v>
      </c>
      <c r="P539" s="22"/>
      <c r="Q539" s="22"/>
      <c r="R539" s="22"/>
    </row>
    <row r="540" customFormat="false" ht="15" hidden="false" customHeight="false" outlineLevel="0" collapsed="false">
      <c r="A540" s="22" t="s">
        <v>9316</v>
      </c>
      <c r="B540" s="23" t="n">
        <v>45165</v>
      </c>
      <c r="C540" s="22" t="s">
        <v>4926</v>
      </c>
      <c r="D540" s="22" t="n">
        <v>2096</v>
      </c>
      <c r="E540" s="22" t="s">
        <v>8090</v>
      </c>
      <c r="F540" s="22" t="s">
        <v>499</v>
      </c>
      <c r="G540" s="22" t="n">
        <v>60</v>
      </c>
      <c r="H540" s="22" t="s">
        <v>7696</v>
      </c>
      <c r="I540" s="22" t="s">
        <v>8601</v>
      </c>
      <c r="J540" s="22" t="n">
        <v>7.55</v>
      </c>
      <c r="K540" s="22" t="n">
        <v>1</v>
      </c>
      <c r="L540" s="22" t="s">
        <v>8605</v>
      </c>
      <c r="M540" s="23" t="n">
        <v>45179</v>
      </c>
      <c r="N540" s="23" t="n">
        <v>45178</v>
      </c>
      <c r="O540" s="22" t="n">
        <v>13</v>
      </c>
      <c r="P540" s="22"/>
      <c r="Q540" s="22" t="s">
        <v>9058</v>
      </c>
      <c r="R540" s="22"/>
    </row>
    <row r="541" customFormat="false" ht="15" hidden="false" customHeight="false" outlineLevel="0" collapsed="false">
      <c r="A541" s="22" t="s">
        <v>9317</v>
      </c>
      <c r="B541" s="23" t="n">
        <v>45139</v>
      </c>
      <c r="C541" s="22" t="s">
        <v>1805</v>
      </c>
      <c r="D541" s="22" t="n">
        <v>627</v>
      </c>
      <c r="E541" s="22" t="s">
        <v>8146</v>
      </c>
      <c r="F541" s="22" t="s">
        <v>499</v>
      </c>
      <c r="G541" s="22" t="n">
        <v>24</v>
      </c>
      <c r="H541" s="22" t="s">
        <v>7696</v>
      </c>
      <c r="I541" s="22" t="s">
        <v>8601</v>
      </c>
      <c r="J541" s="22" t="n">
        <v>7.55</v>
      </c>
      <c r="K541" s="22" t="n">
        <v>1</v>
      </c>
      <c r="L541" s="22" t="s">
        <v>8729</v>
      </c>
      <c r="M541" s="23" t="n">
        <v>45153</v>
      </c>
      <c r="N541" s="23" t="n">
        <v>45141</v>
      </c>
      <c r="O541" s="22" t="n">
        <v>2</v>
      </c>
      <c r="P541" s="22"/>
      <c r="Q541" s="22"/>
      <c r="R541" s="22"/>
    </row>
    <row r="542" customFormat="false" ht="15" hidden="false" customHeight="false" outlineLevel="0" collapsed="false">
      <c r="A542" s="22" t="s">
        <v>9318</v>
      </c>
      <c r="B542" s="23" t="n">
        <v>45187</v>
      </c>
      <c r="C542" s="22" t="s">
        <v>5237</v>
      </c>
      <c r="D542" s="22" t="n">
        <v>2249</v>
      </c>
      <c r="E542" s="22" t="s">
        <v>7859</v>
      </c>
      <c r="F542" s="22" t="s">
        <v>215</v>
      </c>
      <c r="G542" s="22" t="n">
        <v>50</v>
      </c>
      <c r="H542" s="22" t="s">
        <v>7696</v>
      </c>
      <c r="I542" s="22" t="s">
        <v>8601</v>
      </c>
      <c r="J542" s="22" t="n">
        <v>7.55</v>
      </c>
      <c r="K542" s="22" t="n">
        <v>1</v>
      </c>
      <c r="L542" s="22" t="s">
        <v>8602</v>
      </c>
      <c r="M542" s="23" t="n">
        <v>45201</v>
      </c>
      <c r="N542" s="22"/>
      <c r="O542" s="22"/>
      <c r="P542" s="22" t="s">
        <v>8618</v>
      </c>
      <c r="Q542" s="22"/>
      <c r="R542" s="22"/>
    </row>
    <row r="543" customFormat="false" ht="15" hidden="false" customHeight="false" outlineLevel="0" collapsed="false">
      <c r="A543" s="22" t="s">
        <v>9319</v>
      </c>
      <c r="B543" s="23" t="n">
        <v>45183</v>
      </c>
      <c r="C543" s="22" t="s">
        <v>4344</v>
      </c>
      <c r="D543" s="22" t="n">
        <v>1811</v>
      </c>
      <c r="E543" s="22" t="s">
        <v>6860</v>
      </c>
      <c r="F543" s="22" t="s">
        <v>198</v>
      </c>
      <c r="G543" s="22" t="n">
        <v>40</v>
      </c>
      <c r="H543" s="22" t="s">
        <v>6575</v>
      </c>
      <c r="I543" s="22" t="s">
        <v>8601</v>
      </c>
      <c r="J543" s="22" t="n">
        <v>10.4</v>
      </c>
      <c r="K543" s="22" t="n">
        <v>1</v>
      </c>
      <c r="L543" s="22" t="s">
        <v>8629</v>
      </c>
      <c r="M543" s="23" t="n">
        <v>45193</v>
      </c>
      <c r="N543" s="23" t="n">
        <v>45186</v>
      </c>
      <c r="O543" s="22" t="n">
        <v>3</v>
      </c>
      <c r="P543" s="22"/>
      <c r="Q543" s="22"/>
      <c r="R543" s="22"/>
    </row>
    <row r="544" customFormat="false" ht="15" hidden="false" customHeight="false" outlineLevel="0" collapsed="false">
      <c r="A544" s="22" t="s">
        <v>9320</v>
      </c>
      <c r="B544" s="23" t="n">
        <v>45194</v>
      </c>
      <c r="C544" s="22" t="s">
        <v>1035</v>
      </c>
      <c r="D544" s="22" t="n">
        <v>313</v>
      </c>
      <c r="E544" s="22" t="s">
        <v>8110</v>
      </c>
      <c r="F544" s="22" t="s">
        <v>499</v>
      </c>
      <c r="G544" s="22" t="n">
        <v>60</v>
      </c>
      <c r="H544" s="22" t="s">
        <v>7696</v>
      </c>
      <c r="I544" s="22" t="s">
        <v>8601</v>
      </c>
      <c r="J544" s="22" t="n">
        <v>7.55</v>
      </c>
      <c r="K544" s="22" t="n">
        <v>2</v>
      </c>
      <c r="L544" s="22" t="s">
        <v>157</v>
      </c>
      <c r="M544" s="23" t="n">
        <v>45208</v>
      </c>
      <c r="N544" s="23" t="n">
        <v>45201</v>
      </c>
      <c r="O544" s="22" t="n">
        <v>7</v>
      </c>
      <c r="P544" s="22"/>
      <c r="Q544" s="22"/>
      <c r="R544" s="22"/>
    </row>
    <row r="545" customFormat="false" ht="15" hidden="false" customHeight="false" outlineLevel="0" collapsed="false">
      <c r="A545" s="22" t="s">
        <v>9321</v>
      </c>
      <c r="B545" s="23" t="n">
        <v>45187</v>
      </c>
      <c r="C545" s="22" t="s">
        <v>4256</v>
      </c>
      <c r="D545" s="22" t="n">
        <v>1768</v>
      </c>
      <c r="E545" s="22" t="s">
        <v>7379</v>
      </c>
      <c r="F545" s="22" t="s">
        <v>159</v>
      </c>
      <c r="G545" s="22" t="n">
        <v>28</v>
      </c>
      <c r="H545" s="22" t="s">
        <v>6575</v>
      </c>
      <c r="I545" s="22" t="s">
        <v>8601</v>
      </c>
      <c r="J545" s="22" t="n">
        <v>10.4</v>
      </c>
      <c r="K545" s="22" t="n">
        <v>1</v>
      </c>
      <c r="L545" s="22" t="s">
        <v>8629</v>
      </c>
      <c r="M545" s="23" t="n">
        <v>45197</v>
      </c>
      <c r="N545" s="23" t="n">
        <v>45189</v>
      </c>
      <c r="O545" s="22" t="n">
        <v>2</v>
      </c>
      <c r="P545" s="22"/>
      <c r="Q545" s="22"/>
      <c r="R545" s="22"/>
    </row>
    <row r="546" customFormat="false" ht="15" hidden="false" customHeight="false" outlineLevel="0" collapsed="false">
      <c r="A546" s="22" t="s">
        <v>9322</v>
      </c>
      <c r="B546" s="23" t="n">
        <v>45192</v>
      </c>
      <c r="C546" s="22" t="s">
        <v>5371</v>
      </c>
      <c r="D546" s="22" t="n">
        <v>2316</v>
      </c>
      <c r="E546" s="22" t="s">
        <v>6796</v>
      </c>
      <c r="F546" s="22" t="s">
        <v>198</v>
      </c>
      <c r="G546" s="22" t="n">
        <v>24</v>
      </c>
      <c r="H546" s="22" t="s">
        <v>6575</v>
      </c>
      <c r="I546" s="22" t="s">
        <v>8601</v>
      </c>
      <c r="J546" s="22" t="n">
        <v>10.4</v>
      </c>
      <c r="K546" s="22" t="n">
        <v>2</v>
      </c>
      <c r="L546" s="22" t="s">
        <v>8605</v>
      </c>
      <c r="M546" s="23" t="n">
        <v>45202</v>
      </c>
      <c r="N546" s="23" t="n">
        <v>45205</v>
      </c>
      <c r="O546" s="22" t="n">
        <v>13</v>
      </c>
      <c r="P546" s="22"/>
      <c r="Q546" s="22" t="s">
        <v>9244</v>
      </c>
      <c r="R546" s="22"/>
    </row>
    <row r="547" customFormat="false" ht="15" hidden="false" customHeight="false" outlineLevel="0" collapsed="false">
      <c r="A547" s="22" t="s">
        <v>9323</v>
      </c>
      <c r="B547" s="23" t="n">
        <v>45180</v>
      </c>
      <c r="C547" s="22" t="s">
        <v>5997</v>
      </c>
      <c r="D547" s="22" t="n">
        <v>2629</v>
      </c>
      <c r="E547" s="22" t="s">
        <v>7289</v>
      </c>
      <c r="F547" s="22" t="s">
        <v>198</v>
      </c>
      <c r="G547" s="22" t="n">
        <v>28</v>
      </c>
      <c r="H547" s="22" t="s">
        <v>6575</v>
      </c>
      <c r="I547" s="22" t="s">
        <v>8601</v>
      </c>
      <c r="J547" s="22" t="n">
        <v>10.4</v>
      </c>
      <c r="K547" s="22" t="n">
        <v>1</v>
      </c>
      <c r="L547" s="22" t="s">
        <v>8602</v>
      </c>
      <c r="M547" s="23" t="n">
        <v>45190</v>
      </c>
      <c r="N547" s="22"/>
      <c r="O547" s="22"/>
      <c r="P547" s="22" t="s">
        <v>8603</v>
      </c>
      <c r="Q547" s="22"/>
      <c r="R547" s="22"/>
    </row>
    <row r="548" customFormat="false" ht="15" hidden="false" customHeight="false" outlineLevel="0" collapsed="false">
      <c r="A548" s="22" t="s">
        <v>9324</v>
      </c>
      <c r="B548" s="23" t="n">
        <v>45174</v>
      </c>
      <c r="C548" s="22" t="s">
        <v>6085</v>
      </c>
      <c r="D548" s="22" t="n">
        <v>2673</v>
      </c>
      <c r="E548" s="22" t="s">
        <v>8253</v>
      </c>
      <c r="F548" s="22" t="s">
        <v>499</v>
      </c>
      <c r="G548" s="22" t="n">
        <v>80</v>
      </c>
      <c r="H548" s="22" t="s">
        <v>7696</v>
      </c>
      <c r="I548" s="22" t="s">
        <v>8601</v>
      </c>
      <c r="J548" s="22" t="n">
        <v>7.55</v>
      </c>
      <c r="K548" s="22" t="n">
        <v>1</v>
      </c>
      <c r="L548" s="22" t="s">
        <v>8602</v>
      </c>
      <c r="M548" s="23" t="n">
        <v>45188</v>
      </c>
      <c r="N548" s="22"/>
      <c r="O548" s="22"/>
      <c r="P548" s="22" t="s">
        <v>8637</v>
      </c>
      <c r="Q548" s="22"/>
      <c r="R548" s="22"/>
    </row>
    <row r="549" customFormat="false" ht="15" hidden="false" customHeight="false" outlineLevel="0" collapsed="false">
      <c r="A549" s="22" t="s">
        <v>9325</v>
      </c>
      <c r="B549" s="23" t="n">
        <v>45185</v>
      </c>
      <c r="C549" s="22" t="s">
        <v>5782</v>
      </c>
      <c r="D549" s="22" t="n">
        <v>2521</v>
      </c>
      <c r="E549" s="22" t="s">
        <v>8316</v>
      </c>
      <c r="F549" s="22" t="s">
        <v>499</v>
      </c>
      <c r="G549" s="22" t="n">
        <v>32</v>
      </c>
      <c r="H549" s="22" t="s">
        <v>7696</v>
      </c>
      <c r="I549" s="22" t="s">
        <v>8601</v>
      </c>
      <c r="J549" s="22" t="n">
        <v>7.55</v>
      </c>
      <c r="K549" s="22" t="n">
        <v>1</v>
      </c>
      <c r="L549" s="22" t="s">
        <v>8608</v>
      </c>
      <c r="M549" s="23" t="n">
        <v>45199</v>
      </c>
      <c r="N549" s="23" t="n">
        <v>45188</v>
      </c>
      <c r="O549" s="22" t="n">
        <v>3</v>
      </c>
      <c r="P549" s="22"/>
      <c r="Q549" s="22"/>
      <c r="R549" s="22"/>
    </row>
    <row r="550" customFormat="false" ht="15" hidden="false" customHeight="false" outlineLevel="0" collapsed="false">
      <c r="A550" s="22" t="s">
        <v>9326</v>
      </c>
      <c r="B550" s="23" t="n">
        <v>45183</v>
      </c>
      <c r="C550" s="22" t="s">
        <v>423</v>
      </c>
      <c r="D550" s="22" t="n">
        <v>89</v>
      </c>
      <c r="E550" s="22" t="s">
        <v>8326</v>
      </c>
      <c r="F550" s="22" t="s">
        <v>499</v>
      </c>
      <c r="G550" s="22" t="n">
        <v>60</v>
      </c>
      <c r="H550" s="22" t="s">
        <v>7696</v>
      </c>
      <c r="I550" s="22" t="s">
        <v>8601</v>
      </c>
      <c r="J550" s="22" t="n">
        <v>7.55</v>
      </c>
      <c r="K550" s="22" t="n">
        <v>1</v>
      </c>
      <c r="L550" s="22" t="s">
        <v>8629</v>
      </c>
      <c r="M550" s="23" t="n">
        <v>45197</v>
      </c>
      <c r="N550" s="23" t="n">
        <v>45195</v>
      </c>
      <c r="O550" s="22" t="n">
        <v>12</v>
      </c>
      <c r="P550" s="22"/>
      <c r="Q550" s="22"/>
      <c r="R550" s="22"/>
    </row>
    <row r="551" customFormat="false" ht="15" hidden="false" customHeight="false" outlineLevel="0" collapsed="false">
      <c r="A551" s="22" t="s">
        <v>9327</v>
      </c>
      <c r="B551" s="23" t="n">
        <v>45174</v>
      </c>
      <c r="C551" s="22" t="s">
        <v>2076</v>
      </c>
      <c r="D551" s="22" t="n">
        <v>746</v>
      </c>
      <c r="E551" s="22" t="s">
        <v>8379</v>
      </c>
      <c r="F551" s="22" t="s">
        <v>188</v>
      </c>
      <c r="G551" s="22" t="n">
        <v>24</v>
      </c>
      <c r="H551" s="22" t="s">
        <v>7696</v>
      </c>
      <c r="I551" s="22" t="s">
        <v>8601</v>
      </c>
      <c r="J551" s="22" t="n">
        <v>7.55</v>
      </c>
      <c r="K551" s="22" t="n">
        <v>1</v>
      </c>
      <c r="L551" s="22" t="s">
        <v>8602</v>
      </c>
      <c r="M551" s="23" t="n">
        <v>45188</v>
      </c>
      <c r="N551" s="22"/>
      <c r="O551" s="22"/>
      <c r="P551" s="22" t="s">
        <v>8618</v>
      </c>
      <c r="Q551" s="22"/>
      <c r="R551" s="22"/>
    </row>
    <row r="552" customFormat="false" ht="15" hidden="false" customHeight="false" outlineLevel="0" collapsed="false">
      <c r="A552" s="22" t="s">
        <v>9328</v>
      </c>
      <c r="B552" s="23" t="n">
        <v>45185</v>
      </c>
      <c r="C552" s="22" t="s">
        <v>6422</v>
      </c>
      <c r="D552" s="22" t="n">
        <v>2844</v>
      </c>
      <c r="E552" s="22" t="s">
        <v>7709</v>
      </c>
      <c r="F552" s="22" t="s">
        <v>215</v>
      </c>
      <c r="G552" s="22" t="n">
        <v>60</v>
      </c>
      <c r="H552" s="22" t="s">
        <v>7696</v>
      </c>
      <c r="I552" s="22" t="s">
        <v>8601</v>
      </c>
      <c r="J552" s="22" t="n">
        <v>7.55</v>
      </c>
      <c r="K552" s="22" t="n">
        <v>1</v>
      </c>
      <c r="L552" s="22" t="s">
        <v>8602</v>
      </c>
      <c r="M552" s="23" t="n">
        <v>45199</v>
      </c>
      <c r="N552" s="22"/>
      <c r="O552" s="22"/>
      <c r="P552" s="22" t="s">
        <v>8603</v>
      </c>
      <c r="Q552" s="22"/>
      <c r="R552" s="22"/>
    </row>
    <row r="553" customFormat="false" ht="15" hidden="false" customHeight="false" outlineLevel="0" collapsed="false">
      <c r="A553" s="22" t="s">
        <v>9329</v>
      </c>
      <c r="B553" s="23" t="n">
        <v>45181</v>
      </c>
      <c r="C553" s="22" t="s">
        <v>4016</v>
      </c>
      <c r="D553" s="22" t="n">
        <v>1651</v>
      </c>
      <c r="E553" s="22" t="s">
        <v>8352</v>
      </c>
      <c r="F553" s="22" t="s">
        <v>188</v>
      </c>
      <c r="G553" s="22" t="n">
        <v>28</v>
      </c>
      <c r="H553" s="22" t="s">
        <v>7696</v>
      </c>
      <c r="I553" s="22" t="s">
        <v>8601</v>
      </c>
      <c r="J553" s="22" t="n">
        <v>7.55</v>
      </c>
      <c r="K553" s="22" t="n">
        <v>1</v>
      </c>
      <c r="L553" s="22" t="s">
        <v>8605</v>
      </c>
      <c r="M553" s="23" t="n">
        <v>45195</v>
      </c>
      <c r="N553" s="23" t="n">
        <v>45197</v>
      </c>
      <c r="O553" s="22" t="n">
        <v>16</v>
      </c>
      <c r="P553" s="22"/>
      <c r="Q553" s="22" t="s">
        <v>9261</v>
      </c>
      <c r="R553" s="22"/>
    </row>
    <row r="554" customFormat="false" ht="15" hidden="false" customHeight="false" outlineLevel="0" collapsed="false">
      <c r="A554" s="22" t="s">
        <v>9330</v>
      </c>
      <c r="B554" s="23" t="n">
        <v>45177</v>
      </c>
      <c r="C554" s="22" t="s">
        <v>973</v>
      </c>
      <c r="D554" s="22" t="n">
        <v>289</v>
      </c>
      <c r="E554" s="22" t="s">
        <v>7724</v>
      </c>
      <c r="F554" s="22" t="s">
        <v>215</v>
      </c>
      <c r="G554" s="22" t="n">
        <v>32</v>
      </c>
      <c r="H554" s="22" t="s">
        <v>7696</v>
      </c>
      <c r="I554" s="22" t="s">
        <v>8601</v>
      </c>
      <c r="J554" s="22" t="n">
        <v>7.55</v>
      </c>
      <c r="K554" s="22" t="n">
        <v>1</v>
      </c>
      <c r="L554" s="22" t="s">
        <v>8629</v>
      </c>
      <c r="M554" s="23" t="n">
        <v>45191</v>
      </c>
      <c r="N554" s="23" t="n">
        <v>45181</v>
      </c>
      <c r="O554" s="22" t="n">
        <v>4</v>
      </c>
      <c r="P554" s="22"/>
      <c r="Q554" s="22"/>
      <c r="R554" s="22"/>
    </row>
    <row r="555" customFormat="false" ht="15" hidden="false" customHeight="false" outlineLevel="0" collapsed="false">
      <c r="A555" s="22" t="s">
        <v>9331</v>
      </c>
      <c r="B555" s="23" t="n">
        <v>45186</v>
      </c>
      <c r="C555" s="22" t="s">
        <v>1980</v>
      </c>
      <c r="D555" s="22" t="n">
        <v>703</v>
      </c>
      <c r="E555" s="22" t="s">
        <v>7664</v>
      </c>
      <c r="F555" s="22" t="s">
        <v>159</v>
      </c>
      <c r="G555" s="22" t="n">
        <v>36</v>
      </c>
      <c r="H555" s="22" t="s">
        <v>6575</v>
      </c>
      <c r="I555" s="22" t="s">
        <v>8601</v>
      </c>
      <c r="J555" s="22" t="n">
        <v>10.4</v>
      </c>
      <c r="K555" s="22" t="n">
        <v>1</v>
      </c>
      <c r="L555" s="22" t="s">
        <v>8605</v>
      </c>
      <c r="M555" s="23" t="n">
        <v>45196</v>
      </c>
      <c r="N555" s="23" t="n">
        <v>45192</v>
      </c>
      <c r="O555" s="22" t="n">
        <v>6</v>
      </c>
      <c r="P555" s="22"/>
      <c r="Q555" s="22" t="s">
        <v>9192</v>
      </c>
      <c r="R555" s="22"/>
    </row>
    <row r="556" customFormat="false" ht="15" hidden="false" customHeight="false" outlineLevel="0" collapsed="false">
      <c r="A556" s="22" t="s">
        <v>9332</v>
      </c>
      <c r="B556" s="23" t="n">
        <v>45194</v>
      </c>
      <c r="C556" s="22" t="s">
        <v>1652</v>
      </c>
      <c r="D556" s="22" t="n">
        <v>566</v>
      </c>
      <c r="E556" s="22" t="s">
        <v>7013</v>
      </c>
      <c r="F556" s="22" t="s">
        <v>198</v>
      </c>
      <c r="G556" s="22" t="n">
        <v>28</v>
      </c>
      <c r="H556" s="22" t="s">
        <v>6575</v>
      </c>
      <c r="I556" s="22" t="s">
        <v>8601</v>
      </c>
      <c r="J556" s="22" t="n">
        <v>10.4</v>
      </c>
      <c r="K556" s="22" t="n">
        <v>1</v>
      </c>
      <c r="L556" s="22" t="s">
        <v>8602</v>
      </c>
      <c r="M556" s="23" t="n">
        <v>45204</v>
      </c>
      <c r="N556" s="22"/>
      <c r="O556" s="22"/>
      <c r="P556" s="22" t="s">
        <v>8603</v>
      </c>
      <c r="Q556" s="22"/>
      <c r="R556" s="22"/>
    </row>
    <row r="557" customFormat="false" ht="15" hidden="false" customHeight="false" outlineLevel="0" collapsed="false">
      <c r="A557" s="22" t="s">
        <v>9333</v>
      </c>
      <c r="B557" s="23" t="n">
        <v>45176</v>
      </c>
      <c r="C557" s="22" t="s">
        <v>1678</v>
      </c>
      <c r="D557" s="22" t="n">
        <v>576</v>
      </c>
      <c r="E557" s="22" t="s">
        <v>7948</v>
      </c>
      <c r="F557" s="22" t="s">
        <v>215</v>
      </c>
      <c r="G557" s="22" t="n">
        <v>45</v>
      </c>
      <c r="H557" s="22" t="s">
        <v>7696</v>
      </c>
      <c r="I557" s="22" t="s">
        <v>8601</v>
      </c>
      <c r="J557" s="22" t="n">
        <v>7.55</v>
      </c>
      <c r="K557" s="22" t="n">
        <v>1</v>
      </c>
      <c r="L557" s="22" t="s">
        <v>8605</v>
      </c>
      <c r="M557" s="23" t="n">
        <v>45190</v>
      </c>
      <c r="N557" s="23" t="n">
        <v>45177</v>
      </c>
      <c r="O557" s="22" t="n">
        <v>1</v>
      </c>
      <c r="P557" s="22"/>
      <c r="Q557" s="22" t="s">
        <v>9334</v>
      </c>
      <c r="R557" s="22"/>
    </row>
    <row r="558" customFormat="false" ht="15" hidden="false" customHeight="false" outlineLevel="0" collapsed="false">
      <c r="A558" s="22" t="s">
        <v>9335</v>
      </c>
      <c r="B558" s="23" t="n">
        <v>45196</v>
      </c>
      <c r="C558" s="22" t="s">
        <v>4129</v>
      </c>
      <c r="D558" s="22" t="n">
        <v>1706</v>
      </c>
      <c r="E558" s="22" t="s">
        <v>6714</v>
      </c>
      <c r="F558" s="22" t="s">
        <v>198</v>
      </c>
      <c r="G558" s="22" t="n">
        <v>36</v>
      </c>
      <c r="H558" s="22" t="s">
        <v>6575</v>
      </c>
      <c r="I558" s="22" t="s">
        <v>8601</v>
      </c>
      <c r="J558" s="22" t="n">
        <v>10.4</v>
      </c>
      <c r="K558" s="22" t="n">
        <v>1</v>
      </c>
      <c r="L558" s="22" t="s">
        <v>8608</v>
      </c>
      <c r="M558" s="23" t="n">
        <v>45206</v>
      </c>
      <c r="N558" s="23" t="n">
        <v>45204</v>
      </c>
      <c r="O558" s="22" t="n">
        <v>8</v>
      </c>
      <c r="P558" s="22"/>
      <c r="Q558" s="22"/>
      <c r="R558" s="22"/>
    </row>
    <row r="559" customFormat="false" ht="15" hidden="false" customHeight="false" outlineLevel="0" collapsed="false">
      <c r="A559" s="22" t="s">
        <v>9336</v>
      </c>
      <c r="B559" s="23" t="n">
        <v>45182</v>
      </c>
      <c r="C559" s="22" t="s">
        <v>6267</v>
      </c>
      <c r="D559" s="22" t="n">
        <v>2764</v>
      </c>
      <c r="E559" s="22" t="s">
        <v>7955</v>
      </c>
      <c r="F559" s="22" t="s">
        <v>215</v>
      </c>
      <c r="G559" s="22" t="n">
        <v>32</v>
      </c>
      <c r="H559" s="22" t="s">
        <v>7696</v>
      </c>
      <c r="I559" s="22" t="s">
        <v>8601</v>
      </c>
      <c r="J559" s="22" t="n">
        <v>7.55</v>
      </c>
      <c r="K559" s="22" t="n">
        <v>1</v>
      </c>
      <c r="L559" s="22" t="s">
        <v>8605</v>
      </c>
      <c r="M559" s="23" t="n">
        <v>45196</v>
      </c>
      <c r="N559" s="23" t="n">
        <v>45188</v>
      </c>
      <c r="O559" s="22" t="n">
        <v>6</v>
      </c>
      <c r="P559" s="22"/>
      <c r="Q559" s="22" t="s">
        <v>9337</v>
      </c>
      <c r="R559" s="22"/>
    </row>
    <row r="560" customFormat="false" ht="15" hidden="false" customHeight="false" outlineLevel="0" collapsed="false">
      <c r="A560" s="22" t="s">
        <v>9338</v>
      </c>
      <c r="B560" s="23" t="n">
        <v>45182</v>
      </c>
      <c r="C560" s="22" t="s">
        <v>4550</v>
      </c>
      <c r="D560" s="22" t="n">
        <v>1912</v>
      </c>
      <c r="E560" s="22" t="s">
        <v>8585</v>
      </c>
      <c r="F560" s="22" t="s">
        <v>188</v>
      </c>
      <c r="G560" s="22" t="n">
        <v>60</v>
      </c>
      <c r="H560" s="22" t="s">
        <v>7696</v>
      </c>
      <c r="I560" s="22" t="s">
        <v>8601</v>
      </c>
      <c r="J560" s="22" t="n">
        <v>7.55</v>
      </c>
      <c r="K560" s="22" t="n">
        <v>2</v>
      </c>
      <c r="L560" s="22" t="s">
        <v>8602</v>
      </c>
      <c r="M560" s="23" t="n">
        <v>45196</v>
      </c>
      <c r="N560" s="22"/>
      <c r="O560" s="22"/>
      <c r="P560" s="22" t="s">
        <v>8603</v>
      </c>
      <c r="Q560" s="22"/>
      <c r="R560" s="22"/>
    </row>
    <row r="561" customFormat="false" ht="15" hidden="false" customHeight="false" outlineLevel="0" collapsed="false">
      <c r="A561" s="22" t="s">
        <v>9339</v>
      </c>
      <c r="B561" s="23" t="n">
        <v>45194</v>
      </c>
      <c r="C561" s="22" t="s">
        <v>912</v>
      </c>
      <c r="D561" s="22" t="n">
        <v>267</v>
      </c>
      <c r="E561" s="22" t="s">
        <v>8221</v>
      </c>
      <c r="F561" s="22" t="s">
        <v>499</v>
      </c>
      <c r="G561" s="22" t="n">
        <v>70</v>
      </c>
      <c r="H561" s="22" t="s">
        <v>7696</v>
      </c>
      <c r="I561" s="22" t="s">
        <v>8601</v>
      </c>
      <c r="J561" s="22" t="n">
        <v>7.55</v>
      </c>
      <c r="K561" s="22" t="n">
        <v>2</v>
      </c>
      <c r="L561" s="22" t="s">
        <v>8605</v>
      </c>
      <c r="M561" s="23" t="n">
        <v>45208</v>
      </c>
      <c r="N561" s="23" t="n">
        <v>45206</v>
      </c>
      <c r="O561" s="22" t="n">
        <v>12</v>
      </c>
      <c r="P561" s="22"/>
      <c r="Q561" s="22" t="s">
        <v>9340</v>
      </c>
      <c r="R561" s="22"/>
    </row>
    <row r="562" customFormat="false" ht="15" hidden="false" customHeight="false" outlineLevel="0" collapsed="false">
      <c r="A562" s="22" t="s">
        <v>9341</v>
      </c>
      <c r="B562" s="23" t="n">
        <v>45172</v>
      </c>
      <c r="C562" s="22" t="s">
        <v>276</v>
      </c>
      <c r="D562" s="22" t="n">
        <v>38</v>
      </c>
      <c r="E562" s="22" t="s">
        <v>6717</v>
      </c>
      <c r="F562" s="22" t="s">
        <v>198</v>
      </c>
      <c r="G562" s="22" t="n">
        <v>24</v>
      </c>
      <c r="H562" s="22" t="s">
        <v>6575</v>
      </c>
      <c r="I562" s="22" t="s">
        <v>8601</v>
      </c>
      <c r="J562" s="22" t="n">
        <v>10.4</v>
      </c>
      <c r="K562" s="22" t="n">
        <v>2</v>
      </c>
      <c r="L562" s="22" t="s">
        <v>8605</v>
      </c>
      <c r="M562" s="23" t="n">
        <v>45182</v>
      </c>
      <c r="N562" s="23" t="n">
        <v>45179</v>
      </c>
      <c r="O562" s="22" t="n">
        <v>7</v>
      </c>
      <c r="P562" s="22"/>
      <c r="Q562" s="22" t="s">
        <v>9342</v>
      </c>
      <c r="R562" s="22"/>
    </row>
    <row r="563" customFormat="false" ht="15" hidden="false" customHeight="false" outlineLevel="0" collapsed="false">
      <c r="A563" s="22" t="s">
        <v>9343</v>
      </c>
      <c r="B563" s="23" t="n">
        <v>45180</v>
      </c>
      <c r="C563" s="22" t="s">
        <v>3940</v>
      </c>
      <c r="D563" s="22" t="n">
        <v>1614</v>
      </c>
      <c r="E563" s="22" t="s">
        <v>6928</v>
      </c>
      <c r="F563" s="22" t="s">
        <v>198</v>
      </c>
      <c r="G563" s="22" t="n">
        <v>24</v>
      </c>
      <c r="H563" s="22" t="s">
        <v>6575</v>
      </c>
      <c r="I563" s="22" t="s">
        <v>8601</v>
      </c>
      <c r="J563" s="22" t="n">
        <v>10.4</v>
      </c>
      <c r="K563" s="22" t="n">
        <v>2</v>
      </c>
      <c r="L563" s="22" t="s">
        <v>8605</v>
      </c>
      <c r="M563" s="23" t="n">
        <v>45190</v>
      </c>
      <c r="N563" s="23" t="n">
        <v>45186</v>
      </c>
      <c r="O563" s="22" t="n">
        <v>6</v>
      </c>
      <c r="P563" s="22"/>
      <c r="Q563" s="22" t="s">
        <v>9344</v>
      </c>
      <c r="R563" s="22"/>
    </row>
    <row r="564" customFormat="false" ht="15" hidden="false" customHeight="false" outlineLevel="0" collapsed="false">
      <c r="A564" s="22" t="s">
        <v>9345</v>
      </c>
      <c r="B564" s="23" t="n">
        <v>45179</v>
      </c>
      <c r="C564" s="22" t="s">
        <v>3639</v>
      </c>
      <c r="D564" s="22" t="n">
        <v>1465</v>
      </c>
      <c r="E564" s="22" t="s">
        <v>7019</v>
      </c>
      <c r="F564" s="22" t="s">
        <v>198</v>
      </c>
      <c r="G564" s="22" t="n">
        <v>32</v>
      </c>
      <c r="H564" s="22" t="s">
        <v>6575</v>
      </c>
      <c r="I564" s="22" t="s">
        <v>8601</v>
      </c>
      <c r="J564" s="22" t="n">
        <v>10.4</v>
      </c>
      <c r="K564" s="22" t="n">
        <v>1</v>
      </c>
      <c r="L564" s="22" t="s">
        <v>8629</v>
      </c>
      <c r="M564" s="23" t="n">
        <v>45189</v>
      </c>
      <c r="N564" s="23" t="n">
        <v>45192</v>
      </c>
      <c r="O564" s="22" t="n">
        <v>13</v>
      </c>
      <c r="P564" s="22"/>
      <c r="Q564" s="22"/>
      <c r="R564" s="22"/>
    </row>
    <row r="565" customFormat="false" ht="15" hidden="false" customHeight="false" outlineLevel="0" collapsed="false">
      <c r="A565" s="22" t="s">
        <v>9346</v>
      </c>
      <c r="B565" s="23" t="n">
        <v>45182</v>
      </c>
      <c r="C565" s="22" t="s">
        <v>5408</v>
      </c>
      <c r="D565" s="22" t="n">
        <v>2335</v>
      </c>
      <c r="E565" s="22" t="s">
        <v>7860</v>
      </c>
      <c r="F565" s="22" t="s">
        <v>215</v>
      </c>
      <c r="G565" s="22" t="n">
        <v>32</v>
      </c>
      <c r="H565" s="22" t="s">
        <v>7696</v>
      </c>
      <c r="I565" s="22" t="s">
        <v>8601</v>
      </c>
      <c r="J565" s="22" t="n">
        <v>7.55</v>
      </c>
      <c r="K565" s="22" t="n">
        <v>1</v>
      </c>
      <c r="L565" s="22" t="s">
        <v>8605</v>
      </c>
      <c r="M565" s="23" t="n">
        <v>45196</v>
      </c>
      <c r="N565" s="23" t="n">
        <v>45190</v>
      </c>
      <c r="O565" s="22" t="n">
        <v>8</v>
      </c>
      <c r="P565" s="22"/>
      <c r="Q565" s="22" t="s">
        <v>9347</v>
      </c>
      <c r="R565" s="22"/>
    </row>
    <row r="566" customFormat="false" ht="15" hidden="false" customHeight="false" outlineLevel="0" collapsed="false">
      <c r="A566" s="22" t="s">
        <v>9348</v>
      </c>
      <c r="B566" s="23" t="n">
        <v>45189</v>
      </c>
      <c r="C566" s="22" t="s">
        <v>3467</v>
      </c>
      <c r="D566" s="22" t="n">
        <v>1382</v>
      </c>
      <c r="E566" s="22" t="s">
        <v>7890</v>
      </c>
      <c r="F566" s="22" t="s">
        <v>215</v>
      </c>
      <c r="G566" s="22" t="n">
        <v>45</v>
      </c>
      <c r="H566" s="22" t="s">
        <v>7696</v>
      </c>
      <c r="I566" s="22" t="s">
        <v>8601</v>
      </c>
      <c r="J566" s="22" t="n">
        <v>7.55</v>
      </c>
      <c r="K566" s="22" t="n">
        <v>1</v>
      </c>
      <c r="L566" s="22" t="s">
        <v>8605</v>
      </c>
      <c r="M566" s="23" t="n">
        <v>45203</v>
      </c>
      <c r="N566" s="23" t="n">
        <v>45206</v>
      </c>
      <c r="O566" s="22" t="n">
        <v>17</v>
      </c>
      <c r="P566" s="22"/>
      <c r="Q566" s="22" t="s">
        <v>9172</v>
      </c>
      <c r="R566" s="22"/>
    </row>
    <row r="567" customFormat="false" ht="15" hidden="false" customHeight="false" outlineLevel="0" collapsed="false">
      <c r="A567" s="22" t="s">
        <v>9349</v>
      </c>
      <c r="B567" s="23" t="n">
        <v>45171</v>
      </c>
      <c r="C567" s="22" t="s">
        <v>5237</v>
      </c>
      <c r="D567" s="22" t="n">
        <v>2249</v>
      </c>
      <c r="E567" s="22" t="s">
        <v>7567</v>
      </c>
      <c r="F567" s="22" t="s">
        <v>159</v>
      </c>
      <c r="G567" s="22" t="n">
        <v>32</v>
      </c>
      <c r="H567" s="22" t="s">
        <v>6575</v>
      </c>
      <c r="I567" s="22" t="s">
        <v>8601</v>
      </c>
      <c r="J567" s="22" t="n">
        <v>10.4</v>
      </c>
      <c r="K567" s="22" t="n">
        <v>1</v>
      </c>
      <c r="L567" s="22" t="s">
        <v>157</v>
      </c>
      <c r="M567" s="23" t="n">
        <v>45181</v>
      </c>
      <c r="N567" s="23" t="n">
        <v>45177</v>
      </c>
      <c r="O567" s="22" t="n">
        <v>6</v>
      </c>
      <c r="P567" s="22"/>
      <c r="Q567" s="22"/>
      <c r="R567" s="22"/>
    </row>
    <row r="568" customFormat="false" ht="15" hidden="false" customHeight="false" outlineLevel="0" collapsed="false">
      <c r="A568" s="22" t="s">
        <v>9350</v>
      </c>
      <c r="B568" s="23" t="n">
        <v>45190</v>
      </c>
      <c r="C568" s="22" t="s">
        <v>649</v>
      </c>
      <c r="D568" s="22" t="n">
        <v>168</v>
      </c>
      <c r="E568" s="22" t="s">
        <v>6938</v>
      </c>
      <c r="F568" s="22" t="s">
        <v>198</v>
      </c>
      <c r="G568" s="22" t="n">
        <v>40</v>
      </c>
      <c r="H568" s="22" t="s">
        <v>6575</v>
      </c>
      <c r="I568" s="22" t="s">
        <v>8601</v>
      </c>
      <c r="J568" s="22" t="n">
        <v>10.4</v>
      </c>
      <c r="K568" s="22" t="n">
        <v>1</v>
      </c>
      <c r="L568" s="22" t="s">
        <v>8602</v>
      </c>
      <c r="M568" s="23" t="n">
        <v>45200</v>
      </c>
      <c r="N568" s="22"/>
      <c r="O568" s="22"/>
      <c r="P568" s="22" t="s">
        <v>8631</v>
      </c>
      <c r="Q568" s="22"/>
      <c r="R568" s="22"/>
    </row>
    <row r="569" customFormat="false" ht="15" hidden="false" customHeight="false" outlineLevel="0" collapsed="false">
      <c r="A569" s="22" t="s">
        <v>9351</v>
      </c>
      <c r="B569" s="23" t="n">
        <v>45181</v>
      </c>
      <c r="C569" s="22" t="s">
        <v>5208</v>
      </c>
      <c r="D569" s="22" t="n">
        <v>2235</v>
      </c>
      <c r="E569" s="22" t="s">
        <v>7967</v>
      </c>
      <c r="F569" s="22" t="s">
        <v>215</v>
      </c>
      <c r="G569" s="22" t="n">
        <v>28</v>
      </c>
      <c r="H569" s="22" t="s">
        <v>7696</v>
      </c>
      <c r="I569" s="22" t="s">
        <v>8601</v>
      </c>
      <c r="J569" s="22" t="n">
        <v>7.55</v>
      </c>
      <c r="K569" s="22" t="n">
        <v>1</v>
      </c>
      <c r="L569" s="22" t="s">
        <v>8605</v>
      </c>
      <c r="M569" s="23" t="n">
        <v>45195</v>
      </c>
      <c r="N569" s="23" t="n">
        <v>45190</v>
      </c>
      <c r="O569" s="22" t="n">
        <v>9</v>
      </c>
      <c r="P569" s="22"/>
      <c r="Q569" s="22" t="s">
        <v>9352</v>
      </c>
      <c r="R569" s="22"/>
    </row>
    <row r="570" customFormat="false" ht="15" hidden="false" customHeight="false" outlineLevel="0" collapsed="false">
      <c r="A570" s="22" t="s">
        <v>9353</v>
      </c>
      <c r="B570" s="23" t="n">
        <v>45182</v>
      </c>
      <c r="C570" s="22" t="s">
        <v>2049</v>
      </c>
      <c r="D570" s="22" t="n">
        <v>733</v>
      </c>
      <c r="E570" s="22" t="s">
        <v>8090</v>
      </c>
      <c r="F570" s="22" t="s">
        <v>499</v>
      </c>
      <c r="G570" s="22" t="n">
        <v>60</v>
      </c>
      <c r="H570" s="22" t="s">
        <v>7696</v>
      </c>
      <c r="I570" s="22" t="s">
        <v>8601</v>
      </c>
      <c r="J570" s="22" t="n">
        <v>7.55</v>
      </c>
      <c r="K570" s="22" t="n">
        <v>1</v>
      </c>
      <c r="L570" s="22" t="s">
        <v>8613</v>
      </c>
      <c r="M570" s="23" t="n">
        <v>45196</v>
      </c>
      <c r="N570" s="22"/>
      <c r="O570" s="22"/>
      <c r="P570" s="22"/>
      <c r="Q570" s="22"/>
      <c r="R570" s="22"/>
    </row>
    <row r="571" customFormat="false" ht="15" hidden="false" customHeight="false" outlineLevel="0" collapsed="false">
      <c r="A571" s="22" t="s">
        <v>9354</v>
      </c>
      <c r="B571" s="23" t="n">
        <v>45171</v>
      </c>
      <c r="C571" s="22" t="s">
        <v>2593</v>
      </c>
      <c r="D571" s="22" t="n">
        <v>979</v>
      </c>
      <c r="E571" s="22" t="s">
        <v>7945</v>
      </c>
      <c r="F571" s="22" t="s">
        <v>215</v>
      </c>
      <c r="G571" s="22" t="n">
        <v>28</v>
      </c>
      <c r="H571" s="22" t="s">
        <v>7696</v>
      </c>
      <c r="I571" s="22" t="s">
        <v>8601</v>
      </c>
      <c r="J571" s="22" t="n">
        <v>7.55</v>
      </c>
      <c r="K571" s="22" t="n">
        <v>1</v>
      </c>
      <c r="L571" s="22" t="s">
        <v>8605</v>
      </c>
      <c r="M571" s="23" t="n">
        <v>45185</v>
      </c>
      <c r="N571" s="23" t="n">
        <v>45183</v>
      </c>
      <c r="O571" s="22" t="n">
        <v>12</v>
      </c>
      <c r="P571" s="22"/>
      <c r="Q571" s="22" t="s">
        <v>9355</v>
      </c>
      <c r="R571" s="22"/>
    </row>
    <row r="572" customFormat="false" ht="15" hidden="false" customHeight="false" outlineLevel="0" collapsed="false">
      <c r="A572" s="22" t="s">
        <v>9356</v>
      </c>
      <c r="B572" s="23" t="n">
        <v>45173</v>
      </c>
      <c r="C572" s="22" t="s">
        <v>6140</v>
      </c>
      <c r="D572" s="22" t="n">
        <v>2700</v>
      </c>
      <c r="E572" s="22" t="s">
        <v>6823</v>
      </c>
      <c r="F572" s="22" t="s">
        <v>198</v>
      </c>
      <c r="G572" s="22" t="n">
        <v>32</v>
      </c>
      <c r="H572" s="22" t="s">
        <v>6575</v>
      </c>
      <c r="I572" s="22" t="s">
        <v>8601</v>
      </c>
      <c r="J572" s="22" t="n">
        <v>10.4</v>
      </c>
      <c r="K572" s="22" t="n">
        <v>1</v>
      </c>
      <c r="L572" s="22" t="s">
        <v>8602</v>
      </c>
      <c r="M572" s="23" t="n">
        <v>45183</v>
      </c>
      <c r="N572" s="22"/>
      <c r="O572" s="22"/>
      <c r="P572" s="22" t="s">
        <v>8618</v>
      </c>
      <c r="Q572" s="22"/>
      <c r="R572" s="22"/>
    </row>
    <row r="573" customFormat="false" ht="15" hidden="false" customHeight="false" outlineLevel="0" collapsed="false">
      <c r="A573" s="22" t="s">
        <v>9357</v>
      </c>
      <c r="B573" s="23" t="n">
        <v>45187</v>
      </c>
      <c r="C573" s="22" t="s">
        <v>1085</v>
      </c>
      <c r="D573" s="22" t="n">
        <v>331</v>
      </c>
      <c r="E573" s="22" t="s">
        <v>8118</v>
      </c>
      <c r="F573" s="22" t="s">
        <v>499</v>
      </c>
      <c r="G573" s="22" t="n">
        <v>32</v>
      </c>
      <c r="H573" s="22" t="s">
        <v>7696</v>
      </c>
      <c r="I573" s="22" t="s">
        <v>8601</v>
      </c>
      <c r="J573" s="22" t="n">
        <v>7.55</v>
      </c>
      <c r="K573" s="22" t="n">
        <v>2</v>
      </c>
      <c r="L573" s="22" t="s">
        <v>8629</v>
      </c>
      <c r="M573" s="23" t="n">
        <v>45201</v>
      </c>
      <c r="N573" s="23" t="n">
        <v>45193</v>
      </c>
      <c r="O573" s="22" t="n">
        <v>6</v>
      </c>
      <c r="P573" s="22"/>
      <c r="Q573" s="22"/>
      <c r="R573" s="22"/>
    </row>
    <row r="574" customFormat="false" ht="15" hidden="false" customHeight="false" outlineLevel="0" collapsed="false">
      <c r="A574" s="22" t="s">
        <v>9358</v>
      </c>
      <c r="B574" s="23" t="n">
        <v>45185</v>
      </c>
      <c r="C574" s="22" t="s">
        <v>2639</v>
      </c>
      <c r="D574" s="22" t="n">
        <v>1000</v>
      </c>
      <c r="E574" s="22" t="s">
        <v>7614</v>
      </c>
      <c r="F574" s="22" t="s">
        <v>159</v>
      </c>
      <c r="G574" s="22" t="n">
        <v>36</v>
      </c>
      <c r="H574" s="22" t="s">
        <v>6575</v>
      </c>
      <c r="I574" s="22" t="s">
        <v>8601</v>
      </c>
      <c r="J574" s="22" t="n">
        <v>10.4</v>
      </c>
      <c r="K574" s="22" t="n">
        <v>1</v>
      </c>
      <c r="L574" s="22" t="s">
        <v>8602</v>
      </c>
      <c r="M574" s="23" t="n">
        <v>45195</v>
      </c>
      <c r="N574" s="22"/>
      <c r="O574" s="22"/>
      <c r="P574" s="22" t="s">
        <v>8637</v>
      </c>
      <c r="Q574" s="22"/>
      <c r="R574" s="22"/>
    </row>
    <row r="575" customFormat="false" ht="15" hidden="false" customHeight="false" outlineLevel="0" collapsed="false">
      <c r="A575" s="22" t="s">
        <v>9359</v>
      </c>
      <c r="B575" s="23" t="n">
        <v>45186</v>
      </c>
      <c r="C575" s="22" t="s">
        <v>396</v>
      </c>
      <c r="D575" s="22" t="n">
        <v>80</v>
      </c>
      <c r="E575" s="22" t="s">
        <v>7850</v>
      </c>
      <c r="F575" s="22" t="s">
        <v>215</v>
      </c>
      <c r="G575" s="22" t="n">
        <v>28</v>
      </c>
      <c r="H575" s="22" t="s">
        <v>7696</v>
      </c>
      <c r="I575" s="22" t="s">
        <v>8601</v>
      </c>
      <c r="J575" s="22" t="n">
        <v>7.55</v>
      </c>
      <c r="K575" s="22" t="n">
        <v>2</v>
      </c>
      <c r="L575" s="22" t="s">
        <v>8602</v>
      </c>
      <c r="M575" s="23" t="n">
        <v>45200</v>
      </c>
      <c r="N575" s="22"/>
      <c r="O575" s="22"/>
      <c r="P575" s="22" t="s">
        <v>8631</v>
      </c>
      <c r="Q575" s="22"/>
      <c r="R575" s="22"/>
    </row>
    <row r="576" customFormat="false" ht="15" hidden="false" customHeight="false" outlineLevel="0" collapsed="false">
      <c r="A576" s="22" t="s">
        <v>9360</v>
      </c>
      <c r="B576" s="23" t="n">
        <v>45189</v>
      </c>
      <c r="C576" s="22" t="s">
        <v>3224</v>
      </c>
      <c r="D576" s="22" t="n">
        <v>1266</v>
      </c>
      <c r="E576" s="22" t="s">
        <v>7376</v>
      </c>
      <c r="F576" s="22" t="s">
        <v>159</v>
      </c>
      <c r="G576" s="22" t="n">
        <v>28</v>
      </c>
      <c r="H576" s="22" t="s">
        <v>6575</v>
      </c>
      <c r="I576" s="22" t="s">
        <v>8601</v>
      </c>
      <c r="J576" s="22" t="n">
        <v>10.4</v>
      </c>
      <c r="K576" s="22" t="n">
        <v>1</v>
      </c>
      <c r="L576" s="22" t="s">
        <v>8605</v>
      </c>
      <c r="M576" s="23" t="n">
        <v>45199</v>
      </c>
      <c r="N576" s="23" t="n">
        <v>45197</v>
      </c>
      <c r="O576" s="22" t="n">
        <v>8</v>
      </c>
      <c r="P576" s="22"/>
      <c r="Q576" s="22" t="s">
        <v>9361</v>
      </c>
      <c r="R576" s="22"/>
    </row>
    <row r="577" customFormat="false" ht="15" hidden="false" customHeight="false" outlineLevel="0" collapsed="false">
      <c r="A577" s="22" t="s">
        <v>9362</v>
      </c>
      <c r="B577" s="23" t="n">
        <v>45179</v>
      </c>
      <c r="C577" s="22" t="s">
        <v>6035</v>
      </c>
      <c r="D577" s="22" t="n">
        <v>2648</v>
      </c>
      <c r="E577" s="22" t="s">
        <v>7560</v>
      </c>
      <c r="F577" s="22" t="s">
        <v>159</v>
      </c>
      <c r="G577" s="22" t="n">
        <v>32</v>
      </c>
      <c r="H577" s="22" t="s">
        <v>6575</v>
      </c>
      <c r="I577" s="22" t="s">
        <v>8601</v>
      </c>
      <c r="J577" s="22" t="n">
        <v>10.4</v>
      </c>
      <c r="K577" s="22" t="n">
        <v>1</v>
      </c>
      <c r="L577" s="22" t="s">
        <v>8605</v>
      </c>
      <c r="M577" s="23" t="n">
        <v>45189</v>
      </c>
      <c r="N577" s="23" t="n">
        <v>45188</v>
      </c>
      <c r="O577" s="22" t="n">
        <v>9</v>
      </c>
      <c r="P577" s="22"/>
      <c r="Q577" s="22" t="s">
        <v>9122</v>
      </c>
      <c r="R577" s="22"/>
    </row>
    <row r="578" customFormat="false" ht="15" hidden="false" customHeight="false" outlineLevel="0" collapsed="false">
      <c r="A578" s="22" t="s">
        <v>9363</v>
      </c>
      <c r="B578" s="23" t="n">
        <v>45172</v>
      </c>
      <c r="C578" s="22" t="s">
        <v>6169</v>
      </c>
      <c r="D578" s="22" t="n">
        <v>2715</v>
      </c>
      <c r="E578" s="22" t="s">
        <v>7547</v>
      </c>
      <c r="F578" s="22" t="s">
        <v>159</v>
      </c>
      <c r="G578" s="22" t="n">
        <v>28</v>
      </c>
      <c r="H578" s="22" t="s">
        <v>6575</v>
      </c>
      <c r="I578" s="22" t="s">
        <v>8601</v>
      </c>
      <c r="J578" s="22" t="n">
        <v>10.4</v>
      </c>
      <c r="K578" s="22" t="n">
        <v>1</v>
      </c>
      <c r="L578" s="22" t="s">
        <v>8602</v>
      </c>
      <c r="M578" s="23" t="n">
        <v>45182</v>
      </c>
      <c r="N578" s="22"/>
      <c r="O578" s="22"/>
      <c r="P578" s="22" t="s">
        <v>8603</v>
      </c>
      <c r="Q578" s="22"/>
      <c r="R578" s="22"/>
    </row>
    <row r="579" customFormat="false" ht="15" hidden="false" customHeight="false" outlineLevel="0" collapsed="false">
      <c r="A579" s="22" t="s">
        <v>9364</v>
      </c>
      <c r="B579" s="23" t="n">
        <v>45180</v>
      </c>
      <c r="C579" s="22" t="s">
        <v>3265</v>
      </c>
      <c r="D579" s="22" t="n">
        <v>1285</v>
      </c>
      <c r="E579" s="22" t="s">
        <v>7706</v>
      </c>
      <c r="F579" s="22" t="s">
        <v>215</v>
      </c>
      <c r="G579" s="22" t="n">
        <v>28</v>
      </c>
      <c r="H579" s="22" t="s">
        <v>7696</v>
      </c>
      <c r="I579" s="22" t="s">
        <v>8601</v>
      </c>
      <c r="J579" s="22" t="n">
        <v>7.55</v>
      </c>
      <c r="K579" s="22" t="n">
        <v>1</v>
      </c>
      <c r="L579" s="22" t="s">
        <v>8602</v>
      </c>
      <c r="M579" s="23" t="n">
        <v>45194</v>
      </c>
      <c r="N579" s="22"/>
      <c r="O579" s="22"/>
      <c r="P579" s="22" t="s">
        <v>8631</v>
      </c>
      <c r="Q579" s="22"/>
      <c r="R579" s="22"/>
    </row>
    <row r="580" customFormat="false" ht="15" hidden="false" customHeight="false" outlineLevel="0" collapsed="false">
      <c r="A580" s="22" t="s">
        <v>9365</v>
      </c>
      <c r="B580" s="23" t="n">
        <v>45185</v>
      </c>
      <c r="C580" s="22" t="s">
        <v>6017</v>
      </c>
      <c r="D580" s="22" t="n">
        <v>2639</v>
      </c>
      <c r="E580" s="22" t="s">
        <v>7572</v>
      </c>
      <c r="F580" s="22" t="s">
        <v>159</v>
      </c>
      <c r="G580" s="22" t="n">
        <v>40</v>
      </c>
      <c r="H580" s="22" t="s">
        <v>6575</v>
      </c>
      <c r="I580" s="22" t="s">
        <v>8601</v>
      </c>
      <c r="J580" s="22" t="n">
        <v>10.4</v>
      </c>
      <c r="K580" s="22" t="n">
        <v>1</v>
      </c>
      <c r="L580" s="22" t="s">
        <v>8629</v>
      </c>
      <c r="M580" s="23" t="n">
        <v>45195</v>
      </c>
      <c r="N580" s="23" t="n">
        <v>45188</v>
      </c>
      <c r="O580" s="22" t="n">
        <v>3</v>
      </c>
      <c r="P580" s="22"/>
      <c r="Q580" s="22"/>
      <c r="R580" s="22"/>
    </row>
    <row r="581" customFormat="false" ht="15" hidden="false" customHeight="false" outlineLevel="0" collapsed="false">
      <c r="A581" s="22" t="s">
        <v>9366</v>
      </c>
      <c r="B581" s="23" t="n">
        <v>45177</v>
      </c>
      <c r="C581" s="22" t="s">
        <v>6231</v>
      </c>
      <c r="D581" s="22" t="n">
        <v>2745</v>
      </c>
      <c r="E581" s="22" t="s">
        <v>7889</v>
      </c>
      <c r="F581" s="22" t="s">
        <v>215</v>
      </c>
      <c r="G581" s="22" t="n">
        <v>45</v>
      </c>
      <c r="H581" s="22" t="s">
        <v>7696</v>
      </c>
      <c r="I581" s="22" t="s">
        <v>8601</v>
      </c>
      <c r="J581" s="22" t="n">
        <v>7.55</v>
      </c>
      <c r="K581" s="22" t="n">
        <v>1</v>
      </c>
      <c r="L581" s="22" t="s">
        <v>8629</v>
      </c>
      <c r="M581" s="23" t="n">
        <v>45191</v>
      </c>
      <c r="N581" s="23" t="n">
        <v>45190</v>
      </c>
      <c r="O581" s="22" t="n">
        <v>13</v>
      </c>
      <c r="P581" s="22"/>
      <c r="Q581" s="22"/>
      <c r="R581" s="22"/>
    </row>
    <row r="582" customFormat="false" ht="15" hidden="false" customHeight="false" outlineLevel="0" collapsed="false">
      <c r="A582" s="22" t="s">
        <v>9367</v>
      </c>
      <c r="B582" s="23" t="n">
        <v>45209</v>
      </c>
      <c r="C582" s="22" t="s">
        <v>3486</v>
      </c>
      <c r="D582" s="22" t="n">
        <v>1391</v>
      </c>
      <c r="E582" s="22" t="s">
        <v>7889</v>
      </c>
      <c r="F582" s="22" t="s">
        <v>215</v>
      </c>
      <c r="G582" s="22" t="n">
        <v>45</v>
      </c>
      <c r="H582" s="22" t="s">
        <v>7696</v>
      </c>
      <c r="I582" s="22" t="s">
        <v>8601</v>
      </c>
      <c r="J582" s="22" t="n">
        <v>7.55</v>
      </c>
      <c r="K582" s="22" t="n">
        <v>1</v>
      </c>
      <c r="L582" s="22" t="s">
        <v>8605</v>
      </c>
      <c r="M582" s="23" t="n">
        <v>45223</v>
      </c>
      <c r="N582" s="23" t="n">
        <v>45219</v>
      </c>
      <c r="O582" s="22" t="n">
        <v>10</v>
      </c>
      <c r="P582" s="22"/>
      <c r="Q582" s="22" t="s">
        <v>9368</v>
      </c>
      <c r="R582" s="22"/>
    </row>
    <row r="583" customFormat="false" ht="15" hidden="false" customHeight="false" outlineLevel="0" collapsed="false">
      <c r="A583" s="22" t="s">
        <v>9369</v>
      </c>
      <c r="B583" s="23" t="n">
        <v>45205</v>
      </c>
      <c r="C583" s="22" t="s">
        <v>1709</v>
      </c>
      <c r="D583" s="22" t="n">
        <v>589</v>
      </c>
      <c r="E583" s="22" t="s">
        <v>6580</v>
      </c>
      <c r="F583" s="22" t="s">
        <v>198</v>
      </c>
      <c r="G583" s="22" t="n">
        <v>40</v>
      </c>
      <c r="H583" s="22" t="s">
        <v>6575</v>
      </c>
      <c r="I583" s="22" t="s">
        <v>8601</v>
      </c>
      <c r="J583" s="22" t="n">
        <v>10.4</v>
      </c>
      <c r="K583" s="22" t="n">
        <v>1</v>
      </c>
      <c r="L583" s="22" t="s">
        <v>8629</v>
      </c>
      <c r="M583" s="23" t="n">
        <v>45215</v>
      </c>
      <c r="N583" s="23" t="n">
        <v>45216</v>
      </c>
      <c r="O583" s="22" t="n">
        <v>11</v>
      </c>
      <c r="P583" s="22"/>
      <c r="Q583" s="22"/>
      <c r="R583" s="22"/>
    </row>
    <row r="584" customFormat="false" ht="15" hidden="false" customHeight="false" outlineLevel="0" collapsed="false">
      <c r="A584" s="22" t="s">
        <v>9370</v>
      </c>
      <c r="B584" s="23" t="n">
        <v>45221</v>
      </c>
      <c r="C584" s="22" t="s">
        <v>4310</v>
      </c>
      <c r="D584" s="22" t="n">
        <v>1794</v>
      </c>
      <c r="E584" s="22" t="s">
        <v>7367</v>
      </c>
      <c r="F584" s="22" t="s">
        <v>159</v>
      </c>
      <c r="G584" s="22" t="n">
        <v>24</v>
      </c>
      <c r="H584" s="22" t="s">
        <v>6575</v>
      </c>
      <c r="I584" s="22" t="s">
        <v>8601</v>
      </c>
      <c r="J584" s="22" t="n">
        <v>10.4</v>
      </c>
      <c r="K584" s="22" t="n">
        <v>1</v>
      </c>
      <c r="L584" s="22" t="s">
        <v>8605</v>
      </c>
      <c r="M584" s="23" t="n">
        <v>45231</v>
      </c>
      <c r="N584" s="23" t="n">
        <v>45232</v>
      </c>
      <c r="O584" s="22" t="n">
        <v>11</v>
      </c>
      <c r="P584" s="22"/>
      <c r="Q584" s="22" t="s">
        <v>9058</v>
      </c>
      <c r="R584" s="22"/>
    </row>
    <row r="585" customFormat="false" ht="15" hidden="false" customHeight="false" outlineLevel="0" collapsed="false">
      <c r="A585" s="22" t="s">
        <v>9371</v>
      </c>
      <c r="B585" s="23" t="n">
        <v>45202</v>
      </c>
      <c r="C585" s="22" t="s">
        <v>6512</v>
      </c>
      <c r="D585" s="22" t="n">
        <v>2889</v>
      </c>
      <c r="E585" s="22" t="s">
        <v>8006</v>
      </c>
      <c r="F585" s="22" t="s">
        <v>215</v>
      </c>
      <c r="G585" s="22" t="n">
        <v>32</v>
      </c>
      <c r="H585" s="22" t="s">
        <v>7696</v>
      </c>
      <c r="I585" s="22" t="s">
        <v>8601</v>
      </c>
      <c r="J585" s="22" t="n">
        <v>7.55</v>
      </c>
      <c r="K585" s="22" t="n">
        <v>1</v>
      </c>
      <c r="L585" s="22" t="s">
        <v>8629</v>
      </c>
      <c r="M585" s="23" t="n">
        <v>45216</v>
      </c>
      <c r="N585" s="23" t="n">
        <v>45208</v>
      </c>
      <c r="O585" s="22" t="n">
        <v>6</v>
      </c>
      <c r="P585" s="22"/>
      <c r="Q585" s="22"/>
      <c r="R585" s="22"/>
    </row>
    <row r="586" customFormat="false" ht="15" hidden="false" customHeight="false" outlineLevel="0" collapsed="false">
      <c r="A586" s="22" t="s">
        <v>9372</v>
      </c>
      <c r="B586" s="23" t="n">
        <v>45222</v>
      </c>
      <c r="C586" s="22" t="s">
        <v>1934</v>
      </c>
      <c r="D586" s="22" t="n">
        <v>684</v>
      </c>
      <c r="E586" s="22" t="s">
        <v>8050</v>
      </c>
      <c r="F586" s="22" t="s">
        <v>499</v>
      </c>
      <c r="G586" s="22" t="n">
        <v>45</v>
      </c>
      <c r="H586" s="22" t="s">
        <v>7696</v>
      </c>
      <c r="I586" s="22" t="s">
        <v>8601</v>
      </c>
      <c r="J586" s="22" t="n">
        <v>7.55</v>
      </c>
      <c r="K586" s="22" t="n">
        <v>1</v>
      </c>
      <c r="L586" s="22" t="s">
        <v>157</v>
      </c>
      <c r="M586" s="23" t="n">
        <v>45236</v>
      </c>
      <c r="N586" s="23" t="n">
        <v>45223</v>
      </c>
      <c r="O586" s="22" t="n">
        <v>1</v>
      </c>
      <c r="P586" s="22"/>
      <c r="Q586" s="22"/>
      <c r="R586" s="22"/>
    </row>
    <row r="587" customFormat="false" ht="15" hidden="false" customHeight="false" outlineLevel="0" collapsed="false">
      <c r="A587" s="22" t="s">
        <v>9373</v>
      </c>
      <c r="B587" s="23" t="n">
        <v>45205</v>
      </c>
      <c r="C587" s="22" t="s">
        <v>165</v>
      </c>
      <c r="D587" s="22" t="n">
        <v>3</v>
      </c>
      <c r="E587" s="22" t="s">
        <v>8425</v>
      </c>
      <c r="F587" s="22" t="s">
        <v>188</v>
      </c>
      <c r="G587" s="22" t="n">
        <v>60</v>
      </c>
      <c r="H587" s="22" t="s">
        <v>7696</v>
      </c>
      <c r="I587" s="22" t="s">
        <v>8601</v>
      </c>
      <c r="J587" s="22" t="n">
        <v>7.55</v>
      </c>
      <c r="K587" s="22" t="n">
        <v>1</v>
      </c>
      <c r="L587" s="22" t="s">
        <v>8602</v>
      </c>
      <c r="M587" s="23" t="n">
        <v>45219</v>
      </c>
      <c r="N587" s="22"/>
      <c r="O587" s="22"/>
      <c r="P587" s="22" t="s">
        <v>8618</v>
      </c>
      <c r="Q587" s="22"/>
      <c r="R587" s="22"/>
    </row>
    <row r="588" customFormat="false" ht="15" hidden="false" customHeight="false" outlineLevel="0" collapsed="false">
      <c r="A588" s="22" t="s">
        <v>9374</v>
      </c>
      <c r="B588" s="23" t="n">
        <v>45210</v>
      </c>
      <c r="C588" s="22" t="s">
        <v>5839</v>
      </c>
      <c r="D588" s="22" t="n">
        <v>2550</v>
      </c>
      <c r="E588" s="22" t="s">
        <v>8383</v>
      </c>
      <c r="F588" s="22" t="s">
        <v>188</v>
      </c>
      <c r="G588" s="22" t="n">
        <v>45</v>
      </c>
      <c r="H588" s="22" t="s">
        <v>7696</v>
      </c>
      <c r="I588" s="22" t="s">
        <v>8601</v>
      </c>
      <c r="J588" s="22" t="n">
        <v>7.55</v>
      </c>
      <c r="K588" s="22" t="n">
        <v>1</v>
      </c>
      <c r="L588" s="22" t="s">
        <v>8605</v>
      </c>
      <c r="M588" s="23" t="n">
        <v>45224</v>
      </c>
      <c r="N588" s="23" t="n">
        <v>45225</v>
      </c>
      <c r="O588" s="22" t="n">
        <v>15</v>
      </c>
      <c r="P588" s="22"/>
      <c r="Q588" s="22" t="s">
        <v>9152</v>
      </c>
      <c r="R588" s="22"/>
    </row>
    <row r="589" customFormat="false" ht="15" hidden="false" customHeight="false" outlineLevel="0" collapsed="false">
      <c r="A589" s="22" t="s">
        <v>9375</v>
      </c>
      <c r="B589" s="23" t="n">
        <v>45220</v>
      </c>
      <c r="C589" s="22" t="s">
        <v>3913</v>
      </c>
      <c r="D589" s="22" t="n">
        <v>1600</v>
      </c>
      <c r="E589" s="22" t="s">
        <v>7167</v>
      </c>
      <c r="F589" s="22" t="s">
        <v>198</v>
      </c>
      <c r="G589" s="22" t="n">
        <v>36</v>
      </c>
      <c r="H589" s="22" t="s">
        <v>6575</v>
      </c>
      <c r="I589" s="22" t="s">
        <v>8601</v>
      </c>
      <c r="J589" s="22" t="n">
        <v>10.4</v>
      </c>
      <c r="K589" s="22" t="n">
        <v>1</v>
      </c>
      <c r="L589" s="22" t="s">
        <v>8605</v>
      </c>
      <c r="M589" s="23" t="n">
        <v>45230</v>
      </c>
      <c r="N589" s="23" t="n">
        <v>45225</v>
      </c>
      <c r="O589" s="22" t="n">
        <v>5</v>
      </c>
      <c r="P589" s="22"/>
      <c r="Q589" s="22" t="s">
        <v>9376</v>
      </c>
      <c r="R589" s="22"/>
    </row>
    <row r="590" customFormat="false" ht="15" hidden="false" customHeight="false" outlineLevel="0" collapsed="false">
      <c r="A590" s="22" t="s">
        <v>9377</v>
      </c>
      <c r="B590" s="23" t="n">
        <v>45208</v>
      </c>
      <c r="C590" s="22" t="s">
        <v>189</v>
      </c>
      <c r="D590" s="22" t="n">
        <v>10</v>
      </c>
      <c r="E590" s="22" t="s">
        <v>7816</v>
      </c>
      <c r="F590" s="22" t="s">
        <v>215</v>
      </c>
      <c r="G590" s="22" t="n">
        <v>32</v>
      </c>
      <c r="H590" s="22" t="s">
        <v>7696</v>
      </c>
      <c r="I590" s="22" t="s">
        <v>8601</v>
      </c>
      <c r="J590" s="22" t="n">
        <v>7.55</v>
      </c>
      <c r="K590" s="22" t="n">
        <v>1</v>
      </c>
      <c r="L590" s="22" t="s">
        <v>8613</v>
      </c>
      <c r="M590" s="23" t="n">
        <v>45222</v>
      </c>
      <c r="N590" s="22"/>
      <c r="O590" s="22"/>
      <c r="P590" s="22"/>
      <c r="Q590" s="22"/>
      <c r="R590" s="22"/>
    </row>
    <row r="591" customFormat="false" ht="15" hidden="false" customHeight="false" outlineLevel="0" collapsed="false">
      <c r="A591" s="22" t="s">
        <v>9378</v>
      </c>
      <c r="B591" s="23" t="n">
        <v>45214</v>
      </c>
      <c r="C591" s="22" t="s">
        <v>2850</v>
      </c>
      <c r="D591" s="22" t="n">
        <v>1095</v>
      </c>
      <c r="E591" s="22" t="s">
        <v>7295</v>
      </c>
      <c r="F591" s="22" t="s">
        <v>198</v>
      </c>
      <c r="G591" s="22" t="n">
        <v>24</v>
      </c>
      <c r="H591" s="22" t="s">
        <v>6575</v>
      </c>
      <c r="I591" s="22" t="s">
        <v>8601</v>
      </c>
      <c r="J591" s="22" t="n">
        <v>10.4</v>
      </c>
      <c r="K591" s="22" t="n">
        <v>1</v>
      </c>
      <c r="L591" s="22" t="s">
        <v>8605</v>
      </c>
      <c r="M591" s="23" t="n">
        <v>45224</v>
      </c>
      <c r="N591" s="23" t="n">
        <v>45222</v>
      </c>
      <c r="O591" s="22" t="n">
        <v>8</v>
      </c>
      <c r="P591" s="22"/>
      <c r="Q591" s="22" t="s">
        <v>9379</v>
      </c>
      <c r="R591" s="22"/>
    </row>
    <row r="592" customFormat="false" ht="15" hidden="false" customHeight="false" outlineLevel="0" collapsed="false">
      <c r="A592" s="22" t="s">
        <v>9380</v>
      </c>
      <c r="B592" s="23" t="n">
        <v>45212</v>
      </c>
      <c r="C592" s="22" t="s">
        <v>740</v>
      </c>
      <c r="D592" s="22" t="n">
        <v>201</v>
      </c>
      <c r="E592" s="22" t="s">
        <v>8280</v>
      </c>
      <c r="F592" s="22" t="s">
        <v>499</v>
      </c>
      <c r="G592" s="22" t="n">
        <v>24</v>
      </c>
      <c r="H592" s="22" t="s">
        <v>7696</v>
      </c>
      <c r="I592" s="22" t="s">
        <v>8601</v>
      </c>
      <c r="J592" s="22" t="n">
        <v>7.55</v>
      </c>
      <c r="K592" s="22" t="n">
        <v>1</v>
      </c>
      <c r="L592" s="22" t="s">
        <v>8605</v>
      </c>
      <c r="M592" s="23" t="n">
        <v>45226</v>
      </c>
      <c r="N592" s="23" t="n">
        <v>45216</v>
      </c>
      <c r="O592" s="22" t="n">
        <v>4</v>
      </c>
      <c r="P592" s="22"/>
      <c r="Q592" s="22" t="s">
        <v>9195</v>
      </c>
      <c r="R592" s="22"/>
    </row>
    <row r="593" customFormat="false" ht="15" hidden="false" customHeight="false" outlineLevel="0" collapsed="false">
      <c r="A593" s="22" t="s">
        <v>9381</v>
      </c>
      <c r="B593" s="23" t="n">
        <v>45211</v>
      </c>
      <c r="C593" s="22" t="s">
        <v>2714</v>
      </c>
      <c r="D593" s="22" t="n">
        <v>1034</v>
      </c>
      <c r="E593" s="22" t="s">
        <v>8430</v>
      </c>
      <c r="F593" s="22" t="s">
        <v>188</v>
      </c>
      <c r="G593" s="22" t="n">
        <v>40</v>
      </c>
      <c r="H593" s="22" t="s">
        <v>7696</v>
      </c>
      <c r="I593" s="22" t="s">
        <v>8601</v>
      </c>
      <c r="J593" s="22" t="n">
        <v>7.55</v>
      </c>
      <c r="K593" s="22" t="n">
        <v>1</v>
      </c>
      <c r="L593" s="22" t="s">
        <v>8629</v>
      </c>
      <c r="M593" s="23" t="n">
        <v>45225</v>
      </c>
      <c r="N593" s="23" t="n">
        <v>45214</v>
      </c>
      <c r="O593" s="22" t="n">
        <v>3</v>
      </c>
      <c r="P593" s="22"/>
      <c r="Q593" s="22"/>
      <c r="R593" s="22"/>
    </row>
    <row r="594" customFormat="false" ht="15" hidden="false" customHeight="false" outlineLevel="0" collapsed="false">
      <c r="A594" s="22" t="s">
        <v>9382</v>
      </c>
      <c r="B594" s="23" t="n">
        <v>45220</v>
      </c>
      <c r="C594" s="22" t="s">
        <v>6492</v>
      </c>
      <c r="D594" s="22" t="n">
        <v>2879</v>
      </c>
      <c r="E594" s="22" t="s">
        <v>7471</v>
      </c>
      <c r="F594" s="22" t="s">
        <v>159</v>
      </c>
      <c r="G594" s="22" t="n">
        <v>36</v>
      </c>
      <c r="H594" s="22" t="s">
        <v>6575</v>
      </c>
      <c r="I594" s="22" t="s">
        <v>8601</v>
      </c>
      <c r="J594" s="22" t="n">
        <v>10.4</v>
      </c>
      <c r="K594" s="22" t="n">
        <v>1</v>
      </c>
      <c r="L594" s="22" t="s">
        <v>8605</v>
      </c>
      <c r="M594" s="23" t="n">
        <v>45230</v>
      </c>
      <c r="N594" s="23" t="n">
        <v>45231</v>
      </c>
      <c r="O594" s="22" t="n">
        <v>11</v>
      </c>
      <c r="P594" s="22"/>
      <c r="Q594" s="22" t="s">
        <v>9265</v>
      </c>
      <c r="R594" s="22"/>
    </row>
    <row r="595" customFormat="false" ht="15" hidden="false" customHeight="false" outlineLevel="0" collapsed="false">
      <c r="A595" s="22" t="s">
        <v>9383</v>
      </c>
      <c r="B595" s="23" t="n">
        <v>45216</v>
      </c>
      <c r="C595" s="22" t="s">
        <v>4836</v>
      </c>
      <c r="D595" s="22" t="n">
        <v>2051</v>
      </c>
      <c r="E595" s="22" t="s">
        <v>7361</v>
      </c>
      <c r="F595" s="22" t="s">
        <v>159</v>
      </c>
      <c r="G595" s="22" t="n">
        <v>24</v>
      </c>
      <c r="H595" s="22" t="s">
        <v>6575</v>
      </c>
      <c r="I595" s="22" t="s">
        <v>8601</v>
      </c>
      <c r="J595" s="22" t="n">
        <v>10.4</v>
      </c>
      <c r="K595" s="22" t="n">
        <v>2</v>
      </c>
      <c r="L595" s="22" t="s">
        <v>8605</v>
      </c>
      <c r="M595" s="23" t="n">
        <v>45226</v>
      </c>
      <c r="N595" s="23" t="n">
        <v>45228</v>
      </c>
      <c r="O595" s="22" t="n">
        <v>12</v>
      </c>
      <c r="P595" s="22"/>
      <c r="Q595" s="22" t="s">
        <v>9384</v>
      </c>
      <c r="R595" s="22"/>
    </row>
    <row r="596" customFormat="false" ht="15" hidden="false" customHeight="false" outlineLevel="0" collapsed="false">
      <c r="A596" s="22" t="s">
        <v>9385</v>
      </c>
      <c r="B596" s="23" t="n">
        <v>45200</v>
      </c>
      <c r="C596" s="22" t="s">
        <v>4060</v>
      </c>
      <c r="D596" s="22" t="n">
        <v>1672</v>
      </c>
      <c r="E596" s="22" t="s">
        <v>7567</v>
      </c>
      <c r="F596" s="22" t="s">
        <v>159</v>
      </c>
      <c r="G596" s="22" t="n">
        <v>32</v>
      </c>
      <c r="H596" s="22" t="s">
        <v>6575</v>
      </c>
      <c r="I596" s="22" t="s">
        <v>8601</v>
      </c>
      <c r="J596" s="22" t="n">
        <v>10.4</v>
      </c>
      <c r="K596" s="22" t="n">
        <v>1</v>
      </c>
      <c r="L596" s="22" t="s">
        <v>8605</v>
      </c>
      <c r="M596" s="23" t="n">
        <v>45210</v>
      </c>
      <c r="N596" s="23" t="n">
        <v>45210</v>
      </c>
      <c r="O596" s="22" t="n">
        <v>10</v>
      </c>
      <c r="P596" s="22"/>
      <c r="Q596" s="22" t="s">
        <v>9267</v>
      </c>
      <c r="R596" s="22"/>
    </row>
    <row r="597" customFormat="false" ht="15" hidden="false" customHeight="false" outlineLevel="0" collapsed="false">
      <c r="A597" s="22" t="s">
        <v>9386</v>
      </c>
      <c r="B597" s="23" t="n">
        <v>45223</v>
      </c>
      <c r="C597" s="22" t="s">
        <v>5026</v>
      </c>
      <c r="D597" s="22" t="n">
        <v>2145</v>
      </c>
      <c r="E597" s="22" t="s">
        <v>8539</v>
      </c>
      <c r="F597" s="22" t="s">
        <v>188</v>
      </c>
      <c r="G597" s="22" t="n">
        <v>40</v>
      </c>
      <c r="H597" s="22" t="s">
        <v>7696</v>
      </c>
      <c r="I597" s="22" t="s">
        <v>8601</v>
      </c>
      <c r="J597" s="22" t="n">
        <v>7.55</v>
      </c>
      <c r="K597" s="22" t="n">
        <v>1</v>
      </c>
      <c r="L597" s="22" t="s">
        <v>8629</v>
      </c>
      <c r="M597" s="23" t="n">
        <v>45237</v>
      </c>
      <c r="N597" s="23" t="n">
        <v>45228</v>
      </c>
      <c r="O597" s="22" t="n">
        <v>5</v>
      </c>
      <c r="P597" s="22"/>
      <c r="Q597" s="22"/>
      <c r="R597" s="22"/>
    </row>
    <row r="598" customFormat="false" ht="15" hidden="false" customHeight="false" outlineLevel="0" collapsed="false">
      <c r="A598" s="22" t="s">
        <v>9387</v>
      </c>
      <c r="B598" s="23" t="n">
        <v>45224</v>
      </c>
      <c r="C598" s="22" t="s">
        <v>2687</v>
      </c>
      <c r="D598" s="22" t="n">
        <v>1021</v>
      </c>
      <c r="E598" s="22" t="s">
        <v>6808</v>
      </c>
      <c r="F598" s="22" t="s">
        <v>198</v>
      </c>
      <c r="G598" s="22" t="n">
        <v>28</v>
      </c>
      <c r="H598" s="22" t="s">
        <v>6575</v>
      </c>
      <c r="I598" s="22" t="s">
        <v>8601</v>
      </c>
      <c r="J598" s="22" t="n">
        <v>10.4</v>
      </c>
      <c r="K598" s="22" t="n">
        <v>1</v>
      </c>
      <c r="L598" s="22" t="s">
        <v>8605</v>
      </c>
      <c r="M598" s="23" t="n">
        <v>45234</v>
      </c>
      <c r="N598" s="23" t="n">
        <v>45228</v>
      </c>
      <c r="O598" s="22" t="n">
        <v>4</v>
      </c>
      <c r="P598" s="22"/>
      <c r="Q598" s="22" t="s">
        <v>9388</v>
      </c>
      <c r="R598" s="22"/>
    </row>
    <row r="599" customFormat="false" ht="15" hidden="false" customHeight="false" outlineLevel="0" collapsed="false">
      <c r="A599" s="22" t="s">
        <v>9389</v>
      </c>
      <c r="B599" s="23" t="n">
        <v>45217</v>
      </c>
      <c r="C599" s="22" t="s">
        <v>6101</v>
      </c>
      <c r="D599" s="22" t="n">
        <v>2680</v>
      </c>
      <c r="E599" s="22" t="s">
        <v>7890</v>
      </c>
      <c r="F599" s="22" t="s">
        <v>215</v>
      </c>
      <c r="G599" s="22" t="n">
        <v>45</v>
      </c>
      <c r="H599" s="22" t="s">
        <v>7696</v>
      </c>
      <c r="I599" s="22" t="s">
        <v>8601</v>
      </c>
      <c r="J599" s="22" t="n">
        <v>7.55</v>
      </c>
      <c r="K599" s="22" t="n">
        <v>1</v>
      </c>
      <c r="L599" s="22" t="s">
        <v>8629</v>
      </c>
      <c r="M599" s="23" t="n">
        <v>45231</v>
      </c>
      <c r="N599" s="23" t="n">
        <v>45226</v>
      </c>
      <c r="O599" s="22" t="n">
        <v>9</v>
      </c>
      <c r="P599" s="22"/>
      <c r="Q599" s="22"/>
      <c r="R599" s="22"/>
    </row>
    <row r="600" customFormat="false" ht="15" hidden="false" customHeight="false" outlineLevel="0" collapsed="false">
      <c r="A600" s="22" t="s">
        <v>9390</v>
      </c>
      <c r="B600" s="23" t="n">
        <v>45202</v>
      </c>
      <c r="C600" s="22" t="s">
        <v>2731</v>
      </c>
      <c r="D600" s="22" t="n">
        <v>1041</v>
      </c>
      <c r="E600" s="22" t="s">
        <v>8195</v>
      </c>
      <c r="F600" s="22" t="s">
        <v>499</v>
      </c>
      <c r="G600" s="22" t="n">
        <v>50</v>
      </c>
      <c r="H600" s="22" t="s">
        <v>7696</v>
      </c>
      <c r="I600" s="22" t="s">
        <v>8601</v>
      </c>
      <c r="J600" s="22" t="n">
        <v>7.55</v>
      </c>
      <c r="K600" s="22" t="n">
        <v>1</v>
      </c>
      <c r="L600" s="22" t="s">
        <v>157</v>
      </c>
      <c r="M600" s="23" t="n">
        <v>45216</v>
      </c>
      <c r="N600" s="23" t="n">
        <v>45204</v>
      </c>
      <c r="O600" s="22" t="n">
        <v>2</v>
      </c>
      <c r="P600" s="22"/>
      <c r="Q600" s="22"/>
      <c r="R600" s="22"/>
    </row>
    <row r="601" customFormat="false" ht="15" hidden="false" customHeight="false" outlineLevel="0" collapsed="false">
      <c r="A601" s="22" t="s">
        <v>9391</v>
      </c>
      <c r="B601" s="23" t="n">
        <v>45204</v>
      </c>
      <c r="C601" s="22" t="s">
        <v>1266</v>
      </c>
      <c r="D601" s="22" t="n">
        <v>403</v>
      </c>
      <c r="E601" s="22" t="s">
        <v>8355</v>
      </c>
      <c r="F601" s="22" t="s">
        <v>188</v>
      </c>
      <c r="G601" s="22" t="n">
        <v>32</v>
      </c>
      <c r="H601" s="22" t="s">
        <v>7696</v>
      </c>
      <c r="I601" s="22" t="s">
        <v>8601</v>
      </c>
      <c r="J601" s="22" t="n">
        <v>7.55</v>
      </c>
      <c r="K601" s="22" t="n">
        <v>2</v>
      </c>
      <c r="L601" s="22" t="s">
        <v>8605</v>
      </c>
      <c r="M601" s="23" t="n">
        <v>45218</v>
      </c>
      <c r="N601" s="23" t="n">
        <v>45207</v>
      </c>
      <c r="O601" s="22" t="n">
        <v>3</v>
      </c>
      <c r="P601" s="22"/>
      <c r="Q601" s="22" t="s">
        <v>9392</v>
      </c>
      <c r="R601" s="22"/>
    </row>
    <row r="602" customFormat="false" ht="15" hidden="false" customHeight="false" outlineLevel="0" collapsed="false">
      <c r="A602" s="22" t="s">
        <v>9393</v>
      </c>
      <c r="B602" s="23" t="n">
        <v>45200</v>
      </c>
      <c r="C602" s="22" t="s">
        <v>6477</v>
      </c>
      <c r="D602" s="22" t="n">
        <v>2872</v>
      </c>
      <c r="E602" s="22" t="s">
        <v>7987</v>
      </c>
      <c r="F602" s="22" t="s">
        <v>215</v>
      </c>
      <c r="G602" s="22" t="n">
        <v>50</v>
      </c>
      <c r="H602" s="22" t="s">
        <v>7696</v>
      </c>
      <c r="I602" s="22" t="s">
        <v>8601</v>
      </c>
      <c r="J602" s="22" t="n">
        <v>7.55</v>
      </c>
      <c r="K602" s="22" t="n">
        <v>1</v>
      </c>
      <c r="L602" s="22" t="s">
        <v>8605</v>
      </c>
      <c r="M602" s="23" t="n">
        <v>45214</v>
      </c>
      <c r="N602" s="23" t="n">
        <v>45204</v>
      </c>
      <c r="O602" s="22" t="n">
        <v>4</v>
      </c>
      <c r="P602" s="22"/>
      <c r="Q602" s="22" t="s">
        <v>9394</v>
      </c>
      <c r="R602" s="22"/>
    </row>
    <row r="603" customFormat="false" ht="15" hidden="false" customHeight="false" outlineLevel="0" collapsed="false">
      <c r="A603" s="22" t="s">
        <v>9395</v>
      </c>
      <c r="B603" s="23" t="n">
        <v>45220</v>
      </c>
      <c r="C603" s="22" t="s">
        <v>2984</v>
      </c>
      <c r="D603" s="22" t="n">
        <v>1156</v>
      </c>
      <c r="E603" s="22" t="s">
        <v>7710</v>
      </c>
      <c r="F603" s="22" t="s">
        <v>215</v>
      </c>
      <c r="G603" s="22" t="n">
        <v>28</v>
      </c>
      <c r="H603" s="22" t="s">
        <v>7696</v>
      </c>
      <c r="I603" s="22" t="s">
        <v>8601</v>
      </c>
      <c r="J603" s="22" t="n">
        <v>7.55</v>
      </c>
      <c r="K603" s="22" t="n">
        <v>2</v>
      </c>
      <c r="L603" s="22" t="s">
        <v>8605</v>
      </c>
      <c r="M603" s="23" t="n">
        <v>45234</v>
      </c>
      <c r="N603" s="23" t="n">
        <v>45224</v>
      </c>
      <c r="O603" s="22" t="n">
        <v>4</v>
      </c>
      <c r="P603" s="22"/>
      <c r="Q603" s="22" t="s">
        <v>9261</v>
      </c>
      <c r="R603" s="22"/>
    </row>
    <row r="604" customFormat="false" ht="15" hidden="false" customHeight="false" outlineLevel="0" collapsed="false">
      <c r="A604" s="22" t="s">
        <v>9396</v>
      </c>
      <c r="B604" s="23" t="n">
        <v>45223</v>
      </c>
      <c r="C604" s="22" t="s">
        <v>5363</v>
      </c>
      <c r="D604" s="22" t="n">
        <v>2312</v>
      </c>
      <c r="E604" s="22" t="s">
        <v>7554</v>
      </c>
      <c r="F604" s="22" t="s">
        <v>159</v>
      </c>
      <c r="G604" s="22" t="n">
        <v>36</v>
      </c>
      <c r="H604" s="22" t="s">
        <v>6575</v>
      </c>
      <c r="I604" s="22" t="s">
        <v>8601</v>
      </c>
      <c r="J604" s="22" t="n">
        <v>10.4</v>
      </c>
      <c r="K604" s="22" t="n">
        <v>1</v>
      </c>
      <c r="L604" s="22" t="s">
        <v>8605</v>
      </c>
      <c r="M604" s="23" t="n">
        <v>45233</v>
      </c>
      <c r="N604" s="23" t="n">
        <v>45231</v>
      </c>
      <c r="O604" s="22" t="n">
        <v>8</v>
      </c>
      <c r="P604" s="22"/>
      <c r="Q604" s="22" t="s">
        <v>9397</v>
      </c>
      <c r="R604" s="22"/>
    </row>
    <row r="605" customFormat="false" ht="15" hidden="false" customHeight="false" outlineLevel="0" collapsed="false">
      <c r="A605" s="22" t="s">
        <v>9398</v>
      </c>
      <c r="B605" s="23" t="n">
        <v>45204</v>
      </c>
      <c r="C605" s="22" t="s">
        <v>1721</v>
      </c>
      <c r="D605" s="22" t="n">
        <v>594</v>
      </c>
      <c r="E605" s="22" t="s">
        <v>8228</v>
      </c>
      <c r="F605" s="22" t="s">
        <v>499</v>
      </c>
      <c r="G605" s="22" t="n">
        <v>24</v>
      </c>
      <c r="H605" s="22" t="s">
        <v>7696</v>
      </c>
      <c r="I605" s="22" t="s">
        <v>8601</v>
      </c>
      <c r="J605" s="22" t="n">
        <v>7.55</v>
      </c>
      <c r="K605" s="22" t="n">
        <v>1</v>
      </c>
      <c r="L605" s="22" t="s">
        <v>8602</v>
      </c>
      <c r="M605" s="23" t="n">
        <v>45218</v>
      </c>
      <c r="N605" s="22"/>
      <c r="O605" s="22"/>
      <c r="P605" s="22" t="s">
        <v>8603</v>
      </c>
      <c r="Q605" s="22"/>
      <c r="R605" s="22"/>
    </row>
    <row r="606" customFormat="false" ht="15" hidden="false" customHeight="false" outlineLevel="0" collapsed="false">
      <c r="A606" s="22" t="s">
        <v>9399</v>
      </c>
      <c r="B606" s="23" t="n">
        <v>45202</v>
      </c>
      <c r="C606" s="22" t="s">
        <v>3569</v>
      </c>
      <c r="D606" s="22" t="n">
        <v>1432</v>
      </c>
      <c r="E606" s="22" t="s">
        <v>6863</v>
      </c>
      <c r="F606" s="22" t="s">
        <v>198</v>
      </c>
      <c r="G606" s="22" t="n">
        <v>32</v>
      </c>
      <c r="H606" s="22" t="s">
        <v>6575</v>
      </c>
      <c r="I606" s="22" t="s">
        <v>8601</v>
      </c>
      <c r="J606" s="22" t="n">
        <v>10.4</v>
      </c>
      <c r="K606" s="22" t="n">
        <v>1</v>
      </c>
      <c r="L606" s="22" t="s">
        <v>8613</v>
      </c>
      <c r="M606" s="23" t="n">
        <v>45212</v>
      </c>
      <c r="N606" s="22"/>
      <c r="O606" s="22"/>
      <c r="P606" s="22"/>
      <c r="Q606" s="22"/>
      <c r="R606" s="22"/>
    </row>
    <row r="607" customFormat="false" ht="15" hidden="false" customHeight="false" outlineLevel="0" collapsed="false">
      <c r="A607" s="22" t="s">
        <v>9400</v>
      </c>
      <c r="B607" s="23" t="n">
        <v>45202</v>
      </c>
      <c r="C607" s="22" t="s">
        <v>2712</v>
      </c>
      <c r="D607" s="22" t="n">
        <v>1033</v>
      </c>
      <c r="E607" s="22" t="s">
        <v>8257</v>
      </c>
      <c r="F607" s="22" t="s">
        <v>499</v>
      </c>
      <c r="G607" s="22" t="n">
        <v>45</v>
      </c>
      <c r="H607" s="22" t="s">
        <v>7696</v>
      </c>
      <c r="I607" s="22" t="s">
        <v>8601</v>
      </c>
      <c r="J607" s="22" t="n">
        <v>7.55</v>
      </c>
      <c r="K607" s="22" t="n">
        <v>1</v>
      </c>
      <c r="L607" s="22" t="s">
        <v>8605</v>
      </c>
      <c r="M607" s="23" t="n">
        <v>45216</v>
      </c>
      <c r="N607" s="23" t="n">
        <v>45217</v>
      </c>
      <c r="O607" s="22" t="n">
        <v>15</v>
      </c>
      <c r="P607" s="22"/>
      <c r="Q607" s="22" t="s">
        <v>9045</v>
      </c>
      <c r="R607" s="22"/>
    </row>
    <row r="608" customFormat="false" ht="15" hidden="false" customHeight="false" outlineLevel="0" collapsed="false">
      <c r="A608" s="22" t="s">
        <v>9401</v>
      </c>
      <c r="B608" s="23" t="n">
        <v>45215</v>
      </c>
      <c r="C608" s="22" t="s">
        <v>384</v>
      </c>
      <c r="D608" s="22" t="n">
        <v>76</v>
      </c>
      <c r="E608" s="22" t="s">
        <v>7930</v>
      </c>
      <c r="F608" s="22" t="s">
        <v>215</v>
      </c>
      <c r="G608" s="22" t="n">
        <v>70</v>
      </c>
      <c r="H608" s="22" t="s">
        <v>7696</v>
      </c>
      <c r="I608" s="22" t="s">
        <v>8601</v>
      </c>
      <c r="J608" s="22" t="n">
        <v>7.55</v>
      </c>
      <c r="K608" s="22" t="n">
        <v>1</v>
      </c>
      <c r="L608" s="22" t="s">
        <v>8605</v>
      </c>
      <c r="M608" s="23" t="n">
        <v>45229</v>
      </c>
      <c r="N608" s="23" t="n">
        <v>45216</v>
      </c>
      <c r="O608" s="22" t="n">
        <v>1</v>
      </c>
      <c r="P608" s="22"/>
      <c r="Q608" s="22" t="s">
        <v>9402</v>
      </c>
      <c r="R608" s="22"/>
    </row>
    <row r="609" customFormat="false" ht="15" hidden="false" customHeight="false" outlineLevel="0" collapsed="false">
      <c r="A609" s="22" t="s">
        <v>9403</v>
      </c>
      <c r="B609" s="23" t="n">
        <v>45213</v>
      </c>
      <c r="C609" s="22" t="s">
        <v>371</v>
      </c>
      <c r="D609" s="22" t="n">
        <v>71</v>
      </c>
      <c r="E609" s="22" t="s">
        <v>8277</v>
      </c>
      <c r="F609" s="22" t="s">
        <v>499</v>
      </c>
      <c r="G609" s="22" t="n">
        <v>28</v>
      </c>
      <c r="H609" s="22" t="s">
        <v>7696</v>
      </c>
      <c r="I609" s="22" t="s">
        <v>8601</v>
      </c>
      <c r="J609" s="22" t="n">
        <v>7.55</v>
      </c>
      <c r="K609" s="22" t="n">
        <v>1</v>
      </c>
      <c r="L609" s="22" t="s">
        <v>8605</v>
      </c>
      <c r="M609" s="23" t="n">
        <v>45227</v>
      </c>
      <c r="N609" s="23" t="n">
        <v>45219</v>
      </c>
      <c r="O609" s="22" t="n">
        <v>6</v>
      </c>
      <c r="P609" s="22"/>
      <c r="Q609" s="22" t="s">
        <v>9404</v>
      </c>
      <c r="R609" s="22"/>
    </row>
    <row r="610" customFormat="false" ht="15" hidden="false" customHeight="false" outlineLevel="0" collapsed="false">
      <c r="A610" s="22" t="s">
        <v>9405</v>
      </c>
      <c r="B610" s="23" t="n">
        <v>45220</v>
      </c>
      <c r="C610" s="22" t="s">
        <v>2456</v>
      </c>
      <c r="D610" s="22" t="n">
        <v>918</v>
      </c>
      <c r="E610" s="22" t="s">
        <v>7332</v>
      </c>
      <c r="F610" s="22" t="s">
        <v>159</v>
      </c>
      <c r="G610" s="22" t="n">
        <v>24</v>
      </c>
      <c r="H610" s="22" t="s">
        <v>6575</v>
      </c>
      <c r="I610" s="22" t="s">
        <v>8601</v>
      </c>
      <c r="J610" s="22" t="n">
        <v>10.4</v>
      </c>
      <c r="K610" s="22" t="n">
        <v>1</v>
      </c>
      <c r="L610" s="22" t="s">
        <v>8602</v>
      </c>
      <c r="M610" s="23" t="n">
        <v>45230</v>
      </c>
      <c r="N610" s="22"/>
      <c r="O610" s="22"/>
      <c r="P610" s="22" t="s">
        <v>8637</v>
      </c>
      <c r="Q610" s="22"/>
      <c r="R610" s="22"/>
    </row>
    <row r="611" customFormat="false" ht="15" hidden="false" customHeight="false" outlineLevel="0" collapsed="false">
      <c r="A611" s="22" t="s">
        <v>9406</v>
      </c>
      <c r="B611" s="23" t="n">
        <v>45207</v>
      </c>
      <c r="C611" s="22" t="s">
        <v>3984</v>
      </c>
      <c r="D611" s="22" t="n">
        <v>1635</v>
      </c>
      <c r="E611" s="22" t="s">
        <v>8297</v>
      </c>
      <c r="F611" s="22" t="s">
        <v>499</v>
      </c>
      <c r="G611" s="22" t="n">
        <v>24</v>
      </c>
      <c r="H611" s="22" t="s">
        <v>7696</v>
      </c>
      <c r="I611" s="22" t="s">
        <v>8601</v>
      </c>
      <c r="J611" s="22" t="n">
        <v>7.55</v>
      </c>
      <c r="K611" s="22" t="n">
        <v>1</v>
      </c>
      <c r="L611" s="22" t="s">
        <v>8605</v>
      </c>
      <c r="M611" s="23" t="n">
        <v>45221</v>
      </c>
      <c r="N611" s="23" t="n">
        <v>45212</v>
      </c>
      <c r="O611" s="22" t="n">
        <v>5</v>
      </c>
      <c r="P611" s="22"/>
      <c r="Q611" s="22" t="s">
        <v>9407</v>
      </c>
      <c r="R611" s="22"/>
    </row>
    <row r="612" customFormat="false" ht="15" hidden="false" customHeight="false" outlineLevel="0" collapsed="false">
      <c r="A612" s="22" t="s">
        <v>9408</v>
      </c>
      <c r="B612" s="23" t="n">
        <v>45202</v>
      </c>
      <c r="C612" s="22" t="s">
        <v>4254</v>
      </c>
      <c r="D612" s="22" t="n">
        <v>1767</v>
      </c>
      <c r="E612" s="22" t="s">
        <v>8372</v>
      </c>
      <c r="F612" s="22" t="s">
        <v>188</v>
      </c>
      <c r="G612" s="22" t="n">
        <v>36</v>
      </c>
      <c r="H612" s="22" t="s">
        <v>7696</v>
      </c>
      <c r="I612" s="22" t="s">
        <v>8601</v>
      </c>
      <c r="J612" s="22" t="n">
        <v>7.55</v>
      </c>
      <c r="K612" s="22" t="n">
        <v>2</v>
      </c>
      <c r="L612" s="22" t="s">
        <v>8629</v>
      </c>
      <c r="M612" s="23" t="n">
        <v>45216</v>
      </c>
      <c r="N612" s="23" t="n">
        <v>45203</v>
      </c>
      <c r="O612" s="22" t="n">
        <v>1</v>
      </c>
      <c r="P612" s="22"/>
      <c r="Q612" s="22"/>
      <c r="R612" s="22"/>
    </row>
    <row r="613" customFormat="false" ht="15" hidden="false" customHeight="false" outlineLevel="0" collapsed="false">
      <c r="A613" s="22" t="s">
        <v>9409</v>
      </c>
      <c r="B613" s="23" t="n">
        <v>45207</v>
      </c>
      <c r="C613" s="22" t="s">
        <v>3118</v>
      </c>
      <c r="D613" s="22" t="n">
        <v>1216</v>
      </c>
      <c r="E613" s="22" t="s">
        <v>7799</v>
      </c>
      <c r="F613" s="22" t="s">
        <v>215</v>
      </c>
      <c r="G613" s="22" t="n">
        <v>80</v>
      </c>
      <c r="H613" s="22" t="s">
        <v>7696</v>
      </c>
      <c r="I613" s="22" t="s">
        <v>8601</v>
      </c>
      <c r="J613" s="22" t="n">
        <v>7.55</v>
      </c>
      <c r="K613" s="22" t="n">
        <v>1</v>
      </c>
      <c r="L613" s="22" t="s">
        <v>8605</v>
      </c>
      <c r="M613" s="23" t="n">
        <v>45221</v>
      </c>
      <c r="N613" s="23" t="n">
        <v>45221</v>
      </c>
      <c r="O613" s="22" t="n">
        <v>14</v>
      </c>
      <c r="P613" s="22"/>
      <c r="Q613" s="22" t="s">
        <v>9410</v>
      </c>
      <c r="R613" s="22"/>
    </row>
    <row r="614" customFormat="false" ht="15" hidden="false" customHeight="false" outlineLevel="0" collapsed="false">
      <c r="A614" s="22" t="s">
        <v>9411</v>
      </c>
      <c r="B614" s="23" t="n">
        <v>45223</v>
      </c>
      <c r="C614" s="22" t="s">
        <v>6431</v>
      </c>
      <c r="D614" s="22" t="n">
        <v>2849</v>
      </c>
      <c r="E614" s="22" t="s">
        <v>8430</v>
      </c>
      <c r="F614" s="22" t="s">
        <v>188</v>
      </c>
      <c r="G614" s="22" t="n">
        <v>40</v>
      </c>
      <c r="H614" s="22" t="s">
        <v>7696</v>
      </c>
      <c r="I614" s="22" t="s">
        <v>8601</v>
      </c>
      <c r="J614" s="22" t="n">
        <v>7.55</v>
      </c>
      <c r="K614" s="22" t="n">
        <v>2</v>
      </c>
      <c r="L614" s="22" t="s">
        <v>8602</v>
      </c>
      <c r="M614" s="23" t="n">
        <v>45237</v>
      </c>
      <c r="N614" s="22"/>
      <c r="O614" s="22"/>
      <c r="P614" s="22" t="s">
        <v>8618</v>
      </c>
      <c r="Q614" s="22"/>
      <c r="R614" s="22"/>
    </row>
    <row r="615" customFormat="false" ht="15" hidden="false" customHeight="false" outlineLevel="0" collapsed="false">
      <c r="A615" s="22" t="s">
        <v>9412</v>
      </c>
      <c r="B615" s="23" t="n">
        <v>45218</v>
      </c>
      <c r="C615" s="22" t="s">
        <v>1889</v>
      </c>
      <c r="D615" s="22" t="n">
        <v>664</v>
      </c>
      <c r="E615" s="22" t="s">
        <v>6615</v>
      </c>
      <c r="F615" s="22" t="s">
        <v>198</v>
      </c>
      <c r="G615" s="22" t="n">
        <v>36</v>
      </c>
      <c r="H615" s="22" t="s">
        <v>6575</v>
      </c>
      <c r="I615" s="22" t="s">
        <v>8601</v>
      </c>
      <c r="J615" s="22" t="n">
        <v>10.4</v>
      </c>
      <c r="K615" s="22" t="n">
        <v>2</v>
      </c>
      <c r="L615" s="22" t="s">
        <v>8613</v>
      </c>
      <c r="M615" s="23" t="n">
        <v>45228</v>
      </c>
      <c r="N615" s="22"/>
      <c r="O615" s="22"/>
      <c r="P615" s="22"/>
      <c r="Q615" s="22"/>
      <c r="R615" s="22"/>
    </row>
    <row r="616" customFormat="false" ht="15" hidden="false" customHeight="false" outlineLevel="0" collapsed="false">
      <c r="A616" s="22" t="s">
        <v>9413</v>
      </c>
      <c r="B616" s="23" t="n">
        <v>45209</v>
      </c>
      <c r="C616" s="22" t="s">
        <v>4283</v>
      </c>
      <c r="D616" s="22" t="n">
        <v>1781</v>
      </c>
      <c r="E616" s="22" t="s">
        <v>8316</v>
      </c>
      <c r="F616" s="22" t="s">
        <v>499</v>
      </c>
      <c r="G616" s="22" t="n">
        <v>32</v>
      </c>
      <c r="H616" s="22" t="s">
        <v>7696</v>
      </c>
      <c r="I616" s="22" t="s">
        <v>8601</v>
      </c>
      <c r="J616" s="22" t="n">
        <v>7.55</v>
      </c>
      <c r="K616" s="22" t="n">
        <v>1</v>
      </c>
      <c r="L616" s="22" t="s">
        <v>8605</v>
      </c>
      <c r="M616" s="23" t="n">
        <v>45223</v>
      </c>
      <c r="N616" s="23" t="n">
        <v>45212</v>
      </c>
      <c r="O616" s="22" t="n">
        <v>3</v>
      </c>
      <c r="P616" s="22"/>
      <c r="Q616" s="22" t="s">
        <v>9414</v>
      </c>
      <c r="R616" s="22"/>
    </row>
    <row r="617" customFormat="false" ht="15" hidden="false" customHeight="false" outlineLevel="0" collapsed="false">
      <c r="A617" s="22" t="s">
        <v>9415</v>
      </c>
      <c r="B617" s="23" t="n">
        <v>45218</v>
      </c>
      <c r="C617" s="22" t="s">
        <v>5704</v>
      </c>
      <c r="D617" s="22" t="n">
        <v>2482</v>
      </c>
      <c r="E617" s="22" t="s">
        <v>7045</v>
      </c>
      <c r="F617" s="22" t="s">
        <v>198</v>
      </c>
      <c r="G617" s="22" t="n">
        <v>32</v>
      </c>
      <c r="H617" s="22" t="s">
        <v>6575</v>
      </c>
      <c r="I617" s="22" t="s">
        <v>8601</v>
      </c>
      <c r="J617" s="22" t="n">
        <v>10.4</v>
      </c>
      <c r="K617" s="22" t="n">
        <v>1</v>
      </c>
      <c r="L617" s="22" t="s">
        <v>8605</v>
      </c>
      <c r="M617" s="23" t="n">
        <v>45228</v>
      </c>
      <c r="N617" s="23" t="n">
        <v>45228</v>
      </c>
      <c r="O617" s="22" t="n">
        <v>10</v>
      </c>
      <c r="P617" s="22"/>
      <c r="Q617" s="22" t="s">
        <v>9416</v>
      </c>
      <c r="R617" s="22"/>
    </row>
    <row r="618" customFormat="false" ht="15" hidden="false" customHeight="false" outlineLevel="0" collapsed="false">
      <c r="A618" s="22" t="s">
        <v>9417</v>
      </c>
      <c r="B618" s="23" t="n">
        <v>45208</v>
      </c>
      <c r="C618" s="22" t="s">
        <v>1983</v>
      </c>
      <c r="D618" s="22" t="n">
        <v>704</v>
      </c>
      <c r="E618" s="22" t="s">
        <v>7936</v>
      </c>
      <c r="F618" s="22" t="s">
        <v>215</v>
      </c>
      <c r="G618" s="22" t="n">
        <v>32</v>
      </c>
      <c r="H618" s="22" t="s">
        <v>7696</v>
      </c>
      <c r="I618" s="22" t="s">
        <v>8601</v>
      </c>
      <c r="J618" s="22" t="n">
        <v>7.55</v>
      </c>
      <c r="K618" s="22" t="n">
        <v>1</v>
      </c>
      <c r="L618" s="22" t="s">
        <v>8602</v>
      </c>
      <c r="M618" s="23" t="n">
        <v>45222</v>
      </c>
      <c r="N618" s="22"/>
      <c r="O618" s="22"/>
      <c r="P618" s="22" t="s">
        <v>8637</v>
      </c>
      <c r="Q618" s="22"/>
      <c r="R618" s="22"/>
    </row>
    <row r="619" customFormat="false" ht="15" hidden="false" customHeight="false" outlineLevel="0" collapsed="false">
      <c r="A619" s="22" t="s">
        <v>9418</v>
      </c>
      <c r="B619" s="23" t="n">
        <v>45213</v>
      </c>
      <c r="C619" s="22" t="s">
        <v>5716</v>
      </c>
      <c r="D619" s="22" t="n">
        <v>2488</v>
      </c>
      <c r="E619" s="22" t="s">
        <v>6742</v>
      </c>
      <c r="F619" s="22" t="s">
        <v>198</v>
      </c>
      <c r="G619" s="22" t="n">
        <v>36</v>
      </c>
      <c r="H619" s="22" t="s">
        <v>6575</v>
      </c>
      <c r="I619" s="22" t="s">
        <v>8601</v>
      </c>
      <c r="J619" s="22" t="n">
        <v>10.4</v>
      </c>
      <c r="K619" s="22" t="n">
        <v>1</v>
      </c>
      <c r="L619" s="22" t="s">
        <v>8629</v>
      </c>
      <c r="M619" s="23" t="n">
        <v>45223</v>
      </c>
      <c r="N619" s="23" t="n">
        <v>45216</v>
      </c>
      <c r="O619" s="22" t="n">
        <v>3</v>
      </c>
      <c r="P619" s="22"/>
      <c r="Q619" s="22"/>
      <c r="R619" s="22"/>
    </row>
    <row r="620" customFormat="false" ht="15" hidden="false" customHeight="false" outlineLevel="0" collapsed="false">
      <c r="A620" s="22" t="s">
        <v>9419</v>
      </c>
      <c r="B620" s="23" t="n">
        <v>45202</v>
      </c>
      <c r="C620" s="22" t="s">
        <v>2785</v>
      </c>
      <c r="D620" s="22" t="n">
        <v>1065</v>
      </c>
      <c r="E620" s="22" t="s">
        <v>7462</v>
      </c>
      <c r="F620" s="22" t="s">
        <v>159</v>
      </c>
      <c r="G620" s="22" t="n">
        <v>24</v>
      </c>
      <c r="H620" s="22" t="s">
        <v>6575</v>
      </c>
      <c r="I620" s="22" t="s">
        <v>8601</v>
      </c>
      <c r="J620" s="22" t="n">
        <v>10.4</v>
      </c>
      <c r="K620" s="22" t="n">
        <v>2</v>
      </c>
      <c r="L620" s="22" t="s">
        <v>157</v>
      </c>
      <c r="M620" s="23" t="n">
        <v>45212</v>
      </c>
      <c r="N620" s="23" t="n">
        <v>45204</v>
      </c>
      <c r="O620" s="22" t="n">
        <v>2</v>
      </c>
      <c r="P620" s="22"/>
      <c r="Q620" s="22"/>
      <c r="R620" s="22"/>
    </row>
    <row r="621" customFormat="false" ht="15" hidden="false" customHeight="false" outlineLevel="0" collapsed="false">
      <c r="A621" s="22" t="s">
        <v>9420</v>
      </c>
      <c r="B621" s="23" t="n">
        <v>45242</v>
      </c>
      <c r="C621" s="22" t="s">
        <v>3034</v>
      </c>
      <c r="D621" s="22" t="n">
        <v>1178</v>
      </c>
      <c r="E621" s="22" t="s">
        <v>7499</v>
      </c>
      <c r="F621" s="22" t="s">
        <v>159</v>
      </c>
      <c r="G621" s="22" t="n">
        <v>28</v>
      </c>
      <c r="H621" s="22" t="s">
        <v>6575</v>
      </c>
      <c r="I621" s="22" t="s">
        <v>8601</v>
      </c>
      <c r="J621" s="22" t="n">
        <v>10.4</v>
      </c>
      <c r="K621" s="22" t="n">
        <v>2</v>
      </c>
      <c r="L621" s="22" t="s">
        <v>8613</v>
      </c>
      <c r="M621" s="23" t="n">
        <v>45252</v>
      </c>
      <c r="N621" s="22"/>
      <c r="O621" s="22"/>
      <c r="P621" s="22"/>
      <c r="Q621" s="22"/>
      <c r="R621" s="22"/>
    </row>
    <row r="622" customFormat="false" ht="15" hidden="false" customHeight="false" outlineLevel="0" collapsed="false">
      <c r="A622" s="22" t="s">
        <v>9421</v>
      </c>
      <c r="B622" s="23" t="n">
        <v>45251</v>
      </c>
      <c r="C622" s="22" t="s">
        <v>2904</v>
      </c>
      <c r="D622" s="22" t="n">
        <v>1119</v>
      </c>
      <c r="E622" s="22" t="s">
        <v>7471</v>
      </c>
      <c r="F622" s="22" t="s">
        <v>159</v>
      </c>
      <c r="G622" s="22" t="n">
        <v>36</v>
      </c>
      <c r="H622" s="22" t="s">
        <v>6575</v>
      </c>
      <c r="I622" s="22" t="s">
        <v>8601</v>
      </c>
      <c r="J622" s="22" t="n">
        <v>10.4</v>
      </c>
      <c r="K622" s="22" t="n">
        <v>1</v>
      </c>
      <c r="L622" s="22" t="s">
        <v>8605</v>
      </c>
      <c r="M622" s="23" t="n">
        <v>45261</v>
      </c>
      <c r="N622" s="23" t="n">
        <v>45264</v>
      </c>
      <c r="O622" s="22" t="n">
        <v>13</v>
      </c>
      <c r="P622" s="22"/>
      <c r="Q622" s="22" t="s">
        <v>9265</v>
      </c>
      <c r="R622" s="22"/>
    </row>
    <row r="623" customFormat="false" ht="15" hidden="false" customHeight="false" outlineLevel="0" collapsed="false">
      <c r="A623" s="22" t="s">
        <v>9422</v>
      </c>
      <c r="B623" s="23" t="n">
        <v>45256</v>
      </c>
      <c r="C623" s="22" t="s">
        <v>4647</v>
      </c>
      <c r="D623" s="22" t="n">
        <v>1959</v>
      </c>
      <c r="E623" s="22" t="s">
        <v>7364</v>
      </c>
      <c r="F623" s="22" t="s">
        <v>159</v>
      </c>
      <c r="G623" s="22" t="n">
        <v>40</v>
      </c>
      <c r="H623" s="22" t="s">
        <v>6575</v>
      </c>
      <c r="I623" s="22" t="s">
        <v>8601</v>
      </c>
      <c r="J623" s="22" t="n">
        <v>10.4</v>
      </c>
      <c r="K623" s="22" t="n">
        <v>1</v>
      </c>
      <c r="L623" s="22" t="s">
        <v>8605</v>
      </c>
      <c r="M623" s="23" t="n">
        <v>45266</v>
      </c>
      <c r="N623" s="23" t="n">
        <v>45259</v>
      </c>
      <c r="O623" s="22" t="n">
        <v>3</v>
      </c>
      <c r="P623" s="22"/>
      <c r="Q623" s="22" t="s">
        <v>9423</v>
      </c>
      <c r="R623" s="22"/>
    </row>
    <row r="624" customFormat="false" ht="15" hidden="false" customHeight="false" outlineLevel="0" collapsed="false">
      <c r="A624" s="22" t="s">
        <v>9424</v>
      </c>
      <c r="B624" s="23" t="n">
        <v>45252</v>
      </c>
      <c r="C624" s="22" t="s">
        <v>6132</v>
      </c>
      <c r="D624" s="22" t="n">
        <v>2696</v>
      </c>
      <c r="E624" s="22" t="s">
        <v>6618</v>
      </c>
      <c r="F624" s="22" t="s">
        <v>198</v>
      </c>
      <c r="G624" s="22" t="n">
        <v>24</v>
      </c>
      <c r="H624" s="22" t="s">
        <v>6575</v>
      </c>
      <c r="I624" s="22" t="s">
        <v>8601</v>
      </c>
      <c r="J624" s="22" t="n">
        <v>10.4</v>
      </c>
      <c r="K624" s="22" t="n">
        <v>1</v>
      </c>
      <c r="L624" s="22" t="s">
        <v>8602</v>
      </c>
      <c r="M624" s="23" t="n">
        <v>45262</v>
      </c>
      <c r="N624" s="22"/>
      <c r="O624" s="22"/>
      <c r="P624" s="22" t="s">
        <v>8603</v>
      </c>
      <c r="Q624" s="22"/>
      <c r="R624" s="22"/>
    </row>
    <row r="625" customFormat="false" ht="15" hidden="false" customHeight="false" outlineLevel="0" collapsed="false">
      <c r="A625" s="22" t="s">
        <v>9425</v>
      </c>
      <c r="B625" s="23" t="n">
        <v>45233</v>
      </c>
      <c r="C625" s="22" t="s">
        <v>231</v>
      </c>
      <c r="D625" s="22" t="n">
        <v>23</v>
      </c>
      <c r="E625" s="22" t="s">
        <v>7477</v>
      </c>
      <c r="F625" s="22" t="s">
        <v>159</v>
      </c>
      <c r="G625" s="22" t="n">
        <v>28</v>
      </c>
      <c r="H625" s="22" t="s">
        <v>6575</v>
      </c>
      <c r="I625" s="22" t="s">
        <v>8601</v>
      </c>
      <c r="J625" s="22" t="n">
        <v>10.4</v>
      </c>
      <c r="K625" s="22" t="n">
        <v>1</v>
      </c>
      <c r="L625" s="22" t="s">
        <v>8629</v>
      </c>
      <c r="M625" s="23" t="n">
        <v>45243</v>
      </c>
      <c r="N625" s="23" t="n">
        <v>45238</v>
      </c>
      <c r="O625" s="22" t="n">
        <v>5</v>
      </c>
      <c r="P625" s="22"/>
      <c r="Q625" s="22"/>
      <c r="R625" s="22"/>
    </row>
    <row r="626" customFormat="false" ht="15" hidden="false" customHeight="false" outlineLevel="0" collapsed="false">
      <c r="A626" s="22" t="s">
        <v>9426</v>
      </c>
      <c r="B626" s="23" t="n">
        <v>45240</v>
      </c>
      <c r="C626" s="22" t="s">
        <v>1807</v>
      </c>
      <c r="D626" s="22" t="n">
        <v>628</v>
      </c>
      <c r="E626" s="22" t="s">
        <v>6790</v>
      </c>
      <c r="F626" s="22" t="s">
        <v>198</v>
      </c>
      <c r="G626" s="22" t="n">
        <v>24</v>
      </c>
      <c r="H626" s="22" t="s">
        <v>6575</v>
      </c>
      <c r="I626" s="22" t="s">
        <v>8601</v>
      </c>
      <c r="J626" s="22" t="n">
        <v>10.4</v>
      </c>
      <c r="K626" s="22" t="n">
        <v>2</v>
      </c>
      <c r="L626" s="22" t="s">
        <v>8605</v>
      </c>
      <c r="M626" s="23" t="n">
        <v>45250</v>
      </c>
      <c r="N626" s="23" t="n">
        <v>45251</v>
      </c>
      <c r="O626" s="22" t="n">
        <v>11</v>
      </c>
      <c r="P626" s="22"/>
      <c r="Q626" s="22" t="s">
        <v>9427</v>
      </c>
      <c r="R626" s="22"/>
    </row>
    <row r="627" customFormat="false" ht="15" hidden="false" customHeight="false" outlineLevel="0" collapsed="false">
      <c r="A627" s="22" t="s">
        <v>9428</v>
      </c>
      <c r="B627" s="23" t="n">
        <v>45249</v>
      </c>
      <c r="C627" s="22" t="s">
        <v>4074</v>
      </c>
      <c r="D627" s="22" t="n">
        <v>1679</v>
      </c>
      <c r="E627" s="22" t="s">
        <v>6908</v>
      </c>
      <c r="F627" s="22" t="s">
        <v>198</v>
      </c>
      <c r="G627" s="22" t="n">
        <v>36</v>
      </c>
      <c r="H627" s="22" t="s">
        <v>6575</v>
      </c>
      <c r="I627" s="22" t="s">
        <v>8601</v>
      </c>
      <c r="J627" s="22" t="n">
        <v>10.4</v>
      </c>
      <c r="K627" s="22" t="n">
        <v>1</v>
      </c>
      <c r="L627" s="22" t="s">
        <v>157</v>
      </c>
      <c r="M627" s="23" t="n">
        <v>45259</v>
      </c>
      <c r="N627" s="23" t="n">
        <v>45252</v>
      </c>
      <c r="O627" s="22" t="n">
        <v>3</v>
      </c>
      <c r="P627" s="22"/>
      <c r="Q627" s="22"/>
      <c r="R627" s="22"/>
    </row>
    <row r="628" customFormat="false" ht="15" hidden="false" customHeight="false" outlineLevel="0" collapsed="false">
      <c r="A628" s="22" t="s">
        <v>9429</v>
      </c>
      <c r="B628" s="23" t="n">
        <v>45240</v>
      </c>
      <c r="C628" s="22" t="s">
        <v>168</v>
      </c>
      <c r="D628" s="22" t="n">
        <v>4</v>
      </c>
      <c r="E628" s="22" t="s">
        <v>8002</v>
      </c>
      <c r="F628" s="22" t="s">
        <v>215</v>
      </c>
      <c r="G628" s="22" t="n">
        <v>28</v>
      </c>
      <c r="H628" s="22" t="s">
        <v>7696</v>
      </c>
      <c r="I628" s="22" t="s">
        <v>8601</v>
      </c>
      <c r="J628" s="22" t="n">
        <v>7.55</v>
      </c>
      <c r="K628" s="22" t="n">
        <v>1</v>
      </c>
      <c r="L628" s="22" t="s">
        <v>8729</v>
      </c>
      <c r="M628" s="23" t="n">
        <v>45254</v>
      </c>
      <c r="N628" s="23" t="n">
        <v>45248</v>
      </c>
      <c r="O628" s="22" t="n">
        <v>8</v>
      </c>
      <c r="P628" s="22"/>
      <c r="Q628" s="22"/>
      <c r="R628" s="22"/>
    </row>
    <row r="629" customFormat="false" ht="15" hidden="false" customHeight="false" outlineLevel="0" collapsed="false">
      <c r="A629" s="22" t="s">
        <v>9430</v>
      </c>
      <c r="B629" s="23" t="n">
        <v>45243</v>
      </c>
      <c r="C629" s="22" t="s">
        <v>6524</v>
      </c>
      <c r="D629" s="22" t="n">
        <v>2895</v>
      </c>
      <c r="E629" s="22" t="s">
        <v>7370</v>
      </c>
      <c r="F629" s="22" t="s">
        <v>159</v>
      </c>
      <c r="G629" s="22" t="n">
        <v>28</v>
      </c>
      <c r="H629" s="22" t="s">
        <v>6575</v>
      </c>
      <c r="I629" s="22" t="s">
        <v>8601</v>
      </c>
      <c r="J629" s="22" t="n">
        <v>10.4</v>
      </c>
      <c r="K629" s="22" t="n">
        <v>1</v>
      </c>
      <c r="L629" s="22" t="s">
        <v>8605</v>
      </c>
      <c r="M629" s="23" t="n">
        <v>45253</v>
      </c>
      <c r="N629" s="23" t="n">
        <v>45254</v>
      </c>
      <c r="O629" s="22" t="n">
        <v>11</v>
      </c>
      <c r="P629" s="22"/>
      <c r="Q629" s="22" t="s">
        <v>9431</v>
      </c>
      <c r="R629" s="22"/>
    </row>
    <row r="630" customFormat="false" ht="15" hidden="false" customHeight="false" outlineLevel="0" collapsed="false">
      <c r="A630" s="22" t="s">
        <v>9432</v>
      </c>
      <c r="B630" s="23" t="n">
        <v>45251</v>
      </c>
      <c r="C630" s="22" t="s">
        <v>3679</v>
      </c>
      <c r="D630" s="22" t="n">
        <v>1485</v>
      </c>
      <c r="E630" s="22" t="s">
        <v>7274</v>
      </c>
      <c r="F630" s="22" t="s">
        <v>198</v>
      </c>
      <c r="G630" s="22" t="n">
        <v>32</v>
      </c>
      <c r="H630" s="22" t="s">
        <v>6575</v>
      </c>
      <c r="I630" s="22" t="s">
        <v>8601</v>
      </c>
      <c r="J630" s="22" t="n">
        <v>10.4</v>
      </c>
      <c r="K630" s="22" t="n">
        <v>2</v>
      </c>
      <c r="L630" s="22" t="s">
        <v>8605</v>
      </c>
      <c r="M630" s="23" t="n">
        <v>45261</v>
      </c>
      <c r="N630" s="23" t="n">
        <v>45259</v>
      </c>
      <c r="O630" s="22" t="n">
        <v>8</v>
      </c>
      <c r="P630" s="22"/>
      <c r="Q630" s="22" t="s">
        <v>9433</v>
      </c>
      <c r="R630" s="22"/>
    </row>
    <row r="631" customFormat="false" ht="15" hidden="false" customHeight="false" outlineLevel="0" collapsed="false">
      <c r="A631" s="22" t="s">
        <v>9434</v>
      </c>
      <c r="B631" s="23" t="n">
        <v>45258</v>
      </c>
      <c r="C631" s="22" t="s">
        <v>659</v>
      </c>
      <c r="D631" s="22" t="n">
        <v>172</v>
      </c>
      <c r="E631" s="22" t="s">
        <v>7719</v>
      </c>
      <c r="F631" s="22" t="s">
        <v>215</v>
      </c>
      <c r="G631" s="22" t="n">
        <v>32</v>
      </c>
      <c r="H631" s="22" t="s">
        <v>7696</v>
      </c>
      <c r="I631" s="22" t="s">
        <v>8601</v>
      </c>
      <c r="J631" s="22" t="n">
        <v>7.55</v>
      </c>
      <c r="K631" s="22" t="n">
        <v>1</v>
      </c>
      <c r="L631" s="22" t="s">
        <v>8629</v>
      </c>
      <c r="M631" s="23" t="n">
        <v>45272</v>
      </c>
      <c r="N631" s="23" t="n">
        <v>45271</v>
      </c>
      <c r="O631" s="22" t="n">
        <v>13</v>
      </c>
      <c r="P631" s="22"/>
      <c r="Q631" s="22"/>
      <c r="R631" s="22"/>
    </row>
    <row r="632" customFormat="false" ht="15" hidden="false" customHeight="false" outlineLevel="0" collapsed="false">
      <c r="A632" s="22" t="s">
        <v>9435</v>
      </c>
      <c r="B632" s="23" t="n">
        <v>45253</v>
      </c>
      <c r="C632" s="22" t="s">
        <v>3973</v>
      </c>
      <c r="D632" s="22" t="n">
        <v>1630</v>
      </c>
      <c r="E632" s="22" t="s">
        <v>7959</v>
      </c>
      <c r="F632" s="22" t="s">
        <v>215</v>
      </c>
      <c r="G632" s="22" t="n">
        <v>40</v>
      </c>
      <c r="H632" s="22" t="s">
        <v>7696</v>
      </c>
      <c r="I632" s="22" t="s">
        <v>8601</v>
      </c>
      <c r="J632" s="22" t="n">
        <v>7.55</v>
      </c>
      <c r="K632" s="22" t="n">
        <v>2</v>
      </c>
      <c r="L632" s="22" t="s">
        <v>8605</v>
      </c>
      <c r="M632" s="23" t="n">
        <v>45267</v>
      </c>
      <c r="N632" s="23" t="n">
        <v>45265</v>
      </c>
      <c r="O632" s="22" t="n">
        <v>12</v>
      </c>
      <c r="P632" s="22"/>
      <c r="Q632" s="22" t="s">
        <v>9404</v>
      </c>
      <c r="R632" s="22"/>
    </row>
    <row r="633" customFormat="false" ht="15" hidden="false" customHeight="false" outlineLevel="0" collapsed="false">
      <c r="A633" s="22" t="s">
        <v>9436</v>
      </c>
      <c r="B633" s="23" t="n">
        <v>45245</v>
      </c>
      <c r="C633" s="22" t="s">
        <v>5744</v>
      </c>
      <c r="D633" s="22" t="n">
        <v>2502</v>
      </c>
      <c r="E633" s="22" t="s">
        <v>6935</v>
      </c>
      <c r="F633" s="22" t="s">
        <v>198</v>
      </c>
      <c r="G633" s="22" t="n">
        <v>28</v>
      </c>
      <c r="H633" s="22" t="s">
        <v>6575</v>
      </c>
      <c r="I633" s="22" t="s">
        <v>8601</v>
      </c>
      <c r="J633" s="22" t="n">
        <v>10.4</v>
      </c>
      <c r="K633" s="22" t="n">
        <v>1</v>
      </c>
      <c r="L633" s="22" t="s">
        <v>8605</v>
      </c>
      <c r="M633" s="23" t="n">
        <v>45255</v>
      </c>
      <c r="N633" s="23" t="n">
        <v>45251</v>
      </c>
      <c r="O633" s="22" t="n">
        <v>6</v>
      </c>
      <c r="P633" s="22"/>
      <c r="Q633" s="22" t="s">
        <v>9437</v>
      </c>
      <c r="R633" s="22"/>
    </row>
    <row r="634" customFormat="false" ht="15" hidden="false" customHeight="false" outlineLevel="0" collapsed="false">
      <c r="A634" s="22" t="s">
        <v>9438</v>
      </c>
      <c r="B634" s="23" t="n">
        <v>45287</v>
      </c>
      <c r="C634" s="22" t="s">
        <v>3469</v>
      </c>
      <c r="D634" s="22" t="n">
        <v>1383</v>
      </c>
      <c r="E634" s="22" t="s">
        <v>8244</v>
      </c>
      <c r="F634" s="22" t="s">
        <v>499</v>
      </c>
      <c r="G634" s="22" t="n">
        <v>32</v>
      </c>
      <c r="H634" s="22" t="s">
        <v>7696</v>
      </c>
      <c r="I634" s="22" t="s">
        <v>8601</v>
      </c>
      <c r="J634" s="22" t="n">
        <v>7.55</v>
      </c>
      <c r="K634" s="22" t="n">
        <v>2</v>
      </c>
      <c r="L634" s="22" t="s">
        <v>8629</v>
      </c>
      <c r="M634" s="23" t="n">
        <v>45301</v>
      </c>
      <c r="N634" s="23" t="n">
        <v>45301</v>
      </c>
      <c r="O634" s="22" t="n">
        <v>14</v>
      </c>
      <c r="P634" s="22"/>
      <c r="Q634" s="22"/>
      <c r="R634" s="22"/>
    </row>
    <row r="635" customFormat="false" ht="15" hidden="false" customHeight="false" outlineLevel="0" collapsed="false">
      <c r="A635" s="22" t="s">
        <v>9439</v>
      </c>
      <c r="B635" s="23" t="n">
        <v>45277</v>
      </c>
      <c r="C635" s="22" t="s">
        <v>209</v>
      </c>
      <c r="D635" s="22" t="n">
        <v>16</v>
      </c>
      <c r="E635" s="22" t="s">
        <v>6834</v>
      </c>
      <c r="F635" s="22" t="s">
        <v>198</v>
      </c>
      <c r="G635" s="22" t="n">
        <v>24</v>
      </c>
      <c r="H635" s="22" t="s">
        <v>6575</v>
      </c>
      <c r="I635" s="22" t="s">
        <v>8601</v>
      </c>
      <c r="J635" s="22" t="n">
        <v>10.4</v>
      </c>
      <c r="K635" s="22" t="n">
        <v>1</v>
      </c>
      <c r="L635" s="22" t="s">
        <v>8602</v>
      </c>
      <c r="M635" s="23" t="n">
        <v>45287</v>
      </c>
      <c r="N635" s="22"/>
      <c r="O635" s="22"/>
      <c r="P635" s="22" t="s">
        <v>8603</v>
      </c>
      <c r="Q635" s="22"/>
      <c r="R635" s="22"/>
    </row>
    <row r="636" customFormat="false" ht="15" hidden="false" customHeight="false" outlineLevel="0" collapsed="false">
      <c r="A636" s="22" t="s">
        <v>9440</v>
      </c>
      <c r="B636" s="23" t="n">
        <v>45282</v>
      </c>
      <c r="C636" s="22" t="s">
        <v>760</v>
      </c>
      <c r="D636" s="22" t="n">
        <v>209</v>
      </c>
      <c r="E636" s="22" t="s">
        <v>7445</v>
      </c>
      <c r="F636" s="22" t="s">
        <v>159</v>
      </c>
      <c r="G636" s="22" t="n">
        <v>32</v>
      </c>
      <c r="H636" s="22" t="s">
        <v>6575</v>
      </c>
      <c r="I636" s="22" t="s">
        <v>8601</v>
      </c>
      <c r="J636" s="22" t="n">
        <v>10.4</v>
      </c>
      <c r="K636" s="22" t="n">
        <v>1</v>
      </c>
      <c r="L636" s="22" t="s">
        <v>8613</v>
      </c>
      <c r="M636" s="23" t="n">
        <v>45292</v>
      </c>
      <c r="N636" s="22"/>
      <c r="O636" s="22"/>
      <c r="P636" s="22"/>
      <c r="Q636" s="22"/>
      <c r="R636" s="22"/>
    </row>
    <row r="637" customFormat="false" ht="15" hidden="false" customHeight="false" outlineLevel="0" collapsed="false">
      <c r="A637" s="22" t="s">
        <v>9441</v>
      </c>
      <c r="B637" s="23" t="n">
        <v>45281</v>
      </c>
      <c r="C637" s="22" t="s">
        <v>699</v>
      </c>
      <c r="D637" s="22" t="n">
        <v>186</v>
      </c>
      <c r="E637" s="22" t="s">
        <v>8495</v>
      </c>
      <c r="F637" s="22" t="s">
        <v>188</v>
      </c>
      <c r="G637" s="22" t="n">
        <v>60</v>
      </c>
      <c r="H637" s="22" t="s">
        <v>7696</v>
      </c>
      <c r="I637" s="22" t="s">
        <v>8601</v>
      </c>
      <c r="J637" s="22" t="n">
        <v>7.55</v>
      </c>
      <c r="K637" s="22" t="n">
        <v>1</v>
      </c>
      <c r="L637" s="22" t="s">
        <v>8602</v>
      </c>
      <c r="M637" s="23" t="n">
        <v>45295</v>
      </c>
      <c r="N637" s="22"/>
      <c r="O637" s="22"/>
      <c r="P637" s="22" t="s">
        <v>8618</v>
      </c>
      <c r="Q637" s="22"/>
      <c r="R637" s="22"/>
    </row>
    <row r="638" customFormat="false" ht="15" hidden="false" customHeight="false" outlineLevel="0" collapsed="false">
      <c r="A638" s="22" t="s">
        <v>9442</v>
      </c>
      <c r="B638" s="23" t="n">
        <v>45266</v>
      </c>
      <c r="C638" s="22" t="s">
        <v>5885</v>
      </c>
      <c r="D638" s="22" t="n">
        <v>2573</v>
      </c>
      <c r="E638" s="22" t="s">
        <v>7393</v>
      </c>
      <c r="F638" s="22" t="s">
        <v>159</v>
      </c>
      <c r="G638" s="22" t="n">
        <v>36</v>
      </c>
      <c r="H638" s="22" t="s">
        <v>6575</v>
      </c>
      <c r="I638" s="22" t="s">
        <v>8601</v>
      </c>
      <c r="J638" s="22" t="n">
        <v>10.4</v>
      </c>
      <c r="K638" s="22" t="n">
        <v>2</v>
      </c>
      <c r="L638" s="22" t="s">
        <v>8605</v>
      </c>
      <c r="M638" s="23" t="n">
        <v>45276</v>
      </c>
      <c r="N638" s="23" t="n">
        <v>45279</v>
      </c>
      <c r="O638" s="22" t="n">
        <v>13</v>
      </c>
      <c r="P638" s="22"/>
      <c r="Q638" s="22" t="s">
        <v>9443</v>
      </c>
      <c r="R638" s="22"/>
    </row>
    <row r="639" customFormat="false" ht="15" hidden="false" customHeight="false" outlineLevel="0" collapsed="false">
      <c r="A639" s="22" t="s">
        <v>9444</v>
      </c>
      <c r="B639" s="23" t="n">
        <v>45286</v>
      </c>
      <c r="C639" s="22" t="s">
        <v>1557</v>
      </c>
      <c r="D639" s="22" t="n">
        <v>524</v>
      </c>
      <c r="E639" s="22" t="s">
        <v>7585</v>
      </c>
      <c r="F639" s="22" t="s">
        <v>159</v>
      </c>
      <c r="G639" s="22" t="n">
        <v>24</v>
      </c>
      <c r="H639" s="22" t="s">
        <v>6575</v>
      </c>
      <c r="I639" s="22" t="s">
        <v>8601</v>
      </c>
      <c r="J639" s="22" t="n">
        <v>10.4</v>
      </c>
      <c r="K639" s="22" t="n">
        <v>2</v>
      </c>
      <c r="L639" s="22" t="s">
        <v>8602</v>
      </c>
      <c r="M639" s="23" t="n">
        <v>45296</v>
      </c>
      <c r="N639" s="22"/>
      <c r="O639" s="22"/>
      <c r="P639" s="22" t="s">
        <v>8618</v>
      </c>
      <c r="Q639" s="22"/>
      <c r="R639" s="22"/>
    </row>
    <row r="640" customFormat="false" ht="15" hidden="false" customHeight="false" outlineLevel="0" collapsed="false">
      <c r="A640" s="22" t="s">
        <v>9445</v>
      </c>
      <c r="B640" s="23" t="n">
        <v>45271</v>
      </c>
      <c r="C640" s="22" t="s">
        <v>3364</v>
      </c>
      <c r="D640" s="22" t="n">
        <v>1333</v>
      </c>
      <c r="E640" s="22" t="s">
        <v>7345</v>
      </c>
      <c r="F640" s="22" t="s">
        <v>159</v>
      </c>
      <c r="G640" s="22" t="n">
        <v>40</v>
      </c>
      <c r="H640" s="22" t="s">
        <v>6575</v>
      </c>
      <c r="I640" s="22" t="s">
        <v>8601</v>
      </c>
      <c r="J640" s="22" t="n">
        <v>10.4</v>
      </c>
      <c r="K640" s="22" t="n">
        <v>1</v>
      </c>
      <c r="L640" s="22" t="s">
        <v>8605</v>
      </c>
      <c r="M640" s="23" t="n">
        <v>45281</v>
      </c>
      <c r="N640" s="23" t="n">
        <v>45281</v>
      </c>
      <c r="O640" s="22" t="n">
        <v>10</v>
      </c>
      <c r="P640" s="22"/>
      <c r="Q640" s="22" t="s">
        <v>9207</v>
      </c>
      <c r="R640" s="22"/>
    </row>
    <row r="641" customFormat="false" ht="15" hidden="false" customHeight="false" outlineLevel="0" collapsed="false">
      <c r="A641" s="22" t="s">
        <v>9446</v>
      </c>
      <c r="B641" s="23" t="n">
        <v>45269</v>
      </c>
      <c r="C641" s="22" t="s">
        <v>5497</v>
      </c>
      <c r="D641" s="22" t="n">
        <v>2380</v>
      </c>
      <c r="E641" s="22" t="s">
        <v>8097</v>
      </c>
      <c r="F641" s="22" t="s">
        <v>499</v>
      </c>
      <c r="G641" s="22" t="n">
        <v>28</v>
      </c>
      <c r="H641" s="22" t="s">
        <v>7696</v>
      </c>
      <c r="I641" s="22" t="s">
        <v>8601</v>
      </c>
      <c r="J641" s="22" t="n">
        <v>7.55</v>
      </c>
      <c r="K641" s="22" t="n">
        <v>1</v>
      </c>
      <c r="L641" s="22" t="s">
        <v>8605</v>
      </c>
      <c r="M641" s="23" t="n">
        <v>45283</v>
      </c>
      <c r="N641" s="23" t="n">
        <v>45273</v>
      </c>
      <c r="O641" s="22" t="n">
        <v>4</v>
      </c>
      <c r="P641" s="22"/>
      <c r="Q641" s="22" t="s">
        <v>9342</v>
      </c>
      <c r="R641" s="22"/>
    </row>
    <row r="642" customFormat="false" ht="15" hidden="false" customHeight="false" outlineLevel="0" collapsed="false">
      <c r="A642" s="22" t="s">
        <v>9447</v>
      </c>
      <c r="B642" s="23" t="n">
        <v>45277</v>
      </c>
      <c r="C642" s="22" t="s">
        <v>2551</v>
      </c>
      <c r="D642" s="22" t="n">
        <v>961</v>
      </c>
      <c r="E642" s="22" t="s">
        <v>8333</v>
      </c>
      <c r="F642" s="22" t="s">
        <v>499</v>
      </c>
      <c r="G642" s="22" t="n">
        <v>32</v>
      </c>
      <c r="H642" s="22" t="s">
        <v>7696</v>
      </c>
      <c r="I642" s="22" t="s">
        <v>8601</v>
      </c>
      <c r="J642" s="22" t="n">
        <v>7.55</v>
      </c>
      <c r="K642" s="22" t="n">
        <v>1</v>
      </c>
      <c r="L642" s="22" t="s">
        <v>157</v>
      </c>
      <c r="M642" s="23" t="n">
        <v>45291</v>
      </c>
      <c r="N642" s="23" t="n">
        <v>45287</v>
      </c>
      <c r="O642" s="22" t="n">
        <v>10</v>
      </c>
      <c r="P642" s="22"/>
      <c r="Q642" s="22"/>
      <c r="R642" s="22"/>
    </row>
    <row r="643" customFormat="false" ht="15" hidden="false" customHeight="false" outlineLevel="0" collapsed="false">
      <c r="A643" s="22" t="s">
        <v>9448</v>
      </c>
      <c r="B643" s="23" t="n">
        <v>45276</v>
      </c>
      <c r="C643" s="22" t="s">
        <v>2878</v>
      </c>
      <c r="D643" s="22" t="n">
        <v>1107</v>
      </c>
      <c r="E643" s="22" t="s">
        <v>7610</v>
      </c>
      <c r="F643" s="22" t="s">
        <v>159</v>
      </c>
      <c r="G643" s="22" t="n">
        <v>24</v>
      </c>
      <c r="H643" s="22" t="s">
        <v>6575</v>
      </c>
      <c r="I643" s="22" t="s">
        <v>8601</v>
      </c>
      <c r="J643" s="22" t="n">
        <v>10.4</v>
      </c>
      <c r="K643" s="22" t="n">
        <v>1</v>
      </c>
      <c r="L643" s="22" t="s">
        <v>8605</v>
      </c>
      <c r="M643" s="23" t="n">
        <v>45286</v>
      </c>
      <c r="N643" s="23" t="n">
        <v>45278</v>
      </c>
      <c r="O643" s="22" t="n">
        <v>2</v>
      </c>
      <c r="P643" s="22"/>
      <c r="Q643" s="22" t="s">
        <v>9337</v>
      </c>
      <c r="R643" s="22"/>
    </row>
    <row r="644" customFormat="false" ht="15" hidden="false" customHeight="false" outlineLevel="0" collapsed="false">
      <c r="A644" s="22" t="s">
        <v>9449</v>
      </c>
      <c r="B644" s="23" t="n">
        <v>45286</v>
      </c>
      <c r="C644" s="22" t="s">
        <v>4955</v>
      </c>
      <c r="D644" s="22" t="n">
        <v>2111</v>
      </c>
      <c r="E644" s="22" t="s">
        <v>7397</v>
      </c>
      <c r="F644" s="22" t="s">
        <v>159</v>
      </c>
      <c r="G644" s="22" t="n">
        <v>32</v>
      </c>
      <c r="H644" s="22" t="s">
        <v>6575</v>
      </c>
      <c r="I644" s="22" t="s">
        <v>8601</v>
      </c>
      <c r="J644" s="22" t="n">
        <v>10.4</v>
      </c>
      <c r="K644" s="22" t="n">
        <v>1</v>
      </c>
      <c r="L644" s="22" t="s">
        <v>8602</v>
      </c>
      <c r="M644" s="23" t="n">
        <v>45296</v>
      </c>
      <c r="N644" s="22"/>
      <c r="O644" s="22"/>
      <c r="P644" s="22" t="s">
        <v>8618</v>
      </c>
      <c r="Q644" s="22"/>
      <c r="R644" s="22"/>
    </row>
    <row r="645" customFormat="false" ht="15" hidden="false" customHeight="false" outlineLevel="0" collapsed="false">
      <c r="A645" s="22" t="s">
        <v>9450</v>
      </c>
      <c r="B645" s="23" t="n">
        <v>45271</v>
      </c>
      <c r="C645" s="22" t="s">
        <v>417</v>
      </c>
      <c r="D645" s="22" t="n">
        <v>87</v>
      </c>
      <c r="E645" s="22" t="s">
        <v>7462</v>
      </c>
      <c r="F645" s="22" t="s">
        <v>159</v>
      </c>
      <c r="G645" s="22" t="n">
        <v>24</v>
      </c>
      <c r="H645" s="22" t="s">
        <v>6575</v>
      </c>
      <c r="I645" s="22" t="s">
        <v>8601</v>
      </c>
      <c r="J645" s="22" t="n">
        <v>10.4</v>
      </c>
      <c r="K645" s="22" t="n">
        <v>1</v>
      </c>
      <c r="L645" s="22" t="s">
        <v>8605</v>
      </c>
      <c r="M645" s="23" t="n">
        <v>45281</v>
      </c>
      <c r="N645" s="23" t="n">
        <v>45282</v>
      </c>
      <c r="O645" s="22" t="n">
        <v>11</v>
      </c>
      <c r="P645" s="22"/>
      <c r="Q645" s="22" t="s">
        <v>9094</v>
      </c>
      <c r="R645" s="22"/>
    </row>
    <row r="646" customFormat="false" ht="15" hidden="false" customHeight="false" outlineLevel="0" collapsed="false">
      <c r="A646" s="22" t="s">
        <v>9451</v>
      </c>
      <c r="B646" s="23" t="n">
        <v>45284</v>
      </c>
      <c r="C646" s="22" t="s">
        <v>4170</v>
      </c>
      <c r="D646" s="22" t="n">
        <v>1726</v>
      </c>
      <c r="E646" s="22" t="s">
        <v>7988</v>
      </c>
      <c r="F646" s="22" t="s">
        <v>215</v>
      </c>
      <c r="G646" s="22" t="n">
        <v>24</v>
      </c>
      <c r="H646" s="22" t="s">
        <v>7696</v>
      </c>
      <c r="I646" s="22" t="s">
        <v>8601</v>
      </c>
      <c r="J646" s="22" t="n">
        <v>7.55</v>
      </c>
      <c r="K646" s="22" t="n">
        <v>1</v>
      </c>
      <c r="L646" s="22" t="s">
        <v>8602</v>
      </c>
      <c r="M646" s="23" t="n">
        <v>45298</v>
      </c>
      <c r="N646" s="22"/>
      <c r="O646" s="22"/>
      <c r="P646" s="22" t="s">
        <v>8603</v>
      </c>
      <c r="Q646" s="22"/>
      <c r="R646" s="22"/>
    </row>
    <row r="647" customFormat="false" ht="15" hidden="false" customHeight="false" outlineLevel="0" collapsed="false">
      <c r="A647" s="22" t="s">
        <v>9452</v>
      </c>
      <c r="B647" s="23" t="n">
        <v>45282</v>
      </c>
      <c r="C647" s="22" t="s">
        <v>4472</v>
      </c>
      <c r="D647" s="22" t="n">
        <v>1874</v>
      </c>
      <c r="E647" s="22" t="s">
        <v>8040</v>
      </c>
      <c r="F647" s="22" t="s">
        <v>499</v>
      </c>
      <c r="G647" s="22" t="n">
        <v>80</v>
      </c>
      <c r="H647" s="22" t="s">
        <v>7696</v>
      </c>
      <c r="I647" s="22" t="s">
        <v>8601</v>
      </c>
      <c r="J647" s="22" t="n">
        <v>7.55</v>
      </c>
      <c r="K647" s="22" t="n">
        <v>1</v>
      </c>
      <c r="L647" s="22" t="s">
        <v>8605</v>
      </c>
      <c r="M647" s="23" t="n">
        <v>45296</v>
      </c>
      <c r="N647" s="23" t="n">
        <v>45293</v>
      </c>
      <c r="O647" s="22" t="n">
        <v>11</v>
      </c>
      <c r="P647" s="22"/>
      <c r="Q647" s="22" t="s">
        <v>9068</v>
      </c>
      <c r="R647" s="22"/>
    </row>
    <row r="648" customFormat="false" ht="15" hidden="false" customHeight="false" outlineLevel="0" collapsed="false">
      <c r="A648" s="22" t="s">
        <v>9453</v>
      </c>
      <c r="B648" s="23" t="n">
        <v>45278</v>
      </c>
      <c r="C648" s="22" t="s">
        <v>5520</v>
      </c>
      <c r="D648" s="22" t="n">
        <v>2391</v>
      </c>
      <c r="E648" s="22" t="s">
        <v>8395</v>
      </c>
      <c r="F648" s="22" t="s">
        <v>188</v>
      </c>
      <c r="G648" s="22" t="n">
        <v>80</v>
      </c>
      <c r="H648" s="22" t="s">
        <v>7696</v>
      </c>
      <c r="I648" s="22" t="s">
        <v>8601</v>
      </c>
      <c r="J648" s="22" t="n">
        <v>7.55</v>
      </c>
      <c r="K648" s="22" t="n">
        <v>1</v>
      </c>
      <c r="L648" s="22" t="s">
        <v>8605</v>
      </c>
      <c r="M648" s="23" t="n">
        <v>45292</v>
      </c>
      <c r="N648" s="23" t="n">
        <v>45280</v>
      </c>
      <c r="O648" s="22" t="n">
        <v>2</v>
      </c>
      <c r="P648" s="22"/>
      <c r="Q648" s="22" t="s">
        <v>9342</v>
      </c>
      <c r="R648" s="22"/>
    </row>
    <row r="649" customFormat="false" ht="15" hidden="false" customHeight="false" outlineLevel="0" collapsed="false">
      <c r="A649" s="22" t="s">
        <v>9454</v>
      </c>
      <c r="B649" s="23" t="n">
        <v>45263</v>
      </c>
      <c r="C649" s="22" t="s">
        <v>2469</v>
      </c>
      <c r="D649" s="22" t="n">
        <v>924</v>
      </c>
      <c r="E649" s="22" t="s">
        <v>8002</v>
      </c>
      <c r="F649" s="22" t="s">
        <v>215</v>
      </c>
      <c r="G649" s="22" t="n">
        <v>28</v>
      </c>
      <c r="H649" s="22" t="s">
        <v>7696</v>
      </c>
      <c r="I649" s="22" t="s">
        <v>8601</v>
      </c>
      <c r="J649" s="22" t="n">
        <v>7.55</v>
      </c>
      <c r="K649" s="22" t="n">
        <v>1</v>
      </c>
      <c r="L649" s="22" t="s">
        <v>8602</v>
      </c>
      <c r="M649" s="23" t="n">
        <v>45277</v>
      </c>
      <c r="N649" s="22"/>
      <c r="O649" s="22"/>
      <c r="P649" s="22" t="s">
        <v>8631</v>
      </c>
      <c r="Q649" s="22"/>
      <c r="R649" s="22"/>
    </row>
    <row r="650" customFormat="false" ht="15" hidden="false" customHeight="false" outlineLevel="0" collapsed="false">
      <c r="A650" s="22" t="s">
        <v>9455</v>
      </c>
      <c r="B650" s="23" t="n">
        <v>45302</v>
      </c>
      <c r="C650" s="22" t="s">
        <v>4332</v>
      </c>
      <c r="D650" s="22" t="n">
        <v>1805</v>
      </c>
      <c r="E650" s="22" t="s">
        <v>8099</v>
      </c>
      <c r="F650" s="22" t="s">
        <v>499</v>
      </c>
      <c r="G650" s="22" t="n">
        <v>24</v>
      </c>
      <c r="H650" s="22" t="s">
        <v>7696</v>
      </c>
      <c r="I650" s="22" t="s">
        <v>8601</v>
      </c>
      <c r="J650" s="22" t="n">
        <v>7.55</v>
      </c>
      <c r="K650" s="22" t="n">
        <v>1</v>
      </c>
      <c r="L650" s="22" t="s">
        <v>8605</v>
      </c>
      <c r="M650" s="23" t="n">
        <v>45316</v>
      </c>
      <c r="N650" s="23" t="n">
        <v>45317</v>
      </c>
      <c r="O650" s="22" t="n">
        <v>15</v>
      </c>
      <c r="P650" s="22"/>
      <c r="Q650" s="22" t="s">
        <v>6725</v>
      </c>
      <c r="R650" s="22"/>
    </row>
    <row r="651" customFormat="false" ht="15" hidden="false" customHeight="false" outlineLevel="0" collapsed="false">
      <c r="A651" s="22" t="s">
        <v>9456</v>
      </c>
      <c r="B651" s="23" t="n">
        <v>45301</v>
      </c>
      <c r="C651" s="22" t="s">
        <v>3705</v>
      </c>
      <c r="D651" s="22" t="n">
        <v>1498</v>
      </c>
      <c r="E651" s="22" t="s">
        <v>8086</v>
      </c>
      <c r="F651" s="22" t="s">
        <v>499</v>
      </c>
      <c r="G651" s="22" t="n">
        <v>28</v>
      </c>
      <c r="H651" s="22" t="s">
        <v>7696</v>
      </c>
      <c r="I651" s="22" t="s">
        <v>8601</v>
      </c>
      <c r="J651" s="22" t="n">
        <v>7.55</v>
      </c>
      <c r="K651" s="22" t="n">
        <v>1</v>
      </c>
      <c r="L651" s="22" t="s">
        <v>8605</v>
      </c>
      <c r="M651" s="23" t="n">
        <v>45315</v>
      </c>
      <c r="N651" s="23" t="n">
        <v>45318</v>
      </c>
      <c r="O651" s="22" t="n">
        <v>17</v>
      </c>
      <c r="P651" s="22"/>
      <c r="Q651" s="22" t="s">
        <v>6694</v>
      </c>
      <c r="R651" s="22"/>
    </row>
    <row r="652" customFormat="false" ht="15" hidden="false" customHeight="false" outlineLevel="0" collapsed="false">
      <c r="A652" s="22" t="s">
        <v>9457</v>
      </c>
      <c r="B652" s="23" t="n">
        <v>45296</v>
      </c>
      <c r="C652" s="22" t="s">
        <v>2117</v>
      </c>
      <c r="D652" s="22" t="n">
        <v>764</v>
      </c>
      <c r="E652" s="22" t="s">
        <v>7746</v>
      </c>
      <c r="F652" s="22" t="s">
        <v>215</v>
      </c>
      <c r="G652" s="22" t="n">
        <v>36</v>
      </c>
      <c r="H652" s="22" t="s">
        <v>7696</v>
      </c>
      <c r="I652" s="22" t="s">
        <v>8601</v>
      </c>
      <c r="J652" s="22" t="n">
        <v>7.55</v>
      </c>
      <c r="K652" s="22" t="n">
        <v>2</v>
      </c>
      <c r="L652" s="22" t="s">
        <v>157</v>
      </c>
      <c r="M652" s="23" t="n">
        <v>45310</v>
      </c>
      <c r="N652" s="23" t="n">
        <v>45297</v>
      </c>
      <c r="O652" s="22" t="n">
        <v>1</v>
      </c>
      <c r="P652" s="22"/>
      <c r="Q652" s="22"/>
      <c r="R652" s="22"/>
    </row>
    <row r="653" customFormat="false" ht="15" hidden="false" customHeight="false" outlineLevel="0" collapsed="false">
      <c r="A653" s="22" t="s">
        <v>9458</v>
      </c>
      <c r="B653" s="23" t="n">
        <v>45306</v>
      </c>
      <c r="C653" s="22" t="s">
        <v>6126</v>
      </c>
      <c r="D653" s="22" t="n">
        <v>2693</v>
      </c>
      <c r="E653" s="22" t="s">
        <v>8388</v>
      </c>
      <c r="F653" s="22" t="s">
        <v>188</v>
      </c>
      <c r="G653" s="22" t="n">
        <v>28</v>
      </c>
      <c r="H653" s="22" t="s">
        <v>7696</v>
      </c>
      <c r="I653" s="22" t="s">
        <v>8601</v>
      </c>
      <c r="J653" s="22" t="n">
        <v>7.55</v>
      </c>
      <c r="K653" s="22" t="n">
        <v>2</v>
      </c>
      <c r="L653" s="22" t="s">
        <v>8608</v>
      </c>
      <c r="M653" s="23" t="n">
        <v>45320</v>
      </c>
      <c r="N653" s="23" t="n">
        <v>45319</v>
      </c>
      <c r="O653" s="22" t="n">
        <v>13</v>
      </c>
      <c r="P653" s="22"/>
      <c r="Q653" s="22"/>
      <c r="R653" s="22"/>
    </row>
    <row r="654" customFormat="false" ht="15" hidden="false" customHeight="false" outlineLevel="0" collapsed="false">
      <c r="A654" s="22" t="s">
        <v>9459</v>
      </c>
      <c r="B654" s="23" t="n">
        <v>45305</v>
      </c>
      <c r="C654" s="22" t="s">
        <v>4239</v>
      </c>
      <c r="D654" s="22" t="n">
        <v>1759</v>
      </c>
      <c r="E654" s="22" t="s">
        <v>7912</v>
      </c>
      <c r="F654" s="22" t="s">
        <v>215</v>
      </c>
      <c r="G654" s="22" t="n">
        <v>50</v>
      </c>
      <c r="H654" s="22" t="s">
        <v>7696</v>
      </c>
      <c r="I654" s="22" t="s">
        <v>8601</v>
      </c>
      <c r="J654" s="22" t="n">
        <v>7.55</v>
      </c>
      <c r="K654" s="22" t="n">
        <v>1</v>
      </c>
      <c r="L654" s="22" t="s">
        <v>8602</v>
      </c>
      <c r="M654" s="23" t="n">
        <v>45319</v>
      </c>
      <c r="N654" s="22"/>
      <c r="O654" s="22"/>
      <c r="P654" s="22" t="s">
        <v>8603</v>
      </c>
      <c r="Q654" s="22"/>
      <c r="R654" s="22"/>
    </row>
    <row r="655" customFormat="false" ht="15" hidden="false" customHeight="false" outlineLevel="0" collapsed="false">
      <c r="A655" s="22" t="s">
        <v>9460</v>
      </c>
      <c r="B655" s="23" t="n">
        <v>45295</v>
      </c>
      <c r="C655" s="22" t="s">
        <v>1815</v>
      </c>
      <c r="D655" s="22" t="n">
        <v>632</v>
      </c>
      <c r="E655" s="22" t="s">
        <v>8404</v>
      </c>
      <c r="F655" s="22" t="s">
        <v>188</v>
      </c>
      <c r="G655" s="22" t="n">
        <v>70</v>
      </c>
      <c r="H655" s="22" t="s">
        <v>7696</v>
      </c>
      <c r="I655" s="22" t="s">
        <v>8601</v>
      </c>
      <c r="J655" s="22" t="n">
        <v>7.55</v>
      </c>
      <c r="K655" s="22" t="n">
        <v>1</v>
      </c>
      <c r="L655" s="22" t="s">
        <v>8602</v>
      </c>
      <c r="M655" s="23" t="n">
        <v>45309</v>
      </c>
      <c r="N655" s="22"/>
      <c r="O655" s="22"/>
      <c r="P655" s="22" t="s">
        <v>8637</v>
      </c>
      <c r="Q655" s="22"/>
      <c r="R655" s="22"/>
    </row>
    <row r="656" customFormat="false" ht="15" hidden="false" customHeight="false" outlineLevel="0" collapsed="false">
      <c r="A656" s="22" t="s">
        <v>9461</v>
      </c>
      <c r="B656" s="23" t="n">
        <v>45305</v>
      </c>
      <c r="C656" s="22" t="s">
        <v>3163</v>
      </c>
      <c r="D656" s="22" t="n">
        <v>1238</v>
      </c>
      <c r="E656" s="22" t="s">
        <v>7283</v>
      </c>
      <c r="F656" s="22" t="s">
        <v>198</v>
      </c>
      <c r="G656" s="22" t="n">
        <v>32</v>
      </c>
      <c r="H656" s="22" t="s">
        <v>6575</v>
      </c>
      <c r="I656" s="22" t="s">
        <v>8601</v>
      </c>
      <c r="J656" s="22" t="n">
        <v>10.4</v>
      </c>
      <c r="K656" s="22" t="n">
        <v>2</v>
      </c>
      <c r="L656" s="22" t="s">
        <v>157</v>
      </c>
      <c r="M656" s="23" t="n">
        <v>45315</v>
      </c>
      <c r="N656" s="23" t="n">
        <v>45312</v>
      </c>
      <c r="O656" s="22" t="n">
        <v>7</v>
      </c>
      <c r="P656" s="22"/>
      <c r="Q656" s="22"/>
      <c r="R656" s="22"/>
    </row>
    <row r="657" customFormat="false" ht="15" hidden="false" customHeight="false" outlineLevel="0" collapsed="false">
      <c r="A657" s="22" t="s">
        <v>9462</v>
      </c>
      <c r="B657" s="23" t="n">
        <v>45310</v>
      </c>
      <c r="C657" s="22" t="s">
        <v>6540</v>
      </c>
      <c r="D657" s="22" t="n">
        <v>2903</v>
      </c>
      <c r="E657" s="22" t="s">
        <v>7813</v>
      </c>
      <c r="F657" s="22" t="s">
        <v>215</v>
      </c>
      <c r="G657" s="22" t="n">
        <v>28</v>
      </c>
      <c r="H657" s="22" t="s">
        <v>7696</v>
      </c>
      <c r="I657" s="22" t="s">
        <v>8601</v>
      </c>
      <c r="J657" s="22" t="n">
        <v>7.55</v>
      </c>
      <c r="K657" s="22" t="n">
        <v>1</v>
      </c>
      <c r="L657" s="22" t="s">
        <v>8629</v>
      </c>
      <c r="M657" s="23" t="n">
        <v>45324</v>
      </c>
      <c r="N657" s="23" t="n">
        <v>45320</v>
      </c>
      <c r="O657" s="22" t="n">
        <v>10</v>
      </c>
      <c r="P657" s="22"/>
      <c r="Q657" s="22"/>
      <c r="R657" s="22"/>
    </row>
    <row r="658" customFormat="false" ht="15" hidden="false" customHeight="false" outlineLevel="0" collapsed="false">
      <c r="A658" s="22" t="s">
        <v>9463</v>
      </c>
      <c r="B658" s="23" t="n">
        <v>45311</v>
      </c>
      <c r="C658" s="22" t="s">
        <v>1230</v>
      </c>
      <c r="D658" s="22" t="n">
        <v>388</v>
      </c>
      <c r="E658" s="22" t="s">
        <v>8076</v>
      </c>
      <c r="F658" s="22" t="s">
        <v>499</v>
      </c>
      <c r="G658" s="22" t="n">
        <v>24</v>
      </c>
      <c r="H658" s="22" t="s">
        <v>7696</v>
      </c>
      <c r="I658" s="22" t="s">
        <v>8601</v>
      </c>
      <c r="J658" s="22" t="n">
        <v>7.55</v>
      </c>
      <c r="K658" s="22" t="n">
        <v>1</v>
      </c>
      <c r="L658" s="22" t="s">
        <v>8605</v>
      </c>
      <c r="M658" s="23" t="n">
        <v>45325</v>
      </c>
      <c r="N658" s="23" t="n">
        <v>45315</v>
      </c>
      <c r="O658" s="22" t="n">
        <v>4</v>
      </c>
      <c r="P658" s="22"/>
      <c r="Q658" s="22" t="s">
        <v>6674</v>
      </c>
      <c r="R658" s="22"/>
    </row>
    <row r="659" customFormat="false" ht="15" hidden="false" customHeight="false" outlineLevel="0" collapsed="false">
      <c r="A659" s="22" t="s">
        <v>9464</v>
      </c>
      <c r="B659" s="23" t="n">
        <v>45294</v>
      </c>
      <c r="C659" s="22" t="s">
        <v>2493</v>
      </c>
      <c r="D659" s="22" t="n">
        <v>935</v>
      </c>
      <c r="E659" s="22" t="s">
        <v>8143</v>
      </c>
      <c r="F659" s="22" t="s">
        <v>499</v>
      </c>
      <c r="G659" s="22" t="n">
        <v>45</v>
      </c>
      <c r="H659" s="22" t="s">
        <v>7696</v>
      </c>
      <c r="I659" s="22" t="s">
        <v>8601</v>
      </c>
      <c r="J659" s="22" t="n">
        <v>7.55</v>
      </c>
      <c r="K659" s="22" t="n">
        <v>1</v>
      </c>
      <c r="L659" s="22" t="s">
        <v>8629</v>
      </c>
      <c r="M659" s="23" t="n">
        <v>45308</v>
      </c>
      <c r="N659" s="23" t="n">
        <v>45296</v>
      </c>
      <c r="O659" s="22" t="n">
        <v>2</v>
      </c>
      <c r="P659" s="22"/>
      <c r="Q659" s="22"/>
      <c r="R659" s="22"/>
    </row>
    <row r="660" customFormat="false" ht="15" hidden="false" customHeight="false" outlineLevel="0" collapsed="false">
      <c r="A660" s="22" t="s">
        <v>9465</v>
      </c>
      <c r="B660" s="23" t="n">
        <v>45314</v>
      </c>
      <c r="C660" s="22" t="s">
        <v>4948</v>
      </c>
      <c r="D660" s="22" t="n">
        <v>2107</v>
      </c>
      <c r="E660" s="22" t="s">
        <v>8491</v>
      </c>
      <c r="F660" s="22" t="s">
        <v>188</v>
      </c>
      <c r="G660" s="22" t="n">
        <v>80</v>
      </c>
      <c r="H660" s="22" t="s">
        <v>7696</v>
      </c>
      <c r="I660" s="22" t="s">
        <v>8601</v>
      </c>
      <c r="J660" s="22" t="n">
        <v>7.55</v>
      </c>
      <c r="K660" s="22" t="n">
        <v>1</v>
      </c>
      <c r="L660" s="22" t="s">
        <v>8605</v>
      </c>
      <c r="M660" s="23" t="n">
        <v>45328</v>
      </c>
      <c r="N660" s="23" t="n">
        <v>45331</v>
      </c>
      <c r="O660" s="22" t="n">
        <v>17</v>
      </c>
      <c r="P660" s="22"/>
      <c r="Q660" s="22" t="s">
        <v>6945</v>
      </c>
      <c r="R660" s="22"/>
    </row>
    <row r="661" customFormat="false" ht="15" hidden="false" customHeight="false" outlineLevel="0" collapsed="false">
      <c r="A661" s="22" t="s">
        <v>9466</v>
      </c>
      <c r="B661" s="23" t="n">
        <v>45304</v>
      </c>
      <c r="C661" s="22" t="s">
        <v>3373</v>
      </c>
      <c r="D661" s="22" t="n">
        <v>1337</v>
      </c>
      <c r="E661" s="22" t="s">
        <v>8461</v>
      </c>
      <c r="F661" s="22" t="s">
        <v>188</v>
      </c>
      <c r="G661" s="22" t="n">
        <v>32</v>
      </c>
      <c r="H661" s="22" t="s">
        <v>7696</v>
      </c>
      <c r="I661" s="22" t="s">
        <v>8601</v>
      </c>
      <c r="J661" s="22" t="n">
        <v>7.55</v>
      </c>
      <c r="K661" s="22" t="n">
        <v>2</v>
      </c>
      <c r="L661" s="22" t="s">
        <v>157</v>
      </c>
      <c r="M661" s="23" t="n">
        <v>45318</v>
      </c>
      <c r="N661" s="23" t="n">
        <v>45321</v>
      </c>
      <c r="O661" s="22" t="n">
        <v>17</v>
      </c>
      <c r="P661" s="22"/>
      <c r="Q661" s="22"/>
      <c r="R661" s="22"/>
    </row>
    <row r="662" customFormat="false" ht="15" hidden="false" customHeight="false" outlineLevel="0" collapsed="false">
      <c r="A662" s="22" t="s">
        <v>9467</v>
      </c>
      <c r="B662" s="23" t="n">
        <v>45342</v>
      </c>
      <c r="C662" s="22" t="s">
        <v>5018</v>
      </c>
      <c r="D662" s="22" t="n">
        <v>2141</v>
      </c>
      <c r="E662" s="22" t="s">
        <v>6658</v>
      </c>
      <c r="F662" s="22" t="s">
        <v>198</v>
      </c>
      <c r="G662" s="22" t="n">
        <v>28</v>
      </c>
      <c r="H662" s="22" t="s">
        <v>6575</v>
      </c>
      <c r="I662" s="22" t="s">
        <v>8601</v>
      </c>
      <c r="J662" s="22" t="n">
        <v>10.4</v>
      </c>
      <c r="K662" s="22" t="n">
        <v>1</v>
      </c>
      <c r="L662" s="22" t="s">
        <v>8602</v>
      </c>
      <c r="M662" s="23" t="n">
        <v>45352</v>
      </c>
      <c r="N662" s="22"/>
      <c r="O662" s="22"/>
      <c r="P662" s="22" t="s">
        <v>8603</v>
      </c>
      <c r="Q662" s="22"/>
      <c r="R662" s="22"/>
    </row>
    <row r="663" customFormat="false" ht="15" hidden="false" customHeight="false" outlineLevel="0" collapsed="false">
      <c r="A663" s="22" t="s">
        <v>9468</v>
      </c>
      <c r="B663" s="23" t="n">
        <v>45331</v>
      </c>
      <c r="C663" s="22" t="s">
        <v>4113</v>
      </c>
      <c r="D663" s="22" t="n">
        <v>1698</v>
      </c>
      <c r="E663" s="22" t="s">
        <v>8549</v>
      </c>
      <c r="F663" s="22" t="s">
        <v>188</v>
      </c>
      <c r="G663" s="22" t="n">
        <v>28</v>
      </c>
      <c r="H663" s="22" t="s">
        <v>7696</v>
      </c>
      <c r="I663" s="22" t="s">
        <v>8601</v>
      </c>
      <c r="J663" s="22" t="n">
        <v>7.55</v>
      </c>
      <c r="K663" s="22" t="n">
        <v>2</v>
      </c>
      <c r="L663" s="22" t="s">
        <v>8629</v>
      </c>
      <c r="M663" s="23" t="n">
        <v>45345</v>
      </c>
      <c r="N663" s="23" t="n">
        <v>45335</v>
      </c>
      <c r="O663" s="22" t="n">
        <v>4</v>
      </c>
      <c r="P663" s="22"/>
      <c r="Q663" s="22"/>
      <c r="R663" s="22"/>
    </row>
    <row r="664" customFormat="false" ht="15" hidden="false" customHeight="false" outlineLevel="0" collapsed="false">
      <c r="A664" s="22" t="s">
        <v>9469</v>
      </c>
      <c r="B664" s="23" t="n">
        <v>45346</v>
      </c>
      <c r="C664" s="22" t="s">
        <v>3399</v>
      </c>
      <c r="D664" s="22" t="n">
        <v>1349</v>
      </c>
      <c r="E664" s="22" t="s">
        <v>8427</v>
      </c>
      <c r="F664" s="22" t="s">
        <v>188</v>
      </c>
      <c r="G664" s="22" t="n">
        <v>24</v>
      </c>
      <c r="H664" s="22" t="s">
        <v>7696</v>
      </c>
      <c r="I664" s="22" t="s">
        <v>8601</v>
      </c>
      <c r="J664" s="22" t="n">
        <v>7.55</v>
      </c>
      <c r="K664" s="22" t="n">
        <v>1</v>
      </c>
      <c r="L664" s="22" t="s">
        <v>8602</v>
      </c>
      <c r="M664" s="23" t="n">
        <v>45360</v>
      </c>
      <c r="N664" s="22"/>
      <c r="O664" s="22"/>
      <c r="P664" s="22" t="s">
        <v>8637</v>
      </c>
      <c r="Q664" s="22"/>
      <c r="R664" s="22"/>
    </row>
    <row r="665" customFormat="false" ht="15" hidden="false" customHeight="false" outlineLevel="0" collapsed="false">
      <c r="A665" s="22" t="s">
        <v>9470</v>
      </c>
      <c r="B665" s="23" t="n">
        <v>45325</v>
      </c>
      <c r="C665" s="22" t="s">
        <v>3805</v>
      </c>
      <c r="D665" s="22" t="n">
        <v>1547</v>
      </c>
      <c r="E665" s="22" t="s">
        <v>8284</v>
      </c>
      <c r="F665" s="22" t="s">
        <v>499</v>
      </c>
      <c r="G665" s="22" t="n">
        <v>36</v>
      </c>
      <c r="H665" s="22" t="s">
        <v>7696</v>
      </c>
      <c r="I665" s="22" t="s">
        <v>8601</v>
      </c>
      <c r="J665" s="22" t="n">
        <v>7.55</v>
      </c>
      <c r="K665" s="22" t="n">
        <v>1</v>
      </c>
      <c r="L665" s="22" t="s">
        <v>157</v>
      </c>
      <c r="M665" s="23" t="n">
        <v>45339</v>
      </c>
      <c r="N665" s="23" t="n">
        <v>45336</v>
      </c>
      <c r="O665" s="22" t="n">
        <v>11</v>
      </c>
      <c r="P665" s="22"/>
      <c r="Q665" s="22"/>
      <c r="R665" s="22"/>
    </row>
    <row r="666" customFormat="false" ht="15" hidden="false" customHeight="false" outlineLevel="0" collapsed="false">
      <c r="A666" s="22" t="s">
        <v>9471</v>
      </c>
      <c r="B666" s="23" t="n">
        <v>45349</v>
      </c>
      <c r="C666" s="22" t="s">
        <v>5447</v>
      </c>
      <c r="D666" s="22" t="n">
        <v>2355</v>
      </c>
      <c r="E666" s="22" t="s">
        <v>6817</v>
      </c>
      <c r="F666" s="22" t="s">
        <v>198</v>
      </c>
      <c r="G666" s="22" t="n">
        <v>24</v>
      </c>
      <c r="H666" s="22" t="s">
        <v>6575</v>
      </c>
      <c r="I666" s="22" t="s">
        <v>8601</v>
      </c>
      <c r="J666" s="22" t="n">
        <v>10.4</v>
      </c>
      <c r="K666" s="22" t="n">
        <v>1</v>
      </c>
      <c r="L666" s="22" t="s">
        <v>8605</v>
      </c>
      <c r="M666" s="23" t="n">
        <v>45359</v>
      </c>
      <c r="N666" s="23" t="n">
        <v>45361</v>
      </c>
      <c r="O666" s="22" t="n">
        <v>12</v>
      </c>
      <c r="P666" s="22"/>
      <c r="Q666" s="22" t="s">
        <v>6818</v>
      </c>
      <c r="R666" s="22"/>
    </row>
    <row r="667" customFormat="false" ht="15" hidden="false" customHeight="false" outlineLevel="0" collapsed="false">
      <c r="A667" s="22" t="s">
        <v>9472</v>
      </c>
      <c r="B667" s="23" t="n">
        <v>45325</v>
      </c>
      <c r="C667" s="22" t="s">
        <v>876</v>
      </c>
      <c r="D667" s="22" t="n">
        <v>253</v>
      </c>
      <c r="E667" s="22" t="s">
        <v>6742</v>
      </c>
      <c r="F667" s="22" t="s">
        <v>198</v>
      </c>
      <c r="G667" s="22" t="n">
        <v>36</v>
      </c>
      <c r="H667" s="22" t="s">
        <v>6575</v>
      </c>
      <c r="I667" s="22" t="s">
        <v>8601</v>
      </c>
      <c r="J667" s="22" t="n">
        <v>10.4</v>
      </c>
      <c r="K667" s="22" t="n">
        <v>2</v>
      </c>
      <c r="L667" s="22" t="s">
        <v>8602</v>
      </c>
      <c r="M667" s="23" t="n">
        <v>45335</v>
      </c>
      <c r="N667" s="22"/>
      <c r="O667" s="22"/>
      <c r="P667" s="22" t="s">
        <v>8631</v>
      </c>
      <c r="Q667" s="22"/>
      <c r="R667" s="22"/>
    </row>
    <row r="668" customFormat="false" ht="15" hidden="false" customHeight="false" outlineLevel="0" collapsed="false">
      <c r="A668" s="22" t="s">
        <v>9473</v>
      </c>
      <c r="B668" s="23" t="n">
        <v>45344</v>
      </c>
      <c r="C668" s="22" t="s">
        <v>3667</v>
      </c>
      <c r="D668" s="22" t="n">
        <v>1479</v>
      </c>
      <c r="E668" s="22" t="s">
        <v>8488</v>
      </c>
      <c r="F668" s="22" t="s">
        <v>188</v>
      </c>
      <c r="G668" s="22" t="n">
        <v>32</v>
      </c>
      <c r="H668" s="22" t="s">
        <v>7696</v>
      </c>
      <c r="I668" s="22" t="s">
        <v>8601</v>
      </c>
      <c r="J668" s="22" t="n">
        <v>7.55</v>
      </c>
      <c r="K668" s="22" t="n">
        <v>2</v>
      </c>
      <c r="L668" s="22" t="s">
        <v>8605</v>
      </c>
      <c r="M668" s="23" t="n">
        <v>45358</v>
      </c>
      <c r="N668" s="23" t="n">
        <v>45351</v>
      </c>
      <c r="O668" s="22" t="n">
        <v>7</v>
      </c>
      <c r="P668" s="22"/>
      <c r="Q668" s="22" t="s">
        <v>6936</v>
      </c>
      <c r="R668" s="22"/>
    </row>
    <row r="669" customFormat="false" ht="15" hidden="false" customHeight="false" outlineLevel="0" collapsed="false">
      <c r="A669" s="22" t="s">
        <v>9474</v>
      </c>
      <c r="B669" s="23" t="n">
        <v>45323</v>
      </c>
      <c r="C669" s="22" t="s">
        <v>5675</v>
      </c>
      <c r="D669" s="22" t="n">
        <v>2468</v>
      </c>
      <c r="E669" s="22" t="s">
        <v>8209</v>
      </c>
      <c r="F669" s="22" t="s">
        <v>499</v>
      </c>
      <c r="G669" s="22" t="n">
        <v>28</v>
      </c>
      <c r="H669" s="22" t="s">
        <v>7696</v>
      </c>
      <c r="I669" s="22" t="s">
        <v>8601</v>
      </c>
      <c r="J669" s="22" t="n">
        <v>7.55</v>
      </c>
      <c r="K669" s="22" t="n">
        <v>1</v>
      </c>
      <c r="L669" s="22" t="s">
        <v>8605</v>
      </c>
      <c r="M669" s="23" t="n">
        <v>45337</v>
      </c>
      <c r="N669" s="23" t="n">
        <v>45334</v>
      </c>
      <c r="O669" s="22" t="n">
        <v>11</v>
      </c>
      <c r="P669" s="22"/>
      <c r="Q669" s="22" t="s">
        <v>6966</v>
      </c>
      <c r="R669" s="22"/>
    </row>
    <row r="670" customFormat="false" ht="15" hidden="false" customHeight="false" outlineLevel="0" collapsed="false">
      <c r="A670" s="22" t="s">
        <v>9475</v>
      </c>
      <c r="B670" s="23" t="n">
        <v>45324</v>
      </c>
      <c r="C670" s="22" t="s">
        <v>1685</v>
      </c>
      <c r="D670" s="22" t="n">
        <v>580</v>
      </c>
      <c r="E670" s="22" t="s">
        <v>7175</v>
      </c>
      <c r="F670" s="22" t="s">
        <v>198</v>
      </c>
      <c r="G670" s="22" t="n">
        <v>28</v>
      </c>
      <c r="H670" s="22" t="s">
        <v>6575</v>
      </c>
      <c r="I670" s="22" t="s">
        <v>8601</v>
      </c>
      <c r="J670" s="22" t="n">
        <v>10.4</v>
      </c>
      <c r="K670" s="22" t="n">
        <v>1</v>
      </c>
      <c r="L670" s="22" t="s">
        <v>8608</v>
      </c>
      <c r="M670" s="23" t="n">
        <v>45334</v>
      </c>
      <c r="N670" s="23" t="n">
        <v>45329</v>
      </c>
      <c r="O670" s="22" t="n">
        <v>5</v>
      </c>
      <c r="P670" s="22"/>
      <c r="Q670" s="22"/>
      <c r="R670" s="22"/>
    </row>
    <row r="671" customFormat="false" ht="15" hidden="false" customHeight="false" outlineLevel="0" collapsed="false">
      <c r="A671" s="22" t="s">
        <v>9476</v>
      </c>
      <c r="B671" s="23" t="n">
        <v>45337</v>
      </c>
      <c r="C671" s="22" t="s">
        <v>4989</v>
      </c>
      <c r="D671" s="22" t="n">
        <v>2127</v>
      </c>
      <c r="E671" s="22" t="s">
        <v>6900</v>
      </c>
      <c r="F671" s="22" t="s">
        <v>198</v>
      </c>
      <c r="G671" s="22" t="n">
        <v>40</v>
      </c>
      <c r="H671" s="22" t="s">
        <v>6575</v>
      </c>
      <c r="I671" s="22" t="s">
        <v>8601</v>
      </c>
      <c r="J671" s="22" t="n">
        <v>10.4</v>
      </c>
      <c r="K671" s="22" t="n">
        <v>1</v>
      </c>
      <c r="L671" s="22" t="s">
        <v>8602</v>
      </c>
      <c r="M671" s="23" t="n">
        <v>45347</v>
      </c>
      <c r="N671" s="22"/>
      <c r="O671" s="22"/>
      <c r="P671" s="22" t="s">
        <v>8637</v>
      </c>
      <c r="Q671" s="22"/>
      <c r="R671" s="22"/>
    </row>
    <row r="672" customFormat="false" ht="15" hidden="false" customHeight="false" outlineLevel="0" collapsed="false">
      <c r="A672" s="22" t="s">
        <v>9477</v>
      </c>
      <c r="B672" s="23" t="n">
        <v>45330</v>
      </c>
      <c r="C672" s="22" t="s">
        <v>4020</v>
      </c>
      <c r="D672" s="22" t="n">
        <v>1653</v>
      </c>
      <c r="E672" s="22" t="s">
        <v>8502</v>
      </c>
      <c r="F672" s="22" t="s">
        <v>188</v>
      </c>
      <c r="G672" s="22" t="n">
        <v>24</v>
      </c>
      <c r="H672" s="22" t="s">
        <v>7696</v>
      </c>
      <c r="I672" s="22" t="s">
        <v>8601</v>
      </c>
      <c r="J672" s="22" t="n">
        <v>7.55</v>
      </c>
      <c r="K672" s="22" t="n">
        <v>1</v>
      </c>
      <c r="L672" s="22" t="s">
        <v>8602</v>
      </c>
      <c r="M672" s="23" t="n">
        <v>45344</v>
      </c>
      <c r="N672" s="22"/>
      <c r="O672" s="22"/>
      <c r="P672" s="22" t="s">
        <v>8603</v>
      </c>
      <c r="Q672" s="22"/>
      <c r="R672" s="22"/>
    </row>
    <row r="673" customFormat="false" ht="15" hidden="false" customHeight="false" outlineLevel="0" collapsed="false">
      <c r="A673" s="22" t="s">
        <v>9478</v>
      </c>
      <c r="B673" s="23" t="n">
        <v>45329</v>
      </c>
      <c r="C673" s="22" t="s">
        <v>1123</v>
      </c>
      <c r="D673" s="22" t="n">
        <v>347</v>
      </c>
      <c r="E673" s="22" t="s">
        <v>7901</v>
      </c>
      <c r="F673" s="22" t="s">
        <v>215</v>
      </c>
      <c r="G673" s="22" t="n">
        <v>60</v>
      </c>
      <c r="H673" s="22" t="s">
        <v>7696</v>
      </c>
      <c r="I673" s="22" t="s">
        <v>8601</v>
      </c>
      <c r="J673" s="22" t="n">
        <v>7.55</v>
      </c>
      <c r="K673" s="22" t="n">
        <v>1</v>
      </c>
      <c r="L673" s="22" t="s">
        <v>8602</v>
      </c>
      <c r="M673" s="23" t="n">
        <v>45343</v>
      </c>
      <c r="N673" s="22"/>
      <c r="O673" s="22"/>
      <c r="P673" s="22" t="s">
        <v>8637</v>
      </c>
      <c r="Q673" s="22"/>
      <c r="R673" s="22"/>
    </row>
    <row r="674" customFormat="false" ht="15" hidden="false" customHeight="false" outlineLevel="0" collapsed="false">
      <c r="A674" s="22" t="s">
        <v>9479</v>
      </c>
      <c r="B674" s="23" t="n">
        <v>45331</v>
      </c>
      <c r="C674" s="22" t="s">
        <v>1642</v>
      </c>
      <c r="D674" s="22" t="n">
        <v>562</v>
      </c>
      <c r="E674" s="22" t="s">
        <v>8091</v>
      </c>
      <c r="F674" s="22" t="s">
        <v>499</v>
      </c>
      <c r="G674" s="22" t="n">
        <v>80</v>
      </c>
      <c r="H674" s="22" t="s">
        <v>7696</v>
      </c>
      <c r="I674" s="22" t="s">
        <v>8601</v>
      </c>
      <c r="J674" s="22" t="n">
        <v>7.55</v>
      </c>
      <c r="K674" s="22" t="n">
        <v>1</v>
      </c>
      <c r="L674" s="22" t="s">
        <v>8602</v>
      </c>
      <c r="M674" s="23" t="n">
        <v>45345</v>
      </c>
      <c r="N674" s="22"/>
      <c r="O674" s="22"/>
      <c r="P674" s="22" t="s">
        <v>8637</v>
      </c>
      <c r="Q674" s="22"/>
      <c r="R674" s="22"/>
    </row>
    <row r="675" customFormat="false" ht="15" hidden="false" customHeight="false" outlineLevel="0" collapsed="false">
      <c r="A675" s="22" t="s">
        <v>9480</v>
      </c>
      <c r="B675" s="23" t="n">
        <v>45349</v>
      </c>
      <c r="C675" s="22" t="s">
        <v>5619</v>
      </c>
      <c r="D675" s="22" t="n">
        <v>2440</v>
      </c>
      <c r="E675" s="22" t="s">
        <v>8564</v>
      </c>
      <c r="F675" s="22" t="s">
        <v>188</v>
      </c>
      <c r="G675" s="22" t="n">
        <v>32</v>
      </c>
      <c r="H675" s="22" t="s">
        <v>7696</v>
      </c>
      <c r="I675" s="22" t="s">
        <v>8601</v>
      </c>
      <c r="J675" s="22" t="n">
        <v>7.55</v>
      </c>
      <c r="K675" s="22" t="n">
        <v>1</v>
      </c>
      <c r="L675" s="22" t="s">
        <v>157</v>
      </c>
      <c r="M675" s="23" t="n">
        <v>45363</v>
      </c>
      <c r="N675" s="23" t="n">
        <v>45356</v>
      </c>
      <c r="O675" s="22" t="n">
        <v>7</v>
      </c>
      <c r="P675" s="22"/>
      <c r="Q675" s="22"/>
      <c r="R675" s="22"/>
    </row>
    <row r="676" customFormat="false" ht="15" hidden="false" customHeight="false" outlineLevel="0" collapsed="false">
      <c r="A676" s="22" t="s">
        <v>9481</v>
      </c>
      <c r="B676" s="23" t="n">
        <v>45339</v>
      </c>
      <c r="C676" s="22" t="s">
        <v>3759</v>
      </c>
      <c r="D676" s="22" t="n">
        <v>1524</v>
      </c>
      <c r="E676" s="22" t="s">
        <v>6802</v>
      </c>
      <c r="F676" s="22" t="s">
        <v>198</v>
      </c>
      <c r="G676" s="22" t="n">
        <v>24</v>
      </c>
      <c r="H676" s="22" t="s">
        <v>6575</v>
      </c>
      <c r="I676" s="22" t="s">
        <v>8601</v>
      </c>
      <c r="J676" s="22" t="n">
        <v>10.4</v>
      </c>
      <c r="K676" s="22" t="n">
        <v>1</v>
      </c>
      <c r="L676" s="22" t="s">
        <v>8613</v>
      </c>
      <c r="M676" s="23" t="n">
        <v>45349</v>
      </c>
      <c r="N676" s="22"/>
      <c r="O676" s="22"/>
      <c r="P676" s="22"/>
      <c r="Q676" s="22"/>
      <c r="R676" s="22"/>
    </row>
    <row r="677" customFormat="false" ht="15" hidden="false" customHeight="false" outlineLevel="0" collapsed="false">
      <c r="A677" s="22" t="s">
        <v>9482</v>
      </c>
      <c r="B677" s="23" t="n">
        <v>45374</v>
      </c>
      <c r="C677" s="22" t="s">
        <v>3971</v>
      </c>
      <c r="D677" s="22" t="n">
        <v>1629</v>
      </c>
      <c r="E677" s="22" t="s">
        <v>7688</v>
      </c>
      <c r="F677" s="22" t="s">
        <v>159</v>
      </c>
      <c r="G677" s="22" t="n">
        <v>40</v>
      </c>
      <c r="H677" s="22" t="s">
        <v>6575</v>
      </c>
      <c r="I677" s="22" t="s">
        <v>8601</v>
      </c>
      <c r="J677" s="22" t="n">
        <v>10.4</v>
      </c>
      <c r="K677" s="22" t="n">
        <v>1</v>
      </c>
      <c r="L677" s="22" t="s">
        <v>8602</v>
      </c>
      <c r="M677" s="23" t="n">
        <v>45384</v>
      </c>
      <c r="N677" s="22"/>
      <c r="O677" s="22"/>
      <c r="P677" s="22" t="s">
        <v>8603</v>
      </c>
      <c r="Q677" s="22"/>
      <c r="R677" s="22"/>
    </row>
    <row r="678" customFormat="false" ht="15" hidden="false" customHeight="false" outlineLevel="0" collapsed="false">
      <c r="A678" s="22" t="s">
        <v>9483</v>
      </c>
      <c r="B678" s="23" t="n">
        <v>45365</v>
      </c>
      <c r="C678" s="22" t="s">
        <v>3560</v>
      </c>
      <c r="D678" s="22" t="n">
        <v>1428</v>
      </c>
      <c r="E678" s="22" t="s">
        <v>8235</v>
      </c>
      <c r="F678" s="22" t="s">
        <v>499</v>
      </c>
      <c r="G678" s="22" t="n">
        <v>45</v>
      </c>
      <c r="H678" s="22" t="s">
        <v>7696</v>
      </c>
      <c r="I678" s="22" t="s">
        <v>8601</v>
      </c>
      <c r="J678" s="22" t="n">
        <v>7.55</v>
      </c>
      <c r="K678" s="22" t="n">
        <v>1</v>
      </c>
      <c r="L678" s="22" t="s">
        <v>8605</v>
      </c>
      <c r="M678" s="23" t="n">
        <v>45379</v>
      </c>
      <c r="N678" s="23" t="n">
        <v>45369</v>
      </c>
      <c r="O678" s="22" t="n">
        <v>4</v>
      </c>
      <c r="P678" s="22"/>
      <c r="Q678" s="22" t="s">
        <v>7029</v>
      </c>
      <c r="R678" s="22"/>
    </row>
    <row r="679" customFormat="false" ht="15" hidden="false" customHeight="false" outlineLevel="0" collapsed="false">
      <c r="A679" s="22" t="s">
        <v>9484</v>
      </c>
      <c r="B679" s="23" t="n">
        <v>45376</v>
      </c>
      <c r="C679" s="22" t="s">
        <v>3481</v>
      </c>
      <c r="D679" s="22" t="n">
        <v>1389</v>
      </c>
      <c r="E679" s="22" t="s">
        <v>7754</v>
      </c>
      <c r="F679" s="22" t="s">
        <v>215</v>
      </c>
      <c r="G679" s="22" t="n">
        <v>60</v>
      </c>
      <c r="H679" s="22" t="s">
        <v>7696</v>
      </c>
      <c r="I679" s="22" t="s">
        <v>8601</v>
      </c>
      <c r="J679" s="22" t="n">
        <v>7.55</v>
      </c>
      <c r="K679" s="22" t="n">
        <v>1</v>
      </c>
      <c r="L679" s="22" t="s">
        <v>8605</v>
      </c>
      <c r="M679" s="23" t="n">
        <v>45390</v>
      </c>
      <c r="N679" s="23" t="n">
        <v>45393</v>
      </c>
      <c r="O679" s="22" t="n">
        <v>17</v>
      </c>
      <c r="P679" s="22"/>
      <c r="Q679" s="22" t="s">
        <v>6691</v>
      </c>
      <c r="R679" s="22"/>
    </row>
    <row r="680" customFormat="false" ht="15" hidden="false" customHeight="false" outlineLevel="0" collapsed="false">
      <c r="A680" s="22" t="s">
        <v>9485</v>
      </c>
      <c r="B680" s="23" t="n">
        <v>45379</v>
      </c>
      <c r="C680" s="22" t="s">
        <v>5981</v>
      </c>
      <c r="D680" s="22" t="n">
        <v>2621</v>
      </c>
      <c r="E680" s="22" t="s">
        <v>8486</v>
      </c>
      <c r="F680" s="22" t="s">
        <v>188</v>
      </c>
      <c r="G680" s="22" t="n">
        <v>24</v>
      </c>
      <c r="H680" s="22" t="s">
        <v>7696</v>
      </c>
      <c r="I680" s="22" t="s">
        <v>8601</v>
      </c>
      <c r="J680" s="22" t="n">
        <v>7.55</v>
      </c>
      <c r="K680" s="22" t="n">
        <v>1</v>
      </c>
      <c r="L680" s="22" t="s">
        <v>8602</v>
      </c>
      <c r="M680" s="23" t="n">
        <v>45393</v>
      </c>
      <c r="N680" s="22"/>
      <c r="O680" s="22"/>
      <c r="P680" s="22" t="s">
        <v>8631</v>
      </c>
      <c r="Q680" s="22"/>
      <c r="R680" s="22"/>
    </row>
    <row r="681" customFormat="false" ht="15" hidden="false" customHeight="false" outlineLevel="0" collapsed="false">
      <c r="A681" s="22" t="s">
        <v>9486</v>
      </c>
      <c r="B681" s="23" t="n">
        <v>45360</v>
      </c>
      <c r="C681" s="22" t="s">
        <v>4930</v>
      </c>
      <c r="D681" s="22" t="n">
        <v>2098</v>
      </c>
      <c r="E681" s="22" t="s">
        <v>8359</v>
      </c>
      <c r="F681" s="22" t="s">
        <v>188</v>
      </c>
      <c r="G681" s="22" t="n">
        <v>70</v>
      </c>
      <c r="H681" s="22" t="s">
        <v>7696</v>
      </c>
      <c r="I681" s="22" t="s">
        <v>8601</v>
      </c>
      <c r="J681" s="22" t="n">
        <v>7.55</v>
      </c>
      <c r="K681" s="22" t="n">
        <v>2</v>
      </c>
      <c r="L681" s="22" t="s">
        <v>8605</v>
      </c>
      <c r="M681" s="23" t="n">
        <v>45374</v>
      </c>
      <c r="N681" s="23" t="n">
        <v>45374</v>
      </c>
      <c r="O681" s="22" t="n">
        <v>14</v>
      </c>
      <c r="P681" s="22"/>
      <c r="Q681" s="22" t="s">
        <v>6625</v>
      </c>
      <c r="R681" s="22"/>
    </row>
    <row r="682" customFormat="false" ht="15" hidden="false" customHeight="false" outlineLevel="0" collapsed="false">
      <c r="A682" s="22" t="s">
        <v>9487</v>
      </c>
      <c r="B682" s="23" t="n">
        <v>45372</v>
      </c>
      <c r="C682" s="22" t="s">
        <v>6167</v>
      </c>
      <c r="D682" s="22" t="n">
        <v>2714</v>
      </c>
      <c r="E682" s="22" t="s">
        <v>6588</v>
      </c>
      <c r="F682" s="22" t="s">
        <v>198</v>
      </c>
      <c r="G682" s="22" t="n">
        <v>24</v>
      </c>
      <c r="H682" s="22" t="s">
        <v>6575</v>
      </c>
      <c r="I682" s="22" t="s">
        <v>8601</v>
      </c>
      <c r="J682" s="22" t="n">
        <v>10.4</v>
      </c>
      <c r="K682" s="22" t="n">
        <v>1</v>
      </c>
      <c r="L682" s="22" t="s">
        <v>8629</v>
      </c>
      <c r="M682" s="23" t="n">
        <v>45382</v>
      </c>
      <c r="N682" s="23" t="n">
        <v>45380</v>
      </c>
      <c r="O682" s="22" t="n">
        <v>8</v>
      </c>
      <c r="P682" s="22"/>
      <c r="Q682" s="22"/>
      <c r="R682" s="22"/>
    </row>
    <row r="683" customFormat="false" ht="15" hidden="false" customHeight="false" outlineLevel="0" collapsed="false">
      <c r="A683" s="22" t="s">
        <v>9488</v>
      </c>
      <c r="B683" s="23" t="n">
        <v>45368</v>
      </c>
      <c r="C683" s="22" t="s">
        <v>3718</v>
      </c>
      <c r="D683" s="22" t="n">
        <v>1504</v>
      </c>
      <c r="E683" s="22" t="s">
        <v>7891</v>
      </c>
      <c r="F683" s="22" t="s">
        <v>215</v>
      </c>
      <c r="G683" s="22" t="n">
        <v>36</v>
      </c>
      <c r="H683" s="22" t="s">
        <v>7696</v>
      </c>
      <c r="I683" s="22" t="s">
        <v>8601</v>
      </c>
      <c r="J683" s="22" t="n">
        <v>7.55</v>
      </c>
      <c r="K683" s="22" t="n">
        <v>1</v>
      </c>
      <c r="L683" s="22" t="s">
        <v>8605</v>
      </c>
      <c r="M683" s="23" t="n">
        <v>45382</v>
      </c>
      <c r="N683" s="23" t="n">
        <v>45383</v>
      </c>
      <c r="O683" s="22" t="n">
        <v>15</v>
      </c>
      <c r="P683" s="22"/>
      <c r="Q683" s="22" t="s">
        <v>6975</v>
      </c>
      <c r="R683" s="22"/>
    </row>
    <row r="684" customFormat="false" ht="15" hidden="false" customHeight="false" outlineLevel="0" collapsed="false">
      <c r="A684" s="22" t="s">
        <v>9489</v>
      </c>
      <c r="B684" s="23" t="n">
        <v>45373</v>
      </c>
      <c r="C684" s="22" t="s">
        <v>2700</v>
      </c>
      <c r="D684" s="22" t="n">
        <v>1027</v>
      </c>
      <c r="E684" s="22" t="s">
        <v>8253</v>
      </c>
      <c r="F684" s="22" t="s">
        <v>499</v>
      </c>
      <c r="G684" s="22" t="n">
        <v>80</v>
      </c>
      <c r="H684" s="22" t="s">
        <v>7696</v>
      </c>
      <c r="I684" s="22" t="s">
        <v>8601</v>
      </c>
      <c r="J684" s="22" t="n">
        <v>7.55</v>
      </c>
      <c r="K684" s="22" t="n">
        <v>1</v>
      </c>
      <c r="L684" s="22" t="s">
        <v>8602</v>
      </c>
      <c r="M684" s="23" t="n">
        <v>45387</v>
      </c>
      <c r="N684" s="22"/>
      <c r="O684" s="22"/>
      <c r="P684" s="22" t="s">
        <v>8618</v>
      </c>
      <c r="Q684" s="22"/>
      <c r="R684" s="22"/>
    </row>
    <row r="685" customFormat="false" ht="15" hidden="false" customHeight="false" outlineLevel="0" collapsed="false">
      <c r="A685" s="22" t="s">
        <v>9490</v>
      </c>
      <c r="B685" s="23" t="n">
        <v>45378</v>
      </c>
      <c r="C685" s="22" t="s">
        <v>2904</v>
      </c>
      <c r="D685" s="22" t="n">
        <v>1119</v>
      </c>
      <c r="E685" s="22" t="s">
        <v>8087</v>
      </c>
      <c r="F685" s="22" t="s">
        <v>499</v>
      </c>
      <c r="G685" s="22" t="n">
        <v>80</v>
      </c>
      <c r="H685" s="22" t="s">
        <v>7696</v>
      </c>
      <c r="I685" s="22" t="s">
        <v>8601</v>
      </c>
      <c r="J685" s="22" t="n">
        <v>7.55</v>
      </c>
      <c r="K685" s="22" t="n">
        <v>1</v>
      </c>
      <c r="L685" s="22" t="s">
        <v>8629</v>
      </c>
      <c r="M685" s="23" t="n">
        <v>45392</v>
      </c>
      <c r="N685" s="23" t="n">
        <v>45381</v>
      </c>
      <c r="O685" s="22" t="n">
        <v>3</v>
      </c>
      <c r="P685" s="22"/>
      <c r="Q685" s="22"/>
      <c r="R685" s="22"/>
    </row>
    <row r="686" customFormat="false" ht="15" hidden="false" customHeight="false" outlineLevel="0" collapsed="false">
      <c r="A686" s="22" t="s">
        <v>9491</v>
      </c>
      <c r="B686" s="23" t="n">
        <v>45374</v>
      </c>
      <c r="C686" s="22" t="s">
        <v>380</v>
      </c>
      <c r="D686" s="22" t="n">
        <v>74</v>
      </c>
      <c r="E686" s="22" t="s">
        <v>7840</v>
      </c>
      <c r="F686" s="22" t="s">
        <v>215</v>
      </c>
      <c r="G686" s="22" t="n">
        <v>36</v>
      </c>
      <c r="H686" s="22" t="s">
        <v>7696</v>
      </c>
      <c r="I686" s="22" t="s">
        <v>8601</v>
      </c>
      <c r="J686" s="22" t="n">
        <v>7.55</v>
      </c>
      <c r="K686" s="22" t="n">
        <v>2</v>
      </c>
      <c r="L686" s="22" t="s">
        <v>157</v>
      </c>
      <c r="M686" s="23" t="n">
        <v>45388</v>
      </c>
      <c r="N686" s="23" t="n">
        <v>45379</v>
      </c>
      <c r="O686" s="22" t="n">
        <v>5</v>
      </c>
      <c r="P686" s="22"/>
      <c r="Q686" s="22"/>
      <c r="R686" s="22"/>
    </row>
    <row r="687" customFormat="false" ht="15" hidden="false" customHeight="false" outlineLevel="0" collapsed="false">
      <c r="A687" s="22" t="s">
        <v>9492</v>
      </c>
      <c r="B687" s="23" t="n">
        <v>45359</v>
      </c>
      <c r="C687" s="22" t="s">
        <v>199</v>
      </c>
      <c r="D687" s="22" t="n">
        <v>13</v>
      </c>
      <c r="E687" s="22" t="s">
        <v>8435</v>
      </c>
      <c r="F687" s="22" t="s">
        <v>188</v>
      </c>
      <c r="G687" s="22" t="n">
        <v>24</v>
      </c>
      <c r="H687" s="22" t="s">
        <v>7696</v>
      </c>
      <c r="I687" s="22" t="s">
        <v>8601</v>
      </c>
      <c r="J687" s="22" t="n">
        <v>7.55</v>
      </c>
      <c r="K687" s="22" t="n">
        <v>1</v>
      </c>
      <c r="L687" s="22" t="s">
        <v>8605</v>
      </c>
      <c r="M687" s="23" t="n">
        <v>45373</v>
      </c>
      <c r="N687" s="23" t="n">
        <v>45370</v>
      </c>
      <c r="O687" s="22" t="n">
        <v>11</v>
      </c>
      <c r="P687" s="22"/>
      <c r="Q687" s="22" t="s">
        <v>6818</v>
      </c>
      <c r="R687" s="22"/>
    </row>
    <row r="688" customFormat="false" ht="15" hidden="false" customHeight="false" outlineLevel="0" collapsed="false">
      <c r="A688" s="22" t="s">
        <v>9493</v>
      </c>
      <c r="B688" s="23" t="n">
        <v>45356</v>
      </c>
      <c r="C688" s="22" t="s">
        <v>5621</v>
      </c>
      <c r="D688" s="22" t="n">
        <v>2441</v>
      </c>
      <c r="E688" s="22" t="s">
        <v>8144</v>
      </c>
      <c r="F688" s="22" t="s">
        <v>499</v>
      </c>
      <c r="G688" s="22" t="n">
        <v>70</v>
      </c>
      <c r="H688" s="22" t="s">
        <v>7696</v>
      </c>
      <c r="I688" s="22" t="s">
        <v>8601</v>
      </c>
      <c r="J688" s="22" t="n">
        <v>7.55</v>
      </c>
      <c r="K688" s="22" t="n">
        <v>2</v>
      </c>
      <c r="L688" s="22" t="s">
        <v>157</v>
      </c>
      <c r="M688" s="23" t="n">
        <v>45370</v>
      </c>
      <c r="N688" s="23" t="n">
        <v>45370</v>
      </c>
      <c r="O688" s="22" t="n">
        <v>14</v>
      </c>
      <c r="P688" s="22"/>
      <c r="Q688" s="22"/>
      <c r="R688" s="22"/>
    </row>
    <row r="689" customFormat="false" ht="15" hidden="false" customHeight="false" outlineLevel="0" collapsed="false">
      <c r="A689" s="22" t="s">
        <v>9494</v>
      </c>
      <c r="B689" s="23" t="n">
        <v>45368</v>
      </c>
      <c r="C689" s="22" t="s">
        <v>5742</v>
      </c>
      <c r="D689" s="22" t="n">
        <v>2501</v>
      </c>
      <c r="E689" s="22" t="s">
        <v>8466</v>
      </c>
      <c r="F689" s="22" t="s">
        <v>188</v>
      </c>
      <c r="G689" s="22" t="n">
        <v>32</v>
      </c>
      <c r="H689" s="22" t="s">
        <v>7696</v>
      </c>
      <c r="I689" s="22" t="s">
        <v>8601</v>
      </c>
      <c r="J689" s="22" t="n">
        <v>7.55</v>
      </c>
      <c r="K689" s="22" t="n">
        <v>1</v>
      </c>
      <c r="L689" s="22" t="s">
        <v>8729</v>
      </c>
      <c r="M689" s="23" t="n">
        <v>45382</v>
      </c>
      <c r="N689" s="23" t="n">
        <v>45376</v>
      </c>
      <c r="O689" s="22" t="n">
        <v>8</v>
      </c>
      <c r="P689" s="22"/>
      <c r="Q689" s="22"/>
      <c r="R689" s="22"/>
    </row>
    <row r="690" customFormat="false" ht="15" hidden="false" customHeight="false" outlineLevel="0" collapsed="false">
      <c r="A690" s="22" t="s">
        <v>9495</v>
      </c>
      <c r="B690" s="23" t="n">
        <v>45361</v>
      </c>
      <c r="C690" s="22" t="s">
        <v>6305</v>
      </c>
      <c r="D690" s="22" t="n">
        <v>2783</v>
      </c>
      <c r="E690" s="22" t="s">
        <v>8322</v>
      </c>
      <c r="F690" s="22" t="s">
        <v>499</v>
      </c>
      <c r="G690" s="22" t="n">
        <v>45</v>
      </c>
      <c r="H690" s="22" t="s">
        <v>7696</v>
      </c>
      <c r="I690" s="22" t="s">
        <v>8601</v>
      </c>
      <c r="J690" s="22" t="n">
        <v>7.55</v>
      </c>
      <c r="K690" s="22" t="n">
        <v>1</v>
      </c>
      <c r="L690" s="22" t="s">
        <v>8605</v>
      </c>
      <c r="M690" s="23" t="n">
        <v>45375</v>
      </c>
      <c r="N690" s="23" t="n">
        <v>45370</v>
      </c>
      <c r="O690" s="22" t="n">
        <v>9</v>
      </c>
      <c r="P690" s="22"/>
      <c r="Q690" s="22" t="s">
        <v>7213</v>
      </c>
      <c r="R690" s="22"/>
    </row>
    <row r="691" customFormat="false" ht="15" hidden="false" customHeight="false" outlineLevel="0" collapsed="false">
      <c r="A691" s="22" t="s">
        <v>9496</v>
      </c>
      <c r="B691" s="23" t="n">
        <v>45378</v>
      </c>
      <c r="C691" s="22" t="s">
        <v>5109</v>
      </c>
      <c r="D691" s="22" t="n">
        <v>2185</v>
      </c>
      <c r="E691" s="22" t="s">
        <v>8566</v>
      </c>
      <c r="F691" s="22" t="s">
        <v>188</v>
      </c>
      <c r="G691" s="22" t="n">
        <v>24</v>
      </c>
      <c r="H691" s="22" t="s">
        <v>7696</v>
      </c>
      <c r="I691" s="22" t="s">
        <v>8601</v>
      </c>
      <c r="J691" s="22" t="n">
        <v>7.55</v>
      </c>
      <c r="K691" s="22" t="n">
        <v>2</v>
      </c>
      <c r="L691" s="22" t="s">
        <v>8602</v>
      </c>
      <c r="M691" s="23" t="n">
        <v>45392</v>
      </c>
      <c r="N691" s="22"/>
      <c r="O691" s="22"/>
      <c r="P691" s="22" t="s">
        <v>8603</v>
      </c>
      <c r="Q691" s="22"/>
      <c r="R691" s="22"/>
    </row>
    <row r="692" customFormat="false" ht="15" hidden="false" customHeight="false" outlineLevel="0" collapsed="false">
      <c r="A692" s="22" t="s">
        <v>9497</v>
      </c>
      <c r="B692" s="23" t="n">
        <v>45370</v>
      </c>
      <c r="C692" s="22" t="s">
        <v>3579</v>
      </c>
      <c r="D692" s="22" t="n">
        <v>1437</v>
      </c>
      <c r="E692" s="22" t="s">
        <v>7894</v>
      </c>
      <c r="F692" s="22" t="s">
        <v>215</v>
      </c>
      <c r="G692" s="22" t="n">
        <v>28</v>
      </c>
      <c r="H692" s="22" t="s">
        <v>7696</v>
      </c>
      <c r="I692" s="22" t="s">
        <v>8601</v>
      </c>
      <c r="J692" s="22" t="n">
        <v>7.55</v>
      </c>
      <c r="K692" s="22" t="n">
        <v>1</v>
      </c>
      <c r="L692" s="22" t="s">
        <v>8608</v>
      </c>
      <c r="M692" s="23" t="n">
        <v>45384</v>
      </c>
      <c r="N692" s="23" t="n">
        <v>45377</v>
      </c>
      <c r="O692" s="22" t="n">
        <v>7</v>
      </c>
      <c r="P692" s="22"/>
      <c r="Q692" s="22"/>
      <c r="R692" s="22"/>
    </row>
    <row r="693" customFormat="false" ht="15" hidden="false" customHeight="false" outlineLevel="0" collapsed="false">
      <c r="A693" s="22" t="s">
        <v>9498</v>
      </c>
      <c r="B693" s="23" t="n">
        <v>45367</v>
      </c>
      <c r="C693" s="22" t="s">
        <v>2919</v>
      </c>
      <c r="D693" s="22" t="n">
        <v>1125</v>
      </c>
      <c r="E693" s="22" t="s">
        <v>7083</v>
      </c>
      <c r="F693" s="22" t="s">
        <v>198</v>
      </c>
      <c r="G693" s="22" t="n">
        <v>28</v>
      </c>
      <c r="H693" s="22" t="s">
        <v>6575</v>
      </c>
      <c r="I693" s="22" t="s">
        <v>8601</v>
      </c>
      <c r="J693" s="22" t="n">
        <v>10.4</v>
      </c>
      <c r="K693" s="22" t="n">
        <v>1</v>
      </c>
      <c r="L693" s="22" t="s">
        <v>8605</v>
      </c>
      <c r="M693" s="23" t="n">
        <v>45377</v>
      </c>
      <c r="N693" s="23" t="n">
        <v>45376</v>
      </c>
      <c r="O693" s="22" t="n">
        <v>9</v>
      </c>
      <c r="P693" s="22"/>
      <c r="Q693" s="22" t="s">
        <v>7084</v>
      </c>
      <c r="R693" s="22"/>
    </row>
    <row r="694" customFormat="false" ht="15" hidden="false" customHeight="false" outlineLevel="0" collapsed="false">
      <c r="A694" s="22" t="s">
        <v>9499</v>
      </c>
      <c r="B694" s="23" t="n">
        <v>45353</v>
      </c>
      <c r="C694" s="22" t="s">
        <v>4512</v>
      </c>
      <c r="D694" s="22" t="n">
        <v>1893</v>
      </c>
      <c r="E694" s="22" t="s">
        <v>8026</v>
      </c>
      <c r="F694" s="22" t="s">
        <v>215</v>
      </c>
      <c r="G694" s="22" t="n">
        <v>70</v>
      </c>
      <c r="H694" s="22" t="s">
        <v>7696</v>
      </c>
      <c r="I694" s="22" t="s">
        <v>8601</v>
      </c>
      <c r="J694" s="22" t="n">
        <v>7.55</v>
      </c>
      <c r="K694" s="22" t="n">
        <v>1</v>
      </c>
      <c r="L694" s="22" t="s">
        <v>8602</v>
      </c>
      <c r="M694" s="23" t="n">
        <v>45367</v>
      </c>
      <c r="N694" s="22"/>
      <c r="O694" s="22"/>
      <c r="P694" s="22" t="s">
        <v>8631</v>
      </c>
      <c r="Q694" s="22"/>
      <c r="R694" s="22"/>
    </row>
    <row r="695" customFormat="false" ht="15" hidden="false" customHeight="false" outlineLevel="0" collapsed="false">
      <c r="A695" s="22" t="s">
        <v>9500</v>
      </c>
      <c r="B695" s="23" t="n">
        <v>45364</v>
      </c>
      <c r="C695" s="22" t="s">
        <v>2128</v>
      </c>
      <c r="D695" s="22" t="n">
        <v>769</v>
      </c>
      <c r="E695" s="22" t="s">
        <v>8368</v>
      </c>
      <c r="F695" s="22" t="s">
        <v>188</v>
      </c>
      <c r="G695" s="22" t="n">
        <v>80</v>
      </c>
      <c r="H695" s="22" t="s">
        <v>7696</v>
      </c>
      <c r="I695" s="22" t="s">
        <v>8601</v>
      </c>
      <c r="J695" s="22" t="n">
        <v>7.55</v>
      </c>
      <c r="K695" s="22" t="n">
        <v>2</v>
      </c>
      <c r="L695" s="22" t="s">
        <v>8729</v>
      </c>
      <c r="M695" s="23" t="n">
        <v>45378</v>
      </c>
      <c r="N695" s="23" t="n">
        <v>45378</v>
      </c>
      <c r="O695" s="22" t="n">
        <v>14</v>
      </c>
      <c r="P695" s="22"/>
      <c r="Q695" s="22"/>
      <c r="R695" s="22"/>
    </row>
    <row r="696" customFormat="false" ht="15" hidden="false" customHeight="false" outlineLevel="0" collapsed="false">
      <c r="A696" s="22" t="s">
        <v>9501</v>
      </c>
      <c r="B696" s="23" t="n">
        <v>45370</v>
      </c>
      <c r="C696" s="22" t="s">
        <v>6352</v>
      </c>
      <c r="D696" s="22" t="n">
        <v>2807</v>
      </c>
      <c r="E696" s="22" t="s">
        <v>8279</v>
      </c>
      <c r="F696" s="22" t="s">
        <v>499</v>
      </c>
      <c r="G696" s="22" t="n">
        <v>24</v>
      </c>
      <c r="H696" s="22" t="s">
        <v>7696</v>
      </c>
      <c r="I696" s="22" t="s">
        <v>8601</v>
      </c>
      <c r="J696" s="22" t="n">
        <v>7.55</v>
      </c>
      <c r="K696" s="22" t="n">
        <v>1</v>
      </c>
      <c r="L696" s="22" t="s">
        <v>8608</v>
      </c>
      <c r="M696" s="23" t="n">
        <v>45384</v>
      </c>
      <c r="N696" s="23" t="n">
        <v>45381</v>
      </c>
      <c r="O696" s="22" t="n">
        <v>11</v>
      </c>
      <c r="P696" s="22"/>
      <c r="Q696" s="22"/>
      <c r="R696" s="22"/>
    </row>
    <row r="697" customFormat="false" ht="15" hidden="false" customHeight="false" outlineLevel="0" collapsed="false">
      <c r="A697" s="22" t="s">
        <v>9502</v>
      </c>
      <c r="B697" s="23" t="n">
        <v>45352</v>
      </c>
      <c r="C697" s="22" t="s">
        <v>4456</v>
      </c>
      <c r="D697" s="22" t="n">
        <v>1866</v>
      </c>
      <c r="E697" s="22" t="s">
        <v>8405</v>
      </c>
      <c r="F697" s="22" t="s">
        <v>188</v>
      </c>
      <c r="G697" s="22" t="n">
        <v>32</v>
      </c>
      <c r="H697" s="22" t="s">
        <v>7696</v>
      </c>
      <c r="I697" s="22" t="s">
        <v>8601</v>
      </c>
      <c r="J697" s="22" t="n">
        <v>7.55</v>
      </c>
      <c r="K697" s="22" t="n">
        <v>1</v>
      </c>
      <c r="L697" s="22" t="s">
        <v>8605</v>
      </c>
      <c r="M697" s="23" t="n">
        <v>45366</v>
      </c>
      <c r="N697" s="23" t="n">
        <v>45363</v>
      </c>
      <c r="O697" s="22" t="n">
        <v>11</v>
      </c>
      <c r="P697" s="22"/>
      <c r="Q697" s="22" t="s">
        <v>6743</v>
      </c>
      <c r="R697" s="22"/>
    </row>
    <row r="698" customFormat="false" ht="15" hidden="false" customHeight="false" outlineLevel="0" collapsed="false">
      <c r="A698" s="22" t="s">
        <v>9503</v>
      </c>
      <c r="B698" s="23" t="n">
        <v>45362</v>
      </c>
      <c r="C698" s="22" t="s">
        <v>3537</v>
      </c>
      <c r="D698" s="22" t="n">
        <v>1416</v>
      </c>
      <c r="E698" s="22" t="s">
        <v>7801</v>
      </c>
      <c r="F698" s="22" t="s">
        <v>215</v>
      </c>
      <c r="G698" s="22" t="n">
        <v>28</v>
      </c>
      <c r="H698" s="22" t="s">
        <v>7696</v>
      </c>
      <c r="I698" s="22" t="s">
        <v>8601</v>
      </c>
      <c r="J698" s="22" t="n">
        <v>7.55</v>
      </c>
      <c r="K698" s="22" t="n">
        <v>1</v>
      </c>
      <c r="L698" s="22" t="s">
        <v>157</v>
      </c>
      <c r="M698" s="23" t="n">
        <v>45376</v>
      </c>
      <c r="N698" s="23" t="n">
        <v>45366</v>
      </c>
      <c r="O698" s="22" t="n">
        <v>4</v>
      </c>
      <c r="P698" s="22"/>
      <c r="Q698" s="22"/>
      <c r="R698" s="22"/>
    </row>
    <row r="699" customFormat="false" ht="15" hidden="false" customHeight="false" outlineLevel="0" collapsed="false">
      <c r="A699" s="22" t="s">
        <v>9504</v>
      </c>
      <c r="B699" s="23" t="n">
        <v>45376</v>
      </c>
      <c r="C699" s="22" t="s">
        <v>3241</v>
      </c>
      <c r="D699" s="22" t="n">
        <v>1274</v>
      </c>
      <c r="E699" s="22" t="s">
        <v>7574</v>
      </c>
      <c r="F699" s="22" t="s">
        <v>159</v>
      </c>
      <c r="G699" s="22" t="n">
        <v>28</v>
      </c>
      <c r="H699" s="22" t="s">
        <v>6575</v>
      </c>
      <c r="I699" s="22" t="s">
        <v>8601</v>
      </c>
      <c r="J699" s="22" t="n">
        <v>10.4</v>
      </c>
      <c r="K699" s="22" t="n">
        <v>1</v>
      </c>
      <c r="L699" s="22" t="s">
        <v>8602</v>
      </c>
      <c r="M699" s="23" t="n">
        <v>45386</v>
      </c>
      <c r="N699" s="22"/>
      <c r="O699" s="22"/>
      <c r="P699" s="22" t="s">
        <v>8603</v>
      </c>
      <c r="Q699" s="22"/>
      <c r="R699" s="22"/>
    </row>
    <row r="700" customFormat="false" ht="15" hidden="false" customHeight="false" outlineLevel="0" collapsed="false">
      <c r="A700" s="22" t="s">
        <v>9505</v>
      </c>
      <c r="B700" s="23" t="n">
        <v>45357</v>
      </c>
      <c r="C700" s="22" t="s">
        <v>6111</v>
      </c>
      <c r="D700" s="22" t="n">
        <v>2685</v>
      </c>
      <c r="E700" s="22" t="s">
        <v>6908</v>
      </c>
      <c r="F700" s="22" t="s">
        <v>198</v>
      </c>
      <c r="G700" s="22" t="n">
        <v>36</v>
      </c>
      <c r="H700" s="22" t="s">
        <v>6575</v>
      </c>
      <c r="I700" s="22" t="s">
        <v>8601</v>
      </c>
      <c r="J700" s="22" t="n">
        <v>10.4</v>
      </c>
      <c r="K700" s="22" t="n">
        <v>1</v>
      </c>
      <c r="L700" s="22" t="s">
        <v>8605</v>
      </c>
      <c r="M700" s="23" t="n">
        <v>45367</v>
      </c>
      <c r="N700" s="23" t="n">
        <v>45362</v>
      </c>
      <c r="O700" s="22" t="n">
        <v>5</v>
      </c>
      <c r="P700" s="22"/>
      <c r="Q700" s="22" t="s">
        <v>6909</v>
      </c>
      <c r="R700" s="22"/>
    </row>
    <row r="701" customFormat="false" ht="15" hidden="false" customHeight="false" outlineLevel="0" collapsed="false">
      <c r="A701" s="22" t="s">
        <v>9506</v>
      </c>
      <c r="B701" s="23" t="n">
        <v>45371</v>
      </c>
      <c r="C701" s="22" t="s">
        <v>6063</v>
      </c>
      <c r="D701" s="22" t="n">
        <v>2661</v>
      </c>
      <c r="E701" s="22" t="s">
        <v>7913</v>
      </c>
      <c r="F701" s="22" t="s">
        <v>215</v>
      </c>
      <c r="G701" s="22" t="n">
        <v>28</v>
      </c>
      <c r="H701" s="22" t="s">
        <v>7696</v>
      </c>
      <c r="I701" s="22" t="s">
        <v>8601</v>
      </c>
      <c r="J701" s="22" t="n">
        <v>7.55</v>
      </c>
      <c r="K701" s="22" t="n">
        <v>2</v>
      </c>
      <c r="L701" s="22" t="s">
        <v>8602</v>
      </c>
      <c r="M701" s="23" t="n">
        <v>45385</v>
      </c>
      <c r="N701" s="22"/>
      <c r="O701" s="22"/>
      <c r="P701" s="22" t="s">
        <v>8603</v>
      </c>
      <c r="Q701" s="22"/>
      <c r="R701" s="22"/>
    </row>
    <row r="702" customFormat="false" ht="15" hidden="false" customHeight="false" outlineLevel="0" collapsed="false">
      <c r="A702" s="22" t="s">
        <v>9507</v>
      </c>
      <c r="B702" s="23" t="n">
        <v>45353</v>
      </c>
      <c r="C702" s="22" t="s">
        <v>4258</v>
      </c>
      <c r="D702" s="22" t="n">
        <v>1769</v>
      </c>
      <c r="E702" s="22" t="s">
        <v>7968</v>
      </c>
      <c r="F702" s="22" t="s">
        <v>215</v>
      </c>
      <c r="G702" s="22" t="n">
        <v>80</v>
      </c>
      <c r="H702" s="22" t="s">
        <v>7696</v>
      </c>
      <c r="I702" s="22" t="s">
        <v>8601</v>
      </c>
      <c r="J702" s="22" t="n">
        <v>7.55</v>
      </c>
      <c r="K702" s="22" t="n">
        <v>2</v>
      </c>
      <c r="L702" s="22" t="s">
        <v>8602</v>
      </c>
      <c r="M702" s="23" t="n">
        <v>45367</v>
      </c>
      <c r="N702" s="22"/>
      <c r="O702" s="22"/>
      <c r="P702" s="22" t="s">
        <v>8631</v>
      </c>
      <c r="Q702" s="22"/>
      <c r="R702" s="22"/>
    </row>
    <row r="703" customFormat="false" ht="15" hidden="false" customHeight="false" outlineLevel="0" collapsed="false">
      <c r="A703" s="22" t="s">
        <v>9508</v>
      </c>
      <c r="B703" s="23" t="n">
        <v>45406</v>
      </c>
      <c r="C703" s="22" t="s">
        <v>3829</v>
      </c>
      <c r="D703" s="22" t="n">
        <v>1559</v>
      </c>
      <c r="E703" s="22" t="s">
        <v>8448</v>
      </c>
      <c r="F703" s="22" t="s">
        <v>188</v>
      </c>
      <c r="G703" s="22" t="n">
        <v>60</v>
      </c>
      <c r="H703" s="22" t="s">
        <v>7696</v>
      </c>
      <c r="I703" s="22" t="s">
        <v>8601</v>
      </c>
      <c r="J703" s="22" t="n">
        <v>7.55</v>
      </c>
      <c r="K703" s="22" t="n">
        <v>1</v>
      </c>
      <c r="L703" s="22" t="s">
        <v>8605</v>
      </c>
      <c r="M703" s="23" t="n">
        <v>45420</v>
      </c>
      <c r="N703" s="23" t="n">
        <v>45413</v>
      </c>
      <c r="O703" s="22" t="n">
        <v>7</v>
      </c>
      <c r="P703" s="22"/>
      <c r="Q703" s="22" t="s">
        <v>6850</v>
      </c>
      <c r="R703" s="22"/>
    </row>
    <row r="704" customFormat="false" ht="15" hidden="false" customHeight="false" outlineLevel="0" collapsed="false">
      <c r="A704" s="22" t="s">
        <v>9509</v>
      </c>
      <c r="B704" s="23" t="n">
        <v>45398</v>
      </c>
      <c r="C704" s="22" t="s">
        <v>1936</v>
      </c>
      <c r="D704" s="22" t="n">
        <v>685</v>
      </c>
      <c r="E704" s="22" t="s">
        <v>7857</v>
      </c>
      <c r="F704" s="22" t="s">
        <v>215</v>
      </c>
      <c r="G704" s="22" t="n">
        <v>24</v>
      </c>
      <c r="H704" s="22" t="s">
        <v>7696</v>
      </c>
      <c r="I704" s="22" t="s">
        <v>8601</v>
      </c>
      <c r="J704" s="22" t="n">
        <v>7.55</v>
      </c>
      <c r="K704" s="22" t="n">
        <v>1</v>
      </c>
      <c r="L704" s="22" t="s">
        <v>8605</v>
      </c>
      <c r="M704" s="23" t="n">
        <v>45412</v>
      </c>
      <c r="N704" s="23" t="n">
        <v>45400</v>
      </c>
      <c r="O704" s="22" t="n">
        <v>2</v>
      </c>
      <c r="P704" s="22"/>
      <c r="Q704" s="22" t="s">
        <v>6906</v>
      </c>
      <c r="R704" s="22"/>
    </row>
    <row r="705" customFormat="false" ht="15" hidden="false" customHeight="false" outlineLevel="0" collapsed="false">
      <c r="A705" s="22" t="s">
        <v>9510</v>
      </c>
      <c r="B705" s="23" t="n">
        <v>45384</v>
      </c>
      <c r="C705" s="22" t="s">
        <v>2527</v>
      </c>
      <c r="D705" s="22" t="n">
        <v>950</v>
      </c>
      <c r="E705" s="22" t="s">
        <v>7881</v>
      </c>
      <c r="F705" s="22" t="s">
        <v>215</v>
      </c>
      <c r="G705" s="22" t="n">
        <v>28</v>
      </c>
      <c r="H705" s="22" t="s">
        <v>7696</v>
      </c>
      <c r="I705" s="22" t="s">
        <v>8601</v>
      </c>
      <c r="J705" s="22" t="n">
        <v>7.55</v>
      </c>
      <c r="K705" s="22" t="n">
        <v>1</v>
      </c>
      <c r="L705" s="22" t="s">
        <v>8602</v>
      </c>
      <c r="M705" s="23" t="n">
        <v>45398</v>
      </c>
      <c r="N705" s="22"/>
      <c r="O705" s="22"/>
      <c r="P705" s="22" t="s">
        <v>8603</v>
      </c>
      <c r="Q705" s="22"/>
      <c r="R705" s="22"/>
    </row>
    <row r="706" customFormat="false" ht="15" hidden="false" customHeight="false" outlineLevel="0" collapsed="false">
      <c r="A706" s="22" t="s">
        <v>9511</v>
      </c>
      <c r="B706" s="23" t="n">
        <v>45404</v>
      </c>
      <c r="C706" s="22" t="s">
        <v>3757</v>
      </c>
      <c r="D706" s="22" t="n">
        <v>1523</v>
      </c>
      <c r="E706" s="22" t="s">
        <v>8230</v>
      </c>
      <c r="F706" s="22" t="s">
        <v>499</v>
      </c>
      <c r="G706" s="22" t="n">
        <v>80</v>
      </c>
      <c r="H706" s="22" t="s">
        <v>7696</v>
      </c>
      <c r="I706" s="22" t="s">
        <v>8601</v>
      </c>
      <c r="J706" s="22" t="n">
        <v>7.55</v>
      </c>
      <c r="K706" s="22" t="n">
        <v>1</v>
      </c>
      <c r="L706" s="22" t="s">
        <v>157</v>
      </c>
      <c r="M706" s="23" t="n">
        <v>45418</v>
      </c>
      <c r="N706" s="23" t="n">
        <v>45414</v>
      </c>
      <c r="O706" s="22" t="n">
        <v>10</v>
      </c>
      <c r="P706" s="22"/>
      <c r="Q706" s="22"/>
      <c r="R706" s="22"/>
    </row>
    <row r="707" customFormat="false" ht="15" hidden="false" customHeight="false" outlineLevel="0" collapsed="false">
      <c r="A707" s="22" t="s">
        <v>9512</v>
      </c>
      <c r="B707" s="23" t="n">
        <v>45395</v>
      </c>
      <c r="C707" s="22" t="s">
        <v>2365</v>
      </c>
      <c r="D707" s="22" t="n">
        <v>877</v>
      </c>
      <c r="E707" s="22" t="s">
        <v>7653</v>
      </c>
      <c r="F707" s="22" t="s">
        <v>159</v>
      </c>
      <c r="G707" s="22" t="n">
        <v>28</v>
      </c>
      <c r="H707" s="22" t="s">
        <v>6575</v>
      </c>
      <c r="I707" s="22" t="s">
        <v>8601</v>
      </c>
      <c r="J707" s="22" t="n">
        <v>10.4</v>
      </c>
      <c r="K707" s="22" t="n">
        <v>1</v>
      </c>
      <c r="L707" s="22" t="s">
        <v>8605</v>
      </c>
      <c r="M707" s="23" t="n">
        <v>45405</v>
      </c>
      <c r="N707" s="23" t="n">
        <v>45405</v>
      </c>
      <c r="O707" s="22" t="n">
        <v>10</v>
      </c>
      <c r="P707" s="22"/>
      <c r="Q707" s="22" t="s">
        <v>7181</v>
      </c>
      <c r="R707" s="22"/>
    </row>
    <row r="708" customFormat="false" ht="15" hidden="false" customHeight="false" outlineLevel="0" collapsed="false">
      <c r="A708" s="22" t="s">
        <v>9513</v>
      </c>
      <c r="B708" s="23" t="n">
        <v>45407</v>
      </c>
      <c r="C708" s="22" t="s">
        <v>4515</v>
      </c>
      <c r="D708" s="22" t="n">
        <v>1895</v>
      </c>
      <c r="E708" s="22" t="s">
        <v>7777</v>
      </c>
      <c r="F708" s="22" t="s">
        <v>215</v>
      </c>
      <c r="G708" s="22" t="n">
        <v>50</v>
      </c>
      <c r="H708" s="22" t="s">
        <v>7696</v>
      </c>
      <c r="I708" s="22" t="s">
        <v>8601</v>
      </c>
      <c r="J708" s="22" t="n">
        <v>7.55</v>
      </c>
      <c r="K708" s="22" t="n">
        <v>1</v>
      </c>
      <c r="L708" s="22" t="s">
        <v>8602</v>
      </c>
      <c r="M708" s="23" t="n">
        <v>45421</v>
      </c>
      <c r="N708" s="22"/>
      <c r="O708" s="22"/>
      <c r="P708" s="22" t="s">
        <v>8603</v>
      </c>
      <c r="Q708" s="22"/>
      <c r="R708" s="22"/>
    </row>
    <row r="709" customFormat="false" ht="15" hidden="false" customHeight="false" outlineLevel="0" collapsed="false">
      <c r="A709" s="22" t="s">
        <v>9514</v>
      </c>
      <c r="B709" s="23" t="n">
        <v>45396</v>
      </c>
      <c r="C709" s="22" t="s">
        <v>2886</v>
      </c>
      <c r="D709" s="22" t="n">
        <v>1111</v>
      </c>
      <c r="E709" s="22" t="s">
        <v>7234</v>
      </c>
      <c r="F709" s="22" t="s">
        <v>198</v>
      </c>
      <c r="G709" s="22" t="n">
        <v>32</v>
      </c>
      <c r="H709" s="22" t="s">
        <v>6575</v>
      </c>
      <c r="I709" s="22" t="s">
        <v>8601</v>
      </c>
      <c r="J709" s="22" t="n">
        <v>10.4</v>
      </c>
      <c r="K709" s="22" t="n">
        <v>2</v>
      </c>
      <c r="L709" s="22" t="s">
        <v>8605</v>
      </c>
      <c r="M709" s="23" t="n">
        <v>45406</v>
      </c>
      <c r="N709" s="23" t="n">
        <v>45408</v>
      </c>
      <c r="O709" s="22" t="n">
        <v>12</v>
      </c>
      <c r="P709" s="22"/>
      <c r="Q709" s="22" t="s">
        <v>7685</v>
      </c>
      <c r="R709" s="22"/>
    </row>
    <row r="710" customFormat="false" ht="15" hidden="false" customHeight="false" outlineLevel="0" collapsed="false">
      <c r="A710" s="22" t="s">
        <v>9515</v>
      </c>
      <c r="B710" s="23" t="n">
        <v>45409</v>
      </c>
      <c r="C710" s="22" t="s">
        <v>2276</v>
      </c>
      <c r="D710" s="22" t="n">
        <v>835</v>
      </c>
      <c r="E710" s="22" t="s">
        <v>7003</v>
      </c>
      <c r="F710" s="22" t="s">
        <v>198</v>
      </c>
      <c r="G710" s="22" t="n">
        <v>32</v>
      </c>
      <c r="H710" s="22" t="s">
        <v>6575</v>
      </c>
      <c r="I710" s="22" t="s">
        <v>8601</v>
      </c>
      <c r="J710" s="22" t="n">
        <v>10.4</v>
      </c>
      <c r="K710" s="22" t="n">
        <v>2</v>
      </c>
      <c r="L710" s="22" t="s">
        <v>8605</v>
      </c>
      <c r="M710" s="23" t="n">
        <v>45419</v>
      </c>
      <c r="N710" s="23" t="n">
        <v>45422</v>
      </c>
      <c r="O710" s="22" t="n">
        <v>13</v>
      </c>
      <c r="P710" s="22"/>
      <c r="Q710" s="22" t="s">
        <v>7004</v>
      </c>
      <c r="R710" s="22"/>
    </row>
    <row r="711" customFormat="false" ht="15" hidden="false" customHeight="false" outlineLevel="0" collapsed="false">
      <c r="A711" s="22" t="s">
        <v>9516</v>
      </c>
      <c r="B711" s="23" t="n">
        <v>45410</v>
      </c>
      <c r="C711" s="22" t="s">
        <v>3870</v>
      </c>
      <c r="D711" s="22" t="n">
        <v>1579</v>
      </c>
      <c r="E711" s="22" t="s">
        <v>7535</v>
      </c>
      <c r="F711" s="22" t="s">
        <v>159</v>
      </c>
      <c r="G711" s="22" t="n">
        <v>32</v>
      </c>
      <c r="H711" s="22" t="s">
        <v>6575</v>
      </c>
      <c r="I711" s="22" t="s">
        <v>8601</v>
      </c>
      <c r="J711" s="22" t="n">
        <v>10.4</v>
      </c>
      <c r="K711" s="22" t="n">
        <v>1</v>
      </c>
      <c r="L711" s="22" t="s">
        <v>157</v>
      </c>
      <c r="M711" s="23" t="n">
        <v>45420</v>
      </c>
      <c r="N711" s="23" t="n">
        <v>45418</v>
      </c>
      <c r="O711" s="22" t="n">
        <v>8</v>
      </c>
      <c r="P711" s="22"/>
      <c r="Q711" s="22"/>
      <c r="R711" s="22"/>
    </row>
    <row r="712" customFormat="false" ht="15" hidden="false" customHeight="false" outlineLevel="0" collapsed="false">
      <c r="A712" s="22" t="s">
        <v>9517</v>
      </c>
      <c r="B712" s="23" t="n">
        <v>45391</v>
      </c>
      <c r="C712" s="22" t="s">
        <v>4857</v>
      </c>
      <c r="D712" s="22" t="n">
        <v>2061</v>
      </c>
      <c r="E712" s="22" t="s">
        <v>7796</v>
      </c>
      <c r="F712" s="22" t="s">
        <v>215</v>
      </c>
      <c r="G712" s="22" t="n">
        <v>70</v>
      </c>
      <c r="H712" s="22" t="s">
        <v>7696</v>
      </c>
      <c r="I712" s="22" t="s">
        <v>8601</v>
      </c>
      <c r="J712" s="22" t="n">
        <v>7.55</v>
      </c>
      <c r="K712" s="22" t="n">
        <v>1</v>
      </c>
      <c r="L712" s="22" t="s">
        <v>8605</v>
      </c>
      <c r="M712" s="23" t="n">
        <v>45405</v>
      </c>
      <c r="N712" s="23" t="n">
        <v>45392</v>
      </c>
      <c r="O712" s="22" t="n">
        <v>1</v>
      </c>
      <c r="P712" s="22"/>
      <c r="Q712" s="22" t="s">
        <v>6780</v>
      </c>
      <c r="R712" s="22"/>
    </row>
    <row r="713" customFormat="false" ht="15" hidden="false" customHeight="false" outlineLevel="0" collapsed="false">
      <c r="A713" s="22" t="s">
        <v>9518</v>
      </c>
      <c r="B713" s="23" t="n">
        <v>45403</v>
      </c>
      <c r="C713" s="22" t="s">
        <v>322</v>
      </c>
      <c r="D713" s="22" t="n">
        <v>54</v>
      </c>
      <c r="E713" s="22" t="s">
        <v>8553</v>
      </c>
      <c r="F713" s="22" t="s">
        <v>188</v>
      </c>
      <c r="G713" s="22" t="n">
        <v>32</v>
      </c>
      <c r="H713" s="22" t="s">
        <v>7696</v>
      </c>
      <c r="I713" s="22" t="s">
        <v>8601</v>
      </c>
      <c r="J713" s="22" t="n">
        <v>7.55</v>
      </c>
      <c r="K713" s="22" t="n">
        <v>1</v>
      </c>
      <c r="L713" s="22" t="s">
        <v>8605</v>
      </c>
      <c r="M713" s="23" t="n">
        <v>45417</v>
      </c>
      <c r="N713" s="23" t="n">
        <v>45413</v>
      </c>
      <c r="O713" s="22" t="n">
        <v>10</v>
      </c>
      <c r="P713" s="22"/>
      <c r="Q713" s="22" t="s">
        <v>7092</v>
      </c>
      <c r="R713" s="22"/>
    </row>
    <row r="714" customFormat="false" ht="15" hidden="false" customHeight="false" outlineLevel="0" collapsed="false">
      <c r="A714" s="22" t="s">
        <v>9519</v>
      </c>
      <c r="B714" s="23" t="n">
        <v>45402</v>
      </c>
      <c r="C714" s="22" t="s">
        <v>874</v>
      </c>
      <c r="D714" s="22" t="n">
        <v>252</v>
      </c>
      <c r="E714" s="22" t="s">
        <v>8572</v>
      </c>
      <c r="F714" s="22" t="s">
        <v>188</v>
      </c>
      <c r="G714" s="22" t="n">
        <v>36</v>
      </c>
      <c r="H714" s="22" t="s">
        <v>7696</v>
      </c>
      <c r="I714" s="22" t="s">
        <v>8601</v>
      </c>
      <c r="J714" s="22" t="n">
        <v>7.55</v>
      </c>
      <c r="K714" s="22" t="n">
        <v>1</v>
      </c>
      <c r="L714" s="22" t="s">
        <v>8605</v>
      </c>
      <c r="M714" s="23" t="n">
        <v>45416</v>
      </c>
      <c r="N714" s="23" t="n">
        <v>45414</v>
      </c>
      <c r="O714" s="22" t="n">
        <v>12</v>
      </c>
      <c r="P714" s="22"/>
      <c r="Q714" s="22" t="s">
        <v>7140</v>
      </c>
      <c r="R714" s="22"/>
    </row>
    <row r="715" customFormat="false" ht="15" hidden="false" customHeight="false" outlineLevel="0" collapsed="false">
      <c r="A715" s="22" t="s">
        <v>9520</v>
      </c>
      <c r="B715" s="23" t="n">
        <v>45399</v>
      </c>
      <c r="C715" s="22" t="s">
        <v>3815</v>
      </c>
      <c r="D715" s="22" t="n">
        <v>1552</v>
      </c>
      <c r="E715" s="22" t="s">
        <v>7746</v>
      </c>
      <c r="F715" s="22" t="s">
        <v>215</v>
      </c>
      <c r="G715" s="22" t="n">
        <v>36</v>
      </c>
      <c r="H715" s="22" t="s">
        <v>7696</v>
      </c>
      <c r="I715" s="22" t="s">
        <v>8601</v>
      </c>
      <c r="J715" s="22" t="n">
        <v>7.55</v>
      </c>
      <c r="K715" s="22" t="n">
        <v>1</v>
      </c>
      <c r="L715" s="22" t="s">
        <v>8605</v>
      </c>
      <c r="M715" s="23" t="n">
        <v>45413</v>
      </c>
      <c r="N715" s="23" t="n">
        <v>45403</v>
      </c>
      <c r="O715" s="22" t="n">
        <v>4</v>
      </c>
      <c r="P715" s="22"/>
      <c r="Q715" s="22" t="s">
        <v>6677</v>
      </c>
      <c r="R715" s="22"/>
    </row>
    <row r="716" customFormat="false" ht="15" hidden="false" customHeight="false" outlineLevel="0" collapsed="false">
      <c r="A716" s="22" t="s">
        <v>9521</v>
      </c>
      <c r="B716" s="23" t="n">
        <v>45384</v>
      </c>
      <c r="C716" s="22" t="s">
        <v>4815</v>
      </c>
      <c r="D716" s="22" t="n">
        <v>2041</v>
      </c>
      <c r="E716" s="22" t="s">
        <v>6796</v>
      </c>
      <c r="F716" s="22" t="s">
        <v>198</v>
      </c>
      <c r="G716" s="22" t="n">
        <v>24</v>
      </c>
      <c r="H716" s="22" t="s">
        <v>6575</v>
      </c>
      <c r="I716" s="22" t="s">
        <v>8601</v>
      </c>
      <c r="J716" s="22" t="n">
        <v>10.4</v>
      </c>
      <c r="K716" s="22" t="n">
        <v>2</v>
      </c>
      <c r="L716" s="22" t="s">
        <v>8605</v>
      </c>
      <c r="M716" s="23" t="n">
        <v>45394</v>
      </c>
      <c r="N716" s="23" t="n">
        <v>45390</v>
      </c>
      <c r="O716" s="22" t="n">
        <v>6</v>
      </c>
      <c r="P716" s="22"/>
      <c r="Q716" s="22" t="s">
        <v>6797</v>
      </c>
      <c r="R716" s="22"/>
    </row>
    <row r="717" customFormat="false" ht="15" hidden="false" customHeight="false" outlineLevel="0" collapsed="false">
      <c r="A717" s="22" t="s">
        <v>9522</v>
      </c>
      <c r="B717" s="23" t="n">
        <v>45392</v>
      </c>
      <c r="C717" s="22" t="s">
        <v>2968</v>
      </c>
      <c r="D717" s="22" t="n">
        <v>1149</v>
      </c>
      <c r="E717" s="22" t="s">
        <v>8145</v>
      </c>
      <c r="F717" s="22" t="s">
        <v>499</v>
      </c>
      <c r="G717" s="22" t="n">
        <v>32</v>
      </c>
      <c r="H717" s="22" t="s">
        <v>7696</v>
      </c>
      <c r="I717" s="22" t="s">
        <v>8601</v>
      </c>
      <c r="J717" s="22" t="n">
        <v>7.55</v>
      </c>
      <c r="K717" s="22" t="n">
        <v>1</v>
      </c>
      <c r="L717" s="22" t="s">
        <v>8605</v>
      </c>
      <c r="M717" s="23" t="n">
        <v>45406</v>
      </c>
      <c r="N717" s="23" t="n">
        <v>45395</v>
      </c>
      <c r="O717" s="22" t="n">
        <v>3</v>
      </c>
      <c r="P717" s="22"/>
      <c r="Q717" s="22" t="s">
        <v>6821</v>
      </c>
      <c r="R717" s="22"/>
    </row>
    <row r="718" customFormat="false" ht="15" hidden="false" customHeight="false" outlineLevel="0" collapsed="false">
      <c r="A718" s="22" t="s">
        <v>9523</v>
      </c>
      <c r="B718" s="23" t="n">
        <v>45393</v>
      </c>
      <c r="C718" s="22" t="s">
        <v>3431</v>
      </c>
      <c r="D718" s="22" t="n">
        <v>1365</v>
      </c>
      <c r="E718" s="22" t="s">
        <v>8139</v>
      </c>
      <c r="F718" s="22" t="s">
        <v>499</v>
      </c>
      <c r="G718" s="22" t="n">
        <v>45</v>
      </c>
      <c r="H718" s="22" t="s">
        <v>7696</v>
      </c>
      <c r="I718" s="22" t="s">
        <v>8601</v>
      </c>
      <c r="J718" s="22" t="n">
        <v>7.55</v>
      </c>
      <c r="K718" s="22" t="n">
        <v>1</v>
      </c>
      <c r="L718" s="22" t="s">
        <v>8605</v>
      </c>
      <c r="M718" s="23" t="n">
        <v>45407</v>
      </c>
      <c r="N718" s="23" t="n">
        <v>45398</v>
      </c>
      <c r="O718" s="22" t="n">
        <v>5</v>
      </c>
      <c r="P718" s="22"/>
      <c r="Q718" s="22" t="s">
        <v>6803</v>
      </c>
      <c r="R718" s="22"/>
    </row>
    <row r="719" customFormat="false" ht="15" hidden="false" customHeight="false" outlineLevel="0" collapsed="false">
      <c r="A719" s="22" t="s">
        <v>9524</v>
      </c>
      <c r="B719" s="23" t="n">
        <v>45408</v>
      </c>
      <c r="C719" s="22" t="s">
        <v>2941</v>
      </c>
      <c r="D719" s="22" t="n">
        <v>1136</v>
      </c>
      <c r="E719" s="22" t="s">
        <v>8160</v>
      </c>
      <c r="F719" s="22" t="s">
        <v>499</v>
      </c>
      <c r="G719" s="22" t="n">
        <v>40</v>
      </c>
      <c r="H719" s="22" t="s">
        <v>7696</v>
      </c>
      <c r="I719" s="22" t="s">
        <v>8601</v>
      </c>
      <c r="J719" s="22" t="n">
        <v>7.55</v>
      </c>
      <c r="K719" s="22" t="n">
        <v>1</v>
      </c>
      <c r="L719" s="22" t="s">
        <v>157</v>
      </c>
      <c r="M719" s="23" t="n">
        <v>45422</v>
      </c>
      <c r="N719" s="23" t="n">
        <v>45424</v>
      </c>
      <c r="O719" s="22" t="n">
        <v>16</v>
      </c>
      <c r="P719" s="22"/>
      <c r="Q719" s="22"/>
      <c r="R719" s="22"/>
    </row>
    <row r="720" customFormat="false" ht="15" hidden="false" customHeight="false" outlineLevel="0" collapsed="false">
      <c r="A720" s="22" t="s">
        <v>9525</v>
      </c>
      <c r="B720" s="23" t="n">
        <v>45391</v>
      </c>
      <c r="C720" s="22" t="s">
        <v>5212</v>
      </c>
      <c r="D720" s="22" t="n">
        <v>2237</v>
      </c>
      <c r="E720" s="22" t="s">
        <v>8536</v>
      </c>
      <c r="F720" s="22" t="s">
        <v>188</v>
      </c>
      <c r="G720" s="22" t="n">
        <v>24</v>
      </c>
      <c r="H720" s="22" t="s">
        <v>7696</v>
      </c>
      <c r="I720" s="22" t="s">
        <v>8601</v>
      </c>
      <c r="J720" s="22" t="n">
        <v>7.55</v>
      </c>
      <c r="K720" s="22" t="n">
        <v>1</v>
      </c>
      <c r="L720" s="22" t="s">
        <v>8629</v>
      </c>
      <c r="M720" s="23" t="n">
        <v>45405</v>
      </c>
      <c r="N720" s="23" t="n">
        <v>45399</v>
      </c>
      <c r="O720" s="22" t="n">
        <v>8</v>
      </c>
      <c r="P720" s="22"/>
      <c r="Q720" s="22"/>
      <c r="R720" s="22"/>
    </row>
    <row r="721" customFormat="false" ht="15" hidden="false" customHeight="false" outlineLevel="0" collapsed="false">
      <c r="A721" s="22" t="s">
        <v>9526</v>
      </c>
      <c r="B721" s="23" t="n">
        <v>45402</v>
      </c>
      <c r="C721" s="22" t="s">
        <v>2384</v>
      </c>
      <c r="D721" s="22" t="n">
        <v>885</v>
      </c>
      <c r="E721" s="22" t="s">
        <v>8211</v>
      </c>
      <c r="F721" s="22" t="s">
        <v>499</v>
      </c>
      <c r="G721" s="22" t="n">
        <v>24</v>
      </c>
      <c r="H721" s="22" t="s">
        <v>7696</v>
      </c>
      <c r="I721" s="22" t="s">
        <v>8601</v>
      </c>
      <c r="J721" s="22" t="n">
        <v>7.55</v>
      </c>
      <c r="K721" s="22" t="n">
        <v>2</v>
      </c>
      <c r="L721" s="22" t="s">
        <v>8629</v>
      </c>
      <c r="M721" s="23" t="n">
        <v>45416</v>
      </c>
      <c r="N721" s="23" t="n">
        <v>45419</v>
      </c>
      <c r="O721" s="22" t="n">
        <v>17</v>
      </c>
      <c r="P721" s="22"/>
      <c r="Q721" s="22"/>
      <c r="R721" s="22"/>
    </row>
    <row r="722" customFormat="false" ht="15" hidden="false" customHeight="false" outlineLevel="0" collapsed="false">
      <c r="A722" s="22" t="s">
        <v>9527</v>
      </c>
      <c r="B722" s="23" t="n">
        <v>45397</v>
      </c>
      <c r="C722" s="22" t="s">
        <v>5109</v>
      </c>
      <c r="D722" s="22" t="n">
        <v>2185</v>
      </c>
      <c r="E722" s="22" t="s">
        <v>7825</v>
      </c>
      <c r="F722" s="22" t="s">
        <v>215</v>
      </c>
      <c r="G722" s="22" t="n">
        <v>24</v>
      </c>
      <c r="H722" s="22" t="s">
        <v>7696</v>
      </c>
      <c r="I722" s="22" t="s">
        <v>8601</v>
      </c>
      <c r="J722" s="22" t="n">
        <v>7.55</v>
      </c>
      <c r="K722" s="22" t="n">
        <v>2</v>
      </c>
      <c r="L722" s="22" t="s">
        <v>8605</v>
      </c>
      <c r="M722" s="23" t="n">
        <v>45411</v>
      </c>
      <c r="N722" s="23" t="n">
        <v>45403</v>
      </c>
      <c r="O722" s="22" t="n">
        <v>6</v>
      </c>
      <c r="P722" s="22"/>
      <c r="Q722" s="22" t="s">
        <v>6835</v>
      </c>
      <c r="R722" s="22"/>
    </row>
    <row r="723" customFormat="false" ht="15" hidden="false" customHeight="false" outlineLevel="0" collapsed="false">
      <c r="A723" s="22" t="s">
        <v>9528</v>
      </c>
      <c r="B723" s="23" t="n">
        <v>45397</v>
      </c>
      <c r="C723" s="22" t="s">
        <v>1909</v>
      </c>
      <c r="D723" s="22" t="n">
        <v>673</v>
      </c>
      <c r="E723" s="22" t="s">
        <v>7603</v>
      </c>
      <c r="F723" s="22" t="s">
        <v>159</v>
      </c>
      <c r="G723" s="22" t="n">
        <v>28</v>
      </c>
      <c r="H723" s="22" t="s">
        <v>6575</v>
      </c>
      <c r="I723" s="22" t="s">
        <v>8601</v>
      </c>
      <c r="J723" s="22" t="n">
        <v>10.4</v>
      </c>
      <c r="K723" s="22" t="n">
        <v>1</v>
      </c>
      <c r="L723" s="22" t="s">
        <v>8605</v>
      </c>
      <c r="M723" s="23" t="n">
        <v>45407</v>
      </c>
      <c r="N723" s="23" t="n">
        <v>45408</v>
      </c>
      <c r="O723" s="22" t="n">
        <v>11</v>
      </c>
      <c r="P723" s="22"/>
      <c r="Q723" s="22" t="s">
        <v>7094</v>
      </c>
      <c r="R723" s="22"/>
    </row>
    <row r="724" customFormat="false" ht="15" hidden="false" customHeight="false" outlineLevel="0" collapsed="false">
      <c r="A724" s="22" t="s">
        <v>9529</v>
      </c>
      <c r="B724" s="23" t="n">
        <v>45406</v>
      </c>
      <c r="C724" s="22" t="s">
        <v>2285</v>
      </c>
      <c r="D724" s="22" t="n">
        <v>839</v>
      </c>
      <c r="E724" s="22" t="s">
        <v>7761</v>
      </c>
      <c r="F724" s="22" t="s">
        <v>215</v>
      </c>
      <c r="G724" s="22" t="n">
        <v>70</v>
      </c>
      <c r="H724" s="22" t="s">
        <v>7696</v>
      </c>
      <c r="I724" s="22" t="s">
        <v>8601</v>
      </c>
      <c r="J724" s="22" t="n">
        <v>7.55</v>
      </c>
      <c r="K724" s="22" t="n">
        <v>1</v>
      </c>
      <c r="L724" s="22" t="s">
        <v>8605</v>
      </c>
      <c r="M724" s="23" t="n">
        <v>45420</v>
      </c>
      <c r="N724" s="23" t="n">
        <v>45411</v>
      </c>
      <c r="O724" s="22" t="n">
        <v>5</v>
      </c>
      <c r="P724" s="22"/>
      <c r="Q724" s="22" t="s">
        <v>6706</v>
      </c>
      <c r="R724" s="22"/>
    </row>
    <row r="725" customFormat="false" ht="15" hidden="false" customHeight="false" outlineLevel="0" collapsed="false">
      <c r="A725" s="22" t="s">
        <v>9530</v>
      </c>
      <c r="B725" s="23" t="n">
        <v>45390</v>
      </c>
      <c r="C725" s="22" t="s">
        <v>4769</v>
      </c>
      <c r="D725" s="22" t="n">
        <v>2018</v>
      </c>
      <c r="E725" s="22" t="s">
        <v>7526</v>
      </c>
      <c r="F725" s="22" t="s">
        <v>159</v>
      </c>
      <c r="G725" s="22" t="n">
        <v>40</v>
      </c>
      <c r="H725" s="22" t="s">
        <v>6575</v>
      </c>
      <c r="I725" s="22" t="s">
        <v>8601</v>
      </c>
      <c r="J725" s="22" t="n">
        <v>10.4</v>
      </c>
      <c r="K725" s="22" t="n">
        <v>1</v>
      </c>
      <c r="L725" s="22" t="s">
        <v>8602</v>
      </c>
      <c r="M725" s="23" t="n">
        <v>45400</v>
      </c>
      <c r="N725" s="22"/>
      <c r="O725" s="22"/>
      <c r="P725" s="22" t="s">
        <v>8603</v>
      </c>
      <c r="Q725" s="22"/>
      <c r="R725" s="22"/>
    </row>
    <row r="726" customFormat="false" ht="15" hidden="false" customHeight="false" outlineLevel="0" collapsed="false">
      <c r="A726" s="22" t="s">
        <v>9531</v>
      </c>
      <c r="B726" s="23" t="n">
        <v>45403</v>
      </c>
      <c r="C726" s="22" t="s">
        <v>1604</v>
      </c>
      <c r="D726" s="22" t="n">
        <v>545</v>
      </c>
      <c r="E726" s="22" t="s">
        <v>7572</v>
      </c>
      <c r="F726" s="22" t="s">
        <v>159</v>
      </c>
      <c r="G726" s="22" t="n">
        <v>40</v>
      </c>
      <c r="H726" s="22" t="s">
        <v>6575</v>
      </c>
      <c r="I726" s="22" t="s">
        <v>8601</v>
      </c>
      <c r="J726" s="22" t="n">
        <v>10.4</v>
      </c>
      <c r="K726" s="22" t="n">
        <v>2</v>
      </c>
      <c r="L726" s="22" t="s">
        <v>8605</v>
      </c>
      <c r="M726" s="23" t="n">
        <v>45413</v>
      </c>
      <c r="N726" s="23" t="n">
        <v>45407</v>
      </c>
      <c r="O726" s="22" t="n">
        <v>4</v>
      </c>
      <c r="P726" s="22"/>
      <c r="Q726" s="22" t="s">
        <v>7051</v>
      </c>
      <c r="R726" s="22"/>
    </row>
    <row r="727" customFormat="false" ht="15" hidden="false" customHeight="false" outlineLevel="0" collapsed="false">
      <c r="A727" s="22" t="s">
        <v>9532</v>
      </c>
      <c r="B727" s="23" t="n">
        <v>45383</v>
      </c>
      <c r="C727" s="22" t="s">
        <v>2458</v>
      </c>
      <c r="D727" s="22" t="n">
        <v>919</v>
      </c>
      <c r="E727" s="22" t="s">
        <v>7307</v>
      </c>
      <c r="F727" s="22" t="s">
        <v>159</v>
      </c>
      <c r="G727" s="22" t="n">
        <v>24</v>
      </c>
      <c r="H727" s="22" t="s">
        <v>6575</v>
      </c>
      <c r="I727" s="22" t="s">
        <v>8601</v>
      </c>
      <c r="J727" s="22" t="n">
        <v>10.4</v>
      </c>
      <c r="K727" s="22" t="n">
        <v>1</v>
      </c>
      <c r="L727" s="22" t="s">
        <v>157</v>
      </c>
      <c r="M727" s="23" t="n">
        <v>45393</v>
      </c>
      <c r="N727" s="23" t="n">
        <v>45385</v>
      </c>
      <c r="O727" s="22" t="n">
        <v>2</v>
      </c>
      <c r="P727" s="22"/>
      <c r="Q727" s="22"/>
      <c r="R727" s="22"/>
    </row>
    <row r="728" customFormat="false" ht="15" hidden="false" customHeight="false" outlineLevel="0" collapsed="false">
      <c r="A728" s="22" t="s">
        <v>9533</v>
      </c>
      <c r="B728" s="23" t="n">
        <v>45408</v>
      </c>
      <c r="C728" s="22" t="s">
        <v>5855</v>
      </c>
      <c r="D728" s="22" t="n">
        <v>2558</v>
      </c>
      <c r="E728" s="22" t="s">
        <v>6763</v>
      </c>
      <c r="F728" s="22" t="s">
        <v>198</v>
      </c>
      <c r="G728" s="22" t="n">
        <v>24</v>
      </c>
      <c r="H728" s="22" t="s">
        <v>6575</v>
      </c>
      <c r="I728" s="22" t="s">
        <v>8601</v>
      </c>
      <c r="J728" s="22" t="n">
        <v>10.4</v>
      </c>
      <c r="K728" s="22" t="n">
        <v>1</v>
      </c>
      <c r="L728" s="22" t="s">
        <v>8608</v>
      </c>
      <c r="M728" s="23" t="n">
        <v>45418</v>
      </c>
      <c r="N728" s="23" t="n">
        <v>45411</v>
      </c>
      <c r="O728" s="22" t="n">
        <v>3</v>
      </c>
      <c r="P728" s="22"/>
      <c r="Q728" s="22"/>
      <c r="R728" s="22"/>
    </row>
    <row r="729" customFormat="false" ht="15" hidden="false" customHeight="false" outlineLevel="0" collapsed="false">
      <c r="A729" s="22" t="s">
        <v>9534</v>
      </c>
      <c r="B729" s="23" t="n">
        <v>45397</v>
      </c>
      <c r="C729" s="22" t="s">
        <v>356</v>
      </c>
      <c r="D729" s="22" t="n">
        <v>66</v>
      </c>
      <c r="E729" s="22" t="s">
        <v>7914</v>
      </c>
      <c r="F729" s="22" t="s">
        <v>215</v>
      </c>
      <c r="G729" s="22" t="n">
        <v>24</v>
      </c>
      <c r="H729" s="22" t="s">
        <v>7696</v>
      </c>
      <c r="I729" s="22" t="s">
        <v>8601</v>
      </c>
      <c r="J729" s="22" t="n">
        <v>7.55</v>
      </c>
      <c r="K729" s="22" t="n">
        <v>2</v>
      </c>
      <c r="L729" s="22" t="s">
        <v>8605</v>
      </c>
      <c r="M729" s="23" t="n">
        <v>45411</v>
      </c>
      <c r="N729" s="23" t="n">
        <v>45400</v>
      </c>
      <c r="O729" s="22" t="n">
        <v>3</v>
      </c>
      <c r="P729" s="22"/>
      <c r="Q729" s="22" t="s">
        <v>7026</v>
      </c>
      <c r="R729" s="22"/>
    </row>
    <row r="730" customFormat="false" ht="15" hidden="false" customHeight="false" outlineLevel="0" collapsed="false">
      <c r="A730" s="22" t="s">
        <v>9535</v>
      </c>
      <c r="B730" s="23" t="n">
        <v>45403</v>
      </c>
      <c r="C730" s="22" t="s">
        <v>4625</v>
      </c>
      <c r="D730" s="22" t="n">
        <v>1948</v>
      </c>
      <c r="E730" s="22" t="s">
        <v>8326</v>
      </c>
      <c r="F730" s="22" t="s">
        <v>499</v>
      </c>
      <c r="G730" s="22" t="n">
        <v>60</v>
      </c>
      <c r="H730" s="22" t="s">
        <v>7696</v>
      </c>
      <c r="I730" s="22" t="s">
        <v>8601</v>
      </c>
      <c r="J730" s="22" t="n">
        <v>7.55</v>
      </c>
      <c r="K730" s="22" t="n">
        <v>2</v>
      </c>
      <c r="L730" s="22" t="s">
        <v>8602</v>
      </c>
      <c r="M730" s="23" t="n">
        <v>45417</v>
      </c>
      <c r="N730" s="22"/>
      <c r="O730" s="22"/>
      <c r="P730" s="22" t="s">
        <v>8603</v>
      </c>
      <c r="Q730" s="22"/>
      <c r="R730" s="22"/>
    </row>
    <row r="731" customFormat="false" ht="15" hidden="false" customHeight="false" outlineLevel="0" collapsed="false">
      <c r="A731" s="22" t="s">
        <v>9536</v>
      </c>
      <c r="B731" s="23" t="n">
        <v>45399</v>
      </c>
      <c r="C731" s="22" t="s">
        <v>1934</v>
      </c>
      <c r="D731" s="22" t="n">
        <v>684</v>
      </c>
      <c r="E731" s="22" t="s">
        <v>8255</v>
      </c>
      <c r="F731" s="22" t="s">
        <v>499</v>
      </c>
      <c r="G731" s="22" t="n">
        <v>45</v>
      </c>
      <c r="H731" s="22" t="s">
        <v>7696</v>
      </c>
      <c r="I731" s="22" t="s">
        <v>8601</v>
      </c>
      <c r="J731" s="22" t="n">
        <v>7.55</v>
      </c>
      <c r="K731" s="22" t="n">
        <v>1</v>
      </c>
      <c r="L731" s="22" t="s">
        <v>8629</v>
      </c>
      <c r="M731" s="23" t="n">
        <v>45413</v>
      </c>
      <c r="N731" s="23" t="n">
        <v>45414</v>
      </c>
      <c r="O731" s="22" t="n">
        <v>15</v>
      </c>
      <c r="P731" s="22"/>
      <c r="Q731" s="22"/>
      <c r="R731" s="22"/>
    </row>
    <row r="732" customFormat="false" ht="15" hidden="false" customHeight="false" outlineLevel="0" collapsed="false">
      <c r="A732" s="22" t="s">
        <v>9537</v>
      </c>
      <c r="B732" s="23" t="n">
        <v>45384</v>
      </c>
      <c r="C732" s="22" t="s">
        <v>6352</v>
      </c>
      <c r="D732" s="22" t="n">
        <v>2807</v>
      </c>
      <c r="E732" s="22" t="s">
        <v>7161</v>
      </c>
      <c r="F732" s="22" t="s">
        <v>198</v>
      </c>
      <c r="G732" s="22" t="n">
        <v>40</v>
      </c>
      <c r="H732" s="22" t="s">
        <v>6575</v>
      </c>
      <c r="I732" s="22" t="s">
        <v>8601</v>
      </c>
      <c r="J732" s="22" t="n">
        <v>10.4</v>
      </c>
      <c r="K732" s="22" t="n">
        <v>2</v>
      </c>
      <c r="L732" s="22" t="s">
        <v>8605</v>
      </c>
      <c r="M732" s="23" t="n">
        <v>45394</v>
      </c>
      <c r="N732" s="23" t="n">
        <v>45389</v>
      </c>
      <c r="O732" s="22" t="n">
        <v>5</v>
      </c>
      <c r="P732" s="22"/>
      <c r="Q732" s="22" t="s">
        <v>7162</v>
      </c>
      <c r="R732" s="22"/>
    </row>
    <row r="733" customFormat="false" ht="15" hidden="false" customHeight="false" outlineLevel="0" collapsed="false">
      <c r="A733" s="22" t="s">
        <v>9538</v>
      </c>
      <c r="B733" s="23" t="n">
        <v>45401</v>
      </c>
      <c r="C733" s="22" t="s">
        <v>1784</v>
      </c>
      <c r="D733" s="22" t="n">
        <v>619</v>
      </c>
      <c r="E733" s="22" t="s">
        <v>8301</v>
      </c>
      <c r="F733" s="22" t="s">
        <v>499</v>
      </c>
      <c r="G733" s="22" t="n">
        <v>24</v>
      </c>
      <c r="H733" s="22" t="s">
        <v>7696</v>
      </c>
      <c r="I733" s="22" t="s">
        <v>8601</v>
      </c>
      <c r="J733" s="22" t="n">
        <v>7.55</v>
      </c>
      <c r="K733" s="22" t="n">
        <v>2</v>
      </c>
      <c r="L733" s="22" t="s">
        <v>8605</v>
      </c>
      <c r="M733" s="23" t="n">
        <v>45415</v>
      </c>
      <c r="N733" s="23" t="n">
        <v>45418</v>
      </c>
      <c r="O733" s="22" t="n">
        <v>17</v>
      </c>
      <c r="P733" s="22"/>
      <c r="Q733" s="22" t="s">
        <v>7645</v>
      </c>
      <c r="R733" s="22"/>
    </row>
    <row r="734" customFormat="false" ht="15" hidden="false" customHeight="false" outlineLevel="0" collapsed="false">
      <c r="A734" s="22" t="s">
        <v>9539</v>
      </c>
      <c r="B734" s="23" t="n">
        <v>45399</v>
      </c>
      <c r="C734" s="22" t="s">
        <v>3010</v>
      </c>
      <c r="D734" s="22" t="n">
        <v>1167</v>
      </c>
      <c r="E734" s="22" t="s">
        <v>8021</v>
      </c>
      <c r="F734" s="22" t="s">
        <v>215</v>
      </c>
      <c r="G734" s="22" t="n">
        <v>28</v>
      </c>
      <c r="H734" s="22" t="s">
        <v>7696</v>
      </c>
      <c r="I734" s="22" t="s">
        <v>8601</v>
      </c>
      <c r="J734" s="22" t="n">
        <v>7.55</v>
      </c>
      <c r="K734" s="22" t="n">
        <v>1</v>
      </c>
      <c r="L734" s="22" t="s">
        <v>8605</v>
      </c>
      <c r="M734" s="23" t="n">
        <v>45413</v>
      </c>
      <c r="N734" s="23" t="n">
        <v>45402</v>
      </c>
      <c r="O734" s="22" t="n">
        <v>3</v>
      </c>
      <c r="P734" s="22"/>
      <c r="Q734" s="22" t="s">
        <v>7228</v>
      </c>
      <c r="R734" s="22"/>
    </row>
    <row r="735" customFormat="false" ht="15" hidden="false" customHeight="false" outlineLevel="0" collapsed="false">
      <c r="A735" s="22" t="s">
        <v>9540</v>
      </c>
      <c r="B735" s="23" t="n">
        <v>45386</v>
      </c>
      <c r="C735" s="22" t="s">
        <v>5716</v>
      </c>
      <c r="D735" s="22" t="n">
        <v>2488</v>
      </c>
      <c r="E735" s="22" t="s">
        <v>6891</v>
      </c>
      <c r="F735" s="22" t="s">
        <v>198</v>
      </c>
      <c r="G735" s="22" t="n">
        <v>40</v>
      </c>
      <c r="H735" s="22" t="s">
        <v>6575</v>
      </c>
      <c r="I735" s="22" t="s">
        <v>8601</v>
      </c>
      <c r="J735" s="22" t="n">
        <v>10.4</v>
      </c>
      <c r="K735" s="22" t="n">
        <v>1</v>
      </c>
      <c r="L735" s="22" t="s">
        <v>8605</v>
      </c>
      <c r="M735" s="23" t="n">
        <v>45396</v>
      </c>
      <c r="N735" s="23" t="n">
        <v>45391</v>
      </c>
      <c r="O735" s="22" t="n">
        <v>5</v>
      </c>
      <c r="P735" s="22"/>
      <c r="Q735" s="22" t="s">
        <v>6892</v>
      </c>
      <c r="R735" s="22"/>
    </row>
    <row r="736" customFormat="false" ht="15" hidden="false" customHeight="false" outlineLevel="0" collapsed="false">
      <c r="A736" s="22" t="s">
        <v>9541</v>
      </c>
      <c r="B736" s="23" t="n">
        <v>45399</v>
      </c>
      <c r="C736" s="22" t="s">
        <v>4819</v>
      </c>
      <c r="D736" s="22" t="n">
        <v>2043</v>
      </c>
      <c r="E736" s="22" t="s">
        <v>8075</v>
      </c>
      <c r="F736" s="22" t="s">
        <v>499</v>
      </c>
      <c r="G736" s="22" t="n">
        <v>24</v>
      </c>
      <c r="H736" s="22" t="s">
        <v>7696</v>
      </c>
      <c r="I736" s="22" t="s">
        <v>8601</v>
      </c>
      <c r="J736" s="22" t="n">
        <v>7.55</v>
      </c>
      <c r="K736" s="22" t="n">
        <v>1</v>
      </c>
      <c r="L736" s="22" t="s">
        <v>8608</v>
      </c>
      <c r="M736" s="23" t="n">
        <v>45413</v>
      </c>
      <c r="N736" s="23" t="n">
        <v>45415</v>
      </c>
      <c r="O736" s="22" t="n">
        <v>16</v>
      </c>
      <c r="P736" s="22"/>
      <c r="Q736" s="22"/>
      <c r="R736" s="22"/>
    </row>
    <row r="737" customFormat="false" ht="15" hidden="false" customHeight="false" outlineLevel="0" collapsed="false">
      <c r="A737" s="22" t="s">
        <v>9542</v>
      </c>
      <c r="B737" s="23" t="n">
        <v>45423</v>
      </c>
      <c r="C737" s="22" t="s">
        <v>2857</v>
      </c>
      <c r="D737" s="22" t="n">
        <v>1098</v>
      </c>
      <c r="E737" s="22" t="s">
        <v>7741</v>
      </c>
      <c r="F737" s="22" t="s">
        <v>215</v>
      </c>
      <c r="G737" s="22" t="n">
        <v>24</v>
      </c>
      <c r="H737" s="22" t="s">
        <v>7696</v>
      </c>
      <c r="I737" s="22" t="s">
        <v>8601</v>
      </c>
      <c r="J737" s="22" t="n">
        <v>7.55</v>
      </c>
      <c r="K737" s="22" t="n">
        <v>1</v>
      </c>
      <c r="L737" s="22" t="s">
        <v>8605</v>
      </c>
      <c r="M737" s="23" t="n">
        <v>45437</v>
      </c>
      <c r="N737" s="23" t="n">
        <v>45429</v>
      </c>
      <c r="O737" s="22" t="n">
        <v>6</v>
      </c>
      <c r="P737" s="22"/>
      <c r="Q737" s="22" t="s">
        <v>6668</v>
      </c>
      <c r="R737" s="22"/>
    </row>
    <row r="738" customFormat="false" ht="15" hidden="false" customHeight="false" outlineLevel="0" collapsed="false">
      <c r="A738" s="22" t="s">
        <v>9543</v>
      </c>
      <c r="B738" s="23" t="n">
        <v>45420</v>
      </c>
      <c r="C738" s="22" t="s">
        <v>3307</v>
      </c>
      <c r="D738" s="22" t="n">
        <v>1305</v>
      </c>
      <c r="E738" s="22" t="s">
        <v>8281</v>
      </c>
      <c r="F738" s="22" t="s">
        <v>499</v>
      </c>
      <c r="G738" s="22" t="n">
        <v>60</v>
      </c>
      <c r="H738" s="22" t="s">
        <v>7696</v>
      </c>
      <c r="I738" s="22" t="s">
        <v>8601</v>
      </c>
      <c r="J738" s="22" t="n">
        <v>7.55</v>
      </c>
      <c r="K738" s="22" t="n">
        <v>2</v>
      </c>
      <c r="L738" s="22" t="s">
        <v>8602</v>
      </c>
      <c r="M738" s="23" t="n">
        <v>45434</v>
      </c>
      <c r="N738" s="22"/>
      <c r="O738" s="22"/>
      <c r="P738" s="22" t="s">
        <v>8631</v>
      </c>
      <c r="Q738" s="22"/>
      <c r="R738" s="22"/>
    </row>
    <row r="739" customFormat="false" ht="15" hidden="false" customHeight="false" outlineLevel="0" collapsed="false">
      <c r="A739" s="22" t="s">
        <v>9544</v>
      </c>
      <c r="B739" s="23" t="n">
        <v>45434</v>
      </c>
      <c r="C739" s="22" t="s">
        <v>2193</v>
      </c>
      <c r="D739" s="22" t="n">
        <v>798</v>
      </c>
      <c r="E739" s="22" t="s">
        <v>8483</v>
      </c>
      <c r="F739" s="22" t="s">
        <v>188</v>
      </c>
      <c r="G739" s="22" t="n">
        <v>32</v>
      </c>
      <c r="H739" s="22" t="s">
        <v>7696</v>
      </c>
      <c r="I739" s="22" t="s">
        <v>8601</v>
      </c>
      <c r="J739" s="22" t="n">
        <v>7.55</v>
      </c>
      <c r="K739" s="22" t="n">
        <v>1</v>
      </c>
      <c r="L739" s="22" t="s">
        <v>8605</v>
      </c>
      <c r="M739" s="23" t="n">
        <v>45448</v>
      </c>
      <c r="N739" s="23" t="n">
        <v>45437</v>
      </c>
      <c r="O739" s="22" t="n">
        <v>3</v>
      </c>
      <c r="P739" s="22"/>
      <c r="Q739" s="22" t="s">
        <v>6924</v>
      </c>
      <c r="R739" s="22"/>
    </row>
    <row r="740" customFormat="false" ht="15" hidden="false" customHeight="false" outlineLevel="0" collapsed="false">
      <c r="A740" s="22" t="s">
        <v>9545</v>
      </c>
      <c r="B740" s="23" t="n">
        <v>45417</v>
      </c>
      <c r="C740" s="22" t="s">
        <v>4361</v>
      </c>
      <c r="D740" s="22" t="n">
        <v>1819</v>
      </c>
      <c r="E740" s="22" t="s">
        <v>8339</v>
      </c>
      <c r="F740" s="22" t="s">
        <v>188</v>
      </c>
      <c r="G740" s="22" t="n">
        <v>32</v>
      </c>
      <c r="H740" s="22" t="s">
        <v>7696</v>
      </c>
      <c r="I740" s="22" t="s">
        <v>8601</v>
      </c>
      <c r="J740" s="22" t="n">
        <v>7.55</v>
      </c>
      <c r="K740" s="22" t="n">
        <v>1</v>
      </c>
      <c r="L740" s="22" t="s">
        <v>8629</v>
      </c>
      <c r="M740" s="23" t="n">
        <v>45431</v>
      </c>
      <c r="N740" s="23" t="n">
        <v>45428</v>
      </c>
      <c r="O740" s="22" t="n">
        <v>11</v>
      </c>
      <c r="P740" s="22"/>
      <c r="Q740" s="22"/>
      <c r="R740" s="22"/>
    </row>
    <row r="741" customFormat="false" ht="15" hidden="false" customHeight="false" outlineLevel="0" collapsed="false">
      <c r="A741" s="22" t="s">
        <v>9546</v>
      </c>
      <c r="B741" s="23" t="n">
        <v>45419</v>
      </c>
      <c r="C741" s="22" t="s">
        <v>337</v>
      </c>
      <c r="D741" s="22" t="n">
        <v>59</v>
      </c>
      <c r="E741" s="22" t="s">
        <v>7043</v>
      </c>
      <c r="F741" s="22" t="s">
        <v>198</v>
      </c>
      <c r="G741" s="22" t="n">
        <v>24</v>
      </c>
      <c r="H741" s="22" t="s">
        <v>6575</v>
      </c>
      <c r="I741" s="22" t="s">
        <v>8601</v>
      </c>
      <c r="J741" s="22" t="n">
        <v>10.4</v>
      </c>
      <c r="K741" s="22" t="n">
        <v>1</v>
      </c>
      <c r="L741" s="22" t="s">
        <v>8605</v>
      </c>
      <c r="M741" s="23" t="n">
        <v>45429</v>
      </c>
      <c r="N741" s="23" t="n">
        <v>45424</v>
      </c>
      <c r="O741" s="22" t="n">
        <v>5</v>
      </c>
      <c r="P741" s="22"/>
      <c r="Q741" s="22" t="s">
        <v>7044</v>
      </c>
      <c r="R741" s="22"/>
    </row>
    <row r="742" customFormat="false" ht="15" hidden="false" customHeight="false" outlineLevel="0" collapsed="false">
      <c r="A742" s="22" t="s">
        <v>9547</v>
      </c>
      <c r="B742" s="23" t="n">
        <v>45419</v>
      </c>
      <c r="C742" s="22" t="s">
        <v>746</v>
      </c>
      <c r="D742" s="22" t="n">
        <v>203</v>
      </c>
      <c r="E742" s="22" t="s">
        <v>7008</v>
      </c>
      <c r="F742" s="22" t="s">
        <v>198</v>
      </c>
      <c r="G742" s="22" t="n">
        <v>28</v>
      </c>
      <c r="H742" s="22" t="s">
        <v>6575</v>
      </c>
      <c r="I742" s="22" t="s">
        <v>8601</v>
      </c>
      <c r="J742" s="22" t="n">
        <v>10.4</v>
      </c>
      <c r="K742" s="22" t="n">
        <v>1</v>
      </c>
      <c r="L742" s="22" t="s">
        <v>8605</v>
      </c>
      <c r="M742" s="23" t="n">
        <v>45429</v>
      </c>
      <c r="N742" s="23" t="n">
        <v>45428</v>
      </c>
      <c r="O742" s="22" t="n">
        <v>9</v>
      </c>
      <c r="P742" s="22"/>
      <c r="Q742" s="22" t="s">
        <v>7009</v>
      </c>
      <c r="R742" s="22"/>
    </row>
    <row r="743" customFormat="false" ht="15" hidden="false" customHeight="false" outlineLevel="0" collapsed="false">
      <c r="A743" s="22" t="s">
        <v>9548</v>
      </c>
      <c r="B743" s="23" t="n">
        <v>45425</v>
      </c>
      <c r="C743" s="22" t="s">
        <v>1719</v>
      </c>
      <c r="D743" s="22" t="n">
        <v>593</v>
      </c>
      <c r="E743" s="22" t="s">
        <v>7560</v>
      </c>
      <c r="F743" s="22" t="s">
        <v>159</v>
      </c>
      <c r="G743" s="22" t="n">
        <v>32</v>
      </c>
      <c r="H743" s="22" t="s">
        <v>6575</v>
      </c>
      <c r="I743" s="22" t="s">
        <v>8601</v>
      </c>
      <c r="J743" s="22" t="n">
        <v>10.4</v>
      </c>
      <c r="K743" s="22" t="n">
        <v>1</v>
      </c>
      <c r="L743" s="22" t="s">
        <v>8605</v>
      </c>
      <c r="M743" s="23" t="n">
        <v>45435</v>
      </c>
      <c r="N743" s="23" t="n">
        <v>45429</v>
      </c>
      <c r="O743" s="22" t="n">
        <v>4</v>
      </c>
      <c r="P743" s="22"/>
      <c r="Q743" s="22" t="s">
        <v>7033</v>
      </c>
      <c r="R743" s="22"/>
    </row>
    <row r="744" customFormat="false" ht="15" hidden="false" customHeight="false" outlineLevel="0" collapsed="false">
      <c r="A744" s="22" t="s">
        <v>9549</v>
      </c>
      <c r="B744" s="23" t="n">
        <v>45429</v>
      </c>
      <c r="C744" s="22" t="s">
        <v>5012</v>
      </c>
      <c r="D744" s="22" t="n">
        <v>2138</v>
      </c>
      <c r="E744" s="22" t="s">
        <v>6749</v>
      </c>
      <c r="F744" s="22" t="s">
        <v>198</v>
      </c>
      <c r="G744" s="22" t="n">
        <v>32</v>
      </c>
      <c r="H744" s="22" t="s">
        <v>6575</v>
      </c>
      <c r="I744" s="22" t="s">
        <v>8601</v>
      </c>
      <c r="J744" s="22" t="n">
        <v>10.4</v>
      </c>
      <c r="K744" s="22" t="n">
        <v>1</v>
      </c>
      <c r="L744" s="22" t="s">
        <v>8629</v>
      </c>
      <c r="M744" s="23" t="n">
        <v>45439</v>
      </c>
      <c r="N744" s="23" t="n">
        <v>45438</v>
      </c>
      <c r="O744" s="22" t="n">
        <v>9</v>
      </c>
      <c r="P744" s="22"/>
      <c r="Q744" s="22"/>
      <c r="R744" s="22"/>
    </row>
    <row r="745" customFormat="false" ht="15" hidden="false" customHeight="false" outlineLevel="0" collapsed="false">
      <c r="A745" s="22" t="s">
        <v>9550</v>
      </c>
      <c r="B745" s="23" t="n">
        <v>45431</v>
      </c>
      <c r="C745" s="22" t="s">
        <v>3433</v>
      </c>
      <c r="D745" s="22" t="n">
        <v>1366</v>
      </c>
      <c r="E745" s="22" t="s">
        <v>8561</v>
      </c>
      <c r="F745" s="22" t="s">
        <v>188</v>
      </c>
      <c r="G745" s="22" t="n">
        <v>40</v>
      </c>
      <c r="H745" s="22" t="s">
        <v>7696</v>
      </c>
      <c r="I745" s="22" t="s">
        <v>8601</v>
      </c>
      <c r="J745" s="22" t="n">
        <v>7.55</v>
      </c>
      <c r="K745" s="22" t="n">
        <v>1</v>
      </c>
      <c r="L745" s="22" t="s">
        <v>8605</v>
      </c>
      <c r="M745" s="23" t="n">
        <v>45445</v>
      </c>
      <c r="N745" s="23" t="n">
        <v>45432</v>
      </c>
      <c r="O745" s="22" t="n">
        <v>1</v>
      </c>
      <c r="P745" s="22"/>
      <c r="Q745" s="22" t="s">
        <v>7113</v>
      </c>
      <c r="R745" s="22"/>
    </row>
    <row r="746" customFormat="false" ht="15" hidden="false" customHeight="false" outlineLevel="0" collapsed="false">
      <c r="A746" s="22" t="s">
        <v>9551</v>
      </c>
      <c r="B746" s="23" t="n">
        <v>45422</v>
      </c>
      <c r="C746" s="22" t="s">
        <v>5073</v>
      </c>
      <c r="D746" s="22" t="n">
        <v>2168</v>
      </c>
      <c r="E746" s="22" t="s">
        <v>7386</v>
      </c>
      <c r="F746" s="22" t="s">
        <v>159</v>
      </c>
      <c r="G746" s="22" t="n">
        <v>28</v>
      </c>
      <c r="H746" s="22" t="s">
        <v>6575</v>
      </c>
      <c r="I746" s="22" t="s">
        <v>8601</v>
      </c>
      <c r="J746" s="22" t="n">
        <v>10.4</v>
      </c>
      <c r="K746" s="22" t="n">
        <v>1</v>
      </c>
      <c r="L746" s="22" t="s">
        <v>8605</v>
      </c>
      <c r="M746" s="23" t="n">
        <v>45432</v>
      </c>
      <c r="N746" s="23" t="n">
        <v>45431</v>
      </c>
      <c r="O746" s="22" t="n">
        <v>9</v>
      </c>
      <c r="P746" s="22"/>
      <c r="Q746" s="22" t="s">
        <v>6740</v>
      </c>
      <c r="R746" s="22"/>
    </row>
    <row r="747" customFormat="false" ht="15" hidden="false" customHeight="false" outlineLevel="0" collapsed="false">
      <c r="A747" s="22" t="s">
        <v>9552</v>
      </c>
      <c r="B747" s="23" t="n">
        <v>45425</v>
      </c>
      <c r="C747" s="22" t="s">
        <v>1914</v>
      </c>
      <c r="D747" s="22" t="n">
        <v>675</v>
      </c>
      <c r="E747" s="22" t="s">
        <v>7593</v>
      </c>
      <c r="F747" s="22" t="s">
        <v>159</v>
      </c>
      <c r="G747" s="22" t="n">
        <v>24</v>
      </c>
      <c r="H747" s="22" t="s">
        <v>6575</v>
      </c>
      <c r="I747" s="22" t="s">
        <v>8601</v>
      </c>
      <c r="J747" s="22" t="n">
        <v>10.4</v>
      </c>
      <c r="K747" s="22" t="n">
        <v>1</v>
      </c>
      <c r="L747" s="22" t="s">
        <v>8602</v>
      </c>
      <c r="M747" s="23" t="n">
        <v>45435</v>
      </c>
      <c r="N747" s="22"/>
      <c r="O747" s="22"/>
      <c r="P747" s="22" t="s">
        <v>8637</v>
      </c>
      <c r="Q747" s="22"/>
      <c r="R747" s="22"/>
    </row>
    <row r="748" customFormat="false" ht="15" hidden="false" customHeight="false" outlineLevel="0" collapsed="false">
      <c r="A748" s="22" t="s">
        <v>9553</v>
      </c>
      <c r="B748" s="23" t="n">
        <v>45435</v>
      </c>
      <c r="C748" s="22" t="s">
        <v>850</v>
      </c>
      <c r="D748" s="22" t="n">
        <v>242</v>
      </c>
      <c r="E748" s="22" t="s">
        <v>8286</v>
      </c>
      <c r="F748" s="22" t="s">
        <v>499</v>
      </c>
      <c r="G748" s="22" t="n">
        <v>50</v>
      </c>
      <c r="H748" s="22" t="s">
        <v>7696</v>
      </c>
      <c r="I748" s="22" t="s">
        <v>8601</v>
      </c>
      <c r="J748" s="22" t="n">
        <v>7.55</v>
      </c>
      <c r="K748" s="22" t="n">
        <v>1</v>
      </c>
      <c r="L748" s="22" t="s">
        <v>8602</v>
      </c>
      <c r="M748" s="23" t="n">
        <v>45449</v>
      </c>
      <c r="N748" s="22"/>
      <c r="O748" s="22"/>
      <c r="P748" s="22" t="s">
        <v>8631</v>
      </c>
      <c r="Q748" s="22"/>
      <c r="R748" s="22"/>
    </row>
    <row r="749" customFormat="false" ht="15" hidden="false" customHeight="false" outlineLevel="0" collapsed="false">
      <c r="A749" s="22" t="s">
        <v>9554</v>
      </c>
      <c r="B749" s="23" t="n">
        <v>45438</v>
      </c>
      <c r="C749" s="22" t="s">
        <v>5158</v>
      </c>
      <c r="D749" s="22" t="n">
        <v>2210</v>
      </c>
      <c r="E749" s="22" t="s">
        <v>7373</v>
      </c>
      <c r="F749" s="22" t="s">
        <v>159</v>
      </c>
      <c r="G749" s="22" t="n">
        <v>28</v>
      </c>
      <c r="H749" s="22" t="s">
        <v>6575</v>
      </c>
      <c r="I749" s="22" t="s">
        <v>8601</v>
      </c>
      <c r="J749" s="22" t="n">
        <v>10.4</v>
      </c>
      <c r="K749" s="22" t="n">
        <v>2</v>
      </c>
      <c r="L749" s="22" t="s">
        <v>8629</v>
      </c>
      <c r="M749" s="23" t="n">
        <v>45448</v>
      </c>
      <c r="N749" s="23" t="n">
        <v>45441</v>
      </c>
      <c r="O749" s="22" t="n">
        <v>3</v>
      </c>
      <c r="P749" s="22"/>
      <c r="Q749" s="22"/>
      <c r="R749" s="22"/>
    </row>
    <row r="750" customFormat="false" ht="15" hidden="false" customHeight="false" outlineLevel="0" collapsed="false">
      <c r="A750" s="22" t="s">
        <v>9555</v>
      </c>
      <c r="B750" s="23" t="n">
        <v>45418</v>
      </c>
      <c r="C750" s="22" t="s">
        <v>3425</v>
      </c>
      <c r="D750" s="22" t="n">
        <v>1362</v>
      </c>
      <c r="E750" s="22" t="s">
        <v>8417</v>
      </c>
      <c r="F750" s="22" t="s">
        <v>188</v>
      </c>
      <c r="G750" s="22" t="n">
        <v>28</v>
      </c>
      <c r="H750" s="22" t="s">
        <v>7696</v>
      </c>
      <c r="I750" s="22" t="s">
        <v>8601</v>
      </c>
      <c r="J750" s="22" t="n">
        <v>7.55</v>
      </c>
      <c r="K750" s="22" t="n">
        <v>2</v>
      </c>
      <c r="L750" s="22" t="s">
        <v>8605</v>
      </c>
      <c r="M750" s="23" t="n">
        <v>45432</v>
      </c>
      <c r="N750" s="23" t="n">
        <v>45426</v>
      </c>
      <c r="O750" s="22" t="n">
        <v>8</v>
      </c>
      <c r="P750" s="22"/>
      <c r="Q750" s="22" t="s">
        <v>6770</v>
      </c>
      <c r="R750" s="22"/>
    </row>
    <row r="751" customFormat="false" ht="15" hidden="false" customHeight="false" outlineLevel="0" collapsed="false">
      <c r="A751" s="22" t="s">
        <v>9556</v>
      </c>
      <c r="B751" s="23" t="n">
        <v>45433</v>
      </c>
      <c r="C751" s="22" t="s">
        <v>5948</v>
      </c>
      <c r="D751" s="22" t="n">
        <v>2605</v>
      </c>
      <c r="E751" s="22" t="s">
        <v>7650</v>
      </c>
      <c r="F751" s="22" t="s">
        <v>159</v>
      </c>
      <c r="G751" s="22" t="n">
        <v>32</v>
      </c>
      <c r="H751" s="22" t="s">
        <v>6575</v>
      </c>
      <c r="I751" s="22" t="s">
        <v>8601</v>
      </c>
      <c r="J751" s="22" t="n">
        <v>10.4</v>
      </c>
      <c r="K751" s="22" t="n">
        <v>1</v>
      </c>
      <c r="L751" s="22" t="s">
        <v>8608</v>
      </c>
      <c r="M751" s="23" t="n">
        <v>45443</v>
      </c>
      <c r="N751" s="23" t="n">
        <v>45438</v>
      </c>
      <c r="O751" s="22" t="n">
        <v>5</v>
      </c>
      <c r="P751" s="22"/>
      <c r="Q751" s="22"/>
      <c r="R751" s="22"/>
    </row>
    <row r="752" customFormat="false" ht="15" hidden="false" customHeight="false" outlineLevel="0" collapsed="false">
      <c r="A752" s="22" t="s">
        <v>9557</v>
      </c>
      <c r="B752" s="23" t="n">
        <v>45422</v>
      </c>
      <c r="C752" s="22" t="s">
        <v>1887</v>
      </c>
      <c r="D752" s="22" t="n">
        <v>663</v>
      </c>
      <c r="E752" s="22" t="s">
        <v>7347</v>
      </c>
      <c r="F752" s="22" t="s">
        <v>159</v>
      </c>
      <c r="G752" s="22" t="n">
        <v>28</v>
      </c>
      <c r="H752" s="22" t="s">
        <v>6575</v>
      </c>
      <c r="I752" s="22" t="s">
        <v>8601</v>
      </c>
      <c r="J752" s="22" t="n">
        <v>10.4</v>
      </c>
      <c r="K752" s="22" t="n">
        <v>1</v>
      </c>
      <c r="L752" s="22" t="s">
        <v>8605</v>
      </c>
      <c r="M752" s="23" t="n">
        <v>45432</v>
      </c>
      <c r="N752" s="23" t="n">
        <v>45425</v>
      </c>
      <c r="O752" s="22" t="n">
        <v>3</v>
      </c>
      <c r="P752" s="22"/>
      <c r="Q752" s="22" t="s">
        <v>6668</v>
      </c>
      <c r="R752" s="22"/>
    </row>
    <row r="753" customFormat="false" ht="15" hidden="false" customHeight="false" outlineLevel="0" collapsed="false">
      <c r="A753" s="22" t="s">
        <v>9558</v>
      </c>
      <c r="B753" s="23" t="n">
        <v>45431</v>
      </c>
      <c r="C753" s="22" t="s">
        <v>1584</v>
      </c>
      <c r="D753" s="22" t="n">
        <v>536</v>
      </c>
      <c r="E753" s="22" t="s">
        <v>8189</v>
      </c>
      <c r="F753" s="22" t="s">
        <v>499</v>
      </c>
      <c r="G753" s="22" t="n">
        <v>28</v>
      </c>
      <c r="H753" s="22" t="s">
        <v>7696</v>
      </c>
      <c r="I753" s="22" t="s">
        <v>8601</v>
      </c>
      <c r="J753" s="22" t="n">
        <v>7.55</v>
      </c>
      <c r="K753" s="22" t="n">
        <v>2</v>
      </c>
      <c r="L753" s="22" t="s">
        <v>8602</v>
      </c>
      <c r="M753" s="23" t="n">
        <v>45445</v>
      </c>
      <c r="N753" s="22"/>
      <c r="O753" s="22"/>
      <c r="P753" s="22" t="s">
        <v>8618</v>
      </c>
      <c r="Q753" s="22"/>
      <c r="R753" s="22"/>
    </row>
    <row r="754" customFormat="false" ht="15" hidden="false" customHeight="false" outlineLevel="0" collapsed="false">
      <c r="A754" s="22" t="s">
        <v>9559</v>
      </c>
      <c r="B754" s="23" t="n">
        <v>45416</v>
      </c>
      <c r="C754" s="22" t="s">
        <v>5788</v>
      </c>
      <c r="D754" s="22" t="n">
        <v>2524</v>
      </c>
      <c r="E754" s="22" t="s">
        <v>7813</v>
      </c>
      <c r="F754" s="22" t="s">
        <v>215</v>
      </c>
      <c r="G754" s="22" t="n">
        <v>28</v>
      </c>
      <c r="H754" s="22" t="s">
        <v>7696</v>
      </c>
      <c r="I754" s="22" t="s">
        <v>8601</v>
      </c>
      <c r="J754" s="22" t="n">
        <v>7.55</v>
      </c>
      <c r="K754" s="22" t="n">
        <v>1</v>
      </c>
      <c r="L754" s="22" t="s">
        <v>8605</v>
      </c>
      <c r="M754" s="23" t="n">
        <v>45430</v>
      </c>
      <c r="N754" s="23" t="n">
        <v>45421</v>
      </c>
      <c r="O754" s="22" t="n">
        <v>5</v>
      </c>
      <c r="P754" s="22"/>
      <c r="Q754" s="22" t="s">
        <v>6812</v>
      </c>
      <c r="R754" s="22"/>
    </row>
    <row r="755" customFormat="false" ht="15" hidden="false" customHeight="false" outlineLevel="0" collapsed="false">
      <c r="A755" s="22" t="s">
        <v>9560</v>
      </c>
      <c r="B755" s="23" t="n">
        <v>45421</v>
      </c>
      <c r="C755" s="22" t="s">
        <v>1515</v>
      </c>
      <c r="D755" s="22" t="n">
        <v>507</v>
      </c>
      <c r="E755" s="22" t="s">
        <v>7530</v>
      </c>
      <c r="F755" s="22" t="s">
        <v>159</v>
      </c>
      <c r="G755" s="22" t="n">
        <v>24</v>
      </c>
      <c r="H755" s="22" t="s">
        <v>6575</v>
      </c>
      <c r="I755" s="22" t="s">
        <v>8601</v>
      </c>
      <c r="J755" s="22" t="n">
        <v>10.4</v>
      </c>
      <c r="K755" s="22" t="n">
        <v>1</v>
      </c>
      <c r="L755" s="22" t="s">
        <v>8605</v>
      </c>
      <c r="M755" s="23" t="n">
        <v>45431</v>
      </c>
      <c r="N755" s="23" t="n">
        <v>45425</v>
      </c>
      <c r="O755" s="22" t="n">
        <v>4</v>
      </c>
      <c r="P755" s="22"/>
      <c r="Q755" s="22" t="s">
        <v>7531</v>
      </c>
      <c r="R755" s="22"/>
    </row>
    <row r="756" customFormat="false" ht="15" hidden="false" customHeight="false" outlineLevel="0" collapsed="false">
      <c r="A756" s="22" t="s">
        <v>9561</v>
      </c>
      <c r="B756" s="23" t="n">
        <v>45434</v>
      </c>
      <c r="C756" s="22" t="s">
        <v>2670</v>
      </c>
      <c r="D756" s="22" t="n">
        <v>1013</v>
      </c>
      <c r="E756" s="22" t="s">
        <v>7502</v>
      </c>
      <c r="F756" s="22" t="s">
        <v>159</v>
      </c>
      <c r="G756" s="22" t="n">
        <v>24</v>
      </c>
      <c r="H756" s="22" t="s">
        <v>6575</v>
      </c>
      <c r="I756" s="22" t="s">
        <v>8601</v>
      </c>
      <c r="J756" s="22" t="n">
        <v>10.4</v>
      </c>
      <c r="K756" s="22" t="n">
        <v>1</v>
      </c>
      <c r="L756" s="22" t="s">
        <v>8602</v>
      </c>
      <c r="M756" s="23" t="n">
        <v>45444</v>
      </c>
      <c r="N756" s="22"/>
      <c r="O756" s="22"/>
      <c r="P756" s="22" t="s">
        <v>8618</v>
      </c>
      <c r="Q756" s="22"/>
      <c r="R756" s="22"/>
    </row>
    <row r="757" customFormat="false" ht="15" hidden="false" customHeight="false" outlineLevel="0" collapsed="false">
      <c r="A757" s="22" t="s">
        <v>9562</v>
      </c>
      <c r="B757" s="23" t="n">
        <v>45429</v>
      </c>
      <c r="C757" s="22" t="s">
        <v>2227</v>
      </c>
      <c r="D757" s="22" t="n">
        <v>813</v>
      </c>
      <c r="E757" s="22" t="s">
        <v>7277</v>
      </c>
      <c r="F757" s="22" t="s">
        <v>198</v>
      </c>
      <c r="G757" s="22" t="n">
        <v>40</v>
      </c>
      <c r="H757" s="22" t="s">
        <v>6575</v>
      </c>
      <c r="I757" s="22" t="s">
        <v>8601</v>
      </c>
      <c r="J757" s="22" t="n">
        <v>10.4</v>
      </c>
      <c r="K757" s="22" t="n">
        <v>1</v>
      </c>
      <c r="L757" s="22" t="s">
        <v>8605</v>
      </c>
      <c r="M757" s="23" t="n">
        <v>45439</v>
      </c>
      <c r="N757" s="23" t="n">
        <v>45434</v>
      </c>
      <c r="O757" s="22" t="n">
        <v>5</v>
      </c>
      <c r="P757" s="22"/>
      <c r="Q757" s="22" t="s">
        <v>7278</v>
      </c>
      <c r="R757" s="22"/>
    </row>
    <row r="758" customFormat="false" ht="15" hidden="false" customHeight="false" outlineLevel="0" collapsed="false">
      <c r="A758" s="22" t="s">
        <v>9563</v>
      </c>
      <c r="B758" s="23" t="n">
        <v>45421</v>
      </c>
      <c r="C758" s="22" t="s">
        <v>5184</v>
      </c>
      <c r="D758" s="22" t="n">
        <v>2223</v>
      </c>
      <c r="E758" s="22" t="s">
        <v>7908</v>
      </c>
      <c r="F758" s="22" t="s">
        <v>215</v>
      </c>
      <c r="G758" s="22" t="n">
        <v>40</v>
      </c>
      <c r="H758" s="22" t="s">
        <v>7696</v>
      </c>
      <c r="I758" s="22" t="s">
        <v>8601</v>
      </c>
      <c r="J758" s="22" t="n">
        <v>7.55</v>
      </c>
      <c r="K758" s="22" t="n">
        <v>2</v>
      </c>
      <c r="L758" s="22" t="s">
        <v>8605</v>
      </c>
      <c r="M758" s="23" t="n">
        <v>45435</v>
      </c>
      <c r="N758" s="23" t="n">
        <v>45430</v>
      </c>
      <c r="O758" s="22" t="n">
        <v>9</v>
      </c>
      <c r="P758" s="22"/>
      <c r="Q758" s="22" t="s">
        <v>7012</v>
      </c>
      <c r="R758" s="22"/>
    </row>
    <row r="759" customFormat="false" ht="15" hidden="false" customHeight="false" outlineLevel="0" collapsed="false">
      <c r="A759" s="22" t="s">
        <v>9564</v>
      </c>
      <c r="B759" s="23" t="n">
        <v>45431</v>
      </c>
      <c r="C759" s="22" t="s">
        <v>2812</v>
      </c>
      <c r="D759" s="22" t="n">
        <v>1078</v>
      </c>
      <c r="E759" s="22" t="s">
        <v>6962</v>
      </c>
      <c r="F759" s="22" t="s">
        <v>198</v>
      </c>
      <c r="G759" s="22" t="n">
        <v>32</v>
      </c>
      <c r="H759" s="22" t="s">
        <v>6575</v>
      </c>
      <c r="I759" s="22" t="s">
        <v>8601</v>
      </c>
      <c r="J759" s="22" t="n">
        <v>10.4</v>
      </c>
      <c r="K759" s="22" t="n">
        <v>1</v>
      </c>
      <c r="L759" s="22" t="s">
        <v>8605</v>
      </c>
      <c r="M759" s="23" t="n">
        <v>45441</v>
      </c>
      <c r="N759" s="23" t="n">
        <v>45437</v>
      </c>
      <c r="O759" s="22" t="n">
        <v>6</v>
      </c>
      <c r="P759" s="22"/>
      <c r="Q759" s="22" t="s">
        <v>6963</v>
      </c>
      <c r="R759" s="22"/>
    </row>
    <row r="760" customFormat="false" ht="15" hidden="false" customHeight="false" outlineLevel="0" collapsed="false">
      <c r="A760" s="22" t="s">
        <v>9565</v>
      </c>
      <c r="B760" s="23" t="n">
        <v>45427</v>
      </c>
      <c r="C760" s="22" t="s">
        <v>2092</v>
      </c>
      <c r="D760" s="22" t="n">
        <v>753</v>
      </c>
      <c r="E760" s="22" t="s">
        <v>7055</v>
      </c>
      <c r="F760" s="22" t="s">
        <v>198</v>
      </c>
      <c r="G760" s="22" t="n">
        <v>24</v>
      </c>
      <c r="H760" s="22" t="s">
        <v>6575</v>
      </c>
      <c r="I760" s="22" t="s">
        <v>8601</v>
      </c>
      <c r="J760" s="22" t="n">
        <v>10.4</v>
      </c>
      <c r="K760" s="22" t="n">
        <v>1</v>
      </c>
      <c r="L760" s="22" t="s">
        <v>8602</v>
      </c>
      <c r="M760" s="23" t="n">
        <v>45437</v>
      </c>
      <c r="N760" s="22"/>
      <c r="O760" s="22"/>
      <c r="P760" s="22" t="s">
        <v>8631</v>
      </c>
      <c r="Q760" s="22"/>
      <c r="R760" s="22"/>
    </row>
    <row r="761" customFormat="false" ht="15" hidden="false" customHeight="false" outlineLevel="0" collapsed="false">
      <c r="A761" s="22" t="s">
        <v>9566</v>
      </c>
      <c r="B761" s="23" t="n">
        <v>45437</v>
      </c>
      <c r="C761" s="22" t="s">
        <v>5349</v>
      </c>
      <c r="D761" s="22" t="n">
        <v>2305</v>
      </c>
      <c r="E761" s="22" t="s">
        <v>8501</v>
      </c>
      <c r="F761" s="22" t="s">
        <v>188</v>
      </c>
      <c r="G761" s="22" t="n">
        <v>45</v>
      </c>
      <c r="H761" s="22" t="s">
        <v>7696</v>
      </c>
      <c r="I761" s="22" t="s">
        <v>8601</v>
      </c>
      <c r="J761" s="22" t="n">
        <v>7.55</v>
      </c>
      <c r="K761" s="22" t="n">
        <v>1</v>
      </c>
      <c r="L761" s="22" t="s">
        <v>8605</v>
      </c>
      <c r="M761" s="23" t="n">
        <v>45451</v>
      </c>
      <c r="N761" s="23" t="n">
        <v>45444</v>
      </c>
      <c r="O761" s="22" t="n">
        <v>7</v>
      </c>
      <c r="P761" s="22"/>
      <c r="Q761" s="22" t="s">
        <v>6972</v>
      </c>
      <c r="R761" s="22"/>
    </row>
    <row r="762" customFormat="false" ht="15" hidden="false" customHeight="false" outlineLevel="0" collapsed="false">
      <c r="A762" s="22" t="s">
        <v>9567</v>
      </c>
      <c r="B762" s="23" t="n">
        <v>45416</v>
      </c>
      <c r="C762" s="22" t="s">
        <v>4700</v>
      </c>
      <c r="D762" s="22" t="n">
        <v>1984</v>
      </c>
      <c r="E762" s="22" t="s">
        <v>7807</v>
      </c>
      <c r="F762" s="22" t="s">
        <v>215</v>
      </c>
      <c r="G762" s="22" t="n">
        <v>70</v>
      </c>
      <c r="H762" s="22" t="s">
        <v>7696</v>
      </c>
      <c r="I762" s="22" t="s">
        <v>8601</v>
      </c>
      <c r="J762" s="22" t="n">
        <v>7.55</v>
      </c>
      <c r="K762" s="22" t="n">
        <v>1</v>
      </c>
      <c r="L762" s="22" t="s">
        <v>8605</v>
      </c>
      <c r="M762" s="23" t="n">
        <v>45430</v>
      </c>
      <c r="N762" s="23" t="n">
        <v>45418</v>
      </c>
      <c r="O762" s="22" t="n">
        <v>2</v>
      </c>
      <c r="P762" s="22"/>
      <c r="Q762" s="22" t="s">
        <v>6800</v>
      </c>
      <c r="R762" s="22"/>
    </row>
    <row r="763" customFormat="false" ht="15" hidden="false" customHeight="false" outlineLevel="0" collapsed="false">
      <c r="A763" s="22" t="s">
        <v>9568</v>
      </c>
      <c r="B763" s="23" t="n">
        <v>45413</v>
      </c>
      <c r="C763" s="22" t="s">
        <v>1049</v>
      </c>
      <c r="D763" s="22" t="n">
        <v>318</v>
      </c>
      <c r="E763" s="22" t="s">
        <v>8429</v>
      </c>
      <c r="F763" s="22" t="s">
        <v>188</v>
      </c>
      <c r="G763" s="22" t="n">
        <v>45</v>
      </c>
      <c r="H763" s="22" t="s">
        <v>7696</v>
      </c>
      <c r="I763" s="22" t="s">
        <v>8601</v>
      </c>
      <c r="J763" s="22" t="n">
        <v>7.55</v>
      </c>
      <c r="K763" s="22" t="n">
        <v>1</v>
      </c>
      <c r="L763" s="22" t="s">
        <v>8602</v>
      </c>
      <c r="M763" s="23" t="n">
        <v>45427</v>
      </c>
      <c r="N763" s="22"/>
      <c r="O763" s="22"/>
      <c r="P763" s="22" t="s">
        <v>8637</v>
      </c>
      <c r="Q763" s="22"/>
      <c r="R763" s="22"/>
    </row>
    <row r="764" customFormat="false" ht="15" hidden="false" customHeight="false" outlineLevel="0" collapsed="false">
      <c r="A764" s="22" t="s">
        <v>9569</v>
      </c>
      <c r="B764" s="23" t="n">
        <v>45419</v>
      </c>
      <c r="C764" s="22" t="s">
        <v>4888</v>
      </c>
      <c r="D764" s="22" t="n">
        <v>2076</v>
      </c>
      <c r="E764" s="22" t="s">
        <v>8533</v>
      </c>
      <c r="F764" s="22" t="s">
        <v>188</v>
      </c>
      <c r="G764" s="22" t="n">
        <v>28</v>
      </c>
      <c r="H764" s="22" t="s">
        <v>7696</v>
      </c>
      <c r="I764" s="22" t="s">
        <v>8601</v>
      </c>
      <c r="J764" s="22" t="n">
        <v>7.55</v>
      </c>
      <c r="K764" s="22" t="n">
        <v>1</v>
      </c>
      <c r="L764" s="22" t="s">
        <v>8605</v>
      </c>
      <c r="M764" s="23" t="n">
        <v>45433</v>
      </c>
      <c r="N764" s="23" t="n">
        <v>45427</v>
      </c>
      <c r="O764" s="22" t="n">
        <v>8</v>
      </c>
      <c r="P764" s="22"/>
      <c r="Q764" s="22" t="s">
        <v>7048</v>
      </c>
      <c r="R764" s="22"/>
    </row>
    <row r="765" customFormat="false" ht="15" hidden="false" customHeight="false" outlineLevel="0" collapsed="false">
      <c r="A765" s="22" t="s">
        <v>9570</v>
      </c>
      <c r="B765" s="23" t="n">
        <v>45434</v>
      </c>
      <c r="C765" s="22" t="s">
        <v>1141</v>
      </c>
      <c r="D765" s="22" t="n">
        <v>354</v>
      </c>
      <c r="E765" s="22" t="s">
        <v>6866</v>
      </c>
      <c r="F765" s="22" t="s">
        <v>198</v>
      </c>
      <c r="G765" s="22" t="n">
        <v>24</v>
      </c>
      <c r="H765" s="22" t="s">
        <v>6575</v>
      </c>
      <c r="I765" s="22" t="s">
        <v>8601</v>
      </c>
      <c r="J765" s="22" t="n">
        <v>10.4</v>
      </c>
      <c r="K765" s="22" t="n">
        <v>1</v>
      </c>
      <c r="L765" s="22" t="s">
        <v>8629</v>
      </c>
      <c r="M765" s="23" t="n">
        <v>45444</v>
      </c>
      <c r="N765" s="23" t="n">
        <v>45438</v>
      </c>
      <c r="O765" s="22" t="n">
        <v>4</v>
      </c>
      <c r="P765" s="22"/>
      <c r="Q765" s="22"/>
      <c r="R765" s="22"/>
    </row>
    <row r="766" customFormat="false" ht="15" hidden="false" customHeight="false" outlineLevel="0" collapsed="false">
      <c r="A766" s="22" t="s">
        <v>9571</v>
      </c>
      <c r="B766" s="23" t="n">
        <v>45427</v>
      </c>
      <c r="C766" s="22" t="s">
        <v>5294</v>
      </c>
      <c r="D766" s="22" t="n">
        <v>2277</v>
      </c>
      <c r="E766" s="22" t="s">
        <v>7659</v>
      </c>
      <c r="F766" s="22" t="s">
        <v>159</v>
      </c>
      <c r="G766" s="22" t="n">
        <v>32</v>
      </c>
      <c r="H766" s="22" t="s">
        <v>6575</v>
      </c>
      <c r="I766" s="22" t="s">
        <v>8601</v>
      </c>
      <c r="J766" s="22" t="n">
        <v>10.4</v>
      </c>
      <c r="K766" s="22" t="n">
        <v>2</v>
      </c>
      <c r="L766" s="22" t="s">
        <v>8605</v>
      </c>
      <c r="M766" s="23" t="n">
        <v>45437</v>
      </c>
      <c r="N766" s="23" t="n">
        <v>45437</v>
      </c>
      <c r="O766" s="22" t="n">
        <v>10</v>
      </c>
      <c r="P766" s="22"/>
      <c r="Q766" s="22" t="s">
        <v>7195</v>
      </c>
      <c r="R766" s="22"/>
    </row>
    <row r="767" customFormat="false" ht="15" hidden="false" customHeight="false" outlineLevel="0" collapsed="false">
      <c r="A767" s="22" t="s">
        <v>9572</v>
      </c>
      <c r="B767" s="23" t="n">
        <v>45433</v>
      </c>
      <c r="C767" s="22" t="s">
        <v>6516</v>
      </c>
      <c r="D767" s="22" t="n">
        <v>2891</v>
      </c>
      <c r="E767" s="22" t="s">
        <v>7880</v>
      </c>
      <c r="F767" s="22" t="s">
        <v>215</v>
      </c>
      <c r="G767" s="22" t="n">
        <v>24</v>
      </c>
      <c r="H767" s="22" t="s">
        <v>7696</v>
      </c>
      <c r="I767" s="22" t="s">
        <v>8601</v>
      </c>
      <c r="J767" s="22" t="n">
        <v>7.55</v>
      </c>
      <c r="K767" s="22" t="n">
        <v>2</v>
      </c>
      <c r="L767" s="22" t="s">
        <v>8602</v>
      </c>
      <c r="M767" s="23" t="n">
        <v>45447</v>
      </c>
      <c r="N767" s="22"/>
      <c r="O767" s="22"/>
      <c r="P767" s="22" t="s">
        <v>8603</v>
      </c>
      <c r="Q767" s="22"/>
      <c r="R767" s="22"/>
    </row>
    <row r="768" customFormat="false" ht="15" hidden="false" customHeight="false" outlineLevel="0" collapsed="false">
      <c r="A768" s="22" t="s">
        <v>9573</v>
      </c>
      <c r="B768" s="23" t="n">
        <v>45437</v>
      </c>
      <c r="C768" s="22" t="s">
        <v>4705</v>
      </c>
      <c r="D768" s="22" t="n">
        <v>1986</v>
      </c>
      <c r="E768" s="22" t="s">
        <v>8175</v>
      </c>
      <c r="F768" s="22" t="s">
        <v>499</v>
      </c>
      <c r="G768" s="22" t="n">
        <v>24</v>
      </c>
      <c r="H768" s="22" t="s">
        <v>7696</v>
      </c>
      <c r="I768" s="22" t="s">
        <v>8601</v>
      </c>
      <c r="J768" s="22" t="n">
        <v>7.55</v>
      </c>
      <c r="K768" s="22" t="n">
        <v>1</v>
      </c>
      <c r="L768" s="22" t="s">
        <v>8605</v>
      </c>
      <c r="M768" s="23" t="n">
        <v>45451</v>
      </c>
      <c r="N768" s="23" t="n">
        <v>45454</v>
      </c>
      <c r="O768" s="22" t="n">
        <v>17</v>
      </c>
      <c r="P768" s="22"/>
      <c r="Q768" s="22" t="s">
        <v>6886</v>
      </c>
      <c r="R768" s="22"/>
    </row>
    <row r="769" customFormat="false" ht="15" hidden="false" customHeight="false" outlineLevel="0" collapsed="false">
      <c r="A769" s="22" t="s">
        <v>9574</v>
      </c>
      <c r="B769" s="23" t="n">
        <v>45422</v>
      </c>
      <c r="C769" s="22" t="s">
        <v>4514</v>
      </c>
      <c r="D769" s="22" t="n">
        <v>1894</v>
      </c>
      <c r="E769" s="22" t="s">
        <v>7673</v>
      </c>
      <c r="F769" s="22" t="s">
        <v>159</v>
      </c>
      <c r="G769" s="22" t="n">
        <v>40</v>
      </c>
      <c r="H769" s="22" t="s">
        <v>6575</v>
      </c>
      <c r="I769" s="22" t="s">
        <v>8601</v>
      </c>
      <c r="J769" s="22" t="n">
        <v>10.4</v>
      </c>
      <c r="K769" s="22" t="n">
        <v>1</v>
      </c>
      <c r="L769" s="22" t="s">
        <v>8605</v>
      </c>
      <c r="M769" s="23" t="n">
        <v>45432</v>
      </c>
      <c r="N769" s="23" t="n">
        <v>45424</v>
      </c>
      <c r="O769" s="22" t="n">
        <v>2</v>
      </c>
      <c r="P769" s="22"/>
      <c r="Q769" s="22" t="s">
        <v>7219</v>
      </c>
      <c r="R769" s="22"/>
    </row>
    <row r="770" customFormat="false" ht="15" hidden="false" customHeight="false" outlineLevel="0" collapsed="false">
      <c r="A770" s="22" t="s">
        <v>9575</v>
      </c>
      <c r="B770" s="23" t="n">
        <v>45422</v>
      </c>
      <c r="C770" s="22" t="s">
        <v>1746</v>
      </c>
      <c r="D770" s="22" t="n">
        <v>605</v>
      </c>
      <c r="E770" s="22" t="s">
        <v>7790</v>
      </c>
      <c r="F770" s="22" t="s">
        <v>215</v>
      </c>
      <c r="G770" s="22" t="n">
        <v>36</v>
      </c>
      <c r="H770" s="22" t="s">
        <v>7696</v>
      </c>
      <c r="I770" s="22" t="s">
        <v>8601</v>
      </c>
      <c r="J770" s="22" t="n">
        <v>7.55</v>
      </c>
      <c r="K770" s="22" t="n">
        <v>1</v>
      </c>
      <c r="L770" s="22" t="s">
        <v>8605</v>
      </c>
      <c r="M770" s="23" t="n">
        <v>45436</v>
      </c>
      <c r="N770" s="23" t="n">
        <v>45424</v>
      </c>
      <c r="O770" s="22" t="n">
        <v>2</v>
      </c>
      <c r="P770" s="22"/>
      <c r="Q770" s="22" t="s">
        <v>6767</v>
      </c>
      <c r="R770" s="22"/>
    </row>
    <row r="771" customFormat="false" ht="15" hidden="false" customHeight="false" outlineLevel="0" collapsed="false">
      <c r="A771" s="22" t="s">
        <v>9576</v>
      </c>
      <c r="B771" s="23" t="n">
        <v>45435</v>
      </c>
      <c r="C771" s="22" t="s">
        <v>2136</v>
      </c>
      <c r="D771" s="22" t="n">
        <v>773</v>
      </c>
      <c r="E771" s="22" t="s">
        <v>7848</v>
      </c>
      <c r="F771" s="22" t="s">
        <v>215</v>
      </c>
      <c r="G771" s="22" t="n">
        <v>40</v>
      </c>
      <c r="H771" s="22" t="s">
        <v>7696</v>
      </c>
      <c r="I771" s="22" t="s">
        <v>8601</v>
      </c>
      <c r="J771" s="22" t="n">
        <v>7.55</v>
      </c>
      <c r="K771" s="22" t="n">
        <v>2</v>
      </c>
      <c r="L771" s="22" t="s">
        <v>8608</v>
      </c>
      <c r="M771" s="23" t="n">
        <v>45449</v>
      </c>
      <c r="N771" s="23" t="n">
        <v>45451</v>
      </c>
      <c r="O771" s="22" t="n">
        <v>16</v>
      </c>
      <c r="P771" s="22"/>
      <c r="Q771" s="22"/>
      <c r="R771" s="22"/>
    </row>
    <row r="772" customFormat="false" ht="15" hidden="false" customHeight="false" outlineLevel="0" collapsed="false">
      <c r="A772" s="22" t="s">
        <v>9577</v>
      </c>
      <c r="B772" s="23" t="n">
        <v>45464</v>
      </c>
      <c r="C772" s="22" t="s">
        <v>1568</v>
      </c>
      <c r="D772" s="22" t="n">
        <v>529</v>
      </c>
      <c r="E772" s="22" t="s">
        <v>8352</v>
      </c>
      <c r="F772" s="22" t="s">
        <v>188</v>
      </c>
      <c r="G772" s="22" t="n">
        <v>28</v>
      </c>
      <c r="H772" s="22" t="s">
        <v>7696</v>
      </c>
      <c r="I772" s="22" t="s">
        <v>8601</v>
      </c>
      <c r="J772" s="22" t="n">
        <v>7.55</v>
      </c>
      <c r="K772" s="22" t="n">
        <v>1</v>
      </c>
      <c r="L772" s="22" t="s">
        <v>8605</v>
      </c>
      <c r="M772" s="23" t="n">
        <v>45478</v>
      </c>
      <c r="N772" s="23" t="n">
        <v>45477</v>
      </c>
      <c r="O772" s="22" t="n">
        <v>13</v>
      </c>
      <c r="P772" s="22"/>
      <c r="Q772" s="22" t="s">
        <v>6607</v>
      </c>
      <c r="R772" s="22"/>
    </row>
    <row r="773" customFormat="false" ht="15" hidden="false" customHeight="false" outlineLevel="0" collapsed="false">
      <c r="A773" s="22" t="s">
        <v>9578</v>
      </c>
      <c r="B773" s="23" t="n">
        <v>45455</v>
      </c>
      <c r="C773" s="22" t="s">
        <v>4785</v>
      </c>
      <c r="D773" s="22" t="n">
        <v>2026</v>
      </c>
      <c r="E773" s="22" t="s">
        <v>6787</v>
      </c>
      <c r="F773" s="22" t="s">
        <v>198</v>
      </c>
      <c r="G773" s="22" t="n">
        <v>32</v>
      </c>
      <c r="H773" s="22" t="s">
        <v>6575</v>
      </c>
      <c r="I773" s="22" t="s">
        <v>8601</v>
      </c>
      <c r="J773" s="22" t="n">
        <v>10.4</v>
      </c>
      <c r="K773" s="22" t="n">
        <v>2</v>
      </c>
      <c r="L773" s="22" t="s">
        <v>8602</v>
      </c>
      <c r="M773" s="23" t="n">
        <v>45465</v>
      </c>
      <c r="N773" s="22"/>
      <c r="O773" s="22"/>
      <c r="P773" s="22" t="s">
        <v>8618</v>
      </c>
      <c r="Q773" s="22"/>
      <c r="R773" s="22"/>
    </row>
    <row r="774" customFormat="false" ht="15" hidden="false" customHeight="false" outlineLevel="0" collapsed="false">
      <c r="A774" s="22" t="s">
        <v>9579</v>
      </c>
      <c r="B774" s="23" t="n">
        <v>45456</v>
      </c>
      <c r="C774" s="22" t="s">
        <v>2659</v>
      </c>
      <c r="D774" s="22" t="n">
        <v>1008</v>
      </c>
      <c r="E774" s="22" t="s">
        <v>8406</v>
      </c>
      <c r="F774" s="22" t="s">
        <v>188</v>
      </c>
      <c r="G774" s="22" t="n">
        <v>50</v>
      </c>
      <c r="H774" s="22" t="s">
        <v>7696</v>
      </c>
      <c r="I774" s="22" t="s">
        <v>8601</v>
      </c>
      <c r="J774" s="22" t="n">
        <v>7.55</v>
      </c>
      <c r="K774" s="22" t="n">
        <v>2</v>
      </c>
      <c r="L774" s="22" t="s">
        <v>157</v>
      </c>
      <c r="M774" s="23" t="n">
        <v>45470</v>
      </c>
      <c r="N774" s="23" t="n">
        <v>45461</v>
      </c>
      <c r="O774" s="22" t="n">
        <v>5</v>
      </c>
      <c r="P774" s="22"/>
      <c r="Q774" s="22"/>
      <c r="R774" s="22"/>
    </row>
    <row r="775" customFormat="false" ht="15" hidden="false" customHeight="false" outlineLevel="0" collapsed="false">
      <c r="A775" s="22" t="s">
        <v>9580</v>
      </c>
      <c r="B775" s="23" t="n">
        <v>45458</v>
      </c>
      <c r="C775" s="22" t="s">
        <v>5229</v>
      </c>
      <c r="D775" s="22" t="n">
        <v>2245</v>
      </c>
      <c r="E775" s="22" t="s">
        <v>7187</v>
      </c>
      <c r="F775" s="22" t="s">
        <v>198</v>
      </c>
      <c r="G775" s="22" t="n">
        <v>40</v>
      </c>
      <c r="H775" s="22" t="s">
        <v>6575</v>
      </c>
      <c r="I775" s="22" t="s">
        <v>8601</v>
      </c>
      <c r="J775" s="22" t="n">
        <v>10.4</v>
      </c>
      <c r="K775" s="22" t="n">
        <v>1</v>
      </c>
      <c r="L775" s="22" t="s">
        <v>8602</v>
      </c>
      <c r="M775" s="23" t="n">
        <v>45468</v>
      </c>
      <c r="N775" s="22"/>
      <c r="O775" s="22"/>
      <c r="P775" s="22" t="s">
        <v>8603</v>
      </c>
      <c r="Q775" s="22"/>
      <c r="R775" s="22"/>
    </row>
    <row r="776" customFormat="false" ht="15" hidden="false" customHeight="false" outlineLevel="0" collapsed="false">
      <c r="A776" s="22" t="s">
        <v>9581</v>
      </c>
      <c r="B776" s="23" t="n">
        <v>45457</v>
      </c>
      <c r="C776" s="22" t="s">
        <v>2547</v>
      </c>
      <c r="D776" s="22" t="n">
        <v>959</v>
      </c>
      <c r="E776" s="22" t="s">
        <v>7779</v>
      </c>
      <c r="F776" s="22" t="s">
        <v>215</v>
      </c>
      <c r="G776" s="22" t="n">
        <v>28</v>
      </c>
      <c r="H776" s="22" t="s">
        <v>7696</v>
      </c>
      <c r="I776" s="22" t="s">
        <v>8601</v>
      </c>
      <c r="J776" s="22" t="n">
        <v>7.55</v>
      </c>
      <c r="K776" s="22" t="n">
        <v>2</v>
      </c>
      <c r="L776" s="22" t="s">
        <v>157</v>
      </c>
      <c r="M776" s="23" t="n">
        <v>45471</v>
      </c>
      <c r="N776" s="23" t="n">
        <v>45463</v>
      </c>
      <c r="O776" s="22" t="n">
        <v>6</v>
      </c>
      <c r="P776" s="22"/>
      <c r="Q776" s="22"/>
      <c r="R776" s="22"/>
    </row>
    <row r="777" customFormat="false" ht="15" hidden="false" customHeight="false" outlineLevel="0" collapsed="false">
      <c r="A777" s="22" t="s">
        <v>9582</v>
      </c>
      <c r="B777" s="23" t="n">
        <v>45471</v>
      </c>
      <c r="C777" s="22" t="s">
        <v>5768</v>
      </c>
      <c r="D777" s="22" t="n">
        <v>2514</v>
      </c>
      <c r="E777" s="22" t="s">
        <v>8405</v>
      </c>
      <c r="F777" s="22" t="s">
        <v>188</v>
      </c>
      <c r="G777" s="22" t="n">
        <v>32</v>
      </c>
      <c r="H777" s="22" t="s">
        <v>7696</v>
      </c>
      <c r="I777" s="22" t="s">
        <v>8601</v>
      </c>
      <c r="J777" s="22" t="n">
        <v>7.55</v>
      </c>
      <c r="K777" s="22" t="n">
        <v>2</v>
      </c>
      <c r="L777" s="22" t="s">
        <v>8605</v>
      </c>
      <c r="M777" s="23" t="n">
        <v>45485</v>
      </c>
      <c r="N777" s="23" t="n">
        <v>45474</v>
      </c>
      <c r="O777" s="22" t="n">
        <v>3</v>
      </c>
      <c r="P777" s="22"/>
      <c r="Q777" s="22" t="s">
        <v>6743</v>
      </c>
      <c r="R777" s="22"/>
    </row>
    <row r="778" customFormat="false" ht="15" hidden="false" customHeight="false" outlineLevel="0" collapsed="false">
      <c r="A778" s="22" t="s">
        <v>9583</v>
      </c>
      <c r="B778" s="23" t="n">
        <v>45448</v>
      </c>
      <c r="C778" s="22" t="s">
        <v>5560</v>
      </c>
      <c r="D778" s="22" t="n">
        <v>2411</v>
      </c>
      <c r="E778" s="22" t="s">
        <v>7439</v>
      </c>
      <c r="F778" s="22" t="s">
        <v>159</v>
      </c>
      <c r="G778" s="22" t="n">
        <v>32</v>
      </c>
      <c r="H778" s="22" t="s">
        <v>6575</v>
      </c>
      <c r="I778" s="22" t="s">
        <v>8601</v>
      </c>
      <c r="J778" s="22" t="n">
        <v>10.4</v>
      </c>
      <c r="K778" s="22" t="n">
        <v>2</v>
      </c>
      <c r="L778" s="22" t="s">
        <v>8608</v>
      </c>
      <c r="M778" s="23" t="n">
        <v>45458</v>
      </c>
      <c r="N778" s="23" t="n">
        <v>45450</v>
      </c>
      <c r="O778" s="22" t="n">
        <v>2</v>
      </c>
      <c r="P778" s="22"/>
      <c r="Q778" s="22"/>
      <c r="R778" s="22"/>
    </row>
    <row r="779" customFormat="false" ht="15" hidden="false" customHeight="false" outlineLevel="0" collapsed="false">
      <c r="A779" s="22" t="s">
        <v>9584</v>
      </c>
      <c r="B779" s="23" t="n">
        <v>45451</v>
      </c>
      <c r="C779" s="22" t="s">
        <v>1688</v>
      </c>
      <c r="D779" s="22" t="n">
        <v>581</v>
      </c>
      <c r="E779" s="22" t="s">
        <v>7492</v>
      </c>
      <c r="F779" s="22" t="s">
        <v>159</v>
      </c>
      <c r="G779" s="22" t="n">
        <v>24</v>
      </c>
      <c r="H779" s="22" t="s">
        <v>6575</v>
      </c>
      <c r="I779" s="22" t="s">
        <v>8601</v>
      </c>
      <c r="J779" s="22" t="n">
        <v>10.4</v>
      </c>
      <c r="K779" s="22" t="n">
        <v>1</v>
      </c>
      <c r="L779" s="22" t="s">
        <v>8629</v>
      </c>
      <c r="M779" s="23" t="n">
        <v>45461</v>
      </c>
      <c r="N779" s="23" t="n">
        <v>45459</v>
      </c>
      <c r="O779" s="22" t="n">
        <v>8</v>
      </c>
      <c r="P779" s="22"/>
      <c r="Q779" s="22"/>
      <c r="R779" s="22"/>
    </row>
    <row r="780" customFormat="false" ht="15" hidden="false" customHeight="false" outlineLevel="0" collapsed="false">
      <c r="A780" s="22" t="s">
        <v>9585</v>
      </c>
      <c r="B780" s="23" t="n">
        <v>45464</v>
      </c>
      <c r="C780" s="22" t="s">
        <v>2884</v>
      </c>
      <c r="D780" s="22" t="n">
        <v>1110</v>
      </c>
      <c r="E780" s="22" t="s">
        <v>7670</v>
      </c>
      <c r="F780" s="22" t="s">
        <v>159</v>
      </c>
      <c r="G780" s="22" t="n">
        <v>24</v>
      </c>
      <c r="H780" s="22" t="s">
        <v>6575</v>
      </c>
      <c r="I780" s="22" t="s">
        <v>8601</v>
      </c>
      <c r="J780" s="22" t="n">
        <v>10.4</v>
      </c>
      <c r="K780" s="22" t="n">
        <v>1</v>
      </c>
      <c r="L780" s="22" t="s">
        <v>8605</v>
      </c>
      <c r="M780" s="23" t="n">
        <v>45474</v>
      </c>
      <c r="N780" s="23" t="n">
        <v>45472</v>
      </c>
      <c r="O780" s="22" t="n">
        <v>8</v>
      </c>
      <c r="P780" s="22"/>
      <c r="Q780" s="22" t="s">
        <v>7213</v>
      </c>
      <c r="R780" s="22"/>
    </row>
    <row r="781" customFormat="false" ht="15" hidden="false" customHeight="false" outlineLevel="0" collapsed="false">
      <c r="A781" s="22" t="s">
        <v>9586</v>
      </c>
      <c r="B781" s="23" t="n">
        <v>45445</v>
      </c>
      <c r="C781" s="22" t="s">
        <v>4306</v>
      </c>
      <c r="D781" s="22" t="n">
        <v>1792</v>
      </c>
      <c r="E781" s="22" t="s">
        <v>7397</v>
      </c>
      <c r="F781" s="22" t="s">
        <v>159</v>
      </c>
      <c r="G781" s="22" t="n">
        <v>32</v>
      </c>
      <c r="H781" s="22" t="s">
        <v>6575</v>
      </c>
      <c r="I781" s="22" t="s">
        <v>8601</v>
      </c>
      <c r="J781" s="22" t="n">
        <v>10.4</v>
      </c>
      <c r="K781" s="22" t="n">
        <v>2</v>
      </c>
      <c r="L781" s="22" t="s">
        <v>8605</v>
      </c>
      <c r="M781" s="23" t="n">
        <v>45455</v>
      </c>
      <c r="N781" s="23" t="n">
        <v>45446</v>
      </c>
      <c r="O781" s="22" t="n">
        <v>1</v>
      </c>
      <c r="P781" s="22"/>
      <c r="Q781" s="22" t="s">
        <v>6752</v>
      </c>
      <c r="R781" s="22"/>
    </row>
    <row r="782" customFormat="false" ht="15" hidden="false" customHeight="false" outlineLevel="0" collapsed="false">
      <c r="A782" s="22" t="s">
        <v>9587</v>
      </c>
      <c r="B782" s="23" t="n">
        <v>45463</v>
      </c>
      <c r="C782" s="22" t="s">
        <v>1513</v>
      </c>
      <c r="D782" s="22" t="n">
        <v>506</v>
      </c>
      <c r="E782" s="22" t="s">
        <v>7492</v>
      </c>
      <c r="F782" s="22" t="s">
        <v>159</v>
      </c>
      <c r="G782" s="22" t="n">
        <v>24</v>
      </c>
      <c r="H782" s="22" t="s">
        <v>6575</v>
      </c>
      <c r="I782" s="22" t="s">
        <v>8601</v>
      </c>
      <c r="J782" s="22" t="n">
        <v>10.4</v>
      </c>
      <c r="K782" s="22" t="n">
        <v>2</v>
      </c>
      <c r="L782" s="22" t="s">
        <v>8605</v>
      </c>
      <c r="M782" s="23" t="n">
        <v>45473</v>
      </c>
      <c r="N782" s="23" t="n">
        <v>45473</v>
      </c>
      <c r="O782" s="22" t="n">
        <v>10</v>
      </c>
      <c r="P782" s="22"/>
      <c r="Q782" s="22" t="s">
        <v>6912</v>
      </c>
      <c r="R782" s="22"/>
    </row>
    <row r="783" customFormat="false" ht="15" hidden="false" customHeight="false" outlineLevel="0" collapsed="false">
      <c r="A783" s="22" t="s">
        <v>9588</v>
      </c>
      <c r="B783" s="23" t="n">
        <v>45463</v>
      </c>
      <c r="C783" s="22" t="s">
        <v>3653</v>
      </c>
      <c r="D783" s="22" t="n">
        <v>1472</v>
      </c>
      <c r="E783" s="22" t="s">
        <v>7481</v>
      </c>
      <c r="F783" s="22" t="s">
        <v>159</v>
      </c>
      <c r="G783" s="22" t="n">
        <v>28</v>
      </c>
      <c r="H783" s="22" t="s">
        <v>6575</v>
      </c>
      <c r="I783" s="22" t="s">
        <v>8601</v>
      </c>
      <c r="J783" s="22" t="n">
        <v>10.4</v>
      </c>
      <c r="K783" s="22" t="n">
        <v>1</v>
      </c>
      <c r="L783" s="22" t="s">
        <v>8605</v>
      </c>
      <c r="M783" s="23" t="n">
        <v>45473</v>
      </c>
      <c r="N783" s="23" t="n">
        <v>45464</v>
      </c>
      <c r="O783" s="22" t="n">
        <v>1</v>
      </c>
      <c r="P783" s="22"/>
      <c r="Q783" s="22" t="s">
        <v>6892</v>
      </c>
      <c r="R783" s="22"/>
    </row>
    <row r="784" customFormat="false" ht="15" hidden="false" customHeight="false" outlineLevel="0" collapsed="false">
      <c r="A784" s="22" t="s">
        <v>9589</v>
      </c>
      <c r="B784" s="23" t="n">
        <v>45464</v>
      </c>
      <c r="C784" s="22" t="s">
        <v>5212</v>
      </c>
      <c r="D784" s="22" t="n">
        <v>2237</v>
      </c>
      <c r="E784" s="22" t="s">
        <v>8534</v>
      </c>
      <c r="F784" s="22" t="s">
        <v>188</v>
      </c>
      <c r="G784" s="22" t="n">
        <v>28</v>
      </c>
      <c r="H784" s="22" t="s">
        <v>7696</v>
      </c>
      <c r="I784" s="22" t="s">
        <v>8601</v>
      </c>
      <c r="J784" s="22" t="n">
        <v>7.55</v>
      </c>
      <c r="K784" s="22" t="n">
        <v>1</v>
      </c>
      <c r="L784" s="22" t="s">
        <v>8605</v>
      </c>
      <c r="M784" s="23" t="n">
        <v>45478</v>
      </c>
      <c r="N784" s="23" t="n">
        <v>45473</v>
      </c>
      <c r="O784" s="22" t="n">
        <v>9</v>
      </c>
      <c r="P784" s="22"/>
      <c r="Q784" s="22" t="s">
        <v>7051</v>
      </c>
      <c r="R784" s="22"/>
    </row>
    <row r="785" customFormat="false" ht="15" hidden="false" customHeight="false" outlineLevel="0" collapsed="false">
      <c r="A785" s="22" t="s">
        <v>9590</v>
      </c>
      <c r="B785" s="23" t="n">
        <v>45457</v>
      </c>
      <c r="C785" s="22" t="s">
        <v>5794</v>
      </c>
      <c r="D785" s="22" t="n">
        <v>2527</v>
      </c>
      <c r="E785" s="22" t="s">
        <v>7866</v>
      </c>
      <c r="F785" s="22" t="s">
        <v>215</v>
      </c>
      <c r="G785" s="22" t="n">
        <v>24</v>
      </c>
      <c r="H785" s="22" t="s">
        <v>7696</v>
      </c>
      <c r="I785" s="22" t="s">
        <v>8601</v>
      </c>
      <c r="J785" s="22" t="n">
        <v>7.55</v>
      </c>
      <c r="K785" s="22" t="n">
        <v>1</v>
      </c>
      <c r="L785" s="22" t="s">
        <v>8602</v>
      </c>
      <c r="M785" s="23" t="n">
        <v>45471</v>
      </c>
      <c r="N785" s="22"/>
      <c r="O785" s="22"/>
      <c r="P785" s="22" t="s">
        <v>8618</v>
      </c>
      <c r="Q785" s="22"/>
      <c r="R785" s="22"/>
    </row>
    <row r="786" customFormat="false" ht="15" hidden="false" customHeight="false" outlineLevel="0" collapsed="false">
      <c r="A786" s="22" t="s">
        <v>9591</v>
      </c>
      <c r="B786" s="23" t="n">
        <v>45463</v>
      </c>
      <c r="C786" s="22" t="s">
        <v>2687</v>
      </c>
      <c r="D786" s="22" t="n">
        <v>1021</v>
      </c>
      <c r="E786" s="22" t="s">
        <v>8366</v>
      </c>
      <c r="F786" s="22" t="s">
        <v>188</v>
      </c>
      <c r="G786" s="22" t="n">
        <v>24</v>
      </c>
      <c r="H786" s="22" t="s">
        <v>7696</v>
      </c>
      <c r="I786" s="22" t="s">
        <v>8601</v>
      </c>
      <c r="J786" s="22" t="n">
        <v>7.55</v>
      </c>
      <c r="K786" s="22" t="n">
        <v>1</v>
      </c>
      <c r="L786" s="22" t="s">
        <v>8629</v>
      </c>
      <c r="M786" s="23" t="n">
        <v>45477</v>
      </c>
      <c r="N786" s="23" t="n">
        <v>45464</v>
      </c>
      <c r="O786" s="22" t="n">
        <v>1</v>
      </c>
      <c r="P786" s="22"/>
      <c r="Q786" s="22"/>
      <c r="R786" s="22"/>
    </row>
    <row r="787" customFormat="false" ht="15" hidden="false" customHeight="false" outlineLevel="0" collapsed="false">
      <c r="A787" s="22" t="s">
        <v>9592</v>
      </c>
      <c r="B787" s="23" t="n">
        <v>45458</v>
      </c>
      <c r="C787" s="22" t="s">
        <v>4733</v>
      </c>
      <c r="D787" s="22" t="n">
        <v>2000</v>
      </c>
      <c r="E787" s="22" t="s">
        <v>8173</v>
      </c>
      <c r="F787" s="22" t="s">
        <v>499</v>
      </c>
      <c r="G787" s="22" t="n">
        <v>45</v>
      </c>
      <c r="H787" s="22" t="s">
        <v>7696</v>
      </c>
      <c r="I787" s="22" t="s">
        <v>8601</v>
      </c>
      <c r="J787" s="22" t="n">
        <v>7.55</v>
      </c>
      <c r="K787" s="22" t="n">
        <v>1</v>
      </c>
      <c r="L787" s="22" t="s">
        <v>8613</v>
      </c>
      <c r="M787" s="23" t="n">
        <v>45472</v>
      </c>
      <c r="N787" s="22"/>
      <c r="O787" s="22"/>
      <c r="P787" s="22"/>
      <c r="Q787" s="22"/>
      <c r="R787" s="22"/>
    </row>
    <row r="788" customFormat="false" ht="15" hidden="false" customHeight="false" outlineLevel="0" collapsed="false">
      <c r="A788" s="22" t="s">
        <v>9593</v>
      </c>
      <c r="B788" s="23" t="n">
        <v>45466</v>
      </c>
      <c r="C788" s="22" t="s">
        <v>978</v>
      </c>
      <c r="D788" s="22" t="n">
        <v>291</v>
      </c>
      <c r="E788" s="22" t="s">
        <v>8199</v>
      </c>
      <c r="F788" s="22" t="s">
        <v>499</v>
      </c>
      <c r="G788" s="22" t="n">
        <v>24</v>
      </c>
      <c r="H788" s="22" t="s">
        <v>7696</v>
      </c>
      <c r="I788" s="22" t="s">
        <v>8601</v>
      </c>
      <c r="J788" s="22" t="n">
        <v>7.55</v>
      </c>
      <c r="K788" s="22" t="n">
        <v>1</v>
      </c>
      <c r="L788" s="22" t="s">
        <v>8629</v>
      </c>
      <c r="M788" s="23" t="n">
        <v>45480</v>
      </c>
      <c r="N788" s="23" t="n">
        <v>45475</v>
      </c>
      <c r="O788" s="22" t="n">
        <v>9</v>
      </c>
      <c r="P788" s="22"/>
      <c r="Q788" s="22"/>
      <c r="R788" s="22"/>
    </row>
    <row r="789" customFormat="false" ht="15" hidden="false" customHeight="false" outlineLevel="0" collapsed="false">
      <c r="A789" s="22" t="s">
        <v>9594</v>
      </c>
      <c r="B789" s="23" t="n">
        <v>45468</v>
      </c>
      <c r="C789" s="22" t="s">
        <v>342</v>
      </c>
      <c r="D789" s="22" t="n">
        <v>61</v>
      </c>
      <c r="E789" s="22" t="s">
        <v>7312</v>
      </c>
      <c r="F789" s="22" t="s">
        <v>159</v>
      </c>
      <c r="G789" s="22" t="n">
        <v>24</v>
      </c>
      <c r="H789" s="22" t="s">
        <v>6575</v>
      </c>
      <c r="I789" s="22" t="s">
        <v>8601</v>
      </c>
      <c r="J789" s="22" t="n">
        <v>10.4</v>
      </c>
      <c r="K789" s="22" t="n">
        <v>1</v>
      </c>
      <c r="L789" s="22" t="s">
        <v>8605</v>
      </c>
      <c r="M789" s="23" t="n">
        <v>45478</v>
      </c>
      <c r="N789" s="23" t="n">
        <v>45474</v>
      </c>
      <c r="O789" s="22" t="n">
        <v>6</v>
      </c>
      <c r="P789" s="22"/>
      <c r="Q789" s="22" t="s">
        <v>6598</v>
      </c>
      <c r="R789" s="22"/>
    </row>
    <row r="790" customFormat="false" ht="15" hidden="false" customHeight="false" outlineLevel="0" collapsed="false">
      <c r="A790" s="22" t="s">
        <v>9595</v>
      </c>
      <c r="B790" s="23" t="n">
        <v>45448</v>
      </c>
      <c r="C790" s="22" t="s">
        <v>583</v>
      </c>
      <c r="D790" s="22" t="n">
        <v>144</v>
      </c>
      <c r="E790" s="22" t="s">
        <v>6696</v>
      </c>
      <c r="F790" s="22" t="s">
        <v>198</v>
      </c>
      <c r="G790" s="22" t="n">
        <v>32</v>
      </c>
      <c r="H790" s="22" t="s">
        <v>6575</v>
      </c>
      <c r="I790" s="22" t="s">
        <v>8601</v>
      </c>
      <c r="J790" s="22" t="n">
        <v>10.4</v>
      </c>
      <c r="K790" s="22" t="n">
        <v>1</v>
      </c>
      <c r="L790" s="22" t="s">
        <v>8602</v>
      </c>
      <c r="M790" s="23" t="n">
        <v>45458</v>
      </c>
      <c r="N790" s="22"/>
      <c r="O790" s="22"/>
      <c r="P790" s="22" t="s">
        <v>8603</v>
      </c>
      <c r="Q790" s="22"/>
      <c r="R790" s="22"/>
    </row>
    <row r="791" customFormat="false" ht="15" hidden="false" customHeight="false" outlineLevel="0" collapsed="false">
      <c r="A791" s="22" t="s">
        <v>9596</v>
      </c>
      <c r="B791" s="23" t="n">
        <v>45445</v>
      </c>
      <c r="C791" s="22" t="s">
        <v>1855</v>
      </c>
      <c r="D791" s="22" t="n">
        <v>649</v>
      </c>
      <c r="E791" s="22" t="s">
        <v>8158</v>
      </c>
      <c r="F791" s="22" t="s">
        <v>499</v>
      </c>
      <c r="G791" s="22" t="n">
        <v>80</v>
      </c>
      <c r="H791" s="22" t="s">
        <v>7696</v>
      </c>
      <c r="I791" s="22" t="s">
        <v>8601</v>
      </c>
      <c r="J791" s="22" t="n">
        <v>7.55</v>
      </c>
      <c r="K791" s="22" t="n">
        <v>1</v>
      </c>
      <c r="L791" s="22" t="s">
        <v>8608</v>
      </c>
      <c r="M791" s="23" t="n">
        <v>45459</v>
      </c>
      <c r="N791" s="23" t="n">
        <v>45455</v>
      </c>
      <c r="O791" s="22" t="n">
        <v>10</v>
      </c>
      <c r="P791" s="22"/>
      <c r="Q791" s="22"/>
      <c r="R791" s="22"/>
    </row>
    <row r="792" customFormat="false" ht="15" hidden="false" customHeight="false" outlineLevel="0" collapsed="false">
      <c r="A792" s="22" t="s">
        <v>9597</v>
      </c>
      <c r="B792" s="23" t="n">
        <v>45451</v>
      </c>
      <c r="C792" s="22" t="s">
        <v>5517</v>
      </c>
      <c r="D792" s="22" t="n">
        <v>2390</v>
      </c>
      <c r="E792" s="22" t="s">
        <v>8399</v>
      </c>
      <c r="F792" s="22" t="s">
        <v>188</v>
      </c>
      <c r="G792" s="22" t="n">
        <v>28</v>
      </c>
      <c r="H792" s="22" t="s">
        <v>7696</v>
      </c>
      <c r="I792" s="22" t="s">
        <v>8601</v>
      </c>
      <c r="J792" s="22" t="n">
        <v>7.55</v>
      </c>
      <c r="K792" s="22" t="n">
        <v>2</v>
      </c>
      <c r="L792" s="22" t="s">
        <v>8602</v>
      </c>
      <c r="M792" s="23" t="n">
        <v>45465</v>
      </c>
      <c r="N792" s="22"/>
      <c r="O792" s="22"/>
      <c r="P792" s="22" t="s">
        <v>8631</v>
      </c>
      <c r="Q792" s="22"/>
      <c r="R792" s="22"/>
    </row>
    <row r="793" customFormat="false" ht="15" hidden="false" customHeight="false" outlineLevel="0" collapsed="false">
      <c r="A793" s="22" t="s">
        <v>9598</v>
      </c>
      <c r="B793" s="23" t="n">
        <v>45452</v>
      </c>
      <c r="C793" s="22" t="s">
        <v>1176</v>
      </c>
      <c r="D793" s="22" t="n">
        <v>368</v>
      </c>
      <c r="E793" s="22" t="s">
        <v>7655</v>
      </c>
      <c r="F793" s="22" t="s">
        <v>159</v>
      </c>
      <c r="G793" s="22" t="n">
        <v>32</v>
      </c>
      <c r="H793" s="22" t="s">
        <v>6575</v>
      </c>
      <c r="I793" s="22" t="s">
        <v>8601</v>
      </c>
      <c r="J793" s="22" t="n">
        <v>10.4</v>
      </c>
      <c r="K793" s="22" t="n">
        <v>1</v>
      </c>
      <c r="L793" s="22" t="s">
        <v>8602</v>
      </c>
      <c r="M793" s="23" t="n">
        <v>45462</v>
      </c>
      <c r="N793" s="22"/>
      <c r="O793" s="22"/>
      <c r="P793" s="22" t="s">
        <v>8637</v>
      </c>
      <c r="Q793" s="22"/>
      <c r="R793" s="22"/>
    </row>
    <row r="794" customFormat="false" ht="15" hidden="false" customHeight="false" outlineLevel="0" collapsed="false">
      <c r="A794" s="22" t="s">
        <v>9599</v>
      </c>
      <c r="B794" s="23" t="n">
        <v>45452</v>
      </c>
      <c r="C794" s="22" t="s">
        <v>701</v>
      </c>
      <c r="D794" s="22" t="n">
        <v>187</v>
      </c>
      <c r="E794" s="22" t="s">
        <v>8419</v>
      </c>
      <c r="F794" s="22" t="s">
        <v>188</v>
      </c>
      <c r="G794" s="22" t="n">
        <v>32</v>
      </c>
      <c r="H794" s="22" t="s">
        <v>7696</v>
      </c>
      <c r="I794" s="22" t="s">
        <v>8601</v>
      </c>
      <c r="J794" s="22" t="n">
        <v>7.55</v>
      </c>
      <c r="K794" s="22" t="n">
        <v>1</v>
      </c>
      <c r="L794" s="22" t="s">
        <v>8629</v>
      </c>
      <c r="M794" s="23" t="n">
        <v>45466</v>
      </c>
      <c r="N794" s="23" t="n">
        <v>45455</v>
      </c>
      <c r="O794" s="22" t="n">
        <v>3</v>
      </c>
      <c r="P794" s="22"/>
      <c r="Q794" s="22"/>
      <c r="R794" s="22"/>
    </row>
    <row r="795" customFormat="false" ht="15" hidden="false" customHeight="false" outlineLevel="0" collapsed="false">
      <c r="A795" s="22" t="s">
        <v>9600</v>
      </c>
      <c r="B795" s="23" t="n">
        <v>45460</v>
      </c>
      <c r="C795" s="22" t="s">
        <v>2892</v>
      </c>
      <c r="D795" s="22" t="n">
        <v>1114</v>
      </c>
      <c r="E795" s="22" t="s">
        <v>7784</v>
      </c>
      <c r="F795" s="22" t="s">
        <v>215</v>
      </c>
      <c r="G795" s="22" t="n">
        <v>32</v>
      </c>
      <c r="H795" s="22" t="s">
        <v>7696</v>
      </c>
      <c r="I795" s="22" t="s">
        <v>8601</v>
      </c>
      <c r="J795" s="22" t="n">
        <v>7.55</v>
      </c>
      <c r="K795" s="22" t="n">
        <v>1</v>
      </c>
      <c r="L795" s="22" t="s">
        <v>8629</v>
      </c>
      <c r="M795" s="23" t="n">
        <v>45474</v>
      </c>
      <c r="N795" s="23" t="n">
        <v>45469</v>
      </c>
      <c r="O795" s="22" t="n">
        <v>9</v>
      </c>
      <c r="P795" s="22"/>
      <c r="Q795" s="22"/>
      <c r="R795" s="22"/>
    </row>
    <row r="796" customFormat="false" ht="15" hidden="false" customHeight="false" outlineLevel="0" collapsed="false">
      <c r="A796" s="22" t="s">
        <v>9601</v>
      </c>
      <c r="B796" s="23" t="n">
        <v>45467</v>
      </c>
      <c r="C796" s="22" t="s">
        <v>2977</v>
      </c>
      <c r="D796" s="22" t="n">
        <v>1153</v>
      </c>
      <c r="E796" s="22" t="s">
        <v>8240</v>
      </c>
      <c r="F796" s="22" t="s">
        <v>499</v>
      </c>
      <c r="G796" s="22" t="n">
        <v>24</v>
      </c>
      <c r="H796" s="22" t="s">
        <v>7696</v>
      </c>
      <c r="I796" s="22" t="s">
        <v>8601</v>
      </c>
      <c r="J796" s="22" t="n">
        <v>7.55</v>
      </c>
      <c r="K796" s="22" t="n">
        <v>1</v>
      </c>
      <c r="L796" s="22" t="s">
        <v>8605</v>
      </c>
      <c r="M796" s="23" t="n">
        <v>45481</v>
      </c>
      <c r="N796" s="23" t="n">
        <v>45480</v>
      </c>
      <c r="O796" s="22" t="n">
        <v>13</v>
      </c>
      <c r="P796" s="22"/>
      <c r="Q796" s="22" t="s">
        <v>7038</v>
      </c>
      <c r="R796" s="22"/>
    </row>
    <row r="797" customFormat="false" ht="15" hidden="false" customHeight="false" outlineLevel="0" collapsed="false">
      <c r="A797" s="22" t="s">
        <v>9602</v>
      </c>
      <c r="B797" s="23" t="n">
        <v>45469</v>
      </c>
      <c r="C797" s="22" t="s">
        <v>4199</v>
      </c>
      <c r="D797" s="22" t="n">
        <v>1740</v>
      </c>
      <c r="E797" s="22" t="s">
        <v>8546</v>
      </c>
      <c r="F797" s="22" t="s">
        <v>188</v>
      </c>
      <c r="G797" s="22" t="n">
        <v>28</v>
      </c>
      <c r="H797" s="22" t="s">
        <v>7696</v>
      </c>
      <c r="I797" s="22" t="s">
        <v>8601</v>
      </c>
      <c r="J797" s="22" t="n">
        <v>7.55</v>
      </c>
      <c r="K797" s="22" t="n">
        <v>1</v>
      </c>
      <c r="L797" s="22" t="s">
        <v>8605</v>
      </c>
      <c r="M797" s="23" t="n">
        <v>45483</v>
      </c>
      <c r="N797" s="23" t="n">
        <v>45476</v>
      </c>
      <c r="O797" s="22" t="n">
        <v>7</v>
      </c>
      <c r="P797" s="22"/>
      <c r="Q797" s="22" t="s">
        <v>7077</v>
      </c>
      <c r="R797" s="22"/>
    </row>
    <row r="798" customFormat="false" ht="15" hidden="false" customHeight="false" outlineLevel="0" collapsed="false">
      <c r="A798" s="22" t="s">
        <v>9603</v>
      </c>
      <c r="B798" s="23" t="n">
        <v>45456</v>
      </c>
      <c r="C798" s="22" t="s">
        <v>1983</v>
      </c>
      <c r="D798" s="22" t="n">
        <v>704</v>
      </c>
      <c r="E798" s="22" t="s">
        <v>6849</v>
      </c>
      <c r="F798" s="22" t="s">
        <v>198</v>
      </c>
      <c r="G798" s="22" t="n">
        <v>28</v>
      </c>
      <c r="H798" s="22" t="s">
        <v>6575</v>
      </c>
      <c r="I798" s="22" t="s">
        <v>8601</v>
      </c>
      <c r="J798" s="22" t="n">
        <v>10.4</v>
      </c>
      <c r="K798" s="22" t="n">
        <v>1</v>
      </c>
      <c r="L798" s="22" t="s">
        <v>8605</v>
      </c>
      <c r="M798" s="23" t="n">
        <v>45466</v>
      </c>
      <c r="N798" s="23" t="n">
        <v>45461</v>
      </c>
      <c r="O798" s="22" t="n">
        <v>5</v>
      </c>
      <c r="P798" s="22"/>
      <c r="Q798" s="22" t="s">
        <v>6850</v>
      </c>
      <c r="R798" s="22"/>
    </row>
    <row r="799" customFormat="false" ht="15" hidden="false" customHeight="false" outlineLevel="0" collapsed="false">
      <c r="A799" s="22" t="s">
        <v>9604</v>
      </c>
      <c r="B799" s="23" t="n">
        <v>45453</v>
      </c>
      <c r="C799" s="22" t="s">
        <v>3433</v>
      </c>
      <c r="D799" s="22" t="n">
        <v>1366</v>
      </c>
      <c r="E799" s="22" t="s">
        <v>7403</v>
      </c>
      <c r="F799" s="22" t="s">
        <v>159</v>
      </c>
      <c r="G799" s="22" t="n">
        <v>24</v>
      </c>
      <c r="H799" s="22" t="s">
        <v>6575</v>
      </c>
      <c r="I799" s="22" t="s">
        <v>8601</v>
      </c>
      <c r="J799" s="22" t="n">
        <v>10.4</v>
      </c>
      <c r="K799" s="22" t="n">
        <v>1</v>
      </c>
      <c r="L799" s="22" t="s">
        <v>8629</v>
      </c>
      <c r="M799" s="23" t="n">
        <v>45463</v>
      </c>
      <c r="N799" s="23" t="n">
        <v>45461</v>
      </c>
      <c r="O799" s="22" t="n">
        <v>8</v>
      </c>
      <c r="P799" s="22"/>
      <c r="Q799" s="22"/>
      <c r="R799" s="22"/>
    </row>
    <row r="800" customFormat="false" ht="15" hidden="false" customHeight="false" outlineLevel="0" collapsed="false">
      <c r="A800" s="22" t="s">
        <v>9605</v>
      </c>
      <c r="B800" s="23" t="n">
        <v>45444</v>
      </c>
      <c r="C800" s="22" t="s">
        <v>3048</v>
      </c>
      <c r="D800" s="22" t="n">
        <v>1184</v>
      </c>
      <c r="E800" s="22" t="s">
        <v>6894</v>
      </c>
      <c r="F800" s="22" t="s">
        <v>198</v>
      </c>
      <c r="G800" s="22" t="n">
        <v>24</v>
      </c>
      <c r="H800" s="22" t="s">
        <v>6575</v>
      </c>
      <c r="I800" s="22" t="s">
        <v>8601</v>
      </c>
      <c r="J800" s="22" t="n">
        <v>10.4</v>
      </c>
      <c r="K800" s="22" t="n">
        <v>1</v>
      </c>
      <c r="L800" s="22" t="s">
        <v>8605</v>
      </c>
      <c r="M800" s="23" t="n">
        <v>45454</v>
      </c>
      <c r="N800" s="23" t="n">
        <v>45457</v>
      </c>
      <c r="O800" s="22" t="n">
        <v>13</v>
      </c>
      <c r="P800" s="22"/>
      <c r="Q800" s="22" t="s">
        <v>6895</v>
      </c>
      <c r="R800" s="22"/>
    </row>
    <row r="801" customFormat="false" ht="15" hidden="false" customHeight="false" outlineLevel="0" collapsed="false">
      <c r="A801" s="22" t="s">
        <v>9606</v>
      </c>
      <c r="B801" s="23" t="n">
        <v>45461</v>
      </c>
      <c r="C801" s="22" t="s">
        <v>1347</v>
      </c>
      <c r="D801" s="22" t="n">
        <v>437</v>
      </c>
      <c r="E801" s="22" t="s">
        <v>7507</v>
      </c>
      <c r="F801" s="22" t="s">
        <v>159</v>
      </c>
      <c r="G801" s="22" t="n">
        <v>28</v>
      </c>
      <c r="H801" s="22" t="s">
        <v>6575</v>
      </c>
      <c r="I801" s="22" t="s">
        <v>8601</v>
      </c>
      <c r="J801" s="22" t="n">
        <v>10.4</v>
      </c>
      <c r="K801" s="22" t="n">
        <v>2</v>
      </c>
      <c r="L801" s="22" t="s">
        <v>8605</v>
      </c>
      <c r="M801" s="23" t="n">
        <v>45471</v>
      </c>
      <c r="N801" s="23" t="n">
        <v>45467</v>
      </c>
      <c r="O801" s="22" t="n">
        <v>6</v>
      </c>
      <c r="P801" s="22"/>
      <c r="Q801" s="22" t="s">
        <v>6945</v>
      </c>
      <c r="R801" s="22"/>
    </row>
    <row r="802" customFormat="false" ht="15" hidden="false" customHeight="false" outlineLevel="0" collapsed="false">
      <c r="A802" s="22" t="s">
        <v>9607</v>
      </c>
      <c r="B802" s="23" t="n">
        <v>45457</v>
      </c>
      <c r="C802" s="22" t="s">
        <v>2523</v>
      </c>
      <c r="D802" s="22" t="n">
        <v>948</v>
      </c>
      <c r="E802" s="22" t="s">
        <v>8474</v>
      </c>
      <c r="F802" s="22" t="s">
        <v>188</v>
      </c>
      <c r="G802" s="22" t="n">
        <v>40</v>
      </c>
      <c r="H802" s="22" t="s">
        <v>7696</v>
      </c>
      <c r="I802" s="22" t="s">
        <v>8601</v>
      </c>
      <c r="J802" s="22" t="n">
        <v>7.55</v>
      </c>
      <c r="K802" s="22" t="n">
        <v>1</v>
      </c>
      <c r="L802" s="22" t="s">
        <v>8629</v>
      </c>
      <c r="M802" s="23" t="n">
        <v>45471</v>
      </c>
      <c r="N802" s="23" t="n">
        <v>45474</v>
      </c>
      <c r="O802" s="22" t="n">
        <v>17</v>
      </c>
      <c r="P802" s="22"/>
      <c r="Q802" s="22"/>
      <c r="R802" s="22"/>
    </row>
    <row r="803" customFormat="false" ht="15" hidden="false" customHeight="false" outlineLevel="0" collapsed="false">
      <c r="A803" s="22" t="s">
        <v>9608</v>
      </c>
      <c r="B803" s="23" t="n">
        <v>45465</v>
      </c>
      <c r="C803" s="22" t="s">
        <v>3549</v>
      </c>
      <c r="D803" s="22" t="n">
        <v>1422</v>
      </c>
      <c r="E803" s="22" t="s">
        <v>8109</v>
      </c>
      <c r="F803" s="22" t="s">
        <v>499</v>
      </c>
      <c r="G803" s="22" t="n">
        <v>32</v>
      </c>
      <c r="H803" s="22" t="s">
        <v>7696</v>
      </c>
      <c r="I803" s="22" t="s">
        <v>8601</v>
      </c>
      <c r="J803" s="22" t="n">
        <v>7.55</v>
      </c>
      <c r="K803" s="22" t="n">
        <v>1</v>
      </c>
      <c r="L803" s="22" t="s">
        <v>8605</v>
      </c>
      <c r="M803" s="23" t="n">
        <v>45479</v>
      </c>
      <c r="N803" s="23" t="n">
        <v>45472</v>
      </c>
      <c r="O803" s="22" t="n">
        <v>7</v>
      </c>
      <c r="P803" s="22"/>
      <c r="Q803" s="22" t="s">
        <v>6743</v>
      </c>
      <c r="R803" s="22"/>
    </row>
    <row r="804" customFormat="false" ht="15" hidden="false" customHeight="false" outlineLevel="0" collapsed="false">
      <c r="A804" s="22" t="s">
        <v>9609</v>
      </c>
      <c r="B804" s="23" t="n">
        <v>45469</v>
      </c>
      <c r="C804" s="22" t="s">
        <v>6117</v>
      </c>
      <c r="D804" s="22" t="n">
        <v>2688</v>
      </c>
      <c r="E804" s="22" t="s">
        <v>8563</v>
      </c>
      <c r="F804" s="22" t="s">
        <v>188</v>
      </c>
      <c r="G804" s="22" t="n">
        <v>36</v>
      </c>
      <c r="H804" s="22" t="s">
        <v>7696</v>
      </c>
      <c r="I804" s="22" t="s">
        <v>8601</v>
      </c>
      <c r="J804" s="22" t="n">
        <v>7.55</v>
      </c>
      <c r="K804" s="22" t="n">
        <v>1</v>
      </c>
      <c r="L804" s="22" t="s">
        <v>157</v>
      </c>
      <c r="M804" s="23" t="n">
        <v>45483</v>
      </c>
      <c r="N804" s="23" t="n">
        <v>45474</v>
      </c>
      <c r="O804" s="22" t="n">
        <v>5</v>
      </c>
      <c r="P804" s="22"/>
      <c r="Q804" s="22"/>
      <c r="R804" s="22"/>
    </row>
    <row r="805" customFormat="false" ht="15" hidden="false" customHeight="false" outlineLevel="0" collapsed="false">
      <c r="A805" s="22" t="s">
        <v>9610</v>
      </c>
      <c r="B805" s="23" t="n">
        <v>45497</v>
      </c>
      <c r="C805" s="22" t="s">
        <v>3977</v>
      </c>
      <c r="D805" s="22" t="n">
        <v>1632</v>
      </c>
      <c r="E805" s="22" t="s">
        <v>7679</v>
      </c>
      <c r="F805" s="22" t="s">
        <v>159</v>
      </c>
      <c r="G805" s="22" t="n">
        <v>24</v>
      </c>
      <c r="H805" s="22" t="s">
        <v>6575</v>
      </c>
      <c r="I805" s="22" t="s">
        <v>8601</v>
      </c>
      <c r="J805" s="22" t="n">
        <v>10.4</v>
      </c>
      <c r="K805" s="22" t="n">
        <v>1</v>
      </c>
      <c r="L805" s="22" t="s">
        <v>8605</v>
      </c>
      <c r="M805" s="23" t="n">
        <v>45507</v>
      </c>
      <c r="N805" s="23" t="n">
        <v>45502</v>
      </c>
      <c r="O805" s="22" t="n">
        <v>5</v>
      </c>
      <c r="P805" s="22"/>
      <c r="Q805" s="22" t="s">
        <v>7228</v>
      </c>
      <c r="R805" s="22"/>
    </row>
    <row r="806" customFormat="false" ht="15" hidden="false" customHeight="false" outlineLevel="0" collapsed="false">
      <c r="A806" s="22" t="s">
        <v>9611</v>
      </c>
      <c r="B806" s="23" t="n">
        <v>45498</v>
      </c>
      <c r="C806" s="22" t="s">
        <v>606</v>
      </c>
      <c r="D806" s="22" t="n">
        <v>152</v>
      </c>
      <c r="E806" s="22" t="s">
        <v>8483</v>
      </c>
      <c r="F806" s="22" t="s">
        <v>188</v>
      </c>
      <c r="G806" s="22" t="n">
        <v>32</v>
      </c>
      <c r="H806" s="22" t="s">
        <v>7696</v>
      </c>
      <c r="I806" s="22" t="s">
        <v>8601</v>
      </c>
      <c r="J806" s="22" t="n">
        <v>7.55</v>
      </c>
      <c r="K806" s="22" t="n">
        <v>1</v>
      </c>
      <c r="L806" s="22" t="s">
        <v>8629</v>
      </c>
      <c r="M806" s="23" t="n">
        <v>45512</v>
      </c>
      <c r="N806" s="23" t="n">
        <v>45511</v>
      </c>
      <c r="O806" s="22" t="n">
        <v>13</v>
      </c>
      <c r="P806" s="22"/>
      <c r="Q806" s="22"/>
      <c r="R806" s="22"/>
    </row>
    <row r="807" customFormat="false" ht="15" hidden="false" customHeight="false" outlineLevel="0" collapsed="false">
      <c r="A807" s="22" t="s">
        <v>9612</v>
      </c>
      <c r="B807" s="23" t="n">
        <v>45488</v>
      </c>
      <c r="C807" s="22" t="s">
        <v>3383</v>
      </c>
      <c r="D807" s="22" t="n">
        <v>1342</v>
      </c>
      <c r="E807" s="22" t="s">
        <v>7151</v>
      </c>
      <c r="F807" s="22" t="s">
        <v>198</v>
      </c>
      <c r="G807" s="22" t="n">
        <v>28</v>
      </c>
      <c r="H807" s="22" t="s">
        <v>6575</v>
      </c>
      <c r="I807" s="22" t="s">
        <v>8601</v>
      </c>
      <c r="J807" s="22" t="n">
        <v>10.4</v>
      </c>
      <c r="K807" s="22" t="n">
        <v>1</v>
      </c>
      <c r="L807" s="22" t="s">
        <v>8605</v>
      </c>
      <c r="M807" s="23" t="n">
        <v>45498</v>
      </c>
      <c r="N807" s="23" t="n">
        <v>45489</v>
      </c>
      <c r="O807" s="22" t="n">
        <v>1</v>
      </c>
      <c r="P807" s="22"/>
      <c r="Q807" s="22" t="s">
        <v>7152</v>
      </c>
      <c r="R807" s="22"/>
    </row>
    <row r="808" customFormat="false" ht="15" hidden="false" customHeight="false" outlineLevel="0" collapsed="false">
      <c r="A808" s="22" t="s">
        <v>9613</v>
      </c>
      <c r="B808" s="23" t="n">
        <v>45492</v>
      </c>
      <c r="C808" s="22" t="s">
        <v>6175</v>
      </c>
      <c r="D808" s="22" t="n">
        <v>2718</v>
      </c>
      <c r="E808" s="22" t="s">
        <v>7967</v>
      </c>
      <c r="F808" s="22" t="s">
        <v>215</v>
      </c>
      <c r="G808" s="22" t="n">
        <v>28</v>
      </c>
      <c r="H808" s="22" t="s">
        <v>7696</v>
      </c>
      <c r="I808" s="22" t="s">
        <v>8601</v>
      </c>
      <c r="J808" s="22" t="n">
        <v>7.55</v>
      </c>
      <c r="K808" s="22" t="n">
        <v>1</v>
      </c>
      <c r="L808" s="22" t="s">
        <v>8605</v>
      </c>
      <c r="M808" s="23" t="n">
        <v>45506</v>
      </c>
      <c r="N808" s="23" t="n">
        <v>45502</v>
      </c>
      <c r="O808" s="22" t="n">
        <v>10</v>
      </c>
      <c r="P808" s="22"/>
      <c r="Q808" s="22" t="s">
        <v>7127</v>
      </c>
      <c r="R808" s="22"/>
    </row>
    <row r="809" customFormat="false" ht="15" hidden="false" customHeight="false" outlineLevel="0" collapsed="false">
      <c r="A809" s="22" t="s">
        <v>9614</v>
      </c>
      <c r="B809" s="23" t="n">
        <v>45477</v>
      </c>
      <c r="C809" s="22" t="s">
        <v>3425</v>
      </c>
      <c r="D809" s="22" t="n">
        <v>1362</v>
      </c>
      <c r="E809" s="22" t="s">
        <v>7654</v>
      </c>
      <c r="F809" s="22" t="s">
        <v>159</v>
      </c>
      <c r="G809" s="22" t="n">
        <v>36</v>
      </c>
      <c r="H809" s="22" t="s">
        <v>6575</v>
      </c>
      <c r="I809" s="22" t="s">
        <v>8601</v>
      </c>
      <c r="J809" s="22" t="n">
        <v>10.4</v>
      </c>
      <c r="K809" s="22" t="n">
        <v>2</v>
      </c>
      <c r="L809" s="22" t="s">
        <v>8605</v>
      </c>
      <c r="M809" s="23" t="n">
        <v>45487</v>
      </c>
      <c r="N809" s="23" t="n">
        <v>45490</v>
      </c>
      <c r="O809" s="22" t="n">
        <v>13</v>
      </c>
      <c r="P809" s="22"/>
      <c r="Q809" s="22" t="s">
        <v>7183</v>
      </c>
      <c r="R809" s="22"/>
    </row>
    <row r="810" customFormat="false" ht="15" hidden="false" customHeight="false" outlineLevel="0" collapsed="false">
      <c r="A810" s="22" t="s">
        <v>9615</v>
      </c>
      <c r="B810" s="23" t="n">
        <v>45480</v>
      </c>
      <c r="C810" s="22" t="s">
        <v>2513</v>
      </c>
      <c r="D810" s="22" t="n">
        <v>943</v>
      </c>
      <c r="E810" s="22" t="s">
        <v>8169</v>
      </c>
      <c r="F810" s="22" t="s">
        <v>499</v>
      </c>
      <c r="G810" s="22" t="n">
        <v>45</v>
      </c>
      <c r="H810" s="22" t="s">
        <v>7696</v>
      </c>
      <c r="I810" s="22" t="s">
        <v>8601</v>
      </c>
      <c r="J810" s="22" t="n">
        <v>7.55</v>
      </c>
      <c r="K810" s="22" t="n">
        <v>1</v>
      </c>
      <c r="L810" s="22" t="s">
        <v>8629</v>
      </c>
      <c r="M810" s="23" t="n">
        <v>45494</v>
      </c>
      <c r="N810" s="23" t="n">
        <v>45483</v>
      </c>
      <c r="O810" s="22" t="n">
        <v>3</v>
      </c>
      <c r="P810" s="22"/>
      <c r="Q810" s="22"/>
      <c r="R810" s="22"/>
    </row>
    <row r="811" customFormat="false" ht="15" hidden="false" customHeight="false" outlineLevel="0" collapsed="false">
      <c r="A811" s="22" t="s">
        <v>9616</v>
      </c>
      <c r="B811" s="23" t="n">
        <v>45489</v>
      </c>
      <c r="C811" s="22" t="s">
        <v>4359</v>
      </c>
      <c r="D811" s="22" t="n">
        <v>1818</v>
      </c>
      <c r="E811" s="22" t="s">
        <v>6938</v>
      </c>
      <c r="F811" s="22" t="s">
        <v>198</v>
      </c>
      <c r="G811" s="22" t="n">
        <v>40</v>
      </c>
      <c r="H811" s="22" t="s">
        <v>6575</v>
      </c>
      <c r="I811" s="22" t="s">
        <v>8601</v>
      </c>
      <c r="J811" s="22" t="n">
        <v>10.4</v>
      </c>
      <c r="K811" s="22" t="n">
        <v>1</v>
      </c>
      <c r="L811" s="22" t="s">
        <v>8605</v>
      </c>
      <c r="M811" s="23" t="n">
        <v>45499</v>
      </c>
      <c r="N811" s="23" t="n">
        <v>45490</v>
      </c>
      <c r="O811" s="22" t="n">
        <v>1</v>
      </c>
      <c r="P811" s="22"/>
      <c r="Q811" s="22" t="s">
        <v>6939</v>
      </c>
      <c r="R811" s="22"/>
    </row>
    <row r="812" customFormat="false" ht="15" hidden="false" customHeight="false" outlineLevel="0" collapsed="false">
      <c r="A812" s="22" t="s">
        <v>9617</v>
      </c>
      <c r="B812" s="23" t="n">
        <v>45485</v>
      </c>
      <c r="C812" s="22" t="s">
        <v>1999</v>
      </c>
      <c r="D812" s="22" t="n">
        <v>711</v>
      </c>
      <c r="E812" s="22" t="s">
        <v>6851</v>
      </c>
      <c r="F812" s="22" t="s">
        <v>198</v>
      </c>
      <c r="G812" s="22" t="n">
        <v>32</v>
      </c>
      <c r="H812" s="22" t="s">
        <v>6575</v>
      </c>
      <c r="I812" s="22" t="s">
        <v>8601</v>
      </c>
      <c r="J812" s="22" t="n">
        <v>10.4</v>
      </c>
      <c r="K812" s="22" t="n">
        <v>1</v>
      </c>
      <c r="L812" s="22" t="s">
        <v>8629</v>
      </c>
      <c r="M812" s="23" t="n">
        <v>45495</v>
      </c>
      <c r="N812" s="23" t="n">
        <v>45498</v>
      </c>
      <c r="O812" s="22" t="n">
        <v>13</v>
      </c>
      <c r="P812" s="22"/>
      <c r="Q812" s="22"/>
      <c r="R812" s="22"/>
    </row>
    <row r="813" customFormat="false" ht="15" hidden="false" customHeight="false" outlineLevel="0" collapsed="false">
      <c r="A813" s="22" t="s">
        <v>9618</v>
      </c>
      <c r="B813" s="23" t="n">
        <v>45474</v>
      </c>
      <c r="C813" s="22" t="s">
        <v>737</v>
      </c>
      <c r="D813" s="22" t="n">
        <v>200</v>
      </c>
      <c r="E813" s="22" t="s">
        <v>6757</v>
      </c>
      <c r="F813" s="22" t="s">
        <v>198</v>
      </c>
      <c r="G813" s="22" t="n">
        <v>32</v>
      </c>
      <c r="H813" s="22" t="s">
        <v>6575</v>
      </c>
      <c r="I813" s="22" t="s">
        <v>8601</v>
      </c>
      <c r="J813" s="22" t="n">
        <v>10.4</v>
      </c>
      <c r="K813" s="22" t="n">
        <v>2</v>
      </c>
      <c r="L813" s="22" t="s">
        <v>8629</v>
      </c>
      <c r="M813" s="23" t="n">
        <v>45484</v>
      </c>
      <c r="N813" s="23" t="n">
        <v>45484</v>
      </c>
      <c r="O813" s="22" t="n">
        <v>10</v>
      </c>
      <c r="P813" s="22"/>
      <c r="Q813" s="22"/>
      <c r="R813" s="22"/>
    </row>
    <row r="814" customFormat="false" ht="15" hidden="false" customHeight="false" outlineLevel="0" collapsed="false">
      <c r="A814" s="22" t="s">
        <v>9619</v>
      </c>
      <c r="B814" s="23" t="n">
        <v>45475</v>
      </c>
      <c r="C814" s="22" t="s">
        <v>2854</v>
      </c>
      <c r="D814" s="22" t="n">
        <v>1097</v>
      </c>
      <c r="E814" s="22" t="s">
        <v>6690</v>
      </c>
      <c r="F814" s="22" t="s">
        <v>198</v>
      </c>
      <c r="G814" s="22" t="n">
        <v>28</v>
      </c>
      <c r="H814" s="22" t="s">
        <v>6575</v>
      </c>
      <c r="I814" s="22" t="s">
        <v>8601</v>
      </c>
      <c r="J814" s="22" t="n">
        <v>10.4</v>
      </c>
      <c r="K814" s="22" t="n">
        <v>1</v>
      </c>
      <c r="L814" s="22" t="s">
        <v>157</v>
      </c>
      <c r="M814" s="23" t="n">
        <v>45485</v>
      </c>
      <c r="N814" s="23" t="n">
        <v>45486</v>
      </c>
      <c r="O814" s="22" t="n">
        <v>11</v>
      </c>
      <c r="P814" s="22"/>
      <c r="Q814" s="22"/>
      <c r="R814" s="22"/>
    </row>
    <row r="815" customFormat="false" ht="15" hidden="false" customHeight="false" outlineLevel="0" collapsed="false">
      <c r="A815" s="22" t="s">
        <v>9620</v>
      </c>
      <c r="B815" s="23" t="n">
        <v>45489</v>
      </c>
      <c r="C815" s="22" t="s">
        <v>1147</v>
      </c>
      <c r="D815" s="22" t="n">
        <v>356</v>
      </c>
      <c r="E815" s="22" t="s">
        <v>7566</v>
      </c>
      <c r="F815" s="22" t="s">
        <v>159</v>
      </c>
      <c r="G815" s="22" t="n">
        <v>32</v>
      </c>
      <c r="H815" s="22" t="s">
        <v>6575</v>
      </c>
      <c r="I815" s="22" t="s">
        <v>8601</v>
      </c>
      <c r="J815" s="22" t="n">
        <v>10.4</v>
      </c>
      <c r="K815" s="22" t="n">
        <v>1</v>
      </c>
      <c r="L815" s="22" t="s">
        <v>157</v>
      </c>
      <c r="M815" s="23" t="n">
        <v>45499</v>
      </c>
      <c r="N815" s="23" t="n">
        <v>45493</v>
      </c>
      <c r="O815" s="22" t="n">
        <v>4</v>
      </c>
      <c r="P815" s="22"/>
      <c r="Q815" s="22"/>
      <c r="R815" s="22"/>
    </row>
    <row r="816" customFormat="false" ht="15" hidden="false" customHeight="false" outlineLevel="0" collapsed="false">
      <c r="A816" s="22" t="s">
        <v>9621</v>
      </c>
      <c r="B816" s="23" t="n">
        <v>45481</v>
      </c>
      <c r="C816" s="22" t="s">
        <v>6253</v>
      </c>
      <c r="D816" s="22" t="n">
        <v>2757</v>
      </c>
      <c r="E816" s="22" t="s">
        <v>7698</v>
      </c>
      <c r="F816" s="22" t="s">
        <v>215</v>
      </c>
      <c r="G816" s="22" t="n">
        <v>24</v>
      </c>
      <c r="H816" s="22" t="s">
        <v>7696</v>
      </c>
      <c r="I816" s="22" t="s">
        <v>8601</v>
      </c>
      <c r="J816" s="22" t="n">
        <v>7.55</v>
      </c>
      <c r="K816" s="22" t="n">
        <v>1</v>
      </c>
      <c r="L816" s="22" t="s">
        <v>8629</v>
      </c>
      <c r="M816" s="23" t="n">
        <v>45495</v>
      </c>
      <c r="N816" s="23" t="n">
        <v>45486</v>
      </c>
      <c r="O816" s="22" t="n">
        <v>5</v>
      </c>
      <c r="P816" s="22"/>
      <c r="Q816" s="22"/>
      <c r="R816" s="22"/>
    </row>
    <row r="817" customFormat="false" ht="15" hidden="false" customHeight="false" outlineLevel="0" collapsed="false">
      <c r="A817" s="22" t="s">
        <v>9622</v>
      </c>
      <c r="B817" s="23" t="n">
        <v>45486</v>
      </c>
      <c r="C817" s="22" t="s">
        <v>1284</v>
      </c>
      <c r="D817" s="22" t="n">
        <v>411</v>
      </c>
      <c r="E817" s="22" t="s">
        <v>8472</v>
      </c>
      <c r="F817" s="22" t="s">
        <v>188</v>
      </c>
      <c r="G817" s="22" t="n">
        <v>45</v>
      </c>
      <c r="H817" s="22" t="s">
        <v>7696</v>
      </c>
      <c r="I817" s="22" t="s">
        <v>8601</v>
      </c>
      <c r="J817" s="22" t="n">
        <v>7.55</v>
      </c>
      <c r="K817" s="22" t="n">
        <v>1</v>
      </c>
      <c r="L817" s="22" t="s">
        <v>157</v>
      </c>
      <c r="M817" s="23" t="n">
        <v>45500</v>
      </c>
      <c r="N817" s="23" t="n">
        <v>45496</v>
      </c>
      <c r="O817" s="22" t="n">
        <v>10</v>
      </c>
      <c r="P817" s="22"/>
      <c r="Q817" s="22"/>
      <c r="R817" s="22"/>
    </row>
    <row r="818" customFormat="false" ht="15" hidden="false" customHeight="false" outlineLevel="0" collapsed="false">
      <c r="A818" s="22" t="s">
        <v>9623</v>
      </c>
      <c r="B818" s="23" t="n">
        <v>45496</v>
      </c>
      <c r="C818" s="22" t="s">
        <v>4248</v>
      </c>
      <c r="D818" s="22" t="n">
        <v>1764</v>
      </c>
      <c r="E818" s="22" t="s">
        <v>8086</v>
      </c>
      <c r="F818" s="22" t="s">
        <v>499</v>
      </c>
      <c r="G818" s="22" t="n">
        <v>28</v>
      </c>
      <c r="H818" s="22" t="s">
        <v>7696</v>
      </c>
      <c r="I818" s="22" t="s">
        <v>8601</v>
      </c>
      <c r="J818" s="22" t="n">
        <v>7.55</v>
      </c>
      <c r="K818" s="22" t="n">
        <v>1</v>
      </c>
      <c r="L818" s="22" t="s">
        <v>8613</v>
      </c>
      <c r="M818" s="23" t="n">
        <v>45510</v>
      </c>
      <c r="N818" s="22"/>
      <c r="O818" s="22"/>
      <c r="P818" s="22"/>
      <c r="Q818" s="22"/>
      <c r="R818" s="22"/>
    </row>
    <row r="819" customFormat="false" ht="15" hidden="false" customHeight="false" outlineLevel="0" collapsed="false">
      <c r="A819" s="22" t="s">
        <v>9624</v>
      </c>
      <c r="B819" s="23" t="n">
        <v>45501</v>
      </c>
      <c r="C819" s="22" t="s">
        <v>2395</v>
      </c>
      <c r="D819" s="22" t="n">
        <v>889</v>
      </c>
      <c r="E819" s="22" t="s">
        <v>8074</v>
      </c>
      <c r="F819" s="22" t="s">
        <v>499</v>
      </c>
      <c r="G819" s="22" t="n">
        <v>24</v>
      </c>
      <c r="H819" s="22" t="s">
        <v>7696</v>
      </c>
      <c r="I819" s="22" t="s">
        <v>8601</v>
      </c>
      <c r="J819" s="22" t="n">
        <v>7.55</v>
      </c>
      <c r="K819" s="22" t="n">
        <v>1</v>
      </c>
      <c r="L819" s="22" t="s">
        <v>8602</v>
      </c>
      <c r="M819" s="23" t="n">
        <v>45515</v>
      </c>
      <c r="N819" s="22"/>
      <c r="O819" s="22"/>
      <c r="P819" s="22" t="s">
        <v>8603</v>
      </c>
      <c r="Q819" s="22"/>
      <c r="R819" s="22"/>
    </row>
    <row r="820" customFormat="false" ht="15" hidden="false" customHeight="false" outlineLevel="0" collapsed="false">
      <c r="A820" s="22" t="s">
        <v>9625</v>
      </c>
      <c r="B820" s="23" t="n">
        <v>45494</v>
      </c>
      <c r="C820" s="22" t="s">
        <v>5006</v>
      </c>
      <c r="D820" s="22" t="n">
        <v>2135</v>
      </c>
      <c r="E820" s="22" t="s">
        <v>7813</v>
      </c>
      <c r="F820" s="22" t="s">
        <v>215</v>
      </c>
      <c r="G820" s="22" t="n">
        <v>28</v>
      </c>
      <c r="H820" s="22" t="s">
        <v>7696</v>
      </c>
      <c r="I820" s="22" t="s">
        <v>8601</v>
      </c>
      <c r="J820" s="22" t="n">
        <v>7.55</v>
      </c>
      <c r="K820" s="22" t="n">
        <v>2</v>
      </c>
      <c r="L820" s="22" t="s">
        <v>8629</v>
      </c>
      <c r="M820" s="23" t="n">
        <v>45508</v>
      </c>
      <c r="N820" s="23" t="n">
        <v>45505</v>
      </c>
      <c r="O820" s="22" t="n">
        <v>11</v>
      </c>
      <c r="P820" s="22"/>
      <c r="Q820" s="22"/>
      <c r="R820" s="22"/>
    </row>
    <row r="821" customFormat="false" ht="15" hidden="false" customHeight="false" outlineLevel="0" collapsed="false">
      <c r="A821" s="22" t="s">
        <v>9626</v>
      </c>
      <c r="B821" s="23" t="n">
        <v>45477</v>
      </c>
      <c r="C821" s="22" t="s">
        <v>2043</v>
      </c>
      <c r="D821" s="22" t="n">
        <v>730</v>
      </c>
      <c r="E821" s="22" t="s">
        <v>7984</v>
      </c>
      <c r="F821" s="22" t="s">
        <v>215</v>
      </c>
      <c r="G821" s="22" t="n">
        <v>70</v>
      </c>
      <c r="H821" s="22" t="s">
        <v>7696</v>
      </c>
      <c r="I821" s="22" t="s">
        <v>8601</v>
      </c>
      <c r="J821" s="22" t="n">
        <v>7.55</v>
      </c>
      <c r="K821" s="22" t="n">
        <v>2</v>
      </c>
      <c r="L821" s="22" t="s">
        <v>8605</v>
      </c>
      <c r="M821" s="23" t="n">
        <v>45491</v>
      </c>
      <c r="N821" s="23" t="n">
        <v>45490</v>
      </c>
      <c r="O821" s="22" t="n">
        <v>13</v>
      </c>
      <c r="P821" s="22"/>
      <c r="Q821" s="22" t="s">
        <v>7157</v>
      </c>
      <c r="R821" s="22"/>
    </row>
    <row r="822" customFormat="false" ht="15" hidden="false" customHeight="false" outlineLevel="0" collapsed="false">
      <c r="A822" s="22" t="s">
        <v>9627</v>
      </c>
      <c r="B822" s="23" t="n">
        <v>45499</v>
      </c>
      <c r="C822" s="22" t="s">
        <v>5266</v>
      </c>
      <c r="D822" s="22" t="n">
        <v>2263</v>
      </c>
      <c r="E822" s="22" t="s">
        <v>6996</v>
      </c>
      <c r="F822" s="22" t="s">
        <v>198</v>
      </c>
      <c r="G822" s="22" t="n">
        <v>40</v>
      </c>
      <c r="H822" s="22" t="s">
        <v>6575</v>
      </c>
      <c r="I822" s="22" t="s">
        <v>8601</v>
      </c>
      <c r="J822" s="22" t="n">
        <v>10.4</v>
      </c>
      <c r="K822" s="22" t="n">
        <v>1</v>
      </c>
      <c r="L822" s="22" t="s">
        <v>8605</v>
      </c>
      <c r="M822" s="23" t="n">
        <v>45509</v>
      </c>
      <c r="N822" s="23" t="n">
        <v>45508</v>
      </c>
      <c r="O822" s="22" t="n">
        <v>9</v>
      </c>
      <c r="P822" s="22"/>
      <c r="Q822" s="22" t="s">
        <v>6997</v>
      </c>
      <c r="R822" s="22"/>
    </row>
    <row r="823" customFormat="false" ht="15" hidden="false" customHeight="false" outlineLevel="0" collapsed="false">
      <c r="A823" s="22" t="s">
        <v>9628</v>
      </c>
      <c r="B823" s="23" t="n">
        <v>45488</v>
      </c>
      <c r="C823" s="22" t="s">
        <v>1043</v>
      </c>
      <c r="D823" s="22" t="n">
        <v>316</v>
      </c>
      <c r="E823" s="22" t="s">
        <v>6991</v>
      </c>
      <c r="F823" s="22" t="s">
        <v>198</v>
      </c>
      <c r="G823" s="22" t="n">
        <v>32</v>
      </c>
      <c r="H823" s="22" t="s">
        <v>6575</v>
      </c>
      <c r="I823" s="22" t="s">
        <v>8601</v>
      </c>
      <c r="J823" s="22" t="n">
        <v>10.4</v>
      </c>
      <c r="K823" s="22" t="n">
        <v>1</v>
      </c>
      <c r="L823" s="22" t="s">
        <v>8605</v>
      </c>
      <c r="M823" s="23" t="n">
        <v>45498</v>
      </c>
      <c r="N823" s="23" t="n">
        <v>45495</v>
      </c>
      <c r="O823" s="22" t="n">
        <v>7</v>
      </c>
      <c r="P823" s="22"/>
      <c r="Q823" s="22" t="s">
        <v>6992</v>
      </c>
      <c r="R823" s="22"/>
    </row>
    <row r="824" customFormat="false" ht="15" hidden="false" customHeight="false" outlineLevel="0" collapsed="false">
      <c r="A824" s="22" t="s">
        <v>9629</v>
      </c>
      <c r="B824" s="23" t="n">
        <v>45478</v>
      </c>
      <c r="C824" s="22" t="s">
        <v>1950</v>
      </c>
      <c r="D824" s="22" t="n">
        <v>691</v>
      </c>
      <c r="E824" s="22" t="s">
        <v>7243</v>
      </c>
      <c r="F824" s="22" t="s">
        <v>198</v>
      </c>
      <c r="G824" s="22" t="n">
        <v>32</v>
      </c>
      <c r="H824" s="22" t="s">
        <v>6575</v>
      </c>
      <c r="I824" s="22" t="s">
        <v>8601</v>
      </c>
      <c r="J824" s="22" t="n">
        <v>10.4</v>
      </c>
      <c r="K824" s="22" t="n">
        <v>1</v>
      </c>
      <c r="L824" s="22" t="s">
        <v>8602</v>
      </c>
      <c r="M824" s="23" t="n">
        <v>45488</v>
      </c>
      <c r="N824" s="22"/>
      <c r="O824" s="22"/>
      <c r="P824" s="22" t="s">
        <v>8637</v>
      </c>
      <c r="Q824" s="22"/>
      <c r="R824" s="22"/>
    </row>
    <row r="825" customFormat="false" ht="15" hidden="false" customHeight="false" outlineLevel="0" collapsed="false">
      <c r="A825" s="22" t="s">
        <v>9630</v>
      </c>
      <c r="B825" s="23" t="n">
        <v>45487</v>
      </c>
      <c r="C825" s="22" t="s">
        <v>4424</v>
      </c>
      <c r="D825" s="22" t="n">
        <v>1850</v>
      </c>
      <c r="E825" s="22" t="s">
        <v>8347</v>
      </c>
      <c r="F825" s="22" t="s">
        <v>188</v>
      </c>
      <c r="G825" s="22" t="n">
        <v>40</v>
      </c>
      <c r="H825" s="22" t="s">
        <v>7696</v>
      </c>
      <c r="I825" s="22" t="s">
        <v>8601</v>
      </c>
      <c r="J825" s="22" t="n">
        <v>7.55</v>
      </c>
      <c r="K825" s="22" t="n">
        <v>1</v>
      </c>
      <c r="L825" s="22" t="s">
        <v>8602</v>
      </c>
      <c r="M825" s="23" t="n">
        <v>45501</v>
      </c>
      <c r="N825" s="22"/>
      <c r="O825" s="22"/>
      <c r="P825" s="22" t="s">
        <v>8603</v>
      </c>
      <c r="Q825" s="22"/>
      <c r="R825" s="22"/>
    </row>
    <row r="826" customFormat="false" ht="15" hidden="false" customHeight="false" outlineLevel="0" collapsed="false">
      <c r="A826" s="22" t="s">
        <v>9631</v>
      </c>
      <c r="B826" s="23" t="n">
        <v>45479</v>
      </c>
      <c r="C826" s="22" t="s">
        <v>1822</v>
      </c>
      <c r="D826" s="22" t="n">
        <v>635</v>
      </c>
      <c r="E826" s="22" t="s">
        <v>6808</v>
      </c>
      <c r="F826" s="22" t="s">
        <v>198</v>
      </c>
      <c r="G826" s="22" t="n">
        <v>28</v>
      </c>
      <c r="H826" s="22" t="s">
        <v>6575</v>
      </c>
      <c r="I826" s="22" t="s">
        <v>8601</v>
      </c>
      <c r="J826" s="22" t="n">
        <v>10.4</v>
      </c>
      <c r="K826" s="22" t="n">
        <v>2</v>
      </c>
      <c r="L826" s="22" t="s">
        <v>8629</v>
      </c>
      <c r="M826" s="23" t="n">
        <v>45489</v>
      </c>
      <c r="N826" s="23" t="n">
        <v>45490</v>
      </c>
      <c r="O826" s="22" t="n">
        <v>11</v>
      </c>
      <c r="P826" s="22"/>
      <c r="Q826" s="22"/>
      <c r="R826" s="22"/>
    </row>
    <row r="827" customFormat="false" ht="15" hidden="false" customHeight="false" outlineLevel="0" collapsed="false">
      <c r="A827" s="22" t="s">
        <v>9632</v>
      </c>
      <c r="B827" s="23" t="n">
        <v>45500</v>
      </c>
      <c r="C827" s="22" t="s">
        <v>5166</v>
      </c>
      <c r="D827" s="22" t="n">
        <v>2214</v>
      </c>
      <c r="E827" s="22" t="s">
        <v>7406</v>
      </c>
      <c r="F827" s="22" t="s">
        <v>159</v>
      </c>
      <c r="G827" s="22" t="n">
        <v>36</v>
      </c>
      <c r="H827" s="22" t="s">
        <v>6575</v>
      </c>
      <c r="I827" s="22" t="s">
        <v>8601</v>
      </c>
      <c r="J827" s="22" t="n">
        <v>10.4</v>
      </c>
      <c r="K827" s="22" t="n">
        <v>1</v>
      </c>
      <c r="L827" s="22" t="s">
        <v>8605</v>
      </c>
      <c r="M827" s="23" t="n">
        <v>45510</v>
      </c>
      <c r="N827" s="23" t="n">
        <v>45503</v>
      </c>
      <c r="O827" s="22" t="n">
        <v>3</v>
      </c>
      <c r="P827" s="22"/>
      <c r="Q827" s="22" t="s">
        <v>6767</v>
      </c>
      <c r="R827" s="22"/>
    </row>
    <row r="828" customFormat="false" ht="15" hidden="false" customHeight="false" outlineLevel="0" collapsed="false">
      <c r="A828" s="22" t="s">
        <v>9633</v>
      </c>
      <c r="B828" s="23" t="n">
        <v>45495</v>
      </c>
      <c r="C828" s="22" t="s">
        <v>2904</v>
      </c>
      <c r="D828" s="22" t="n">
        <v>1119</v>
      </c>
      <c r="E828" s="22" t="s">
        <v>7170</v>
      </c>
      <c r="F828" s="22" t="s">
        <v>198</v>
      </c>
      <c r="G828" s="22" t="n">
        <v>36</v>
      </c>
      <c r="H828" s="22" t="s">
        <v>6575</v>
      </c>
      <c r="I828" s="22" t="s">
        <v>8601</v>
      </c>
      <c r="J828" s="22" t="n">
        <v>10.4</v>
      </c>
      <c r="K828" s="22" t="n">
        <v>1</v>
      </c>
      <c r="L828" s="22" t="s">
        <v>8605</v>
      </c>
      <c r="M828" s="23" t="n">
        <v>45505</v>
      </c>
      <c r="N828" s="23" t="n">
        <v>45505</v>
      </c>
      <c r="O828" s="22" t="n">
        <v>10</v>
      </c>
      <c r="P828" s="22"/>
      <c r="Q828" s="22" t="s">
        <v>7171</v>
      </c>
      <c r="R828" s="22"/>
    </row>
    <row r="829" customFormat="false" ht="15" hidden="false" customHeight="false" outlineLevel="0" collapsed="false">
      <c r="A829" s="22" t="s">
        <v>9634</v>
      </c>
      <c r="B829" s="23" t="n">
        <v>45522</v>
      </c>
      <c r="C829" s="22" t="s">
        <v>6263</v>
      </c>
      <c r="D829" s="22" t="n">
        <v>2762</v>
      </c>
      <c r="E829" s="22" t="s">
        <v>6894</v>
      </c>
      <c r="F829" s="22" t="s">
        <v>198</v>
      </c>
      <c r="G829" s="22" t="n">
        <v>24</v>
      </c>
      <c r="H829" s="22" t="s">
        <v>6575</v>
      </c>
      <c r="I829" s="22" t="s">
        <v>8601</v>
      </c>
      <c r="J829" s="22" t="n">
        <v>10.4</v>
      </c>
      <c r="K829" s="22" t="n">
        <v>1</v>
      </c>
      <c r="L829" s="22" t="s">
        <v>8602</v>
      </c>
      <c r="M829" s="23" t="n">
        <v>45532</v>
      </c>
      <c r="N829" s="22"/>
      <c r="O829" s="22"/>
      <c r="P829" s="22" t="s">
        <v>8603</v>
      </c>
      <c r="Q829" s="22"/>
      <c r="R829" s="22"/>
    </row>
    <row r="830" customFormat="false" ht="15" hidden="false" customHeight="false" outlineLevel="0" collapsed="false">
      <c r="A830" s="22" t="s">
        <v>9635</v>
      </c>
      <c r="B830" s="23" t="n">
        <v>45510</v>
      </c>
      <c r="C830" s="22" t="s">
        <v>5824</v>
      </c>
      <c r="D830" s="22" t="n">
        <v>2542</v>
      </c>
      <c r="E830" s="22" t="s">
        <v>8419</v>
      </c>
      <c r="F830" s="22" t="s">
        <v>188</v>
      </c>
      <c r="G830" s="22" t="n">
        <v>32</v>
      </c>
      <c r="H830" s="22" t="s">
        <v>7696</v>
      </c>
      <c r="I830" s="22" t="s">
        <v>8601</v>
      </c>
      <c r="J830" s="22" t="n">
        <v>7.55</v>
      </c>
      <c r="K830" s="22" t="n">
        <v>1</v>
      </c>
      <c r="L830" s="22" t="s">
        <v>8602</v>
      </c>
      <c r="M830" s="23" t="n">
        <v>45524</v>
      </c>
      <c r="N830" s="22"/>
      <c r="O830" s="22"/>
      <c r="P830" s="22" t="s">
        <v>8603</v>
      </c>
      <c r="Q830" s="22"/>
      <c r="R830" s="22"/>
    </row>
    <row r="831" customFormat="false" ht="15" hidden="false" customHeight="false" outlineLevel="0" collapsed="false">
      <c r="A831" s="22" t="s">
        <v>9636</v>
      </c>
      <c r="B831" s="23" t="n">
        <v>45520</v>
      </c>
      <c r="C831" s="22" t="s">
        <v>6257</v>
      </c>
      <c r="D831" s="22" t="n">
        <v>2759</v>
      </c>
      <c r="E831" s="22" t="s">
        <v>8064</v>
      </c>
      <c r="F831" s="22" t="s">
        <v>499</v>
      </c>
      <c r="G831" s="22" t="n">
        <v>80</v>
      </c>
      <c r="H831" s="22" t="s">
        <v>7696</v>
      </c>
      <c r="I831" s="22" t="s">
        <v>8601</v>
      </c>
      <c r="J831" s="22" t="n">
        <v>7.55</v>
      </c>
      <c r="K831" s="22" t="n">
        <v>1</v>
      </c>
      <c r="L831" s="22" t="s">
        <v>8602</v>
      </c>
      <c r="M831" s="23" t="n">
        <v>45534</v>
      </c>
      <c r="N831" s="22"/>
      <c r="O831" s="22"/>
      <c r="P831" s="22" t="s">
        <v>8618</v>
      </c>
      <c r="Q831" s="22"/>
      <c r="R831" s="22"/>
    </row>
    <row r="832" customFormat="false" ht="15" hidden="false" customHeight="false" outlineLevel="0" collapsed="false">
      <c r="A832" s="22" t="s">
        <v>9637</v>
      </c>
      <c r="B832" s="23" t="n">
        <v>45514</v>
      </c>
      <c r="C832" s="22" t="s">
        <v>155</v>
      </c>
      <c r="D832" s="22" t="n">
        <v>1</v>
      </c>
      <c r="E832" s="22" t="s">
        <v>7666</v>
      </c>
      <c r="F832" s="22" t="s">
        <v>159</v>
      </c>
      <c r="G832" s="22" t="n">
        <v>36</v>
      </c>
      <c r="H832" s="22" t="s">
        <v>6575</v>
      </c>
      <c r="I832" s="22" t="s">
        <v>8601</v>
      </c>
      <c r="J832" s="22" t="n">
        <v>10.4</v>
      </c>
      <c r="K832" s="22" t="n">
        <v>2</v>
      </c>
      <c r="L832" s="22" t="s">
        <v>8602</v>
      </c>
      <c r="M832" s="23" t="n">
        <v>45524</v>
      </c>
      <c r="N832" s="22"/>
      <c r="O832" s="22"/>
      <c r="P832" s="22" t="s">
        <v>8618</v>
      </c>
      <c r="Q832" s="22"/>
      <c r="R832" s="22"/>
    </row>
    <row r="833" customFormat="false" ht="15" hidden="false" customHeight="false" outlineLevel="0" collapsed="false">
      <c r="A833" s="22" t="s">
        <v>9638</v>
      </c>
      <c r="B833" s="23" t="n">
        <v>45516</v>
      </c>
      <c r="C833" s="22" t="s">
        <v>5552</v>
      </c>
      <c r="D833" s="22" t="n">
        <v>2407</v>
      </c>
      <c r="E833" s="22" t="s">
        <v>7794</v>
      </c>
      <c r="F833" s="22" t="s">
        <v>215</v>
      </c>
      <c r="G833" s="22" t="n">
        <v>70</v>
      </c>
      <c r="H833" s="22" t="s">
        <v>7696</v>
      </c>
      <c r="I833" s="22" t="s">
        <v>8601</v>
      </c>
      <c r="J833" s="22" t="n">
        <v>7.55</v>
      </c>
      <c r="K833" s="22" t="n">
        <v>1</v>
      </c>
      <c r="L833" s="22" t="s">
        <v>8605</v>
      </c>
      <c r="M833" s="23" t="n">
        <v>45530</v>
      </c>
      <c r="N833" s="23" t="n">
        <v>45530</v>
      </c>
      <c r="O833" s="22" t="n">
        <v>14</v>
      </c>
      <c r="P833" s="22"/>
      <c r="Q833" s="22" t="s">
        <v>7413</v>
      </c>
      <c r="R833" s="22"/>
    </row>
    <row r="834" customFormat="false" ht="15" hidden="false" customHeight="false" outlineLevel="0" collapsed="false">
      <c r="A834" s="22" t="s">
        <v>9639</v>
      </c>
      <c r="B834" s="23" t="n">
        <v>45530</v>
      </c>
      <c r="C834" s="22" t="s">
        <v>1096</v>
      </c>
      <c r="D834" s="22" t="n">
        <v>336</v>
      </c>
      <c r="E834" s="22" t="s">
        <v>8035</v>
      </c>
      <c r="F834" s="22" t="s">
        <v>499</v>
      </c>
      <c r="G834" s="22" t="n">
        <v>40</v>
      </c>
      <c r="H834" s="22" t="s">
        <v>7696</v>
      </c>
      <c r="I834" s="22" t="s">
        <v>8601</v>
      </c>
      <c r="J834" s="22" t="n">
        <v>7.55</v>
      </c>
      <c r="K834" s="22" t="n">
        <v>1</v>
      </c>
      <c r="L834" s="22" t="s">
        <v>8605</v>
      </c>
      <c r="M834" s="23" t="n">
        <v>45544</v>
      </c>
      <c r="N834" s="23" t="n">
        <v>45533</v>
      </c>
      <c r="O834" s="22" t="n">
        <v>3</v>
      </c>
      <c r="P834" s="22"/>
      <c r="Q834" s="22" t="s">
        <v>6583</v>
      </c>
      <c r="R834" s="22"/>
    </row>
    <row r="835" customFormat="false" ht="15" hidden="false" customHeight="false" outlineLevel="0" collapsed="false">
      <c r="A835" s="22" t="s">
        <v>9640</v>
      </c>
      <c r="B835" s="23" t="n">
        <v>45523</v>
      </c>
      <c r="C835" s="22" t="s">
        <v>4137</v>
      </c>
      <c r="D835" s="22" t="n">
        <v>1710</v>
      </c>
      <c r="E835" s="22" t="s">
        <v>8483</v>
      </c>
      <c r="F835" s="22" t="s">
        <v>188</v>
      </c>
      <c r="G835" s="22" t="n">
        <v>32</v>
      </c>
      <c r="H835" s="22" t="s">
        <v>7696</v>
      </c>
      <c r="I835" s="22" t="s">
        <v>8601</v>
      </c>
      <c r="J835" s="22" t="n">
        <v>7.55</v>
      </c>
      <c r="K835" s="22" t="n">
        <v>1</v>
      </c>
      <c r="L835" s="22" t="s">
        <v>8629</v>
      </c>
      <c r="M835" s="23" t="n">
        <v>45537</v>
      </c>
      <c r="N835" s="23" t="n">
        <v>45537</v>
      </c>
      <c r="O835" s="22" t="n">
        <v>14</v>
      </c>
      <c r="P835" s="22"/>
      <c r="Q835" s="22"/>
      <c r="R835" s="22"/>
    </row>
    <row r="836" customFormat="false" ht="15" hidden="false" customHeight="false" outlineLevel="0" collapsed="false">
      <c r="A836" s="22" t="s">
        <v>9641</v>
      </c>
      <c r="B836" s="23" t="n">
        <v>45521</v>
      </c>
      <c r="C836" s="22" t="s">
        <v>905</v>
      </c>
      <c r="D836" s="22" t="n">
        <v>264</v>
      </c>
      <c r="E836" s="22" t="s">
        <v>7151</v>
      </c>
      <c r="F836" s="22" t="s">
        <v>198</v>
      </c>
      <c r="G836" s="22" t="n">
        <v>28</v>
      </c>
      <c r="H836" s="22" t="s">
        <v>6575</v>
      </c>
      <c r="I836" s="22" t="s">
        <v>8601</v>
      </c>
      <c r="J836" s="22" t="n">
        <v>10.4</v>
      </c>
      <c r="K836" s="22" t="n">
        <v>1</v>
      </c>
      <c r="L836" s="22" t="s">
        <v>8605</v>
      </c>
      <c r="M836" s="23" t="n">
        <v>45531</v>
      </c>
      <c r="N836" s="23" t="n">
        <v>45523</v>
      </c>
      <c r="O836" s="22" t="n">
        <v>2</v>
      </c>
      <c r="P836" s="22"/>
      <c r="Q836" s="22" t="s">
        <v>7152</v>
      </c>
      <c r="R836" s="22"/>
    </row>
    <row r="837" customFormat="false" ht="15" hidden="false" customHeight="false" outlineLevel="0" collapsed="false">
      <c r="A837" s="22" t="s">
        <v>9642</v>
      </c>
      <c r="B837" s="23" t="n">
        <v>45516</v>
      </c>
      <c r="C837" s="22" t="s">
        <v>1421</v>
      </c>
      <c r="D837" s="22" t="n">
        <v>468</v>
      </c>
      <c r="E837" s="22" t="s">
        <v>8009</v>
      </c>
      <c r="F837" s="22" t="s">
        <v>215</v>
      </c>
      <c r="G837" s="22" t="n">
        <v>32</v>
      </c>
      <c r="H837" s="22" t="s">
        <v>7696</v>
      </c>
      <c r="I837" s="22" t="s">
        <v>8601</v>
      </c>
      <c r="J837" s="22" t="n">
        <v>7.55</v>
      </c>
      <c r="K837" s="22" t="n">
        <v>1</v>
      </c>
      <c r="L837" s="22" t="s">
        <v>8605</v>
      </c>
      <c r="M837" s="23" t="n">
        <v>45530</v>
      </c>
      <c r="N837" s="23" t="n">
        <v>45518</v>
      </c>
      <c r="O837" s="22" t="n">
        <v>2</v>
      </c>
      <c r="P837" s="22"/>
      <c r="Q837" s="22" t="s">
        <v>7205</v>
      </c>
      <c r="R837" s="22"/>
    </row>
    <row r="838" customFormat="false" ht="15" hidden="false" customHeight="false" outlineLevel="0" collapsed="false">
      <c r="A838" s="22" t="s">
        <v>9643</v>
      </c>
      <c r="B838" s="23" t="n">
        <v>45516</v>
      </c>
      <c r="C838" s="22" t="s">
        <v>1067</v>
      </c>
      <c r="D838" s="22" t="n">
        <v>324</v>
      </c>
      <c r="E838" s="22" t="s">
        <v>7003</v>
      </c>
      <c r="F838" s="22" t="s">
        <v>198</v>
      </c>
      <c r="G838" s="22" t="n">
        <v>32</v>
      </c>
      <c r="H838" s="22" t="s">
        <v>6575</v>
      </c>
      <c r="I838" s="22" t="s">
        <v>8601</v>
      </c>
      <c r="J838" s="22" t="n">
        <v>10.4</v>
      </c>
      <c r="K838" s="22" t="n">
        <v>1</v>
      </c>
      <c r="L838" s="22" t="s">
        <v>8608</v>
      </c>
      <c r="M838" s="23" t="n">
        <v>45526</v>
      </c>
      <c r="N838" s="23" t="n">
        <v>45517</v>
      </c>
      <c r="O838" s="22" t="n">
        <v>1</v>
      </c>
      <c r="P838" s="22"/>
      <c r="Q838" s="22"/>
      <c r="R838" s="22"/>
    </row>
    <row r="839" customFormat="false" ht="15" hidden="false" customHeight="false" outlineLevel="0" collapsed="false">
      <c r="A839" s="22" t="s">
        <v>9644</v>
      </c>
      <c r="B839" s="23" t="n">
        <v>45529</v>
      </c>
      <c r="C839" s="22" t="s">
        <v>4304</v>
      </c>
      <c r="D839" s="22" t="n">
        <v>1791</v>
      </c>
      <c r="E839" s="22" t="s">
        <v>8375</v>
      </c>
      <c r="F839" s="22" t="s">
        <v>188</v>
      </c>
      <c r="G839" s="22" t="n">
        <v>45</v>
      </c>
      <c r="H839" s="22" t="s">
        <v>7696</v>
      </c>
      <c r="I839" s="22" t="s">
        <v>8601</v>
      </c>
      <c r="J839" s="22" t="n">
        <v>7.55</v>
      </c>
      <c r="K839" s="22" t="n">
        <v>1</v>
      </c>
      <c r="L839" s="22" t="s">
        <v>8602</v>
      </c>
      <c r="M839" s="23" t="n">
        <v>45543</v>
      </c>
      <c r="N839" s="22"/>
      <c r="O839" s="22"/>
      <c r="P839" s="22" t="s">
        <v>8603</v>
      </c>
      <c r="Q839" s="22"/>
      <c r="R839" s="22"/>
    </row>
    <row r="840" customFormat="false" ht="15" hidden="false" customHeight="false" outlineLevel="0" collapsed="false">
      <c r="A840" s="22" t="s">
        <v>9645</v>
      </c>
      <c r="B840" s="23" t="n">
        <v>45527</v>
      </c>
      <c r="C840" s="22" t="s">
        <v>5647</v>
      </c>
      <c r="D840" s="22" t="n">
        <v>2454</v>
      </c>
      <c r="E840" s="22" t="s">
        <v>6684</v>
      </c>
      <c r="F840" s="22" t="s">
        <v>198</v>
      </c>
      <c r="G840" s="22" t="n">
        <v>24</v>
      </c>
      <c r="H840" s="22" t="s">
        <v>6575</v>
      </c>
      <c r="I840" s="22" t="s">
        <v>8601</v>
      </c>
      <c r="J840" s="22" t="n">
        <v>10.4</v>
      </c>
      <c r="K840" s="22" t="n">
        <v>1</v>
      </c>
      <c r="L840" s="22" t="s">
        <v>8605</v>
      </c>
      <c r="M840" s="23" t="n">
        <v>45537</v>
      </c>
      <c r="N840" s="23" t="n">
        <v>45532</v>
      </c>
      <c r="O840" s="22" t="n">
        <v>5</v>
      </c>
      <c r="P840" s="22"/>
      <c r="Q840" s="22" t="s">
        <v>6685</v>
      </c>
      <c r="R840" s="22"/>
    </row>
    <row r="841" customFormat="false" ht="15" hidden="false" customHeight="false" outlineLevel="0" collapsed="false">
      <c r="A841" s="22" t="s">
        <v>9646</v>
      </c>
      <c r="B841" s="23" t="n">
        <v>45510</v>
      </c>
      <c r="C841" s="22" t="s">
        <v>3560</v>
      </c>
      <c r="D841" s="22" t="n">
        <v>1428</v>
      </c>
      <c r="E841" s="22" t="s">
        <v>7883</v>
      </c>
      <c r="F841" s="22" t="s">
        <v>215</v>
      </c>
      <c r="G841" s="22" t="n">
        <v>28</v>
      </c>
      <c r="H841" s="22" t="s">
        <v>7696</v>
      </c>
      <c r="I841" s="22" t="s">
        <v>8601</v>
      </c>
      <c r="J841" s="22" t="n">
        <v>7.55</v>
      </c>
      <c r="K841" s="22" t="n">
        <v>1</v>
      </c>
      <c r="L841" s="22" t="s">
        <v>8629</v>
      </c>
      <c r="M841" s="23" t="n">
        <v>45524</v>
      </c>
      <c r="N841" s="23" t="n">
        <v>45521</v>
      </c>
      <c r="O841" s="22" t="n">
        <v>11</v>
      </c>
      <c r="P841" s="22"/>
      <c r="Q841" s="22"/>
      <c r="R841" s="22"/>
    </row>
    <row r="842" customFormat="false" ht="15" hidden="false" customHeight="false" outlineLevel="0" collapsed="false">
      <c r="A842" s="22" t="s">
        <v>9647</v>
      </c>
      <c r="B842" s="23" t="n">
        <v>45506</v>
      </c>
      <c r="C842" s="22" t="s">
        <v>1009</v>
      </c>
      <c r="D842" s="22" t="n">
        <v>303</v>
      </c>
      <c r="E842" s="22" t="s">
        <v>7499</v>
      </c>
      <c r="F842" s="22" t="s">
        <v>159</v>
      </c>
      <c r="G842" s="22" t="n">
        <v>28</v>
      </c>
      <c r="H842" s="22" t="s">
        <v>6575</v>
      </c>
      <c r="I842" s="22" t="s">
        <v>8601</v>
      </c>
      <c r="J842" s="22" t="n">
        <v>10.4</v>
      </c>
      <c r="K842" s="22" t="n">
        <v>2</v>
      </c>
      <c r="L842" s="22" t="s">
        <v>8605</v>
      </c>
      <c r="M842" s="23" t="n">
        <v>45516</v>
      </c>
      <c r="N842" s="23" t="n">
        <v>45518</v>
      </c>
      <c r="O842" s="22" t="n">
        <v>12</v>
      </c>
      <c r="P842" s="22"/>
      <c r="Q842" s="22" t="s">
        <v>6926</v>
      </c>
      <c r="R842" s="22"/>
    </row>
    <row r="843" customFormat="false" ht="15" hidden="false" customHeight="false" outlineLevel="0" collapsed="false">
      <c r="A843" s="22" t="s">
        <v>9648</v>
      </c>
      <c r="B843" s="23" t="n">
        <v>45521</v>
      </c>
      <c r="C843" s="22" t="s">
        <v>5245</v>
      </c>
      <c r="D843" s="22" t="n">
        <v>2253</v>
      </c>
      <c r="E843" s="22" t="s">
        <v>7368</v>
      </c>
      <c r="F843" s="22" t="s">
        <v>159</v>
      </c>
      <c r="G843" s="22" t="n">
        <v>28</v>
      </c>
      <c r="H843" s="22" t="s">
        <v>6575</v>
      </c>
      <c r="I843" s="22" t="s">
        <v>8601</v>
      </c>
      <c r="J843" s="22" t="n">
        <v>10.4</v>
      </c>
      <c r="K843" s="22" t="n">
        <v>1</v>
      </c>
      <c r="L843" s="22" t="s">
        <v>8605</v>
      </c>
      <c r="M843" s="23" t="n">
        <v>45531</v>
      </c>
      <c r="N843" s="23" t="n">
        <v>45528</v>
      </c>
      <c r="O843" s="22" t="n">
        <v>7</v>
      </c>
      <c r="P843" s="22"/>
      <c r="Q843" s="22" t="s">
        <v>6706</v>
      </c>
      <c r="R843" s="22"/>
    </row>
    <row r="844" customFormat="false" ht="15" hidden="false" customHeight="false" outlineLevel="0" collapsed="false">
      <c r="A844" s="22" t="s">
        <v>9649</v>
      </c>
      <c r="B844" s="23" t="n">
        <v>45505</v>
      </c>
      <c r="C844" s="22" t="s">
        <v>4832</v>
      </c>
      <c r="D844" s="22" t="n">
        <v>2049</v>
      </c>
      <c r="E844" s="22" t="s">
        <v>8313</v>
      </c>
      <c r="F844" s="22" t="s">
        <v>499</v>
      </c>
      <c r="G844" s="22" t="n">
        <v>60</v>
      </c>
      <c r="H844" s="22" t="s">
        <v>7696</v>
      </c>
      <c r="I844" s="22" t="s">
        <v>8601</v>
      </c>
      <c r="J844" s="22" t="n">
        <v>7.55</v>
      </c>
      <c r="K844" s="22" t="n">
        <v>1</v>
      </c>
      <c r="L844" s="22" t="s">
        <v>157</v>
      </c>
      <c r="M844" s="23" t="n">
        <v>45519</v>
      </c>
      <c r="N844" s="23" t="n">
        <v>45511</v>
      </c>
      <c r="O844" s="22" t="n">
        <v>6</v>
      </c>
      <c r="P844" s="22"/>
      <c r="Q844" s="22"/>
      <c r="R844" s="22"/>
    </row>
    <row r="845" customFormat="false" ht="15" hidden="false" customHeight="false" outlineLevel="0" collapsed="false">
      <c r="A845" s="22" t="s">
        <v>9650</v>
      </c>
      <c r="B845" s="23" t="n">
        <v>45515</v>
      </c>
      <c r="C845" s="22" t="s">
        <v>3484</v>
      </c>
      <c r="D845" s="22" t="n">
        <v>1390</v>
      </c>
      <c r="E845" s="22" t="s">
        <v>8146</v>
      </c>
      <c r="F845" s="22" t="s">
        <v>499</v>
      </c>
      <c r="G845" s="22" t="n">
        <v>24</v>
      </c>
      <c r="H845" s="22" t="s">
        <v>7696</v>
      </c>
      <c r="I845" s="22" t="s">
        <v>8601</v>
      </c>
      <c r="J845" s="22" t="n">
        <v>7.55</v>
      </c>
      <c r="K845" s="22" t="n">
        <v>1</v>
      </c>
      <c r="L845" s="22" t="s">
        <v>8605</v>
      </c>
      <c r="M845" s="23" t="n">
        <v>45529</v>
      </c>
      <c r="N845" s="23" t="n">
        <v>45528</v>
      </c>
      <c r="O845" s="22" t="n">
        <v>13</v>
      </c>
      <c r="P845" s="22"/>
      <c r="Q845" s="22" t="s">
        <v>6824</v>
      </c>
      <c r="R845" s="22"/>
    </row>
    <row r="846" customFormat="false" ht="15" hidden="false" customHeight="false" outlineLevel="0" collapsed="false">
      <c r="A846" s="22" t="s">
        <v>9651</v>
      </c>
      <c r="B846" s="23" t="n">
        <v>45532</v>
      </c>
      <c r="C846" s="22" t="s">
        <v>2635</v>
      </c>
      <c r="D846" s="22" t="n">
        <v>998</v>
      </c>
      <c r="E846" s="22" t="s">
        <v>7723</v>
      </c>
      <c r="F846" s="22" t="s">
        <v>215</v>
      </c>
      <c r="G846" s="22" t="n">
        <v>45</v>
      </c>
      <c r="H846" s="22" t="s">
        <v>7696</v>
      </c>
      <c r="I846" s="22" t="s">
        <v>8601</v>
      </c>
      <c r="J846" s="22" t="n">
        <v>7.55</v>
      </c>
      <c r="K846" s="22" t="n">
        <v>2</v>
      </c>
      <c r="L846" s="22" t="s">
        <v>8602</v>
      </c>
      <c r="M846" s="23" t="n">
        <v>45546</v>
      </c>
      <c r="N846" s="22"/>
      <c r="O846" s="22"/>
      <c r="P846" s="22" t="s">
        <v>8603</v>
      </c>
      <c r="Q846" s="22"/>
      <c r="R846" s="22"/>
    </row>
    <row r="847" customFormat="false" ht="15" hidden="false" customHeight="false" outlineLevel="0" collapsed="false">
      <c r="A847" s="22" t="s">
        <v>9652</v>
      </c>
      <c r="B847" s="23" t="n">
        <v>45521</v>
      </c>
      <c r="C847" s="22" t="s">
        <v>1300</v>
      </c>
      <c r="D847" s="22" t="n">
        <v>417</v>
      </c>
      <c r="E847" s="22" t="s">
        <v>8370</v>
      </c>
      <c r="F847" s="22" t="s">
        <v>188</v>
      </c>
      <c r="G847" s="22" t="n">
        <v>80</v>
      </c>
      <c r="H847" s="22" t="s">
        <v>7696</v>
      </c>
      <c r="I847" s="22" t="s">
        <v>8601</v>
      </c>
      <c r="J847" s="22" t="n">
        <v>7.55</v>
      </c>
      <c r="K847" s="22" t="n">
        <v>1</v>
      </c>
      <c r="L847" s="22" t="s">
        <v>157</v>
      </c>
      <c r="M847" s="23" t="n">
        <v>45535</v>
      </c>
      <c r="N847" s="23" t="n">
        <v>45522</v>
      </c>
      <c r="O847" s="22" t="n">
        <v>1</v>
      </c>
      <c r="P847" s="22"/>
      <c r="Q847" s="22"/>
      <c r="R847" s="22"/>
    </row>
    <row r="848" customFormat="false" ht="15" hidden="false" customHeight="false" outlineLevel="0" collapsed="false">
      <c r="A848" s="22" t="s">
        <v>9653</v>
      </c>
      <c r="B848" s="23" t="n">
        <v>45514</v>
      </c>
      <c r="C848" s="22" t="s">
        <v>2828</v>
      </c>
      <c r="D848" s="22" t="n">
        <v>1085</v>
      </c>
      <c r="E848" s="22" t="s">
        <v>6947</v>
      </c>
      <c r="F848" s="22" t="s">
        <v>198</v>
      </c>
      <c r="G848" s="22" t="n">
        <v>40</v>
      </c>
      <c r="H848" s="22" t="s">
        <v>6575</v>
      </c>
      <c r="I848" s="22" t="s">
        <v>8601</v>
      </c>
      <c r="J848" s="22" t="n">
        <v>10.4</v>
      </c>
      <c r="K848" s="22" t="n">
        <v>1</v>
      </c>
      <c r="L848" s="22" t="s">
        <v>8613</v>
      </c>
      <c r="M848" s="23" t="n">
        <v>45524</v>
      </c>
      <c r="N848" s="22"/>
      <c r="O848" s="22"/>
      <c r="P848" s="22"/>
      <c r="Q848" s="22"/>
      <c r="R848" s="22"/>
    </row>
    <row r="849" customFormat="false" ht="15" hidden="false" customHeight="false" outlineLevel="0" collapsed="false">
      <c r="A849" s="22" t="s">
        <v>9654</v>
      </c>
      <c r="B849" s="23" t="n">
        <v>45525</v>
      </c>
      <c r="C849" s="22" t="s">
        <v>2270</v>
      </c>
      <c r="D849" s="22" t="n">
        <v>832</v>
      </c>
      <c r="E849" s="22" t="s">
        <v>7603</v>
      </c>
      <c r="F849" s="22" t="s">
        <v>159</v>
      </c>
      <c r="G849" s="22" t="n">
        <v>28</v>
      </c>
      <c r="H849" s="22" t="s">
        <v>6575</v>
      </c>
      <c r="I849" s="22" t="s">
        <v>8601</v>
      </c>
      <c r="J849" s="22" t="n">
        <v>10.4</v>
      </c>
      <c r="K849" s="22" t="n">
        <v>2</v>
      </c>
      <c r="L849" s="22" t="s">
        <v>8608</v>
      </c>
      <c r="M849" s="23" t="n">
        <v>45535</v>
      </c>
      <c r="N849" s="23" t="n">
        <v>45532</v>
      </c>
      <c r="O849" s="22" t="n">
        <v>7</v>
      </c>
      <c r="P849" s="22"/>
      <c r="Q849" s="22"/>
      <c r="R849" s="22"/>
    </row>
    <row r="850" customFormat="false" ht="15" hidden="false" customHeight="false" outlineLevel="0" collapsed="false">
      <c r="A850" s="22" t="s">
        <v>9655</v>
      </c>
      <c r="B850" s="23" t="n">
        <v>45526</v>
      </c>
      <c r="C850" s="22" t="s">
        <v>6003</v>
      </c>
      <c r="D850" s="22" t="n">
        <v>2632</v>
      </c>
      <c r="E850" s="22" t="s">
        <v>7422</v>
      </c>
      <c r="F850" s="22" t="s">
        <v>159</v>
      </c>
      <c r="G850" s="22" t="n">
        <v>36</v>
      </c>
      <c r="H850" s="22" t="s">
        <v>6575</v>
      </c>
      <c r="I850" s="22" t="s">
        <v>8601</v>
      </c>
      <c r="J850" s="22" t="n">
        <v>10.4</v>
      </c>
      <c r="K850" s="22" t="n">
        <v>2</v>
      </c>
      <c r="L850" s="22" t="s">
        <v>8605</v>
      </c>
      <c r="M850" s="23" t="n">
        <v>45536</v>
      </c>
      <c r="N850" s="23" t="n">
        <v>45531</v>
      </c>
      <c r="O850" s="22" t="n">
        <v>5</v>
      </c>
      <c r="P850" s="22"/>
      <c r="Q850" s="22" t="s">
        <v>6788</v>
      </c>
      <c r="R850" s="22"/>
    </row>
    <row r="851" customFormat="false" ht="15" hidden="false" customHeight="false" outlineLevel="0" collapsed="false">
      <c r="A851" s="22" t="s">
        <v>9656</v>
      </c>
      <c r="B851" s="23" t="n">
        <v>45512</v>
      </c>
      <c r="C851" s="22" t="s">
        <v>5897</v>
      </c>
      <c r="D851" s="22" t="n">
        <v>2579</v>
      </c>
      <c r="E851" s="22" t="s">
        <v>7932</v>
      </c>
      <c r="F851" s="22" t="s">
        <v>215</v>
      </c>
      <c r="G851" s="22" t="n">
        <v>45</v>
      </c>
      <c r="H851" s="22" t="s">
        <v>7696</v>
      </c>
      <c r="I851" s="22" t="s">
        <v>8601</v>
      </c>
      <c r="J851" s="22" t="n">
        <v>7.55</v>
      </c>
      <c r="K851" s="22" t="n">
        <v>1</v>
      </c>
      <c r="L851" s="22" t="s">
        <v>157</v>
      </c>
      <c r="M851" s="23" t="n">
        <v>45526</v>
      </c>
      <c r="N851" s="23" t="n">
        <v>45523</v>
      </c>
      <c r="O851" s="22" t="n">
        <v>11</v>
      </c>
      <c r="P851" s="22"/>
      <c r="Q851" s="22"/>
      <c r="R851" s="22"/>
    </row>
    <row r="852" customFormat="false" ht="15" hidden="false" customHeight="false" outlineLevel="0" collapsed="false">
      <c r="A852" s="22" t="s">
        <v>9657</v>
      </c>
      <c r="B852" s="23" t="n">
        <v>45521</v>
      </c>
      <c r="C852" s="22" t="s">
        <v>4651</v>
      </c>
      <c r="D852" s="22" t="n">
        <v>1961</v>
      </c>
      <c r="E852" s="22" t="s">
        <v>7132</v>
      </c>
      <c r="F852" s="22" t="s">
        <v>198</v>
      </c>
      <c r="G852" s="22" t="n">
        <v>36</v>
      </c>
      <c r="H852" s="22" t="s">
        <v>6575</v>
      </c>
      <c r="I852" s="22" t="s">
        <v>8601</v>
      </c>
      <c r="J852" s="22" t="n">
        <v>10.4</v>
      </c>
      <c r="K852" s="22" t="n">
        <v>2</v>
      </c>
      <c r="L852" s="22" t="s">
        <v>157</v>
      </c>
      <c r="M852" s="23" t="n">
        <v>45531</v>
      </c>
      <c r="N852" s="23" t="n">
        <v>45534</v>
      </c>
      <c r="O852" s="22" t="n">
        <v>13</v>
      </c>
      <c r="P852" s="22"/>
      <c r="Q852" s="22"/>
      <c r="R852" s="22"/>
    </row>
    <row r="853" customFormat="false" ht="15" hidden="false" customHeight="false" outlineLevel="0" collapsed="false">
      <c r="A853" s="22" t="s">
        <v>9658</v>
      </c>
      <c r="B853" s="23" t="n">
        <v>45530</v>
      </c>
      <c r="C853" s="22" t="s">
        <v>2547</v>
      </c>
      <c r="D853" s="22" t="n">
        <v>959</v>
      </c>
      <c r="E853" s="22" t="s">
        <v>8514</v>
      </c>
      <c r="F853" s="22" t="s">
        <v>188</v>
      </c>
      <c r="G853" s="22" t="n">
        <v>50</v>
      </c>
      <c r="H853" s="22" t="s">
        <v>7696</v>
      </c>
      <c r="I853" s="22" t="s">
        <v>8601</v>
      </c>
      <c r="J853" s="22" t="n">
        <v>7.55</v>
      </c>
      <c r="K853" s="22" t="n">
        <v>1</v>
      </c>
      <c r="L853" s="22" t="s">
        <v>8605</v>
      </c>
      <c r="M853" s="23" t="n">
        <v>45544</v>
      </c>
      <c r="N853" s="23" t="n">
        <v>45545</v>
      </c>
      <c r="O853" s="22" t="n">
        <v>15</v>
      </c>
      <c r="P853" s="22"/>
      <c r="Q853" s="22" t="s">
        <v>7004</v>
      </c>
      <c r="R853" s="22"/>
    </row>
    <row r="854" customFormat="false" ht="15" hidden="false" customHeight="false" outlineLevel="0" collapsed="false">
      <c r="A854" s="22" t="s">
        <v>9659</v>
      </c>
      <c r="B854" s="23" t="n">
        <v>45512</v>
      </c>
      <c r="C854" s="22" t="s">
        <v>6352</v>
      </c>
      <c r="D854" s="22" t="n">
        <v>2807</v>
      </c>
      <c r="E854" s="22" t="s">
        <v>8296</v>
      </c>
      <c r="F854" s="22" t="s">
        <v>499</v>
      </c>
      <c r="G854" s="22" t="n">
        <v>28</v>
      </c>
      <c r="H854" s="22" t="s">
        <v>7696</v>
      </c>
      <c r="I854" s="22" t="s">
        <v>8601</v>
      </c>
      <c r="J854" s="22" t="n">
        <v>7.55</v>
      </c>
      <c r="K854" s="22" t="n">
        <v>1</v>
      </c>
      <c r="L854" s="22" t="s">
        <v>8605</v>
      </c>
      <c r="M854" s="23" t="n">
        <v>45526</v>
      </c>
      <c r="N854" s="23" t="n">
        <v>45516</v>
      </c>
      <c r="O854" s="22" t="n">
        <v>4</v>
      </c>
      <c r="P854" s="22"/>
      <c r="Q854" s="22" t="s">
        <v>7159</v>
      </c>
      <c r="R854" s="22"/>
    </row>
    <row r="855" customFormat="false" ht="15" hidden="false" customHeight="false" outlineLevel="0" collapsed="false">
      <c r="A855" s="22" t="s">
        <v>9660</v>
      </c>
      <c r="B855" s="23" t="n">
        <v>45519</v>
      </c>
      <c r="C855" s="22" t="s">
        <v>4957</v>
      </c>
      <c r="D855" s="22" t="n">
        <v>2112</v>
      </c>
      <c r="E855" s="22" t="s">
        <v>8422</v>
      </c>
      <c r="F855" s="22" t="s">
        <v>188</v>
      </c>
      <c r="G855" s="22" t="n">
        <v>24</v>
      </c>
      <c r="H855" s="22" t="s">
        <v>7696</v>
      </c>
      <c r="I855" s="22" t="s">
        <v>8601</v>
      </c>
      <c r="J855" s="22" t="n">
        <v>7.55</v>
      </c>
      <c r="K855" s="22" t="n">
        <v>1</v>
      </c>
      <c r="L855" s="22" t="s">
        <v>8605</v>
      </c>
      <c r="M855" s="23" t="n">
        <v>45533</v>
      </c>
      <c r="N855" s="23" t="n">
        <v>45526</v>
      </c>
      <c r="O855" s="22" t="n">
        <v>7</v>
      </c>
      <c r="P855" s="22"/>
      <c r="Q855" s="22" t="s">
        <v>6783</v>
      </c>
      <c r="R855" s="22"/>
    </row>
    <row r="856" customFormat="false" ht="15" hidden="false" customHeight="false" outlineLevel="0" collapsed="false">
      <c r="A856" s="22" t="s">
        <v>9661</v>
      </c>
      <c r="B856" s="23" t="n">
        <v>45524</v>
      </c>
      <c r="C856" s="22" t="s">
        <v>6411</v>
      </c>
      <c r="D856" s="22" t="n">
        <v>2838</v>
      </c>
      <c r="E856" s="22" t="s">
        <v>6597</v>
      </c>
      <c r="F856" s="22" t="s">
        <v>198</v>
      </c>
      <c r="G856" s="22" t="n">
        <v>24</v>
      </c>
      <c r="H856" s="22" t="s">
        <v>6575</v>
      </c>
      <c r="I856" s="22" t="s">
        <v>8601</v>
      </c>
      <c r="J856" s="22" t="n">
        <v>10.4</v>
      </c>
      <c r="K856" s="22" t="n">
        <v>2</v>
      </c>
      <c r="L856" s="22" t="s">
        <v>8608</v>
      </c>
      <c r="M856" s="23" t="n">
        <v>45534</v>
      </c>
      <c r="N856" s="23" t="n">
        <v>45526</v>
      </c>
      <c r="O856" s="22" t="n">
        <v>2</v>
      </c>
      <c r="P856" s="22"/>
      <c r="Q856" s="22"/>
      <c r="R856" s="22"/>
    </row>
    <row r="857" customFormat="false" ht="15" hidden="false" customHeight="false" outlineLevel="0" collapsed="false">
      <c r="A857" s="22" t="s">
        <v>9662</v>
      </c>
      <c r="B857" s="23" t="n">
        <v>45531</v>
      </c>
      <c r="C857" s="22" t="s">
        <v>855</v>
      </c>
      <c r="D857" s="22" t="n">
        <v>244</v>
      </c>
      <c r="E857" s="22" t="s">
        <v>8019</v>
      </c>
      <c r="F857" s="22" t="s">
        <v>215</v>
      </c>
      <c r="G857" s="22" t="n">
        <v>40</v>
      </c>
      <c r="H857" s="22" t="s">
        <v>7696</v>
      </c>
      <c r="I857" s="22" t="s">
        <v>8601</v>
      </c>
      <c r="J857" s="22" t="n">
        <v>7.55</v>
      </c>
      <c r="K857" s="22" t="n">
        <v>1</v>
      </c>
      <c r="L857" s="22" t="s">
        <v>8605</v>
      </c>
      <c r="M857" s="23" t="n">
        <v>45545</v>
      </c>
      <c r="N857" s="23" t="n">
        <v>45545</v>
      </c>
      <c r="O857" s="22" t="n">
        <v>14</v>
      </c>
      <c r="P857" s="22"/>
      <c r="Q857" s="22" t="s">
        <v>7224</v>
      </c>
      <c r="R857" s="22"/>
    </row>
    <row r="858" customFormat="false" ht="15" hidden="false" customHeight="false" outlineLevel="0" collapsed="false">
      <c r="A858" s="22" t="s">
        <v>9663</v>
      </c>
      <c r="B858" s="23" t="n">
        <v>45518</v>
      </c>
      <c r="C858" s="22" t="s">
        <v>2119</v>
      </c>
      <c r="D858" s="22" t="n">
        <v>765</v>
      </c>
      <c r="E858" s="22" t="s">
        <v>8325</v>
      </c>
      <c r="F858" s="22" t="s">
        <v>499</v>
      </c>
      <c r="G858" s="22" t="n">
        <v>80</v>
      </c>
      <c r="H858" s="22" t="s">
        <v>7696</v>
      </c>
      <c r="I858" s="22" t="s">
        <v>8601</v>
      </c>
      <c r="J858" s="22" t="n">
        <v>7.55</v>
      </c>
      <c r="K858" s="22" t="n">
        <v>2</v>
      </c>
      <c r="L858" s="22" t="s">
        <v>8629</v>
      </c>
      <c r="M858" s="23" t="n">
        <v>45532</v>
      </c>
      <c r="N858" s="23" t="n">
        <v>45532</v>
      </c>
      <c r="O858" s="22" t="n">
        <v>14</v>
      </c>
      <c r="P858" s="22"/>
      <c r="Q858" s="22"/>
      <c r="R858" s="22"/>
    </row>
    <row r="859" customFormat="false" ht="15" hidden="false" customHeight="false" outlineLevel="0" collapsed="false">
      <c r="A859" s="22" t="s">
        <v>9664</v>
      </c>
      <c r="B859" s="23" t="n">
        <v>45530</v>
      </c>
      <c r="C859" s="22" t="s">
        <v>3087</v>
      </c>
      <c r="D859" s="22" t="n">
        <v>1202</v>
      </c>
      <c r="E859" s="22" t="s">
        <v>7309</v>
      </c>
      <c r="F859" s="22" t="s">
        <v>159</v>
      </c>
      <c r="G859" s="22" t="n">
        <v>40</v>
      </c>
      <c r="H859" s="22" t="s">
        <v>6575</v>
      </c>
      <c r="I859" s="22" t="s">
        <v>8601</v>
      </c>
      <c r="J859" s="22" t="n">
        <v>10.4</v>
      </c>
      <c r="K859" s="22" t="n">
        <v>1</v>
      </c>
      <c r="L859" s="22" t="s">
        <v>8605</v>
      </c>
      <c r="M859" s="23" t="n">
        <v>45540</v>
      </c>
      <c r="N859" s="23" t="n">
        <v>45542</v>
      </c>
      <c r="O859" s="22" t="n">
        <v>12</v>
      </c>
      <c r="P859" s="22"/>
      <c r="Q859" s="22" t="s">
        <v>6592</v>
      </c>
      <c r="R859" s="22"/>
    </row>
    <row r="860" customFormat="false" ht="15" hidden="false" customHeight="false" outlineLevel="0" collapsed="false">
      <c r="A860" s="22" t="s">
        <v>9665</v>
      </c>
      <c r="B860" s="23" t="n">
        <v>45528</v>
      </c>
      <c r="C860" s="22" t="s">
        <v>1652</v>
      </c>
      <c r="D860" s="22" t="n">
        <v>566</v>
      </c>
      <c r="E860" s="22" t="s">
        <v>7640</v>
      </c>
      <c r="F860" s="22" t="s">
        <v>159</v>
      </c>
      <c r="G860" s="22" t="n">
        <v>24</v>
      </c>
      <c r="H860" s="22" t="s">
        <v>6575</v>
      </c>
      <c r="I860" s="22" t="s">
        <v>8601</v>
      </c>
      <c r="J860" s="22" t="n">
        <v>10.4</v>
      </c>
      <c r="K860" s="22" t="n">
        <v>2</v>
      </c>
      <c r="L860" s="22" t="s">
        <v>8605</v>
      </c>
      <c r="M860" s="23" t="n">
        <v>45538</v>
      </c>
      <c r="N860" s="23" t="n">
        <v>45529</v>
      </c>
      <c r="O860" s="22" t="n">
        <v>1</v>
      </c>
      <c r="P860" s="22"/>
      <c r="Q860" s="22" t="s">
        <v>7159</v>
      </c>
      <c r="R860" s="22"/>
    </row>
    <row r="861" customFormat="false" ht="15" hidden="false" customHeight="false" outlineLevel="0" collapsed="false">
      <c r="A861" s="22" t="s">
        <v>9666</v>
      </c>
      <c r="B861" s="23" t="n">
        <v>45529</v>
      </c>
      <c r="C861" s="22" t="s">
        <v>1612</v>
      </c>
      <c r="D861" s="22" t="n">
        <v>549</v>
      </c>
      <c r="E861" s="22" t="s">
        <v>7787</v>
      </c>
      <c r="F861" s="22" t="s">
        <v>215</v>
      </c>
      <c r="G861" s="22" t="n">
        <v>32</v>
      </c>
      <c r="H861" s="22" t="s">
        <v>7696</v>
      </c>
      <c r="I861" s="22" t="s">
        <v>8601</v>
      </c>
      <c r="J861" s="22" t="n">
        <v>7.55</v>
      </c>
      <c r="K861" s="22" t="n">
        <v>1</v>
      </c>
      <c r="L861" s="22" t="s">
        <v>8605</v>
      </c>
      <c r="M861" s="23" t="n">
        <v>45543</v>
      </c>
      <c r="N861" s="23" t="n">
        <v>45535</v>
      </c>
      <c r="O861" s="22" t="n">
        <v>6</v>
      </c>
      <c r="P861" s="22"/>
      <c r="Q861" s="22" t="s">
        <v>6761</v>
      </c>
      <c r="R861" s="22"/>
    </row>
    <row r="862" customFormat="false" ht="15" hidden="false" customHeight="false" outlineLevel="0" collapsed="false">
      <c r="A862" s="22" t="s">
        <v>9667</v>
      </c>
      <c r="B862" s="23" t="n">
        <v>45511</v>
      </c>
      <c r="C862" s="22" t="s">
        <v>6033</v>
      </c>
      <c r="D862" s="22" t="n">
        <v>2647</v>
      </c>
      <c r="E862" s="22" t="s">
        <v>7030</v>
      </c>
      <c r="F862" s="22" t="s">
        <v>198</v>
      </c>
      <c r="G862" s="22" t="n">
        <v>36</v>
      </c>
      <c r="H862" s="22" t="s">
        <v>6575</v>
      </c>
      <c r="I862" s="22" t="s">
        <v>8601</v>
      </c>
      <c r="J862" s="22" t="n">
        <v>10.4</v>
      </c>
      <c r="K862" s="22" t="n">
        <v>1</v>
      </c>
      <c r="L862" s="22" t="s">
        <v>8605</v>
      </c>
      <c r="M862" s="23" t="n">
        <v>45521</v>
      </c>
      <c r="N862" s="23" t="n">
        <v>45524</v>
      </c>
      <c r="O862" s="22" t="n">
        <v>13</v>
      </c>
      <c r="P862" s="22"/>
      <c r="Q862" s="22" t="s">
        <v>7031</v>
      </c>
      <c r="R862" s="22"/>
    </row>
    <row r="863" customFormat="false" ht="15" hidden="false" customHeight="false" outlineLevel="0" collapsed="false">
      <c r="A863" s="22" t="s">
        <v>9668</v>
      </c>
      <c r="B863" s="23" t="n">
        <v>45508</v>
      </c>
      <c r="C863" s="22" t="s">
        <v>4576</v>
      </c>
      <c r="D863" s="22" t="n">
        <v>1925</v>
      </c>
      <c r="E863" s="22" t="s">
        <v>7799</v>
      </c>
      <c r="F863" s="22" t="s">
        <v>215</v>
      </c>
      <c r="G863" s="22" t="n">
        <v>80</v>
      </c>
      <c r="H863" s="22" t="s">
        <v>7696</v>
      </c>
      <c r="I863" s="22" t="s">
        <v>8601</v>
      </c>
      <c r="J863" s="22" t="n">
        <v>7.55</v>
      </c>
      <c r="K863" s="22" t="n">
        <v>2</v>
      </c>
      <c r="L863" s="22" t="s">
        <v>8602</v>
      </c>
      <c r="M863" s="23" t="n">
        <v>45522</v>
      </c>
      <c r="N863" s="22"/>
      <c r="O863" s="22"/>
      <c r="P863" s="22" t="s">
        <v>8637</v>
      </c>
      <c r="Q863" s="22"/>
      <c r="R863" s="22"/>
    </row>
    <row r="864" customFormat="false" ht="15" hidden="false" customHeight="false" outlineLevel="0" collapsed="false">
      <c r="A864" s="22" t="s">
        <v>9669</v>
      </c>
      <c r="B864" s="23" t="n">
        <v>45525</v>
      </c>
      <c r="C864" s="22" t="s">
        <v>1586</v>
      </c>
      <c r="D864" s="22" t="n">
        <v>537</v>
      </c>
      <c r="E864" s="22" t="s">
        <v>8284</v>
      </c>
      <c r="F864" s="22" t="s">
        <v>499</v>
      </c>
      <c r="G864" s="22" t="n">
        <v>36</v>
      </c>
      <c r="H864" s="22" t="s">
        <v>7696</v>
      </c>
      <c r="I864" s="22" t="s">
        <v>8601</v>
      </c>
      <c r="J864" s="22" t="n">
        <v>7.55</v>
      </c>
      <c r="K864" s="22" t="n">
        <v>1</v>
      </c>
      <c r="L864" s="22" t="s">
        <v>8605</v>
      </c>
      <c r="M864" s="23" t="n">
        <v>45539</v>
      </c>
      <c r="N864" s="23" t="n">
        <v>45539</v>
      </c>
      <c r="O864" s="22" t="n">
        <v>14</v>
      </c>
      <c r="P864" s="22"/>
      <c r="Q864" s="22" t="s">
        <v>7133</v>
      </c>
      <c r="R864" s="22"/>
    </row>
    <row r="865" customFormat="false" ht="15" hidden="false" customHeight="false" outlineLevel="0" collapsed="false">
      <c r="A865" s="22" t="s">
        <v>9670</v>
      </c>
      <c r="B865" s="23" t="n">
        <v>45520</v>
      </c>
      <c r="C865" s="22" t="s">
        <v>1650</v>
      </c>
      <c r="D865" s="22" t="n">
        <v>565</v>
      </c>
      <c r="E865" s="22" t="s">
        <v>8244</v>
      </c>
      <c r="F865" s="22" t="s">
        <v>499</v>
      </c>
      <c r="G865" s="22" t="n">
        <v>32</v>
      </c>
      <c r="H865" s="22" t="s">
        <v>7696</v>
      </c>
      <c r="I865" s="22" t="s">
        <v>8601</v>
      </c>
      <c r="J865" s="22" t="n">
        <v>7.55</v>
      </c>
      <c r="K865" s="22" t="n">
        <v>1</v>
      </c>
      <c r="L865" s="22" t="s">
        <v>8629</v>
      </c>
      <c r="M865" s="23" t="n">
        <v>45534</v>
      </c>
      <c r="N865" s="23" t="n">
        <v>45533</v>
      </c>
      <c r="O865" s="22" t="n">
        <v>13</v>
      </c>
      <c r="P865" s="22"/>
      <c r="Q865" s="22"/>
      <c r="R865" s="22"/>
    </row>
    <row r="866" customFormat="false" ht="15" hidden="false" customHeight="false" outlineLevel="0" collapsed="false">
      <c r="A866" s="22" t="s">
        <v>9671</v>
      </c>
      <c r="B866" s="23" t="n">
        <v>45518</v>
      </c>
      <c r="C866" s="22" t="s">
        <v>4277</v>
      </c>
      <c r="D866" s="22" t="n">
        <v>1778</v>
      </c>
      <c r="E866" s="22" t="s">
        <v>7363</v>
      </c>
      <c r="F866" s="22" t="s">
        <v>159</v>
      </c>
      <c r="G866" s="22" t="n">
        <v>28</v>
      </c>
      <c r="H866" s="22" t="s">
        <v>6575</v>
      </c>
      <c r="I866" s="22" t="s">
        <v>8601</v>
      </c>
      <c r="J866" s="22" t="n">
        <v>10.4</v>
      </c>
      <c r="K866" s="22" t="n">
        <v>1</v>
      </c>
      <c r="L866" s="22" t="s">
        <v>8629</v>
      </c>
      <c r="M866" s="23" t="n">
        <v>45528</v>
      </c>
      <c r="N866" s="23" t="n">
        <v>45529</v>
      </c>
      <c r="O866" s="22" t="n">
        <v>11</v>
      </c>
      <c r="P866" s="22"/>
      <c r="Q866" s="22"/>
      <c r="R866" s="22"/>
    </row>
    <row r="867" customFormat="false" ht="15" hidden="false" customHeight="false" outlineLevel="0" collapsed="false">
      <c r="A867" s="22" t="s">
        <v>9672</v>
      </c>
      <c r="B867" s="23" t="n">
        <v>45511</v>
      </c>
      <c r="C867" s="22" t="s">
        <v>1441</v>
      </c>
      <c r="D867" s="22" t="n">
        <v>476</v>
      </c>
      <c r="E867" s="22" t="s">
        <v>7099</v>
      </c>
      <c r="F867" s="22" t="s">
        <v>198</v>
      </c>
      <c r="G867" s="22" t="n">
        <v>24</v>
      </c>
      <c r="H867" s="22" t="s">
        <v>6575</v>
      </c>
      <c r="I867" s="22" t="s">
        <v>8601</v>
      </c>
      <c r="J867" s="22" t="n">
        <v>10.4</v>
      </c>
      <c r="K867" s="22" t="n">
        <v>1</v>
      </c>
      <c r="L867" s="22" t="s">
        <v>8605</v>
      </c>
      <c r="M867" s="23" t="n">
        <v>45521</v>
      </c>
      <c r="N867" s="23" t="n">
        <v>45514</v>
      </c>
      <c r="O867" s="22" t="n">
        <v>3</v>
      </c>
      <c r="P867" s="22"/>
      <c r="Q867" s="22" t="s">
        <v>7100</v>
      </c>
      <c r="R867" s="22"/>
    </row>
    <row r="868" customFormat="false" ht="15" hidden="false" customHeight="false" outlineLevel="0" collapsed="false">
      <c r="A868" s="22" t="s">
        <v>9673</v>
      </c>
      <c r="B868" s="23" t="n">
        <v>45552</v>
      </c>
      <c r="C868" s="22" t="s">
        <v>5538</v>
      </c>
      <c r="D868" s="22" t="n">
        <v>2400</v>
      </c>
      <c r="E868" s="22" t="s">
        <v>8314</v>
      </c>
      <c r="F868" s="22" t="s">
        <v>499</v>
      </c>
      <c r="G868" s="22" t="n">
        <v>24</v>
      </c>
      <c r="H868" s="22" t="s">
        <v>7696</v>
      </c>
      <c r="I868" s="22" t="s">
        <v>8601</v>
      </c>
      <c r="J868" s="22" t="n">
        <v>7.55</v>
      </c>
      <c r="K868" s="22" t="n">
        <v>1</v>
      </c>
      <c r="L868" s="22" t="s">
        <v>8605</v>
      </c>
      <c r="M868" s="23" t="n">
        <v>45566</v>
      </c>
      <c r="N868" s="23" t="n">
        <v>45556</v>
      </c>
      <c r="O868" s="22" t="n">
        <v>4</v>
      </c>
      <c r="P868" s="22"/>
      <c r="Q868" s="22" t="s">
        <v>7195</v>
      </c>
      <c r="R868" s="22"/>
    </row>
    <row r="869" customFormat="false" ht="15" hidden="false" customHeight="false" outlineLevel="0" collapsed="false">
      <c r="A869" s="22" t="s">
        <v>9674</v>
      </c>
      <c r="B869" s="23" t="n">
        <v>45549</v>
      </c>
      <c r="C869" s="22" t="s">
        <v>4361</v>
      </c>
      <c r="D869" s="22" t="n">
        <v>1819</v>
      </c>
      <c r="E869" s="22" t="s">
        <v>8253</v>
      </c>
      <c r="F869" s="22" t="s">
        <v>499</v>
      </c>
      <c r="G869" s="22" t="n">
        <v>80</v>
      </c>
      <c r="H869" s="22" t="s">
        <v>7696</v>
      </c>
      <c r="I869" s="22" t="s">
        <v>8601</v>
      </c>
      <c r="J869" s="22" t="n">
        <v>7.55</v>
      </c>
      <c r="K869" s="22" t="n">
        <v>1</v>
      </c>
      <c r="L869" s="22" t="s">
        <v>8613</v>
      </c>
      <c r="M869" s="23" t="n">
        <v>45563</v>
      </c>
      <c r="N869" s="22"/>
      <c r="O869" s="22"/>
      <c r="P869" s="22"/>
      <c r="Q869" s="22"/>
      <c r="R869" s="22"/>
    </row>
    <row r="870" customFormat="false" ht="15" hidden="false" customHeight="false" outlineLevel="0" collapsed="false">
      <c r="A870" s="22" t="s">
        <v>9675</v>
      </c>
      <c r="B870" s="23" t="n">
        <v>45536</v>
      </c>
      <c r="C870" s="22" t="s">
        <v>5969</v>
      </c>
      <c r="D870" s="22" t="n">
        <v>2615</v>
      </c>
      <c r="E870" s="22" t="s">
        <v>7491</v>
      </c>
      <c r="F870" s="22" t="s">
        <v>159</v>
      </c>
      <c r="G870" s="22" t="n">
        <v>28</v>
      </c>
      <c r="H870" s="22" t="s">
        <v>6575</v>
      </c>
      <c r="I870" s="22" t="s">
        <v>8601</v>
      </c>
      <c r="J870" s="22" t="n">
        <v>10.4</v>
      </c>
      <c r="K870" s="22" t="n">
        <v>1</v>
      </c>
      <c r="L870" s="22" t="s">
        <v>8602</v>
      </c>
      <c r="M870" s="23" t="n">
        <v>45546</v>
      </c>
      <c r="N870" s="22"/>
      <c r="O870" s="22"/>
      <c r="P870" s="22" t="s">
        <v>8631</v>
      </c>
      <c r="Q870" s="22"/>
      <c r="R870" s="22"/>
    </row>
    <row r="871" customFormat="false" ht="15" hidden="false" customHeight="false" outlineLevel="0" collapsed="false">
      <c r="A871" s="22" t="s">
        <v>9676</v>
      </c>
      <c r="B871" s="23" t="n">
        <v>45546</v>
      </c>
      <c r="C871" s="22" t="s">
        <v>4859</v>
      </c>
      <c r="D871" s="22" t="n">
        <v>2062</v>
      </c>
      <c r="E871" s="22" t="s">
        <v>6730</v>
      </c>
      <c r="F871" s="22" t="s">
        <v>198</v>
      </c>
      <c r="G871" s="22" t="n">
        <v>32</v>
      </c>
      <c r="H871" s="22" t="s">
        <v>6575</v>
      </c>
      <c r="I871" s="22" t="s">
        <v>8601</v>
      </c>
      <c r="J871" s="22" t="n">
        <v>10.4</v>
      </c>
      <c r="K871" s="22" t="n">
        <v>1</v>
      </c>
      <c r="L871" s="22" t="s">
        <v>8602</v>
      </c>
      <c r="M871" s="23" t="n">
        <v>45556</v>
      </c>
      <c r="N871" s="22"/>
      <c r="O871" s="22"/>
      <c r="P871" s="22" t="s">
        <v>8631</v>
      </c>
      <c r="Q871" s="22"/>
      <c r="R871" s="22"/>
    </row>
    <row r="872" customFormat="false" ht="15" hidden="false" customHeight="false" outlineLevel="0" collapsed="false">
      <c r="A872" s="22" t="s">
        <v>9677</v>
      </c>
      <c r="B872" s="23" t="n">
        <v>45542</v>
      </c>
      <c r="C872" s="22" t="s">
        <v>2151</v>
      </c>
      <c r="D872" s="22" t="n">
        <v>779</v>
      </c>
      <c r="E872" s="22" t="s">
        <v>8413</v>
      </c>
      <c r="F872" s="22" t="s">
        <v>188</v>
      </c>
      <c r="G872" s="22" t="n">
        <v>24</v>
      </c>
      <c r="H872" s="22" t="s">
        <v>7696</v>
      </c>
      <c r="I872" s="22" t="s">
        <v>8601</v>
      </c>
      <c r="J872" s="22" t="n">
        <v>7.55</v>
      </c>
      <c r="K872" s="22" t="n">
        <v>1</v>
      </c>
      <c r="L872" s="22" t="s">
        <v>8602</v>
      </c>
      <c r="M872" s="23" t="n">
        <v>45556</v>
      </c>
      <c r="N872" s="22"/>
      <c r="O872" s="22"/>
      <c r="P872" s="22" t="s">
        <v>8637</v>
      </c>
      <c r="Q872" s="22"/>
      <c r="R872" s="22"/>
    </row>
    <row r="873" customFormat="false" ht="15" hidden="false" customHeight="false" outlineLevel="0" collapsed="false">
      <c r="A873" s="22" t="s">
        <v>9678</v>
      </c>
      <c r="B873" s="23" t="n">
        <v>45540</v>
      </c>
      <c r="C873" s="22" t="s">
        <v>2458</v>
      </c>
      <c r="D873" s="22" t="n">
        <v>919</v>
      </c>
      <c r="E873" s="22" t="s">
        <v>7154</v>
      </c>
      <c r="F873" s="22" t="s">
        <v>198</v>
      </c>
      <c r="G873" s="22" t="n">
        <v>24</v>
      </c>
      <c r="H873" s="22" t="s">
        <v>6575</v>
      </c>
      <c r="I873" s="22" t="s">
        <v>8601</v>
      </c>
      <c r="J873" s="22" t="n">
        <v>10.4</v>
      </c>
      <c r="K873" s="22" t="n">
        <v>2</v>
      </c>
      <c r="L873" s="22" t="s">
        <v>8629</v>
      </c>
      <c r="M873" s="23" t="n">
        <v>45550</v>
      </c>
      <c r="N873" s="23" t="n">
        <v>45549</v>
      </c>
      <c r="O873" s="22" t="n">
        <v>9</v>
      </c>
      <c r="P873" s="22"/>
      <c r="Q873" s="22"/>
      <c r="R873" s="22"/>
    </row>
    <row r="874" customFormat="false" ht="15" hidden="false" customHeight="false" outlineLevel="0" collapsed="false">
      <c r="A874" s="22" t="s">
        <v>9679</v>
      </c>
      <c r="B874" s="23" t="n">
        <v>45536</v>
      </c>
      <c r="C874" s="22" t="s">
        <v>5822</v>
      </c>
      <c r="D874" s="22" t="n">
        <v>2541</v>
      </c>
      <c r="E874" s="22" t="s">
        <v>7743</v>
      </c>
      <c r="F874" s="22" t="s">
        <v>215</v>
      </c>
      <c r="G874" s="22" t="n">
        <v>45</v>
      </c>
      <c r="H874" s="22" t="s">
        <v>7696</v>
      </c>
      <c r="I874" s="22" t="s">
        <v>8601</v>
      </c>
      <c r="J874" s="22" t="n">
        <v>7.55</v>
      </c>
      <c r="K874" s="22" t="n">
        <v>1</v>
      </c>
      <c r="L874" s="22" t="s">
        <v>8605</v>
      </c>
      <c r="M874" s="23" t="n">
        <v>45550</v>
      </c>
      <c r="N874" s="23" t="n">
        <v>45539</v>
      </c>
      <c r="O874" s="22" t="n">
        <v>3</v>
      </c>
      <c r="P874" s="22"/>
      <c r="Q874" s="22" t="s">
        <v>7350</v>
      </c>
      <c r="R874" s="22"/>
    </row>
    <row r="875" customFormat="false" ht="15" hidden="false" customHeight="false" outlineLevel="0" collapsed="false">
      <c r="A875" s="22" t="s">
        <v>9680</v>
      </c>
      <c r="B875" s="23" t="n">
        <v>45544</v>
      </c>
      <c r="C875" s="22" t="s">
        <v>1375</v>
      </c>
      <c r="D875" s="22" t="n">
        <v>449</v>
      </c>
      <c r="E875" s="22" t="s">
        <v>8572</v>
      </c>
      <c r="F875" s="22" t="s">
        <v>188</v>
      </c>
      <c r="G875" s="22" t="n">
        <v>36</v>
      </c>
      <c r="H875" s="22" t="s">
        <v>7696</v>
      </c>
      <c r="I875" s="22" t="s">
        <v>8601</v>
      </c>
      <c r="J875" s="22" t="n">
        <v>7.55</v>
      </c>
      <c r="K875" s="22" t="n">
        <v>1</v>
      </c>
      <c r="L875" s="22" t="s">
        <v>8605</v>
      </c>
      <c r="M875" s="23" t="n">
        <v>45558</v>
      </c>
      <c r="N875" s="23" t="n">
        <v>45553</v>
      </c>
      <c r="O875" s="22" t="n">
        <v>9</v>
      </c>
      <c r="P875" s="22"/>
      <c r="Q875" s="22" t="s">
        <v>7140</v>
      </c>
      <c r="R875" s="22"/>
    </row>
    <row r="876" customFormat="false" ht="15" hidden="false" customHeight="false" outlineLevel="0" collapsed="false">
      <c r="A876" s="22" t="s">
        <v>9681</v>
      </c>
      <c r="B876" s="23" t="n">
        <v>45539</v>
      </c>
      <c r="C876" s="22" t="s">
        <v>5148</v>
      </c>
      <c r="D876" s="22" t="n">
        <v>2205</v>
      </c>
      <c r="E876" s="22" t="s">
        <v>7771</v>
      </c>
      <c r="F876" s="22" t="s">
        <v>215</v>
      </c>
      <c r="G876" s="22" t="n">
        <v>40</v>
      </c>
      <c r="H876" s="22" t="s">
        <v>7696</v>
      </c>
      <c r="I876" s="22" t="s">
        <v>8601</v>
      </c>
      <c r="J876" s="22" t="n">
        <v>7.55</v>
      </c>
      <c r="K876" s="22" t="n">
        <v>1</v>
      </c>
      <c r="L876" s="22" t="s">
        <v>8608</v>
      </c>
      <c r="M876" s="23" t="n">
        <v>45553</v>
      </c>
      <c r="N876" s="23" t="n">
        <v>45554</v>
      </c>
      <c r="O876" s="22" t="n">
        <v>15</v>
      </c>
      <c r="P876" s="22"/>
      <c r="Q876" s="22"/>
      <c r="R876" s="22"/>
    </row>
    <row r="877" customFormat="false" ht="15" hidden="false" customHeight="false" outlineLevel="0" collapsed="false">
      <c r="A877" s="22" t="s">
        <v>9682</v>
      </c>
      <c r="B877" s="23" t="n">
        <v>45536</v>
      </c>
      <c r="C877" s="22" t="s">
        <v>5194</v>
      </c>
      <c r="D877" s="22" t="n">
        <v>2228</v>
      </c>
      <c r="E877" s="22" t="s">
        <v>7794</v>
      </c>
      <c r="F877" s="22" t="s">
        <v>215</v>
      </c>
      <c r="G877" s="22" t="n">
        <v>70</v>
      </c>
      <c r="H877" s="22" t="s">
        <v>7696</v>
      </c>
      <c r="I877" s="22" t="s">
        <v>8601</v>
      </c>
      <c r="J877" s="22" t="n">
        <v>7.55</v>
      </c>
      <c r="K877" s="22" t="n">
        <v>2</v>
      </c>
      <c r="L877" s="22" t="s">
        <v>8602</v>
      </c>
      <c r="M877" s="23" t="n">
        <v>45550</v>
      </c>
      <c r="N877" s="22"/>
      <c r="O877" s="22"/>
      <c r="P877" s="22" t="s">
        <v>8631</v>
      </c>
      <c r="Q877" s="22"/>
      <c r="R877" s="22"/>
    </row>
    <row r="878" customFormat="false" ht="15" hidden="false" customHeight="false" outlineLevel="0" collapsed="false">
      <c r="A878" s="22" t="s">
        <v>9683</v>
      </c>
      <c r="B878" s="23" t="n">
        <v>45545</v>
      </c>
      <c r="C878" s="22" t="s">
        <v>5697</v>
      </c>
      <c r="D878" s="22" t="n">
        <v>2479</v>
      </c>
      <c r="E878" s="22" t="s">
        <v>8492</v>
      </c>
      <c r="F878" s="22" t="s">
        <v>188</v>
      </c>
      <c r="G878" s="22" t="n">
        <v>40</v>
      </c>
      <c r="H878" s="22" t="s">
        <v>7696</v>
      </c>
      <c r="I878" s="22" t="s">
        <v>8601</v>
      </c>
      <c r="J878" s="22" t="n">
        <v>7.55</v>
      </c>
      <c r="K878" s="22" t="n">
        <v>1</v>
      </c>
      <c r="L878" s="22" t="s">
        <v>8602</v>
      </c>
      <c r="M878" s="23" t="n">
        <v>45559</v>
      </c>
      <c r="N878" s="22"/>
      <c r="O878" s="22"/>
      <c r="P878" s="22" t="s">
        <v>8603</v>
      </c>
      <c r="Q878" s="22"/>
      <c r="R878" s="22"/>
    </row>
    <row r="879" customFormat="false" ht="15" hidden="false" customHeight="false" outlineLevel="0" collapsed="false">
      <c r="A879" s="22" t="s">
        <v>9684</v>
      </c>
      <c r="B879" s="23" t="n">
        <v>45549</v>
      </c>
      <c r="C879" s="22" t="s">
        <v>3859</v>
      </c>
      <c r="D879" s="22" t="n">
        <v>1574</v>
      </c>
      <c r="E879" s="22" t="s">
        <v>8427</v>
      </c>
      <c r="F879" s="22" t="s">
        <v>188</v>
      </c>
      <c r="G879" s="22" t="n">
        <v>24</v>
      </c>
      <c r="H879" s="22" t="s">
        <v>7696</v>
      </c>
      <c r="I879" s="22" t="s">
        <v>8601</v>
      </c>
      <c r="J879" s="22" t="n">
        <v>7.55</v>
      </c>
      <c r="K879" s="22" t="n">
        <v>1</v>
      </c>
      <c r="L879" s="22" t="s">
        <v>8602</v>
      </c>
      <c r="M879" s="23" t="n">
        <v>45563</v>
      </c>
      <c r="N879" s="22"/>
      <c r="O879" s="22"/>
      <c r="P879" s="22" t="s">
        <v>8618</v>
      </c>
      <c r="Q879" s="22"/>
      <c r="R879" s="22"/>
    </row>
    <row r="880" customFormat="false" ht="15" hidden="false" customHeight="false" outlineLevel="0" collapsed="false">
      <c r="A880" s="22" t="s">
        <v>9685</v>
      </c>
      <c r="B880" s="23" t="n">
        <v>45561</v>
      </c>
      <c r="C880" s="22" t="s">
        <v>3894</v>
      </c>
      <c r="D880" s="22" t="n">
        <v>1591</v>
      </c>
      <c r="E880" s="22" t="s">
        <v>8461</v>
      </c>
      <c r="F880" s="22" t="s">
        <v>188</v>
      </c>
      <c r="G880" s="22" t="n">
        <v>32</v>
      </c>
      <c r="H880" s="22" t="s">
        <v>7696</v>
      </c>
      <c r="I880" s="22" t="s">
        <v>8601</v>
      </c>
      <c r="J880" s="22" t="n">
        <v>7.55</v>
      </c>
      <c r="K880" s="22" t="n">
        <v>1</v>
      </c>
      <c r="L880" s="22" t="s">
        <v>8605</v>
      </c>
      <c r="M880" s="23" t="n">
        <v>45575</v>
      </c>
      <c r="N880" s="23" t="n">
        <v>45573</v>
      </c>
      <c r="O880" s="22" t="n">
        <v>12</v>
      </c>
      <c r="P880" s="22"/>
      <c r="Q880" s="22" t="s">
        <v>6876</v>
      </c>
      <c r="R880" s="22"/>
    </row>
    <row r="881" customFormat="false" ht="15" hidden="false" customHeight="false" outlineLevel="0" collapsed="false">
      <c r="A881" s="22" t="s">
        <v>9686</v>
      </c>
      <c r="B881" s="23" t="n">
        <v>45546</v>
      </c>
      <c r="C881" s="22" t="s">
        <v>3010</v>
      </c>
      <c r="D881" s="22" t="n">
        <v>1167</v>
      </c>
      <c r="E881" s="22" t="s">
        <v>6747</v>
      </c>
      <c r="F881" s="22" t="s">
        <v>198</v>
      </c>
      <c r="G881" s="22" t="n">
        <v>40</v>
      </c>
      <c r="H881" s="22" t="s">
        <v>6575</v>
      </c>
      <c r="I881" s="22" t="s">
        <v>8601</v>
      </c>
      <c r="J881" s="22" t="n">
        <v>10.4</v>
      </c>
      <c r="K881" s="22" t="n">
        <v>1</v>
      </c>
      <c r="L881" s="22" t="s">
        <v>8605</v>
      </c>
      <c r="M881" s="23" t="n">
        <v>45556</v>
      </c>
      <c r="N881" s="23" t="n">
        <v>45559</v>
      </c>
      <c r="O881" s="22" t="n">
        <v>13</v>
      </c>
      <c r="P881" s="22"/>
      <c r="Q881" s="22" t="s">
        <v>6748</v>
      </c>
      <c r="R881" s="22"/>
    </row>
    <row r="882" customFormat="false" ht="15" hidden="false" customHeight="false" outlineLevel="0" collapsed="false">
      <c r="A882" s="22" t="s">
        <v>9687</v>
      </c>
      <c r="B882" s="23" t="n">
        <v>45547</v>
      </c>
      <c r="C882" s="22" t="s">
        <v>4430</v>
      </c>
      <c r="D882" s="22" t="n">
        <v>1853</v>
      </c>
      <c r="E882" s="22" t="s">
        <v>8069</v>
      </c>
      <c r="F882" s="22" t="s">
        <v>499</v>
      </c>
      <c r="G882" s="22" t="n">
        <v>70</v>
      </c>
      <c r="H882" s="22" t="s">
        <v>7696</v>
      </c>
      <c r="I882" s="22" t="s">
        <v>8601</v>
      </c>
      <c r="J882" s="22" t="n">
        <v>7.55</v>
      </c>
      <c r="K882" s="22" t="n">
        <v>2</v>
      </c>
      <c r="L882" s="22" t="s">
        <v>8605</v>
      </c>
      <c r="M882" s="23" t="n">
        <v>45561</v>
      </c>
      <c r="N882" s="23" t="n">
        <v>45553</v>
      </c>
      <c r="O882" s="22" t="n">
        <v>6</v>
      </c>
      <c r="P882" s="22"/>
      <c r="Q882" s="22" t="s">
        <v>6659</v>
      </c>
      <c r="R882" s="22"/>
    </row>
    <row r="883" customFormat="false" ht="15" hidden="false" customHeight="false" outlineLevel="0" collapsed="false">
      <c r="A883" s="22" t="s">
        <v>9688</v>
      </c>
      <c r="B883" s="23" t="n">
        <v>45558</v>
      </c>
      <c r="C883" s="22" t="s">
        <v>4616</v>
      </c>
      <c r="D883" s="22" t="n">
        <v>1944</v>
      </c>
      <c r="E883" s="22" t="s">
        <v>7817</v>
      </c>
      <c r="F883" s="22" t="s">
        <v>215</v>
      </c>
      <c r="G883" s="22" t="n">
        <v>70</v>
      </c>
      <c r="H883" s="22" t="s">
        <v>7696</v>
      </c>
      <c r="I883" s="22" t="s">
        <v>8601</v>
      </c>
      <c r="J883" s="22" t="n">
        <v>7.55</v>
      </c>
      <c r="K883" s="22" t="n">
        <v>2</v>
      </c>
      <c r="L883" s="22" t="s">
        <v>8605</v>
      </c>
      <c r="M883" s="23" t="n">
        <v>45572</v>
      </c>
      <c r="N883" s="23" t="n">
        <v>45563</v>
      </c>
      <c r="O883" s="22" t="n">
        <v>5</v>
      </c>
      <c r="P883" s="22"/>
      <c r="Q883" s="22" t="s">
        <v>6821</v>
      </c>
      <c r="R883" s="22"/>
    </row>
    <row r="884" customFormat="false" ht="15" hidden="false" customHeight="false" outlineLevel="0" collapsed="false">
      <c r="A884" s="22" t="s">
        <v>9689</v>
      </c>
      <c r="B884" s="23" t="n">
        <v>45545</v>
      </c>
      <c r="C884" s="22" t="s">
        <v>3371</v>
      </c>
      <c r="D884" s="22" t="n">
        <v>1336</v>
      </c>
      <c r="E884" s="22" t="s">
        <v>7489</v>
      </c>
      <c r="F884" s="22" t="s">
        <v>159</v>
      </c>
      <c r="G884" s="22" t="n">
        <v>28</v>
      </c>
      <c r="H884" s="22" t="s">
        <v>6575</v>
      </c>
      <c r="I884" s="22" t="s">
        <v>8601</v>
      </c>
      <c r="J884" s="22" t="n">
        <v>10.4</v>
      </c>
      <c r="K884" s="22" t="n">
        <v>1</v>
      </c>
      <c r="L884" s="22" t="s">
        <v>8602</v>
      </c>
      <c r="M884" s="23" t="n">
        <v>45555</v>
      </c>
      <c r="N884" s="22"/>
      <c r="O884" s="22"/>
      <c r="P884" s="22" t="s">
        <v>8618</v>
      </c>
      <c r="Q884" s="22"/>
      <c r="R884" s="22"/>
    </row>
    <row r="885" customFormat="false" ht="15" hidden="false" customHeight="false" outlineLevel="0" collapsed="false">
      <c r="A885" s="22" t="s">
        <v>9690</v>
      </c>
      <c r="B885" s="23" t="n">
        <v>45542</v>
      </c>
      <c r="C885" s="22" t="s">
        <v>1601</v>
      </c>
      <c r="D885" s="22" t="n">
        <v>544</v>
      </c>
      <c r="E885" s="22" t="s">
        <v>8024</v>
      </c>
      <c r="F885" s="22" t="s">
        <v>215</v>
      </c>
      <c r="G885" s="22" t="n">
        <v>45</v>
      </c>
      <c r="H885" s="22" t="s">
        <v>7696</v>
      </c>
      <c r="I885" s="22" t="s">
        <v>8601</v>
      </c>
      <c r="J885" s="22" t="n">
        <v>7.55</v>
      </c>
      <c r="K885" s="22" t="n">
        <v>1</v>
      </c>
      <c r="L885" s="22" t="s">
        <v>8608</v>
      </c>
      <c r="M885" s="23" t="n">
        <v>45556</v>
      </c>
      <c r="N885" s="23" t="n">
        <v>45547</v>
      </c>
      <c r="O885" s="22" t="n">
        <v>5</v>
      </c>
      <c r="P885" s="22"/>
      <c r="Q885" s="22"/>
      <c r="R885" s="22"/>
    </row>
    <row r="886" customFormat="false" ht="15" hidden="false" customHeight="false" outlineLevel="0" collapsed="false">
      <c r="A886" s="22" t="s">
        <v>9691</v>
      </c>
      <c r="B886" s="23" t="n">
        <v>45563</v>
      </c>
      <c r="C886" s="22" t="s">
        <v>586</v>
      </c>
      <c r="D886" s="22" t="n">
        <v>145</v>
      </c>
      <c r="E886" s="22" t="s">
        <v>8139</v>
      </c>
      <c r="F886" s="22" t="s">
        <v>499</v>
      </c>
      <c r="G886" s="22" t="n">
        <v>45</v>
      </c>
      <c r="H886" s="22" t="s">
        <v>7696</v>
      </c>
      <c r="I886" s="22" t="s">
        <v>8601</v>
      </c>
      <c r="J886" s="22" t="n">
        <v>7.55</v>
      </c>
      <c r="K886" s="22" t="n">
        <v>1</v>
      </c>
      <c r="L886" s="22" t="s">
        <v>8605</v>
      </c>
      <c r="M886" s="23" t="n">
        <v>45577</v>
      </c>
      <c r="N886" s="23" t="n">
        <v>45566</v>
      </c>
      <c r="O886" s="22" t="n">
        <v>3</v>
      </c>
      <c r="P886" s="22"/>
      <c r="Q886" s="22" t="s">
        <v>6803</v>
      </c>
      <c r="R886" s="22"/>
    </row>
    <row r="887" customFormat="false" ht="15" hidden="false" customHeight="false" outlineLevel="0" collapsed="false">
      <c r="A887" s="22" t="s">
        <v>9692</v>
      </c>
      <c r="B887" s="23" t="n">
        <v>45542</v>
      </c>
      <c r="C887" s="22" t="s">
        <v>6233</v>
      </c>
      <c r="D887" s="22" t="n">
        <v>2746</v>
      </c>
      <c r="E887" s="22" t="s">
        <v>6717</v>
      </c>
      <c r="F887" s="22" t="s">
        <v>198</v>
      </c>
      <c r="G887" s="22" t="n">
        <v>24</v>
      </c>
      <c r="H887" s="22" t="s">
        <v>6575</v>
      </c>
      <c r="I887" s="22" t="s">
        <v>8601</v>
      </c>
      <c r="J887" s="22" t="n">
        <v>10.4</v>
      </c>
      <c r="K887" s="22" t="n">
        <v>1</v>
      </c>
      <c r="L887" s="22" t="s">
        <v>8605</v>
      </c>
      <c r="M887" s="23" t="n">
        <v>45552</v>
      </c>
      <c r="N887" s="23" t="n">
        <v>45554</v>
      </c>
      <c r="O887" s="22" t="n">
        <v>12</v>
      </c>
      <c r="P887" s="22"/>
      <c r="Q887" s="22" t="s">
        <v>6718</v>
      </c>
      <c r="R887" s="22"/>
    </row>
    <row r="888" customFormat="false" ht="15" hidden="false" customHeight="false" outlineLevel="0" collapsed="false">
      <c r="A888" s="22" t="s">
        <v>9693</v>
      </c>
      <c r="B888" s="23" t="n">
        <v>45537</v>
      </c>
      <c r="C888" s="22" t="s">
        <v>1509</v>
      </c>
      <c r="D888" s="22" t="n">
        <v>504</v>
      </c>
      <c r="E888" s="22" t="s">
        <v>7375</v>
      </c>
      <c r="F888" s="22" t="s">
        <v>159</v>
      </c>
      <c r="G888" s="22" t="n">
        <v>32</v>
      </c>
      <c r="H888" s="22" t="s">
        <v>6575</v>
      </c>
      <c r="I888" s="22" t="s">
        <v>8601</v>
      </c>
      <c r="J888" s="22" t="n">
        <v>10.4</v>
      </c>
      <c r="K888" s="22" t="n">
        <v>1</v>
      </c>
      <c r="L888" s="22" t="s">
        <v>8602</v>
      </c>
      <c r="M888" s="23" t="n">
        <v>45547</v>
      </c>
      <c r="N888" s="22"/>
      <c r="O888" s="22"/>
      <c r="P888" s="22" t="s">
        <v>8603</v>
      </c>
      <c r="Q888" s="22"/>
      <c r="R888" s="22"/>
    </row>
    <row r="889" customFormat="false" ht="15" hidden="false" customHeight="false" outlineLevel="0" collapsed="false">
      <c r="A889" s="22" t="s">
        <v>9694</v>
      </c>
      <c r="B889" s="23" t="n">
        <v>45540</v>
      </c>
      <c r="C889" s="22" t="s">
        <v>3349</v>
      </c>
      <c r="D889" s="22" t="n">
        <v>1325</v>
      </c>
      <c r="E889" s="22" t="s">
        <v>7723</v>
      </c>
      <c r="F889" s="22" t="s">
        <v>215</v>
      </c>
      <c r="G889" s="22" t="n">
        <v>45</v>
      </c>
      <c r="H889" s="22" t="s">
        <v>7696</v>
      </c>
      <c r="I889" s="22" t="s">
        <v>8601</v>
      </c>
      <c r="J889" s="22" t="n">
        <v>7.55</v>
      </c>
      <c r="K889" s="22" t="n">
        <v>1</v>
      </c>
      <c r="L889" s="22" t="s">
        <v>8729</v>
      </c>
      <c r="M889" s="23" t="n">
        <v>45554</v>
      </c>
      <c r="N889" s="23" t="n">
        <v>45552</v>
      </c>
      <c r="O889" s="22" t="n">
        <v>12</v>
      </c>
      <c r="P889" s="22"/>
      <c r="Q889" s="22"/>
      <c r="R889" s="22"/>
    </row>
    <row r="890" customFormat="false" ht="15" hidden="false" customHeight="false" outlineLevel="0" collapsed="false">
      <c r="A890" s="22" t="s">
        <v>9695</v>
      </c>
      <c r="B890" s="23" t="n">
        <v>45560</v>
      </c>
      <c r="C890" s="22" t="s">
        <v>2016</v>
      </c>
      <c r="D890" s="22" t="n">
        <v>718</v>
      </c>
      <c r="E890" s="22" t="s">
        <v>8563</v>
      </c>
      <c r="F890" s="22" t="s">
        <v>188</v>
      </c>
      <c r="G890" s="22" t="n">
        <v>36</v>
      </c>
      <c r="H890" s="22" t="s">
        <v>7696</v>
      </c>
      <c r="I890" s="22" t="s">
        <v>8601</v>
      </c>
      <c r="J890" s="22" t="n">
        <v>7.55</v>
      </c>
      <c r="K890" s="22" t="n">
        <v>1</v>
      </c>
      <c r="L890" s="22" t="s">
        <v>8602</v>
      </c>
      <c r="M890" s="23" t="n">
        <v>45574</v>
      </c>
      <c r="N890" s="22"/>
      <c r="O890" s="22"/>
      <c r="P890" s="22" t="s">
        <v>8631</v>
      </c>
      <c r="Q890" s="22"/>
      <c r="R890" s="22"/>
    </row>
    <row r="891" customFormat="false" ht="15" hidden="false" customHeight="false" outlineLevel="0" collapsed="false">
      <c r="A891" s="22" t="s">
        <v>9696</v>
      </c>
      <c r="B891" s="23" t="n">
        <v>45558</v>
      </c>
      <c r="C891" s="22" t="s">
        <v>881</v>
      </c>
      <c r="D891" s="22" t="n">
        <v>255</v>
      </c>
      <c r="E891" s="22" t="s">
        <v>8131</v>
      </c>
      <c r="F891" s="22" t="s">
        <v>499</v>
      </c>
      <c r="G891" s="22" t="n">
        <v>45</v>
      </c>
      <c r="H891" s="22" t="s">
        <v>7696</v>
      </c>
      <c r="I891" s="22" t="s">
        <v>8601</v>
      </c>
      <c r="J891" s="22" t="n">
        <v>7.55</v>
      </c>
      <c r="K891" s="22" t="n">
        <v>1</v>
      </c>
      <c r="L891" s="22" t="s">
        <v>8605</v>
      </c>
      <c r="M891" s="23" t="n">
        <v>45572</v>
      </c>
      <c r="N891" s="23" t="n">
        <v>45571</v>
      </c>
      <c r="O891" s="22" t="n">
        <v>13</v>
      </c>
      <c r="P891" s="22"/>
      <c r="Q891" s="22" t="s">
        <v>6783</v>
      </c>
      <c r="R891" s="22"/>
    </row>
    <row r="892" customFormat="false" ht="15" hidden="false" customHeight="false" outlineLevel="0" collapsed="false">
      <c r="A892" s="22" t="s">
        <v>9697</v>
      </c>
      <c r="B892" s="23" t="n">
        <v>45561</v>
      </c>
      <c r="C892" s="22" t="s">
        <v>1845</v>
      </c>
      <c r="D892" s="22" t="n">
        <v>645</v>
      </c>
      <c r="E892" s="22" t="s">
        <v>6897</v>
      </c>
      <c r="F892" s="22" t="s">
        <v>198</v>
      </c>
      <c r="G892" s="22" t="n">
        <v>28</v>
      </c>
      <c r="H892" s="22" t="s">
        <v>6575</v>
      </c>
      <c r="I892" s="22" t="s">
        <v>8601</v>
      </c>
      <c r="J892" s="22" t="n">
        <v>10.4</v>
      </c>
      <c r="K892" s="22" t="n">
        <v>1</v>
      </c>
      <c r="L892" s="22" t="s">
        <v>157</v>
      </c>
      <c r="M892" s="23" t="n">
        <v>45571</v>
      </c>
      <c r="N892" s="23" t="n">
        <v>45571</v>
      </c>
      <c r="O892" s="22" t="n">
        <v>10</v>
      </c>
      <c r="P892" s="22"/>
      <c r="Q892" s="22"/>
      <c r="R892" s="22"/>
    </row>
    <row r="893" customFormat="false" ht="15" hidden="false" customHeight="false" outlineLevel="0" collapsed="false">
      <c r="A893" s="22" t="s">
        <v>9698</v>
      </c>
      <c r="B893" s="23" t="n">
        <v>45558</v>
      </c>
      <c r="C893" s="22" t="s">
        <v>5897</v>
      </c>
      <c r="D893" s="22" t="n">
        <v>2579</v>
      </c>
      <c r="E893" s="22" t="s">
        <v>7893</v>
      </c>
      <c r="F893" s="22" t="s">
        <v>215</v>
      </c>
      <c r="G893" s="22" t="n">
        <v>70</v>
      </c>
      <c r="H893" s="22" t="s">
        <v>7696</v>
      </c>
      <c r="I893" s="22" t="s">
        <v>8601</v>
      </c>
      <c r="J893" s="22" t="n">
        <v>7.55</v>
      </c>
      <c r="K893" s="22" t="n">
        <v>1</v>
      </c>
      <c r="L893" s="22" t="s">
        <v>8629</v>
      </c>
      <c r="M893" s="23" t="n">
        <v>45572</v>
      </c>
      <c r="N893" s="23" t="n">
        <v>45572</v>
      </c>
      <c r="O893" s="22" t="n">
        <v>14</v>
      </c>
      <c r="P893" s="22"/>
      <c r="Q893" s="22"/>
      <c r="R893" s="22"/>
    </row>
    <row r="894" customFormat="false" ht="15" hidden="false" customHeight="false" outlineLevel="0" collapsed="false">
      <c r="A894" s="22" t="s">
        <v>9699</v>
      </c>
      <c r="B894" s="23" t="n">
        <v>45591</v>
      </c>
      <c r="C894" s="22" t="s">
        <v>240</v>
      </c>
      <c r="D894" s="22" t="n">
        <v>26</v>
      </c>
      <c r="E894" s="22" t="s">
        <v>8386</v>
      </c>
      <c r="F894" s="22" t="s">
        <v>188</v>
      </c>
      <c r="G894" s="22" t="n">
        <v>28</v>
      </c>
      <c r="H894" s="22" t="s">
        <v>7696</v>
      </c>
      <c r="I894" s="22" t="s">
        <v>8601</v>
      </c>
      <c r="J894" s="22" t="n">
        <v>7.55</v>
      </c>
      <c r="K894" s="22" t="n">
        <v>1</v>
      </c>
      <c r="L894" s="22" t="s">
        <v>8602</v>
      </c>
      <c r="M894" s="23" t="n">
        <v>45605</v>
      </c>
      <c r="N894" s="22"/>
      <c r="O894" s="22"/>
      <c r="P894" s="22" t="s">
        <v>8631</v>
      </c>
      <c r="Q894" s="22"/>
      <c r="R894" s="22"/>
    </row>
    <row r="895" customFormat="false" ht="15" hidden="false" customHeight="false" outlineLevel="0" collapsed="false">
      <c r="A895" s="22" t="s">
        <v>9700</v>
      </c>
      <c r="B895" s="23" t="n">
        <v>45585</v>
      </c>
      <c r="C895" s="22" t="s">
        <v>3388</v>
      </c>
      <c r="D895" s="22" t="n">
        <v>1344</v>
      </c>
      <c r="E895" s="22" t="s">
        <v>7477</v>
      </c>
      <c r="F895" s="22" t="s">
        <v>159</v>
      </c>
      <c r="G895" s="22" t="n">
        <v>28</v>
      </c>
      <c r="H895" s="22" t="s">
        <v>6575</v>
      </c>
      <c r="I895" s="22" t="s">
        <v>8601</v>
      </c>
      <c r="J895" s="22" t="n">
        <v>10.4</v>
      </c>
      <c r="K895" s="22" t="n">
        <v>2</v>
      </c>
      <c r="L895" s="22" t="s">
        <v>8605</v>
      </c>
      <c r="M895" s="23" t="n">
        <v>45595</v>
      </c>
      <c r="N895" s="23" t="n">
        <v>45595</v>
      </c>
      <c r="O895" s="22" t="n">
        <v>10</v>
      </c>
      <c r="P895" s="22"/>
      <c r="Q895" s="22" t="s">
        <v>6883</v>
      </c>
      <c r="R895" s="22"/>
    </row>
    <row r="896" customFormat="false" ht="15" hidden="false" customHeight="false" outlineLevel="0" collapsed="false">
      <c r="A896" s="22" t="s">
        <v>9701</v>
      </c>
      <c r="B896" s="23" t="n">
        <v>45586</v>
      </c>
      <c r="C896" s="22" t="s">
        <v>6398</v>
      </c>
      <c r="D896" s="22" t="n">
        <v>2831</v>
      </c>
      <c r="E896" s="22" t="s">
        <v>8028</v>
      </c>
      <c r="F896" s="22" t="s">
        <v>215</v>
      </c>
      <c r="G896" s="22" t="n">
        <v>32</v>
      </c>
      <c r="H896" s="22" t="s">
        <v>7696</v>
      </c>
      <c r="I896" s="22" t="s">
        <v>8601</v>
      </c>
      <c r="J896" s="22" t="n">
        <v>7.55</v>
      </c>
      <c r="K896" s="22" t="n">
        <v>1</v>
      </c>
      <c r="L896" s="22" t="s">
        <v>8602</v>
      </c>
      <c r="M896" s="23" t="n">
        <v>45600</v>
      </c>
      <c r="N896" s="22"/>
      <c r="O896" s="22"/>
      <c r="P896" s="22" t="s">
        <v>8618</v>
      </c>
      <c r="Q896" s="22"/>
      <c r="R896" s="22"/>
    </row>
    <row r="897" customFormat="false" ht="15" hidden="false" customHeight="false" outlineLevel="0" collapsed="false">
      <c r="A897" s="22" t="s">
        <v>9702</v>
      </c>
      <c r="B897" s="23" t="n">
        <v>45592</v>
      </c>
      <c r="C897" s="22" t="s">
        <v>2094</v>
      </c>
      <c r="D897" s="22" t="n">
        <v>754</v>
      </c>
      <c r="E897" s="22" t="s">
        <v>7968</v>
      </c>
      <c r="F897" s="22" t="s">
        <v>215</v>
      </c>
      <c r="G897" s="22" t="n">
        <v>80</v>
      </c>
      <c r="H897" s="22" t="s">
        <v>7696</v>
      </c>
      <c r="I897" s="22" t="s">
        <v>8601</v>
      </c>
      <c r="J897" s="22" t="n">
        <v>7.55</v>
      </c>
      <c r="K897" s="22" t="n">
        <v>1</v>
      </c>
      <c r="L897" s="22" t="s">
        <v>8605</v>
      </c>
      <c r="M897" s="23" t="n">
        <v>45606</v>
      </c>
      <c r="N897" s="23" t="n">
        <v>45594</v>
      </c>
      <c r="O897" s="22" t="n">
        <v>2</v>
      </c>
      <c r="P897" s="22"/>
      <c r="Q897" s="22" t="s">
        <v>7130</v>
      </c>
      <c r="R897" s="22"/>
    </row>
    <row r="898" customFormat="false" ht="15" hidden="false" customHeight="false" outlineLevel="0" collapsed="false">
      <c r="A898" s="22" t="s">
        <v>9703</v>
      </c>
      <c r="B898" s="23" t="n">
        <v>45569</v>
      </c>
      <c r="C898" s="22" t="s">
        <v>2102</v>
      </c>
      <c r="D898" s="22" t="n">
        <v>758</v>
      </c>
      <c r="E898" s="22" t="s">
        <v>8538</v>
      </c>
      <c r="F898" s="22" t="s">
        <v>188</v>
      </c>
      <c r="G898" s="22" t="n">
        <v>24</v>
      </c>
      <c r="H898" s="22" t="s">
        <v>7696</v>
      </c>
      <c r="I898" s="22" t="s">
        <v>8601</v>
      </c>
      <c r="J898" s="22" t="n">
        <v>7.55</v>
      </c>
      <c r="K898" s="22" t="n">
        <v>2</v>
      </c>
      <c r="L898" s="22" t="s">
        <v>8605</v>
      </c>
      <c r="M898" s="23" t="n">
        <v>45583</v>
      </c>
      <c r="N898" s="23" t="n">
        <v>45584</v>
      </c>
      <c r="O898" s="22" t="n">
        <v>15</v>
      </c>
      <c r="P898" s="22"/>
      <c r="Q898" s="22" t="s">
        <v>7059</v>
      </c>
      <c r="R898" s="22"/>
    </row>
    <row r="899" customFormat="false" ht="15" hidden="false" customHeight="false" outlineLevel="0" collapsed="false">
      <c r="A899" s="22" t="s">
        <v>9704</v>
      </c>
      <c r="B899" s="23" t="n">
        <v>45584</v>
      </c>
      <c r="C899" s="22" t="s">
        <v>4968</v>
      </c>
      <c r="D899" s="22" t="n">
        <v>2117</v>
      </c>
      <c r="E899" s="22" t="s">
        <v>8147</v>
      </c>
      <c r="F899" s="22" t="s">
        <v>499</v>
      </c>
      <c r="G899" s="22" t="n">
        <v>60</v>
      </c>
      <c r="H899" s="22" t="s">
        <v>7696</v>
      </c>
      <c r="I899" s="22" t="s">
        <v>8601</v>
      </c>
      <c r="J899" s="22" t="n">
        <v>7.55</v>
      </c>
      <c r="K899" s="22" t="n">
        <v>1</v>
      </c>
      <c r="L899" s="22" t="s">
        <v>8605</v>
      </c>
      <c r="M899" s="23" t="n">
        <v>45598</v>
      </c>
      <c r="N899" s="23" t="n">
        <v>45599</v>
      </c>
      <c r="O899" s="22" t="n">
        <v>15</v>
      </c>
      <c r="P899" s="22"/>
      <c r="Q899" s="22" t="s">
        <v>6827</v>
      </c>
      <c r="R899" s="22"/>
    </row>
    <row r="900" customFormat="false" ht="15" hidden="false" customHeight="false" outlineLevel="0" collapsed="false">
      <c r="A900" s="22" t="s">
        <v>9705</v>
      </c>
      <c r="B900" s="23" t="n">
        <v>45588</v>
      </c>
      <c r="C900" s="22" t="s">
        <v>1957</v>
      </c>
      <c r="D900" s="22" t="n">
        <v>694</v>
      </c>
      <c r="E900" s="22" t="s">
        <v>8524</v>
      </c>
      <c r="F900" s="22" t="s">
        <v>188</v>
      </c>
      <c r="G900" s="22" t="n">
        <v>50</v>
      </c>
      <c r="H900" s="22" t="s">
        <v>7696</v>
      </c>
      <c r="I900" s="22" t="s">
        <v>8601</v>
      </c>
      <c r="J900" s="22" t="n">
        <v>7.55</v>
      </c>
      <c r="K900" s="22" t="n">
        <v>2</v>
      </c>
      <c r="L900" s="22" t="s">
        <v>8605</v>
      </c>
      <c r="M900" s="23" t="n">
        <v>45602</v>
      </c>
      <c r="N900" s="23" t="n">
        <v>45602</v>
      </c>
      <c r="O900" s="22" t="n">
        <v>14</v>
      </c>
      <c r="P900" s="22"/>
      <c r="Q900" s="22" t="s">
        <v>7026</v>
      </c>
      <c r="R900" s="22"/>
    </row>
    <row r="901" customFormat="false" ht="15" hidden="false" customHeight="false" outlineLevel="0" collapsed="false">
      <c r="A901" s="22" t="s">
        <v>9706</v>
      </c>
      <c r="B901" s="23" t="n">
        <v>45586</v>
      </c>
      <c r="C901" s="22" t="s">
        <v>2436</v>
      </c>
      <c r="D901" s="22" t="n">
        <v>908</v>
      </c>
      <c r="E901" s="22" t="s">
        <v>6588</v>
      </c>
      <c r="F901" s="22" t="s">
        <v>198</v>
      </c>
      <c r="G901" s="22" t="n">
        <v>24</v>
      </c>
      <c r="H901" s="22" t="s">
        <v>6575</v>
      </c>
      <c r="I901" s="22" t="s">
        <v>8601</v>
      </c>
      <c r="J901" s="22" t="n">
        <v>10.4</v>
      </c>
      <c r="K901" s="22" t="n">
        <v>1</v>
      </c>
      <c r="L901" s="22" t="s">
        <v>8605</v>
      </c>
      <c r="M901" s="23" t="n">
        <v>45596</v>
      </c>
      <c r="N901" s="23" t="n">
        <v>45595</v>
      </c>
      <c r="O901" s="22" t="n">
        <v>9</v>
      </c>
      <c r="P901" s="22"/>
      <c r="Q901" s="22" t="s">
        <v>6589</v>
      </c>
      <c r="R901" s="22"/>
    </row>
    <row r="902" customFormat="false" ht="15" hidden="false" customHeight="false" outlineLevel="0" collapsed="false">
      <c r="A902" s="22" t="s">
        <v>9707</v>
      </c>
      <c r="B902" s="23" t="n">
        <v>45586</v>
      </c>
      <c r="C902" s="22" t="s">
        <v>905</v>
      </c>
      <c r="D902" s="22" t="n">
        <v>264</v>
      </c>
      <c r="E902" s="22" t="s">
        <v>7646</v>
      </c>
      <c r="F902" s="22" t="s">
        <v>159</v>
      </c>
      <c r="G902" s="22" t="n">
        <v>28</v>
      </c>
      <c r="H902" s="22" t="s">
        <v>6575</v>
      </c>
      <c r="I902" s="22" t="s">
        <v>8601</v>
      </c>
      <c r="J902" s="22" t="n">
        <v>10.4</v>
      </c>
      <c r="K902" s="22" t="n">
        <v>2</v>
      </c>
      <c r="L902" s="22" t="s">
        <v>8602</v>
      </c>
      <c r="M902" s="23" t="n">
        <v>45596</v>
      </c>
      <c r="N902" s="22"/>
      <c r="O902" s="22"/>
      <c r="P902" s="22" t="s">
        <v>8637</v>
      </c>
      <c r="Q902" s="22"/>
      <c r="R902" s="22"/>
    </row>
    <row r="903" customFormat="false" ht="15" hidden="false" customHeight="false" outlineLevel="0" collapsed="false">
      <c r="A903" s="22" t="s">
        <v>9708</v>
      </c>
      <c r="B903" s="23" t="n">
        <v>45587</v>
      </c>
      <c r="C903" s="22" t="s">
        <v>3001</v>
      </c>
      <c r="D903" s="22" t="n">
        <v>1163</v>
      </c>
      <c r="E903" s="22" t="s">
        <v>8236</v>
      </c>
      <c r="F903" s="22" t="s">
        <v>499</v>
      </c>
      <c r="G903" s="22" t="n">
        <v>45</v>
      </c>
      <c r="H903" s="22" t="s">
        <v>7696</v>
      </c>
      <c r="I903" s="22" t="s">
        <v>8601</v>
      </c>
      <c r="J903" s="22" t="n">
        <v>7.55</v>
      </c>
      <c r="K903" s="22" t="n">
        <v>1</v>
      </c>
      <c r="L903" s="22" t="s">
        <v>8605</v>
      </c>
      <c r="M903" s="23" t="n">
        <v>45601</v>
      </c>
      <c r="N903" s="23" t="n">
        <v>45593</v>
      </c>
      <c r="O903" s="22" t="n">
        <v>6</v>
      </c>
      <c r="P903" s="22"/>
      <c r="Q903" s="22" t="s">
        <v>7031</v>
      </c>
      <c r="R903" s="22"/>
    </row>
    <row r="904" customFormat="false" ht="15" hidden="false" customHeight="false" outlineLevel="0" collapsed="false">
      <c r="A904" s="22" t="s">
        <v>9709</v>
      </c>
      <c r="B904" s="23" t="n">
        <v>45590</v>
      </c>
      <c r="C904" s="22" t="s">
        <v>6155</v>
      </c>
      <c r="D904" s="22" t="n">
        <v>2708</v>
      </c>
      <c r="E904" s="22" t="s">
        <v>8268</v>
      </c>
      <c r="F904" s="22" t="s">
        <v>499</v>
      </c>
      <c r="G904" s="22" t="n">
        <v>28</v>
      </c>
      <c r="H904" s="22" t="s">
        <v>7696</v>
      </c>
      <c r="I904" s="22" t="s">
        <v>8601</v>
      </c>
      <c r="J904" s="22" t="n">
        <v>7.55</v>
      </c>
      <c r="K904" s="22" t="n">
        <v>1</v>
      </c>
      <c r="L904" s="22" t="s">
        <v>8602</v>
      </c>
      <c r="M904" s="23" t="n">
        <v>45604</v>
      </c>
      <c r="N904" s="22"/>
      <c r="O904" s="22"/>
      <c r="P904" s="22" t="s">
        <v>8618</v>
      </c>
      <c r="Q904" s="22"/>
      <c r="R904" s="22"/>
    </row>
    <row r="905" customFormat="false" ht="15" hidden="false" customHeight="false" outlineLevel="0" collapsed="false">
      <c r="A905" s="22" t="s">
        <v>9710</v>
      </c>
      <c r="B905" s="23" t="n">
        <v>45587</v>
      </c>
      <c r="C905" s="22" t="s">
        <v>2590</v>
      </c>
      <c r="D905" s="22" t="n">
        <v>978</v>
      </c>
      <c r="E905" s="22" t="s">
        <v>7810</v>
      </c>
      <c r="F905" s="22" t="s">
        <v>215</v>
      </c>
      <c r="G905" s="22" t="n">
        <v>40</v>
      </c>
      <c r="H905" s="22" t="s">
        <v>7696</v>
      </c>
      <c r="I905" s="22" t="s">
        <v>8601</v>
      </c>
      <c r="J905" s="22" t="n">
        <v>7.55</v>
      </c>
      <c r="K905" s="22" t="n">
        <v>2</v>
      </c>
      <c r="L905" s="22" t="s">
        <v>8629</v>
      </c>
      <c r="M905" s="23" t="n">
        <v>45601</v>
      </c>
      <c r="N905" s="23" t="n">
        <v>45591</v>
      </c>
      <c r="O905" s="22" t="n">
        <v>4</v>
      </c>
      <c r="P905" s="22"/>
      <c r="Q905" s="22"/>
      <c r="R905" s="22"/>
    </row>
    <row r="906" customFormat="false" ht="15" hidden="false" customHeight="false" outlineLevel="0" collapsed="false">
      <c r="A906" s="22" t="s">
        <v>9711</v>
      </c>
      <c r="B906" s="23" t="n">
        <v>45566</v>
      </c>
      <c r="C906" s="22" t="s">
        <v>830</v>
      </c>
      <c r="D906" s="22" t="n">
        <v>235</v>
      </c>
      <c r="E906" s="22" t="s">
        <v>8322</v>
      </c>
      <c r="F906" s="22" t="s">
        <v>499</v>
      </c>
      <c r="G906" s="22" t="n">
        <v>45</v>
      </c>
      <c r="H906" s="22" t="s">
        <v>7696</v>
      </c>
      <c r="I906" s="22" t="s">
        <v>8601</v>
      </c>
      <c r="J906" s="22" t="n">
        <v>7.55</v>
      </c>
      <c r="K906" s="22" t="n">
        <v>2</v>
      </c>
      <c r="L906" s="22" t="s">
        <v>8605</v>
      </c>
      <c r="M906" s="23" t="n">
        <v>45580</v>
      </c>
      <c r="N906" s="23" t="n">
        <v>45582</v>
      </c>
      <c r="O906" s="22" t="n">
        <v>16</v>
      </c>
      <c r="P906" s="22"/>
      <c r="Q906" s="22" t="s">
        <v>7213</v>
      </c>
      <c r="R906" s="22"/>
    </row>
    <row r="907" customFormat="false" ht="15" hidden="false" customHeight="false" outlineLevel="0" collapsed="false">
      <c r="A907" s="22" t="s">
        <v>9712</v>
      </c>
      <c r="B907" s="23" t="n">
        <v>45569</v>
      </c>
      <c r="C907" s="22" t="s">
        <v>3924</v>
      </c>
      <c r="D907" s="22" t="n">
        <v>1606</v>
      </c>
      <c r="E907" s="22" t="s">
        <v>7830</v>
      </c>
      <c r="F907" s="22" t="s">
        <v>215</v>
      </c>
      <c r="G907" s="22" t="n">
        <v>32</v>
      </c>
      <c r="H907" s="22" t="s">
        <v>7696</v>
      </c>
      <c r="I907" s="22" t="s">
        <v>8601</v>
      </c>
      <c r="J907" s="22" t="n">
        <v>7.55</v>
      </c>
      <c r="K907" s="22" t="n">
        <v>1</v>
      </c>
      <c r="L907" s="22" t="s">
        <v>8605</v>
      </c>
      <c r="M907" s="23" t="n">
        <v>45583</v>
      </c>
      <c r="N907" s="23" t="n">
        <v>45577</v>
      </c>
      <c r="O907" s="22" t="n">
        <v>8</v>
      </c>
      <c r="P907" s="22"/>
      <c r="Q907" s="22" t="s">
        <v>6847</v>
      </c>
      <c r="R907" s="22"/>
    </row>
    <row r="908" customFormat="false" ht="15" hidden="false" customHeight="false" outlineLevel="0" collapsed="false">
      <c r="A908" s="22" t="s">
        <v>9713</v>
      </c>
      <c r="B908" s="23" t="n">
        <v>45588</v>
      </c>
      <c r="C908" s="22" t="s">
        <v>3737</v>
      </c>
      <c r="D908" s="22" t="n">
        <v>1513</v>
      </c>
      <c r="E908" s="22" t="s">
        <v>7904</v>
      </c>
      <c r="F908" s="22" t="s">
        <v>215</v>
      </c>
      <c r="G908" s="22" t="n">
        <v>45</v>
      </c>
      <c r="H908" s="22" t="s">
        <v>7696</v>
      </c>
      <c r="I908" s="22" t="s">
        <v>8601</v>
      </c>
      <c r="J908" s="22" t="n">
        <v>7.55</v>
      </c>
      <c r="K908" s="22" t="n">
        <v>2</v>
      </c>
      <c r="L908" s="22" t="s">
        <v>8605</v>
      </c>
      <c r="M908" s="23" t="n">
        <v>45602</v>
      </c>
      <c r="N908" s="23" t="n">
        <v>45602</v>
      </c>
      <c r="O908" s="22" t="n">
        <v>14</v>
      </c>
      <c r="P908" s="22"/>
      <c r="Q908" s="22" t="s">
        <v>7004</v>
      </c>
      <c r="R908" s="22"/>
    </row>
    <row r="909" customFormat="false" ht="15" hidden="false" customHeight="false" outlineLevel="0" collapsed="false">
      <c r="A909" s="22" t="s">
        <v>9714</v>
      </c>
      <c r="B909" s="23" t="n">
        <v>45572</v>
      </c>
      <c r="C909" s="22" t="s">
        <v>1227</v>
      </c>
      <c r="D909" s="22" t="n">
        <v>387</v>
      </c>
      <c r="E909" s="22" t="s">
        <v>8556</v>
      </c>
      <c r="F909" s="22" t="s">
        <v>188</v>
      </c>
      <c r="G909" s="22" t="n">
        <v>70</v>
      </c>
      <c r="H909" s="22" t="s">
        <v>7696</v>
      </c>
      <c r="I909" s="22" t="s">
        <v>8601</v>
      </c>
      <c r="J909" s="22" t="n">
        <v>7.55</v>
      </c>
      <c r="K909" s="22" t="n">
        <v>2</v>
      </c>
      <c r="L909" s="22" t="s">
        <v>8605</v>
      </c>
      <c r="M909" s="23" t="n">
        <v>45586</v>
      </c>
      <c r="N909" s="23" t="n">
        <v>45579</v>
      </c>
      <c r="O909" s="22" t="n">
        <v>7</v>
      </c>
      <c r="P909" s="22"/>
      <c r="Q909" s="22" t="s">
        <v>7100</v>
      </c>
      <c r="R909" s="22"/>
    </row>
    <row r="910" customFormat="false" ht="15" hidden="false" customHeight="false" outlineLevel="0" collapsed="false">
      <c r="A910" s="22" t="s">
        <v>9715</v>
      </c>
      <c r="B910" s="23" t="n">
        <v>45592</v>
      </c>
      <c r="C910" s="22" t="s">
        <v>6354</v>
      </c>
      <c r="D910" s="22" t="n">
        <v>2808</v>
      </c>
      <c r="E910" s="22" t="s">
        <v>7500</v>
      </c>
      <c r="F910" s="22" t="s">
        <v>159</v>
      </c>
      <c r="G910" s="22" t="n">
        <v>24</v>
      </c>
      <c r="H910" s="22" t="s">
        <v>6575</v>
      </c>
      <c r="I910" s="22" t="s">
        <v>8601</v>
      </c>
      <c r="J910" s="22" t="n">
        <v>10.4</v>
      </c>
      <c r="K910" s="22" t="n">
        <v>1</v>
      </c>
      <c r="L910" s="22" t="s">
        <v>8602</v>
      </c>
      <c r="M910" s="23" t="n">
        <v>45602</v>
      </c>
      <c r="N910" s="22"/>
      <c r="O910" s="22"/>
      <c r="P910" s="22" t="s">
        <v>8631</v>
      </c>
      <c r="Q910" s="22"/>
      <c r="R910" s="22"/>
    </row>
    <row r="911" customFormat="false" ht="15" hidden="false" customHeight="false" outlineLevel="0" collapsed="false">
      <c r="A911" s="22" t="s">
        <v>9716</v>
      </c>
      <c r="B911" s="23" t="n">
        <v>45588</v>
      </c>
      <c r="C911" s="22" t="s">
        <v>4519</v>
      </c>
      <c r="D911" s="22" t="n">
        <v>1897</v>
      </c>
      <c r="E911" s="22" t="s">
        <v>6808</v>
      </c>
      <c r="F911" s="22" t="s">
        <v>198</v>
      </c>
      <c r="G911" s="22" t="n">
        <v>28</v>
      </c>
      <c r="H911" s="22" t="s">
        <v>6575</v>
      </c>
      <c r="I911" s="22" t="s">
        <v>8601</v>
      </c>
      <c r="J911" s="22" t="n">
        <v>10.4</v>
      </c>
      <c r="K911" s="22" t="n">
        <v>1</v>
      </c>
      <c r="L911" s="22" t="s">
        <v>8605</v>
      </c>
      <c r="M911" s="23" t="n">
        <v>45598</v>
      </c>
      <c r="N911" s="23" t="n">
        <v>45591</v>
      </c>
      <c r="O911" s="22" t="n">
        <v>3</v>
      </c>
      <c r="P911" s="22"/>
      <c r="Q911" s="22" t="s">
        <v>6809</v>
      </c>
      <c r="R911" s="22"/>
    </row>
    <row r="912" customFormat="false" ht="15" hidden="false" customHeight="false" outlineLevel="0" collapsed="false">
      <c r="A912" s="22" t="s">
        <v>9717</v>
      </c>
      <c r="B912" s="23" t="n">
        <v>45582</v>
      </c>
      <c r="C912" s="22" t="s">
        <v>583</v>
      </c>
      <c r="D912" s="22" t="n">
        <v>144</v>
      </c>
      <c r="E912" s="22" t="s">
        <v>7456</v>
      </c>
      <c r="F912" s="22" t="s">
        <v>159</v>
      </c>
      <c r="G912" s="22" t="n">
        <v>24</v>
      </c>
      <c r="H912" s="22" t="s">
        <v>6575</v>
      </c>
      <c r="I912" s="22" t="s">
        <v>8601</v>
      </c>
      <c r="J912" s="22" t="n">
        <v>10.4</v>
      </c>
      <c r="K912" s="22" t="n">
        <v>2</v>
      </c>
      <c r="L912" s="22" t="s">
        <v>8605</v>
      </c>
      <c r="M912" s="23" t="n">
        <v>45592</v>
      </c>
      <c r="N912" s="23" t="n">
        <v>45590</v>
      </c>
      <c r="O912" s="22" t="n">
        <v>8</v>
      </c>
      <c r="P912" s="22"/>
      <c r="Q912" s="22" t="s">
        <v>6847</v>
      </c>
      <c r="R912" s="22"/>
    </row>
    <row r="913" customFormat="false" ht="15" hidden="false" customHeight="false" outlineLevel="0" collapsed="false">
      <c r="A913" s="22" t="s">
        <v>9718</v>
      </c>
      <c r="B913" s="23" t="n">
        <v>45593</v>
      </c>
      <c r="C913" s="22" t="s">
        <v>2163</v>
      </c>
      <c r="D913" s="22" t="n">
        <v>785</v>
      </c>
      <c r="E913" s="22" t="s">
        <v>7926</v>
      </c>
      <c r="F913" s="22" t="s">
        <v>215</v>
      </c>
      <c r="G913" s="22" t="n">
        <v>40</v>
      </c>
      <c r="H913" s="22" t="s">
        <v>7696</v>
      </c>
      <c r="I913" s="22" t="s">
        <v>8601</v>
      </c>
      <c r="J913" s="22" t="n">
        <v>7.55</v>
      </c>
      <c r="K913" s="22" t="n">
        <v>1</v>
      </c>
      <c r="L913" s="22" t="s">
        <v>8605</v>
      </c>
      <c r="M913" s="23" t="n">
        <v>45607</v>
      </c>
      <c r="N913" s="23" t="n">
        <v>45595</v>
      </c>
      <c r="O913" s="22" t="n">
        <v>2</v>
      </c>
      <c r="P913" s="22"/>
      <c r="Q913" s="22" t="s">
        <v>7051</v>
      </c>
      <c r="R913" s="22"/>
    </row>
    <row r="914" customFormat="false" ht="15" hidden="false" customHeight="false" outlineLevel="0" collapsed="false">
      <c r="A914" s="22" t="s">
        <v>9719</v>
      </c>
      <c r="B914" s="23" t="n">
        <v>45579</v>
      </c>
      <c r="C914" s="22" t="s">
        <v>5893</v>
      </c>
      <c r="D914" s="22" t="n">
        <v>2577</v>
      </c>
      <c r="E914" s="22" t="s">
        <v>7939</v>
      </c>
      <c r="F914" s="22" t="s">
        <v>215</v>
      </c>
      <c r="G914" s="22" t="n">
        <v>36</v>
      </c>
      <c r="H914" s="22" t="s">
        <v>7696</v>
      </c>
      <c r="I914" s="22" t="s">
        <v>8601</v>
      </c>
      <c r="J914" s="22" t="n">
        <v>7.55</v>
      </c>
      <c r="K914" s="22" t="n">
        <v>1</v>
      </c>
      <c r="L914" s="22" t="s">
        <v>157</v>
      </c>
      <c r="M914" s="23" t="n">
        <v>45593</v>
      </c>
      <c r="N914" s="23" t="n">
        <v>45596</v>
      </c>
      <c r="O914" s="22" t="n">
        <v>17</v>
      </c>
      <c r="P914" s="22"/>
      <c r="Q914" s="22"/>
      <c r="R914" s="22"/>
    </row>
    <row r="915" customFormat="false" ht="15" hidden="false" customHeight="false" outlineLevel="0" collapsed="false">
      <c r="A915" s="22" t="s">
        <v>9720</v>
      </c>
      <c r="B915" s="23" t="n">
        <v>45580</v>
      </c>
      <c r="C915" s="22" t="s">
        <v>3421</v>
      </c>
      <c r="D915" s="22" t="n">
        <v>1360</v>
      </c>
      <c r="E915" s="22" t="s">
        <v>8207</v>
      </c>
      <c r="F915" s="22" t="s">
        <v>499</v>
      </c>
      <c r="G915" s="22" t="n">
        <v>32</v>
      </c>
      <c r="H915" s="22" t="s">
        <v>7696</v>
      </c>
      <c r="I915" s="22" t="s">
        <v>8601</v>
      </c>
      <c r="J915" s="22" t="n">
        <v>7.55</v>
      </c>
      <c r="K915" s="22" t="n">
        <v>1</v>
      </c>
      <c r="L915" s="22" t="s">
        <v>8605</v>
      </c>
      <c r="M915" s="23" t="n">
        <v>45594</v>
      </c>
      <c r="N915" s="23" t="n">
        <v>45591</v>
      </c>
      <c r="O915" s="22" t="n">
        <v>11</v>
      </c>
      <c r="P915" s="22"/>
      <c r="Q915" s="22" t="s">
        <v>6963</v>
      </c>
      <c r="R915" s="22"/>
    </row>
    <row r="916" customFormat="false" ht="15" hidden="false" customHeight="false" outlineLevel="0" collapsed="false">
      <c r="A916" s="22" t="s">
        <v>9721</v>
      </c>
      <c r="B916" s="23" t="n">
        <v>45577</v>
      </c>
      <c r="C916" s="22" t="s">
        <v>368</v>
      </c>
      <c r="D916" s="22" t="n">
        <v>70</v>
      </c>
      <c r="E916" s="22" t="s">
        <v>8564</v>
      </c>
      <c r="F916" s="22" t="s">
        <v>188</v>
      </c>
      <c r="G916" s="22" t="n">
        <v>32</v>
      </c>
      <c r="H916" s="22" t="s">
        <v>7696</v>
      </c>
      <c r="I916" s="22" t="s">
        <v>8601</v>
      </c>
      <c r="J916" s="22" t="n">
        <v>7.55</v>
      </c>
      <c r="K916" s="22" t="n">
        <v>1</v>
      </c>
      <c r="L916" s="22" t="s">
        <v>8629</v>
      </c>
      <c r="M916" s="23" t="n">
        <v>45591</v>
      </c>
      <c r="N916" s="23" t="n">
        <v>45579</v>
      </c>
      <c r="O916" s="22" t="n">
        <v>2</v>
      </c>
      <c r="P916" s="22"/>
      <c r="Q916" s="22"/>
      <c r="R916" s="22"/>
    </row>
    <row r="917" customFormat="false" ht="15" hidden="false" customHeight="false" outlineLevel="0" collapsed="false">
      <c r="A917" s="22" t="s">
        <v>9722</v>
      </c>
      <c r="B917" s="23" t="n">
        <v>45574</v>
      </c>
      <c r="C917" s="22" t="s">
        <v>1989</v>
      </c>
      <c r="D917" s="22" t="n">
        <v>707</v>
      </c>
      <c r="E917" s="22" t="s">
        <v>7246</v>
      </c>
      <c r="F917" s="22" t="s">
        <v>198</v>
      </c>
      <c r="G917" s="22" t="n">
        <v>36</v>
      </c>
      <c r="H917" s="22" t="s">
        <v>6575</v>
      </c>
      <c r="I917" s="22" t="s">
        <v>8601</v>
      </c>
      <c r="J917" s="22" t="n">
        <v>10.4</v>
      </c>
      <c r="K917" s="22" t="n">
        <v>1</v>
      </c>
      <c r="L917" s="22" t="s">
        <v>8605</v>
      </c>
      <c r="M917" s="23" t="n">
        <v>45584</v>
      </c>
      <c r="N917" s="23" t="n">
        <v>45578</v>
      </c>
      <c r="O917" s="22" t="n">
        <v>4</v>
      </c>
      <c r="P917" s="22"/>
      <c r="Q917" s="22" t="s">
        <v>9723</v>
      </c>
      <c r="R917" s="22"/>
    </row>
    <row r="918" customFormat="false" ht="15" hidden="false" customHeight="false" outlineLevel="0" collapsed="false">
      <c r="A918" s="22" t="s">
        <v>9724</v>
      </c>
      <c r="B918" s="23" t="n">
        <v>45593</v>
      </c>
      <c r="C918" s="22" t="s">
        <v>2448</v>
      </c>
      <c r="D918" s="22" t="n">
        <v>914</v>
      </c>
      <c r="E918" s="22" t="s">
        <v>8582</v>
      </c>
      <c r="F918" s="22" t="s">
        <v>188</v>
      </c>
      <c r="G918" s="22" t="n">
        <v>50</v>
      </c>
      <c r="H918" s="22" t="s">
        <v>7696</v>
      </c>
      <c r="I918" s="22" t="s">
        <v>8601</v>
      </c>
      <c r="J918" s="22" t="n">
        <v>7.55</v>
      </c>
      <c r="K918" s="22" t="n">
        <v>1</v>
      </c>
      <c r="L918" s="22" t="s">
        <v>8605</v>
      </c>
      <c r="M918" s="23" t="n">
        <v>45607</v>
      </c>
      <c r="N918" s="23" t="n">
        <v>45601</v>
      </c>
      <c r="O918" s="22" t="n">
        <v>8</v>
      </c>
      <c r="P918" s="22"/>
      <c r="Q918" s="22" t="s">
        <v>7162</v>
      </c>
      <c r="R918" s="22"/>
    </row>
    <row r="919" customFormat="false" ht="15" hidden="false" customHeight="false" outlineLevel="0" collapsed="false">
      <c r="A919" s="22" t="s">
        <v>9725</v>
      </c>
      <c r="B919" s="23" t="n">
        <v>45590</v>
      </c>
      <c r="C919" s="22" t="s">
        <v>2161</v>
      </c>
      <c r="D919" s="22" t="n">
        <v>784</v>
      </c>
      <c r="E919" s="22" t="s">
        <v>7560</v>
      </c>
      <c r="F919" s="22" t="s">
        <v>159</v>
      </c>
      <c r="G919" s="22" t="n">
        <v>32</v>
      </c>
      <c r="H919" s="22" t="s">
        <v>6575</v>
      </c>
      <c r="I919" s="22" t="s">
        <v>8601</v>
      </c>
      <c r="J919" s="22" t="n">
        <v>10.4</v>
      </c>
      <c r="K919" s="22" t="n">
        <v>1</v>
      </c>
      <c r="L919" s="22" t="s">
        <v>157</v>
      </c>
      <c r="M919" s="23" t="n">
        <v>45600</v>
      </c>
      <c r="N919" s="23" t="n">
        <v>45603</v>
      </c>
      <c r="O919" s="22" t="n">
        <v>13</v>
      </c>
      <c r="P919" s="22"/>
      <c r="Q919" s="22"/>
      <c r="R919" s="22"/>
    </row>
    <row r="920" customFormat="false" ht="15" hidden="false" customHeight="false" outlineLevel="0" collapsed="false">
      <c r="A920" s="22" t="s">
        <v>9726</v>
      </c>
      <c r="B920" s="23" t="n">
        <v>45578</v>
      </c>
      <c r="C920" s="22" t="s">
        <v>5355</v>
      </c>
      <c r="D920" s="22" t="n">
        <v>2308</v>
      </c>
      <c r="E920" s="22" t="s">
        <v>7376</v>
      </c>
      <c r="F920" s="22" t="s">
        <v>159</v>
      </c>
      <c r="G920" s="22" t="n">
        <v>28</v>
      </c>
      <c r="H920" s="22" t="s">
        <v>6575</v>
      </c>
      <c r="I920" s="22" t="s">
        <v>8601</v>
      </c>
      <c r="J920" s="22" t="n">
        <v>10.4</v>
      </c>
      <c r="K920" s="22" t="n">
        <v>1</v>
      </c>
      <c r="L920" s="22" t="s">
        <v>8629</v>
      </c>
      <c r="M920" s="23" t="n">
        <v>45588</v>
      </c>
      <c r="N920" s="23" t="n">
        <v>45587</v>
      </c>
      <c r="O920" s="22" t="n">
        <v>9</v>
      </c>
      <c r="P920" s="22"/>
      <c r="Q920" s="22"/>
      <c r="R920" s="22"/>
    </row>
    <row r="921" customFormat="false" ht="15" hidden="false" customHeight="false" outlineLevel="0" collapsed="false">
      <c r="A921" s="22" t="s">
        <v>9727</v>
      </c>
      <c r="B921" s="23" t="n">
        <v>45587</v>
      </c>
      <c r="C921" s="22" t="s">
        <v>3128</v>
      </c>
      <c r="D921" s="22" t="n">
        <v>1221</v>
      </c>
      <c r="E921" s="22" t="s">
        <v>7311</v>
      </c>
      <c r="F921" s="22" t="s">
        <v>159</v>
      </c>
      <c r="G921" s="22" t="n">
        <v>24</v>
      </c>
      <c r="H921" s="22" t="s">
        <v>6575</v>
      </c>
      <c r="I921" s="22" t="s">
        <v>8601</v>
      </c>
      <c r="J921" s="22" t="n">
        <v>10.4</v>
      </c>
      <c r="K921" s="22" t="n">
        <v>2</v>
      </c>
      <c r="L921" s="22" t="s">
        <v>8605</v>
      </c>
      <c r="M921" s="23" t="n">
        <v>45597</v>
      </c>
      <c r="N921" s="23" t="n">
        <v>45597</v>
      </c>
      <c r="O921" s="22" t="n">
        <v>10</v>
      </c>
      <c r="P921" s="22"/>
      <c r="Q921" s="22" t="s">
        <v>6595</v>
      </c>
      <c r="R921" s="22"/>
    </row>
    <row r="922" customFormat="false" ht="15" hidden="false" customHeight="false" outlineLevel="0" collapsed="false">
      <c r="A922" s="22" t="s">
        <v>9728</v>
      </c>
      <c r="B922" s="23" t="n">
        <v>45590</v>
      </c>
      <c r="C922" s="22" t="s">
        <v>6435</v>
      </c>
      <c r="D922" s="22" t="n">
        <v>2851</v>
      </c>
      <c r="E922" s="22" t="s">
        <v>7372</v>
      </c>
      <c r="F922" s="22" t="s">
        <v>159</v>
      </c>
      <c r="G922" s="22" t="n">
        <v>24</v>
      </c>
      <c r="H922" s="22" t="s">
        <v>6575</v>
      </c>
      <c r="I922" s="22" t="s">
        <v>8601</v>
      </c>
      <c r="J922" s="22" t="n">
        <v>10.4</v>
      </c>
      <c r="K922" s="22" t="n">
        <v>1</v>
      </c>
      <c r="L922" s="22" t="s">
        <v>8605</v>
      </c>
      <c r="M922" s="23" t="n">
        <v>45600</v>
      </c>
      <c r="N922" s="23" t="n">
        <v>45597</v>
      </c>
      <c r="O922" s="22" t="n">
        <v>7</v>
      </c>
      <c r="P922" s="22"/>
      <c r="Q922" s="22" t="s">
        <v>6712</v>
      </c>
      <c r="R922" s="22"/>
    </row>
    <row r="923" customFormat="false" ht="15" hidden="false" customHeight="false" outlineLevel="0" collapsed="false">
      <c r="A923" s="22" t="s">
        <v>9729</v>
      </c>
      <c r="B923" s="23" t="n">
        <v>45580</v>
      </c>
      <c r="C923" s="22" t="s">
        <v>917</v>
      </c>
      <c r="D923" s="22" t="n">
        <v>269</v>
      </c>
      <c r="E923" s="22" t="s">
        <v>7386</v>
      </c>
      <c r="F923" s="22" t="s">
        <v>159</v>
      </c>
      <c r="G923" s="22" t="n">
        <v>28</v>
      </c>
      <c r="H923" s="22" t="s">
        <v>6575</v>
      </c>
      <c r="I923" s="22" t="s">
        <v>8601</v>
      </c>
      <c r="J923" s="22" t="n">
        <v>10.4</v>
      </c>
      <c r="K923" s="22" t="n">
        <v>1</v>
      </c>
      <c r="L923" s="22" t="s">
        <v>8602</v>
      </c>
      <c r="M923" s="23" t="n">
        <v>45590</v>
      </c>
      <c r="N923" s="22"/>
      <c r="O923" s="22"/>
      <c r="P923" s="22" t="s">
        <v>8603</v>
      </c>
      <c r="Q923" s="22"/>
      <c r="R923" s="22"/>
    </row>
    <row r="924" customFormat="false" ht="15" hidden="false" customHeight="false" outlineLevel="0" collapsed="false">
      <c r="A924" s="22" t="s">
        <v>9730</v>
      </c>
      <c r="B924" s="23" t="n">
        <v>45589</v>
      </c>
      <c r="C924" s="22" t="s">
        <v>4123</v>
      </c>
      <c r="D924" s="22" t="n">
        <v>1703</v>
      </c>
      <c r="E924" s="22" t="s">
        <v>7971</v>
      </c>
      <c r="F924" s="22" t="s">
        <v>215</v>
      </c>
      <c r="G924" s="22" t="n">
        <v>45</v>
      </c>
      <c r="H924" s="22" t="s">
        <v>7696</v>
      </c>
      <c r="I924" s="22" t="s">
        <v>8601</v>
      </c>
      <c r="J924" s="22" t="n">
        <v>7.55</v>
      </c>
      <c r="K924" s="22" t="n">
        <v>1</v>
      </c>
      <c r="L924" s="22" t="s">
        <v>8605</v>
      </c>
      <c r="M924" s="23" t="n">
        <v>45603</v>
      </c>
      <c r="N924" s="23" t="n">
        <v>45602</v>
      </c>
      <c r="O924" s="22" t="n">
        <v>13</v>
      </c>
      <c r="P924" s="22"/>
      <c r="Q924" s="22" t="s">
        <v>7135</v>
      </c>
      <c r="R924" s="22"/>
    </row>
    <row r="925" customFormat="false" ht="15" hidden="false" customHeight="false" outlineLevel="0" collapsed="false">
      <c r="A925" s="22" t="s">
        <v>9731</v>
      </c>
      <c r="B925" s="23" t="n">
        <v>45585</v>
      </c>
      <c r="C925" s="22" t="s">
        <v>6206</v>
      </c>
      <c r="D925" s="22" t="n">
        <v>2733</v>
      </c>
      <c r="E925" s="22" t="s">
        <v>8270</v>
      </c>
      <c r="F925" s="22" t="s">
        <v>499</v>
      </c>
      <c r="G925" s="22" t="n">
        <v>70</v>
      </c>
      <c r="H925" s="22" t="s">
        <v>7696</v>
      </c>
      <c r="I925" s="22" t="s">
        <v>8601</v>
      </c>
      <c r="J925" s="22" t="n">
        <v>7.55</v>
      </c>
      <c r="K925" s="22" t="n">
        <v>1</v>
      </c>
      <c r="L925" s="22" t="s">
        <v>8602</v>
      </c>
      <c r="M925" s="23" t="n">
        <v>45599</v>
      </c>
      <c r="N925" s="22"/>
      <c r="O925" s="22"/>
      <c r="P925" s="22" t="s">
        <v>8603</v>
      </c>
      <c r="Q925" s="22"/>
      <c r="R925" s="22"/>
    </row>
    <row r="926" customFormat="false" ht="15" hidden="false" customHeight="false" outlineLevel="0" collapsed="false">
      <c r="A926" s="22" t="s">
        <v>9732</v>
      </c>
      <c r="B926" s="23" t="n">
        <v>45619</v>
      </c>
      <c r="C926" s="22" t="s">
        <v>2304</v>
      </c>
      <c r="D926" s="22" t="n">
        <v>847</v>
      </c>
      <c r="E926" s="22" t="s">
        <v>8263</v>
      </c>
      <c r="F926" s="22" t="s">
        <v>499</v>
      </c>
      <c r="G926" s="22" t="n">
        <v>28</v>
      </c>
      <c r="H926" s="22" t="s">
        <v>7696</v>
      </c>
      <c r="I926" s="22" t="s">
        <v>8601</v>
      </c>
      <c r="J926" s="22" t="n">
        <v>7.55</v>
      </c>
      <c r="K926" s="22" t="n">
        <v>1</v>
      </c>
      <c r="L926" s="22" t="s">
        <v>8605</v>
      </c>
      <c r="M926" s="23" t="n">
        <v>45633</v>
      </c>
      <c r="N926" s="23" t="n">
        <v>45625</v>
      </c>
      <c r="O926" s="22" t="n">
        <v>6</v>
      </c>
      <c r="P926" s="22"/>
      <c r="Q926" s="22" t="s">
        <v>7082</v>
      </c>
      <c r="R926" s="22"/>
    </row>
    <row r="927" customFormat="false" ht="15" hidden="false" customHeight="false" outlineLevel="0" collapsed="false">
      <c r="A927" s="22" t="s">
        <v>9733</v>
      </c>
      <c r="B927" s="23" t="n">
        <v>45604</v>
      </c>
      <c r="C927" s="22" t="s">
        <v>5875</v>
      </c>
      <c r="D927" s="22" t="n">
        <v>2568</v>
      </c>
      <c r="E927" s="22" t="s">
        <v>7053</v>
      </c>
      <c r="F927" s="22" t="s">
        <v>198</v>
      </c>
      <c r="G927" s="22" t="n">
        <v>36</v>
      </c>
      <c r="H927" s="22" t="s">
        <v>6575</v>
      </c>
      <c r="I927" s="22" t="s">
        <v>8601</v>
      </c>
      <c r="J927" s="22" t="n">
        <v>10.4</v>
      </c>
      <c r="K927" s="22" t="n">
        <v>1</v>
      </c>
      <c r="L927" s="22" t="s">
        <v>8605</v>
      </c>
      <c r="M927" s="23" t="n">
        <v>45614</v>
      </c>
      <c r="N927" s="23" t="n">
        <v>45607</v>
      </c>
      <c r="O927" s="22" t="n">
        <v>3</v>
      </c>
      <c r="P927" s="22"/>
      <c r="Q927" s="22" t="s">
        <v>7575</v>
      </c>
      <c r="R927" s="22"/>
    </row>
    <row r="928" customFormat="false" ht="15" hidden="false" customHeight="false" outlineLevel="0" collapsed="false">
      <c r="A928" s="22" t="s">
        <v>9734</v>
      </c>
      <c r="B928" s="23" t="n">
        <v>45602</v>
      </c>
      <c r="C928" s="22" t="s">
        <v>5987</v>
      </c>
      <c r="D928" s="22" t="n">
        <v>2624</v>
      </c>
      <c r="E928" s="22" t="s">
        <v>8476</v>
      </c>
      <c r="F928" s="22" t="s">
        <v>188</v>
      </c>
      <c r="G928" s="22" t="n">
        <v>32</v>
      </c>
      <c r="H928" s="22" t="s">
        <v>7696</v>
      </c>
      <c r="I928" s="22" t="s">
        <v>8601</v>
      </c>
      <c r="J928" s="22" t="n">
        <v>7.55</v>
      </c>
      <c r="K928" s="22" t="n">
        <v>1</v>
      </c>
      <c r="L928" s="22" t="s">
        <v>8605</v>
      </c>
      <c r="M928" s="23" t="n">
        <v>45616</v>
      </c>
      <c r="N928" s="23" t="n">
        <v>45608</v>
      </c>
      <c r="O928" s="22" t="n">
        <v>6</v>
      </c>
      <c r="P928" s="22"/>
      <c r="Q928" s="22" t="s">
        <v>6906</v>
      </c>
      <c r="R928" s="22"/>
    </row>
    <row r="929" customFormat="false" ht="15" hidden="false" customHeight="false" outlineLevel="0" collapsed="false">
      <c r="A929" s="22" t="s">
        <v>9735</v>
      </c>
      <c r="B929" s="23" t="n">
        <v>45615</v>
      </c>
      <c r="C929" s="22" t="s">
        <v>872</v>
      </c>
      <c r="D929" s="22" t="n">
        <v>251</v>
      </c>
      <c r="E929" s="22" t="s">
        <v>8459</v>
      </c>
      <c r="F929" s="22" t="s">
        <v>188</v>
      </c>
      <c r="G929" s="22" t="n">
        <v>80</v>
      </c>
      <c r="H929" s="22" t="s">
        <v>7696</v>
      </c>
      <c r="I929" s="22" t="s">
        <v>8601</v>
      </c>
      <c r="J929" s="22" t="n">
        <v>7.55</v>
      </c>
      <c r="K929" s="22" t="n">
        <v>2</v>
      </c>
      <c r="L929" s="22" t="s">
        <v>8605</v>
      </c>
      <c r="M929" s="23" t="n">
        <v>45629</v>
      </c>
      <c r="N929" s="23" t="n">
        <v>45624</v>
      </c>
      <c r="O929" s="22" t="n">
        <v>9</v>
      </c>
      <c r="P929" s="22"/>
      <c r="Q929" s="22" t="s">
        <v>6873</v>
      </c>
      <c r="R929" s="22"/>
    </row>
    <row r="930" customFormat="false" ht="15" hidden="false" customHeight="false" outlineLevel="0" collapsed="false">
      <c r="A930" s="22" t="s">
        <v>9736</v>
      </c>
      <c r="B930" s="23" t="n">
        <v>45618</v>
      </c>
      <c r="C930" s="22" t="s">
        <v>2947</v>
      </c>
      <c r="D930" s="22" t="n">
        <v>1139</v>
      </c>
      <c r="E930" s="22" t="s">
        <v>6693</v>
      </c>
      <c r="F930" s="22" t="s">
        <v>198</v>
      </c>
      <c r="G930" s="22" t="n">
        <v>28</v>
      </c>
      <c r="H930" s="22" t="s">
        <v>6575</v>
      </c>
      <c r="I930" s="22" t="s">
        <v>8601</v>
      </c>
      <c r="J930" s="22" t="n">
        <v>10.4</v>
      </c>
      <c r="K930" s="22" t="n">
        <v>1</v>
      </c>
      <c r="L930" s="22" t="s">
        <v>8602</v>
      </c>
      <c r="M930" s="23" t="n">
        <v>45628</v>
      </c>
      <c r="N930" s="22"/>
      <c r="O930" s="22"/>
      <c r="P930" s="22" t="s">
        <v>8603</v>
      </c>
      <c r="Q930" s="22"/>
      <c r="R930" s="22"/>
    </row>
    <row r="931" customFormat="false" ht="15" hidden="false" customHeight="false" outlineLevel="0" collapsed="false">
      <c r="A931" s="22" t="s">
        <v>9737</v>
      </c>
      <c r="B931" s="23" t="n">
        <v>45613</v>
      </c>
      <c r="C931" s="22" t="s">
        <v>3909</v>
      </c>
      <c r="D931" s="22" t="n">
        <v>1598</v>
      </c>
      <c r="E931" s="22" t="s">
        <v>8283</v>
      </c>
      <c r="F931" s="22" t="s">
        <v>499</v>
      </c>
      <c r="G931" s="22" t="n">
        <v>36</v>
      </c>
      <c r="H931" s="22" t="s">
        <v>7696</v>
      </c>
      <c r="I931" s="22" t="s">
        <v>8601</v>
      </c>
      <c r="J931" s="22" t="n">
        <v>7.55</v>
      </c>
      <c r="K931" s="22" t="n">
        <v>2</v>
      </c>
      <c r="L931" s="22" t="s">
        <v>8602</v>
      </c>
      <c r="M931" s="23" t="n">
        <v>45627</v>
      </c>
      <c r="N931" s="22"/>
      <c r="O931" s="22"/>
      <c r="P931" s="22" t="s">
        <v>8603</v>
      </c>
      <c r="Q931" s="22"/>
      <c r="R931" s="22"/>
    </row>
    <row r="932" customFormat="false" ht="15" hidden="false" customHeight="false" outlineLevel="0" collapsed="false">
      <c r="A932" s="22" t="s">
        <v>9738</v>
      </c>
      <c r="B932" s="23" t="n">
        <v>45613</v>
      </c>
      <c r="C932" s="22" t="s">
        <v>1644</v>
      </c>
      <c r="D932" s="22" t="n">
        <v>563</v>
      </c>
      <c r="E932" s="22" t="s">
        <v>7723</v>
      </c>
      <c r="F932" s="22" t="s">
        <v>215</v>
      </c>
      <c r="G932" s="22" t="n">
        <v>45</v>
      </c>
      <c r="H932" s="22" t="s">
        <v>7696</v>
      </c>
      <c r="I932" s="22" t="s">
        <v>8601</v>
      </c>
      <c r="J932" s="22" t="n">
        <v>7.55</v>
      </c>
      <c r="K932" s="22" t="n">
        <v>1</v>
      </c>
      <c r="L932" s="22" t="s">
        <v>8629</v>
      </c>
      <c r="M932" s="23" t="n">
        <v>45627</v>
      </c>
      <c r="N932" s="23" t="n">
        <v>45628</v>
      </c>
      <c r="O932" s="22" t="n">
        <v>15</v>
      </c>
      <c r="P932" s="22"/>
      <c r="Q932" s="22"/>
      <c r="R932" s="22"/>
    </row>
    <row r="933" customFormat="false" ht="15" hidden="false" customHeight="false" outlineLevel="0" collapsed="false">
      <c r="A933" s="22" t="s">
        <v>9739</v>
      </c>
      <c r="B933" s="23" t="n">
        <v>45619</v>
      </c>
      <c r="C933" s="22" t="s">
        <v>1654</v>
      </c>
      <c r="D933" s="22" t="n">
        <v>567</v>
      </c>
      <c r="E933" s="22" t="s">
        <v>7827</v>
      </c>
      <c r="F933" s="22" t="s">
        <v>215</v>
      </c>
      <c r="G933" s="22" t="n">
        <v>28</v>
      </c>
      <c r="H933" s="22" t="s">
        <v>7696</v>
      </c>
      <c r="I933" s="22" t="s">
        <v>8601</v>
      </c>
      <c r="J933" s="22" t="n">
        <v>7.55</v>
      </c>
      <c r="K933" s="22" t="n">
        <v>2</v>
      </c>
      <c r="L933" s="22" t="s">
        <v>8605</v>
      </c>
      <c r="M933" s="23" t="n">
        <v>45633</v>
      </c>
      <c r="N933" s="23" t="n">
        <v>45635</v>
      </c>
      <c r="O933" s="22" t="n">
        <v>16</v>
      </c>
      <c r="P933" s="22"/>
      <c r="Q933" s="22" t="s">
        <v>6838</v>
      </c>
      <c r="R933" s="22"/>
    </row>
    <row r="934" customFormat="false" ht="15" hidden="false" customHeight="false" outlineLevel="0" collapsed="false">
      <c r="A934" s="22" t="s">
        <v>9740</v>
      </c>
      <c r="B934" s="23" t="n">
        <v>45619</v>
      </c>
      <c r="C934" s="22" t="s">
        <v>6140</v>
      </c>
      <c r="D934" s="22" t="n">
        <v>2700</v>
      </c>
      <c r="E934" s="22" t="s">
        <v>6591</v>
      </c>
      <c r="F934" s="22" t="s">
        <v>198</v>
      </c>
      <c r="G934" s="22" t="n">
        <v>36</v>
      </c>
      <c r="H934" s="22" t="s">
        <v>6575</v>
      </c>
      <c r="I934" s="22" t="s">
        <v>8601</v>
      </c>
      <c r="J934" s="22" t="n">
        <v>10.4</v>
      </c>
      <c r="K934" s="22" t="n">
        <v>1</v>
      </c>
      <c r="L934" s="22" t="s">
        <v>8608</v>
      </c>
      <c r="M934" s="23" t="n">
        <v>45629</v>
      </c>
      <c r="N934" s="23" t="n">
        <v>45628</v>
      </c>
      <c r="O934" s="22" t="n">
        <v>9</v>
      </c>
      <c r="P934" s="22"/>
      <c r="Q934" s="22"/>
      <c r="R934" s="22"/>
    </row>
    <row r="935" customFormat="false" ht="15" hidden="false" customHeight="false" outlineLevel="0" collapsed="false">
      <c r="A935" s="22" t="s">
        <v>9741</v>
      </c>
      <c r="B935" s="23" t="n">
        <v>45607</v>
      </c>
      <c r="C935" s="22" t="s">
        <v>951</v>
      </c>
      <c r="D935" s="22" t="n">
        <v>281</v>
      </c>
      <c r="E935" s="22" t="s">
        <v>6772</v>
      </c>
      <c r="F935" s="22" t="s">
        <v>198</v>
      </c>
      <c r="G935" s="22" t="n">
        <v>32</v>
      </c>
      <c r="H935" s="22" t="s">
        <v>6575</v>
      </c>
      <c r="I935" s="22" t="s">
        <v>8601</v>
      </c>
      <c r="J935" s="22" t="n">
        <v>10.4</v>
      </c>
      <c r="K935" s="22" t="n">
        <v>2</v>
      </c>
      <c r="L935" s="22" t="s">
        <v>8605</v>
      </c>
      <c r="M935" s="23" t="n">
        <v>45617</v>
      </c>
      <c r="N935" s="23" t="n">
        <v>45615</v>
      </c>
      <c r="O935" s="22" t="n">
        <v>8</v>
      </c>
      <c r="P935" s="22"/>
      <c r="Q935" s="22" t="s">
        <v>6773</v>
      </c>
      <c r="R935" s="22"/>
    </row>
    <row r="936" customFormat="false" ht="15" hidden="false" customHeight="false" outlineLevel="0" collapsed="false">
      <c r="A936" s="22" t="s">
        <v>9742</v>
      </c>
      <c r="B936" s="23" t="n">
        <v>45618</v>
      </c>
      <c r="C936" s="22" t="s">
        <v>344</v>
      </c>
      <c r="D936" s="22" t="n">
        <v>62</v>
      </c>
      <c r="E936" s="22" t="s">
        <v>6882</v>
      </c>
      <c r="F936" s="22" t="s">
        <v>198</v>
      </c>
      <c r="G936" s="22" t="n">
        <v>32</v>
      </c>
      <c r="H936" s="22" t="s">
        <v>6575</v>
      </c>
      <c r="I936" s="22" t="s">
        <v>8601</v>
      </c>
      <c r="J936" s="22" t="n">
        <v>10.4</v>
      </c>
      <c r="K936" s="22" t="n">
        <v>1</v>
      </c>
      <c r="L936" s="22" t="s">
        <v>8605</v>
      </c>
      <c r="M936" s="23" t="n">
        <v>45628</v>
      </c>
      <c r="N936" s="23" t="n">
        <v>45623</v>
      </c>
      <c r="O936" s="22" t="n">
        <v>5</v>
      </c>
      <c r="P936" s="22"/>
      <c r="Q936" s="22" t="s">
        <v>6883</v>
      </c>
      <c r="R936" s="22"/>
    </row>
    <row r="937" customFormat="false" ht="15" hidden="false" customHeight="false" outlineLevel="0" collapsed="false">
      <c r="A937" s="22" t="s">
        <v>9743</v>
      </c>
      <c r="B937" s="23" t="n">
        <v>45603</v>
      </c>
      <c r="C937" s="22" t="s">
        <v>6510</v>
      </c>
      <c r="D937" s="22" t="n">
        <v>2888</v>
      </c>
      <c r="E937" s="22" t="s">
        <v>8425</v>
      </c>
      <c r="F937" s="22" t="s">
        <v>188</v>
      </c>
      <c r="G937" s="22" t="n">
        <v>60</v>
      </c>
      <c r="H937" s="22" t="s">
        <v>7696</v>
      </c>
      <c r="I937" s="22" t="s">
        <v>8601</v>
      </c>
      <c r="J937" s="22" t="n">
        <v>7.55</v>
      </c>
      <c r="K937" s="22" t="n">
        <v>1</v>
      </c>
      <c r="L937" s="22" t="s">
        <v>8605</v>
      </c>
      <c r="M937" s="23" t="n">
        <v>45617</v>
      </c>
      <c r="N937" s="23" t="n">
        <v>45607</v>
      </c>
      <c r="O937" s="22" t="n">
        <v>4</v>
      </c>
      <c r="P937" s="22"/>
      <c r="Q937" s="22" t="s">
        <v>7425</v>
      </c>
      <c r="R937" s="22"/>
    </row>
    <row r="938" customFormat="false" ht="15" hidden="false" customHeight="false" outlineLevel="0" collapsed="false">
      <c r="A938" s="22" t="s">
        <v>9744</v>
      </c>
      <c r="B938" s="23" t="n">
        <v>45608</v>
      </c>
      <c r="C938" s="22" t="s">
        <v>6401</v>
      </c>
      <c r="D938" s="22" t="n">
        <v>2833</v>
      </c>
      <c r="E938" s="22" t="s">
        <v>7435</v>
      </c>
      <c r="F938" s="22" t="s">
        <v>159</v>
      </c>
      <c r="G938" s="22" t="n">
        <v>24</v>
      </c>
      <c r="H938" s="22" t="s">
        <v>6575</v>
      </c>
      <c r="I938" s="22" t="s">
        <v>8601</v>
      </c>
      <c r="J938" s="22" t="n">
        <v>10.4</v>
      </c>
      <c r="K938" s="22" t="n">
        <v>1</v>
      </c>
      <c r="L938" s="22" t="s">
        <v>157</v>
      </c>
      <c r="M938" s="23" t="n">
        <v>45618</v>
      </c>
      <c r="N938" s="23" t="n">
        <v>45612</v>
      </c>
      <c r="O938" s="22" t="n">
        <v>4</v>
      </c>
      <c r="P938" s="22"/>
      <c r="Q938" s="22"/>
      <c r="R938" s="22"/>
    </row>
    <row r="939" customFormat="false" ht="15" hidden="false" customHeight="false" outlineLevel="0" collapsed="false">
      <c r="A939" s="22" t="s">
        <v>9745</v>
      </c>
      <c r="B939" s="23" t="n">
        <v>45620</v>
      </c>
      <c r="C939" s="22" t="s">
        <v>4976</v>
      </c>
      <c r="D939" s="22" t="n">
        <v>2121</v>
      </c>
      <c r="E939" s="22" t="s">
        <v>6705</v>
      </c>
      <c r="F939" s="22" t="s">
        <v>198</v>
      </c>
      <c r="G939" s="22" t="n">
        <v>28</v>
      </c>
      <c r="H939" s="22" t="s">
        <v>6575</v>
      </c>
      <c r="I939" s="22" t="s">
        <v>8601</v>
      </c>
      <c r="J939" s="22" t="n">
        <v>10.4</v>
      </c>
      <c r="K939" s="22" t="n">
        <v>1</v>
      </c>
      <c r="L939" s="22" t="s">
        <v>8605</v>
      </c>
      <c r="M939" s="23" t="n">
        <v>45630</v>
      </c>
      <c r="N939" s="23" t="n">
        <v>45624</v>
      </c>
      <c r="O939" s="22" t="n">
        <v>4</v>
      </c>
      <c r="P939" s="22"/>
      <c r="Q939" s="22" t="s">
        <v>6706</v>
      </c>
      <c r="R939" s="22"/>
    </row>
    <row r="940" customFormat="false" ht="15" hidden="false" customHeight="false" outlineLevel="0" collapsed="false">
      <c r="A940" s="22" t="s">
        <v>9746</v>
      </c>
      <c r="B940" s="23" t="n">
        <v>45602</v>
      </c>
      <c r="C940" s="22" t="s">
        <v>6111</v>
      </c>
      <c r="D940" s="22" t="n">
        <v>2685</v>
      </c>
      <c r="E940" s="22" t="s">
        <v>7647</v>
      </c>
      <c r="F940" s="22" t="s">
        <v>159</v>
      </c>
      <c r="G940" s="22" t="n">
        <v>36</v>
      </c>
      <c r="H940" s="22" t="s">
        <v>6575</v>
      </c>
      <c r="I940" s="22" t="s">
        <v>8601</v>
      </c>
      <c r="J940" s="22" t="n">
        <v>10.4</v>
      </c>
      <c r="K940" s="22" t="n">
        <v>2</v>
      </c>
      <c r="L940" s="22" t="s">
        <v>8605</v>
      </c>
      <c r="M940" s="23" t="n">
        <v>45612</v>
      </c>
      <c r="N940" s="23" t="n">
        <v>45603</v>
      </c>
      <c r="O940" s="22" t="n">
        <v>1</v>
      </c>
      <c r="P940" s="22"/>
      <c r="Q940" s="22" t="s">
        <v>7171</v>
      </c>
      <c r="R940" s="22"/>
    </row>
    <row r="941" customFormat="false" ht="15" hidden="false" customHeight="false" outlineLevel="0" collapsed="false">
      <c r="A941" s="22" t="s">
        <v>9747</v>
      </c>
      <c r="B941" s="23" t="n">
        <v>45619</v>
      </c>
      <c r="C941" s="22" t="s">
        <v>2270</v>
      </c>
      <c r="D941" s="22" t="n">
        <v>832</v>
      </c>
      <c r="E941" s="22" t="s">
        <v>7373</v>
      </c>
      <c r="F941" s="22" t="s">
        <v>159</v>
      </c>
      <c r="G941" s="22" t="n">
        <v>28</v>
      </c>
      <c r="H941" s="22" t="s">
        <v>6575</v>
      </c>
      <c r="I941" s="22" t="s">
        <v>8601</v>
      </c>
      <c r="J941" s="22" t="n">
        <v>10.4</v>
      </c>
      <c r="K941" s="22" t="n">
        <v>1</v>
      </c>
      <c r="L941" s="22" t="s">
        <v>8602</v>
      </c>
      <c r="M941" s="23" t="n">
        <v>45629</v>
      </c>
      <c r="N941" s="22"/>
      <c r="O941" s="22"/>
      <c r="P941" s="22" t="s">
        <v>8618</v>
      </c>
      <c r="Q941" s="22"/>
      <c r="R941" s="22"/>
    </row>
    <row r="942" customFormat="false" ht="15" hidden="false" customHeight="false" outlineLevel="0" collapsed="false">
      <c r="A942" s="22" t="s">
        <v>9748</v>
      </c>
      <c r="B942" s="23" t="n">
        <v>45621</v>
      </c>
      <c r="C942" s="22" t="s">
        <v>1260</v>
      </c>
      <c r="D942" s="22" t="n">
        <v>401</v>
      </c>
      <c r="E942" s="22" t="s">
        <v>7069</v>
      </c>
      <c r="F942" s="22" t="s">
        <v>198</v>
      </c>
      <c r="G942" s="22" t="n">
        <v>28</v>
      </c>
      <c r="H942" s="22" t="s">
        <v>6575</v>
      </c>
      <c r="I942" s="22" t="s">
        <v>8601</v>
      </c>
      <c r="J942" s="22" t="n">
        <v>10.4</v>
      </c>
      <c r="K942" s="22" t="n">
        <v>1</v>
      </c>
      <c r="L942" s="22" t="s">
        <v>8605</v>
      </c>
      <c r="M942" s="23" t="n">
        <v>45631</v>
      </c>
      <c r="N942" s="23" t="n">
        <v>45623</v>
      </c>
      <c r="O942" s="22" t="n">
        <v>2</v>
      </c>
      <c r="P942" s="22"/>
      <c r="Q942" s="22" t="s">
        <v>7070</v>
      </c>
      <c r="R942" s="22"/>
    </row>
    <row r="943" customFormat="false" ht="15" hidden="false" customHeight="false" outlineLevel="0" collapsed="false">
      <c r="A943" s="22" t="s">
        <v>9749</v>
      </c>
      <c r="B943" s="23" t="n">
        <v>45599</v>
      </c>
      <c r="C943" s="22" t="s">
        <v>6447</v>
      </c>
      <c r="D943" s="22" t="n">
        <v>2857</v>
      </c>
      <c r="E943" s="22" t="s">
        <v>8431</v>
      </c>
      <c r="F943" s="22" t="s">
        <v>188</v>
      </c>
      <c r="G943" s="22" t="n">
        <v>24</v>
      </c>
      <c r="H943" s="22" t="s">
        <v>7696</v>
      </c>
      <c r="I943" s="22" t="s">
        <v>8601</v>
      </c>
      <c r="J943" s="22" t="n">
        <v>7.55</v>
      </c>
      <c r="K943" s="22" t="n">
        <v>2</v>
      </c>
      <c r="L943" s="22" t="s">
        <v>8602</v>
      </c>
      <c r="M943" s="23" t="n">
        <v>45613</v>
      </c>
      <c r="N943" s="22"/>
      <c r="O943" s="22"/>
      <c r="P943" s="22" t="s">
        <v>8603</v>
      </c>
      <c r="Q943" s="22"/>
      <c r="R943" s="22"/>
    </row>
    <row r="944" customFormat="false" ht="15" hidden="false" customHeight="false" outlineLevel="0" collapsed="false">
      <c r="A944" s="22" t="s">
        <v>9750</v>
      </c>
      <c r="B944" s="23" t="n">
        <v>45615</v>
      </c>
      <c r="C944" s="22" t="s">
        <v>3183</v>
      </c>
      <c r="D944" s="22" t="n">
        <v>1246</v>
      </c>
      <c r="E944" s="22" t="s">
        <v>8240</v>
      </c>
      <c r="F944" s="22" t="s">
        <v>499</v>
      </c>
      <c r="G944" s="22" t="n">
        <v>24</v>
      </c>
      <c r="H944" s="22" t="s">
        <v>7696</v>
      </c>
      <c r="I944" s="22" t="s">
        <v>8601</v>
      </c>
      <c r="J944" s="22" t="n">
        <v>7.55</v>
      </c>
      <c r="K944" s="22" t="n">
        <v>2</v>
      </c>
      <c r="L944" s="22" t="s">
        <v>8605</v>
      </c>
      <c r="M944" s="23" t="n">
        <v>45629</v>
      </c>
      <c r="N944" s="23" t="n">
        <v>45624</v>
      </c>
      <c r="O944" s="22" t="n">
        <v>9</v>
      </c>
      <c r="P944" s="22"/>
      <c r="Q944" s="22" t="s">
        <v>7038</v>
      </c>
      <c r="R944" s="22"/>
    </row>
    <row r="945" customFormat="false" ht="15" hidden="false" customHeight="false" outlineLevel="0" collapsed="false">
      <c r="A945" s="22" t="s">
        <v>9751</v>
      </c>
      <c r="B945" s="23" t="n">
        <v>45652</v>
      </c>
      <c r="C945" s="22" t="s">
        <v>6370</v>
      </c>
      <c r="D945" s="22" t="n">
        <v>2817</v>
      </c>
      <c r="E945" s="22" t="s">
        <v>6831</v>
      </c>
      <c r="F945" s="22" t="s">
        <v>198</v>
      </c>
      <c r="G945" s="22" t="n">
        <v>24</v>
      </c>
      <c r="H945" s="22" t="s">
        <v>6575</v>
      </c>
      <c r="I945" s="22" t="s">
        <v>8601</v>
      </c>
      <c r="J945" s="22" t="n">
        <v>10.4</v>
      </c>
      <c r="K945" s="22" t="n">
        <v>1</v>
      </c>
      <c r="L945" s="22" t="s">
        <v>8629</v>
      </c>
      <c r="M945" s="23" t="n">
        <v>45662</v>
      </c>
      <c r="N945" s="23" t="n">
        <v>45662</v>
      </c>
      <c r="O945" s="22" t="n">
        <v>10</v>
      </c>
      <c r="P945" s="22"/>
      <c r="Q945" s="22"/>
      <c r="R945" s="22"/>
    </row>
    <row r="946" customFormat="false" ht="15" hidden="false" customHeight="false" outlineLevel="0" collapsed="false">
      <c r="A946" s="22" t="s">
        <v>9752</v>
      </c>
      <c r="B946" s="23" t="n">
        <v>45640</v>
      </c>
      <c r="C946" s="22" t="s">
        <v>4640</v>
      </c>
      <c r="D946" s="22" t="n">
        <v>1956</v>
      </c>
      <c r="E946" s="22" t="s">
        <v>6742</v>
      </c>
      <c r="F946" s="22" t="s">
        <v>198</v>
      </c>
      <c r="G946" s="22" t="n">
        <v>36</v>
      </c>
      <c r="H946" s="22" t="s">
        <v>6575</v>
      </c>
      <c r="I946" s="22" t="s">
        <v>8601</v>
      </c>
      <c r="J946" s="22" t="n">
        <v>10.4</v>
      </c>
      <c r="K946" s="22" t="n">
        <v>1</v>
      </c>
      <c r="L946" s="22" t="s">
        <v>8629</v>
      </c>
      <c r="M946" s="23" t="n">
        <v>45650</v>
      </c>
      <c r="N946" s="23" t="n">
        <v>45648</v>
      </c>
      <c r="O946" s="22" t="n">
        <v>8</v>
      </c>
      <c r="P946" s="22"/>
      <c r="Q946" s="22"/>
      <c r="R946" s="22"/>
    </row>
    <row r="947" customFormat="false" ht="15" hidden="false" customHeight="false" outlineLevel="0" collapsed="false">
      <c r="A947" s="22" t="s">
        <v>9753</v>
      </c>
      <c r="B947" s="23" t="n">
        <v>45640</v>
      </c>
      <c r="C947" s="22" t="s">
        <v>617</v>
      </c>
      <c r="D947" s="22" t="n">
        <v>156</v>
      </c>
      <c r="E947" s="22" t="s">
        <v>8427</v>
      </c>
      <c r="F947" s="22" t="s">
        <v>188</v>
      </c>
      <c r="G947" s="22" t="n">
        <v>24</v>
      </c>
      <c r="H947" s="22" t="s">
        <v>7696</v>
      </c>
      <c r="I947" s="22" t="s">
        <v>8601</v>
      </c>
      <c r="J947" s="22" t="n">
        <v>7.55</v>
      </c>
      <c r="K947" s="22" t="n">
        <v>1</v>
      </c>
      <c r="L947" s="22" t="s">
        <v>157</v>
      </c>
      <c r="M947" s="23" t="n">
        <v>45654</v>
      </c>
      <c r="N947" s="23" t="n">
        <v>45646</v>
      </c>
      <c r="O947" s="22" t="n">
        <v>6</v>
      </c>
      <c r="P947" s="22"/>
      <c r="Q947" s="22"/>
      <c r="R947" s="22"/>
    </row>
    <row r="948" customFormat="false" ht="15" hidden="false" customHeight="false" outlineLevel="0" collapsed="false">
      <c r="A948" s="22" t="s">
        <v>9754</v>
      </c>
      <c r="B948" s="23" t="n">
        <v>45649</v>
      </c>
      <c r="C948" s="22" t="s">
        <v>1997</v>
      </c>
      <c r="D948" s="22" t="n">
        <v>710</v>
      </c>
      <c r="E948" s="22" t="s">
        <v>8355</v>
      </c>
      <c r="F948" s="22" t="s">
        <v>188</v>
      </c>
      <c r="G948" s="22" t="n">
        <v>32</v>
      </c>
      <c r="H948" s="22" t="s">
        <v>7696</v>
      </c>
      <c r="I948" s="22" t="s">
        <v>8601</v>
      </c>
      <c r="J948" s="22" t="n">
        <v>7.55</v>
      </c>
      <c r="K948" s="22" t="n">
        <v>1</v>
      </c>
      <c r="L948" s="22" t="s">
        <v>8605</v>
      </c>
      <c r="M948" s="23" t="n">
        <v>45663</v>
      </c>
      <c r="N948" s="23" t="n">
        <v>45661</v>
      </c>
      <c r="O948" s="22" t="n">
        <v>12</v>
      </c>
      <c r="P948" s="22"/>
      <c r="Q948" s="22" t="s">
        <v>7322</v>
      </c>
      <c r="R948" s="22"/>
    </row>
    <row r="949" customFormat="false" ht="15" hidden="false" customHeight="false" outlineLevel="0" collapsed="false">
      <c r="A949" s="22" t="s">
        <v>9755</v>
      </c>
      <c r="B949" s="23" t="n">
        <v>45653</v>
      </c>
      <c r="C949" s="22" t="s">
        <v>384</v>
      </c>
      <c r="D949" s="22" t="n">
        <v>76</v>
      </c>
      <c r="E949" s="22" t="s">
        <v>8402</v>
      </c>
      <c r="F949" s="22" t="s">
        <v>188</v>
      </c>
      <c r="G949" s="22" t="n">
        <v>24</v>
      </c>
      <c r="H949" s="22" t="s">
        <v>7696</v>
      </c>
      <c r="I949" s="22" t="s">
        <v>8601</v>
      </c>
      <c r="J949" s="22" t="n">
        <v>7.55</v>
      </c>
      <c r="K949" s="22" t="n">
        <v>2</v>
      </c>
      <c r="L949" s="22" t="s">
        <v>8605</v>
      </c>
      <c r="M949" s="23" t="n">
        <v>45667</v>
      </c>
      <c r="N949" s="23" t="n">
        <v>45668</v>
      </c>
      <c r="O949" s="22" t="n">
        <v>15</v>
      </c>
      <c r="P949" s="22"/>
      <c r="Q949" s="22" t="s">
        <v>7383</v>
      </c>
      <c r="R949" s="22"/>
    </row>
    <row r="950" customFormat="false" ht="15" hidden="false" customHeight="false" outlineLevel="0" collapsed="false">
      <c r="A950" s="22" t="s">
        <v>9756</v>
      </c>
      <c r="B950" s="23" t="n">
        <v>45636</v>
      </c>
      <c r="C950" s="22" t="s">
        <v>1843</v>
      </c>
      <c r="D950" s="22" t="n">
        <v>644</v>
      </c>
      <c r="E950" s="22" t="s">
        <v>7834</v>
      </c>
      <c r="F950" s="22" t="s">
        <v>215</v>
      </c>
      <c r="G950" s="22" t="n">
        <v>60</v>
      </c>
      <c r="H950" s="22" t="s">
        <v>7696</v>
      </c>
      <c r="I950" s="22" t="s">
        <v>8601</v>
      </c>
      <c r="J950" s="22" t="n">
        <v>7.55</v>
      </c>
      <c r="K950" s="22" t="n">
        <v>1</v>
      </c>
      <c r="L950" s="22" t="s">
        <v>157</v>
      </c>
      <c r="M950" s="23" t="n">
        <v>45650</v>
      </c>
      <c r="N950" s="23" t="n">
        <v>45651</v>
      </c>
      <c r="O950" s="22" t="n">
        <v>15</v>
      </c>
      <c r="P950" s="22"/>
      <c r="Q950" s="22"/>
      <c r="R950" s="22"/>
    </row>
    <row r="951" customFormat="false" ht="15" hidden="false" customHeight="false" outlineLevel="0" collapsed="false">
      <c r="A951" s="22" t="s">
        <v>9757</v>
      </c>
      <c r="B951" s="23" t="n">
        <v>45636</v>
      </c>
      <c r="C951" s="22" t="s">
        <v>4824</v>
      </c>
      <c r="D951" s="22" t="n">
        <v>2045</v>
      </c>
      <c r="E951" s="22" t="s">
        <v>7550</v>
      </c>
      <c r="F951" s="22" t="s">
        <v>159</v>
      </c>
      <c r="G951" s="22" t="n">
        <v>28</v>
      </c>
      <c r="H951" s="22" t="s">
        <v>6575</v>
      </c>
      <c r="I951" s="22" t="s">
        <v>8601</v>
      </c>
      <c r="J951" s="22" t="n">
        <v>10.4</v>
      </c>
      <c r="K951" s="22" t="n">
        <v>2</v>
      </c>
      <c r="L951" s="22" t="s">
        <v>8605</v>
      </c>
      <c r="M951" s="23" t="n">
        <v>45646</v>
      </c>
      <c r="N951" s="23" t="n">
        <v>45641</v>
      </c>
      <c r="O951" s="22" t="n">
        <v>5</v>
      </c>
      <c r="P951" s="22"/>
      <c r="Q951" s="22" t="s">
        <v>7017</v>
      </c>
      <c r="R951" s="22"/>
    </row>
    <row r="952" customFormat="false" ht="15" hidden="false" customHeight="false" outlineLevel="0" collapsed="false">
      <c r="A952" s="22" t="s">
        <v>9758</v>
      </c>
      <c r="B952" s="23" t="n">
        <v>45639</v>
      </c>
      <c r="C952" s="22" t="s">
        <v>3528</v>
      </c>
      <c r="D952" s="22" t="n">
        <v>1412</v>
      </c>
      <c r="E952" s="22" t="s">
        <v>8066</v>
      </c>
      <c r="F952" s="22" t="s">
        <v>499</v>
      </c>
      <c r="G952" s="22" t="n">
        <v>32</v>
      </c>
      <c r="H952" s="22" t="s">
        <v>7696</v>
      </c>
      <c r="I952" s="22" t="s">
        <v>8601</v>
      </c>
      <c r="J952" s="22" t="n">
        <v>7.55</v>
      </c>
      <c r="K952" s="22" t="n">
        <v>1</v>
      </c>
      <c r="L952" s="22" t="s">
        <v>8602</v>
      </c>
      <c r="M952" s="23" t="n">
        <v>45653</v>
      </c>
      <c r="N952" s="22"/>
      <c r="O952" s="22"/>
      <c r="P952" s="22" t="s">
        <v>8637</v>
      </c>
      <c r="Q952" s="22"/>
      <c r="R952" s="22"/>
    </row>
    <row r="953" customFormat="false" ht="15" hidden="false" customHeight="false" outlineLevel="0" collapsed="false">
      <c r="A953" s="22" t="s">
        <v>9759</v>
      </c>
      <c r="B953" s="23" t="n">
        <v>45650</v>
      </c>
      <c r="C953" s="22" t="s">
        <v>4893</v>
      </c>
      <c r="D953" s="22" t="n">
        <v>2079</v>
      </c>
      <c r="E953" s="22" t="s">
        <v>8345</v>
      </c>
      <c r="F953" s="22" t="s">
        <v>188</v>
      </c>
      <c r="G953" s="22" t="n">
        <v>28</v>
      </c>
      <c r="H953" s="22" t="s">
        <v>7696</v>
      </c>
      <c r="I953" s="22" t="s">
        <v>8601</v>
      </c>
      <c r="J953" s="22" t="n">
        <v>7.55</v>
      </c>
      <c r="K953" s="22" t="n">
        <v>1</v>
      </c>
      <c r="L953" s="22" t="s">
        <v>8602</v>
      </c>
      <c r="M953" s="23" t="n">
        <v>45664</v>
      </c>
      <c r="N953" s="22"/>
      <c r="O953" s="22"/>
      <c r="P953" s="22" t="s">
        <v>8618</v>
      </c>
      <c r="Q953" s="22"/>
      <c r="R953" s="22"/>
    </row>
    <row r="954" customFormat="false" ht="15" hidden="false" customHeight="false" outlineLevel="0" collapsed="false">
      <c r="A954" s="22" t="s">
        <v>9760</v>
      </c>
      <c r="B954" s="23" t="n">
        <v>45645</v>
      </c>
      <c r="C954" s="22" t="s">
        <v>6291</v>
      </c>
      <c r="D954" s="22" t="n">
        <v>2776</v>
      </c>
      <c r="E954" s="22" t="s">
        <v>7900</v>
      </c>
      <c r="F954" s="22" t="s">
        <v>215</v>
      </c>
      <c r="G954" s="22" t="n">
        <v>32</v>
      </c>
      <c r="H954" s="22" t="s">
        <v>7696</v>
      </c>
      <c r="I954" s="22" t="s">
        <v>8601</v>
      </c>
      <c r="J954" s="22" t="n">
        <v>7.55</v>
      </c>
      <c r="K954" s="22" t="n">
        <v>1</v>
      </c>
      <c r="L954" s="22" t="s">
        <v>8605</v>
      </c>
      <c r="M954" s="23" t="n">
        <v>45659</v>
      </c>
      <c r="N954" s="23" t="n">
        <v>45657</v>
      </c>
      <c r="O954" s="22" t="n">
        <v>12</v>
      </c>
      <c r="P954" s="22"/>
      <c r="Q954" s="22" t="s">
        <v>6995</v>
      </c>
      <c r="R954" s="22"/>
    </row>
    <row r="955" customFormat="false" ht="15" hidden="false" customHeight="false" outlineLevel="0" collapsed="false">
      <c r="A955" s="22" t="s">
        <v>9761</v>
      </c>
      <c r="B955" s="23" t="n">
        <v>45637</v>
      </c>
      <c r="C955" s="22" t="s">
        <v>5327</v>
      </c>
      <c r="D955" s="22" t="n">
        <v>2294</v>
      </c>
      <c r="E955" s="22" t="s">
        <v>6580</v>
      </c>
      <c r="F955" s="22" t="s">
        <v>198</v>
      </c>
      <c r="G955" s="22" t="n">
        <v>40</v>
      </c>
      <c r="H955" s="22" t="s">
        <v>6575</v>
      </c>
      <c r="I955" s="22" t="s">
        <v>8601</v>
      </c>
      <c r="J955" s="22" t="n">
        <v>10.4</v>
      </c>
      <c r="K955" s="22" t="n">
        <v>1</v>
      </c>
      <c r="L955" s="22" t="s">
        <v>8602</v>
      </c>
      <c r="M955" s="23" t="n">
        <v>45647</v>
      </c>
      <c r="N955" s="22"/>
      <c r="O955" s="22"/>
      <c r="P955" s="22" t="s">
        <v>8603</v>
      </c>
      <c r="Q955" s="22"/>
      <c r="R955" s="22"/>
    </row>
    <row r="956" customFormat="false" ht="15" hidden="false" customHeight="false" outlineLevel="0" collapsed="false">
      <c r="A956" s="22" t="s">
        <v>9762</v>
      </c>
      <c r="B956" s="23" t="n">
        <v>45648</v>
      </c>
      <c r="C956" s="22" t="s">
        <v>2298</v>
      </c>
      <c r="D956" s="22" t="n">
        <v>844</v>
      </c>
      <c r="E956" s="22" t="s">
        <v>7860</v>
      </c>
      <c r="F956" s="22" t="s">
        <v>215</v>
      </c>
      <c r="G956" s="22" t="n">
        <v>32</v>
      </c>
      <c r="H956" s="22" t="s">
        <v>7696</v>
      </c>
      <c r="I956" s="22" t="s">
        <v>8601</v>
      </c>
      <c r="J956" s="22" t="n">
        <v>7.55</v>
      </c>
      <c r="K956" s="22" t="n">
        <v>1</v>
      </c>
      <c r="L956" s="22" t="s">
        <v>8602</v>
      </c>
      <c r="M956" s="23" t="n">
        <v>45662</v>
      </c>
      <c r="N956" s="22"/>
      <c r="O956" s="22"/>
      <c r="P956" s="22" t="s">
        <v>8603</v>
      </c>
      <c r="Q956" s="22"/>
      <c r="R956" s="22"/>
    </row>
    <row r="957" customFormat="false" ht="15" hidden="false" customHeight="false" outlineLevel="0" collapsed="false">
      <c r="A957" s="22" t="s">
        <v>9763</v>
      </c>
      <c r="B957" s="23" t="n">
        <v>45652</v>
      </c>
      <c r="C957" s="22" t="s">
        <v>1568</v>
      </c>
      <c r="D957" s="22" t="n">
        <v>529</v>
      </c>
      <c r="E957" s="22" t="s">
        <v>8567</v>
      </c>
      <c r="F957" s="22" t="s">
        <v>188</v>
      </c>
      <c r="G957" s="22" t="n">
        <v>45</v>
      </c>
      <c r="H957" s="22" t="s">
        <v>7696</v>
      </c>
      <c r="I957" s="22" t="s">
        <v>8601</v>
      </c>
      <c r="J957" s="22" t="n">
        <v>7.55</v>
      </c>
      <c r="K957" s="22" t="n">
        <v>1</v>
      </c>
      <c r="L957" s="22" t="s">
        <v>8605</v>
      </c>
      <c r="M957" s="23" t="n">
        <v>45666</v>
      </c>
      <c r="N957" s="23" t="n">
        <v>45661</v>
      </c>
      <c r="O957" s="22" t="n">
        <v>9</v>
      </c>
      <c r="P957" s="22"/>
      <c r="Q957" s="22" t="s">
        <v>7127</v>
      </c>
      <c r="R957" s="22"/>
    </row>
    <row r="958" customFormat="false" ht="15" hidden="false" customHeight="false" outlineLevel="0" collapsed="false">
      <c r="A958" s="22" t="s">
        <v>9764</v>
      </c>
      <c r="B958" s="23" t="n">
        <v>45654</v>
      </c>
      <c r="C958" s="22" t="s">
        <v>1494</v>
      </c>
      <c r="D958" s="22" t="n">
        <v>499</v>
      </c>
      <c r="E958" s="22" t="s">
        <v>7677</v>
      </c>
      <c r="F958" s="22" t="s">
        <v>159</v>
      </c>
      <c r="G958" s="22" t="n">
        <v>36</v>
      </c>
      <c r="H958" s="22" t="s">
        <v>6575</v>
      </c>
      <c r="I958" s="22" t="s">
        <v>8601</v>
      </c>
      <c r="J958" s="22" t="n">
        <v>10.4</v>
      </c>
      <c r="K958" s="22" t="n">
        <v>1</v>
      </c>
      <c r="L958" s="22" t="s">
        <v>8605</v>
      </c>
      <c r="M958" s="23" t="n">
        <v>45664</v>
      </c>
      <c r="N958" s="23" t="n">
        <v>45666</v>
      </c>
      <c r="O958" s="22" t="n">
        <v>12</v>
      </c>
      <c r="P958" s="22"/>
      <c r="Q958" s="22" t="s">
        <v>7678</v>
      </c>
      <c r="R958" s="22"/>
    </row>
    <row r="959" customFormat="false" ht="15" hidden="false" customHeight="false" outlineLevel="0" collapsed="false">
      <c r="A959" s="22" t="s">
        <v>9765</v>
      </c>
      <c r="B959" s="23" t="n">
        <v>45646</v>
      </c>
      <c r="C959" s="22" t="s">
        <v>1404</v>
      </c>
      <c r="D959" s="22" t="n">
        <v>461</v>
      </c>
      <c r="E959" s="22" t="s">
        <v>7229</v>
      </c>
      <c r="F959" s="22" t="s">
        <v>198</v>
      </c>
      <c r="G959" s="22" t="n">
        <v>32</v>
      </c>
      <c r="H959" s="22" t="s">
        <v>6575</v>
      </c>
      <c r="I959" s="22" t="s">
        <v>8601</v>
      </c>
      <c r="J959" s="22" t="n">
        <v>10.4</v>
      </c>
      <c r="K959" s="22" t="n">
        <v>1</v>
      </c>
      <c r="L959" s="22" t="s">
        <v>8605</v>
      </c>
      <c r="M959" s="23" t="n">
        <v>45656</v>
      </c>
      <c r="N959" s="23" t="n">
        <v>45657</v>
      </c>
      <c r="O959" s="22" t="n">
        <v>11</v>
      </c>
      <c r="P959" s="22"/>
      <c r="Q959" s="22" t="s">
        <v>7230</v>
      </c>
      <c r="R959" s="22"/>
    </row>
    <row r="960" customFormat="false" ht="15" hidden="false" customHeight="false" outlineLevel="0" collapsed="false">
      <c r="A960" s="22" t="s">
        <v>9766</v>
      </c>
      <c r="B960" s="23" t="n">
        <v>45649</v>
      </c>
      <c r="C960" s="22" t="s">
        <v>6461</v>
      </c>
      <c r="D960" s="22" t="n">
        <v>2864</v>
      </c>
      <c r="E960" s="22" t="s">
        <v>7196</v>
      </c>
      <c r="F960" s="22" t="s">
        <v>198</v>
      </c>
      <c r="G960" s="22" t="n">
        <v>24</v>
      </c>
      <c r="H960" s="22" t="s">
        <v>6575</v>
      </c>
      <c r="I960" s="22" t="s">
        <v>8601</v>
      </c>
      <c r="J960" s="22" t="n">
        <v>10.4</v>
      </c>
      <c r="K960" s="22" t="n">
        <v>1</v>
      </c>
      <c r="L960" s="22" t="s">
        <v>8605</v>
      </c>
      <c r="M960" s="23" t="n">
        <v>45659</v>
      </c>
      <c r="N960" s="23" t="n">
        <v>45650</v>
      </c>
      <c r="O960" s="22" t="n">
        <v>1</v>
      </c>
      <c r="P960" s="22"/>
      <c r="Q960" s="22" t="s">
        <v>7197</v>
      </c>
      <c r="R960" s="22"/>
    </row>
    <row r="961" customFormat="false" ht="15" hidden="false" customHeight="false" outlineLevel="0" collapsed="false">
      <c r="A961" s="22" t="s">
        <v>9767</v>
      </c>
      <c r="B961" s="23" t="n">
        <v>45644</v>
      </c>
      <c r="C961" s="22" t="s">
        <v>4573</v>
      </c>
      <c r="D961" s="22" t="n">
        <v>1923</v>
      </c>
      <c r="E961" s="22" t="s">
        <v>7117</v>
      </c>
      <c r="F961" s="22" t="s">
        <v>198</v>
      </c>
      <c r="G961" s="22" t="n">
        <v>36</v>
      </c>
      <c r="H961" s="22" t="s">
        <v>6575</v>
      </c>
      <c r="I961" s="22" t="s">
        <v>8601</v>
      </c>
      <c r="J961" s="22" t="n">
        <v>10.4</v>
      </c>
      <c r="K961" s="22" t="n">
        <v>2</v>
      </c>
      <c r="L961" s="22" t="s">
        <v>8602</v>
      </c>
      <c r="M961" s="23" t="n">
        <v>45654</v>
      </c>
      <c r="N961" s="22"/>
      <c r="O961" s="22"/>
      <c r="P961" s="22" t="s">
        <v>8637</v>
      </c>
      <c r="Q961" s="22"/>
      <c r="R961" s="22"/>
    </row>
    <row r="962" customFormat="false" ht="15" hidden="false" customHeight="false" outlineLevel="0" collapsed="false">
      <c r="A962" s="22" t="s">
        <v>9768</v>
      </c>
      <c r="B962" s="23" t="n">
        <v>45639</v>
      </c>
      <c r="C962" s="22" t="s">
        <v>1678</v>
      </c>
      <c r="D962" s="22" t="n">
        <v>576</v>
      </c>
      <c r="E962" s="22" t="s">
        <v>7104</v>
      </c>
      <c r="F962" s="22" t="s">
        <v>198</v>
      </c>
      <c r="G962" s="22" t="n">
        <v>32</v>
      </c>
      <c r="H962" s="22" t="s">
        <v>6575</v>
      </c>
      <c r="I962" s="22" t="s">
        <v>8601</v>
      </c>
      <c r="J962" s="22" t="n">
        <v>10.4</v>
      </c>
      <c r="K962" s="22" t="n">
        <v>2</v>
      </c>
      <c r="L962" s="22" t="s">
        <v>8605</v>
      </c>
      <c r="M962" s="23" t="n">
        <v>45649</v>
      </c>
      <c r="N962" s="23" t="n">
        <v>45642</v>
      </c>
      <c r="O962" s="22" t="n">
        <v>3</v>
      </c>
      <c r="P962" s="22"/>
      <c r="Q962" s="22" t="s">
        <v>7105</v>
      </c>
      <c r="R962" s="22"/>
    </row>
    <row r="963" customFormat="false" ht="15" hidden="false" customHeight="false" outlineLevel="0" collapsed="false">
      <c r="A963" s="22" t="s">
        <v>9769</v>
      </c>
      <c r="B963" s="23" t="n">
        <v>45652</v>
      </c>
      <c r="C963" s="22" t="s">
        <v>4573</v>
      </c>
      <c r="D963" s="22" t="n">
        <v>1923</v>
      </c>
      <c r="E963" s="22" t="s">
        <v>8413</v>
      </c>
      <c r="F963" s="22" t="s">
        <v>188</v>
      </c>
      <c r="G963" s="22" t="n">
        <v>24</v>
      </c>
      <c r="H963" s="22" t="s">
        <v>7696</v>
      </c>
      <c r="I963" s="22" t="s">
        <v>8601</v>
      </c>
      <c r="J963" s="22" t="n">
        <v>7.55</v>
      </c>
      <c r="K963" s="22" t="n">
        <v>1</v>
      </c>
      <c r="L963" s="22" t="s">
        <v>8729</v>
      </c>
      <c r="M963" s="23" t="n">
        <v>45666</v>
      </c>
      <c r="N963" s="23" t="n">
        <v>45658</v>
      </c>
      <c r="O963" s="22" t="n">
        <v>6</v>
      </c>
      <c r="P963" s="22"/>
      <c r="Q963" s="22"/>
      <c r="R963" s="22"/>
    </row>
    <row r="964" customFormat="false" ht="15" hidden="false" customHeight="false" outlineLevel="0" collapsed="false">
      <c r="A964" s="22" t="s">
        <v>9770</v>
      </c>
      <c r="B964" s="23" t="n">
        <v>45667</v>
      </c>
      <c r="C964" s="22" t="s">
        <v>5441</v>
      </c>
      <c r="D964" s="22" t="n">
        <v>2352</v>
      </c>
      <c r="E964" s="22" t="s">
        <v>8205</v>
      </c>
      <c r="F964" s="22" t="s">
        <v>499</v>
      </c>
      <c r="G964" s="22" t="n">
        <v>32</v>
      </c>
      <c r="H964" s="22" t="s">
        <v>7696</v>
      </c>
      <c r="I964" s="22" t="s">
        <v>8601</v>
      </c>
      <c r="J964" s="22" t="n">
        <v>7.55</v>
      </c>
      <c r="K964" s="22" t="n">
        <v>1</v>
      </c>
      <c r="L964" s="22" t="s">
        <v>8605</v>
      </c>
      <c r="M964" s="23" t="n">
        <v>45681</v>
      </c>
      <c r="N964" s="23" t="n">
        <v>45679</v>
      </c>
      <c r="O964" s="22" t="n">
        <v>12</v>
      </c>
      <c r="P964" s="22"/>
      <c r="Q964" s="22" t="s">
        <v>9771</v>
      </c>
      <c r="R964" s="22"/>
    </row>
    <row r="965" customFormat="false" ht="15" hidden="false" customHeight="false" outlineLevel="0" collapsed="false">
      <c r="A965" s="22" t="s">
        <v>9772</v>
      </c>
      <c r="B965" s="23" t="n">
        <v>45672</v>
      </c>
      <c r="C965" s="22" t="s">
        <v>5995</v>
      </c>
      <c r="D965" s="22" t="n">
        <v>2628</v>
      </c>
      <c r="E965" s="22" t="s">
        <v>7037</v>
      </c>
      <c r="F965" s="22" t="s">
        <v>198</v>
      </c>
      <c r="G965" s="22" t="n">
        <v>32</v>
      </c>
      <c r="H965" s="22" t="s">
        <v>6575</v>
      </c>
      <c r="I965" s="22" t="s">
        <v>8601</v>
      </c>
      <c r="J965" s="22" t="n">
        <v>10.4</v>
      </c>
      <c r="K965" s="22" t="n">
        <v>1</v>
      </c>
      <c r="L965" s="22" t="s">
        <v>8602</v>
      </c>
      <c r="M965" s="23" t="n">
        <v>45682</v>
      </c>
      <c r="N965" s="22"/>
      <c r="O965" s="22"/>
      <c r="P965" s="22" t="s">
        <v>8637</v>
      </c>
      <c r="Q965" s="22"/>
      <c r="R965" s="22"/>
    </row>
    <row r="966" customFormat="false" ht="15" hidden="false" customHeight="false" outlineLevel="0" collapsed="false">
      <c r="A966" s="22" t="s">
        <v>9773</v>
      </c>
      <c r="B966" s="23" t="n">
        <v>45673</v>
      </c>
      <c r="C966" s="22" t="s">
        <v>3199</v>
      </c>
      <c r="D966" s="22" t="n">
        <v>1254</v>
      </c>
      <c r="E966" s="22" t="s">
        <v>7986</v>
      </c>
      <c r="F966" s="22" t="s">
        <v>215</v>
      </c>
      <c r="G966" s="22" t="n">
        <v>28</v>
      </c>
      <c r="H966" s="22" t="s">
        <v>7696</v>
      </c>
      <c r="I966" s="22" t="s">
        <v>8601</v>
      </c>
      <c r="J966" s="22" t="n">
        <v>7.55</v>
      </c>
      <c r="K966" s="22" t="n">
        <v>2</v>
      </c>
      <c r="L966" s="22" t="s">
        <v>8605</v>
      </c>
      <c r="M966" s="23" t="n">
        <v>45687</v>
      </c>
      <c r="N966" s="23" t="n">
        <v>45676</v>
      </c>
      <c r="O966" s="22" t="n">
        <v>3</v>
      </c>
      <c r="P966" s="22"/>
      <c r="Q966" s="22" t="s">
        <v>9774</v>
      </c>
      <c r="R966" s="22"/>
    </row>
    <row r="967" customFormat="false" ht="15" hidden="false" customHeight="false" outlineLevel="0" collapsed="false">
      <c r="A967" s="22" t="s">
        <v>9775</v>
      </c>
      <c r="B967" s="23" t="n">
        <v>45672</v>
      </c>
      <c r="C967" s="22" t="s">
        <v>2306</v>
      </c>
      <c r="D967" s="22" t="n">
        <v>848</v>
      </c>
      <c r="E967" s="22" t="s">
        <v>7037</v>
      </c>
      <c r="F967" s="22" t="s">
        <v>198</v>
      </c>
      <c r="G967" s="22" t="n">
        <v>32</v>
      </c>
      <c r="H967" s="22" t="s">
        <v>6575</v>
      </c>
      <c r="I967" s="22" t="s">
        <v>8601</v>
      </c>
      <c r="J967" s="22" t="n">
        <v>10.4</v>
      </c>
      <c r="K967" s="22" t="n">
        <v>2</v>
      </c>
      <c r="L967" s="22" t="s">
        <v>8605</v>
      </c>
      <c r="M967" s="23" t="n">
        <v>45682</v>
      </c>
      <c r="N967" s="23" t="n">
        <v>45681</v>
      </c>
      <c r="O967" s="22" t="n">
        <v>9</v>
      </c>
      <c r="P967" s="22"/>
      <c r="Q967" s="22" t="s">
        <v>9776</v>
      </c>
      <c r="R967" s="22"/>
    </row>
    <row r="968" customFormat="false" ht="15" hidden="false" customHeight="false" outlineLevel="0" collapsed="false">
      <c r="A968" s="22" t="s">
        <v>9777</v>
      </c>
      <c r="B968" s="23" t="n">
        <v>45680</v>
      </c>
      <c r="C968" s="22" t="s">
        <v>3743</v>
      </c>
      <c r="D968" s="22" t="n">
        <v>1516</v>
      </c>
      <c r="E968" s="22" t="s">
        <v>7246</v>
      </c>
      <c r="F968" s="22" t="s">
        <v>198</v>
      </c>
      <c r="G968" s="22" t="n">
        <v>36</v>
      </c>
      <c r="H968" s="22" t="s">
        <v>6575</v>
      </c>
      <c r="I968" s="22" t="s">
        <v>8601</v>
      </c>
      <c r="J968" s="22" t="n">
        <v>10.4</v>
      </c>
      <c r="K968" s="22" t="n">
        <v>2</v>
      </c>
      <c r="L968" s="22" t="s">
        <v>8605</v>
      </c>
      <c r="M968" s="23" t="n">
        <v>45690</v>
      </c>
      <c r="N968" s="23" t="n">
        <v>45683</v>
      </c>
      <c r="O968" s="22" t="n">
        <v>3</v>
      </c>
      <c r="P968" s="22"/>
      <c r="Q968" s="22" t="s">
        <v>9778</v>
      </c>
      <c r="R968" s="22"/>
    </row>
    <row r="969" customFormat="false" ht="15" hidden="false" customHeight="false" outlineLevel="0" collapsed="false">
      <c r="A969" s="22" t="s">
        <v>9779</v>
      </c>
      <c r="B969" s="23" t="n">
        <v>45674</v>
      </c>
      <c r="C969" s="22" t="s">
        <v>2456</v>
      </c>
      <c r="D969" s="22" t="n">
        <v>918</v>
      </c>
      <c r="E969" s="22" t="s">
        <v>8183</v>
      </c>
      <c r="F969" s="22" t="s">
        <v>499</v>
      </c>
      <c r="G969" s="22" t="n">
        <v>24</v>
      </c>
      <c r="H969" s="22" t="s">
        <v>7696</v>
      </c>
      <c r="I969" s="22" t="s">
        <v>8601</v>
      </c>
      <c r="J969" s="22" t="n">
        <v>7.55</v>
      </c>
      <c r="K969" s="22" t="n">
        <v>1</v>
      </c>
      <c r="L969" s="22" t="s">
        <v>8602</v>
      </c>
      <c r="M969" s="23" t="n">
        <v>45688</v>
      </c>
      <c r="N969" s="22"/>
      <c r="O969" s="22"/>
      <c r="P969" s="22" t="s">
        <v>8618</v>
      </c>
      <c r="Q969" s="22"/>
      <c r="R969" s="22"/>
    </row>
    <row r="970" customFormat="false" ht="15" hidden="false" customHeight="false" outlineLevel="0" collapsed="false">
      <c r="A970" s="22" t="s">
        <v>9780</v>
      </c>
      <c r="B970" s="23" t="n">
        <v>45658</v>
      </c>
      <c r="C970" s="22" t="s">
        <v>1215</v>
      </c>
      <c r="D970" s="22" t="n">
        <v>382</v>
      </c>
      <c r="E970" s="22" t="s">
        <v>8290</v>
      </c>
      <c r="F970" s="22" t="s">
        <v>499</v>
      </c>
      <c r="G970" s="22" t="n">
        <v>24</v>
      </c>
      <c r="H970" s="22" t="s">
        <v>7696</v>
      </c>
      <c r="I970" s="22" t="s">
        <v>8601</v>
      </c>
      <c r="J970" s="22" t="n">
        <v>7.55</v>
      </c>
      <c r="K970" s="22" t="n">
        <v>1</v>
      </c>
      <c r="L970" s="22" t="s">
        <v>8602</v>
      </c>
      <c r="M970" s="23" t="n">
        <v>45672</v>
      </c>
      <c r="N970" s="22"/>
      <c r="O970" s="22"/>
      <c r="P970" s="22" t="s">
        <v>8603</v>
      </c>
      <c r="Q970" s="22"/>
      <c r="R970" s="22"/>
    </row>
    <row r="971" customFormat="false" ht="15" hidden="false" customHeight="false" outlineLevel="0" collapsed="false">
      <c r="A971" s="22" t="s">
        <v>9781</v>
      </c>
      <c r="B971" s="23" t="n">
        <v>45669</v>
      </c>
      <c r="C971" s="22" t="s">
        <v>6510</v>
      </c>
      <c r="D971" s="22" t="n">
        <v>2888</v>
      </c>
      <c r="E971" s="22" t="s">
        <v>8488</v>
      </c>
      <c r="F971" s="22" t="s">
        <v>188</v>
      </c>
      <c r="G971" s="22" t="n">
        <v>32</v>
      </c>
      <c r="H971" s="22" t="s">
        <v>7696</v>
      </c>
      <c r="I971" s="22" t="s">
        <v>8601</v>
      </c>
      <c r="J971" s="22" t="n">
        <v>7.55</v>
      </c>
      <c r="K971" s="22" t="n">
        <v>1</v>
      </c>
      <c r="L971" s="22" t="s">
        <v>8602</v>
      </c>
      <c r="M971" s="23" t="n">
        <v>45683</v>
      </c>
      <c r="N971" s="22"/>
      <c r="O971" s="22"/>
      <c r="P971" s="22" t="s">
        <v>8631</v>
      </c>
      <c r="Q971" s="22"/>
      <c r="R971" s="22"/>
    </row>
    <row r="972" customFormat="false" ht="15" hidden="false" customHeight="false" outlineLevel="0" collapsed="false">
      <c r="A972" s="22" t="s">
        <v>9782</v>
      </c>
      <c r="B972" s="23" t="n">
        <v>45662</v>
      </c>
      <c r="C972" s="22" t="s">
        <v>2848</v>
      </c>
      <c r="D972" s="22" t="n">
        <v>1094</v>
      </c>
      <c r="E972" s="22" t="s">
        <v>6603</v>
      </c>
      <c r="F972" s="22" t="s">
        <v>198</v>
      </c>
      <c r="G972" s="22" t="n">
        <v>32</v>
      </c>
      <c r="H972" s="22" t="s">
        <v>6575</v>
      </c>
      <c r="I972" s="22" t="s">
        <v>8601</v>
      </c>
      <c r="J972" s="22" t="n">
        <v>10.4</v>
      </c>
      <c r="K972" s="22" t="n">
        <v>1</v>
      </c>
      <c r="L972" s="22" t="s">
        <v>157</v>
      </c>
      <c r="M972" s="23" t="n">
        <v>45672</v>
      </c>
      <c r="N972" s="23" t="n">
        <v>45666</v>
      </c>
      <c r="O972" s="22" t="n">
        <v>4</v>
      </c>
      <c r="P972" s="22"/>
      <c r="Q972" s="22"/>
      <c r="R972" s="22"/>
    </row>
    <row r="973" customFormat="false" ht="15" hidden="false" customHeight="false" outlineLevel="0" collapsed="false">
      <c r="A973" s="22" t="s">
        <v>9783</v>
      </c>
      <c r="B973" s="23" t="n">
        <v>45682</v>
      </c>
      <c r="C973" s="22" t="s">
        <v>2300</v>
      </c>
      <c r="D973" s="22" t="n">
        <v>845</v>
      </c>
      <c r="E973" s="22" t="s">
        <v>8197</v>
      </c>
      <c r="F973" s="22" t="s">
        <v>499</v>
      </c>
      <c r="G973" s="22" t="n">
        <v>70</v>
      </c>
      <c r="H973" s="22" t="s">
        <v>7696</v>
      </c>
      <c r="I973" s="22" t="s">
        <v>8601</v>
      </c>
      <c r="J973" s="22" t="n">
        <v>7.55</v>
      </c>
      <c r="K973" s="22" t="n">
        <v>1</v>
      </c>
      <c r="L973" s="22" t="s">
        <v>8605</v>
      </c>
      <c r="M973" s="23" t="n">
        <v>45696</v>
      </c>
      <c r="N973" s="23" t="n">
        <v>45691</v>
      </c>
      <c r="O973" s="22" t="n">
        <v>9</v>
      </c>
      <c r="P973" s="22"/>
      <c r="Q973" s="22" t="s">
        <v>9784</v>
      </c>
      <c r="R973" s="22"/>
    </row>
    <row r="974" customFormat="false" ht="15" hidden="false" customHeight="false" outlineLevel="0" collapsed="false">
      <c r="A974" s="22" t="s">
        <v>9785</v>
      </c>
      <c r="B974" s="23" t="n">
        <v>45673</v>
      </c>
      <c r="C974" s="22" t="s">
        <v>5582</v>
      </c>
      <c r="D974" s="22" t="n">
        <v>2422</v>
      </c>
      <c r="E974" s="22" t="s">
        <v>8393</v>
      </c>
      <c r="F974" s="22" t="s">
        <v>188</v>
      </c>
      <c r="G974" s="22" t="n">
        <v>50</v>
      </c>
      <c r="H974" s="22" t="s">
        <v>7696</v>
      </c>
      <c r="I974" s="22" t="s">
        <v>8601</v>
      </c>
      <c r="J974" s="22" t="n">
        <v>7.55</v>
      </c>
      <c r="K974" s="22" t="n">
        <v>1</v>
      </c>
      <c r="L974" s="22" t="s">
        <v>8605</v>
      </c>
      <c r="M974" s="23" t="n">
        <v>45687</v>
      </c>
      <c r="N974" s="23" t="n">
        <v>45675</v>
      </c>
      <c r="O974" s="22" t="n">
        <v>2</v>
      </c>
      <c r="P974" s="22"/>
      <c r="Q974" s="22" t="s">
        <v>9786</v>
      </c>
      <c r="R974" s="22"/>
    </row>
    <row r="975" customFormat="false" ht="15" hidden="false" customHeight="false" outlineLevel="0" collapsed="false">
      <c r="A975" s="22" t="s">
        <v>9787</v>
      </c>
      <c r="B975" s="23" t="n">
        <v>45673</v>
      </c>
      <c r="C975" s="22" t="s">
        <v>4185</v>
      </c>
      <c r="D975" s="22" t="n">
        <v>1733</v>
      </c>
      <c r="E975" s="22" t="s">
        <v>7069</v>
      </c>
      <c r="F975" s="22" t="s">
        <v>198</v>
      </c>
      <c r="G975" s="22" t="n">
        <v>28</v>
      </c>
      <c r="H975" s="22" t="s">
        <v>6575</v>
      </c>
      <c r="I975" s="22" t="s">
        <v>8601</v>
      </c>
      <c r="J975" s="22" t="n">
        <v>10.4</v>
      </c>
      <c r="K975" s="22" t="n">
        <v>2</v>
      </c>
      <c r="L975" s="22" t="s">
        <v>8602</v>
      </c>
      <c r="M975" s="23" t="n">
        <v>45683</v>
      </c>
      <c r="N975" s="22"/>
      <c r="O975" s="22"/>
      <c r="P975" s="22" t="s">
        <v>8603</v>
      </c>
      <c r="Q975" s="22"/>
      <c r="R975" s="22"/>
    </row>
    <row r="976" customFormat="false" ht="15" hidden="false" customHeight="false" outlineLevel="0" collapsed="false">
      <c r="A976" s="22" t="s">
        <v>9788</v>
      </c>
      <c r="B976" s="23" t="n">
        <v>45670</v>
      </c>
      <c r="C976" s="22" t="s">
        <v>4869</v>
      </c>
      <c r="D976" s="22" t="n">
        <v>2067</v>
      </c>
      <c r="E976" s="22" t="s">
        <v>7710</v>
      </c>
      <c r="F976" s="22" t="s">
        <v>215</v>
      </c>
      <c r="G976" s="22" t="n">
        <v>28</v>
      </c>
      <c r="H976" s="22" t="s">
        <v>7696</v>
      </c>
      <c r="I976" s="22" t="s">
        <v>8601</v>
      </c>
      <c r="J976" s="22" t="n">
        <v>7.55</v>
      </c>
      <c r="K976" s="22" t="n">
        <v>1</v>
      </c>
      <c r="L976" s="22" t="s">
        <v>8613</v>
      </c>
      <c r="M976" s="23" t="n">
        <v>45684</v>
      </c>
      <c r="N976" s="22"/>
      <c r="O976" s="22"/>
      <c r="P976" s="22"/>
      <c r="Q976" s="22"/>
      <c r="R976" s="22"/>
    </row>
    <row r="977" customFormat="false" ht="15" hidden="false" customHeight="false" outlineLevel="0" collapsed="false">
      <c r="A977" s="22" t="s">
        <v>9789</v>
      </c>
      <c r="B977" s="23" t="n">
        <v>45676</v>
      </c>
      <c r="C977" s="22" t="s">
        <v>5544</v>
      </c>
      <c r="D977" s="22" t="n">
        <v>2403</v>
      </c>
      <c r="E977" s="22" t="s">
        <v>8449</v>
      </c>
      <c r="F977" s="22" t="s">
        <v>188</v>
      </c>
      <c r="G977" s="22" t="n">
        <v>24</v>
      </c>
      <c r="H977" s="22" t="s">
        <v>7696</v>
      </c>
      <c r="I977" s="22" t="s">
        <v>8601</v>
      </c>
      <c r="J977" s="22" t="n">
        <v>7.55</v>
      </c>
      <c r="K977" s="22" t="n">
        <v>1</v>
      </c>
      <c r="L977" s="22" t="s">
        <v>157</v>
      </c>
      <c r="M977" s="23" t="n">
        <v>45690</v>
      </c>
      <c r="N977" s="23" t="n">
        <v>45681</v>
      </c>
      <c r="O977" s="22" t="n">
        <v>5</v>
      </c>
      <c r="P977" s="22"/>
      <c r="Q977" s="22"/>
      <c r="R977" s="22"/>
    </row>
    <row r="978" customFormat="false" ht="15" hidden="false" customHeight="false" outlineLevel="0" collapsed="false">
      <c r="A978" s="22" t="s">
        <v>9790</v>
      </c>
      <c r="B978" s="23" t="n">
        <v>45667</v>
      </c>
      <c r="C978" s="22" t="s">
        <v>2263</v>
      </c>
      <c r="D978" s="22" t="n">
        <v>829</v>
      </c>
      <c r="E978" s="22" t="s">
        <v>7798</v>
      </c>
      <c r="F978" s="22" t="s">
        <v>215</v>
      </c>
      <c r="G978" s="22" t="n">
        <v>36</v>
      </c>
      <c r="H978" s="22" t="s">
        <v>7696</v>
      </c>
      <c r="I978" s="22" t="s">
        <v>8601</v>
      </c>
      <c r="J978" s="22" t="n">
        <v>7.55</v>
      </c>
      <c r="K978" s="22" t="n">
        <v>1</v>
      </c>
      <c r="L978" s="22" t="s">
        <v>157</v>
      </c>
      <c r="M978" s="23" t="n">
        <v>45681</v>
      </c>
      <c r="N978" s="23" t="n">
        <v>45677</v>
      </c>
      <c r="O978" s="22" t="n">
        <v>10</v>
      </c>
      <c r="P978" s="22"/>
      <c r="Q978" s="22"/>
      <c r="R978" s="22"/>
    </row>
    <row r="979" customFormat="false" ht="15" hidden="false" customHeight="false" outlineLevel="0" collapsed="false">
      <c r="A979" s="22" t="s">
        <v>9791</v>
      </c>
      <c r="B979" s="23" t="n">
        <v>45674</v>
      </c>
      <c r="C979" s="22" t="s">
        <v>4235</v>
      </c>
      <c r="D979" s="22" t="n">
        <v>1757</v>
      </c>
      <c r="E979" s="22" t="s">
        <v>7035</v>
      </c>
      <c r="F979" s="22" t="s">
        <v>198</v>
      </c>
      <c r="G979" s="22" t="n">
        <v>24</v>
      </c>
      <c r="H979" s="22" t="s">
        <v>6575</v>
      </c>
      <c r="I979" s="22" t="s">
        <v>8601</v>
      </c>
      <c r="J979" s="22" t="n">
        <v>10.4</v>
      </c>
      <c r="K979" s="22" t="n">
        <v>2</v>
      </c>
      <c r="L979" s="22" t="s">
        <v>8605</v>
      </c>
      <c r="M979" s="23" t="n">
        <v>45684</v>
      </c>
      <c r="N979" s="23" t="n">
        <v>45680</v>
      </c>
      <c r="O979" s="22" t="n">
        <v>6</v>
      </c>
      <c r="P979" s="22"/>
      <c r="Q979" s="22" t="s">
        <v>9792</v>
      </c>
      <c r="R979" s="22"/>
    </row>
    <row r="980" customFormat="false" ht="15" hidden="false" customHeight="false" outlineLevel="0" collapsed="false">
      <c r="A980" s="22" t="s">
        <v>9793</v>
      </c>
      <c r="B980" s="23" t="n">
        <v>45690</v>
      </c>
      <c r="C980" s="22" t="s">
        <v>1417</v>
      </c>
      <c r="D980" s="22" t="n">
        <v>466</v>
      </c>
      <c r="E980" s="22" t="s">
        <v>8003</v>
      </c>
      <c r="F980" s="22" t="s">
        <v>215</v>
      </c>
      <c r="G980" s="22" t="n">
        <v>40</v>
      </c>
      <c r="H980" s="22" t="s">
        <v>7696</v>
      </c>
      <c r="I980" s="22" t="s">
        <v>8601</v>
      </c>
      <c r="J980" s="22" t="n">
        <v>7.55</v>
      </c>
      <c r="K980" s="22" t="n">
        <v>1</v>
      </c>
      <c r="L980" s="22" t="s">
        <v>8605</v>
      </c>
      <c r="M980" s="23" t="n">
        <v>45704</v>
      </c>
      <c r="N980" s="23" t="n">
        <v>45701</v>
      </c>
      <c r="O980" s="22" t="n">
        <v>11</v>
      </c>
      <c r="P980" s="22"/>
      <c r="Q980" s="22" t="s">
        <v>9794</v>
      </c>
      <c r="R980" s="22"/>
    </row>
    <row r="981" customFormat="false" ht="15" hidden="false" customHeight="false" outlineLevel="0" collapsed="false">
      <c r="A981" s="22" t="s">
        <v>9795</v>
      </c>
      <c r="B981" s="23" t="n">
        <v>45700</v>
      </c>
      <c r="C981" s="22" t="s">
        <v>3655</v>
      </c>
      <c r="D981" s="22" t="n">
        <v>1473</v>
      </c>
      <c r="E981" s="22" t="s">
        <v>8061</v>
      </c>
      <c r="F981" s="22" t="s">
        <v>499</v>
      </c>
      <c r="G981" s="22" t="n">
        <v>32</v>
      </c>
      <c r="H981" s="22" t="s">
        <v>7696</v>
      </c>
      <c r="I981" s="22" t="s">
        <v>8601</v>
      </c>
      <c r="J981" s="22" t="n">
        <v>7.55</v>
      </c>
      <c r="K981" s="22" t="n">
        <v>1</v>
      </c>
      <c r="L981" s="22" t="s">
        <v>8605</v>
      </c>
      <c r="M981" s="23" t="n">
        <v>45714</v>
      </c>
      <c r="N981" s="23" t="n">
        <v>45705</v>
      </c>
      <c r="O981" s="22" t="n">
        <v>5</v>
      </c>
      <c r="P981" s="22"/>
      <c r="Q981" s="22" t="s">
        <v>9796</v>
      </c>
      <c r="R981" s="22"/>
    </row>
    <row r="982" customFormat="false" ht="15" hidden="false" customHeight="false" outlineLevel="0" collapsed="false">
      <c r="A982" s="22" t="s">
        <v>9797</v>
      </c>
      <c r="B982" s="23" t="n">
        <v>45691</v>
      </c>
      <c r="C982" s="22" t="s">
        <v>3579</v>
      </c>
      <c r="D982" s="22" t="n">
        <v>1437</v>
      </c>
      <c r="E982" s="22" t="s">
        <v>8055</v>
      </c>
      <c r="F982" s="22" t="s">
        <v>499</v>
      </c>
      <c r="G982" s="22" t="n">
        <v>50</v>
      </c>
      <c r="H982" s="22" t="s">
        <v>7696</v>
      </c>
      <c r="I982" s="22" t="s">
        <v>8601</v>
      </c>
      <c r="J982" s="22" t="n">
        <v>7.55</v>
      </c>
      <c r="K982" s="22" t="n">
        <v>2</v>
      </c>
      <c r="L982" s="22" t="s">
        <v>8605</v>
      </c>
      <c r="M982" s="23" t="n">
        <v>45705</v>
      </c>
      <c r="N982" s="23" t="n">
        <v>45699</v>
      </c>
      <c r="O982" s="22" t="n">
        <v>8</v>
      </c>
      <c r="P982" s="22"/>
      <c r="Q982" s="22" t="s">
        <v>9798</v>
      </c>
      <c r="R982" s="22"/>
    </row>
    <row r="983" customFormat="false" ht="15" hidden="false" customHeight="false" outlineLevel="0" collapsed="false">
      <c r="A983" s="22" t="s">
        <v>9799</v>
      </c>
      <c r="B983" s="23" t="n">
        <v>45710</v>
      </c>
      <c r="C983" s="22" t="s">
        <v>3722</v>
      </c>
      <c r="D983" s="22" t="n">
        <v>1506</v>
      </c>
      <c r="E983" s="22" t="s">
        <v>8490</v>
      </c>
      <c r="F983" s="22" t="s">
        <v>188</v>
      </c>
      <c r="G983" s="22" t="n">
        <v>24</v>
      </c>
      <c r="H983" s="22" t="s">
        <v>7696</v>
      </c>
      <c r="I983" s="22" t="s">
        <v>8601</v>
      </c>
      <c r="J983" s="22" t="n">
        <v>7.55</v>
      </c>
      <c r="K983" s="22" t="n">
        <v>2</v>
      </c>
      <c r="L983" s="22" t="s">
        <v>8605</v>
      </c>
      <c r="M983" s="23" t="n">
        <v>45724</v>
      </c>
      <c r="N983" s="23" t="n">
        <v>45712</v>
      </c>
      <c r="O983" s="22" t="n">
        <v>2</v>
      </c>
      <c r="P983" s="22"/>
      <c r="Q983" s="22" t="s">
        <v>9800</v>
      </c>
      <c r="R983" s="22"/>
    </row>
    <row r="984" customFormat="false" ht="15" hidden="false" customHeight="false" outlineLevel="0" collapsed="false">
      <c r="A984" s="22" t="s">
        <v>9801</v>
      </c>
      <c r="B984" s="23" t="n">
        <v>45705</v>
      </c>
      <c r="C984" s="22" t="s">
        <v>4422</v>
      </c>
      <c r="D984" s="22" t="n">
        <v>1849</v>
      </c>
      <c r="E984" s="22" t="s">
        <v>6782</v>
      </c>
      <c r="F984" s="22" t="s">
        <v>198</v>
      </c>
      <c r="G984" s="22" t="n">
        <v>24</v>
      </c>
      <c r="H984" s="22" t="s">
        <v>6575</v>
      </c>
      <c r="I984" s="22" t="s">
        <v>8601</v>
      </c>
      <c r="J984" s="22" t="n">
        <v>10.4</v>
      </c>
      <c r="K984" s="22" t="n">
        <v>2</v>
      </c>
      <c r="L984" s="22" t="s">
        <v>8605</v>
      </c>
      <c r="M984" s="23" t="n">
        <v>45715</v>
      </c>
      <c r="N984" s="23" t="n">
        <v>45718</v>
      </c>
      <c r="O984" s="22" t="n">
        <v>13</v>
      </c>
      <c r="P984" s="22"/>
      <c r="Q984" s="22" t="s">
        <v>9802</v>
      </c>
      <c r="R984" s="22"/>
    </row>
    <row r="985" customFormat="false" ht="15" hidden="false" customHeight="false" outlineLevel="0" collapsed="false">
      <c r="A985" s="22" t="s">
        <v>9803</v>
      </c>
      <c r="B985" s="23" t="n">
        <v>45701</v>
      </c>
      <c r="C985" s="22" t="s">
        <v>3988</v>
      </c>
      <c r="D985" s="22" t="n">
        <v>1637</v>
      </c>
      <c r="E985" s="22" t="s">
        <v>6799</v>
      </c>
      <c r="F985" s="22" t="s">
        <v>198</v>
      </c>
      <c r="G985" s="22" t="n">
        <v>24</v>
      </c>
      <c r="H985" s="22" t="s">
        <v>6575</v>
      </c>
      <c r="I985" s="22" t="s">
        <v>8601</v>
      </c>
      <c r="J985" s="22" t="n">
        <v>10.4</v>
      </c>
      <c r="K985" s="22" t="n">
        <v>2</v>
      </c>
      <c r="L985" s="22" t="s">
        <v>8605</v>
      </c>
      <c r="M985" s="23" t="n">
        <v>45711</v>
      </c>
      <c r="N985" s="23" t="n">
        <v>45702</v>
      </c>
      <c r="O985" s="22" t="n">
        <v>1</v>
      </c>
      <c r="P985" s="22"/>
      <c r="Q985" s="22" t="s">
        <v>9804</v>
      </c>
      <c r="R985" s="22"/>
    </row>
    <row r="986" customFormat="false" ht="15" hidden="false" customHeight="false" outlineLevel="0" collapsed="false">
      <c r="A986" s="22" t="s">
        <v>9805</v>
      </c>
      <c r="B986" s="23" t="n">
        <v>45708</v>
      </c>
      <c r="C986" s="22" t="s">
        <v>5227</v>
      </c>
      <c r="D986" s="22" t="n">
        <v>2244</v>
      </c>
      <c r="E986" s="22" t="s">
        <v>8020</v>
      </c>
      <c r="F986" s="22" t="s">
        <v>215</v>
      </c>
      <c r="G986" s="22" t="n">
        <v>24</v>
      </c>
      <c r="H986" s="22" t="s">
        <v>7696</v>
      </c>
      <c r="I986" s="22" t="s">
        <v>8601</v>
      </c>
      <c r="J986" s="22" t="n">
        <v>7.55</v>
      </c>
      <c r="K986" s="22" t="n">
        <v>1</v>
      </c>
      <c r="L986" s="22" t="s">
        <v>8602</v>
      </c>
      <c r="M986" s="23" t="n">
        <v>45722</v>
      </c>
      <c r="N986" s="22"/>
      <c r="O986" s="22"/>
      <c r="P986" s="22" t="s">
        <v>8618</v>
      </c>
      <c r="Q986" s="22"/>
      <c r="R986" s="22"/>
    </row>
    <row r="987" customFormat="false" ht="15" hidden="false" customHeight="false" outlineLevel="0" collapsed="false">
      <c r="A987" s="22" t="s">
        <v>9806</v>
      </c>
      <c r="B987" s="23" t="n">
        <v>45713</v>
      </c>
      <c r="C987" s="22" t="s">
        <v>2753</v>
      </c>
      <c r="D987" s="22" t="n">
        <v>1050</v>
      </c>
      <c r="E987" s="22" t="s">
        <v>7992</v>
      </c>
      <c r="F987" s="22" t="s">
        <v>215</v>
      </c>
      <c r="G987" s="22" t="n">
        <v>28</v>
      </c>
      <c r="H987" s="22" t="s">
        <v>7696</v>
      </c>
      <c r="I987" s="22" t="s">
        <v>8601</v>
      </c>
      <c r="J987" s="22" t="n">
        <v>7.55</v>
      </c>
      <c r="K987" s="22" t="n">
        <v>2</v>
      </c>
      <c r="L987" s="22" t="s">
        <v>157</v>
      </c>
      <c r="M987" s="23" t="n">
        <v>45727</v>
      </c>
      <c r="N987" s="23" t="n">
        <v>45720</v>
      </c>
      <c r="O987" s="22" t="n">
        <v>7</v>
      </c>
      <c r="P987" s="22"/>
      <c r="Q987" s="22"/>
      <c r="R987" s="22"/>
    </row>
    <row r="988" customFormat="false" ht="15" hidden="false" customHeight="false" outlineLevel="0" collapsed="false">
      <c r="A988" s="22" t="s">
        <v>9807</v>
      </c>
      <c r="B988" s="23" t="n">
        <v>45693</v>
      </c>
      <c r="C988" s="22" t="s">
        <v>4131</v>
      </c>
      <c r="D988" s="22" t="n">
        <v>1707</v>
      </c>
      <c r="E988" s="22" t="s">
        <v>8357</v>
      </c>
      <c r="F988" s="22" t="s">
        <v>188</v>
      </c>
      <c r="G988" s="22" t="n">
        <v>32</v>
      </c>
      <c r="H988" s="22" t="s">
        <v>7696</v>
      </c>
      <c r="I988" s="22" t="s">
        <v>8601</v>
      </c>
      <c r="J988" s="22" t="n">
        <v>7.55</v>
      </c>
      <c r="K988" s="22" t="n">
        <v>1</v>
      </c>
      <c r="L988" s="22" t="s">
        <v>8605</v>
      </c>
      <c r="M988" s="23" t="n">
        <v>45707</v>
      </c>
      <c r="N988" s="23" t="n">
        <v>45703</v>
      </c>
      <c r="O988" s="22" t="n">
        <v>10</v>
      </c>
      <c r="P988" s="22"/>
      <c r="Q988" s="22" t="s">
        <v>9808</v>
      </c>
      <c r="R988" s="22"/>
    </row>
    <row r="989" customFormat="false" ht="15" hidden="false" customHeight="false" outlineLevel="0" collapsed="false">
      <c r="A989" s="22" t="s">
        <v>9809</v>
      </c>
      <c r="B989" s="23" t="n">
        <v>45699</v>
      </c>
      <c r="C989" s="22" t="s">
        <v>2975</v>
      </c>
      <c r="D989" s="22" t="n">
        <v>1152</v>
      </c>
      <c r="E989" s="22" t="s">
        <v>7093</v>
      </c>
      <c r="F989" s="22" t="s">
        <v>198</v>
      </c>
      <c r="G989" s="22" t="n">
        <v>32</v>
      </c>
      <c r="H989" s="22" t="s">
        <v>6575</v>
      </c>
      <c r="I989" s="22" t="s">
        <v>8601</v>
      </c>
      <c r="J989" s="22" t="n">
        <v>10.4</v>
      </c>
      <c r="K989" s="22" t="n">
        <v>1</v>
      </c>
      <c r="L989" s="22" t="s">
        <v>8605</v>
      </c>
      <c r="M989" s="23" t="n">
        <v>45709</v>
      </c>
      <c r="N989" s="23" t="n">
        <v>45706</v>
      </c>
      <c r="O989" s="22" t="n">
        <v>7</v>
      </c>
      <c r="P989" s="22"/>
      <c r="Q989" s="22" t="s">
        <v>9810</v>
      </c>
      <c r="R989" s="22"/>
    </row>
    <row r="990" customFormat="false" ht="15" hidden="false" customHeight="false" outlineLevel="0" collapsed="false">
      <c r="A990" s="22" t="s">
        <v>9811</v>
      </c>
      <c r="B990" s="23" t="n">
        <v>45691</v>
      </c>
      <c r="C990" s="22" t="s">
        <v>3759</v>
      </c>
      <c r="D990" s="22" t="n">
        <v>1524</v>
      </c>
      <c r="E990" s="22" t="s">
        <v>7191</v>
      </c>
      <c r="F990" s="22" t="s">
        <v>198</v>
      </c>
      <c r="G990" s="22" t="n">
        <v>32</v>
      </c>
      <c r="H990" s="22" t="s">
        <v>6575</v>
      </c>
      <c r="I990" s="22" t="s">
        <v>8601</v>
      </c>
      <c r="J990" s="22" t="n">
        <v>10.4</v>
      </c>
      <c r="K990" s="22" t="n">
        <v>1</v>
      </c>
      <c r="L990" s="22" t="s">
        <v>8605</v>
      </c>
      <c r="M990" s="23" t="n">
        <v>45701</v>
      </c>
      <c r="N990" s="23" t="n">
        <v>45697</v>
      </c>
      <c r="O990" s="22" t="n">
        <v>6</v>
      </c>
      <c r="P990" s="22"/>
      <c r="Q990" s="22" t="s">
        <v>9812</v>
      </c>
      <c r="R990" s="22"/>
    </row>
    <row r="991" customFormat="false" ht="15" hidden="false" customHeight="false" outlineLevel="0" collapsed="false">
      <c r="A991" s="22" t="s">
        <v>9813</v>
      </c>
      <c r="B991" s="23" t="n">
        <v>45709</v>
      </c>
      <c r="C991" s="22" t="s">
        <v>6544</v>
      </c>
      <c r="D991" s="22" t="n">
        <v>2905</v>
      </c>
      <c r="E991" s="22" t="s">
        <v>8383</v>
      </c>
      <c r="F991" s="22" t="s">
        <v>188</v>
      </c>
      <c r="G991" s="22" t="n">
        <v>45</v>
      </c>
      <c r="H991" s="22" t="s">
        <v>7696</v>
      </c>
      <c r="I991" s="22" t="s">
        <v>8601</v>
      </c>
      <c r="J991" s="22" t="n">
        <v>7.55</v>
      </c>
      <c r="K991" s="22" t="n">
        <v>1</v>
      </c>
      <c r="L991" s="22" t="s">
        <v>8629</v>
      </c>
      <c r="M991" s="23" t="n">
        <v>45723</v>
      </c>
      <c r="N991" s="23" t="n">
        <v>45723</v>
      </c>
      <c r="O991" s="22" t="n">
        <v>14</v>
      </c>
      <c r="P991" s="22"/>
      <c r="Q991" s="22"/>
      <c r="R991" s="22"/>
    </row>
    <row r="992" customFormat="false" ht="15" hidden="false" customHeight="false" outlineLevel="0" collapsed="false">
      <c r="A992" s="22" t="s">
        <v>9814</v>
      </c>
      <c r="B992" s="23" t="n">
        <v>45698</v>
      </c>
      <c r="C992" s="22" t="s">
        <v>2747</v>
      </c>
      <c r="D992" s="22" t="n">
        <v>1047</v>
      </c>
      <c r="E992" s="22" t="s">
        <v>8424</v>
      </c>
      <c r="F992" s="22" t="s">
        <v>188</v>
      </c>
      <c r="G992" s="22" t="n">
        <v>32</v>
      </c>
      <c r="H992" s="22" t="s">
        <v>7696</v>
      </c>
      <c r="I992" s="22" t="s">
        <v>8601</v>
      </c>
      <c r="J992" s="22" t="n">
        <v>7.55</v>
      </c>
      <c r="K992" s="22" t="n">
        <v>1</v>
      </c>
      <c r="L992" s="22" t="s">
        <v>8729</v>
      </c>
      <c r="M992" s="23" t="n">
        <v>45712</v>
      </c>
      <c r="N992" s="23" t="n">
        <v>45708</v>
      </c>
      <c r="O992" s="22" t="n">
        <v>10</v>
      </c>
      <c r="P992" s="22"/>
      <c r="Q992" s="22"/>
      <c r="R992" s="22"/>
    </row>
    <row r="993" customFormat="false" ht="15" hidden="false" customHeight="false" outlineLevel="0" collapsed="false">
      <c r="A993" s="22" t="s">
        <v>9815</v>
      </c>
      <c r="B993" s="23" t="n">
        <v>45714</v>
      </c>
      <c r="C993" s="22" t="s">
        <v>797</v>
      </c>
      <c r="D993" s="22" t="n">
        <v>222</v>
      </c>
      <c r="E993" s="22" t="s">
        <v>7301</v>
      </c>
      <c r="F993" s="22" t="s">
        <v>198</v>
      </c>
      <c r="G993" s="22" t="n">
        <v>32</v>
      </c>
      <c r="H993" s="22" t="s">
        <v>6575</v>
      </c>
      <c r="I993" s="22" t="s">
        <v>8601</v>
      </c>
      <c r="J993" s="22" t="n">
        <v>10.4</v>
      </c>
      <c r="K993" s="22" t="n">
        <v>2</v>
      </c>
      <c r="L993" s="22" t="s">
        <v>157</v>
      </c>
      <c r="M993" s="23" t="n">
        <v>45724</v>
      </c>
      <c r="N993" s="23" t="n">
        <v>45716</v>
      </c>
      <c r="O993" s="22" t="n">
        <v>2</v>
      </c>
      <c r="P993" s="22"/>
      <c r="Q993" s="22"/>
      <c r="R993" s="22"/>
    </row>
    <row r="994" customFormat="false" ht="15" hidden="false" customHeight="false" outlineLevel="0" collapsed="false">
      <c r="A994" s="22" t="s">
        <v>9816</v>
      </c>
      <c r="B994" s="23" t="n">
        <v>45703</v>
      </c>
      <c r="C994" s="22" t="s">
        <v>2664</v>
      </c>
      <c r="D994" s="22" t="n">
        <v>1010</v>
      </c>
      <c r="E994" s="22" t="s">
        <v>6911</v>
      </c>
      <c r="F994" s="22" t="s">
        <v>198</v>
      </c>
      <c r="G994" s="22" t="n">
        <v>32</v>
      </c>
      <c r="H994" s="22" t="s">
        <v>6575</v>
      </c>
      <c r="I994" s="22" t="s">
        <v>8601</v>
      </c>
      <c r="J994" s="22" t="n">
        <v>10.4</v>
      </c>
      <c r="K994" s="22" t="n">
        <v>2</v>
      </c>
      <c r="L994" s="22" t="s">
        <v>8605</v>
      </c>
      <c r="M994" s="23" t="n">
        <v>45713</v>
      </c>
      <c r="N994" s="23" t="n">
        <v>45712</v>
      </c>
      <c r="O994" s="22" t="n">
        <v>9</v>
      </c>
      <c r="P994" s="22"/>
      <c r="Q994" s="22" t="s">
        <v>9817</v>
      </c>
      <c r="R994" s="22"/>
    </row>
    <row r="995" customFormat="false" ht="15" hidden="false" customHeight="false" outlineLevel="0" collapsed="false">
      <c r="A995" s="22" t="s">
        <v>9818</v>
      </c>
      <c r="B995" s="23" t="n">
        <v>45743</v>
      </c>
      <c r="C995" s="22" t="s">
        <v>2173</v>
      </c>
      <c r="D995" s="22" t="n">
        <v>789</v>
      </c>
      <c r="E995" s="22" t="s">
        <v>8469</v>
      </c>
      <c r="F995" s="22" t="s">
        <v>188</v>
      </c>
      <c r="G995" s="22" t="n">
        <v>45</v>
      </c>
      <c r="H995" s="22" t="s">
        <v>7696</v>
      </c>
      <c r="I995" s="22" t="s">
        <v>8601</v>
      </c>
      <c r="J995" s="22" t="n">
        <v>7.55</v>
      </c>
      <c r="K995" s="22" t="n">
        <v>1</v>
      </c>
      <c r="L995" s="22" t="s">
        <v>157</v>
      </c>
      <c r="M995" s="23" t="n">
        <v>45757</v>
      </c>
      <c r="N995" s="23" t="n">
        <v>45758</v>
      </c>
      <c r="O995" s="22" t="n">
        <v>15</v>
      </c>
      <c r="P995" s="22"/>
      <c r="Q995" s="22"/>
      <c r="R995" s="22"/>
    </row>
    <row r="996" customFormat="false" ht="15" hidden="false" customHeight="false" outlineLevel="0" collapsed="false">
      <c r="A996" s="22" t="s">
        <v>9819</v>
      </c>
      <c r="B996" s="23" t="n">
        <v>45720</v>
      </c>
      <c r="C996" s="22" t="s">
        <v>541</v>
      </c>
      <c r="D996" s="22" t="n">
        <v>130</v>
      </c>
      <c r="E996" s="22" t="s">
        <v>6693</v>
      </c>
      <c r="F996" s="22" t="s">
        <v>198</v>
      </c>
      <c r="G996" s="22" t="n">
        <v>28</v>
      </c>
      <c r="H996" s="22" t="s">
        <v>6575</v>
      </c>
      <c r="I996" s="22" t="s">
        <v>8601</v>
      </c>
      <c r="J996" s="22" t="n">
        <v>10.4</v>
      </c>
      <c r="K996" s="22" t="n">
        <v>1</v>
      </c>
      <c r="L996" s="22" t="s">
        <v>8605</v>
      </c>
      <c r="M996" s="23" t="n">
        <v>45730</v>
      </c>
      <c r="N996" s="23" t="n">
        <v>45723</v>
      </c>
      <c r="O996" s="22" t="n">
        <v>3</v>
      </c>
      <c r="P996" s="22"/>
      <c r="Q996" s="22" t="s">
        <v>9820</v>
      </c>
      <c r="R996" s="22"/>
    </row>
    <row r="997" customFormat="false" ht="15" hidden="false" customHeight="false" outlineLevel="0" collapsed="false">
      <c r="A997" s="22" t="s">
        <v>9821</v>
      </c>
      <c r="B997" s="23" t="n">
        <v>45736</v>
      </c>
      <c r="C997" s="22" t="s">
        <v>6037</v>
      </c>
      <c r="D997" s="22" t="n">
        <v>2649</v>
      </c>
      <c r="E997" s="22" t="s">
        <v>8391</v>
      </c>
      <c r="F997" s="22" t="s">
        <v>188</v>
      </c>
      <c r="G997" s="22" t="n">
        <v>28</v>
      </c>
      <c r="H997" s="22" t="s">
        <v>7696</v>
      </c>
      <c r="I997" s="22" t="s">
        <v>8601</v>
      </c>
      <c r="J997" s="22" t="n">
        <v>7.55</v>
      </c>
      <c r="K997" s="22" t="n">
        <v>1</v>
      </c>
      <c r="L997" s="22" t="s">
        <v>8605</v>
      </c>
      <c r="M997" s="23" t="n">
        <v>45750</v>
      </c>
      <c r="N997" s="23" t="n">
        <v>45752</v>
      </c>
      <c r="O997" s="22" t="n">
        <v>16</v>
      </c>
      <c r="P997" s="22"/>
      <c r="Q997" s="22" t="s">
        <v>9822</v>
      </c>
      <c r="R997" s="22"/>
    </row>
    <row r="998" customFormat="false" ht="15" hidden="false" customHeight="false" outlineLevel="0" collapsed="false">
      <c r="A998" s="22" t="s">
        <v>9823</v>
      </c>
      <c r="B998" s="23" t="n">
        <v>45734</v>
      </c>
      <c r="C998" s="22" t="s">
        <v>4191</v>
      </c>
      <c r="D998" s="22" t="n">
        <v>1736</v>
      </c>
      <c r="E998" s="22" t="s">
        <v>8265</v>
      </c>
      <c r="F998" s="22" t="s">
        <v>499</v>
      </c>
      <c r="G998" s="22" t="n">
        <v>70</v>
      </c>
      <c r="H998" s="22" t="s">
        <v>7696</v>
      </c>
      <c r="I998" s="22" t="s">
        <v>8601</v>
      </c>
      <c r="J998" s="22" t="n">
        <v>7.55</v>
      </c>
      <c r="K998" s="22" t="n">
        <v>2</v>
      </c>
      <c r="L998" s="22" t="s">
        <v>8605</v>
      </c>
      <c r="M998" s="23" t="n">
        <v>45748</v>
      </c>
      <c r="N998" s="23" t="n">
        <v>45740</v>
      </c>
      <c r="O998" s="22" t="n">
        <v>6</v>
      </c>
      <c r="P998" s="22"/>
      <c r="Q998" s="22" t="s">
        <v>9824</v>
      </c>
      <c r="R998" s="22"/>
    </row>
    <row r="999" customFormat="false" ht="15" hidden="false" customHeight="false" outlineLevel="0" collapsed="false">
      <c r="A999" s="22" t="s">
        <v>9825</v>
      </c>
      <c r="B999" s="23" t="n">
        <v>45737</v>
      </c>
      <c r="C999" s="22" t="s">
        <v>458</v>
      </c>
      <c r="D999" s="22" t="n">
        <v>101</v>
      </c>
      <c r="E999" s="22" t="s">
        <v>8573</v>
      </c>
      <c r="F999" s="22" t="s">
        <v>188</v>
      </c>
      <c r="G999" s="22" t="n">
        <v>32</v>
      </c>
      <c r="H999" s="22" t="s">
        <v>7696</v>
      </c>
      <c r="I999" s="22" t="s">
        <v>8601</v>
      </c>
      <c r="J999" s="22" t="n">
        <v>7.55</v>
      </c>
      <c r="K999" s="22" t="n">
        <v>1</v>
      </c>
      <c r="L999" s="22" t="s">
        <v>8605</v>
      </c>
      <c r="M999" s="23" t="n">
        <v>45751</v>
      </c>
      <c r="N999" s="23" t="n">
        <v>45742</v>
      </c>
      <c r="O999" s="22" t="n">
        <v>5</v>
      </c>
      <c r="P999" s="22"/>
      <c r="Q999" s="22" t="s">
        <v>9826</v>
      </c>
      <c r="R999" s="22"/>
    </row>
    <row r="1000" customFormat="false" ht="15" hidden="false" customHeight="false" outlineLevel="0" collapsed="false">
      <c r="A1000" s="22" t="s">
        <v>9827</v>
      </c>
      <c r="B1000" s="23" t="n">
        <v>45738</v>
      </c>
      <c r="C1000" s="22" t="s">
        <v>2789</v>
      </c>
      <c r="D1000" s="22" t="n">
        <v>1067</v>
      </c>
      <c r="E1000" s="22" t="s">
        <v>7263</v>
      </c>
      <c r="F1000" s="22" t="s">
        <v>198</v>
      </c>
      <c r="G1000" s="22" t="n">
        <v>28</v>
      </c>
      <c r="H1000" s="22" t="s">
        <v>6575</v>
      </c>
      <c r="I1000" s="22" t="s">
        <v>8601</v>
      </c>
      <c r="J1000" s="22" t="n">
        <v>10.4</v>
      </c>
      <c r="K1000" s="22" t="n">
        <v>1</v>
      </c>
      <c r="L1000" s="22" t="s">
        <v>8602</v>
      </c>
      <c r="M1000" s="23" t="n">
        <v>45748</v>
      </c>
      <c r="N1000" s="22"/>
      <c r="O1000" s="22"/>
      <c r="P1000" s="22" t="s">
        <v>8618</v>
      </c>
      <c r="Q1000" s="22"/>
      <c r="R1000" s="22"/>
    </row>
    <row r="1001" customFormat="false" ht="15" hidden="false" customHeight="false" outlineLevel="0" collapsed="false">
      <c r="A1001" s="22" t="s">
        <v>9828</v>
      </c>
      <c r="B1001" s="23" t="n">
        <v>45744</v>
      </c>
      <c r="C1001" s="22" t="s">
        <v>5568</v>
      </c>
      <c r="D1001" s="22" t="n">
        <v>2415</v>
      </c>
      <c r="E1001" s="22" t="s">
        <v>7953</v>
      </c>
      <c r="F1001" s="22" t="s">
        <v>215</v>
      </c>
      <c r="G1001" s="22" t="n">
        <v>24</v>
      </c>
      <c r="H1001" s="22" t="s">
        <v>7696</v>
      </c>
      <c r="I1001" s="22" t="s">
        <v>8601</v>
      </c>
      <c r="J1001" s="22" t="n">
        <v>7.55</v>
      </c>
      <c r="K1001" s="22" t="n">
        <v>1</v>
      </c>
      <c r="L1001" s="22" t="s">
        <v>8605</v>
      </c>
      <c r="M1001" s="23" t="n">
        <v>45758</v>
      </c>
      <c r="N1001" s="23" t="n">
        <v>45759</v>
      </c>
      <c r="O1001" s="22" t="n">
        <v>15</v>
      </c>
      <c r="P1001" s="22"/>
      <c r="Q1001" s="22" t="s">
        <v>9829</v>
      </c>
      <c r="R1001" s="22"/>
    </row>
    <row r="1002" customFormat="false" ht="15" hidden="false" customHeight="false" outlineLevel="0" collapsed="false">
      <c r="A1002" s="22" t="s">
        <v>9830</v>
      </c>
      <c r="B1002" s="23" t="n">
        <v>45743</v>
      </c>
      <c r="C1002" s="22" t="s">
        <v>1554</v>
      </c>
      <c r="D1002" s="22" t="n">
        <v>523</v>
      </c>
      <c r="E1002" s="22" t="s">
        <v>6733</v>
      </c>
      <c r="F1002" s="22" t="s">
        <v>198</v>
      </c>
      <c r="G1002" s="22" t="n">
        <v>36</v>
      </c>
      <c r="H1002" s="22" t="s">
        <v>6575</v>
      </c>
      <c r="I1002" s="22" t="s">
        <v>8601</v>
      </c>
      <c r="J1002" s="22" t="n">
        <v>10.4</v>
      </c>
      <c r="K1002" s="22" t="n">
        <v>1</v>
      </c>
      <c r="L1002" s="22" t="s">
        <v>8602</v>
      </c>
      <c r="M1002" s="23" t="n">
        <v>45753</v>
      </c>
      <c r="N1002" s="22"/>
      <c r="O1002" s="22"/>
      <c r="P1002" s="22" t="s">
        <v>8618</v>
      </c>
      <c r="Q1002" s="22"/>
      <c r="R1002" s="22"/>
    </row>
    <row r="1003" customFormat="false" ht="15" hidden="false" customHeight="false" outlineLevel="0" collapsed="false">
      <c r="A1003" s="22" t="s">
        <v>9831</v>
      </c>
      <c r="B1003" s="23" t="n">
        <v>45737</v>
      </c>
      <c r="C1003" s="22" t="s">
        <v>1950</v>
      </c>
      <c r="D1003" s="22" t="n">
        <v>691</v>
      </c>
      <c r="E1003" s="22" t="s">
        <v>7924</v>
      </c>
      <c r="F1003" s="22" t="s">
        <v>215</v>
      </c>
      <c r="G1003" s="22" t="n">
        <v>60</v>
      </c>
      <c r="H1003" s="22" t="s">
        <v>7696</v>
      </c>
      <c r="I1003" s="22" t="s">
        <v>8601</v>
      </c>
      <c r="J1003" s="22" t="n">
        <v>7.55</v>
      </c>
      <c r="K1003" s="22" t="n">
        <v>1</v>
      </c>
      <c r="L1003" s="22" t="s">
        <v>8605</v>
      </c>
      <c r="M1003" s="23" t="n">
        <v>45751</v>
      </c>
      <c r="N1003" s="23" t="n">
        <v>45748</v>
      </c>
      <c r="O1003" s="22" t="n">
        <v>11</v>
      </c>
      <c r="P1003" s="22"/>
      <c r="Q1003" s="22" t="s">
        <v>9832</v>
      </c>
      <c r="R1003" s="22"/>
    </row>
    <row r="1004" customFormat="false" ht="15" hidden="false" customHeight="false" outlineLevel="0" collapsed="false">
      <c r="A1004" s="22" t="s">
        <v>9833</v>
      </c>
      <c r="B1004" s="23" t="n">
        <v>45728</v>
      </c>
      <c r="C1004" s="22" t="s">
        <v>5623</v>
      </c>
      <c r="D1004" s="22" t="n">
        <v>2442</v>
      </c>
      <c r="E1004" s="22" t="s">
        <v>8372</v>
      </c>
      <c r="F1004" s="22" t="s">
        <v>188</v>
      </c>
      <c r="G1004" s="22" t="n">
        <v>36</v>
      </c>
      <c r="H1004" s="22" t="s">
        <v>7696</v>
      </c>
      <c r="I1004" s="22" t="s">
        <v>8601</v>
      </c>
      <c r="J1004" s="22" t="n">
        <v>7.55</v>
      </c>
      <c r="K1004" s="22" t="n">
        <v>1</v>
      </c>
      <c r="L1004" s="22" t="s">
        <v>8602</v>
      </c>
      <c r="M1004" s="23" t="n">
        <v>45742</v>
      </c>
      <c r="N1004" s="22"/>
      <c r="O1004" s="22"/>
      <c r="P1004" s="22" t="s">
        <v>8618</v>
      </c>
      <c r="Q1004" s="22"/>
      <c r="R1004" s="22"/>
    </row>
    <row r="1005" customFormat="false" ht="15" hidden="false" customHeight="false" outlineLevel="0" collapsed="false">
      <c r="A1005" s="22" t="s">
        <v>9834</v>
      </c>
      <c r="B1005" s="23" t="n">
        <v>45720</v>
      </c>
      <c r="C1005" s="22" t="s">
        <v>4380</v>
      </c>
      <c r="D1005" s="22" t="n">
        <v>1828</v>
      </c>
      <c r="E1005" s="22" t="s">
        <v>6633</v>
      </c>
      <c r="F1005" s="22" t="s">
        <v>198</v>
      </c>
      <c r="G1005" s="22" t="n">
        <v>24</v>
      </c>
      <c r="H1005" s="22" t="s">
        <v>6575</v>
      </c>
      <c r="I1005" s="22" t="s">
        <v>8601</v>
      </c>
      <c r="J1005" s="22" t="n">
        <v>10.4</v>
      </c>
      <c r="K1005" s="22" t="n">
        <v>1</v>
      </c>
      <c r="L1005" s="22" t="s">
        <v>8605</v>
      </c>
      <c r="M1005" s="23" t="n">
        <v>45730</v>
      </c>
      <c r="N1005" s="23" t="n">
        <v>45732</v>
      </c>
      <c r="O1005" s="22" t="n">
        <v>12</v>
      </c>
      <c r="P1005" s="22"/>
      <c r="Q1005" s="22" t="s">
        <v>9835</v>
      </c>
      <c r="R1005" s="22"/>
    </row>
    <row r="1006" customFormat="false" ht="15" hidden="false" customHeight="false" outlineLevel="0" collapsed="false">
      <c r="A1006" s="22" t="s">
        <v>9836</v>
      </c>
      <c r="B1006" s="23" t="n">
        <v>45725</v>
      </c>
      <c r="C1006" s="22" t="s">
        <v>5946</v>
      </c>
      <c r="D1006" s="22" t="n">
        <v>2604</v>
      </c>
      <c r="E1006" s="22" t="s">
        <v>7980</v>
      </c>
      <c r="F1006" s="22" t="s">
        <v>215</v>
      </c>
      <c r="G1006" s="22" t="n">
        <v>45</v>
      </c>
      <c r="H1006" s="22" t="s">
        <v>7696</v>
      </c>
      <c r="I1006" s="22" t="s">
        <v>8601</v>
      </c>
      <c r="J1006" s="22" t="n">
        <v>7.55</v>
      </c>
      <c r="K1006" s="22" t="n">
        <v>1</v>
      </c>
      <c r="L1006" s="22" t="s">
        <v>8602</v>
      </c>
      <c r="M1006" s="23" t="n">
        <v>45739</v>
      </c>
      <c r="N1006" s="22"/>
      <c r="O1006" s="22"/>
      <c r="P1006" s="22" t="s">
        <v>8618</v>
      </c>
      <c r="Q1006" s="22"/>
      <c r="R1006" s="22"/>
    </row>
    <row r="1007" customFormat="false" ht="15" hidden="false" customHeight="false" outlineLevel="0" collapsed="false">
      <c r="A1007" s="22" t="s">
        <v>9837</v>
      </c>
      <c r="B1007" s="23" t="n">
        <v>45720</v>
      </c>
      <c r="C1007" s="22" t="s">
        <v>6267</v>
      </c>
      <c r="D1007" s="22" t="n">
        <v>2764</v>
      </c>
      <c r="E1007" s="22" t="s">
        <v>7477</v>
      </c>
      <c r="F1007" s="22" t="s">
        <v>159</v>
      </c>
      <c r="G1007" s="22" t="n">
        <v>28</v>
      </c>
      <c r="H1007" s="22" t="s">
        <v>6575</v>
      </c>
      <c r="I1007" s="22" t="s">
        <v>8601</v>
      </c>
      <c r="J1007" s="22" t="n">
        <v>10.4</v>
      </c>
      <c r="K1007" s="22" t="n">
        <v>1</v>
      </c>
      <c r="L1007" s="22" t="s">
        <v>8605</v>
      </c>
      <c r="M1007" s="23" t="n">
        <v>45730</v>
      </c>
      <c r="N1007" s="23" t="n">
        <v>45730</v>
      </c>
      <c r="O1007" s="22" t="n">
        <v>10</v>
      </c>
      <c r="P1007" s="22"/>
      <c r="Q1007" s="22" t="s">
        <v>9838</v>
      </c>
      <c r="R1007" s="22"/>
    </row>
    <row r="1008" customFormat="false" ht="15" hidden="false" customHeight="false" outlineLevel="0" collapsed="false">
      <c r="A1008" s="22" t="s">
        <v>9839</v>
      </c>
      <c r="B1008" s="23" t="n">
        <v>45718</v>
      </c>
      <c r="C1008" s="22" t="s">
        <v>1316</v>
      </c>
      <c r="D1008" s="22" t="n">
        <v>424</v>
      </c>
      <c r="E1008" s="22" t="s">
        <v>8398</v>
      </c>
      <c r="F1008" s="22" t="s">
        <v>188</v>
      </c>
      <c r="G1008" s="22" t="n">
        <v>70</v>
      </c>
      <c r="H1008" s="22" t="s">
        <v>7696</v>
      </c>
      <c r="I1008" s="22" t="s">
        <v>8601</v>
      </c>
      <c r="J1008" s="22" t="n">
        <v>7.55</v>
      </c>
      <c r="K1008" s="22" t="n">
        <v>1</v>
      </c>
      <c r="L1008" s="22" t="s">
        <v>8605</v>
      </c>
      <c r="M1008" s="23" t="n">
        <v>45732</v>
      </c>
      <c r="N1008" s="23" t="n">
        <v>45734</v>
      </c>
      <c r="O1008" s="22" t="n">
        <v>16</v>
      </c>
      <c r="P1008" s="22"/>
      <c r="Q1008" s="22" t="s">
        <v>9840</v>
      </c>
      <c r="R1008" s="22"/>
    </row>
    <row r="1009" customFormat="false" ht="15" hidden="false" customHeight="false" outlineLevel="0" collapsed="false">
      <c r="A1009" s="22" t="s">
        <v>9841</v>
      </c>
      <c r="B1009" s="23" t="n">
        <v>45723</v>
      </c>
      <c r="C1009" s="22" t="s">
        <v>5528</v>
      </c>
      <c r="D1009" s="22" t="n">
        <v>2395</v>
      </c>
      <c r="E1009" s="22" t="s">
        <v>7321</v>
      </c>
      <c r="F1009" s="22" t="s">
        <v>159</v>
      </c>
      <c r="G1009" s="22" t="n">
        <v>36</v>
      </c>
      <c r="H1009" s="22" t="s">
        <v>6575</v>
      </c>
      <c r="I1009" s="22" t="s">
        <v>8601</v>
      </c>
      <c r="J1009" s="22" t="n">
        <v>10.4</v>
      </c>
      <c r="K1009" s="22" t="n">
        <v>2</v>
      </c>
      <c r="L1009" s="22" t="s">
        <v>8605</v>
      </c>
      <c r="M1009" s="23" t="n">
        <v>45733</v>
      </c>
      <c r="N1009" s="23" t="n">
        <v>45734</v>
      </c>
      <c r="O1009" s="22" t="n">
        <v>11</v>
      </c>
      <c r="P1009" s="22"/>
      <c r="Q1009" s="22" t="s">
        <v>9842</v>
      </c>
      <c r="R1009" s="22"/>
    </row>
    <row r="1010" customFormat="false" ht="15" hidden="false" customHeight="false" outlineLevel="0" collapsed="false">
      <c r="A1010" s="22" t="s">
        <v>9843</v>
      </c>
      <c r="B1010" s="23" t="n">
        <v>45720</v>
      </c>
      <c r="C1010" s="22" t="s">
        <v>4137</v>
      </c>
      <c r="D1010" s="22" t="n">
        <v>1710</v>
      </c>
      <c r="E1010" s="22" t="s">
        <v>6699</v>
      </c>
      <c r="F1010" s="22" t="s">
        <v>198</v>
      </c>
      <c r="G1010" s="22" t="n">
        <v>40</v>
      </c>
      <c r="H1010" s="22" t="s">
        <v>6575</v>
      </c>
      <c r="I1010" s="22" t="s">
        <v>8601</v>
      </c>
      <c r="J1010" s="22" t="n">
        <v>10.4</v>
      </c>
      <c r="K1010" s="22" t="n">
        <v>1</v>
      </c>
      <c r="L1010" s="22" t="s">
        <v>8629</v>
      </c>
      <c r="M1010" s="23" t="n">
        <v>45730</v>
      </c>
      <c r="N1010" s="23" t="n">
        <v>45733</v>
      </c>
      <c r="O1010" s="22" t="n">
        <v>13</v>
      </c>
      <c r="P1010" s="22"/>
      <c r="Q1010" s="22"/>
      <c r="R1010" s="22"/>
    </row>
    <row r="1011" customFormat="false" ht="15" hidden="false" customHeight="false" outlineLevel="0" collapsed="false">
      <c r="A1011" s="22" t="s">
        <v>9844</v>
      </c>
      <c r="B1011" s="23" t="n">
        <v>45717</v>
      </c>
      <c r="C1011" s="22" t="s">
        <v>6367</v>
      </c>
      <c r="D1011" s="22" t="n">
        <v>2815</v>
      </c>
      <c r="E1011" s="22" t="s">
        <v>6787</v>
      </c>
      <c r="F1011" s="22" t="s">
        <v>198</v>
      </c>
      <c r="G1011" s="22" t="n">
        <v>32</v>
      </c>
      <c r="H1011" s="22" t="s">
        <v>6575</v>
      </c>
      <c r="I1011" s="22" t="s">
        <v>8601</v>
      </c>
      <c r="J1011" s="22" t="n">
        <v>10.4</v>
      </c>
      <c r="K1011" s="22" t="n">
        <v>1</v>
      </c>
      <c r="L1011" s="22" t="s">
        <v>8602</v>
      </c>
      <c r="M1011" s="23" t="n">
        <v>45727</v>
      </c>
      <c r="N1011" s="22"/>
      <c r="O1011" s="22"/>
      <c r="P1011" s="22" t="s">
        <v>8637</v>
      </c>
      <c r="Q1011" s="22"/>
      <c r="R1011" s="22"/>
    </row>
    <row r="1012" customFormat="false" ht="15" hidden="false" customHeight="false" outlineLevel="0" collapsed="false">
      <c r="A1012" s="22" t="s">
        <v>9845</v>
      </c>
      <c r="B1012" s="23" t="n">
        <v>45757</v>
      </c>
      <c r="C1012" s="22" t="s">
        <v>2130</v>
      </c>
      <c r="D1012" s="22" t="n">
        <v>770</v>
      </c>
      <c r="E1012" s="22" t="s">
        <v>6878</v>
      </c>
      <c r="F1012" s="22" t="s">
        <v>198</v>
      </c>
      <c r="G1012" s="22" t="n">
        <v>32</v>
      </c>
      <c r="H1012" s="22" t="s">
        <v>6575</v>
      </c>
      <c r="I1012" s="22" t="s">
        <v>8601</v>
      </c>
      <c r="J1012" s="22" t="n">
        <v>10.4</v>
      </c>
      <c r="K1012" s="22" t="n">
        <v>1</v>
      </c>
      <c r="L1012" s="22" t="s">
        <v>8605</v>
      </c>
      <c r="M1012" s="23" t="n">
        <v>45767</v>
      </c>
      <c r="N1012" s="23" t="n">
        <v>45767</v>
      </c>
      <c r="O1012" s="22" t="n">
        <v>10</v>
      </c>
      <c r="P1012" s="22"/>
      <c r="Q1012" s="22" t="s">
        <v>9846</v>
      </c>
      <c r="R1012" s="22"/>
    </row>
    <row r="1013" customFormat="false" ht="15" hidden="false" customHeight="false" outlineLevel="0" collapsed="false">
      <c r="A1013" s="22" t="s">
        <v>9847</v>
      </c>
      <c r="B1013" s="23" t="n">
        <v>45763</v>
      </c>
      <c r="C1013" s="22" t="s">
        <v>1682</v>
      </c>
      <c r="D1013" s="22" t="n">
        <v>578</v>
      </c>
      <c r="E1013" s="22" t="s">
        <v>7266</v>
      </c>
      <c r="F1013" s="22" t="s">
        <v>198</v>
      </c>
      <c r="G1013" s="22" t="n">
        <v>32</v>
      </c>
      <c r="H1013" s="22" t="s">
        <v>6575</v>
      </c>
      <c r="I1013" s="22" t="s">
        <v>8601</v>
      </c>
      <c r="J1013" s="22" t="n">
        <v>10.4</v>
      </c>
      <c r="K1013" s="22" t="n">
        <v>1</v>
      </c>
      <c r="L1013" s="22" t="s">
        <v>8602</v>
      </c>
      <c r="M1013" s="23" t="n">
        <v>45773</v>
      </c>
      <c r="N1013" s="22"/>
      <c r="O1013" s="22"/>
      <c r="P1013" s="22" t="s">
        <v>8618</v>
      </c>
      <c r="Q1013" s="22"/>
      <c r="R1013" s="22"/>
    </row>
    <row r="1014" customFormat="false" ht="15" hidden="false" customHeight="false" outlineLevel="0" collapsed="false">
      <c r="A1014" s="22" t="s">
        <v>9848</v>
      </c>
      <c r="B1014" s="23" t="n">
        <v>45764</v>
      </c>
      <c r="C1014" s="22" t="s">
        <v>6188</v>
      </c>
      <c r="D1014" s="22" t="n">
        <v>2724</v>
      </c>
      <c r="E1014" s="22" t="s">
        <v>8258</v>
      </c>
      <c r="F1014" s="22" t="s">
        <v>499</v>
      </c>
      <c r="G1014" s="22" t="n">
        <v>40</v>
      </c>
      <c r="H1014" s="22" t="s">
        <v>7696</v>
      </c>
      <c r="I1014" s="22" t="s">
        <v>8601</v>
      </c>
      <c r="J1014" s="22" t="n">
        <v>7.55</v>
      </c>
      <c r="K1014" s="22" t="n">
        <v>1</v>
      </c>
      <c r="L1014" s="22" t="s">
        <v>8605</v>
      </c>
      <c r="M1014" s="23" t="n">
        <v>45778</v>
      </c>
      <c r="N1014" s="23" t="n">
        <v>45776</v>
      </c>
      <c r="O1014" s="22" t="n">
        <v>12</v>
      </c>
      <c r="P1014" s="22"/>
      <c r="Q1014" s="22" t="s">
        <v>9849</v>
      </c>
      <c r="R1014" s="22"/>
    </row>
    <row r="1015" customFormat="false" ht="15" hidden="false" customHeight="false" outlineLevel="0" collapsed="false">
      <c r="A1015" s="22" t="s">
        <v>9850</v>
      </c>
      <c r="B1015" s="23" t="n">
        <v>45760</v>
      </c>
      <c r="C1015" s="22" t="s">
        <v>4133</v>
      </c>
      <c r="D1015" s="22" t="n">
        <v>1708</v>
      </c>
      <c r="E1015" s="22" t="s">
        <v>8387</v>
      </c>
      <c r="F1015" s="22" t="s">
        <v>188</v>
      </c>
      <c r="G1015" s="22" t="n">
        <v>70</v>
      </c>
      <c r="H1015" s="22" t="s">
        <v>7696</v>
      </c>
      <c r="I1015" s="22" t="s">
        <v>8601</v>
      </c>
      <c r="J1015" s="22" t="n">
        <v>7.55</v>
      </c>
      <c r="K1015" s="22" t="n">
        <v>1</v>
      </c>
      <c r="L1015" s="22" t="s">
        <v>8629</v>
      </c>
      <c r="M1015" s="23" t="n">
        <v>45774</v>
      </c>
      <c r="N1015" s="23" t="n">
        <v>45762</v>
      </c>
      <c r="O1015" s="22" t="n">
        <v>2</v>
      </c>
      <c r="P1015" s="22"/>
      <c r="Q1015" s="22"/>
      <c r="R1015" s="22"/>
    </row>
    <row r="1016" customFormat="false" ht="15" hidden="false" customHeight="false" outlineLevel="0" collapsed="false">
      <c r="A1016" s="22" t="s">
        <v>9851</v>
      </c>
      <c r="B1016" s="23" t="n">
        <v>45767</v>
      </c>
      <c r="C1016" s="22" t="s">
        <v>464</v>
      </c>
      <c r="D1016" s="22" t="n">
        <v>103</v>
      </c>
      <c r="E1016" s="22" t="s">
        <v>8443</v>
      </c>
      <c r="F1016" s="22" t="s">
        <v>188</v>
      </c>
      <c r="G1016" s="22" t="n">
        <v>70</v>
      </c>
      <c r="H1016" s="22" t="s">
        <v>7696</v>
      </c>
      <c r="I1016" s="22" t="s">
        <v>8601</v>
      </c>
      <c r="J1016" s="22" t="n">
        <v>7.55</v>
      </c>
      <c r="K1016" s="22" t="n">
        <v>1</v>
      </c>
      <c r="L1016" s="22" t="s">
        <v>8629</v>
      </c>
      <c r="M1016" s="23" t="n">
        <v>45781</v>
      </c>
      <c r="N1016" s="23" t="n">
        <v>45782</v>
      </c>
      <c r="O1016" s="22" t="n">
        <v>15</v>
      </c>
      <c r="P1016" s="22"/>
      <c r="Q1016" s="22"/>
      <c r="R1016" s="22"/>
    </row>
    <row r="1017" customFormat="false" ht="15" hidden="false" customHeight="false" outlineLevel="0" collapsed="false">
      <c r="A1017" s="22" t="s">
        <v>9852</v>
      </c>
      <c r="B1017" s="23" t="n">
        <v>45756</v>
      </c>
      <c r="C1017" s="22" t="s">
        <v>1533</v>
      </c>
      <c r="D1017" s="22" t="n">
        <v>515</v>
      </c>
      <c r="E1017" s="22" t="s">
        <v>8287</v>
      </c>
      <c r="F1017" s="22" t="s">
        <v>499</v>
      </c>
      <c r="G1017" s="22" t="n">
        <v>45</v>
      </c>
      <c r="H1017" s="22" t="s">
        <v>7696</v>
      </c>
      <c r="I1017" s="22" t="s">
        <v>8601</v>
      </c>
      <c r="J1017" s="22" t="n">
        <v>7.55</v>
      </c>
      <c r="K1017" s="22" t="n">
        <v>1</v>
      </c>
      <c r="L1017" s="22" t="s">
        <v>8605</v>
      </c>
      <c r="M1017" s="23" t="n">
        <v>45770</v>
      </c>
      <c r="N1017" s="23" t="n">
        <v>45764</v>
      </c>
      <c r="O1017" s="22" t="n">
        <v>8</v>
      </c>
      <c r="P1017" s="22"/>
      <c r="Q1017" s="22" t="s">
        <v>9853</v>
      </c>
      <c r="R1017" s="22"/>
    </row>
    <row r="1018" customFormat="false" ht="15" hidden="false" customHeight="false" outlineLevel="0" collapsed="false">
      <c r="A1018" s="22" t="s">
        <v>9854</v>
      </c>
      <c r="B1018" s="23" t="n">
        <v>45755</v>
      </c>
      <c r="C1018" s="22" t="s">
        <v>4899</v>
      </c>
      <c r="D1018" s="22" t="n">
        <v>2082</v>
      </c>
      <c r="E1018" s="22" t="s">
        <v>8261</v>
      </c>
      <c r="F1018" s="22" t="s">
        <v>499</v>
      </c>
      <c r="G1018" s="22" t="n">
        <v>36</v>
      </c>
      <c r="H1018" s="22" t="s">
        <v>7696</v>
      </c>
      <c r="I1018" s="22" t="s">
        <v>8601</v>
      </c>
      <c r="J1018" s="22" t="n">
        <v>7.55</v>
      </c>
      <c r="K1018" s="22" t="n">
        <v>1</v>
      </c>
      <c r="L1018" s="22" t="s">
        <v>8605</v>
      </c>
      <c r="M1018" s="23" t="n">
        <v>45769</v>
      </c>
      <c r="N1018" s="23" t="n">
        <v>45756</v>
      </c>
      <c r="O1018" s="22" t="n">
        <v>1</v>
      </c>
      <c r="P1018" s="22"/>
      <c r="Q1018" s="22" t="s">
        <v>9855</v>
      </c>
      <c r="R1018" s="22"/>
    </row>
    <row r="1019" customFormat="false" ht="15" hidden="false" customHeight="false" outlineLevel="0" collapsed="false">
      <c r="A1019" s="22" t="s">
        <v>9856</v>
      </c>
      <c r="B1019" s="23" t="n">
        <v>45749</v>
      </c>
      <c r="C1019" s="22" t="s">
        <v>3034</v>
      </c>
      <c r="D1019" s="22" t="n">
        <v>1178</v>
      </c>
      <c r="E1019" s="22" t="s">
        <v>8066</v>
      </c>
      <c r="F1019" s="22" t="s">
        <v>499</v>
      </c>
      <c r="G1019" s="22" t="n">
        <v>32</v>
      </c>
      <c r="H1019" s="22" t="s">
        <v>7696</v>
      </c>
      <c r="I1019" s="22" t="s">
        <v>8601</v>
      </c>
      <c r="J1019" s="22" t="n">
        <v>7.55</v>
      </c>
      <c r="K1019" s="22" t="n">
        <v>1</v>
      </c>
      <c r="L1019" s="22" t="s">
        <v>8602</v>
      </c>
      <c r="M1019" s="23" t="n">
        <v>45763</v>
      </c>
      <c r="N1019" s="22"/>
      <c r="O1019" s="22"/>
      <c r="P1019" s="22" t="s">
        <v>8603</v>
      </c>
      <c r="Q1019" s="22"/>
      <c r="R1019" s="22"/>
    </row>
    <row r="1020" customFormat="false" ht="15" hidden="false" customHeight="false" outlineLevel="0" collapsed="false">
      <c r="A1020" s="22" t="s">
        <v>9857</v>
      </c>
      <c r="B1020" s="23" t="n">
        <v>45752</v>
      </c>
      <c r="C1020" s="22" t="s">
        <v>568</v>
      </c>
      <c r="D1020" s="22" t="n">
        <v>139</v>
      </c>
      <c r="E1020" s="22" t="s">
        <v>7277</v>
      </c>
      <c r="F1020" s="22" t="s">
        <v>198</v>
      </c>
      <c r="G1020" s="22" t="n">
        <v>40</v>
      </c>
      <c r="H1020" s="22" t="s">
        <v>6575</v>
      </c>
      <c r="I1020" s="22" t="s">
        <v>8601</v>
      </c>
      <c r="J1020" s="22" t="n">
        <v>10.4</v>
      </c>
      <c r="K1020" s="22" t="n">
        <v>1</v>
      </c>
      <c r="L1020" s="22" t="s">
        <v>8605</v>
      </c>
      <c r="M1020" s="23" t="n">
        <v>45762</v>
      </c>
      <c r="N1020" s="23" t="n">
        <v>45762</v>
      </c>
      <c r="O1020" s="22" t="n">
        <v>10</v>
      </c>
      <c r="P1020" s="22"/>
      <c r="Q1020" s="22" t="s">
        <v>9858</v>
      </c>
      <c r="R1020" s="22"/>
    </row>
    <row r="1021" customFormat="false" ht="15" hidden="false" customHeight="false" outlineLevel="0" collapsed="false">
      <c r="A1021" s="22" t="s">
        <v>9859</v>
      </c>
      <c r="B1021" s="23" t="n">
        <v>45775</v>
      </c>
      <c r="C1021" s="22" t="s">
        <v>3425</v>
      </c>
      <c r="D1021" s="22" t="n">
        <v>1362</v>
      </c>
      <c r="E1021" s="22" t="s">
        <v>8456</v>
      </c>
      <c r="F1021" s="22" t="s">
        <v>188</v>
      </c>
      <c r="G1021" s="22" t="n">
        <v>45</v>
      </c>
      <c r="H1021" s="22" t="s">
        <v>7696</v>
      </c>
      <c r="I1021" s="22" t="s">
        <v>8601</v>
      </c>
      <c r="J1021" s="22" t="n">
        <v>7.55</v>
      </c>
      <c r="K1021" s="22" t="n">
        <v>1</v>
      </c>
      <c r="L1021" s="22" t="s">
        <v>157</v>
      </c>
      <c r="M1021" s="23" t="n">
        <v>45789</v>
      </c>
      <c r="N1021" s="23" t="n">
        <v>45776</v>
      </c>
      <c r="O1021" s="22" t="n">
        <v>1</v>
      </c>
      <c r="P1021" s="22"/>
      <c r="Q1021" s="22"/>
      <c r="R1021" s="22"/>
    </row>
    <row r="1022" customFormat="false" ht="15" hidden="false" customHeight="false" outlineLevel="0" collapsed="false">
      <c r="A1022" s="22" t="s">
        <v>9860</v>
      </c>
      <c r="B1022" s="23" t="n">
        <v>45755</v>
      </c>
      <c r="C1022" s="22" t="s">
        <v>4355</v>
      </c>
      <c r="D1022" s="22" t="n">
        <v>1816</v>
      </c>
      <c r="E1022" s="22" t="s">
        <v>7571</v>
      </c>
      <c r="F1022" s="22" t="s">
        <v>159</v>
      </c>
      <c r="G1022" s="22" t="n">
        <v>32</v>
      </c>
      <c r="H1022" s="22" t="s">
        <v>6575</v>
      </c>
      <c r="I1022" s="22" t="s">
        <v>8601</v>
      </c>
      <c r="J1022" s="22" t="n">
        <v>10.4</v>
      </c>
      <c r="K1022" s="22" t="n">
        <v>1</v>
      </c>
      <c r="L1022" s="22" t="s">
        <v>8605</v>
      </c>
      <c r="M1022" s="23" t="n">
        <v>45765</v>
      </c>
      <c r="N1022" s="23" t="n">
        <v>45765</v>
      </c>
      <c r="O1022" s="22" t="n">
        <v>10</v>
      </c>
      <c r="P1022" s="22"/>
      <c r="Q1022" s="22" t="s">
        <v>9861</v>
      </c>
      <c r="R1022" s="22"/>
    </row>
    <row r="1023" customFormat="false" ht="15" hidden="false" customHeight="false" outlineLevel="0" collapsed="false">
      <c r="A1023" s="22" t="s">
        <v>9862</v>
      </c>
      <c r="B1023" s="23" t="n">
        <v>45754</v>
      </c>
      <c r="C1023" s="22" t="s">
        <v>1930</v>
      </c>
      <c r="D1023" s="22" t="n">
        <v>682</v>
      </c>
      <c r="E1023" s="22" t="s">
        <v>7621</v>
      </c>
      <c r="F1023" s="22" t="s">
        <v>159</v>
      </c>
      <c r="G1023" s="22" t="n">
        <v>36</v>
      </c>
      <c r="H1023" s="22" t="s">
        <v>6575</v>
      </c>
      <c r="I1023" s="22" t="s">
        <v>8601</v>
      </c>
      <c r="J1023" s="22" t="n">
        <v>10.4</v>
      </c>
      <c r="K1023" s="22" t="n">
        <v>1</v>
      </c>
      <c r="L1023" s="22" t="s">
        <v>8613</v>
      </c>
      <c r="M1023" s="23" t="n">
        <v>45764</v>
      </c>
      <c r="N1023" s="22"/>
      <c r="O1023" s="22"/>
      <c r="P1023" s="22"/>
      <c r="Q1023" s="22"/>
      <c r="R1023" s="22"/>
    </row>
    <row r="1024" customFormat="false" ht="15" hidden="false" customHeight="false" outlineLevel="0" collapsed="false">
      <c r="A1024" s="22" t="s">
        <v>9863</v>
      </c>
      <c r="B1024" s="23" t="n">
        <v>45756</v>
      </c>
      <c r="C1024" s="22" t="s">
        <v>4020</v>
      </c>
      <c r="D1024" s="22" t="n">
        <v>1653</v>
      </c>
      <c r="E1024" s="22" t="s">
        <v>8211</v>
      </c>
      <c r="F1024" s="22" t="s">
        <v>499</v>
      </c>
      <c r="G1024" s="22" t="n">
        <v>24</v>
      </c>
      <c r="H1024" s="22" t="s">
        <v>7696</v>
      </c>
      <c r="I1024" s="22" t="s">
        <v>8601</v>
      </c>
      <c r="J1024" s="22" t="n">
        <v>7.55</v>
      </c>
      <c r="K1024" s="22" t="n">
        <v>1</v>
      </c>
      <c r="L1024" s="22" t="s">
        <v>8602</v>
      </c>
      <c r="M1024" s="23" t="n">
        <v>45770</v>
      </c>
      <c r="N1024" s="22"/>
      <c r="O1024" s="22"/>
      <c r="P1024" s="22" t="s">
        <v>8618</v>
      </c>
      <c r="Q1024" s="22"/>
      <c r="R1024" s="22"/>
    </row>
    <row r="1025" customFormat="false" ht="15" hidden="false" customHeight="false" outlineLevel="0" collapsed="false">
      <c r="A1025" s="22" t="s">
        <v>9864</v>
      </c>
      <c r="B1025" s="23" t="n">
        <v>45770</v>
      </c>
      <c r="C1025" s="22" t="s">
        <v>676</v>
      </c>
      <c r="D1025" s="22" t="n">
        <v>178</v>
      </c>
      <c r="E1025" s="22" t="s">
        <v>7765</v>
      </c>
      <c r="F1025" s="22" t="s">
        <v>215</v>
      </c>
      <c r="G1025" s="22" t="n">
        <v>24</v>
      </c>
      <c r="H1025" s="22" t="s">
        <v>7696</v>
      </c>
      <c r="I1025" s="22" t="s">
        <v>8601</v>
      </c>
      <c r="J1025" s="22" t="n">
        <v>7.55</v>
      </c>
      <c r="K1025" s="22" t="n">
        <v>1</v>
      </c>
      <c r="L1025" s="22" t="s">
        <v>8629</v>
      </c>
      <c r="M1025" s="23" t="n">
        <v>45784</v>
      </c>
      <c r="N1025" s="23" t="n">
        <v>45775</v>
      </c>
      <c r="O1025" s="22" t="n">
        <v>5</v>
      </c>
      <c r="P1025" s="22"/>
      <c r="Q1025" s="22"/>
      <c r="R1025" s="22"/>
    </row>
    <row r="1026" customFormat="false" ht="15" hidden="false" customHeight="false" outlineLevel="0" collapsed="false">
      <c r="A1026" s="22" t="s">
        <v>9865</v>
      </c>
      <c r="B1026" s="23" t="n">
        <v>45758</v>
      </c>
      <c r="C1026" s="22" t="s">
        <v>5893</v>
      </c>
      <c r="D1026" s="22" t="n">
        <v>2577</v>
      </c>
      <c r="E1026" s="22" t="s">
        <v>8350</v>
      </c>
      <c r="F1026" s="22" t="s">
        <v>188</v>
      </c>
      <c r="G1026" s="22" t="n">
        <v>32</v>
      </c>
      <c r="H1026" s="22" t="s">
        <v>7696</v>
      </c>
      <c r="I1026" s="22" t="s">
        <v>8601</v>
      </c>
      <c r="J1026" s="22" t="n">
        <v>7.55</v>
      </c>
      <c r="K1026" s="22" t="n">
        <v>1</v>
      </c>
      <c r="L1026" s="22" t="s">
        <v>8613</v>
      </c>
      <c r="M1026" s="23" t="n">
        <v>45772</v>
      </c>
      <c r="N1026" s="22"/>
      <c r="O1026" s="22"/>
      <c r="P1026" s="22"/>
      <c r="Q1026" s="22"/>
      <c r="R1026" s="22"/>
    </row>
    <row r="1027" customFormat="false" ht="15" hidden="false" customHeight="false" outlineLevel="0" collapsed="false">
      <c r="A1027" s="22" t="s">
        <v>9866</v>
      </c>
      <c r="B1027" s="23" t="n">
        <v>45764</v>
      </c>
      <c r="C1027" s="22" t="s">
        <v>1025</v>
      </c>
      <c r="D1027" s="22" t="n">
        <v>309</v>
      </c>
      <c r="E1027" s="22" t="s">
        <v>7069</v>
      </c>
      <c r="F1027" s="22" t="s">
        <v>198</v>
      </c>
      <c r="G1027" s="22" t="n">
        <v>28</v>
      </c>
      <c r="H1027" s="22" t="s">
        <v>6575</v>
      </c>
      <c r="I1027" s="22" t="s">
        <v>8601</v>
      </c>
      <c r="J1027" s="22" t="n">
        <v>10.4</v>
      </c>
      <c r="K1027" s="22" t="n">
        <v>1</v>
      </c>
      <c r="L1027" s="22" t="s">
        <v>8605</v>
      </c>
      <c r="M1027" s="23" t="n">
        <v>45774</v>
      </c>
      <c r="N1027" s="23" t="n">
        <v>45775</v>
      </c>
      <c r="O1027" s="22" t="n">
        <v>11</v>
      </c>
      <c r="P1027" s="22"/>
      <c r="Q1027" s="22" t="s">
        <v>9867</v>
      </c>
      <c r="R1027" s="22"/>
    </row>
    <row r="1028" customFormat="false" ht="15" hidden="false" customHeight="false" outlineLevel="0" collapsed="false">
      <c r="A1028" s="22" t="s">
        <v>9868</v>
      </c>
      <c r="B1028" s="23" t="n">
        <v>45764</v>
      </c>
      <c r="C1028" s="22" t="s">
        <v>4769</v>
      </c>
      <c r="D1028" s="22" t="n">
        <v>2018</v>
      </c>
      <c r="E1028" s="22" t="s">
        <v>7803</v>
      </c>
      <c r="F1028" s="22" t="s">
        <v>215</v>
      </c>
      <c r="G1028" s="22" t="n">
        <v>40</v>
      </c>
      <c r="H1028" s="22" t="s">
        <v>7696</v>
      </c>
      <c r="I1028" s="22" t="s">
        <v>8601</v>
      </c>
      <c r="J1028" s="22" t="n">
        <v>7.55</v>
      </c>
      <c r="K1028" s="22" t="n">
        <v>1</v>
      </c>
      <c r="L1028" s="22" t="s">
        <v>8605</v>
      </c>
      <c r="M1028" s="23" t="n">
        <v>45778</v>
      </c>
      <c r="N1028" s="23" t="n">
        <v>45775</v>
      </c>
      <c r="O1028" s="22" t="n">
        <v>11</v>
      </c>
      <c r="P1028" s="22"/>
      <c r="Q1028" s="22" t="s">
        <v>9869</v>
      </c>
      <c r="R1028" s="22"/>
    </row>
    <row r="1029" customFormat="false" ht="15" hidden="false" customHeight="false" outlineLevel="0" collapsed="false">
      <c r="A1029" s="22" t="s">
        <v>9870</v>
      </c>
      <c r="B1029" s="23" t="n">
        <v>45754</v>
      </c>
      <c r="C1029" s="22" t="s">
        <v>2216</v>
      </c>
      <c r="D1029" s="22" t="n">
        <v>808</v>
      </c>
      <c r="E1029" s="22" t="s">
        <v>6766</v>
      </c>
      <c r="F1029" s="22" t="s">
        <v>198</v>
      </c>
      <c r="G1029" s="22" t="n">
        <v>40</v>
      </c>
      <c r="H1029" s="22" t="s">
        <v>6575</v>
      </c>
      <c r="I1029" s="22" t="s">
        <v>8601</v>
      </c>
      <c r="J1029" s="22" t="n">
        <v>10.4</v>
      </c>
      <c r="K1029" s="22" t="n">
        <v>1</v>
      </c>
      <c r="L1029" s="22" t="s">
        <v>8602</v>
      </c>
      <c r="M1029" s="23" t="n">
        <v>45764</v>
      </c>
      <c r="N1029" s="22"/>
      <c r="O1029" s="22"/>
      <c r="P1029" s="22" t="s">
        <v>8618</v>
      </c>
      <c r="Q1029" s="22"/>
      <c r="R1029" s="22"/>
    </row>
    <row r="1030" customFormat="false" ht="15" hidden="false" customHeight="false" outlineLevel="0" collapsed="false">
      <c r="A1030" s="22" t="s">
        <v>9871</v>
      </c>
      <c r="B1030" s="23" t="n">
        <v>45769</v>
      </c>
      <c r="C1030" s="22" t="s">
        <v>4103</v>
      </c>
      <c r="D1030" s="22" t="n">
        <v>1693</v>
      </c>
      <c r="E1030" s="22" t="s">
        <v>7628</v>
      </c>
      <c r="F1030" s="22" t="s">
        <v>159</v>
      </c>
      <c r="G1030" s="22" t="n">
        <v>36</v>
      </c>
      <c r="H1030" s="22" t="s">
        <v>6575</v>
      </c>
      <c r="I1030" s="22" t="s">
        <v>8601</v>
      </c>
      <c r="J1030" s="22" t="n">
        <v>10.4</v>
      </c>
      <c r="K1030" s="22" t="n">
        <v>2</v>
      </c>
      <c r="L1030" s="22" t="s">
        <v>8602</v>
      </c>
      <c r="M1030" s="23" t="n">
        <v>45779</v>
      </c>
      <c r="N1030" s="22"/>
      <c r="O1030" s="22"/>
      <c r="P1030" s="22" t="s">
        <v>8637</v>
      </c>
      <c r="Q1030" s="22"/>
      <c r="R1030" s="22"/>
    </row>
    <row r="1031" customFormat="false" ht="15" hidden="false" customHeight="false" outlineLevel="0" collapsed="false">
      <c r="A1031" s="22" t="s">
        <v>9872</v>
      </c>
      <c r="B1031" s="23" t="n">
        <v>45774</v>
      </c>
      <c r="C1031" s="22" t="s">
        <v>1078</v>
      </c>
      <c r="D1031" s="22" t="n">
        <v>328</v>
      </c>
      <c r="E1031" s="22" t="s">
        <v>8516</v>
      </c>
      <c r="F1031" s="22" t="s">
        <v>188</v>
      </c>
      <c r="G1031" s="22" t="n">
        <v>70</v>
      </c>
      <c r="H1031" s="22" t="s">
        <v>7696</v>
      </c>
      <c r="I1031" s="22" t="s">
        <v>8601</v>
      </c>
      <c r="J1031" s="22" t="n">
        <v>7.55</v>
      </c>
      <c r="K1031" s="22" t="n">
        <v>1</v>
      </c>
      <c r="L1031" s="22" t="s">
        <v>8602</v>
      </c>
      <c r="M1031" s="23" t="n">
        <v>45788</v>
      </c>
      <c r="N1031" s="22"/>
      <c r="O1031" s="22"/>
      <c r="P1031" s="22" t="s">
        <v>8603</v>
      </c>
      <c r="Q1031" s="22"/>
      <c r="R1031" s="22"/>
    </row>
    <row r="1032" customFormat="false" ht="15" hidden="false" customHeight="false" outlineLevel="0" collapsed="false">
      <c r="A1032" s="22" t="s">
        <v>9873</v>
      </c>
      <c r="B1032" s="23" t="n">
        <v>45775</v>
      </c>
      <c r="C1032" s="22" t="s">
        <v>670</v>
      </c>
      <c r="D1032" s="22" t="n">
        <v>176</v>
      </c>
      <c r="E1032" s="22" t="s">
        <v>7938</v>
      </c>
      <c r="F1032" s="22" t="s">
        <v>215</v>
      </c>
      <c r="G1032" s="22" t="n">
        <v>28</v>
      </c>
      <c r="H1032" s="22" t="s">
        <v>7696</v>
      </c>
      <c r="I1032" s="22" t="s">
        <v>8601</v>
      </c>
      <c r="J1032" s="22" t="n">
        <v>7.55</v>
      </c>
      <c r="K1032" s="22" t="n">
        <v>2</v>
      </c>
      <c r="L1032" s="22" t="s">
        <v>8605</v>
      </c>
      <c r="M1032" s="23" t="n">
        <v>45789</v>
      </c>
      <c r="N1032" s="23" t="n">
        <v>45781</v>
      </c>
      <c r="O1032" s="22" t="n">
        <v>6</v>
      </c>
      <c r="P1032" s="22"/>
      <c r="Q1032" s="22" t="s">
        <v>9874</v>
      </c>
      <c r="R1032" s="22"/>
    </row>
    <row r="1033" customFormat="false" ht="15" hidden="false" customHeight="false" outlineLevel="0" collapsed="false">
      <c r="A1033" s="22" t="s">
        <v>9875</v>
      </c>
      <c r="B1033" s="23" t="n">
        <v>45756</v>
      </c>
      <c r="C1033" s="22" t="s">
        <v>3056</v>
      </c>
      <c r="D1033" s="22" t="n">
        <v>1188</v>
      </c>
      <c r="E1033" s="22" t="s">
        <v>7104</v>
      </c>
      <c r="F1033" s="22" t="s">
        <v>198</v>
      </c>
      <c r="G1033" s="22" t="n">
        <v>32</v>
      </c>
      <c r="H1033" s="22" t="s">
        <v>6575</v>
      </c>
      <c r="I1033" s="22" t="s">
        <v>8601</v>
      </c>
      <c r="J1033" s="22" t="n">
        <v>10.4</v>
      </c>
      <c r="K1033" s="22" t="n">
        <v>2</v>
      </c>
      <c r="L1033" s="22" t="s">
        <v>8602</v>
      </c>
      <c r="M1033" s="23" t="n">
        <v>45766</v>
      </c>
      <c r="N1033" s="22"/>
      <c r="O1033" s="22"/>
      <c r="P1033" s="22" t="s">
        <v>8603</v>
      </c>
      <c r="Q1033" s="22"/>
      <c r="R1033" s="22"/>
    </row>
    <row r="1034" customFormat="false" ht="15" hidden="false" customHeight="false" outlineLevel="0" collapsed="false">
      <c r="A1034" s="22" t="s">
        <v>9876</v>
      </c>
      <c r="B1034" s="23" t="n">
        <v>45755</v>
      </c>
      <c r="C1034" s="22" t="s">
        <v>3435</v>
      </c>
      <c r="D1034" s="22" t="n">
        <v>1367</v>
      </c>
      <c r="E1034" s="22" t="s">
        <v>7170</v>
      </c>
      <c r="F1034" s="22" t="s">
        <v>198</v>
      </c>
      <c r="G1034" s="22" t="n">
        <v>36</v>
      </c>
      <c r="H1034" s="22" t="s">
        <v>6575</v>
      </c>
      <c r="I1034" s="22" t="s">
        <v>8601</v>
      </c>
      <c r="J1034" s="22" t="n">
        <v>10.4</v>
      </c>
      <c r="K1034" s="22" t="n">
        <v>2</v>
      </c>
      <c r="L1034" s="22" t="s">
        <v>157</v>
      </c>
      <c r="M1034" s="23" t="n">
        <v>45765</v>
      </c>
      <c r="N1034" s="23" t="n">
        <v>45764</v>
      </c>
      <c r="O1034" s="22" t="n">
        <v>9</v>
      </c>
      <c r="P1034" s="22"/>
      <c r="Q1034" s="22"/>
      <c r="R1034" s="22"/>
    </row>
    <row r="1035" customFormat="false" ht="15" hidden="false" customHeight="false" outlineLevel="0" collapsed="false">
      <c r="A1035" s="22" t="s">
        <v>9877</v>
      </c>
      <c r="B1035" s="23" t="n">
        <v>45761</v>
      </c>
      <c r="C1035" s="22" t="s">
        <v>4396</v>
      </c>
      <c r="D1035" s="22" t="n">
        <v>1836</v>
      </c>
      <c r="E1035" s="22" t="s">
        <v>7761</v>
      </c>
      <c r="F1035" s="22" t="s">
        <v>215</v>
      </c>
      <c r="G1035" s="22" t="n">
        <v>70</v>
      </c>
      <c r="H1035" s="22" t="s">
        <v>7696</v>
      </c>
      <c r="I1035" s="22" t="s">
        <v>8601</v>
      </c>
      <c r="J1035" s="22" t="n">
        <v>7.55</v>
      </c>
      <c r="K1035" s="22" t="n">
        <v>1</v>
      </c>
      <c r="L1035" s="22" t="s">
        <v>8605</v>
      </c>
      <c r="M1035" s="23" t="n">
        <v>45775</v>
      </c>
      <c r="N1035" s="23" t="n">
        <v>45765</v>
      </c>
      <c r="O1035" s="22" t="n">
        <v>4</v>
      </c>
      <c r="P1035" s="22"/>
      <c r="Q1035" s="22" t="s">
        <v>9822</v>
      </c>
      <c r="R1035" s="22"/>
    </row>
    <row r="1036" customFormat="false" ht="15" hidden="false" customHeight="false" outlineLevel="0" collapsed="false">
      <c r="A1036" s="22" t="s">
        <v>9878</v>
      </c>
      <c r="B1036" s="23" t="n">
        <v>45756</v>
      </c>
      <c r="C1036" s="22" t="s">
        <v>5944</v>
      </c>
      <c r="D1036" s="22" t="n">
        <v>2603</v>
      </c>
      <c r="E1036" s="22" t="s">
        <v>6880</v>
      </c>
      <c r="F1036" s="22" t="s">
        <v>198</v>
      </c>
      <c r="G1036" s="22" t="n">
        <v>24</v>
      </c>
      <c r="H1036" s="22" t="s">
        <v>6575</v>
      </c>
      <c r="I1036" s="22" t="s">
        <v>8601</v>
      </c>
      <c r="J1036" s="22" t="n">
        <v>10.4</v>
      </c>
      <c r="K1036" s="22" t="n">
        <v>1</v>
      </c>
      <c r="L1036" s="22" t="s">
        <v>8605</v>
      </c>
      <c r="M1036" s="23" t="n">
        <v>45766</v>
      </c>
      <c r="N1036" s="23" t="n">
        <v>45767</v>
      </c>
      <c r="O1036" s="22" t="n">
        <v>11</v>
      </c>
      <c r="P1036" s="22"/>
      <c r="Q1036" s="22" t="s">
        <v>9879</v>
      </c>
      <c r="R1036" s="22"/>
    </row>
    <row r="1037" customFormat="false" ht="15" hidden="false" customHeight="false" outlineLevel="0" collapsed="false">
      <c r="A1037" s="22" t="s">
        <v>9880</v>
      </c>
      <c r="B1037" s="23" t="n">
        <v>45762</v>
      </c>
      <c r="C1037" s="22" t="s">
        <v>6542</v>
      </c>
      <c r="D1037" s="22" t="n">
        <v>2904</v>
      </c>
      <c r="E1037" s="22" t="s">
        <v>8210</v>
      </c>
      <c r="F1037" s="22" t="s">
        <v>499</v>
      </c>
      <c r="G1037" s="22" t="n">
        <v>32</v>
      </c>
      <c r="H1037" s="22" t="s">
        <v>7696</v>
      </c>
      <c r="I1037" s="22" t="s">
        <v>8601</v>
      </c>
      <c r="J1037" s="22" t="n">
        <v>7.55</v>
      </c>
      <c r="K1037" s="22" t="n">
        <v>2</v>
      </c>
      <c r="L1037" s="22" t="s">
        <v>157</v>
      </c>
      <c r="M1037" s="23" t="n">
        <v>45776</v>
      </c>
      <c r="N1037" s="23" t="n">
        <v>45773</v>
      </c>
      <c r="O1037" s="22" t="n">
        <v>11</v>
      </c>
      <c r="P1037" s="22"/>
      <c r="Q1037" s="22"/>
      <c r="R1037" s="22"/>
    </row>
    <row r="1038" customFormat="false" ht="15" hidden="false" customHeight="false" outlineLevel="0" collapsed="false">
      <c r="A1038" s="22" t="s">
        <v>9881</v>
      </c>
      <c r="B1038" s="23" t="n">
        <v>45752</v>
      </c>
      <c r="C1038" s="22" t="s">
        <v>3759</v>
      </c>
      <c r="D1038" s="22" t="n">
        <v>1524</v>
      </c>
      <c r="E1038" s="22" t="s">
        <v>8339</v>
      </c>
      <c r="F1038" s="22" t="s">
        <v>188</v>
      </c>
      <c r="G1038" s="22" t="n">
        <v>32</v>
      </c>
      <c r="H1038" s="22" t="s">
        <v>7696</v>
      </c>
      <c r="I1038" s="22" t="s">
        <v>8601</v>
      </c>
      <c r="J1038" s="22" t="n">
        <v>7.55</v>
      </c>
      <c r="K1038" s="22" t="n">
        <v>1</v>
      </c>
      <c r="L1038" s="22" t="s">
        <v>8602</v>
      </c>
      <c r="M1038" s="23" t="n">
        <v>45766</v>
      </c>
      <c r="N1038" s="22"/>
      <c r="O1038" s="22"/>
      <c r="P1038" s="22" t="s">
        <v>8603</v>
      </c>
      <c r="Q1038" s="22"/>
      <c r="R1038" s="22"/>
    </row>
    <row r="1039" customFormat="false" ht="15" hidden="false" customHeight="false" outlineLevel="0" collapsed="false">
      <c r="A1039" s="22" t="s">
        <v>9882</v>
      </c>
      <c r="B1039" s="23" t="n">
        <v>45770</v>
      </c>
      <c r="C1039" s="22" t="s">
        <v>1085</v>
      </c>
      <c r="D1039" s="22" t="n">
        <v>331</v>
      </c>
      <c r="E1039" s="22" t="s">
        <v>8201</v>
      </c>
      <c r="F1039" s="22" t="s">
        <v>499</v>
      </c>
      <c r="G1039" s="22" t="n">
        <v>60</v>
      </c>
      <c r="H1039" s="22" t="s">
        <v>7696</v>
      </c>
      <c r="I1039" s="22" t="s">
        <v>8601</v>
      </c>
      <c r="J1039" s="22" t="n">
        <v>7.55</v>
      </c>
      <c r="K1039" s="22" t="n">
        <v>1</v>
      </c>
      <c r="L1039" s="22" t="s">
        <v>8605</v>
      </c>
      <c r="M1039" s="23" t="n">
        <v>45784</v>
      </c>
      <c r="N1039" s="23" t="n">
        <v>45782</v>
      </c>
      <c r="O1039" s="22" t="n">
        <v>12</v>
      </c>
      <c r="P1039" s="22"/>
      <c r="Q1039" s="22" t="s">
        <v>9883</v>
      </c>
      <c r="R1039" s="22"/>
    </row>
    <row r="1040" customFormat="false" ht="15" hidden="false" customHeight="false" outlineLevel="0" collapsed="false">
      <c r="A1040" s="22" t="s">
        <v>9884</v>
      </c>
      <c r="B1040" s="23" t="n">
        <v>45761</v>
      </c>
      <c r="C1040" s="22" t="s">
        <v>4414</v>
      </c>
      <c r="D1040" s="22" t="n">
        <v>1845</v>
      </c>
      <c r="E1040" s="22" t="s">
        <v>8435</v>
      </c>
      <c r="F1040" s="22" t="s">
        <v>188</v>
      </c>
      <c r="G1040" s="22" t="n">
        <v>24</v>
      </c>
      <c r="H1040" s="22" t="s">
        <v>7696</v>
      </c>
      <c r="I1040" s="22" t="s">
        <v>8601</v>
      </c>
      <c r="J1040" s="22" t="n">
        <v>7.55</v>
      </c>
      <c r="K1040" s="22" t="n">
        <v>2</v>
      </c>
      <c r="L1040" s="22" t="s">
        <v>8602</v>
      </c>
      <c r="M1040" s="23" t="n">
        <v>45775</v>
      </c>
      <c r="N1040" s="22"/>
      <c r="O1040" s="22"/>
      <c r="P1040" s="22" t="s">
        <v>8631</v>
      </c>
      <c r="Q1040" s="22"/>
      <c r="R1040" s="22"/>
    </row>
    <row r="1041" customFormat="false" ht="15" hidden="false" customHeight="false" outlineLevel="0" collapsed="false">
      <c r="A1041" s="22" t="s">
        <v>9885</v>
      </c>
      <c r="B1041" s="23" t="n">
        <v>45762</v>
      </c>
      <c r="C1041" s="22" t="s">
        <v>2462</v>
      </c>
      <c r="D1041" s="22" t="n">
        <v>921</v>
      </c>
      <c r="E1041" s="22" t="s">
        <v>7345</v>
      </c>
      <c r="F1041" s="22" t="s">
        <v>159</v>
      </c>
      <c r="G1041" s="22" t="n">
        <v>40</v>
      </c>
      <c r="H1041" s="22" t="s">
        <v>6575</v>
      </c>
      <c r="I1041" s="22" t="s">
        <v>8601</v>
      </c>
      <c r="J1041" s="22" t="n">
        <v>10.4</v>
      </c>
      <c r="K1041" s="22" t="n">
        <v>1</v>
      </c>
      <c r="L1041" s="22" t="s">
        <v>8613</v>
      </c>
      <c r="M1041" s="23" t="n">
        <v>45772</v>
      </c>
      <c r="N1041" s="22"/>
      <c r="O1041" s="22"/>
      <c r="P1041" s="22"/>
      <c r="Q1041" s="22"/>
      <c r="R1041" s="22"/>
    </row>
    <row r="1042" customFormat="false" ht="15" hidden="false" customHeight="false" outlineLevel="0" collapsed="false">
      <c r="A1042" s="22" t="s">
        <v>9886</v>
      </c>
      <c r="B1042" s="23" t="n">
        <v>45769</v>
      </c>
      <c r="C1042" s="22" t="s">
        <v>862</v>
      </c>
      <c r="D1042" s="22" t="n">
        <v>247</v>
      </c>
      <c r="E1042" s="22" t="s">
        <v>7458</v>
      </c>
      <c r="F1042" s="22" t="s">
        <v>159</v>
      </c>
      <c r="G1042" s="22" t="n">
        <v>40</v>
      </c>
      <c r="H1042" s="22" t="s">
        <v>6575</v>
      </c>
      <c r="I1042" s="22" t="s">
        <v>8601</v>
      </c>
      <c r="J1042" s="22" t="n">
        <v>10.4</v>
      </c>
      <c r="K1042" s="22" t="n">
        <v>1</v>
      </c>
      <c r="L1042" s="22" t="s">
        <v>8605</v>
      </c>
      <c r="M1042" s="23" t="n">
        <v>45779</v>
      </c>
      <c r="N1042" s="23" t="n">
        <v>45774</v>
      </c>
      <c r="O1042" s="22" t="n">
        <v>5</v>
      </c>
      <c r="P1042" s="22"/>
      <c r="Q1042" s="22" t="s">
        <v>9887</v>
      </c>
      <c r="R1042" s="22"/>
    </row>
    <row r="1043" customFormat="false" ht="15" hidden="false" customHeight="false" outlineLevel="0" collapsed="false">
      <c r="A1043" s="22" t="s">
        <v>9888</v>
      </c>
      <c r="B1043" s="23" t="n">
        <v>45784</v>
      </c>
      <c r="C1043" s="22" t="s">
        <v>6413</v>
      </c>
      <c r="D1043" s="22" t="n">
        <v>2839</v>
      </c>
      <c r="E1043" s="22" t="s">
        <v>7746</v>
      </c>
      <c r="F1043" s="22" t="s">
        <v>215</v>
      </c>
      <c r="G1043" s="22" t="n">
        <v>36</v>
      </c>
      <c r="H1043" s="22" t="s">
        <v>7696</v>
      </c>
      <c r="I1043" s="22" t="s">
        <v>8601</v>
      </c>
      <c r="J1043" s="22" t="n">
        <v>7.55</v>
      </c>
      <c r="K1043" s="22" t="n">
        <v>1</v>
      </c>
      <c r="L1043" s="22" t="s">
        <v>8602</v>
      </c>
      <c r="M1043" s="23" t="n">
        <v>45798</v>
      </c>
      <c r="N1043" s="22"/>
      <c r="O1043" s="22"/>
      <c r="P1043" s="22" t="s">
        <v>8603</v>
      </c>
      <c r="Q1043" s="22"/>
      <c r="R1043" s="22"/>
    </row>
    <row r="1044" customFormat="false" ht="15" hidden="false" customHeight="false" outlineLevel="0" collapsed="false">
      <c r="A1044" s="22" t="s">
        <v>9889</v>
      </c>
      <c r="B1044" s="23" t="n">
        <v>45803</v>
      </c>
      <c r="C1044" s="22" t="s">
        <v>5586</v>
      </c>
      <c r="D1044" s="22" t="n">
        <v>2424</v>
      </c>
      <c r="E1044" s="22" t="s">
        <v>7739</v>
      </c>
      <c r="F1044" s="22" t="s">
        <v>215</v>
      </c>
      <c r="G1044" s="22" t="n">
        <v>60</v>
      </c>
      <c r="H1044" s="22" t="s">
        <v>7696</v>
      </c>
      <c r="I1044" s="22" t="s">
        <v>8601</v>
      </c>
      <c r="J1044" s="22" t="n">
        <v>7.55</v>
      </c>
      <c r="K1044" s="22" t="n">
        <v>1</v>
      </c>
      <c r="L1044" s="22" t="s">
        <v>8605</v>
      </c>
      <c r="M1044" s="23" t="n">
        <v>45817</v>
      </c>
      <c r="N1044" s="23" t="n">
        <v>45820</v>
      </c>
      <c r="O1044" s="22" t="n">
        <v>17</v>
      </c>
      <c r="P1044" s="22"/>
      <c r="Q1044" s="22" t="s">
        <v>9890</v>
      </c>
      <c r="R1044" s="22"/>
    </row>
    <row r="1045" customFormat="false" ht="15" hidden="false" customHeight="false" outlineLevel="0" collapsed="false">
      <c r="A1045" s="22" t="s">
        <v>9891</v>
      </c>
      <c r="B1045" s="23" t="n">
        <v>45800</v>
      </c>
      <c r="C1045" s="22" t="s">
        <v>5266</v>
      </c>
      <c r="D1045" s="22" t="n">
        <v>2263</v>
      </c>
      <c r="E1045" s="22" t="s">
        <v>7927</v>
      </c>
      <c r="F1045" s="22" t="s">
        <v>215</v>
      </c>
      <c r="G1045" s="22" t="n">
        <v>24</v>
      </c>
      <c r="H1045" s="22" t="s">
        <v>7696</v>
      </c>
      <c r="I1045" s="22" t="s">
        <v>8601</v>
      </c>
      <c r="J1045" s="22" t="n">
        <v>7.55</v>
      </c>
      <c r="K1045" s="22" t="n">
        <v>1</v>
      </c>
      <c r="L1045" s="22" t="s">
        <v>8605</v>
      </c>
      <c r="M1045" s="23" t="n">
        <v>45814</v>
      </c>
      <c r="N1045" s="23" t="n">
        <v>45810</v>
      </c>
      <c r="O1045" s="22" t="n">
        <v>10</v>
      </c>
      <c r="P1045" s="22"/>
      <c r="Q1045" s="22" t="s">
        <v>9892</v>
      </c>
      <c r="R1045" s="22"/>
    </row>
    <row r="1046" customFormat="false" ht="15" hidden="false" customHeight="false" outlineLevel="0" collapsed="false">
      <c r="A1046" s="22" t="s">
        <v>9893</v>
      </c>
      <c r="B1046" s="23" t="n">
        <v>45804</v>
      </c>
      <c r="C1046" s="22" t="s">
        <v>2523</v>
      </c>
      <c r="D1046" s="22" t="n">
        <v>948</v>
      </c>
      <c r="E1046" s="22" t="s">
        <v>7347</v>
      </c>
      <c r="F1046" s="22" t="s">
        <v>159</v>
      </c>
      <c r="G1046" s="22" t="n">
        <v>28</v>
      </c>
      <c r="H1046" s="22" t="s">
        <v>6575</v>
      </c>
      <c r="I1046" s="22" t="s">
        <v>8601</v>
      </c>
      <c r="J1046" s="22" t="n">
        <v>10.4</v>
      </c>
      <c r="K1046" s="22" t="n">
        <v>1</v>
      </c>
      <c r="L1046" s="22" t="s">
        <v>8605</v>
      </c>
      <c r="M1046" s="23" t="n">
        <v>45814</v>
      </c>
      <c r="N1046" s="23" t="n">
        <v>45813</v>
      </c>
      <c r="O1046" s="22" t="n">
        <v>9</v>
      </c>
      <c r="P1046" s="22"/>
      <c r="Q1046" s="22" t="s">
        <v>9894</v>
      </c>
      <c r="R1046" s="22"/>
    </row>
    <row r="1047" customFormat="false" ht="15" hidden="false" customHeight="false" outlineLevel="0" collapsed="false">
      <c r="A1047" s="22" t="s">
        <v>9895</v>
      </c>
      <c r="B1047" s="23" t="n">
        <v>45784</v>
      </c>
      <c r="C1047" s="22" t="s">
        <v>3623</v>
      </c>
      <c r="D1047" s="22" t="n">
        <v>1457</v>
      </c>
      <c r="E1047" s="22" t="s">
        <v>7874</v>
      </c>
      <c r="F1047" s="22" t="s">
        <v>215</v>
      </c>
      <c r="G1047" s="22" t="n">
        <v>24</v>
      </c>
      <c r="H1047" s="22" t="s">
        <v>7696</v>
      </c>
      <c r="I1047" s="22" t="s">
        <v>8601</v>
      </c>
      <c r="J1047" s="22" t="n">
        <v>7.55</v>
      </c>
      <c r="K1047" s="22" t="n">
        <v>2</v>
      </c>
      <c r="L1047" s="22" t="s">
        <v>8613</v>
      </c>
      <c r="M1047" s="23" t="n">
        <v>45798</v>
      </c>
      <c r="N1047" s="22"/>
      <c r="O1047" s="22"/>
      <c r="P1047" s="22"/>
      <c r="Q1047" s="22"/>
      <c r="R1047" s="22"/>
    </row>
    <row r="1048" customFormat="false" ht="15" hidden="false" customHeight="false" outlineLevel="0" collapsed="false">
      <c r="A1048" s="22" t="s">
        <v>9896</v>
      </c>
      <c r="B1048" s="23" t="n">
        <v>45794</v>
      </c>
      <c r="C1048" s="22" t="s">
        <v>4318</v>
      </c>
      <c r="D1048" s="22" t="n">
        <v>1798</v>
      </c>
      <c r="E1048" s="22" t="s">
        <v>7539</v>
      </c>
      <c r="F1048" s="22" t="s">
        <v>159</v>
      </c>
      <c r="G1048" s="22" t="n">
        <v>40</v>
      </c>
      <c r="H1048" s="22" t="s">
        <v>6575</v>
      </c>
      <c r="I1048" s="22" t="s">
        <v>8601</v>
      </c>
      <c r="J1048" s="22" t="n">
        <v>10.4</v>
      </c>
      <c r="K1048" s="22" t="n">
        <v>2</v>
      </c>
      <c r="L1048" s="22" t="s">
        <v>8613</v>
      </c>
      <c r="M1048" s="23" t="n">
        <v>45804</v>
      </c>
      <c r="N1048" s="22"/>
      <c r="O1048" s="22"/>
      <c r="P1048" s="22"/>
      <c r="Q1048" s="22"/>
      <c r="R1048" s="22"/>
    </row>
    <row r="1049" customFormat="false" ht="15" hidden="false" customHeight="false" outlineLevel="0" collapsed="false">
      <c r="A1049" s="22" t="s">
        <v>9897</v>
      </c>
      <c r="B1049" s="23" t="n">
        <v>45796</v>
      </c>
      <c r="C1049" s="22" t="s">
        <v>5431</v>
      </c>
      <c r="D1049" s="22" t="n">
        <v>2347</v>
      </c>
      <c r="E1049" s="22" t="s">
        <v>7946</v>
      </c>
      <c r="F1049" s="22" t="s">
        <v>215</v>
      </c>
      <c r="G1049" s="22" t="n">
        <v>70</v>
      </c>
      <c r="H1049" s="22" t="s">
        <v>7696</v>
      </c>
      <c r="I1049" s="22" t="s">
        <v>8601</v>
      </c>
      <c r="J1049" s="22" t="n">
        <v>7.55</v>
      </c>
      <c r="K1049" s="22" t="n">
        <v>1</v>
      </c>
      <c r="L1049" s="22" t="s">
        <v>157</v>
      </c>
      <c r="M1049" s="23" t="n">
        <v>45810</v>
      </c>
      <c r="N1049" s="23" t="n">
        <v>45802</v>
      </c>
      <c r="O1049" s="22" t="n">
        <v>6</v>
      </c>
      <c r="P1049" s="22"/>
      <c r="Q1049" s="22"/>
      <c r="R1049" s="22"/>
    </row>
    <row r="1050" customFormat="false" ht="15" hidden="false" customHeight="false" outlineLevel="0" collapsed="false">
      <c r="A1050" s="22" t="s">
        <v>9898</v>
      </c>
      <c r="B1050" s="23" t="n">
        <v>45791</v>
      </c>
      <c r="C1050" s="22" t="s">
        <v>2337</v>
      </c>
      <c r="D1050" s="22" t="n">
        <v>863</v>
      </c>
      <c r="E1050" s="22" t="s">
        <v>7467</v>
      </c>
      <c r="F1050" s="22" t="s">
        <v>159</v>
      </c>
      <c r="G1050" s="22" t="n">
        <v>32</v>
      </c>
      <c r="H1050" s="22" t="s">
        <v>6575</v>
      </c>
      <c r="I1050" s="22" t="s">
        <v>8601</v>
      </c>
      <c r="J1050" s="22" t="n">
        <v>10.4</v>
      </c>
      <c r="K1050" s="22" t="n">
        <v>1</v>
      </c>
      <c r="L1050" s="22" t="s">
        <v>8605</v>
      </c>
      <c r="M1050" s="23" t="n">
        <v>45801</v>
      </c>
      <c r="N1050" s="23" t="n">
        <v>45802</v>
      </c>
      <c r="O1050" s="22" t="n">
        <v>11</v>
      </c>
      <c r="P1050" s="22"/>
      <c r="Q1050" s="22" t="s">
        <v>9899</v>
      </c>
      <c r="R1050" s="22"/>
    </row>
    <row r="1051" customFormat="false" ht="15" hidden="false" customHeight="false" outlineLevel="0" collapsed="false">
      <c r="A1051" s="22" t="s">
        <v>9900</v>
      </c>
      <c r="B1051" s="23" t="n">
        <v>45794</v>
      </c>
      <c r="C1051" s="22" t="s">
        <v>3866</v>
      </c>
      <c r="D1051" s="22" t="n">
        <v>1577</v>
      </c>
      <c r="E1051" s="22" t="s">
        <v>7668</v>
      </c>
      <c r="F1051" s="22" t="s">
        <v>159</v>
      </c>
      <c r="G1051" s="22" t="n">
        <v>28</v>
      </c>
      <c r="H1051" s="22" t="s">
        <v>6575</v>
      </c>
      <c r="I1051" s="22" t="s">
        <v>8601</v>
      </c>
      <c r="J1051" s="22" t="n">
        <v>10.4</v>
      </c>
      <c r="K1051" s="22" t="n">
        <v>2</v>
      </c>
      <c r="L1051" s="22" t="s">
        <v>8605</v>
      </c>
      <c r="M1051" s="23" t="n">
        <v>45804</v>
      </c>
      <c r="N1051" s="23" t="n">
        <v>45797</v>
      </c>
      <c r="O1051" s="22" t="n">
        <v>3</v>
      </c>
      <c r="P1051" s="22"/>
      <c r="Q1051" s="22" t="s">
        <v>9901</v>
      </c>
      <c r="R1051" s="22"/>
    </row>
    <row r="1052" customFormat="false" ht="15" hidden="false" customHeight="false" outlineLevel="0" collapsed="false">
      <c r="A1052" s="22" t="s">
        <v>9902</v>
      </c>
      <c r="B1052" s="23" t="n">
        <v>45787</v>
      </c>
      <c r="C1052" s="22" t="s">
        <v>1263</v>
      </c>
      <c r="D1052" s="22" t="n">
        <v>402</v>
      </c>
      <c r="E1052" s="22" t="s">
        <v>7687</v>
      </c>
      <c r="F1052" s="22" t="s">
        <v>159</v>
      </c>
      <c r="G1052" s="22" t="n">
        <v>40</v>
      </c>
      <c r="H1052" s="22" t="s">
        <v>6575</v>
      </c>
      <c r="I1052" s="22" t="s">
        <v>8601</v>
      </c>
      <c r="J1052" s="22" t="n">
        <v>10.4</v>
      </c>
      <c r="K1052" s="22" t="n">
        <v>1</v>
      </c>
      <c r="L1052" s="22" t="s">
        <v>157</v>
      </c>
      <c r="M1052" s="23" t="n">
        <v>45797</v>
      </c>
      <c r="N1052" s="23" t="n">
        <v>45791</v>
      </c>
      <c r="O1052" s="22" t="n">
        <v>4</v>
      </c>
      <c r="P1052" s="22"/>
      <c r="Q1052" s="22"/>
      <c r="R1052" s="22"/>
    </row>
    <row r="1053" customFormat="false" ht="15" hidden="false" customHeight="false" outlineLevel="0" collapsed="false">
      <c r="A1053" s="22" t="s">
        <v>9903</v>
      </c>
      <c r="B1053" s="23" t="n">
        <v>45791</v>
      </c>
      <c r="C1053" s="22" t="s">
        <v>776</v>
      </c>
      <c r="D1053" s="22" t="n">
        <v>215</v>
      </c>
      <c r="E1053" s="22" t="s">
        <v>7647</v>
      </c>
      <c r="F1053" s="22" t="s">
        <v>159</v>
      </c>
      <c r="G1053" s="22" t="n">
        <v>36</v>
      </c>
      <c r="H1053" s="22" t="s">
        <v>6575</v>
      </c>
      <c r="I1053" s="22" t="s">
        <v>8601</v>
      </c>
      <c r="J1053" s="22" t="n">
        <v>10.4</v>
      </c>
      <c r="K1053" s="22" t="n">
        <v>1</v>
      </c>
      <c r="L1053" s="22" t="s">
        <v>8605</v>
      </c>
      <c r="M1053" s="23" t="n">
        <v>45801</v>
      </c>
      <c r="N1053" s="23" t="n">
        <v>45804</v>
      </c>
      <c r="O1053" s="22" t="n">
        <v>13</v>
      </c>
      <c r="P1053" s="22"/>
      <c r="Q1053" s="22" t="s">
        <v>9904</v>
      </c>
      <c r="R1053" s="22"/>
    </row>
    <row r="1054" customFormat="false" ht="15" hidden="false" customHeight="false" outlineLevel="0" collapsed="false">
      <c r="A1054" s="22" t="s">
        <v>9905</v>
      </c>
      <c r="B1054" s="23" t="n">
        <v>45794</v>
      </c>
      <c r="C1054" s="22" t="s">
        <v>4922</v>
      </c>
      <c r="D1054" s="22" t="n">
        <v>2094</v>
      </c>
      <c r="E1054" s="22" t="s">
        <v>6766</v>
      </c>
      <c r="F1054" s="22" t="s">
        <v>198</v>
      </c>
      <c r="G1054" s="22" t="n">
        <v>40</v>
      </c>
      <c r="H1054" s="22" t="s">
        <v>6575</v>
      </c>
      <c r="I1054" s="22" t="s">
        <v>8601</v>
      </c>
      <c r="J1054" s="22" t="n">
        <v>10.4</v>
      </c>
      <c r="K1054" s="22" t="n">
        <v>1</v>
      </c>
      <c r="L1054" s="22" t="s">
        <v>8602</v>
      </c>
      <c r="M1054" s="23" t="n">
        <v>45804</v>
      </c>
      <c r="N1054" s="22"/>
      <c r="O1054" s="22"/>
      <c r="P1054" s="22" t="s">
        <v>8603</v>
      </c>
      <c r="Q1054" s="22"/>
      <c r="R1054" s="22"/>
    </row>
    <row r="1055" customFormat="false" ht="15" hidden="false" customHeight="false" outlineLevel="0" collapsed="false">
      <c r="A1055" s="22" t="s">
        <v>9906</v>
      </c>
      <c r="B1055" s="23" t="n">
        <v>45782</v>
      </c>
      <c r="C1055" s="22" t="s">
        <v>6065</v>
      </c>
      <c r="D1055" s="22" t="n">
        <v>2662</v>
      </c>
      <c r="E1055" s="22" t="s">
        <v>7505</v>
      </c>
      <c r="F1055" s="22" t="s">
        <v>159</v>
      </c>
      <c r="G1055" s="22" t="n">
        <v>28</v>
      </c>
      <c r="H1055" s="22" t="s">
        <v>6575</v>
      </c>
      <c r="I1055" s="22" t="s">
        <v>8601</v>
      </c>
      <c r="J1055" s="22" t="n">
        <v>10.4</v>
      </c>
      <c r="K1055" s="22" t="n">
        <v>2</v>
      </c>
      <c r="L1055" s="22" t="s">
        <v>8602</v>
      </c>
      <c r="M1055" s="23" t="n">
        <v>45792</v>
      </c>
      <c r="N1055" s="22"/>
      <c r="O1055" s="22"/>
      <c r="P1055" s="22" t="s">
        <v>8618</v>
      </c>
      <c r="Q1055" s="22"/>
      <c r="R1055" s="22"/>
    </row>
    <row r="1056" customFormat="false" ht="15" hidden="false" customHeight="false" outlineLevel="0" collapsed="false">
      <c r="A1056" s="22" t="s">
        <v>9907</v>
      </c>
      <c r="B1056" s="23" t="n">
        <v>45793</v>
      </c>
      <c r="C1056" s="22" t="s">
        <v>3452</v>
      </c>
      <c r="D1056" s="22" t="n">
        <v>1375</v>
      </c>
      <c r="E1056" s="22" t="s">
        <v>8417</v>
      </c>
      <c r="F1056" s="22" t="s">
        <v>188</v>
      </c>
      <c r="G1056" s="22" t="n">
        <v>28</v>
      </c>
      <c r="H1056" s="22" t="s">
        <v>7696</v>
      </c>
      <c r="I1056" s="22" t="s">
        <v>8601</v>
      </c>
      <c r="J1056" s="22" t="n">
        <v>7.55</v>
      </c>
      <c r="K1056" s="22" t="n">
        <v>1</v>
      </c>
      <c r="L1056" s="22" t="s">
        <v>8605</v>
      </c>
      <c r="M1056" s="23" t="n">
        <v>45807</v>
      </c>
      <c r="N1056" s="23" t="n">
        <v>45809</v>
      </c>
      <c r="O1056" s="22" t="n">
        <v>16</v>
      </c>
      <c r="P1056" s="22"/>
      <c r="Q1056" s="22" t="s">
        <v>9908</v>
      </c>
      <c r="R1056" s="22"/>
    </row>
    <row r="1057" customFormat="false" ht="15" hidden="false" customHeight="false" outlineLevel="0" collapsed="false">
      <c r="A1057" s="22" t="s">
        <v>9909</v>
      </c>
      <c r="B1057" s="23" t="n">
        <v>45805</v>
      </c>
      <c r="C1057" s="22" t="s">
        <v>6481</v>
      </c>
      <c r="D1057" s="22" t="n">
        <v>2874</v>
      </c>
      <c r="E1057" s="22" t="s">
        <v>6814</v>
      </c>
      <c r="F1057" s="22" t="s">
        <v>198</v>
      </c>
      <c r="G1057" s="22" t="n">
        <v>32</v>
      </c>
      <c r="H1057" s="22" t="s">
        <v>6575</v>
      </c>
      <c r="I1057" s="22" t="s">
        <v>8601</v>
      </c>
      <c r="J1057" s="22" t="n">
        <v>10.4</v>
      </c>
      <c r="K1057" s="22" t="n">
        <v>1</v>
      </c>
      <c r="L1057" s="22" t="s">
        <v>8605</v>
      </c>
      <c r="M1057" s="23" t="n">
        <v>45815</v>
      </c>
      <c r="N1057" s="23" t="n">
        <v>45815</v>
      </c>
      <c r="O1057" s="22" t="n">
        <v>10</v>
      </c>
      <c r="P1057" s="22"/>
      <c r="Q1057" s="22" t="s">
        <v>9910</v>
      </c>
      <c r="R1057" s="22"/>
    </row>
    <row r="1058" customFormat="false" ht="15" hidden="false" customHeight="false" outlineLevel="0" collapsed="false">
      <c r="A1058" s="22" t="s">
        <v>9911</v>
      </c>
      <c r="B1058" s="23" t="n">
        <v>45805</v>
      </c>
      <c r="C1058" s="22" t="s">
        <v>1431</v>
      </c>
      <c r="D1058" s="22" t="n">
        <v>472</v>
      </c>
      <c r="E1058" s="22" t="s">
        <v>6962</v>
      </c>
      <c r="F1058" s="22" t="s">
        <v>198</v>
      </c>
      <c r="G1058" s="22" t="n">
        <v>32</v>
      </c>
      <c r="H1058" s="22" t="s">
        <v>6575</v>
      </c>
      <c r="I1058" s="22" t="s">
        <v>8601</v>
      </c>
      <c r="J1058" s="22" t="n">
        <v>10.4</v>
      </c>
      <c r="K1058" s="22" t="n">
        <v>1</v>
      </c>
      <c r="L1058" s="22" t="s">
        <v>8605</v>
      </c>
      <c r="M1058" s="23" t="n">
        <v>45815</v>
      </c>
      <c r="N1058" s="23" t="n">
        <v>45814</v>
      </c>
      <c r="O1058" s="22" t="n">
        <v>9</v>
      </c>
      <c r="P1058" s="22"/>
      <c r="Q1058" s="22" t="s">
        <v>9912</v>
      </c>
      <c r="R1058" s="22"/>
    </row>
    <row r="1059" customFormat="false" ht="15" hidden="false" customHeight="false" outlineLevel="0" collapsed="false">
      <c r="A1059" s="22" t="s">
        <v>9913</v>
      </c>
      <c r="B1059" s="23" t="n">
        <v>45802</v>
      </c>
      <c r="C1059" s="22" t="s">
        <v>5913</v>
      </c>
      <c r="D1059" s="22" t="n">
        <v>2587</v>
      </c>
      <c r="E1059" s="22" t="s">
        <v>7058</v>
      </c>
      <c r="F1059" s="22" t="s">
        <v>198</v>
      </c>
      <c r="G1059" s="22" t="n">
        <v>28</v>
      </c>
      <c r="H1059" s="22" t="s">
        <v>6575</v>
      </c>
      <c r="I1059" s="22" t="s">
        <v>8601</v>
      </c>
      <c r="J1059" s="22" t="n">
        <v>10.4</v>
      </c>
      <c r="K1059" s="22" t="n">
        <v>1</v>
      </c>
      <c r="L1059" s="22" t="s">
        <v>8608</v>
      </c>
      <c r="M1059" s="23" t="n">
        <v>45812</v>
      </c>
      <c r="N1059" s="23" t="n">
        <v>45808</v>
      </c>
      <c r="O1059" s="22" t="n">
        <v>6</v>
      </c>
      <c r="P1059" s="22"/>
      <c r="Q1059" s="22"/>
      <c r="R1059" s="22"/>
    </row>
    <row r="1060" customFormat="false" ht="15" hidden="false" customHeight="false" outlineLevel="0" collapsed="false">
      <c r="A1060" s="22" t="s">
        <v>9914</v>
      </c>
      <c r="B1060" s="23" t="n">
        <v>45784</v>
      </c>
      <c r="C1060" s="22" t="s">
        <v>1431</v>
      </c>
      <c r="D1060" s="22" t="n">
        <v>472</v>
      </c>
      <c r="E1060" s="22" t="s">
        <v>8534</v>
      </c>
      <c r="F1060" s="22" t="s">
        <v>188</v>
      </c>
      <c r="G1060" s="22" t="n">
        <v>28</v>
      </c>
      <c r="H1060" s="22" t="s">
        <v>7696</v>
      </c>
      <c r="I1060" s="22" t="s">
        <v>8601</v>
      </c>
      <c r="J1060" s="22" t="n">
        <v>7.55</v>
      </c>
      <c r="K1060" s="22" t="n">
        <v>1</v>
      </c>
      <c r="L1060" s="22" t="s">
        <v>8602</v>
      </c>
      <c r="M1060" s="23" t="n">
        <v>45798</v>
      </c>
      <c r="N1060" s="22"/>
      <c r="O1060" s="22"/>
      <c r="P1060" s="22" t="s">
        <v>8637</v>
      </c>
      <c r="Q1060" s="22"/>
      <c r="R1060" s="22"/>
    </row>
    <row r="1061" customFormat="false" ht="15" hidden="false" customHeight="false" outlineLevel="0" collapsed="false">
      <c r="A1061" s="22" t="s">
        <v>9915</v>
      </c>
      <c r="B1061" s="23" t="n">
        <v>45804</v>
      </c>
      <c r="C1061" s="22" t="s">
        <v>2566</v>
      </c>
      <c r="D1061" s="22" t="n">
        <v>967</v>
      </c>
      <c r="E1061" s="22" t="s">
        <v>6953</v>
      </c>
      <c r="F1061" s="22" t="s">
        <v>198</v>
      </c>
      <c r="G1061" s="22" t="n">
        <v>24</v>
      </c>
      <c r="H1061" s="22" t="s">
        <v>6575</v>
      </c>
      <c r="I1061" s="22" t="s">
        <v>8601</v>
      </c>
      <c r="J1061" s="22" t="n">
        <v>10.4</v>
      </c>
      <c r="K1061" s="22" t="n">
        <v>1</v>
      </c>
      <c r="L1061" s="22" t="s">
        <v>8613</v>
      </c>
      <c r="M1061" s="23" t="n">
        <v>45814</v>
      </c>
      <c r="N1061" s="22"/>
      <c r="O1061" s="22"/>
      <c r="P1061" s="22"/>
      <c r="Q1061" s="22"/>
      <c r="R1061" s="22"/>
    </row>
    <row r="1062" customFormat="false" ht="15" hidden="false" customHeight="false" outlineLevel="0" collapsed="false">
      <c r="A1062" s="22" t="s">
        <v>9916</v>
      </c>
      <c r="B1062" s="23" t="n">
        <v>45784</v>
      </c>
      <c r="C1062" s="22" t="s">
        <v>6289</v>
      </c>
      <c r="D1062" s="22" t="n">
        <v>2775</v>
      </c>
      <c r="E1062" s="22" t="s">
        <v>8159</v>
      </c>
      <c r="F1062" s="22" t="s">
        <v>499</v>
      </c>
      <c r="G1062" s="22" t="n">
        <v>32</v>
      </c>
      <c r="H1062" s="22" t="s">
        <v>7696</v>
      </c>
      <c r="I1062" s="22" t="s">
        <v>8601</v>
      </c>
      <c r="J1062" s="22" t="n">
        <v>7.55</v>
      </c>
      <c r="K1062" s="22" t="n">
        <v>2</v>
      </c>
      <c r="L1062" s="22" t="s">
        <v>8605</v>
      </c>
      <c r="M1062" s="23" t="n">
        <v>45798</v>
      </c>
      <c r="N1062" s="23" t="n">
        <v>45790</v>
      </c>
      <c r="O1062" s="22" t="n">
        <v>6</v>
      </c>
      <c r="P1062" s="22"/>
      <c r="Q1062" s="22" t="s">
        <v>9917</v>
      </c>
      <c r="R1062" s="22"/>
    </row>
    <row r="1063" customFormat="false" ht="15" hidden="false" customHeight="false" outlineLevel="0" collapsed="false">
      <c r="A1063" s="22" t="s">
        <v>9918</v>
      </c>
      <c r="B1063" s="23" t="n">
        <v>45786</v>
      </c>
      <c r="C1063" s="22" t="s">
        <v>4692</v>
      </c>
      <c r="D1063" s="22" t="n">
        <v>1980</v>
      </c>
      <c r="E1063" s="22" t="s">
        <v>8016</v>
      </c>
      <c r="F1063" s="22" t="s">
        <v>215</v>
      </c>
      <c r="G1063" s="22" t="n">
        <v>45</v>
      </c>
      <c r="H1063" s="22" t="s">
        <v>7696</v>
      </c>
      <c r="I1063" s="22" t="s">
        <v>8601</v>
      </c>
      <c r="J1063" s="22" t="n">
        <v>7.55</v>
      </c>
      <c r="K1063" s="22" t="n">
        <v>1</v>
      </c>
      <c r="L1063" s="22" t="s">
        <v>8605</v>
      </c>
      <c r="M1063" s="23" t="n">
        <v>45800</v>
      </c>
      <c r="N1063" s="23" t="n">
        <v>45792</v>
      </c>
      <c r="O1063" s="22" t="n">
        <v>6</v>
      </c>
      <c r="P1063" s="22"/>
      <c r="Q1063" s="22" t="s">
        <v>9919</v>
      </c>
      <c r="R1063" s="22"/>
    </row>
    <row r="1064" customFormat="false" ht="15" hidden="false" customHeight="false" outlineLevel="0" collapsed="false">
      <c r="A1064" s="22" t="s">
        <v>9920</v>
      </c>
      <c r="B1064" s="23" t="n">
        <v>45789</v>
      </c>
      <c r="C1064" s="22" t="s">
        <v>2536</v>
      </c>
      <c r="D1064" s="22" t="n">
        <v>954</v>
      </c>
      <c r="E1064" s="22" t="s">
        <v>8212</v>
      </c>
      <c r="F1064" s="22" t="s">
        <v>499</v>
      </c>
      <c r="G1064" s="22" t="n">
        <v>45</v>
      </c>
      <c r="H1064" s="22" t="s">
        <v>7696</v>
      </c>
      <c r="I1064" s="22" t="s">
        <v>8601</v>
      </c>
      <c r="J1064" s="22" t="n">
        <v>7.55</v>
      </c>
      <c r="K1064" s="22" t="n">
        <v>1</v>
      </c>
      <c r="L1064" s="22" t="s">
        <v>8613</v>
      </c>
      <c r="M1064" s="23" t="n">
        <v>45803</v>
      </c>
      <c r="N1064" s="22"/>
      <c r="O1064" s="22"/>
      <c r="P1064" s="22"/>
      <c r="Q1064" s="22"/>
      <c r="R1064" s="22"/>
    </row>
    <row r="1065" customFormat="false" ht="15" hidden="false" customHeight="false" outlineLevel="0" collapsed="false">
      <c r="A1065" s="22" t="s">
        <v>9921</v>
      </c>
      <c r="B1065" s="23" t="n">
        <v>45785</v>
      </c>
      <c r="C1065" s="22" t="s">
        <v>3979</v>
      </c>
      <c r="D1065" s="22" t="n">
        <v>1633</v>
      </c>
      <c r="E1065" s="22" t="s">
        <v>8009</v>
      </c>
      <c r="F1065" s="22" t="s">
        <v>215</v>
      </c>
      <c r="G1065" s="22" t="n">
        <v>32</v>
      </c>
      <c r="H1065" s="22" t="s">
        <v>7696</v>
      </c>
      <c r="I1065" s="22" t="s">
        <v>8601</v>
      </c>
      <c r="J1065" s="22" t="n">
        <v>7.55</v>
      </c>
      <c r="K1065" s="22" t="n">
        <v>2</v>
      </c>
      <c r="L1065" s="22" t="s">
        <v>157</v>
      </c>
      <c r="M1065" s="23" t="n">
        <v>45799</v>
      </c>
      <c r="N1065" s="23" t="n">
        <v>45800</v>
      </c>
      <c r="O1065" s="22" t="n">
        <v>15</v>
      </c>
      <c r="P1065" s="22"/>
      <c r="Q1065" s="22"/>
      <c r="R1065" s="22"/>
    </row>
    <row r="1066" customFormat="false" ht="15" hidden="false" customHeight="false" outlineLevel="0" collapsed="false">
      <c r="A1066" s="22" t="s">
        <v>9922</v>
      </c>
      <c r="B1066" s="23" t="n">
        <v>45796</v>
      </c>
      <c r="C1066" s="22" t="s">
        <v>3872</v>
      </c>
      <c r="D1066" s="22" t="n">
        <v>1580</v>
      </c>
      <c r="E1066" s="22" t="s">
        <v>8136</v>
      </c>
      <c r="F1066" s="22" t="s">
        <v>499</v>
      </c>
      <c r="G1066" s="22" t="n">
        <v>24</v>
      </c>
      <c r="H1066" s="22" t="s">
        <v>7696</v>
      </c>
      <c r="I1066" s="22" t="s">
        <v>8601</v>
      </c>
      <c r="J1066" s="22" t="n">
        <v>7.55</v>
      </c>
      <c r="K1066" s="22" t="n">
        <v>1</v>
      </c>
      <c r="L1066" s="22" t="s">
        <v>8729</v>
      </c>
      <c r="M1066" s="23" t="n">
        <v>45810</v>
      </c>
      <c r="N1066" s="23" t="n">
        <v>45809</v>
      </c>
      <c r="O1066" s="22" t="n">
        <v>13</v>
      </c>
      <c r="P1066" s="22"/>
      <c r="Q1066" s="22"/>
      <c r="R1066" s="22"/>
    </row>
    <row r="1067" customFormat="false" ht="15" hidden="false" customHeight="false" outlineLevel="0" collapsed="false">
      <c r="A1067" s="22" t="s">
        <v>9923</v>
      </c>
      <c r="B1067" s="23" t="n">
        <v>45786</v>
      </c>
      <c r="C1067" s="22" t="s">
        <v>737</v>
      </c>
      <c r="D1067" s="22" t="n">
        <v>200</v>
      </c>
      <c r="E1067" s="22" t="s">
        <v>7951</v>
      </c>
      <c r="F1067" s="22" t="s">
        <v>215</v>
      </c>
      <c r="G1067" s="22" t="n">
        <v>80</v>
      </c>
      <c r="H1067" s="22" t="s">
        <v>7696</v>
      </c>
      <c r="I1067" s="22" t="s">
        <v>8601</v>
      </c>
      <c r="J1067" s="22" t="n">
        <v>7.55</v>
      </c>
      <c r="K1067" s="22" t="n">
        <v>2</v>
      </c>
      <c r="L1067" s="22" t="s">
        <v>8629</v>
      </c>
      <c r="M1067" s="23" t="n">
        <v>45800</v>
      </c>
      <c r="N1067" s="23" t="n">
        <v>45788</v>
      </c>
      <c r="O1067" s="22" t="n">
        <v>2</v>
      </c>
      <c r="P1067" s="22"/>
      <c r="Q1067" s="22"/>
      <c r="R1067" s="22"/>
    </row>
    <row r="1068" customFormat="false" ht="15" hidden="false" customHeight="false" outlineLevel="0" collapsed="false">
      <c r="A1068" s="22" t="s">
        <v>9924</v>
      </c>
      <c r="B1068" s="23" t="n">
        <v>45796</v>
      </c>
      <c r="C1068" s="22" t="s">
        <v>2464</v>
      </c>
      <c r="D1068" s="22" t="n">
        <v>922</v>
      </c>
      <c r="E1068" s="22" t="s">
        <v>6991</v>
      </c>
      <c r="F1068" s="22" t="s">
        <v>198</v>
      </c>
      <c r="G1068" s="22" t="n">
        <v>32</v>
      </c>
      <c r="H1068" s="22" t="s">
        <v>6575</v>
      </c>
      <c r="I1068" s="22" t="s">
        <v>8601</v>
      </c>
      <c r="J1068" s="22" t="n">
        <v>10.4</v>
      </c>
      <c r="K1068" s="22" t="n">
        <v>2</v>
      </c>
      <c r="L1068" s="22" t="s">
        <v>8629</v>
      </c>
      <c r="M1068" s="23" t="n">
        <v>45806</v>
      </c>
      <c r="N1068" s="23" t="n">
        <v>45802</v>
      </c>
      <c r="O1068" s="22" t="n">
        <v>6</v>
      </c>
      <c r="P1068" s="22"/>
      <c r="Q1068" s="22"/>
      <c r="R1068" s="22"/>
    </row>
    <row r="1069" customFormat="false" ht="15" hidden="false" customHeight="false" outlineLevel="0" collapsed="false">
      <c r="A1069" s="22" t="s">
        <v>9925</v>
      </c>
      <c r="B1069" s="23" t="n">
        <v>45787</v>
      </c>
      <c r="C1069" s="22" t="s">
        <v>5457</v>
      </c>
      <c r="D1069" s="22" t="n">
        <v>2360</v>
      </c>
      <c r="E1069" s="22" t="s">
        <v>8003</v>
      </c>
      <c r="F1069" s="22" t="s">
        <v>215</v>
      </c>
      <c r="G1069" s="22" t="n">
        <v>40</v>
      </c>
      <c r="H1069" s="22" t="s">
        <v>7696</v>
      </c>
      <c r="I1069" s="22" t="s">
        <v>8601</v>
      </c>
      <c r="J1069" s="22" t="n">
        <v>7.55</v>
      </c>
      <c r="K1069" s="22" t="n">
        <v>2</v>
      </c>
      <c r="L1069" s="22" t="s">
        <v>8602</v>
      </c>
      <c r="M1069" s="23" t="n">
        <v>45801</v>
      </c>
      <c r="N1069" s="22"/>
      <c r="O1069" s="22"/>
      <c r="P1069" s="22" t="s">
        <v>8618</v>
      </c>
      <c r="Q1069" s="22"/>
      <c r="R1069" s="22"/>
    </row>
    <row r="1070" customFormat="false" ht="15" hidden="false" customHeight="false" outlineLevel="0" collapsed="false">
      <c r="A1070" s="22" t="s">
        <v>9926</v>
      </c>
      <c r="B1070" s="23" t="n">
        <v>45781</v>
      </c>
      <c r="C1070" s="22" t="s">
        <v>886</v>
      </c>
      <c r="D1070" s="22" t="n">
        <v>257</v>
      </c>
      <c r="E1070" s="22" t="s">
        <v>8425</v>
      </c>
      <c r="F1070" s="22" t="s">
        <v>188</v>
      </c>
      <c r="G1070" s="22" t="n">
        <v>60</v>
      </c>
      <c r="H1070" s="22" t="s">
        <v>7696</v>
      </c>
      <c r="I1070" s="22" t="s">
        <v>8601</v>
      </c>
      <c r="J1070" s="22" t="n">
        <v>7.55</v>
      </c>
      <c r="K1070" s="22" t="n">
        <v>2</v>
      </c>
      <c r="L1070" s="22" t="s">
        <v>8605</v>
      </c>
      <c r="M1070" s="23" t="n">
        <v>45795</v>
      </c>
      <c r="N1070" s="23" t="n">
        <v>45798</v>
      </c>
      <c r="O1070" s="22" t="n">
        <v>17</v>
      </c>
      <c r="P1070" s="22"/>
      <c r="Q1070" s="22" t="s">
        <v>9927</v>
      </c>
      <c r="R1070" s="22"/>
    </row>
    <row r="1071" customFormat="false" ht="15" hidden="false" customHeight="false" outlineLevel="0" collapsed="false">
      <c r="A1071" s="22" t="s">
        <v>9928</v>
      </c>
      <c r="B1071" s="23" t="n">
        <v>45783</v>
      </c>
      <c r="C1071" s="22" t="s">
        <v>3907</v>
      </c>
      <c r="D1071" s="22" t="n">
        <v>1597</v>
      </c>
      <c r="E1071" s="22" t="s">
        <v>8147</v>
      </c>
      <c r="F1071" s="22" t="s">
        <v>499</v>
      </c>
      <c r="G1071" s="22" t="n">
        <v>60</v>
      </c>
      <c r="H1071" s="22" t="s">
        <v>7696</v>
      </c>
      <c r="I1071" s="22" t="s">
        <v>8601</v>
      </c>
      <c r="J1071" s="22" t="n">
        <v>7.55</v>
      </c>
      <c r="K1071" s="22" t="n">
        <v>1</v>
      </c>
      <c r="L1071" s="22" t="s">
        <v>8629</v>
      </c>
      <c r="M1071" s="23" t="n">
        <v>45797</v>
      </c>
      <c r="N1071" s="23" t="n">
        <v>45798</v>
      </c>
      <c r="O1071" s="22" t="n">
        <v>15</v>
      </c>
      <c r="P1071" s="22"/>
      <c r="Q1071" s="22"/>
      <c r="R1071" s="22"/>
    </row>
    <row r="1072" customFormat="false" ht="15" hidden="false" customHeight="false" outlineLevel="0" collapsed="false">
      <c r="A1072" s="22" t="s">
        <v>9929</v>
      </c>
      <c r="B1072" s="23" t="n">
        <v>45812</v>
      </c>
      <c r="C1072" s="22" t="s">
        <v>3699</v>
      </c>
      <c r="D1072" s="22" t="n">
        <v>1495</v>
      </c>
      <c r="E1072" s="22" t="s">
        <v>8030</v>
      </c>
      <c r="F1072" s="22" t="s">
        <v>215</v>
      </c>
      <c r="G1072" s="22" t="n">
        <v>60</v>
      </c>
      <c r="H1072" s="22" t="s">
        <v>7696</v>
      </c>
      <c r="I1072" s="22" t="s">
        <v>8601</v>
      </c>
      <c r="J1072" s="22" t="n">
        <v>7.55</v>
      </c>
      <c r="K1072" s="22" t="n">
        <v>1</v>
      </c>
      <c r="L1072" s="22" t="s">
        <v>8605</v>
      </c>
      <c r="M1072" s="23" t="n">
        <v>45826</v>
      </c>
      <c r="N1072" s="23" t="n">
        <v>45818</v>
      </c>
      <c r="O1072" s="22" t="n">
        <v>6</v>
      </c>
      <c r="P1072" s="22"/>
      <c r="Q1072" s="22" t="s">
        <v>9930</v>
      </c>
      <c r="R1072" s="22"/>
    </row>
    <row r="1073" customFormat="false" ht="15" hidden="false" customHeight="false" outlineLevel="0" collapsed="false">
      <c r="A1073" s="22" t="s">
        <v>9931</v>
      </c>
      <c r="B1073" s="23" t="n">
        <v>45826</v>
      </c>
      <c r="C1073" s="22" t="s">
        <v>4214</v>
      </c>
      <c r="D1073" s="22" t="n">
        <v>1747</v>
      </c>
      <c r="E1073" s="22" t="s">
        <v>8134</v>
      </c>
      <c r="F1073" s="22" t="s">
        <v>499</v>
      </c>
      <c r="G1073" s="22" t="n">
        <v>45</v>
      </c>
      <c r="H1073" s="22" t="s">
        <v>7696</v>
      </c>
      <c r="I1073" s="22" t="s">
        <v>8601</v>
      </c>
      <c r="J1073" s="22" t="n">
        <v>7.55</v>
      </c>
      <c r="K1073" s="22" t="n">
        <v>1</v>
      </c>
      <c r="L1073" s="22" t="s">
        <v>8602</v>
      </c>
      <c r="M1073" s="23" t="n">
        <v>45840</v>
      </c>
      <c r="N1073" s="22"/>
      <c r="O1073" s="22"/>
      <c r="P1073" s="22" t="s">
        <v>8637</v>
      </c>
      <c r="Q1073" s="22"/>
      <c r="R1073" s="22"/>
    </row>
    <row r="1074" customFormat="false" ht="15" hidden="false" customHeight="false" outlineLevel="0" collapsed="false">
      <c r="A1074" s="22" t="s">
        <v>9932</v>
      </c>
      <c r="B1074" s="23" t="n">
        <v>45831</v>
      </c>
      <c r="C1074" s="22" t="s">
        <v>5574</v>
      </c>
      <c r="D1074" s="22" t="n">
        <v>2418</v>
      </c>
      <c r="E1074" s="22" t="s">
        <v>8488</v>
      </c>
      <c r="F1074" s="22" t="s">
        <v>188</v>
      </c>
      <c r="G1074" s="22" t="n">
        <v>32</v>
      </c>
      <c r="H1074" s="22" t="s">
        <v>7696</v>
      </c>
      <c r="I1074" s="22" t="s">
        <v>8601</v>
      </c>
      <c r="J1074" s="22" t="n">
        <v>7.55</v>
      </c>
      <c r="K1074" s="22" t="n">
        <v>1</v>
      </c>
      <c r="L1074" s="22" t="s">
        <v>8605</v>
      </c>
      <c r="M1074" s="23" t="n">
        <v>45845</v>
      </c>
      <c r="N1074" s="23" t="n">
        <v>45845</v>
      </c>
      <c r="O1074" s="22" t="n">
        <v>14</v>
      </c>
      <c r="P1074" s="22"/>
      <c r="Q1074" s="22" t="s">
        <v>9933</v>
      </c>
      <c r="R1074" s="22"/>
    </row>
    <row r="1075" customFormat="false" ht="15" hidden="false" customHeight="false" outlineLevel="0" collapsed="false">
      <c r="A1075" s="22" t="s">
        <v>9934</v>
      </c>
      <c r="B1075" s="23" t="n">
        <v>45819</v>
      </c>
      <c r="C1075" s="22" t="s">
        <v>4914</v>
      </c>
      <c r="D1075" s="22" t="n">
        <v>2090</v>
      </c>
      <c r="E1075" s="22" t="s">
        <v>7816</v>
      </c>
      <c r="F1075" s="22" t="s">
        <v>215</v>
      </c>
      <c r="G1075" s="22" t="n">
        <v>32</v>
      </c>
      <c r="H1075" s="22" t="s">
        <v>7696</v>
      </c>
      <c r="I1075" s="22" t="s">
        <v>8601</v>
      </c>
      <c r="J1075" s="22" t="n">
        <v>7.55</v>
      </c>
      <c r="K1075" s="22" t="n">
        <v>1</v>
      </c>
      <c r="L1075" s="22" t="s">
        <v>8629</v>
      </c>
      <c r="M1075" s="23" t="n">
        <v>45833</v>
      </c>
      <c r="N1075" s="23" t="n">
        <v>45830</v>
      </c>
      <c r="O1075" s="22" t="n">
        <v>11</v>
      </c>
      <c r="P1075" s="22"/>
      <c r="Q1075" s="22"/>
      <c r="R1075" s="22"/>
    </row>
    <row r="1076" customFormat="false" ht="15" hidden="false" customHeight="false" outlineLevel="0" collapsed="false">
      <c r="A1076" s="22" t="s">
        <v>9935</v>
      </c>
      <c r="B1076" s="23" t="n">
        <v>45826</v>
      </c>
      <c r="C1076" s="22" t="s">
        <v>1090</v>
      </c>
      <c r="D1076" s="22" t="n">
        <v>333</v>
      </c>
      <c r="E1076" s="22" t="s">
        <v>6673</v>
      </c>
      <c r="F1076" s="22" t="s">
        <v>198</v>
      </c>
      <c r="G1076" s="22" t="n">
        <v>32</v>
      </c>
      <c r="H1076" s="22" t="s">
        <v>6575</v>
      </c>
      <c r="I1076" s="22" t="s">
        <v>8601</v>
      </c>
      <c r="J1076" s="22" t="n">
        <v>10.4</v>
      </c>
      <c r="K1076" s="22" t="n">
        <v>1</v>
      </c>
      <c r="L1076" s="22" t="s">
        <v>8602</v>
      </c>
      <c r="M1076" s="23" t="n">
        <v>45836</v>
      </c>
      <c r="N1076" s="22"/>
      <c r="O1076" s="22"/>
      <c r="P1076" s="22" t="s">
        <v>8618</v>
      </c>
      <c r="Q1076" s="22"/>
      <c r="R1076" s="22"/>
    </row>
    <row r="1077" customFormat="false" ht="15" hidden="false" customHeight="false" outlineLevel="0" collapsed="false">
      <c r="A1077" s="22" t="s">
        <v>9936</v>
      </c>
      <c r="B1077" s="23" t="n">
        <v>45823</v>
      </c>
      <c r="C1077" s="22" t="s">
        <v>4113</v>
      </c>
      <c r="D1077" s="22" t="n">
        <v>1698</v>
      </c>
      <c r="E1077" s="22" t="s">
        <v>7439</v>
      </c>
      <c r="F1077" s="22" t="s">
        <v>159</v>
      </c>
      <c r="G1077" s="22" t="n">
        <v>32</v>
      </c>
      <c r="H1077" s="22" t="s">
        <v>6575</v>
      </c>
      <c r="I1077" s="22" t="s">
        <v>8601</v>
      </c>
      <c r="J1077" s="22" t="n">
        <v>10.4</v>
      </c>
      <c r="K1077" s="22" t="n">
        <v>1</v>
      </c>
      <c r="L1077" s="22" t="s">
        <v>8602</v>
      </c>
      <c r="M1077" s="23" t="n">
        <v>45833</v>
      </c>
      <c r="N1077" s="22"/>
      <c r="O1077" s="22"/>
      <c r="P1077" s="22" t="s">
        <v>8637</v>
      </c>
      <c r="Q1077" s="22"/>
      <c r="R1077" s="22"/>
    </row>
    <row r="1078" customFormat="false" ht="15" hidden="false" customHeight="false" outlineLevel="0" collapsed="false">
      <c r="A1078" s="22" t="s">
        <v>9937</v>
      </c>
      <c r="B1078" s="23" t="n">
        <v>45810</v>
      </c>
      <c r="C1078" s="22" t="s">
        <v>1897</v>
      </c>
      <c r="D1078" s="22" t="n">
        <v>667</v>
      </c>
      <c r="E1078" s="22" t="s">
        <v>7289</v>
      </c>
      <c r="F1078" s="22" t="s">
        <v>198</v>
      </c>
      <c r="G1078" s="22" t="n">
        <v>28</v>
      </c>
      <c r="H1078" s="22" t="s">
        <v>6575</v>
      </c>
      <c r="I1078" s="22" t="s">
        <v>8601</v>
      </c>
      <c r="J1078" s="22" t="n">
        <v>10.4</v>
      </c>
      <c r="K1078" s="22" t="n">
        <v>1</v>
      </c>
      <c r="L1078" s="22" t="s">
        <v>8605</v>
      </c>
      <c r="M1078" s="23" t="n">
        <v>45820</v>
      </c>
      <c r="N1078" s="23" t="n">
        <v>45817</v>
      </c>
      <c r="O1078" s="22" t="n">
        <v>7</v>
      </c>
      <c r="P1078" s="22"/>
      <c r="Q1078" s="22" t="s">
        <v>9938</v>
      </c>
      <c r="R1078" s="22"/>
    </row>
    <row r="1079" customFormat="false" ht="15" hidden="false" customHeight="false" outlineLevel="0" collapsed="false">
      <c r="A1079" s="22" t="s">
        <v>9939</v>
      </c>
      <c r="B1079" s="23" t="n">
        <v>45830</v>
      </c>
      <c r="C1079" s="22" t="s">
        <v>5150</v>
      </c>
      <c r="D1079" s="22" t="n">
        <v>2206</v>
      </c>
      <c r="E1079" s="22" t="s">
        <v>7148</v>
      </c>
      <c r="F1079" s="22" t="s">
        <v>198</v>
      </c>
      <c r="G1079" s="22" t="n">
        <v>24</v>
      </c>
      <c r="H1079" s="22" t="s">
        <v>6575</v>
      </c>
      <c r="I1079" s="22" t="s">
        <v>8601</v>
      </c>
      <c r="J1079" s="22" t="n">
        <v>10.4</v>
      </c>
      <c r="K1079" s="22" t="n">
        <v>1</v>
      </c>
      <c r="L1079" s="22" t="s">
        <v>8605</v>
      </c>
      <c r="M1079" s="23" t="n">
        <v>45840</v>
      </c>
      <c r="N1079" s="23" t="n">
        <v>45839</v>
      </c>
      <c r="O1079" s="22" t="n">
        <v>9</v>
      </c>
      <c r="P1079" s="22"/>
      <c r="Q1079" s="22" t="s">
        <v>9940</v>
      </c>
      <c r="R1079" s="22"/>
    </row>
    <row r="1080" customFormat="false" ht="15" hidden="false" customHeight="false" outlineLevel="0" collapsed="false">
      <c r="A1080" s="22" t="s">
        <v>9941</v>
      </c>
      <c r="B1080" s="23" t="n">
        <v>45810</v>
      </c>
      <c r="C1080" s="22" t="s">
        <v>4828</v>
      </c>
      <c r="D1080" s="22" t="n">
        <v>2047</v>
      </c>
      <c r="E1080" s="22" t="s">
        <v>7823</v>
      </c>
      <c r="F1080" s="22" t="s">
        <v>215</v>
      </c>
      <c r="G1080" s="22" t="n">
        <v>24</v>
      </c>
      <c r="H1080" s="22" t="s">
        <v>7696</v>
      </c>
      <c r="I1080" s="22" t="s">
        <v>8601</v>
      </c>
      <c r="J1080" s="22" t="n">
        <v>7.55</v>
      </c>
      <c r="K1080" s="22" t="n">
        <v>1</v>
      </c>
      <c r="L1080" s="22" t="s">
        <v>8602</v>
      </c>
      <c r="M1080" s="23" t="n">
        <v>45824</v>
      </c>
      <c r="N1080" s="22"/>
      <c r="O1080" s="22"/>
      <c r="P1080" s="22" t="s">
        <v>8637</v>
      </c>
      <c r="Q1080" s="22"/>
      <c r="R1080" s="22"/>
    </row>
    <row r="1081" customFormat="false" ht="15" hidden="false" customHeight="false" outlineLevel="0" collapsed="false">
      <c r="A1081" s="22" t="s">
        <v>9942</v>
      </c>
      <c r="B1081" s="23" t="n">
        <v>45820</v>
      </c>
      <c r="C1081" s="22" t="s">
        <v>5416</v>
      </c>
      <c r="D1081" s="22" t="n">
        <v>2339</v>
      </c>
      <c r="E1081" s="22" t="s">
        <v>7748</v>
      </c>
      <c r="F1081" s="22" t="s">
        <v>215</v>
      </c>
      <c r="G1081" s="22" t="n">
        <v>24</v>
      </c>
      <c r="H1081" s="22" t="s">
        <v>7696</v>
      </c>
      <c r="I1081" s="22" t="s">
        <v>8601</v>
      </c>
      <c r="J1081" s="22" t="n">
        <v>7.55</v>
      </c>
      <c r="K1081" s="22" t="n">
        <v>1</v>
      </c>
      <c r="L1081" s="22" t="s">
        <v>8605</v>
      </c>
      <c r="M1081" s="23" t="n">
        <v>45834</v>
      </c>
      <c r="N1081" s="23" t="n">
        <v>45829</v>
      </c>
      <c r="O1081" s="22" t="n">
        <v>9</v>
      </c>
      <c r="P1081" s="22"/>
      <c r="Q1081" s="22" t="s">
        <v>9943</v>
      </c>
      <c r="R1081" s="22"/>
    </row>
    <row r="1082" customFormat="false" ht="15" hidden="false" customHeight="false" outlineLevel="0" collapsed="false">
      <c r="A1082" s="22" t="s">
        <v>9944</v>
      </c>
      <c r="B1082" s="23" t="n">
        <v>45822</v>
      </c>
      <c r="C1082" s="22" t="s">
        <v>603</v>
      </c>
      <c r="D1082" s="22" t="n">
        <v>151</v>
      </c>
      <c r="E1082" s="22" t="s">
        <v>8543</v>
      </c>
      <c r="F1082" s="22" t="s">
        <v>188</v>
      </c>
      <c r="G1082" s="22" t="n">
        <v>24</v>
      </c>
      <c r="H1082" s="22" t="s">
        <v>7696</v>
      </c>
      <c r="I1082" s="22" t="s">
        <v>8601</v>
      </c>
      <c r="J1082" s="22" t="n">
        <v>7.55</v>
      </c>
      <c r="K1082" s="22" t="n">
        <v>1</v>
      </c>
      <c r="L1082" s="22" t="s">
        <v>8602</v>
      </c>
      <c r="M1082" s="23" t="n">
        <v>45836</v>
      </c>
      <c r="N1082" s="22"/>
      <c r="O1082" s="22"/>
      <c r="P1082" s="22" t="s">
        <v>8618</v>
      </c>
      <c r="Q1082" s="22"/>
      <c r="R1082" s="22"/>
    </row>
    <row r="1083" customFormat="false" ht="15" hidden="false" customHeight="false" outlineLevel="0" collapsed="false">
      <c r="A1083" s="22" t="s">
        <v>9945</v>
      </c>
      <c r="B1083" s="23" t="n">
        <v>45831</v>
      </c>
      <c r="C1083" s="22" t="s">
        <v>2815</v>
      </c>
      <c r="D1083" s="22" t="n">
        <v>1079</v>
      </c>
      <c r="E1083" s="22" t="s">
        <v>8271</v>
      </c>
      <c r="F1083" s="22" t="s">
        <v>499</v>
      </c>
      <c r="G1083" s="22" t="n">
        <v>32</v>
      </c>
      <c r="H1083" s="22" t="s">
        <v>7696</v>
      </c>
      <c r="I1083" s="22" t="s">
        <v>8601</v>
      </c>
      <c r="J1083" s="22" t="n">
        <v>7.55</v>
      </c>
      <c r="K1083" s="22" t="n">
        <v>1</v>
      </c>
      <c r="L1083" s="22" t="s">
        <v>8605</v>
      </c>
      <c r="M1083" s="23" t="n">
        <v>45845</v>
      </c>
      <c r="N1083" s="23" t="n">
        <v>45839</v>
      </c>
      <c r="O1083" s="22" t="n">
        <v>8</v>
      </c>
      <c r="P1083" s="22"/>
      <c r="Q1083" s="22" t="s">
        <v>9946</v>
      </c>
      <c r="R1083" s="22"/>
    </row>
    <row r="1084" customFormat="false" ht="15" hidden="false" customHeight="false" outlineLevel="0" collapsed="false">
      <c r="A1084" s="22" t="s">
        <v>9947</v>
      </c>
      <c r="B1084" s="23" t="n">
        <v>45809</v>
      </c>
      <c r="C1084" s="22" t="s">
        <v>1345</v>
      </c>
      <c r="D1084" s="22" t="n">
        <v>436</v>
      </c>
      <c r="E1084" s="22" t="s">
        <v>7088</v>
      </c>
      <c r="F1084" s="22" t="s">
        <v>198</v>
      </c>
      <c r="G1084" s="22" t="n">
        <v>36</v>
      </c>
      <c r="H1084" s="22" t="s">
        <v>6575</v>
      </c>
      <c r="I1084" s="22" t="s">
        <v>8601</v>
      </c>
      <c r="J1084" s="22" t="n">
        <v>10.4</v>
      </c>
      <c r="K1084" s="22" t="n">
        <v>1</v>
      </c>
      <c r="L1084" s="22" t="s">
        <v>157</v>
      </c>
      <c r="M1084" s="23" t="n">
        <v>45819</v>
      </c>
      <c r="N1084" s="23" t="n">
        <v>45814</v>
      </c>
      <c r="O1084" s="22" t="n">
        <v>5</v>
      </c>
      <c r="P1084" s="22"/>
      <c r="Q1084" s="22"/>
      <c r="R1084" s="22"/>
    </row>
    <row r="1085" customFormat="false" ht="15" hidden="false" customHeight="false" outlineLevel="0" collapsed="false">
      <c r="A1085" s="22" t="s">
        <v>9948</v>
      </c>
      <c r="B1085" s="23" t="n">
        <v>45832</v>
      </c>
      <c r="C1085" s="22" t="s">
        <v>1541</v>
      </c>
      <c r="D1085" s="22" t="n">
        <v>518</v>
      </c>
      <c r="E1085" s="22" t="s">
        <v>7543</v>
      </c>
      <c r="F1085" s="22" t="s">
        <v>159</v>
      </c>
      <c r="G1085" s="22" t="n">
        <v>32</v>
      </c>
      <c r="H1085" s="22" t="s">
        <v>6575</v>
      </c>
      <c r="I1085" s="22" t="s">
        <v>8601</v>
      </c>
      <c r="J1085" s="22" t="n">
        <v>10.4</v>
      </c>
      <c r="K1085" s="22" t="n">
        <v>1</v>
      </c>
      <c r="L1085" s="22" t="s">
        <v>8629</v>
      </c>
      <c r="M1085" s="23" t="n">
        <v>45842</v>
      </c>
      <c r="N1085" s="23" t="n">
        <v>45845</v>
      </c>
      <c r="O1085" s="22" t="n">
        <v>13</v>
      </c>
      <c r="P1085" s="22"/>
      <c r="Q1085" s="22"/>
      <c r="R1085" s="22"/>
    </row>
    <row r="1086" customFormat="false" ht="15" hidden="false" customHeight="false" outlineLevel="0" collapsed="false">
      <c r="A1086" s="22" t="s">
        <v>9949</v>
      </c>
      <c r="B1086" s="23" t="n">
        <v>45820</v>
      </c>
      <c r="C1086" s="22" t="s">
        <v>3276</v>
      </c>
      <c r="D1086" s="22" t="n">
        <v>1290</v>
      </c>
      <c r="E1086" s="22" t="s">
        <v>8529</v>
      </c>
      <c r="F1086" s="22" t="s">
        <v>188</v>
      </c>
      <c r="G1086" s="22" t="n">
        <v>28</v>
      </c>
      <c r="H1086" s="22" t="s">
        <v>7696</v>
      </c>
      <c r="I1086" s="22" t="s">
        <v>8601</v>
      </c>
      <c r="J1086" s="22" t="n">
        <v>7.55</v>
      </c>
      <c r="K1086" s="22" t="n">
        <v>2</v>
      </c>
      <c r="L1086" s="22" t="s">
        <v>8605</v>
      </c>
      <c r="M1086" s="23" t="n">
        <v>45834</v>
      </c>
      <c r="N1086" s="23" t="n">
        <v>45831</v>
      </c>
      <c r="O1086" s="22" t="n">
        <v>11</v>
      </c>
      <c r="P1086" s="22"/>
      <c r="Q1086" s="22" t="s">
        <v>9776</v>
      </c>
      <c r="R1086" s="22"/>
    </row>
    <row r="1087" customFormat="false" ht="15" hidden="false" customHeight="false" outlineLevel="0" collapsed="false">
      <c r="A1087" s="22" t="s">
        <v>9950</v>
      </c>
      <c r="B1087" s="23" t="n">
        <v>45833</v>
      </c>
      <c r="C1087" s="22" t="s">
        <v>2060</v>
      </c>
      <c r="D1087" s="22" t="n">
        <v>738</v>
      </c>
      <c r="E1087" s="22" t="s">
        <v>8237</v>
      </c>
      <c r="F1087" s="22" t="s">
        <v>499</v>
      </c>
      <c r="G1087" s="22" t="n">
        <v>80</v>
      </c>
      <c r="H1087" s="22" t="s">
        <v>7696</v>
      </c>
      <c r="I1087" s="22" t="s">
        <v>8601</v>
      </c>
      <c r="J1087" s="22" t="n">
        <v>7.55</v>
      </c>
      <c r="K1087" s="22" t="n">
        <v>2</v>
      </c>
      <c r="L1087" s="22" t="s">
        <v>8605</v>
      </c>
      <c r="M1087" s="23" t="n">
        <v>45847</v>
      </c>
      <c r="N1087" s="23" t="n">
        <v>45838</v>
      </c>
      <c r="O1087" s="22" t="n">
        <v>5</v>
      </c>
      <c r="P1087" s="22"/>
      <c r="Q1087" s="22" t="s">
        <v>9951</v>
      </c>
      <c r="R1087" s="22"/>
    </row>
    <row r="1088" customFormat="false" ht="15" hidden="false" customHeight="false" outlineLevel="0" collapsed="false">
      <c r="A1088" s="22" t="s">
        <v>9952</v>
      </c>
      <c r="B1088" s="23" t="n">
        <v>45819</v>
      </c>
      <c r="C1088" s="22" t="s">
        <v>2104</v>
      </c>
      <c r="D1088" s="22" t="n">
        <v>759</v>
      </c>
      <c r="E1088" s="22" t="s">
        <v>7725</v>
      </c>
      <c r="F1088" s="22" t="s">
        <v>215</v>
      </c>
      <c r="G1088" s="22" t="n">
        <v>80</v>
      </c>
      <c r="H1088" s="22" t="s">
        <v>7696</v>
      </c>
      <c r="I1088" s="22" t="s">
        <v>8601</v>
      </c>
      <c r="J1088" s="22" t="n">
        <v>7.55</v>
      </c>
      <c r="K1088" s="22" t="n">
        <v>1</v>
      </c>
      <c r="L1088" s="22" t="s">
        <v>8605</v>
      </c>
      <c r="M1088" s="23" t="n">
        <v>45833</v>
      </c>
      <c r="N1088" s="23" t="n">
        <v>45835</v>
      </c>
      <c r="O1088" s="22" t="n">
        <v>16</v>
      </c>
      <c r="P1088" s="22"/>
      <c r="Q1088" s="22" t="s">
        <v>9796</v>
      </c>
      <c r="R1088" s="22"/>
    </row>
    <row r="1089" customFormat="false" ht="15" hidden="false" customHeight="false" outlineLevel="0" collapsed="false">
      <c r="A1089" s="22" t="s">
        <v>9953</v>
      </c>
      <c r="B1089" s="23" t="n">
        <v>45833</v>
      </c>
      <c r="C1089" s="22" t="s">
        <v>5895</v>
      </c>
      <c r="D1089" s="22" t="n">
        <v>2578</v>
      </c>
      <c r="E1089" s="22" t="s">
        <v>7664</v>
      </c>
      <c r="F1089" s="22" t="s">
        <v>159</v>
      </c>
      <c r="G1089" s="22" t="n">
        <v>36</v>
      </c>
      <c r="H1089" s="22" t="s">
        <v>6575</v>
      </c>
      <c r="I1089" s="22" t="s">
        <v>8601</v>
      </c>
      <c r="J1089" s="22" t="n">
        <v>10.4</v>
      </c>
      <c r="K1089" s="22" t="n">
        <v>1</v>
      </c>
      <c r="L1089" s="22" t="s">
        <v>8605</v>
      </c>
      <c r="M1089" s="23" t="n">
        <v>45843</v>
      </c>
      <c r="N1089" s="23" t="n">
        <v>45843</v>
      </c>
      <c r="O1089" s="22" t="n">
        <v>10</v>
      </c>
      <c r="P1089" s="22"/>
      <c r="Q1089" s="22" t="s">
        <v>9954</v>
      </c>
      <c r="R1089" s="22"/>
    </row>
    <row r="1090" customFormat="false" ht="15" hidden="false" customHeight="false" outlineLevel="0" collapsed="false">
      <c r="A1090" s="22" t="s">
        <v>9955</v>
      </c>
      <c r="B1090" s="23" t="n">
        <v>45826</v>
      </c>
      <c r="C1090" s="22" t="s">
        <v>6471</v>
      </c>
      <c r="D1090" s="22" t="n">
        <v>2869</v>
      </c>
      <c r="E1090" s="22" t="s">
        <v>7266</v>
      </c>
      <c r="F1090" s="22" t="s">
        <v>198</v>
      </c>
      <c r="G1090" s="22" t="n">
        <v>32</v>
      </c>
      <c r="H1090" s="22" t="s">
        <v>6575</v>
      </c>
      <c r="I1090" s="22" t="s">
        <v>8601</v>
      </c>
      <c r="J1090" s="22" t="n">
        <v>10.4</v>
      </c>
      <c r="K1090" s="22" t="n">
        <v>2</v>
      </c>
      <c r="L1090" s="22" t="s">
        <v>8605</v>
      </c>
      <c r="M1090" s="23" t="n">
        <v>45836</v>
      </c>
      <c r="N1090" s="23" t="n">
        <v>45837</v>
      </c>
      <c r="O1090" s="22" t="n">
        <v>11</v>
      </c>
      <c r="P1090" s="22"/>
      <c r="Q1090" s="22" t="s">
        <v>9956</v>
      </c>
      <c r="R1090" s="22"/>
    </row>
    <row r="1091" customFormat="false" ht="15" hidden="false" customHeight="false" outlineLevel="0" collapsed="false">
      <c r="A1091" s="22" t="s">
        <v>9957</v>
      </c>
      <c r="B1091" s="23" t="n">
        <v>45827</v>
      </c>
      <c r="C1091" s="22" t="s">
        <v>3327</v>
      </c>
      <c r="D1091" s="22" t="n">
        <v>1314</v>
      </c>
      <c r="E1091" s="22" t="s">
        <v>6648</v>
      </c>
      <c r="F1091" s="22" t="s">
        <v>198</v>
      </c>
      <c r="G1091" s="22" t="n">
        <v>28</v>
      </c>
      <c r="H1091" s="22" t="s">
        <v>6575</v>
      </c>
      <c r="I1091" s="22" t="s">
        <v>8601</v>
      </c>
      <c r="J1091" s="22" t="n">
        <v>10.4</v>
      </c>
      <c r="K1091" s="22" t="n">
        <v>1</v>
      </c>
      <c r="L1091" s="22" t="s">
        <v>8602</v>
      </c>
      <c r="M1091" s="23" t="n">
        <v>45837</v>
      </c>
      <c r="N1091" s="22"/>
      <c r="O1091" s="22"/>
      <c r="P1091" s="22" t="s">
        <v>8618</v>
      </c>
      <c r="Q1091" s="22"/>
      <c r="R1091" s="22"/>
    </row>
    <row r="1092" customFormat="false" ht="15" hidden="false" customHeight="false" outlineLevel="0" collapsed="false">
      <c r="A1092" s="22" t="s">
        <v>9958</v>
      </c>
      <c r="B1092" s="23" t="n">
        <v>45817</v>
      </c>
      <c r="C1092" s="22" t="s">
        <v>3413</v>
      </c>
      <c r="D1092" s="22" t="n">
        <v>1356</v>
      </c>
      <c r="E1092" s="22" t="s">
        <v>8436</v>
      </c>
      <c r="F1092" s="22" t="s">
        <v>188</v>
      </c>
      <c r="G1092" s="22" t="n">
        <v>24</v>
      </c>
      <c r="H1092" s="22" t="s">
        <v>7696</v>
      </c>
      <c r="I1092" s="22" t="s">
        <v>8601</v>
      </c>
      <c r="J1092" s="22" t="n">
        <v>7.55</v>
      </c>
      <c r="K1092" s="22" t="n">
        <v>1</v>
      </c>
      <c r="L1092" s="22" t="s">
        <v>8602</v>
      </c>
      <c r="M1092" s="23" t="n">
        <v>45831</v>
      </c>
      <c r="N1092" s="22"/>
      <c r="O1092" s="22"/>
      <c r="P1092" s="22" t="s">
        <v>8637</v>
      </c>
      <c r="Q1092" s="22"/>
      <c r="R1092" s="22"/>
    </row>
    <row r="1093" customFormat="false" ht="15" hidden="false" customHeight="false" outlineLevel="0" collapsed="false">
      <c r="A1093" s="22" t="s">
        <v>9959</v>
      </c>
      <c r="B1093" s="23" t="n">
        <v>45834</v>
      </c>
      <c r="C1093" s="22" t="s">
        <v>5485</v>
      </c>
      <c r="D1093" s="22" t="n">
        <v>2374</v>
      </c>
      <c r="E1093" s="22" t="s">
        <v>7649</v>
      </c>
      <c r="F1093" s="22" t="s">
        <v>159</v>
      </c>
      <c r="G1093" s="22" t="n">
        <v>24</v>
      </c>
      <c r="H1093" s="22" t="s">
        <v>6575</v>
      </c>
      <c r="I1093" s="22" t="s">
        <v>8601</v>
      </c>
      <c r="J1093" s="22" t="n">
        <v>10.4</v>
      </c>
      <c r="K1093" s="22" t="n">
        <v>1</v>
      </c>
      <c r="L1093" s="22" t="s">
        <v>8605</v>
      </c>
      <c r="M1093" s="23" t="n">
        <v>45844</v>
      </c>
      <c r="N1093" s="23" t="n">
        <v>45835</v>
      </c>
      <c r="O1093" s="22" t="n">
        <v>1</v>
      </c>
      <c r="P1093" s="22"/>
      <c r="Q1093" s="22" t="s">
        <v>9960</v>
      </c>
      <c r="R1093" s="22"/>
    </row>
    <row r="1094" customFormat="false" ht="15" hidden="false" customHeight="false" outlineLevel="0" collapsed="false">
      <c r="A1094" s="22" t="s">
        <v>9961</v>
      </c>
      <c r="B1094" s="23" t="n">
        <v>45819</v>
      </c>
      <c r="C1094" s="22" t="s">
        <v>4376</v>
      </c>
      <c r="D1094" s="22" t="n">
        <v>1826</v>
      </c>
      <c r="E1094" s="22" t="s">
        <v>8282</v>
      </c>
      <c r="F1094" s="22" t="s">
        <v>499</v>
      </c>
      <c r="G1094" s="22" t="n">
        <v>24</v>
      </c>
      <c r="H1094" s="22" t="s">
        <v>7696</v>
      </c>
      <c r="I1094" s="22" t="s">
        <v>8601</v>
      </c>
      <c r="J1094" s="22" t="n">
        <v>7.55</v>
      </c>
      <c r="K1094" s="22" t="n">
        <v>2</v>
      </c>
      <c r="L1094" s="22" t="s">
        <v>8613</v>
      </c>
      <c r="M1094" s="23" t="n">
        <v>45833</v>
      </c>
      <c r="N1094" s="22"/>
      <c r="O1094" s="22"/>
      <c r="P1094" s="22"/>
      <c r="Q1094" s="22"/>
      <c r="R1094" s="22"/>
    </row>
    <row r="1095" customFormat="false" ht="15" hidden="false" customHeight="false" outlineLevel="0" collapsed="false">
      <c r="A1095" s="22" t="s">
        <v>9962</v>
      </c>
      <c r="B1095" s="23" t="n">
        <v>45835</v>
      </c>
      <c r="C1095" s="22" t="s">
        <v>2416</v>
      </c>
      <c r="D1095" s="22" t="n">
        <v>899</v>
      </c>
      <c r="E1095" s="22" t="s">
        <v>7454</v>
      </c>
      <c r="F1095" s="22" t="s">
        <v>159</v>
      </c>
      <c r="G1095" s="22" t="n">
        <v>32</v>
      </c>
      <c r="H1095" s="22" t="s">
        <v>6575</v>
      </c>
      <c r="I1095" s="22" t="s">
        <v>8601</v>
      </c>
      <c r="J1095" s="22" t="n">
        <v>10.4</v>
      </c>
      <c r="K1095" s="22" t="n">
        <v>1</v>
      </c>
      <c r="L1095" s="22" t="s">
        <v>8605</v>
      </c>
      <c r="M1095" s="23" t="n">
        <v>45845</v>
      </c>
      <c r="N1095" s="23" t="n">
        <v>45839</v>
      </c>
      <c r="O1095" s="22" t="n">
        <v>4</v>
      </c>
      <c r="P1095" s="22"/>
      <c r="Q1095" s="22" t="s">
        <v>9963</v>
      </c>
      <c r="R1095" s="22"/>
    </row>
    <row r="1096" customFormat="false" ht="15" hidden="false" customHeight="false" outlineLevel="0" collapsed="false">
      <c r="A1096" s="22" t="s">
        <v>9964</v>
      </c>
      <c r="B1096" s="23" t="n">
        <v>45823</v>
      </c>
      <c r="C1096" s="22" t="s">
        <v>2268</v>
      </c>
      <c r="D1096" s="22" t="n">
        <v>831</v>
      </c>
      <c r="E1096" s="22" t="s">
        <v>8338</v>
      </c>
      <c r="F1096" s="22" t="s">
        <v>188</v>
      </c>
      <c r="G1096" s="22" t="n">
        <v>70</v>
      </c>
      <c r="H1096" s="22" t="s">
        <v>7696</v>
      </c>
      <c r="I1096" s="22" t="s">
        <v>8601</v>
      </c>
      <c r="J1096" s="22" t="n">
        <v>7.55</v>
      </c>
      <c r="K1096" s="22" t="n">
        <v>1</v>
      </c>
      <c r="L1096" s="22" t="s">
        <v>8629</v>
      </c>
      <c r="M1096" s="23" t="n">
        <v>45837</v>
      </c>
      <c r="N1096" s="23" t="n">
        <v>45836</v>
      </c>
      <c r="O1096" s="22" t="n">
        <v>13</v>
      </c>
      <c r="P1096" s="22"/>
      <c r="Q1096" s="22"/>
      <c r="R1096" s="22"/>
    </row>
    <row r="1097" customFormat="false" ht="15" hidden="false" customHeight="false" outlineLevel="0" collapsed="false">
      <c r="A1097" s="22" t="s">
        <v>9965</v>
      </c>
      <c r="B1097" s="23" t="n">
        <v>45830</v>
      </c>
      <c r="C1097" s="22" t="s">
        <v>1151</v>
      </c>
      <c r="D1097" s="22" t="n">
        <v>358</v>
      </c>
      <c r="E1097" s="22" t="s">
        <v>6928</v>
      </c>
      <c r="F1097" s="22" t="s">
        <v>198</v>
      </c>
      <c r="G1097" s="22" t="n">
        <v>24</v>
      </c>
      <c r="H1097" s="22" t="s">
        <v>6575</v>
      </c>
      <c r="I1097" s="22" t="s">
        <v>8601</v>
      </c>
      <c r="J1097" s="22" t="n">
        <v>10.4</v>
      </c>
      <c r="K1097" s="22" t="n">
        <v>2</v>
      </c>
      <c r="L1097" s="22" t="s">
        <v>8605</v>
      </c>
      <c r="M1097" s="23" t="n">
        <v>45840</v>
      </c>
      <c r="N1097" s="23" t="n">
        <v>45840</v>
      </c>
      <c r="O1097" s="22" t="n">
        <v>10</v>
      </c>
      <c r="P1097" s="22"/>
      <c r="Q1097" s="22" t="s">
        <v>9966</v>
      </c>
      <c r="R1097" s="22"/>
    </row>
    <row r="1098" customFormat="false" ht="15" hidden="false" customHeight="false" outlineLevel="0" collapsed="false">
      <c r="A1098" s="22" t="s">
        <v>9967</v>
      </c>
      <c r="B1098" s="23" t="n">
        <v>45834</v>
      </c>
      <c r="C1098" s="22" t="s">
        <v>3433</v>
      </c>
      <c r="D1098" s="22" t="n">
        <v>1366</v>
      </c>
      <c r="E1098" s="22" t="s">
        <v>8555</v>
      </c>
      <c r="F1098" s="22" t="s">
        <v>188</v>
      </c>
      <c r="G1098" s="22" t="n">
        <v>28</v>
      </c>
      <c r="H1098" s="22" t="s">
        <v>7696</v>
      </c>
      <c r="I1098" s="22" t="s">
        <v>8601</v>
      </c>
      <c r="J1098" s="22" t="n">
        <v>7.55</v>
      </c>
      <c r="K1098" s="22" t="n">
        <v>2</v>
      </c>
      <c r="L1098" s="22" t="s">
        <v>8605</v>
      </c>
      <c r="M1098" s="23" t="n">
        <v>45848</v>
      </c>
      <c r="N1098" s="23" t="n">
        <v>45845</v>
      </c>
      <c r="O1098" s="22" t="n">
        <v>11</v>
      </c>
      <c r="P1098" s="22"/>
      <c r="Q1098" s="22" t="s">
        <v>9968</v>
      </c>
      <c r="R1098" s="22"/>
    </row>
    <row r="1099" customFormat="false" ht="15" hidden="false" customHeight="false" outlineLevel="0" collapsed="false">
      <c r="A1099" s="22" t="s">
        <v>9969</v>
      </c>
      <c r="B1099" s="23" t="n">
        <v>45810</v>
      </c>
      <c r="C1099" s="22" t="s">
        <v>2670</v>
      </c>
      <c r="D1099" s="22" t="n">
        <v>1013</v>
      </c>
      <c r="E1099" s="22" t="s">
        <v>7125</v>
      </c>
      <c r="F1099" s="22" t="s">
        <v>198</v>
      </c>
      <c r="G1099" s="22" t="n">
        <v>40</v>
      </c>
      <c r="H1099" s="22" t="s">
        <v>6575</v>
      </c>
      <c r="I1099" s="22" t="s">
        <v>8601</v>
      </c>
      <c r="J1099" s="22" t="n">
        <v>10.4</v>
      </c>
      <c r="K1099" s="22" t="n">
        <v>2</v>
      </c>
      <c r="L1099" s="22" t="s">
        <v>8602</v>
      </c>
      <c r="M1099" s="23" t="n">
        <v>45820</v>
      </c>
      <c r="N1099" s="22"/>
      <c r="O1099" s="22"/>
      <c r="P1099" s="22" t="s">
        <v>8618</v>
      </c>
      <c r="Q1099" s="22"/>
      <c r="R1099" s="22"/>
    </row>
    <row r="1100" customFormat="false" ht="15" hidden="false" customHeight="false" outlineLevel="0" collapsed="false">
      <c r="A1100" s="22" t="s">
        <v>9970</v>
      </c>
      <c r="B1100" s="23" t="n">
        <v>45813</v>
      </c>
      <c r="C1100" s="22" t="s">
        <v>5562</v>
      </c>
      <c r="D1100" s="22" t="n">
        <v>2412</v>
      </c>
      <c r="E1100" s="22" t="s">
        <v>7574</v>
      </c>
      <c r="F1100" s="22" t="s">
        <v>159</v>
      </c>
      <c r="G1100" s="22" t="n">
        <v>28</v>
      </c>
      <c r="H1100" s="22" t="s">
        <v>6575</v>
      </c>
      <c r="I1100" s="22" t="s">
        <v>8601</v>
      </c>
      <c r="J1100" s="22" t="n">
        <v>10.4</v>
      </c>
      <c r="K1100" s="22" t="n">
        <v>2</v>
      </c>
      <c r="L1100" s="22" t="s">
        <v>8605</v>
      </c>
      <c r="M1100" s="23" t="n">
        <v>45823</v>
      </c>
      <c r="N1100" s="23" t="n">
        <v>45816</v>
      </c>
      <c r="O1100" s="22" t="n">
        <v>3</v>
      </c>
      <c r="P1100" s="22"/>
      <c r="Q1100" s="22" t="s">
        <v>9892</v>
      </c>
      <c r="R1100" s="22"/>
    </row>
    <row r="1101" customFormat="false" ht="15" hidden="false" customHeight="false" outlineLevel="0" collapsed="false">
      <c r="A1101" s="22" t="s">
        <v>9971</v>
      </c>
      <c r="B1101" s="23" t="n">
        <v>45824</v>
      </c>
      <c r="C1101" s="22" t="s">
        <v>4874</v>
      </c>
      <c r="D1101" s="22" t="n">
        <v>2069</v>
      </c>
      <c r="E1101" s="22" t="s">
        <v>8262</v>
      </c>
      <c r="F1101" s="22" t="s">
        <v>499</v>
      </c>
      <c r="G1101" s="22" t="n">
        <v>45</v>
      </c>
      <c r="H1101" s="22" t="s">
        <v>7696</v>
      </c>
      <c r="I1101" s="22" t="s">
        <v>8601</v>
      </c>
      <c r="J1101" s="22" t="n">
        <v>7.55</v>
      </c>
      <c r="K1101" s="22" t="n">
        <v>2</v>
      </c>
      <c r="L1101" s="22" t="s">
        <v>8629</v>
      </c>
      <c r="M1101" s="23" t="n">
        <v>45838</v>
      </c>
      <c r="N1101" s="23" t="n">
        <v>45825</v>
      </c>
      <c r="O1101" s="22" t="n">
        <v>1</v>
      </c>
      <c r="P1101" s="22"/>
      <c r="Q1101" s="22"/>
      <c r="R1101" s="22"/>
    </row>
    <row r="1102" customFormat="false" ht="15" hidden="false" customHeight="false" outlineLevel="0" collapsed="false">
      <c r="A1102" s="22" t="s">
        <v>9972</v>
      </c>
      <c r="B1102" s="23" t="n">
        <v>45848</v>
      </c>
      <c r="C1102" s="22" t="s">
        <v>2227</v>
      </c>
      <c r="D1102" s="22" t="n">
        <v>813</v>
      </c>
      <c r="E1102" s="22" t="s">
        <v>8292</v>
      </c>
      <c r="F1102" s="22" t="s">
        <v>499</v>
      </c>
      <c r="G1102" s="22" t="n">
        <v>50</v>
      </c>
      <c r="H1102" s="22" t="s">
        <v>7696</v>
      </c>
      <c r="I1102" s="22" t="s">
        <v>8601</v>
      </c>
      <c r="J1102" s="22" t="n">
        <v>7.55</v>
      </c>
      <c r="K1102" s="22" t="n">
        <v>1</v>
      </c>
      <c r="L1102" s="22" t="s">
        <v>8602</v>
      </c>
      <c r="M1102" s="23" t="n">
        <v>45862</v>
      </c>
      <c r="N1102" s="22"/>
      <c r="O1102" s="22"/>
      <c r="P1102" s="22" t="s">
        <v>8618</v>
      </c>
      <c r="Q1102" s="22"/>
      <c r="R1102" s="22"/>
    </row>
    <row r="1103" customFormat="false" ht="15" hidden="false" customHeight="false" outlineLevel="0" collapsed="false">
      <c r="A1103" s="22" t="s">
        <v>9973</v>
      </c>
      <c r="B1103" s="23" t="n">
        <v>45842</v>
      </c>
      <c r="C1103" s="22" t="s">
        <v>5619</v>
      </c>
      <c r="D1103" s="22" t="n">
        <v>2440</v>
      </c>
      <c r="E1103" s="22" t="s">
        <v>8217</v>
      </c>
      <c r="F1103" s="22" t="s">
        <v>499</v>
      </c>
      <c r="G1103" s="22" t="n">
        <v>45</v>
      </c>
      <c r="H1103" s="22" t="s">
        <v>7696</v>
      </c>
      <c r="I1103" s="22" t="s">
        <v>8601</v>
      </c>
      <c r="J1103" s="22" t="n">
        <v>7.55</v>
      </c>
      <c r="K1103" s="22" t="n">
        <v>1</v>
      </c>
      <c r="L1103" s="22" t="s">
        <v>8605</v>
      </c>
      <c r="M1103" s="23" t="n">
        <v>45856</v>
      </c>
      <c r="N1103" s="23" t="n">
        <v>45852</v>
      </c>
      <c r="O1103" s="22" t="n">
        <v>10</v>
      </c>
      <c r="P1103" s="22"/>
      <c r="Q1103" s="22" t="s">
        <v>9974</v>
      </c>
      <c r="R1103" s="22"/>
    </row>
    <row r="1104" customFormat="false" ht="15" hidden="false" customHeight="false" outlineLevel="0" collapsed="false">
      <c r="A1104" s="22" t="s">
        <v>9975</v>
      </c>
      <c r="B1104" s="23" t="n">
        <v>45843</v>
      </c>
      <c r="C1104" s="22" t="s">
        <v>6339</v>
      </c>
      <c r="D1104" s="22" t="n">
        <v>2800</v>
      </c>
      <c r="E1104" s="22" t="s">
        <v>7917</v>
      </c>
      <c r="F1104" s="22" t="s">
        <v>215</v>
      </c>
      <c r="G1104" s="22" t="n">
        <v>32</v>
      </c>
      <c r="H1104" s="22" t="s">
        <v>7696</v>
      </c>
      <c r="I1104" s="22" t="s">
        <v>8601</v>
      </c>
      <c r="J1104" s="22" t="n">
        <v>7.55</v>
      </c>
      <c r="K1104" s="22" t="n">
        <v>2</v>
      </c>
      <c r="L1104" s="22" t="s">
        <v>8605</v>
      </c>
      <c r="M1104" s="23" t="n">
        <v>45857</v>
      </c>
      <c r="N1104" s="23" t="n">
        <v>45857</v>
      </c>
      <c r="O1104" s="22" t="n">
        <v>14</v>
      </c>
      <c r="P1104" s="22"/>
      <c r="Q1104" s="22" t="s">
        <v>9951</v>
      </c>
      <c r="R1104" s="22"/>
    </row>
    <row r="1105" customFormat="false" ht="15" hidden="false" customHeight="false" outlineLevel="0" collapsed="false">
      <c r="A1105" s="22" t="s">
        <v>9976</v>
      </c>
      <c r="B1105" s="23" t="n">
        <v>45839</v>
      </c>
      <c r="C1105" s="22" t="s">
        <v>5950</v>
      </c>
      <c r="D1105" s="22" t="n">
        <v>2606</v>
      </c>
      <c r="E1105" s="22" t="s">
        <v>8154</v>
      </c>
      <c r="F1105" s="22" t="s">
        <v>499</v>
      </c>
      <c r="G1105" s="22" t="n">
        <v>24</v>
      </c>
      <c r="H1105" s="22" t="s">
        <v>7696</v>
      </c>
      <c r="I1105" s="22" t="s">
        <v>8601</v>
      </c>
      <c r="J1105" s="22" t="n">
        <v>7.55</v>
      </c>
      <c r="K1105" s="22" t="n">
        <v>1</v>
      </c>
      <c r="L1105" s="22" t="s">
        <v>8605</v>
      </c>
      <c r="M1105" s="23" t="n">
        <v>45853</v>
      </c>
      <c r="N1105" s="23" t="n">
        <v>45846</v>
      </c>
      <c r="O1105" s="22" t="n">
        <v>7</v>
      </c>
      <c r="P1105" s="22"/>
      <c r="Q1105" s="22" t="s">
        <v>9977</v>
      </c>
      <c r="R1105" s="22"/>
    </row>
    <row r="1106" customFormat="false" ht="15" hidden="false" customHeight="false" outlineLevel="0" collapsed="false">
      <c r="A1106" s="22" t="s">
        <v>9978</v>
      </c>
      <c r="B1106" s="23" t="n">
        <v>45844</v>
      </c>
      <c r="C1106" s="22" t="s">
        <v>5245</v>
      </c>
      <c r="D1106" s="22" t="n">
        <v>2253</v>
      </c>
      <c r="E1106" s="22" t="s">
        <v>7653</v>
      </c>
      <c r="F1106" s="22" t="s">
        <v>159</v>
      </c>
      <c r="G1106" s="22" t="n">
        <v>28</v>
      </c>
      <c r="H1106" s="22" t="s">
        <v>6575</v>
      </c>
      <c r="I1106" s="22" t="s">
        <v>8601</v>
      </c>
      <c r="J1106" s="22" t="n">
        <v>10.4</v>
      </c>
      <c r="K1106" s="22" t="n">
        <v>1</v>
      </c>
      <c r="L1106" s="22" t="s">
        <v>8629</v>
      </c>
      <c r="M1106" s="23" t="n">
        <v>45854</v>
      </c>
      <c r="N1106" s="23" t="n">
        <v>45848</v>
      </c>
      <c r="O1106" s="22" t="n">
        <v>4</v>
      </c>
      <c r="P1106" s="22"/>
      <c r="Q1106" s="22"/>
      <c r="R1106" s="22"/>
    </row>
    <row r="1107" customFormat="false" ht="15" hidden="false" customHeight="false" outlineLevel="0" collapsed="false">
      <c r="A1107" s="22" t="s">
        <v>9979</v>
      </c>
      <c r="B1107" s="23" t="n">
        <v>45848</v>
      </c>
      <c r="C1107" s="22" t="s">
        <v>1845</v>
      </c>
      <c r="D1107" s="22" t="n">
        <v>645</v>
      </c>
      <c r="E1107" s="22" t="s">
        <v>7906</v>
      </c>
      <c r="F1107" s="22" t="s">
        <v>215</v>
      </c>
      <c r="G1107" s="22" t="n">
        <v>32</v>
      </c>
      <c r="H1107" s="22" t="s">
        <v>7696</v>
      </c>
      <c r="I1107" s="22" t="s">
        <v>8601</v>
      </c>
      <c r="J1107" s="22" t="n">
        <v>7.55</v>
      </c>
      <c r="K1107" s="22" t="n">
        <v>1</v>
      </c>
      <c r="L1107" s="22" t="s">
        <v>8629</v>
      </c>
      <c r="M1107" s="23" t="n">
        <v>45862</v>
      </c>
      <c r="N1107" s="23" t="n">
        <v>45851</v>
      </c>
      <c r="O1107" s="22" t="n">
        <v>3</v>
      </c>
      <c r="P1107" s="22"/>
      <c r="Q1107" s="22"/>
      <c r="R1107" s="22"/>
    </row>
    <row r="1108" customFormat="false" ht="15" hidden="false" customHeight="false" outlineLevel="0" collapsed="false">
      <c r="A1108" s="22" t="s">
        <v>9980</v>
      </c>
      <c r="B1108" s="23" t="n">
        <v>45841</v>
      </c>
      <c r="C1108" s="22" t="s">
        <v>1098</v>
      </c>
      <c r="D1108" s="22" t="n">
        <v>337</v>
      </c>
      <c r="E1108" s="22" t="s">
        <v>7900</v>
      </c>
      <c r="F1108" s="22" t="s">
        <v>215</v>
      </c>
      <c r="G1108" s="22" t="n">
        <v>32</v>
      </c>
      <c r="H1108" s="22" t="s">
        <v>7696</v>
      </c>
      <c r="I1108" s="22" t="s">
        <v>8601</v>
      </c>
      <c r="J1108" s="22" t="n">
        <v>7.55</v>
      </c>
      <c r="K1108" s="22" t="n">
        <v>1</v>
      </c>
      <c r="L1108" s="22" t="s">
        <v>8629</v>
      </c>
      <c r="M1108" s="23" t="n">
        <v>45855</v>
      </c>
      <c r="N1108" s="23" t="n">
        <v>45844</v>
      </c>
      <c r="O1108" s="22" t="n">
        <v>3</v>
      </c>
      <c r="P1108" s="22"/>
      <c r="Q1108" s="22"/>
      <c r="R1108" s="22"/>
    </row>
    <row r="1109" customFormat="false" ht="15" hidden="false" customHeight="false" outlineLevel="0" collapsed="false">
      <c r="A1109" s="22" t="s">
        <v>9981</v>
      </c>
      <c r="B1109" s="23" t="n">
        <v>45839</v>
      </c>
      <c r="C1109" s="22" t="s">
        <v>316</v>
      </c>
      <c r="D1109" s="22" t="n">
        <v>52</v>
      </c>
      <c r="E1109" s="22" t="s">
        <v>8576</v>
      </c>
      <c r="F1109" s="22" t="s">
        <v>188</v>
      </c>
      <c r="G1109" s="22" t="n">
        <v>24</v>
      </c>
      <c r="H1109" s="22" t="s">
        <v>7696</v>
      </c>
      <c r="I1109" s="22" t="s">
        <v>8601</v>
      </c>
      <c r="J1109" s="22" t="n">
        <v>7.55</v>
      </c>
      <c r="K1109" s="22" t="n">
        <v>2</v>
      </c>
      <c r="L1109" s="22" t="s">
        <v>8605</v>
      </c>
      <c r="M1109" s="23" t="n">
        <v>45853</v>
      </c>
      <c r="N1109" s="23" t="n">
        <v>45848</v>
      </c>
      <c r="O1109" s="22" t="n">
        <v>9</v>
      </c>
      <c r="P1109" s="22"/>
      <c r="Q1109" s="22" t="s">
        <v>9940</v>
      </c>
      <c r="R1109" s="22"/>
    </row>
    <row r="1110" customFormat="false" ht="15" hidden="false" customHeight="false" outlineLevel="0" collapsed="false">
      <c r="A1110" s="22" t="s">
        <v>9982</v>
      </c>
      <c r="B1110" s="23" t="n">
        <v>45842</v>
      </c>
      <c r="C1110" s="22" t="s">
        <v>2659</v>
      </c>
      <c r="D1110" s="22" t="n">
        <v>1008</v>
      </c>
      <c r="E1110" s="22" t="s">
        <v>8508</v>
      </c>
      <c r="F1110" s="22" t="s">
        <v>188</v>
      </c>
      <c r="G1110" s="22" t="n">
        <v>32</v>
      </c>
      <c r="H1110" s="22" t="s">
        <v>7696</v>
      </c>
      <c r="I1110" s="22" t="s">
        <v>8601</v>
      </c>
      <c r="J1110" s="22" t="n">
        <v>7.55</v>
      </c>
      <c r="K1110" s="22" t="n">
        <v>1</v>
      </c>
      <c r="L1110" s="22" t="s">
        <v>8605</v>
      </c>
      <c r="M1110" s="23" t="n">
        <v>45856</v>
      </c>
      <c r="N1110" s="23" t="n">
        <v>45845</v>
      </c>
      <c r="O1110" s="22" t="n">
        <v>3</v>
      </c>
      <c r="P1110" s="22"/>
      <c r="Q1110" s="22" t="s">
        <v>9983</v>
      </c>
      <c r="R1110" s="22"/>
    </row>
    <row r="1111" customFormat="false" ht="15" hidden="false" customHeight="false" outlineLevel="0" collapsed="false">
      <c r="A1111" s="22" t="s">
        <v>9984</v>
      </c>
      <c r="B1111" s="23" t="n">
        <v>45851</v>
      </c>
      <c r="C1111" s="22" t="s">
        <v>6057</v>
      </c>
      <c r="D1111" s="22" t="n">
        <v>2658</v>
      </c>
      <c r="E1111" s="22" t="s">
        <v>7151</v>
      </c>
      <c r="F1111" s="22" t="s">
        <v>198</v>
      </c>
      <c r="G1111" s="22" t="n">
        <v>28</v>
      </c>
      <c r="H1111" s="22" t="s">
        <v>6575</v>
      </c>
      <c r="I1111" s="22" t="s">
        <v>8601</v>
      </c>
      <c r="J1111" s="22" t="n">
        <v>10.4</v>
      </c>
      <c r="K1111" s="22" t="n">
        <v>1</v>
      </c>
      <c r="L1111" s="22" t="s">
        <v>8629</v>
      </c>
      <c r="M1111" s="23" t="n">
        <v>45861</v>
      </c>
      <c r="N1111" s="23" t="n">
        <v>45858</v>
      </c>
      <c r="O1111" s="22" t="n">
        <v>7</v>
      </c>
      <c r="P1111" s="22"/>
      <c r="Q1111" s="22"/>
      <c r="R1111" s="22"/>
    </row>
    <row r="1112" customFormat="false" ht="15" hidden="false" customHeight="false" outlineLevel="0" collapsed="false">
      <c r="A1112" s="22" t="s">
        <v>9985</v>
      </c>
      <c r="B1112" s="23" t="n">
        <v>45839</v>
      </c>
      <c r="C1112" s="22" t="s">
        <v>4696</v>
      </c>
      <c r="D1112" s="22" t="n">
        <v>1982</v>
      </c>
      <c r="E1112" s="22" t="s">
        <v>7515</v>
      </c>
      <c r="F1112" s="22" t="s">
        <v>159</v>
      </c>
      <c r="G1112" s="22" t="n">
        <v>32</v>
      </c>
      <c r="H1112" s="22" t="s">
        <v>6575</v>
      </c>
      <c r="I1112" s="22" t="s">
        <v>8601</v>
      </c>
      <c r="J1112" s="22" t="n">
        <v>10.4</v>
      </c>
      <c r="K1112" s="22" t="n">
        <v>1</v>
      </c>
      <c r="L1112" s="22" t="s">
        <v>8605</v>
      </c>
      <c r="M1112" s="23" t="n">
        <v>45849</v>
      </c>
      <c r="N1112" s="23" t="n">
        <v>45847</v>
      </c>
      <c r="O1112" s="22" t="n">
        <v>8</v>
      </c>
      <c r="P1112" s="22"/>
      <c r="Q1112" s="22" t="s">
        <v>9771</v>
      </c>
      <c r="R1112" s="22"/>
    </row>
    <row r="1113" customFormat="false" ht="15" hidden="false" customHeight="false" outlineLevel="0" collapsed="false">
      <c r="A1113" s="22" t="s">
        <v>9986</v>
      </c>
      <c r="B1113" s="23" t="n">
        <v>45861</v>
      </c>
      <c r="C1113" s="22" t="s">
        <v>5349</v>
      </c>
      <c r="D1113" s="22" t="n">
        <v>2305</v>
      </c>
      <c r="E1113" s="22" t="s">
        <v>7950</v>
      </c>
      <c r="F1113" s="22" t="s">
        <v>215</v>
      </c>
      <c r="G1113" s="22" t="n">
        <v>50</v>
      </c>
      <c r="H1113" s="22" t="s">
        <v>7696</v>
      </c>
      <c r="I1113" s="22" t="s">
        <v>8601</v>
      </c>
      <c r="J1113" s="22" t="n">
        <v>7.55</v>
      </c>
      <c r="K1113" s="22" t="n">
        <v>1</v>
      </c>
      <c r="L1113" s="22" t="s">
        <v>8629</v>
      </c>
      <c r="M1113" s="23" t="n">
        <v>45875</v>
      </c>
      <c r="N1113" s="23" t="n">
        <v>45870</v>
      </c>
      <c r="O1113" s="22" t="n">
        <v>9</v>
      </c>
      <c r="P1113" s="22"/>
      <c r="Q1113" s="22"/>
      <c r="R1113" s="22"/>
    </row>
    <row r="1114" customFormat="false" ht="15" hidden="false" customHeight="false" outlineLevel="0" collapsed="false">
      <c r="A1114" s="22" t="s">
        <v>9987</v>
      </c>
      <c r="B1114" s="23" t="n">
        <v>45863</v>
      </c>
      <c r="C1114" s="22" t="s">
        <v>5192</v>
      </c>
      <c r="D1114" s="22" t="n">
        <v>2227</v>
      </c>
      <c r="E1114" s="22" t="s">
        <v>6829</v>
      </c>
      <c r="F1114" s="22" t="s">
        <v>198</v>
      </c>
      <c r="G1114" s="22" t="n">
        <v>40</v>
      </c>
      <c r="H1114" s="22" t="s">
        <v>6575</v>
      </c>
      <c r="I1114" s="22" t="s">
        <v>8601</v>
      </c>
      <c r="J1114" s="22" t="n">
        <v>10.4</v>
      </c>
      <c r="K1114" s="22" t="n">
        <v>1</v>
      </c>
      <c r="L1114" s="22" t="s">
        <v>8602</v>
      </c>
      <c r="M1114" s="23" t="n">
        <v>45873</v>
      </c>
      <c r="N1114" s="22"/>
      <c r="O1114" s="22"/>
      <c r="P1114" s="22" t="s">
        <v>8631</v>
      </c>
      <c r="Q1114" s="22"/>
      <c r="R1114" s="22"/>
    </row>
    <row r="1115" customFormat="false" ht="15" hidden="false" customHeight="false" outlineLevel="0" collapsed="false">
      <c r="A1115" s="22" t="s">
        <v>9988</v>
      </c>
      <c r="B1115" s="23" t="n">
        <v>45840</v>
      </c>
      <c r="C1115" s="22" t="s">
        <v>3333</v>
      </c>
      <c r="D1115" s="22" t="n">
        <v>1317</v>
      </c>
      <c r="E1115" s="22" t="s">
        <v>7815</v>
      </c>
      <c r="F1115" s="22" t="s">
        <v>215</v>
      </c>
      <c r="G1115" s="22" t="n">
        <v>70</v>
      </c>
      <c r="H1115" s="22" t="s">
        <v>7696</v>
      </c>
      <c r="I1115" s="22" t="s">
        <v>8601</v>
      </c>
      <c r="J1115" s="22" t="n">
        <v>7.55</v>
      </c>
      <c r="K1115" s="22" t="n">
        <v>1</v>
      </c>
      <c r="L1115" s="22" t="s">
        <v>8605</v>
      </c>
      <c r="M1115" s="23" t="n">
        <v>45854</v>
      </c>
      <c r="N1115" s="23" t="n">
        <v>45843</v>
      </c>
      <c r="O1115" s="22" t="n">
        <v>3</v>
      </c>
      <c r="P1115" s="22"/>
      <c r="Q1115" s="22" t="s">
        <v>9910</v>
      </c>
      <c r="R1115" s="22"/>
    </row>
    <row r="1116" customFormat="false" ht="15" hidden="false" customHeight="false" outlineLevel="0" collapsed="false">
      <c r="A1116" s="22" t="s">
        <v>9989</v>
      </c>
      <c r="B1116" s="23" t="n">
        <v>45866</v>
      </c>
      <c r="C1116" s="22" t="s">
        <v>3078</v>
      </c>
      <c r="D1116" s="22" t="n">
        <v>1198</v>
      </c>
      <c r="E1116" s="22" t="s">
        <v>7792</v>
      </c>
      <c r="F1116" s="22" t="s">
        <v>215</v>
      </c>
      <c r="G1116" s="22" t="n">
        <v>36</v>
      </c>
      <c r="H1116" s="22" t="s">
        <v>7696</v>
      </c>
      <c r="I1116" s="22" t="s">
        <v>8601</v>
      </c>
      <c r="J1116" s="22" t="n">
        <v>7.55</v>
      </c>
      <c r="K1116" s="22" t="n">
        <v>2</v>
      </c>
      <c r="L1116" s="22" t="s">
        <v>8605</v>
      </c>
      <c r="M1116" s="23" t="n">
        <v>45880</v>
      </c>
      <c r="N1116" s="23" t="n">
        <v>45881</v>
      </c>
      <c r="O1116" s="22" t="n">
        <v>15</v>
      </c>
      <c r="P1116" s="22"/>
      <c r="Q1116" s="22" t="s">
        <v>9908</v>
      </c>
      <c r="R1116" s="22"/>
    </row>
    <row r="1117" customFormat="false" ht="15" hidden="false" customHeight="false" outlineLevel="0" collapsed="false">
      <c r="A1117" s="22" t="s">
        <v>9990</v>
      </c>
      <c r="B1117" s="23" t="n">
        <v>45865</v>
      </c>
      <c r="C1117" s="22" t="s">
        <v>6437</v>
      </c>
      <c r="D1117" s="22" t="n">
        <v>2852</v>
      </c>
      <c r="E1117" s="22" t="s">
        <v>8230</v>
      </c>
      <c r="F1117" s="22" t="s">
        <v>499</v>
      </c>
      <c r="G1117" s="22" t="n">
        <v>80</v>
      </c>
      <c r="H1117" s="22" t="s">
        <v>7696</v>
      </c>
      <c r="I1117" s="22" t="s">
        <v>8601</v>
      </c>
      <c r="J1117" s="22" t="n">
        <v>7.55</v>
      </c>
      <c r="K1117" s="22" t="n">
        <v>2</v>
      </c>
      <c r="L1117" s="22" t="s">
        <v>157</v>
      </c>
      <c r="M1117" s="23" t="n">
        <v>45879</v>
      </c>
      <c r="N1117" s="23" t="n">
        <v>45872</v>
      </c>
      <c r="O1117" s="22" t="n">
        <v>7</v>
      </c>
      <c r="P1117" s="22"/>
      <c r="Q1117" s="22"/>
      <c r="R1117" s="22"/>
    </row>
    <row r="1118" customFormat="false" ht="15" hidden="false" customHeight="false" outlineLevel="0" collapsed="false">
      <c r="A1118" s="22" t="s">
        <v>9991</v>
      </c>
      <c r="B1118" s="23" t="n">
        <v>45844</v>
      </c>
      <c r="C1118" s="22" t="s">
        <v>3293</v>
      </c>
      <c r="D1118" s="22" t="n">
        <v>1298</v>
      </c>
      <c r="E1118" s="22" t="s">
        <v>8330</v>
      </c>
      <c r="F1118" s="22" t="s">
        <v>499</v>
      </c>
      <c r="G1118" s="22" t="n">
        <v>32</v>
      </c>
      <c r="H1118" s="22" t="s">
        <v>7696</v>
      </c>
      <c r="I1118" s="22" t="s">
        <v>8601</v>
      </c>
      <c r="J1118" s="22" t="n">
        <v>7.55</v>
      </c>
      <c r="K1118" s="22" t="n">
        <v>1</v>
      </c>
      <c r="L1118" s="22" t="s">
        <v>8602</v>
      </c>
      <c r="M1118" s="23" t="n">
        <v>45858</v>
      </c>
      <c r="N1118" s="22"/>
      <c r="O1118" s="22"/>
      <c r="P1118" s="22" t="s">
        <v>8603</v>
      </c>
      <c r="Q1118" s="22"/>
      <c r="R1118" s="22"/>
    </row>
    <row r="1119" customFormat="false" ht="15" hidden="false" customHeight="false" outlineLevel="0" collapsed="false">
      <c r="A1119" s="22" t="s">
        <v>9992</v>
      </c>
      <c r="B1119" s="23" t="n">
        <v>45845</v>
      </c>
      <c r="C1119" s="22" t="s">
        <v>182</v>
      </c>
      <c r="D1119" s="22" t="n">
        <v>8</v>
      </c>
      <c r="E1119" s="22" t="s">
        <v>8146</v>
      </c>
      <c r="F1119" s="22" t="s">
        <v>499</v>
      </c>
      <c r="G1119" s="22" t="n">
        <v>24</v>
      </c>
      <c r="H1119" s="22" t="s">
        <v>7696</v>
      </c>
      <c r="I1119" s="22" t="s">
        <v>8601</v>
      </c>
      <c r="J1119" s="22" t="n">
        <v>7.55</v>
      </c>
      <c r="K1119" s="22" t="n">
        <v>1</v>
      </c>
      <c r="L1119" s="22" t="s">
        <v>8605</v>
      </c>
      <c r="M1119" s="23" t="n">
        <v>45859</v>
      </c>
      <c r="N1119" s="23" t="n">
        <v>45849</v>
      </c>
      <c r="O1119" s="22" t="n">
        <v>4</v>
      </c>
      <c r="P1119" s="22"/>
      <c r="Q1119" s="22" t="s">
        <v>9993</v>
      </c>
      <c r="R1119" s="22"/>
    </row>
    <row r="1120" customFormat="false" ht="15" hidden="false" customHeight="false" outlineLevel="0" collapsed="false">
      <c r="A1120" s="22" t="s">
        <v>9994</v>
      </c>
      <c r="B1120" s="23" t="n">
        <v>45839</v>
      </c>
      <c r="C1120" s="22" t="s">
        <v>5903</v>
      </c>
      <c r="D1120" s="22" t="n">
        <v>2582</v>
      </c>
      <c r="E1120" s="22" t="s">
        <v>7376</v>
      </c>
      <c r="F1120" s="22" t="s">
        <v>159</v>
      </c>
      <c r="G1120" s="22" t="n">
        <v>28</v>
      </c>
      <c r="H1120" s="22" t="s">
        <v>6575</v>
      </c>
      <c r="I1120" s="22" t="s">
        <v>8601</v>
      </c>
      <c r="J1120" s="22" t="n">
        <v>10.4</v>
      </c>
      <c r="K1120" s="22" t="n">
        <v>2</v>
      </c>
      <c r="L1120" s="22" t="s">
        <v>8629</v>
      </c>
      <c r="M1120" s="23" t="n">
        <v>45849</v>
      </c>
      <c r="N1120" s="23" t="n">
        <v>45851</v>
      </c>
      <c r="O1120" s="22" t="n">
        <v>12</v>
      </c>
      <c r="P1120" s="22"/>
      <c r="Q1120" s="22"/>
      <c r="R1120" s="22"/>
    </row>
    <row r="1121" customFormat="false" ht="15" hidden="false" customHeight="false" outlineLevel="0" collapsed="false">
      <c r="A1121" s="22" t="s">
        <v>9995</v>
      </c>
      <c r="B1121" s="23" t="n">
        <v>45866</v>
      </c>
      <c r="C1121" s="22" t="s">
        <v>500</v>
      </c>
      <c r="D1121" s="22" t="n">
        <v>115</v>
      </c>
      <c r="E1121" s="22" t="s">
        <v>7232</v>
      </c>
      <c r="F1121" s="22" t="s">
        <v>198</v>
      </c>
      <c r="G1121" s="22" t="n">
        <v>32</v>
      </c>
      <c r="H1121" s="22" t="s">
        <v>6575</v>
      </c>
      <c r="I1121" s="22" t="s">
        <v>8601</v>
      </c>
      <c r="J1121" s="22" t="n">
        <v>10.4</v>
      </c>
      <c r="K1121" s="22" t="n">
        <v>1</v>
      </c>
      <c r="L1121" s="22" t="s">
        <v>8608</v>
      </c>
      <c r="M1121" s="23" t="n">
        <v>45876</v>
      </c>
      <c r="N1121" s="23" t="n">
        <v>45871</v>
      </c>
      <c r="O1121" s="22" t="n">
        <v>5</v>
      </c>
      <c r="P1121" s="22"/>
      <c r="Q1121" s="22"/>
      <c r="R1121" s="22"/>
    </row>
    <row r="1122" customFormat="false" ht="15" hidden="false" customHeight="false" outlineLevel="0" collapsed="false">
      <c r="A1122" s="22" t="s">
        <v>9996</v>
      </c>
      <c r="B1122" s="23" t="n">
        <v>45843</v>
      </c>
      <c r="C1122" s="22" t="s">
        <v>4248</v>
      </c>
      <c r="D1122" s="22" t="n">
        <v>1764</v>
      </c>
      <c r="E1122" s="22" t="s">
        <v>8538</v>
      </c>
      <c r="F1122" s="22" t="s">
        <v>188</v>
      </c>
      <c r="G1122" s="22" t="n">
        <v>24</v>
      </c>
      <c r="H1122" s="22" t="s">
        <v>7696</v>
      </c>
      <c r="I1122" s="22" t="s">
        <v>8601</v>
      </c>
      <c r="J1122" s="22" t="n">
        <v>7.55</v>
      </c>
      <c r="K1122" s="22" t="n">
        <v>2</v>
      </c>
      <c r="L1122" s="22" t="s">
        <v>8729</v>
      </c>
      <c r="M1122" s="23" t="n">
        <v>45857</v>
      </c>
      <c r="N1122" s="23" t="n">
        <v>45857</v>
      </c>
      <c r="O1122" s="22" t="n">
        <v>14</v>
      </c>
      <c r="P1122" s="22"/>
      <c r="Q1122" s="22"/>
      <c r="R1122" s="22"/>
    </row>
    <row r="1123" customFormat="false" ht="15" hidden="false" customHeight="false" outlineLevel="0" collapsed="false">
      <c r="A1123" s="22" t="s">
        <v>9997</v>
      </c>
      <c r="B1123" s="23" t="n">
        <v>45855</v>
      </c>
      <c r="C1123" s="22" t="s">
        <v>4508</v>
      </c>
      <c r="D1123" s="22" t="n">
        <v>1891</v>
      </c>
      <c r="E1123" s="22" t="s">
        <v>8158</v>
      </c>
      <c r="F1123" s="22" t="s">
        <v>499</v>
      </c>
      <c r="G1123" s="22" t="n">
        <v>80</v>
      </c>
      <c r="H1123" s="22" t="s">
        <v>7696</v>
      </c>
      <c r="I1123" s="22" t="s">
        <v>8601</v>
      </c>
      <c r="J1123" s="22" t="n">
        <v>7.55</v>
      </c>
      <c r="K1123" s="22" t="n">
        <v>1</v>
      </c>
      <c r="L1123" s="22" t="s">
        <v>8605</v>
      </c>
      <c r="M1123" s="23" t="n">
        <v>45869</v>
      </c>
      <c r="N1123" s="23" t="n">
        <v>45872</v>
      </c>
      <c r="O1123" s="22" t="n">
        <v>17</v>
      </c>
      <c r="P1123" s="22"/>
      <c r="Q1123" s="22" t="s">
        <v>9998</v>
      </c>
      <c r="R1123" s="22"/>
    </row>
    <row r="1124" customFormat="false" ht="15" hidden="false" customHeight="false" outlineLevel="0" collapsed="false">
      <c r="A1124" s="22" t="s">
        <v>9999</v>
      </c>
      <c r="B1124" s="23" t="n">
        <v>45850</v>
      </c>
      <c r="C1124" s="22" t="s">
        <v>5772</v>
      </c>
      <c r="D1124" s="22" t="n">
        <v>2516</v>
      </c>
      <c r="E1124" s="22" t="s">
        <v>7352</v>
      </c>
      <c r="F1124" s="22" t="s">
        <v>159</v>
      </c>
      <c r="G1124" s="22" t="n">
        <v>32</v>
      </c>
      <c r="H1124" s="22" t="s">
        <v>6575</v>
      </c>
      <c r="I1124" s="22" t="s">
        <v>8601</v>
      </c>
      <c r="J1124" s="22" t="n">
        <v>10.4</v>
      </c>
      <c r="K1124" s="22" t="n">
        <v>1</v>
      </c>
      <c r="L1124" s="22" t="s">
        <v>8602</v>
      </c>
      <c r="M1124" s="23" t="n">
        <v>45860</v>
      </c>
      <c r="N1124" s="22"/>
      <c r="O1124" s="22"/>
      <c r="P1124" s="22" t="s">
        <v>8637</v>
      </c>
      <c r="Q1124" s="22"/>
      <c r="R1124" s="22"/>
    </row>
    <row r="1125" customFormat="false" ht="15" hidden="false" customHeight="false" outlineLevel="0" collapsed="false">
      <c r="A1125" s="22" t="s">
        <v>10000</v>
      </c>
      <c r="B1125" s="23" t="n">
        <v>45849</v>
      </c>
      <c r="C1125" s="22" t="s">
        <v>5897</v>
      </c>
      <c r="D1125" s="22" t="n">
        <v>2579</v>
      </c>
      <c r="E1125" s="22" t="s">
        <v>7101</v>
      </c>
      <c r="F1125" s="22" t="s">
        <v>198</v>
      </c>
      <c r="G1125" s="22" t="n">
        <v>28</v>
      </c>
      <c r="H1125" s="22" t="s">
        <v>6575</v>
      </c>
      <c r="I1125" s="22" t="s">
        <v>8601</v>
      </c>
      <c r="J1125" s="22" t="n">
        <v>10.4</v>
      </c>
      <c r="K1125" s="22" t="n">
        <v>2</v>
      </c>
      <c r="L1125" s="22" t="s">
        <v>8602</v>
      </c>
      <c r="M1125" s="23" t="n">
        <v>45859</v>
      </c>
      <c r="N1125" s="22"/>
      <c r="O1125" s="22"/>
      <c r="P1125" s="22" t="s">
        <v>8631</v>
      </c>
      <c r="Q1125" s="22"/>
      <c r="R1125" s="22"/>
    </row>
    <row r="1126" customFormat="false" ht="15" hidden="false" customHeight="false" outlineLevel="0" collapsed="false">
      <c r="A1126" s="22" t="s">
        <v>10001</v>
      </c>
      <c r="B1126" s="23" t="n">
        <v>45855</v>
      </c>
      <c r="C1126" s="22" t="s">
        <v>5235</v>
      </c>
      <c r="D1126" s="22" t="n">
        <v>2248</v>
      </c>
      <c r="E1126" s="22" t="s">
        <v>6974</v>
      </c>
      <c r="F1126" s="22" t="s">
        <v>198</v>
      </c>
      <c r="G1126" s="22" t="n">
        <v>24</v>
      </c>
      <c r="H1126" s="22" t="s">
        <v>6575</v>
      </c>
      <c r="I1126" s="22" t="s">
        <v>8601</v>
      </c>
      <c r="J1126" s="22" t="n">
        <v>10.4</v>
      </c>
      <c r="K1126" s="22" t="n">
        <v>1</v>
      </c>
      <c r="L1126" s="22" t="s">
        <v>8602</v>
      </c>
      <c r="M1126" s="23" t="n">
        <v>45865</v>
      </c>
      <c r="N1126" s="22"/>
      <c r="O1126" s="22"/>
      <c r="P1126" s="22" t="s">
        <v>8637</v>
      </c>
      <c r="Q1126" s="22"/>
      <c r="R1126" s="22"/>
    </row>
    <row r="1127" customFormat="false" ht="15" hidden="false" customHeight="false" outlineLevel="0" collapsed="false">
      <c r="A1127" s="22" t="s">
        <v>10002</v>
      </c>
      <c r="B1127" s="23" t="n">
        <v>45860</v>
      </c>
      <c r="C1127" s="22" t="s">
        <v>5792</v>
      </c>
      <c r="D1127" s="22" t="n">
        <v>2526</v>
      </c>
      <c r="E1127" s="22" t="s">
        <v>8339</v>
      </c>
      <c r="F1127" s="22" t="s">
        <v>188</v>
      </c>
      <c r="G1127" s="22" t="n">
        <v>32</v>
      </c>
      <c r="H1127" s="22" t="s">
        <v>7696</v>
      </c>
      <c r="I1127" s="22" t="s">
        <v>8601</v>
      </c>
      <c r="J1127" s="22" t="n">
        <v>7.55</v>
      </c>
      <c r="K1127" s="22" t="n">
        <v>1</v>
      </c>
      <c r="L1127" s="22" t="s">
        <v>8602</v>
      </c>
      <c r="M1127" s="23" t="n">
        <v>45874</v>
      </c>
      <c r="N1127" s="22"/>
      <c r="O1127" s="22"/>
      <c r="P1127" s="22" t="s">
        <v>8637</v>
      </c>
      <c r="Q1127" s="22"/>
      <c r="R1127" s="22"/>
    </row>
    <row r="1128" customFormat="false" ht="15" hidden="false" customHeight="false" outlineLevel="0" collapsed="false">
      <c r="A1128" s="22" t="s">
        <v>10003</v>
      </c>
      <c r="B1128" s="23" t="n">
        <v>45851</v>
      </c>
      <c r="C1128" s="22" t="s">
        <v>5542</v>
      </c>
      <c r="D1128" s="22" t="n">
        <v>2402</v>
      </c>
      <c r="E1128" s="22" t="s">
        <v>8475</v>
      </c>
      <c r="F1128" s="22" t="s">
        <v>188</v>
      </c>
      <c r="G1128" s="22" t="n">
        <v>60</v>
      </c>
      <c r="H1128" s="22" t="s">
        <v>7696</v>
      </c>
      <c r="I1128" s="22" t="s">
        <v>8601</v>
      </c>
      <c r="J1128" s="22" t="n">
        <v>7.55</v>
      </c>
      <c r="K1128" s="22" t="n">
        <v>1</v>
      </c>
      <c r="L1128" s="22" t="s">
        <v>8629</v>
      </c>
      <c r="M1128" s="23" t="n">
        <v>45865</v>
      </c>
      <c r="N1128" s="23" t="n">
        <v>45867</v>
      </c>
      <c r="O1128" s="22" t="n">
        <v>16</v>
      </c>
      <c r="P1128" s="22"/>
      <c r="Q1128" s="22"/>
      <c r="R1128" s="22"/>
    </row>
    <row r="1129" customFormat="false" ht="15" hidden="false" customHeight="false" outlineLevel="0" collapsed="false">
      <c r="A1129" s="22" t="s">
        <v>10004</v>
      </c>
      <c r="B1129" s="23" t="n">
        <v>45840</v>
      </c>
      <c r="C1129" s="22" t="s">
        <v>1321</v>
      </c>
      <c r="D1129" s="22" t="n">
        <v>426</v>
      </c>
      <c r="E1129" s="22" t="s">
        <v>6843</v>
      </c>
      <c r="F1129" s="22" t="s">
        <v>198</v>
      </c>
      <c r="G1129" s="22" t="n">
        <v>24</v>
      </c>
      <c r="H1129" s="22" t="s">
        <v>6575</v>
      </c>
      <c r="I1129" s="22" t="s">
        <v>8601</v>
      </c>
      <c r="J1129" s="22" t="n">
        <v>10.4</v>
      </c>
      <c r="K1129" s="22" t="n">
        <v>1</v>
      </c>
      <c r="L1129" s="22" t="s">
        <v>8605</v>
      </c>
      <c r="M1129" s="23" t="n">
        <v>45850</v>
      </c>
      <c r="N1129" s="23" t="n">
        <v>45848</v>
      </c>
      <c r="O1129" s="22" t="n">
        <v>8</v>
      </c>
      <c r="P1129" s="22"/>
      <c r="Q1129" s="22" t="s">
        <v>9963</v>
      </c>
      <c r="R1129" s="22"/>
    </row>
    <row r="1130" customFormat="false" ht="15" hidden="false" customHeight="false" outlineLevel="0" collapsed="false">
      <c r="A1130" s="22" t="s">
        <v>10005</v>
      </c>
      <c r="B1130" s="23" t="n">
        <v>45866</v>
      </c>
      <c r="C1130" s="22" t="s">
        <v>4922</v>
      </c>
      <c r="D1130" s="22" t="n">
        <v>2094</v>
      </c>
      <c r="E1130" s="22" t="s">
        <v>8037</v>
      </c>
      <c r="F1130" s="22" t="s">
        <v>499</v>
      </c>
      <c r="G1130" s="22" t="n">
        <v>45</v>
      </c>
      <c r="H1130" s="22" t="s">
        <v>7696</v>
      </c>
      <c r="I1130" s="22" t="s">
        <v>8601</v>
      </c>
      <c r="J1130" s="22" t="n">
        <v>7.55</v>
      </c>
      <c r="K1130" s="22" t="n">
        <v>1</v>
      </c>
      <c r="L1130" s="22" t="s">
        <v>8602</v>
      </c>
      <c r="M1130" s="23" t="n">
        <v>45880</v>
      </c>
      <c r="N1130" s="22"/>
      <c r="O1130" s="22"/>
      <c r="P1130" s="22" t="s">
        <v>8618</v>
      </c>
      <c r="Q1130" s="22"/>
      <c r="R1130" s="22"/>
    </row>
    <row r="1131" customFormat="false" ht="15" hidden="false" customHeight="false" outlineLevel="0" collapsed="false">
      <c r="A1131" s="22" t="s">
        <v>10006</v>
      </c>
      <c r="B1131" s="23" t="n">
        <v>45881</v>
      </c>
      <c r="C1131" s="22" t="s">
        <v>3493</v>
      </c>
      <c r="D1131" s="22" t="n">
        <v>1395</v>
      </c>
      <c r="E1131" s="22" t="s">
        <v>6670</v>
      </c>
      <c r="F1131" s="22" t="s">
        <v>198</v>
      </c>
      <c r="G1131" s="22" t="n">
        <v>40</v>
      </c>
      <c r="H1131" s="22" t="s">
        <v>6575</v>
      </c>
      <c r="I1131" s="22" t="s">
        <v>8601</v>
      </c>
      <c r="J1131" s="22" t="n">
        <v>10.4</v>
      </c>
      <c r="K1131" s="22" t="n">
        <v>2</v>
      </c>
      <c r="L1131" s="22" t="s">
        <v>8629</v>
      </c>
      <c r="M1131" s="23" t="n">
        <v>45891</v>
      </c>
      <c r="N1131" s="23" t="n">
        <v>45888</v>
      </c>
      <c r="O1131" s="22" t="n">
        <v>7</v>
      </c>
      <c r="P1131" s="22"/>
      <c r="Q1131" s="22"/>
      <c r="R1131" s="22"/>
    </row>
    <row r="1132" customFormat="false" ht="15" hidden="false" customHeight="false" outlineLevel="0" collapsed="false">
      <c r="A1132" s="22" t="s">
        <v>10007</v>
      </c>
      <c r="B1132" s="23" t="n">
        <v>45877</v>
      </c>
      <c r="C1132" s="22" t="s">
        <v>2916</v>
      </c>
      <c r="D1132" s="22" t="n">
        <v>1124</v>
      </c>
      <c r="E1132" s="22" t="s">
        <v>8221</v>
      </c>
      <c r="F1132" s="22" t="s">
        <v>499</v>
      </c>
      <c r="G1132" s="22" t="n">
        <v>70</v>
      </c>
      <c r="H1132" s="22" t="s">
        <v>7696</v>
      </c>
      <c r="I1132" s="22" t="s">
        <v>8601</v>
      </c>
      <c r="J1132" s="22" t="n">
        <v>7.55</v>
      </c>
      <c r="K1132" s="22" t="n">
        <v>2</v>
      </c>
      <c r="L1132" s="22" t="s">
        <v>8605</v>
      </c>
      <c r="M1132" s="23" t="n">
        <v>45891</v>
      </c>
      <c r="N1132" s="23" t="n">
        <v>45886</v>
      </c>
      <c r="O1132" s="22" t="n">
        <v>9</v>
      </c>
      <c r="P1132" s="22"/>
      <c r="Q1132" s="22" t="s">
        <v>10008</v>
      </c>
      <c r="R1132" s="22"/>
    </row>
    <row r="1133" customFormat="false" ht="15" hidden="false" customHeight="false" outlineLevel="0" collapsed="false">
      <c r="A1133" s="22" t="s">
        <v>10009</v>
      </c>
      <c r="B1133" s="23" t="n">
        <v>45895</v>
      </c>
      <c r="C1133" s="22" t="s">
        <v>1252</v>
      </c>
      <c r="D1133" s="22" t="n">
        <v>397</v>
      </c>
      <c r="E1133" s="22" t="s">
        <v>7008</v>
      </c>
      <c r="F1133" s="22" t="s">
        <v>198</v>
      </c>
      <c r="G1133" s="22" t="n">
        <v>28</v>
      </c>
      <c r="H1133" s="22" t="s">
        <v>6575</v>
      </c>
      <c r="I1133" s="22" t="s">
        <v>8601</v>
      </c>
      <c r="J1133" s="22" t="n">
        <v>10.4</v>
      </c>
      <c r="K1133" s="22" t="n">
        <v>1</v>
      </c>
      <c r="L1133" s="22" t="s">
        <v>8605</v>
      </c>
      <c r="M1133" s="23" t="n">
        <v>45905</v>
      </c>
      <c r="N1133" s="23" t="n">
        <v>45903</v>
      </c>
      <c r="O1133" s="22" t="n">
        <v>8</v>
      </c>
      <c r="P1133" s="22"/>
      <c r="Q1133" s="22" t="s">
        <v>10010</v>
      </c>
      <c r="R1133" s="22"/>
    </row>
    <row r="1134" customFormat="false" ht="15" hidden="false" customHeight="false" outlineLevel="0" collapsed="false">
      <c r="A1134" s="22" t="s">
        <v>10011</v>
      </c>
      <c r="B1134" s="23" t="n">
        <v>45888</v>
      </c>
      <c r="C1134" s="22" t="s">
        <v>1009</v>
      </c>
      <c r="D1134" s="22" t="n">
        <v>303</v>
      </c>
      <c r="E1134" s="22" t="s">
        <v>7372</v>
      </c>
      <c r="F1134" s="22" t="s">
        <v>159</v>
      </c>
      <c r="G1134" s="22" t="n">
        <v>24</v>
      </c>
      <c r="H1134" s="22" t="s">
        <v>6575</v>
      </c>
      <c r="I1134" s="22" t="s">
        <v>8601</v>
      </c>
      <c r="J1134" s="22" t="n">
        <v>10.4</v>
      </c>
      <c r="K1134" s="22" t="n">
        <v>1</v>
      </c>
      <c r="L1134" s="22" t="s">
        <v>8605</v>
      </c>
      <c r="M1134" s="23" t="n">
        <v>45898</v>
      </c>
      <c r="N1134" s="23" t="n">
        <v>45899</v>
      </c>
      <c r="O1134" s="22" t="n">
        <v>11</v>
      </c>
      <c r="P1134" s="22"/>
      <c r="Q1134" s="22" t="s">
        <v>9786</v>
      </c>
      <c r="R1134" s="22"/>
    </row>
    <row r="1135" customFormat="false" ht="15" hidden="false" customHeight="false" outlineLevel="0" collapsed="false">
      <c r="A1135" s="22" t="s">
        <v>10012</v>
      </c>
      <c r="B1135" s="23" t="n">
        <v>45895</v>
      </c>
      <c r="C1135" s="22" t="s">
        <v>4269</v>
      </c>
      <c r="D1135" s="22" t="n">
        <v>1774</v>
      </c>
      <c r="E1135" s="22" t="s">
        <v>6673</v>
      </c>
      <c r="F1135" s="22" t="s">
        <v>198</v>
      </c>
      <c r="G1135" s="22" t="n">
        <v>32</v>
      </c>
      <c r="H1135" s="22" t="s">
        <v>6575</v>
      </c>
      <c r="I1135" s="22" t="s">
        <v>8601</v>
      </c>
      <c r="J1135" s="22" t="n">
        <v>10.4</v>
      </c>
      <c r="K1135" s="22" t="n">
        <v>1</v>
      </c>
      <c r="L1135" s="22" t="s">
        <v>8602</v>
      </c>
      <c r="M1135" s="23" t="n">
        <v>45905</v>
      </c>
      <c r="N1135" s="22"/>
      <c r="O1135" s="22"/>
      <c r="P1135" s="22" t="s">
        <v>8631</v>
      </c>
      <c r="Q1135" s="22"/>
      <c r="R1135" s="22"/>
    </row>
    <row r="1136" customFormat="false" ht="15" hidden="false" customHeight="false" outlineLevel="0" collapsed="false">
      <c r="A1136" s="22" t="s">
        <v>10013</v>
      </c>
      <c r="B1136" s="23" t="n">
        <v>45875</v>
      </c>
      <c r="C1136" s="22" t="s">
        <v>408</v>
      </c>
      <c r="D1136" s="22" t="n">
        <v>84</v>
      </c>
      <c r="E1136" s="22" t="s">
        <v>7476</v>
      </c>
      <c r="F1136" s="22" t="s">
        <v>159</v>
      </c>
      <c r="G1136" s="22" t="n">
        <v>24</v>
      </c>
      <c r="H1136" s="22" t="s">
        <v>6575</v>
      </c>
      <c r="I1136" s="22" t="s">
        <v>8601</v>
      </c>
      <c r="J1136" s="22" t="n">
        <v>10.4</v>
      </c>
      <c r="K1136" s="22" t="n">
        <v>1</v>
      </c>
      <c r="L1136" s="22" t="s">
        <v>8605</v>
      </c>
      <c r="M1136" s="23" t="n">
        <v>45885</v>
      </c>
      <c r="N1136" s="23" t="n">
        <v>45885</v>
      </c>
      <c r="O1136" s="22" t="n">
        <v>10</v>
      </c>
      <c r="P1136" s="22"/>
      <c r="Q1136" s="22" t="s">
        <v>9879</v>
      </c>
      <c r="R1136" s="22"/>
    </row>
    <row r="1137" customFormat="false" ht="15" hidden="false" customHeight="false" outlineLevel="0" collapsed="false">
      <c r="A1137" s="22" t="s">
        <v>10014</v>
      </c>
      <c r="B1137" s="23" t="n">
        <v>45895</v>
      </c>
      <c r="C1137" s="22" t="s">
        <v>5361</v>
      </c>
      <c r="D1137" s="22" t="n">
        <v>2311</v>
      </c>
      <c r="E1137" s="22" t="s">
        <v>8054</v>
      </c>
      <c r="F1137" s="22" t="s">
        <v>499</v>
      </c>
      <c r="G1137" s="22" t="n">
        <v>32</v>
      </c>
      <c r="H1137" s="22" t="s">
        <v>7696</v>
      </c>
      <c r="I1137" s="22" t="s">
        <v>8601</v>
      </c>
      <c r="J1137" s="22" t="n">
        <v>7.55</v>
      </c>
      <c r="K1137" s="22" t="n">
        <v>1</v>
      </c>
      <c r="L1137" s="22" t="s">
        <v>8602</v>
      </c>
      <c r="M1137" s="23" t="n">
        <v>45909</v>
      </c>
      <c r="N1137" s="22"/>
      <c r="O1137" s="22"/>
      <c r="P1137" s="22" t="s">
        <v>8637</v>
      </c>
      <c r="Q1137" s="22"/>
      <c r="R1137" s="22"/>
    </row>
    <row r="1138" customFormat="false" ht="15" hidden="false" customHeight="false" outlineLevel="0" collapsed="false">
      <c r="A1138" s="22" t="s">
        <v>10015</v>
      </c>
      <c r="B1138" s="23" t="n">
        <v>45895</v>
      </c>
      <c r="C1138" s="22" t="s">
        <v>5447</v>
      </c>
      <c r="D1138" s="22" t="n">
        <v>2355</v>
      </c>
      <c r="E1138" s="22" t="s">
        <v>8101</v>
      </c>
      <c r="F1138" s="22" t="s">
        <v>499</v>
      </c>
      <c r="G1138" s="22" t="n">
        <v>28</v>
      </c>
      <c r="H1138" s="22" t="s">
        <v>7696</v>
      </c>
      <c r="I1138" s="22" t="s">
        <v>8601</v>
      </c>
      <c r="J1138" s="22" t="n">
        <v>7.55</v>
      </c>
      <c r="K1138" s="22" t="n">
        <v>1</v>
      </c>
      <c r="L1138" s="22" t="s">
        <v>8605</v>
      </c>
      <c r="M1138" s="23" t="n">
        <v>45909</v>
      </c>
      <c r="N1138" s="23" t="n">
        <v>45906</v>
      </c>
      <c r="O1138" s="22" t="n">
        <v>11</v>
      </c>
      <c r="P1138" s="22"/>
      <c r="Q1138" s="22" t="s">
        <v>10016</v>
      </c>
      <c r="R1138" s="22"/>
    </row>
    <row r="1139" customFormat="false" ht="15" hidden="false" customHeight="false" outlineLevel="0" collapsed="false">
      <c r="A1139" s="22" t="s">
        <v>10017</v>
      </c>
      <c r="B1139" s="23" t="n">
        <v>45887</v>
      </c>
      <c r="C1139" s="22" t="s">
        <v>1586</v>
      </c>
      <c r="D1139" s="22" t="n">
        <v>537</v>
      </c>
      <c r="E1139" s="22" t="s">
        <v>8223</v>
      </c>
      <c r="F1139" s="22" t="s">
        <v>499</v>
      </c>
      <c r="G1139" s="22" t="n">
        <v>80</v>
      </c>
      <c r="H1139" s="22" t="s">
        <v>7696</v>
      </c>
      <c r="I1139" s="22" t="s">
        <v>8601</v>
      </c>
      <c r="J1139" s="22" t="n">
        <v>7.55</v>
      </c>
      <c r="K1139" s="22" t="n">
        <v>1</v>
      </c>
      <c r="L1139" s="22" t="s">
        <v>8602</v>
      </c>
      <c r="M1139" s="23" t="n">
        <v>45901</v>
      </c>
      <c r="N1139" s="22"/>
      <c r="O1139" s="22"/>
      <c r="P1139" s="22" t="s">
        <v>8603</v>
      </c>
      <c r="Q1139" s="22"/>
      <c r="R1139" s="22"/>
    </row>
    <row r="1140" customFormat="false" ht="15" hidden="false" customHeight="false" outlineLevel="0" collapsed="false">
      <c r="A1140" s="22" t="s">
        <v>10018</v>
      </c>
      <c r="B1140" s="23" t="n">
        <v>45895</v>
      </c>
      <c r="C1140" s="22" t="s">
        <v>2479</v>
      </c>
      <c r="D1140" s="22" t="n">
        <v>929</v>
      </c>
      <c r="E1140" s="22" t="s">
        <v>8425</v>
      </c>
      <c r="F1140" s="22" t="s">
        <v>188</v>
      </c>
      <c r="G1140" s="22" t="n">
        <v>60</v>
      </c>
      <c r="H1140" s="22" t="s">
        <v>7696</v>
      </c>
      <c r="I1140" s="22" t="s">
        <v>8601</v>
      </c>
      <c r="J1140" s="22" t="n">
        <v>7.55</v>
      </c>
      <c r="K1140" s="22" t="n">
        <v>1</v>
      </c>
      <c r="L1140" s="22" t="s">
        <v>8605</v>
      </c>
      <c r="M1140" s="23" t="n">
        <v>45909</v>
      </c>
      <c r="N1140" s="23" t="n">
        <v>45908</v>
      </c>
      <c r="O1140" s="22" t="n">
        <v>13</v>
      </c>
      <c r="P1140" s="22"/>
      <c r="Q1140" s="22" t="s">
        <v>9927</v>
      </c>
      <c r="R1140" s="22"/>
    </row>
    <row r="1141" customFormat="false" ht="15" hidden="false" customHeight="false" outlineLevel="0" collapsed="false">
      <c r="A1141" s="22" t="s">
        <v>10019</v>
      </c>
      <c r="B1141" s="23" t="n">
        <v>45885</v>
      </c>
      <c r="C1141" s="22" t="s">
        <v>2819</v>
      </c>
      <c r="D1141" s="22" t="n">
        <v>1081</v>
      </c>
      <c r="E1141" s="22" t="s">
        <v>6661</v>
      </c>
      <c r="F1141" s="22" t="s">
        <v>198</v>
      </c>
      <c r="G1141" s="22" t="n">
        <v>28</v>
      </c>
      <c r="H1141" s="22" t="s">
        <v>6575</v>
      </c>
      <c r="I1141" s="22" t="s">
        <v>8601</v>
      </c>
      <c r="J1141" s="22" t="n">
        <v>10.4</v>
      </c>
      <c r="K1141" s="22" t="n">
        <v>1</v>
      </c>
      <c r="L1141" s="22" t="s">
        <v>8605</v>
      </c>
      <c r="M1141" s="23" t="n">
        <v>45895</v>
      </c>
      <c r="N1141" s="23" t="n">
        <v>45893</v>
      </c>
      <c r="O1141" s="22" t="n">
        <v>8</v>
      </c>
      <c r="P1141" s="22"/>
      <c r="Q1141" s="22" t="s">
        <v>10020</v>
      </c>
      <c r="R1141" s="22"/>
    </row>
    <row r="1142" customFormat="false" ht="15" hidden="false" customHeight="false" outlineLevel="0" collapsed="false">
      <c r="A1142" s="22" t="s">
        <v>10021</v>
      </c>
      <c r="B1142" s="23" t="n">
        <v>45889</v>
      </c>
      <c r="C1142" s="22" t="s">
        <v>4723</v>
      </c>
      <c r="D1142" s="22" t="n">
        <v>1995</v>
      </c>
      <c r="E1142" s="22" t="s">
        <v>7949</v>
      </c>
      <c r="F1142" s="22" t="s">
        <v>215</v>
      </c>
      <c r="G1142" s="22" t="n">
        <v>40</v>
      </c>
      <c r="H1142" s="22" t="s">
        <v>7696</v>
      </c>
      <c r="I1142" s="22" t="s">
        <v>8601</v>
      </c>
      <c r="J1142" s="22" t="n">
        <v>7.55</v>
      </c>
      <c r="K1142" s="22" t="n">
        <v>1</v>
      </c>
      <c r="L1142" s="22" t="s">
        <v>8605</v>
      </c>
      <c r="M1142" s="23" t="n">
        <v>45903</v>
      </c>
      <c r="N1142" s="23" t="n">
        <v>45898</v>
      </c>
      <c r="O1142" s="22" t="n">
        <v>9</v>
      </c>
      <c r="P1142" s="22"/>
      <c r="Q1142" s="22" t="s">
        <v>9968</v>
      </c>
      <c r="R1142" s="22"/>
    </row>
    <row r="1143" customFormat="false" ht="15" hidden="false" customHeight="false" outlineLevel="0" collapsed="false">
      <c r="A1143" s="22" t="s">
        <v>10022</v>
      </c>
      <c r="B1143" s="23" t="n">
        <v>45878</v>
      </c>
      <c r="C1143" s="22" t="s">
        <v>252</v>
      </c>
      <c r="D1143" s="22" t="n">
        <v>30</v>
      </c>
      <c r="E1143" s="22" t="s">
        <v>6894</v>
      </c>
      <c r="F1143" s="22" t="s">
        <v>198</v>
      </c>
      <c r="G1143" s="22" t="n">
        <v>24</v>
      </c>
      <c r="H1143" s="22" t="s">
        <v>6575</v>
      </c>
      <c r="I1143" s="22" t="s">
        <v>8601</v>
      </c>
      <c r="J1143" s="22" t="n">
        <v>10.4</v>
      </c>
      <c r="K1143" s="22" t="n">
        <v>1</v>
      </c>
      <c r="L1143" s="22" t="s">
        <v>157</v>
      </c>
      <c r="M1143" s="23" t="n">
        <v>45888</v>
      </c>
      <c r="N1143" s="23" t="n">
        <v>45889</v>
      </c>
      <c r="O1143" s="22" t="n">
        <v>11</v>
      </c>
      <c r="P1143" s="22"/>
      <c r="Q1143" s="22"/>
      <c r="R1143" s="22"/>
    </row>
    <row r="1144" customFormat="false" ht="15" hidden="false" customHeight="false" outlineLevel="0" collapsed="false">
      <c r="A1144" s="22" t="s">
        <v>10023</v>
      </c>
      <c r="B1144" s="23" t="n">
        <v>45895</v>
      </c>
      <c r="C1144" s="22" t="s">
        <v>2170</v>
      </c>
      <c r="D1144" s="22" t="n">
        <v>788</v>
      </c>
      <c r="E1144" s="22" t="s">
        <v>8107</v>
      </c>
      <c r="F1144" s="22" t="s">
        <v>499</v>
      </c>
      <c r="G1144" s="22" t="n">
        <v>80</v>
      </c>
      <c r="H1144" s="22" t="s">
        <v>7696</v>
      </c>
      <c r="I1144" s="22" t="s">
        <v>8601</v>
      </c>
      <c r="J1144" s="22" t="n">
        <v>7.55</v>
      </c>
      <c r="K1144" s="22" t="n">
        <v>1</v>
      </c>
      <c r="L1144" s="22" t="s">
        <v>8602</v>
      </c>
      <c r="M1144" s="23" t="n">
        <v>45909</v>
      </c>
      <c r="N1144" s="22"/>
      <c r="O1144" s="22"/>
      <c r="P1144" s="22" t="s">
        <v>8603</v>
      </c>
      <c r="Q1144" s="22"/>
      <c r="R1144" s="22"/>
    </row>
    <row r="1145" customFormat="false" ht="15" hidden="false" customHeight="false" outlineLevel="0" collapsed="false">
      <c r="A1145" s="22" t="s">
        <v>10024</v>
      </c>
      <c r="B1145" s="23" t="n">
        <v>45880</v>
      </c>
      <c r="C1145" s="22" t="s">
        <v>6313</v>
      </c>
      <c r="D1145" s="22" t="n">
        <v>2787</v>
      </c>
      <c r="E1145" s="22" t="s">
        <v>8502</v>
      </c>
      <c r="F1145" s="22" t="s">
        <v>188</v>
      </c>
      <c r="G1145" s="22" t="n">
        <v>24</v>
      </c>
      <c r="H1145" s="22" t="s">
        <v>7696</v>
      </c>
      <c r="I1145" s="22" t="s">
        <v>8601</v>
      </c>
      <c r="J1145" s="22" t="n">
        <v>7.55</v>
      </c>
      <c r="K1145" s="22" t="n">
        <v>1</v>
      </c>
      <c r="L1145" s="22" t="s">
        <v>8605</v>
      </c>
      <c r="M1145" s="23" t="n">
        <v>45894</v>
      </c>
      <c r="N1145" s="23" t="n">
        <v>45888</v>
      </c>
      <c r="O1145" s="22" t="n">
        <v>8</v>
      </c>
      <c r="P1145" s="22"/>
      <c r="Q1145" s="22" t="s">
        <v>10025</v>
      </c>
      <c r="R1145" s="22"/>
    </row>
    <row r="1146" customFormat="false" ht="15" hidden="false" customHeight="false" outlineLevel="0" collapsed="false">
      <c r="A1146" s="22" t="s">
        <v>10026</v>
      </c>
      <c r="B1146" s="23" t="n">
        <v>45888</v>
      </c>
      <c r="C1146" s="22" t="s">
        <v>6121</v>
      </c>
      <c r="D1146" s="22" t="n">
        <v>2690</v>
      </c>
      <c r="E1146" s="22" t="s">
        <v>7489</v>
      </c>
      <c r="F1146" s="22" t="s">
        <v>159</v>
      </c>
      <c r="G1146" s="22" t="n">
        <v>28</v>
      </c>
      <c r="H1146" s="22" t="s">
        <v>6575</v>
      </c>
      <c r="I1146" s="22" t="s">
        <v>8601</v>
      </c>
      <c r="J1146" s="22" t="n">
        <v>10.4</v>
      </c>
      <c r="K1146" s="22" t="n">
        <v>1</v>
      </c>
      <c r="L1146" s="22" t="s">
        <v>8605</v>
      </c>
      <c r="M1146" s="23" t="n">
        <v>45898</v>
      </c>
      <c r="N1146" s="23" t="n">
        <v>45898</v>
      </c>
      <c r="O1146" s="22" t="n">
        <v>10</v>
      </c>
      <c r="P1146" s="22"/>
      <c r="Q1146" s="22" t="s">
        <v>10027</v>
      </c>
      <c r="R1146" s="22"/>
    </row>
    <row r="1147" customFormat="false" ht="15" hidden="false" customHeight="false" outlineLevel="0" collapsed="false">
      <c r="A1147" s="22" t="s">
        <v>10028</v>
      </c>
      <c r="B1147" s="23" t="n">
        <v>45894</v>
      </c>
      <c r="C1147" s="22" t="s">
        <v>4246</v>
      </c>
      <c r="D1147" s="22" t="n">
        <v>1763</v>
      </c>
      <c r="E1147" s="22" t="s">
        <v>7129</v>
      </c>
      <c r="F1147" s="22" t="s">
        <v>198</v>
      </c>
      <c r="G1147" s="22" t="n">
        <v>32</v>
      </c>
      <c r="H1147" s="22" t="s">
        <v>6575</v>
      </c>
      <c r="I1147" s="22" t="s">
        <v>8601</v>
      </c>
      <c r="J1147" s="22" t="n">
        <v>10.4</v>
      </c>
      <c r="K1147" s="22" t="n">
        <v>1</v>
      </c>
      <c r="L1147" s="22" t="s">
        <v>8629</v>
      </c>
      <c r="M1147" s="23" t="n">
        <v>45904</v>
      </c>
      <c r="N1147" s="23" t="n">
        <v>45899</v>
      </c>
      <c r="O1147" s="22" t="n">
        <v>5</v>
      </c>
      <c r="P1147" s="22"/>
      <c r="Q1147" s="22"/>
      <c r="R1147" s="22"/>
    </row>
    <row r="1148" customFormat="false" ht="15" hidden="false" customHeight="false" outlineLevel="0" collapsed="false">
      <c r="A1148" s="22" t="s">
        <v>10029</v>
      </c>
      <c r="B1148" s="23" t="n">
        <v>45891</v>
      </c>
      <c r="C1148" s="22" t="s">
        <v>1978</v>
      </c>
      <c r="D1148" s="22" t="n">
        <v>702</v>
      </c>
      <c r="E1148" s="22" t="s">
        <v>7676</v>
      </c>
      <c r="F1148" s="22" t="s">
        <v>159</v>
      </c>
      <c r="G1148" s="22" t="n">
        <v>36</v>
      </c>
      <c r="H1148" s="22" t="s">
        <v>6575</v>
      </c>
      <c r="I1148" s="22" t="s">
        <v>8601</v>
      </c>
      <c r="J1148" s="22" t="n">
        <v>10.4</v>
      </c>
      <c r="K1148" s="22" t="n">
        <v>1</v>
      </c>
      <c r="L1148" s="22" t="s">
        <v>8602</v>
      </c>
      <c r="M1148" s="23" t="n">
        <v>45901</v>
      </c>
      <c r="N1148" s="22"/>
      <c r="O1148" s="22"/>
      <c r="P1148" s="22" t="s">
        <v>8603</v>
      </c>
      <c r="Q1148" s="22"/>
      <c r="R1148" s="22"/>
    </row>
    <row r="1149" customFormat="false" ht="15" hidden="false" customHeight="false" outlineLevel="0" collapsed="false">
      <c r="A1149" s="22" t="s">
        <v>10030</v>
      </c>
      <c r="B1149" s="23" t="n">
        <v>45883</v>
      </c>
      <c r="C1149" s="22" t="s">
        <v>4201</v>
      </c>
      <c r="D1149" s="22" t="n">
        <v>1741</v>
      </c>
      <c r="E1149" s="22" t="s">
        <v>7713</v>
      </c>
      <c r="F1149" s="22" t="s">
        <v>215</v>
      </c>
      <c r="G1149" s="22" t="n">
        <v>70</v>
      </c>
      <c r="H1149" s="22" t="s">
        <v>7696</v>
      </c>
      <c r="I1149" s="22" t="s">
        <v>8601</v>
      </c>
      <c r="J1149" s="22" t="n">
        <v>7.55</v>
      </c>
      <c r="K1149" s="22" t="n">
        <v>1</v>
      </c>
      <c r="L1149" s="22" t="s">
        <v>8605</v>
      </c>
      <c r="M1149" s="23" t="n">
        <v>45897</v>
      </c>
      <c r="N1149" s="23" t="n">
        <v>45895</v>
      </c>
      <c r="O1149" s="22" t="n">
        <v>12</v>
      </c>
      <c r="P1149" s="22"/>
      <c r="Q1149" s="22" t="s">
        <v>9842</v>
      </c>
      <c r="R1149" s="22"/>
    </row>
    <row r="1150" customFormat="false" ht="15" hidden="false" customHeight="false" outlineLevel="0" collapsed="false">
      <c r="A1150" s="22" t="s">
        <v>10031</v>
      </c>
      <c r="B1150" s="23" t="n">
        <v>45890</v>
      </c>
      <c r="C1150" s="22" t="s">
        <v>2191</v>
      </c>
      <c r="D1150" s="22" t="n">
        <v>797</v>
      </c>
      <c r="E1150" s="22" t="s">
        <v>8299</v>
      </c>
      <c r="F1150" s="22" t="s">
        <v>499</v>
      </c>
      <c r="G1150" s="22" t="n">
        <v>32</v>
      </c>
      <c r="H1150" s="22" t="s">
        <v>7696</v>
      </c>
      <c r="I1150" s="22" t="s">
        <v>8601</v>
      </c>
      <c r="J1150" s="22" t="n">
        <v>7.55</v>
      </c>
      <c r="K1150" s="22" t="n">
        <v>2</v>
      </c>
      <c r="L1150" s="22" t="s">
        <v>8605</v>
      </c>
      <c r="M1150" s="23" t="n">
        <v>45904</v>
      </c>
      <c r="N1150" s="23" t="n">
        <v>45900</v>
      </c>
      <c r="O1150" s="22" t="n">
        <v>10</v>
      </c>
      <c r="P1150" s="22"/>
      <c r="Q1150" s="22" t="s">
        <v>10032</v>
      </c>
      <c r="R1150" s="22"/>
    </row>
    <row r="1151" customFormat="false" ht="15" hidden="false" customHeight="false" outlineLevel="0" collapsed="false">
      <c r="A1151" s="22" t="s">
        <v>10033</v>
      </c>
      <c r="B1151" s="23" t="n">
        <v>45897</v>
      </c>
      <c r="C1151" s="22" t="s">
        <v>1156</v>
      </c>
      <c r="D1151" s="22" t="n">
        <v>360</v>
      </c>
      <c r="E1151" s="22" t="s">
        <v>8504</v>
      </c>
      <c r="F1151" s="22" t="s">
        <v>188</v>
      </c>
      <c r="G1151" s="22" t="n">
        <v>32</v>
      </c>
      <c r="H1151" s="22" t="s">
        <v>7696</v>
      </c>
      <c r="I1151" s="22" t="s">
        <v>8601</v>
      </c>
      <c r="J1151" s="22" t="n">
        <v>7.55</v>
      </c>
      <c r="K1151" s="22" t="n">
        <v>1</v>
      </c>
      <c r="L1151" s="22" t="s">
        <v>8605</v>
      </c>
      <c r="M1151" s="23" t="n">
        <v>45911</v>
      </c>
      <c r="N1151" s="23" t="n">
        <v>45903</v>
      </c>
      <c r="O1151" s="22" t="n">
        <v>6</v>
      </c>
      <c r="P1151" s="22"/>
      <c r="Q1151" s="22" t="s">
        <v>10034</v>
      </c>
      <c r="R1151" s="22"/>
    </row>
    <row r="1152" customFormat="false" ht="15" hidden="false" customHeight="false" outlineLevel="0" collapsed="false">
      <c r="A1152" s="22" t="s">
        <v>10035</v>
      </c>
      <c r="B1152" s="23" t="n">
        <v>45870</v>
      </c>
      <c r="C1152" s="22" t="s">
        <v>6431</v>
      </c>
      <c r="D1152" s="22" t="n">
        <v>2849</v>
      </c>
      <c r="E1152" s="22" t="s">
        <v>7733</v>
      </c>
      <c r="F1152" s="22" t="s">
        <v>215</v>
      </c>
      <c r="G1152" s="22" t="n">
        <v>36</v>
      </c>
      <c r="H1152" s="22" t="s">
        <v>7696</v>
      </c>
      <c r="I1152" s="22" t="s">
        <v>8601</v>
      </c>
      <c r="J1152" s="22" t="n">
        <v>7.55</v>
      </c>
      <c r="K1152" s="22" t="n">
        <v>1</v>
      </c>
      <c r="L1152" s="22" t="s">
        <v>8605</v>
      </c>
      <c r="M1152" s="23" t="n">
        <v>45884</v>
      </c>
      <c r="N1152" s="23" t="n">
        <v>45871</v>
      </c>
      <c r="O1152" s="22" t="n">
        <v>1</v>
      </c>
      <c r="P1152" s="22"/>
      <c r="Q1152" s="22" t="s">
        <v>10036</v>
      </c>
      <c r="R1152" s="22"/>
    </row>
    <row r="1153" customFormat="false" ht="15" hidden="false" customHeight="false" outlineLevel="0" collapsed="false">
      <c r="A1153" s="22" t="s">
        <v>10037</v>
      </c>
      <c r="B1153" s="23" t="n">
        <v>45877</v>
      </c>
      <c r="C1153" s="22" t="s">
        <v>3671</v>
      </c>
      <c r="D1153" s="22" t="n">
        <v>1481</v>
      </c>
      <c r="E1153" s="22" t="s">
        <v>7156</v>
      </c>
      <c r="F1153" s="22" t="s">
        <v>198</v>
      </c>
      <c r="G1153" s="22" t="n">
        <v>32</v>
      </c>
      <c r="H1153" s="22" t="s">
        <v>6575</v>
      </c>
      <c r="I1153" s="22" t="s">
        <v>8601</v>
      </c>
      <c r="J1153" s="22" t="n">
        <v>10.4</v>
      </c>
      <c r="K1153" s="22" t="n">
        <v>1</v>
      </c>
      <c r="L1153" s="22" t="s">
        <v>8605</v>
      </c>
      <c r="M1153" s="23" t="n">
        <v>45887</v>
      </c>
      <c r="N1153" s="23" t="n">
        <v>45879</v>
      </c>
      <c r="O1153" s="22" t="n">
        <v>2</v>
      </c>
      <c r="P1153" s="22"/>
      <c r="Q1153" s="22" t="s">
        <v>10038</v>
      </c>
      <c r="R1153" s="22"/>
    </row>
    <row r="1154" customFormat="false" ht="15" hidden="false" customHeight="false" outlineLevel="0" collapsed="false">
      <c r="A1154" s="22" t="s">
        <v>10039</v>
      </c>
      <c r="B1154" s="23" t="n">
        <v>45879</v>
      </c>
      <c r="C1154" s="22" t="s">
        <v>3926</v>
      </c>
      <c r="D1154" s="22" t="n">
        <v>1607</v>
      </c>
      <c r="E1154" s="22" t="s">
        <v>7243</v>
      </c>
      <c r="F1154" s="22" t="s">
        <v>198</v>
      </c>
      <c r="G1154" s="22" t="n">
        <v>32</v>
      </c>
      <c r="H1154" s="22" t="s">
        <v>6575</v>
      </c>
      <c r="I1154" s="22" t="s">
        <v>8601</v>
      </c>
      <c r="J1154" s="22" t="n">
        <v>10.4</v>
      </c>
      <c r="K1154" s="22" t="n">
        <v>2</v>
      </c>
      <c r="L1154" s="22" t="s">
        <v>8602</v>
      </c>
      <c r="M1154" s="23" t="n">
        <v>45889</v>
      </c>
      <c r="N1154" s="22"/>
      <c r="O1154" s="22"/>
      <c r="P1154" s="22" t="s">
        <v>8603</v>
      </c>
      <c r="Q1154" s="22"/>
      <c r="R1154" s="22"/>
    </row>
    <row r="1155" customFormat="false" ht="15" hidden="false" customHeight="false" outlineLevel="0" collapsed="false">
      <c r="A1155" s="22" t="s">
        <v>10040</v>
      </c>
      <c r="B1155" s="23" t="n">
        <v>45875</v>
      </c>
      <c r="C1155" s="22" t="s">
        <v>165</v>
      </c>
      <c r="D1155" s="22" t="n">
        <v>3</v>
      </c>
      <c r="E1155" s="22" t="s">
        <v>7574</v>
      </c>
      <c r="F1155" s="22" t="s">
        <v>159</v>
      </c>
      <c r="G1155" s="22" t="n">
        <v>28</v>
      </c>
      <c r="H1155" s="22" t="s">
        <v>6575</v>
      </c>
      <c r="I1155" s="22" t="s">
        <v>8601</v>
      </c>
      <c r="J1155" s="22" t="n">
        <v>10.4</v>
      </c>
      <c r="K1155" s="22" t="n">
        <v>1</v>
      </c>
      <c r="L1155" s="22" t="s">
        <v>8605</v>
      </c>
      <c r="M1155" s="23" t="n">
        <v>45885</v>
      </c>
      <c r="N1155" s="23" t="n">
        <v>45878</v>
      </c>
      <c r="O1155" s="22" t="n">
        <v>3</v>
      </c>
      <c r="P1155" s="22"/>
      <c r="Q1155" s="22" t="s">
        <v>9892</v>
      </c>
      <c r="R1155" s="22"/>
    </row>
    <row r="1156" customFormat="false" ht="15" hidden="false" customHeight="false" outlineLevel="0" collapsed="false">
      <c r="A1156" s="22" t="s">
        <v>10041</v>
      </c>
      <c r="B1156" s="23" t="n">
        <v>45884</v>
      </c>
      <c r="C1156" s="22" t="s">
        <v>5367</v>
      </c>
      <c r="D1156" s="22" t="n">
        <v>2314</v>
      </c>
      <c r="E1156" s="22" t="s">
        <v>6775</v>
      </c>
      <c r="F1156" s="22" t="s">
        <v>198</v>
      </c>
      <c r="G1156" s="22" t="n">
        <v>32</v>
      </c>
      <c r="H1156" s="22" t="s">
        <v>6575</v>
      </c>
      <c r="I1156" s="22" t="s">
        <v>8601</v>
      </c>
      <c r="J1156" s="22" t="n">
        <v>10.4</v>
      </c>
      <c r="K1156" s="22" t="n">
        <v>1</v>
      </c>
      <c r="L1156" s="22" t="s">
        <v>8602</v>
      </c>
      <c r="M1156" s="23" t="n">
        <v>45894</v>
      </c>
      <c r="N1156" s="22"/>
      <c r="O1156" s="22"/>
      <c r="P1156" s="22" t="s">
        <v>8637</v>
      </c>
      <c r="Q1156" s="22"/>
      <c r="R1156" s="22"/>
    </row>
    <row r="1157" customFormat="false" ht="15" hidden="false" customHeight="false" outlineLevel="0" collapsed="false">
      <c r="A1157" s="22" t="s">
        <v>10042</v>
      </c>
      <c r="B1157" s="23" t="n">
        <v>45886</v>
      </c>
      <c r="C1157" s="22" t="s">
        <v>2399</v>
      </c>
      <c r="D1157" s="22" t="n">
        <v>891</v>
      </c>
      <c r="E1157" s="22" t="s">
        <v>7771</v>
      </c>
      <c r="F1157" s="22" t="s">
        <v>215</v>
      </c>
      <c r="G1157" s="22" t="n">
        <v>40</v>
      </c>
      <c r="H1157" s="22" t="s">
        <v>7696</v>
      </c>
      <c r="I1157" s="22" t="s">
        <v>8601</v>
      </c>
      <c r="J1157" s="22" t="n">
        <v>7.55</v>
      </c>
      <c r="K1157" s="22" t="n">
        <v>2</v>
      </c>
      <c r="L1157" s="22" t="s">
        <v>157</v>
      </c>
      <c r="M1157" s="23" t="n">
        <v>45900</v>
      </c>
      <c r="N1157" s="23" t="n">
        <v>45893</v>
      </c>
      <c r="O1157" s="22" t="n">
        <v>7</v>
      </c>
      <c r="P1157" s="22"/>
      <c r="Q1157" s="22"/>
      <c r="R1157" s="22"/>
    </row>
    <row r="1158" customFormat="false" ht="15" hidden="false" customHeight="false" outlineLevel="0" collapsed="false">
      <c r="A1158" s="22" t="s">
        <v>10043</v>
      </c>
      <c r="B1158" s="23" t="n">
        <v>45883</v>
      </c>
      <c r="C1158" s="22" t="s">
        <v>5004</v>
      </c>
      <c r="D1158" s="22" t="n">
        <v>2134</v>
      </c>
      <c r="E1158" s="22" t="s">
        <v>8512</v>
      </c>
      <c r="F1158" s="22" t="s">
        <v>188</v>
      </c>
      <c r="G1158" s="22" t="n">
        <v>24</v>
      </c>
      <c r="H1158" s="22" t="s">
        <v>7696</v>
      </c>
      <c r="I1158" s="22" t="s">
        <v>8601</v>
      </c>
      <c r="J1158" s="22" t="n">
        <v>7.55</v>
      </c>
      <c r="K1158" s="22" t="n">
        <v>1</v>
      </c>
      <c r="L1158" s="22" t="s">
        <v>8602</v>
      </c>
      <c r="M1158" s="23" t="n">
        <v>45897</v>
      </c>
      <c r="N1158" s="22"/>
      <c r="O1158" s="22"/>
      <c r="P1158" s="22" t="s">
        <v>8603</v>
      </c>
      <c r="Q1158" s="22"/>
      <c r="R1158" s="22"/>
    </row>
    <row r="1159" customFormat="false" ht="15" hidden="false" customHeight="false" outlineLevel="0" collapsed="false">
      <c r="A1159" s="22" t="s">
        <v>10044</v>
      </c>
      <c r="B1159" s="23" t="n">
        <v>45897</v>
      </c>
      <c r="C1159" s="22" t="s">
        <v>3352</v>
      </c>
      <c r="D1159" s="22" t="n">
        <v>1327</v>
      </c>
      <c r="E1159" s="22" t="s">
        <v>8325</v>
      </c>
      <c r="F1159" s="22" t="s">
        <v>499</v>
      </c>
      <c r="G1159" s="22" t="n">
        <v>80</v>
      </c>
      <c r="H1159" s="22" t="s">
        <v>7696</v>
      </c>
      <c r="I1159" s="22" t="s">
        <v>8601</v>
      </c>
      <c r="J1159" s="22" t="n">
        <v>7.55</v>
      </c>
      <c r="K1159" s="22" t="n">
        <v>1</v>
      </c>
      <c r="L1159" s="22" t="s">
        <v>157</v>
      </c>
      <c r="M1159" s="23" t="n">
        <v>45911</v>
      </c>
      <c r="N1159" s="23" t="n">
        <v>45900</v>
      </c>
      <c r="O1159" s="22" t="n">
        <v>3</v>
      </c>
      <c r="P1159" s="22"/>
      <c r="Q1159" s="22"/>
      <c r="R1159" s="22"/>
    </row>
    <row r="1160" customFormat="false" ht="15" hidden="false" customHeight="false" outlineLevel="0" collapsed="false">
      <c r="A1160" s="22" t="s">
        <v>10045</v>
      </c>
      <c r="B1160" s="23" t="n">
        <v>45877</v>
      </c>
      <c r="C1160" s="22" t="s">
        <v>3807</v>
      </c>
      <c r="D1160" s="22" t="n">
        <v>1548</v>
      </c>
      <c r="E1160" s="22" t="s">
        <v>8337</v>
      </c>
      <c r="F1160" s="22" t="s">
        <v>499</v>
      </c>
      <c r="G1160" s="22" t="n">
        <v>28</v>
      </c>
      <c r="H1160" s="22" t="s">
        <v>7696</v>
      </c>
      <c r="I1160" s="22" t="s">
        <v>8601</v>
      </c>
      <c r="J1160" s="22" t="n">
        <v>7.55</v>
      </c>
      <c r="K1160" s="22" t="n">
        <v>1</v>
      </c>
      <c r="L1160" s="22" t="s">
        <v>8605</v>
      </c>
      <c r="M1160" s="23" t="n">
        <v>45891</v>
      </c>
      <c r="N1160" s="23" t="n">
        <v>45880</v>
      </c>
      <c r="O1160" s="22" t="n">
        <v>3</v>
      </c>
      <c r="P1160" s="22"/>
      <c r="Q1160" s="22" t="s">
        <v>9930</v>
      </c>
      <c r="R1160" s="22"/>
    </row>
    <row r="1161" customFormat="false" ht="15" hidden="false" customHeight="false" outlineLevel="0" collapsed="false">
      <c r="A1161" s="22" t="s">
        <v>10046</v>
      </c>
      <c r="B1161" s="23" t="n">
        <v>45877</v>
      </c>
      <c r="C1161" s="22" t="s">
        <v>4550</v>
      </c>
      <c r="D1161" s="22" t="n">
        <v>1912</v>
      </c>
      <c r="E1161" s="22" t="s">
        <v>8447</v>
      </c>
      <c r="F1161" s="22" t="s">
        <v>188</v>
      </c>
      <c r="G1161" s="22" t="n">
        <v>32</v>
      </c>
      <c r="H1161" s="22" t="s">
        <v>7696</v>
      </c>
      <c r="I1161" s="22" t="s">
        <v>8601</v>
      </c>
      <c r="J1161" s="22" t="n">
        <v>7.55</v>
      </c>
      <c r="K1161" s="22" t="n">
        <v>1</v>
      </c>
      <c r="L1161" s="22" t="s">
        <v>8602</v>
      </c>
      <c r="M1161" s="23" t="n">
        <v>45891</v>
      </c>
      <c r="N1161" s="22"/>
      <c r="O1161" s="22"/>
      <c r="P1161" s="22" t="s">
        <v>8637</v>
      </c>
      <c r="Q1161" s="22"/>
      <c r="R1161" s="22"/>
    </row>
    <row r="1162" customFormat="false" ht="15" hidden="false" customHeight="false" outlineLevel="0" collapsed="false">
      <c r="A1162" s="22" t="s">
        <v>10047</v>
      </c>
      <c r="B1162" s="23" t="n">
        <v>45875</v>
      </c>
      <c r="C1162" s="22" t="s">
        <v>2608</v>
      </c>
      <c r="D1162" s="22" t="n">
        <v>986</v>
      </c>
      <c r="E1162" s="22" t="s">
        <v>7101</v>
      </c>
      <c r="F1162" s="22" t="s">
        <v>198</v>
      </c>
      <c r="G1162" s="22" t="n">
        <v>28</v>
      </c>
      <c r="H1162" s="22" t="s">
        <v>6575</v>
      </c>
      <c r="I1162" s="22" t="s">
        <v>8601</v>
      </c>
      <c r="J1162" s="22" t="n">
        <v>10.4</v>
      </c>
      <c r="K1162" s="22" t="n">
        <v>1</v>
      </c>
      <c r="L1162" s="22" t="s">
        <v>8605</v>
      </c>
      <c r="M1162" s="23" t="n">
        <v>45885</v>
      </c>
      <c r="N1162" s="23" t="n">
        <v>45880</v>
      </c>
      <c r="O1162" s="22" t="n">
        <v>5</v>
      </c>
      <c r="P1162" s="22"/>
      <c r="Q1162" s="22" t="s">
        <v>10048</v>
      </c>
      <c r="R1162" s="22"/>
    </row>
    <row r="1163" customFormat="false" ht="15" hidden="false" customHeight="false" outlineLevel="0" collapsed="false">
      <c r="A1163" s="22" t="s">
        <v>10049</v>
      </c>
      <c r="B1163" s="23" t="n">
        <v>45888</v>
      </c>
      <c r="C1163" s="22" t="s">
        <v>1876</v>
      </c>
      <c r="D1163" s="22" t="n">
        <v>658</v>
      </c>
      <c r="E1163" s="22" t="s">
        <v>8499</v>
      </c>
      <c r="F1163" s="22" t="s">
        <v>188</v>
      </c>
      <c r="G1163" s="22" t="n">
        <v>28</v>
      </c>
      <c r="H1163" s="22" t="s">
        <v>7696</v>
      </c>
      <c r="I1163" s="22" t="s">
        <v>8601</v>
      </c>
      <c r="J1163" s="22" t="n">
        <v>7.55</v>
      </c>
      <c r="K1163" s="22" t="n">
        <v>1</v>
      </c>
      <c r="L1163" s="22" t="s">
        <v>8605</v>
      </c>
      <c r="M1163" s="23" t="n">
        <v>45902</v>
      </c>
      <c r="N1163" s="23" t="n">
        <v>45900</v>
      </c>
      <c r="O1163" s="22" t="n">
        <v>12</v>
      </c>
      <c r="P1163" s="22"/>
      <c r="Q1163" s="22" t="s">
        <v>10050</v>
      </c>
      <c r="R1163" s="22"/>
    </row>
    <row r="1164" customFormat="false" ht="15" hidden="false" customHeight="false" outlineLevel="0" collapsed="false">
      <c r="A1164" s="22" t="s">
        <v>10051</v>
      </c>
      <c r="B1164" s="23" t="n">
        <v>45870</v>
      </c>
      <c r="C1164" s="22" t="s">
        <v>6057</v>
      </c>
      <c r="D1164" s="22" t="n">
        <v>2658</v>
      </c>
      <c r="E1164" s="22" t="s">
        <v>7896</v>
      </c>
      <c r="F1164" s="22" t="s">
        <v>215</v>
      </c>
      <c r="G1164" s="22" t="n">
        <v>70</v>
      </c>
      <c r="H1164" s="22" t="s">
        <v>7696</v>
      </c>
      <c r="I1164" s="22" t="s">
        <v>8601</v>
      </c>
      <c r="J1164" s="22" t="n">
        <v>7.55</v>
      </c>
      <c r="K1164" s="22" t="n">
        <v>1</v>
      </c>
      <c r="L1164" s="22" t="s">
        <v>8605</v>
      </c>
      <c r="M1164" s="23" t="n">
        <v>45884</v>
      </c>
      <c r="N1164" s="23" t="n">
        <v>45885</v>
      </c>
      <c r="O1164" s="22" t="n">
        <v>15</v>
      </c>
      <c r="P1164" s="22"/>
      <c r="Q1164" s="22" t="s">
        <v>10052</v>
      </c>
      <c r="R1164" s="22"/>
    </row>
    <row r="1165" customFormat="false" ht="15" hidden="false" customHeight="false" outlineLevel="0" collapsed="false">
      <c r="A1165" s="22" t="s">
        <v>10053</v>
      </c>
      <c r="B1165" s="23" t="n">
        <v>45874</v>
      </c>
      <c r="C1165" s="22" t="s">
        <v>3345</v>
      </c>
      <c r="D1165" s="22" t="n">
        <v>1323</v>
      </c>
      <c r="E1165" s="22" t="s">
        <v>7723</v>
      </c>
      <c r="F1165" s="22" t="s">
        <v>215</v>
      </c>
      <c r="G1165" s="22" t="n">
        <v>45</v>
      </c>
      <c r="H1165" s="22" t="s">
        <v>7696</v>
      </c>
      <c r="I1165" s="22" t="s">
        <v>8601</v>
      </c>
      <c r="J1165" s="22" t="n">
        <v>7.55</v>
      </c>
      <c r="K1165" s="22" t="n">
        <v>2</v>
      </c>
      <c r="L1165" s="22" t="s">
        <v>8602</v>
      </c>
      <c r="M1165" s="23" t="n">
        <v>45888</v>
      </c>
      <c r="N1165" s="22"/>
      <c r="O1165" s="22"/>
      <c r="P1165" s="22" t="s">
        <v>8618</v>
      </c>
      <c r="Q1165" s="22"/>
      <c r="R1165" s="22"/>
    </row>
    <row r="1166" customFormat="false" ht="15" hidden="false" customHeight="false" outlineLevel="0" collapsed="false">
      <c r="A1166" s="22" t="s">
        <v>10054</v>
      </c>
      <c r="B1166" s="23" t="n">
        <v>45872</v>
      </c>
      <c r="C1166" s="22" t="s">
        <v>5702</v>
      </c>
      <c r="D1166" s="22" t="n">
        <v>2481</v>
      </c>
      <c r="E1166" s="22" t="s">
        <v>8299</v>
      </c>
      <c r="F1166" s="22" t="s">
        <v>499</v>
      </c>
      <c r="G1166" s="22" t="n">
        <v>32</v>
      </c>
      <c r="H1166" s="22" t="s">
        <v>7696</v>
      </c>
      <c r="I1166" s="22" t="s">
        <v>8601</v>
      </c>
      <c r="J1166" s="22" t="n">
        <v>7.55</v>
      </c>
      <c r="K1166" s="22" t="n">
        <v>1</v>
      </c>
      <c r="L1166" s="22" t="s">
        <v>8602</v>
      </c>
      <c r="M1166" s="23" t="n">
        <v>45886</v>
      </c>
      <c r="N1166" s="22"/>
      <c r="O1166" s="22"/>
      <c r="P1166" s="22" t="s">
        <v>8603</v>
      </c>
      <c r="Q1166" s="22"/>
      <c r="R1166" s="22"/>
    </row>
    <row r="1167" customFormat="false" ht="15" hidden="false" customHeight="false" outlineLevel="0" collapsed="false">
      <c r="A1167" s="22" t="s">
        <v>10055</v>
      </c>
      <c r="B1167" s="23" t="n">
        <v>45874</v>
      </c>
      <c r="C1167" s="22" t="s">
        <v>4456</v>
      </c>
      <c r="D1167" s="22" t="n">
        <v>1866</v>
      </c>
      <c r="E1167" s="22" t="s">
        <v>7890</v>
      </c>
      <c r="F1167" s="22" t="s">
        <v>215</v>
      </c>
      <c r="G1167" s="22" t="n">
        <v>45</v>
      </c>
      <c r="H1167" s="22" t="s">
        <v>7696</v>
      </c>
      <c r="I1167" s="22" t="s">
        <v>8601</v>
      </c>
      <c r="J1167" s="22" t="n">
        <v>7.55</v>
      </c>
      <c r="K1167" s="22" t="n">
        <v>1</v>
      </c>
      <c r="L1167" s="22" t="s">
        <v>8605</v>
      </c>
      <c r="M1167" s="23" t="n">
        <v>45888</v>
      </c>
      <c r="N1167" s="23" t="n">
        <v>45888</v>
      </c>
      <c r="O1167" s="22" t="n">
        <v>14</v>
      </c>
      <c r="P1167" s="22"/>
      <c r="Q1167" s="22" t="s">
        <v>10056</v>
      </c>
      <c r="R1167" s="22"/>
    </row>
    <row r="1168" customFormat="false" ht="15" hidden="false" customHeight="false" outlineLevel="0" collapsed="false">
      <c r="A1168" s="22" t="s">
        <v>10057</v>
      </c>
      <c r="B1168" s="23" t="n">
        <v>45897</v>
      </c>
      <c r="C1168" s="22" t="s">
        <v>4400</v>
      </c>
      <c r="D1168" s="22" t="n">
        <v>1838</v>
      </c>
      <c r="E1168" s="22" t="s">
        <v>6826</v>
      </c>
      <c r="F1168" s="22" t="s">
        <v>198</v>
      </c>
      <c r="G1168" s="22" t="n">
        <v>28</v>
      </c>
      <c r="H1168" s="22" t="s">
        <v>6575</v>
      </c>
      <c r="I1168" s="22" t="s">
        <v>8601</v>
      </c>
      <c r="J1168" s="22" t="n">
        <v>10.4</v>
      </c>
      <c r="K1168" s="22" t="n">
        <v>1</v>
      </c>
      <c r="L1168" s="22" t="s">
        <v>8602</v>
      </c>
      <c r="M1168" s="23" t="n">
        <v>45907</v>
      </c>
      <c r="N1168" s="22"/>
      <c r="O1168" s="22"/>
      <c r="P1168" s="22" t="s">
        <v>8631</v>
      </c>
      <c r="Q1168" s="22"/>
      <c r="R1168" s="22"/>
    </row>
    <row r="1169" customFormat="false" ht="15" hidden="false" customHeight="false" outlineLevel="0" collapsed="false">
      <c r="A1169" s="22" t="s">
        <v>10058</v>
      </c>
      <c r="B1169" s="23" t="n">
        <v>45897</v>
      </c>
      <c r="C1169" s="22" t="s">
        <v>1778</v>
      </c>
      <c r="D1169" s="22" t="n">
        <v>617</v>
      </c>
      <c r="E1169" s="22" t="s">
        <v>7603</v>
      </c>
      <c r="F1169" s="22" t="s">
        <v>159</v>
      </c>
      <c r="G1169" s="22" t="n">
        <v>28</v>
      </c>
      <c r="H1169" s="22" t="s">
        <v>6575</v>
      </c>
      <c r="I1169" s="22" t="s">
        <v>8601</v>
      </c>
      <c r="J1169" s="22" t="n">
        <v>10.4</v>
      </c>
      <c r="K1169" s="22" t="n">
        <v>1</v>
      </c>
      <c r="L1169" s="22" t="s">
        <v>8602</v>
      </c>
      <c r="M1169" s="23" t="n">
        <v>45907</v>
      </c>
      <c r="N1169" s="22"/>
      <c r="O1169" s="22"/>
      <c r="P1169" s="22" t="s">
        <v>8603</v>
      </c>
      <c r="Q1169" s="22"/>
      <c r="R1169" s="22"/>
    </row>
    <row r="1170" customFormat="false" ht="15" hidden="false" customHeight="false" outlineLevel="0" collapsed="false">
      <c r="A1170" s="22" t="s">
        <v>10059</v>
      </c>
      <c r="B1170" s="23" t="n">
        <v>45887</v>
      </c>
      <c r="C1170" s="22" t="s">
        <v>1798</v>
      </c>
      <c r="D1170" s="22" t="n">
        <v>624</v>
      </c>
      <c r="E1170" s="22" t="s">
        <v>7388</v>
      </c>
      <c r="F1170" s="22" t="s">
        <v>159</v>
      </c>
      <c r="G1170" s="22" t="n">
        <v>24</v>
      </c>
      <c r="H1170" s="22" t="s">
        <v>6575</v>
      </c>
      <c r="I1170" s="22" t="s">
        <v>8601</v>
      </c>
      <c r="J1170" s="22" t="n">
        <v>10.4</v>
      </c>
      <c r="K1170" s="22" t="n">
        <v>2</v>
      </c>
      <c r="L1170" s="22" t="s">
        <v>8605</v>
      </c>
      <c r="M1170" s="23" t="n">
        <v>45897</v>
      </c>
      <c r="N1170" s="23" t="n">
        <v>45891</v>
      </c>
      <c r="O1170" s="22" t="n">
        <v>4</v>
      </c>
      <c r="P1170" s="22"/>
      <c r="Q1170" s="22" t="s">
        <v>10060</v>
      </c>
      <c r="R1170" s="22"/>
    </row>
    <row r="1171" customFormat="false" ht="15" hidden="false" customHeight="false" outlineLevel="0" collapsed="false">
      <c r="A1171" s="22" t="s">
        <v>10061</v>
      </c>
      <c r="B1171" s="23" t="n">
        <v>45887</v>
      </c>
      <c r="C1171" s="22" t="s">
        <v>2295</v>
      </c>
      <c r="D1171" s="22" t="n">
        <v>843</v>
      </c>
      <c r="E1171" s="22" t="s">
        <v>7122</v>
      </c>
      <c r="F1171" s="22" t="s">
        <v>198</v>
      </c>
      <c r="G1171" s="22" t="n">
        <v>40</v>
      </c>
      <c r="H1171" s="22" t="s">
        <v>6575</v>
      </c>
      <c r="I1171" s="22" t="s">
        <v>8601</v>
      </c>
      <c r="J1171" s="22" t="n">
        <v>10.4</v>
      </c>
      <c r="K1171" s="22" t="n">
        <v>2</v>
      </c>
      <c r="L1171" s="22" t="s">
        <v>8605</v>
      </c>
      <c r="M1171" s="23" t="n">
        <v>45897</v>
      </c>
      <c r="N1171" s="23" t="n">
        <v>45896</v>
      </c>
      <c r="O1171" s="22" t="n">
        <v>9</v>
      </c>
      <c r="P1171" s="22"/>
      <c r="Q1171" s="22" t="s">
        <v>10062</v>
      </c>
      <c r="R1171" s="22"/>
    </row>
    <row r="1172" customFormat="false" ht="15" hidden="false" customHeight="false" outlineLevel="0" collapsed="false">
      <c r="A1172" s="22" t="s">
        <v>10063</v>
      </c>
      <c r="B1172" s="23" t="n">
        <v>45888</v>
      </c>
      <c r="C1172" s="22" t="s">
        <v>2295</v>
      </c>
      <c r="D1172" s="22" t="n">
        <v>843</v>
      </c>
      <c r="E1172" s="22" t="s">
        <v>8350</v>
      </c>
      <c r="F1172" s="22" t="s">
        <v>188</v>
      </c>
      <c r="G1172" s="22" t="n">
        <v>32</v>
      </c>
      <c r="H1172" s="22" t="s">
        <v>7696</v>
      </c>
      <c r="I1172" s="22" t="s">
        <v>8601</v>
      </c>
      <c r="J1172" s="22" t="n">
        <v>7.55</v>
      </c>
      <c r="K1172" s="22" t="n">
        <v>2</v>
      </c>
      <c r="L1172" s="22" t="s">
        <v>8602</v>
      </c>
      <c r="M1172" s="23" t="n">
        <v>45902</v>
      </c>
      <c r="N1172" s="22"/>
      <c r="O1172" s="22"/>
      <c r="P1172" s="22" t="s">
        <v>8637</v>
      </c>
      <c r="Q1172" s="22"/>
      <c r="R1172" s="22"/>
    </row>
    <row r="1173" customFormat="false" ht="15" hidden="false" customHeight="false" outlineLevel="0" collapsed="false">
      <c r="A1173" s="22" t="s">
        <v>10064</v>
      </c>
      <c r="B1173" s="23" t="n">
        <v>45925</v>
      </c>
      <c r="C1173" s="22" t="s">
        <v>4347</v>
      </c>
      <c r="D1173" s="22" t="n">
        <v>1812</v>
      </c>
      <c r="E1173" s="22" t="s">
        <v>7630</v>
      </c>
      <c r="F1173" s="22" t="s">
        <v>159</v>
      </c>
      <c r="G1173" s="22" t="n">
        <v>28</v>
      </c>
      <c r="H1173" s="22" t="s">
        <v>6575</v>
      </c>
      <c r="I1173" s="22" t="s">
        <v>8601</v>
      </c>
      <c r="J1173" s="22" t="n">
        <v>10.4</v>
      </c>
      <c r="K1173" s="22" t="n">
        <v>1</v>
      </c>
      <c r="L1173" s="22" t="s">
        <v>8605</v>
      </c>
      <c r="M1173" s="23" t="n">
        <v>45935</v>
      </c>
      <c r="N1173" s="23" t="n">
        <v>45931</v>
      </c>
      <c r="O1173" s="22" t="n">
        <v>6</v>
      </c>
      <c r="P1173" s="22"/>
      <c r="Q1173" s="22" t="s">
        <v>9826</v>
      </c>
      <c r="R1173" s="22"/>
    </row>
    <row r="1174" customFormat="false" ht="15" hidden="false" customHeight="false" outlineLevel="0" collapsed="false">
      <c r="A1174" s="22" t="s">
        <v>10065</v>
      </c>
      <c r="B1174" s="23" t="n">
        <v>45910</v>
      </c>
      <c r="C1174" s="22" t="s">
        <v>5083</v>
      </c>
      <c r="D1174" s="22" t="n">
        <v>2173</v>
      </c>
      <c r="E1174" s="22" t="s">
        <v>7959</v>
      </c>
      <c r="F1174" s="22" t="s">
        <v>215</v>
      </c>
      <c r="G1174" s="22" t="n">
        <v>40</v>
      </c>
      <c r="H1174" s="22" t="s">
        <v>7696</v>
      </c>
      <c r="I1174" s="22" t="s">
        <v>8601</v>
      </c>
      <c r="J1174" s="22" t="n">
        <v>7.55</v>
      </c>
      <c r="K1174" s="22" t="n">
        <v>2</v>
      </c>
      <c r="L1174" s="22" t="s">
        <v>8629</v>
      </c>
      <c r="M1174" s="23" t="n">
        <v>45924</v>
      </c>
      <c r="N1174" s="23" t="n">
        <v>45924</v>
      </c>
      <c r="O1174" s="22" t="n">
        <v>14</v>
      </c>
      <c r="P1174" s="22"/>
      <c r="Q1174" s="22"/>
      <c r="R1174" s="22"/>
    </row>
    <row r="1175" customFormat="false" ht="15" hidden="false" customHeight="false" outlineLevel="0" collapsed="false">
      <c r="A1175" s="22" t="s">
        <v>10066</v>
      </c>
      <c r="B1175" s="23" t="n">
        <v>45903</v>
      </c>
      <c r="C1175" s="22" t="s">
        <v>5333</v>
      </c>
      <c r="D1175" s="22" t="n">
        <v>2297</v>
      </c>
      <c r="E1175" s="22" t="s">
        <v>8271</v>
      </c>
      <c r="F1175" s="22" t="s">
        <v>499</v>
      </c>
      <c r="G1175" s="22" t="n">
        <v>32</v>
      </c>
      <c r="H1175" s="22" t="s">
        <v>7696</v>
      </c>
      <c r="I1175" s="22" t="s">
        <v>8601</v>
      </c>
      <c r="J1175" s="22" t="n">
        <v>7.55</v>
      </c>
      <c r="K1175" s="22" t="n">
        <v>1</v>
      </c>
      <c r="L1175" s="22" t="s">
        <v>8605</v>
      </c>
      <c r="M1175" s="23" t="n">
        <v>45917</v>
      </c>
      <c r="N1175" s="23" t="n">
        <v>45918</v>
      </c>
      <c r="O1175" s="22" t="n">
        <v>15</v>
      </c>
      <c r="P1175" s="22"/>
      <c r="Q1175" s="22" t="s">
        <v>9946</v>
      </c>
      <c r="R1175" s="22"/>
    </row>
    <row r="1176" customFormat="false" ht="15" hidden="false" customHeight="false" outlineLevel="0" collapsed="false">
      <c r="A1176" s="22" t="s">
        <v>10067</v>
      </c>
      <c r="B1176" s="23" t="n">
        <v>45903</v>
      </c>
      <c r="C1176" s="22" t="s">
        <v>1980</v>
      </c>
      <c r="D1176" s="22" t="n">
        <v>703</v>
      </c>
      <c r="E1176" s="22" t="s">
        <v>7524</v>
      </c>
      <c r="F1176" s="22" t="s">
        <v>159</v>
      </c>
      <c r="G1176" s="22" t="n">
        <v>24</v>
      </c>
      <c r="H1176" s="22" t="s">
        <v>6575</v>
      </c>
      <c r="I1176" s="22" t="s">
        <v>8601</v>
      </c>
      <c r="J1176" s="22" t="n">
        <v>10.4</v>
      </c>
      <c r="K1176" s="22" t="n">
        <v>2</v>
      </c>
      <c r="L1176" s="22" t="s">
        <v>8605</v>
      </c>
      <c r="M1176" s="23" t="n">
        <v>45913</v>
      </c>
      <c r="N1176" s="23" t="n">
        <v>45915</v>
      </c>
      <c r="O1176" s="22" t="n">
        <v>12</v>
      </c>
      <c r="P1176" s="22"/>
      <c r="Q1176" s="22" t="s">
        <v>10025</v>
      </c>
      <c r="R1176" s="22"/>
    </row>
    <row r="1177" customFormat="false" ht="15" hidden="false" customHeight="false" outlineLevel="0" collapsed="false">
      <c r="A1177" s="22" t="s">
        <v>10068</v>
      </c>
      <c r="B1177" s="23" t="n">
        <v>45923</v>
      </c>
      <c r="C1177" s="22" t="s">
        <v>4621</v>
      </c>
      <c r="D1177" s="22" t="n">
        <v>1946</v>
      </c>
      <c r="E1177" s="22" t="s">
        <v>8157</v>
      </c>
      <c r="F1177" s="22" t="s">
        <v>499</v>
      </c>
      <c r="G1177" s="22" t="n">
        <v>80</v>
      </c>
      <c r="H1177" s="22" t="s">
        <v>7696</v>
      </c>
      <c r="I1177" s="22" t="s">
        <v>8601</v>
      </c>
      <c r="J1177" s="22" t="n">
        <v>7.55</v>
      </c>
      <c r="K1177" s="22" t="n">
        <v>1</v>
      </c>
      <c r="L1177" s="22" t="s">
        <v>8605</v>
      </c>
      <c r="M1177" s="23" t="n">
        <v>45937</v>
      </c>
      <c r="N1177" s="23" t="n">
        <v>45933</v>
      </c>
      <c r="O1177" s="22" t="n">
        <v>10</v>
      </c>
      <c r="P1177" s="22"/>
      <c r="Q1177" s="22" t="s">
        <v>9887</v>
      </c>
      <c r="R1177" s="22"/>
    </row>
    <row r="1178" customFormat="false" ht="15" hidden="false" customHeight="false" outlineLevel="0" collapsed="false">
      <c r="A1178" s="22" t="s">
        <v>10069</v>
      </c>
      <c r="B1178" s="23" t="n">
        <v>45906</v>
      </c>
      <c r="C1178" s="22" t="s">
        <v>4177</v>
      </c>
      <c r="D1178" s="22" t="n">
        <v>1729</v>
      </c>
      <c r="E1178" s="22" t="s">
        <v>6872</v>
      </c>
      <c r="F1178" s="22" t="s">
        <v>198</v>
      </c>
      <c r="G1178" s="22" t="n">
        <v>28</v>
      </c>
      <c r="H1178" s="22" t="s">
        <v>6575</v>
      </c>
      <c r="I1178" s="22" t="s">
        <v>8601</v>
      </c>
      <c r="J1178" s="22" t="n">
        <v>10.4</v>
      </c>
      <c r="K1178" s="22" t="n">
        <v>1</v>
      </c>
      <c r="L1178" s="22" t="s">
        <v>8605</v>
      </c>
      <c r="M1178" s="23" t="n">
        <v>45916</v>
      </c>
      <c r="N1178" s="23" t="n">
        <v>45919</v>
      </c>
      <c r="O1178" s="22" t="n">
        <v>13</v>
      </c>
      <c r="P1178" s="22"/>
      <c r="Q1178" s="22" t="s">
        <v>10070</v>
      </c>
      <c r="R1178" s="22"/>
    </row>
    <row r="1179" customFormat="false" ht="15" hidden="false" customHeight="false" outlineLevel="0" collapsed="false">
      <c r="A1179" s="22" t="s">
        <v>10071</v>
      </c>
      <c r="B1179" s="23" t="n">
        <v>45907</v>
      </c>
      <c r="C1179" s="22" t="s">
        <v>5989</v>
      </c>
      <c r="D1179" s="22" t="n">
        <v>2625</v>
      </c>
      <c r="E1179" s="22" t="s">
        <v>8334</v>
      </c>
      <c r="F1179" s="22" t="s">
        <v>499</v>
      </c>
      <c r="G1179" s="22" t="n">
        <v>45</v>
      </c>
      <c r="H1179" s="22" t="s">
        <v>7696</v>
      </c>
      <c r="I1179" s="22" t="s">
        <v>8601</v>
      </c>
      <c r="J1179" s="22" t="n">
        <v>7.55</v>
      </c>
      <c r="K1179" s="22" t="n">
        <v>1</v>
      </c>
      <c r="L1179" s="22" t="s">
        <v>8605</v>
      </c>
      <c r="M1179" s="23" t="n">
        <v>45921</v>
      </c>
      <c r="N1179" s="23" t="n">
        <v>45919</v>
      </c>
      <c r="O1179" s="22" t="n">
        <v>12</v>
      </c>
      <c r="P1179" s="22"/>
      <c r="Q1179" s="22" t="s">
        <v>10072</v>
      </c>
      <c r="R1179" s="22"/>
    </row>
    <row r="1180" customFormat="false" ht="15" hidden="false" customHeight="false" outlineLevel="0" collapsed="false">
      <c r="A1180" s="22" t="s">
        <v>10073</v>
      </c>
      <c r="B1180" s="23" t="n">
        <v>45911</v>
      </c>
      <c r="C1180" s="22" t="s">
        <v>6544</v>
      </c>
      <c r="D1180" s="22" t="n">
        <v>2905</v>
      </c>
      <c r="E1180" s="22" t="s">
        <v>7998</v>
      </c>
      <c r="F1180" s="22" t="s">
        <v>215</v>
      </c>
      <c r="G1180" s="22" t="n">
        <v>32</v>
      </c>
      <c r="H1180" s="22" t="s">
        <v>7696</v>
      </c>
      <c r="I1180" s="22" t="s">
        <v>8601</v>
      </c>
      <c r="J1180" s="22" t="n">
        <v>7.55</v>
      </c>
      <c r="K1180" s="22" t="n">
        <v>1</v>
      </c>
      <c r="L1180" s="22" t="s">
        <v>8629</v>
      </c>
      <c r="M1180" s="23" t="n">
        <v>45925</v>
      </c>
      <c r="N1180" s="23" t="n">
        <v>45928</v>
      </c>
      <c r="O1180" s="22" t="n">
        <v>17</v>
      </c>
      <c r="P1180" s="22"/>
      <c r="Q1180" s="22"/>
      <c r="R1180" s="22"/>
    </row>
    <row r="1181" customFormat="false" ht="15" hidden="false" customHeight="false" outlineLevel="0" collapsed="false">
      <c r="A1181" s="22" t="s">
        <v>10074</v>
      </c>
      <c r="B1181" s="23" t="n">
        <v>45911</v>
      </c>
      <c r="C1181" s="22" t="s">
        <v>5627</v>
      </c>
      <c r="D1181" s="22" t="n">
        <v>2444</v>
      </c>
      <c r="E1181" s="22" t="s">
        <v>6814</v>
      </c>
      <c r="F1181" s="22" t="s">
        <v>198</v>
      </c>
      <c r="G1181" s="22" t="n">
        <v>32</v>
      </c>
      <c r="H1181" s="22" t="s">
        <v>6575</v>
      </c>
      <c r="I1181" s="22" t="s">
        <v>8601</v>
      </c>
      <c r="J1181" s="22" t="n">
        <v>10.4</v>
      </c>
      <c r="K1181" s="22" t="n">
        <v>1</v>
      </c>
      <c r="L1181" s="22" t="s">
        <v>8605</v>
      </c>
      <c r="M1181" s="23" t="n">
        <v>45921</v>
      </c>
      <c r="N1181" s="23" t="n">
        <v>45922</v>
      </c>
      <c r="O1181" s="22" t="n">
        <v>11</v>
      </c>
      <c r="P1181" s="22"/>
      <c r="Q1181" s="22" t="s">
        <v>9910</v>
      </c>
      <c r="R1181" s="22"/>
    </row>
    <row r="1182" customFormat="false" ht="15" hidden="false" customHeight="false" outlineLevel="0" collapsed="false">
      <c r="A1182" s="22" t="s">
        <v>10075</v>
      </c>
      <c r="B1182" s="23" t="n">
        <v>45917</v>
      </c>
      <c r="C1182" s="22" t="s">
        <v>2008</v>
      </c>
      <c r="D1182" s="22" t="n">
        <v>715</v>
      </c>
      <c r="E1182" s="22" t="s">
        <v>8087</v>
      </c>
      <c r="F1182" s="22" t="s">
        <v>499</v>
      </c>
      <c r="G1182" s="22" t="n">
        <v>80</v>
      </c>
      <c r="H1182" s="22" t="s">
        <v>7696</v>
      </c>
      <c r="I1182" s="22" t="s">
        <v>8601</v>
      </c>
      <c r="J1182" s="22" t="n">
        <v>7.55</v>
      </c>
      <c r="K1182" s="22" t="n">
        <v>2</v>
      </c>
      <c r="L1182" s="22" t="s">
        <v>8602</v>
      </c>
      <c r="M1182" s="23" t="n">
        <v>45931</v>
      </c>
      <c r="N1182" s="22"/>
      <c r="O1182" s="22"/>
      <c r="P1182" s="22" t="s">
        <v>8603</v>
      </c>
      <c r="Q1182" s="22"/>
      <c r="R1182" s="22"/>
    </row>
    <row r="1183" customFormat="false" ht="15" hidden="false" customHeight="false" outlineLevel="0" collapsed="false">
      <c r="A1183" s="22" t="s">
        <v>10076</v>
      </c>
      <c r="B1183" s="23" t="n">
        <v>45903</v>
      </c>
      <c r="C1183" s="22" t="s">
        <v>1092</v>
      </c>
      <c r="D1183" s="22" t="n">
        <v>334</v>
      </c>
      <c r="E1183" s="22" t="s">
        <v>6897</v>
      </c>
      <c r="F1183" s="22" t="s">
        <v>198</v>
      </c>
      <c r="G1183" s="22" t="n">
        <v>28</v>
      </c>
      <c r="H1183" s="22" t="s">
        <v>6575</v>
      </c>
      <c r="I1183" s="22" t="s">
        <v>8601</v>
      </c>
      <c r="J1183" s="22" t="n">
        <v>10.4</v>
      </c>
      <c r="K1183" s="22" t="n">
        <v>1</v>
      </c>
      <c r="L1183" s="22" t="s">
        <v>8602</v>
      </c>
      <c r="M1183" s="23" t="n">
        <v>45913</v>
      </c>
      <c r="N1183" s="22"/>
      <c r="O1183" s="22"/>
      <c r="P1183" s="22" t="s">
        <v>8618</v>
      </c>
      <c r="Q1183" s="22"/>
      <c r="R1183" s="22"/>
    </row>
    <row r="1184" customFormat="false" ht="15" hidden="false" customHeight="false" outlineLevel="0" collapsed="false">
      <c r="A1184" s="22" t="s">
        <v>10077</v>
      </c>
      <c r="B1184" s="23" t="n">
        <v>45905</v>
      </c>
      <c r="C1184" s="22" t="s">
        <v>6528</v>
      </c>
      <c r="D1184" s="22" t="n">
        <v>2897</v>
      </c>
      <c r="E1184" s="22" t="s">
        <v>8442</v>
      </c>
      <c r="F1184" s="22" t="s">
        <v>188</v>
      </c>
      <c r="G1184" s="22" t="n">
        <v>28</v>
      </c>
      <c r="H1184" s="22" t="s">
        <v>7696</v>
      </c>
      <c r="I1184" s="22" t="s">
        <v>8601</v>
      </c>
      <c r="J1184" s="22" t="n">
        <v>7.55</v>
      </c>
      <c r="K1184" s="22" t="n">
        <v>1</v>
      </c>
      <c r="L1184" s="22" t="s">
        <v>8605</v>
      </c>
      <c r="M1184" s="23" t="n">
        <v>45919</v>
      </c>
      <c r="N1184" s="23" t="n">
        <v>45912</v>
      </c>
      <c r="O1184" s="22" t="n">
        <v>7</v>
      </c>
      <c r="P1184" s="22"/>
      <c r="Q1184" s="22" t="s">
        <v>10078</v>
      </c>
      <c r="R1184" s="22"/>
    </row>
    <row r="1185" customFormat="false" ht="15" hidden="false" customHeight="false" outlineLevel="0" collapsed="false">
      <c r="A1185" s="22" t="s">
        <v>10079</v>
      </c>
      <c r="B1185" s="23" t="n">
        <v>45911</v>
      </c>
      <c r="C1185" s="22" t="s">
        <v>4265</v>
      </c>
      <c r="D1185" s="22" t="n">
        <v>1772</v>
      </c>
      <c r="E1185" s="22" t="s">
        <v>8138</v>
      </c>
      <c r="F1185" s="22" t="s">
        <v>499</v>
      </c>
      <c r="G1185" s="22" t="n">
        <v>60</v>
      </c>
      <c r="H1185" s="22" t="s">
        <v>7696</v>
      </c>
      <c r="I1185" s="22" t="s">
        <v>8601</v>
      </c>
      <c r="J1185" s="22" t="n">
        <v>7.55</v>
      </c>
      <c r="K1185" s="22" t="n">
        <v>1</v>
      </c>
      <c r="L1185" s="22" t="s">
        <v>8613</v>
      </c>
      <c r="M1185" s="23" t="n">
        <v>45925</v>
      </c>
      <c r="N1185" s="22"/>
      <c r="O1185" s="22"/>
      <c r="P1185" s="22"/>
      <c r="Q1185" s="22"/>
      <c r="R1185" s="22"/>
    </row>
    <row r="1186" customFormat="false" ht="15" hidden="false" customHeight="false" outlineLevel="0" collapsed="false">
      <c r="A1186" s="22" t="s">
        <v>10080</v>
      </c>
      <c r="B1186" s="23" t="n">
        <v>45917</v>
      </c>
      <c r="C1186" s="22" t="s">
        <v>3560</v>
      </c>
      <c r="D1186" s="22" t="n">
        <v>1428</v>
      </c>
      <c r="E1186" s="22" t="s">
        <v>8350</v>
      </c>
      <c r="F1186" s="22" t="s">
        <v>188</v>
      </c>
      <c r="G1186" s="22" t="n">
        <v>32</v>
      </c>
      <c r="H1186" s="22" t="s">
        <v>7696</v>
      </c>
      <c r="I1186" s="22" t="s">
        <v>8601</v>
      </c>
      <c r="J1186" s="22" t="n">
        <v>7.55</v>
      </c>
      <c r="K1186" s="22" t="n">
        <v>2</v>
      </c>
      <c r="L1186" s="22" t="s">
        <v>8602</v>
      </c>
      <c r="M1186" s="23" t="n">
        <v>45931</v>
      </c>
      <c r="N1186" s="22"/>
      <c r="O1186" s="22"/>
      <c r="P1186" s="22" t="s">
        <v>8603</v>
      </c>
      <c r="Q1186" s="22"/>
      <c r="R1186" s="22"/>
    </row>
    <row r="1187" customFormat="false" ht="15" hidden="false" customHeight="false" outlineLevel="0" collapsed="false">
      <c r="A1187" s="22" t="s">
        <v>10081</v>
      </c>
      <c r="B1187" s="23" t="n">
        <v>45909</v>
      </c>
      <c r="C1187" s="22" t="s">
        <v>5156</v>
      </c>
      <c r="D1187" s="22" t="n">
        <v>2209</v>
      </c>
      <c r="E1187" s="22" t="s">
        <v>8532</v>
      </c>
      <c r="F1187" s="22" t="s">
        <v>188</v>
      </c>
      <c r="G1187" s="22" t="n">
        <v>80</v>
      </c>
      <c r="H1187" s="22" t="s">
        <v>7696</v>
      </c>
      <c r="I1187" s="22" t="s">
        <v>8601</v>
      </c>
      <c r="J1187" s="22" t="n">
        <v>7.55</v>
      </c>
      <c r="K1187" s="22" t="n">
        <v>2</v>
      </c>
      <c r="L1187" s="22" t="s">
        <v>8605</v>
      </c>
      <c r="M1187" s="23" t="n">
        <v>45923</v>
      </c>
      <c r="N1187" s="23" t="n">
        <v>45911</v>
      </c>
      <c r="O1187" s="22" t="n">
        <v>2</v>
      </c>
      <c r="P1187" s="22"/>
      <c r="Q1187" s="22" t="s">
        <v>9832</v>
      </c>
      <c r="R1187" s="22"/>
    </row>
    <row r="1188" customFormat="false" ht="15" hidden="false" customHeight="false" outlineLevel="0" collapsed="false">
      <c r="A1188" s="22" t="s">
        <v>10082</v>
      </c>
      <c r="B1188" s="23" t="n">
        <v>45904</v>
      </c>
      <c r="C1188" s="22" t="s">
        <v>3178</v>
      </c>
      <c r="D1188" s="22" t="n">
        <v>1244</v>
      </c>
      <c r="E1188" s="22" t="s">
        <v>8170</v>
      </c>
      <c r="F1188" s="22" t="s">
        <v>499</v>
      </c>
      <c r="G1188" s="22" t="n">
        <v>24</v>
      </c>
      <c r="H1188" s="22" t="s">
        <v>7696</v>
      </c>
      <c r="I1188" s="22" t="s">
        <v>8601</v>
      </c>
      <c r="J1188" s="22" t="n">
        <v>7.55</v>
      </c>
      <c r="K1188" s="22" t="n">
        <v>1</v>
      </c>
      <c r="L1188" s="22" t="s">
        <v>8613</v>
      </c>
      <c r="M1188" s="23" t="n">
        <v>45918</v>
      </c>
      <c r="N1188" s="22"/>
      <c r="O1188" s="22"/>
      <c r="P1188" s="22"/>
      <c r="Q1188" s="22"/>
      <c r="R1188" s="22"/>
    </row>
    <row r="1189" customFormat="false" ht="15" hidden="false" customHeight="false" outlineLevel="0" collapsed="false">
      <c r="A1189" s="22" t="s">
        <v>10083</v>
      </c>
      <c r="B1189" s="23" t="n">
        <v>45922</v>
      </c>
      <c r="C1189" s="22" t="s">
        <v>6455</v>
      </c>
      <c r="D1189" s="22" t="n">
        <v>2861</v>
      </c>
      <c r="E1189" s="22" t="s">
        <v>7338</v>
      </c>
      <c r="F1189" s="22" t="s">
        <v>159</v>
      </c>
      <c r="G1189" s="22" t="n">
        <v>36</v>
      </c>
      <c r="H1189" s="22" t="s">
        <v>6575</v>
      </c>
      <c r="I1189" s="22" t="s">
        <v>8601</v>
      </c>
      <c r="J1189" s="22" t="n">
        <v>10.4</v>
      </c>
      <c r="K1189" s="22" t="n">
        <v>1</v>
      </c>
      <c r="L1189" s="22" t="s">
        <v>8602</v>
      </c>
      <c r="M1189" s="23" t="n">
        <v>45932</v>
      </c>
      <c r="N1189" s="22"/>
      <c r="O1189" s="22"/>
      <c r="P1189" s="22" t="s">
        <v>8618</v>
      </c>
      <c r="Q1189" s="22"/>
      <c r="R1189" s="22"/>
    </row>
    <row r="1190" customFormat="false" ht="15" hidden="false" customHeight="false" outlineLevel="0" collapsed="false">
      <c r="A1190" s="22" t="s">
        <v>10084</v>
      </c>
      <c r="B1190" s="23" t="n">
        <v>45920</v>
      </c>
      <c r="C1190" s="22" t="s">
        <v>2977</v>
      </c>
      <c r="D1190" s="22" t="n">
        <v>1153</v>
      </c>
      <c r="E1190" s="22" t="s">
        <v>6615</v>
      </c>
      <c r="F1190" s="22" t="s">
        <v>198</v>
      </c>
      <c r="G1190" s="22" t="n">
        <v>36</v>
      </c>
      <c r="H1190" s="22" t="s">
        <v>6575</v>
      </c>
      <c r="I1190" s="22" t="s">
        <v>8601</v>
      </c>
      <c r="J1190" s="22" t="n">
        <v>10.4</v>
      </c>
      <c r="K1190" s="22" t="n">
        <v>1</v>
      </c>
      <c r="L1190" s="22" t="s">
        <v>8602</v>
      </c>
      <c r="M1190" s="23" t="n">
        <v>45930</v>
      </c>
      <c r="N1190" s="22"/>
      <c r="O1190" s="22"/>
      <c r="P1190" s="22" t="s">
        <v>8637</v>
      </c>
      <c r="Q1190" s="22"/>
      <c r="R1190" s="22"/>
    </row>
    <row r="1191" customFormat="false" ht="15" hidden="false" customHeight="false" outlineLevel="0" collapsed="false">
      <c r="A1191" s="22" t="s">
        <v>10085</v>
      </c>
      <c r="B1191" s="23" t="n">
        <v>45916</v>
      </c>
      <c r="C1191" s="22" t="s">
        <v>5420</v>
      </c>
      <c r="D1191" s="22" t="n">
        <v>2341</v>
      </c>
      <c r="E1191" s="22" t="s">
        <v>8394</v>
      </c>
      <c r="F1191" s="22" t="s">
        <v>188</v>
      </c>
      <c r="G1191" s="22" t="n">
        <v>32</v>
      </c>
      <c r="H1191" s="22" t="s">
        <v>7696</v>
      </c>
      <c r="I1191" s="22" t="s">
        <v>8601</v>
      </c>
      <c r="J1191" s="22" t="n">
        <v>7.55</v>
      </c>
      <c r="K1191" s="22" t="n">
        <v>2</v>
      </c>
      <c r="L1191" s="22" t="s">
        <v>8605</v>
      </c>
      <c r="M1191" s="23" t="n">
        <v>45930</v>
      </c>
      <c r="N1191" s="23" t="n">
        <v>45922</v>
      </c>
      <c r="O1191" s="22" t="n">
        <v>6</v>
      </c>
      <c r="P1191" s="22"/>
      <c r="Q1191" s="22" t="s">
        <v>10086</v>
      </c>
      <c r="R1191" s="22"/>
    </row>
    <row r="1192" customFormat="false" ht="15" hidden="false" customHeight="false" outlineLevel="0" collapsed="false">
      <c r="A1192" s="22" t="s">
        <v>10087</v>
      </c>
      <c r="B1192" s="23" t="n">
        <v>45915</v>
      </c>
      <c r="C1192" s="22" t="s">
        <v>4201</v>
      </c>
      <c r="D1192" s="22" t="n">
        <v>1741</v>
      </c>
      <c r="E1192" s="22" t="s">
        <v>8006</v>
      </c>
      <c r="F1192" s="22" t="s">
        <v>215</v>
      </c>
      <c r="G1192" s="22" t="n">
        <v>32</v>
      </c>
      <c r="H1192" s="22" t="s">
        <v>7696</v>
      </c>
      <c r="I1192" s="22" t="s">
        <v>8601</v>
      </c>
      <c r="J1192" s="22" t="n">
        <v>7.55</v>
      </c>
      <c r="K1192" s="22" t="n">
        <v>1</v>
      </c>
      <c r="L1192" s="22" t="s">
        <v>8605</v>
      </c>
      <c r="M1192" s="23" t="n">
        <v>45929</v>
      </c>
      <c r="N1192" s="23" t="n">
        <v>45928</v>
      </c>
      <c r="O1192" s="22" t="n">
        <v>13</v>
      </c>
      <c r="P1192" s="22"/>
      <c r="Q1192" s="22" t="s">
        <v>10088</v>
      </c>
      <c r="R1192" s="22"/>
    </row>
    <row r="1193" customFormat="false" ht="15" hidden="false" customHeight="false" outlineLevel="0" collapsed="false">
      <c r="A1193" s="22" t="s">
        <v>10089</v>
      </c>
      <c r="B1193" s="23" t="n">
        <v>45920</v>
      </c>
      <c r="C1193" s="22" t="s">
        <v>1417</v>
      </c>
      <c r="D1193" s="22" t="n">
        <v>466</v>
      </c>
      <c r="E1193" s="22" t="s">
        <v>7981</v>
      </c>
      <c r="F1193" s="22" t="s">
        <v>215</v>
      </c>
      <c r="G1193" s="22" t="n">
        <v>70</v>
      </c>
      <c r="H1193" s="22" t="s">
        <v>7696</v>
      </c>
      <c r="I1193" s="22" t="s">
        <v>8601</v>
      </c>
      <c r="J1193" s="22" t="n">
        <v>7.55</v>
      </c>
      <c r="K1193" s="22" t="n">
        <v>1</v>
      </c>
      <c r="L1193" s="22" t="s">
        <v>8605</v>
      </c>
      <c r="M1193" s="23" t="n">
        <v>45934</v>
      </c>
      <c r="N1193" s="23" t="n">
        <v>45932</v>
      </c>
      <c r="O1193" s="22" t="n">
        <v>12</v>
      </c>
      <c r="P1193" s="22"/>
      <c r="Q1193" s="22" t="s">
        <v>10090</v>
      </c>
      <c r="R1193" s="22"/>
    </row>
    <row r="1194" customFormat="false" ht="15" hidden="false" customHeight="false" outlineLevel="0" collapsed="false">
      <c r="A1194" s="22" t="s">
        <v>10091</v>
      </c>
      <c r="B1194" s="23" t="n">
        <v>45925</v>
      </c>
      <c r="C1194" s="22" t="s">
        <v>5258</v>
      </c>
      <c r="D1194" s="22" t="n">
        <v>2259</v>
      </c>
      <c r="E1194" s="22" t="s">
        <v>8493</v>
      </c>
      <c r="F1194" s="22" t="s">
        <v>188</v>
      </c>
      <c r="G1194" s="22" t="n">
        <v>50</v>
      </c>
      <c r="H1194" s="22" t="s">
        <v>7696</v>
      </c>
      <c r="I1194" s="22" t="s">
        <v>8601</v>
      </c>
      <c r="J1194" s="22" t="n">
        <v>7.55</v>
      </c>
      <c r="K1194" s="22" t="n">
        <v>2</v>
      </c>
      <c r="L1194" s="22" t="s">
        <v>8605</v>
      </c>
      <c r="M1194" s="23" t="n">
        <v>45939</v>
      </c>
      <c r="N1194" s="23" t="n">
        <v>45940</v>
      </c>
      <c r="O1194" s="22" t="n">
        <v>15</v>
      </c>
      <c r="P1194" s="22"/>
      <c r="Q1194" s="22" t="s">
        <v>10092</v>
      </c>
      <c r="R1194" s="22"/>
    </row>
    <row r="1195" customFormat="false" ht="15" hidden="false" customHeight="false" outlineLevel="0" collapsed="false">
      <c r="A1195" s="22" t="s">
        <v>10093</v>
      </c>
      <c r="B1195" s="23" t="n">
        <v>45912</v>
      </c>
      <c r="C1195" s="22" t="s">
        <v>4088</v>
      </c>
      <c r="D1195" s="22" t="n">
        <v>1686</v>
      </c>
      <c r="E1195" s="22" t="s">
        <v>7664</v>
      </c>
      <c r="F1195" s="22" t="s">
        <v>159</v>
      </c>
      <c r="G1195" s="22" t="n">
        <v>36</v>
      </c>
      <c r="H1195" s="22" t="s">
        <v>6575</v>
      </c>
      <c r="I1195" s="22" t="s">
        <v>8601</v>
      </c>
      <c r="J1195" s="22" t="n">
        <v>10.4</v>
      </c>
      <c r="K1195" s="22" t="n">
        <v>2</v>
      </c>
      <c r="L1195" s="22" t="s">
        <v>8613</v>
      </c>
      <c r="M1195" s="23" t="n">
        <v>45922</v>
      </c>
      <c r="N1195" s="22"/>
      <c r="O1195" s="22"/>
      <c r="P1195" s="22"/>
      <c r="Q1195" s="22"/>
      <c r="R1195" s="22"/>
    </row>
    <row r="1196" customFormat="false" ht="15" hidden="false" customHeight="false" outlineLevel="0" collapsed="false">
      <c r="A1196" s="22" t="s">
        <v>10094</v>
      </c>
      <c r="B1196" s="23" t="n">
        <v>45923</v>
      </c>
      <c r="C1196" s="22" t="s">
        <v>3597</v>
      </c>
      <c r="D1196" s="22" t="n">
        <v>1445</v>
      </c>
      <c r="E1196" s="22" t="s">
        <v>8394</v>
      </c>
      <c r="F1196" s="22" t="s">
        <v>188</v>
      </c>
      <c r="G1196" s="22" t="n">
        <v>32</v>
      </c>
      <c r="H1196" s="22" t="s">
        <v>7696</v>
      </c>
      <c r="I1196" s="22" t="s">
        <v>8601</v>
      </c>
      <c r="J1196" s="22" t="n">
        <v>7.55</v>
      </c>
      <c r="K1196" s="22" t="n">
        <v>1</v>
      </c>
      <c r="L1196" s="22" t="s">
        <v>8602</v>
      </c>
      <c r="M1196" s="23" t="n">
        <v>45937</v>
      </c>
      <c r="N1196" s="22"/>
      <c r="O1196" s="22"/>
      <c r="P1196" s="22" t="s">
        <v>8603</v>
      </c>
      <c r="Q1196" s="22"/>
      <c r="R1196" s="22"/>
    </row>
    <row r="1197" customFormat="false" ht="15" hidden="false" customHeight="false" outlineLevel="0" collapsed="false">
      <c r="A1197" s="22" t="s">
        <v>10095</v>
      </c>
      <c r="B1197" s="23" t="n">
        <v>45904</v>
      </c>
      <c r="C1197" s="22" t="s">
        <v>2608</v>
      </c>
      <c r="D1197" s="22" t="n">
        <v>986</v>
      </c>
      <c r="E1197" s="22" t="s">
        <v>8488</v>
      </c>
      <c r="F1197" s="22" t="s">
        <v>188</v>
      </c>
      <c r="G1197" s="22" t="n">
        <v>32</v>
      </c>
      <c r="H1197" s="22" t="s">
        <v>7696</v>
      </c>
      <c r="I1197" s="22" t="s">
        <v>8601</v>
      </c>
      <c r="J1197" s="22" t="n">
        <v>7.55</v>
      </c>
      <c r="K1197" s="22" t="n">
        <v>1</v>
      </c>
      <c r="L1197" s="22" t="s">
        <v>8605</v>
      </c>
      <c r="M1197" s="23" t="n">
        <v>45918</v>
      </c>
      <c r="N1197" s="23" t="n">
        <v>45919</v>
      </c>
      <c r="O1197" s="22" t="n">
        <v>15</v>
      </c>
      <c r="P1197" s="22"/>
      <c r="Q1197" s="22" t="s">
        <v>9933</v>
      </c>
      <c r="R1197" s="22"/>
    </row>
    <row r="1198" customFormat="false" ht="15" hidden="false" customHeight="false" outlineLevel="0" collapsed="false">
      <c r="A1198" s="22" t="s">
        <v>10096</v>
      </c>
      <c r="B1198" s="23" t="n">
        <v>45919</v>
      </c>
      <c r="C1198" s="22" t="s">
        <v>4506</v>
      </c>
      <c r="D1198" s="22" t="n">
        <v>1890</v>
      </c>
      <c r="E1198" s="22" t="s">
        <v>7921</v>
      </c>
      <c r="F1198" s="22" t="s">
        <v>215</v>
      </c>
      <c r="G1198" s="22" t="n">
        <v>28</v>
      </c>
      <c r="H1198" s="22" t="s">
        <v>7696</v>
      </c>
      <c r="I1198" s="22" t="s">
        <v>8601</v>
      </c>
      <c r="J1198" s="22" t="n">
        <v>7.55</v>
      </c>
      <c r="K1198" s="22" t="n">
        <v>1</v>
      </c>
      <c r="L1198" s="22" t="s">
        <v>8602</v>
      </c>
      <c r="M1198" s="23" t="n">
        <v>45933</v>
      </c>
      <c r="N1198" s="22"/>
      <c r="O1198" s="22"/>
      <c r="P1198" s="22" t="s">
        <v>8618</v>
      </c>
      <c r="Q1198" s="22"/>
      <c r="R1198" s="22"/>
    </row>
    <row r="1199" customFormat="false" ht="15" hidden="false" customHeight="false" outlineLevel="0" collapsed="false">
      <c r="A1199" s="22" t="s">
        <v>10097</v>
      </c>
      <c r="B1199" s="23" t="n">
        <v>45914</v>
      </c>
      <c r="C1199" s="22" t="s">
        <v>5780</v>
      </c>
      <c r="D1199" s="22" t="n">
        <v>2520</v>
      </c>
      <c r="E1199" s="22" t="s">
        <v>7292</v>
      </c>
      <c r="F1199" s="22" t="s">
        <v>198</v>
      </c>
      <c r="G1199" s="22" t="n">
        <v>24</v>
      </c>
      <c r="H1199" s="22" t="s">
        <v>6575</v>
      </c>
      <c r="I1199" s="22" t="s">
        <v>8601</v>
      </c>
      <c r="J1199" s="22" t="n">
        <v>10.4</v>
      </c>
      <c r="K1199" s="22" t="n">
        <v>1</v>
      </c>
      <c r="L1199" s="22" t="s">
        <v>8605</v>
      </c>
      <c r="M1199" s="23" t="n">
        <v>45924</v>
      </c>
      <c r="N1199" s="23" t="n">
        <v>45921</v>
      </c>
      <c r="O1199" s="22" t="n">
        <v>7</v>
      </c>
      <c r="P1199" s="22"/>
      <c r="Q1199" s="22" t="s">
        <v>10098</v>
      </c>
      <c r="R1199" s="22"/>
    </row>
    <row r="1200" customFormat="false" ht="15" hidden="false" customHeight="false" outlineLevel="0" collapsed="false">
      <c r="A1200" s="22" t="s">
        <v>10099</v>
      </c>
      <c r="B1200" s="23" t="n">
        <v>45920</v>
      </c>
      <c r="C1200" s="22" t="s">
        <v>2446</v>
      </c>
      <c r="D1200" s="22" t="n">
        <v>913</v>
      </c>
      <c r="E1200" s="22" t="s">
        <v>7957</v>
      </c>
      <c r="F1200" s="22" t="s">
        <v>215</v>
      </c>
      <c r="G1200" s="22" t="n">
        <v>24</v>
      </c>
      <c r="H1200" s="22" t="s">
        <v>7696</v>
      </c>
      <c r="I1200" s="22" t="s">
        <v>8601</v>
      </c>
      <c r="J1200" s="22" t="n">
        <v>7.55</v>
      </c>
      <c r="K1200" s="22" t="n">
        <v>2</v>
      </c>
      <c r="L1200" s="22" t="s">
        <v>8602</v>
      </c>
      <c r="M1200" s="23" t="n">
        <v>45934</v>
      </c>
      <c r="N1200" s="22"/>
      <c r="O1200" s="22"/>
      <c r="P1200" s="22" t="s">
        <v>8637</v>
      </c>
      <c r="Q1200" s="22"/>
      <c r="R1200" s="22"/>
    </row>
    <row r="1201" customFormat="false" ht="15" hidden="false" customHeight="false" outlineLevel="0" collapsed="false">
      <c r="A1201" s="22" t="s">
        <v>10100</v>
      </c>
      <c r="B1201" s="23" t="n">
        <v>45927</v>
      </c>
      <c r="C1201" s="22" t="s">
        <v>1554</v>
      </c>
      <c r="D1201" s="22" t="n">
        <v>523</v>
      </c>
      <c r="E1201" s="22" t="s">
        <v>7788</v>
      </c>
      <c r="F1201" s="22" t="s">
        <v>215</v>
      </c>
      <c r="G1201" s="22" t="n">
        <v>24</v>
      </c>
      <c r="H1201" s="22" t="s">
        <v>7696</v>
      </c>
      <c r="I1201" s="22" t="s">
        <v>8601</v>
      </c>
      <c r="J1201" s="22" t="n">
        <v>7.55</v>
      </c>
      <c r="K1201" s="22" t="n">
        <v>1</v>
      </c>
      <c r="L1201" s="22" t="s">
        <v>8605</v>
      </c>
      <c r="M1201" s="23" t="n">
        <v>45941</v>
      </c>
      <c r="N1201" s="23" t="n">
        <v>45941</v>
      </c>
      <c r="O1201" s="22" t="n">
        <v>14</v>
      </c>
      <c r="P1201" s="22"/>
      <c r="Q1201" s="22" t="s">
        <v>10101</v>
      </c>
      <c r="R1201" s="22"/>
    </row>
    <row r="1202" customFormat="false" ht="15" hidden="false" customHeight="false" outlineLevel="0" collapsed="false">
      <c r="A1202" s="22" t="s">
        <v>10102</v>
      </c>
      <c r="B1202" s="23" t="n">
        <v>45909</v>
      </c>
      <c r="C1202" s="22" t="s">
        <v>3010</v>
      </c>
      <c r="D1202" s="22" t="n">
        <v>1167</v>
      </c>
      <c r="E1202" s="22" t="s">
        <v>7382</v>
      </c>
      <c r="F1202" s="22" t="s">
        <v>159</v>
      </c>
      <c r="G1202" s="22" t="n">
        <v>32</v>
      </c>
      <c r="H1202" s="22" t="s">
        <v>6575</v>
      </c>
      <c r="I1202" s="22" t="s">
        <v>8601</v>
      </c>
      <c r="J1202" s="22" t="n">
        <v>10.4</v>
      </c>
      <c r="K1202" s="22" t="n">
        <v>1</v>
      </c>
      <c r="L1202" s="22" t="s">
        <v>8602</v>
      </c>
      <c r="M1202" s="23" t="n">
        <v>45919</v>
      </c>
      <c r="N1202" s="22"/>
      <c r="O1202" s="22"/>
      <c r="P1202" s="22" t="s">
        <v>8603</v>
      </c>
      <c r="Q1202" s="22"/>
      <c r="R1202" s="22"/>
    </row>
    <row r="1203" customFormat="false" ht="15" hidden="false" customHeight="false" outlineLevel="0" collapsed="false">
      <c r="A1203" s="22" t="s">
        <v>10103</v>
      </c>
      <c r="B1203" s="23" t="n">
        <v>45901</v>
      </c>
      <c r="C1203" s="22" t="s">
        <v>2248</v>
      </c>
      <c r="D1203" s="22" t="n">
        <v>822</v>
      </c>
      <c r="E1203" s="22" t="s">
        <v>8287</v>
      </c>
      <c r="F1203" s="22" t="s">
        <v>499</v>
      </c>
      <c r="G1203" s="22" t="n">
        <v>45</v>
      </c>
      <c r="H1203" s="22" t="s">
        <v>7696</v>
      </c>
      <c r="I1203" s="22" t="s">
        <v>8601</v>
      </c>
      <c r="J1203" s="22" t="n">
        <v>7.55</v>
      </c>
      <c r="K1203" s="22" t="n">
        <v>2</v>
      </c>
      <c r="L1203" s="22" t="s">
        <v>157</v>
      </c>
      <c r="M1203" s="23" t="n">
        <v>45915</v>
      </c>
      <c r="N1203" s="23" t="n">
        <v>45905</v>
      </c>
      <c r="O1203" s="22" t="n">
        <v>4</v>
      </c>
      <c r="P1203" s="22"/>
      <c r="Q1203" s="22"/>
      <c r="R1203" s="22"/>
    </row>
    <row r="1204" customFormat="false" ht="15" hidden="false" customHeight="false" outlineLevel="0" collapsed="false">
      <c r="A1204" s="22" t="s">
        <v>10104</v>
      </c>
      <c r="B1204" s="23" t="n">
        <v>45904</v>
      </c>
      <c r="C1204" s="22" t="s">
        <v>1798</v>
      </c>
      <c r="D1204" s="22" t="n">
        <v>624</v>
      </c>
      <c r="E1204" s="22" t="s">
        <v>8180</v>
      </c>
      <c r="F1204" s="22" t="s">
        <v>499</v>
      </c>
      <c r="G1204" s="22" t="n">
        <v>40</v>
      </c>
      <c r="H1204" s="22" t="s">
        <v>7696</v>
      </c>
      <c r="I1204" s="22" t="s">
        <v>8601</v>
      </c>
      <c r="J1204" s="22" t="n">
        <v>7.55</v>
      </c>
      <c r="K1204" s="22" t="n">
        <v>1</v>
      </c>
      <c r="L1204" s="22" t="s">
        <v>8605</v>
      </c>
      <c r="M1204" s="23" t="n">
        <v>45918</v>
      </c>
      <c r="N1204" s="23" t="n">
        <v>45906</v>
      </c>
      <c r="O1204" s="22" t="n">
        <v>2</v>
      </c>
      <c r="P1204" s="22"/>
      <c r="Q1204" s="22" t="s">
        <v>10105</v>
      </c>
      <c r="R1204" s="22"/>
    </row>
    <row r="1205" customFormat="false" ht="15" hidden="false" customHeight="false" outlineLevel="0" collapsed="false">
      <c r="A1205" s="22" t="s">
        <v>10106</v>
      </c>
      <c r="B1205" s="23" t="n">
        <v>45911</v>
      </c>
      <c r="C1205" s="22" t="s">
        <v>5221</v>
      </c>
      <c r="D1205" s="22" t="n">
        <v>2241</v>
      </c>
      <c r="E1205" s="22" t="s">
        <v>8006</v>
      </c>
      <c r="F1205" s="22" t="s">
        <v>215</v>
      </c>
      <c r="G1205" s="22" t="n">
        <v>32</v>
      </c>
      <c r="H1205" s="22" t="s">
        <v>7696</v>
      </c>
      <c r="I1205" s="22" t="s">
        <v>8601</v>
      </c>
      <c r="J1205" s="22" t="n">
        <v>7.55</v>
      </c>
      <c r="K1205" s="22" t="n">
        <v>1</v>
      </c>
      <c r="L1205" s="22" t="s">
        <v>8605</v>
      </c>
      <c r="M1205" s="23" t="n">
        <v>45925</v>
      </c>
      <c r="N1205" s="23" t="n">
        <v>45922</v>
      </c>
      <c r="O1205" s="22" t="n">
        <v>11</v>
      </c>
      <c r="P1205" s="22"/>
      <c r="Q1205" s="22" t="s">
        <v>10088</v>
      </c>
      <c r="R1205" s="22"/>
    </row>
    <row r="1206" customFormat="false" ht="15" hidden="false" customHeight="false" outlineLevel="0" collapsed="false">
      <c r="A1206" s="22" t="s">
        <v>10107</v>
      </c>
      <c r="B1206" s="23" t="n">
        <v>45906</v>
      </c>
      <c r="C1206" s="22" t="s">
        <v>534</v>
      </c>
      <c r="D1206" s="22" t="n">
        <v>127</v>
      </c>
      <c r="E1206" s="22" t="s">
        <v>7367</v>
      </c>
      <c r="F1206" s="22" t="s">
        <v>159</v>
      </c>
      <c r="G1206" s="22" t="n">
        <v>24</v>
      </c>
      <c r="H1206" s="22" t="s">
        <v>6575</v>
      </c>
      <c r="I1206" s="22" t="s">
        <v>8601</v>
      </c>
      <c r="J1206" s="22" t="n">
        <v>10.4</v>
      </c>
      <c r="K1206" s="22" t="n">
        <v>1</v>
      </c>
      <c r="L1206" s="22" t="s">
        <v>8629</v>
      </c>
      <c r="M1206" s="23" t="n">
        <v>45916</v>
      </c>
      <c r="N1206" s="23" t="n">
        <v>45910</v>
      </c>
      <c r="O1206" s="22" t="n">
        <v>4</v>
      </c>
      <c r="P1206" s="22"/>
      <c r="Q1206" s="22"/>
      <c r="R1206" s="22"/>
    </row>
    <row r="1207" customFormat="false" ht="15" hidden="false" customHeight="false" outlineLevel="0" collapsed="false">
      <c r="A1207" s="22" t="s">
        <v>10108</v>
      </c>
      <c r="B1207" s="23" t="n">
        <v>45917</v>
      </c>
      <c r="C1207" s="22" t="s">
        <v>5835</v>
      </c>
      <c r="D1207" s="22" t="n">
        <v>2548</v>
      </c>
      <c r="E1207" s="22" t="s">
        <v>6679</v>
      </c>
      <c r="F1207" s="22" t="s">
        <v>198</v>
      </c>
      <c r="G1207" s="22" t="n">
        <v>40</v>
      </c>
      <c r="H1207" s="22" t="s">
        <v>6575</v>
      </c>
      <c r="I1207" s="22" t="s">
        <v>8601</v>
      </c>
      <c r="J1207" s="22" t="n">
        <v>10.4</v>
      </c>
      <c r="K1207" s="22" t="n">
        <v>1</v>
      </c>
      <c r="L1207" s="22" t="s">
        <v>8629</v>
      </c>
      <c r="M1207" s="23" t="n">
        <v>45927</v>
      </c>
      <c r="N1207" s="23" t="n">
        <v>45928</v>
      </c>
      <c r="O1207" s="22" t="n">
        <v>11</v>
      </c>
      <c r="P1207" s="22"/>
      <c r="Q1207" s="22"/>
      <c r="R1207" s="22"/>
    </row>
    <row r="1208" customFormat="false" ht="15" hidden="false" customHeight="false" outlineLevel="0" collapsed="false">
      <c r="A1208" s="22" t="s">
        <v>10109</v>
      </c>
      <c r="B1208" s="23" t="n">
        <v>45911</v>
      </c>
      <c r="C1208" s="22" t="s">
        <v>6463</v>
      </c>
      <c r="D1208" s="22" t="n">
        <v>2865</v>
      </c>
      <c r="E1208" s="22" t="s">
        <v>8345</v>
      </c>
      <c r="F1208" s="22" t="s">
        <v>188</v>
      </c>
      <c r="G1208" s="22" t="n">
        <v>28</v>
      </c>
      <c r="H1208" s="22" t="s">
        <v>7696</v>
      </c>
      <c r="I1208" s="22" t="s">
        <v>8601</v>
      </c>
      <c r="J1208" s="22" t="n">
        <v>7.55</v>
      </c>
      <c r="K1208" s="22" t="n">
        <v>1</v>
      </c>
      <c r="L1208" s="22" t="s">
        <v>8602</v>
      </c>
      <c r="M1208" s="23" t="n">
        <v>45925</v>
      </c>
      <c r="N1208" s="22"/>
      <c r="O1208" s="22"/>
      <c r="P1208" s="22" t="s">
        <v>8631</v>
      </c>
      <c r="Q1208" s="22"/>
      <c r="R1208" s="22"/>
    </row>
    <row r="1209" customFormat="false" ht="15" hidden="false" customHeight="false" outlineLevel="0" collapsed="false">
      <c r="A1209" s="22" t="s">
        <v>10110</v>
      </c>
      <c r="B1209" s="23" t="n">
        <v>45905</v>
      </c>
      <c r="C1209" s="22" t="s">
        <v>2644</v>
      </c>
      <c r="D1209" s="22" t="n">
        <v>1002</v>
      </c>
      <c r="E1209" s="22" t="s">
        <v>7117</v>
      </c>
      <c r="F1209" s="22" t="s">
        <v>198</v>
      </c>
      <c r="G1209" s="22" t="n">
        <v>36</v>
      </c>
      <c r="H1209" s="22" t="s">
        <v>6575</v>
      </c>
      <c r="I1209" s="22" t="s">
        <v>8601</v>
      </c>
      <c r="J1209" s="22" t="n">
        <v>10.4</v>
      </c>
      <c r="K1209" s="22" t="n">
        <v>2</v>
      </c>
      <c r="L1209" s="22" t="s">
        <v>8602</v>
      </c>
      <c r="M1209" s="23" t="n">
        <v>45915</v>
      </c>
      <c r="N1209" s="22"/>
      <c r="O1209" s="22"/>
      <c r="P1209" s="22" t="s">
        <v>8618</v>
      </c>
      <c r="Q1209" s="22"/>
      <c r="R1209" s="22"/>
    </row>
    <row r="1210" customFormat="false" ht="15" hidden="false" customHeight="false" outlineLevel="0" collapsed="false">
      <c r="A1210" s="22" t="s">
        <v>10111</v>
      </c>
      <c r="B1210" s="23" t="n">
        <v>45905</v>
      </c>
      <c r="C1210" s="22" t="s">
        <v>6496</v>
      </c>
      <c r="D1210" s="22" t="n">
        <v>2881</v>
      </c>
      <c r="E1210" s="22" t="s">
        <v>7836</v>
      </c>
      <c r="F1210" s="22" t="s">
        <v>215</v>
      </c>
      <c r="G1210" s="22" t="n">
        <v>45</v>
      </c>
      <c r="H1210" s="22" t="s">
        <v>7696</v>
      </c>
      <c r="I1210" s="22" t="s">
        <v>8601</v>
      </c>
      <c r="J1210" s="22" t="n">
        <v>7.55</v>
      </c>
      <c r="K1210" s="22" t="n">
        <v>1</v>
      </c>
      <c r="L1210" s="22" t="s">
        <v>157</v>
      </c>
      <c r="M1210" s="23" t="n">
        <v>45919</v>
      </c>
      <c r="N1210" s="23" t="n">
        <v>45907</v>
      </c>
      <c r="O1210" s="22" t="n">
        <v>2</v>
      </c>
      <c r="P1210" s="22"/>
      <c r="Q1210" s="22"/>
      <c r="R1210" s="22"/>
    </row>
    <row r="1211" customFormat="false" ht="15" hidden="false" customHeight="false" outlineLevel="0" collapsed="false">
      <c r="A1211" s="22" t="s">
        <v>10112</v>
      </c>
      <c r="B1211" s="23" t="n">
        <v>45925</v>
      </c>
      <c r="C1211" s="22" t="s">
        <v>2175</v>
      </c>
      <c r="D1211" s="22" t="n">
        <v>790</v>
      </c>
      <c r="E1211" s="22" t="s">
        <v>7388</v>
      </c>
      <c r="F1211" s="22" t="s">
        <v>159</v>
      </c>
      <c r="G1211" s="22" t="n">
        <v>24</v>
      </c>
      <c r="H1211" s="22" t="s">
        <v>6575</v>
      </c>
      <c r="I1211" s="22" t="s">
        <v>8601</v>
      </c>
      <c r="J1211" s="22" t="n">
        <v>10.4</v>
      </c>
      <c r="K1211" s="22" t="n">
        <v>1</v>
      </c>
      <c r="L1211" s="22" t="s">
        <v>8605</v>
      </c>
      <c r="M1211" s="23" t="n">
        <v>45935</v>
      </c>
      <c r="N1211" s="23" t="n">
        <v>45934</v>
      </c>
      <c r="O1211" s="22" t="n">
        <v>9</v>
      </c>
      <c r="P1211" s="22"/>
      <c r="Q1211" s="22" t="s">
        <v>10060</v>
      </c>
      <c r="R1211" s="22"/>
    </row>
    <row r="1212" customFormat="false" ht="15" hidden="false" customHeight="false" outlineLevel="0" collapsed="false">
      <c r="A1212" s="22" t="s">
        <v>10113</v>
      </c>
      <c r="B1212" s="23" t="n">
        <v>45917</v>
      </c>
      <c r="C1212" s="22" t="s">
        <v>5948</v>
      </c>
      <c r="D1212" s="22" t="n">
        <v>2605</v>
      </c>
      <c r="E1212" s="22" t="s">
        <v>7618</v>
      </c>
      <c r="F1212" s="22" t="s">
        <v>159</v>
      </c>
      <c r="G1212" s="22" t="n">
        <v>40</v>
      </c>
      <c r="H1212" s="22" t="s">
        <v>6575</v>
      </c>
      <c r="I1212" s="22" t="s">
        <v>8601</v>
      </c>
      <c r="J1212" s="22" t="n">
        <v>10.4</v>
      </c>
      <c r="K1212" s="22" t="n">
        <v>1</v>
      </c>
      <c r="L1212" s="22" t="s">
        <v>8629</v>
      </c>
      <c r="M1212" s="23" t="n">
        <v>45927</v>
      </c>
      <c r="N1212" s="23" t="n">
        <v>45924</v>
      </c>
      <c r="O1212" s="22" t="n">
        <v>7</v>
      </c>
      <c r="P1212" s="22"/>
      <c r="Q1212" s="22"/>
      <c r="R1212" s="22"/>
    </row>
    <row r="1213" customFormat="false" ht="15" hidden="false" customHeight="false" outlineLevel="0" collapsed="false">
      <c r="A1213" s="22" t="s">
        <v>10114</v>
      </c>
      <c r="B1213" s="23" t="n">
        <v>45956</v>
      </c>
      <c r="C1213" s="22" t="s">
        <v>3262</v>
      </c>
      <c r="D1213" s="22" t="n">
        <v>1284</v>
      </c>
      <c r="E1213" s="22" t="s">
        <v>8540</v>
      </c>
      <c r="F1213" s="22" t="s">
        <v>188</v>
      </c>
      <c r="G1213" s="22" t="n">
        <v>32</v>
      </c>
      <c r="H1213" s="22" t="s">
        <v>7696</v>
      </c>
      <c r="I1213" s="22" t="s">
        <v>8601</v>
      </c>
      <c r="J1213" s="22" t="n">
        <v>7.55</v>
      </c>
      <c r="K1213" s="22" t="n">
        <v>1</v>
      </c>
      <c r="L1213" s="22" t="s">
        <v>8602</v>
      </c>
      <c r="M1213" s="23" t="n">
        <v>45970</v>
      </c>
      <c r="N1213" s="22"/>
      <c r="O1213" s="22"/>
      <c r="P1213" s="22" t="s">
        <v>8603</v>
      </c>
      <c r="Q1213" s="22"/>
      <c r="R1213" s="22"/>
    </row>
    <row r="1214" customFormat="false" ht="15" hidden="false" customHeight="false" outlineLevel="0" collapsed="false">
      <c r="A1214" s="22" t="s">
        <v>10115</v>
      </c>
      <c r="B1214" s="23" t="n">
        <v>45957</v>
      </c>
      <c r="C1214" s="22" t="s">
        <v>5568</v>
      </c>
      <c r="D1214" s="22" t="n">
        <v>2415</v>
      </c>
      <c r="E1214" s="22" t="s">
        <v>8109</v>
      </c>
      <c r="F1214" s="22" t="s">
        <v>499</v>
      </c>
      <c r="G1214" s="22" t="n">
        <v>32</v>
      </c>
      <c r="H1214" s="22" t="s">
        <v>7696</v>
      </c>
      <c r="I1214" s="22" t="s">
        <v>8601</v>
      </c>
      <c r="J1214" s="22" t="n">
        <v>7.55</v>
      </c>
      <c r="K1214" s="22" t="n">
        <v>1</v>
      </c>
      <c r="L1214" s="22" t="s">
        <v>8605</v>
      </c>
      <c r="M1214" s="23" t="n">
        <v>45971</v>
      </c>
      <c r="N1214" s="23" t="n">
        <v>45973</v>
      </c>
      <c r="O1214" s="22" t="n">
        <v>16</v>
      </c>
      <c r="P1214" s="22"/>
      <c r="Q1214" s="22" t="s">
        <v>10060</v>
      </c>
      <c r="R1214" s="22"/>
    </row>
    <row r="1215" customFormat="false" ht="15" hidden="false" customHeight="false" outlineLevel="0" collapsed="false">
      <c r="A1215" s="22" t="s">
        <v>10116</v>
      </c>
      <c r="B1215" s="23" t="n">
        <v>45935</v>
      </c>
      <c r="C1215" s="22" t="s">
        <v>3286</v>
      </c>
      <c r="D1215" s="22" t="n">
        <v>1295</v>
      </c>
      <c r="E1215" s="22" t="s">
        <v>6941</v>
      </c>
      <c r="F1215" s="22" t="s">
        <v>198</v>
      </c>
      <c r="G1215" s="22" t="n">
        <v>24</v>
      </c>
      <c r="H1215" s="22" t="s">
        <v>6575</v>
      </c>
      <c r="I1215" s="22" t="s">
        <v>8601</v>
      </c>
      <c r="J1215" s="22" t="n">
        <v>10.4</v>
      </c>
      <c r="K1215" s="22" t="n">
        <v>2</v>
      </c>
      <c r="L1215" s="22" t="s">
        <v>8613</v>
      </c>
      <c r="M1215" s="23" t="n">
        <v>45945</v>
      </c>
      <c r="N1215" s="22"/>
      <c r="O1215" s="22"/>
      <c r="P1215" s="22"/>
      <c r="Q1215" s="22"/>
      <c r="R1215" s="22"/>
    </row>
    <row r="1216" customFormat="false" ht="15" hidden="false" customHeight="false" outlineLevel="0" collapsed="false">
      <c r="A1216" s="22" t="s">
        <v>10117</v>
      </c>
      <c r="B1216" s="23" t="n">
        <v>45958</v>
      </c>
      <c r="C1216" s="22" t="s">
        <v>3054</v>
      </c>
      <c r="D1216" s="22" t="n">
        <v>1187</v>
      </c>
      <c r="E1216" s="22" t="s">
        <v>8546</v>
      </c>
      <c r="F1216" s="22" t="s">
        <v>188</v>
      </c>
      <c r="G1216" s="22" t="n">
        <v>28</v>
      </c>
      <c r="H1216" s="22" t="s">
        <v>7696</v>
      </c>
      <c r="I1216" s="22" t="s">
        <v>8601</v>
      </c>
      <c r="J1216" s="22" t="n">
        <v>7.55</v>
      </c>
      <c r="K1216" s="22" t="n">
        <v>1</v>
      </c>
      <c r="L1216" s="22" t="s">
        <v>8602</v>
      </c>
      <c r="M1216" s="23" t="n">
        <v>45972</v>
      </c>
      <c r="N1216" s="22"/>
      <c r="O1216" s="22"/>
      <c r="P1216" s="22" t="s">
        <v>8603</v>
      </c>
      <c r="Q1216" s="22"/>
      <c r="R1216" s="22"/>
    </row>
    <row r="1217" customFormat="false" ht="15" hidden="false" customHeight="false" outlineLevel="0" collapsed="false">
      <c r="A1217" s="22" t="s">
        <v>10118</v>
      </c>
      <c r="B1217" s="23" t="n">
        <v>45949</v>
      </c>
      <c r="C1217" s="22" t="s">
        <v>3419</v>
      </c>
      <c r="D1217" s="22" t="n">
        <v>1359</v>
      </c>
      <c r="E1217" s="22" t="s">
        <v>7340</v>
      </c>
      <c r="F1217" s="22" t="s">
        <v>159</v>
      </c>
      <c r="G1217" s="22" t="n">
        <v>32</v>
      </c>
      <c r="H1217" s="22" t="s">
        <v>6575</v>
      </c>
      <c r="I1217" s="22" t="s">
        <v>8601</v>
      </c>
      <c r="J1217" s="22" t="n">
        <v>10.4</v>
      </c>
      <c r="K1217" s="22" t="n">
        <v>1</v>
      </c>
      <c r="L1217" s="22" t="s">
        <v>8605</v>
      </c>
      <c r="M1217" s="23" t="n">
        <v>45959</v>
      </c>
      <c r="N1217" s="23" t="n">
        <v>45958</v>
      </c>
      <c r="O1217" s="22" t="n">
        <v>9</v>
      </c>
      <c r="P1217" s="22"/>
      <c r="Q1217" s="22" t="s">
        <v>10036</v>
      </c>
      <c r="R1217" s="22"/>
    </row>
    <row r="1218" customFormat="false" ht="15" hidden="false" customHeight="false" outlineLevel="0" collapsed="false">
      <c r="A1218" s="22" t="s">
        <v>10119</v>
      </c>
      <c r="B1218" s="23" t="n">
        <v>45946</v>
      </c>
      <c r="C1218" s="22" t="s">
        <v>4846</v>
      </c>
      <c r="D1218" s="22" t="n">
        <v>2056</v>
      </c>
      <c r="E1218" s="22" t="s">
        <v>7420</v>
      </c>
      <c r="F1218" s="22" t="s">
        <v>159</v>
      </c>
      <c r="G1218" s="22" t="n">
        <v>40</v>
      </c>
      <c r="H1218" s="22" t="s">
        <v>6575</v>
      </c>
      <c r="I1218" s="22" t="s">
        <v>8601</v>
      </c>
      <c r="J1218" s="22" t="n">
        <v>10.4</v>
      </c>
      <c r="K1218" s="22" t="n">
        <v>1</v>
      </c>
      <c r="L1218" s="22" t="s">
        <v>157</v>
      </c>
      <c r="M1218" s="23" t="n">
        <v>45956</v>
      </c>
      <c r="N1218" s="23" t="n">
        <v>45954</v>
      </c>
      <c r="O1218" s="22" t="n">
        <v>8</v>
      </c>
      <c r="P1218" s="22"/>
      <c r="Q1218" s="22"/>
      <c r="R1218" s="22"/>
    </row>
    <row r="1219" customFormat="false" ht="15" hidden="false" customHeight="false" outlineLevel="0" collapsed="false">
      <c r="A1219" s="22" t="s">
        <v>10120</v>
      </c>
      <c r="B1219" s="23" t="n">
        <v>45933</v>
      </c>
      <c r="C1219" s="22" t="s">
        <v>6240</v>
      </c>
      <c r="D1219" s="22" t="n">
        <v>2750</v>
      </c>
      <c r="E1219" s="22" t="s">
        <v>8220</v>
      </c>
      <c r="F1219" s="22" t="s">
        <v>499</v>
      </c>
      <c r="G1219" s="22" t="n">
        <v>60</v>
      </c>
      <c r="H1219" s="22" t="s">
        <v>7696</v>
      </c>
      <c r="I1219" s="22" t="s">
        <v>8601</v>
      </c>
      <c r="J1219" s="22" t="n">
        <v>7.55</v>
      </c>
      <c r="K1219" s="22" t="n">
        <v>1</v>
      </c>
      <c r="L1219" s="22" t="s">
        <v>8602</v>
      </c>
      <c r="M1219" s="23" t="n">
        <v>45947</v>
      </c>
      <c r="N1219" s="22"/>
      <c r="O1219" s="22"/>
      <c r="P1219" s="22" t="s">
        <v>8603</v>
      </c>
      <c r="Q1219" s="22"/>
      <c r="R1219" s="22"/>
    </row>
    <row r="1220" customFormat="false" ht="15" hidden="false" customHeight="false" outlineLevel="0" collapsed="false">
      <c r="A1220" s="22" t="s">
        <v>10121</v>
      </c>
      <c r="B1220" s="23" t="n">
        <v>45956</v>
      </c>
      <c r="C1220" s="22" t="s">
        <v>6447</v>
      </c>
      <c r="D1220" s="22" t="n">
        <v>2857</v>
      </c>
      <c r="E1220" s="22" t="s">
        <v>7011</v>
      </c>
      <c r="F1220" s="22" t="s">
        <v>198</v>
      </c>
      <c r="G1220" s="22" t="n">
        <v>24</v>
      </c>
      <c r="H1220" s="22" t="s">
        <v>6575</v>
      </c>
      <c r="I1220" s="22" t="s">
        <v>8601</v>
      </c>
      <c r="J1220" s="22" t="n">
        <v>10.4</v>
      </c>
      <c r="K1220" s="22" t="n">
        <v>1</v>
      </c>
      <c r="L1220" s="22" t="s">
        <v>8602</v>
      </c>
      <c r="M1220" s="23" t="n">
        <v>45966</v>
      </c>
      <c r="N1220" s="22"/>
      <c r="O1220" s="22"/>
      <c r="P1220" s="22" t="s">
        <v>8618</v>
      </c>
      <c r="Q1220" s="22"/>
      <c r="R1220" s="22"/>
    </row>
    <row r="1221" customFormat="false" ht="15" hidden="false" customHeight="false" outlineLevel="0" collapsed="false">
      <c r="A1221" s="22" t="s">
        <v>10122</v>
      </c>
      <c r="B1221" s="23" t="n">
        <v>45957</v>
      </c>
      <c r="C1221" s="22" t="s">
        <v>308</v>
      </c>
      <c r="D1221" s="22" t="n">
        <v>49</v>
      </c>
      <c r="E1221" s="22" t="s">
        <v>7772</v>
      </c>
      <c r="F1221" s="22" t="s">
        <v>215</v>
      </c>
      <c r="G1221" s="22" t="n">
        <v>40</v>
      </c>
      <c r="H1221" s="22" t="s">
        <v>7696</v>
      </c>
      <c r="I1221" s="22" t="s">
        <v>8601</v>
      </c>
      <c r="J1221" s="22" t="n">
        <v>7.55</v>
      </c>
      <c r="K1221" s="22" t="n">
        <v>1</v>
      </c>
      <c r="L1221" s="22" t="s">
        <v>8605</v>
      </c>
      <c r="M1221" s="23" t="n">
        <v>45971</v>
      </c>
      <c r="N1221" s="23" t="n">
        <v>45969</v>
      </c>
      <c r="O1221" s="22" t="n">
        <v>12</v>
      </c>
      <c r="P1221" s="22"/>
      <c r="Q1221" s="22" t="s">
        <v>10123</v>
      </c>
      <c r="R1221" s="22"/>
    </row>
    <row r="1222" customFormat="false" ht="15" hidden="false" customHeight="false" outlineLevel="0" collapsed="false">
      <c r="A1222" s="22" t="s">
        <v>10124</v>
      </c>
      <c r="B1222" s="23" t="n">
        <v>45942</v>
      </c>
      <c r="C1222" s="22" t="s">
        <v>6481</v>
      </c>
      <c r="D1222" s="22" t="n">
        <v>2874</v>
      </c>
      <c r="E1222" s="22" t="s">
        <v>6670</v>
      </c>
      <c r="F1222" s="22" t="s">
        <v>198</v>
      </c>
      <c r="G1222" s="22" t="n">
        <v>40</v>
      </c>
      <c r="H1222" s="22" t="s">
        <v>6575</v>
      </c>
      <c r="I1222" s="22" t="s">
        <v>8601</v>
      </c>
      <c r="J1222" s="22" t="n">
        <v>10.4</v>
      </c>
      <c r="K1222" s="22" t="n">
        <v>1</v>
      </c>
      <c r="L1222" s="22" t="s">
        <v>8605</v>
      </c>
      <c r="M1222" s="23" t="n">
        <v>45952</v>
      </c>
      <c r="N1222" s="23" t="n">
        <v>45950</v>
      </c>
      <c r="O1222" s="22" t="n">
        <v>8</v>
      </c>
      <c r="P1222" s="22"/>
      <c r="Q1222" s="22" t="s">
        <v>10125</v>
      </c>
      <c r="R1222" s="22"/>
    </row>
    <row r="1223" customFormat="false" ht="15" hidden="false" customHeight="false" outlineLevel="0" collapsed="false">
      <c r="A1223" s="22" t="s">
        <v>10126</v>
      </c>
      <c r="B1223" s="23" t="n">
        <v>45937</v>
      </c>
      <c r="C1223" s="22" t="s">
        <v>5967</v>
      </c>
      <c r="D1223" s="22" t="n">
        <v>2614</v>
      </c>
      <c r="E1223" s="22" t="s">
        <v>8122</v>
      </c>
      <c r="F1223" s="22" t="s">
        <v>499</v>
      </c>
      <c r="G1223" s="22" t="n">
        <v>32</v>
      </c>
      <c r="H1223" s="22" t="s">
        <v>7696</v>
      </c>
      <c r="I1223" s="22" t="s">
        <v>8601</v>
      </c>
      <c r="J1223" s="22" t="n">
        <v>7.55</v>
      </c>
      <c r="K1223" s="22" t="n">
        <v>1</v>
      </c>
      <c r="L1223" s="22" t="s">
        <v>157</v>
      </c>
      <c r="M1223" s="23" t="n">
        <v>45951</v>
      </c>
      <c r="N1223" s="23" t="n">
        <v>45945</v>
      </c>
      <c r="O1223" s="22" t="n">
        <v>8</v>
      </c>
      <c r="P1223" s="22"/>
      <c r="Q1223" s="22"/>
      <c r="R1223" s="22"/>
    </row>
    <row r="1224" customFormat="false" ht="15" hidden="false" customHeight="false" outlineLevel="0" collapsed="false">
      <c r="A1224" s="22" t="s">
        <v>10127</v>
      </c>
      <c r="B1224" s="23" t="n">
        <v>45955</v>
      </c>
      <c r="C1224" s="22" t="s">
        <v>973</v>
      </c>
      <c r="D1224" s="22" t="n">
        <v>289</v>
      </c>
      <c r="E1224" s="22" t="s">
        <v>7666</v>
      </c>
      <c r="F1224" s="22" t="s">
        <v>159</v>
      </c>
      <c r="G1224" s="22" t="n">
        <v>36</v>
      </c>
      <c r="H1224" s="22" t="s">
        <v>6575</v>
      </c>
      <c r="I1224" s="22" t="s">
        <v>8601</v>
      </c>
      <c r="J1224" s="22" t="n">
        <v>10.4</v>
      </c>
      <c r="K1224" s="22" t="n">
        <v>1</v>
      </c>
      <c r="L1224" s="22" t="s">
        <v>8605</v>
      </c>
      <c r="M1224" s="23" t="n">
        <v>45965</v>
      </c>
      <c r="N1224" s="23" t="n">
        <v>45964</v>
      </c>
      <c r="O1224" s="22" t="n">
        <v>9</v>
      </c>
      <c r="P1224" s="22"/>
      <c r="Q1224" s="22" t="s">
        <v>10128</v>
      </c>
      <c r="R1224" s="22"/>
    </row>
    <row r="1225" customFormat="false" ht="15" hidden="false" customHeight="false" outlineLevel="0" collapsed="false">
      <c r="A1225" s="22" t="s">
        <v>10129</v>
      </c>
      <c r="B1225" s="23" t="n">
        <v>45957</v>
      </c>
      <c r="C1225" s="22" t="s">
        <v>536</v>
      </c>
      <c r="D1225" s="22" t="n">
        <v>128</v>
      </c>
      <c r="E1225" s="22" t="s">
        <v>6667</v>
      </c>
      <c r="F1225" s="22" t="s">
        <v>198</v>
      </c>
      <c r="G1225" s="22" t="n">
        <v>24</v>
      </c>
      <c r="H1225" s="22" t="s">
        <v>6575</v>
      </c>
      <c r="I1225" s="22" t="s">
        <v>8601</v>
      </c>
      <c r="J1225" s="22" t="n">
        <v>10.4</v>
      </c>
      <c r="K1225" s="22" t="n">
        <v>1</v>
      </c>
      <c r="L1225" s="22" t="s">
        <v>8613</v>
      </c>
      <c r="M1225" s="23" t="n">
        <v>45967</v>
      </c>
      <c r="N1225" s="22"/>
      <c r="O1225" s="22"/>
      <c r="P1225" s="22"/>
      <c r="Q1225" s="22"/>
      <c r="R1225" s="22"/>
    </row>
    <row r="1226" customFormat="false" ht="15" hidden="false" customHeight="false" outlineLevel="0" collapsed="false">
      <c r="A1226" s="22" t="s">
        <v>10130</v>
      </c>
      <c r="B1226" s="23" t="n">
        <v>45953</v>
      </c>
      <c r="C1226" s="22" t="s">
        <v>1845</v>
      </c>
      <c r="D1226" s="22" t="n">
        <v>645</v>
      </c>
      <c r="E1226" s="22" t="s">
        <v>8333</v>
      </c>
      <c r="F1226" s="22" t="s">
        <v>499</v>
      </c>
      <c r="G1226" s="22" t="n">
        <v>32</v>
      </c>
      <c r="H1226" s="22" t="s">
        <v>7696</v>
      </c>
      <c r="I1226" s="22" t="s">
        <v>8601</v>
      </c>
      <c r="J1226" s="22" t="n">
        <v>7.55</v>
      </c>
      <c r="K1226" s="22" t="n">
        <v>1</v>
      </c>
      <c r="L1226" s="22" t="s">
        <v>8602</v>
      </c>
      <c r="M1226" s="23" t="n">
        <v>45967</v>
      </c>
      <c r="N1226" s="22"/>
      <c r="O1226" s="22"/>
      <c r="P1226" s="22" t="s">
        <v>8631</v>
      </c>
      <c r="Q1226" s="22"/>
      <c r="R1226" s="22"/>
    </row>
    <row r="1227" customFormat="false" ht="15" hidden="false" customHeight="false" outlineLevel="0" collapsed="false">
      <c r="A1227" s="22" t="s">
        <v>10131</v>
      </c>
      <c r="B1227" s="23" t="n">
        <v>45949</v>
      </c>
      <c r="C1227" s="22" t="s">
        <v>4308</v>
      </c>
      <c r="D1227" s="22" t="n">
        <v>1793</v>
      </c>
      <c r="E1227" s="22" t="s">
        <v>8206</v>
      </c>
      <c r="F1227" s="22" t="s">
        <v>499</v>
      </c>
      <c r="G1227" s="22" t="n">
        <v>24</v>
      </c>
      <c r="H1227" s="22" t="s">
        <v>7696</v>
      </c>
      <c r="I1227" s="22" t="s">
        <v>8601</v>
      </c>
      <c r="J1227" s="22" t="n">
        <v>7.55</v>
      </c>
      <c r="K1227" s="22" t="n">
        <v>1</v>
      </c>
      <c r="L1227" s="22" t="s">
        <v>8605</v>
      </c>
      <c r="M1227" s="23" t="n">
        <v>45963</v>
      </c>
      <c r="N1227" s="23" t="n">
        <v>45962</v>
      </c>
      <c r="O1227" s="22" t="n">
        <v>13</v>
      </c>
      <c r="P1227" s="22"/>
      <c r="Q1227" s="22" t="s">
        <v>10132</v>
      </c>
      <c r="R1227" s="22"/>
    </row>
    <row r="1228" customFormat="false" ht="15" hidden="false" customHeight="false" outlineLevel="0" collapsed="false">
      <c r="A1228" s="22" t="s">
        <v>10133</v>
      </c>
      <c r="B1228" s="23" t="n">
        <v>45949</v>
      </c>
      <c r="C1228" s="22" t="s">
        <v>3892</v>
      </c>
      <c r="D1228" s="22" t="n">
        <v>1590</v>
      </c>
      <c r="E1228" s="22" t="s">
        <v>7891</v>
      </c>
      <c r="F1228" s="22" t="s">
        <v>215</v>
      </c>
      <c r="G1228" s="22" t="n">
        <v>36</v>
      </c>
      <c r="H1228" s="22" t="s">
        <v>7696</v>
      </c>
      <c r="I1228" s="22" t="s">
        <v>8601</v>
      </c>
      <c r="J1228" s="22" t="n">
        <v>7.55</v>
      </c>
      <c r="K1228" s="22" t="n">
        <v>1</v>
      </c>
      <c r="L1228" s="22" t="s">
        <v>8605</v>
      </c>
      <c r="M1228" s="23" t="n">
        <v>45963</v>
      </c>
      <c r="N1228" s="23" t="n">
        <v>45956</v>
      </c>
      <c r="O1228" s="22" t="n">
        <v>7</v>
      </c>
      <c r="P1228" s="22"/>
      <c r="Q1228" s="22" t="s">
        <v>10025</v>
      </c>
      <c r="R1228" s="22"/>
    </row>
    <row r="1229" customFormat="false" ht="15" hidden="false" customHeight="false" outlineLevel="0" collapsed="false">
      <c r="A1229" s="22" t="s">
        <v>10134</v>
      </c>
      <c r="B1229" s="23" t="n">
        <v>45952</v>
      </c>
      <c r="C1229" s="22" t="s">
        <v>1864</v>
      </c>
      <c r="D1229" s="22" t="n">
        <v>653</v>
      </c>
      <c r="E1229" s="22" t="s">
        <v>7107</v>
      </c>
      <c r="F1229" s="22" t="s">
        <v>198</v>
      </c>
      <c r="G1229" s="22" t="n">
        <v>28</v>
      </c>
      <c r="H1229" s="22" t="s">
        <v>6575</v>
      </c>
      <c r="I1229" s="22" t="s">
        <v>8601</v>
      </c>
      <c r="J1229" s="22" t="n">
        <v>10.4</v>
      </c>
      <c r="K1229" s="22" t="n">
        <v>2</v>
      </c>
      <c r="L1229" s="22" t="s">
        <v>8629</v>
      </c>
      <c r="M1229" s="23" t="n">
        <v>45962</v>
      </c>
      <c r="N1229" s="23" t="n">
        <v>45961</v>
      </c>
      <c r="O1229" s="22" t="n">
        <v>9</v>
      </c>
      <c r="P1229" s="22"/>
      <c r="Q1229" s="22"/>
      <c r="R1229" s="22"/>
    </row>
    <row r="1230" customFormat="false" ht="15" hidden="false" customHeight="false" outlineLevel="0" collapsed="false">
      <c r="A1230" s="22" t="s">
        <v>10135</v>
      </c>
      <c r="B1230" s="23" t="n">
        <v>45936</v>
      </c>
      <c r="C1230" s="22" t="s">
        <v>6198</v>
      </c>
      <c r="D1230" s="22" t="n">
        <v>2729</v>
      </c>
      <c r="E1230" s="22" t="s">
        <v>8518</v>
      </c>
      <c r="F1230" s="22" t="s">
        <v>188</v>
      </c>
      <c r="G1230" s="22" t="n">
        <v>28</v>
      </c>
      <c r="H1230" s="22" t="s">
        <v>7696</v>
      </c>
      <c r="I1230" s="22" t="s">
        <v>8601</v>
      </c>
      <c r="J1230" s="22" t="n">
        <v>7.55</v>
      </c>
      <c r="K1230" s="22" t="n">
        <v>1</v>
      </c>
      <c r="L1230" s="22" t="s">
        <v>8605</v>
      </c>
      <c r="M1230" s="23" t="n">
        <v>45950</v>
      </c>
      <c r="N1230" s="23" t="n">
        <v>45952</v>
      </c>
      <c r="O1230" s="22" t="n">
        <v>16</v>
      </c>
      <c r="P1230" s="22"/>
      <c r="Q1230" s="22" t="s">
        <v>10136</v>
      </c>
      <c r="R1230" s="22"/>
    </row>
    <row r="1231" customFormat="false" ht="15" hidden="false" customHeight="false" outlineLevel="0" collapsed="false">
      <c r="A1231" s="22" t="s">
        <v>10137</v>
      </c>
      <c r="B1231" s="23" t="n">
        <v>45941</v>
      </c>
      <c r="C1231" s="22" t="s">
        <v>423</v>
      </c>
      <c r="D1231" s="22" t="n">
        <v>89</v>
      </c>
      <c r="E1231" s="22" t="s">
        <v>8358</v>
      </c>
      <c r="F1231" s="22" t="s">
        <v>188</v>
      </c>
      <c r="G1231" s="22" t="n">
        <v>24</v>
      </c>
      <c r="H1231" s="22" t="s">
        <v>7696</v>
      </c>
      <c r="I1231" s="22" t="s">
        <v>8601</v>
      </c>
      <c r="J1231" s="22" t="n">
        <v>7.55</v>
      </c>
      <c r="K1231" s="22" t="n">
        <v>1</v>
      </c>
      <c r="L1231" s="22" t="s">
        <v>8602</v>
      </c>
      <c r="M1231" s="23" t="n">
        <v>45955</v>
      </c>
      <c r="N1231" s="22"/>
      <c r="O1231" s="22"/>
      <c r="P1231" s="22" t="s">
        <v>8603</v>
      </c>
      <c r="Q1231" s="22"/>
      <c r="R1231" s="22"/>
    </row>
    <row r="1232" customFormat="false" ht="15" hidden="false" customHeight="false" outlineLevel="0" collapsed="false">
      <c r="A1232" s="22" t="s">
        <v>10138</v>
      </c>
      <c r="B1232" s="23" t="n">
        <v>45941</v>
      </c>
      <c r="C1232" s="22" t="s">
        <v>4700</v>
      </c>
      <c r="D1232" s="22" t="n">
        <v>1984</v>
      </c>
      <c r="E1232" s="22" t="s">
        <v>8561</v>
      </c>
      <c r="F1232" s="22" t="s">
        <v>188</v>
      </c>
      <c r="G1232" s="22" t="n">
        <v>40</v>
      </c>
      <c r="H1232" s="22" t="s">
        <v>7696</v>
      </c>
      <c r="I1232" s="22" t="s">
        <v>8601</v>
      </c>
      <c r="J1232" s="22" t="n">
        <v>7.55</v>
      </c>
      <c r="K1232" s="22" t="n">
        <v>1</v>
      </c>
      <c r="L1232" s="22" t="s">
        <v>8605</v>
      </c>
      <c r="M1232" s="23" t="n">
        <v>45955</v>
      </c>
      <c r="N1232" s="23" t="n">
        <v>45953</v>
      </c>
      <c r="O1232" s="22" t="n">
        <v>12</v>
      </c>
      <c r="P1232" s="22"/>
      <c r="Q1232" s="22" t="s">
        <v>10139</v>
      </c>
      <c r="R1232" s="22"/>
    </row>
    <row r="1233" customFormat="false" ht="15" hidden="false" customHeight="false" outlineLevel="0" collapsed="false">
      <c r="A1233" s="22" t="s">
        <v>10140</v>
      </c>
      <c r="B1233" s="23" t="n">
        <v>45954</v>
      </c>
      <c r="C1233" s="22" t="s">
        <v>3257</v>
      </c>
      <c r="D1233" s="22" t="n">
        <v>1282</v>
      </c>
      <c r="E1233" s="22" t="s">
        <v>8061</v>
      </c>
      <c r="F1233" s="22" t="s">
        <v>499</v>
      </c>
      <c r="G1233" s="22" t="n">
        <v>32</v>
      </c>
      <c r="H1233" s="22" t="s">
        <v>7696</v>
      </c>
      <c r="I1233" s="22" t="s">
        <v>8601</v>
      </c>
      <c r="J1233" s="22" t="n">
        <v>7.55</v>
      </c>
      <c r="K1233" s="22" t="n">
        <v>2</v>
      </c>
      <c r="L1233" s="22" t="s">
        <v>8605</v>
      </c>
      <c r="M1233" s="23" t="n">
        <v>45968</v>
      </c>
      <c r="N1233" s="23" t="n">
        <v>45966</v>
      </c>
      <c r="O1233" s="22" t="n">
        <v>12</v>
      </c>
      <c r="P1233" s="22"/>
      <c r="Q1233" s="22" t="s">
        <v>9796</v>
      </c>
      <c r="R1233" s="22"/>
    </row>
    <row r="1234" customFormat="false" ht="15" hidden="false" customHeight="false" outlineLevel="0" collapsed="false">
      <c r="A1234" s="22" t="s">
        <v>10141</v>
      </c>
      <c r="B1234" s="23" t="n">
        <v>45943</v>
      </c>
      <c r="C1234" s="22" t="s">
        <v>536</v>
      </c>
      <c r="D1234" s="22" t="n">
        <v>128</v>
      </c>
      <c r="E1234" s="22" t="s">
        <v>6869</v>
      </c>
      <c r="F1234" s="22" t="s">
        <v>198</v>
      </c>
      <c r="G1234" s="22" t="n">
        <v>28</v>
      </c>
      <c r="H1234" s="22" t="s">
        <v>6575</v>
      </c>
      <c r="I1234" s="22" t="s">
        <v>8601</v>
      </c>
      <c r="J1234" s="22" t="n">
        <v>10.4</v>
      </c>
      <c r="K1234" s="22" t="n">
        <v>1</v>
      </c>
      <c r="L1234" s="22" t="s">
        <v>8602</v>
      </c>
      <c r="M1234" s="23" t="n">
        <v>45953</v>
      </c>
      <c r="N1234" s="22"/>
      <c r="O1234" s="22"/>
      <c r="P1234" s="22" t="s">
        <v>8631</v>
      </c>
      <c r="Q1234" s="22"/>
      <c r="R1234" s="22"/>
    </row>
    <row r="1235" customFormat="false" ht="15" hidden="false" customHeight="false" outlineLevel="0" collapsed="false">
      <c r="A1235" s="22" t="s">
        <v>10142</v>
      </c>
      <c r="B1235" s="23" t="n">
        <v>45943</v>
      </c>
      <c r="C1235" s="22" t="s">
        <v>4279</v>
      </c>
      <c r="D1235" s="22" t="n">
        <v>1779</v>
      </c>
      <c r="E1235" s="22" t="s">
        <v>7817</v>
      </c>
      <c r="F1235" s="22" t="s">
        <v>215</v>
      </c>
      <c r="G1235" s="22" t="n">
        <v>70</v>
      </c>
      <c r="H1235" s="22" t="s">
        <v>7696</v>
      </c>
      <c r="I1235" s="22" t="s">
        <v>8601</v>
      </c>
      <c r="J1235" s="22" t="n">
        <v>7.55</v>
      </c>
      <c r="K1235" s="22" t="n">
        <v>1</v>
      </c>
      <c r="L1235" s="22" t="s">
        <v>8605</v>
      </c>
      <c r="M1235" s="23" t="n">
        <v>45957</v>
      </c>
      <c r="N1235" s="23" t="n">
        <v>45957</v>
      </c>
      <c r="O1235" s="22" t="n">
        <v>14</v>
      </c>
      <c r="P1235" s="22"/>
      <c r="Q1235" s="22" t="s">
        <v>10143</v>
      </c>
      <c r="R1235" s="22"/>
    </row>
    <row r="1236" customFormat="false" ht="15" hidden="false" customHeight="false" outlineLevel="0" collapsed="false">
      <c r="A1236" s="22" t="s">
        <v>10144</v>
      </c>
      <c r="B1236" s="23" t="n">
        <v>45931</v>
      </c>
      <c r="C1236" s="22" t="s">
        <v>676</v>
      </c>
      <c r="D1236" s="22" t="n">
        <v>178</v>
      </c>
      <c r="E1236" s="22" t="s">
        <v>6988</v>
      </c>
      <c r="F1236" s="22" t="s">
        <v>198</v>
      </c>
      <c r="G1236" s="22" t="n">
        <v>40</v>
      </c>
      <c r="H1236" s="22" t="s">
        <v>6575</v>
      </c>
      <c r="I1236" s="22" t="s">
        <v>8601</v>
      </c>
      <c r="J1236" s="22" t="n">
        <v>10.4</v>
      </c>
      <c r="K1236" s="22" t="n">
        <v>2</v>
      </c>
      <c r="L1236" s="22" t="s">
        <v>8629</v>
      </c>
      <c r="M1236" s="23" t="n">
        <v>45941</v>
      </c>
      <c r="N1236" s="23" t="n">
        <v>45938</v>
      </c>
      <c r="O1236" s="22" t="n">
        <v>7</v>
      </c>
      <c r="P1236" s="22"/>
      <c r="Q1236" s="22"/>
      <c r="R1236" s="22"/>
    </row>
    <row r="1237" customFormat="false" ht="15" hidden="false" customHeight="false" outlineLevel="0" collapsed="false">
      <c r="A1237" s="22" t="s">
        <v>10145</v>
      </c>
      <c r="B1237" s="23" t="n">
        <v>45949</v>
      </c>
      <c r="C1237" s="22" t="s">
        <v>6382</v>
      </c>
      <c r="D1237" s="22" t="n">
        <v>2823</v>
      </c>
      <c r="E1237" s="22" t="s">
        <v>8045</v>
      </c>
      <c r="F1237" s="22" t="s">
        <v>499</v>
      </c>
      <c r="G1237" s="22" t="n">
        <v>28</v>
      </c>
      <c r="H1237" s="22" t="s">
        <v>7696</v>
      </c>
      <c r="I1237" s="22" t="s">
        <v>8601</v>
      </c>
      <c r="J1237" s="22" t="n">
        <v>7.55</v>
      </c>
      <c r="K1237" s="22" t="n">
        <v>1</v>
      </c>
      <c r="L1237" s="22" t="s">
        <v>8613</v>
      </c>
      <c r="M1237" s="23" t="n">
        <v>45963</v>
      </c>
      <c r="N1237" s="22"/>
      <c r="O1237" s="22"/>
      <c r="P1237" s="22"/>
      <c r="Q1237" s="22"/>
      <c r="R1237" s="22"/>
    </row>
    <row r="1238" customFormat="false" ht="15" hidden="false" customHeight="false" outlineLevel="0" collapsed="false">
      <c r="A1238" s="22" t="s">
        <v>10146</v>
      </c>
      <c r="B1238" s="23" t="n">
        <v>45949</v>
      </c>
      <c r="C1238" s="22" t="s">
        <v>1899</v>
      </c>
      <c r="D1238" s="22" t="n">
        <v>668</v>
      </c>
      <c r="E1238" s="22" t="s">
        <v>8403</v>
      </c>
      <c r="F1238" s="22" t="s">
        <v>188</v>
      </c>
      <c r="G1238" s="22" t="n">
        <v>70</v>
      </c>
      <c r="H1238" s="22" t="s">
        <v>7696</v>
      </c>
      <c r="I1238" s="22" t="s">
        <v>8601</v>
      </c>
      <c r="J1238" s="22" t="n">
        <v>7.55</v>
      </c>
      <c r="K1238" s="22" t="n">
        <v>2</v>
      </c>
      <c r="L1238" s="22" t="s">
        <v>8613</v>
      </c>
      <c r="M1238" s="23" t="n">
        <v>45963</v>
      </c>
      <c r="N1238" s="22"/>
      <c r="O1238" s="22"/>
      <c r="P1238" s="22"/>
      <c r="Q1238" s="22"/>
      <c r="R1238" s="22"/>
    </row>
    <row r="1239" customFormat="false" ht="15" hidden="false" customHeight="false" outlineLevel="0" collapsed="false">
      <c r="A1239" s="22" t="s">
        <v>10147</v>
      </c>
      <c r="B1239" s="23" t="n">
        <v>45941</v>
      </c>
      <c r="C1239" s="22" t="s">
        <v>4950</v>
      </c>
      <c r="D1239" s="22" t="n">
        <v>2108</v>
      </c>
      <c r="E1239" s="22" t="s">
        <v>6572</v>
      </c>
      <c r="F1239" s="22" t="s">
        <v>198</v>
      </c>
      <c r="G1239" s="22" t="n">
        <v>24</v>
      </c>
      <c r="H1239" s="22" t="s">
        <v>6575</v>
      </c>
      <c r="I1239" s="22" t="s">
        <v>8601</v>
      </c>
      <c r="J1239" s="22" t="n">
        <v>10.4</v>
      </c>
      <c r="K1239" s="22" t="n">
        <v>1</v>
      </c>
      <c r="L1239" s="22" t="s">
        <v>8605</v>
      </c>
      <c r="M1239" s="23" t="n">
        <v>45951</v>
      </c>
      <c r="N1239" s="23" t="n">
        <v>45949</v>
      </c>
      <c r="O1239" s="22" t="n">
        <v>8</v>
      </c>
      <c r="P1239" s="22"/>
      <c r="Q1239" s="22" t="s">
        <v>10148</v>
      </c>
      <c r="R1239" s="22"/>
    </row>
    <row r="1240" customFormat="false" ht="15" hidden="false" customHeight="false" outlineLevel="0" collapsed="false">
      <c r="A1240" s="22" t="s">
        <v>10149</v>
      </c>
      <c r="B1240" s="23" t="n">
        <v>45954</v>
      </c>
      <c r="C1240" s="22" t="s">
        <v>4656</v>
      </c>
      <c r="D1240" s="22" t="n">
        <v>1963</v>
      </c>
      <c r="E1240" s="22" t="s">
        <v>6882</v>
      </c>
      <c r="F1240" s="22" t="s">
        <v>198</v>
      </c>
      <c r="G1240" s="22" t="n">
        <v>32</v>
      </c>
      <c r="H1240" s="22" t="s">
        <v>6575</v>
      </c>
      <c r="I1240" s="22" t="s">
        <v>8601</v>
      </c>
      <c r="J1240" s="22" t="n">
        <v>10.4</v>
      </c>
      <c r="K1240" s="22" t="n">
        <v>1</v>
      </c>
      <c r="L1240" s="22" t="s">
        <v>8613</v>
      </c>
      <c r="M1240" s="23" t="n">
        <v>45964</v>
      </c>
      <c r="N1240" s="22"/>
      <c r="O1240" s="22"/>
      <c r="P1240" s="22"/>
      <c r="Q1240" s="22"/>
      <c r="R1240" s="22"/>
    </row>
    <row r="1241" customFormat="false" ht="15" hidden="false" customHeight="false" outlineLevel="0" collapsed="false">
      <c r="A1241" s="22" t="s">
        <v>10150</v>
      </c>
      <c r="B1241" s="23" t="n">
        <v>45932</v>
      </c>
      <c r="C1241" s="22" t="s">
        <v>4068</v>
      </c>
      <c r="D1241" s="22" t="n">
        <v>1676</v>
      </c>
      <c r="E1241" s="22" t="s">
        <v>7731</v>
      </c>
      <c r="F1241" s="22" t="s">
        <v>215</v>
      </c>
      <c r="G1241" s="22" t="n">
        <v>32</v>
      </c>
      <c r="H1241" s="22" t="s">
        <v>7696</v>
      </c>
      <c r="I1241" s="22" t="s">
        <v>8601</v>
      </c>
      <c r="J1241" s="22" t="n">
        <v>7.55</v>
      </c>
      <c r="K1241" s="22" t="n">
        <v>2</v>
      </c>
      <c r="L1241" s="22" t="s">
        <v>8602</v>
      </c>
      <c r="M1241" s="23" t="n">
        <v>45946</v>
      </c>
      <c r="N1241" s="22"/>
      <c r="O1241" s="22"/>
      <c r="P1241" s="22" t="s">
        <v>8603</v>
      </c>
      <c r="Q1241" s="22"/>
      <c r="R1241" s="22"/>
    </row>
    <row r="1242" customFormat="false" ht="15" hidden="false" customHeight="false" outlineLevel="0" collapsed="false">
      <c r="A1242" s="22" t="s">
        <v>10151</v>
      </c>
      <c r="B1242" s="23" t="n">
        <v>45955</v>
      </c>
      <c r="C1242" s="22" t="s">
        <v>2525</v>
      </c>
      <c r="D1242" s="22" t="n">
        <v>949</v>
      </c>
      <c r="E1242" s="22" t="s">
        <v>8367</v>
      </c>
      <c r="F1242" s="22" t="s">
        <v>188</v>
      </c>
      <c r="G1242" s="22" t="n">
        <v>45</v>
      </c>
      <c r="H1242" s="22" t="s">
        <v>7696</v>
      </c>
      <c r="I1242" s="22" t="s">
        <v>8601</v>
      </c>
      <c r="J1242" s="22" t="n">
        <v>7.55</v>
      </c>
      <c r="K1242" s="22" t="n">
        <v>1</v>
      </c>
      <c r="L1242" s="22" t="s">
        <v>8605</v>
      </c>
      <c r="M1242" s="23" t="n">
        <v>45969</v>
      </c>
      <c r="N1242" s="23" t="n">
        <v>45965</v>
      </c>
      <c r="O1242" s="22" t="n">
        <v>10</v>
      </c>
      <c r="P1242" s="22"/>
      <c r="Q1242" s="22" t="s">
        <v>10152</v>
      </c>
      <c r="R1242" s="22"/>
    </row>
    <row r="1243" customFormat="false" ht="15" hidden="false" customHeight="false" outlineLevel="0" collapsed="false">
      <c r="A1243" s="22" t="s">
        <v>10153</v>
      </c>
      <c r="B1243" s="23" t="n">
        <v>45947</v>
      </c>
      <c r="C1243" s="22" t="s">
        <v>1957</v>
      </c>
      <c r="D1243" s="22" t="n">
        <v>694</v>
      </c>
      <c r="E1243" s="22" t="s">
        <v>7778</v>
      </c>
      <c r="F1243" s="22" t="s">
        <v>215</v>
      </c>
      <c r="G1243" s="22" t="n">
        <v>70</v>
      </c>
      <c r="H1243" s="22" t="s">
        <v>7696</v>
      </c>
      <c r="I1243" s="22" t="s">
        <v>8601</v>
      </c>
      <c r="J1243" s="22" t="n">
        <v>7.55</v>
      </c>
      <c r="K1243" s="22" t="n">
        <v>1</v>
      </c>
      <c r="L1243" s="22" t="s">
        <v>8605</v>
      </c>
      <c r="M1243" s="23" t="n">
        <v>45961</v>
      </c>
      <c r="N1243" s="23" t="n">
        <v>45961</v>
      </c>
      <c r="O1243" s="22" t="n">
        <v>14</v>
      </c>
      <c r="P1243" s="22"/>
      <c r="Q1243" s="22" t="s">
        <v>10060</v>
      </c>
      <c r="R1243" s="22"/>
    </row>
    <row r="1244" customFormat="false" ht="15" hidden="false" customHeight="false" outlineLevel="0" collapsed="false">
      <c r="A1244" s="22" t="s">
        <v>10154</v>
      </c>
      <c r="B1244" s="23" t="n">
        <v>45949</v>
      </c>
      <c r="C1244" s="22" t="s">
        <v>1920</v>
      </c>
      <c r="D1244" s="22" t="n">
        <v>678</v>
      </c>
      <c r="E1244" s="22" t="s">
        <v>8421</v>
      </c>
      <c r="F1244" s="22" t="s">
        <v>188</v>
      </c>
      <c r="G1244" s="22" t="n">
        <v>45</v>
      </c>
      <c r="H1244" s="22" t="s">
        <v>7696</v>
      </c>
      <c r="I1244" s="22" t="s">
        <v>8601</v>
      </c>
      <c r="J1244" s="22" t="n">
        <v>7.55</v>
      </c>
      <c r="K1244" s="22" t="n">
        <v>2</v>
      </c>
      <c r="L1244" s="22" t="s">
        <v>8605</v>
      </c>
      <c r="M1244" s="23" t="n">
        <v>45963</v>
      </c>
      <c r="N1244" s="23" t="n">
        <v>45954</v>
      </c>
      <c r="O1244" s="22" t="n">
        <v>5</v>
      </c>
      <c r="P1244" s="22"/>
      <c r="Q1244" s="22" t="s">
        <v>10155</v>
      </c>
      <c r="R1244" s="22"/>
    </row>
    <row r="1245" customFormat="false" ht="15" hidden="false" customHeight="false" outlineLevel="0" collapsed="false">
      <c r="A1245" s="22" t="s">
        <v>10156</v>
      </c>
      <c r="B1245" s="23" t="n">
        <v>45946</v>
      </c>
      <c r="C1245" s="22" t="s">
        <v>2989</v>
      </c>
      <c r="D1245" s="22" t="n">
        <v>1158</v>
      </c>
      <c r="E1245" s="22" t="s">
        <v>8534</v>
      </c>
      <c r="F1245" s="22" t="s">
        <v>188</v>
      </c>
      <c r="G1245" s="22" t="n">
        <v>28</v>
      </c>
      <c r="H1245" s="22" t="s">
        <v>7696</v>
      </c>
      <c r="I1245" s="22" t="s">
        <v>8601</v>
      </c>
      <c r="J1245" s="22" t="n">
        <v>7.55</v>
      </c>
      <c r="K1245" s="22" t="n">
        <v>2</v>
      </c>
      <c r="L1245" s="22" t="s">
        <v>8608</v>
      </c>
      <c r="M1245" s="23" t="n">
        <v>45960</v>
      </c>
      <c r="N1245" s="23" t="n">
        <v>45952</v>
      </c>
      <c r="O1245" s="22" t="n">
        <v>6</v>
      </c>
      <c r="P1245" s="22"/>
      <c r="Q1245" s="22"/>
      <c r="R1245" s="22"/>
    </row>
    <row r="1246" customFormat="false" ht="15" hidden="false" customHeight="false" outlineLevel="0" collapsed="false">
      <c r="A1246" s="22" t="s">
        <v>10157</v>
      </c>
      <c r="B1246" s="23" t="n">
        <v>45956</v>
      </c>
      <c r="C1246" s="22" t="s">
        <v>536</v>
      </c>
      <c r="D1246" s="22" t="n">
        <v>128</v>
      </c>
      <c r="E1246" s="22" t="s">
        <v>8284</v>
      </c>
      <c r="F1246" s="22" t="s">
        <v>499</v>
      </c>
      <c r="G1246" s="22" t="n">
        <v>36</v>
      </c>
      <c r="H1246" s="22" t="s">
        <v>7696</v>
      </c>
      <c r="I1246" s="22" t="s">
        <v>8601</v>
      </c>
      <c r="J1246" s="22" t="n">
        <v>7.55</v>
      </c>
      <c r="K1246" s="22" t="n">
        <v>2</v>
      </c>
      <c r="L1246" s="22" t="s">
        <v>8629</v>
      </c>
      <c r="M1246" s="23" t="n">
        <v>45970</v>
      </c>
      <c r="N1246" s="23" t="n">
        <v>45971</v>
      </c>
      <c r="O1246" s="22" t="n">
        <v>15</v>
      </c>
      <c r="P1246" s="22"/>
      <c r="Q1246" s="22"/>
      <c r="R1246" s="22"/>
    </row>
    <row r="1247" customFormat="false" ht="15" hidden="false" customHeight="false" outlineLevel="0" collapsed="false">
      <c r="A1247" s="22" t="s">
        <v>10158</v>
      </c>
      <c r="B1247" s="23" t="n">
        <v>45937</v>
      </c>
      <c r="C1247" s="22" t="s">
        <v>5649</v>
      </c>
      <c r="D1247" s="22" t="n">
        <v>2455</v>
      </c>
      <c r="E1247" s="22" t="s">
        <v>8426</v>
      </c>
      <c r="F1247" s="22" t="s">
        <v>188</v>
      </c>
      <c r="G1247" s="22" t="n">
        <v>32</v>
      </c>
      <c r="H1247" s="22" t="s">
        <v>7696</v>
      </c>
      <c r="I1247" s="22" t="s">
        <v>8601</v>
      </c>
      <c r="J1247" s="22" t="n">
        <v>7.55</v>
      </c>
      <c r="K1247" s="22" t="n">
        <v>1</v>
      </c>
      <c r="L1247" s="22" t="s">
        <v>8602</v>
      </c>
      <c r="M1247" s="23" t="n">
        <v>45951</v>
      </c>
      <c r="N1247" s="22"/>
      <c r="O1247" s="22"/>
      <c r="P1247" s="22" t="s">
        <v>8603</v>
      </c>
      <c r="Q1247" s="22"/>
      <c r="R1247" s="22"/>
    </row>
    <row r="1248" customFormat="false" ht="15" hidden="false" customHeight="false" outlineLevel="0" collapsed="false">
      <c r="A1248" s="22" t="s">
        <v>10159</v>
      </c>
      <c r="B1248" s="23" t="n">
        <v>45943</v>
      </c>
      <c r="C1248" s="22" t="s">
        <v>4139</v>
      </c>
      <c r="D1248" s="22" t="n">
        <v>1711</v>
      </c>
      <c r="E1248" s="22" t="s">
        <v>6693</v>
      </c>
      <c r="F1248" s="22" t="s">
        <v>198</v>
      </c>
      <c r="G1248" s="22" t="n">
        <v>28</v>
      </c>
      <c r="H1248" s="22" t="s">
        <v>6575</v>
      </c>
      <c r="I1248" s="22" t="s">
        <v>8601</v>
      </c>
      <c r="J1248" s="22" t="n">
        <v>10.4</v>
      </c>
      <c r="K1248" s="22" t="n">
        <v>1</v>
      </c>
      <c r="L1248" s="22" t="s">
        <v>8602</v>
      </c>
      <c r="M1248" s="23" t="n">
        <v>45953</v>
      </c>
      <c r="N1248" s="22"/>
      <c r="O1248" s="22"/>
      <c r="P1248" s="22" t="s">
        <v>8631</v>
      </c>
      <c r="Q1248" s="22"/>
      <c r="R1248" s="22"/>
    </row>
    <row r="1249" customFormat="false" ht="15" hidden="false" customHeight="false" outlineLevel="0" collapsed="false">
      <c r="A1249" s="22" t="s">
        <v>10160</v>
      </c>
      <c r="B1249" s="23" t="n">
        <v>45958</v>
      </c>
      <c r="C1249" s="22" t="s">
        <v>1732</v>
      </c>
      <c r="D1249" s="22" t="n">
        <v>599</v>
      </c>
      <c r="E1249" s="22" t="s">
        <v>7554</v>
      </c>
      <c r="F1249" s="22" t="s">
        <v>159</v>
      </c>
      <c r="G1249" s="22" t="n">
        <v>36</v>
      </c>
      <c r="H1249" s="22" t="s">
        <v>6575</v>
      </c>
      <c r="I1249" s="22" t="s">
        <v>8601</v>
      </c>
      <c r="J1249" s="22" t="n">
        <v>10.4</v>
      </c>
      <c r="K1249" s="22" t="n">
        <v>1</v>
      </c>
      <c r="L1249" s="22" t="s">
        <v>8605</v>
      </c>
      <c r="M1249" s="23" t="n">
        <v>45968</v>
      </c>
      <c r="N1249" s="23" t="n">
        <v>45964</v>
      </c>
      <c r="O1249" s="22" t="n">
        <v>6</v>
      </c>
      <c r="P1249" s="22"/>
      <c r="Q1249" s="22" t="s">
        <v>10161</v>
      </c>
      <c r="R1249" s="22"/>
    </row>
    <row r="1250" customFormat="false" ht="15" hidden="false" customHeight="false" outlineLevel="0" collapsed="false">
      <c r="A1250" s="22" t="s">
        <v>10162</v>
      </c>
      <c r="B1250" s="23" t="n">
        <v>45943</v>
      </c>
      <c r="C1250" s="22" t="s">
        <v>3605</v>
      </c>
      <c r="D1250" s="22" t="n">
        <v>1448</v>
      </c>
      <c r="E1250" s="22" t="s">
        <v>7145</v>
      </c>
      <c r="F1250" s="22" t="s">
        <v>198</v>
      </c>
      <c r="G1250" s="22" t="n">
        <v>28</v>
      </c>
      <c r="H1250" s="22" t="s">
        <v>6575</v>
      </c>
      <c r="I1250" s="22" t="s">
        <v>8601</v>
      </c>
      <c r="J1250" s="22" t="n">
        <v>10.4</v>
      </c>
      <c r="K1250" s="22" t="n">
        <v>2</v>
      </c>
      <c r="L1250" s="22" t="s">
        <v>8602</v>
      </c>
      <c r="M1250" s="23" t="n">
        <v>45953</v>
      </c>
      <c r="N1250" s="22"/>
      <c r="O1250" s="22"/>
      <c r="P1250" s="22" t="s">
        <v>8603</v>
      </c>
      <c r="Q1250" s="22"/>
      <c r="R1250" s="22"/>
    </row>
    <row r="1251" customFormat="false" ht="15" hidden="false" customHeight="false" outlineLevel="0" collapsed="false">
      <c r="A1251" s="22" t="s">
        <v>10163</v>
      </c>
      <c r="B1251" s="23" t="n">
        <v>45981</v>
      </c>
      <c r="C1251" s="22" t="s">
        <v>564</v>
      </c>
      <c r="D1251" s="22" t="n">
        <v>138</v>
      </c>
      <c r="E1251" s="22" t="s">
        <v>6944</v>
      </c>
      <c r="F1251" s="22" t="s">
        <v>198</v>
      </c>
      <c r="G1251" s="22" t="n">
        <v>24</v>
      </c>
      <c r="H1251" s="22" t="s">
        <v>6575</v>
      </c>
      <c r="I1251" s="22" t="s">
        <v>8601</v>
      </c>
      <c r="J1251" s="22" t="n">
        <v>10.4</v>
      </c>
      <c r="K1251" s="22" t="n">
        <v>1</v>
      </c>
      <c r="L1251" s="22" t="s">
        <v>8605</v>
      </c>
      <c r="M1251" s="23" t="n">
        <v>45991</v>
      </c>
      <c r="N1251" s="23" t="n">
        <v>45993</v>
      </c>
      <c r="O1251" s="22" t="n">
        <v>12</v>
      </c>
      <c r="P1251" s="22"/>
      <c r="Q1251" s="22" t="s">
        <v>9883</v>
      </c>
      <c r="R1251" s="22"/>
    </row>
    <row r="1252" customFormat="false" ht="15" hidden="false" customHeight="false" outlineLevel="0" collapsed="false">
      <c r="A1252" s="22" t="s">
        <v>10164</v>
      </c>
      <c r="B1252" s="23" t="n">
        <v>45987</v>
      </c>
      <c r="C1252" s="22" t="s">
        <v>2076</v>
      </c>
      <c r="D1252" s="22" t="n">
        <v>746</v>
      </c>
      <c r="E1252" s="22" t="s">
        <v>8528</v>
      </c>
      <c r="F1252" s="22" t="s">
        <v>188</v>
      </c>
      <c r="G1252" s="22" t="n">
        <v>70</v>
      </c>
      <c r="H1252" s="22" t="s">
        <v>7696</v>
      </c>
      <c r="I1252" s="22" t="s">
        <v>8601</v>
      </c>
      <c r="J1252" s="22" t="n">
        <v>7.55</v>
      </c>
      <c r="K1252" s="22" t="n">
        <v>2</v>
      </c>
      <c r="L1252" s="22" t="s">
        <v>8608</v>
      </c>
      <c r="M1252" s="23" t="n">
        <v>46001</v>
      </c>
      <c r="N1252" s="23" t="n">
        <v>46002</v>
      </c>
      <c r="O1252" s="22" t="n">
        <v>15</v>
      </c>
      <c r="P1252" s="22"/>
      <c r="Q1252" s="22"/>
      <c r="R1252" s="22"/>
    </row>
    <row r="1253" customFormat="false" ht="15" hidden="false" customHeight="false" outlineLevel="0" collapsed="false">
      <c r="A1253" s="22" t="s">
        <v>10165</v>
      </c>
      <c r="B1253" s="23" t="n">
        <v>45970</v>
      </c>
      <c r="C1253" s="22" t="s">
        <v>6354</v>
      </c>
      <c r="D1253" s="22" t="n">
        <v>2808</v>
      </c>
      <c r="E1253" s="22" t="s">
        <v>7917</v>
      </c>
      <c r="F1253" s="22" t="s">
        <v>215</v>
      </c>
      <c r="G1253" s="22" t="n">
        <v>32</v>
      </c>
      <c r="H1253" s="22" t="s">
        <v>7696</v>
      </c>
      <c r="I1253" s="22" t="s">
        <v>8601</v>
      </c>
      <c r="J1253" s="22" t="n">
        <v>7.55</v>
      </c>
      <c r="K1253" s="22" t="n">
        <v>2</v>
      </c>
      <c r="L1253" s="22" t="s">
        <v>8605</v>
      </c>
      <c r="M1253" s="23" t="n">
        <v>45984</v>
      </c>
      <c r="N1253" s="23" t="n">
        <v>45972</v>
      </c>
      <c r="O1253" s="22" t="n">
        <v>2</v>
      </c>
      <c r="P1253" s="22"/>
      <c r="Q1253" s="22" t="s">
        <v>9951</v>
      </c>
      <c r="R1253" s="22"/>
    </row>
    <row r="1254" customFormat="false" ht="15" hidden="false" customHeight="false" outlineLevel="0" collapsed="false">
      <c r="A1254" s="22" t="s">
        <v>10166</v>
      </c>
      <c r="B1254" s="23" t="n">
        <v>45988</v>
      </c>
      <c r="C1254" s="22" t="s">
        <v>905</v>
      </c>
      <c r="D1254" s="22" t="n">
        <v>264</v>
      </c>
      <c r="E1254" s="22" t="s">
        <v>8511</v>
      </c>
      <c r="F1254" s="22" t="s">
        <v>188</v>
      </c>
      <c r="G1254" s="22" t="n">
        <v>28</v>
      </c>
      <c r="H1254" s="22" t="s">
        <v>7696</v>
      </c>
      <c r="I1254" s="22" t="s">
        <v>8601</v>
      </c>
      <c r="J1254" s="22" t="n">
        <v>7.55</v>
      </c>
      <c r="K1254" s="22" t="n">
        <v>1</v>
      </c>
      <c r="L1254" s="22" t="s">
        <v>8602</v>
      </c>
      <c r="M1254" s="23" t="n">
        <v>46002</v>
      </c>
      <c r="N1254" s="22"/>
      <c r="O1254" s="22"/>
      <c r="P1254" s="22" t="s">
        <v>8603</v>
      </c>
      <c r="Q1254" s="22"/>
      <c r="R1254" s="22"/>
    </row>
    <row r="1255" customFormat="false" ht="15" hidden="false" customHeight="false" outlineLevel="0" collapsed="false">
      <c r="A1255" s="22" t="s">
        <v>10167</v>
      </c>
      <c r="B1255" s="23" t="n">
        <v>45987</v>
      </c>
      <c r="C1255" s="22" t="s">
        <v>2390</v>
      </c>
      <c r="D1255" s="22" t="n">
        <v>887</v>
      </c>
      <c r="E1255" s="22" t="s">
        <v>8533</v>
      </c>
      <c r="F1255" s="22" t="s">
        <v>188</v>
      </c>
      <c r="G1255" s="22" t="n">
        <v>28</v>
      </c>
      <c r="H1255" s="22" t="s">
        <v>7696</v>
      </c>
      <c r="I1255" s="22" t="s">
        <v>8601</v>
      </c>
      <c r="J1255" s="22" t="n">
        <v>7.55</v>
      </c>
      <c r="K1255" s="22" t="n">
        <v>1</v>
      </c>
      <c r="L1255" s="22" t="s">
        <v>8605</v>
      </c>
      <c r="M1255" s="23" t="n">
        <v>46001</v>
      </c>
      <c r="N1255" s="23" t="n">
        <v>46000</v>
      </c>
      <c r="O1255" s="22" t="n">
        <v>13</v>
      </c>
      <c r="P1255" s="22"/>
      <c r="Q1255" s="22" t="s">
        <v>9861</v>
      </c>
      <c r="R1255" s="22"/>
    </row>
    <row r="1256" customFormat="false" ht="15" hidden="false" customHeight="false" outlineLevel="0" collapsed="false">
      <c r="A1256" s="22" t="s">
        <v>10168</v>
      </c>
      <c r="B1256" s="23" t="n">
        <v>45981</v>
      </c>
      <c r="C1256" s="22" t="s">
        <v>2191</v>
      </c>
      <c r="D1256" s="22" t="n">
        <v>797</v>
      </c>
      <c r="E1256" s="22" t="s">
        <v>7178</v>
      </c>
      <c r="F1256" s="22" t="s">
        <v>198</v>
      </c>
      <c r="G1256" s="22" t="n">
        <v>28</v>
      </c>
      <c r="H1256" s="22" t="s">
        <v>6575</v>
      </c>
      <c r="I1256" s="22" t="s">
        <v>8601</v>
      </c>
      <c r="J1256" s="22" t="n">
        <v>10.4</v>
      </c>
      <c r="K1256" s="22" t="n">
        <v>1</v>
      </c>
      <c r="L1256" s="22" t="s">
        <v>157</v>
      </c>
      <c r="M1256" s="23" t="n">
        <v>45991</v>
      </c>
      <c r="N1256" s="23" t="n">
        <v>45991</v>
      </c>
      <c r="O1256" s="22" t="n">
        <v>10</v>
      </c>
      <c r="P1256" s="22"/>
      <c r="Q1256" s="22"/>
      <c r="R1256" s="22"/>
    </row>
    <row r="1257" customFormat="false" ht="15" hidden="false" customHeight="false" outlineLevel="0" collapsed="false">
      <c r="A1257" s="22" t="s">
        <v>10169</v>
      </c>
      <c r="B1257" s="23" t="n">
        <v>45964</v>
      </c>
      <c r="C1257" s="22" t="s">
        <v>3462</v>
      </c>
      <c r="D1257" s="22" t="n">
        <v>1380</v>
      </c>
      <c r="E1257" s="22" t="s">
        <v>6682</v>
      </c>
      <c r="F1257" s="22" t="s">
        <v>198</v>
      </c>
      <c r="G1257" s="22" t="n">
        <v>24</v>
      </c>
      <c r="H1257" s="22" t="s">
        <v>6575</v>
      </c>
      <c r="I1257" s="22" t="s">
        <v>8601</v>
      </c>
      <c r="J1257" s="22" t="n">
        <v>10.4</v>
      </c>
      <c r="K1257" s="22" t="n">
        <v>1</v>
      </c>
      <c r="L1257" s="22" t="s">
        <v>157</v>
      </c>
      <c r="M1257" s="23" t="n">
        <v>45974</v>
      </c>
      <c r="N1257" s="23" t="n">
        <v>45970</v>
      </c>
      <c r="O1257" s="22" t="n">
        <v>6</v>
      </c>
      <c r="P1257" s="22"/>
      <c r="Q1257" s="22"/>
      <c r="R1257" s="22"/>
    </row>
    <row r="1258" customFormat="false" ht="15" hidden="false" customHeight="false" outlineLevel="0" collapsed="false">
      <c r="A1258" s="22" t="s">
        <v>10170</v>
      </c>
      <c r="B1258" s="23" t="n">
        <v>45965</v>
      </c>
      <c r="C1258" s="22" t="s">
        <v>6546</v>
      </c>
      <c r="D1258" s="22" t="n">
        <v>2906</v>
      </c>
      <c r="E1258" s="22" t="s">
        <v>6772</v>
      </c>
      <c r="F1258" s="22" t="s">
        <v>198</v>
      </c>
      <c r="G1258" s="22" t="n">
        <v>32</v>
      </c>
      <c r="H1258" s="22" t="s">
        <v>6575</v>
      </c>
      <c r="I1258" s="22" t="s">
        <v>8601</v>
      </c>
      <c r="J1258" s="22" t="n">
        <v>10.4</v>
      </c>
      <c r="K1258" s="22" t="n">
        <v>1</v>
      </c>
      <c r="L1258" s="22" t="s">
        <v>8629</v>
      </c>
      <c r="M1258" s="23" t="n">
        <v>45975</v>
      </c>
      <c r="N1258" s="23" t="n">
        <v>45966</v>
      </c>
      <c r="O1258" s="22" t="n">
        <v>1</v>
      </c>
      <c r="P1258" s="22"/>
      <c r="Q1258" s="22"/>
      <c r="R1258" s="22"/>
    </row>
    <row r="1259" customFormat="false" ht="15" hidden="false" customHeight="false" outlineLevel="0" collapsed="false">
      <c r="A1259" s="22" t="s">
        <v>10171</v>
      </c>
      <c r="B1259" s="23" t="n">
        <v>45978</v>
      </c>
      <c r="C1259" s="22" t="s">
        <v>3512</v>
      </c>
      <c r="D1259" s="22" t="n">
        <v>1404</v>
      </c>
      <c r="E1259" s="22" t="s">
        <v>7340</v>
      </c>
      <c r="F1259" s="22" t="s">
        <v>159</v>
      </c>
      <c r="G1259" s="22" t="n">
        <v>32</v>
      </c>
      <c r="H1259" s="22" t="s">
        <v>6575</v>
      </c>
      <c r="I1259" s="22" t="s">
        <v>8601</v>
      </c>
      <c r="J1259" s="22" t="n">
        <v>10.4</v>
      </c>
      <c r="K1259" s="22" t="n">
        <v>1</v>
      </c>
      <c r="L1259" s="22" t="s">
        <v>8602</v>
      </c>
      <c r="M1259" s="23" t="n">
        <v>45988</v>
      </c>
      <c r="N1259" s="22"/>
      <c r="O1259" s="22"/>
      <c r="P1259" s="22" t="s">
        <v>8618</v>
      </c>
      <c r="Q1259" s="22"/>
      <c r="R1259" s="22"/>
    </row>
    <row r="1260" customFormat="false" ht="15" hidden="false" customHeight="false" outlineLevel="0" collapsed="false">
      <c r="A1260" s="22" t="s">
        <v>10172</v>
      </c>
      <c r="B1260" s="23" t="n">
        <v>45971</v>
      </c>
      <c r="C1260" s="22" t="s">
        <v>4336</v>
      </c>
      <c r="D1260" s="22" t="n">
        <v>1807</v>
      </c>
      <c r="E1260" s="22" t="s">
        <v>8210</v>
      </c>
      <c r="F1260" s="22" t="s">
        <v>499</v>
      </c>
      <c r="G1260" s="22" t="n">
        <v>32</v>
      </c>
      <c r="H1260" s="22" t="s">
        <v>7696</v>
      </c>
      <c r="I1260" s="22" t="s">
        <v>8601</v>
      </c>
      <c r="J1260" s="22" t="n">
        <v>7.55</v>
      </c>
      <c r="K1260" s="22" t="n">
        <v>1</v>
      </c>
      <c r="L1260" s="22" t="s">
        <v>8605</v>
      </c>
      <c r="M1260" s="23" t="n">
        <v>45985</v>
      </c>
      <c r="N1260" s="23" t="n">
        <v>45986</v>
      </c>
      <c r="O1260" s="22" t="n">
        <v>15</v>
      </c>
      <c r="P1260" s="22"/>
      <c r="Q1260" s="22" t="s">
        <v>10173</v>
      </c>
      <c r="R1260" s="22"/>
    </row>
    <row r="1261" customFormat="false" ht="15" hidden="false" customHeight="false" outlineLevel="0" collapsed="false">
      <c r="A1261" s="22" t="s">
        <v>10174</v>
      </c>
      <c r="B1261" s="23" t="n">
        <v>45963</v>
      </c>
      <c r="C1261" s="22" t="s">
        <v>4026</v>
      </c>
      <c r="D1261" s="22" t="n">
        <v>1656</v>
      </c>
      <c r="E1261" s="22" t="s">
        <v>7475</v>
      </c>
      <c r="F1261" s="22" t="s">
        <v>159</v>
      </c>
      <c r="G1261" s="22" t="n">
        <v>40</v>
      </c>
      <c r="H1261" s="22" t="s">
        <v>6575</v>
      </c>
      <c r="I1261" s="22" t="s">
        <v>8601</v>
      </c>
      <c r="J1261" s="22" t="n">
        <v>10.4</v>
      </c>
      <c r="K1261" s="22" t="n">
        <v>1</v>
      </c>
      <c r="L1261" s="22" t="s">
        <v>8605</v>
      </c>
      <c r="M1261" s="23" t="n">
        <v>45973</v>
      </c>
      <c r="N1261" s="23" t="n">
        <v>45970</v>
      </c>
      <c r="O1261" s="22" t="n">
        <v>7</v>
      </c>
      <c r="P1261" s="22"/>
      <c r="Q1261" s="22" t="s">
        <v>9846</v>
      </c>
      <c r="R1261" s="22"/>
    </row>
    <row r="1262" customFormat="false" ht="15" hidden="false" customHeight="false" outlineLevel="0" collapsed="false">
      <c r="A1262" s="22" t="s">
        <v>10175</v>
      </c>
      <c r="B1262" s="23" t="n">
        <v>45965</v>
      </c>
      <c r="C1262" s="22" t="s">
        <v>1361</v>
      </c>
      <c r="D1262" s="22" t="n">
        <v>443</v>
      </c>
      <c r="E1262" s="22" t="s">
        <v>7329</v>
      </c>
      <c r="F1262" s="22" t="s">
        <v>159</v>
      </c>
      <c r="G1262" s="22" t="n">
        <v>36</v>
      </c>
      <c r="H1262" s="22" t="s">
        <v>6575</v>
      </c>
      <c r="I1262" s="22" t="s">
        <v>8601</v>
      </c>
      <c r="J1262" s="22" t="n">
        <v>10.4</v>
      </c>
      <c r="K1262" s="22" t="n">
        <v>1</v>
      </c>
      <c r="L1262" s="22" t="s">
        <v>8605</v>
      </c>
      <c r="M1262" s="23" t="n">
        <v>45975</v>
      </c>
      <c r="N1262" s="23" t="n">
        <v>45969</v>
      </c>
      <c r="O1262" s="22" t="n">
        <v>4</v>
      </c>
      <c r="P1262" s="22"/>
      <c r="Q1262" s="22" t="s">
        <v>10176</v>
      </c>
      <c r="R1262" s="22"/>
    </row>
    <row r="1263" customFormat="false" ht="15" hidden="false" customHeight="false" outlineLevel="0" collapsed="false">
      <c r="A1263" s="22" t="s">
        <v>10177</v>
      </c>
      <c r="B1263" s="23" t="n">
        <v>45974</v>
      </c>
      <c r="C1263" s="22" t="s">
        <v>4380</v>
      </c>
      <c r="D1263" s="22" t="n">
        <v>1828</v>
      </c>
      <c r="E1263" s="22" t="s">
        <v>6891</v>
      </c>
      <c r="F1263" s="22" t="s">
        <v>198</v>
      </c>
      <c r="G1263" s="22" t="n">
        <v>40</v>
      </c>
      <c r="H1263" s="22" t="s">
        <v>6575</v>
      </c>
      <c r="I1263" s="22" t="s">
        <v>8601</v>
      </c>
      <c r="J1263" s="22" t="n">
        <v>10.4</v>
      </c>
      <c r="K1263" s="22" t="n">
        <v>2</v>
      </c>
      <c r="L1263" s="22" t="s">
        <v>8629</v>
      </c>
      <c r="M1263" s="23" t="n">
        <v>45984</v>
      </c>
      <c r="N1263" s="23" t="n">
        <v>45977</v>
      </c>
      <c r="O1263" s="22" t="n">
        <v>3</v>
      </c>
      <c r="P1263" s="22"/>
      <c r="Q1263" s="22"/>
      <c r="R1263" s="22"/>
    </row>
    <row r="1264" customFormat="false" ht="15" hidden="false" customHeight="false" outlineLevel="0" collapsed="false">
      <c r="A1264" s="22" t="s">
        <v>10178</v>
      </c>
      <c r="B1264" s="23" t="n">
        <v>46005</v>
      </c>
      <c r="C1264" s="22" t="s">
        <v>1041</v>
      </c>
      <c r="D1264" s="22" t="n">
        <v>315</v>
      </c>
      <c r="E1264" s="22" t="s">
        <v>8225</v>
      </c>
      <c r="F1264" s="22" t="s">
        <v>499</v>
      </c>
      <c r="G1264" s="22" t="n">
        <v>32</v>
      </c>
      <c r="H1264" s="22" t="s">
        <v>7696</v>
      </c>
      <c r="I1264" s="22" t="s">
        <v>8601</v>
      </c>
      <c r="J1264" s="22" t="n">
        <v>7.55</v>
      </c>
      <c r="K1264" s="22" t="n">
        <v>1</v>
      </c>
      <c r="L1264" s="22" t="s">
        <v>8729</v>
      </c>
      <c r="M1264" s="23" t="n">
        <v>46019</v>
      </c>
      <c r="N1264" s="23" t="n">
        <v>46015</v>
      </c>
      <c r="O1264" s="22" t="n">
        <v>10</v>
      </c>
      <c r="P1264" s="22"/>
      <c r="Q1264" s="22"/>
      <c r="R1264" s="22"/>
    </row>
    <row r="1265" customFormat="false" ht="15" hidden="false" customHeight="false" outlineLevel="0" collapsed="false">
      <c r="A1265" s="22" t="s">
        <v>10179</v>
      </c>
      <c r="B1265" s="23" t="n">
        <v>46008</v>
      </c>
      <c r="C1265" s="22" t="s">
        <v>3687</v>
      </c>
      <c r="D1265" s="22" t="n">
        <v>1489</v>
      </c>
      <c r="E1265" s="22" t="s">
        <v>8566</v>
      </c>
      <c r="F1265" s="22" t="s">
        <v>188</v>
      </c>
      <c r="G1265" s="22" t="n">
        <v>24</v>
      </c>
      <c r="H1265" s="22" t="s">
        <v>7696</v>
      </c>
      <c r="I1265" s="22" t="s">
        <v>8601</v>
      </c>
      <c r="J1265" s="22" t="n">
        <v>7.55</v>
      </c>
      <c r="K1265" s="22" t="n">
        <v>1</v>
      </c>
      <c r="L1265" s="22" t="s">
        <v>8605</v>
      </c>
      <c r="M1265" s="23" t="n">
        <v>46022</v>
      </c>
      <c r="N1265" s="23" t="n">
        <v>46015</v>
      </c>
      <c r="O1265" s="22" t="n">
        <v>7</v>
      </c>
      <c r="P1265" s="22"/>
      <c r="Q1265" s="22" t="s">
        <v>10062</v>
      </c>
      <c r="R1265" s="22"/>
    </row>
    <row r="1266" customFormat="false" ht="15" hidden="false" customHeight="false" outlineLevel="0" collapsed="false">
      <c r="A1266" s="22" t="s">
        <v>10180</v>
      </c>
      <c r="B1266" s="23" t="n">
        <v>46006</v>
      </c>
      <c r="C1266" s="22" t="s">
        <v>2143</v>
      </c>
      <c r="D1266" s="22" t="n">
        <v>776</v>
      </c>
      <c r="E1266" s="22" t="s">
        <v>8155</v>
      </c>
      <c r="F1266" s="22" t="s">
        <v>499</v>
      </c>
      <c r="G1266" s="22" t="n">
        <v>32</v>
      </c>
      <c r="H1266" s="22" t="s">
        <v>7696</v>
      </c>
      <c r="I1266" s="22" t="s">
        <v>8601</v>
      </c>
      <c r="J1266" s="22" t="n">
        <v>7.55</v>
      </c>
      <c r="K1266" s="22" t="n">
        <v>1</v>
      </c>
      <c r="L1266" s="22" t="s">
        <v>8602</v>
      </c>
      <c r="M1266" s="23" t="n">
        <v>46020</v>
      </c>
      <c r="N1266" s="22"/>
      <c r="O1266" s="22"/>
      <c r="P1266" s="22" t="s">
        <v>8618</v>
      </c>
      <c r="Q1266" s="22"/>
      <c r="R1266" s="22"/>
    </row>
    <row r="1267" customFormat="false" ht="15" hidden="false" customHeight="false" outlineLevel="0" collapsed="false">
      <c r="A1267" s="22" t="s">
        <v>10181</v>
      </c>
      <c r="B1267" s="23" t="n">
        <v>45996</v>
      </c>
      <c r="C1267" s="22" t="s">
        <v>4753</v>
      </c>
      <c r="D1267" s="22" t="n">
        <v>2010</v>
      </c>
      <c r="E1267" s="22" t="s">
        <v>8309</v>
      </c>
      <c r="F1267" s="22" t="s">
        <v>499</v>
      </c>
      <c r="G1267" s="22" t="n">
        <v>32</v>
      </c>
      <c r="H1267" s="22" t="s">
        <v>7696</v>
      </c>
      <c r="I1267" s="22" t="s">
        <v>8601</v>
      </c>
      <c r="J1267" s="22" t="n">
        <v>7.55</v>
      </c>
      <c r="K1267" s="22" t="n">
        <v>1</v>
      </c>
      <c r="L1267" s="22" t="s">
        <v>8608</v>
      </c>
      <c r="M1267" s="23" t="n">
        <v>46010</v>
      </c>
      <c r="N1267" s="23" t="n">
        <v>46001</v>
      </c>
      <c r="O1267" s="22" t="n">
        <v>5</v>
      </c>
      <c r="P1267" s="22"/>
      <c r="Q1267" s="22"/>
      <c r="R1267" s="22"/>
    </row>
    <row r="1268" customFormat="false" ht="15" hidden="false" customHeight="false" outlineLevel="0" collapsed="false">
      <c r="A1268" s="22" t="s">
        <v>10182</v>
      </c>
      <c r="B1268" s="23" t="n">
        <v>46014</v>
      </c>
      <c r="C1268" s="22" t="s">
        <v>2830</v>
      </c>
      <c r="D1268" s="22" t="n">
        <v>1086</v>
      </c>
      <c r="E1268" s="22" t="s">
        <v>6817</v>
      </c>
      <c r="F1268" s="22" t="s">
        <v>198</v>
      </c>
      <c r="G1268" s="22" t="n">
        <v>24</v>
      </c>
      <c r="H1268" s="22" t="s">
        <v>6575</v>
      </c>
      <c r="I1268" s="22" t="s">
        <v>8601</v>
      </c>
      <c r="J1268" s="22" t="n">
        <v>10.4</v>
      </c>
      <c r="K1268" s="22" t="n">
        <v>1</v>
      </c>
      <c r="L1268" s="22" t="s">
        <v>8608</v>
      </c>
      <c r="M1268" s="23" t="n">
        <v>46024</v>
      </c>
      <c r="N1268" s="23" t="n">
        <v>46019</v>
      </c>
      <c r="O1268" s="22" t="n">
        <v>5</v>
      </c>
      <c r="P1268" s="22"/>
      <c r="Q1268" s="22"/>
      <c r="R1268" s="22"/>
    </row>
    <row r="1269" customFormat="false" ht="15" hidden="false" customHeight="false" outlineLevel="0" collapsed="false">
      <c r="A1269" s="22" t="s">
        <v>10183</v>
      </c>
      <c r="B1269" s="23" t="n">
        <v>46013</v>
      </c>
      <c r="C1269" s="22" t="s">
        <v>3915</v>
      </c>
      <c r="D1269" s="22" t="n">
        <v>1601</v>
      </c>
      <c r="E1269" s="22" t="s">
        <v>7380</v>
      </c>
      <c r="F1269" s="22" t="s">
        <v>159</v>
      </c>
      <c r="G1269" s="22" t="n">
        <v>32</v>
      </c>
      <c r="H1269" s="22" t="s">
        <v>6575</v>
      </c>
      <c r="I1269" s="22" t="s">
        <v>8601</v>
      </c>
      <c r="J1269" s="22" t="n">
        <v>10.4</v>
      </c>
      <c r="K1269" s="22" t="n">
        <v>1</v>
      </c>
      <c r="L1269" s="22" t="s">
        <v>8605</v>
      </c>
      <c r="M1269" s="23" t="n">
        <v>46023</v>
      </c>
      <c r="N1269" s="23" t="n">
        <v>46015</v>
      </c>
      <c r="O1269" s="22" t="n">
        <v>2</v>
      </c>
      <c r="P1269" s="22"/>
      <c r="Q1269" s="22" t="s">
        <v>10123</v>
      </c>
      <c r="R1269" s="22"/>
    </row>
    <row r="1270" customFormat="false" ht="15" hidden="false" customHeight="false" outlineLevel="0" collapsed="false">
      <c r="A1270" s="22" t="s">
        <v>10184</v>
      </c>
      <c r="B1270" s="23" t="n">
        <v>46019</v>
      </c>
      <c r="C1270" s="22" t="s">
        <v>5028</v>
      </c>
      <c r="D1270" s="22" t="n">
        <v>2146</v>
      </c>
      <c r="E1270" s="22" t="s">
        <v>8010</v>
      </c>
      <c r="F1270" s="22" t="s">
        <v>215</v>
      </c>
      <c r="G1270" s="22" t="n">
        <v>50</v>
      </c>
      <c r="H1270" s="22" t="s">
        <v>7696</v>
      </c>
      <c r="I1270" s="22" t="s">
        <v>8601</v>
      </c>
      <c r="J1270" s="22" t="n">
        <v>7.55</v>
      </c>
      <c r="K1270" s="22" t="n">
        <v>1</v>
      </c>
      <c r="L1270" s="22" t="s">
        <v>157</v>
      </c>
      <c r="M1270" s="23" t="n">
        <v>46033</v>
      </c>
      <c r="N1270" s="23" t="n">
        <v>46036</v>
      </c>
      <c r="O1270" s="22" t="n">
        <v>17</v>
      </c>
      <c r="P1270" s="22"/>
      <c r="Q1270" s="22"/>
      <c r="R1270" s="22"/>
    </row>
    <row r="1271" customFormat="false" ht="15" hidden="false" customHeight="false" outlineLevel="0" collapsed="false">
      <c r="A1271" s="22" t="s">
        <v>10185</v>
      </c>
      <c r="B1271" s="23" t="n">
        <v>46007</v>
      </c>
      <c r="C1271" s="22" t="s">
        <v>5631</v>
      </c>
      <c r="D1271" s="22" t="n">
        <v>2446</v>
      </c>
      <c r="E1271" s="22" t="s">
        <v>7493</v>
      </c>
      <c r="F1271" s="22" t="s">
        <v>159</v>
      </c>
      <c r="G1271" s="22" t="n">
        <v>28</v>
      </c>
      <c r="H1271" s="22" t="s">
        <v>6575</v>
      </c>
      <c r="I1271" s="22" t="s">
        <v>8601</v>
      </c>
      <c r="J1271" s="22" t="n">
        <v>10.4</v>
      </c>
      <c r="K1271" s="22" t="n">
        <v>1</v>
      </c>
      <c r="L1271" s="22" t="s">
        <v>8605</v>
      </c>
      <c r="M1271" s="23" t="n">
        <v>46017</v>
      </c>
      <c r="N1271" s="23" t="n">
        <v>46020</v>
      </c>
      <c r="O1271" s="22" t="n">
        <v>13</v>
      </c>
      <c r="P1271" s="22"/>
      <c r="Q1271" s="22" t="s">
        <v>10186</v>
      </c>
      <c r="R1271" s="22"/>
    </row>
    <row r="1272" customFormat="false" ht="15" hidden="false" customHeight="false" outlineLevel="0" collapsed="false">
      <c r="A1272" s="22" t="s">
        <v>10187</v>
      </c>
      <c r="B1272" s="23" t="n">
        <v>45998</v>
      </c>
      <c r="C1272" s="22" t="s">
        <v>2635</v>
      </c>
      <c r="D1272" s="22" t="n">
        <v>998</v>
      </c>
      <c r="E1272" s="22" t="s">
        <v>8560</v>
      </c>
      <c r="F1272" s="22" t="s">
        <v>188</v>
      </c>
      <c r="G1272" s="22" t="n">
        <v>24</v>
      </c>
      <c r="H1272" s="22" t="s">
        <v>7696</v>
      </c>
      <c r="I1272" s="22" t="s">
        <v>8601</v>
      </c>
      <c r="J1272" s="22" t="n">
        <v>7.55</v>
      </c>
      <c r="K1272" s="22" t="n">
        <v>1</v>
      </c>
      <c r="L1272" s="22" t="s">
        <v>8605</v>
      </c>
      <c r="M1272" s="23" t="n">
        <v>46012</v>
      </c>
      <c r="N1272" s="23" t="n">
        <v>46009</v>
      </c>
      <c r="O1272" s="22" t="n">
        <v>11</v>
      </c>
      <c r="P1272" s="22"/>
      <c r="Q1272" s="22" t="s">
        <v>10188</v>
      </c>
      <c r="R1272" s="22"/>
    </row>
    <row r="1273" customFormat="false" ht="15" hidden="false" customHeight="false" outlineLevel="0" collapsed="false">
      <c r="A1273" s="22" t="s">
        <v>10189</v>
      </c>
      <c r="B1273" s="23" t="n">
        <v>46011</v>
      </c>
      <c r="C1273" s="22" t="s">
        <v>5961</v>
      </c>
      <c r="D1273" s="22" t="n">
        <v>2611</v>
      </c>
      <c r="E1273" s="22" t="s">
        <v>6787</v>
      </c>
      <c r="F1273" s="22" t="s">
        <v>198</v>
      </c>
      <c r="G1273" s="22" t="n">
        <v>32</v>
      </c>
      <c r="H1273" s="22" t="s">
        <v>6575</v>
      </c>
      <c r="I1273" s="22" t="s">
        <v>8601</v>
      </c>
      <c r="J1273" s="22" t="n">
        <v>10.4</v>
      </c>
      <c r="K1273" s="22" t="n">
        <v>1</v>
      </c>
      <c r="L1273" s="22" t="s">
        <v>8629</v>
      </c>
      <c r="M1273" s="23" t="n">
        <v>46021</v>
      </c>
      <c r="N1273" s="23" t="n">
        <v>46023</v>
      </c>
      <c r="O1273" s="22" t="n">
        <v>12</v>
      </c>
      <c r="P1273" s="22"/>
      <c r="Q1273" s="22"/>
      <c r="R1273" s="22"/>
    </row>
    <row r="1274" customFormat="false" ht="15" hidden="false" customHeight="false" outlineLevel="0" collapsed="false">
      <c r="A1274" s="22" t="s">
        <v>10190</v>
      </c>
      <c r="B1274" s="23" t="n">
        <v>46004</v>
      </c>
      <c r="C1274" s="22" t="s">
        <v>2913</v>
      </c>
      <c r="D1274" s="22" t="n">
        <v>1123</v>
      </c>
      <c r="E1274" s="22" t="s">
        <v>6988</v>
      </c>
      <c r="F1274" s="22" t="s">
        <v>198</v>
      </c>
      <c r="G1274" s="22" t="n">
        <v>40</v>
      </c>
      <c r="H1274" s="22" t="s">
        <v>6575</v>
      </c>
      <c r="I1274" s="22" t="s">
        <v>8601</v>
      </c>
      <c r="J1274" s="22" t="n">
        <v>10.4</v>
      </c>
      <c r="K1274" s="22" t="n">
        <v>1</v>
      </c>
      <c r="L1274" s="22" t="s">
        <v>8629</v>
      </c>
      <c r="M1274" s="23" t="n">
        <v>46014</v>
      </c>
      <c r="N1274" s="23" t="n">
        <v>46011</v>
      </c>
      <c r="O1274" s="22" t="n">
        <v>7</v>
      </c>
      <c r="P1274" s="22"/>
      <c r="Q1274" s="22"/>
      <c r="R1274" s="22"/>
    </row>
    <row r="1275" customFormat="false" ht="15" hidden="false" customHeight="false" outlineLevel="0" collapsed="false">
      <c r="A1275" s="22" t="s">
        <v>10191</v>
      </c>
      <c r="B1275" s="23" t="n">
        <v>46004</v>
      </c>
      <c r="C1275" s="22" t="s">
        <v>4216</v>
      </c>
      <c r="D1275" s="22" t="n">
        <v>1748</v>
      </c>
      <c r="E1275" s="22" t="s">
        <v>8342</v>
      </c>
      <c r="F1275" s="22" t="s">
        <v>188</v>
      </c>
      <c r="G1275" s="22" t="n">
        <v>50</v>
      </c>
      <c r="H1275" s="22" t="s">
        <v>7696</v>
      </c>
      <c r="I1275" s="22" t="s">
        <v>8601</v>
      </c>
      <c r="J1275" s="22" t="n">
        <v>7.55</v>
      </c>
      <c r="K1275" s="22" t="n">
        <v>1</v>
      </c>
      <c r="L1275" s="22" t="s">
        <v>8605</v>
      </c>
      <c r="M1275" s="23" t="n">
        <v>46018</v>
      </c>
      <c r="N1275" s="23" t="n">
        <v>46006</v>
      </c>
      <c r="O1275" s="22" t="n">
        <v>2</v>
      </c>
      <c r="P1275" s="22"/>
      <c r="Q1275" s="22" t="s">
        <v>10192</v>
      </c>
      <c r="R1275" s="22"/>
    </row>
    <row r="1276" customFormat="false" ht="15" hidden="false" customHeight="false" outlineLevel="0" collapsed="false">
      <c r="A1276" s="22" t="s">
        <v>10193</v>
      </c>
      <c r="B1276" s="23" t="n">
        <v>45993</v>
      </c>
      <c r="C1276" s="22" t="s">
        <v>6449</v>
      </c>
      <c r="D1276" s="22" t="n">
        <v>2858</v>
      </c>
      <c r="E1276" s="22" t="s">
        <v>7992</v>
      </c>
      <c r="F1276" s="22" t="s">
        <v>215</v>
      </c>
      <c r="G1276" s="22" t="n">
        <v>28</v>
      </c>
      <c r="H1276" s="22" t="s">
        <v>7696</v>
      </c>
      <c r="I1276" s="22" t="s">
        <v>8601</v>
      </c>
      <c r="J1276" s="22" t="n">
        <v>7.55</v>
      </c>
      <c r="K1276" s="22" t="n">
        <v>1</v>
      </c>
      <c r="L1276" s="22" t="s">
        <v>8629</v>
      </c>
      <c r="M1276" s="23" t="n">
        <v>46007</v>
      </c>
      <c r="N1276" s="23" t="n">
        <v>45999</v>
      </c>
      <c r="O1276" s="22" t="n">
        <v>6</v>
      </c>
      <c r="P1276" s="22"/>
      <c r="Q1276" s="22"/>
      <c r="R1276" s="22"/>
    </row>
    <row r="1277" customFormat="false" ht="15" hidden="false" customHeight="false" outlineLevel="0" collapsed="false">
      <c r="A1277" s="22" t="s">
        <v>10194</v>
      </c>
      <c r="B1277" s="23" t="n">
        <v>46017</v>
      </c>
      <c r="C1277" s="22" t="s">
        <v>4715</v>
      </c>
      <c r="D1277" s="22" t="n">
        <v>1991</v>
      </c>
      <c r="E1277" s="22" t="s">
        <v>8432</v>
      </c>
      <c r="F1277" s="22" t="s">
        <v>188</v>
      </c>
      <c r="G1277" s="22" t="n">
        <v>28</v>
      </c>
      <c r="H1277" s="22" t="s">
        <v>7696</v>
      </c>
      <c r="I1277" s="22" t="s">
        <v>8601</v>
      </c>
      <c r="J1277" s="22" t="n">
        <v>7.55</v>
      </c>
      <c r="K1277" s="22" t="n">
        <v>2</v>
      </c>
      <c r="L1277" s="22" t="s">
        <v>8602</v>
      </c>
      <c r="M1277" s="23" t="n">
        <v>46031</v>
      </c>
      <c r="N1277" s="22"/>
      <c r="O1277" s="22"/>
      <c r="P1277" s="22" t="s">
        <v>8603</v>
      </c>
      <c r="Q1277" s="22"/>
      <c r="R1277" s="22"/>
    </row>
    <row r="1278" customFormat="false" ht="15" hidden="false" customHeight="false" outlineLevel="0" collapsed="false">
      <c r="A1278" s="22" t="s">
        <v>10195</v>
      </c>
      <c r="B1278" s="23" t="n">
        <v>46042</v>
      </c>
      <c r="C1278" s="22" t="s">
        <v>6333</v>
      </c>
      <c r="D1278" s="22" t="n">
        <v>2797</v>
      </c>
      <c r="E1278" s="22" t="s">
        <v>8465</v>
      </c>
      <c r="F1278" s="22" t="s">
        <v>188</v>
      </c>
      <c r="G1278" s="22" t="n">
        <v>32</v>
      </c>
      <c r="H1278" s="22" t="s">
        <v>7696</v>
      </c>
      <c r="I1278" s="22" t="s">
        <v>8601</v>
      </c>
      <c r="J1278" s="22" t="n">
        <v>7.55</v>
      </c>
      <c r="K1278" s="22" t="n">
        <v>1</v>
      </c>
      <c r="L1278" s="22" t="s">
        <v>8613</v>
      </c>
      <c r="M1278" s="23" t="n">
        <v>46056</v>
      </c>
      <c r="N1278" s="22"/>
      <c r="O1278" s="22"/>
      <c r="P1278" s="22"/>
      <c r="Q1278" s="22"/>
      <c r="R1278" s="22"/>
    </row>
    <row r="1279" customFormat="false" ht="15" hidden="false" customHeight="false" outlineLevel="0" collapsed="false">
      <c r="A1279" s="22" t="s">
        <v>10196</v>
      </c>
      <c r="B1279" s="23" t="n">
        <v>46035</v>
      </c>
      <c r="C1279" s="22" t="s">
        <v>4755</v>
      </c>
      <c r="D1279" s="22" t="n">
        <v>2011</v>
      </c>
      <c r="E1279" s="22" t="s">
        <v>8533</v>
      </c>
      <c r="F1279" s="22" t="s">
        <v>188</v>
      </c>
      <c r="G1279" s="22" t="n">
        <v>28</v>
      </c>
      <c r="H1279" s="22" t="s">
        <v>7696</v>
      </c>
      <c r="I1279" s="22" t="s">
        <v>8601</v>
      </c>
      <c r="J1279" s="22" t="n">
        <v>7.55</v>
      </c>
      <c r="K1279" s="22" t="n">
        <v>2</v>
      </c>
      <c r="L1279" s="22" t="s">
        <v>8602</v>
      </c>
      <c r="M1279" s="23" t="n">
        <v>46049</v>
      </c>
      <c r="N1279" s="22"/>
      <c r="O1279" s="22"/>
      <c r="P1279" s="22" t="s">
        <v>8603</v>
      </c>
      <c r="Q1279" s="22"/>
      <c r="R1279" s="22"/>
    </row>
    <row r="1280" customFormat="false" ht="15" hidden="false" customHeight="false" outlineLevel="0" collapsed="false">
      <c r="A1280" s="22" t="s">
        <v>10197</v>
      </c>
      <c r="B1280" s="23" t="n">
        <v>46035</v>
      </c>
      <c r="C1280" s="22" t="s">
        <v>1176</v>
      </c>
      <c r="D1280" s="22" t="n">
        <v>368</v>
      </c>
      <c r="E1280" s="22" t="s">
        <v>7948</v>
      </c>
      <c r="F1280" s="22" t="s">
        <v>215</v>
      </c>
      <c r="G1280" s="22" t="n">
        <v>45</v>
      </c>
      <c r="H1280" s="22" t="s">
        <v>7696</v>
      </c>
      <c r="I1280" s="22" t="s">
        <v>8601</v>
      </c>
      <c r="J1280" s="22" t="n">
        <v>7.55</v>
      </c>
      <c r="K1280" s="22" t="n">
        <v>1</v>
      </c>
      <c r="L1280" s="22" t="s">
        <v>8602</v>
      </c>
      <c r="M1280" s="23" t="n">
        <v>46049</v>
      </c>
      <c r="N1280" s="22"/>
      <c r="O1280" s="22"/>
      <c r="P1280" s="22" t="s">
        <v>8637</v>
      </c>
      <c r="Q1280" s="22"/>
      <c r="R1280" s="22"/>
    </row>
    <row r="1281" customFormat="false" ht="15" hidden="false" customHeight="false" outlineLevel="0" collapsed="false">
      <c r="A1281" s="22" t="s">
        <v>10198</v>
      </c>
      <c r="B1281" s="23" t="n">
        <v>46043</v>
      </c>
      <c r="C1281" s="22" t="s">
        <v>1343</v>
      </c>
      <c r="D1281" s="22" t="n">
        <v>435</v>
      </c>
      <c r="E1281" s="22" t="s">
        <v>8232</v>
      </c>
      <c r="F1281" s="22" t="s">
        <v>499</v>
      </c>
      <c r="G1281" s="22" t="n">
        <v>70</v>
      </c>
      <c r="H1281" s="22" t="s">
        <v>7696</v>
      </c>
      <c r="I1281" s="22" t="s">
        <v>8601</v>
      </c>
      <c r="J1281" s="22" t="n">
        <v>7.55</v>
      </c>
      <c r="K1281" s="22" t="n">
        <v>1</v>
      </c>
      <c r="L1281" s="22" t="s">
        <v>8602</v>
      </c>
      <c r="M1281" s="23" t="n">
        <v>46057</v>
      </c>
      <c r="N1281" s="22"/>
      <c r="O1281" s="22"/>
      <c r="P1281" s="22" t="s">
        <v>8618</v>
      </c>
      <c r="Q1281" s="22"/>
      <c r="R1281" s="22"/>
    </row>
    <row r="1282" customFormat="false" ht="15" hidden="false" customHeight="false" outlineLevel="0" collapsed="false">
      <c r="A1282" s="22" t="s">
        <v>10199</v>
      </c>
      <c r="B1282" s="23" t="n">
        <v>46050</v>
      </c>
      <c r="C1282" s="22" t="s">
        <v>5944</v>
      </c>
      <c r="D1282" s="22" t="n">
        <v>2603</v>
      </c>
      <c r="E1282" s="22" t="s">
        <v>7332</v>
      </c>
      <c r="F1282" s="22" t="s">
        <v>159</v>
      </c>
      <c r="G1282" s="22" t="n">
        <v>24</v>
      </c>
      <c r="H1282" s="22" t="s">
        <v>6575</v>
      </c>
      <c r="I1282" s="22" t="s">
        <v>8601</v>
      </c>
      <c r="J1282" s="22" t="n">
        <v>10.4</v>
      </c>
      <c r="K1282" s="22" t="n">
        <v>1</v>
      </c>
      <c r="L1282" s="22" t="s">
        <v>8629</v>
      </c>
      <c r="M1282" s="23" t="n">
        <v>46060</v>
      </c>
      <c r="N1282" s="23" t="n">
        <v>46058</v>
      </c>
      <c r="O1282" s="22" t="n">
        <v>8</v>
      </c>
      <c r="P1282" s="22"/>
      <c r="Q1282" s="22"/>
      <c r="R1282" s="22"/>
    </row>
    <row r="1283" customFormat="false" ht="15" hidden="false" customHeight="false" outlineLevel="0" collapsed="false">
      <c r="A1283" s="22" t="s">
        <v>10200</v>
      </c>
      <c r="B1283" s="23" t="n">
        <v>46040</v>
      </c>
      <c r="C1283" s="22" t="s">
        <v>5607</v>
      </c>
      <c r="D1283" s="22" t="n">
        <v>2434</v>
      </c>
      <c r="E1283" s="22" t="s">
        <v>7011</v>
      </c>
      <c r="F1283" s="22" t="s">
        <v>198</v>
      </c>
      <c r="G1283" s="22" t="n">
        <v>24</v>
      </c>
      <c r="H1283" s="22" t="s">
        <v>6575</v>
      </c>
      <c r="I1283" s="22" t="s">
        <v>8601</v>
      </c>
      <c r="J1283" s="22" t="n">
        <v>10.4</v>
      </c>
      <c r="K1283" s="22" t="n">
        <v>1</v>
      </c>
      <c r="L1283" s="22" t="s">
        <v>8608</v>
      </c>
      <c r="M1283" s="23" t="n">
        <v>46050</v>
      </c>
      <c r="N1283" s="23" t="n">
        <v>46046</v>
      </c>
      <c r="O1283" s="22" t="n">
        <v>6</v>
      </c>
      <c r="P1283" s="22"/>
      <c r="Q1283" s="22"/>
      <c r="R1283" s="22"/>
    </row>
    <row r="1284" customFormat="false" ht="15" hidden="false" customHeight="false" outlineLevel="0" collapsed="false">
      <c r="A1284" s="22" t="s">
        <v>10201</v>
      </c>
      <c r="B1284" s="23" t="n">
        <v>46049</v>
      </c>
      <c r="C1284" s="22" t="s">
        <v>5133</v>
      </c>
      <c r="D1284" s="22" t="n">
        <v>2197</v>
      </c>
      <c r="E1284" s="22" t="s">
        <v>7268</v>
      </c>
      <c r="F1284" s="22" t="s">
        <v>198</v>
      </c>
      <c r="G1284" s="22" t="n">
        <v>24</v>
      </c>
      <c r="H1284" s="22" t="s">
        <v>6575</v>
      </c>
      <c r="I1284" s="22" t="s">
        <v>8601</v>
      </c>
      <c r="J1284" s="22" t="n">
        <v>10.4</v>
      </c>
      <c r="K1284" s="22" t="n">
        <v>1</v>
      </c>
      <c r="L1284" s="22" t="s">
        <v>8602</v>
      </c>
      <c r="M1284" s="23" t="n">
        <v>46059</v>
      </c>
      <c r="N1284" s="22"/>
      <c r="O1284" s="22"/>
      <c r="P1284" s="22" t="s">
        <v>8631</v>
      </c>
      <c r="Q1284" s="22"/>
      <c r="R1284" s="22"/>
    </row>
    <row r="1285" customFormat="false" ht="15" hidden="false" customHeight="false" outlineLevel="0" collapsed="false">
      <c r="A1285" s="22" t="s">
        <v>10202</v>
      </c>
      <c r="B1285" s="23" t="n">
        <v>46023</v>
      </c>
      <c r="C1285" s="22" t="s">
        <v>1632</v>
      </c>
      <c r="D1285" s="22" t="n">
        <v>558</v>
      </c>
      <c r="E1285" s="22" t="s">
        <v>7832</v>
      </c>
      <c r="F1285" s="22" t="s">
        <v>215</v>
      </c>
      <c r="G1285" s="22" t="n">
        <v>36</v>
      </c>
      <c r="H1285" s="22" t="s">
        <v>7696</v>
      </c>
      <c r="I1285" s="22" t="s">
        <v>8601</v>
      </c>
      <c r="J1285" s="22" t="n">
        <v>7.55</v>
      </c>
      <c r="K1285" s="22" t="n">
        <v>1</v>
      </c>
      <c r="L1285" s="22" t="s">
        <v>8602</v>
      </c>
      <c r="M1285" s="23" t="n">
        <v>46037</v>
      </c>
      <c r="N1285" s="22"/>
      <c r="O1285" s="22"/>
      <c r="P1285" s="22" t="s">
        <v>8603</v>
      </c>
      <c r="Q1285" s="22"/>
      <c r="R1285" s="22"/>
    </row>
    <row r="1286" customFormat="false" ht="15" hidden="false" customHeight="false" outlineLevel="0" collapsed="false">
      <c r="A1286" s="22" t="s">
        <v>10203</v>
      </c>
      <c r="B1286" s="23" t="n">
        <v>46023</v>
      </c>
      <c r="C1286" s="22" t="s">
        <v>4842</v>
      </c>
      <c r="D1286" s="22" t="n">
        <v>2054</v>
      </c>
      <c r="E1286" s="22" t="s">
        <v>7376</v>
      </c>
      <c r="F1286" s="22" t="s">
        <v>159</v>
      </c>
      <c r="G1286" s="22" t="n">
        <v>28</v>
      </c>
      <c r="H1286" s="22" t="s">
        <v>6575</v>
      </c>
      <c r="I1286" s="22" t="s">
        <v>8601</v>
      </c>
      <c r="J1286" s="22" t="n">
        <v>10.4</v>
      </c>
      <c r="K1286" s="22" t="n">
        <v>2</v>
      </c>
      <c r="L1286" s="22" t="s">
        <v>8602</v>
      </c>
      <c r="M1286" s="23" t="n">
        <v>46033</v>
      </c>
      <c r="N1286" s="22"/>
      <c r="O1286" s="22"/>
      <c r="P1286" s="22" t="s">
        <v>8603</v>
      </c>
      <c r="Q1286" s="22"/>
      <c r="R1286" s="22"/>
    </row>
    <row r="1287" customFormat="false" ht="15" hidden="false" customHeight="false" outlineLevel="0" collapsed="false">
      <c r="A1287" s="22" t="s">
        <v>10204</v>
      </c>
      <c r="B1287" s="23" t="n">
        <v>46038</v>
      </c>
      <c r="C1287" s="22" t="s">
        <v>4406</v>
      </c>
      <c r="D1287" s="22" t="n">
        <v>1841</v>
      </c>
      <c r="E1287" s="22" t="s">
        <v>8532</v>
      </c>
      <c r="F1287" s="22" t="s">
        <v>188</v>
      </c>
      <c r="G1287" s="22" t="n">
        <v>80</v>
      </c>
      <c r="H1287" s="22" t="s">
        <v>7696</v>
      </c>
      <c r="I1287" s="22" t="s">
        <v>8601</v>
      </c>
      <c r="J1287" s="22" t="n">
        <v>7.55</v>
      </c>
      <c r="K1287" s="22" t="n">
        <v>1</v>
      </c>
      <c r="L1287" s="22" t="s">
        <v>8605</v>
      </c>
      <c r="M1287" s="23" t="n">
        <v>46052</v>
      </c>
      <c r="N1287" s="23" t="n">
        <v>46050</v>
      </c>
      <c r="O1287" s="22" t="n">
        <v>12</v>
      </c>
      <c r="P1287" s="22"/>
      <c r="Q1287" s="22" t="s">
        <v>10205</v>
      </c>
      <c r="R1287" s="22"/>
    </row>
    <row r="1288" customFormat="false" ht="15" hidden="false" customHeight="false" outlineLevel="0" collapsed="false">
      <c r="A1288" s="22" t="s">
        <v>10206</v>
      </c>
      <c r="B1288" s="23" t="n">
        <v>46032</v>
      </c>
      <c r="C1288" s="22" t="s">
        <v>1987</v>
      </c>
      <c r="D1288" s="22" t="n">
        <v>706</v>
      </c>
      <c r="E1288" s="22" t="s">
        <v>7303</v>
      </c>
      <c r="F1288" s="22" t="s">
        <v>159</v>
      </c>
      <c r="G1288" s="22" t="n">
        <v>36</v>
      </c>
      <c r="H1288" s="22" t="s">
        <v>6575</v>
      </c>
      <c r="I1288" s="22" t="s">
        <v>8601</v>
      </c>
      <c r="J1288" s="22" t="n">
        <v>10.4</v>
      </c>
      <c r="K1288" s="22" t="n">
        <v>1</v>
      </c>
      <c r="L1288" s="22" t="s">
        <v>8729</v>
      </c>
      <c r="M1288" s="23" t="n">
        <v>46042</v>
      </c>
      <c r="N1288" s="23" t="n">
        <v>46045</v>
      </c>
      <c r="O1288" s="22" t="n">
        <v>13</v>
      </c>
      <c r="P1288" s="22"/>
      <c r="Q1288" s="22"/>
      <c r="R1288" s="22"/>
    </row>
    <row r="1289" customFormat="false" ht="15" hidden="false" customHeight="false" outlineLevel="0" collapsed="false">
      <c r="A1289" s="22" t="s">
        <v>10207</v>
      </c>
      <c r="B1289" s="23" t="n">
        <v>46032</v>
      </c>
      <c r="C1289" s="22" t="s">
        <v>4458</v>
      </c>
      <c r="D1289" s="22" t="n">
        <v>1867</v>
      </c>
      <c r="E1289" s="22" t="s">
        <v>8270</v>
      </c>
      <c r="F1289" s="22" t="s">
        <v>499</v>
      </c>
      <c r="G1289" s="22" t="n">
        <v>70</v>
      </c>
      <c r="H1289" s="22" t="s">
        <v>7696</v>
      </c>
      <c r="I1289" s="22" t="s">
        <v>8601</v>
      </c>
      <c r="J1289" s="22" t="n">
        <v>7.55</v>
      </c>
      <c r="K1289" s="22" t="n">
        <v>2</v>
      </c>
      <c r="L1289" s="22" t="s">
        <v>157</v>
      </c>
      <c r="M1289" s="23" t="n">
        <v>46046</v>
      </c>
      <c r="N1289" s="23" t="n">
        <v>46033</v>
      </c>
      <c r="O1289" s="22" t="n">
        <v>1</v>
      </c>
      <c r="P1289" s="22"/>
      <c r="Q1289" s="22"/>
      <c r="R1289" s="22"/>
    </row>
    <row r="1290" customFormat="false" ht="15" hidden="false" customHeight="false" outlineLevel="0" collapsed="false">
      <c r="A1290" s="22" t="s">
        <v>10208</v>
      </c>
      <c r="B1290" s="23" t="n">
        <v>46026</v>
      </c>
      <c r="C1290" s="22" t="s">
        <v>4930</v>
      </c>
      <c r="D1290" s="22" t="n">
        <v>2098</v>
      </c>
      <c r="E1290" s="22" t="s">
        <v>6968</v>
      </c>
      <c r="F1290" s="22" t="s">
        <v>198</v>
      </c>
      <c r="G1290" s="22" t="n">
        <v>28</v>
      </c>
      <c r="H1290" s="22" t="s">
        <v>6575</v>
      </c>
      <c r="I1290" s="22" t="s">
        <v>8601</v>
      </c>
      <c r="J1290" s="22" t="n">
        <v>10.4</v>
      </c>
      <c r="K1290" s="22" t="n">
        <v>2</v>
      </c>
      <c r="L1290" s="22" t="s">
        <v>8605</v>
      </c>
      <c r="M1290" s="23" t="n">
        <v>46036</v>
      </c>
      <c r="N1290" s="23" t="n">
        <v>46039</v>
      </c>
      <c r="O1290" s="22" t="n">
        <v>13</v>
      </c>
      <c r="P1290" s="22"/>
      <c r="Q1290" s="22" t="s">
        <v>10209</v>
      </c>
      <c r="R1290" s="22"/>
    </row>
    <row r="1291" customFormat="false" ht="15" hidden="false" customHeight="false" outlineLevel="0" collapsed="false">
      <c r="A1291" s="22" t="s">
        <v>10210</v>
      </c>
      <c r="B1291" s="23" t="n">
        <v>46040</v>
      </c>
      <c r="C1291" s="22" t="s">
        <v>2979</v>
      </c>
      <c r="D1291" s="22" t="n">
        <v>1154</v>
      </c>
      <c r="E1291" s="22" t="s">
        <v>8498</v>
      </c>
      <c r="F1291" s="22" t="s">
        <v>188</v>
      </c>
      <c r="G1291" s="22" t="n">
        <v>24</v>
      </c>
      <c r="H1291" s="22" t="s">
        <v>7696</v>
      </c>
      <c r="I1291" s="22" t="s">
        <v>8601</v>
      </c>
      <c r="J1291" s="22" t="n">
        <v>7.55</v>
      </c>
      <c r="K1291" s="22" t="n">
        <v>2</v>
      </c>
      <c r="L1291" s="22" t="s">
        <v>8629</v>
      </c>
      <c r="M1291" s="23" t="n">
        <v>46054</v>
      </c>
      <c r="N1291" s="23" t="n">
        <v>46055</v>
      </c>
      <c r="O1291" s="22" t="n">
        <v>15</v>
      </c>
      <c r="P1291" s="22"/>
      <c r="Q1291" s="22"/>
      <c r="R1291" s="22"/>
    </row>
    <row r="1292" customFormat="false" ht="15" hidden="false" customHeight="false" outlineLevel="0" collapsed="false">
      <c r="A1292" s="22" t="s">
        <v>10211</v>
      </c>
      <c r="B1292" s="23" t="n">
        <v>46075</v>
      </c>
      <c r="C1292" s="22" t="s">
        <v>6370</v>
      </c>
      <c r="D1292" s="22" t="n">
        <v>2817</v>
      </c>
      <c r="E1292" s="22" t="s">
        <v>8573</v>
      </c>
      <c r="F1292" s="22" t="s">
        <v>188</v>
      </c>
      <c r="G1292" s="22" t="n">
        <v>32</v>
      </c>
      <c r="H1292" s="22" t="s">
        <v>7696</v>
      </c>
      <c r="I1292" s="22" t="s">
        <v>8601</v>
      </c>
      <c r="J1292" s="22" t="n">
        <v>7.55</v>
      </c>
      <c r="K1292" s="22" t="n">
        <v>1</v>
      </c>
      <c r="L1292" s="22" t="s">
        <v>8602</v>
      </c>
      <c r="M1292" s="23" t="n">
        <v>46089</v>
      </c>
      <c r="N1292" s="22"/>
      <c r="O1292" s="22"/>
      <c r="P1292" s="22" t="s">
        <v>8603</v>
      </c>
      <c r="Q1292" s="22"/>
      <c r="R1292" s="22"/>
    </row>
    <row r="1293" customFormat="false" ht="15" hidden="false" customHeight="false" outlineLevel="0" collapsed="false">
      <c r="A1293" s="22" t="s">
        <v>10212</v>
      </c>
      <c r="B1293" s="23" t="n">
        <v>46063</v>
      </c>
      <c r="C1293" s="22" t="s">
        <v>2828</v>
      </c>
      <c r="D1293" s="22" t="n">
        <v>1085</v>
      </c>
      <c r="E1293" s="22" t="s">
        <v>8566</v>
      </c>
      <c r="F1293" s="22" t="s">
        <v>188</v>
      </c>
      <c r="G1293" s="22" t="n">
        <v>24</v>
      </c>
      <c r="H1293" s="22" t="s">
        <v>7696</v>
      </c>
      <c r="I1293" s="22" t="s">
        <v>8601</v>
      </c>
      <c r="J1293" s="22" t="n">
        <v>7.55</v>
      </c>
      <c r="K1293" s="22" t="n">
        <v>1</v>
      </c>
      <c r="L1293" s="22" t="s">
        <v>8605</v>
      </c>
      <c r="M1293" s="23" t="n">
        <v>46077</v>
      </c>
      <c r="N1293" s="23" t="n">
        <v>46077</v>
      </c>
      <c r="O1293" s="22" t="n">
        <v>14</v>
      </c>
      <c r="P1293" s="22"/>
      <c r="Q1293" s="22" t="s">
        <v>10213</v>
      </c>
      <c r="R1293" s="22"/>
    </row>
    <row r="1294" customFormat="false" ht="15" hidden="false" customHeight="false" outlineLevel="0" collapsed="false">
      <c r="A1294" s="22" t="s">
        <v>10214</v>
      </c>
      <c r="B1294" s="23" t="n">
        <v>46055</v>
      </c>
      <c r="C1294" s="22" t="s">
        <v>3423</v>
      </c>
      <c r="D1294" s="22" t="n">
        <v>1361</v>
      </c>
      <c r="E1294" s="22" t="s">
        <v>7062</v>
      </c>
      <c r="F1294" s="22" t="s">
        <v>198</v>
      </c>
      <c r="G1294" s="22" t="n">
        <v>36</v>
      </c>
      <c r="H1294" s="22" t="s">
        <v>6575</v>
      </c>
      <c r="I1294" s="22" t="s">
        <v>8601</v>
      </c>
      <c r="J1294" s="22" t="n">
        <v>10.4</v>
      </c>
      <c r="K1294" s="22" t="n">
        <v>1</v>
      </c>
      <c r="L1294" s="22" t="s">
        <v>8605</v>
      </c>
      <c r="M1294" s="23" t="n">
        <v>46065</v>
      </c>
      <c r="N1294" s="23" t="n">
        <v>46067</v>
      </c>
      <c r="O1294" s="22" t="n">
        <v>12</v>
      </c>
      <c r="P1294" s="22"/>
      <c r="Q1294" s="22" t="s">
        <v>10215</v>
      </c>
      <c r="R1294" s="22"/>
    </row>
    <row r="1295" customFormat="false" ht="15" hidden="false" customHeight="false" outlineLevel="0" collapsed="false">
      <c r="A1295" s="22" t="s">
        <v>10216</v>
      </c>
      <c r="B1295" s="23" t="n">
        <v>46073</v>
      </c>
      <c r="C1295" s="22" t="s">
        <v>3811</v>
      </c>
      <c r="D1295" s="22" t="n">
        <v>1550</v>
      </c>
      <c r="E1295" s="22" t="s">
        <v>7088</v>
      </c>
      <c r="F1295" s="22" t="s">
        <v>198</v>
      </c>
      <c r="G1295" s="22" t="n">
        <v>36</v>
      </c>
      <c r="H1295" s="22" t="s">
        <v>6575</v>
      </c>
      <c r="I1295" s="22" t="s">
        <v>8601</v>
      </c>
      <c r="J1295" s="22" t="n">
        <v>10.4</v>
      </c>
      <c r="K1295" s="22" t="n">
        <v>1</v>
      </c>
      <c r="L1295" s="22" t="s">
        <v>157</v>
      </c>
      <c r="M1295" s="23" t="n">
        <v>46083</v>
      </c>
      <c r="N1295" s="23" t="n">
        <v>46082</v>
      </c>
      <c r="O1295" s="22" t="n">
        <v>9</v>
      </c>
      <c r="P1295" s="22"/>
      <c r="Q1295" s="22"/>
      <c r="R1295" s="22"/>
    </row>
    <row r="1296" customFormat="false" ht="15" hidden="false" customHeight="false" outlineLevel="0" collapsed="false">
      <c r="A1296" s="22" t="s">
        <v>10217</v>
      </c>
      <c r="B1296" s="23" t="n">
        <v>46075</v>
      </c>
      <c r="C1296" s="22" t="s">
        <v>285</v>
      </c>
      <c r="D1296" s="22" t="n">
        <v>41</v>
      </c>
      <c r="E1296" s="22" t="s">
        <v>7099</v>
      </c>
      <c r="F1296" s="22" t="s">
        <v>198</v>
      </c>
      <c r="G1296" s="22" t="n">
        <v>24</v>
      </c>
      <c r="H1296" s="22" t="s">
        <v>6575</v>
      </c>
      <c r="I1296" s="22" t="s">
        <v>8601</v>
      </c>
      <c r="J1296" s="22" t="n">
        <v>10.4</v>
      </c>
      <c r="K1296" s="22" t="n">
        <v>1</v>
      </c>
      <c r="L1296" s="22" t="s">
        <v>8629</v>
      </c>
      <c r="M1296" s="23" t="n">
        <v>46085</v>
      </c>
      <c r="N1296" s="23" t="n">
        <v>46082</v>
      </c>
      <c r="O1296" s="22" t="n">
        <v>7</v>
      </c>
      <c r="P1296" s="22"/>
      <c r="Q1296" s="22"/>
      <c r="R1296" s="22"/>
    </row>
    <row r="1297" customFormat="false" ht="15" hidden="false" customHeight="false" outlineLevel="0" collapsed="false">
      <c r="A1297" s="22" t="s">
        <v>10218</v>
      </c>
      <c r="B1297" s="23" t="n">
        <v>46070</v>
      </c>
      <c r="C1297" s="22" t="s">
        <v>267</v>
      </c>
      <c r="D1297" s="22" t="n">
        <v>35</v>
      </c>
      <c r="E1297" s="22" t="s">
        <v>7495</v>
      </c>
      <c r="F1297" s="22" t="s">
        <v>159</v>
      </c>
      <c r="G1297" s="22" t="n">
        <v>32</v>
      </c>
      <c r="H1297" s="22" t="s">
        <v>6575</v>
      </c>
      <c r="I1297" s="22" t="s">
        <v>8601</v>
      </c>
      <c r="J1297" s="22" t="n">
        <v>10.4</v>
      </c>
      <c r="K1297" s="22" t="n">
        <v>1</v>
      </c>
      <c r="L1297" s="22" t="s">
        <v>8613</v>
      </c>
      <c r="M1297" s="23" t="n">
        <v>46080</v>
      </c>
      <c r="N1297" s="22"/>
      <c r="O1297" s="22"/>
      <c r="P1297" s="22"/>
      <c r="Q1297" s="22"/>
      <c r="R1297" s="22"/>
    </row>
    <row r="1298" customFormat="false" ht="15" hidden="false" customHeight="false" outlineLevel="0" collapsed="false">
      <c r="A1298" s="22" t="s">
        <v>10219</v>
      </c>
      <c r="B1298" s="23" t="n">
        <v>46080</v>
      </c>
      <c r="C1298" s="22" t="s">
        <v>6046</v>
      </c>
      <c r="D1298" s="22" t="n">
        <v>2653</v>
      </c>
      <c r="E1298" s="22" t="s">
        <v>6968</v>
      </c>
      <c r="F1298" s="22" t="s">
        <v>198</v>
      </c>
      <c r="G1298" s="22" t="n">
        <v>28</v>
      </c>
      <c r="H1298" s="22" t="s">
        <v>6575</v>
      </c>
      <c r="I1298" s="22" t="s">
        <v>8601</v>
      </c>
      <c r="J1298" s="22" t="n">
        <v>10.4</v>
      </c>
      <c r="K1298" s="22" t="n">
        <v>2</v>
      </c>
      <c r="L1298" s="22" t="s">
        <v>8602</v>
      </c>
      <c r="M1298" s="23" t="n">
        <v>46090</v>
      </c>
      <c r="N1298" s="22"/>
      <c r="O1298" s="22"/>
      <c r="P1298" s="22" t="s">
        <v>8603</v>
      </c>
      <c r="Q1298" s="22"/>
      <c r="R1298" s="22"/>
    </row>
    <row r="1299" customFormat="false" ht="15" hidden="false" customHeight="false" outlineLevel="0" collapsed="false">
      <c r="A1299" s="22" t="s">
        <v>10220</v>
      </c>
      <c r="B1299" s="23" t="n">
        <v>46067</v>
      </c>
      <c r="C1299" s="22" t="s">
        <v>1746</v>
      </c>
      <c r="D1299" s="22" t="n">
        <v>605</v>
      </c>
      <c r="E1299" s="22" t="s">
        <v>7638</v>
      </c>
      <c r="F1299" s="22" t="s">
        <v>159</v>
      </c>
      <c r="G1299" s="22" t="n">
        <v>40</v>
      </c>
      <c r="H1299" s="22" t="s">
        <v>6575</v>
      </c>
      <c r="I1299" s="22" t="s">
        <v>8601</v>
      </c>
      <c r="J1299" s="22" t="n">
        <v>10.4</v>
      </c>
      <c r="K1299" s="22" t="n">
        <v>1</v>
      </c>
      <c r="L1299" s="22" t="s">
        <v>8602</v>
      </c>
      <c r="M1299" s="23" t="n">
        <v>46077</v>
      </c>
      <c r="N1299" s="22"/>
      <c r="O1299" s="22"/>
      <c r="P1299" s="22" t="s">
        <v>8637</v>
      </c>
      <c r="Q1299" s="22"/>
      <c r="R1299" s="22"/>
    </row>
    <row r="1300" customFormat="false" ht="15" hidden="false" customHeight="false" outlineLevel="0" collapsed="false">
      <c r="A1300" s="22" t="s">
        <v>10221</v>
      </c>
      <c r="B1300" s="23" t="n">
        <v>46075</v>
      </c>
      <c r="C1300" s="22" t="s">
        <v>1614</v>
      </c>
      <c r="D1300" s="22" t="n">
        <v>550</v>
      </c>
      <c r="E1300" s="22" t="s">
        <v>8020</v>
      </c>
      <c r="F1300" s="22" t="s">
        <v>215</v>
      </c>
      <c r="G1300" s="22" t="n">
        <v>24</v>
      </c>
      <c r="H1300" s="22" t="s">
        <v>7696</v>
      </c>
      <c r="I1300" s="22" t="s">
        <v>8601</v>
      </c>
      <c r="J1300" s="22" t="n">
        <v>7.55</v>
      </c>
      <c r="K1300" s="22" t="n">
        <v>1</v>
      </c>
      <c r="L1300" s="22" t="s">
        <v>8602</v>
      </c>
      <c r="M1300" s="23" t="n">
        <v>46089</v>
      </c>
      <c r="N1300" s="22"/>
      <c r="O1300" s="22"/>
      <c r="P1300" s="22" t="s">
        <v>8603</v>
      </c>
      <c r="Q1300" s="22"/>
      <c r="R1300" s="22"/>
    </row>
    <row r="1301" customFormat="false" ht="15" hidden="false" customHeight="false" outlineLevel="0" collapsed="false">
      <c r="A1301" s="22" t="s">
        <v>10222</v>
      </c>
      <c r="B1301" s="23" t="n">
        <v>46055</v>
      </c>
      <c r="C1301" s="22" t="s">
        <v>833</v>
      </c>
      <c r="D1301" s="22" t="n">
        <v>236</v>
      </c>
      <c r="E1301" s="22" t="s">
        <v>7990</v>
      </c>
      <c r="F1301" s="22" t="s">
        <v>215</v>
      </c>
      <c r="G1301" s="22" t="n">
        <v>24</v>
      </c>
      <c r="H1301" s="22" t="s">
        <v>7696</v>
      </c>
      <c r="I1301" s="22" t="s">
        <v>8601</v>
      </c>
      <c r="J1301" s="22" t="n">
        <v>7.55</v>
      </c>
      <c r="K1301" s="22" t="n">
        <v>1</v>
      </c>
      <c r="L1301" s="22" t="s">
        <v>157</v>
      </c>
      <c r="M1301" s="23" t="n">
        <v>46069</v>
      </c>
      <c r="N1301" s="23" t="n">
        <v>46057</v>
      </c>
      <c r="O1301" s="22" t="n">
        <v>2</v>
      </c>
      <c r="P1301" s="22"/>
      <c r="Q1301" s="22"/>
      <c r="R1301" s="22"/>
    </row>
    <row r="1302" customFormat="false" ht="15" hidden="false" customHeight="false" outlineLevel="0" collapsed="false">
      <c r="A1302" s="22" t="s">
        <v>10223</v>
      </c>
      <c r="B1302" s="23" t="n">
        <v>46066</v>
      </c>
      <c r="C1302" s="22" t="s">
        <v>4836</v>
      </c>
      <c r="D1302" s="22" t="n">
        <v>2051</v>
      </c>
      <c r="E1302" s="22" t="s">
        <v>7447</v>
      </c>
      <c r="F1302" s="22" t="s">
        <v>159</v>
      </c>
      <c r="G1302" s="22" t="n">
        <v>32</v>
      </c>
      <c r="H1302" s="22" t="s">
        <v>6575</v>
      </c>
      <c r="I1302" s="22" t="s">
        <v>8601</v>
      </c>
      <c r="J1302" s="22" t="n">
        <v>10.4</v>
      </c>
      <c r="K1302" s="22" t="n">
        <v>1</v>
      </c>
      <c r="L1302" s="22" t="s">
        <v>157</v>
      </c>
      <c r="M1302" s="23" t="n">
        <v>46076</v>
      </c>
      <c r="N1302" s="23" t="n">
        <v>46070</v>
      </c>
      <c r="O1302" s="22" t="n">
        <v>4</v>
      </c>
      <c r="P1302" s="22"/>
      <c r="Q1302" s="22"/>
      <c r="R1302" s="22"/>
    </row>
    <row r="1303" customFormat="false" ht="15" hidden="false" customHeight="false" outlineLevel="0" collapsed="false">
      <c r="A1303" s="22" t="s">
        <v>10224</v>
      </c>
      <c r="B1303" s="23" t="n">
        <v>46060</v>
      </c>
      <c r="C1303" s="22" t="s">
        <v>3729</v>
      </c>
      <c r="D1303" s="22" t="n">
        <v>1509</v>
      </c>
      <c r="E1303" s="22" t="s">
        <v>8493</v>
      </c>
      <c r="F1303" s="22" t="s">
        <v>188</v>
      </c>
      <c r="G1303" s="22" t="n">
        <v>50</v>
      </c>
      <c r="H1303" s="22" t="s">
        <v>7696</v>
      </c>
      <c r="I1303" s="22" t="s">
        <v>8601</v>
      </c>
      <c r="J1303" s="22" t="n">
        <v>7.55</v>
      </c>
      <c r="K1303" s="22" t="n">
        <v>1</v>
      </c>
      <c r="L1303" s="22" t="s">
        <v>8605</v>
      </c>
      <c r="M1303" s="23" t="n">
        <v>46074</v>
      </c>
      <c r="N1303" s="23" t="n">
        <v>46064</v>
      </c>
      <c r="O1303" s="22" t="n">
        <v>4</v>
      </c>
      <c r="P1303" s="22"/>
      <c r="Q1303" s="22" t="s">
        <v>10225</v>
      </c>
      <c r="R1303" s="22"/>
    </row>
    <row r="1304" customFormat="false" ht="15" hidden="false" customHeight="false" outlineLevel="0" collapsed="false">
      <c r="A1304" s="22" t="s">
        <v>10226</v>
      </c>
      <c r="B1304" s="23" t="n">
        <v>46075</v>
      </c>
      <c r="C1304" s="22" t="s">
        <v>4250</v>
      </c>
      <c r="D1304" s="22" t="n">
        <v>1765</v>
      </c>
      <c r="E1304" s="22" t="s">
        <v>8115</v>
      </c>
      <c r="F1304" s="22" t="s">
        <v>499</v>
      </c>
      <c r="G1304" s="22" t="n">
        <v>70</v>
      </c>
      <c r="H1304" s="22" t="s">
        <v>7696</v>
      </c>
      <c r="I1304" s="22" t="s">
        <v>8601</v>
      </c>
      <c r="J1304" s="22" t="n">
        <v>7.55</v>
      </c>
      <c r="K1304" s="22" t="n">
        <v>2</v>
      </c>
      <c r="L1304" s="22" t="s">
        <v>8605</v>
      </c>
      <c r="M1304" s="23" t="n">
        <v>46089</v>
      </c>
      <c r="N1304" s="23" t="n">
        <v>46089</v>
      </c>
      <c r="O1304" s="22" t="n">
        <v>14</v>
      </c>
      <c r="P1304" s="22"/>
      <c r="Q1304" s="22" t="s">
        <v>10227</v>
      </c>
      <c r="R1304" s="22"/>
    </row>
    <row r="1305" customFormat="false" ht="15" hidden="false" customHeight="false" outlineLevel="0" collapsed="false">
      <c r="A1305" s="22" t="s">
        <v>10228</v>
      </c>
      <c r="B1305" s="23" t="n">
        <v>46067</v>
      </c>
      <c r="C1305" s="22" t="s">
        <v>4088</v>
      </c>
      <c r="D1305" s="22" t="n">
        <v>1686</v>
      </c>
      <c r="E1305" s="22" t="s">
        <v>7336</v>
      </c>
      <c r="F1305" s="22" t="s">
        <v>159</v>
      </c>
      <c r="G1305" s="22" t="n">
        <v>40</v>
      </c>
      <c r="H1305" s="22" t="s">
        <v>6575</v>
      </c>
      <c r="I1305" s="22" t="s">
        <v>8601</v>
      </c>
      <c r="J1305" s="22" t="n">
        <v>10.4</v>
      </c>
      <c r="K1305" s="22" t="n">
        <v>2</v>
      </c>
      <c r="L1305" s="22" t="s">
        <v>8605</v>
      </c>
      <c r="M1305" s="23" t="n">
        <v>46077</v>
      </c>
      <c r="N1305" s="23" t="n">
        <v>46071</v>
      </c>
      <c r="O1305" s="22" t="n">
        <v>4</v>
      </c>
      <c r="P1305" s="22"/>
      <c r="Q1305" s="22" t="s">
        <v>10229</v>
      </c>
      <c r="R1305" s="22"/>
    </row>
    <row r="1306" customFormat="false" ht="15" hidden="false" customHeight="false" outlineLevel="0" collapsed="false">
      <c r="A1306" s="22" t="s">
        <v>10230</v>
      </c>
      <c r="B1306" s="23" t="n">
        <v>46075</v>
      </c>
      <c r="C1306" s="22" t="s">
        <v>4587</v>
      </c>
      <c r="D1306" s="22" t="n">
        <v>1930</v>
      </c>
      <c r="E1306" s="22" t="s">
        <v>7163</v>
      </c>
      <c r="F1306" s="22" t="s">
        <v>198</v>
      </c>
      <c r="G1306" s="22" t="n">
        <v>32</v>
      </c>
      <c r="H1306" s="22" t="s">
        <v>6575</v>
      </c>
      <c r="I1306" s="22" t="s">
        <v>8601</v>
      </c>
      <c r="J1306" s="22" t="n">
        <v>10.4</v>
      </c>
      <c r="K1306" s="22" t="n">
        <v>1</v>
      </c>
      <c r="L1306" s="22" t="s">
        <v>8602</v>
      </c>
      <c r="M1306" s="23" t="n">
        <v>46085</v>
      </c>
      <c r="N1306" s="22"/>
      <c r="O1306" s="22"/>
      <c r="P1306" s="22" t="s">
        <v>8631</v>
      </c>
      <c r="Q1306" s="22"/>
      <c r="R1306" s="22"/>
    </row>
    <row r="1307" customFormat="false" ht="15" hidden="false" customHeight="false" outlineLevel="0" collapsed="false">
      <c r="A1307" s="22" t="s">
        <v>10231</v>
      </c>
      <c r="B1307" s="23" t="n">
        <v>46060</v>
      </c>
      <c r="C1307" s="22" t="s">
        <v>6368</v>
      </c>
      <c r="D1307" s="22" t="n">
        <v>2816</v>
      </c>
      <c r="E1307" s="22" t="s">
        <v>7936</v>
      </c>
      <c r="F1307" s="22" t="s">
        <v>215</v>
      </c>
      <c r="G1307" s="22" t="n">
        <v>32</v>
      </c>
      <c r="H1307" s="22" t="s">
        <v>7696</v>
      </c>
      <c r="I1307" s="22" t="s">
        <v>8601</v>
      </c>
      <c r="J1307" s="22" t="n">
        <v>7.55</v>
      </c>
      <c r="K1307" s="22" t="n">
        <v>1</v>
      </c>
      <c r="L1307" s="22" t="s">
        <v>8602</v>
      </c>
      <c r="M1307" s="23" t="n">
        <v>46074</v>
      </c>
      <c r="N1307" s="22"/>
      <c r="O1307" s="22"/>
      <c r="P1307" s="22" t="s">
        <v>8603</v>
      </c>
      <c r="Q1307" s="22"/>
      <c r="R1307" s="22"/>
    </row>
    <row r="1308" customFormat="false" ht="15" hidden="false" customHeight="false" outlineLevel="0" collapsed="false">
      <c r="A1308" s="22" t="s">
        <v>10232</v>
      </c>
      <c r="B1308" s="23" t="n">
        <v>46065</v>
      </c>
      <c r="C1308" s="22" t="s">
        <v>3027</v>
      </c>
      <c r="D1308" s="22" t="n">
        <v>1175</v>
      </c>
      <c r="E1308" s="22" t="s">
        <v>7777</v>
      </c>
      <c r="F1308" s="22" t="s">
        <v>215</v>
      </c>
      <c r="G1308" s="22" t="n">
        <v>50</v>
      </c>
      <c r="H1308" s="22" t="s">
        <v>7696</v>
      </c>
      <c r="I1308" s="22" t="s">
        <v>8601</v>
      </c>
      <c r="J1308" s="22" t="n">
        <v>7.55</v>
      </c>
      <c r="K1308" s="22" t="n">
        <v>1</v>
      </c>
      <c r="L1308" s="22" t="s">
        <v>8729</v>
      </c>
      <c r="M1308" s="23" t="n">
        <v>46079</v>
      </c>
      <c r="N1308" s="23" t="n">
        <v>46081</v>
      </c>
      <c r="O1308" s="22" t="n">
        <v>16</v>
      </c>
      <c r="P1308" s="22"/>
      <c r="Q1308" s="22"/>
      <c r="R1308" s="22"/>
    </row>
    <row r="1309" customFormat="false" ht="15" hidden="false" customHeight="false" outlineLevel="0" collapsed="false">
      <c r="A1309" s="22" t="s">
        <v>10233</v>
      </c>
      <c r="B1309" s="23" t="n">
        <v>46070</v>
      </c>
      <c r="C1309" s="22" t="s">
        <v>2994</v>
      </c>
      <c r="D1309" s="22" t="n">
        <v>1160</v>
      </c>
      <c r="E1309" s="22" t="s">
        <v>7754</v>
      </c>
      <c r="F1309" s="22" t="s">
        <v>215</v>
      </c>
      <c r="G1309" s="22" t="n">
        <v>60</v>
      </c>
      <c r="H1309" s="22" t="s">
        <v>7696</v>
      </c>
      <c r="I1309" s="22" t="s">
        <v>8601</v>
      </c>
      <c r="J1309" s="22" t="n">
        <v>7.55</v>
      </c>
      <c r="K1309" s="22" t="n">
        <v>1</v>
      </c>
      <c r="L1309" s="22" t="s">
        <v>8605</v>
      </c>
      <c r="M1309" s="23" t="n">
        <v>46084</v>
      </c>
      <c r="N1309" s="23" t="n">
        <v>46083</v>
      </c>
      <c r="O1309" s="22" t="n">
        <v>13</v>
      </c>
      <c r="P1309" s="22"/>
      <c r="Q1309" s="22" t="s">
        <v>10234</v>
      </c>
      <c r="R1309" s="22"/>
    </row>
    <row r="1310" customFormat="false" ht="15" hidden="false" customHeight="false" outlineLevel="0" collapsed="false">
      <c r="A1310" s="22" t="s">
        <v>10235</v>
      </c>
      <c r="B1310" s="23" t="n">
        <v>46080</v>
      </c>
      <c r="C1310" s="22" t="s">
        <v>5728</v>
      </c>
      <c r="D1310" s="22" t="n">
        <v>2494</v>
      </c>
      <c r="E1310" s="22" t="s">
        <v>7632</v>
      </c>
      <c r="F1310" s="22" t="s">
        <v>159</v>
      </c>
      <c r="G1310" s="22" t="n">
        <v>32</v>
      </c>
      <c r="H1310" s="22" t="s">
        <v>6575</v>
      </c>
      <c r="I1310" s="22" t="s">
        <v>8601</v>
      </c>
      <c r="J1310" s="22" t="n">
        <v>10.4</v>
      </c>
      <c r="K1310" s="22" t="n">
        <v>1</v>
      </c>
      <c r="L1310" s="22" t="s">
        <v>8629</v>
      </c>
      <c r="M1310" s="23" t="n">
        <v>46090</v>
      </c>
      <c r="N1310" s="23" t="n">
        <v>46083</v>
      </c>
      <c r="O1310" s="22" t="n">
        <v>3</v>
      </c>
      <c r="P1310" s="22"/>
      <c r="Q1310" s="22"/>
      <c r="R1310" s="22"/>
    </row>
    <row r="1311" customFormat="false" ht="15" hidden="false" customHeight="false" outlineLevel="0" collapsed="false">
      <c r="A1311" s="22" t="s">
        <v>10236</v>
      </c>
      <c r="B1311" s="23" t="n">
        <v>46093</v>
      </c>
      <c r="C1311" s="22" t="s">
        <v>276</v>
      </c>
      <c r="D1311" s="22" t="n">
        <v>38</v>
      </c>
      <c r="E1311" s="22" t="s">
        <v>8039</v>
      </c>
      <c r="F1311" s="22" t="s">
        <v>499</v>
      </c>
      <c r="G1311" s="22" t="n">
        <v>60</v>
      </c>
      <c r="H1311" s="22" t="s">
        <v>7696</v>
      </c>
      <c r="I1311" s="22" t="s">
        <v>8601</v>
      </c>
      <c r="J1311" s="22" t="n">
        <v>7.55</v>
      </c>
      <c r="K1311" s="22" t="n">
        <v>2</v>
      </c>
      <c r="L1311" s="22" t="s">
        <v>8602</v>
      </c>
      <c r="M1311" s="23" t="n">
        <v>46107</v>
      </c>
      <c r="N1311" s="22"/>
      <c r="O1311" s="22"/>
      <c r="P1311" s="22" t="s">
        <v>8618</v>
      </c>
      <c r="Q1311" s="22"/>
      <c r="R1311" s="22"/>
    </row>
    <row r="1312" customFormat="false" ht="15" hidden="false" customHeight="false" outlineLevel="0" collapsed="false">
      <c r="A1312" s="22" t="s">
        <v>10237</v>
      </c>
      <c r="B1312" s="23" t="n">
        <v>46098</v>
      </c>
      <c r="C1312" s="22" t="s">
        <v>4123</v>
      </c>
      <c r="D1312" s="22" t="n">
        <v>1703</v>
      </c>
      <c r="E1312" s="22" t="s">
        <v>7687</v>
      </c>
      <c r="F1312" s="22" t="s">
        <v>159</v>
      </c>
      <c r="G1312" s="22" t="n">
        <v>40</v>
      </c>
      <c r="H1312" s="22" t="s">
        <v>6575</v>
      </c>
      <c r="I1312" s="22" t="s">
        <v>8601</v>
      </c>
      <c r="J1312" s="22" t="n">
        <v>10.4</v>
      </c>
      <c r="K1312" s="22" t="n">
        <v>1</v>
      </c>
      <c r="L1312" s="22" t="s">
        <v>8605</v>
      </c>
      <c r="M1312" s="23" t="n">
        <v>46108</v>
      </c>
      <c r="N1312" s="23" t="n">
        <v>46100</v>
      </c>
      <c r="O1312" s="22" t="n">
        <v>2</v>
      </c>
      <c r="P1312" s="22"/>
      <c r="Q1312" s="22" t="s">
        <v>10238</v>
      </c>
      <c r="R1312" s="22"/>
    </row>
    <row r="1313" customFormat="false" ht="15" hidden="false" customHeight="false" outlineLevel="0" collapsed="false">
      <c r="A1313" s="22" t="s">
        <v>10239</v>
      </c>
      <c r="B1313" s="23" t="n">
        <v>46092</v>
      </c>
      <c r="C1313" s="22" t="s">
        <v>6426</v>
      </c>
      <c r="D1313" s="22" t="n">
        <v>2846</v>
      </c>
      <c r="E1313" s="22" t="s">
        <v>8404</v>
      </c>
      <c r="F1313" s="22" t="s">
        <v>188</v>
      </c>
      <c r="G1313" s="22" t="n">
        <v>70</v>
      </c>
      <c r="H1313" s="22" t="s">
        <v>7696</v>
      </c>
      <c r="I1313" s="22" t="s">
        <v>8601</v>
      </c>
      <c r="J1313" s="22" t="n">
        <v>7.55</v>
      </c>
      <c r="K1313" s="22" t="n">
        <v>1</v>
      </c>
      <c r="L1313" s="22" t="s">
        <v>8605</v>
      </c>
      <c r="M1313" s="23" t="n">
        <v>46106</v>
      </c>
      <c r="N1313" s="23" t="n">
        <v>46101</v>
      </c>
      <c r="O1313" s="22" t="n">
        <v>9</v>
      </c>
      <c r="P1313" s="22"/>
      <c r="Q1313" s="22" t="s">
        <v>10240</v>
      </c>
      <c r="R1313" s="22"/>
    </row>
    <row r="1314" customFormat="false" ht="15" hidden="false" customHeight="false" outlineLevel="0" collapsed="false">
      <c r="A1314" s="22" t="s">
        <v>10241</v>
      </c>
      <c r="B1314" s="23" t="n">
        <v>46084</v>
      </c>
      <c r="C1314" s="22" t="s">
        <v>4150</v>
      </c>
      <c r="D1314" s="22" t="n">
        <v>1716</v>
      </c>
      <c r="E1314" s="22" t="s">
        <v>7834</v>
      </c>
      <c r="F1314" s="22" t="s">
        <v>215</v>
      </c>
      <c r="G1314" s="22" t="n">
        <v>60</v>
      </c>
      <c r="H1314" s="22" t="s">
        <v>7696</v>
      </c>
      <c r="I1314" s="22" t="s">
        <v>8601</v>
      </c>
      <c r="J1314" s="22" t="n">
        <v>7.55</v>
      </c>
      <c r="K1314" s="22" t="n">
        <v>2</v>
      </c>
      <c r="L1314" s="22" t="s">
        <v>8605</v>
      </c>
      <c r="M1314" s="23" t="n">
        <v>46098</v>
      </c>
      <c r="N1314" s="23" t="n">
        <v>46096</v>
      </c>
      <c r="O1314" s="22" t="n">
        <v>12</v>
      </c>
      <c r="P1314" s="22"/>
      <c r="Q1314" s="22" t="s">
        <v>10242</v>
      </c>
      <c r="R1314" s="22"/>
    </row>
    <row r="1315" customFormat="false" ht="15" hidden="false" customHeight="false" outlineLevel="0" collapsed="false">
      <c r="A1315" s="22" t="s">
        <v>10243</v>
      </c>
      <c r="B1315" s="23" t="n">
        <v>46109</v>
      </c>
      <c r="C1315" s="22" t="s">
        <v>948</v>
      </c>
      <c r="D1315" s="22" t="n">
        <v>280</v>
      </c>
      <c r="E1315" s="22" t="s">
        <v>6580</v>
      </c>
      <c r="F1315" s="22" t="s">
        <v>198</v>
      </c>
      <c r="G1315" s="22" t="n">
        <v>40</v>
      </c>
      <c r="H1315" s="22" t="s">
        <v>6575</v>
      </c>
      <c r="I1315" s="22" t="s">
        <v>8601</v>
      </c>
      <c r="J1315" s="22" t="n">
        <v>10.4</v>
      </c>
      <c r="K1315" s="22" t="n">
        <v>1</v>
      </c>
      <c r="L1315" s="22" t="s">
        <v>8629</v>
      </c>
      <c r="M1315" s="23" t="n">
        <v>46119</v>
      </c>
      <c r="N1315" s="23" t="n">
        <v>46114</v>
      </c>
      <c r="O1315" s="22" t="n">
        <v>5</v>
      </c>
      <c r="P1315" s="22"/>
      <c r="Q1315" s="22"/>
      <c r="R1315" s="22"/>
    </row>
    <row r="1316" customFormat="false" ht="15" hidden="false" customHeight="false" outlineLevel="0" collapsed="false">
      <c r="A1316" s="22" t="s">
        <v>10244</v>
      </c>
      <c r="B1316" s="23" t="n">
        <v>46100</v>
      </c>
      <c r="C1316" s="22" t="s">
        <v>1188</v>
      </c>
      <c r="D1316" s="22" t="n">
        <v>372</v>
      </c>
      <c r="E1316" s="22" t="s">
        <v>7982</v>
      </c>
      <c r="F1316" s="22" t="s">
        <v>215</v>
      </c>
      <c r="G1316" s="22" t="n">
        <v>60</v>
      </c>
      <c r="H1316" s="22" t="s">
        <v>7696</v>
      </c>
      <c r="I1316" s="22" t="s">
        <v>8601</v>
      </c>
      <c r="J1316" s="22" t="n">
        <v>7.55</v>
      </c>
      <c r="K1316" s="22" t="n">
        <v>1</v>
      </c>
      <c r="L1316" s="22" t="s">
        <v>8613</v>
      </c>
      <c r="M1316" s="23" t="n">
        <v>46114</v>
      </c>
      <c r="N1316" s="22"/>
      <c r="O1316" s="22"/>
      <c r="P1316" s="22"/>
      <c r="Q1316" s="22"/>
      <c r="R1316" s="22"/>
    </row>
    <row r="1317" customFormat="false" ht="15" hidden="false" customHeight="false" outlineLevel="0" collapsed="false">
      <c r="A1317" s="22" t="s">
        <v>10245</v>
      </c>
      <c r="B1317" s="23" t="n">
        <v>46082</v>
      </c>
      <c r="C1317" s="22" t="s">
        <v>6220</v>
      </c>
      <c r="D1317" s="22" t="n">
        <v>2740</v>
      </c>
      <c r="E1317" s="22" t="s">
        <v>7996</v>
      </c>
      <c r="F1317" s="22" t="s">
        <v>215</v>
      </c>
      <c r="G1317" s="22" t="n">
        <v>28</v>
      </c>
      <c r="H1317" s="22" t="s">
        <v>7696</v>
      </c>
      <c r="I1317" s="22" t="s">
        <v>8601</v>
      </c>
      <c r="J1317" s="22" t="n">
        <v>7.55</v>
      </c>
      <c r="K1317" s="22" t="n">
        <v>1</v>
      </c>
      <c r="L1317" s="22" t="s">
        <v>8629</v>
      </c>
      <c r="M1317" s="23" t="n">
        <v>46096</v>
      </c>
      <c r="N1317" s="23" t="n">
        <v>46093</v>
      </c>
      <c r="O1317" s="22" t="n">
        <v>11</v>
      </c>
      <c r="P1317" s="22"/>
      <c r="Q1317" s="22"/>
      <c r="R1317" s="22"/>
    </row>
    <row r="1318" customFormat="false" ht="15" hidden="false" customHeight="false" outlineLevel="0" collapsed="false">
      <c r="A1318" s="22" t="s">
        <v>10246</v>
      </c>
      <c r="B1318" s="23" t="n">
        <v>46093</v>
      </c>
      <c r="C1318" s="22" t="s">
        <v>5667</v>
      </c>
      <c r="D1318" s="22" t="n">
        <v>2464</v>
      </c>
      <c r="E1318" s="22" t="s">
        <v>7386</v>
      </c>
      <c r="F1318" s="22" t="s">
        <v>159</v>
      </c>
      <c r="G1318" s="22" t="n">
        <v>28</v>
      </c>
      <c r="H1318" s="22" t="s">
        <v>6575</v>
      </c>
      <c r="I1318" s="22" t="s">
        <v>8601</v>
      </c>
      <c r="J1318" s="22" t="n">
        <v>10.4</v>
      </c>
      <c r="K1318" s="22" t="n">
        <v>1</v>
      </c>
      <c r="L1318" s="22" t="s">
        <v>8605</v>
      </c>
      <c r="M1318" s="23" t="n">
        <v>46103</v>
      </c>
      <c r="N1318" s="23" t="n">
        <v>46097</v>
      </c>
      <c r="O1318" s="22" t="n">
        <v>4</v>
      </c>
      <c r="P1318" s="22"/>
      <c r="Q1318" s="22" t="s">
        <v>10240</v>
      </c>
      <c r="R1318" s="22"/>
    </row>
    <row r="1319" customFormat="false" ht="15" hidden="false" customHeight="false" outlineLevel="0" collapsed="false">
      <c r="A1319" s="22" t="s">
        <v>10247</v>
      </c>
      <c r="B1319" s="23" t="n">
        <v>46086</v>
      </c>
      <c r="C1319" s="22" t="s">
        <v>5593</v>
      </c>
      <c r="D1319" s="22" t="n">
        <v>2427</v>
      </c>
      <c r="E1319" s="22" t="s">
        <v>7967</v>
      </c>
      <c r="F1319" s="22" t="s">
        <v>215</v>
      </c>
      <c r="G1319" s="22" t="n">
        <v>28</v>
      </c>
      <c r="H1319" s="22" t="s">
        <v>7696</v>
      </c>
      <c r="I1319" s="22" t="s">
        <v>8601</v>
      </c>
      <c r="J1319" s="22" t="n">
        <v>7.55</v>
      </c>
      <c r="K1319" s="22" t="n">
        <v>1</v>
      </c>
      <c r="L1319" s="22" t="s">
        <v>8605</v>
      </c>
      <c r="M1319" s="23" t="n">
        <v>46100</v>
      </c>
      <c r="N1319" s="23" t="n">
        <v>46099</v>
      </c>
      <c r="O1319" s="22" t="n">
        <v>13</v>
      </c>
      <c r="P1319" s="22"/>
      <c r="Q1319" s="22" t="s">
        <v>10248</v>
      </c>
      <c r="R1319" s="22"/>
    </row>
    <row r="1320" customFormat="false" ht="15" hidden="false" customHeight="false" outlineLevel="0" collapsed="false">
      <c r="A1320" s="22" t="s">
        <v>10249</v>
      </c>
      <c r="B1320" s="23" t="n">
        <v>46106</v>
      </c>
      <c r="C1320" s="22" t="s">
        <v>2762</v>
      </c>
      <c r="D1320" s="22" t="n">
        <v>1054</v>
      </c>
      <c r="E1320" s="22" t="s">
        <v>8157</v>
      </c>
      <c r="F1320" s="22" t="s">
        <v>499</v>
      </c>
      <c r="G1320" s="22" t="n">
        <v>80</v>
      </c>
      <c r="H1320" s="22" t="s">
        <v>7696</v>
      </c>
      <c r="I1320" s="22" t="s">
        <v>8601</v>
      </c>
      <c r="J1320" s="22" t="n">
        <v>7.55</v>
      </c>
      <c r="K1320" s="22" t="n">
        <v>1</v>
      </c>
      <c r="L1320" s="22" t="s">
        <v>8629</v>
      </c>
      <c r="M1320" s="23" t="n">
        <v>46120</v>
      </c>
      <c r="N1320" s="23" t="n">
        <v>46112</v>
      </c>
      <c r="O1320" s="22" t="n">
        <v>6</v>
      </c>
      <c r="P1320" s="22"/>
      <c r="Q1320" s="22"/>
      <c r="R1320" s="22"/>
    </row>
    <row r="1321" customFormat="false" ht="15" hidden="false" customHeight="false" outlineLevel="0" collapsed="false">
      <c r="A1321" s="22" t="s">
        <v>10250</v>
      </c>
      <c r="B1321" s="23" t="n">
        <v>46103</v>
      </c>
      <c r="C1321" s="22" t="s">
        <v>6285</v>
      </c>
      <c r="D1321" s="22" t="n">
        <v>2773</v>
      </c>
      <c r="E1321" s="22" t="s">
        <v>7662</v>
      </c>
      <c r="F1321" s="22" t="s">
        <v>159</v>
      </c>
      <c r="G1321" s="22" t="n">
        <v>24</v>
      </c>
      <c r="H1321" s="22" t="s">
        <v>6575</v>
      </c>
      <c r="I1321" s="22" t="s">
        <v>8601</v>
      </c>
      <c r="J1321" s="22" t="n">
        <v>10.4</v>
      </c>
      <c r="K1321" s="22" t="n">
        <v>2</v>
      </c>
      <c r="L1321" s="22" t="s">
        <v>157</v>
      </c>
      <c r="M1321" s="23" t="n">
        <v>46113</v>
      </c>
      <c r="N1321" s="23" t="n">
        <v>46115</v>
      </c>
      <c r="O1321" s="22" t="n">
        <v>12</v>
      </c>
      <c r="P1321" s="22"/>
      <c r="Q1321" s="22"/>
      <c r="R1321" s="22"/>
    </row>
    <row r="1322" customFormat="false" ht="15" hidden="false" customHeight="false" outlineLevel="0" collapsed="false">
      <c r="A1322" s="22" t="s">
        <v>10251</v>
      </c>
      <c r="B1322" s="23" t="n">
        <v>46096</v>
      </c>
      <c r="C1322" s="22" t="s">
        <v>3309</v>
      </c>
      <c r="D1322" s="22" t="n">
        <v>1306</v>
      </c>
      <c r="E1322" s="22" t="s">
        <v>8523</v>
      </c>
      <c r="F1322" s="22" t="s">
        <v>188</v>
      </c>
      <c r="G1322" s="22" t="n">
        <v>28</v>
      </c>
      <c r="H1322" s="22" t="s">
        <v>7696</v>
      </c>
      <c r="I1322" s="22" t="s">
        <v>8601</v>
      </c>
      <c r="J1322" s="22" t="n">
        <v>7.55</v>
      </c>
      <c r="K1322" s="22" t="n">
        <v>1</v>
      </c>
      <c r="L1322" s="22" t="s">
        <v>8602</v>
      </c>
      <c r="M1322" s="23" t="n">
        <v>46110</v>
      </c>
      <c r="N1322" s="22"/>
      <c r="O1322" s="22"/>
      <c r="P1322" s="22" t="s">
        <v>8618</v>
      </c>
      <c r="Q1322" s="22"/>
      <c r="R1322" s="22"/>
    </row>
    <row r="1323" customFormat="false" ht="15" hidden="false" customHeight="false" outlineLevel="0" collapsed="false">
      <c r="A1323" s="22" t="s">
        <v>10252</v>
      </c>
      <c r="B1323" s="23" t="n">
        <v>46107</v>
      </c>
      <c r="C1323" s="22" t="s">
        <v>568</v>
      </c>
      <c r="D1323" s="22" t="n">
        <v>139</v>
      </c>
      <c r="E1323" s="22" t="s">
        <v>8118</v>
      </c>
      <c r="F1323" s="22" t="s">
        <v>499</v>
      </c>
      <c r="G1323" s="22" t="n">
        <v>32</v>
      </c>
      <c r="H1323" s="22" t="s">
        <v>7696</v>
      </c>
      <c r="I1323" s="22" t="s">
        <v>8601</v>
      </c>
      <c r="J1323" s="22" t="n">
        <v>7.55</v>
      </c>
      <c r="K1323" s="22" t="n">
        <v>1</v>
      </c>
      <c r="L1323" s="22" t="s">
        <v>8602</v>
      </c>
      <c r="M1323" s="23" t="n">
        <v>46121</v>
      </c>
      <c r="N1323" s="22"/>
      <c r="O1323" s="22"/>
      <c r="P1323" s="22" t="s">
        <v>8603</v>
      </c>
      <c r="Q1323" s="22"/>
      <c r="R1323" s="22"/>
    </row>
    <row r="1324" customFormat="false" ht="15" hidden="false" customHeight="false" outlineLevel="0" collapsed="false">
      <c r="A1324" s="22" t="s">
        <v>10253</v>
      </c>
      <c r="B1324" s="23" t="n">
        <v>46094</v>
      </c>
      <c r="C1324" s="22" t="s">
        <v>5298</v>
      </c>
      <c r="D1324" s="22" t="n">
        <v>2279</v>
      </c>
      <c r="E1324" s="22" t="s">
        <v>7988</v>
      </c>
      <c r="F1324" s="22" t="s">
        <v>215</v>
      </c>
      <c r="G1324" s="22" t="n">
        <v>24</v>
      </c>
      <c r="H1324" s="22" t="s">
        <v>7696</v>
      </c>
      <c r="I1324" s="22" t="s">
        <v>8601</v>
      </c>
      <c r="J1324" s="22" t="n">
        <v>7.55</v>
      </c>
      <c r="K1324" s="22" t="n">
        <v>1</v>
      </c>
      <c r="L1324" s="22" t="s">
        <v>8602</v>
      </c>
      <c r="M1324" s="23" t="n">
        <v>46108</v>
      </c>
      <c r="N1324" s="22"/>
      <c r="O1324" s="22"/>
      <c r="P1324" s="22" t="s">
        <v>8603</v>
      </c>
      <c r="Q1324" s="22"/>
      <c r="R1324" s="22"/>
    </row>
    <row r="1325" customFormat="false" ht="15" hidden="false" customHeight="false" outlineLevel="0" collapsed="false">
      <c r="A1325" s="22" t="s">
        <v>10254</v>
      </c>
      <c r="B1325" s="23" t="n">
        <v>46104</v>
      </c>
      <c r="C1325" s="22" t="s">
        <v>6552</v>
      </c>
      <c r="D1325" s="22" t="n">
        <v>2909</v>
      </c>
      <c r="E1325" s="22" t="s">
        <v>8293</v>
      </c>
      <c r="F1325" s="22" t="s">
        <v>499</v>
      </c>
      <c r="G1325" s="22" t="n">
        <v>32</v>
      </c>
      <c r="H1325" s="22" t="s">
        <v>7696</v>
      </c>
      <c r="I1325" s="22" t="s">
        <v>8601</v>
      </c>
      <c r="J1325" s="22" t="n">
        <v>7.55</v>
      </c>
      <c r="K1325" s="22" t="n">
        <v>1</v>
      </c>
      <c r="L1325" s="22" t="s">
        <v>8605</v>
      </c>
      <c r="M1325" s="23" t="n">
        <v>46118</v>
      </c>
      <c r="N1325" s="23" t="n">
        <v>46109</v>
      </c>
      <c r="O1325" s="22" t="n">
        <v>5</v>
      </c>
      <c r="P1325" s="22"/>
      <c r="Q1325" s="22" t="s">
        <v>10255</v>
      </c>
      <c r="R1325" s="22"/>
    </row>
    <row r="1326" customFormat="false" ht="15" hidden="false" customHeight="false" outlineLevel="0" collapsed="false">
      <c r="A1326" s="22" t="s">
        <v>10256</v>
      </c>
      <c r="B1326" s="23" t="n">
        <v>46088</v>
      </c>
      <c r="C1326" s="22" t="s">
        <v>4745</v>
      </c>
      <c r="D1326" s="22" t="n">
        <v>2006</v>
      </c>
      <c r="E1326" s="22" t="s">
        <v>6802</v>
      </c>
      <c r="F1326" s="22" t="s">
        <v>198</v>
      </c>
      <c r="G1326" s="22" t="n">
        <v>24</v>
      </c>
      <c r="H1326" s="22" t="s">
        <v>6575</v>
      </c>
      <c r="I1326" s="22" t="s">
        <v>8601</v>
      </c>
      <c r="J1326" s="22" t="n">
        <v>10.4</v>
      </c>
      <c r="K1326" s="22" t="n">
        <v>1</v>
      </c>
      <c r="L1326" s="22" t="s">
        <v>8605</v>
      </c>
      <c r="M1326" s="23" t="n">
        <v>46098</v>
      </c>
      <c r="N1326" s="23" t="n">
        <v>46093</v>
      </c>
      <c r="O1326" s="22" t="n">
        <v>5</v>
      </c>
      <c r="P1326" s="22"/>
      <c r="Q1326" s="22" t="s">
        <v>10257</v>
      </c>
      <c r="R1326" s="22"/>
    </row>
    <row r="1327" customFormat="false" ht="15" hidden="false" customHeight="false" outlineLevel="0" collapsed="false">
      <c r="A1327" s="22" t="s">
        <v>10258</v>
      </c>
      <c r="B1327" s="23" t="n">
        <v>46097</v>
      </c>
      <c r="C1327" s="22" t="s">
        <v>2977</v>
      </c>
      <c r="D1327" s="22" t="n">
        <v>1153</v>
      </c>
      <c r="E1327" s="22" t="s">
        <v>7556</v>
      </c>
      <c r="F1327" s="22" t="s">
        <v>159</v>
      </c>
      <c r="G1327" s="22" t="n">
        <v>36</v>
      </c>
      <c r="H1327" s="22" t="s">
        <v>6575</v>
      </c>
      <c r="I1327" s="22" t="s">
        <v>8601</v>
      </c>
      <c r="J1327" s="22" t="n">
        <v>10.4</v>
      </c>
      <c r="K1327" s="22" t="n">
        <v>1</v>
      </c>
      <c r="L1327" s="22" t="s">
        <v>8608</v>
      </c>
      <c r="M1327" s="23" t="n">
        <v>46107</v>
      </c>
      <c r="N1327" s="23" t="n">
        <v>46104</v>
      </c>
      <c r="O1327" s="22" t="n">
        <v>7</v>
      </c>
      <c r="P1327" s="22"/>
      <c r="Q1327" s="22"/>
      <c r="R1327" s="22"/>
    </row>
    <row r="1328" customFormat="false" ht="15" hidden="false" customHeight="false" outlineLevel="0" collapsed="false">
      <c r="A1328" s="22" t="s">
        <v>10259</v>
      </c>
      <c r="B1328" s="23" t="n">
        <v>46107</v>
      </c>
      <c r="C1328" s="22" t="s">
        <v>5349</v>
      </c>
      <c r="D1328" s="22" t="n">
        <v>2305</v>
      </c>
      <c r="E1328" s="22" t="s">
        <v>8173</v>
      </c>
      <c r="F1328" s="22" t="s">
        <v>499</v>
      </c>
      <c r="G1328" s="22" t="n">
        <v>45</v>
      </c>
      <c r="H1328" s="22" t="s">
        <v>7696</v>
      </c>
      <c r="I1328" s="22" t="s">
        <v>8601</v>
      </c>
      <c r="J1328" s="22" t="n">
        <v>7.55</v>
      </c>
      <c r="K1328" s="22" t="n">
        <v>1</v>
      </c>
      <c r="L1328" s="22" t="s">
        <v>8602</v>
      </c>
      <c r="M1328" s="23" t="n">
        <v>46121</v>
      </c>
      <c r="N1328" s="22"/>
      <c r="O1328" s="22"/>
      <c r="P1328" s="22" t="s">
        <v>8631</v>
      </c>
      <c r="Q1328" s="22"/>
      <c r="R1328" s="22"/>
    </row>
    <row r="1329" customFormat="false" ht="15" hidden="false" customHeight="false" outlineLevel="0" collapsed="false">
      <c r="A1329" s="22" t="s">
        <v>10260</v>
      </c>
      <c r="B1329" s="23" t="n">
        <v>46099</v>
      </c>
      <c r="C1329" s="22" t="s">
        <v>3539</v>
      </c>
      <c r="D1329" s="22" t="n">
        <v>1417</v>
      </c>
      <c r="E1329" s="22" t="s">
        <v>8133</v>
      </c>
      <c r="F1329" s="22" t="s">
        <v>499</v>
      </c>
      <c r="G1329" s="22" t="n">
        <v>80</v>
      </c>
      <c r="H1329" s="22" t="s">
        <v>7696</v>
      </c>
      <c r="I1329" s="22" t="s">
        <v>8601</v>
      </c>
      <c r="J1329" s="22" t="n">
        <v>7.55</v>
      </c>
      <c r="K1329" s="22" t="n">
        <v>1</v>
      </c>
      <c r="L1329" s="22" t="s">
        <v>8602</v>
      </c>
      <c r="M1329" s="23" t="n">
        <v>46113</v>
      </c>
      <c r="N1329" s="22"/>
      <c r="O1329" s="22"/>
      <c r="P1329" s="22" t="s">
        <v>8631</v>
      </c>
      <c r="Q1329" s="22"/>
      <c r="R1329" s="22"/>
    </row>
    <row r="1330" customFormat="false" ht="15" hidden="false" customHeight="false" outlineLevel="0" collapsed="false">
      <c r="A1330" s="22" t="s">
        <v>10261</v>
      </c>
      <c r="B1330" s="23" t="n">
        <v>46128</v>
      </c>
      <c r="C1330" s="22" t="s">
        <v>3150</v>
      </c>
      <c r="D1330" s="22" t="n">
        <v>1232</v>
      </c>
      <c r="E1330" s="22" t="s">
        <v>8423</v>
      </c>
      <c r="F1330" s="22" t="s">
        <v>188</v>
      </c>
      <c r="G1330" s="22" t="n">
        <v>70</v>
      </c>
      <c r="H1330" s="22" t="s">
        <v>7696</v>
      </c>
      <c r="I1330" s="22" t="s">
        <v>8601</v>
      </c>
      <c r="J1330" s="22" t="n">
        <v>7.55</v>
      </c>
      <c r="K1330" s="22" t="n">
        <v>1</v>
      </c>
      <c r="L1330" s="22" t="s">
        <v>8605</v>
      </c>
      <c r="M1330" s="23" t="n">
        <v>46142</v>
      </c>
      <c r="N1330" s="23" t="n">
        <v>46133</v>
      </c>
      <c r="O1330" s="22" t="n">
        <v>5</v>
      </c>
      <c r="P1330" s="22"/>
      <c r="Q1330" s="22" t="s">
        <v>10262</v>
      </c>
      <c r="R1330" s="22"/>
    </row>
    <row r="1331" customFormat="false" ht="15" hidden="false" customHeight="false" outlineLevel="0" collapsed="false">
      <c r="A1331" s="22" t="s">
        <v>10263</v>
      </c>
      <c r="B1331" s="23" t="n">
        <v>46113</v>
      </c>
      <c r="C1331" s="22" t="s">
        <v>408</v>
      </c>
      <c r="D1331" s="22" t="n">
        <v>84</v>
      </c>
      <c r="E1331" s="22" t="s">
        <v>8445</v>
      </c>
      <c r="F1331" s="22" t="s">
        <v>188</v>
      </c>
      <c r="G1331" s="22" t="n">
        <v>32</v>
      </c>
      <c r="H1331" s="22" t="s">
        <v>7696</v>
      </c>
      <c r="I1331" s="22" t="s">
        <v>8601</v>
      </c>
      <c r="J1331" s="22" t="n">
        <v>7.55</v>
      </c>
      <c r="K1331" s="22" t="n">
        <v>1</v>
      </c>
      <c r="L1331" s="22" t="s">
        <v>8602</v>
      </c>
      <c r="M1331" s="23" t="n">
        <v>46127</v>
      </c>
      <c r="N1331" s="22"/>
      <c r="O1331" s="22"/>
      <c r="P1331" s="22" t="s">
        <v>8631</v>
      </c>
      <c r="Q1331" s="22"/>
      <c r="R1331" s="22"/>
    </row>
    <row r="1332" customFormat="false" ht="15" hidden="false" customHeight="false" outlineLevel="0" collapsed="false">
      <c r="A1332" s="22" t="s">
        <v>10264</v>
      </c>
      <c r="B1332" s="23" t="n">
        <v>46120</v>
      </c>
      <c r="C1332" s="22" t="s">
        <v>2794</v>
      </c>
      <c r="D1332" s="22" t="n">
        <v>1069</v>
      </c>
      <c r="E1332" s="22" t="s">
        <v>8175</v>
      </c>
      <c r="F1332" s="22" t="s">
        <v>499</v>
      </c>
      <c r="G1332" s="22" t="n">
        <v>24</v>
      </c>
      <c r="H1332" s="22" t="s">
        <v>7696</v>
      </c>
      <c r="I1332" s="22" t="s">
        <v>8601</v>
      </c>
      <c r="J1332" s="22" t="n">
        <v>7.55</v>
      </c>
      <c r="K1332" s="22" t="n">
        <v>2</v>
      </c>
      <c r="L1332" s="22" t="s">
        <v>8605</v>
      </c>
      <c r="M1332" s="23" t="n">
        <v>46134</v>
      </c>
      <c r="N1332" s="23" t="n">
        <v>46137</v>
      </c>
      <c r="O1332" s="22" t="n">
        <v>17</v>
      </c>
      <c r="P1332" s="22"/>
      <c r="Q1332" s="22" t="s">
        <v>10265</v>
      </c>
      <c r="R1332" s="22"/>
    </row>
    <row r="1333" customFormat="false" ht="15" hidden="false" customHeight="false" outlineLevel="0" collapsed="false">
      <c r="A1333" s="22" t="s">
        <v>10266</v>
      </c>
      <c r="B1333" s="23" t="n">
        <v>46117</v>
      </c>
      <c r="C1333" s="22" t="s">
        <v>5351</v>
      </c>
      <c r="D1333" s="22" t="n">
        <v>2306</v>
      </c>
      <c r="E1333" s="22" t="s">
        <v>8405</v>
      </c>
      <c r="F1333" s="22" t="s">
        <v>188</v>
      </c>
      <c r="G1333" s="22" t="n">
        <v>32</v>
      </c>
      <c r="H1333" s="22" t="s">
        <v>7696</v>
      </c>
      <c r="I1333" s="22" t="s">
        <v>8601</v>
      </c>
      <c r="J1333" s="22" t="n">
        <v>7.55</v>
      </c>
      <c r="K1333" s="22" t="n">
        <v>2</v>
      </c>
      <c r="L1333" s="22" t="s">
        <v>8602</v>
      </c>
      <c r="M1333" s="23" t="n">
        <v>46131</v>
      </c>
      <c r="N1333" s="22"/>
      <c r="O1333" s="22"/>
      <c r="P1333" s="22" t="s">
        <v>8631</v>
      </c>
      <c r="Q1333" s="22"/>
      <c r="R1333" s="22"/>
    </row>
    <row r="1334" customFormat="false" ht="15" hidden="false" customHeight="false" outlineLevel="0" collapsed="false">
      <c r="A1334" s="22" t="s">
        <v>10267</v>
      </c>
      <c r="B1334" s="23" t="n">
        <v>46116</v>
      </c>
      <c r="C1334" s="22" t="s">
        <v>957</v>
      </c>
      <c r="D1334" s="22" t="n">
        <v>283</v>
      </c>
      <c r="E1334" s="22" t="s">
        <v>8578</v>
      </c>
      <c r="F1334" s="22" t="s">
        <v>188</v>
      </c>
      <c r="G1334" s="22" t="n">
        <v>28</v>
      </c>
      <c r="H1334" s="22" t="s">
        <v>7696</v>
      </c>
      <c r="I1334" s="22" t="s">
        <v>8601</v>
      </c>
      <c r="J1334" s="22" t="n">
        <v>7.55</v>
      </c>
      <c r="K1334" s="22" t="n">
        <v>1</v>
      </c>
      <c r="L1334" s="22" t="s">
        <v>8602</v>
      </c>
      <c r="M1334" s="23" t="n">
        <v>46130</v>
      </c>
      <c r="N1334" s="22"/>
      <c r="O1334" s="22"/>
      <c r="P1334" s="22" t="s">
        <v>8603</v>
      </c>
      <c r="Q1334" s="22"/>
      <c r="R1334" s="22"/>
    </row>
    <row r="1335" customFormat="false" ht="15" hidden="false" customHeight="false" outlineLevel="0" collapsed="false">
      <c r="A1335" s="22" t="s">
        <v>10268</v>
      </c>
      <c r="B1335" s="23" t="n">
        <v>46127</v>
      </c>
      <c r="C1335" s="22" t="s">
        <v>4848</v>
      </c>
      <c r="D1335" s="22" t="n">
        <v>2057</v>
      </c>
      <c r="E1335" s="22" t="s">
        <v>7339</v>
      </c>
      <c r="F1335" s="22" t="s">
        <v>159</v>
      </c>
      <c r="G1335" s="22" t="n">
        <v>32</v>
      </c>
      <c r="H1335" s="22" t="s">
        <v>6575</v>
      </c>
      <c r="I1335" s="22" t="s">
        <v>8601</v>
      </c>
      <c r="J1335" s="22" t="n">
        <v>10.4</v>
      </c>
      <c r="K1335" s="22" t="n">
        <v>1</v>
      </c>
      <c r="L1335" s="22" t="s">
        <v>8605</v>
      </c>
      <c r="M1335" s="23" t="n">
        <v>46137</v>
      </c>
      <c r="N1335" s="23" t="n">
        <v>46136</v>
      </c>
      <c r="O1335" s="22" t="n">
        <v>9</v>
      </c>
      <c r="P1335" s="22"/>
      <c r="Q1335" s="22" t="s">
        <v>10269</v>
      </c>
      <c r="R1335" s="22"/>
    </row>
    <row r="1336" customFormat="false" ht="15" hidden="false" customHeight="false" outlineLevel="0" collapsed="false">
      <c r="A1336" s="22" t="s">
        <v>10270</v>
      </c>
      <c r="B1336" s="23" t="n">
        <v>46113</v>
      </c>
      <c r="C1336" s="22" t="s">
        <v>4252</v>
      </c>
      <c r="D1336" s="22" t="n">
        <v>1766</v>
      </c>
      <c r="E1336" s="22" t="s">
        <v>8574</v>
      </c>
      <c r="F1336" s="22" t="s">
        <v>188</v>
      </c>
      <c r="G1336" s="22" t="n">
        <v>36</v>
      </c>
      <c r="H1336" s="22" t="s">
        <v>7696</v>
      </c>
      <c r="I1336" s="22" t="s">
        <v>8601</v>
      </c>
      <c r="J1336" s="22" t="n">
        <v>7.55</v>
      </c>
      <c r="K1336" s="22" t="n">
        <v>2</v>
      </c>
      <c r="L1336" s="22" t="s">
        <v>8602</v>
      </c>
      <c r="M1336" s="23" t="n">
        <v>46127</v>
      </c>
      <c r="N1336" s="22"/>
      <c r="O1336" s="22"/>
      <c r="P1336" s="22" t="s">
        <v>8618</v>
      </c>
      <c r="Q1336" s="22"/>
      <c r="R1336" s="22"/>
    </row>
    <row r="1337" customFormat="false" ht="15" hidden="false" customHeight="false" outlineLevel="0" collapsed="false">
      <c r="A1337" s="22" t="s">
        <v>10271</v>
      </c>
      <c r="B1337" s="23" t="n">
        <v>46119</v>
      </c>
      <c r="C1337" s="22" t="s">
        <v>5428</v>
      </c>
      <c r="D1337" s="22" t="n">
        <v>2345</v>
      </c>
      <c r="E1337" s="22" t="s">
        <v>8261</v>
      </c>
      <c r="F1337" s="22" t="s">
        <v>499</v>
      </c>
      <c r="G1337" s="22" t="n">
        <v>36</v>
      </c>
      <c r="H1337" s="22" t="s">
        <v>7696</v>
      </c>
      <c r="I1337" s="22" t="s">
        <v>8601</v>
      </c>
      <c r="J1337" s="22" t="n">
        <v>7.55</v>
      </c>
      <c r="K1337" s="22" t="n">
        <v>1</v>
      </c>
      <c r="L1337" s="22" t="s">
        <v>8605</v>
      </c>
      <c r="M1337" s="23" t="n">
        <v>46133</v>
      </c>
      <c r="N1337" s="23" t="n">
        <v>46128</v>
      </c>
      <c r="O1337" s="22" t="n">
        <v>9</v>
      </c>
      <c r="P1337" s="22"/>
      <c r="Q1337" s="22" t="s">
        <v>10272</v>
      </c>
      <c r="R1337" s="22"/>
    </row>
    <row r="1338" customFormat="false" ht="15" hidden="false" customHeight="false" outlineLevel="0" collapsed="false">
      <c r="A1338" s="22" t="s">
        <v>10273</v>
      </c>
      <c r="B1338" s="23" t="n">
        <v>46117</v>
      </c>
      <c r="C1338" s="22" t="s">
        <v>4909</v>
      </c>
      <c r="D1338" s="22" t="n">
        <v>2088</v>
      </c>
      <c r="E1338" s="22" t="s">
        <v>8385</v>
      </c>
      <c r="F1338" s="22" t="s">
        <v>188</v>
      </c>
      <c r="G1338" s="22" t="n">
        <v>40</v>
      </c>
      <c r="H1338" s="22" t="s">
        <v>7696</v>
      </c>
      <c r="I1338" s="22" t="s">
        <v>8601</v>
      </c>
      <c r="J1338" s="22" t="n">
        <v>7.55</v>
      </c>
      <c r="K1338" s="22" t="n">
        <v>2</v>
      </c>
      <c r="L1338" s="22" t="s">
        <v>8602</v>
      </c>
      <c r="M1338" s="23" t="n">
        <v>46131</v>
      </c>
      <c r="N1338" s="22"/>
      <c r="O1338" s="22"/>
      <c r="P1338" s="22" t="s">
        <v>8631</v>
      </c>
      <c r="Q1338" s="22"/>
      <c r="R1338" s="22"/>
    </row>
    <row r="1339" customFormat="false" ht="15" hidden="false" customHeight="false" outlineLevel="0" collapsed="false">
      <c r="A1339" s="22" t="s">
        <v>10274</v>
      </c>
      <c r="B1339" s="23" t="n">
        <v>46134</v>
      </c>
      <c r="C1339" s="22" t="s">
        <v>2088</v>
      </c>
      <c r="D1339" s="22" t="n">
        <v>751</v>
      </c>
      <c r="E1339" s="22" t="s">
        <v>7309</v>
      </c>
      <c r="F1339" s="22" t="s">
        <v>159</v>
      </c>
      <c r="G1339" s="22" t="n">
        <v>40</v>
      </c>
      <c r="H1339" s="22" t="s">
        <v>6575</v>
      </c>
      <c r="I1339" s="22" t="s">
        <v>8601</v>
      </c>
      <c r="J1339" s="22" t="n">
        <v>10.4</v>
      </c>
      <c r="K1339" s="22" t="n">
        <v>1</v>
      </c>
      <c r="L1339" s="22" t="s">
        <v>8613</v>
      </c>
      <c r="M1339" s="23" t="n">
        <v>46144</v>
      </c>
      <c r="N1339" s="22"/>
      <c r="O1339" s="22"/>
      <c r="P1339" s="22"/>
      <c r="Q1339" s="22"/>
      <c r="R1339" s="22"/>
    </row>
    <row r="1340" customFormat="false" ht="15" hidden="false" customHeight="false" outlineLevel="0" collapsed="false">
      <c r="A1340" s="22" t="s">
        <v>10275</v>
      </c>
      <c r="B1340" s="23" t="n">
        <v>46124</v>
      </c>
      <c r="C1340" s="22" t="s">
        <v>5014</v>
      </c>
      <c r="D1340" s="22" t="n">
        <v>2139</v>
      </c>
      <c r="E1340" s="22" t="s">
        <v>8193</v>
      </c>
      <c r="F1340" s="22" t="s">
        <v>499</v>
      </c>
      <c r="G1340" s="22" t="n">
        <v>32</v>
      </c>
      <c r="H1340" s="22" t="s">
        <v>7696</v>
      </c>
      <c r="I1340" s="22" t="s">
        <v>8601</v>
      </c>
      <c r="J1340" s="22" t="n">
        <v>7.55</v>
      </c>
      <c r="K1340" s="22" t="n">
        <v>1</v>
      </c>
      <c r="L1340" s="22" t="s">
        <v>8602</v>
      </c>
      <c r="M1340" s="23" t="n">
        <v>46138</v>
      </c>
      <c r="N1340" s="22"/>
      <c r="O1340" s="22"/>
      <c r="P1340" s="22" t="s">
        <v>8631</v>
      </c>
      <c r="Q1340" s="22"/>
      <c r="R1340" s="22"/>
    </row>
    <row r="1341" customFormat="false" ht="15" hidden="false" customHeight="false" outlineLevel="0" collapsed="false">
      <c r="A1341" s="22" t="s">
        <v>10276</v>
      </c>
      <c r="B1341" s="23" t="n">
        <v>46133</v>
      </c>
      <c r="C1341" s="22" t="s">
        <v>5034</v>
      </c>
      <c r="D1341" s="22" t="n">
        <v>2149</v>
      </c>
      <c r="E1341" s="22" t="s">
        <v>7454</v>
      </c>
      <c r="F1341" s="22" t="s">
        <v>159</v>
      </c>
      <c r="G1341" s="22" t="n">
        <v>32</v>
      </c>
      <c r="H1341" s="22" t="s">
        <v>6575</v>
      </c>
      <c r="I1341" s="22" t="s">
        <v>8601</v>
      </c>
      <c r="J1341" s="22" t="n">
        <v>10.4</v>
      </c>
      <c r="K1341" s="22" t="n">
        <v>2</v>
      </c>
      <c r="L1341" s="22" t="s">
        <v>8729</v>
      </c>
      <c r="M1341" s="23" t="n">
        <v>46143</v>
      </c>
      <c r="N1341" s="23" t="n">
        <v>46140</v>
      </c>
      <c r="O1341" s="22" t="n">
        <v>7</v>
      </c>
      <c r="P1341" s="22"/>
      <c r="Q1341" s="22"/>
      <c r="R1341" s="22"/>
    </row>
    <row r="1342" customFormat="false" ht="15" hidden="false" customHeight="false" outlineLevel="0" collapsed="false">
      <c r="A1342" s="22" t="s">
        <v>10277</v>
      </c>
      <c r="B1342" s="23" t="n">
        <v>46130</v>
      </c>
      <c r="C1342" s="22" t="s">
        <v>4899</v>
      </c>
      <c r="D1342" s="22" t="n">
        <v>2082</v>
      </c>
      <c r="E1342" s="22" t="s">
        <v>8441</v>
      </c>
      <c r="F1342" s="22" t="s">
        <v>188</v>
      </c>
      <c r="G1342" s="22" t="n">
        <v>28</v>
      </c>
      <c r="H1342" s="22" t="s">
        <v>7696</v>
      </c>
      <c r="I1342" s="22" t="s">
        <v>8601</v>
      </c>
      <c r="J1342" s="22" t="n">
        <v>7.55</v>
      </c>
      <c r="K1342" s="22" t="n">
        <v>1</v>
      </c>
      <c r="L1342" s="22" t="s">
        <v>8605</v>
      </c>
      <c r="M1342" s="23" t="n">
        <v>46144</v>
      </c>
      <c r="N1342" s="23" t="n">
        <v>46132</v>
      </c>
      <c r="O1342" s="22" t="n">
        <v>2</v>
      </c>
      <c r="P1342" s="22"/>
      <c r="Q1342" s="22" t="s">
        <v>10278</v>
      </c>
      <c r="R1342" s="22"/>
    </row>
    <row r="1343" customFormat="false" ht="15" hidden="false" customHeight="false" outlineLevel="0" collapsed="false">
      <c r="A1343" s="22" t="s">
        <v>10279</v>
      </c>
      <c r="B1343" s="23" t="n">
        <v>46121</v>
      </c>
      <c r="C1343" s="22" t="s">
        <v>3638</v>
      </c>
      <c r="D1343" s="22" t="n">
        <v>1464</v>
      </c>
      <c r="E1343" s="22" t="s">
        <v>7099</v>
      </c>
      <c r="F1343" s="22" t="s">
        <v>198</v>
      </c>
      <c r="G1343" s="22" t="n">
        <v>24</v>
      </c>
      <c r="H1343" s="22" t="s">
        <v>6575</v>
      </c>
      <c r="I1343" s="22" t="s">
        <v>8601</v>
      </c>
      <c r="J1343" s="22" t="n">
        <v>10.4</v>
      </c>
      <c r="K1343" s="22" t="n">
        <v>1</v>
      </c>
      <c r="L1343" s="22" t="s">
        <v>8605</v>
      </c>
      <c r="M1343" s="23" t="n">
        <v>46131</v>
      </c>
      <c r="N1343" s="23" t="n">
        <v>46134</v>
      </c>
      <c r="O1343" s="22" t="n">
        <v>13</v>
      </c>
      <c r="P1343" s="22"/>
      <c r="Q1343" s="22" t="s">
        <v>10280</v>
      </c>
      <c r="R1343" s="22"/>
    </row>
    <row r="1344" customFormat="false" ht="15" hidden="false" customHeight="false" outlineLevel="0" collapsed="false">
      <c r="A1344" s="22" t="s">
        <v>10281</v>
      </c>
      <c r="B1344" s="23" t="n">
        <v>46136</v>
      </c>
      <c r="C1344" s="22" t="s">
        <v>987</v>
      </c>
      <c r="D1344" s="22" t="n">
        <v>294</v>
      </c>
      <c r="E1344" s="22" t="s">
        <v>7658</v>
      </c>
      <c r="F1344" s="22" t="s">
        <v>159</v>
      </c>
      <c r="G1344" s="22" t="n">
        <v>28</v>
      </c>
      <c r="H1344" s="22" t="s">
        <v>6575</v>
      </c>
      <c r="I1344" s="22" t="s">
        <v>8601</v>
      </c>
      <c r="J1344" s="22" t="n">
        <v>10.4</v>
      </c>
      <c r="K1344" s="22" t="n">
        <v>1</v>
      </c>
      <c r="L1344" s="22" t="s">
        <v>8605</v>
      </c>
      <c r="M1344" s="23" t="n">
        <v>46146</v>
      </c>
      <c r="N1344" s="23" t="n">
        <v>46139</v>
      </c>
      <c r="O1344" s="22" t="n">
        <v>3</v>
      </c>
      <c r="P1344" s="22"/>
      <c r="Q1344" s="22" t="s">
        <v>10282</v>
      </c>
      <c r="R1344" s="22"/>
    </row>
    <row r="1345" customFormat="false" ht="15" hidden="false" customHeight="false" outlineLevel="0" collapsed="false">
      <c r="A1345" s="22" t="s">
        <v>10283</v>
      </c>
      <c r="B1345" s="23" t="n">
        <v>46125</v>
      </c>
      <c r="C1345" s="22" t="s">
        <v>2906</v>
      </c>
      <c r="D1345" s="22" t="n">
        <v>1120</v>
      </c>
      <c r="E1345" s="22" t="s">
        <v>6754</v>
      </c>
      <c r="F1345" s="22" t="s">
        <v>198</v>
      </c>
      <c r="G1345" s="22" t="n">
        <v>24</v>
      </c>
      <c r="H1345" s="22" t="s">
        <v>6575</v>
      </c>
      <c r="I1345" s="22" t="s">
        <v>8601</v>
      </c>
      <c r="J1345" s="22" t="n">
        <v>10.4</v>
      </c>
      <c r="K1345" s="22" t="n">
        <v>1</v>
      </c>
      <c r="L1345" s="22" t="s">
        <v>8602</v>
      </c>
      <c r="M1345" s="23" t="n">
        <v>46135</v>
      </c>
      <c r="N1345" s="22"/>
      <c r="O1345" s="22"/>
      <c r="P1345" s="22" t="s">
        <v>8603</v>
      </c>
      <c r="Q1345" s="22"/>
      <c r="R1345" s="22"/>
    </row>
    <row r="1346" customFormat="false" ht="15" hidden="false" customHeight="false" outlineLevel="0" collapsed="false">
      <c r="A1346" s="22" t="s">
        <v>10284</v>
      </c>
      <c r="B1346" s="23" t="n">
        <v>46118</v>
      </c>
      <c r="C1346" s="22" t="s">
        <v>3407</v>
      </c>
      <c r="D1346" s="22" t="n">
        <v>1353</v>
      </c>
      <c r="E1346" s="22" t="s">
        <v>6928</v>
      </c>
      <c r="F1346" s="22" t="s">
        <v>198</v>
      </c>
      <c r="G1346" s="22" t="n">
        <v>24</v>
      </c>
      <c r="H1346" s="22" t="s">
        <v>6575</v>
      </c>
      <c r="I1346" s="22" t="s">
        <v>8601</v>
      </c>
      <c r="J1346" s="22" t="n">
        <v>10.4</v>
      </c>
      <c r="K1346" s="22" t="n">
        <v>1</v>
      </c>
      <c r="L1346" s="22" t="s">
        <v>8602</v>
      </c>
      <c r="M1346" s="23" t="n">
        <v>46128</v>
      </c>
      <c r="N1346" s="22"/>
      <c r="O1346" s="22"/>
      <c r="P1346" s="22" t="s">
        <v>8637</v>
      </c>
      <c r="Q1346" s="22"/>
      <c r="R1346" s="22"/>
    </row>
    <row r="1347" customFormat="false" ht="15" hidden="false" customHeight="false" outlineLevel="0" collapsed="false">
      <c r="A1347" s="22" t="s">
        <v>10285</v>
      </c>
      <c r="B1347" s="23" t="n">
        <v>46131</v>
      </c>
      <c r="C1347" s="22" t="s">
        <v>3718</v>
      </c>
      <c r="D1347" s="22" t="n">
        <v>1504</v>
      </c>
      <c r="E1347" s="22" t="s">
        <v>8342</v>
      </c>
      <c r="F1347" s="22" t="s">
        <v>188</v>
      </c>
      <c r="G1347" s="22" t="n">
        <v>50</v>
      </c>
      <c r="H1347" s="22" t="s">
        <v>7696</v>
      </c>
      <c r="I1347" s="22" t="s">
        <v>8601</v>
      </c>
      <c r="J1347" s="22" t="n">
        <v>7.55</v>
      </c>
      <c r="K1347" s="22" t="n">
        <v>1</v>
      </c>
      <c r="L1347" s="22" t="s">
        <v>8602</v>
      </c>
      <c r="M1347" s="23" t="n">
        <v>46145</v>
      </c>
      <c r="N1347" s="22"/>
      <c r="O1347" s="22"/>
      <c r="P1347" s="22" t="s">
        <v>8618</v>
      </c>
      <c r="Q1347" s="22"/>
      <c r="R1347" s="22"/>
    </row>
    <row r="1348" customFormat="false" ht="15" hidden="false" customHeight="false" outlineLevel="0" collapsed="false">
      <c r="A1348" s="22" t="s">
        <v>10286</v>
      </c>
      <c r="B1348" s="23" t="n">
        <v>46129</v>
      </c>
      <c r="C1348" s="22" t="s">
        <v>4129</v>
      </c>
      <c r="D1348" s="22" t="n">
        <v>1706</v>
      </c>
      <c r="E1348" s="22" t="s">
        <v>8178</v>
      </c>
      <c r="F1348" s="22" t="s">
        <v>499</v>
      </c>
      <c r="G1348" s="22" t="n">
        <v>32</v>
      </c>
      <c r="H1348" s="22" t="s">
        <v>7696</v>
      </c>
      <c r="I1348" s="22" t="s">
        <v>8601</v>
      </c>
      <c r="J1348" s="22" t="n">
        <v>7.55</v>
      </c>
      <c r="K1348" s="22" t="n">
        <v>1</v>
      </c>
      <c r="L1348" s="22" t="s">
        <v>8602</v>
      </c>
      <c r="M1348" s="23" t="n">
        <v>46143</v>
      </c>
      <c r="N1348" s="22"/>
      <c r="O1348" s="22"/>
      <c r="P1348" s="22" t="s">
        <v>8618</v>
      </c>
      <c r="Q1348" s="22"/>
      <c r="R1348" s="22"/>
    </row>
    <row r="1349" customFormat="false" ht="15" hidden="false" customHeight="false" outlineLevel="0" collapsed="false">
      <c r="A1349" s="22" t="s">
        <v>10287</v>
      </c>
      <c r="B1349" s="23" t="n">
        <v>46114</v>
      </c>
      <c r="C1349" s="22" t="s">
        <v>970</v>
      </c>
      <c r="D1349" s="22" t="n">
        <v>288</v>
      </c>
      <c r="E1349" s="22" t="s">
        <v>7644</v>
      </c>
      <c r="F1349" s="22" t="s">
        <v>159</v>
      </c>
      <c r="G1349" s="22" t="n">
        <v>24</v>
      </c>
      <c r="H1349" s="22" t="s">
        <v>6575</v>
      </c>
      <c r="I1349" s="22" t="s">
        <v>8601</v>
      </c>
      <c r="J1349" s="22" t="n">
        <v>10.4</v>
      </c>
      <c r="K1349" s="22" t="n">
        <v>2</v>
      </c>
      <c r="L1349" s="22" t="s">
        <v>8602</v>
      </c>
      <c r="M1349" s="23" t="n">
        <v>46124</v>
      </c>
      <c r="N1349" s="22"/>
      <c r="O1349" s="22"/>
      <c r="P1349" s="22" t="s">
        <v>8631</v>
      </c>
      <c r="Q1349" s="22"/>
      <c r="R1349" s="22"/>
    </row>
    <row r="1350" customFormat="false" ht="15" hidden="false" customHeight="false" outlineLevel="0" collapsed="false">
      <c r="A1350" s="22" t="s">
        <v>10288</v>
      </c>
      <c r="B1350" s="23" t="n">
        <v>46123</v>
      </c>
      <c r="C1350" s="22" t="s">
        <v>2079</v>
      </c>
      <c r="D1350" s="22" t="n">
        <v>747</v>
      </c>
      <c r="E1350" s="22" t="s">
        <v>8333</v>
      </c>
      <c r="F1350" s="22" t="s">
        <v>499</v>
      </c>
      <c r="G1350" s="22" t="n">
        <v>32</v>
      </c>
      <c r="H1350" s="22" t="s">
        <v>7696</v>
      </c>
      <c r="I1350" s="22" t="s">
        <v>8601</v>
      </c>
      <c r="J1350" s="22" t="n">
        <v>7.55</v>
      </c>
      <c r="K1350" s="22" t="n">
        <v>1</v>
      </c>
      <c r="L1350" s="22" t="s">
        <v>157</v>
      </c>
      <c r="M1350" s="23" t="n">
        <v>46137</v>
      </c>
      <c r="N1350" s="23" t="n">
        <v>46127</v>
      </c>
      <c r="O1350" s="22" t="n">
        <v>4</v>
      </c>
      <c r="P1350" s="22"/>
      <c r="Q1350" s="22"/>
      <c r="R1350" s="22"/>
    </row>
    <row r="1351" customFormat="false" ht="15" hidden="false" customHeight="false" outlineLevel="0" collapsed="false">
      <c r="A1351" s="22" t="s">
        <v>10289</v>
      </c>
      <c r="B1351" s="23" t="n">
        <v>46119</v>
      </c>
      <c r="C1351" s="22" t="s">
        <v>3992</v>
      </c>
      <c r="D1351" s="22" t="n">
        <v>1639</v>
      </c>
      <c r="E1351" s="22" t="s">
        <v>7249</v>
      </c>
      <c r="F1351" s="22" t="s">
        <v>198</v>
      </c>
      <c r="G1351" s="22" t="n">
        <v>28</v>
      </c>
      <c r="H1351" s="22" t="s">
        <v>6575</v>
      </c>
      <c r="I1351" s="22" t="s">
        <v>8601</v>
      </c>
      <c r="J1351" s="22" t="n">
        <v>10.4</v>
      </c>
      <c r="K1351" s="22" t="n">
        <v>1</v>
      </c>
      <c r="L1351" s="22" t="s">
        <v>8602</v>
      </c>
      <c r="M1351" s="23" t="n">
        <v>46129</v>
      </c>
      <c r="N1351" s="22"/>
      <c r="O1351" s="22"/>
      <c r="P1351" s="22" t="s">
        <v>8603</v>
      </c>
      <c r="Q1351" s="22"/>
      <c r="R1351" s="22"/>
    </row>
    <row r="1352" customFormat="false" ht="15" hidden="false" customHeight="false" outlineLevel="0" collapsed="false">
      <c r="A1352" s="22" t="s">
        <v>10290</v>
      </c>
      <c r="B1352" s="23" t="n">
        <v>46125</v>
      </c>
      <c r="C1352" s="22" t="s">
        <v>3484</v>
      </c>
      <c r="D1352" s="22" t="n">
        <v>1390</v>
      </c>
      <c r="E1352" s="22" t="s">
        <v>8550</v>
      </c>
      <c r="F1352" s="22" t="s">
        <v>188</v>
      </c>
      <c r="G1352" s="22" t="n">
        <v>45</v>
      </c>
      <c r="H1352" s="22" t="s">
        <v>7696</v>
      </c>
      <c r="I1352" s="22" t="s">
        <v>8601</v>
      </c>
      <c r="J1352" s="22" t="n">
        <v>7.55</v>
      </c>
      <c r="K1352" s="22" t="n">
        <v>1</v>
      </c>
      <c r="L1352" s="22" t="s">
        <v>8605</v>
      </c>
      <c r="M1352" s="23" t="n">
        <v>46139</v>
      </c>
      <c r="N1352" s="23" t="n">
        <v>46131</v>
      </c>
      <c r="O1352" s="22" t="n">
        <v>6</v>
      </c>
      <c r="P1352" s="22"/>
      <c r="Q1352" s="22" t="s">
        <v>10291</v>
      </c>
      <c r="R1352" s="22"/>
    </row>
    <row r="1353" customFormat="false" ht="15" hidden="false" customHeight="false" outlineLevel="0" collapsed="false">
      <c r="A1353" s="22" t="s">
        <v>10292</v>
      </c>
      <c r="B1353" s="23" t="n">
        <v>46134</v>
      </c>
      <c r="C1353" s="22" t="s">
        <v>5726</v>
      </c>
      <c r="D1353" s="22" t="n">
        <v>2493</v>
      </c>
      <c r="E1353" s="22" t="s">
        <v>8156</v>
      </c>
      <c r="F1353" s="22" t="s">
        <v>499</v>
      </c>
      <c r="G1353" s="22" t="n">
        <v>28</v>
      </c>
      <c r="H1353" s="22" t="s">
        <v>7696</v>
      </c>
      <c r="I1353" s="22" t="s">
        <v>8601</v>
      </c>
      <c r="J1353" s="22" t="n">
        <v>7.55</v>
      </c>
      <c r="K1353" s="22" t="n">
        <v>1</v>
      </c>
      <c r="L1353" s="22" t="s">
        <v>8605</v>
      </c>
      <c r="M1353" s="23" t="n">
        <v>46148</v>
      </c>
      <c r="N1353" s="23" t="n">
        <v>46148</v>
      </c>
      <c r="O1353" s="22" t="n">
        <v>14</v>
      </c>
      <c r="P1353" s="22"/>
      <c r="Q1353" s="22" t="s">
        <v>10293</v>
      </c>
      <c r="R1353" s="22"/>
    </row>
    <row r="1354" customFormat="false" ht="15" hidden="false" customHeight="false" outlineLevel="0" collapsed="false">
      <c r="A1354" s="22" t="s">
        <v>10294</v>
      </c>
      <c r="B1354" s="23" t="n">
        <v>46125</v>
      </c>
      <c r="C1354" s="22" t="s">
        <v>1271</v>
      </c>
      <c r="D1354" s="22" t="n">
        <v>405</v>
      </c>
      <c r="E1354" s="22" t="s">
        <v>7505</v>
      </c>
      <c r="F1354" s="22" t="s">
        <v>159</v>
      </c>
      <c r="G1354" s="22" t="n">
        <v>28</v>
      </c>
      <c r="H1354" s="22" t="s">
        <v>6575</v>
      </c>
      <c r="I1354" s="22" t="s">
        <v>8601</v>
      </c>
      <c r="J1354" s="22" t="n">
        <v>10.4</v>
      </c>
      <c r="K1354" s="22" t="n">
        <v>1</v>
      </c>
      <c r="L1354" s="22" t="s">
        <v>8729</v>
      </c>
      <c r="M1354" s="23" t="n">
        <v>46135</v>
      </c>
      <c r="N1354" s="23" t="n">
        <v>46134</v>
      </c>
      <c r="O1354" s="22" t="n">
        <v>9</v>
      </c>
      <c r="P1354" s="22"/>
      <c r="Q1354" s="22"/>
      <c r="R1354" s="22"/>
    </row>
    <row r="1355" customFormat="false" ht="15" hidden="false" customHeight="false" outlineLevel="0" collapsed="false">
      <c r="A1355" s="22" t="s">
        <v>10295</v>
      </c>
      <c r="B1355" s="23" t="n">
        <v>46125</v>
      </c>
      <c r="C1355" s="22" t="s">
        <v>1286</v>
      </c>
      <c r="D1355" s="22" t="n">
        <v>412</v>
      </c>
      <c r="E1355" s="22" t="s">
        <v>7980</v>
      </c>
      <c r="F1355" s="22" t="s">
        <v>215</v>
      </c>
      <c r="G1355" s="22" t="n">
        <v>45</v>
      </c>
      <c r="H1355" s="22" t="s">
        <v>7696</v>
      </c>
      <c r="I1355" s="22" t="s">
        <v>8601</v>
      </c>
      <c r="J1355" s="22" t="n">
        <v>7.55</v>
      </c>
      <c r="K1355" s="22" t="n">
        <v>1</v>
      </c>
      <c r="L1355" s="22" t="s">
        <v>8608</v>
      </c>
      <c r="M1355" s="23" t="n">
        <v>46139</v>
      </c>
      <c r="N1355" s="23" t="n">
        <v>46142</v>
      </c>
      <c r="O1355" s="22" t="n">
        <v>17</v>
      </c>
      <c r="P1355" s="22"/>
      <c r="Q1355" s="22"/>
      <c r="R1355" s="22"/>
    </row>
    <row r="1356" customFormat="false" ht="15" hidden="false" customHeight="false" outlineLevel="0" collapsed="false">
      <c r="A1356" s="22" t="s">
        <v>10296</v>
      </c>
      <c r="B1356" s="23" t="n">
        <v>46134</v>
      </c>
      <c r="C1356" s="22" t="s">
        <v>5453</v>
      </c>
      <c r="D1356" s="22" t="n">
        <v>2358</v>
      </c>
      <c r="E1356" s="22" t="s">
        <v>6621</v>
      </c>
      <c r="F1356" s="22" t="s">
        <v>198</v>
      </c>
      <c r="G1356" s="22" t="n">
        <v>28</v>
      </c>
      <c r="H1356" s="22" t="s">
        <v>6575</v>
      </c>
      <c r="I1356" s="22" t="s">
        <v>8601</v>
      </c>
      <c r="J1356" s="22" t="n">
        <v>10.4</v>
      </c>
      <c r="K1356" s="22" t="n">
        <v>1</v>
      </c>
      <c r="L1356" s="22" t="s">
        <v>8629</v>
      </c>
      <c r="M1356" s="23" t="n">
        <v>46144</v>
      </c>
      <c r="N1356" s="23" t="n">
        <v>46138</v>
      </c>
      <c r="O1356" s="22" t="n">
        <v>4</v>
      </c>
      <c r="P1356" s="22"/>
      <c r="Q1356" s="22"/>
      <c r="R1356" s="22"/>
    </row>
    <row r="1357" customFormat="false" ht="15" hidden="false" customHeight="false" outlineLevel="0" collapsed="false">
      <c r="A1357" s="22" t="s">
        <v>10297</v>
      </c>
      <c r="B1357" s="23" t="n">
        <v>46128</v>
      </c>
      <c r="C1357" s="22" t="s">
        <v>5869</v>
      </c>
      <c r="D1357" s="22" t="n">
        <v>2565</v>
      </c>
      <c r="E1357" s="22" t="s">
        <v>8103</v>
      </c>
      <c r="F1357" s="22" t="s">
        <v>499</v>
      </c>
      <c r="G1357" s="22" t="n">
        <v>28</v>
      </c>
      <c r="H1357" s="22" t="s">
        <v>7696</v>
      </c>
      <c r="I1357" s="22" t="s">
        <v>8601</v>
      </c>
      <c r="J1357" s="22" t="n">
        <v>7.55</v>
      </c>
      <c r="K1357" s="22" t="n">
        <v>2</v>
      </c>
      <c r="L1357" s="22" t="s">
        <v>8629</v>
      </c>
      <c r="M1357" s="23" t="n">
        <v>46142</v>
      </c>
      <c r="N1357" s="23" t="n">
        <v>46130</v>
      </c>
      <c r="O1357" s="22" t="n">
        <v>2</v>
      </c>
      <c r="P1357" s="22"/>
      <c r="Q1357" s="22"/>
      <c r="R1357" s="22"/>
    </row>
    <row r="1358" customFormat="false" ht="15" hidden="false" customHeight="false" outlineLevel="0" collapsed="false">
      <c r="A1358" s="22" t="s">
        <v>10298</v>
      </c>
      <c r="B1358" s="23" t="n">
        <v>46170</v>
      </c>
      <c r="C1358" s="22" t="s">
        <v>2250</v>
      </c>
      <c r="D1358" s="22" t="n">
        <v>823</v>
      </c>
      <c r="E1358" s="22" t="s">
        <v>8490</v>
      </c>
      <c r="F1358" s="22" t="s">
        <v>188</v>
      </c>
      <c r="G1358" s="22" t="n">
        <v>24</v>
      </c>
      <c r="H1358" s="22" t="s">
        <v>7696</v>
      </c>
      <c r="I1358" s="22" t="s">
        <v>8601</v>
      </c>
      <c r="J1358" s="22" t="n">
        <v>7.55</v>
      </c>
      <c r="K1358" s="22" t="n">
        <v>1</v>
      </c>
      <c r="L1358" s="22" t="s">
        <v>8605</v>
      </c>
      <c r="M1358" s="23" t="n">
        <v>46184</v>
      </c>
      <c r="N1358" s="23" t="n">
        <v>46175</v>
      </c>
      <c r="O1358" s="22" t="n">
        <v>5</v>
      </c>
      <c r="P1358" s="22"/>
      <c r="Q1358" s="22" t="s">
        <v>10299</v>
      </c>
      <c r="R1358" s="22"/>
    </row>
    <row r="1359" customFormat="false" ht="15" hidden="false" customHeight="false" outlineLevel="0" collapsed="false">
      <c r="A1359" s="22" t="s">
        <v>10300</v>
      </c>
      <c r="B1359" s="23" t="n">
        <v>46151</v>
      </c>
      <c r="C1359" s="22" t="s">
        <v>6247</v>
      </c>
      <c r="D1359" s="22" t="n">
        <v>2754</v>
      </c>
      <c r="E1359" s="22" t="s">
        <v>7182</v>
      </c>
      <c r="F1359" s="22" t="s">
        <v>198</v>
      </c>
      <c r="G1359" s="22" t="n">
        <v>24</v>
      </c>
      <c r="H1359" s="22" t="s">
        <v>6575</v>
      </c>
      <c r="I1359" s="22" t="s">
        <v>8601</v>
      </c>
      <c r="J1359" s="22" t="n">
        <v>10.4</v>
      </c>
      <c r="K1359" s="22" t="n">
        <v>1</v>
      </c>
      <c r="L1359" s="22" t="s">
        <v>8602</v>
      </c>
      <c r="M1359" s="23" t="n">
        <v>46161</v>
      </c>
      <c r="N1359" s="22"/>
      <c r="O1359" s="22"/>
      <c r="P1359" s="22" t="s">
        <v>8618</v>
      </c>
      <c r="Q1359" s="22"/>
      <c r="R1359" s="22"/>
    </row>
    <row r="1360" customFormat="false" ht="15" hidden="false" customHeight="false" outlineLevel="0" collapsed="false">
      <c r="A1360" s="22" t="s">
        <v>10301</v>
      </c>
      <c r="B1360" s="23" t="n">
        <v>46158</v>
      </c>
      <c r="C1360" s="22" t="s">
        <v>3255</v>
      </c>
      <c r="D1360" s="22" t="n">
        <v>1281</v>
      </c>
      <c r="E1360" s="22" t="s">
        <v>8544</v>
      </c>
      <c r="F1360" s="22" t="s">
        <v>188</v>
      </c>
      <c r="G1360" s="22" t="n">
        <v>24</v>
      </c>
      <c r="H1360" s="22" t="s">
        <v>7696</v>
      </c>
      <c r="I1360" s="22" t="s">
        <v>8601</v>
      </c>
      <c r="J1360" s="22" t="n">
        <v>7.55</v>
      </c>
      <c r="K1360" s="22" t="n">
        <v>1</v>
      </c>
      <c r="L1360" s="22" t="s">
        <v>8605</v>
      </c>
      <c r="M1360" s="23" t="n">
        <v>46172</v>
      </c>
      <c r="N1360" s="23" t="n">
        <v>46160</v>
      </c>
      <c r="O1360" s="22" t="n">
        <v>2</v>
      </c>
      <c r="P1360" s="22"/>
      <c r="Q1360" s="22" t="s">
        <v>10302</v>
      </c>
      <c r="R1360" s="22"/>
    </row>
    <row r="1361" customFormat="false" ht="15" hidden="false" customHeight="false" outlineLevel="0" collapsed="false">
      <c r="A1361" s="22" t="s">
        <v>10303</v>
      </c>
      <c r="B1361" s="23" t="n">
        <v>46148</v>
      </c>
      <c r="C1361" s="22" t="s">
        <v>750</v>
      </c>
      <c r="D1361" s="22" t="n">
        <v>205</v>
      </c>
      <c r="E1361" s="22" t="s">
        <v>8218</v>
      </c>
      <c r="F1361" s="22" t="s">
        <v>499</v>
      </c>
      <c r="G1361" s="22" t="n">
        <v>70</v>
      </c>
      <c r="H1361" s="22" t="s">
        <v>7696</v>
      </c>
      <c r="I1361" s="22" t="s">
        <v>8601</v>
      </c>
      <c r="J1361" s="22" t="n">
        <v>7.55</v>
      </c>
      <c r="K1361" s="22" t="n">
        <v>2</v>
      </c>
      <c r="L1361" s="22" t="s">
        <v>8602</v>
      </c>
      <c r="M1361" s="23" t="n">
        <v>46162</v>
      </c>
      <c r="N1361" s="22"/>
      <c r="O1361" s="22"/>
      <c r="P1361" s="22" t="s">
        <v>8637</v>
      </c>
      <c r="Q1361" s="22"/>
      <c r="R1361" s="22"/>
    </row>
    <row r="1362" customFormat="false" ht="15" hidden="false" customHeight="false" outlineLevel="0" collapsed="false">
      <c r="A1362" s="22" t="s">
        <v>10304</v>
      </c>
      <c r="B1362" s="23" t="n">
        <v>46160</v>
      </c>
      <c r="C1362" s="22" t="s">
        <v>5952</v>
      </c>
      <c r="D1362" s="22" t="n">
        <v>2607</v>
      </c>
      <c r="E1362" s="22" t="s">
        <v>7257</v>
      </c>
      <c r="F1362" s="22" t="s">
        <v>198</v>
      </c>
      <c r="G1362" s="22" t="n">
        <v>36</v>
      </c>
      <c r="H1362" s="22" t="s">
        <v>6575</v>
      </c>
      <c r="I1362" s="22" t="s">
        <v>8601</v>
      </c>
      <c r="J1362" s="22" t="n">
        <v>10.4</v>
      </c>
      <c r="K1362" s="22" t="n">
        <v>2</v>
      </c>
      <c r="L1362" s="22" t="s">
        <v>8602</v>
      </c>
      <c r="M1362" s="23" t="n">
        <v>46170</v>
      </c>
      <c r="N1362" s="22"/>
      <c r="O1362" s="22"/>
      <c r="P1362" s="22" t="s">
        <v>8618</v>
      </c>
      <c r="Q1362" s="22"/>
      <c r="R1362" s="22"/>
    </row>
    <row r="1363" customFormat="false" ht="15" hidden="false" customHeight="false" outlineLevel="0" collapsed="false">
      <c r="A1363" s="22" t="s">
        <v>10305</v>
      </c>
      <c r="B1363" s="23" t="n">
        <v>46156</v>
      </c>
      <c r="C1363" s="22" t="s">
        <v>3829</v>
      </c>
      <c r="D1363" s="22" t="n">
        <v>1559</v>
      </c>
      <c r="E1363" s="22" t="s">
        <v>7737</v>
      </c>
      <c r="F1363" s="22" t="s">
        <v>215</v>
      </c>
      <c r="G1363" s="22" t="n">
        <v>28</v>
      </c>
      <c r="H1363" s="22" t="s">
        <v>7696</v>
      </c>
      <c r="I1363" s="22" t="s">
        <v>8601</v>
      </c>
      <c r="J1363" s="22" t="n">
        <v>7.55</v>
      </c>
      <c r="K1363" s="22" t="n">
        <v>1</v>
      </c>
      <c r="L1363" s="22" t="s">
        <v>8605</v>
      </c>
      <c r="M1363" s="23" t="n">
        <v>46170</v>
      </c>
      <c r="N1363" s="23" t="n">
        <v>46171</v>
      </c>
      <c r="O1363" s="22" t="n">
        <v>15</v>
      </c>
      <c r="P1363" s="22"/>
      <c r="Q1363" s="22" t="s">
        <v>10306</v>
      </c>
      <c r="R1363" s="22"/>
    </row>
    <row r="1364" customFormat="false" ht="15" hidden="false" customHeight="false" outlineLevel="0" collapsed="false">
      <c r="A1364" s="22" t="s">
        <v>10307</v>
      </c>
      <c r="B1364" s="23" t="n">
        <v>46150</v>
      </c>
      <c r="C1364" s="22" t="s">
        <v>6526</v>
      </c>
      <c r="D1364" s="22" t="n">
        <v>2896</v>
      </c>
      <c r="E1364" s="22" t="s">
        <v>6708</v>
      </c>
      <c r="F1364" s="22" t="s">
        <v>198</v>
      </c>
      <c r="G1364" s="22" t="n">
        <v>28</v>
      </c>
      <c r="H1364" s="22" t="s">
        <v>6575</v>
      </c>
      <c r="I1364" s="22" t="s">
        <v>8601</v>
      </c>
      <c r="J1364" s="22" t="n">
        <v>10.4</v>
      </c>
      <c r="K1364" s="22" t="n">
        <v>1</v>
      </c>
      <c r="L1364" s="22" t="s">
        <v>8602</v>
      </c>
      <c r="M1364" s="23" t="n">
        <v>46160</v>
      </c>
      <c r="N1364" s="22"/>
      <c r="O1364" s="22"/>
      <c r="P1364" s="22" t="s">
        <v>8603</v>
      </c>
      <c r="Q1364" s="22"/>
      <c r="R1364" s="22"/>
    </row>
    <row r="1365" customFormat="false" ht="15" hidden="false" customHeight="false" outlineLevel="0" collapsed="false">
      <c r="A1365" s="22" t="s">
        <v>10308</v>
      </c>
      <c r="B1365" s="23" t="n">
        <v>46160</v>
      </c>
      <c r="C1365" s="22" t="s">
        <v>4412</v>
      </c>
      <c r="D1365" s="22" t="n">
        <v>1844</v>
      </c>
      <c r="E1365" s="22" t="s">
        <v>8461</v>
      </c>
      <c r="F1365" s="22" t="s">
        <v>188</v>
      </c>
      <c r="G1365" s="22" t="n">
        <v>32</v>
      </c>
      <c r="H1365" s="22" t="s">
        <v>7696</v>
      </c>
      <c r="I1365" s="22" t="s">
        <v>8601</v>
      </c>
      <c r="J1365" s="22" t="n">
        <v>7.55</v>
      </c>
      <c r="K1365" s="22" t="n">
        <v>2</v>
      </c>
      <c r="L1365" s="22" t="s">
        <v>8605</v>
      </c>
      <c r="M1365" s="23" t="n">
        <v>46174</v>
      </c>
      <c r="N1365" s="23" t="n">
        <v>46162</v>
      </c>
      <c r="O1365" s="22" t="n">
        <v>2</v>
      </c>
      <c r="P1365" s="22"/>
      <c r="Q1365" s="22" t="s">
        <v>10309</v>
      </c>
      <c r="R1365" s="22"/>
    </row>
    <row r="1366" customFormat="false" ht="15" hidden="false" customHeight="false" outlineLevel="0" collapsed="false">
      <c r="A1366" s="22" t="s">
        <v>10310</v>
      </c>
      <c r="B1366" s="23" t="n">
        <v>46164</v>
      </c>
      <c r="C1366" s="22" t="s">
        <v>202</v>
      </c>
      <c r="D1366" s="22" t="n">
        <v>14</v>
      </c>
      <c r="E1366" s="22" t="s">
        <v>7207</v>
      </c>
      <c r="F1366" s="22" t="s">
        <v>198</v>
      </c>
      <c r="G1366" s="22" t="n">
        <v>32</v>
      </c>
      <c r="H1366" s="22" t="s">
        <v>6575</v>
      </c>
      <c r="I1366" s="22" t="s">
        <v>8601</v>
      </c>
      <c r="J1366" s="22" t="n">
        <v>10.4</v>
      </c>
      <c r="K1366" s="22" t="n">
        <v>1</v>
      </c>
      <c r="L1366" s="22" t="s">
        <v>8605</v>
      </c>
      <c r="M1366" s="23" t="n">
        <v>46174</v>
      </c>
      <c r="N1366" s="23" t="n">
        <v>46177</v>
      </c>
      <c r="O1366" s="22" t="n">
        <v>13</v>
      </c>
      <c r="P1366" s="22"/>
      <c r="Q1366" s="22" t="s">
        <v>10311</v>
      </c>
      <c r="R1366" s="22"/>
    </row>
    <row r="1367" customFormat="false" ht="15" hidden="false" customHeight="false" outlineLevel="0" collapsed="false">
      <c r="A1367" s="22" t="s">
        <v>10312</v>
      </c>
      <c r="B1367" s="23" t="n">
        <v>46166</v>
      </c>
      <c r="C1367" s="22" t="s">
        <v>5233</v>
      </c>
      <c r="D1367" s="22" t="n">
        <v>2247</v>
      </c>
      <c r="E1367" s="22" t="s">
        <v>7644</v>
      </c>
      <c r="F1367" s="22" t="s">
        <v>159</v>
      </c>
      <c r="G1367" s="22" t="n">
        <v>24</v>
      </c>
      <c r="H1367" s="22" t="s">
        <v>6575</v>
      </c>
      <c r="I1367" s="22" t="s">
        <v>8601</v>
      </c>
      <c r="J1367" s="22" t="n">
        <v>10.4</v>
      </c>
      <c r="K1367" s="22" t="n">
        <v>2</v>
      </c>
      <c r="L1367" s="22" t="s">
        <v>8602</v>
      </c>
      <c r="M1367" s="23" t="n">
        <v>46176</v>
      </c>
      <c r="N1367" s="22"/>
      <c r="O1367" s="22"/>
      <c r="P1367" s="22" t="s">
        <v>8603</v>
      </c>
      <c r="Q1367" s="22"/>
      <c r="R1367" s="22"/>
    </row>
    <row r="1368" customFormat="false" ht="15" hidden="false" customHeight="false" outlineLevel="0" collapsed="false">
      <c r="A1368" s="22" t="s">
        <v>10313</v>
      </c>
      <c r="B1368" s="23" t="n">
        <v>46169</v>
      </c>
      <c r="C1368" s="22" t="s">
        <v>3451</v>
      </c>
      <c r="D1368" s="22" t="n">
        <v>1374</v>
      </c>
      <c r="E1368" s="22" t="s">
        <v>7422</v>
      </c>
      <c r="F1368" s="22" t="s">
        <v>159</v>
      </c>
      <c r="G1368" s="22" t="n">
        <v>36</v>
      </c>
      <c r="H1368" s="22" t="s">
        <v>6575</v>
      </c>
      <c r="I1368" s="22" t="s">
        <v>8601</v>
      </c>
      <c r="J1368" s="22" t="n">
        <v>10.4</v>
      </c>
      <c r="K1368" s="22" t="n">
        <v>2</v>
      </c>
      <c r="L1368" s="22" t="s">
        <v>8605</v>
      </c>
      <c r="M1368" s="23" t="n">
        <v>46179</v>
      </c>
      <c r="N1368" s="23" t="n">
        <v>46173</v>
      </c>
      <c r="O1368" s="22" t="n">
        <v>4</v>
      </c>
      <c r="P1368" s="22"/>
      <c r="Q1368" s="22" t="s">
        <v>10314</v>
      </c>
      <c r="R1368" s="22"/>
    </row>
    <row r="1369" customFormat="false" ht="15" hidden="false" customHeight="false" outlineLevel="0" collapsed="false">
      <c r="A1369" s="22" t="s">
        <v>10315</v>
      </c>
      <c r="B1369" s="23" t="n">
        <v>46163</v>
      </c>
      <c r="C1369" s="22" t="s">
        <v>5706</v>
      </c>
      <c r="D1369" s="22" t="n">
        <v>2483</v>
      </c>
      <c r="E1369" s="22" t="s">
        <v>6572</v>
      </c>
      <c r="F1369" s="22" t="s">
        <v>198</v>
      </c>
      <c r="G1369" s="22" t="n">
        <v>24</v>
      </c>
      <c r="H1369" s="22" t="s">
        <v>6575</v>
      </c>
      <c r="I1369" s="22" t="s">
        <v>8601</v>
      </c>
      <c r="J1369" s="22" t="n">
        <v>10.4</v>
      </c>
      <c r="K1369" s="22" t="n">
        <v>1</v>
      </c>
      <c r="L1369" s="22" t="s">
        <v>8605</v>
      </c>
      <c r="M1369" s="23" t="n">
        <v>46173</v>
      </c>
      <c r="N1369" s="23" t="n">
        <v>46174</v>
      </c>
      <c r="O1369" s="22" t="n">
        <v>11</v>
      </c>
      <c r="P1369" s="22"/>
      <c r="Q1369" s="22" t="s">
        <v>10316</v>
      </c>
      <c r="R1369" s="22"/>
    </row>
    <row r="1370" customFormat="false" ht="15" hidden="false" customHeight="false" outlineLevel="0" collapsed="false">
      <c r="A1370" s="22" t="s">
        <v>10317</v>
      </c>
      <c r="B1370" s="23" t="n">
        <v>46149</v>
      </c>
      <c r="C1370" s="22" t="s">
        <v>4566</v>
      </c>
      <c r="D1370" s="22" t="n">
        <v>1920</v>
      </c>
      <c r="E1370" s="22" t="s">
        <v>8073</v>
      </c>
      <c r="F1370" s="22" t="s">
        <v>499</v>
      </c>
      <c r="G1370" s="22" t="n">
        <v>50</v>
      </c>
      <c r="H1370" s="22" t="s">
        <v>7696</v>
      </c>
      <c r="I1370" s="22" t="s">
        <v>8601</v>
      </c>
      <c r="J1370" s="22" t="n">
        <v>7.55</v>
      </c>
      <c r="K1370" s="22" t="n">
        <v>1</v>
      </c>
      <c r="L1370" s="22" t="s">
        <v>8605</v>
      </c>
      <c r="M1370" s="23" t="n">
        <v>46163</v>
      </c>
      <c r="N1370" s="23" t="n">
        <v>46164</v>
      </c>
      <c r="O1370" s="22" t="n">
        <v>15</v>
      </c>
      <c r="P1370" s="22"/>
      <c r="Q1370" s="22" t="s">
        <v>10318</v>
      </c>
      <c r="R1370" s="22"/>
    </row>
    <row r="1371" customFormat="false" ht="15" hidden="false" customHeight="false" outlineLevel="0" collapsed="false">
      <c r="A1371" s="22" t="s">
        <v>10319</v>
      </c>
      <c r="B1371" s="23" t="n">
        <v>46165</v>
      </c>
      <c r="C1371" s="22" t="s">
        <v>4587</v>
      </c>
      <c r="D1371" s="22" t="n">
        <v>1930</v>
      </c>
      <c r="E1371" s="22" t="s">
        <v>7743</v>
      </c>
      <c r="F1371" s="22" t="s">
        <v>215</v>
      </c>
      <c r="G1371" s="22" t="n">
        <v>45</v>
      </c>
      <c r="H1371" s="22" t="s">
        <v>7696</v>
      </c>
      <c r="I1371" s="22" t="s">
        <v>8601</v>
      </c>
      <c r="J1371" s="22" t="n">
        <v>7.55</v>
      </c>
      <c r="K1371" s="22" t="n">
        <v>1</v>
      </c>
      <c r="L1371" s="22" t="s">
        <v>8605</v>
      </c>
      <c r="M1371" s="23" t="n">
        <v>46179</v>
      </c>
      <c r="N1371" s="23" t="n">
        <v>46175</v>
      </c>
      <c r="O1371" s="22" t="n">
        <v>10</v>
      </c>
      <c r="P1371" s="22"/>
      <c r="Q1371" s="22" t="s">
        <v>10320</v>
      </c>
      <c r="R1371" s="22"/>
    </row>
    <row r="1372" customFormat="false" ht="15" hidden="false" customHeight="false" outlineLevel="0" collapsed="false">
      <c r="A1372" s="22" t="s">
        <v>10321</v>
      </c>
      <c r="B1372" s="23" t="n">
        <v>46165</v>
      </c>
      <c r="C1372" s="22" t="s">
        <v>574</v>
      </c>
      <c r="D1372" s="22" t="n">
        <v>141</v>
      </c>
      <c r="E1372" s="22" t="s">
        <v>7593</v>
      </c>
      <c r="F1372" s="22" t="s">
        <v>159</v>
      </c>
      <c r="G1372" s="22" t="n">
        <v>24</v>
      </c>
      <c r="H1372" s="22" t="s">
        <v>6575</v>
      </c>
      <c r="I1372" s="22" t="s">
        <v>8601</v>
      </c>
      <c r="J1372" s="22" t="n">
        <v>10.4</v>
      </c>
      <c r="K1372" s="22" t="n">
        <v>2</v>
      </c>
      <c r="L1372" s="22" t="s">
        <v>8605</v>
      </c>
      <c r="M1372" s="23" t="n">
        <v>46175</v>
      </c>
      <c r="N1372" s="23" t="n">
        <v>46174</v>
      </c>
      <c r="O1372" s="22" t="n">
        <v>9</v>
      </c>
      <c r="P1372" s="22"/>
      <c r="Q1372" s="22" t="s">
        <v>10322</v>
      </c>
      <c r="R1372" s="22"/>
    </row>
    <row r="1373" customFormat="false" ht="15" hidden="false" customHeight="false" outlineLevel="0" collapsed="false">
      <c r="A1373" s="22" t="s">
        <v>10323</v>
      </c>
      <c r="B1373" s="23" t="n">
        <v>46144</v>
      </c>
      <c r="C1373" s="22" t="s">
        <v>4058</v>
      </c>
      <c r="D1373" s="22" t="n">
        <v>1671</v>
      </c>
      <c r="E1373" s="22" t="s">
        <v>7234</v>
      </c>
      <c r="F1373" s="22" t="s">
        <v>198</v>
      </c>
      <c r="G1373" s="22" t="n">
        <v>32</v>
      </c>
      <c r="H1373" s="22" t="s">
        <v>6575</v>
      </c>
      <c r="I1373" s="22" t="s">
        <v>8601</v>
      </c>
      <c r="J1373" s="22" t="n">
        <v>10.4</v>
      </c>
      <c r="K1373" s="22" t="n">
        <v>1</v>
      </c>
      <c r="L1373" s="22" t="s">
        <v>8602</v>
      </c>
      <c r="M1373" s="23" t="n">
        <v>46154</v>
      </c>
      <c r="N1373" s="22"/>
      <c r="O1373" s="22"/>
      <c r="P1373" s="22" t="s">
        <v>8603</v>
      </c>
      <c r="Q1373" s="22"/>
      <c r="R1373" s="22"/>
    </row>
    <row r="1374" customFormat="false" ht="15" hidden="false" customHeight="false" outlineLevel="0" collapsed="false">
      <c r="A1374" s="22" t="s">
        <v>10324</v>
      </c>
      <c r="B1374" s="23" t="n">
        <v>46147</v>
      </c>
      <c r="C1374" s="22" t="s">
        <v>3241</v>
      </c>
      <c r="D1374" s="22" t="n">
        <v>1274</v>
      </c>
      <c r="E1374" s="22" t="s">
        <v>7928</v>
      </c>
      <c r="F1374" s="22" t="s">
        <v>215</v>
      </c>
      <c r="G1374" s="22" t="n">
        <v>32</v>
      </c>
      <c r="H1374" s="22" t="s">
        <v>7696</v>
      </c>
      <c r="I1374" s="22" t="s">
        <v>8601</v>
      </c>
      <c r="J1374" s="22" t="n">
        <v>7.55</v>
      </c>
      <c r="K1374" s="22" t="n">
        <v>2</v>
      </c>
      <c r="L1374" s="22" t="s">
        <v>8605</v>
      </c>
      <c r="M1374" s="23" t="n">
        <v>46161</v>
      </c>
      <c r="N1374" s="23" t="n">
        <v>46164</v>
      </c>
      <c r="O1374" s="22" t="n">
        <v>17</v>
      </c>
      <c r="P1374" s="22"/>
      <c r="Q1374" s="22" t="s">
        <v>10325</v>
      </c>
      <c r="R1374" s="22"/>
    </row>
    <row r="1375" customFormat="false" ht="15" hidden="false" customHeight="false" outlineLevel="0" collapsed="false">
      <c r="A1375" s="22" t="s">
        <v>10326</v>
      </c>
      <c r="B1375" s="23" t="n">
        <v>46151</v>
      </c>
      <c r="C1375" s="22" t="s">
        <v>4629</v>
      </c>
      <c r="D1375" s="22" t="n">
        <v>1950</v>
      </c>
      <c r="E1375" s="22" t="s">
        <v>6588</v>
      </c>
      <c r="F1375" s="22" t="s">
        <v>198</v>
      </c>
      <c r="G1375" s="22" t="n">
        <v>24</v>
      </c>
      <c r="H1375" s="22" t="s">
        <v>6575</v>
      </c>
      <c r="I1375" s="22" t="s">
        <v>8601</v>
      </c>
      <c r="J1375" s="22" t="n">
        <v>10.4</v>
      </c>
      <c r="K1375" s="22" t="n">
        <v>1</v>
      </c>
      <c r="L1375" s="22" t="s">
        <v>8605</v>
      </c>
      <c r="M1375" s="23" t="n">
        <v>46161</v>
      </c>
      <c r="N1375" s="23" t="n">
        <v>46160</v>
      </c>
      <c r="O1375" s="22" t="n">
        <v>9</v>
      </c>
      <c r="P1375" s="22"/>
      <c r="Q1375" s="22" t="s">
        <v>10327</v>
      </c>
      <c r="R1375" s="22"/>
    </row>
    <row r="1376" customFormat="false" ht="15" hidden="false" customHeight="false" outlineLevel="0" collapsed="false">
      <c r="A1376" s="22" t="s">
        <v>10328</v>
      </c>
      <c r="B1376" s="23" t="n">
        <v>46153</v>
      </c>
      <c r="C1376" s="22" t="s">
        <v>1269</v>
      </c>
      <c r="D1376" s="22" t="n">
        <v>404</v>
      </c>
      <c r="E1376" s="22" t="s">
        <v>7530</v>
      </c>
      <c r="F1376" s="22" t="s">
        <v>159</v>
      </c>
      <c r="G1376" s="22" t="n">
        <v>24</v>
      </c>
      <c r="H1376" s="22" t="s">
        <v>6575</v>
      </c>
      <c r="I1376" s="22" t="s">
        <v>8601</v>
      </c>
      <c r="J1376" s="22" t="n">
        <v>10.4</v>
      </c>
      <c r="K1376" s="22" t="n">
        <v>1</v>
      </c>
      <c r="L1376" s="22" t="s">
        <v>8602</v>
      </c>
      <c r="M1376" s="23" t="n">
        <v>46163</v>
      </c>
      <c r="N1376" s="22"/>
      <c r="O1376" s="22"/>
      <c r="P1376" s="22" t="s">
        <v>8618</v>
      </c>
      <c r="Q1376" s="22"/>
      <c r="R1376" s="22"/>
    </row>
    <row r="1377" customFormat="false" ht="15" hidden="false" customHeight="false" outlineLevel="0" collapsed="false">
      <c r="A1377" s="22" t="s">
        <v>10329</v>
      </c>
      <c r="B1377" s="23" t="n">
        <v>46159</v>
      </c>
      <c r="C1377" s="22" t="s">
        <v>6398</v>
      </c>
      <c r="D1377" s="22" t="n">
        <v>2831</v>
      </c>
      <c r="E1377" s="22" t="s">
        <v>7386</v>
      </c>
      <c r="F1377" s="22" t="s">
        <v>159</v>
      </c>
      <c r="G1377" s="22" t="n">
        <v>28</v>
      </c>
      <c r="H1377" s="22" t="s">
        <v>6575</v>
      </c>
      <c r="I1377" s="22" t="s">
        <v>8601</v>
      </c>
      <c r="J1377" s="22" t="n">
        <v>10.4</v>
      </c>
      <c r="K1377" s="22" t="n">
        <v>1</v>
      </c>
      <c r="L1377" s="22" t="s">
        <v>8605</v>
      </c>
      <c r="M1377" s="23" t="n">
        <v>46169</v>
      </c>
      <c r="N1377" s="23" t="n">
        <v>46172</v>
      </c>
      <c r="O1377" s="22" t="n">
        <v>13</v>
      </c>
      <c r="P1377" s="22"/>
      <c r="Q1377" s="22" t="s">
        <v>10240</v>
      </c>
      <c r="R1377" s="22"/>
    </row>
    <row r="1378" customFormat="false" ht="15" hidden="false" customHeight="false" outlineLevel="0" collapsed="false">
      <c r="A1378" s="22" t="s">
        <v>10330</v>
      </c>
      <c r="B1378" s="23" t="n">
        <v>46157</v>
      </c>
      <c r="C1378" s="22" t="s">
        <v>2250</v>
      </c>
      <c r="D1378" s="22" t="n">
        <v>823</v>
      </c>
      <c r="E1378" s="22" t="s">
        <v>7185</v>
      </c>
      <c r="F1378" s="22" t="s">
        <v>198</v>
      </c>
      <c r="G1378" s="22" t="n">
        <v>28</v>
      </c>
      <c r="H1378" s="22" t="s">
        <v>6575</v>
      </c>
      <c r="I1378" s="22" t="s">
        <v>8601</v>
      </c>
      <c r="J1378" s="22" t="n">
        <v>10.4</v>
      </c>
      <c r="K1378" s="22" t="n">
        <v>1</v>
      </c>
      <c r="L1378" s="22" t="s">
        <v>8605</v>
      </c>
      <c r="M1378" s="23" t="n">
        <v>46167</v>
      </c>
      <c r="N1378" s="23" t="n">
        <v>46164</v>
      </c>
      <c r="O1378" s="22" t="n">
        <v>7</v>
      </c>
      <c r="P1378" s="22"/>
      <c r="Q1378" s="22" t="s">
        <v>10331</v>
      </c>
      <c r="R1378" s="22"/>
    </row>
    <row r="1379" customFormat="false" ht="15" hidden="false" customHeight="false" outlineLevel="0" collapsed="false">
      <c r="A1379" s="22" t="s">
        <v>10332</v>
      </c>
      <c r="B1379" s="23" t="n">
        <v>46160</v>
      </c>
      <c r="C1379" s="22" t="s">
        <v>999</v>
      </c>
      <c r="D1379" s="22" t="n">
        <v>299</v>
      </c>
      <c r="E1379" s="22" t="s">
        <v>8270</v>
      </c>
      <c r="F1379" s="22" t="s">
        <v>499</v>
      </c>
      <c r="G1379" s="22" t="n">
        <v>70</v>
      </c>
      <c r="H1379" s="22" t="s">
        <v>7696</v>
      </c>
      <c r="I1379" s="22" t="s">
        <v>8601</v>
      </c>
      <c r="J1379" s="22" t="n">
        <v>7.55</v>
      </c>
      <c r="K1379" s="22" t="n">
        <v>2</v>
      </c>
      <c r="L1379" s="22" t="s">
        <v>8602</v>
      </c>
      <c r="M1379" s="23" t="n">
        <v>46174</v>
      </c>
      <c r="N1379" s="22"/>
      <c r="O1379" s="22"/>
      <c r="P1379" s="22" t="s">
        <v>8618</v>
      </c>
      <c r="Q1379" s="22"/>
      <c r="R1379" s="22"/>
    </row>
    <row r="1380" customFormat="false" ht="15" hidden="false" customHeight="false" outlineLevel="0" collapsed="false">
      <c r="A1380" s="22" t="s">
        <v>10333</v>
      </c>
      <c r="B1380" s="23" t="n">
        <v>46160</v>
      </c>
      <c r="C1380" s="22" t="s">
        <v>2846</v>
      </c>
      <c r="D1380" s="22" t="n">
        <v>1093</v>
      </c>
      <c r="E1380" s="22" t="s">
        <v>8572</v>
      </c>
      <c r="F1380" s="22" t="s">
        <v>188</v>
      </c>
      <c r="G1380" s="22" t="n">
        <v>36</v>
      </c>
      <c r="H1380" s="22" t="s">
        <v>7696</v>
      </c>
      <c r="I1380" s="22" t="s">
        <v>8601</v>
      </c>
      <c r="J1380" s="22" t="n">
        <v>7.55</v>
      </c>
      <c r="K1380" s="22" t="n">
        <v>1</v>
      </c>
      <c r="L1380" s="22" t="s">
        <v>8605</v>
      </c>
      <c r="M1380" s="23" t="n">
        <v>46174</v>
      </c>
      <c r="N1380" s="23" t="n">
        <v>46163</v>
      </c>
      <c r="O1380" s="22" t="n">
        <v>3</v>
      </c>
      <c r="P1380" s="22"/>
      <c r="Q1380" s="22" t="s">
        <v>10334</v>
      </c>
      <c r="R1380" s="22"/>
    </row>
    <row r="1381" customFormat="false" ht="15" hidden="false" customHeight="false" outlineLevel="0" collapsed="false">
      <c r="A1381" s="22" t="s">
        <v>10335</v>
      </c>
      <c r="B1381" s="23" t="n">
        <v>46144</v>
      </c>
      <c r="C1381" s="22" t="s">
        <v>5040</v>
      </c>
      <c r="D1381" s="22" t="n">
        <v>2152</v>
      </c>
      <c r="E1381" s="22" t="s">
        <v>6588</v>
      </c>
      <c r="F1381" s="22" t="s">
        <v>198</v>
      </c>
      <c r="G1381" s="22" t="n">
        <v>24</v>
      </c>
      <c r="H1381" s="22" t="s">
        <v>6575</v>
      </c>
      <c r="I1381" s="22" t="s">
        <v>8601</v>
      </c>
      <c r="J1381" s="22" t="n">
        <v>10.4</v>
      </c>
      <c r="K1381" s="22" t="n">
        <v>1</v>
      </c>
      <c r="L1381" s="22" t="s">
        <v>8602</v>
      </c>
      <c r="M1381" s="23" t="n">
        <v>46154</v>
      </c>
      <c r="N1381" s="22"/>
      <c r="O1381" s="22"/>
      <c r="P1381" s="22" t="s">
        <v>8637</v>
      </c>
      <c r="Q1381" s="22"/>
      <c r="R1381" s="22"/>
    </row>
    <row r="1382" customFormat="false" ht="15" hidden="false" customHeight="false" outlineLevel="0" collapsed="false">
      <c r="A1382" s="22" t="s">
        <v>10336</v>
      </c>
      <c r="B1382" s="23" t="n">
        <v>46156</v>
      </c>
      <c r="C1382" s="22" t="s">
        <v>881</v>
      </c>
      <c r="D1382" s="22" t="n">
        <v>255</v>
      </c>
      <c r="E1382" s="22" t="s">
        <v>7865</v>
      </c>
      <c r="F1382" s="22" t="s">
        <v>215</v>
      </c>
      <c r="G1382" s="22" t="n">
        <v>36</v>
      </c>
      <c r="H1382" s="22" t="s">
        <v>7696</v>
      </c>
      <c r="I1382" s="22" t="s">
        <v>8601</v>
      </c>
      <c r="J1382" s="22" t="n">
        <v>7.55</v>
      </c>
      <c r="K1382" s="22" t="n">
        <v>2</v>
      </c>
      <c r="L1382" s="22" t="s">
        <v>8602</v>
      </c>
      <c r="M1382" s="23" t="n">
        <v>46170</v>
      </c>
      <c r="N1382" s="22"/>
      <c r="O1382" s="22"/>
      <c r="P1382" s="22" t="s">
        <v>8618</v>
      </c>
      <c r="Q1382" s="22"/>
      <c r="R1382" s="22"/>
    </row>
    <row r="1383" customFormat="false" ht="15" hidden="false" customHeight="false" outlineLevel="0" collapsed="false">
      <c r="A1383" s="22" t="s">
        <v>10337</v>
      </c>
      <c r="B1383" s="23" t="n">
        <v>46151</v>
      </c>
      <c r="C1383" s="22" t="s">
        <v>5355</v>
      </c>
      <c r="D1383" s="22" t="n">
        <v>2308</v>
      </c>
      <c r="E1383" s="22" t="s">
        <v>7465</v>
      </c>
      <c r="F1383" s="22" t="s">
        <v>159</v>
      </c>
      <c r="G1383" s="22" t="n">
        <v>28</v>
      </c>
      <c r="H1383" s="22" t="s">
        <v>6575</v>
      </c>
      <c r="I1383" s="22" t="s">
        <v>8601</v>
      </c>
      <c r="J1383" s="22" t="n">
        <v>10.4</v>
      </c>
      <c r="K1383" s="22" t="n">
        <v>1</v>
      </c>
      <c r="L1383" s="22" t="s">
        <v>8605</v>
      </c>
      <c r="M1383" s="23" t="n">
        <v>46161</v>
      </c>
      <c r="N1383" s="23" t="n">
        <v>46157</v>
      </c>
      <c r="O1383" s="22" t="n">
        <v>6</v>
      </c>
      <c r="P1383" s="22"/>
      <c r="Q1383" s="22" t="s">
        <v>10338</v>
      </c>
      <c r="R1383" s="22"/>
    </row>
    <row r="1384" customFormat="false" ht="15" hidden="false" customHeight="false" outlineLevel="0" collapsed="false">
      <c r="A1384" s="22" t="s">
        <v>10339</v>
      </c>
      <c r="B1384" s="23" t="n">
        <v>46146</v>
      </c>
      <c r="C1384" s="22" t="s">
        <v>3052</v>
      </c>
      <c r="D1384" s="22" t="n">
        <v>1186</v>
      </c>
      <c r="E1384" s="22" t="s">
        <v>6585</v>
      </c>
      <c r="F1384" s="22" t="s">
        <v>198</v>
      </c>
      <c r="G1384" s="22" t="n">
        <v>28</v>
      </c>
      <c r="H1384" s="22" t="s">
        <v>6575</v>
      </c>
      <c r="I1384" s="22" t="s">
        <v>8601</v>
      </c>
      <c r="J1384" s="22" t="n">
        <v>10.4</v>
      </c>
      <c r="K1384" s="22" t="n">
        <v>1</v>
      </c>
      <c r="L1384" s="22" t="s">
        <v>8629</v>
      </c>
      <c r="M1384" s="23" t="n">
        <v>46156</v>
      </c>
      <c r="N1384" s="23" t="n">
        <v>46155</v>
      </c>
      <c r="O1384" s="22" t="n">
        <v>9</v>
      </c>
      <c r="P1384" s="22"/>
      <c r="Q1384" s="22"/>
      <c r="R1384" s="22"/>
    </row>
    <row r="1385" customFormat="false" ht="15" hidden="false" customHeight="false" outlineLevel="0" collapsed="false">
      <c r="A1385" s="22" t="s">
        <v>10340</v>
      </c>
      <c r="B1385" s="23" t="n">
        <v>46152</v>
      </c>
      <c r="C1385" s="22" t="s">
        <v>481</v>
      </c>
      <c r="D1385" s="22" t="n">
        <v>109</v>
      </c>
      <c r="E1385" s="22" t="s">
        <v>7112</v>
      </c>
      <c r="F1385" s="22" t="s">
        <v>198</v>
      </c>
      <c r="G1385" s="22" t="n">
        <v>32</v>
      </c>
      <c r="H1385" s="22" t="s">
        <v>6575</v>
      </c>
      <c r="I1385" s="22" t="s">
        <v>8601</v>
      </c>
      <c r="J1385" s="22" t="n">
        <v>10.4</v>
      </c>
      <c r="K1385" s="22" t="n">
        <v>1</v>
      </c>
      <c r="L1385" s="22" t="s">
        <v>8602</v>
      </c>
      <c r="M1385" s="23" t="n">
        <v>46162</v>
      </c>
      <c r="N1385" s="22"/>
      <c r="O1385" s="22"/>
      <c r="P1385" s="22" t="s">
        <v>8637</v>
      </c>
      <c r="Q1385" s="22"/>
      <c r="R1385" s="22"/>
    </row>
    <row r="1386" customFormat="false" ht="15" hidden="false" customHeight="false" outlineLevel="0" collapsed="false">
      <c r="A1386" s="22" t="s">
        <v>10341</v>
      </c>
      <c r="B1386" s="23" t="n">
        <v>46148</v>
      </c>
      <c r="C1386" s="22" t="s">
        <v>900</v>
      </c>
      <c r="D1386" s="22" t="n">
        <v>262</v>
      </c>
      <c r="E1386" s="22" t="s">
        <v>8158</v>
      </c>
      <c r="F1386" s="22" t="s">
        <v>499</v>
      </c>
      <c r="G1386" s="22" t="n">
        <v>80</v>
      </c>
      <c r="H1386" s="22" t="s">
        <v>7696</v>
      </c>
      <c r="I1386" s="22" t="s">
        <v>8601</v>
      </c>
      <c r="J1386" s="22" t="n">
        <v>7.55</v>
      </c>
      <c r="K1386" s="22" t="n">
        <v>1</v>
      </c>
      <c r="L1386" s="22" t="s">
        <v>8605</v>
      </c>
      <c r="M1386" s="23" t="n">
        <v>46162</v>
      </c>
      <c r="N1386" s="23" t="n">
        <v>46156</v>
      </c>
      <c r="O1386" s="22" t="n">
        <v>8</v>
      </c>
      <c r="P1386" s="22"/>
      <c r="Q1386" s="22" t="s">
        <v>10242</v>
      </c>
      <c r="R1386" s="22"/>
    </row>
    <row r="1387" customFormat="false" ht="15" hidden="false" customHeight="false" outlineLevel="0" collapsed="false">
      <c r="A1387" s="22" t="s">
        <v>10342</v>
      </c>
      <c r="B1387" s="23" t="n">
        <v>46166</v>
      </c>
      <c r="C1387" s="22" t="s">
        <v>1273</v>
      </c>
      <c r="D1387" s="22" t="n">
        <v>406</v>
      </c>
      <c r="E1387" s="22" t="s">
        <v>7866</v>
      </c>
      <c r="F1387" s="22" t="s">
        <v>215</v>
      </c>
      <c r="G1387" s="22" t="n">
        <v>24</v>
      </c>
      <c r="H1387" s="22" t="s">
        <v>7696</v>
      </c>
      <c r="I1387" s="22" t="s">
        <v>8601</v>
      </c>
      <c r="J1387" s="22" t="n">
        <v>7.55</v>
      </c>
      <c r="K1387" s="22" t="n">
        <v>1</v>
      </c>
      <c r="L1387" s="22" t="s">
        <v>8629</v>
      </c>
      <c r="M1387" s="23" t="n">
        <v>46180</v>
      </c>
      <c r="N1387" s="23" t="n">
        <v>46168</v>
      </c>
      <c r="O1387" s="22" t="n">
        <v>2</v>
      </c>
      <c r="P1387" s="22"/>
      <c r="Q1387" s="22"/>
      <c r="R1387" s="22"/>
    </row>
    <row r="1388" customFormat="false" ht="15" hidden="false" customHeight="false" outlineLevel="0" collapsed="false">
      <c r="A1388" s="22" t="s">
        <v>10343</v>
      </c>
      <c r="B1388" s="23" t="n">
        <v>46175</v>
      </c>
      <c r="C1388" s="22" t="s">
        <v>3329</v>
      </c>
      <c r="D1388" s="22" t="n">
        <v>1315</v>
      </c>
      <c r="E1388" s="22" t="s">
        <v>8399</v>
      </c>
      <c r="F1388" s="22" t="s">
        <v>188</v>
      </c>
      <c r="G1388" s="22" t="n">
        <v>28</v>
      </c>
      <c r="H1388" s="22" t="s">
        <v>7696</v>
      </c>
      <c r="I1388" s="22" t="s">
        <v>8601</v>
      </c>
      <c r="J1388" s="22" t="n">
        <v>7.55</v>
      </c>
      <c r="K1388" s="22" t="n">
        <v>2</v>
      </c>
      <c r="L1388" s="22" t="s">
        <v>8602</v>
      </c>
      <c r="M1388" s="23" t="n">
        <v>46189</v>
      </c>
      <c r="N1388" s="22"/>
      <c r="O1388" s="22"/>
      <c r="P1388" s="22" t="s">
        <v>8618</v>
      </c>
      <c r="Q1388" s="22"/>
      <c r="R1388" s="22"/>
    </row>
    <row r="1389" customFormat="false" ht="15" hidden="false" customHeight="false" outlineLevel="0" collapsed="false">
      <c r="A1389" s="22" t="s">
        <v>10344</v>
      </c>
      <c r="B1389" s="23" t="n">
        <v>46194</v>
      </c>
      <c r="C1389" s="22" t="s">
        <v>1431</v>
      </c>
      <c r="D1389" s="22" t="n">
        <v>472</v>
      </c>
      <c r="E1389" s="22" t="s">
        <v>8399</v>
      </c>
      <c r="F1389" s="22" t="s">
        <v>188</v>
      </c>
      <c r="G1389" s="22" t="n">
        <v>28</v>
      </c>
      <c r="H1389" s="22" t="s">
        <v>7696</v>
      </c>
      <c r="I1389" s="22" t="s">
        <v>8601</v>
      </c>
      <c r="J1389" s="22" t="n">
        <v>7.55</v>
      </c>
      <c r="K1389" s="22" t="n">
        <v>2</v>
      </c>
      <c r="L1389" s="22" t="s">
        <v>8605</v>
      </c>
      <c r="M1389" s="23" t="n">
        <v>46208</v>
      </c>
      <c r="N1389" s="23" t="n">
        <v>46201</v>
      </c>
      <c r="O1389" s="22" t="n">
        <v>7</v>
      </c>
      <c r="P1389" s="22"/>
      <c r="Q1389" s="22" t="s">
        <v>10345</v>
      </c>
      <c r="R1389" s="22"/>
    </row>
    <row r="1390" customFormat="false" ht="15" hidden="false" customHeight="false" outlineLevel="0" collapsed="false">
      <c r="A1390" s="22" t="s">
        <v>10346</v>
      </c>
      <c r="B1390" s="23" t="n">
        <v>46185</v>
      </c>
      <c r="C1390" s="22" t="s">
        <v>3518</v>
      </c>
      <c r="D1390" s="22" t="n">
        <v>1407</v>
      </c>
      <c r="E1390" s="22" t="s">
        <v>8315</v>
      </c>
      <c r="F1390" s="22" t="s">
        <v>499</v>
      </c>
      <c r="G1390" s="22" t="n">
        <v>36</v>
      </c>
      <c r="H1390" s="22" t="s">
        <v>7696</v>
      </c>
      <c r="I1390" s="22" t="s">
        <v>8601</v>
      </c>
      <c r="J1390" s="22" t="n">
        <v>7.55</v>
      </c>
      <c r="K1390" s="22" t="n">
        <v>2</v>
      </c>
      <c r="L1390" s="22" t="s">
        <v>8605</v>
      </c>
      <c r="M1390" s="23" t="n">
        <v>46199</v>
      </c>
      <c r="N1390" s="23" t="n">
        <v>46199</v>
      </c>
      <c r="O1390" s="22" t="n">
        <v>14</v>
      </c>
      <c r="P1390" s="22"/>
      <c r="Q1390" s="22" t="s">
        <v>10347</v>
      </c>
      <c r="R1390" s="22"/>
    </row>
    <row r="1391" customFormat="false" ht="15" hidden="false" customHeight="false" outlineLevel="0" collapsed="false">
      <c r="A1391" s="22" t="s">
        <v>10348</v>
      </c>
      <c r="B1391" s="23" t="n">
        <v>46180</v>
      </c>
      <c r="C1391" s="22" t="s">
        <v>1485</v>
      </c>
      <c r="D1391" s="22" t="n">
        <v>495</v>
      </c>
      <c r="E1391" s="22" t="s">
        <v>7781</v>
      </c>
      <c r="F1391" s="22" t="s">
        <v>215</v>
      </c>
      <c r="G1391" s="22" t="n">
        <v>50</v>
      </c>
      <c r="H1391" s="22" t="s">
        <v>7696</v>
      </c>
      <c r="I1391" s="22" t="s">
        <v>8601</v>
      </c>
      <c r="J1391" s="22" t="n">
        <v>7.55</v>
      </c>
      <c r="K1391" s="22" t="n">
        <v>1</v>
      </c>
      <c r="L1391" s="22" t="s">
        <v>8605</v>
      </c>
      <c r="M1391" s="23" t="n">
        <v>46194</v>
      </c>
      <c r="N1391" s="23" t="n">
        <v>46193</v>
      </c>
      <c r="O1391" s="22" t="n">
        <v>13</v>
      </c>
      <c r="P1391" s="22"/>
      <c r="Q1391" s="22" t="s">
        <v>10349</v>
      </c>
      <c r="R1391" s="22"/>
    </row>
    <row r="1392" customFormat="false" ht="15" hidden="false" customHeight="false" outlineLevel="0" collapsed="false">
      <c r="A1392" s="22" t="s">
        <v>10350</v>
      </c>
      <c r="B1392" s="23" t="n">
        <v>46194</v>
      </c>
      <c r="C1392" s="22" t="s">
        <v>4891</v>
      </c>
      <c r="D1392" s="22" t="n">
        <v>2078</v>
      </c>
      <c r="E1392" s="22" t="s">
        <v>7449</v>
      </c>
      <c r="F1392" s="22" t="s">
        <v>159</v>
      </c>
      <c r="G1392" s="22" t="n">
        <v>24</v>
      </c>
      <c r="H1392" s="22" t="s">
        <v>6575</v>
      </c>
      <c r="I1392" s="22" t="s">
        <v>8601</v>
      </c>
      <c r="J1392" s="22" t="n">
        <v>10.4</v>
      </c>
      <c r="K1392" s="22" t="n">
        <v>1</v>
      </c>
      <c r="L1392" s="22" t="s">
        <v>8602</v>
      </c>
      <c r="M1392" s="23" t="n">
        <v>46204</v>
      </c>
      <c r="N1392" s="22"/>
      <c r="O1392" s="22"/>
      <c r="P1392" s="22" t="s">
        <v>8631</v>
      </c>
      <c r="Q1392" s="22"/>
      <c r="R1392" s="22"/>
    </row>
    <row r="1393" customFormat="false" ht="15" hidden="false" customHeight="false" outlineLevel="0" collapsed="false">
      <c r="A1393" s="22" t="s">
        <v>10351</v>
      </c>
      <c r="B1393" s="23" t="n">
        <v>46185</v>
      </c>
      <c r="C1393" s="22" t="s">
        <v>878</v>
      </c>
      <c r="D1393" s="22" t="n">
        <v>254</v>
      </c>
      <c r="E1393" s="22" t="s">
        <v>8204</v>
      </c>
      <c r="F1393" s="22" t="s">
        <v>499</v>
      </c>
      <c r="G1393" s="22" t="n">
        <v>24</v>
      </c>
      <c r="H1393" s="22" t="s">
        <v>7696</v>
      </c>
      <c r="I1393" s="22" t="s">
        <v>8601</v>
      </c>
      <c r="J1393" s="22" t="n">
        <v>7.55</v>
      </c>
      <c r="K1393" s="22" t="n">
        <v>1</v>
      </c>
      <c r="L1393" s="22" t="s">
        <v>8605</v>
      </c>
      <c r="M1393" s="23" t="n">
        <v>46199</v>
      </c>
      <c r="N1393" s="23" t="n">
        <v>46199</v>
      </c>
      <c r="O1393" s="22" t="n">
        <v>14</v>
      </c>
      <c r="P1393" s="22"/>
      <c r="Q1393" s="22" t="s">
        <v>10352</v>
      </c>
      <c r="R1393" s="22"/>
    </row>
    <row r="1394" customFormat="false" ht="15" hidden="false" customHeight="false" outlineLevel="0" collapsed="false">
      <c r="A1394" s="22" t="s">
        <v>10353</v>
      </c>
      <c r="B1394" s="23" t="n">
        <v>46178</v>
      </c>
      <c r="C1394" s="22" t="s">
        <v>3907</v>
      </c>
      <c r="D1394" s="22" t="n">
        <v>1597</v>
      </c>
      <c r="E1394" s="22" t="s">
        <v>6621</v>
      </c>
      <c r="F1394" s="22" t="s">
        <v>198</v>
      </c>
      <c r="G1394" s="22" t="n">
        <v>28</v>
      </c>
      <c r="H1394" s="22" t="s">
        <v>6575</v>
      </c>
      <c r="I1394" s="22" t="s">
        <v>8601</v>
      </c>
      <c r="J1394" s="22" t="n">
        <v>10.4</v>
      </c>
      <c r="K1394" s="22" t="n">
        <v>1</v>
      </c>
      <c r="L1394" s="22" t="s">
        <v>8629</v>
      </c>
      <c r="M1394" s="23" t="n">
        <v>46188</v>
      </c>
      <c r="N1394" s="23" t="n">
        <v>46186</v>
      </c>
      <c r="O1394" s="22" t="n">
        <v>8</v>
      </c>
      <c r="P1394" s="22"/>
      <c r="Q1394" s="22"/>
      <c r="R1394" s="22"/>
    </row>
    <row r="1395" customFormat="false" ht="15" hidden="false" customHeight="false" outlineLevel="0" collapsed="false">
      <c r="A1395" s="22" t="s">
        <v>10354</v>
      </c>
      <c r="B1395" s="23" t="n">
        <v>46198</v>
      </c>
      <c r="C1395" s="22" t="s">
        <v>3356</v>
      </c>
      <c r="D1395" s="22" t="n">
        <v>1329</v>
      </c>
      <c r="E1395" s="22" t="s">
        <v>7731</v>
      </c>
      <c r="F1395" s="22" t="s">
        <v>215</v>
      </c>
      <c r="G1395" s="22" t="n">
        <v>32</v>
      </c>
      <c r="H1395" s="22" t="s">
        <v>7696</v>
      </c>
      <c r="I1395" s="22" t="s">
        <v>8601</v>
      </c>
      <c r="J1395" s="22" t="n">
        <v>7.55</v>
      </c>
      <c r="K1395" s="22" t="n">
        <v>1</v>
      </c>
      <c r="L1395" s="22" t="s">
        <v>8605</v>
      </c>
      <c r="M1395" s="23" t="n">
        <v>46212</v>
      </c>
      <c r="N1395" s="23" t="n">
        <v>46206</v>
      </c>
      <c r="O1395" s="22" t="n">
        <v>8</v>
      </c>
      <c r="P1395" s="22"/>
      <c r="Q1395" s="22" t="s">
        <v>10269</v>
      </c>
      <c r="R1395" s="22"/>
    </row>
    <row r="1396" customFormat="false" ht="15" hidden="false" customHeight="false" outlineLevel="0" collapsed="false">
      <c r="A1396" s="22" t="s">
        <v>10355</v>
      </c>
      <c r="B1396" s="23" t="n">
        <v>46192</v>
      </c>
      <c r="C1396" s="22" t="s">
        <v>1561</v>
      </c>
      <c r="D1396" s="22" t="n">
        <v>526</v>
      </c>
      <c r="E1396" s="22" t="s">
        <v>8127</v>
      </c>
      <c r="F1396" s="22" t="s">
        <v>499</v>
      </c>
      <c r="G1396" s="22" t="n">
        <v>28</v>
      </c>
      <c r="H1396" s="22" t="s">
        <v>7696</v>
      </c>
      <c r="I1396" s="22" t="s">
        <v>8601</v>
      </c>
      <c r="J1396" s="22" t="n">
        <v>7.55</v>
      </c>
      <c r="K1396" s="22" t="n">
        <v>2</v>
      </c>
      <c r="L1396" s="22" t="s">
        <v>8605</v>
      </c>
      <c r="M1396" s="23" t="n">
        <v>46206</v>
      </c>
      <c r="N1396" s="23" t="n">
        <v>46197</v>
      </c>
      <c r="O1396" s="22" t="n">
        <v>5</v>
      </c>
      <c r="P1396" s="22"/>
      <c r="Q1396" s="22" t="s">
        <v>10356</v>
      </c>
      <c r="R1396" s="22"/>
    </row>
    <row r="1397" customFormat="false" ht="15" hidden="false" customHeight="false" outlineLevel="0" collapsed="false">
      <c r="A1397" s="22" t="s">
        <v>10357</v>
      </c>
      <c r="B1397" s="23" t="n">
        <v>46198</v>
      </c>
      <c r="C1397" s="22" t="s">
        <v>2913</v>
      </c>
      <c r="D1397" s="22" t="n">
        <v>1123</v>
      </c>
      <c r="E1397" s="22" t="s">
        <v>7709</v>
      </c>
      <c r="F1397" s="22" t="s">
        <v>215</v>
      </c>
      <c r="G1397" s="22" t="n">
        <v>60</v>
      </c>
      <c r="H1397" s="22" t="s">
        <v>7696</v>
      </c>
      <c r="I1397" s="22" t="s">
        <v>8601</v>
      </c>
      <c r="J1397" s="22" t="n">
        <v>7.55</v>
      </c>
      <c r="K1397" s="22" t="n">
        <v>2</v>
      </c>
      <c r="L1397" s="22" t="s">
        <v>8613</v>
      </c>
      <c r="M1397" s="23" t="n">
        <v>46212</v>
      </c>
      <c r="N1397" s="22"/>
      <c r="O1397" s="22"/>
      <c r="P1397" s="22"/>
      <c r="Q1397" s="22"/>
      <c r="R1397" s="22"/>
    </row>
    <row r="1398" customFormat="false" ht="15" hidden="false" customHeight="false" outlineLevel="0" collapsed="false">
      <c r="A1398" s="22" t="s">
        <v>10358</v>
      </c>
      <c r="B1398" s="23" t="n">
        <v>46174</v>
      </c>
      <c r="C1398" s="22" t="s">
        <v>4957</v>
      </c>
      <c r="D1398" s="22" t="n">
        <v>2112</v>
      </c>
      <c r="E1398" s="22" t="s">
        <v>8039</v>
      </c>
      <c r="F1398" s="22" t="s">
        <v>499</v>
      </c>
      <c r="G1398" s="22" t="n">
        <v>60</v>
      </c>
      <c r="H1398" s="22" t="s">
        <v>7696</v>
      </c>
      <c r="I1398" s="22" t="s">
        <v>8601</v>
      </c>
      <c r="J1398" s="22" t="n">
        <v>7.55</v>
      </c>
      <c r="K1398" s="22" t="n">
        <v>1</v>
      </c>
      <c r="L1398" s="22" t="s">
        <v>8613</v>
      </c>
      <c r="M1398" s="23" t="n">
        <v>46188</v>
      </c>
      <c r="N1398" s="22"/>
      <c r="O1398" s="22"/>
      <c r="P1398" s="22"/>
      <c r="Q1398" s="22"/>
      <c r="R1398" s="22"/>
    </row>
    <row r="1399" customFormat="false" ht="15" hidden="false" customHeight="false" outlineLevel="0" collapsed="false">
      <c r="A1399" s="22" t="s">
        <v>10359</v>
      </c>
      <c r="B1399" s="23" t="n">
        <v>46182</v>
      </c>
      <c r="C1399" s="22" t="s">
        <v>2536</v>
      </c>
      <c r="D1399" s="22" t="n">
        <v>954</v>
      </c>
      <c r="E1399" s="22" t="s">
        <v>8442</v>
      </c>
      <c r="F1399" s="22" t="s">
        <v>188</v>
      </c>
      <c r="G1399" s="22" t="n">
        <v>28</v>
      </c>
      <c r="H1399" s="22" t="s">
        <v>7696</v>
      </c>
      <c r="I1399" s="22" t="s">
        <v>8601</v>
      </c>
      <c r="J1399" s="22" t="n">
        <v>7.55</v>
      </c>
      <c r="K1399" s="22" t="n">
        <v>2</v>
      </c>
      <c r="L1399" s="22" t="s">
        <v>8602</v>
      </c>
      <c r="M1399" s="23" t="n">
        <v>46196</v>
      </c>
      <c r="N1399" s="22"/>
      <c r="O1399" s="22"/>
      <c r="P1399" s="22" t="s">
        <v>8637</v>
      </c>
      <c r="Q1399" s="22"/>
      <c r="R1399" s="22"/>
    </row>
    <row r="1400" customFormat="false" ht="15" hidden="false" customHeight="false" outlineLevel="0" collapsed="false">
      <c r="A1400" s="22" t="s">
        <v>10360</v>
      </c>
      <c r="B1400" s="23" t="n">
        <v>46201</v>
      </c>
      <c r="C1400" s="22" t="s">
        <v>2857</v>
      </c>
      <c r="D1400" s="22" t="n">
        <v>1098</v>
      </c>
      <c r="E1400" s="22" t="s">
        <v>7550</v>
      </c>
      <c r="F1400" s="22" t="s">
        <v>159</v>
      </c>
      <c r="G1400" s="22" t="n">
        <v>28</v>
      </c>
      <c r="H1400" s="22" t="s">
        <v>6575</v>
      </c>
      <c r="I1400" s="22" t="s">
        <v>8601</v>
      </c>
      <c r="J1400" s="22" t="n">
        <v>10.4</v>
      </c>
      <c r="K1400" s="22" t="n">
        <v>1</v>
      </c>
      <c r="L1400" s="22" t="s">
        <v>8602</v>
      </c>
      <c r="M1400" s="23" t="n">
        <v>46211</v>
      </c>
      <c r="N1400" s="22"/>
      <c r="O1400" s="22"/>
      <c r="P1400" s="22" t="s">
        <v>8603</v>
      </c>
      <c r="Q1400" s="22"/>
      <c r="R1400" s="22"/>
    </row>
    <row r="1401" customFormat="false" ht="15" hidden="false" customHeight="false" outlineLevel="0" collapsed="false">
      <c r="A1401" s="22" t="s">
        <v>10361</v>
      </c>
      <c r="B1401" s="23" t="n">
        <v>46193</v>
      </c>
      <c r="C1401" s="22" t="s">
        <v>883</v>
      </c>
      <c r="D1401" s="22" t="n">
        <v>256</v>
      </c>
      <c r="E1401" s="22" t="s">
        <v>7252</v>
      </c>
      <c r="F1401" s="22" t="s">
        <v>198</v>
      </c>
      <c r="G1401" s="22" t="n">
        <v>32</v>
      </c>
      <c r="H1401" s="22" t="s">
        <v>6575</v>
      </c>
      <c r="I1401" s="22" t="s">
        <v>8601</v>
      </c>
      <c r="J1401" s="22" t="n">
        <v>10.4</v>
      </c>
      <c r="K1401" s="22" t="n">
        <v>1</v>
      </c>
      <c r="L1401" s="22" t="s">
        <v>8602</v>
      </c>
      <c r="M1401" s="23" t="n">
        <v>46203</v>
      </c>
      <c r="N1401" s="22"/>
      <c r="O1401" s="22"/>
      <c r="P1401" s="22" t="s">
        <v>8618</v>
      </c>
      <c r="Q1401" s="22"/>
      <c r="R1401" s="22"/>
    </row>
    <row r="1402" customFormat="false" ht="15" hidden="false" customHeight="false" outlineLevel="0" collapsed="false">
      <c r="A1402" s="22" t="s">
        <v>10362</v>
      </c>
      <c r="B1402" s="23" t="n">
        <v>46182</v>
      </c>
      <c r="C1402" s="22" t="s">
        <v>724</v>
      </c>
      <c r="D1402" s="22" t="n">
        <v>195</v>
      </c>
      <c r="E1402" s="22" t="s">
        <v>8277</v>
      </c>
      <c r="F1402" s="22" t="s">
        <v>499</v>
      </c>
      <c r="G1402" s="22" t="n">
        <v>28</v>
      </c>
      <c r="H1402" s="22" t="s">
        <v>7696</v>
      </c>
      <c r="I1402" s="22" t="s">
        <v>8601</v>
      </c>
      <c r="J1402" s="22" t="n">
        <v>7.55</v>
      </c>
      <c r="K1402" s="22" t="n">
        <v>1</v>
      </c>
      <c r="L1402" s="22" t="s">
        <v>8605</v>
      </c>
      <c r="M1402" s="23" t="n">
        <v>46196</v>
      </c>
      <c r="N1402" s="23" t="n">
        <v>46187</v>
      </c>
      <c r="O1402" s="22" t="n">
        <v>5</v>
      </c>
      <c r="P1402" s="22"/>
      <c r="Q1402" s="22" t="s">
        <v>10363</v>
      </c>
      <c r="R1402" s="22"/>
    </row>
    <row r="1403" customFormat="false" ht="15" hidden="false" customHeight="false" outlineLevel="0" collapsed="false">
      <c r="A1403" s="22" t="s">
        <v>10364</v>
      </c>
      <c r="B1403" s="23" t="n">
        <v>46195</v>
      </c>
      <c r="C1403" s="22" t="s">
        <v>2495</v>
      </c>
      <c r="D1403" s="22" t="n">
        <v>936</v>
      </c>
      <c r="E1403" s="22" t="s">
        <v>7475</v>
      </c>
      <c r="F1403" s="22" t="s">
        <v>159</v>
      </c>
      <c r="G1403" s="22" t="n">
        <v>40</v>
      </c>
      <c r="H1403" s="22" t="s">
        <v>6575</v>
      </c>
      <c r="I1403" s="22" t="s">
        <v>8601</v>
      </c>
      <c r="J1403" s="22" t="n">
        <v>10.4</v>
      </c>
      <c r="K1403" s="22" t="n">
        <v>1</v>
      </c>
      <c r="L1403" s="22" t="s">
        <v>8602</v>
      </c>
      <c r="M1403" s="23" t="n">
        <v>46205</v>
      </c>
      <c r="N1403" s="22"/>
      <c r="O1403" s="22"/>
      <c r="P1403" s="22" t="s">
        <v>8618</v>
      </c>
      <c r="Q1403" s="22"/>
      <c r="R1403" s="22"/>
    </row>
    <row r="1404" customFormat="false" ht="15" hidden="false" customHeight="false" outlineLevel="0" collapsed="false">
      <c r="A1404" s="22" t="s">
        <v>10365</v>
      </c>
      <c r="B1404" s="23" t="n">
        <v>46198</v>
      </c>
      <c r="C1404" s="22" t="s">
        <v>6121</v>
      </c>
      <c r="D1404" s="22" t="n">
        <v>2690</v>
      </c>
      <c r="E1404" s="22" t="s">
        <v>7399</v>
      </c>
      <c r="F1404" s="22" t="s">
        <v>159</v>
      </c>
      <c r="G1404" s="22" t="n">
        <v>24</v>
      </c>
      <c r="H1404" s="22" t="s">
        <v>6575</v>
      </c>
      <c r="I1404" s="22" t="s">
        <v>8601</v>
      </c>
      <c r="J1404" s="22" t="n">
        <v>10.4</v>
      </c>
      <c r="K1404" s="22" t="n">
        <v>1</v>
      </c>
      <c r="L1404" s="22" t="s">
        <v>8602</v>
      </c>
      <c r="M1404" s="23" t="n">
        <v>46208</v>
      </c>
      <c r="N1404" s="22"/>
      <c r="O1404" s="22"/>
      <c r="P1404" s="22" t="s">
        <v>8603</v>
      </c>
      <c r="Q1404" s="22"/>
      <c r="R1404" s="22"/>
    </row>
    <row r="1405" customFormat="false" ht="15" hidden="false" customHeight="false" outlineLevel="0" collapsed="false">
      <c r="A1405" s="22" t="s">
        <v>10366</v>
      </c>
      <c r="B1405" s="23" t="n">
        <v>46198</v>
      </c>
      <c r="C1405" s="22" t="s">
        <v>6178</v>
      </c>
      <c r="D1405" s="22" t="n">
        <v>2719</v>
      </c>
      <c r="E1405" s="22" t="s">
        <v>8133</v>
      </c>
      <c r="F1405" s="22" t="s">
        <v>499</v>
      </c>
      <c r="G1405" s="22" t="n">
        <v>80</v>
      </c>
      <c r="H1405" s="22" t="s">
        <v>7696</v>
      </c>
      <c r="I1405" s="22" t="s">
        <v>8601</v>
      </c>
      <c r="J1405" s="22" t="n">
        <v>7.55</v>
      </c>
      <c r="K1405" s="22" t="n">
        <v>1</v>
      </c>
      <c r="L1405" s="22" t="s">
        <v>8605</v>
      </c>
      <c r="M1405" s="23" t="n">
        <v>46212</v>
      </c>
      <c r="N1405" s="23" t="n">
        <v>46200</v>
      </c>
      <c r="O1405" s="22" t="n">
        <v>2</v>
      </c>
      <c r="P1405" s="22"/>
      <c r="Q1405" s="22" t="s">
        <v>10262</v>
      </c>
      <c r="R1405" s="22"/>
    </row>
    <row r="1406" customFormat="false" ht="15" hidden="false" customHeight="false" outlineLevel="0" collapsed="false">
      <c r="A1406" s="22" t="s">
        <v>10367</v>
      </c>
      <c r="B1406" s="23" t="n">
        <v>46199</v>
      </c>
      <c r="C1406" s="22" t="s">
        <v>3549</v>
      </c>
      <c r="D1406" s="22" t="n">
        <v>1422</v>
      </c>
      <c r="E1406" s="22" t="s">
        <v>8355</v>
      </c>
      <c r="F1406" s="22" t="s">
        <v>188</v>
      </c>
      <c r="G1406" s="22" t="n">
        <v>32</v>
      </c>
      <c r="H1406" s="22" t="s">
        <v>7696</v>
      </c>
      <c r="I1406" s="22" t="s">
        <v>8601</v>
      </c>
      <c r="J1406" s="22" t="n">
        <v>7.55</v>
      </c>
      <c r="K1406" s="22" t="n">
        <v>1</v>
      </c>
      <c r="L1406" s="22" t="s">
        <v>8629</v>
      </c>
      <c r="M1406" s="23" t="n">
        <v>46213</v>
      </c>
      <c r="N1406" s="23" t="n">
        <v>46201</v>
      </c>
      <c r="O1406" s="22" t="n">
        <v>2</v>
      </c>
      <c r="P1406" s="22"/>
      <c r="Q1406" s="22"/>
      <c r="R1406" s="22"/>
    </row>
    <row r="1407" customFormat="false" ht="15" hidden="false" customHeight="false" outlineLevel="0" collapsed="false">
      <c r="A1407" s="22" t="s">
        <v>10368</v>
      </c>
      <c r="B1407" s="23" t="n">
        <v>46181</v>
      </c>
      <c r="C1407" s="22" t="s">
        <v>2596</v>
      </c>
      <c r="D1407" s="22" t="n">
        <v>980</v>
      </c>
      <c r="E1407" s="22" t="s">
        <v>8244</v>
      </c>
      <c r="F1407" s="22" t="s">
        <v>499</v>
      </c>
      <c r="G1407" s="22" t="n">
        <v>32</v>
      </c>
      <c r="H1407" s="22" t="s">
        <v>7696</v>
      </c>
      <c r="I1407" s="22" t="s">
        <v>8601</v>
      </c>
      <c r="J1407" s="22" t="n">
        <v>7.55</v>
      </c>
      <c r="K1407" s="22" t="n">
        <v>1</v>
      </c>
      <c r="L1407" s="22" t="s">
        <v>8629</v>
      </c>
      <c r="M1407" s="23" t="n">
        <v>46195</v>
      </c>
      <c r="N1407" s="23" t="n">
        <v>46187</v>
      </c>
      <c r="O1407" s="22" t="n">
        <v>6</v>
      </c>
      <c r="P1407" s="22"/>
      <c r="Q1407" s="22"/>
      <c r="R1407" s="22"/>
    </row>
    <row r="1408" customFormat="false" ht="15" hidden="false" customHeight="false" outlineLevel="0" collapsed="false">
      <c r="A1408" s="22" t="s">
        <v>10369</v>
      </c>
      <c r="B1408" s="23" t="n">
        <v>46183</v>
      </c>
      <c r="C1408" s="22" t="s">
        <v>5018</v>
      </c>
      <c r="D1408" s="22" t="n">
        <v>2141</v>
      </c>
      <c r="E1408" s="22" t="s">
        <v>7745</v>
      </c>
      <c r="F1408" s="22" t="s">
        <v>215</v>
      </c>
      <c r="G1408" s="22" t="n">
        <v>32</v>
      </c>
      <c r="H1408" s="22" t="s">
        <v>7696</v>
      </c>
      <c r="I1408" s="22" t="s">
        <v>8601</v>
      </c>
      <c r="J1408" s="22" t="n">
        <v>7.55</v>
      </c>
      <c r="K1408" s="22" t="n">
        <v>1</v>
      </c>
      <c r="L1408" s="22" t="s">
        <v>8605</v>
      </c>
      <c r="M1408" s="23" t="n">
        <v>46197</v>
      </c>
      <c r="N1408" s="23" t="n">
        <v>46196</v>
      </c>
      <c r="O1408" s="22" t="n">
        <v>13</v>
      </c>
      <c r="P1408" s="22"/>
      <c r="Q1408" s="22" t="s">
        <v>10370</v>
      </c>
      <c r="R1408" s="22"/>
    </row>
    <row r="1409" customFormat="false" ht="15" hidden="false" customHeight="false" outlineLevel="0" collapsed="false">
      <c r="A1409" s="22" t="s">
        <v>10371</v>
      </c>
      <c r="B1409" s="23" t="n">
        <v>46192</v>
      </c>
      <c r="C1409" s="22" t="s">
        <v>3167</v>
      </c>
      <c r="D1409" s="22" t="n">
        <v>1240</v>
      </c>
      <c r="E1409" s="22" t="s">
        <v>6999</v>
      </c>
      <c r="F1409" s="22" t="s">
        <v>198</v>
      </c>
      <c r="G1409" s="22" t="n">
        <v>24</v>
      </c>
      <c r="H1409" s="22" t="s">
        <v>6575</v>
      </c>
      <c r="I1409" s="22" t="s">
        <v>8601</v>
      </c>
      <c r="J1409" s="22" t="n">
        <v>10.4</v>
      </c>
      <c r="K1409" s="22" t="n">
        <v>1</v>
      </c>
      <c r="L1409" s="22" t="s">
        <v>8729</v>
      </c>
      <c r="M1409" s="23" t="n">
        <v>46202</v>
      </c>
      <c r="N1409" s="23" t="n">
        <v>46199</v>
      </c>
      <c r="O1409" s="22" t="n">
        <v>7</v>
      </c>
      <c r="P1409" s="22"/>
      <c r="Q1409" s="22"/>
      <c r="R1409" s="22"/>
    </row>
    <row r="1410" customFormat="false" ht="15" hidden="false" customHeight="false" outlineLevel="0" collapsed="false">
      <c r="A1410" s="22" t="s">
        <v>10372</v>
      </c>
      <c r="B1410" s="23" t="n">
        <v>46197</v>
      </c>
      <c r="C1410" s="22" t="s">
        <v>1795</v>
      </c>
      <c r="D1410" s="22" t="n">
        <v>623</v>
      </c>
      <c r="E1410" s="22" t="s">
        <v>8227</v>
      </c>
      <c r="F1410" s="22" t="s">
        <v>499</v>
      </c>
      <c r="G1410" s="22" t="n">
        <v>50</v>
      </c>
      <c r="H1410" s="22" t="s">
        <v>7696</v>
      </c>
      <c r="I1410" s="22" t="s">
        <v>8601</v>
      </c>
      <c r="J1410" s="22" t="n">
        <v>7.55</v>
      </c>
      <c r="K1410" s="22" t="n">
        <v>1</v>
      </c>
      <c r="L1410" s="22" t="s">
        <v>8729</v>
      </c>
      <c r="M1410" s="23" t="n">
        <v>46211</v>
      </c>
      <c r="N1410" s="23" t="n">
        <v>46202</v>
      </c>
      <c r="O1410" s="22" t="n">
        <v>5</v>
      </c>
      <c r="P1410" s="22"/>
      <c r="Q1410" s="22"/>
      <c r="R1410" s="22"/>
    </row>
    <row r="1411" customFormat="false" ht="15" hidden="false" customHeight="false" outlineLevel="0" collapsed="false">
      <c r="A1411" s="22" t="s">
        <v>10373</v>
      </c>
      <c r="B1411" s="23" t="n">
        <v>46176</v>
      </c>
      <c r="C1411" s="22" t="s">
        <v>6313</v>
      </c>
      <c r="D1411" s="22" t="n">
        <v>2787</v>
      </c>
      <c r="E1411" s="22" t="s">
        <v>8085</v>
      </c>
      <c r="F1411" s="22" t="s">
        <v>499</v>
      </c>
      <c r="G1411" s="22" t="n">
        <v>24</v>
      </c>
      <c r="H1411" s="22" t="s">
        <v>7696</v>
      </c>
      <c r="I1411" s="22" t="s">
        <v>8601</v>
      </c>
      <c r="J1411" s="22" t="n">
        <v>7.55</v>
      </c>
      <c r="K1411" s="22" t="n">
        <v>1</v>
      </c>
      <c r="L1411" s="22" t="s">
        <v>8602</v>
      </c>
      <c r="M1411" s="23" t="n">
        <v>46190</v>
      </c>
      <c r="N1411" s="22"/>
      <c r="O1411" s="22"/>
      <c r="P1411" s="22" t="s">
        <v>8631</v>
      </c>
      <c r="Q1411" s="22"/>
      <c r="R1411" s="22"/>
    </row>
    <row r="1412" customFormat="false" ht="15" hidden="false" customHeight="false" outlineLevel="0" collapsed="false">
      <c r="A1412" s="22" t="s">
        <v>10374</v>
      </c>
      <c r="B1412" s="23" t="n">
        <v>46198</v>
      </c>
      <c r="C1412" s="22" t="s">
        <v>2295</v>
      </c>
      <c r="D1412" s="22" t="n">
        <v>843</v>
      </c>
      <c r="E1412" s="22" t="s">
        <v>7427</v>
      </c>
      <c r="F1412" s="22" t="s">
        <v>159</v>
      </c>
      <c r="G1412" s="22" t="n">
        <v>36</v>
      </c>
      <c r="H1412" s="22" t="s">
        <v>6575</v>
      </c>
      <c r="I1412" s="22" t="s">
        <v>8601</v>
      </c>
      <c r="J1412" s="22" t="n">
        <v>10.4</v>
      </c>
      <c r="K1412" s="22" t="n">
        <v>1</v>
      </c>
      <c r="L1412" s="22" t="s">
        <v>8602</v>
      </c>
      <c r="M1412" s="23" t="n">
        <v>46208</v>
      </c>
      <c r="N1412" s="22"/>
      <c r="O1412" s="22"/>
      <c r="P1412" s="22" t="s">
        <v>8618</v>
      </c>
      <c r="Q1412" s="22"/>
      <c r="R1412" s="22"/>
    </row>
    <row r="1413" customFormat="false" ht="15" hidden="false" customHeight="false" outlineLevel="0" collapsed="false">
      <c r="A1413" s="22" t="s">
        <v>10375</v>
      </c>
      <c r="B1413" s="23" t="n">
        <v>46177</v>
      </c>
      <c r="C1413" s="22" t="s">
        <v>2600</v>
      </c>
      <c r="D1413" s="22" t="n">
        <v>982</v>
      </c>
      <c r="E1413" s="22" t="s">
        <v>8107</v>
      </c>
      <c r="F1413" s="22" t="s">
        <v>499</v>
      </c>
      <c r="G1413" s="22" t="n">
        <v>80</v>
      </c>
      <c r="H1413" s="22" t="s">
        <v>7696</v>
      </c>
      <c r="I1413" s="22" t="s">
        <v>8601</v>
      </c>
      <c r="J1413" s="22" t="n">
        <v>7.55</v>
      </c>
      <c r="K1413" s="22" t="n">
        <v>1</v>
      </c>
      <c r="L1413" s="22" t="s">
        <v>8602</v>
      </c>
      <c r="M1413" s="23" t="n">
        <v>46191</v>
      </c>
      <c r="N1413" s="22"/>
      <c r="O1413" s="22"/>
      <c r="P1413" s="22" t="s">
        <v>8603</v>
      </c>
      <c r="Q1413" s="22"/>
      <c r="R1413" s="22"/>
    </row>
    <row r="1414" customFormat="false" ht="15" hidden="false" customHeight="false" outlineLevel="0" collapsed="false">
      <c r="A1414" s="22" t="s">
        <v>10376</v>
      </c>
      <c r="B1414" s="23" t="n">
        <v>46198</v>
      </c>
      <c r="C1414" s="22" t="s">
        <v>4376</v>
      </c>
      <c r="D1414" s="22" t="n">
        <v>1826</v>
      </c>
      <c r="E1414" s="22" t="s">
        <v>8077</v>
      </c>
      <c r="F1414" s="22" t="s">
        <v>499</v>
      </c>
      <c r="G1414" s="22" t="n">
        <v>40</v>
      </c>
      <c r="H1414" s="22" t="s">
        <v>7696</v>
      </c>
      <c r="I1414" s="22" t="s">
        <v>8601</v>
      </c>
      <c r="J1414" s="22" t="n">
        <v>7.55</v>
      </c>
      <c r="K1414" s="22" t="n">
        <v>1</v>
      </c>
      <c r="L1414" s="22" t="s">
        <v>8629</v>
      </c>
      <c r="M1414" s="23" t="n">
        <v>46212</v>
      </c>
      <c r="N1414" s="23" t="n">
        <v>46207</v>
      </c>
      <c r="O1414" s="22" t="n">
        <v>9</v>
      </c>
      <c r="P1414" s="22"/>
      <c r="Q1414" s="22"/>
      <c r="R1414" s="22"/>
    </row>
    <row r="1415" customFormat="false" ht="15" hidden="false" customHeight="false" outlineLevel="0" collapsed="false">
      <c r="A1415" s="22" t="s">
        <v>10377</v>
      </c>
      <c r="B1415" s="23" t="n">
        <v>46174</v>
      </c>
      <c r="C1415" s="22" t="s">
        <v>3973</v>
      </c>
      <c r="D1415" s="22" t="n">
        <v>1630</v>
      </c>
      <c r="E1415" s="22" t="s">
        <v>8182</v>
      </c>
      <c r="F1415" s="22" t="s">
        <v>499</v>
      </c>
      <c r="G1415" s="22" t="n">
        <v>70</v>
      </c>
      <c r="H1415" s="22" t="s">
        <v>7696</v>
      </c>
      <c r="I1415" s="22" t="s">
        <v>8601</v>
      </c>
      <c r="J1415" s="22" t="n">
        <v>7.55</v>
      </c>
      <c r="K1415" s="22" t="n">
        <v>1</v>
      </c>
      <c r="L1415" s="22" t="s">
        <v>8605</v>
      </c>
      <c r="M1415" s="23" t="n">
        <v>46188</v>
      </c>
      <c r="N1415" s="23" t="n">
        <v>46176</v>
      </c>
      <c r="O1415" s="22" t="n">
        <v>2</v>
      </c>
      <c r="P1415" s="22"/>
      <c r="Q1415" s="22" t="s">
        <v>10378</v>
      </c>
      <c r="R1415" s="22"/>
    </row>
    <row r="1416" customFormat="false" ht="15" hidden="false" customHeight="false" outlineLevel="0" collapsed="false">
      <c r="A1416" s="22" t="s">
        <v>10379</v>
      </c>
      <c r="B1416" s="23" t="n">
        <v>46224</v>
      </c>
      <c r="C1416" s="22" t="s">
        <v>4953</v>
      </c>
      <c r="D1416" s="22" t="n">
        <v>2110</v>
      </c>
      <c r="E1416" s="22" t="s">
        <v>7757</v>
      </c>
      <c r="F1416" s="22" t="s">
        <v>215</v>
      </c>
      <c r="G1416" s="22" t="n">
        <v>50</v>
      </c>
      <c r="H1416" s="22" t="s">
        <v>7696</v>
      </c>
      <c r="I1416" s="22" t="s">
        <v>8601</v>
      </c>
      <c r="J1416" s="22" t="n">
        <v>7.55</v>
      </c>
      <c r="K1416" s="22" t="n">
        <v>1</v>
      </c>
      <c r="L1416" s="22" t="s">
        <v>8605</v>
      </c>
      <c r="M1416" s="23" t="n">
        <v>46238</v>
      </c>
      <c r="N1416" s="23" t="n">
        <v>46229</v>
      </c>
      <c r="O1416" s="22" t="n">
        <v>5</v>
      </c>
      <c r="P1416" s="22"/>
      <c r="Q1416" s="22" t="s">
        <v>10380</v>
      </c>
      <c r="R1416" s="22"/>
    </row>
    <row r="1417" customFormat="false" ht="15" hidden="false" customHeight="false" outlineLevel="0" collapsed="false">
      <c r="A1417" s="22" t="s">
        <v>10381</v>
      </c>
      <c r="B1417" s="23" t="n">
        <v>46211</v>
      </c>
      <c r="C1417" s="22" t="s">
        <v>6407</v>
      </c>
      <c r="D1417" s="22" t="n">
        <v>2836</v>
      </c>
      <c r="E1417" s="22" t="s">
        <v>7842</v>
      </c>
      <c r="F1417" s="22" t="s">
        <v>215</v>
      </c>
      <c r="G1417" s="22" t="n">
        <v>32</v>
      </c>
      <c r="H1417" s="22" t="s">
        <v>7696</v>
      </c>
      <c r="I1417" s="22" t="s">
        <v>8601</v>
      </c>
      <c r="J1417" s="22" t="n">
        <v>7.55</v>
      </c>
      <c r="K1417" s="22" t="n">
        <v>2</v>
      </c>
      <c r="L1417" s="22" t="s">
        <v>8605</v>
      </c>
      <c r="M1417" s="23" t="n">
        <v>46225</v>
      </c>
      <c r="N1417" s="23" t="n">
        <v>46221</v>
      </c>
      <c r="O1417" s="22" t="n">
        <v>10</v>
      </c>
      <c r="P1417" s="22"/>
      <c r="Q1417" s="22" t="s">
        <v>10382</v>
      </c>
      <c r="R1417" s="22"/>
    </row>
    <row r="1418" customFormat="false" ht="15" hidden="false" customHeight="false" outlineLevel="0" collapsed="false">
      <c r="A1418" s="22" t="s">
        <v>10383</v>
      </c>
      <c r="B1418" s="23" t="n">
        <v>46220</v>
      </c>
      <c r="C1418" s="22" t="s">
        <v>6037</v>
      </c>
      <c r="D1418" s="22" t="n">
        <v>2649</v>
      </c>
      <c r="E1418" s="22" t="s">
        <v>7924</v>
      </c>
      <c r="F1418" s="22" t="s">
        <v>215</v>
      </c>
      <c r="G1418" s="22" t="n">
        <v>60</v>
      </c>
      <c r="H1418" s="22" t="s">
        <v>7696</v>
      </c>
      <c r="I1418" s="22" t="s">
        <v>8601</v>
      </c>
      <c r="J1418" s="22" t="n">
        <v>7.55</v>
      </c>
      <c r="K1418" s="22" t="n">
        <v>1</v>
      </c>
      <c r="L1418" s="22" t="s">
        <v>8605</v>
      </c>
      <c r="M1418" s="23" t="n">
        <v>46234</v>
      </c>
      <c r="N1418" s="23" t="n">
        <v>46230</v>
      </c>
      <c r="O1418" s="22" t="n">
        <v>10</v>
      </c>
      <c r="P1418" s="22"/>
      <c r="Q1418" s="22" t="s">
        <v>10205</v>
      </c>
      <c r="R1418" s="22"/>
    </row>
    <row r="1419" customFormat="false" ht="15" hidden="false" customHeight="false" outlineLevel="0" collapsed="false">
      <c r="A1419" s="22" t="s">
        <v>10384</v>
      </c>
      <c r="B1419" s="23" t="n">
        <v>46225</v>
      </c>
      <c r="C1419" s="22" t="s">
        <v>996</v>
      </c>
      <c r="D1419" s="22" t="n">
        <v>298</v>
      </c>
      <c r="E1419" s="22" t="s">
        <v>8259</v>
      </c>
      <c r="F1419" s="22" t="s">
        <v>499</v>
      </c>
      <c r="G1419" s="22" t="n">
        <v>28</v>
      </c>
      <c r="H1419" s="22" t="s">
        <v>7696</v>
      </c>
      <c r="I1419" s="22" t="s">
        <v>8601</v>
      </c>
      <c r="J1419" s="22" t="n">
        <v>7.55</v>
      </c>
      <c r="K1419" s="22" t="n">
        <v>1</v>
      </c>
      <c r="L1419" s="22" t="s">
        <v>8613</v>
      </c>
      <c r="M1419" s="23" t="n">
        <v>46239</v>
      </c>
      <c r="N1419" s="22"/>
      <c r="O1419" s="22"/>
      <c r="P1419" s="22"/>
      <c r="Q1419" s="22"/>
      <c r="R1419" s="22"/>
    </row>
    <row r="1420" customFormat="false" ht="15" hidden="false" customHeight="false" outlineLevel="0" collapsed="false">
      <c r="A1420" s="22" t="s">
        <v>10385</v>
      </c>
      <c r="B1420" s="23" t="n">
        <v>46220</v>
      </c>
      <c r="C1420" s="22" t="s">
        <v>2670</v>
      </c>
      <c r="D1420" s="22" t="n">
        <v>1013</v>
      </c>
      <c r="E1420" s="22" t="s">
        <v>8568</v>
      </c>
      <c r="F1420" s="22" t="s">
        <v>188</v>
      </c>
      <c r="G1420" s="22" t="n">
        <v>24</v>
      </c>
      <c r="H1420" s="22" t="s">
        <v>7696</v>
      </c>
      <c r="I1420" s="22" t="s">
        <v>8601</v>
      </c>
      <c r="J1420" s="22" t="n">
        <v>7.55</v>
      </c>
      <c r="K1420" s="22" t="n">
        <v>1</v>
      </c>
      <c r="L1420" s="22" t="s">
        <v>8602</v>
      </c>
      <c r="M1420" s="23" t="n">
        <v>46234</v>
      </c>
      <c r="N1420" s="22"/>
      <c r="O1420" s="22"/>
      <c r="P1420" s="22" t="s">
        <v>8618</v>
      </c>
      <c r="Q1420" s="22"/>
      <c r="R1420" s="22"/>
    </row>
    <row r="1421" customFormat="false" ht="15" hidden="false" customHeight="false" outlineLevel="0" collapsed="false">
      <c r="A1421" s="22" t="s">
        <v>10386</v>
      </c>
      <c r="B1421" s="23" t="n">
        <v>46217</v>
      </c>
      <c r="C1421" s="22" t="s">
        <v>1657</v>
      </c>
      <c r="D1421" s="22" t="n">
        <v>568</v>
      </c>
      <c r="E1421" s="22" t="s">
        <v>7483</v>
      </c>
      <c r="F1421" s="22" t="s">
        <v>159</v>
      </c>
      <c r="G1421" s="22" t="n">
        <v>24</v>
      </c>
      <c r="H1421" s="22" t="s">
        <v>6575</v>
      </c>
      <c r="I1421" s="22" t="s">
        <v>8601</v>
      </c>
      <c r="J1421" s="22" t="n">
        <v>10.4</v>
      </c>
      <c r="K1421" s="22" t="n">
        <v>2</v>
      </c>
      <c r="L1421" s="22" t="s">
        <v>8605</v>
      </c>
      <c r="M1421" s="23" t="n">
        <v>46227</v>
      </c>
      <c r="N1421" s="23" t="n">
        <v>46228</v>
      </c>
      <c r="O1421" s="22" t="n">
        <v>11</v>
      </c>
      <c r="P1421" s="22"/>
      <c r="Q1421" s="22" t="s">
        <v>10387</v>
      </c>
      <c r="R1421" s="22"/>
    </row>
    <row r="1422" customFormat="false" ht="15" hidden="false" customHeight="false" outlineLevel="0" collapsed="false">
      <c r="A1422" s="22" t="s">
        <v>10388</v>
      </c>
      <c r="B1422" s="23" t="n">
        <v>46205</v>
      </c>
      <c r="C1422" s="22" t="s">
        <v>3458</v>
      </c>
      <c r="D1422" s="22" t="n">
        <v>1378</v>
      </c>
      <c r="E1422" s="22" t="s">
        <v>7560</v>
      </c>
      <c r="F1422" s="22" t="s">
        <v>159</v>
      </c>
      <c r="G1422" s="22" t="n">
        <v>32</v>
      </c>
      <c r="H1422" s="22" t="s">
        <v>6575</v>
      </c>
      <c r="I1422" s="22" t="s">
        <v>8601</v>
      </c>
      <c r="J1422" s="22" t="n">
        <v>10.4</v>
      </c>
      <c r="K1422" s="22" t="n">
        <v>1</v>
      </c>
      <c r="L1422" s="22" t="s">
        <v>8605</v>
      </c>
      <c r="M1422" s="23" t="n">
        <v>46215</v>
      </c>
      <c r="N1422" s="23" t="n">
        <v>46213</v>
      </c>
      <c r="O1422" s="22" t="n">
        <v>8</v>
      </c>
      <c r="P1422" s="22"/>
      <c r="Q1422" s="22" t="s">
        <v>10389</v>
      </c>
      <c r="R1422" s="22"/>
    </row>
    <row r="1423" customFormat="false" ht="15" hidden="false" customHeight="false" outlineLevel="0" collapsed="false">
      <c r="A1423" s="22" t="s">
        <v>10390</v>
      </c>
      <c r="B1423" s="23" t="n">
        <v>46228</v>
      </c>
      <c r="C1423" s="22" t="s">
        <v>4878</v>
      </c>
      <c r="D1423" s="22" t="n">
        <v>2071</v>
      </c>
      <c r="E1423" s="22" t="s">
        <v>8436</v>
      </c>
      <c r="F1423" s="22" t="s">
        <v>188</v>
      </c>
      <c r="G1423" s="22" t="n">
        <v>24</v>
      </c>
      <c r="H1423" s="22" t="s">
        <v>7696</v>
      </c>
      <c r="I1423" s="22" t="s">
        <v>8601</v>
      </c>
      <c r="J1423" s="22" t="n">
        <v>7.55</v>
      </c>
      <c r="K1423" s="22" t="n">
        <v>1</v>
      </c>
      <c r="L1423" s="22" t="s">
        <v>8602</v>
      </c>
      <c r="M1423" s="23" t="n">
        <v>46242</v>
      </c>
      <c r="N1423" s="22"/>
      <c r="O1423" s="22"/>
      <c r="P1423" s="22" t="s">
        <v>8603</v>
      </c>
      <c r="Q1423" s="22"/>
      <c r="R1423" s="22"/>
    </row>
    <row r="1424" customFormat="false" ht="15" hidden="false" customHeight="false" outlineLevel="0" collapsed="false">
      <c r="A1424" s="22" t="s">
        <v>10391</v>
      </c>
      <c r="B1424" s="23" t="n">
        <v>46225</v>
      </c>
      <c r="C1424" s="22" t="s">
        <v>4914</v>
      </c>
      <c r="D1424" s="22" t="n">
        <v>2090</v>
      </c>
      <c r="E1424" s="22" t="s">
        <v>8436</v>
      </c>
      <c r="F1424" s="22" t="s">
        <v>188</v>
      </c>
      <c r="G1424" s="22" t="n">
        <v>24</v>
      </c>
      <c r="H1424" s="22" t="s">
        <v>7696</v>
      </c>
      <c r="I1424" s="22" t="s">
        <v>8601</v>
      </c>
      <c r="J1424" s="22" t="n">
        <v>7.55</v>
      </c>
      <c r="K1424" s="22" t="n">
        <v>1</v>
      </c>
      <c r="L1424" s="22" t="s">
        <v>8605</v>
      </c>
      <c r="M1424" s="23" t="n">
        <v>46239</v>
      </c>
      <c r="N1424" s="23" t="n">
        <v>46242</v>
      </c>
      <c r="O1424" s="22" t="n">
        <v>17</v>
      </c>
      <c r="P1424" s="22"/>
      <c r="Q1424" s="22" t="s">
        <v>10392</v>
      </c>
      <c r="R1424" s="22"/>
    </row>
    <row r="1425" customFormat="false" ht="15" hidden="false" customHeight="false" outlineLevel="0" collapsed="false">
      <c r="A1425" s="22" t="s">
        <v>10393</v>
      </c>
      <c r="B1425" s="23" t="n">
        <v>46204</v>
      </c>
      <c r="C1425" s="22" t="s">
        <v>3639</v>
      </c>
      <c r="D1425" s="22" t="n">
        <v>1465</v>
      </c>
      <c r="E1425" s="22" t="s">
        <v>7849</v>
      </c>
      <c r="F1425" s="22" t="s">
        <v>215</v>
      </c>
      <c r="G1425" s="22" t="n">
        <v>28</v>
      </c>
      <c r="H1425" s="22" t="s">
        <v>7696</v>
      </c>
      <c r="I1425" s="22" t="s">
        <v>8601</v>
      </c>
      <c r="J1425" s="22" t="n">
        <v>7.55</v>
      </c>
      <c r="K1425" s="22" t="n">
        <v>1</v>
      </c>
      <c r="L1425" s="22" t="s">
        <v>8605</v>
      </c>
      <c r="M1425" s="23" t="n">
        <v>46218</v>
      </c>
      <c r="N1425" s="23" t="n">
        <v>46215</v>
      </c>
      <c r="O1425" s="22" t="n">
        <v>11</v>
      </c>
      <c r="P1425" s="22"/>
      <c r="Q1425" s="22" t="s">
        <v>10265</v>
      </c>
      <c r="R1425" s="22"/>
    </row>
    <row r="1426" customFormat="false" ht="15" hidden="false" customHeight="false" outlineLevel="0" collapsed="false">
      <c r="A1426" s="22" t="s">
        <v>10394</v>
      </c>
      <c r="B1426" s="23" t="n">
        <v>46228</v>
      </c>
      <c r="C1426" s="22" t="s">
        <v>1952</v>
      </c>
      <c r="D1426" s="22" t="n">
        <v>692</v>
      </c>
      <c r="E1426" s="22" t="s">
        <v>7981</v>
      </c>
      <c r="F1426" s="22" t="s">
        <v>215</v>
      </c>
      <c r="G1426" s="22" t="n">
        <v>70</v>
      </c>
      <c r="H1426" s="22" t="s">
        <v>7696</v>
      </c>
      <c r="I1426" s="22" t="s">
        <v>8601</v>
      </c>
      <c r="J1426" s="22" t="n">
        <v>7.55</v>
      </c>
      <c r="K1426" s="22" t="n">
        <v>1</v>
      </c>
      <c r="L1426" s="22" t="s">
        <v>157</v>
      </c>
      <c r="M1426" s="23" t="n">
        <v>46242</v>
      </c>
      <c r="N1426" s="23" t="n">
        <v>46245</v>
      </c>
      <c r="O1426" s="22" t="n">
        <v>17</v>
      </c>
      <c r="P1426" s="22"/>
      <c r="Q1426" s="22"/>
      <c r="R1426" s="22"/>
    </row>
    <row r="1427" customFormat="false" ht="15" hidden="false" customHeight="false" outlineLevel="0" collapsed="false">
      <c r="A1427" s="22" t="s">
        <v>10395</v>
      </c>
      <c r="B1427" s="23" t="n">
        <v>46214</v>
      </c>
      <c r="C1427" s="22" t="s">
        <v>3462</v>
      </c>
      <c r="D1427" s="22" t="n">
        <v>1380</v>
      </c>
      <c r="E1427" s="22" t="s">
        <v>7769</v>
      </c>
      <c r="F1427" s="22" t="s">
        <v>215</v>
      </c>
      <c r="G1427" s="22" t="n">
        <v>28</v>
      </c>
      <c r="H1427" s="22" t="s">
        <v>7696</v>
      </c>
      <c r="I1427" s="22" t="s">
        <v>8601</v>
      </c>
      <c r="J1427" s="22" t="n">
        <v>7.55</v>
      </c>
      <c r="K1427" s="22" t="n">
        <v>2</v>
      </c>
      <c r="L1427" s="22" t="s">
        <v>8605</v>
      </c>
      <c r="M1427" s="23" t="n">
        <v>46228</v>
      </c>
      <c r="N1427" s="23" t="n">
        <v>46227</v>
      </c>
      <c r="O1427" s="22" t="n">
        <v>13</v>
      </c>
      <c r="P1427" s="22"/>
      <c r="Q1427" s="22" t="s">
        <v>10396</v>
      </c>
      <c r="R1427" s="22"/>
    </row>
    <row r="1428" customFormat="false" ht="15" hidden="false" customHeight="false" outlineLevel="0" collapsed="false">
      <c r="A1428" s="22" t="s">
        <v>10397</v>
      </c>
      <c r="B1428" s="23" t="n">
        <v>46211</v>
      </c>
      <c r="C1428" s="22" t="s">
        <v>6419</v>
      </c>
      <c r="D1428" s="22" t="n">
        <v>2842</v>
      </c>
      <c r="E1428" s="22" t="s">
        <v>7825</v>
      </c>
      <c r="F1428" s="22" t="s">
        <v>215</v>
      </c>
      <c r="G1428" s="22" t="n">
        <v>24</v>
      </c>
      <c r="H1428" s="22" t="s">
        <v>7696</v>
      </c>
      <c r="I1428" s="22" t="s">
        <v>8601</v>
      </c>
      <c r="J1428" s="22" t="n">
        <v>7.55</v>
      </c>
      <c r="K1428" s="22" t="n">
        <v>2</v>
      </c>
      <c r="L1428" s="22" t="s">
        <v>8605</v>
      </c>
      <c r="M1428" s="23" t="n">
        <v>46225</v>
      </c>
      <c r="N1428" s="23" t="n">
        <v>46228</v>
      </c>
      <c r="O1428" s="22" t="n">
        <v>17</v>
      </c>
      <c r="P1428" s="22"/>
      <c r="Q1428" s="22" t="s">
        <v>10398</v>
      </c>
      <c r="R1428" s="22"/>
    </row>
    <row r="1429" customFormat="false" ht="15" hidden="false" customHeight="false" outlineLevel="0" collapsed="false">
      <c r="A1429" s="22" t="s">
        <v>10399</v>
      </c>
      <c r="B1429" s="23" t="n">
        <v>46206</v>
      </c>
      <c r="C1429" s="22" t="s">
        <v>5262</v>
      </c>
      <c r="D1429" s="22" t="n">
        <v>2261</v>
      </c>
      <c r="E1429" s="22" t="s">
        <v>6779</v>
      </c>
      <c r="F1429" s="22" t="s">
        <v>198</v>
      </c>
      <c r="G1429" s="22" t="n">
        <v>28</v>
      </c>
      <c r="H1429" s="22" t="s">
        <v>6575</v>
      </c>
      <c r="I1429" s="22" t="s">
        <v>8601</v>
      </c>
      <c r="J1429" s="22" t="n">
        <v>10.4</v>
      </c>
      <c r="K1429" s="22" t="n">
        <v>2</v>
      </c>
      <c r="L1429" s="22" t="s">
        <v>8605</v>
      </c>
      <c r="M1429" s="23" t="n">
        <v>46216</v>
      </c>
      <c r="N1429" s="23" t="n">
        <v>46213</v>
      </c>
      <c r="O1429" s="22" t="n">
        <v>7</v>
      </c>
      <c r="P1429" s="22"/>
      <c r="Q1429" s="22" t="s">
        <v>10400</v>
      </c>
      <c r="R1429" s="22"/>
    </row>
    <row r="1430" customFormat="false" ht="15" hidden="false" customHeight="false" outlineLevel="0" collapsed="false">
      <c r="A1430" s="22" t="s">
        <v>10401</v>
      </c>
      <c r="B1430" s="23" t="n">
        <v>46224</v>
      </c>
      <c r="C1430" s="22" t="s">
        <v>4946</v>
      </c>
      <c r="D1430" s="22" t="n">
        <v>2106</v>
      </c>
      <c r="E1430" s="22" t="s">
        <v>6953</v>
      </c>
      <c r="F1430" s="22" t="s">
        <v>198</v>
      </c>
      <c r="G1430" s="22" t="n">
        <v>24</v>
      </c>
      <c r="H1430" s="22" t="s">
        <v>6575</v>
      </c>
      <c r="I1430" s="22" t="s">
        <v>8601</v>
      </c>
      <c r="J1430" s="22" t="n">
        <v>10.4</v>
      </c>
      <c r="K1430" s="22" t="n">
        <v>1</v>
      </c>
      <c r="L1430" s="22" t="s">
        <v>8602</v>
      </c>
      <c r="M1430" s="23" t="n">
        <v>46234</v>
      </c>
      <c r="N1430" s="22"/>
      <c r="O1430" s="22"/>
      <c r="P1430" s="22" t="s">
        <v>8618</v>
      </c>
      <c r="Q1430" s="22"/>
      <c r="R1430" s="22"/>
    </row>
    <row r="1431" customFormat="false" ht="15" hidden="false" customHeight="false" outlineLevel="0" collapsed="false">
      <c r="A1431" s="22" t="s">
        <v>10402</v>
      </c>
      <c r="B1431" s="23" t="n">
        <v>46228</v>
      </c>
      <c r="C1431" s="22" t="s">
        <v>5679</v>
      </c>
      <c r="D1431" s="22" t="n">
        <v>2470</v>
      </c>
      <c r="E1431" s="22" t="s">
        <v>7212</v>
      </c>
      <c r="F1431" s="22" t="s">
        <v>198</v>
      </c>
      <c r="G1431" s="22" t="n">
        <v>32</v>
      </c>
      <c r="H1431" s="22" t="s">
        <v>6575</v>
      </c>
      <c r="I1431" s="22" t="s">
        <v>8601</v>
      </c>
      <c r="J1431" s="22" t="n">
        <v>10.4</v>
      </c>
      <c r="K1431" s="22" t="n">
        <v>1</v>
      </c>
      <c r="L1431" s="22" t="s">
        <v>8605</v>
      </c>
      <c r="M1431" s="23" t="n">
        <v>46238</v>
      </c>
      <c r="N1431" s="23" t="n">
        <v>46233</v>
      </c>
      <c r="O1431" s="22" t="n">
        <v>5</v>
      </c>
      <c r="P1431" s="22"/>
      <c r="Q1431" s="22" t="s">
        <v>10403</v>
      </c>
      <c r="R1431" s="22"/>
    </row>
    <row r="1432" customFormat="false" ht="15" hidden="false" customHeight="false" outlineLevel="0" collapsed="false">
      <c r="A1432" s="22" t="s">
        <v>10404</v>
      </c>
      <c r="B1432" s="23" t="n">
        <v>46226</v>
      </c>
      <c r="C1432" s="22" t="s">
        <v>2986</v>
      </c>
      <c r="D1432" s="22" t="n">
        <v>1157</v>
      </c>
      <c r="E1432" s="22" t="s">
        <v>8347</v>
      </c>
      <c r="F1432" s="22" t="s">
        <v>188</v>
      </c>
      <c r="G1432" s="22" t="n">
        <v>40</v>
      </c>
      <c r="H1432" s="22" t="s">
        <v>7696</v>
      </c>
      <c r="I1432" s="22" t="s">
        <v>8601</v>
      </c>
      <c r="J1432" s="22" t="n">
        <v>7.55</v>
      </c>
      <c r="K1432" s="22" t="n">
        <v>1</v>
      </c>
      <c r="L1432" s="22" t="s">
        <v>8613</v>
      </c>
      <c r="M1432" s="23" t="n">
        <v>46240</v>
      </c>
      <c r="N1432" s="22"/>
      <c r="O1432" s="22"/>
      <c r="P1432" s="22"/>
      <c r="Q1432" s="22"/>
      <c r="R1432" s="22"/>
    </row>
    <row r="1433" customFormat="false" ht="15" hidden="false" customHeight="false" outlineLevel="0" collapsed="false">
      <c r="A1433" s="22" t="s">
        <v>10405</v>
      </c>
      <c r="B1433" s="23" t="n">
        <v>46205</v>
      </c>
      <c r="C1433" s="22" t="s">
        <v>5260</v>
      </c>
      <c r="D1433" s="22" t="n">
        <v>2260</v>
      </c>
      <c r="E1433" s="22" t="s">
        <v>7700</v>
      </c>
      <c r="F1433" s="22" t="s">
        <v>215</v>
      </c>
      <c r="G1433" s="22" t="n">
        <v>40</v>
      </c>
      <c r="H1433" s="22" t="s">
        <v>7696</v>
      </c>
      <c r="I1433" s="22" t="s">
        <v>8601</v>
      </c>
      <c r="J1433" s="22" t="n">
        <v>7.55</v>
      </c>
      <c r="K1433" s="22" t="n">
        <v>1</v>
      </c>
      <c r="L1433" s="22" t="s">
        <v>8602</v>
      </c>
      <c r="M1433" s="23" t="n">
        <v>46219</v>
      </c>
      <c r="N1433" s="22"/>
      <c r="O1433" s="22"/>
      <c r="P1433" s="22" t="s">
        <v>8637</v>
      </c>
      <c r="Q1433" s="22"/>
      <c r="R1433" s="22"/>
    </row>
    <row r="1434" customFormat="false" ht="15" hidden="false" customHeight="false" outlineLevel="0" collapsed="false">
      <c r="A1434" s="22" t="s">
        <v>10406</v>
      </c>
      <c r="B1434" s="23" t="n">
        <v>46222</v>
      </c>
      <c r="C1434" s="22" t="s">
        <v>3821</v>
      </c>
      <c r="D1434" s="22" t="n">
        <v>1555</v>
      </c>
      <c r="E1434" s="22" t="s">
        <v>7543</v>
      </c>
      <c r="F1434" s="22" t="s">
        <v>159</v>
      </c>
      <c r="G1434" s="22" t="n">
        <v>32</v>
      </c>
      <c r="H1434" s="22" t="s">
        <v>6575</v>
      </c>
      <c r="I1434" s="22" t="s">
        <v>8601</v>
      </c>
      <c r="J1434" s="22" t="n">
        <v>10.4</v>
      </c>
      <c r="K1434" s="22" t="n">
        <v>1</v>
      </c>
      <c r="L1434" s="22" t="s">
        <v>8608</v>
      </c>
      <c r="M1434" s="23" t="n">
        <v>46232</v>
      </c>
      <c r="N1434" s="23" t="n">
        <v>46229</v>
      </c>
      <c r="O1434" s="22" t="n">
        <v>7</v>
      </c>
      <c r="P1434" s="22"/>
      <c r="Q1434" s="22"/>
      <c r="R1434" s="22"/>
    </row>
    <row r="1435" customFormat="false" ht="15" hidden="false" customHeight="false" outlineLevel="0" collapsed="false">
      <c r="A1435" s="22" t="s">
        <v>10407</v>
      </c>
      <c r="B1435" s="23" t="n">
        <v>46224</v>
      </c>
      <c r="C1435" s="22" t="s">
        <v>5552</v>
      </c>
      <c r="D1435" s="22" t="n">
        <v>2407</v>
      </c>
      <c r="E1435" s="22" t="s">
        <v>8313</v>
      </c>
      <c r="F1435" s="22" t="s">
        <v>499</v>
      </c>
      <c r="G1435" s="22" t="n">
        <v>60</v>
      </c>
      <c r="H1435" s="22" t="s">
        <v>7696</v>
      </c>
      <c r="I1435" s="22" t="s">
        <v>8601</v>
      </c>
      <c r="J1435" s="22" t="n">
        <v>7.55</v>
      </c>
      <c r="K1435" s="22" t="n">
        <v>1</v>
      </c>
      <c r="L1435" s="22" t="s">
        <v>8729</v>
      </c>
      <c r="M1435" s="23" t="n">
        <v>46238</v>
      </c>
      <c r="N1435" s="23" t="n">
        <v>46239</v>
      </c>
      <c r="O1435" s="22" t="n">
        <v>15</v>
      </c>
      <c r="P1435" s="22"/>
      <c r="Q1435" s="22"/>
      <c r="R1435" s="22"/>
    </row>
    <row r="1436" customFormat="false" ht="15" hidden="false" customHeight="false" outlineLevel="0" collapsed="false">
      <c r="A1436" s="22" t="s">
        <v>10408</v>
      </c>
      <c r="B1436" s="23" t="n">
        <v>46212</v>
      </c>
      <c r="C1436" s="22" t="s">
        <v>2090</v>
      </c>
      <c r="D1436" s="22" t="n">
        <v>752</v>
      </c>
      <c r="E1436" s="22" t="s">
        <v>7533</v>
      </c>
      <c r="F1436" s="22" t="s">
        <v>159</v>
      </c>
      <c r="G1436" s="22" t="n">
        <v>24</v>
      </c>
      <c r="H1436" s="22" t="s">
        <v>6575</v>
      </c>
      <c r="I1436" s="22" t="s">
        <v>8601</v>
      </c>
      <c r="J1436" s="22" t="n">
        <v>10.4</v>
      </c>
      <c r="K1436" s="22" t="n">
        <v>1</v>
      </c>
      <c r="L1436" s="22" t="s">
        <v>8629</v>
      </c>
      <c r="M1436" s="23" t="n">
        <v>46222</v>
      </c>
      <c r="N1436" s="23" t="n">
        <v>46213</v>
      </c>
      <c r="O1436" s="22" t="n">
        <v>1</v>
      </c>
      <c r="P1436" s="22"/>
      <c r="Q1436" s="22"/>
      <c r="R1436" s="22"/>
    </row>
    <row r="1437" customFormat="false" ht="15" hidden="false" customHeight="false" outlineLevel="0" collapsed="false">
      <c r="A1437" s="22" t="s">
        <v>10409</v>
      </c>
      <c r="B1437" s="23" t="n">
        <v>46217</v>
      </c>
      <c r="C1437" s="22" t="s">
        <v>3417</v>
      </c>
      <c r="D1437" s="22" t="n">
        <v>1358</v>
      </c>
      <c r="E1437" s="22" t="s">
        <v>7210</v>
      </c>
      <c r="F1437" s="22" t="s">
        <v>198</v>
      </c>
      <c r="G1437" s="22" t="n">
        <v>32</v>
      </c>
      <c r="H1437" s="22" t="s">
        <v>6575</v>
      </c>
      <c r="I1437" s="22" t="s">
        <v>8601</v>
      </c>
      <c r="J1437" s="22" t="n">
        <v>10.4</v>
      </c>
      <c r="K1437" s="22" t="n">
        <v>1</v>
      </c>
      <c r="L1437" s="22" t="s">
        <v>8602</v>
      </c>
      <c r="M1437" s="23" t="n">
        <v>46227</v>
      </c>
      <c r="N1437" s="22"/>
      <c r="O1437" s="22"/>
      <c r="P1437" s="22" t="s">
        <v>8631</v>
      </c>
      <c r="Q1437" s="22"/>
      <c r="R1437" s="22"/>
    </row>
    <row r="1438" customFormat="false" ht="15" hidden="false" customHeight="false" outlineLevel="0" collapsed="false">
      <c r="A1438" s="22" t="s">
        <v>10410</v>
      </c>
      <c r="B1438" s="23" t="n">
        <v>46223</v>
      </c>
      <c r="C1438" s="22" t="s">
        <v>2155</v>
      </c>
      <c r="D1438" s="22" t="n">
        <v>781</v>
      </c>
      <c r="E1438" s="22" t="s">
        <v>7182</v>
      </c>
      <c r="F1438" s="22" t="s">
        <v>198</v>
      </c>
      <c r="G1438" s="22" t="n">
        <v>24</v>
      </c>
      <c r="H1438" s="22" t="s">
        <v>6575</v>
      </c>
      <c r="I1438" s="22" t="s">
        <v>8601</v>
      </c>
      <c r="J1438" s="22" t="n">
        <v>10.4</v>
      </c>
      <c r="K1438" s="22" t="n">
        <v>1</v>
      </c>
      <c r="L1438" s="22" t="s">
        <v>8605</v>
      </c>
      <c r="M1438" s="23" t="n">
        <v>46233</v>
      </c>
      <c r="N1438" s="23" t="n">
        <v>46231</v>
      </c>
      <c r="O1438" s="22" t="n">
        <v>8</v>
      </c>
      <c r="P1438" s="22"/>
      <c r="Q1438" s="22" t="s">
        <v>10411</v>
      </c>
      <c r="R1438" s="22"/>
    </row>
    <row r="1439" customFormat="false" ht="15" hidden="false" customHeight="false" outlineLevel="0" collapsed="false">
      <c r="A1439" s="22" t="s">
        <v>10412</v>
      </c>
      <c r="B1439" s="23" t="n">
        <v>46214</v>
      </c>
      <c r="C1439" s="22" t="s">
        <v>3301</v>
      </c>
      <c r="D1439" s="22" t="n">
        <v>1302</v>
      </c>
      <c r="E1439" s="22" t="s">
        <v>8331</v>
      </c>
      <c r="F1439" s="22" t="s">
        <v>499</v>
      </c>
      <c r="G1439" s="22" t="n">
        <v>24</v>
      </c>
      <c r="H1439" s="22" t="s">
        <v>7696</v>
      </c>
      <c r="I1439" s="22" t="s">
        <v>8601</v>
      </c>
      <c r="J1439" s="22" t="n">
        <v>7.55</v>
      </c>
      <c r="K1439" s="22" t="n">
        <v>1</v>
      </c>
      <c r="L1439" s="22" t="s">
        <v>8605</v>
      </c>
      <c r="M1439" s="23" t="n">
        <v>46228</v>
      </c>
      <c r="N1439" s="23" t="n">
        <v>46219</v>
      </c>
      <c r="O1439" s="22" t="n">
        <v>5</v>
      </c>
      <c r="P1439" s="22"/>
      <c r="Q1439" s="22" t="s">
        <v>10413</v>
      </c>
      <c r="R1439" s="22"/>
    </row>
    <row r="1440" customFormat="false" ht="15" hidden="false" customHeight="false" outlineLevel="0" collapsed="false">
      <c r="A1440" s="22" t="s">
        <v>10414</v>
      </c>
      <c r="B1440" s="23" t="n">
        <v>46218</v>
      </c>
      <c r="C1440" s="22" t="s">
        <v>5685</v>
      </c>
      <c r="D1440" s="22" t="n">
        <v>2473</v>
      </c>
      <c r="E1440" s="22" t="s">
        <v>7627</v>
      </c>
      <c r="F1440" s="22" t="s">
        <v>159</v>
      </c>
      <c r="G1440" s="22" t="n">
        <v>28</v>
      </c>
      <c r="H1440" s="22" t="s">
        <v>6575</v>
      </c>
      <c r="I1440" s="22" t="s">
        <v>8601</v>
      </c>
      <c r="J1440" s="22" t="n">
        <v>10.4</v>
      </c>
      <c r="K1440" s="22" t="n">
        <v>2</v>
      </c>
      <c r="L1440" s="22" t="s">
        <v>8605</v>
      </c>
      <c r="M1440" s="23" t="n">
        <v>46228</v>
      </c>
      <c r="N1440" s="23" t="n">
        <v>46220</v>
      </c>
      <c r="O1440" s="22" t="n">
        <v>2</v>
      </c>
      <c r="P1440" s="22"/>
      <c r="Q1440" s="22" t="s">
        <v>10415</v>
      </c>
      <c r="R1440" s="22"/>
    </row>
    <row r="1441" customFormat="false" ht="15" hidden="false" customHeight="false" outlineLevel="0" collapsed="false">
      <c r="A1441" s="22" t="s">
        <v>10416</v>
      </c>
      <c r="B1441" s="23" t="n">
        <v>46230</v>
      </c>
      <c r="C1441" s="22" t="s">
        <v>1492</v>
      </c>
      <c r="D1441" s="22" t="n">
        <v>498</v>
      </c>
      <c r="E1441" s="22" t="s">
        <v>6999</v>
      </c>
      <c r="F1441" s="22" t="s">
        <v>198</v>
      </c>
      <c r="G1441" s="22" t="n">
        <v>24</v>
      </c>
      <c r="H1441" s="22" t="s">
        <v>6575</v>
      </c>
      <c r="I1441" s="22" t="s">
        <v>8601</v>
      </c>
      <c r="J1441" s="22" t="n">
        <v>10.4</v>
      </c>
      <c r="K1441" s="22" t="n">
        <v>1</v>
      </c>
      <c r="L1441" s="22" t="s">
        <v>8605</v>
      </c>
      <c r="M1441" s="23" t="n">
        <v>46240</v>
      </c>
      <c r="N1441" s="23" t="n">
        <v>46242</v>
      </c>
      <c r="O1441" s="22" t="n">
        <v>12</v>
      </c>
      <c r="P1441" s="22"/>
      <c r="Q1441" s="22" t="s">
        <v>10417</v>
      </c>
      <c r="R1441" s="22"/>
    </row>
    <row r="1442" customFormat="false" ht="15" hidden="false" customHeight="false" outlineLevel="0" collapsed="false">
      <c r="A1442" s="22" t="s">
        <v>10418</v>
      </c>
      <c r="B1442" s="23" t="n">
        <v>46206</v>
      </c>
      <c r="C1442" s="22" t="s">
        <v>5532</v>
      </c>
      <c r="D1442" s="22" t="n">
        <v>2397</v>
      </c>
      <c r="E1442" s="22" t="s">
        <v>6588</v>
      </c>
      <c r="F1442" s="22" t="s">
        <v>198</v>
      </c>
      <c r="G1442" s="22" t="n">
        <v>24</v>
      </c>
      <c r="H1442" s="22" t="s">
        <v>6575</v>
      </c>
      <c r="I1442" s="22" t="s">
        <v>8601</v>
      </c>
      <c r="J1442" s="22" t="n">
        <v>10.4</v>
      </c>
      <c r="K1442" s="22" t="n">
        <v>1</v>
      </c>
      <c r="L1442" s="22" t="s">
        <v>8602</v>
      </c>
      <c r="M1442" s="23" t="n">
        <v>46216</v>
      </c>
      <c r="N1442" s="22"/>
      <c r="O1442" s="22"/>
      <c r="P1442" s="22" t="s">
        <v>8631</v>
      </c>
      <c r="Q1442" s="22"/>
      <c r="R1442" s="22"/>
    </row>
    <row r="1443" customFormat="false" ht="15" hidden="false" customHeight="false" outlineLevel="0" collapsed="false">
      <c r="A1443" s="22" t="s">
        <v>10419</v>
      </c>
      <c r="B1443" s="23" t="n">
        <v>46210</v>
      </c>
      <c r="C1443" s="22" t="s">
        <v>4525</v>
      </c>
      <c r="D1443" s="22" t="n">
        <v>1900</v>
      </c>
      <c r="E1443" s="22" t="s">
        <v>8149</v>
      </c>
      <c r="F1443" s="22" t="s">
        <v>499</v>
      </c>
      <c r="G1443" s="22" t="n">
        <v>24</v>
      </c>
      <c r="H1443" s="22" t="s">
        <v>7696</v>
      </c>
      <c r="I1443" s="22" t="s">
        <v>8601</v>
      </c>
      <c r="J1443" s="22" t="n">
        <v>7.55</v>
      </c>
      <c r="K1443" s="22" t="n">
        <v>1</v>
      </c>
      <c r="L1443" s="22" t="s">
        <v>8602</v>
      </c>
      <c r="M1443" s="23" t="n">
        <v>46224</v>
      </c>
      <c r="N1443" s="22"/>
      <c r="O1443" s="22"/>
      <c r="P1443" s="22" t="s">
        <v>8637</v>
      </c>
      <c r="Q1443" s="22"/>
      <c r="R1443" s="22"/>
    </row>
    <row r="1444" customFormat="false" ht="15" hidden="false" customHeight="false" outlineLevel="0" collapsed="false">
      <c r="A1444" s="22" t="s">
        <v>10420</v>
      </c>
      <c r="B1444" s="23" t="n">
        <v>46218</v>
      </c>
      <c r="C1444" s="22" t="s">
        <v>3577</v>
      </c>
      <c r="D1444" s="22" t="n">
        <v>1436</v>
      </c>
      <c r="E1444" s="22" t="s">
        <v>8571</v>
      </c>
      <c r="F1444" s="22" t="s">
        <v>188</v>
      </c>
      <c r="G1444" s="22" t="n">
        <v>32</v>
      </c>
      <c r="H1444" s="22" t="s">
        <v>7696</v>
      </c>
      <c r="I1444" s="22" t="s">
        <v>8601</v>
      </c>
      <c r="J1444" s="22" t="n">
        <v>7.55</v>
      </c>
      <c r="K1444" s="22" t="n">
        <v>2</v>
      </c>
      <c r="L1444" s="22" t="s">
        <v>8602</v>
      </c>
      <c r="M1444" s="23" t="n">
        <v>46232</v>
      </c>
      <c r="N1444" s="22"/>
      <c r="O1444" s="22"/>
      <c r="P1444" s="22" t="s">
        <v>8637</v>
      </c>
      <c r="Q1444" s="22"/>
      <c r="R1444" s="22"/>
    </row>
    <row r="1445" customFormat="false" ht="15" hidden="false" customHeight="false" outlineLevel="0" collapsed="false">
      <c r="A1445" s="22" t="s">
        <v>10421</v>
      </c>
      <c r="B1445" s="23" t="n">
        <v>46213</v>
      </c>
      <c r="C1445" s="22" t="s">
        <v>4229</v>
      </c>
      <c r="D1445" s="22" t="n">
        <v>1754</v>
      </c>
      <c r="E1445" s="22" t="s">
        <v>8038</v>
      </c>
      <c r="F1445" s="22" t="s">
        <v>499</v>
      </c>
      <c r="G1445" s="22" t="n">
        <v>40</v>
      </c>
      <c r="H1445" s="22" t="s">
        <v>7696</v>
      </c>
      <c r="I1445" s="22" t="s">
        <v>8601</v>
      </c>
      <c r="J1445" s="22" t="n">
        <v>7.55</v>
      </c>
      <c r="K1445" s="22" t="n">
        <v>2</v>
      </c>
      <c r="L1445" s="22" t="s">
        <v>8605</v>
      </c>
      <c r="M1445" s="23" t="n">
        <v>46227</v>
      </c>
      <c r="N1445" s="23" t="n">
        <v>46222</v>
      </c>
      <c r="O1445" s="22" t="n">
        <v>9</v>
      </c>
      <c r="P1445" s="22"/>
      <c r="Q1445" s="22" t="s">
        <v>10327</v>
      </c>
      <c r="R1445" s="22"/>
    </row>
    <row r="1446" customFormat="false" ht="15" hidden="false" customHeight="false" outlineLevel="0" collapsed="false">
      <c r="A1446" s="22" t="s">
        <v>10422</v>
      </c>
      <c r="B1446" s="23" t="n">
        <v>46217</v>
      </c>
      <c r="C1446" s="22" t="s">
        <v>4008</v>
      </c>
      <c r="D1446" s="22" t="n">
        <v>1647</v>
      </c>
      <c r="E1446" s="22" t="s">
        <v>7870</v>
      </c>
      <c r="F1446" s="22" t="s">
        <v>215</v>
      </c>
      <c r="G1446" s="22" t="n">
        <v>24</v>
      </c>
      <c r="H1446" s="22" t="s">
        <v>7696</v>
      </c>
      <c r="I1446" s="22" t="s">
        <v>8601</v>
      </c>
      <c r="J1446" s="22" t="n">
        <v>7.55</v>
      </c>
      <c r="K1446" s="22" t="n">
        <v>2</v>
      </c>
      <c r="L1446" s="22" t="s">
        <v>8605</v>
      </c>
      <c r="M1446" s="23" t="n">
        <v>46231</v>
      </c>
      <c r="N1446" s="23" t="n">
        <v>46231</v>
      </c>
      <c r="O1446" s="22" t="n">
        <v>14</v>
      </c>
      <c r="P1446" s="22"/>
      <c r="Q1446" s="22" t="s">
        <v>10423</v>
      </c>
      <c r="R1446" s="22"/>
    </row>
    <row r="1447" customFormat="false" ht="15" hidden="false" customHeight="false" outlineLevel="0" collapsed="false">
      <c r="A1447" s="22" t="s">
        <v>10424</v>
      </c>
      <c r="B1447" s="23" t="n">
        <v>46214</v>
      </c>
      <c r="C1447" s="22" t="s">
        <v>5094</v>
      </c>
      <c r="D1447" s="22" t="n">
        <v>2178</v>
      </c>
      <c r="E1447" s="22" t="s">
        <v>8586</v>
      </c>
      <c r="F1447" s="22" t="s">
        <v>188</v>
      </c>
      <c r="G1447" s="22" t="n">
        <v>45</v>
      </c>
      <c r="H1447" s="22" t="s">
        <v>7696</v>
      </c>
      <c r="I1447" s="22" t="s">
        <v>8601</v>
      </c>
      <c r="J1447" s="22" t="n">
        <v>7.55</v>
      </c>
      <c r="K1447" s="22" t="n">
        <v>1</v>
      </c>
      <c r="L1447" s="22" t="s">
        <v>8608</v>
      </c>
      <c r="M1447" s="23" t="n">
        <v>46228</v>
      </c>
      <c r="N1447" s="23" t="n">
        <v>46228</v>
      </c>
      <c r="O1447" s="22" t="n">
        <v>14</v>
      </c>
      <c r="P1447" s="22"/>
      <c r="Q1447" s="22"/>
      <c r="R1447" s="22"/>
    </row>
    <row r="1448" customFormat="false" ht="15" hidden="false" customHeight="false" outlineLevel="0" collapsed="false">
      <c r="A1448" s="22" t="s">
        <v>10425</v>
      </c>
      <c r="B1448" s="23" t="n">
        <v>46224</v>
      </c>
      <c r="C1448" s="22" t="s">
        <v>2026</v>
      </c>
      <c r="D1448" s="22" t="n">
        <v>722</v>
      </c>
      <c r="E1448" s="22" t="s">
        <v>7430</v>
      </c>
      <c r="F1448" s="22" t="s">
        <v>159</v>
      </c>
      <c r="G1448" s="22" t="n">
        <v>28</v>
      </c>
      <c r="H1448" s="22" t="s">
        <v>6575</v>
      </c>
      <c r="I1448" s="22" t="s">
        <v>8601</v>
      </c>
      <c r="J1448" s="22" t="n">
        <v>10.4</v>
      </c>
      <c r="K1448" s="22" t="n">
        <v>2</v>
      </c>
      <c r="L1448" s="22" t="s">
        <v>8602</v>
      </c>
      <c r="M1448" s="23" t="n">
        <v>46234</v>
      </c>
      <c r="N1448" s="22"/>
      <c r="O1448" s="22"/>
      <c r="P1448" s="22" t="s">
        <v>8618</v>
      </c>
      <c r="Q1448" s="22"/>
      <c r="R1448" s="22"/>
    </row>
    <row r="1449" customFormat="false" ht="15" hidden="false" customHeight="false" outlineLevel="0" collapsed="false">
      <c r="A1449" s="22" t="s">
        <v>10426</v>
      </c>
      <c r="B1449" s="23" t="n">
        <v>46228</v>
      </c>
      <c r="C1449" s="22" t="s">
        <v>2929</v>
      </c>
      <c r="D1449" s="22" t="n">
        <v>1130</v>
      </c>
      <c r="E1449" s="22" t="s">
        <v>7335</v>
      </c>
      <c r="F1449" s="22" t="s">
        <v>159</v>
      </c>
      <c r="G1449" s="22" t="n">
        <v>32</v>
      </c>
      <c r="H1449" s="22" t="s">
        <v>6575</v>
      </c>
      <c r="I1449" s="22" t="s">
        <v>8601</v>
      </c>
      <c r="J1449" s="22" t="n">
        <v>10.4</v>
      </c>
      <c r="K1449" s="22" t="n">
        <v>2</v>
      </c>
      <c r="L1449" s="22" t="s">
        <v>8605</v>
      </c>
      <c r="M1449" s="23" t="n">
        <v>46238</v>
      </c>
      <c r="N1449" s="23" t="n">
        <v>46230</v>
      </c>
      <c r="O1449" s="22" t="n">
        <v>2</v>
      </c>
      <c r="P1449" s="22"/>
      <c r="Q1449" s="22" t="s">
        <v>10427</v>
      </c>
      <c r="R1449" s="22"/>
    </row>
    <row r="1450" customFormat="false" ht="15" hidden="false" customHeight="false" outlineLevel="0" collapsed="false">
      <c r="A1450" s="22" t="s">
        <v>10428</v>
      </c>
      <c r="B1450" s="23" t="n">
        <v>46210</v>
      </c>
      <c r="C1450" s="22" t="s">
        <v>4477</v>
      </c>
      <c r="D1450" s="22" t="n">
        <v>1876</v>
      </c>
      <c r="E1450" s="22" t="s">
        <v>7405</v>
      </c>
      <c r="F1450" s="22" t="s">
        <v>159</v>
      </c>
      <c r="G1450" s="22" t="n">
        <v>28</v>
      </c>
      <c r="H1450" s="22" t="s">
        <v>6575</v>
      </c>
      <c r="I1450" s="22" t="s">
        <v>8601</v>
      </c>
      <c r="J1450" s="22" t="n">
        <v>10.4</v>
      </c>
      <c r="K1450" s="22" t="n">
        <v>2</v>
      </c>
      <c r="L1450" s="22" t="s">
        <v>8613</v>
      </c>
      <c r="M1450" s="23" t="n">
        <v>46220</v>
      </c>
      <c r="N1450" s="22"/>
      <c r="O1450" s="22"/>
      <c r="P1450" s="22"/>
      <c r="Q1450" s="22"/>
      <c r="R1450" s="22"/>
    </row>
    <row r="1451" customFormat="false" ht="15" hidden="false" customHeight="false" outlineLevel="0" collapsed="false">
      <c r="A1451" s="22" t="s">
        <v>10429</v>
      </c>
      <c r="B1451" s="23" t="n">
        <v>46205</v>
      </c>
      <c r="C1451" s="22" t="s">
        <v>2561</v>
      </c>
      <c r="D1451" s="22" t="n">
        <v>965</v>
      </c>
      <c r="E1451" s="22" t="s">
        <v>8050</v>
      </c>
      <c r="F1451" s="22" t="s">
        <v>499</v>
      </c>
      <c r="G1451" s="22" t="n">
        <v>45</v>
      </c>
      <c r="H1451" s="22" t="s">
        <v>7696</v>
      </c>
      <c r="I1451" s="22" t="s">
        <v>8601</v>
      </c>
      <c r="J1451" s="22" t="n">
        <v>7.55</v>
      </c>
      <c r="K1451" s="22" t="n">
        <v>1</v>
      </c>
      <c r="L1451" s="22" t="s">
        <v>8605</v>
      </c>
      <c r="M1451" s="23" t="n">
        <v>46219</v>
      </c>
      <c r="N1451" s="23" t="n">
        <v>46218</v>
      </c>
      <c r="O1451" s="22" t="n">
        <v>13</v>
      </c>
      <c r="P1451" s="22"/>
      <c r="Q1451" s="22" t="s">
        <v>10430</v>
      </c>
      <c r="R1451" s="22"/>
    </row>
    <row r="1452" customFormat="false" ht="15" hidden="false" customHeight="false" outlineLevel="0" collapsed="false">
      <c r="A1452" s="22" t="s">
        <v>10431</v>
      </c>
      <c r="B1452" s="23" t="n">
        <v>46225</v>
      </c>
      <c r="C1452" s="22" t="s">
        <v>6235</v>
      </c>
      <c r="D1452" s="22" t="n">
        <v>2747</v>
      </c>
      <c r="E1452" s="22" t="s">
        <v>8342</v>
      </c>
      <c r="F1452" s="22" t="s">
        <v>188</v>
      </c>
      <c r="G1452" s="22" t="n">
        <v>50</v>
      </c>
      <c r="H1452" s="22" t="s">
        <v>7696</v>
      </c>
      <c r="I1452" s="22" t="s">
        <v>8601</v>
      </c>
      <c r="J1452" s="22" t="n">
        <v>7.55</v>
      </c>
      <c r="K1452" s="22" t="n">
        <v>1</v>
      </c>
      <c r="L1452" s="22" t="s">
        <v>157</v>
      </c>
      <c r="M1452" s="23" t="n">
        <v>46239</v>
      </c>
      <c r="N1452" s="23" t="n">
        <v>46235</v>
      </c>
      <c r="O1452" s="22" t="n">
        <v>10</v>
      </c>
      <c r="P1452" s="22"/>
      <c r="Q1452" s="22"/>
      <c r="R1452" s="22"/>
    </row>
    <row r="1453" customFormat="false" ht="15" hidden="false" customHeight="false" outlineLevel="0" collapsed="false">
      <c r="A1453" s="22" t="s">
        <v>10432</v>
      </c>
      <c r="B1453" s="23" t="n">
        <v>46208</v>
      </c>
      <c r="C1453" s="22" t="s">
        <v>4853</v>
      </c>
      <c r="D1453" s="22" t="n">
        <v>2059</v>
      </c>
      <c r="E1453" s="22" t="s">
        <v>8097</v>
      </c>
      <c r="F1453" s="22" t="s">
        <v>499</v>
      </c>
      <c r="G1453" s="22" t="n">
        <v>28</v>
      </c>
      <c r="H1453" s="22" t="s">
        <v>7696</v>
      </c>
      <c r="I1453" s="22" t="s">
        <v>8601</v>
      </c>
      <c r="J1453" s="22" t="n">
        <v>7.55</v>
      </c>
      <c r="K1453" s="22" t="n">
        <v>2</v>
      </c>
      <c r="L1453" s="22" t="s">
        <v>8602</v>
      </c>
      <c r="M1453" s="23" t="n">
        <v>46222</v>
      </c>
      <c r="N1453" s="22"/>
      <c r="O1453" s="22"/>
      <c r="P1453" s="22" t="s">
        <v>8618</v>
      </c>
      <c r="Q1453" s="22"/>
      <c r="R1453" s="22"/>
    </row>
    <row r="1454" customFormat="false" ht="15" hidden="false" customHeight="false" outlineLevel="0" collapsed="false">
      <c r="A1454" s="22" t="s">
        <v>10433</v>
      </c>
      <c r="B1454" s="23" t="n">
        <v>46210</v>
      </c>
      <c r="C1454" s="22" t="s">
        <v>285</v>
      </c>
      <c r="D1454" s="22" t="n">
        <v>41</v>
      </c>
      <c r="E1454" s="22" t="s">
        <v>6772</v>
      </c>
      <c r="F1454" s="22" t="s">
        <v>198</v>
      </c>
      <c r="G1454" s="22" t="n">
        <v>32</v>
      </c>
      <c r="H1454" s="22" t="s">
        <v>6575</v>
      </c>
      <c r="I1454" s="22" t="s">
        <v>8601</v>
      </c>
      <c r="J1454" s="22" t="n">
        <v>10.4</v>
      </c>
      <c r="K1454" s="22" t="n">
        <v>2</v>
      </c>
      <c r="L1454" s="22" t="s">
        <v>8629</v>
      </c>
      <c r="M1454" s="23" t="n">
        <v>46220</v>
      </c>
      <c r="N1454" s="23" t="n">
        <v>46213</v>
      </c>
      <c r="O1454" s="22" t="n">
        <v>3</v>
      </c>
      <c r="P1454" s="22"/>
      <c r="Q1454" s="22"/>
      <c r="R1454" s="22"/>
    </row>
    <row r="1455" customFormat="false" ht="15" hidden="false" customHeight="false" outlineLevel="0" collapsed="false">
      <c r="A1455" s="22" t="s">
        <v>10434</v>
      </c>
      <c r="B1455" s="23" t="n">
        <v>46238</v>
      </c>
      <c r="C1455" s="22" t="s">
        <v>6173</v>
      </c>
      <c r="D1455" s="22" t="n">
        <v>2717</v>
      </c>
      <c r="E1455" s="22" t="s">
        <v>7876</v>
      </c>
      <c r="F1455" s="22" t="s">
        <v>215</v>
      </c>
      <c r="G1455" s="22" t="n">
        <v>60</v>
      </c>
      <c r="H1455" s="22" t="s">
        <v>7696</v>
      </c>
      <c r="I1455" s="22" t="s">
        <v>8601</v>
      </c>
      <c r="J1455" s="22" t="n">
        <v>7.55</v>
      </c>
      <c r="K1455" s="22" t="n">
        <v>1</v>
      </c>
      <c r="L1455" s="22" t="s">
        <v>8729</v>
      </c>
      <c r="M1455" s="23" t="n">
        <v>46252</v>
      </c>
      <c r="N1455" s="23" t="n">
        <v>46246</v>
      </c>
      <c r="O1455" s="22" t="n">
        <v>8</v>
      </c>
      <c r="P1455" s="22"/>
      <c r="Q1455" s="22"/>
      <c r="R1455" s="22"/>
    </row>
    <row r="1456" customFormat="false" ht="15" hidden="false" customHeight="false" outlineLevel="0" collapsed="false">
      <c r="A1456" s="22" t="s">
        <v>10435</v>
      </c>
      <c r="B1456" s="23" t="n">
        <v>46239</v>
      </c>
      <c r="C1456" s="22" t="s">
        <v>5593</v>
      </c>
      <c r="D1456" s="22" t="n">
        <v>2427</v>
      </c>
      <c r="E1456" s="22" t="s">
        <v>7989</v>
      </c>
      <c r="F1456" s="22" t="s">
        <v>215</v>
      </c>
      <c r="G1456" s="22" t="n">
        <v>24</v>
      </c>
      <c r="H1456" s="22" t="s">
        <v>7696</v>
      </c>
      <c r="I1456" s="22" t="s">
        <v>8601</v>
      </c>
      <c r="J1456" s="22" t="n">
        <v>7.55</v>
      </c>
      <c r="K1456" s="22" t="n">
        <v>1</v>
      </c>
      <c r="L1456" s="22" t="s">
        <v>8605</v>
      </c>
      <c r="M1456" s="23" t="n">
        <v>46253</v>
      </c>
      <c r="N1456" s="23" t="n">
        <v>46251</v>
      </c>
      <c r="O1456" s="22" t="n">
        <v>12</v>
      </c>
      <c r="P1456" s="22"/>
      <c r="Q1456" s="22" t="s">
        <v>10436</v>
      </c>
      <c r="R1456" s="22"/>
    </row>
    <row r="1457" customFormat="false" ht="15" hidden="false" customHeight="false" outlineLevel="0" collapsed="false">
      <c r="A1457" s="22" t="s">
        <v>10437</v>
      </c>
      <c r="B1457" s="23" t="n">
        <v>46237</v>
      </c>
      <c r="C1457" s="22" t="s">
        <v>350</v>
      </c>
      <c r="D1457" s="22" t="n">
        <v>64</v>
      </c>
      <c r="E1457" s="22" t="s">
        <v>8529</v>
      </c>
      <c r="F1457" s="22" t="s">
        <v>188</v>
      </c>
      <c r="G1457" s="22" t="n">
        <v>28</v>
      </c>
      <c r="H1457" s="22" t="s">
        <v>7696</v>
      </c>
      <c r="I1457" s="22" t="s">
        <v>8601</v>
      </c>
      <c r="J1457" s="22" t="n">
        <v>7.55</v>
      </c>
      <c r="K1457" s="22" t="n">
        <v>2</v>
      </c>
      <c r="L1457" s="22" t="s">
        <v>8602</v>
      </c>
      <c r="M1457" s="23" t="n">
        <v>46251</v>
      </c>
      <c r="N1457" s="22"/>
      <c r="O1457" s="22"/>
      <c r="P1457" s="22" t="s">
        <v>8618</v>
      </c>
      <c r="Q1457" s="22"/>
      <c r="R1457" s="22"/>
    </row>
    <row r="1458" customFormat="false" ht="15" hidden="false" customHeight="false" outlineLevel="0" collapsed="false">
      <c r="A1458" s="22" t="s">
        <v>10438</v>
      </c>
      <c r="B1458" s="23" t="n">
        <v>46236</v>
      </c>
      <c r="C1458" s="22" t="s">
        <v>2880</v>
      </c>
      <c r="D1458" s="22" t="n">
        <v>1108</v>
      </c>
      <c r="E1458" s="22" t="s">
        <v>7334</v>
      </c>
      <c r="F1458" s="22" t="s">
        <v>159</v>
      </c>
      <c r="G1458" s="22" t="n">
        <v>28</v>
      </c>
      <c r="H1458" s="22" t="s">
        <v>6575</v>
      </c>
      <c r="I1458" s="22" t="s">
        <v>8601</v>
      </c>
      <c r="J1458" s="22" t="n">
        <v>10.4</v>
      </c>
      <c r="K1458" s="22" t="n">
        <v>1</v>
      </c>
      <c r="L1458" s="22" t="s">
        <v>8608</v>
      </c>
      <c r="M1458" s="23" t="n">
        <v>46246</v>
      </c>
      <c r="N1458" s="23" t="n">
        <v>46246</v>
      </c>
      <c r="O1458" s="22" t="n">
        <v>10</v>
      </c>
      <c r="P1458" s="22"/>
      <c r="Q1458" s="22"/>
      <c r="R1458" s="22"/>
    </row>
    <row r="1459" customFormat="false" ht="15" hidden="false" customHeight="false" outlineLevel="0" collapsed="false">
      <c r="A1459" s="22" t="s">
        <v>10439</v>
      </c>
      <c r="B1459" s="23" t="n">
        <v>46237</v>
      </c>
      <c r="C1459" s="22" t="s">
        <v>808</v>
      </c>
      <c r="D1459" s="22" t="n">
        <v>226</v>
      </c>
      <c r="E1459" s="22" t="s">
        <v>6745</v>
      </c>
      <c r="F1459" s="22" t="s">
        <v>198</v>
      </c>
      <c r="G1459" s="22" t="n">
        <v>24</v>
      </c>
      <c r="H1459" s="22" t="s">
        <v>6575</v>
      </c>
      <c r="I1459" s="22" t="s">
        <v>8601</v>
      </c>
      <c r="J1459" s="22" t="n">
        <v>10.4</v>
      </c>
      <c r="K1459" s="22" t="n">
        <v>1</v>
      </c>
      <c r="L1459" s="22" t="s">
        <v>8605</v>
      </c>
      <c r="M1459" s="23" t="n">
        <v>46247</v>
      </c>
      <c r="N1459" s="23" t="n">
        <v>46241</v>
      </c>
      <c r="O1459" s="22" t="n">
        <v>4</v>
      </c>
      <c r="P1459" s="22"/>
      <c r="Q1459" s="22" t="s">
        <v>10440</v>
      </c>
      <c r="R1459" s="22"/>
    </row>
    <row r="1460" customFormat="false" ht="15" hidden="false" customHeight="false" outlineLevel="0" collapsed="false">
      <c r="A1460" s="22" t="s">
        <v>10441</v>
      </c>
      <c r="B1460" s="23" t="n">
        <v>46237</v>
      </c>
      <c r="C1460" s="22" t="s">
        <v>6165</v>
      </c>
      <c r="D1460" s="22" t="n">
        <v>2713</v>
      </c>
      <c r="E1460" s="22" t="s">
        <v>8360</v>
      </c>
      <c r="F1460" s="22" t="s">
        <v>188</v>
      </c>
      <c r="G1460" s="22" t="n">
        <v>24</v>
      </c>
      <c r="H1460" s="22" t="s">
        <v>7696</v>
      </c>
      <c r="I1460" s="22" t="s">
        <v>8601</v>
      </c>
      <c r="J1460" s="22" t="n">
        <v>7.55</v>
      </c>
      <c r="K1460" s="22" t="n">
        <v>2</v>
      </c>
      <c r="L1460" s="22" t="s">
        <v>8602</v>
      </c>
      <c r="M1460" s="23" t="n">
        <v>46251</v>
      </c>
      <c r="N1460" s="22"/>
      <c r="O1460" s="22"/>
      <c r="P1460" s="22" t="s">
        <v>8603</v>
      </c>
      <c r="Q1460" s="22"/>
      <c r="R1460" s="22"/>
    </row>
    <row r="1461" customFormat="false" ht="15" hidden="false" customHeight="false" outlineLevel="0" collapsed="false">
      <c r="A1461" s="22" t="s">
        <v>10442</v>
      </c>
      <c r="B1461" s="23" t="n">
        <v>46236</v>
      </c>
      <c r="C1461" s="22" t="s">
        <v>3967</v>
      </c>
      <c r="D1461" s="22" t="n">
        <v>1627</v>
      </c>
      <c r="E1461" s="22" t="s">
        <v>6820</v>
      </c>
      <c r="F1461" s="22" t="s">
        <v>198</v>
      </c>
      <c r="G1461" s="22" t="n">
        <v>24</v>
      </c>
      <c r="H1461" s="22" t="s">
        <v>6575</v>
      </c>
      <c r="I1461" s="22" t="s">
        <v>8601</v>
      </c>
      <c r="J1461" s="22" t="n">
        <v>10.4</v>
      </c>
      <c r="K1461" s="22" t="n">
        <v>1</v>
      </c>
      <c r="L1461" s="22" t="s">
        <v>8629</v>
      </c>
      <c r="M1461" s="23" t="n">
        <v>46246</v>
      </c>
      <c r="N1461" s="23" t="n">
        <v>46240</v>
      </c>
      <c r="O1461" s="22" t="n">
        <v>4</v>
      </c>
      <c r="P1461" s="22"/>
      <c r="Q1461" s="22"/>
      <c r="R1461" s="22"/>
    </row>
    <row r="1462" customFormat="false" ht="15" hidden="false" customHeight="false" outlineLevel="0" collapsed="false">
      <c r="A1462" s="22" t="s">
        <v>10443</v>
      </c>
      <c r="B1462" s="23" t="n">
        <v>46235</v>
      </c>
      <c r="C1462" s="22" t="s">
        <v>3383</v>
      </c>
      <c r="D1462" s="22" t="n">
        <v>1342</v>
      </c>
      <c r="E1462" s="22" t="s">
        <v>7708</v>
      </c>
      <c r="F1462" s="22" t="s">
        <v>215</v>
      </c>
      <c r="G1462" s="22" t="n">
        <v>40</v>
      </c>
      <c r="H1462" s="22" t="s">
        <v>7696</v>
      </c>
      <c r="I1462" s="22" t="s">
        <v>8601</v>
      </c>
      <c r="J1462" s="22" t="n">
        <v>7.55</v>
      </c>
      <c r="K1462" s="22" t="n">
        <v>1</v>
      </c>
      <c r="L1462" s="22" t="s">
        <v>8605</v>
      </c>
      <c r="M1462" s="23" t="n">
        <v>46249</v>
      </c>
      <c r="N1462" s="23" t="n">
        <v>46245</v>
      </c>
      <c r="O1462" s="22" t="n">
        <v>10</v>
      </c>
      <c r="P1462" s="22"/>
      <c r="Q1462" s="22" t="s">
        <v>10444</v>
      </c>
      <c r="R1462" s="22"/>
    </row>
    <row r="1463" customFormat="false" ht="15" hidden="false" customHeight="false" outlineLevel="0" collapsed="false">
      <c r="A1463" s="22" t="s">
        <v>10445</v>
      </c>
      <c r="B1463" s="23" t="n">
        <v>46236</v>
      </c>
      <c r="C1463" s="22" t="s">
        <v>6092</v>
      </c>
      <c r="D1463" s="22" t="n">
        <v>2676</v>
      </c>
      <c r="E1463" s="22" t="s">
        <v>7370</v>
      </c>
      <c r="F1463" s="22" t="s">
        <v>159</v>
      </c>
      <c r="G1463" s="22" t="n">
        <v>28</v>
      </c>
      <c r="H1463" s="22" t="s">
        <v>6575</v>
      </c>
      <c r="I1463" s="22" t="s">
        <v>8601</v>
      </c>
      <c r="J1463" s="22" t="n">
        <v>10.4</v>
      </c>
      <c r="K1463" s="22" t="n">
        <v>1</v>
      </c>
      <c r="L1463" s="22" t="s">
        <v>8605</v>
      </c>
      <c r="M1463" s="23" t="n">
        <v>46246</v>
      </c>
      <c r="N1463" s="23" t="n">
        <v>46237</v>
      </c>
      <c r="O1463" s="22" t="n">
        <v>1</v>
      </c>
      <c r="P1463" s="22"/>
      <c r="Q1463" s="22" t="s">
        <v>10446</v>
      </c>
      <c r="R1463" s="22"/>
    </row>
    <row r="1464" customFormat="false" ht="15" hidden="false" customHeight="false" outlineLevel="0" collapsed="false">
      <c r="A1464" s="22" t="s">
        <v>10447</v>
      </c>
      <c r="B1464" s="23" t="n">
        <v>46237</v>
      </c>
      <c r="C1464" s="22" t="s">
        <v>4747</v>
      </c>
      <c r="D1464" s="22" t="n">
        <v>2007</v>
      </c>
      <c r="E1464" s="22" t="s">
        <v>8355</v>
      </c>
      <c r="F1464" s="22" t="s">
        <v>188</v>
      </c>
      <c r="G1464" s="22" t="n">
        <v>32</v>
      </c>
      <c r="H1464" s="22" t="s">
        <v>7696</v>
      </c>
      <c r="I1464" s="22" t="s">
        <v>8601</v>
      </c>
      <c r="J1464" s="22" t="n">
        <v>7.55</v>
      </c>
      <c r="K1464" s="22" t="n">
        <v>1</v>
      </c>
      <c r="L1464" s="22" t="s">
        <v>8629</v>
      </c>
      <c r="M1464" s="23" t="n">
        <v>46251</v>
      </c>
      <c r="N1464" s="23" t="n">
        <v>46251</v>
      </c>
      <c r="O1464" s="22" t="n">
        <v>14</v>
      </c>
      <c r="P1464" s="22"/>
      <c r="Q1464" s="22"/>
      <c r="R1464" s="22"/>
    </row>
    <row r="1465" customFormat="false" ht="15" hidden="false" customHeight="false" outlineLevel="0" collapsed="false">
      <c r="A1465" s="22" t="s">
        <v>10448</v>
      </c>
      <c r="B1465" s="23" t="n">
        <v>46235</v>
      </c>
      <c r="C1465" s="22" t="s">
        <v>6331</v>
      </c>
      <c r="D1465" s="22" t="n">
        <v>2796</v>
      </c>
      <c r="E1465" s="22" t="s">
        <v>8129</v>
      </c>
      <c r="F1465" s="22" t="s">
        <v>499</v>
      </c>
      <c r="G1465" s="22" t="n">
        <v>45</v>
      </c>
      <c r="H1465" s="22" t="s">
        <v>7696</v>
      </c>
      <c r="I1465" s="22" t="s">
        <v>8601</v>
      </c>
      <c r="J1465" s="22" t="n">
        <v>7.55</v>
      </c>
      <c r="K1465" s="22" t="n">
        <v>1</v>
      </c>
      <c r="L1465" s="22" t="s">
        <v>8602</v>
      </c>
      <c r="M1465" s="23" t="n">
        <v>46249</v>
      </c>
      <c r="N1465" s="22"/>
      <c r="O1465" s="22"/>
      <c r="P1465" s="22" t="s">
        <v>8603</v>
      </c>
      <c r="Q1465" s="22"/>
      <c r="R1465" s="22"/>
    </row>
    <row r="1466" customFormat="false" ht="15" hidden="false" customHeight="false" outlineLevel="0" collapsed="false">
      <c r="A1466" s="22" t="s">
        <v>10449</v>
      </c>
      <c r="B1466" s="23" t="n">
        <v>46239</v>
      </c>
      <c r="C1466" s="22" t="s">
        <v>5556</v>
      </c>
      <c r="D1466" s="22" t="n">
        <v>2409</v>
      </c>
      <c r="E1466" s="22" t="s">
        <v>6840</v>
      </c>
      <c r="F1466" s="22" t="s">
        <v>198</v>
      </c>
      <c r="G1466" s="22" t="n">
        <v>24</v>
      </c>
      <c r="H1466" s="22" t="s">
        <v>6575</v>
      </c>
      <c r="I1466" s="22" t="s">
        <v>8601</v>
      </c>
      <c r="J1466" s="22" t="n">
        <v>10.4</v>
      </c>
      <c r="K1466" s="22" t="n">
        <v>2</v>
      </c>
      <c r="L1466" s="22" t="s">
        <v>8602</v>
      </c>
      <c r="M1466" s="23" t="n">
        <v>46249</v>
      </c>
      <c r="N1466" s="22"/>
      <c r="O1466" s="22"/>
      <c r="P1466" s="22" t="s">
        <v>8603</v>
      </c>
      <c r="Q1466" s="22"/>
      <c r="R1466" s="22"/>
    </row>
    <row r="1467" customFormat="false" ht="15" hidden="false" customHeight="false" outlineLevel="0" collapsed="false">
      <c r="A1467" s="22" t="s">
        <v>10450</v>
      </c>
      <c r="B1467" s="23" t="n">
        <v>46236</v>
      </c>
      <c r="C1467" s="22" t="s">
        <v>6510</v>
      </c>
      <c r="D1467" s="22" t="n">
        <v>2888</v>
      </c>
      <c r="E1467" s="22" t="s">
        <v>7401</v>
      </c>
      <c r="F1467" s="22" t="s">
        <v>159</v>
      </c>
      <c r="G1467" s="22" t="n">
        <v>24</v>
      </c>
      <c r="H1467" s="22" t="s">
        <v>6575</v>
      </c>
      <c r="I1467" s="22" t="s">
        <v>8601</v>
      </c>
      <c r="J1467" s="22" t="n">
        <v>10.4</v>
      </c>
      <c r="K1467" s="22" t="n">
        <v>1</v>
      </c>
      <c r="L1467" s="22" t="s">
        <v>8613</v>
      </c>
      <c r="M1467" s="23" t="n">
        <v>46246</v>
      </c>
      <c r="N1467" s="22"/>
      <c r="O1467" s="22"/>
      <c r="P1467" s="22"/>
      <c r="Q1467" s="22"/>
      <c r="R1467" s="22"/>
    </row>
    <row r="1468" customFormat="false" ht="15" hidden="false" customHeight="false" outlineLevel="0" collapsed="false">
      <c r="A1468" s="22" t="s">
        <v>10451</v>
      </c>
      <c r="B1468" s="23" t="n">
        <v>46236</v>
      </c>
      <c r="C1468" s="22" t="s">
        <v>5150</v>
      </c>
      <c r="D1468" s="22" t="n">
        <v>2206</v>
      </c>
      <c r="E1468" s="22" t="s">
        <v>7944</v>
      </c>
      <c r="F1468" s="22" t="s">
        <v>215</v>
      </c>
      <c r="G1468" s="22" t="n">
        <v>70</v>
      </c>
      <c r="H1468" s="22" t="s">
        <v>7696</v>
      </c>
      <c r="I1468" s="22" t="s">
        <v>8601</v>
      </c>
      <c r="J1468" s="22" t="n">
        <v>7.55</v>
      </c>
      <c r="K1468" s="22" t="n">
        <v>2</v>
      </c>
      <c r="L1468" s="22" t="s">
        <v>8602</v>
      </c>
      <c r="M1468" s="23" t="n">
        <v>46250</v>
      </c>
      <c r="N1468" s="22"/>
      <c r="O1468" s="22"/>
      <c r="P1468" s="22" t="s">
        <v>8631</v>
      </c>
      <c r="Q1468" s="22"/>
      <c r="R1468" s="22"/>
    </row>
    <row r="1469" customFormat="false" ht="15" hidden="false" customHeight="false" outlineLevel="0" collapsed="false">
      <c r="A1469" s="22" t="s">
        <v>10452</v>
      </c>
      <c r="B1469" s="23" t="n">
        <v>46239</v>
      </c>
      <c r="C1469" s="22" t="s">
        <v>6192</v>
      </c>
      <c r="D1469" s="22" t="n">
        <v>2726</v>
      </c>
      <c r="E1469" s="22" t="s">
        <v>7660</v>
      </c>
      <c r="F1469" s="22" t="s">
        <v>159</v>
      </c>
      <c r="G1469" s="22" t="n">
        <v>28</v>
      </c>
      <c r="H1469" s="22" t="s">
        <v>6575</v>
      </c>
      <c r="I1469" s="22" t="s">
        <v>8601</v>
      </c>
      <c r="J1469" s="22" t="n">
        <v>10.4</v>
      </c>
      <c r="K1469" s="22" t="n">
        <v>1</v>
      </c>
      <c r="L1469" s="22" t="s">
        <v>8605</v>
      </c>
      <c r="M1469" s="23" t="n">
        <v>46249</v>
      </c>
      <c r="N1469" s="23" t="n">
        <v>46245</v>
      </c>
      <c r="O1469" s="22" t="n">
        <v>6</v>
      </c>
      <c r="P1469" s="22"/>
      <c r="Q1469" s="22" t="s">
        <v>10347</v>
      </c>
      <c r="R1469" s="22"/>
    </row>
    <row r="1470" customFormat="false" ht="15" hidden="false" customHeight="false" outlineLevel="0" collapsed="false">
      <c r="A1470" s="22" t="s">
        <v>10453</v>
      </c>
      <c r="B1470" s="23" t="n">
        <v>46238</v>
      </c>
      <c r="C1470" s="22" t="s">
        <v>1443</v>
      </c>
      <c r="D1470" s="22" t="n">
        <v>477</v>
      </c>
      <c r="E1470" s="22" t="s">
        <v>8277</v>
      </c>
      <c r="F1470" s="22" t="s">
        <v>499</v>
      </c>
      <c r="G1470" s="22" t="n">
        <v>28</v>
      </c>
      <c r="H1470" s="22" t="s">
        <v>7696</v>
      </c>
      <c r="I1470" s="22" t="s">
        <v>8601</v>
      </c>
      <c r="J1470" s="22" t="n">
        <v>7.55</v>
      </c>
      <c r="K1470" s="22" t="n">
        <v>2</v>
      </c>
      <c r="L1470" s="22" t="s">
        <v>8605</v>
      </c>
      <c r="M1470" s="23" t="n">
        <v>46252</v>
      </c>
      <c r="N1470" s="23" t="n">
        <v>46252</v>
      </c>
      <c r="O1470" s="22" t="n">
        <v>14</v>
      </c>
      <c r="P1470" s="22"/>
      <c r="Q1470" s="22" t="s">
        <v>10363</v>
      </c>
      <c r="R1470" s="22"/>
    </row>
    <row r="1471" customFormat="false" ht="15" hidden="false" customHeight="false" outlineLevel="0" collapsed="false">
      <c r="A1471" s="22" t="s">
        <v>10454</v>
      </c>
      <c r="B1471" s="23" t="n">
        <v>46235</v>
      </c>
      <c r="C1471" s="22" t="s">
        <v>750</v>
      </c>
      <c r="D1471" s="22" t="n">
        <v>205</v>
      </c>
      <c r="E1471" s="22" t="s">
        <v>8444</v>
      </c>
      <c r="F1471" s="22" t="s">
        <v>188</v>
      </c>
      <c r="G1471" s="22" t="n">
        <v>45</v>
      </c>
      <c r="H1471" s="22" t="s">
        <v>7696</v>
      </c>
      <c r="I1471" s="22" t="s">
        <v>8601</v>
      </c>
      <c r="J1471" s="22" t="n">
        <v>7.55</v>
      </c>
      <c r="K1471" s="22" t="n">
        <v>1</v>
      </c>
      <c r="L1471" s="22" t="s">
        <v>8602</v>
      </c>
      <c r="M1471" s="23" t="n">
        <v>46249</v>
      </c>
      <c r="N1471" s="22"/>
      <c r="O1471" s="22"/>
      <c r="P1471" s="22" t="s">
        <v>8631</v>
      </c>
      <c r="Q1471" s="22"/>
      <c r="R1471" s="22"/>
    </row>
    <row r="1472" customFormat="false" ht="15" hidden="false" customHeight="false" outlineLevel="0" collapsed="false">
      <c r="A1472" s="22" t="s">
        <v>10455</v>
      </c>
      <c r="B1472" s="23" t="n">
        <v>46238</v>
      </c>
      <c r="C1472" s="22" t="s">
        <v>5212</v>
      </c>
      <c r="D1472" s="22" t="n">
        <v>2237</v>
      </c>
      <c r="E1472" s="22" t="s">
        <v>7388</v>
      </c>
      <c r="F1472" s="22" t="s">
        <v>159</v>
      </c>
      <c r="G1472" s="22" t="n">
        <v>24</v>
      </c>
      <c r="H1472" s="22" t="s">
        <v>6575</v>
      </c>
      <c r="I1472" s="22" t="s">
        <v>8601</v>
      </c>
      <c r="J1472" s="22" t="n">
        <v>10.4</v>
      </c>
      <c r="K1472" s="22" t="n">
        <v>1</v>
      </c>
      <c r="L1472" s="22" t="s">
        <v>8629</v>
      </c>
      <c r="M1472" s="23" t="n">
        <v>46248</v>
      </c>
      <c r="N1472" s="23" t="n">
        <v>46239</v>
      </c>
      <c r="O1472" s="22" t="n">
        <v>1</v>
      </c>
      <c r="P1472" s="22"/>
      <c r="Q1472" s="22"/>
      <c r="R1472" s="22"/>
    </row>
    <row r="1473" customFormat="false" ht="15" hidden="false" customHeight="false" outlineLevel="0" collapsed="false">
      <c r="A1473" s="22" t="s">
        <v>10456</v>
      </c>
      <c r="B1473" s="23" t="n">
        <v>46236</v>
      </c>
      <c r="C1473" s="22" t="s">
        <v>3042</v>
      </c>
      <c r="D1473" s="22" t="n">
        <v>1181</v>
      </c>
      <c r="E1473" s="22" t="s">
        <v>7816</v>
      </c>
      <c r="F1473" s="22" t="s">
        <v>215</v>
      </c>
      <c r="G1473" s="22" t="n">
        <v>32</v>
      </c>
      <c r="H1473" s="22" t="s">
        <v>7696</v>
      </c>
      <c r="I1473" s="22" t="s">
        <v>8601</v>
      </c>
      <c r="J1473" s="22" t="n">
        <v>7.55</v>
      </c>
      <c r="K1473" s="22" t="n">
        <v>1</v>
      </c>
      <c r="L1473" s="22" t="s">
        <v>8605</v>
      </c>
      <c r="M1473" s="23" t="n">
        <v>46250</v>
      </c>
      <c r="N1473" s="23" t="n">
        <v>46248</v>
      </c>
      <c r="O1473" s="22" t="n">
        <v>12</v>
      </c>
      <c r="P1473" s="22"/>
      <c r="Q1473" s="22" t="s">
        <v>10457</v>
      </c>
      <c r="R1473" s="22"/>
    </row>
    <row r="1474" customFormat="false" ht="15" hidden="false" customHeight="false" outlineLevel="0" collapsed="false">
      <c r="A1474" s="22" t="s">
        <v>10458</v>
      </c>
      <c r="B1474" s="23" t="n">
        <v>46235</v>
      </c>
      <c r="C1474" s="22" t="s">
        <v>189</v>
      </c>
      <c r="D1474" s="22" t="n">
        <v>10</v>
      </c>
      <c r="E1474" s="22" t="s">
        <v>6760</v>
      </c>
      <c r="F1474" s="22" t="s">
        <v>198</v>
      </c>
      <c r="G1474" s="22" t="n">
        <v>32</v>
      </c>
      <c r="H1474" s="22" t="s">
        <v>6575</v>
      </c>
      <c r="I1474" s="22" t="s">
        <v>8601</v>
      </c>
      <c r="J1474" s="22" t="n">
        <v>10.4</v>
      </c>
      <c r="K1474" s="22" t="n">
        <v>1</v>
      </c>
      <c r="L1474" s="22" t="s">
        <v>157</v>
      </c>
      <c r="M1474" s="23" t="n">
        <v>46245</v>
      </c>
      <c r="N1474" s="23" t="n">
        <v>46243</v>
      </c>
      <c r="O1474" s="22" t="n">
        <v>8</v>
      </c>
      <c r="P1474" s="22"/>
      <c r="Q1474" s="22"/>
      <c r="R1474" s="22"/>
    </row>
    <row r="1475" customFormat="false" ht="15" hidden="false" customHeight="false" outlineLevel="0" collapsed="false">
      <c r="A1475" s="22" t="s">
        <v>10459</v>
      </c>
      <c r="B1475" s="23" t="n">
        <v>46235</v>
      </c>
      <c r="C1475" s="22" t="s">
        <v>2181</v>
      </c>
      <c r="D1475" s="22" t="n">
        <v>792</v>
      </c>
      <c r="E1475" s="22" t="s">
        <v>7677</v>
      </c>
      <c r="F1475" s="22" t="s">
        <v>159</v>
      </c>
      <c r="G1475" s="22" t="n">
        <v>36</v>
      </c>
      <c r="H1475" s="22" t="s">
        <v>6575</v>
      </c>
      <c r="I1475" s="22" t="s">
        <v>8601</v>
      </c>
      <c r="J1475" s="22" t="n">
        <v>10.4</v>
      </c>
      <c r="K1475" s="22" t="n">
        <v>1</v>
      </c>
      <c r="L1475" s="22" t="s">
        <v>8729</v>
      </c>
      <c r="M1475" s="23" t="n">
        <v>46245</v>
      </c>
      <c r="N1475" s="23" t="n">
        <v>46237</v>
      </c>
      <c r="O1475" s="22" t="n">
        <v>2</v>
      </c>
      <c r="P1475" s="22"/>
      <c r="Q1475" s="22"/>
      <c r="R1475" s="22"/>
    </row>
    <row r="1476" customFormat="false" ht="15" hidden="false" customHeight="false" outlineLevel="0" collapsed="false">
      <c r="A1476" s="22" t="s">
        <v>10460</v>
      </c>
      <c r="B1476" s="23" t="n">
        <v>46238</v>
      </c>
      <c r="C1476" s="22" t="s">
        <v>5881</v>
      </c>
      <c r="D1476" s="22" t="n">
        <v>2571</v>
      </c>
      <c r="E1476" s="22" t="s">
        <v>7560</v>
      </c>
      <c r="F1476" s="22" t="s">
        <v>159</v>
      </c>
      <c r="G1476" s="22" t="n">
        <v>32</v>
      </c>
      <c r="H1476" s="22" t="s">
        <v>6575</v>
      </c>
      <c r="I1476" s="22" t="s">
        <v>8601</v>
      </c>
      <c r="J1476" s="22" t="n">
        <v>10.4</v>
      </c>
      <c r="K1476" s="22" t="n">
        <v>1</v>
      </c>
      <c r="L1476" s="22" t="s">
        <v>8629</v>
      </c>
      <c r="M1476" s="23" t="n">
        <v>46248</v>
      </c>
      <c r="N1476" s="23" t="n">
        <v>46247</v>
      </c>
      <c r="O1476" s="22" t="n">
        <v>9</v>
      </c>
      <c r="P1476" s="22"/>
      <c r="Q1476" s="22"/>
      <c r="R1476" s="22"/>
    </row>
    <row r="1477" customFormat="false" ht="15" hidden="false" customHeight="false" outlineLevel="0" collapsed="false">
      <c r="A1477" s="22" t="s">
        <v>10461</v>
      </c>
      <c r="B1477" s="23" t="n">
        <v>46235</v>
      </c>
      <c r="C1477" s="22" t="s">
        <v>740</v>
      </c>
      <c r="D1477" s="22" t="n">
        <v>201</v>
      </c>
      <c r="E1477" s="22" t="s">
        <v>7644</v>
      </c>
      <c r="F1477" s="22" t="s">
        <v>159</v>
      </c>
      <c r="G1477" s="22" t="n">
        <v>24</v>
      </c>
      <c r="H1477" s="22" t="s">
        <v>6575</v>
      </c>
      <c r="I1477" s="22" t="s">
        <v>8601</v>
      </c>
      <c r="J1477" s="22" t="n">
        <v>10.4</v>
      </c>
      <c r="K1477" s="22" t="n">
        <v>1</v>
      </c>
      <c r="L1477" s="22" t="s">
        <v>8613</v>
      </c>
      <c r="M1477" s="23" t="n">
        <v>46245</v>
      </c>
      <c r="N1477" s="22"/>
      <c r="O1477" s="22"/>
      <c r="P1477" s="22"/>
      <c r="Q1477" s="22"/>
      <c r="R1477" s="22"/>
    </row>
    <row r="1478" customFormat="false" ht="15" hidden="false" customHeight="false" outlineLevel="0" collapsed="false">
      <c r="A1478" s="22" t="s">
        <v>10462</v>
      </c>
      <c r="B1478" s="23" t="n">
        <v>46235</v>
      </c>
      <c r="C1478" s="22" t="s">
        <v>1208</v>
      </c>
      <c r="D1478" s="22" t="n">
        <v>379</v>
      </c>
      <c r="E1478" s="22" t="s">
        <v>7768</v>
      </c>
      <c r="F1478" s="22" t="s">
        <v>215</v>
      </c>
      <c r="G1478" s="22" t="n">
        <v>24</v>
      </c>
      <c r="H1478" s="22" t="s">
        <v>7696</v>
      </c>
      <c r="I1478" s="22" t="s">
        <v>8601</v>
      </c>
      <c r="J1478" s="22" t="n">
        <v>7.55</v>
      </c>
      <c r="K1478" s="22" t="n">
        <v>1</v>
      </c>
      <c r="L1478" s="22" t="s">
        <v>8602</v>
      </c>
      <c r="M1478" s="23" t="n">
        <v>46249</v>
      </c>
      <c r="N1478" s="22"/>
      <c r="O1478" s="22"/>
      <c r="P1478" s="22" t="s">
        <v>8603</v>
      </c>
      <c r="Q1478" s="22"/>
      <c r="R1478" s="22"/>
    </row>
    <row r="1479" customFormat="false" ht="15" hidden="false" customHeight="false" outlineLevel="0" collapsed="false">
      <c r="A1479" s="22" t="s">
        <v>10463</v>
      </c>
      <c r="B1479" s="23" t="n">
        <v>46237</v>
      </c>
      <c r="C1479" s="22" t="s">
        <v>3659</v>
      </c>
      <c r="D1479" s="22" t="n">
        <v>1475</v>
      </c>
      <c r="E1479" s="22" t="s">
        <v>8310</v>
      </c>
      <c r="F1479" s="22" t="s">
        <v>499</v>
      </c>
      <c r="G1479" s="22" t="n">
        <v>70</v>
      </c>
      <c r="H1479" s="22" t="s">
        <v>7696</v>
      </c>
      <c r="I1479" s="22" t="s">
        <v>8601</v>
      </c>
      <c r="J1479" s="22" t="n">
        <v>7.55</v>
      </c>
      <c r="K1479" s="22" t="n">
        <v>1</v>
      </c>
      <c r="L1479" s="22" t="s">
        <v>8629</v>
      </c>
      <c r="M1479" s="23" t="n">
        <v>46251</v>
      </c>
      <c r="N1479" s="23" t="n">
        <v>46242</v>
      </c>
      <c r="O1479" s="22" t="n">
        <v>5</v>
      </c>
      <c r="P1479" s="22"/>
      <c r="Q1479" s="22"/>
      <c r="R1479" s="22"/>
    </row>
    <row r="1480" customFormat="false" ht="15" hidden="false" customHeight="false" outlineLevel="0" collapsed="false">
      <c r="A1480" s="22" t="s">
        <v>10464</v>
      </c>
      <c r="B1480" s="23" t="n">
        <v>46238</v>
      </c>
      <c r="C1480" s="22" t="s">
        <v>1539</v>
      </c>
      <c r="D1480" s="22" t="n">
        <v>517</v>
      </c>
      <c r="E1480" s="22" t="s">
        <v>8511</v>
      </c>
      <c r="F1480" s="22" t="s">
        <v>188</v>
      </c>
      <c r="G1480" s="22" t="n">
        <v>28</v>
      </c>
      <c r="H1480" s="22" t="s">
        <v>7696</v>
      </c>
      <c r="I1480" s="22" t="s">
        <v>8601</v>
      </c>
      <c r="J1480" s="22" t="n">
        <v>7.55</v>
      </c>
      <c r="K1480" s="22" t="n">
        <v>1</v>
      </c>
      <c r="L1480" s="22" t="s">
        <v>8602</v>
      </c>
      <c r="M1480" s="23" t="n">
        <v>46252</v>
      </c>
      <c r="N1480" s="22"/>
      <c r="O1480" s="22"/>
      <c r="P1480" s="22" t="s">
        <v>8603</v>
      </c>
      <c r="Q1480" s="22"/>
      <c r="R1480" s="22"/>
    </row>
    <row r="1481" customFormat="false" ht="15" hidden="false" customHeight="false" outlineLevel="0" collapsed="false">
      <c r="A1481" s="22" t="s">
        <v>10465</v>
      </c>
      <c r="B1481" s="23" t="n">
        <v>46235</v>
      </c>
      <c r="C1481" s="22" t="s">
        <v>1439</v>
      </c>
      <c r="D1481" s="22" t="n">
        <v>475</v>
      </c>
      <c r="E1481" s="22" t="s">
        <v>8007</v>
      </c>
      <c r="F1481" s="22" t="s">
        <v>215</v>
      </c>
      <c r="G1481" s="22" t="n">
        <v>50</v>
      </c>
      <c r="H1481" s="22" t="s">
        <v>7696</v>
      </c>
      <c r="I1481" s="22" t="s">
        <v>8601</v>
      </c>
      <c r="J1481" s="22" t="n">
        <v>7.55</v>
      </c>
      <c r="K1481" s="22" t="n">
        <v>1</v>
      </c>
      <c r="L1481" s="22" t="s">
        <v>8605</v>
      </c>
      <c r="M1481" s="23" t="n">
        <v>46249</v>
      </c>
      <c r="N1481" s="23" t="n">
        <v>46252</v>
      </c>
      <c r="O1481" s="22" t="n">
        <v>17</v>
      </c>
      <c r="P1481" s="22"/>
      <c r="Q1481" s="22" t="s">
        <v>10466</v>
      </c>
      <c r="R1481" s="22"/>
    </row>
    <row r="1482" customFormat="false" ht="15" hidden="false" customHeight="false" outlineLevel="0" collapsed="false">
      <c r="A1482" s="22" t="s">
        <v>10467</v>
      </c>
      <c r="B1482" s="23" t="n">
        <v>46236</v>
      </c>
      <c r="C1482" s="22" t="s">
        <v>2553</v>
      </c>
      <c r="D1482" s="22" t="n">
        <v>962</v>
      </c>
      <c r="E1482" s="22" t="s">
        <v>8330</v>
      </c>
      <c r="F1482" s="22" t="s">
        <v>499</v>
      </c>
      <c r="G1482" s="22" t="n">
        <v>32</v>
      </c>
      <c r="H1482" s="22" t="s">
        <v>7696</v>
      </c>
      <c r="I1482" s="22" t="s">
        <v>8601</v>
      </c>
      <c r="J1482" s="22" t="n">
        <v>7.55</v>
      </c>
      <c r="K1482" s="22" t="n">
        <v>2</v>
      </c>
      <c r="L1482" s="22" t="s">
        <v>8605</v>
      </c>
      <c r="M1482" s="23" t="n">
        <v>46250</v>
      </c>
      <c r="N1482" s="23" t="n">
        <v>46251</v>
      </c>
      <c r="O1482" s="22" t="n">
        <v>15</v>
      </c>
      <c r="P1482" s="22"/>
      <c r="Q1482" s="22" t="s">
        <v>10468</v>
      </c>
      <c r="R1482" s="22"/>
    </row>
    <row r="1483" customFormat="false" ht="15" hidden="false" customHeight="false" outlineLevel="0" collapsed="false">
      <c r="A1483" s="22" t="s">
        <v>10469</v>
      </c>
      <c r="B1483" s="23" t="n">
        <v>46236</v>
      </c>
      <c r="C1483" s="22" t="s">
        <v>4470</v>
      </c>
      <c r="D1483" s="22" t="n">
        <v>1873</v>
      </c>
      <c r="E1483" s="22" t="s">
        <v>8503</v>
      </c>
      <c r="F1483" s="22" t="s">
        <v>188</v>
      </c>
      <c r="G1483" s="22" t="n">
        <v>36</v>
      </c>
      <c r="H1483" s="22" t="s">
        <v>7696</v>
      </c>
      <c r="I1483" s="22" t="s">
        <v>8601</v>
      </c>
      <c r="J1483" s="22" t="n">
        <v>7.55</v>
      </c>
      <c r="K1483" s="22" t="n">
        <v>1</v>
      </c>
      <c r="L1483" s="22" t="s">
        <v>8605</v>
      </c>
      <c r="M1483" s="23" t="n">
        <v>46250</v>
      </c>
      <c r="N1483" s="23" t="n">
        <v>46241</v>
      </c>
      <c r="O1483" s="22" t="n">
        <v>5</v>
      </c>
      <c r="P1483" s="22"/>
      <c r="Q1483" s="22" t="s">
        <v>10470</v>
      </c>
      <c r="R1483" s="22"/>
    </row>
    <row r="1484" customFormat="false" ht="15" hidden="false" customHeight="false" outlineLevel="0" collapsed="false">
      <c r="A1484" s="22" t="s">
        <v>10471</v>
      </c>
      <c r="B1484" s="23" t="n">
        <v>46235</v>
      </c>
      <c r="C1484" s="22" t="s">
        <v>4036</v>
      </c>
      <c r="D1484" s="22" t="n">
        <v>1661</v>
      </c>
      <c r="E1484" s="22" t="s">
        <v>7684</v>
      </c>
      <c r="F1484" s="22" t="s">
        <v>159</v>
      </c>
      <c r="G1484" s="22" t="n">
        <v>24</v>
      </c>
      <c r="H1484" s="22" t="s">
        <v>6575</v>
      </c>
      <c r="I1484" s="22" t="s">
        <v>8601</v>
      </c>
      <c r="J1484" s="22" t="n">
        <v>10.4</v>
      </c>
      <c r="K1484" s="22" t="n">
        <v>1</v>
      </c>
      <c r="L1484" s="22" t="s">
        <v>8605</v>
      </c>
      <c r="M1484" s="23" t="n">
        <v>46245</v>
      </c>
      <c r="N1484" s="23" t="n">
        <v>46244</v>
      </c>
      <c r="O1484" s="22" t="n">
        <v>9</v>
      </c>
      <c r="P1484" s="22"/>
      <c r="Q1484" s="22" t="s">
        <v>10472</v>
      </c>
      <c r="R1484" s="22"/>
    </row>
    <row r="1485" customFormat="false" ht="15" hidden="false" customHeight="false" outlineLevel="0" collapsed="false">
      <c r="A1485" s="22" t="s">
        <v>10473</v>
      </c>
      <c r="B1485" s="23" t="n">
        <v>46236</v>
      </c>
      <c r="C1485" s="22" t="s">
        <v>4955</v>
      </c>
      <c r="D1485" s="22" t="n">
        <v>2111</v>
      </c>
      <c r="E1485" s="22" t="s">
        <v>8010</v>
      </c>
      <c r="F1485" s="22" t="s">
        <v>215</v>
      </c>
      <c r="G1485" s="22" t="n">
        <v>50</v>
      </c>
      <c r="H1485" s="22" t="s">
        <v>7696</v>
      </c>
      <c r="I1485" s="22" t="s">
        <v>8601</v>
      </c>
      <c r="J1485" s="22" t="n">
        <v>7.55</v>
      </c>
      <c r="K1485" s="22" t="n">
        <v>1</v>
      </c>
      <c r="L1485" s="22" t="s">
        <v>8629</v>
      </c>
      <c r="M1485" s="23" t="n">
        <v>46250</v>
      </c>
      <c r="N1485" s="23" t="n">
        <v>46237</v>
      </c>
      <c r="O1485" s="22" t="n">
        <v>1</v>
      </c>
      <c r="P1485" s="22"/>
      <c r="Q1485" s="22"/>
      <c r="R1485" s="22"/>
    </row>
    <row r="1486" customFormat="false" ht="15" hidden="false" customHeight="false" outlineLevel="0" collapsed="false">
      <c r="A1486" s="22" t="s">
        <v>10474</v>
      </c>
      <c r="B1486" s="23" t="n">
        <v>46237</v>
      </c>
      <c r="C1486" s="22" t="s">
        <v>595</v>
      </c>
      <c r="D1486" s="22" t="n">
        <v>148</v>
      </c>
      <c r="E1486" s="22" t="s">
        <v>8573</v>
      </c>
      <c r="F1486" s="22" t="s">
        <v>188</v>
      </c>
      <c r="G1486" s="22" t="n">
        <v>32</v>
      </c>
      <c r="H1486" s="22" t="s">
        <v>7696</v>
      </c>
      <c r="I1486" s="22" t="s">
        <v>8601</v>
      </c>
      <c r="J1486" s="22" t="n">
        <v>7.55</v>
      </c>
      <c r="K1486" s="22" t="n">
        <v>1</v>
      </c>
      <c r="L1486" s="22" t="s">
        <v>8605</v>
      </c>
      <c r="M1486" s="23" t="n">
        <v>46251</v>
      </c>
      <c r="N1486" s="23" t="n">
        <v>46253</v>
      </c>
      <c r="O1486" s="22" t="n">
        <v>16</v>
      </c>
      <c r="P1486" s="22"/>
      <c r="Q1486" s="22" t="s">
        <v>10475</v>
      </c>
      <c r="R1486" s="22"/>
    </row>
    <row r="1487" customFormat="false" ht="15" hidden="false" customHeight="false" outlineLevel="0" collapsed="false">
      <c r="A1487" s="22" t="s">
        <v>10476</v>
      </c>
      <c r="B1487" s="23" t="n">
        <v>46238</v>
      </c>
      <c r="C1487" s="22" t="s">
        <v>420</v>
      </c>
      <c r="D1487" s="22" t="n">
        <v>88</v>
      </c>
      <c r="E1487" s="22" t="s">
        <v>7260</v>
      </c>
      <c r="F1487" s="22" t="s">
        <v>198</v>
      </c>
      <c r="G1487" s="22" t="n">
        <v>24</v>
      </c>
      <c r="H1487" s="22" t="s">
        <v>6575</v>
      </c>
      <c r="I1487" s="22" t="s">
        <v>8601</v>
      </c>
      <c r="J1487" s="22" t="n">
        <v>10.4</v>
      </c>
      <c r="K1487" s="22" t="n">
        <v>1</v>
      </c>
      <c r="L1487" s="22" t="s">
        <v>8605</v>
      </c>
      <c r="M1487" s="23" t="n">
        <v>46248</v>
      </c>
      <c r="N1487" s="23" t="n">
        <v>46247</v>
      </c>
      <c r="O1487" s="22" t="n">
        <v>9</v>
      </c>
      <c r="P1487" s="22"/>
      <c r="Q1487" s="22" t="s">
        <v>10477</v>
      </c>
      <c r="R1487" s="22"/>
    </row>
  </sheetData>
  <autoFilter ref="A1:R1487"/>
  <printOptions headings="false" gridLines="false" gridLinesSet="true" horizontalCentered="false" verticalCentered="false"/>
  <pageMargins left="0.25" right="0.25" top="0.45" bottom="0.45" header="0.511811023622047" footer="0.2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&amp;C&amp;7 Page &amp;P of &amp;N&amp;R&amp;7 Chaldale Harbor District | 2026-08-07</oddFooter>
  </headerFooter>
  <drawing r:id="rId1"/>
  <tableParts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P41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customHeight="true" zeroHeight="false" outlineLevelRow="0" outlineLevelCol="0"/>
  <cols>
    <col collapsed="false" customWidth="true" hidden="false" outlineLevel="0" max="2" min="1" style="0" width="17"/>
    <col collapsed="false" customWidth="true" hidden="false" outlineLevel="0" max="3" min="3" style="0" width="12"/>
    <col collapsed="false" customWidth="true" hidden="false" outlineLevel="0" max="4" min="4" style="0" width="14"/>
    <col collapsed="false" customWidth="true" hidden="false" outlineLevel="0" max="6" min="6" style="0" width="13"/>
    <col collapsed="false" customWidth="true" hidden="false" outlineLevel="0" max="9" min="9" style="0" width="22"/>
    <col collapsed="false" customWidth="true" hidden="false" outlineLevel="0" max="16" min="16" style="0" width="42"/>
  </cols>
  <sheetData>
    <row r="1" customFormat="false" ht="30" hidden="false" customHeight="true" outlineLevel="0" collapsed="false">
      <c r="A1" s="13" t="s">
        <v>10478</v>
      </c>
      <c r="B1" s="13" t="s">
        <v>8589</v>
      </c>
      <c r="C1" s="13" t="s">
        <v>10479</v>
      </c>
      <c r="D1" s="13" t="s">
        <v>149</v>
      </c>
      <c r="E1" s="13" t="s">
        <v>8591</v>
      </c>
      <c r="F1" s="13" t="s">
        <v>6556</v>
      </c>
      <c r="G1" s="13" t="s">
        <v>6557</v>
      </c>
      <c r="H1" s="13" t="s">
        <v>6560</v>
      </c>
      <c r="I1" s="13" t="s">
        <v>10480</v>
      </c>
      <c r="J1" s="13" t="s">
        <v>10481</v>
      </c>
      <c r="K1" s="13" t="s">
        <v>10482</v>
      </c>
      <c r="L1" s="13" t="s">
        <v>10483</v>
      </c>
      <c r="M1" s="13" t="s">
        <v>10484</v>
      </c>
      <c r="N1" s="13" t="s">
        <v>10485</v>
      </c>
      <c r="O1" s="13" t="s">
        <v>10486</v>
      </c>
      <c r="P1" s="13" t="s">
        <v>6571</v>
      </c>
    </row>
    <row r="2" customFormat="false" ht="15" hidden="false" customHeight="false" outlineLevel="0" collapsed="false">
      <c r="A2" s="22" t="s">
        <v>10487</v>
      </c>
      <c r="B2" s="22" t="s">
        <v>8600</v>
      </c>
      <c r="C2" s="23" t="n">
        <v>44582</v>
      </c>
      <c r="D2" s="22" t="s">
        <v>2941</v>
      </c>
      <c r="E2" s="22" t="n">
        <v>1136</v>
      </c>
      <c r="F2" s="22" t="s">
        <v>8223</v>
      </c>
      <c r="G2" s="22" t="s">
        <v>499</v>
      </c>
      <c r="H2" s="22" t="n">
        <v>80</v>
      </c>
      <c r="I2" s="22" t="s">
        <v>8603</v>
      </c>
      <c r="J2" s="22" t="s">
        <v>10488</v>
      </c>
      <c r="K2" s="22" t="s">
        <v>10489</v>
      </c>
      <c r="L2" s="22" t="s">
        <v>10490</v>
      </c>
      <c r="M2" s="22" t="s">
        <v>10491</v>
      </c>
      <c r="N2" s="23" t="n">
        <v>44584</v>
      </c>
      <c r="O2" s="22" t="s">
        <v>10492</v>
      </c>
      <c r="P2" s="22"/>
    </row>
    <row r="3" customFormat="false" ht="15" hidden="false" customHeight="false" outlineLevel="0" collapsed="false">
      <c r="A3" s="22" t="s">
        <v>10493</v>
      </c>
      <c r="B3" s="22" t="s">
        <v>8617</v>
      </c>
      <c r="C3" s="23" t="n">
        <v>44582</v>
      </c>
      <c r="D3" s="22" t="s">
        <v>168</v>
      </c>
      <c r="E3" s="22" t="n">
        <v>4</v>
      </c>
      <c r="F3" s="22" t="s">
        <v>8145</v>
      </c>
      <c r="G3" s="22" t="s">
        <v>499</v>
      </c>
      <c r="H3" s="22" t="n">
        <v>32</v>
      </c>
      <c r="I3" s="22" t="s">
        <v>8618</v>
      </c>
      <c r="J3" s="22" t="s">
        <v>10494</v>
      </c>
      <c r="K3" s="22" t="s">
        <v>10489</v>
      </c>
      <c r="L3" s="22" t="s">
        <v>10495</v>
      </c>
      <c r="M3" s="22" t="s">
        <v>10496</v>
      </c>
      <c r="N3" s="23" t="n">
        <v>44587</v>
      </c>
      <c r="O3" s="22" t="s">
        <v>10492</v>
      </c>
      <c r="P3" s="22"/>
    </row>
    <row r="4" customFormat="false" ht="15" hidden="false" customHeight="false" outlineLevel="0" collapsed="false">
      <c r="A4" s="22" t="s">
        <v>10497</v>
      </c>
      <c r="B4" s="22" t="s">
        <v>8630</v>
      </c>
      <c r="C4" s="23" t="n">
        <v>44575</v>
      </c>
      <c r="D4" s="22" t="s">
        <v>1165</v>
      </c>
      <c r="E4" s="22" t="n">
        <v>364</v>
      </c>
      <c r="F4" s="22" t="s">
        <v>8266</v>
      </c>
      <c r="G4" s="22" t="s">
        <v>499</v>
      </c>
      <c r="H4" s="22" t="n">
        <v>45</v>
      </c>
      <c r="I4" s="22" t="s">
        <v>8631</v>
      </c>
      <c r="J4" s="22" t="s">
        <v>10498</v>
      </c>
      <c r="K4" s="22" t="s">
        <v>10489</v>
      </c>
      <c r="L4" s="22" t="s">
        <v>10490</v>
      </c>
      <c r="M4" s="22" t="s">
        <v>10491</v>
      </c>
      <c r="N4" s="23" t="n">
        <v>44580</v>
      </c>
      <c r="O4" s="22" t="s">
        <v>10492</v>
      </c>
      <c r="P4" s="22"/>
    </row>
    <row r="5" customFormat="false" ht="15" hidden="false" customHeight="false" outlineLevel="0" collapsed="false">
      <c r="A5" s="22" t="s">
        <v>10499</v>
      </c>
      <c r="B5" s="22" t="s">
        <v>8632</v>
      </c>
      <c r="C5" s="23" t="n">
        <v>44578</v>
      </c>
      <c r="D5" s="22" t="s">
        <v>1972</v>
      </c>
      <c r="E5" s="22" t="n">
        <v>700</v>
      </c>
      <c r="F5" s="22" t="s">
        <v>7234</v>
      </c>
      <c r="G5" s="22" t="s">
        <v>198</v>
      </c>
      <c r="H5" s="22" t="n">
        <v>32</v>
      </c>
      <c r="I5" s="22" t="s">
        <v>8603</v>
      </c>
      <c r="J5" s="22" t="s">
        <v>10488</v>
      </c>
      <c r="K5" s="22" t="s">
        <v>10489</v>
      </c>
      <c r="L5" s="22" t="s">
        <v>10500</v>
      </c>
      <c r="M5" s="22" t="s">
        <v>10501</v>
      </c>
      <c r="N5" s="23" t="n">
        <v>44578</v>
      </c>
      <c r="O5" s="22" t="s">
        <v>10492</v>
      </c>
      <c r="P5" s="22"/>
    </row>
    <row r="6" customFormat="false" ht="15" hidden="false" customHeight="false" outlineLevel="0" collapsed="false">
      <c r="A6" s="22" t="s">
        <v>10502</v>
      </c>
      <c r="B6" s="22" t="s">
        <v>8636</v>
      </c>
      <c r="C6" s="23" t="n">
        <v>44585</v>
      </c>
      <c r="D6" s="22" t="s">
        <v>1256</v>
      </c>
      <c r="E6" s="22" t="n">
        <v>399</v>
      </c>
      <c r="F6" s="22" t="s">
        <v>6776</v>
      </c>
      <c r="G6" s="22" t="s">
        <v>198</v>
      </c>
      <c r="H6" s="22" t="n">
        <v>24</v>
      </c>
      <c r="I6" s="22" t="s">
        <v>8637</v>
      </c>
      <c r="J6" s="22" t="s">
        <v>10503</v>
      </c>
      <c r="K6" s="22" t="s">
        <v>10489</v>
      </c>
      <c r="L6" s="22" t="s">
        <v>10500</v>
      </c>
      <c r="M6" s="22" t="s">
        <v>10504</v>
      </c>
      <c r="N6" s="23" t="n">
        <v>44587</v>
      </c>
      <c r="O6" s="22" t="s">
        <v>10492</v>
      </c>
      <c r="P6" s="22"/>
    </row>
    <row r="7" customFormat="false" ht="15" hidden="false" customHeight="false" outlineLevel="0" collapsed="false">
      <c r="A7" s="22" t="s">
        <v>10505</v>
      </c>
      <c r="B7" s="22" t="s">
        <v>8640</v>
      </c>
      <c r="C7" s="23" t="n">
        <v>44614</v>
      </c>
      <c r="D7" s="22" t="s">
        <v>6437</v>
      </c>
      <c r="E7" s="22" t="n">
        <v>2852</v>
      </c>
      <c r="F7" s="22" t="s">
        <v>7786</v>
      </c>
      <c r="G7" s="22" t="s">
        <v>215</v>
      </c>
      <c r="H7" s="22" t="n">
        <v>50</v>
      </c>
      <c r="I7" s="22" t="s">
        <v>8631</v>
      </c>
      <c r="J7" s="22" t="s">
        <v>10498</v>
      </c>
      <c r="K7" s="22" t="s">
        <v>10489</v>
      </c>
      <c r="L7" s="22" t="s">
        <v>10495</v>
      </c>
      <c r="M7" s="22" t="s">
        <v>10506</v>
      </c>
      <c r="N7" s="23" t="n">
        <v>44615</v>
      </c>
      <c r="O7" s="22" t="s">
        <v>10492</v>
      </c>
      <c r="P7" s="22"/>
    </row>
    <row r="8" customFormat="false" ht="15" hidden="false" customHeight="false" outlineLevel="0" collapsed="false">
      <c r="A8" s="22" t="s">
        <v>10507</v>
      </c>
      <c r="B8" s="22" t="s">
        <v>8641</v>
      </c>
      <c r="C8" s="23" t="n">
        <v>44605</v>
      </c>
      <c r="D8" s="22" t="s">
        <v>5430</v>
      </c>
      <c r="E8" s="22" t="n">
        <v>2346</v>
      </c>
      <c r="F8" s="22" t="s">
        <v>8140</v>
      </c>
      <c r="G8" s="22" t="s">
        <v>499</v>
      </c>
      <c r="H8" s="22" t="n">
        <v>28</v>
      </c>
      <c r="I8" s="22" t="s">
        <v>8603</v>
      </c>
      <c r="J8" s="22" t="s">
        <v>10488</v>
      </c>
      <c r="K8" s="22" t="s">
        <v>10489</v>
      </c>
      <c r="L8" s="22" t="s">
        <v>10508</v>
      </c>
      <c r="M8" s="22" t="s">
        <v>10506</v>
      </c>
      <c r="N8" s="23" t="n">
        <v>44607</v>
      </c>
      <c r="O8" s="22" t="s">
        <v>10492</v>
      </c>
      <c r="P8" s="22"/>
    </row>
    <row r="9" customFormat="false" ht="15" hidden="false" customHeight="false" outlineLevel="0" collapsed="false">
      <c r="A9" s="22" t="s">
        <v>10509</v>
      </c>
      <c r="B9" s="22" t="s">
        <v>8648</v>
      </c>
      <c r="C9" s="23" t="n">
        <v>44596</v>
      </c>
      <c r="D9" s="22" t="s">
        <v>5897</v>
      </c>
      <c r="E9" s="22" t="n">
        <v>2579</v>
      </c>
      <c r="F9" s="22" t="s">
        <v>8325</v>
      </c>
      <c r="G9" s="22" t="s">
        <v>499</v>
      </c>
      <c r="H9" s="22" t="n">
        <v>80</v>
      </c>
      <c r="I9" s="22" t="s">
        <v>8603</v>
      </c>
      <c r="J9" s="22" t="s">
        <v>10488</v>
      </c>
      <c r="K9" s="22" t="s">
        <v>10489</v>
      </c>
      <c r="L9" s="22" t="s">
        <v>10500</v>
      </c>
      <c r="M9" s="22" t="s">
        <v>10506</v>
      </c>
      <c r="N9" s="23" t="n">
        <v>44600</v>
      </c>
      <c r="O9" s="22" t="s">
        <v>10492</v>
      </c>
      <c r="P9" s="22"/>
    </row>
    <row r="10" customFormat="false" ht="15" hidden="false" customHeight="false" outlineLevel="0" collapsed="false">
      <c r="A10" s="22" t="s">
        <v>10510</v>
      </c>
      <c r="B10" s="22" t="s">
        <v>8650</v>
      </c>
      <c r="C10" s="23" t="n">
        <v>44609</v>
      </c>
      <c r="D10" s="22" t="s">
        <v>3134</v>
      </c>
      <c r="E10" s="22" t="n">
        <v>1224</v>
      </c>
      <c r="F10" s="22" t="s">
        <v>6639</v>
      </c>
      <c r="G10" s="22" t="s">
        <v>198</v>
      </c>
      <c r="H10" s="22" t="n">
        <v>32</v>
      </c>
      <c r="I10" s="22" t="s">
        <v>8637</v>
      </c>
      <c r="J10" s="22" t="s">
        <v>10503</v>
      </c>
      <c r="K10" s="22" t="s">
        <v>10489</v>
      </c>
      <c r="L10" s="22" t="s">
        <v>10508</v>
      </c>
      <c r="M10" s="22" t="s">
        <v>10511</v>
      </c>
      <c r="N10" s="23" t="n">
        <v>44610</v>
      </c>
      <c r="O10" s="22" t="s">
        <v>10492</v>
      </c>
      <c r="P10" s="22"/>
    </row>
    <row r="11" customFormat="false" ht="15" hidden="false" customHeight="false" outlineLevel="0" collapsed="false">
      <c r="A11" s="22" t="s">
        <v>10512</v>
      </c>
      <c r="B11" s="22" t="s">
        <v>8652</v>
      </c>
      <c r="C11" s="23" t="n">
        <v>44620</v>
      </c>
      <c r="D11" s="22" t="s">
        <v>2781</v>
      </c>
      <c r="E11" s="22" t="n">
        <v>1063</v>
      </c>
      <c r="F11" s="22" t="s">
        <v>7370</v>
      </c>
      <c r="G11" s="22" t="s">
        <v>159</v>
      </c>
      <c r="H11" s="22" t="n">
        <v>28</v>
      </c>
      <c r="I11" s="22" t="s">
        <v>8631</v>
      </c>
      <c r="J11" s="22" t="s">
        <v>10498</v>
      </c>
      <c r="K11" s="22" t="s">
        <v>10489</v>
      </c>
      <c r="L11" s="22" t="s">
        <v>10490</v>
      </c>
      <c r="M11" s="22" t="s">
        <v>10513</v>
      </c>
      <c r="N11" s="23" t="n">
        <v>44621</v>
      </c>
      <c r="O11" s="22" t="s">
        <v>10492</v>
      </c>
      <c r="P11" s="22"/>
    </row>
    <row r="12" customFormat="false" ht="15" hidden="false" customHeight="false" outlineLevel="0" collapsed="false">
      <c r="A12" s="22" t="s">
        <v>10514</v>
      </c>
      <c r="B12" s="22" t="s">
        <v>8654</v>
      </c>
      <c r="C12" s="23" t="n">
        <v>44640</v>
      </c>
      <c r="D12" s="22" t="s">
        <v>571</v>
      </c>
      <c r="E12" s="22" t="n">
        <v>140</v>
      </c>
      <c r="F12" s="22" t="s">
        <v>8466</v>
      </c>
      <c r="G12" s="22" t="s">
        <v>188</v>
      </c>
      <c r="H12" s="22" t="n">
        <v>32</v>
      </c>
      <c r="I12" s="22" t="s">
        <v>8637</v>
      </c>
      <c r="J12" s="22" t="s">
        <v>10503</v>
      </c>
      <c r="K12" s="22" t="s">
        <v>10489</v>
      </c>
      <c r="L12" s="22" t="s">
        <v>10500</v>
      </c>
      <c r="M12" s="22" t="s">
        <v>10506</v>
      </c>
      <c r="N12" s="23" t="n">
        <v>44643</v>
      </c>
      <c r="O12" s="22" t="s">
        <v>10492</v>
      </c>
      <c r="P12" s="22"/>
    </row>
    <row r="13" customFormat="false" ht="15" hidden="false" customHeight="false" outlineLevel="0" collapsed="false">
      <c r="A13" s="22" t="s">
        <v>10515</v>
      </c>
      <c r="B13" s="22" t="s">
        <v>8657</v>
      </c>
      <c r="C13" s="23" t="n">
        <v>44634</v>
      </c>
      <c r="D13" s="22" t="s">
        <v>2479</v>
      </c>
      <c r="E13" s="22" t="n">
        <v>929</v>
      </c>
      <c r="F13" s="22" t="s">
        <v>7724</v>
      </c>
      <c r="G13" s="22" t="s">
        <v>215</v>
      </c>
      <c r="H13" s="22" t="n">
        <v>32</v>
      </c>
      <c r="I13" s="22" t="s">
        <v>8618</v>
      </c>
      <c r="J13" s="22" t="s">
        <v>10494</v>
      </c>
      <c r="K13" s="22" t="s">
        <v>10489</v>
      </c>
      <c r="L13" s="22" t="s">
        <v>10508</v>
      </c>
      <c r="M13" s="22" t="s">
        <v>10516</v>
      </c>
      <c r="N13" s="23" t="n">
        <v>44637</v>
      </c>
      <c r="O13" s="22" t="s">
        <v>10492</v>
      </c>
      <c r="P13" s="22"/>
    </row>
    <row r="14" customFormat="false" ht="15" hidden="false" customHeight="false" outlineLevel="0" collapsed="false">
      <c r="A14" s="22" t="s">
        <v>10517</v>
      </c>
      <c r="B14" s="22" t="s">
        <v>8658</v>
      </c>
      <c r="C14" s="23" t="n">
        <v>44637</v>
      </c>
      <c r="D14" s="22" t="s">
        <v>2285</v>
      </c>
      <c r="E14" s="22" t="n">
        <v>839</v>
      </c>
      <c r="F14" s="22" t="s">
        <v>7957</v>
      </c>
      <c r="G14" s="22" t="s">
        <v>215</v>
      </c>
      <c r="H14" s="22" t="n">
        <v>24</v>
      </c>
      <c r="I14" s="22" t="s">
        <v>8637</v>
      </c>
      <c r="J14" s="22" t="s">
        <v>10503</v>
      </c>
      <c r="K14" s="22" t="s">
        <v>10518</v>
      </c>
      <c r="L14" s="22" t="s">
        <v>10508</v>
      </c>
      <c r="M14" s="22" t="s">
        <v>10513</v>
      </c>
      <c r="N14" s="23" t="n">
        <v>44641</v>
      </c>
      <c r="O14" s="22" t="s">
        <v>10492</v>
      </c>
      <c r="P14" s="22"/>
    </row>
    <row r="15" customFormat="false" ht="15" hidden="false" customHeight="false" outlineLevel="0" collapsed="false">
      <c r="A15" s="22" t="s">
        <v>10519</v>
      </c>
      <c r="B15" s="22" t="s">
        <v>8660</v>
      </c>
      <c r="C15" s="23" t="n">
        <v>44628</v>
      </c>
      <c r="D15" s="22" t="s">
        <v>4046</v>
      </c>
      <c r="E15" s="22" t="n">
        <v>1665</v>
      </c>
      <c r="F15" s="22" t="s">
        <v>7076</v>
      </c>
      <c r="G15" s="22" t="s">
        <v>198</v>
      </c>
      <c r="H15" s="22" t="n">
        <v>36</v>
      </c>
      <c r="I15" s="22" t="s">
        <v>8618</v>
      </c>
      <c r="J15" s="22" t="s">
        <v>10494</v>
      </c>
      <c r="K15" s="22" t="s">
        <v>10518</v>
      </c>
      <c r="L15" s="22" t="s">
        <v>10500</v>
      </c>
      <c r="M15" s="22" t="s">
        <v>10511</v>
      </c>
      <c r="N15" s="23" t="n">
        <v>44629</v>
      </c>
      <c r="O15" s="22" t="s">
        <v>10492</v>
      </c>
      <c r="P15" s="22"/>
    </row>
    <row r="16" customFormat="false" ht="15" hidden="false" customHeight="false" outlineLevel="0" collapsed="false">
      <c r="A16" s="22" t="s">
        <v>10520</v>
      </c>
      <c r="B16" s="22" t="s">
        <v>8661</v>
      </c>
      <c r="C16" s="23" t="n">
        <v>44643</v>
      </c>
      <c r="D16" s="22" t="s">
        <v>4258</v>
      </c>
      <c r="E16" s="22" t="n">
        <v>1769</v>
      </c>
      <c r="F16" s="22" t="s">
        <v>6866</v>
      </c>
      <c r="G16" s="22" t="s">
        <v>198</v>
      </c>
      <c r="H16" s="22" t="n">
        <v>24</v>
      </c>
      <c r="I16" s="22" t="s">
        <v>8637</v>
      </c>
      <c r="J16" s="22" t="s">
        <v>10503</v>
      </c>
      <c r="K16" s="22" t="s">
        <v>10489</v>
      </c>
      <c r="L16" s="22" t="s">
        <v>10500</v>
      </c>
      <c r="M16" s="22" t="s">
        <v>10491</v>
      </c>
      <c r="N16" s="23" t="n">
        <v>44643</v>
      </c>
      <c r="O16" s="22" t="s">
        <v>10492</v>
      </c>
      <c r="P16" s="22"/>
    </row>
    <row r="17" customFormat="false" ht="15" hidden="false" customHeight="false" outlineLevel="0" collapsed="false">
      <c r="A17" s="22" t="s">
        <v>10521</v>
      </c>
      <c r="B17" s="22" t="s">
        <v>8666</v>
      </c>
      <c r="C17" s="23" t="n">
        <v>44645</v>
      </c>
      <c r="D17" s="22" t="s">
        <v>1838</v>
      </c>
      <c r="E17" s="22" t="n">
        <v>642</v>
      </c>
      <c r="F17" s="22" t="s">
        <v>8019</v>
      </c>
      <c r="G17" s="22" t="s">
        <v>215</v>
      </c>
      <c r="H17" s="22" t="n">
        <v>40</v>
      </c>
      <c r="I17" s="22" t="s">
        <v>8631</v>
      </c>
      <c r="J17" s="22" t="s">
        <v>10498</v>
      </c>
      <c r="K17" s="22" t="s">
        <v>10489</v>
      </c>
      <c r="L17" s="22" t="s">
        <v>10490</v>
      </c>
      <c r="M17" s="22" t="s">
        <v>10491</v>
      </c>
      <c r="N17" s="23" t="n">
        <v>44650</v>
      </c>
      <c r="O17" s="22" t="s">
        <v>10492</v>
      </c>
      <c r="P17" s="22"/>
    </row>
    <row r="18" customFormat="false" ht="15" hidden="false" customHeight="false" outlineLevel="0" collapsed="false">
      <c r="A18" s="22" t="s">
        <v>10522</v>
      </c>
      <c r="B18" s="22" t="s">
        <v>8669</v>
      </c>
      <c r="C18" s="23" t="n">
        <v>44634</v>
      </c>
      <c r="D18" s="22" t="s">
        <v>3963</v>
      </c>
      <c r="E18" s="22" t="n">
        <v>1625</v>
      </c>
      <c r="F18" s="22" t="s">
        <v>8543</v>
      </c>
      <c r="G18" s="22" t="s">
        <v>188</v>
      </c>
      <c r="H18" s="22" t="n">
        <v>24</v>
      </c>
      <c r="I18" s="22" t="s">
        <v>8637</v>
      </c>
      <c r="J18" s="22" t="s">
        <v>10503</v>
      </c>
      <c r="K18" s="22" t="s">
        <v>10489</v>
      </c>
      <c r="L18" s="22" t="s">
        <v>10508</v>
      </c>
      <c r="M18" s="22" t="s">
        <v>10501</v>
      </c>
      <c r="N18" s="23" t="n">
        <v>44634</v>
      </c>
      <c r="O18" s="22" t="s">
        <v>10492</v>
      </c>
      <c r="P18" s="22"/>
    </row>
    <row r="19" customFormat="false" ht="15" hidden="false" customHeight="false" outlineLevel="0" collapsed="false">
      <c r="A19" s="22" t="s">
        <v>10523</v>
      </c>
      <c r="B19" s="22" t="s">
        <v>8672</v>
      </c>
      <c r="C19" s="23" t="n">
        <v>44646</v>
      </c>
      <c r="D19" s="22" t="s">
        <v>6435</v>
      </c>
      <c r="E19" s="22" t="n">
        <v>2851</v>
      </c>
      <c r="F19" s="22" t="s">
        <v>6615</v>
      </c>
      <c r="G19" s="22" t="s">
        <v>198</v>
      </c>
      <c r="H19" s="22" t="n">
        <v>36</v>
      </c>
      <c r="I19" s="22" t="s">
        <v>8618</v>
      </c>
      <c r="J19" s="22" t="s">
        <v>10494</v>
      </c>
      <c r="K19" s="22" t="s">
        <v>10489</v>
      </c>
      <c r="L19" s="22" t="s">
        <v>10495</v>
      </c>
      <c r="M19" s="22" t="s">
        <v>10506</v>
      </c>
      <c r="N19" s="23" t="n">
        <v>44646</v>
      </c>
      <c r="O19" s="22" t="s">
        <v>10492</v>
      </c>
      <c r="P19" s="22"/>
    </row>
    <row r="20" customFormat="false" ht="15" hidden="false" customHeight="false" outlineLevel="0" collapsed="false">
      <c r="A20" s="22" t="s">
        <v>10524</v>
      </c>
      <c r="B20" s="22" t="s">
        <v>8682</v>
      </c>
      <c r="C20" s="23" t="n">
        <v>44676</v>
      </c>
      <c r="D20" s="22" t="s">
        <v>810</v>
      </c>
      <c r="E20" s="22" t="n">
        <v>227</v>
      </c>
      <c r="F20" s="22" t="s">
        <v>6897</v>
      </c>
      <c r="G20" s="22" t="s">
        <v>198</v>
      </c>
      <c r="H20" s="22" t="n">
        <v>28</v>
      </c>
      <c r="I20" s="22" t="s">
        <v>8618</v>
      </c>
      <c r="J20" s="22" t="s">
        <v>10494</v>
      </c>
      <c r="K20" s="22" t="s">
        <v>10489</v>
      </c>
      <c r="L20" s="22" t="s">
        <v>10508</v>
      </c>
      <c r="M20" s="22" t="s">
        <v>10504</v>
      </c>
      <c r="N20" s="23" t="n">
        <v>44680</v>
      </c>
      <c r="O20" s="22" t="s">
        <v>10492</v>
      </c>
      <c r="P20" s="22"/>
    </row>
    <row r="21" customFormat="false" ht="15" hidden="false" customHeight="false" outlineLevel="0" collapsed="false">
      <c r="A21" s="22" t="s">
        <v>10525</v>
      </c>
      <c r="B21" s="22" t="s">
        <v>8683</v>
      </c>
      <c r="C21" s="23" t="n">
        <v>44679</v>
      </c>
      <c r="D21" s="22" t="s">
        <v>1604</v>
      </c>
      <c r="E21" s="22" t="n">
        <v>545</v>
      </c>
      <c r="F21" s="22" t="s">
        <v>8516</v>
      </c>
      <c r="G21" s="22" t="s">
        <v>188</v>
      </c>
      <c r="H21" s="22" t="n">
        <v>70</v>
      </c>
      <c r="I21" s="22" t="s">
        <v>8603</v>
      </c>
      <c r="J21" s="22" t="s">
        <v>10488</v>
      </c>
      <c r="K21" s="22" t="s">
        <v>10489</v>
      </c>
      <c r="L21" s="22" t="s">
        <v>10490</v>
      </c>
      <c r="M21" s="22" t="s">
        <v>10501</v>
      </c>
      <c r="N21" s="23" t="n">
        <v>44683</v>
      </c>
      <c r="O21" s="22" t="s">
        <v>10492</v>
      </c>
      <c r="P21" s="22"/>
    </row>
    <row r="22" customFormat="false" ht="15" hidden="false" customHeight="false" outlineLevel="0" collapsed="false">
      <c r="A22" s="22" t="s">
        <v>10526</v>
      </c>
      <c r="B22" s="22" t="s">
        <v>8685</v>
      </c>
      <c r="C22" s="23" t="n">
        <v>44661</v>
      </c>
      <c r="D22" s="22" t="s">
        <v>4203</v>
      </c>
      <c r="E22" s="22" t="n">
        <v>1742</v>
      </c>
      <c r="F22" s="22" t="s">
        <v>7709</v>
      </c>
      <c r="G22" s="22" t="s">
        <v>215</v>
      </c>
      <c r="H22" s="22" t="n">
        <v>60</v>
      </c>
      <c r="I22" s="22" t="s">
        <v>8618</v>
      </c>
      <c r="J22" s="22" t="s">
        <v>10494</v>
      </c>
      <c r="K22" s="22" t="s">
        <v>10489</v>
      </c>
      <c r="L22" s="22" t="s">
        <v>10495</v>
      </c>
      <c r="M22" s="22" t="s">
        <v>10506</v>
      </c>
      <c r="N22" s="23" t="n">
        <v>44666</v>
      </c>
      <c r="O22" s="22" t="s">
        <v>10492</v>
      </c>
      <c r="P22" s="22"/>
    </row>
    <row r="23" customFormat="false" ht="15" hidden="false" customHeight="false" outlineLevel="0" collapsed="false">
      <c r="A23" s="22" t="s">
        <v>10527</v>
      </c>
      <c r="B23" s="22" t="s">
        <v>8686</v>
      </c>
      <c r="C23" s="23" t="n">
        <v>44652</v>
      </c>
      <c r="D23" s="22" t="s">
        <v>5284</v>
      </c>
      <c r="E23" s="22" t="n">
        <v>2272</v>
      </c>
      <c r="F23" s="22" t="s">
        <v>7379</v>
      </c>
      <c r="G23" s="22" t="s">
        <v>159</v>
      </c>
      <c r="H23" s="22" t="n">
        <v>28</v>
      </c>
      <c r="I23" s="22" t="s">
        <v>8618</v>
      </c>
      <c r="J23" s="22" t="s">
        <v>10494</v>
      </c>
      <c r="K23" s="22" t="s">
        <v>10489</v>
      </c>
      <c r="L23" s="22" t="s">
        <v>10490</v>
      </c>
      <c r="M23" s="22" t="s">
        <v>10513</v>
      </c>
      <c r="N23" s="23" t="n">
        <v>44653</v>
      </c>
      <c r="O23" s="22" t="s">
        <v>10492</v>
      </c>
      <c r="P23" s="22"/>
    </row>
    <row r="24" customFormat="false" ht="15" hidden="false" customHeight="false" outlineLevel="0" collapsed="false">
      <c r="A24" s="22" t="s">
        <v>10528</v>
      </c>
      <c r="B24" s="22" t="s">
        <v>8687</v>
      </c>
      <c r="C24" s="23" t="n">
        <v>44669</v>
      </c>
      <c r="D24" s="22" t="s">
        <v>4396</v>
      </c>
      <c r="E24" s="22" t="n">
        <v>1836</v>
      </c>
      <c r="F24" s="22" t="s">
        <v>7424</v>
      </c>
      <c r="G24" s="22" t="s">
        <v>159</v>
      </c>
      <c r="H24" s="22" t="n">
        <v>24</v>
      </c>
      <c r="I24" s="22" t="s">
        <v>8637</v>
      </c>
      <c r="J24" s="22" t="s">
        <v>10503</v>
      </c>
      <c r="K24" s="22" t="s">
        <v>10489</v>
      </c>
      <c r="L24" s="22" t="s">
        <v>10490</v>
      </c>
      <c r="M24" s="22" t="s">
        <v>10506</v>
      </c>
      <c r="N24" s="23" t="n">
        <v>44671</v>
      </c>
      <c r="O24" s="22" t="s">
        <v>10492</v>
      </c>
      <c r="P24" s="22"/>
    </row>
    <row r="25" customFormat="false" ht="15" hidden="false" customHeight="false" outlineLevel="0" collapsed="false">
      <c r="A25" s="22" t="s">
        <v>10529</v>
      </c>
      <c r="B25" s="22" t="s">
        <v>8694</v>
      </c>
      <c r="C25" s="23" t="n">
        <v>44673</v>
      </c>
      <c r="D25" s="22" t="s">
        <v>900</v>
      </c>
      <c r="E25" s="22" t="n">
        <v>262</v>
      </c>
      <c r="F25" s="22" t="s">
        <v>7832</v>
      </c>
      <c r="G25" s="22" t="s">
        <v>215</v>
      </c>
      <c r="H25" s="22" t="n">
        <v>36</v>
      </c>
      <c r="I25" s="22" t="s">
        <v>8618</v>
      </c>
      <c r="J25" s="22" t="s">
        <v>10494</v>
      </c>
      <c r="K25" s="22" t="s">
        <v>10489</v>
      </c>
      <c r="L25" s="22" t="s">
        <v>10500</v>
      </c>
      <c r="M25" s="22" t="s">
        <v>10511</v>
      </c>
      <c r="N25" s="23" t="n">
        <v>44673</v>
      </c>
      <c r="O25" s="22" t="s">
        <v>10492</v>
      </c>
      <c r="P25" s="22"/>
    </row>
    <row r="26" customFormat="false" ht="15" hidden="false" customHeight="false" outlineLevel="0" collapsed="false">
      <c r="A26" s="22" t="s">
        <v>10530</v>
      </c>
      <c r="B26" s="22" t="s">
        <v>8695</v>
      </c>
      <c r="C26" s="23" t="n">
        <v>44678</v>
      </c>
      <c r="D26" s="22" t="s">
        <v>408</v>
      </c>
      <c r="E26" s="22" t="n">
        <v>84</v>
      </c>
      <c r="F26" s="22" t="s">
        <v>8303</v>
      </c>
      <c r="G26" s="22" t="s">
        <v>499</v>
      </c>
      <c r="H26" s="22" t="n">
        <v>24</v>
      </c>
      <c r="I26" s="22" t="s">
        <v>8603</v>
      </c>
      <c r="J26" s="22" t="s">
        <v>10488</v>
      </c>
      <c r="K26" s="22" t="s">
        <v>10489</v>
      </c>
      <c r="L26" s="22" t="s">
        <v>10500</v>
      </c>
      <c r="M26" s="22" t="s">
        <v>10491</v>
      </c>
      <c r="N26" s="23" t="n">
        <v>44679</v>
      </c>
      <c r="O26" s="22" t="s">
        <v>10492</v>
      </c>
      <c r="P26" s="22"/>
    </row>
    <row r="27" customFormat="false" ht="15" hidden="false" customHeight="false" outlineLevel="0" collapsed="false">
      <c r="A27" s="22" t="s">
        <v>10531</v>
      </c>
      <c r="B27" s="22" t="s">
        <v>8704</v>
      </c>
      <c r="C27" s="23" t="n">
        <v>44676</v>
      </c>
      <c r="D27" s="22" t="s">
        <v>4146</v>
      </c>
      <c r="E27" s="22" t="n">
        <v>1714</v>
      </c>
      <c r="F27" s="22" t="s">
        <v>8430</v>
      </c>
      <c r="G27" s="22" t="s">
        <v>188</v>
      </c>
      <c r="H27" s="22" t="n">
        <v>40</v>
      </c>
      <c r="I27" s="22" t="s">
        <v>8631</v>
      </c>
      <c r="J27" s="22" t="s">
        <v>10498</v>
      </c>
      <c r="K27" s="22" t="s">
        <v>10489</v>
      </c>
      <c r="L27" s="22" t="s">
        <v>10490</v>
      </c>
      <c r="M27" s="22" t="s">
        <v>10506</v>
      </c>
      <c r="N27" s="23" t="n">
        <v>44679</v>
      </c>
      <c r="O27" s="22" t="s">
        <v>10492</v>
      </c>
      <c r="P27" s="22"/>
    </row>
    <row r="28" customFormat="false" ht="15" hidden="false" customHeight="false" outlineLevel="0" collapsed="false">
      <c r="A28" s="22" t="s">
        <v>10532</v>
      </c>
      <c r="B28" s="22" t="s">
        <v>8710</v>
      </c>
      <c r="C28" s="23" t="n">
        <v>44658</v>
      </c>
      <c r="D28" s="22" t="s">
        <v>800</v>
      </c>
      <c r="E28" s="22" t="n">
        <v>223</v>
      </c>
      <c r="F28" s="22" t="s">
        <v>7885</v>
      </c>
      <c r="G28" s="22" t="s">
        <v>215</v>
      </c>
      <c r="H28" s="22" t="n">
        <v>24</v>
      </c>
      <c r="I28" s="22" t="s">
        <v>8637</v>
      </c>
      <c r="J28" s="22" t="s">
        <v>10503</v>
      </c>
      <c r="K28" s="22" t="s">
        <v>10489</v>
      </c>
      <c r="L28" s="22" t="s">
        <v>10490</v>
      </c>
      <c r="M28" s="22" t="s">
        <v>10496</v>
      </c>
      <c r="N28" s="23" t="n">
        <v>44658</v>
      </c>
      <c r="O28" s="22" t="s">
        <v>10492</v>
      </c>
      <c r="P28" s="22"/>
    </row>
    <row r="29" customFormat="false" ht="15" hidden="false" customHeight="false" outlineLevel="0" collapsed="false">
      <c r="A29" s="22" t="s">
        <v>10533</v>
      </c>
      <c r="B29" s="22" t="s">
        <v>8717</v>
      </c>
      <c r="C29" s="23" t="n">
        <v>44678</v>
      </c>
      <c r="D29" s="22" t="s">
        <v>4761</v>
      </c>
      <c r="E29" s="22" t="n">
        <v>2014</v>
      </c>
      <c r="F29" s="22" t="s">
        <v>8201</v>
      </c>
      <c r="G29" s="22" t="s">
        <v>499</v>
      </c>
      <c r="H29" s="22" t="n">
        <v>60</v>
      </c>
      <c r="I29" s="22" t="s">
        <v>8631</v>
      </c>
      <c r="J29" s="22" t="s">
        <v>10498</v>
      </c>
      <c r="K29" s="22" t="s">
        <v>10489</v>
      </c>
      <c r="L29" s="22" t="s">
        <v>10508</v>
      </c>
      <c r="M29" s="22" t="s">
        <v>10504</v>
      </c>
      <c r="N29" s="23" t="n">
        <v>44680</v>
      </c>
      <c r="O29" s="22" t="s">
        <v>10492</v>
      </c>
      <c r="P29" s="22"/>
    </row>
    <row r="30" customFormat="false" ht="15" hidden="false" customHeight="false" outlineLevel="0" collapsed="false">
      <c r="A30" s="22" t="s">
        <v>10534</v>
      </c>
      <c r="B30" s="22" t="s">
        <v>8720</v>
      </c>
      <c r="C30" s="23" t="n">
        <v>44652</v>
      </c>
      <c r="D30" s="22" t="s">
        <v>5051</v>
      </c>
      <c r="E30" s="22" t="n">
        <v>2157</v>
      </c>
      <c r="F30" s="22" t="s">
        <v>6875</v>
      </c>
      <c r="G30" s="22" t="s">
        <v>198</v>
      </c>
      <c r="H30" s="22" t="n">
        <v>24</v>
      </c>
      <c r="I30" s="22" t="s">
        <v>8603</v>
      </c>
      <c r="J30" s="22" t="s">
        <v>10488</v>
      </c>
      <c r="K30" s="22" t="s">
        <v>10489</v>
      </c>
      <c r="L30" s="22" t="s">
        <v>10500</v>
      </c>
      <c r="M30" s="22" t="s">
        <v>10491</v>
      </c>
      <c r="N30" s="23" t="n">
        <v>44656</v>
      </c>
      <c r="O30" s="22" t="s">
        <v>10492</v>
      </c>
      <c r="P30" s="22"/>
    </row>
    <row r="31" customFormat="false" ht="15" hidden="false" customHeight="false" outlineLevel="0" collapsed="false">
      <c r="A31" s="22" t="s">
        <v>10535</v>
      </c>
      <c r="B31" s="22" t="s">
        <v>8725</v>
      </c>
      <c r="C31" s="23" t="n">
        <v>44656</v>
      </c>
      <c r="D31" s="22" t="s">
        <v>917</v>
      </c>
      <c r="E31" s="22" t="n">
        <v>269</v>
      </c>
      <c r="F31" s="22" t="s">
        <v>8214</v>
      </c>
      <c r="G31" s="22" t="s">
        <v>499</v>
      </c>
      <c r="H31" s="22" t="n">
        <v>32</v>
      </c>
      <c r="I31" s="22" t="s">
        <v>8637</v>
      </c>
      <c r="J31" s="22" t="s">
        <v>10503</v>
      </c>
      <c r="K31" s="22" t="s">
        <v>10489</v>
      </c>
      <c r="L31" s="22" t="s">
        <v>10490</v>
      </c>
      <c r="M31" s="22" t="s">
        <v>10506</v>
      </c>
      <c r="N31" s="23" t="n">
        <v>44656</v>
      </c>
      <c r="O31" s="22" t="s">
        <v>10492</v>
      </c>
      <c r="P31" s="22"/>
    </row>
    <row r="32" customFormat="false" ht="15" hidden="false" customHeight="false" outlineLevel="0" collapsed="false">
      <c r="A32" s="22" t="s">
        <v>10536</v>
      </c>
      <c r="B32" s="22" t="s">
        <v>8731</v>
      </c>
      <c r="C32" s="23" t="n">
        <v>44705</v>
      </c>
      <c r="D32" s="22" t="s">
        <v>3207</v>
      </c>
      <c r="E32" s="22" t="n">
        <v>1258</v>
      </c>
      <c r="F32" s="22" t="s">
        <v>7901</v>
      </c>
      <c r="G32" s="22" t="s">
        <v>215</v>
      </c>
      <c r="H32" s="22" t="n">
        <v>60</v>
      </c>
      <c r="I32" s="22" t="s">
        <v>8603</v>
      </c>
      <c r="J32" s="22" t="s">
        <v>10488</v>
      </c>
      <c r="K32" s="22" t="s">
        <v>10489</v>
      </c>
      <c r="L32" s="22" t="s">
        <v>10495</v>
      </c>
      <c r="M32" s="22" t="s">
        <v>10513</v>
      </c>
      <c r="N32" s="23" t="n">
        <v>44708</v>
      </c>
      <c r="O32" s="22" t="s">
        <v>10492</v>
      </c>
      <c r="P32" s="22"/>
    </row>
    <row r="33" customFormat="false" ht="15" hidden="false" customHeight="false" outlineLevel="0" collapsed="false">
      <c r="A33" s="22" t="s">
        <v>10537</v>
      </c>
      <c r="B33" s="22" t="s">
        <v>8734</v>
      </c>
      <c r="C33" s="23" t="n">
        <v>44706</v>
      </c>
      <c r="D33" s="22" t="s">
        <v>928</v>
      </c>
      <c r="E33" s="22" t="n">
        <v>273</v>
      </c>
      <c r="F33" s="22" t="s">
        <v>8156</v>
      </c>
      <c r="G33" s="22" t="s">
        <v>499</v>
      </c>
      <c r="H33" s="22" t="n">
        <v>28</v>
      </c>
      <c r="I33" s="22" t="s">
        <v>8603</v>
      </c>
      <c r="J33" s="22" t="s">
        <v>10488</v>
      </c>
      <c r="K33" s="22" t="s">
        <v>10489</v>
      </c>
      <c r="L33" s="22" t="s">
        <v>10490</v>
      </c>
      <c r="M33" s="22" t="s">
        <v>10511</v>
      </c>
      <c r="N33" s="23" t="n">
        <v>44708</v>
      </c>
      <c r="O33" s="22" t="s">
        <v>10492</v>
      </c>
      <c r="P33" s="22"/>
    </row>
    <row r="34" customFormat="false" ht="15" hidden="false" customHeight="false" outlineLevel="0" collapsed="false">
      <c r="A34" s="22" t="s">
        <v>10538</v>
      </c>
      <c r="B34" s="22" t="s">
        <v>8735</v>
      </c>
      <c r="C34" s="23" t="n">
        <v>44688</v>
      </c>
      <c r="D34" s="22" t="s">
        <v>417</v>
      </c>
      <c r="E34" s="22" t="n">
        <v>87</v>
      </c>
      <c r="F34" s="22" t="s">
        <v>7050</v>
      </c>
      <c r="G34" s="22" t="s">
        <v>198</v>
      </c>
      <c r="H34" s="22" t="n">
        <v>32</v>
      </c>
      <c r="I34" s="22" t="s">
        <v>8631</v>
      </c>
      <c r="J34" s="22" t="s">
        <v>10498</v>
      </c>
      <c r="K34" s="22" t="s">
        <v>10489</v>
      </c>
      <c r="L34" s="22" t="s">
        <v>10508</v>
      </c>
      <c r="M34" s="22" t="s">
        <v>10513</v>
      </c>
      <c r="N34" s="23" t="n">
        <v>44689</v>
      </c>
      <c r="O34" s="22" t="s">
        <v>10492</v>
      </c>
      <c r="P34" s="22"/>
    </row>
    <row r="35" customFormat="false" ht="15" hidden="false" customHeight="false" outlineLevel="0" collapsed="false">
      <c r="A35" s="22" t="s">
        <v>10539</v>
      </c>
      <c r="B35" s="22" t="s">
        <v>8739</v>
      </c>
      <c r="C35" s="23" t="n">
        <v>44701</v>
      </c>
      <c r="D35" s="22" t="s">
        <v>6155</v>
      </c>
      <c r="E35" s="22" t="n">
        <v>2708</v>
      </c>
      <c r="F35" s="22" t="s">
        <v>7692</v>
      </c>
      <c r="G35" s="22" t="s">
        <v>159</v>
      </c>
      <c r="H35" s="22" t="n">
        <v>32</v>
      </c>
      <c r="I35" s="22" t="s">
        <v>8618</v>
      </c>
      <c r="J35" s="22" t="s">
        <v>10494</v>
      </c>
      <c r="K35" s="22" t="s">
        <v>10489</v>
      </c>
      <c r="L35" s="22" t="s">
        <v>10495</v>
      </c>
      <c r="M35" s="22" t="s">
        <v>10511</v>
      </c>
      <c r="N35" s="23" t="n">
        <v>44704</v>
      </c>
      <c r="O35" s="22" t="s">
        <v>10492</v>
      </c>
      <c r="P35" s="22"/>
    </row>
    <row r="36" customFormat="false" ht="15" hidden="false" customHeight="false" outlineLevel="0" collapsed="false">
      <c r="A36" s="22" t="s">
        <v>10540</v>
      </c>
      <c r="B36" s="22" t="s">
        <v>8740</v>
      </c>
      <c r="C36" s="23" t="n">
        <v>44686</v>
      </c>
      <c r="D36" s="22" t="s">
        <v>4373</v>
      </c>
      <c r="E36" s="22" t="n">
        <v>1825</v>
      </c>
      <c r="F36" s="22" t="s">
        <v>7656</v>
      </c>
      <c r="G36" s="22" t="s">
        <v>159</v>
      </c>
      <c r="H36" s="22" t="n">
        <v>40</v>
      </c>
      <c r="I36" s="22" t="s">
        <v>8631</v>
      </c>
      <c r="J36" s="22" t="s">
        <v>10498</v>
      </c>
      <c r="K36" s="22" t="s">
        <v>10489</v>
      </c>
      <c r="L36" s="22" t="s">
        <v>10490</v>
      </c>
      <c r="M36" s="22" t="s">
        <v>10491</v>
      </c>
      <c r="N36" s="23" t="n">
        <v>44686</v>
      </c>
      <c r="O36" s="22" t="s">
        <v>10492</v>
      </c>
      <c r="P36" s="22"/>
    </row>
    <row r="37" customFormat="false" ht="15" hidden="false" customHeight="false" outlineLevel="0" collapsed="false">
      <c r="A37" s="22" t="s">
        <v>10541</v>
      </c>
      <c r="B37" s="22" t="s">
        <v>8745</v>
      </c>
      <c r="C37" s="23" t="n">
        <v>44700</v>
      </c>
      <c r="D37" s="22" t="s">
        <v>4440</v>
      </c>
      <c r="E37" s="22" t="n">
        <v>1858</v>
      </c>
      <c r="F37" s="22" t="s">
        <v>7344</v>
      </c>
      <c r="G37" s="22" t="s">
        <v>159</v>
      </c>
      <c r="H37" s="22" t="n">
        <v>32</v>
      </c>
      <c r="I37" s="22" t="s">
        <v>8631</v>
      </c>
      <c r="J37" s="22" t="s">
        <v>10498</v>
      </c>
      <c r="K37" s="22" t="s">
        <v>10489</v>
      </c>
      <c r="L37" s="22" t="s">
        <v>10490</v>
      </c>
      <c r="M37" s="22" t="s">
        <v>10513</v>
      </c>
      <c r="N37" s="23" t="n">
        <v>44702</v>
      </c>
      <c r="O37" s="22" t="s">
        <v>10492</v>
      </c>
      <c r="P37" s="22"/>
    </row>
    <row r="38" customFormat="false" ht="15" hidden="false" customHeight="false" outlineLevel="0" collapsed="false">
      <c r="A38" s="22" t="s">
        <v>10542</v>
      </c>
      <c r="B38" s="22" t="s">
        <v>8747</v>
      </c>
      <c r="C38" s="23" t="n">
        <v>44700</v>
      </c>
      <c r="D38" s="22" t="s">
        <v>3148</v>
      </c>
      <c r="E38" s="22" t="n">
        <v>1231</v>
      </c>
      <c r="F38" s="22" t="s">
        <v>6782</v>
      </c>
      <c r="G38" s="22" t="s">
        <v>198</v>
      </c>
      <c r="H38" s="22" t="n">
        <v>24</v>
      </c>
      <c r="I38" s="22" t="s">
        <v>8618</v>
      </c>
      <c r="J38" s="22" t="s">
        <v>10494</v>
      </c>
      <c r="K38" s="22" t="s">
        <v>10489</v>
      </c>
      <c r="L38" s="22" t="s">
        <v>10500</v>
      </c>
      <c r="M38" s="22" t="s">
        <v>10513</v>
      </c>
      <c r="N38" s="23" t="n">
        <v>44704</v>
      </c>
      <c r="O38" s="22" t="s">
        <v>10492</v>
      </c>
      <c r="P38" s="22"/>
    </row>
    <row r="39" customFormat="false" ht="15" hidden="false" customHeight="false" outlineLevel="0" collapsed="false">
      <c r="A39" s="22" t="s">
        <v>10543</v>
      </c>
      <c r="B39" s="22" t="s">
        <v>8751</v>
      </c>
      <c r="C39" s="23" t="n">
        <v>44696</v>
      </c>
      <c r="D39" s="22" t="s">
        <v>2848</v>
      </c>
      <c r="E39" s="22" t="n">
        <v>1094</v>
      </c>
      <c r="F39" s="22" t="s">
        <v>8357</v>
      </c>
      <c r="G39" s="22" t="s">
        <v>188</v>
      </c>
      <c r="H39" s="22" t="n">
        <v>32</v>
      </c>
      <c r="I39" s="22" t="s">
        <v>8637</v>
      </c>
      <c r="J39" s="22" t="s">
        <v>10503</v>
      </c>
      <c r="K39" s="22" t="s">
        <v>10489</v>
      </c>
      <c r="L39" s="22" t="s">
        <v>10500</v>
      </c>
      <c r="M39" s="22" t="s">
        <v>10513</v>
      </c>
      <c r="N39" s="23" t="n">
        <v>44696</v>
      </c>
      <c r="O39" s="22" t="s">
        <v>10492</v>
      </c>
      <c r="P39" s="22"/>
    </row>
    <row r="40" customFormat="false" ht="15" hidden="false" customHeight="false" outlineLevel="0" collapsed="false">
      <c r="A40" s="22" t="s">
        <v>10544</v>
      </c>
      <c r="B40" s="22" t="s">
        <v>8758</v>
      </c>
      <c r="C40" s="23" t="n">
        <v>44698</v>
      </c>
      <c r="D40" s="22" t="s">
        <v>3039</v>
      </c>
      <c r="E40" s="22" t="n">
        <v>1180</v>
      </c>
      <c r="F40" s="22" t="s">
        <v>7817</v>
      </c>
      <c r="G40" s="22" t="s">
        <v>215</v>
      </c>
      <c r="H40" s="22" t="n">
        <v>70</v>
      </c>
      <c r="I40" s="22" t="s">
        <v>8603</v>
      </c>
      <c r="J40" s="22" t="s">
        <v>10488</v>
      </c>
      <c r="K40" s="22" t="s">
        <v>10489</v>
      </c>
      <c r="L40" s="22" t="s">
        <v>10490</v>
      </c>
      <c r="M40" s="22" t="s">
        <v>10501</v>
      </c>
      <c r="N40" s="23" t="n">
        <v>44698</v>
      </c>
      <c r="O40" s="22" t="s">
        <v>10492</v>
      </c>
      <c r="P40" s="22"/>
    </row>
    <row r="41" customFormat="false" ht="15" hidden="false" customHeight="false" outlineLevel="0" collapsed="false">
      <c r="A41" s="22" t="s">
        <v>10545</v>
      </c>
      <c r="B41" s="22" t="s">
        <v>8760</v>
      </c>
      <c r="C41" s="23" t="n">
        <v>44697</v>
      </c>
      <c r="D41" s="22" t="s">
        <v>3134</v>
      </c>
      <c r="E41" s="22" t="n">
        <v>1224</v>
      </c>
      <c r="F41" s="22" t="s">
        <v>8141</v>
      </c>
      <c r="G41" s="22" t="s">
        <v>499</v>
      </c>
      <c r="H41" s="22" t="n">
        <v>45</v>
      </c>
      <c r="I41" s="22" t="s">
        <v>8603</v>
      </c>
      <c r="J41" s="22" t="s">
        <v>10488</v>
      </c>
      <c r="K41" s="22" t="s">
        <v>10489</v>
      </c>
      <c r="L41" s="22" t="s">
        <v>10508</v>
      </c>
      <c r="M41" s="22" t="s">
        <v>10513</v>
      </c>
      <c r="N41" s="23" t="n">
        <v>44700</v>
      </c>
      <c r="O41" s="22" t="s">
        <v>10492</v>
      </c>
      <c r="P41" s="22"/>
    </row>
    <row r="42" customFormat="false" ht="15" hidden="false" customHeight="false" outlineLevel="0" collapsed="false">
      <c r="A42" s="22" t="s">
        <v>10546</v>
      </c>
      <c r="B42" s="22" t="s">
        <v>8773</v>
      </c>
      <c r="C42" s="23" t="n">
        <v>44713</v>
      </c>
      <c r="D42" s="22" t="s">
        <v>4285</v>
      </c>
      <c r="E42" s="22" t="n">
        <v>1782</v>
      </c>
      <c r="F42" s="22" t="s">
        <v>7091</v>
      </c>
      <c r="G42" s="22" t="s">
        <v>198</v>
      </c>
      <c r="H42" s="22" t="n">
        <v>28</v>
      </c>
      <c r="I42" s="22" t="s">
        <v>8603</v>
      </c>
      <c r="J42" s="22" t="s">
        <v>10488</v>
      </c>
      <c r="K42" s="22" t="s">
        <v>10489</v>
      </c>
      <c r="L42" s="22" t="s">
        <v>10508</v>
      </c>
      <c r="M42" s="22" t="s">
        <v>10506</v>
      </c>
      <c r="N42" s="23" t="n">
        <v>44716</v>
      </c>
      <c r="O42" s="22" t="s">
        <v>10492</v>
      </c>
      <c r="P42" s="22"/>
    </row>
    <row r="43" customFormat="false" ht="15" hidden="false" customHeight="false" outlineLevel="0" collapsed="false">
      <c r="A43" s="22" t="s">
        <v>10547</v>
      </c>
      <c r="B43" s="22" t="s">
        <v>8780</v>
      </c>
      <c r="C43" s="23" t="n">
        <v>44737</v>
      </c>
      <c r="D43" s="22" t="s">
        <v>5544</v>
      </c>
      <c r="E43" s="22" t="n">
        <v>2403</v>
      </c>
      <c r="F43" s="22" t="s">
        <v>8186</v>
      </c>
      <c r="G43" s="22" t="s">
        <v>499</v>
      </c>
      <c r="H43" s="22" t="n">
        <v>40</v>
      </c>
      <c r="I43" s="22" t="s">
        <v>8618</v>
      </c>
      <c r="J43" s="22" t="s">
        <v>10494</v>
      </c>
      <c r="K43" s="22" t="s">
        <v>10489</v>
      </c>
      <c r="L43" s="22" t="s">
        <v>10500</v>
      </c>
      <c r="M43" s="22" t="s">
        <v>10513</v>
      </c>
      <c r="N43" s="23" t="n">
        <v>44737</v>
      </c>
      <c r="O43" s="22" t="s">
        <v>10492</v>
      </c>
      <c r="P43" s="22"/>
    </row>
    <row r="44" customFormat="false" ht="15" hidden="false" customHeight="false" outlineLevel="0" collapsed="false">
      <c r="A44" s="22" t="s">
        <v>10548</v>
      </c>
      <c r="B44" s="22" t="s">
        <v>8791</v>
      </c>
      <c r="C44" s="23" t="n">
        <v>44724</v>
      </c>
      <c r="D44" s="22" t="s">
        <v>5566</v>
      </c>
      <c r="E44" s="22" t="n">
        <v>2414</v>
      </c>
      <c r="F44" s="22" t="s">
        <v>8075</v>
      </c>
      <c r="G44" s="22" t="s">
        <v>499</v>
      </c>
      <c r="H44" s="22" t="n">
        <v>24</v>
      </c>
      <c r="I44" s="22" t="s">
        <v>8637</v>
      </c>
      <c r="J44" s="22" t="s">
        <v>10503</v>
      </c>
      <c r="K44" s="22" t="s">
        <v>10489</v>
      </c>
      <c r="L44" s="22" t="s">
        <v>10500</v>
      </c>
      <c r="M44" s="22" t="s">
        <v>10516</v>
      </c>
      <c r="N44" s="23" t="n">
        <v>44726</v>
      </c>
      <c r="O44" s="22" t="s">
        <v>10492</v>
      </c>
      <c r="P44" s="22"/>
    </row>
    <row r="45" customFormat="false" ht="15" hidden="false" customHeight="false" outlineLevel="0" collapsed="false">
      <c r="A45" s="22" t="s">
        <v>10549</v>
      </c>
      <c r="B45" s="22" t="s">
        <v>8792</v>
      </c>
      <c r="C45" s="23" t="n">
        <v>44738</v>
      </c>
      <c r="D45" s="22" t="s">
        <v>1737</v>
      </c>
      <c r="E45" s="22" t="n">
        <v>601</v>
      </c>
      <c r="F45" s="22" t="s">
        <v>8288</v>
      </c>
      <c r="G45" s="22" t="s">
        <v>499</v>
      </c>
      <c r="H45" s="22" t="n">
        <v>45</v>
      </c>
      <c r="I45" s="22" t="s">
        <v>8631</v>
      </c>
      <c r="J45" s="22" t="s">
        <v>10498</v>
      </c>
      <c r="K45" s="22" t="s">
        <v>10489</v>
      </c>
      <c r="L45" s="22" t="s">
        <v>10490</v>
      </c>
      <c r="M45" s="22" t="s">
        <v>10511</v>
      </c>
      <c r="N45" s="23" t="n">
        <v>44738</v>
      </c>
      <c r="O45" s="22" t="s">
        <v>10492</v>
      </c>
      <c r="P45" s="22"/>
    </row>
    <row r="46" customFormat="false" ht="15" hidden="false" customHeight="false" outlineLevel="0" collapsed="false">
      <c r="A46" s="22" t="s">
        <v>10550</v>
      </c>
      <c r="B46" s="22" t="s">
        <v>8800</v>
      </c>
      <c r="C46" s="23" t="n">
        <v>44733</v>
      </c>
      <c r="D46" s="22" t="s">
        <v>4633</v>
      </c>
      <c r="E46" s="22" t="n">
        <v>1952</v>
      </c>
      <c r="F46" s="22" t="s">
        <v>7450</v>
      </c>
      <c r="G46" s="22" t="s">
        <v>159</v>
      </c>
      <c r="H46" s="22" t="n">
        <v>36</v>
      </c>
      <c r="I46" s="22" t="s">
        <v>8618</v>
      </c>
      <c r="J46" s="22" t="s">
        <v>10494</v>
      </c>
      <c r="K46" s="22" t="s">
        <v>10489</v>
      </c>
      <c r="L46" s="22" t="s">
        <v>10508</v>
      </c>
      <c r="M46" s="22" t="s">
        <v>10491</v>
      </c>
      <c r="N46" s="23" t="n">
        <v>44738</v>
      </c>
      <c r="O46" s="22" t="s">
        <v>10492</v>
      </c>
      <c r="P46" s="22"/>
    </row>
    <row r="47" customFormat="false" ht="15" hidden="false" customHeight="false" outlineLevel="0" collapsed="false">
      <c r="A47" s="22" t="s">
        <v>10551</v>
      </c>
      <c r="B47" s="22" t="s">
        <v>8803</v>
      </c>
      <c r="C47" s="23" t="n">
        <v>44727</v>
      </c>
      <c r="D47" s="22" t="s">
        <v>5657</v>
      </c>
      <c r="E47" s="22" t="n">
        <v>2459</v>
      </c>
      <c r="F47" s="22" t="s">
        <v>7585</v>
      </c>
      <c r="G47" s="22" t="s">
        <v>159</v>
      </c>
      <c r="H47" s="22" t="n">
        <v>24</v>
      </c>
      <c r="I47" s="22" t="s">
        <v>8631</v>
      </c>
      <c r="J47" s="22" t="s">
        <v>10498</v>
      </c>
      <c r="K47" s="22" t="s">
        <v>10489</v>
      </c>
      <c r="L47" s="22" t="s">
        <v>10490</v>
      </c>
      <c r="M47" s="22" t="s">
        <v>10504</v>
      </c>
      <c r="N47" s="23" t="n">
        <v>44729</v>
      </c>
      <c r="O47" s="22" t="s">
        <v>10492</v>
      </c>
      <c r="P47" s="22"/>
    </row>
    <row r="48" customFormat="false" ht="15" hidden="false" customHeight="false" outlineLevel="0" collapsed="false">
      <c r="A48" s="22" t="s">
        <v>10552</v>
      </c>
      <c r="B48" s="22" t="s">
        <v>8814</v>
      </c>
      <c r="C48" s="23" t="n">
        <v>44720</v>
      </c>
      <c r="D48" s="22" t="s">
        <v>5156</v>
      </c>
      <c r="E48" s="22" t="n">
        <v>2209</v>
      </c>
      <c r="F48" s="22" t="s">
        <v>7437</v>
      </c>
      <c r="G48" s="22" t="s">
        <v>159</v>
      </c>
      <c r="H48" s="22" t="n">
        <v>36</v>
      </c>
      <c r="I48" s="22" t="s">
        <v>8637</v>
      </c>
      <c r="J48" s="22" t="s">
        <v>10503</v>
      </c>
      <c r="K48" s="22" t="s">
        <v>10489</v>
      </c>
      <c r="L48" s="22" t="s">
        <v>10490</v>
      </c>
      <c r="M48" s="22" t="s">
        <v>10511</v>
      </c>
      <c r="N48" s="23" t="n">
        <v>44720</v>
      </c>
      <c r="O48" s="22" t="s">
        <v>10492</v>
      </c>
      <c r="P48" s="22"/>
    </row>
    <row r="49" customFormat="false" ht="15" hidden="false" customHeight="false" outlineLevel="0" collapsed="false">
      <c r="A49" s="22" t="s">
        <v>10553</v>
      </c>
      <c r="B49" s="22" t="s">
        <v>8816</v>
      </c>
      <c r="C49" s="23" t="n">
        <v>44728</v>
      </c>
      <c r="D49" s="22" t="s">
        <v>300</v>
      </c>
      <c r="E49" s="22" t="n">
        <v>46</v>
      </c>
      <c r="F49" s="22" t="s">
        <v>8025</v>
      </c>
      <c r="G49" s="22" t="s">
        <v>215</v>
      </c>
      <c r="H49" s="22" t="n">
        <v>28</v>
      </c>
      <c r="I49" s="22" t="s">
        <v>8603</v>
      </c>
      <c r="J49" s="22" t="s">
        <v>10488</v>
      </c>
      <c r="K49" s="22" t="s">
        <v>10489</v>
      </c>
      <c r="L49" s="22" t="s">
        <v>10495</v>
      </c>
      <c r="M49" s="22" t="s">
        <v>10516</v>
      </c>
      <c r="N49" s="23" t="n">
        <v>44733</v>
      </c>
      <c r="O49" s="22" t="s">
        <v>10492</v>
      </c>
      <c r="P49" s="22"/>
    </row>
    <row r="50" customFormat="false" ht="15" hidden="false" customHeight="false" outlineLevel="0" collapsed="false">
      <c r="A50" s="22" t="s">
        <v>10554</v>
      </c>
      <c r="B50" s="22" t="s">
        <v>8819</v>
      </c>
      <c r="C50" s="23" t="n">
        <v>44716</v>
      </c>
      <c r="D50" s="22" t="s">
        <v>5081</v>
      </c>
      <c r="E50" s="22" t="n">
        <v>2172</v>
      </c>
      <c r="F50" s="22" t="s">
        <v>8514</v>
      </c>
      <c r="G50" s="22" t="s">
        <v>188</v>
      </c>
      <c r="H50" s="22" t="n">
        <v>50</v>
      </c>
      <c r="I50" s="22" t="s">
        <v>8631</v>
      </c>
      <c r="J50" s="22" t="s">
        <v>10498</v>
      </c>
      <c r="K50" s="22" t="s">
        <v>10489</v>
      </c>
      <c r="L50" s="22" t="s">
        <v>10490</v>
      </c>
      <c r="M50" s="22" t="s">
        <v>10555</v>
      </c>
      <c r="N50" s="23" t="n">
        <v>44719</v>
      </c>
      <c r="O50" s="22" t="s">
        <v>10492</v>
      </c>
      <c r="P50" s="22"/>
    </row>
    <row r="51" customFormat="false" ht="15" hidden="false" customHeight="false" outlineLevel="0" collapsed="false">
      <c r="A51" s="22" t="s">
        <v>10556</v>
      </c>
      <c r="B51" s="22" t="s">
        <v>8820</v>
      </c>
      <c r="C51" s="23" t="n">
        <v>44722</v>
      </c>
      <c r="D51" s="22" t="s">
        <v>5253</v>
      </c>
      <c r="E51" s="22" t="n">
        <v>2257</v>
      </c>
      <c r="F51" s="22" t="s">
        <v>6872</v>
      </c>
      <c r="G51" s="22" t="s">
        <v>198</v>
      </c>
      <c r="H51" s="22" t="n">
        <v>28</v>
      </c>
      <c r="I51" s="22" t="s">
        <v>8603</v>
      </c>
      <c r="J51" s="22" t="s">
        <v>10488</v>
      </c>
      <c r="K51" s="22" t="s">
        <v>10489</v>
      </c>
      <c r="L51" s="22" t="s">
        <v>10500</v>
      </c>
      <c r="M51" s="22" t="s">
        <v>10501</v>
      </c>
      <c r="N51" s="23" t="n">
        <v>44727</v>
      </c>
      <c r="O51" s="22" t="s">
        <v>10492</v>
      </c>
      <c r="P51" s="22"/>
    </row>
    <row r="52" customFormat="false" ht="15" hidden="false" customHeight="false" outlineLevel="0" collapsed="false">
      <c r="A52" s="22" t="s">
        <v>10557</v>
      </c>
      <c r="B52" s="22" t="s">
        <v>8834</v>
      </c>
      <c r="C52" s="23" t="n">
        <v>44749</v>
      </c>
      <c r="D52" s="22" t="s">
        <v>4694</v>
      </c>
      <c r="E52" s="22" t="n">
        <v>1981</v>
      </c>
      <c r="F52" s="22" t="s">
        <v>8057</v>
      </c>
      <c r="G52" s="22" t="s">
        <v>499</v>
      </c>
      <c r="H52" s="22" t="n">
        <v>60</v>
      </c>
      <c r="I52" s="22" t="s">
        <v>8618</v>
      </c>
      <c r="J52" s="22" t="s">
        <v>10494</v>
      </c>
      <c r="K52" s="22" t="s">
        <v>10489</v>
      </c>
      <c r="L52" s="22" t="s">
        <v>10495</v>
      </c>
      <c r="M52" s="22" t="s">
        <v>10555</v>
      </c>
      <c r="N52" s="23" t="n">
        <v>44753</v>
      </c>
      <c r="O52" s="22" t="s">
        <v>10492</v>
      </c>
      <c r="P52" s="22"/>
    </row>
    <row r="53" customFormat="false" ht="15" hidden="false" customHeight="false" outlineLevel="0" collapsed="false">
      <c r="A53" s="22" t="s">
        <v>10558</v>
      </c>
      <c r="B53" s="22" t="s">
        <v>8837</v>
      </c>
      <c r="C53" s="23" t="n">
        <v>44761</v>
      </c>
      <c r="D53" s="22" t="s">
        <v>5798</v>
      </c>
      <c r="E53" s="22" t="n">
        <v>2529</v>
      </c>
      <c r="F53" s="22" t="s">
        <v>8028</v>
      </c>
      <c r="G53" s="22" t="s">
        <v>215</v>
      </c>
      <c r="H53" s="22" t="n">
        <v>32</v>
      </c>
      <c r="I53" s="22" t="s">
        <v>8603</v>
      </c>
      <c r="J53" s="22" t="s">
        <v>10488</v>
      </c>
      <c r="K53" s="22" t="s">
        <v>10489</v>
      </c>
      <c r="L53" s="22" t="s">
        <v>10490</v>
      </c>
      <c r="M53" s="22" t="s">
        <v>10511</v>
      </c>
      <c r="N53" s="23" t="n">
        <v>44761</v>
      </c>
      <c r="O53" s="22" t="s">
        <v>10492</v>
      </c>
      <c r="P53" s="22"/>
    </row>
    <row r="54" customFormat="false" ht="15" hidden="false" customHeight="false" outlineLevel="0" collapsed="false">
      <c r="A54" s="22" t="s">
        <v>10559</v>
      </c>
      <c r="B54" s="22" t="s">
        <v>8839</v>
      </c>
      <c r="C54" s="23" t="n">
        <v>44744</v>
      </c>
      <c r="D54" s="22" t="s">
        <v>3437</v>
      </c>
      <c r="E54" s="22" t="n">
        <v>1368</v>
      </c>
      <c r="F54" s="22" t="s">
        <v>7649</v>
      </c>
      <c r="G54" s="22" t="s">
        <v>159</v>
      </c>
      <c r="H54" s="22" t="n">
        <v>24</v>
      </c>
      <c r="I54" s="22" t="s">
        <v>8603</v>
      </c>
      <c r="J54" s="22" t="s">
        <v>10488</v>
      </c>
      <c r="K54" s="22" t="s">
        <v>10489</v>
      </c>
      <c r="L54" s="22" t="s">
        <v>10508</v>
      </c>
      <c r="M54" s="22" t="s">
        <v>10555</v>
      </c>
      <c r="N54" s="23" t="n">
        <v>44748</v>
      </c>
      <c r="O54" s="22" t="s">
        <v>10492</v>
      </c>
      <c r="P54" s="22"/>
    </row>
    <row r="55" customFormat="false" ht="15" hidden="false" customHeight="false" outlineLevel="0" collapsed="false">
      <c r="A55" s="22" t="s">
        <v>10560</v>
      </c>
      <c r="B55" s="22" t="s">
        <v>8843</v>
      </c>
      <c r="C55" s="23" t="n">
        <v>44760</v>
      </c>
      <c r="D55" s="22" t="s">
        <v>2859</v>
      </c>
      <c r="E55" s="22" t="n">
        <v>1099</v>
      </c>
      <c r="F55" s="22" t="s">
        <v>8492</v>
      </c>
      <c r="G55" s="22" t="s">
        <v>188</v>
      </c>
      <c r="H55" s="22" t="n">
        <v>40</v>
      </c>
      <c r="I55" s="22" t="s">
        <v>8603</v>
      </c>
      <c r="J55" s="22" t="s">
        <v>10488</v>
      </c>
      <c r="K55" s="22" t="s">
        <v>10489</v>
      </c>
      <c r="L55" s="22" t="s">
        <v>10500</v>
      </c>
      <c r="M55" s="22" t="s">
        <v>10504</v>
      </c>
      <c r="N55" s="23" t="n">
        <v>44760</v>
      </c>
      <c r="O55" s="22" t="s">
        <v>10492</v>
      </c>
      <c r="P55" s="22"/>
    </row>
    <row r="56" customFormat="false" ht="15" hidden="false" customHeight="false" outlineLevel="0" collapsed="false">
      <c r="A56" s="22" t="s">
        <v>10561</v>
      </c>
      <c r="B56" s="22" t="s">
        <v>8844</v>
      </c>
      <c r="C56" s="23" t="n">
        <v>44765</v>
      </c>
      <c r="D56" s="22" t="s">
        <v>1851</v>
      </c>
      <c r="E56" s="22" t="n">
        <v>647</v>
      </c>
      <c r="F56" s="22" t="s">
        <v>7073</v>
      </c>
      <c r="G56" s="22" t="s">
        <v>198</v>
      </c>
      <c r="H56" s="22" t="n">
        <v>36</v>
      </c>
      <c r="I56" s="22" t="s">
        <v>8603</v>
      </c>
      <c r="J56" s="22" t="s">
        <v>10488</v>
      </c>
      <c r="K56" s="22" t="s">
        <v>10489</v>
      </c>
      <c r="L56" s="22" t="s">
        <v>10508</v>
      </c>
      <c r="M56" s="22" t="s">
        <v>10511</v>
      </c>
      <c r="N56" s="23" t="n">
        <v>44769</v>
      </c>
      <c r="O56" s="22" t="s">
        <v>10492</v>
      </c>
      <c r="P56" s="22"/>
    </row>
    <row r="57" customFormat="false" ht="15" hidden="false" customHeight="false" outlineLevel="0" collapsed="false">
      <c r="A57" s="22" t="s">
        <v>10562</v>
      </c>
      <c r="B57" s="22" t="s">
        <v>8850</v>
      </c>
      <c r="C57" s="23" t="n">
        <v>44764</v>
      </c>
      <c r="D57" s="22" t="s">
        <v>1930</v>
      </c>
      <c r="E57" s="22" t="n">
        <v>682</v>
      </c>
      <c r="F57" s="22" t="s">
        <v>8188</v>
      </c>
      <c r="G57" s="22" t="s">
        <v>499</v>
      </c>
      <c r="H57" s="22" t="n">
        <v>80</v>
      </c>
      <c r="I57" s="22" t="s">
        <v>8603</v>
      </c>
      <c r="J57" s="22" t="s">
        <v>10488</v>
      </c>
      <c r="K57" s="22" t="s">
        <v>10489</v>
      </c>
      <c r="L57" s="22" t="s">
        <v>10500</v>
      </c>
      <c r="M57" s="22" t="s">
        <v>10504</v>
      </c>
      <c r="N57" s="23" t="n">
        <v>44769</v>
      </c>
      <c r="O57" s="22" t="s">
        <v>10492</v>
      </c>
      <c r="P57" s="22"/>
    </row>
    <row r="58" customFormat="false" ht="15" hidden="false" customHeight="false" outlineLevel="0" collapsed="false">
      <c r="A58" s="22" t="s">
        <v>10563</v>
      </c>
      <c r="B58" s="22" t="s">
        <v>8858</v>
      </c>
      <c r="C58" s="23" t="n">
        <v>44793</v>
      </c>
      <c r="D58" s="22" t="s">
        <v>3269</v>
      </c>
      <c r="E58" s="22" t="n">
        <v>1287</v>
      </c>
      <c r="F58" s="22" t="s">
        <v>8139</v>
      </c>
      <c r="G58" s="22" t="s">
        <v>499</v>
      </c>
      <c r="H58" s="22" t="n">
        <v>45</v>
      </c>
      <c r="I58" s="22" t="s">
        <v>8603</v>
      </c>
      <c r="J58" s="22" t="s">
        <v>10488</v>
      </c>
      <c r="K58" s="22" t="s">
        <v>10489</v>
      </c>
      <c r="L58" s="22" t="s">
        <v>10495</v>
      </c>
      <c r="M58" s="22" t="s">
        <v>10555</v>
      </c>
      <c r="N58" s="23" t="n">
        <v>44795</v>
      </c>
      <c r="O58" s="22" t="s">
        <v>10492</v>
      </c>
      <c r="P58" s="22"/>
    </row>
    <row r="59" customFormat="false" ht="15" hidden="false" customHeight="false" outlineLevel="0" collapsed="false">
      <c r="A59" s="22" t="s">
        <v>10564</v>
      </c>
      <c r="B59" s="22" t="s">
        <v>8869</v>
      </c>
      <c r="C59" s="23" t="n">
        <v>44775</v>
      </c>
      <c r="D59" s="22" t="s">
        <v>310</v>
      </c>
      <c r="E59" s="22" t="n">
        <v>50</v>
      </c>
      <c r="F59" s="22" t="s">
        <v>8178</v>
      </c>
      <c r="G59" s="22" t="s">
        <v>499</v>
      </c>
      <c r="H59" s="22" t="n">
        <v>32</v>
      </c>
      <c r="I59" s="22" t="s">
        <v>8631</v>
      </c>
      <c r="J59" s="22" t="s">
        <v>10498</v>
      </c>
      <c r="K59" s="22" t="s">
        <v>10489</v>
      </c>
      <c r="L59" s="22" t="s">
        <v>10508</v>
      </c>
      <c r="M59" s="22" t="s">
        <v>10513</v>
      </c>
      <c r="N59" s="23" t="n">
        <v>44777</v>
      </c>
      <c r="O59" s="22" t="s">
        <v>10492</v>
      </c>
      <c r="P59" s="22"/>
    </row>
    <row r="60" customFormat="false" ht="15" hidden="false" customHeight="false" outlineLevel="0" collapsed="false">
      <c r="A60" s="22" t="s">
        <v>10565</v>
      </c>
      <c r="B60" s="22" t="s">
        <v>8877</v>
      </c>
      <c r="C60" s="23" t="n">
        <v>44788</v>
      </c>
      <c r="D60" s="22" t="s">
        <v>5399</v>
      </c>
      <c r="E60" s="22" t="n">
        <v>2330</v>
      </c>
      <c r="F60" s="22" t="s">
        <v>7964</v>
      </c>
      <c r="G60" s="22" t="s">
        <v>215</v>
      </c>
      <c r="H60" s="22" t="n">
        <v>32</v>
      </c>
      <c r="I60" s="22" t="s">
        <v>8603</v>
      </c>
      <c r="J60" s="22" t="s">
        <v>10488</v>
      </c>
      <c r="K60" s="22" t="s">
        <v>10489</v>
      </c>
      <c r="L60" s="22" t="s">
        <v>10495</v>
      </c>
      <c r="M60" s="22" t="s">
        <v>10496</v>
      </c>
      <c r="N60" s="23" t="n">
        <v>44789</v>
      </c>
      <c r="O60" s="22" t="s">
        <v>10492</v>
      </c>
      <c r="P60" s="22"/>
    </row>
    <row r="61" customFormat="false" ht="15" hidden="false" customHeight="false" outlineLevel="0" collapsed="false">
      <c r="A61" s="22" t="s">
        <v>10566</v>
      </c>
      <c r="B61" s="22" t="s">
        <v>8885</v>
      </c>
      <c r="C61" s="23" t="n">
        <v>44798</v>
      </c>
      <c r="D61" s="22" t="s">
        <v>3817</v>
      </c>
      <c r="E61" s="22" t="n">
        <v>1553</v>
      </c>
      <c r="F61" s="22" t="s">
        <v>7283</v>
      </c>
      <c r="G61" s="22" t="s">
        <v>198</v>
      </c>
      <c r="H61" s="22" t="n">
        <v>32</v>
      </c>
      <c r="I61" s="22" t="s">
        <v>8631</v>
      </c>
      <c r="J61" s="22" t="s">
        <v>10498</v>
      </c>
      <c r="K61" s="22" t="s">
        <v>10489</v>
      </c>
      <c r="L61" s="22" t="s">
        <v>10500</v>
      </c>
      <c r="M61" s="22" t="s">
        <v>10516</v>
      </c>
      <c r="N61" s="23" t="n">
        <v>44803</v>
      </c>
      <c r="O61" s="22" t="s">
        <v>10492</v>
      </c>
      <c r="P61" s="22"/>
    </row>
    <row r="62" customFormat="false" ht="15" hidden="false" customHeight="false" outlineLevel="0" collapsed="false">
      <c r="A62" s="22" t="s">
        <v>10567</v>
      </c>
      <c r="B62" s="22" t="s">
        <v>8889</v>
      </c>
      <c r="C62" s="23" t="n">
        <v>44783</v>
      </c>
      <c r="D62" s="22" t="s">
        <v>5588</v>
      </c>
      <c r="E62" s="22" t="n">
        <v>2425</v>
      </c>
      <c r="F62" s="22" t="s">
        <v>7872</v>
      </c>
      <c r="G62" s="22" t="s">
        <v>215</v>
      </c>
      <c r="H62" s="22" t="n">
        <v>50</v>
      </c>
      <c r="I62" s="22" t="s">
        <v>8618</v>
      </c>
      <c r="J62" s="22" t="s">
        <v>10494</v>
      </c>
      <c r="K62" s="22" t="s">
        <v>10489</v>
      </c>
      <c r="L62" s="22" t="s">
        <v>10495</v>
      </c>
      <c r="M62" s="22" t="s">
        <v>10506</v>
      </c>
      <c r="N62" s="23" t="n">
        <v>44787</v>
      </c>
      <c r="O62" s="22" t="s">
        <v>10492</v>
      </c>
      <c r="P62" s="22"/>
    </row>
    <row r="63" customFormat="false" ht="15" hidden="false" customHeight="false" outlineLevel="0" collapsed="false">
      <c r="A63" s="22" t="s">
        <v>10568</v>
      </c>
      <c r="B63" s="22" t="s">
        <v>8893</v>
      </c>
      <c r="C63" s="23" t="n">
        <v>44799</v>
      </c>
      <c r="D63" s="22" t="s">
        <v>3349</v>
      </c>
      <c r="E63" s="22" t="n">
        <v>1325</v>
      </c>
      <c r="F63" s="22" t="s">
        <v>8103</v>
      </c>
      <c r="G63" s="22" t="s">
        <v>499</v>
      </c>
      <c r="H63" s="22" t="n">
        <v>28</v>
      </c>
      <c r="I63" s="22" t="s">
        <v>8618</v>
      </c>
      <c r="J63" s="22" t="s">
        <v>10494</v>
      </c>
      <c r="K63" s="22" t="s">
        <v>10489</v>
      </c>
      <c r="L63" s="22" t="s">
        <v>10490</v>
      </c>
      <c r="M63" s="22" t="s">
        <v>10501</v>
      </c>
      <c r="N63" s="23" t="n">
        <v>44799</v>
      </c>
      <c r="O63" s="22" t="s">
        <v>10492</v>
      </c>
      <c r="P63" s="22"/>
    </row>
    <row r="64" customFormat="false" ht="15" hidden="false" customHeight="false" outlineLevel="0" collapsed="false">
      <c r="A64" s="22" t="s">
        <v>10569</v>
      </c>
      <c r="B64" s="22" t="s">
        <v>8902</v>
      </c>
      <c r="C64" s="23" t="n">
        <v>44787</v>
      </c>
      <c r="D64" s="22" t="s">
        <v>3699</v>
      </c>
      <c r="E64" s="22" t="n">
        <v>1495</v>
      </c>
      <c r="F64" s="22" t="s">
        <v>7725</v>
      </c>
      <c r="G64" s="22" t="s">
        <v>215</v>
      </c>
      <c r="H64" s="22" t="n">
        <v>80</v>
      </c>
      <c r="I64" s="22" t="s">
        <v>8637</v>
      </c>
      <c r="J64" s="22" t="s">
        <v>10503</v>
      </c>
      <c r="K64" s="22" t="s">
        <v>10489</v>
      </c>
      <c r="L64" s="22" t="s">
        <v>10490</v>
      </c>
      <c r="M64" s="22" t="s">
        <v>10504</v>
      </c>
      <c r="N64" s="23" t="n">
        <v>44790</v>
      </c>
      <c r="O64" s="22" t="s">
        <v>10492</v>
      </c>
      <c r="P64" s="22"/>
    </row>
    <row r="65" customFormat="false" ht="15" hidden="false" customHeight="false" outlineLevel="0" collapsed="false">
      <c r="A65" s="22" t="s">
        <v>10570</v>
      </c>
      <c r="B65" s="22" t="s">
        <v>8905</v>
      </c>
      <c r="C65" s="23" t="n">
        <v>44793</v>
      </c>
      <c r="D65" s="22" t="s">
        <v>6488</v>
      </c>
      <c r="E65" s="22" t="n">
        <v>2877</v>
      </c>
      <c r="F65" s="22" t="s">
        <v>7533</v>
      </c>
      <c r="G65" s="22" t="s">
        <v>159</v>
      </c>
      <c r="H65" s="22" t="n">
        <v>24</v>
      </c>
      <c r="I65" s="22" t="s">
        <v>8603</v>
      </c>
      <c r="J65" s="22" t="s">
        <v>10488</v>
      </c>
      <c r="K65" s="22" t="s">
        <v>10489</v>
      </c>
      <c r="L65" s="22" t="s">
        <v>10500</v>
      </c>
      <c r="M65" s="22" t="s">
        <v>10511</v>
      </c>
      <c r="N65" s="23" t="n">
        <v>44796</v>
      </c>
      <c r="O65" s="22" t="s">
        <v>10492</v>
      </c>
      <c r="P65" s="22"/>
    </row>
    <row r="66" customFormat="false" ht="15" hidden="false" customHeight="false" outlineLevel="0" collapsed="false">
      <c r="A66" s="22" t="s">
        <v>10571</v>
      </c>
      <c r="B66" s="22" t="s">
        <v>8906</v>
      </c>
      <c r="C66" s="23" t="n">
        <v>44787</v>
      </c>
      <c r="D66" s="22" t="s">
        <v>2377</v>
      </c>
      <c r="E66" s="22" t="n">
        <v>882</v>
      </c>
      <c r="F66" s="22" t="s">
        <v>8328</v>
      </c>
      <c r="G66" s="22" t="s">
        <v>499</v>
      </c>
      <c r="H66" s="22" t="n">
        <v>70</v>
      </c>
      <c r="I66" s="22" t="s">
        <v>8631</v>
      </c>
      <c r="J66" s="22" t="s">
        <v>10498</v>
      </c>
      <c r="K66" s="22" t="s">
        <v>10489</v>
      </c>
      <c r="L66" s="22" t="s">
        <v>10495</v>
      </c>
      <c r="M66" s="22" t="s">
        <v>10504</v>
      </c>
      <c r="N66" s="23" t="n">
        <v>44792</v>
      </c>
      <c r="O66" s="22" t="s">
        <v>10492</v>
      </c>
      <c r="P66" s="22"/>
    </row>
    <row r="67" customFormat="false" ht="15" hidden="false" customHeight="false" outlineLevel="0" collapsed="false">
      <c r="A67" s="22" t="s">
        <v>10572</v>
      </c>
      <c r="B67" s="22" t="s">
        <v>8916</v>
      </c>
      <c r="C67" s="23" t="n">
        <v>44831</v>
      </c>
      <c r="D67" s="22" t="s">
        <v>4056</v>
      </c>
      <c r="E67" s="22" t="n">
        <v>1670</v>
      </c>
      <c r="F67" s="22" t="s">
        <v>8045</v>
      </c>
      <c r="G67" s="22" t="s">
        <v>499</v>
      </c>
      <c r="H67" s="22" t="n">
        <v>28</v>
      </c>
      <c r="I67" s="22" t="s">
        <v>8603</v>
      </c>
      <c r="J67" s="22" t="s">
        <v>10488</v>
      </c>
      <c r="K67" s="22" t="s">
        <v>10489</v>
      </c>
      <c r="L67" s="22" t="s">
        <v>10500</v>
      </c>
      <c r="M67" s="22" t="s">
        <v>10511</v>
      </c>
      <c r="N67" s="23" t="n">
        <v>44836</v>
      </c>
      <c r="O67" s="22" t="s">
        <v>10492</v>
      </c>
      <c r="P67" s="22"/>
    </row>
    <row r="68" customFormat="false" ht="15" hidden="false" customHeight="false" outlineLevel="0" collapsed="false">
      <c r="A68" s="22" t="s">
        <v>10573</v>
      </c>
      <c r="B68" s="22" t="s">
        <v>8926</v>
      </c>
      <c r="C68" s="23" t="n">
        <v>44808</v>
      </c>
      <c r="D68" s="22" t="s">
        <v>4688</v>
      </c>
      <c r="E68" s="22" t="n">
        <v>1978</v>
      </c>
      <c r="F68" s="22" t="s">
        <v>8149</v>
      </c>
      <c r="G68" s="22" t="s">
        <v>499</v>
      </c>
      <c r="H68" s="22" t="n">
        <v>24</v>
      </c>
      <c r="I68" s="22" t="s">
        <v>8603</v>
      </c>
      <c r="J68" s="22" t="s">
        <v>10488</v>
      </c>
      <c r="K68" s="22" t="s">
        <v>10489</v>
      </c>
      <c r="L68" s="22" t="s">
        <v>10495</v>
      </c>
      <c r="M68" s="22" t="s">
        <v>10555</v>
      </c>
      <c r="N68" s="23" t="n">
        <v>44809</v>
      </c>
      <c r="O68" s="22" t="s">
        <v>10492</v>
      </c>
      <c r="P68" s="22"/>
    </row>
    <row r="69" customFormat="false" ht="15" hidden="false" customHeight="false" outlineLevel="0" collapsed="false">
      <c r="A69" s="22" t="s">
        <v>10574</v>
      </c>
      <c r="B69" s="22" t="s">
        <v>8929</v>
      </c>
      <c r="C69" s="23" t="n">
        <v>44829</v>
      </c>
      <c r="D69" s="22" t="s">
        <v>3280</v>
      </c>
      <c r="E69" s="22" t="n">
        <v>1292</v>
      </c>
      <c r="F69" s="22" t="s">
        <v>8362</v>
      </c>
      <c r="G69" s="22" t="s">
        <v>188</v>
      </c>
      <c r="H69" s="22" t="n">
        <v>32</v>
      </c>
      <c r="I69" s="22" t="s">
        <v>8618</v>
      </c>
      <c r="J69" s="22" t="s">
        <v>10494</v>
      </c>
      <c r="K69" s="22" t="s">
        <v>10489</v>
      </c>
      <c r="L69" s="22" t="s">
        <v>10508</v>
      </c>
      <c r="M69" s="22" t="s">
        <v>10496</v>
      </c>
      <c r="N69" s="23" t="n">
        <v>44830</v>
      </c>
      <c r="O69" s="22" t="s">
        <v>10492</v>
      </c>
      <c r="P69" s="22"/>
    </row>
    <row r="70" customFormat="false" ht="15" hidden="false" customHeight="false" outlineLevel="0" collapsed="false">
      <c r="A70" s="22" t="s">
        <v>10575</v>
      </c>
      <c r="B70" s="22" t="s">
        <v>8930</v>
      </c>
      <c r="C70" s="23" t="n">
        <v>44817</v>
      </c>
      <c r="D70" s="22" t="s">
        <v>1478</v>
      </c>
      <c r="E70" s="22" t="n">
        <v>492</v>
      </c>
      <c r="F70" s="22" t="s">
        <v>8233</v>
      </c>
      <c r="G70" s="22" t="s">
        <v>499</v>
      </c>
      <c r="H70" s="22" t="n">
        <v>32</v>
      </c>
      <c r="I70" s="22" t="s">
        <v>8603</v>
      </c>
      <c r="J70" s="22" t="s">
        <v>10488</v>
      </c>
      <c r="K70" s="22" t="s">
        <v>10489</v>
      </c>
      <c r="L70" s="22" t="s">
        <v>10500</v>
      </c>
      <c r="M70" s="22" t="s">
        <v>10506</v>
      </c>
      <c r="N70" s="23" t="n">
        <v>44821</v>
      </c>
      <c r="O70" s="22" t="s">
        <v>10492</v>
      </c>
      <c r="P70" s="22"/>
    </row>
    <row r="71" customFormat="false" ht="15" hidden="false" customHeight="false" outlineLevel="0" collapsed="false">
      <c r="A71" s="22" t="s">
        <v>10576</v>
      </c>
      <c r="B71" s="22" t="s">
        <v>8931</v>
      </c>
      <c r="C71" s="23" t="n">
        <v>44817</v>
      </c>
      <c r="D71" s="22" t="s">
        <v>1072</v>
      </c>
      <c r="E71" s="22" t="n">
        <v>326</v>
      </c>
      <c r="F71" s="22" t="s">
        <v>7616</v>
      </c>
      <c r="G71" s="22" t="s">
        <v>159</v>
      </c>
      <c r="H71" s="22" t="n">
        <v>40</v>
      </c>
      <c r="I71" s="22" t="s">
        <v>8637</v>
      </c>
      <c r="J71" s="22" t="s">
        <v>10503</v>
      </c>
      <c r="K71" s="22" t="s">
        <v>10489</v>
      </c>
      <c r="L71" s="22" t="s">
        <v>10508</v>
      </c>
      <c r="M71" s="22" t="s">
        <v>10501</v>
      </c>
      <c r="N71" s="23" t="n">
        <v>44822</v>
      </c>
      <c r="O71" s="22" t="s">
        <v>10492</v>
      </c>
      <c r="P71" s="22"/>
    </row>
    <row r="72" customFormat="false" ht="15" hidden="false" customHeight="false" outlineLevel="0" collapsed="false">
      <c r="A72" s="22" t="s">
        <v>10577</v>
      </c>
      <c r="B72" s="22" t="s">
        <v>8936</v>
      </c>
      <c r="C72" s="23" t="n">
        <v>44820</v>
      </c>
      <c r="D72" s="22" t="s">
        <v>2041</v>
      </c>
      <c r="E72" s="22" t="n">
        <v>729</v>
      </c>
      <c r="F72" s="22" t="s">
        <v>8030</v>
      </c>
      <c r="G72" s="22" t="s">
        <v>215</v>
      </c>
      <c r="H72" s="22" t="n">
        <v>60</v>
      </c>
      <c r="I72" s="22" t="s">
        <v>8637</v>
      </c>
      <c r="J72" s="22" t="s">
        <v>10503</v>
      </c>
      <c r="K72" s="22" t="s">
        <v>10489</v>
      </c>
      <c r="L72" s="22" t="s">
        <v>10495</v>
      </c>
      <c r="M72" s="22" t="s">
        <v>10504</v>
      </c>
      <c r="N72" s="23" t="n">
        <v>44823</v>
      </c>
      <c r="O72" s="22" t="s">
        <v>10492</v>
      </c>
      <c r="P72" s="22"/>
    </row>
    <row r="73" customFormat="false" ht="15" hidden="false" customHeight="false" outlineLevel="0" collapsed="false">
      <c r="A73" s="22" t="s">
        <v>10578</v>
      </c>
      <c r="B73" s="22" t="s">
        <v>8939</v>
      </c>
      <c r="C73" s="23" t="n">
        <v>44818</v>
      </c>
      <c r="D73" s="22" t="s">
        <v>2450</v>
      </c>
      <c r="E73" s="22" t="n">
        <v>915</v>
      </c>
      <c r="F73" s="22" t="s">
        <v>7982</v>
      </c>
      <c r="G73" s="22" t="s">
        <v>215</v>
      </c>
      <c r="H73" s="22" t="n">
        <v>60</v>
      </c>
      <c r="I73" s="22" t="s">
        <v>8603</v>
      </c>
      <c r="J73" s="22" t="s">
        <v>10488</v>
      </c>
      <c r="K73" s="22" t="s">
        <v>10489</v>
      </c>
      <c r="L73" s="22" t="s">
        <v>10500</v>
      </c>
      <c r="M73" s="22" t="s">
        <v>10506</v>
      </c>
      <c r="N73" s="23" t="n">
        <v>44823</v>
      </c>
      <c r="O73" s="22" t="s">
        <v>10492</v>
      </c>
      <c r="P73" s="22"/>
    </row>
    <row r="74" customFormat="false" ht="15" hidden="false" customHeight="false" outlineLevel="0" collapsed="false">
      <c r="A74" s="22" t="s">
        <v>10579</v>
      </c>
      <c r="B74" s="22" t="s">
        <v>8941</v>
      </c>
      <c r="C74" s="23" t="n">
        <v>44818</v>
      </c>
      <c r="D74" s="22" t="s">
        <v>1354</v>
      </c>
      <c r="E74" s="22" t="n">
        <v>440</v>
      </c>
      <c r="F74" s="22" t="s">
        <v>7922</v>
      </c>
      <c r="G74" s="22" t="s">
        <v>215</v>
      </c>
      <c r="H74" s="22" t="n">
        <v>36</v>
      </c>
      <c r="I74" s="22" t="s">
        <v>8603</v>
      </c>
      <c r="J74" s="22" t="s">
        <v>10488</v>
      </c>
      <c r="K74" s="22" t="s">
        <v>10489</v>
      </c>
      <c r="L74" s="22" t="s">
        <v>10508</v>
      </c>
      <c r="M74" s="22" t="s">
        <v>10496</v>
      </c>
      <c r="N74" s="23" t="n">
        <v>44822</v>
      </c>
      <c r="O74" s="22" t="s">
        <v>10492</v>
      </c>
      <c r="P74" s="22"/>
    </row>
    <row r="75" customFormat="false" ht="15" hidden="false" customHeight="false" outlineLevel="0" collapsed="false">
      <c r="A75" s="22" t="s">
        <v>10580</v>
      </c>
      <c r="B75" s="22" t="s">
        <v>8944</v>
      </c>
      <c r="C75" s="23" t="n">
        <v>44810</v>
      </c>
      <c r="D75" s="22" t="s">
        <v>640</v>
      </c>
      <c r="E75" s="22" t="n">
        <v>165</v>
      </c>
      <c r="F75" s="22" t="s">
        <v>7379</v>
      </c>
      <c r="G75" s="22" t="s">
        <v>159</v>
      </c>
      <c r="H75" s="22" t="n">
        <v>28</v>
      </c>
      <c r="I75" s="22" t="s">
        <v>8603</v>
      </c>
      <c r="J75" s="22" t="s">
        <v>10488</v>
      </c>
      <c r="K75" s="22" t="s">
        <v>10489</v>
      </c>
      <c r="L75" s="22" t="s">
        <v>10500</v>
      </c>
      <c r="M75" s="22" t="s">
        <v>10513</v>
      </c>
      <c r="N75" s="23" t="n">
        <v>44812</v>
      </c>
      <c r="O75" s="22" t="s">
        <v>10492</v>
      </c>
      <c r="P75" s="22"/>
    </row>
    <row r="76" customFormat="false" ht="15" hidden="false" customHeight="false" outlineLevel="0" collapsed="false">
      <c r="A76" s="22" t="s">
        <v>10581</v>
      </c>
      <c r="B76" s="22" t="s">
        <v>8952</v>
      </c>
      <c r="C76" s="23" t="n">
        <v>44809</v>
      </c>
      <c r="D76" s="22" t="s">
        <v>696</v>
      </c>
      <c r="E76" s="22" t="n">
        <v>185</v>
      </c>
      <c r="F76" s="22" t="s">
        <v>8018</v>
      </c>
      <c r="G76" s="22" t="s">
        <v>215</v>
      </c>
      <c r="H76" s="22" t="n">
        <v>40</v>
      </c>
      <c r="I76" s="22" t="s">
        <v>8603</v>
      </c>
      <c r="J76" s="22" t="s">
        <v>10488</v>
      </c>
      <c r="K76" s="22" t="s">
        <v>10489</v>
      </c>
      <c r="L76" s="22" t="s">
        <v>10490</v>
      </c>
      <c r="M76" s="22" t="s">
        <v>10491</v>
      </c>
      <c r="N76" s="23" t="n">
        <v>44809</v>
      </c>
      <c r="O76" s="22" t="s">
        <v>10492</v>
      </c>
      <c r="P76" s="22"/>
    </row>
    <row r="77" customFormat="false" ht="15" hidden="false" customHeight="false" outlineLevel="0" collapsed="false">
      <c r="A77" s="22" t="s">
        <v>10582</v>
      </c>
      <c r="B77" s="22" t="s">
        <v>8957</v>
      </c>
      <c r="C77" s="23" t="n">
        <v>44850</v>
      </c>
      <c r="D77" s="22" t="s">
        <v>6043</v>
      </c>
      <c r="E77" s="22" t="n">
        <v>2652</v>
      </c>
      <c r="F77" s="22" t="s">
        <v>8207</v>
      </c>
      <c r="G77" s="22" t="s">
        <v>499</v>
      </c>
      <c r="H77" s="22" t="n">
        <v>32</v>
      </c>
      <c r="I77" s="22" t="s">
        <v>8631</v>
      </c>
      <c r="J77" s="22" t="s">
        <v>10498</v>
      </c>
      <c r="K77" s="22" t="s">
        <v>10489</v>
      </c>
      <c r="L77" s="22" t="s">
        <v>10495</v>
      </c>
      <c r="M77" s="22" t="s">
        <v>10513</v>
      </c>
      <c r="N77" s="23" t="n">
        <v>44850</v>
      </c>
      <c r="O77" s="22" t="s">
        <v>10492</v>
      </c>
      <c r="P77" s="22"/>
    </row>
    <row r="78" customFormat="false" ht="15" hidden="false" customHeight="false" outlineLevel="0" collapsed="false">
      <c r="A78" s="22" t="s">
        <v>10583</v>
      </c>
      <c r="B78" s="22" t="s">
        <v>8963</v>
      </c>
      <c r="C78" s="23" t="n">
        <v>44854</v>
      </c>
      <c r="D78" s="22" t="s">
        <v>6013</v>
      </c>
      <c r="E78" s="22" t="n">
        <v>2637</v>
      </c>
      <c r="F78" s="22" t="s">
        <v>7567</v>
      </c>
      <c r="G78" s="22" t="s">
        <v>159</v>
      </c>
      <c r="H78" s="22" t="n">
        <v>32</v>
      </c>
      <c r="I78" s="22" t="s">
        <v>8631</v>
      </c>
      <c r="J78" s="22" t="s">
        <v>10498</v>
      </c>
      <c r="K78" s="22" t="s">
        <v>10518</v>
      </c>
      <c r="L78" s="22" t="s">
        <v>10500</v>
      </c>
      <c r="M78" s="22" t="s">
        <v>10516</v>
      </c>
      <c r="N78" s="23" t="n">
        <v>44857</v>
      </c>
      <c r="O78" s="22" t="s">
        <v>10492</v>
      </c>
      <c r="P78" s="22"/>
    </row>
    <row r="79" customFormat="false" ht="15" hidden="false" customHeight="false" outlineLevel="0" collapsed="false">
      <c r="A79" s="22" t="s">
        <v>10584</v>
      </c>
      <c r="B79" s="22" t="s">
        <v>8970</v>
      </c>
      <c r="C79" s="23" t="n">
        <v>44840</v>
      </c>
      <c r="D79" s="22" t="s">
        <v>6245</v>
      </c>
      <c r="E79" s="22" t="n">
        <v>2753</v>
      </c>
      <c r="F79" s="22" t="s">
        <v>8189</v>
      </c>
      <c r="G79" s="22" t="s">
        <v>499</v>
      </c>
      <c r="H79" s="22" t="n">
        <v>28</v>
      </c>
      <c r="I79" s="22" t="s">
        <v>8603</v>
      </c>
      <c r="J79" s="22" t="s">
        <v>10488</v>
      </c>
      <c r="K79" s="22" t="s">
        <v>10489</v>
      </c>
      <c r="L79" s="22" t="s">
        <v>10500</v>
      </c>
      <c r="M79" s="22" t="s">
        <v>10555</v>
      </c>
      <c r="N79" s="23" t="n">
        <v>44842</v>
      </c>
      <c r="O79" s="22" t="s">
        <v>10492</v>
      </c>
      <c r="P79" s="22"/>
    </row>
    <row r="80" customFormat="false" ht="15" hidden="false" customHeight="false" outlineLevel="0" collapsed="false">
      <c r="A80" s="22" t="s">
        <v>10585</v>
      </c>
      <c r="B80" s="22" t="s">
        <v>8971</v>
      </c>
      <c r="C80" s="23" t="n">
        <v>44851</v>
      </c>
      <c r="D80" s="22" t="s">
        <v>4607</v>
      </c>
      <c r="E80" s="22" t="n">
        <v>1940</v>
      </c>
      <c r="F80" s="22" t="s">
        <v>8540</v>
      </c>
      <c r="G80" s="22" t="s">
        <v>188</v>
      </c>
      <c r="H80" s="22" t="n">
        <v>32</v>
      </c>
      <c r="I80" s="22" t="s">
        <v>8603</v>
      </c>
      <c r="J80" s="22" t="s">
        <v>10488</v>
      </c>
      <c r="K80" s="22" t="s">
        <v>10489</v>
      </c>
      <c r="L80" s="22" t="s">
        <v>10490</v>
      </c>
      <c r="M80" s="22" t="s">
        <v>10555</v>
      </c>
      <c r="N80" s="23" t="n">
        <v>44851</v>
      </c>
      <c r="O80" s="22" t="s">
        <v>10492</v>
      </c>
      <c r="P80" s="22"/>
    </row>
    <row r="81" customFormat="false" ht="15" hidden="false" customHeight="false" outlineLevel="0" collapsed="false">
      <c r="A81" s="22" t="s">
        <v>10586</v>
      </c>
      <c r="B81" s="22" t="s">
        <v>8972</v>
      </c>
      <c r="C81" s="23" t="n">
        <v>44852</v>
      </c>
      <c r="D81" s="22" t="s">
        <v>2281</v>
      </c>
      <c r="E81" s="22" t="n">
        <v>837</v>
      </c>
      <c r="F81" s="22" t="s">
        <v>7187</v>
      </c>
      <c r="G81" s="22" t="s">
        <v>198</v>
      </c>
      <c r="H81" s="22" t="n">
        <v>40</v>
      </c>
      <c r="I81" s="22" t="s">
        <v>8603</v>
      </c>
      <c r="J81" s="22" t="s">
        <v>10488</v>
      </c>
      <c r="K81" s="22" t="s">
        <v>10518</v>
      </c>
      <c r="L81" s="22" t="s">
        <v>10508</v>
      </c>
      <c r="M81" s="22" t="s">
        <v>10511</v>
      </c>
      <c r="N81" s="23" t="n">
        <v>44856</v>
      </c>
      <c r="O81" s="22" t="s">
        <v>10492</v>
      </c>
      <c r="P81" s="22"/>
    </row>
    <row r="82" customFormat="false" ht="15" hidden="false" customHeight="false" outlineLevel="0" collapsed="false">
      <c r="A82" s="22" t="s">
        <v>10587</v>
      </c>
      <c r="B82" s="22" t="s">
        <v>8974</v>
      </c>
      <c r="C82" s="23" t="n">
        <v>44840</v>
      </c>
      <c r="D82" s="22" t="s">
        <v>5229</v>
      </c>
      <c r="E82" s="22" t="n">
        <v>2245</v>
      </c>
      <c r="F82" s="22" t="s">
        <v>8210</v>
      </c>
      <c r="G82" s="22" t="s">
        <v>499</v>
      </c>
      <c r="H82" s="22" t="n">
        <v>32</v>
      </c>
      <c r="I82" s="22" t="s">
        <v>8603</v>
      </c>
      <c r="J82" s="22" t="s">
        <v>10488</v>
      </c>
      <c r="K82" s="22" t="s">
        <v>10489</v>
      </c>
      <c r="L82" s="22" t="s">
        <v>10495</v>
      </c>
      <c r="M82" s="22" t="s">
        <v>10504</v>
      </c>
      <c r="N82" s="23" t="n">
        <v>44840</v>
      </c>
      <c r="O82" s="22" t="s">
        <v>10492</v>
      </c>
      <c r="P82" s="22"/>
    </row>
    <row r="83" customFormat="false" ht="15" hidden="false" customHeight="false" outlineLevel="0" collapsed="false">
      <c r="A83" s="22" t="s">
        <v>10588</v>
      </c>
      <c r="B83" s="22" t="s">
        <v>8977</v>
      </c>
      <c r="C83" s="23" t="n">
        <v>44838</v>
      </c>
      <c r="D83" s="22" t="s">
        <v>860</v>
      </c>
      <c r="E83" s="22" t="n">
        <v>246</v>
      </c>
      <c r="F83" s="22" t="s">
        <v>7790</v>
      </c>
      <c r="G83" s="22" t="s">
        <v>215</v>
      </c>
      <c r="H83" s="22" t="n">
        <v>36</v>
      </c>
      <c r="I83" s="22" t="s">
        <v>8618</v>
      </c>
      <c r="J83" s="22" t="s">
        <v>10494</v>
      </c>
      <c r="K83" s="22" t="s">
        <v>10489</v>
      </c>
      <c r="L83" s="22" t="s">
        <v>10500</v>
      </c>
      <c r="M83" s="22" t="s">
        <v>10555</v>
      </c>
      <c r="N83" s="23" t="n">
        <v>44840</v>
      </c>
      <c r="O83" s="22" t="s">
        <v>10492</v>
      </c>
      <c r="P83" s="22"/>
    </row>
    <row r="84" customFormat="false" ht="15" hidden="false" customHeight="false" outlineLevel="0" collapsed="false">
      <c r="A84" s="22" t="s">
        <v>10589</v>
      </c>
      <c r="B84" s="22" t="s">
        <v>8980</v>
      </c>
      <c r="C84" s="23" t="n">
        <v>44842</v>
      </c>
      <c r="D84" s="22" t="s">
        <v>2800</v>
      </c>
      <c r="E84" s="22" t="n">
        <v>1072</v>
      </c>
      <c r="F84" s="22" t="s">
        <v>7761</v>
      </c>
      <c r="G84" s="22" t="s">
        <v>215</v>
      </c>
      <c r="H84" s="22" t="n">
        <v>70</v>
      </c>
      <c r="I84" s="22" t="s">
        <v>8631</v>
      </c>
      <c r="J84" s="22" t="s">
        <v>10498</v>
      </c>
      <c r="K84" s="22" t="s">
        <v>10489</v>
      </c>
      <c r="L84" s="22" t="s">
        <v>10500</v>
      </c>
      <c r="M84" s="22" t="s">
        <v>10555</v>
      </c>
      <c r="N84" s="23" t="n">
        <v>44842</v>
      </c>
      <c r="O84" s="22" t="s">
        <v>10492</v>
      </c>
      <c r="P84" s="22"/>
    </row>
    <row r="85" customFormat="false" ht="15" hidden="false" customHeight="false" outlineLevel="0" collapsed="false">
      <c r="A85" s="22" t="s">
        <v>10590</v>
      </c>
      <c r="B85" s="22" t="s">
        <v>8981</v>
      </c>
      <c r="C85" s="23" t="n">
        <v>44861</v>
      </c>
      <c r="D85" s="22" t="s">
        <v>4410</v>
      </c>
      <c r="E85" s="22" t="n">
        <v>1843</v>
      </c>
      <c r="F85" s="22" t="s">
        <v>6779</v>
      </c>
      <c r="G85" s="22" t="s">
        <v>198</v>
      </c>
      <c r="H85" s="22" t="n">
        <v>28</v>
      </c>
      <c r="I85" s="22" t="s">
        <v>8603</v>
      </c>
      <c r="J85" s="22" t="s">
        <v>10488</v>
      </c>
      <c r="K85" s="22" t="s">
        <v>10489</v>
      </c>
      <c r="L85" s="22" t="s">
        <v>10500</v>
      </c>
      <c r="M85" s="22" t="s">
        <v>10511</v>
      </c>
      <c r="N85" s="23" t="n">
        <v>44866</v>
      </c>
      <c r="O85" s="22" t="s">
        <v>10492</v>
      </c>
      <c r="P85" s="22"/>
    </row>
    <row r="86" customFormat="false" ht="15" hidden="false" customHeight="false" outlineLevel="0" collapsed="false">
      <c r="A86" s="22" t="s">
        <v>10591</v>
      </c>
      <c r="B86" s="22" t="s">
        <v>8985</v>
      </c>
      <c r="C86" s="23" t="n">
        <v>44849</v>
      </c>
      <c r="D86" s="22" t="s">
        <v>5146</v>
      </c>
      <c r="E86" s="22" t="n">
        <v>2204</v>
      </c>
      <c r="F86" s="22" t="s">
        <v>7226</v>
      </c>
      <c r="G86" s="22" t="s">
        <v>198</v>
      </c>
      <c r="H86" s="22" t="n">
        <v>24</v>
      </c>
      <c r="I86" s="22" t="s">
        <v>8618</v>
      </c>
      <c r="J86" s="22" t="s">
        <v>10494</v>
      </c>
      <c r="K86" s="22" t="s">
        <v>10489</v>
      </c>
      <c r="L86" s="22" t="s">
        <v>10500</v>
      </c>
      <c r="M86" s="22" t="s">
        <v>10513</v>
      </c>
      <c r="N86" s="23" t="n">
        <v>44853</v>
      </c>
      <c r="O86" s="22" t="s">
        <v>10492</v>
      </c>
      <c r="P86" s="22"/>
    </row>
    <row r="87" customFormat="false" ht="15" hidden="false" customHeight="false" outlineLevel="0" collapsed="false">
      <c r="A87" s="22" t="s">
        <v>10592</v>
      </c>
      <c r="B87" s="22" t="s">
        <v>8995</v>
      </c>
      <c r="C87" s="23" t="n">
        <v>44868</v>
      </c>
      <c r="D87" s="22" t="s">
        <v>2989</v>
      </c>
      <c r="E87" s="22" t="n">
        <v>1158</v>
      </c>
      <c r="F87" s="22" t="s">
        <v>8588</v>
      </c>
      <c r="G87" s="22" t="s">
        <v>188</v>
      </c>
      <c r="H87" s="22" t="n">
        <v>80</v>
      </c>
      <c r="I87" s="22" t="s">
        <v>8618</v>
      </c>
      <c r="J87" s="22" t="s">
        <v>10494</v>
      </c>
      <c r="K87" s="22" t="s">
        <v>10489</v>
      </c>
      <c r="L87" s="22" t="s">
        <v>10508</v>
      </c>
      <c r="M87" s="22" t="s">
        <v>10496</v>
      </c>
      <c r="N87" s="23" t="n">
        <v>44873</v>
      </c>
      <c r="O87" s="22" t="s">
        <v>10492</v>
      </c>
      <c r="P87" s="22"/>
    </row>
    <row r="88" customFormat="false" ht="15" hidden="false" customHeight="false" outlineLevel="0" collapsed="false">
      <c r="A88" s="22" t="s">
        <v>10593</v>
      </c>
      <c r="B88" s="22" t="s">
        <v>8998</v>
      </c>
      <c r="C88" s="23" t="n">
        <v>44890</v>
      </c>
      <c r="D88" s="22" t="s">
        <v>3109</v>
      </c>
      <c r="E88" s="22" t="n">
        <v>1212</v>
      </c>
      <c r="F88" s="22" t="s">
        <v>7093</v>
      </c>
      <c r="G88" s="22" t="s">
        <v>198</v>
      </c>
      <c r="H88" s="22" t="n">
        <v>32</v>
      </c>
      <c r="I88" s="22" t="s">
        <v>8618</v>
      </c>
      <c r="J88" s="22" t="s">
        <v>10494</v>
      </c>
      <c r="K88" s="22" t="s">
        <v>10489</v>
      </c>
      <c r="L88" s="22" t="s">
        <v>10490</v>
      </c>
      <c r="M88" s="22" t="s">
        <v>10504</v>
      </c>
      <c r="N88" s="23" t="n">
        <v>44892</v>
      </c>
      <c r="O88" s="22" t="s">
        <v>10492</v>
      </c>
      <c r="P88" s="22"/>
    </row>
    <row r="89" customFormat="false" ht="15" hidden="false" customHeight="false" outlineLevel="0" collapsed="false">
      <c r="A89" s="22" t="s">
        <v>10594</v>
      </c>
      <c r="B89" s="22" t="s">
        <v>9000</v>
      </c>
      <c r="C89" s="23" t="n">
        <v>44874</v>
      </c>
      <c r="D89" s="22" t="s">
        <v>4521</v>
      </c>
      <c r="E89" s="22" t="n">
        <v>1898</v>
      </c>
      <c r="F89" s="22" t="s">
        <v>8231</v>
      </c>
      <c r="G89" s="22" t="s">
        <v>499</v>
      </c>
      <c r="H89" s="22" t="n">
        <v>24</v>
      </c>
      <c r="I89" s="22" t="s">
        <v>8603</v>
      </c>
      <c r="J89" s="22" t="s">
        <v>10488</v>
      </c>
      <c r="K89" s="22" t="s">
        <v>10489</v>
      </c>
      <c r="L89" s="22" t="s">
        <v>10495</v>
      </c>
      <c r="M89" s="22" t="s">
        <v>10501</v>
      </c>
      <c r="N89" s="23" t="n">
        <v>44875</v>
      </c>
      <c r="O89" s="22" t="s">
        <v>10492</v>
      </c>
      <c r="P89" s="22"/>
    </row>
    <row r="90" customFormat="false" ht="15" hidden="false" customHeight="false" outlineLevel="0" collapsed="false">
      <c r="A90" s="22" t="s">
        <v>10595</v>
      </c>
      <c r="B90" s="22" t="s">
        <v>9001</v>
      </c>
      <c r="C90" s="23" t="n">
        <v>44868</v>
      </c>
      <c r="D90" s="22" t="s">
        <v>5266</v>
      </c>
      <c r="E90" s="22" t="n">
        <v>2263</v>
      </c>
      <c r="F90" s="22" t="s">
        <v>8410</v>
      </c>
      <c r="G90" s="22" t="s">
        <v>188</v>
      </c>
      <c r="H90" s="22" t="n">
        <v>28</v>
      </c>
      <c r="I90" s="22" t="s">
        <v>8603</v>
      </c>
      <c r="J90" s="22" t="s">
        <v>10488</v>
      </c>
      <c r="K90" s="22" t="s">
        <v>10489</v>
      </c>
      <c r="L90" s="22" t="s">
        <v>10500</v>
      </c>
      <c r="M90" s="22" t="s">
        <v>10513</v>
      </c>
      <c r="N90" s="23" t="n">
        <v>44873</v>
      </c>
      <c r="O90" s="22" t="s">
        <v>10492</v>
      </c>
      <c r="P90" s="22"/>
    </row>
    <row r="91" customFormat="false" ht="15" hidden="false" customHeight="false" outlineLevel="0" collapsed="false">
      <c r="A91" s="22" t="s">
        <v>10596</v>
      </c>
      <c r="B91" s="22" t="s">
        <v>9006</v>
      </c>
      <c r="C91" s="23" t="n">
        <v>44886</v>
      </c>
      <c r="D91" s="22" t="s">
        <v>1156</v>
      </c>
      <c r="E91" s="22" t="n">
        <v>360</v>
      </c>
      <c r="F91" s="22" t="s">
        <v>7003</v>
      </c>
      <c r="G91" s="22" t="s">
        <v>198</v>
      </c>
      <c r="H91" s="22" t="n">
        <v>32</v>
      </c>
      <c r="I91" s="22" t="s">
        <v>8603</v>
      </c>
      <c r="J91" s="22" t="s">
        <v>10488</v>
      </c>
      <c r="K91" s="22" t="s">
        <v>10489</v>
      </c>
      <c r="L91" s="22" t="s">
        <v>10500</v>
      </c>
      <c r="M91" s="22" t="s">
        <v>10504</v>
      </c>
      <c r="N91" s="23" t="n">
        <v>44887</v>
      </c>
      <c r="O91" s="22" t="s">
        <v>10492</v>
      </c>
      <c r="P91" s="22"/>
    </row>
    <row r="92" customFormat="false" ht="15" hidden="false" customHeight="false" outlineLevel="0" collapsed="false">
      <c r="A92" s="22" t="s">
        <v>10597</v>
      </c>
      <c r="B92" s="22" t="s">
        <v>9015</v>
      </c>
      <c r="C92" s="23" t="n">
        <v>44879</v>
      </c>
      <c r="D92" s="22" t="s">
        <v>4444</v>
      </c>
      <c r="E92" s="22" t="n">
        <v>1860</v>
      </c>
      <c r="F92" s="22" t="s">
        <v>8124</v>
      </c>
      <c r="G92" s="22" t="s">
        <v>499</v>
      </c>
      <c r="H92" s="22" t="n">
        <v>32</v>
      </c>
      <c r="I92" s="22" t="s">
        <v>8637</v>
      </c>
      <c r="J92" s="22" t="s">
        <v>10503</v>
      </c>
      <c r="K92" s="22" t="s">
        <v>10489</v>
      </c>
      <c r="L92" s="22" t="s">
        <v>10508</v>
      </c>
      <c r="M92" s="22" t="s">
        <v>10511</v>
      </c>
      <c r="N92" s="23" t="n">
        <v>44880</v>
      </c>
      <c r="O92" s="22" t="s">
        <v>10492</v>
      </c>
      <c r="P92" s="22"/>
    </row>
    <row r="93" customFormat="false" ht="15" hidden="false" customHeight="false" outlineLevel="0" collapsed="false">
      <c r="A93" s="22" t="s">
        <v>10598</v>
      </c>
      <c r="B93" s="22" t="s">
        <v>9016</v>
      </c>
      <c r="C93" s="23" t="n">
        <v>44881</v>
      </c>
      <c r="D93" s="22" t="s">
        <v>633</v>
      </c>
      <c r="E93" s="22" t="n">
        <v>162</v>
      </c>
      <c r="F93" s="22" t="s">
        <v>7491</v>
      </c>
      <c r="G93" s="22" t="s">
        <v>159</v>
      </c>
      <c r="H93" s="22" t="n">
        <v>28</v>
      </c>
      <c r="I93" s="22" t="s">
        <v>8618</v>
      </c>
      <c r="J93" s="22" t="s">
        <v>10494</v>
      </c>
      <c r="K93" s="22" t="s">
        <v>10489</v>
      </c>
      <c r="L93" s="22" t="s">
        <v>10495</v>
      </c>
      <c r="M93" s="22" t="s">
        <v>10516</v>
      </c>
      <c r="N93" s="23" t="n">
        <v>44882</v>
      </c>
      <c r="O93" s="22" t="s">
        <v>10492</v>
      </c>
      <c r="P93" s="22"/>
    </row>
    <row r="94" customFormat="false" ht="15" hidden="false" customHeight="false" outlineLevel="0" collapsed="false">
      <c r="A94" s="22" t="s">
        <v>10599</v>
      </c>
      <c r="B94" s="22" t="s">
        <v>9018</v>
      </c>
      <c r="C94" s="23" t="n">
        <v>44915</v>
      </c>
      <c r="D94" s="22" t="s">
        <v>5679</v>
      </c>
      <c r="E94" s="22" t="n">
        <v>2470</v>
      </c>
      <c r="F94" s="22" t="s">
        <v>8486</v>
      </c>
      <c r="G94" s="22" t="s">
        <v>188</v>
      </c>
      <c r="H94" s="22" t="n">
        <v>24</v>
      </c>
      <c r="I94" s="22" t="s">
        <v>8637</v>
      </c>
      <c r="J94" s="22" t="s">
        <v>10503</v>
      </c>
      <c r="K94" s="22" t="s">
        <v>10489</v>
      </c>
      <c r="L94" s="22" t="s">
        <v>10508</v>
      </c>
      <c r="M94" s="22" t="s">
        <v>10516</v>
      </c>
      <c r="N94" s="23" t="n">
        <v>44917</v>
      </c>
      <c r="O94" s="22" t="s">
        <v>10492</v>
      </c>
      <c r="P94" s="22"/>
    </row>
    <row r="95" customFormat="false" ht="15" hidden="false" customHeight="false" outlineLevel="0" collapsed="false">
      <c r="A95" s="22" t="s">
        <v>10600</v>
      </c>
      <c r="B95" s="22" t="s">
        <v>9025</v>
      </c>
      <c r="C95" s="23" t="n">
        <v>44907</v>
      </c>
      <c r="D95" s="22" t="s">
        <v>2252</v>
      </c>
      <c r="E95" s="22" t="n">
        <v>824</v>
      </c>
      <c r="F95" s="22" t="s">
        <v>7073</v>
      </c>
      <c r="G95" s="22" t="s">
        <v>198</v>
      </c>
      <c r="H95" s="22" t="n">
        <v>36</v>
      </c>
      <c r="I95" s="22" t="s">
        <v>8618</v>
      </c>
      <c r="J95" s="22" t="s">
        <v>10494</v>
      </c>
      <c r="K95" s="22" t="s">
        <v>10489</v>
      </c>
      <c r="L95" s="22" t="s">
        <v>10500</v>
      </c>
      <c r="M95" s="22" t="s">
        <v>10511</v>
      </c>
      <c r="N95" s="23" t="n">
        <v>44912</v>
      </c>
      <c r="O95" s="22" t="s">
        <v>10492</v>
      </c>
      <c r="P95" s="22"/>
    </row>
    <row r="96" customFormat="false" ht="15" hidden="false" customHeight="false" outlineLevel="0" collapsed="false">
      <c r="A96" s="22" t="s">
        <v>10601</v>
      </c>
      <c r="B96" s="22" t="s">
        <v>9035</v>
      </c>
      <c r="C96" s="23" t="n">
        <v>44934</v>
      </c>
      <c r="D96" s="22" t="s">
        <v>4932</v>
      </c>
      <c r="E96" s="22" t="n">
        <v>2099</v>
      </c>
      <c r="F96" s="22" t="s">
        <v>6769</v>
      </c>
      <c r="G96" s="22" t="s">
        <v>198</v>
      </c>
      <c r="H96" s="22" t="n">
        <v>40</v>
      </c>
      <c r="I96" s="22" t="s">
        <v>8603</v>
      </c>
      <c r="J96" s="22" t="s">
        <v>10488</v>
      </c>
      <c r="K96" s="22" t="s">
        <v>10489</v>
      </c>
      <c r="L96" s="22" t="s">
        <v>10508</v>
      </c>
      <c r="M96" s="22" t="s">
        <v>10496</v>
      </c>
      <c r="N96" s="23" t="n">
        <v>44936</v>
      </c>
      <c r="O96" s="22" t="s">
        <v>10492</v>
      </c>
      <c r="P96" s="22"/>
    </row>
    <row r="97" customFormat="false" ht="15" hidden="false" customHeight="false" outlineLevel="0" collapsed="false">
      <c r="A97" s="22" t="s">
        <v>10602</v>
      </c>
      <c r="B97" s="22" t="s">
        <v>9036</v>
      </c>
      <c r="C97" s="23" t="n">
        <v>44934</v>
      </c>
      <c r="D97" s="22" t="s">
        <v>4086</v>
      </c>
      <c r="E97" s="22" t="n">
        <v>1685</v>
      </c>
      <c r="F97" s="22" t="s">
        <v>7139</v>
      </c>
      <c r="G97" s="22" t="s">
        <v>198</v>
      </c>
      <c r="H97" s="22" t="n">
        <v>28</v>
      </c>
      <c r="I97" s="22" t="s">
        <v>8603</v>
      </c>
      <c r="J97" s="22" t="s">
        <v>10488</v>
      </c>
      <c r="K97" s="22" t="s">
        <v>10489</v>
      </c>
      <c r="L97" s="22" t="s">
        <v>10490</v>
      </c>
      <c r="M97" s="22" t="s">
        <v>10491</v>
      </c>
      <c r="N97" s="23" t="n">
        <v>44937</v>
      </c>
      <c r="O97" s="22" t="s">
        <v>10492</v>
      </c>
      <c r="P97" s="22"/>
    </row>
    <row r="98" customFormat="false" ht="15" hidden="false" customHeight="false" outlineLevel="0" collapsed="false">
      <c r="A98" s="22" t="s">
        <v>10603</v>
      </c>
      <c r="B98" s="22" t="s">
        <v>9038</v>
      </c>
      <c r="C98" s="23" t="n">
        <v>44952</v>
      </c>
      <c r="D98" s="22" t="s">
        <v>996</v>
      </c>
      <c r="E98" s="22" t="n">
        <v>298</v>
      </c>
      <c r="F98" s="22" t="s">
        <v>8232</v>
      </c>
      <c r="G98" s="22" t="s">
        <v>499</v>
      </c>
      <c r="H98" s="22" t="n">
        <v>70</v>
      </c>
      <c r="I98" s="22" t="s">
        <v>8603</v>
      </c>
      <c r="J98" s="22" t="s">
        <v>10488</v>
      </c>
      <c r="K98" s="22" t="s">
        <v>10489</v>
      </c>
      <c r="L98" s="22" t="s">
        <v>10508</v>
      </c>
      <c r="M98" s="22" t="s">
        <v>10496</v>
      </c>
      <c r="N98" s="23" t="n">
        <v>44955</v>
      </c>
      <c r="O98" s="22" t="s">
        <v>10492</v>
      </c>
      <c r="P98" s="22"/>
    </row>
    <row r="99" customFormat="false" ht="15" hidden="false" customHeight="false" outlineLevel="0" collapsed="false">
      <c r="A99" s="22" t="s">
        <v>10604</v>
      </c>
      <c r="B99" s="22" t="s">
        <v>9048</v>
      </c>
      <c r="C99" s="23" t="n">
        <v>44934</v>
      </c>
      <c r="D99" s="22" t="s">
        <v>2547</v>
      </c>
      <c r="E99" s="22" t="n">
        <v>959</v>
      </c>
      <c r="F99" s="22" t="s">
        <v>7691</v>
      </c>
      <c r="G99" s="22" t="s">
        <v>159</v>
      </c>
      <c r="H99" s="22" t="n">
        <v>28</v>
      </c>
      <c r="I99" s="22" t="s">
        <v>8618</v>
      </c>
      <c r="J99" s="22" t="s">
        <v>10494</v>
      </c>
      <c r="K99" s="22" t="s">
        <v>10489</v>
      </c>
      <c r="L99" s="22" t="s">
        <v>10495</v>
      </c>
      <c r="M99" s="22" t="s">
        <v>10513</v>
      </c>
      <c r="N99" s="23" t="n">
        <v>44937</v>
      </c>
      <c r="O99" s="22" t="s">
        <v>10492</v>
      </c>
      <c r="P99" s="22"/>
    </row>
    <row r="100" customFormat="false" ht="15" hidden="false" customHeight="false" outlineLevel="0" collapsed="false">
      <c r="A100" s="22" t="s">
        <v>10605</v>
      </c>
      <c r="B100" s="22" t="s">
        <v>9054</v>
      </c>
      <c r="C100" s="23" t="n">
        <v>44936</v>
      </c>
      <c r="D100" s="22" t="s">
        <v>1960</v>
      </c>
      <c r="E100" s="22" t="n">
        <v>695</v>
      </c>
      <c r="F100" s="22" t="s">
        <v>7737</v>
      </c>
      <c r="G100" s="22" t="s">
        <v>215</v>
      </c>
      <c r="H100" s="22" t="n">
        <v>28</v>
      </c>
      <c r="I100" s="22" t="s">
        <v>8603</v>
      </c>
      <c r="J100" s="22" t="s">
        <v>10488</v>
      </c>
      <c r="K100" s="22" t="s">
        <v>10518</v>
      </c>
      <c r="L100" s="22" t="s">
        <v>10490</v>
      </c>
      <c r="M100" s="22" t="s">
        <v>10555</v>
      </c>
      <c r="N100" s="23" t="n">
        <v>44939</v>
      </c>
      <c r="O100" s="22" t="s">
        <v>10492</v>
      </c>
      <c r="P100" s="22"/>
    </row>
    <row r="101" customFormat="false" ht="15" hidden="false" customHeight="false" outlineLevel="0" collapsed="false">
      <c r="A101" s="22" t="s">
        <v>10606</v>
      </c>
      <c r="B101" s="22" t="s">
        <v>9060</v>
      </c>
      <c r="C101" s="23" t="n">
        <v>44975</v>
      </c>
      <c r="D101" s="22" t="s">
        <v>3841</v>
      </c>
      <c r="E101" s="22" t="n">
        <v>1565</v>
      </c>
      <c r="F101" s="22" t="s">
        <v>8054</v>
      </c>
      <c r="G101" s="22" t="s">
        <v>499</v>
      </c>
      <c r="H101" s="22" t="n">
        <v>32</v>
      </c>
      <c r="I101" s="22" t="s">
        <v>8603</v>
      </c>
      <c r="J101" s="22" t="s">
        <v>10488</v>
      </c>
      <c r="K101" s="22" t="s">
        <v>10489</v>
      </c>
      <c r="L101" s="22" t="s">
        <v>10500</v>
      </c>
      <c r="M101" s="22" t="s">
        <v>10506</v>
      </c>
      <c r="N101" s="23" t="n">
        <v>44980</v>
      </c>
      <c r="O101" s="22" t="s">
        <v>10492</v>
      </c>
      <c r="P101" s="22"/>
    </row>
    <row r="102" customFormat="false" ht="15" hidden="false" customHeight="false" outlineLevel="0" collapsed="false">
      <c r="A102" s="22" t="s">
        <v>10607</v>
      </c>
      <c r="B102" s="22" t="s">
        <v>9063</v>
      </c>
      <c r="C102" s="23" t="n">
        <v>44976</v>
      </c>
      <c r="D102" s="22" t="s">
        <v>4044</v>
      </c>
      <c r="E102" s="22" t="n">
        <v>1664</v>
      </c>
      <c r="F102" s="22" t="s">
        <v>8093</v>
      </c>
      <c r="G102" s="22" t="s">
        <v>499</v>
      </c>
      <c r="H102" s="22" t="n">
        <v>60</v>
      </c>
      <c r="I102" s="22" t="s">
        <v>8637</v>
      </c>
      <c r="J102" s="22" t="s">
        <v>10503</v>
      </c>
      <c r="K102" s="22" t="s">
        <v>10489</v>
      </c>
      <c r="L102" s="22" t="s">
        <v>10495</v>
      </c>
      <c r="M102" s="22" t="s">
        <v>10511</v>
      </c>
      <c r="N102" s="23" t="n">
        <v>44976</v>
      </c>
      <c r="O102" s="22" t="s">
        <v>10492</v>
      </c>
      <c r="P102" s="22"/>
    </row>
    <row r="103" customFormat="false" ht="15" hidden="false" customHeight="false" outlineLevel="0" collapsed="false">
      <c r="A103" s="22" t="s">
        <v>10608</v>
      </c>
      <c r="B103" s="22" t="s">
        <v>9064</v>
      </c>
      <c r="C103" s="23" t="n">
        <v>44967</v>
      </c>
      <c r="D103" s="22" t="s">
        <v>5903</v>
      </c>
      <c r="E103" s="22" t="n">
        <v>2582</v>
      </c>
      <c r="F103" s="22" t="s">
        <v>8211</v>
      </c>
      <c r="G103" s="22" t="s">
        <v>499</v>
      </c>
      <c r="H103" s="22" t="n">
        <v>24</v>
      </c>
      <c r="I103" s="22" t="s">
        <v>8618</v>
      </c>
      <c r="J103" s="22" t="s">
        <v>10494</v>
      </c>
      <c r="K103" s="22" t="s">
        <v>10489</v>
      </c>
      <c r="L103" s="22" t="s">
        <v>10490</v>
      </c>
      <c r="M103" s="22" t="s">
        <v>10511</v>
      </c>
      <c r="N103" s="23" t="n">
        <v>44971</v>
      </c>
      <c r="O103" s="22" t="s">
        <v>10492</v>
      </c>
      <c r="P103" s="22"/>
    </row>
    <row r="104" customFormat="false" ht="15" hidden="false" customHeight="false" outlineLevel="0" collapsed="false">
      <c r="A104" s="22" t="s">
        <v>10609</v>
      </c>
      <c r="B104" s="22" t="s">
        <v>9071</v>
      </c>
      <c r="C104" s="23" t="n">
        <v>44974</v>
      </c>
      <c r="D104" s="22" t="s">
        <v>4562</v>
      </c>
      <c r="E104" s="22" t="n">
        <v>1918</v>
      </c>
      <c r="F104" s="22" t="s">
        <v>7289</v>
      </c>
      <c r="G104" s="22" t="s">
        <v>198</v>
      </c>
      <c r="H104" s="22" t="n">
        <v>28</v>
      </c>
      <c r="I104" s="22" t="s">
        <v>8631</v>
      </c>
      <c r="J104" s="22" t="s">
        <v>10498</v>
      </c>
      <c r="K104" s="22" t="s">
        <v>10489</v>
      </c>
      <c r="L104" s="22" t="s">
        <v>10508</v>
      </c>
      <c r="M104" s="22" t="s">
        <v>10504</v>
      </c>
      <c r="N104" s="23" t="n">
        <v>44978</v>
      </c>
      <c r="O104" s="22" t="s">
        <v>10492</v>
      </c>
      <c r="P104" s="22"/>
    </row>
    <row r="105" customFormat="false" ht="15" hidden="false" customHeight="false" outlineLevel="0" collapsed="false">
      <c r="A105" s="22" t="s">
        <v>10610</v>
      </c>
      <c r="B105" s="22" t="s">
        <v>9086</v>
      </c>
      <c r="C105" s="23" t="n">
        <v>45000</v>
      </c>
      <c r="D105" s="22" t="s">
        <v>5786</v>
      </c>
      <c r="E105" s="22" t="n">
        <v>2523</v>
      </c>
      <c r="F105" s="22" t="s">
        <v>8381</v>
      </c>
      <c r="G105" s="22" t="s">
        <v>188</v>
      </c>
      <c r="H105" s="22" t="n">
        <v>24</v>
      </c>
      <c r="I105" s="22" t="s">
        <v>8603</v>
      </c>
      <c r="J105" s="22" t="s">
        <v>10488</v>
      </c>
      <c r="K105" s="22" t="s">
        <v>10518</v>
      </c>
      <c r="L105" s="22" t="s">
        <v>10495</v>
      </c>
      <c r="M105" s="22" t="s">
        <v>10501</v>
      </c>
      <c r="N105" s="23" t="n">
        <v>45003</v>
      </c>
      <c r="O105" s="22" t="s">
        <v>10492</v>
      </c>
      <c r="P105" s="22"/>
    </row>
    <row r="106" customFormat="false" ht="15" hidden="false" customHeight="false" outlineLevel="0" collapsed="false">
      <c r="A106" s="22" t="s">
        <v>10611</v>
      </c>
      <c r="B106" s="22" t="s">
        <v>9087</v>
      </c>
      <c r="C106" s="23" t="n">
        <v>44991</v>
      </c>
      <c r="D106" s="22" t="s">
        <v>3433</v>
      </c>
      <c r="E106" s="22" t="n">
        <v>1366</v>
      </c>
      <c r="F106" s="22" t="s">
        <v>7289</v>
      </c>
      <c r="G106" s="22" t="s">
        <v>198</v>
      </c>
      <c r="H106" s="22" t="n">
        <v>28</v>
      </c>
      <c r="I106" s="22" t="s">
        <v>8603</v>
      </c>
      <c r="J106" s="22" t="s">
        <v>10488</v>
      </c>
      <c r="K106" s="22" t="s">
        <v>10489</v>
      </c>
      <c r="L106" s="22" t="s">
        <v>10495</v>
      </c>
      <c r="M106" s="22" t="s">
        <v>10516</v>
      </c>
      <c r="N106" s="23" t="n">
        <v>44995</v>
      </c>
      <c r="O106" s="22" t="s">
        <v>10492</v>
      </c>
      <c r="P106" s="22"/>
    </row>
    <row r="107" customFormat="false" ht="15" hidden="false" customHeight="false" outlineLevel="0" collapsed="false">
      <c r="A107" s="22" t="s">
        <v>10612</v>
      </c>
      <c r="B107" s="22" t="s">
        <v>9092</v>
      </c>
      <c r="C107" s="23" t="n">
        <v>45012</v>
      </c>
      <c r="D107" s="22" t="s">
        <v>1230</v>
      </c>
      <c r="E107" s="22" t="n">
        <v>388</v>
      </c>
      <c r="F107" s="22" t="s">
        <v>8503</v>
      </c>
      <c r="G107" s="22" t="s">
        <v>188</v>
      </c>
      <c r="H107" s="22" t="n">
        <v>36</v>
      </c>
      <c r="I107" s="22" t="s">
        <v>8603</v>
      </c>
      <c r="J107" s="22" t="s">
        <v>10488</v>
      </c>
      <c r="K107" s="22" t="s">
        <v>10489</v>
      </c>
      <c r="L107" s="22" t="s">
        <v>10500</v>
      </c>
      <c r="M107" s="22" t="s">
        <v>10555</v>
      </c>
      <c r="N107" s="23" t="n">
        <v>45015</v>
      </c>
      <c r="O107" s="22" t="s">
        <v>10492</v>
      </c>
      <c r="P107" s="22"/>
    </row>
    <row r="108" customFormat="false" ht="15" hidden="false" customHeight="false" outlineLevel="0" collapsed="false">
      <c r="A108" s="22" t="s">
        <v>10613</v>
      </c>
      <c r="B108" s="22" t="s">
        <v>9097</v>
      </c>
      <c r="C108" s="23" t="n">
        <v>44995</v>
      </c>
      <c r="D108" s="22" t="s">
        <v>2604</v>
      </c>
      <c r="E108" s="22" t="n">
        <v>984</v>
      </c>
      <c r="F108" s="22" t="s">
        <v>8201</v>
      </c>
      <c r="G108" s="22" t="s">
        <v>499</v>
      </c>
      <c r="H108" s="22" t="n">
        <v>60</v>
      </c>
      <c r="I108" s="22" t="s">
        <v>8631</v>
      </c>
      <c r="J108" s="22" t="s">
        <v>10498</v>
      </c>
      <c r="K108" s="22" t="s">
        <v>10489</v>
      </c>
      <c r="L108" s="22" t="s">
        <v>10495</v>
      </c>
      <c r="M108" s="22" t="s">
        <v>10555</v>
      </c>
      <c r="N108" s="23" t="n">
        <v>44999</v>
      </c>
      <c r="O108" s="22" t="s">
        <v>10492</v>
      </c>
      <c r="P108" s="22"/>
    </row>
    <row r="109" customFormat="false" ht="15" hidden="false" customHeight="false" outlineLevel="0" collapsed="false">
      <c r="A109" s="22" t="s">
        <v>10614</v>
      </c>
      <c r="B109" s="22" t="s">
        <v>9099</v>
      </c>
      <c r="C109" s="23" t="n">
        <v>45006</v>
      </c>
      <c r="D109" s="22" t="s">
        <v>1855</v>
      </c>
      <c r="E109" s="22" t="n">
        <v>649</v>
      </c>
      <c r="F109" s="22" t="s">
        <v>7567</v>
      </c>
      <c r="G109" s="22" t="s">
        <v>159</v>
      </c>
      <c r="H109" s="22" t="n">
        <v>32</v>
      </c>
      <c r="I109" s="22" t="s">
        <v>8603</v>
      </c>
      <c r="J109" s="22" t="s">
        <v>10488</v>
      </c>
      <c r="K109" s="22" t="s">
        <v>10489</v>
      </c>
      <c r="L109" s="22" t="s">
        <v>10500</v>
      </c>
      <c r="M109" s="22" t="s">
        <v>10506</v>
      </c>
      <c r="N109" s="23" t="n">
        <v>45008</v>
      </c>
      <c r="O109" s="22" t="s">
        <v>10492</v>
      </c>
      <c r="P109" s="22"/>
    </row>
    <row r="110" customFormat="false" ht="15" hidden="false" customHeight="false" outlineLevel="0" collapsed="false">
      <c r="A110" s="22" t="s">
        <v>10615</v>
      </c>
      <c r="B110" s="22" t="s">
        <v>9100</v>
      </c>
      <c r="C110" s="23" t="n">
        <v>45010</v>
      </c>
      <c r="D110" s="22" t="s">
        <v>5810</v>
      </c>
      <c r="E110" s="22" t="n">
        <v>2535</v>
      </c>
      <c r="F110" s="22" t="s">
        <v>8034</v>
      </c>
      <c r="G110" s="22" t="s">
        <v>499</v>
      </c>
      <c r="H110" s="22" t="n">
        <v>24</v>
      </c>
      <c r="I110" s="22" t="s">
        <v>8603</v>
      </c>
      <c r="J110" s="22" t="s">
        <v>10488</v>
      </c>
      <c r="K110" s="22" t="s">
        <v>10489</v>
      </c>
      <c r="L110" s="22" t="s">
        <v>10508</v>
      </c>
      <c r="M110" s="22" t="s">
        <v>10491</v>
      </c>
      <c r="N110" s="23" t="n">
        <v>45011</v>
      </c>
      <c r="O110" s="22" t="s">
        <v>10492</v>
      </c>
      <c r="P110" s="22"/>
    </row>
    <row r="111" customFormat="false" ht="15" hidden="false" customHeight="false" outlineLevel="0" collapsed="false">
      <c r="A111" s="22" t="s">
        <v>10616</v>
      </c>
      <c r="B111" s="22" t="s">
        <v>9104</v>
      </c>
      <c r="C111" s="23" t="n">
        <v>45036</v>
      </c>
      <c r="D111" s="22" t="s">
        <v>1433</v>
      </c>
      <c r="E111" s="22" t="n">
        <v>473</v>
      </c>
      <c r="F111" s="22" t="s">
        <v>8511</v>
      </c>
      <c r="G111" s="22" t="s">
        <v>188</v>
      </c>
      <c r="H111" s="22" t="n">
        <v>28</v>
      </c>
      <c r="I111" s="22" t="s">
        <v>8603</v>
      </c>
      <c r="J111" s="22" t="s">
        <v>10488</v>
      </c>
      <c r="K111" s="22" t="s">
        <v>10489</v>
      </c>
      <c r="L111" s="22" t="s">
        <v>10490</v>
      </c>
      <c r="M111" s="22" t="s">
        <v>10555</v>
      </c>
      <c r="N111" s="23" t="n">
        <v>45041</v>
      </c>
      <c r="O111" s="22" t="s">
        <v>10492</v>
      </c>
      <c r="P111" s="22"/>
    </row>
    <row r="112" customFormat="false" ht="15" hidden="false" customHeight="false" outlineLevel="0" collapsed="false">
      <c r="A112" s="22" t="s">
        <v>10617</v>
      </c>
      <c r="B112" s="22" t="s">
        <v>9105</v>
      </c>
      <c r="C112" s="23" t="n">
        <v>45036</v>
      </c>
      <c r="D112" s="22" t="s">
        <v>4610</v>
      </c>
      <c r="E112" s="22" t="n">
        <v>1941</v>
      </c>
      <c r="F112" s="22" t="s">
        <v>8350</v>
      </c>
      <c r="G112" s="22" t="s">
        <v>188</v>
      </c>
      <c r="H112" s="22" t="n">
        <v>32</v>
      </c>
      <c r="I112" s="22" t="s">
        <v>8603</v>
      </c>
      <c r="J112" s="22" t="s">
        <v>10488</v>
      </c>
      <c r="K112" s="22" t="s">
        <v>10489</v>
      </c>
      <c r="L112" s="22" t="s">
        <v>10508</v>
      </c>
      <c r="M112" s="22" t="s">
        <v>10504</v>
      </c>
      <c r="N112" s="23" t="n">
        <v>45037</v>
      </c>
      <c r="O112" s="22" t="s">
        <v>10492</v>
      </c>
      <c r="P112" s="22"/>
    </row>
    <row r="113" customFormat="false" ht="15" hidden="false" customHeight="false" outlineLevel="0" collapsed="false">
      <c r="A113" s="22" t="s">
        <v>10618</v>
      </c>
      <c r="B113" s="22" t="s">
        <v>9120</v>
      </c>
      <c r="C113" s="23" t="n">
        <v>45019</v>
      </c>
      <c r="D113" s="22" t="s">
        <v>4761</v>
      </c>
      <c r="E113" s="22" t="n">
        <v>2014</v>
      </c>
      <c r="F113" s="22" t="s">
        <v>6661</v>
      </c>
      <c r="G113" s="22" t="s">
        <v>198</v>
      </c>
      <c r="H113" s="22" t="n">
        <v>28</v>
      </c>
      <c r="I113" s="22" t="s">
        <v>8603</v>
      </c>
      <c r="J113" s="22" t="s">
        <v>10488</v>
      </c>
      <c r="K113" s="22" t="s">
        <v>10489</v>
      </c>
      <c r="L113" s="22" t="s">
        <v>10495</v>
      </c>
      <c r="M113" s="22" t="s">
        <v>10555</v>
      </c>
      <c r="N113" s="23" t="n">
        <v>45020</v>
      </c>
      <c r="O113" s="22" t="s">
        <v>10492</v>
      </c>
      <c r="P113" s="22"/>
    </row>
    <row r="114" customFormat="false" ht="15" hidden="false" customHeight="false" outlineLevel="0" collapsed="false">
      <c r="A114" s="22" t="s">
        <v>10619</v>
      </c>
      <c r="B114" s="22" t="s">
        <v>9127</v>
      </c>
      <c r="C114" s="23" t="n">
        <v>45025</v>
      </c>
      <c r="D114" s="22" t="s">
        <v>2387</v>
      </c>
      <c r="E114" s="22" t="n">
        <v>886</v>
      </c>
      <c r="F114" s="22" t="s">
        <v>8054</v>
      </c>
      <c r="G114" s="22" t="s">
        <v>499</v>
      </c>
      <c r="H114" s="22" t="n">
        <v>32</v>
      </c>
      <c r="I114" s="22" t="s">
        <v>8618</v>
      </c>
      <c r="J114" s="22" t="s">
        <v>10494</v>
      </c>
      <c r="K114" s="22" t="s">
        <v>10489</v>
      </c>
      <c r="L114" s="22" t="s">
        <v>10495</v>
      </c>
      <c r="M114" s="22" t="s">
        <v>10491</v>
      </c>
      <c r="N114" s="23" t="n">
        <v>45028</v>
      </c>
      <c r="O114" s="22" t="s">
        <v>10492</v>
      </c>
      <c r="P114" s="22"/>
    </row>
    <row r="115" customFormat="false" ht="15" hidden="false" customHeight="false" outlineLevel="0" collapsed="false">
      <c r="A115" s="22" t="s">
        <v>10620</v>
      </c>
      <c r="B115" s="22" t="s">
        <v>9131</v>
      </c>
      <c r="C115" s="23" t="n">
        <v>45027</v>
      </c>
      <c r="D115" s="22" t="s">
        <v>2804</v>
      </c>
      <c r="E115" s="22" t="n">
        <v>1074</v>
      </c>
      <c r="F115" s="22" t="s">
        <v>8009</v>
      </c>
      <c r="G115" s="22" t="s">
        <v>215</v>
      </c>
      <c r="H115" s="22" t="n">
        <v>32</v>
      </c>
      <c r="I115" s="22" t="s">
        <v>8603</v>
      </c>
      <c r="J115" s="22" t="s">
        <v>10488</v>
      </c>
      <c r="K115" s="22" t="s">
        <v>10489</v>
      </c>
      <c r="L115" s="22" t="s">
        <v>10500</v>
      </c>
      <c r="M115" s="22" t="s">
        <v>10555</v>
      </c>
      <c r="N115" s="23" t="n">
        <v>45031</v>
      </c>
      <c r="O115" s="22" t="s">
        <v>10492</v>
      </c>
      <c r="P115" s="22"/>
    </row>
    <row r="116" customFormat="false" ht="15" hidden="false" customHeight="false" outlineLevel="0" collapsed="false">
      <c r="A116" s="22" t="s">
        <v>10621</v>
      </c>
      <c r="B116" s="22" t="s">
        <v>9137</v>
      </c>
      <c r="C116" s="23" t="n">
        <v>45024</v>
      </c>
      <c r="D116" s="22" t="s">
        <v>586</v>
      </c>
      <c r="E116" s="22" t="n">
        <v>145</v>
      </c>
      <c r="F116" s="22" t="s">
        <v>7774</v>
      </c>
      <c r="G116" s="22" t="s">
        <v>215</v>
      </c>
      <c r="H116" s="22" t="n">
        <v>36</v>
      </c>
      <c r="I116" s="22" t="s">
        <v>8618</v>
      </c>
      <c r="J116" s="22" t="s">
        <v>10494</v>
      </c>
      <c r="K116" s="22" t="s">
        <v>10489</v>
      </c>
      <c r="L116" s="22" t="s">
        <v>10490</v>
      </c>
      <c r="M116" s="22" t="s">
        <v>10516</v>
      </c>
      <c r="N116" s="23" t="n">
        <v>45026</v>
      </c>
      <c r="O116" s="22" t="s">
        <v>10492</v>
      </c>
      <c r="P116" s="22"/>
    </row>
    <row r="117" customFormat="false" ht="15" hidden="false" customHeight="false" outlineLevel="0" collapsed="false">
      <c r="A117" s="22" t="s">
        <v>10622</v>
      </c>
      <c r="B117" s="22" t="s">
        <v>9140</v>
      </c>
      <c r="C117" s="23" t="n">
        <v>45044</v>
      </c>
      <c r="D117" s="22" t="s">
        <v>931</v>
      </c>
      <c r="E117" s="22" t="n">
        <v>274</v>
      </c>
      <c r="F117" s="22" t="s">
        <v>8286</v>
      </c>
      <c r="G117" s="22" t="s">
        <v>499</v>
      </c>
      <c r="H117" s="22" t="n">
        <v>50</v>
      </c>
      <c r="I117" s="22" t="s">
        <v>8603</v>
      </c>
      <c r="J117" s="22" t="s">
        <v>10488</v>
      </c>
      <c r="K117" s="22" t="s">
        <v>10489</v>
      </c>
      <c r="L117" s="22" t="s">
        <v>10495</v>
      </c>
      <c r="M117" s="22" t="s">
        <v>10506</v>
      </c>
      <c r="N117" s="23" t="n">
        <v>45045</v>
      </c>
      <c r="O117" s="22" t="s">
        <v>10492</v>
      </c>
      <c r="P117" s="22"/>
    </row>
    <row r="118" customFormat="false" ht="15" hidden="false" customHeight="false" outlineLevel="0" collapsed="false">
      <c r="A118" s="22" t="s">
        <v>10623</v>
      </c>
      <c r="B118" s="22" t="s">
        <v>9150</v>
      </c>
      <c r="C118" s="23" t="n">
        <v>45018</v>
      </c>
      <c r="D118" s="22" t="s">
        <v>423</v>
      </c>
      <c r="E118" s="22" t="n">
        <v>89</v>
      </c>
      <c r="F118" s="22" t="s">
        <v>8108</v>
      </c>
      <c r="G118" s="22" t="s">
        <v>499</v>
      </c>
      <c r="H118" s="22" t="n">
        <v>32</v>
      </c>
      <c r="I118" s="22" t="s">
        <v>8631</v>
      </c>
      <c r="J118" s="22" t="s">
        <v>10498</v>
      </c>
      <c r="K118" s="22" t="s">
        <v>10489</v>
      </c>
      <c r="L118" s="22" t="s">
        <v>10500</v>
      </c>
      <c r="M118" s="22" t="s">
        <v>10501</v>
      </c>
      <c r="N118" s="23" t="n">
        <v>45019</v>
      </c>
      <c r="O118" s="22" t="s">
        <v>10492</v>
      </c>
      <c r="P118" s="22"/>
    </row>
    <row r="119" customFormat="false" ht="15" hidden="false" customHeight="false" outlineLevel="0" collapsed="false">
      <c r="A119" s="22" t="s">
        <v>10624</v>
      </c>
      <c r="B119" s="22" t="s">
        <v>9153</v>
      </c>
      <c r="C119" s="23" t="n">
        <v>45059</v>
      </c>
      <c r="D119" s="22" t="s">
        <v>3679</v>
      </c>
      <c r="E119" s="22" t="n">
        <v>1485</v>
      </c>
      <c r="F119" s="22" t="s">
        <v>7494</v>
      </c>
      <c r="G119" s="22" t="s">
        <v>159</v>
      </c>
      <c r="H119" s="22" t="n">
        <v>32</v>
      </c>
      <c r="I119" s="22" t="s">
        <v>8618</v>
      </c>
      <c r="J119" s="22" t="s">
        <v>10494</v>
      </c>
      <c r="K119" s="22" t="s">
        <v>10489</v>
      </c>
      <c r="L119" s="22" t="s">
        <v>10490</v>
      </c>
      <c r="M119" s="22" t="s">
        <v>10496</v>
      </c>
      <c r="N119" s="23" t="n">
        <v>45062</v>
      </c>
      <c r="O119" s="22" t="s">
        <v>10492</v>
      </c>
      <c r="P119" s="22"/>
    </row>
    <row r="120" customFormat="false" ht="15" hidden="false" customHeight="false" outlineLevel="0" collapsed="false">
      <c r="A120" s="22" t="s">
        <v>10625</v>
      </c>
      <c r="B120" s="22" t="s">
        <v>9154</v>
      </c>
      <c r="C120" s="23" t="n">
        <v>45051</v>
      </c>
      <c r="D120" s="22" t="s">
        <v>5038</v>
      </c>
      <c r="E120" s="22" t="n">
        <v>2151</v>
      </c>
      <c r="F120" s="22" t="s">
        <v>7370</v>
      </c>
      <c r="G120" s="22" t="s">
        <v>159</v>
      </c>
      <c r="H120" s="22" t="n">
        <v>28</v>
      </c>
      <c r="I120" s="22" t="s">
        <v>8631</v>
      </c>
      <c r="J120" s="22" t="s">
        <v>10498</v>
      </c>
      <c r="K120" s="22" t="s">
        <v>10489</v>
      </c>
      <c r="L120" s="22" t="s">
        <v>10500</v>
      </c>
      <c r="M120" s="22" t="s">
        <v>10496</v>
      </c>
      <c r="N120" s="23" t="n">
        <v>45054</v>
      </c>
      <c r="O120" s="22" t="s">
        <v>10492</v>
      </c>
      <c r="P120" s="22"/>
    </row>
    <row r="121" customFormat="false" ht="15" hidden="false" customHeight="false" outlineLevel="0" collapsed="false">
      <c r="A121" s="22" t="s">
        <v>10626</v>
      </c>
      <c r="B121" s="22" t="s">
        <v>9162</v>
      </c>
      <c r="C121" s="23" t="n">
        <v>45048</v>
      </c>
      <c r="D121" s="22" t="s">
        <v>1424</v>
      </c>
      <c r="E121" s="22" t="n">
        <v>469</v>
      </c>
      <c r="F121" s="22" t="s">
        <v>7255</v>
      </c>
      <c r="G121" s="22" t="s">
        <v>198</v>
      </c>
      <c r="H121" s="22" t="n">
        <v>32</v>
      </c>
      <c r="I121" s="22" t="s">
        <v>8603</v>
      </c>
      <c r="J121" s="22" t="s">
        <v>10488</v>
      </c>
      <c r="K121" s="22" t="s">
        <v>10489</v>
      </c>
      <c r="L121" s="22" t="s">
        <v>10508</v>
      </c>
      <c r="M121" s="22" t="s">
        <v>10506</v>
      </c>
      <c r="N121" s="23" t="n">
        <v>45051</v>
      </c>
      <c r="O121" s="22" t="s">
        <v>10492</v>
      </c>
      <c r="P121" s="22"/>
    </row>
    <row r="122" customFormat="false" ht="15" hidden="false" customHeight="false" outlineLevel="0" collapsed="false">
      <c r="A122" s="22" t="s">
        <v>10627</v>
      </c>
      <c r="B122" s="22" t="s">
        <v>9163</v>
      </c>
      <c r="C122" s="23" t="n">
        <v>45058</v>
      </c>
      <c r="D122" s="22" t="s">
        <v>5100</v>
      </c>
      <c r="E122" s="22" t="n">
        <v>2181</v>
      </c>
      <c r="F122" s="22" t="s">
        <v>8569</v>
      </c>
      <c r="G122" s="22" t="s">
        <v>188</v>
      </c>
      <c r="H122" s="22" t="n">
        <v>80</v>
      </c>
      <c r="I122" s="22" t="s">
        <v>8603</v>
      </c>
      <c r="J122" s="22" t="s">
        <v>10488</v>
      </c>
      <c r="K122" s="22" t="s">
        <v>10489</v>
      </c>
      <c r="L122" s="22" t="s">
        <v>10508</v>
      </c>
      <c r="M122" s="22" t="s">
        <v>10496</v>
      </c>
      <c r="N122" s="23" t="n">
        <v>45063</v>
      </c>
      <c r="O122" s="22" t="s">
        <v>10492</v>
      </c>
      <c r="P122" s="22"/>
    </row>
    <row r="123" customFormat="false" ht="15" hidden="false" customHeight="false" outlineLevel="0" collapsed="false">
      <c r="A123" s="22" t="s">
        <v>10628</v>
      </c>
      <c r="B123" s="22" t="s">
        <v>9164</v>
      </c>
      <c r="C123" s="23" t="n">
        <v>45066</v>
      </c>
      <c r="D123" s="22" t="s">
        <v>6368</v>
      </c>
      <c r="E123" s="22" t="n">
        <v>2816</v>
      </c>
      <c r="F123" s="22" t="s">
        <v>7323</v>
      </c>
      <c r="G123" s="22" t="s">
        <v>159</v>
      </c>
      <c r="H123" s="22" t="n">
        <v>28</v>
      </c>
      <c r="I123" s="22" t="s">
        <v>8637</v>
      </c>
      <c r="J123" s="22" t="s">
        <v>10503</v>
      </c>
      <c r="K123" s="22" t="s">
        <v>10489</v>
      </c>
      <c r="L123" s="22" t="s">
        <v>10508</v>
      </c>
      <c r="M123" s="22" t="s">
        <v>10513</v>
      </c>
      <c r="N123" s="23" t="n">
        <v>45070</v>
      </c>
      <c r="O123" s="22" t="s">
        <v>10492</v>
      </c>
      <c r="P123" s="22"/>
    </row>
    <row r="124" customFormat="false" ht="15" hidden="false" customHeight="false" outlineLevel="0" collapsed="false">
      <c r="A124" s="22" t="s">
        <v>10629</v>
      </c>
      <c r="B124" s="22" t="s">
        <v>9166</v>
      </c>
      <c r="C124" s="23" t="n">
        <v>45067</v>
      </c>
      <c r="D124" s="22" t="s">
        <v>6163</v>
      </c>
      <c r="E124" s="22" t="n">
        <v>2712</v>
      </c>
      <c r="F124" s="22" t="s">
        <v>6615</v>
      </c>
      <c r="G124" s="22" t="s">
        <v>198</v>
      </c>
      <c r="H124" s="22" t="n">
        <v>36</v>
      </c>
      <c r="I124" s="22" t="s">
        <v>8631</v>
      </c>
      <c r="J124" s="22" t="s">
        <v>10498</v>
      </c>
      <c r="K124" s="22" t="s">
        <v>10489</v>
      </c>
      <c r="L124" s="22" t="s">
        <v>10490</v>
      </c>
      <c r="M124" s="22" t="s">
        <v>10491</v>
      </c>
      <c r="N124" s="23" t="n">
        <v>45070</v>
      </c>
      <c r="O124" s="22" t="s">
        <v>10492</v>
      </c>
      <c r="P124" s="22"/>
    </row>
    <row r="125" customFormat="false" ht="15" hidden="false" customHeight="false" outlineLevel="0" collapsed="false">
      <c r="A125" s="22" t="s">
        <v>10630</v>
      </c>
      <c r="B125" s="22" t="s">
        <v>9167</v>
      </c>
      <c r="C125" s="23" t="n">
        <v>45065</v>
      </c>
      <c r="D125" s="22" t="s">
        <v>2861</v>
      </c>
      <c r="E125" s="22" t="n">
        <v>1100</v>
      </c>
      <c r="F125" s="22" t="s">
        <v>7471</v>
      </c>
      <c r="G125" s="22" t="s">
        <v>159</v>
      </c>
      <c r="H125" s="22" t="n">
        <v>36</v>
      </c>
      <c r="I125" s="22" t="s">
        <v>8637</v>
      </c>
      <c r="J125" s="22" t="s">
        <v>10503</v>
      </c>
      <c r="K125" s="22" t="s">
        <v>10489</v>
      </c>
      <c r="L125" s="22" t="s">
        <v>10490</v>
      </c>
      <c r="M125" s="22" t="s">
        <v>10555</v>
      </c>
      <c r="N125" s="23" t="n">
        <v>45069</v>
      </c>
      <c r="O125" s="22" t="s">
        <v>10492</v>
      </c>
      <c r="P125" s="22"/>
    </row>
    <row r="126" customFormat="false" ht="15" hidden="false" customHeight="false" outlineLevel="0" collapsed="false">
      <c r="A126" s="22" t="s">
        <v>10631</v>
      </c>
      <c r="B126" s="22" t="s">
        <v>9176</v>
      </c>
      <c r="C126" s="23" t="n">
        <v>45067</v>
      </c>
      <c r="D126" s="22" t="s">
        <v>4275</v>
      </c>
      <c r="E126" s="22" t="n">
        <v>1777</v>
      </c>
      <c r="F126" s="22" t="s">
        <v>6793</v>
      </c>
      <c r="G126" s="22" t="s">
        <v>198</v>
      </c>
      <c r="H126" s="22" t="n">
        <v>28</v>
      </c>
      <c r="I126" s="22" t="s">
        <v>8603</v>
      </c>
      <c r="J126" s="22" t="s">
        <v>10488</v>
      </c>
      <c r="K126" s="22" t="s">
        <v>10489</v>
      </c>
      <c r="L126" s="22" t="s">
        <v>10508</v>
      </c>
      <c r="M126" s="22" t="s">
        <v>10511</v>
      </c>
      <c r="N126" s="23" t="n">
        <v>45068</v>
      </c>
      <c r="O126" s="22" t="s">
        <v>10492</v>
      </c>
      <c r="P126" s="22"/>
    </row>
    <row r="127" customFormat="false" ht="15" hidden="false" customHeight="false" outlineLevel="0" collapsed="false">
      <c r="A127" s="22" t="s">
        <v>10632</v>
      </c>
      <c r="B127" s="22" t="s">
        <v>9180</v>
      </c>
      <c r="C127" s="23" t="n">
        <v>45056</v>
      </c>
      <c r="D127" s="22" t="s">
        <v>2937</v>
      </c>
      <c r="E127" s="22" t="n">
        <v>1134</v>
      </c>
      <c r="F127" s="22" t="s">
        <v>7795</v>
      </c>
      <c r="G127" s="22" t="s">
        <v>215</v>
      </c>
      <c r="H127" s="22" t="n">
        <v>60</v>
      </c>
      <c r="I127" s="22" t="s">
        <v>8618</v>
      </c>
      <c r="J127" s="22" t="s">
        <v>10494</v>
      </c>
      <c r="K127" s="22" t="s">
        <v>10489</v>
      </c>
      <c r="L127" s="22" t="s">
        <v>10490</v>
      </c>
      <c r="M127" s="22" t="s">
        <v>10513</v>
      </c>
      <c r="N127" s="23" t="n">
        <v>45058</v>
      </c>
      <c r="O127" s="22" t="s">
        <v>10492</v>
      </c>
      <c r="P127" s="22"/>
    </row>
    <row r="128" customFormat="false" ht="15" hidden="false" customHeight="false" outlineLevel="0" collapsed="false">
      <c r="A128" s="22" t="s">
        <v>10633</v>
      </c>
      <c r="B128" s="22" t="s">
        <v>9184</v>
      </c>
      <c r="C128" s="23" t="n">
        <v>45067</v>
      </c>
      <c r="D128" s="22" t="s">
        <v>1308</v>
      </c>
      <c r="E128" s="22" t="n">
        <v>420</v>
      </c>
      <c r="F128" s="22" t="s">
        <v>8429</v>
      </c>
      <c r="G128" s="22" t="s">
        <v>188</v>
      </c>
      <c r="H128" s="22" t="n">
        <v>45</v>
      </c>
      <c r="I128" s="22" t="s">
        <v>8603</v>
      </c>
      <c r="J128" s="22" t="s">
        <v>10488</v>
      </c>
      <c r="K128" s="22" t="s">
        <v>10489</v>
      </c>
      <c r="L128" s="22" t="s">
        <v>10500</v>
      </c>
      <c r="M128" s="22" t="s">
        <v>10555</v>
      </c>
      <c r="N128" s="23" t="n">
        <v>45069</v>
      </c>
      <c r="O128" s="22" t="s">
        <v>10492</v>
      </c>
      <c r="P128" s="22"/>
    </row>
    <row r="129" customFormat="false" ht="15" hidden="false" customHeight="false" outlineLevel="0" collapsed="false">
      <c r="A129" s="22" t="s">
        <v>10634</v>
      </c>
      <c r="B129" s="22" t="s">
        <v>9185</v>
      </c>
      <c r="C129" s="23" t="n">
        <v>45050</v>
      </c>
      <c r="D129" s="22" t="s">
        <v>5814</v>
      </c>
      <c r="E129" s="22" t="n">
        <v>2537</v>
      </c>
      <c r="F129" s="22" t="s">
        <v>8233</v>
      </c>
      <c r="G129" s="22" t="s">
        <v>499</v>
      </c>
      <c r="H129" s="22" t="n">
        <v>32</v>
      </c>
      <c r="I129" s="22" t="s">
        <v>8618</v>
      </c>
      <c r="J129" s="22" t="s">
        <v>10494</v>
      </c>
      <c r="K129" s="22" t="s">
        <v>10489</v>
      </c>
      <c r="L129" s="22" t="s">
        <v>10508</v>
      </c>
      <c r="M129" s="22" t="s">
        <v>10516</v>
      </c>
      <c r="N129" s="23" t="n">
        <v>45052</v>
      </c>
      <c r="O129" s="22" t="s">
        <v>10492</v>
      </c>
      <c r="P129" s="22"/>
    </row>
    <row r="130" customFormat="false" ht="15" hidden="false" customHeight="false" outlineLevel="0" collapsed="false">
      <c r="A130" s="22" t="s">
        <v>10635</v>
      </c>
      <c r="B130" s="22" t="s">
        <v>9190</v>
      </c>
      <c r="C130" s="23" t="n">
        <v>45048</v>
      </c>
      <c r="D130" s="22" t="s">
        <v>5094</v>
      </c>
      <c r="E130" s="22" t="n">
        <v>2178</v>
      </c>
      <c r="F130" s="22" t="s">
        <v>7596</v>
      </c>
      <c r="G130" s="22" t="s">
        <v>159</v>
      </c>
      <c r="H130" s="22" t="n">
        <v>32</v>
      </c>
      <c r="I130" s="22" t="s">
        <v>8603</v>
      </c>
      <c r="J130" s="22" t="s">
        <v>10488</v>
      </c>
      <c r="K130" s="22" t="s">
        <v>10489</v>
      </c>
      <c r="L130" s="22" t="s">
        <v>10500</v>
      </c>
      <c r="M130" s="22" t="s">
        <v>10516</v>
      </c>
      <c r="N130" s="23" t="n">
        <v>45048</v>
      </c>
      <c r="O130" s="22" t="s">
        <v>10492</v>
      </c>
      <c r="P130" s="22"/>
    </row>
    <row r="131" customFormat="false" ht="15" hidden="false" customHeight="false" outlineLevel="0" collapsed="false">
      <c r="A131" s="22" t="s">
        <v>10636</v>
      </c>
      <c r="B131" s="22" t="s">
        <v>9199</v>
      </c>
      <c r="C131" s="23" t="n">
        <v>45089</v>
      </c>
      <c r="D131" s="22" t="s">
        <v>4575</v>
      </c>
      <c r="E131" s="22" t="n">
        <v>1924</v>
      </c>
      <c r="F131" s="22" t="s">
        <v>7572</v>
      </c>
      <c r="G131" s="22" t="s">
        <v>159</v>
      </c>
      <c r="H131" s="22" t="n">
        <v>40</v>
      </c>
      <c r="I131" s="22" t="s">
        <v>8618</v>
      </c>
      <c r="J131" s="22" t="s">
        <v>10494</v>
      </c>
      <c r="K131" s="22" t="s">
        <v>10489</v>
      </c>
      <c r="L131" s="22" t="s">
        <v>10490</v>
      </c>
      <c r="M131" s="22" t="s">
        <v>10496</v>
      </c>
      <c r="N131" s="23" t="n">
        <v>45093</v>
      </c>
      <c r="O131" s="22" t="s">
        <v>10492</v>
      </c>
      <c r="P131" s="22"/>
    </row>
    <row r="132" customFormat="false" ht="15" hidden="false" customHeight="false" outlineLevel="0" collapsed="false">
      <c r="A132" s="22" t="s">
        <v>10637</v>
      </c>
      <c r="B132" s="22" t="s">
        <v>9200</v>
      </c>
      <c r="C132" s="23" t="n">
        <v>45092</v>
      </c>
      <c r="D132" s="22" t="s">
        <v>2155</v>
      </c>
      <c r="E132" s="22" t="n">
        <v>781</v>
      </c>
      <c r="F132" s="22" t="s">
        <v>6708</v>
      </c>
      <c r="G132" s="22" t="s">
        <v>198</v>
      </c>
      <c r="H132" s="22" t="n">
        <v>28</v>
      </c>
      <c r="I132" s="22" t="s">
        <v>8637</v>
      </c>
      <c r="J132" s="22" t="s">
        <v>10503</v>
      </c>
      <c r="K132" s="22" t="s">
        <v>10518</v>
      </c>
      <c r="L132" s="22" t="s">
        <v>10508</v>
      </c>
      <c r="M132" s="22" t="s">
        <v>10516</v>
      </c>
      <c r="N132" s="23" t="n">
        <v>45096</v>
      </c>
      <c r="O132" s="22" t="s">
        <v>10492</v>
      </c>
      <c r="P132" s="22"/>
    </row>
    <row r="133" customFormat="false" ht="15" hidden="false" customHeight="false" outlineLevel="0" collapsed="false">
      <c r="A133" s="22" t="s">
        <v>10638</v>
      </c>
      <c r="B133" s="22" t="s">
        <v>9201</v>
      </c>
      <c r="C133" s="23" t="n">
        <v>45085</v>
      </c>
      <c r="D133" s="22" t="s">
        <v>718</v>
      </c>
      <c r="E133" s="22" t="n">
        <v>193</v>
      </c>
      <c r="F133" s="22" t="s">
        <v>7346</v>
      </c>
      <c r="G133" s="22" t="s">
        <v>159</v>
      </c>
      <c r="H133" s="22" t="n">
        <v>28</v>
      </c>
      <c r="I133" s="22" t="s">
        <v>8631</v>
      </c>
      <c r="J133" s="22" t="s">
        <v>10498</v>
      </c>
      <c r="K133" s="22" t="s">
        <v>10489</v>
      </c>
      <c r="L133" s="22" t="s">
        <v>10500</v>
      </c>
      <c r="M133" s="22" t="s">
        <v>10504</v>
      </c>
      <c r="N133" s="23" t="n">
        <v>45085</v>
      </c>
      <c r="O133" s="22" t="s">
        <v>10492</v>
      </c>
      <c r="P133" s="22"/>
    </row>
    <row r="134" customFormat="false" ht="15" hidden="false" customHeight="false" outlineLevel="0" collapsed="false">
      <c r="A134" s="22" t="s">
        <v>10639</v>
      </c>
      <c r="B134" s="22" t="s">
        <v>9211</v>
      </c>
      <c r="C134" s="23" t="n">
        <v>45087</v>
      </c>
      <c r="D134" s="22" t="s">
        <v>1052</v>
      </c>
      <c r="E134" s="22" t="n">
        <v>319</v>
      </c>
      <c r="F134" s="22" t="s">
        <v>8319</v>
      </c>
      <c r="G134" s="22" t="s">
        <v>499</v>
      </c>
      <c r="H134" s="22" t="n">
        <v>60</v>
      </c>
      <c r="I134" s="22" t="s">
        <v>8618</v>
      </c>
      <c r="J134" s="22" t="s">
        <v>10494</v>
      </c>
      <c r="K134" s="22" t="s">
        <v>10489</v>
      </c>
      <c r="L134" s="22" t="s">
        <v>10490</v>
      </c>
      <c r="M134" s="22" t="s">
        <v>10516</v>
      </c>
      <c r="N134" s="23" t="n">
        <v>45088</v>
      </c>
      <c r="O134" s="22" t="s">
        <v>10492</v>
      </c>
      <c r="P134" s="22"/>
    </row>
    <row r="135" customFormat="false" ht="15" hidden="false" customHeight="false" outlineLevel="0" collapsed="false">
      <c r="A135" s="22" t="s">
        <v>10640</v>
      </c>
      <c r="B135" s="22" t="s">
        <v>9212</v>
      </c>
      <c r="C135" s="23" t="n">
        <v>45101</v>
      </c>
      <c r="D135" s="22" t="s">
        <v>3023</v>
      </c>
      <c r="E135" s="22" t="n">
        <v>1173</v>
      </c>
      <c r="F135" s="22" t="s">
        <v>8375</v>
      </c>
      <c r="G135" s="22" t="s">
        <v>188</v>
      </c>
      <c r="H135" s="22" t="n">
        <v>45</v>
      </c>
      <c r="I135" s="22" t="s">
        <v>8603</v>
      </c>
      <c r="J135" s="22" t="s">
        <v>10488</v>
      </c>
      <c r="K135" s="22" t="s">
        <v>10489</v>
      </c>
      <c r="L135" s="22" t="s">
        <v>10495</v>
      </c>
      <c r="M135" s="22" t="s">
        <v>10516</v>
      </c>
      <c r="N135" s="23" t="n">
        <v>45101</v>
      </c>
      <c r="O135" s="22" t="s">
        <v>10492</v>
      </c>
      <c r="P135" s="22"/>
    </row>
    <row r="136" customFormat="false" ht="15" hidden="false" customHeight="false" outlineLevel="0" collapsed="false">
      <c r="A136" s="22" t="s">
        <v>10641</v>
      </c>
      <c r="B136" s="22" t="s">
        <v>9215</v>
      </c>
      <c r="C136" s="23" t="n">
        <v>45102</v>
      </c>
      <c r="D136" s="22" t="s">
        <v>1657</v>
      </c>
      <c r="E136" s="22" t="n">
        <v>568</v>
      </c>
      <c r="F136" s="22" t="s">
        <v>6705</v>
      </c>
      <c r="G136" s="22" t="s">
        <v>198</v>
      </c>
      <c r="H136" s="22" t="n">
        <v>28</v>
      </c>
      <c r="I136" s="22" t="s">
        <v>8631</v>
      </c>
      <c r="J136" s="22" t="s">
        <v>10498</v>
      </c>
      <c r="K136" s="22" t="s">
        <v>10489</v>
      </c>
      <c r="L136" s="22" t="s">
        <v>10490</v>
      </c>
      <c r="M136" s="22" t="s">
        <v>10496</v>
      </c>
      <c r="N136" s="23" t="n">
        <v>45106</v>
      </c>
      <c r="O136" s="22" t="s">
        <v>10492</v>
      </c>
      <c r="P136" s="22"/>
    </row>
    <row r="137" customFormat="false" ht="15" hidden="false" customHeight="false" outlineLevel="0" collapsed="false">
      <c r="A137" s="22" t="s">
        <v>10642</v>
      </c>
      <c r="B137" s="22" t="s">
        <v>9216</v>
      </c>
      <c r="C137" s="23" t="n">
        <v>45085</v>
      </c>
      <c r="D137" s="22" t="s">
        <v>6255</v>
      </c>
      <c r="E137" s="22" t="n">
        <v>2758</v>
      </c>
      <c r="F137" s="22" t="s">
        <v>6639</v>
      </c>
      <c r="G137" s="22" t="s">
        <v>198</v>
      </c>
      <c r="H137" s="22" t="n">
        <v>32</v>
      </c>
      <c r="I137" s="22" t="s">
        <v>8637</v>
      </c>
      <c r="J137" s="22" t="s">
        <v>10503</v>
      </c>
      <c r="K137" s="22" t="s">
        <v>10489</v>
      </c>
      <c r="L137" s="22" t="s">
        <v>10508</v>
      </c>
      <c r="M137" s="22" t="s">
        <v>10516</v>
      </c>
      <c r="N137" s="23" t="n">
        <v>45087</v>
      </c>
      <c r="O137" s="22" t="s">
        <v>10492</v>
      </c>
      <c r="P137" s="22"/>
    </row>
    <row r="138" customFormat="false" ht="15" hidden="false" customHeight="false" outlineLevel="0" collapsed="false">
      <c r="A138" s="22" t="s">
        <v>10643</v>
      </c>
      <c r="B138" s="22" t="s">
        <v>9217</v>
      </c>
      <c r="C138" s="23" t="n">
        <v>45084</v>
      </c>
      <c r="D138" s="22" t="s">
        <v>3782</v>
      </c>
      <c r="E138" s="22" t="n">
        <v>1535</v>
      </c>
      <c r="F138" s="22" t="s">
        <v>7587</v>
      </c>
      <c r="G138" s="22" t="s">
        <v>159</v>
      </c>
      <c r="H138" s="22" t="n">
        <v>32</v>
      </c>
      <c r="I138" s="22" t="s">
        <v>8631</v>
      </c>
      <c r="J138" s="22" t="s">
        <v>10498</v>
      </c>
      <c r="K138" s="22" t="s">
        <v>10489</v>
      </c>
      <c r="L138" s="22" t="s">
        <v>10490</v>
      </c>
      <c r="M138" s="22" t="s">
        <v>10516</v>
      </c>
      <c r="N138" s="23" t="n">
        <v>45085</v>
      </c>
      <c r="O138" s="22" t="s">
        <v>10492</v>
      </c>
      <c r="P138" s="22"/>
    </row>
    <row r="139" customFormat="false" ht="15" hidden="false" customHeight="false" outlineLevel="0" collapsed="false">
      <c r="A139" s="22" t="s">
        <v>10644</v>
      </c>
      <c r="B139" s="22" t="s">
        <v>9220</v>
      </c>
      <c r="C139" s="23" t="n">
        <v>45090</v>
      </c>
      <c r="D139" s="22" t="s">
        <v>4041</v>
      </c>
      <c r="E139" s="22" t="n">
        <v>1663</v>
      </c>
      <c r="F139" s="22" t="s">
        <v>8265</v>
      </c>
      <c r="G139" s="22" t="s">
        <v>499</v>
      </c>
      <c r="H139" s="22" t="n">
        <v>70</v>
      </c>
      <c r="I139" s="22" t="s">
        <v>8603</v>
      </c>
      <c r="J139" s="22" t="s">
        <v>10488</v>
      </c>
      <c r="K139" s="22" t="s">
        <v>10489</v>
      </c>
      <c r="L139" s="22" t="s">
        <v>10490</v>
      </c>
      <c r="M139" s="22" t="s">
        <v>10513</v>
      </c>
      <c r="N139" s="23" t="n">
        <v>45093</v>
      </c>
      <c r="O139" s="22" t="s">
        <v>10492</v>
      </c>
      <c r="P139" s="22"/>
    </row>
    <row r="140" customFormat="false" ht="15" hidden="false" customHeight="false" outlineLevel="0" collapsed="false">
      <c r="A140" s="22" t="s">
        <v>10645</v>
      </c>
      <c r="B140" s="22" t="s">
        <v>9227</v>
      </c>
      <c r="C140" s="23" t="n">
        <v>45086</v>
      </c>
      <c r="D140" s="22" t="s">
        <v>539</v>
      </c>
      <c r="E140" s="22" t="n">
        <v>129</v>
      </c>
      <c r="F140" s="22" t="s">
        <v>8148</v>
      </c>
      <c r="G140" s="22" t="s">
        <v>499</v>
      </c>
      <c r="H140" s="22" t="n">
        <v>45</v>
      </c>
      <c r="I140" s="22" t="s">
        <v>8637</v>
      </c>
      <c r="J140" s="22" t="s">
        <v>10503</v>
      </c>
      <c r="K140" s="22" t="s">
        <v>10489</v>
      </c>
      <c r="L140" s="22" t="s">
        <v>10495</v>
      </c>
      <c r="M140" s="22" t="s">
        <v>10504</v>
      </c>
      <c r="N140" s="23" t="n">
        <v>45091</v>
      </c>
      <c r="O140" s="22" t="s">
        <v>10492</v>
      </c>
      <c r="P140" s="22"/>
    </row>
    <row r="141" customFormat="false" ht="15" hidden="false" customHeight="false" outlineLevel="0" collapsed="false">
      <c r="A141" s="22" t="s">
        <v>10646</v>
      </c>
      <c r="B141" s="22" t="s">
        <v>9233</v>
      </c>
      <c r="C141" s="23" t="n">
        <v>45089</v>
      </c>
      <c r="D141" s="22" t="s">
        <v>4934</v>
      </c>
      <c r="E141" s="22" t="n">
        <v>2100</v>
      </c>
      <c r="F141" s="22" t="s">
        <v>7899</v>
      </c>
      <c r="G141" s="22" t="s">
        <v>215</v>
      </c>
      <c r="H141" s="22" t="n">
        <v>70</v>
      </c>
      <c r="I141" s="22" t="s">
        <v>8603</v>
      </c>
      <c r="J141" s="22" t="s">
        <v>10488</v>
      </c>
      <c r="K141" s="22" t="s">
        <v>10489</v>
      </c>
      <c r="L141" s="22" t="s">
        <v>10500</v>
      </c>
      <c r="M141" s="22" t="s">
        <v>10511</v>
      </c>
      <c r="N141" s="23" t="n">
        <v>45089</v>
      </c>
      <c r="O141" s="22" t="s">
        <v>10492</v>
      </c>
      <c r="P141" s="22"/>
    </row>
    <row r="142" customFormat="false" ht="15" hidden="false" customHeight="false" outlineLevel="0" collapsed="false">
      <c r="A142" s="22" t="s">
        <v>10647</v>
      </c>
      <c r="B142" s="22" t="s">
        <v>9241</v>
      </c>
      <c r="C142" s="23" t="n">
        <v>45111</v>
      </c>
      <c r="D142" s="22" t="s">
        <v>6447</v>
      </c>
      <c r="E142" s="22" t="n">
        <v>2857</v>
      </c>
      <c r="F142" s="22" t="s">
        <v>8487</v>
      </c>
      <c r="G142" s="22" t="s">
        <v>188</v>
      </c>
      <c r="H142" s="22" t="n">
        <v>40</v>
      </c>
      <c r="I142" s="22" t="s">
        <v>8618</v>
      </c>
      <c r="J142" s="22" t="s">
        <v>10494</v>
      </c>
      <c r="K142" s="22" t="s">
        <v>10489</v>
      </c>
      <c r="L142" s="22" t="s">
        <v>10508</v>
      </c>
      <c r="M142" s="22" t="s">
        <v>10555</v>
      </c>
      <c r="N142" s="23" t="n">
        <v>45116</v>
      </c>
      <c r="O142" s="22" t="s">
        <v>10492</v>
      </c>
      <c r="P142" s="22"/>
    </row>
    <row r="143" customFormat="false" ht="15" hidden="false" customHeight="false" outlineLevel="0" collapsed="false">
      <c r="A143" s="22" t="s">
        <v>10648</v>
      </c>
      <c r="B143" s="22" t="s">
        <v>9242</v>
      </c>
      <c r="C143" s="23" t="n">
        <v>45122</v>
      </c>
      <c r="D143" s="22" t="s">
        <v>322</v>
      </c>
      <c r="E143" s="22" t="n">
        <v>54</v>
      </c>
      <c r="F143" s="22" t="s">
        <v>7532</v>
      </c>
      <c r="G143" s="22" t="s">
        <v>159</v>
      </c>
      <c r="H143" s="22" t="n">
        <v>40</v>
      </c>
      <c r="I143" s="22" t="s">
        <v>8603</v>
      </c>
      <c r="J143" s="22" t="s">
        <v>10488</v>
      </c>
      <c r="K143" s="22" t="s">
        <v>10489</v>
      </c>
      <c r="L143" s="22" t="s">
        <v>10490</v>
      </c>
      <c r="M143" s="22" t="s">
        <v>10511</v>
      </c>
      <c r="N143" s="23" t="n">
        <v>45127</v>
      </c>
      <c r="O143" s="22" t="s">
        <v>10492</v>
      </c>
      <c r="P143" s="22"/>
    </row>
    <row r="144" customFormat="false" ht="15" hidden="false" customHeight="false" outlineLevel="0" collapsed="false">
      <c r="A144" s="22" t="s">
        <v>10649</v>
      </c>
      <c r="B144" s="22" t="s">
        <v>9245</v>
      </c>
      <c r="C144" s="23" t="n">
        <v>45110</v>
      </c>
      <c r="D144" s="22" t="s">
        <v>2002</v>
      </c>
      <c r="E144" s="22" t="n">
        <v>712</v>
      </c>
      <c r="F144" s="22" t="s">
        <v>8057</v>
      </c>
      <c r="G144" s="22" t="s">
        <v>499</v>
      </c>
      <c r="H144" s="22" t="n">
        <v>60</v>
      </c>
      <c r="I144" s="22" t="s">
        <v>8603</v>
      </c>
      <c r="J144" s="22" t="s">
        <v>10488</v>
      </c>
      <c r="K144" s="22" t="s">
        <v>10489</v>
      </c>
      <c r="L144" s="22" t="s">
        <v>10490</v>
      </c>
      <c r="M144" s="22" t="s">
        <v>10506</v>
      </c>
      <c r="N144" s="23" t="n">
        <v>45111</v>
      </c>
      <c r="O144" s="22" t="s">
        <v>10492</v>
      </c>
      <c r="P144" s="22"/>
    </row>
    <row r="145" customFormat="false" ht="15" hidden="false" customHeight="false" outlineLevel="0" collapsed="false">
      <c r="A145" s="22" t="s">
        <v>10650</v>
      </c>
      <c r="B145" s="22" t="s">
        <v>9247</v>
      </c>
      <c r="C145" s="23" t="n">
        <v>45114</v>
      </c>
      <c r="D145" s="22" t="s">
        <v>2994</v>
      </c>
      <c r="E145" s="22" t="n">
        <v>1160</v>
      </c>
      <c r="F145" s="22" t="s">
        <v>6914</v>
      </c>
      <c r="G145" s="22" t="s">
        <v>198</v>
      </c>
      <c r="H145" s="22" t="n">
        <v>32</v>
      </c>
      <c r="I145" s="22" t="s">
        <v>8618</v>
      </c>
      <c r="J145" s="22" t="s">
        <v>10494</v>
      </c>
      <c r="K145" s="22" t="s">
        <v>10489</v>
      </c>
      <c r="L145" s="22" t="s">
        <v>10500</v>
      </c>
      <c r="M145" s="22" t="s">
        <v>10555</v>
      </c>
      <c r="N145" s="23" t="n">
        <v>45116</v>
      </c>
      <c r="O145" s="22" t="s">
        <v>10492</v>
      </c>
      <c r="P145" s="22"/>
    </row>
    <row r="146" customFormat="false" ht="15" hidden="false" customHeight="false" outlineLevel="0" collapsed="false">
      <c r="A146" s="22" t="s">
        <v>10651</v>
      </c>
      <c r="B146" s="22" t="s">
        <v>9249</v>
      </c>
      <c r="C146" s="23" t="n">
        <v>45116</v>
      </c>
      <c r="D146" s="22" t="s">
        <v>850</v>
      </c>
      <c r="E146" s="22" t="n">
        <v>242</v>
      </c>
      <c r="F146" s="22" t="s">
        <v>8414</v>
      </c>
      <c r="G146" s="22" t="s">
        <v>188</v>
      </c>
      <c r="H146" s="22" t="n">
        <v>70</v>
      </c>
      <c r="I146" s="22" t="s">
        <v>8603</v>
      </c>
      <c r="J146" s="22" t="s">
        <v>10488</v>
      </c>
      <c r="K146" s="22" t="s">
        <v>10489</v>
      </c>
      <c r="L146" s="22" t="s">
        <v>10490</v>
      </c>
      <c r="M146" s="22" t="s">
        <v>10513</v>
      </c>
      <c r="N146" s="23" t="n">
        <v>45116</v>
      </c>
      <c r="O146" s="22" t="s">
        <v>10492</v>
      </c>
      <c r="P146" s="22"/>
    </row>
    <row r="147" customFormat="false" ht="15" hidden="false" customHeight="false" outlineLevel="0" collapsed="false">
      <c r="A147" s="22" t="s">
        <v>10652</v>
      </c>
      <c r="B147" s="22" t="s">
        <v>9250</v>
      </c>
      <c r="C147" s="23" t="n">
        <v>45131</v>
      </c>
      <c r="D147" s="22" t="s">
        <v>3080</v>
      </c>
      <c r="E147" s="22" t="n">
        <v>1199</v>
      </c>
      <c r="F147" s="22" t="s">
        <v>8314</v>
      </c>
      <c r="G147" s="22" t="s">
        <v>499</v>
      </c>
      <c r="H147" s="22" t="n">
        <v>24</v>
      </c>
      <c r="I147" s="22" t="s">
        <v>8618</v>
      </c>
      <c r="J147" s="22" t="s">
        <v>10494</v>
      </c>
      <c r="K147" s="22" t="s">
        <v>10489</v>
      </c>
      <c r="L147" s="22" t="s">
        <v>10490</v>
      </c>
      <c r="M147" s="22" t="s">
        <v>10506</v>
      </c>
      <c r="N147" s="23" t="n">
        <v>45136</v>
      </c>
      <c r="O147" s="22" t="s">
        <v>10492</v>
      </c>
      <c r="P147" s="22"/>
    </row>
    <row r="148" customFormat="false" ht="15" hidden="false" customHeight="false" outlineLevel="0" collapsed="false">
      <c r="A148" s="22" t="s">
        <v>10653</v>
      </c>
      <c r="B148" s="22" t="s">
        <v>9253</v>
      </c>
      <c r="C148" s="23" t="n">
        <v>45133</v>
      </c>
      <c r="D148" s="22" t="s">
        <v>864</v>
      </c>
      <c r="E148" s="22" t="n">
        <v>248</v>
      </c>
      <c r="F148" s="22" t="s">
        <v>8584</v>
      </c>
      <c r="G148" s="22" t="s">
        <v>188</v>
      </c>
      <c r="H148" s="22" t="n">
        <v>32</v>
      </c>
      <c r="I148" s="22" t="s">
        <v>8637</v>
      </c>
      <c r="J148" s="22" t="s">
        <v>10503</v>
      </c>
      <c r="K148" s="22" t="s">
        <v>10489</v>
      </c>
      <c r="L148" s="22" t="s">
        <v>10490</v>
      </c>
      <c r="M148" s="22" t="s">
        <v>10506</v>
      </c>
      <c r="N148" s="23" t="n">
        <v>45138</v>
      </c>
      <c r="O148" s="22" t="s">
        <v>10492</v>
      </c>
      <c r="P148" s="22"/>
    </row>
    <row r="149" customFormat="false" ht="15" hidden="false" customHeight="false" outlineLevel="0" collapsed="false">
      <c r="A149" s="22" t="s">
        <v>10654</v>
      </c>
      <c r="B149" s="22" t="s">
        <v>9254</v>
      </c>
      <c r="C149" s="23" t="n">
        <v>45118</v>
      </c>
      <c r="D149" s="22" t="s">
        <v>3095</v>
      </c>
      <c r="E149" s="22" t="n">
        <v>1206</v>
      </c>
      <c r="F149" s="22" t="s">
        <v>8246</v>
      </c>
      <c r="G149" s="22" t="s">
        <v>499</v>
      </c>
      <c r="H149" s="22" t="n">
        <v>50</v>
      </c>
      <c r="I149" s="22" t="s">
        <v>8603</v>
      </c>
      <c r="J149" s="22" t="s">
        <v>10488</v>
      </c>
      <c r="K149" s="22" t="s">
        <v>10489</v>
      </c>
      <c r="L149" s="22" t="s">
        <v>10490</v>
      </c>
      <c r="M149" s="22" t="s">
        <v>10513</v>
      </c>
      <c r="N149" s="23" t="n">
        <v>45120</v>
      </c>
      <c r="O149" s="22" t="s">
        <v>10492</v>
      </c>
      <c r="P149" s="22"/>
    </row>
    <row r="150" customFormat="false" ht="15" hidden="false" customHeight="false" outlineLevel="0" collapsed="false">
      <c r="A150" s="22" t="s">
        <v>10655</v>
      </c>
      <c r="B150" s="22" t="s">
        <v>9259</v>
      </c>
      <c r="C150" s="23" t="n">
        <v>45133</v>
      </c>
      <c r="D150" s="22" t="s">
        <v>4129</v>
      </c>
      <c r="E150" s="22" t="n">
        <v>1706</v>
      </c>
      <c r="F150" s="22" t="s">
        <v>6588</v>
      </c>
      <c r="G150" s="22" t="s">
        <v>198</v>
      </c>
      <c r="H150" s="22" t="n">
        <v>24</v>
      </c>
      <c r="I150" s="22" t="s">
        <v>8631</v>
      </c>
      <c r="J150" s="22" t="s">
        <v>10498</v>
      </c>
      <c r="K150" s="22" t="s">
        <v>10489</v>
      </c>
      <c r="L150" s="22" t="s">
        <v>10508</v>
      </c>
      <c r="M150" s="22" t="s">
        <v>10555</v>
      </c>
      <c r="N150" s="23" t="n">
        <v>45138</v>
      </c>
      <c r="O150" s="22" t="s">
        <v>10492</v>
      </c>
      <c r="P150" s="22"/>
    </row>
    <row r="151" customFormat="false" ht="15" hidden="false" customHeight="false" outlineLevel="0" collapsed="false">
      <c r="A151" s="22" t="s">
        <v>10656</v>
      </c>
      <c r="B151" s="22" t="s">
        <v>9268</v>
      </c>
      <c r="C151" s="23" t="n">
        <v>45110</v>
      </c>
      <c r="D151" s="22" t="s">
        <v>2469</v>
      </c>
      <c r="E151" s="22" t="n">
        <v>924</v>
      </c>
      <c r="F151" s="22" t="s">
        <v>7711</v>
      </c>
      <c r="G151" s="22" t="s">
        <v>215</v>
      </c>
      <c r="H151" s="22" t="n">
        <v>28</v>
      </c>
      <c r="I151" s="22" t="s">
        <v>8603</v>
      </c>
      <c r="J151" s="22" t="s">
        <v>10488</v>
      </c>
      <c r="K151" s="22" t="s">
        <v>10489</v>
      </c>
      <c r="L151" s="22" t="s">
        <v>10495</v>
      </c>
      <c r="M151" s="22" t="s">
        <v>10491</v>
      </c>
      <c r="N151" s="23" t="n">
        <v>45112</v>
      </c>
      <c r="O151" s="22" t="s">
        <v>10492</v>
      </c>
      <c r="P151" s="22"/>
    </row>
    <row r="152" customFormat="false" ht="15" hidden="false" customHeight="false" outlineLevel="0" collapsed="false">
      <c r="A152" s="22" t="s">
        <v>10657</v>
      </c>
      <c r="B152" s="22" t="s">
        <v>9272</v>
      </c>
      <c r="C152" s="23" t="n">
        <v>45134</v>
      </c>
      <c r="D152" s="22" t="s">
        <v>6043</v>
      </c>
      <c r="E152" s="22" t="n">
        <v>2652</v>
      </c>
      <c r="F152" s="22" t="s">
        <v>8099</v>
      </c>
      <c r="G152" s="22" t="s">
        <v>499</v>
      </c>
      <c r="H152" s="22" t="n">
        <v>24</v>
      </c>
      <c r="I152" s="22" t="s">
        <v>8603</v>
      </c>
      <c r="J152" s="22" t="s">
        <v>10488</v>
      </c>
      <c r="K152" s="22" t="s">
        <v>10489</v>
      </c>
      <c r="L152" s="22" t="s">
        <v>10500</v>
      </c>
      <c r="M152" s="22" t="s">
        <v>10513</v>
      </c>
      <c r="N152" s="23" t="n">
        <v>45135</v>
      </c>
      <c r="O152" s="22" t="s">
        <v>10492</v>
      </c>
      <c r="P152" s="22"/>
    </row>
    <row r="153" customFormat="false" ht="15" hidden="false" customHeight="false" outlineLevel="0" collapsed="false">
      <c r="A153" s="22" t="s">
        <v>10658</v>
      </c>
      <c r="B153" s="22" t="s">
        <v>9273</v>
      </c>
      <c r="C153" s="23" t="n">
        <v>45127</v>
      </c>
      <c r="D153" s="22" t="s">
        <v>5560</v>
      </c>
      <c r="E153" s="22" t="n">
        <v>2411</v>
      </c>
      <c r="F153" s="22" t="s">
        <v>7571</v>
      </c>
      <c r="G153" s="22" t="s">
        <v>159</v>
      </c>
      <c r="H153" s="22" t="n">
        <v>32</v>
      </c>
      <c r="I153" s="22" t="s">
        <v>8637</v>
      </c>
      <c r="J153" s="22" t="s">
        <v>10503</v>
      </c>
      <c r="K153" s="22" t="s">
        <v>10489</v>
      </c>
      <c r="L153" s="22" t="s">
        <v>10495</v>
      </c>
      <c r="M153" s="22" t="s">
        <v>10511</v>
      </c>
      <c r="N153" s="23" t="n">
        <v>45127</v>
      </c>
      <c r="O153" s="22" t="s">
        <v>10492</v>
      </c>
      <c r="P153" s="22"/>
    </row>
    <row r="154" customFormat="false" ht="15" hidden="false" customHeight="false" outlineLevel="0" collapsed="false">
      <c r="A154" s="22" t="s">
        <v>10659</v>
      </c>
      <c r="B154" s="22" t="s">
        <v>9277</v>
      </c>
      <c r="C154" s="23" t="n">
        <v>45144</v>
      </c>
      <c r="D154" s="22" t="s">
        <v>249</v>
      </c>
      <c r="E154" s="22" t="n">
        <v>29</v>
      </c>
      <c r="F154" s="22" t="s">
        <v>7724</v>
      </c>
      <c r="G154" s="22" t="s">
        <v>215</v>
      </c>
      <c r="H154" s="22" t="n">
        <v>32</v>
      </c>
      <c r="I154" s="22" t="s">
        <v>8637</v>
      </c>
      <c r="J154" s="22" t="s">
        <v>10503</v>
      </c>
      <c r="K154" s="22" t="s">
        <v>10489</v>
      </c>
      <c r="L154" s="22" t="s">
        <v>10490</v>
      </c>
      <c r="M154" s="22" t="s">
        <v>10511</v>
      </c>
      <c r="N154" s="23" t="n">
        <v>45149</v>
      </c>
      <c r="O154" s="22" t="s">
        <v>10492</v>
      </c>
      <c r="P154" s="22"/>
    </row>
    <row r="155" customFormat="false" ht="15" hidden="false" customHeight="false" outlineLevel="0" collapsed="false">
      <c r="A155" s="22" t="s">
        <v>10660</v>
      </c>
      <c r="B155" s="22" t="s">
        <v>9287</v>
      </c>
      <c r="C155" s="23" t="n">
        <v>45154</v>
      </c>
      <c r="D155" s="22" t="s">
        <v>2304</v>
      </c>
      <c r="E155" s="22" t="n">
        <v>847</v>
      </c>
      <c r="F155" s="22" t="s">
        <v>7710</v>
      </c>
      <c r="G155" s="22" t="s">
        <v>215</v>
      </c>
      <c r="H155" s="22" t="n">
        <v>28</v>
      </c>
      <c r="I155" s="22" t="s">
        <v>8618</v>
      </c>
      <c r="J155" s="22" t="s">
        <v>10494</v>
      </c>
      <c r="K155" s="22" t="s">
        <v>10489</v>
      </c>
      <c r="L155" s="22" t="s">
        <v>10508</v>
      </c>
      <c r="M155" s="22" t="s">
        <v>10501</v>
      </c>
      <c r="N155" s="23" t="n">
        <v>45158</v>
      </c>
      <c r="O155" s="22" t="s">
        <v>10492</v>
      </c>
      <c r="P155" s="22"/>
    </row>
    <row r="156" customFormat="false" ht="15" hidden="false" customHeight="false" outlineLevel="0" collapsed="false">
      <c r="A156" s="22" t="s">
        <v>10661</v>
      </c>
      <c r="B156" s="22" t="s">
        <v>9289</v>
      </c>
      <c r="C156" s="23" t="n">
        <v>45147</v>
      </c>
      <c r="D156" s="22" t="s">
        <v>994</v>
      </c>
      <c r="E156" s="22" t="n">
        <v>297</v>
      </c>
      <c r="F156" s="22" t="s">
        <v>7481</v>
      </c>
      <c r="G156" s="22" t="s">
        <v>159</v>
      </c>
      <c r="H156" s="22" t="n">
        <v>28</v>
      </c>
      <c r="I156" s="22" t="s">
        <v>8618</v>
      </c>
      <c r="J156" s="22" t="s">
        <v>10494</v>
      </c>
      <c r="K156" s="22" t="s">
        <v>10489</v>
      </c>
      <c r="L156" s="22" t="s">
        <v>10490</v>
      </c>
      <c r="M156" s="22" t="s">
        <v>10506</v>
      </c>
      <c r="N156" s="23" t="n">
        <v>45152</v>
      </c>
      <c r="O156" s="22" t="s">
        <v>10492</v>
      </c>
      <c r="P156" s="22"/>
    </row>
    <row r="157" customFormat="false" ht="15" hidden="false" customHeight="false" outlineLevel="0" collapsed="false">
      <c r="A157" s="22" t="s">
        <v>10662</v>
      </c>
      <c r="B157" s="22" t="s">
        <v>9290</v>
      </c>
      <c r="C157" s="23" t="n">
        <v>45140</v>
      </c>
      <c r="D157" s="22" t="s">
        <v>3918</v>
      </c>
      <c r="E157" s="22" t="n">
        <v>1603</v>
      </c>
      <c r="F157" s="22" t="s">
        <v>8206</v>
      </c>
      <c r="G157" s="22" t="s">
        <v>499</v>
      </c>
      <c r="H157" s="22" t="n">
        <v>24</v>
      </c>
      <c r="I157" s="22" t="s">
        <v>8631</v>
      </c>
      <c r="J157" s="22" t="s">
        <v>10498</v>
      </c>
      <c r="K157" s="22" t="s">
        <v>10489</v>
      </c>
      <c r="L157" s="22" t="s">
        <v>10495</v>
      </c>
      <c r="M157" s="22" t="s">
        <v>10506</v>
      </c>
      <c r="N157" s="23" t="n">
        <v>45140</v>
      </c>
      <c r="O157" s="22" t="s">
        <v>10492</v>
      </c>
      <c r="P157" s="22"/>
    </row>
    <row r="158" customFormat="false" ht="15" hidden="false" customHeight="false" outlineLevel="0" collapsed="false">
      <c r="A158" s="22" t="s">
        <v>10663</v>
      </c>
      <c r="B158" s="22" t="s">
        <v>9297</v>
      </c>
      <c r="C158" s="23" t="n">
        <v>45160</v>
      </c>
      <c r="D158" s="22" t="s">
        <v>5042</v>
      </c>
      <c r="E158" s="22" t="n">
        <v>2153</v>
      </c>
      <c r="F158" s="22" t="s">
        <v>7752</v>
      </c>
      <c r="G158" s="22" t="s">
        <v>215</v>
      </c>
      <c r="H158" s="22" t="n">
        <v>28</v>
      </c>
      <c r="I158" s="22" t="s">
        <v>8637</v>
      </c>
      <c r="J158" s="22" t="s">
        <v>10503</v>
      </c>
      <c r="K158" s="22" t="s">
        <v>10489</v>
      </c>
      <c r="L158" s="22" t="s">
        <v>10500</v>
      </c>
      <c r="M158" s="22" t="s">
        <v>10496</v>
      </c>
      <c r="N158" s="23" t="n">
        <v>45161</v>
      </c>
      <c r="O158" s="22" t="s">
        <v>10492</v>
      </c>
      <c r="P158" s="22"/>
    </row>
    <row r="159" customFormat="false" ht="15" hidden="false" customHeight="false" outlineLevel="0" collapsed="false">
      <c r="A159" s="22" t="s">
        <v>10664</v>
      </c>
      <c r="B159" s="22" t="s">
        <v>9299</v>
      </c>
      <c r="C159" s="23" t="n">
        <v>45160</v>
      </c>
      <c r="D159" s="22" t="s">
        <v>4014</v>
      </c>
      <c r="E159" s="22" t="n">
        <v>1650</v>
      </c>
      <c r="F159" s="22" t="s">
        <v>7783</v>
      </c>
      <c r="G159" s="22" t="s">
        <v>215</v>
      </c>
      <c r="H159" s="22" t="n">
        <v>24</v>
      </c>
      <c r="I159" s="22" t="s">
        <v>8631</v>
      </c>
      <c r="J159" s="22" t="s">
        <v>10498</v>
      </c>
      <c r="K159" s="22" t="s">
        <v>10489</v>
      </c>
      <c r="L159" s="22" t="s">
        <v>10508</v>
      </c>
      <c r="M159" s="22" t="s">
        <v>10491</v>
      </c>
      <c r="N159" s="23" t="n">
        <v>45165</v>
      </c>
      <c r="O159" s="22" t="s">
        <v>10492</v>
      </c>
      <c r="P159" s="22"/>
    </row>
    <row r="160" customFormat="false" ht="15" hidden="false" customHeight="false" outlineLevel="0" collapsed="false">
      <c r="A160" s="22" t="s">
        <v>10665</v>
      </c>
      <c r="B160" s="22" t="s">
        <v>9302</v>
      </c>
      <c r="C160" s="23" t="n">
        <v>45148</v>
      </c>
      <c r="D160" s="22" t="s">
        <v>1156</v>
      </c>
      <c r="E160" s="22" t="n">
        <v>360</v>
      </c>
      <c r="F160" s="22" t="s">
        <v>6902</v>
      </c>
      <c r="G160" s="22" t="s">
        <v>198</v>
      </c>
      <c r="H160" s="22" t="n">
        <v>40</v>
      </c>
      <c r="I160" s="22" t="s">
        <v>8603</v>
      </c>
      <c r="J160" s="22" t="s">
        <v>10488</v>
      </c>
      <c r="K160" s="22" t="s">
        <v>10489</v>
      </c>
      <c r="L160" s="22" t="s">
        <v>10508</v>
      </c>
      <c r="M160" s="22" t="s">
        <v>10516</v>
      </c>
      <c r="N160" s="23" t="n">
        <v>45149</v>
      </c>
      <c r="O160" s="22" t="s">
        <v>10492</v>
      </c>
      <c r="P160" s="22"/>
    </row>
    <row r="161" customFormat="false" ht="15" hidden="false" customHeight="false" outlineLevel="0" collapsed="false">
      <c r="A161" s="22" t="s">
        <v>10666</v>
      </c>
      <c r="B161" s="22" t="s">
        <v>9305</v>
      </c>
      <c r="C161" s="23" t="n">
        <v>45143</v>
      </c>
      <c r="D161" s="22" t="s">
        <v>1173</v>
      </c>
      <c r="E161" s="22" t="n">
        <v>367</v>
      </c>
      <c r="F161" s="22" t="s">
        <v>8226</v>
      </c>
      <c r="G161" s="22" t="s">
        <v>499</v>
      </c>
      <c r="H161" s="22" t="n">
        <v>32</v>
      </c>
      <c r="I161" s="22" t="s">
        <v>8603</v>
      </c>
      <c r="J161" s="22" t="s">
        <v>10488</v>
      </c>
      <c r="K161" s="22" t="s">
        <v>10489</v>
      </c>
      <c r="L161" s="22" t="s">
        <v>10495</v>
      </c>
      <c r="M161" s="22" t="s">
        <v>10506</v>
      </c>
      <c r="N161" s="23" t="n">
        <v>45145</v>
      </c>
      <c r="O161" s="22" t="s">
        <v>10492</v>
      </c>
      <c r="P161" s="22"/>
    </row>
    <row r="162" customFormat="false" ht="15" hidden="false" customHeight="false" outlineLevel="0" collapsed="false">
      <c r="A162" s="22" t="s">
        <v>10667</v>
      </c>
      <c r="B162" s="22" t="s">
        <v>9309</v>
      </c>
      <c r="C162" s="23" t="n">
        <v>45156</v>
      </c>
      <c r="D162" s="22" t="s">
        <v>4308</v>
      </c>
      <c r="E162" s="22" t="n">
        <v>1793</v>
      </c>
      <c r="F162" s="22" t="s">
        <v>7949</v>
      </c>
      <c r="G162" s="22" t="s">
        <v>215</v>
      </c>
      <c r="H162" s="22" t="n">
        <v>40</v>
      </c>
      <c r="I162" s="22" t="s">
        <v>8603</v>
      </c>
      <c r="J162" s="22" t="s">
        <v>10488</v>
      </c>
      <c r="K162" s="22" t="s">
        <v>10489</v>
      </c>
      <c r="L162" s="22" t="s">
        <v>10495</v>
      </c>
      <c r="M162" s="22" t="s">
        <v>10496</v>
      </c>
      <c r="N162" s="23" t="n">
        <v>45159</v>
      </c>
      <c r="O162" s="22" t="s">
        <v>10492</v>
      </c>
      <c r="P162" s="22"/>
    </row>
    <row r="163" customFormat="false" ht="15" hidden="false" customHeight="false" outlineLevel="0" collapsed="false">
      <c r="A163" s="22" t="s">
        <v>10668</v>
      </c>
      <c r="B163" s="22" t="s">
        <v>9318</v>
      </c>
      <c r="C163" s="23" t="n">
        <v>45187</v>
      </c>
      <c r="D163" s="22" t="s">
        <v>5237</v>
      </c>
      <c r="E163" s="22" t="n">
        <v>2249</v>
      </c>
      <c r="F163" s="22" t="s">
        <v>7859</v>
      </c>
      <c r="G163" s="22" t="s">
        <v>215</v>
      </c>
      <c r="H163" s="22" t="n">
        <v>50</v>
      </c>
      <c r="I163" s="22" t="s">
        <v>8618</v>
      </c>
      <c r="J163" s="22" t="s">
        <v>10494</v>
      </c>
      <c r="K163" s="22" t="s">
        <v>10489</v>
      </c>
      <c r="L163" s="22" t="s">
        <v>10508</v>
      </c>
      <c r="M163" s="22" t="s">
        <v>10513</v>
      </c>
      <c r="N163" s="23" t="n">
        <v>45188</v>
      </c>
      <c r="O163" s="22" t="s">
        <v>10492</v>
      </c>
      <c r="P163" s="22"/>
    </row>
    <row r="164" customFormat="false" ht="15" hidden="false" customHeight="false" outlineLevel="0" collapsed="false">
      <c r="A164" s="22" t="s">
        <v>10669</v>
      </c>
      <c r="B164" s="22" t="s">
        <v>9323</v>
      </c>
      <c r="C164" s="23" t="n">
        <v>45180</v>
      </c>
      <c r="D164" s="22" t="s">
        <v>5997</v>
      </c>
      <c r="E164" s="22" t="n">
        <v>2629</v>
      </c>
      <c r="F164" s="22" t="s">
        <v>7289</v>
      </c>
      <c r="G164" s="22" t="s">
        <v>198</v>
      </c>
      <c r="H164" s="22" t="n">
        <v>28</v>
      </c>
      <c r="I164" s="22" t="s">
        <v>8603</v>
      </c>
      <c r="J164" s="22" t="s">
        <v>10488</v>
      </c>
      <c r="K164" s="22" t="s">
        <v>10489</v>
      </c>
      <c r="L164" s="22" t="s">
        <v>10508</v>
      </c>
      <c r="M164" s="22" t="s">
        <v>10491</v>
      </c>
      <c r="N164" s="23" t="n">
        <v>45180</v>
      </c>
      <c r="O164" s="22" t="s">
        <v>10492</v>
      </c>
      <c r="P164" s="22"/>
    </row>
    <row r="165" customFormat="false" ht="15" hidden="false" customHeight="false" outlineLevel="0" collapsed="false">
      <c r="A165" s="22" t="s">
        <v>10670</v>
      </c>
      <c r="B165" s="22" t="s">
        <v>9324</v>
      </c>
      <c r="C165" s="23" t="n">
        <v>45174</v>
      </c>
      <c r="D165" s="22" t="s">
        <v>6085</v>
      </c>
      <c r="E165" s="22" t="n">
        <v>2673</v>
      </c>
      <c r="F165" s="22" t="s">
        <v>8253</v>
      </c>
      <c r="G165" s="22" t="s">
        <v>499</v>
      </c>
      <c r="H165" s="22" t="n">
        <v>80</v>
      </c>
      <c r="I165" s="22" t="s">
        <v>8637</v>
      </c>
      <c r="J165" s="22" t="s">
        <v>10503</v>
      </c>
      <c r="K165" s="22" t="s">
        <v>10489</v>
      </c>
      <c r="L165" s="22" t="s">
        <v>10500</v>
      </c>
      <c r="M165" s="22" t="s">
        <v>10513</v>
      </c>
      <c r="N165" s="23" t="n">
        <v>45177</v>
      </c>
      <c r="O165" s="22" t="s">
        <v>10492</v>
      </c>
      <c r="P165" s="22"/>
    </row>
    <row r="166" customFormat="false" ht="15" hidden="false" customHeight="false" outlineLevel="0" collapsed="false">
      <c r="A166" s="22" t="s">
        <v>10671</v>
      </c>
      <c r="B166" s="22" t="s">
        <v>9327</v>
      </c>
      <c r="C166" s="23" t="n">
        <v>45174</v>
      </c>
      <c r="D166" s="22" t="s">
        <v>2076</v>
      </c>
      <c r="E166" s="22" t="n">
        <v>746</v>
      </c>
      <c r="F166" s="22" t="s">
        <v>8379</v>
      </c>
      <c r="G166" s="22" t="s">
        <v>188</v>
      </c>
      <c r="H166" s="22" t="n">
        <v>24</v>
      </c>
      <c r="I166" s="22" t="s">
        <v>8618</v>
      </c>
      <c r="J166" s="22" t="s">
        <v>10494</v>
      </c>
      <c r="K166" s="22" t="s">
        <v>10489</v>
      </c>
      <c r="L166" s="22" t="s">
        <v>10490</v>
      </c>
      <c r="M166" s="22" t="s">
        <v>10504</v>
      </c>
      <c r="N166" s="23" t="n">
        <v>45178</v>
      </c>
      <c r="O166" s="22" t="s">
        <v>10492</v>
      </c>
      <c r="P166" s="22"/>
    </row>
    <row r="167" customFormat="false" ht="15" hidden="false" customHeight="false" outlineLevel="0" collapsed="false">
      <c r="A167" s="22" t="s">
        <v>10672</v>
      </c>
      <c r="B167" s="22" t="s">
        <v>9328</v>
      </c>
      <c r="C167" s="23" t="n">
        <v>45185</v>
      </c>
      <c r="D167" s="22" t="s">
        <v>6422</v>
      </c>
      <c r="E167" s="22" t="n">
        <v>2844</v>
      </c>
      <c r="F167" s="22" t="s">
        <v>7709</v>
      </c>
      <c r="G167" s="22" t="s">
        <v>215</v>
      </c>
      <c r="H167" s="22" t="n">
        <v>60</v>
      </c>
      <c r="I167" s="22" t="s">
        <v>8603</v>
      </c>
      <c r="J167" s="22" t="s">
        <v>10488</v>
      </c>
      <c r="K167" s="22" t="s">
        <v>10518</v>
      </c>
      <c r="L167" s="22" t="s">
        <v>10508</v>
      </c>
      <c r="M167" s="22" t="s">
        <v>10504</v>
      </c>
      <c r="N167" s="23" t="n">
        <v>45190</v>
      </c>
      <c r="O167" s="22" t="s">
        <v>10492</v>
      </c>
      <c r="P167" s="22"/>
    </row>
    <row r="168" customFormat="false" ht="15" hidden="false" customHeight="false" outlineLevel="0" collapsed="false">
      <c r="A168" s="22" t="s">
        <v>10673</v>
      </c>
      <c r="B168" s="22" t="s">
        <v>9332</v>
      </c>
      <c r="C168" s="23" t="n">
        <v>45194</v>
      </c>
      <c r="D168" s="22" t="s">
        <v>1652</v>
      </c>
      <c r="E168" s="22" t="n">
        <v>566</v>
      </c>
      <c r="F168" s="22" t="s">
        <v>7013</v>
      </c>
      <c r="G168" s="22" t="s">
        <v>198</v>
      </c>
      <c r="H168" s="22" t="n">
        <v>28</v>
      </c>
      <c r="I168" s="22" t="s">
        <v>8603</v>
      </c>
      <c r="J168" s="22" t="s">
        <v>10488</v>
      </c>
      <c r="K168" s="22" t="s">
        <v>10489</v>
      </c>
      <c r="L168" s="22" t="s">
        <v>10490</v>
      </c>
      <c r="M168" s="22" t="s">
        <v>10555</v>
      </c>
      <c r="N168" s="23" t="n">
        <v>45198</v>
      </c>
      <c r="O168" s="22" t="s">
        <v>10492</v>
      </c>
      <c r="P168" s="22"/>
    </row>
    <row r="169" customFormat="false" ht="15" hidden="false" customHeight="false" outlineLevel="0" collapsed="false">
      <c r="A169" s="22" t="s">
        <v>10674</v>
      </c>
      <c r="B169" s="22" t="s">
        <v>9338</v>
      </c>
      <c r="C169" s="23" t="n">
        <v>45182</v>
      </c>
      <c r="D169" s="22" t="s">
        <v>4550</v>
      </c>
      <c r="E169" s="22" t="n">
        <v>1912</v>
      </c>
      <c r="F169" s="22" t="s">
        <v>8585</v>
      </c>
      <c r="G169" s="22" t="s">
        <v>188</v>
      </c>
      <c r="H169" s="22" t="n">
        <v>60</v>
      </c>
      <c r="I169" s="22" t="s">
        <v>8603</v>
      </c>
      <c r="J169" s="22" t="s">
        <v>10488</v>
      </c>
      <c r="K169" s="22" t="s">
        <v>10489</v>
      </c>
      <c r="L169" s="22" t="s">
        <v>10490</v>
      </c>
      <c r="M169" s="22" t="s">
        <v>10504</v>
      </c>
      <c r="N169" s="23" t="n">
        <v>45184</v>
      </c>
      <c r="O169" s="22" t="s">
        <v>10492</v>
      </c>
      <c r="P169" s="22"/>
    </row>
    <row r="170" customFormat="false" ht="15" hidden="false" customHeight="false" outlineLevel="0" collapsed="false">
      <c r="A170" s="22" t="s">
        <v>10675</v>
      </c>
      <c r="B170" s="22" t="s">
        <v>9350</v>
      </c>
      <c r="C170" s="23" t="n">
        <v>45190</v>
      </c>
      <c r="D170" s="22" t="s">
        <v>649</v>
      </c>
      <c r="E170" s="22" t="n">
        <v>168</v>
      </c>
      <c r="F170" s="22" t="s">
        <v>6938</v>
      </c>
      <c r="G170" s="22" t="s">
        <v>198</v>
      </c>
      <c r="H170" s="22" t="n">
        <v>40</v>
      </c>
      <c r="I170" s="22" t="s">
        <v>8631</v>
      </c>
      <c r="J170" s="22" t="s">
        <v>10498</v>
      </c>
      <c r="K170" s="22" t="s">
        <v>10489</v>
      </c>
      <c r="L170" s="22" t="s">
        <v>10508</v>
      </c>
      <c r="M170" s="22" t="s">
        <v>10555</v>
      </c>
      <c r="N170" s="23" t="n">
        <v>45191</v>
      </c>
      <c r="O170" s="22" t="s">
        <v>10492</v>
      </c>
      <c r="P170" s="22"/>
    </row>
    <row r="171" customFormat="false" ht="15" hidden="false" customHeight="false" outlineLevel="0" collapsed="false">
      <c r="A171" s="22" t="s">
        <v>10676</v>
      </c>
      <c r="B171" s="22" t="s">
        <v>9356</v>
      </c>
      <c r="C171" s="23" t="n">
        <v>45173</v>
      </c>
      <c r="D171" s="22" t="s">
        <v>6140</v>
      </c>
      <c r="E171" s="22" t="n">
        <v>2700</v>
      </c>
      <c r="F171" s="22" t="s">
        <v>6823</v>
      </c>
      <c r="G171" s="22" t="s">
        <v>198</v>
      </c>
      <c r="H171" s="22" t="n">
        <v>32</v>
      </c>
      <c r="I171" s="22" t="s">
        <v>8618</v>
      </c>
      <c r="J171" s="22" t="s">
        <v>10494</v>
      </c>
      <c r="K171" s="22" t="s">
        <v>10489</v>
      </c>
      <c r="L171" s="22" t="s">
        <v>10508</v>
      </c>
      <c r="M171" s="22" t="s">
        <v>10555</v>
      </c>
      <c r="N171" s="23" t="n">
        <v>45175</v>
      </c>
      <c r="O171" s="22" t="s">
        <v>10492</v>
      </c>
      <c r="P171" s="22"/>
    </row>
    <row r="172" customFormat="false" ht="15" hidden="false" customHeight="false" outlineLevel="0" collapsed="false">
      <c r="A172" s="22" t="s">
        <v>10677</v>
      </c>
      <c r="B172" s="22" t="s">
        <v>9358</v>
      </c>
      <c r="C172" s="23" t="n">
        <v>45185</v>
      </c>
      <c r="D172" s="22" t="s">
        <v>2639</v>
      </c>
      <c r="E172" s="22" t="n">
        <v>1000</v>
      </c>
      <c r="F172" s="22" t="s">
        <v>7614</v>
      </c>
      <c r="G172" s="22" t="s">
        <v>159</v>
      </c>
      <c r="H172" s="22" t="n">
        <v>36</v>
      </c>
      <c r="I172" s="22" t="s">
        <v>8637</v>
      </c>
      <c r="J172" s="22" t="s">
        <v>10503</v>
      </c>
      <c r="K172" s="22" t="s">
        <v>10489</v>
      </c>
      <c r="L172" s="22" t="s">
        <v>10500</v>
      </c>
      <c r="M172" s="22" t="s">
        <v>10555</v>
      </c>
      <c r="N172" s="23" t="n">
        <v>45185</v>
      </c>
      <c r="O172" s="22" t="s">
        <v>10492</v>
      </c>
      <c r="P172" s="22"/>
    </row>
    <row r="173" customFormat="false" ht="15" hidden="false" customHeight="false" outlineLevel="0" collapsed="false">
      <c r="A173" s="22" t="s">
        <v>10678</v>
      </c>
      <c r="B173" s="22" t="s">
        <v>9359</v>
      </c>
      <c r="C173" s="23" t="n">
        <v>45186</v>
      </c>
      <c r="D173" s="22" t="s">
        <v>396</v>
      </c>
      <c r="E173" s="22" t="n">
        <v>80</v>
      </c>
      <c r="F173" s="22" t="s">
        <v>7850</v>
      </c>
      <c r="G173" s="22" t="s">
        <v>215</v>
      </c>
      <c r="H173" s="22" t="n">
        <v>28</v>
      </c>
      <c r="I173" s="22" t="s">
        <v>8631</v>
      </c>
      <c r="J173" s="22" t="s">
        <v>10498</v>
      </c>
      <c r="K173" s="22" t="s">
        <v>10489</v>
      </c>
      <c r="L173" s="22" t="s">
        <v>10508</v>
      </c>
      <c r="M173" s="22" t="s">
        <v>10513</v>
      </c>
      <c r="N173" s="23" t="n">
        <v>45191</v>
      </c>
      <c r="O173" s="22" t="s">
        <v>10492</v>
      </c>
      <c r="P173" s="22"/>
    </row>
    <row r="174" customFormat="false" ht="15" hidden="false" customHeight="false" outlineLevel="0" collapsed="false">
      <c r="A174" s="22" t="s">
        <v>10679</v>
      </c>
      <c r="B174" s="22" t="s">
        <v>9363</v>
      </c>
      <c r="C174" s="23" t="n">
        <v>45172</v>
      </c>
      <c r="D174" s="22" t="s">
        <v>6169</v>
      </c>
      <c r="E174" s="22" t="n">
        <v>2715</v>
      </c>
      <c r="F174" s="22" t="s">
        <v>7547</v>
      </c>
      <c r="G174" s="22" t="s">
        <v>159</v>
      </c>
      <c r="H174" s="22" t="n">
        <v>28</v>
      </c>
      <c r="I174" s="22" t="s">
        <v>8603</v>
      </c>
      <c r="J174" s="22" t="s">
        <v>10488</v>
      </c>
      <c r="K174" s="22" t="s">
        <v>10489</v>
      </c>
      <c r="L174" s="22" t="s">
        <v>10495</v>
      </c>
      <c r="M174" s="22" t="s">
        <v>10506</v>
      </c>
      <c r="N174" s="23" t="n">
        <v>45174</v>
      </c>
      <c r="O174" s="22" t="s">
        <v>10492</v>
      </c>
      <c r="P174" s="22"/>
    </row>
    <row r="175" customFormat="false" ht="15" hidden="false" customHeight="false" outlineLevel="0" collapsed="false">
      <c r="A175" s="22" t="s">
        <v>10680</v>
      </c>
      <c r="B175" s="22" t="s">
        <v>9364</v>
      </c>
      <c r="C175" s="23" t="n">
        <v>45180</v>
      </c>
      <c r="D175" s="22" t="s">
        <v>3265</v>
      </c>
      <c r="E175" s="22" t="n">
        <v>1285</v>
      </c>
      <c r="F175" s="22" t="s">
        <v>7706</v>
      </c>
      <c r="G175" s="22" t="s">
        <v>215</v>
      </c>
      <c r="H175" s="22" t="n">
        <v>28</v>
      </c>
      <c r="I175" s="22" t="s">
        <v>8631</v>
      </c>
      <c r="J175" s="22" t="s">
        <v>10498</v>
      </c>
      <c r="K175" s="22" t="s">
        <v>10518</v>
      </c>
      <c r="L175" s="22" t="s">
        <v>10495</v>
      </c>
      <c r="M175" s="22" t="s">
        <v>10516</v>
      </c>
      <c r="N175" s="23" t="n">
        <v>45181</v>
      </c>
      <c r="O175" s="22" t="s">
        <v>10492</v>
      </c>
      <c r="P175" s="22"/>
    </row>
    <row r="176" customFormat="false" ht="15" hidden="false" customHeight="false" outlineLevel="0" collapsed="false">
      <c r="A176" s="22" t="s">
        <v>10681</v>
      </c>
      <c r="B176" s="22" t="s">
        <v>9373</v>
      </c>
      <c r="C176" s="23" t="n">
        <v>45205</v>
      </c>
      <c r="D176" s="22" t="s">
        <v>165</v>
      </c>
      <c r="E176" s="22" t="n">
        <v>3</v>
      </c>
      <c r="F176" s="22" t="s">
        <v>8425</v>
      </c>
      <c r="G176" s="22" t="s">
        <v>188</v>
      </c>
      <c r="H176" s="22" t="n">
        <v>60</v>
      </c>
      <c r="I176" s="22" t="s">
        <v>8618</v>
      </c>
      <c r="J176" s="22" t="s">
        <v>10494</v>
      </c>
      <c r="K176" s="22" t="s">
        <v>10489</v>
      </c>
      <c r="L176" s="22" t="s">
        <v>10490</v>
      </c>
      <c r="M176" s="22" t="s">
        <v>10496</v>
      </c>
      <c r="N176" s="23" t="n">
        <v>45207</v>
      </c>
      <c r="O176" s="22" t="s">
        <v>10492</v>
      </c>
      <c r="P176" s="22"/>
    </row>
    <row r="177" customFormat="false" ht="15" hidden="false" customHeight="false" outlineLevel="0" collapsed="false">
      <c r="A177" s="22" t="s">
        <v>10682</v>
      </c>
      <c r="B177" s="22" t="s">
        <v>9398</v>
      </c>
      <c r="C177" s="23" t="n">
        <v>45204</v>
      </c>
      <c r="D177" s="22" t="s">
        <v>1721</v>
      </c>
      <c r="E177" s="22" t="n">
        <v>594</v>
      </c>
      <c r="F177" s="22" t="s">
        <v>8228</v>
      </c>
      <c r="G177" s="22" t="s">
        <v>499</v>
      </c>
      <c r="H177" s="22" t="n">
        <v>24</v>
      </c>
      <c r="I177" s="22" t="s">
        <v>8603</v>
      </c>
      <c r="J177" s="22" t="s">
        <v>10488</v>
      </c>
      <c r="K177" s="22" t="s">
        <v>10489</v>
      </c>
      <c r="L177" s="22" t="s">
        <v>10500</v>
      </c>
      <c r="M177" s="22" t="s">
        <v>10496</v>
      </c>
      <c r="N177" s="23" t="n">
        <v>45205</v>
      </c>
      <c r="O177" s="22" t="s">
        <v>10492</v>
      </c>
      <c r="P177" s="22"/>
    </row>
    <row r="178" customFormat="false" ht="15" hidden="false" customHeight="false" outlineLevel="0" collapsed="false">
      <c r="A178" s="22" t="s">
        <v>10683</v>
      </c>
      <c r="B178" s="22" t="s">
        <v>9405</v>
      </c>
      <c r="C178" s="23" t="n">
        <v>45220</v>
      </c>
      <c r="D178" s="22" t="s">
        <v>2456</v>
      </c>
      <c r="E178" s="22" t="n">
        <v>918</v>
      </c>
      <c r="F178" s="22" t="s">
        <v>7332</v>
      </c>
      <c r="G178" s="22" t="s">
        <v>159</v>
      </c>
      <c r="H178" s="22" t="n">
        <v>24</v>
      </c>
      <c r="I178" s="22" t="s">
        <v>8637</v>
      </c>
      <c r="J178" s="22" t="s">
        <v>10503</v>
      </c>
      <c r="K178" s="22" t="s">
        <v>10489</v>
      </c>
      <c r="L178" s="22" t="s">
        <v>10500</v>
      </c>
      <c r="M178" s="22" t="s">
        <v>10506</v>
      </c>
      <c r="N178" s="23" t="n">
        <v>45222</v>
      </c>
      <c r="O178" s="22" t="s">
        <v>10492</v>
      </c>
      <c r="P178" s="22"/>
    </row>
    <row r="179" customFormat="false" ht="15" hidden="false" customHeight="false" outlineLevel="0" collapsed="false">
      <c r="A179" s="22" t="s">
        <v>10684</v>
      </c>
      <c r="B179" s="22" t="s">
        <v>9411</v>
      </c>
      <c r="C179" s="23" t="n">
        <v>45223</v>
      </c>
      <c r="D179" s="22" t="s">
        <v>6431</v>
      </c>
      <c r="E179" s="22" t="n">
        <v>2849</v>
      </c>
      <c r="F179" s="22" t="s">
        <v>8430</v>
      </c>
      <c r="G179" s="22" t="s">
        <v>188</v>
      </c>
      <c r="H179" s="22" t="n">
        <v>40</v>
      </c>
      <c r="I179" s="22" t="s">
        <v>8618</v>
      </c>
      <c r="J179" s="22" t="s">
        <v>10494</v>
      </c>
      <c r="K179" s="22" t="s">
        <v>10489</v>
      </c>
      <c r="L179" s="22" t="s">
        <v>10508</v>
      </c>
      <c r="M179" s="22" t="s">
        <v>10491</v>
      </c>
      <c r="N179" s="23" t="n">
        <v>45226</v>
      </c>
      <c r="O179" s="22" t="s">
        <v>10492</v>
      </c>
      <c r="P179" s="22"/>
    </row>
    <row r="180" customFormat="false" ht="15" hidden="false" customHeight="false" outlineLevel="0" collapsed="false">
      <c r="A180" s="22" t="s">
        <v>10685</v>
      </c>
      <c r="B180" s="22" t="s">
        <v>9417</v>
      </c>
      <c r="C180" s="23" t="n">
        <v>45208</v>
      </c>
      <c r="D180" s="22" t="s">
        <v>1983</v>
      </c>
      <c r="E180" s="22" t="n">
        <v>704</v>
      </c>
      <c r="F180" s="22" t="s">
        <v>7936</v>
      </c>
      <c r="G180" s="22" t="s">
        <v>215</v>
      </c>
      <c r="H180" s="22" t="n">
        <v>32</v>
      </c>
      <c r="I180" s="22" t="s">
        <v>8637</v>
      </c>
      <c r="J180" s="22" t="s">
        <v>10503</v>
      </c>
      <c r="K180" s="22" t="s">
        <v>10489</v>
      </c>
      <c r="L180" s="22" t="s">
        <v>10495</v>
      </c>
      <c r="M180" s="22" t="s">
        <v>10516</v>
      </c>
      <c r="N180" s="23" t="n">
        <v>45211</v>
      </c>
      <c r="O180" s="22" t="s">
        <v>10492</v>
      </c>
      <c r="P180" s="22"/>
    </row>
    <row r="181" customFormat="false" ht="15" hidden="false" customHeight="false" outlineLevel="0" collapsed="false">
      <c r="A181" s="22" t="s">
        <v>10686</v>
      </c>
      <c r="B181" s="22" t="s">
        <v>9424</v>
      </c>
      <c r="C181" s="23" t="n">
        <v>45252</v>
      </c>
      <c r="D181" s="22" t="s">
        <v>6132</v>
      </c>
      <c r="E181" s="22" t="n">
        <v>2696</v>
      </c>
      <c r="F181" s="22" t="s">
        <v>6618</v>
      </c>
      <c r="G181" s="22" t="s">
        <v>198</v>
      </c>
      <c r="H181" s="22" t="n">
        <v>24</v>
      </c>
      <c r="I181" s="22" t="s">
        <v>8603</v>
      </c>
      <c r="J181" s="22" t="s">
        <v>10488</v>
      </c>
      <c r="K181" s="22" t="s">
        <v>10489</v>
      </c>
      <c r="L181" s="22" t="s">
        <v>10508</v>
      </c>
      <c r="M181" s="22" t="s">
        <v>10496</v>
      </c>
      <c r="N181" s="23" t="n">
        <v>45256</v>
      </c>
      <c r="O181" s="22" t="s">
        <v>10492</v>
      </c>
      <c r="P181" s="22"/>
    </row>
    <row r="182" customFormat="false" ht="15" hidden="false" customHeight="false" outlineLevel="0" collapsed="false">
      <c r="A182" s="22" t="s">
        <v>10687</v>
      </c>
      <c r="B182" s="22" t="s">
        <v>9439</v>
      </c>
      <c r="C182" s="23" t="n">
        <v>45277</v>
      </c>
      <c r="D182" s="22" t="s">
        <v>209</v>
      </c>
      <c r="E182" s="22" t="n">
        <v>16</v>
      </c>
      <c r="F182" s="22" t="s">
        <v>6834</v>
      </c>
      <c r="G182" s="22" t="s">
        <v>198</v>
      </c>
      <c r="H182" s="22" t="n">
        <v>24</v>
      </c>
      <c r="I182" s="22" t="s">
        <v>8603</v>
      </c>
      <c r="J182" s="22" t="s">
        <v>10488</v>
      </c>
      <c r="K182" s="22" t="s">
        <v>10489</v>
      </c>
      <c r="L182" s="22" t="s">
        <v>10490</v>
      </c>
      <c r="M182" s="22" t="s">
        <v>10504</v>
      </c>
      <c r="N182" s="23" t="n">
        <v>45280</v>
      </c>
      <c r="O182" s="22" t="s">
        <v>10492</v>
      </c>
      <c r="P182" s="22"/>
    </row>
    <row r="183" customFormat="false" ht="15" hidden="false" customHeight="false" outlineLevel="0" collapsed="false">
      <c r="A183" s="22" t="s">
        <v>10688</v>
      </c>
      <c r="B183" s="22" t="s">
        <v>9441</v>
      </c>
      <c r="C183" s="23" t="n">
        <v>45281</v>
      </c>
      <c r="D183" s="22" t="s">
        <v>699</v>
      </c>
      <c r="E183" s="22" t="n">
        <v>186</v>
      </c>
      <c r="F183" s="22" t="s">
        <v>8495</v>
      </c>
      <c r="G183" s="22" t="s">
        <v>188</v>
      </c>
      <c r="H183" s="22" t="n">
        <v>60</v>
      </c>
      <c r="I183" s="22" t="s">
        <v>8618</v>
      </c>
      <c r="J183" s="22" t="s">
        <v>10494</v>
      </c>
      <c r="K183" s="22" t="s">
        <v>10489</v>
      </c>
      <c r="L183" s="22" t="s">
        <v>10495</v>
      </c>
      <c r="M183" s="22" t="s">
        <v>10506</v>
      </c>
      <c r="N183" s="23" t="n">
        <v>45281</v>
      </c>
      <c r="O183" s="22" t="s">
        <v>10492</v>
      </c>
      <c r="P183" s="22"/>
    </row>
    <row r="184" customFormat="false" ht="15" hidden="false" customHeight="false" outlineLevel="0" collapsed="false">
      <c r="A184" s="22" t="s">
        <v>10689</v>
      </c>
      <c r="B184" s="22" t="s">
        <v>9444</v>
      </c>
      <c r="C184" s="23" t="n">
        <v>45286</v>
      </c>
      <c r="D184" s="22" t="s">
        <v>1557</v>
      </c>
      <c r="E184" s="22" t="n">
        <v>524</v>
      </c>
      <c r="F184" s="22" t="s">
        <v>7585</v>
      </c>
      <c r="G184" s="22" t="s">
        <v>159</v>
      </c>
      <c r="H184" s="22" t="n">
        <v>24</v>
      </c>
      <c r="I184" s="22" t="s">
        <v>8618</v>
      </c>
      <c r="J184" s="22" t="s">
        <v>10494</v>
      </c>
      <c r="K184" s="22" t="s">
        <v>10489</v>
      </c>
      <c r="L184" s="22" t="s">
        <v>10500</v>
      </c>
      <c r="M184" s="22" t="s">
        <v>10496</v>
      </c>
      <c r="N184" s="23" t="n">
        <v>45291</v>
      </c>
      <c r="O184" s="22" t="s">
        <v>10492</v>
      </c>
      <c r="P184" s="22"/>
    </row>
    <row r="185" customFormat="false" ht="15" hidden="false" customHeight="false" outlineLevel="0" collapsed="false">
      <c r="A185" s="22" t="s">
        <v>10690</v>
      </c>
      <c r="B185" s="22" t="s">
        <v>9449</v>
      </c>
      <c r="C185" s="23" t="n">
        <v>45286</v>
      </c>
      <c r="D185" s="22" t="s">
        <v>4955</v>
      </c>
      <c r="E185" s="22" t="n">
        <v>2111</v>
      </c>
      <c r="F185" s="22" t="s">
        <v>7397</v>
      </c>
      <c r="G185" s="22" t="s">
        <v>159</v>
      </c>
      <c r="H185" s="22" t="n">
        <v>32</v>
      </c>
      <c r="I185" s="22" t="s">
        <v>8618</v>
      </c>
      <c r="J185" s="22" t="s">
        <v>10494</v>
      </c>
      <c r="K185" s="22" t="s">
        <v>10489</v>
      </c>
      <c r="L185" s="22" t="s">
        <v>10500</v>
      </c>
      <c r="M185" s="22" t="s">
        <v>10513</v>
      </c>
      <c r="N185" s="23" t="n">
        <v>45289</v>
      </c>
      <c r="O185" s="22" t="s">
        <v>10492</v>
      </c>
      <c r="P185" s="22"/>
    </row>
    <row r="186" customFormat="false" ht="15" hidden="false" customHeight="false" outlineLevel="0" collapsed="false">
      <c r="A186" s="22" t="s">
        <v>10691</v>
      </c>
      <c r="B186" s="22" t="s">
        <v>9451</v>
      </c>
      <c r="C186" s="23" t="n">
        <v>45284</v>
      </c>
      <c r="D186" s="22" t="s">
        <v>4170</v>
      </c>
      <c r="E186" s="22" t="n">
        <v>1726</v>
      </c>
      <c r="F186" s="22" t="s">
        <v>7988</v>
      </c>
      <c r="G186" s="22" t="s">
        <v>215</v>
      </c>
      <c r="H186" s="22" t="n">
        <v>24</v>
      </c>
      <c r="I186" s="22" t="s">
        <v>8603</v>
      </c>
      <c r="J186" s="22" t="s">
        <v>10488</v>
      </c>
      <c r="K186" s="22" t="s">
        <v>10489</v>
      </c>
      <c r="L186" s="22" t="s">
        <v>10500</v>
      </c>
      <c r="M186" s="22" t="s">
        <v>10496</v>
      </c>
      <c r="N186" s="23" t="n">
        <v>45289</v>
      </c>
      <c r="O186" s="22" t="s">
        <v>10492</v>
      </c>
      <c r="P186" s="22"/>
    </row>
    <row r="187" customFormat="false" ht="15" hidden="false" customHeight="false" outlineLevel="0" collapsed="false">
      <c r="A187" s="22" t="s">
        <v>10692</v>
      </c>
      <c r="B187" s="22" t="s">
        <v>9454</v>
      </c>
      <c r="C187" s="23" t="n">
        <v>45263</v>
      </c>
      <c r="D187" s="22" t="s">
        <v>2469</v>
      </c>
      <c r="E187" s="22" t="n">
        <v>924</v>
      </c>
      <c r="F187" s="22" t="s">
        <v>8002</v>
      </c>
      <c r="G187" s="22" t="s">
        <v>215</v>
      </c>
      <c r="H187" s="22" t="n">
        <v>28</v>
      </c>
      <c r="I187" s="22" t="s">
        <v>8631</v>
      </c>
      <c r="J187" s="22" t="s">
        <v>10498</v>
      </c>
      <c r="K187" s="22" t="s">
        <v>10489</v>
      </c>
      <c r="L187" s="22" t="s">
        <v>10495</v>
      </c>
      <c r="M187" s="22" t="s">
        <v>10513</v>
      </c>
      <c r="N187" s="23" t="n">
        <v>45268</v>
      </c>
      <c r="O187" s="22" t="s">
        <v>10492</v>
      </c>
      <c r="P187" s="22"/>
    </row>
    <row r="188" customFormat="false" ht="15" hidden="false" customHeight="false" outlineLevel="0" collapsed="false">
      <c r="A188" s="22" t="s">
        <v>10693</v>
      </c>
      <c r="B188" s="22" t="s">
        <v>9459</v>
      </c>
      <c r="C188" s="23" t="n">
        <v>45305</v>
      </c>
      <c r="D188" s="22" t="s">
        <v>4239</v>
      </c>
      <c r="E188" s="22" t="n">
        <v>1759</v>
      </c>
      <c r="F188" s="22" t="s">
        <v>7912</v>
      </c>
      <c r="G188" s="22" t="s">
        <v>215</v>
      </c>
      <c r="H188" s="22" t="n">
        <v>50</v>
      </c>
      <c r="I188" s="22" t="s">
        <v>8603</v>
      </c>
      <c r="J188" s="22" t="s">
        <v>10488</v>
      </c>
      <c r="K188" s="22" t="s">
        <v>10489</v>
      </c>
      <c r="L188" s="22" t="s">
        <v>10490</v>
      </c>
      <c r="M188" s="22" t="s">
        <v>10511</v>
      </c>
      <c r="N188" s="23" t="n">
        <v>45310</v>
      </c>
      <c r="O188" s="22" t="s">
        <v>10492</v>
      </c>
      <c r="P188" s="22"/>
    </row>
    <row r="189" customFormat="false" ht="15" hidden="false" customHeight="false" outlineLevel="0" collapsed="false">
      <c r="A189" s="22" t="s">
        <v>10694</v>
      </c>
      <c r="B189" s="22" t="s">
        <v>9460</v>
      </c>
      <c r="C189" s="23" t="n">
        <v>45295</v>
      </c>
      <c r="D189" s="22" t="s">
        <v>1815</v>
      </c>
      <c r="E189" s="22" t="n">
        <v>632</v>
      </c>
      <c r="F189" s="22" t="s">
        <v>8404</v>
      </c>
      <c r="G189" s="22" t="s">
        <v>188</v>
      </c>
      <c r="H189" s="22" t="n">
        <v>70</v>
      </c>
      <c r="I189" s="22" t="s">
        <v>8637</v>
      </c>
      <c r="J189" s="22" t="s">
        <v>10503</v>
      </c>
      <c r="K189" s="22" t="s">
        <v>10489</v>
      </c>
      <c r="L189" s="22" t="s">
        <v>10490</v>
      </c>
      <c r="M189" s="22" t="s">
        <v>10516</v>
      </c>
      <c r="N189" s="23" t="n">
        <v>45296</v>
      </c>
      <c r="O189" s="22" t="s">
        <v>10492</v>
      </c>
      <c r="P189" s="22"/>
    </row>
    <row r="190" customFormat="false" ht="15" hidden="false" customHeight="false" outlineLevel="0" collapsed="false">
      <c r="A190" s="22" t="s">
        <v>10695</v>
      </c>
      <c r="B190" s="22" t="s">
        <v>9467</v>
      </c>
      <c r="C190" s="23" t="n">
        <v>45342</v>
      </c>
      <c r="D190" s="22" t="s">
        <v>5018</v>
      </c>
      <c r="E190" s="22" t="n">
        <v>2141</v>
      </c>
      <c r="F190" s="22" t="s">
        <v>6658</v>
      </c>
      <c r="G190" s="22" t="s">
        <v>198</v>
      </c>
      <c r="H190" s="22" t="n">
        <v>28</v>
      </c>
      <c r="I190" s="22" t="s">
        <v>8603</v>
      </c>
      <c r="J190" s="22" t="s">
        <v>10488</v>
      </c>
      <c r="K190" s="22" t="s">
        <v>10489</v>
      </c>
      <c r="L190" s="22" t="s">
        <v>10495</v>
      </c>
      <c r="M190" s="22" t="s">
        <v>10516</v>
      </c>
      <c r="N190" s="23" t="n">
        <v>45343</v>
      </c>
      <c r="O190" s="22" t="s">
        <v>10492</v>
      </c>
      <c r="P190" s="22"/>
    </row>
    <row r="191" customFormat="false" ht="15" hidden="false" customHeight="false" outlineLevel="0" collapsed="false">
      <c r="A191" s="22" t="s">
        <v>10696</v>
      </c>
      <c r="B191" s="22" t="s">
        <v>9469</v>
      </c>
      <c r="C191" s="23" t="n">
        <v>45346</v>
      </c>
      <c r="D191" s="22" t="s">
        <v>3399</v>
      </c>
      <c r="E191" s="22" t="n">
        <v>1349</v>
      </c>
      <c r="F191" s="22" t="s">
        <v>8427</v>
      </c>
      <c r="G191" s="22" t="s">
        <v>188</v>
      </c>
      <c r="H191" s="22" t="n">
        <v>24</v>
      </c>
      <c r="I191" s="22" t="s">
        <v>8637</v>
      </c>
      <c r="J191" s="22" t="s">
        <v>10503</v>
      </c>
      <c r="K191" s="22" t="s">
        <v>10489</v>
      </c>
      <c r="L191" s="22" t="s">
        <v>10500</v>
      </c>
      <c r="M191" s="22" t="s">
        <v>10491</v>
      </c>
      <c r="N191" s="23" t="n">
        <v>45347</v>
      </c>
      <c r="O191" s="22" t="s">
        <v>10492</v>
      </c>
      <c r="P191" s="22"/>
    </row>
    <row r="192" customFormat="false" ht="15" hidden="false" customHeight="false" outlineLevel="0" collapsed="false">
      <c r="A192" s="22" t="s">
        <v>10697</v>
      </c>
      <c r="B192" s="22" t="s">
        <v>9472</v>
      </c>
      <c r="C192" s="23" t="n">
        <v>45325</v>
      </c>
      <c r="D192" s="22" t="s">
        <v>876</v>
      </c>
      <c r="E192" s="22" t="n">
        <v>253</v>
      </c>
      <c r="F192" s="22" t="s">
        <v>6742</v>
      </c>
      <c r="G192" s="22" t="s">
        <v>198</v>
      </c>
      <c r="H192" s="22" t="n">
        <v>36</v>
      </c>
      <c r="I192" s="22" t="s">
        <v>8631</v>
      </c>
      <c r="J192" s="22" t="s">
        <v>10498</v>
      </c>
      <c r="K192" s="22" t="s">
        <v>10489</v>
      </c>
      <c r="L192" s="22" t="s">
        <v>10490</v>
      </c>
      <c r="M192" s="22" t="s">
        <v>10511</v>
      </c>
      <c r="N192" s="23" t="n">
        <v>45327</v>
      </c>
      <c r="O192" s="22" t="s">
        <v>10492</v>
      </c>
      <c r="P192" s="22"/>
    </row>
    <row r="193" customFormat="false" ht="15" hidden="false" customHeight="false" outlineLevel="0" collapsed="false">
      <c r="A193" s="22" t="s">
        <v>10698</v>
      </c>
      <c r="B193" s="22" t="s">
        <v>9476</v>
      </c>
      <c r="C193" s="23" t="n">
        <v>45337</v>
      </c>
      <c r="D193" s="22" t="s">
        <v>4989</v>
      </c>
      <c r="E193" s="22" t="n">
        <v>2127</v>
      </c>
      <c r="F193" s="22" t="s">
        <v>6900</v>
      </c>
      <c r="G193" s="22" t="s">
        <v>198</v>
      </c>
      <c r="H193" s="22" t="n">
        <v>40</v>
      </c>
      <c r="I193" s="22" t="s">
        <v>8637</v>
      </c>
      <c r="J193" s="22" t="s">
        <v>10503</v>
      </c>
      <c r="K193" s="22" t="s">
        <v>10489</v>
      </c>
      <c r="L193" s="22" t="s">
        <v>10495</v>
      </c>
      <c r="M193" s="22" t="s">
        <v>10555</v>
      </c>
      <c r="N193" s="23" t="n">
        <v>45340</v>
      </c>
      <c r="O193" s="22" t="s">
        <v>10492</v>
      </c>
      <c r="P193" s="22"/>
    </row>
    <row r="194" customFormat="false" ht="15" hidden="false" customHeight="false" outlineLevel="0" collapsed="false">
      <c r="A194" s="22" t="s">
        <v>10699</v>
      </c>
      <c r="B194" s="22" t="s">
        <v>9477</v>
      </c>
      <c r="C194" s="23" t="n">
        <v>45330</v>
      </c>
      <c r="D194" s="22" t="s">
        <v>4020</v>
      </c>
      <c r="E194" s="22" t="n">
        <v>1653</v>
      </c>
      <c r="F194" s="22" t="s">
        <v>8502</v>
      </c>
      <c r="G194" s="22" t="s">
        <v>188</v>
      </c>
      <c r="H194" s="22" t="n">
        <v>24</v>
      </c>
      <c r="I194" s="22" t="s">
        <v>8603</v>
      </c>
      <c r="J194" s="22" t="s">
        <v>10488</v>
      </c>
      <c r="K194" s="22" t="s">
        <v>10489</v>
      </c>
      <c r="L194" s="22" t="s">
        <v>10508</v>
      </c>
      <c r="M194" s="22" t="s">
        <v>10496</v>
      </c>
      <c r="N194" s="23" t="n">
        <v>45331</v>
      </c>
      <c r="O194" s="22" t="s">
        <v>10492</v>
      </c>
      <c r="P194" s="22"/>
    </row>
    <row r="195" customFormat="false" ht="15" hidden="false" customHeight="false" outlineLevel="0" collapsed="false">
      <c r="A195" s="22" t="s">
        <v>10700</v>
      </c>
      <c r="B195" s="22" t="s">
        <v>9478</v>
      </c>
      <c r="C195" s="23" t="n">
        <v>45329</v>
      </c>
      <c r="D195" s="22" t="s">
        <v>1123</v>
      </c>
      <c r="E195" s="22" t="n">
        <v>347</v>
      </c>
      <c r="F195" s="22" t="s">
        <v>7901</v>
      </c>
      <c r="G195" s="22" t="s">
        <v>215</v>
      </c>
      <c r="H195" s="22" t="n">
        <v>60</v>
      </c>
      <c r="I195" s="22" t="s">
        <v>8637</v>
      </c>
      <c r="J195" s="22" t="s">
        <v>10503</v>
      </c>
      <c r="K195" s="22" t="s">
        <v>10489</v>
      </c>
      <c r="L195" s="22" t="s">
        <v>10495</v>
      </c>
      <c r="M195" s="22" t="s">
        <v>10506</v>
      </c>
      <c r="N195" s="23" t="n">
        <v>45332</v>
      </c>
      <c r="O195" s="22" t="s">
        <v>10492</v>
      </c>
      <c r="P195" s="22"/>
    </row>
    <row r="196" customFormat="false" ht="15" hidden="false" customHeight="false" outlineLevel="0" collapsed="false">
      <c r="A196" s="22" t="s">
        <v>10701</v>
      </c>
      <c r="B196" s="22" t="s">
        <v>9479</v>
      </c>
      <c r="C196" s="23" t="n">
        <v>45331</v>
      </c>
      <c r="D196" s="22" t="s">
        <v>1642</v>
      </c>
      <c r="E196" s="22" t="n">
        <v>562</v>
      </c>
      <c r="F196" s="22" t="s">
        <v>8091</v>
      </c>
      <c r="G196" s="22" t="s">
        <v>499</v>
      </c>
      <c r="H196" s="22" t="n">
        <v>80</v>
      </c>
      <c r="I196" s="22" t="s">
        <v>8637</v>
      </c>
      <c r="J196" s="22" t="s">
        <v>10503</v>
      </c>
      <c r="K196" s="22" t="s">
        <v>10489</v>
      </c>
      <c r="L196" s="22" t="s">
        <v>10500</v>
      </c>
      <c r="M196" s="22" t="s">
        <v>10516</v>
      </c>
      <c r="N196" s="23" t="n">
        <v>45334</v>
      </c>
      <c r="O196" s="22" t="s">
        <v>10492</v>
      </c>
      <c r="P196" s="22"/>
    </row>
    <row r="197" customFormat="false" ht="15" hidden="false" customHeight="false" outlineLevel="0" collapsed="false">
      <c r="A197" s="22" t="s">
        <v>10702</v>
      </c>
      <c r="B197" s="22" t="s">
        <v>9482</v>
      </c>
      <c r="C197" s="23" t="n">
        <v>45374</v>
      </c>
      <c r="D197" s="22" t="s">
        <v>3971</v>
      </c>
      <c r="E197" s="22" t="n">
        <v>1629</v>
      </c>
      <c r="F197" s="22" t="s">
        <v>7688</v>
      </c>
      <c r="G197" s="22" t="s">
        <v>159</v>
      </c>
      <c r="H197" s="22" t="n">
        <v>40</v>
      </c>
      <c r="I197" s="22" t="s">
        <v>8603</v>
      </c>
      <c r="J197" s="22" t="s">
        <v>10488</v>
      </c>
      <c r="K197" s="22" t="s">
        <v>10489</v>
      </c>
      <c r="L197" s="22" t="s">
        <v>10500</v>
      </c>
      <c r="M197" s="22" t="s">
        <v>10501</v>
      </c>
      <c r="N197" s="23" t="n">
        <v>45377</v>
      </c>
      <c r="O197" s="22" t="s">
        <v>10492</v>
      </c>
      <c r="P197" s="22"/>
    </row>
    <row r="198" customFormat="false" ht="15" hidden="false" customHeight="false" outlineLevel="0" collapsed="false">
      <c r="A198" s="22" t="s">
        <v>10703</v>
      </c>
      <c r="B198" s="22" t="s">
        <v>9485</v>
      </c>
      <c r="C198" s="23" t="n">
        <v>45379</v>
      </c>
      <c r="D198" s="22" t="s">
        <v>5981</v>
      </c>
      <c r="E198" s="22" t="n">
        <v>2621</v>
      </c>
      <c r="F198" s="22" t="s">
        <v>8486</v>
      </c>
      <c r="G198" s="22" t="s">
        <v>188</v>
      </c>
      <c r="H198" s="22" t="n">
        <v>24</v>
      </c>
      <c r="I198" s="22" t="s">
        <v>8631</v>
      </c>
      <c r="J198" s="22" t="s">
        <v>10498</v>
      </c>
      <c r="K198" s="22" t="s">
        <v>10489</v>
      </c>
      <c r="L198" s="22" t="s">
        <v>10508</v>
      </c>
      <c r="M198" s="22" t="s">
        <v>10511</v>
      </c>
      <c r="N198" s="23" t="n">
        <v>45381</v>
      </c>
      <c r="O198" s="22" t="s">
        <v>10492</v>
      </c>
      <c r="P198" s="22"/>
    </row>
    <row r="199" customFormat="false" ht="15" hidden="false" customHeight="false" outlineLevel="0" collapsed="false">
      <c r="A199" s="22" t="s">
        <v>10704</v>
      </c>
      <c r="B199" s="22" t="s">
        <v>9489</v>
      </c>
      <c r="C199" s="23" t="n">
        <v>45373</v>
      </c>
      <c r="D199" s="22" t="s">
        <v>2700</v>
      </c>
      <c r="E199" s="22" t="n">
        <v>1027</v>
      </c>
      <c r="F199" s="22" t="s">
        <v>8253</v>
      </c>
      <c r="G199" s="22" t="s">
        <v>499</v>
      </c>
      <c r="H199" s="22" t="n">
        <v>80</v>
      </c>
      <c r="I199" s="22" t="s">
        <v>8618</v>
      </c>
      <c r="J199" s="22" t="s">
        <v>10494</v>
      </c>
      <c r="K199" s="22" t="s">
        <v>10489</v>
      </c>
      <c r="L199" s="22" t="s">
        <v>10495</v>
      </c>
      <c r="M199" s="22" t="s">
        <v>10511</v>
      </c>
      <c r="N199" s="23" t="n">
        <v>45374</v>
      </c>
      <c r="O199" s="22" t="s">
        <v>10492</v>
      </c>
      <c r="P199" s="22"/>
    </row>
    <row r="200" customFormat="false" ht="15" hidden="false" customHeight="false" outlineLevel="0" collapsed="false">
      <c r="A200" s="22" t="s">
        <v>10705</v>
      </c>
      <c r="B200" s="22" t="s">
        <v>9496</v>
      </c>
      <c r="C200" s="23" t="n">
        <v>45378</v>
      </c>
      <c r="D200" s="22" t="s">
        <v>5109</v>
      </c>
      <c r="E200" s="22" t="n">
        <v>2185</v>
      </c>
      <c r="F200" s="22" t="s">
        <v>8566</v>
      </c>
      <c r="G200" s="22" t="s">
        <v>188</v>
      </c>
      <c r="H200" s="22" t="n">
        <v>24</v>
      </c>
      <c r="I200" s="22" t="s">
        <v>8603</v>
      </c>
      <c r="J200" s="22" t="s">
        <v>10488</v>
      </c>
      <c r="K200" s="22" t="s">
        <v>10489</v>
      </c>
      <c r="L200" s="22" t="s">
        <v>10508</v>
      </c>
      <c r="M200" s="22" t="s">
        <v>10501</v>
      </c>
      <c r="N200" s="23" t="n">
        <v>45378</v>
      </c>
      <c r="O200" s="22" t="s">
        <v>10492</v>
      </c>
      <c r="P200" s="22"/>
    </row>
    <row r="201" customFormat="false" ht="15" hidden="false" customHeight="false" outlineLevel="0" collapsed="false">
      <c r="A201" s="22" t="s">
        <v>10706</v>
      </c>
      <c r="B201" s="22" t="s">
        <v>9499</v>
      </c>
      <c r="C201" s="23" t="n">
        <v>45353</v>
      </c>
      <c r="D201" s="22" t="s">
        <v>4512</v>
      </c>
      <c r="E201" s="22" t="n">
        <v>1893</v>
      </c>
      <c r="F201" s="22" t="s">
        <v>8026</v>
      </c>
      <c r="G201" s="22" t="s">
        <v>215</v>
      </c>
      <c r="H201" s="22" t="n">
        <v>70</v>
      </c>
      <c r="I201" s="22" t="s">
        <v>8631</v>
      </c>
      <c r="J201" s="22" t="s">
        <v>10498</v>
      </c>
      <c r="K201" s="22" t="s">
        <v>10489</v>
      </c>
      <c r="L201" s="22" t="s">
        <v>10490</v>
      </c>
      <c r="M201" s="22" t="s">
        <v>10516</v>
      </c>
      <c r="N201" s="23" t="n">
        <v>45357</v>
      </c>
      <c r="O201" s="22" t="s">
        <v>10492</v>
      </c>
      <c r="P201" s="22"/>
    </row>
    <row r="202" customFormat="false" ht="15" hidden="false" customHeight="false" outlineLevel="0" collapsed="false">
      <c r="A202" s="22" t="s">
        <v>10707</v>
      </c>
      <c r="B202" s="22" t="s">
        <v>9504</v>
      </c>
      <c r="C202" s="23" t="n">
        <v>45376</v>
      </c>
      <c r="D202" s="22" t="s">
        <v>3241</v>
      </c>
      <c r="E202" s="22" t="n">
        <v>1274</v>
      </c>
      <c r="F202" s="22" t="s">
        <v>7574</v>
      </c>
      <c r="G202" s="22" t="s">
        <v>159</v>
      </c>
      <c r="H202" s="22" t="n">
        <v>28</v>
      </c>
      <c r="I202" s="22" t="s">
        <v>8603</v>
      </c>
      <c r="J202" s="22" t="s">
        <v>10488</v>
      </c>
      <c r="K202" s="22" t="s">
        <v>10489</v>
      </c>
      <c r="L202" s="22" t="s">
        <v>10495</v>
      </c>
      <c r="M202" s="22" t="s">
        <v>10506</v>
      </c>
      <c r="N202" s="23" t="n">
        <v>45377</v>
      </c>
      <c r="O202" s="22" t="s">
        <v>10492</v>
      </c>
      <c r="P202" s="22"/>
    </row>
    <row r="203" customFormat="false" ht="15" hidden="false" customHeight="false" outlineLevel="0" collapsed="false">
      <c r="A203" s="22" t="s">
        <v>10708</v>
      </c>
      <c r="B203" s="22" t="s">
        <v>9506</v>
      </c>
      <c r="C203" s="23" t="n">
        <v>45371</v>
      </c>
      <c r="D203" s="22" t="s">
        <v>6063</v>
      </c>
      <c r="E203" s="22" t="n">
        <v>2661</v>
      </c>
      <c r="F203" s="22" t="s">
        <v>7913</v>
      </c>
      <c r="G203" s="22" t="s">
        <v>215</v>
      </c>
      <c r="H203" s="22" t="n">
        <v>28</v>
      </c>
      <c r="I203" s="22" t="s">
        <v>8603</v>
      </c>
      <c r="J203" s="22" t="s">
        <v>10488</v>
      </c>
      <c r="K203" s="22" t="s">
        <v>10489</v>
      </c>
      <c r="L203" s="22" t="s">
        <v>10490</v>
      </c>
      <c r="M203" s="22" t="s">
        <v>10506</v>
      </c>
      <c r="N203" s="23" t="n">
        <v>45375</v>
      </c>
      <c r="O203" s="22" t="s">
        <v>10492</v>
      </c>
      <c r="P203" s="22"/>
    </row>
    <row r="204" customFormat="false" ht="15" hidden="false" customHeight="false" outlineLevel="0" collapsed="false">
      <c r="A204" s="22" t="s">
        <v>10709</v>
      </c>
      <c r="B204" s="22" t="s">
        <v>9507</v>
      </c>
      <c r="C204" s="23" t="n">
        <v>45353</v>
      </c>
      <c r="D204" s="22" t="s">
        <v>4258</v>
      </c>
      <c r="E204" s="22" t="n">
        <v>1769</v>
      </c>
      <c r="F204" s="22" t="s">
        <v>7968</v>
      </c>
      <c r="G204" s="22" t="s">
        <v>215</v>
      </c>
      <c r="H204" s="22" t="n">
        <v>80</v>
      </c>
      <c r="I204" s="22" t="s">
        <v>8631</v>
      </c>
      <c r="J204" s="22" t="s">
        <v>10498</v>
      </c>
      <c r="K204" s="22" t="s">
        <v>10489</v>
      </c>
      <c r="L204" s="22" t="s">
        <v>10508</v>
      </c>
      <c r="M204" s="22" t="s">
        <v>10501</v>
      </c>
      <c r="N204" s="23" t="n">
        <v>45354</v>
      </c>
      <c r="O204" s="22" t="s">
        <v>10492</v>
      </c>
      <c r="P204" s="22"/>
    </row>
    <row r="205" customFormat="false" ht="15" hidden="false" customHeight="false" outlineLevel="0" collapsed="false">
      <c r="A205" s="22" t="s">
        <v>10710</v>
      </c>
      <c r="B205" s="22" t="s">
        <v>9510</v>
      </c>
      <c r="C205" s="23" t="n">
        <v>45384</v>
      </c>
      <c r="D205" s="22" t="s">
        <v>2527</v>
      </c>
      <c r="E205" s="22" t="n">
        <v>950</v>
      </c>
      <c r="F205" s="22" t="s">
        <v>7881</v>
      </c>
      <c r="G205" s="22" t="s">
        <v>215</v>
      </c>
      <c r="H205" s="22" t="n">
        <v>28</v>
      </c>
      <c r="I205" s="22" t="s">
        <v>8603</v>
      </c>
      <c r="J205" s="22" t="s">
        <v>10488</v>
      </c>
      <c r="K205" s="22" t="s">
        <v>10518</v>
      </c>
      <c r="L205" s="22" t="s">
        <v>10508</v>
      </c>
      <c r="M205" s="22" t="s">
        <v>10504</v>
      </c>
      <c r="N205" s="23" t="n">
        <v>45384</v>
      </c>
      <c r="O205" s="22" t="s">
        <v>10492</v>
      </c>
      <c r="P205" s="22"/>
    </row>
    <row r="206" customFormat="false" ht="15" hidden="false" customHeight="false" outlineLevel="0" collapsed="false">
      <c r="A206" s="22" t="s">
        <v>10711</v>
      </c>
      <c r="B206" s="22" t="s">
        <v>9513</v>
      </c>
      <c r="C206" s="23" t="n">
        <v>45407</v>
      </c>
      <c r="D206" s="22" t="s">
        <v>4515</v>
      </c>
      <c r="E206" s="22" t="n">
        <v>1895</v>
      </c>
      <c r="F206" s="22" t="s">
        <v>7777</v>
      </c>
      <c r="G206" s="22" t="s">
        <v>215</v>
      </c>
      <c r="H206" s="22" t="n">
        <v>50</v>
      </c>
      <c r="I206" s="22" t="s">
        <v>8603</v>
      </c>
      <c r="J206" s="22" t="s">
        <v>10488</v>
      </c>
      <c r="K206" s="22" t="s">
        <v>10489</v>
      </c>
      <c r="L206" s="22" t="s">
        <v>10490</v>
      </c>
      <c r="M206" s="22" t="s">
        <v>10504</v>
      </c>
      <c r="N206" s="23" t="n">
        <v>45411</v>
      </c>
      <c r="O206" s="22" t="s">
        <v>10492</v>
      </c>
      <c r="P206" s="22"/>
    </row>
    <row r="207" customFormat="false" ht="15" hidden="false" customHeight="false" outlineLevel="0" collapsed="false">
      <c r="A207" s="22" t="s">
        <v>10712</v>
      </c>
      <c r="B207" s="22" t="s">
        <v>9530</v>
      </c>
      <c r="C207" s="23" t="n">
        <v>45390</v>
      </c>
      <c r="D207" s="22" t="s">
        <v>4769</v>
      </c>
      <c r="E207" s="22" t="n">
        <v>2018</v>
      </c>
      <c r="F207" s="22" t="s">
        <v>7526</v>
      </c>
      <c r="G207" s="22" t="s">
        <v>159</v>
      </c>
      <c r="H207" s="22" t="n">
        <v>40</v>
      </c>
      <c r="I207" s="22" t="s">
        <v>8603</v>
      </c>
      <c r="J207" s="22" t="s">
        <v>10488</v>
      </c>
      <c r="K207" s="22" t="s">
        <v>10489</v>
      </c>
      <c r="L207" s="22" t="s">
        <v>10500</v>
      </c>
      <c r="M207" s="22" t="s">
        <v>10501</v>
      </c>
      <c r="N207" s="23" t="n">
        <v>45391</v>
      </c>
      <c r="O207" s="22" t="s">
        <v>10492</v>
      </c>
      <c r="P207" s="22"/>
    </row>
    <row r="208" customFormat="false" ht="15" hidden="false" customHeight="false" outlineLevel="0" collapsed="false">
      <c r="A208" s="22" t="s">
        <v>10713</v>
      </c>
      <c r="B208" s="22" t="s">
        <v>9535</v>
      </c>
      <c r="C208" s="23" t="n">
        <v>45403</v>
      </c>
      <c r="D208" s="22" t="s">
        <v>4625</v>
      </c>
      <c r="E208" s="22" t="n">
        <v>1948</v>
      </c>
      <c r="F208" s="22" t="s">
        <v>8326</v>
      </c>
      <c r="G208" s="22" t="s">
        <v>499</v>
      </c>
      <c r="H208" s="22" t="n">
        <v>60</v>
      </c>
      <c r="I208" s="22" t="s">
        <v>8603</v>
      </c>
      <c r="J208" s="22" t="s">
        <v>10488</v>
      </c>
      <c r="K208" s="22" t="s">
        <v>10518</v>
      </c>
      <c r="L208" s="22" t="s">
        <v>10490</v>
      </c>
      <c r="M208" s="22" t="s">
        <v>10516</v>
      </c>
      <c r="N208" s="23" t="n">
        <v>45406</v>
      </c>
      <c r="O208" s="22" t="s">
        <v>10492</v>
      </c>
      <c r="P208" s="22"/>
    </row>
    <row r="209" customFormat="false" ht="15" hidden="false" customHeight="false" outlineLevel="0" collapsed="false">
      <c r="A209" s="22" t="s">
        <v>10714</v>
      </c>
      <c r="B209" s="22" t="s">
        <v>9543</v>
      </c>
      <c r="C209" s="23" t="n">
        <v>45420</v>
      </c>
      <c r="D209" s="22" t="s">
        <v>3307</v>
      </c>
      <c r="E209" s="22" t="n">
        <v>1305</v>
      </c>
      <c r="F209" s="22" t="s">
        <v>8281</v>
      </c>
      <c r="G209" s="22" t="s">
        <v>499</v>
      </c>
      <c r="H209" s="22" t="n">
        <v>60</v>
      </c>
      <c r="I209" s="22" t="s">
        <v>8631</v>
      </c>
      <c r="J209" s="22" t="s">
        <v>10498</v>
      </c>
      <c r="K209" s="22" t="s">
        <v>10489</v>
      </c>
      <c r="L209" s="22" t="s">
        <v>10500</v>
      </c>
      <c r="M209" s="22" t="s">
        <v>10496</v>
      </c>
      <c r="N209" s="23" t="n">
        <v>45420</v>
      </c>
      <c r="O209" s="22" t="s">
        <v>10492</v>
      </c>
      <c r="P209" s="22"/>
    </row>
    <row r="210" customFormat="false" ht="15" hidden="false" customHeight="false" outlineLevel="0" collapsed="false">
      <c r="A210" s="22" t="s">
        <v>10715</v>
      </c>
      <c r="B210" s="22" t="s">
        <v>9552</v>
      </c>
      <c r="C210" s="23" t="n">
        <v>45425</v>
      </c>
      <c r="D210" s="22" t="s">
        <v>1914</v>
      </c>
      <c r="E210" s="22" t="n">
        <v>675</v>
      </c>
      <c r="F210" s="22" t="s">
        <v>7593</v>
      </c>
      <c r="G210" s="22" t="s">
        <v>159</v>
      </c>
      <c r="H210" s="22" t="n">
        <v>24</v>
      </c>
      <c r="I210" s="22" t="s">
        <v>8637</v>
      </c>
      <c r="J210" s="22" t="s">
        <v>10503</v>
      </c>
      <c r="K210" s="22" t="s">
        <v>10489</v>
      </c>
      <c r="L210" s="22" t="s">
        <v>10490</v>
      </c>
      <c r="M210" s="22" t="s">
        <v>10555</v>
      </c>
      <c r="N210" s="23" t="n">
        <v>45427</v>
      </c>
      <c r="O210" s="22" t="s">
        <v>10492</v>
      </c>
      <c r="P210" s="22"/>
    </row>
    <row r="211" customFormat="false" ht="15" hidden="false" customHeight="false" outlineLevel="0" collapsed="false">
      <c r="A211" s="22" t="s">
        <v>10716</v>
      </c>
      <c r="B211" s="22" t="s">
        <v>9553</v>
      </c>
      <c r="C211" s="23" t="n">
        <v>45435</v>
      </c>
      <c r="D211" s="22" t="s">
        <v>850</v>
      </c>
      <c r="E211" s="22" t="n">
        <v>242</v>
      </c>
      <c r="F211" s="22" t="s">
        <v>8286</v>
      </c>
      <c r="G211" s="22" t="s">
        <v>499</v>
      </c>
      <c r="H211" s="22" t="n">
        <v>50</v>
      </c>
      <c r="I211" s="22" t="s">
        <v>8631</v>
      </c>
      <c r="J211" s="22" t="s">
        <v>10498</v>
      </c>
      <c r="K211" s="22" t="s">
        <v>10489</v>
      </c>
      <c r="L211" s="22" t="s">
        <v>10500</v>
      </c>
      <c r="M211" s="22" t="s">
        <v>10501</v>
      </c>
      <c r="N211" s="23" t="n">
        <v>45436</v>
      </c>
      <c r="O211" s="22" t="s">
        <v>10492</v>
      </c>
      <c r="P211" s="22"/>
    </row>
    <row r="212" customFormat="false" ht="15" hidden="false" customHeight="false" outlineLevel="0" collapsed="false">
      <c r="A212" s="22" t="s">
        <v>10717</v>
      </c>
      <c r="B212" s="22" t="s">
        <v>9558</v>
      </c>
      <c r="C212" s="23" t="n">
        <v>45431</v>
      </c>
      <c r="D212" s="22" t="s">
        <v>1584</v>
      </c>
      <c r="E212" s="22" t="n">
        <v>536</v>
      </c>
      <c r="F212" s="22" t="s">
        <v>8189</v>
      </c>
      <c r="G212" s="22" t="s">
        <v>499</v>
      </c>
      <c r="H212" s="22" t="n">
        <v>28</v>
      </c>
      <c r="I212" s="22" t="s">
        <v>8618</v>
      </c>
      <c r="J212" s="22" t="s">
        <v>10494</v>
      </c>
      <c r="K212" s="22" t="s">
        <v>10489</v>
      </c>
      <c r="L212" s="22" t="s">
        <v>10490</v>
      </c>
      <c r="M212" s="22" t="s">
        <v>10504</v>
      </c>
      <c r="N212" s="23" t="n">
        <v>45432</v>
      </c>
      <c r="O212" s="22" t="s">
        <v>10492</v>
      </c>
      <c r="P212" s="22"/>
    </row>
    <row r="213" customFormat="false" ht="15" hidden="false" customHeight="false" outlineLevel="0" collapsed="false">
      <c r="A213" s="22" t="s">
        <v>10718</v>
      </c>
      <c r="B213" s="22" t="s">
        <v>9561</v>
      </c>
      <c r="C213" s="23" t="n">
        <v>45434</v>
      </c>
      <c r="D213" s="22" t="s">
        <v>2670</v>
      </c>
      <c r="E213" s="22" t="n">
        <v>1013</v>
      </c>
      <c r="F213" s="22" t="s">
        <v>7502</v>
      </c>
      <c r="G213" s="22" t="s">
        <v>159</v>
      </c>
      <c r="H213" s="22" t="n">
        <v>24</v>
      </c>
      <c r="I213" s="22" t="s">
        <v>8618</v>
      </c>
      <c r="J213" s="22" t="s">
        <v>10494</v>
      </c>
      <c r="K213" s="22" t="s">
        <v>10489</v>
      </c>
      <c r="L213" s="22" t="s">
        <v>10500</v>
      </c>
      <c r="M213" s="22" t="s">
        <v>10516</v>
      </c>
      <c r="N213" s="23" t="n">
        <v>45435</v>
      </c>
      <c r="O213" s="22" t="s">
        <v>10492</v>
      </c>
      <c r="P213" s="22"/>
    </row>
    <row r="214" customFormat="false" ht="15" hidden="false" customHeight="false" outlineLevel="0" collapsed="false">
      <c r="A214" s="22" t="s">
        <v>10719</v>
      </c>
      <c r="B214" s="22" t="s">
        <v>9565</v>
      </c>
      <c r="C214" s="23" t="n">
        <v>45427</v>
      </c>
      <c r="D214" s="22" t="s">
        <v>2092</v>
      </c>
      <c r="E214" s="22" t="n">
        <v>753</v>
      </c>
      <c r="F214" s="22" t="s">
        <v>7055</v>
      </c>
      <c r="G214" s="22" t="s">
        <v>198</v>
      </c>
      <c r="H214" s="22" t="n">
        <v>24</v>
      </c>
      <c r="I214" s="22" t="s">
        <v>8631</v>
      </c>
      <c r="J214" s="22" t="s">
        <v>10498</v>
      </c>
      <c r="K214" s="22" t="s">
        <v>10489</v>
      </c>
      <c r="L214" s="22" t="s">
        <v>10490</v>
      </c>
      <c r="M214" s="22" t="s">
        <v>10513</v>
      </c>
      <c r="N214" s="23" t="n">
        <v>45431</v>
      </c>
      <c r="O214" s="22" t="s">
        <v>10492</v>
      </c>
      <c r="P214" s="22"/>
    </row>
    <row r="215" customFormat="false" ht="15" hidden="false" customHeight="false" outlineLevel="0" collapsed="false">
      <c r="A215" s="22" t="s">
        <v>10720</v>
      </c>
      <c r="B215" s="22" t="s">
        <v>9568</v>
      </c>
      <c r="C215" s="23" t="n">
        <v>45413</v>
      </c>
      <c r="D215" s="22" t="s">
        <v>1049</v>
      </c>
      <c r="E215" s="22" t="n">
        <v>318</v>
      </c>
      <c r="F215" s="22" t="s">
        <v>8429</v>
      </c>
      <c r="G215" s="22" t="s">
        <v>188</v>
      </c>
      <c r="H215" s="22" t="n">
        <v>45</v>
      </c>
      <c r="I215" s="22" t="s">
        <v>8637</v>
      </c>
      <c r="J215" s="22" t="s">
        <v>10503</v>
      </c>
      <c r="K215" s="22" t="s">
        <v>10489</v>
      </c>
      <c r="L215" s="22" t="s">
        <v>10500</v>
      </c>
      <c r="M215" s="22" t="s">
        <v>10501</v>
      </c>
      <c r="N215" s="23" t="n">
        <v>45416</v>
      </c>
      <c r="O215" s="22" t="s">
        <v>10492</v>
      </c>
      <c r="P215" s="22"/>
    </row>
    <row r="216" customFormat="false" ht="15" hidden="false" customHeight="false" outlineLevel="0" collapsed="false">
      <c r="A216" s="22" t="s">
        <v>10721</v>
      </c>
      <c r="B216" s="22" t="s">
        <v>9572</v>
      </c>
      <c r="C216" s="23" t="n">
        <v>45433</v>
      </c>
      <c r="D216" s="22" t="s">
        <v>6516</v>
      </c>
      <c r="E216" s="22" t="n">
        <v>2891</v>
      </c>
      <c r="F216" s="22" t="s">
        <v>7880</v>
      </c>
      <c r="G216" s="22" t="s">
        <v>215</v>
      </c>
      <c r="H216" s="22" t="n">
        <v>24</v>
      </c>
      <c r="I216" s="22" t="s">
        <v>8603</v>
      </c>
      <c r="J216" s="22" t="s">
        <v>10488</v>
      </c>
      <c r="K216" s="22" t="s">
        <v>10489</v>
      </c>
      <c r="L216" s="22" t="s">
        <v>10500</v>
      </c>
      <c r="M216" s="22" t="s">
        <v>10501</v>
      </c>
      <c r="N216" s="23" t="n">
        <v>45433</v>
      </c>
      <c r="O216" s="22" t="s">
        <v>10492</v>
      </c>
      <c r="P216" s="22"/>
    </row>
    <row r="217" customFormat="false" ht="15" hidden="false" customHeight="false" outlineLevel="0" collapsed="false">
      <c r="A217" s="22" t="s">
        <v>10722</v>
      </c>
      <c r="B217" s="22" t="s">
        <v>9578</v>
      </c>
      <c r="C217" s="23" t="n">
        <v>45455</v>
      </c>
      <c r="D217" s="22" t="s">
        <v>4785</v>
      </c>
      <c r="E217" s="22" t="n">
        <v>2026</v>
      </c>
      <c r="F217" s="22" t="s">
        <v>6787</v>
      </c>
      <c r="G217" s="22" t="s">
        <v>198</v>
      </c>
      <c r="H217" s="22" t="n">
        <v>32</v>
      </c>
      <c r="I217" s="22" t="s">
        <v>8618</v>
      </c>
      <c r="J217" s="22" t="s">
        <v>10494</v>
      </c>
      <c r="K217" s="22" t="s">
        <v>10489</v>
      </c>
      <c r="L217" s="22" t="s">
        <v>10508</v>
      </c>
      <c r="M217" s="22" t="s">
        <v>10513</v>
      </c>
      <c r="N217" s="23" t="n">
        <v>45456</v>
      </c>
      <c r="O217" s="22" t="s">
        <v>10492</v>
      </c>
      <c r="P217" s="22"/>
    </row>
    <row r="218" customFormat="false" ht="15" hidden="false" customHeight="false" outlineLevel="0" collapsed="false">
      <c r="A218" s="22" t="s">
        <v>10723</v>
      </c>
      <c r="B218" s="22" t="s">
        <v>9580</v>
      </c>
      <c r="C218" s="23" t="n">
        <v>45458</v>
      </c>
      <c r="D218" s="22" t="s">
        <v>5229</v>
      </c>
      <c r="E218" s="22" t="n">
        <v>2245</v>
      </c>
      <c r="F218" s="22" t="s">
        <v>7187</v>
      </c>
      <c r="G218" s="22" t="s">
        <v>198</v>
      </c>
      <c r="H218" s="22" t="n">
        <v>40</v>
      </c>
      <c r="I218" s="22" t="s">
        <v>8603</v>
      </c>
      <c r="J218" s="22" t="s">
        <v>10488</v>
      </c>
      <c r="K218" s="22" t="s">
        <v>10489</v>
      </c>
      <c r="L218" s="22" t="s">
        <v>10508</v>
      </c>
      <c r="M218" s="22" t="s">
        <v>10506</v>
      </c>
      <c r="N218" s="23" t="n">
        <v>45463</v>
      </c>
      <c r="O218" s="22" t="s">
        <v>10492</v>
      </c>
      <c r="P218" s="22"/>
    </row>
    <row r="219" customFormat="false" ht="15" hidden="false" customHeight="false" outlineLevel="0" collapsed="false">
      <c r="A219" s="22" t="s">
        <v>10724</v>
      </c>
      <c r="B219" s="22" t="s">
        <v>9590</v>
      </c>
      <c r="C219" s="23" t="n">
        <v>45457</v>
      </c>
      <c r="D219" s="22" t="s">
        <v>5794</v>
      </c>
      <c r="E219" s="22" t="n">
        <v>2527</v>
      </c>
      <c r="F219" s="22" t="s">
        <v>7866</v>
      </c>
      <c r="G219" s="22" t="s">
        <v>215</v>
      </c>
      <c r="H219" s="22" t="n">
        <v>24</v>
      </c>
      <c r="I219" s="22" t="s">
        <v>8618</v>
      </c>
      <c r="J219" s="22" t="s">
        <v>10494</v>
      </c>
      <c r="K219" s="22" t="s">
        <v>10489</v>
      </c>
      <c r="L219" s="22" t="s">
        <v>10490</v>
      </c>
      <c r="M219" s="22" t="s">
        <v>10506</v>
      </c>
      <c r="N219" s="23" t="n">
        <v>45462</v>
      </c>
      <c r="O219" s="22" t="s">
        <v>10492</v>
      </c>
      <c r="P219" s="22"/>
    </row>
    <row r="220" customFormat="false" ht="15" hidden="false" customHeight="false" outlineLevel="0" collapsed="false">
      <c r="A220" s="22" t="s">
        <v>10725</v>
      </c>
      <c r="B220" s="22" t="s">
        <v>9595</v>
      </c>
      <c r="C220" s="23" t="n">
        <v>45448</v>
      </c>
      <c r="D220" s="22" t="s">
        <v>583</v>
      </c>
      <c r="E220" s="22" t="n">
        <v>144</v>
      </c>
      <c r="F220" s="22" t="s">
        <v>6696</v>
      </c>
      <c r="G220" s="22" t="s">
        <v>198</v>
      </c>
      <c r="H220" s="22" t="n">
        <v>32</v>
      </c>
      <c r="I220" s="22" t="s">
        <v>8603</v>
      </c>
      <c r="J220" s="22" t="s">
        <v>10488</v>
      </c>
      <c r="K220" s="22" t="s">
        <v>10518</v>
      </c>
      <c r="L220" s="22" t="s">
        <v>10495</v>
      </c>
      <c r="M220" s="22" t="s">
        <v>10491</v>
      </c>
      <c r="N220" s="23" t="n">
        <v>45451</v>
      </c>
      <c r="O220" s="22" t="s">
        <v>10492</v>
      </c>
      <c r="P220" s="22"/>
    </row>
    <row r="221" customFormat="false" ht="15" hidden="false" customHeight="false" outlineLevel="0" collapsed="false">
      <c r="A221" s="22" t="s">
        <v>10726</v>
      </c>
      <c r="B221" s="22" t="s">
        <v>9597</v>
      </c>
      <c r="C221" s="23" t="n">
        <v>45451</v>
      </c>
      <c r="D221" s="22" t="s">
        <v>5517</v>
      </c>
      <c r="E221" s="22" t="n">
        <v>2390</v>
      </c>
      <c r="F221" s="22" t="s">
        <v>8399</v>
      </c>
      <c r="G221" s="22" t="s">
        <v>188</v>
      </c>
      <c r="H221" s="22" t="n">
        <v>28</v>
      </c>
      <c r="I221" s="22" t="s">
        <v>8631</v>
      </c>
      <c r="J221" s="22" t="s">
        <v>10498</v>
      </c>
      <c r="K221" s="22" t="s">
        <v>10489</v>
      </c>
      <c r="L221" s="22" t="s">
        <v>10490</v>
      </c>
      <c r="M221" s="22" t="s">
        <v>10516</v>
      </c>
      <c r="N221" s="23" t="n">
        <v>45452</v>
      </c>
      <c r="O221" s="22" t="s">
        <v>10492</v>
      </c>
      <c r="P221" s="22"/>
    </row>
    <row r="222" customFormat="false" ht="15" hidden="false" customHeight="false" outlineLevel="0" collapsed="false">
      <c r="A222" s="22" t="s">
        <v>10727</v>
      </c>
      <c r="B222" s="22" t="s">
        <v>9598</v>
      </c>
      <c r="C222" s="23" t="n">
        <v>45452</v>
      </c>
      <c r="D222" s="22" t="s">
        <v>1176</v>
      </c>
      <c r="E222" s="22" t="n">
        <v>368</v>
      </c>
      <c r="F222" s="22" t="s">
        <v>7655</v>
      </c>
      <c r="G222" s="22" t="s">
        <v>159</v>
      </c>
      <c r="H222" s="22" t="n">
        <v>32</v>
      </c>
      <c r="I222" s="22" t="s">
        <v>8637</v>
      </c>
      <c r="J222" s="22" t="s">
        <v>10503</v>
      </c>
      <c r="K222" s="22" t="s">
        <v>10489</v>
      </c>
      <c r="L222" s="22" t="s">
        <v>10508</v>
      </c>
      <c r="M222" s="22" t="s">
        <v>10511</v>
      </c>
      <c r="N222" s="23" t="n">
        <v>45454</v>
      </c>
      <c r="O222" s="22" t="s">
        <v>10492</v>
      </c>
      <c r="P222" s="22"/>
    </row>
    <row r="223" customFormat="false" ht="15" hidden="false" customHeight="false" outlineLevel="0" collapsed="false">
      <c r="A223" s="22" t="s">
        <v>10728</v>
      </c>
      <c r="B223" s="22" t="s">
        <v>9624</v>
      </c>
      <c r="C223" s="23" t="n">
        <v>45501</v>
      </c>
      <c r="D223" s="22" t="s">
        <v>2395</v>
      </c>
      <c r="E223" s="22" t="n">
        <v>889</v>
      </c>
      <c r="F223" s="22" t="s">
        <v>8074</v>
      </c>
      <c r="G223" s="22" t="s">
        <v>499</v>
      </c>
      <c r="H223" s="22" t="n">
        <v>24</v>
      </c>
      <c r="I223" s="22" t="s">
        <v>8603</v>
      </c>
      <c r="J223" s="22" t="s">
        <v>10488</v>
      </c>
      <c r="K223" s="22" t="s">
        <v>10489</v>
      </c>
      <c r="L223" s="22" t="s">
        <v>10500</v>
      </c>
      <c r="M223" s="22" t="s">
        <v>10504</v>
      </c>
      <c r="N223" s="23" t="n">
        <v>45506</v>
      </c>
      <c r="O223" s="22" t="s">
        <v>10492</v>
      </c>
      <c r="P223" s="22"/>
    </row>
    <row r="224" customFormat="false" ht="15" hidden="false" customHeight="false" outlineLevel="0" collapsed="false">
      <c r="A224" s="22" t="s">
        <v>10729</v>
      </c>
      <c r="B224" s="22" t="s">
        <v>9629</v>
      </c>
      <c r="C224" s="23" t="n">
        <v>45478</v>
      </c>
      <c r="D224" s="22" t="s">
        <v>1950</v>
      </c>
      <c r="E224" s="22" t="n">
        <v>691</v>
      </c>
      <c r="F224" s="22" t="s">
        <v>7243</v>
      </c>
      <c r="G224" s="22" t="s">
        <v>198</v>
      </c>
      <c r="H224" s="22" t="n">
        <v>32</v>
      </c>
      <c r="I224" s="22" t="s">
        <v>8637</v>
      </c>
      <c r="J224" s="22" t="s">
        <v>10503</v>
      </c>
      <c r="K224" s="22" t="s">
        <v>10489</v>
      </c>
      <c r="L224" s="22" t="s">
        <v>10490</v>
      </c>
      <c r="M224" s="22" t="s">
        <v>10513</v>
      </c>
      <c r="N224" s="23" t="n">
        <v>45481</v>
      </c>
      <c r="O224" s="22" t="s">
        <v>10492</v>
      </c>
      <c r="P224" s="22"/>
    </row>
    <row r="225" customFormat="false" ht="15" hidden="false" customHeight="false" outlineLevel="0" collapsed="false">
      <c r="A225" s="22" t="s">
        <v>10730</v>
      </c>
      <c r="B225" s="22" t="s">
        <v>9630</v>
      </c>
      <c r="C225" s="23" t="n">
        <v>45487</v>
      </c>
      <c r="D225" s="22" t="s">
        <v>4424</v>
      </c>
      <c r="E225" s="22" t="n">
        <v>1850</v>
      </c>
      <c r="F225" s="22" t="s">
        <v>8347</v>
      </c>
      <c r="G225" s="22" t="s">
        <v>188</v>
      </c>
      <c r="H225" s="22" t="n">
        <v>40</v>
      </c>
      <c r="I225" s="22" t="s">
        <v>8603</v>
      </c>
      <c r="J225" s="22" t="s">
        <v>10488</v>
      </c>
      <c r="K225" s="22" t="s">
        <v>10489</v>
      </c>
      <c r="L225" s="22" t="s">
        <v>10508</v>
      </c>
      <c r="M225" s="22" t="s">
        <v>10516</v>
      </c>
      <c r="N225" s="23" t="n">
        <v>45492</v>
      </c>
      <c r="O225" s="22" t="s">
        <v>10492</v>
      </c>
      <c r="P225" s="22"/>
    </row>
    <row r="226" customFormat="false" ht="15" hidden="false" customHeight="false" outlineLevel="0" collapsed="false">
      <c r="A226" s="22" t="s">
        <v>10731</v>
      </c>
      <c r="B226" s="22" t="s">
        <v>9634</v>
      </c>
      <c r="C226" s="23" t="n">
        <v>45522</v>
      </c>
      <c r="D226" s="22" t="s">
        <v>6263</v>
      </c>
      <c r="E226" s="22" t="n">
        <v>2762</v>
      </c>
      <c r="F226" s="22" t="s">
        <v>6894</v>
      </c>
      <c r="G226" s="22" t="s">
        <v>198</v>
      </c>
      <c r="H226" s="22" t="n">
        <v>24</v>
      </c>
      <c r="I226" s="22" t="s">
        <v>8603</v>
      </c>
      <c r="J226" s="22" t="s">
        <v>10488</v>
      </c>
      <c r="K226" s="22" t="s">
        <v>10489</v>
      </c>
      <c r="L226" s="22" t="s">
        <v>10490</v>
      </c>
      <c r="M226" s="22" t="s">
        <v>10506</v>
      </c>
      <c r="N226" s="23" t="n">
        <v>45524</v>
      </c>
      <c r="O226" s="22" t="s">
        <v>10492</v>
      </c>
      <c r="P226" s="22"/>
    </row>
    <row r="227" customFormat="false" ht="15" hidden="false" customHeight="false" outlineLevel="0" collapsed="false">
      <c r="A227" s="22" t="s">
        <v>10732</v>
      </c>
      <c r="B227" s="22" t="s">
        <v>9635</v>
      </c>
      <c r="C227" s="23" t="n">
        <v>45510</v>
      </c>
      <c r="D227" s="22" t="s">
        <v>5824</v>
      </c>
      <c r="E227" s="22" t="n">
        <v>2542</v>
      </c>
      <c r="F227" s="22" t="s">
        <v>8419</v>
      </c>
      <c r="G227" s="22" t="s">
        <v>188</v>
      </c>
      <c r="H227" s="22" t="n">
        <v>32</v>
      </c>
      <c r="I227" s="22" t="s">
        <v>8603</v>
      </c>
      <c r="J227" s="22" t="s">
        <v>10488</v>
      </c>
      <c r="K227" s="22" t="s">
        <v>10489</v>
      </c>
      <c r="L227" s="22" t="s">
        <v>10500</v>
      </c>
      <c r="M227" s="22" t="s">
        <v>10504</v>
      </c>
      <c r="N227" s="23" t="n">
        <v>45515</v>
      </c>
      <c r="O227" s="22" t="s">
        <v>10492</v>
      </c>
      <c r="P227" s="22"/>
    </row>
    <row r="228" customFormat="false" ht="15" hidden="false" customHeight="false" outlineLevel="0" collapsed="false">
      <c r="A228" s="22" t="s">
        <v>10733</v>
      </c>
      <c r="B228" s="22" t="s">
        <v>9636</v>
      </c>
      <c r="C228" s="23" t="n">
        <v>45520</v>
      </c>
      <c r="D228" s="22" t="s">
        <v>6257</v>
      </c>
      <c r="E228" s="22" t="n">
        <v>2759</v>
      </c>
      <c r="F228" s="22" t="s">
        <v>8064</v>
      </c>
      <c r="G228" s="22" t="s">
        <v>499</v>
      </c>
      <c r="H228" s="22" t="n">
        <v>80</v>
      </c>
      <c r="I228" s="22" t="s">
        <v>8618</v>
      </c>
      <c r="J228" s="22" t="s">
        <v>10494</v>
      </c>
      <c r="K228" s="22" t="s">
        <v>10489</v>
      </c>
      <c r="L228" s="22" t="s">
        <v>10490</v>
      </c>
      <c r="M228" s="22" t="s">
        <v>10496</v>
      </c>
      <c r="N228" s="23" t="n">
        <v>45520</v>
      </c>
      <c r="O228" s="22" t="s">
        <v>10492</v>
      </c>
      <c r="P228" s="22"/>
    </row>
    <row r="229" customFormat="false" ht="15" hidden="false" customHeight="false" outlineLevel="0" collapsed="false">
      <c r="A229" s="22" t="s">
        <v>10734</v>
      </c>
      <c r="B229" s="22" t="s">
        <v>9637</v>
      </c>
      <c r="C229" s="23" t="n">
        <v>45514</v>
      </c>
      <c r="D229" s="22" t="s">
        <v>155</v>
      </c>
      <c r="E229" s="22" t="n">
        <v>1</v>
      </c>
      <c r="F229" s="22" t="s">
        <v>7666</v>
      </c>
      <c r="G229" s="22" t="s">
        <v>159</v>
      </c>
      <c r="H229" s="22" t="n">
        <v>36</v>
      </c>
      <c r="I229" s="22" t="s">
        <v>8618</v>
      </c>
      <c r="J229" s="22" t="s">
        <v>10494</v>
      </c>
      <c r="K229" s="22" t="s">
        <v>10489</v>
      </c>
      <c r="L229" s="22" t="s">
        <v>10500</v>
      </c>
      <c r="M229" s="22" t="s">
        <v>10506</v>
      </c>
      <c r="N229" s="23" t="n">
        <v>45518</v>
      </c>
      <c r="O229" s="22" t="s">
        <v>10492</v>
      </c>
      <c r="P229" s="22"/>
    </row>
    <row r="230" customFormat="false" ht="15" hidden="false" customHeight="false" outlineLevel="0" collapsed="false">
      <c r="A230" s="22" t="s">
        <v>10735</v>
      </c>
      <c r="B230" s="22" t="s">
        <v>9644</v>
      </c>
      <c r="C230" s="23" t="n">
        <v>45529</v>
      </c>
      <c r="D230" s="22" t="s">
        <v>4304</v>
      </c>
      <c r="E230" s="22" t="n">
        <v>1791</v>
      </c>
      <c r="F230" s="22" t="s">
        <v>8375</v>
      </c>
      <c r="G230" s="22" t="s">
        <v>188</v>
      </c>
      <c r="H230" s="22" t="n">
        <v>45</v>
      </c>
      <c r="I230" s="22" t="s">
        <v>8603</v>
      </c>
      <c r="J230" s="22" t="s">
        <v>10488</v>
      </c>
      <c r="K230" s="22" t="s">
        <v>10489</v>
      </c>
      <c r="L230" s="22" t="s">
        <v>10490</v>
      </c>
      <c r="M230" s="22" t="s">
        <v>10496</v>
      </c>
      <c r="N230" s="23" t="n">
        <v>45534</v>
      </c>
      <c r="O230" s="22" t="s">
        <v>10492</v>
      </c>
      <c r="P230" s="22"/>
    </row>
    <row r="231" customFormat="false" ht="15" hidden="false" customHeight="false" outlineLevel="0" collapsed="false">
      <c r="A231" s="22" t="s">
        <v>10736</v>
      </c>
      <c r="B231" s="22" t="s">
        <v>9651</v>
      </c>
      <c r="C231" s="23" t="n">
        <v>45532</v>
      </c>
      <c r="D231" s="22" t="s">
        <v>2635</v>
      </c>
      <c r="E231" s="22" t="n">
        <v>998</v>
      </c>
      <c r="F231" s="22" t="s">
        <v>7723</v>
      </c>
      <c r="G231" s="22" t="s">
        <v>215</v>
      </c>
      <c r="H231" s="22" t="n">
        <v>45</v>
      </c>
      <c r="I231" s="22" t="s">
        <v>8603</v>
      </c>
      <c r="J231" s="22" t="s">
        <v>10488</v>
      </c>
      <c r="K231" s="22" t="s">
        <v>10489</v>
      </c>
      <c r="L231" s="22" t="s">
        <v>10490</v>
      </c>
      <c r="M231" s="22" t="s">
        <v>10513</v>
      </c>
      <c r="N231" s="23" t="n">
        <v>45532</v>
      </c>
      <c r="O231" s="22" t="s">
        <v>10492</v>
      </c>
      <c r="P231" s="22"/>
    </row>
    <row r="232" customFormat="false" ht="15" hidden="false" customHeight="false" outlineLevel="0" collapsed="false">
      <c r="A232" s="22" t="s">
        <v>10737</v>
      </c>
      <c r="B232" s="22" t="s">
        <v>9668</v>
      </c>
      <c r="C232" s="23" t="n">
        <v>45508</v>
      </c>
      <c r="D232" s="22" t="s">
        <v>4576</v>
      </c>
      <c r="E232" s="22" t="n">
        <v>1925</v>
      </c>
      <c r="F232" s="22" t="s">
        <v>7799</v>
      </c>
      <c r="G232" s="22" t="s">
        <v>215</v>
      </c>
      <c r="H232" s="22" t="n">
        <v>80</v>
      </c>
      <c r="I232" s="22" t="s">
        <v>8637</v>
      </c>
      <c r="J232" s="22" t="s">
        <v>10503</v>
      </c>
      <c r="K232" s="22" t="s">
        <v>10489</v>
      </c>
      <c r="L232" s="22" t="s">
        <v>10495</v>
      </c>
      <c r="M232" s="22" t="s">
        <v>10516</v>
      </c>
      <c r="N232" s="23" t="n">
        <v>45508</v>
      </c>
      <c r="O232" s="22" t="s">
        <v>10492</v>
      </c>
      <c r="P232" s="22"/>
    </row>
    <row r="233" customFormat="false" ht="15" hidden="false" customHeight="false" outlineLevel="0" collapsed="false">
      <c r="A233" s="22" t="s">
        <v>10738</v>
      </c>
      <c r="B233" s="22" t="s">
        <v>9675</v>
      </c>
      <c r="C233" s="23" t="n">
        <v>45536</v>
      </c>
      <c r="D233" s="22" t="s">
        <v>5969</v>
      </c>
      <c r="E233" s="22" t="n">
        <v>2615</v>
      </c>
      <c r="F233" s="22" t="s">
        <v>7491</v>
      </c>
      <c r="G233" s="22" t="s">
        <v>159</v>
      </c>
      <c r="H233" s="22" t="n">
        <v>28</v>
      </c>
      <c r="I233" s="22" t="s">
        <v>8631</v>
      </c>
      <c r="J233" s="22" t="s">
        <v>10498</v>
      </c>
      <c r="K233" s="22" t="s">
        <v>10489</v>
      </c>
      <c r="L233" s="22" t="s">
        <v>10490</v>
      </c>
      <c r="M233" s="22" t="s">
        <v>10555</v>
      </c>
      <c r="N233" s="23" t="n">
        <v>45538</v>
      </c>
      <c r="O233" s="22" t="s">
        <v>10492</v>
      </c>
      <c r="P233" s="22"/>
    </row>
    <row r="234" customFormat="false" ht="15" hidden="false" customHeight="false" outlineLevel="0" collapsed="false">
      <c r="A234" s="22" t="s">
        <v>10739</v>
      </c>
      <c r="B234" s="22" t="s">
        <v>9676</v>
      </c>
      <c r="C234" s="23" t="n">
        <v>45546</v>
      </c>
      <c r="D234" s="22" t="s">
        <v>4859</v>
      </c>
      <c r="E234" s="22" t="n">
        <v>2062</v>
      </c>
      <c r="F234" s="22" t="s">
        <v>6730</v>
      </c>
      <c r="G234" s="22" t="s">
        <v>198</v>
      </c>
      <c r="H234" s="22" t="n">
        <v>32</v>
      </c>
      <c r="I234" s="22" t="s">
        <v>8631</v>
      </c>
      <c r="J234" s="22" t="s">
        <v>10498</v>
      </c>
      <c r="K234" s="22" t="s">
        <v>10489</v>
      </c>
      <c r="L234" s="22" t="s">
        <v>10495</v>
      </c>
      <c r="M234" s="22" t="s">
        <v>10513</v>
      </c>
      <c r="N234" s="23" t="n">
        <v>45548</v>
      </c>
      <c r="O234" s="22" t="s">
        <v>10492</v>
      </c>
      <c r="P234" s="22"/>
    </row>
    <row r="235" customFormat="false" ht="15" hidden="false" customHeight="false" outlineLevel="0" collapsed="false">
      <c r="A235" s="22" t="s">
        <v>10740</v>
      </c>
      <c r="B235" s="22" t="s">
        <v>9677</v>
      </c>
      <c r="C235" s="23" t="n">
        <v>45542</v>
      </c>
      <c r="D235" s="22" t="s">
        <v>2151</v>
      </c>
      <c r="E235" s="22" t="n">
        <v>779</v>
      </c>
      <c r="F235" s="22" t="s">
        <v>8413</v>
      </c>
      <c r="G235" s="22" t="s">
        <v>188</v>
      </c>
      <c r="H235" s="22" t="n">
        <v>24</v>
      </c>
      <c r="I235" s="22" t="s">
        <v>8637</v>
      </c>
      <c r="J235" s="22" t="s">
        <v>10503</v>
      </c>
      <c r="K235" s="22" t="s">
        <v>10489</v>
      </c>
      <c r="L235" s="22" t="s">
        <v>10508</v>
      </c>
      <c r="M235" s="22" t="s">
        <v>10555</v>
      </c>
      <c r="N235" s="23" t="n">
        <v>45543</v>
      </c>
      <c r="O235" s="22" t="s">
        <v>10492</v>
      </c>
      <c r="P235" s="22"/>
    </row>
    <row r="236" customFormat="false" ht="15" hidden="false" customHeight="false" outlineLevel="0" collapsed="false">
      <c r="A236" s="22" t="s">
        <v>10741</v>
      </c>
      <c r="B236" s="22" t="s">
        <v>9682</v>
      </c>
      <c r="C236" s="23" t="n">
        <v>45536</v>
      </c>
      <c r="D236" s="22" t="s">
        <v>5194</v>
      </c>
      <c r="E236" s="22" t="n">
        <v>2228</v>
      </c>
      <c r="F236" s="22" t="s">
        <v>7794</v>
      </c>
      <c r="G236" s="22" t="s">
        <v>215</v>
      </c>
      <c r="H236" s="22" t="n">
        <v>70</v>
      </c>
      <c r="I236" s="22" t="s">
        <v>8631</v>
      </c>
      <c r="J236" s="22" t="s">
        <v>10498</v>
      </c>
      <c r="K236" s="22" t="s">
        <v>10489</v>
      </c>
      <c r="L236" s="22" t="s">
        <v>10495</v>
      </c>
      <c r="M236" s="22" t="s">
        <v>10511</v>
      </c>
      <c r="N236" s="23" t="n">
        <v>45539</v>
      </c>
      <c r="O236" s="22" t="s">
        <v>10492</v>
      </c>
      <c r="P236" s="22"/>
    </row>
    <row r="237" customFormat="false" ht="15" hidden="false" customHeight="false" outlineLevel="0" collapsed="false">
      <c r="A237" s="22" t="s">
        <v>10742</v>
      </c>
      <c r="B237" s="22" t="s">
        <v>9683</v>
      </c>
      <c r="C237" s="23" t="n">
        <v>45545</v>
      </c>
      <c r="D237" s="22" t="s">
        <v>5697</v>
      </c>
      <c r="E237" s="22" t="n">
        <v>2479</v>
      </c>
      <c r="F237" s="22" t="s">
        <v>8492</v>
      </c>
      <c r="G237" s="22" t="s">
        <v>188</v>
      </c>
      <c r="H237" s="22" t="n">
        <v>40</v>
      </c>
      <c r="I237" s="22" t="s">
        <v>8603</v>
      </c>
      <c r="J237" s="22" t="s">
        <v>10488</v>
      </c>
      <c r="K237" s="22" t="s">
        <v>10489</v>
      </c>
      <c r="L237" s="22" t="s">
        <v>10495</v>
      </c>
      <c r="M237" s="22" t="s">
        <v>10491</v>
      </c>
      <c r="N237" s="23" t="n">
        <v>45550</v>
      </c>
      <c r="O237" s="22" t="s">
        <v>10492</v>
      </c>
      <c r="P237" s="22"/>
    </row>
    <row r="238" customFormat="false" ht="15" hidden="false" customHeight="false" outlineLevel="0" collapsed="false">
      <c r="A238" s="22" t="s">
        <v>10743</v>
      </c>
      <c r="B238" s="22" t="s">
        <v>9684</v>
      </c>
      <c r="C238" s="23" t="n">
        <v>45549</v>
      </c>
      <c r="D238" s="22" t="s">
        <v>3859</v>
      </c>
      <c r="E238" s="22" t="n">
        <v>1574</v>
      </c>
      <c r="F238" s="22" t="s">
        <v>8427</v>
      </c>
      <c r="G238" s="22" t="s">
        <v>188</v>
      </c>
      <c r="H238" s="22" t="n">
        <v>24</v>
      </c>
      <c r="I238" s="22" t="s">
        <v>8618</v>
      </c>
      <c r="J238" s="22" t="s">
        <v>10494</v>
      </c>
      <c r="K238" s="22" t="s">
        <v>10489</v>
      </c>
      <c r="L238" s="22" t="s">
        <v>10490</v>
      </c>
      <c r="M238" s="22" t="s">
        <v>10496</v>
      </c>
      <c r="N238" s="23" t="n">
        <v>45549</v>
      </c>
      <c r="O238" s="22" t="s">
        <v>10492</v>
      </c>
      <c r="P238" s="22"/>
    </row>
    <row r="239" customFormat="false" ht="15" hidden="false" customHeight="false" outlineLevel="0" collapsed="false">
      <c r="A239" s="22" t="s">
        <v>10744</v>
      </c>
      <c r="B239" s="22" t="s">
        <v>9689</v>
      </c>
      <c r="C239" s="23" t="n">
        <v>45545</v>
      </c>
      <c r="D239" s="22" t="s">
        <v>3371</v>
      </c>
      <c r="E239" s="22" t="n">
        <v>1336</v>
      </c>
      <c r="F239" s="22" t="s">
        <v>7489</v>
      </c>
      <c r="G239" s="22" t="s">
        <v>159</v>
      </c>
      <c r="H239" s="22" t="n">
        <v>28</v>
      </c>
      <c r="I239" s="22" t="s">
        <v>8618</v>
      </c>
      <c r="J239" s="22" t="s">
        <v>10494</v>
      </c>
      <c r="K239" s="22" t="s">
        <v>10489</v>
      </c>
      <c r="L239" s="22" t="s">
        <v>10495</v>
      </c>
      <c r="M239" s="22" t="s">
        <v>10506</v>
      </c>
      <c r="N239" s="23" t="n">
        <v>45545</v>
      </c>
      <c r="O239" s="22" t="s">
        <v>10492</v>
      </c>
      <c r="P239" s="22"/>
    </row>
    <row r="240" customFormat="false" ht="15" hidden="false" customHeight="false" outlineLevel="0" collapsed="false">
      <c r="A240" s="22" t="s">
        <v>10745</v>
      </c>
      <c r="B240" s="22" t="s">
        <v>9693</v>
      </c>
      <c r="C240" s="23" t="n">
        <v>45537</v>
      </c>
      <c r="D240" s="22" t="s">
        <v>1509</v>
      </c>
      <c r="E240" s="22" t="n">
        <v>504</v>
      </c>
      <c r="F240" s="22" t="s">
        <v>7375</v>
      </c>
      <c r="G240" s="22" t="s">
        <v>159</v>
      </c>
      <c r="H240" s="22" t="n">
        <v>32</v>
      </c>
      <c r="I240" s="22" t="s">
        <v>8603</v>
      </c>
      <c r="J240" s="22" t="s">
        <v>10488</v>
      </c>
      <c r="K240" s="22" t="s">
        <v>10489</v>
      </c>
      <c r="L240" s="22" t="s">
        <v>10500</v>
      </c>
      <c r="M240" s="22" t="s">
        <v>10555</v>
      </c>
      <c r="N240" s="23" t="n">
        <v>45537</v>
      </c>
      <c r="O240" s="22" t="s">
        <v>10492</v>
      </c>
      <c r="P240" s="22"/>
    </row>
    <row r="241" customFormat="false" ht="15" hidden="false" customHeight="false" outlineLevel="0" collapsed="false">
      <c r="A241" s="22" t="s">
        <v>10746</v>
      </c>
      <c r="B241" s="22" t="s">
        <v>9695</v>
      </c>
      <c r="C241" s="23" t="n">
        <v>45560</v>
      </c>
      <c r="D241" s="22" t="s">
        <v>2016</v>
      </c>
      <c r="E241" s="22" t="n">
        <v>718</v>
      </c>
      <c r="F241" s="22" t="s">
        <v>8563</v>
      </c>
      <c r="G241" s="22" t="s">
        <v>188</v>
      </c>
      <c r="H241" s="22" t="n">
        <v>36</v>
      </c>
      <c r="I241" s="22" t="s">
        <v>8631</v>
      </c>
      <c r="J241" s="22" t="s">
        <v>10498</v>
      </c>
      <c r="K241" s="22" t="s">
        <v>10489</v>
      </c>
      <c r="L241" s="22" t="s">
        <v>10500</v>
      </c>
      <c r="M241" s="22" t="s">
        <v>10511</v>
      </c>
      <c r="N241" s="23" t="n">
        <v>45562</v>
      </c>
      <c r="O241" s="22" t="s">
        <v>10492</v>
      </c>
      <c r="P241" s="22"/>
    </row>
    <row r="242" customFormat="false" ht="15" hidden="false" customHeight="false" outlineLevel="0" collapsed="false">
      <c r="A242" s="22" t="s">
        <v>10747</v>
      </c>
      <c r="B242" s="22" t="s">
        <v>9699</v>
      </c>
      <c r="C242" s="23" t="n">
        <v>45591</v>
      </c>
      <c r="D242" s="22" t="s">
        <v>240</v>
      </c>
      <c r="E242" s="22" t="n">
        <v>26</v>
      </c>
      <c r="F242" s="22" t="s">
        <v>8386</v>
      </c>
      <c r="G242" s="22" t="s">
        <v>188</v>
      </c>
      <c r="H242" s="22" t="n">
        <v>28</v>
      </c>
      <c r="I242" s="22" t="s">
        <v>8631</v>
      </c>
      <c r="J242" s="22" t="s">
        <v>10498</v>
      </c>
      <c r="K242" s="22" t="s">
        <v>10489</v>
      </c>
      <c r="L242" s="22" t="s">
        <v>10490</v>
      </c>
      <c r="M242" s="22" t="s">
        <v>10511</v>
      </c>
      <c r="N242" s="23" t="n">
        <v>45595</v>
      </c>
      <c r="O242" s="22" t="s">
        <v>10492</v>
      </c>
      <c r="P242" s="22"/>
    </row>
    <row r="243" customFormat="false" ht="15" hidden="false" customHeight="false" outlineLevel="0" collapsed="false">
      <c r="A243" s="22" t="s">
        <v>10748</v>
      </c>
      <c r="B243" s="22" t="s">
        <v>9701</v>
      </c>
      <c r="C243" s="23" t="n">
        <v>45586</v>
      </c>
      <c r="D243" s="22" t="s">
        <v>6398</v>
      </c>
      <c r="E243" s="22" t="n">
        <v>2831</v>
      </c>
      <c r="F243" s="22" t="s">
        <v>8028</v>
      </c>
      <c r="G243" s="22" t="s">
        <v>215</v>
      </c>
      <c r="H243" s="22" t="n">
        <v>32</v>
      </c>
      <c r="I243" s="22" t="s">
        <v>8618</v>
      </c>
      <c r="J243" s="22" t="s">
        <v>10494</v>
      </c>
      <c r="K243" s="22" t="s">
        <v>10489</v>
      </c>
      <c r="L243" s="22" t="s">
        <v>10508</v>
      </c>
      <c r="M243" s="22" t="s">
        <v>10491</v>
      </c>
      <c r="N243" s="23" t="n">
        <v>45586</v>
      </c>
      <c r="O243" s="22" t="s">
        <v>10492</v>
      </c>
      <c r="P243" s="22"/>
    </row>
    <row r="244" customFormat="false" ht="15" hidden="false" customHeight="false" outlineLevel="0" collapsed="false">
      <c r="A244" s="22" t="s">
        <v>10749</v>
      </c>
      <c r="B244" s="22" t="s">
        <v>9707</v>
      </c>
      <c r="C244" s="23" t="n">
        <v>45586</v>
      </c>
      <c r="D244" s="22" t="s">
        <v>905</v>
      </c>
      <c r="E244" s="22" t="n">
        <v>264</v>
      </c>
      <c r="F244" s="22" t="s">
        <v>7646</v>
      </c>
      <c r="G244" s="22" t="s">
        <v>159</v>
      </c>
      <c r="H244" s="22" t="n">
        <v>28</v>
      </c>
      <c r="I244" s="22" t="s">
        <v>8637</v>
      </c>
      <c r="J244" s="22" t="s">
        <v>10503</v>
      </c>
      <c r="K244" s="22" t="s">
        <v>10489</v>
      </c>
      <c r="L244" s="22" t="s">
        <v>10490</v>
      </c>
      <c r="M244" s="22" t="s">
        <v>10496</v>
      </c>
      <c r="N244" s="23" t="n">
        <v>45588</v>
      </c>
      <c r="O244" s="22" t="s">
        <v>10492</v>
      </c>
      <c r="P244" s="22"/>
    </row>
    <row r="245" customFormat="false" ht="15" hidden="false" customHeight="false" outlineLevel="0" collapsed="false">
      <c r="A245" s="22" t="s">
        <v>10750</v>
      </c>
      <c r="B245" s="22" t="s">
        <v>9709</v>
      </c>
      <c r="C245" s="23" t="n">
        <v>45590</v>
      </c>
      <c r="D245" s="22" t="s">
        <v>6155</v>
      </c>
      <c r="E245" s="22" t="n">
        <v>2708</v>
      </c>
      <c r="F245" s="22" t="s">
        <v>8268</v>
      </c>
      <c r="G245" s="22" t="s">
        <v>499</v>
      </c>
      <c r="H245" s="22" t="n">
        <v>28</v>
      </c>
      <c r="I245" s="22" t="s">
        <v>8618</v>
      </c>
      <c r="J245" s="22" t="s">
        <v>10494</v>
      </c>
      <c r="K245" s="22" t="s">
        <v>10489</v>
      </c>
      <c r="L245" s="22" t="s">
        <v>10490</v>
      </c>
      <c r="M245" s="22" t="s">
        <v>10555</v>
      </c>
      <c r="N245" s="23" t="n">
        <v>45595</v>
      </c>
      <c r="O245" s="22" t="s">
        <v>10492</v>
      </c>
      <c r="P245" s="22"/>
    </row>
    <row r="246" customFormat="false" ht="15" hidden="false" customHeight="false" outlineLevel="0" collapsed="false">
      <c r="A246" s="22" t="s">
        <v>10751</v>
      </c>
      <c r="B246" s="22" t="s">
        <v>9715</v>
      </c>
      <c r="C246" s="23" t="n">
        <v>45592</v>
      </c>
      <c r="D246" s="22" t="s">
        <v>6354</v>
      </c>
      <c r="E246" s="22" t="n">
        <v>2808</v>
      </c>
      <c r="F246" s="22" t="s">
        <v>7500</v>
      </c>
      <c r="G246" s="22" t="s">
        <v>159</v>
      </c>
      <c r="H246" s="22" t="n">
        <v>24</v>
      </c>
      <c r="I246" s="22" t="s">
        <v>8631</v>
      </c>
      <c r="J246" s="22" t="s">
        <v>10498</v>
      </c>
      <c r="K246" s="22" t="s">
        <v>10489</v>
      </c>
      <c r="L246" s="22" t="s">
        <v>10495</v>
      </c>
      <c r="M246" s="22" t="s">
        <v>10501</v>
      </c>
      <c r="N246" s="23" t="n">
        <v>45597</v>
      </c>
      <c r="O246" s="22" t="s">
        <v>10492</v>
      </c>
      <c r="P246" s="22"/>
    </row>
    <row r="247" customFormat="false" ht="15" hidden="false" customHeight="false" outlineLevel="0" collapsed="false">
      <c r="A247" s="22" t="s">
        <v>10752</v>
      </c>
      <c r="B247" s="22" t="s">
        <v>9729</v>
      </c>
      <c r="C247" s="23" t="n">
        <v>45580</v>
      </c>
      <c r="D247" s="22" t="s">
        <v>917</v>
      </c>
      <c r="E247" s="22" t="n">
        <v>269</v>
      </c>
      <c r="F247" s="22" t="s">
        <v>7386</v>
      </c>
      <c r="G247" s="22" t="s">
        <v>159</v>
      </c>
      <c r="H247" s="22" t="n">
        <v>28</v>
      </c>
      <c r="I247" s="22" t="s">
        <v>8603</v>
      </c>
      <c r="J247" s="22" t="s">
        <v>10488</v>
      </c>
      <c r="K247" s="22" t="s">
        <v>10489</v>
      </c>
      <c r="L247" s="22" t="s">
        <v>10495</v>
      </c>
      <c r="M247" s="22" t="s">
        <v>10504</v>
      </c>
      <c r="N247" s="23" t="n">
        <v>45581</v>
      </c>
      <c r="O247" s="22" t="s">
        <v>10492</v>
      </c>
      <c r="P247" s="22"/>
    </row>
    <row r="248" customFormat="false" ht="15" hidden="false" customHeight="false" outlineLevel="0" collapsed="false">
      <c r="A248" s="22" t="s">
        <v>10753</v>
      </c>
      <c r="B248" s="22" t="s">
        <v>9731</v>
      </c>
      <c r="C248" s="23" t="n">
        <v>45585</v>
      </c>
      <c r="D248" s="22" t="s">
        <v>6206</v>
      </c>
      <c r="E248" s="22" t="n">
        <v>2733</v>
      </c>
      <c r="F248" s="22" t="s">
        <v>8270</v>
      </c>
      <c r="G248" s="22" t="s">
        <v>499</v>
      </c>
      <c r="H248" s="22" t="n">
        <v>70</v>
      </c>
      <c r="I248" s="22" t="s">
        <v>8603</v>
      </c>
      <c r="J248" s="22" t="s">
        <v>10488</v>
      </c>
      <c r="K248" s="22" t="s">
        <v>10489</v>
      </c>
      <c r="L248" s="22" t="s">
        <v>10495</v>
      </c>
      <c r="M248" s="22" t="s">
        <v>10501</v>
      </c>
      <c r="N248" s="23" t="n">
        <v>45586</v>
      </c>
      <c r="O248" s="22" t="s">
        <v>10492</v>
      </c>
      <c r="P248" s="22"/>
    </row>
    <row r="249" customFormat="false" ht="15" hidden="false" customHeight="false" outlineLevel="0" collapsed="false">
      <c r="A249" s="22" t="s">
        <v>10754</v>
      </c>
      <c r="B249" s="22" t="s">
        <v>9736</v>
      </c>
      <c r="C249" s="23" t="n">
        <v>45618</v>
      </c>
      <c r="D249" s="22" t="s">
        <v>2947</v>
      </c>
      <c r="E249" s="22" t="n">
        <v>1139</v>
      </c>
      <c r="F249" s="22" t="s">
        <v>6693</v>
      </c>
      <c r="G249" s="22" t="s">
        <v>198</v>
      </c>
      <c r="H249" s="22" t="n">
        <v>28</v>
      </c>
      <c r="I249" s="22" t="s">
        <v>8603</v>
      </c>
      <c r="J249" s="22" t="s">
        <v>10488</v>
      </c>
      <c r="K249" s="22" t="s">
        <v>10489</v>
      </c>
      <c r="L249" s="22" t="s">
        <v>10490</v>
      </c>
      <c r="M249" s="22" t="s">
        <v>10491</v>
      </c>
      <c r="N249" s="23" t="n">
        <v>45619</v>
      </c>
      <c r="O249" s="22" t="s">
        <v>10492</v>
      </c>
      <c r="P249" s="22"/>
    </row>
    <row r="250" customFormat="false" ht="15" hidden="false" customHeight="false" outlineLevel="0" collapsed="false">
      <c r="A250" s="22" t="s">
        <v>10755</v>
      </c>
      <c r="B250" s="22" t="s">
        <v>9737</v>
      </c>
      <c r="C250" s="23" t="n">
        <v>45613</v>
      </c>
      <c r="D250" s="22" t="s">
        <v>3909</v>
      </c>
      <c r="E250" s="22" t="n">
        <v>1598</v>
      </c>
      <c r="F250" s="22" t="s">
        <v>8283</v>
      </c>
      <c r="G250" s="22" t="s">
        <v>499</v>
      </c>
      <c r="H250" s="22" t="n">
        <v>36</v>
      </c>
      <c r="I250" s="22" t="s">
        <v>8603</v>
      </c>
      <c r="J250" s="22" t="s">
        <v>10488</v>
      </c>
      <c r="K250" s="22" t="s">
        <v>10518</v>
      </c>
      <c r="L250" s="22" t="s">
        <v>10490</v>
      </c>
      <c r="M250" s="22" t="s">
        <v>10496</v>
      </c>
      <c r="N250" s="23" t="n">
        <v>45613</v>
      </c>
      <c r="O250" s="22" t="s">
        <v>10492</v>
      </c>
      <c r="P250" s="22"/>
    </row>
    <row r="251" customFormat="false" ht="15" hidden="false" customHeight="false" outlineLevel="0" collapsed="false">
      <c r="A251" s="22" t="s">
        <v>10756</v>
      </c>
      <c r="B251" s="22" t="s">
        <v>9747</v>
      </c>
      <c r="C251" s="23" t="n">
        <v>45619</v>
      </c>
      <c r="D251" s="22" t="s">
        <v>2270</v>
      </c>
      <c r="E251" s="22" t="n">
        <v>832</v>
      </c>
      <c r="F251" s="22" t="s">
        <v>7373</v>
      </c>
      <c r="G251" s="22" t="s">
        <v>159</v>
      </c>
      <c r="H251" s="22" t="n">
        <v>28</v>
      </c>
      <c r="I251" s="22" t="s">
        <v>8618</v>
      </c>
      <c r="J251" s="22" t="s">
        <v>10494</v>
      </c>
      <c r="K251" s="22" t="s">
        <v>10489</v>
      </c>
      <c r="L251" s="22" t="s">
        <v>10490</v>
      </c>
      <c r="M251" s="22" t="s">
        <v>10496</v>
      </c>
      <c r="N251" s="23" t="n">
        <v>45624</v>
      </c>
      <c r="O251" s="22" t="s">
        <v>10492</v>
      </c>
      <c r="P251" s="22"/>
    </row>
    <row r="252" customFormat="false" ht="15" hidden="false" customHeight="false" outlineLevel="0" collapsed="false">
      <c r="A252" s="22" t="s">
        <v>10757</v>
      </c>
      <c r="B252" s="22" t="s">
        <v>9749</v>
      </c>
      <c r="C252" s="23" t="n">
        <v>45599</v>
      </c>
      <c r="D252" s="22" t="s">
        <v>6447</v>
      </c>
      <c r="E252" s="22" t="n">
        <v>2857</v>
      </c>
      <c r="F252" s="22" t="s">
        <v>8431</v>
      </c>
      <c r="G252" s="22" t="s">
        <v>188</v>
      </c>
      <c r="H252" s="22" t="n">
        <v>24</v>
      </c>
      <c r="I252" s="22" t="s">
        <v>8603</v>
      </c>
      <c r="J252" s="22" t="s">
        <v>10488</v>
      </c>
      <c r="K252" s="22" t="s">
        <v>10489</v>
      </c>
      <c r="L252" s="22" t="s">
        <v>10508</v>
      </c>
      <c r="M252" s="22" t="s">
        <v>10506</v>
      </c>
      <c r="N252" s="23" t="n">
        <v>45602</v>
      </c>
      <c r="O252" s="22" t="s">
        <v>10492</v>
      </c>
      <c r="P252" s="22"/>
    </row>
    <row r="253" customFormat="false" ht="15" hidden="false" customHeight="false" outlineLevel="0" collapsed="false">
      <c r="A253" s="22" t="s">
        <v>10758</v>
      </c>
      <c r="B253" s="22" t="s">
        <v>9758</v>
      </c>
      <c r="C253" s="23" t="n">
        <v>45639</v>
      </c>
      <c r="D253" s="22" t="s">
        <v>3528</v>
      </c>
      <c r="E253" s="22" t="n">
        <v>1412</v>
      </c>
      <c r="F253" s="22" t="s">
        <v>8066</v>
      </c>
      <c r="G253" s="22" t="s">
        <v>499</v>
      </c>
      <c r="H253" s="22" t="n">
        <v>32</v>
      </c>
      <c r="I253" s="22" t="s">
        <v>8637</v>
      </c>
      <c r="J253" s="22" t="s">
        <v>10503</v>
      </c>
      <c r="K253" s="22" t="s">
        <v>10489</v>
      </c>
      <c r="L253" s="22" t="s">
        <v>10508</v>
      </c>
      <c r="M253" s="22" t="s">
        <v>10511</v>
      </c>
      <c r="N253" s="23" t="n">
        <v>45642</v>
      </c>
      <c r="O253" s="22" t="s">
        <v>10492</v>
      </c>
      <c r="P253" s="22"/>
    </row>
    <row r="254" customFormat="false" ht="15" hidden="false" customHeight="false" outlineLevel="0" collapsed="false">
      <c r="A254" s="22" t="s">
        <v>10759</v>
      </c>
      <c r="B254" s="22" t="s">
        <v>9759</v>
      </c>
      <c r="C254" s="23" t="n">
        <v>45650</v>
      </c>
      <c r="D254" s="22" t="s">
        <v>4893</v>
      </c>
      <c r="E254" s="22" t="n">
        <v>2079</v>
      </c>
      <c r="F254" s="22" t="s">
        <v>8345</v>
      </c>
      <c r="G254" s="22" t="s">
        <v>188</v>
      </c>
      <c r="H254" s="22" t="n">
        <v>28</v>
      </c>
      <c r="I254" s="22" t="s">
        <v>8618</v>
      </c>
      <c r="J254" s="22" t="s">
        <v>10494</v>
      </c>
      <c r="K254" s="22" t="s">
        <v>10489</v>
      </c>
      <c r="L254" s="22" t="s">
        <v>10508</v>
      </c>
      <c r="M254" s="22" t="s">
        <v>10511</v>
      </c>
      <c r="N254" s="23" t="n">
        <v>45655</v>
      </c>
      <c r="O254" s="22" t="s">
        <v>10492</v>
      </c>
      <c r="P254" s="22"/>
    </row>
    <row r="255" customFormat="false" ht="15" hidden="false" customHeight="false" outlineLevel="0" collapsed="false">
      <c r="A255" s="22" t="s">
        <v>10760</v>
      </c>
      <c r="B255" s="22" t="s">
        <v>9761</v>
      </c>
      <c r="C255" s="23" t="n">
        <v>45637</v>
      </c>
      <c r="D255" s="22" t="s">
        <v>5327</v>
      </c>
      <c r="E255" s="22" t="n">
        <v>2294</v>
      </c>
      <c r="F255" s="22" t="s">
        <v>6580</v>
      </c>
      <c r="G255" s="22" t="s">
        <v>198</v>
      </c>
      <c r="H255" s="22" t="n">
        <v>40</v>
      </c>
      <c r="I255" s="22" t="s">
        <v>8603</v>
      </c>
      <c r="J255" s="22" t="s">
        <v>10488</v>
      </c>
      <c r="K255" s="22" t="s">
        <v>10489</v>
      </c>
      <c r="L255" s="22" t="s">
        <v>10490</v>
      </c>
      <c r="M255" s="22" t="s">
        <v>10511</v>
      </c>
      <c r="N255" s="23" t="n">
        <v>45637</v>
      </c>
      <c r="O255" s="22" t="s">
        <v>10492</v>
      </c>
      <c r="P255" s="22"/>
    </row>
    <row r="256" customFormat="false" ht="15" hidden="false" customHeight="false" outlineLevel="0" collapsed="false">
      <c r="A256" s="22" t="s">
        <v>10761</v>
      </c>
      <c r="B256" s="22" t="s">
        <v>9762</v>
      </c>
      <c r="C256" s="23" t="n">
        <v>45648</v>
      </c>
      <c r="D256" s="22" t="s">
        <v>2298</v>
      </c>
      <c r="E256" s="22" t="n">
        <v>844</v>
      </c>
      <c r="F256" s="22" t="s">
        <v>7860</v>
      </c>
      <c r="G256" s="22" t="s">
        <v>215</v>
      </c>
      <c r="H256" s="22" t="n">
        <v>32</v>
      </c>
      <c r="I256" s="22" t="s">
        <v>8603</v>
      </c>
      <c r="J256" s="22" t="s">
        <v>10488</v>
      </c>
      <c r="K256" s="22" t="s">
        <v>10489</v>
      </c>
      <c r="L256" s="22" t="s">
        <v>10490</v>
      </c>
      <c r="M256" s="22" t="s">
        <v>10516</v>
      </c>
      <c r="N256" s="23" t="n">
        <v>45650</v>
      </c>
      <c r="O256" s="22" t="s">
        <v>10492</v>
      </c>
      <c r="P256" s="22"/>
    </row>
    <row r="257" customFormat="false" ht="15" hidden="false" customHeight="false" outlineLevel="0" collapsed="false">
      <c r="A257" s="22" t="s">
        <v>10762</v>
      </c>
      <c r="B257" s="22" t="s">
        <v>9767</v>
      </c>
      <c r="C257" s="23" t="n">
        <v>45644</v>
      </c>
      <c r="D257" s="22" t="s">
        <v>4573</v>
      </c>
      <c r="E257" s="22" t="n">
        <v>1923</v>
      </c>
      <c r="F257" s="22" t="s">
        <v>7117</v>
      </c>
      <c r="G257" s="22" t="s">
        <v>198</v>
      </c>
      <c r="H257" s="22" t="n">
        <v>36</v>
      </c>
      <c r="I257" s="22" t="s">
        <v>8637</v>
      </c>
      <c r="J257" s="22" t="s">
        <v>10503</v>
      </c>
      <c r="K257" s="22" t="s">
        <v>10489</v>
      </c>
      <c r="L257" s="22" t="s">
        <v>10490</v>
      </c>
      <c r="M257" s="22" t="s">
        <v>10516</v>
      </c>
      <c r="N257" s="23" t="n">
        <v>45644</v>
      </c>
      <c r="O257" s="22" t="s">
        <v>10492</v>
      </c>
      <c r="P257" s="22"/>
    </row>
    <row r="258" customFormat="false" ht="15" hidden="false" customHeight="false" outlineLevel="0" collapsed="false">
      <c r="A258" s="22" t="s">
        <v>10763</v>
      </c>
      <c r="B258" s="22" t="s">
        <v>9772</v>
      </c>
      <c r="C258" s="23" t="n">
        <v>45672</v>
      </c>
      <c r="D258" s="22" t="s">
        <v>5995</v>
      </c>
      <c r="E258" s="22" t="n">
        <v>2628</v>
      </c>
      <c r="F258" s="22" t="s">
        <v>7037</v>
      </c>
      <c r="G258" s="22" t="s">
        <v>198</v>
      </c>
      <c r="H258" s="22" t="n">
        <v>32</v>
      </c>
      <c r="I258" s="22" t="s">
        <v>8637</v>
      </c>
      <c r="J258" s="22" t="s">
        <v>10503</v>
      </c>
      <c r="K258" s="22" t="s">
        <v>10489</v>
      </c>
      <c r="L258" s="22" t="s">
        <v>10508</v>
      </c>
      <c r="M258" s="22" t="s">
        <v>10501</v>
      </c>
      <c r="N258" s="23" t="n">
        <v>45672</v>
      </c>
      <c r="O258" s="22" t="s">
        <v>10492</v>
      </c>
      <c r="P258" s="22"/>
    </row>
    <row r="259" customFormat="false" ht="15" hidden="false" customHeight="false" outlineLevel="0" collapsed="false">
      <c r="A259" s="22" t="s">
        <v>10764</v>
      </c>
      <c r="B259" s="22" t="s">
        <v>9779</v>
      </c>
      <c r="C259" s="23" t="n">
        <v>45674</v>
      </c>
      <c r="D259" s="22" t="s">
        <v>2456</v>
      </c>
      <c r="E259" s="22" t="n">
        <v>918</v>
      </c>
      <c r="F259" s="22" t="s">
        <v>8183</v>
      </c>
      <c r="G259" s="22" t="s">
        <v>499</v>
      </c>
      <c r="H259" s="22" t="n">
        <v>24</v>
      </c>
      <c r="I259" s="22" t="s">
        <v>8618</v>
      </c>
      <c r="J259" s="22" t="s">
        <v>10494</v>
      </c>
      <c r="K259" s="22" t="s">
        <v>10489</v>
      </c>
      <c r="L259" s="22" t="s">
        <v>10500</v>
      </c>
      <c r="M259" s="22" t="s">
        <v>10555</v>
      </c>
      <c r="N259" s="23" t="n">
        <v>45677</v>
      </c>
      <c r="O259" s="22" t="s">
        <v>10492</v>
      </c>
      <c r="P259" s="22"/>
    </row>
    <row r="260" customFormat="false" ht="15" hidden="false" customHeight="false" outlineLevel="0" collapsed="false">
      <c r="A260" s="22" t="s">
        <v>10765</v>
      </c>
      <c r="B260" s="22" t="s">
        <v>9780</v>
      </c>
      <c r="C260" s="23" t="n">
        <v>45658</v>
      </c>
      <c r="D260" s="22" t="s">
        <v>1215</v>
      </c>
      <c r="E260" s="22" t="n">
        <v>382</v>
      </c>
      <c r="F260" s="22" t="s">
        <v>8290</v>
      </c>
      <c r="G260" s="22" t="s">
        <v>499</v>
      </c>
      <c r="H260" s="22" t="n">
        <v>24</v>
      </c>
      <c r="I260" s="22" t="s">
        <v>8603</v>
      </c>
      <c r="J260" s="22" t="s">
        <v>10488</v>
      </c>
      <c r="K260" s="22" t="s">
        <v>10489</v>
      </c>
      <c r="L260" s="22" t="s">
        <v>10508</v>
      </c>
      <c r="M260" s="22" t="s">
        <v>10504</v>
      </c>
      <c r="N260" s="23" t="n">
        <v>45661</v>
      </c>
      <c r="O260" s="22" t="s">
        <v>10492</v>
      </c>
      <c r="P260" s="22"/>
    </row>
    <row r="261" customFormat="false" ht="15" hidden="false" customHeight="false" outlineLevel="0" collapsed="false">
      <c r="A261" s="22" t="s">
        <v>10766</v>
      </c>
      <c r="B261" s="22" t="s">
        <v>9781</v>
      </c>
      <c r="C261" s="23" t="n">
        <v>45669</v>
      </c>
      <c r="D261" s="22" t="s">
        <v>6510</v>
      </c>
      <c r="E261" s="22" t="n">
        <v>2888</v>
      </c>
      <c r="F261" s="22" t="s">
        <v>8488</v>
      </c>
      <c r="G261" s="22" t="s">
        <v>188</v>
      </c>
      <c r="H261" s="22" t="n">
        <v>32</v>
      </c>
      <c r="I261" s="22" t="s">
        <v>8631</v>
      </c>
      <c r="J261" s="22" t="s">
        <v>10498</v>
      </c>
      <c r="K261" s="22" t="s">
        <v>10489</v>
      </c>
      <c r="L261" s="22" t="s">
        <v>10495</v>
      </c>
      <c r="M261" s="22" t="s">
        <v>10516</v>
      </c>
      <c r="N261" s="23" t="n">
        <v>45671</v>
      </c>
      <c r="O261" s="22" t="s">
        <v>10492</v>
      </c>
      <c r="P261" s="22"/>
    </row>
    <row r="262" customFormat="false" ht="15" hidden="false" customHeight="false" outlineLevel="0" collapsed="false">
      <c r="A262" s="22" t="s">
        <v>10767</v>
      </c>
      <c r="B262" s="22" t="s">
        <v>9787</v>
      </c>
      <c r="C262" s="23" t="n">
        <v>45673</v>
      </c>
      <c r="D262" s="22" t="s">
        <v>4185</v>
      </c>
      <c r="E262" s="22" t="n">
        <v>1733</v>
      </c>
      <c r="F262" s="22" t="s">
        <v>7069</v>
      </c>
      <c r="G262" s="22" t="s">
        <v>198</v>
      </c>
      <c r="H262" s="22" t="n">
        <v>28</v>
      </c>
      <c r="I262" s="22" t="s">
        <v>8603</v>
      </c>
      <c r="J262" s="22" t="s">
        <v>10488</v>
      </c>
      <c r="K262" s="22" t="s">
        <v>10489</v>
      </c>
      <c r="L262" s="22" t="s">
        <v>10495</v>
      </c>
      <c r="M262" s="22" t="s">
        <v>10506</v>
      </c>
      <c r="N262" s="23" t="n">
        <v>45677</v>
      </c>
      <c r="O262" s="22" t="s">
        <v>10492</v>
      </c>
      <c r="P262" s="22"/>
    </row>
    <row r="263" customFormat="false" ht="15" hidden="false" customHeight="false" outlineLevel="0" collapsed="false">
      <c r="A263" s="22" t="s">
        <v>10768</v>
      </c>
      <c r="B263" s="22" t="s">
        <v>9805</v>
      </c>
      <c r="C263" s="23" t="n">
        <v>45708</v>
      </c>
      <c r="D263" s="22" t="s">
        <v>5227</v>
      </c>
      <c r="E263" s="22" t="n">
        <v>2244</v>
      </c>
      <c r="F263" s="22" t="s">
        <v>8020</v>
      </c>
      <c r="G263" s="22" t="s">
        <v>215</v>
      </c>
      <c r="H263" s="22" t="n">
        <v>24</v>
      </c>
      <c r="I263" s="22" t="s">
        <v>8618</v>
      </c>
      <c r="J263" s="22" t="s">
        <v>10494</v>
      </c>
      <c r="K263" s="22" t="s">
        <v>10489</v>
      </c>
      <c r="L263" s="22" t="s">
        <v>10495</v>
      </c>
      <c r="M263" s="22" t="s">
        <v>10513</v>
      </c>
      <c r="N263" s="23" t="n">
        <v>45711</v>
      </c>
      <c r="O263" s="22" t="s">
        <v>10492</v>
      </c>
      <c r="P263" s="22"/>
    </row>
    <row r="264" customFormat="false" ht="15" hidden="false" customHeight="false" outlineLevel="0" collapsed="false">
      <c r="A264" s="22" t="s">
        <v>10769</v>
      </c>
      <c r="B264" s="22" t="s">
        <v>9827</v>
      </c>
      <c r="C264" s="23" t="n">
        <v>45738</v>
      </c>
      <c r="D264" s="22" t="s">
        <v>2789</v>
      </c>
      <c r="E264" s="22" t="n">
        <v>1067</v>
      </c>
      <c r="F264" s="22" t="s">
        <v>7263</v>
      </c>
      <c r="G264" s="22" t="s">
        <v>198</v>
      </c>
      <c r="H264" s="22" t="n">
        <v>28</v>
      </c>
      <c r="I264" s="22" t="s">
        <v>8618</v>
      </c>
      <c r="J264" s="22" t="s">
        <v>10494</v>
      </c>
      <c r="K264" s="22" t="s">
        <v>10489</v>
      </c>
      <c r="L264" s="22" t="s">
        <v>10500</v>
      </c>
      <c r="M264" s="22" t="s">
        <v>10501</v>
      </c>
      <c r="N264" s="23" t="n">
        <v>45738</v>
      </c>
      <c r="O264" s="22" t="s">
        <v>10492</v>
      </c>
      <c r="P264" s="22"/>
    </row>
    <row r="265" customFormat="false" ht="15" hidden="false" customHeight="false" outlineLevel="0" collapsed="false">
      <c r="A265" s="22" t="s">
        <v>10770</v>
      </c>
      <c r="B265" s="22" t="s">
        <v>9830</v>
      </c>
      <c r="C265" s="23" t="n">
        <v>45743</v>
      </c>
      <c r="D265" s="22" t="s">
        <v>1554</v>
      </c>
      <c r="E265" s="22" t="n">
        <v>523</v>
      </c>
      <c r="F265" s="22" t="s">
        <v>6733</v>
      </c>
      <c r="G265" s="22" t="s">
        <v>198</v>
      </c>
      <c r="H265" s="22" t="n">
        <v>36</v>
      </c>
      <c r="I265" s="22" t="s">
        <v>8618</v>
      </c>
      <c r="J265" s="22" t="s">
        <v>10494</v>
      </c>
      <c r="K265" s="22" t="s">
        <v>10489</v>
      </c>
      <c r="L265" s="22" t="s">
        <v>10495</v>
      </c>
      <c r="M265" s="22" t="s">
        <v>10555</v>
      </c>
      <c r="N265" s="23" t="n">
        <v>45746</v>
      </c>
      <c r="O265" s="22" t="s">
        <v>10492</v>
      </c>
      <c r="P265" s="22"/>
    </row>
    <row r="266" customFormat="false" ht="15" hidden="false" customHeight="false" outlineLevel="0" collapsed="false">
      <c r="A266" s="22" t="s">
        <v>10771</v>
      </c>
      <c r="B266" s="22" t="s">
        <v>9833</v>
      </c>
      <c r="C266" s="23" t="n">
        <v>45728</v>
      </c>
      <c r="D266" s="22" t="s">
        <v>5623</v>
      </c>
      <c r="E266" s="22" t="n">
        <v>2442</v>
      </c>
      <c r="F266" s="22" t="s">
        <v>8372</v>
      </c>
      <c r="G266" s="22" t="s">
        <v>188</v>
      </c>
      <c r="H266" s="22" t="n">
        <v>36</v>
      </c>
      <c r="I266" s="22" t="s">
        <v>8618</v>
      </c>
      <c r="J266" s="22" t="s">
        <v>10494</v>
      </c>
      <c r="K266" s="22" t="s">
        <v>10489</v>
      </c>
      <c r="L266" s="22" t="s">
        <v>10508</v>
      </c>
      <c r="M266" s="22" t="s">
        <v>10513</v>
      </c>
      <c r="N266" s="23" t="n">
        <v>45733</v>
      </c>
      <c r="O266" s="22" t="s">
        <v>10492</v>
      </c>
      <c r="P266" s="22"/>
    </row>
    <row r="267" customFormat="false" ht="15" hidden="false" customHeight="false" outlineLevel="0" collapsed="false">
      <c r="A267" s="22" t="s">
        <v>10772</v>
      </c>
      <c r="B267" s="22" t="s">
        <v>9836</v>
      </c>
      <c r="C267" s="23" t="n">
        <v>45725</v>
      </c>
      <c r="D267" s="22" t="s">
        <v>5946</v>
      </c>
      <c r="E267" s="22" t="n">
        <v>2604</v>
      </c>
      <c r="F267" s="22" t="s">
        <v>7980</v>
      </c>
      <c r="G267" s="22" t="s">
        <v>215</v>
      </c>
      <c r="H267" s="22" t="n">
        <v>45</v>
      </c>
      <c r="I267" s="22" t="s">
        <v>8618</v>
      </c>
      <c r="J267" s="22" t="s">
        <v>10494</v>
      </c>
      <c r="K267" s="22" t="s">
        <v>10489</v>
      </c>
      <c r="L267" s="22" t="s">
        <v>10500</v>
      </c>
      <c r="M267" s="22" t="s">
        <v>10555</v>
      </c>
      <c r="N267" s="23" t="n">
        <v>45728</v>
      </c>
      <c r="O267" s="22" t="s">
        <v>10492</v>
      </c>
      <c r="P267" s="22"/>
    </row>
    <row r="268" customFormat="false" ht="15" hidden="false" customHeight="false" outlineLevel="0" collapsed="false">
      <c r="A268" s="22" t="s">
        <v>10773</v>
      </c>
      <c r="B268" s="22" t="s">
        <v>9844</v>
      </c>
      <c r="C268" s="23" t="n">
        <v>45717</v>
      </c>
      <c r="D268" s="22" t="s">
        <v>6367</v>
      </c>
      <c r="E268" s="22" t="n">
        <v>2815</v>
      </c>
      <c r="F268" s="22" t="s">
        <v>6787</v>
      </c>
      <c r="G268" s="22" t="s">
        <v>198</v>
      </c>
      <c r="H268" s="22" t="n">
        <v>32</v>
      </c>
      <c r="I268" s="22" t="s">
        <v>8637</v>
      </c>
      <c r="J268" s="22" t="s">
        <v>10503</v>
      </c>
      <c r="K268" s="22" t="s">
        <v>10489</v>
      </c>
      <c r="L268" s="22" t="s">
        <v>10490</v>
      </c>
      <c r="M268" s="22" t="s">
        <v>10504</v>
      </c>
      <c r="N268" s="23" t="n">
        <v>45722</v>
      </c>
      <c r="O268" s="22" t="s">
        <v>10492</v>
      </c>
      <c r="P268" s="22"/>
    </row>
    <row r="269" customFormat="false" ht="15" hidden="false" customHeight="false" outlineLevel="0" collapsed="false">
      <c r="A269" s="22" t="s">
        <v>10774</v>
      </c>
      <c r="B269" s="22" t="s">
        <v>9847</v>
      </c>
      <c r="C269" s="23" t="n">
        <v>45763</v>
      </c>
      <c r="D269" s="22" t="s">
        <v>1682</v>
      </c>
      <c r="E269" s="22" t="n">
        <v>578</v>
      </c>
      <c r="F269" s="22" t="s">
        <v>7266</v>
      </c>
      <c r="G269" s="22" t="s">
        <v>198</v>
      </c>
      <c r="H269" s="22" t="n">
        <v>32</v>
      </c>
      <c r="I269" s="22" t="s">
        <v>8618</v>
      </c>
      <c r="J269" s="22" t="s">
        <v>10494</v>
      </c>
      <c r="K269" s="22" t="s">
        <v>10489</v>
      </c>
      <c r="L269" s="22" t="s">
        <v>10508</v>
      </c>
      <c r="M269" s="22" t="s">
        <v>10516</v>
      </c>
      <c r="N269" s="23" t="n">
        <v>45768</v>
      </c>
      <c r="O269" s="22" t="s">
        <v>10492</v>
      </c>
      <c r="P269" s="22"/>
    </row>
    <row r="270" customFormat="false" ht="15" hidden="false" customHeight="false" outlineLevel="0" collapsed="false">
      <c r="A270" s="22" t="s">
        <v>10775</v>
      </c>
      <c r="B270" s="22" t="s">
        <v>9856</v>
      </c>
      <c r="C270" s="23" t="n">
        <v>45749</v>
      </c>
      <c r="D270" s="22" t="s">
        <v>3034</v>
      </c>
      <c r="E270" s="22" t="n">
        <v>1178</v>
      </c>
      <c r="F270" s="22" t="s">
        <v>8066</v>
      </c>
      <c r="G270" s="22" t="s">
        <v>499</v>
      </c>
      <c r="H270" s="22" t="n">
        <v>32</v>
      </c>
      <c r="I270" s="22" t="s">
        <v>8603</v>
      </c>
      <c r="J270" s="22" t="s">
        <v>10488</v>
      </c>
      <c r="K270" s="22" t="s">
        <v>10489</v>
      </c>
      <c r="L270" s="22" t="s">
        <v>10490</v>
      </c>
      <c r="M270" s="22" t="s">
        <v>10511</v>
      </c>
      <c r="N270" s="23" t="n">
        <v>45751</v>
      </c>
      <c r="O270" s="22" t="s">
        <v>10492</v>
      </c>
      <c r="P270" s="22"/>
    </row>
    <row r="271" customFormat="false" ht="15" hidden="false" customHeight="false" outlineLevel="0" collapsed="false">
      <c r="A271" s="22" t="s">
        <v>10776</v>
      </c>
      <c r="B271" s="22" t="s">
        <v>9863</v>
      </c>
      <c r="C271" s="23" t="n">
        <v>45756</v>
      </c>
      <c r="D271" s="22" t="s">
        <v>4020</v>
      </c>
      <c r="E271" s="22" t="n">
        <v>1653</v>
      </c>
      <c r="F271" s="22" t="s">
        <v>8211</v>
      </c>
      <c r="G271" s="22" t="s">
        <v>499</v>
      </c>
      <c r="H271" s="22" t="n">
        <v>24</v>
      </c>
      <c r="I271" s="22" t="s">
        <v>8618</v>
      </c>
      <c r="J271" s="22" t="s">
        <v>10494</v>
      </c>
      <c r="K271" s="22" t="s">
        <v>10489</v>
      </c>
      <c r="L271" s="22" t="s">
        <v>10500</v>
      </c>
      <c r="M271" s="22" t="s">
        <v>10491</v>
      </c>
      <c r="N271" s="23" t="n">
        <v>45757</v>
      </c>
      <c r="O271" s="22" t="s">
        <v>10492</v>
      </c>
      <c r="P271" s="22"/>
    </row>
    <row r="272" customFormat="false" ht="15" hidden="false" customHeight="false" outlineLevel="0" collapsed="false">
      <c r="A272" s="22" t="s">
        <v>10777</v>
      </c>
      <c r="B272" s="22" t="s">
        <v>9870</v>
      </c>
      <c r="C272" s="23" t="n">
        <v>45754</v>
      </c>
      <c r="D272" s="22" t="s">
        <v>2216</v>
      </c>
      <c r="E272" s="22" t="n">
        <v>808</v>
      </c>
      <c r="F272" s="22" t="s">
        <v>6766</v>
      </c>
      <c r="G272" s="22" t="s">
        <v>198</v>
      </c>
      <c r="H272" s="22" t="n">
        <v>40</v>
      </c>
      <c r="I272" s="22" t="s">
        <v>8618</v>
      </c>
      <c r="J272" s="22" t="s">
        <v>10494</v>
      </c>
      <c r="K272" s="22" t="s">
        <v>10489</v>
      </c>
      <c r="L272" s="22" t="s">
        <v>10508</v>
      </c>
      <c r="M272" s="22" t="s">
        <v>10513</v>
      </c>
      <c r="N272" s="23" t="n">
        <v>45758</v>
      </c>
      <c r="O272" s="22" t="s">
        <v>10492</v>
      </c>
      <c r="P272" s="22"/>
    </row>
    <row r="273" customFormat="false" ht="15" hidden="false" customHeight="false" outlineLevel="0" collapsed="false">
      <c r="A273" s="22" t="s">
        <v>10778</v>
      </c>
      <c r="B273" s="22" t="s">
        <v>9871</v>
      </c>
      <c r="C273" s="23" t="n">
        <v>45769</v>
      </c>
      <c r="D273" s="22" t="s">
        <v>4103</v>
      </c>
      <c r="E273" s="22" t="n">
        <v>1693</v>
      </c>
      <c r="F273" s="22" t="s">
        <v>7628</v>
      </c>
      <c r="G273" s="22" t="s">
        <v>159</v>
      </c>
      <c r="H273" s="22" t="n">
        <v>36</v>
      </c>
      <c r="I273" s="22" t="s">
        <v>8637</v>
      </c>
      <c r="J273" s="22" t="s">
        <v>10503</v>
      </c>
      <c r="K273" s="22" t="s">
        <v>10489</v>
      </c>
      <c r="L273" s="22" t="s">
        <v>10495</v>
      </c>
      <c r="M273" s="22" t="s">
        <v>10555</v>
      </c>
      <c r="N273" s="23" t="n">
        <v>45771</v>
      </c>
      <c r="O273" s="22" t="s">
        <v>10492</v>
      </c>
      <c r="P273" s="22"/>
    </row>
    <row r="274" customFormat="false" ht="15" hidden="false" customHeight="false" outlineLevel="0" collapsed="false">
      <c r="A274" s="22" t="s">
        <v>10779</v>
      </c>
      <c r="B274" s="22" t="s">
        <v>9872</v>
      </c>
      <c r="C274" s="23" t="n">
        <v>45774</v>
      </c>
      <c r="D274" s="22" t="s">
        <v>1078</v>
      </c>
      <c r="E274" s="22" t="n">
        <v>328</v>
      </c>
      <c r="F274" s="22" t="s">
        <v>8516</v>
      </c>
      <c r="G274" s="22" t="s">
        <v>188</v>
      </c>
      <c r="H274" s="22" t="n">
        <v>70</v>
      </c>
      <c r="I274" s="22" t="s">
        <v>8603</v>
      </c>
      <c r="J274" s="22" t="s">
        <v>10488</v>
      </c>
      <c r="K274" s="22" t="s">
        <v>10489</v>
      </c>
      <c r="L274" s="22" t="s">
        <v>10508</v>
      </c>
      <c r="M274" s="22" t="s">
        <v>10501</v>
      </c>
      <c r="N274" s="23" t="n">
        <v>45779</v>
      </c>
      <c r="O274" s="22" t="s">
        <v>10492</v>
      </c>
      <c r="P274" s="22"/>
    </row>
    <row r="275" customFormat="false" ht="15" hidden="false" customHeight="false" outlineLevel="0" collapsed="false">
      <c r="A275" s="22" t="s">
        <v>10780</v>
      </c>
      <c r="B275" s="22" t="s">
        <v>9875</v>
      </c>
      <c r="C275" s="23" t="n">
        <v>45756</v>
      </c>
      <c r="D275" s="22" t="s">
        <v>3056</v>
      </c>
      <c r="E275" s="22" t="n">
        <v>1188</v>
      </c>
      <c r="F275" s="22" t="s">
        <v>7104</v>
      </c>
      <c r="G275" s="22" t="s">
        <v>198</v>
      </c>
      <c r="H275" s="22" t="n">
        <v>32</v>
      </c>
      <c r="I275" s="22" t="s">
        <v>8603</v>
      </c>
      <c r="J275" s="22" t="s">
        <v>10488</v>
      </c>
      <c r="K275" s="22" t="s">
        <v>10489</v>
      </c>
      <c r="L275" s="22" t="s">
        <v>10500</v>
      </c>
      <c r="M275" s="22" t="s">
        <v>10511</v>
      </c>
      <c r="N275" s="23" t="n">
        <v>45757</v>
      </c>
      <c r="O275" s="22" t="s">
        <v>10492</v>
      </c>
      <c r="P275" s="22"/>
    </row>
    <row r="276" customFormat="false" ht="15" hidden="false" customHeight="false" outlineLevel="0" collapsed="false">
      <c r="A276" s="22" t="s">
        <v>10781</v>
      </c>
      <c r="B276" s="22" t="s">
        <v>9881</v>
      </c>
      <c r="C276" s="23" t="n">
        <v>45752</v>
      </c>
      <c r="D276" s="22" t="s">
        <v>3759</v>
      </c>
      <c r="E276" s="22" t="n">
        <v>1524</v>
      </c>
      <c r="F276" s="22" t="s">
        <v>8339</v>
      </c>
      <c r="G276" s="22" t="s">
        <v>188</v>
      </c>
      <c r="H276" s="22" t="n">
        <v>32</v>
      </c>
      <c r="I276" s="22" t="s">
        <v>8603</v>
      </c>
      <c r="J276" s="22" t="s">
        <v>10488</v>
      </c>
      <c r="K276" s="22" t="s">
        <v>10489</v>
      </c>
      <c r="L276" s="22" t="s">
        <v>10508</v>
      </c>
      <c r="M276" s="22" t="s">
        <v>10491</v>
      </c>
      <c r="N276" s="23" t="n">
        <v>45754</v>
      </c>
      <c r="O276" s="22" t="s">
        <v>10492</v>
      </c>
      <c r="P276" s="22"/>
    </row>
    <row r="277" customFormat="false" ht="15" hidden="false" customHeight="false" outlineLevel="0" collapsed="false">
      <c r="A277" s="22" t="s">
        <v>10782</v>
      </c>
      <c r="B277" s="22" t="s">
        <v>9884</v>
      </c>
      <c r="C277" s="23" t="n">
        <v>45761</v>
      </c>
      <c r="D277" s="22" t="s">
        <v>4414</v>
      </c>
      <c r="E277" s="22" t="n">
        <v>1845</v>
      </c>
      <c r="F277" s="22" t="s">
        <v>8435</v>
      </c>
      <c r="G277" s="22" t="s">
        <v>188</v>
      </c>
      <c r="H277" s="22" t="n">
        <v>24</v>
      </c>
      <c r="I277" s="22" t="s">
        <v>8631</v>
      </c>
      <c r="J277" s="22" t="s">
        <v>10498</v>
      </c>
      <c r="K277" s="22" t="s">
        <v>10489</v>
      </c>
      <c r="L277" s="22" t="s">
        <v>10500</v>
      </c>
      <c r="M277" s="22" t="s">
        <v>10513</v>
      </c>
      <c r="N277" s="23" t="n">
        <v>45764</v>
      </c>
      <c r="O277" s="22" t="s">
        <v>10492</v>
      </c>
      <c r="P277" s="22"/>
    </row>
    <row r="278" customFormat="false" ht="15" hidden="false" customHeight="false" outlineLevel="0" collapsed="false">
      <c r="A278" s="22" t="s">
        <v>10783</v>
      </c>
      <c r="B278" s="22" t="s">
        <v>9888</v>
      </c>
      <c r="C278" s="23" t="n">
        <v>45784</v>
      </c>
      <c r="D278" s="22" t="s">
        <v>6413</v>
      </c>
      <c r="E278" s="22" t="n">
        <v>2839</v>
      </c>
      <c r="F278" s="22" t="s">
        <v>7746</v>
      </c>
      <c r="G278" s="22" t="s">
        <v>215</v>
      </c>
      <c r="H278" s="22" t="n">
        <v>36</v>
      </c>
      <c r="I278" s="22" t="s">
        <v>8603</v>
      </c>
      <c r="J278" s="22" t="s">
        <v>10488</v>
      </c>
      <c r="K278" s="22" t="s">
        <v>10489</v>
      </c>
      <c r="L278" s="22" t="s">
        <v>10508</v>
      </c>
      <c r="M278" s="22" t="s">
        <v>10555</v>
      </c>
      <c r="N278" s="23" t="n">
        <v>45789</v>
      </c>
      <c r="O278" s="22" t="s">
        <v>10492</v>
      </c>
      <c r="P278" s="22"/>
    </row>
    <row r="279" customFormat="false" ht="15" hidden="false" customHeight="false" outlineLevel="0" collapsed="false">
      <c r="A279" s="22" t="s">
        <v>10784</v>
      </c>
      <c r="B279" s="22" t="s">
        <v>9905</v>
      </c>
      <c r="C279" s="23" t="n">
        <v>45794</v>
      </c>
      <c r="D279" s="22" t="s">
        <v>4922</v>
      </c>
      <c r="E279" s="22" t="n">
        <v>2094</v>
      </c>
      <c r="F279" s="22" t="s">
        <v>6766</v>
      </c>
      <c r="G279" s="22" t="s">
        <v>198</v>
      </c>
      <c r="H279" s="22" t="n">
        <v>40</v>
      </c>
      <c r="I279" s="22" t="s">
        <v>8603</v>
      </c>
      <c r="J279" s="22" t="s">
        <v>10488</v>
      </c>
      <c r="K279" s="22" t="s">
        <v>10489</v>
      </c>
      <c r="L279" s="22" t="s">
        <v>10508</v>
      </c>
      <c r="M279" s="22" t="s">
        <v>10504</v>
      </c>
      <c r="N279" s="23" t="n">
        <v>45799</v>
      </c>
      <c r="O279" s="22" t="s">
        <v>10492</v>
      </c>
      <c r="P279" s="22"/>
    </row>
    <row r="280" customFormat="false" ht="15" hidden="false" customHeight="false" outlineLevel="0" collapsed="false">
      <c r="A280" s="22" t="s">
        <v>10785</v>
      </c>
      <c r="B280" s="22" t="s">
        <v>9906</v>
      </c>
      <c r="C280" s="23" t="n">
        <v>45782</v>
      </c>
      <c r="D280" s="22" t="s">
        <v>6065</v>
      </c>
      <c r="E280" s="22" t="n">
        <v>2662</v>
      </c>
      <c r="F280" s="22" t="s">
        <v>7505</v>
      </c>
      <c r="G280" s="22" t="s">
        <v>159</v>
      </c>
      <c r="H280" s="22" t="n">
        <v>28</v>
      </c>
      <c r="I280" s="22" t="s">
        <v>8618</v>
      </c>
      <c r="J280" s="22" t="s">
        <v>10494</v>
      </c>
      <c r="K280" s="22" t="s">
        <v>10489</v>
      </c>
      <c r="L280" s="22" t="s">
        <v>10508</v>
      </c>
      <c r="M280" s="22" t="s">
        <v>10506</v>
      </c>
      <c r="N280" s="23" t="n">
        <v>45784</v>
      </c>
      <c r="O280" s="22" t="s">
        <v>10492</v>
      </c>
      <c r="P280" s="22"/>
    </row>
    <row r="281" customFormat="false" ht="15" hidden="false" customHeight="false" outlineLevel="0" collapsed="false">
      <c r="A281" s="22" t="s">
        <v>10786</v>
      </c>
      <c r="B281" s="22" t="s">
        <v>9914</v>
      </c>
      <c r="C281" s="23" t="n">
        <v>45784</v>
      </c>
      <c r="D281" s="22" t="s">
        <v>1431</v>
      </c>
      <c r="E281" s="22" t="n">
        <v>472</v>
      </c>
      <c r="F281" s="22" t="s">
        <v>8534</v>
      </c>
      <c r="G281" s="22" t="s">
        <v>188</v>
      </c>
      <c r="H281" s="22" t="n">
        <v>28</v>
      </c>
      <c r="I281" s="22" t="s">
        <v>8637</v>
      </c>
      <c r="J281" s="22" t="s">
        <v>10503</v>
      </c>
      <c r="K281" s="22" t="s">
        <v>10489</v>
      </c>
      <c r="L281" s="22" t="s">
        <v>10508</v>
      </c>
      <c r="M281" s="22" t="s">
        <v>10511</v>
      </c>
      <c r="N281" s="23" t="n">
        <v>45784</v>
      </c>
      <c r="O281" s="22" t="s">
        <v>10492</v>
      </c>
      <c r="P281" s="22"/>
    </row>
    <row r="282" customFormat="false" ht="15" hidden="false" customHeight="false" outlineLevel="0" collapsed="false">
      <c r="A282" s="22" t="s">
        <v>10787</v>
      </c>
      <c r="B282" s="22" t="s">
        <v>9925</v>
      </c>
      <c r="C282" s="23" t="n">
        <v>45787</v>
      </c>
      <c r="D282" s="22" t="s">
        <v>5457</v>
      </c>
      <c r="E282" s="22" t="n">
        <v>2360</v>
      </c>
      <c r="F282" s="22" t="s">
        <v>8003</v>
      </c>
      <c r="G282" s="22" t="s">
        <v>215</v>
      </c>
      <c r="H282" s="22" t="n">
        <v>40</v>
      </c>
      <c r="I282" s="22" t="s">
        <v>8618</v>
      </c>
      <c r="J282" s="22" t="s">
        <v>10494</v>
      </c>
      <c r="K282" s="22" t="s">
        <v>10489</v>
      </c>
      <c r="L282" s="22" t="s">
        <v>10500</v>
      </c>
      <c r="M282" s="22" t="s">
        <v>10513</v>
      </c>
      <c r="N282" s="23" t="n">
        <v>45792</v>
      </c>
      <c r="O282" s="22" t="s">
        <v>10492</v>
      </c>
      <c r="P282" s="22"/>
    </row>
    <row r="283" customFormat="false" ht="15" hidden="false" customHeight="false" outlineLevel="0" collapsed="false">
      <c r="A283" s="22" t="s">
        <v>10788</v>
      </c>
      <c r="B283" s="22" t="s">
        <v>9931</v>
      </c>
      <c r="C283" s="23" t="n">
        <v>45826</v>
      </c>
      <c r="D283" s="22" t="s">
        <v>4214</v>
      </c>
      <c r="E283" s="22" t="n">
        <v>1747</v>
      </c>
      <c r="F283" s="22" t="s">
        <v>8134</v>
      </c>
      <c r="G283" s="22" t="s">
        <v>499</v>
      </c>
      <c r="H283" s="22" t="n">
        <v>45</v>
      </c>
      <c r="I283" s="22" t="s">
        <v>8637</v>
      </c>
      <c r="J283" s="22" t="s">
        <v>10503</v>
      </c>
      <c r="K283" s="22" t="s">
        <v>10489</v>
      </c>
      <c r="L283" s="22" t="s">
        <v>10500</v>
      </c>
      <c r="M283" s="22" t="s">
        <v>10555</v>
      </c>
      <c r="N283" s="23" t="n">
        <v>45827</v>
      </c>
      <c r="O283" s="22" t="s">
        <v>10492</v>
      </c>
      <c r="P283" s="22"/>
    </row>
    <row r="284" customFormat="false" ht="15" hidden="false" customHeight="false" outlineLevel="0" collapsed="false">
      <c r="A284" s="22" t="s">
        <v>10789</v>
      </c>
      <c r="B284" s="22" t="s">
        <v>9935</v>
      </c>
      <c r="C284" s="23" t="n">
        <v>45826</v>
      </c>
      <c r="D284" s="22" t="s">
        <v>1090</v>
      </c>
      <c r="E284" s="22" t="n">
        <v>333</v>
      </c>
      <c r="F284" s="22" t="s">
        <v>6673</v>
      </c>
      <c r="G284" s="22" t="s">
        <v>198</v>
      </c>
      <c r="H284" s="22" t="n">
        <v>32</v>
      </c>
      <c r="I284" s="22" t="s">
        <v>8618</v>
      </c>
      <c r="J284" s="22" t="s">
        <v>10494</v>
      </c>
      <c r="K284" s="22" t="s">
        <v>10489</v>
      </c>
      <c r="L284" s="22" t="s">
        <v>10495</v>
      </c>
      <c r="M284" s="22" t="s">
        <v>10555</v>
      </c>
      <c r="N284" s="23" t="n">
        <v>45828</v>
      </c>
      <c r="O284" s="22" t="s">
        <v>10492</v>
      </c>
      <c r="P284" s="22"/>
    </row>
    <row r="285" customFormat="false" ht="15" hidden="false" customHeight="false" outlineLevel="0" collapsed="false">
      <c r="A285" s="22" t="s">
        <v>10790</v>
      </c>
      <c r="B285" s="22" t="s">
        <v>9936</v>
      </c>
      <c r="C285" s="23" t="n">
        <v>45823</v>
      </c>
      <c r="D285" s="22" t="s">
        <v>4113</v>
      </c>
      <c r="E285" s="22" t="n">
        <v>1698</v>
      </c>
      <c r="F285" s="22" t="s">
        <v>7439</v>
      </c>
      <c r="G285" s="22" t="s">
        <v>159</v>
      </c>
      <c r="H285" s="22" t="n">
        <v>32</v>
      </c>
      <c r="I285" s="22" t="s">
        <v>8637</v>
      </c>
      <c r="J285" s="22" t="s">
        <v>10503</v>
      </c>
      <c r="K285" s="22" t="s">
        <v>10489</v>
      </c>
      <c r="L285" s="22" t="s">
        <v>10490</v>
      </c>
      <c r="M285" s="22" t="s">
        <v>10516</v>
      </c>
      <c r="N285" s="23" t="n">
        <v>45825</v>
      </c>
      <c r="O285" s="22" t="s">
        <v>10492</v>
      </c>
      <c r="P285" s="22"/>
    </row>
    <row r="286" customFormat="false" ht="15" hidden="false" customHeight="false" outlineLevel="0" collapsed="false">
      <c r="A286" s="22" t="s">
        <v>10791</v>
      </c>
      <c r="B286" s="22" t="s">
        <v>9941</v>
      </c>
      <c r="C286" s="23" t="n">
        <v>45810</v>
      </c>
      <c r="D286" s="22" t="s">
        <v>4828</v>
      </c>
      <c r="E286" s="22" t="n">
        <v>2047</v>
      </c>
      <c r="F286" s="22" t="s">
        <v>7823</v>
      </c>
      <c r="G286" s="22" t="s">
        <v>215</v>
      </c>
      <c r="H286" s="22" t="n">
        <v>24</v>
      </c>
      <c r="I286" s="22" t="s">
        <v>8637</v>
      </c>
      <c r="J286" s="22" t="s">
        <v>10503</v>
      </c>
      <c r="K286" s="22" t="s">
        <v>10489</v>
      </c>
      <c r="L286" s="22" t="s">
        <v>10500</v>
      </c>
      <c r="M286" s="22" t="s">
        <v>10516</v>
      </c>
      <c r="N286" s="23" t="n">
        <v>45811</v>
      </c>
      <c r="O286" s="22" t="s">
        <v>10492</v>
      </c>
      <c r="P286" s="22"/>
    </row>
    <row r="287" customFormat="false" ht="15" hidden="false" customHeight="false" outlineLevel="0" collapsed="false">
      <c r="A287" s="22" t="s">
        <v>10792</v>
      </c>
      <c r="B287" s="22" t="s">
        <v>9944</v>
      </c>
      <c r="C287" s="23" t="n">
        <v>45822</v>
      </c>
      <c r="D287" s="22" t="s">
        <v>603</v>
      </c>
      <c r="E287" s="22" t="n">
        <v>151</v>
      </c>
      <c r="F287" s="22" t="s">
        <v>8543</v>
      </c>
      <c r="G287" s="22" t="s">
        <v>188</v>
      </c>
      <c r="H287" s="22" t="n">
        <v>24</v>
      </c>
      <c r="I287" s="22" t="s">
        <v>8618</v>
      </c>
      <c r="J287" s="22" t="s">
        <v>10494</v>
      </c>
      <c r="K287" s="22" t="s">
        <v>10489</v>
      </c>
      <c r="L287" s="22" t="s">
        <v>10508</v>
      </c>
      <c r="M287" s="22" t="s">
        <v>10513</v>
      </c>
      <c r="N287" s="23" t="n">
        <v>45822</v>
      </c>
      <c r="O287" s="22" t="s">
        <v>10492</v>
      </c>
      <c r="P287" s="22"/>
    </row>
    <row r="288" customFormat="false" ht="15" hidden="false" customHeight="false" outlineLevel="0" collapsed="false">
      <c r="A288" s="22" t="s">
        <v>10793</v>
      </c>
      <c r="B288" s="22" t="s">
        <v>9957</v>
      </c>
      <c r="C288" s="23" t="n">
        <v>45827</v>
      </c>
      <c r="D288" s="22" t="s">
        <v>3327</v>
      </c>
      <c r="E288" s="22" t="n">
        <v>1314</v>
      </c>
      <c r="F288" s="22" t="s">
        <v>6648</v>
      </c>
      <c r="G288" s="22" t="s">
        <v>198</v>
      </c>
      <c r="H288" s="22" t="n">
        <v>28</v>
      </c>
      <c r="I288" s="22" t="s">
        <v>8618</v>
      </c>
      <c r="J288" s="22" t="s">
        <v>10494</v>
      </c>
      <c r="K288" s="22" t="s">
        <v>10489</v>
      </c>
      <c r="L288" s="22" t="s">
        <v>10495</v>
      </c>
      <c r="M288" s="22" t="s">
        <v>10555</v>
      </c>
      <c r="N288" s="23" t="n">
        <v>45828</v>
      </c>
      <c r="O288" s="22" t="s">
        <v>10492</v>
      </c>
      <c r="P288" s="22"/>
    </row>
    <row r="289" customFormat="false" ht="15" hidden="false" customHeight="false" outlineLevel="0" collapsed="false">
      <c r="A289" s="22" t="s">
        <v>10794</v>
      </c>
      <c r="B289" s="22" t="s">
        <v>9958</v>
      </c>
      <c r="C289" s="23" t="n">
        <v>45817</v>
      </c>
      <c r="D289" s="22" t="s">
        <v>3413</v>
      </c>
      <c r="E289" s="22" t="n">
        <v>1356</v>
      </c>
      <c r="F289" s="22" t="s">
        <v>8436</v>
      </c>
      <c r="G289" s="22" t="s">
        <v>188</v>
      </c>
      <c r="H289" s="22" t="n">
        <v>24</v>
      </c>
      <c r="I289" s="22" t="s">
        <v>8637</v>
      </c>
      <c r="J289" s="22" t="s">
        <v>10503</v>
      </c>
      <c r="K289" s="22" t="s">
        <v>10489</v>
      </c>
      <c r="L289" s="22" t="s">
        <v>10490</v>
      </c>
      <c r="M289" s="22" t="s">
        <v>10491</v>
      </c>
      <c r="N289" s="23" t="n">
        <v>45818</v>
      </c>
      <c r="O289" s="22" t="s">
        <v>10492</v>
      </c>
      <c r="P289" s="22"/>
    </row>
    <row r="290" customFormat="false" ht="15" hidden="false" customHeight="false" outlineLevel="0" collapsed="false">
      <c r="A290" s="22" t="s">
        <v>10795</v>
      </c>
      <c r="B290" s="22" t="s">
        <v>9969</v>
      </c>
      <c r="C290" s="23" t="n">
        <v>45810</v>
      </c>
      <c r="D290" s="22" t="s">
        <v>2670</v>
      </c>
      <c r="E290" s="22" t="n">
        <v>1013</v>
      </c>
      <c r="F290" s="22" t="s">
        <v>7125</v>
      </c>
      <c r="G290" s="22" t="s">
        <v>198</v>
      </c>
      <c r="H290" s="22" t="n">
        <v>40</v>
      </c>
      <c r="I290" s="22" t="s">
        <v>8618</v>
      </c>
      <c r="J290" s="22" t="s">
        <v>10494</v>
      </c>
      <c r="K290" s="22" t="s">
        <v>10489</v>
      </c>
      <c r="L290" s="22" t="s">
        <v>10508</v>
      </c>
      <c r="M290" s="22" t="s">
        <v>10496</v>
      </c>
      <c r="N290" s="23" t="n">
        <v>45815</v>
      </c>
      <c r="O290" s="22" t="s">
        <v>10492</v>
      </c>
      <c r="P290" s="22"/>
    </row>
    <row r="291" customFormat="false" ht="15" hidden="false" customHeight="false" outlineLevel="0" collapsed="false">
      <c r="A291" s="22" t="s">
        <v>10796</v>
      </c>
      <c r="B291" s="22" t="s">
        <v>9972</v>
      </c>
      <c r="C291" s="23" t="n">
        <v>45848</v>
      </c>
      <c r="D291" s="22" t="s">
        <v>2227</v>
      </c>
      <c r="E291" s="22" t="n">
        <v>813</v>
      </c>
      <c r="F291" s="22" t="s">
        <v>8292</v>
      </c>
      <c r="G291" s="22" t="s">
        <v>499</v>
      </c>
      <c r="H291" s="22" t="n">
        <v>50</v>
      </c>
      <c r="I291" s="22" t="s">
        <v>8618</v>
      </c>
      <c r="J291" s="22" t="s">
        <v>10494</v>
      </c>
      <c r="K291" s="22" t="s">
        <v>10489</v>
      </c>
      <c r="L291" s="22" t="s">
        <v>10500</v>
      </c>
      <c r="M291" s="22" t="s">
        <v>10504</v>
      </c>
      <c r="N291" s="23" t="n">
        <v>45850</v>
      </c>
      <c r="O291" s="22" t="s">
        <v>10492</v>
      </c>
      <c r="P291" s="22"/>
    </row>
    <row r="292" customFormat="false" ht="15" hidden="false" customHeight="false" outlineLevel="0" collapsed="false">
      <c r="A292" s="22" t="s">
        <v>10797</v>
      </c>
      <c r="B292" s="22" t="s">
        <v>9987</v>
      </c>
      <c r="C292" s="23" t="n">
        <v>45863</v>
      </c>
      <c r="D292" s="22" t="s">
        <v>5192</v>
      </c>
      <c r="E292" s="22" t="n">
        <v>2227</v>
      </c>
      <c r="F292" s="22" t="s">
        <v>6829</v>
      </c>
      <c r="G292" s="22" t="s">
        <v>198</v>
      </c>
      <c r="H292" s="22" t="n">
        <v>40</v>
      </c>
      <c r="I292" s="22" t="s">
        <v>8631</v>
      </c>
      <c r="J292" s="22" t="s">
        <v>10498</v>
      </c>
      <c r="K292" s="22" t="s">
        <v>10489</v>
      </c>
      <c r="L292" s="22" t="s">
        <v>10495</v>
      </c>
      <c r="M292" s="22" t="s">
        <v>10506</v>
      </c>
      <c r="N292" s="23" t="n">
        <v>45868</v>
      </c>
      <c r="O292" s="22" t="s">
        <v>10492</v>
      </c>
      <c r="P292" s="22"/>
    </row>
    <row r="293" customFormat="false" ht="15" hidden="false" customHeight="false" outlineLevel="0" collapsed="false">
      <c r="A293" s="22" t="s">
        <v>10798</v>
      </c>
      <c r="B293" s="22" t="s">
        <v>9991</v>
      </c>
      <c r="C293" s="23" t="n">
        <v>45844</v>
      </c>
      <c r="D293" s="22" t="s">
        <v>3293</v>
      </c>
      <c r="E293" s="22" t="n">
        <v>1298</v>
      </c>
      <c r="F293" s="22" t="s">
        <v>8330</v>
      </c>
      <c r="G293" s="22" t="s">
        <v>499</v>
      </c>
      <c r="H293" s="22" t="n">
        <v>32</v>
      </c>
      <c r="I293" s="22" t="s">
        <v>8603</v>
      </c>
      <c r="J293" s="22" t="s">
        <v>10488</v>
      </c>
      <c r="K293" s="22" t="s">
        <v>10518</v>
      </c>
      <c r="L293" s="22" t="s">
        <v>10500</v>
      </c>
      <c r="M293" s="22" t="s">
        <v>10491</v>
      </c>
      <c r="N293" s="23" t="n">
        <v>45849</v>
      </c>
      <c r="O293" s="22" t="s">
        <v>10492</v>
      </c>
      <c r="P293" s="22"/>
    </row>
    <row r="294" customFormat="false" ht="15" hidden="false" customHeight="false" outlineLevel="0" collapsed="false">
      <c r="A294" s="22" t="s">
        <v>10799</v>
      </c>
      <c r="B294" s="22" t="s">
        <v>9999</v>
      </c>
      <c r="C294" s="23" t="n">
        <v>45850</v>
      </c>
      <c r="D294" s="22" t="s">
        <v>5772</v>
      </c>
      <c r="E294" s="22" t="n">
        <v>2516</v>
      </c>
      <c r="F294" s="22" t="s">
        <v>7352</v>
      </c>
      <c r="G294" s="22" t="s">
        <v>159</v>
      </c>
      <c r="H294" s="22" t="n">
        <v>32</v>
      </c>
      <c r="I294" s="22" t="s">
        <v>8637</v>
      </c>
      <c r="J294" s="22" t="s">
        <v>10503</v>
      </c>
      <c r="K294" s="22" t="s">
        <v>10489</v>
      </c>
      <c r="L294" s="22" t="s">
        <v>10508</v>
      </c>
      <c r="M294" s="22" t="s">
        <v>10501</v>
      </c>
      <c r="N294" s="23" t="n">
        <v>45852</v>
      </c>
      <c r="O294" s="22" t="s">
        <v>10492</v>
      </c>
      <c r="P294" s="22"/>
    </row>
    <row r="295" customFormat="false" ht="15" hidden="false" customHeight="false" outlineLevel="0" collapsed="false">
      <c r="A295" s="22" t="s">
        <v>10800</v>
      </c>
      <c r="B295" s="22" t="s">
        <v>10000</v>
      </c>
      <c r="C295" s="23" t="n">
        <v>45849</v>
      </c>
      <c r="D295" s="22" t="s">
        <v>5897</v>
      </c>
      <c r="E295" s="22" t="n">
        <v>2579</v>
      </c>
      <c r="F295" s="22" t="s">
        <v>7101</v>
      </c>
      <c r="G295" s="22" t="s">
        <v>198</v>
      </c>
      <c r="H295" s="22" t="n">
        <v>28</v>
      </c>
      <c r="I295" s="22" t="s">
        <v>8631</v>
      </c>
      <c r="J295" s="22" t="s">
        <v>10498</v>
      </c>
      <c r="K295" s="22" t="s">
        <v>10489</v>
      </c>
      <c r="L295" s="22" t="s">
        <v>10500</v>
      </c>
      <c r="M295" s="22" t="s">
        <v>10513</v>
      </c>
      <c r="N295" s="23" t="n">
        <v>45851</v>
      </c>
      <c r="O295" s="22" t="s">
        <v>10492</v>
      </c>
      <c r="P295" s="22"/>
    </row>
    <row r="296" customFormat="false" ht="15" hidden="false" customHeight="false" outlineLevel="0" collapsed="false">
      <c r="A296" s="22" t="s">
        <v>10801</v>
      </c>
      <c r="B296" s="22" t="s">
        <v>10001</v>
      </c>
      <c r="C296" s="23" t="n">
        <v>45855</v>
      </c>
      <c r="D296" s="22" t="s">
        <v>5235</v>
      </c>
      <c r="E296" s="22" t="n">
        <v>2248</v>
      </c>
      <c r="F296" s="22" t="s">
        <v>6974</v>
      </c>
      <c r="G296" s="22" t="s">
        <v>198</v>
      </c>
      <c r="H296" s="22" t="n">
        <v>24</v>
      </c>
      <c r="I296" s="22" t="s">
        <v>8637</v>
      </c>
      <c r="J296" s="22" t="s">
        <v>10503</v>
      </c>
      <c r="K296" s="22" t="s">
        <v>10489</v>
      </c>
      <c r="L296" s="22" t="s">
        <v>10495</v>
      </c>
      <c r="M296" s="22" t="s">
        <v>10504</v>
      </c>
      <c r="N296" s="23" t="n">
        <v>45855</v>
      </c>
      <c r="O296" s="22" t="s">
        <v>10492</v>
      </c>
      <c r="P296" s="22"/>
    </row>
    <row r="297" customFormat="false" ht="15" hidden="false" customHeight="false" outlineLevel="0" collapsed="false">
      <c r="A297" s="22" t="s">
        <v>10802</v>
      </c>
      <c r="B297" s="22" t="s">
        <v>10002</v>
      </c>
      <c r="C297" s="23" t="n">
        <v>45860</v>
      </c>
      <c r="D297" s="22" t="s">
        <v>5792</v>
      </c>
      <c r="E297" s="22" t="n">
        <v>2526</v>
      </c>
      <c r="F297" s="22" t="s">
        <v>8339</v>
      </c>
      <c r="G297" s="22" t="s">
        <v>188</v>
      </c>
      <c r="H297" s="22" t="n">
        <v>32</v>
      </c>
      <c r="I297" s="22" t="s">
        <v>8637</v>
      </c>
      <c r="J297" s="22" t="s">
        <v>10503</v>
      </c>
      <c r="K297" s="22" t="s">
        <v>10489</v>
      </c>
      <c r="L297" s="22" t="s">
        <v>10508</v>
      </c>
      <c r="M297" s="22" t="s">
        <v>10513</v>
      </c>
      <c r="N297" s="23" t="n">
        <v>45860</v>
      </c>
      <c r="O297" s="22" t="s">
        <v>10492</v>
      </c>
      <c r="P297" s="22"/>
    </row>
    <row r="298" customFormat="false" ht="15" hidden="false" customHeight="false" outlineLevel="0" collapsed="false">
      <c r="A298" s="22" t="s">
        <v>10803</v>
      </c>
      <c r="B298" s="22" t="s">
        <v>10005</v>
      </c>
      <c r="C298" s="23" t="n">
        <v>45866</v>
      </c>
      <c r="D298" s="22" t="s">
        <v>4922</v>
      </c>
      <c r="E298" s="22" t="n">
        <v>2094</v>
      </c>
      <c r="F298" s="22" t="s">
        <v>8037</v>
      </c>
      <c r="G298" s="22" t="s">
        <v>499</v>
      </c>
      <c r="H298" s="22" t="n">
        <v>45</v>
      </c>
      <c r="I298" s="22" t="s">
        <v>8618</v>
      </c>
      <c r="J298" s="22" t="s">
        <v>10494</v>
      </c>
      <c r="K298" s="22" t="s">
        <v>10518</v>
      </c>
      <c r="L298" s="22" t="s">
        <v>10500</v>
      </c>
      <c r="M298" s="22" t="s">
        <v>10506</v>
      </c>
      <c r="N298" s="23" t="n">
        <v>45866</v>
      </c>
      <c r="O298" s="22" t="s">
        <v>10492</v>
      </c>
      <c r="P298" s="22"/>
    </row>
    <row r="299" customFormat="false" ht="15" hidden="false" customHeight="false" outlineLevel="0" collapsed="false">
      <c r="A299" s="22" t="s">
        <v>10804</v>
      </c>
      <c r="B299" s="22" t="s">
        <v>10012</v>
      </c>
      <c r="C299" s="23" t="n">
        <v>45895</v>
      </c>
      <c r="D299" s="22" t="s">
        <v>4269</v>
      </c>
      <c r="E299" s="22" t="n">
        <v>1774</v>
      </c>
      <c r="F299" s="22" t="s">
        <v>6673</v>
      </c>
      <c r="G299" s="22" t="s">
        <v>198</v>
      </c>
      <c r="H299" s="22" t="n">
        <v>32</v>
      </c>
      <c r="I299" s="22" t="s">
        <v>8631</v>
      </c>
      <c r="J299" s="22" t="s">
        <v>10498</v>
      </c>
      <c r="K299" s="22" t="s">
        <v>10489</v>
      </c>
      <c r="L299" s="22" t="s">
        <v>10490</v>
      </c>
      <c r="M299" s="22" t="s">
        <v>10496</v>
      </c>
      <c r="N299" s="23" t="n">
        <v>45898</v>
      </c>
      <c r="O299" s="22" t="s">
        <v>10492</v>
      </c>
      <c r="P299" s="22"/>
    </row>
    <row r="300" customFormat="false" ht="15" hidden="false" customHeight="false" outlineLevel="0" collapsed="false">
      <c r="A300" s="22" t="s">
        <v>10805</v>
      </c>
      <c r="B300" s="22" t="s">
        <v>10014</v>
      </c>
      <c r="C300" s="23" t="n">
        <v>45895</v>
      </c>
      <c r="D300" s="22" t="s">
        <v>5361</v>
      </c>
      <c r="E300" s="22" t="n">
        <v>2311</v>
      </c>
      <c r="F300" s="22" t="s">
        <v>8054</v>
      </c>
      <c r="G300" s="22" t="s">
        <v>499</v>
      </c>
      <c r="H300" s="22" t="n">
        <v>32</v>
      </c>
      <c r="I300" s="22" t="s">
        <v>8637</v>
      </c>
      <c r="J300" s="22" t="s">
        <v>10503</v>
      </c>
      <c r="K300" s="22" t="s">
        <v>10489</v>
      </c>
      <c r="L300" s="22" t="s">
        <v>10500</v>
      </c>
      <c r="M300" s="22" t="s">
        <v>10506</v>
      </c>
      <c r="N300" s="23" t="n">
        <v>45899</v>
      </c>
      <c r="O300" s="22" t="s">
        <v>10492</v>
      </c>
      <c r="P300" s="22"/>
    </row>
    <row r="301" customFormat="false" ht="15" hidden="false" customHeight="false" outlineLevel="0" collapsed="false">
      <c r="A301" s="22" t="s">
        <v>10806</v>
      </c>
      <c r="B301" s="22" t="s">
        <v>10017</v>
      </c>
      <c r="C301" s="23" t="n">
        <v>45887</v>
      </c>
      <c r="D301" s="22" t="s">
        <v>1586</v>
      </c>
      <c r="E301" s="22" t="n">
        <v>537</v>
      </c>
      <c r="F301" s="22" t="s">
        <v>8223</v>
      </c>
      <c r="G301" s="22" t="s">
        <v>499</v>
      </c>
      <c r="H301" s="22" t="n">
        <v>80</v>
      </c>
      <c r="I301" s="22" t="s">
        <v>8603</v>
      </c>
      <c r="J301" s="22" t="s">
        <v>10488</v>
      </c>
      <c r="K301" s="22" t="s">
        <v>10489</v>
      </c>
      <c r="L301" s="22" t="s">
        <v>10508</v>
      </c>
      <c r="M301" s="22" t="s">
        <v>10504</v>
      </c>
      <c r="N301" s="23" t="n">
        <v>45891</v>
      </c>
      <c r="O301" s="22" t="s">
        <v>10492</v>
      </c>
      <c r="P301" s="22"/>
    </row>
    <row r="302" customFormat="false" ht="15" hidden="false" customHeight="false" outlineLevel="0" collapsed="false">
      <c r="A302" s="22" t="s">
        <v>10807</v>
      </c>
      <c r="B302" s="22" t="s">
        <v>10023</v>
      </c>
      <c r="C302" s="23" t="n">
        <v>45895</v>
      </c>
      <c r="D302" s="22" t="s">
        <v>2170</v>
      </c>
      <c r="E302" s="22" t="n">
        <v>788</v>
      </c>
      <c r="F302" s="22" t="s">
        <v>8107</v>
      </c>
      <c r="G302" s="22" t="s">
        <v>499</v>
      </c>
      <c r="H302" s="22" t="n">
        <v>80</v>
      </c>
      <c r="I302" s="22" t="s">
        <v>8603</v>
      </c>
      <c r="J302" s="22" t="s">
        <v>10488</v>
      </c>
      <c r="K302" s="22" t="s">
        <v>10489</v>
      </c>
      <c r="L302" s="22" t="s">
        <v>10490</v>
      </c>
      <c r="M302" s="22" t="s">
        <v>10496</v>
      </c>
      <c r="N302" s="23" t="n">
        <v>45897</v>
      </c>
      <c r="O302" s="22" t="s">
        <v>10492</v>
      </c>
      <c r="P302" s="22"/>
    </row>
    <row r="303" customFormat="false" ht="15" hidden="false" customHeight="false" outlineLevel="0" collapsed="false">
      <c r="A303" s="22" t="s">
        <v>10808</v>
      </c>
      <c r="B303" s="22" t="s">
        <v>10029</v>
      </c>
      <c r="C303" s="23" t="n">
        <v>45891</v>
      </c>
      <c r="D303" s="22" t="s">
        <v>1978</v>
      </c>
      <c r="E303" s="22" t="n">
        <v>702</v>
      </c>
      <c r="F303" s="22" t="s">
        <v>7676</v>
      </c>
      <c r="G303" s="22" t="s">
        <v>159</v>
      </c>
      <c r="H303" s="22" t="n">
        <v>36</v>
      </c>
      <c r="I303" s="22" t="s">
        <v>8603</v>
      </c>
      <c r="J303" s="22" t="s">
        <v>10488</v>
      </c>
      <c r="K303" s="22" t="s">
        <v>10489</v>
      </c>
      <c r="L303" s="22" t="s">
        <v>10500</v>
      </c>
      <c r="M303" s="22" t="s">
        <v>10504</v>
      </c>
      <c r="N303" s="23" t="n">
        <v>45896</v>
      </c>
      <c r="O303" s="22" t="s">
        <v>10492</v>
      </c>
      <c r="P303" s="22"/>
    </row>
    <row r="304" customFormat="false" ht="15" hidden="false" customHeight="false" outlineLevel="0" collapsed="false">
      <c r="A304" s="22" t="s">
        <v>10809</v>
      </c>
      <c r="B304" s="22" t="s">
        <v>10039</v>
      </c>
      <c r="C304" s="23" t="n">
        <v>45879</v>
      </c>
      <c r="D304" s="22" t="s">
        <v>3926</v>
      </c>
      <c r="E304" s="22" t="n">
        <v>1607</v>
      </c>
      <c r="F304" s="22" t="s">
        <v>7243</v>
      </c>
      <c r="G304" s="22" t="s">
        <v>198</v>
      </c>
      <c r="H304" s="22" t="n">
        <v>32</v>
      </c>
      <c r="I304" s="22" t="s">
        <v>8603</v>
      </c>
      <c r="J304" s="22" t="s">
        <v>10488</v>
      </c>
      <c r="K304" s="22" t="s">
        <v>10489</v>
      </c>
      <c r="L304" s="22" t="s">
        <v>10490</v>
      </c>
      <c r="M304" s="22" t="s">
        <v>10516</v>
      </c>
      <c r="N304" s="23" t="n">
        <v>45882</v>
      </c>
      <c r="O304" s="22" t="s">
        <v>10492</v>
      </c>
      <c r="P304" s="22"/>
    </row>
    <row r="305" customFormat="false" ht="15" hidden="false" customHeight="false" outlineLevel="0" collapsed="false">
      <c r="A305" s="22" t="s">
        <v>10810</v>
      </c>
      <c r="B305" s="22" t="s">
        <v>10041</v>
      </c>
      <c r="C305" s="23" t="n">
        <v>45884</v>
      </c>
      <c r="D305" s="22" t="s">
        <v>5367</v>
      </c>
      <c r="E305" s="22" t="n">
        <v>2314</v>
      </c>
      <c r="F305" s="22" t="s">
        <v>6775</v>
      </c>
      <c r="G305" s="22" t="s">
        <v>198</v>
      </c>
      <c r="H305" s="22" t="n">
        <v>32</v>
      </c>
      <c r="I305" s="22" t="s">
        <v>8637</v>
      </c>
      <c r="J305" s="22" t="s">
        <v>10503</v>
      </c>
      <c r="K305" s="22" t="s">
        <v>10489</v>
      </c>
      <c r="L305" s="22" t="s">
        <v>10500</v>
      </c>
      <c r="M305" s="22" t="s">
        <v>10504</v>
      </c>
      <c r="N305" s="23" t="n">
        <v>45884</v>
      </c>
      <c r="O305" s="22" t="s">
        <v>10492</v>
      </c>
      <c r="P305" s="22"/>
    </row>
    <row r="306" customFormat="false" ht="15" hidden="false" customHeight="false" outlineLevel="0" collapsed="false">
      <c r="A306" s="22" t="s">
        <v>10811</v>
      </c>
      <c r="B306" s="22" t="s">
        <v>10043</v>
      </c>
      <c r="C306" s="23" t="n">
        <v>45883</v>
      </c>
      <c r="D306" s="22" t="s">
        <v>5004</v>
      </c>
      <c r="E306" s="22" t="n">
        <v>2134</v>
      </c>
      <c r="F306" s="22" t="s">
        <v>8512</v>
      </c>
      <c r="G306" s="22" t="s">
        <v>188</v>
      </c>
      <c r="H306" s="22" t="n">
        <v>24</v>
      </c>
      <c r="I306" s="22" t="s">
        <v>8603</v>
      </c>
      <c r="J306" s="22" t="s">
        <v>10488</v>
      </c>
      <c r="K306" s="22" t="s">
        <v>10489</v>
      </c>
      <c r="L306" s="22" t="s">
        <v>10495</v>
      </c>
      <c r="M306" s="22" t="s">
        <v>10504</v>
      </c>
      <c r="N306" s="23" t="n">
        <v>45883</v>
      </c>
      <c r="O306" s="22" t="s">
        <v>10492</v>
      </c>
      <c r="P306" s="22"/>
    </row>
    <row r="307" customFormat="false" ht="15" hidden="false" customHeight="false" outlineLevel="0" collapsed="false">
      <c r="A307" s="22" t="s">
        <v>10812</v>
      </c>
      <c r="B307" s="22" t="s">
        <v>10046</v>
      </c>
      <c r="C307" s="23" t="n">
        <v>45877</v>
      </c>
      <c r="D307" s="22" t="s">
        <v>4550</v>
      </c>
      <c r="E307" s="22" t="n">
        <v>1912</v>
      </c>
      <c r="F307" s="22" t="s">
        <v>8447</v>
      </c>
      <c r="G307" s="22" t="s">
        <v>188</v>
      </c>
      <c r="H307" s="22" t="n">
        <v>32</v>
      </c>
      <c r="I307" s="22" t="s">
        <v>8637</v>
      </c>
      <c r="J307" s="22" t="s">
        <v>10503</v>
      </c>
      <c r="K307" s="22" t="s">
        <v>10489</v>
      </c>
      <c r="L307" s="22" t="s">
        <v>10508</v>
      </c>
      <c r="M307" s="22" t="s">
        <v>10555</v>
      </c>
      <c r="N307" s="23" t="n">
        <v>45881</v>
      </c>
      <c r="O307" s="22" t="s">
        <v>10492</v>
      </c>
      <c r="P307" s="22"/>
    </row>
    <row r="308" customFormat="false" ht="15" hidden="false" customHeight="false" outlineLevel="0" collapsed="false">
      <c r="A308" s="22" t="s">
        <v>10813</v>
      </c>
      <c r="B308" s="22" t="s">
        <v>10053</v>
      </c>
      <c r="C308" s="23" t="n">
        <v>45874</v>
      </c>
      <c r="D308" s="22" t="s">
        <v>3345</v>
      </c>
      <c r="E308" s="22" t="n">
        <v>1323</v>
      </c>
      <c r="F308" s="22" t="s">
        <v>7723</v>
      </c>
      <c r="G308" s="22" t="s">
        <v>215</v>
      </c>
      <c r="H308" s="22" t="n">
        <v>45</v>
      </c>
      <c r="I308" s="22" t="s">
        <v>8618</v>
      </c>
      <c r="J308" s="22" t="s">
        <v>10494</v>
      </c>
      <c r="K308" s="22" t="s">
        <v>10489</v>
      </c>
      <c r="L308" s="22" t="s">
        <v>10490</v>
      </c>
      <c r="M308" s="22" t="s">
        <v>10504</v>
      </c>
      <c r="N308" s="23" t="n">
        <v>45879</v>
      </c>
      <c r="O308" s="22" t="s">
        <v>10492</v>
      </c>
      <c r="P308" s="22"/>
    </row>
    <row r="309" customFormat="false" ht="15" hidden="false" customHeight="false" outlineLevel="0" collapsed="false">
      <c r="A309" s="22" t="s">
        <v>10814</v>
      </c>
      <c r="B309" s="22" t="s">
        <v>10054</v>
      </c>
      <c r="C309" s="23" t="n">
        <v>45872</v>
      </c>
      <c r="D309" s="22" t="s">
        <v>5702</v>
      </c>
      <c r="E309" s="22" t="n">
        <v>2481</v>
      </c>
      <c r="F309" s="22" t="s">
        <v>8299</v>
      </c>
      <c r="G309" s="22" t="s">
        <v>499</v>
      </c>
      <c r="H309" s="22" t="n">
        <v>32</v>
      </c>
      <c r="I309" s="22" t="s">
        <v>8603</v>
      </c>
      <c r="J309" s="22" t="s">
        <v>10488</v>
      </c>
      <c r="K309" s="22" t="s">
        <v>10489</v>
      </c>
      <c r="L309" s="22" t="s">
        <v>10508</v>
      </c>
      <c r="M309" s="22" t="s">
        <v>10504</v>
      </c>
      <c r="N309" s="23" t="n">
        <v>45875</v>
      </c>
      <c r="O309" s="22" t="s">
        <v>10492</v>
      </c>
      <c r="P309" s="22"/>
    </row>
    <row r="310" customFormat="false" ht="15" hidden="false" customHeight="false" outlineLevel="0" collapsed="false">
      <c r="A310" s="22" t="s">
        <v>10815</v>
      </c>
      <c r="B310" s="22" t="s">
        <v>10057</v>
      </c>
      <c r="C310" s="23" t="n">
        <v>45897</v>
      </c>
      <c r="D310" s="22" t="s">
        <v>4400</v>
      </c>
      <c r="E310" s="22" t="n">
        <v>1838</v>
      </c>
      <c r="F310" s="22" t="s">
        <v>6826</v>
      </c>
      <c r="G310" s="22" t="s">
        <v>198</v>
      </c>
      <c r="H310" s="22" t="n">
        <v>28</v>
      </c>
      <c r="I310" s="22" t="s">
        <v>8631</v>
      </c>
      <c r="J310" s="22" t="s">
        <v>10498</v>
      </c>
      <c r="K310" s="22" t="s">
        <v>10518</v>
      </c>
      <c r="L310" s="22" t="s">
        <v>10495</v>
      </c>
      <c r="M310" s="22" t="s">
        <v>10504</v>
      </c>
      <c r="N310" s="23" t="n">
        <v>45898</v>
      </c>
      <c r="O310" s="22" t="s">
        <v>10492</v>
      </c>
      <c r="P310" s="22"/>
    </row>
    <row r="311" customFormat="false" ht="15" hidden="false" customHeight="false" outlineLevel="0" collapsed="false">
      <c r="A311" s="22" t="s">
        <v>10816</v>
      </c>
      <c r="B311" s="22" t="s">
        <v>10058</v>
      </c>
      <c r="C311" s="23" t="n">
        <v>45897</v>
      </c>
      <c r="D311" s="22" t="s">
        <v>1778</v>
      </c>
      <c r="E311" s="22" t="n">
        <v>617</v>
      </c>
      <c r="F311" s="22" t="s">
        <v>7603</v>
      </c>
      <c r="G311" s="22" t="s">
        <v>159</v>
      </c>
      <c r="H311" s="22" t="n">
        <v>28</v>
      </c>
      <c r="I311" s="22" t="s">
        <v>8603</v>
      </c>
      <c r="J311" s="22" t="s">
        <v>10488</v>
      </c>
      <c r="K311" s="22" t="s">
        <v>10489</v>
      </c>
      <c r="L311" s="22" t="s">
        <v>10500</v>
      </c>
      <c r="M311" s="22" t="s">
        <v>10496</v>
      </c>
      <c r="N311" s="23" t="n">
        <v>45902</v>
      </c>
      <c r="O311" s="22" t="s">
        <v>10492</v>
      </c>
      <c r="P311" s="22"/>
    </row>
    <row r="312" customFormat="false" ht="15" hidden="false" customHeight="false" outlineLevel="0" collapsed="false">
      <c r="A312" s="22" t="s">
        <v>10817</v>
      </c>
      <c r="B312" s="22" t="s">
        <v>10063</v>
      </c>
      <c r="C312" s="23" t="n">
        <v>45888</v>
      </c>
      <c r="D312" s="22" t="s">
        <v>2295</v>
      </c>
      <c r="E312" s="22" t="n">
        <v>843</v>
      </c>
      <c r="F312" s="22" t="s">
        <v>8350</v>
      </c>
      <c r="G312" s="22" t="s">
        <v>188</v>
      </c>
      <c r="H312" s="22" t="n">
        <v>32</v>
      </c>
      <c r="I312" s="22" t="s">
        <v>8637</v>
      </c>
      <c r="J312" s="22" t="s">
        <v>10503</v>
      </c>
      <c r="K312" s="22" t="s">
        <v>10489</v>
      </c>
      <c r="L312" s="22" t="s">
        <v>10490</v>
      </c>
      <c r="M312" s="22" t="s">
        <v>10555</v>
      </c>
      <c r="N312" s="23" t="n">
        <v>45892</v>
      </c>
      <c r="O312" s="22" t="s">
        <v>10492</v>
      </c>
      <c r="P312" s="22"/>
    </row>
    <row r="313" customFormat="false" ht="15" hidden="false" customHeight="false" outlineLevel="0" collapsed="false">
      <c r="A313" s="22" t="s">
        <v>10818</v>
      </c>
      <c r="B313" s="22" t="s">
        <v>10075</v>
      </c>
      <c r="C313" s="23" t="n">
        <v>45917</v>
      </c>
      <c r="D313" s="22" t="s">
        <v>2008</v>
      </c>
      <c r="E313" s="22" t="n">
        <v>715</v>
      </c>
      <c r="F313" s="22" t="s">
        <v>8087</v>
      </c>
      <c r="G313" s="22" t="s">
        <v>499</v>
      </c>
      <c r="H313" s="22" t="n">
        <v>80</v>
      </c>
      <c r="I313" s="22" t="s">
        <v>8603</v>
      </c>
      <c r="J313" s="22" t="s">
        <v>10488</v>
      </c>
      <c r="K313" s="22" t="s">
        <v>10489</v>
      </c>
      <c r="L313" s="22" t="s">
        <v>10500</v>
      </c>
      <c r="M313" s="22" t="s">
        <v>10491</v>
      </c>
      <c r="N313" s="23" t="n">
        <v>45922</v>
      </c>
      <c r="O313" s="22" t="s">
        <v>10492</v>
      </c>
      <c r="P313" s="22"/>
    </row>
    <row r="314" customFormat="false" ht="15" hidden="false" customHeight="false" outlineLevel="0" collapsed="false">
      <c r="A314" s="22" t="s">
        <v>10819</v>
      </c>
      <c r="B314" s="22" t="s">
        <v>10076</v>
      </c>
      <c r="C314" s="23" t="n">
        <v>45903</v>
      </c>
      <c r="D314" s="22" t="s">
        <v>1092</v>
      </c>
      <c r="E314" s="22" t="n">
        <v>334</v>
      </c>
      <c r="F314" s="22" t="s">
        <v>6897</v>
      </c>
      <c r="G314" s="22" t="s">
        <v>198</v>
      </c>
      <c r="H314" s="22" t="n">
        <v>28</v>
      </c>
      <c r="I314" s="22" t="s">
        <v>8618</v>
      </c>
      <c r="J314" s="22" t="s">
        <v>10494</v>
      </c>
      <c r="K314" s="22" t="s">
        <v>10489</v>
      </c>
      <c r="L314" s="22" t="s">
        <v>10490</v>
      </c>
      <c r="M314" s="22" t="s">
        <v>10513</v>
      </c>
      <c r="N314" s="23" t="n">
        <v>45908</v>
      </c>
      <c r="O314" s="22" t="s">
        <v>10492</v>
      </c>
      <c r="P314" s="22"/>
    </row>
    <row r="315" customFormat="false" ht="15" hidden="false" customHeight="false" outlineLevel="0" collapsed="false">
      <c r="A315" s="22" t="s">
        <v>10820</v>
      </c>
      <c r="B315" s="22" t="s">
        <v>10080</v>
      </c>
      <c r="C315" s="23" t="n">
        <v>45917</v>
      </c>
      <c r="D315" s="22" t="s">
        <v>3560</v>
      </c>
      <c r="E315" s="22" t="n">
        <v>1428</v>
      </c>
      <c r="F315" s="22" t="s">
        <v>8350</v>
      </c>
      <c r="G315" s="22" t="s">
        <v>188</v>
      </c>
      <c r="H315" s="22" t="n">
        <v>32</v>
      </c>
      <c r="I315" s="22" t="s">
        <v>8603</v>
      </c>
      <c r="J315" s="22" t="s">
        <v>10488</v>
      </c>
      <c r="K315" s="22" t="s">
        <v>10489</v>
      </c>
      <c r="L315" s="22" t="s">
        <v>10500</v>
      </c>
      <c r="M315" s="22" t="s">
        <v>10511</v>
      </c>
      <c r="N315" s="23" t="n">
        <v>45919</v>
      </c>
      <c r="O315" s="22" t="s">
        <v>10492</v>
      </c>
      <c r="P315" s="22"/>
    </row>
    <row r="316" customFormat="false" ht="15" hidden="false" customHeight="false" outlineLevel="0" collapsed="false">
      <c r="A316" s="22" t="s">
        <v>10821</v>
      </c>
      <c r="B316" s="22" t="s">
        <v>10083</v>
      </c>
      <c r="C316" s="23" t="n">
        <v>45922</v>
      </c>
      <c r="D316" s="22" t="s">
        <v>6455</v>
      </c>
      <c r="E316" s="22" t="n">
        <v>2861</v>
      </c>
      <c r="F316" s="22" t="s">
        <v>7338</v>
      </c>
      <c r="G316" s="22" t="s">
        <v>159</v>
      </c>
      <c r="H316" s="22" t="n">
        <v>36</v>
      </c>
      <c r="I316" s="22" t="s">
        <v>8618</v>
      </c>
      <c r="J316" s="22" t="s">
        <v>10494</v>
      </c>
      <c r="K316" s="22" t="s">
        <v>10489</v>
      </c>
      <c r="L316" s="22" t="s">
        <v>10500</v>
      </c>
      <c r="M316" s="22" t="s">
        <v>10491</v>
      </c>
      <c r="N316" s="23" t="n">
        <v>45922</v>
      </c>
      <c r="O316" s="22" t="s">
        <v>10492</v>
      </c>
      <c r="P316" s="22"/>
    </row>
    <row r="317" customFormat="false" ht="15" hidden="false" customHeight="false" outlineLevel="0" collapsed="false">
      <c r="A317" s="22" t="s">
        <v>10822</v>
      </c>
      <c r="B317" s="22" t="s">
        <v>10084</v>
      </c>
      <c r="C317" s="23" t="n">
        <v>45920</v>
      </c>
      <c r="D317" s="22" t="s">
        <v>2977</v>
      </c>
      <c r="E317" s="22" t="n">
        <v>1153</v>
      </c>
      <c r="F317" s="22" t="s">
        <v>6615</v>
      </c>
      <c r="G317" s="22" t="s">
        <v>198</v>
      </c>
      <c r="H317" s="22" t="n">
        <v>36</v>
      </c>
      <c r="I317" s="22" t="s">
        <v>8637</v>
      </c>
      <c r="J317" s="22" t="s">
        <v>10503</v>
      </c>
      <c r="K317" s="22" t="s">
        <v>10489</v>
      </c>
      <c r="L317" s="22" t="s">
        <v>10490</v>
      </c>
      <c r="M317" s="22" t="s">
        <v>10516</v>
      </c>
      <c r="N317" s="23" t="n">
        <v>45920</v>
      </c>
      <c r="O317" s="22" t="s">
        <v>10492</v>
      </c>
      <c r="P317" s="22"/>
    </row>
    <row r="318" customFormat="false" ht="15" hidden="false" customHeight="false" outlineLevel="0" collapsed="false">
      <c r="A318" s="22" t="s">
        <v>10823</v>
      </c>
      <c r="B318" s="22" t="s">
        <v>10094</v>
      </c>
      <c r="C318" s="23" t="n">
        <v>45923</v>
      </c>
      <c r="D318" s="22" t="s">
        <v>3597</v>
      </c>
      <c r="E318" s="22" t="n">
        <v>1445</v>
      </c>
      <c r="F318" s="22" t="s">
        <v>8394</v>
      </c>
      <c r="G318" s="22" t="s">
        <v>188</v>
      </c>
      <c r="H318" s="22" t="n">
        <v>32</v>
      </c>
      <c r="I318" s="22" t="s">
        <v>8603</v>
      </c>
      <c r="J318" s="22" t="s">
        <v>10488</v>
      </c>
      <c r="K318" s="22" t="s">
        <v>10489</v>
      </c>
      <c r="L318" s="22" t="s">
        <v>10495</v>
      </c>
      <c r="M318" s="22" t="s">
        <v>10501</v>
      </c>
      <c r="N318" s="23" t="n">
        <v>45924</v>
      </c>
      <c r="O318" s="22" t="s">
        <v>10492</v>
      </c>
      <c r="P318" s="22"/>
    </row>
    <row r="319" customFormat="false" ht="15" hidden="false" customHeight="false" outlineLevel="0" collapsed="false">
      <c r="A319" s="22" t="s">
        <v>10824</v>
      </c>
      <c r="B319" s="22" t="s">
        <v>10096</v>
      </c>
      <c r="C319" s="23" t="n">
        <v>45919</v>
      </c>
      <c r="D319" s="22" t="s">
        <v>4506</v>
      </c>
      <c r="E319" s="22" t="n">
        <v>1890</v>
      </c>
      <c r="F319" s="22" t="s">
        <v>7921</v>
      </c>
      <c r="G319" s="22" t="s">
        <v>215</v>
      </c>
      <c r="H319" s="22" t="n">
        <v>28</v>
      </c>
      <c r="I319" s="22" t="s">
        <v>8618</v>
      </c>
      <c r="J319" s="22" t="s">
        <v>10494</v>
      </c>
      <c r="K319" s="22" t="s">
        <v>10489</v>
      </c>
      <c r="L319" s="22" t="s">
        <v>10490</v>
      </c>
      <c r="M319" s="22" t="s">
        <v>10491</v>
      </c>
      <c r="N319" s="23" t="n">
        <v>45922</v>
      </c>
      <c r="O319" s="22" t="s">
        <v>10492</v>
      </c>
      <c r="P319" s="22"/>
    </row>
    <row r="320" customFormat="false" ht="15" hidden="false" customHeight="false" outlineLevel="0" collapsed="false">
      <c r="A320" s="22" t="s">
        <v>10825</v>
      </c>
      <c r="B320" s="22" t="s">
        <v>10099</v>
      </c>
      <c r="C320" s="23" t="n">
        <v>45920</v>
      </c>
      <c r="D320" s="22" t="s">
        <v>2446</v>
      </c>
      <c r="E320" s="22" t="n">
        <v>913</v>
      </c>
      <c r="F320" s="22" t="s">
        <v>7957</v>
      </c>
      <c r="G320" s="22" t="s">
        <v>215</v>
      </c>
      <c r="H320" s="22" t="n">
        <v>24</v>
      </c>
      <c r="I320" s="22" t="s">
        <v>8637</v>
      </c>
      <c r="J320" s="22" t="s">
        <v>10503</v>
      </c>
      <c r="K320" s="22" t="s">
        <v>10489</v>
      </c>
      <c r="L320" s="22" t="s">
        <v>10508</v>
      </c>
      <c r="M320" s="22" t="s">
        <v>10555</v>
      </c>
      <c r="N320" s="23" t="n">
        <v>45920</v>
      </c>
      <c r="O320" s="22" t="s">
        <v>10492</v>
      </c>
      <c r="P320" s="22"/>
    </row>
    <row r="321" customFormat="false" ht="15" hidden="false" customHeight="false" outlineLevel="0" collapsed="false">
      <c r="A321" s="22" t="s">
        <v>10826</v>
      </c>
      <c r="B321" s="22" t="s">
        <v>10102</v>
      </c>
      <c r="C321" s="23" t="n">
        <v>45909</v>
      </c>
      <c r="D321" s="22" t="s">
        <v>3010</v>
      </c>
      <c r="E321" s="22" t="n">
        <v>1167</v>
      </c>
      <c r="F321" s="22" t="s">
        <v>7382</v>
      </c>
      <c r="G321" s="22" t="s">
        <v>159</v>
      </c>
      <c r="H321" s="22" t="n">
        <v>32</v>
      </c>
      <c r="I321" s="22" t="s">
        <v>8603</v>
      </c>
      <c r="J321" s="22" t="s">
        <v>10488</v>
      </c>
      <c r="K321" s="22" t="s">
        <v>10489</v>
      </c>
      <c r="L321" s="22" t="s">
        <v>10508</v>
      </c>
      <c r="M321" s="22" t="s">
        <v>10501</v>
      </c>
      <c r="N321" s="23" t="n">
        <v>45911</v>
      </c>
      <c r="O321" s="22" t="s">
        <v>10492</v>
      </c>
      <c r="P321" s="22"/>
    </row>
    <row r="322" customFormat="false" ht="15" hidden="false" customHeight="false" outlineLevel="0" collapsed="false">
      <c r="A322" s="22" t="s">
        <v>10827</v>
      </c>
      <c r="B322" s="22" t="s">
        <v>10109</v>
      </c>
      <c r="C322" s="23" t="n">
        <v>45911</v>
      </c>
      <c r="D322" s="22" t="s">
        <v>6463</v>
      </c>
      <c r="E322" s="22" t="n">
        <v>2865</v>
      </c>
      <c r="F322" s="22" t="s">
        <v>8345</v>
      </c>
      <c r="G322" s="22" t="s">
        <v>188</v>
      </c>
      <c r="H322" s="22" t="n">
        <v>28</v>
      </c>
      <c r="I322" s="22" t="s">
        <v>8631</v>
      </c>
      <c r="J322" s="22" t="s">
        <v>10498</v>
      </c>
      <c r="K322" s="22" t="s">
        <v>10489</v>
      </c>
      <c r="L322" s="22" t="s">
        <v>10490</v>
      </c>
      <c r="M322" s="22" t="s">
        <v>10501</v>
      </c>
      <c r="N322" s="23" t="n">
        <v>45915</v>
      </c>
      <c r="O322" s="22" t="s">
        <v>10492</v>
      </c>
      <c r="P322" s="22"/>
    </row>
    <row r="323" customFormat="false" ht="15" hidden="false" customHeight="false" outlineLevel="0" collapsed="false">
      <c r="A323" s="22" t="s">
        <v>10828</v>
      </c>
      <c r="B323" s="22" t="s">
        <v>10110</v>
      </c>
      <c r="C323" s="23" t="n">
        <v>45905</v>
      </c>
      <c r="D323" s="22" t="s">
        <v>2644</v>
      </c>
      <c r="E323" s="22" t="n">
        <v>1002</v>
      </c>
      <c r="F323" s="22" t="s">
        <v>7117</v>
      </c>
      <c r="G323" s="22" t="s">
        <v>198</v>
      </c>
      <c r="H323" s="22" t="n">
        <v>36</v>
      </c>
      <c r="I323" s="22" t="s">
        <v>8618</v>
      </c>
      <c r="J323" s="22" t="s">
        <v>10494</v>
      </c>
      <c r="K323" s="22" t="s">
        <v>10489</v>
      </c>
      <c r="L323" s="22" t="s">
        <v>10500</v>
      </c>
      <c r="M323" s="22" t="s">
        <v>10501</v>
      </c>
      <c r="N323" s="23" t="n">
        <v>45909</v>
      </c>
      <c r="O323" s="22" t="s">
        <v>10492</v>
      </c>
      <c r="P323" s="22"/>
    </row>
    <row r="324" customFormat="false" ht="15" hidden="false" customHeight="false" outlineLevel="0" collapsed="false">
      <c r="A324" s="22" t="s">
        <v>10829</v>
      </c>
      <c r="B324" s="22" t="s">
        <v>10114</v>
      </c>
      <c r="C324" s="23" t="n">
        <v>45956</v>
      </c>
      <c r="D324" s="22" t="s">
        <v>3262</v>
      </c>
      <c r="E324" s="22" t="n">
        <v>1284</v>
      </c>
      <c r="F324" s="22" t="s">
        <v>8540</v>
      </c>
      <c r="G324" s="22" t="s">
        <v>188</v>
      </c>
      <c r="H324" s="22" t="n">
        <v>32</v>
      </c>
      <c r="I324" s="22" t="s">
        <v>8603</v>
      </c>
      <c r="J324" s="22" t="s">
        <v>10488</v>
      </c>
      <c r="K324" s="22" t="s">
        <v>10489</v>
      </c>
      <c r="L324" s="22" t="s">
        <v>10508</v>
      </c>
      <c r="M324" s="22" t="s">
        <v>10516</v>
      </c>
      <c r="N324" s="23" t="n">
        <v>45959</v>
      </c>
      <c r="O324" s="22" t="s">
        <v>10492</v>
      </c>
      <c r="P324" s="22"/>
    </row>
    <row r="325" customFormat="false" ht="15" hidden="false" customHeight="false" outlineLevel="0" collapsed="false">
      <c r="A325" s="22" t="s">
        <v>10830</v>
      </c>
      <c r="B325" s="22" t="s">
        <v>10117</v>
      </c>
      <c r="C325" s="23" t="n">
        <v>45958</v>
      </c>
      <c r="D325" s="22" t="s">
        <v>3054</v>
      </c>
      <c r="E325" s="22" t="n">
        <v>1187</v>
      </c>
      <c r="F325" s="22" t="s">
        <v>8546</v>
      </c>
      <c r="G325" s="22" t="s">
        <v>188</v>
      </c>
      <c r="H325" s="22" t="n">
        <v>28</v>
      </c>
      <c r="I325" s="22" t="s">
        <v>8603</v>
      </c>
      <c r="J325" s="22" t="s">
        <v>10488</v>
      </c>
      <c r="K325" s="22" t="s">
        <v>10489</v>
      </c>
      <c r="L325" s="22" t="s">
        <v>10490</v>
      </c>
      <c r="M325" s="22" t="s">
        <v>10504</v>
      </c>
      <c r="N325" s="23" t="n">
        <v>45961</v>
      </c>
      <c r="O325" s="22" t="s">
        <v>10492</v>
      </c>
      <c r="P325" s="22"/>
    </row>
    <row r="326" customFormat="false" ht="15" hidden="false" customHeight="false" outlineLevel="0" collapsed="false">
      <c r="A326" s="22" t="s">
        <v>10831</v>
      </c>
      <c r="B326" s="22" t="s">
        <v>10120</v>
      </c>
      <c r="C326" s="23" t="n">
        <v>45933</v>
      </c>
      <c r="D326" s="22" t="s">
        <v>6240</v>
      </c>
      <c r="E326" s="22" t="n">
        <v>2750</v>
      </c>
      <c r="F326" s="22" t="s">
        <v>8220</v>
      </c>
      <c r="G326" s="22" t="s">
        <v>499</v>
      </c>
      <c r="H326" s="22" t="n">
        <v>60</v>
      </c>
      <c r="I326" s="22" t="s">
        <v>8603</v>
      </c>
      <c r="J326" s="22" t="s">
        <v>10488</v>
      </c>
      <c r="K326" s="22" t="s">
        <v>10489</v>
      </c>
      <c r="L326" s="22" t="s">
        <v>10495</v>
      </c>
      <c r="M326" s="22" t="s">
        <v>10511</v>
      </c>
      <c r="N326" s="23" t="n">
        <v>45935</v>
      </c>
      <c r="O326" s="22" t="s">
        <v>10492</v>
      </c>
      <c r="P326" s="22"/>
    </row>
    <row r="327" customFormat="false" ht="15" hidden="false" customHeight="false" outlineLevel="0" collapsed="false">
      <c r="A327" s="22" t="s">
        <v>10832</v>
      </c>
      <c r="B327" s="22" t="s">
        <v>10121</v>
      </c>
      <c r="C327" s="23" t="n">
        <v>45956</v>
      </c>
      <c r="D327" s="22" t="s">
        <v>6447</v>
      </c>
      <c r="E327" s="22" t="n">
        <v>2857</v>
      </c>
      <c r="F327" s="22" t="s">
        <v>7011</v>
      </c>
      <c r="G327" s="22" t="s">
        <v>198</v>
      </c>
      <c r="H327" s="22" t="n">
        <v>24</v>
      </c>
      <c r="I327" s="22" t="s">
        <v>8618</v>
      </c>
      <c r="J327" s="22" t="s">
        <v>10494</v>
      </c>
      <c r="K327" s="22" t="s">
        <v>10489</v>
      </c>
      <c r="L327" s="22" t="s">
        <v>10495</v>
      </c>
      <c r="M327" s="22" t="s">
        <v>10491</v>
      </c>
      <c r="N327" s="23" t="n">
        <v>45956</v>
      </c>
      <c r="O327" s="22" t="s">
        <v>10492</v>
      </c>
      <c r="P327" s="22"/>
    </row>
    <row r="328" customFormat="false" ht="15" hidden="false" customHeight="false" outlineLevel="0" collapsed="false">
      <c r="A328" s="22" t="s">
        <v>10833</v>
      </c>
      <c r="B328" s="22" t="s">
        <v>10130</v>
      </c>
      <c r="C328" s="23" t="n">
        <v>45953</v>
      </c>
      <c r="D328" s="22" t="s">
        <v>1845</v>
      </c>
      <c r="E328" s="22" t="n">
        <v>645</v>
      </c>
      <c r="F328" s="22" t="s">
        <v>8333</v>
      </c>
      <c r="G328" s="22" t="s">
        <v>499</v>
      </c>
      <c r="H328" s="22" t="n">
        <v>32</v>
      </c>
      <c r="I328" s="22" t="s">
        <v>8631</v>
      </c>
      <c r="J328" s="22" t="s">
        <v>10498</v>
      </c>
      <c r="K328" s="22" t="s">
        <v>10489</v>
      </c>
      <c r="L328" s="22" t="s">
        <v>10508</v>
      </c>
      <c r="M328" s="22" t="s">
        <v>10504</v>
      </c>
      <c r="N328" s="23" t="n">
        <v>45957</v>
      </c>
      <c r="O328" s="22" t="s">
        <v>10492</v>
      </c>
      <c r="P328" s="22"/>
    </row>
    <row r="329" customFormat="false" ht="15" hidden="false" customHeight="false" outlineLevel="0" collapsed="false">
      <c r="A329" s="22" t="s">
        <v>10834</v>
      </c>
      <c r="B329" s="22" t="s">
        <v>10137</v>
      </c>
      <c r="C329" s="23" t="n">
        <v>45941</v>
      </c>
      <c r="D329" s="22" t="s">
        <v>423</v>
      </c>
      <c r="E329" s="22" t="n">
        <v>89</v>
      </c>
      <c r="F329" s="22" t="s">
        <v>8358</v>
      </c>
      <c r="G329" s="22" t="s">
        <v>188</v>
      </c>
      <c r="H329" s="22" t="n">
        <v>24</v>
      </c>
      <c r="I329" s="22" t="s">
        <v>8603</v>
      </c>
      <c r="J329" s="22" t="s">
        <v>10488</v>
      </c>
      <c r="K329" s="22" t="s">
        <v>10518</v>
      </c>
      <c r="L329" s="22" t="s">
        <v>10500</v>
      </c>
      <c r="M329" s="22" t="s">
        <v>10506</v>
      </c>
      <c r="N329" s="23" t="n">
        <v>45943</v>
      </c>
      <c r="O329" s="22" t="s">
        <v>10492</v>
      </c>
      <c r="P329" s="22"/>
    </row>
    <row r="330" customFormat="false" ht="15" hidden="false" customHeight="false" outlineLevel="0" collapsed="false">
      <c r="A330" s="22" t="s">
        <v>10835</v>
      </c>
      <c r="B330" s="22" t="s">
        <v>10141</v>
      </c>
      <c r="C330" s="23" t="n">
        <v>45943</v>
      </c>
      <c r="D330" s="22" t="s">
        <v>536</v>
      </c>
      <c r="E330" s="22" t="n">
        <v>128</v>
      </c>
      <c r="F330" s="22" t="s">
        <v>6869</v>
      </c>
      <c r="G330" s="22" t="s">
        <v>198</v>
      </c>
      <c r="H330" s="22" t="n">
        <v>28</v>
      </c>
      <c r="I330" s="22" t="s">
        <v>8631</v>
      </c>
      <c r="J330" s="22" t="s">
        <v>10498</v>
      </c>
      <c r="K330" s="22" t="s">
        <v>10489</v>
      </c>
      <c r="L330" s="22" t="s">
        <v>10508</v>
      </c>
      <c r="M330" s="22" t="s">
        <v>10501</v>
      </c>
      <c r="N330" s="23" t="n">
        <v>45945</v>
      </c>
      <c r="O330" s="22" t="s">
        <v>10492</v>
      </c>
      <c r="P330" s="22"/>
    </row>
    <row r="331" customFormat="false" ht="15" hidden="false" customHeight="false" outlineLevel="0" collapsed="false">
      <c r="A331" s="22" t="s">
        <v>10836</v>
      </c>
      <c r="B331" s="22" t="s">
        <v>10150</v>
      </c>
      <c r="C331" s="23" t="n">
        <v>45932</v>
      </c>
      <c r="D331" s="22" t="s">
        <v>4068</v>
      </c>
      <c r="E331" s="22" t="n">
        <v>1676</v>
      </c>
      <c r="F331" s="22" t="s">
        <v>7731</v>
      </c>
      <c r="G331" s="22" t="s">
        <v>215</v>
      </c>
      <c r="H331" s="22" t="n">
        <v>32</v>
      </c>
      <c r="I331" s="22" t="s">
        <v>8603</v>
      </c>
      <c r="J331" s="22" t="s">
        <v>10488</v>
      </c>
      <c r="K331" s="22" t="s">
        <v>10489</v>
      </c>
      <c r="L331" s="22" t="s">
        <v>10495</v>
      </c>
      <c r="M331" s="22" t="s">
        <v>10496</v>
      </c>
      <c r="N331" s="23" t="n">
        <v>45934</v>
      </c>
      <c r="O331" s="22" t="s">
        <v>10492</v>
      </c>
      <c r="P331" s="22"/>
    </row>
    <row r="332" customFormat="false" ht="15" hidden="false" customHeight="false" outlineLevel="0" collapsed="false">
      <c r="A332" s="22" t="s">
        <v>10837</v>
      </c>
      <c r="B332" s="22" t="s">
        <v>10158</v>
      </c>
      <c r="C332" s="23" t="n">
        <v>45937</v>
      </c>
      <c r="D332" s="22" t="s">
        <v>5649</v>
      </c>
      <c r="E332" s="22" t="n">
        <v>2455</v>
      </c>
      <c r="F332" s="22" t="s">
        <v>8426</v>
      </c>
      <c r="G332" s="22" t="s">
        <v>188</v>
      </c>
      <c r="H332" s="22" t="n">
        <v>32</v>
      </c>
      <c r="I332" s="22" t="s">
        <v>8603</v>
      </c>
      <c r="J332" s="22" t="s">
        <v>10488</v>
      </c>
      <c r="K332" s="22" t="s">
        <v>10489</v>
      </c>
      <c r="L332" s="22" t="s">
        <v>10508</v>
      </c>
      <c r="M332" s="22" t="s">
        <v>10496</v>
      </c>
      <c r="N332" s="23" t="n">
        <v>45941</v>
      </c>
      <c r="O332" s="22" t="s">
        <v>10492</v>
      </c>
      <c r="P332" s="22"/>
    </row>
    <row r="333" customFormat="false" ht="15" hidden="false" customHeight="false" outlineLevel="0" collapsed="false">
      <c r="A333" s="22" t="s">
        <v>10838</v>
      </c>
      <c r="B333" s="22" t="s">
        <v>10159</v>
      </c>
      <c r="C333" s="23" t="n">
        <v>45943</v>
      </c>
      <c r="D333" s="22" t="s">
        <v>4139</v>
      </c>
      <c r="E333" s="22" t="n">
        <v>1711</v>
      </c>
      <c r="F333" s="22" t="s">
        <v>6693</v>
      </c>
      <c r="G333" s="22" t="s">
        <v>198</v>
      </c>
      <c r="H333" s="22" t="n">
        <v>28</v>
      </c>
      <c r="I333" s="22" t="s">
        <v>8631</v>
      </c>
      <c r="J333" s="22" t="s">
        <v>10498</v>
      </c>
      <c r="K333" s="22" t="s">
        <v>10489</v>
      </c>
      <c r="L333" s="22" t="s">
        <v>10508</v>
      </c>
      <c r="M333" s="22" t="s">
        <v>10491</v>
      </c>
      <c r="N333" s="23" t="n">
        <v>45948</v>
      </c>
      <c r="O333" s="22" t="s">
        <v>10492</v>
      </c>
      <c r="P333" s="22"/>
    </row>
    <row r="334" customFormat="false" ht="15" hidden="false" customHeight="false" outlineLevel="0" collapsed="false">
      <c r="A334" s="22" t="s">
        <v>10839</v>
      </c>
      <c r="B334" s="22" t="s">
        <v>10162</v>
      </c>
      <c r="C334" s="23" t="n">
        <v>45943</v>
      </c>
      <c r="D334" s="22" t="s">
        <v>3605</v>
      </c>
      <c r="E334" s="22" t="n">
        <v>1448</v>
      </c>
      <c r="F334" s="22" t="s">
        <v>7145</v>
      </c>
      <c r="G334" s="22" t="s">
        <v>198</v>
      </c>
      <c r="H334" s="22" t="n">
        <v>28</v>
      </c>
      <c r="I334" s="22" t="s">
        <v>8603</v>
      </c>
      <c r="J334" s="22" t="s">
        <v>10488</v>
      </c>
      <c r="K334" s="22" t="s">
        <v>10489</v>
      </c>
      <c r="L334" s="22" t="s">
        <v>10495</v>
      </c>
      <c r="M334" s="22" t="s">
        <v>10555</v>
      </c>
      <c r="N334" s="23" t="n">
        <v>45945</v>
      </c>
      <c r="O334" s="22" t="s">
        <v>10492</v>
      </c>
      <c r="P334" s="22"/>
    </row>
    <row r="335" customFormat="false" ht="15" hidden="false" customHeight="false" outlineLevel="0" collapsed="false">
      <c r="A335" s="22" t="s">
        <v>10840</v>
      </c>
      <c r="B335" s="22" t="s">
        <v>10166</v>
      </c>
      <c r="C335" s="23" t="n">
        <v>45988</v>
      </c>
      <c r="D335" s="22" t="s">
        <v>905</v>
      </c>
      <c r="E335" s="22" t="n">
        <v>264</v>
      </c>
      <c r="F335" s="22" t="s">
        <v>8511</v>
      </c>
      <c r="G335" s="22" t="s">
        <v>188</v>
      </c>
      <c r="H335" s="22" t="n">
        <v>28</v>
      </c>
      <c r="I335" s="22" t="s">
        <v>8603</v>
      </c>
      <c r="J335" s="22" t="s">
        <v>10488</v>
      </c>
      <c r="K335" s="22" t="s">
        <v>10489</v>
      </c>
      <c r="L335" s="22" t="s">
        <v>10500</v>
      </c>
      <c r="M335" s="22" t="s">
        <v>10555</v>
      </c>
      <c r="N335" s="23" t="n">
        <v>45993</v>
      </c>
      <c r="O335" s="22" t="s">
        <v>10492</v>
      </c>
      <c r="P335" s="22"/>
    </row>
    <row r="336" customFormat="false" ht="15" hidden="false" customHeight="false" outlineLevel="0" collapsed="false">
      <c r="A336" s="22" t="s">
        <v>10841</v>
      </c>
      <c r="B336" s="22" t="s">
        <v>10171</v>
      </c>
      <c r="C336" s="23" t="n">
        <v>45978</v>
      </c>
      <c r="D336" s="22" t="s">
        <v>3512</v>
      </c>
      <c r="E336" s="22" t="n">
        <v>1404</v>
      </c>
      <c r="F336" s="22" t="s">
        <v>7340</v>
      </c>
      <c r="G336" s="22" t="s">
        <v>159</v>
      </c>
      <c r="H336" s="22" t="n">
        <v>32</v>
      </c>
      <c r="I336" s="22" t="s">
        <v>8618</v>
      </c>
      <c r="J336" s="22" t="s">
        <v>10494</v>
      </c>
      <c r="K336" s="22" t="s">
        <v>10489</v>
      </c>
      <c r="L336" s="22" t="s">
        <v>10495</v>
      </c>
      <c r="M336" s="22" t="s">
        <v>10513</v>
      </c>
      <c r="N336" s="23" t="n">
        <v>45980</v>
      </c>
      <c r="O336" s="22" t="s">
        <v>10492</v>
      </c>
      <c r="P336" s="22"/>
    </row>
    <row r="337" customFormat="false" ht="15" hidden="false" customHeight="false" outlineLevel="0" collapsed="false">
      <c r="A337" s="22" t="s">
        <v>10842</v>
      </c>
      <c r="B337" s="22" t="s">
        <v>10180</v>
      </c>
      <c r="C337" s="23" t="n">
        <v>46006</v>
      </c>
      <c r="D337" s="22" t="s">
        <v>2143</v>
      </c>
      <c r="E337" s="22" t="n">
        <v>776</v>
      </c>
      <c r="F337" s="22" t="s">
        <v>8155</v>
      </c>
      <c r="G337" s="22" t="s">
        <v>499</v>
      </c>
      <c r="H337" s="22" t="n">
        <v>32</v>
      </c>
      <c r="I337" s="22" t="s">
        <v>8618</v>
      </c>
      <c r="J337" s="22" t="s">
        <v>10494</v>
      </c>
      <c r="K337" s="22" t="s">
        <v>10489</v>
      </c>
      <c r="L337" s="22" t="s">
        <v>10508</v>
      </c>
      <c r="M337" s="22" t="s">
        <v>10496</v>
      </c>
      <c r="N337" s="23" t="n">
        <v>46008</v>
      </c>
      <c r="O337" s="22" t="s">
        <v>10492</v>
      </c>
      <c r="P337" s="22"/>
    </row>
    <row r="338" customFormat="false" ht="15" hidden="false" customHeight="false" outlineLevel="0" collapsed="false">
      <c r="A338" s="22" t="s">
        <v>10843</v>
      </c>
      <c r="B338" s="22" t="s">
        <v>10194</v>
      </c>
      <c r="C338" s="23" t="n">
        <v>46017</v>
      </c>
      <c r="D338" s="22" t="s">
        <v>4715</v>
      </c>
      <c r="E338" s="22" t="n">
        <v>1991</v>
      </c>
      <c r="F338" s="22" t="s">
        <v>8432</v>
      </c>
      <c r="G338" s="22" t="s">
        <v>188</v>
      </c>
      <c r="H338" s="22" t="n">
        <v>28</v>
      </c>
      <c r="I338" s="22" t="s">
        <v>8603</v>
      </c>
      <c r="J338" s="22" t="s">
        <v>10488</v>
      </c>
      <c r="K338" s="22" t="s">
        <v>10489</v>
      </c>
      <c r="L338" s="22" t="s">
        <v>10495</v>
      </c>
      <c r="M338" s="22" t="s">
        <v>10506</v>
      </c>
      <c r="N338" s="23" t="n">
        <v>46021</v>
      </c>
      <c r="O338" s="22" t="s">
        <v>10492</v>
      </c>
      <c r="P338" s="22"/>
    </row>
    <row r="339" customFormat="false" ht="15" hidden="false" customHeight="false" outlineLevel="0" collapsed="false">
      <c r="A339" s="22" t="s">
        <v>10844</v>
      </c>
      <c r="B339" s="22" t="s">
        <v>10196</v>
      </c>
      <c r="C339" s="23" t="n">
        <v>46035</v>
      </c>
      <c r="D339" s="22" t="s">
        <v>4755</v>
      </c>
      <c r="E339" s="22" t="n">
        <v>2011</v>
      </c>
      <c r="F339" s="22" t="s">
        <v>8533</v>
      </c>
      <c r="G339" s="22" t="s">
        <v>188</v>
      </c>
      <c r="H339" s="22" t="n">
        <v>28</v>
      </c>
      <c r="I339" s="22" t="s">
        <v>8603</v>
      </c>
      <c r="J339" s="22" t="s">
        <v>10488</v>
      </c>
      <c r="K339" s="22" t="s">
        <v>10489</v>
      </c>
      <c r="L339" s="22" t="s">
        <v>10508</v>
      </c>
      <c r="M339" s="22" t="s">
        <v>10501</v>
      </c>
      <c r="N339" s="23" t="n">
        <v>46040</v>
      </c>
      <c r="O339" s="22" t="s">
        <v>10492</v>
      </c>
      <c r="P339" s="22"/>
    </row>
    <row r="340" customFormat="false" ht="15" hidden="false" customHeight="false" outlineLevel="0" collapsed="false">
      <c r="A340" s="22" t="s">
        <v>10845</v>
      </c>
      <c r="B340" s="22" t="s">
        <v>10197</v>
      </c>
      <c r="C340" s="23" t="n">
        <v>46035</v>
      </c>
      <c r="D340" s="22" t="s">
        <v>1176</v>
      </c>
      <c r="E340" s="22" t="n">
        <v>368</v>
      </c>
      <c r="F340" s="22" t="s">
        <v>7948</v>
      </c>
      <c r="G340" s="22" t="s">
        <v>215</v>
      </c>
      <c r="H340" s="22" t="n">
        <v>45</v>
      </c>
      <c r="I340" s="22" t="s">
        <v>8637</v>
      </c>
      <c r="J340" s="22" t="s">
        <v>10503</v>
      </c>
      <c r="K340" s="22" t="s">
        <v>10489</v>
      </c>
      <c r="L340" s="22" t="s">
        <v>10500</v>
      </c>
      <c r="M340" s="22" t="s">
        <v>10511</v>
      </c>
      <c r="N340" s="23" t="n">
        <v>46037</v>
      </c>
      <c r="O340" s="22" t="s">
        <v>10492</v>
      </c>
      <c r="P340" s="22"/>
    </row>
    <row r="341" customFormat="false" ht="15" hidden="false" customHeight="false" outlineLevel="0" collapsed="false">
      <c r="A341" s="22" t="s">
        <v>10846</v>
      </c>
      <c r="B341" s="22" t="s">
        <v>10198</v>
      </c>
      <c r="C341" s="23" t="n">
        <v>46043</v>
      </c>
      <c r="D341" s="22" t="s">
        <v>1343</v>
      </c>
      <c r="E341" s="22" t="n">
        <v>435</v>
      </c>
      <c r="F341" s="22" t="s">
        <v>8232</v>
      </c>
      <c r="G341" s="22" t="s">
        <v>499</v>
      </c>
      <c r="H341" s="22" t="n">
        <v>70</v>
      </c>
      <c r="I341" s="22" t="s">
        <v>8618</v>
      </c>
      <c r="J341" s="22" t="s">
        <v>10494</v>
      </c>
      <c r="K341" s="22" t="s">
        <v>10489</v>
      </c>
      <c r="L341" s="22" t="s">
        <v>10490</v>
      </c>
      <c r="M341" s="22" t="s">
        <v>10555</v>
      </c>
      <c r="N341" s="23" t="n">
        <v>46044</v>
      </c>
      <c r="O341" s="22" t="s">
        <v>10492</v>
      </c>
      <c r="P341" s="22"/>
    </row>
    <row r="342" customFormat="false" ht="15" hidden="false" customHeight="false" outlineLevel="0" collapsed="false">
      <c r="A342" s="22" t="s">
        <v>10847</v>
      </c>
      <c r="B342" s="22" t="s">
        <v>10201</v>
      </c>
      <c r="C342" s="23" t="n">
        <v>46049</v>
      </c>
      <c r="D342" s="22" t="s">
        <v>5133</v>
      </c>
      <c r="E342" s="22" t="n">
        <v>2197</v>
      </c>
      <c r="F342" s="22" t="s">
        <v>7268</v>
      </c>
      <c r="G342" s="22" t="s">
        <v>198</v>
      </c>
      <c r="H342" s="22" t="n">
        <v>24</v>
      </c>
      <c r="I342" s="22" t="s">
        <v>8631</v>
      </c>
      <c r="J342" s="22" t="s">
        <v>10498</v>
      </c>
      <c r="K342" s="22" t="s">
        <v>10489</v>
      </c>
      <c r="L342" s="22" t="s">
        <v>10500</v>
      </c>
      <c r="M342" s="22" t="s">
        <v>10491</v>
      </c>
      <c r="N342" s="23" t="n">
        <v>46054</v>
      </c>
      <c r="O342" s="22" t="s">
        <v>10492</v>
      </c>
      <c r="P342" s="22"/>
    </row>
    <row r="343" customFormat="false" ht="15" hidden="false" customHeight="false" outlineLevel="0" collapsed="false">
      <c r="A343" s="22" t="s">
        <v>10848</v>
      </c>
      <c r="B343" s="22" t="s">
        <v>10202</v>
      </c>
      <c r="C343" s="23" t="n">
        <v>46023</v>
      </c>
      <c r="D343" s="22" t="s">
        <v>1632</v>
      </c>
      <c r="E343" s="22" t="n">
        <v>558</v>
      </c>
      <c r="F343" s="22" t="s">
        <v>7832</v>
      </c>
      <c r="G343" s="22" t="s">
        <v>215</v>
      </c>
      <c r="H343" s="22" t="n">
        <v>36</v>
      </c>
      <c r="I343" s="22" t="s">
        <v>8603</v>
      </c>
      <c r="J343" s="22" t="s">
        <v>10488</v>
      </c>
      <c r="K343" s="22" t="s">
        <v>10489</v>
      </c>
      <c r="L343" s="22" t="s">
        <v>10495</v>
      </c>
      <c r="M343" s="22" t="s">
        <v>10501</v>
      </c>
      <c r="N343" s="23" t="n">
        <v>46025</v>
      </c>
      <c r="O343" s="22" t="s">
        <v>10492</v>
      </c>
      <c r="P343" s="22"/>
    </row>
    <row r="344" customFormat="false" ht="15" hidden="false" customHeight="false" outlineLevel="0" collapsed="false">
      <c r="A344" s="22" t="s">
        <v>10849</v>
      </c>
      <c r="B344" s="22" t="s">
        <v>10203</v>
      </c>
      <c r="C344" s="23" t="n">
        <v>46023</v>
      </c>
      <c r="D344" s="22" t="s">
        <v>4842</v>
      </c>
      <c r="E344" s="22" t="n">
        <v>2054</v>
      </c>
      <c r="F344" s="22" t="s">
        <v>7376</v>
      </c>
      <c r="G344" s="22" t="s">
        <v>159</v>
      </c>
      <c r="H344" s="22" t="n">
        <v>28</v>
      </c>
      <c r="I344" s="22" t="s">
        <v>8603</v>
      </c>
      <c r="J344" s="22" t="s">
        <v>10488</v>
      </c>
      <c r="K344" s="22" t="s">
        <v>10518</v>
      </c>
      <c r="L344" s="22" t="s">
        <v>10508</v>
      </c>
      <c r="M344" s="22" t="s">
        <v>10501</v>
      </c>
      <c r="N344" s="23" t="n">
        <v>46026</v>
      </c>
      <c r="O344" s="22" t="s">
        <v>10492</v>
      </c>
      <c r="P344" s="22"/>
    </row>
    <row r="345" customFormat="false" ht="15" hidden="false" customHeight="false" outlineLevel="0" collapsed="false">
      <c r="A345" s="22" t="s">
        <v>10850</v>
      </c>
      <c r="B345" s="22" t="s">
        <v>10211</v>
      </c>
      <c r="C345" s="23" t="n">
        <v>46075</v>
      </c>
      <c r="D345" s="22" t="s">
        <v>6370</v>
      </c>
      <c r="E345" s="22" t="n">
        <v>2817</v>
      </c>
      <c r="F345" s="22" t="s">
        <v>8573</v>
      </c>
      <c r="G345" s="22" t="s">
        <v>188</v>
      </c>
      <c r="H345" s="22" t="n">
        <v>32</v>
      </c>
      <c r="I345" s="22" t="s">
        <v>8603</v>
      </c>
      <c r="J345" s="22" t="s">
        <v>10488</v>
      </c>
      <c r="K345" s="22" t="s">
        <v>10489</v>
      </c>
      <c r="L345" s="22" t="s">
        <v>10490</v>
      </c>
      <c r="M345" s="22" t="s">
        <v>10513</v>
      </c>
      <c r="N345" s="23" t="n">
        <v>46076</v>
      </c>
      <c r="O345" s="22" t="s">
        <v>10492</v>
      </c>
      <c r="P345" s="22"/>
    </row>
    <row r="346" customFormat="false" ht="15" hidden="false" customHeight="false" outlineLevel="0" collapsed="false">
      <c r="A346" s="22" t="s">
        <v>10851</v>
      </c>
      <c r="B346" s="22" t="s">
        <v>10219</v>
      </c>
      <c r="C346" s="23" t="n">
        <v>46080</v>
      </c>
      <c r="D346" s="22" t="s">
        <v>6046</v>
      </c>
      <c r="E346" s="22" t="n">
        <v>2653</v>
      </c>
      <c r="F346" s="22" t="s">
        <v>6968</v>
      </c>
      <c r="G346" s="22" t="s">
        <v>198</v>
      </c>
      <c r="H346" s="22" t="n">
        <v>28</v>
      </c>
      <c r="I346" s="22" t="s">
        <v>8603</v>
      </c>
      <c r="J346" s="22" t="s">
        <v>10488</v>
      </c>
      <c r="K346" s="22" t="s">
        <v>10489</v>
      </c>
      <c r="L346" s="22" t="s">
        <v>10508</v>
      </c>
      <c r="M346" s="22" t="s">
        <v>10513</v>
      </c>
      <c r="N346" s="23" t="n">
        <v>46082</v>
      </c>
      <c r="O346" s="22" t="s">
        <v>10492</v>
      </c>
      <c r="P346" s="22"/>
    </row>
    <row r="347" customFormat="false" ht="15" hidden="false" customHeight="false" outlineLevel="0" collapsed="false">
      <c r="A347" s="22" t="s">
        <v>10852</v>
      </c>
      <c r="B347" s="22" t="s">
        <v>10220</v>
      </c>
      <c r="C347" s="23" t="n">
        <v>46067</v>
      </c>
      <c r="D347" s="22" t="s">
        <v>1746</v>
      </c>
      <c r="E347" s="22" t="n">
        <v>605</v>
      </c>
      <c r="F347" s="22" t="s">
        <v>7638</v>
      </c>
      <c r="G347" s="22" t="s">
        <v>159</v>
      </c>
      <c r="H347" s="22" t="n">
        <v>40</v>
      </c>
      <c r="I347" s="22" t="s">
        <v>8637</v>
      </c>
      <c r="J347" s="22" t="s">
        <v>10503</v>
      </c>
      <c r="K347" s="22" t="s">
        <v>10489</v>
      </c>
      <c r="L347" s="22" t="s">
        <v>10500</v>
      </c>
      <c r="M347" s="22" t="s">
        <v>10511</v>
      </c>
      <c r="N347" s="23" t="n">
        <v>46068</v>
      </c>
      <c r="O347" s="22" t="s">
        <v>10492</v>
      </c>
      <c r="P347" s="22"/>
    </row>
    <row r="348" customFormat="false" ht="15" hidden="false" customHeight="false" outlineLevel="0" collapsed="false">
      <c r="A348" s="22" t="s">
        <v>10853</v>
      </c>
      <c r="B348" s="22" t="s">
        <v>10221</v>
      </c>
      <c r="C348" s="23" t="n">
        <v>46075</v>
      </c>
      <c r="D348" s="22" t="s">
        <v>1614</v>
      </c>
      <c r="E348" s="22" t="n">
        <v>550</v>
      </c>
      <c r="F348" s="22" t="s">
        <v>8020</v>
      </c>
      <c r="G348" s="22" t="s">
        <v>215</v>
      </c>
      <c r="H348" s="22" t="n">
        <v>24</v>
      </c>
      <c r="I348" s="22" t="s">
        <v>8603</v>
      </c>
      <c r="J348" s="22" t="s">
        <v>10488</v>
      </c>
      <c r="K348" s="22" t="s">
        <v>10489</v>
      </c>
      <c r="L348" s="22" t="s">
        <v>10508</v>
      </c>
      <c r="M348" s="22" t="s">
        <v>10511</v>
      </c>
      <c r="N348" s="23" t="n">
        <v>46078</v>
      </c>
      <c r="O348" s="22" t="s">
        <v>10492</v>
      </c>
      <c r="P348" s="22"/>
    </row>
    <row r="349" customFormat="false" ht="15" hidden="false" customHeight="false" outlineLevel="0" collapsed="false">
      <c r="A349" s="22" t="s">
        <v>10854</v>
      </c>
      <c r="B349" s="22" t="s">
        <v>10230</v>
      </c>
      <c r="C349" s="23" t="n">
        <v>46075</v>
      </c>
      <c r="D349" s="22" t="s">
        <v>4587</v>
      </c>
      <c r="E349" s="22" t="n">
        <v>1930</v>
      </c>
      <c r="F349" s="22" t="s">
        <v>7163</v>
      </c>
      <c r="G349" s="22" t="s">
        <v>198</v>
      </c>
      <c r="H349" s="22" t="n">
        <v>32</v>
      </c>
      <c r="I349" s="22" t="s">
        <v>8631</v>
      </c>
      <c r="J349" s="22" t="s">
        <v>10498</v>
      </c>
      <c r="K349" s="22" t="s">
        <v>10489</v>
      </c>
      <c r="L349" s="22" t="s">
        <v>10508</v>
      </c>
      <c r="M349" s="22" t="s">
        <v>10511</v>
      </c>
      <c r="N349" s="23" t="n">
        <v>46075</v>
      </c>
      <c r="O349" s="22" t="s">
        <v>10492</v>
      </c>
      <c r="P349" s="22"/>
    </row>
    <row r="350" customFormat="false" ht="15" hidden="false" customHeight="false" outlineLevel="0" collapsed="false">
      <c r="A350" s="22" t="s">
        <v>10855</v>
      </c>
      <c r="B350" s="22" t="s">
        <v>10231</v>
      </c>
      <c r="C350" s="23" t="n">
        <v>46060</v>
      </c>
      <c r="D350" s="22" t="s">
        <v>6368</v>
      </c>
      <c r="E350" s="22" t="n">
        <v>2816</v>
      </c>
      <c r="F350" s="22" t="s">
        <v>7936</v>
      </c>
      <c r="G350" s="22" t="s">
        <v>215</v>
      </c>
      <c r="H350" s="22" t="n">
        <v>32</v>
      </c>
      <c r="I350" s="22" t="s">
        <v>8603</v>
      </c>
      <c r="J350" s="22" t="s">
        <v>10488</v>
      </c>
      <c r="K350" s="22" t="s">
        <v>10489</v>
      </c>
      <c r="L350" s="22" t="s">
        <v>10495</v>
      </c>
      <c r="M350" s="22" t="s">
        <v>10513</v>
      </c>
      <c r="N350" s="23" t="n">
        <v>46065</v>
      </c>
      <c r="O350" s="22" t="s">
        <v>10492</v>
      </c>
      <c r="P350" s="22"/>
    </row>
    <row r="351" customFormat="false" ht="15" hidden="false" customHeight="false" outlineLevel="0" collapsed="false">
      <c r="A351" s="22" t="s">
        <v>10856</v>
      </c>
      <c r="B351" s="22" t="s">
        <v>10236</v>
      </c>
      <c r="C351" s="23" t="n">
        <v>46093</v>
      </c>
      <c r="D351" s="22" t="s">
        <v>276</v>
      </c>
      <c r="E351" s="22" t="n">
        <v>38</v>
      </c>
      <c r="F351" s="22" t="s">
        <v>8039</v>
      </c>
      <c r="G351" s="22" t="s">
        <v>499</v>
      </c>
      <c r="H351" s="22" t="n">
        <v>60</v>
      </c>
      <c r="I351" s="22" t="s">
        <v>8618</v>
      </c>
      <c r="J351" s="22" t="s">
        <v>10494</v>
      </c>
      <c r="K351" s="22" t="s">
        <v>10489</v>
      </c>
      <c r="L351" s="22" t="s">
        <v>10508</v>
      </c>
      <c r="M351" s="22" t="s">
        <v>10501</v>
      </c>
      <c r="N351" s="23" t="n">
        <v>46098</v>
      </c>
      <c r="O351" s="22" t="s">
        <v>10492</v>
      </c>
      <c r="P351" s="22"/>
    </row>
    <row r="352" customFormat="false" ht="15" hidden="false" customHeight="false" outlineLevel="0" collapsed="false">
      <c r="A352" s="22" t="s">
        <v>10857</v>
      </c>
      <c r="B352" s="22" t="s">
        <v>10251</v>
      </c>
      <c r="C352" s="23" t="n">
        <v>46096</v>
      </c>
      <c r="D352" s="22" t="s">
        <v>3309</v>
      </c>
      <c r="E352" s="22" t="n">
        <v>1306</v>
      </c>
      <c r="F352" s="22" t="s">
        <v>8523</v>
      </c>
      <c r="G352" s="22" t="s">
        <v>188</v>
      </c>
      <c r="H352" s="22" t="n">
        <v>28</v>
      </c>
      <c r="I352" s="22" t="s">
        <v>8618</v>
      </c>
      <c r="J352" s="22" t="s">
        <v>10494</v>
      </c>
      <c r="K352" s="22" t="s">
        <v>10489</v>
      </c>
      <c r="L352" s="22" t="s">
        <v>10490</v>
      </c>
      <c r="M352" s="22" t="s">
        <v>10506</v>
      </c>
      <c r="N352" s="23" t="n">
        <v>46099</v>
      </c>
      <c r="O352" s="22" t="s">
        <v>10492</v>
      </c>
      <c r="P352" s="22"/>
    </row>
    <row r="353" customFormat="false" ht="15" hidden="false" customHeight="false" outlineLevel="0" collapsed="false">
      <c r="A353" s="22" t="s">
        <v>10858</v>
      </c>
      <c r="B353" s="22" t="s">
        <v>10252</v>
      </c>
      <c r="C353" s="23" t="n">
        <v>46107</v>
      </c>
      <c r="D353" s="22" t="s">
        <v>568</v>
      </c>
      <c r="E353" s="22" t="n">
        <v>139</v>
      </c>
      <c r="F353" s="22" t="s">
        <v>8118</v>
      </c>
      <c r="G353" s="22" t="s">
        <v>499</v>
      </c>
      <c r="H353" s="22" t="n">
        <v>32</v>
      </c>
      <c r="I353" s="22" t="s">
        <v>8603</v>
      </c>
      <c r="J353" s="22" t="s">
        <v>10488</v>
      </c>
      <c r="K353" s="22" t="s">
        <v>10489</v>
      </c>
      <c r="L353" s="22" t="s">
        <v>10495</v>
      </c>
      <c r="M353" s="22" t="s">
        <v>10513</v>
      </c>
      <c r="N353" s="23" t="n">
        <v>46109</v>
      </c>
      <c r="O353" s="22" t="s">
        <v>10492</v>
      </c>
      <c r="P353" s="22"/>
    </row>
    <row r="354" customFormat="false" ht="15" hidden="false" customHeight="false" outlineLevel="0" collapsed="false">
      <c r="A354" s="22" t="s">
        <v>10859</v>
      </c>
      <c r="B354" s="22" t="s">
        <v>10253</v>
      </c>
      <c r="C354" s="23" t="n">
        <v>46094</v>
      </c>
      <c r="D354" s="22" t="s">
        <v>5298</v>
      </c>
      <c r="E354" s="22" t="n">
        <v>2279</v>
      </c>
      <c r="F354" s="22" t="s">
        <v>7988</v>
      </c>
      <c r="G354" s="22" t="s">
        <v>215</v>
      </c>
      <c r="H354" s="22" t="n">
        <v>24</v>
      </c>
      <c r="I354" s="22" t="s">
        <v>8603</v>
      </c>
      <c r="J354" s="22" t="s">
        <v>10488</v>
      </c>
      <c r="K354" s="22" t="s">
        <v>10489</v>
      </c>
      <c r="L354" s="22" t="s">
        <v>10490</v>
      </c>
      <c r="M354" s="22" t="s">
        <v>10555</v>
      </c>
      <c r="N354" s="23" t="n">
        <v>46099</v>
      </c>
      <c r="O354" s="22" t="s">
        <v>10492</v>
      </c>
      <c r="P354" s="22"/>
    </row>
    <row r="355" customFormat="false" ht="15" hidden="false" customHeight="false" outlineLevel="0" collapsed="false">
      <c r="A355" s="22" t="s">
        <v>10860</v>
      </c>
      <c r="B355" s="22" t="s">
        <v>10259</v>
      </c>
      <c r="C355" s="23" t="n">
        <v>46107</v>
      </c>
      <c r="D355" s="22" t="s">
        <v>5349</v>
      </c>
      <c r="E355" s="22" t="n">
        <v>2305</v>
      </c>
      <c r="F355" s="22" t="s">
        <v>8173</v>
      </c>
      <c r="G355" s="22" t="s">
        <v>499</v>
      </c>
      <c r="H355" s="22" t="n">
        <v>45</v>
      </c>
      <c r="I355" s="22" t="s">
        <v>8631</v>
      </c>
      <c r="J355" s="22" t="s">
        <v>10498</v>
      </c>
      <c r="K355" s="22" t="s">
        <v>10489</v>
      </c>
      <c r="L355" s="22" t="s">
        <v>10495</v>
      </c>
      <c r="M355" s="22" t="s">
        <v>10501</v>
      </c>
      <c r="N355" s="23" t="n">
        <v>46112</v>
      </c>
      <c r="O355" s="22" t="s">
        <v>10492</v>
      </c>
      <c r="P355" s="22"/>
    </row>
    <row r="356" customFormat="false" ht="15" hidden="false" customHeight="false" outlineLevel="0" collapsed="false">
      <c r="A356" s="22" t="s">
        <v>10861</v>
      </c>
      <c r="B356" s="22" t="s">
        <v>10260</v>
      </c>
      <c r="C356" s="23" t="n">
        <v>46099</v>
      </c>
      <c r="D356" s="22" t="s">
        <v>3539</v>
      </c>
      <c r="E356" s="22" t="n">
        <v>1417</v>
      </c>
      <c r="F356" s="22" t="s">
        <v>8133</v>
      </c>
      <c r="G356" s="22" t="s">
        <v>499</v>
      </c>
      <c r="H356" s="22" t="n">
        <v>80</v>
      </c>
      <c r="I356" s="22" t="s">
        <v>8631</v>
      </c>
      <c r="J356" s="22" t="s">
        <v>10498</v>
      </c>
      <c r="K356" s="22" t="s">
        <v>10489</v>
      </c>
      <c r="L356" s="22" t="s">
        <v>10508</v>
      </c>
      <c r="M356" s="22" t="s">
        <v>10496</v>
      </c>
      <c r="N356" s="23" t="n">
        <v>46101</v>
      </c>
      <c r="O356" s="22" t="s">
        <v>10492</v>
      </c>
      <c r="P356" s="22"/>
    </row>
    <row r="357" customFormat="false" ht="15" hidden="false" customHeight="false" outlineLevel="0" collapsed="false">
      <c r="A357" s="22" t="s">
        <v>10862</v>
      </c>
      <c r="B357" s="22" t="s">
        <v>10263</v>
      </c>
      <c r="C357" s="23" t="n">
        <v>46113</v>
      </c>
      <c r="D357" s="22" t="s">
        <v>408</v>
      </c>
      <c r="E357" s="22" t="n">
        <v>84</v>
      </c>
      <c r="F357" s="22" t="s">
        <v>8445</v>
      </c>
      <c r="G357" s="22" t="s">
        <v>188</v>
      </c>
      <c r="H357" s="22" t="n">
        <v>32</v>
      </c>
      <c r="I357" s="22" t="s">
        <v>8631</v>
      </c>
      <c r="J357" s="22" t="s">
        <v>10498</v>
      </c>
      <c r="K357" s="22" t="s">
        <v>10489</v>
      </c>
      <c r="L357" s="22" t="s">
        <v>10500</v>
      </c>
      <c r="M357" s="22" t="s">
        <v>10496</v>
      </c>
      <c r="N357" s="23" t="n">
        <v>46114</v>
      </c>
      <c r="O357" s="22" t="s">
        <v>10492</v>
      </c>
      <c r="P357" s="22"/>
    </row>
    <row r="358" customFormat="false" ht="15" hidden="false" customHeight="false" outlineLevel="0" collapsed="false">
      <c r="A358" s="22" t="s">
        <v>10863</v>
      </c>
      <c r="B358" s="22" t="s">
        <v>10266</v>
      </c>
      <c r="C358" s="23" t="n">
        <v>46117</v>
      </c>
      <c r="D358" s="22" t="s">
        <v>5351</v>
      </c>
      <c r="E358" s="22" t="n">
        <v>2306</v>
      </c>
      <c r="F358" s="22" t="s">
        <v>8405</v>
      </c>
      <c r="G358" s="22" t="s">
        <v>188</v>
      </c>
      <c r="H358" s="22" t="n">
        <v>32</v>
      </c>
      <c r="I358" s="22" t="s">
        <v>8631</v>
      </c>
      <c r="J358" s="22" t="s">
        <v>10498</v>
      </c>
      <c r="K358" s="22" t="s">
        <v>10489</v>
      </c>
      <c r="L358" s="22" t="s">
        <v>10500</v>
      </c>
      <c r="M358" s="22" t="s">
        <v>10504</v>
      </c>
      <c r="N358" s="23" t="n">
        <v>46122</v>
      </c>
      <c r="O358" s="22" t="s">
        <v>10492</v>
      </c>
      <c r="P358" s="22"/>
    </row>
    <row r="359" customFormat="false" ht="15" hidden="false" customHeight="false" outlineLevel="0" collapsed="false">
      <c r="A359" s="22" t="s">
        <v>10864</v>
      </c>
      <c r="B359" s="22" t="s">
        <v>10267</v>
      </c>
      <c r="C359" s="23" t="n">
        <v>46116</v>
      </c>
      <c r="D359" s="22" t="s">
        <v>957</v>
      </c>
      <c r="E359" s="22" t="n">
        <v>283</v>
      </c>
      <c r="F359" s="22" t="s">
        <v>8578</v>
      </c>
      <c r="G359" s="22" t="s">
        <v>188</v>
      </c>
      <c r="H359" s="22" t="n">
        <v>28</v>
      </c>
      <c r="I359" s="22" t="s">
        <v>8603</v>
      </c>
      <c r="J359" s="22" t="s">
        <v>10488</v>
      </c>
      <c r="K359" s="22" t="s">
        <v>10489</v>
      </c>
      <c r="L359" s="22" t="s">
        <v>10490</v>
      </c>
      <c r="M359" s="22" t="s">
        <v>10555</v>
      </c>
      <c r="N359" s="23" t="n">
        <v>46117</v>
      </c>
      <c r="O359" s="22" t="s">
        <v>10492</v>
      </c>
      <c r="P359" s="22"/>
    </row>
    <row r="360" customFormat="false" ht="15" hidden="false" customHeight="false" outlineLevel="0" collapsed="false">
      <c r="A360" s="22" t="s">
        <v>10865</v>
      </c>
      <c r="B360" s="22" t="s">
        <v>10270</v>
      </c>
      <c r="C360" s="23" t="n">
        <v>46113</v>
      </c>
      <c r="D360" s="22" t="s">
        <v>4252</v>
      </c>
      <c r="E360" s="22" t="n">
        <v>1766</v>
      </c>
      <c r="F360" s="22" t="s">
        <v>8574</v>
      </c>
      <c r="G360" s="22" t="s">
        <v>188</v>
      </c>
      <c r="H360" s="22" t="n">
        <v>36</v>
      </c>
      <c r="I360" s="22" t="s">
        <v>8618</v>
      </c>
      <c r="J360" s="22" t="s">
        <v>10494</v>
      </c>
      <c r="K360" s="22" t="s">
        <v>10489</v>
      </c>
      <c r="L360" s="22" t="s">
        <v>10490</v>
      </c>
      <c r="M360" s="22" t="s">
        <v>10516</v>
      </c>
      <c r="N360" s="23" t="n">
        <v>46117</v>
      </c>
      <c r="O360" s="22" t="s">
        <v>10492</v>
      </c>
      <c r="P360" s="22"/>
    </row>
    <row r="361" customFormat="false" ht="15" hidden="false" customHeight="false" outlineLevel="0" collapsed="false">
      <c r="A361" s="22" t="s">
        <v>10866</v>
      </c>
      <c r="B361" s="22" t="s">
        <v>10273</v>
      </c>
      <c r="C361" s="23" t="n">
        <v>46117</v>
      </c>
      <c r="D361" s="22" t="s">
        <v>4909</v>
      </c>
      <c r="E361" s="22" t="n">
        <v>2088</v>
      </c>
      <c r="F361" s="22" t="s">
        <v>8385</v>
      </c>
      <c r="G361" s="22" t="s">
        <v>188</v>
      </c>
      <c r="H361" s="22" t="n">
        <v>40</v>
      </c>
      <c r="I361" s="22" t="s">
        <v>8631</v>
      </c>
      <c r="J361" s="22" t="s">
        <v>10498</v>
      </c>
      <c r="K361" s="22" t="s">
        <v>10489</v>
      </c>
      <c r="L361" s="22" t="s">
        <v>10508</v>
      </c>
      <c r="M361" s="22" t="s">
        <v>10555</v>
      </c>
      <c r="N361" s="23" t="n">
        <v>46122</v>
      </c>
      <c r="O361" s="22" t="s">
        <v>10492</v>
      </c>
      <c r="P361" s="22"/>
    </row>
    <row r="362" customFormat="false" ht="15" hidden="false" customHeight="false" outlineLevel="0" collapsed="false">
      <c r="A362" s="22" t="s">
        <v>10867</v>
      </c>
      <c r="B362" s="22" t="s">
        <v>10275</v>
      </c>
      <c r="C362" s="23" t="n">
        <v>46124</v>
      </c>
      <c r="D362" s="22" t="s">
        <v>5014</v>
      </c>
      <c r="E362" s="22" t="n">
        <v>2139</v>
      </c>
      <c r="F362" s="22" t="s">
        <v>8193</v>
      </c>
      <c r="G362" s="22" t="s">
        <v>499</v>
      </c>
      <c r="H362" s="22" t="n">
        <v>32</v>
      </c>
      <c r="I362" s="22" t="s">
        <v>8631</v>
      </c>
      <c r="J362" s="22" t="s">
        <v>10498</v>
      </c>
      <c r="K362" s="22" t="s">
        <v>10489</v>
      </c>
      <c r="L362" s="22" t="s">
        <v>10500</v>
      </c>
      <c r="M362" s="22" t="s">
        <v>10511</v>
      </c>
      <c r="N362" s="23" t="n">
        <v>46124</v>
      </c>
      <c r="O362" s="22" t="s">
        <v>10492</v>
      </c>
      <c r="P362" s="22"/>
    </row>
    <row r="363" customFormat="false" ht="15" hidden="false" customHeight="false" outlineLevel="0" collapsed="false">
      <c r="A363" s="22" t="s">
        <v>10868</v>
      </c>
      <c r="B363" s="22" t="s">
        <v>10283</v>
      </c>
      <c r="C363" s="23" t="n">
        <v>46125</v>
      </c>
      <c r="D363" s="22" t="s">
        <v>2906</v>
      </c>
      <c r="E363" s="22" t="n">
        <v>1120</v>
      </c>
      <c r="F363" s="22" t="s">
        <v>6754</v>
      </c>
      <c r="G363" s="22" t="s">
        <v>198</v>
      </c>
      <c r="H363" s="22" t="n">
        <v>24</v>
      </c>
      <c r="I363" s="22" t="s">
        <v>8603</v>
      </c>
      <c r="J363" s="22" t="s">
        <v>10488</v>
      </c>
      <c r="K363" s="22" t="s">
        <v>10489</v>
      </c>
      <c r="L363" s="22" t="s">
        <v>10490</v>
      </c>
      <c r="M363" s="22" t="s">
        <v>10513</v>
      </c>
      <c r="N363" s="23" t="n">
        <v>46127</v>
      </c>
      <c r="O363" s="22" t="s">
        <v>10492</v>
      </c>
      <c r="P363" s="22"/>
    </row>
    <row r="364" customFormat="false" ht="15" hidden="false" customHeight="false" outlineLevel="0" collapsed="false">
      <c r="A364" s="22" t="s">
        <v>10869</v>
      </c>
      <c r="B364" s="22" t="s">
        <v>10284</v>
      </c>
      <c r="C364" s="23" t="n">
        <v>46118</v>
      </c>
      <c r="D364" s="22" t="s">
        <v>3407</v>
      </c>
      <c r="E364" s="22" t="n">
        <v>1353</v>
      </c>
      <c r="F364" s="22" t="s">
        <v>6928</v>
      </c>
      <c r="G364" s="22" t="s">
        <v>198</v>
      </c>
      <c r="H364" s="22" t="n">
        <v>24</v>
      </c>
      <c r="I364" s="22" t="s">
        <v>8637</v>
      </c>
      <c r="J364" s="22" t="s">
        <v>10503</v>
      </c>
      <c r="K364" s="22" t="s">
        <v>10489</v>
      </c>
      <c r="L364" s="22" t="s">
        <v>10490</v>
      </c>
      <c r="M364" s="22" t="s">
        <v>10496</v>
      </c>
      <c r="N364" s="23" t="n">
        <v>46120</v>
      </c>
      <c r="O364" s="22" t="s">
        <v>10492</v>
      </c>
      <c r="P364" s="22"/>
    </row>
    <row r="365" customFormat="false" ht="15" hidden="false" customHeight="false" outlineLevel="0" collapsed="false">
      <c r="A365" s="22" t="s">
        <v>10870</v>
      </c>
      <c r="B365" s="22" t="s">
        <v>10285</v>
      </c>
      <c r="C365" s="23" t="n">
        <v>46131</v>
      </c>
      <c r="D365" s="22" t="s">
        <v>3718</v>
      </c>
      <c r="E365" s="22" t="n">
        <v>1504</v>
      </c>
      <c r="F365" s="22" t="s">
        <v>8342</v>
      </c>
      <c r="G365" s="22" t="s">
        <v>188</v>
      </c>
      <c r="H365" s="22" t="n">
        <v>50</v>
      </c>
      <c r="I365" s="22" t="s">
        <v>8618</v>
      </c>
      <c r="J365" s="22" t="s">
        <v>10494</v>
      </c>
      <c r="K365" s="22" t="s">
        <v>10489</v>
      </c>
      <c r="L365" s="22" t="s">
        <v>10490</v>
      </c>
      <c r="M365" s="22" t="s">
        <v>10504</v>
      </c>
      <c r="N365" s="23" t="n">
        <v>46132</v>
      </c>
      <c r="O365" s="22" t="s">
        <v>10492</v>
      </c>
      <c r="P365" s="22"/>
    </row>
    <row r="366" customFormat="false" ht="15" hidden="false" customHeight="false" outlineLevel="0" collapsed="false">
      <c r="A366" s="22" t="s">
        <v>10871</v>
      </c>
      <c r="B366" s="22" t="s">
        <v>10286</v>
      </c>
      <c r="C366" s="23" t="n">
        <v>46129</v>
      </c>
      <c r="D366" s="22" t="s">
        <v>4129</v>
      </c>
      <c r="E366" s="22" t="n">
        <v>1706</v>
      </c>
      <c r="F366" s="22" t="s">
        <v>8178</v>
      </c>
      <c r="G366" s="22" t="s">
        <v>499</v>
      </c>
      <c r="H366" s="22" t="n">
        <v>32</v>
      </c>
      <c r="I366" s="22" t="s">
        <v>8618</v>
      </c>
      <c r="J366" s="22" t="s">
        <v>10494</v>
      </c>
      <c r="K366" s="22" t="s">
        <v>10489</v>
      </c>
      <c r="L366" s="22" t="s">
        <v>10500</v>
      </c>
      <c r="M366" s="22" t="s">
        <v>10504</v>
      </c>
      <c r="N366" s="23" t="n">
        <v>46134</v>
      </c>
      <c r="O366" s="22" t="s">
        <v>10492</v>
      </c>
      <c r="P366" s="22"/>
    </row>
    <row r="367" customFormat="false" ht="15" hidden="false" customHeight="false" outlineLevel="0" collapsed="false">
      <c r="A367" s="22" t="s">
        <v>10872</v>
      </c>
      <c r="B367" s="22" t="s">
        <v>10287</v>
      </c>
      <c r="C367" s="23" t="n">
        <v>46114</v>
      </c>
      <c r="D367" s="22" t="s">
        <v>970</v>
      </c>
      <c r="E367" s="22" t="n">
        <v>288</v>
      </c>
      <c r="F367" s="22" t="s">
        <v>7644</v>
      </c>
      <c r="G367" s="22" t="s">
        <v>159</v>
      </c>
      <c r="H367" s="22" t="n">
        <v>24</v>
      </c>
      <c r="I367" s="22" t="s">
        <v>8631</v>
      </c>
      <c r="J367" s="22" t="s">
        <v>10498</v>
      </c>
      <c r="K367" s="22" t="s">
        <v>10489</v>
      </c>
      <c r="L367" s="22" t="s">
        <v>10490</v>
      </c>
      <c r="M367" s="22" t="s">
        <v>10513</v>
      </c>
      <c r="N367" s="23" t="n">
        <v>46116</v>
      </c>
      <c r="O367" s="22" t="s">
        <v>10492</v>
      </c>
      <c r="P367" s="22"/>
    </row>
    <row r="368" customFormat="false" ht="15" hidden="false" customHeight="false" outlineLevel="0" collapsed="false">
      <c r="A368" s="22" t="s">
        <v>10873</v>
      </c>
      <c r="B368" s="22" t="s">
        <v>10289</v>
      </c>
      <c r="C368" s="23" t="n">
        <v>46119</v>
      </c>
      <c r="D368" s="22" t="s">
        <v>3992</v>
      </c>
      <c r="E368" s="22" t="n">
        <v>1639</v>
      </c>
      <c r="F368" s="22" t="s">
        <v>7249</v>
      </c>
      <c r="G368" s="22" t="s">
        <v>198</v>
      </c>
      <c r="H368" s="22" t="n">
        <v>28</v>
      </c>
      <c r="I368" s="22" t="s">
        <v>8603</v>
      </c>
      <c r="J368" s="22" t="s">
        <v>10488</v>
      </c>
      <c r="K368" s="22" t="s">
        <v>10489</v>
      </c>
      <c r="L368" s="22" t="s">
        <v>10500</v>
      </c>
      <c r="M368" s="22" t="s">
        <v>10555</v>
      </c>
      <c r="N368" s="23" t="n">
        <v>46122</v>
      </c>
      <c r="O368" s="22" t="s">
        <v>10492</v>
      </c>
      <c r="P368" s="22"/>
    </row>
    <row r="369" customFormat="false" ht="15" hidden="false" customHeight="false" outlineLevel="0" collapsed="false">
      <c r="A369" s="22" t="s">
        <v>10874</v>
      </c>
      <c r="B369" s="22" t="s">
        <v>10300</v>
      </c>
      <c r="C369" s="23" t="n">
        <v>46151</v>
      </c>
      <c r="D369" s="22" t="s">
        <v>6247</v>
      </c>
      <c r="E369" s="22" t="n">
        <v>2754</v>
      </c>
      <c r="F369" s="22" t="s">
        <v>7182</v>
      </c>
      <c r="G369" s="22" t="s">
        <v>198</v>
      </c>
      <c r="H369" s="22" t="n">
        <v>24</v>
      </c>
      <c r="I369" s="22" t="s">
        <v>8618</v>
      </c>
      <c r="J369" s="22" t="s">
        <v>10494</v>
      </c>
      <c r="K369" s="22" t="s">
        <v>10489</v>
      </c>
      <c r="L369" s="22" t="s">
        <v>10490</v>
      </c>
      <c r="M369" s="22" t="s">
        <v>10504</v>
      </c>
      <c r="N369" s="23" t="n">
        <v>46151</v>
      </c>
      <c r="O369" s="22" t="s">
        <v>10492</v>
      </c>
      <c r="P369" s="22"/>
    </row>
    <row r="370" customFormat="false" ht="15" hidden="false" customHeight="false" outlineLevel="0" collapsed="false">
      <c r="A370" s="22" t="s">
        <v>10875</v>
      </c>
      <c r="B370" s="22" t="s">
        <v>10303</v>
      </c>
      <c r="C370" s="23" t="n">
        <v>46148</v>
      </c>
      <c r="D370" s="22" t="s">
        <v>750</v>
      </c>
      <c r="E370" s="22" t="n">
        <v>205</v>
      </c>
      <c r="F370" s="22" t="s">
        <v>8218</v>
      </c>
      <c r="G370" s="22" t="s">
        <v>499</v>
      </c>
      <c r="H370" s="22" t="n">
        <v>70</v>
      </c>
      <c r="I370" s="22" t="s">
        <v>8637</v>
      </c>
      <c r="J370" s="22" t="s">
        <v>10503</v>
      </c>
      <c r="K370" s="22" t="s">
        <v>10489</v>
      </c>
      <c r="L370" s="22" t="s">
        <v>10495</v>
      </c>
      <c r="M370" s="22" t="s">
        <v>10513</v>
      </c>
      <c r="N370" s="23" t="n">
        <v>46151</v>
      </c>
      <c r="O370" s="22" t="s">
        <v>10492</v>
      </c>
      <c r="P370" s="22"/>
    </row>
    <row r="371" customFormat="false" ht="15" hidden="false" customHeight="false" outlineLevel="0" collapsed="false">
      <c r="A371" s="22" t="s">
        <v>10876</v>
      </c>
      <c r="B371" s="22" t="s">
        <v>10304</v>
      </c>
      <c r="C371" s="23" t="n">
        <v>46160</v>
      </c>
      <c r="D371" s="22" t="s">
        <v>5952</v>
      </c>
      <c r="E371" s="22" t="n">
        <v>2607</v>
      </c>
      <c r="F371" s="22" t="s">
        <v>7257</v>
      </c>
      <c r="G371" s="22" t="s">
        <v>198</v>
      </c>
      <c r="H371" s="22" t="n">
        <v>36</v>
      </c>
      <c r="I371" s="22" t="s">
        <v>8618</v>
      </c>
      <c r="J371" s="22" t="s">
        <v>10494</v>
      </c>
      <c r="K371" s="22" t="s">
        <v>10489</v>
      </c>
      <c r="L371" s="22" t="s">
        <v>10508</v>
      </c>
      <c r="M371" s="22" t="s">
        <v>10506</v>
      </c>
      <c r="N371" s="23" t="n">
        <v>46163</v>
      </c>
      <c r="O371" s="22" t="s">
        <v>10492</v>
      </c>
      <c r="P371" s="22"/>
    </row>
    <row r="372" customFormat="false" ht="15" hidden="false" customHeight="false" outlineLevel="0" collapsed="false">
      <c r="A372" s="22" t="s">
        <v>10877</v>
      </c>
      <c r="B372" s="22" t="s">
        <v>10307</v>
      </c>
      <c r="C372" s="23" t="n">
        <v>46150</v>
      </c>
      <c r="D372" s="22" t="s">
        <v>6526</v>
      </c>
      <c r="E372" s="22" t="n">
        <v>2896</v>
      </c>
      <c r="F372" s="22" t="s">
        <v>6708</v>
      </c>
      <c r="G372" s="22" t="s">
        <v>198</v>
      </c>
      <c r="H372" s="22" t="n">
        <v>28</v>
      </c>
      <c r="I372" s="22" t="s">
        <v>8603</v>
      </c>
      <c r="J372" s="22" t="s">
        <v>10488</v>
      </c>
      <c r="K372" s="22" t="s">
        <v>10518</v>
      </c>
      <c r="L372" s="22" t="s">
        <v>10495</v>
      </c>
      <c r="M372" s="22" t="s">
        <v>10504</v>
      </c>
      <c r="N372" s="23" t="n">
        <v>46150</v>
      </c>
      <c r="O372" s="22" t="s">
        <v>10492</v>
      </c>
      <c r="P372" s="22"/>
    </row>
    <row r="373" customFormat="false" ht="15" hidden="false" customHeight="false" outlineLevel="0" collapsed="false">
      <c r="A373" s="22" t="s">
        <v>10878</v>
      </c>
      <c r="B373" s="22" t="s">
        <v>10312</v>
      </c>
      <c r="C373" s="23" t="n">
        <v>46166</v>
      </c>
      <c r="D373" s="22" t="s">
        <v>5233</v>
      </c>
      <c r="E373" s="22" t="n">
        <v>2247</v>
      </c>
      <c r="F373" s="22" t="s">
        <v>7644</v>
      </c>
      <c r="G373" s="22" t="s">
        <v>159</v>
      </c>
      <c r="H373" s="22" t="n">
        <v>24</v>
      </c>
      <c r="I373" s="22" t="s">
        <v>8603</v>
      </c>
      <c r="J373" s="22" t="s">
        <v>10488</v>
      </c>
      <c r="K373" s="22" t="s">
        <v>10489</v>
      </c>
      <c r="L373" s="22" t="s">
        <v>10508</v>
      </c>
      <c r="M373" s="22" t="s">
        <v>10496</v>
      </c>
      <c r="N373" s="23" t="n">
        <v>46171</v>
      </c>
      <c r="O373" s="22" t="s">
        <v>10492</v>
      </c>
      <c r="P373" s="22"/>
    </row>
    <row r="374" customFormat="false" ht="15" hidden="false" customHeight="false" outlineLevel="0" collapsed="false">
      <c r="A374" s="22" t="s">
        <v>10879</v>
      </c>
      <c r="B374" s="22" t="s">
        <v>10323</v>
      </c>
      <c r="C374" s="23" t="n">
        <v>46144</v>
      </c>
      <c r="D374" s="22" t="s">
        <v>4058</v>
      </c>
      <c r="E374" s="22" t="n">
        <v>1671</v>
      </c>
      <c r="F374" s="22" t="s">
        <v>7234</v>
      </c>
      <c r="G374" s="22" t="s">
        <v>198</v>
      </c>
      <c r="H374" s="22" t="n">
        <v>32</v>
      </c>
      <c r="I374" s="22" t="s">
        <v>8603</v>
      </c>
      <c r="J374" s="22" t="s">
        <v>10488</v>
      </c>
      <c r="K374" s="22" t="s">
        <v>10489</v>
      </c>
      <c r="L374" s="22" t="s">
        <v>10500</v>
      </c>
      <c r="M374" s="22" t="s">
        <v>10555</v>
      </c>
      <c r="N374" s="23" t="n">
        <v>46145</v>
      </c>
      <c r="O374" s="22" t="s">
        <v>10492</v>
      </c>
      <c r="P374" s="22"/>
    </row>
    <row r="375" customFormat="false" ht="15" hidden="false" customHeight="false" outlineLevel="0" collapsed="false">
      <c r="A375" s="22" t="s">
        <v>10880</v>
      </c>
      <c r="B375" s="22" t="s">
        <v>10328</v>
      </c>
      <c r="C375" s="23" t="n">
        <v>46153</v>
      </c>
      <c r="D375" s="22" t="s">
        <v>1269</v>
      </c>
      <c r="E375" s="22" t="n">
        <v>404</v>
      </c>
      <c r="F375" s="22" t="s">
        <v>7530</v>
      </c>
      <c r="G375" s="22" t="s">
        <v>159</v>
      </c>
      <c r="H375" s="22" t="n">
        <v>24</v>
      </c>
      <c r="I375" s="22" t="s">
        <v>8618</v>
      </c>
      <c r="J375" s="22" t="s">
        <v>10494</v>
      </c>
      <c r="K375" s="22" t="s">
        <v>10489</v>
      </c>
      <c r="L375" s="22" t="s">
        <v>10490</v>
      </c>
      <c r="M375" s="22" t="s">
        <v>10491</v>
      </c>
      <c r="N375" s="23" t="n">
        <v>46157</v>
      </c>
      <c r="O375" s="22" t="s">
        <v>10492</v>
      </c>
      <c r="P375" s="22"/>
    </row>
    <row r="376" customFormat="false" ht="15" hidden="false" customHeight="false" outlineLevel="0" collapsed="false">
      <c r="A376" s="22" t="s">
        <v>10881</v>
      </c>
      <c r="B376" s="22" t="s">
        <v>10332</v>
      </c>
      <c r="C376" s="23" t="n">
        <v>46160</v>
      </c>
      <c r="D376" s="22" t="s">
        <v>999</v>
      </c>
      <c r="E376" s="22" t="n">
        <v>299</v>
      </c>
      <c r="F376" s="22" t="s">
        <v>8270</v>
      </c>
      <c r="G376" s="22" t="s">
        <v>499</v>
      </c>
      <c r="H376" s="22" t="n">
        <v>70</v>
      </c>
      <c r="I376" s="22" t="s">
        <v>8618</v>
      </c>
      <c r="J376" s="22" t="s">
        <v>10494</v>
      </c>
      <c r="K376" s="22" t="s">
        <v>10489</v>
      </c>
      <c r="L376" s="22" t="s">
        <v>10508</v>
      </c>
      <c r="M376" s="22" t="s">
        <v>10516</v>
      </c>
      <c r="N376" s="23" t="n">
        <v>46161</v>
      </c>
      <c r="O376" s="22" t="s">
        <v>10492</v>
      </c>
      <c r="P376" s="22"/>
    </row>
    <row r="377" customFormat="false" ht="15" hidden="false" customHeight="false" outlineLevel="0" collapsed="false">
      <c r="A377" s="22" t="s">
        <v>10882</v>
      </c>
      <c r="B377" s="22" t="s">
        <v>10335</v>
      </c>
      <c r="C377" s="23" t="n">
        <v>46144</v>
      </c>
      <c r="D377" s="22" t="s">
        <v>5040</v>
      </c>
      <c r="E377" s="22" t="n">
        <v>2152</v>
      </c>
      <c r="F377" s="22" t="s">
        <v>6588</v>
      </c>
      <c r="G377" s="22" t="s">
        <v>198</v>
      </c>
      <c r="H377" s="22" t="n">
        <v>24</v>
      </c>
      <c r="I377" s="22" t="s">
        <v>8637</v>
      </c>
      <c r="J377" s="22" t="s">
        <v>10503</v>
      </c>
      <c r="K377" s="22" t="s">
        <v>10489</v>
      </c>
      <c r="L377" s="22" t="s">
        <v>10508</v>
      </c>
      <c r="M377" s="22" t="s">
        <v>10501</v>
      </c>
      <c r="N377" s="23" t="n">
        <v>46145</v>
      </c>
      <c r="O377" s="22" t="s">
        <v>10492</v>
      </c>
      <c r="P377" s="22"/>
    </row>
    <row r="378" customFormat="false" ht="15" hidden="false" customHeight="false" outlineLevel="0" collapsed="false">
      <c r="A378" s="22" t="s">
        <v>10883</v>
      </c>
      <c r="B378" s="22" t="s">
        <v>10336</v>
      </c>
      <c r="C378" s="23" t="n">
        <v>46156</v>
      </c>
      <c r="D378" s="22" t="s">
        <v>881</v>
      </c>
      <c r="E378" s="22" t="n">
        <v>255</v>
      </c>
      <c r="F378" s="22" t="s">
        <v>7865</v>
      </c>
      <c r="G378" s="22" t="s">
        <v>215</v>
      </c>
      <c r="H378" s="22" t="n">
        <v>36</v>
      </c>
      <c r="I378" s="22" t="s">
        <v>8618</v>
      </c>
      <c r="J378" s="22" t="s">
        <v>10494</v>
      </c>
      <c r="K378" s="22" t="s">
        <v>10489</v>
      </c>
      <c r="L378" s="22" t="s">
        <v>10495</v>
      </c>
      <c r="M378" s="22" t="s">
        <v>10506</v>
      </c>
      <c r="N378" s="23" t="n">
        <v>46160</v>
      </c>
      <c r="O378" s="22" t="s">
        <v>10492</v>
      </c>
      <c r="P378" s="22"/>
    </row>
    <row r="379" customFormat="false" ht="15" hidden="false" customHeight="false" outlineLevel="0" collapsed="false">
      <c r="A379" s="22" t="s">
        <v>10884</v>
      </c>
      <c r="B379" s="22" t="s">
        <v>10340</v>
      </c>
      <c r="C379" s="23" t="n">
        <v>46152</v>
      </c>
      <c r="D379" s="22" t="s">
        <v>481</v>
      </c>
      <c r="E379" s="22" t="n">
        <v>109</v>
      </c>
      <c r="F379" s="22" t="s">
        <v>7112</v>
      </c>
      <c r="G379" s="22" t="s">
        <v>198</v>
      </c>
      <c r="H379" s="22" t="n">
        <v>32</v>
      </c>
      <c r="I379" s="22" t="s">
        <v>8637</v>
      </c>
      <c r="J379" s="22" t="s">
        <v>10503</v>
      </c>
      <c r="K379" s="22" t="s">
        <v>10489</v>
      </c>
      <c r="L379" s="22" t="s">
        <v>10500</v>
      </c>
      <c r="M379" s="22" t="s">
        <v>10491</v>
      </c>
      <c r="N379" s="23" t="n">
        <v>46153</v>
      </c>
      <c r="O379" s="22" t="s">
        <v>10492</v>
      </c>
      <c r="P379" s="22"/>
    </row>
    <row r="380" customFormat="false" ht="15" hidden="false" customHeight="false" outlineLevel="0" collapsed="false">
      <c r="A380" s="22" t="s">
        <v>10885</v>
      </c>
      <c r="B380" s="22" t="s">
        <v>10343</v>
      </c>
      <c r="C380" s="23" t="n">
        <v>46175</v>
      </c>
      <c r="D380" s="22" t="s">
        <v>3329</v>
      </c>
      <c r="E380" s="22" t="n">
        <v>1315</v>
      </c>
      <c r="F380" s="22" t="s">
        <v>8399</v>
      </c>
      <c r="G380" s="22" t="s">
        <v>188</v>
      </c>
      <c r="H380" s="22" t="n">
        <v>28</v>
      </c>
      <c r="I380" s="22" t="s">
        <v>8618</v>
      </c>
      <c r="J380" s="22" t="s">
        <v>10494</v>
      </c>
      <c r="K380" s="22" t="s">
        <v>10489</v>
      </c>
      <c r="L380" s="22" t="s">
        <v>10490</v>
      </c>
      <c r="M380" s="22" t="s">
        <v>10511</v>
      </c>
      <c r="N380" s="23" t="n">
        <v>46175</v>
      </c>
      <c r="O380" s="22" t="s">
        <v>10492</v>
      </c>
      <c r="P380" s="22"/>
    </row>
    <row r="381" customFormat="false" ht="15" hidden="false" customHeight="false" outlineLevel="0" collapsed="false">
      <c r="A381" s="22" t="s">
        <v>10886</v>
      </c>
      <c r="B381" s="22" t="s">
        <v>10350</v>
      </c>
      <c r="C381" s="23" t="n">
        <v>46194</v>
      </c>
      <c r="D381" s="22" t="s">
        <v>4891</v>
      </c>
      <c r="E381" s="22" t="n">
        <v>2078</v>
      </c>
      <c r="F381" s="22" t="s">
        <v>7449</v>
      </c>
      <c r="G381" s="22" t="s">
        <v>159</v>
      </c>
      <c r="H381" s="22" t="n">
        <v>24</v>
      </c>
      <c r="I381" s="22" t="s">
        <v>8631</v>
      </c>
      <c r="J381" s="22" t="s">
        <v>10498</v>
      </c>
      <c r="K381" s="22" t="s">
        <v>10489</v>
      </c>
      <c r="L381" s="22" t="s">
        <v>10500</v>
      </c>
      <c r="M381" s="22" t="s">
        <v>10513</v>
      </c>
      <c r="N381" s="23" t="n">
        <v>46197</v>
      </c>
      <c r="O381" s="22" t="s">
        <v>10492</v>
      </c>
      <c r="P381" s="22"/>
    </row>
    <row r="382" customFormat="false" ht="15" hidden="false" customHeight="false" outlineLevel="0" collapsed="false">
      <c r="A382" s="22" t="s">
        <v>10887</v>
      </c>
      <c r="B382" s="22" t="s">
        <v>10359</v>
      </c>
      <c r="C382" s="23" t="n">
        <v>46182</v>
      </c>
      <c r="D382" s="22" t="s">
        <v>2536</v>
      </c>
      <c r="E382" s="22" t="n">
        <v>954</v>
      </c>
      <c r="F382" s="22" t="s">
        <v>8442</v>
      </c>
      <c r="G382" s="22" t="s">
        <v>188</v>
      </c>
      <c r="H382" s="22" t="n">
        <v>28</v>
      </c>
      <c r="I382" s="22" t="s">
        <v>8637</v>
      </c>
      <c r="J382" s="22" t="s">
        <v>10503</v>
      </c>
      <c r="K382" s="22" t="s">
        <v>10489</v>
      </c>
      <c r="L382" s="22" t="s">
        <v>10508</v>
      </c>
      <c r="M382" s="22" t="s">
        <v>10513</v>
      </c>
      <c r="N382" s="23" t="n">
        <v>46183</v>
      </c>
      <c r="O382" s="22" t="s">
        <v>10492</v>
      </c>
      <c r="P382" s="22"/>
    </row>
    <row r="383" customFormat="false" ht="15" hidden="false" customHeight="false" outlineLevel="0" collapsed="false">
      <c r="A383" s="22" t="s">
        <v>10888</v>
      </c>
      <c r="B383" s="22" t="s">
        <v>10360</v>
      </c>
      <c r="C383" s="23" t="n">
        <v>46201</v>
      </c>
      <c r="D383" s="22" t="s">
        <v>2857</v>
      </c>
      <c r="E383" s="22" t="n">
        <v>1098</v>
      </c>
      <c r="F383" s="22" t="s">
        <v>7550</v>
      </c>
      <c r="G383" s="22" t="s">
        <v>159</v>
      </c>
      <c r="H383" s="22" t="n">
        <v>28</v>
      </c>
      <c r="I383" s="22" t="s">
        <v>8603</v>
      </c>
      <c r="J383" s="22" t="s">
        <v>10488</v>
      </c>
      <c r="K383" s="22" t="s">
        <v>10489</v>
      </c>
      <c r="L383" s="22" t="s">
        <v>10495</v>
      </c>
      <c r="M383" s="22" t="s">
        <v>10491</v>
      </c>
      <c r="N383" s="23" t="n">
        <v>46201</v>
      </c>
      <c r="O383" s="22" t="s">
        <v>10492</v>
      </c>
      <c r="P383" s="22"/>
    </row>
    <row r="384" customFormat="false" ht="15" hidden="false" customHeight="false" outlineLevel="0" collapsed="false">
      <c r="A384" s="22" t="s">
        <v>10889</v>
      </c>
      <c r="B384" s="22" t="s">
        <v>10361</v>
      </c>
      <c r="C384" s="23" t="n">
        <v>46193</v>
      </c>
      <c r="D384" s="22" t="s">
        <v>883</v>
      </c>
      <c r="E384" s="22" t="n">
        <v>256</v>
      </c>
      <c r="F384" s="22" t="s">
        <v>7252</v>
      </c>
      <c r="G384" s="22" t="s">
        <v>198</v>
      </c>
      <c r="H384" s="22" t="n">
        <v>32</v>
      </c>
      <c r="I384" s="22" t="s">
        <v>8618</v>
      </c>
      <c r="J384" s="22" t="s">
        <v>10494</v>
      </c>
      <c r="K384" s="22" t="s">
        <v>10489</v>
      </c>
      <c r="L384" s="22" t="s">
        <v>10500</v>
      </c>
      <c r="M384" s="22" t="s">
        <v>10501</v>
      </c>
      <c r="N384" s="23" t="n">
        <v>46197</v>
      </c>
      <c r="O384" s="22" t="s">
        <v>10492</v>
      </c>
      <c r="P384" s="22"/>
    </row>
    <row r="385" customFormat="false" ht="15" hidden="false" customHeight="false" outlineLevel="0" collapsed="false">
      <c r="A385" s="22" t="s">
        <v>10890</v>
      </c>
      <c r="B385" s="22" t="s">
        <v>10364</v>
      </c>
      <c r="C385" s="23" t="n">
        <v>46195</v>
      </c>
      <c r="D385" s="22" t="s">
        <v>2495</v>
      </c>
      <c r="E385" s="22" t="n">
        <v>936</v>
      </c>
      <c r="F385" s="22" t="s">
        <v>7475</v>
      </c>
      <c r="G385" s="22" t="s">
        <v>159</v>
      </c>
      <c r="H385" s="22" t="n">
        <v>40</v>
      </c>
      <c r="I385" s="22" t="s">
        <v>8618</v>
      </c>
      <c r="J385" s="22" t="s">
        <v>10494</v>
      </c>
      <c r="K385" s="22" t="s">
        <v>10518</v>
      </c>
      <c r="L385" s="22" t="s">
        <v>10495</v>
      </c>
      <c r="M385" s="22" t="s">
        <v>10511</v>
      </c>
      <c r="N385" s="23" t="n">
        <v>46200</v>
      </c>
      <c r="O385" s="22" t="s">
        <v>10492</v>
      </c>
      <c r="P385" s="22"/>
    </row>
    <row r="386" customFormat="false" ht="15" hidden="false" customHeight="false" outlineLevel="0" collapsed="false">
      <c r="A386" s="22" t="s">
        <v>10891</v>
      </c>
      <c r="B386" s="22" t="s">
        <v>10365</v>
      </c>
      <c r="C386" s="23" t="n">
        <v>46198</v>
      </c>
      <c r="D386" s="22" t="s">
        <v>6121</v>
      </c>
      <c r="E386" s="22" t="n">
        <v>2690</v>
      </c>
      <c r="F386" s="22" t="s">
        <v>7399</v>
      </c>
      <c r="G386" s="22" t="s">
        <v>159</v>
      </c>
      <c r="H386" s="22" t="n">
        <v>24</v>
      </c>
      <c r="I386" s="22" t="s">
        <v>8603</v>
      </c>
      <c r="J386" s="22" t="s">
        <v>10488</v>
      </c>
      <c r="K386" s="22" t="s">
        <v>10489</v>
      </c>
      <c r="L386" s="22" t="s">
        <v>10495</v>
      </c>
      <c r="M386" s="22" t="s">
        <v>10506</v>
      </c>
      <c r="N386" s="23" t="n">
        <v>46200</v>
      </c>
      <c r="O386" s="22" t="s">
        <v>10492</v>
      </c>
      <c r="P386" s="22"/>
    </row>
    <row r="387" customFormat="false" ht="15" hidden="false" customHeight="false" outlineLevel="0" collapsed="false">
      <c r="A387" s="22" t="s">
        <v>10892</v>
      </c>
      <c r="B387" s="22" t="s">
        <v>10373</v>
      </c>
      <c r="C387" s="23" t="n">
        <v>46176</v>
      </c>
      <c r="D387" s="22" t="s">
        <v>6313</v>
      </c>
      <c r="E387" s="22" t="n">
        <v>2787</v>
      </c>
      <c r="F387" s="22" t="s">
        <v>8085</v>
      </c>
      <c r="G387" s="22" t="s">
        <v>499</v>
      </c>
      <c r="H387" s="22" t="n">
        <v>24</v>
      </c>
      <c r="I387" s="22" t="s">
        <v>8631</v>
      </c>
      <c r="J387" s="22" t="s">
        <v>10498</v>
      </c>
      <c r="K387" s="22" t="s">
        <v>10489</v>
      </c>
      <c r="L387" s="22" t="s">
        <v>10500</v>
      </c>
      <c r="M387" s="22" t="s">
        <v>10516</v>
      </c>
      <c r="N387" s="23" t="n">
        <v>46181</v>
      </c>
      <c r="O387" s="22" t="s">
        <v>10492</v>
      </c>
      <c r="P387" s="22"/>
    </row>
    <row r="388" customFormat="false" ht="15" hidden="false" customHeight="false" outlineLevel="0" collapsed="false">
      <c r="A388" s="22" t="s">
        <v>10893</v>
      </c>
      <c r="B388" s="22" t="s">
        <v>10374</v>
      </c>
      <c r="C388" s="23" t="n">
        <v>46198</v>
      </c>
      <c r="D388" s="22" t="s">
        <v>2295</v>
      </c>
      <c r="E388" s="22" t="n">
        <v>843</v>
      </c>
      <c r="F388" s="22" t="s">
        <v>7427</v>
      </c>
      <c r="G388" s="22" t="s">
        <v>159</v>
      </c>
      <c r="H388" s="22" t="n">
        <v>36</v>
      </c>
      <c r="I388" s="22" t="s">
        <v>8618</v>
      </c>
      <c r="J388" s="22" t="s">
        <v>10494</v>
      </c>
      <c r="K388" s="22" t="s">
        <v>10489</v>
      </c>
      <c r="L388" s="22" t="s">
        <v>10500</v>
      </c>
      <c r="M388" s="22" t="s">
        <v>10513</v>
      </c>
      <c r="N388" s="23" t="n">
        <v>46199</v>
      </c>
      <c r="O388" s="22" t="s">
        <v>10492</v>
      </c>
      <c r="P388" s="22"/>
    </row>
    <row r="389" customFormat="false" ht="15" hidden="false" customHeight="false" outlineLevel="0" collapsed="false">
      <c r="A389" s="22" t="s">
        <v>10894</v>
      </c>
      <c r="B389" s="22" t="s">
        <v>10375</v>
      </c>
      <c r="C389" s="23" t="n">
        <v>46177</v>
      </c>
      <c r="D389" s="22" t="s">
        <v>2600</v>
      </c>
      <c r="E389" s="22" t="n">
        <v>982</v>
      </c>
      <c r="F389" s="22" t="s">
        <v>8107</v>
      </c>
      <c r="G389" s="22" t="s">
        <v>499</v>
      </c>
      <c r="H389" s="22" t="n">
        <v>80</v>
      </c>
      <c r="I389" s="22" t="s">
        <v>8603</v>
      </c>
      <c r="J389" s="22" t="s">
        <v>10488</v>
      </c>
      <c r="K389" s="22" t="s">
        <v>10489</v>
      </c>
      <c r="L389" s="22" t="s">
        <v>10508</v>
      </c>
      <c r="M389" s="22" t="s">
        <v>10511</v>
      </c>
      <c r="N389" s="23" t="n">
        <v>46181</v>
      </c>
      <c r="O389" s="22" t="s">
        <v>10492</v>
      </c>
      <c r="P389" s="22"/>
    </row>
    <row r="390" customFormat="false" ht="15" hidden="false" customHeight="false" outlineLevel="0" collapsed="false">
      <c r="A390" s="22" t="s">
        <v>10895</v>
      </c>
      <c r="B390" s="22" t="s">
        <v>10385</v>
      </c>
      <c r="C390" s="23" t="n">
        <v>46220</v>
      </c>
      <c r="D390" s="22" t="s">
        <v>2670</v>
      </c>
      <c r="E390" s="22" t="n">
        <v>1013</v>
      </c>
      <c r="F390" s="22" t="s">
        <v>8568</v>
      </c>
      <c r="G390" s="22" t="s">
        <v>188</v>
      </c>
      <c r="H390" s="22" t="n">
        <v>24</v>
      </c>
      <c r="I390" s="22" t="s">
        <v>8618</v>
      </c>
      <c r="J390" s="22" t="s">
        <v>10494</v>
      </c>
      <c r="K390" s="22" t="s">
        <v>10489</v>
      </c>
      <c r="L390" s="22" t="s">
        <v>10495</v>
      </c>
      <c r="M390" s="22" t="s">
        <v>10555</v>
      </c>
      <c r="N390" s="23" t="n">
        <v>46220</v>
      </c>
      <c r="O390" s="22" t="s">
        <v>10492</v>
      </c>
      <c r="P390" s="22"/>
    </row>
    <row r="391" customFormat="false" ht="15" hidden="false" customHeight="false" outlineLevel="0" collapsed="false">
      <c r="A391" s="22" t="s">
        <v>10896</v>
      </c>
      <c r="B391" s="22" t="s">
        <v>10390</v>
      </c>
      <c r="C391" s="23" t="n">
        <v>46228</v>
      </c>
      <c r="D391" s="22" t="s">
        <v>4878</v>
      </c>
      <c r="E391" s="22" t="n">
        <v>2071</v>
      </c>
      <c r="F391" s="22" t="s">
        <v>8436</v>
      </c>
      <c r="G391" s="22" t="s">
        <v>188</v>
      </c>
      <c r="H391" s="22" t="n">
        <v>24</v>
      </c>
      <c r="I391" s="22" t="s">
        <v>8603</v>
      </c>
      <c r="J391" s="22" t="s">
        <v>10488</v>
      </c>
      <c r="K391" s="22" t="s">
        <v>10489</v>
      </c>
      <c r="L391" s="22" t="s">
        <v>10495</v>
      </c>
      <c r="M391" s="22" t="s">
        <v>10506</v>
      </c>
      <c r="N391" s="23" t="n">
        <v>46229</v>
      </c>
      <c r="O391" s="22" t="s">
        <v>10492</v>
      </c>
      <c r="P391" s="22"/>
    </row>
    <row r="392" customFormat="false" ht="15" hidden="false" customHeight="false" outlineLevel="0" collapsed="false">
      <c r="A392" s="22" t="s">
        <v>10897</v>
      </c>
      <c r="B392" s="22" t="s">
        <v>10401</v>
      </c>
      <c r="C392" s="23" t="n">
        <v>46224</v>
      </c>
      <c r="D392" s="22" t="s">
        <v>4946</v>
      </c>
      <c r="E392" s="22" t="n">
        <v>2106</v>
      </c>
      <c r="F392" s="22" t="s">
        <v>6953</v>
      </c>
      <c r="G392" s="22" t="s">
        <v>198</v>
      </c>
      <c r="H392" s="22" t="n">
        <v>24</v>
      </c>
      <c r="I392" s="22" t="s">
        <v>8618</v>
      </c>
      <c r="J392" s="22" t="s">
        <v>10494</v>
      </c>
      <c r="K392" s="22" t="s">
        <v>10489</v>
      </c>
      <c r="L392" s="22" t="s">
        <v>10500</v>
      </c>
      <c r="M392" s="22" t="s">
        <v>10555</v>
      </c>
      <c r="N392" s="23" t="n">
        <v>46227</v>
      </c>
      <c r="O392" s="22" t="s">
        <v>10492</v>
      </c>
      <c r="P392" s="22"/>
    </row>
    <row r="393" customFormat="false" ht="15" hidden="false" customHeight="false" outlineLevel="0" collapsed="false">
      <c r="A393" s="22" t="s">
        <v>10898</v>
      </c>
      <c r="B393" s="22" t="s">
        <v>10405</v>
      </c>
      <c r="C393" s="23" t="n">
        <v>46205</v>
      </c>
      <c r="D393" s="22" t="s">
        <v>5260</v>
      </c>
      <c r="E393" s="22" t="n">
        <v>2260</v>
      </c>
      <c r="F393" s="22" t="s">
        <v>7700</v>
      </c>
      <c r="G393" s="22" t="s">
        <v>215</v>
      </c>
      <c r="H393" s="22" t="n">
        <v>40</v>
      </c>
      <c r="I393" s="22" t="s">
        <v>8637</v>
      </c>
      <c r="J393" s="22" t="s">
        <v>10503</v>
      </c>
      <c r="K393" s="22" t="s">
        <v>10489</v>
      </c>
      <c r="L393" s="22" t="s">
        <v>10508</v>
      </c>
      <c r="M393" s="22" t="s">
        <v>10491</v>
      </c>
      <c r="N393" s="23" t="n">
        <v>46206</v>
      </c>
      <c r="O393" s="22" t="s">
        <v>10492</v>
      </c>
      <c r="P393" s="22"/>
    </row>
    <row r="394" customFormat="false" ht="15" hidden="false" customHeight="false" outlineLevel="0" collapsed="false">
      <c r="A394" s="22" t="s">
        <v>10899</v>
      </c>
      <c r="B394" s="22" t="s">
        <v>10409</v>
      </c>
      <c r="C394" s="23" t="n">
        <v>46217</v>
      </c>
      <c r="D394" s="22" t="s">
        <v>3417</v>
      </c>
      <c r="E394" s="22" t="n">
        <v>1358</v>
      </c>
      <c r="F394" s="22" t="s">
        <v>7210</v>
      </c>
      <c r="G394" s="22" t="s">
        <v>198</v>
      </c>
      <c r="H394" s="22" t="n">
        <v>32</v>
      </c>
      <c r="I394" s="22" t="s">
        <v>8631</v>
      </c>
      <c r="J394" s="22" t="s">
        <v>10498</v>
      </c>
      <c r="K394" s="22" t="s">
        <v>10489</v>
      </c>
      <c r="L394" s="22" t="s">
        <v>10500</v>
      </c>
      <c r="M394" s="22" t="s">
        <v>10555</v>
      </c>
      <c r="N394" s="23" t="n">
        <v>46220</v>
      </c>
      <c r="O394" s="22" t="s">
        <v>10492</v>
      </c>
      <c r="P394" s="22"/>
    </row>
    <row r="395" customFormat="false" ht="15" hidden="false" customHeight="false" outlineLevel="0" collapsed="false">
      <c r="A395" s="22" t="s">
        <v>10900</v>
      </c>
      <c r="B395" s="22" t="s">
        <v>10418</v>
      </c>
      <c r="C395" s="23" t="n">
        <v>46206</v>
      </c>
      <c r="D395" s="22" t="s">
        <v>5532</v>
      </c>
      <c r="E395" s="22" t="n">
        <v>2397</v>
      </c>
      <c r="F395" s="22" t="s">
        <v>6588</v>
      </c>
      <c r="G395" s="22" t="s">
        <v>198</v>
      </c>
      <c r="H395" s="22" t="n">
        <v>24</v>
      </c>
      <c r="I395" s="22" t="s">
        <v>8631</v>
      </c>
      <c r="J395" s="22" t="s">
        <v>10498</v>
      </c>
      <c r="K395" s="22" t="s">
        <v>10489</v>
      </c>
      <c r="L395" s="22" t="s">
        <v>10500</v>
      </c>
      <c r="M395" s="22" t="s">
        <v>10516</v>
      </c>
      <c r="N395" s="23" t="n">
        <v>46210</v>
      </c>
      <c r="O395" s="22" t="s">
        <v>10492</v>
      </c>
      <c r="P395" s="22"/>
    </row>
    <row r="396" customFormat="false" ht="15" hidden="false" customHeight="false" outlineLevel="0" collapsed="false">
      <c r="A396" s="22" t="s">
        <v>10901</v>
      </c>
      <c r="B396" s="22" t="s">
        <v>10419</v>
      </c>
      <c r="C396" s="23" t="n">
        <v>46210</v>
      </c>
      <c r="D396" s="22" t="s">
        <v>4525</v>
      </c>
      <c r="E396" s="22" t="n">
        <v>1900</v>
      </c>
      <c r="F396" s="22" t="s">
        <v>8149</v>
      </c>
      <c r="G396" s="22" t="s">
        <v>499</v>
      </c>
      <c r="H396" s="22" t="n">
        <v>24</v>
      </c>
      <c r="I396" s="22" t="s">
        <v>8637</v>
      </c>
      <c r="J396" s="22" t="s">
        <v>10503</v>
      </c>
      <c r="K396" s="22" t="s">
        <v>10489</v>
      </c>
      <c r="L396" s="22" t="s">
        <v>10490</v>
      </c>
      <c r="M396" s="22" t="s">
        <v>10501</v>
      </c>
      <c r="N396" s="23" t="n">
        <v>46214</v>
      </c>
      <c r="O396" s="22" t="s">
        <v>10492</v>
      </c>
      <c r="P396" s="22"/>
    </row>
    <row r="397" customFormat="false" ht="15" hidden="false" customHeight="false" outlineLevel="0" collapsed="false">
      <c r="A397" s="22" t="s">
        <v>10902</v>
      </c>
      <c r="B397" s="22" t="s">
        <v>10420</v>
      </c>
      <c r="C397" s="23" t="n">
        <v>46218</v>
      </c>
      <c r="D397" s="22" t="s">
        <v>3577</v>
      </c>
      <c r="E397" s="22" t="n">
        <v>1436</v>
      </c>
      <c r="F397" s="22" t="s">
        <v>8571</v>
      </c>
      <c r="G397" s="22" t="s">
        <v>188</v>
      </c>
      <c r="H397" s="22" t="n">
        <v>32</v>
      </c>
      <c r="I397" s="22" t="s">
        <v>8637</v>
      </c>
      <c r="J397" s="22" t="s">
        <v>10503</v>
      </c>
      <c r="K397" s="22" t="s">
        <v>10489</v>
      </c>
      <c r="L397" s="22" t="s">
        <v>10500</v>
      </c>
      <c r="M397" s="22" t="s">
        <v>10501</v>
      </c>
      <c r="N397" s="23" t="n">
        <v>46220</v>
      </c>
      <c r="O397" s="22" t="s">
        <v>10492</v>
      </c>
      <c r="P397" s="22"/>
    </row>
    <row r="398" customFormat="false" ht="15" hidden="false" customHeight="false" outlineLevel="0" collapsed="false">
      <c r="A398" s="22" t="s">
        <v>10903</v>
      </c>
      <c r="B398" s="22" t="s">
        <v>10425</v>
      </c>
      <c r="C398" s="23" t="n">
        <v>46224</v>
      </c>
      <c r="D398" s="22" t="s">
        <v>2026</v>
      </c>
      <c r="E398" s="22" t="n">
        <v>722</v>
      </c>
      <c r="F398" s="22" t="s">
        <v>7430</v>
      </c>
      <c r="G398" s="22" t="s">
        <v>159</v>
      </c>
      <c r="H398" s="22" t="n">
        <v>28</v>
      </c>
      <c r="I398" s="22" t="s">
        <v>8618</v>
      </c>
      <c r="J398" s="22" t="s">
        <v>10494</v>
      </c>
      <c r="K398" s="22" t="s">
        <v>10489</v>
      </c>
      <c r="L398" s="22" t="s">
        <v>10508</v>
      </c>
      <c r="M398" s="22" t="s">
        <v>10516</v>
      </c>
      <c r="N398" s="23" t="n">
        <v>46227</v>
      </c>
      <c r="O398" s="22" t="s">
        <v>10492</v>
      </c>
      <c r="P398" s="22"/>
    </row>
    <row r="399" customFormat="false" ht="15" hidden="false" customHeight="false" outlineLevel="0" collapsed="false">
      <c r="A399" s="22" t="s">
        <v>10904</v>
      </c>
      <c r="B399" s="22" t="s">
        <v>10432</v>
      </c>
      <c r="C399" s="23" t="n">
        <v>46208</v>
      </c>
      <c r="D399" s="22" t="s">
        <v>4853</v>
      </c>
      <c r="E399" s="22" t="n">
        <v>2059</v>
      </c>
      <c r="F399" s="22" t="s">
        <v>8097</v>
      </c>
      <c r="G399" s="22" t="s">
        <v>499</v>
      </c>
      <c r="H399" s="22" t="n">
        <v>28</v>
      </c>
      <c r="I399" s="22" t="s">
        <v>8618</v>
      </c>
      <c r="J399" s="22" t="s">
        <v>10494</v>
      </c>
      <c r="K399" s="22" t="s">
        <v>10489</v>
      </c>
      <c r="L399" s="22" t="s">
        <v>10495</v>
      </c>
      <c r="M399" s="22" t="s">
        <v>10516</v>
      </c>
      <c r="N399" s="23" t="n">
        <v>46210</v>
      </c>
      <c r="O399" s="22" t="s">
        <v>10492</v>
      </c>
      <c r="P399" s="22"/>
    </row>
    <row r="400" customFormat="false" ht="15" hidden="false" customHeight="false" outlineLevel="0" collapsed="false">
      <c r="A400" s="22" t="s">
        <v>10905</v>
      </c>
      <c r="B400" s="22" t="s">
        <v>10437</v>
      </c>
      <c r="C400" s="23" t="n">
        <v>46237</v>
      </c>
      <c r="D400" s="22" t="s">
        <v>350</v>
      </c>
      <c r="E400" s="22" t="n">
        <v>64</v>
      </c>
      <c r="F400" s="22" t="s">
        <v>8529</v>
      </c>
      <c r="G400" s="22" t="s">
        <v>188</v>
      </c>
      <c r="H400" s="22" t="n">
        <v>28</v>
      </c>
      <c r="I400" s="22" t="s">
        <v>8618</v>
      </c>
      <c r="J400" s="22" t="s">
        <v>10494</v>
      </c>
      <c r="K400" s="22" t="s">
        <v>10489</v>
      </c>
      <c r="L400" s="22" t="s">
        <v>10490</v>
      </c>
      <c r="M400" s="22" t="s">
        <v>10516</v>
      </c>
      <c r="N400" s="23" t="n">
        <v>46239</v>
      </c>
      <c r="O400" s="22" t="s">
        <v>10492</v>
      </c>
      <c r="P400" s="22"/>
    </row>
    <row r="401" customFormat="false" ht="15" hidden="false" customHeight="false" outlineLevel="0" collapsed="false">
      <c r="A401" s="22" t="s">
        <v>10906</v>
      </c>
      <c r="B401" s="22" t="s">
        <v>10441</v>
      </c>
      <c r="C401" s="23" t="n">
        <v>46237</v>
      </c>
      <c r="D401" s="22" t="s">
        <v>6165</v>
      </c>
      <c r="E401" s="22" t="n">
        <v>2713</v>
      </c>
      <c r="F401" s="22" t="s">
        <v>8360</v>
      </c>
      <c r="G401" s="22" t="s">
        <v>188</v>
      </c>
      <c r="H401" s="22" t="n">
        <v>24</v>
      </c>
      <c r="I401" s="22" t="s">
        <v>8603</v>
      </c>
      <c r="J401" s="22" t="s">
        <v>10488</v>
      </c>
      <c r="K401" s="22" t="s">
        <v>10489</v>
      </c>
      <c r="L401" s="22" t="s">
        <v>10508</v>
      </c>
      <c r="M401" s="22" t="s">
        <v>10506</v>
      </c>
      <c r="N401" s="23" t="n">
        <v>46241</v>
      </c>
      <c r="O401" s="22" t="s">
        <v>10492</v>
      </c>
      <c r="P401" s="22"/>
    </row>
    <row r="402" customFormat="false" ht="15" hidden="false" customHeight="false" outlineLevel="0" collapsed="false">
      <c r="A402" s="22" t="s">
        <v>10907</v>
      </c>
      <c r="B402" s="22" t="s">
        <v>10448</v>
      </c>
      <c r="C402" s="23" t="n">
        <v>46235</v>
      </c>
      <c r="D402" s="22" t="s">
        <v>6331</v>
      </c>
      <c r="E402" s="22" t="n">
        <v>2796</v>
      </c>
      <c r="F402" s="22" t="s">
        <v>8129</v>
      </c>
      <c r="G402" s="22" t="s">
        <v>499</v>
      </c>
      <c r="H402" s="22" t="n">
        <v>45</v>
      </c>
      <c r="I402" s="22" t="s">
        <v>8603</v>
      </c>
      <c r="J402" s="22" t="s">
        <v>10488</v>
      </c>
      <c r="K402" s="22" t="s">
        <v>10489</v>
      </c>
      <c r="L402" s="22" t="s">
        <v>10500</v>
      </c>
      <c r="M402" s="22" t="s">
        <v>10513</v>
      </c>
      <c r="N402" s="23" t="n">
        <v>46235</v>
      </c>
      <c r="O402" s="22" t="s">
        <v>10492</v>
      </c>
      <c r="P402" s="22"/>
    </row>
    <row r="403" customFormat="false" ht="15" hidden="false" customHeight="false" outlineLevel="0" collapsed="false">
      <c r="A403" s="22" t="s">
        <v>10908</v>
      </c>
      <c r="B403" s="22" t="s">
        <v>10449</v>
      </c>
      <c r="C403" s="23" t="n">
        <v>46239</v>
      </c>
      <c r="D403" s="22" t="s">
        <v>5556</v>
      </c>
      <c r="E403" s="22" t="n">
        <v>2409</v>
      </c>
      <c r="F403" s="22" t="s">
        <v>6840</v>
      </c>
      <c r="G403" s="22" t="s">
        <v>198</v>
      </c>
      <c r="H403" s="22" t="n">
        <v>24</v>
      </c>
      <c r="I403" s="22" t="s">
        <v>8603</v>
      </c>
      <c r="J403" s="22" t="s">
        <v>10488</v>
      </c>
      <c r="K403" s="22" t="s">
        <v>10489</v>
      </c>
      <c r="L403" s="22" t="s">
        <v>10495</v>
      </c>
      <c r="M403" s="22" t="s">
        <v>10504</v>
      </c>
      <c r="N403" s="23" t="n">
        <v>46244</v>
      </c>
      <c r="O403" s="22" t="s">
        <v>10492</v>
      </c>
      <c r="P403" s="22"/>
    </row>
    <row r="404" customFormat="false" ht="15" hidden="false" customHeight="false" outlineLevel="0" collapsed="false">
      <c r="A404" s="22" t="s">
        <v>10909</v>
      </c>
      <c r="B404" s="22" t="s">
        <v>10451</v>
      </c>
      <c r="C404" s="23" t="n">
        <v>46236</v>
      </c>
      <c r="D404" s="22" t="s">
        <v>5150</v>
      </c>
      <c r="E404" s="22" t="n">
        <v>2206</v>
      </c>
      <c r="F404" s="22" t="s">
        <v>7944</v>
      </c>
      <c r="G404" s="22" t="s">
        <v>215</v>
      </c>
      <c r="H404" s="22" t="n">
        <v>70</v>
      </c>
      <c r="I404" s="22" t="s">
        <v>8631</v>
      </c>
      <c r="J404" s="22" t="s">
        <v>10498</v>
      </c>
      <c r="K404" s="22" t="s">
        <v>10518</v>
      </c>
      <c r="L404" s="22" t="s">
        <v>10490</v>
      </c>
      <c r="M404" s="22" t="s">
        <v>10491</v>
      </c>
      <c r="N404" s="23" t="n">
        <v>46238</v>
      </c>
      <c r="O404" s="22" t="s">
        <v>10492</v>
      </c>
      <c r="P404" s="22"/>
    </row>
    <row r="405" customFormat="false" ht="15" hidden="false" customHeight="false" outlineLevel="0" collapsed="false">
      <c r="A405" s="22" t="s">
        <v>10910</v>
      </c>
      <c r="B405" s="22" t="s">
        <v>10454</v>
      </c>
      <c r="C405" s="23" t="n">
        <v>46235</v>
      </c>
      <c r="D405" s="22" t="s">
        <v>750</v>
      </c>
      <c r="E405" s="22" t="n">
        <v>205</v>
      </c>
      <c r="F405" s="22" t="s">
        <v>8444</v>
      </c>
      <c r="G405" s="22" t="s">
        <v>188</v>
      </c>
      <c r="H405" s="22" t="n">
        <v>45</v>
      </c>
      <c r="I405" s="22" t="s">
        <v>8631</v>
      </c>
      <c r="J405" s="22" t="s">
        <v>10498</v>
      </c>
      <c r="K405" s="22" t="s">
        <v>10489</v>
      </c>
      <c r="L405" s="22" t="s">
        <v>10508</v>
      </c>
      <c r="M405" s="22" t="s">
        <v>10506</v>
      </c>
      <c r="N405" s="23" t="n">
        <v>46239</v>
      </c>
      <c r="O405" s="22" t="s">
        <v>10492</v>
      </c>
      <c r="P405" s="22"/>
    </row>
    <row r="406" customFormat="false" ht="15" hidden="false" customHeight="false" outlineLevel="0" collapsed="false">
      <c r="A406" s="22" t="s">
        <v>10911</v>
      </c>
      <c r="B406" s="22" t="s">
        <v>10462</v>
      </c>
      <c r="C406" s="23" t="n">
        <v>46235</v>
      </c>
      <c r="D406" s="22" t="s">
        <v>1208</v>
      </c>
      <c r="E406" s="22" t="n">
        <v>379</v>
      </c>
      <c r="F406" s="22" t="s">
        <v>7768</v>
      </c>
      <c r="G406" s="22" t="s">
        <v>215</v>
      </c>
      <c r="H406" s="22" t="n">
        <v>24</v>
      </c>
      <c r="I406" s="22" t="s">
        <v>8603</v>
      </c>
      <c r="J406" s="22" t="s">
        <v>10488</v>
      </c>
      <c r="K406" s="22" t="s">
        <v>10489</v>
      </c>
      <c r="L406" s="22" t="s">
        <v>10490</v>
      </c>
      <c r="M406" s="22" t="s">
        <v>10506</v>
      </c>
      <c r="N406" s="23" t="n">
        <v>46237</v>
      </c>
      <c r="O406" s="22" t="s">
        <v>10492</v>
      </c>
      <c r="P406" s="22"/>
    </row>
    <row r="407" customFormat="false" ht="15" hidden="false" customHeight="false" outlineLevel="0" collapsed="false">
      <c r="A407" s="22" t="s">
        <v>10912</v>
      </c>
      <c r="B407" s="22" t="s">
        <v>10464</v>
      </c>
      <c r="C407" s="23" t="n">
        <v>46238</v>
      </c>
      <c r="D407" s="22" t="s">
        <v>1539</v>
      </c>
      <c r="E407" s="22" t="n">
        <v>517</v>
      </c>
      <c r="F407" s="22" t="s">
        <v>8511</v>
      </c>
      <c r="G407" s="22" t="s">
        <v>188</v>
      </c>
      <c r="H407" s="22" t="n">
        <v>28</v>
      </c>
      <c r="I407" s="22" t="s">
        <v>8603</v>
      </c>
      <c r="J407" s="22" t="s">
        <v>10488</v>
      </c>
      <c r="K407" s="22" t="s">
        <v>10489</v>
      </c>
      <c r="L407" s="22" t="s">
        <v>10490</v>
      </c>
      <c r="M407" s="22" t="s">
        <v>10511</v>
      </c>
      <c r="N407" s="23" t="n">
        <v>46243</v>
      </c>
      <c r="O407" s="22" t="s">
        <v>10492</v>
      </c>
      <c r="P407" s="22"/>
    </row>
    <row r="408" customFormat="false" ht="15" hidden="false" customHeight="false" outlineLevel="0" collapsed="false">
      <c r="A408" s="22" t="s">
        <v>10913</v>
      </c>
      <c r="B408" s="22" t="s">
        <v>10914</v>
      </c>
      <c r="C408" s="23" t="n">
        <v>44818</v>
      </c>
      <c r="D408" s="22" t="s">
        <v>3106</v>
      </c>
      <c r="E408" s="22" t="n">
        <v>1211</v>
      </c>
      <c r="F408" s="22" t="s">
        <v>8152</v>
      </c>
      <c r="G408" s="22" t="s">
        <v>499</v>
      </c>
      <c r="H408" s="22" t="n">
        <v>32</v>
      </c>
      <c r="I408" s="22" t="s">
        <v>8618</v>
      </c>
      <c r="J408" s="22" t="s">
        <v>10494</v>
      </c>
      <c r="K408" s="22" t="s">
        <v>10518</v>
      </c>
      <c r="L408" s="22"/>
      <c r="M408" s="22" t="s">
        <v>10513</v>
      </c>
      <c r="N408" s="23" t="n">
        <v>44820</v>
      </c>
      <c r="O408" s="22" t="s">
        <v>10492</v>
      </c>
      <c r="P408" s="22" t="s">
        <v>10915</v>
      </c>
    </row>
    <row r="409" customFormat="false" ht="15" hidden="false" customHeight="false" outlineLevel="0" collapsed="false">
      <c r="A409" s="22" t="s">
        <v>10916</v>
      </c>
      <c r="B409" s="22" t="s">
        <v>10917</v>
      </c>
      <c r="C409" s="23" t="n">
        <v>45048</v>
      </c>
      <c r="D409" s="22" t="s">
        <v>3948</v>
      </c>
      <c r="E409" s="22" t="n">
        <v>1618</v>
      </c>
      <c r="F409" s="22" t="s">
        <v>8205</v>
      </c>
      <c r="G409" s="22" t="s">
        <v>499</v>
      </c>
      <c r="H409" s="22" t="n">
        <v>32</v>
      </c>
      <c r="I409" s="22" t="s">
        <v>8603</v>
      </c>
      <c r="J409" s="22" t="s">
        <v>10488</v>
      </c>
      <c r="K409" s="22" t="s">
        <v>10518</v>
      </c>
      <c r="L409" s="22"/>
      <c r="M409" s="22" t="s">
        <v>10513</v>
      </c>
      <c r="N409" s="23" t="n">
        <v>45050</v>
      </c>
      <c r="O409" s="22" t="s">
        <v>10492</v>
      </c>
      <c r="P409" s="22" t="s">
        <v>10915</v>
      </c>
    </row>
    <row r="410" customFormat="false" ht="15" hidden="false" customHeight="false" outlineLevel="0" collapsed="false">
      <c r="A410" s="22" t="s">
        <v>10918</v>
      </c>
      <c r="B410" s="22" t="s">
        <v>10919</v>
      </c>
      <c r="C410" s="23" t="n">
        <v>45342</v>
      </c>
      <c r="D410" s="22" t="s">
        <v>4821</v>
      </c>
      <c r="E410" s="22" t="n">
        <v>2044</v>
      </c>
      <c r="F410" s="22" t="s">
        <v>7626</v>
      </c>
      <c r="G410" s="22" t="s">
        <v>159</v>
      </c>
      <c r="H410" s="22" t="n">
        <v>28</v>
      </c>
      <c r="I410" s="22" t="s">
        <v>8637</v>
      </c>
      <c r="J410" s="22" t="s">
        <v>10503</v>
      </c>
      <c r="K410" s="22" t="s">
        <v>10518</v>
      </c>
      <c r="L410" s="22"/>
      <c r="M410" s="22" t="s">
        <v>10506</v>
      </c>
      <c r="N410" s="23" t="n">
        <v>45344</v>
      </c>
      <c r="O410" s="22" t="s">
        <v>10492</v>
      </c>
      <c r="P410" s="22" t="s">
        <v>10915</v>
      </c>
    </row>
    <row r="411" customFormat="false" ht="15" hidden="false" customHeight="false" outlineLevel="0" collapsed="false">
      <c r="A411" s="22" t="s">
        <v>10920</v>
      </c>
      <c r="B411" s="22" t="s">
        <v>10919</v>
      </c>
      <c r="C411" s="23" t="n">
        <v>45601</v>
      </c>
      <c r="D411" s="22" t="s">
        <v>5517</v>
      </c>
      <c r="E411" s="22" t="n">
        <v>2390</v>
      </c>
      <c r="F411" s="22" t="s">
        <v>8364</v>
      </c>
      <c r="G411" s="22" t="s">
        <v>188</v>
      </c>
      <c r="H411" s="22" t="n">
        <v>40</v>
      </c>
      <c r="I411" s="22" t="s">
        <v>8631</v>
      </c>
      <c r="J411" s="22" t="s">
        <v>10498</v>
      </c>
      <c r="K411" s="22" t="s">
        <v>10518</v>
      </c>
      <c r="L411" s="22"/>
      <c r="M411" s="22" t="s">
        <v>10555</v>
      </c>
      <c r="N411" s="23" t="n">
        <v>45603</v>
      </c>
      <c r="O411" s="22" t="s">
        <v>10492</v>
      </c>
      <c r="P411" s="22" t="s">
        <v>10915</v>
      </c>
    </row>
    <row r="412" customFormat="false" ht="15" hidden="false" customHeight="false" outlineLevel="0" collapsed="false">
      <c r="A412" s="22" t="s">
        <v>10921</v>
      </c>
      <c r="B412" s="22" t="s">
        <v>10919</v>
      </c>
      <c r="C412" s="23" t="n">
        <v>45370</v>
      </c>
      <c r="D412" s="22" t="s">
        <v>4479</v>
      </c>
      <c r="E412" s="22" t="n">
        <v>1877</v>
      </c>
      <c r="F412" s="22" t="s">
        <v>8325</v>
      </c>
      <c r="G412" s="22" t="s">
        <v>499</v>
      </c>
      <c r="H412" s="22" t="n">
        <v>80</v>
      </c>
      <c r="I412" s="22" t="s">
        <v>8603</v>
      </c>
      <c r="J412" s="22" t="s">
        <v>10488</v>
      </c>
      <c r="K412" s="22" t="s">
        <v>10489</v>
      </c>
      <c r="L412" s="22" t="s">
        <v>10500</v>
      </c>
      <c r="M412" s="22" t="s">
        <v>10513</v>
      </c>
      <c r="N412" s="23" t="n">
        <v>45372</v>
      </c>
      <c r="O412" s="22" t="s">
        <v>10492</v>
      </c>
      <c r="P412" s="22"/>
    </row>
    <row r="413" customFormat="false" ht="15" hidden="false" customHeight="false" outlineLevel="0" collapsed="false">
      <c r="A413" s="22" t="s">
        <v>10922</v>
      </c>
      <c r="B413" s="22" t="s">
        <v>10923</v>
      </c>
      <c r="C413" s="23" t="n">
        <v>45909</v>
      </c>
      <c r="D413" s="22" t="s">
        <v>4938</v>
      </c>
      <c r="E413" s="22" t="n">
        <v>2102</v>
      </c>
      <c r="F413" s="22" t="s">
        <v>7076</v>
      </c>
      <c r="G413" s="22" t="s">
        <v>198</v>
      </c>
      <c r="H413" s="22" t="n">
        <v>36</v>
      </c>
      <c r="I413" s="22" t="s">
        <v>8637</v>
      </c>
      <c r="J413" s="22" t="s">
        <v>10503</v>
      </c>
      <c r="K413" s="22" t="s">
        <v>10489</v>
      </c>
      <c r="L413" s="22" t="s">
        <v>10508</v>
      </c>
      <c r="M413" s="22" t="s">
        <v>10516</v>
      </c>
      <c r="N413" s="23" t="n">
        <v>45911</v>
      </c>
      <c r="O413" s="22" t="s">
        <v>10492</v>
      </c>
      <c r="P413" s="22"/>
    </row>
  </sheetData>
  <autoFilter ref="A1:P413"/>
  <printOptions headings="false" gridLines="false" gridLinesSet="true" horizontalCentered="false" verticalCentered="false"/>
  <pageMargins left="0.25" right="0.25" top="0.45" bottom="0.45" header="0.511811023622047" footer="0.2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&amp;C&amp;7 Page &amp;P of &amp;N&amp;R&amp;7 Chaldale Harbor District | 2026-08-07</oddFooter>
  </headerFooter>
  <drawing r:id="rId1"/>
  <tableParts>
    <tablePart r:id="rId2"/>
  </tableParts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465A6E"/>
    <pageSetUpPr fitToPage="true"/>
  </sheetPr>
  <dimension ref="A1:N1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customHeight="true" zeroHeight="false" outlineLevelRow="0" outlineLevelCol="0"/>
  <cols>
    <col collapsed="false" customWidth="true" hidden="false" outlineLevel="0" max="1" min="1" style="0" width="39"/>
    <col collapsed="false" customWidth="true" hidden="false" outlineLevel="0" max="2" min="2" style="0" width="14"/>
    <col collapsed="false" customWidth="true" hidden="false" outlineLevel="0" max="3" min="3" style="0" width="22"/>
    <col collapsed="false" customWidth="true" hidden="false" outlineLevel="0" max="4" min="4" style="0" width="12"/>
    <col collapsed="false" customWidth="true" hidden="false" outlineLevel="0" max="5" min="5" style="0" width="13"/>
    <col collapsed="false" customWidth="true" hidden="false" outlineLevel="0" max="6" min="6" style="0" width="22"/>
    <col collapsed="false" customWidth="true" hidden="false" outlineLevel="0" max="8" min="8" style="0" width="20"/>
    <col collapsed="false" customWidth="true" hidden="false" outlineLevel="0" max="11" min="9" style="0" width="14"/>
    <col collapsed="false" customWidth="true" hidden="false" outlineLevel="0" max="12" min="12" style="0" width="18"/>
    <col collapsed="false" customWidth="true" hidden="false" outlineLevel="0" max="13" min="13" style="0" width="30"/>
    <col collapsed="false" customWidth="true" hidden="false" outlineLevel="0" max="14" min="14" style="0" width="48"/>
  </cols>
  <sheetData>
    <row r="1" customFormat="false" ht="33.75" hidden="false" customHeight="true" outlineLevel="0" collapsed="false">
      <c r="A1" s="1" t="s">
        <v>10924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customFormat="false" ht="27.75" hidden="false" customHeight="true" outlineLevel="0" collapsed="false">
      <c r="A2" s="2" t="s">
        <v>10925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 customFormat="false" ht="30" hidden="false" customHeight="true" outlineLevel="0" collapsed="false">
      <c r="A3" s="24" t="s">
        <v>10926</v>
      </c>
      <c r="B3" s="24"/>
      <c r="C3" s="24"/>
      <c r="D3" s="24"/>
      <c r="E3" s="24"/>
      <c r="F3" s="24"/>
      <c r="G3" s="24"/>
      <c r="H3" s="24"/>
      <c r="I3" s="24"/>
      <c r="J3" s="24"/>
      <c r="K3" s="24"/>
      <c r="L3" s="24"/>
      <c r="M3" s="24"/>
      <c r="N3" s="24"/>
    </row>
    <row r="5" customFormat="false" ht="30" hidden="false" customHeight="true" outlineLevel="0" collapsed="false">
      <c r="A5" s="13" t="s">
        <v>10927</v>
      </c>
      <c r="B5" s="13" t="s">
        <v>149</v>
      </c>
      <c r="C5" s="13" t="s">
        <v>10928</v>
      </c>
      <c r="D5" s="13" t="s">
        <v>10929</v>
      </c>
      <c r="E5" s="13" t="s">
        <v>10930</v>
      </c>
      <c r="F5" s="13" t="s">
        <v>10480</v>
      </c>
      <c r="G5" s="13" t="s">
        <v>10931</v>
      </c>
      <c r="H5" s="13" t="s">
        <v>10932</v>
      </c>
      <c r="I5" s="13" t="s">
        <v>10933</v>
      </c>
      <c r="J5" s="13" t="s">
        <v>10934</v>
      </c>
      <c r="K5" s="13" t="s">
        <v>10935</v>
      </c>
      <c r="L5" s="13" t="s">
        <v>10936</v>
      </c>
      <c r="M5" s="13" t="s">
        <v>10937</v>
      </c>
      <c r="N5" s="13" t="s">
        <v>10938</v>
      </c>
    </row>
    <row r="6" customFormat="false" ht="15" hidden="false" customHeight="false" outlineLevel="0" collapsed="false">
      <c r="A6" s="22" t="s">
        <v>10939</v>
      </c>
      <c r="B6" s="22" t="s">
        <v>3106</v>
      </c>
      <c r="C6" s="22" t="s">
        <v>10940</v>
      </c>
      <c r="D6" s="23" t="n">
        <v>44818</v>
      </c>
      <c r="E6" s="22" t="s">
        <v>8152</v>
      </c>
      <c r="F6" s="22" t="s">
        <v>8618</v>
      </c>
      <c r="G6" s="22" t="n">
        <v>1</v>
      </c>
      <c r="H6" s="22" t="s">
        <v>10941</v>
      </c>
      <c r="I6" s="22" t="n">
        <f aca="false">COUNTIFS('Skip Events'!$D$2:$D$413,B6,'Skip Events'!$C$2:$C$413,D6,'Skip Events'!$I$2:$I$413,F6)</f>
        <v>1</v>
      </c>
      <c r="J6" s="22" t="n">
        <f aca="false">COUNTIFS('Skip Events'!$D$2:$D$413,B6,'Skip Events'!$C$2:$C$413,D6,'Skip Events'!$F$2:$F$413,E6,'Skip Events'!$I$2:$I$413,F6)</f>
        <v>1</v>
      </c>
      <c r="K6" s="22" t="n">
        <f aca="false">COUNTIFS('Offer Events'!$C$2:$C$1487,B6,'Offer Events'!$B$2:$B$1487,D6,'Offer Events'!$E$2:$E$1487,E6,'Offer Events'!$L$2:$L$1487,"SKIPPED",'Offer Events'!$P$2:$P$1487,F6)</f>
        <v>0</v>
      </c>
      <c r="L6" s="22" t="s">
        <v>8152</v>
      </c>
      <c r="M6" s="22" t="str">
        <f aca="false">IF(I6=0,"No skip event",IF(J6=0,"PDF slip differs from skip register",IF(H6&lt;&gt;"SUPPORTING RECORD","Cover only",IF(K6=0,"No matching offer event","Reconciled"))))</f>
        <v>Cover only</v>
      </c>
      <c r="N6" s="22" t="s">
        <v>10942</v>
      </c>
    </row>
    <row r="7" customFormat="false" ht="15" hidden="false" customHeight="false" outlineLevel="0" collapsed="false">
      <c r="A7" s="22" t="s">
        <v>10943</v>
      </c>
      <c r="B7" s="22" t="s">
        <v>3948</v>
      </c>
      <c r="C7" s="22" t="s">
        <v>3949</v>
      </c>
      <c r="D7" s="23" t="n">
        <v>45048</v>
      </c>
      <c r="E7" s="22" t="s">
        <v>7822</v>
      </c>
      <c r="F7" s="22" t="s">
        <v>8603</v>
      </c>
      <c r="G7" s="22" t="n">
        <v>1</v>
      </c>
      <c r="H7" s="22" t="s">
        <v>10941</v>
      </c>
      <c r="I7" s="22" t="n">
        <f aca="false">COUNTIFS('Skip Events'!$D$2:$D$413,B7,'Skip Events'!$C$2:$C$413,D7,'Skip Events'!$I$2:$I$413,F7)</f>
        <v>1</v>
      </c>
      <c r="J7" s="22" t="n">
        <f aca="false">COUNTIFS('Skip Events'!$D$2:$D$413,B7,'Skip Events'!$C$2:$C$413,D7,'Skip Events'!$F$2:$F$413,E7,'Skip Events'!$I$2:$I$413,F7)</f>
        <v>0</v>
      </c>
      <c r="K7" s="22" t="n">
        <f aca="false">COUNTIFS('Offer Events'!$C$2:$C$1487,B7,'Offer Events'!$B$2:$B$1487,D7,'Offer Events'!$E$2:$E$1487,E7,'Offer Events'!$L$2:$L$1487,"SKIPPED",'Offer Events'!$P$2:$P$1487,F7)</f>
        <v>0</v>
      </c>
      <c r="L7" s="22" t="s">
        <v>8205</v>
      </c>
      <c r="M7" s="22" t="str">
        <f aca="false">IF(I7=0,"No skip event",IF(J7=0,"PDF slip differs from skip register",IF(H7&lt;&gt;"SUPPORTING RECORD","Cover only",IF(K7=0,"No matching offer event","Reconciled"))))</f>
        <v>PDF slip differs from skip register</v>
      </c>
      <c r="N7" s="22" t="s">
        <v>10942</v>
      </c>
    </row>
    <row r="8" customFormat="false" ht="15" hidden="false" customHeight="false" outlineLevel="0" collapsed="false">
      <c r="A8" s="22" t="s">
        <v>10944</v>
      </c>
      <c r="B8" s="22" t="s">
        <v>4479</v>
      </c>
      <c r="C8" s="22" t="s">
        <v>4480</v>
      </c>
      <c r="D8" s="23" t="n">
        <v>45370</v>
      </c>
      <c r="E8" s="22" t="s">
        <v>8225</v>
      </c>
      <c r="F8" s="22" t="s">
        <v>8603</v>
      </c>
      <c r="G8" s="22" t="n">
        <v>3</v>
      </c>
      <c r="H8" s="22" t="s">
        <v>10945</v>
      </c>
      <c r="I8" s="22" t="n">
        <f aca="false">COUNTIFS('Skip Events'!$D$2:$D$413,B8,'Skip Events'!$C$2:$C$413,D8,'Skip Events'!$I$2:$I$413,F8)</f>
        <v>1</v>
      </c>
      <c r="J8" s="22" t="n">
        <f aca="false">COUNTIFS('Skip Events'!$D$2:$D$413,B8,'Skip Events'!$C$2:$C$413,D8,'Skip Events'!$F$2:$F$413,E8,'Skip Events'!$I$2:$I$413,F8)</f>
        <v>0</v>
      </c>
      <c r="K8" s="22" t="n">
        <f aca="false">COUNTIFS('Offer Events'!$C$2:$C$1487,B8,'Offer Events'!$B$2:$B$1487,D8,'Offer Events'!$E$2:$E$1487,E8,'Offer Events'!$L$2:$L$1487,"SKIPPED",'Offer Events'!$P$2:$P$1487,F8)</f>
        <v>0</v>
      </c>
      <c r="L8" s="22" t="s">
        <v>8325</v>
      </c>
      <c r="M8" s="22" t="str">
        <f aca="false">IF(I8=0,"No skip event",IF(J8=0,"PDF slip differs from skip register",IF(H8&lt;&gt;"SUPPORTING RECORD","Cover only",IF(K8=0,"No matching offer event","Reconciled"))))</f>
        <v>PDF slip differs from skip register</v>
      </c>
      <c r="N8" s="22" t="s">
        <v>10946</v>
      </c>
    </row>
    <row r="9" customFormat="false" ht="15" hidden="false" customHeight="false" outlineLevel="0" collapsed="false">
      <c r="A9" s="22" t="s">
        <v>10947</v>
      </c>
      <c r="B9" s="22" t="s">
        <v>4821</v>
      </c>
      <c r="C9" s="22" t="s">
        <v>10948</v>
      </c>
      <c r="D9" s="23" t="n">
        <v>45342</v>
      </c>
      <c r="E9" s="22" t="s">
        <v>7874</v>
      </c>
      <c r="F9" s="22" t="s">
        <v>8637</v>
      </c>
      <c r="G9" s="22" t="n">
        <v>1</v>
      </c>
      <c r="H9" s="22" t="s">
        <v>10941</v>
      </c>
      <c r="I9" s="22" t="n">
        <f aca="false">COUNTIFS('Skip Events'!$D$2:$D$413,B9,'Skip Events'!$C$2:$C$413,D9,'Skip Events'!$I$2:$I$413,F9)</f>
        <v>1</v>
      </c>
      <c r="J9" s="22" t="n">
        <f aca="false">COUNTIFS('Skip Events'!$D$2:$D$413,B9,'Skip Events'!$C$2:$C$413,D9,'Skip Events'!$F$2:$F$413,E9,'Skip Events'!$I$2:$I$413,F9)</f>
        <v>0</v>
      </c>
      <c r="K9" s="22" t="n">
        <f aca="false">COUNTIFS('Offer Events'!$C$2:$C$1487,B9,'Offer Events'!$B$2:$B$1487,D9,'Offer Events'!$E$2:$E$1487,E9,'Offer Events'!$L$2:$L$1487,"SKIPPED",'Offer Events'!$P$2:$P$1487,F9)</f>
        <v>0</v>
      </c>
      <c r="L9" s="22" t="s">
        <v>7626</v>
      </c>
      <c r="M9" s="22" t="str">
        <f aca="false">IF(I9=0,"No skip event",IF(J9=0,"PDF slip differs from skip register",IF(H9&lt;&gt;"SUPPORTING RECORD","Cover only",IF(K9=0,"No matching offer event","Reconciled"))))</f>
        <v>PDF slip differs from skip register</v>
      </c>
      <c r="N9" s="22" t="s">
        <v>10942</v>
      </c>
    </row>
    <row r="10" customFormat="false" ht="15" hidden="false" customHeight="false" outlineLevel="0" collapsed="false">
      <c r="A10" s="22" t="s">
        <v>10949</v>
      </c>
      <c r="B10" s="22" t="s">
        <v>4938</v>
      </c>
      <c r="C10" s="22" t="s">
        <v>10950</v>
      </c>
      <c r="D10" s="23" t="n">
        <v>45909</v>
      </c>
      <c r="E10" s="22" t="s">
        <v>7896</v>
      </c>
      <c r="F10" s="22" t="s">
        <v>8637</v>
      </c>
      <c r="G10" s="22" t="n">
        <v>3</v>
      </c>
      <c r="H10" s="22" t="s">
        <v>10945</v>
      </c>
      <c r="I10" s="22" t="n">
        <f aca="false">COUNTIFS('Skip Events'!$D$2:$D$413,B10,'Skip Events'!$C$2:$C$413,D10,'Skip Events'!$I$2:$I$413,F10)</f>
        <v>1</v>
      </c>
      <c r="J10" s="22" t="n">
        <f aca="false">COUNTIFS('Skip Events'!$D$2:$D$413,B10,'Skip Events'!$C$2:$C$413,D10,'Skip Events'!$F$2:$F$413,E10,'Skip Events'!$I$2:$I$413,F10)</f>
        <v>0</v>
      </c>
      <c r="K10" s="22" t="n">
        <f aca="false">COUNTIFS('Offer Events'!$C$2:$C$1487,B10,'Offer Events'!$B$2:$B$1487,D10,'Offer Events'!$E$2:$E$1487,E10,'Offer Events'!$L$2:$L$1487,"SKIPPED",'Offer Events'!$P$2:$P$1487,F10)</f>
        <v>0</v>
      </c>
      <c r="L10" s="22" t="s">
        <v>7076</v>
      </c>
      <c r="M10" s="22" t="str">
        <f aca="false">IF(I10=0,"No skip event",IF(J10=0,"PDF slip differs from skip register",IF(H10&lt;&gt;"SUPPORTING RECORD","Cover only",IF(K10=0,"No matching offer event","Reconciled"))))</f>
        <v>PDF slip differs from skip register</v>
      </c>
      <c r="N10" s="22" t="s">
        <v>10951</v>
      </c>
    </row>
    <row r="11" customFormat="false" ht="15" hidden="false" customHeight="false" outlineLevel="0" collapsed="false">
      <c r="A11" s="22" t="s">
        <v>10952</v>
      </c>
      <c r="B11" s="22" t="s">
        <v>5517</v>
      </c>
      <c r="C11" s="22" t="s">
        <v>5518</v>
      </c>
      <c r="D11" s="23" t="n">
        <v>45601</v>
      </c>
      <c r="E11" s="22" t="s">
        <v>10953</v>
      </c>
      <c r="F11" s="22" t="s">
        <v>8631</v>
      </c>
      <c r="G11" s="22" t="n">
        <v>1</v>
      </c>
      <c r="H11" s="22" t="s">
        <v>10941</v>
      </c>
      <c r="I11" s="22" t="n">
        <f aca="false">COUNTIFS('Skip Events'!$D$2:$D$413,B11,'Skip Events'!$C$2:$C$413,D11,'Skip Events'!$I$2:$I$413,F11)</f>
        <v>1</v>
      </c>
      <c r="J11" s="22" t="n">
        <f aca="false">COUNTIFS('Skip Events'!$D$2:$D$413,B11,'Skip Events'!$C$2:$C$413,D11,'Skip Events'!$F$2:$F$413,E11,'Skip Events'!$I$2:$I$413,F11)</f>
        <v>0</v>
      </c>
      <c r="K11" s="22" t="n">
        <f aca="false">COUNTIFS('Offer Events'!$C$2:$C$1487,B11,'Offer Events'!$B$2:$B$1487,D11,'Offer Events'!$E$2:$E$1487,E11,'Offer Events'!$L$2:$L$1487,"SKIPPED",'Offer Events'!$P$2:$P$1487,F11)</f>
        <v>0</v>
      </c>
      <c r="L11" s="22" t="s">
        <v>8364</v>
      </c>
      <c r="M11" s="22" t="str">
        <f aca="false">IF(I11=0,"No skip event",IF(J11=0,"PDF slip differs from skip register",IF(H11&lt;&gt;"SUPPORTING RECORD","Cover only",IF(K11=0,"No matching offer event","Reconciled"))))</f>
        <v>PDF slip differs from skip register</v>
      </c>
      <c r="N11" s="22" t="s">
        <v>10942</v>
      </c>
    </row>
  </sheetData>
  <autoFilter ref="A5:N11"/>
  <mergeCells count="3">
    <mergeCell ref="A1:N1"/>
    <mergeCell ref="A2:N2"/>
    <mergeCell ref="A3:N3"/>
  </mergeCells>
  <conditionalFormatting sqref="M6:M11">
    <cfRule type="expression" priority="2" aboveAverage="0" equalAverage="0" bottom="0" percent="0" rank="0" text="" dxfId="5">
      <formula>$M6&lt;&gt;"Reconciled"</formula>
    </cfRule>
  </conditionalFormatting>
  <printOptions headings="false" gridLines="false" gridLinesSet="true" horizontalCentered="false" verticalCentered="false"/>
  <pageMargins left="0.25" right="0.25" top="0.45" bottom="0.45" header="0.2" footer="0.2"/>
  <pageSetup paperSize="1" scale="100" fitToWidth="2" fitToHeight="0" pageOrder="downThenOver" orientation="landscape" blackAndWhite="false" draft="false" cellComments="none" horizontalDpi="300" verticalDpi="300" copies="1"/>
  <headerFooter differentFirst="false" differentOddEven="false">
    <oddHeader>&amp;LSkip Justification PDF Index</oddHeader>
    <oddFooter>&amp;C&amp;7 Page &amp;P of &amp;N&amp;R&amp;7 Chaldale Harbor District | 2026-08-07</oddFooter>
  </headerFooter>
  <drawing r:id="rId1"/>
  <tableParts>
    <tablePart r:id="rId2"/>
  </tableParts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D97706"/>
    <pageSetUpPr fitToPage="true"/>
  </sheetPr>
  <dimension ref="A1:U31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customHeight="true" zeroHeight="false" outlineLevelRow="0" outlineLevelCol="0"/>
  <cols>
    <col collapsed="false" customWidth="true" hidden="false" outlineLevel="0" max="2" min="1" style="0" width="17"/>
    <col collapsed="false" customWidth="true" hidden="false" outlineLevel="0" max="3" min="3" style="0" width="12"/>
    <col collapsed="false" customWidth="true" hidden="false" outlineLevel="0" max="4" min="4" style="0" width="14"/>
    <col collapsed="false" customWidth="true" hidden="false" outlineLevel="0" max="5" min="5" style="0" width="23"/>
    <col collapsed="false" customWidth="true" hidden="false" outlineLevel="0" max="7" min="7" style="0" width="13"/>
    <col collapsed="false" customWidth="true" hidden="false" outlineLevel="0" max="8" min="8" style="0" width="14"/>
    <col collapsed="false" customWidth="true" hidden="false" outlineLevel="0" max="9" min="9" style="0" width="22"/>
    <col collapsed="false" customWidth="true" hidden="false" outlineLevel="0" max="10" min="10" style="0" width="12"/>
    <col collapsed="false" customWidth="true" hidden="false" outlineLevel="0" max="12" min="12" style="0" width="12"/>
    <col collapsed="false" customWidth="true" hidden="false" outlineLevel="0" max="17" min="13" style="0" width="11"/>
    <col collapsed="false" customWidth="true" hidden="false" outlineLevel="0" max="18" min="18" style="0" width="12"/>
    <col collapsed="false" customWidth="true" hidden="false" outlineLevel="0" max="19" min="19" style="0" width="31"/>
    <col collapsed="false" customWidth="true" hidden="false" outlineLevel="0" max="20" min="20" style="0" width="39"/>
    <col collapsed="false" customWidth="true" hidden="false" outlineLevel="0" max="21" min="21" style="0" width="12"/>
  </cols>
  <sheetData>
    <row r="1" customFormat="false" ht="33.75" hidden="false" customHeight="true" outlineLevel="0" collapsed="false">
      <c r="A1" s="1" t="s">
        <v>10954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</row>
    <row r="2" customFormat="false" ht="27.75" hidden="false" customHeight="true" outlineLevel="0" collapsed="false">
      <c r="A2" s="2" t="s">
        <v>10955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</row>
    <row r="3" customFormat="false" ht="30" hidden="false" customHeight="true" outlineLevel="0" collapsed="false">
      <c r="A3" s="24" t="s">
        <v>10956</v>
      </c>
      <c r="B3" s="24"/>
      <c r="C3" s="24"/>
      <c r="D3" s="24"/>
      <c r="E3" s="24"/>
      <c r="F3" s="24"/>
      <c r="G3" s="24"/>
      <c r="H3" s="24"/>
      <c r="I3" s="24"/>
      <c r="J3" s="24"/>
      <c r="K3" s="24"/>
      <c r="L3" s="24"/>
      <c r="M3" s="24"/>
      <c r="N3" s="24"/>
      <c r="O3" s="24"/>
      <c r="P3" s="24"/>
      <c r="Q3" s="24"/>
      <c r="R3" s="24"/>
      <c r="S3" s="24"/>
      <c r="T3" s="24"/>
      <c r="U3" s="24"/>
    </row>
    <row r="5" customFormat="false" ht="30" hidden="false" customHeight="true" outlineLevel="0" collapsed="false">
      <c r="A5" s="13" t="s">
        <v>10478</v>
      </c>
      <c r="B5" s="13" t="s">
        <v>8589</v>
      </c>
      <c r="C5" s="13" t="s">
        <v>10479</v>
      </c>
      <c r="D5" s="13" t="s">
        <v>149</v>
      </c>
      <c r="E5" s="13" t="s">
        <v>150</v>
      </c>
      <c r="F5" s="13" t="s">
        <v>10957</v>
      </c>
      <c r="G5" s="13" t="s">
        <v>6556</v>
      </c>
      <c r="H5" s="13" t="s">
        <v>6557</v>
      </c>
      <c r="I5" s="13" t="s">
        <v>10480</v>
      </c>
      <c r="J5" s="13" t="s">
        <v>10958</v>
      </c>
      <c r="K5" s="13" t="s">
        <v>10484</v>
      </c>
      <c r="L5" s="13" t="s">
        <v>10485</v>
      </c>
      <c r="M5" s="13" t="s">
        <v>10959</v>
      </c>
      <c r="N5" s="13" t="s">
        <v>10960</v>
      </c>
      <c r="O5" s="13" t="s">
        <v>10961</v>
      </c>
      <c r="P5" s="13" t="s">
        <v>10962</v>
      </c>
      <c r="Q5" s="13" t="s">
        <v>10963</v>
      </c>
      <c r="R5" s="13" t="s">
        <v>10964</v>
      </c>
      <c r="S5" s="13" t="s">
        <v>10937</v>
      </c>
      <c r="T5" s="13" t="s">
        <v>10965</v>
      </c>
      <c r="U5" s="13" t="s">
        <v>10966</v>
      </c>
    </row>
    <row r="6" customFormat="false" ht="15" hidden="false" customHeight="false" outlineLevel="0" collapsed="false">
      <c r="A6" s="22" t="s">
        <v>10601</v>
      </c>
      <c r="B6" s="22" t="s">
        <v>9035</v>
      </c>
      <c r="C6" s="23" t="n">
        <v>44934</v>
      </c>
      <c r="D6" s="22" t="s">
        <v>4932</v>
      </c>
      <c r="E6" s="22" t="str">
        <f aca="false">IFERROR(VLOOKUP(D6,'Applicant Lookup'!$A$2:$F$2911,2,FALSE()),"Not found")</f>
        <v>Ryan Robertson</v>
      </c>
      <c r="F6" s="22" t="n">
        <v>2099</v>
      </c>
      <c r="G6" s="22" t="s">
        <v>6769</v>
      </c>
      <c r="H6" s="22" t="s">
        <v>198</v>
      </c>
      <c r="I6" s="22" t="s">
        <v>8603</v>
      </c>
      <c r="J6" s="22" t="s">
        <v>10489</v>
      </c>
      <c r="K6" s="22" t="s">
        <v>10496</v>
      </c>
      <c r="L6" s="23" t="n">
        <v>44936</v>
      </c>
      <c r="M6" s="22" t="n">
        <f aca="false">COUNTIFS('Skip PDF Index'!$B$6:$B$11,D6,'Skip PDF Index'!$D$6:$D$11,C6,'Skip PDF Index'!$F$6:$F$11,I6)</f>
        <v>0</v>
      </c>
      <c r="N6" s="22" t="n">
        <f aca="false">COUNTIFS('Skip PDF Index'!$B$6:$B$11,D6,'Skip PDF Index'!$D$6:$D$11,C6,'Skip PDF Index'!$E$6:$E$11,G6,'Skip PDF Index'!$F$6:$F$11,I6)</f>
        <v>0</v>
      </c>
      <c r="O6" s="22" t="n">
        <f aca="false">COUNTIFS('Skip PDF Index'!$B$6:$B$11,D6,'Skip PDF Index'!$D$6:$D$11,C6,'Skip PDF Index'!$E$6:$E$11,G6,'Skip PDF Index'!$F$6:$F$11,I6,'Skip PDF Index'!$H$6:$H$11,"SUPPORTING RECORD")</f>
        <v>0</v>
      </c>
      <c r="P6" s="22" t="n">
        <f aca="false">COUNTIFS('Offer Events'!$A$2:$A$1487,B6,'Offer Events'!$B$2:$B$1487,C6,'Offer Events'!$C$2:$C$1487,D6,'Offer Events'!$E$2:$E$1487,G6,'Offer Events'!$L$2:$L$1487,"SKIPPED",'Offer Events'!$P$2:$P$1487,I6)</f>
        <v>1</v>
      </c>
      <c r="Q6" s="22" t="str">
        <f aca="false">IF(L6&lt;=C6,"Y","N")</f>
        <v>N</v>
      </c>
      <c r="R6" s="22" t="str">
        <f aca="false">IF(AND(O6&gt;0,P6&gt;0,Q6="Y"),"Y","N")</f>
        <v>N</v>
      </c>
      <c r="S6" s="22" t="str">
        <f aca="false">IF(P6=0,"Offer register missing/mismatch",IF(N6=0,IF(M6&gt;0,"PDF slip mismatch","No matching PDF"),IF(O6=0,"PDF lacks supporting record","Reconciled")))</f>
        <v>No matching PDF</v>
      </c>
      <c r="T6" s="22" t="str">
        <f aca="false">IF(R6="Y","Compliant",S6&amp;IF(Q6="N","; review after skip",""))</f>
        <v>No matching PDF; review after skip</v>
      </c>
      <c r="U6" s="22" t="str">
        <f aca="false">IF(R6="Y","",IF(AND(O6&gt;0,P6&gt;0,Q6="N"),"Priority 2","Priority 1"))</f>
        <v>Priority 1</v>
      </c>
    </row>
    <row r="7" customFormat="false" ht="15" hidden="false" customHeight="false" outlineLevel="0" collapsed="false">
      <c r="A7" s="22" t="s">
        <v>10602</v>
      </c>
      <c r="B7" s="22" t="s">
        <v>9036</v>
      </c>
      <c r="C7" s="23" t="n">
        <v>44934</v>
      </c>
      <c r="D7" s="22" t="s">
        <v>4086</v>
      </c>
      <c r="E7" s="22" t="str">
        <f aca="false">IFERROR(VLOOKUP(D7,'Applicant Lookup'!$A$2:$F$2911,2,FALSE()),"Not found")</f>
        <v>Stephanie Hill</v>
      </c>
      <c r="F7" s="22" t="n">
        <v>1685</v>
      </c>
      <c r="G7" s="22" t="s">
        <v>7139</v>
      </c>
      <c r="H7" s="22" t="s">
        <v>198</v>
      </c>
      <c r="I7" s="22" t="s">
        <v>8603</v>
      </c>
      <c r="J7" s="22" t="s">
        <v>10489</v>
      </c>
      <c r="K7" s="22" t="s">
        <v>10491</v>
      </c>
      <c r="L7" s="23" t="n">
        <v>44937</v>
      </c>
      <c r="M7" s="22" t="n">
        <f aca="false">COUNTIFS('Skip PDF Index'!$B$6:$B$11,D7,'Skip PDF Index'!$D$6:$D$11,C7,'Skip PDF Index'!$F$6:$F$11,I7)</f>
        <v>0</v>
      </c>
      <c r="N7" s="22" t="n">
        <f aca="false">COUNTIFS('Skip PDF Index'!$B$6:$B$11,D7,'Skip PDF Index'!$D$6:$D$11,C7,'Skip PDF Index'!$E$6:$E$11,G7,'Skip PDF Index'!$F$6:$F$11,I7)</f>
        <v>0</v>
      </c>
      <c r="O7" s="22" t="n">
        <f aca="false">COUNTIFS('Skip PDF Index'!$B$6:$B$11,D7,'Skip PDF Index'!$D$6:$D$11,C7,'Skip PDF Index'!$E$6:$E$11,G7,'Skip PDF Index'!$F$6:$F$11,I7,'Skip PDF Index'!$H$6:$H$11,"SUPPORTING RECORD")</f>
        <v>0</v>
      </c>
      <c r="P7" s="22" t="n">
        <f aca="false">COUNTIFS('Offer Events'!$A$2:$A$1487,B7,'Offer Events'!$B$2:$B$1487,C7,'Offer Events'!$C$2:$C$1487,D7,'Offer Events'!$E$2:$E$1487,G7,'Offer Events'!$L$2:$L$1487,"SKIPPED",'Offer Events'!$P$2:$P$1487,I7)</f>
        <v>1</v>
      </c>
      <c r="Q7" s="22" t="str">
        <f aca="false">IF(L7&lt;=C7,"Y","N")</f>
        <v>N</v>
      </c>
      <c r="R7" s="22" t="str">
        <f aca="false">IF(AND(O7&gt;0,P7&gt;0,Q7="Y"),"Y","N")</f>
        <v>N</v>
      </c>
      <c r="S7" s="22" t="str">
        <f aca="false">IF(P7=0,"Offer register missing/mismatch",IF(N7=0,IF(M7&gt;0,"PDF slip mismatch","No matching PDF"),IF(O7=0,"PDF lacks supporting record","Reconciled")))</f>
        <v>No matching PDF</v>
      </c>
      <c r="T7" s="22" t="str">
        <f aca="false">IF(R7="Y","Compliant",S7&amp;IF(Q7="N","; review after skip",""))</f>
        <v>No matching PDF; review after skip</v>
      </c>
      <c r="U7" s="22" t="str">
        <f aca="false">IF(R7="Y","",IF(AND(O7&gt;0,P7&gt;0,Q7="N"),"Priority 2","Priority 1"))</f>
        <v>Priority 1</v>
      </c>
    </row>
    <row r="8" customFormat="false" ht="15" hidden="false" customHeight="false" outlineLevel="0" collapsed="false">
      <c r="A8" s="22" t="s">
        <v>10603</v>
      </c>
      <c r="B8" s="22" t="s">
        <v>9038</v>
      </c>
      <c r="C8" s="23" t="n">
        <v>44952</v>
      </c>
      <c r="D8" s="22" t="s">
        <v>996</v>
      </c>
      <c r="E8" s="22" t="str">
        <f aca="false">IFERROR(VLOOKUP(D8,'Applicant Lookup'!$A$2:$F$2911,2,FALSE()),"Not found")</f>
        <v>Jason Boyd</v>
      </c>
      <c r="F8" s="22" t="n">
        <v>298</v>
      </c>
      <c r="G8" s="22" t="s">
        <v>8232</v>
      </c>
      <c r="H8" s="22" t="s">
        <v>499</v>
      </c>
      <c r="I8" s="22" t="s">
        <v>8603</v>
      </c>
      <c r="J8" s="22" t="s">
        <v>10489</v>
      </c>
      <c r="K8" s="22" t="s">
        <v>10496</v>
      </c>
      <c r="L8" s="23" t="n">
        <v>44955</v>
      </c>
      <c r="M8" s="22" t="n">
        <f aca="false">COUNTIFS('Skip PDF Index'!$B$6:$B$11,D8,'Skip PDF Index'!$D$6:$D$11,C8,'Skip PDF Index'!$F$6:$F$11,I8)</f>
        <v>0</v>
      </c>
      <c r="N8" s="22" t="n">
        <f aca="false">COUNTIFS('Skip PDF Index'!$B$6:$B$11,D8,'Skip PDF Index'!$D$6:$D$11,C8,'Skip PDF Index'!$E$6:$E$11,G8,'Skip PDF Index'!$F$6:$F$11,I8)</f>
        <v>0</v>
      </c>
      <c r="O8" s="22" t="n">
        <f aca="false">COUNTIFS('Skip PDF Index'!$B$6:$B$11,D8,'Skip PDF Index'!$D$6:$D$11,C8,'Skip PDF Index'!$E$6:$E$11,G8,'Skip PDF Index'!$F$6:$F$11,I8,'Skip PDF Index'!$H$6:$H$11,"SUPPORTING RECORD")</f>
        <v>0</v>
      </c>
      <c r="P8" s="22" t="n">
        <f aca="false">COUNTIFS('Offer Events'!$A$2:$A$1487,B8,'Offer Events'!$B$2:$B$1487,C8,'Offer Events'!$C$2:$C$1487,D8,'Offer Events'!$E$2:$E$1487,G8,'Offer Events'!$L$2:$L$1487,"SKIPPED",'Offer Events'!$P$2:$P$1487,I8)</f>
        <v>1</v>
      </c>
      <c r="Q8" s="22" t="str">
        <f aca="false">IF(L8&lt;=C8,"Y","N")</f>
        <v>N</v>
      </c>
      <c r="R8" s="22" t="str">
        <f aca="false">IF(AND(O8&gt;0,P8&gt;0,Q8="Y"),"Y","N")</f>
        <v>N</v>
      </c>
      <c r="S8" s="22" t="str">
        <f aca="false">IF(P8=0,"Offer register missing/mismatch",IF(N8=0,IF(M8&gt;0,"PDF slip mismatch","No matching PDF"),IF(O8=0,"PDF lacks supporting record","Reconciled")))</f>
        <v>No matching PDF</v>
      </c>
      <c r="T8" s="22" t="str">
        <f aca="false">IF(R8="Y","Compliant",S8&amp;IF(Q8="N","; review after skip",""))</f>
        <v>No matching PDF; review after skip</v>
      </c>
      <c r="U8" s="22" t="str">
        <f aca="false">IF(R8="Y","",IF(AND(O8&gt;0,P8&gt;0,Q8="N"),"Priority 2","Priority 1"))</f>
        <v>Priority 1</v>
      </c>
    </row>
    <row r="9" customFormat="false" ht="15" hidden="false" customHeight="false" outlineLevel="0" collapsed="false">
      <c r="A9" s="22" t="s">
        <v>10604</v>
      </c>
      <c r="B9" s="22" t="s">
        <v>9048</v>
      </c>
      <c r="C9" s="23" t="n">
        <v>44934</v>
      </c>
      <c r="D9" s="22" t="s">
        <v>2547</v>
      </c>
      <c r="E9" s="22" t="str">
        <f aca="false">IFERROR(VLOOKUP(D9,'Applicant Lookup'!$A$2:$F$2911,2,FALSE()),"Not found")</f>
        <v>Jonathan Moore</v>
      </c>
      <c r="F9" s="22" t="n">
        <v>959</v>
      </c>
      <c r="G9" s="22" t="s">
        <v>7691</v>
      </c>
      <c r="H9" s="22" t="s">
        <v>159</v>
      </c>
      <c r="I9" s="22" t="s">
        <v>8618</v>
      </c>
      <c r="J9" s="22" t="s">
        <v>10489</v>
      </c>
      <c r="K9" s="22" t="s">
        <v>10513</v>
      </c>
      <c r="L9" s="23" t="n">
        <v>44937</v>
      </c>
      <c r="M9" s="22" t="n">
        <f aca="false">COUNTIFS('Skip PDF Index'!$B$6:$B$11,D9,'Skip PDF Index'!$D$6:$D$11,C9,'Skip PDF Index'!$F$6:$F$11,I9)</f>
        <v>0</v>
      </c>
      <c r="N9" s="22" t="n">
        <f aca="false">COUNTIFS('Skip PDF Index'!$B$6:$B$11,D9,'Skip PDF Index'!$D$6:$D$11,C9,'Skip PDF Index'!$E$6:$E$11,G9,'Skip PDF Index'!$F$6:$F$11,I9)</f>
        <v>0</v>
      </c>
      <c r="O9" s="22" t="n">
        <f aca="false">COUNTIFS('Skip PDF Index'!$B$6:$B$11,D9,'Skip PDF Index'!$D$6:$D$11,C9,'Skip PDF Index'!$E$6:$E$11,G9,'Skip PDF Index'!$F$6:$F$11,I9,'Skip PDF Index'!$H$6:$H$11,"SUPPORTING RECORD")</f>
        <v>0</v>
      </c>
      <c r="P9" s="22" t="n">
        <f aca="false">COUNTIFS('Offer Events'!$A$2:$A$1487,B9,'Offer Events'!$B$2:$B$1487,C9,'Offer Events'!$C$2:$C$1487,D9,'Offer Events'!$E$2:$E$1487,G9,'Offer Events'!$L$2:$L$1487,"SKIPPED",'Offer Events'!$P$2:$P$1487,I9)</f>
        <v>1</v>
      </c>
      <c r="Q9" s="22" t="str">
        <f aca="false">IF(L9&lt;=C9,"Y","N")</f>
        <v>N</v>
      </c>
      <c r="R9" s="22" t="str">
        <f aca="false">IF(AND(O9&gt;0,P9&gt;0,Q9="Y"),"Y","N")</f>
        <v>N</v>
      </c>
      <c r="S9" s="22" t="str">
        <f aca="false">IF(P9=0,"Offer register missing/mismatch",IF(N9=0,IF(M9&gt;0,"PDF slip mismatch","No matching PDF"),IF(O9=0,"PDF lacks supporting record","Reconciled")))</f>
        <v>No matching PDF</v>
      </c>
      <c r="T9" s="22" t="str">
        <f aca="false">IF(R9="Y","Compliant",S9&amp;IF(Q9="N","; review after skip",""))</f>
        <v>No matching PDF; review after skip</v>
      </c>
      <c r="U9" s="22" t="str">
        <f aca="false">IF(R9="Y","",IF(AND(O9&gt;0,P9&gt;0,Q9="N"),"Priority 2","Priority 1"))</f>
        <v>Priority 1</v>
      </c>
    </row>
    <row r="10" customFormat="false" ht="15" hidden="false" customHeight="false" outlineLevel="0" collapsed="false">
      <c r="A10" s="22" t="s">
        <v>10605</v>
      </c>
      <c r="B10" s="22" t="s">
        <v>9054</v>
      </c>
      <c r="C10" s="23" t="n">
        <v>44936</v>
      </c>
      <c r="D10" s="22" t="s">
        <v>1960</v>
      </c>
      <c r="E10" s="22" t="str">
        <f aca="false">IFERROR(VLOOKUP(D10,'Applicant Lookup'!$A$2:$F$2911,2,FALSE()),"Not found")</f>
        <v>Antonio Leach</v>
      </c>
      <c r="F10" s="22" t="n">
        <v>695</v>
      </c>
      <c r="G10" s="22" t="s">
        <v>7737</v>
      </c>
      <c r="H10" s="22" t="s">
        <v>215</v>
      </c>
      <c r="I10" s="22" t="s">
        <v>8603</v>
      </c>
      <c r="J10" s="22" t="s">
        <v>10518</v>
      </c>
      <c r="K10" s="22" t="s">
        <v>10555</v>
      </c>
      <c r="L10" s="23" t="n">
        <v>44939</v>
      </c>
      <c r="M10" s="22" t="n">
        <f aca="false">COUNTIFS('Skip PDF Index'!$B$6:$B$11,D10,'Skip PDF Index'!$D$6:$D$11,C10,'Skip PDF Index'!$F$6:$F$11,I10)</f>
        <v>0</v>
      </c>
      <c r="N10" s="22" t="n">
        <f aca="false">COUNTIFS('Skip PDF Index'!$B$6:$B$11,D10,'Skip PDF Index'!$D$6:$D$11,C10,'Skip PDF Index'!$E$6:$E$11,G10,'Skip PDF Index'!$F$6:$F$11,I10)</f>
        <v>0</v>
      </c>
      <c r="O10" s="22" t="n">
        <f aca="false">COUNTIFS('Skip PDF Index'!$B$6:$B$11,D10,'Skip PDF Index'!$D$6:$D$11,C10,'Skip PDF Index'!$E$6:$E$11,G10,'Skip PDF Index'!$F$6:$F$11,I10,'Skip PDF Index'!$H$6:$H$11,"SUPPORTING RECORD")</f>
        <v>0</v>
      </c>
      <c r="P10" s="22" t="n">
        <f aca="false">COUNTIFS('Offer Events'!$A$2:$A$1487,B10,'Offer Events'!$B$2:$B$1487,C10,'Offer Events'!$C$2:$C$1487,D10,'Offer Events'!$E$2:$E$1487,G10,'Offer Events'!$L$2:$L$1487,"SKIPPED",'Offer Events'!$P$2:$P$1487,I10)</f>
        <v>1</v>
      </c>
      <c r="Q10" s="22" t="str">
        <f aca="false">IF(L10&lt;=C10,"Y","N")</f>
        <v>N</v>
      </c>
      <c r="R10" s="22" t="str">
        <f aca="false">IF(AND(O10&gt;0,P10&gt;0,Q10="Y"),"Y","N")</f>
        <v>N</v>
      </c>
      <c r="S10" s="22" t="str">
        <f aca="false">IF(P10=0,"Offer register missing/mismatch",IF(N10=0,IF(M10&gt;0,"PDF slip mismatch","No matching PDF"),IF(O10=0,"PDF lacks supporting record","Reconciled")))</f>
        <v>No matching PDF</v>
      </c>
      <c r="T10" s="22" t="str">
        <f aca="false">IF(R10="Y","Compliant",S10&amp;IF(Q10="N","; review after skip",""))</f>
        <v>No matching PDF; review after skip</v>
      </c>
      <c r="U10" s="22" t="str">
        <f aca="false">IF(R10="Y","",IF(AND(O10&gt;0,P10&gt;0,Q10="N"),"Priority 2","Priority 1"))</f>
        <v>Priority 1</v>
      </c>
    </row>
    <row r="11" customFormat="false" ht="15" hidden="false" customHeight="false" outlineLevel="0" collapsed="false">
      <c r="A11" s="22" t="s">
        <v>10606</v>
      </c>
      <c r="B11" s="22" t="s">
        <v>9060</v>
      </c>
      <c r="C11" s="23" t="n">
        <v>44975</v>
      </c>
      <c r="D11" s="22" t="s">
        <v>3841</v>
      </c>
      <c r="E11" s="22" t="str">
        <f aca="false">IFERROR(VLOOKUP(D11,'Applicant Lookup'!$A$2:$F$2911,2,FALSE()),"Not found")</f>
        <v>Christina Smith</v>
      </c>
      <c r="F11" s="22" t="n">
        <v>1565</v>
      </c>
      <c r="G11" s="22" t="s">
        <v>8054</v>
      </c>
      <c r="H11" s="22" t="s">
        <v>499</v>
      </c>
      <c r="I11" s="22" t="s">
        <v>8603</v>
      </c>
      <c r="J11" s="22" t="s">
        <v>10489</v>
      </c>
      <c r="K11" s="22" t="s">
        <v>10506</v>
      </c>
      <c r="L11" s="23" t="n">
        <v>44980</v>
      </c>
      <c r="M11" s="22" t="n">
        <f aca="false">COUNTIFS('Skip PDF Index'!$B$6:$B$11,D11,'Skip PDF Index'!$D$6:$D$11,C11,'Skip PDF Index'!$F$6:$F$11,I11)</f>
        <v>0</v>
      </c>
      <c r="N11" s="22" t="n">
        <f aca="false">COUNTIFS('Skip PDF Index'!$B$6:$B$11,D11,'Skip PDF Index'!$D$6:$D$11,C11,'Skip PDF Index'!$E$6:$E$11,G11,'Skip PDF Index'!$F$6:$F$11,I11)</f>
        <v>0</v>
      </c>
      <c r="O11" s="22" t="n">
        <f aca="false">COUNTIFS('Skip PDF Index'!$B$6:$B$11,D11,'Skip PDF Index'!$D$6:$D$11,C11,'Skip PDF Index'!$E$6:$E$11,G11,'Skip PDF Index'!$F$6:$F$11,I11,'Skip PDF Index'!$H$6:$H$11,"SUPPORTING RECORD")</f>
        <v>0</v>
      </c>
      <c r="P11" s="22" t="n">
        <f aca="false">COUNTIFS('Offer Events'!$A$2:$A$1487,B11,'Offer Events'!$B$2:$B$1487,C11,'Offer Events'!$C$2:$C$1487,D11,'Offer Events'!$E$2:$E$1487,G11,'Offer Events'!$L$2:$L$1487,"SKIPPED",'Offer Events'!$P$2:$P$1487,I11)</f>
        <v>1</v>
      </c>
      <c r="Q11" s="22" t="str">
        <f aca="false">IF(L11&lt;=C11,"Y","N")</f>
        <v>N</v>
      </c>
      <c r="R11" s="22" t="str">
        <f aca="false">IF(AND(O11&gt;0,P11&gt;0,Q11="Y"),"Y","N")</f>
        <v>N</v>
      </c>
      <c r="S11" s="22" t="str">
        <f aca="false">IF(P11=0,"Offer register missing/mismatch",IF(N11=0,IF(M11&gt;0,"PDF slip mismatch","No matching PDF"),IF(O11=0,"PDF lacks supporting record","Reconciled")))</f>
        <v>No matching PDF</v>
      </c>
      <c r="T11" s="22" t="str">
        <f aca="false">IF(R11="Y","Compliant",S11&amp;IF(Q11="N","; review after skip",""))</f>
        <v>No matching PDF; review after skip</v>
      </c>
      <c r="U11" s="22" t="str">
        <f aca="false">IF(R11="Y","",IF(AND(O11&gt;0,P11&gt;0,Q11="N"),"Priority 2","Priority 1"))</f>
        <v>Priority 1</v>
      </c>
    </row>
    <row r="12" customFormat="false" ht="15" hidden="false" customHeight="false" outlineLevel="0" collapsed="false">
      <c r="A12" s="22" t="s">
        <v>10607</v>
      </c>
      <c r="B12" s="22" t="s">
        <v>9063</v>
      </c>
      <c r="C12" s="23" t="n">
        <v>44976</v>
      </c>
      <c r="D12" s="22" t="s">
        <v>4044</v>
      </c>
      <c r="E12" s="22" t="str">
        <f aca="false">IFERROR(VLOOKUP(D12,'Applicant Lookup'!$A$2:$F$2911,2,FALSE()),"Not found")</f>
        <v>Mark Smith</v>
      </c>
      <c r="F12" s="22" t="n">
        <v>1664</v>
      </c>
      <c r="G12" s="22" t="s">
        <v>8093</v>
      </c>
      <c r="H12" s="22" t="s">
        <v>499</v>
      </c>
      <c r="I12" s="22" t="s">
        <v>8637</v>
      </c>
      <c r="J12" s="22" t="s">
        <v>10489</v>
      </c>
      <c r="K12" s="22" t="s">
        <v>10511</v>
      </c>
      <c r="L12" s="23" t="n">
        <v>44976</v>
      </c>
      <c r="M12" s="22" t="n">
        <f aca="false">COUNTIFS('Skip PDF Index'!$B$6:$B$11,D12,'Skip PDF Index'!$D$6:$D$11,C12,'Skip PDF Index'!$F$6:$F$11,I12)</f>
        <v>0</v>
      </c>
      <c r="N12" s="22" t="n">
        <f aca="false">COUNTIFS('Skip PDF Index'!$B$6:$B$11,D12,'Skip PDF Index'!$D$6:$D$11,C12,'Skip PDF Index'!$E$6:$E$11,G12,'Skip PDF Index'!$F$6:$F$11,I12)</f>
        <v>0</v>
      </c>
      <c r="O12" s="22" t="n">
        <f aca="false">COUNTIFS('Skip PDF Index'!$B$6:$B$11,D12,'Skip PDF Index'!$D$6:$D$11,C12,'Skip PDF Index'!$E$6:$E$11,G12,'Skip PDF Index'!$F$6:$F$11,I12,'Skip PDF Index'!$H$6:$H$11,"SUPPORTING RECORD")</f>
        <v>0</v>
      </c>
      <c r="P12" s="22" t="n">
        <f aca="false">COUNTIFS('Offer Events'!$A$2:$A$1487,B12,'Offer Events'!$B$2:$B$1487,C12,'Offer Events'!$C$2:$C$1487,D12,'Offer Events'!$E$2:$E$1487,G12,'Offer Events'!$L$2:$L$1487,"SKIPPED",'Offer Events'!$P$2:$P$1487,I12)</f>
        <v>1</v>
      </c>
      <c r="Q12" s="22" t="str">
        <f aca="false">IF(L12&lt;=C12,"Y","N")</f>
        <v>Y</v>
      </c>
      <c r="R12" s="22" t="str">
        <f aca="false">IF(AND(O12&gt;0,P12&gt;0,Q12="Y"),"Y","N")</f>
        <v>N</v>
      </c>
      <c r="S12" s="22" t="str">
        <f aca="false">IF(P12=0,"Offer register missing/mismatch",IF(N12=0,IF(M12&gt;0,"PDF slip mismatch","No matching PDF"),IF(O12=0,"PDF lacks supporting record","Reconciled")))</f>
        <v>No matching PDF</v>
      </c>
      <c r="T12" s="22" t="str">
        <f aca="false">IF(R12="Y","Compliant",S12&amp;IF(Q12="N","; review after skip",""))</f>
        <v>No matching PDF</v>
      </c>
      <c r="U12" s="22" t="str">
        <f aca="false">IF(R12="Y","",IF(AND(O12&gt;0,P12&gt;0,Q12="N"),"Priority 2","Priority 1"))</f>
        <v>Priority 1</v>
      </c>
    </row>
    <row r="13" customFormat="false" ht="15" hidden="false" customHeight="false" outlineLevel="0" collapsed="false">
      <c r="A13" s="22" t="s">
        <v>10608</v>
      </c>
      <c r="B13" s="22" t="s">
        <v>9064</v>
      </c>
      <c r="C13" s="23" t="n">
        <v>44967</v>
      </c>
      <c r="D13" s="22" t="s">
        <v>5903</v>
      </c>
      <c r="E13" s="22" t="str">
        <f aca="false">IFERROR(VLOOKUP(D13,'Applicant Lookup'!$A$2:$F$2911,2,FALSE()),"Not found")</f>
        <v>Melissa Jones</v>
      </c>
      <c r="F13" s="22" t="n">
        <v>2582</v>
      </c>
      <c r="G13" s="22" t="s">
        <v>8211</v>
      </c>
      <c r="H13" s="22" t="s">
        <v>499</v>
      </c>
      <c r="I13" s="22" t="s">
        <v>8618</v>
      </c>
      <c r="J13" s="22" t="s">
        <v>10489</v>
      </c>
      <c r="K13" s="22" t="s">
        <v>10511</v>
      </c>
      <c r="L13" s="23" t="n">
        <v>44971</v>
      </c>
      <c r="M13" s="22" t="n">
        <f aca="false">COUNTIFS('Skip PDF Index'!$B$6:$B$11,D13,'Skip PDF Index'!$D$6:$D$11,C13,'Skip PDF Index'!$F$6:$F$11,I13)</f>
        <v>0</v>
      </c>
      <c r="N13" s="22" t="n">
        <f aca="false">COUNTIFS('Skip PDF Index'!$B$6:$B$11,D13,'Skip PDF Index'!$D$6:$D$11,C13,'Skip PDF Index'!$E$6:$E$11,G13,'Skip PDF Index'!$F$6:$F$11,I13)</f>
        <v>0</v>
      </c>
      <c r="O13" s="22" t="n">
        <f aca="false">COUNTIFS('Skip PDF Index'!$B$6:$B$11,D13,'Skip PDF Index'!$D$6:$D$11,C13,'Skip PDF Index'!$E$6:$E$11,G13,'Skip PDF Index'!$F$6:$F$11,I13,'Skip PDF Index'!$H$6:$H$11,"SUPPORTING RECORD")</f>
        <v>0</v>
      </c>
      <c r="P13" s="22" t="n">
        <f aca="false">COUNTIFS('Offer Events'!$A$2:$A$1487,B13,'Offer Events'!$B$2:$B$1487,C13,'Offer Events'!$C$2:$C$1487,D13,'Offer Events'!$E$2:$E$1487,G13,'Offer Events'!$L$2:$L$1487,"SKIPPED",'Offer Events'!$P$2:$P$1487,I13)</f>
        <v>1</v>
      </c>
      <c r="Q13" s="22" t="str">
        <f aca="false">IF(L13&lt;=C13,"Y","N")</f>
        <v>N</v>
      </c>
      <c r="R13" s="22" t="str">
        <f aca="false">IF(AND(O13&gt;0,P13&gt;0,Q13="Y"),"Y","N")</f>
        <v>N</v>
      </c>
      <c r="S13" s="22" t="str">
        <f aca="false">IF(P13=0,"Offer register missing/mismatch",IF(N13=0,IF(M13&gt;0,"PDF slip mismatch","No matching PDF"),IF(O13=0,"PDF lacks supporting record","Reconciled")))</f>
        <v>No matching PDF</v>
      </c>
      <c r="T13" s="22" t="str">
        <f aca="false">IF(R13="Y","Compliant",S13&amp;IF(Q13="N","; review after skip",""))</f>
        <v>No matching PDF; review after skip</v>
      </c>
      <c r="U13" s="22" t="str">
        <f aca="false">IF(R13="Y","",IF(AND(O13&gt;0,P13&gt;0,Q13="N"),"Priority 2","Priority 1"))</f>
        <v>Priority 1</v>
      </c>
    </row>
    <row r="14" customFormat="false" ht="15" hidden="false" customHeight="false" outlineLevel="0" collapsed="false">
      <c r="A14" s="22" t="s">
        <v>10609</v>
      </c>
      <c r="B14" s="22" t="s">
        <v>9071</v>
      </c>
      <c r="C14" s="23" t="n">
        <v>44974</v>
      </c>
      <c r="D14" s="22" t="s">
        <v>4562</v>
      </c>
      <c r="E14" s="22" t="str">
        <f aca="false">IFERROR(VLOOKUP(D14,'Applicant Lookup'!$A$2:$F$2911,2,FALSE()),"Not found")</f>
        <v>Kara Aguilar</v>
      </c>
      <c r="F14" s="22" t="n">
        <v>1918</v>
      </c>
      <c r="G14" s="22" t="s">
        <v>7289</v>
      </c>
      <c r="H14" s="22" t="s">
        <v>198</v>
      </c>
      <c r="I14" s="22" t="s">
        <v>8631</v>
      </c>
      <c r="J14" s="22" t="s">
        <v>10489</v>
      </c>
      <c r="K14" s="22" t="s">
        <v>10504</v>
      </c>
      <c r="L14" s="23" t="n">
        <v>44978</v>
      </c>
      <c r="M14" s="22" t="n">
        <f aca="false">COUNTIFS('Skip PDF Index'!$B$6:$B$11,D14,'Skip PDF Index'!$D$6:$D$11,C14,'Skip PDF Index'!$F$6:$F$11,I14)</f>
        <v>0</v>
      </c>
      <c r="N14" s="22" t="n">
        <f aca="false">COUNTIFS('Skip PDF Index'!$B$6:$B$11,D14,'Skip PDF Index'!$D$6:$D$11,C14,'Skip PDF Index'!$E$6:$E$11,G14,'Skip PDF Index'!$F$6:$F$11,I14)</f>
        <v>0</v>
      </c>
      <c r="O14" s="22" t="n">
        <f aca="false">COUNTIFS('Skip PDF Index'!$B$6:$B$11,D14,'Skip PDF Index'!$D$6:$D$11,C14,'Skip PDF Index'!$E$6:$E$11,G14,'Skip PDF Index'!$F$6:$F$11,I14,'Skip PDF Index'!$H$6:$H$11,"SUPPORTING RECORD")</f>
        <v>0</v>
      </c>
      <c r="P14" s="22" t="n">
        <f aca="false">COUNTIFS('Offer Events'!$A$2:$A$1487,B14,'Offer Events'!$B$2:$B$1487,C14,'Offer Events'!$C$2:$C$1487,D14,'Offer Events'!$E$2:$E$1487,G14,'Offer Events'!$L$2:$L$1487,"SKIPPED",'Offer Events'!$P$2:$P$1487,I14)</f>
        <v>1</v>
      </c>
      <c r="Q14" s="22" t="str">
        <f aca="false">IF(L14&lt;=C14,"Y","N")</f>
        <v>N</v>
      </c>
      <c r="R14" s="22" t="str">
        <f aca="false">IF(AND(O14&gt;0,P14&gt;0,Q14="Y"),"Y","N")</f>
        <v>N</v>
      </c>
      <c r="S14" s="22" t="str">
        <f aca="false">IF(P14=0,"Offer register missing/mismatch",IF(N14=0,IF(M14&gt;0,"PDF slip mismatch","No matching PDF"),IF(O14=0,"PDF lacks supporting record","Reconciled")))</f>
        <v>No matching PDF</v>
      </c>
      <c r="T14" s="22" t="str">
        <f aca="false">IF(R14="Y","Compliant",S14&amp;IF(Q14="N","; review after skip",""))</f>
        <v>No matching PDF; review after skip</v>
      </c>
      <c r="U14" s="22" t="str">
        <f aca="false">IF(R14="Y","",IF(AND(O14&gt;0,P14&gt;0,Q14="N"),"Priority 2","Priority 1"))</f>
        <v>Priority 1</v>
      </c>
    </row>
    <row r="15" customFormat="false" ht="15" hidden="false" customHeight="false" outlineLevel="0" collapsed="false">
      <c r="A15" s="22" t="s">
        <v>10610</v>
      </c>
      <c r="B15" s="22" t="s">
        <v>9086</v>
      </c>
      <c r="C15" s="23" t="n">
        <v>45000</v>
      </c>
      <c r="D15" s="22" t="s">
        <v>5786</v>
      </c>
      <c r="E15" s="22" t="str">
        <f aca="false">IFERROR(VLOOKUP(D15,'Applicant Lookup'!$A$2:$F$2911,2,FALSE()),"Not found")</f>
        <v>Darlene Glover</v>
      </c>
      <c r="F15" s="22" t="n">
        <v>2523</v>
      </c>
      <c r="G15" s="22" t="s">
        <v>8381</v>
      </c>
      <c r="H15" s="22" t="s">
        <v>188</v>
      </c>
      <c r="I15" s="22" t="s">
        <v>8603</v>
      </c>
      <c r="J15" s="22" t="s">
        <v>10518</v>
      </c>
      <c r="K15" s="22" t="s">
        <v>10501</v>
      </c>
      <c r="L15" s="23" t="n">
        <v>45003</v>
      </c>
      <c r="M15" s="22" t="n">
        <f aca="false">COUNTIFS('Skip PDF Index'!$B$6:$B$11,D15,'Skip PDF Index'!$D$6:$D$11,C15,'Skip PDF Index'!$F$6:$F$11,I15)</f>
        <v>0</v>
      </c>
      <c r="N15" s="22" t="n">
        <f aca="false">COUNTIFS('Skip PDF Index'!$B$6:$B$11,D15,'Skip PDF Index'!$D$6:$D$11,C15,'Skip PDF Index'!$E$6:$E$11,G15,'Skip PDF Index'!$F$6:$F$11,I15)</f>
        <v>0</v>
      </c>
      <c r="O15" s="22" t="n">
        <f aca="false">COUNTIFS('Skip PDF Index'!$B$6:$B$11,D15,'Skip PDF Index'!$D$6:$D$11,C15,'Skip PDF Index'!$E$6:$E$11,G15,'Skip PDF Index'!$F$6:$F$11,I15,'Skip PDF Index'!$H$6:$H$11,"SUPPORTING RECORD")</f>
        <v>0</v>
      </c>
      <c r="P15" s="22" t="n">
        <f aca="false">COUNTIFS('Offer Events'!$A$2:$A$1487,B15,'Offer Events'!$B$2:$B$1487,C15,'Offer Events'!$C$2:$C$1487,D15,'Offer Events'!$E$2:$E$1487,G15,'Offer Events'!$L$2:$L$1487,"SKIPPED",'Offer Events'!$P$2:$P$1487,I15)</f>
        <v>1</v>
      </c>
      <c r="Q15" s="22" t="str">
        <f aca="false">IF(L15&lt;=C15,"Y","N")</f>
        <v>N</v>
      </c>
      <c r="R15" s="22" t="str">
        <f aca="false">IF(AND(O15&gt;0,P15&gt;0,Q15="Y"),"Y","N")</f>
        <v>N</v>
      </c>
      <c r="S15" s="22" t="str">
        <f aca="false">IF(P15=0,"Offer register missing/mismatch",IF(N15=0,IF(M15&gt;0,"PDF slip mismatch","No matching PDF"),IF(O15=0,"PDF lacks supporting record","Reconciled")))</f>
        <v>No matching PDF</v>
      </c>
      <c r="T15" s="22" t="str">
        <f aca="false">IF(R15="Y","Compliant",S15&amp;IF(Q15="N","; review after skip",""))</f>
        <v>No matching PDF; review after skip</v>
      </c>
      <c r="U15" s="22" t="str">
        <f aca="false">IF(R15="Y","",IF(AND(O15&gt;0,P15&gt;0,Q15="N"),"Priority 2","Priority 1"))</f>
        <v>Priority 1</v>
      </c>
    </row>
    <row r="16" customFormat="false" ht="15" hidden="false" customHeight="false" outlineLevel="0" collapsed="false">
      <c r="A16" s="22" t="s">
        <v>10611</v>
      </c>
      <c r="B16" s="22" t="s">
        <v>9087</v>
      </c>
      <c r="C16" s="23" t="n">
        <v>44991</v>
      </c>
      <c r="D16" s="22" t="s">
        <v>3433</v>
      </c>
      <c r="E16" s="22" t="str">
        <f aca="false">IFERROR(VLOOKUP(D16,'Applicant Lookup'!$A$2:$F$2911,2,FALSE()),"Not found")</f>
        <v>Megan Hoffman</v>
      </c>
      <c r="F16" s="22" t="n">
        <v>1366</v>
      </c>
      <c r="G16" s="22" t="s">
        <v>7289</v>
      </c>
      <c r="H16" s="22" t="s">
        <v>198</v>
      </c>
      <c r="I16" s="22" t="s">
        <v>8603</v>
      </c>
      <c r="J16" s="22" t="s">
        <v>10489</v>
      </c>
      <c r="K16" s="22" t="s">
        <v>10516</v>
      </c>
      <c r="L16" s="23" t="n">
        <v>44995</v>
      </c>
      <c r="M16" s="22" t="n">
        <f aca="false">COUNTIFS('Skip PDF Index'!$B$6:$B$11,D16,'Skip PDF Index'!$D$6:$D$11,C16,'Skip PDF Index'!$F$6:$F$11,I16)</f>
        <v>0</v>
      </c>
      <c r="N16" s="22" t="n">
        <f aca="false">COUNTIFS('Skip PDF Index'!$B$6:$B$11,D16,'Skip PDF Index'!$D$6:$D$11,C16,'Skip PDF Index'!$E$6:$E$11,G16,'Skip PDF Index'!$F$6:$F$11,I16)</f>
        <v>0</v>
      </c>
      <c r="O16" s="22" t="n">
        <f aca="false">COUNTIFS('Skip PDF Index'!$B$6:$B$11,D16,'Skip PDF Index'!$D$6:$D$11,C16,'Skip PDF Index'!$E$6:$E$11,G16,'Skip PDF Index'!$F$6:$F$11,I16,'Skip PDF Index'!$H$6:$H$11,"SUPPORTING RECORD")</f>
        <v>0</v>
      </c>
      <c r="P16" s="22" t="n">
        <f aca="false">COUNTIFS('Offer Events'!$A$2:$A$1487,B16,'Offer Events'!$B$2:$B$1487,C16,'Offer Events'!$C$2:$C$1487,D16,'Offer Events'!$E$2:$E$1487,G16,'Offer Events'!$L$2:$L$1487,"SKIPPED",'Offer Events'!$P$2:$P$1487,I16)</f>
        <v>1</v>
      </c>
      <c r="Q16" s="22" t="str">
        <f aca="false">IF(L16&lt;=C16,"Y","N")</f>
        <v>N</v>
      </c>
      <c r="R16" s="22" t="str">
        <f aca="false">IF(AND(O16&gt;0,P16&gt;0,Q16="Y"),"Y","N")</f>
        <v>N</v>
      </c>
      <c r="S16" s="22" t="str">
        <f aca="false">IF(P16=0,"Offer register missing/mismatch",IF(N16=0,IF(M16&gt;0,"PDF slip mismatch","No matching PDF"),IF(O16=0,"PDF lacks supporting record","Reconciled")))</f>
        <v>No matching PDF</v>
      </c>
      <c r="T16" s="22" t="str">
        <f aca="false">IF(R16="Y","Compliant",S16&amp;IF(Q16="N","; review after skip",""))</f>
        <v>No matching PDF; review after skip</v>
      </c>
      <c r="U16" s="22" t="str">
        <f aca="false">IF(R16="Y","",IF(AND(O16&gt;0,P16&gt;0,Q16="N"),"Priority 2","Priority 1"))</f>
        <v>Priority 1</v>
      </c>
    </row>
    <row r="17" customFormat="false" ht="15" hidden="false" customHeight="false" outlineLevel="0" collapsed="false">
      <c r="A17" s="22" t="s">
        <v>10612</v>
      </c>
      <c r="B17" s="22" t="s">
        <v>9092</v>
      </c>
      <c r="C17" s="23" t="n">
        <v>45012</v>
      </c>
      <c r="D17" s="22" t="s">
        <v>1230</v>
      </c>
      <c r="E17" s="22" t="str">
        <f aca="false">IFERROR(VLOOKUP(D17,'Applicant Lookup'!$A$2:$F$2911,2,FALSE()),"Not found")</f>
        <v>Sharon Young</v>
      </c>
      <c r="F17" s="22" t="n">
        <v>388</v>
      </c>
      <c r="G17" s="22" t="s">
        <v>8503</v>
      </c>
      <c r="H17" s="22" t="s">
        <v>188</v>
      </c>
      <c r="I17" s="22" t="s">
        <v>8603</v>
      </c>
      <c r="J17" s="22" t="s">
        <v>10489</v>
      </c>
      <c r="K17" s="22" t="s">
        <v>10555</v>
      </c>
      <c r="L17" s="23" t="n">
        <v>45015</v>
      </c>
      <c r="M17" s="22" t="n">
        <f aca="false">COUNTIFS('Skip PDF Index'!$B$6:$B$11,D17,'Skip PDF Index'!$D$6:$D$11,C17,'Skip PDF Index'!$F$6:$F$11,I17)</f>
        <v>0</v>
      </c>
      <c r="N17" s="22" t="n">
        <f aca="false">COUNTIFS('Skip PDF Index'!$B$6:$B$11,D17,'Skip PDF Index'!$D$6:$D$11,C17,'Skip PDF Index'!$E$6:$E$11,G17,'Skip PDF Index'!$F$6:$F$11,I17)</f>
        <v>0</v>
      </c>
      <c r="O17" s="22" t="n">
        <f aca="false">COUNTIFS('Skip PDF Index'!$B$6:$B$11,D17,'Skip PDF Index'!$D$6:$D$11,C17,'Skip PDF Index'!$E$6:$E$11,G17,'Skip PDF Index'!$F$6:$F$11,I17,'Skip PDF Index'!$H$6:$H$11,"SUPPORTING RECORD")</f>
        <v>0</v>
      </c>
      <c r="P17" s="22" t="n">
        <f aca="false">COUNTIFS('Offer Events'!$A$2:$A$1487,B17,'Offer Events'!$B$2:$B$1487,C17,'Offer Events'!$C$2:$C$1487,D17,'Offer Events'!$E$2:$E$1487,G17,'Offer Events'!$L$2:$L$1487,"SKIPPED",'Offer Events'!$P$2:$P$1487,I17)</f>
        <v>1</v>
      </c>
      <c r="Q17" s="22" t="str">
        <f aca="false">IF(L17&lt;=C17,"Y","N")</f>
        <v>N</v>
      </c>
      <c r="R17" s="22" t="str">
        <f aca="false">IF(AND(O17&gt;0,P17&gt;0,Q17="Y"),"Y","N")</f>
        <v>N</v>
      </c>
      <c r="S17" s="22" t="str">
        <f aca="false">IF(P17=0,"Offer register missing/mismatch",IF(N17=0,IF(M17&gt;0,"PDF slip mismatch","No matching PDF"),IF(O17=0,"PDF lacks supporting record","Reconciled")))</f>
        <v>No matching PDF</v>
      </c>
      <c r="T17" s="22" t="str">
        <f aca="false">IF(R17="Y","Compliant",S17&amp;IF(Q17="N","; review after skip",""))</f>
        <v>No matching PDF; review after skip</v>
      </c>
      <c r="U17" s="22" t="str">
        <f aca="false">IF(R17="Y","",IF(AND(O17&gt;0,P17&gt;0,Q17="N"),"Priority 2","Priority 1"))</f>
        <v>Priority 1</v>
      </c>
    </row>
    <row r="18" customFormat="false" ht="15" hidden="false" customHeight="false" outlineLevel="0" collapsed="false">
      <c r="A18" s="22" t="s">
        <v>10613</v>
      </c>
      <c r="B18" s="22" t="s">
        <v>9097</v>
      </c>
      <c r="C18" s="23" t="n">
        <v>44995</v>
      </c>
      <c r="D18" s="22" t="s">
        <v>2604</v>
      </c>
      <c r="E18" s="22" t="str">
        <f aca="false">IFERROR(VLOOKUP(D18,'Applicant Lookup'!$A$2:$F$2911,2,FALSE()),"Not found")</f>
        <v>Vanessa Jackson</v>
      </c>
      <c r="F18" s="22" t="n">
        <v>984</v>
      </c>
      <c r="G18" s="22" t="s">
        <v>8201</v>
      </c>
      <c r="H18" s="22" t="s">
        <v>499</v>
      </c>
      <c r="I18" s="22" t="s">
        <v>8631</v>
      </c>
      <c r="J18" s="22" t="s">
        <v>10489</v>
      </c>
      <c r="K18" s="22" t="s">
        <v>10555</v>
      </c>
      <c r="L18" s="23" t="n">
        <v>44999</v>
      </c>
      <c r="M18" s="22" t="n">
        <f aca="false">COUNTIFS('Skip PDF Index'!$B$6:$B$11,D18,'Skip PDF Index'!$D$6:$D$11,C18,'Skip PDF Index'!$F$6:$F$11,I18)</f>
        <v>0</v>
      </c>
      <c r="N18" s="22" t="n">
        <f aca="false">COUNTIFS('Skip PDF Index'!$B$6:$B$11,D18,'Skip PDF Index'!$D$6:$D$11,C18,'Skip PDF Index'!$E$6:$E$11,G18,'Skip PDF Index'!$F$6:$F$11,I18)</f>
        <v>0</v>
      </c>
      <c r="O18" s="22" t="n">
        <f aca="false">COUNTIFS('Skip PDF Index'!$B$6:$B$11,D18,'Skip PDF Index'!$D$6:$D$11,C18,'Skip PDF Index'!$E$6:$E$11,G18,'Skip PDF Index'!$F$6:$F$11,I18,'Skip PDF Index'!$H$6:$H$11,"SUPPORTING RECORD")</f>
        <v>0</v>
      </c>
      <c r="P18" s="22" t="n">
        <f aca="false">COUNTIFS('Offer Events'!$A$2:$A$1487,B18,'Offer Events'!$B$2:$B$1487,C18,'Offer Events'!$C$2:$C$1487,D18,'Offer Events'!$E$2:$E$1487,G18,'Offer Events'!$L$2:$L$1487,"SKIPPED",'Offer Events'!$P$2:$P$1487,I18)</f>
        <v>1</v>
      </c>
      <c r="Q18" s="22" t="str">
        <f aca="false">IF(L18&lt;=C18,"Y","N")</f>
        <v>N</v>
      </c>
      <c r="R18" s="22" t="str">
        <f aca="false">IF(AND(O18&gt;0,P18&gt;0,Q18="Y"),"Y","N")</f>
        <v>N</v>
      </c>
      <c r="S18" s="22" t="str">
        <f aca="false">IF(P18=0,"Offer register missing/mismatch",IF(N18=0,IF(M18&gt;0,"PDF slip mismatch","No matching PDF"),IF(O18=0,"PDF lacks supporting record","Reconciled")))</f>
        <v>No matching PDF</v>
      </c>
      <c r="T18" s="22" t="str">
        <f aca="false">IF(R18="Y","Compliant",S18&amp;IF(Q18="N","; review after skip",""))</f>
        <v>No matching PDF; review after skip</v>
      </c>
      <c r="U18" s="22" t="str">
        <f aca="false">IF(R18="Y","",IF(AND(O18&gt;0,P18&gt;0,Q18="N"),"Priority 2","Priority 1"))</f>
        <v>Priority 1</v>
      </c>
    </row>
    <row r="19" customFormat="false" ht="15" hidden="false" customHeight="false" outlineLevel="0" collapsed="false">
      <c r="A19" s="22" t="s">
        <v>10614</v>
      </c>
      <c r="B19" s="22" t="s">
        <v>9099</v>
      </c>
      <c r="C19" s="23" t="n">
        <v>45006</v>
      </c>
      <c r="D19" s="22" t="s">
        <v>1855</v>
      </c>
      <c r="E19" s="22" t="str">
        <f aca="false">IFERROR(VLOOKUP(D19,'Applicant Lookup'!$A$2:$F$2911,2,FALSE()),"Not found")</f>
        <v>Amy Krueger</v>
      </c>
      <c r="F19" s="22" t="n">
        <v>649</v>
      </c>
      <c r="G19" s="22" t="s">
        <v>7567</v>
      </c>
      <c r="H19" s="22" t="s">
        <v>159</v>
      </c>
      <c r="I19" s="22" t="s">
        <v>8603</v>
      </c>
      <c r="J19" s="22" t="s">
        <v>10489</v>
      </c>
      <c r="K19" s="22" t="s">
        <v>10506</v>
      </c>
      <c r="L19" s="23" t="n">
        <v>45008</v>
      </c>
      <c r="M19" s="22" t="n">
        <f aca="false">COUNTIFS('Skip PDF Index'!$B$6:$B$11,D19,'Skip PDF Index'!$D$6:$D$11,C19,'Skip PDF Index'!$F$6:$F$11,I19)</f>
        <v>0</v>
      </c>
      <c r="N19" s="22" t="n">
        <f aca="false">COUNTIFS('Skip PDF Index'!$B$6:$B$11,D19,'Skip PDF Index'!$D$6:$D$11,C19,'Skip PDF Index'!$E$6:$E$11,G19,'Skip PDF Index'!$F$6:$F$11,I19)</f>
        <v>0</v>
      </c>
      <c r="O19" s="22" t="n">
        <f aca="false">COUNTIFS('Skip PDF Index'!$B$6:$B$11,D19,'Skip PDF Index'!$D$6:$D$11,C19,'Skip PDF Index'!$E$6:$E$11,G19,'Skip PDF Index'!$F$6:$F$11,I19,'Skip PDF Index'!$H$6:$H$11,"SUPPORTING RECORD")</f>
        <v>0</v>
      </c>
      <c r="P19" s="22" t="n">
        <f aca="false">COUNTIFS('Offer Events'!$A$2:$A$1487,B19,'Offer Events'!$B$2:$B$1487,C19,'Offer Events'!$C$2:$C$1487,D19,'Offer Events'!$E$2:$E$1487,G19,'Offer Events'!$L$2:$L$1487,"SKIPPED",'Offer Events'!$P$2:$P$1487,I19)</f>
        <v>1</v>
      </c>
      <c r="Q19" s="22" t="str">
        <f aca="false">IF(L19&lt;=C19,"Y","N")</f>
        <v>N</v>
      </c>
      <c r="R19" s="22" t="str">
        <f aca="false">IF(AND(O19&gt;0,P19&gt;0,Q19="Y"),"Y","N")</f>
        <v>N</v>
      </c>
      <c r="S19" s="22" t="str">
        <f aca="false">IF(P19=0,"Offer register missing/mismatch",IF(N19=0,IF(M19&gt;0,"PDF slip mismatch","No matching PDF"),IF(O19=0,"PDF lacks supporting record","Reconciled")))</f>
        <v>No matching PDF</v>
      </c>
      <c r="T19" s="22" t="str">
        <f aca="false">IF(R19="Y","Compliant",S19&amp;IF(Q19="N","; review after skip",""))</f>
        <v>No matching PDF; review after skip</v>
      </c>
      <c r="U19" s="22" t="str">
        <f aca="false">IF(R19="Y","",IF(AND(O19&gt;0,P19&gt;0,Q19="N"),"Priority 2","Priority 1"))</f>
        <v>Priority 1</v>
      </c>
    </row>
    <row r="20" customFormat="false" ht="15" hidden="false" customHeight="false" outlineLevel="0" collapsed="false">
      <c r="A20" s="22" t="s">
        <v>10615</v>
      </c>
      <c r="B20" s="22" t="s">
        <v>9100</v>
      </c>
      <c r="C20" s="23" t="n">
        <v>45010</v>
      </c>
      <c r="D20" s="22" t="s">
        <v>5810</v>
      </c>
      <c r="E20" s="22" t="str">
        <f aca="false">IFERROR(VLOOKUP(D20,'Applicant Lookup'!$A$2:$F$2911,2,FALSE()),"Not found")</f>
        <v>Allison Castro</v>
      </c>
      <c r="F20" s="22" t="n">
        <v>2535</v>
      </c>
      <c r="G20" s="22" t="s">
        <v>8034</v>
      </c>
      <c r="H20" s="22" t="s">
        <v>499</v>
      </c>
      <c r="I20" s="22" t="s">
        <v>8603</v>
      </c>
      <c r="J20" s="22" t="s">
        <v>10489</v>
      </c>
      <c r="K20" s="22" t="s">
        <v>10491</v>
      </c>
      <c r="L20" s="23" t="n">
        <v>45011</v>
      </c>
      <c r="M20" s="22" t="n">
        <f aca="false">COUNTIFS('Skip PDF Index'!$B$6:$B$11,D20,'Skip PDF Index'!$D$6:$D$11,C20,'Skip PDF Index'!$F$6:$F$11,I20)</f>
        <v>0</v>
      </c>
      <c r="N20" s="22" t="n">
        <f aca="false">COUNTIFS('Skip PDF Index'!$B$6:$B$11,D20,'Skip PDF Index'!$D$6:$D$11,C20,'Skip PDF Index'!$E$6:$E$11,G20,'Skip PDF Index'!$F$6:$F$11,I20)</f>
        <v>0</v>
      </c>
      <c r="O20" s="22" t="n">
        <f aca="false">COUNTIFS('Skip PDF Index'!$B$6:$B$11,D20,'Skip PDF Index'!$D$6:$D$11,C20,'Skip PDF Index'!$E$6:$E$11,G20,'Skip PDF Index'!$F$6:$F$11,I20,'Skip PDF Index'!$H$6:$H$11,"SUPPORTING RECORD")</f>
        <v>0</v>
      </c>
      <c r="P20" s="22" t="n">
        <f aca="false">COUNTIFS('Offer Events'!$A$2:$A$1487,B20,'Offer Events'!$B$2:$B$1487,C20,'Offer Events'!$C$2:$C$1487,D20,'Offer Events'!$E$2:$E$1487,G20,'Offer Events'!$L$2:$L$1487,"SKIPPED",'Offer Events'!$P$2:$P$1487,I20)</f>
        <v>1</v>
      </c>
      <c r="Q20" s="22" t="str">
        <f aca="false">IF(L20&lt;=C20,"Y","N")</f>
        <v>N</v>
      </c>
      <c r="R20" s="22" t="str">
        <f aca="false">IF(AND(O20&gt;0,P20&gt;0,Q20="Y"),"Y","N")</f>
        <v>N</v>
      </c>
      <c r="S20" s="22" t="str">
        <f aca="false">IF(P20=0,"Offer register missing/mismatch",IF(N20=0,IF(M20&gt;0,"PDF slip mismatch","No matching PDF"),IF(O20=0,"PDF lacks supporting record","Reconciled")))</f>
        <v>No matching PDF</v>
      </c>
      <c r="T20" s="22" t="str">
        <f aca="false">IF(R20="Y","Compliant",S20&amp;IF(Q20="N","; review after skip",""))</f>
        <v>No matching PDF; review after skip</v>
      </c>
      <c r="U20" s="22" t="str">
        <f aca="false">IF(R20="Y","",IF(AND(O20&gt;0,P20&gt;0,Q20="N"),"Priority 2","Priority 1"))</f>
        <v>Priority 1</v>
      </c>
    </row>
    <row r="21" customFormat="false" ht="15" hidden="false" customHeight="false" outlineLevel="0" collapsed="false">
      <c r="A21" s="22" t="s">
        <v>10616</v>
      </c>
      <c r="B21" s="22" t="s">
        <v>9104</v>
      </c>
      <c r="C21" s="23" t="n">
        <v>45036</v>
      </c>
      <c r="D21" s="22" t="s">
        <v>1433</v>
      </c>
      <c r="E21" s="22" t="str">
        <f aca="false">IFERROR(VLOOKUP(D21,'Applicant Lookup'!$A$2:$F$2911,2,FALSE()),"Not found")</f>
        <v>Ian Parrish</v>
      </c>
      <c r="F21" s="22" t="n">
        <v>473</v>
      </c>
      <c r="G21" s="22" t="s">
        <v>8511</v>
      </c>
      <c r="H21" s="22" t="s">
        <v>188</v>
      </c>
      <c r="I21" s="22" t="s">
        <v>8603</v>
      </c>
      <c r="J21" s="22" t="s">
        <v>10489</v>
      </c>
      <c r="K21" s="22" t="s">
        <v>10555</v>
      </c>
      <c r="L21" s="23" t="n">
        <v>45041</v>
      </c>
      <c r="M21" s="22" t="n">
        <f aca="false">COUNTIFS('Skip PDF Index'!$B$6:$B$11,D21,'Skip PDF Index'!$D$6:$D$11,C21,'Skip PDF Index'!$F$6:$F$11,I21)</f>
        <v>0</v>
      </c>
      <c r="N21" s="22" t="n">
        <f aca="false">COUNTIFS('Skip PDF Index'!$B$6:$B$11,D21,'Skip PDF Index'!$D$6:$D$11,C21,'Skip PDF Index'!$E$6:$E$11,G21,'Skip PDF Index'!$F$6:$F$11,I21)</f>
        <v>0</v>
      </c>
      <c r="O21" s="22" t="n">
        <f aca="false">COUNTIFS('Skip PDF Index'!$B$6:$B$11,D21,'Skip PDF Index'!$D$6:$D$11,C21,'Skip PDF Index'!$E$6:$E$11,G21,'Skip PDF Index'!$F$6:$F$11,I21,'Skip PDF Index'!$H$6:$H$11,"SUPPORTING RECORD")</f>
        <v>0</v>
      </c>
      <c r="P21" s="22" t="n">
        <f aca="false">COUNTIFS('Offer Events'!$A$2:$A$1487,B21,'Offer Events'!$B$2:$B$1487,C21,'Offer Events'!$C$2:$C$1487,D21,'Offer Events'!$E$2:$E$1487,G21,'Offer Events'!$L$2:$L$1487,"SKIPPED",'Offer Events'!$P$2:$P$1487,I21)</f>
        <v>1</v>
      </c>
      <c r="Q21" s="22" t="str">
        <f aca="false">IF(L21&lt;=C21,"Y","N")</f>
        <v>N</v>
      </c>
      <c r="R21" s="22" t="str">
        <f aca="false">IF(AND(O21&gt;0,P21&gt;0,Q21="Y"),"Y","N")</f>
        <v>N</v>
      </c>
      <c r="S21" s="22" t="str">
        <f aca="false">IF(P21=0,"Offer register missing/mismatch",IF(N21=0,IF(M21&gt;0,"PDF slip mismatch","No matching PDF"),IF(O21=0,"PDF lacks supporting record","Reconciled")))</f>
        <v>No matching PDF</v>
      </c>
      <c r="T21" s="22" t="str">
        <f aca="false">IF(R21="Y","Compliant",S21&amp;IF(Q21="N","; review after skip",""))</f>
        <v>No matching PDF; review after skip</v>
      </c>
      <c r="U21" s="22" t="str">
        <f aca="false">IF(R21="Y","",IF(AND(O21&gt;0,P21&gt;0,Q21="N"),"Priority 2","Priority 1"))</f>
        <v>Priority 1</v>
      </c>
    </row>
    <row r="22" customFormat="false" ht="15" hidden="false" customHeight="false" outlineLevel="0" collapsed="false">
      <c r="A22" s="22" t="s">
        <v>10617</v>
      </c>
      <c r="B22" s="22" t="s">
        <v>9105</v>
      </c>
      <c r="C22" s="23" t="n">
        <v>45036</v>
      </c>
      <c r="D22" s="22" t="s">
        <v>4610</v>
      </c>
      <c r="E22" s="22" t="str">
        <f aca="false">IFERROR(VLOOKUP(D22,'Applicant Lookup'!$A$2:$F$2911,2,FALSE()),"Not found")</f>
        <v>Jose Benson</v>
      </c>
      <c r="F22" s="22" t="n">
        <v>1941</v>
      </c>
      <c r="G22" s="22" t="s">
        <v>8350</v>
      </c>
      <c r="H22" s="22" t="s">
        <v>188</v>
      </c>
      <c r="I22" s="22" t="s">
        <v>8603</v>
      </c>
      <c r="J22" s="22" t="s">
        <v>10489</v>
      </c>
      <c r="K22" s="22" t="s">
        <v>10504</v>
      </c>
      <c r="L22" s="23" t="n">
        <v>45037</v>
      </c>
      <c r="M22" s="22" t="n">
        <f aca="false">COUNTIFS('Skip PDF Index'!$B$6:$B$11,D22,'Skip PDF Index'!$D$6:$D$11,C22,'Skip PDF Index'!$F$6:$F$11,I22)</f>
        <v>0</v>
      </c>
      <c r="N22" s="22" t="n">
        <f aca="false">COUNTIFS('Skip PDF Index'!$B$6:$B$11,D22,'Skip PDF Index'!$D$6:$D$11,C22,'Skip PDF Index'!$E$6:$E$11,G22,'Skip PDF Index'!$F$6:$F$11,I22)</f>
        <v>0</v>
      </c>
      <c r="O22" s="22" t="n">
        <f aca="false">COUNTIFS('Skip PDF Index'!$B$6:$B$11,D22,'Skip PDF Index'!$D$6:$D$11,C22,'Skip PDF Index'!$E$6:$E$11,G22,'Skip PDF Index'!$F$6:$F$11,I22,'Skip PDF Index'!$H$6:$H$11,"SUPPORTING RECORD")</f>
        <v>0</v>
      </c>
      <c r="P22" s="22" t="n">
        <f aca="false">COUNTIFS('Offer Events'!$A$2:$A$1487,B22,'Offer Events'!$B$2:$B$1487,C22,'Offer Events'!$C$2:$C$1487,D22,'Offer Events'!$E$2:$E$1487,G22,'Offer Events'!$L$2:$L$1487,"SKIPPED",'Offer Events'!$P$2:$P$1487,I22)</f>
        <v>1</v>
      </c>
      <c r="Q22" s="22" t="str">
        <f aca="false">IF(L22&lt;=C22,"Y","N")</f>
        <v>N</v>
      </c>
      <c r="R22" s="22" t="str">
        <f aca="false">IF(AND(O22&gt;0,P22&gt;0,Q22="Y"),"Y","N")</f>
        <v>N</v>
      </c>
      <c r="S22" s="22" t="str">
        <f aca="false">IF(P22=0,"Offer register missing/mismatch",IF(N22=0,IF(M22&gt;0,"PDF slip mismatch","No matching PDF"),IF(O22=0,"PDF lacks supporting record","Reconciled")))</f>
        <v>No matching PDF</v>
      </c>
      <c r="T22" s="22" t="str">
        <f aca="false">IF(R22="Y","Compliant",S22&amp;IF(Q22="N","; review after skip",""))</f>
        <v>No matching PDF; review after skip</v>
      </c>
      <c r="U22" s="22" t="str">
        <f aca="false">IF(R22="Y","",IF(AND(O22&gt;0,P22&gt;0,Q22="N"),"Priority 2","Priority 1"))</f>
        <v>Priority 1</v>
      </c>
    </row>
    <row r="23" customFormat="false" ht="15" hidden="false" customHeight="false" outlineLevel="0" collapsed="false">
      <c r="A23" s="22" t="s">
        <v>10618</v>
      </c>
      <c r="B23" s="22" t="s">
        <v>9120</v>
      </c>
      <c r="C23" s="23" t="n">
        <v>45019</v>
      </c>
      <c r="D23" s="22" t="s">
        <v>4761</v>
      </c>
      <c r="E23" s="22" t="str">
        <f aca="false">IFERROR(VLOOKUP(D23,'Applicant Lookup'!$A$2:$F$2911,2,FALSE()),"Not found")</f>
        <v>Daniel Mitchell</v>
      </c>
      <c r="F23" s="22" t="n">
        <v>2014</v>
      </c>
      <c r="G23" s="22" t="s">
        <v>6661</v>
      </c>
      <c r="H23" s="22" t="s">
        <v>198</v>
      </c>
      <c r="I23" s="22" t="s">
        <v>8603</v>
      </c>
      <c r="J23" s="22" t="s">
        <v>10489</v>
      </c>
      <c r="K23" s="22" t="s">
        <v>10555</v>
      </c>
      <c r="L23" s="23" t="n">
        <v>45020</v>
      </c>
      <c r="M23" s="22" t="n">
        <f aca="false">COUNTIFS('Skip PDF Index'!$B$6:$B$11,D23,'Skip PDF Index'!$D$6:$D$11,C23,'Skip PDF Index'!$F$6:$F$11,I23)</f>
        <v>0</v>
      </c>
      <c r="N23" s="22" t="n">
        <f aca="false">COUNTIFS('Skip PDF Index'!$B$6:$B$11,D23,'Skip PDF Index'!$D$6:$D$11,C23,'Skip PDF Index'!$E$6:$E$11,G23,'Skip PDF Index'!$F$6:$F$11,I23)</f>
        <v>0</v>
      </c>
      <c r="O23" s="22" t="n">
        <f aca="false">COUNTIFS('Skip PDF Index'!$B$6:$B$11,D23,'Skip PDF Index'!$D$6:$D$11,C23,'Skip PDF Index'!$E$6:$E$11,G23,'Skip PDF Index'!$F$6:$F$11,I23,'Skip PDF Index'!$H$6:$H$11,"SUPPORTING RECORD")</f>
        <v>0</v>
      </c>
      <c r="P23" s="22" t="n">
        <f aca="false">COUNTIFS('Offer Events'!$A$2:$A$1487,B23,'Offer Events'!$B$2:$B$1487,C23,'Offer Events'!$C$2:$C$1487,D23,'Offer Events'!$E$2:$E$1487,G23,'Offer Events'!$L$2:$L$1487,"SKIPPED",'Offer Events'!$P$2:$P$1487,I23)</f>
        <v>1</v>
      </c>
      <c r="Q23" s="22" t="str">
        <f aca="false">IF(L23&lt;=C23,"Y","N")</f>
        <v>N</v>
      </c>
      <c r="R23" s="22" t="str">
        <f aca="false">IF(AND(O23&gt;0,P23&gt;0,Q23="Y"),"Y","N")</f>
        <v>N</v>
      </c>
      <c r="S23" s="22" t="str">
        <f aca="false">IF(P23=0,"Offer register missing/mismatch",IF(N23=0,IF(M23&gt;0,"PDF slip mismatch","No matching PDF"),IF(O23=0,"PDF lacks supporting record","Reconciled")))</f>
        <v>No matching PDF</v>
      </c>
      <c r="T23" s="22" t="str">
        <f aca="false">IF(R23="Y","Compliant",S23&amp;IF(Q23="N","; review after skip",""))</f>
        <v>No matching PDF; review after skip</v>
      </c>
      <c r="U23" s="22" t="str">
        <f aca="false">IF(R23="Y","",IF(AND(O23&gt;0,P23&gt;0,Q23="N"),"Priority 2","Priority 1"))</f>
        <v>Priority 1</v>
      </c>
    </row>
    <row r="24" customFormat="false" ht="15" hidden="false" customHeight="false" outlineLevel="0" collapsed="false">
      <c r="A24" s="22" t="s">
        <v>10619</v>
      </c>
      <c r="B24" s="22" t="s">
        <v>9127</v>
      </c>
      <c r="C24" s="23" t="n">
        <v>45025</v>
      </c>
      <c r="D24" s="22" t="s">
        <v>2387</v>
      </c>
      <c r="E24" s="22" t="str">
        <f aca="false">IFERROR(VLOOKUP(D24,'Applicant Lookup'!$A$2:$F$2911,2,FALSE()),"Not found")</f>
        <v>Kenneth Riley</v>
      </c>
      <c r="F24" s="22" t="n">
        <v>886</v>
      </c>
      <c r="G24" s="22" t="s">
        <v>8054</v>
      </c>
      <c r="H24" s="22" t="s">
        <v>499</v>
      </c>
      <c r="I24" s="22" t="s">
        <v>8618</v>
      </c>
      <c r="J24" s="22" t="s">
        <v>10489</v>
      </c>
      <c r="K24" s="22" t="s">
        <v>10491</v>
      </c>
      <c r="L24" s="23" t="n">
        <v>45028</v>
      </c>
      <c r="M24" s="22" t="n">
        <f aca="false">COUNTIFS('Skip PDF Index'!$B$6:$B$11,D24,'Skip PDF Index'!$D$6:$D$11,C24,'Skip PDF Index'!$F$6:$F$11,I24)</f>
        <v>0</v>
      </c>
      <c r="N24" s="22" t="n">
        <f aca="false">COUNTIFS('Skip PDF Index'!$B$6:$B$11,D24,'Skip PDF Index'!$D$6:$D$11,C24,'Skip PDF Index'!$E$6:$E$11,G24,'Skip PDF Index'!$F$6:$F$11,I24)</f>
        <v>0</v>
      </c>
      <c r="O24" s="22" t="n">
        <f aca="false">COUNTIFS('Skip PDF Index'!$B$6:$B$11,D24,'Skip PDF Index'!$D$6:$D$11,C24,'Skip PDF Index'!$E$6:$E$11,G24,'Skip PDF Index'!$F$6:$F$11,I24,'Skip PDF Index'!$H$6:$H$11,"SUPPORTING RECORD")</f>
        <v>0</v>
      </c>
      <c r="P24" s="22" t="n">
        <f aca="false">COUNTIFS('Offer Events'!$A$2:$A$1487,B24,'Offer Events'!$B$2:$B$1487,C24,'Offer Events'!$C$2:$C$1487,D24,'Offer Events'!$E$2:$E$1487,G24,'Offer Events'!$L$2:$L$1487,"SKIPPED",'Offer Events'!$P$2:$P$1487,I24)</f>
        <v>1</v>
      </c>
      <c r="Q24" s="22" t="str">
        <f aca="false">IF(L24&lt;=C24,"Y","N")</f>
        <v>N</v>
      </c>
      <c r="R24" s="22" t="str">
        <f aca="false">IF(AND(O24&gt;0,P24&gt;0,Q24="Y"),"Y","N")</f>
        <v>N</v>
      </c>
      <c r="S24" s="22" t="str">
        <f aca="false">IF(P24=0,"Offer register missing/mismatch",IF(N24=0,IF(M24&gt;0,"PDF slip mismatch","No matching PDF"),IF(O24=0,"PDF lacks supporting record","Reconciled")))</f>
        <v>No matching PDF</v>
      </c>
      <c r="T24" s="22" t="str">
        <f aca="false">IF(R24="Y","Compliant",S24&amp;IF(Q24="N","; review after skip",""))</f>
        <v>No matching PDF; review after skip</v>
      </c>
      <c r="U24" s="22" t="str">
        <f aca="false">IF(R24="Y","",IF(AND(O24&gt;0,P24&gt;0,Q24="N"),"Priority 2","Priority 1"))</f>
        <v>Priority 1</v>
      </c>
    </row>
    <row r="25" customFormat="false" ht="15" hidden="false" customHeight="false" outlineLevel="0" collapsed="false">
      <c r="A25" s="22" t="s">
        <v>10620</v>
      </c>
      <c r="B25" s="22" t="s">
        <v>9131</v>
      </c>
      <c r="C25" s="23" t="n">
        <v>45027</v>
      </c>
      <c r="D25" s="22" t="s">
        <v>2804</v>
      </c>
      <c r="E25" s="22" t="str">
        <f aca="false">IFERROR(VLOOKUP(D25,'Applicant Lookup'!$A$2:$F$2911,2,FALSE()),"Not found")</f>
        <v>Erika Martin</v>
      </c>
      <c r="F25" s="22" t="n">
        <v>1074</v>
      </c>
      <c r="G25" s="22" t="s">
        <v>8009</v>
      </c>
      <c r="H25" s="22" t="s">
        <v>215</v>
      </c>
      <c r="I25" s="22" t="s">
        <v>8603</v>
      </c>
      <c r="J25" s="22" t="s">
        <v>10489</v>
      </c>
      <c r="K25" s="22" t="s">
        <v>10555</v>
      </c>
      <c r="L25" s="23" t="n">
        <v>45031</v>
      </c>
      <c r="M25" s="22" t="n">
        <f aca="false">COUNTIFS('Skip PDF Index'!$B$6:$B$11,D25,'Skip PDF Index'!$D$6:$D$11,C25,'Skip PDF Index'!$F$6:$F$11,I25)</f>
        <v>0</v>
      </c>
      <c r="N25" s="22" t="n">
        <f aca="false">COUNTIFS('Skip PDF Index'!$B$6:$B$11,D25,'Skip PDF Index'!$D$6:$D$11,C25,'Skip PDF Index'!$E$6:$E$11,G25,'Skip PDF Index'!$F$6:$F$11,I25)</f>
        <v>0</v>
      </c>
      <c r="O25" s="22" t="n">
        <f aca="false">COUNTIFS('Skip PDF Index'!$B$6:$B$11,D25,'Skip PDF Index'!$D$6:$D$11,C25,'Skip PDF Index'!$E$6:$E$11,G25,'Skip PDF Index'!$F$6:$F$11,I25,'Skip PDF Index'!$H$6:$H$11,"SUPPORTING RECORD")</f>
        <v>0</v>
      </c>
      <c r="P25" s="22" t="n">
        <f aca="false">COUNTIFS('Offer Events'!$A$2:$A$1487,B25,'Offer Events'!$B$2:$B$1487,C25,'Offer Events'!$C$2:$C$1487,D25,'Offer Events'!$E$2:$E$1487,G25,'Offer Events'!$L$2:$L$1487,"SKIPPED",'Offer Events'!$P$2:$P$1487,I25)</f>
        <v>1</v>
      </c>
      <c r="Q25" s="22" t="str">
        <f aca="false">IF(L25&lt;=C25,"Y","N")</f>
        <v>N</v>
      </c>
      <c r="R25" s="22" t="str">
        <f aca="false">IF(AND(O25&gt;0,P25&gt;0,Q25="Y"),"Y","N")</f>
        <v>N</v>
      </c>
      <c r="S25" s="22" t="str">
        <f aca="false">IF(P25=0,"Offer register missing/mismatch",IF(N25=0,IF(M25&gt;0,"PDF slip mismatch","No matching PDF"),IF(O25=0,"PDF lacks supporting record","Reconciled")))</f>
        <v>No matching PDF</v>
      </c>
      <c r="T25" s="22" t="str">
        <f aca="false">IF(R25="Y","Compliant",S25&amp;IF(Q25="N","; review after skip",""))</f>
        <v>No matching PDF; review after skip</v>
      </c>
      <c r="U25" s="22" t="str">
        <f aca="false">IF(R25="Y","",IF(AND(O25&gt;0,P25&gt;0,Q25="N"),"Priority 2","Priority 1"))</f>
        <v>Priority 1</v>
      </c>
    </row>
    <row r="26" customFormat="false" ht="15" hidden="false" customHeight="false" outlineLevel="0" collapsed="false">
      <c r="A26" s="22" t="s">
        <v>10621</v>
      </c>
      <c r="B26" s="22" t="s">
        <v>9137</v>
      </c>
      <c r="C26" s="23" t="n">
        <v>45024</v>
      </c>
      <c r="D26" s="22" t="s">
        <v>586</v>
      </c>
      <c r="E26" s="22" t="str">
        <f aca="false">IFERROR(VLOOKUP(D26,'Applicant Lookup'!$A$2:$F$2911,2,FALSE()),"Not found")</f>
        <v>Francisco Weaver</v>
      </c>
      <c r="F26" s="22" t="n">
        <v>145</v>
      </c>
      <c r="G26" s="22" t="s">
        <v>7774</v>
      </c>
      <c r="H26" s="22" t="s">
        <v>215</v>
      </c>
      <c r="I26" s="22" t="s">
        <v>8618</v>
      </c>
      <c r="J26" s="22" t="s">
        <v>10489</v>
      </c>
      <c r="K26" s="22" t="s">
        <v>10516</v>
      </c>
      <c r="L26" s="23" t="n">
        <v>45026</v>
      </c>
      <c r="M26" s="22" t="n">
        <f aca="false">COUNTIFS('Skip PDF Index'!$B$6:$B$11,D26,'Skip PDF Index'!$D$6:$D$11,C26,'Skip PDF Index'!$F$6:$F$11,I26)</f>
        <v>0</v>
      </c>
      <c r="N26" s="22" t="n">
        <f aca="false">COUNTIFS('Skip PDF Index'!$B$6:$B$11,D26,'Skip PDF Index'!$D$6:$D$11,C26,'Skip PDF Index'!$E$6:$E$11,G26,'Skip PDF Index'!$F$6:$F$11,I26)</f>
        <v>0</v>
      </c>
      <c r="O26" s="22" t="n">
        <f aca="false">COUNTIFS('Skip PDF Index'!$B$6:$B$11,D26,'Skip PDF Index'!$D$6:$D$11,C26,'Skip PDF Index'!$E$6:$E$11,G26,'Skip PDF Index'!$F$6:$F$11,I26,'Skip PDF Index'!$H$6:$H$11,"SUPPORTING RECORD")</f>
        <v>0</v>
      </c>
      <c r="P26" s="22" t="n">
        <f aca="false">COUNTIFS('Offer Events'!$A$2:$A$1487,B26,'Offer Events'!$B$2:$B$1487,C26,'Offer Events'!$C$2:$C$1487,D26,'Offer Events'!$E$2:$E$1487,G26,'Offer Events'!$L$2:$L$1487,"SKIPPED",'Offer Events'!$P$2:$P$1487,I26)</f>
        <v>1</v>
      </c>
      <c r="Q26" s="22" t="str">
        <f aca="false">IF(L26&lt;=C26,"Y","N")</f>
        <v>N</v>
      </c>
      <c r="R26" s="22" t="str">
        <f aca="false">IF(AND(O26&gt;0,P26&gt;0,Q26="Y"),"Y","N")</f>
        <v>N</v>
      </c>
      <c r="S26" s="22" t="str">
        <f aca="false">IF(P26=0,"Offer register missing/mismatch",IF(N26=0,IF(M26&gt;0,"PDF slip mismatch","No matching PDF"),IF(O26=0,"PDF lacks supporting record","Reconciled")))</f>
        <v>No matching PDF</v>
      </c>
      <c r="T26" s="22" t="str">
        <f aca="false">IF(R26="Y","Compliant",S26&amp;IF(Q26="N","; review after skip",""))</f>
        <v>No matching PDF; review after skip</v>
      </c>
      <c r="U26" s="22" t="str">
        <f aca="false">IF(R26="Y","",IF(AND(O26&gt;0,P26&gt;0,Q26="N"),"Priority 2","Priority 1"))</f>
        <v>Priority 1</v>
      </c>
    </row>
    <row r="27" customFormat="false" ht="15" hidden="false" customHeight="false" outlineLevel="0" collapsed="false">
      <c r="A27" s="22" t="s">
        <v>10622</v>
      </c>
      <c r="B27" s="22" t="s">
        <v>9140</v>
      </c>
      <c r="C27" s="23" t="n">
        <v>45044</v>
      </c>
      <c r="D27" s="22" t="s">
        <v>931</v>
      </c>
      <c r="E27" s="22" t="str">
        <f aca="false">IFERROR(VLOOKUP(D27,'Applicant Lookup'!$A$2:$F$2911,2,FALSE()),"Not found")</f>
        <v>Lisa Campbell</v>
      </c>
      <c r="F27" s="22" t="n">
        <v>274</v>
      </c>
      <c r="G27" s="22" t="s">
        <v>8286</v>
      </c>
      <c r="H27" s="22" t="s">
        <v>499</v>
      </c>
      <c r="I27" s="22" t="s">
        <v>8603</v>
      </c>
      <c r="J27" s="22" t="s">
        <v>10489</v>
      </c>
      <c r="K27" s="22" t="s">
        <v>10506</v>
      </c>
      <c r="L27" s="23" t="n">
        <v>45045</v>
      </c>
      <c r="M27" s="22" t="n">
        <f aca="false">COUNTIFS('Skip PDF Index'!$B$6:$B$11,D27,'Skip PDF Index'!$D$6:$D$11,C27,'Skip PDF Index'!$F$6:$F$11,I27)</f>
        <v>0</v>
      </c>
      <c r="N27" s="22" t="n">
        <f aca="false">COUNTIFS('Skip PDF Index'!$B$6:$B$11,D27,'Skip PDF Index'!$D$6:$D$11,C27,'Skip PDF Index'!$E$6:$E$11,G27,'Skip PDF Index'!$F$6:$F$11,I27)</f>
        <v>0</v>
      </c>
      <c r="O27" s="22" t="n">
        <f aca="false">COUNTIFS('Skip PDF Index'!$B$6:$B$11,D27,'Skip PDF Index'!$D$6:$D$11,C27,'Skip PDF Index'!$E$6:$E$11,G27,'Skip PDF Index'!$F$6:$F$11,I27,'Skip PDF Index'!$H$6:$H$11,"SUPPORTING RECORD")</f>
        <v>0</v>
      </c>
      <c r="P27" s="22" t="n">
        <f aca="false">COUNTIFS('Offer Events'!$A$2:$A$1487,B27,'Offer Events'!$B$2:$B$1487,C27,'Offer Events'!$C$2:$C$1487,D27,'Offer Events'!$E$2:$E$1487,G27,'Offer Events'!$L$2:$L$1487,"SKIPPED",'Offer Events'!$P$2:$P$1487,I27)</f>
        <v>1</v>
      </c>
      <c r="Q27" s="22" t="str">
        <f aca="false">IF(L27&lt;=C27,"Y","N")</f>
        <v>N</v>
      </c>
      <c r="R27" s="22" t="str">
        <f aca="false">IF(AND(O27&gt;0,P27&gt;0,Q27="Y"),"Y","N")</f>
        <v>N</v>
      </c>
      <c r="S27" s="22" t="str">
        <f aca="false">IF(P27=0,"Offer register missing/mismatch",IF(N27=0,IF(M27&gt;0,"PDF slip mismatch","No matching PDF"),IF(O27=0,"PDF lacks supporting record","Reconciled")))</f>
        <v>No matching PDF</v>
      </c>
      <c r="T27" s="22" t="str">
        <f aca="false">IF(R27="Y","Compliant",S27&amp;IF(Q27="N","; review after skip",""))</f>
        <v>No matching PDF; review after skip</v>
      </c>
      <c r="U27" s="22" t="str">
        <f aca="false">IF(R27="Y","",IF(AND(O27&gt;0,P27&gt;0,Q27="N"),"Priority 2","Priority 1"))</f>
        <v>Priority 1</v>
      </c>
    </row>
    <row r="28" customFormat="false" ht="15" hidden="false" customHeight="false" outlineLevel="0" collapsed="false">
      <c r="A28" s="22" t="s">
        <v>10623</v>
      </c>
      <c r="B28" s="22" t="s">
        <v>9150</v>
      </c>
      <c r="C28" s="23" t="n">
        <v>45018</v>
      </c>
      <c r="D28" s="22" t="s">
        <v>423</v>
      </c>
      <c r="E28" s="22" t="str">
        <f aca="false">IFERROR(VLOOKUP(D28,'Applicant Lookup'!$A$2:$F$2911,2,FALSE()),"Not found")</f>
        <v>Erin Holmes</v>
      </c>
      <c r="F28" s="22" t="n">
        <v>89</v>
      </c>
      <c r="G28" s="22" t="s">
        <v>8108</v>
      </c>
      <c r="H28" s="22" t="s">
        <v>499</v>
      </c>
      <c r="I28" s="22" t="s">
        <v>8631</v>
      </c>
      <c r="J28" s="22" t="s">
        <v>10489</v>
      </c>
      <c r="K28" s="22" t="s">
        <v>10501</v>
      </c>
      <c r="L28" s="23" t="n">
        <v>45019</v>
      </c>
      <c r="M28" s="22" t="n">
        <f aca="false">COUNTIFS('Skip PDF Index'!$B$6:$B$11,D28,'Skip PDF Index'!$D$6:$D$11,C28,'Skip PDF Index'!$F$6:$F$11,I28)</f>
        <v>0</v>
      </c>
      <c r="N28" s="22" t="n">
        <f aca="false">COUNTIFS('Skip PDF Index'!$B$6:$B$11,D28,'Skip PDF Index'!$D$6:$D$11,C28,'Skip PDF Index'!$E$6:$E$11,G28,'Skip PDF Index'!$F$6:$F$11,I28)</f>
        <v>0</v>
      </c>
      <c r="O28" s="22" t="n">
        <f aca="false">COUNTIFS('Skip PDF Index'!$B$6:$B$11,D28,'Skip PDF Index'!$D$6:$D$11,C28,'Skip PDF Index'!$E$6:$E$11,G28,'Skip PDF Index'!$F$6:$F$11,I28,'Skip PDF Index'!$H$6:$H$11,"SUPPORTING RECORD")</f>
        <v>0</v>
      </c>
      <c r="P28" s="22" t="n">
        <f aca="false">COUNTIFS('Offer Events'!$A$2:$A$1487,B28,'Offer Events'!$B$2:$B$1487,C28,'Offer Events'!$C$2:$C$1487,D28,'Offer Events'!$E$2:$E$1487,G28,'Offer Events'!$L$2:$L$1487,"SKIPPED",'Offer Events'!$P$2:$P$1487,I28)</f>
        <v>1</v>
      </c>
      <c r="Q28" s="22" t="str">
        <f aca="false">IF(L28&lt;=C28,"Y","N")</f>
        <v>N</v>
      </c>
      <c r="R28" s="22" t="str">
        <f aca="false">IF(AND(O28&gt;0,P28&gt;0,Q28="Y"),"Y","N")</f>
        <v>N</v>
      </c>
      <c r="S28" s="22" t="str">
        <f aca="false">IF(P28=0,"Offer register missing/mismatch",IF(N28=0,IF(M28&gt;0,"PDF slip mismatch","No matching PDF"),IF(O28=0,"PDF lacks supporting record","Reconciled")))</f>
        <v>No matching PDF</v>
      </c>
      <c r="T28" s="22" t="str">
        <f aca="false">IF(R28="Y","Compliant",S28&amp;IF(Q28="N","; review after skip",""))</f>
        <v>No matching PDF; review after skip</v>
      </c>
      <c r="U28" s="22" t="str">
        <f aca="false">IF(R28="Y","",IF(AND(O28&gt;0,P28&gt;0,Q28="N"),"Priority 2","Priority 1"))</f>
        <v>Priority 1</v>
      </c>
    </row>
    <row r="29" customFormat="false" ht="15" hidden="false" customHeight="false" outlineLevel="0" collapsed="false">
      <c r="A29" s="22" t="s">
        <v>10624</v>
      </c>
      <c r="B29" s="22" t="s">
        <v>9153</v>
      </c>
      <c r="C29" s="23" t="n">
        <v>45059</v>
      </c>
      <c r="D29" s="22" t="s">
        <v>3679</v>
      </c>
      <c r="E29" s="22" t="str">
        <f aca="false">IFERROR(VLOOKUP(D29,'Applicant Lookup'!$A$2:$F$2911,2,FALSE()),"Not found")</f>
        <v>Matthew Dickerson</v>
      </c>
      <c r="F29" s="22" t="n">
        <v>1485</v>
      </c>
      <c r="G29" s="22" t="s">
        <v>7494</v>
      </c>
      <c r="H29" s="22" t="s">
        <v>159</v>
      </c>
      <c r="I29" s="22" t="s">
        <v>8618</v>
      </c>
      <c r="J29" s="22" t="s">
        <v>10489</v>
      </c>
      <c r="K29" s="22" t="s">
        <v>10496</v>
      </c>
      <c r="L29" s="23" t="n">
        <v>45062</v>
      </c>
      <c r="M29" s="22" t="n">
        <f aca="false">COUNTIFS('Skip PDF Index'!$B$6:$B$11,D29,'Skip PDF Index'!$D$6:$D$11,C29,'Skip PDF Index'!$F$6:$F$11,I29)</f>
        <v>0</v>
      </c>
      <c r="N29" s="22" t="n">
        <f aca="false">COUNTIFS('Skip PDF Index'!$B$6:$B$11,D29,'Skip PDF Index'!$D$6:$D$11,C29,'Skip PDF Index'!$E$6:$E$11,G29,'Skip PDF Index'!$F$6:$F$11,I29)</f>
        <v>0</v>
      </c>
      <c r="O29" s="22" t="n">
        <f aca="false">COUNTIFS('Skip PDF Index'!$B$6:$B$11,D29,'Skip PDF Index'!$D$6:$D$11,C29,'Skip PDF Index'!$E$6:$E$11,G29,'Skip PDF Index'!$F$6:$F$11,I29,'Skip PDF Index'!$H$6:$H$11,"SUPPORTING RECORD")</f>
        <v>0</v>
      </c>
      <c r="P29" s="22" t="n">
        <f aca="false">COUNTIFS('Offer Events'!$A$2:$A$1487,B29,'Offer Events'!$B$2:$B$1487,C29,'Offer Events'!$C$2:$C$1487,D29,'Offer Events'!$E$2:$E$1487,G29,'Offer Events'!$L$2:$L$1487,"SKIPPED",'Offer Events'!$P$2:$P$1487,I29)</f>
        <v>1</v>
      </c>
      <c r="Q29" s="22" t="str">
        <f aca="false">IF(L29&lt;=C29,"Y","N")</f>
        <v>N</v>
      </c>
      <c r="R29" s="22" t="str">
        <f aca="false">IF(AND(O29&gt;0,P29&gt;0,Q29="Y"),"Y","N")</f>
        <v>N</v>
      </c>
      <c r="S29" s="22" t="str">
        <f aca="false">IF(P29=0,"Offer register missing/mismatch",IF(N29=0,IF(M29&gt;0,"PDF slip mismatch","No matching PDF"),IF(O29=0,"PDF lacks supporting record","Reconciled")))</f>
        <v>No matching PDF</v>
      </c>
      <c r="T29" s="22" t="str">
        <f aca="false">IF(R29="Y","Compliant",S29&amp;IF(Q29="N","; review after skip",""))</f>
        <v>No matching PDF; review after skip</v>
      </c>
      <c r="U29" s="22" t="str">
        <f aca="false">IF(R29="Y","",IF(AND(O29&gt;0,P29&gt;0,Q29="N"),"Priority 2","Priority 1"))</f>
        <v>Priority 1</v>
      </c>
    </row>
    <row r="30" customFormat="false" ht="15" hidden="false" customHeight="false" outlineLevel="0" collapsed="false">
      <c r="A30" s="22" t="s">
        <v>10625</v>
      </c>
      <c r="B30" s="22" t="s">
        <v>9154</v>
      </c>
      <c r="C30" s="23" t="n">
        <v>45051</v>
      </c>
      <c r="D30" s="22" t="s">
        <v>5038</v>
      </c>
      <c r="E30" s="22" t="str">
        <f aca="false">IFERROR(VLOOKUP(D30,'Applicant Lookup'!$A$2:$F$2911,2,FALSE()),"Not found")</f>
        <v>Elizabeth King</v>
      </c>
      <c r="F30" s="22" t="n">
        <v>2151</v>
      </c>
      <c r="G30" s="22" t="s">
        <v>7370</v>
      </c>
      <c r="H30" s="22" t="s">
        <v>159</v>
      </c>
      <c r="I30" s="22" t="s">
        <v>8631</v>
      </c>
      <c r="J30" s="22" t="s">
        <v>10489</v>
      </c>
      <c r="K30" s="22" t="s">
        <v>10496</v>
      </c>
      <c r="L30" s="23" t="n">
        <v>45054</v>
      </c>
      <c r="M30" s="22" t="n">
        <f aca="false">COUNTIFS('Skip PDF Index'!$B$6:$B$11,D30,'Skip PDF Index'!$D$6:$D$11,C30,'Skip PDF Index'!$F$6:$F$11,I30)</f>
        <v>0</v>
      </c>
      <c r="N30" s="22" t="n">
        <f aca="false">COUNTIFS('Skip PDF Index'!$B$6:$B$11,D30,'Skip PDF Index'!$D$6:$D$11,C30,'Skip PDF Index'!$E$6:$E$11,G30,'Skip PDF Index'!$F$6:$F$11,I30)</f>
        <v>0</v>
      </c>
      <c r="O30" s="22" t="n">
        <f aca="false">COUNTIFS('Skip PDF Index'!$B$6:$B$11,D30,'Skip PDF Index'!$D$6:$D$11,C30,'Skip PDF Index'!$E$6:$E$11,G30,'Skip PDF Index'!$F$6:$F$11,I30,'Skip PDF Index'!$H$6:$H$11,"SUPPORTING RECORD")</f>
        <v>0</v>
      </c>
      <c r="P30" s="22" t="n">
        <f aca="false">COUNTIFS('Offer Events'!$A$2:$A$1487,B30,'Offer Events'!$B$2:$B$1487,C30,'Offer Events'!$C$2:$C$1487,D30,'Offer Events'!$E$2:$E$1487,G30,'Offer Events'!$L$2:$L$1487,"SKIPPED",'Offer Events'!$P$2:$P$1487,I30)</f>
        <v>1</v>
      </c>
      <c r="Q30" s="22" t="str">
        <f aca="false">IF(L30&lt;=C30,"Y","N")</f>
        <v>N</v>
      </c>
      <c r="R30" s="22" t="str">
        <f aca="false">IF(AND(O30&gt;0,P30&gt;0,Q30="Y"),"Y","N")</f>
        <v>N</v>
      </c>
      <c r="S30" s="22" t="str">
        <f aca="false">IF(P30=0,"Offer register missing/mismatch",IF(N30=0,IF(M30&gt;0,"PDF slip mismatch","No matching PDF"),IF(O30=0,"PDF lacks supporting record","Reconciled")))</f>
        <v>No matching PDF</v>
      </c>
      <c r="T30" s="22" t="str">
        <f aca="false">IF(R30="Y","Compliant",S30&amp;IF(Q30="N","; review after skip",""))</f>
        <v>No matching PDF; review after skip</v>
      </c>
      <c r="U30" s="22" t="str">
        <f aca="false">IF(R30="Y","",IF(AND(O30&gt;0,P30&gt;0,Q30="N"),"Priority 2","Priority 1"))</f>
        <v>Priority 1</v>
      </c>
    </row>
    <row r="31" customFormat="false" ht="15" hidden="false" customHeight="false" outlineLevel="0" collapsed="false">
      <c r="A31" s="22" t="s">
        <v>10626</v>
      </c>
      <c r="B31" s="22" t="s">
        <v>9162</v>
      </c>
      <c r="C31" s="23" t="n">
        <v>45048</v>
      </c>
      <c r="D31" s="22" t="s">
        <v>1424</v>
      </c>
      <c r="E31" s="22" t="str">
        <f aca="false">IFERROR(VLOOKUP(D31,'Applicant Lookup'!$A$2:$F$2911,2,FALSE()),"Not found")</f>
        <v>John Lynch</v>
      </c>
      <c r="F31" s="22" t="n">
        <v>469</v>
      </c>
      <c r="G31" s="22" t="s">
        <v>7255</v>
      </c>
      <c r="H31" s="22" t="s">
        <v>198</v>
      </c>
      <c r="I31" s="22" t="s">
        <v>8603</v>
      </c>
      <c r="J31" s="22" t="s">
        <v>10489</v>
      </c>
      <c r="K31" s="22" t="s">
        <v>10506</v>
      </c>
      <c r="L31" s="23" t="n">
        <v>45051</v>
      </c>
      <c r="M31" s="22" t="n">
        <f aca="false">COUNTIFS('Skip PDF Index'!$B$6:$B$11,D31,'Skip PDF Index'!$D$6:$D$11,C31,'Skip PDF Index'!$F$6:$F$11,I31)</f>
        <v>0</v>
      </c>
      <c r="N31" s="22" t="n">
        <f aca="false">COUNTIFS('Skip PDF Index'!$B$6:$B$11,D31,'Skip PDF Index'!$D$6:$D$11,C31,'Skip PDF Index'!$E$6:$E$11,G31,'Skip PDF Index'!$F$6:$F$11,I31)</f>
        <v>0</v>
      </c>
      <c r="O31" s="22" t="n">
        <f aca="false">COUNTIFS('Skip PDF Index'!$B$6:$B$11,D31,'Skip PDF Index'!$D$6:$D$11,C31,'Skip PDF Index'!$E$6:$E$11,G31,'Skip PDF Index'!$F$6:$F$11,I31,'Skip PDF Index'!$H$6:$H$11,"SUPPORTING RECORD")</f>
        <v>0</v>
      </c>
      <c r="P31" s="22" t="n">
        <f aca="false">COUNTIFS('Offer Events'!$A$2:$A$1487,B31,'Offer Events'!$B$2:$B$1487,C31,'Offer Events'!$C$2:$C$1487,D31,'Offer Events'!$E$2:$E$1487,G31,'Offer Events'!$L$2:$L$1487,"SKIPPED",'Offer Events'!$P$2:$P$1487,I31)</f>
        <v>1</v>
      </c>
      <c r="Q31" s="22" t="str">
        <f aca="false">IF(L31&lt;=C31,"Y","N")</f>
        <v>N</v>
      </c>
      <c r="R31" s="22" t="str">
        <f aca="false">IF(AND(O31&gt;0,P31&gt;0,Q31="Y"),"Y","N")</f>
        <v>N</v>
      </c>
      <c r="S31" s="22" t="str">
        <f aca="false">IF(P31=0,"Offer register missing/mismatch",IF(N31=0,IF(M31&gt;0,"PDF slip mismatch","No matching PDF"),IF(O31=0,"PDF lacks supporting record","Reconciled")))</f>
        <v>No matching PDF</v>
      </c>
      <c r="T31" s="22" t="str">
        <f aca="false">IF(R31="Y","Compliant",S31&amp;IF(Q31="N","; review after skip",""))</f>
        <v>No matching PDF; review after skip</v>
      </c>
      <c r="U31" s="22" t="str">
        <f aca="false">IF(R31="Y","",IF(AND(O31&gt;0,P31&gt;0,Q31="N"),"Priority 2","Priority 1"))</f>
        <v>Priority 1</v>
      </c>
    </row>
    <row r="32" customFormat="false" ht="15" hidden="false" customHeight="false" outlineLevel="0" collapsed="false">
      <c r="A32" s="22" t="s">
        <v>10627</v>
      </c>
      <c r="B32" s="22" t="s">
        <v>9163</v>
      </c>
      <c r="C32" s="23" t="n">
        <v>45058</v>
      </c>
      <c r="D32" s="22" t="s">
        <v>5100</v>
      </c>
      <c r="E32" s="22" t="str">
        <f aca="false">IFERROR(VLOOKUP(D32,'Applicant Lookup'!$A$2:$F$2911,2,FALSE()),"Not found")</f>
        <v>Annette Collins</v>
      </c>
      <c r="F32" s="22" t="n">
        <v>2181</v>
      </c>
      <c r="G32" s="22" t="s">
        <v>8569</v>
      </c>
      <c r="H32" s="22" t="s">
        <v>188</v>
      </c>
      <c r="I32" s="22" t="s">
        <v>8603</v>
      </c>
      <c r="J32" s="22" t="s">
        <v>10489</v>
      </c>
      <c r="K32" s="22" t="s">
        <v>10496</v>
      </c>
      <c r="L32" s="23" t="n">
        <v>45063</v>
      </c>
      <c r="M32" s="22" t="n">
        <f aca="false">COUNTIFS('Skip PDF Index'!$B$6:$B$11,D32,'Skip PDF Index'!$D$6:$D$11,C32,'Skip PDF Index'!$F$6:$F$11,I32)</f>
        <v>0</v>
      </c>
      <c r="N32" s="22" t="n">
        <f aca="false">COUNTIFS('Skip PDF Index'!$B$6:$B$11,D32,'Skip PDF Index'!$D$6:$D$11,C32,'Skip PDF Index'!$E$6:$E$11,G32,'Skip PDF Index'!$F$6:$F$11,I32)</f>
        <v>0</v>
      </c>
      <c r="O32" s="22" t="n">
        <f aca="false">COUNTIFS('Skip PDF Index'!$B$6:$B$11,D32,'Skip PDF Index'!$D$6:$D$11,C32,'Skip PDF Index'!$E$6:$E$11,G32,'Skip PDF Index'!$F$6:$F$11,I32,'Skip PDF Index'!$H$6:$H$11,"SUPPORTING RECORD")</f>
        <v>0</v>
      </c>
      <c r="P32" s="22" t="n">
        <f aca="false">COUNTIFS('Offer Events'!$A$2:$A$1487,B32,'Offer Events'!$B$2:$B$1487,C32,'Offer Events'!$C$2:$C$1487,D32,'Offer Events'!$E$2:$E$1487,G32,'Offer Events'!$L$2:$L$1487,"SKIPPED",'Offer Events'!$P$2:$P$1487,I32)</f>
        <v>1</v>
      </c>
      <c r="Q32" s="22" t="str">
        <f aca="false">IF(L32&lt;=C32,"Y","N")</f>
        <v>N</v>
      </c>
      <c r="R32" s="22" t="str">
        <f aca="false">IF(AND(O32&gt;0,P32&gt;0,Q32="Y"),"Y","N")</f>
        <v>N</v>
      </c>
      <c r="S32" s="22" t="str">
        <f aca="false">IF(P32=0,"Offer register missing/mismatch",IF(N32=0,IF(M32&gt;0,"PDF slip mismatch","No matching PDF"),IF(O32=0,"PDF lacks supporting record","Reconciled")))</f>
        <v>No matching PDF</v>
      </c>
      <c r="T32" s="22" t="str">
        <f aca="false">IF(R32="Y","Compliant",S32&amp;IF(Q32="N","; review after skip",""))</f>
        <v>No matching PDF; review after skip</v>
      </c>
      <c r="U32" s="22" t="str">
        <f aca="false">IF(R32="Y","",IF(AND(O32&gt;0,P32&gt;0,Q32="N"),"Priority 2","Priority 1"))</f>
        <v>Priority 1</v>
      </c>
    </row>
    <row r="33" customFormat="false" ht="15" hidden="false" customHeight="false" outlineLevel="0" collapsed="false">
      <c r="A33" s="22" t="s">
        <v>10628</v>
      </c>
      <c r="B33" s="22" t="s">
        <v>9164</v>
      </c>
      <c r="C33" s="23" t="n">
        <v>45066</v>
      </c>
      <c r="D33" s="22" t="s">
        <v>6368</v>
      </c>
      <c r="E33" s="22" t="str">
        <f aca="false">IFERROR(VLOOKUP(D33,'Applicant Lookup'!$A$2:$F$2911,2,FALSE()),"Not found")</f>
        <v>Brittany Lopez</v>
      </c>
      <c r="F33" s="22" t="n">
        <v>2816</v>
      </c>
      <c r="G33" s="22" t="s">
        <v>7323</v>
      </c>
      <c r="H33" s="22" t="s">
        <v>159</v>
      </c>
      <c r="I33" s="22" t="s">
        <v>8637</v>
      </c>
      <c r="J33" s="22" t="s">
        <v>10489</v>
      </c>
      <c r="K33" s="22" t="s">
        <v>10513</v>
      </c>
      <c r="L33" s="23" t="n">
        <v>45070</v>
      </c>
      <c r="M33" s="22" t="n">
        <f aca="false">COUNTIFS('Skip PDF Index'!$B$6:$B$11,D33,'Skip PDF Index'!$D$6:$D$11,C33,'Skip PDF Index'!$F$6:$F$11,I33)</f>
        <v>0</v>
      </c>
      <c r="N33" s="22" t="n">
        <f aca="false">COUNTIFS('Skip PDF Index'!$B$6:$B$11,D33,'Skip PDF Index'!$D$6:$D$11,C33,'Skip PDF Index'!$E$6:$E$11,G33,'Skip PDF Index'!$F$6:$F$11,I33)</f>
        <v>0</v>
      </c>
      <c r="O33" s="22" t="n">
        <f aca="false">COUNTIFS('Skip PDF Index'!$B$6:$B$11,D33,'Skip PDF Index'!$D$6:$D$11,C33,'Skip PDF Index'!$E$6:$E$11,G33,'Skip PDF Index'!$F$6:$F$11,I33,'Skip PDF Index'!$H$6:$H$11,"SUPPORTING RECORD")</f>
        <v>0</v>
      </c>
      <c r="P33" s="22" t="n">
        <f aca="false">COUNTIFS('Offer Events'!$A$2:$A$1487,B33,'Offer Events'!$B$2:$B$1487,C33,'Offer Events'!$C$2:$C$1487,D33,'Offer Events'!$E$2:$E$1487,G33,'Offer Events'!$L$2:$L$1487,"SKIPPED",'Offer Events'!$P$2:$P$1487,I33)</f>
        <v>1</v>
      </c>
      <c r="Q33" s="22" t="str">
        <f aca="false">IF(L33&lt;=C33,"Y","N")</f>
        <v>N</v>
      </c>
      <c r="R33" s="22" t="str">
        <f aca="false">IF(AND(O33&gt;0,P33&gt;0,Q33="Y"),"Y","N")</f>
        <v>N</v>
      </c>
      <c r="S33" s="22" t="str">
        <f aca="false">IF(P33=0,"Offer register missing/mismatch",IF(N33=0,IF(M33&gt;0,"PDF slip mismatch","No matching PDF"),IF(O33=0,"PDF lacks supporting record","Reconciled")))</f>
        <v>No matching PDF</v>
      </c>
      <c r="T33" s="22" t="str">
        <f aca="false">IF(R33="Y","Compliant",S33&amp;IF(Q33="N","; review after skip",""))</f>
        <v>No matching PDF; review after skip</v>
      </c>
      <c r="U33" s="22" t="str">
        <f aca="false">IF(R33="Y","",IF(AND(O33&gt;0,P33&gt;0,Q33="N"),"Priority 2","Priority 1"))</f>
        <v>Priority 1</v>
      </c>
    </row>
    <row r="34" customFormat="false" ht="15" hidden="false" customHeight="false" outlineLevel="0" collapsed="false">
      <c r="A34" s="22" t="s">
        <v>10629</v>
      </c>
      <c r="B34" s="22" t="s">
        <v>9166</v>
      </c>
      <c r="C34" s="23" t="n">
        <v>45067</v>
      </c>
      <c r="D34" s="22" t="s">
        <v>6163</v>
      </c>
      <c r="E34" s="22" t="str">
        <f aca="false">IFERROR(VLOOKUP(D34,'Applicant Lookup'!$A$2:$F$2911,2,FALSE()),"Not found")</f>
        <v>Charles Graham</v>
      </c>
      <c r="F34" s="22" t="n">
        <v>2712</v>
      </c>
      <c r="G34" s="22" t="s">
        <v>6615</v>
      </c>
      <c r="H34" s="22" t="s">
        <v>198</v>
      </c>
      <c r="I34" s="22" t="s">
        <v>8631</v>
      </c>
      <c r="J34" s="22" t="s">
        <v>10489</v>
      </c>
      <c r="K34" s="22" t="s">
        <v>10491</v>
      </c>
      <c r="L34" s="23" t="n">
        <v>45070</v>
      </c>
      <c r="M34" s="22" t="n">
        <f aca="false">COUNTIFS('Skip PDF Index'!$B$6:$B$11,D34,'Skip PDF Index'!$D$6:$D$11,C34,'Skip PDF Index'!$F$6:$F$11,I34)</f>
        <v>0</v>
      </c>
      <c r="N34" s="22" t="n">
        <f aca="false">COUNTIFS('Skip PDF Index'!$B$6:$B$11,D34,'Skip PDF Index'!$D$6:$D$11,C34,'Skip PDF Index'!$E$6:$E$11,G34,'Skip PDF Index'!$F$6:$F$11,I34)</f>
        <v>0</v>
      </c>
      <c r="O34" s="22" t="n">
        <f aca="false">COUNTIFS('Skip PDF Index'!$B$6:$B$11,D34,'Skip PDF Index'!$D$6:$D$11,C34,'Skip PDF Index'!$E$6:$E$11,G34,'Skip PDF Index'!$F$6:$F$11,I34,'Skip PDF Index'!$H$6:$H$11,"SUPPORTING RECORD")</f>
        <v>0</v>
      </c>
      <c r="P34" s="22" t="n">
        <f aca="false">COUNTIFS('Offer Events'!$A$2:$A$1487,B34,'Offer Events'!$B$2:$B$1487,C34,'Offer Events'!$C$2:$C$1487,D34,'Offer Events'!$E$2:$E$1487,G34,'Offer Events'!$L$2:$L$1487,"SKIPPED",'Offer Events'!$P$2:$P$1487,I34)</f>
        <v>1</v>
      </c>
      <c r="Q34" s="22" t="str">
        <f aca="false">IF(L34&lt;=C34,"Y","N")</f>
        <v>N</v>
      </c>
      <c r="R34" s="22" t="str">
        <f aca="false">IF(AND(O34&gt;0,P34&gt;0,Q34="Y"),"Y","N")</f>
        <v>N</v>
      </c>
      <c r="S34" s="22" t="str">
        <f aca="false">IF(P34=0,"Offer register missing/mismatch",IF(N34=0,IF(M34&gt;0,"PDF slip mismatch","No matching PDF"),IF(O34=0,"PDF lacks supporting record","Reconciled")))</f>
        <v>No matching PDF</v>
      </c>
      <c r="T34" s="22" t="str">
        <f aca="false">IF(R34="Y","Compliant",S34&amp;IF(Q34="N","; review after skip",""))</f>
        <v>No matching PDF; review after skip</v>
      </c>
      <c r="U34" s="22" t="str">
        <f aca="false">IF(R34="Y","",IF(AND(O34&gt;0,P34&gt;0,Q34="N"),"Priority 2","Priority 1"))</f>
        <v>Priority 1</v>
      </c>
    </row>
    <row r="35" customFormat="false" ht="15" hidden="false" customHeight="false" outlineLevel="0" collapsed="false">
      <c r="A35" s="22" t="s">
        <v>10630</v>
      </c>
      <c r="B35" s="22" t="s">
        <v>9167</v>
      </c>
      <c r="C35" s="23" t="n">
        <v>45065</v>
      </c>
      <c r="D35" s="22" t="s">
        <v>2861</v>
      </c>
      <c r="E35" s="22" t="str">
        <f aca="false">IFERROR(VLOOKUP(D35,'Applicant Lookup'!$A$2:$F$2911,2,FALSE()),"Not found")</f>
        <v>Michelle Pena</v>
      </c>
      <c r="F35" s="22" t="n">
        <v>1100</v>
      </c>
      <c r="G35" s="22" t="s">
        <v>7471</v>
      </c>
      <c r="H35" s="22" t="s">
        <v>159</v>
      </c>
      <c r="I35" s="22" t="s">
        <v>8637</v>
      </c>
      <c r="J35" s="22" t="s">
        <v>10489</v>
      </c>
      <c r="K35" s="22" t="s">
        <v>10555</v>
      </c>
      <c r="L35" s="23" t="n">
        <v>45069</v>
      </c>
      <c r="M35" s="22" t="n">
        <f aca="false">COUNTIFS('Skip PDF Index'!$B$6:$B$11,D35,'Skip PDF Index'!$D$6:$D$11,C35,'Skip PDF Index'!$F$6:$F$11,I35)</f>
        <v>0</v>
      </c>
      <c r="N35" s="22" t="n">
        <f aca="false">COUNTIFS('Skip PDF Index'!$B$6:$B$11,D35,'Skip PDF Index'!$D$6:$D$11,C35,'Skip PDF Index'!$E$6:$E$11,G35,'Skip PDF Index'!$F$6:$F$11,I35)</f>
        <v>0</v>
      </c>
      <c r="O35" s="22" t="n">
        <f aca="false">COUNTIFS('Skip PDF Index'!$B$6:$B$11,D35,'Skip PDF Index'!$D$6:$D$11,C35,'Skip PDF Index'!$E$6:$E$11,G35,'Skip PDF Index'!$F$6:$F$11,I35,'Skip PDF Index'!$H$6:$H$11,"SUPPORTING RECORD")</f>
        <v>0</v>
      </c>
      <c r="P35" s="22" t="n">
        <f aca="false">COUNTIFS('Offer Events'!$A$2:$A$1487,B35,'Offer Events'!$B$2:$B$1487,C35,'Offer Events'!$C$2:$C$1487,D35,'Offer Events'!$E$2:$E$1487,G35,'Offer Events'!$L$2:$L$1487,"SKIPPED",'Offer Events'!$P$2:$P$1487,I35)</f>
        <v>1</v>
      </c>
      <c r="Q35" s="22" t="str">
        <f aca="false">IF(L35&lt;=C35,"Y","N")</f>
        <v>N</v>
      </c>
      <c r="R35" s="22" t="str">
        <f aca="false">IF(AND(O35&gt;0,P35&gt;0,Q35="Y"),"Y","N")</f>
        <v>N</v>
      </c>
      <c r="S35" s="22" t="str">
        <f aca="false">IF(P35=0,"Offer register missing/mismatch",IF(N35=0,IF(M35&gt;0,"PDF slip mismatch","No matching PDF"),IF(O35=0,"PDF lacks supporting record","Reconciled")))</f>
        <v>No matching PDF</v>
      </c>
      <c r="T35" s="22" t="str">
        <f aca="false">IF(R35="Y","Compliant",S35&amp;IF(Q35="N","; review after skip",""))</f>
        <v>No matching PDF; review after skip</v>
      </c>
      <c r="U35" s="22" t="str">
        <f aca="false">IF(R35="Y","",IF(AND(O35&gt;0,P35&gt;0,Q35="N"),"Priority 2","Priority 1"))</f>
        <v>Priority 1</v>
      </c>
    </row>
    <row r="36" customFormat="false" ht="15" hidden="false" customHeight="false" outlineLevel="0" collapsed="false">
      <c r="A36" s="22" t="s">
        <v>10631</v>
      </c>
      <c r="B36" s="22" t="s">
        <v>9176</v>
      </c>
      <c r="C36" s="23" t="n">
        <v>45067</v>
      </c>
      <c r="D36" s="22" t="s">
        <v>4275</v>
      </c>
      <c r="E36" s="22" t="str">
        <f aca="false">IFERROR(VLOOKUP(D36,'Applicant Lookup'!$A$2:$F$2911,2,FALSE()),"Not found")</f>
        <v>Carolyn Johnson</v>
      </c>
      <c r="F36" s="22" t="n">
        <v>1777</v>
      </c>
      <c r="G36" s="22" t="s">
        <v>6793</v>
      </c>
      <c r="H36" s="22" t="s">
        <v>198</v>
      </c>
      <c r="I36" s="22" t="s">
        <v>8603</v>
      </c>
      <c r="J36" s="22" t="s">
        <v>10489</v>
      </c>
      <c r="K36" s="22" t="s">
        <v>10511</v>
      </c>
      <c r="L36" s="23" t="n">
        <v>45068</v>
      </c>
      <c r="M36" s="22" t="n">
        <f aca="false">COUNTIFS('Skip PDF Index'!$B$6:$B$11,D36,'Skip PDF Index'!$D$6:$D$11,C36,'Skip PDF Index'!$F$6:$F$11,I36)</f>
        <v>0</v>
      </c>
      <c r="N36" s="22" t="n">
        <f aca="false">COUNTIFS('Skip PDF Index'!$B$6:$B$11,D36,'Skip PDF Index'!$D$6:$D$11,C36,'Skip PDF Index'!$E$6:$E$11,G36,'Skip PDF Index'!$F$6:$F$11,I36)</f>
        <v>0</v>
      </c>
      <c r="O36" s="22" t="n">
        <f aca="false">COUNTIFS('Skip PDF Index'!$B$6:$B$11,D36,'Skip PDF Index'!$D$6:$D$11,C36,'Skip PDF Index'!$E$6:$E$11,G36,'Skip PDF Index'!$F$6:$F$11,I36,'Skip PDF Index'!$H$6:$H$11,"SUPPORTING RECORD")</f>
        <v>0</v>
      </c>
      <c r="P36" s="22" t="n">
        <f aca="false">COUNTIFS('Offer Events'!$A$2:$A$1487,B36,'Offer Events'!$B$2:$B$1487,C36,'Offer Events'!$C$2:$C$1487,D36,'Offer Events'!$E$2:$E$1487,G36,'Offer Events'!$L$2:$L$1487,"SKIPPED",'Offer Events'!$P$2:$P$1487,I36)</f>
        <v>1</v>
      </c>
      <c r="Q36" s="22" t="str">
        <f aca="false">IF(L36&lt;=C36,"Y","N")</f>
        <v>N</v>
      </c>
      <c r="R36" s="22" t="str">
        <f aca="false">IF(AND(O36&gt;0,P36&gt;0,Q36="Y"),"Y","N")</f>
        <v>N</v>
      </c>
      <c r="S36" s="22" t="str">
        <f aca="false">IF(P36=0,"Offer register missing/mismatch",IF(N36=0,IF(M36&gt;0,"PDF slip mismatch","No matching PDF"),IF(O36=0,"PDF lacks supporting record","Reconciled")))</f>
        <v>No matching PDF</v>
      </c>
      <c r="T36" s="22" t="str">
        <f aca="false">IF(R36="Y","Compliant",S36&amp;IF(Q36="N","; review after skip",""))</f>
        <v>No matching PDF; review after skip</v>
      </c>
      <c r="U36" s="22" t="str">
        <f aca="false">IF(R36="Y","",IF(AND(O36&gt;0,P36&gt;0,Q36="N"),"Priority 2","Priority 1"))</f>
        <v>Priority 1</v>
      </c>
    </row>
    <row r="37" customFormat="false" ht="15" hidden="false" customHeight="false" outlineLevel="0" collapsed="false">
      <c r="A37" s="22" t="s">
        <v>10632</v>
      </c>
      <c r="B37" s="22" t="s">
        <v>9180</v>
      </c>
      <c r="C37" s="23" t="n">
        <v>45056</v>
      </c>
      <c r="D37" s="22" t="s">
        <v>2937</v>
      </c>
      <c r="E37" s="22" t="str">
        <f aca="false">IFERROR(VLOOKUP(D37,'Applicant Lookup'!$A$2:$F$2911,2,FALSE()),"Not found")</f>
        <v>James Martin</v>
      </c>
      <c r="F37" s="22" t="n">
        <v>1134</v>
      </c>
      <c r="G37" s="22" t="s">
        <v>7795</v>
      </c>
      <c r="H37" s="22" t="s">
        <v>215</v>
      </c>
      <c r="I37" s="22" t="s">
        <v>8618</v>
      </c>
      <c r="J37" s="22" t="s">
        <v>10489</v>
      </c>
      <c r="K37" s="22" t="s">
        <v>10513</v>
      </c>
      <c r="L37" s="23" t="n">
        <v>45058</v>
      </c>
      <c r="M37" s="22" t="n">
        <f aca="false">COUNTIFS('Skip PDF Index'!$B$6:$B$11,D37,'Skip PDF Index'!$D$6:$D$11,C37,'Skip PDF Index'!$F$6:$F$11,I37)</f>
        <v>0</v>
      </c>
      <c r="N37" s="22" t="n">
        <f aca="false">COUNTIFS('Skip PDF Index'!$B$6:$B$11,D37,'Skip PDF Index'!$D$6:$D$11,C37,'Skip PDF Index'!$E$6:$E$11,G37,'Skip PDF Index'!$F$6:$F$11,I37)</f>
        <v>0</v>
      </c>
      <c r="O37" s="22" t="n">
        <f aca="false">COUNTIFS('Skip PDF Index'!$B$6:$B$11,D37,'Skip PDF Index'!$D$6:$D$11,C37,'Skip PDF Index'!$E$6:$E$11,G37,'Skip PDF Index'!$F$6:$F$11,I37,'Skip PDF Index'!$H$6:$H$11,"SUPPORTING RECORD")</f>
        <v>0</v>
      </c>
      <c r="P37" s="22" t="n">
        <f aca="false">COUNTIFS('Offer Events'!$A$2:$A$1487,B37,'Offer Events'!$B$2:$B$1487,C37,'Offer Events'!$C$2:$C$1487,D37,'Offer Events'!$E$2:$E$1487,G37,'Offer Events'!$L$2:$L$1487,"SKIPPED",'Offer Events'!$P$2:$P$1487,I37)</f>
        <v>1</v>
      </c>
      <c r="Q37" s="22" t="str">
        <f aca="false">IF(L37&lt;=C37,"Y","N")</f>
        <v>N</v>
      </c>
      <c r="R37" s="22" t="str">
        <f aca="false">IF(AND(O37&gt;0,P37&gt;0,Q37="Y"),"Y","N")</f>
        <v>N</v>
      </c>
      <c r="S37" s="22" t="str">
        <f aca="false">IF(P37=0,"Offer register missing/mismatch",IF(N37=0,IF(M37&gt;0,"PDF slip mismatch","No matching PDF"),IF(O37=0,"PDF lacks supporting record","Reconciled")))</f>
        <v>No matching PDF</v>
      </c>
      <c r="T37" s="22" t="str">
        <f aca="false">IF(R37="Y","Compliant",S37&amp;IF(Q37="N","; review after skip",""))</f>
        <v>No matching PDF; review after skip</v>
      </c>
      <c r="U37" s="22" t="str">
        <f aca="false">IF(R37="Y","",IF(AND(O37&gt;0,P37&gt;0,Q37="N"),"Priority 2","Priority 1"))</f>
        <v>Priority 1</v>
      </c>
    </row>
    <row r="38" customFormat="false" ht="15" hidden="false" customHeight="false" outlineLevel="0" collapsed="false">
      <c r="A38" s="22" t="s">
        <v>10633</v>
      </c>
      <c r="B38" s="22" t="s">
        <v>9184</v>
      </c>
      <c r="C38" s="23" t="n">
        <v>45067</v>
      </c>
      <c r="D38" s="22" t="s">
        <v>1308</v>
      </c>
      <c r="E38" s="22" t="str">
        <f aca="false">IFERROR(VLOOKUP(D38,'Applicant Lookup'!$A$2:$F$2911,2,FALSE()),"Not found")</f>
        <v>Patricia Wilson</v>
      </c>
      <c r="F38" s="22" t="n">
        <v>420</v>
      </c>
      <c r="G38" s="22" t="s">
        <v>8429</v>
      </c>
      <c r="H38" s="22" t="s">
        <v>188</v>
      </c>
      <c r="I38" s="22" t="s">
        <v>8603</v>
      </c>
      <c r="J38" s="22" t="s">
        <v>10489</v>
      </c>
      <c r="K38" s="22" t="s">
        <v>10555</v>
      </c>
      <c r="L38" s="23" t="n">
        <v>45069</v>
      </c>
      <c r="M38" s="22" t="n">
        <f aca="false">COUNTIFS('Skip PDF Index'!$B$6:$B$11,D38,'Skip PDF Index'!$D$6:$D$11,C38,'Skip PDF Index'!$F$6:$F$11,I38)</f>
        <v>0</v>
      </c>
      <c r="N38" s="22" t="n">
        <f aca="false">COUNTIFS('Skip PDF Index'!$B$6:$B$11,D38,'Skip PDF Index'!$D$6:$D$11,C38,'Skip PDF Index'!$E$6:$E$11,G38,'Skip PDF Index'!$F$6:$F$11,I38)</f>
        <v>0</v>
      </c>
      <c r="O38" s="22" t="n">
        <f aca="false">COUNTIFS('Skip PDF Index'!$B$6:$B$11,D38,'Skip PDF Index'!$D$6:$D$11,C38,'Skip PDF Index'!$E$6:$E$11,G38,'Skip PDF Index'!$F$6:$F$11,I38,'Skip PDF Index'!$H$6:$H$11,"SUPPORTING RECORD")</f>
        <v>0</v>
      </c>
      <c r="P38" s="22" t="n">
        <f aca="false">COUNTIFS('Offer Events'!$A$2:$A$1487,B38,'Offer Events'!$B$2:$B$1487,C38,'Offer Events'!$C$2:$C$1487,D38,'Offer Events'!$E$2:$E$1487,G38,'Offer Events'!$L$2:$L$1487,"SKIPPED",'Offer Events'!$P$2:$P$1487,I38)</f>
        <v>1</v>
      </c>
      <c r="Q38" s="22" t="str">
        <f aca="false">IF(L38&lt;=C38,"Y","N")</f>
        <v>N</v>
      </c>
      <c r="R38" s="22" t="str">
        <f aca="false">IF(AND(O38&gt;0,P38&gt;0,Q38="Y"),"Y","N")</f>
        <v>N</v>
      </c>
      <c r="S38" s="22" t="str">
        <f aca="false">IF(P38=0,"Offer register missing/mismatch",IF(N38=0,IF(M38&gt;0,"PDF slip mismatch","No matching PDF"),IF(O38=0,"PDF lacks supporting record","Reconciled")))</f>
        <v>No matching PDF</v>
      </c>
      <c r="T38" s="22" t="str">
        <f aca="false">IF(R38="Y","Compliant",S38&amp;IF(Q38="N","; review after skip",""))</f>
        <v>No matching PDF; review after skip</v>
      </c>
      <c r="U38" s="22" t="str">
        <f aca="false">IF(R38="Y","",IF(AND(O38&gt;0,P38&gt;0,Q38="N"),"Priority 2","Priority 1"))</f>
        <v>Priority 1</v>
      </c>
    </row>
    <row r="39" customFormat="false" ht="15" hidden="false" customHeight="false" outlineLevel="0" collapsed="false">
      <c r="A39" s="22" t="s">
        <v>10634</v>
      </c>
      <c r="B39" s="22" t="s">
        <v>9185</v>
      </c>
      <c r="C39" s="23" t="n">
        <v>45050</v>
      </c>
      <c r="D39" s="22" t="s">
        <v>5814</v>
      </c>
      <c r="E39" s="22" t="str">
        <f aca="false">IFERROR(VLOOKUP(D39,'Applicant Lookup'!$A$2:$F$2911,2,FALSE()),"Not found")</f>
        <v>Angel Wheeler</v>
      </c>
      <c r="F39" s="22" t="n">
        <v>2537</v>
      </c>
      <c r="G39" s="22" t="s">
        <v>8233</v>
      </c>
      <c r="H39" s="22" t="s">
        <v>499</v>
      </c>
      <c r="I39" s="22" t="s">
        <v>8618</v>
      </c>
      <c r="J39" s="22" t="s">
        <v>10489</v>
      </c>
      <c r="K39" s="22" t="s">
        <v>10516</v>
      </c>
      <c r="L39" s="23" t="n">
        <v>45052</v>
      </c>
      <c r="M39" s="22" t="n">
        <f aca="false">COUNTIFS('Skip PDF Index'!$B$6:$B$11,D39,'Skip PDF Index'!$D$6:$D$11,C39,'Skip PDF Index'!$F$6:$F$11,I39)</f>
        <v>0</v>
      </c>
      <c r="N39" s="22" t="n">
        <f aca="false">COUNTIFS('Skip PDF Index'!$B$6:$B$11,D39,'Skip PDF Index'!$D$6:$D$11,C39,'Skip PDF Index'!$E$6:$E$11,G39,'Skip PDF Index'!$F$6:$F$11,I39)</f>
        <v>0</v>
      </c>
      <c r="O39" s="22" t="n">
        <f aca="false">COUNTIFS('Skip PDF Index'!$B$6:$B$11,D39,'Skip PDF Index'!$D$6:$D$11,C39,'Skip PDF Index'!$E$6:$E$11,G39,'Skip PDF Index'!$F$6:$F$11,I39,'Skip PDF Index'!$H$6:$H$11,"SUPPORTING RECORD")</f>
        <v>0</v>
      </c>
      <c r="P39" s="22" t="n">
        <f aca="false">COUNTIFS('Offer Events'!$A$2:$A$1487,B39,'Offer Events'!$B$2:$B$1487,C39,'Offer Events'!$C$2:$C$1487,D39,'Offer Events'!$E$2:$E$1487,G39,'Offer Events'!$L$2:$L$1487,"SKIPPED",'Offer Events'!$P$2:$P$1487,I39)</f>
        <v>1</v>
      </c>
      <c r="Q39" s="22" t="str">
        <f aca="false">IF(L39&lt;=C39,"Y","N")</f>
        <v>N</v>
      </c>
      <c r="R39" s="22" t="str">
        <f aca="false">IF(AND(O39&gt;0,P39&gt;0,Q39="Y"),"Y","N")</f>
        <v>N</v>
      </c>
      <c r="S39" s="22" t="str">
        <f aca="false">IF(P39=0,"Offer register missing/mismatch",IF(N39=0,IF(M39&gt;0,"PDF slip mismatch","No matching PDF"),IF(O39=0,"PDF lacks supporting record","Reconciled")))</f>
        <v>No matching PDF</v>
      </c>
      <c r="T39" s="22" t="str">
        <f aca="false">IF(R39="Y","Compliant",S39&amp;IF(Q39="N","; review after skip",""))</f>
        <v>No matching PDF; review after skip</v>
      </c>
      <c r="U39" s="22" t="str">
        <f aca="false">IF(R39="Y","",IF(AND(O39&gt;0,P39&gt;0,Q39="N"),"Priority 2","Priority 1"))</f>
        <v>Priority 1</v>
      </c>
    </row>
    <row r="40" customFormat="false" ht="15" hidden="false" customHeight="false" outlineLevel="0" collapsed="false">
      <c r="A40" s="22" t="s">
        <v>10635</v>
      </c>
      <c r="B40" s="22" t="s">
        <v>9190</v>
      </c>
      <c r="C40" s="23" t="n">
        <v>45048</v>
      </c>
      <c r="D40" s="22" t="s">
        <v>5094</v>
      </c>
      <c r="E40" s="22" t="str">
        <f aca="false">IFERROR(VLOOKUP(D40,'Applicant Lookup'!$A$2:$F$2911,2,FALSE()),"Not found")</f>
        <v>Kristen Schneider</v>
      </c>
      <c r="F40" s="22" t="n">
        <v>2178</v>
      </c>
      <c r="G40" s="22" t="s">
        <v>7596</v>
      </c>
      <c r="H40" s="22" t="s">
        <v>159</v>
      </c>
      <c r="I40" s="22" t="s">
        <v>8603</v>
      </c>
      <c r="J40" s="22" t="s">
        <v>10489</v>
      </c>
      <c r="K40" s="22" t="s">
        <v>10516</v>
      </c>
      <c r="L40" s="23" t="n">
        <v>45048</v>
      </c>
      <c r="M40" s="22" t="n">
        <f aca="false">COUNTIFS('Skip PDF Index'!$B$6:$B$11,D40,'Skip PDF Index'!$D$6:$D$11,C40,'Skip PDF Index'!$F$6:$F$11,I40)</f>
        <v>0</v>
      </c>
      <c r="N40" s="22" t="n">
        <f aca="false">COUNTIFS('Skip PDF Index'!$B$6:$B$11,D40,'Skip PDF Index'!$D$6:$D$11,C40,'Skip PDF Index'!$E$6:$E$11,G40,'Skip PDF Index'!$F$6:$F$11,I40)</f>
        <v>0</v>
      </c>
      <c r="O40" s="22" t="n">
        <f aca="false">COUNTIFS('Skip PDF Index'!$B$6:$B$11,D40,'Skip PDF Index'!$D$6:$D$11,C40,'Skip PDF Index'!$E$6:$E$11,G40,'Skip PDF Index'!$F$6:$F$11,I40,'Skip PDF Index'!$H$6:$H$11,"SUPPORTING RECORD")</f>
        <v>0</v>
      </c>
      <c r="P40" s="22" t="n">
        <f aca="false">COUNTIFS('Offer Events'!$A$2:$A$1487,B40,'Offer Events'!$B$2:$B$1487,C40,'Offer Events'!$C$2:$C$1487,D40,'Offer Events'!$E$2:$E$1487,G40,'Offer Events'!$L$2:$L$1487,"SKIPPED",'Offer Events'!$P$2:$P$1487,I40)</f>
        <v>1</v>
      </c>
      <c r="Q40" s="22" t="str">
        <f aca="false">IF(L40&lt;=C40,"Y","N")</f>
        <v>Y</v>
      </c>
      <c r="R40" s="22" t="str">
        <f aca="false">IF(AND(O40&gt;0,P40&gt;0,Q40="Y"),"Y","N")</f>
        <v>N</v>
      </c>
      <c r="S40" s="22" t="str">
        <f aca="false">IF(P40=0,"Offer register missing/mismatch",IF(N40=0,IF(M40&gt;0,"PDF slip mismatch","No matching PDF"),IF(O40=0,"PDF lacks supporting record","Reconciled")))</f>
        <v>No matching PDF</v>
      </c>
      <c r="T40" s="22" t="str">
        <f aca="false">IF(R40="Y","Compliant",S40&amp;IF(Q40="N","; review after skip",""))</f>
        <v>No matching PDF</v>
      </c>
      <c r="U40" s="22" t="str">
        <f aca="false">IF(R40="Y","",IF(AND(O40&gt;0,P40&gt;0,Q40="N"),"Priority 2","Priority 1"))</f>
        <v>Priority 1</v>
      </c>
    </row>
    <row r="41" customFormat="false" ht="15" hidden="false" customHeight="false" outlineLevel="0" collapsed="false">
      <c r="A41" s="22" t="s">
        <v>10636</v>
      </c>
      <c r="B41" s="22" t="s">
        <v>9199</v>
      </c>
      <c r="C41" s="23" t="n">
        <v>45089</v>
      </c>
      <c r="D41" s="22" t="s">
        <v>4575</v>
      </c>
      <c r="E41" s="22" t="str">
        <f aca="false">IFERROR(VLOOKUP(D41,'Applicant Lookup'!$A$2:$F$2911,2,FALSE()),"Not found")</f>
        <v>Heather Hall</v>
      </c>
      <c r="F41" s="22" t="n">
        <v>1924</v>
      </c>
      <c r="G41" s="22" t="s">
        <v>7572</v>
      </c>
      <c r="H41" s="22" t="s">
        <v>159</v>
      </c>
      <c r="I41" s="22" t="s">
        <v>8618</v>
      </c>
      <c r="J41" s="22" t="s">
        <v>10489</v>
      </c>
      <c r="K41" s="22" t="s">
        <v>10496</v>
      </c>
      <c r="L41" s="23" t="n">
        <v>45093</v>
      </c>
      <c r="M41" s="22" t="n">
        <f aca="false">COUNTIFS('Skip PDF Index'!$B$6:$B$11,D41,'Skip PDF Index'!$D$6:$D$11,C41,'Skip PDF Index'!$F$6:$F$11,I41)</f>
        <v>0</v>
      </c>
      <c r="N41" s="22" t="n">
        <f aca="false">COUNTIFS('Skip PDF Index'!$B$6:$B$11,D41,'Skip PDF Index'!$D$6:$D$11,C41,'Skip PDF Index'!$E$6:$E$11,G41,'Skip PDF Index'!$F$6:$F$11,I41)</f>
        <v>0</v>
      </c>
      <c r="O41" s="22" t="n">
        <f aca="false">COUNTIFS('Skip PDF Index'!$B$6:$B$11,D41,'Skip PDF Index'!$D$6:$D$11,C41,'Skip PDF Index'!$E$6:$E$11,G41,'Skip PDF Index'!$F$6:$F$11,I41,'Skip PDF Index'!$H$6:$H$11,"SUPPORTING RECORD")</f>
        <v>0</v>
      </c>
      <c r="P41" s="22" t="n">
        <f aca="false">COUNTIFS('Offer Events'!$A$2:$A$1487,B41,'Offer Events'!$B$2:$B$1487,C41,'Offer Events'!$C$2:$C$1487,D41,'Offer Events'!$E$2:$E$1487,G41,'Offer Events'!$L$2:$L$1487,"SKIPPED",'Offer Events'!$P$2:$P$1487,I41)</f>
        <v>1</v>
      </c>
      <c r="Q41" s="22" t="str">
        <f aca="false">IF(L41&lt;=C41,"Y","N")</f>
        <v>N</v>
      </c>
      <c r="R41" s="22" t="str">
        <f aca="false">IF(AND(O41&gt;0,P41&gt;0,Q41="Y"),"Y","N")</f>
        <v>N</v>
      </c>
      <c r="S41" s="22" t="str">
        <f aca="false">IF(P41=0,"Offer register missing/mismatch",IF(N41=0,IF(M41&gt;0,"PDF slip mismatch","No matching PDF"),IF(O41=0,"PDF lacks supporting record","Reconciled")))</f>
        <v>No matching PDF</v>
      </c>
      <c r="T41" s="22" t="str">
        <f aca="false">IF(R41="Y","Compliant",S41&amp;IF(Q41="N","; review after skip",""))</f>
        <v>No matching PDF; review after skip</v>
      </c>
      <c r="U41" s="22" t="str">
        <f aca="false">IF(R41="Y","",IF(AND(O41&gt;0,P41&gt;0,Q41="N"),"Priority 2","Priority 1"))</f>
        <v>Priority 1</v>
      </c>
    </row>
    <row r="42" customFormat="false" ht="15" hidden="false" customHeight="false" outlineLevel="0" collapsed="false">
      <c r="A42" s="22" t="s">
        <v>10637</v>
      </c>
      <c r="B42" s="22" t="s">
        <v>9200</v>
      </c>
      <c r="C42" s="23" t="n">
        <v>45092</v>
      </c>
      <c r="D42" s="22" t="s">
        <v>2155</v>
      </c>
      <c r="E42" s="22" t="str">
        <f aca="false">IFERROR(VLOOKUP(D42,'Applicant Lookup'!$A$2:$F$2911,2,FALSE()),"Not found")</f>
        <v>Crystal Parrish</v>
      </c>
      <c r="F42" s="22" t="n">
        <v>781</v>
      </c>
      <c r="G42" s="22" t="s">
        <v>6708</v>
      </c>
      <c r="H42" s="22" t="s">
        <v>198</v>
      </c>
      <c r="I42" s="22" t="s">
        <v>8637</v>
      </c>
      <c r="J42" s="22" t="s">
        <v>10518</v>
      </c>
      <c r="K42" s="22" t="s">
        <v>10516</v>
      </c>
      <c r="L42" s="23" t="n">
        <v>45096</v>
      </c>
      <c r="M42" s="22" t="n">
        <f aca="false">COUNTIFS('Skip PDF Index'!$B$6:$B$11,D42,'Skip PDF Index'!$D$6:$D$11,C42,'Skip PDF Index'!$F$6:$F$11,I42)</f>
        <v>0</v>
      </c>
      <c r="N42" s="22" t="n">
        <f aca="false">COUNTIFS('Skip PDF Index'!$B$6:$B$11,D42,'Skip PDF Index'!$D$6:$D$11,C42,'Skip PDF Index'!$E$6:$E$11,G42,'Skip PDF Index'!$F$6:$F$11,I42)</f>
        <v>0</v>
      </c>
      <c r="O42" s="22" t="n">
        <f aca="false">COUNTIFS('Skip PDF Index'!$B$6:$B$11,D42,'Skip PDF Index'!$D$6:$D$11,C42,'Skip PDF Index'!$E$6:$E$11,G42,'Skip PDF Index'!$F$6:$F$11,I42,'Skip PDF Index'!$H$6:$H$11,"SUPPORTING RECORD")</f>
        <v>0</v>
      </c>
      <c r="P42" s="22" t="n">
        <f aca="false">COUNTIFS('Offer Events'!$A$2:$A$1487,B42,'Offer Events'!$B$2:$B$1487,C42,'Offer Events'!$C$2:$C$1487,D42,'Offer Events'!$E$2:$E$1487,G42,'Offer Events'!$L$2:$L$1487,"SKIPPED",'Offer Events'!$P$2:$P$1487,I42)</f>
        <v>1</v>
      </c>
      <c r="Q42" s="22" t="str">
        <f aca="false">IF(L42&lt;=C42,"Y","N")</f>
        <v>N</v>
      </c>
      <c r="R42" s="22" t="str">
        <f aca="false">IF(AND(O42&gt;0,P42&gt;0,Q42="Y"),"Y","N")</f>
        <v>N</v>
      </c>
      <c r="S42" s="22" t="str">
        <f aca="false">IF(P42=0,"Offer register missing/mismatch",IF(N42=0,IF(M42&gt;0,"PDF slip mismatch","No matching PDF"),IF(O42=0,"PDF lacks supporting record","Reconciled")))</f>
        <v>No matching PDF</v>
      </c>
      <c r="T42" s="22" t="str">
        <f aca="false">IF(R42="Y","Compliant",S42&amp;IF(Q42="N","; review after skip",""))</f>
        <v>No matching PDF; review after skip</v>
      </c>
      <c r="U42" s="22" t="str">
        <f aca="false">IF(R42="Y","",IF(AND(O42&gt;0,P42&gt;0,Q42="N"),"Priority 2","Priority 1"))</f>
        <v>Priority 1</v>
      </c>
    </row>
    <row r="43" customFormat="false" ht="15" hidden="false" customHeight="false" outlineLevel="0" collapsed="false">
      <c r="A43" s="22" t="s">
        <v>10638</v>
      </c>
      <c r="B43" s="22" t="s">
        <v>9201</v>
      </c>
      <c r="C43" s="23" t="n">
        <v>45085</v>
      </c>
      <c r="D43" s="22" t="s">
        <v>718</v>
      </c>
      <c r="E43" s="22" t="str">
        <f aca="false">IFERROR(VLOOKUP(D43,'Applicant Lookup'!$A$2:$F$2911,2,FALSE()),"Not found")</f>
        <v>Mindy Medina</v>
      </c>
      <c r="F43" s="22" t="n">
        <v>193</v>
      </c>
      <c r="G43" s="22" t="s">
        <v>7346</v>
      </c>
      <c r="H43" s="22" t="s">
        <v>159</v>
      </c>
      <c r="I43" s="22" t="s">
        <v>8631</v>
      </c>
      <c r="J43" s="22" t="s">
        <v>10489</v>
      </c>
      <c r="K43" s="22" t="s">
        <v>10504</v>
      </c>
      <c r="L43" s="23" t="n">
        <v>45085</v>
      </c>
      <c r="M43" s="22" t="n">
        <f aca="false">COUNTIFS('Skip PDF Index'!$B$6:$B$11,D43,'Skip PDF Index'!$D$6:$D$11,C43,'Skip PDF Index'!$F$6:$F$11,I43)</f>
        <v>0</v>
      </c>
      <c r="N43" s="22" t="n">
        <f aca="false">COUNTIFS('Skip PDF Index'!$B$6:$B$11,D43,'Skip PDF Index'!$D$6:$D$11,C43,'Skip PDF Index'!$E$6:$E$11,G43,'Skip PDF Index'!$F$6:$F$11,I43)</f>
        <v>0</v>
      </c>
      <c r="O43" s="22" t="n">
        <f aca="false">COUNTIFS('Skip PDF Index'!$B$6:$B$11,D43,'Skip PDF Index'!$D$6:$D$11,C43,'Skip PDF Index'!$E$6:$E$11,G43,'Skip PDF Index'!$F$6:$F$11,I43,'Skip PDF Index'!$H$6:$H$11,"SUPPORTING RECORD")</f>
        <v>0</v>
      </c>
      <c r="P43" s="22" t="n">
        <f aca="false">COUNTIFS('Offer Events'!$A$2:$A$1487,B43,'Offer Events'!$B$2:$B$1487,C43,'Offer Events'!$C$2:$C$1487,D43,'Offer Events'!$E$2:$E$1487,G43,'Offer Events'!$L$2:$L$1487,"SKIPPED",'Offer Events'!$P$2:$P$1487,I43)</f>
        <v>1</v>
      </c>
      <c r="Q43" s="22" t="str">
        <f aca="false">IF(L43&lt;=C43,"Y","N")</f>
        <v>Y</v>
      </c>
      <c r="R43" s="22" t="str">
        <f aca="false">IF(AND(O43&gt;0,P43&gt;0,Q43="Y"),"Y","N")</f>
        <v>N</v>
      </c>
      <c r="S43" s="22" t="str">
        <f aca="false">IF(P43=0,"Offer register missing/mismatch",IF(N43=0,IF(M43&gt;0,"PDF slip mismatch","No matching PDF"),IF(O43=0,"PDF lacks supporting record","Reconciled")))</f>
        <v>No matching PDF</v>
      </c>
      <c r="T43" s="22" t="str">
        <f aca="false">IF(R43="Y","Compliant",S43&amp;IF(Q43="N","; review after skip",""))</f>
        <v>No matching PDF</v>
      </c>
      <c r="U43" s="22" t="str">
        <f aca="false">IF(R43="Y","",IF(AND(O43&gt;0,P43&gt;0,Q43="N"),"Priority 2","Priority 1"))</f>
        <v>Priority 1</v>
      </c>
    </row>
    <row r="44" customFormat="false" ht="15" hidden="false" customHeight="false" outlineLevel="0" collapsed="false">
      <c r="A44" s="22" t="s">
        <v>10639</v>
      </c>
      <c r="B44" s="22" t="s">
        <v>9211</v>
      </c>
      <c r="C44" s="23" t="n">
        <v>45087</v>
      </c>
      <c r="D44" s="22" t="s">
        <v>1052</v>
      </c>
      <c r="E44" s="22" t="str">
        <f aca="false">IFERROR(VLOOKUP(D44,'Applicant Lookup'!$A$2:$F$2911,2,FALSE()),"Not found")</f>
        <v>Janice Roy</v>
      </c>
      <c r="F44" s="22" t="n">
        <v>319</v>
      </c>
      <c r="G44" s="22" t="s">
        <v>8319</v>
      </c>
      <c r="H44" s="22" t="s">
        <v>499</v>
      </c>
      <c r="I44" s="22" t="s">
        <v>8618</v>
      </c>
      <c r="J44" s="22" t="s">
        <v>10489</v>
      </c>
      <c r="K44" s="22" t="s">
        <v>10516</v>
      </c>
      <c r="L44" s="23" t="n">
        <v>45088</v>
      </c>
      <c r="M44" s="22" t="n">
        <f aca="false">COUNTIFS('Skip PDF Index'!$B$6:$B$11,D44,'Skip PDF Index'!$D$6:$D$11,C44,'Skip PDF Index'!$F$6:$F$11,I44)</f>
        <v>0</v>
      </c>
      <c r="N44" s="22" t="n">
        <f aca="false">COUNTIFS('Skip PDF Index'!$B$6:$B$11,D44,'Skip PDF Index'!$D$6:$D$11,C44,'Skip PDF Index'!$E$6:$E$11,G44,'Skip PDF Index'!$F$6:$F$11,I44)</f>
        <v>0</v>
      </c>
      <c r="O44" s="22" t="n">
        <f aca="false">COUNTIFS('Skip PDF Index'!$B$6:$B$11,D44,'Skip PDF Index'!$D$6:$D$11,C44,'Skip PDF Index'!$E$6:$E$11,G44,'Skip PDF Index'!$F$6:$F$11,I44,'Skip PDF Index'!$H$6:$H$11,"SUPPORTING RECORD")</f>
        <v>0</v>
      </c>
      <c r="P44" s="22" t="n">
        <f aca="false">COUNTIFS('Offer Events'!$A$2:$A$1487,B44,'Offer Events'!$B$2:$B$1487,C44,'Offer Events'!$C$2:$C$1487,D44,'Offer Events'!$E$2:$E$1487,G44,'Offer Events'!$L$2:$L$1487,"SKIPPED",'Offer Events'!$P$2:$P$1487,I44)</f>
        <v>1</v>
      </c>
      <c r="Q44" s="22" t="str">
        <f aca="false">IF(L44&lt;=C44,"Y","N")</f>
        <v>N</v>
      </c>
      <c r="R44" s="22" t="str">
        <f aca="false">IF(AND(O44&gt;0,P44&gt;0,Q44="Y"),"Y","N")</f>
        <v>N</v>
      </c>
      <c r="S44" s="22" t="str">
        <f aca="false">IF(P44=0,"Offer register missing/mismatch",IF(N44=0,IF(M44&gt;0,"PDF slip mismatch","No matching PDF"),IF(O44=0,"PDF lacks supporting record","Reconciled")))</f>
        <v>No matching PDF</v>
      </c>
      <c r="T44" s="22" t="str">
        <f aca="false">IF(R44="Y","Compliant",S44&amp;IF(Q44="N","; review after skip",""))</f>
        <v>No matching PDF; review after skip</v>
      </c>
      <c r="U44" s="22" t="str">
        <f aca="false">IF(R44="Y","",IF(AND(O44&gt;0,P44&gt;0,Q44="N"),"Priority 2","Priority 1"))</f>
        <v>Priority 1</v>
      </c>
    </row>
    <row r="45" customFormat="false" ht="15" hidden="false" customHeight="false" outlineLevel="0" collapsed="false">
      <c r="A45" s="22" t="s">
        <v>10640</v>
      </c>
      <c r="B45" s="22" t="s">
        <v>9212</v>
      </c>
      <c r="C45" s="23" t="n">
        <v>45101</v>
      </c>
      <c r="D45" s="22" t="s">
        <v>3023</v>
      </c>
      <c r="E45" s="22" t="str">
        <f aca="false">IFERROR(VLOOKUP(D45,'Applicant Lookup'!$A$2:$F$2911,2,FALSE()),"Not found")</f>
        <v>Lisa Parker</v>
      </c>
      <c r="F45" s="22" t="n">
        <v>1173</v>
      </c>
      <c r="G45" s="22" t="s">
        <v>8375</v>
      </c>
      <c r="H45" s="22" t="s">
        <v>188</v>
      </c>
      <c r="I45" s="22" t="s">
        <v>8603</v>
      </c>
      <c r="J45" s="22" t="s">
        <v>10489</v>
      </c>
      <c r="K45" s="22" t="s">
        <v>10516</v>
      </c>
      <c r="L45" s="23" t="n">
        <v>45101</v>
      </c>
      <c r="M45" s="22" t="n">
        <f aca="false">COUNTIFS('Skip PDF Index'!$B$6:$B$11,D45,'Skip PDF Index'!$D$6:$D$11,C45,'Skip PDF Index'!$F$6:$F$11,I45)</f>
        <v>0</v>
      </c>
      <c r="N45" s="22" t="n">
        <f aca="false">COUNTIFS('Skip PDF Index'!$B$6:$B$11,D45,'Skip PDF Index'!$D$6:$D$11,C45,'Skip PDF Index'!$E$6:$E$11,G45,'Skip PDF Index'!$F$6:$F$11,I45)</f>
        <v>0</v>
      </c>
      <c r="O45" s="22" t="n">
        <f aca="false">COUNTIFS('Skip PDF Index'!$B$6:$B$11,D45,'Skip PDF Index'!$D$6:$D$11,C45,'Skip PDF Index'!$E$6:$E$11,G45,'Skip PDF Index'!$F$6:$F$11,I45,'Skip PDF Index'!$H$6:$H$11,"SUPPORTING RECORD")</f>
        <v>0</v>
      </c>
      <c r="P45" s="22" t="n">
        <f aca="false">COUNTIFS('Offer Events'!$A$2:$A$1487,B45,'Offer Events'!$B$2:$B$1487,C45,'Offer Events'!$C$2:$C$1487,D45,'Offer Events'!$E$2:$E$1487,G45,'Offer Events'!$L$2:$L$1487,"SKIPPED",'Offer Events'!$P$2:$P$1487,I45)</f>
        <v>1</v>
      </c>
      <c r="Q45" s="22" t="str">
        <f aca="false">IF(L45&lt;=C45,"Y","N")</f>
        <v>Y</v>
      </c>
      <c r="R45" s="22" t="str">
        <f aca="false">IF(AND(O45&gt;0,P45&gt;0,Q45="Y"),"Y","N")</f>
        <v>N</v>
      </c>
      <c r="S45" s="22" t="str">
        <f aca="false">IF(P45=0,"Offer register missing/mismatch",IF(N45=0,IF(M45&gt;0,"PDF slip mismatch","No matching PDF"),IF(O45=0,"PDF lacks supporting record","Reconciled")))</f>
        <v>No matching PDF</v>
      </c>
      <c r="T45" s="22" t="str">
        <f aca="false">IF(R45="Y","Compliant",S45&amp;IF(Q45="N","; review after skip",""))</f>
        <v>No matching PDF</v>
      </c>
      <c r="U45" s="22" t="str">
        <f aca="false">IF(R45="Y","",IF(AND(O45&gt;0,P45&gt;0,Q45="N"),"Priority 2","Priority 1"))</f>
        <v>Priority 1</v>
      </c>
    </row>
    <row r="46" customFormat="false" ht="15" hidden="false" customHeight="false" outlineLevel="0" collapsed="false">
      <c r="A46" s="22" t="s">
        <v>10641</v>
      </c>
      <c r="B46" s="22" t="s">
        <v>9215</v>
      </c>
      <c r="C46" s="23" t="n">
        <v>45102</v>
      </c>
      <c r="D46" s="22" t="s">
        <v>1657</v>
      </c>
      <c r="E46" s="22" t="str">
        <f aca="false">IFERROR(VLOOKUP(D46,'Applicant Lookup'!$A$2:$F$2911,2,FALSE()),"Not found")</f>
        <v>Rebecca Lozano</v>
      </c>
      <c r="F46" s="22" t="n">
        <v>568</v>
      </c>
      <c r="G46" s="22" t="s">
        <v>6705</v>
      </c>
      <c r="H46" s="22" t="s">
        <v>198</v>
      </c>
      <c r="I46" s="22" t="s">
        <v>8631</v>
      </c>
      <c r="J46" s="22" t="s">
        <v>10489</v>
      </c>
      <c r="K46" s="22" t="s">
        <v>10496</v>
      </c>
      <c r="L46" s="23" t="n">
        <v>45106</v>
      </c>
      <c r="M46" s="22" t="n">
        <f aca="false">COUNTIFS('Skip PDF Index'!$B$6:$B$11,D46,'Skip PDF Index'!$D$6:$D$11,C46,'Skip PDF Index'!$F$6:$F$11,I46)</f>
        <v>0</v>
      </c>
      <c r="N46" s="22" t="n">
        <f aca="false">COUNTIFS('Skip PDF Index'!$B$6:$B$11,D46,'Skip PDF Index'!$D$6:$D$11,C46,'Skip PDF Index'!$E$6:$E$11,G46,'Skip PDF Index'!$F$6:$F$11,I46)</f>
        <v>0</v>
      </c>
      <c r="O46" s="22" t="n">
        <f aca="false">COUNTIFS('Skip PDF Index'!$B$6:$B$11,D46,'Skip PDF Index'!$D$6:$D$11,C46,'Skip PDF Index'!$E$6:$E$11,G46,'Skip PDF Index'!$F$6:$F$11,I46,'Skip PDF Index'!$H$6:$H$11,"SUPPORTING RECORD")</f>
        <v>0</v>
      </c>
      <c r="P46" s="22" t="n">
        <f aca="false">COUNTIFS('Offer Events'!$A$2:$A$1487,B46,'Offer Events'!$B$2:$B$1487,C46,'Offer Events'!$C$2:$C$1487,D46,'Offer Events'!$E$2:$E$1487,G46,'Offer Events'!$L$2:$L$1487,"SKIPPED",'Offer Events'!$P$2:$P$1487,I46)</f>
        <v>1</v>
      </c>
      <c r="Q46" s="22" t="str">
        <f aca="false">IF(L46&lt;=C46,"Y","N")</f>
        <v>N</v>
      </c>
      <c r="R46" s="22" t="str">
        <f aca="false">IF(AND(O46&gt;0,P46&gt;0,Q46="Y"),"Y","N")</f>
        <v>N</v>
      </c>
      <c r="S46" s="22" t="str">
        <f aca="false">IF(P46=0,"Offer register missing/mismatch",IF(N46=0,IF(M46&gt;0,"PDF slip mismatch","No matching PDF"),IF(O46=0,"PDF lacks supporting record","Reconciled")))</f>
        <v>No matching PDF</v>
      </c>
      <c r="T46" s="22" t="str">
        <f aca="false">IF(R46="Y","Compliant",S46&amp;IF(Q46="N","; review after skip",""))</f>
        <v>No matching PDF; review after skip</v>
      </c>
      <c r="U46" s="22" t="str">
        <f aca="false">IF(R46="Y","",IF(AND(O46&gt;0,P46&gt;0,Q46="N"),"Priority 2","Priority 1"))</f>
        <v>Priority 1</v>
      </c>
    </row>
    <row r="47" customFormat="false" ht="15" hidden="false" customHeight="false" outlineLevel="0" collapsed="false">
      <c r="A47" s="22" t="s">
        <v>10642</v>
      </c>
      <c r="B47" s="22" t="s">
        <v>9216</v>
      </c>
      <c r="C47" s="23" t="n">
        <v>45085</v>
      </c>
      <c r="D47" s="22" t="s">
        <v>6255</v>
      </c>
      <c r="E47" s="22" t="str">
        <f aca="false">IFERROR(VLOOKUP(D47,'Applicant Lookup'!$A$2:$F$2911,2,FALSE()),"Not found")</f>
        <v>Sean Cherry</v>
      </c>
      <c r="F47" s="22" t="n">
        <v>2758</v>
      </c>
      <c r="G47" s="22" t="s">
        <v>6639</v>
      </c>
      <c r="H47" s="22" t="s">
        <v>198</v>
      </c>
      <c r="I47" s="22" t="s">
        <v>8637</v>
      </c>
      <c r="J47" s="22" t="s">
        <v>10489</v>
      </c>
      <c r="K47" s="22" t="s">
        <v>10516</v>
      </c>
      <c r="L47" s="23" t="n">
        <v>45087</v>
      </c>
      <c r="M47" s="22" t="n">
        <f aca="false">COUNTIFS('Skip PDF Index'!$B$6:$B$11,D47,'Skip PDF Index'!$D$6:$D$11,C47,'Skip PDF Index'!$F$6:$F$11,I47)</f>
        <v>0</v>
      </c>
      <c r="N47" s="22" t="n">
        <f aca="false">COUNTIFS('Skip PDF Index'!$B$6:$B$11,D47,'Skip PDF Index'!$D$6:$D$11,C47,'Skip PDF Index'!$E$6:$E$11,G47,'Skip PDF Index'!$F$6:$F$11,I47)</f>
        <v>0</v>
      </c>
      <c r="O47" s="22" t="n">
        <f aca="false">COUNTIFS('Skip PDF Index'!$B$6:$B$11,D47,'Skip PDF Index'!$D$6:$D$11,C47,'Skip PDF Index'!$E$6:$E$11,G47,'Skip PDF Index'!$F$6:$F$11,I47,'Skip PDF Index'!$H$6:$H$11,"SUPPORTING RECORD")</f>
        <v>0</v>
      </c>
      <c r="P47" s="22" t="n">
        <f aca="false">COUNTIFS('Offer Events'!$A$2:$A$1487,B47,'Offer Events'!$B$2:$B$1487,C47,'Offer Events'!$C$2:$C$1487,D47,'Offer Events'!$E$2:$E$1487,G47,'Offer Events'!$L$2:$L$1487,"SKIPPED",'Offer Events'!$P$2:$P$1487,I47)</f>
        <v>1</v>
      </c>
      <c r="Q47" s="22" t="str">
        <f aca="false">IF(L47&lt;=C47,"Y","N")</f>
        <v>N</v>
      </c>
      <c r="R47" s="22" t="str">
        <f aca="false">IF(AND(O47&gt;0,P47&gt;0,Q47="Y"),"Y","N")</f>
        <v>N</v>
      </c>
      <c r="S47" s="22" t="str">
        <f aca="false">IF(P47=0,"Offer register missing/mismatch",IF(N47=0,IF(M47&gt;0,"PDF slip mismatch","No matching PDF"),IF(O47=0,"PDF lacks supporting record","Reconciled")))</f>
        <v>No matching PDF</v>
      </c>
      <c r="T47" s="22" t="str">
        <f aca="false">IF(R47="Y","Compliant",S47&amp;IF(Q47="N","; review after skip",""))</f>
        <v>No matching PDF; review after skip</v>
      </c>
      <c r="U47" s="22" t="str">
        <f aca="false">IF(R47="Y","",IF(AND(O47&gt;0,P47&gt;0,Q47="N"),"Priority 2","Priority 1"))</f>
        <v>Priority 1</v>
      </c>
    </row>
    <row r="48" customFormat="false" ht="15" hidden="false" customHeight="false" outlineLevel="0" collapsed="false">
      <c r="A48" s="22" t="s">
        <v>10643</v>
      </c>
      <c r="B48" s="22" t="s">
        <v>9217</v>
      </c>
      <c r="C48" s="23" t="n">
        <v>45084</v>
      </c>
      <c r="D48" s="22" t="s">
        <v>3782</v>
      </c>
      <c r="E48" s="22" t="str">
        <f aca="false">IFERROR(VLOOKUP(D48,'Applicant Lookup'!$A$2:$F$2911,2,FALSE()),"Not found")</f>
        <v>Shari Hess</v>
      </c>
      <c r="F48" s="22" t="n">
        <v>1535</v>
      </c>
      <c r="G48" s="22" t="s">
        <v>7587</v>
      </c>
      <c r="H48" s="22" t="s">
        <v>159</v>
      </c>
      <c r="I48" s="22" t="s">
        <v>8631</v>
      </c>
      <c r="J48" s="22" t="s">
        <v>10489</v>
      </c>
      <c r="K48" s="22" t="s">
        <v>10516</v>
      </c>
      <c r="L48" s="23" t="n">
        <v>45085</v>
      </c>
      <c r="M48" s="22" t="n">
        <f aca="false">COUNTIFS('Skip PDF Index'!$B$6:$B$11,D48,'Skip PDF Index'!$D$6:$D$11,C48,'Skip PDF Index'!$F$6:$F$11,I48)</f>
        <v>0</v>
      </c>
      <c r="N48" s="22" t="n">
        <f aca="false">COUNTIFS('Skip PDF Index'!$B$6:$B$11,D48,'Skip PDF Index'!$D$6:$D$11,C48,'Skip PDF Index'!$E$6:$E$11,G48,'Skip PDF Index'!$F$6:$F$11,I48)</f>
        <v>0</v>
      </c>
      <c r="O48" s="22" t="n">
        <f aca="false">COUNTIFS('Skip PDF Index'!$B$6:$B$11,D48,'Skip PDF Index'!$D$6:$D$11,C48,'Skip PDF Index'!$E$6:$E$11,G48,'Skip PDF Index'!$F$6:$F$11,I48,'Skip PDF Index'!$H$6:$H$11,"SUPPORTING RECORD")</f>
        <v>0</v>
      </c>
      <c r="P48" s="22" t="n">
        <f aca="false">COUNTIFS('Offer Events'!$A$2:$A$1487,B48,'Offer Events'!$B$2:$B$1487,C48,'Offer Events'!$C$2:$C$1487,D48,'Offer Events'!$E$2:$E$1487,G48,'Offer Events'!$L$2:$L$1487,"SKIPPED",'Offer Events'!$P$2:$P$1487,I48)</f>
        <v>1</v>
      </c>
      <c r="Q48" s="22" t="str">
        <f aca="false">IF(L48&lt;=C48,"Y","N")</f>
        <v>N</v>
      </c>
      <c r="R48" s="22" t="str">
        <f aca="false">IF(AND(O48&gt;0,P48&gt;0,Q48="Y"),"Y","N")</f>
        <v>N</v>
      </c>
      <c r="S48" s="22" t="str">
        <f aca="false">IF(P48=0,"Offer register missing/mismatch",IF(N48=0,IF(M48&gt;0,"PDF slip mismatch","No matching PDF"),IF(O48=0,"PDF lacks supporting record","Reconciled")))</f>
        <v>No matching PDF</v>
      </c>
      <c r="T48" s="22" t="str">
        <f aca="false">IF(R48="Y","Compliant",S48&amp;IF(Q48="N","; review after skip",""))</f>
        <v>No matching PDF; review after skip</v>
      </c>
      <c r="U48" s="22" t="str">
        <f aca="false">IF(R48="Y","",IF(AND(O48&gt;0,P48&gt;0,Q48="N"),"Priority 2","Priority 1"))</f>
        <v>Priority 1</v>
      </c>
    </row>
    <row r="49" customFormat="false" ht="15" hidden="false" customHeight="false" outlineLevel="0" collapsed="false">
      <c r="A49" s="22" t="s">
        <v>10644</v>
      </c>
      <c r="B49" s="22" t="s">
        <v>9220</v>
      </c>
      <c r="C49" s="23" t="n">
        <v>45090</v>
      </c>
      <c r="D49" s="22" t="s">
        <v>4041</v>
      </c>
      <c r="E49" s="22" t="str">
        <f aca="false">IFERROR(VLOOKUP(D49,'Applicant Lookup'!$A$2:$F$2911,2,FALSE()),"Not found")</f>
        <v>Susan Thompson</v>
      </c>
      <c r="F49" s="22" t="n">
        <v>1663</v>
      </c>
      <c r="G49" s="22" t="s">
        <v>8265</v>
      </c>
      <c r="H49" s="22" t="s">
        <v>499</v>
      </c>
      <c r="I49" s="22" t="s">
        <v>8603</v>
      </c>
      <c r="J49" s="22" t="s">
        <v>10489</v>
      </c>
      <c r="K49" s="22" t="s">
        <v>10513</v>
      </c>
      <c r="L49" s="23" t="n">
        <v>45093</v>
      </c>
      <c r="M49" s="22" t="n">
        <f aca="false">COUNTIFS('Skip PDF Index'!$B$6:$B$11,D49,'Skip PDF Index'!$D$6:$D$11,C49,'Skip PDF Index'!$F$6:$F$11,I49)</f>
        <v>0</v>
      </c>
      <c r="N49" s="22" t="n">
        <f aca="false">COUNTIFS('Skip PDF Index'!$B$6:$B$11,D49,'Skip PDF Index'!$D$6:$D$11,C49,'Skip PDF Index'!$E$6:$E$11,G49,'Skip PDF Index'!$F$6:$F$11,I49)</f>
        <v>0</v>
      </c>
      <c r="O49" s="22" t="n">
        <f aca="false">COUNTIFS('Skip PDF Index'!$B$6:$B$11,D49,'Skip PDF Index'!$D$6:$D$11,C49,'Skip PDF Index'!$E$6:$E$11,G49,'Skip PDF Index'!$F$6:$F$11,I49,'Skip PDF Index'!$H$6:$H$11,"SUPPORTING RECORD")</f>
        <v>0</v>
      </c>
      <c r="P49" s="22" t="n">
        <f aca="false">COUNTIFS('Offer Events'!$A$2:$A$1487,B49,'Offer Events'!$B$2:$B$1487,C49,'Offer Events'!$C$2:$C$1487,D49,'Offer Events'!$E$2:$E$1487,G49,'Offer Events'!$L$2:$L$1487,"SKIPPED",'Offer Events'!$P$2:$P$1487,I49)</f>
        <v>1</v>
      </c>
      <c r="Q49" s="22" t="str">
        <f aca="false">IF(L49&lt;=C49,"Y","N")</f>
        <v>N</v>
      </c>
      <c r="R49" s="22" t="str">
        <f aca="false">IF(AND(O49&gt;0,P49&gt;0,Q49="Y"),"Y","N")</f>
        <v>N</v>
      </c>
      <c r="S49" s="22" t="str">
        <f aca="false">IF(P49=0,"Offer register missing/mismatch",IF(N49=0,IF(M49&gt;0,"PDF slip mismatch","No matching PDF"),IF(O49=0,"PDF lacks supporting record","Reconciled")))</f>
        <v>No matching PDF</v>
      </c>
      <c r="T49" s="22" t="str">
        <f aca="false">IF(R49="Y","Compliant",S49&amp;IF(Q49="N","; review after skip",""))</f>
        <v>No matching PDF; review after skip</v>
      </c>
      <c r="U49" s="22" t="str">
        <f aca="false">IF(R49="Y","",IF(AND(O49&gt;0,P49&gt;0,Q49="N"),"Priority 2","Priority 1"))</f>
        <v>Priority 1</v>
      </c>
    </row>
    <row r="50" customFormat="false" ht="15" hidden="false" customHeight="false" outlineLevel="0" collapsed="false">
      <c r="A50" s="22" t="s">
        <v>10645</v>
      </c>
      <c r="B50" s="22" t="s">
        <v>9227</v>
      </c>
      <c r="C50" s="23" t="n">
        <v>45086</v>
      </c>
      <c r="D50" s="22" t="s">
        <v>539</v>
      </c>
      <c r="E50" s="22" t="str">
        <f aca="false">IFERROR(VLOOKUP(D50,'Applicant Lookup'!$A$2:$F$2911,2,FALSE()),"Not found")</f>
        <v>Alexander Thompson</v>
      </c>
      <c r="F50" s="22" t="n">
        <v>129</v>
      </c>
      <c r="G50" s="22" t="s">
        <v>8148</v>
      </c>
      <c r="H50" s="22" t="s">
        <v>499</v>
      </c>
      <c r="I50" s="22" t="s">
        <v>8637</v>
      </c>
      <c r="J50" s="22" t="s">
        <v>10489</v>
      </c>
      <c r="K50" s="22" t="s">
        <v>10504</v>
      </c>
      <c r="L50" s="23" t="n">
        <v>45091</v>
      </c>
      <c r="M50" s="22" t="n">
        <f aca="false">COUNTIFS('Skip PDF Index'!$B$6:$B$11,D50,'Skip PDF Index'!$D$6:$D$11,C50,'Skip PDF Index'!$F$6:$F$11,I50)</f>
        <v>0</v>
      </c>
      <c r="N50" s="22" t="n">
        <f aca="false">COUNTIFS('Skip PDF Index'!$B$6:$B$11,D50,'Skip PDF Index'!$D$6:$D$11,C50,'Skip PDF Index'!$E$6:$E$11,G50,'Skip PDF Index'!$F$6:$F$11,I50)</f>
        <v>0</v>
      </c>
      <c r="O50" s="22" t="n">
        <f aca="false">COUNTIFS('Skip PDF Index'!$B$6:$B$11,D50,'Skip PDF Index'!$D$6:$D$11,C50,'Skip PDF Index'!$E$6:$E$11,G50,'Skip PDF Index'!$F$6:$F$11,I50,'Skip PDF Index'!$H$6:$H$11,"SUPPORTING RECORD")</f>
        <v>0</v>
      </c>
      <c r="P50" s="22" t="n">
        <f aca="false">COUNTIFS('Offer Events'!$A$2:$A$1487,B50,'Offer Events'!$B$2:$B$1487,C50,'Offer Events'!$C$2:$C$1487,D50,'Offer Events'!$E$2:$E$1487,G50,'Offer Events'!$L$2:$L$1487,"SKIPPED",'Offer Events'!$P$2:$P$1487,I50)</f>
        <v>1</v>
      </c>
      <c r="Q50" s="22" t="str">
        <f aca="false">IF(L50&lt;=C50,"Y","N")</f>
        <v>N</v>
      </c>
      <c r="R50" s="22" t="str">
        <f aca="false">IF(AND(O50&gt;0,P50&gt;0,Q50="Y"),"Y","N")</f>
        <v>N</v>
      </c>
      <c r="S50" s="22" t="str">
        <f aca="false">IF(P50=0,"Offer register missing/mismatch",IF(N50=0,IF(M50&gt;0,"PDF slip mismatch","No matching PDF"),IF(O50=0,"PDF lacks supporting record","Reconciled")))</f>
        <v>No matching PDF</v>
      </c>
      <c r="T50" s="22" t="str">
        <f aca="false">IF(R50="Y","Compliant",S50&amp;IF(Q50="N","; review after skip",""))</f>
        <v>No matching PDF; review after skip</v>
      </c>
      <c r="U50" s="22" t="str">
        <f aca="false">IF(R50="Y","",IF(AND(O50&gt;0,P50&gt;0,Q50="N"),"Priority 2","Priority 1"))</f>
        <v>Priority 1</v>
      </c>
    </row>
    <row r="51" customFormat="false" ht="15" hidden="false" customHeight="false" outlineLevel="0" collapsed="false">
      <c r="A51" s="22" t="s">
        <v>10646</v>
      </c>
      <c r="B51" s="22" t="s">
        <v>9233</v>
      </c>
      <c r="C51" s="23" t="n">
        <v>45089</v>
      </c>
      <c r="D51" s="22" t="s">
        <v>4934</v>
      </c>
      <c r="E51" s="22" t="str">
        <f aca="false">IFERROR(VLOOKUP(D51,'Applicant Lookup'!$A$2:$F$2911,2,FALSE()),"Not found")</f>
        <v>Andrew Contreras</v>
      </c>
      <c r="F51" s="22" t="n">
        <v>2100</v>
      </c>
      <c r="G51" s="22" t="s">
        <v>7899</v>
      </c>
      <c r="H51" s="22" t="s">
        <v>215</v>
      </c>
      <c r="I51" s="22" t="s">
        <v>8603</v>
      </c>
      <c r="J51" s="22" t="s">
        <v>10489</v>
      </c>
      <c r="K51" s="22" t="s">
        <v>10511</v>
      </c>
      <c r="L51" s="23" t="n">
        <v>45089</v>
      </c>
      <c r="M51" s="22" t="n">
        <f aca="false">COUNTIFS('Skip PDF Index'!$B$6:$B$11,D51,'Skip PDF Index'!$D$6:$D$11,C51,'Skip PDF Index'!$F$6:$F$11,I51)</f>
        <v>0</v>
      </c>
      <c r="N51" s="22" t="n">
        <f aca="false">COUNTIFS('Skip PDF Index'!$B$6:$B$11,D51,'Skip PDF Index'!$D$6:$D$11,C51,'Skip PDF Index'!$E$6:$E$11,G51,'Skip PDF Index'!$F$6:$F$11,I51)</f>
        <v>0</v>
      </c>
      <c r="O51" s="22" t="n">
        <f aca="false">COUNTIFS('Skip PDF Index'!$B$6:$B$11,D51,'Skip PDF Index'!$D$6:$D$11,C51,'Skip PDF Index'!$E$6:$E$11,G51,'Skip PDF Index'!$F$6:$F$11,I51,'Skip PDF Index'!$H$6:$H$11,"SUPPORTING RECORD")</f>
        <v>0</v>
      </c>
      <c r="P51" s="22" t="n">
        <f aca="false">COUNTIFS('Offer Events'!$A$2:$A$1487,B51,'Offer Events'!$B$2:$B$1487,C51,'Offer Events'!$C$2:$C$1487,D51,'Offer Events'!$E$2:$E$1487,G51,'Offer Events'!$L$2:$L$1487,"SKIPPED",'Offer Events'!$P$2:$P$1487,I51)</f>
        <v>1</v>
      </c>
      <c r="Q51" s="22" t="str">
        <f aca="false">IF(L51&lt;=C51,"Y","N")</f>
        <v>Y</v>
      </c>
      <c r="R51" s="22" t="str">
        <f aca="false">IF(AND(O51&gt;0,P51&gt;0,Q51="Y"),"Y","N")</f>
        <v>N</v>
      </c>
      <c r="S51" s="22" t="str">
        <f aca="false">IF(P51=0,"Offer register missing/mismatch",IF(N51=0,IF(M51&gt;0,"PDF slip mismatch","No matching PDF"),IF(O51=0,"PDF lacks supporting record","Reconciled")))</f>
        <v>No matching PDF</v>
      </c>
      <c r="T51" s="22" t="str">
        <f aca="false">IF(R51="Y","Compliant",S51&amp;IF(Q51="N","; review after skip",""))</f>
        <v>No matching PDF</v>
      </c>
      <c r="U51" s="22" t="str">
        <f aca="false">IF(R51="Y","",IF(AND(O51&gt;0,P51&gt;0,Q51="N"),"Priority 2","Priority 1"))</f>
        <v>Priority 1</v>
      </c>
    </row>
    <row r="52" customFormat="false" ht="15" hidden="false" customHeight="false" outlineLevel="0" collapsed="false">
      <c r="A52" s="22" t="s">
        <v>10647</v>
      </c>
      <c r="B52" s="22" t="s">
        <v>9241</v>
      </c>
      <c r="C52" s="23" t="n">
        <v>45111</v>
      </c>
      <c r="D52" s="22" t="s">
        <v>6447</v>
      </c>
      <c r="E52" s="22" t="str">
        <f aca="false">IFERROR(VLOOKUP(D52,'Applicant Lookup'!$A$2:$F$2911,2,FALSE()),"Not found")</f>
        <v>Catherine Davis</v>
      </c>
      <c r="F52" s="22" t="n">
        <v>2857</v>
      </c>
      <c r="G52" s="22" t="s">
        <v>8487</v>
      </c>
      <c r="H52" s="22" t="s">
        <v>188</v>
      </c>
      <c r="I52" s="22" t="s">
        <v>8618</v>
      </c>
      <c r="J52" s="22" t="s">
        <v>10489</v>
      </c>
      <c r="K52" s="22" t="s">
        <v>10555</v>
      </c>
      <c r="L52" s="23" t="n">
        <v>45116</v>
      </c>
      <c r="M52" s="22" t="n">
        <f aca="false">COUNTIFS('Skip PDF Index'!$B$6:$B$11,D52,'Skip PDF Index'!$D$6:$D$11,C52,'Skip PDF Index'!$F$6:$F$11,I52)</f>
        <v>0</v>
      </c>
      <c r="N52" s="22" t="n">
        <f aca="false">COUNTIFS('Skip PDF Index'!$B$6:$B$11,D52,'Skip PDF Index'!$D$6:$D$11,C52,'Skip PDF Index'!$E$6:$E$11,G52,'Skip PDF Index'!$F$6:$F$11,I52)</f>
        <v>0</v>
      </c>
      <c r="O52" s="22" t="n">
        <f aca="false">COUNTIFS('Skip PDF Index'!$B$6:$B$11,D52,'Skip PDF Index'!$D$6:$D$11,C52,'Skip PDF Index'!$E$6:$E$11,G52,'Skip PDF Index'!$F$6:$F$11,I52,'Skip PDF Index'!$H$6:$H$11,"SUPPORTING RECORD")</f>
        <v>0</v>
      </c>
      <c r="P52" s="22" t="n">
        <f aca="false">COUNTIFS('Offer Events'!$A$2:$A$1487,B52,'Offer Events'!$B$2:$B$1487,C52,'Offer Events'!$C$2:$C$1487,D52,'Offer Events'!$E$2:$E$1487,G52,'Offer Events'!$L$2:$L$1487,"SKIPPED",'Offer Events'!$P$2:$P$1487,I52)</f>
        <v>1</v>
      </c>
      <c r="Q52" s="22" t="str">
        <f aca="false">IF(L52&lt;=C52,"Y","N")</f>
        <v>N</v>
      </c>
      <c r="R52" s="22" t="str">
        <f aca="false">IF(AND(O52&gt;0,P52&gt;0,Q52="Y"),"Y","N")</f>
        <v>N</v>
      </c>
      <c r="S52" s="22" t="str">
        <f aca="false">IF(P52=0,"Offer register missing/mismatch",IF(N52=0,IF(M52&gt;0,"PDF slip mismatch","No matching PDF"),IF(O52=0,"PDF lacks supporting record","Reconciled")))</f>
        <v>No matching PDF</v>
      </c>
      <c r="T52" s="22" t="str">
        <f aca="false">IF(R52="Y","Compliant",S52&amp;IF(Q52="N","; review after skip",""))</f>
        <v>No matching PDF; review after skip</v>
      </c>
      <c r="U52" s="22" t="str">
        <f aca="false">IF(R52="Y","",IF(AND(O52&gt;0,P52&gt;0,Q52="N"),"Priority 2","Priority 1"))</f>
        <v>Priority 1</v>
      </c>
    </row>
    <row r="53" customFormat="false" ht="15" hidden="false" customHeight="false" outlineLevel="0" collapsed="false">
      <c r="A53" s="22" t="s">
        <v>10648</v>
      </c>
      <c r="B53" s="22" t="s">
        <v>9242</v>
      </c>
      <c r="C53" s="23" t="n">
        <v>45122</v>
      </c>
      <c r="D53" s="22" t="s">
        <v>322</v>
      </c>
      <c r="E53" s="22" t="str">
        <f aca="false">IFERROR(VLOOKUP(D53,'Applicant Lookup'!$A$2:$F$2911,2,FALSE()),"Not found")</f>
        <v>Cynthia Smith</v>
      </c>
      <c r="F53" s="22" t="n">
        <v>54</v>
      </c>
      <c r="G53" s="22" t="s">
        <v>7532</v>
      </c>
      <c r="H53" s="22" t="s">
        <v>159</v>
      </c>
      <c r="I53" s="22" t="s">
        <v>8603</v>
      </c>
      <c r="J53" s="22" t="s">
        <v>10489</v>
      </c>
      <c r="K53" s="22" t="s">
        <v>10511</v>
      </c>
      <c r="L53" s="23" t="n">
        <v>45127</v>
      </c>
      <c r="M53" s="22" t="n">
        <f aca="false">COUNTIFS('Skip PDF Index'!$B$6:$B$11,D53,'Skip PDF Index'!$D$6:$D$11,C53,'Skip PDF Index'!$F$6:$F$11,I53)</f>
        <v>0</v>
      </c>
      <c r="N53" s="22" t="n">
        <f aca="false">COUNTIFS('Skip PDF Index'!$B$6:$B$11,D53,'Skip PDF Index'!$D$6:$D$11,C53,'Skip PDF Index'!$E$6:$E$11,G53,'Skip PDF Index'!$F$6:$F$11,I53)</f>
        <v>0</v>
      </c>
      <c r="O53" s="22" t="n">
        <f aca="false">COUNTIFS('Skip PDF Index'!$B$6:$B$11,D53,'Skip PDF Index'!$D$6:$D$11,C53,'Skip PDF Index'!$E$6:$E$11,G53,'Skip PDF Index'!$F$6:$F$11,I53,'Skip PDF Index'!$H$6:$H$11,"SUPPORTING RECORD")</f>
        <v>0</v>
      </c>
      <c r="P53" s="22" t="n">
        <f aca="false">COUNTIFS('Offer Events'!$A$2:$A$1487,B53,'Offer Events'!$B$2:$B$1487,C53,'Offer Events'!$C$2:$C$1487,D53,'Offer Events'!$E$2:$E$1487,G53,'Offer Events'!$L$2:$L$1487,"SKIPPED",'Offer Events'!$P$2:$P$1487,I53)</f>
        <v>1</v>
      </c>
      <c r="Q53" s="22" t="str">
        <f aca="false">IF(L53&lt;=C53,"Y","N")</f>
        <v>N</v>
      </c>
      <c r="R53" s="22" t="str">
        <f aca="false">IF(AND(O53&gt;0,P53&gt;0,Q53="Y"),"Y","N")</f>
        <v>N</v>
      </c>
      <c r="S53" s="22" t="str">
        <f aca="false">IF(P53=0,"Offer register missing/mismatch",IF(N53=0,IF(M53&gt;0,"PDF slip mismatch","No matching PDF"),IF(O53=0,"PDF lacks supporting record","Reconciled")))</f>
        <v>No matching PDF</v>
      </c>
      <c r="T53" s="22" t="str">
        <f aca="false">IF(R53="Y","Compliant",S53&amp;IF(Q53="N","; review after skip",""))</f>
        <v>No matching PDF; review after skip</v>
      </c>
      <c r="U53" s="22" t="str">
        <f aca="false">IF(R53="Y","",IF(AND(O53&gt;0,P53&gt;0,Q53="N"),"Priority 2","Priority 1"))</f>
        <v>Priority 1</v>
      </c>
    </row>
    <row r="54" customFormat="false" ht="15" hidden="false" customHeight="false" outlineLevel="0" collapsed="false">
      <c r="A54" s="22" t="s">
        <v>10649</v>
      </c>
      <c r="B54" s="22" t="s">
        <v>9245</v>
      </c>
      <c r="C54" s="23" t="n">
        <v>45110</v>
      </c>
      <c r="D54" s="22" t="s">
        <v>2002</v>
      </c>
      <c r="E54" s="22" t="str">
        <f aca="false">IFERROR(VLOOKUP(D54,'Applicant Lookup'!$A$2:$F$2911,2,FALSE()),"Not found")</f>
        <v>Kevin Liu</v>
      </c>
      <c r="F54" s="22" t="n">
        <v>712</v>
      </c>
      <c r="G54" s="22" t="s">
        <v>8057</v>
      </c>
      <c r="H54" s="22" t="s">
        <v>499</v>
      </c>
      <c r="I54" s="22" t="s">
        <v>8603</v>
      </c>
      <c r="J54" s="22" t="s">
        <v>10489</v>
      </c>
      <c r="K54" s="22" t="s">
        <v>10506</v>
      </c>
      <c r="L54" s="23" t="n">
        <v>45111</v>
      </c>
      <c r="M54" s="22" t="n">
        <f aca="false">COUNTIFS('Skip PDF Index'!$B$6:$B$11,D54,'Skip PDF Index'!$D$6:$D$11,C54,'Skip PDF Index'!$F$6:$F$11,I54)</f>
        <v>0</v>
      </c>
      <c r="N54" s="22" t="n">
        <f aca="false">COUNTIFS('Skip PDF Index'!$B$6:$B$11,D54,'Skip PDF Index'!$D$6:$D$11,C54,'Skip PDF Index'!$E$6:$E$11,G54,'Skip PDF Index'!$F$6:$F$11,I54)</f>
        <v>0</v>
      </c>
      <c r="O54" s="22" t="n">
        <f aca="false">COUNTIFS('Skip PDF Index'!$B$6:$B$11,D54,'Skip PDF Index'!$D$6:$D$11,C54,'Skip PDF Index'!$E$6:$E$11,G54,'Skip PDF Index'!$F$6:$F$11,I54,'Skip PDF Index'!$H$6:$H$11,"SUPPORTING RECORD")</f>
        <v>0</v>
      </c>
      <c r="P54" s="22" t="n">
        <f aca="false">COUNTIFS('Offer Events'!$A$2:$A$1487,B54,'Offer Events'!$B$2:$B$1487,C54,'Offer Events'!$C$2:$C$1487,D54,'Offer Events'!$E$2:$E$1487,G54,'Offer Events'!$L$2:$L$1487,"SKIPPED",'Offer Events'!$P$2:$P$1487,I54)</f>
        <v>1</v>
      </c>
      <c r="Q54" s="22" t="str">
        <f aca="false">IF(L54&lt;=C54,"Y","N")</f>
        <v>N</v>
      </c>
      <c r="R54" s="22" t="str">
        <f aca="false">IF(AND(O54&gt;0,P54&gt;0,Q54="Y"),"Y","N")</f>
        <v>N</v>
      </c>
      <c r="S54" s="22" t="str">
        <f aca="false">IF(P54=0,"Offer register missing/mismatch",IF(N54=0,IF(M54&gt;0,"PDF slip mismatch","No matching PDF"),IF(O54=0,"PDF lacks supporting record","Reconciled")))</f>
        <v>No matching PDF</v>
      </c>
      <c r="T54" s="22" t="str">
        <f aca="false">IF(R54="Y","Compliant",S54&amp;IF(Q54="N","; review after skip",""))</f>
        <v>No matching PDF; review after skip</v>
      </c>
      <c r="U54" s="22" t="str">
        <f aca="false">IF(R54="Y","",IF(AND(O54&gt;0,P54&gt;0,Q54="N"),"Priority 2","Priority 1"))</f>
        <v>Priority 1</v>
      </c>
    </row>
    <row r="55" customFormat="false" ht="15" hidden="false" customHeight="false" outlineLevel="0" collapsed="false">
      <c r="A55" s="22" t="s">
        <v>10650</v>
      </c>
      <c r="B55" s="22" t="s">
        <v>9247</v>
      </c>
      <c r="C55" s="23" t="n">
        <v>45114</v>
      </c>
      <c r="D55" s="22" t="s">
        <v>2994</v>
      </c>
      <c r="E55" s="22" t="str">
        <f aca="false">IFERROR(VLOOKUP(D55,'Applicant Lookup'!$A$2:$F$2911,2,FALSE()),"Not found")</f>
        <v>Alexander Lawrence</v>
      </c>
      <c r="F55" s="22" t="n">
        <v>1160</v>
      </c>
      <c r="G55" s="22" t="s">
        <v>6914</v>
      </c>
      <c r="H55" s="22" t="s">
        <v>198</v>
      </c>
      <c r="I55" s="22" t="s">
        <v>8618</v>
      </c>
      <c r="J55" s="22" t="s">
        <v>10489</v>
      </c>
      <c r="K55" s="22" t="s">
        <v>10555</v>
      </c>
      <c r="L55" s="23" t="n">
        <v>45116</v>
      </c>
      <c r="M55" s="22" t="n">
        <f aca="false">COUNTIFS('Skip PDF Index'!$B$6:$B$11,D55,'Skip PDF Index'!$D$6:$D$11,C55,'Skip PDF Index'!$F$6:$F$11,I55)</f>
        <v>0</v>
      </c>
      <c r="N55" s="22" t="n">
        <f aca="false">COUNTIFS('Skip PDF Index'!$B$6:$B$11,D55,'Skip PDF Index'!$D$6:$D$11,C55,'Skip PDF Index'!$E$6:$E$11,G55,'Skip PDF Index'!$F$6:$F$11,I55)</f>
        <v>0</v>
      </c>
      <c r="O55" s="22" t="n">
        <f aca="false">COUNTIFS('Skip PDF Index'!$B$6:$B$11,D55,'Skip PDF Index'!$D$6:$D$11,C55,'Skip PDF Index'!$E$6:$E$11,G55,'Skip PDF Index'!$F$6:$F$11,I55,'Skip PDF Index'!$H$6:$H$11,"SUPPORTING RECORD")</f>
        <v>0</v>
      </c>
      <c r="P55" s="22" t="n">
        <f aca="false">COUNTIFS('Offer Events'!$A$2:$A$1487,B55,'Offer Events'!$B$2:$B$1487,C55,'Offer Events'!$C$2:$C$1487,D55,'Offer Events'!$E$2:$E$1487,G55,'Offer Events'!$L$2:$L$1487,"SKIPPED",'Offer Events'!$P$2:$P$1487,I55)</f>
        <v>1</v>
      </c>
      <c r="Q55" s="22" t="str">
        <f aca="false">IF(L55&lt;=C55,"Y","N")</f>
        <v>N</v>
      </c>
      <c r="R55" s="22" t="str">
        <f aca="false">IF(AND(O55&gt;0,P55&gt;0,Q55="Y"),"Y","N")</f>
        <v>N</v>
      </c>
      <c r="S55" s="22" t="str">
        <f aca="false">IF(P55=0,"Offer register missing/mismatch",IF(N55=0,IF(M55&gt;0,"PDF slip mismatch","No matching PDF"),IF(O55=0,"PDF lacks supporting record","Reconciled")))</f>
        <v>No matching PDF</v>
      </c>
      <c r="T55" s="22" t="str">
        <f aca="false">IF(R55="Y","Compliant",S55&amp;IF(Q55="N","; review after skip",""))</f>
        <v>No matching PDF; review after skip</v>
      </c>
      <c r="U55" s="22" t="str">
        <f aca="false">IF(R55="Y","",IF(AND(O55&gt;0,P55&gt;0,Q55="N"),"Priority 2","Priority 1"))</f>
        <v>Priority 1</v>
      </c>
    </row>
    <row r="56" customFormat="false" ht="15" hidden="false" customHeight="false" outlineLevel="0" collapsed="false">
      <c r="A56" s="22" t="s">
        <v>10651</v>
      </c>
      <c r="B56" s="22" t="s">
        <v>9249</v>
      </c>
      <c r="C56" s="23" t="n">
        <v>45116</v>
      </c>
      <c r="D56" s="22" t="s">
        <v>850</v>
      </c>
      <c r="E56" s="22" t="str">
        <f aca="false">IFERROR(VLOOKUP(D56,'Applicant Lookup'!$A$2:$F$2911,2,FALSE()),"Not found")</f>
        <v>Melissa Villanueva</v>
      </c>
      <c r="F56" s="22" t="n">
        <v>242</v>
      </c>
      <c r="G56" s="22" t="s">
        <v>8414</v>
      </c>
      <c r="H56" s="22" t="s">
        <v>188</v>
      </c>
      <c r="I56" s="22" t="s">
        <v>8603</v>
      </c>
      <c r="J56" s="22" t="s">
        <v>10489</v>
      </c>
      <c r="K56" s="22" t="s">
        <v>10513</v>
      </c>
      <c r="L56" s="23" t="n">
        <v>45116</v>
      </c>
      <c r="M56" s="22" t="n">
        <f aca="false">COUNTIFS('Skip PDF Index'!$B$6:$B$11,D56,'Skip PDF Index'!$D$6:$D$11,C56,'Skip PDF Index'!$F$6:$F$11,I56)</f>
        <v>0</v>
      </c>
      <c r="N56" s="22" t="n">
        <f aca="false">COUNTIFS('Skip PDF Index'!$B$6:$B$11,D56,'Skip PDF Index'!$D$6:$D$11,C56,'Skip PDF Index'!$E$6:$E$11,G56,'Skip PDF Index'!$F$6:$F$11,I56)</f>
        <v>0</v>
      </c>
      <c r="O56" s="22" t="n">
        <f aca="false">COUNTIFS('Skip PDF Index'!$B$6:$B$11,D56,'Skip PDF Index'!$D$6:$D$11,C56,'Skip PDF Index'!$E$6:$E$11,G56,'Skip PDF Index'!$F$6:$F$11,I56,'Skip PDF Index'!$H$6:$H$11,"SUPPORTING RECORD")</f>
        <v>0</v>
      </c>
      <c r="P56" s="22" t="n">
        <f aca="false">COUNTIFS('Offer Events'!$A$2:$A$1487,B56,'Offer Events'!$B$2:$B$1487,C56,'Offer Events'!$C$2:$C$1487,D56,'Offer Events'!$E$2:$E$1487,G56,'Offer Events'!$L$2:$L$1487,"SKIPPED",'Offer Events'!$P$2:$P$1487,I56)</f>
        <v>1</v>
      </c>
      <c r="Q56" s="22" t="str">
        <f aca="false">IF(L56&lt;=C56,"Y","N")</f>
        <v>Y</v>
      </c>
      <c r="R56" s="22" t="str">
        <f aca="false">IF(AND(O56&gt;0,P56&gt;0,Q56="Y"),"Y","N")</f>
        <v>N</v>
      </c>
      <c r="S56" s="22" t="str">
        <f aca="false">IF(P56=0,"Offer register missing/mismatch",IF(N56=0,IF(M56&gt;0,"PDF slip mismatch","No matching PDF"),IF(O56=0,"PDF lacks supporting record","Reconciled")))</f>
        <v>No matching PDF</v>
      </c>
      <c r="T56" s="22" t="str">
        <f aca="false">IF(R56="Y","Compliant",S56&amp;IF(Q56="N","; review after skip",""))</f>
        <v>No matching PDF</v>
      </c>
      <c r="U56" s="22" t="str">
        <f aca="false">IF(R56="Y","",IF(AND(O56&gt;0,P56&gt;0,Q56="N"),"Priority 2","Priority 1"))</f>
        <v>Priority 1</v>
      </c>
    </row>
    <row r="57" customFormat="false" ht="15" hidden="false" customHeight="false" outlineLevel="0" collapsed="false">
      <c r="A57" s="22" t="s">
        <v>10652</v>
      </c>
      <c r="B57" s="22" t="s">
        <v>9250</v>
      </c>
      <c r="C57" s="23" t="n">
        <v>45131</v>
      </c>
      <c r="D57" s="22" t="s">
        <v>3080</v>
      </c>
      <c r="E57" s="22" t="str">
        <f aca="false">IFERROR(VLOOKUP(D57,'Applicant Lookup'!$A$2:$F$2911,2,FALSE()),"Not found")</f>
        <v>Patricia Perez</v>
      </c>
      <c r="F57" s="22" t="n">
        <v>1199</v>
      </c>
      <c r="G57" s="22" t="s">
        <v>8314</v>
      </c>
      <c r="H57" s="22" t="s">
        <v>499</v>
      </c>
      <c r="I57" s="22" t="s">
        <v>8618</v>
      </c>
      <c r="J57" s="22" t="s">
        <v>10489</v>
      </c>
      <c r="K57" s="22" t="s">
        <v>10506</v>
      </c>
      <c r="L57" s="23" t="n">
        <v>45136</v>
      </c>
      <c r="M57" s="22" t="n">
        <f aca="false">COUNTIFS('Skip PDF Index'!$B$6:$B$11,D57,'Skip PDF Index'!$D$6:$D$11,C57,'Skip PDF Index'!$F$6:$F$11,I57)</f>
        <v>0</v>
      </c>
      <c r="N57" s="22" t="n">
        <f aca="false">COUNTIFS('Skip PDF Index'!$B$6:$B$11,D57,'Skip PDF Index'!$D$6:$D$11,C57,'Skip PDF Index'!$E$6:$E$11,G57,'Skip PDF Index'!$F$6:$F$11,I57)</f>
        <v>0</v>
      </c>
      <c r="O57" s="22" t="n">
        <f aca="false">COUNTIFS('Skip PDF Index'!$B$6:$B$11,D57,'Skip PDF Index'!$D$6:$D$11,C57,'Skip PDF Index'!$E$6:$E$11,G57,'Skip PDF Index'!$F$6:$F$11,I57,'Skip PDF Index'!$H$6:$H$11,"SUPPORTING RECORD")</f>
        <v>0</v>
      </c>
      <c r="P57" s="22" t="n">
        <f aca="false">COUNTIFS('Offer Events'!$A$2:$A$1487,B57,'Offer Events'!$B$2:$B$1487,C57,'Offer Events'!$C$2:$C$1487,D57,'Offer Events'!$E$2:$E$1487,G57,'Offer Events'!$L$2:$L$1487,"SKIPPED",'Offer Events'!$P$2:$P$1487,I57)</f>
        <v>1</v>
      </c>
      <c r="Q57" s="22" t="str">
        <f aca="false">IF(L57&lt;=C57,"Y","N")</f>
        <v>N</v>
      </c>
      <c r="R57" s="22" t="str">
        <f aca="false">IF(AND(O57&gt;0,P57&gt;0,Q57="Y"),"Y","N")</f>
        <v>N</v>
      </c>
      <c r="S57" s="22" t="str">
        <f aca="false">IF(P57=0,"Offer register missing/mismatch",IF(N57=0,IF(M57&gt;0,"PDF slip mismatch","No matching PDF"),IF(O57=0,"PDF lacks supporting record","Reconciled")))</f>
        <v>No matching PDF</v>
      </c>
      <c r="T57" s="22" t="str">
        <f aca="false">IF(R57="Y","Compliant",S57&amp;IF(Q57="N","; review after skip",""))</f>
        <v>No matching PDF; review after skip</v>
      </c>
      <c r="U57" s="22" t="str">
        <f aca="false">IF(R57="Y","",IF(AND(O57&gt;0,P57&gt;0,Q57="N"),"Priority 2","Priority 1"))</f>
        <v>Priority 1</v>
      </c>
    </row>
    <row r="58" customFormat="false" ht="15" hidden="false" customHeight="false" outlineLevel="0" collapsed="false">
      <c r="A58" s="22" t="s">
        <v>10653</v>
      </c>
      <c r="B58" s="22" t="s">
        <v>9253</v>
      </c>
      <c r="C58" s="23" t="n">
        <v>45133</v>
      </c>
      <c r="D58" s="22" t="s">
        <v>864</v>
      </c>
      <c r="E58" s="22" t="str">
        <f aca="false">IFERROR(VLOOKUP(D58,'Applicant Lookup'!$A$2:$F$2911,2,FALSE()),"Not found")</f>
        <v>Michael Gray</v>
      </c>
      <c r="F58" s="22" t="n">
        <v>248</v>
      </c>
      <c r="G58" s="22" t="s">
        <v>8584</v>
      </c>
      <c r="H58" s="22" t="s">
        <v>188</v>
      </c>
      <c r="I58" s="22" t="s">
        <v>8637</v>
      </c>
      <c r="J58" s="22" t="s">
        <v>10489</v>
      </c>
      <c r="K58" s="22" t="s">
        <v>10506</v>
      </c>
      <c r="L58" s="23" t="n">
        <v>45138</v>
      </c>
      <c r="M58" s="22" t="n">
        <f aca="false">COUNTIFS('Skip PDF Index'!$B$6:$B$11,D58,'Skip PDF Index'!$D$6:$D$11,C58,'Skip PDF Index'!$F$6:$F$11,I58)</f>
        <v>0</v>
      </c>
      <c r="N58" s="22" t="n">
        <f aca="false">COUNTIFS('Skip PDF Index'!$B$6:$B$11,D58,'Skip PDF Index'!$D$6:$D$11,C58,'Skip PDF Index'!$E$6:$E$11,G58,'Skip PDF Index'!$F$6:$F$11,I58)</f>
        <v>0</v>
      </c>
      <c r="O58" s="22" t="n">
        <f aca="false">COUNTIFS('Skip PDF Index'!$B$6:$B$11,D58,'Skip PDF Index'!$D$6:$D$11,C58,'Skip PDF Index'!$E$6:$E$11,G58,'Skip PDF Index'!$F$6:$F$11,I58,'Skip PDF Index'!$H$6:$H$11,"SUPPORTING RECORD")</f>
        <v>0</v>
      </c>
      <c r="P58" s="22" t="n">
        <f aca="false">COUNTIFS('Offer Events'!$A$2:$A$1487,B58,'Offer Events'!$B$2:$B$1487,C58,'Offer Events'!$C$2:$C$1487,D58,'Offer Events'!$E$2:$E$1487,G58,'Offer Events'!$L$2:$L$1487,"SKIPPED",'Offer Events'!$P$2:$P$1487,I58)</f>
        <v>1</v>
      </c>
      <c r="Q58" s="22" t="str">
        <f aca="false">IF(L58&lt;=C58,"Y","N")</f>
        <v>N</v>
      </c>
      <c r="R58" s="22" t="str">
        <f aca="false">IF(AND(O58&gt;0,P58&gt;0,Q58="Y"),"Y","N")</f>
        <v>N</v>
      </c>
      <c r="S58" s="22" t="str">
        <f aca="false">IF(P58=0,"Offer register missing/mismatch",IF(N58=0,IF(M58&gt;0,"PDF slip mismatch","No matching PDF"),IF(O58=0,"PDF lacks supporting record","Reconciled")))</f>
        <v>No matching PDF</v>
      </c>
      <c r="T58" s="22" t="str">
        <f aca="false">IF(R58="Y","Compliant",S58&amp;IF(Q58="N","; review after skip",""))</f>
        <v>No matching PDF; review after skip</v>
      </c>
      <c r="U58" s="22" t="str">
        <f aca="false">IF(R58="Y","",IF(AND(O58&gt;0,P58&gt;0,Q58="N"),"Priority 2","Priority 1"))</f>
        <v>Priority 1</v>
      </c>
    </row>
    <row r="59" customFormat="false" ht="15" hidden="false" customHeight="false" outlineLevel="0" collapsed="false">
      <c r="A59" s="22" t="s">
        <v>10654</v>
      </c>
      <c r="B59" s="22" t="s">
        <v>9254</v>
      </c>
      <c r="C59" s="23" t="n">
        <v>45118</v>
      </c>
      <c r="D59" s="22" t="s">
        <v>3095</v>
      </c>
      <c r="E59" s="22" t="str">
        <f aca="false">IFERROR(VLOOKUP(D59,'Applicant Lookup'!$A$2:$F$2911,2,FALSE()),"Not found")</f>
        <v>Mary Morris</v>
      </c>
      <c r="F59" s="22" t="n">
        <v>1206</v>
      </c>
      <c r="G59" s="22" t="s">
        <v>8246</v>
      </c>
      <c r="H59" s="22" t="s">
        <v>499</v>
      </c>
      <c r="I59" s="22" t="s">
        <v>8603</v>
      </c>
      <c r="J59" s="22" t="s">
        <v>10489</v>
      </c>
      <c r="K59" s="22" t="s">
        <v>10513</v>
      </c>
      <c r="L59" s="23" t="n">
        <v>45120</v>
      </c>
      <c r="M59" s="22" t="n">
        <f aca="false">COUNTIFS('Skip PDF Index'!$B$6:$B$11,D59,'Skip PDF Index'!$D$6:$D$11,C59,'Skip PDF Index'!$F$6:$F$11,I59)</f>
        <v>0</v>
      </c>
      <c r="N59" s="22" t="n">
        <f aca="false">COUNTIFS('Skip PDF Index'!$B$6:$B$11,D59,'Skip PDF Index'!$D$6:$D$11,C59,'Skip PDF Index'!$E$6:$E$11,G59,'Skip PDF Index'!$F$6:$F$11,I59)</f>
        <v>0</v>
      </c>
      <c r="O59" s="22" t="n">
        <f aca="false">COUNTIFS('Skip PDF Index'!$B$6:$B$11,D59,'Skip PDF Index'!$D$6:$D$11,C59,'Skip PDF Index'!$E$6:$E$11,G59,'Skip PDF Index'!$F$6:$F$11,I59,'Skip PDF Index'!$H$6:$H$11,"SUPPORTING RECORD")</f>
        <v>0</v>
      </c>
      <c r="P59" s="22" t="n">
        <f aca="false">COUNTIFS('Offer Events'!$A$2:$A$1487,B59,'Offer Events'!$B$2:$B$1487,C59,'Offer Events'!$C$2:$C$1487,D59,'Offer Events'!$E$2:$E$1487,G59,'Offer Events'!$L$2:$L$1487,"SKIPPED",'Offer Events'!$P$2:$P$1487,I59)</f>
        <v>1</v>
      </c>
      <c r="Q59" s="22" t="str">
        <f aca="false">IF(L59&lt;=C59,"Y","N")</f>
        <v>N</v>
      </c>
      <c r="R59" s="22" t="str">
        <f aca="false">IF(AND(O59&gt;0,P59&gt;0,Q59="Y"),"Y","N")</f>
        <v>N</v>
      </c>
      <c r="S59" s="22" t="str">
        <f aca="false">IF(P59=0,"Offer register missing/mismatch",IF(N59=0,IF(M59&gt;0,"PDF slip mismatch","No matching PDF"),IF(O59=0,"PDF lacks supporting record","Reconciled")))</f>
        <v>No matching PDF</v>
      </c>
      <c r="T59" s="22" t="str">
        <f aca="false">IF(R59="Y","Compliant",S59&amp;IF(Q59="N","; review after skip",""))</f>
        <v>No matching PDF; review after skip</v>
      </c>
      <c r="U59" s="22" t="str">
        <f aca="false">IF(R59="Y","",IF(AND(O59&gt;0,P59&gt;0,Q59="N"),"Priority 2","Priority 1"))</f>
        <v>Priority 1</v>
      </c>
    </row>
    <row r="60" customFormat="false" ht="15" hidden="false" customHeight="false" outlineLevel="0" collapsed="false">
      <c r="A60" s="22" t="s">
        <v>10655</v>
      </c>
      <c r="B60" s="22" t="s">
        <v>9259</v>
      </c>
      <c r="C60" s="23" t="n">
        <v>45133</v>
      </c>
      <c r="D60" s="22" t="s">
        <v>4129</v>
      </c>
      <c r="E60" s="22" t="str">
        <f aca="false">IFERROR(VLOOKUP(D60,'Applicant Lookup'!$A$2:$F$2911,2,FALSE()),"Not found")</f>
        <v>Allison Fisher</v>
      </c>
      <c r="F60" s="22" t="n">
        <v>1706</v>
      </c>
      <c r="G60" s="22" t="s">
        <v>6588</v>
      </c>
      <c r="H60" s="22" t="s">
        <v>198</v>
      </c>
      <c r="I60" s="22" t="s">
        <v>8631</v>
      </c>
      <c r="J60" s="22" t="s">
        <v>10489</v>
      </c>
      <c r="K60" s="22" t="s">
        <v>10555</v>
      </c>
      <c r="L60" s="23" t="n">
        <v>45138</v>
      </c>
      <c r="M60" s="22" t="n">
        <f aca="false">COUNTIFS('Skip PDF Index'!$B$6:$B$11,D60,'Skip PDF Index'!$D$6:$D$11,C60,'Skip PDF Index'!$F$6:$F$11,I60)</f>
        <v>0</v>
      </c>
      <c r="N60" s="22" t="n">
        <f aca="false">COUNTIFS('Skip PDF Index'!$B$6:$B$11,D60,'Skip PDF Index'!$D$6:$D$11,C60,'Skip PDF Index'!$E$6:$E$11,G60,'Skip PDF Index'!$F$6:$F$11,I60)</f>
        <v>0</v>
      </c>
      <c r="O60" s="22" t="n">
        <f aca="false">COUNTIFS('Skip PDF Index'!$B$6:$B$11,D60,'Skip PDF Index'!$D$6:$D$11,C60,'Skip PDF Index'!$E$6:$E$11,G60,'Skip PDF Index'!$F$6:$F$11,I60,'Skip PDF Index'!$H$6:$H$11,"SUPPORTING RECORD")</f>
        <v>0</v>
      </c>
      <c r="P60" s="22" t="n">
        <f aca="false">COUNTIFS('Offer Events'!$A$2:$A$1487,B60,'Offer Events'!$B$2:$B$1487,C60,'Offer Events'!$C$2:$C$1487,D60,'Offer Events'!$E$2:$E$1487,G60,'Offer Events'!$L$2:$L$1487,"SKIPPED",'Offer Events'!$P$2:$P$1487,I60)</f>
        <v>1</v>
      </c>
      <c r="Q60" s="22" t="str">
        <f aca="false">IF(L60&lt;=C60,"Y","N")</f>
        <v>N</v>
      </c>
      <c r="R60" s="22" t="str">
        <f aca="false">IF(AND(O60&gt;0,P60&gt;0,Q60="Y"),"Y","N")</f>
        <v>N</v>
      </c>
      <c r="S60" s="22" t="str">
        <f aca="false">IF(P60=0,"Offer register missing/mismatch",IF(N60=0,IF(M60&gt;0,"PDF slip mismatch","No matching PDF"),IF(O60=0,"PDF lacks supporting record","Reconciled")))</f>
        <v>No matching PDF</v>
      </c>
      <c r="T60" s="22" t="str">
        <f aca="false">IF(R60="Y","Compliant",S60&amp;IF(Q60="N","; review after skip",""))</f>
        <v>No matching PDF; review after skip</v>
      </c>
      <c r="U60" s="22" t="str">
        <f aca="false">IF(R60="Y","",IF(AND(O60&gt;0,P60&gt;0,Q60="N"),"Priority 2","Priority 1"))</f>
        <v>Priority 1</v>
      </c>
    </row>
    <row r="61" customFormat="false" ht="15" hidden="false" customHeight="false" outlineLevel="0" collapsed="false">
      <c r="A61" s="22" t="s">
        <v>10656</v>
      </c>
      <c r="B61" s="22" t="s">
        <v>9268</v>
      </c>
      <c r="C61" s="23" t="n">
        <v>45110</v>
      </c>
      <c r="D61" s="22" t="s">
        <v>2469</v>
      </c>
      <c r="E61" s="22" t="str">
        <f aca="false">IFERROR(VLOOKUP(D61,'Applicant Lookup'!$A$2:$F$2911,2,FALSE()),"Not found")</f>
        <v>Angela Alexander</v>
      </c>
      <c r="F61" s="22" t="n">
        <v>924</v>
      </c>
      <c r="G61" s="22" t="s">
        <v>7711</v>
      </c>
      <c r="H61" s="22" t="s">
        <v>215</v>
      </c>
      <c r="I61" s="22" t="s">
        <v>8603</v>
      </c>
      <c r="J61" s="22" t="s">
        <v>10489</v>
      </c>
      <c r="K61" s="22" t="s">
        <v>10491</v>
      </c>
      <c r="L61" s="23" t="n">
        <v>45112</v>
      </c>
      <c r="M61" s="22" t="n">
        <f aca="false">COUNTIFS('Skip PDF Index'!$B$6:$B$11,D61,'Skip PDF Index'!$D$6:$D$11,C61,'Skip PDF Index'!$F$6:$F$11,I61)</f>
        <v>0</v>
      </c>
      <c r="N61" s="22" t="n">
        <f aca="false">COUNTIFS('Skip PDF Index'!$B$6:$B$11,D61,'Skip PDF Index'!$D$6:$D$11,C61,'Skip PDF Index'!$E$6:$E$11,G61,'Skip PDF Index'!$F$6:$F$11,I61)</f>
        <v>0</v>
      </c>
      <c r="O61" s="22" t="n">
        <f aca="false">COUNTIFS('Skip PDF Index'!$B$6:$B$11,D61,'Skip PDF Index'!$D$6:$D$11,C61,'Skip PDF Index'!$E$6:$E$11,G61,'Skip PDF Index'!$F$6:$F$11,I61,'Skip PDF Index'!$H$6:$H$11,"SUPPORTING RECORD")</f>
        <v>0</v>
      </c>
      <c r="P61" s="22" t="n">
        <f aca="false">COUNTIFS('Offer Events'!$A$2:$A$1487,B61,'Offer Events'!$B$2:$B$1487,C61,'Offer Events'!$C$2:$C$1487,D61,'Offer Events'!$E$2:$E$1487,G61,'Offer Events'!$L$2:$L$1487,"SKIPPED",'Offer Events'!$P$2:$P$1487,I61)</f>
        <v>1</v>
      </c>
      <c r="Q61" s="22" t="str">
        <f aca="false">IF(L61&lt;=C61,"Y","N")</f>
        <v>N</v>
      </c>
      <c r="R61" s="22" t="str">
        <f aca="false">IF(AND(O61&gt;0,P61&gt;0,Q61="Y"),"Y","N")</f>
        <v>N</v>
      </c>
      <c r="S61" s="22" t="str">
        <f aca="false">IF(P61=0,"Offer register missing/mismatch",IF(N61=0,IF(M61&gt;0,"PDF slip mismatch","No matching PDF"),IF(O61=0,"PDF lacks supporting record","Reconciled")))</f>
        <v>No matching PDF</v>
      </c>
      <c r="T61" s="22" t="str">
        <f aca="false">IF(R61="Y","Compliant",S61&amp;IF(Q61="N","; review after skip",""))</f>
        <v>No matching PDF; review after skip</v>
      </c>
      <c r="U61" s="22" t="str">
        <f aca="false">IF(R61="Y","",IF(AND(O61&gt;0,P61&gt;0,Q61="N"),"Priority 2","Priority 1"))</f>
        <v>Priority 1</v>
      </c>
    </row>
    <row r="62" customFormat="false" ht="15" hidden="false" customHeight="false" outlineLevel="0" collapsed="false">
      <c r="A62" s="22" t="s">
        <v>10657</v>
      </c>
      <c r="B62" s="22" t="s">
        <v>9272</v>
      </c>
      <c r="C62" s="23" t="n">
        <v>45134</v>
      </c>
      <c r="D62" s="22" t="s">
        <v>6043</v>
      </c>
      <c r="E62" s="22" t="str">
        <f aca="false">IFERROR(VLOOKUP(D62,'Applicant Lookup'!$A$2:$F$2911,2,FALSE()),"Not found")</f>
        <v>Lisa Strickland</v>
      </c>
      <c r="F62" s="22" t="n">
        <v>2652</v>
      </c>
      <c r="G62" s="22" t="s">
        <v>8099</v>
      </c>
      <c r="H62" s="22" t="s">
        <v>499</v>
      </c>
      <c r="I62" s="22" t="s">
        <v>8603</v>
      </c>
      <c r="J62" s="22" t="s">
        <v>10489</v>
      </c>
      <c r="K62" s="22" t="s">
        <v>10513</v>
      </c>
      <c r="L62" s="23" t="n">
        <v>45135</v>
      </c>
      <c r="M62" s="22" t="n">
        <f aca="false">COUNTIFS('Skip PDF Index'!$B$6:$B$11,D62,'Skip PDF Index'!$D$6:$D$11,C62,'Skip PDF Index'!$F$6:$F$11,I62)</f>
        <v>0</v>
      </c>
      <c r="N62" s="22" t="n">
        <f aca="false">COUNTIFS('Skip PDF Index'!$B$6:$B$11,D62,'Skip PDF Index'!$D$6:$D$11,C62,'Skip PDF Index'!$E$6:$E$11,G62,'Skip PDF Index'!$F$6:$F$11,I62)</f>
        <v>0</v>
      </c>
      <c r="O62" s="22" t="n">
        <f aca="false">COUNTIFS('Skip PDF Index'!$B$6:$B$11,D62,'Skip PDF Index'!$D$6:$D$11,C62,'Skip PDF Index'!$E$6:$E$11,G62,'Skip PDF Index'!$F$6:$F$11,I62,'Skip PDF Index'!$H$6:$H$11,"SUPPORTING RECORD")</f>
        <v>0</v>
      </c>
      <c r="P62" s="22" t="n">
        <f aca="false">COUNTIFS('Offer Events'!$A$2:$A$1487,B62,'Offer Events'!$B$2:$B$1487,C62,'Offer Events'!$C$2:$C$1487,D62,'Offer Events'!$E$2:$E$1487,G62,'Offer Events'!$L$2:$L$1487,"SKIPPED",'Offer Events'!$P$2:$P$1487,I62)</f>
        <v>1</v>
      </c>
      <c r="Q62" s="22" t="str">
        <f aca="false">IF(L62&lt;=C62,"Y","N")</f>
        <v>N</v>
      </c>
      <c r="R62" s="22" t="str">
        <f aca="false">IF(AND(O62&gt;0,P62&gt;0,Q62="Y"),"Y","N")</f>
        <v>N</v>
      </c>
      <c r="S62" s="22" t="str">
        <f aca="false">IF(P62=0,"Offer register missing/mismatch",IF(N62=0,IF(M62&gt;0,"PDF slip mismatch","No matching PDF"),IF(O62=0,"PDF lacks supporting record","Reconciled")))</f>
        <v>No matching PDF</v>
      </c>
      <c r="T62" s="22" t="str">
        <f aca="false">IF(R62="Y","Compliant",S62&amp;IF(Q62="N","; review after skip",""))</f>
        <v>No matching PDF; review after skip</v>
      </c>
      <c r="U62" s="22" t="str">
        <f aca="false">IF(R62="Y","",IF(AND(O62&gt;0,P62&gt;0,Q62="N"),"Priority 2","Priority 1"))</f>
        <v>Priority 1</v>
      </c>
    </row>
    <row r="63" customFormat="false" ht="15" hidden="false" customHeight="false" outlineLevel="0" collapsed="false">
      <c r="A63" s="22" t="s">
        <v>10658</v>
      </c>
      <c r="B63" s="22" t="s">
        <v>9273</v>
      </c>
      <c r="C63" s="23" t="n">
        <v>45127</v>
      </c>
      <c r="D63" s="22" t="s">
        <v>5560</v>
      </c>
      <c r="E63" s="22" t="str">
        <f aca="false">IFERROR(VLOOKUP(D63,'Applicant Lookup'!$A$2:$F$2911,2,FALSE()),"Not found")</f>
        <v>Miguel Boyd</v>
      </c>
      <c r="F63" s="22" t="n">
        <v>2411</v>
      </c>
      <c r="G63" s="22" t="s">
        <v>7571</v>
      </c>
      <c r="H63" s="22" t="s">
        <v>159</v>
      </c>
      <c r="I63" s="22" t="s">
        <v>8637</v>
      </c>
      <c r="J63" s="22" t="s">
        <v>10489</v>
      </c>
      <c r="K63" s="22" t="s">
        <v>10511</v>
      </c>
      <c r="L63" s="23" t="n">
        <v>45127</v>
      </c>
      <c r="M63" s="22" t="n">
        <f aca="false">COUNTIFS('Skip PDF Index'!$B$6:$B$11,D63,'Skip PDF Index'!$D$6:$D$11,C63,'Skip PDF Index'!$F$6:$F$11,I63)</f>
        <v>0</v>
      </c>
      <c r="N63" s="22" t="n">
        <f aca="false">COUNTIFS('Skip PDF Index'!$B$6:$B$11,D63,'Skip PDF Index'!$D$6:$D$11,C63,'Skip PDF Index'!$E$6:$E$11,G63,'Skip PDF Index'!$F$6:$F$11,I63)</f>
        <v>0</v>
      </c>
      <c r="O63" s="22" t="n">
        <f aca="false">COUNTIFS('Skip PDF Index'!$B$6:$B$11,D63,'Skip PDF Index'!$D$6:$D$11,C63,'Skip PDF Index'!$E$6:$E$11,G63,'Skip PDF Index'!$F$6:$F$11,I63,'Skip PDF Index'!$H$6:$H$11,"SUPPORTING RECORD")</f>
        <v>0</v>
      </c>
      <c r="P63" s="22" t="n">
        <f aca="false">COUNTIFS('Offer Events'!$A$2:$A$1487,B63,'Offer Events'!$B$2:$B$1487,C63,'Offer Events'!$C$2:$C$1487,D63,'Offer Events'!$E$2:$E$1487,G63,'Offer Events'!$L$2:$L$1487,"SKIPPED",'Offer Events'!$P$2:$P$1487,I63)</f>
        <v>1</v>
      </c>
      <c r="Q63" s="22" t="str">
        <f aca="false">IF(L63&lt;=C63,"Y","N")</f>
        <v>Y</v>
      </c>
      <c r="R63" s="22" t="str">
        <f aca="false">IF(AND(O63&gt;0,P63&gt;0,Q63="Y"),"Y","N")</f>
        <v>N</v>
      </c>
      <c r="S63" s="22" t="str">
        <f aca="false">IF(P63=0,"Offer register missing/mismatch",IF(N63=0,IF(M63&gt;0,"PDF slip mismatch","No matching PDF"),IF(O63=0,"PDF lacks supporting record","Reconciled")))</f>
        <v>No matching PDF</v>
      </c>
      <c r="T63" s="22" t="str">
        <f aca="false">IF(R63="Y","Compliant",S63&amp;IF(Q63="N","; review after skip",""))</f>
        <v>No matching PDF</v>
      </c>
      <c r="U63" s="22" t="str">
        <f aca="false">IF(R63="Y","",IF(AND(O63&gt;0,P63&gt;0,Q63="N"),"Priority 2","Priority 1"))</f>
        <v>Priority 1</v>
      </c>
    </row>
    <row r="64" customFormat="false" ht="15" hidden="false" customHeight="false" outlineLevel="0" collapsed="false">
      <c r="A64" s="22" t="s">
        <v>10659</v>
      </c>
      <c r="B64" s="22" t="s">
        <v>9277</v>
      </c>
      <c r="C64" s="23" t="n">
        <v>45144</v>
      </c>
      <c r="D64" s="22" t="s">
        <v>249</v>
      </c>
      <c r="E64" s="22" t="str">
        <f aca="false">IFERROR(VLOOKUP(D64,'Applicant Lookup'!$A$2:$F$2911,2,FALSE()),"Not found")</f>
        <v>John Wang</v>
      </c>
      <c r="F64" s="22" t="n">
        <v>29</v>
      </c>
      <c r="G64" s="22" t="s">
        <v>7724</v>
      </c>
      <c r="H64" s="22" t="s">
        <v>215</v>
      </c>
      <c r="I64" s="22" t="s">
        <v>8637</v>
      </c>
      <c r="J64" s="22" t="s">
        <v>10489</v>
      </c>
      <c r="K64" s="22" t="s">
        <v>10511</v>
      </c>
      <c r="L64" s="23" t="n">
        <v>45149</v>
      </c>
      <c r="M64" s="22" t="n">
        <f aca="false">COUNTIFS('Skip PDF Index'!$B$6:$B$11,D64,'Skip PDF Index'!$D$6:$D$11,C64,'Skip PDF Index'!$F$6:$F$11,I64)</f>
        <v>0</v>
      </c>
      <c r="N64" s="22" t="n">
        <f aca="false">COUNTIFS('Skip PDF Index'!$B$6:$B$11,D64,'Skip PDF Index'!$D$6:$D$11,C64,'Skip PDF Index'!$E$6:$E$11,G64,'Skip PDF Index'!$F$6:$F$11,I64)</f>
        <v>0</v>
      </c>
      <c r="O64" s="22" t="n">
        <f aca="false">COUNTIFS('Skip PDF Index'!$B$6:$B$11,D64,'Skip PDF Index'!$D$6:$D$11,C64,'Skip PDF Index'!$E$6:$E$11,G64,'Skip PDF Index'!$F$6:$F$11,I64,'Skip PDF Index'!$H$6:$H$11,"SUPPORTING RECORD")</f>
        <v>0</v>
      </c>
      <c r="P64" s="22" t="n">
        <f aca="false">COUNTIFS('Offer Events'!$A$2:$A$1487,B64,'Offer Events'!$B$2:$B$1487,C64,'Offer Events'!$C$2:$C$1487,D64,'Offer Events'!$E$2:$E$1487,G64,'Offer Events'!$L$2:$L$1487,"SKIPPED",'Offer Events'!$P$2:$P$1487,I64)</f>
        <v>1</v>
      </c>
      <c r="Q64" s="22" t="str">
        <f aca="false">IF(L64&lt;=C64,"Y","N")</f>
        <v>N</v>
      </c>
      <c r="R64" s="22" t="str">
        <f aca="false">IF(AND(O64&gt;0,P64&gt;0,Q64="Y"),"Y","N")</f>
        <v>N</v>
      </c>
      <c r="S64" s="22" t="str">
        <f aca="false">IF(P64=0,"Offer register missing/mismatch",IF(N64=0,IF(M64&gt;0,"PDF slip mismatch","No matching PDF"),IF(O64=0,"PDF lacks supporting record","Reconciled")))</f>
        <v>No matching PDF</v>
      </c>
      <c r="T64" s="22" t="str">
        <f aca="false">IF(R64="Y","Compliant",S64&amp;IF(Q64="N","; review after skip",""))</f>
        <v>No matching PDF; review after skip</v>
      </c>
      <c r="U64" s="22" t="str">
        <f aca="false">IF(R64="Y","",IF(AND(O64&gt;0,P64&gt;0,Q64="N"),"Priority 2","Priority 1"))</f>
        <v>Priority 1</v>
      </c>
    </row>
    <row r="65" customFormat="false" ht="15" hidden="false" customHeight="false" outlineLevel="0" collapsed="false">
      <c r="A65" s="22" t="s">
        <v>10660</v>
      </c>
      <c r="B65" s="22" t="s">
        <v>9287</v>
      </c>
      <c r="C65" s="23" t="n">
        <v>45154</v>
      </c>
      <c r="D65" s="22" t="s">
        <v>2304</v>
      </c>
      <c r="E65" s="22" t="str">
        <f aca="false">IFERROR(VLOOKUP(D65,'Applicant Lookup'!$A$2:$F$2911,2,FALSE()),"Not found")</f>
        <v>Amy Carlson</v>
      </c>
      <c r="F65" s="22" t="n">
        <v>847</v>
      </c>
      <c r="G65" s="22" t="s">
        <v>7710</v>
      </c>
      <c r="H65" s="22" t="s">
        <v>215</v>
      </c>
      <c r="I65" s="22" t="s">
        <v>8618</v>
      </c>
      <c r="J65" s="22" t="s">
        <v>10489</v>
      </c>
      <c r="K65" s="22" t="s">
        <v>10501</v>
      </c>
      <c r="L65" s="23" t="n">
        <v>45158</v>
      </c>
      <c r="M65" s="22" t="n">
        <f aca="false">COUNTIFS('Skip PDF Index'!$B$6:$B$11,D65,'Skip PDF Index'!$D$6:$D$11,C65,'Skip PDF Index'!$F$6:$F$11,I65)</f>
        <v>0</v>
      </c>
      <c r="N65" s="22" t="n">
        <f aca="false">COUNTIFS('Skip PDF Index'!$B$6:$B$11,D65,'Skip PDF Index'!$D$6:$D$11,C65,'Skip PDF Index'!$E$6:$E$11,G65,'Skip PDF Index'!$F$6:$F$11,I65)</f>
        <v>0</v>
      </c>
      <c r="O65" s="22" t="n">
        <f aca="false">COUNTIFS('Skip PDF Index'!$B$6:$B$11,D65,'Skip PDF Index'!$D$6:$D$11,C65,'Skip PDF Index'!$E$6:$E$11,G65,'Skip PDF Index'!$F$6:$F$11,I65,'Skip PDF Index'!$H$6:$H$11,"SUPPORTING RECORD")</f>
        <v>0</v>
      </c>
      <c r="P65" s="22" t="n">
        <f aca="false">COUNTIFS('Offer Events'!$A$2:$A$1487,B65,'Offer Events'!$B$2:$B$1487,C65,'Offer Events'!$C$2:$C$1487,D65,'Offer Events'!$E$2:$E$1487,G65,'Offer Events'!$L$2:$L$1487,"SKIPPED",'Offer Events'!$P$2:$P$1487,I65)</f>
        <v>1</v>
      </c>
      <c r="Q65" s="22" t="str">
        <f aca="false">IF(L65&lt;=C65,"Y","N")</f>
        <v>N</v>
      </c>
      <c r="R65" s="22" t="str">
        <f aca="false">IF(AND(O65&gt;0,P65&gt;0,Q65="Y"),"Y","N")</f>
        <v>N</v>
      </c>
      <c r="S65" s="22" t="str">
        <f aca="false">IF(P65=0,"Offer register missing/mismatch",IF(N65=0,IF(M65&gt;0,"PDF slip mismatch","No matching PDF"),IF(O65=0,"PDF lacks supporting record","Reconciled")))</f>
        <v>No matching PDF</v>
      </c>
      <c r="T65" s="22" t="str">
        <f aca="false">IF(R65="Y","Compliant",S65&amp;IF(Q65="N","; review after skip",""))</f>
        <v>No matching PDF; review after skip</v>
      </c>
      <c r="U65" s="22" t="str">
        <f aca="false">IF(R65="Y","",IF(AND(O65&gt;0,P65&gt;0,Q65="N"),"Priority 2","Priority 1"))</f>
        <v>Priority 1</v>
      </c>
    </row>
    <row r="66" customFormat="false" ht="15" hidden="false" customHeight="false" outlineLevel="0" collapsed="false">
      <c r="A66" s="22" t="s">
        <v>10661</v>
      </c>
      <c r="B66" s="22" t="s">
        <v>9289</v>
      </c>
      <c r="C66" s="23" t="n">
        <v>45147</v>
      </c>
      <c r="D66" s="22" t="s">
        <v>994</v>
      </c>
      <c r="E66" s="22" t="str">
        <f aca="false">IFERROR(VLOOKUP(D66,'Applicant Lookup'!$A$2:$F$2911,2,FALSE()),"Not found")</f>
        <v>Alan Harris</v>
      </c>
      <c r="F66" s="22" t="n">
        <v>297</v>
      </c>
      <c r="G66" s="22" t="s">
        <v>7481</v>
      </c>
      <c r="H66" s="22" t="s">
        <v>159</v>
      </c>
      <c r="I66" s="22" t="s">
        <v>8618</v>
      </c>
      <c r="J66" s="22" t="s">
        <v>10489</v>
      </c>
      <c r="K66" s="22" t="s">
        <v>10506</v>
      </c>
      <c r="L66" s="23" t="n">
        <v>45152</v>
      </c>
      <c r="M66" s="22" t="n">
        <f aca="false">COUNTIFS('Skip PDF Index'!$B$6:$B$11,D66,'Skip PDF Index'!$D$6:$D$11,C66,'Skip PDF Index'!$F$6:$F$11,I66)</f>
        <v>0</v>
      </c>
      <c r="N66" s="22" t="n">
        <f aca="false">COUNTIFS('Skip PDF Index'!$B$6:$B$11,D66,'Skip PDF Index'!$D$6:$D$11,C66,'Skip PDF Index'!$E$6:$E$11,G66,'Skip PDF Index'!$F$6:$F$11,I66)</f>
        <v>0</v>
      </c>
      <c r="O66" s="22" t="n">
        <f aca="false">COUNTIFS('Skip PDF Index'!$B$6:$B$11,D66,'Skip PDF Index'!$D$6:$D$11,C66,'Skip PDF Index'!$E$6:$E$11,G66,'Skip PDF Index'!$F$6:$F$11,I66,'Skip PDF Index'!$H$6:$H$11,"SUPPORTING RECORD")</f>
        <v>0</v>
      </c>
      <c r="P66" s="22" t="n">
        <f aca="false">COUNTIFS('Offer Events'!$A$2:$A$1487,B66,'Offer Events'!$B$2:$B$1487,C66,'Offer Events'!$C$2:$C$1487,D66,'Offer Events'!$E$2:$E$1487,G66,'Offer Events'!$L$2:$L$1487,"SKIPPED",'Offer Events'!$P$2:$P$1487,I66)</f>
        <v>1</v>
      </c>
      <c r="Q66" s="22" t="str">
        <f aca="false">IF(L66&lt;=C66,"Y","N")</f>
        <v>N</v>
      </c>
      <c r="R66" s="22" t="str">
        <f aca="false">IF(AND(O66&gt;0,P66&gt;0,Q66="Y"),"Y","N")</f>
        <v>N</v>
      </c>
      <c r="S66" s="22" t="str">
        <f aca="false">IF(P66=0,"Offer register missing/mismatch",IF(N66=0,IF(M66&gt;0,"PDF slip mismatch","No matching PDF"),IF(O66=0,"PDF lacks supporting record","Reconciled")))</f>
        <v>No matching PDF</v>
      </c>
      <c r="T66" s="22" t="str">
        <f aca="false">IF(R66="Y","Compliant",S66&amp;IF(Q66="N","; review after skip",""))</f>
        <v>No matching PDF; review after skip</v>
      </c>
      <c r="U66" s="22" t="str">
        <f aca="false">IF(R66="Y","",IF(AND(O66&gt;0,P66&gt;0,Q66="N"),"Priority 2","Priority 1"))</f>
        <v>Priority 1</v>
      </c>
    </row>
    <row r="67" customFormat="false" ht="15" hidden="false" customHeight="false" outlineLevel="0" collapsed="false">
      <c r="A67" s="22" t="s">
        <v>10662</v>
      </c>
      <c r="B67" s="22" t="s">
        <v>9290</v>
      </c>
      <c r="C67" s="23" t="n">
        <v>45140</v>
      </c>
      <c r="D67" s="22" t="s">
        <v>3918</v>
      </c>
      <c r="E67" s="22" t="str">
        <f aca="false">IFERROR(VLOOKUP(D67,'Applicant Lookup'!$A$2:$F$2911,2,FALSE()),"Not found")</f>
        <v>Sharon Lopez</v>
      </c>
      <c r="F67" s="22" t="n">
        <v>1603</v>
      </c>
      <c r="G67" s="22" t="s">
        <v>8206</v>
      </c>
      <c r="H67" s="22" t="s">
        <v>499</v>
      </c>
      <c r="I67" s="22" t="s">
        <v>8631</v>
      </c>
      <c r="J67" s="22" t="s">
        <v>10489</v>
      </c>
      <c r="K67" s="22" t="s">
        <v>10506</v>
      </c>
      <c r="L67" s="23" t="n">
        <v>45140</v>
      </c>
      <c r="M67" s="22" t="n">
        <f aca="false">COUNTIFS('Skip PDF Index'!$B$6:$B$11,D67,'Skip PDF Index'!$D$6:$D$11,C67,'Skip PDF Index'!$F$6:$F$11,I67)</f>
        <v>0</v>
      </c>
      <c r="N67" s="22" t="n">
        <f aca="false">COUNTIFS('Skip PDF Index'!$B$6:$B$11,D67,'Skip PDF Index'!$D$6:$D$11,C67,'Skip PDF Index'!$E$6:$E$11,G67,'Skip PDF Index'!$F$6:$F$11,I67)</f>
        <v>0</v>
      </c>
      <c r="O67" s="22" t="n">
        <f aca="false">COUNTIFS('Skip PDF Index'!$B$6:$B$11,D67,'Skip PDF Index'!$D$6:$D$11,C67,'Skip PDF Index'!$E$6:$E$11,G67,'Skip PDF Index'!$F$6:$F$11,I67,'Skip PDF Index'!$H$6:$H$11,"SUPPORTING RECORD")</f>
        <v>0</v>
      </c>
      <c r="P67" s="22" t="n">
        <f aca="false">COUNTIFS('Offer Events'!$A$2:$A$1487,B67,'Offer Events'!$B$2:$B$1487,C67,'Offer Events'!$C$2:$C$1487,D67,'Offer Events'!$E$2:$E$1487,G67,'Offer Events'!$L$2:$L$1487,"SKIPPED",'Offer Events'!$P$2:$P$1487,I67)</f>
        <v>1</v>
      </c>
      <c r="Q67" s="22" t="str">
        <f aca="false">IF(L67&lt;=C67,"Y","N")</f>
        <v>Y</v>
      </c>
      <c r="R67" s="22" t="str">
        <f aca="false">IF(AND(O67&gt;0,P67&gt;0,Q67="Y"),"Y","N")</f>
        <v>N</v>
      </c>
      <c r="S67" s="22" t="str">
        <f aca="false">IF(P67=0,"Offer register missing/mismatch",IF(N67=0,IF(M67&gt;0,"PDF slip mismatch","No matching PDF"),IF(O67=0,"PDF lacks supporting record","Reconciled")))</f>
        <v>No matching PDF</v>
      </c>
      <c r="T67" s="22" t="str">
        <f aca="false">IF(R67="Y","Compliant",S67&amp;IF(Q67="N","; review after skip",""))</f>
        <v>No matching PDF</v>
      </c>
      <c r="U67" s="22" t="str">
        <f aca="false">IF(R67="Y","",IF(AND(O67&gt;0,P67&gt;0,Q67="N"),"Priority 2","Priority 1"))</f>
        <v>Priority 1</v>
      </c>
    </row>
    <row r="68" customFormat="false" ht="15" hidden="false" customHeight="false" outlineLevel="0" collapsed="false">
      <c r="A68" s="22" t="s">
        <v>10663</v>
      </c>
      <c r="B68" s="22" t="s">
        <v>9297</v>
      </c>
      <c r="C68" s="23" t="n">
        <v>45160</v>
      </c>
      <c r="D68" s="22" t="s">
        <v>5042</v>
      </c>
      <c r="E68" s="22" t="str">
        <f aca="false">IFERROR(VLOOKUP(D68,'Applicant Lookup'!$A$2:$F$2911,2,FALSE()),"Not found")</f>
        <v>Derrick Webb</v>
      </c>
      <c r="F68" s="22" t="n">
        <v>2153</v>
      </c>
      <c r="G68" s="22" t="s">
        <v>7752</v>
      </c>
      <c r="H68" s="22" t="s">
        <v>215</v>
      </c>
      <c r="I68" s="22" t="s">
        <v>8637</v>
      </c>
      <c r="J68" s="22" t="s">
        <v>10489</v>
      </c>
      <c r="K68" s="22" t="s">
        <v>10496</v>
      </c>
      <c r="L68" s="23" t="n">
        <v>45161</v>
      </c>
      <c r="M68" s="22" t="n">
        <f aca="false">COUNTIFS('Skip PDF Index'!$B$6:$B$11,D68,'Skip PDF Index'!$D$6:$D$11,C68,'Skip PDF Index'!$F$6:$F$11,I68)</f>
        <v>0</v>
      </c>
      <c r="N68" s="22" t="n">
        <f aca="false">COUNTIFS('Skip PDF Index'!$B$6:$B$11,D68,'Skip PDF Index'!$D$6:$D$11,C68,'Skip PDF Index'!$E$6:$E$11,G68,'Skip PDF Index'!$F$6:$F$11,I68)</f>
        <v>0</v>
      </c>
      <c r="O68" s="22" t="n">
        <f aca="false">COUNTIFS('Skip PDF Index'!$B$6:$B$11,D68,'Skip PDF Index'!$D$6:$D$11,C68,'Skip PDF Index'!$E$6:$E$11,G68,'Skip PDF Index'!$F$6:$F$11,I68,'Skip PDF Index'!$H$6:$H$11,"SUPPORTING RECORD")</f>
        <v>0</v>
      </c>
      <c r="P68" s="22" t="n">
        <f aca="false">COUNTIFS('Offer Events'!$A$2:$A$1487,B68,'Offer Events'!$B$2:$B$1487,C68,'Offer Events'!$C$2:$C$1487,D68,'Offer Events'!$E$2:$E$1487,G68,'Offer Events'!$L$2:$L$1487,"SKIPPED",'Offer Events'!$P$2:$P$1487,I68)</f>
        <v>1</v>
      </c>
      <c r="Q68" s="22" t="str">
        <f aca="false">IF(L68&lt;=C68,"Y","N")</f>
        <v>N</v>
      </c>
      <c r="R68" s="22" t="str">
        <f aca="false">IF(AND(O68&gt;0,P68&gt;0,Q68="Y"),"Y","N")</f>
        <v>N</v>
      </c>
      <c r="S68" s="22" t="str">
        <f aca="false">IF(P68=0,"Offer register missing/mismatch",IF(N68=0,IF(M68&gt;0,"PDF slip mismatch","No matching PDF"),IF(O68=0,"PDF lacks supporting record","Reconciled")))</f>
        <v>No matching PDF</v>
      </c>
      <c r="T68" s="22" t="str">
        <f aca="false">IF(R68="Y","Compliant",S68&amp;IF(Q68="N","; review after skip",""))</f>
        <v>No matching PDF; review after skip</v>
      </c>
      <c r="U68" s="22" t="str">
        <f aca="false">IF(R68="Y","",IF(AND(O68&gt;0,P68&gt;0,Q68="N"),"Priority 2","Priority 1"))</f>
        <v>Priority 1</v>
      </c>
    </row>
    <row r="69" customFormat="false" ht="15" hidden="false" customHeight="false" outlineLevel="0" collapsed="false">
      <c r="A69" s="22" t="s">
        <v>10664</v>
      </c>
      <c r="B69" s="22" t="s">
        <v>9299</v>
      </c>
      <c r="C69" s="23" t="n">
        <v>45160</v>
      </c>
      <c r="D69" s="22" t="s">
        <v>4014</v>
      </c>
      <c r="E69" s="22" t="str">
        <f aca="false">IFERROR(VLOOKUP(D69,'Applicant Lookup'!$A$2:$F$2911,2,FALSE()),"Not found")</f>
        <v>Alex White</v>
      </c>
      <c r="F69" s="22" t="n">
        <v>1650</v>
      </c>
      <c r="G69" s="22" t="s">
        <v>7783</v>
      </c>
      <c r="H69" s="22" t="s">
        <v>215</v>
      </c>
      <c r="I69" s="22" t="s">
        <v>8631</v>
      </c>
      <c r="J69" s="22" t="s">
        <v>10489</v>
      </c>
      <c r="K69" s="22" t="s">
        <v>10491</v>
      </c>
      <c r="L69" s="23" t="n">
        <v>45165</v>
      </c>
      <c r="M69" s="22" t="n">
        <f aca="false">COUNTIFS('Skip PDF Index'!$B$6:$B$11,D69,'Skip PDF Index'!$D$6:$D$11,C69,'Skip PDF Index'!$F$6:$F$11,I69)</f>
        <v>0</v>
      </c>
      <c r="N69" s="22" t="n">
        <f aca="false">COUNTIFS('Skip PDF Index'!$B$6:$B$11,D69,'Skip PDF Index'!$D$6:$D$11,C69,'Skip PDF Index'!$E$6:$E$11,G69,'Skip PDF Index'!$F$6:$F$11,I69)</f>
        <v>0</v>
      </c>
      <c r="O69" s="22" t="n">
        <f aca="false">COUNTIFS('Skip PDF Index'!$B$6:$B$11,D69,'Skip PDF Index'!$D$6:$D$11,C69,'Skip PDF Index'!$E$6:$E$11,G69,'Skip PDF Index'!$F$6:$F$11,I69,'Skip PDF Index'!$H$6:$H$11,"SUPPORTING RECORD")</f>
        <v>0</v>
      </c>
      <c r="P69" s="22" t="n">
        <f aca="false">COUNTIFS('Offer Events'!$A$2:$A$1487,B69,'Offer Events'!$B$2:$B$1487,C69,'Offer Events'!$C$2:$C$1487,D69,'Offer Events'!$E$2:$E$1487,G69,'Offer Events'!$L$2:$L$1487,"SKIPPED",'Offer Events'!$P$2:$P$1487,I69)</f>
        <v>1</v>
      </c>
      <c r="Q69" s="22" t="str">
        <f aca="false">IF(L69&lt;=C69,"Y","N")</f>
        <v>N</v>
      </c>
      <c r="R69" s="22" t="str">
        <f aca="false">IF(AND(O69&gt;0,P69&gt;0,Q69="Y"),"Y","N")</f>
        <v>N</v>
      </c>
      <c r="S69" s="22" t="str">
        <f aca="false">IF(P69=0,"Offer register missing/mismatch",IF(N69=0,IF(M69&gt;0,"PDF slip mismatch","No matching PDF"),IF(O69=0,"PDF lacks supporting record","Reconciled")))</f>
        <v>No matching PDF</v>
      </c>
      <c r="T69" s="22" t="str">
        <f aca="false">IF(R69="Y","Compliant",S69&amp;IF(Q69="N","; review after skip",""))</f>
        <v>No matching PDF; review after skip</v>
      </c>
      <c r="U69" s="22" t="str">
        <f aca="false">IF(R69="Y","",IF(AND(O69&gt;0,P69&gt;0,Q69="N"),"Priority 2","Priority 1"))</f>
        <v>Priority 1</v>
      </c>
    </row>
    <row r="70" customFormat="false" ht="15" hidden="false" customHeight="false" outlineLevel="0" collapsed="false">
      <c r="A70" s="22" t="s">
        <v>10665</v>
      </c>
      <c r="B70" s="22" t="s">
        <v>9302</v>
      </c>
      <c r="C70" s="23" t="n">
        <v>45148</v>
      </c>
      <c r="D70" s="22" t="s">
        <v>1156</v>
      </c>
      <c r="E70" s="22" t="str">
        <f aca="false">IFERROR(VLOOKUP(D70,'Applicant Lookup'!$A$2:$F$2911,2,FALSE()),"Not found")</f>
        <v>Desiree Sullivan</v>
      </c>
      <c r="F70" s="22" t="n">
        <v>360</v>
      </c>
      <c r="G70" s="22" t="s">
        <v>6902</v>
      </c>
      <c r="H70" s="22" t="s">
        <v>198</v>
      </c>
      <c r="I70" s="22" t="s">
        <v>8603</v>
      </c>
      <c r="J70" s="22" t="s">
        <v>10489</v>
      </c>
      <c r="K70" s="22" t="s">
        <v>10516</v>
      </c>
      <c r="L70" s="23" t="n">
        <v>45149</v>
      </c>
      <c r="M70" s="22" t="n">
        <f aca="false">COUNTIFS('Skip PDF Index'!$B$6:$B$11,D70,'Skip PDF Index'!$D$6:$D$11,C70,'Skip PDF Index'!$F$6:$F$11,I70)</f>
        <v>0</v>
      </c>
      <c r="N70" s="22" t="n">
        <f aca="false">COUNTIFS('Skip PDF Index'!$B$6:$B$11,D70,'Skip PDF Index'!$D$6:$D$11,C70,'Skip PDF Index'!$E$6:$E$11,G70,'Skip PDF Index'!$F$6:$F$11,I70)</f>
        <v>0</v>
      </c>
      <c r="O70" s="22" t="n">
        <f aca="false">COUNTIFS('Skip PDF Index'!$B$6:$B$11,D70,'Skip PDF Index'!$D$6:$D$11,C70,'Skip PDF Index'!$E$6:$E$11,G70,'Skip PDF Index'!$F$6:$F$11,I70,'Skip PDF Index'!$H$6:$H$11,"SUPPORTING RECORD")</f>
        <v>0</v>
      </c>
      <c r="P70" s="22" t="n">
        <f aca="false">COUNTIFS('Offer Events'!$A$2:$A$1487,B70,'Offer Events'!$B$2:$B$1487,C70,'Offer Events'!$C$2:$C$1487,D70,'Offer Events'!$E$2:$E$1487,G70,'Offer Events'!$L$2:$L$1487,"SKIPPED",'Offer Events'!$P$2:$P$1487,I70)</f>
        <v>1</v>
      </c>
      <c r="Q70" s="22" t="str">
        <f aca="false">IF(L70&lt;=C70,"Y","N")</f>
        <v>N</v>
      </c>
      <c r="R70" s="22" t="str">
        <f aca="false">IF(AND(O70&gt;0,P70&gt;0,Q70="Y"),"Y","N")</f>
        <v>N</v>
      </c>
      <c r="S70" s="22" t="str">
        <f aca="false">IF(P70=0,"Offer register missing/mismatch",IF(N70=0,IF(M70&gt;0,"PDF slip mismatch","No matching PDF"),IF(O70=0,"PDF lacks supporting record","Reconciled")))</f>
        <v>No matching PDF</v>
      </c>
      <c r="T70" s="22" t="str">
        <f aca="false">IF(R70="Y","Compliant",S70&amp;IF(Q70="N","; review after skip",""))</f>
        <v>No matching PDF; review after skip</v>
      </c>
      <c r="U70" s="22" t="str">
        <f aca="false">IF(R70="Y","",IF(AND(O70&gt;0,P70&gt;0,Q70="N"),"Priority 2","Priority 1"))</f>
        <v>Priority 1</v>
      </c>
    </row>
    <row r="71" customFormat="false" ht="15" hidden="false" customHeight="false" outlineLevel="0" collapsed="false">
      <c r="A71" s="22" t="s">
        <v>10666</v>
      </c>
      <c r="B71" s="22" t="s">
        <v>9305</v>
      </c>
      <c r="C71" s="23" t="n">
        <v>45143</v>
      </c>
      <c r="D71" s="22" t="s">
        <v>1173</v>
      </c>
      <c r="E71" s="22" t="str">
        <f aca="false">IFERROR(VLOOKUP(D71,'Applicant Lookup'!$A$2:$F$2911,2,FALSE()),"Not found")</f>
        <v>Stephen Golden</v>
      </c>
      <c r="F71" s="22" t="n">
        <v>367</v>
      </c>
      <c r="G71" s="22" t="s">
        <v>8226</v>
      </c>
      <c r="H71" s="22" t="s">
        <v>499</v>
      </c>
      <c r="I71" s="22" t="s">
        <v>8603</v>
      </c>
      <c r="J71" s="22" t="s">
        <v>10489</v>
      </c>
      <c r="K71" s="22" t="s">
        <v>10506</v>
      </c>
      <c r="L71" s="23" t="n">
        <v>45145</v>
      </c>
      <c r="M71" s="22" t="n">
        <f aca="false">COUNTIFS('Skip PDF Index'!$B$6:$B$11,D71,'Skip PDF Index'!$D$6:$D$11,C71,'Skip PDF Index'!$F$6:$F$11,I71)</f>
        <v>0</v>
      </c>
      <c r="N71" s="22" t="n">
        <f aca="false">COUNTIFS('Skip PDF Index'!$B$6:$B$11,D71,'Skip PDF Index'!$D$6:$D$11,C71,'Skip PDF Index'!$E$6:$E$11,G71,'Skip PDF Index'!$F$6:$F$11,I71)</f>
        <v>0</v>
      </c>
      <c r="O71" s="22" t="n">
        <f aca="false">COUNTIFS('Skip PDF Index'!$B$6:$B$11,D71,'Skip PDF Index'!$D$6:$D$11,C71,'Skip PDF Index'!$E$6:$E$11,G71,'Skip PDF Index'!$F$6:$F$11,I71,'Skip PDF Index'!$H$6:$H$11,"SUPPORTING RECORD")</f>
        <v>0</v>
      </c>
      <c r="P71" s="22" t="n">
        <f aca="false">COUNTIFS('Offer Events'!$A$2:$A$1487,B71,'Offer Events'!$B$2:$B$1487,C71,'Offer Events'!$C$2:$C$1487,D71,'Offer Events'!$E$2:$E$1487,G71,'Offer Events'!$L$2:$L$1487,"SKIPPED",'Offer Events'!$P$2:$P$1487,I71)</f>
        <v>1</v>
      </c>
      <c r="Q71" s="22" t="str">
        <f aca="false">IF(L71&lt;=C71,"Y","N")</f>
        <v>N</v>
      </c>
      <c r="R71" s="22" t="str">
        <f aca="false">IF(AND(O71&gt;0,P71&gt;0,Q71="Y"),"Y","N")</f>
        <v>N</v>
      </c>
      <c r="S71" s="22" t="str">
        <f aca="false">IF(P71=0,"Offer register missing/mismatch",IF(N71=0,IF(M71&gt;0,"PDF slip mismatch","No matching PDF"),IF(O71=0,"PDF lacks supporting record","Reconciled")))</f>
        <v>No matching PDF</v>
      </c>
      <c r="T71" s="22" t="str">
        <f aca="false">IF(R71="Y","Compliant",S71&amp;IF(Q71="N","; review after skip",""))</f>
        <v>No matching PDF; review after skip</v>
      </c>
      <c r="U71" s="22" t="str">
        <f aca="false">IF(R71="Y","",IF(AND(O71&gt;0,P71&gt;0,Q71="N"),"Priority 2","Priority 1"))</f>
        <v>Priority 1</v>
      </c>
    </row>
    <row r="72" customFormat="false" ht="15" hidden="false" customHeight="false" outlineLevel="0" collapsed="false">
      <c r="A72" s="22" t="s">
        <v>10667</v>
      </c>
      <c r="B72" s="22" t="s">
        <v>9309</v>
      </c>
      <c r="C72" s="23" t="n">
        <v>45156</v>
      </c>
      <c r="D72" s="22" t="s">
        <v>4308</v>
      </c>
      <c r="E72" s="22" t="str">
        <f aca="false">IFERROR(VLOOKUP(D72,'Applicant Lookup'!$A$2:$F$2911,2,FALSE()),"Not found")</f>
        <v>David Franco</v>
      </c>
      <c r="F72" s="22" t="n">
        <v>1793</v>
      </c>
      <c r="G72" s="22" t="s">
        <v>7949</v>
      </c>
      <c r="H72" s="22" t="s">
        <v>215</v>
      </c>
      <c r="I72" s="22" t="s">
        <v>8603</v>
      </c>
      <c r="J72" s="22" t="s">
        <v>10489</v>
      </c>
      <c r="K72" s="22" t="s">
        <v>10496</v>
      </c>
      <c r="L72" s="23" t="n">
        <v>45159</v>
      </c>
      <c r="M72" s="22" t="n">
        <f aca="false">COUNTIFS('Skip PDF Index'!$B$6:$B$11,D72,'Skip PDF Index'!$D$6:$D$11,C72,'Skip PDF Index'!$F$6:$F$11,I72)</f>
        <v>0</v>
      </c>
      <c r="N72" s="22" t="n">
        <f aca="false">COUNTIFS('Skip PDF Index'!$B$6:$B$11,D72,'Skip PDF Index'!$D$6:$D$11,C72,'Skip PDF Index'!$E$6:$E$11,G72,'Skip PDF Index'!$F$6:$F$11,I72)</f>
        <v>0</v>
      </c>
      <c r="O72" s="22" t="n">
        <f aca="false">COUNTIFS('Skip PDF Index'!$B$6:$B$11,D72,'Skip PDF Index'!$D$6:$D$11,C72,'Skip PDF Index'!$E$6:$E$11,G72,'Skip PDF Index'!$F$6:$F$11,I72,'Skip PDF Index'!$H$6:$H$11,"SUPPORTING RECORD")</f>
        <v>0</v>
      </c>
      <c r="P72" s="22" t="n">
        <f aca="false">COUNTIFS('Offer Events'!$A$2:$A$1487,B72,'Offer Events'!$B$2:$B$1487,C72,'Offer Events'!$C$2:$C$1487,D72,'Offer Events'!$E$2:$E$1487,G72,'Offer Events'!$L$2:$L$1487,"SKIPPED",'Offer Events'!$P$2:$P$1487,I72)</f>
        <v>1</v>
      </c>
      <c r="Q72" s="22" t="str">
        <f aca="false">IF(L72&lt;=C72,"Y","N")</f>
        <v>N</v>
      </c>
      <c r="R72" s="22" t="str">
        <f aca="false">IF(AND(O72&gt;0,P72&gt;0,Q72="Y"),"Y","N")</f>
        <v>N</v>
      </c>
      <c r="S72" s="22" t="str">
        <f aca="false">IF(P72=0,"Offer register missing/mismatch",IF(N72=0,IF(M72&gt;0,"PDF slip mismatch","No matching PDF"),IF(O72=0,"PDF lacks supporting record","Reconciled")))</f>
        <v>No matching PDF</v>
      </c>
      <c r="T72" s="22" t="str">
        <f aca="false">IF(R72="Y","Compliant",S72&amp;IF(Q72="N","; review after skip",""))</f>
        <v>No matching PDF; review after skip</v>
      </c>
      <c r="U72" s="22" t="str">
        <f aca="false">IF(R72="Y","",IF(AND(O72&gt;0,P72&gt;0,Q72="N"),"Priority 2","Priority 1"))</f>
        <v>Priority 1</v>
      </c>
    </row>
    <row r="73" customFormat="false" ht="15" hidden="false" customHeight="false" outlineLevel="0" collapsed="false">
      <c r="A73" s="22" t="s">
        <v>10668</v>
      </c>
      <c r="B73" s="22" t="s">
        <v>9318</v>
      </c>
      <c r="C73" s="23" t="n">
        <v>45187</v>
      </c>
      <c r="D73" s="22" t="s">
        <v>5237</v>
      </c>
      <c r="E73" s="22" t="str">
        <f aca="false">IFERROR(VLOOKUP(D73,'Applicant Lookup'!$A$2:$F$2911,2,FALSE()),"Not found")</f>
        <v>Julia Anderson</v>
      </c>
      <c r="F73" s="22" t="n">
        <v>2249</v>
      </c>
      <c r="G73" s="22" t="s">
        <v>7859</v>
      </c>
      <c r="H73" s="22" t="s">
        <v>215</v>
      </c>
      <c r="I73" s="22" t="s">
        <v>8618</v>
      </c>
      <c r="J73" s="22" t="s">
        <v>10489</v>
      </c>
      <c r="K73" s="22" t="s">
        <v>10513</v>
      </c>
      <c r="L73" s="23" t="n">
        <v>45188</v>
      </c>
      <c r="M73" s="22" t="n">
        <f aca="false">COUNTIFS('Skip PDF Index'!$B$6:$B$11,D73,'Skip PDF Index'!$D$6:$D$11,C73,'Skip PDF Index'!$F$6:$F$11,I73)</f>
        <v>0</v>
      </c>
      <c r="N73" s="22" t="n">
        <f aca="false">COUNTIFS('Skip PDF Index'!$B$6:$B$11,D73,'Skip PDF Index'!$D$6:$D$11,C73,'Skip PDF Index'!$E$6:$E$11,G73,'Skip PDF Index'!$F$6:$F$11,I73)</f>
        <v>0</v>
      </c>
      <c r="O73" s="22" t="n">
        <f aca="false">COUNTIFS('Skip PDF Index'!$B$6:$B$11,D73,'Skip PDF Index'!$D$6:$D$11,C73,'Skip PDF Index'!$E$6:$E$11,G73,'Skip PDF Index'!$F$6:$F$11,I73,'Skip PDF Index'!$H$6:$H$11,"SUPPORTING RECORD")</f>
        <v>0</v>
      </c>
      <c r="P73" s="22" t="n">
        <f aca="false">COUNTIFS('Offer Events'!$A$2:$A$1487,B73,'Offer Events'!$B$2:$B$1487,C73,'Offer Events'!$C$2:$C$1487,D73,'Offer Events'!$E$2:$E$1487,G73,'Offer Events'!$L$2:$L$1487,"SKIPPED",'Offer Events'!$P$2:$P$1487,I73)</f>
        <v>1</v>
      </c>
      <c r="Q73" s="22" t="str">
        <f aca="false">IF(L73&lt;=C73,"Y","N")</f>
        <v>N</v>
      </c>
      <c r="R73" s="22" t="str">
        <f aca="false">IF(AND(O73&gt;0,P73&gt;0,Q73="Y"),"Y","N")</f>
        <v>N</v>
      </c>
      <c r="S73" s="22" t="str">
        <f aca="false">IF(P73=0,"Offer register missing/mismatch",IF(N73=0,IF(M73&gt;0,"PDF slip mismatch","No matching PDF"),IF(O73=0,"PDF lacks supporting record","Reconciled")))</f>
        <v>No matching PDF</v>
      </c>
      <c r="T73" s="22" t="str">
        <f aca="false">IF(R73="Y","Compliant",S73&amp;IF(Q73="N","; review after skip",""))</f>
        <v>No matching PDF; review after skip</v>
      </c>
      <c r="U73" s="22" t="str">
        <f aca="false">IF(R73="Y","",IF(AND(O73&gt;0,P73&gt;0,Q73="N"),"Priority 2","Priority 1"))</f>
        <v>Priority 1</v>
      </c>
    </row>
    <row r="74" customFormat="false" ht="15" hidden="false" customHeight="false" outlineLevel="0" collapsed="false">
      <c r="A74" s="22" t="s">
        <v>10669</v>
      </c>
      <c r="B74" s="22" t="s">
        <v>9323</v>
      </c>
      <c r="C74" s="23" t="n">
        <v>45180</v>
      </c>
      <c r="D74" s="22" t="s">
        <v>5997</v>
      </c>
      <c r="E74" s="22" t="str">
        <f aca="false">IFERROR(VLOOKUP(D74,'Applicant Lookup'!$A$2:$F$2911,2,FALSE()),"Not found")</f>
        <v>Justin Parks</v>
      </c>
      <c r="F74" s="22" t="n">
        <v>2629</v>
      </c>
      <c r="G74" s="22" t="s">
        <v>7289</v>
      </c>
      <c r="H74" s="22" t="s">
        <v>198</v>
      </c>
      <c r="I74" s="22" t="s">
        <v>8603</v>
      </c>
      <c r="J74" s="22" t="s">
        <v>10489</v>
      </c>
      <c r="K74" s="22" t="s">
        <v>10491</v>
      </c>
      <c r="L74" s="23" t="n">
        <v>45180</v>
      </c>
      <c r="M74" s="22" t="n">
        <f aca="false">COUNTIFS('Skip PDF Index'!$B$6:$B$11,D74,'Skip PDF Index'!$D$6:$D$11,C74,'Skip PDF Index'!$F$6:$F$11,I74)</f>
        <v>0</v>
      </c>
      <c r="N74" s="22" t="n">
        <f aca="false">COUNTIFS('Skip PDF Index'!$B$6:$B$11,D74,'Skip PDF Index'!$D$6:$D$11,C74,'Skip PDF Index'!$E$6:$E$11,G74,'Skip PDF Index'!$F$6:$F$11,I74)</f>
        <v>0</v>
      </c>
      <c r="O74" s="22" t="n">
        <f aca="false">COUNTIFS('Skip PDF Index'!$B$6:$B$11,D74,'Skip PDF Index'!$D$6:$D$11,C74,'Skip PDF Index'!$E$6:$E$11,G74,'Skip PDF Index'!$F$6:$F$11,I74,'Skip PDF Index'!$H$6:$H$11,"SUPPORTING RECORD")</f>
        <v>0</v>
      </c>
      <c r="P74" s="22" t="n">
        <f aca="false">COUNTIFS('Offer Events'!$A$2:$A$1487,B74,'Offer Events'!$B$2:$B$1487,C74,'Offer Events'!$C$2:$C$1487,D74,'Offer Events'!$E$2:$E$1487,G74,'Offer Events'!$L$2:$L$1487,"SKIPPED",'Offer Events'!$P$2:$P$1487,I74)</f>
        <v>1</v>
      </c>
      <c r="Q74" s="22" t="str">
        <f aca="false">IF(L74&lt;=C74,"Y","N")</f>
        <v>Y</v>
      </c>
      <c r="R74" s="22" t="str">
        <f aca="false">IF(AND(O74&gt;0,P74&gt;0,Q74="Y"),"Y","N")</f>
        <v>N</v>
      </c>
      <c r="S74" s="22" t="str">
        <f aca="false">IF(P74=0,"Offer register missing/mismatch",IF(N74=0,IF(M74&gt;0,"PDF slip mismatch","No matching PDF"),IF(O74=0,"PDF lacks supporting record","Reconciled")))</f>
        <v>No matching PDF</v>
      </c>
      <c r="T74" s="22" t="str">
        <f aca="false">IF(R74="Y","Compliant",S74&amp;IF(Q74="N","; review after skip",""))</f>
        <v>No matching PDF</v>
      </c>
      <c r="U74" s="22" t="str">
        <f aca="false">IF(R74="Y","",IF(AND(O74&gt;0,P74&gt;0,Q74="N"),"Priority 2","Priority 1"))</f>
        <v>Priority 1</v>
      </c>
    </row>
    <row r="75" customFormat="false" ht="15" hidden="false" customHeight="false" outlineLevel="0" collapsed="false">
      <c r="A75" s="22" t="s">
        <v>10670</v>
      </c>
      <c r="B75" s="22" t="s">
        <v>9324</v>
      </c>
      <c r="C75" s="23" t="n">
        <v>45174</v>
      </c>
      <c r="D75" s="22" t="s">
        <v>6085</v>
      </c>
      <c r="E75" s="22" t="str">
        <f aca="false">IFERROR(VLOOKUP(D75,'Applicant Lookup'!$A$2:$F$2911,2,FALSE()),"Not found")</f>
        <v>Angela Gibson</v>
      </c>
      <c r="F75" s="22" t="n">
        <v>2673</v>
      </c>
      <c r="G75" s="22" t="s">
        <v>8253</v>
      </c>
      <c r="H75" s="22" t="s">
        <v>499</v>
      </c>
      <c r="I75" s="22" t="s">
        <v>8637</v>
      </c>
      <c r="J75" s="22" t="s">
        <v>10489</v>
      </c>
      <c r="K75" s="22" t="s">
        <v>10513</v>
      </c>
      <c r="L75" s="23" t="n">
        <v>45177</v>
      </c>
      <c r="M75" s="22" t="n">
        <f aca="false">COUNTIFS('Skip PDF Index'!$B$6:$B$11,D75,'Skip PDF Index'!$D$6:$D$11,C75,'Skip PDF Index'!$F$6:$F$11,I75)</f>
        <v>0</v>
      </c>
      <c r="N75" s="22" t="n">
        <f aca="false">COUNTIFS('Skip PDF Index'!$B$6:$B$11,D75,'Skip PDF Index'!$D$6:$D$11,C75,'Skip PDF Index'!$E$6:$E$11,G75,'Skip PDF Index'!$F$6:$F$11,I75)</f>
        <v>0</v>
      </c>
      <c r="O75" s="22" t="n">
        <f aca="false">COUNTIFS('Skip PDF Index'!$B$6:$B$11,D75,'Skip PDF Index'!$D$6:$D$11,C75,'Skip PDF Index'!$E$6:$E$11,G75,'Skip PDF Index'!$F$6:$F$11,I75,'Skip PDF Index'!$H$6:$H$11,"SUPPORTING RECORD")</f>
        <v>0</v>
      </c>
      <c r="P75" s="22" t="n">
        <f aca="false">COUNTIFS('Offer Events'!$A$2:$A$1487,B75,'Offer Events'!$B$2:$B$1487,C75,'Offer Events'!$C$2:$C$1487,D75,'Offer Events'!$E$2:$E$1487,G75,'Offer Events'!$L$2:$L$1487,"SKIPPED",'Offer Events'!$P$2:$P$1487,I75)</f>
        <v>1</v>
      </c>
      <c r="Q75" s="22" t="str">
        <f aca="false">IF(L75&lt;=C75,"Y","N")</f>
        <v>N</v>
      </c>
      <c r="R75" s="22" t="str">
        <f aca="false">IF(AND(O75&gt;0,P75&gt;0,Q75="Y"),"Y","N")</f>
        <v>N</v>
      </c>
      <c r="S75" s="22" t="str">
        <f aca="false">IF(P75=0,"Offer register missing/mismatch",IF(N75=0,IF(M75&gt;0,"PDF slip mismatch","No matching PDF"),IF(O75=0,"PDF lacks supporting record","Reconciled")))</f>
        <v>No matching PDF</v>
      </c>
      <c r="T75" s="22" t="str">
        <f aca="false">IF(R75="Y","Compliant",S75&amp;IF(Q75="N","; review after skip",""))</f>
        <v>No matching PDF; review after skip</v>
      </c>
      <c r="U75" s="22" t="str">
        <f aca="false">IF(R75="Y","",IF(AND(O75&gt;0,P75&gt;0,Q75="N"),"Priority 2","Priority 1"))</f>
        <v>Priority 1</v>
      </c>
    </row>
    <row r="76" customFormat="false" ht="15" hidden="false" customHeight="false" outlineLevel="0" collapsed="false">
      <c r="A76" s="22" t="s">
        <v>10671</v>
      </c>
      <c r="B76" s="22" t="s">
        <v>9327</v>
      </c>
      <c r="C76" s="23" t="n">
        <v>45174</v>
      </c>
      <c r="D76" s="22" t="s">
        <v>2076</v>
      </c>
      <c r="E76" s="22" t="str">
        <f aca="false">IFERROR(VLOOKUP(D76,'Applicant Lookup'!$A$2:$F$2911,2,FALSE()),"Not found")</f>
        <v>Elizabeth Ward</v>
      </c>
      <c r="F76" s="22" t="n">
        <v>746</v>
      </c>
      <c r="G76" s="22" t="s">
        <v>8379</v>
      </c>
      <c r="H76" s="22" t="s">
        <v>188</v>
      </c>
      <c r="I76" s="22" t="s">
        <v>8618</v>
      </c>
      <c r="J76" s="22" t="s">
        <v>10489</v>
      </c>
      <c r="K76" s="22" t="s">
        <v>10504</v>
      </c>
      <c r="L76" s="23" t="n">
        <v>45178</v>
      </c>
      <c r="M76" s="22" t="n">
        <f aca="false">COUNTIFS('Skip PDF Index'!$B$6:$B$11,D76,'Skip PDF Index'!$D$6:$D$11,C76,'Skip PDF Index'!$F$6:$F$11,I76)</f>
        <v>0</v>
      </c>
      <c r="N76" s="22" t="n">
        <f aca="false">COUNTIFS('Skip PDF Index'!$B$6:$B$11,D76,'Skip PDF Index'!$D$6:$D$11,C76,'Skip PDF Index'!$E$6:$E$11,G76,'Skip PDF Index'!$F$6:$F$11,I76)</f>
        <v>0</v>
      </c>
      <c r="O76" s="22" t="n">
        <f aca="false">COUNTIFS('Skip PDF Index'!$B$6:$B$11,D76,'Skip PDF Index'!$D$6:$D$11,C76,'Skip PDF Index'!$E$6:$E$11,G76,'Skip PDF Index'!$F$6:$F$11,I76,'Skip PDF Index'!$H$6:$H$11,"SUPPORTING RECORD")</f>
        <v>0</v>
      </c>
      <c r="P76" s="22" t="n">
        <f aca="false">COUNTIFS('Offer Events'!$A$2:$A$1487,B76,'Offer Events'!$B$2:$B$1487,C76,'Offer Events'!$C$2:$C$1487,D76,'Offer Events'!$E$2:$E$1487,G76,'Offer Events'!$L$2:$L$1487,"SKIPPED",'Offer Events'!$P$2:$P$1487,I76)</f>
        <v>1</v>
      </c>
      <c r="Q76" s="22" t="str">
        <f aca="false">IF(L76&lt;=C76,"Y","N")</f>
        <v>N</v>
      </c>
      <c r="R76" s="22" t="str">
        <f aca="false">IF(AND(O76&gt;0,P76&gt;0,Q76="Y"),"Y","N")</f>
        <v>N</v>
      </c>
      <c r="S76" s="22" t="str">
        <f aca="false">IF(P76=0,"Offer register missing/mismatch",IF(N76=0,IF(M76&gt;0,"PDF slip mismatch","No matching PDF"),IF(O76=0,"PDF lacks supporting record","Reconciled")))</f>
        <v>No matching PDF</v>
      </c>
      <c r="T76" s="22" t="str">
        <f aca="false">IF(R76="Y","Compliant",S76&amp;IF(Q76="N","; review after skip",""))</f>
        <v>No matching PDF; review after skip</v>
      </c>
      <c r="U76" s="22" t="str">
        <f aca="false">IF(R76="Y","",IF(AND(O76&gt;0,P76&gt;0,Q76="N"),"Priority 2","Priority 1"))</f>
        <v>Priority 1</v>
      </c>
    </row>
    <row r="77" customFormat="false" ht="15" hidden="false" customHeight="false" outlineLevel="0" collapsed="false">
      <c r="A77" s="22" t="s">
        <v>10672</v>
      </c>
      <c r="B77" s="22" t="s">
        <v>9328</v>
      </c>
      <c r="C77" s="23" t="n">
        <v>45185</v>
      </c>
      <c r="D77" s="22" t="s">
        <v>6422</v>
      </c>
      <c r="E77" s="22" t="str">
        <f aca="false">IFERROR(VLOOKUP(D77,'Applicant Lookup'!$A$2:$F$2911,2,FALSE()),"Not found")</f>
        <v>Janet Medina</v>
      </c>
      <c r="F77" s="22" t="n">
        <v>2844</v>
      </c>
      <c r="G77" s="22" t="s">
        <v>7709</v>
      </c>
      <c r="H77" s="22" t="s">
        <v>215</v>
      </c>
      <c r="I77" s="22" t="s">
        <v>8603</v>
      </c>
      <c r="J77" s="22" t="s">
        <v>10518</v>
      </c>
      <c r="K77" s="22" t="s">
        <v>10504</v>
      </c>
      <c r="L77" s="23" t="n">
        <v>45190</v>
      </c>
      <c r="M77" s="22" t="n">
        <f aca="false">COUNTIFS('Skip PDF Index'!$B$6:$B$11,D77,'Skip PDF Index'!$D$6:$D$11,C77,'Skip PDF Index'!$F$6:$F$11,I77)</f>
        <v>0</v>
      </c>
      <c r="N77" s="22" t="n">
        <f aca="false">COUNTIFS('Skip PDF Index'!$B$6:$B$11,D77,'Skip PDF Index'!$D$6:$D$11,C77,'Skip PDF Index'!$E$6:$E$11,G77,'Skip PDF Index'!$F$6:$F$11,I77)</f>
        <v>0</v>
      </c>
      <c r="O77" s="22" t="n">
        <f aca="false">COUNTIFS('Skip PDF Index'!$B$6:$B$11,D77,'Skip PDF Index'!$D$6:$D$11,C77,'Skip PDF Index'!$E$6:$E$11,G77,'Skip PDF Index'!$F$6:$F$11,I77,'Skip PDF Index'!$H$6:$H$11,"SUPPORTING RECORD")</f>
        <v>0</v>
      </c>
      <c r="P77" s="22" t="n">
        <f aca="false">COUNTIFS('Offer Events'!$A$2:$A$1487,B77,'Offer Events'!$B$2:$B$1487,C77,'Offer Events'!$C$2:$C$1487,D77,'Offer Events'!$E$2:$E$1487,G77,'Offer Events'!$L$2:$L$1487,"SKIPPED",'Offer Events'!$P$2:$P$1487,I77)</f>
        <v>1</v>
      </c>
      <c r="Q77" s="22" t="str">
        <f aca="false">IF(L77&lt;=C77,"Y","N")</f>
        <v>N</v>
      </c>
      <c r="R77" s="22" t="str">
        <f aca="false">IF(AND(O77&gt;0,P77&gt;0,Q77="Y"),"Y","N")</f>
        <v>N</v>
      </c>
      <c r="S77" s="22" t="str">
        <f aca="false">IF(P77=0,"Offer register missing/mismatch",IF(N77=0,IF(M77&gt;0,"PDF slip mismatch","No matching PDF"),IF(O77=0,"PDF lacks supporting record","Reconciled")))</f>
        <v>No matching PDF</v>
      </c>
      <c r="T77" s="22" t="str">
        <f aca="false">IF(R77="Y","Compliant",S77&amp;IF(Q77="N","; review after skip",""))</f>
        <v>No matching PDF; review after skip</v>
      </c>
      <c r="U77" s="22" t="str">
        <f aca="false">IF(R77="Y","",IF(AND(O77&gt;0,P77&gt;0,Q77="N"),"Priority 2","Priority 1"))</f>
        <v>Priority 1</v>
      </c>
    </row>
    <row r="78" customFormat="false" ht="15" hidden="false" customHeight="false" outlineLevel="0" collapsed="false">
      <c r="A78" s="22" t="s">
        <v>10673</v>
      </c>
      <c r="B78" s="22" t="s">
        <v>9332</v>
      </c>
      <c r="C78" s="23" t="n">
        <v>45194</v>
      </c>
      <c r="D78" s="22" t="s">
        <v>1652</v>
      </c>
      <c r="E78" s="22" t="str">
        <f aca="false">IFERROR(VLOOKUP(D78,'Applicant Lookup'!$A$2:$F$2911,2,FALSE()),"Not found")</f>
        <v>Sara Garcia</v>
      </c>
      <c r="F78" s="22" t="n">
        <v>566</v>
      </c>
      <c r="G78" s="22" t="s">
        <v>7013</v>
      </c>
      <c r="H78" s="22" t="s">
        <v>198</v>
      </c>
      <c r="I78" s="22" t="s">
        <v>8603</v>
      </c>
      <c r="J78" s="22" t="s">
        <v>10489</v>
      </c>
      <c r="K78" s="22" t="s">
        <v>10555</v>
      </c>
      <c r="L78" s="23" t="n">
        <v>45198</v>
      </c>
      <c r="M78" s="22" t="n">
        <f aca="false">COUNTIFS('Skip PDF Index'!$B$6:$B$11,D78,'Skip PDF Index'!$D$6:$D$11,C78,'Skip PDF Index'!$F$6:$F$11,I78)</f>
        <v>0</v>
      </c>
      <c r="N78" s="22" t="n">
        <f aca="false">COUNTIFS('Skip PDF Index'!$B$6:$B$11,D78,'Skip PDF Index'!$D$6:$D$11,C78,'Skip PDF Index'!$E$6:$E$11,G78,'Skip PDF Index'!$F$6:$F$11,I78)</f>
        <v>0</v>
      </c>
      <c r="O78" s="22" t="n">
        <f aca="false">COUNTIFS('Skip PDF Index'!$B$6:$B$11,D78,'Skip PDF Index'!$D$6:$D$11,C78,'Skip PDF Index'!$E$6:$E$11,G78,'Skip PDF Index'!$F$6:$F$11,I78,'Skip PDF Index'!$H$6:$H$11,"SUPPORTING RECORD")</f>
        <v>0</v>
      </c>
      <c r="P78" s="22" t="n">
        <f aca="false">COUNTIFS('Offer Events'!$A$2:$A$1487,B78,'Offer Events'!$B$2:$B$1487,C78,'Offer Events'!$C$2:$C$1487,D78,'Offer Events'!$E$2:$E$1487,G78,'Offer Events'!$L$2:$L$1487,"SKIPPED",'Offer Events'!$P$2:$P$1487,I78)</f>
        <v>1</v>
      </c>
      <c r="Q78" s="22" t="str">
        <f aca="false">IF(L78&lt;=C78,"Y","N")</f>
        <v>N</v>
      </c>
      <c r="R78" s="22" t="str">
        <f aca="false">IF(AND(O78&gt;0,P78&gt;0,Q78="Y"),"Y","N")</f>
        <v>N</v>
      </c>
      <c r="S78" s="22" t="str">
        <f aca="false">IF(P78=0,"Offer register missing/mismatch",IF(N78=0,IF(M78&gt;0,"PDF slip mismatch","No matching PDF"),IF(O78=0,"PDF lacks supporting record","Reconciled")))</f>
        <v>No matching PDF</v>
      </c>
      <c r="T78" s="22" t="str">
        <f aca="false">IF(R78="Y","Compliant",S78&amp;IF(Q78="N","; review after skip",""))</f>
        <v>No matching PDF; review after skip</v>
      </c>
      <c r="U78" s="22" t="str">
        <f aca="false">IF(R78="Y","",IF(AND(O78&gt;0,P78&gt;0,Q78="N"),"Priority 2","Priority 1"))</f>
        <v>Priority 1</v>
      </c>
    </row>
    <row r="79" customFormat="false" ht="15" hidden="false" customHeight="false" outlineLevel="0" collapsed="false">
      <c r="A79" s="22" t="s">
        <v>10674</v>
      </c>
      <c r="B79" s="22" t="s">
        <v>9338</v>
      </c>
      <c r="C79" s="23" t="n">
        <v>45182</v>
      </c>
      <c r="D79" s="22" t="s">
        <v>4550</v>
      </c>
      <c r="E79" s="22" t="str">
        <f aca="false">IFERROR(VLOOKUP(D79,'Applicant Lookup'!$A$2:$F$2911,2,FALSE()),"Not found")</f>
        <v>Alan Ortiz</v>
      </c>
      <c r="F79" s="22" t="n">
        <v>1912</v>
      </c>
      <c r="G79" s="22" t="s">
        <v>8585</v>
      </c>
      <c r="H79" s="22" t="s">
        <v>188</v>
      </c>
      <c r="I79" s="22" t="s">
        <v>8603</v>
      </c>
      <c r="J79" s="22" t="s">
        <v>10489</v>
      </c>
      <c r="K79" s="22" t="s">
        <v>10504</v>
      </c>
      <c r="L79" s="23" t="n">
        <v>45184</v>
      </c>
      <c r="M79" s="22" t="n">
        <f aca="false">COUNTIFS('Skip PDF Index'!$B$6:$B$11,D79,'Skip PDF Index'!$D$6:$D$11,C79,'Skip PDF Index'!$F$6:$F$11,I79)</f>
        <v>0</v>
      </c>
      <c r="N79" s="22" t="n">
        <f aca="false">COUNTIFS('Skip PDF Index'!$B$6:$B$11,D79,'Skip PDF Index'!$D$6:$D$11,C79,'Skip PDF Index'!$E$6:$E$11,G79,'Skip PDF Index'!$F$6:$F$11,I79)</f>
        <v>0</v>
      </c>
      <c r="O79" s="22" t="n">
        <f aca="false">COUNTIFS('Skip PDF Index'!$B$6:$B$11,D79,'Skip PDF Index'!$D$6:$D$11,C79,'Skip PDF Index'!$E$6:$E$11,G79,'Skip PDF Index'!$F$6:$F$11,I79,'Skip PDF Index'!$H$6:$H$11,"SUPPORTING RECORD")</f>
        <v>0</v>
      </c>
      <c r="P79" s="22" t="n">
        <f aca="false">COUNTIFS('Offer Events'!$A$2:$A$1487,B79,'Offer Events'!$B$2:$B$1487,C79,'Offer Events'!$C$2:$C$1487,D79,'Offer Events'!$E$2:$E$1487,G79,'Offer Events'!$L$2:$L$1487,"SKIPPED",'Offer Events'!$P$2:$P$1487,I79)</f>
        <v>1</v>
      </c>
      <c r="Q79" s="22" t="str">
        <f aca="false">IF(L79&lt;=C79,"Y","N")</f>
        <v>N</v>
      </c>
      <c r="R79" s="22" t="str">
        <f aca="false">IF(AND(O79&gt;0,P79&gt;0,Q79="Y"),"Y","N")</f>
        <v>N</v>
      </c>
      <c r="S79" s="22" t="str">
        <f aca="false">IF(P79=0,"Offer register missing/mismatch",IF(N79=0,IF(M79&gt;0,"PDF slip mismatch","No matching PDF"),IF(O79=0,"PDF lacks supporting record","Reconciled")))</f>
        <v>No matching PDF</v>
      </c>
      <c r="T79" s="22" t="str">
        <f aca="false">IF(R79="Y","Compliant",S79&amp;IF(Q79="N","; review after skip",""))</f>
        <v>No matching PDF; review after skip</v>
      </c>
      <c r="U79" s="22" t="str">
        <f aca="false">IF(R79="Y","",IF(AND(O79&gt;0,P79&gt;0,Q79="N"),"Priority 2","Priority 1"))</f>
        <v>Priority 1</v>
      </c>
    </row>
    <row r="80" customFormat="false" ht="15" hidden="false" customHeight="false" outlineLevel="0" collapsed="false">
      <c r="A80" s="22" t="s">
        <v>10675</v>
      </c>
      <c r="B80" s="22" t="s">
        <v>9350</v>
      </c>
      <c r="C80" s="23" t="n">
        <v>45190</v>
      </c>
      <c r="D80" s="22" t="s">
        <v>649</v>
      </c>
      <c r="E80" s="22" t="str">
        <f aca="false">IFERROR(VLOOKUP(D80,'Applicant Lookup'!$A$2:$F$2911,2,FALSE()),"Not found")</f>
        <v>Wesley Bradford</v>
      </c>
      <c r="F80" s="22" t="n">
        <v>168</v>
      </c>
      <c r="G80" s="22" t="s">
        <v>6938</v>
      </c>
      <c r="H80" s="22" t="s">
        <v>198</v>
      </c>
      <c r="I80" s="22" t="s">
        <v>8631</v>
      </c>
      <c r="J80" s="22" t="s">
        <v>10489</v>
      </c>
      <c r="K80" s="22" t="s">
        <v>10555</v>
      </c>
      <c r="L80" s="23" t="n">
        <v>45191</v>
      </c>
      <c r="M80" s="22" t="n">
        <f aca="false">COUNTIFS('Skip PDF Index'!$B$6:$B$11,D80,'Skip PDF Index'!$D$6:$D$11,C80,'Skip PDF Index'!$F$6:$F$11,I80)</f>
        <v>0</v>
      </c>
      <c r="N80" s="22" t="n">
        <f aca="false">COUNTIFS('Skip PDF Index'!$B$6:$B$11,D80,'Skip PDF Index'!$D$6:$D$11,C80,'Skip PDF Index'!$E$6:$E$11,G80,'Skip PDF Index'!$F$6:$F$11,I80)</f>
        <v>0</v>
      </c>
      <c r="O80" s="22" t="n">
        <f aca="false">COUNTIFS('Skip PDF Index'!$B$6:$B$11,D80,'Skip PDF Index'!$D$6:$D$11,C80,'Skip PDF Index'!$E$6:$E$11,G80,'Skip PDF Index'!$F$6:$F$11,I80,'Skip PDF Index'!$H$6:$H$11,"SUPPORTING RECORD")</f>
        <v>0</v>
      </c>
      <c r="P80" s="22" t="n">
        <f aca="false">COUNTIFS('Offer Events'!$A$2:$A$1487,B80,'Offer Events'!$B$2:$B$1487,C80,'Offer Events'!$C$2:$C$1487,D80,'Offer Events'!$E$2:$E$1487,G80,'Offer Events'!$L$2:$L$1487,"SKIPPED",'Offer Events'!$P$2:$P$1487,I80)</f>
        <v>1</v>
      </c>
      <c r="Q80" s="22" t="str">
        <f aca="false">IF(L80&lt;=C80,"Y","N")</f>
        <v>N</v>
      </c>
      <c r="R80" s="22" t="str">
        <f aca="false">IF(AND(O80&gt;0,P80&gt;0,Q80="Y"),"Y","N")</f>
        <v>N</v>
      </c>
      <c r="S80" s="22" t="str">
        <f aca="false">IF(P80=0,"Offer register missing/mismatch",IF(N80=0,IF(M80&gt;0,"PDF slip mismatch","No matching PDF"),IF(O80=0,"PDF lacks supporting record","Reconciled")))</f>
        <v>No matching PDF</v>
      </c>
      <c r="T80" s="22" t="str">
        <f aca="false">IF(R80="Y","Compliant",S80&amp;IF(Q80="N","; review after skip",""))</f>
        <v>No matching PDF; review after skip</v>
      </c>
      <c r="U80" s="22" t="str">
        <f aca="false">IF(R80="Y","",IF(AND(O80&gt;0,P80&gt;0,Q80="N"),"Priority 2","Priority 1"))</f>
        <v>Priority 1</v>
      </c>
    </row>
    <row r="81" customFormat="false" ht="15" hidden="false" customHeight="false" outlineLevel="0" collapsed="false">
      <c r="A81" s="22" t="s">
        <v>10676</v>
      </c>
      <c r="B81" s="22" t="s">
        <v>9356</v>
      </c>
      <c r="C81" s="23" t="n">
        <v>45173</v>
      </c>
      <c r="D81" s="22" t="s">
        <v>6140</v>
      </c>
      <c r="E81" s="22" t="str">
        <f aca="false">IFERROR(VLOOKUP(D81,'Applicant Lookup'!$A$2:$F$2911,2,FALSE()),"Not found")</f>
        <v>Jonathan Diaz</v>
      </c>
      <c r="F81" s="22" t="n">
        <v>2700</v>
      </c>
      <c r="G81" s="22" t="s">
        <v>6823</v>
      </c>
      <c r="H81" s="22" t="s">
        <v>198</v>
      </c>
      <c r="I81" s="22" t="s">
        <v>8618</v>
      </c>
      <c r="J81" s="22" t="s">
        <v>10489</v>
      </c>
      <c r="K81" s="22" t="s">
        <v>10555</v>
      </c>
      <c r="L81" s="23" t="n">
        <v>45175</v>
      </c>
      <c r="M81" s="22" t="n">
        <f aca="false">COUNTIFS('Skip PDF Index'!$B$6:$B$11,D81,'Skip PDF Index'!$D$6:$D$11,C81,'Skip PDF Index'!$F$6:$F$11,I81)</f>
        <v>0</v>
      </c>
      <c r="N81" s="22" t="n">
        <f aca="false">COUNTIFS('Skip PDF Index'!$B$6:$B$11,D81,'Skip PDF Index'!$D$6:$D$11,C81,'Skip PDF Index'!$E$6:$E$11,G81,'Skip PDF Index'!$F$6:$F$11,I81)</f>
        <v>0</v>
      </c>
      <c r="O81" s="22" t="n">
        <f aca="false">COUNTIFS('Skip PDF Index'!$B$6:$B$11,D81,'Skip PDF Index'!$D$6:$D$11,C81,'Skip PDF Index'!$E$6:$E$11,G81,'Skip PDF Index'!$F$6:$F$11,I81,'Skip PDF Index'!$H$6:$H$11,"SUPPORTING RECORD")</f>
        <v>0</v>
      </c>
      <c r="P81" s="22" t="n">
        <f aca="false">COUNTIFS('Offer Events'!$A$2:$A$1487,B81,'Offer Events'!$B$2:$B$1487,C81,'Offer Events'!$C$2:$C$1487,D81,'Offer Events'!$E$2:$E$1487,G81,'Offer Events'!$L$2:$L$1487,"SKIPPED",'Offer Events'!$P$2:$P$1487,I81)</f>
        <v>1</v>
      </c>
      <c r="Q81" s="22" t="str">
        <f aca="false">IF(L81&lt;=C81,"Y","N")</f>
        <v>N</v>
      </c>
      <c r="R81" s="22" t="str">
        <f aca="false">IF(AND(O81&gt;0,P81&gt;0,Q81="Y"),"Y","N")</f>
        <v>N</v>
      </c>
      <c r="S81" s="22" t="str">
        <f aca="false">IF(P81=0,"Offer register missing/mismatch",IF(N81=0,IF(M81&gt;0,"PDF slip mismatch","No matching PDF"),IF(O81=0,"PDF lacks supporting record","Reconciled")))</f>
        <v>No matching PDF</v>
      </c>
      <c r="T81" s="22" t="str">
        <f aca="false">IF(R81="Y","Compliant",S81&amp;IF(Q81="N","; review after skip",""))</f>
        <v>No matching PDF; review after skip</v>
      </c>
      <c r="U81" s="22" t="str">
        <f aca="false">IF(R81="Y","",IF(AND(O81&gt;0,P81&gt;0,Q81="N"),"Priority 2","Priority 1"))</f>
        <v>Priority 1</v>
      </c>
    </row>
    <row r="82" customFormat="false" ht="15" hidden="false" customHeight="false" outlineLevel="0" collapsed="false">
      <c r="A82" s="22" t="s">
        <v>10677</v>
      </c>
      <c r="B82" s="22" t="s">
        <v>9358</v>
      </c>
      <c r="C82" s="23" t="n">
        <v>45185</v>
      </c>
      <c r="D82" s="22" t="s">
        <v>2639</v>
      </c>
      <c r="E82" s="22" t="str">
        <f aca="false">IFERROR(VLOOKUP(D82,'Applicant Lookup'!$A$2:$F$2911,2,FALSE()),"Not found")</f>
        <v>Erika Cruz</v>
      </c>
      <c r="F82" s="22" t="n">
        <v>1000</v>
      </c>
      <c r="G82" s="22" t="s">
        <v>7614</v>
      </c>
      <c r="H82" s="22" t="s">
        <v>159</v>
      </c>
      <c r="I82" s="22" t="s">
        <v>8637</v>
      </c>
      <c r="J82" s="22" t="s">
        <v>10489</v>
      </c>
      <c r="K82" s="22" t="s">
        <v>10555</v>
      </c>
      <c r="L82" s="23" t="n">
        <v>45185</v>
      </c>
      <c r="M82" s="22" t="n">
        <f aca="false">COUNTIFS('Skip PDF Index'!$B$6:$B$11,D82,'Skip PDF Index'!$D$6:$D$11,C82,'Skip PDF Index'!$F$6:$F$11,I82)</f>
        <v>0</v>
      </c>
      <c r="N82" s="22" t="n">
        <f aca="false">COUNTIFS('Skip PDF Index'!$B$6:$B$11,D82,'Skip PDF Index'!$D$6:$D$11,C82,'Skip PDF Index'!$E$6:$E$11,G82,'Skip PDF Index'!$F$6:$F$11,I82)</f>
        <v>0</v>
      </c>
      <c r="O82" s="22" t="n">
        <f aca="false">COUNTIFS('Skip PDF Index'!$B$6:$B$11,D82,'Skip PDF Index'!$D$6:$D$11,C82,'Skip PDF Index'!$E$6:$E$11,G82,'Skip PDF Index'!$F$6:$F$11,I82,'Skip PDF Index'!$H$6:$H$11,"SUPPORTING RECORD")</f>
        <v>0</v>
      </c>
      <c r="P82" s="22" t="n">
        <f aca="false">COUNTIFS('Offer Events'!$A$2:$A$1487,B82,'Offer Events'!$B$2:$B$1487,C82,'Offer Events'!$C$2:$C$1487,D82,'Offer Events'!$E$2:$E$1487,G82,'Offer Events'!$L$2:$L$1487,"SKIPPED",'Offer Events'!$P$2:$P$1487,I82)</f>
        <v>1</v>
      </c>
      <c r="Q82" s="22" t="str">
        <f aca="false">IF(L82&lt;=C82,"Y","N")</f>
        <v>Y</v>
      </c>
      <c r="R82" s="22" t="str">
        <f aca="false">IF(AND(O82&gt;0,P82&gt;0,Q82="Y"),"Y","N")</f>
        <v>N</v>
      </c>
      <c r="S82" s="22" t="str">
        <f aca="false">IF(P82=0,"Offer register missing/mismatch",IF(N82=0,IF(M82&gt;0,"PDF slip mismatch","No matching PDF"),IF(O82=0,"PDF lacks supporting record","Reconciled")))</f>
        <v>No matching PDF</v>
      </c>
      <c r="T82" s="22" t="str">
        <f aca="false">IF(R82="Y","Compliant",S82&amp;IF(Q82="N","; review after skip",""))</f>
        <v>No matching PDF</v>
      </c>
      <c r="U82" s="22" t="str">
        <f aca="false">IF(R82="Y","",IF(AND(O82&gt;0,P82&gt;0,Q82="N"),"Priority 2","Priority 1"))</f>
        <v>Priority 1</v>
      </c>
    </row>
    <row r="83" customFormat="false" ht="15" hidden="false" customHeight="false" outlineLevel="0" collapsed="false">
      <c r="A83" s="22" t="s">
        <v>10678</v>
      </c>
      <c r="B83" s="22" t="s">
        <v>9359</v>
      </c>
      <c r="C83" s="23" t="n">
        <v>45186</v>
      </c>
      <c r="D83" s="22" t="s">
        <v>396</v>
      </c>
      <c r="E83" s="22" t="str">
        <f aca="false">IFERROR(VLOOKUP(D83,'Applicant Lookup'!$A$2:$F$2911,2,FALSE()),"Not found")</f>
        <v>Jessica Lopez</v>
      </c>
      <c r="F83" s="22" t="n">
        <v>80</v>
      </c>
      <c r="G83" s="22" t="s">
        <v>7850</v>
      </c>
      <c r="H83" s="22" t="s">
        <v>215</v>
      </c>
      <c r="I83" s="22" t="s">
        <v>8631</v>
      </c>
      <c r="J83" s="22" t="s">
        <v>10489</v>
      </c>
      <c r="K83" s="22" t="s">
        <v>10513</v>
      </c>
      <c r="L83" s="23" t="n">
        <v>45191</v>
      </c>
      <c r="M83" s="22" t="n">
        <f aca="false">COUNTIFS('Skip PDF Index'!$B$6:$B$11,D83,'Skip PDF Index'!$D$6:$D$11,C83,'Skip PDF Index'!$F$6:$F$11,I83)</f>
        <v>0</v>
      </c>
      <c r="N83" s="22" t="n">
        <f aca="false">COUNTIFS('Skip PDF Index'!$B$6:$B$11,D83,'Skip PDF Index'!$D$6:$D$11,C83,'Skip PDF Index'!$E$6:$E$11,G83,'Skip PDF Index'!$F$6:$F$11,I83)</f>
        <v>0</v>
      </c>
      <c r="O83" s="22" t="n">
        <f aca="false">COUNTIFS('Skip PDF Index'!$B$6:$B$11,D83,'Skip PDF Index'!$D$6:$D$11,C83,'Skip PDF Index'!$E$6:$E$11,G83,'Skip PDF Index'!$F$6:$F$11,I83,'Skip PDF Index'!$H$6:$H$11,"SUPPORTING RECORD")</f>
        <v>0</v>
      </c>
      <c r="P83" s="22" t="n">
        <f aca="false">COUNTIFS('Offer Events'!$A$2:$A$1487,B83,'Offer Events'!$B$2:$B$1487,C83,'Offer Events'!$C$2:$C$1487,D83,'Offer Events'!$E$2:$E$1487,G83,'Offer Events'!$L$2:$L$1487,"SKIPPED",'Offer Events'!$P$2:$P$1487,I83)</f>
        <v>1</v>
      </c>
      <c r="Q83" s="22" t="str">
        <f aca="false">IF(L83&lt;=C83,"Y","N")</f>
        <v>N</v>
      </c>
      <c r="R83" s="22" t="str">
        <f aca="false">IF(AND(O83&gt;0,P83&gt;0,Q83="Y"),"Y","N")</f>
        <v>N</v>
      </c>
      <c r="S83" s="22" t="str">
        <f aca="false">IF(P83=0,"Offer register missing/mismatch",IF(N83=0,IF(M83&gt;0,"PDF slip mismatch","No matching PDF"),IF(O83=0,"PDF lacks supporting record","Reconciled")))</f>
        <v>No matching PDF</v>
      </c>
      <c r="T83" s="22" t="str">
        <f aca="false">IF(R83="Y","Compliant",S83&amp;IF(Q83="N","; review after skip",""))</f>
        <v>No matching PDF; review after skip</v>
      </c>
      <c r="U83" s="22" t="str">
        <f aca="false">IF(R83="Y","",IF(AND(O83&gt;0,P83&gt;0,Q83="N"),"Priority 2","Priority 1"))</f>
        <v>Priority 1</v>
      </c>
    </row>
    <row r="84" customFormat="false" ht="15" hidden="false" customHeight="false" outlineLevel="0" collapsed="false">
      <c r="A84" s="22" t="s">
        <v>10679</v>
      </c>
      <c r="B84" s="22" t="s">
        <v>9363</v>
      </c>
      <c r="C84" s="23" t="n">
        <v>45172</v>
      </c>
      <c r="D84" s="22" t="s">
        <v>6169</v>
      </c>
      <c r="E84" s="22" t="str">
        <f aca="false">IFERROR(VLOOKUP(D84,'Applicant Lookup'!$A$2:$F$2911,2,FALSE()),"Not found")</f>
        <v>Aaron Lee</v>
      </c>
      <c r="F84" s="22" t="n">
        <v>2715</v>
      </c>
      <c r="G84" s="22" t="s">
        <v>7547</v>
      </c>
      <c r="H84" s="22" t="s">
        <v>159</v>
      </c>
      <c r="I84" s="22" t="s">
        <v>8603</v>
      </c>
      <c r="J84" s="22" t="s">
        <v>10489</v>
      </c>
      <c r="K84" s="22" t="s">
        <v>10506</v>
      </c>
      <c r="L84" s="23" t="n">
        <v>45174</v>
      </c>
      <c r="M84" s="22" t="n">
        <f aca="false">COUNTIFS('Skip PDF Index'!$B$6:$B$11,D84,'Skip PDF Index'!$D$6:$D$11,C84,'Skip PDF Index'!$F$6:$F$11,I84)</f>
        <v>0</v>
      </c>
      <c r="N84" s="22" t="n">
        <f aca="false">COUNTIFS('Skip PDF Index'!$B$6:$B$11,D84,'Skip PDF Index'!$D$6:$D$11,C84,'Skip PDF Index'!$E$6:$E$11,G84,'Skip PDF Index'!$F$6:$F$11,I84)</f>
        <v>0</v>
      </c>
      <c r="O84" s="22" t="n">
        <f aca="false">COUNTIFS('Skip PDF Index'!$B$6:$B$11,D84,'Skip PDF Index'!$D$6:$D$11,C84,'Skip PDF Index'!$E$6:$E$11,G84,'Skip PDF Index'!$F$6:$F$11,I84,'Skip PDF Index'!$H$6:$H$11,"SUPPORTING RECORD")</f>
        <v>0</v>
      </c>
      <c r="P84" s="22" t="n">
        <f aca="false">COUNTIFS('Offer Events'!$A$2:$A$1487,B84,'Offer Events'!$B$2:$B$1487,C84,'Offer Events'!$C$2:$C$1487,D84,'Offer Events'!$E$2:$E$1487,G84,'Offer Events'!$L$2:$L$1487,"SKIPPED",'Offer Events'!$P$2:$P$1487,I84)</f>
        <v>1</v>
      </c>
      <c r="Q84" s="22" t="str">
        <f aca="false">IF(L84&lt;=C84,"Y","N")</f>
        <v>N</v>
      </c>
      <c r="R84" s="22" t="str">
        <f aca="false">IF(AND(O84&gt;0,P84&gt;0,Q84="Y"),"Y","N")</f>
        <v>N</v>
      </c>
      <c r="S84" s="22" t="str">
        <f aca="false">IF(P84=0,"Offer register missing/mismatch",IF(N84=0,IF(M84&gt;0,"PDF slip mismatch","No matching PDF"),IF(O84=0,"PDF lacks supporting record","Reconciled")))</f>
        <v>No matching PDF</v>
      </c>
      <c r="T84" s="22" t="str">
        <f aca="false">IF(R84="Y","Compliant",S84&amp;IF(Q84="N","; review after skip",""))</f>
        <v>No matching PDF; review after skip</v>
      </c>
      <c r="U84" s="22" t="str">
        <f aca="false">IF(R84="Y","",IF(AND(O84&gt;0,P84&gt;0,Q84="N"),"Priority 2","Priority 1"))</f>
        <v>Priority 1</v>
      </c>
    </row>
    <row r="85" customFormat="false" ht="15" hidden="false" customHeight="false" outlineLevel="0" collapsed="false">
      <c r="A85" s="22" t="s">
        <v>10680</v>
      </c>
      <c r="B85" s="22" t="s">
        <v>9364</v>
      </c>
      <c r="C85" s="23" t="n">
        <v>45180</v>
      </c>
      <c r="D85" s="22" t="s">
        <v>3265</v>
      </c>
      <c r="E85" s="22" t="str">
        <f aca="false">IFERROR(VLOOKUP(D85,'Applicant Lookup'!$A$2:$F$2911,2,FALSE()),"Not found")</f>
        <v>Brian Scott</v>
      </c>
      <c r="F85" s="22" t="n">
        <v>1285</v>
      </c>
      <c r="G85" s="22" t="s">
        <v>7706</v>
      </c>
      <c r="H85" s="22" t="s">
        <v>215</v>
      </c>
      <c r="I85" s="22" t="s">
        <v>8631</v>
      </c>
      <c r="J85" s="22" t="s">
        <v>10518</v>
      </c>
      <c r="K85" s="22" t="s">
        <v>10516</v>
      </c>
      <c r="L85" s="23" t="n">
        <v>45181</v>
      </c>
      <c r="M85" s="22" t="n">
        <f aca="false">COUNTIFS('Skip PDF Index'!$B$6:$B$11,D85,'Skip PDF Index'!$D$6:$D$11,C85,'Skip PDF Index'!$F$6:$F$11,I85)</f>
        <v>0</v>
      </c>
      <c r="N85" s="22" t="n">
        <f aca="false">COUNTIFS('Skip PDF Index'!$B$6:$B$11,D85,'Skip PDF Index'!$D$6:$D$11,C85,'Skip PDF Index'!$E$6:$E$11,G85,'Skip PDF Index'!$F$6:$F$11,I85)</f>
        <v>0</v>
      </c>
      <c r="O85" s="22" t="n">
        <f aca="false">COUNTIFS('Skip PDF Index'!$B$6:$B$11,D85,'Skip PDF Index'!$D$6:$D$11,C85,'Skip PDF Index'!$E$6:$E$11,G85,'Skip PDF Index'!$F$6:$F$11,I85,'Skip PDF Index'!$H$6:$H$11,"SUPPORTING RECORD")</f>
        <v>0</v>
      </c>
      <c r="P85" s="22" t="n">
        <f aca="false">COUNTIFS('Offer Events'!$A$2:$A$1487,B85,'Offer Events'!$B$2:$B$1487,C85,'Offer Events'!$C$2:$C$1487,D85,'Offer Events'!$E$2:$E$1487,G85,'Offer Events'!$L$2:$L$1487,"SKIPPED",'Offer Events'!$P$2:$P$1487,I85)</f>
        <v>1</v>
      </c>
      <c r="Q85" s="22" t="str">
        <f aca="false">IF(L85&lt;=C85,"Y","N")</f>
        <v>N</v>
      </c>
      <c r="R85" s="22" t="str">
        <f aca="false">IF(AND(O85&gt;0,P85&gt;0,Q85="Y"),"Y","N")</f>
        <v>N</v>
      </c>
      <c r="S85" s="22" t="str">
        <f aca="false">IF(P85=0,"Offer register missing/mismatch",IF(N85=0,IF(M85&gt;0,"PDF slip mismatch","No matching PDF"),IF(O85=0,"PDF lacks supporting record","Reconciled")))</f>
        <v>No matching PDF</v>
      </c>
      <c r="T85" s="22" t="str">
        <f aca="false">IF(R85="Y","Compliant",S85&amp;IF(Q85="N","; review after skip",""))</f>
        <v>No matching PDF; review after skip</v>
      </c>
      <c r="U85" s="22" t="str">
        <f aca="false">IF(R85="Y","",IF(AND(O85&gt;0,P85&gt;0,Q85="N"),"Priority 2","Priority 1"))</f>
        <v>Priority 1</v>
      </c>
    </row>
    <row r="86" customFormat="false" ht="15" hidden="false" customHeight="false" outlineLevel="0" collapsed="false">
      <c r="A86" s="22" t="s">
        <v>10681</v>
      </c>
      <c r="B86" s="22" t="s">
        <v>9373</v>
      </c>
      <c r="C86" s="23" t="n">
        <v>45205</v>
      </c>
      <c r="D86" s="22" t="s">
        <v>165</v>
      </c>
      <c r="E86" s="22" t="str">
        <f aca="false">IFERROR(VLOOKUP(D86,'Applicant Lookup'!$A$2:$F$2911,2,FALSE()),"Not found")</f>
        <v>Shannon Phillips</v>
      </c>
      <c r="F86" s="22" t="n">
        <v>3</v>
      </c>
      <c r="G86" s="22" t="s">
        <v>8425</v>
      </c>
      <c r="H86" s="22" t="s">
        <v>188</v>
      </c>
      <c r="I86" s="22" t="s">
        <v>8618</v>
      </c>
      <c r="J86" s="22" t="s">
        <v>10489</v>
      </c>
      <c r="K86" s="22" t="s">
        <v>10496</v>
      </c>
      <c r="L86" s="23" t="n">
        <v>45207</v>
      </c>
      <c r="M86" s="22" t="n">
        <f aca="false">COUNTIFS('Skip PDF Index'!$B$6:$B$11,D86,'Skip PDF Index'!$D$6:$D$11,C86,'Skip PDF Index'!$F$6:$F$11,I86)</f>
        <v>0</v>
      </c>
      <c r="N86" s="22" t="n">
        <f aca="false">COUNTIFS('Skip PDF Index'!$B$6:$B$11,D86,'Skip PDF Index'!$D$6:$D$11,C86,'Skip PDF Index'!$E$6:$E$11,G86,'Skip PDF Index'!$F$6:$F$11,I86)</f>
        <v>0</v>
      </c>
      <c r="O86" s="22" t="n">
        <f aca="false">COUNTIFS('Skip PDF Index'!$B$6:$B$11,D86,'Skip PDF Index'!$D$6:$D$11,C86,'Skip PDF Index'!$E$6:$E$11,G86,'Skip PDF Index'!$F$6:$F$11,I86,'Skip PDF Index'!$H$6:$H$11,"SUPPORTING RECORD")</f>
        <v>0</v>
      </c>
      <c r="P86" s="22" t="n">
        <f aca="false">COUNTIFS('Offer Events'!$A$2:$A$1487,B86,'Offer Events'!$B$2:$B$1487,C86,'Offer Events'!$C$2:$C$1487,D86,'Offer Events'!$E$2:$E$1487,G86,'Offer Events'!$L$2:$L$1487,"SKIPPED",'Offer Events'!$P$2:$P$1487,I86)</f>
        <v>1</v>
      </c>
      <c r="Q86" s="22" t="str">
        <f aca="false">IF(L86&lt;=C86,"Y","N")</f>
        <v>N</v>
      </c>
      <c r="R86" s="22" t="str">
        <f aca="false">IF(AND(O86&gt;0,P86&gt;0,Q86="Y"),"Y","N")</f>
        <v>N</v>
      </c>
      <c r="S86" s="22" t="str">
        <f aca="false">IF(P86=0,"Offer register missing/mismatch",IF(N86=0,IF(M86&gt;0,"PDF slip mismatch","No matching PDF"),IF(O86=0,"PDF lacks supporting record","Reconciled")))</f>
        <v>No matching PDF</v>
      </c>
      <c r="T86" s="22" t="str">
        <f aca="false">IF(R86="Y","Compliant",S86&amp;IF(Q86="N","; review after skip",""))</f>
        <v>No matching PDF; review after skip</v>
      </c>
      <c r="U86" s="22" t="str">
        <f aca="false">IF(R86="Y","",IF(AND(O86&gt;0,P86&gt;0,Q86="N"),"Priority 2","Priority 1"))</f>
        <v>Priority 1</v>
      </c>
    </row>
    <row r="87" customFormat="false" ht="15" hidden="false" customHeight="false" outlineLevel="0" collapsed="false">
      <c r="A87" s="22" t="s">
        <v>10682</v>
      </c>
      <c r="B87" s="22" t="s">
        <v>9398</v>
      </c>
      <c r="C87" s="23" t="n">
        <v>45204</v>
      </c>
      <c r="D87" s="22" t="s">
        <v>1721</v>
      </c>
      <c r="E87" s="22" t="str">
        <f aca="false">IFERROR(VLOOKUP(D87,'Applicant Lookup'!$A$2:$F$2911,2,FALSE()),"Not found")</f>
        <v>Tracey Johnson</v>
      </c>
      <c r="F87" s="22" t="n">
        <v>594</v>
      </c>
      <c r="G87" s="22" t="s">
        <v>8228</v>
      </c>
      <c r="H87" s="22" t="s">
        <v>499</v>
      </c>
      <c r="I87" s="22" t="s">
        <v>8603</v>
      </c>
      <c r="J87" s="22" t="s">
        <v>10489</v>
      </c>
      <c r="K87" s="22" t="s">
        <v>10496</v>
      </c>
      <c r="L87" s="23" t="n">
        <v>45205</v>
      </c>
      <c r="M87" s="22" t="n">
        <f aca="false">COUNTIFS('Skip PDF Index'!$B$6:$B$11,D87,'Skip PDF Index'!$D$6:$D$11,C87,'Skip PDF Index'!$F$6:$F$11,I87)</f>
        <v>0</v>
      </c>
      <c r="N87" s="22" t="n">
        <f aca="false">COUNTIFS('Skip PDF Index'!$B$6:$B$11,D87,'Skip PDF Index'!$D$6:$D$11,C87,'Skip PDF Index'!$E$6:$E$11,G87,'Skip PDF Index'!$F$6:$F$11,I87)</f>
        <v>0</v>
      </c>
      <c r="O87" s="22" t="n">
        <f aca="false">COUNTIFS('Skip PDF Index'!$B$6:$B$11,D87,'Skip PDF Index'!$D$6:$D$11,C87,'Skip PDF Index'!$E$6:$E$11,G87,'Skip PDF Index'!$F$6:$F$11,I87,'Skip PDF Index'!$H$6:$H$11,"SUPPORTING RECORD")</f>
        <v>0</v>
      </c>
      <c r="P87" s="22" t="n">
        <f aca="false">COUNTIFS('Offer Events'!$A$2:$A$1487,B87,'Offer Events'!$B$2:$B$1487,C87,'Offer Events'!$C$2:$C$1487,D87,'Offer Events'!$E$2:$E$1487,G87,'Offer Events'!$L$2:$L$1487,"SKIPPED",'Offer Events'!$P$2:$P$1487,I87)</f>
        <v>1</v>
      </c>
      <c r="Q87" s="22" t="str">
        <f aca="false">IF(L87&lt;=C87,"Y","N")</f>
        <v>N</v>
      </c>
      <c r="R87" s="22" t="str">
        <f aca="false">IF(AND(O87&gt;0,P87&gt;0,Q87="Y"),"Y","N")</f>
        <v>N</v>
      </c>
      <c r="S87" s="22" t="str">
        <f aca="false">IF(P87=0,"Offer register missing/mismatch",IF(N87=0,IF(M87&gt;0,"PDF slip mismatch","No matching PDF"),IF(O87=0,"PDF lacks supporting record","Reconciled")))</f>
        <v>No matching PDF</v>
      </c>
      <c r="T87" s="22" t="str">
        <f aca="false">IF(R87="Y","Compliant",S87&amp;IF(Q87="N","; review after skip",""))</f>
        <v>No matching PDF; review after skip</v>
      </c>
      <c r="U87" s="22" t="str">
        <f aca="false">IF(R87="Y","",IF(AND(O87&gt;0,P87&gt;0,Q87="N"),"Priority 2","Priority 1"))</f>
        <v>Priority 1</v>
      </c>
    </row>
    <row r="88" customFormat="false" ht="15" hidden="false" customHeight="false" outlineLevel="0" collapsed="false">
      <c r="A88" s="22" t="s">
        <v>10683</v>
      </c>
      <c r="B88" s="22" t="s">
        <v>9405</v>
      </c>
      <c r="C88" s="23" t="n">
        <v>45220</v>
      </c>
      <c r="D88" s="22" t="s">
        <v>2456</v>
      </c>
      <c r="E88" s="22" t="str">
        <f aca="false">IFERROR(VLOOKUP(D88,'Applicant Lookup'!$A$2:$F$2911,2,FALSE()),"Not found")</f>
        <v>Brittany Barrett</v>
      </c>
      <c r="F88" s="22" t="n">
        <v>918</v>
      </c>
      <c r="G88" s="22" t="s">
        <v>7332</v>
      </c>
      <c r="H88" s="22" t="s">
        <v>159</v>
      </c>
      <c r="I88" s="22" t="s">
        <v>8637</v>
      </c>
      <c r="J88" s="22" t="s">
        <v>10489</v>
      </c>
      <c r="K88" s="22" t="s">
        <v>10506</v>
      </c>
      <c r="L88" s="23" t="n">
        <v>45222</v>
      </c>
      <c r="M88" s="22" t="n">
        <f aca="false">COUNTIFS('Skip PDF Index'!$B$6:$B$11,D88,'Skip PDF Index'!$D$6:$D$11,C88,'Skip PDF Index'!$F$6:$F$11,I88)</f>
        <v>0</v>
      </c>
      <c r="N88" s="22" t="n">
        <f aca="false">COUNTIFS('Skip PDF Index'!$B$6:$B$11,D88,'Skip PDF Index'!$D$6:$D$11,C88,'Skip PDF Index'!$E$6:$E$11,G88,'Skip PDF Index'!$F$6:$F$11,I88)</f>
        <v>0</v>
      </c>
      <c r="O88" s="22" t="n">
        <f aca="false">COUNTIFS('Skip PDF Index'!$B$6:$B$11,D88,'Skip PDF Index'!$D$6:$D$11,C88,'Skip PDF Index'!$E$6:$E$11,G88,'Skip PDF Index'!$F$6:$F$11,I88,'Skip PDF Index'!$H$6:$H$11,"SUPPORTING RECORD")</f>
        <v>0</v>
      </c>
      <c r="P88" s="22" t="n">
        <f aca="false">COUNTIFS('Offer Events'!$A$2:$A$1487,B88,'Offer Events'!$B$2:$B$1487,C88,'Offer Events'!$C$2:$C$1487,D88,'Offer Events'!$E$2:$E$1487,G88,'Offer Events'!$L$2:$L$1487,"SKIPPED",'Offer Events'!$P$2:$P$1487,I88)</f>
        <v>1</v>
      </c>
      <c r="Q88" s="22" t="str">
        <f aca="false">IF(L88&lt;=C88,"Y","N")</f>
        <v>N</v>
      </c>
      <c r="R88" s="22" t="str">
        <f aca="false">IF(AND(O88&gt;0,P88&gt;0,Q88="Y"),"Y","N")</f>
        <v>N</v>
      </c>
      <c r="S88" s="22" t="str">
        <f aca="false">IF(P88=0,"Offer register missing/mismatch",IF(N88=0,IF(M88&gt;0,"PDF slip mismatch","No matching PDF"),IF(O88=0,"PDF lacks supporting record","Reconciled")))</f>
        <v>No matching PDF</v>
      </c>
      <c r="T88" s="22" t="str">
        <f aca="false">IF(R88="Y","Compliant",S88&amp;IF(Q88="N","; review after skip",""))</f>
        <v>No matching PDF; review after skip</v>
      </c>
      <c r="U88" s="22" t="str">
        <f aca="false">IF(R88="Y","",IF(AND(O88&gt;0,P88&gt;0,Q88="N"),"Priority 2","Priority 1"))</f>
        <v>Priority 1</v>
      </c>
    </row>
    <row r="89" customFormat="false" ht="15" hidden="false" customHeight="false" outlineLevel="0" collapsed="false">
      <c r="A89" s="22" t="s">
        <v>10684</v>
      </c>
      <c r="B89" s="22" t="s">
        <v>9411</v>
      </c>
      <c r="C89" s="23" t="n">
        <v>45223</v>
      </c>
      <c r="D89" s="22" t="s">
        <v>6431</v>
      </c>
      <c r="E89" s="22" t="str">
        <f aca="false">IFERROR(VLOOKUP(D89,'Applicant Lookup'!$A$2:$F$2911,2,FALSE()),"Not found")</f>
        <v>Melissa Ramirez</v>
      </c>
      <c r="F89" s="22" t="n">
        <v>2849</v>
      </c>
      <c r="G89" s="22" t="s">
        <v>8430</v>
      </c>
      <c r="H89" s="22" t="s">
        <v>188</v>
      </c>
      <c r="I89" s="22" t="s">
        <v>8618</v>
      </c>
      <c r="J89" s="22" t="s">
        <v>10489</v>
      </c>
      <c r="K89" s="22" t="s">
        <v>10491</v>
      </c>
      <c r="L89" s="23" t="n">
        <v>45226</v>
      </c>
      <c r="M89" s="22" t="n">
        <f aca="false">COUNTIFS('Skip PDF Index'!$B$6:$B$11,D89,'Skip PDF Index'!$D$6:$D$11,C89,'Skip PDF Index'!$F$6:$F$11,I89)</f>
        <v>0</v>
      </c>
      <c r="N89" s="22" t="n">
        <f aca="false">COUNTIFS('Skip PDF Index'!$B$6:$B$11,D89,'Skip PDF Index'!$D$6:$D$11,C89,'Skip PDF Index'!$E$6:$E$11,G89,'Skip PDF Index'!$F$6:$F$11,I89)</f>
        <v>0</v>
      </c>
      <c r="O89" s="22" t="n">
        <f aca="false">COUNTIFS('Skip PDF Index'!$B$6:$B$11,D89,'Skip PDF Index'!$D$6:$D$11,C89,'Skip PDF Index'!$E$6:$E$11,G89,'Skip PDF Index'!$F$6:$F$11,I89,'Skip PDF Index'!$H$6:$H$11,"SUPPORTING RECORD")</f>
        <v>0</v>
      </c>
      <c r="P89" s="22" t="n">
        <f aca="false">COUNTIFS('Offer Events'!$A$2:$A$1487,B89,'Offer Events'!$B$2:$B$1487,C89,'Offer Events'!$C$2:$C$1487,D89,'Offer Events'!$E$2:$E$1487,G89,'Offer Events'!$L$2:$L$1487,"SKIPPED",'Offer Events'!$P$2:$P$1487,I89)</f>
        <v>1</v>
      </c>
      <c r="Q89" s="22" t="str">
        <f aca="false">IF(L89&lt;=C89,"Y","N")</f>
        <v>N</v>
      </c>
      <c r="R89" s="22" t="str">
        <f aca="false">IF(AND(O89&gt;0,P89&gt;0,Q89="Y"),"Y","N")</f>
        <v>N</v>
      </c>
      <c r="S89" s="22" t="str">
        <f aca="false">IF(P89=0,"Offer register missing/mismatch",IF(N89=0,IF(M89&gt;0,"PDF slip mismatch","No matching PDF"),IF(O89=0,"PDF lacks supporting record","Reconciled")))</f>
        <v>No matching PDF</v>
      </c>
      <c r="T89" s="22" t="str">
        <f aca="false">IF(R89="Y","Compliant",S89&amp;IF(Q89="N","; review after skip",""))</f>
        <v>No matching PDF; review after skip</v>
      </c>
      <c r="U89" s="22" t="str">
        <f aca="false">IF(R89="Y","",IF(AND(O89&gt;0,P89&gt;0,Q89="N"),"Priority 2","Priority 1"))</f>
        <v>Priority 1</v>
      </c>
    </row>
    <row r="90" customFormat="false" ht="15" hidden="false" customHeight="false" outlineLevel="0" collapsed="false">
      <c r="A90" s="22" t="s">
        <v>10685</v>
      </c>
      <c r="B90" s="22" t="s">
        <v>9417</v>
      </c>
      <c r="C90" s="23" t="n">
        <v>45208</v>
      </c>
      <c r="D90" s="22" t="s">
        <v>1983</v>
      </c>
      <c r="E90" s="22" t="str">
        <f aca="false">IFERROR(VLOOKUP(D90,'Applicant Lookup'!$A$2:$F$2911,2,FALSE()),"Not found")</f>
        <v>Justin Horn</v>
      </c>
      <c r="F90" s="22" t="n">
        <v>704</v>
      </c>
      <c r="G90" s="22" t="s">
        <v>7936</v>
      </c>
      <c r="H90" s="22" t="s">
        <v>215</v>
      </c>
      <c r="I90" s="22" t="s">
        <v>8637</v>
      </c>
      <c r="J90" s="22" t="s">
        <v>10489</v>
      </c>
      <c r="K90" s="22" t="s">
        <v>10516</v>
      </c>
      <c r="L90" s="23" t="n">
        <v>45211</v>
      </c>
      <c r="M90" s="22" t="n">
        <f aca="false">COUNTIFS('Skip PDF Index'!$B$6:$B$11,D90,'Skip PDF Index'!$D$6:$D$11,C90,'Skip PDF Index'!$F$6:$F$11,I90)</f>
        <v>0</v>
      </c>
      <c r="N90" s="22" t="n">
        <f aca="false">COUNTIFS('Skip PDF Index'!$B$6:$B$11,D90,'Skip PDF Index'!$D$6:$D$11,C90,'Skip PDF Index'!$E$6:$E$11,G90,'Skip PDF Index'!$F$6:$F$11,I90)</f>
        <v>0</v>
      </c>
      <c r="O90" s="22" t="n">
        <f aca="false">COUNTIFS('Skip PDF Index'!$B$6:$B$11,D90,'Skip PDF Index'!$D$6:$D$11,C90,'Skip PDF Index'!$E$6:$E$11,G90,'Skip PDF Index'!$F$6:$F$11,I90,'Skip PDF Index'!$H$6:$H$11,"SUPPORTING RECORD")</f>
        <v>0</v>
      </c>
      <c r="P90" s="22" t="n">
        <f aca="false">COUNTIFS('Offer Events'!$A$2:$A$1487,B90,'Offer Events'!$B$2:$B$1487,C90,'Offer Events'!$C$2:$C$1487,D90,'Offer Events'!$E$2:$E$1487,G90,'Offer Events'!$L$2:$L$1487,"SKIPPED",'Offer Events'!$P$2:$P$1487,I90)</f>
        <v>1</v>
      </c>
      <c r="Q90" s="22" t="str">
        <f aca="false">IF(L90&lt;=C90,"Y","N")</f>
        <v>N</v>
      </c>
      <c r="R90" s="22" t="str">
        <f aca="false">IF(AND(O90&gt;0,P90&gt;0,Q90="Y"),"Y","N")</f>
        <v>N</v>
      </c>
      <c r="S90" s="22" t="str">
        <f aca="false">IF(P90=0,"Offer register missing/mismatch",IF(N90=0,IF(M90&gt;0,"PDF slip mismatch","No matching PDF"),IF(O90=0,"PDF lacks supporting record","Reconciled")))</f>
        <v>No matching PDF</v>
      </c>
      <c r="T90" s="22" t="str">
        <f aca="false">IF(R90="Y","Compliant",S90&amp;IF(Q90="N","; review after skip",""))</f>
        <v>No matching PDF; review after skip</v>
      </c>
      <c r="U90" s="22" t="str">
        <f aca="false">IF(R90="Y","",IF(AND(O90&gt;0,P90&gt;0,Q90="N"),"Priority 2","Priority 1"))</f>
        <v>Priority 1</v>
      </c>
    </row>
    <row r="91" customFormat="false" ht="15" hidden="false" customHeight="false" outlineLevel="0" collapsed="false">
      <c r="A91" s="22" t="s">
        <v>10686</v>
      </c>
      <c r="B91" s="22" t="s">
        <v>9424</v>
      </c>
      <c r="C91" s="23" t="n">
        <v>45252</v>
      </c>
      <c r="D91" s="22" t="s">
        <v>6132</v>
      </c>
      <c r="E91" s="22" t="str">
        <f aca="false">IFERROR(VLOOKUP(D91,'Applicant Lookup'!$A$2:$F$2911,2,FALSE()),"Not found")</f>
        <v>Natalie Duncan</v>
      </c>
      <c r="F91" s="22" t="n">
        <v>2696</v>
      </c>
      <c r="G91" s="22" t="s">
        <v>6618</v>
      </c>
      <c r="H91" s="22" t="s">
        <v>198</v>
      </c>
      <c r="I91" s="22" t="s">
        <v>8603</v>
      </c>
      <c r="J91" s="22" t="s">
        <v>10489</v>
      </c>
      <c r="K91" s="22" t="s">
        <v>10496</v>
      </c>
      <c r="L91" s="23" t="n">
        <v>45256</v>
      </c>
      <c r="M91" s="22" t="n">
        <f aca="false">COUNTIFS('Skip PDF Index'!$B$6:$B$11,D91,'Skip PDF Index'!$D$6:$D$11,C91,'Skip PDF Index'!$F$6:$F$11,I91)</f>
        <v>0</v>
      </c>
      <c r="N91" s="22" t="n">
        <f aca="false">COUNTIFS('Skip PDF Index'!$B$6:$B$11,D91,'Skip PDF Index'!$D$6:$D$11,C91,'Skip PDF Index'!$E$6:$E$11,G91,'Skip PDF Index'!$F$6:$F$11,I91)</f>
        <v>0</v>
      </c>
      <c r="O91" s="22" t="n">
        <f aca="false">COUNTIFS('Skip PDF Index'!$B$6:$B$11,D91,'Skip PDF Index'!$D$6:$D$11,C91,'Skip PDF Index'!$E$6:$E$11,G91,'Skip PDF Index'!$F$6:$F$11,I91,'Skip PDF Index'!$H$6:$H$11,"SUPPORTING RECORD")</f>
        <v>0</v>
      </c>
      <c r="P91" s="22" t="n">
        <f aca="false">COUNTIFS('Offer Events'!$A$2:$A$1487,B91,'Offer Events'!$B$2:$B$1487,C91,'Offer Events'!$C$2:$C$1487,D91,'Offer Events'!$E$2:$E$1487,G91,'Offer Events'!$L$2:$L$1487,"SKIPPED",'Offer Events'!$P$2:$P$1487,I91)</f>
        <v>1</v>
      </c>
      <c r="Q91" s="22" t="str">
        <f aca="false">IF(L91&lt;=C91,"Y","N")</f>
        <v>N</v>
      </c>
      <c r="R91" s="22" t="str">
        <f aca="false">IF(AND(O91&gt;0,P91&gt;0,Q91="Y"),"Y","N")</f>
        <v>N</v>
      </c>
      <c r="S91" s="22" t="str">
        <f aca="false">IF(P91=0,"Offer register missing/mismatch",IF(N91=0,IF(M91&gt;0,"PDF slip mismatch","No matching PDF"),IF(O91=0,"PDF lacks supporting record","Reconciled")))</f>
        <v>No matching PDF</v>
      </c>
      <c r="T91" s="22" t="str">
        <f aca="false">IF(R91="Y","Compliant",S91&amp;IF(Q91="N","; review after skip",""))</f>
        <v>No matching PDF; review after skip</v>
      </c>
      <c r="U91" s="22" t="str">
        <f aca="false">IF(R91="Y","",IF(AND(O91&gt;0,P91&gt;0,Q91="N"),"Priority 2","Priority 1"))</f>
        <v>Priority 1</v>
      </c>
    </row>
    <row r="92" customFormat="false" ht="15" hidden="false" customHeight="false" outlineLevel="0" collapsed="false">
      <c r="A92" s="22" t="s">
        <v>10687</v>
      </c>
      <c r="B92" s="22" t="s">
        <v>9439</v>
      </c>
      <c r="C92" s="23" t="n">
        <v>45277</v>
      </c>
      <c r="D92" s="22" t="s">
        <v>209</v>
      </c>
      <c r="E92" s="22" t="str">
        <f aca="false">IFERROR(VLOOKUP(D92,'Applicant Lookup'!$A$2:$F$2911,2,FALSE()),"Not found")</f>
        <v>Jared Mosley</v>
      </c>
      <c r="F92" s="22" t="n">
        <v>16</v>
      </c>
      <c r="G92" s="22" t="s">
        <v>6834</v>
      </c>
      <c r="H92" s="22" t="s">
        <v>198</v>
      </c>
      <c r="I92" s="22" t="s">
        <v>8603</v>
      </c>
      <c r="J92" s="22" t="s">
        <v>10489</v>
      </c>
      <c r="K92" s="22" t="s">
        <v>10504</v>
      </c>
      <c r="L92" s="23" t="n">
        <v>45280</v>
      </c>
      <c r="M92" s="22" t="n">
        <f aca="false">COUNTIFS('Skip PDF Index'!$B$6:$B$11,D92,'Skip PDF Index'!$D$6:$D$11,C92,'Skip PDF Index'!$F$6:$F$11,I92)</f>
        <v>0</v>
      </c>
      <c r="N92" s="22" t="n">
        <f aca="false">COUNTIFS('Skip PDF Index'!$B$6:$B$11,D92,'Skip PDF Index'!$D$6:$D$11,C92,'Skip PDF Index'!$E$6:$E$11,G92,'Skip PDF Index'!$F$6:$F$11,I92)</f>
        <v>0</v>
      </c>
      <c r="O92" s="22" t="n">
        <f aca="false">COUNTIFS('Skip PDF Index'!$B$6:$B$11,D92,'Skip PDF Index'!$D$6:$D$11,C92,'Skip PDF Index'!$E$6:$E$11,G92,'Skip PDF Index'!$F$6:$F$11,I92,'Skip PDF Index'!$H$6:$H$11,"SUPPORTING RECORD")</f>
        <v>0</v>
      </c>
      <c r="P92" s="22" t="n">
        <f aca="false">COUNTIFS('Offer Events'!$A$2:$A$1487,B92,'Offer Events'!$B$2:$B$1487,C92,'Offer Events'!$C$2:$C$1487,D92,'Offer Events'!$E$2:$E$1487,G92,'Offer Events'!$L$2:$L$1487,"SKIPPED",'Offer Events'!$P$2:$P$1487,I92)</f>
        <v>1</v>
      </c>
      <c r="Q92" s="22" t="str">
        <f aca="false">IF(L92&lt;=C92,"Y","N")</f>
        <v>N</v>
      </c>
      <c r="R92" s="22" t="str">
        <f aca="false">IF(AND(O92&gt;0,P92&gt;0,Q92="Y"),"Y","N")</f>
        <v>N</v>
      </c>
      <c r="S92" s="22" t="str">
        <f aca="false">IF(P92=0,"Offer register missing/mismatch",IF(N92=0,IF(M92&gt;0,"PDF slip mismatch","No matching PDF"),IF(O92=0,"PDF lacks supporting record","Reconciled")))</f>
        <v>No matching PDF</v>
      </c>
      <c r="T92" s="22" t="str">
        <f aca="false">IF(R92="Y","Compliant",S92&amp;IF(Q92="N","; review after skip",""))</f>
        <v>No matching PDF; review after skip</v>
      </c>
      <c r="U92" s="22" t="str">
        <f aca="false">IF(R92="Y","",IF(AND(O92&gt;0,P92&gt;0,Q92="N"),"Priority 2","Priority 1"))</f>
        <v>Priority 1</v>
      </c>
    </row>
    <row r="93" customFormat="false" ht="15" hidden="false" customHeight="false" outlineLevel="0" collapsed="false">
      <c r="A93" s="22" t="s">
        <v>10688</v>
      </c>
      <c r="B93" s="22" t="s">
        <v>9441</v>
      </c>
      <c r="C93" s="23" t="n">
        <v>45281</v>
      </c>
      <c r="D93" s="22" t="s">
        <v>699</v>
      </c>
      <c r="E93" s="22" t="str">
        <f aca="false">IFERROR(VLOOKUP(D93,'Applicant Lookup'!$A$2:$F$2911,2,FALSE()),"Not found")</f>
        <v>Amy Hartman</v>
      </c>
      <c r="F93" s="22" t="n">
        <v>186</v>
      </c>
      <c r="G93" s="22" t="s">
        <v>8495</v>
      </c>
      <c r="H93" s="22" t="s">
        <v>188</v>
      </c>
      <c r="I93" s="22" t="s">
        <v>8618</v>
      </c>
      <c r="J93" s="22" t="s">
        <v>10489</v>
      </c>
      <c r="K93" s="22" t="s">
        <v>10506</v>
      </c>
      <c r="L93" s="23" t="n">
        <v>45281</v>
      </c>
      <c r="M93" s="22" t="n">
        <f aca="false">COUNTIFS('Skip PDF Index'!$B$6:$B$11,D93,'Skip PDF Index'!$D$6:$D$11,C93,'Skip PDF Index'!$F$6:$F$11,I93)</f>
        <v>0</v>
      </c>
      <c r="N93" s="22" t="n">
        <f aca="false">COUNTIFS('Skip PDF Index'!$B$6:$B$11,D93,'Skip PDF Index'!$D$6:$D$11,C93,'Skip PDF Index'!$E$6:$E$11,G93,'Skip PDF Index'!$F$6:$F$11,I93)</f>
        <v>0</v>
      </c>
      <c r="O93" s="22" t="n">
        <f aca="false">COUNTIFS('Skip PDF Index'!$B$6:$B$11,D93,'Skip PDF Index'!$D$6:$D$11,C93,'Skip PDF Index'!$E$6:$E$11,G93,'Skip PDF Index'!$F$6:$F$11,I93,'Skip PDF Index'!$H$6:$H$11,"SUPPORTING RECORD")</f>
        <v>0</v>
      </c>
      <c r="P93" s="22" t="n">
        <f aca="false">COUNTIFS('Offer Events'!$A$2:$A$1487,B93,'Offer Events'!$B$2:$B$1487,C93,'Offer Events'!$C$2:$C$1487,D93,'Offer Events'!$E$2:$E$1487,G93,'Offer Events'!$L$2:$L$1487,"SKIPPED",'Offer Events'!$P$2:$P$1487,I93)</f>
        <v>1</v>
      </c>
      <c r="Q93" s="22" t="str">
        <f aca="false">IF(L93&lt;=C93,"Y","N")</f>
        <v>Y</v>
      </c>
      <c r="R93" s="22" t="str">
        <f aca="false">IF(AND(O93&gt;0,P93&gt;0,Q93="Y"),"Y","N")</f>
        <v>N</v>
      </c>
      <c r="S93" s="22" t="str">
        <f aca="false">IF(P93=0,"Offer register missing/mismatch",IF(N93=0,IF(M93&gt;0,"PDF slip mismatch","No matching PDF"),IF(O93=0,"PDF lacks supporting record","Reconciled")))</f>
        <v>No matching PDF</v>
      </c>
      <c r="T93" s="22" t="str">
        <f aca="false">IF(R93="Y","Compliant",S93&amp;IF(Q93="N","; review after skip",""))</f>
        <v>No matching PDF</v>
      </c>
      <c r="U93" s="22" t="str">
        <f aca="false">IF(R93="Y","",IF(AND(O93&gt;0,P93&gt;0,Q93="N"),"Priority 2","Priority 1"))</f>
        <v>Priority 1</v>
      </c>
    </row>
    <row r="94" customFormat="false" ht="15" hidden="false" customHeight="false" outlineLevel="0" collapsed="false">
      <c r="A94" s="22" t="s">
        <v>10689</v>
      </c>
      <c r="B94" s="22" t="s">
        <v>9444</v>
      </c>
      <c r="C94" s="23" t="n">
        <v>45286</v>
      </c>
      <c r="D94" s="22" t="s">
        <v>1557</v>
      </c>
      <c r="E94" s="22" t="str">
        <f aca="false">IFERROR(VLOOKUP(D94,'Applicant Lookup'!$A$2:$F$2911,2,FALSE()),"Not found")</f>
        <v>William Wright</v>
      </c>
      <c r="F94" s="22" t="n">
        <v>524</v>
      </c>
      <c r="G94" s="22" t="s">
        <v>7585</v>
      </c>
      <c r="H94" s="22" t="s">
        <v>159</v>
      </c>
      <c r="I94" s="22" t="s">
        <v>8618</v>
      </c>
      <c r="J94" s="22" t="s">
        <v>10489</v>
      </c>
      <c r="K94" s="22" t="s">
        <v>10496</v>
      </c>
      <c r="L94" s="23" t="n">
        <v>45291</v>
      </c>
      <c r="M94" s="22" t="n">
        <f aca="false">COUNTIFS('Skip PDF Index'!$B$6:$B$11,D94,'Skip PDF Index'!$D$6:$D$11,C94,'Skip PDF Index'!$F$6:$F$11,I94)</f>
        <v>0</v>
      </c>
      <c r="N94" s="22" t="n">
        <f aca="false">COUNTIFS('Skip PDF Index'!$B$6:$B$11,D94,'Skip PDF Index'!$D$6:$D$11,C94,'Skip PDF Index'!$E$6:$E$11,G94,'Skip PDF Index'!$F$6:$F$11,I94)</f>
        <v>0</v>
      </c>
      <c r="O94" s="22" t="n">
        <f aca="false">COUNTIFS('Skip PDF Index'!$B$6:$B$11,D94,'Skip PDF Index'!$D$6:$D$11,C94,'Skip PDF Index'!$E$6:$E$11,G94,'Skip PDF Index'!$F$6:$F$11,I94,'Skip PDF Index'!$H$6:$H$11,"SUPPORTING RECORD")</f>
        <v>0</v>
      </c>
      <c r="P94" s="22" t="n">
        <f aca="false">COUNTIFS('Offer Events'!$A$2:$A$1487,B94,'Offer Events'!$B$2:$B$1487,C94,'Offer Events'!$C$2:$C$1487,D94,'Offer Events'!$E$2:$E$1487,G94,'Offer Events'!$L$2:$L$1487,"SKIPPED",'Offer Events'!$P$2:$P$1487,I94)</f>
        <v>1</v>
      </c>
      <c r="Q94" s="22" t="str">
        <f aca="false">IF(L94&lt;=C94,"Y","N")</f>
        <v>N</v>
      </c>
      <c r="R94" s="22" t="str">
        <f aca="false">IF(AND(O94&gt;0,P94&gt;0,Q94="Y"),"Y","N")</f>
        <v>N</v>
      </c>
      <c r="S94" s="22" t="str">
        <f aca="false">IF(P94=0,"Offer register missing/mismatch",IF(N94=0,IF(M94&gt;0,"PDF slip mismatch","No matching PDF"),IF(O94=0,"PDF lacks supporting record","Reconciled")))</f>
        <v>No matching PDF</v>
      </c>
      <c r="T94" s="22" t="str">
        <f aca="false">IF(R94="Y","Compliant",S94&amp;IF(Q94="N","; review after skip",""))</f>
        <v>No matching PDF; review after skip</v>
      </c>
      <c r="U94" s="22" t="str">
        <f aca="false">IF(R94="Y","",IF(AND(O94&gt;0,P94&gt;0,Q94="N"),"Priority 2","Priority 1"))</f>
        <v>Priority 1</v>
      </c>
    </row>
    <row r="95" customFormat="false" ht="15" hidden="false" customHeight="false" outlineLevel="0" collapsed="false">
      <c r="A95" s="22" t="s">
        <v>10690</v>
      </c>
      <c r="B95" s="22" t="s">
        <v>9449</v>
      </c>
      <c r="C95" s="23" t="n">
        <v>45286</v>
      </c>
      <c r="D95" s="22" t="s">
        <v>4955</v>
      </c>
      <c r="E95" s="22" t="str">
        <f aca="false">IFERROR(VLOOKUP(D95,'Applicant Lookup'!$A$2:$F$2911,2,FALSE()),"Not found")</f>
        <v>Kevin Gilbert</v>
      </c>
      <c r="F95" s="22" t="n">
        <v>2111</v>
      </c>
      <c r="G95" s="22" t="s">
        <v>7397</v>
      </c>
      <c r="H95" s="22" t="s">
        <v>159</v>
      </c>
      <c r="I95" s="22" t="s">
        <v>8618</v>
      </c>
      <c r="J95" s="22" t="s">
        <v>10489</v>
      </c>
      <c r="K95" s="22" t="s">
        <v>10513</v>
      </c>
      <c r="L95" s="23" t="n">
        <v>45289</v>
      </c>
      <c r="M95" s="22" t="n">
        <f aca="false">COUNTIFS('Skip PDF Index'!$B$6:$B$11,D95,'Skip PDF Index'!$D$6:$D$11,C95,'Skip PDF Index'!$F$6:$F$11,I95)</f>
        <v>0</v>
      </c>
      <c r="N95" s="22" t="n">
        <f aca="false">COUNTIFS('Skip PDF Index'!$B$6:$B$11,D95,'Skip PDF Index'!$D$6:$D$11,C95,'Skip PDF Index'!$E$6:$E$11,G95,'Skip PDF Index'!$F$6:$F$11,I95)</f>
        <v>0</v>
      </c>
      <c r="O95" s="22" t="n">
        <f aca="false">COUNTIFS('Skip PDF Index'!$B$6:$B$11,D95,'Skip PDF Index'!$D$6:$D$11,C95,'Skip PDF Index'!$E$6:$E$11,G95,'Skip PDF Index'!$F$6:$F$11,I95,'Skip PDF Index'!$H$6:$H$11,"SUPPORTING RECORD")</f>
        <v>0</v>
      </c>
      <c r="P95" s="22" t="n">
        <f aca="false">COUNTIFS('Offer Events'!$A$2:$A$1487,B95,'Offer Events'!$B$2:$B$1487,C95,'Offer Events'!$C$2:$C$1487,D95,'Offer Events'!$E$2:$E$1487,G95,'Offer Events'!$L$2:$L$1487,"SKIPPED",'Offer Events'!$P$2:$P$1487,I95)</f>
        <v>1</v>
      </c>
      <c r="Q95" s="22" t="str">
        <f aca="false">IF(L95&lt;=C95,"Y","N")</f>
        <v>N</v>
      </c>
      <c r="R95" s="22" t="str">
        <f aca="false">IF(AND(O95&gt;0,P95&gt;0,Q95="Y"),"Y","N")</f>
        <v>N</v>
      </c>
      <c r="S95" s="22" t="str">
        <f aca="false">IF(P95=0,"Offer register missing/mismatch",IF(N95=0,IF(M95&gt;0,"PDF slip mismatch","No matching PDF"),IF(O95=0,"PDF lacks supporting record","Reconciled")))</f>
        <v>No matching PDF</v>
      </c>
      <c r="T95" s="22" t="str">
        <f aca="false">IF(R95="Y","Compliant",S95&amp;IF(Q95="N","; review after skip",""))</f>
        <v>No matching PDF; review after skip</v>
      </c>
      <c r="U95" s="22" t="str">
        <f aca="false">IF(R95="Y","",IF(AND(O95&gt;0,P95&gt;0,Q95="N"),"Priority 2","Priority 1"))</f>
        <v>Priority 1</v>
      </c>
    </row>
    <row r="96" customFormat="false" ht="15" hidden="false" customHeight="false" outlineLevel="0" collapsed="false">
      <c r="A96" s="22" t="s">
        <v>10691</v>
      </c>
      <c r="B96" s="22" t="s">
        <v>9451</v>
      </c>
      <c r="C96" s="23" t="n">
        <v>45284</v>
      </c>
      <c r="D96" s="22" t="s">
        <v>4170</v>
      </c>
      <c r="E96" s="22" t="str">
        <f aca="false">IFERROR(VLOOKUP(D96,'Applicant Lookup'!$A$2:$F$2911,2,FALSE()),"Not found")</f>
        <v>Michelle Herman</v>
      </c>
      <c r="F96" s="22" t="n">
        <v>1726</v>
      </c>
      <c r="G96" s="22" t="s">
        <v>7988</v>
      </c>
      <c r="H96" s="22" t="s">
        <v>215</v>
      </c>
      <c r="I96" s="22" t="s">
        <v>8603</v>
      </c>
      <c r="J96" s="22" t="s">
        <v>10489</v>
      </c>
      <c r="K96" s="22" t="s">
        <v>10496</v>
      </c>
      <c r="L96" s="23" t="n">
        <v>45289</v>
      </c>
      <c r="M96" s="22" t="n">
        <f aca="false">COUNTIFS('Skip PDF Index'!$B$6:$B$11,D96,'Skip PDF Index'!$D$6:$D$11,C96,'Skip PDF Index'!$F$6:$F$11,I96)</f>
        <v>0</v>
      </c>
      <c r="N96" s="22" t="n">
        <f aca="false">COUNTIFS('Skip PDF Index'!$B$6:$B$11,D96,'Skip PDF Index'!$D$6:$D$11,C96,'Skip PDF Index'!$E$6:$E$11,G96,'Skip PDF Index'!$F$6:$F$11,I96)</f>
        <v>0</v>
      </c>
      <c r="O96" s="22" t="n">
        <f aca="false">COUNTIFS('Skip PDF Index'!$B$6:$B$11,D96,'Skip PDF Index'!$D$6:$D$11,C96,'Skip PDF Index'!$E$6:$E$11,G96,'Skip PDF Index'!$F$6:$F$11,I96,'Skip PDF Index'!$H$6:$H$11,"SUPPORTING RECORD")</f>
        <v>0</v>
      </c>
      <c r="P96" s="22" t="n">
        <f aca="false">COUNTIFS('Offer Events'!$A$2:$A$1487,B96,'Offer Events'!$B$2:$B$1487,C96,'Offer Events'!$C$2:$C$1487,D96,'Offer Events'!$E$2:$E$1487,G96,'Offer Events'!$L$2:$L$1487,"SKIPPED",'Offer Events'!$P$2:$P$1487,I96)</f>
        <v>1</v>
      </c>
      <c r="Q96" s="22" t="str">
        <f aca="false">IF(L96&lt;=C96,"Y","N")</f>
        <v>N</v>
      </c>
      <c r="R96" s="22" t="str">
        <f aca="false">IF(AND(O96&gt;0,P96&gt;0,Q96="Y"),"Y","N")</f>
        <v>N</v>
      </c>
      <c r="S96" s="22" t="str">
        <f aca="false">IF(P96=0,"Offer register missing/mismatch",IF(N96=0,IF(M96&gt;0,"PDF slip mismatch","No matching PDF"),IF(O96=0,"PDF lacks supporting record","Reconciled")))</f>
        <v>No matching PDF</v>
      </c>
      <c r="T96" s="22" t="str">
        <f aca="false">IF(R96="Y","Compliant",S96&amp;IF(Q96="N","; review after skip",""))</f>
        <v>No matching PDF; review after skip</v>
      </c>
      <c r="U96" s="22" t="str">
        <f aca="false">IF(R96="Y","",IF(AND(O96&gt;0,P96&gt;0,Q96="N"),"Priority 2","Priority 1"))</f>
        <v>Priority 1</v>
      </c>
    </row>
    <row r="97" customFormat="false" ht="15" hidden="false" customHeight="false" outlineLevel="0" collapsed="false">
      <c r="A97" s="22" t="s">
        <v>10692</v>
      </c>
      <c r="B97" s="22" t="s">
        <v>9454</v>
      </c>
      <c r="C97" s="23" t="n">
        <v>45263</v>
      </c>
      <c r="D97" s="22" t="s">
        <v>2469</v>
      </c>
      <c r="E97" s="22" t="str">
        <f aca="false">IFERROR(VLOOKUP(D97,'Applicant Lookup'!$A$2:$F$2911,2,FALSE()),"Not found")</f>
        <v>Angela Alexander</v>
      </c>
      <c r="F97" s="22" t="n">
        <v>924</v>
      </c>
      <c r="G97" s="22" t="s">
        <v>8002</v>
      </c>
      <c r="H97" s="22" t="s">
        <v>215</v>
      </c>
      <c r="I97" s="22" t="s">
        <v>8631</v>
      </c>
      <c r="J97" s="22" t="s">
        <v>10489</v>
      </c>
      <c r="K97" s="22" t="s">
        <v>10513</v>
      </c>
      <c r="L97" s="23" t="n">
        <v>45268</v>
      </c>
      <c r="M97" s="22" t="n">
        <f aca="false">COUNTIFS('Skip PDF Index'!$B$6:$B$11,D97,'Skip PDF Index'!$D$6:$D$11,C97,'Skip PDF Index'!$F$6:$F$11,I97)</f>
        <v>0</v>
      </c>
      <c r="N97" s="22" t="n">
        <f aca="false">COUNTIFS('Skip PDF Index'!$B$6:$B$11,D97,'Skip PDF Index'!$D$6:$D$11,C97,'Skip PDF Index'!$E$6:$E$11,G97,'Skip PDF Index'!$F$6:$F$11,I97)</f>
        <v>0</v>
      </c>
      <c r="O97" s="22" t="n">
        <f aca="false">COUNTIFS('Skip PDF Index'!$B$6:$B$11,D97,'Skip PDF Index'!$D$6:$D$11,C97,'Skip PDF Index'!$E$6:$E$11,G97,'Skip PDF Index'!$F$6:$F$11,I97,'Skip PDF Index'!$H$6:$H$11,"SUPPORTING RECORD")</f>
        <v>0</v>
      </c>
      <c r="P97" s="22" t="n">
        <f aca="false">COUNTIFS('Offer Events'!$A$2:$A$1487,B97,'Offer Events'!$B$2:$B$1487,C97,'Offer Events'!$C$2:$C$1487,D97,'Offer Events'!$E$2:$E$1487,G97,'Offer Events'!$L$2:$L$1487,"SKIPPED",'Offer Events'!$P$2:$P$1487,I97)</f>
        <v>1</v>
      </c>
      <c r="Q97" s="22" t="str">
        <f aca="false">IF(L97&lt;=C97,"Y","N")</f>
        <v>N</v>
      </c>
      <c r="R97" s="22" t="str">
        <f aca="false">IF(AND(O97&gt;0,P97&gt;0,Q97="Y"),"Y","N")</f>
        <v>N</v>
      </c>
      <c r="S97" s="22" t="str">
        <f aca="false">IF(P97=0,"Offer register missing/mismatch",IF(N97=0,IF(M97&gt;0,"PDF slip mismatch","No matching PDF"),IF(O97=0,"PDF lacks supporting record","Reconciled")))</f>
        <v>No matching PDF</v>
      </c>
      <c r="T97" s="22" t="str">
        <f aca="false">IF(R97="Y","Compliant",S97&amp;IF(Q97="N","; review after skip",""))</f>
        <v>No matching PDF; review after skip</v>
      </c>
      <c r="U97" s="22" t="str">
        <f aca="false">IF(R97="Y","",IF(AND(O97&gt;0,P97&gt;0,Q97="N"),"Priority 2","Priority 1"))</f>
        <v>Priority 1</v>
      </c>
    </row>
    <row r="98" customFormat="false" ht="15" hidden="false" customHeight="false" outlineLevel="0" collapsed="false">
      <c r="A98" s="22" t="s">
        <v>10693</v>
      </c>
      <c r="B98" s="22" t="s">
        <v>9459</v>
      </c>
      <c r="C98" s="23" t="n">
        <v>45305</v>
      </c>
      <c r="D98" s="22" t="s">
        <v>4239</v>
      </c>
      <c r="E98" s="22" t="str">
        <f aca="false">IFERROR(VLOOKUP(D98,'Applicant Lookup'!$A$2:$F$2911,2,FALSE()),"Not found")</f>
        <v>Michael Rose</v>
      </c>
      <c r="F98" s="22" t="n">
        <v>1759</v>
      </c>
      <c r="G98" s="22" t="s">
        <v>7912</v>
      </c>
      <c r="H98" s="22" t="s">
        <v>215</v>
      </c>
      <c r="I98" s="22" t="s">
        <v>8603</v>
      </c>
      <c r="J98" s="22" t="s">
        <v>10489</v>
      </c>
      <c r="K98" s="22" t="s">
        <v>10511</v>
      </c>
      <c r="L98" s="23" t="n">
        <v>45310</v>
      </c>
      <c r="M98" s="22" t="n">
        <f aca="false">COUNTIFS('Skip PDF Index'!$B$6:$B$11,D98,'Skip PDF Index'!$D$6:$D$11,C98,'Skip PDF Index'!$F$6:$F$11,I98)</f>
        <v>0</v>
      </c>
      <c r="N98" s="22" t="n">
        <f aca="false">COUNTIFS('Skip PDF Index'!$B$6:$B$11,D98,'Skip PDF Index'!$D$6:$D$11,C98,'Skip PDF Index'!$E$6:$E$11,G98,'Skip PDF Index'!$F$6:$F$11,I98)</f>
        <v>0</v>
      </c>
      <c r="O98" s="22" t="n">
        <f aca="false">COUNTIFS('Skip PDF Index'!$B$6:$B$11,D98,'Skip PDF Index'!$D$6:$D$11,C98,'Skip PDF Index'!$E$6:$E$11,G98,'Skip PDF Index'!$F$6:$F$11,I98,'Skip PDF Index'!$H$6:$H$11,"SUPPORTING RECORD")</f>
        <v>0</v>
      </c>
      <c r="P98" s="22" t="n">
        <f aca="false">COUNTIFS('Offer Events'!$A$2:$A$1487,B98,'Offer Events'!$B$2:$B$1487,C98,'Offer Events'!$C$2:$C$1487,D98,'Offer Events'!$E$2:$E$1487,G98,'Offer Events'!$L$2:$L$1487,"SKIPPED",'Offer Events'!$P$2:$P$1487,I98)</f>
        <v>1</v>
      </c>
      <c r="Q98" s="22" t="str">
        <f aca="false">IF(L98&lt;=C98,"Y","N")</f>
        <v>N</v>
      </c>
      <c r="R98" s="22" t="str">
        <f aca="false">IF(AND(O98&gt;0,P98&gt;0,Q98="Y"),"Y","N")</f>
        <v>N</v>
      </c>
      <c r="S98" s="22" t="str">
        <f aca="false">IF(P98=0,"Offer register missing/mismatch",IF(N98=0,IF(M98&gt;0,"PDF slip mismatch","No matching PDF"),IF(O98=0,"PDF lacks supporting record","Reconciled")))</f>
        <v>No matching PDF</v>
      </c>
      <c r="T98" s="22" t="str">
        <f aca="false">IF(R98="Y","Compliant",S98&amp;IF(Q98="N","; review after skip",""))</f>
        <v>No matching PDF; review after skip</v>
      </c>
      <c r="U98" s="22" t="str">
        <f aca="false">IF(R98="Y","",IF(AND(O98&gt;0,P98&gt;0,Q98="N"),"Priority 2","Priority 1"))</f>
        <v>Priority 1</v>
      </c>
    </row>
    <row r="99" customFormat="false" ht="15" hidden="false" customHeight="false" outlineLevel="0" collapsed="false">
      <c r="A99" s="22" t="s">
        <v>10694</v>
      </c>
      <c r="B99" s="22" t="s">
        <v>9460</v>
      </c>
      <c r="C99" s="23" t="n">
        <v>45295</v>
      </c>
      <c r="D99" s="22" t="s">
        <v>1815</v>
      </c>
      <c r="E99" s="22" t="str">
        <f aca="false">IFERROR(VLOOKUP(D99,'Applicant Lookup'!$A$2:$F$2911,2,FALSE()),"Not found")</f>
        <v>Laura Johnson</v>
      </c>
      <c r="F99" s="22" t="n">
        <v>632</v>
      </c>
      <c r="G99" s="22" t="s">
        <v>8404</v>
      </c>
      <c r="H99" s="22" t="s">
        <v>188</v>
      </c>
      <c r="I99" s="22" t="s">
        <v>8637</v>
      </c>
      <c r="J99" s="22" t="s">
        <v>10489</v>
      </c>
      <c r="K99" s="22" t="s">
        <v>10516</v>
      </c>
      <c r="L99" s="23" t="n">
        <v>45296</v>
      </c>
      <c r="M99" s="22" t="n">
        <f aca="false">COUNTIFS('Skip PDF Index'!$B$6:$B$11,D99,'Skip PDF Index'!$D$6:$D$11,C99,'Skip PDF Index'!$F$6:$F$11,I99)</f>
        <v>0</v>
      </c>
      <c r="N99" s="22" t="n">
        <f aca="false">COUNTIFS('Skip PDF Index'!$B$6:$B$11,D99,'Skip PDF Index'!$D$6:$D$11,C99,'Skip PDF Index'!$E$6:$E$11,G99,'Skip PDF Index'!$F$6:$F$11,I99)</f>
        <v>0</v>
      </c>
      <c r="O99" s="22" t="n">
        <f aca="false">COUNTIFS('Skip PDF Index'!$B$6:$B$11,D99,'Skip PDF Index'!$D$6:$D$11,C99,'Skip PDF Index'!$E$6:$E$11,G99,'Skip PDF Index'!$F$6:$F$11,I99,'Skip PDF Index'!$H$6:$H$11,"SUPPORTING RECORD")</f>
        <v>0</v>
      </c>
      <c r="P99" s="22" t="n">
        <f aca="false">COUNTIFS('Offer Events'!$A$2:$A$1487,B99,'Offer Events'!$B$2:$B$1487,C99,'Offer Events'!$C$2:$C$1487,D99,'Offer Events'!$E$2:$E$1487,G99,'Offer Events'!$L$2:$L$1487,"SKIPPED",'Offer Events'!$P$2:$P$1487,I99)</f>
        <v>1</v>
      </c>
      <c r="Q99" s="22" t="str">
        <f aca="false">IF(L99&lt;=C99,"Y","N")</f>
        <v>N</v>
      </c>
      <c r="R99" s="22" t="str">
        <f aca="false">IF(AND(O99&gt;0,P99&gt;0,Q99="Y"),"Y","N")</f>
        <v>N</v>
      </c>
      <c r="S99" s="22" t="str">
        <f aca="false">IF(P99=0,"Offer register missing/mismatch",IF(N99=0,IF(M99&gt;0,"PDF slip mismatch","No matching PDF"),IF(O99=0,"PDF lacks supporting record","Reconciled")))</f>
        <v>No matching PDF</v>
      </c>
      <c r="T99" s="22" t="str">
        <f aca="false">IF(R99="Y","Compliant",S99&amp;IF(Q99="N","; review after skip",""))</f>
        <v>No matching PDF; review after skip</v>
      </c>
      <c r="U99" s="22" t="str">
        <f aca="false">IF(R99="Y","",IF(AND(O99&gt;0,P99&gt;0,Q99="N"),"Priority 2","Priority 1"))</f>
        <v>Priority 1</v>
      </c>
    </row>
    <row r="100" customFormat="false" ht="15" hidden="false" customHeight="false" outlineLevel="0" collapsed="false">
      <c r="A100" s="22" t="s">
        <v>10695</v>
      </c>
      <c r="B100" s="22" t="s">
        <v>9467</v>
      </c>
      <c r="C100" s="23" t="n">
        <v>45342</v>
      </c>
      <c r="D100" s="22" t="s">
        <v>5018</v>
      </c>
      <c r="E100" s="22" t="str">
        <f aca="false">IFERROR(VLOOKUP(D100,'Applicant Lookup'!$A$2:$F$2911,2,FALSE()),"Not found")</f>
        <v>Joseph Green</v>
      </c>
      <c r="F100" s="22" t="n">
        <v>2141</v>
      </c>
      <c r="G100" s="22" t="s">
        <v>6658</v>
      </c>
      <c r="H100" s="22" t="s">
        <v>198</v>
      </c>
      <c r="I100" s="22" t="s">
        <v>8603</v>
      </c>
      <c r="J100" s="22" t="s">
        <v>10489</v>
      </c>
      <c r="K100" s="22" t="s">
        <v>10516</v>
      </c>
      <c r="L100" s="23" t="n">
        <v>45343</v>
      </c>
      <c r="M100" s="22" t="n">
        <f aca="false">COUNTIFS('Skip PDF Index'!$B$6:$B$11,D100,'Skip PDF Index'!$D$6:$D$11,C100,'Skip PDF Index'!$F$6:$F$11,I100)</f>
        <v>0</v>
      </c>
      <c r="N100" s="22" t="n">
        <f aca="false">COUNTIFS('Skip PDF Index'!$B$6:$B$11,D100,'Skip PDF Index'!$D$6:$D$11,C100,'Skip PDF Index'!$E$6:$E$11,G100,'Skip PDF Index'!$F$6:$F$11,I100)</f>
        <v>0</v>
      </c>
      <c r="O100" s="22" t="n">
        <f aca="false">COUNTIFS('Skip PDF Index'!$B$6:$B$11,D100,'Skip PDF Index'!$D$6:$D$11,C100,'Skip PDF Index'!$E$6:$E$11,G100,'Skip PDF Index'!$F$6:$F$11,I100,'Skip PDF Index'!$H$6:$H$11,"SUPPORTING RECORD")</f>
        <v>0</v>
      </c>
      <c r="P100" s="22" t="n">
        <f aca="false">COUNTIFS('Offer Events'!$A$2:$A$1487,B100,'Offer Events'!$B$2:$B$1487,C100,'Offer Events'!$C$2:$C$1487,D100,'Offer Events'!$E$2:$E$1487,G100,'Offer Events'!$L$2:$L$1487,"SKIPPED",'Offer Events'!$P$2:$P$1487,I100)</f>
        <v>1</v>
      </c>
      <c r="Q100" s="22" t="str">
        <f aca="false">IF(L100&lt;=C100,"Y","N")</f>
        <v>N</v>
      </c>
      <c r="R100" s="22" t="str">
        <f aca="false">IF(AND(O100&gt;0,P100&gt;0,Q100="Y"),"Y","N")</f>
        <v>N</v>
      </c>
      <c r="S100" s="22" t="str">
        <f aca="false">IF(P100=0,"Offer register missing/mismatch",IF(N100=0,IF(M100&gt;0,"PDF slip mismatch","No matching PDF"),IF(O100=0,"PDF lacks supporting record","Reconciled")))</f>
        <v>No matching PDF</v>
      </c>
      <c r="T100" s="22" t="str">
        <f aca="false">IF(R100="Y","Compliant",S100&amp;IF(Q100="N","; review after skip",""))</f>
        <v>No matching PDF; review after skip</v>
      </c>
      <c r="U100" s="22" t="str">
        <f aca="false">IF(R100="Y","",IF(AND(O100&gt;0,P100&gt;0,Q100="N"),"Priority 2","Priority 1"))</f>
        <v>Priority 1</v>
      </c>
    </row>
    <row r="101" customFormat="false" ht="15" hidden="false" customHeight="false" outlineLevel="0" collapsed="false">
      <c r="A101" s="22" t="s">
        <v>10696</v>
      </c>
      <c r="B101" s="22" t="s">
        <v>9469</v>
      </c>
      <c r="C101" s="23" t="n">
        <v>45346</v>
      </c>
      <c r="D101" s="22" t="s">
        <v>3399</v>
      </c>
      <c r="E101" s="22" t="str">
        <f aca="false">IFERROR(VLOOKUP(D101,'Applicant Lookup'!$A$2:$F$2911,2,FALSE()),"Not found")</f>
        <v>Natalie Mason</v>
      </c>
      <c r="F101" s="22" t="n">
        <v>1349</v>
      </c>
      <c r="G101" s="22" t="s">
        <v>8427</v>
      </c>
      <c r="H101" s="22" t="s">
        <v>188</v>
      </c>
      <c r="I101" s="22" t="s">
        <v>8637</v>
      </c>
      <c r="J101" s="22" t="s">
        <v>10489</v>
      </c>
      <c r="K101" s="22" t="s">
        <v>10491</v>
      </c>
      <c r="L101" s="23" t="n">
        <v>45347</v>
      </c>
      <c r="M101" s="22" t="n">
        <f aca="false">COUNTIFS('Skip PDF Index'!$B$6:$B$11,D101,'Skip PDF Index'!$D$6:$D$11,C101,'Skip PDF Index'!$F$6:$F$11,I101)</f>
        <v>0</v>
      </c>
      <c r="N101" s="22" t="n">
        <f aca="false">COUNTIFS('Skip PDF Index'!$B$6:$B$11,D101,'Skip PDF Index'!$D$6:$D$11,C101,'Skip PDF Index'!$E$6:$E$11,G101,'Skip PDF Index'!$F$6:$F$11,I101)</f>
        <v>0</v>
      </c>
      <c r="O101" s="22" t="n">
        <f aca="false">COUNTIFS('Skip PDF Index'!$B$6:$B$11,D101,'Skip PDF Index'!$D$6:$D$11,C101,'Skip PDF Index'!$E$6:$E$11,G101,'Skip PDF Index'!$F$6:$F$11,I101,'Skip PDF Index'!$H$6:$H$11,"SUPPORTING RECORD")</f>
        <v>0</v>
      </c>
      <c r="P101" s="22" t="n">
        <f aca="false">COUNTIFS('Offer Events'!$A$2:$A$1487,B101,'Offer Events'!$B$2:$B$1487,C101,'Offer Events'!$C$2:$C$1487,D101,'Offer Events'!$E$2:$E$1487,G101,'Offer Events'!$L$2:$L$1487,"SKIPPED",'Offer Events'!$P$2:$P$1487,I101)</f>
        <v>1</v>
      </c>
      <c r="Q101" s="22" t="str">
        <f aca="false">IF(L101&lt;=C101,"Y","N")</f>
        <v>N</v>
      </c>
      <c r="R101" s="22" t="str">
        <f aca="false">IF(AND(O101&gt;0,P101&gt;0,Q101="Y"),"Y","N")</f>
        <v>N</v>
      </c>
      <c r="S101" s="22" t="str">
        <f aca="false">IF(P101=0,"Offer register missing/mismatch",IF(N101=0,IF(M101&gt;0,"PDF slip mismatch","No matching PDF"),IF(O101=0,"PDF lacks supporting record","Reconciled")))</f>
        <v>No matching PDF</v>
      </c>
      <c r="T101" s="22" t="str">
        <f aca="false">IF(R101="Y","Compliant",S101&amp;IF(Q101="N","; review after skip",""))</f>
        <v>No matching PDF; review after skip</v>
      </c>
      <c r="U101" s="22" t="str">
        <f aca="false">IF(R101="Y","",IF(AND(O101&gt;0,P101&gt;0,Q101="N"),"Priority 2","Priority 1"))</f>
        <v>Priority 1</v>
      </c>
    </row>
    <row r="102" customFormat="false" ht="15" hidden="false" customHeight="false" outlineLevel="0" collapsed="false">
      <c r="A102" s="22" t="s">
        <v>10697</v>
      </c>
      <c r="B102" s="22" t="s">
        <v>9472</v>
      </c>
      <c r="C102" s="23" t="n">
        <v>45325</v>
      </c>
      <c r="D102" s="22" t="s">
        <v>876</v>
      </c>
      <c r="E102" s="22" t="str">
        <f aca="false">IFERROR(VLOOKUP(D102,'Applicant Lookup'!$A$2:$F$2911,2,FALSE()),"Not found")</f>
        <v>Brandon Sawyer</v>
      </c>
      <c r="F102" s="22" t="n">
        <v>253</v>
      </c>
      <c r="G102" s="22" t="s">
        <v>6742</v>
      </c>
      <c r="H102" s="22" t="s">
        <v>198</v>
      </c>
      <c r="I102" s="22" t="s">
        <v>8631</v>
      </c>
      <c r="J102" s="22" t="s">
        <v>10489</v>
      </c>
      <c r="K102" s="22" t="s">
        <v>10511</v>
      </c>
      <c r="L102" s="23" t="n">
        <v>45327</v>
      </c>
      <c r="M102" s="22" t="n">
        <f aca="false">COUNTIFS('Skip PDF Index'!$B$6:$B$11,D102,'Skip PDF Index'!$D$6:$D$11,C102,'Skip PDF Index'!$F$6:$F$11,I102)</f>
        <v>0</v>
      </c>
      <c r="N102" s="22" t="n">
        <f aca="false">COUNTIFS('Skip PDF Index'!$B$6:$B$11,D102,'Skip PDF Index'!$D$6:$D$11,C102,'Skip PDF Index'!$E$6:$E$11,G102,'Skip PDF Index'!$F$6:$F$11,I102)</f>
        <v>0</v>
      </c>
      <c r="O102" s="22" t="n">
        <f aca="false">COUNTIFS('Skip PDF Index'!$B$6:$B$11,D102,'Skip PDF Index'!$D$6:$D$11,C102,'Skip PDF Index'!$E$6:$E$11,G102,'Skip PDF Index'!$F$6:$F$11,I102,'Skip PDF Index'!$H$6:$H$11,"SUPPORTING RECORD")</f>
        <v>0</v>
      </c>
      <c r="P102" s="22" t="n">
        <f aca="false">COUNTIFS('Offer Events'!$A$2:$A$1487,B102,'Offer Events'!$B$2:$B$1487,C102,'Offer Events'!$C$2:$C$1487,D102,'Offer Events'!$E$2:$E$1487,G102,'Offer Events'!$L$2:$L$1487,"SKIPPED",'Offer Events'!$P$2:$P$1487,I102)</f>
        <v>1</v>
      </c>
      <c r="Q102" s="22" t="str">
        <f aca="false">IF(L102&lt;=C102,"Y","N")</f>
        <v>N</v>
      </c>
      <c r="R102" s="22" t="str">
        <f aca="false">IF(AND(O102&gt;0,P102&gt;0,Q102="Y"),"Y","N")</f>
        <v>N</v>
      </c>
      <c r="S102" s="22" t="str">
        <f aca="false">IF(P102=0,"Offer register missing/mismatch",IF(N102=0,IF(M102&gt;0,"PDF slip mismatch","No matching PDF"),IF(O102=0,"PDF lacks supporting record","Reconciled")))</f>
        <v>No matching PDF</v>
      </c>
      <c r="T102" s="22" t="str">
        <f aca="false">IF(R102="Y","Compliant",S102&amp;IF(Q102="N","; review after skip",""))</f>
        <v>No matching PDF; review after skip</v>
      </c>
      <c r="U102" s="22" t="str">
        <f aca="false">IF(R102="Y","",IF(AND(O102&gt;0,P102&gt;0,Q102="N"),"Priority 2","Priority 1"))</f>
        <v>Priority 1</v>
      </c>
    </row>
    <row r="103" customFormat="false" ht="15" hidden="false" customHeight="false" outlineLevel="0" collapsed="false">
      <c r="A103" s="22" t="s">
        <v>10698</v>
      </c>
      <c r="B103" s="22" t="s">
        <v>9476</v>
      </c>
      <c r="C103" s="23" t="n">
        <v>45337</v>
      </c>
      <c r="D103" s="22" t="s">
        <v>4989</v>
      </c>
      <c r="E103" s="22" t="str">
        <f aca="false">IFERROR(VLOOKUP(D103,'Applicant Lookup'!$A$2:$F$2911,2,FALSE()),"Not found")</f>
        <v>Lindsay Dixon</v>
      </c>
      <c r="F103" s="22" t="n">
        <v>2127</v>
      </c>
      <c r="G103" s="22" t="s">
        <v>6900</v>
      </c>
      <c r="H103" s="22" t="s">
        <v>198</v>
      </c>
      <c r="I103" s="22" t="s">
        <v>8637</v>
      </c>
      <c r="J103" s="22" t="s">
        <v>10489</v>
      </c>
      <c r="K103" s="22" t="s">
        <v>10555</v>
      </c>
      <c r="L103" s="23" t="n">
        <v>45340</v>
      </c>
      <c r="M103" s="22" t="n">
        <f aca="false">COUNTIFS('Skip PDF Index'!$B$6:$B$11,D103,'Skip PDF Index'!$D$6:$D$11,C103,'Skip PDF Index'!$F$6:$F$11,I103)</f>
        <v>0</v>
      </c>
      <c r="N103" s="22" t="n">
        <f aca="false">COUNTIFS('Skip PDF Index'!$B$6:$B$11,D103,'Skip PDF Index'!$D$6:$D$11,C103,'Skip PDF Index'!$E$6:$E$11,G103,'Skip PDF Index'!$F$6:$F$11,I103)</f>
        <v>0</v>
      </c>
      <c r="O103" s="22" t="n">
        <f aca="false">COUNTIFS('Skip PDF Index'!$B$6:$B$11,D103,'Skip PDF Index'!$D$6:$D$11,C103,'Skip PDF Index'!$E$6:$E$11,G103,'Skip PDF Index'!$F$6:$F$11,I103,'Skip PDF Index'!$H$6:$H$11,"SUPPORTING RECORD")</f>
        <v>0</v>
      </c>
      <c r="P103" s="22" t="n">
        <f aca="false">COUNTIFS('Offer Events'!$A$2:$A$1487,B103,'Offer Events'!$B$2:$B$1487,C103,'Offer Events'!$C$2:$C$1487,D103,'Offer Events'!$E$2:$E$1487,G103,'Offer Events'!$L$2:$L$1487,"SKIPPED",'Offer Events'!$P$2:$P$1487,I103)</f>
        <v>1</v>
      </c>
      <c r="Q103" s="22" t="str">
        <f aca="false">IF(L103&lt;=C103,"Y","N")</f>
        <v>N</v>
      </c>
      <c r="R103" s="22" t="str">
        <f aca="false">IF(AND(O103&gt;0,P103&gt;0,Q103="Y"),"Y","N")</f>
        <v>N</v>
      </c>
      <c r="S103" s="22" t="str">
        <f aca="false">IF(P103=0,"Offer register missing/mismatch",IF(N103=0,IF(M103&gt;0,"PDF slip mismatch","No matching PDF"),IF(O103=0,"PDF lacks supporting record","Reconciled")))</f>
        <v>No matching PDF</v>
      </c>
      <c r="T103" s="22" t="str">
        <f aca="false">IF(R103="Y","Compliant",S103&amp;IF(Q103="N","; review after skip",""))</f>
        <v>No matching PDF; review after skip</v>
      </c>
      <c r="U103" s="22" t="str">
        <f aca="false">IF(R103="Y","",IF(AND(O103&gt;0,P103&gt;0,Q103="N"),"Priority 2","Priority 1"))</f>
        <v>Priority 1</v>
      </c>
    </row>
    <row r="104" customFormat="false" ht="15" hidden="false" customHeight="false" outlineLevel="0" collapsed="false">
      <c r="A104" s="22" t="s">
        <v>10699</v>
      </c>
      <c r="B104" s="22" t="s">
        <v>9477</v>
      </c>
      <c r="C104" s="23" t="n">
        <v>45330</v>
      </c>
      <c r="D104" s="22" t="s">
        <v>4020</v>
      </c>
      <c r="E104" s="22" t="str">
        <f aca="false">IFERROR(VLOOKUP(D104,'Applicant Lookup'!$A$2:$F$2911,2,FALSE()),"Not found")</f>
        <v>Christine Jones</v>
      </c>
      <c r="F104" s="22" t="n">
        <v>1653</v>
      </c>
      <c r="G104" s="22" t="s">
        <v>8502</v>
      </c>
      <c r="H104" s="22" t="s">
        <v>188</v>
      </c>
      <c r="I104" s="22" t="s">
        <v>8603</v>
      </c>
      <c r="J104" s="22" t="s">
        <v>10489</v>
      </c>
      <c r="K104" s="22" t="s">
        <v>10496</v>
      </c>
      <c r="L104" s="23" t="n">
        <v>45331</v>
      </c>
      <c r="M104" s="22" t="n">
        <f aca="false">COUNTIFS('Skip PDF Index'!$B$6:$B$11,D104,'Skip PDF Index'!$D$6:$D$11,C104,'Skip PDF Index'!$F$6:$F$11,I104)</f>
        <v>0</v>
      </c>
      <c r="N104" s="22" t="n">
        <f aca="false">COUNTIFS('Skip PDF Index'!$B$6:$B$11,D104,'Skip PDF Index'!$D$6:$D$11,C104,'Skip PDF Index'!$E$6:$E$11,G104,'Skip PDF Index'!$F$6:$F$11,I104)</f>
        <v>0</v>
      </c>
      <c r="O104" s="22" t="n">
        <f aca="false">COUNTIFS('Skip PDF Index'!$B$6:$B$11,D104,'Skip PDF Index'!$D$6:$D$11,C104,'Skip PDF Index'!$E$6:$E$11,G104,'Skip PDF Index'!$F$6:$F$11,I104,'Skip PDF Index'!$H$6:$H$11,"SUPPORTING RECORD")</f>
        <v>0</v>
      </c>
      <c r="P104" s="22" t="n">
        <f aca="false">COUNTIFS('Offer Events'!$A$2:$A$1487,B104,'Offer Events'!$B$2:$B$1487,C104,'Offer Events'!$C$2:$C$1487,D104,'Offer Events'!$E$2:$E$1487,G104,'Offer Events'!$L$2:$L$1487,"SKIPPED",'Offer Events'!$P$2:$P$1487,I104)</f>
        <v>1</v>
      </c>
      <c r="Q104" s="22" t="str">
        <f aca="false">IF(L104&lt;=C104,"Y","N")</f>
        <v>N</v>
      </c>
      <c r="R104" s="22" t="str">
        <f aca="false">IF(AND(O104&gt;0,P104&gt;0,Q104="Y"),"Y","N")</f>
        <v>N</v>
      </c>
      <c r="S104" s="22" t="str">
        <f aca="false">IF(P104=0,"Offer register missing/mismatch",IF(N104=0,IF(M104&gt;0,"PDF slip mismatch","No matching PDF"),IF(O104=0,"PDF lacks supporting record","Reconciled")))</f>
        <v>No matching PDF</v>
      </c>
      <c r="T104" s="22" t="str">
        <f aca="false">IF(R104="Y","Compliant",S104&amp;IF(Q104="N","; review after skip",""))</f>
        <v>No matching PDF; review after skip</v>
      </c>
      <c r="U104" s="22" t="str">
        <f aca="false">IF(R104="Y","",IF(AND(O104&gt;0,P104&gt;0,Q104="N"),"Priority 2","Priority 1"))</f>
        <v>Priority 1</v>
      </c>
    </row>
    <row r="105" customFormat="false" ht="15" hidden="false" customHeight="false" outlineLevel="0" collapsed="false">
      <c r="A105" s="22" t="s">
        <v>10700</v>
      </c>
      <c r="B105" s="22" t="s">
        <v>9478</v>
      </c>
      <c r="C105" s="23" t="n">
        <v>45329</v>
      </c>
      <c r="D105" s="22" t="s">
        <v>1123</v>
      </c>
      <c r="E105" s="22" t="str">
        <f aca="false">IFERROR(VLOOKUP(D105,'Applicant Lookup'!$A$2:$F$2911,2,FALSE()),"Not found")</f>
        <v>Ryan Bennett</v>
      </c>
      <c r="F105" s="22" t="n">
        <v>347</v>
      </c>
      <c r="G105" s="22" t="s">
        <v>7901</v>
      </c>
      <c r="H105" s="22" t="s">
        <v>215</v>
      </c>
      <c r="I105" s="22" t="s">
        <v>8637</v>
      </c>
      <c r="J105" s="22" t="s">
        <v>10489</v>
      </c>
      <c r="K105" s="22" t="s">
        <v>10506</v>
      </c>
      <c r="L105" s="23" t="n">
        <v>45332</v>
      </c>
      <c r="M105" s="22" t="n">
        <f aca="false">COUNTIFS('Skip PDF Index'!$B$6:$B$11,D105,'Skip PDF Index'!$D$6:$D$11,C105,'Skip PDF Index'!$F$6:$F$11,I105)</f>
        <v>0</v>
      </c>
      <c r="N105" s="22" t="n">
        <f aca="false">COUNTIFS('Skip PDF Index'!$B$6:$B$11,D105,'Skip PDF Index'!$D$6:$D$11,C105,'Skip PDF Index'!$E$6:$E$11,G105,'Skip PDF Index'!$F$6:$F$11,I105)</f>
        <v>0</v>
      </c>
      <c r="O105" s="22" t="n">
        <f aca="false">COUNTIFS('Skip PDF Index'!$B$6:$B$11,D105,'Skip PDF Index'!$D$6:$D$11,C105,'Skip PDF Index'!$E$6:$E$11,G105,'Skip PDF Index'!$F$6:$F$11,I105,'Skip PDF Index'!$H$6:$H$11,"SUPPORTING RECORD")</f>
        <v>0</v>
      </c>
      <c r="P105" s="22" t="n">
        <f aca="false">COUNTIFS('Offer Events'!$A$2:$A$1487,B105,'Offer Events'!$B$2:$B$1487,C105,'Offer Events'!$C$2:$C$1487,D105,'Offer Events'!$E$2:$E$1487,G105,'Offer Events'!$L$2:$L$1487,"SKIPPED",'Offer Events'!$P$2:$P$1487,I105)</f>
        <v>1</v>
      </c>
      <c r="Q105" s="22" t="str">
        <f aca="false">IF(L105&lt;=C105,"Y","N")</f>
        <v>N</v>
      </c>
      <c r="R105" s="22" t="str">
        <f aca="false">IF(AND(O105&gt;0,P105&gt;0,Q105="Y"),"Y","N")</f>
        <v>N</v>
      </c>
      <c r="S105" s="22" t="str">
        <f aca="false">IF(P105=0,"Offer register missing/mismatch",IF(N105=0,IF(M105&gt;0,"PDF slip mismatch","No matching PDF"),IF(O105=0,"PDF lacks supporting record","Reconciled")))</f>
        <v>No matching PDF</v>
      </c>
      <c r="T105" s="22" t="str">
        <f aca="false">IF(R105="Y","Compliant",S105&amp;IF(Q105="N","; review after skip",""))</f>
        <v>No matching PDF; review after skip</v>
      </c>
      <c r="U105" s="22" t="str">
        <f aca="false">IF(R105="Y","",IF(AND(O105&gt;0,P105&gt;0,Q105="N"),"Priority 2","Priority 1"))</f>
        <v>Priority 1</v>
      </c>
    </row>
    <row r="106" customFormat="false" ht="15" hidden="false" customHeight="false" outlineLevel="0" collapsed="false">
      <c r="A106" s="22" t="s">
        <v>10701</v>
      </c>
      <c r="B106" s="22" t="s">
        <v>9479</v>
      </c>
      <c r="C106" s="23" t="n">
        <v>45331</v>
      </c>
      <c r="D106" s="22" t="s">
        <v>1642</v>
      </c>
      <c r="E106" s="22" t="str">
        <f aca="false">IFERROR(VLOOKUP(D106,'Applicant Lookup'!$A$2:$F$2911,2,FALSE()),"Not found")</f>
        <v>Karen Ward</v>
      </c>
      <c r="F106" s="22" t="n">
        <v>562</v>
      </c>
      <c r="G106" s="22" t="s">
        <v>8091</v>
      </c>
      <c r="H106" s="22" t="s">
        <v>499</v>
      </c>
      <c r="I106" s="22" t="s">
        <v>8637</v>
      </c>
      <c r="J106" s="22" t="s">
        <v>10489</v>
      </c>
      <c r="K106" s="22" t="s">
        <v>10516</v>
      </c>
      <c r="L106" s="23" t="n">
        <v>45334</v>
      </c>
      <c r="M106" s="22" t="n">
        <f aca="false">COUNTIFS('Skip PDF Index'!$B$6:$B$11,D106,'Skip PDF Index'!$D$6:$D$11,C106,'Skip PDF Index'!$F$6:$F$11,I106)</f>
        <v>0</v>
      </c>
      <c r="N106" s="22" t="n">
        <f aca="false">COUNTIFS('Skip PDF Index'!$B$6:$B$11,D106,'Skip PDF Index'!$D$6:$D$11,C106,'Skip PDF Index'!$E$6:$E$11,G106,'Skip PDF Index'!$F$6:$F$11,I106)</f>
        <v>0</v>
      </c>
      <c r="O106" s="22" t="n">
        <f aca="false">COUNTIFS('Skip PDF Index'!$B$6:$B$11,D106,'Skip PDF Index'!$D$6:$D$11,C106,'Skip PDF Index'!$E$6:$E$11,G106,'Skip PDF Index'!$F$6:$F$11,I106,'Skip PDF Index'!$H$6:$H$11,"SUPPORTING RECORD")</f>
        <v>0</v>
      </c>
      <c r="P106" s="22" t="n">
        <f aca="false">COUNTIFS('Offer Events'!$A$2:$A$1487,B106,'Offer Events'!$B$2:$B$1487,C106,'Offer Events'!$C$2:$C$1487,D106,'Offer Events'!$E$2:$E$1487,G106,'Offer Events'!$L$2:$L$1487,"SKIPPED",'Offer Events'!$P$2:$P$1487,I106)</f>
        <v>1</v>
      </c>
      <c r="Q106" s="22" t="str">
        <f aca="false">IF(L106&lt;=C106,"Y","N")</f>
        <v>N</v>
      </c>
      <c r="R106" s="22" t="str">
        <f aca="false">IF(AND(O106&gt;0,P106&gt;0,Q106="Y"),"Y","N")</f>
        <v>N</v>
      </c>
      <c r="S106" s="22" t="str">
        <f aca="false">IF(P106=0,"Offer register missing/mismatch",IF(N106=0,IF(M106&gt;0,"PDF slip mismatch","No matching PDF"),IF(O106=0,"PDF lacks supporting record","Reconciled")))</f>
        <v>No matching PDF</v>
      </c>
      <c r="T106" s="22" t="str">
        <f aca="false">IF(R106="Y","Compliant",S106&amp;IF(Q106="N","; review after skip",""))</f>
        <v>No matching PDF; review after skip</v>
      </c>
      <c r="U106" s="22" t="str">
        <f aca="false">IF(R106="Y","",IF(AND(O106&gt;0,P106&gt;0,Q106="N"),"Priority 2","Priority 1"))</f>
        <v>Priority 1</v>
      </c>
    </row>
    <row r="107" customFormat="false" ht="15" hidden="false" customHeight="false" outlineLevel="0" collapsed="false">
      <c r="A107" s="22" t="s">
        <v>10702</v>
      </c>
      <c r="B107" s="22" t="s">
        <v>9482</v>
      </c>
      <c r="C107" s="23" t="n">
        <v>45374</v>
      </c>
      <c r="D107" s="22" t="s">
        <v>3971</v>
      </c>
      <c r="E107" s="22" t="str">
        <f aca="false">IFERROR(VLOOKUP(D107,'Applicant Lookup'!$A$2:$F$2911,2,FALSE()),"Not found")</f>
        <v>Joseph Powell</v>
      </c>
      <c r="F107" s="22" t="n">
        <v>1629</v>
      </c>
      <c r="G107" s="22" t="s">
        <v>7688</v>
      </c>
      <c r="H107" s="22" t="s">
        <v>159</v>
      </c>
      <c r="I107" s="22" t="s">
        <v>8603</v>
      </c>
      <c r="J107" s="22" t="s">
        <v>10489</v>
      </c>
      <c r="K107" s="22" t="s">
        <v>10501</v>
      </c>
      <c r="L107" s="23" t="n">
        <v>45377</v>
      </c>
      <c r="M107" s="22" t="n">
        <f aca="false">COUNTIFS('Skip PDF Index'!$B$6:$B$11,D107,'Skip PDF Index'!$D$6:$D$11,C107,'Skip PDF Index'!$F$6:$F$11,I107)</f>
        <v>0</v>
      </c>
      <c r="N107" s="22" t="n">
        <f aca="false">COUNTIFS('Skip PDF Index'!$B$6:$B$11,D107,'Skip PDF Index'!$D$6:$D$11,C107,'Skip PDF Index'!$E$6:$E$11,G107,'Skip PDF Index'!$F$6:$F$11,I107)</f>
        <v>0</v>
      </c>
      <c r="O107" s="22" t="n">
        <f aca="false">COUNTIFS('Skip PDF Index'!$B$6:$B$11,D107,'Skip PDF Index'!$D$6:$D$11,C107,'Skip PDF Index'!$E$6:$E$11,G107,'Skip PDF Index'!$F$6:$F$11,I107,'Skip PDF Index'!$H$6:$H$11,"SUPPORTING RECORD")</f>
        <v>0</v>
      </c>
      <c r="P107" s="22" t="n">
        <f aca="false">COUNTIFS('Offer Events'!$A$2:$A$1487,B107,'Offer Events'!$B$2:$B$1487,C107,'Offer Events'!$C$2:$C$1487,D107,'Offer Events'!$E$2:$E$1487,G107,'Offer Events'!$L$2:$L$1487,"SKIPPED",'Offer Events'!$P$2:$P$1487,I107)</f>
        <v>1</v>
      </c>
      <c r="Q107" s="22" t="str">
        <f aca="false">IF(L107&lt;=C107,"Y","N")</f>
        <v>N</v>
      </c>
      <c r="R107" s="22" t="str">
        <f aca="false">IF(AND(O107&gt;0,P107&gt;0,Q107="Y"),"Y","N")</f>
        <v>N</v>
      </c>
      <c r="S107" s="22" t="str">
        <f aca="false">IF(P107=0,"Offer register missing/mismatch",IF(N107=0,IF(M107&gt;0,"PDF slip mismatch","No matching PDF"),IF(O107=0,"PDF lacks supporting record","Reconciled")))</f>
        <v>No matching PDF</v>
      </c>
      <c r="T107" s="22" t="str">
        <f aca="false">IF(R107="Y","Compliant",S107&amp;IF(Q107="N","; review after skip",""))</f>
        <v>No matching PDF; review after skip</v>
      </c>
      <c r="U107" s="22" t="str">
        <f aca="false">IF(R107="Y","",IF(AND(O107&gt;0,P107&gt;0,Q107="N"),"Priority 2","Priority 1"))</f>
        <v>Priority 1</v>
      </c>
    </row>
    <row r="108" customFormat="false" ht="15" hidden="false" customHeight="false" outlineLevel="0" collapsed="false">
      <c r="A108" s="22" t="s">
        <v>10703</v>
      </c>
      <c r="B108" s="22" t="s">
        <v>9485</v>
      </c>
      <c r="C108" s="23" t="n">
        <v>45379</v>
      </c>
      <c r="D108" s="22" t="s">
        <v>5981</v>
      </c>
      <c r="E108" s="22" t="str">
        <f aca="false">IFERROR(VLOOKUP(D108,'Applicant Lookup'!$A$2:$F$2911,2,FALSE()),"Not found")</f>
        <v>Denise Powers</v>
      </c>
      <c r="F108" s="22" t="n">
        <v>2621</v>
      </c>
      <c r="G108" s="22" t="s">
        <v>8486</v>
      </c>
      <c r="H108" s="22" t="s">
        <v>188</v>
      </c>
      <c r="I108" s="22" t="s">
        <v>8631</v>
      </c>
      <c r="J108" s="22" t="s">
        <v>10489</v>
      </c>
      <c r="K108" s="22" t="s">
        <v>10511</v>
      </c>
      <c r="L108" s="23" t="n">
        <v>45381</v>
      </c>
      <c r="M108" s="22" t="n">
        <f aca="false">COUNTIFS('Skip PDF Index'!$B$6:$B$11,D108,'Skip PDF Index'!$D$6:$D$11,C108,'Skip PDF Index'!$F$6:$F$11,I108)</f>
        <v>0</v>
      </c>
      <c r="N108" s="22" t="n">
        <f aca="false">COUNTIFS('Skip PDF Index'!$B$6:$B$11,D108,'Skip PDF Index'!$D$6:$D$11,C108,'Skip PDF Index'!$E$6:$E$11,G108,'Skip PDF Index'!$F$6:$F$11,I108)</f>
        <v>0</v>
      </c>
      <c r="O108" s="22" t="n">
        <f aca="false">COUNTIFS('Skip PDF Index'!$B$6:$B$11,D108,'Skip PDF Index'!$D$6:$D$11,C108,'Skip PDF Index'!$E$6:$E$11,G108,'Skip PDF Index'!$F$6:$F$11,I108,'Skip PDF Index'!$H$6:$H$11,"SUPPORTING RECORD")</f>
        <v>0</v>
      </c>
      <c r="P108" s="22" t="n">
        <f aca="false">COUNTIFS('Offer Events'!$A$2:$A$1487,B108,'Offer Events'!$B$2:$B$1487,C108,'Offer Events'!$C$2:$C$1487,D108,'Offer Events'!$E$2:$E$1487,G108,'Offer Events'!$L$2:$L$1487,"SKIPPED",'Offer Events'!$P$2:$P$1487,I108)</f>
        <v>1</v>
      </c>
      <c r="Q108" s="22" t="str">
        <f aca="false">IF(L108&lt;=C108,"Y","N")</f>
        <v>N</v>
      </c>
      <c r="R108" s="22" t="str">
        <f aca="false">IF(AND(O108&gt;0,P108&gt;0,Q108="Y"),"Y","N")</f>
        <v>N</v>
      </c>
      <c r="S108" s="22" t="str">
        <f aca="false">IF(P108=0,"Offer register missing/mismatch",IF(N108=0,IF(M108&gt;0,"PDF slip mismatch","No matching PDF"),IF(O108=0,"PDF lacks supporting record","Reconciled")))</f>
        <v>No matching PDF</v>
      </c>
      <c r="T108" s="22" t="str">
        <f aca="false">IF(R108="Y","Compliant",S108&amp;IF(Q108="N","; review after skip",""))</f>
        <v>No matching PDF; review after skip</v>
      </c>
      <c r="U108" s="22" t="str">
        <f aca="false">IF(R108="Y","",IF(AND(O108&gt;0,P108&gt;0,Q108="N"),"Priority 2","Priority 1"))</f>
        <v>Priority 1</v>
      </c>
    </row>
    <row r="109" customFormat="false" ht="15" hidden="false" customHeight="false" outlineLevel="0" collapsed="false">
      <c r="A109" s="22" t="s">
        <v>10704</v>
      </c>
      <c r="B109" s="22" t="s">
        <v>9489</v>
      </c>
      <c r="C109" s="23" t="n">
        <v>45373</v>
      </c>
      <c r="D109" s="22" t="s">
        <v>2700</v>
      </c>
      <c r="E109" s="22" t="str">
        <f aca="false">IFERROR(VLOOKUP(D109,'Applicant Lookup'!$A$2:$F$2911,2,FALSE()),"Not found")</f>
        <v>Monica Hammond</v>
      </c>
      <c r="F109" s="22" t="n">
        <v>1027</v>
      </c>
      <c r="G109" s="22" t="s">
        <v>8253</v>
      </c>
      <c r="H109" s="22" t="s">
        <v>499</v>
      </c>
      <c r="I109" s="22" t="s">
        <v>8618</v>
      </c>
      <c r="J109" s="22" t="s">
        <v>10489</v>
      </c>
      <c r="K109" s="22" t="s">
        <v>10511</v>
      </c>
      <c r="L109" s="23" t="n">
        <v>45374</v>
      </c>
      <c r="M109" s="22" t="n">
        <f aca="false">COUNTIFS('Skip PDF Index'!$B$6:$B$11,D109,'Skip PDF Index'!$D$6:$D$11,C109,'Skip PDF Index'!$F$6:$F$11,I109)</f>
        <v>0</v>
      </c>
      <c r="N109" s="22" t="n">
        <f aca="false">COUNTIFS('Skip PDF Index'!$B$6:$B$11,D109,'Skip PDF Index'!$D$6:$D$11,C109,'Skip PDF Index'!$E$6:$E$11,G109,'Skip PDF Index'!$F$6:$F$11,I109)</f>
        <v>0</v>
      </c>
      <c r="O109" s="22" t="n">
        <f aca="false">COUNTIFS('Skip PDF Index'!$B$6:$B$11,D109,'Skip PDF Index'!$D$6:$D$11,C109,'Skip PDF Index'!$E$6:$E$11,G109,'Skip PDF Index'!$F$6:$F$11,I109,'Skip PDF Index'!$H$6:$H$11,"SUPPORTING RECORD")</f>
        <v>0</v>
      </c>
      <c r="P109" s="22" t="n">
        <f aca="false">COUNTIFS('Offer Events'!$A$2:$A$1487,B109,'Offer Events'!$B$2:$B$1487,C109,'Offer Events'!$C$2:$C$1487,D109,'Offer Events'!$E$2:$E$1487,G109,'Offer Events'!$L$2:$L$1487,"SKIPPED",'Offer Events'!$P$2:$P$1487,I109)</f>
        <v>1</v>
      </c>
      <c r="Q109" s="22" t="str">
        <f aca="false">IF(L109&lt;=C109,"Y","N")</f>
        <v>N</v>
      </c>
      <c r="R109" s="22" t="str">
        <f aca="false">IF(AND(O109&gt;0,P109&gt;0,Q109="Y"),"Y","N")</f>
        <v>N</v>
      </c>
      <c r="S109" s="22" t="str">
        <f aca="false">IF(P109=0,"Offer register missing/mismatch",IF(N109=0,IF(M109&gt;0,"PDF slip mismatch","No matching PDF"),IF(O109=0,"PDF lacks supporting record","Reconciled")))</f>
        <v>No matching PDF</v>
      </c>
      <c r="T109" s="22" t="str">
        <f aca="false">IF(R109="Y","Compliant",S109&amp;IF(Q109="N","; review after skip",""))</f>
        <v>No matching PDF; review after skip</v>
      </c>
      <c r="U109" s="22" t="str">
        <f aca="false">IF(R109="Y","",IF(AND(O109&gt;0,P109&gt;0,Q109="N"),"Priority 2","Priority 1"))</f>
        <v>Priority 1</v>
      </c>
    </row>
    <row r="110" customFormat="false" ht="15" hidden="false" customHeight="false" outlineLevel="0" collapsed="false">
      <c r="A110" s="22" t="s">
        <v>10705</v>
      </c>
      <c r="B110" s="22" t="s">
        <v>9496</v>
      </c>
      <c r="C110" s="23" t="n">
        <v>45378</v>
      </c>
      <c r="D110" s="22" t="s">
        <v>5109</v>
      </c>
      <c r="E110" s="22" t="str">
        <f aca="false">IFERROR(VLOOKUP(D110,'Applicant Lookup'!$A$2:$F$2911,2,FALSE()),"Not found")</f>
        <v>Sarah Davis</v>
      </c>
      <c r="F110" s="22" t="n">
        <v>2185</v>
      </c>
      <c r="G110" s="22" t="s">
        <v>8566</v>
      </c>
      <c r="H110" s="22" t="s">
        <v>188</v>
      </c>
      <c r="I110" s="22" t="s">
        <v>8603</v>
      </c>
      <c r="J110" s="22" t="s">
        <v>10489</v>
      </c>
      <c r="K110" s="22" t="s">
        <v>10501</v>
      </c>
      <c r="L110" s="23" t="n">
        <v>45378</v>
      </c>
      <c r="M110" s="22" t="n">
        <f aca="false">COUNTIFS('Skip PDF Index'!$B$6:$B$11,D110,'Skip PDF Index'!$D$6:$D$11,C110,'Skip PDF Index'!$F$6:$F$11,I110)</f>
        <v>0</v>
      </c>
      <c r="N110" s="22" t="n">
        <f aca="false">COUNTIFS('Skip PDF Index'!$B$6:$B$11,D110,'Skip PDF Index'!$D$6:$D$11,C110,'Skip PDF Index'!$E$6:$E$11,G110,'Skip PDF Index'!$F$6:$F$11,I110)</f>
        <v>0</v>
      </c>
      <c r="O110" s="22" t="n">
        <f aca="false">COUNTIFS('Skip PDF Index'!$B$6:$B$11,D110,'Skip PDF Index'!$D$6:$D$11,C110,'Skip PDF Index'!$E$6:$E$11,G110,'Skip PDF Index'!$F$6:$F$11,I110,'Skip PDF Index'!$H$6:$H$11,"SUPPORTING RECORD")</f>
        <v>0</v>
      </c>
      <c r="P110" s="22" t="n">
        <f aca="false">COUNTIFS('Offer Events'!$A$2:$A$1487,B110,'Offer Events'!$B$2:$B$1487,C110,'Offer Events'!$C$2:$C$1487,D110,'Offer Events'!$E$2:$E$1487,G110,'Offer Events'!$L$2:$L$1487,"SKIPPED",'Offer Events'!$P$2:$P$1487,I110)</f>
        <v>1</v>
      </c>
      <c r="Q110" s="22" t="str">
        <f aca="false">IF(L110&lt;=C110,"Y","N")</f>
        <v>Y</v>
      </c>
      <c r="R110" s="22" t="str">
        <f aca="false">IF(AND(O110&gt;0,P110&gt;0,Q110="Y"),"Y","N")</f>
        <v>N</v>
      </c>
      <c r="S110" s="22" t="str">
        <f aca="false">IF(P110=0,"Offer register missing/mismatch",IF(N110=0,IF(M110&gt;0,"PDF slip mismatch","No matching PDF"),IF(O110=0,"PDF lacks supporting record","Reconciled")))</f>
        <v>No matching PDF</v>
      </c>
      <c r="T110" s="22" t="str">
        <f aca="false">IF(R110="Y","Compliant",S110&amp;IF(Q110="N","; review after skip",""))</f>
        <v>No matching PDF</v>
      </c>
      <c r="U110" s="22" t="str">
        <f aca="false">IF(R110="Y","",IF(AND(O110&gt;0,P110&gt;0,Q110="N"),"Priority 2","Priority 1"))</f>
        <v>Priority 1</v>
      </c>
    </row>
    <row r="111" customFormat="false" ht="15" hidden="false" customHeight="false" outlineLevel="0" collapsed="false">
      <c r="A111" s="22" t="s">
        <v>10706</v>
      </c>
      <c r="B111" s="22" t="s">
        <v>9499</v>
      </c>
      <c r="C111" s="23" t="n">
        <v>45353</v>
      </c>
      <c r="D111" s="22" t="s">
        <v>4512</v>
      </c>
      <c r="E111" s="22" t="str">
        <f aca="false">IFERROR(VLOOKUP(D111,'Applicant Lookup'!$A$2:$F$2911,2,FALSE()),"Not found")</f>
        <v>Christopher Carrillo</v>
      </c>
      <c r="F111" s="22" t="n">
        <v>1893</v>
      </c>
      <c r="G111" s="22" t="s">
        <v>8026</v>
      </c>
      <c r="H111" s="22" t="s">
        <v>215</v>
      </c>
      <c r="I111" s="22" t="s">
        <v>8631</v>
      </c>
      <c r="J111" s="22" t="s">
        <v>10489</v>
      </c>
      <c r="K111" s="22" t="s">
        <v>10516</v>
      </c>
      <c r="L111" s="23" t="n">
        <v>45357</v>
      </c>
      <c r="M111" s="22" t="n">
        <f aca="false">COUNTIFS('Skip PDF Index'!$B$6:$B$11,D111,'Skip PDF Index'!$D$6:$D$11,C111,'Skip PDF Index'!$F$6:$F$11,I111)</f>
        <v>0</v>
      </c>
      <c r="N111" s="22" t="n">
        <f aca="false">COUNTIFS('Skip PDF Index'!$B$6:$B$11,D111,'Skip PDF Index'!$D$6:$D$11,C111,'Skip PDF Index'!$E$6:$E$11,G111,'Skip PDF Index'!$F$6:$F$11,I111)</f>
        <v>0</v>
      </c>
      <c r="O111" s="22" t="n">
        <f aca="false">COUNTIFS('Skip PDF Index'!$B$6:$B$11,D111,'Skip PDF Index'!$D$6:$D$11,C111,'Skip PDF Index'!$E$6:$E$11,G111,'Skip PDF Index'!$F$6:$F$11,I111,'Skip PDF Index'!$H$6:$H$11,"SUPPORTING RECORD")</f>
        <v>0</v>
      </c>
      <c r="P111" s="22" t="n">
        <f aca="false">COUNTIFS('Offer Events'!$A$2:$A$1487,B111,'Offer Events'!$B$2:$B$1487,C111,'Offer Events'!$C$2:$C$1487,D111,'Offer Events'!$E$2:$E$1487,G111,'Offer Events'!$L$2:$L$1487,"SKIPPED",'Offer Events'!$P$2:$P$1487,I111)</f>
        <v>1</v>
      </c>
      <c r="Q111" s="22" t="str">
        <f aca="false">IF(L111&lt;=C111,"Y","N")</f>
        <v>N</v>
      </c>
      <c r="R111" s="22" t="str">
        <f aca="false">IF(AND(O111&gt;0,P111&gt;0,Q111="Y"),"Y","N")</f>
        <v>N</v>
      </c>
      <c r="S111" s="22" t="str">
        <f aca="false">IF(P111=0,"Offer register missing/mismatch",IF(N111=0,IF(M111&gt;0,"PDF slip mismatch","No matching PDF"),IF(O111=0,"PDF lacks supporting record","Reconciled")))</f>
        <v>No matching PDF</v>
      </c>
      <c r="T111" s="22" t="str">
        <f aca="false">IF(R111="Y","Compliant",S111&amp;IF(Q111="N","; review after skip",""))</f>
        <v>No matching PDF; review after skip</v>
      </c>
      <c r="U111" s="22" t="str">
        <f aca="false">IF(R111="Y","",IF(AND(O111&gt;0,P111&gt;0,Q111="N"),"Priority 2","Priority 1"))</f>
        <v>Priority 1</v>
      </c>
    </row>
    <row r="112" customFormat="false" ht="15" hidden="false" customHeight="false" outlineLevel="0" collapsed="false">
      <c r="A112" s="22" t="s">
        <v>10707</v>
      </c>
      <c r="B112" s="22" t="s">
        <v>9504</v>
      </c>
      <c r="C112" s="23" t="n">
        <v>45376</v>
      </c>
      <c r="D112" s="22" t="s">
        <v>3241</v>
      </c>
      <c r="E112" s="22" t="str">
        <f aca="false">IFERROR(VLOOKUP(D112,'Applicant Lookup'!$A$2:$F$2911,2,FALSE()),"Not found")</f>
        <v>Kevin Green</v>
      </c>
      <c r="F112" s="22" t="n">
        <v>1274</v>
      </c>
      <c r="G112" s="22" t="s">
        <v>7574</v>
      </c>
      <c r="H112" s="22" t="s">
        <v>159</v>
      </c>
      <c r="I112" s="22" t="s">
        <v>8603</v>
      </c>
      <c r="J112" s="22" t="s">
        <v>10489</v>
      </c>
      <c r="K112" s="22" t="s">
        <v>10506</v>
      </c>
      <c r="L112" s="23" t="n">
        <v>45377</v>
      </c>
      <c r="M112" s="22" t="n">
        <f aca="false">COUNTIFS('Skip PDF Index'!$B$6:$B$11,D112,'Skip PDF Index'!$D$6:$D$11,C112,'Skip PDF Index'!$F$6:$F$11,I112)</f>
        <v>0</v>
      </c>
      <c r="N112" s="22" t="n">
        <f aca="false">COUNTIFS('Skip PDF Index'!$B$6:$B$11,D112,'Skip PDF Index'!$D$6:$D$11,C112,'Skip PDF Index'!$E$6:$E$11,G112,'Skip PDF Index'!$F$6:$F$11,I112)</f>
        <v>0</v>
      </c>
      <c r="O112" s="22" t="n">
        <f aca="false">COUNTIFS('Skip PDF Index'!$B$6:$B$11,D112,'Skip PDF Index'!$D$6:$D$11,C112,'Skip PDF Index'!$E$6:$E$11,G112,'Skip PDF Index'!$F$6:$F$11,I112,'Skip PDF Index'!$H$6:$H$11,"SUPPORTING RECORD")</f>
        <v>0</v>
      </c>
      <c r="P112" s="22" t="n">
        <f aca="false">COUNTIFS('Offer Events'!$A$2:$A$1487,B112,'Offer Events'!$B$2:$B$1487,C112,'Offer Events'!$C$2:$C$1487,D112,'Offer Events'!$E$2:$E$1487,G112,'Offer Events'!$L$2:$L$1487,"SKIPPED",'Offer Events'!$P$2:$P$1487,I112)</f>
        <v>1</v>
      </c>
      <c r="Q112" s="22" t="str">
        <f aca="false">IF(L112&lt;=C112,"Y","N")</f>
        <v>N</v>
      </c>
      <c r="R112" s="22" t="str">
        <f aca="false">IF(AND(O112&gt;0,P112&gt;0,Q112="Y"),"Y","N")</f>
        <v>N</v>
      </c>
      <c r="S112" s="22" t="str">
        <f aca="false">IF(P112=0,"Offer register missing/mismatch",IF(N112=0,IF(M112&gt;0,"PDF slip mismatch","No matching PDF"),IF(O112=0,"PDF lacks supporting record","Reconciled")))</f>
        <v>No matching PDF</v>
      </c>
      <c r="T112" s="22" t="str">
        <f aca="false">IF(R112="Y","Compliant",S112&amp;IF(Q112="N","; review after skip",""))</f>
        <v>No matching PDF; review after skip</v>
      </c>
      <c r="U112" s="22" t="str">
        <f aca="false">IF(R112="Y","",IF(AND(O112&gt;0,P112&gt;0,Q112="N"),"Priority 2","Priority 1"))</f>
        <v>Priority 1</v>
      </c>
    </row>
    <row r="113" customFormat="false" ht="15" hidden="false" customHeight="false" outlineLevel="0" collapsed="false">
      <c r="A113" s="22" t="s">
        <v>10708</v>
      </c>
      <c r="B113" s="22" t="s">
        <v>9506</v>
      </c>
      <c r="C113" s="23" t="n">
        <v>45371</v>
      </c>
      <c r="D113" s="22" t="s">
        <v>6063</v>
      </c>
      <c r="E113" s="22" t="str">
        <f aca="false">IFERROR(VLOOKUP(D113,'Applicant Lookup'!$A$2:$F$2911,2,FALSE()),"Not found")</f>
        <v>Kenneth Williams</v>
      </c>
      <c r="F113" s="22" t="n">
        <v>2661</v>
      </c>
      <c r="G113" s="22" t="s">
        <v>7913</v>
      </c>
      <c r="H113" s="22" t="s">
        <v>215</v>
      </c>
      <c r="I113" s="22" t="s">
        <v>8603</v>
      </c>
      <c r="J113" s="22" t="s">
        <v>10489</v>
      </c>
      <c r="K113" s="22" t="s">
        <v>10506</v>
      </c>
      <c r="L113" s="23" t="n">
        <v>45375</v>
      </c>
      <c r="M113" s="22" t="n">
        <f aca="false">COUNTIFS('Skip PDF Index'!$B$6:$B$11,D113,'Skip PDF Index'!$D$6:$D$11,C113,'Skip PDF Index'!$F$6:$F$11,I113)</f>
        <v>0</v>
      </c>
      <c r="N113" s="22" t="n">
        <f aca="false">COUNTIFS('Skip PDF Index'!$B$6:$B$11,D113,'Skip PDF Index'!$D$6:$D$11,C113,'Skip PDF Index'!$E$6:$E$11,G113,'Skip PDF Index'!$F$6:$F$11,I113)</f>
        <v>0</v>
      </c>
      <c r="O113" s="22" t="n">
        <f aca="false">COUNTIFS('Skip PDF Index'!$B$6:$B$11,D113,'Skip PDF Index'!$D$6:$D$11,C113,'Skip PDF Index'!$E$6:$E$11,G113,'Skip PDF Index'!$F$6:$F$11,I113,'Skip PDF Index'!$H$6:$H$11,"SUPPORTING RECORD")</f>
        <v>0</v>
      </c>
      <c r="P113" s="22" t="n">
        <f aca="false">COUNTIFS('Offer Events'!$A$2:$A$1487,B113,'Offer Events'!$B$2:$B$1487,C113,'Offer Events'!$C$2:$C$1487,D113,'Offer Events'!$E$2:$E$1487,G113,'Offer Events'!$L$2:$L$1487,"SKIPPED",'Offer Events'!$P$2:$P$1487,I113)</f>
        <v>1</v>
      </c>
      <c r="Q113" s="22" t="str">
        <f aca="false">IF(L113&lt;=C113,"Y","N")</f>
        <v>N</v>
      </c>
      <c r="R113" s="22" t="str">
        <f aca="false">IF(AND(O113&gt;0,P113&gt;0,Q113="Y"),"Y","N")</f>
        <v>N</v>
      </c>
      <c r="S113" s="22" t="str">
        <f aca="false">IF(P113=0,"Offer register missing/mismatch",IF(N113=0,IF(M113&gt;0,"PDF slip mismatch","No matching PDF"),IF(O113=0,"PDF lacks supporting record","Reconciled")))</f>
        <v>No matching PDF</v>
      </c>
      <c r="T113" s="22" t="str">
        <f aca="false">IF(R113="Y","Compliant",S113&amp;IF(Q113="N","; review after skip",""))</f>
        <v>No matching PDF; review after skip</v>
      </c>
      <c r="U113" s="22" t="str">
        <f aca="false">IF(R113="Y","",IF(AND(O113&gt;0,P113&gt;0,Q113="N"),"Priority 2","Priority 1"))</f>
        <v>Priority 1</v>
      </c>
    </row>
    <row r="114" customFormat="false" ht="15" hidden="false" customHeight="false" outlineLevel="0" collapsed="false">
      <c r="A114" s="22" t="s">
        <v>10709</v>
      </c>
      <c r="B114" s="22" t="s">
        <v>9507</v>
      </c>
      <c r="C114" s="23" t="n">
        <v>45353</v>
      </c>
      <c r="D114" s="22" t="s">
        <v>4258</v>
      </c>
      <c r="E114" s="22" t="str">
        <f aca="false">IFERROR(VLOOKUP(D114,'Applicant Lookup'!$A$2:$F$2911,2,FALSE()),"Not found")</f>
        <v>Jacqueline Simon</v>
      </c>
      <c r="F114" s="22" t="n">
        <v>1769</v>
      </c>
      <c r="G114" s="22" t="s">
        <v>7968</v>
      </c>
      <c r="H114" s="22" t="s">
        <v>215</v>
      </c>
      <c r="I114" s="22" t="s">
        <v>8631</v>
      </c>
      <c r="J114" s="22" t="s">
        <v>10489</v>
      </c>
      <c r="K114" s="22" t="s">
        <v>10501</v>
      </c>
      <c r="L114" s="23" t="n">
        <v>45354</v>
      </c>
      <c r="M114" s="22" t="n">
        <f aca="false">COUNTIFS('Skip PDF Index'!$B$6:$B$11,D114,'Skip PDF Index'!$D$6:$D$11,C114,'Skip PDF Index'!$F$6:$F$11,I114)</f>
        <v>0</v>
      </c>
      <c r="N114" s="22" t="n">
        <f aca="false">COUNTIFS('Skip PDF Index'!$B$6:$B$11,D114,'Skip PDF Index'!$D$6:$D$11,C114,'Skip PDF Index'!$E$6:$E$11,G114,'Skip PDF Index'!$F$6:$F$11,I114)</f>
        <v>0</v>
      </c>
      <c r="O114" s="22" t="n">
        <f aca="false">COUNTIFS('Skip PDF Index'!$B$6:$B$11,D114,'Skip PDF Index'!$D$6:$D$11,C114,'Skip PDF Index'!$E$6:$E$11,G114,'Skip PDF Index'!$F$6:$F$11,I114,'Skip PDF Index'!$H$6:$H$11,"SUPPORTING RECORD")</f>
        <v>0</v>
      </c>
      <c r="P114" s="22" t="n">
        <f aca="false">COUNTIFS('Offer Events'!$A$2:$A$1487,B114,'Offer Events'!$B$2:$B$1487,C114,'Offer Events'!$C$2:$C$1487,D114,'Offer Events'!$E$2:$E$1487,G114,'Offer Events'!$L$2:$L$1487,"SKIPPED",'Offer Events'!$P$2:$P$1487,I114)</f>
        <v>1</v>
      </c>
      <c r="Q114" s="22" t="str">
        <f aca="false">IF(L114&lt;=C114,"Y","N")</f>
        <v>N</v>
      </c>
      <c r="R114" s="22" t="str">
        <f aca="false">IF(AND(O114&gt;0,P114&gt;0,Q114="Y"),"Y","N")</f>
        <v>N</v>
      </c>
      <c r="S114" s="22" t="str">
        <f aca="false">IF(P114=0,"Offer register missing/mismatch",IF(N114=0,IF(M114&gt;0,"PDF slip mismatch","No matching PDF"),IF(O114=0,"PDF lacks supporting record","Reconciled")))</f>
        <v>No matching PDF</v>
      </c>
      <c r="T114" s="22" t="str">
        <f aca="false">IF(R114="Y","Compliant",S114&amp;IF(Q114="N","; review after skip",""))</f>
        <v>No matching PDF; review after skip</v>
      </c>
      <c r="U114" s="22" t="str">
        <f aca="false">IF(R114="Y","",IF(AND(O114&gt;0,P114&gt;0,Q114="N"),"Priority 2","Priority 1"))</f>
        <v>Priority 1</v>
      </c>
    </row>
    <row r="115" customFormat="false" ht="15" hidden="false" customHeight="false" outlineLevel="0" collapsed="false">
      <c r="A115" s="22" t="s">
        <v>10710</v>
      </c>
      <c r="B115" s="22" t="s">
        <v>9510</v>
      </c>
      <c r="C115" s="23" t="n">
        <v>45384</v>
      </c>
      <c r="D115" s="22" t="s">
        <v>2527</v>
      </c>
      <c r="E115" s="22" t="str">
        <f aca="false">IFERROR(VLOOKUP(D115,'Applicant Lookup'!$A$2:$F$2911,2,FALSE()),"Not found")</f>
        <v>Mathew Trujillo</v>
      </c>
      <c r="F115" s="22" t="n">
        <v>950</v>
      </c>
      <c r="G115" s="22" t="s">
        <v>7881</v>
      </c>
      <c r="H115" s="22" t="s">
        <v>215</v>
      </c>
      <c r="I115" s="22" t="s">
        <v>8603</v>
      </c>
      <c r="J115" s="22" t="s">
        <v>10518</v>
      </c>
      <c r="K115" s="22" t="s">
        <v>10504</v>
      </c>
      <c r="L115" s="23" t="n">
        <v>45384</v>
      </c>
      <c r="M115" s="22" t="n">
        <f aca="false">COUNTIFS('Skip PDF Index'!$B$6:$B$11,D115,'Skip PDF Index'!$D$6:$D$11,C115,'Skip PDF Index'!$F$6:$F$11,I115)</f>
        <v>0</v>
      </c>
      <c r="N115" s="22" t="n">
        <f aca="false">COUNTIFS('Skip PDF Index'!$B$6:$B$11,D115,'Skip PDF Index'!$D$6:$D$11,C115,'Skip PDF Index'!$E$6:$E$11,G115,'Skip PDF Index'!$F$6:$F$11,I115)</f>
        <v>0</v>
      </c>
      <c r="O115" s="22" t="n">
        <f aca="false">COUNTIFS('Skip PDF Index'!$B$6:$B$11,D115,'Skip PDF Index'!$D$6:$D$11,C115,'Skip PDF Index'!$E$6:$E$11,G115,'Skip PDF Index'!$F$6:$F$11,I115,'Skip PDF Index'!$H$6:$H$11,"SUPPORTING RECORD")</f>
        <v>0</v>
      </c>
      <c r="P115" s="22" t="n">
        <f aca="false">COUNTIFS('Offer Events'!$A$2:$A$1487,B115,'Offer Events'!$B$2:$B$1487,C115,'Offer Events'!$C$2:$C$1487,D115,'Offer Events'!$E$2:$E$1487,G115,'Offer Events'!$L$2:$L$1487,"SKIPPED",'Offer Events'!$P$2:$P$1487,I115)</f>
        <v>1</v>
      </c>
      <c r="Q115" s="22" t="str">
        <f aca="false">IF(L115&lt;=C115,"Y","N")</f>
        <v>Y</v>
      </c>
      <c r="R115" s="22" t="str">
        <f aca="false">IF(AND(O115&gt;0,P115&gt;0,Q115="Y"),"Y","N")</f>
        <v>N</v>
      </c>
      <c r="S115" s="22" t="str">
        <f aca="false">IF(P115=0,"Offer register missing/mismatch",IF(N115=0,IF(M115&gt;0,"PDF slip mismatch","No matching PDF"),IF(O115=0,"PDF lacks supporting record","Reconciled")))</f>
        <v>No matching PDF</v>
      </c>
      <c r="T115" s="22" t="str">
        <f aca="false">IF(R115="Y","Compliant",S115&amp;IF(Q115="N","; review after skip",""))</f>
        <v>No matching PDF</v>
      </c>
      <c r="U115" s="22" t="str">
        <f aca="false">IF(R115="Y","",IF(AND(O115&gt;0,P115&gt;0,Q115="N"),"Priority 2","Priority 1"))</f>
        <v>Priority 1</v>
      </c>
    </row>
    <row r="116" customFormat="false" ht="15" hidden="false" customHeight="false" outlineLevel="0" collapsed="false">
      <c r="A116" s="22" t="s">
        <v>10711</v>
      </c>
      <c r="B116" s="22" t="s">
        <v>9513</v>
      </c>
      <c r="C116" s="23" t="n">
        <v>45407</v>
      </c>
      <c r="D116" s="22" t="s">
        <v>4515</v>
      </c>
      <c r="E116" s="22" t="str">
        <f aca="false">IFERROR(VLOOKUP(D116,'Applicant Lookup'!$A$2:$F$2911,2,FALSE()),"Not found")</f>
        <v>Madison Hensley</v>
      </c>
      <c r="F116" s="22" t="n">
        <v>1895</v>
      </c>
      <c r="G116" s="22" t="s">
        <v>7777</v>
      </c>
      <c r="H116" s="22" t="s">
        <v>215</v>
      </c>
      <c r="I116" s="22" t="s">
        <v>8603</v>
      </c>
      <c r="J116" s="22" t="s">
        <v>10489</v>
      </c>
      <c r="K116" s="22" t="s">
        <v>10504</v>
      </c>
      <c r="L116" s="23" t="n">
        <v>45411</v>
      </c>
      <c r="M116" s="22" t="n">
        <f aca="false">COUNTIFS('Skip PDF Index'!$B$6:$B$11,D116,'Skip PDF Index'!$D$6:$D$11,C116,'Skip PDF Index'!$F$6:$F$11,I116)</f>
        <v>0</v>
      </c>
      <c r="N116" s="22" t="n">
        <f aca="false">COUNTIFS('Skip PDF Index'!$B$6:$B$11,D116,'Skip PDF Index'!$D$6:$D$11,C116,'Skip PDF Index'!$E$6:$E$11,G116,'Skip PDF Index'!$F$6:$F$11,I116)</f>
        <v>0</v>
      </c>
      <c r="O116" s="22" t="n">
        <f aca="false">COUNTIFS('Skip PDF Index'!$B$6:$B$11,D116,'Skip PDF Index'!$D$6:$D$11,C116,'Skip PDF Index'!$E$6:$E$11,G116,'Skip PDF Index'!$F$6:$F$11,I116,'Skip PDF Index'!$H$6:$H$11,"SUPPORTING RECORD")</f>
        <v>0</v>
      </c>
      <c r="P116" s="22" t="n">
        <f aca="false">COUNTIFS('Offer Events'!$A$2:$A$1487,B116,'Offer Events'!$B$2:$B$1487,C116,'Offer Events'!$C$2:$C$1487,D116,'Offer Events'!$E$2:$E$1487,G116,'Offer Events'!$L$2:$L$1487,"SKIPPED",'Offer Events'!$P$2:$P$1487,I116)</f>
        <v>1</v>
      </c>
      <c r="Q116" s="22" t="str">
        <f aca="false">IF(L116&lt;=C116,"Y","N")</f>
        <v>N</v>
      </c>
      <c r="R116" s="22" t="str">
        <f aca="false">IF(AND(O116&gt;0,P116&gt;0,Q116="Y"),"Y","N")</f>
        <v>N</v>
      </c>
      <c r="S116" s="22" t="str">
        <f aca="false">IF(P116=0,"Offer register missing/mismatch",IF(N116=0,IF(M116&gt;0,"PDF slip mismatch","No matching PDF"),IF(O116=0,"PDF lacks supporting record","Reconciled")))</f>
        <v>No matching PDF</v>
      </c>
      <c r="T116" s="22" t="str">
        <f aca="false">IF(R116="Y","Compliant",S116&amp;IF(Q116="N","; review after skip",""))</f>
        <v>No matching PDF; review after skip</v>
      </c>
      <c r="U116" s="22" t="str">
        <f aca="false">IF(R116="Y","",IF(AND(O116&gt;0,P116&gt;0,Q116="N"),"Priority 2","Priority 1"))</f>
        <v>Priority 1</v>
      </c>
    </row>
    <row r="117" customFormat="false" ht="15" hidden="false" customHeight="false" outlineLevel="0" collapsed="false">
      <c r="A117" s="22" t="s">
        <v>10712</v>
      </c>
      <c r="B117" s="22" t="s">
        <v>9530</v>
      </c>
      <c r="C117" s="23" t="n">
        <v>45390</v>
      </c>
      <c r="D117" s="22" t="s">
        <v>4769</v>
      </c>
      <c r="E117" s="22" t="str">
        <f aca="false">IFERROR(VLOOKUP(D117,'Applicant Lookup'!$A$2:$F$2911,2,FALSE()),"Not found")</f>
        <v>Jessica Duffy</v>
      </c>
      <c r="F117" s="22" t="n">
        <v>2018</v>
      </c>
      <c r="G117" s="22" t="s">
        <v>7526</v>
      </c>
      <c r="H117" s="22" t="s">
        <v>159</v>
      </c>
      <c r="I117" s="22" t="s">
        <v>8603</v>
      </c>
      <c r="J117" s="22" t="s">
        <v>10489</v>
      </c>
      <c r="K117" s="22" t="s">
        <v>10501</v>
      </c>
      <c r="L117" s="23" t="n">
        <v>45391</v>
      </c>
      <c r="M117" s="22" t="n">
        <f aca="false">COUNTIFS('Skip PDF Index'!$B$6:$B$11,D117,'Skip PDF Index'!$D$6:$D$11,C117,'Skip PDF Index'!$F$6:$F$11,I117)</f>
        <v>0</v>
      </c>
      <c r="N117" s="22" t="n">
        <f aca="false">COUNTIFS('Skip PDF Index'!$B$6:$B$11,D117,'Skip PDF Index'!$D$6:$D$11,C117,'Skip PDF Index'!$E$6:$E$11,G117,'Skip PDF Index'!$F$6:$F$11,I117)</f>
        <v>0</v>
      </c>
      <c r="O117" s="22" t="n">
        <f aca="false">COUNTIFS('Skip PDF Index'!$B$6:$B$11,D117,'Skip PDF Index'!$D$6:$D$11,C117,'Skip PDF Index'!$E$6:$E$11,G117,'Skip PDF Index'!$F$6:$F$11,I117,'Skip PDF Index'!$H$6:$H$11,"SUPPORTING RECORD")</f>
        <v>0</v>
      </c>
      <c r="P117" s="22" t="n">
        <f aca="false">COUNTIFS('Offer Events'!$A$2:$A$1487,B117,'Offer Events'!$B$2:$B$1487,C117,'Offer Events'!$C$2:$C$1487,D117,'Offer Events'!$E$2:$E$1487,G117,'Offer Events'!$L$2:$L$1487,"SKIPPED",'Offer Events'!$P$2:$P$1487,I117)</f>
        <v>1</v>
      </c>
      <c r="Q117" s="22" t="str">
        <f aca="false">IF(L117&lt;=C117,"Y","N")</f>
        <v>N</v>
      </c>
      <c r="R117" s="22" t="str">
        <f aca="false">IF(AND(O117&gt;0,P117&gt;0,Q117="Y"),"Y","N")</f>
        <v>N</v>
      </c>
      <c r="S117" s="22" t="str">
        <f aca="false">IF(P117=0,"Offer register missing/mismatch",IF(N117=0,IF(M117&gt;0,"PDF slip mismatch","No matching PDF"),IF(O117=0,"PDF lacks supporting record","Reconciled")))</f>
        <v>No matching PDF</v>
      </c>
      <c r="T117" s="22" t="str">
        <f aca="false">IF(R117="Y","Compliant",S117&amp;IF(Q117="N","; review after skip",""))</f>
        <v>No matching PDF; review after skip</v>
      </c>
      <c r="U117" s="22" t="str">
        <f aca="false">IF(R117="Y","",IF(AND(O117&gt;0,P117&gt;0,Q117="N"),"Priority 2","Priority 1"))</f>
        <v>Priority 1</v>
      </c>
    </row>
    <row r="118" customFormat="false" ht="15" hidden="false" customHeight="false" outlineLevel="0" collapsed="false">
      <c r="A118" s="22" t="s">
        <v>10713</v>
      </c>
      <c r="B118" s="22" t="s">
        <v>9535</v>
      </c>
      <c r="C118" s="23" t="n">
        <v>45403</v>
      </c>
      <c r="D118" s="22" t="s">
        <v>4625</v>
      </c>
      <c r="E118" s="22" t="str">
        <f aca="false">IFERROR(VLOOKUP(D118,'Applicant Lookup'!$A$2:$F$2911,2,FALSE()),"Not found")</f>
        <v>Michael Salinas</v>
      </c>
      <c r="F118" s="22" t="n">
        <v>1948</v>
      </c>
      <c r="G118" s="22" t="s">
        <v>8326</v>
      </c>
      <c r="H118" s="22" t="s">
        <v>499</v>
      </c>
      <c r="I118" s="22" t="s">
        <v>8603</v>
      </c>
      <c r="J118" s="22" t="s">
        <v>10518</v>
      </c>
      <c r="K118" s="22" t="s">
        <v>10516</v>
      </c>
      <c r="L118" s="23" t="n">
        <v>45406</v>
      </c>
      <c r="M118" s="22" t="n">
        <f aca="false">COUNTIFS('Skip PDF Index'!$B$6:$B$11,D118,'Skip PDF Index'!$D$6:$D$11,C118,'Skip PDF Index'!$F$6:$F$11,I118)</f>
        <v>0</v>
      </c>
      <c r="N118" s="22" t="n">
        <f aca="false">COUNTIFS('Skip PDF Index'!$B$6:$B$11,D118,'Skip PDF Index'!$D$6:$D$11,C118,'Skip PDF Index'!$E$6:$E$11,G118,'Skip PDF Index'!$F$6:$F$11,I118)</f>
        <v>0</v>
      </c>
      <c r="O118" s="22" t="n">
        <f aca="false">COUNTIFS('Skip PDF Index'!$B$6:$B$11,D118,'Skip PDF Index'!$D$6:$D$11,C118,'Skip PDF Index'!$E$6:$E$11,G118,'Skip PDF Index'!$F$6:$F$11,I118,'Skip PDF Index'!$H$6:$H$11,"SUPPORTING RECORD")</f>
        <v>0</v>
      </c>
      <c r="P118" s="22" t="n">
        <f aca="false">COUNTIFS('Offer Events'!$A$2:$A$1487,B118,'Offer Events'!$B$2:$B$1487,C118,'Offer Events'!$C$2:$C$1487,D118,'Offer Events'!$E$2:$E$1487,G118,'Offer Events'!$L$2:$L$1487,"SKIPPED",'Offer Events'!$P$2:$P$1487,I118)</f>
        <v>1</v>
      </c>
      <c r="Q118" s="22" t="str">
        <f aca="false">IF(L118&lt;=C118,"Y","N")</f>
        <v>N</v>
      </c>
      <c r="R118" s="22" t="str">
        <f aca="false">IF(AND(O118&gt;0,P118&gt;0,Q118="Y"),"Y","N")</f>
        <v>N</v>
      </c>
      <c r="S118" s="22" t="str">
        <f aca="false">IF(P118=0,"Offer register missing/mismatch",IF(N118=0,IF(M118&gt;0,"PDF slip mismatch","No matching PDF"),IF(O118=0,"PDF lacks supporting record","Reconciled")))</f>
        <v>No matching PDF</v>
      </c>
      <c r="T118" s="22" t="str">
        <f aca="false">IF(R118="Y","Compliant",S118&amp;IF(Q118="N","; review after skip",""))</f>
        <v>No matching PDF; review after skip</v>
      </c>
      <c r="U118" s="22" t="str">
        <f aca="false">IF(R118="Y","",IF(AND(O118&gt;0,P118&gt;0,Q118="N"),"Priority 2","Priority 1"))</f>
        <v>Priority 1</v>
      </c>
    </row>
    <row r="119" customFormat="false" ht="15" hidden="false" customHeight="false" outlineLevel="0" collapsed="false">
      <c r="A119" s="22" t="s">
        <v>10714</v>
      </c>
      <c r="B119" s="22" t="s">
        <v>9543</v>
      </c>
      <c r="C119" s="23" t="n">
        <v>45420</v>
      </c>
      <c r="D119" s="22" t="s">
        <v>3307</v>
      </c>
      <c r="E119" s="22" t="str">
        <f aca="false">IFERROR(VLOOKUP(D119,'Applicant Lookup'!$A$2:$F$2911,2,FALSE()),"Not found")</f>
        <v>John Patel</v>
      </c>
      <c r="F119" s="22" t="n">
        <v>1305</v>
      </c>
      <c r="G119" s="22" t="s">
        <v>8281</v>
      </c>
      <c r="H119" s="22" t="s">
        <v>499</v>
      </c>
      <c r="I119" s="22" t="s">
        <v>8631</v>
      </c>
      <c r="J119" s="22" t="s">
        <v>10489</v>
      </c>
      <c r="K119" s="22" t="s">
        <v>10496</v>
      </c>
      <c r="L119" s="23" t="n">
        <v>45420</v>
      </c>
      <c r="M119" s="22" t="n">
        <f aca="false">COUNTIFS('Skip PDF Index'!$B$6:$B$11,D119,'Skip PDF Index'!$D$6:$D$11,C119,'Skip PDF Index'!$F$6:$F$11,I119)</f>
        <v>0</v>
      </c>
      <c r="N119" s="22" t="n">
        <f aca="false">COUNTIFS('Skip PDF Index'!$B$6:$B$11,D119,'Skip PDF Index'!$D$6:$D$11,C119,'Skip PDF Index'!$E$6:$E$11,G119,'Skip PDF Index'!$F$6:$F$11,I119)</f>
        <v>0</v>
      </c>
      <c r="O119" s="22" t="n">
        <f aca="false">COUNTIFS('Skip PDF Index'!$B$6:$B$11,D119,'Skip PDF Index'!$D$6:$D$11,C119,'Skip PDF Index'!$E$6:$E$11,G119,'Skip PDF Index'!$F$6:$F$11,I119,'Skip PDF Index'!$H$6:$H$11,"SUPPORTING RECORD")</f>
        <v>0</v>
      </c>
      <c r="P119" s="22" t="n">
        <f aca="false">COUNTIFS('Offer Events'!$A$2:$A$1487,B119,'Offer Events'!$B$2:$B$1487,C119,'Offer Events'!$C$2:$C$1487,D119,'Offer Events'!$E$2:$E$1487,G119,'Offer Events'!$L$2:$L$1487,"SKIPPED",'Offer Events'!$P$2:$P$1487,I119)</f>
        <v>1</v>
      </c>
      <c r="Q119" s="22" t="str">
        <f aca="false">IF(L119&lt;=C119,"Y","N")</f>
        <v>Y</v>
      </c>
      <c r="R119" s="22" t="str">
        <f aca="false">IF(AND(O119&gt;0,P119&gt;0,Q119="Y"),"Y","N")</f>
        <v>N</v>
      </c>
      <c r="S119" s="22" t="str">
        <f aca="false">IF(P119=0,"Offer register missing/mismatch",IF(N119=0,IF(M119&gt;0,"PDF slip mismatch","No matching PDF"),IF(O119=0,"PDF lacks supporting record","Reconciled")))</f>
        <v>No matching PDF</v>
      </c>
      <c r="T119" s="22" t="str">
        <f aca="false">IF(R119="Y","Compliant",S119&amp;IF(Q119="N","; review after skip",""))</f>
        <v>No matching PDF</v>
      </c>
      <c r="U119" s="22" t="str">
        <f aca="false">IF(R119="Y","",IF(AND(O119&gt;0,P119&gt;0,Q119="N"),"Priority 2","Priority 1"))</f>
        <v>Priority 1</v>
      </c>
    </row>
    <row r="120" customFormat="false" ht="15" hidden="false" customHeight="false" outlineLevel="0" collapsed="false">
      <c r="A120" s="22" t="s">
        <v>10715</v>
      </c>
      <c r="B120" s="22" t="s">
        <v>9552</v>
      </c>
      <c r="C120" s="23" t="n">
        <v>45425</v>
      </c>
      <c r="D120" s="22" t="s">
        <v>1914</v>
      </c>
      <c r="E120" s="22" t="str">
        <f aca="false">IFERROR(VLOOKUP(D120,'Applicant Lookup'!$A$2:$F$2911,2,FALSE()),"Not found")</f>
        <v>Christina Smith</v>
      </c>
      <c r="F120" s="22" t="n">
        <v>675</v>
      </c>
      <c r="G120" s="22" t="s">
        <v>7593</v>
      </c>
      <c r="H120" s="22" t="s">
        <v>159</v>
      </c>
      <c r="I120" s="22" t="s">
        <v>8637</v>
      </c>
      <c r="J120" s="22" t="s">
        <v>10489</v>
      </c>
      <c r="K120" s="22" t="s">
        <v>10555</v>
      </c>
      <c r="L120" s="23" t="n">
        <v>45427</v>
      </c>
      <c r="M120" s="22" t="n">
        <f aca="false">COUNTIFS('Skip PDF Index'!$B$6:$B$11,D120,'Skip PDF Index'!$D$6:$D$11,C120,'Skip PDF Index'!$F$6:$F$11,I120)</f>
        <v>0</v>
      </c>
      <c r="N120" s="22" t="n">
        <f aca="false">COUNTIFS('Skip PDF Index'!$B$6:$B$11,D120,'Skip PDF Index'!$D$6:$D$11,C120,'Skip PDF Index'!$E$6:$E$11,G120,'Skip PDF Index'!$F$6:$F$11,I120)</f>
        <v>0</v>
      </c>
      <c r="O120" s="22" t="n">
        <f aca="false">COUNTIFS('Skip PDF Index'!$B$6:$B$11,D120,'Skip PDF Index'!$D$6:$D$11,C120,'Skip PDF Index'!$E$6:$E$11,G120,'Skip PDF Index'!$F$6:$F$11,I120,'Skip PDF Index'!$H$6:$H$11,"SUPPORTING RECORD")</f>
        <v>0</v>
      </c>
      <c r="P120" s="22" t="n">
        <f aca="false">COUNTIFS('Offer Events'!$A$2:$A$1487,B120,'Offer Events'!$B$2:$B$1487,C120,'Offer Events'!$C$2:$C$1487,D120,'Offer Events'!$E$2:$E$1487,G120,'Offer Events'!$L$2:$L$1487,"SKIPPED",'Offer Events'!$P$2:$P$1487,I120)</f>
        <v>1</v>
      </c>
      <c r="Q120" s="22" t="str">
        <f aca="false">IF(L120&lt;=C120,"Y","N")</f>
        <v>N</v>
      </c>
      <c r="R120" s="22" t="str">
        <f aca="false">IF(AND(O120&gt;0,P120&gt;0,Q120="Y"),"Y","N")</f>
        <v>N</v>
      </c>
      <c r="S120" s="22" t="str">
        <f aca="false">IF(P120=0,"Offer register missing/mismatch",IF(N120=0,IF(M120&gt;0,"PDF slip mismatch","No matching PDF"),IF(O120=0,"PDF lacks supporting record","Reconciled")))</f>
        <v>No matching PDF</v>
      </c>
      <c r="T120" s="22" t="str">
        <f aca="false">IF(R120="Y","Compliant",S120&amp;IF(Q120="N","; review after skip",""))</f>
        <v>No matching PDF; review after skip</v>
      </c>
      <c r="U120" s="22" t="str">
        <f aca="false">IF(R120="Y","",IF(AND(O120&gt;0,P120&gt;0,Q120="N"),"Priority 2","Priority 1"))</f>
        <v>Priority 1</v>
      </c>
    </row>
    <row r="121" customFormat="false" ht="15" hidden="false" customHeight="false" outlineLevel="0" collapsed="false">
      <c r="A121" s="22" t="s">
        <v>10716</v>
      </c>
      <c r="B121" s="22" t="s">
        <v>9553</v>
      </c>
      <c r="C121" s="23" t="n">
        <v>45435</v>
      </c>
      <c r="D121" s="22" t="s">
        <v>850</v>
      </c>
      <c r="E121" s="22" t="str">
        <f aca="false">IFERROR(VLOOKUP(D121,'Applicant Lookup'!$A$2:$F$2911,2,FALSE()),"Not found")</f>
        <v>Melissa Villanueva</v>
      </c>
      <c r="F121" s="22" t="n">
        <v>242</v>
      </c>
      <c r="G121" s="22" t="s">
        <v>8286</v>
      </c>
      <c r="H121" s="22" t="s">
        <v>499</v>
      </c>
      <c r="I121" s="22" t="s">
        <v>8631</v>
      </c>
      <c r="J121" s="22" t="s">
        <v>10489</v>
      </c>
      <c r="K121" s="22" t="s">
        <v>10501</v>
      </c>
      <c r="L121" s="23" t="n">
        <v>45436</v>
      </c>
      <c r="M121" s="22" t="n">
        <f aca="false">COUNTIFS('Skip PDF Index'!$B$6:$B$11,D121,'Skip PDF Index'!$D$6:$D$11,C121,'Skip PDF Index'!$F$6:$F$11,I121)</f>
        <v>0</v>
      </c>
      <c r="N121" s="22" t="n">
        <f aca="false">COUNTIFS('Skip PDF Index'!$B$6:$B$11,D121,'Skip PDF Index'!$D$6:$D$11,C121,'Skip PDF Index'!$E$6:$E$11,G121,'Skip PDF Index'!$F$6:$F$11,I121)</f>
        <v>0</v>
      </c>
      <c r="O121" s="22" t="n">
        <f aca="false">COUNTIFS('Skip PDF Index'!$B$6:$B$11,D121,'Skip PDF Index'!$D$6:$D$11,C121,'Skip PDF Index'!$E$6:$E$11,G121,'Skip PDF Index'!$F$6:$F$11,I121,'Skip PDF Index'!$H$6:$H$11,"SUPPORTING RECORD")</f>
        <v>0</v>
      </c>
      <c r="P121" s="22" t="n">
        <f aca="false">COUNTIFS('Offer Events'!$A$2:$A$1487,B121,'Offer Events'!$B$2:$B$1487,C121,'Offer Events'!$C$2:$C$1487,D121,'Offer Events'!$E$2:$E$1487,G121,'Offer Events'!$L$2:$L$1487,"SKIPPED",'Offer Events'!$P$2:$P$1487,I121)</f>
        <v>1</v>
      </c>
      <c r="Q121" s="22" t="str">
        <f aca="false">IF(L121&lt;=C121,"Y","N")</f>
        <v>N</v>
      </c>
      <c r="R121" s="22" t="str">
        <f aca="false">IF(AND(O121&gt;0,P121&gt;0,Q121="Y"),"Y","N")</f>
        <v>N</v>
      </c>
      <c r="S121" s="22" t="str">
        <f aca="false">IF(P121=0,"Offer register missing/mismatch",IF(N121=0,IF(M121&gt;0,"PDF slip mismatch","No matching PDF"),IF(O121=0,"PDF lacks supporting record","Reconciled")))</f>
        <v>No matching PDF</v>
      </c>
      <c r="T121" s="22" t="str">
        <f aca="false">IF(R121="Y","Compliant",S121&amp;IF(Q121="N","; review after skip",""))</f>
        <v>No matching PDF; review after skip</v>
      </c>
      <c r="U121" s="22" t="str">
        <f aca="false">IF(R121="Y","",IF(AND(O121&gt;0,P121&gt;0,Q121="N"),"Priority 2","Priority 1"))</f>
        <v>Priority 1</v>
      </c>
    </row>
    <row r="122" customFormat="false" ht="15" hidden="false" customHeight="false" outlineLevel="0" collapsed="false">
      <c r="A122" s="22" t="s">
        <v>10717</v>
      </c>
      <c r="B122" s="22" t="s">
        <v>9558</v>
      </c>
      <c r="C122" s="23" t="n">
        <v>45431</v>
      </c>
      <c r="D122" s="22" t="s">
        <v>1584</v>
      </c>
      <c r="E122" s="22" t="str">
        <f aca="false">IFERROR(VLOOKUP(D122,'Applicant Lookup'!$A$2:$F$2911,2,FALSE()),"Not found")</f>
        <v>Deborah Spears</v>
      </c>
      <c r="F122" s="22" t="n">
        <v>536</v>
      </c>
      <c r="G122" s="22" t="s">
        <v>8189</v>
      </c>
      <c r="H122" s="22" t="s">
        <v>499</v>
      </c>
      <c r="I122" s="22" t="s">
        <v>8618</v>
      </c>
      <c r="J122" s="22" t="s">
        <v>10489</v>
      </c>
      <c r="K122" s="22" t="s">
        <v>10504</v>
      </c>
      <c r="L122" s="23" t="n">
        <v>45432</v>
      </c>
      <c r="M122" s="22" t="n">
        <f aca="false">COUNTIFS('Skip PDF Index'!$B$6:$B$11,D122,'Skip PDF Index'!$D$6:$D$11,C122,'Skip PDF Index'!$F$6:$F$11,I122)</f>
        <v>0</v>
      </c>
      <c r="N122" s="22" t="n">
        <f aca="false">COUNTIFS('Skip PDF Index'!$B$6:$B$11,D122,'Skip PDF Index'!$D$6:$D$11,C122,'Skip PDF Index'!$E$6:$E$11,G122,'Skip PDF Index'!$F$6:$F$11,I122)</f>
        <v>0</v>
      </c>
      <c r="O122" s="22" t="n">
        <f aca="false">COUNTIFS('Skip PDF Index'!$B$6:$B$11,D122,'Skip PDF Index'!$D$6:$D$11,C122,'Skip PDF Index'!$E$6:$E$11,G122,'Skip PDF Index'!$F$6:$F$11,I122,'Skip PDF Index'!$H$6:$H$11,"SUPPORTING RECORD")</f>
        <v>0</v>
      </c>
      <c r="P122" s="22" t="n">
        <f aca="false">COUNTIFS('Offer Events'!$A$2:$A$1487,B122,'Offer Events'!$B$2:$B$1487,C122,'Offer Events'!$C$2:$C$1487,D122,'Offer Events'!$E$2:$E$1487,G122,'Offer Events'!$L$2:$L$1487,"SKIPPED",'Offer Events'!$P$2:$P$1487,I122)</f>
        <v>1</v>
      </c>
      <c r="Q122" s="22" t="str">
        <f aca="false">IF(L122&lt;=C122,"Y","N")</f>
        <v>N</v>
      </c>
      <c r="R122" s="22" t="str">
        <f aca="false">IF(AND(O122&gt;0,P122&gt;0,Q122="Y"),"Y","N")</f>
        <v>N</v>
      </c>
      <c r="S122" s="22" t="str">
        <f aca="false">IF(P122=0,"Offer register missing/mismatch",IF(N122=0,IF(M122&gt;0,"PDF slip mismatch","No matching PDF"),IF(O122=0,"PDF lacks supporting record","Reconciled")))</f>
        <v>No matching PDF</v>
      </c>
      <c r="T122" s="22" t="str">
        <f aca="false">IF(R122="Y","Compliant",S122&amp;IF(Q122="N","; review after skip",""))</f>
        <v>No matching PDF; review after skip</v>
      </c>
      <c r="U122" s="22" t="str">
        <f aca="false">IF(R122="Y","",IF(AND(O122&gt;0,P122&gt;0,Q122="N"),"Priority 2","Priority 1"))</f>
        <v>Priority 1</v>
      </c>
    </row>
    <row r="123" customFormat="false" ht="15" hidden="false" customHeight="false" outlineLevel="0" collapsed="false">
      <c r="A123" s="22" t="s">
        <v>10718</v>
      </c>
      <c r="B123" s="22" t="s">
        <v>9561</v>
      </c>
      <c r="C123" s="23" t="n">
        <v>45434</v>
      </c>
      <c r="D123" s="22" t="s">
        <v>2670</v>
      </c>
      <c r="E123" s="22" t="str">
        <f aca="false">IFERROR(VLOOKUP(D123,'Applicant Lookup'!$A$2:$F$2911,2,FALSE()),"Not found")</f>
        <v>Elizabeth Harrison</v>
      </c>
      <c r="F123" s="22" t="n">
        <v>1013</v>
      </c>
      <c r="G123" s="22" t="s">
        <v>7502</v>
      </c>
      <c r="H123" s="22" t="s">
        <v>159</v>
      </c>
      <c r="I123" s="22" t="s">
        <v>8618</v>
      </c>
      <c r="J123" s="22" t="s">
        <v>10489</v>
      </c>
      <c r="K123" s="22" t="s">
        <v>10516</v>
      </c>
      <c r="L123" s="23" t="n">
        <v>45435</v>
      </c>
      <c r="M123" s="22" t="n">
        <f aca="false">COUNTIFS('Skip PDF Index'!$B$6:$B$11,D123,'Skip PDF Index'!$D$6:$D$11,C123,'Skip PDF Index'!$F$6:$F$11,I123)</f>
        <v>0</v>
      </c>
      <c r="N123" s="22" t="n">
        <f aca="false">COUNTIFS('Skip PDF Index'!$B$6:$B$11,D123,'Skip PDF Index'!$D$6:$D$11,C123,'Skip PDF Index'!$E$6:$E$11,G123,'Skip PDF Index'!$F$6:$F$11,I123)</f>
        <v>0</v>
      </c>
      <c r="O123" s="22" t="n">
        <f aca="false">COUNTIFS('Skip PDF Index'!$B$6:$B$11,D123,'Skip PDF Index'!$D$6:$D$11,C123,'Skip PDF Index'!$E$6:$E$11,G123,'Skip PDF Index'!$F$6:$F$11,I123,'Skip PDF Index'!$H$6:$H$11,"SUPPORTING RECORD")</f>
        <v>0</v>
      </c>
      <c r="P123" s="22" t="n">
        <f aca="false">COUNTIFS('Offer Events'!$A$2:$A$1487,B123,'Offer Events'!$B$2:$B$1487,C123,'Offer Events'!$C$2:$C$1487,D123,'Offer Events'!$E$2:$E$1487,G123,'Offer Events'!$L$2:$L$1487,"SKIPPED",'Offer Events'!$P$2:$P$1487,I123)</f>
        <v>1</v>
      </c>
      <c r="Q123" s="22" t="str">
        <f aca="false">IF(L123&lt;=C123,"Y","N")</f>
        <v>N</v>
      </c>
      <c r="R123" s="22" t="str">
        <f aca="false">IF(AND(O123&gt;0,P123&gt;0,Q123="Y"),"Y","N")</f>
        <v>N</v>
      </c>
      <c r="S123" s="22" t="str">
        <f aca="false">IF(P123=0,"Offer register missing/mismatch",IF(N123=0,IF(M123&gt;0,"PDF slip mismatch","No matching PDF"),IF(O123=0,"PDF lacks supporting record","Reconciled")))</f>
        <v>No matching PDF</v>
      </c>
      <c r="T123" s="22" t="str">
        <f aca="false">IF(R123="Y","Compliant",S123&amp;IF(Q123="N","; review after skip",""))</f>
        <v>No matching PDF; review after skip</v>
      </c>
      <c r="U123" s="22" t="str">
        <f aca="false">IF(R123="Y","",IF(AND(O123&gt;0,P123&gt;0,Q123="N"),"Priority 2","Priority 1"))</f>
        <v>Priority 1</v>
      </c>
    </row>
    <row r="124" customFormat="false" ht="15" hidden="false" customHeight="false" outlineLevel="0" collapsed="false">
      <c r="A124" s="22" t="s">
        <v>10719</v>
      </c>
      <c r="B124" s="22" t="s">
        <v>9565</v>
      </c>
      <c r="C124" s="23" t="n">
        <v>45427</v>
      </c>
      <c r="D124" s="22" t="s">
        <v>2092</v>
      </c>
      <c r="E124" s="22" t="str">
        <f aca="false">IFERROR(VLOOKUP(D124,'Applicant Lookup'!$A$2:$F$2911,2,FALSE()),"Not found")</f>
        <v>Erin Valencia</v>
      </c>
      <c r="F124" s="22" t="n">
        <v>753</v>
      </c>
      <c r="G124" s="22" t="s">
        <v>7055</v>
      </c>
      <c r="H124" s="22" t="s">
        <v>198</v>
      </c>
      <c r="I124" s="22" t="s">
        <v>8631</v>
      </c>
      <c r="J124" s="22" t="s">
        <v>10489</v>
      </c>
      <c r="K124" s="22" t="s">
        <v>10513</v>
      </c>
      <c r="L124" s="23" t="n">
        <v>45431</v>
      </c>
      <c r="M124" s="22" t="n">
        <f aca="false">COUNTIFS('Skip PDF Index'!$B$6:$B$11,D124,'Skip PDF Index'!$D$6:$D$11,C124,'Skip PDF Index'!$F$6:$F$11,I124)</f>
        <v>0</v>
      </c>
      <c r="N124" s="22" t="n">
        <f aca="false">COUNTIFS('Skip PDF Index'!$B$6:$B$11,D124,'Skip PDF Index'!$D$6:$D$11,C124,'Skip PDF Index'!$E$6:$E$11,G124,'Skip PDF Index'!$F$6:$F$11,I124)</f>
        <v>0</v>
      </c>
      <c r="O124" s="22" t="n">
        <f aca="false">COUNTIFS('Skip PDF Index'!$B$6:$B$11,D124,'Skip PDF Index'!$D$6:$D$11,C124,'Skip PDF Index'!$E$6:$E$11,G124,'Skip PDF Index'!$F$6:$F$11,I124,'Skip PDF Index'!$H$6:$H$11,"SUPPORTING RECORD")</f>
        <v>0</v>
      </c>
      <c r="P124" s="22" t="n">
        <f aca="false">COUNTIFS('Offer Events'!$A$2:$A$1487,B124,'Offer Events'!$B$2:$B$1487,C124,'Offer Events'!$C$2:$C$1487,D124,'Offer Events'!$E$2:$E$1487,G124,'Offer Events'!$L$2:$L$1487,"SKIPPED",'Offer Events'!$P$2:$P$1487,I124)</f>
        <v>1</v>
      </c>
      <c r="Q124" s="22" t="str">
        <f aca="false">IF(L124&lt;=C124,"Y","N")</f>
        <v>N</v>
      </c>
      <c r="R124" s="22" t="str">
        <f aca="false">IF(AND(O124&gt;0,P124&gt;0,Q124="Y"),"Y","N")</f>
        <v>N</v>
      </c>
      <c r="S124" s="22" t="str">
        <f aca="false">IF(P124=0,"Offer register missing/mismatch",IF(N124=0,IF(M124&gt;0,"PDF slip mismatch","No matching PDF"),IF(O124=0,"PDF lacks supporting record","Reconciled")))</f>
        <v>No matching PDF</v>
      </c>
      <c r="T124" s="22" t="str">
        <f aca="false">IF(R124="Y","Compliant",S124&amp;IF(Q124="N","; review after skip",""))</f>
        <v>No matching PDF; review after skip</v>
      </c>
      <c r="U124" s="22" t="str">
        <f aca="false">IF(R124="Y","",IF(AND(O124&gt;0,P124&gt;0,Q124="N"),"Priority 2","Priority 1"))</f>
        <v>Priority 1</v>
      </c>
    </row>
    <row r="125" customFormat="false" ht="15" hidden="false" customHeight="false" outlineLevel="0" collapsed="false">
      <c r="A125" s="22" t="s">
        <v>10720</v>
      </c>
      <c r="B125" s="22" t="s">
        <v>9568</v>
      </c>
      <c r="C125" s="23" t="n">
        <v>45413</v>
      </c>
      <c r="D125" s="22" t="s">
        <v>1049</v>
      </c>
      <c r="E125" s="22" t="str">
        <f aca="false">IFERROR(VLOOKUP(D125,'Applicant Lookup'!$A$2:$F$2911,2,FALSE()),"Not found")</f>
        <v>Denise Montgomery</v>
      </c>
      <c r="F125" s="22" t="n">
        <v>318</v>
      </c>
      <c r="G125" s="22" t="s">
        <v>8429</v>
      </c>
      <c r="H125" s="22" t="s">
        <v>188</v>
      </c>
      <c r="I125" s="22" t="s">
        <v>8637</v>
      </c>
      <c r="J125" s="22" t="s">
        <v>10489</v>
      </c>
      <c r="K125" s="22" t="s">
        <v>10501</v>
      </c>
      <c r="L125" s="23" t="n">
        <v>45416</v>
      </c>
      <c r="M125" s="22" t="n">
        <f aca="false">COUNTIFS('Skip PDF Index'!$B$6:$B$11,D125,'Skip PDF Index'!$D$6:$D$11,C125,'Skip PDF Index'!$F$6:$F$11,I125)</f>
        <v>0</v>
      </c>
      <c r="N125" s="22" t="n">
        <f aca="false">COUNTIFS('Skip PDF Index'!$B$6:$B$11,D125,'Skip PDF Index'!$D$6:$D$11,C125,'Skip PDF Index'!$E$6:$E$11,G125,'Skip PDF Index'!$F$6:$F$11,I125)</f>
        <v>0</v>
      </c>
      <c r="O125" s="22" t="n">
        <f aca="false">COUNTIFS('Skip PDF Index'!$B$6:$B$11,D125,'Skip PDF Index'!$D$6:$D$11,C125,'Skip PDF Index'!$E$6:$E$11,G125,'Skip PDF Index'!$F$6:$F$11,I125,'Skip PDF Index'!$H$6:$H$11,"SUPPORTING RECORD")</f>
        <v>0</v>
      </c>
      <c r="P125" s="22" t="n">
        <f aca="false">COUNTIFS('Offer Events'!$A$2:$A$1487,B125,'Offer Events'!$B$2:$B$1487,C125,'Offer Events'!$C$2:$C$1487,D125,'Offer Events'!$E$2:$E$1487,G125,'Offer Events'!$L$2:$L$1487,"SKIPPED",'Offer Events'!$P$2:$P$1487,I125)</f>
        <v>1</v>
      </c>
      <c r="Q125" s="22" t="str">
        <f aca="false">IF(L125&lt;=C125,"Y","N")</f>
        <v>N</v>
      </c>
      <c r="R125" s="22" t="str">
        <f aca="false">IF(AND(O125&gt;0,P125&gt;0,Q125="Y"),"Y","N")</f>
        <v>N</v>
      </c>
      <c r="S125" s="22" t="str">
        <f aca="false">IF(P125=0,"Offer register missing/mismatch",IF(N125=0,IF(M125&gt;0,"PDF slip mismatch","No matching PDF"),IF(O125=0,"PDF lacks supporting record","Reconciled")))</f>
        <v>No matching PDF</v>
      </c>
      <c r="T125" s="22" t="str">
        <f aca="false">IF(R125="Y","Compliant",S125&amp;IF(Q125="N","; review after skip",""))</f>
        <v>No matching PDF; review after skip</v>
      </c>
      <c r="U125" s="22" t="str">
        <f aca="false">IF(R125="Y","",IF(AND(O125&gt;0,P125&gt;0,Q125="N"),"Priority 2","Priority 1"))</f>
        <v>Priority 1</v>
      </c>
    </row>
    <row r="126" customFormat="false" ht="15" hidden="false" customHeight="false" outlineLevel="0" collapsed="false">
      <c r="A126" s="22" t="s">
        <v>10721</v>
      </c>
      <c r="B126" s="22" t="s">
        <v>9572</v>
      </c>
      <c r="C126" s="23" t="n">
        <v>45433</v>
      </c>
      <c r="D126" s="22" t="s">
        <v>6516</v>
      </c>
      <c r="E126" s="22" t="str">
        <f aca="false">IFERROR(VLOOKUP(D126,'Applicant Lookup'!$A$2:$F$2911,2,FALSE()),"Not found")</f>
        <v>David Melton</v>
      </c>
      <c r="F126" s="22" t="n">
        <v>2891</v>
      </c>
      <c r="G126" s="22" t="s">
        <v>7880</v>
      </c>
      <c r="H126" s="22" t="s">
        <v>215</v>
      </c>
      <c r="I126" s="22" t="s">
        <v>8603</v>
      </c>
      <c r="J126" s="22" t="s">
        <v>10489</v>
      </c>
      <c r="K126" s="22" t="s">
        <v>10501</v>
      </c>
      <c r="L126" s="23" t="n">
        <v>45433</v>
      </c>
      <c r="M126" s="22" t="n">
        <f aca="false">COUNTIFS('Skip PDF Index'!$B$6:$B$11,D126,'Skip PDF Index'!$D$6:$D$11,C126,'Skip PDF Index'!$F$6:$F$11,I126)</f>
        <v>0</v>
      </c>
      <c r="N126" s="22" t="n">
        <f aca="false">COUNTIFS('Skip PDF Index'!$B$6:$B$11,D126,'Skip PDF Index'!$D$6:$D$11,C126,'Skip PDF Index'!$E$6:$E$11,G126,'Skip PDF Index'!$F$6:$F$11,I126)</f>
        <v>0</v>
      </c>
      <c r="O126" s="22" t="n">
        <f aca="false">COUNTIFS('Skip PDF Index'!$B$6:$B$11,D126,'Skip PDF Index'!$D$6:$D$11,C126,'Skip PDF Index'!$E$6:$E$11,G126,'Skip PDF Index'!$F$6:$F$11,I126,'Skip PDF Index'!$H$6:$H$11,"SUPPORTING RECORD")</f>
        <v>0</v>
      </c>
      <c r="P126" s="22" t="n">
        <f aca="false">COUNTIFS('Offer Events'!$A$2:$A$1487,B126,'Offer Events'!$B$2:$B$1487,C126,'Offer Events'!$C$2:$C$1487,D126,'Offer Events'!$E$2:$E$1487,G126,'Offer Events'!$L$2:$L$1487,"SKIPPED",'Offer Events'!$P$2:$P$1487,I126)</f>
        <v>1</v>
      </c>
      <c r="Q126" s="22" t="str">
        <f aca="false">IF(L126&lt;=C126,"Y","N")</f>
        <v>Y</v>
      </c>
      <c r="R126" s="22" t="str">
        <f aca="false">IF(AND(O126&gt;0,P126&gt;0,Q126="Y"),"Y","N")</f>
        <v>N</v>
      </c>
      <c r="S126" s="22" t="str">
        <f aca="false">IF(P126=0,"Offer register missing/mismatch",IF(N126=0,IF(M126&gt;0,"PDF slip mismatch","No matching PDF"),IF(O126=0,"PDF lacks supporting record","Reconciled")))</f>
        <v>No matching PDF</v>
      </c>
      <c r="T126" s="22" t="str">
        <f aca="false">IF(R126="Y","Compliant",S126&amp;IF(Q126="N","; review after skip",""))</f>
        <v>No matching PDF</v>
      </c>
      <c r="U126" s="22" t="str">
        <f aca="false">IF(R126="Y","",IF(AND(O126&gt;0,P126&gt;0,Q126="N"),"Priority 2","Priority 1"))</f>
        <v>Priority 1</v>
      </c>
    </row>
    <row r="127" customFormat="false" ht="15" hidden="false" customHeight="false" outlineLevel="0" collapsed="false">
      <c r="A127" s="22" t="s">
        <v>10722</v>
      </c>
      <c r="B127" s="22" t="s">
        <v>9578</v>
      </c>
      <c r="C127" s="23" t="n">
        <v>45455</v>
      </c>
      <c r="D127" s="22" t="s">
        <v>4785</v>
      </c>
      <c r="E127" s="22" t="str">
        <f aca="false">IFERROR(VLOOKUP(D127,'Applicant Lookup'!$A$2:$F$2911,2,FALSE()),"Not found")</f>
        <v>Amanda Taylor</v>
      </c>
      <c r="F127" s="22" t="n">
        <v>2026</v>
      </c>
      <c r="G127" s="22" t="s">
        <v>6787</v>
      </c>
      <c r="H127" s="22" t="s">
        <v>198</v>
      </c>
      <c r="I127" s="22" t="s">
        <v>8618</v>
      </c>
      <c r="J127" s="22" t="s">
        <v>10489</v>
      </c>
      <c r="K127" s="22" t="s">
        <v>10513</v>
      </c>
      <c r="L127" s="23" t="n">
        <v>45456</v>
      </c>
      <c r="M127" s="22" t="n">
        <f aca="false">COUNTIFS('Skip PDF Index'!$B$6:$B$11,D127,'Skip PDF Index'!$D$6:$D$11,C127,'Skip PDF Index'!$F$6:$F$11,I127)</f>
        <v>0</v>
      </c>
      <c r="N127" s="22" t="n">
        <f aca="false">COUNTIFS('Skip PDF Index'!$B$6:$B$11,D127,'Skip PDF Index'!$D$6:$D$11,C127,'Skip PDF Index'!$E$6:$E$11,G127,'Skip PDF Index'!$F$6:$F$11,I127)</f>
        <v>0</v>
      </c>
      <c r="O127" s="22" t="n">
        <f aca="false">COUNTIFS('Skip PDF Index'!$B$6:$B$11,D127,'Skip PDF Index'!$D$6:$D$11,C127,'Skip PDF Index'!$E$6:$E$11,G127,'Skip PDF Index'!$F$6:$F$11,I127,'Skip PDF Index'!$H$6:$H$11,"SUPPORTING RECORD")</f>
        <v>0</v>
      </c>
      <c r="P127" s="22" t="n">
        <f aca="false">COUNTIFS('Offer Events'!$A$2:$A$1487,B127,'Offer Events'!$B$2:$B$1487,C127,'Offer Events'!$C$2:$C$1487,D127,'Offer Events'!$E$2:$E$1487,G127,'Offer Events'!$L$2:$L$1487,"SKIPPED",'Offer Events'!$P$2:$P$1487,I127)</f>
        <v>1</v>
      </c>
      <c r="Q127" s="22" t="str">
        <f aca="false">IF(L127&lt;=C127,"Y","N")</f>
        <v>N</v>
      </c>
      <c r="R127" s="22" t="str">
        <f aca="false">IF(AND(O127&gt;0,P127&gt;0,Q127="Y"),"Y","N")</f>
        <v>N</v>
      </c>
      <c r="S127" s="22" t="str">
        <f aca="false">IF(P127=0,"Offer register missing/mismatch",IF(N127=0,IF(M127&gt;0,"PDF slip mismatch","No matching PDF"),IF(O127=0,"PDF lacks supporting record","Reconciled")))</f>
        <v>No matching PDF</v>
      </c>
      <c r="T127" s="22" t="str">
        <f aca="false">IF(R127="Y","Compliant",S127&amp;IF(Q127="N","; review after skip",""))</f>
        <v>No matching PDF; review after skip</v>
      </c>
      <c r="U127" s="22" t="str">
        <f aca="false">IF(R127="Y","",IF(AND(O127&gt;0,P127&gt;0,Q127="N"),"Priority 2","Priority 1"))</f>
        <v>Priority 1</v>
      </c>
    </row>
    <row r="128" customFormat="false" ht="15" hidden="false" customHeight="false" outlineLevel="0" collapsed="false">
      <c r="A128" s="22" t="s">
        <v>10723</v>
      </c>
      <c r="B128" s="22" t="s">
        <v>9580</v>
      </c>
      <c r="C128" s="23" t="n">
        <v>45458</v>
      </c>
      <c r="D128" s="22" t="s">
        <v>5229</v>
      </c>
      <c r="E128" s="22" t="str">
        <f aca="false">IFERROR(VLOOKUP(D128,'Applicant Lookup'!$A$2:$F$2911,2,FALSE()),"Not found")</f>
        <v>Howard Sellers</v>
      </c>
      <c r="F128" s="22" t="n">
        <v>2245</v>
      </c>
      <c r="G128" s="22" t="s">
        <v>7187</v>
      </c>
      <c r="H128" s="22" t="s">
        <v>198</v>
      </c>
      <c r="I128" s="22" t="s">
        <v>8603</v>
      </c>
      <c r="J128" s="22" t="s">
        <v>10489</v>
      </c>
      <c r="K128" s="22" t="s">
        <v>10506</v>
      </c>
      <c r="L128" s="23" t="n">
        <v>45463</v>
      </c>
      <c r="M128" s="22" t="n">
        <f aca="false">COUNTIFS('Skip PDF Index'!$B$6:$B$11,D128,'Skip PDF Index'!$D$6:$D$11,C128,'Skip PDF Index'!$F$6:$F$11,I128)</f>
        <v>0</v>
      </c>
      <c r="N128" s="22" t="n">
        <f aca="false">COUNTIFS('Skip PDF Index'!$B$6:$B$11,D128,'Skip PDF Index'!$D$6:$D$11,C128,'Skip PDF Index'!$E$6:$E$11,G128,'Skip PDF Index'!$F$6:$F$11,I128)</f>
        <v>0</v>
      </c>
      <c r="O128" s="22" t="n">
        <f aca="false">COUNTIFS('Skip PDF Index'!$B$6:$B$11,D128,'Skip PDF Index'!$D$6:$D$11,C128,'Skip PDF Index'!$E$6:$E$11,G128,'Skip PDF Index'!$F$6:$F$11,I128,'Skip PDF Index'!$H$6:$H$11,"SUPPORTING RECORD")</f>
        <v>0</v>
      </c>
      <c r="P128" s="22" t="n">
        <f aca="false">COUNTIFS('Offer Events'!$A$2:$A$1487,B128,'Offer Events'!$B$2:$B$1487,C128,'Offer Events'!$C$2:$C$1487,D128,'Offer Events'!$E$2:$E$1487,G128,'Offer Events'!$L$2:$L$1487,"SKIPPED",'Offer Events'!$P$2:$P$1487,I128)</f>
        <v>1</v>
      </c>
      <c r="Q128" s="22" t="str">
        <f aca="false">IF(L128&lt;=C128,"Y","N")</f>
        <v>N</v>
      </c>
      <c r="R128" s="22" t="str">
        <f aca="false">IF(AND(O128&gt;0,P128&gt;0,Q128="Y"),"Y","N")</f>
        <v>N</v>
      </c>
      <c r="S128" s="22" t="str">
        <f aca="false">IF(P128=0,"Offer register missing/mismatch",IF(N128=0,IF(M128&gt;0,"PDF slip mismatch","No matching PDF"),IF(O128=0,"PDF lacks supporting record","Reconciled")))</f>
        <v>No matching PDF</v>
      </c>
      <c r="T128" s="22" t="str">
        <f aca="false">IF(R128="Y","Compliant",S128&amp;IF(Q128="N","; review after skip",""))</f>
        <v>No matching PDF; review after skip</v>
      </c>
      <c r="U128" s="22" t="str">
        <f aca="false">IF(R128="Y","",IF(AND(O128&gt;0,P128&gt;0,Q128="N"),"Priority 2","Priority 1"))</f>
        <v>Priority 1</v>
      </c>
    </row>
    <row r="129" customFormat="false" ht="15" hidden="false" customHeight="false" outlineLevel="0" collapsed="false">
      <c r="A129" s="22" t="s">
        <v>10724</v>
      </c>
      <c r="B129" s="22" t="s">
        <v>9590</v>
      </c>
      <c r="C129" s="23" t="n">
        <v>45457</v>
      </c>
      <c r="D129" s="22" t="s">
        <v>5794</v>
      </c>
      <c r="E129" s="22" t="str">
        <f aca="false">IFERROR(VLOOKUP(D129,'Applicant Lookup'!$A$2:$F$2911,2,FALSE()),"Not found")</f>
        <v>Ashley Logan</v>
      </c>
      <c r="F129" s="22" t="n">
        <v>2527</v>
      </c>
      <c r="G129" s="22" t="s">
        <v>7866</v>
      </c>
      <c r="H129" s="22" t="s">
        <v>215</v>
      </c>
      <c r="I129" s="22" t="s">
        <v>8618</v>
      </c>
      <c r="J129" s="22" t="s">
        <v>10489</v>
      </c>
      <c r="K129" s="22" t="s">
        <v>10506</v>
      </c>
      <c r="L129" s="23" t="n">
        <v>45462</v>
      </c>
      <c r="M129" s="22" t="n">
        <f aca="false">COUNTIFS('Skip PDF Index'!$B$6:$B$11,D129,'Skip PDF Index'!$D$6:$D$11,C129,'Skip PDF Index'!$F$6:$F$11,I129)</f>
        <v>0</v>
      </c>
      <c r="N129" s="22" t="n">
        <f aca="false">COUNTIFS('Skip PDF Index'!$B$6:$B$11,D129,'Skip PDF Index'!$D$6:$D$11,C129,'Skip PDF Index'!$E$6:$E$11,G129,'Skip PDF Index'!$F$6:$F$11,I129)</f>
        <v>0</v>
      </c>
      <c r="O129" s="22" t="n">
        <f aca="false">COUNTIFS('Skip PDF Index'!$B$6:$B$11,D129,'Skip PDF Index'!$D$6:$D$11,C129,'Skip PDF Index'!$E$6:$E$11,G129,'Skip PDF Index'!$F$6:$F$11,I129,'Skip PDF Index'!$H$6:$H$11,"SUPPORTING RECORD")</f>
        <v>0</v>
      </c>
      <c r="P129" s="22" t="n">
        <f aca="false">COUNTIFS('Offer Events'!$A$2:$A$1487,B129,'Offer Events'!$B$2:$B$1487,C129,'Offer Events'!$C$2:$C$1487,D129,'Offer Events'!$E$2:$E$1487,G129,'Offer Events'!$L$2:$L$1487,"SKIPPED",'Offer Events'!$P$2:$P$1487,I129)</f>
        <v>1</v>
      </c>
      <c r="Q129" s="22" t="str">
        <f aca="false">IF(L129&lt;=C129,"Y","N")</f>
        <v>N</v>
      </c>
      <c r="R129" s="22" t="str">
        <f aca="false">IF(AND(O129&gt;0,P129&gt;0,Q129="Y"),"Y","N")</f>
        <v>N</v>
      </c>
      <c r="S129" s="22" t="str">
        <f aca="false">IF(P129=0,"Offer register missing/mismatch",IF(N129=0,IF(M129&gt;0,"PDF slip mismatch","No matching PDF"),IF(O129=0,"PDF lacks supporting record","Reconciled")))</f>
        <v>No matching PDF</v>
      </c>
      <c r="T129" s="22" t="str">
        <f aca="false">IF(R129="Y","Compliant",S129&amp;IF(Q129="N","; review after skip",""))</f>
        <v>No matching PDF; review after skip</v>
      </c>
      <c r="U129" s="22" t="str">
        <f aca="false">IF(R129="Y","",IF(AND(O129&gt;0,P129&gt;0,Q129="N"),"Priority 2","Priority 1"))</f>
        <v>Priority 1</v>
      </c>
    </row>
    <row r="130" customFormat="false" ht="15" hidden="false" customHeight="false" outlineLevel="0" collapsed="false">
      <c r="A130" s="22" t="s">
        <v>10725</v>
      </c>
      <c r="B130" s="22" t="s">
        <v>9595</v>
      </c>
      <c r="C130" s="23" t="n">
        <v>45448</v>
      </c>
      <c r="D130" s="22" t="s">
        <v>583</v>
      </c>
      <c r="E130" s="22" t="str">
        <f aca="false">IFERROR(VLOOKUP(D130,'Applicant Lookup'!$A$2:$F$2911,2,FALSE()),"Not found")</f>
        <v>James Lopez</v>
      </c>
      <c r="F130" s="22" t="n">
        <v>144</v>
      </c>
      <c r="G130" s="22" t="s">
        <v>6696</v>
      </c>
      <c r="H130" s="22" t="s">
        <v>198</v>
      </c>
      <c r="I130" s="22" t="s">
        <v>8603</v>
      </c>
      <c r="J130" s="22" t="s">
        <v>10518</v>
      </c>
      <c r="K130" s="22" t="s">
        <v>10491</v>
      </c>
      <c r="L130" s="23" t="n">
        <v>45451</v>
      </c>
      <c r="M130" s="22" t="n">
        <f aca="false">COUNTIFS('Skip PDF Index'!$B$6:$B$11,D130,'Skip PDF Index'!$D$6:$D$11,C130,'Skip PDF Index'!$F$6:$F$11,I130)</f>
        <v>0</v>
      </c>
      <c r="N130" s="22" t="n">
        <f aca="false">COUNTIFS('Skip PDF Index'!$B$6:$B$11,D130,'Skip PDF Index'!$D$6:$D$11,C130,'Skip PDF Index'!$E$6:$E$11,G130,'Skip PDF Index'!$F$6:$F$11,I130)</f>
        <v>0</v>
      </c>
      <c r="O130" s="22" t="n">
        <f aca="false">COUNTIFS('Skip PDF Index'!$B$6:$B$11,D130,'Skip PDF Index'!$D$6:$D$11,C130,'Skip PDF Index'!$E$6:$E$11,G130,'Skip PDF Index'!$F$6:$F$11,I130,'Skip PDF Index'!$H$6:$H$11,"SUPPORTING RECORD")</f>
        <v>0</v>
      </c>
      <c r="P130" s="22" t="n">
        <f aca="false">COUNTIFS('Offer Events'!$A$2:$A$1487,B130,'Offer Events'!$B$2:$B$1487,C130,'Offer Events'!$C$2:$C$1487,D130,'Offer Events'!$E$2:$E$1487,G130,'Offer Events'!$L$2:$L$1487,"SKIPPED",'Offer Events'!$P$2:$P$1487,I130)</f>
        <v>1</v>
      </c>
      <c r="Q130" s="22" t="str">
        <f aca="false">IF(L130&lt;=C130,"Y","N")</f>
        <v>N</v>
      </c>
      <c r="R130" s="22" t="str">
        <f aca="false">IF(AND(O130&gt;0,P130&gt;0,Q130="Y"),"Y","N")</f>
        <v>N</v>
      </c>
      <c r="S130" s="22" t="str">
        <f aca="false">IF(P130=0,"Offer register missing/mismatch",IF(N130=0,IF(M130&gt;0,"PDF slip mismatch","No matching PDF"),IF(O130=0,"PDF lacks supporting record","Reconciled")))</f>
        <v>No matching PDF</v>
      </c>
      <c r="T130" s="22" t="str">
        <f aca="false">IF(R130="Y","Compliant",S130&amp;IF(Q130="N","; review after skip",""))</f>
        <v>No matching PDF; review after skip</v>
      </c>
      <c r="U130" s="22" t="str">
        <f aca="false">IF(R130="Y","",IF(AND(O130&gt;0,P130&gt;0,Q130="N"),"Priority 2","Priority 1"))</f>
        <v>Priority 1</v>
      </c>
    </row>
    <row r="131" customFormat="false" ht="15" hidden="false" customHeight="false" outlineLevel="0" collapsed="false">
      <c r="A131" s="22" t="s">
        <v>10726</v>
      </c>
      <c r="B131" s="22" t="s">
        <v>9597</v>
      </c>
      <c r="C131" s="23" t="n">
        <v>45451</v>
      </c>
      <c r="D131" s="22" t="s">
        <v>5517</v>
      </c>
      <c r="E131" s="22" t="str">
        <f aca="false">IFERROR(VLOOKUP(D131,'Applicant Lookup'!$A$2:$F$2911,2,FALSE()),"Not found")</f>
        <v>Phillip Ard</v>
      </c>
      <c r="F131" s="22" t="n">
        <v>2390</v>
      </c>
      <c r="G131" s="22" t="s">
        <v>8399</v>
      </c>
      <c r="H131" s="22" t="s">
        <v>188</v>
      </c>
      <c r="I131" s="22" t="s">
        <v>8631</v>
      </c>
      <c r="J131" s="22" t="s">
        <v>10489</v>
      </c>
      <c r="K131" s="22" t="s">
        <v>10516</v>
      </c>
      <c r="L131" s="23" t="n">
        <v>45452</v>
      </c>
      <c r="M131" s="22" t="n">
        <f aca="false">COUNTIFS('Skip PDF Index'!$B$6:$B$11,D131,'Skip PDF Index'!$D$6:$D$11,C131,'Skip PDF Index'!$F$6:$F$11,I131)</f>
        <v>0</v>
      </c>
      <c r="N131" s="22" t="n">
        <f aca="false">COUNTIFS('Skip PDF Index'!$B$6:$B$11,D131,'Skip PDF Index'!$D$6:$D$11,C131,'Skip PDF Index'!$E$6:$E$11,G131,'Skip PDF Index'!$F$6:$F$11,I131)</f>
        <v>0</v>
      </c>
      <c r="O131" s="22" t="n">
        <f aca="false">COUNTIFS('Skip PDF Index'!$B$6:$B$11,D131,'Skip PDF Index'!$D$6:$D$11,C131,'Skip PDF Index'!$E$6:$E$11,G131,'Skip PDF Index'!$F$6:$F$11,I131,'Skip PDF Index'!$H$6:$H$11,"SUPPORTING RECORD")</f>
        <v>0</v>
      </c>
      <c r="P131" s="22" t="n">
        <f aca="false">COUNTIFS('Offer Events'!$A$2:$A$1487,B131,'Offer Events'!$B$2:$B$1487,C131,'Offer Events'!$C$2:$C$1487,D131,'Offer Events'!$E$2:$E$1487,G131,'Offer Events'!$L$2:$L$1487,"SKIPPED",'Offer Events'!$P$2:$P$1487,I131)</f>
        <v>1</v>
      </c>
      <c r="Q131" s="22" t="str">
        <f aca="false">IF(L131&lt;=C131,"Y","N")</f>
        <v>N</v>
      </c>
      <c r="R131" s="22" t="str">
        <f aca="false">IF(AND(O131&gt;0,P131&gt;0,Q131="Y"),"Y","N")</f>
        <v>N</v>
      </c>
      <c r="S131" s="22" t="str">
        <f aca="false">IF(P131=0,"Offer register missing/mismatch",IF(N131=0,IF(M131&gt;0,"PDF slip mismatch","No matching PDF"),IF(O131=0,"PDF lacks supporting record","Reconciled")))</f>
        <v>No matching PDF</v>
      </c>
      <c r="T131" s="22" t="str">
        <f aca="false">IF(R131="Y","Compliant",S131&amp;IF(Q131="N","; review after skip",""))</f>
        <v>No matching PDF; review after skip</v>
      </c>
      <c r="U131" s="22" t="str">
        <f aca="false">IF(R131="Y","",IF(AND(O131&gt;0,P131&gt;0,Q131="N"),"Priority 2","Priority 1"))</f>
        <v>Priority 1</v>
      </c>
    </row>
    <row r="132" customFormat="false" ht="15" hidden="false" customHeight="false" outlineLevel="0" collapsed="false">
      <c r="A132" s="22" t="s">
        <v>10727</v>
      </c>
      <c r="B132" s="22" t="s">
        <v>9598</v>
      </c>
      <c r="C132" s="23" t="n">
        <v>45452</v>
      </c>
      <c r="D132" s="22" t="s">
        <v>1176</v>
      </c>
      <c r="E132" s="22" t="str">
        <f aca="false">IFERROR(VLOOKUP(D132,'Applicant Lookup'!$A$2:$F$2911,2,FALSE()),"Not found")</f>
        <v>Justin Turner</v>
      </c>
      <c r="F132" s="22" t="n">
        <v>368</v>
      </c>
      <c r="G132" s="22" t="s">
        <v>7655</v>
      </c>
      <c r="H132" s="22" t="s">
        <v>159</v>
      </c>
      <c r="I132" s="22" t="s">
        <v>8637</v>
      </c>
      <c r="J132" s="22" t="s">
        <v>10489</v>
      </c>
      <c r="K132" s="22" t="s">
        <v>10511</v>
      </c>
      <c r="L132" s="23" t="n">
        <v>45454</v>
      </c>
      <c r="M132" s="22" t="n">
        <f aca="false">COUNTIFS('Skip PDF Index'!$B$6:$B$11,D132,'Skip PDF Index'!$D$6:$D$11,C132,'Skip PDF Index'!$F$6:$F$11,I132)</f>
        <v>0</v>
      </c>
      <c r="N132" s="22" t="n">
        <f aca="false">COUNTIFS('Skip PDF Index'!$B$6:$B$11,D132,'Skip PDF Index'!$D$6:$D$11,C132,'Skip PDF Index'!$E$6:$E$11,G132,'Skip PDF Index'!$F$6:$F$11,I132)</f>
        <v>0</v>
      </c>
      <c r="O132" s="22" t="n">
        <f aca="false">COUNTIFS('Skip PDF Index'!$B$6:$B$11,D132,'Skip PDF Index'!$D$6:$D$11,C132,'Skip PDF Index'!$E$6:$E$11,G132,'Skip PDF Index'!$F$6:$F$11,I132,'Skip PDF Index'!$H$6:$H$11,"SUPPORTING RECORD")</f>
        <v>0</v>
      </c>
      <c r="P132" s="22" t="n">
        <f aca="false">COUNTIFS('Offer Events'!$A$2:$A$1487,B132,'Offer Events'!$B$2:$B$1487,C132,'Offer Events'!$C$2:$C$1487,D132,'Offer Events'!$E$2:$E$1487,G132,'Offer Events'!$L$2:$L$1487,"SKIPPED",'Offer Events'!$P$2:$P$1487,I132)</f>
        <v>1</v>
      </c>
      <c r="Q132" s="22" t="str">
        <f aca="false">IF(L132&lt;=C132,"Y","N")</f>
        <v>N</v>
      </c>
      <c r="R132" s="22" t="str">
        <f aca="false">IF(AND(O132&gt;0,P132&gt;0,Q132="Y"),"Y","N")</f>
        <v>N</v>
      </c>
      <c r="S132" s="22" t="str">
        <f aca="false">IF(P132=0,"Offer register missing/mismatch",IF(N132=0,IF(M132&gt;0,"PDF slip mismatch","No matching PDF"),IF(O132=0,"PDF lacks supporting record","Reconciled")))</f>
        <v>No matching PDF</v>
      </c>
      <c r="T132" s="22" t="str">
        <f aca="false">IF(R132="Y","Compliant",S132&amp;IF(Q132="N","; review after skip",""))</f>
        <v>No matching PDF; review after skip</v>
      </c>
      <c r="U132" s="22" t="str">
        <f aca="false">IF(R132="Y","",IF(AND(O132&gt;0,P132&gt;0,Q132="N"),"Priority 2","Priority 1"))</f>
        <v>Priority 1</v>
      </c>
    </row>
    <row r="133" customFormat="false" ht="15" hidden="false" customHeight="false" outlineLevel="0" collapsed="false">
      <c r="A133" s="22" t="s">
        <v>10728</v>
      </c>
      <c r="B133" s="22" t="s">
        <v>9624</v>
      </c>
      <c r="C133" s="23" t="n">
        <v>45501</v>
      </c>
      <c r="D133" s="22" t="s">
        <v>2395</v>
      </c>
      <c r="E133" s="22" t="str">
        <f aca="false">IFERROR(VLOOKUP(D133,'Applicant Lookup'!$A$2:$F$2911,2,FALSE()),"Not found")</f>
        <v>Haley Scott</v>
      </c>
      <c r="F133" s="22" t="n">
        <v>889</v>
      </c>
      <c r="G133" s="22" t="s">
        <v>8074</v>
      </c>
      <c r="H133" s="22" t="s">
        <v>499</v>
      </c>
      <c r="I133" s="22" t="s">
        <v>8603</v>
      </c>
      <c r="J133" s="22" t="s">
        <v>10489</v>
      </c>
      <c r="K133" s="22" t="s">
        <v>10504</v>
      </c>
      <c r="L133" s="23" t="n">
        <v>45506</v>
      </c>
      <c r="M133" s="22" t="n">
        <f aca="false">COUNTIFS('Skip PDF Index'!$B$6:$B$11,D133,'Skip PDF Index'!$D$6:$D$11,C133,'Skip PDF Index'!$F$6:$F$11,I133)</f>
        <v>0</v>
      </c>
      <c r="N133" s="22" t="n">
        <f aca="false">COUNTIFS('Skip PDF Index'!$B$6:$B$11,D133,'Skip PDF Index'!$D$6:$D$11,C133,'Skip PDF Index'!$E$6:$E$11,G133,'Skip PDF Index'!$F$6:$F$11,I133)</f>
        <v>0</v>
      </c>
      <c r="O133" s="22" t="n">
        <f aca="false">COUNTIFS('Skip PDF Index'!$B$6:$B$11,D133,'Skip PDF Index'!$D$6:$D$11,C133,'Skip PDF Index'!$E$6:$E$11,G133,'Skip PDF Index'!$F$6:$F$11,I133,'Skip PDF Index'!$H$6:$H$11,"SUPPORTING RECORD")</f>
        <v>0</v>
      </c>
      <c r="P133" s="22" t="n">
        <f aca="false">COUNTIFS('Offer Events'!$A$2:$A$1487,B133,'Offer Events'!$B$2:$B$1487,C133,'Offer Events'!$C$2:$C$1487,D133,'Offer Events'!$E$2:$E$1487,G133,'Offer Events'!$L$2:$L$1487,"SKIPPED",'Offer Events'!$P$2:$P$1487,I133)</f>
        <v>1</v>
      </c>
      <c r="Q133" s="22" t="str">
        <f aca="false">IF(L133&lt;=C133,"Y","N")</f>
        <v>N</v>
      </c>
      <c r="R133" s="22" t="str">
        <f aca="false">IF(AND(O133&gt;0,P133&gt;0,Q133="Y"),"Y","N")</f>
        <v>N</v>
      </c>
      <c r="S133" s="22" t="str">
        <f aca="false">IF(P133=0,"Offer register missing/mismatch",IF(N133=0,IF(M133&gt;0,"PDF slip mismatch","No matching PDF"),IF(O133=0,"PDF lacks supporting record","Reconciled")))</f>
        <v>No matching PDF</v>
      </c>
      <c r="T133" s="22" t="str">
        <f aca="false">IF(R133="Y","Compliant",S133&amp;IF(Q133="N","; review after skip",""))</f>
        <v>No matching PDF; review after skip</v>
      </c>
      <c r="U133" s="22" t="str">
        <f aca="false">IF(R133="Y","",IF(AND(O133&gt;0,P133&gt;0,Q133="N"),"Priority 2","Priority 1"))</f>
        <v>Priority 1</v>
      </c>
    </row>
    <row r="134" customFormat="false" ht="15" hidden="false" customHeight="false" outlineLevel="0" collapsed="false">
      <c r="A134" s="22" t="s">
        <v>10729</v>
      </c>
      <c r="B134" s="22" t="s">
        <v>9629</v>
      </c>
      <c r="C134" s="23" t="n">
        <v>45478</v>
      </c>
      <c r="D134" s="22" t="s">
        <v>1950</v>
      </c>
      <c r="E134" s="22" t="str">
        <f aca="false">IFERROR(VLOOKUP(D134,'Applicant Lookup'!$A$2:$F$2911,2,FALSE()),"Not found")</f>
        <v>Joshua Li</v>
      </c>
      <c r="F134" s="22" t="n">
        <v>691</v>
      </c>
      <c r="G134" s="22" t="s">
        <v>7243</v>
      </c>
      <c r="H134" s="22" t="s">
        <v>198</v>
      </c>
      <c r="I134" s="22" t="s">
        <v>8637</v>
      </c>
      <c r="J134" s="22" t="s">
        <v>10489</v>
      </c>
      <c r="K134" s="22" t="s">
        <v>10513</v>
      </c>
      <c r="L134" s="23" t="n">
        <v>45481</v>
      </c>
      <c r="M134" s="22" t="n">
        <f aca="false">COUNTIFS('Skip PDF Index'!$B$6:$B$11,D134,'Skip PDF Index'!$D$6:$D$11,C134,'Skip PDF Index'!$F$6:$F$11,I134)</f>
        <v>0</v>
      </c>
      <c r="N134" s="22" t="n">
        <f aca="false">COUNTIFS('Skip PDF Index'!$B$6:$B$11,D134,'Skip PDF Index'!$D$6:$D$11,C134,'Skip PDF Index'!$E$6:$E$11,G134,'Skip PDF Index'!$F$6:$F$11,I134)</f>
        <v>0</v>
      </c>
      <c r="O134" s="22" t="n">
        <f aca="false">COUNTIFS('Skip PDF Index'!$B$6:$B$11,D134,'Skip PDF Index'!$D$6:$D$11,C134,'Skip PDF Index'!$E$6:$E$11,G134,'Skip PDF Index'!$F$6:$F$11,I134,'Skip PDF Index'!$H$6:$H$11,"SUPPORTING RECORD")</f>
        <v>0</v>
      </c>
      <c r="P134" s="22" t="n">
        <f aca="false">COUNTIFS('Offer Events'!$A$2:$A$1487,B134,'Offer Events'!$B$2:$B$1487,C134,'Offer Events'!$C$2:$C$1487,D134,'Offer Events'!$E$2:$E$1487,G134,'Offer Events'!$L$2:$L$1487,"SKIPPED",'Offer Events'!$P$2:$P$1487,I134)</f>
        <v>1</v>
      </c>
      <c r="Q134" s="22" t="str">
        <f aca="false">IF(L134&lt;=C134,"Y","N")</f>
        <v>N</v>
      </c>
      <c r="R134" s="22" t="str">
        <f aca="false">IF(AND(O134&gt;0,P134&gt;0,Q134="Y"),"Y","N")</f>
        <v>N</v>
      </c>
      <c r="S134" s="22" t="str">
        <f aca="false">IF(P134=0,"Offer register missing/mismatch",IF(N134=0,IF(M134&gt;0,"PDF slip mismatch","No matching PDF"),IF(O134=0,"PDF lacks supporting record","Reconciled")))</f>
        <v>No matching PDF</v>
      </c>
      <c r="T134" s="22" t="str">
        <f aca="false">IF(R134="Y","Compliant",S134&amp;IF(Q134="N","; review after skip",""))</f>
        <v>No matching PDF; review after skip</v>
      </c>
      <c r="U134" s="22" t="str">
        <f aca="false">IF(R134="Y","",IF(AND(O134&gt;0,P134&gt;0,Q134="N"),"Priority 2","Priority 1"))</f>
        <v>Priority 1</v>
      </c>
    </row>
    <row r="135" customFormat="false" ht="15" hidden="false" customHeight="false" outlineLevel="0" collapsed="false">
      <c r="A135" s="22" t="s">
        <v>10730</v>
      </c>
      <c r="B135" s="22" t="s">
        <v>9630</v>
      </c>
      <c r="C135" s="23" t="n">
        <v>45487</v>
      </c>
      <c r="D135" s="22" t="s">
        <v>4424</v>
      </c>
      <c r="E135" s="22" t="str">
        <f aca="false">IFERROR(VLOOKUP(D135,'Applicant Lookup'!$A$2:$F$2911,2,FALSE()),"Not found")</f>
        <v>Edwin Boone</v>
      </c>
      <c r="F135" s="22" t="n">
        <v>1850</v>
      </c>
      <c r="G135" s="22" t="s">
        <v>8347</v>
      </c>
      <c r="H135" s="22" t="s">
        <v>188</v>
      </c>
      <c r="I135" s="22" t="s">
        <v>8603</v>
      </c>
      <c r="J135" s="22" t="s">
        <v>10489</v>
      </c>
      <c r="K135" s="22" t="s">
        <v>10516</v>
      </c>
      <c r="L135" s="23" t="n">
        <v>45492</v>
      </c>
      <c r="M135" s="22" t="n">
        <f aca="false">COUNTIFS('Skip PDF Index'!$B$6:$B$11,D135,'Skip PDF Index'!$D$6:$D$11,C135,'Skip PDF Index'!$F$6:$F$11,I135)</f>
        <v>0</v>
      </c>
      <c r="N135" s="22" t="n">
        <f aca="false">COUNTIFS('Skip PDF Index'!$B$6:$B$11,D135,'Skip PDF Index'!$D$6:$D$11,C135,'Skip PDF Index'!$E$6:$E$11,G135,'Skip PDF Index'!$F$6:$F$11,I135)</f>
        <v>0</v>
      </c>
      <c r="O135" s="22" t="n">
        <f aca="false">COUNTIFS('Skip PDF Index'!$B$6:$B$11,D135,'Skip PDF Index'!$D$6:$D$11,C135,'Skip PDF Index'!$E$6:$E$11,G135,'Skip PDF Index'!$F$6:$F$11,I135,'Skip PDF Index'!$H$6:$H$11,"SUPPORTING RECORD")</f>
        <v>0</v>
      </c>
      <c r="P135" s="22" t="n">
        <f aca="false">COUNTIFS('Offer Events'!$A$2:$A$1487,B135,'Offer Events'!$B$2:$B$1487,C135,'Offer Events'!$C$2:$C$1487,D135,'Offer Events'!$E$2:$E$1487,G135,'Offer Events'!$L$2:$L$1487,"SKIPPED",'Offer Events'!$P$2:$P$1487,I135)</f>
        <v>1</v>
      </c>
      <c r="Q135" s="22" t="str">
        <f aca="false">IF(L135&lt;=C135,"Y","N")</f>
        <v>N</v>
      </c>
      <c r="R135" s="22" t="str">
        <f aca="false">IF(AND(O135&gt;0,P135&gt;0,Q135="Y"),"Y","N")</f>
        <v>N</v>
      </c>
      <c r="S135" s="22" t="str">
        <f aca="false">IF(P135=0,"Offer register missing/mismatch",IF(N135=0,IF(M135&gt;0,"PDF slip mismatch","No matching PDF"),IF(O135=0,"PDF lacks supporting record","Reconciled")))</f>
        <v>No matching PDF</v>
      </c>
      <c r="T135" s="22" t="str">
        <f aca="false">IF(R135="Y","Compliant",S135&amp;IF(Q135="N","; review after skip",""))</f>
        <v>No matching PDF; review after skip</v>
      </c>
      <c r="U135" s="22" t="str">
        <f aca="false">IF(R135="Y","",IF(AND(O135&gt;0,P135&gt;0,Q135="N"),"Priority 2","Priority 1"))</f>
        <v>Priority 1</v>
      </c>
    </row>
    <row r="136" customFormat="false" ht="15" hidden="false" customHeight="false" outlineLevel="0" collapsed="false">
      <c r="A136" s="22" t="s">
        <v>10731</v>
      </c>
      <c r="B136" s="22" t="s">
        <v>9634</v>
      </c>
      <c r="C136" s="23" t="n">
        <v>45522</v>
      </c>
      <c r="D136" s="22" t="s">
        <v>6263</v>
      </c>
      <c r="E136" s="22" t="str">
        <f aca="false">IFERROR(VLOOKUP(D136,'Applicant Lookup'!$A$2:$F$2911,2,FALSE()),"Not found")</f>
        <v>Kristen Anderson</v>
      </c>
      <c r="F136" s="22" t="n">
        <v>2762</v>
      </c>
      <c r="G136" s="22" t="s">
        <v>6894</v>
      </c>
      <c r="H136" s="22" t="s">
        <v>198</v>
      </c>
      <c r="I136" s="22" t="s">
        <v>8603</v>
      </c>
      <c r="J136" s="22" t="s">
        <v>10489</v>
      </c>
      <c r="K136" s="22" t="s">
        <v>10506</v>
      </c>
      <c r="L136" s="23" t="n">
        <v>45524</v>
      </c>
      <c r="M136" s="22" t="n">
        <f aca="false">COUNTIFS('Skip PDF Index'!$B$6:$B$11,D136,'Skip PDF Index'!$D$6:$D$11,C136,'Skip PDF Index'!$F$6:$F$11,I136)</f>
        <v>0</v>
      </c>
      <c r="N136" s="22" t="n">
        <f aca="false">COUNTIFS('Skip PDF Index'!$B$6:$B$11,D136,'Skip PDF Index'!$D$6:$D$11,C136,'Skip PDF Index'!$E$6:$E$11,G136,'Skip PDF Index'!$F$6:$F$11,I136)</f>
        <v>0</v>
      </c>
      <c r="O136" s="22" t="n">
        <f aca="false">COUNTIFS('Skip PDF Index'!$B$6:$B$11,D136,'Skip PDF Index'!$D$6:$D$11,C136,'Skip PDF Index'!$E$6:$E$11,G136,'Skip PDF Index'!$F$6:$F$11,I136,'Skip PDF Index'!$H$6:$H$11,"SUPPORTING RECORD")</f>
        <v>0</v>
      </c>
      <c r="P136" s="22" t="n">
        <f aca="false">COUNTIFS('Offer Events'!$A$2:$A$1487,B136,'Offer Events'!$B$2:$B$1487,C136,'Offer Events'!$C$2:$C$1487,D136,'Offer Events'!$E$2:$E$1487,G136,'Offer Events'!$L$2:$L$1487,"SKIPPED",'Offer Events'!$P$2:$P$1487,I136)</f>
        <v>1</v>
      </c>
      <c r="Q136" s="22" t="str">
        <f aca="false">IF(L136&lt;=C136,"Y","N")</f>
        <v>N</v>
      </c>
      <c r="R136" s="22" t="str">
        <f aca="false">IF(AND(O136&gt;0,P136&gt;0,Q136="Y"),"Y","N")</f>
        <v>N</v>
      </c>
      <c r="S136" s="22" t="str">
        <f aca="false">IF(P136=0,"Offer register missing/mismatch",IF(N136=0,IF(M136&gt;0,"PDF slip mismatch","No matching PDF"),IF(O136=0,"PDF lacks supporting record","Reconciled")))</f>
        <v>No matching PDF</v>
      </c>
      <c r="T136" s="22" t="str">
        <f aca="false">IF(R136="Y","Compliant",S136&amp;IF(Q136="N","; review after skip",""))</f>
        <v>No matching PDF; review after skip</v>
      </c>
      <c r="U136" s="22" t="str">
        <f aca="false">IF(R136="Y","",IF(AND(O136&gt;0,P136&gt;0,Q136="N"),"Priority 2","Priority 1"))</f>
        <v>Priority 1</v>
      </c>
    </row>
    <row r="137" customFormat="false" ht="15" hidden="false" customHeight="false" outlineLevel="0" collapsed="false">
      <c r="A137" s="22" t="s">
        <v>10732</v>
      </c>
      <c r="B137" s="22" t="s">
        <v>9635</v>
      </c>
      <c r="C137" s="23" t="n">
        <v>45510</v>
      </c>
      <c r="D137" s="22" t="s">
        <v>5824</v>
      </c>
      <c r="E137" s="22" t="str">
        <f aca="false">IFERROR(VLOOKUP(D137,'Applicant Lookup'!$A$2:$F$2911,2,FALSE()),"Not found")</f>
        <v>Kristina Rivas</v>
      </c>
      <c r="F137" s="22" t="n">
        <v>2542</v>
      </c>
      <c r="G137" s="22" t="s">
        <v>8419</v>
      </c>
      <c r="H137" s="22" t="s">
        <v>188</v>
      </c>
      <c r="I137" s="22" t="s">
        <v>8603</v>
      </c>
      <c r="J137" s="22" t="s">
        <v>10489</v>
      </c>
      <c r="K137" s="22" t="s">
        <v>10504</v>
      </c>
      <c r="L137" s="23" t="n">
        <v>45515</v>
      </c>
      <c r="M137" s="22" t="n">
        <f aca="false">COUNTIFS('Skip PDF Index'!$B$6:$B$11,D137,'Skip PDF Index'!$D$6:$D$11,C137,'Skip PDF Index'!$F$6:$F$11,I137)</f>
        <v>0</v>
      </c>
      <c r="N137" s="22" t="n">
        <f aca="false">COUNTIFS('Skip PDF Index'!$B$6:$B$11,D137,'Skip PDF Index'!$D$6:$D$11,C137,'Skip PDF Index'!$E$6:$E$11,G137,'Skip PDF Index'!$F$6:$F$11,I137)</f>
        <v>0</v>
      </c>
      <c r="O137" s="22" t="n">
        <f aca="false">COUNTIFS('Skip PDF Index'!$B$6:$B$11,D137,'Skip PDF Index'!$D$6:$D$11,C137,'Skip PDF Index'!$E$6:$E$11,G137,'Skip PDF Index'!$F$6:$F$11,I137,'Skip PDF Index'!$H$6:$H$11,"SUPPORTING RECORD")</f>
        <v>0</v>
      </c>
      <c r="P137" s="22" t="n">
        <f aca="false">COUNTIFS('Offer Events'!$A$2:$A$1487,B137,'Offer Events'!$B$2:$B$1487,C137,'Offer Events'!$C$2:$C$1487,D137,'Offer Events'!$E$2:$E$1487,G137,'Offer Events'!$L$2:$L$1487,"SKIPPED",'Offer Events'!$P$2:$P$1487,I137)</f>
        <v>1</v>
      </c>
      <c r="Q137" s="22" t="str">
        <f aca="false">IF(L137&lt;=C137,"Y","N")</f>
        <v>N</v>
      </c>
      <c r="R137" s="22" t="str">
        <f aca="false">IF(AND(O137&gt;0,P137&gt;0,Q137="Y"),"Y","N")</f>
        <v>N</v>
      </c>
      <c r="S137" s="22" t="str">
        <f aca="false">IF(P137=0,"Offer register missing/mismatch",IF(N137=0,IF(M137&gt;0,"PDF slip mismatch","No matching PDF"),IF(O137=0,"PDF lacks supporting record","Reconciled")))</f>
        <v>No matching PDF</v>
      </c>
      <c r="T137" s="22" t="str">
        <f aca="false">IF(R137="Y","Compliant",S137&amp;IF(Q137="N","; review after skip",""))</f>
        <v>No matching PDF; review after skip</v>
      </c>
      <c r="U137" s="22" t="str">
        <f aca="false">IF(R137="Y","",IF(AND(O137&gt;0,P137&gt;0,Q137="N"),"Priority 2","Priority 1"))</f>
        <v>Priority 1</v>
      </c>
    </row>
    <row r="138" customFormat="false" ht="15" hidden="false" customHeight="false" outlineLevel="0" collapsed="false">
      <c r="A138" s="22" t="s">
        <v>10733</v>
      </c>
      <c r="B138" s="22" t="s">
        <v>9636</v>
      </c>
      <c r="C138" s="23" t="n">
        <v>45520</v>
      </c>
      <c r="D138" s="22" t="s">
        <v>6257</v>
      </c>
      <c r="E138" s="22" t="str">
        <f aca="false">IFERROR(VLOOKUP(D138,'Applicant Lookup'!$A$2:$F$2911,2,FALSE()),"Not found")</f>
        <v>Ryan Newton</v>
      </c>
      <c r="F138" s="22" t="n">
        <v>2759</v>
      </c>
      <c r="G138" s="22" t="s">
        <v>8064</v>
      </c>
      <c r="H138" s="22" t="s">
        <v>499</v>
      </c>
      <c r="I138" s="22" t="s">
        <v>8618</v>
      </c>
      <c r="J138" s="22" t="s">
        <v>10489</v>
      </c>
      <c r="K138" s="22" t="s">
        <v>10496</v>
      </c>
      <c r="L138" s="23" t="n">
        <v>45520</v>
      </c>
      <c r="M138" s="22" t="n">
        <f aca="false">COUNTIFS('Skip PDF Index'!$B$6:$B$11,D138,'Skip PDF Index'!$D$6:$D$11,C138,'Skip PDF Index'!$F$6:$F$11,I138)</f>
        <v>0</v>
      </c>
      <c r="N138" s="22" t="n">
        <f aca="false">COUNTIFS('Skip PDF Index'!$B$6:$B$11,D138,'Skip PDF Index'!$D$6:$D$11,C138,'Skip PDF Index'!$E$6:$E$11,G138,'Skip PDF Index'!$F$6:$F$11,I138)</f>
        <v>0</v>
      </c>
      <c r="O138" s="22" t="n">
        <f aca="false">COUNTIFS('Skip PDF Index'!$B$6:$B$11,D138,'Skip PDF Index'!$D$6:$D$11,C138,'Skip PDF Index'!$E$6:$E$11,G138,'Skip PDF Index'!$F$6:$F$11,I138,'Skip PDF Index'!$H$6:$H$11,"SUPPORTING RECORD")</f>
        <v>0</v>
      </c>
      <c r="P138" s="22" t="n">
        <f aca="false">COUNTIFS('Offer Events'!$A$2:$A$1487,B138,'Offer Events'!$B$2:$B$1487,C138,'Offer Events'!$C$2:$C$1487,D138,'Offer Events'!$E$2:$E$1487,G138,'Offer Events'!$L$2:$L$1487,"SKIPPED",'Offer Events'!$P$2:$P$1487,I138)</f>
        <v>1</v>
      </c>
      <c r="Q138" s="22" t="str">
        <f aca="false">IF(L138&lt;=C138,"Y","N")</f>
        <v>Y</v>
      </c>
      <c r="R138" s="22" t="str">
        <f aca="false">IF(AND(O138&gt;0,P138&gt;0,Q138="Y"),"Y","N")</f>
        <v>N</v>
      </c>
      <c r="S138" s="22" t="str">
        <f aca="false">IF(P138=0,"Offer register missing/mismatch",IF(N138=0,IF(M138&gt;0,"PDF slip mismatch","No matching PDF"),IF(O138=0,"PDF lacks supporting record","Reconciled")))</f>
        <v>No matching PDF</v>
      </c>
      <c r="T138" s="22" t="str">
        <f aca="false">IF(R138="Y","Compliant",S138&amp;IF(Q138="N","; review after skip",""))</f>
        <v>No matching PDF</v>
      </c>
      <c r="U138" s="22" t="str">
        <f aca="false">IF(R138="Y","",IF(AND(O138&gt;0,P138&gt;0,Q138="N"),"Priority 2","Priority 1"))</f>
        <v>Priority 1</v>
      </c>
    </row>
    <row r="139" customFormat="false" ht="15" hidden="false" customHeight="false" outlineLevel="0" collapsed="false">
      <c r="A139" s="22" t="s">
        <v>10734</v>
      </c>
      <c r="B139" s="22" t="s">
        <v>9637</v>
      </c>
      <c r="C139" s="23" t="n">
        <v>45514</v>
      </c>
      <c r="D139" s="22" t="s">
        <v>155</v>
      </c>
      <c r="E139" s="22" t="str">
        <f aca="false">IFERROR(VLOOKUP(D139,'Applicant Lookup'!$A$2:$F$2911,2,FALSE()),"Not found")</f>
        <v>Valerie Jones</v>
      </c>
      <c r="F139" s="22" t="n">
        <v>1</v>
      </c>
      <c r="G139" s="22" t="s">
        <v>7666</v>
      </c>
      <c r="H139" s="22" t="s">
        <v>159</v>
      </c>
      <c r="I139" s="22" t="s">
        <v>8618</v>
      </c>
      <c r="J139" s="22" t="s">
        <v>10489</v>
      </c>
      <c r="K139" s="22" t="s">
        <v>10506</v>
      </c>
      <c r="L139" s="23" t="n">
        <v>45518</v>
      </c>
      <c r="M139" s="22" t="n">
        <f aca="false">COUNTIFS('Skip PDF Index'!$B$6:$B$11,D139,'Skip PDF Index'!$D$6:$D$11,C139,'Skip PDF Index'!$F$6:$F$11,I139)</f>
        <v>0</v>
      </c>
      <c r="N139" s="22" t="n">
        <f aca="false">COUNTIFS('Skip PDF Index'!$B$6:$B$11,D139,'Skip PDF Index'!$D$6:$D$11,C139,'Skip PDF Index'!$E$6:$E$11,G139,'Skip PDF Index'!$F$6:$F$11,I139)</f>
        <v>0</v>
      </c>
      <c r="O139" s="22" t="n">
        <f aca="false">COUNTIFS('Skip PDF Index'!$B$6:$B$11,D139,'Skip PDF Index'!$D$6:$D$11,C139,'Skip PDF Index'!$E$6:$E$11,G139,'Skip PDF Index'!$F$6:$F$11,I139,'Skip PDF Index'!$H$6:$H$11,"SUPPORTING RECORD")</f>
        <v>0</v>
      </c>
      <c r="P139" s="22" t="n">
        <f aca="false">COUNTIFS('Offer Events'!$A$2:$A$1487,B139,'Offer Events'!$B$2:$B$1487,C139,'Offer Events'!$C$2:$C$1487,D139,'Offer Events'!$E$2:$E$1487,G139,'Offer Events'!$L$2:$L$1487,"SKIPPED",'Offer Events'!$P$2:$P$1487,I139)</f>
        <v>1</v>
      </c>
      <c r="Q139" s="22" t="str">
        <f aca="false">IF(L139&lt;=C139,"Y","N")</f>
        <v>N</v>
      </c>
      <c r="R139" s="22" t="str">
        <f aca="false">IF(AND(O139&gt;0,P139&gt;0,Q139="Y"),"Y","N")</f>
        <v>N</v>
      </c>
      <c r="S139" s="22" t="str">
        <f aca="false">IF(P139=0,"Offer register missing/mismatch",IF(N139=0,IF(M139&gt;0,"PDF slip mismatch","No matching PDF"),IF(O139=0,"PDF lacks supporting record","Reconciled")))</f>
        <v>No matching PDF</v>
      </c>
      <c r="T139" s="22" t="str">
        <f aca="false">IF(R139="Y","Compliant",S139&amp;IF(Q139="N","; review after skip",""))</f>
        <v>No matching PDF; review after skip</v>
      </c>
      <c r="U139" s="22" t="str">
        <f aca="false">IF(R139="Y","",IF(AND(O139&gt;0,P139&gt;0,Q139="N"),"Priority 2","Priority 1"))</f>
        <v>Priority 1</v>
      </c>
    </row>
    <row r="140" customFormat="false" ht="15" hidden="false" customHeight="false" outlineLevel="0" collapsed="false">
      <c r="A140" s="22" t="s">
        <v>10735</v>
      </c>
      <c r="B140" s="22" t="s">
        <v>9644</v>
      </c>
      <c r="C140" s="23" t="n">
        <v>45529</v>
      </c>
      <c r="D140" s="22" t="s">
        <v>4304</v>
      </c>
      <c r="E140" s="22" t="str">
        <f aca="false">IFERROR(VLOOKUP(D140,'Applicant Lookup'!$A$2:$F$2911,2,FALSE()),"Not found")</f>
        <v>Kyle Jimenez</v>
      </c>
      <c r="F140" s="22" t="n">
        <v>1791</v>
      </c>
      <c r="G140" s="22" t="s">
        <v>8375</v>
      </c>
      <c r="H140" s="22" t="s">
        <v>188</v>
      </c>
      <c r="I140" s="22" t="s">
        <v>8603</v>
      </c>
      <c r="J140" s="22" t="s">
        <v>10489</v>
      </c>
      <c r="K140" s="22" t="s">
        <v>10496</v>
      </c>
      <c r="L140" s="23" t="n">
        <v>45534</v>
      </c>
      <c r="M140" s="22" t="n">
        <f aca="false">COUNTIFS('Skip PDF Index'!$B$6:$B$11,D140,'Skip PDF Index'!$D$6:$D$11,C140,'Skip PDF Index'!$F$6:$F$11,I140)</f>
        <v>0</v>
      </c>
      <c r="N140" s="22" t="n">
        <f aca="false">COUNTIFS('Skip PDF Index'!$B$6:$B$11,D140,'Skip PDF Index'!$D$6:$D$11,C140,'Skip PDF Index'!$E$6:$E$11,G140,'Skip PDF Index'!$F$6:$F$11,I140)</f>
        <v>0</v>
      </c>
      <c r="O140" s="22" t="n">
        <f aca="false">COUNTIFS('Skip PDF Index'!$B$6:$B$11,D140,'Skip PDF Index'!$D$6:$D$11,C140,'Skip PDF Index'!$E$6:$E$11,G140,'Skip PDF Index'!$F$6:$F$11,I140,'Skip PDF Index'!$H$6:$H$11,"SUPPORTING RECORD")</f>
        <v>0</v>
      </c>
      <c r="P140" s="22" t="n">
        <f aca="false">COUNTIFS('Offer Events'!$A$2:$A$1487,B140,'Offer Events'!$B$2:$B$1487,C140,'Offer Events'!$C$2:$C$1487,D140,'Offer Events'!$E$2:$E$1487,G140,'Offer Events'!$L$2:$L$1487,"SKIPPED",'Offer Events'!$P$2:$P$1487,I140)</f>
        <v>1</v>
      </c>
      <c r="Q140" s="22" t="str">
        <f aca="false">IF(L140&lt;=C140,"Y","N")</f>
        <v>N</v>
      </c>
      <c r="R140" s="22" t="str">
        <f aca="false">IF(AND(O140&gt;0,P140&gt;0,Q140="Y"),"Y","N")</f>
        <v>N</v>
      </c>
      <c r="S140" s="22" t="str">
        <f aca="false">IF(P140=0,"Offer register missing/mismatch",IF(N140=0,IF(M140&gt;0,"PDF slip mismatch","No matching PDF"),IF(O140=0,"PDF lacks supporting record","Reconciled")))</f>
        <v>No matching PDF</v>
      </c>
      <c r="T140" s="22" t="str">
        <f aca="false">IF(R140="Y","Compliant",S140&amp;IF(Q140="N","; review after skip",""))</f>
        <v>No matching PDF; review after skip</v>
      </c>
      <c r="U140" s="22" t="str">
        <f aca="false">IF(R140="Y","",IF(AND(O140&gt;0,P140&gt;0,Q140="N"),"Priority 2","Priority 1"))</f>
        <v>Priority 1</v>
      </c>
    </row>
    <row r="141" customFormat="false" ht="15" hidden="false" customHeight="false" outlineLevel="0" collapsed="false">
      <c r="A141" s="22" t="s">
        <v>10736</v>
      </c>
      <c r="B141" s="22" t="s">
        <v>9651</v>
      </c>
      <c r="C141" s="23" t="n">
        <v>45532</v>
      </c>
      <c r="D141" s="22" t="s">
        <v>2635</v>
      </c>
      <c r="E141" s="22" t="str">
        <f aca="false">IFERROR(VLOOKUP(D141,'Applicant Lookup'!$A$2:$F$2911,2,FALSE()),"Not found")</f>
        <v>Katherine Johnson</v>
      </c>
      <c r="F141" s="22" t="n">
        <v>998</v>
      </c>
      <c r="G141" s="22" t="s">
        <v>7723</v>
      </c>
      <c r="H141" s="22" t="s">
        <v>215</v>
      </c>
      <c r="I141" s="22" t="s">
        <v>8603</v>
      </c>
      <c r="J141" s="22" t="s">
        <v>10489</v>
      </c>
      <c r="K141" s="22" t="s">
        <v>10513</v>
      </c>
      <c r="L141" s="23" t="n">
        <v>45532</v>
      </c>
      <c r="M141" s="22" t="n">
        <f aca="false">COUNTIFS('Skip PDF Index'!$B$6:$B$11,D141,'Skip PDF Index'!$D$6:$D$11,C141,'Skip PDF Index'!$F$6:$F$11,I141)</f>
        <v>0</v>
      </c>
      <c r="N141" s="22" t="n">
        <f aca="false">COUNTIFS('Skip PDF Index'!$B$6:$B$11,D141,'Skip PDF Index'!$D$6:$D$11,C141,'Skip PDF Index'!$E$6:$E$11,G141,'Skip PDF Index'!$F$6:$F$11,I141)</f>
        <v>0</v>
      </c>
      <c r="O141" s="22" t="n">
        <f aca="false">COUNTIFS('Skip PDF Index'!$B$6:$B$11,D141,'Skip PDF Index'!$D$6:$D$11,C141,'Skip PDF Index'!$E$6:$E$11,G141,'Skip PDF Index'!$F$6:$F$11,I141,'Skip PDF Index'!$H$6:$H$11,"SUPPORTING RECORD")</f>
        <v>0</v>
      </c>
      <c r="P141" s="22" t="n">
        <f aca="false">COUNTIFS('Offer Events'!$A$2:$A$1487,B141,'Offer Events'!$B$2:$B$1487,C141,'Offer Events'!$C$2:$C$1487,D141,'Offer Events'!$E$2:$E$1487,G141,'Offer Events'!$L$2:$L$1487,"SKIPPED",'Offer Events'!$P$2:$P$1487,I141)</f>
        <v>1</v>
      </c>
      <c r="Q141" s="22" t="str">
        <f aca="false">IF(L141&lt;=C141,"Y","N")</f>
        <v>Y</v>
      </c>
      <c r="R141" s="22" t="str">
        <f aca="false">IF(AND(O141&gt;0,P141&gt;0,Q141="Y"),"Y","N")</f>
        <v>N</v>
      </c>
      <c r="S141" s="22" t="str">
        <f aca="false">IF(P141=0,"Offer register missing/mismatch",IF(N141=0,IF(M141&gt;0,"PDF slip mismatch","No matching PDF"),IF(O141=0,"PDF lacks supporting record","Reconciled")))</f>
        <v>No matching PDF</v>
      </c>
      <c r="T141" s="22" t="str">
        <f aca="false">IF(R141="Y","Compliant",S141&amp;IF(Q141="N","; review after skip",""))</f>
        <v>No matching PDF</v>
      </c>
      <c r="U141" s="22" t="str">
        <f aca="false">IF(R141="Y","",IF(AND(O141&gt;0,P141&gt;0,Q141="N"),"Priority 2","Priority 1"))</f>
        <v>Priority 1</v>
      </c>
    </row>
    <row r="142" customFormat="false" ht="15" hidden="false" customHeight="false" outlineLevel="0" collapsed="false">
      <c r="A142" s="22" t="s">
        <v>10737</v>
      </c>
      <c r="B142" s="22" t="s">
        <v>9668</v>
      </c>
      <c r="C142" s="23" t="n">
        <v>45508</v>
      </c>
      <c r="D142" s="22" t="s">
        <v>4576</v>
      </c>
      <c r="E142" s="22" t="str">
        <f aca="false">IFERROR(VLOOKUP(D142,'Applicant Lookup'!$A$2:$F$2911,2,FALSE()),"Not found")</f>
        <v>Leslie Marsh</v>
      </c>
      <c r="F142" s="22" t="n">
        <v>1925</v>
      </c>
      <c r="G142" s="22" t="s">
        <v>7799</v>
      </c>
      <c r="H142" s="22" t="s">
        <v>215</v>
      </c>
      <c r="I142" s="22" t="s">
        <v>8637</v>
      </c>
      <c r="J142" s="22" t="s">
        <v>10489</v>
      </c>
      <c r="K142" s="22" t="s">
        <v>10516</v>
      </c>
      <c r="L142" s="23" t="n">
        <v>45508</v>
      </c>
      <c r="M142" s="22" t="n">
        <f aca="false">COUNTIFS('Skip PDF Index'!$B$6:$B$11,D142,'Skip PDF Index'!$D$6:$D$11,C142,'Skip PDF Index'!$F$6:$F$11,I142)</f>
        <v>0</v>
      </c>
      <c r="N142" s="22" t="n">
        <f aca="false">COUNTIFS('Skip PDF Index'!$B$6:$B$11,D142,'Skip PDF Index'!$D$6:$D$11,C142,'Skip PDF Index'!$E$6:$E$11,G142,'Skip PDF Index'!$F$6:$F$11,I142)</f>
        <v>0</v>
      </c>
      <c r="O142" s="22" t="n">
        <f aca="false">COUNTIFS('Skip PDF Index'!$B$6:$B$11,D142,'Skip PDF Index'!$D$6:$D$11,C142,'Skip PDF Index'!$E$6:$E$11,G142,'Skip PDF Index'!$F$6:$F$11,I142,'Skip PDF Index'!$H$6:$H$11,"SUPPORTING RECORD")</f>
        <v>0</v>
      </c>
      <c r="P142" s="22" t="n">
        <f aca="false">COUNTIFS('Offer Events'!$A$2:$A$1487,B142,'Offer Events'!$B$2:$B$1487,C142,'Offer Events'!$C$2:$C$1487,D142,'Offer Events'!$E$2:$E$1487,G142,'Offer Events'!$L$2:$L$1487,"SKIPPED",'Offer Events'!$P$2:$P$1487,I142)</f>
        <v>1</v>
      </c>
      <c r="Q142" s="22" t="str">
        <f aca="false">IF(L142&lt;=C142,"Y","N")</f>
        <v>Y</v>
      </c>
      <c r="R142" s="22" t="str">
        <f aca="false">IF(AND(O142&gt;0,P142&gt;0,Q142="Y"),"Y","N")</f>
        <v>N</v>
      </c>
      <c r="S142" s="22" t="str">
        <f aca="false">IF(P142=0,"Offer register missing/mismatch",IF(N142=0,IF(M142&gt;0,"PDF slip mismatch","No matching PDF"),IF(O142=0,"PDF lacks supporting record","Reconciled")))</f>
        <v>No matching PDF</v>
      </c>
      <c r="T142" s="22" t="str">
        <f aca="false">IF(R142="Y","Compliant",S142&amp;IF(Q142="N","; review after skip",""))</f>
        <v>No matching PDF</v>
      </c>
      <c r="U142" s="22" t="str">
        <f aca="false">IF(R142="Y","",IF(AND(O142&gt;0,P142&gt;0,Q142="N"),"Priority 2","Priority 1"))</f>
        <v>Priority 1</v>
      </c>
    </row>
    <row r="143" customFormat="false" ht="15" hidden="false" customHeight="false" outlineLevel="0" collapsed="false">
      <c r="A143" s="22" t="s">
        <v>10738</v>
      </c>
      <c r="B143" s="22" t="s">
        <v>9675</v>
      </c>
      <c r="C143" s="23" t="n">
        <v>45536</v>
      </c>
      <c r="D143" s="22" t="s">
        <v>5969</v>
      </c>
      <c r="E143" s="22" t="str">
        <f aca="false">IFERROR(VLOOKUP(D143,'Applicant Lookup'!$A$2:$F$2911,2,FALSE()),"Not found")</f>
        <v>Kathryn Cook</v>
      </c>
      <c r="F143" s="22" t="n">
        <v>2615</v>
      </c>
      <c r="G143" s="22" t="s">
        <v>7491</v>
      </c>
      <c r="H143" s="22" t="s">
        <v>159</v>
      </c>
      <c r="I143" s="22" t="s">
        <v>8631</v>
      </c>
      <c r="J143" s="22" t="s">
        <v>10489</v>
      </c>
      <c r="K143" s="22" t="s">
        <v>10555</v>
      </c>
      <c r="L143" s="23" t="n">
        <v>45538</v>
      </c>
      <c r="M143" s="22" t="n">
        <f aca="false">COUNTIFS('Skip PDF Index'!$B$6:$B$11,D143,'Skip PDF Index'!$D$6:$D$11,C143,'Skip PDF Index'!$F$6:$F$11,I143)</f>
        <v>0</v>
      </c>
      <c r="N143" s="22" t="n">
        <f aca="false">COUNTIFS('Skip PDF Index'!$B$6:$B$11,D143,'Skip PDF Index'!$D$6:$D$11,C143,'Skip PDF Index'!$E$6:$E$11,G143,'Skip PDF Index'!$F$6:$F$11,I143)</f>
        <v>0</v>
      </c>
      <c r="O143" s="22" t="n">
        <f aca="false">COUNTIFS('Skip PDF Index'!$B$6:$B$11,D143,'Skip PDF Index'!$D$6:$D$11,C143,'Skip PDF Index'!$E$6:$E$11,G143,'Skip PDF Index'!$F$6:$F$11,I143,'Skip PDF Index'!$H$6:$H$11,"SUPPORTING RECORD")</f>
        <v>0</v>
      </c>
      <c r="P143" s="22" t="n">
        <f aca="false">COUNTIFS('Offer Events'!$A$2:$A$1487,B143,'Offer Events'!$B$2:$B$1487,C143,'Offer Events'!$C$2:$C$1487,D143,'Offer Events'!$E$2:$E$1487,G143,'Offer Events'!$L$2:$L$1487,"SKIPPED",'Offer Events'!$P$2:$P$1487,I143)</f>
        <v>1</v>
      </c>
      <c r="Q143" s="22" t="str">
        <f aca="false">IF(L143&lt;=C143,"Y","N")</f>
        <v>N</v>
      </c>
      <c r="R143" s="22" t="str">
        <f aca="false">IF(AND(O143&gt;0,P143&gt;0,Q143="Y"),"Y","N")</f>
        <v>N</v>
      </c>
      <c r="S143" s="22" t="str">
        <f aca="false">IF(P143=0,"Offer register missing/mismatch",IF(N143=0,IF(M143&gt;0,"PDF slip mismatch","No matching PDF"),IF(O143=0,"PDF lacks supporting record","Reconciled")))</f>
        <v>No matching PDF</v>
      </c>
      <c r="T143" s="22" t="str">
        <f aca="false">IF(R143="Y","Compliant",S143&amp;IF(Q143="N","; review after skip",""))</f>
        <v>No matching PDF; review after skip</v>
      </c>
      <c r="U143" s="22" t="str">
        <f aca="false">IF(R143="Y","",IF(AND(O143&gt;0,P143&gt;0,Q143="N"),"Priority 2","Priority 1"))</f>
        <v>Priority 1</v>
      </c>
    </row>
    <row r="144" customFormat="false" ht="15" hidden="false" customHeight="false" outlineLevel="0" collapsed="false">
      <c r="A144" s="22" t="s">
        <v>10739</v>
      </c>
      <c r="B144" s="22" t="s">
        <v>9676</v>
      </c>
      <c r="C144" s="23" t="n">
        <v>45546</v>
      </c>
      <c r="D144" s="22" t="s">
        <v>4859</v>
      </c>
      <c r="E144" s="22" t="str">
        <f aca="false">IFERROR(VLOOKUP(D144,'Applicant Lookup'!$A$2:$F$2911,2,FALSE()),"Not found")</f>
        <v>Donna Garcia</v>
      </c>
      <c r="F144" s="22" t="n">
        <v>2062</v>
      </c>
      <c r="G144" s="22" t="s">
        <v>6730</v>
      </c>
      <c r="H144" s="22" t="s">
        <v>198</v>
      </c>
      <c r="I144" s="22" t="s">
        <v>8631</v>
      </c>
      <c r="J144" s="22" t="s">
        <v>10489</v>
      </c>
      <c r="K144" s="22" t="s">
        <v>10513</v>
      </c>
      <c r="L144" s="23" t="n">
        <v>45548</v>
      </c>
      <c r="M144" s="22" t="n">
        <f aca="false">COUNTIFS('Skip PDF Index'!$B$6:$B$11,D144,'Skip PDF Index'!$D$6:$D$11,C144,'Skip PDF Index'!$F$6:$F$11,I144)</f>
        <v>0</v>
      </c>
      <c r="N144" s="22" t="n">
        <f aca="false">COUNTIFS('Skip PDF Index'!$B$6:$B$11,D144,'Skip PDF Index'!$D$6:$D$11,C144,'Skip PDF Index'!$E$6:$E$11,G144,'Skip PDF Index'!$F$6:$F$11,I144)</f>
        <v>0</v>
      </c>
      <c r="O144" s="22" t="n">
        <f aca="false">COUNTIFS('Skip PDF Index'!$B$6:$B$11,D144,'Skip PDF Index'!$D$6:$D$11,C144,'Skip PDF Index'!$E$6:$E$11,G144,'Skip PDF Index'!$F$6:$F$11,I144,'Skip PDF Index'!$H$6:$H$11,"SUPPORTING RECORD")</f>
        <v>0</v>
      </c>
      <c r="P144" s="22" t="n">
        <f aca="false">COUNTIFS('Offer Events'!$A$2:$A$1487,B144,'Offer Events'!$B$2:$B$1487,C144,'Offer Events'!$C$2:$C$1487,D144,'Offer Events'!$E$2:$E$1487,G144,'Offer Events'!$L$2:$L$1487,"SKIPPED",'Offer Events'!$P$2:$P$1487,I144)</f>
        <v>1</v>
      </c>
      <c r="Q144" s="22" t="str">
        <f aca="false">IF(L144&lt;=C144,"Y","N")</f>
        <v>N</v>
      </c>
      <c r="R144" s="22" t="str">
        <f aca="false">IF(AND(O144&gt;0,P144&gt;0,Q144="Y"),"Y","N")</f>
        <v>N</v>
      </c>
      <c r="S144" s="22" t="str">
        <f aca="false">IF(P144=0,"Offer register missing/mismatch",IF(N144=0,IF(M144&gt;0,"PDF slip mismatch","No matching PDF"),IF(O144=0,"PDF lacks supporting record","Reconciled")))</f>
        <v>No matching PDF</v>
      </c>
      <c r="T144" s="22" t="str">
        <f aca="false">IF(R144="Y","Compliant",S144&amp;IF(Q144="N","; review after skip",""))</f>
        <v>No matching PDF; review after skip</v>
      </c>
      <c r="U144" s="22" t="str">
        <f aca="false">IF(R144="Y","",IF(AND(O144&gt;0,P144&gt;0,Q144="N"),"Priority 2","Priority 1"))</f>
        <v>Priority 1</v>
      </c>
    </row>
    <row r="145" customFormat="false" ht="15" hidden="false" customHeight="false" outlineLevel="0" collapsed="false">
      <c r="A145" s="22" t="s">
        <v>10740</v>
      </c>
      <c r="B145" s="22" t="s">
        <v>9677</v>
      </c>
      <c r="C145" s="23" t="n">
        <v>45542</v>
      </c>
      <c r="D145" s="22" t="s">
        <v>2151</v>
      </c>
      <c r="E145" s="22" t="str">
        <f aca="false">IFERROR(VLOOKUP(D145,'Applicant Lookup'!$A$2:$F$2911,2,FALSE()),"Not found")</f>
        <v>Christy Burke</v>
      </c>
      <c r="F145" s="22" t="n">
        <v>779</v>
      </c>
      <c r="G145" s="22" t="s">
        <v>8413</v>
      </c>
      <c r="H145" s="22" t="s">
        <v>188</v>
      </c>
      <c r="I145" s="22" t="s">
        <v>8637</v>
      </c>
      <c r="J145" s="22" t="s">
        <v>10489</v>
      </c>
      <c r="K145" s="22" t="s">
        <v>10555</v>
      </c>
      <c r="L145" s="23" t="n">
        <v>45543</v>
      </c>
      <c r="M145" s="22" t="n">
        <f aca="false">COUNTIFS('Skip PDF Index'!$B$6:$B$11,D145,'Skip PDF Index'!$D$6:$D$11,C145,'Skip PDF Index'!$F$6:$F$11,I145)</f>
        <v>0</v>
      </c>
      <c r="N145" s="22" t="n">
        <f aca="false">COUNTIFS('Skip PDF Index'!$B$6:$B$11,D145,'Skip PDF Index'!$D$6:$D$11,C145,'Skip PDF Index'!$E$6:$E$11,G145,'Skip PDF Index'!$F$6:$F$11,I145)</f>
        <v>0</v>
      </c>
      <c r="O145" s="22" t="n">
        <f aca="false">COUNTIFS('Skip PDF Index'!$B$6:$B$11,D145,'Skip PDF Index'!$D$6:$D$11,C145,'Skip PDF Index'!$E$6:$E$11,G145,'Skip PDF Index'!$F$6:$F$11,I145,'Skip PDF Index'!$H$6:$H$11,"SUPPORTING RECORD")</f>
        <v>0</v>
      </c>
      <c r="P145" s="22" t="n">
        <f aca="false">COUNTIFS('Offer Events'!$A$2:$A$1487,B145,'Offer Events'!$B$2:$B$1487,C145,'Offer Events'!$C$2:$C$1487,D145,'Offer Events'!$E$2:$E$1487,G145,'Offer Events'!$L$2:$L$1487,"SKIPPED",'Offer Events'!$P$2:$P$1487,I145)</f>
        <v>1</v>
      </c>
      <c r="Q145" s="22" t="str">
        <f aca="false">IF(L145&lt;=C145,"Y","N")</f>
        <v>N</v>
      </c>
      <c r="R145" s="22" t="str">
        <f aca="false">IF(AND(O145&gt;0,P145&gt;0,Q145="Y"),"Y","N")</f>
        <v>N</v>
      </c>
      <c r="S145" s="22" t="str">
        <f aca="false">IF(P145=0,"Offer register missing/mismatch",IF(N145=0,IF(M145&gt;0,"PDF slip mismatch","No matching PDF"),IF(O145=0,"PDF lacks supporting record","Reconciled")))</f>
        <v>No matching PDF</v>
      </c>
      <c r="T145" s="22" t="str">
        <f aca="false">IF(R145="Y","Compliant",S145&amp;IF(Q145="N","; review after skip",""))</f>
        <v>No matching PDF; review after skip</v>
      </c>
      <c r="U145" s="22" t="str">
        <f aca="false">IF(R145="Y","",IF(AND(O145&gt;0,P145&gt;0,Q145="N"),"Priority 2","Priority 1"))</f>
        <v>Priority 1</v>
      </c>
    </row>
    <row r="146" customFormat="false" ht="15" hidden="false" customHeight="false" outlineLevel="0" collapsed="false">
      <c r="A146" s="22" t="s">
        <v>10741</v>
      </c>
      <c r="B146" s="22" t="s">
        <v>9682</v>
      </c>
      <c r="C146" s="23" t="n">
        <v>45536</v>
      </c>
      <c r="D146" s="22" t="s">
        <v>5194</v>
      </c>
      <c r="E146" s="22" t="str">
        <f aca="false">IFERROR(VLOOKUP(D146,'Applicant Lookup'!$A$2:$F$2911,2,FALSE()),"Not found")</f>
        <v>Roy Stuart</v>
      </c>
      <c r="F146" s="22" t="n">
        <v>2228</v>
      </c>
      <c r="G146" s="22" t="s">
        <v>7794</v>
      </c>
      <c r="H146" s="22" t="s">
        <v>215</v>
      </c>
      <c r="I146" s="22" t="s">
        <v>8631</v>
      </c>
      <c r="J146" s="22" t="s">
        <v>10489</v>
      </c>
      <c r="K146" s="22" t="s">
        <v>10511</v>
      </c>
      <c r="L146" s="23" t="n">
        <v>45539</v>
      </c>
      <c r="M146" s="22" t="n">
        <f aca="false">COUNTIFS('Skip PDF Index'!$B$6:$B$11,D146,'Skip PDF Index'!$D$6:$D$11,C146,'Skip PDF Index'!$F$6:$F$11,I146)</f>
        <v>0</v>
      </c>
      <c r="N146" s="22" t="n">
        <f aca="false">COUNTIFS('Skip PDF Index'!$B$6:$B$11,D146,'Skip PDF Index'!$D$6:$D$11,C146,'Skip PDF Index'!$E$6:$E$11,G146,'Skip PDF Index'!$F$6:$F$11,I146)</f>
        <v>0</v>
      </c>
      <c r="O146" s="22" t="n">
        <f aca="false">COUNTIFS('Skip PDF Index'!$B$6:$B$11,D146,'Skip PDF Index'!$D$6:$D$11,C146,'Skip PDF Index'!$E$6:$E$11,G146,'Skip PDF Index'!$F$6:$F$11,I146,'Skip PDF Index'!$H$6:$H$11,"SUPPORTING RECORD")</f>
        <v>0</v>
      </c>
      <c r="P146" s="22" t="n">
        <f aca="false">COUNTIFS('Offer Events'!$A$2:$A$1487,B146,'Offer Events'!$B$2:$B$1487,C146,'Offer Events'!$C$2:$C$1487,D146,'Offer Events'!$E$2:$E$1487,G146,'Offer Events'!$L$2:$L$1487,"SKIPPED",'Offer Events'!$P$2:$P$1487,I146)</f>
        <v>1</v>
      </c>
      <c r="Q146" s="22" t="str">
        <f aca="false">IF(L146&lt;=C146,"Y","N")</f>
        <v>N</v>
      </c>
      <c r="R146" s="22" t="str">
        <f aca="false">IF(AND(O146&gt;0,P146&gt;0,Q146="Y"),"Y","N")</f>
        <v>N</v>
      </c>
      <c r="S146" s="22" t="str">
        <f aca="false">IF(P146=0,"Offer register missing/mismatch",IF(N146=0,IF(M146&gt;0,"PDF slip mismatch","No matching PDF"),IF(O146=0,"PDF lacks supporting record","Reconciled")))</f>
        <v>No matching PDF</v>
      </c>
      <c r="T146" s="22" t="str">
        <f aca="false">IF(R146="Y","Compliant",S146&amp;IF(Q146="N","; review after skip",""))</f>
        <v>No matching PDF; review after skip</v>
      </c>
      <c r="U146" s="22" t="str">
        <f aca="false">IF(R146="Y","",IF(AND(O146&gt;0,P146&gt;0,Q146="N"),"Priority 2","Priority 1"))</f>
        <v>Priority 1</v>
      </c>
    </row>
    <row r="147" customFormat="false" ht="15" hidden="false" customHeight="false" outlineLevel="0" collapsed="false">
      <c r="A147" s="22" t="s">
        <v>10742</v>
      </c>
      <c r="B147" s="22" t="s">
        <v>9683</v>
      </c>
      <c r="C147" s="23" t="n">
        <v>45545</v>
      </c>
      <c r="D147" s="22" t="s">
        <v>5697</v>
      </c>
      <c r="E147" s="22" t="str">
        <f aca="false">IFERROR(VLOOKUP(D147,'Applicant Lookup'!$A$2:$F$2911,2,FALSE()),"Not found")</f>
        <v>Brittney Daugherty</v>
      </c>
      <c r="F147" s="22" t="n">
        <v>2479</v>
      </c>
      <c r="G147" s="22" t="s">
        <v>8492</v>
      </c>
      <c r="H147" s="22" t="s">
        <v>188</v>
      </c>
      <c r="I147" s="22" t="s">
        <v>8603</v>
      </c>
      <c r="J147" s="22" t="s">
        <v>10489</v>
      </c>
      <c r="K147" s="22" t="s">
        <v>10491</v>
      </c>
      <c r="L147" s="23" t="n">
        <v>45550</v>
      </c>
      <c r="M147" s="22" t="n">
        <f aca="false">COUNTIFS('Skip PDF Index'!$B$6:$B$11,D147,'Skip PDF Index'!$D$6:$D$11,C147,'Skip PDF Index'!$F$6:$F$11,I147)</f>
        <v>0</v>
      </c>
      <c r="N147" s="22" t="n">
        <f aca="false">COUNTIFS('Skip PDF Index'!$B$6:$B$11,D147,'Skip PDF Index'!$D$6:$D$11,C147,'Skip PDF Index'!$E$6:$E$11,G147,'Skip PDF Index'!$F$6:$F$11,I147)</f>
        <v>0</v>
      </c>
      <c r="O147" s="22" t="n">
        <f aca="false">COUNTIFS('Skip PDF Index'!$B$6:$B$11,D147,'Skip PDF Index'!$D$6:$D$11,C147,'Skip PDF Index'!$E$6:$E$11,G147,'Skip PDF Index'!$F$6:$F$11,I147,'Skip PDF Index'!$H$6:$H$11,"SUPPORTING RECORD")</f>
        <v>0</v>
      </c>
      <c r="P147" s="22" t="n">
        <f aca="false">COUNTIFS('Offer Events'!$A$2:$A$1487,B147,'Offer Events'!$B$2:$B$1487,C147,'Offer Events'!$C$2:$C$1487,D147,'Offer Events'!$E$2:$E$1487,G147,'Offer Events'!$L$2:$L$1487,"SKIPPED",'Offer Events'!$P$2:$P$1487,I147)</f>
        <v>1</v>
      </c>
      <c r="Q147" s="22" t="str">
        <f aca="false">IF(L147&lt;=C147,"Y","N")</f>
        <v>N</v>
      </c>
      <c r="R147" s="22" t="str">
        <f aca="false">IF(AND(O147&gt;0,P147&gt;0,Q147="Y"),"Y","N")</f>
        <v>N</v>
      </c>
      <c r="S147" s="22" t="str">
        <f aca="false">IF(P147=0,"Offer register missing/mismatch",IF(N147=0,IF(M147&gt;0,"PDF slip mismatch","No matching PDF"),IF(O147=0,"PDF lacks supporting record","Reconciled")))</f>
        <v>No matching PDF</v>
      </c>
      <c r="T147" s="22" t="str">
        <f aca="false">IF(R147="Y","Compliant",S147&amp;IF(Q147="N","; review after skip",""))</f>
        <v>No matching PDF; review after skip</v>
      </c>
      <c r="U147" s="22" t="str">
        <f aca="false">IF(R147="Y","",IF(AND(O147&gt;0,P147&gt;0,Q147="N"),"Priority 2","Priority 1"))</f>
        <v>Priority 1</v>
      </c>
    </row>
    <row r="148" customFormat="false" ht="15" hidden="false" customHeight="false" outlineLevel="0" collapsed="false">
      <c r="A148" s="22" t="s">
        <v>10743</v>
      </c>
      <c r="B148" s="22" t="s">
        <v>9684</v>
      </c>
      <c r="C148" s="23" t="n">
        <v>45549</v>
      </c>
      <c r="D148" s="22" t="s">
        <v>3859</v>
      </c>
      <c r="E148" s="22" t="str">
        <f aca="false">IFERROR(VLOOKUP(D148,'Applicant Lookup'!$A$2:$F$2911,2,FALSE()),"Not found")</f>
        <v>Elizabeth Larsen</v>
      </c>
      <c r="F148" s="22" t="n">
        <v>1574</v>
      </c>
      <c r="G148" s="22" t="s">
        <v>8427</v>
      </c>
      <c r="H148" s="22" t="s">
        <v>188</v>
      </c>
      <c r="I148" s="22" t="s">
        <v>8618</v>
      </c>
      <c r="J148" s="22" t="s">
        <v>10489</v>
      </c>
      <c r="K148" s="22" t="s">
        <v>10496</v>
      </c>
      <c r="L148" s="23" t="n">
        <v>45549</v>
      </c>
      <c r="M148" s="22" t="n">
        <f aca="false">COUNTIFS('Skip PDF Index'!$B$6:$B$11,D148,'Skip PDF Index'!$D$6:$D$11,C148,'Skip PDF Index'!$F$6:$F$11,I148)</f>
        <v>0</v>
      </c>
      <c r="N148" s="22" t="n">
        <f aca="false">COUNTIFS('Skip PDF Index'!$B$6:$B$11,D148,'Skip PDF Index'!$D$6:$D$11,C148,'Skip PDF Index'!$E$6:$E$11,G148,'Skip PDF Index'!$F$6:$F$11,I148)</f>
        <v>0</v>
      </c>
      <c r="O148" s="22" t="n">
        <f aca="false">COUNTIFS('Skip PDF Index'!$B$6:$B$11,D148,'Skip PDF Index'!$D$6:$D$11,C148,'Skip PDF Index'!$E$6:$E$11,G148,'Skip PDF Index'!$F$6:$F$11,I148,'Skip PDF Index'!$H$6:$H$11,"SUPPORTING RECORD")</f>
        <v>0</v>
      </c>
      <c r="P148" s="22" t="n">
        <f aca="false">COUNTIFS('Offer Events'!$A$2:$A$1487,B148,'Offer Events'!$B$2:$B$1487,C148,'Offer Events'!$C$2:$C$1487,D148,'Offer Events'!$E$2:$E$1487,G148,'Offer Events'!$L$2:$L$1487,"SKIPPED",'Offer Events'!$P$2:$P$1487,I148)</f>
        <v>1</v>
      </c>
      <c r="Q148" s="22" t="str">
        <f aca="false">IF(L148&lt;=C148,"Y","N")</f>
        <v>Y</v>
      </c>
      <c r="R148" s="22" t="str">
        <f aca="false">IF(AND(O148&gt;0,P148&gt;0,Q148="Y"),"Y","N")</f>
        <v>N</v>
      </c>
      <c r="S148" s="22" t="str">
        <f aca="false">IF(P148=0,"Offer register missing/mismatch",IF(N148=0,IF(M148&gt;0,"PDF slip mismatch","No matching PDF"),IF(O148=0,"PDF lacks supporting record","Reconciled")))</f>
        <v>No matching PDF</v>
      </c>
      <c r="T148" s="22" t="str">
        <f aca="false">IF(R148="Y","Compliant",S148&amp;IF(Q148="N","; review after skip",""))</f>
        <v>No matching PDF</v>
      </c>
      <c r="U148" s="22" t="str">
        <f aca="false">IF(R148="Y","",IF(AND(O148&gt;0,P148&gt;0,Q148="N"),"Priority 2","Priority 1"))</f>
        <v>Priority 1</v>
      </c>
    </row>
    <row r="149" customFormat="false" ht="15" hidden="false" customHeight="false" outlineLevel="0" collapsed="false">
      <c r="A149" s="22" t="s">
        <v>10744</v>
      </c>
      <c r="B149" s="22" t="s">
        <v>9689</v>
      </c>
      <c r="C149" s="23" t="n">
        <v>45545</v>
      </c>
      <c r="D149" s="22" t="s">
        <v>3371</v>
      </c>
      <c r="E149" s="22" t="str">
        <f aca="false">IFERROR(VLOOKUP(D149,'Applicant Lookup'!$A$2:$F$2911,2,FALSE()),"Not found")</f>
        <v>Jimmy Ford</v>
      </c>
      <c r="F149" s="22" t="n">
        <v>1336</v>
      </c>
      <c r="G149" s="22" t="s">
        <v>7489</v>
      </c>
      <c r="H149" s="22" t="s">
        <v>159</v>
      </c>
      <c r="I149" s="22" t="s">
        <v>8618</v>
      </c>
      <c r="J149" s="22" t="s">
        <v>10489</v>
      </c>
      <c r="K149" s="22" t="s">
        <v>10506</v>
      </c>
      <c r="L149" s="23" t="n">
        <v>45545</v>
      </c>
      <c r="M149" s="22" t="n">
        <f aca="false">COUNTIFS('Skip PDF Index'!$B$6:$B$11,D149,'Skip PDF Index'!$D$6:$D$11,C149,'Skip PDF Index'!$F$6:$F$11,I149)</f>
        <v>0</v>
      </c>
      <c r="N149" s="22" t="n">
        <f aca="false">COUNTIFS('Skip PDF Index'!$B$6:$B$11,D149,'Skip PDF Index'!$D$6:$D$11,C149,'Skip PDF Index'!$E$6:$E$11,G149,'Skip PDF Index'!$F$6:$F$11,I149)</f>
        <v>0</v>
      </c>
      <c r="O149" s="22" t="n">
        <f aca="false">COUNTIFS('Skip PDF Index'!$B$6:$B$11,D149,'Skip PDF Index'!$D$6:$D$11,C149,'Skip PDF Index'!$E$6:$E$11,G149,'Skip PDF Index'!$F$6:$F$11,I149,'Skip PDF Index'!$H$6:$H$11,"SUPPORTING RECORD")</f>
        <v>0</v>
      </c>
      <c r="P149" s="22" t="n">
        <f aca="false">COUNTIFS('Offer Events'!$A$2:$A$1487,B149,'Offer Events'!$B$2:$B$1487,C149,'Offer Events'!$C$2:$C$1487,D149,'Offer Events'!$E$2:$E$1487,G149,'Offer Events'!$L$2:$L$1487,"SKIPPED",'Offer Events'!$P$2:$P$1487,I149)</f>
        <v>1</v>
      </c>
      <c r="Q149" s="22" t="str">
        <f aca="false">IF(L149&lt;=C149,"Y","N")</f>
        <v>Y</v>
      </c>
      <c r="R149" s="22" t="str">
        <f aca="false">IF(AND(O149&gt;0,P149&gt;0,Q149="Y"),"Y","N")</f>
        <v>N</v>
      </c>
      <c r="S149" s="22" t="str">
        <f aca="false">IF(P149=0,"Offer register missing/mismatch",IF(N149=0,IF(M149&gt;0,"PDF slip mismatch","No matching PDF"),IF(O149=0,"PDF lacks supporting record","Reconciled")))</f>
        <v>No matching PDF</v>
      </c>
      <c r="T149" s="22" t="str">
        <f aca="false">IF(R149="Y","Compliant",S149&amp;IF(Q149="N","; review after skip",""))</f>
        <v>No matching PDF</v>
      </c>
      <c r="U149" s="22" t="str">
        <f aca="false">IF(R149="Y","",IF(AND(O149&gt;0,P149&gt;0,Q149="N"),"Priority 2","Priority 1"))</f>
        <v>Priority 1</v>
      </c>
    </row>
    <row r="150" customFormat="false" ht="15" hidden="false" customHeight="false" outlineLevel="0" collapsed="false">
      <c r="A150" s="22" t="s">
        <v>10745</v>
      </c>
      <c r="B150" s="22" t="s">
        <v>9693</v>
      </c>
      <c r="C150" s="23" t="n">
        <v>45537</v>
      </c>
      <c r="D150" s="22" t="s">
        <v>1509</v>
      </c>
      <c r="E150" s="22" t="str">
        <f aca="false">IFERROR(VLOOKUP(D150,'Applicant Lookup'!$A$2:$F$2911,2,FALSE()),"Not found")</f>
        <v>Margaret Johnson</v>
      </c>
      <c r="F150" s="22" t="n">
        <v>504</v>
      </c>
      <c r="G150" s="22" t="s">
        <v>7375</v>
      </c>
      <c r="H150" s="22" t="s">
        <v>159</v>
      </c>
      <c r="I150" s="22" t="s">
        <v>8603</v>
      </c>
      <c r="J150" s="22" t="s">
        <v>10489</v>
      </c>
      <c r="K150" s="22" t="s">
        <v>10555</v>
      </c>
      <c r="L150" s="23" t="n">
        <v>45537</v>
      </c>
      <c r="M150" s="22" t="n">
        <f aca="false">COUNTIFS('Skip PDF Index'!$B$6:$B$11,D150,'Skip PDF Index'!$D$6:$D$11,C150,'Skip PDF Index'!$F$6:$F$11,I150)</f>
        <v>0</v>
      </c>
      <c r="N150" s="22" t="n">
        <f aca="false">COUNTIFS('Skip PDF Index'!$B$6:$B$11,D150,'Skip PDF Index'!$D$6:$D$11,C150,'Skip PDF Index'!$E$6:$E$11,G150,'Skip PDF Index'!$F$6:$F$11,I150)</f>
        <v>0</v>
      </c>
      <c r="O150" s="22" t="n">
        <f aca="false">COUNTIFS('Skip PDF Index'!$B$6:$B$11,D150,'Skip PDF Index'!$D$6:$D$11,C150,'Skip PDF Index'!$E$6:$E$11,G150,'Skip PDF Index'!$F$6:$F$11,I150,'Skip PDF Index'!$H$6:$H$11,"SUPPORTING RECORD")</f>
        <v>0</v>
      </c>
      <c r="P150" s="22" t="n">
        <f aca="false">COUNTIFS('Offer Events'!$A$2:$A$1487,B150,'Offer Events'!$B$2:$B$1487,C150,'Offer Events'!$C$2:$C$1487,D150,'Offer Events'!$E$2:$E$1487,G150,'Offer Events'!$L$2:$L$1487,"SKIPPED",'Offer Events'!$P$2:$P$1487,I150)</f>
        <v>1</v>
      </c>
      <c r="Q150" s="22" t="str">
        <f aca="false">IF(L150&lt;=C150,"Y","N")</f>
        <v>Y</v>
      </c>
      <c r="R150" s="22" t="str">
        <f aca="false">IF(AND(O150&gt;0,P150&gt;0,Q150="Y"),"Y","N")</f>
        <v>N</v>
      </c>
      <c r="S150" s="22" t="str">
        <f aca="false">IF(P150=0,"Offer register missing/mismatch",IF(N150=0,IF(M150&gt;0,"PDF slip mismatch","No matching PDF"),IF(O150=0,"PDF lacks supporting record","Reconciled")))</f>
        <v>No matching PDF</v>
      </c>
      <c r="T150" s="22" t="str">
        <f aca="false">IF(R150="Y","Compliant",S150&amp;IF(Q150="N","; review after skip",""))</f>
        <v>No matching PDF</v>
      </c>
      <c r="U150" s="22" t="str">
        <f aca="false">IF(R150="Y","",IF(AND(O150&gt;0,P150&gt;0,Q150="N"),"Priority 2","Priority 1"))</f>
        <v>Priority 1</v>
      </c>
    </row>
    <row r="151" customFormat="false" ht="15" hidden="false" customHeight="false" outlineLevel="0" collapsed="false">
      <c r="A151" s="22" t="s">
        <v>10746</v>
      </c>
      <c r="B151" s="22" t="s">
        <v>9695</v>
      </c>
      <c r="C151" s="23" t="n">
        <v>45560</v>
      </c>
      <c r="D151" s="22" t="s">
        <v>2016</v>
      </c>
      <c r="E151" s="22" t="str">
        <f aca="false">IFERROR(VLOOKUP(D151,'Applicant Lookup'!$A$2:$F$2911,2,FALSE()),"Not found")</f>
        <v>Christopher Welch</v>
      </c>
      <c r="F151" s="22" t="n">
        <v>718</v>
      </c>
      <c r="G151" s="22" t="s">
        <v>8563</v>
      </c>
      <c r="H151" s="22" t="s">
        <v>188</v>
      </c>
      <c r="I151" s="22" t="s">
        <v>8631</v>
      </c>
      <c r="J151" s="22" t="s">
        <v>10489</v>
      </c>
      <c r="K151" s="22" t="s">
        <v>10511</v>
      </c>
      <c r="L151" s="23" t="n">
        <v>45562</v>
      </c>
      <c r="M151" s="22" t="n">
        <f aca="false">COUNTIFS('Skip PDF Index'!$B$6:$B$11,D151,'Skip PDF Index'!$D$6:$D$11,C151,'Skip PDF Index'!$F$6:$F$11,I151)</f>
        <v>0</v>
      </c>
      <c r="N151" s="22" t="n">
        <f aca="false">COUNTIFS('Skip PDF Index'!$B$6:$B$11,D151,'Skip PDF Index'!$D$6:$D$11,C151,'Skip PDF Index'!$E$6:$E$11,G151,'Skip PDF Index'!$F$6:$F$11,I151)</f>
        <v>0</v>
      </c>
      <c r="O151" s="22" t="n">
        <f aca="false">COUNTIFS('Skip PDF Index'!$B$6:$B$11,D151,'Skip PDF Index'!$D$6:$D$11,C151,'Skip PDF Index'!$E$6:$E$11,G151,'Skip PDF Index'!$F$6:$F$11,I151,'Skip PDF Index'!$H$6:$H$11,"SUPPORTING RECORD")</f>
        <v>0</v>
      </c>
      <c r="P151" s="22" t="n">
        <f aca="false">COUNTIFS('Offer Events'!$A$2:$A$1487,B151,'Offer Events'!$B$2:$B$1487,C151,'Offer Events'!$C$2:$C$1487,D151,'Offer Events'!$E$2:$E$1487,G151,'Offer Events'!$L$2:$L$1487,"SKIPPED",'Offer Events'!$P$2:$P$1487,I151)</f>
        <v>1</v>
      </c>
      <c r="Q151" s="22" t="str">
        <f aca="false">IF(L151&lt;=C151,"Y","N")</f>
        <v>N</v>
      </c>
      <c r="R151" s="22" t="str">
        <f aca="false">IF(AND(O151&gt;0,P151&gt;0,Q151="Y"),"Y","N")</f>
        <v>N</v>
      </c>
      <c r="S151" s="22" t="str">
        <f aca="false">IF(P151=0,"Offer register missing/mismatch",IF(N151=0,IF(M151&gt;0,"PDF slip mismatch","No matching PDF"),IF(O151=0,"PDF lacks supporting record","Reconciled")))</f>
        <v>No matching PDF</v>
      </c>
      <c r="T151" s="22" t="str">
        <f aca="false">IF(R151="Y","Compliant",S151&amp;IF(Q151="N","; review after skip",""))</f>
        <v>No matching PDF; review after skip</v>
      </c>
      <c r="U151" s="22" t="str">
        <f aca="false">IF(R151="Y","",IF(AND(O151&gt;0,P151&gt;0,Q151="N"),"Priority 2","Priority 1"))</f>
        <v>Priority 1</v>
      </c>
    </row>
    <row r="152" customFormat="false" ht="15" hidden="false" customHeight="false" outlineLevel="0" collapsed="false">
      <c r="A152" s="22" t="s">
        <v>10747</v>
      </c>
      <c r="B152" s="22" t="s">
        <v>9699</v>
      </c>
      <c r="C152" s="23" t="n">
        <v>45591</v>
      </c>
      <c r="D152" s="22" t="s">
        <v>240</v>
      </c>
      <c r="E152" s="22" t="str">
        <f aca="false">IFERROR(VLOOKUP(D152,'Applicant Lookup'!$A$2:$F$2911,2,FALSE()),"Not found")</f>
        <v>Dawn Jacobs</v>
      </c>
      <c r="F152" s="22" t="n">
        <v>26</v>
      </c>
      <c r="G152" s="22" t="s">
        <v>8386</v>
      </c>
      <c r="H152" s="22" t="s">
        <v>188</v>
      </c>
      <c r="I152" s="22" t="s">
        <v>8631</v>
      </c>
      <c r="J152" s="22" t="s">
        <v>10489</v>
      </c>
      <c r="K152" s="22" t="s">
        <v>10511</v>
      </c>
      <c r="L152" s="23" t="n">
        <v>45595</v>
      </c>
      <c r="M152" s="22" t="n">
        <f aca="false">COUNTIFS('Skip PDF Index'!$B$6:$B$11,D152,'Skip PDF Index'!$D$6:$D$11,C152,'Skip PDF Index'!$F$6:$F$11,I152)</f>
        <v>0</v>
      </c>
      <c r="N152" s="22" t="n">
        <f aca="false">COUNTIFS('Skip PDF Index'!$B$6:$B$11,D152,'Skip PDF Index'!$D$6:$D$11,C152,'Skip PDF Index'!$E$6:$E$11,G152,'Skip PDF Index'!$F$6:$F$11,I152)</f>
        <v>0</v>
      </c>
      <c r="O152" s="22" t="n">
        <f aca="false">COUNTIFS('Skip PDF Index'!$B$6:$B$11,D152,'Skip PDF Index'!$D$6:$D$11,C152,'Skip PDF Index'!$E$6:$E$11,G152,'Skip PDF Index'!$F$6:$F$11,I152,'Skip PDF Index'!$H$6:$H$11,"SUPPORTING RECORD")</f>
        <v>0</v>
      </c>
      <c r="P152" s="22" t="n">
        <f aca="false">COUNTIFS('Offer Events'!$A$2:$A$1487,B152,'Offer Events'!$B$2:$B$1487,C152,'Offer Events'!$C$2:$C$1487,D152,'Offer Events'!$E$2:$E$1487,G152,'Offer Events'!$L$2:$L$1487,"SKIPPED",'Offer Events'!$P$2:$P$1487,I152)</f>
        <v>1</v>
      </c>
      <c r="Q152" s="22" t="str">
        <f aca="false">IF(L152&lt;=C152,"Y","N")</f>
        <v>N</v>
      </c>
      <c r="R152" s="22" t="str">
        <f aca="false">IF(AND(O152&gt;0,P152&gt;0,Q152="Y"),"Y","N")</f>
        <v>N</v>
      </c>
      <c r="S152" s="22" t="str">
        <f aca="false">IF(P152=0,"Offer register missing/mismatch",IF(N152=0,IF(M152&gt;0,"PDF slip mismatch","No matching PDF"),IF(O152=0,"PDF lacks supporting record","Reconciled")))</f>
        <v>No matching PDF</v>
      </c>
      <c r="T152" s="22" t="str">
        <f aca="false">IF(R152="Y","Compliant",S152&amp;IF(Q152="N","; review after skip",""))</f>
        <v>No matching PDF; review after skip</v>
      </c>
      <c r="U152" s="22" t="str">
        <f aca="false">IF(R152="Y","",IF(AND(O152&gt;0,P152&gt;0,Q152="N"),"Priority 2","Priority 1"))</f>
        <v>Priority 1</v>
      </c>
    </row>
    <row r="153" customFormat="false" ht="15" hidden="false" customHeight="false" outlineLevel="0" collapsed="false">
      <c r="A153" s="22" t="s">
        <v>10748</v>
      </c>
      <c r="B153" s="22" t="s">
        <v>9701</v>
      </c>
      <c r="C153" s="23" t="n">
        <v>45586</v>
      </c>
      <c r="D153" s="22" t="s">
        <v>6398</v>
      </c>
      <c r="E153" s="22" t="str">
        <f aca="false">IFERROR(VLOOKUP(D153,'Applicant Lookup'!$A$2:$F$2911,2,FALSE()),"Not found")</f>
        <v>Michael Burns</v>
      </c>
      <c r="F153" s="22" t="n">
        <v>2831</v>
      </c>
      <c r="G153" s="22" t="s">
        <v>8028</v>
      </c>
      <c r="H153" s="22" t="s">
        <v>215</v>
      </c>
      <c r="I153" s="22" t="s">
        <v>8618</v>
      </c>
      <c r="J153" s="22" t="s">
        <v>10489</v>
      </c>
      <c r="K153" s="22" t="s">
        <v>10491</v>
      </c>
      <c r="L153" s="23" t="n">
        <v>45586</v>
      </c>
      <c r="M153" s="22" t="n">
        <f aca="false">COUNTIFS('Skip PDF Index'!$B$6:$B$11,D153,'Skip PDF Index'!$D$6:$D$11,C153,'Skip PDF Index'!$F$6:$F$11,I153)</f>
        <v>0</v>
      </c>
      <c r="N153" s="22" t="n">
        <f aca="false">COUNTIFS('Skip PDF Index'!$B$6:$B$11,D153,'Skip PDF Index'!$D$6:$D$11,C153,'Skip PDF Index'!$E$6:$E$11,G153,'Skip PDF Index'!$F$6:$F$11,I153)</f>
        <v>0</v>
      </c>
      <c r="O153" s="22" t="n">
        <f aca="false">COUNTIFS('Skip PDF Index'!$B$6:$B$11,D153,'Skip PDF Index'!$D$6:$D$11,C153,'Skip PDF Index'!$E$6:$E$11,G153,'Skip PDF Index'!$F$6:$F$11,I153,'Skip PDF Index'!$H$6:$H$11,"SUPPORTING RECORD")</f>
        <v>0</v>
      </c>
      <c r="P153" s="22" t="n">
        <f aca="false">COUNTIFS('Offer Events'!$A$2:$A$1487,B153,'Offer Events'!$B$2:$B$1487,C153,'Offer Events'!$C$2:$C$1487,D153,'Offer Events'!$E$2:$E$1487,G153,'Offer Events'!$L$2:$L$1487,"SKIPPED",'Offer Events'!$P$2:$P$1487,I153)</f>
        <v>1</v>
      </c>
      <c r="Q153" s="22" t="str">
        <f aca="false">IF(L153&lt;=C153,"Y","N")</f>
        <v>Y</v>
      </c>
      <c r="R153" s="22" t="str">
        <f aca="false">IF(AND(O153&gt;0,P153&gt;0,Q153="Y"),"Y","N")</f>
        <v>N</v>
      </c>
      <c r="S153" s="22" t="str">
        <f aca="false">IF(P153=0,"Offer register missing/mismatch",IF(N153=0,IF(M153&gt;0,"PDF slip mismatch","No matching PDF"),IF(O153=0,"PDF lacks supporting record","Reconciled")))</f>
        <v>No matching PDF</v>
      </c>
      <c r="T153" s="22" t="str">
        <f aca="false">IF(R153="Y","Compliant",S153&amp;IF(Q153="N","; review after skip",""))</f>
        <v>No matching PDF</v>
      </c>
      <c r="U153" s="22" t="str">
        <f aca="false">IF(R153="Y","",IF(AND(O153&gt;0,P153&gt;0,Q153="N"),"Priority 2","Priority 1"))</f>
        <v>Priority 1</v>
      </c>
    </row>
    <row r="154" customFormat="false" ht="15" hidden="false" customHeight="false" outlineLevel="0" collapsed="false">
      <c r="A154" s="22" t="s">
        <v>10749</v>
      </c>
      <c r="B154" s="22" t="s">
        <v>9707</v>
      </c>
      <c r="C154" s="23" t="n">
        <v>45586</v>
      </c>
      <c r="D154" s="22" t="s">
        <v>905</v>
      </c>
      <c r="E154" s="22" t="str">
        <f aca="false">IFERROR(VLOOKUP(D154,'Applicant Lookup'!$A$2:$F$2911,2,FALSE()),"Not found")</f>
        <v>Jeffery Lewis</v>
      </c>
      <c r="F154" s="22" t="n">
        <v>264</v>
      </c>
      <c r="G154" s="22" t="s">
        <v>7646</v>
      </c>
      <c r="H154" s="22" t="s">
        <v>159</v>
      </c>
      <c r="I154" s="22" t="s">
        <v>8637</v>
      </c>
      <c r="J154" s="22" t="s">
        <v>10489</v>
      </c>
      <c r="K154" s="22" t="s">
        <v>10496</v>
      </c>
      <c r="L154" s="23" t="n">
        <v>45588</v>
      </c>
      <c r="M154" s="22" t="n">
        <f aca="false">COUNTIFS('Skip PDF Index'!$B$6:$B$11,D154,'Skip PDF Index'!$D$6:$D$11,C154,'Skip PDF Index'!$F$6:$F$11,I154)</f>
        <v>0</v>
      </c>
      <c r="N154" s="22" t="n">
        <f aca="false">COUNTIFS('Skip PDF Index'!$B$6:$B$11,D154,'Skip PDF Index'!$D$6:$D$11,C154,'Skip PDF Index'!$E$6:$E$11,G154,'Skip PDF Index'!$F$6:$F$11,I154)</f>
        <v>0</v>
      </c>
      <c r="O154" s="22" t="n">
        <f aca="false">COUNTIFS('Skip PDF Index'!$B$6:$B$11,D154,'Skip PDF Index'!$D$6:$D$11,C154,'Skip PDF Index'!$E$6:$E$11,G154,'Skip PDF Index'!$F$6:$F$11,I154,'Skip PDF Index'!$H$6:$H$11,"SUPPORTING RECORD")</f>
        <v>0</v>
      </c>
      <c r="P154" s="22" t="n">
        <f aca="false">COUNTIFS('Offer Events'!$A$2:$A$1487,B154,'Offer Events'!$B$2:$B$1487,C154,'Offer Events'!$C$2:$C$1487,D154,'Offer Events'!$E$2:$E$1487,G154,'Offer Events'!$L$2:$L$1487,"SKIPPED",'Offer Events'!$P$2:$P$1487,I154)</f>
        <v>1</v>
      </c>
      <c r="Q154" s="22" t="str">
        <f aca="false">IF(L154&lt;=C154,"Y","N")</f>
        <v>N</v>
      </c>
      <c r="R154" s="22" t="str">
        <f aca="false">IF(AND(O154&gt;0,P154&gt;0,Q154="Y"),"Y","N")</f>
        <v>N</v>
      </c>
      <c r="S154" s="22" t="str">
        <f aca="false">IF(P154=0,"Offer register missing/mismatch",IF(N154=0,IF(M154&gt;0,"PDF slip mismatch","No matching PDF"),IF(O154=0,"PDF lacks supporting record","Reconciled")))</f>
        <v>No matching PDF</v>
      </c>
      <c r="T154" s="22" t="str">
        <f aca="false">IF(R154="Y","Compliant",S154&amp;IF(Q154="N","; review after skip",""))</f>
        <v>No matching PDF; review after skip</v>
      </c>
      <c r="U154" s="22" t="str">
        <f aca="false">IF(R154="Y","",IF(AND(O154&gt;0,P154&gt;0,Q154="N"),"Priority 2","Priority 1"))</f>
        <v>Priority 1</v>
      </c>
    </row>
    <row r="155" customFormat="false" ht="15" hidden="false" customHeight="false" outlineLevel="0" collapsed="false">
      <c r="A155" s="22" t="s">
        <v>10750</v>
      </c>
      <c r="B155" s="22" t="s">
        <v>9709</v>
      </c>
      <c r="C155" s="23" t="n">
        <v>45590</v>
      </c>
      <c r="D155" s="22" t="s">
        <v>6155</v>
      </c>
      <c r="E155" s="22" t="str">
        <f aca="false">IFERROR(VLOOKUP(D155,'Applicant Lookup'!$A$2:$F$2911,2,FALSE()),"Not found")</f>
        <v>Catherine Anderson</v>
      </c>
      <c r="F155" s="22" t="n">
        <v>2708</v>
      </c>
      <c r="G155" s="22" t="s">
        <v>8268</v>
      </c>
      <c r="H155" s="22" t="s">
        <v>499</v>
      </c>
      <c r="I155" s="22" t="s">
        <v>8618</v>
      </c>
      <c r="J155" s="22" t="s">
        <v>10489</v>
      </c>
      <c r="K155" s="22" t="s">
        <v>10555</v>
      </c>
      <c r="L155" s="23" t="n">
        <v>45595</v>
      </c>
      <c r="M155" s="22" t="n">
        <f aca="false">COUNTIFS('Skip PDF Index'!$B$6:$B$11,D155,'Skip PDF Index'!$D$6:$D$11,C155,'Skip PDF Index'!$F$6:$F$11,I155)</f>
        <v>0</v>
      </c>
      <c r="N155" s="22" t="n">
        <f aca="false">COUNTIFS('Skip PDF Index'!$B$6:$B$11,D155,'Skip PDF Index'!$D$6:$D$11,C155,'Skip PDF Index'!$E$6:$E$11,G155,'Skip PDF Index'!$F$6:$F$11,I155)</f>
        <v>0</v>
      </c>
      <c r="O155" s="22" t="n">
        <f aca="false">COUNTIFS('Skip PDF Index'!$B$6:$B$11,D155,'Skip PDF Index'!$D$6:$D$11,C155,'Skip PDF Index'!$E$6:$E$11,G155,'Skip PDF Index'!$F$6:$F$11,I155,'Skip PDF Index'!$H$6:$H$11,"SUPPORTING RECORD")</f>
        <v>0</v>
      </c>
      <c r="P155" s="22" t="n">
        <f aca="false">COUNTIFS('Offer Events'!$A$2:$A$1487,B155,'Offer Events'!$B$2:$B$1487,C155,'Offer Events'!$C$2:$C$1487,D155,'Offer Events'!$E$2:$E$1487,G155,'Offer Events'!$L$2:$L$1487,"SKIPPED",'Offer Events'!$P$2:$P$1487,I155)</f>
        <v>1</v>
      </c>
      <c r="Q155" s="22" t="str">
        <f aca="false">IF(L155&lt;=C155,"Y","N")</f>
        <v>N</v>
      </c>
      <c r="R155" s="22" t="str">
        <f aca="false">IF(AND(O155&gt;0,P155&gt;0,Q155="Y"),"Y","N")</f>
        <v>N</v>
      </c>
      <c r="S155" s="22" t="str">
        <f aca="false">IF(P155=0,"Offer register missing/mismatch",IF(N155=0,IF(M155&gt;0,"PDF slip mismatch","No matching PDF"),IF(O155=0,"PDF lacks supporting record","Reconciled")))</f>
        <v>No matching PDF</v>
      </c>
      <c r="T155" s="22" t="str">
        <f aca="false">IF(R155="Y","Compliant",S155&amp;IF(Q155="N","; review after skip",""))</f>
        <v>No matching PDF; review after skip</v>
      </c>
      <c r="U155" s="22" t="str">
        <f aca="false">IF(R155="Y","",IF(AND(O155&gt;0,P155&gt;0,Q155="N"),"Priority 2","Priority 1"))</f>
        <v>Priority 1</v>
      </c>
    </row>
    <row r="156" customFormat="false" ht="15" hidden="false" customHeight="false" outlineLevel="0" collapsed="false">
      <c r="A156" s="22" t="s">
        <v>10751</v>
      </c>
      <c r="B156" s="22" t="s">
        <v>9715</v>
      </c>
      <c r="C156" s="23" t="n">
        <v>45592</v>
      </c>
      <c r="D156" s="22" t="s">
        <v>6354</v>
      </c>
      <c r="E156" s="22" t="str">
        <f aca="false">IFERROR(VLOOKUP(D156,'Applicant Lookup'!$A$2:$F$2911,2,FALSE()),"Not found")</f>
        <v>Julie Peterson</v>
      </c>
      <c r="F156" s="22" t="n">
        <v>2808</v>
      </c>
      <c r="G156" s="22" t="s">
        <v>7500</v>
      </c>
      <c r="H156" s="22" t="s">
        <v>159</v>
      </c>
      <c r="I156" s="22" t="s">
        <v>8631</v>
      </c>
      <c r="J156" s="22" t="s">
        <v>10489</v>
      </c>
      <c r="K156" s="22" t="s">
        <v>10501</v>
      </c>
      <c r="L156" s="23" t="n">
        <v>45597</v>
      </c>
      <c r="M156" s="22" t="n">
        <f aca="false">COUNTIFS('Skip PDF Index'!$B$6:$B$11,D156,'Skip PDF Index'!$D$6:$D$11,C156,'Skip PDF Index'!$F$6:$F$11,I156)</f>
        <v>0</v>
      </c>
      <c r="N156" s="22" t="n">
        <f aca="false">COUNTIFS('Skip PDF Index'!$B$6:$B$11,D156,'Skip PDF Index'!$D$6:$D$11,C156,'Skip PDF Index'!$E$6:$E$11,G156,'Skip PDF Index'!$F$6:$F$11,I156)</f>
        <v>0</v>
      </c>
      <c r="O156" s="22" t="n">
        <f aca="false">COUNTIFS('Skip PDF Index'!$B$6:$B$11,D156,'Skip PDF Index'!$D$6:$D$11,C156,'Skip PDF Index'!$E$6:$E$11,G156,'Skip PDF Index'!$F$6:$F$11,I156,'Skip PDF Index'!$H$6:$H$11,"SUPPORTING RECORD")</f>
        <v>0</v>
      </c>
      <c r="P156" s="22" t="n">
        <f aca="false">COUNTIFS('Offer Events'!$A$2:$A$1487,B156,'Offer Events'!$B$2:$B$1487,C156,'Offer Events'!$C$2:$C$1487,D156,'Offer Events'!$E$2:$E$1487,G156,'Offer Events'!$L$2:$L$1487,"SKIPPED",'Offer Events'!$P$2:$P$1487,I156)</f>
        <v>1</v>
      </c>
      <c r="Q156" s="22" t="str">
        <f aca="false">IF(L156&lt;=C156,"Y","N")</f>
        <v>N</v>
      </c>
      <c r="R156" s="22" t="str">
        <f aca="false">IF(AND(O156&gt;0,P156&gt;0,Q156="Y"),"Y","N")</f>
        <v>N</v>
      </c>
      <c r="S156" s="22" t="str">
        <f aca="false">IF(P156=0,"Offer register missing/mismatch",IF(N156=0,IF(M156&gt;0,"PDF slip mismatch","No matching PDF"),IF(O156=0,"PDF lacks supporting record","Reconciled")))</f>
        <v>No matching PDF</v>
      </c>
      <c r="T156" s="22" t="str">
        <f aca="false">IF(R156="Y","Compliant",S156&amp;IF(Q156="N","; review after skip",""))</f>
        <v>No matching PDF; review after skip</v>
      </c>
      <c r="U156" s="22" t="str">
        <f aca="false">IF(R156="Y","",IF(AND(O156&gt;0,P156&gt;0,Q156="N"),"Priority 2","Priority 1"))</f>
        <v>Priority 1</v>
      </c>
    </row>
    <row r="157" customFormat="false" ht="15" hidden="false" customHeight="false" outlineLevel="0" collapsed="false">
      <c r="A157" s="22" t="s">
        <v>10752</v>
      </c>
      <c r="B157" s="22" t="s">
        <v>9729</v>
      </c>
      <c r="C157" s="23" t="n">
        <v>45580</v>
      </c>
      <c r="D157" s="22" t="s">
        <v>917</v>
      </c>
      <c r="E157" s="22" t="str">
        <f aca="false">IFERROR(VLOOKUP(D157,'Applicant Lookup'!$A$2:$F$2911,2,FALSE()),"Not found")</f>
        <v>Patricia Bennett</v>
      </c>
      <c r="F157" s="22" t="n">
        <v>269</v>
      </c>
      <c r="G157" s="22" t="s">
        <v>7386</v>
      </c>
      <c r="H157" s="22" t="s">
        <v>159</v>
      </c>
      <c r="I157" s="22" t="s">
        <v>8603</v>
      </c>
      <c r="J157" s="22" t="s">
        <v>10489</v>
      </c>
      <c r="K157" s="22" t="s">
        <v>10504</v>
      </c>
      <c r="L157" s="23" t="n">
        <v>45581</v>
      </c>
      <c r="M157" s="22" t="n">
        <f aca="false">COUNTIFS('Skip PDF Index'!$B$6:$B$11,D157,'Skip PDF Index'!$D$6:$D$11,C157,'Skip PDF Index'!$F$6:$F$11,I157)</f>
        <v>0</v>
      </c>
      <c r="N157" s="22" t="n">
        <f aca="false">COUNTIFS('Skip PDF Index'!$B$6:$B$11,D157,'Skip PDF Index'!$D$6:$D$11,C157,'Skip PDF Index'!$E$6:$E$11,G157,'Skip PDF Index'!$F$6:$F$11,I157)</f>
        <v>0</v>
      </c>
      <c r="O157" s="22" t="n">
        <f aca="false">COUNTIFS('Skip PDF Index'!$B$6:$B$11,D157,'Skip PDF Index'!$D$6:$D$11,C157,'Skip PDF Index'!$E$6:$E$11,G157,'Skip PDF Index'!$F$6:$F$11,I157,'Skip PDF Index'!$H$6:$H$11,"SUPPORTING RECORD")</f>
        <v>0</v>
      </c>
      <c r="P157" s="22" t="n">
        <f aca="false">COUNTIFS('Offer Events'!$A$2:$A$1487,B157,'Offer Events'!$B$2:$B$1487,C157,'Offer Events'!$C$2:$C$1487,D157,'Offer Events'!$E$2:$E$1487,G157,'Offer Events'!$L$2:$L$1487,"SKIPPED",'Offer Events'!$P$2:$P$1487,I157)</f>
        <v>1</v>
      </c>
      <c r="Q157" s="22" t="str">
        <f aca="false">IF(L157&lt;=C157,"Y","N")</f>
        <v>N</v>
      </c>
      <c r="R157" s="22" t="str">
        <f aca="false">IF(AND(O157&gt;0,P157&gt;0,Q157="Y"),"Y","N")</f>
        <v>N</v>
      </c>
      <c r="S157" s="22" t="str">
        <f aca="false">IF(P157=0,"Offer register missing/mismatch",IF(N157=0,IF(M157&gt;0,"PDF slip mismatch","No matching PDF"),IF(O157=0,"PDF lacks supporting record","Reconciled")))</f>
        <v>No matching PDF</v>
      </c>
      <c r="T157" s="22" t="str">
        <f aca="false">IF(R157="Y","Compliant",S157&amp;IF(Q157="N","; review after skip",""))</f>
        <v>No matching PDF; review after skip</v>
      </c>
      <c r="U157" s="22" t="str">
        <f aca="false">IF(R157="Y","",IF(AND(O157&gt;0,P157&gt;0,Q157="N"),"Priority 2","Priority 1"))</f>
        <v>Priority 1</v>
      </c>
    </row>
    <row r="158" customFormat="false" ht="15" hidden="false" customHeight="false" outlineLevel="0" collapsed="false">
      <c r="A158" s="22" t="s">
        <v>10753</v>
      </c>
      <c r="B158" s="22" t="s">
        <v>9731</v>
      </c>
      <c r="C158" s="23" t="n">
        <v>45585</v>
      </c>
      <c r="D158" s="22" t="s">
        <v>6206</v>
      </c>
      <c r="E158" s="22" t="str">
        <f aca="false">IFERROR(VLOOKUP(D158,'Applicant Lookup'!$A$2:$F$2911,2,FALSE()),"Not found")</f>
        <v>Theresa Richmond</v>
      </c>
      <c r="F158" s="22" t="n">
        <v>2733</v>
      </c>
      <c r="G158" s="22" t="s">
        <v>8270</v>
      </c>
      <c r="H158" s="22" t="s">
        <v>499</v>
      </c>
      <c r="I158" s="22" t="s">
        <v>8603</v>
      </c>
      <c r="J158" s="22" t="s">
        <v>10489</v>
      </c>
      <c r="K158" s="22" t="s">
        <v>10501</v>
      </c>
      <c r="L158" s="23" t="n">
        <v>45586</v>
      </c>
      <c r="M158" s="22" t="n">
        <f aca="false">COUNTIFS('Skip PDF Index'!$B$6:$B$11,D158,'Skip PDF Index'!$D$6:$D$11,C158,'Skip PDF Index'!$F$6:$F$11,I158)</f>
        <v>0</v>
      </c>
      <c r="N158" s="22" t="n">
        <f aca="false">COUNTIFS('Skip PDF Index'!$B$6:$B$11,D158,'Skip PDF Index'!$D$6:$D$11,C158,'Skip PDF Index'!$E$6:$E$11,G158,'Skip PDF Index'!$F$6:$F$11,I158)</f>
        <v>0</v>
      </c>
      <c r="O158" s="22" t="n">
        <f aca="false">COUNTIFS('Skip PDF Index'!$B$6:$B$11,D158,'Skip PDF Index'!$D$6:$D$11,C158,'Skip PDF Index'!$E$6:$E$11,G158,'Skip PDF Index'!$F$6:$F$11,I158,'Skip PDF Index'!$H$6:$H$11,"SUPPORTING RECORD")</f>
        <v>0</v>
      </c>
      <c r="P158" s="22" t="n">
        <f aca="false">COUNTIFS('Offer Events'!$A$2:$A$1487,B158,'Offer Events'!$B$2:$B$1487,C158,'Offer Events'!$C$2:$C$1487,D158,'Offer Events'!$E$2:$E$1487,G158,'Offer Events'!$L$2:$L$1487,"SKIPPED",'Offer Events'!$P$2:$P$1487,I158)</f>
        <v>1</v>
      </c>
      <c r="Q158" s="22" t="str">
        <f aca="false">IF(L158&lt;=C158,"Y","N")</f>
        <v>N</v>
      </c>
      <c r="R158" s="22" t="str">
        <f aca="false">IF(AND(O158&gt;0,P158&gt;0,Q158="Y"),"Y","N")</f>
        <v>N</v>
      </c>
      <c r="S158" s="22" t="str">
        <f aca="false">IF(P158=0,"Offer register missing/mismatch",IF(N158=0,IF(M158&gt;0,"PDF slip mismatch","No matching PDF"),IF(O158=0,"PDF lacks supporting record","Reconciled")))</f>
        <v>No matching PDF</v>
      </c>
      <c r="T158" s="22" t="str">
        <f aca="false">IF(R158="Y","Compliant",S158&amp;IF(Q158="N","; review after skip",""))</f>
        <v>No matching PDF; review after skip</v>
      </c>
      <c r="U158" s="22" t="str">
        <f aca="false">IF(R158="Y","",IF(AND(O158&gt;0,P158&gt;0,Q158="N"),"Priority 2","Priority 1"))</f>
        <v>Priority 1</v>
      </c>
    </row>
    <row r="159" customFormat="false" ht="15" hidden="false" customHeight="false" outlineLevel="0" collapsed="false">
      <c r="A159" s="22" t="s">
        <v>10754</v>
      </c>
      <c r="B159" s="22" t="s">
        <v>9736</v>
      </c>
      <c r="C159" s="23" t="n">
        <v>45618</v>
      </c>
      <c r="D159" s="22" t="s">
        <v>2947</v>
      </c>
      <c r="E159" s="22" t="str">
        <f aca="false">IFERROR(VLOOKUP(D159,'Applicant Lookup'!$A$2:$F$2911,2,FALSE()),"Not found")</f>
        <v>Jennifer Anderson</v>
      </c>
      <c r="F159" s="22" t="n">
        <v>1139</v>
      </c>
      <c r="G159" s="22" t="s">
        <v>6693</v>
      </c>
      <c r="H159" s="22" t="s">
        <v>198</v>
      </c>
      <c r="I159" s="22" t="s">
        <v>8603</v>
      </c>
      <c r="J159" s="22" t="s">
        <v>10489</v>
      </c>
      <c r="K159" s="22" t="s">
        <v>10491</v>
      </c>
      <c r="L159" s="23" t="n">
        <v>45619</v>
      </c>
      <c r="M159" s="22" t="n">
        <f aca="false">COUNTIFS('Skip PDF Index'!$B$6:$B$11,D159,'Skip PDF Index'!$D$6:$D$11,C159,'Skip PDF Index'!$F$6:$F$11,I159)</f>
        <v>0</v>
      </c>
      <c r="N159" s="22" t="n">
        <f aca="false">COUNTIFS('Skip PDF Index'!$B$6:$B$11,D159,'Skip PDF Index'!$D$6:$D$11,C159,'Skip PDF Index'!$E$6:$E$11,G159,'Skip PDF Index'!$F$6:$F$11,I159)</f>
        <v>0</v>
      </c>
      <c r="O159" s="22" t="n">
        <f aca="false">COUNTIFS('Skip PDF Index'!$B$6:$B$11,D159,'Skip PDF Index'!$D$6:$D$11,C159,'Skip PDF Index'!$E$6:$E$11,G159,'Skip PDF Index'!$F$6:$F$11,I159,'Skip PDF Index'!$H$6:$H$11,"SUPPORTING RECORD")</f>
        <v>0</v>
      </c>
      <c r="P159" s="22" t="n">
        <f aca="false">COUNTIFS('Offer Events'!$A$2:$A$1487,B159,'Offer Events'!$B$2:$B$1487,C159,'Offer Events'!$C$2:$C$1487,D159,'Offer Events'!$E$2:$E$1487,G159,'Offer Events'!$L$2:$L$1487,"SKIPPED",'Offer Events'!$P$2:$P$1487,I159)</f>
        <v>1</v>
      </c>
      <c r="Q159" s="22" t="str">
        <f aca="false">IF(L159&lt;=C159,"Y","N")</f>
        <v>N</v>
      </c>
      <c r="R159" s="22" t="str">
        <f aca="false">IF(AND(O159&gt;0,P159&gt;0,Q159="Y"),"Y","N")</f>
        <v>N</v>
      </c>
      <c r="S159" s="22" t="str">
        <f aca="false">IF(P159=0,"Offer register missing/mismatch",IF(N159=0,IF(M159&gt;0,"PDF slip mismatch","No matching PDF"),IF(O159=0,"PDF lacks supporting record","Reconciled")))</f>
        <v>No matching PDF</v>
      </c>
      <c r="T159" s="22" t="str">
        <f aca="false">IF(R159="Y","Compliant",S159&amp;IF(Q159="N","; review after skip",""))</f>
        <v>No matching PDF; review after skip</v>
      </c>
      <c r="U159" s="22" t="str">
        <f aca="false">IF(R159="Y","",IF(AND(O159&gt;0,P159&gt;0,Q159="N"),"Priority 2","Priority 1"))</f>
        <v>Priority 1</v>
      </c>
    </row>
    <row r="160" customFormat="false" ht="15" hidden="false" customHeight="false" outlineLevel="0" collapsed="false">
      <c r="A160" s="22" t="s">
        <v>10755</v>
      </c>
      <c r="B160" s="22" t="s">
        <v>9737</v>
      </c>
      <c r="C160" s="23" t="n">
        <v>45613</v>
      </c>
      <c r="D160" s="22" t="s">
        <v>3909</v>
      </c>
      <c r="E160" s="22" t="str">
        <f aca="false">IFERROR(VLOOKUP(D160,'Applicant Lookup'!$A$2:$F$2911,2,FALSE()),"Not found")</f>
        <v>Nicole Rubio</v>
      </c>
      <c r="F160" s="22" t="n">
        <v>1598</v>
      </c>
      <c r="G160" s="22" t="s">
        <v>8283</v>
      </c>
      <c r="H160" s="22" t="s">
        <v>499</v>
      </c>
      <c r="I160" s="22" t="s">
        <v>8603</v>
      </c>
      <c r="J160" s="22" t="s">
        <v>10518</v>
      </c>
      <c r="K160" s="22" t="s">
        <v>10496</v>
      </c>
      <c r="L160" s="23" t="n">
        <v>45613</v>
      </c>
      <c r="M160" s="22" t="n">
        <f aca="false">COUNTIFS('Skip PDF Index'!$B$6:$B$11,D160,'Skip PDF Index'!$D$6:$D$11,C160,'Skip PDF Index'!$F$6:$F$11,I160)</f>
        <v>0</v>
      </c>
      <c r="N160" s="22" t="n">
        <f aca="false">COUNTIFS('Skip PDF Index'!$B$6:$B$11,D160,'Skip PDF Index'!$D$6:$D$11,C160,'Skip PDF Index'!$E$6:$E$11,G160,'Skip PDF Index'!$F$6:$F$11,I160)</f>
        <v>0</v>
      </c>
      <c r="O160" s="22" t="n">
        <f aca="false">COUNTIFS('Skip PDF Index'!$B$6:$B$11,D160,'Skip PDF Index'!$D$6:$D$11,C160,'Skip PDF Index'!$E$6:$E$11,G160,'Skip PDF Index'!$F$6:$F$11,I160,'Skip PDF Index'!$H$6:$H$11,"SUPPORTING RECORD")</f>
        <v>0</v>
      </c>
      <c r="P160" s="22" t="n">
        <f aca="false">COUNTIFS('Offer Events'!$A$2:$A$1487,B160,'Offer Events'!$B$2:$B$1487,C160,'Offer Events'!$C$2:$C$1487,D160,'Offer Events'!$E$2:$E$1487,G160,'Offer Events'!$L$2:$L$1487,"SKIPPED",'Offer Events'!$P$2:$P$1487,I160)</f>
        <v>1</v>
      </c>
      <c r="Q160" s="22" t="str">
        <f aca="false">IF(L160&lt;=C160,"Y","N")</f>
        <v>Y</v>
      </c>
      <c r="R160" s="22" t="str">
        <f aca="false">IF(AND(O160&gt;0,P160&gt;0,Q160="Y"),"Y","N")</f>
        <v>N</v>
      </c>
      <c r="S160" s="22" t="str">
        <f aca="false">IF(P160=0,"Offer register missing/mismatch",IF(N160=0,IF(M160&gt;0,"PDF slip mismatch","No matching PDF"),IF(O160=0,"PDF lacks supporting record","Reconciled")))</f>
        <v>No matching PDF</v>
      </c>
      <c r="T160" s="22" t="str">
        <f aca="false">IF(R160="Y","Compliant",S160&amp;IF(Q160="N","; review after skip",""))</f>
        <v>No matching PDF</v>
      </c>
      <c r="U160" s="22" t="str">
        <f aca="false">IF(R160="Y","",IF(AND(O160&gt;0,P160&gt;0,Q160="N"),"Priority 2","Priority 1"))</f>
        <v>Priority 1</v>
      </c>
    </row>
    <row r="161" customFormat="false" ht="15" hidden="false" customHeight="false" outlineLevel="0" collapsed="false">
      <c r="A161" s="22" t="s">
        <v>10756</v>
      </c>
      <c r="B161" s="22" t="s">
        <v>9747</v>
      </c>
      <c r="C161" s="23" t="n">
        <v>45619</v>
      </c>
      <c r="D161" s="22" t="s">
        <v>2270</v>
      </c>
      <c r="E161" s="22" t="str">
        <f aca="false">IFERROR(VLOOKUP(D161,'Applicant Lookup'!$A$2:$F$2911,2,FALSE()),"Not found")</f>
        <v>Bryan Spencer</v>
      </c>
      <c r="F161" s="22" t="n">
        <v>832</v>
      </c>
      <c r="G161" s="22" t="s">
        <v>7373</v>
      </c>
      <c r="H161" s="22" t="s">
        <v>159</v>
      </c>
      <c r="I161" s="22" t="s">
        <v>8618</v>
      </c>
      <c r="J161" s="22" t="s">
        <v>10489</v>
      </c>
      <c r="K161" s="22" t="s">
        <v>10496</v>
      </c>
      <c r="L161" s="23" t="n">
        <v>45624</v>
      </c>
      <c r="M161" s="22" t="n">
        <f aca="false">COUNTIFS('Skip PDF Index'!$B$6:$B$11,D161,'Skip PDF Index'!$D$6:$D$11,C161,'Skip PDF Index'!$F$6:$F$11,I161)</f>
        <v>0</v>
      </c>
      <c r="N161" s="22" t="n">
        <f aca="false">COUNTIFS('Skip PDF Index'!$B$6:$B$11,D161,'Skip PDF Index'!$D$6:$D$11,C161,'Skip PDF Index'!$E$6:$E$11,G161,'Skip PDF Index'!$F$6:$F$11,I161)</f>
        <v>0</v>
      </c>
      <c r="O161" s="22" t="n">
        <f aca="false">COUNTIFS('Skip PDF Index'!$B$6:$B$11,D161,'Skip PDF Index'!$D$6:$D$11,C161,'Skip PDF Index'!$E$6:$E$11,G161,'Skip PDF Index'!$F$6:$F$11,I161,'Skip PDF Index'!$H$6:$H$11,"SUPPORTING RECORD")</f>
        <v>0</v>
      </c>
      <c r="P161" s="22" t="n">
        <f aca="false">COUNTIFS('Offer Events'!$A$2:$A$1487,B161,'Offer Events'!$B$2:$B$1487,C161,'Offer Events'!$C$2:$C$1487,D161,'Offer Events'!$E$2:$E$1487,G161,'Offer Events'!$L$2:$L$1487,"SKIPPED",'Offer Events'!$P$2:$P$1487,I161)</f>
        <v>1</v>
      </c>
      <c r="Q161" s="22" t="str">
        <f aca="false">IF(L161&lt;=C161,"Y","N")</f>
        <v>N</v>
      </c>
      <c r="R161" s="22" t="str">
        <f aca="false">IF(AND(O161&gt;0,P161&gt;0,Q161="Y"),"Y","N")</f>
        <v>N</v>
      </c>
      <c r="S161" s="22" t="str">
        <f aca="false">IF(P161=0,"Offer register missing/mismatch",IF(N161=0,IF(M161&gt;0,"PDF slip mismatch","No matching PDF"),IF(O161=0,"PDF lacks supporting record","Reconciled")))</f>
        <v>No matching PDF</v>
      </c>
      <c r="T161" s="22" t="str">
        <f aca="false">IF(R161="Y","Compliant",S161&amp;IF(Q161="N","; review after skip",""))</f>
        <v>No matching PDF; review after skip</v>
      </c>
      <c r="U161" s="22" t="str">
        <f aca="false">IF(R161="Y","",IF(AND(O161&gt;0,P161&gt;0,Q161="N"),"Priority 2","Priority 1"))</f>
        <v>Priority 1</v>
      </c>
    </row>
    <row r="162" customFormat="false" ht="15" hidden="false" customHeight="false" outlineLevel="0" collapsed="false">
      <c r="A162" s="22" t="s">
        <v>10757</v>
      </c>
      <c r="B162" s="22" t="s">
        <v>9749</v>
      </c>
      <c r="C162" s="23" t="n">
        <v>45599</v>
      </c>
      <c r="D162" s="22" t="s">
        <v>6447</v>
      </c>
      <c r="E162" s="22" t="str">
        <f aca="false">IFERROR(VLOOKUP(D162,'Applicant Lookup'!$A$2:$F$2911,2,FALSE()),"Not found")</f>
        <v>Catherine Davis</v>
      </c>
      <c r="F162" s="22" t="n">
        <v>2857</v>
      </c>
      <c r="G162" s="22" t="s">
        <v>8431</v>
      </c>
      <c r="H162" s="22" t="s">
        <v>188</v>
      </c>
      <c r="I162" s="22" t="s">
        <v>8603</v>
      </c>
      <c r="J162" s="22" t="s">
        <v>10489</v>
      </c>
      <c r="K162" s="22" t="s">
        <v>10506</v>
      </c>
      <c r="L162" s="23" t="n">
        <v>45602</v>
      </c>
      <c r="M162" s="22" t="n">
        <f aca="false">COUNTIFS('Skip PDF Index'!$B$6:$B$11,D162,'Skip PDF Index'!$D$6:$D$11,C162,'Skip PDF Index'!$F$6:$F$11,I162)</f>
        <v>0</v>
      </c>
      <c r="N162" s="22" t="n">
        <f aca="false">COUNTIFS('Skip PDF Index'!$B$6:$B$11,D162,'Skip PDF Index'!$D$6:$D$11,C162,'Skip PDF Index'!$E$6:$E$11,G162,'Skip PDF Index'!$F$6:$F$11,I162)</f>
        <v>0</v>
      </c>
      <c r="O162" s="22" t="n">
        <f aca="false">COUNTIFS('Skip PDF Index'!$B$6:$B$11,D162,'Skip PDF Index'!$D$6:$D$11,C162,'Skip PDF Index'!$E$6:$E$11,G162,'Skip PDF Index'!$F$6:$F$11,I162,'Skip PDF Index'!$H$6:$H$11,"SUPPORTING RECORD")</f>
        <v>0</v>
      </c>
      <c r="P162" s="22" t="n">
        <f aca="false">COUNTIFS('Offer Events'!$A$2:$A$1487,B162,'Offer Events'!$B$2:$B$1487,C162,'Offer Events'!$C$2:$C$1487,D162,'Offer Events'!$E$2:$E$1487,G162,'Offer Events'!$L$2:$L$1487,"SKIPPED",'Offer Events'!$P$2:$P$1487,I162)</f>
        <v>1</v>
      </c>
      <c r="Q162" s="22" t="str">
        <f aca="false">IF(L162&lt;=C162,"Y","N")</f>
        <v>N</v>
      </c>
      <c r="R162" s="22" t="str">
        <f aca="false">IF(AND(O162&gt;0,P162&gt;0,Q162="Y"),"Y","N")</f>
        <v>N</v>
      </c>
      <c r="S162" s="22" t="str">
        <f aca="false">IF(P162=0,"Offer register missing/mismatch",IF(N162=0,IF(M162&gt;0,"PDF slip mismatch","No matching PDF"),IF(O162=0,"PDF lacks supporting record","Reconciled")))</f>
        <v>No matching PDF</v>
      </c>
      <c r="T162" s="22" t="str">
        <f aca="false">IF(R162="Y","Compliant",S162&amp;IF(Q162="N","; review after skip",""))</f>
        <v>No matching PDF; review after skip</v>
      </c>
      <c r="U162" s="22" t="str">
        <f aca="false">IF(R162="Y","",IF(AND(O162&gt;0,P162&gt;0,Q162="N"),"Priority 2","Priority 1"))</f>
        <v>Priority 1</v>
      </c>
    </row>
    <row r="163" customFormat="false" ht="15" hidden="false" customHeight="false" outlineLevel="0" collapsed="false">
      <c r="A163" s="22" t="s">
        <v>10758</v>
      </c>
      <c r="B163" s="22" t="s">
        <v>9758</v>
      </c>
      <c r="C163" s="23" t="n">
        <v>45639</v>
      </c>
      <c r="D163" s="22" t="s">
        <v>3528</v>
      </c>
      <c r="E163" s="22" t="str">
        <f aca="false">IFERROR(VLOOKUP(D163,'Applicant Lookup'!$A$2:$F$2911,2,FALSE()),"Not found")</f>
        <v>Laura David</v>
      </c>
      <c r="F163" s="22" t="n">
        <v>1412</v>
      </c>
      <c r="G163" s="22" t="s">
        <v>8066</v>
      </c>
      <c r="H163" s="22" t="s">
        <v>499</v>
      </c>
      <c r="I163" s="22" t="s">
        <v>8637</v>
      </c>
      <c r="J163" s="22" t="s">
        <v>10489</v>
      </c>
      <c r="K163" s="22" t="s">
        <v>10511</v>
      </c>
      <c r="L163" s="23" t="n">
        <v>45642</v>
      </c>
      <c r="M163" s="22" t="n">
        <f aca="false">COUNTIFS('Skip PDF Index'!$B$6:$B$11,D163,'Skip PDF Index'!$D$6:$D$11,C163,'Skip PDF Index'!$F$6:$F$11,I163)</f>
        <v>0</v>
      </c>
      <c r="N163" s="22" t="n">
        <f aca="false">COUNTIFS('Skip PDF Index'!$B$6:$B$11,D163,'Skip PDF Index'!$D$6:$D$11,C163,'Skip PDF Index'!$E$6:$E$11,G163,'Skip PDF Index'!$F$6:$F$11,I163)</f>
        <v>0</v>
      </c>
      <c r="O163" s="22" t="n">
        <f aca="false">COUNTIFS('Skip PDF Index'!$B$6:$B$11,D163,'Skip PDF Index'!$D$6:$D$11,C163,'Skip PDF Index'!$E$6:$E$11,G163,'Skip PDF Index'!$F$6:$F$11,I163,'Skip PDF Index'!$H$6:$H$11,"SUPPORTING RECORD")</f>
        <v>0</v>
      </c>
      <c r="P163" s="22" t="n">
        <f aca="false">COUNTIFS('Offer Events'!$A$2:$A$1487,B163,'Offer Events'!$B$2:$B$1487,C163,'Offer Events'!$C$2:$C$1487,D163,'Offer Events'!$E$2:$E$1487,G163,'Offer Events'!$L$2:$L$1487,"SKIPPED",'Offer Events'!$P$2:$P$1487,I163)</f>
        <v>1</v>
      </c>
      <c r="Q163" s="22" t="str">
        <f aca="false">IF(L163&lt;=C163,"Y","N")</f>
        <v>N</v>
      </c>
      <c r="R163" s="22" t="str">
        <f aca="false">IF(AND(O163&gt;0,P163&gt;0,Q163="Y"),"Y","N")</f>
        <v>N</v>
      </c>
      <c r="S163" s="22" t="str">
        <f aca="false">IF(P163=0,"Offer register missing/mismatch",IF(N163=0,IF(M163&gt;0,"PDF slip mismatch","No matching PDF"),IF(O163=0,"PDF lacks supporting record","Reconciled")))</f>
        <v>No matching PDF</v>
      </c>
      <c r="T163" s="22" t="str">
        <f aca="false">IF(R163="Y","Compliant",S163&amp;IF(Q163="N","; review after skip",""))</f>
        <v>No matching PDF; review after skip</v>
      </c>
      <c r="U163" s="22" t="str">
        <f aca="false">IF(R163="Y","",IF(AND(O163&gt;0,P163&gt;0,Q163="N"),"Priority 2","Priority 1"))</f>
        <v>Priority 1</v>
      </c>
    </row>
    <row r="164" customFormat="false" ht="15" hidden="false" customHeight="false" outlineLevel="0" collapsed="false">
      <c r="A164" s="22" t="s">
        <v>10759</v>
      </c>
      <c r="B164" s="22" t="s">
        <v>9759</v>
      </c>
      <c r="C164" s="23" t="n">
        <v>45650</v>
      </c>
      <c r="D164" s="22" t="s">
        <v>4893</v>
      </c>
      <c r="E164" s="22" t="str">
        <f aca="false">IFERROR(VLOOKUP(D164,'Applicant Lookup'!$A$2:$F$2911,2,FALSE()),"Not found")</f>
        <v>Crystal Glover</v>
      </c>
      <c r="F164" s="22" t="n">
        <v>2079</v>
      </c>
      <c r="G164" s="22" t="s">
        <v>8345</v>
      </c>
      <c r="H164" s="22" t="s">
        <v>188</v>
      </c>
      <c r="I164" s="22" t="s">
        <v>8618</v>
      </c>
      <c r="J164" s="22" t="s">
        <v>10489</v>
      </c>
      <c r="K164" s="22" t="s">
        <v>10511</v>
      </c>
      <c r="L164" s="23" t="n">
        <v>45655</v>
      </c>
      <c r="M164" s="22" t="n">
        <f aca="false">COUNTIFS('Skip PDF Index'!$B$6:$B$11,D164,'Skip PDF Index'!$D$6:$D$11,C164,'Skip PDF Index'!$F$6:$F$11,I164)</f>
        <v>0</v>
      </c>
      <c r="N164" s="22" t="n">
        <f aca="false">COUNTIFS('Skip PDF Index'!$B$6:$B$11,D164,'Skip PDF Index'!$D$6:$D$11,C164,'Skip PDF Index'!$E$6:$E$11,G164,'Skip PDF Index'!$F$6:$F$11,I164)</f>
        <v>0</v>
      </c>
      <c r="O164" s="22" t="n">
        <f aca="false">COUNTIFS('Skip PDF Index'!$B$6:$B$11,D164,'Skip PDF Index'!$D$6:$D$11,C164,'Skip PDF Index'!$E$6:$E$11,G164,'Skip PDF Index'!$F$6:$F$11,I164,'Skip PDF Index'!$H$6:$H$11,"SUPPORTING RECORD")</f>
        <v>0</v>
      </c>
      <c r="P164" s="22" t="n">
        <f aca="false">COUNTIFS('Offer Events'!$A$2:$A$1487,B164,'Offer Events'!$B$2:$B$1487,C164,'Offer Events'!$C$2:$C$1487,D164,'Offer Events'!$E$2:$E$1487,G164,'Offer Events'!$L$2:$L$1487,"SKIPPED",'Offer Events'!$P$2:$P$1487,I164)</f>
        <v>1</v>
      </c>
      <c r="Q164" s="22" t="str">
        <f aca="false">IF(L164&lt;=C164,"Y","N")</f>
        <v>N</v>
      </c>
      <c r="R164" s="22" t="str">
        <f aca="false">IF(AND(O164&gt;0,P164&gt;0,Q164="Y"),"Y","N")</f>
        <v>N</v>
      </c>
      <c r="S164" s="22" t="str">
        <f aca="false">IF(P164=0,"Offer register missing/mismatch",IF(N164=0,IF(M164&gt;0,"PDF slip mismatch","No matching PDF"),IF(O164=0,"PDF lacks supporting record","Reconciled")))</f>
        <v>No matching PDF</v>
      </c>
      <c r="T164" s="22" t="str">
        <f aca="false">IF(R164="Y","Compliant",S164&amp;IF(Q164="N","; review after skip",""))</f>
        <v>No matching PDF; review after skip</v>
      </c>
      <c r="U164" s="22" t="str">
        <f aca="false">IF(R164="Y","",IF(AND(O164&gt;0,P164&gt;0,Q164="N"),"Priority 2","Priority 1"))</f>
        <v>Priority 1</v>
      </c>
    </row>
    <row r="165" customFormat="false" ht="15" hidden="false" customHeight="false" outlineLevel="0" collapsed="false">
      <c r="A165" s="22" t="s">
        <v>10760</v>
      </c>
      <c r="B165" s="22" t="s">
        <v>9761</v>
      </c>
      <c r="C165" s="23" t="n">
        <v>45637</v>
      </c>
      <c r="D165" s="22" t="s">
        <v>5327</v>
      </c>
      <c r="E165" s="22" t="str">
        <f aca="false">IFERROR(VLOOKUP(D165,'Applicant Lookup'!$A$2:$F$2911,2,FALSE()),"Not found")</f>
        <v>Megan Nguyen</v>
      </c>
      <c r="F165" s="22" t="n">
        <v>2294</v>
      </c>
      <c r="G165" s="22" t="s">
        <v>6580</v>
      </c>
      <c r="H165" s="22" t="s">
        <v>198</v>
      </c>
      <c r="I165" s="22" t="s">
        <v>8603</v>
      </c>
      <c r="J165" s="22" t="s">
        <v>10489</v>
      </c>
      <c r="K165" s="22" t="s">
        <v>10511</v>
      </c>
      <c r="L165" s="23" t="n">
        <v>45637</v>
      </c>
      <c r="M165" s="22" t="n">
        <f aca="false">COUNTIFS('Skip PDF Index'!$B$6:$B$11,D165,'Skip PDF Index'!$D$6:$D$11,C165,'Skip PDF Index'!$F$6:$F$11,I165)</f>
        <v>0</v>
      </c>
      <c r="N165" s="22" t="n">
        <f aca="false">COUNTIFS('Skip PDF Index'!$B$6:$B$11,D165,'Skip PDF Index'!$D$6:$D$11,C165,'Skip PDF Index'!$E$6:$E$11,G165,'Skip PDF Index'!$F$6:$F$11,I165)</f>
        <v>0</v>
      </c>
      <c r="O165" s="22" t="n">
        <f aca="false">COUNTIFS('Skip PDF Index'!$B$6:$B$11,D165,'Skip PDF Index'!$D$6:$D$11,C165,'Skip PDF Index'!$E$6:$E$11,G165,'Skip PDF Index'!$F$6:$F$11,I165,'Skip PDF Index'!$H$6:$H$11,"SUPPORTING RECORD")</f>
        <v>0</v>
      </c>
      <c r="P165" s="22" t="n">
        <f aca="false">COUNTIFS('Offer Events'!$A$2:$A$1487,B165,'Offer Events'!$B$2:$B$1487,C165,'Offer Events'!$C$2:$C$1487,D165,'Offer Events'!$E$2:$E$1487,G165,'Offer Events'!$L$2:$L$1487,"SKIPPED",'Offer Events'!$P$2:$P$1487,I165)</f>
        <v>1</v>
      </c>
      <c r="Q165" s="22" t="str">
        <f aca="false">IF(L165&lt;=C165,"Y","N")</f>
        <v>Y</v>
      </c>
      <c r="R165" s="22" t="str">
        <f aca="false">IF(AND(O165&gt;0,P165&gt;0,Q165="Y"),"Y","N")</f>
        <v>N</v>
      </c>
      <c r="S165" s="22" t="str">
        <f aca="false">IF(P165=0,"Offer register missing/mismatch",IF(N165=0,IF(M165&gt;0,"PDF slip mismatch","No matching PDF"),IF(O165=0,"PDF lacks supporting record","Reconciled")))</f>
        <v>No matching PDF</v>
      </c>
      <c r="T165" s="22" t="str">
        <f aca="false">IF(R165="Y","Compliant",S165&amp;IF(Q165="N","; review after skip",""))</f>
        <v>No matching PDF</v>
      </c>
      <c r="U165" s="22" t="str">
        <f aca="false">IF(R165="Y","",IF(AND(O165&gt;0,P165&gt;0,Q165="N"),"Priority 2","Priority 1"))</f>
        <v>Priority 1</v>
      </c>
    </row>
    <row r="166" customFormat="false" ht="15" hidden="false" customHeight="false" outlineLevel="0" collapsed="false">
      <c r="A166" s="22" t="s">
        <v>10761</v>
      </c>
      <c r="B166" s="22" t="s">
        <v>9762</v>
      </c>
      <c r="C166" s="23" t="n">
        <v>45648</v>
      </c>
      <c r="D166" s="22" t="s">
        <v>2298</v>
      </c>
      <c r="E166" s="22" t="str">
        <f aca="false">IFERROR(VLOOKUP(D166,'Applicant Lookup'!$A$2:$F$2911,2,FALSE()),"Not found")</f>
        <v>Jeffrey Pearson</v>
      </c>
      <c r="F166" s="22" t="n">
        <v>844</v>
      </c>
      <c r="G166" s="22" t="s">
        <v>7860</v>
      </c>
      <c r="H166" s="22" t="s">
        <v>215</v>
      </c>
      <c r="I166" s="22" t="s">
        <v>8603</v>
      </c>
      <c r="J166" s="22" t="s">
        <v>10489</v>
      </c>
      <c r="K166" s="22" t="s">
        <v>10516</v>
      </c>
      <c r="L166" s="23" t="n">
        <v>45650</v>
      </c>
      <c r="M166" s="22" t="n">
        <f aca="false">COUNTIFS('Skip PDF Index'!$B$6:$B$11,D166,'Skip PDF Index'!$D$6:$D$11,C166,'Skip PDF Index'!$F$6:$F$11,I166)</f>
        <v>0</v>
      </c>
      <c r="N166" s="22" t="n">
        <f aca="false">COUNTIFS('Skip PDF Index'!$B$6:$B$11,D166,'Skip PDF Index'!$D$6:$D$11,C166,'Skip PDF Index'!$E$6:$E$11,G166,'Skip PDF Index'!$F$6:$F$11,I166)</f>
        <v>0</v>
      </c>
      <c r="O166" s="22" t="n">
        <f aca="false">COUNTIFS('Skip PDF Index'!$B$6:$B$11,D166,'Skip PDF Index'!$D$6:$D$11,C166,'Skip PDF Index'!$E$6:$E$11,G166,'Skip PDF Index'!$F$6:$F$11,I166,'Skip PDF Index'!$H$6:$H$11,"SUPPORTING RECORD")</f>
        <v>0</v>
      </c>
      <c r="P166" s="22" t="n">
        <f aca="false">COUNTIFS('Offer Events'!$A$2:$A$1487,B166,'Offer Events'!$B$2:$B$1487,C166,'Offer Events'!$C$2:$C$1487,D166,'Offer Events'!$E$2:$E$1487,G166,'Offer Events'!$L$2:$L$1487,"SKIPPED",'Offer Events'!$P$2:$P$1487,I166)</f>
        <v>1</v>
      </c>
      <c r="Q166" s="22" t="str">
        <f aca="false">IF(L166&lt;=C166,"Y","N")</f>
        <v>N</v>
      </c>
      <c r="R166" s="22" t="str">
        <f aca="false">IF(AND(O166&gt;0,P166&gt;0,Q166="Y"),"Y","N")</f>
        <v>N</v>
      </c>
      <c r="S166" s="22" t="str">
        <f aca="false">IF(P166=0,"Offer register missing/mismatch",IF(N166=0,IF(M166&gt;0,"PDF slip mismatch","No matching PDF"),IF(O166=0,"PDF lacks supporting record","Reconciled")))</f>
        <v>No matching PDF</v>
      </c>
      <c r="T166" s="22" t="str">
        <f aca="false">IF(R166="Y","Compliant",S166&amp;IF(Q166="N","; review after skip",""))</f>
        <v>No matching PDF; review after skip</v>
      </c>
      <c r="U166" s="22" t="str">
        <f aca="false">IF(R166="Y","",IF(AND(O166&gt;0,P166&gt;0,Q166="N"),"Priority 2","Priority 1"))</f>
        <v>Priority 1</v>
      </c>
    </row>
    <row r="167" customFormat="false" ht="15" hidden="false" customHeight="false" outlineLevel="0" collapsed="false">
      <c r="A167" s="22" t="s">
        <v>10762</v>
      </c>
      <c r="B167" s="22" t="s">
        <v>9767</v>
      </c>
      <c r="C167" s="23" t="n">
        <v>45644</v>
      </c>
      <c r="D167" s="22" t="s">
        <v>4573</v>
      </c>
      <c r="E167" s="22" t="str">
        <f aca="false">IFERROR(VLOOKUP(D167,'Applicant Lookup'!$A$2:$F$2911,2,FALSE()),"Not found")</f>
        <v>Randall Cummings</v>
      </c>
      <c r="F167" s="22" t="n">
        <v>1923</v>
      </c>
      <c r="G167" s="22" t="s">
        <v>7117</v>
      </c>
      <c r="H167" s="22" t="s">
        <v>198</v>
      </c>
      <c r="I167" s="22" t="s">
        <v>8637</v>
      </c>
      <c r="J167" s="22" t="s">
        <v>10489</v>
      </c>
      <c r="K167" s="22" t="s">
        <v>10516</v>
      </c>
      <c r="L167" s="23" t="n">
        <v>45644</v>
      </c>
      <c r="M167" s="22" t="n">
        <f aca="false">COUNTIFS('Skip PDF Index'!$B$6:$B$11,D167,'Skip PDF Index'!$D$6:$D$11,C167,'Skip PDF Index'!$F$6:$F$11,I167)</f>
        <v>0</v>
      </c>
      <c r="N167" s="22" t="n">
        <f aca="false">COUNTIFS('Skip PDF Index'!$B$6:$B$11,D167,'Skip PDF Index'!$D$6:$D$11,C167,'Skip PDF Index'!$E$6:$E$11,G167,'Skip PDF Index'!$F$6:$F$11,I167)</f>
        <v>0</v>
      </c>
      <c r="O167" s="22" t="n">
        <f aca="false">COUNTIFS('Skip PDF Index'!$B$6:$B$11,D167,'Skip PDF Index'!$D$6:$D$11,C167,'Skip PDF Index'!$E$6:$E$11,G167,'Skip PDF Index'!$F$6:$F$11,I167,'Skip PDF Index'!$H$6:$H$11,"SUPPORTING RECORD")</f>
        <v>0</v>
      </c>
      <c r="P167" s="22" t="n">
        <f aca="false">COUNTIFS('Offer Events'!$A$2:$A$1487,B167,'Offer Events'!$B$2:$B$1487,C167,'Offer Events'!$C$2:$C$1487,D167,'Offer Events'!$E$2:$E$1487,G167,'Offer Events'!$L$2:$L$1487,"SKIPPED",'Offer Events'!$P$2:$P$1487,I167)</f>
        <v>1</v>
      </c>
      <c r="Q167" s="22" t="str">
        <f aca="false">IF(L167&lt;=C167,"Y","N")</f>
        <v>Y</v>
      </c>
      <c r="R167" s="22" t="str">
        <f aca="false">IF(AND(O167&gt;0,P167&gt;0,Q167="Y"),"Y","N")</f>
        <v>N</v>
      </c>
      <c r="S167" s="22" t="str">
        <f aca="false">IF(P167=0,"Offer register missing/mismatch",IF(N167=0,IF(M167&gt;0,"PDF slip mismatch","No matching PDF"),IF(O167=0,"PDF lacks supporting record","Reconciled")))</f>
        <v>No matching PDF</v>
      </c>
      <c r="T167" s="22" t="str">
        <f aca="false">IF(R167="Y","Compliant",S167&amp;IF(Q167="N","; review after skip",""))</f>
        <v>No matching PDF</v>
      </c>
      <c r="U167" s="22" t="str">
        <f aca="false">IF(R167="Y","",IF(AND(O167&gt;0,P167&gt;0,Q167="N"),"Priority 2","Priority 1"))</f>
        <v>Priority 1</v>
      </c>
    </row>
    <row r="168" customFormat="false" ht="15" hidden="false" customHeight="false" outlineLevel="0" collapsed="false">
      <c r="A168" s="22" t="s">
        <v>10763</v>
      </c>
      <c r="B168" s="22" t="s">
        <v>9772</v>
      </c>
      <c r="C168" s="23" t="n">
        <v>45672</v>
      </c>
      <c r="D168" s="22" t="s">
        <v>5995</v>
      </c>
      <c r="E168" s="22" t="str">
        <f aca="false">IFERROR(VLOOKUP(D168,'Applicant Lookup'!$A$2:$F$2911,2,FALSE()),"Not found")</f>
        <v>Makayla Johnson</v>
      </c>
      <c r="F168" s="22" t="n">
        <v>2628</v>
      </c>
      <c r="G168" s="22" t="s">
        <v>7037</v>
      </c>
      <c r="H168" s="22" t="s">
        <v>198</v>
      </c>
      <c r="I168" s="22" t="s">
        <v>8637</v>
      </c>
      <c r="J168" s="22" t="s">
        <v>10489</v>
      </c>
      <c r="K168" s="22" t="s">
        <v>10501</v>
      </c>
      <c r="L168" s="23" t="n">
        <v>45672</v>
      </c>
      <c r="M168" s="22" t="n">
        <f aca="false">COUNTIFS('Skip PDF Index'!$B$6:$B$11,D168,'Skip PDF Index'!$D$6:$D$11,C168,'Skip PDF Index'!$F$6:$F$11,I168)</f>
        <v>0</v>
      </c>
      <c r="N168" s="22" t="n">
        <f aca="false">COUNTIFS('Skip PDF Index'!$B$6:$B$11,D168,'Skip PDF Index'!$D$6:$D$11,C168,'Skip PDF Index'!$E$6:$E$11,G168,'Skip PDF Index'!$F$6:$F$11,I168)</f>
        <v>0</v>
      </c>
      <c r="O168" s="22" t="n">
        <f aca="false">COUNTIFS('Skip PDF Index'!$B$6:$B$11,D168,'Skip PDF Index'!$D$6:$D$11,C168,'Skip PDF Index'!$E$6:$E$11,G168,'Skip PDF Index'!$F$6:$F$11,I168,'Skip PDF Index'!$H$6:$H$11,"SUPPORTING RECORD")</f>
        <v>0</v>
      </c>
      <c r="P168" s="22" t="n">
        <f aca="false">COUNTIFS('Offer Events'!$A$2:$A$1487,B168,'Offer Events'!$B$2:$B$1487,C168,'Offer Events'!$C$2:$C$1487,D168,'Offer Events'!$E$2:$E$1487,G168,'Offer Events'!$L$2:$L$1487,"SKIPPED",'Offer Events'!$P$2:$P$1487,I168)</f>
        <v>1</v>
      </c>
      <c r="Q168" s="22" t="str">
        <f aca="false">IF(L168&lt;=C168,"Y","N")</f>
        <v>Y</v>
      </c>
      <c r="R168" s="22" t="str">
        <f aca="false">IF(AND(O168&gt;0,P168&gt;0,Q168="Y"),"Y","N")</f>
        <v>N</v>
      </c>
      <c r="S168" s="22" t="str">
        <f aca="false">IF(P168=0,"Offer register missing/mismatch",IF(N168=0,IF(M168&gt;0,"PDF slip mismatch","No matching PDF"),IF(O168=0,"PDF lacks supporting record","Reconciled")))</f>
        <v>No matching PDF</v>
      </c>
      <c r="T168" s="22" t="str">
        <f aca="false">IF(R168="Y","Compliant",S168&amp;IF(Q168="N","; review after skip",""))</f>
        <v>No matching PDF</v>
      </c>
      <c r="U168" s="22" t="str">
        <f aca="false">IF(R168="Y","",IF(AND(O168&gt;0,P168&gt;0,Q168="N"),"Priority 2","Priority 1"))</f>
        <v>Priority 1</v>
      </c>
    </row>
    <row r="169" customFormat="false" ht="15" hidden="false" customHeight="false" outlineLevel="0" collapsed="false">
      <c r="A169" s="22" t="s">
        <v>10764</v>
      </c>
      <c r="B169" s="22" t="s">
        <v>9779</v>
      </c>
      <c r="C169" s="23" t="n">
        <v>45674</v>
      </c>
      <c r="D169" s="22" t="s">
        <v>2456</v>
      </c>
      <c r="E169" s="22" t="str">
        <f aca="false">IFERROR(VLOOKUP(D169,'Applicant Lookup'!$A$2:$F$2911,2,FALSE()),"Not found")</f>
        <v>Brittany Barrett</v>
      </c>
      <c r="F169" s="22" t="n">
        <v>918</v>
      </c>
      <c r="G169" s="22" t="s">
        <v>8183</v>
      </c>
      <c r="H169" s="22" t="s">
        <v>499</v>
      </c>
      <c r="I169" s="22" t="s">
        <v>8618</v>
      </c>
      <c r="J169" s="22" t="s">
        <v>10489</v>
      </c>
      <c r="K169" s="22" t="s">
        <v>10555</v>
      </c>
      <c r="L169" s="23" t="n">
        <v>45677</v>
      </c>
      <c r="M169" s="22" t="n">
        <f aca="false">COUNTIFS('Skip PDF Index'!$B$6:$B$11,D169,'Skip PDF Index'!$D$6:$D$11,C169,'Skip PDF Index'!$F$6:$F$11,I169)</f>
        <v>0</v>
      </c>
      <c r="N169" s="22" t="n">
        <f aca="false">COUNTIFS('Skip PDF Index'!$B$6:$B$11,D169,'Skip PDF Index'!$D$6:$D$11,C169,'Skip PDF Index'!$E$6:$E$11,G169,'Skip PDF Index'!$F$6:$F$11,I169)</f>
        <v>0</v>
      </c>
      <c r="O169" s="22" t="n">
        <f aca="false">COUNTIFS('Skip PDF Index'!$B$6:$B$11,D169,'Skip PDF Index'!$D$6:$D$11,C169,'Skip PDF Index'!$E$6:$E$11,G169,'Skip PDF Index'!$F$6:$F$11,I169,'Skip PDF Index'!$H$6:$H$11,"SUPPORTING RECORD")</f>
        <v>0</v>
      </c>
      <c r="P169" s="22" t="n">
        <f aca="false">COUNTIFS('Offer Events'!$A$2:$A$1487,B169,'Offer Events'!$B$2:$B$1487,C169,'Offer Events'!$C$2:$C$1487,D169,'Offer Events'!$E$2:$E$1487,G169,'Offer Events'!$L$2:$L$1487,"SKIPPED",'Offer Events'!$P$2:$P$1487,I169)</f>
        <v>1</v>
      </c>
      <c r="Q169" s="22" t="str">
        <f aca="false">IF(L169&lt;=C169,"Y","N")</f>
        <v>N</v>
      </c>
      <c r="R169" s="22" t="str">
        <f aca="false">IF(AND(O169&gt;0,P169&gt;0,Q169="Y"),"Y","N")</f>
        <v>N</v>
      </c>
      <c r="S169" s="22" t="str">
        <f aca="false">IF(P169=0,"Offer register missing/mismatch",IF(N169=0,IF(M169&gt;0,"PDF slip mismatch","No matching PDF"),IF(O169=0,"PDF lacks supporting record","Reconciled")))</f>
        <v>No matching PDF</v>
      </c>
      <c r="T169" s="22" t="str">
        <f aca="false">IF(R169="Y","Compliant",S169&amp;IF(Q169="N","; review after skip",""))</f>
        <v>No matching PDF; review after skip</v>
      </c>
      <c r="U169" s="22" t="str">
        <f aca="false">IF(R169="Y","",IF(AND(O169&gt;0,P169&gt;0,Q169="N"),"Priority 2","Priority 1"))</f>
        <v>Priority 1</v>
      </c>
    </row>
    <row r="170" customFormat="false" ht="15" hidden="false" customHeight="false" outlineLevel="0" collapsed="false">
      <c r="A170" s="22" t="s">
        <v>10765</v>
      </c>
      <c r="B170" s="22" t="s">
        <v>9780</v>
      </c>
      <c r="C170" s="23" t="n">
        <v>45658</v>
      </c>
      <c r="D170" s="22" t="s">
        <v>1215</v>
      </c>
      <c r="E170" s="22" t="str">
        <f aca="false">IFERROR(VLOOKUP(D170,'Applicant Lookup'!$A$2:$F$2911,2,FALSE()),"Not found")</f>
        <v>Jose King</v>
      </c>
      <c r="F170" s="22" t="n">
        <v>382</v>
      </c>
      <c r="G170" s="22" t="s">
        <v>8290</v>
      </c>
      <c r="H170" s="22" t="s">
        <v>499</v>
      </c>
      <c r="I170" s="22" t="s">
        <v>8603</v>
      </c>
      <c r="J170" s="22" t="s">
        <v>10489</v>
      </c>
      <c r="K170" s="22" t="s">
        <v>10504</v>
      </c>
      <c r="L170" s="23" t="n">
        <v>45661</v>
      </c>
      <c r="M170" s="22" t="n">
        <f aca="false">COUNTIFS('Skip PDF Index'!$B$6:$B$11,D170,'Skip PDF Index'!$D$6:$D$11,C170,'Skip PDF Index'!$F$6:$F$11,I170)</f>
        <v>0</v>
      </c>
      <c r="N170" s="22" t="n">
        <f aca="false">COUNTIFS('Skip PDF Index'!$B$6:$B$11,D170,'Skip PDF Index'!$D$6:$D$11,C170,'Skip PDF Index'!$E$6:$E$11,G170,'Skip PDF Index'!$F$6:$F$11,I170)</f>
        <v>0</v>
      </c>
      <c r="O170" s="22" t="n">
        <f aca="false">COUNTIFS('Skip PDF Index'!$B$6:$B$11,D170,'Skip PDF Index'!$D$6:$D$11,C170,'Skip PDF Index'!$E$6:$E$11,G170,'Skip PDF Index'!$F$6:$F$11,I170,'Skip PDF Index'!$H$6:$H$11,"SUPPORTING RECORD")</f>
        <v>0</v>
      </c>
      <c r="P170" s="22" t="n">
        <f aca="false">COUNTIFS('Offer Events'!$A$2:$A$1487,B170,'Offer Events'!$B$2:$B$1487,C170,'Offer Events'!$C$2:$C$1487,D170,'Offer Events'!$E$2:$E$1487,G170,'Offer Events'!$L$2:$L$1487,"SKIPPED",'Offer Events'!$P$2:$P$1487,I170)</f>
        <v>1</v>
      </c>
      <c r="Q170" s="22" t="str">
        <f aca="false">IF(L170&lt;=C170,"Y","N")</f>
        <v>N</v>
      </c>
      <c r="R170" s="22" t="str">
        <f aca="false">IF(AND(O170&gt;0,P170&gt;0,Q170="Y"),"Y","N")</f>
        <v>N</v>
      </c>
      <c r="S170" s="22" t="str">
        <f aca="false">IF(P170=0,"Offer register missing/mismatch",IF(N170=0,IF(M170&gt;0,"PDF slip mismatch","No matching PDF"),IF(O170=0,"PDF lacks supporting record","Reconciled")))</f>
        <v>No matching PDF</v>
      </c>
      <c r="T170" s="22" t="str">
        <f aca="false">IF(R170="Y","Compliant",S170&amp;IF(Q170="N","; review after skip",""))</f>
        <v>No matching PDF; review after skip</v>
      </c>
      <c r="U170" s="22" t="str">
        <f aca="false">IF(R170="Y","",IF(AND(O170&gt;0,P170&gt;0,Q170="N"),"Priority 2","Priority 1"))</f>
        <v>Priority 1</v>
      </c>
    </row>
    <row r="171" customFormat="false" ht="15" hidden="false" customHeight="false" outlineLevel="0" collapsed="false">
      <c r="A171" s="22" t="s">
        <v>10766</v>
      </c>
      <c r="B171" s="22" t="s">
        <v>9781</v>
      </c>
      <c r="C171" s="23" t="n">
        <v>45669</v>
      </c>
      <c r="D171" s="22" t="s">
        <v>6510</v>
      </c>
      <c r="E171" s="22" t="str">
        <f aca="false">IFERROR(VLOOKUP(D171,'Applicant Lookup'!$A$2:$F$2911,2,FALSE()),"Not found")</f>
        <v>Christian Garcia</v>
      </c>
      <c r="F171" s="22" t="n">
        <v>2888</v>
      </c>
      <c r="G171" s="22" t="s">
        <v>8488</v>
      </c>
      <c r="H171" s="22" t="s">
        <v>188</v>
      </c>
      <c r="I171" s="22" t="s">
        <v>8631</v>
      </c>
      <c r="J171" s="22" t="s">
        <v>10489</v>
      </c>
      <c r="K171" s="22" t="s">
        <v>10516</v>
      </c>
      <c r="L171" s="23" t="n">
        <v>45671</v>
      </c>
      <c r="M171" s="22" t="n">
        <f aca="false">COUNTIFS('Skip PDF Index'!$B$6:$B$11,D171,'Skip PDF Index'!$D$6:$D$11,C171,'Skip PDF Index'!$F$6:$F$11,I171)</f>
        <v>0</v>
      </c>
      <c r="N171" s="22" t="n">
        <f aca="false">COUNTIFS('Skip PDF Index'!$B$6:$B$11,D171,'Skip PDF Index'!$D$6:$D$11,C171,'Skip PDF Index'!$E$6:$E$11,G171,'Skip PDF Index'!$F$6:$F$11,I171)</f>
        <v>0</v>
      </c>
      <c r="O171" s="22" t="n">
        <f aca="false">COUNTIFS('Skip PDF Index'!$B$6:$B$11,D171,'Skip PDF Index'!$D$6:$D$11,C171,'Skip PDF Index'!$E$6:$E$11,G171,'Skip PDF Index'!$F$6:$F$11,I171,'Skip PDF Index'!$H$6:$H$11,"SUPPORTING RECORD")</f>
        <v>0</v>
      </c>
      <c r="P171" s="22" t="n">
        <f aca="false">COUNTIFS('Offer Events'!$A$2:$A$1487,B171,'Offer Events'!$B$2:$B$1487,C171,'Offer Events'!$C$2:$C$1487,D171,'Offer Events'!$E$2:$E$1487,G171,'Offer Events'!$L$2:$L$1487,"SKIPPED",'Offer Events'!$P$2:$P$1487,I171)</f>
        <v>1</v>
      </c>
      <c r="Q171" s="22" t="str">
        <f aca="false">IF(L171&lt;=C171,"Y","N")</f>
        <v>N</v>
      </c>
      <c r="R171" s="22" t="str">
        <f aca="false">IF(AND(O171&gt;0,P171&gt;0,Q171="Y"),"Y","N")</f>
        <v>N</v>
      </c>
      <c r="S171" s="22" t="str">
        <f aca="false">IF(P171=0,"Offer register missing/mismatch",IF(N171=0,IF(M171&gt;0,"PDF slip mismatch","No matching PDF"),IF(O171=0,"PDF lacks supporting record","Reconciled")))</f>
        <v>No matching PDF</v>
      </c>
      <c r="T171" s="22" t="str">
        <f aca="false">IF(R171="Y","Compliant",S171&amp;IF(Q171="N","; review after skip",""))</f>
        <v>No matching PDF; review after skip</v>
      </c>
      <c r="U171" s="22" t="str">
        <f aca="false">IF(R171="Y","",IF(AND(O171&gt;0,P171&gt;0,Q171="N"),"Priority 2","Priority 1"))</f>
        <v>Priority 1</v>
      </c>
    </row>
    <row r="172" customFormat="false" ht="15" hidden="false" customHeight="false" outlineLevel="0" collapsed="false">
      <c r="A172" s="22" t="s">
        <v>10767</v>
      </c>
      <c r="B172" s="22" t="s">
        <v>9787</v>
      </c>
      <c r="C172" s="23" t="n">
        <v>45673</v>
      </c>
      <c r="D172" s="22" t="s">
        <v>4185</v>
      </c>
      <c r="E172" s="22" t="str">
        <f aca="false">IFERROR(VLOOKUP(D172,'Applicant Lookup'!$A$2:$F$2911,2,FALSE()),"Not found")</f>
        <v>Tiffany Melendez</v>
      </c>
      <c r="F172" s="22" t="n">
        <v>1733</v>
      </c>
      <c r="G172" s="22" t="s">
        <v>7069</v>
      </c>
      <c r="H172" s="22" t="s">
        <v>198</v>
      </c>
      <c r="I172" s="22" t="s">
        <v>8603</v>
      </c>
      <c r="J172" s="22" t="s">
        <v>10489</v>
      </c>
      <c r="K172" s="22" t="s">
        <v>10506</v>
      </c>
      <c r="L172" s="23" t="n">
        <v>45677</v>
      </c>
      <c r="M172" s="22" t="n">
        <f aca="false">COUNTIFS('Skip PDF Index'!$B$6:$B$11,D172,'Skip PDF Index'!$D$6:$D$11,C172,'Skip PDF Index'!$F$6:$F$11,I172)</f>
        <v>0</v>
      </c>
      <c r="N172" s="22" t="n">
        <f aca="false">COUNTIFS('Skip PDF Index'!$B$6:$B$11,D172,'Skip PDF Index'!$D$6:$D$11,C172,'Skip PDF Index'!$E$6:$E$11,G172,'Skip PDF Index'!$F$6:$F$11,I172)</f>
        <v>0</v>
      </c>
      <c r="O172" s="22" t="n">
        <f aca="false">COUNTIFS('Skip PDF Index'!$B$6:$B$11,D172,'Skip PDF Index'!$D$6:$D$11,C172,'Skip PDF Index'!$E$6:$E$11,G172,'Skip PDF Index'!$F$6:$F$11,I172,'Skip PDF Index'!$H$6:$H$11,"SUPPORTING RECORD")</f>
        <v>0</v>
      </c>
      <c r="P172" s="22" t="n">
        <f aca="false">COUNTIFS('Offer Events'!$A$2:$A$1487,B172,'Offer Events'!$B$2:$B$1487,C172,'Offer Events'!$C$2:$C$1487,D172,'Offer Events'!$E$2:$E$1487,G172,'Offer Events'!$L$2:$L$1487,"SKIPPED",'Offer Events'!$P$2:$P$1487,I172)</f>
        <v>1</v>
      </c>
      <c r="Q172" s="22" t="str">
        <f aca="false">IF(L172&lt;=C172,"Y","N")</f>
        <v>N</v>
      </c>
      <c r="R172" s="22" t="str">
        <f aca="false">IF(AND(O172&gt;0,P172&gt;0,Q172="Y"),"Y","N")</f>
        <v>N</v>
      </c>
      <c r="S172" s="22" t="str">
        <f aca="false">IF(P172=0,"Offer register missing/mismatch",IF(N172=0,IF(M172&gt;0,"PDF slip mismatch","No matching PDF"),IF(O172=0,"PDF lacks supporting record","Reconciled")))</f>
        <v>No matching PDF</v>
      </c>
      <c r="T172" s="22" t="str">
        <f aca="false">IF(R172="Y","Compliant",S172&amp;IF(Q172="N","; review after skip",""))</f>
        <v>No matching PDF; review after skip</v>
      </c>
      <c r="U172" s="22" t="str">
        <f aca="false">IF(R172="Y","",IF(AND(O172&gt;0,P172&gt;0,Q172="N"),"Priority 2","Priority 1"))</f>
        <v>Priority 1</v>
      </c>
    </row>
    <row r="173" customFormat="false" ht="15" hidden="false" customHeight="false" outlineLevel="0" collapsed="false">
      <c r="A173" s="22" t="s">
        <v>10768</v>
      </c>
      <c r="B173" s="22" t="s">
        <v>9805</v>
      </c>
      <c r="C173" s="23" t="n">
        <v>45708</v>
      </c>
      <c r="D173" s="22" t="s">
        <v>5227</v>
      </c>
      <c r="E173" s="22" t="str">
        <f aca="false">IFERROR(VLOOKUP(D173,'Applicant Lookup'!$A$2:$F$2911,2,FALSE()),"Not found")</f>
        <v>Norma Brown</v>
      </c>
      <c r="F173" s="22" t="n">
        <v>2244</v>
      </c>
      <c r="G173" s="22" t="s">
        <v>8020</v>
      </c>
      <c r="H173" s="22" t="s">
        <v>215</v>
      </c>
      <c r="I173" s="22" t="s">
        <v>8618</v>
      </c>
      <c r="J173" s="22" t="s">
        <v>10489</v>
      </c>
      <c r="K173" s="22" t="s">
        <v>10513</v>
      </c>
      <c r="L173" s="23" t="n">
        <v>45711</v>
      </c>
      <c r="M173" s="22" t="n">
        <f aca="false">COUNTIFS('Skip PDF Index'!$B$6:$B$11,D173,'Skip PDF Index'!$D$6:$D$11,C173,'Skip PDF Index'!$F$6:$F$11,I173)</f>
        <v>0</v>
      </c>
      <c r="N173" s="22" t="n">
        <f aca="false">COUNTIFS('Skip PDF Index'!$B$6:$B$11,D173,'Skip PDF Index'!$D$6:$D$11,C173,'Skip PDF Index'!$E$6:$E$11,G173,'Skip PDF Index'!$F$6:$F$11,I173)</f>
        <v>0</v>
      </c>
      <c r="O173" s="22" t="n">
        <f aca="false">COUNTIFS('Skip PDF Index'!$B$6:$B$11,D173,'Skip PDF Index'!$D$6:$D$11,C173,'Skip PDF Index'!$E$6:$E$11,G173,'Skip PDF Index'!$F$6:$F$11,I173,'Skip PDF Index'!$H$6:$H$11,"SUPPORTING RECORD")</f>
        <v>0</v>
      </c>
      <c r="P173" s="22" t="n">
        <f aca="false">COUNTIFS('Offer Events'!$A$2:$A$1487,B173,'Offer Events'!$B$2:$B$1487,C173,'Offer Events'!$C$2:$C$1487,D173,'Offer Events'!$E$2:$E$1487,G173,'Offer Events'!$L$2:$L$1487,"SKIPPED",'Offer Events'!$P$2:$P$1487,I173)</f>
        <v>1</v>
      </c>
      <c r="Q173" s="22" t="str">
        <f aca="false">IF(L173&lt;=C173,"Y","N")</f>
        <v>N</v>
      </c>
      <c r="R173" s="22" t="str">
        <f aca="false">IF(AND(O173&gt;0,P173&gt;0,Q173="Y"),"Y","N")</f>
        <v>N</v>
      </c>
      <c r="S173" s="22" t="str">
        <f aca="false">IF(P173=0,"Offer register missing/mismatch",IF(N173=0,IF(M173&gt;0,"PDF slip mismatch","No matching PDF"),IF(O173=0,"PDF lacks supporting record","Reconciled")))</f>
        <v>No matching PDF</v>
      </c>
      <c r="T173" s="22" t="str">
        <f aca="false">IF(R173="Y","Compliant",S173&amp;IF(Q173="N","; review after skip",""))</f>
        <v>No matching PDF; review after skip</v>
      </c>
      <c r="U173" s="22" t="str">
        <f aca="false">IF(R173="Y","",IF(AND(O173&gt;0,P173&gt;0,Q173="N"),"Priority 2","Priority 1"))</f>
        <v>Priority 1</v>
      </c>
    </row>
    <row r="174" customFormat="false" ht="15" hidden="false" customHeight="false" outlineLevel="0" collapsed="false">
      <c r="A174" s="22" t="s">
        <v>10769</v>
      </c>
      <c r="B174" s="22" t="s">
        <v>9827</v>
      </c>
      <c r="C174" s="23" t="n">
        <v>45738</v>
      </c>
      <c r="D174" s="22" t="s">
        <v>2789</v>
      </c>
      <c r="E174" s="22" t="str">
        <f aca="false">IFERROR(VLOOKUP(D174,'Applicant Lookup'!$A$2:$F$2911,2,FALSE()),"Not found")</f>
        <v>Craig Simon</v>
      </c>
      <c r="F174" s="22" t="n">
        <v>1067</v>
      </c>
      <c r="G174" s="22" t="s">
        <v>7263</v>
      </c>
      <c r="H174" s="22" t="s">
        <v>198</v>
      </c>
      <c r="I174" s="22" t="s">
        <v>8618</v>
      </c>
      <c r="J174" s="22" t="s">
        <v>10489</v>
      </c>
      <c r="K174" s="22" t="s">
        <v>10501</v>
      </c>
      <c r="L174" s="23" t="n">
        <v>45738</v>
      </c>
      <c r="M174" s="22" t="n">
        <f aca="false">COUNTIFS('Skip PDF Index'!$B$6:$B$11,D174,'Skip PDF Index'!$D$6:$D$11,C174,'Skip PDF Index'!$F$6:$F$11,I174)</f>
        <v>0</v>
      </c>
      <c r="N174" s="22" t="n">
        <f aca="false">COUNTIFS('Skip PDF Index'!$B$6:$B$11,D174,'Skip PDF Index'!$D$6:$D$11,C174,'Skip PDF Index'!$E$6:$E$11,G174,'Skip PDF Index'!$F$6:$F$11,I174)</f>
        <v>0</v>
      </c>
      <c r="O174" s="22" t="n">
        <f aca="false">COUNTIFS('Skip PDF Index'!$B$6:$B$11,D174,'Skip PDF Index'!$D$6:$D$11,C174,'Skip PDF Index'!$E$6:$E$11,G174,'Skip PDF Index'!$F$6:$F$11,I174,'Skip PDF Index'!$H$6:$H$11,"SUPPORTING RECORD")</f>
        <v>0</v>
      </c>
      <c r="P174" s="22" t="n">
        <f aca="false">COUNTIFS('Offer Events'!$A$2:$A$1487,B174,'Offer Events'!$B$2:$B$1487,C174,'Offer Events'!$C$2:$C$1487,D174,'Offer Events'!$E$2:$E$1487,G174,'Offer Events'!$L$2:$L$1487,"SKIPPED",'Offer Events'!$P$2:$P$1487,I174)</f>
        <v>1</v>
      </c>
      <c r="Q174" s="22" t="str">
        <f aca="false">IF(L174&lt;=C174,"Y","N")</f>
        <v>Y</v>
      </c>
      <c r="R174" s="22" t="str">
        <f aca="false">IF(AND(O174&gt;0,P174&gt;0,Q174="Y"),"Y","N")</f>
        <v>N</v>
      </c>
      <c r="S174" s="22" t="str">
        <f aca="false">IF(P174=0,"Offer register missing/mismatch",IF(N174=0,IF(M174&gt;0,"PDF slip mismatch","No matching PDF"),IF(O174=0,"PDF lacks supporting record","Reconciled")))</f>
        <v>No matching PDF</v>
      </c>
      <c r="T174" s="22" t="str">
        <f aca="false">IF(R174="Y","Compliant",S174&amp;IF(Q174="N","; review after skip",""))</f>
        <v>No matching PDF</v>
      </c>
      <c r="U174" s="22" t="str">
        <f aca="false">IF(R174="Y","",IF(AND(O174&gt;0,P174&gt;0,Q174="N"),"Priority 2","Priority 1"))</f>
        <v>Priority 1</v>
      </c>
    </row>
    <row r="175" customFormat="false" ht="15" hidden="false" customHeight="false" outlineLevel="0" collapsed="false">
      <c r="A175" s="22" t="s">
        <v>10770</v>
      </c>
      <c r="B175" s="22" t="s">
        <v>9830</v>
      </c>
      <c r="C175" s="23" t="n">
        <v>45743</v>
      </c>
      <c r="D175" s="22" t="s">
        <v>1554</v>
      </c>
      <c r="E175" s="22" t="str">
        <f aca="false">IFERROR(VLOOKUP(D175,'Applicant Lookup'!$A$2:$F$2911,2,FALSE()),"Not found")</f>
        <v>Melissa Oneill</v>
      </c>
      <c r="F175" s="22" t="n">
        <v>523</v>
      </c>
      <c r="G175" s="22" t="s">
        <v>6733</v>
      </c>
      <c r="H175" s="22" t="s">
        <v>198</v>
      </c>
      <c r="I175" s="22" t="s">
        <v>8618</v>
      </c>
      <c r="J175" s="22" t="s">
        <v>10489</v>
      </c>
      <c r="K175" s="22" t="s">
        <v>10555</v>
      </c>
      <c r="L175" s="23" t="n">
        <v>45746</v>
      </c>
      <c r="M175" s="22" t="n">
        <f aca="false">COUNTIFS('Skip PDF Index'!$B$6:$B$11,D175,'Skip PDF Index'!$D$6:$D$11,C175,'Skip PDF Index'!$F$6:$F$11,I175)</f>
        <v>0</v>
      </c>
      <c r="N175" s="22" t="n">
        <f aca="false">COUNTIFS('Skip PDF Index'!$B$6:$B$11,D175,'Skip PDF Index'!$D$6:$D$11,C175,'Skip PDF Index'!$E$6:$E$11,G175,'Skip PDF Index'!$F$6:$F$11,I175)</f>
        <v>0</v>
      </c>
      <c r="O175" s="22" t="n">
        <f aca="false">COUNTIFS('Skip PDF Index'!$B$6:$B$11,D175,'Skip PDF Index'!$D$6:$D$11,C175,'Skip PDF Index'!$E$6:$E$11,G175,'Skip PDF Index'!$F$6:$F$11,I175,'Skip PDF Index'!$H$6:$H$11,"SUPPORTING RECORD")</f>
        <v>0</v>
      </c>
      <c r="P175" s="22" t="n">
        <f aca="false">COUNTIFS('Offer Events'!$A$2:$A$1487,B175,'Offer Events'!$B$2:$B$1487,C175,'Offer Events'!$C$2:$C$1487,D175,'Offer Events'!$E$2:$E$1487,G175,'Offer Events'!$L$2:$L$1487,"SKIPPED",'Offer Events'!$P$2:$P$1487,I175)</f>
        <v>1</v>
      </c>
      <c r="Q175" s="22" t="str">
        <f aca="false">IF(L175&lt;=C175,"Y","N")</f>
        <v>N</v>
      </c>
      <c r="R175" s="22" t="str">
        <f aca="false">IF(AND(O175&gt;0,P175&gt;0,Q175="Y"),"Y","N")</f>
        <v>N</v>
      </c>
      <c r="S175" s="22" t="str">
        <f aca="false">IF(P175=0,"Offer register missing/mismatch",IF(N175=0,IF(M175&gt;0,"PDF slip mismatch","No matching PDF"),IF(O175=0,"PDF lacks supporting record","Reconciled")))</f>
        <v>No matching PDF</v>
      </c>
      <c r="T175" s="22" t="str">
        <f aca="false">IF(R175="Y","Compliant",S175&amp;IF(Q175="N","; review after skip",""))</f>
        <v>No matching PDF; review after skip</v>
      </c>
      <c r="U175" s="22" t="str">
        <f aca="false">IF(R175="Y","",IF(AND(O175&gt;0,P175&gt;0,Q175="N"),"Priority 2","Priority 1"))</f>
        <v>Priority 1</v>
      </c>
    </row>
    <row r="176" customFormat="false" ht="15" hidden="false" customHeight="false" outlineLevel="0" collapsed="false">
      <c r="A176" s="22" t="s">
        <v>10771</v>
      </c>
      <c r="B176" s="22" t="s">
        <v>9833</v>
      </c>
      <c r="C176" s="23" t="n">
        <v>45728</v>
      </c>
      <c r="D176" s="22" t="s">
        <v>5623</v>
      </c>
      <c r="E176" s="22" t="str">
        <f aca="false">IFERROR(VLOOKUP(D176,'Applicant Lookup'!$A$2:$F$2911,2,FALSE()),"Not found")</f>
        <v>Gary Russo</v>
      </c>
      <c r="F176" s="22" t="n">
        <v>2442</v>
      </c>
      <c r="G176" s="22" t="s">
        <v>8372</v>
      </c>
      <c r="H176" s="22" t="s">
        <v>188</v>
      </c>
      <c r="I176" s="22" t="s">
        <v>8618</v>
      </c>
      <c r="J176" s="22" t="s">
        <v>10489</v>
      </c>
      <c r="K176" s="22" t="s">
        <v>10513</v>
      </c>
      <c r="L176" s="23" t="n">
        <v>45733</v>
      </c>
      <c r="M176" s="22" t="n">
        <f aca="false">COUNTIFS('Skip PDF Index'!$B$6:$B$11,D176,'Skip PDF Index'!$D$6:$D$11,C176,'Skip PDF Index'!$F$6:$F$11,I176)</f>
        <v>0</v>
      </c>
      <c r="N176" s="22" t="n">
        <f aca="false">COUNTIFS('Skip PDF Index'!$B$6:$B$11,D176,'Skip PDF Index'!$D$6:$D$11,C176,'Skip PDF Index'!$E$6:$E$11,G176,'Skip PDF Index'!$F$6:$F$11,I176)</f>
        <v>0</v>
      </c>
      <c r="O176" s="22" t="n">
        <f aca="false">COUNTIFS('Skip PDF Index'!$B$6:$B$11,D176,'Skip PDF Index'!$D$6:$D$11,C176,'Skip PDF Index'!$E$6:$E$11,G176,'Skip PDF Index'!$F$6:$F$11,I176,'Skip PDF Index'!$H$6:$H$11,"SUPPORTING RECORD")</f>
        <v>0</v>
      </c>
      <c r="P176" s="22" t="n">
        <f aca="false">COUNTIFS('Offer Events'!$A$2:$A$1487,B176,'Offer Events'!$B$2:$B$1487,C176,'Offer Events'!$C$2:$C$1487,D176,'Offer Events'!$E$2:$E$1487,G176,'Offer Events'!$L$2:$L$1487,"SKIPPED",'Offer Events'!$P$2:$P$1487,I176)</f>
        <v>1</v>
      </c>
      <c r="Q176" s="22" t="str">
        <f aca="false">IF(L176&lt;=C176,"Y","N")</f>
        <v>N</v>
      </c>
      <c r="R176" s="22" t="str">
        <f aca="false">IF(AND(O176&gt;0,P176&gt;0,Q176="Y"),"Y","N")</f>
        <v>N</v>
      </c>
      <c r="S176" s="22" t="str">
        <f aca="false">IF(P176=0,"Offer register missing/mismatch",IF(N176=0,IF(M176&gt;0,"PDF slip mismatch","No matching PDF"),IF(O176=0,"PDF lacks supporting record","Reconciled")))</f>
        <v>No matching PDF</v>
      </c>
      <c r="T176" s="22" t="str">
        <f aca="false">IF(R176="Y","Compliant",S176&amp;IF(Q176="N","; review after skip",""))</f>
        <v>No matching PDF; review after skip</v>
      </c>
      <c r="U176" s="22" t="str">
        <f aca="false">IF(R176="Y","",IF(AND(O176&gt;0,P176&gt;0,Q176="N"),"Priority 2","Priority 1"))</f>
        <v>Priority 1</v>
      </c>
    </row>
    <row r="177" customFormat="false" ht="15" hidden="false" customHeight="false" outlineLevel="0" collapsed="false">
      <c r="A177" s="22" t="s">
        <v>10772</v>
      </c>
      <c r="B177" s="22" t="s">
        <v>9836</v>
      </c>
      <c r="C177" s="23" t="n">
        <v>45725</v>
      </c>
      <c r="D177" s="22" t="s">
        <v>5946</v>
      </c>
      <c r="E177" s="22" t="str">
        <f aca="false">IFERROR(VLOOKUP(D177,'Applicant Lookup'!$A$2:$F$2911,2,FALSE()),"Not found")</f>
        <v>Lawrence Rodriguez</v>
      </c>
      <c r="F177" s="22" t="n">
        <v>2604</v>
      </c>
      <c r="G177" s="22" t="s">
        <v>7980</v>
      </c>
      <c r="H177" s="22" t="s">
        <v>215</v>
      </c>
      <c r="I177" s="22" t="s">
        <v>8618</v>
      </c>
      <c r="J177" s="22" t="s">
        <v>10489</v>
      </c>
      <c r="K177" s="22" t="s">
        <v>10555</v>
      </c>
      <c r="L177" s="23" t="n">
        <v>45728</v>
      </c>
      <c r="M177" s="22" t="n">
        <f aca="false">COUNTIFS('Skip PDF Index'!$B$6:$B$11,D177,'Skip PDF Index'!$D$6:$D$11,C177,'Skip PDF Index'!$F$6:$F$11,I177)</f>
        <v>0</v>
      </c>
      <c r="N177" s="22" t="n">
        <f aca="false">COUNTIFS('Skip PDF Index'!$B$6:$B$11,D177,'Skip PDF Index'!$D$6:$D$11,C177,'Skip PDF Index'!$E$6:$E$11,G177,'Skip PDF Index'!$F$6:$F$11,I177)</f>
        <v>0</v>
      </c>
      <c r="O177" s="22" t="n">
        <f aca="false">COUNTIFS('Skip PDF Index'!$B$6:$B$11,D177,'Skip PDF Index'!$D$6:$D$11,C177,'Skip PDF Index'!$E$6:$E$11,G177,'Skip PDF Index'!$F$6:$F$11,I177,'Skip PDF Index'!$H$6:$H$11,"SUPPORTING RECORD")</f>
        <v>0</v>
      </c>
      <c r="P177" s="22" t="n">
        <f aca="false">COUNTIFS('Offer Events'!$A$2:$A$1487,B177,'Offer Events'!$B$2:$B$1487,C177,'Offer Events'!$C$2:$C$1487,D177,'Offer Events'!$E$2:$E$1487,G177,'Offer Events'!$L$2:$L$1487,"SKIPPED",'Offer Events'!$P$2:$P$1487,I177)</f>
        <v>1</v>
      </c>
      <c r="Q177" s="22" t="str">
        <f aca="false">IF(L177&lt;=C177,"Y","N")</f>
        <v>N</v>
      </c>
      <c r="R177" s="22" t="str">
        <f aca="false">IF(AND(O177&gt;0,P177&gt;0,Q177="Y"),"Y","N")</f>
        <v>N</v>
      </c>
      <c r="S177" s="22" t="str">
        <f aca="false">IF(P177=0,"Offer register missing/mismatch",IF(N177=0,IF(M177&gt;0,"PDF slip mismatch","No matching PDF"),IF(O177=0,"PDF lacks supporting record","Reconciled")))</f>
        <v>No matching PDF</v>
      </c>
      <c r="T177" s="22" t="str">
        <f aca="false">IF(R177="Y","Compliant",S177&amp;IF(Q177="N","; review after skip",""))</f>
        <v>No matching PDF; review after skip</v>
      </c>
      <c r="U177" s="22" t="str">
        <f aca="false">IF(R177="Y","",IF(AND(O177&gt;0,P177&gt;0,Q177="N"),"Priority 2","Priority 1"))</f>
        <v>Priority 1</v>
      </c>
    </row>
    <row r="178" customFormat="false" ht="15" hidden="false" customHeight="false" outlineLevel="0" collapsed="false">
      <c r="A178" s="22" t="s">
        <v>10773</v>
      </c>
      <c r="B178" s="22" t="s">
        <v>9844</v>
      </c>
      <c r="C178" s="23" t="n">
        <v>45717</v>
      </c>
      <c r="D178" s="22" t="s">
        <v>6367</v>
      </c>
      <c r="E178" s="22" t="str">
        <f aca="false">IFERROR(VLOOKUP(D178,'Applicant Lookup'!$A$2:$F$2911,2,FALSE()),"Not found")</f>
        <v>Jacqueline Jones</v>
      </c>
      <c r="F178" s="22" t="n">
        <v>2815</v>
      </c>
      <c r="G178" s="22" t="s">
        <v>6787</v>
      </c>
      <c r="H178" s="22" t="s">
        <v>198</v>
      </c>
      <c r="I178" s="22" t="s">
        <v>8637</v>
      </c>
      <c r="J178" s="22" t="s">
        <v>10489</v>
      </c>
      <c r="K178" s="22" t="s">
        <v>10504</v>
      </c>
      <c r="L178" s="23" t="n">
        <v>45722</v>
      </c>
      <c r="M178" s="22" t="n">
        <f aca="false">COUNTIFS('Skip PDF Index'!$B$6:$B$11,D178,'Skip PDF Index'!$D$6:$D$11,C178,'Skip PDF Index'!$F$6:$F$11,I178)</f>
        <v>0</v>
      </c>
      <c r="N178" s="22" t="n">
        <f aca="false">COUNTIFS('Skip PDF Index'!$B$6:$B$11,D178,'Skip PDF Index'!$D$6:$D$11,C178,'Skip PDF Index'!$E$6:$E$11,G178,'Skip PDF Index'!$F$6:$F$11,I178)</f>
        <v>0</v>
      </c>
      <c r="O178" s="22" t="n">
        <f aca="false">COUNTIFS('Skip PDF Index'!$B$6:$B$11,D178,'Skip PDF Index'!$D$6:$D$11,C178,'Skip PDF Index'!$E$6:$E$11,G178,'Skip PDF Index'!$F$6:$F$11,I178,'Skip PDF Index'!$H$6:$H$11,"SUPPORTING RECORD")</f>
        <v>0</v>
      </c>
      <c r="P178" s="22" t="n">
        <f aca="false">COUNTIFS('Offer Events'!$A$2:$A$1487,B178,'Offer Events'!$B$2:$B$1487,C178,'Offer Events'!$C$2:$C$1487,D178,'Offer Events'!$E$2:$E$1487,G178,'Offer Events'!$L$2:$L$1487,"SKIPPED",'Offer Events'!$P$2:$P$1487,I178)</f>
        <v>1</v>
      </c>
      <c r="Q178" s="22" t="str">
        <f aca="false">IF(L178&lt;=C178,"Y","N")</f>
        <v>N</v>
      </c>
      <c r="R178" s="22" t="str">
        <f aca="false">IF(AND(O178&gt;0,P178&gt;0,Q178="Y"),"Y","N")</f>
        <v>N</v>
      </c>
      <c r="S178" s="22" t="str">
        <f aca="false">IF(P178=0,"Offer register missing/mismatch",IF(N178=0,IF(M178&gt;0,"PDF slip mismatch","No matching PDF"),IF(O178=0,"PDF lacks supporting record","Reconciled")))</f>
        <v>No matching PDF</v>
      </c>
      <c r="T178" s="22" t="str">
        <f aca="false">IF(R178="Y","Compliant",S178&amp;IF(Q178="N","; review after skip",""))</f>
        <v>No matching PDF; review after skip</v>
      </c>
      <c r="U178" s="22" t="str">
        <f aca="false">IF(R178="Y","",IF(AND(O178&gt;0,P178&gt;0,Q178="N"),"Priority 2","Priority 1"))</f>
        <v>Priority 1</v>
      </c>
    </row>
    <row r="179" customFormat="false" ht="15" hidden="false" customHeight="false" outlineLevel="0" collapsed="false">
      <c r="A179" s="22" t="s">
        <v>10774</v>
      </c>
      <c r="B179" s="22" t="s">
        <v>9847</v>
      </c>
      <c r="C179" s="23" t="n">
        <v>45763</v>
      </c>
      <c r="D179" s="22" t="s">
        <v>1682</v>
      </c>
      <c r="E179" s="22" t="str">
        <f aca="false">IFERROR(VLOOKUP(D179,'Applicant Lookup'!$A$2:$F$2911,2,FALSE()),"Not found")</f>
        <v>Ashley Green</v>
      </c>
      <c r="F179" s="22" t="n">
        <v>578</v>
      </c>
      <c r="G179" s="22" t="s">
        <v>7266</v>
      </c>
      <c r="H179" s="22" t="s">
        <v>198</v>
      </c>
      <c r="I179" s="22" t="s">
        <v>8618</v>
      </c>
      <c r="J179" s="22" t="s">
        <v>10489</v>
      </c>
      <c r="K179" s="22" t="s">
        <v>10516</v>
      </c>
      <c r="L179" s="23" t="n">
        <v>45768</v>
      </c>
      <c r="M179" s="22" t="n">
        <f aca="false">COUNTIFS('Skip PDF Index'!$B$6:$B$11,D179,'Skip PDF Index'!$D$6:$D$11,C179,'Skip PDF Index'!$F$6:$F$11,I179)</f>
        <v>0</v>
      </c>
      <c r="N179" s="22" t="n">
        <f aca="false">COUNTIFS('Skip PDF Index'!$B$6:$B$11,D179,'Skip PDF Index'!$D$6:$D$11,C179,'Skip PDF Index'!$E$6:$E$11,G179,'Skip PDF Index'!$F$6:$F$11,I179)</f>
        <v>0</v>
      </c>
      <c r="O179" s="22" t="n">
        <f aca="false">COUNTIFS('Skip PDF Index'!$B$6:$B$11,D179,'Skip PDF Index'!$D$6:$D$11,C179,'Skip PDF Index'!$E$6:$E$11,G179,'Skip PDF Index'!$F$6:$F$11,I179,'Skip PDF Index'!$H$6:$H$11,"SUPPORTING RECORD")</f>
        <v>0</v>
      </c>
      <c r="P179" s="22" t="n">
        <f aca="false">COUNTIFS('Offer Events'!$A$2:$A$1487,B179,'Offer Events'!$B$2:$B$1487,C179,'Offer Events'!$C$2:$C$1487,D179,'Offer Events'!$E$2:$E$1487,G179,'Offer Events'!$L$2:$L$1487,"SKIPPED",'Offer Events'!$P$2:$P$1487,I179)</f>
        <v>1</v>
      </c>
      <c r="Q179" s="22" t="str">
        <f aca="false">IF(L179&lt;=C179,"Y","N")</f>
        <v>N</v>
      </c>
      <c r="R179" s="22" t="str">
        <f aca="false">IF(AND(O179&gt;0,P179&gt;0,Q179="Y"),"Y","N")</f>
        <v>N</v>
      </c>
      <c r="S179" s="22" t="str">
        <f aca="false">IF(P179=0,"Offer register missing/mismatch",IF(N179=0,IF(M179&gt;0,"PDF slip mismatch","No matching PDF"),IF(O179=0,"PDF lacks supporting record","Reconciled")))</f>
        <v>No matching PDF</v>
      </c>
      <c r="T179" s="22" t="str">
        <f aca="false">IF(R179="Y","Compliant",S179&amp;IF(Q179="N","; review after skip",""))</f>
        <v>No matching PDF; review after skip</v>
      </c>
      <c r="U179" s="22" t="str">
        <f aca="false">IF(R179="Y","",IF(AND(O179&gt;0,P179&gt;0,Q179="N"),"Priority 2","Priority 1"))</f>
        <v>Priority 1</v>
      </c>
    </row>
    <row r="180" customFormat="false" ht="15" hidden="false" customHeight="false" outlineLevel="0" collapsed="false">
      <c r="A180" s="22" t="s">
        <v>10775</v>
      </c>
      <c r="B180" s="22" t="s">
        <v>9856</v>
      </c>
      <c r="C180" s="23" t="n">
        <v>45749</v>
      </c>
      <c r="D180" s="22" t="s">
        <v>3034</v>
      </c>
      <c r="E180" s="22" t="str">
        <f aca="false">IFERROR(VLOOKUP(D180,'Applicant Lookup'!$A$2:$F$2911,2,FALSE()),"Not found")</f>
        <v>Thomas Stone</v>
      </c>
      <c r="F180" s="22" t="n">
        <v>1178</v>
      </c>
      <c r="G180" s="22" t="s">
        <v>8066</v>
      </c>
      <c r="H180" s="22" t="s">
        <v>499</v>
      </c>
      <c r="I180" s="22" t="s">
        <v>8603</v>
      </c>
      <c r="J180" s="22" t="s">
        <v>10489</v>
      </c>
      <c r="K180" s="22" t="s">
        <v>10511</v>
      </c>
      <c r="L180" s="23" t="n">
        <v>45751</v>
      </c>
      <c r="M180" s="22" t="n">
        <f aca="false">COUNTIFS('Skip PDF Index'!$B$6:$B$11,D180,'Skip PDF Index'!$D$6:$D$11,C180,'Skip PDF Index'!$F$6:$F$11,I180)</f>
        <v>0</v>
      </c>
      <c r="N180" s="22" t="n">
        <f aca="false">COUNTIFS('Skip PDF Index'!$B$6:$B$11,D180,'Skip PDF Index'!$D$6:$D$11,C180,'Skip PDF Index'!$E$6:$E$11,G180,'Skip PDF Index'!$F$6:$F$11,I180)</f>
        <v>0</v>
      </c>
      <c r="O180" s="22" t="n">
        <f aca="false">COUNTIFS('Skip PDF Index'!$B$6:$B$11,D180,'Skip PDF Index'!$D$6:$D$11,C180,'Skip PDF Index'!$E$6:$E$11,G180,'Skip PDF Index'!$F$6:$F$11,I180,'Skip PDF Index'!$H$6:$H$11,"SUPPORTING RECORD")</f>
        <v>0</v>
      </c>
      <c r="P180" s="22" t="n">
        <f aca="false">COUNTIFS('Offer Events'!$A$2:$A$1487,B180,'Offer Events'!$B$2:$B$1487,C180,'Offer Events'!$C$2:$C$1487,D180,'Offer Events'!$E$2:$E$1487,G180,'Offer Events'!$L$2:$L$1487,"SKIPPED",'Offer Events'!$P$2:$P$1487,I180)</f>
        <v>1</v>
      </c>
      <c r="Q180" s="22" t="str">
        <f aca="false">IF(L180&lt;=C180,"Y","N")</f>
        <v>N</v>
      </c>
      <c r="R180" s="22" t="str">
        <f aca="false">IF(AND(O180&gt;0,P180&gt;0,Q180="Y"),"Y","N")</f>
        <v>N</v>
      </c>
      <c r="S180" s="22" t="str">
        <f aca="false">IF(P180=0,"Offer register missing/mismatch",IF(N180=0,IF(M180&gt;0,"PDF slip mismatch","No matching PDF"),IF(O180=0,"PDF lacks supporting record","Reconciled")))</f>
        <v>No matching PDF</v>
      </c>
      <c r="T180" s="22" t="str">
        <f aca="false">IF(R180="Y","Compliant",S180&amp;IF(Q180="N","; review after skip",""))</f>
        <v>No matching PDF; review after skip</v>
      </c>
      <c r="U180" s="22" t="str">
        <f aca="false">IF(R180="Y","",IF(AND(O180&gt;0,P180&gt;0,Q180="N"),"Priority 2","Priority 1"))</f>
        <v>Priority 1</v>
      </c>
    </row>
    <row r="181" customFormat="false" ht="15" hidden="false" customHeight="false" outlineLevel="0" collapsed="false">
      <c r="A181" s="22" t="s">
        <v>10776</v>
      </c>
      <c r="B181" s="22" t="s">
        <v>9863</v>
      </c>
      <c r="C181" s="23" t="n">
        <v>45756</v>
      </c>
      <c r="D181" s="22" t="s">
        <v>4020</v>
      </c>
      <c r="E181" s="22" t="str">
        <f aca="false">IFERROR(VLOOKUP(D181,'Applicant Lookup'!$A$2:$F$2911,2,FALSE()),"Not found")</f>
        <v>Christine Jones</v>
      </c>
      <c r="F181" s="22" t="n">
        <v>1653</v>
      </c>
      <c r="G181" s="22" t="s">
        <v>8211</v>
      </c>
      <c r="H181" s="22" t="s">
        <v>499</v>
      </c>
      <c r="I181" s="22" t="s">
        <v>8618</v>
      </c>
      <c r="J181" s="22" t="s">
        <v>10489</v>
      </c>
      <c r="K181" s="22" t="s">
        <v>10491</v>
      </c>
      <c r="L181" s="23" t="n">
        <v>45757</v>
      </c>
      <c r="M181" s="22" t="n">
        <f aca="false">COUNTIFS('Skip PDF Index'!$B$6:$B$11,D181,'Skip PDF Index'!$D$6:$D$11,C181,'Skip PDF Index'!$F$6:$F$11,I181)</f>
        <v>0</v>
      </c>
      <c r="N181" s="22" t="n">
        <f aca="false">COUNTIFS('Skip PDF Index'!$B$6:$B$11,D181,'Skip PDF Index'!$D$6:$D$11,C181,'Skip PDF Index'!$E$6:$E$11,G181,'Skip PDF Index'!$F$6:$F$11,I181)</f>
        <v>0</v>
      </c>
      <c r="O181" s="22" t="n">
        <f aca="false">COUNTIFS('Skip PDF Index'!$B$6:$B$11,D181,'Skip PDF Index'!$D$6:$D$11,C181,'Skip PDF Index'!$E$6:$E$11,G181,'Skip PDF Index'!$F$6:$F$11,I181,'Skip PDF Index'!$H$6:$H$11,"SUPPORTING RECORD")</f>
        <v>0</v>
      </c>
      <c r="P181" s="22" t="n">
        <f aca="false">COUNTIFS('Offer Events'!$A$2:$A$1487,B181,'Offer Events'!$B$2:$B$1487,C181,'Offer Events'!$C$2:$C$1487,D181,'Offer Events'!$E$2:$E$1487,G181,'Offer Events'!$L$2:$L$1487,"SKIPPED",'Offer Events'!$P$2:$P$1487,I181)</f>
        <v>1</v>
      </c>
      <c r="Q181" s="22" t="str">
        <f aca="false">IF(L181&lt;=C181,"Y","N")</f>
        <v>N</v>
      </c>
      <c r="R181" s="22" t="str">
        <f aca="false">IF(AND(O181&gt;0,P181&gt;0,Q181="Y"),"Y","N")</f>
        <v>N</v>
      </c>
      <c r="S181" s="22" t="str">
        <f aca="false">IF(P181=0,"Offer register missing/mismatch",IF(N181=0,IF(M181&gt;0,"PDF slip mismatch","No matching PDF"),IF(O181=0,"PDF lacks supporting record","Reconciled")))</f>
        <v>No matching PDF</v>
      </c>
      <c r="T181" s="22" t="str">
        <f aca="false">IF(R181="Y","Compliant",S181&amp;IF(Q181="N","; review after skip",""))</f>
        <v>No matching PDF; review after skip</v>
      </c>
      <c r="U181" s="22" t="str">
        <f aca="false">IF(R181="Y","",IF(AND(O181&gt;0,P181&gt;0,Q181="N"),"Priority 2","Priority 1"))</f>
        <v>Priority 1</v>
      </c>
    </row>
    <row r="182" customFormat="false" ht="15" hidden="false" customHeight="false" outlineLevel="0" collapsed="false">
      <c r="A182" s="22" t="s">
        <v>10777</v>
      </c>
      <c r="B182" s="22" t="s">
        <v>9870</v>
      </c>
      <c r="C182" s="23" t="n">
        <v>45754</v>
      </c>
      <c r="D182" s="22" t="s">
        <v>2216</v>
      </c>
      <c r="E182" s="22" t="str">
        <f aca="false">IFERROR(VLOOKUP(D182,'Applicant Lookup'!$A$2:$F$2911,2,FALSE()),"Not found")</f>
        <v>Jason Shepard</v>
      </c>
      <c r="F182" s="22" t="n">
        <v>808</v>
      </c>
      <c r="G182" s="22" t="s">
        <v>6766</v>
      </c>
      <c r="H182" s="22" t="s">
        <v>198</v>
      </c>
      <c r="I182" s="22" t="s">
        <v>8618</v>
      </c>
      <c r="J182" s="22" t="s">
        <v>10489</v>
      </c>
      <c r="K182" s="22" t="s">
        <v>10513</v>
      </c>
      <c r="L182" s="23" t="n">
        <v>45758</v>
      </c>
      <c r="M182" s="22" t="n">
        <f aca="false">COUNTIFS('Skip PDF Index'!$B$6:$B$11,D182,'Skip PDF Index'!$D$6:$D$11,C182,'Skip PDF Index'!$F$6:$F$11,I182)</f>
        <v>0</v>
      </c>
      <c r="N182" s="22" t="n">
        <f aca="false">COUNTIFS('Skip PDF Index'!$B$6:$B$11,D182,'Skip PDF Index'!$D$6:$D$11,C182,'Skip PDF Index'!$E$6:$E$11,G182,'Skip PDF Index'!$F$6:$F$11,I182)</f>
        <v>0</v>
      </c>
      <c r="O182" s="22" t="n">
        <f aca="false">COUNTIFS('Skip PDF Index'!$B$6:$B$11,D182,'Skip PDF Index'!$D$6:$D$11,C182,'Skip PDF Index'!$E$6:$E$11,G182,'Skip PDF Index'!$F$6:$F$11,I182,'Skip PDF Index'!$H$6:$H$11,"SUPPORTING RECORD")</f>
        <v>0</v>
      </c>
      <c r="P182" s="22" t="n">
        <f aca="false">COUNTIFS('Offer Events'!$A$2:$A$1487,B182,'Offer Events'!$B$2:$B$1487,C182,'Offer Events'!$C$2:$C$1487,D182,'Offer Events'!$E$2:$E$1487,G182,'Offer Events'!$L$2:$L$1487,"SKIPPED",'Offer Events'!$P$2:$P$1487,I182)</f>
        <v>1</v>
      </c>
      <c r="Q182" s="22" t="str">
        <f aca="false">IF(L182&lt;=C182,"Y","N")</f>
        <v>N</v>
      </c>
      <c r="R182" s="22" t="str">
        <f aca="false">IF(AND(O182&gt;0,P182&gt;0,Q182="Y"),"Y","N")</f>
        <v>N</v>
      </c>
      <c r="S182" s="22" t="str">
        <f aca="false">IF(P182=0,"Offer register missing/mismatch",IF(N182=0,IF(M182&gt;0,"PDF slip mismatch","No matching PDF"),IF(O182=0,"PDF lacks supporting record","Reconciled")))</f>
        <v>No matching PDF</v>
      </c>
      <c r="T182" s="22" t="str">
        <f aca="false">IF(R182="Y","Compliant",S182&amp;IF(Q182="N","; review after skip",""))</f>
        <v>No matching PDF; review after skip</v>
      </c>
      <c r="U182" s="22" t="str">
        <f aca="false">IF(R182="Y","",IF(AND(O182&gt;0,P182&gt;0,Q182="N"),"Priority 2","Priority 1"))</f>
        <v>Priority 1</v>
      </c>
    </row>
    <row r="183" customFormat="false" ht="15" hidden="false" customHeight="false" outlineLevel="0" collapsed="false">
      <c r="A183" s="22" t="s">
        <v>10778</v>
      </c>
      <c r="B183" s="22" t="s">
        <v>9871</v>
      </c>
      <c r="C183" s="23" t="n">
        <v>45769</v>
      </c>
      <c r="D183" s="22" t="s">
        <v>4103</v>
      </c>
      <c r="E183" s="22" t="str">
        <f aca="false">IFERROR(VLOOKUP(D183,'Applicant Lookup'!$A$2:$F$2911,2,FALSE()),"Not found")</f>
        <v>Patrick Allen</v>
      </c>
      <c r="F183" s="22" t="n">
        <v>1693</v>
      </c>
      <c r="G183" s="22" t="s">
        <v>7628</v>
      </c>
      <c r="H183" s="22" t="s">
        <v>159</v>
      </c>
      <c r="I183" s="22" t="s">
        <v>8637</v>
      </c>
      <c r="J183" s="22" t="s">
        <v>10489</v>
      </c>
      <c r="K183" s="22" t="s">
        <v>10555</v>
      </c>
      <c r="L183" s="23" t="n">
        <v>45771</v>
      </c>
      <c r="M183" s="22" t="n">
        <f aca="false">COUNTIFS('Skip PDF Index'!$B$6:$B$11,D183,'Skip PDF Index'!$D$6:$D$11,C183,'Skip PDF Index'!$F$6:$F$11,I183)</f>
        <v>0</v>
      </c>
      <c r="N183" s="22" t="n">
        <f aca="false">COUNTIFS('Skip PDF Index'!$B$6:$B$11,D183,'Skip PDF Index'!$D$6:$D$11,C183,'Skip PDF Index'!$E$6:$E$11,G183,'Skip PDF Index'!$F$6:$F$11,I183)</f>
        <v>0</v>
      </c>
      <c r="O183" s="22" t="n">
        <f aca="false">COUNTIFS('Skip PDF Index'!$B$6:$B$11,D183,'Skip PDF Index'!$D$6:$D$11,C183,'Skip PDF Index'!$E$6:$E$11,G183,'Skip PDF Index'!$F$6:$F$11,I183,'Skip PDF Index'!$H$6:$H$11,"SUPPORTING RECORD")</f>
        <v>0</v>
      </c>
      <c r="P183" s="22" t="n">
        <f aca="false">COUNTIFS('Offer Events'!$A$2:$A$1487,B183,'Offer Events'!$B$2:$B$1487,C183,'Offer Events'!$C$2:$C$1487,D183,'Offer Events'!$E$2:$E$1487,G183,'Offer Events'!$L$2:$L$1487,"SKIPPED",'Offer Events'!$P$2:$P$1487,I183)</f>
        <v>1</v>
      </c>
      <c r="Q183" s="22" t="str">
        <f aca="false">IF(L183&lt;=C183,"Y","N")</f>
        <v>N</v>
      </c>
      <c r="R183" s="22" t="str">
        <f aca="false">IF(AND(O183&gt;0,P183&gt;0,Q183="Y"),"Y","N")</f>
        <v>N</v>
      </c>
      <c r="S183" s="22" t="str">
        <f aca="false">IF(P183=0,"Offer register missing/mismatch",IF(N183=0,IF(M183&gt;0,"PDF slip mismatch","No matching PDF"),IF(O183=0,"PDF lacks supporting record","Reconciled")))</f>
        <v>No matching PDF</v>
      </c>
      <c r="T183" s="22" t="str">
        <f aca="false">IF(R183="Y","Compliant",S183&amp;IF(Q183="N","; review after skip",""))</f>
        <v>No matching PDF; review after skip</v>
      </c>
      <c r="U183" s="22" t="str">
        <f aca="false">IF(R183="Y","",IF(AND(O183&gt;0,P183&gt;0,Q183="N"),"Priority 2","Priority 1"))</f>
        <v>Priority 1</v>
      </c>
    </row>
    <row r="184" customFormat="false" ht="15" hidden="false" customHeight="false" outlineLevel="0" collapsed="false">
      <c r="A184" s="22" t="s">
        <v>10779</v>
      </c>
      <c r="B184" s="22" t="s">
        <v>9872</v>
      </c>
      <c r="C184" s="23" t="n">
        <v>45774</v>
      </c>
      <c r="D184" s="22" t="s">
        <v>1078</v>
      </c>
      <c r="E184" s="22" t="str">
        <f aca="false">IFERROR(VLOOKUP(D184,'Applicant Lookup'!$A$2:$F$2911,2,FALSE()),"Not found")</f>
        <v>Charles Solis</v>
      </c>
      <c r="F184" s="22" t="n">
        <v>328</v>
      </c>
      <c r="G184" s="22" t="s">
        <v>8516</v>
      </c>
      <c r="H184" s="22" t="s">
        <v>188</v>
      </c>
      <c r="I184" s="22" t="s">
        <v>8603</v>
      </c>
      <c r="J184" s="22" t="s">
        <v>10489</v>
      </c>
      <c r="K184" s="22" t="s">
        <v>10501</v>
      </c>
      <c r="L184" s="23" t="n">
        <v>45779</v>
      </c>
      <c r="M184" s="22" t="n">
        <f aca="false">COUNTIFS('Skip PDF Index'!$B$6:$B$11,D184,'Skip PDF Index'!$D$6:$D$11,C184,'Skip PDF Index'!$F$6:$F$11,I184)</f>
        <v>0</v>
      </c>
      <c r="N184" s="22" t="n">
        <f aca="false">COUNTIFS('Skip PDF Index'!$B$6:$B$11,D184,'Skip PDF Index'!$D$6:$D$11,C184,'Skip PDF Index'!$E$6:$E$11,G184,'Skip PDF Index'!$F$6:$F$11,I184)</f>
        <v>0</v>
      </c>
      <c r="O184" s="22" t="n">
        <f aca="false">COUNTIFS('Skip PDF Index'!$B$6:$B$11,D184,'Skip PDF Index'!$D$6:$D$11,C184,'Skip PDF Index'!$E$6:$E$11,G184,'Skip PDF Index'!$F$6:$F$11,I184,'Skip PDF Index'!$H$6:$H$11,"SUPPORTING RECORD")</f>
        <v>0</v>
      </c>
      <c r="P184" s="22" t="n">
        <f aca="false">COUNTIFS('Offer Events'!$A$2:$A$1487,B184,'Offer Events'!$B$2:$B$1487,C184,'Offer Events'!$C$2:$C$1487,D184,'Offer Events'!$E$2:$E$1487,G184,'Offer Events'!$L$2:$L$1487,"SKIPPED",'Offer Events'!$P$2:$P$1487,I184)</f>
        <v>1</v>
      </c>
      <c r="Q184" s="22" t="str">
        <f aca="false">IF(L184&lt;=C184,"Y","N")</f>
        <v>N</v>
      </c>
      <c r="R184" s="22" t="str">
        <f aca="false">IF(AND(O184&gt;0,P184&gt;0,Q184="Y"),"Y","N")</f>
        <v>N</v>
      </c>
      <c r="S184" s="22" t="str">
        <f aca="false">IF(P184=0,"Offer register missing/mismatch",IF(N184=0,IF(M184&gt;0,"PDF slip mismatch","No matching PDF"),IF(O184=0,"PDF lacks supporting record","Reconciled")))</f>
        <v>No matching PDF</v>
      </c>
      <c r="T184" s="22" t="str">
        <f aca="false">IF(R184="Y","Compliant",S184&amp;IF(Q184="N","; review after skip",""))</f>
        <v>No matching PDF; review after skip</v>
      </c>
      <c r="U184" s="22" t="str">
        <f aca="false">IF(R184="Y","",IF(AND(O184&gt;0,P184&gt;0,Q184="N"),"Priority 2","Priority 1"))</f>
        <v>Priority 1</v>
      </c>
    </row>
    <row r="185" customFormat="false" ht="15" hidden="false" customHeight="false" outlineLevel="0" collapsed="false">
      <c r="A185" s="22" t="s">
        <v>10780</v>
      </c>
      <c r="B185" s="22" t="s">
        <v>9875</v>
      </c>
      <c r="C185" s="23" t="n">
        <v>45756</v>
      </c>
      <c r="D185" s="22" t="s">
        <v>3056</v>
      </c>
      <c r="E185" s="22" t="str">
        <f aca="false">IFERROR(VLOOKUP(D185,'Applicant Lookup'!$A$2:$F$2911,2,FALSE()),"Not found")</f>
        <v>Courtney Zamora</v>
      </c>
      <c r="F185" s="22" t="n">
        <v>1188</v>
      </c>
      <c r="G185" s="22" t="s">
        <v>7104</v>
      </c>
      <c r="H185" s="22" t="s">
        <v>198</v>
      </c>
      <c r="I185" s="22" t="s">
        <v>8603</v>
      </c>
      <c r="J185" s="22" t="s">
        <v>10489</v>
      </c>
      <c r="K185" s="22" t="s">
        <v>10511</v>
      </c>
      <c r="L185" s="23" t="n">
        <v>45757</v>
      </c>
      <c r="M185" s="22" t="n">
        <f aca="false">COUNTIFS('Skip PDF Index'!$B$6:$B$11,D185,'Skip PDF Index'!$D$6:$D$11,C185,'Skip PDF Index'!$F$6:$F$11,I185)</f>
        <v>0</v>
      </c>
      <c r="N185" s="22" t="n">
        <f aca="false">COUNTIFS('Skip PDF Index'!$B$6:$B$11,D185,'Skip PDF Index'!$D$6:$D$11,C185,'Skip PDF Index'!$E$6:$E$11,G185,'Skip PDF Index'!$F$6:$F$11,I185)</f>
        <v>0</v>
      </c>
      <c r="O185" s="22" t="n">
        <f aca="false">COUNTIFS('Skip PDF Index'!$B$6:$B$11,D185,'Skip PDF Index'!$D$6:$D$11,C185,'Skip PDF Index'!$E$6:$E$11,G185,'Skip PDF Index'!$F$6:$F$11,I185,'Skip PDF Index'!$H$6:$H$11,"SUPPORTING RECORD")</f>
        <v>0</v>
      </c>
      <c r="P185" s="22" t="n">
        <f aca="false">COUNTIFS('Offer Events'!$A$2:$A$1487,B185,'Offer Events'!$B$2:$B$1487,C185,'Offer Events'!$C$2:$C$1487,D185,'Offer Events'!$E$2:$E$1487,G185,'Offer Events'!$L$2:$L$1487,"SKIPPED",'Offer Events'!$P$2:$P$1487,I185)</f>
        <v>1</v>
      </c>
      <c r="Q185" s="22" t="str">
        <f aca="false">IF(L185&lt;=C185,"Y","N")</f>
        <v>N</v>
      </c>
      <c r="R185" s="22" t="str">
        <f aca="false">IF(AND(O185&gt;0,P185&gt;0,Q185="Y"),"Y","N")</f>
        <v>N</v>
      </c>
      <c r="S185" s="22" t="str">
        <f aca="false">IF(P185=0,"Offer register missing/mismatch",IF(N185=0,IF(M185&gt;0,"PDF slip mismatch","No matching PDF"),IF(O185=0,"PDF lacks supporting record","Reconciled")))</f>
        <v>No matching PDF</v>
      </c>
      <c r="T185" s="22" t="str">
        <f aca="false">IF(R185="Y","Compliant",S185&amp;IF(Q185="N","; review after skip",""))</f>
        <v>No matching PDF; review after skip</v>
      </c>
      <c r="U185" s="22" t="str">
        <f aca="false">IF(R185="Y","",IF(AND(O185&gt;0,P185&gt;0,Q185="N"),"Priority 2","Priority 1"))</f>
        <v>Priority 1</v>
      </c>
    </row>
    <row r="186" customFormat="false" ht="15" hidden="false" customHeight="false" outlineLevel="0" collapsed="false">
      <c r="A186" s="22" t="s">
        <v>10781</v>
      </c>
      <c r="B186" s="22" t="s">
        <v>9881</v>
      </c>
      <c r="C186" s="23" t="n">
        <v>45752</v>
      </c>
      <c r="D186" s="22" t="s">
        <v>3759</v>
      </c>
      <c r="E186" s="22" t="str">
        <f aca="false">IFERROR(VLOOKUP(D186,'Applicant Lookup'!$A$2:$F$2911,2,FALSE()),"Not found")</f>
        <v>Douglas Herrera</v>
      </c>
      <c r="F186" s="22" t="n">
        <v>1524</v>
      </c>
      <c r="G186" s="22" t="s">
        <v>8339</v>
      </c>
      <c r="H186" s="22" t="s">
        <v>188</v>
      </c>
      <c r="I186" s="22" t="s">
        <v>8603</v>
      </c>
      <c r="J186" s="22" t="s">
        <v>10489</v>
      </c>
      <c r="K186" s="22" t="s">
        <v>10491</v>
      </c>
      <c r="L186" s="23" t="n">
        <v>45754</v>
      </c>
      <c r="M186" s="22" t="n">
        <f aca="false">COUNTIFS('Skip PDF Index'!$B$6:$B$11,D186,'Skip PDF Index'!$D$6:$D$11,C186,'Skip PDF Index'!$F$6:$F$11,I186)</f>
        <v>0</v>
      </c>
      <c r="N186" s="22" t="n">
        <f aca="false">COUNTIFS('Skip PDF Index'!$B$6:$B$11,D186,'Skip PDF Index'!$D$6:$D$11,C186,'Skip PDF Index'!$E$6:$E$11,G186,'Skip PDF Index'!$F$6:$F$11,I186)</f>
        <v>0</v>
      </c>
      <c r="O186" s="22" t="n">
        <f aca="false">COUNTIFS('Skip PDF Index'!$B$6:$B$11,D186,'Skip PDF Index'!$D$6:$D$11,C186,'Skip PDF Index'!$E$6:$E$11,G186,'Skip PDF Index'!$F$6:$F$11,I186,'Skip PDF Index'!$H$6:$H$11,"SUPPORTING RECORD")</f>
        <v>0</v>
      </c>
      <c r="P186" s="22" t="n">
        <f aca="false">COUNTIFS('Offer Events'!$A$2:$A$1487,B186,'Offer Events'!$B$2:$B$1487,C186,'Offer Events'!$C$2:$C$1487,D186,'Offer Events'!$E$2:$E$1487,G186,'Offer Events'!$L$2:$L$1487,"SKIPPED",'Offer Events'!$P$2:$P$1487,I186)</f>
        <v>1</v>
      </c>
      <c r="Q186" s="22" t="str">
        <f aca="false">IF(L186&lt;=C186,"Y","N")</f>
        <v>N</v>
      </c>
      <c r="R186" s="22" t="str">
        <f aca="false">IF(AND(O186&gt;0,P186&gt;0,Q186="Y"),"Y","N")</f>
        <v>N</v>
      </c>
      <c r="S186" s="22" t="str">
        <f aca="false">IF(P186=0,"Offer register missing/mismatch",IF(N186=0,IF(M186&gt;0,"PDF slip mismatch","No matching PDF"),IF(O186=0,"PDF lacks supporting record","Reconciled")))</f>
        <v>No matching PDF</v>
      </c>
      <c r="T186" s="22" t="str">
        <f aca="false">IF(R186="Y","Compliant",S186&amp;IF(Q186="N","; review after skip",""))</f>
        <v>No matching PDF; review after skip</v>
      </c>
      <c r="U186" s="22" t="str">
        <f aca="false">IF(R186="Y","",IF(AND(O186&gt;0,P186&gt;0,Q186="N"),"Priority 2","Priority 1"))</f>
        <v>Priority 1</v>
      </c>
    </row>
    <row r="187" customFormat="false" ht="15" hidden="false" customHeight="false" outlineLevel="0" collapsed="false">
      <c r="A187" s="22" t="s">
        <v>10782</v>
      </c>
      <c r="B187" s="22" t="s">
        <v>9884</v>
      </c>
      <c r="C187" s="23" t="n">
        <v>45761</v>
      </c>
      <c r="D187" s="22" t="s">
        <v>4414</v>
      </c>
      <c r="E187" s="22" t="str">
        <f aca="false">IFERROR(VLOOKUP(D187,'Applicant Lookup'!$A$2:$F$2911,2,FALSE()),"Not found")</f>
        <v>Joshua Ortiz</v>
      </c>
      <c r="F187" s="22" t="n">
        <v>1845</v>
      </c>
      <c r="G187" s="22" t="s">
        <v>8435</v>
      </c>
      <c r="H187" s="22" t="s">
        <v>188</v>
      </c>
      <c r="I187" s="22" t="s">
        <v>8631</v>
      </c>
      <c r="J187" s="22" t="s">
        <v>10489</v>
      </c>
      <c r="K187" s="22" t="s">
        <v>10513</v>
      </c>
      <c r="L187" s="23" t="n">
        <v>45764</v>
      </c>
      <c r="M187" s="22" t="n">
        <f aca="false">COUNTIFS('Skip PDF Index'!$B$6:$B$11,D187,'Skip PDF Index'!$D$6:$D$11,C187,'Skip PDF Index'!$F$6:$F$11,I187)</f>
        <v>0</v>
      </c>
      <c r="N187" s="22" t="n">
        <f aca="false">COUNTIFS('Skip PDF Index'!$B$6:$B$11,D187,'Skip PDF Index'!$D$6:$D$11,C187,'Skip PDF Index'!$E$6:$E$11,G187,'Skip PDF Index'!$F$6:$F$11,I187)</f>
        <v>0</v>
      </c>
      <c r="O187" s="22" t="n">
        <f aca="false">COUNTIFS('Skip PDF Index'!$B$6:$B$11,D187,'Skip PDF Index'!$D$6:$D$11,C187,'Skip PDF Index'!$E$6:$E$11,G187,'Skip PDF Index'!$F$6:$F$11,I187,'Skip PDF Index'!$H$6:$H$11,"SUPPORTING RECORD")</f>
        <v>0</v>
      </c>
      <c r="P187" s="22" t="n">
        <f aca="false">COUNTIFS('Offer Events'!$A$2:$A$1487,B187,'Offer Events'!$B$2:$B$1487,C187,'Offer Events'!$C$2:$C$1487,D187,'Offer Events'!$E$2:$E$1487,G187,'Offer Events'!$L$2:$L$1487,"SKIPPED",'Offer Events'!$P$2:$P$1487,I187)</f>
        <v>1</v>
      </c>
      <c r="Q187" s="22" t="str">
        <f aca="false">IF(L187&lt;=C187,"Y","N")</f>
        <v>N</v>
      </c>
      <c r="R187" s="22" t="str">
        <f aca="false">IF(AND(O187&gt;0,P187&gt;0,Q187="Y"),"Y","N")</f>
        <v>N</v>
      </c>
      <c r="S187" s="22" t="str">
        <f aca="false">IF(P187=0,"Offer register missing/mismatch",IF(N187=0,IF(M187&gt;0,"PDF slip mismatch","No matching PDF"),IF(O187=0,"PDF lacks supporting record","Reconciled")))</f>
        <v>No matching PDF</v>
      </c>
      <c r="T187" s="22" t="str">
        <f aca="false">IF(R187="Y","Compliant",S187&amp;IF(Q187="N","; review after skip",""))</f>
        <v>No matching PDF; review after skip</v>
      </c>
      <c r="U187" s="22" t="str">
        <f aca="false">IF(R187="Y","",IF(AND(O187&gt;0,P187&gt;0,Q187="N"),"Priority 2","Priority 1"))</f>
        <v>Priority 1</v>
      </c>
    </row>
    <row r="188" customFormat="false" ht="15" hidden="false" customHeight="false" outlineLevel="0" collapsed="false">
      <c r="A188" s="22" t="s">
        <v>10783</v>
      </c>
      <c r="B188" s="22" t="s">
        <v>9888</v>
      </c>
      <c r="C188" s="23" t="n">
        <v>45784</v>
      </c>
      <c r="D188" s="22" t="s">
        <v>6413</v>
      </c>
      <c r="E188" s="22" t="str">
        <f aca="false">IFERROR(VLOOKUP(D188,'Applicant Lookup'!$A$2:$F$2911,2,FALSE()),"Not found")</f>
        <v>Sonya May</v>
      </c>
      <c r="F188" s="22" t="n">
        <v>2839</v>
      </c>
      <c r="G188" s="22" t="s">
        <v>7746</v>
      </c>
      <c r="H188" s="22" t="s">
        <v>215</v>
      </c>
      <c r="I188" s="22" t="s">
        <v>8603</v>
      </c>
      <c r="J188" s="22" t="s">
        <v>10489</v>
      </c>
      <c r="K188" s="22" t="s">
        <v>10555</v>
      </c>
      <c r="L188" s="23" t="n">
        <v>45789</v>
      </c>
      <c r="M188" s="22" t="n">
        <f aca="false">COUNTIFS('Skip PDF Index'!$B$6:$B$11,D188,'Skip PDF Index'!$D$6:$D$11,C188,'Skip PDF Index'!$F$6:$F$11,I188)</f>
        <v>0</v>
      </c>
      <c r="N188" s="22" t="n">
        <f aca="false">COUNTIFS('Skip PDF Index'!$B$6:$B$11,D188,'Skip PDF Index'!$D$6:$D$11,C188,'Skip PDF Index'!$E$6:$E$11,G188,'Skip PDF Index'!$F$6:$F$11,I188)</f>
        <v>0</v>
      </c>
      <c r="O188" s="22" t="n">
        <f aca="false">COUNTIFS('Skip PDF Index'!$B$6:$B$11,D188,'Skip PDF Index'!$D$6:$D$11,C188,'Skip PDF Index'!$E$6:$E$11,G188,'Skip PDF Index'!$F$6:$F$11,I188,'Skip PDF Index'!$H$6:$H$11,"SUPPORTING RECORD")</f>
        <v>0</v>
      </c>
      <c r="P188" s="22" t="n">
        <f aca="false">COUNTIFS('Offer Events'!$A$2:$A$1487,B188,'Offer Events'!$B$2:$B$1487,C188,'Offer Events'!$C$2:$C$1487,D188,'Offer Events'!$E$2:$E$1487,G188,'Offer Events'!$L$2:$L$1487,"SKIPPED",'Offer Events'!$P$2:$P$1487,I188)</f>
        <v>1</v>
      </c>
      <c r="Q188" s="22" t="str">
        <f aca="false">IF(L188&lt;=C188,"Y","N")</f>
        <v>N</v>
      </c>
      <c r="R188" s="22" t="str">
        <f aca="false">IF(AND(O188&gt;0,P188&gt;0,Q188="Y"),"Y","N")</f>
        <v>N</v>
      </c>
      <c r="S188" s="22" t="str">
        <f aca="false">IF(P188=0,"Offer register missing/mismatch",IF(N188=0,IF(M188&gt;0,"PDF slip mismatch","No matching PDF"),IF(O188=0,"PDF lacks supporting record","Reconciled")))</f>
        <v>No matching PDF</v>
      </c>
      <c r="T188" s="22" t="str">
        <f aca="false">IF(R188="Y","Compliant",S188&amp;IF(Q188="N","; review after skip",""))</f>
        <v>No matching PDF; review after skip</v>
      </c>
      <c r="U188" s="22" t="str">
        <f aca="false">IF(R188="Y","",IF(AND(O188&gt;0,P188&gt;0,Q188="N"),"Priority 2","Priority 1"))</f>
        <v>Priority 1</v>
      </c>
    </row>
    <row r="189" customFormat="false" ht="15" hidden="false" customHeight="false" outlineLevel="0" collapsed="false">
      <c r="A189" s="22" t="s">
        <v>10784</v>
      </c>
      <c r="B189" s="22" t="s">
        <v>9905</v>
      </c>
      <c r="C189" s="23" t="n">
        <v>45794</v>
      </c>
      <c r="D189" s="22" t="s">
        <v>4922</v>
      </c>
      <c r="E189" s="22" t="str">
        <f aca="false">IFERROR(VLOOKUP(D189,'Applicant Lookup'!$A$2:$F$2911,2,FALSE()),"Not found")</f>
        <v>Christine Cook</v>
      </c>
      <c r="F189" s="22" t="n">
        <v>2094</v>
      </c>
      <c r="G189" s="22" t="s">
        <v>6766</v>
      </c>
      <c r="H189" s="22" t="s">
        <v>198</v>
      </c>
      <c r="I189" s="22" t="s">
        <v>8603</v>
      </c>
      <c r="J189" s="22" t="s">
        <v>10489</v>
      </c>
      <c r="K189" s="22" t="s">
        <v>10504</v>
      </c>
      <c r="L189" s="23" t="n">
        <v>45799</v>
      </c>
      <c r="M189" s="22" t="n">
        <f aca="false">COUNTIFS('Skip PDF Index'!$B$6:$B$11,D189,'Skip PDF Index'!$D$6:$D$11,C189,'Skip PDF Index'!$F$6:$F$11,I189)</f>
        <v>0</v>
      </c>
      <c r="N189" s="22" t="n">
        <f aca="false">COUNTIFS('Skip PDF Index'!$B$6:$B$11,D189,'Skip PDF Index'!$D$6:$D$11,C189,'Skip PDF Index'!$E$6:$E$11,G189,'Skip PDF Index'!$F$6:$F$11,I189)</f>
        <v>0</v>
      </c>
      <c r="O189" s="22" t="n">
        <f aca="false">COUNTIFS('Skip PDF Index'!$B$6:$B$11,D189,'Skip PDF Index'!$D$6:$D$11,C189,'Skip PDF Index'!$E$6:$E$11,G189,'Skip PDF Index'!$F$6:$F$11,I189,'Skip PDF Index'!$H$6:$H$11,"SUPPORTING RECORD")</f>
        <v>0</v>
      </c>
      <c r="P189" s="22" t="n">
        <f aca="false">COUNTIFS('Offer Events'!$A$2:$A$1487,B189,'Offer Events'!$B$2:$B$1487,C189,'Offer Events'!$C$2:$C$1487,D189,'Offer Events'!$E$2:$E$1487,G189,'Offer Events'!$L$2:$L$1487,"SKIPPED",'Offer Events'!$P$2:$P$1487,I189)</f>
        <v>1</v>
      </c>
      <c r="Q189" s="22" t="str">
        <f aca="false">IF(L189&lt;=C189,"Y","N")</f>
        <v>N</v>
      </c>
      <c r="R189" s="22" t="str">
        <f aca="false">IF(AND(O189&gt;0,P189&gt;0,Q189="Y"),"Y","N")</f>
        <v>N</v>
      </c>
      <c r="S189" s="22" t="str">
        <f aca="false">IF(P189=0,"Offer register missing/mismatch",IF(N189=0,IF(M189&gt;0,"PDF slip mismatch","No matching PDF"),IF(O189=0,"PDF lacks supporting record","Reconciled")))</f>
        <v>No matching PDF</v>
      </c>
      <c r="T189" s="22" t="str">
        <f aca="false">IF(R189="Y","Compliant",S189&amp;IF(Q189="N","; review after skip",""))</f>
        <v>No matching PDF; review after skip</v>
      </c>
      <c r="U189" s="22" t="str">
        <f aca="false">IF(R189="Y","",IF(AND(O189&gt;0,P189&gt;0,Q189="N"),"Priority 2","Priority 1"))</f>
        <v>Priority 1</v>
      </c>
    </row>
    <row r="190" customFormat="false" ht="15" hidden="false" customHeight="false" outlineLevel="0" collapsed="false">
      <c r="A190" s="22" t="s">
        <v>10785</v>
      </c>
      <c r="B190" s="22" t="s">
        <v>9906</v>
      </c>
      <c r="C190" s="23" t="n">
        <v>45782</v>
      </c>
      <c r="D190" s="22" t="s">
        <v>6065</v>
      </c>
      <c r="E190" s="22" t="str">
        <f aca="false">IFERROR(VLOOKUP(D190,'Applicant Lookup'!$A$2:$F$2911,2,FALSE()),"Not found")</f>
        <v>Kevin Murphy</v>
      </c>
      <c r="F190" s="22" t="n">
        <v>2662</v>
      </c>
      <c r="G190" s="22" t="s">
        <v>7505</v>
      </c>
      <c r="H190" s="22" t="s">
        <v>159</v>
      </c>
      <c r="I190" s="22" t="s">
        <v>8618</v>
      </c>
      <c r="J190" s="22" t="s">
        <v>10489</v>
      </c>
      <c r="K190" s="22" t="s">
        <v>10506</v>
      </c>
      <c r="L190" s="23" t="n">
        <v>45784</v>
      </c>
      <c r="M190" s="22" t="n">
        <f aca="false">COUNTIFS('Skip PDF Index'!$B$6:$B$11,D190,'Skip PDF Index'!$D$6:$D$11,C190,'Skip PDF Index'!$F$6:$F$11,I190)</f>
        <v>0</v>
      </c>
      <c r="N190" s="22" t="n">
        <f aca="false">COUNTIFS('Skip PDF Index'!$B$6:$B$11,D190,'Skip PDF Index'!$D$6:$D$11,C190,'Skip PDF Index'!$E$6:$E$11,G190,'Skip PDF Index'!$F$6:$F$11,I190)</f>
        <v>0</v>
      </c>
      <c r="O190" s="22" t="n">
        <f aca="false">COUNTIFS('Skip PDF Index'!$B$6:$B$11,D190,'Skip PDF Index'!$D$6:$D$11,C190,'Skip PDF Index'!$E$6:$E$11,G190,'Skip PDF Index'!$F$6:$F$11,I190,'Skip PDF Index'!$H$6:$H$11,"SUPPORTING RECORD")</f>
        <v>0</v>
      </c>
      <c r="P190" s="22" t="n">
        <f aca="false">COUNTIFS('Offer Events'!$A$2:$A$1487,B190,'Offer Events'!$B$2:$B$1487,C190,'Offer Events'!$C$2:$C$1487,D190,'Offer Events'!$E$2:$E$1487,G190,'Offer Events'!$L$2:$L$1487,"SKIPPED",'Offer Events'!$P$2:$P$1487,I190)</f>
        <v>1</v>
      </c>
      <c r="Q190" s="22" t="str">
        <f aca="false">IF(L190&lt;=C190,"Y","N")</f>
        <v>N</v>
      </c>
      <c r="R190" s="22" t="str">
        <f aca="false">IF(AND(O190&gt;0,P190&gt;0,Q190="Y"),"Y","N")</f>
        <v>N</v>
      </c>
      <c r="S190" s="22" t="str">
        <f aca="false">IF(P190=0,"Offer register missing/mismatch",IF(N190=0,IF(M190&gt;0,"PDF slip mismatch","No matching PDF"),IF(O190=0,"PDF lacks supporting record","Reconciled")))</f>
        <v>No matching PDF</v>
      </c>
      <c r="T190" s="22" t="str">
        <f aca="false">IF(R190="Y","Compliant",S190&amp;IF(Q190="N","; review after skip",""))</f>
        <v>No matching PDF; review after skip</v>
      </c>
      <c r="U190" s="22" t="str">
        <f aca="false">IF(R190="Y","",IF(AND(O190&gt;0,P190&gt;0,Q190="N"),"Priority 2","Priority 1"))</f>
        <v>Priority 1</v>
      </c>
    </row>
    <row r="191" customFormat="false" ht="15" hidden="false" customHeight="false" outlineLevel="0" collapsed="false">
      <c r="A191" s="22" t="s">
        <v>10786</v>
      </c>
      <c r="B191" s="22" t="s">
        <v>9914</v>
      </c>
      <c r="C191" s="23" t="n">
        <v>45784</v>
      </c>
      <c r="D191" s="22" t="s">
        <v>1431</v>
      </c>
      <c r="E191" s="22" t="str">
        <f aca="false">IFERROR(VLOOKUP(D191,'Applicant Lookup'!$A$2:$F$2911,2,FALSE()),"Not found")</f>
        <v>Amber Rojas</v>
      </c>
      <c r="F191" s="22" t="n">
        <v>472</v>
      </c>
      <c r="G191" s="22" t="s">
        <v>8534</v>
      </c>
      <c r="H191" s="22" t="s">
        <v>188</v>
      </c>
      <c r="I191" s="22" t="s">
        <v>8637</v>
      </c>
      <c r="J191" s="22" t="s">
        <v>10489</v>
      </c>
      <c r="K191" s="22" t="s">
        <v>10511</v>
      </c>
      <c r="L191" s="23" t="n">
        <v>45784</v>
      </c>
      <c r="M191" s="22" t="n">
        <f aca="false">COUNTIFS('Skip PDF Index'!$B$6:$B$11,D191,'Skip PDF Index'!$D$6:$D$11,C191,'Skip PDF Index'!$F$6:$F$11,I191)</f>
        <v>0</v>
      </c>
      <c r="N191" s="22" t="n">
        <f aca="false">COUNTIFS('Skip PDF Index'!$B$6:$B$11,D191,'Skip PDF Index'!$D$6:$D$11,C191,'Skip PDF Index'!$E$6:$E$11,G191,'Skip PDF Index'!$F$6:$F$11,I191)</f>
        <v>0</v>
      </c>
      <c r="O191" s="22" t="n">
        <f aca="false">COUNTIFS('Skip PDF Index'!$B$6:$B$11,D191,'Skip PDF Index'!$D$6:$D$11,C191,'Skip PDF Index'!$E$6:$E$11,G191,'Skip PDF Index'!$F$6:$F$11,I191,'Skip PDF Index'!$H$6:$H$11,"SUPPORTING RECORD")</f>
        <v>0</v>
      </c>
      <c r="P191" s="22" t="n">
        <f aca="false">COUNTIFS('Offer Events'!$A$2:$A$1487,B191,'Offer Events'!$B$2:$B$1487,C191,'Offer Events'!$C$2:$C$1487,D191,'Offer Events'!$E$2:$E$1487,G191,'Offer Events'!$L$2:$L$1487,"SKIPPED",'Offer Events'!$P$2:$P$1487,I191)</f>
        <v>1</v>
      </c>
      <c r="Q191" s="22" t="str">
        <f aca="false">IF(L191&lt;=C191,"Y","N")</f>
        <v>Y</v>
      </c>
      <c r="R191" s="22" t="str">
        <f aca="false">IF(AND(O191&gt;0,P191&gt;0,Q191="Y"),"Y","N")</f>
        <v>N</v>
      </c>
      <c r="S191" s="22" t="str">
        <f aca="false">IF(P191=0,"Offer register missing/mismatch",IF(N191=0,IF(M191&gt;0,"PDF slip mismatch","No matching PDF"),IF(O191=0,"PDF lacks supporting record","Reconciled")))</f>
        <v>No matching PDF</v>
      </c>
      <c r="T191" s="22" t="str">
        <f aca="false">IF(R191="Y","Compliant",S191&amp;IF(Q191="N","; review after skip",""))</f>
        <v>No matching PDF</v>
      </c>
      <c r="U191" s="22" t="str">
        <f aca="false">IF(R191="Y","",IF(AND(O191&gt;0,P191&gt;0,Q191="N"),"Priority 2","Priority 1"))</f>
        <v>Priority 1</v>
      </c>
    </row>
    <row r="192" customFormat="false" ht="15" hidden="false" customHeight="false" outlineLevel="0" collapsed="false">
      <c r="A192" s="22" t="s">
        <v>10787</v>
      </c>
      <c r="B192" s="22" t="s">
        <v>9925</v>
      </c>
      <c r="C192" s="23" t="n">
        <v>45787</v>
      </c>
      <c r="D192" s="22" t="s">
        <v>5457</v>
      </c>
      <c r="E192" s="22" t="str">
        <f aca="false">IFERROR(VLOOKUP(D192,'Applicant Lookup'!$A$2:$F$2911,2,FALSE()),"Not found")</f>
        <v>Morgan Ramos</v>
      </c>
      <c r="F192" s="22" t="n">
        <v>2360</v>
      </c>
      <c r="G192" s="22" t="s">
        <v>8003</v>
      </c>
      <c r="H192" s="22" t="s">
        <v>215</v>
      </c>
      <c r="I192" s="22" t="s">
        <v>8618</v>
      </c>
      <c r="J192" s="22" t="s">
        <v>10489</v>
      </c>
      <c r="K192" s="22" t="s">
        <v>10513</v>
      </c>
      <c r="L192" s="23" t="n">
        <v>45792</v>
      </c>
      <c r="M192" s="22" t="n">
        <f aca="false">COUNTIFS('Skip PDF Index'!$B$6:$B$11,D192,'Skip PDF Index'!$D$6:$D$11,C192,'Skip PDF Index'!$F$6:$F$11,I192)</f>
        <v>0</v>
      </c>
      <c r="N192" s="22" t="n">
        <f aca="false">COUNTIFS('Skip PDF Index'!$B$6:$B$11,D192,'Skip PDF Index'!$D$6:$D$11,C192,'Skip PDF Index'!$E$6:$E$11,G192,'Skip PDF Index'!$F$6:$F$11,I192)</f>
        <v>0</v>
      </c>
      <c r="O192" s="22" t="n">
        <f aca="false">COUNTIFS('Skip PDF Index'!$B$6:$B$11,D192,'Skip PDF Index'!$D$6:$D$11,C192,'Skip PDF Index'!$E$6:$E$11,G192,'Skip PDF Index'!$F$6:$F$11,I192,'Skip PDF Index'!$H$6:$H$11,"SUPPORTING RECORD")</f>
        <v>0</v>
      </c>
      <c r="P192" s="22" t="n">
        <f aca="false">COUNTIFS('Offer Events'!$A$2:$A$1487,B192,'Offer Events'!$B$2:$B$1487,C192,'Offer Events'!$C$2:$C$1487,D192,'Offer Events'!$E$2:$E$1487,G192,'Offer Events'!$L$2:$L$1487,"SKIPPED",'Offer Events'!$P$2:$P$1487,I192)</f>
        <v>1</v>
      </c>
      <c r="Q192" s="22" t="str">
        <f aca="false">IF(L192&lt;=C192,"Y","N")</f>
        <v>N</v>
      </c>
      <c r="R192" s="22" t="str">
        <f aca="false">IF(AND(O192&gt;0,P192&gt;0,Q192="Y"),"Y","N")</f>
        <v>N</v>
      </c>
      <c r="S192" s="22" t="str">
        <f aca="false">IF(P192=0,"Offer register missing/mismatch",IF(N192=0,IF(M192&gt;0,"PDF slip mismatch","No matching PDF"),IF(O192=0,"PDF lacks supporting record","Reconciled")))</f>
        <v>No matching PDF</v>
      </c>
      <c r="T192" s="22" t="str">
        <f aca="false">IF(R192="Y","Compliant",S192&amp;IF(Q192="N","; review after skip",""))</f>
        <v>No matching PDF; review after skip</v>
      </c>
      <c r="U192" s="22" t="str">
        <f aca="false">IF(R192="Y","",IF(AND(O192&gt;0,P192&gt;0,Q192="N"),"Priority 2","Priority 1"))</f>
        <v>Priority 1</v>
      </c>
    </row>
    <row r="193" customFormat="false" ht="15" hidden="false" customHeight="false" outlineLevel="0" collapsed="false">
      <c r="A193" s="22" t="s">
        <v>10788</v>
      </c>
      <c r="B193" s="22" t="s">
        <v>9931</v>
      </c>
      <c r="C193" s="23" t="n">
        <v>45826</v>
      </c>
      <c r="D193" s="22" t="s">
        <v>4214</v>
      </c>
      <c r="E193" s="22" t="str">
        <f aca="false">IFERROR(VLOOKUP(D193,'Applicant Lookup'!$A$2:$F$2911,2,FALSE()),"Not found")</f>
        <v>Angel Massey</v>
      </c>
      <c r="F193" s="22" t="n">
        <v>1747</v>
      </c>
      <c r="G193" s="22" t="s">
        <v>8134</v>
      </c>
      <c r="H193" s="22" t="s">
        <v>499</v>
      </c>
      <c r="I193" s="22" t="s">
        <v>8637</v>
      </c>
      <c r="J193" s="22" t="s">
        <v>10489</v>
      </c>
      <c r="K193" s="22" t="s">
        <v>10555</v>
      </c>
      <c r="L193" s="23" t="n">
        <v>45827</v>
      </c>
      <c r="M193" s="22" t="n">
        <f aca="false">COUNTIFS('Skip PDF Index'!$B$6:$B$11,D193,'Skip PDF Index'!$D$6:$D$11,C193,'Skip PDF Index'!$F$6:$F$11,I193)</f>
        <v>0</v>
      </c>
      <c r="N193" s="22" t="n">
        <f aca="false">COUNTIFS('Skip PDF Index'!$B$6:$B$11,D193,'Skip PDF Index'!$D$6:$D$11,C193,'Skip PDF Index'!$E$6:$E$11,G193,'Skip PDF Index'!$F$6:$F$11,I193)</f>
        <v>0</v>
      </c>
      <c r="O193" s="22" t="n">
        <f aca="false">COUNTIFS('Skip PDF Index'!$B$6:$B$11,D193,'Skip PDF Index'!$D$6:$D$11,C193,'Skip PDF Index'!$E$6:$E$11,G193,'Skip PDF Index'!$F$6:$F$11,I193,'Skip PDF Index'!$H$6:$H$11,"SUPPORTING RECORD")</f>
        <v>0</v>
      </c>
      <c r="P193" s="22" t="n">
        <f aca="false">COUNTIFS('Offer Events'!$A$2:$A$1487,B193,'Offer Events'!$B$2:$B$1487,C193,'Offer Events'!$C$2:$C$1487,D193,'Offer Events'!$E$2:$E$1487,G193,'Offer Events'!$L$2:$L$1487,"SKIPPED",'Offer Events'!$P$2:$P$1487,I193)</f>
        <v>1</v>
      </c>
      <c r="Q193" s="22" t="str">
        <f aca="false">IF(L193&lt;=C193,"Y","N")</f>
        <v>N</v>
      </c>
      <c r="R193" s="22" t="str">
        <f aca="false">IF(AND(O193&gt;0,P193&gt;0,Q193="Y"),"Y","N")</f>
        <v>N</v>
      </c>
      <c r="S193" s="22" t="str">
        <f aca="false">IF(P193=0,"Offer register missing/mismatch",IF(N193=0,IF(M193&gt;0,"PDF slip mismatch","No matching PDF"),IF(O193=0,"PDF lacks supporting record","Reconciled")))</f>
        <v>No matching PDF</v>
      </c>
      <c r="T193" s="22" t="str">
        <f aca="false">IF(R193="Y","Compliant",S193&amp;IF(Q193="N","; review after skip",""))</f>
        <v>No matching PDF; review after skip</v>
      </c>
      <c r="U193" s="22" t="str">
        <f aca="false">IF(R193="Y","",IF(AND(O193&gt;0,P193&gt;0,Q193="N"),"Priority 2","Priority 1"))</f>
        <v>Priority 1</v>
      </c>
    </row>
    <row r="194" customFormat="false" ht="15" hidden="false" customHeight="false" outlineLevel="0" collapsed="false">
      <c r="A194" s="22" t="s">
        <v>10789</v>
      </c>
      <c r="B194" s="22" t="s">
        <v>9935</v>
      </c>
      <c r="C194" s="23" t="n">
        <v>45826</v>
      </c>
      <c r="D194" s="22" t="s">
        <v>1090</v>
      </c>
      <c r="E194" s="22" t="str">
        <f aca="false">IFERROR(VLOOKUP(D194,'Applicant Lookup'!$A$2:$F$2911,2,FALSE()),"Not found")</f>
        <v>Andrew Hayden</v>
      </c>
      <c r="F194" s="22" t="n">
        <v>333</v>
      </c>
      <c r="G194" s="22" t="s">
        <v>6673</v>
      </c>
      <c r="H194" s="22" t="s">
        <v>198</v>
      </c>
      <c r="I194" s="22" t="s">
        <v>8618</v>
      </c>
      <c r="J194" s="22" t="s">
        <v>10489</v>
      </c>
      <c r="K194" s="22" t="s">
        <v>10555</v>
      </c>
      <c r="L194" s="23" t="n">
        <v>45828</v>
      </c>
      <c r="M194" s="22" t="n">
        <f aca="false">COUNTIFS('Skip PDF Index'!$B$6:$B$11,D194,'Skip PDF Index'!$D$6:$D$11,C194,'Skip PDF Index'!$F$6:$F$11,I194)</f>
        <v>0</v>
      </c>
      <c r="N194" s="22" t="n">
        <f aca="false">COUNTIFS('Skip PDF Index'!$B$6:$B$11,D194,'Skip PDF Index'!$D$6:$D$11,C194,'Skip PDF Index'!$E$6:$E$11,G194,'Skip PDF Index'!$F$6:$F$11,I194)</f>
        <v>0</v>
      </c>
      <c r="O194" s="22" t="n">
        <f aca="false">COUNTIFS('Skip PDF Index'!$B$6:$B$11,D194,'Skip PDF Index'!$D$6:$D$11,C194,'Skip PDF Index'!$E$6:$E$11,G194,'Skip PDF Index'!$F$6:$F$11,I194,'Skip PDF Index'!$H$6:$H$11,"SUPPORTING RECORD")</f>
        <v>0</v>
      </c>
      <c r="P194" s="22" t="n">
        <f aca="false">COUNTIFS('Offer Events'!$A$2:$A$1487,B194,'Offer Events'!$B$2:$B$1487,C194,'Offer Events'!$C$2:$C$1487,D194,'Offer Events'!$E$2:$E$1487,G194,'Offer Events'!$L$2:$L$1487,"SKIPPED",'Offer Events'!$P$2:$P$1487,I194)</f>
        <v>1</v>
      </c>
      <c r="Q194" s="22" t="str">
        <f aca="false">IF(L194&lt;=C194,"Y","N")</f>
        <v>N</v>
      </c>
      <c r="R194" s="22" t="str">
        <f aca="false">IF(AND(O194&gt;0,P194&gt;0,Q194="Y"),"Y","N")</f>
        <v>N</v>
      </c>
      <c r="S194" s="22" t="str">
        <f aca="false">IF(P194=0,"Offer register missing/mismatch",IF(N194=0,IF(M194&gt;0,"PDF slip mismatch","No matching PDF"),IF(O194=0,"PDF lacks supporting record","Reconciled")))</f>
        <v>No matching PDF</v>
      </c>
      <c r="T194" s="22" t="str">
        <f aca="false">IF(R194="Y","Compliant",S194&amp;IF(Q194="N","; review after skip",""))</f>
        <v>No matching PDF; review after skip</v>
      </c>
      <c r="U194" s="22" t="str">
        <f aca="false">IF(R194="Y","",IF(AND(O194&gt;0,P194&gt;0,Q194="N"),"Priority 2","Priority 1"))</f>
        <v>Priority 1</v>
      </c>
    </row>
    <row r="195" customFormat="false" ht="15" hidden="false" customHeight="false" outlineLevel="0" collapsed="false">
      <c r="A195" s="22" t="s">
        <v>10790</v>
      </c>
      <c r="B195" s="22" t="s">
        <v>9936</v>
      </c>
      <c r="C195" s="23" t="n">
        <v>45823</v>
      </c>
      <c r="D195" s="22" t="s">
        <v>4113</v>
      </c>
      <c r="E195" s="22" t="str">
        <f aca="false">IFERROR(VLOOKUP(D195,'Applicant Lookup'!$A$2:$F$2911,2,FALSE()),"Not found")</f>
        <v>Laura Mckenzie</v>
      </c>
      <c r="F195" s="22" t="n">
        <v>1698</v>
      </c>
      <c r="G195" s="22" t="s">
        <v>7439</v>
      </c>
      <c r="H195" s="22" t="s">
        <v>159</v>
      </c>
      <c r="I195" s="22" t="s">
        <v>8637</v>
      </c>
      <c r="J195" s="22" t="s">
        <v>10489</v>
      </c>
      <c r="K195" s="22" t="s">
        <v>10516</v>
      </c>
      <c r="L195" s="23" t="n">
        <v>45825</v>
      </c>
      <c r="M195" s="22" t="n">
        <f aca="false">COUNTIFS('Skip PDF Index'!$B$6:$B$11,D195,'Skip PDF Index'!$D$6:$D$11,C195,'Skip PDF Index'!$F$6:$F$11,I195)</f>
        <v>0</v>
      </c>
      <c r="N195" s="22" t="n">
        <f aca="false">COUNTIFS('Skip PDF Index'!$B$6:$B$11,D195,'Skip PDF Index'!$D$6:$D$11,C195,'Skip PDF Index'!$E$6:$E$11,G195,'Skip PDF Index'!$F$6:$F$11,I195)</f>
        <v>0</v>
      </c>
      <c r="O195" s="22" t="n">
        <f aca="false">COUNTIFS('Skip PDF Index'!$B$6:$B$11,D195,'Skip PDF Index'!$D$6:$D$11,C195,'Skip PDF Index'!$E$6:$E$11,G195,'Skip PDF Index'!$F$6:$F$11,I195,'Skip PDF Index'!$H$6:$H$11,"SUPPORTING RECORD")</f>
        <v>0</v>
      </c>
      <c r="P195" s="22" t="n">
        <f aca="false">COUNTIFS('Offer Events'!$A$2:$A$1487,B195,'Offer Events'!$B$2:$B$1487,C195,'Offer Events'!$C$2:$C$1487,D195,'Offer Events'!$E$2:$E$1487,G195,'Offer Events'!$L$2:$L$1487,"SKIPPED",'Offer Events'!$P$2:$P$1487,I195)</f>
        <v>1</v>
      </c>
      <c r="Q195" s="22" t="str">
        <f aca="false">IF(L195&lt;=C195,"Y","N")</f>
        <v>N</v>
      </c>
      <c r="R195" s="22" t="str">
        <f aca="false">IF(AND(O195&gt;0,P195&gt;0,Q195="Y"),"Y","N")</f>
        <v>N</v>
      </c>
      <c r="S195" s="22" t="str">
        <f aca="false">IF(P195=0,"Offer register missing/mismatch",IF(N195=0,IF(M195&gt;0,"PDF slip mismatch","No matching PDF"),IF(O195=0,"PDF lacks supporting record","Reconciled")))</f>
        <v>No matching PDF</v>
      </c>
      <c r="T195" s="22" t="str">
        <f aca="false">IF(R195="Y","Compliant",S195&amp;IF(Q195="N","; review after skip",""))</f>
        <v>No matching PDF; review after skip</v>
      </c>
      <c r="U195" s="22" t="str">
        <f aca="false">IF(R195="Y","",IF(AND(O195&gt;0,P195&gt;0,Q195="N"),"Priority 2","Priority 1"))</f>
        <v>Priority 1</v>
      </c>
    </row>
    <row r="196" customFormat="false" ht="15" hidden="false" customHeight="false" outlineLevel="0" collapsed="false">
      <c r="A196" s="22" t="s">
        <v>10791</v>
      </c>
      <c r="B196" s="22" t="s">
        <v>9941</v>
      </c>
      <c r="C196" s="23" t="n">
        <v>45810</v>
      </c>
      <c r="D196" s="22" t="s">
        <v>4828</v>
      </c>
      <c r="E196" s="22" t="str">
        <f aca="false">IFERROR(VLOOKUP(D196,'Applicant Lookup'!$A$2:$F$2911,2,FALSE()),"Not found")</f>
        <v>Lauren Collins</v>
      </c>
      <c r="F196" s="22" t="n">
        <v>2047</v>
      </c>
      <c r="G196" s="22" t="s">
        <v>7823</v>
      </c>
      <c r="H196" s="22" t="s">
        <v>215</v>
      </c>
      <c r="I196" s="22" t="s">
        <v>8637</v>
      </c>
      <c r="J196" s="22" t="s">
        <v>10489</v>
      </c>
      <c r="K196" s="22" t="s">
        <v>10516</v>
      </c>
      <c r="L196" s="23" t="n">
        <v>45811</v>
      </c>
      <c r="M196" s="22" t="n">
        <f aca="false">COUNTIFS('Skip PDF Index'!$B$6:$B$11,D196,'Skip PDF Index'!$D$6:$D$11,C196,'Skip PDF Index'!$F$6:$F$11,I196)</f>
        <v>0</v>
      </c>
      <c r="N196" s="22" t="n">
        <f aca="false">COUNTIFS('Skip PDF Index'!$B$6:$B$11,D196,'Skip PDF Index'!$D$6:$D$11,C196,'Skip PDF Index'!$E$6:$E$11,G196,'Skip PDF Index'!$F$6:$F$11,I196)</f>
        <v>0</v>
      </c>
      <c r="O196" s="22" t="n">
        <f aca="false">COUNTIFS('Skip PDF Index'!$B$6:$B$11,D196,'Skip PDF Index'!$D$6:$D$11,C196,'Skip PDF Index'!$E$6:$E$11,G196,'Skip PDF Index'!$F$6:$F$11,I196,'Skip PDF Index'!$H$6:$H$11,"SUPPORTING RECORD")</f>
        <v>0</v>
      </c>
      <c r="P196" s="22" t="n">
        <f aca="false">COUNTIFS('Offer Events'!$A$2:$A$1487,B196,'Offer Events'!$B$2:$B$1487,C196,'Offer Events'!$C$2:$C$1487,D196,'Offer Events'!$E$2:$E$1487,G196,'Offer Events'!$L$2:$L$1487,"SKIPPED",'Offer Events'!$P$2:$P$1487,I196)</f>
        <v>1</v>
      </c>
      <c r="Q196" s="22" t="str">
        <f aca="false">IF(L196&lt;=C196,"Y","N")</f>
        <v>N</v>
      </c>
      <c r="R196" s="22" t="str">
        <f aca="false">IF(AND(O196&gt;0,P196&gt;0,Q196="Y"),"Y","N")</f>
        <v>N</v>
      </c>
      <c r="S196" s="22" t="str">
        <f aca="false">IF(P196=0,"Offer register missing/mismatch",IF(N196=0,IF(M196&gt;0,"PDF slip mismatch","No matching PDF"),IF(O196=0,"PDF lacks supporting record","Reconciled")))</f>
        <v>No matching PDF</v>
      </c>
      <c r="T196" s="22" t="str">
        <f aca="false">IF(R196="Y","Compliant",S196&amp;IF(Q196="N","; review after skip",""))</f>
        <v>No matching PDF; review after skip</v>
      </c>
      <c r="U196" s="22" t="str">
        <f aca="false">IF(R196="Y","",IF(AND(O196&gt;0,P196&gt;0,Q196="N"),"Priority 2","Priority 1"))</f>
        <v>Priority 1</v>
      </c>
    </row>
    <row r="197" customFormat="false" ht="15" hidden="false" customHeight="false" outlineLevel="0" collapsed="false">
      <c r="A197" s="22" t="s">
        <v>10792</v>
      </c>
      <c r="B197" s="22" t="s">
        <v>9944</v>
      </c>
      <c r="C197" s="23" t="n">
        <v>45822</v>
      </c>
      <c r="D197" s="22" t="s">
        <v>603</v>
      </c>
      <c r="E197" s="22" t="str">
        <f aca="false">IFERROR(VLOOKUP(D197,'Applicant Lookup'!$A$2:$F$2911,2,FALSE()),"Not found")</f>
        <v>Tamara Alvarez</v>
      </c>
      <c r="F197" s="22" t="n">
        <v>151</v>
      </c>
      <c r="G197" s="22" t="s">
        <v>8543</v>
      </c>
      <c r="H197" s="22" t="s">
        <v>188</v>
      </c>
      <c r="I197" s="22" t="s">
        <v>8618</v>
      </c>
      <c r="J197" s="22" t="s">
        <v>10489</v>
      </c>
      <c r="K197" s="22" t="s">
        <v>10513</v>
      </c>
      <c r="L197" s="23" t="n">
        <v>45822</v>
      </c>
      <c r="M197" s="22" t="n">
        <f aca="false">COUNTIFS('Skip PDF Index'!$B$6:$B$11,D197,'Skip PDF Index'!$D$6:$D$11,C197,'Skip PDF Index'!$F$6:$F$11,I197)</f>
        <v>0</v>
      </c>
      <c r="N197" s="22" t="n">
        <f aca="false">COUNTIFS('Skip PDF Index'!$B$6:$B$11,D197,'Skip PDF Index'!$D$6:$D$11,C197,'Skip PDF Index'!$E$6:$E$11,G197,'Skip PDF Index'!$F$6:$F$11,I197)</f>
        <v>0</v>
      </c>
      <c r="O197" s="22" t="n">
        <f aca="false">COUNTIFS('Skip PDF Index'!$B$6:$B$11,D197,'Skip PDF Index'!$D$6:$D$11,C197,'Skip PDF Index'!$E$6:$E$11,G197,'Skip PDF Index'!$F$6:$F$11,I197,'Skip PDF Index'!$H$6:$H$11,"SUPPORTING RECORD")</f>
        <v>0</v>
      </c>
      <c r="P197" s="22" t="n">
        <f aca="false">COUNTIFS('Offer Events'!$A$2:$A$1487,B197,'Offer Events'!$B$2:$B$1487,C197,'Offer Events'!$C$2:$C$1487,D197,'Offer Events'!$E$2:$E$1487,G197,'Offer Events'!$L$2:$L$1487,"SKIPPED",'Offer Events'!$P$2:$P$1487,I197)</f>
        <v>1</v>
      </c>
      <c r="Q197" s="22" t="str">
        <f aca="false">IF(L197&lt;=C197,"Y","N")</f>
        <v>Y</v>
      </c>
      <c r="R197" s="22" t="str">
        <f aca="false">IF(AND(O197&gt;0,P197&gt;0,Q197="Y"),"Y","N")</f>
        <v>N</v>
      </c>
      <c r="S197" s="22" t="str">
        <f aca="false">IF(P197=0,"Offer register missing/mismatch",IF(N197=0,IF(M197&gt;0,"PDF slip mismatch","No matching PDF"),IF(O197=0,"PDF lacks supporting record","Reconciled")))</f>
        <v>No matching PDF</v>
      </c>
      <c r="T197" s="22" t="str">
        <f aca="false">IF(R197="Y","Compliant",S197&amp;IF(Q197="N","; review after skip",""))</f>
        <v>No matching PDF</v>
      </c>
      <c r="U197" s="22" t="str">
        <f aca="false">IF(R197="Y","",IF(AND(O197&gt;0,P197&gt;0,Q197="N"),"Priority 2","Priority 1"))</f>
        <v>Priority 1</v>
      </c>
    </row>
    <row r="198" customFormat="false" ht="15" hidden="false" customHeight="false" outlineLevel="0" collapsed="false">
      <c r="A198" s="22" t="s">
        <v>10793</v>
      </c>
      <c r="B198" s="22" t="s">
        <v>9957</v>
      </c>
      <c r="C198" s="23" t="n">
        <v>45827</v>
      </c>
      <c r="D198" s="22" t="s">
        <v>3327</v>
      </c>
      <c r="E198" s="22" t="str">
        <f aca="false">IFERROR(VLOOKUP(D198,'Applicant Lookup'!$A$2:$F$2911,2,FALSE()),"Not found")</f>
        <v>David Silva</v>
      </c>
      <c r="F198" s="22" t="n">
        <v>1314</v>
      </c>
      <c r="G198" s="22" t="s">
        <v>6648</v>
      </c>
      <c r="H198" s="22" t="s">
        <v>198</v>
      </c>
      <c r="I198" s="22" t="s">
        <v>8618</v>
      </c>
      <c r="J198" s="22" t="s">
        <v>10489</v>
      </c>
      <c r="K198" s="22" t="s">
        <v>10555</v>
      </c>
      <c r="L198" s="23" t="n">
        <v>45828</v>
      </c>
      <c r="M198" s="22" t="n">
        <f aca="false">COUNTIFS('Skip PDF Index'!$B$6:$B$11,D198,'Skip PDF Index'!$D$6:$D$11,C198,'Skip PDF Index'!$F$6:$F$11,I198)</f>
        <v>0</v>
      </c>
      <c r="N198" s="22" t="n">
        <f aca="false">COUNTIFS('Skip PDF Index'!$B$6:$B$11,D198,'Skip PDF Index'!$D$6:$D$11,C198,'Skip PDF Index'!$E$6:$E$11,G198,'Skip PDF Index'!$F$6:$F$11,I198)</f>
        <v>0</v>
      </c>
      <c r="O198" s="22" t="n">
        <f aca="false">COUNTIFS('Skip PDF Index'!$B$6:$B$11,D198,'Skip PDF Index'!$D$6:$D$11,C198,'Skip PDF Index'!$E$6:$E$11,G198,'Skip PDF Index'!$F$6:$F$11,I198,'Skip PDF Index'!$H$6:$H$11,"SUPPORTING RECORD")</f>
        <v>0</v>
      </c>
      <c r="P198" s="22" t="n">
        <f aca="false">COUNTIFS('Offer Events'!$A$2:$A$1487,B198,'Offer Events'!$B$2:$B$1487,C198,'Offer Events'!$C$2:$C$1487,D198,'Offer Events'!$E$2:$E$1487,G198,'Offer Events'!$L$2:$L$1487,"SKIPPED",'Offer Events'!$P$2:$P$1487,I198)</f>
        <v>1</v>
      </c>
      <c r="Q198" s="22" t="str">
        <f aca="false">IF(L198&lt;=C198,"Y","N")</f>
        <v>N</v>
      </c>
      <c r="R198" s="22" t="str">
        <f aca="false">IF(AND(O198&gt;0,P198&gt;0,Q198="Y"),"Y","N")</f>
        <v>N</v>
      </c>
      <c r="S198" s="22" t="str">
        <f aca="false">IF(P198=0,"Offer register missing/mismatch",IF(N198=0,IF(M198&gt;0,"PDF slip mismatch","No matching PDF"),IF(O198=0,"PDF lacks supporting record","Reconciled")))</f>
        <v>No matching PDF</v>
      </c>
      <c r="T198" s="22" t="str">
        <f aca="false">IF(R198="Y","Compliant",S198&amp;IF(Q198="N","; review after skip",""))</f>
        <v>No matching PDF; review after skip</v>
      </c>
      <c r="U198" s="22" t="str">
        <f aca="false">IF(R198="Y","",IF(AND(O198&gt;0,P198&gt;0,Q198="N"),"Priority 2","Priority 1"))</f>
        <v>Priority 1</v>
      </c>
    </row>
    <row r="199" customFormat="false" ht="15" hidden="false" customHeight="false" outlineLevel="0" collapsed="false">
      <c r="A199" s="22" t="s">
        <v>10794</v>
      </c>
      <c r="B199" s="22" t="s">
        <v>9958</v>
      </c>
      <c r="C199" s="23" t="n">
        <v>45817</v>
      </c>
      <c r="D199" s="22" t="s">
        <v>3413</v>
      </c>
      <c r="E199" s="22" t="str">
        <f aca="false">IFERROR(VLOOKUP(D199,'Applicant Lookup'!$A$2:$F$2911,2,FALSE()),"Not found")</f>
        <v>David Flores</v>
      </c>
      <c r="F199" s="22" t="n">
        <v>1356</v>
      </c>
      <c r="G199" s="22" t="s">
        <v>8436</v>
      </c>
      <c r="H199" s="22" t="s">
        <v>188</v>
      </c>
      <c r="I199" s="22" t="s">
        <v>8637</v>
      </c>
      <c r="J199" s="22" t="s">
        <v>10489</v>
      </c>
      <c r="K199" s="22" t="s">
        <v>10491</v>
      </c>
      <c r="L199" s="23" t="n">
        <v>45818</v>
      </c>
      <c r="M199" s="22" t="n">
        <f aca="false">COUNTIFS('Skip PDF Index'!$B$6:$B$11,D199,'Skip PDF Index'!$D$6:$D$11,C199,'Skip PDF Index'!$F$6:$F$11,I199)</f>
        <v>0</v>
      </c>
      <c r="N199" s="22" t="n">
        <f aca="false">COUNTIFS('Skip PDF Index'!$B$6:$B$11,D199,'Skip PDF Index'!$D$6:$D$11,C199,'Skip PDF Index'!$E$6:$E$11,G199,'Skip PDF Index'!$F$6:$F$11,I199)</f>
        <v>0</v>
      </c>
      <c r="O199" s="22" t="n">
        <f aca="false">COUNTIFS('Skip PDF Index'!$B$6:$B$11,D199,'Skip PDF Index'!$D$6:$D$11,C199,'Skip PDF Index'!$E$6:$E$11,G199,'Skip PDF Index'!$F$6:$F$11,I199,'Skip PDF Index'!$H$6:$H$11,"SUPPORTING RECORD")</f>
        <v>0</v>
      </c>
      <c r="P199" s="22" t="n">
        <f aca="false">COUNTIFS('Offer Events'!$A$2:$A$1487,B199,'Offer Events'!$B$2:$B$1487,C199,'Offer Events'!$C$2:$C$1487,D199,'Offer Events'!$E$2:$E$1487,G199,'Offer Events'!$L$2:$L$1487,"SKIPPED",'Offer Events'!$P$2:$P$1487,I199)</f>
        <v>1</v>
      </c>
      <c r="Q199" s="22" t="str">
        <f aca="false">IF(L199&lt;=C199,"Y","N")</f>
        <v>N</v>
      </c>
      <c r="R199" s="22" t="str">
        <f aca="false">IF(AND(O199&gt;0,P199&gt;0,Q199="Y"),"Y","N")</f>
        <v>N</v>
      </c>
      <c r="S199" s="22" t="str">
        <f aca="false">IF(P199=0,"Offer register missing/mismatch",IF(N199=0,IF(M199&gt;0,"PDF slip mismatch","No matching PDF"),IF(O199=0,"PDF lacks supporting record","Reconciled")))</f>
        <v>No matching PDF</v>
      </c>
      <c r="T199" s="22" t="str">
        <f aca="false">IF(R199="Y","Compliant",S199&amp;IF(Q199="N","; review after skip",""))</f>
        <v>No matching PDF; review after skip</v>
      </c>
      <c r="U199" s="22" t="str">
        <f aca="false">IF(R199="Y","",IF(AND(O199&gt;0,P199&gt;0,Q199="N"),"Priority 2","Priority 1"))</f>
        <v>Priority 1</v>
      </c>
    </row>
    <row r="200" customFormat="false" ht="15" hidden="false" customHeight="false" outlineLevel="0" collapsed="false">
      <c r="A200" s="22" t="s">
        <v>10795</v>
      </c>
      <c r="B200" s="22" t="s">
        <v>9969</v>
      </c>
      <c r="C200" s="23" t="n">
        <v>45810</v>
      </c>
      <c r="D200" s="22" t="s">
        <v>2670</v>
      </c>
      <c r="E200" s="22" t="str">
        <f aca="false">IFERROR(VLOOKUP(D200,'Applicant Lookup'!$A$2:$F$2911,2,FALSE()),"Not found")</f>
        <v>Elizabeth Harrison</v>
      </c>
      <c r="F200" s="22" t="n">
        <v>1013</v>
      </c>
      <c r="G200" s="22" t="s">
        <v>7125</v>
      </c>
      <c r="H200" s="22" t="s">
        <v>198</v>
      </c>
      <c r="I200" s="22" t="s">
        <v>8618</v>
      </c>
      <c r="J200" s="22" t="s">
        <v>10489</v>
      </c>
      <c r="K200" s="22" t="s">
        <v>10496</v>
      </c>
      <c r="L200" s="23" t="n">
        <v>45815</v>
      </c>
      <c r="M200" s="22" t="n">
        <f aca="false">COUNTIFS('Skip PDF Index'!$B$6:$B$11,D200,'Skip PDF Index'!$D$6:$D$11,C200,'Skip PDF Index'!$F$6:$F$11,I200)</f>
        <v>0</v>
      </c>
      <c r="N200" s="22" t="n">
        <f aca="false">COUNTIFS('Skip PDF Index'!$B$6:$B$11,D200,'Skip PDF Index'!$D$6:$D$11,C200,'Skip PDF Index'!$E$6:$E$11,G200,'Skip PDF Index'!$F$6:$F$11,I200)</f>
        <v>0</v>
      </c>
      <c r="O200" s="22" t="n">
        <f aca="false">COUNTIFS('Skip PDF Index'!$B$6:$B$11,D200,'Skip PDF Index'!$D$6:$D$11,C200,'Skip PDF Index'!$E$6:$E$11,G200,'Skip PDF Index'!$F$6:$F$11,I200,'Skip PDF Index'!$H$6:$H$11,"SUPPORTING RECORD")</f>
        <v>0</v>
      </c>
      <c r="P200" s="22" t="n">
        <f aca="false">COUNTIFS('Offer Events'!$A$2:$A$1487,B200,'Offer Events'!$B$2:$B$1487,C200,'Offer Events'!$C$2:$C$1487,D200,'Offer Events'!$E$2:$E$1487,G200,'Offer Events'!$L$2:$L$1487,"SKIPPED",'Offer Events'!$P$2:$P$1487,I200)</f>
        <v>1</v>
      </c>
      <c r="Q200" s="22" t="str">
        <f aca="false">IF(L200&lt;=C200,"Y","N")</f>
        <v>N</v>
      </c>
      <c r="R200" s="22" t="str">
        <f aca="false">IF(AND(O200&gt;0,P200&gt;0,Q200="Y"),"Y","N")</f>
        <v>N</v>
      </c>
      <c r="S200" s="22" t="str">
        <f aca="false">IF(P200=0,"Offer register missing/mismatch",IF(N200=0,IF(M200&gt;0,"PDF slip mismatch","No matching PDF"),IF(O200=0,"PDF lacks supporting record","Reconciled")))</f>
        <v>No matching PDF</v>
      </c>
      <c r="T200" s="22" t="str">
        <f aca="false">IF(R200="Y","Compliant",S200&amp;IF(Q200="N","; review after skip",""))</f>
        <v>No matching PDF; review after skip</v>
      </c>
      <c r="U200" s="22" t="str">
        <f aca="false">IF(R200="Y","",IF(AND(O200&gt;0,P200&gt;0,Q200="N"),"Priority 2","Priority 1"))</f>
        <v>Priority 1</v>
      </c>
    </row>
    <row r="201" customFormat="false" ht="15" hidden="false" customHeight="false" outlineLevel="0" collapsed="false">
      <c r="A201" s="22" t="s">
        <v>10796</v>
      </c>
      <c r="B201" s="22" t="s">
        <v>9972</v>
      </c>
      <c r="C201" s="23" t="n">
        <v>45848</v>
      </c>
      <c r="D201" s="22" t="s">
        <v>2227</v>
      </c>
      <c r="E201" s="22" t="str">
        <f aca="false">IFERROR(VLOOKUP(D201,'Applicant Lookup'!$A$2:$F$2911,2,FALSE()),"Not found")</f>
        <v>Jessica Williams</v>
      </c>
      <c r="F201" s="22" t="n">
        <v>813</v>
      </c>
      <c r="G201" s="22" t="s">
        <v>8292</v>
      </c>
      <c r="H201" s="22" t="s">
        <v>499</v>
      </c>
      <c r="I201" s="22" t="s">
        <v>8618</v>
      </c>
      <c r="J201" s="22" t="s">
        <v>10489</v>
      </c>
      <c r="K201" s="22" t="s">
        <v>10504</v>
      </c>
      <c r="L201" s="23" t="n">
        <v>45850</v>
      </c>
      <c r="M201" s="22" t="n">
        <f aca="false">COUNTIFS('Skip PDF Index'!$B$6:$B$11,D201,'Skip PDF Index'!$D$6:$D$11,C201,'Skip PDF Index'!$F$6:$F$11,I201)</f>
        <v>0</v>
      </c>
      <c r="N201" s="22" t="n">
        <f aca="false">COUNTIFS('Skip PDF Index'!$B$6:$B$11,D201,'Skip PDF Index'!$D$6:$D$11,C201,'Skip PDF Index'!$E$6:$E$11,G201,'Skip PDF Index'!$F$6:$F$11,I201)</f>
        <v>0</v>
      </c>
      <c r="O201" s="22" t="n">
        <f aca="false">COUNTIFS('Skip PDF Index'!$B$6:$B$11,D201,'Skip PDF Index'!$D$6:$D$11,C201,'Skip PDF Index'!$E$6:$E$11,G201,'Skip PDF Index'!$F$6:$F$11,I201,'Skip PDF Index'!$H$6:$H$11,"SUPPORTING RECORD")</f>
        <v>0</v>
      </c>
      <c r="P201" s="22" t="n">
        <f aca="false">COUNTIFS('Offer Events'!$A$2:$A$1487,B201,'Offer Events'!$B$2:$B$1487,C201,'Offer Events'!$C$2:$C$1487,D201,'Offer Events'!$E$2:$E$1487,G201,'Offer Events'!$L$2:$L$1487,"SKIPPED",'Offer Events'!$P$2:$P$1487,I201)</f>
        <v>1</v>
      </c>
      <c r="Q201" s="22" t="str">
        <f aca="false">IF(L201&lt;=C201,"Y","N")</f>
        <v>N</v>
      </c>
      <c r="R201" s="22" t="str">
        <f aca="false">IF(AND(O201&gt;0,P201&gt;0,Q201="Y"),"Y","N")</f>
        <v>N</v>
      </c>
      <c r="S201" s="22" t="str">
        <f aca="false">IF(P201=0,"Offer register missing/mismatch",IF(N201=0,IF(M201&gt;0,"PDF slip mismatch","No matching PDF"),IF(O201=0,"PDF lacks supporting record","Reconciled")))</f>
        <v>No matching PDF</v>
      </c>
      <c r="T201" s="22" t="str">
        <f aca="false">IF(R201="Y","Compliant",S201&amp;IF(Q201="N","; review after skip",""))</f>
        <v>No matching PDF; review after skip</v>
      </c>
      <c r="U201" s="22" t="str">
        <f aca="false">IF(R201="Y","",IF(AND(O201&gt;0,P201&gt;0,Q201="N"),"Priority 2","Priority 1"))</f>
        <v>Priority 1</v>
      </c>
    </row>
    <row r="202" customFormat="false" ht="15" hidden="false" customHeight="false" outlineLevel="0" collapsed="false">
      <c r="A202" s="22" t="s">
        <v>10797</v>
      </c>
      <c r="B202" s="22" t="s">
        <v>9987</v>
      </c>
      <c r="C202" s="23" t="n">
        <v>45863</v>
      </c>
      <c r="D202" s="22" t="s">
        <v>5192</v>
      </c>
      <c r="E202" s="22" t="str">
        <f aca="false">IFERROR(VLOOKUP(D202,'Applicant Lookup'!$A$2:$F$2911,2,FALSE()),"Not found")</f>
        <v>Carrie Herrera</v>
      </c>
      <c r="F202" s="22" t="n">
        <v>2227</v>
      </c>
      <c r="G202" s="22" t="s">
        <v>6829</v>
      </c>
      <c r="H202" s="22" t="s">
        <v>198</v>
      </c>
      <c r="I202" s="22" t="s">
        <v>8631</v>
      </c>
      <c r="J202" s="22" t="s">
        <v>10489</v>
      </c>
      <c r="K202" s="22" t="s">
        <v>10506</v>
      </c>
      <c r="L202" s="23" t="n">
        <v>45868</v>
      </c>
      <c r="M202" s="22" t="n">
        <f aca="false">COUNTIFS('Skip PDF Index'!$B$6:$B$11,D202,'Skip PDF Index'!$D$6:$D$11,C202,'Skip PDF Index'!$F$6:$F$11,I202)</f>
        <v>0</v>
      </c>
      <c r="N202" s="22" t="n">
        <f aca="false">COUNTIFS('Skip PDF Index'!$B$6:$B$11,D202,'Skip PDF Index'!$D$6:$D$11,C202,'Skip PDF Index'!$E$6:$E$11,G202,'Skip PDF Index'!$F$6:$F$11,I202)</f>
        <v>0</v>
      </c>
      <c r="O202" s="22" t="n">
        <f aca="false">COUNTIFS('Skip PDF Index'!$B$6:$B$11,D202,'Skip PDF Index'!$D$6:$D$11,C202,'Skip PDF Index'!$E$6:$E$11,G202,'Skip PDF Index'!$F$6:$F$11,I202,'Skip PDF Index'!$H$6:$H$11,"SUPPORTING RECORD")</f>
        <v>0</v>
      </c>
      <c r="P202" s="22" t="n">
        <f aca="false">COUNTIFS('Offer Events'!$A$2:$A$1487,B202,'Offer Events'!$B$2:$B$1487,C202,'Offer Events'!$C$2:$C$1487,D202,'Offer Events'!$E$2:$E$1487,G202,'Offer Events'!$L$2:$L$1487,"SKIPPED",'Offer Events'!$P$2:$P$1487,I202)</f>
        <v>1</v>
      </c>
      <c r="Q202" s="22" t="str">
        <f aca="false">IF(L202&lt;=C202,"Y","N")</f>
        <v>N</v>
      </c>
      <c r="R202" s="22" t="str">
        <f aca="false">IF(AND(O202&gt;0,P202&gt;0,Q202="Y"),"Y","N")</f>
        <v>N</v>
      </c>
      <c r="S202" s="22" t="str">
        <f aca="false">IF(P202=0,"Offer register missing/mismatch",IF(N202=0,IF(M202&gt;0,"PDF slip mismatch","No matching PDF"),IF(O202=0,"PDF lacks supporting record","Reconciled")))</f>
        <v>No matching PDF</v>
      </c>
      <c r="T202" s="22" t="str">
        <f aca="false">IF(R202="Y","Compliant",S202&amp;IF(Q202="N","; review after skip",""))</f>
        <v>No matching PDF; review after skip</v>
      </c>
      <c r="U202" s="22" t="str">
        <f aca="false">IF(R202="Y","",IF(AND(O202&gt;0,P202&gt;0,Q202="N"),"Priority 2","Priority 1"))</f>
        <v>Priority 1</v>
      </c>
    </row>
    <row r="203" customFormat="false" ht="15" hidden="false" customHeight="false" outlineLevel="0" collapsed="false">
      <c r="A203" s="22" t="s">
        <v>10798</v>
      </c>
      <c r="B203" s="22" t="s">
        <v>9991</v>
      </c>
      <c r="C203" s="23" t="n">
        <v>45844</v>
      </c>
      <c r="D203" s="22" t="s">
        <v>3293</v>
      </c>
      <c r="E203" s="22" t="str">
        <f aca="false">IFERROR(VLOOKUP(D203,'Applicant Lookup'!$A$2:$F$2911,2,FALSE()),"Not found")</f>
        <v>Ronald Simpson</v>
      </c>
      <c r="F203" s="22" t="n">
        <v>1298</v>
      </c>
      <c r="G203" s="22" t="s">
        <v>8330</v>
      </c>
      <c r="H203" s="22" t="s">
        <v>499</v>
      </c>
      <c r="I203" s="22" t="s">
        <v>8603</v>
      </c>
      <c r="J203" s="22" t="s">
        <v>10518</v>
      </c>
      <c r="K203" s="22" t="s">
        <v>10491</v>
      </c>
      <c r="L203" s="23" t="n">
        <v>45849</v>
      </c>
      <c r="M203" s="22" t="n">
        <f aca="false">COUNTIFS('Skip PDF Index'!$B$6:$B$11,D203,'Skip PDF Index'!$D$6:$D$11,C203,'Skip PDF Index'!$F$6:$F$11,I203)</f>
        <v>0</v>
      </c>
      <c r="N203" s="22" t="n">
        <f aca="false">COUNTIFS('Skip PDF Index'!$B$6:$B$11,D203,'Skip PDF Index'!$D$6:$D$11,C203,'Skip PDF Index'!$E$6:$E$11,G203,'Skip PDF Index'!$F$6:$F$11,I203)</f>
        <v>0</v>
      </c>
      <c r="O203" s="22" t="n">
        <f aca="false">COUNTIFS('Skip PDF Index'!$B$6:$B$11,D203,'Skip PDF Index'!$D$6:$D$11,C203,'Skip PDF Index'!$E$6:$E$11,G203,'Skip PDF Index'!$F$6:$F$11,I203,'Skip PDF Index'!$H$6:$H$11,"SUPPORTING RECORD")</f>
        <v>0</v>
      </c>
      <c r="P203" s="22" t="n">
        <f aca="false">COUNTIFS('Offer Events'!$A$2:$A$1487,B203,'Offer Events'!$B$2:$B$1487,C203,'Offer Events'!$C$2:$C$1487,D203,'Offer Events'!$E$2:$E$1487,G203,'Offer Events'!$L$2:$L$1487,"SKIPPED",'Offer Events'!$P$2:$P$1487,I203)</f>
        <v>1</v>
      </c>
      <c r="Q203" s="22" t="str">
        <f aca="false">IF(L203&lt;=C203,"Y","N")</f>
        <v>N</v>
      </c>
      <c r="R203" s="22" t="str">
        <f aca="false">IF(AND(O203&gt;0,P203&gt;0,Q203="Y"),"Y","N")</f>
        <v>N</v>
      </c>
      <c r="S203" s="22" t="str">
        <f aca="false">IF(P203=0,"Offer register missing/mismatch",IF(N203=0,IF(M203&gt;0,"PDF slip mismatch","No matching PDF"),IF(O203=0,"PDF lacks supporting record","Reconciled")))</f>
        <v>No matching PDF</v>
      </c>
      <c r="T203" s="22" t="str">
        <f aca="false">IF(R203="Y","Compliant",S203&amp;IF(Q203="N","; review after skip",""))</f>
        <v>No matching PDF; review after skip</v>
      </c>
      <c r="U203" s="22" t="str">
        <f aca="false">IF(R203="Y","",IF(AND(O203&gt;0,P203&gt;0,Q203="N"),"Priority 2","Priority 1"))</f>
        <v>Priority 1</v>
      </c>
    </row>
    <row r="204" customFormat="false" ht="15" hidden="false" customHeight="false" outlineLevel="0" collapsed="false">
      <c r="A204" s="22" t="s">
        <v>10799</v>
      </c>
      <c r="B204" s="22" t="s">
        <v>9999</v>
      </c>
      <c r="C204" s="23" t="n">
        <v>45850</v>
      </c>
      <c r="D204" s="22" t="s">
        <v>5772</v>
      </c>
      <c r="E204" s="22" t="str">
        <f aca="false">IFERROR(VLOOKUP(D204,'Applicant Lookup'!$A$2:$F$2911,2,FALSE()),"Not found")</f>
        <v>Tiffany Mcgrath</v>
      </c>
      <c r="F204" s="22" t="n">
        <v>2516</v>
      </c>
      <c r="G204" s="22" t="s">
        <v>7352</v>
      </c>
      <c r="H204" s="22" t="s">
        <v>159</v>
      </c>
      <c r="I204" s="22" t="s">
        <v>8637</v>
      </c>
      <c r="J204" s="22" t="s">
        <v>10489</v>
      </c>
      <c r="K204" s="22" t="s">
        <v>10501</v>
      </c>
      <c r="L204" s="23" t="n">
        <v>45852</v>
      </c>
      <c r="M204" s="22" t="n">
        <f aca="false">COUNTIFS('Skip PDF Index'!$B$6:$B$11,D204,'Skip PDF Index'!$D$6:$D$11,C204,'Skip PDF Index'!$F$6:$F$11,I204)</f>
        <v>0</v>
      </c>
      <c r="N204" s="22" t="n">
        <f aca="false">COUNTIFS('Skip PDF Index'!$B$6:$B$11,D204,'Skip PDF Index'!$D$6:$D$11,C204,'Skip PDF Index'!$E$6:$E$11,G204,'Skip PDF Index'!$F$6:$F$11,I204)</f>
        <v>0</v>
      </c>
      <c r="O204" s="22" t="n">
        <f aca="false">COUNTIFS('Skip PDF Index'!$B$6:$B$11,D204,'Skip PDF Index'!$D$6:$D$11,C204,'Skip PDF Index'!$E$6:$E$11,G204,'Skip PDF Index'!$F$6:$F$11,I204,'Skip PDF Index'!$H$6:$H$11,"SUPPORTING RECORD")</f>
        <v>0</v>
      </c>
      <c r="P204" s="22" t="n">
        <f aca="false">COUNTIFS('Offer Events'!$A$2:$A$1487,B204,'Offer Events'!$B$2:$B$1487,C204,'Offer Events'!$C$2:$C$1487,D204,'Offer Events'!$E$2:$E$1487,G204,'Offer Events'!$L$2:$L$1487,"SKIPPED",'Offer Events'!$P$2:$P$1487,I204)</f>
        <v>1</v>
      </c>
      <c r="Q204" s="22" t="str">
        <f aca="false">IF(L204&lt;=C204,"Y","N")</f>
        <v>N</v>
      </c>
      <c r="R204" s="22" t="str">
        <f aca="false">IF(AND(O204&gt;0,P204&gt;0,Q204="Y"),"Y","N")</f>
        <v>N</v>
      </c>
      <c r="S204" s="22" t="str">
        <f aca="false">IF(P204=0,"Offer register missing/mismatch",IF(N204=0,IF(M204&gt;0,"PDF slip mismatch","No matching PDF"),IF(O204=0,"PDF lacks supporting record","Reconciled")))</f>
        <v>No matching PDF</v>
      </c>
      <c r="T204" s="22" t="str">
        <f aca="false">IF(R204="Y","Compliant",S204&amp;IF(Q204="N","; review after skip",""))</f>
        <v>No matching PDF; review after skip</v>
      </c>
      <c r="U204" s="22" t="str">
        <f aca="false">IF(R204="Y","",IF(AND(O204&gt;0,P204&gt;0,Q204="N"),"Priority 2","Priority 1"))</f>
        <v>Priority 1</v>
      </c>
    </row>
    <row r="205" customFormat="false" ht="15" hidden="false" customHeight="false" outlineLevel="0" collapsed="false">
      <c r="A205" s="22" t="s">
        <v>10800</v>
      </c>
      <c r="B205" s="22" t="s">
        <v>10000</v>
      </c>
      <c r="C205" s="23" t="n">
        <v>45849</v>
      </c>
      <c r="D205" s="22" t="s">
        <v>5897</v>
      </c>
      <c r="E205" s="22" t="str">
        <f aca="false">IFERROR(VLOOKUP(D205,'Applicant Lookup'!$A$2:$F$2911,2,FALSE()),"Not found")</f>
        <v>Jeanne Greer</v>
      </c>
      <c r="F205" s="22" t="n">
        <v>2579</v>
      </c>
      <c r="G205" s="22" t="s">
        <v>7101</v>
      </c>
      <c r="H205" s="22" t="s">
        <v>198</v>
      </c>
      <c r="I205" s="22" t="s">
        <v>8631</v>
      </c>
      <c r="J205" s="22" t="s">
        <v>10489</v>
      </c>
      <c r="K205" s="22" t="s">
        <v>10513</v>
      </c>
      <c r="L205" s="23" t="n">
        <v>45851</v>
      </c>
      <c r="M205" s="22" t="n">
        <f aca="false">COUNTIFS('Skip PDF Index'!$B$6:$B$11,D205,'Skip PDF Index'!$D$6:$D$11,C205,'Skip PDF Index'!$F$6:$F$11,I205)</f>
        <v>0</v>
      </c>
      <c r="N205" s="22" t="n">
        <f aca="false">COUNTIFS('Skip PDF Index'!$B$6:$B$11,D205,'Skip PDF Index'!$D$6:$D$11,C205,'Skip PDF Index'!$E$6:$E$11,G205,'Skip PDF Index'!$F$6:$F$11,I205)</f>
        <v>0</v>
      </c>
      <c r="O205" s="22" t="n">
        <f aca="false">COUNTIFS('Skip PDF Index'!$B$6:$B$11,D205,'Skip PDF Index'!$D$6:$D$11,C205,'Skip PDF Index'!$E$6:$E$11,G205,'Skip PDF Index'!$F$6:$F$11,I205,'Skip PDF Index'!$H$6:$H$11,"SUPPORTING RECORD")</f>
        <v>0</v>
      </c>
      <c r="P205" s="22" t="n">
        <f aca="false">COUNTIFS('Offer Events'!$A$2:$A$1487,B205,'Offer Events'!$B$2:$B$1487,C205,'Offer Events'!$C$2:$C$1487,D205,'Offer Events'!$E$2:$E$1487,G205,'Offer Events'!$L$2:$L$1487,"SKIPPED",'Offer Events'!$P$2:$P$1487,I205)</f>
        <v>1</v>
      </c>
      <c r="Q205" s="22" t="str">
        <f aca="false">IF(L205&lt;=C205,"Y","N")</f>
        <v>N</v>
      </c>
      <c r="R205" s="22" t="str">
        <f aca="false">IF(AND(O205&gt;0,P205&gt;0,Q205="Y"),"Y","N")</f>
        <v>N</v>
      </c>
      <c r="S205" s="22" t="str">
        <f aca="false">IF(P205=0,"Offer register missing/mismatch",IF(N205=0,IF(M205&gt;0,"PDF slip mismatch","No matching PDF"),IF(O205=0,"PDF lacks supporting record","Reconciled")))</f>
        <v>No matching PDF</v>
      </c>
      <c r="T205" s="22" t="str">
        <f aca="false">IF(R205="Y","Compliant",S205&amp;IF(Q205="N","; review after skip",""))</f>
        <v>No matching PDF; review after skip</v>
      </c>
      <c r="U205" s="22" t="str">
        <f aca="false">IF(R205="Y","",IF(AND(O205&gt;0,P205&gt;0,Q205="N"),"Priority 2","Priority 1"))</f>
        <v>Priority 1</v>
      </c>
    </row>
    <row r="206" customFormat="false" ht="15" hidden="false" customHeight="false" outlineLevel="0" collapsed="false">
      <c r="A206" s="22" t="s">
        <v>10801</v>
      </c>
      <c r="B206" s="22" t="s">
        <v>10001</v>
      </c>
      <c r="C206" s="23" t="n">
        <v>45855</v>
      </c>
      <c r="D206" s="22" t="s">
        <v>5235</v>
      </c>
      <c r="E206" s="22" t="str">
        <f aca="false">IFERROR(VLOOKUP(D206,'Applicant Lookup'!$A$2:$F$2911,2,FALSE()),"Not found")</f>
        <v>Theresa Grant</v>
      </c>
      <c r="F206" s="22" t="n">
        <v>2248</v>
      </c>
      <c r="G206" s="22" t="s">
        <v>6974</v>
      </c>
      <c r="H206" s="22" t="s">
        <v>198</v>
      </c>
      <c r="I206" s="22" t="s">
        <v>8637</v>
      </c>
      <c r="J206" s="22" t="s">
        <v>10489</v>
      </c>
      <c r="K206" s="22" t="s">
        <v>10504</v>
      </c>
      <c r="L206" s="23" t="n">
        <v>45855</v>
      </c>
      <c r="M206" s="22" t="n">
        <f aca="false">COUNTIFS('Skip PDF Index'!$B$6:$B$11,D206,'Skip PDF Index'!$D$6:$D$11,C206,'Skip PDF Index'!$F$6:$F$11,I206)</f>
        <v>0</v>
      </c>
      <c r="N206" s="22" t="n">
        <f aca="false">COUNTIFS('Skip PDF Index'!$B$6:$B$11,D206,'Skip PDF Index'!$D$6:$D$11,C206,'Skip PDF Index'!$E$6:$E$11,G206,'Skip PDF Index'!$F$6:$F$11,I206)</f>
        <v>0</v>
      </c>
      <c r="O206" s="22" t="n">
        <f aca="false">COUNTIFS('Skip PDF Index'!$B$6:$B$11,D206,'Skip PDF Index'!$D$6:$D$11,C206,'Skip PDF Index'!$E$6:$E$11,G206,'Skip PDF Index'!$F$6:$F$11,I206,'Skip PDF Index'!$H$6:$H$11,"SUPPORTING RECORD")</f>
        <v>0</v>
      </c>
      <c r="P206" s="22" t="n">
        <f aca="false">COUNTIFS('Offer Events'!$A$2:$A$1487,B206,'Offer Events'!$B$2:$B$1487,C206,'Offer Events'!$C$2:$C$1487,D206,'Offer Events'!$E$2:$E$1487,G206,'Offer Events'!$L$2:$L$1487,"SKIPPED",'Offer Events'!$P$2:$P$1487,I206)</f>
        <v>1</v>
      </c>
      <c r="Q206" s="22" t="str">
        <f aca="false">IF(L206&lt;=C206,"Y","N")</f>
        <v>Y</v>
      </c>
      <c r="R206" s="22" t="str">
        <f aca="false">IF(AND(O206&gt;0,P206&gt;0,Q206="Y"),"Y","N")</f>
        <v>N</v>
      </c>
      <c r="S206" s="22" t="str">
        <f aca="false">IF(P206=0,"Offer register missing/mismatch",IF(N206=0,IF(M206&gt;0,"PDF slip mismatch","No matching PDF"),IF(O206=0,"PDF lacks supporting record","Reconciled")))</f>
        <v>No matching PDF</v>
      </c>
      <c r="T206" s="22" t="str">
        <f aca="false">IF(R206="Y","Compliant",S206&amp;IF(Q206="N","; review after skip",""))</f>
        <v>No matching PDF</v>
      </c>
      <c r="U206" s="22" t="str">
        <f aca="false">IF(R206="Y","",IF(AND(O206&gt;0,P206&gt;0,Q206="N"),"Priority 2","Priority 1"))</f>
        <v>Priority 1</v>
      </c>
    </row>
    <row r="207" customFormat="false" ht="15" hidden="false" customHeight="false" outlineLevel="0" collapsed="false">
      <c r="A207" s="22" t="s">
        <v>10802</v>
      </c>
      <c r="B207" s="22" t="s">
        <v>10002</v>
      </c>
      <c r="C207" s="23" t="n">
        <v>45860</v>
      </c>
      <c r="D207" s="22" t="s">
        <v>5792</v>
      </c>
      <c r="E207" s="22" t="str">
        <f aca="false">IFERROR(VLOOKUP(D207,'Applicant Lookup'!$A$2:$F$2911,2,FALSE()),"Not found")</f>
        <v>Michael West</v>
      </c>
      <c r="F207" s="22" t="n">
        <v>2526</v>
      </c>
      <c r="G207" s="22" t="s">
        <v>8339</v>
      </c>
      <c r="H207" s="22" t="s">
        <v>188</v>
      </c>
      <c r="I207" s="22" t="s">
        <v>8637</v>
      </c>
      <c r="J207" s="22" t="s">
        <v>10489</v>
      </c>
      <c r="K207" s="22" t="s">
        <v>10513</v>
      </c>
      <c r="L207" s="23" t="n">
        <v>45860</v>
      </c>
      <c r="M207" s="22" t="n">
        <f aca="false">COUNTIFS('Skip PDF Index'!$B$6:$B$11,D207,'Skip PDF Index'!$D$6:$D$11,C207,'Skip PDF Index'!$F$6:$F$11,I207)</f>
        <v>0</v>
      </c>
      <c r="N207" s="22" t="n">
        <f aca="false">COUNTIFS('Skip PDF Index'!$B$6:$B$11,D207,'Skip PDF Index'!$D$6:$D$11,C207,'Skip PDF Index'!$E$6:$E$11,G207,'Skip PDF Index'!$F$6:$F$11,I207)</f>
        <v>0</v>
      </c>
      <c r="O207" s="22" t="n">
        <f aca="false">COUNTIFS('Skip PDF Index'!$B$6:$B$11,D207,'Skip PDF Index'!$D$6:$D$11,C207,'Skip PDF Index'!$E$6:$E$11,G207,'Skip PDF Index'!$F$6:$F$11,I207,'Skip PDF Index'!$H$6:$H$11,"SUPPORTING RECORD")</f>
        <v>0</v>
      </c>
      <c r="P207" s="22" t="n">
        <f aca="false">COUNTIFS('Offer Events'!$A$2:$A$1487,B207,'Offer Events'!$B$2:$B$1487,C207,'Offer Events'!$C$2:$C$1487,D207,'Offer Events'!$E$2:$E$1487,G207,'Offer Events'!$L$2:$L$1487,"SKIPPED",'Offer Events'!$P$2:$P$1487,I207)</f>
        <v>1</v>
      </c>
      <c r="Q207" s="22" t="str">
        <f aca="false">IF(L207&lt;=C207,"Y","N")</f>
        <v>Y</v>
      </c>
      <c r="R207" s="22" t="str">
        <f aca="false">IF(AND(O207&gt;0,P207&gt;0,Q207="Y"),"Y","N")</f>
        <v>N</v>
      </c>
      <c r="S207" s="22" t="str">
        <f aca="false">IF(P207=0,"Offer register missing/mismatch",IF(N207=0,IF(M207&gt;0,"PDF slip mismatch","No matching PDF"),IF(O207=0,"PDF lacks supporting record","Reconciled")))</f>
        <v>No matching PDF</v>
      </c>
      <c r="T207" s="22" t="str">
        <f aca="false">IF(R207="Y","Compliant",S207&amp;IF(Q207="N","; review after skip",""))</f>
        <v>No matching PDF</v>
      </c>
      <c r="U207" s="22" t="str">
        <f aca="false">IF(R207="Y","",IF(AND(O207&gt;0,P207&gt;0,Q207="N"),"Priority 2","Priority 1"))</f>
        <v>Priority 1</v>
      </c>
    </row>
    <row r="208" customFormat="false" ht="15" hidden="false" customHeight="false" outlineLevel="0" collapsed="false">
      <c r="A208" s="22" t="s">
        <v>10803</v>
      </c>
      <c r="B208" s="22" t="s">
        <v>10005</v>
      </c>
      <c r="C208" s="23" t="n">
        <v>45866</v>
      </c>
      <c r="D208" s="22" t="s">
        <v>4922</v>
      </c>
      <c r="E208" s="22" t="str">
        <f aca="false">IFERROR(VLOOKUP(D208,'Applicant Lookup'!$A$2:$F$2911,2,FALSE()),"Not found")</f>
        <v>Christine Cook</v>
      </c>
      <c r="F208" s="22" t="n">
        <v>2094</v>
      </c>
      <c r="G208" s="22" t="s">
        <v>8037</v>
      </c>
      <c r="H208" s="22" t="s">
        <v>499</v>
      </c>
      <c r="I208" s="22" t="s">
        <v>8618</v>
      </c>
      <c r="J208" s="22" t="s">
        <v>10518</v>
      </c>
      <c r="K208" s="22" t="s">
        <v>10506</v>
      </c>
      <c r="L208" s="23" t="n">
        <v>45866</v>
      </c>
      <c r="M208" s="22" t="n">
        <f aca="false">COUNTIFS('Skip PDF Index'!$B$6:$B$11,D208,'Skip PDF Index'!$D$6:$D$11,C208,'Skip PDF Index'!$F$6:$F$11,I208)</f>
        <v>0</v>
      </c>
      <c r="N208" s="22" t="n">
        <f aca="false">COUNTIFS('Skip PDF Index'!$B$6:$B$11,D208,'Skip PDF Index'!$D$6:$D$11,C208,'Skip PDF Index'!$E$6:$E$11,G208,'Skip PDF Index'!$F$6:$F$11,I208)</f>
        <v>0</v>
      </c>
      <c r="O208" s="22" t="n">
        <f aca="false">COUNTIFS('Skip PDF Index'!$B$6:$B$11,D208,'Skip PDF Index'!$D$6:$D$11,C208,'Skip PDF Index'!$E$6:$E$11,G208,'Skip PDF Index'!$F$6:$F$11,I208,'Skip PDF Index'!$H$6:$H$11,"SUPPORTING RECORD")</f>
        <v>0</v>
      </c>
      <c r="P208" s="22" t="n">
        <f aca="false">COUNTIFS('Offer Events'!$A$2:$A$1487,B208,'Offer Events'!$B$2:$B$1487,C208,'Offer Events'!$C$2:$C$1487,D208,'Offer Events'!$E$2:$E$1487,G208,'Offer Events'!$L$2:$L$1487,"SKIPPED",'Offer Events'!$P$2:$P$1487,I208)</f>
        <v>1</v>
      </c>
      <c r="Q208" s="22" t="str">
        <f aca="false">IF(L208&lt;=C208,"Y","N")</f>
        <v>Y</v>
      </c>
      <c r="R208" s="22" t="str">
        <f aca="false">IF(AND(O208&gt;0,P208&gt;0,Q208="Y"),"Y","N")</f>
        <v>N</v>
      </c>
      <c r="S208" s="22" t="str">
        <f aca="false">IF(P208=0,"Offer register missing/mismatch",IF(N208=0,IF(M208&gt;0,"PDF slip mismatch","No matching PDF"),IF(O208=0,"PDF lacks supporting record","Reconciled")))</f>
        <v>No matching PDF</v>
      </c>
      <c r="T208" s="22" t="str">
        <f aca="false">IF(R208="Y","Compliant",S208&amp;IF(Q208="N","; review after skip",""))</f>
        <v>No matching PDF</v>
      </c>
      <c r="U208" s="22" t="str">
        <f aca="false">IF(R208="Y","",IF(AND(O208&gt;0,P208&gt;0,Q208="N"),"Priority 2","Priority 1"))</f>
        <v>Priority 1</v>
      </c>
    </row>
    <row r="209" customFormat="false" ht="15" hidden="false" customHeight="false" outlineLevel="0" collapsed="false">
      <c r="A209" s="22" t="s">
        <v>10804</v>
      </c>
      <c r="B209" s="22" t="s">
        <v>10012</v>
      </c>
      <c r="C209" s="23" t="n">
        <v>45895</v>
      </c>
      <c r="D209" s="22" t="s">
        <v>4269</v>
      </c>
      <c r="E209" s="22" t="str">
        <f aca="false">IFERROR(VLOOKUP(D209,'Applicant Lookup'!$A$2:$F$2911,2,FALSE()),"Not found")</f>
        <v>Benjamin Harris</v>
      </c>
      <c r="F209" s="22" t="n">
        <v>1774</v>
      </c>
      <c r="G209" s="22" t="s">
        <v>6673</v>
      </c>
      <c r="H209" s="22" t="s">
        <v>198</v>
      </c>
      <c r="I209" s="22" t="s">
        <v>8631</v>
      </c>
      <c r="J209" s="22" t="s">
        <v>10489</v>
      </c>
      <c r="K209" s="22" t="s">
        <v>10496</v>
      </c>
      <c r="L209" s="23" t="n">
        <v>45898</v>
      </c>
      <c r="M209" s="22" t="n">
        <f aca="false">COUNTIFS('Skip PDF Index'!$B$6:$B$11,D209,'Skip PDF Index'!$D$6:$D$11,C209,'Skip PDF Index'!$F$6:$F$11,I209)</f>
        <v>0</v>
      </c>
      <c r="N209" s="22" t="n">
        <f aca="false">COUNTIFS('Skip PDF Index'!$B$6:$B$11,D209,'Skip PDF Index'!$D$6:$D$11,C209,'Skip PDF Index'!$E$6:$E$11,G209,'Skip PDF Index'!$F$6:$F$11,I209)</f>
        <v>0</v>
      </c>
      <c r="O209" s="22" t="n">
        <f aca="false">COUNTIFS('Skip PDF Index'!$B$6:$B$11,D209,'Skip PDF Index'!$D$6:$D$11,C209,'Skip PDF Index'!$E$6:$E$11,G209,'Skip PDF Index'!$F$6:$F$11,I209,'Skip PDF Index'!$H$6:$H$11,"SUPPORTING RECORD")</f>
        <v>0</v>
      </c>
      <c r="P209" s="22" t="n">
        <f aca="false">COUNTIFS('Offer Events'!$A$2:$A$1487,B209,'Offer Events'!$B$2:$B$1487,C209,'Offer Events'!$C$2:$C$1487,D209,'Offer Events'!$E$2:$E$1487,G209,'Offer Events'!$L$2:$L$1487,"SKIPPED",'Offer Events'!$P$2:$P$1487,I209)</f>
        <v>1</v>
      </c>
      <c r="Q209" s="22" t="str">
        <f aca="false">IF(L209&lt;=C209,"Y","N")</f>
        <v>N</v>
      </c>
      <c r="R209" s="22" t="str">
        <f aca="false">IF(AND(O209&gt;0,P209&gt;0,Q209="Y"),"Y","N")</f>
        <v>N</v>
      </c>
      <c r="S209" s="22" t="str">
        <f aca="false">IF(P209=0,"Offer register missing/mismatch",IF(N209=0,IF(M209&gt;0,"PDF slip mismatch","No matching PDF"),IF(O209=0,"PDF lacks supporting record","Reconciled")))</f>
        <v>No matching PDF</v>
      </c>
      <c r="T209" s="22" t="str">
        <f aca="false">IF(R209="Y","Compliant",S209&amp;IF(Q209="N","; review after skip",""))</f>
        <v>No matching PDF; review after skip</v>
      </c>
      <c r="U209" s="22" t="str">
        <f aca="false">IF(R209="Y","",IF(AND(O209&gt;0,P209&gt;0,Q209="N"),"Priority 2","Priority 1"))</f>
        <v>Priority 1</v>
      </c>
    </row>
    <row r="210" customFormat="false" ht="15" hidden="false" customHeight="false" outlineLevel="0" collapsed="false">
      <c r="A210" s="22" t="s">
        <v>10805</v>
      </c>
      <c r="B210" s="22" t="s">
        <v>10014</v>
      </c>
      <c r="C210" s="23" t="n">
        <v>45895</v>
      </c>
      <c r="D210" s="22" t="s">
        <v>5361</v>
      </c>
      <c r="E210" s="22" t="str">
        <f aca="false">IFERROR(VLOOKUP(D210,'Applicant Lookup'!$A$2:$F$2911,2,FALSE()),"Not found")</f>
        <v>Shane Lee</v>
      </c>
      <c r="F210" s="22" t="n">
        <v>2311</v>
      </c>
      <c r="G210" s="22" t="s">
        <v>8054</v>
      </c>
      <c r="H210" s="22" t="s">
        <v>499</v>
      </c>
      <c r="I210" s="22" t="s">
        <v>8637</v>
      </c>
      <c r="J210" s="22" t="s">
        <v>10489</v>
      </c>
      <c r="K210" s="22" t="s">
        <v>10506</v>
      </c>
      <c r="L210" s="23" t="n">
        <v>45899</v>
      </c>
      <c r="M210" s="22" t="n">
        <f aca="false">COUNTIFS('Skip PDF Index'!$B$6:$B$11,D210,'Skip PDF Index'!$D$6:$D$11,C210,'Skip PDF Index'!$F$6:$F$11,I210)</f>
        <v>0</v>
      </c>
      <c r="N210" s="22" t="n">
        <f aca="false">COUNTIFS('Skip PDF Index'!$B$6:$B$11,D210,'Skip PDF Index'!$D$6:$D$11,C210,'Skip PDF Index'!$E$6:$E$11,G210,'Skip PDF Index'!$F$6:$F$11,I210)</f>
        <v>0</v>
      </c>
      <c r="O210" s="22" t="n">
        <f aca="false">COUNTIFS('Skip PDF Index'!$B$6:$B$11,D210,'Skip PDF Index'!$D$6:$D$11,C210,'Skip PDF Index'!$E$6:$E$11,G210,'Skip PDF Index'!$F$6:$F$11,I210,'Skip PDF Index'!$H$6:$H$11,"SUPPORTING RECORD")</f>
        <v>0</v>
      </c>
      <c r="P210" s="22" t="n">
        <f aca="false">COUNTIFS('Offer Events'!$A$2:$A$1487,B210,'Offer Events'!$B$2:$B$1487,C210,'Offer Events'!$C$2:$C$1487,D210,'Offer Events'!$E$2:$E$1487,G210,'Offer Events'!$L$2:$L$1487,"SKIPPED",'Offer Events'!$P$2:$P$1487,I210)</f>
        <v>1</v>
      </c>
      <c r="Q210" s="22" t="str">
        <f aca="false">IF(L210&lt;=C210,"Y","N")</f>
        <v>N</v>
      </c>
      <c r="R210" s="22" t="str">
        <f aca="false">IF(AND(O210&gt;0,P210&gt;0,Q210="Y"),"Y","N")</f>
        <v>N</v>
      </c>
      <c r="S210" s="22" t="str">
        <f aca="false">IF(P210=0,"Offer register missing/mismatch",IF(N210=0,IF(M210&gt;0,"PDF slip mismatch","No matching PDF"),IF(O210=0,"PDF lacks supporting record","Reconciled")))</f>
        <v>No matching PDF</v>
      </c>
      <c r="T210" s="22" t="str">
        <f aca="false">IF(R210="Y","Compliant",S210&amp;IF(Q210="N","; review after skip",""))</f>
        <v>No matching PDF; review after skip</v>
      </c>
      <c r="U210" s="22" t="str">
        <f aca="false">IF(R210="Y","",IF(AND(O210&gt;0,P210&gt;0,Q210="N"),"Priority 2","Priority 1"))</f>
        <v>Priority 1</v>
      </c>
    </row>
    <row r="211" customFormat="false" ht="15" hidden="false" customHeight="false" outlineLevel="0" collapsed="false">
      <c r="A211" s="22" t="s">
        <v>10806</v>
      </c>
      <c r="B211" s="22" t="s">
        <v>10017</v>
      </c>
      <c r="C211" s="23" t="n">
        <v>45887</v>
      </c>
      <c r="D211" s="22" t="s">
        <v>1586</v>
      </c>
      <c r="E211" s="22" t="str">
        <f aca="false">IFERROR(VLOOKUP(D211,'Applicant Lookup'!$A$2:$F$2911,2,FALSE()),"Not found")</f>
        <v>Jessica Johnson</v>
      </c>
      <c r="F211" s="22" t="n">
        <v>537</v>
      </c>
      <c r="G211" s="22" t="s">
        <v>8223</v>
      </c>
      <c r="H211" s="22" t="s">
        <v>499</v>
      </c>
      <c r="I211" s="22" t="s">
        <v>8603</v>
      </c>
      <c r="J211" s="22" t="s">
        <v>10489</v>
      </c>
      <c r="K211" s="22" t="s">
        <v>10504</v>
      </c>
      <c r="L211" s="23" t="n">
        <v>45891</v>
      </c>
      <c r="M211" s="22" t="n">
        <f aca="false">COUNTIFS('Skip PDF Index'!$B$6:$B$11,D211,'Skip PDF Index'!$D$6:$D$11,C211,'Skip PDF Index'!$F$6:$F$11,I211)</f>
        <v>0</v>
      </c>
      <c r="N211" s="22" t="n">
        <f aca="false">COUNTIFS('Skip PDF Index'!$B$6:$B$11,D211,'Skip PDF Index'!$D$6:$D$11,C211,'Skip PDF Index'!$E$6:$E$11,G211,'Skip PDF Index'!$F$6:$F$11,I211)</f>
        <v>0</v>
      </c>
      <c r="O211" s="22" t="n">
        <f aca="false">COUNTIFS('Skip PDF Index'!$B$6:$B$11,D211,'Skip PDF Index'!$D$6:$D$11,C211,'Skip PDF Index'!$E$6:$E$11,G211,'Skip PDF Index'!$F$6:$F$11,I211,'Skip PDF Index'!$H$6:$H$11,"SUPPORTING RECORD")</f>
        <v>0</v>
      </c>
      <c r="P211" s="22" t="n">
        <f aca="false">COUNTIFS('Offer Events'!$A$2:$A$1487,B211,'Offer Events'!$B$2:$B$1487,C211,'Offer Events'!$C$2:$C$1487,D211,'Offer Events'!$E$2:$E$1487,G211,'Offer Events'!$L$2:$L$1487,"SKIPPED",'Offer Events'!$P$2:$P$1487,I211)</f>
        <v>1</v>
      </c>
      <c r="Q211" s="22" t="str">
        <f aca="false">IF(L211&lt;=C211,"Y","N")</f>
        <v>N</v>
      </c>
      <c r="R211" s="22" t="str">
        <f aca="false">IF(AND(O211&gt;0,P211&gt;0,Q211="Y"),"Y","N")</f>
        <v>N</v>
      </c>
      <c r="S211" s="22" t="str">
        <f aca="false">IF(P211=0,"Offer register missing/mismatch",IF(N211=0,IF(M211&gt;0,"PDF slip mismatch","No matching PDF"),IF(O211=0,"PDF lacks supporting record","Reconciled")))</f>
        <v>No matching PDF</v>
      </c>
      <c r="T211" s="22" t="str">
        <f aca="false">IF(R211="Y","Compliant",S211&amp;IF(Q211="N","; review after skip",""))</f>
        <v>No matching PDF; review after skip</v>
      </c>
      <c r="U211" s="22" t="str">
        <f aca="false">IF(R211="Y","",IF(AND(O211&gt;0,P211&gt;0,Q211="N"),"Priority 2","Priority 1"))</f>
        <v>Priority 1</v>
      </c>
    </row>
    <row r="212" customFormat="false" ht="15" hidden="false" customHeight="false" outlineLevel="0" collapsed="false">
      <c r="A212" s="22" t="s">
        <v>10807</v>
      </c>
      <c r="B212" s="22" t="s">
        <v>10023</v>
      </c>
      <c r="C212" s="23" t="n">
        <v>45895</v>
      </c>
      <c r="D212" s="22" t="s">
        <v>2170</v>
      </c>
      <c r="E212" s="22" t="str">
        <f aca="false">IFERROR(VLOOKUP(D212,'Applicant Lookup'!$A$2:$F$2911,2,FALSE()),"Not found")</f>
        <v>James Austin</v>
      </c>
      <c r="F212" s="22" t="n">
        <v>788</v>
      </c>
      <c r="G212" s="22" t="s">
        <v>8107</v>
      </c>
      <c r="H212" s="22" t="s">
        <v>499</v>
      </c>
      <c r="I212" s="22" t="s">
        <v>8603</v>
      </c>
      <c r="J212" s="22" t="s">
        <v>10489</v>
      </c>
      <c r="K212" s="22" t="s">
        <v>10496</v>
      </c>
      <c r="L212" s="23" t="n">
        <v>45897</v>
      </c>
      <c r="M212" s="22" t="n">
        <f aca="false">COUNTIFS('Skip PDF Index'!$B$6:$B$11,D212,'Skip PDF Index'!$D$6:$D$11,C212,'Skip PDF Index'!$F$6:$F$11,I212)</f>
        <v>0</v>
      </c>
      <c r="N212" s="22" t="n">
        <f aca="false">COUNTIFS('Skip PDF Index'!$B$6:$B$11,D212,'Skip PDF Index'!$D$6:$D$11,C212,'Skip PDF Index'!$E$6:$E$11,G212,'Skip PDF Index'!$F$6:$F$11,I212)</f>
        <v>0</v>
      </c>
      <c r="O212" s="22" t="n">
        <f aca="false">COUNTIFS('Skip PDF Index'!$B$6:$B$11,D212,'Skip PDF Index'!$D$6:$D$11,C212,'Skip PDF Index'!$E$6:$E$11,G212,'Skip PDF Index'!$F$6:$F$11,I212,'Skip PDF Index'!$H$6:$H$11,"SUPPORTING RECORD")</f>
        <v>0</v>
      </c>
      <c r="P212" s="22" t="n">
        <f aca="false">COUNTIFS('Offer Events'!$A$2:$A$1487,B212,'Offer Events'!$B$2:$B$1487,C212,'Offer Events'!$C$2:$C$1487,D212,'Offer Events'!$E$2:$E$1487,G212,'Offer Events'!$L$2:$L$1487,"SKIPPED",'Offer Events'!$P$2:$P$1487,I212)</f>
        <v>1</v>
      </c>
      <c r="Q212" s="22" t="str">
        <f aca="false">IF(L212&lt;=C212,"Y","N")</f>
        <v>N</v>
      </c>
      <c r="R212" s="22" t="str">
        <f aca="false">IF(AND(O212&gt;0,P212&gt;0,Q212="Y"),"Y","N")</f>
        <v>N</v>
      </c>
      <c r="S212" s="22" t="str">
        <f aca="false">IF(P212=0,"Offer register missing/mismatch",IF(N212=0,IF(M212&gt;0,"PDF slip mismatch","No matching PDF"),IF(O212=0,"PDF lacks supporting record","Reconciled")))</f>
        <v>No matching PDF</v>
      </c>
      <c r="T212" s="22" t="str">
        <f aca="false">IF(R212="Y","Compliant",S212&amp;IF(Q212="N","; review after skip",""))</f>
        <v>No matching PDF; review after skip</v>
      </c>
      <c r="U212" s="22" t="str">
        <f aca="false">IF(R212="Y","",IF(AND(O212&gt;0,P212&gt;0,Q212="N"),"Priority 2","Priority 1"))</f>
        <v>Priority 1</v>
      </c>
    </row>
    <row r="213" customFormat="false" ht="15" hidden="false" customHeight="false" outlineLevel="0" collapsed="false">
      <c r="A213" s="22" t="s">
        <v>10808</v>
      </c>
      <c r="B213" s="22" t="s">
        <v>10029</v>
      </c>
      <c r="C213" s="23" t="n">
        <v>45891</v>
      </c>
      <c r="D213" s="22" t="s">
        <v>1978</v>
      </c>
      <c r="E213" s="22" t="str">
        <f aca="false">IFERROR(VLOOKUP(D213,'Applicant Lookup'!$A$2:$F$2911,2,FALSE()),"Not found")</f>
        <v>Larry Carr</v>
      </c>
      <c r="F213" s="22" t="n">
        <v>702</v>
      </c>
      <c r="G213" s="22" t="s">
        <v>7676</v>
      </c>
      <c r="H213" s="22" t="s">
        <v>159</v>
      </c>
      <c r="I213" s="22" t="s">
        <v>8603</v>
      </c>
      <c r="J213" s="22" t="s">
        <v>10489</v>
      </c>
      <c r="K213" s="22" t="s">
        <v>10504</v>
      </c>
      <c r="L213" s="23" t="n">
        <v>45896</v>
      </c>
      <c r="M213" s="22" t="n">
        <f aca="false">COUNTIFS('Skip PDF Index'!$B$6:$B$11,D213,'Skip PDF Index'!$D$6:$D$11,C213,'Skip PDF Index'!$F$6:$F$11,I213)</f>
        <v>0</v>
      </c>
      <c r="N213" s="22" t="n">
        <f aca="false">COUNTIFS('Skip PDF Index'!$B$6:$B$11,D213,'Skip PDF Index'!$D$6:$D$11,C213,'Skip PDF Index'!$E$6:$E$11,G213,'Skip PDF Index'!$F$6:$F$11,I213)</f>
        <v>0</v>
      </c>
      <c r="O213" s="22" t="n">
        <f aca="false">COUNTIFS('Skip PDF Index'!$B$6:$B$11,D213,'Skip PDF Index'!$D$6:$D$11,C213,'Skip PDF Index'!$E$6:$E$11,G213,'Skip PDF Index'!$F$6:$F$11,I213,'Skip PDF Index'!$H$6:$H$11,"SUPPORTING RECORD")</f>
        <v>0</v>
      </c>
      <c r="P213" s="22" t="n">
        <f aca="false">COUNTIFS('Offer Events'!$A$2:$A$1487,B213,'Offer Events'!$B$2:$B$1487,C213,'Offer Events'!$C$2:$C$1487,D213,'Offer Events'!$E$2:$E$1487,G213,'Offer Events'!$L$2:$L$1487,"SKIPPED",'Offer Events'!$P$2:$P$1487,I213)</f>
        <v>1</v>
      </c>
      <c r="Q213" s="22" t="str">
        <f aca="false">IF(L213&lt;=C213,"Y","N")</f>
        <v>N</v>
      </c>
      <c r="R213" s="22" t="str">
        <f aca="false">IF(AND(O213&gt;0,P213&gt;0,Q213="Y"),"Y","N")</f>
        <v>N</v>
      </c>
      <c r="S213" s="22" t="str">
        <f aca="false">IF(P213=0,"Offer register missing/mismatch",IF(N213=0,IF(M213&gt;0,"PDF slip mismatch","No matching PDF"),IF(O213=0,"PDF lacks supporting record","Reconciled")))</f>
        <v>No matching PDF</v>
      </c>
      <c r="T213" s="22" t="str">
        <f aca="false">IF(R213="Y","Compliant",S213&amp;IF(Q213="N","; review after skip",""))</f>
        <v>No matching PDF; review after skip</v>
      </c>
      <c r="U213" s="22" t="str">
        <f aca="false">IF(R213="Y","",IF(AND(O213&gt;0,P213&gt;0,Q213="N"),"Priority 2","Priority 1"))</f>
        <v>Priority 1</v>
      </c>
    </row>
    <row r="214" customFormat="false" ht="15" hidden="false" customHeight="false" outlineLevel="0" collapsed="false">
      <c r="A214" s="22" t="s">
        <v>10809</v>
      </c>
      <c r="B214" s="22" t="s">
        <v>10039</v>
      </c>
      <c r="C214" s="23" t="n">
        <v>45879</v>
      </c>
      <c r="D214" s="22" t="s">
        <v>3926</v>
      </c>
      <c r="E214" s="22" t="str">
        <f aca="false">IFERROR(VLOOKUP(D214,'Applicant Lookup'!$A$2:$F$2911,2,FALSE()),"Not found")</f>
        <v>Sean Charles</v>
      </c>
      <c r="F214" s="22" t="n">
        <v>1607</v>
      </c>
      <c r="G214" s="22" t="s">
        <v>7243</v>
      </c>
      <c r="H214" s="22" t="s">
        <v>198</v>
      </c>
      <c r="I214" s="22" t="s">
        <v>8603</v>
      </c>
      <c r="J214" s="22" t="s">
        <v>10489</v>
      </c>
      <c r="K214" s="22" t="s">
        <v>10516</v>
      </c>
      <c r="L214" s="23" t="n">
        <v>45882</v>
      </c>
      <c r="M214" s="22" t="n">
        <f aca="false">COUNTIFS('Skip PDF Index'!$B$6:$B$11,D214,'Skip PDF Index'!$D$6:$D$11,C214,'Skip PDF Index'!$F$6:$F$11,I214)</f>
        <v>0</v>
      </c>
      <c r="N214" s="22" t="n">
        <f aca="false">COUNTIFS('Skip PDF Index'!$B$6:$B$11,D214,'Skip PDF Index'!$D$6:$D$11,C214,'Skip PDF Index'!$E$6:$E$11,G214,'Skip PDF Index'!$F$6:$F$11,I214)</f>
        <v>0</v>
      </c>
      <c r="O214" s="22" t="n">
        <f aca="false">COUNTIFS('Skip PDF Index'!$B$6:$B$11,D214,'Skip PDF Index'!$D$6:$D$11,C214,'Skip PDF Index'!$E$6:$E$11,G214,'Skip PDF Index'!$F$6:$F$11,I214,'Skip PDF Index'!$H$6:$H$11,"SUPPORTING RECORD")</f>
        <v>0</v>
      </c>
      <c r="P214" s="22" t="n">
        <f aca="false">COUNTIFS('Offer Events'!$A$2:$A$1487,B214,'Offer Events'!$B$2:$B$1487,C214,'Offer Events'!$C$2:$C$1487,D214,'Offer Events'!$E$2:$E$1487,G214,'Offer Events'!$L$2:$L$1487,"SKIPPED",'Offer Events'!$P$2:$P$1487,I214)</f>
        <v>1</v>
      </c>
      <c r="Q214" s="22" t="str">
        <f aca="false">IF(L214&lt;=C214,"Y","N")</f>
        <v>N</v>
      </c>
      <c r="R214" s="22" t="str">
        <f aca="false">IF(AND(O214&gt;0,P214&gt;0,Q214="Y"),"Y","N")</f>
        <v>N</v>
      </c>
      <c r="S214" s="22" t="str">
        <f aca="false">IF(P214=0,"Offer register missing/mismatch",IF(N214=0,IF(M214&gt;0,"PDF slip mismatch","No matching PDF"),IF(O214=0,"PDF lacks supporting record","Reconciled")))</f>
        <v>No matching PDF</v>
      </c>
      <c r="T214" s="22" t="str">
        <f aca="false">IF(R214="Y","Compliant",S214&amp;IF(Q214="N","; review after skip",""))</f>
        <v>No matching PDF; review after skip</v>
      </c>
      <c r="U214" s="22" t="str">
        <f aca="false">IF(R214="Y","",IF(AND(O214&gt;0,P214&gt;0,Q214="N"),"Priority 2","Priority 1"))</f>
        <v>Priority 1</v>
      </c>
    </row>
    <row r="215" customFormat="false" ht="15" hidden="false" customHeight="false" outlineLevel="0" collapsed="false">
      <c r="A215" s="22" t="s">
        <v>10810</v>
      </c>
      <c r="B215" s="22" t="s">
        <v>10041</v>
      </c>
      <c r="C215" s="23" t="n">
        <v>45884</v>
      </c>
      <c r="D215" s="22" t="s">
        <v>5367</v>
      </c>
      <c r="E215" s="22" t="str">
        <f aca="false">IFERROR(VLOOKUP(D215,'Applicant Lookup'!$A$2:$F$2911,2,FALSE()),"Not found")</f>
        <v>Hannah Orozco</v>
      </c>
      <c r="F215" s="22" t="n">
        <v>2314</v>
      </c>
      <c r="G215" s="22" t="s">
        <v>6775</v>
      </c>
      <c r="H215" s="22" t="s">
        <v>198</v>
      </c>
      <c r="I215" s="22" t="s">
        <v>8637</v>
      </c>
      <c r="J215" s="22" t="s">
        <v>10489</v>
      </c>
      <c r="K215" s="22" t="s">
        <v>10504</v>
      </c>
      <c r="L215" s="23" t="n">
        <v>45884</v>
      </c>
      <c r="M215" s="22" t="n">
        <f aca="false">COUNTIFS('Skip PDF Index'!$B$6:$B$11,D215,'Skip PDF Index'!$D$6:$D$11,C215,'Skip PDF Index'!$F$6:$F$11,I215)</f>
        <v>0</v>
      </c>
      <c r="N215" s="22" t="n">
        <f aca="false">COUNTIFS('Skip PDF Index'!$B$6:$B$11,D215,'Skip PDF Index'!$D$6:$D$11,C215,'Skip PDF Index'!$E$6:$E$11,G215,'Skip PDF Index'!$F$6:$F$11,I215)</f>
        <v>0</v>
      </c>
      <c r="O215" s="22" t="n">
        <f aca="false">COUNTIFS('Skip PDF Index'!$B$6:$B$11,D215,'Skip PDF Index'!$D$6:$D$11,C215,'Skip PDF Index'!$E$6:$E$11,G215,'Skip PDF Index'!$F$6:$F$11,I215,'Skip PDF Index'!$H$6:$H$11,"SUPPORTING RECORD")</f>
        <v>0</v>
      </c>
      <c r="P215" s="22" t="n">
        <f aca="false">COUNTIFS('Offer Events'!$A$2:$A$1487,B215,'Offer Events'!$B$2:$B$1487,C215,'Offer Events'!$C$2:$C$1487,D215,'Offer Events'!$E$2:$E$1487,G215,'Offer Events'!$L$2:$L$1487,"SKIPPED",'Offer Events'!$P$2:$P$1487,I215)</f>
        <v>1</v>
      </c>
      <c r="Q215" s="22" t="str">
        <f aca="false">IF(L215&lt;=C215,"Y","N")</f>
        <v>Y</v>
      </c>
      <c r="R215" s="22" t="str">
        <f aca="false">IF(AND(O215&gt;0,P215&gt;0,Q215="Y"),"Y","N")</f>
        <v>N</v>
      </c>
      <c r="S215" s="22" t="str">
        <f aca="false">IF(P215=0,"Offer register missing/mismatch",IF(N215=0,IF(M215&gt;0,"PDF slip mismatch","No matching PDF"),IF(O215=0,"PDF lacks supporting record","Reconciled")))</f>
        <v>No matching PDF</v>
      </c>
      <c r="T215" s="22" t="str">
        <f aca="false">IF(R215="Y","Compliant",S215&amp;IF(Q215="N","; review after skip",""))</f>
        <v>No matching PDF</v>
      </c>
      <c r="U215" s="22" t="str">
        <f aca="false">IF(R215="Y","",IF(AND(O215&gt;0,P215&gt;0,Q215="N"),"Priority 2","Priority 1"))</f>
        <v>Priority 1</v>
      </c>
    </row>
    <row r="216" customFormat="false" ht="15" hidden="false" customHeight="false" outlineLevel="0" collapsed="false">
      <c r="A216" s="22" t="s">
        <v>10811</v>
      </c>
      <c r="B216" s="22" t="s">
        <v>10043</v>
      </c>
      <c r="C216" s="23" t="n">
        <v>45883</v>
      </c>
      <c r="D216" s="22" t="s">
        <v>5004</v>
      </c>
      <c r="E216" s="22" t="str">
        <f aca="false">IFERROR(VLOOKUP(D216,'Applicant Lookup'!$A$2:$F$2911,2,FALSE()),"Not found")</f>
        <v>Laurie Larson</v>
      </c>
      <c r="F216" s="22" t="n">
        <v>2134</v>
      </c>
      <c r="G216" s="22" t="s">
        <v>8512</v>
      </c>
      <c r="H216" s="22" t="s">
        <v>188</v>
      </c>
      <c r="I216" s="22" t="s">
        <v>8603</v>
      </c>
      <c r="J216" s="22" t="s">
        <v>10489</v>
      </c>
      <c r="K216" s="22" t="s">
        <v>10504</v>
      </c>
      <c r="L216" s="23" t="n">
        <v>45883</v>
      </c>
      <c r="M216" s="22" t="n">
        <f aca="false">COUNTIFS('Skip PDF Index'!$B$6:$B$11,D216,'Skip PDF Index'!$D$6:$D$11,C216,'Skip PDF Index'!$F$6:$F$11,I216)</f>
        <v>0</v>
      </c>
      <c r="N216" s="22" t="n">
        <f aca="false">COUNTIFS('Skip PDF Index'!$B$6:$B$11,D216,'Skip PDF Index'!$D$6:$D$11,C216,'Skip PDF Index'!$E$6:$E$11,G216,'Skip PDF Index'!$F$6:$F$11,I216)</f>
        <v>0</v>
      </c>
      <c r="O216" s="22" t="n">
        <f aca="false">COUNTIFS('Skip PDF Index'!$B$6:$B$11,D216,'Skip PDF Index'!$D$6:$D$11,C216,'Skip PDF Index'!$E$6:$E$11,G216,'Skip PDF Index'!$F$6:$F$11,I216,'Skip PDF Index'!$H$6:$H$11,"SUPPORTING RECORD")</f>
        <v>0</v>
      </c>
      <c r="P216" s="22" t="n">
        <f aca="false">COUNTIFS('Offer Events'!$A$2:$A$1487,B216,'Offer Events'!$B$2:$B$1487,C216,'Offer Events'!$C$2:$C$1487,D216,'Offer Events'!$E$2:$E$1487,G216,'Offer Events'!$L$2:$L$1487,"SKIPPED",'Offer Events'!$P$2:$P$1487,I216)</f>
        <v>1</v>
      </c>
      <c r="Q216" s="22" t="str">
        <f aca="false">IF(L216&lt;=C216,"Y","N")</f>
        <v>Y</v>
      </c>
      <c r="R216" s="22" t="str">
        <f aca="false">IF(AND(O216&gt;0,P216&gt;0,Q216="Y"),"Y","N")</f>
        <v>N</v>
      </c>
      <c r="S216" s="22" t="str">
        <f aca="false">IF(P216=0,"Offer register missing/mismatch",IF(N216=0,IF(M216&gt;0,"PDF slip mismatch","No matching PDF"),IF(O216=0,"PDF lacks supporting record","Reconciled")))</f>
        <v>No matching PDF</v>
      </c>
      <c r="T216" s="22" t="str">
        <f aca="false">IF(R216="Y","Compliant",S216&amp;IF(Q216="N","; review after skip",""))</f>
        <v>No matching PDF</v>
      </c>
      <c r="U216" s="22" t="str">
        <f aca="false">IF(R216="Y","",IF(AND(O216&gt;0,P216&gt;0,Q216="N"),"Priority 2","Priority 1"))</f>
        <v>Priority 1</v>
      </c>
    </row>
    <row r="217" customFormat="false" ht="15" hidden="false" customHeight="false" outlineLevel="0" collapsed="false">
      <c r="A217" s="22" t="s">
        <v>10812</v>
      </c>
      <c r="B217" s="22" t="s">
        <v>10046</v>
      </c>
      <c r="C217" s="23" t="n">
        <v>45877</v>
      </c>
      <c r="D217" s="22" t="s">
        <v>4550</v>
      </c>
      <c r="E217" s="22" t="str">
        <f aca="false">IFERROR(VLOOKUP(D217,'Applicant Lookup'!$A$2:$F$2911,2,FALSE()),"Not found")</f>
        <v>Alan Ortiz</v>
      </c>
      <c r="F217" s="22" t="n">
        <v>1912</v>
      </c>
      <c r="G217" s="22" t="s">
        <v>8447</v>
      </c>
      <c r="H217" s="22" t="s">
        <v>188</v>
      </c>
      <c r="I217" s="22" t="s">
        <v>8637</v>
      </c>
      <c r="J217" s="22" t="s">
        <v>10489</v>
      </c>
      <c r="K217" s="22" t="s">
        <v>10555</v>
      </c>
      <c r="L217" s="23" t="n">
        <v>45881</v>
      </c>
      <c r="M217" s="22" t="n">
        <f aca="false">COUNTIFS('Skip PDF Index'!$B$6:$B$11,D217,'Skip PDF Index'!$D$6:$D$11,C217,'Skip PDF Index'!$F$6:$F$11,I217)</f>
        <v>0</v>
      </c>
      <c r="N217" s="22" t="n">
        <f aca="false">COUNTIFS('Skip PDF Index'!$B$6:$B$11,D217,'Skip PDF Index'!$D$6:$D$11,C217,'Skip PDF Index'!$E$6:$E$11,G217,'Skip PDF Index'!$F$6:$F$11,I217)</f>
        <v>0</v>
      </c>
      <c r="O217" s="22" t="n">
        <f aca="false">COUNTIFS('Skip PDF Index'!$B$6:$B$11,D217,'Skip PDF Index'!$D$6:$D$11,C217,'Skip PDF Index'!$E$6:$E$11,G217,'Skip PDF Index'!$F$6:$F$11,I217,'Skip PDF Index'!$H$6:$H$11,"SUPPORTING RECORD")</f>
        <v>0</v>
      </c>
      <c r="P217" s="22" t="n">
        <f aca="false">COUNTIFS('Offer Events'!$A$2:$A$1487,B217,'Offer Events'!$B$2:$B$1487,C217,'Offer Events'!$C$2:$C$1487,D217,'Offer Events'!$E$2:$E$1487,G217,'Offer Events'!$L$2:$L$1487,"SKIPPED",'Offer Events'!$P$2:$P$1487,I217)</f>
        <v>1</v>
      </c>
      <c r="Q217" s="22" t="str">
        <f aca="false">IF(L217&lt;=C217,"Y","N")</f>
        <v>N</v>
      </c>
      <c r="R217" s="22" t="str">
        <f aca="false">IF(AND(O217&gt;0,P217&gt;0,Q217="Y"),"Y","N")</f>
        <v>N</v>
      </c>
      <c r="S217" s="22" t="str">
        <f aca="false">IF(P217=0,"Offer register missing/mismatch",IF(N217=0,IF(M217&gt;0,"PDF slip mismatch","No matching PDF"),IF(O217=0,"PDF lacks supporting record","Reconciled")))</f>
        <v>No matching PDF</v>
      </c>
      <c r="T217" s="22" t="str">
        <f aca="false">IF(R217="Y","Compliant",S217&amp;IF(Q217="N","; review after skip",""))</f>
        <v>No matching PDF; review after skip</v>
      </c>
      <c r="U217" s="22" t="str">
        <f aca="false">IF(R217="Y","",IF(AND(O217&gt;0,P217&gt;0,Q217="N"),"Priority 2","Priority 1"))</f>
        <v>Priority 1</v>
      </c>
    </row>
    <row r="218" customFormat="false" ht="15" hidden="false" customHeight="false" outlineLevel="0" collapsed="false">
      <c r="A218" s="22" t="s">
        <v>10813</v>
      </c>
      <c r="B218" s="22" t="s">
        <v>10053</v>
      </c>
      <c r="C218" s="23" t="n">
        <v>45874</v>
      </c>
      <c r="D218" s="22" t="s">
        <v>3345</v>
      </c>
      <c r="E218" s="22" t="str">
        <f aca="false">IFERROR(VLOOKUP(D218,'Applicant Lookup'!$A$2:$F$2911,2,FALSE()),"Not found")</f>
        <v>John Preston</v>
      </c>
      <c r="F218" s="22" t="n">
        <v>1323</v>
      </c>
      <c r="G218" s="22" t="s">
        <v>7723</v>
      </c>
      <c r="H218" s="22" t="s">
        <v>215</v>
      </c>
      <c r="I218" s="22" t="s">
        <v>8618</v>
      </c>
      <c r="J218" s="22" t="s">
        <v>10489</v>
      </c>
      <c r="K218" s="22" t="s">
        <v>10504</v>
      </c>
      <c r="L218" s="23" t="n">
        <v>45879</v>
      </c>
      <c r="M218" s="22" t="n">
        <f aca="false">COUNTIFS('Skip PDF Index'!$B$6:$B$11,D218,'Skip PDF Index'!$D$6:$D$11,C218,'Skip PDF Index'!$F$6:$F$11,I218)</f>
        <v>0</v>
      </c>
      <c r="N218" s="22" t="n">
        <f aca="false">COUNTIFS('Skip PDF Index'!$B$6:$B$11,D218,'Skip PDF Index'!$D$6:$D$11,C218,'Skip PDF Index'!$E$6:$E$11,G218,'Skip PDF Index'!$F$6:$F$11,I218)</f>
        <v>0</v>
      </c>
      <c r="O218" s="22" t="n">
        <f aca="false">COUNTIFS('Skip PDF Index'!$B$6:$B$11,D218,'Skip PDF Index'!$D$6:$D$11,C218,'Skip PDF Index'!$E$6:$E$11,G218,'Skip PDF Index'!$F$6:$F$11,I218,'Skip PDF Index'!$H$6:$H$11,"SUPPORTING RECORD")</f>
        <v>0</v>
      </c>
      <c r="P218" s="22" t="n">
        <f aca="false">COUNTIFS('Offer Events'!$A$2:$A$1487,B218,'Offer Events'!$B$2:$B$1487,C218,'Offer Events'!$C$2:$C$1487,D218,'Offer Events'!$E$2:$E$1487,G218,'Offer Events'!$L$2:$L$1487,"SKIPPED",'Offer Events'!$P$2:$P$1487,I218)</f>
        <v>1</v>
      </c>
      <c r="Q218" s="22" t="str">
        <f aca="false">IF(L218&lt;=C218,"Y","N")</f>
        <v>N</v>
      </c>
      <c r="R218" s="22" t="str">
        <f aca="false">IF(AND(O218&gt;0,P218&gt;0,Q218="Y"),"Y","N")</f>
        <v>N</v>
      </c>
      <c r="S218" s="22" t="str">
        <f aca="false">IF(P218=0,"Offer register missing/mismatch",IF(N218=0,IF(M218&gt;0,"PDF slip mismatch","No matching PDF"),IF(O218=0,"PDF lacks supporting record","Reconciled")))</f>
        <v>No matching PDF</v>
      </c>
      <c r="T218" s="22" t="str">
        <f aca="false">IF(R218="Y","Compliant",S218&amp;IF(Q218="N","; review after skip",""))</f>
        <v>No matching PDF; review after skip</v>
      </c>
      <c r="U218" s="22" t="str">
        <f aca="false">IF(R218="Y","",IF(AND(O218&gt;0,P218&gt;0,Q218="N"),"Priority 2","Priority 1"))</f>
        <v>Priority 1</v>
      </c>
    </row>
    <row r="219" customFormat="false" ht="15" hidden="false" customHeight="false" outlineLevel="0" collapsed="false">
      <c r="A219" s="22" t="s">
        <v>10814</v>
      </c>
      <c r="B219" s="22" t="s">
        <v>10054</v>
      </c>
      <c r="C219" s="23" t="n">
        <v>45872</v>
      </c>
      <c r="D219" s="22" t="s">
        <v>5702</v>
      </c>
      <c r="E219" s="22" t="str">
        <f aca="false">IFERROR(VLOOKUP(D219,'Applicant Lookup'!$A$2:$F$2911,2,FALSE()),"Not found")</f>
        <v>William Madden</v>
      </c>
      <c r="F219" s="22" t="n">
        <v>2481</v>
      </c>
      <c r="G219" s="22" t="s">
        <v>8299</v>
      </c>
      <c r="H219" s="22" t="s">
        <v>499</v>
      </c>
      <c r="I219" s="22" t="s">
        <v>8603</v>
      </c>
      <c r="J219" s="22" t="s">
        <v>10489</v>
      </c>
      <c r="K219" s="22" t="s">
        <v>10504</v>
      </c>
      <c r="L219" s="23" t="n">
        <v>45875</v>
      </c>
      <c r="M219" s="22" t="n">
        <f aca="false">COUNTIFS('Skip PDF Index'!$B$6:$B$11,D219,'Skip PDF Index'!$D$6:$D$11,C219,'Skip PDF Index'!$F$6:$F$11,I219)</f>
        <v>0</v>
      </c>
      <c r="N219" s="22" t="n">
        <f aca="false">COUNTIFS('Skip PDF Index'!$B$6:$B$11,D219,'Skip PDF Index'!$D$6:$D$11,C219,'Skip PDF Index'!$E$6:$E$11,G219,'Skip PDF Index'!$F$6:$F$11,I219)</f>
        <v>0</v>
      </c>
      <c r="O219" s="22" t="n">
        <f aca="false">COUNTIFS('Skip PDF Index'!$B$6:$B$11,D219,'Skip PDF Index'!$D$6:$D$11,C219,'Skip PDF Index'!$E$6:$E$11,G219,'Skip PDF Index'!$F$6:$F$11,I219,'Skip PDF Index'!$H$6:$H$11,"SUPPORTING RECORD")</f>
        <v>0</v>
      </c>
      <c r="P219" s="22" t="n">
        <f aca="false">COUNTIFS('Offer Events'!$A$2:$A$1487,B219,'Offer Events'!$B$2:$B$1487,C219,'Offer Events'!$C$2:$C$1487,D219,'Offer Events'!$E$2:$E$1487,G219,'Offer Events'!$L$2:$L$1487,"SKIPPED",'Offer Events'!$P$2:$P$1487,I219)</f>
        <v>1</v>
      </c>
      <c r="Q219" s="22" t="str">
        <f aca="false">IF(L219&lt;=C219,"Y","N")</f>
        <v>N</v>
      </c>
      <c r="R219" s="22" t="str">
        <f aca="false">IF(AND(O219&gt;0,P219&gt;0,Q219="Y"),"Y","N")</f>
        <v>N</v>
      </c>
      <c r="S219" s="22" t="str">
        <f aca="false">IF(P219=0,"Offer register missing/mismatch",IF(N219=0,IF(M219&gt;0,"PDF slip mismatch","No matching PDF"),IF(O219=0,"PDF lacks supporting record","Reconciled")))</f>
        <v>No matching PDF</v>
      </c>
      <c r="T219" s="22" t="str">
        <f aca="false">IF(R219="Y","Compliant",S219&amp;IF(Q219="N","; review after skip",""))</f>
        <v>No matching PDF; review after skip</v>
      </c>
      <c r="U219" s="22" t="str">
        <f aca="false">IF(R219="Y","",IF(AND(O219&gt;0,P219&gt;0,Q219="N"),"Priority 2","Priority 1"))</f>
        <v>Priority 1</v>
      </c>
    </row>
    <row r="220" customFormat="false" ht="15" hidden="false" customHeight="false" outlineLevel="0" collapsed="false">
      <c r="A220" s="22" t="s">
        <v>10815</v>
      </c>
      <c r="B220" s="22" t="s">
        <v>10057</v>
      </c>
      <c r="C220" s="23" t="n">
        <v>45897</v>
      </c>
      <c r="D220" s="22" t="s">
        <v>4400</v>
      </c>
      <c r="E220" s="22" t="str">
        <f aca="false">IFERROR(VLOOKUP(D220,'Applicant Lookup'!$A$2:$F$2911,2,FALSE()),"Not found")</f>
        <v>Kimberly Griffin</v>
      </c>
      <c r="F220" s="22" t="n">
        <v>1838</v>
      </c>
      <c r="G220" s="22" t="s">
        <v>6826</v>
      </c>
      <c r="H220" s="22" t="s">
        <v>198</v>
      </c>
      <c r="I220" s="22" t="s">
        <v>8631</v>
      </c>
      <c r="J220" s="22" t="s">
        <v>10518</v>
      </c>
      <c r="K220" s="22" t="s">
        <v>10504</v>
      </c>
      <c r="L220" s="23" t="n">
        <v>45898</v>
      </c>
      <c r="M220" s="22" t="n">
        <f aca="false">COUNTIFS('Skip PDF Index'!$B$6:$B$11,D220,'Skip PDF Index'!$D$6:$D$11,C220,'Skip PDF Index'!$F$6:$F$11,I220)</f>
        <v>0</v>
      </c>
      <c r="N220" s="22" t="n">
        <f aca="false">COUNTIFS('Skip PDF Index'!$B$6:$B$11,D220,'Skip PDF Index'!$D$6:$D$11,C220,'Skip PDF Index'!$E$6:$E$11,G220,'Skip PDF Index'!$F$6:$F$11,I220)</f>
        <v>0</v>
      </c>
      <c r="O220" s="22" t="n">
        <f aca="false">COUNTIFS('Skip PDF Index'!$B$6:$B$11,D220,'Skip PDF Index'!$D$6:$D$11,C220,'Skip PDF Index'!$E$6:$E$11,G220,'Skip PDF Index'!$F$6:$F$11,I220,'Skip PDF Index'!$H$6:$H$11,"SUPPORTING RECORD")</f>
        <v>0</v>
      </c>
      <c r="P220" s="22" t="n">
        <f aca="false">COUNTIFS('Offer Events'!$A$2:$A$1487,B220,'Offer Events'!$B$2:$B$1487,C220,'Offer Events'!$C$2:$C$1487,D220,'Offer Events'!$E$2:$E$1487,G220,'Offer Events'!$L$2:$L$1487,"SKIPPED",'Offer Events'!$P$2:$P$1487,I220)</f>
        <v>1</v>
      </c>
      <c r="Q220" s="22" t="str">
        <f aca="false">IF(L220&lt;=C220,"Y","N")</f>
        <v>N</v>
      </c>
      <c r="R220" s="22" t="str">
        <f aca="false">IF(AND(O220&gt;0,P220&gt;0,Q220="Y"),"Y","N")</f>
        <v>N</v>
      </c>
      <c r="S220" s="22" t="str">
        <f aca="false">IF(P220=0,"Offer register missing/mismatch",IF(N220=0,IF(M220&gt;0,"PDF slip mismatch","No matching PDF"),IF(O220=0,"PDF lacks supporting record","Reconciled")))</f>
        <v>No matching PDF</v>
      </c>
      <c r="T220" s="22" t="str">
        <f aca="false">IF(R220="Y","Compliant",S220&amp;IF(Q220="N","; review after skip",""))</f>
        <v>No matching PDF; review after skip</v>
      </c>
      <c r="U220" s="22" t="str">
        <f aca="false">IF(R220="Y","",IF(AND(O220&gt;0,P220&gt;0,Q220="N"),"Priority 2","Priority 1"))</f>
        <v>Priority 1</v>
      </c>
    </row>
    <row r="221" customFormat="false" ht="15" hidden="false" customHeight="false" outlineLevel="0" collapsed="false">
      <c r="A221" s="22" t="s">
        <v>10816</v>
      </c>
      <c r="B221" s="22" t="s">
        <v>10058</v>
      </c>
      <c r="C221" s="23" t="n">
        <v>45897</v>
      </c>
      <c r="D221" s="22" t="s">
        <v>1778</v>
      </c>
      <c r="E221" s="22" t="str">
        <f aca="false">IFERROR(VLOOKUP(D221,'Applicant Lookup'!$A$2:$F$2911,2,FALSE()),"Not found")</f>
        <v>James Ferguson</v>
      </c>
      <c r="F221" s="22" t="n">
        <v>617</v>
      </c>
      <c r="G221" s="22" t="s">
        <v>7603</v>
      </c>
      <c r="H221" s="22" t="s">
        <v>159</v>
      </c>
      <c r="I221" s="22" t="s">
        <v>8603</v>
      </c>
      <c r="J221" s="22" t="s">
        <v>10489</v>
      </c>
      <c r="K221" s="22" t="s">
        <v>10496</v>
      </c>
      <c r="L221" s="23" t="n">
        <v>45902</v>
      </c>
      <c r="M221" s="22" t="n">
        <f aca="false">COUNTIFS('Skip PDF Index'!$B$6:$B$11,D221,'Skip PDF Index'!$D$6:$D$11,C221,'Skip PDF Index'!$F$6:$F$11,I221)</f>
        <v>0</v>
      </c>
      <c r="N221" s="22" t="n">
        <f aca="false">COUNTIFS('Skip PDF Index'!$B$6:$B$11,D221,'Skip PDF Index'!$D$6:$D$11,C221,'Skip PDF Index'!$E$6:$E$11,G221,'Skip PDF Index'!$F$6:$F$11,I221)</f>
        <v>0</v>
      </c>
      <c r="O221" s="22" t="n">
        <f aca="false">COUNTIFS('Skip PDF Index'!$B$6:$B$11,D221,'Skip PDF Index'!$D$6:$D$11,C221,'Skip PDF Index'!$E$6:$E$11,G221,'Skip PDF Index'!$F$6:$F$11,I221,'Skip PDF Index'!$H$6:$H$11,"SUPPORTING RECORD")</f>
        <v>0</v>
      </c>
      <c r="P221" s="22" t="n">
        <f aca="false">COUNTIFS('Offer Events'!$A$2:$A$1487,B221,'Offer Events'!$B$2:$B$1487,C221,'Offer Events'!$C$2:$C$1487,D221,'Offer Events'!$E$2:$E$1487,G221,'Offer Events'!$L$2:$L$1487,"SKIPPED",'Offer Events'!$P$2:$P$1487,I221)</f>
        <v>1</v>
      </c>
      <c r="Q221" s="22" t="str">
        <f aca="false">IF(L221&lt;=C221,"Y","N")</f>
        <v>N</v>
      </c>
      <c r="R221" s="22" t="str">
        <f aca="false">IF(AND(O221&gt;0,P221&gt;0,Q221="Y"),"Y","N")</f>
        <v>N</v>
      </c>
      <c r="S221" s="22" t="str">
        <f aca="false">IF(P221=0,"Offer register missing/mismatch",IF(N221=0,IF(M221&gt;0,"PDF slip mismatch","No matching PDF"),IF(O221=0,"PDF lacks supporting record","Reconciled")))</f>
        <v>No matching PDF</v>
      </c>
      <c r="T221" s="22" t="str">
        <f aca="false">IF(R221="Y","Compliant",S221&amp;IF(Q221="N","; review after skip",""))</f>
        <v>No matching PDF; review after skip</v>
      </c>
      <c r="U221" s="22" t="str">
        <f aca="false">IF(R221="Y","",IF(AND(O221&gt;0,P221&gt;0,Q221="N"),"Priority 2","Priority 1"))</f>
        <v>Priority 1</v>
      </c>
    </row>
    <row r="222" customFormat="false" ht="15" hidden="false" customHeight="false" outlineLevel="0" collapsed="false">
      <c r="A222" s="22" t="s">
        <v>10817</v>
      </c>
      <c r="B222" s="22" t="s">
        <v>10063</v>
      </c>
      <c r="C222" s="23" t="n">
        <v>45888</v>
      </c>
      <c r="D222" s="22" t="s">
        <v>2295</v>
      </c>
      <c r="E222" s="22" t="str">
        <f aca="false">IFERROR(VLOOKUP(D222,'Applicant Lookup'!$A$2:$F$2911,2,FALSE()),"Not found")</f>
        <v>Donna Kim</v>
      </c>
      <c r="F222" s="22" t="n">
        <v>843</v>
      </c>
      <c r="G222" s="22" t="s">
        <v>8350</v>
      </c>
      <c r="H222" s="22" t="s">
        <v>188</v>
      </c>
      <c r="I222" s="22" t="s">
        <v>8637</v>
      </c>
      <c r="J222" s="22" t="s">
        <v>10489</v>
      </c>
      <c r="K222" s="22" t="s">
        <v>10555</v>
      </c>
      <c r="L222" s="23" t="n">
        <v>45892</v>
      </c>
      <c r="M222" s="22" t="n">
        <f aca="false">COUNTIFS('Skip PDF Index'!$B$6:$B$11,D222,'Skip PDF Index'!$D$6:$D$11,C222,'Skip PDF Index'!$F$6:$F$11,I222)</f>
        <v>0</v>
      </c>
      <c r="N222" s="22" t="n">
        <f aca="false">COUNTIFS('Skip PDF Index'!$B$6:$B$11,D222,'Skip PDF Index'!$D$6:$D$11,C222,'Skip PDF Index'!$E$6:$E$11,G222,'Skip PDF Index'!$F$6:$F$11,I222)</f>
        <v>0</v>
      </c>
      <c r="O222" s="22" t="n">
        <f aca="false">COUNTIFS('Skip PDF Index'!$B$6:$B$11,D222,'Skip PDF Index'!$D$6:$D$11,C222,'Skip PDF Index'!$E$6:$E$11,G222,'Skip PDF Index'!$F$6:$F$11,I222,'Skip PDF Index'!$H$6:$H$11,"SUPPORTING RECORD")</f>
        <v>0</v>
      </c>
      <c r="P222" s="22" t="n">
        <f aca="false">COUNTIFS('Offer Events'!$A$2:$A$1487,B222,'Offer Events'!$B$2:$B$1487,C222,'Offer Events'!$C$2:$C$1487,D222,'Offer Events'!$E$2:$E$1487,G222,'Offer Events'!$L$2:$L$1487,"SKIPPED",'Offer Events'!$P$2:$P$1487,I222)</f>
        <v>1</v>
      </c>
      <c r="Q222" s="22" t="str">
        <f aca="false">IF(L222&lt;=C222,"Y","N")</f>
        <v>N</v>
      </c>
      <c r="R222" s="22" t="str">
        <f aca="false">IF(AND(O222&gt;0,P222&gt;0,Q222="Y"),"Y","N")</f>
        <v>N</v>
      </c>
      <c r="S222" s="22" t="str">
        <f aca="false">IF(P222=0,"Offer register missing/mismatch",IF(N222=0,IF(M222&gt;0,"PDF slip mismatch","No matching PDF"),IF(O222=0,"PDF lacks supporting record","Reconciled")))</f>
        <v>No matching PDF</v>
      </c>
      <c r="T222" s="22" t="str">
        <f aca="false">IF(R222="Y","Compliant",S222&amp;IF(Q222="N","; review after skip",""))</f>
        <v>No matching PDF; review after skip</v>
      </c>
      <c r="U222" s="22" t="str">
        <f aca="false">IF(R222="Y","",IF(AND(O222&gt;0,P222&gt;0,Q222="N"),"Priority 2","Priority 1"))</f>
        <v>Priority 1</v>
      </c>
    </row>
    <row r="223" customFormat="false" ht="15" hidden="false" customHeight="false" outlineLevel="0" collapsed="false">
      <c r="A223" s="22" t="s">
        <v>10818</v>
      </c>
      <c r="B223" s="22" t="s">
        <v>10075</v>
      </c>
      <c r="C223" s="23" t="n">
        <v>45917</v>
      </c>
      <c r="D223" s="22" t="s">
        <v>2008</v>
      </c>
      <c r="E223" s="22" t="str">
        <f aca="false">IFERROR(VLOOKUP(D223,'Applicant Lookup'!$A$2:$F$2911,2,FALSE()),"Not found")</f>
        <v>Richard Snyder</v>
      </c>
      <c r="F223" s="22" t="n">
        <v>715</v>
      </c>
      <c r="G223" s="22" t="s">
        <v>8087</v>
      </c>
      <c r="H223" s="22" t="s">
        <v>499</v>
      </c>
      <c r="I223" s="22" t="s">
        <v>8603</v>
      </c>
      <c r="J223" s="22" t="s">
        <v>10489</v>
      </c>
      <c r="K223" s="22" t="s">
        <v>10491</v>
      </c>
      <c r="L223" s="23" t="n">
        <v>45922</v>
      </c>
      <c r="M223" s="22" t="n">
        <f aca="false">COUNTIFS('Skip PDF Index'!$B$6:$B$11,D223,'Skip PDF Index'!$D$6:$D$11,C223,'Skip PDF Index'!$F$6:$F$11,I223)</f>
        <v>0</v>
      </c>
      <c r="N223" s="22" t="n">
        <f aca="false">COUNTIFS('Skip PDF Index'!$B$6:$B$11,D223,'Skip PDF Index'!$D$6:$D$11,C223,'Skip PDF Index'!$E$6:$E$11,G223,'Skip PDF Index'!$F$6:$F$11,I223)</f>
        <v>0</v>
      </c>
      <c r="O223" s="22" t="n">
        <f aca="false">COUNTIFS('Skip PDF Index'!$B$6:$B$11,D223,'Skip PDF Index'!$D$6:$D$11,C223,'Skip PDF Index'!$E$6:$E$11,G223,'Skip PDF Index'!$F$6:$F$11,I223,'Skip PDF Index'!$H$6:$H$11,"SUPPORTING RECORD")</f>
        <v>0</v>
      </c>
      <c r="P223" s="22" t="n">
        <f aca="false">COUNTIFS('Offer Events'!$A$2:$A$1487,B223,'Offer Events'!$B$2:$B$1487,C223,'Offer Events'!$C$2:$C$1487,D223,'Offer Events'!$E$2:$E$1487,G223,'Offer Events'!$L$2:$L$1487,"SKIPPED",'Offer Events'!$P$2:$P$1487,I223)</f>
        <v>1</v>
      </c>
      <c r="Q223" s="22" t="str">
        <f aca="false">IF(L223&lt;=C223,"Y","N")</f>
        <v>N</v>
      </c>
      <c r="R223" s="22" t="str">
        <f aca="false">IF(AND(O223&gt;0,P223&gt;0,Q223="Y"),"Y","N")</f>
        <v>N</v>
      </c>
      <c r="S223" s="22" t="str">
        <f aca="false">IF(P223=0,"Offer register missing/mismatch",IF(N223=0,IF(M223&gt;0,"PDF slip mismatch","No matching PDF"),IF(O223=0,"PDF lacks supporting record","Reconciled")))</f>
        <v>No matching PDF</v>
      </c>
      <c r="T223" s="22" t="str">
        <f aca="false">IF(R223="Y","Compliant",S223&amp;IF(Q223="N","; review after skip",""))</f>
        <v>No matching PDF; review after skip</v>
      </c>
      <c r="U223" s="22" t="str">
        <f aca="false">IF(R223="Y","",IF(AND(O223&gt;0,P223&gt;0,Q223="N"),"Priority 2","Priority 1"))</f>
        <v>Priority 1</v>
      </c>
    </row>
    <row r="224" customFormat="false" ht="15" hidden="false" customHeight="false" outlineLevel="0" collapsed="false">
      <c r="A224" s="22" t="s">
        <v>10819</v>
      </c>
      <c r="B224" s="22" t="s">
        <v>10076</v>
      </c>
      <c r="C224" s="23" t="n">
        <v>45903</v>
      </c>
      <c r="D224" s="22" t="s">
        <v>1092</v>
      </c>
      <c r="E224" s="22" t="str">
        <f aca="false">IFERROR(VLOOKUP(D224,'Applicant Lookup'!$A$2:$F$2911,2,FALSE()),"Not found")</f>
        <v>Tammy Jones</v>
      </c>
      <c r="F224" s="22" t="n">
        <v>334</v>
      </c>
      <c r="G224" s="22" t="s">
        <v>6897</v>
      </c>
      <c r="H224" s="22" t="s">
        <v>198</v>
      </c>
      <c r="I224" s="22" t="s">
        <v>8618</v>
      </c>
      <c r="J224" s="22" t="s">
        <v>10489</v>
      </c>
      <c r="K224" s="22" t="s">
        <v>10513</v>
      </c>
      <c r="L224" s="23" t="n">
        <v>45908</v>
      </c>
      <c r="M224" s="22" t="n">
        <f aca="false">COUNTIFS('Skip PDF Index'!$B$6:$B$11,D224,'Skip PDF Index'!$D$6:$D$11,C224,'Skip PDF Index'!$F$6:$F$11,I224)</f>
        <v>0</v>
      </c>
      <c r="N224" s="22" t="n">
        <f aca="false">COUNTIFS('Skip PDF Index'!$B$6:$B$11,D224,'Skip PDF Index'!$D$6:$D$11,C224,'Skip PDF Index'!$E$6:$E$11,G224,'Skip PDF Index'!$F$6:$F$11,I224)</f>
        <v>0</v>
      </c>
      <c r="O224" s="22" t="n">
        <f aca="false">COUNTIFS('Skip PDF Index'!$B$6:$B$11,D224,'Skip PDF Index'!$D$6:$D$11,C224,'Skip PDF Index'!$E$6:$E$11,G224,'Skip PDF Index'!$F$6:$F$11,I224,'Skip PDF Index'!$H$6:$H$11,"SUPPORTING RECORD")</f>
        <v>0</v>
      </c>
      <c r="P224" s="22" t="n">
        <f aca="false">COUNTIFS('Offer Events'!$A$2:$A$1487,B224,'Offer Events'!$B$2:$B$1487,C224,'Offer Events'!$C$2:$C$1487,D224,'Offer Events'!$E$2:$E$1487,G224,'Offer Events'!$L$2:$L$1487,"SKIPPED",'Offer Events'!$P$2:$P$1487,I224)</f>
        <v>1</v>
      </c>
      <c r="Q224" s="22" t="str">
        <f aca="false">IF(L224&lt;=C224,"Y","N")</f>
        <v>N</v>
      </c>
      <c r="R224" s="22" t="str">
        <f aca="false">IF(AND(O224&gt;0,P224&gt;0,Q224="Y"),"Y","N")</f>
        <v>N</v>
      </c>
      <c r="S224" s="22" t="str">
        <f aca="false">IF(P224=0,"Offer register missing/mismatch",IF(N224=0,IF(M224&gt;0,"PDF slip mismatch","No matching PDF"),IF(O224=0,"PDF lacks supporting record","Reconciled")))</f>
        <v>No matching PDF</v>
      </c>
      <c r="T224" s="22" t="str">
        <f aca="false">IF(R224="Y","Compliant",S224&amp;IF(Q224="N","; review after skip",""))</f>
        <v>No matching PDF; review after skip</v>
      </c>
      <c r="U224" s="22" t="str">
        <f aca="false">IF(R224="Y","",IF(AND(O224&gt;0,P224&gt;0,Q224="N"),"Priority 2","Priority 1"))</f>
        <v>Priority 1</v>
      </c>
    </row>
    <row r="225" customFormat="false" ht="15" hidden="false" customHeight="false" outlineLevel="0" collapsed="false">
      <c r="A225" s="22" t="s">
        <v>10820</v>
      </c>
      <c r="B225" s="22" t="s">
        <v>10080</v>
      </c>
      <c r="C225" s="23" t="n">
        <v>45917</v>
      </c>
      <c r="D225" s="22" t="s">
        <v>3560</v>
      </c>
      <c r="E225" s="22" t="str">
        <f aca="false">IFERROR(VLOOKUP(D225,'Applicant Lookup'!$A$2:$F$2911,2,FALSE()),"Not found")</f>
        <v>David Henry</v>
      </c>
      <c r="F225" s="22" t="n">
        <v>1428</v>
      </c>
      <c r="G225" s="22" t="s">
        <v>8350</v>
      </c>
      <c r="H225" s="22" t="s">
        <v>188</v>
      </c>
      <c r="I225" s="22" t="s">
        <v>8603</v>
      </c>
      <c r="J225" s="22" t="s">
        <v>10489</v>
      </c>
      <c r="K225" s="22" t="s">
        <v>10511</v>
      </c>
      <c r="L225" s="23" t="n">
        <v>45919</v>
      </c>
      <c r="M225" s="22" t="n">
        <f aca="false">COUNTIFS('Skip PDF Index'!$B$6:$B$11,D225,'Skip PDF Index'!$D$6:$D$11,C225,'Skip PDF Index'!$F$6:$F$11,I225)</f>
        <v>0</v>
      </c>
      <c r="N225" s="22" t="n">
        <f aca="false">COUNTIFS('Skip PDF Index'!$B$6:$B$11,D225,'Skip PDF Index'!$D$6:$D$11,C225,'Skip PDF Index'!$E$6:$E$11,G225,'Skip PDF Index'!$F$6:$F$11,I225)</f>
        <v>0</v>
      </c>
      <c r="O225" s="22" t="n">
        <f aca="false">COUNTIFS('Skip PDF Index'!$B$6:$B$11,D225,'Skip PDF Index'!$D$6:$D$11,C225,'Skip PDF Index'!$E$6:$E$11,G225,'Skip PDF Index'!$F$6:$F$11,I225,'Skip PDF Index'!$H$6:$H$11,"SUPPORTING RECORD")</f>
        <v>0</v>
      </c>
      <c r="P225" s="22" t="n">
        <f aca="false">COUNTIFS('Offer Events'!$A$2:$A$1487,B225,'Offer Events'!$B$2:$B$1487,C225,'Offer Events'!$C$2:$C$1487,D225,'Offer Events'!$E$2:$E$1487,G225,'Offer Events'!$L$2:$L$1487,"SKIPPED",'Offer Events'!$P$2:$P$1487,I225)</f>
        <v>1</v>
      </c>
      <c r="Q225" s="22" t="str">
        <f aca="false">IF(L225&lt;=C225,"Y","N")</f>
        <v>N</v>
      </c>
      <c r="R225" s="22" t="str">
        <f aca="false">IF(AND(O225&gt;0,P225&gt;0,Q225="Y"),"Y","N")</f>
        <v>N</v>
      </c>
      <c r="S225" s="22" t="str">
        <f aca="false">IF(P225=0,"Offer register missing/mismatch",IF(N225=0,IF(M225&gt;0,"PDF slip mismatch","No matching PDF"),IF(O225=0,"PDF lacks supporting record","Reconciled")))</f>
        <v>No matching PDF</v>
      </c>
      <c r="T225" s="22" t="str">
        <f aca="false">IF(R225="Y","Compliant",S225&amp;IF(Q225="N","; review after skip",""))</f>
        <v>No matching PDF; review after skip</v>
      </c>
      <c r="U225" s="22" t="str">
        <f aca="false">IF(R225="Y","",IF(AND(O225&gt;0,P225&gt;0,Q225="N"),"Priority 2","Priority 1"))</f>
        <v>Priority 1</v>
      </c>
    </row>
    <row r="226" customFormat="false" ht="15" hidden="false" customHeight="false" outlineLevel="0" collapsed="false">
      <c r="A226" s="22" t="s">
        <v>10821</v>
      </c>
      <c r="B226" s="22" t="s">
        <v>10083</v>
      </c>
      <c r="C226" s="23" t="n">
        <v>45922</v>
      </c>
      <c r="D226" s="22" t="s">
        <v>6455</v>
      </c>
      <c r="E226" s="22" t="str">
        <f aca="false">IFERROR(VLOOKUP(D226,'Applicant Lookup'!$A$2:$F$2911,2,FALSE()),"Not found")</f>
        <v>Joseph Koch</v>
      </c>
      <c r="F226" s="22" t="n">
        <v>2861</v>
      </c>
      <c r="G226" s="22" t="s">
        <v>7338</v>
      </c>
      <c r="H226" s="22" t="s">
        <v>159</v>
      </c>
      <c r="I226" s="22" t="s">
        <v>8618</v>
      </c>
      <c r="J226" s="22" t="s">
        <v>10489</v>
      </c>
      <c r="K226" s="22" t="s">
        <v>10491</v>
      </c>
      <c r="L226" s="23" t="n">
        <v>45922</v>
      </c>
      <c r="M226" s="22" t="n">
        <f aca="false">COUNTIFS('Skip PDF Index'!$B$6:$B$11,D226,'Skip PDF Index'!$D$6:$D$11,C226,'Skip PDF Index'!$F$6:$F$11,I226)</f>
        <v>0</v>
      </c>
      <c r="N226" s="22" t="n">
        <f aca="false">COUNTIFS('Skip PDF Index'!$B$6:$B$11,D226,'Skip PDF Index'!$D$6:$D$11,C226,'Skip PDF Index'!$E$6:$E$11,G226,'Skip PDF Index'!$F$6:$F$11,I226)</f>
        <v>0</v>
      </c>
      <c r="O226" s="22" t="n">
        <f aca="false">COUNTIFS('Skip PDF Index'!$B$6:$B$11,D226,'Skip PDF Index'!$D$6:$D$11,C226,'Skip PDF Index'!$E$6:$E$11,G226,'Skip PDF Index'!$F$6:$F$11,I226,'Skip PDF Index'!$H$6:$H$11,"SUPPORTING RECORD")</f>
        <v>0</v>
      </c>
      <c r="P226" s="22" t="n">
        <f aca="false">COUNTIFS('Offer Events'!$A$2:$A$1487,B226,'Offer Events'!$B$2:$B$1487,C226,'Offer Events'!$C$2:$C$1487,D226,'Offer Events'!$E$2:$E$1487,G226,'Offer Events'!$L$2:$L$1487,"SKIPPED",'Offer Events'!$P$2:$P$1487,I226)</f>
        <v>1</v>
      </c>
      <c r="Q226" s="22" t="str">
        <f aca="false">IF(L226&lt;=C226,"Y","N")</f>
        <v>Y</v>
      </c>
      <c r="R226" s="22" t="str">
        <f aca="false">IF(AND(O226&gt;0,P226&gt;0,Q226="Y"),"Y","N")</f>
        <v>N</v>
      </c>
      <c r="S226" s="22" t="str">
        <f aca="false">IF(P226=0,"Offer register missing/mismatch",IF(N226=0,IF(M226&gt;0,"PDF slip mismatch","No matching PDF"),IF(O226=0,"PDF lacks supporting record","Reconciled")))</f>
        <v>No matching PDF</v>
      </c>
      <c r="T226" s="22" t="str">
        <f aca="false">IF(R226="Y","Compliant",S226&amp;IF(Q226="N","; review after skip",""))</f>
        <v>No matching PDF</v>
      </c>
      <c r="U226" s="22" t="str">
        <f aca="false">IF(R226="Y","",IF(AND(O226&gt;0,P226&gt;0,Q226="N"),"Priority 2","Priority 1"))</f>
        <v>Priority 1</v>
      </c>
    </row>
    <row r="227" customFormat="false" ht="15" hidden="false" customHeight="false" outlineLevel="0" collapsed="false">
      <c r="A227" s="22" t="s">
        <v>10822</v>
      </c>
      <c r="B227" s="22" t="s">
        <v>10084</v>
      </c>
      <c r="C227" s="23" t="n">
        <v>45920</v>
      </c>
      <c r="D227" s="22" t="s">
        <v>2977</v>
      </c>
      <c r="E227" s="22" t="str">
        <f aca="false">IFERROR(VLOOKUP(D227,'Applicant Lookup'!$A$2:$F$2911,2,FALSE()),"Not found")</f>
        <v>Amy Murray</v>
      </c>
      <c r="F227" s="22" t="n">
        <v>1153</v>
      </c>
      <c r="G227" s="22" t="s">
        <v>6615</v>
      </c>
      <c r="H227" s="22" t="s">
        <v>198</v>
      </c>
      <c r="I227" s="22" t="s">
        <v>8637</v>
      </c>
      <c r="J227" s="22" t="s">
        <v>10489</v>
      </c>
      <c r="K227" s="22" t="s">
        <v>10516</v>
      </c>
      <c r="L227" s="23" t="n">
        <v>45920</v>
      </c>
      <c r="M227" s="22" t="n">
        <f aca="false">COUNTIFS('Skip PDF Index'!$B$6:$B$11,D227,'Skip PDF Index'!$D$6:$D$11,C227,'Skip PDF Index'!$F$6:$F$11,I227)</f>
        <v>0</v>
      </c>
      <c r="N227" s="22" t="n">
        <f aca="false">COUNTIFS('Skip PDF Index'!$B$6:$B$11,D227,'Skip PDF Index'!$D$6:$D$11,C227,'Skip PDF Index'!$E$6:$E$11,G227,'Skip PDF Index'!$F$6:$F$11,I227)</f>
        <v>0</v>
      </c>
      <c r="O227" s="22" t="n">
        <f aca="false">COUNTIFS('Skip PDF Index'!$B$6:$B$11,D227,'Skip PDF Index'!$D$6:$D$11,C227,'Skip PDF Index'!$E$6:$E$11,G227,'Skip PDF Index'!$F$6:$F$11,I227,'Skip PDF Index'!$H$6:$H$11,"SUPPORTING RECORD")</f>
        <v>0</v>
      </c>
      <c r="P227" s="22" t="n">
        <f aca="false">COUNTIFS('Offer Events'!$A$2:$A$1487,B227,'Offer Events'!$B$2:$B$1487,C227,'Offer Events'!$C$2:$C$1487,D227,'Offer Events'!$E$2:$E$1487,G227,'Offer Events'!$L$2:$L$1487,"SKIPPED",'Offer Events'!$P$2:$P$1487,I227)</f>
        <v>1</v>
      </c>
      <c r="Q227" s="22" t="str">
        <f aca="false">IF(L227&lt;=C227,"Y","N")</f>
        <v>Y</v>
      </c>
      <c r="R227" s="22" t="str">
        <f aca="false">IF(AND(O227&gt;0,P227&gt;0,Q227="Y"),"Y","N")</f>
        <v>N</v>
      </c>
      <c r="S227" s="22" t="str">
        <f aca="false">IF(P227=0,"Offer register missing/mismatch",IF(N227=0,IF(M227&gt;0,"PDF slip mismatch","No matching PDF"),IF(O227=0,"PDF lacks supporting record","Reconciled")))</f>
        <v>No matching PDF</v>
      </c>
      <c r="T227" s="22" t="str">
        <f aca="false">IF(R227="Y","Compliant",S227&amp;IF(Q227="N","; review after skip",""))</f>
        <v>No matching PDF</v>
      </c>
      <c r="U227" s="22" t="str">
        <f aca="false">IF(R227="Y","",IF(AND(O227&gt;0,P227&gt;0,Q227="N"),"Priority 2","Priority 1"))</f>
        <v>Priority 1</v>
      </c>
    </row>
    <row r="228" customFormat="false" ht="15" hidden="false" customHeight="false" outlineLevel="0" collapsed="false">
      <c r="A228" s="22" t="s">
        <v>10823</v>
      </c>
      <c r="B228" s="22" t="s">
        <v>10094</v>
      </c>
      <c r="C228" s="23" t="n">
        <v>45923</v>
      </c>
      <c r="D228" s="22" t="s">
        <v>3597</v>
      </c>
      <c r="E228" s="22" t="str">
        <f aca="false">IFERROR(VLOOKUP(D228,'Applicant Lookup'!$A$2:$F$2911,2,FALSE()),"Not found")</f>
        <v>Marcus Yee</v>
      </c>
      <c r="F228" s="22" t="n">
        <v>1445</v>
      </c>
      <c r="G228" s="22" t="s">
        <v>8394</v>
      </c>
      <c r="H228" s="22" t="s">
        <v>188</v>
      </c>
      <c r="I228" s="22" t="s">
        <v>8603</v>
      </c>
      <c r="J228" s="22" t="s">
        <v>10489</v>
      </c>
      <c r="K228" s="22" t="s">
        <v>10501</v>
      </c>
      <c r="L228" s="23" t="n">
        <v>45924</v>
      </c>
      <c r="M228" s="22" t="n">
        <f aca="false">COUNTIFS('Skip PDF Index'!$B$6:$B$11,D228,'Skip PDF Index'!$D$6:$D$11,C228,'Skip PDF Index'!$F$6:$F$11,I228)</f>
        <v>0</v>
      </c>
      <c r="N228" s="22" t="n">
        <f aca="false">COUNTIFS('Skip PDF Index'!$B$6:$B$11,D228,'Skip PDF Index'!$D$6:$D$11,C228,'Skip PDF Index'!$E$6:$E$11,G228,'Skip PDF Index'!$F$6:$F$11,I228)</f>
        <v>0</v>
      </c>
      <c r="O228" s="22" t="n">
        <f aca="false">COUNTIFS('Skip PDF Index'!$B$6:$B$11,D228,'Skip PDF Index'!$D$6:$D$11,C228,'Skip PDF Index'!$E$6:$E$11,G228,'Skip PDF Index'!$F$6:$F$11,I228,'Skip PDF Index'!$H$6:$H$11,"SUPPORTING RECORD")</f>
        <v>0</v>
      </c>
      <c r="P228" s="22" t="n">
        <f aca="false">COUNTIFS('Offer Events'!$A$2:$A$1487,B228,'Offer Events'!$B$2:$B$1487,C228,'Offer Events'!$C$2:$C$1487,D228,'Offer Events'!$E$2:$E$1487,G228,'Offer Events'!$L$2:$L$1487,"SKIPPED",'Offer Events'!$P$2:$P$1487,I228)</f>
        <v>1</v>
      </c>
      <c r="Q228" s="22" t="str">
        <f aca="false">IF(L228&lt;=C228,"Y","N")</f>
        <v>N</v>
      </c>
      <c r="R228" s="22" t="str">
        <f aca="false">IF(AND(O228&gt;0,P228&gt;0,Q228="Y"),"Y","N")</f>
        <v>N</v>
      </c>
      <c r="S228" s="22" t="str">
        <f aca="false">IF(P228=0,"Offer register missing/mismatch",IF(N228=0,IF(M228&gt;0,"PDF slip mismatch","No matching PDF"),IF(O228=0,"PDF lacks supporting record","Reconciled")))</f>
        <v>No matching PDF</v>
      </c>
      <c r="T228" s="22" t="str">
        <f aca="false">IF(R228="Y","Compliant",S228&amp;IF(Q228="N","; review after skip",""))</f>
        <v>No matching PDF; review after skip</v>
      </c>
      <c r="U228" s="22" t="str">
        <f aca="false">IF(R228="Y","",IF(AND(O228&gt;0,P228&gt;0,Q228="N"),"Priority 2","Priority 1"))</f>
        <v>Priority 1</v>
      </c>
    </row>
    <row r="229" customFormat="false" ht="15" hidden="false" customHeight="false" outlineLevel="0" collapsed="false">
      <c r="A229" s="22" t="s">
        <v>10824</v>
      </c>
      <c r="B229" s="22" t="s">
        <v>10096</v>
      </c>
      <c r="C229" s="23" t="n">
        <v>45919</v>
      </c>
      <c r="D229" s="22" t="s">
        <v>4506</v>
      </c>
      <c r="E229" s="22" t="str">
        <f aca="false">IFERROR(VLOOKUP(D229,'Applicant Lookup'!$A$2:$F$2911,2,FALSE()),"Not found")</f>
        <v>Crystal Morales</v>
      </c>
      <c r="F229" s="22" t="n">
        <v>1890</v>
      </c>
      <c r="G229" s="22" t="s">
        <v>7921</v>
      </c>
      <c r="H229" s="22" t="s">
        <v>215</v>
      </c>
      <c r="I229" s="22" t="s">
        <v>8618</v>
      </c>
      <c r="J229" s="22" t="s">
        <v>10489</v>
      </c>
      <c r="K229" s="22" t="s">
        <v>10491</v>
      </c>
      <c r="L229" s="23" t="n">
        <v>45922</v>
      </c>
      <c r="M229" s="22" t="n">
        <f aca="false">COUNTIFS('Skip PDF Index'!$B$6:$B$11,D229,'Skip PDF Index'!$D$6:$D$11,C229,'Skip PDF Index'!$F$6:$F$11,I229)</f>
        <v>0</v>
      </c>
      <c r="N229" s="22" t="n">
        <f aca="false">COUNTIFS('Skip PDF Index'!$B$6:$B$11,D229,'Skip PDF Index'!$D$6:$D$11,C229,'Skip PDF Index'!$E$6:$E$11,G229,'Skip PDF Index'!$F$6:$F$11,I229)</f>
        <v>0</v>
      </c>
      <c r="O229" s="22" t="n">
        <f aca="false">COUNTIFS('Skip PDF Index'!$B$6:$B$11,D229,'Skip PDF Index'!$D$6:$D$11,C229,'Skip PDF Index'!$E$6:$E$11,G229,'Skip PDF Index'!$F$6:$F$11,I229,'Skip PDF Index'!$H$6:$H$11,"SUPPORTING RECORD")</f>
        <v>0</v>
      </c>
      <c r="P229" s="22" t="n">
        <f aca="false">COUNTIFS('Offer Events'!$A$2:$A$1487,B229,'Offer Events'!$B$2:$B$1487,C229,'Offer Events'!$C$2:$C$1487,D229,'Offer Events'!$E$2:$E$1487,G229,'Offer Events'!$L$2:$L$1487,"SKIPPED",'Offer Events'!$P$2:$P$1487,I229)</f>
        <v>1</v>
      </c>
      <c r="Q229" s="22" t="str">
        <f aca="false">IF(L229&lt;=C229,"Y","N")</f>
        <v>N</v>
      </c>
      <c r="R229" s="22" t="str">
        <f aca="false">IF(AND(O229&gt;0,P229&gt;0,Q229="Y"),"Y","N")</f>
        <v>N</v>
      </c>
      <c r="S229" s="22" t="str">
        <f aca="false">IF(P229=0,"Offer register missing/mismatch",IF(N229=0,IF(M229&gt;0,"PDF slip mismatch","No matching PDF"),IF(O229=0,"PDF lacks supporting record","Reconciled")))</f>
        <v>No matching PDF</v>
      </c>
      <c r="T229" s="22" t="str">
        <f aca="false">IF(R229="Y","Compliant",S229&amp;IF(Q229="N","; review after skip",""))</f>
        <v>No matching PDF; review after skip</v>
      </c>
      <c r="U229" s="22" t="str">
        <f aca="false">IF(R229="Y","",IF(AND(O229&gt;0,P229&gt;0,Q229="N"),"Priority 2","Priority 1"))</f>
        <v>Priority 1</v>
      </c>
    </row>
    <row r="230" customFormat="false" ht="15" hidden="false" customHeight="false" outlineLevel="0" collapsed="false">
      <c r="A230" s="22" t="s">
        <v>10825</v>
      </c>
      <c r="B230" s="22" t="s">
        <v>10099</v>
      </c>
      <c r="C230" s="23" t="n">
        <v>45920</v>
      </c>
      <c r="D230" s="22" t="s">
        <v>2446</v>
      </c>
      <c r="E230" s="22" t="str">
        <f aca="false">IFERROR(VLOOKUP(D230,'Applicant Lookup'!$A$2:$F$2911,2,FALSE()),"Not found")</f>
        <v>Nicole Thompson</v>
      </c>
      <c r="F230" s="22" t="n">
        <v>913</v>
      </c>
      <c r="G230" s="22" t="s">
        <v>7957</v>
      </c>
      <c r="H230" s="22" t="s">
        <v>215</v>
      </c>
      <c r="I230" s="22" t="s">
        <v>8637</v>
      </c>
      <c r="J230" s="22" t="s">
        <v>10489</v>
      </c>
      <c r="K230" s="22" t="s">
        <v>10555</v>
      </c>
      <c r="L230" s="23" t="n">
        <v>45920</v>
      </c>
      <c r="M230" s="22" t="n">
        <f aca="false">COUNTIFS('Skip PDF Index'!$B$6:$B$11,D230,'Skip PDF Index'!$D$6:$D$11,C230,'Skip PDF Index'!$F$6:$F$11,I230)</f>
        <v>0</v>
      </c>
      <c r="N230" s="22" t="n">
        <f aca="false">COUNTIFS('Skip PDF Index'!$B$6:$B$11,D230,'Skip PDF Index'!$D$6:$D$11,C230,'Skip PDF Index'!$E$6:$E$11,G230,'Skip PDF Index'!$F$6:$F$11,I230)</f>
        <v>0</v>
      </c>
      <c r="O230" s="22" t="n">
        <f aca="false">COUNTIFS('Skip PDF Index'!$B$6:$B$11,D230,'Skip PDF Index'!$D$6:$D$11,C230,'Skip PDF Index'!$E$6:$E$11,G230,'Skip PDF Index'!$F$6:$F$11,I230,'Skip PDF Index'!$H$6:$H$11,"SUPPORTING RECORD")</f>
        <v>0</v>
      </c>
      <c r="P230" s="22" t="n">
        <f aca="false">COUNTIFS('Offer Events'!$A$2:$A$1487,B230,'Offer Events'!$B$2:$B$1487,C230,'Offer Events'!$C$2:$C$1487,D230,'Offer Events'!$E$2:$E$1487,G230,'Offer Events'!$L$2:$L$1487,"SKIPPED",'Offer Events'!$P$2:$P$1487,I230)</f>
        <v>1</v>
      </c>
      <c r="Q230" s="22" t="str">
        <f aca="false">IF(L230&lt;=C230,"Y","N")</f>
        <v>Y</v>
      </c>
      <c r="R230" s="22" t="str">
        <f aca="false">IF(AND(O230&gt;0,P230&gt;0,Q230="Y"),"Y","N")</f>
        <v>N</v>
      </c>
      <c r="S230" s="22" t="str">
        <f aca="false">IF(P230=0,"Offer register missing/mismatch",IF(N230=0,IF(M230&gt;0,"PDF slip mismatch","No matching PDF"),IF(O230=0,"PDF lacks supporting record","Reconciled")))</f>
        <v>No matching PDF</v>
      </c>
      <c r="T230" s="22" t="str">
        <f aca="false">IF(R230="Y","Compliant",S230&amp;IF(Q230="N","; review after skip",""))</f>
        <v>No matching PDF</v>
      </c>
      <c r="U230" s="22" t="str">
        <f aca="false">IF(R230="Y","",IF(AND(O230&gt;0,P230&gt;0,Q230="N"),"Priority 2","Priority 1"))</f>
        <v>Priority 1</v>
      </c>
    </row>
    <row r="231" customFormat="false" ht="15" hidden="false" customHeight="false" outlineLevel="0" collapsed="false">
      <c r="A231" s="22" t="s">
        <v>10826</v>
      </c>
      <c r="B231" s="22" t="s">
        <v>10102</v>
      </c>
      <c r="C231" s="23" t="n">
        <v>45909</v>
      </c>
      <c r="D231" s="22" t="s">
        <v>3010</v>
      </c>
      <c r="E231" s="22" t="str">
        <f aca="false">IFERROR(VLOOKUP(D231,'Applicant Lookup'!$A$2:$F$2911,2,FALSE()),"Not found")</f>
        <v>Jonathan Anderson</v>
      </c>
      <c r="F231" s="22" t="n">
        <v>1167</v>
      </c>
      <c r="G231" s="22" t="s">
        <v>7382</v>
      </c>
      <c r="H231" s="22" t="s">
        <v>159</v>
      </c>
      <c r="I231" s="22" t="s">
        <v>8603</v>
      </c>
      <c r="J231" s="22" t="s">
        <v>10489</v>
      </c>
      <c r="K231" s="22" t="s">
        <v>10501</v>
      </c>
      <c r="L231" s="23" t="n">
        <v>45911</v>
      </c>
      <c r="M231" s="22" t="n">
        <f aca="false">COUNTIFS('Skip PDF Index'!$B$6:$B$11,D231,'Skip PDF Index'!$D$6:$D$11,C231,'Skip PDF Index'!$F$6:$F$11,I231)</f>
        <v>0</v>
      </c>
      <c r="N231" s="22" t="n">
        <f aca="false">COUNTIFS('Skip PDF Index'!$B$6:$B$11,D231,'Skip PDF Index'!$D$6:$D$11,C231,'Skip PDF Index'!$E$6:$E$11,G231,'Skip PDF Index'!$F$6:$F$11,I231)</f>
        <v>0</v>
      </c>
      <c r="O231" s="22" t="n">
        <f aca="false">COUNTIFS('Skip PDF Index'!$B$6:$B$11,D231,'Skip PDF Index'!$D$6:$D$11,C231,'Skip PDF Index'!$E$6:$E$11,G231,'Skip PDF Index'!$F$6:$F$11,I231,'Skip PDF Index'!$H$6:$H$11,"SUPPORTING RECORD")</f>
        <v>0</v>
      </c>
      <c r="P231" s="22" t="n">
        <f aca="false">COUNTIFS('Offer Events'!$A$2:$A$1487,B231,'Offer Events'!$B$2:$B$1487,C231,'Offer Events'!$C$2:$C$1487,D231,'Offer Events'!$E$2:$E$1487,G231,'Offer Events'!$L$2:$L$1487,"SKIPPED",'Offer Events'!$P$2:$P$1487,I231)</f>
        <v>1</v>
      </c>
      <c r="Q231" s="22" t="str">
        <f aca="false">IF(L231&lt;=C231,"Y","N")</f>
        <v>N</v>
      </c>
      <c r="R231" s="22" t="str">
        <f aca="false">IF(AND(O231&gt;0,P231&gt;0,Q231="Y"),"Y","N")</f>
        <v>N</v>
      </c>
      <c r="S231" s="22" t="str">
        <f aca="false">IF(P231=0,"Offer register missing/mismatch",IF(N231=0,IF(M231&gt;0,"PDF slip mismatch","No matching PDF"),IF(O231=0,"PDF lacks supporting record","Reconciled")))</f>
        <v>No matching PDF</v>
      </c>
      <c r="T231" s="22" t="str">
        <f aca="false">IF(R231="Y","Compliant",S231&amp;IF(Q231="N","; review after skip",""))</f>
        <v>No matching PDF; review after skip</v>
      </c>
      <c r="U231" s="22" t="str">
        <f aca="false">IF(R231="Y","",IF(AND(O231&gt;0,P231&gt;0,Q231="N"),"Priority 2","Priority 1"))</f>
        <v>Priority 1</v>
      </c>
    </row>
    <row r="232" customFormat="false" ht="15" hidden="false" customHeight="false" outlineLevel="0" collapsed="false">
      <c r="A232" s="22" t="s">
        <v>10827</v>
      </c>
      <c r="B232" s="22" t="s">
        <v>10109</v>
      </c>
      <c r="C232" s="23" t="n">
        <v>45911</v>
      </c>
      <c r="D232" s="22" t="s">
        <v>6463</v>
      </c>
      <c r="E232" s="22" t="str">
        <f aca="false">IFERROR(VLOOKUP(D232,'Applicant Lookup'!$A$2:$F$2911,2,FALSE()),"Not found")</f>
        <v>William Moran</v>
      </c>
      <c r="F232" s="22" t="n">
        <v>2865</v>
      </c>
      <c r="G232" s="22" t="s">
        <v>8345</v>
      </c>
      <c r="H232" s="22" t="s">
        <v>188</v>
      </c>
      <c r="I232" s="22" t="s">
        <v>8631</v>
      </c>
      <c r="J232" s="22" t="s">
        <v>10489</v>
      </c>
      <c r="K232" s="22" t="s">
        <v>10501</v>
      </c>
      <c r="L232" s="23" t="n">
        <v>45915</v>
      </c>
      <c r="M232" s="22" t="n">
        <f aca="false">COUNTIFS('Skip PDF Index'!$B$6:$B$11,D232,'Skip PDF Index'!$D$6:$D$11,C232,'Skip PDF Index'!$F$6:$F$11,I232)</f>
        <v>0</v>
      </c>
      <c r="N232" s="22" t="n">
        <f aca="false">COUNTIFS('Skip PDF Index'!$B$6:$B$11,D232,'Skip PDF Index'!$D$6:$D$11,C232,'Skip PDF Index'!$E$6:$E$11,G232,'Skip PDF Index'!$F$6:$F$11,I232)</f>
        <v>0</v>
      </c>
      <c r="O232" s="22" t="n">
        <f aca="false">COUNTIFS('Skip PDF Index'!$B$6:$B$11,D232,'Skip PDF Index'!$D$6:$D$11,C232,'Skip PDF Index'!$E$6:$E$11,G232,'Skip PDF Index'!$F$6:$F$11,I232,'Skip PDF Index'!$H$6:$H$11,"SUPPORTING RECORD")</f>
        <v>0</v>
      </c>
      <c r="P232" s="22" t="n">
        <f aca="false">COUNTIFS('Offer Events'!$A$2:$A$1487,B232,'Offer Events'!$B$2:$B$1487,C232,'Offer Events'!$C$2:$C$1487,D232,'Offer Events'!$E$2:$E$1487,G232,'Offer Events'!$L$2:$L$1487,"SKIPPED",'Offer Events'!$P$2:$P$1487,I232)</f>
        <v>1</v>
      </c>
      <c r="Q232" s="22" t="str">
        <f aca="false">IF(L232&lt;=C232,"Y","N")</f>
        <v>N</v>
      </c>
      <c r="R232" s="22" t="str">
        <f aca="false">IF(AND(O232&gt;0,P232&gt;0,Q232="Y"),"Y","N")</f>
        <v>N</v>
      </c>
      <c r="S232" s="22" t="str">
        <f aca="false">IF(P232=0,"Offer register missing/mismatch",IF(N232=0,IF(M232&gt;0,"PDF slip mismatch","No matching PDF"),IF(O232=0,"PDF lacks supporting record","Reconciled")))</f>
        <v>No matching PDF</v>
      </c>
      <c r="T232" s="22" t="str">
        <f aca="false">IF(R232="Y","Compliant",S232&amp;IF(Q232="N","; review after skip",""))</f>
        <v>No matching PDF; review after skip</v>
      </c>
      <c r="U232" s="22" t="str">
        <f aca="false">IF(R232="Y","",IF(AND(O232&gt;0,P232&gt;0,Q232="N"),"Priority 2","Priority 1"))</f>
        <v>Priority 1</v>
      </c>
    </row>
    <row r="233" customFormat="false" ht="15" hidden="false" customHeight="false" outlineLevel="0" collapsed="false">
      <c r="A233" s="22" t="s">
        <v>10828</v>
      </c>
      <c r="B233" s="22" t="s">
        <v>10110</v>
      </c>
      <c r="C233" s="23" t="n">
        <v>45905</v>
      </c>
      <c r="D233" s="22" t="s">
        <v>2644</v>
      </c>
      <c r="E233" s="22" t="str">
        <f aca="false">IFERROR(VLOOKUP(D233,'Applicant Lookup'!$A$2:$F$2911,2,FALSE()),"Not found")</f>
        <v>Andrew Turner</v>
      </c>
      <c r="F233" s="22" t="n">
        <v>1002</v>
      </c>
      <c r="G233" s="22" t="s">
        <v>7117</v>
      </c>
      <c r="H233" s="22" t="s">
        <v>198</v>
      </c>
      <c r="I233" s="22" t="s">
        <v>8618</v>
      </c>
      <c r="J233" s="22" t="s">
        <v>10489</v>
      </c>
      <c r="K233" s="22" t="s">
        <v>10501</v>
      </c>
      <c r="L233" s="23" t="n">
        <v>45909</v>
      </c>
      <c r="M233" s="22" t="n">
        <f aca="false">COUNTIFS('Skip PDF Index'!$B$6:$B$11,D233,'Skip PDF Index'!$D$6:$D$11,C233,'Skip PDF Index'!$F$6:$F$11,I233)</f>
        <v>0</v>
      </c>
      <c r="N233" s="22" t="n">
        <f aca="false">COUNTIFS('Skip PDF Index'!$B$6:$B$11,D233,'Skip PDF Index'!$D$6:$D$11,C233,'Skip PDF Index'!$E$6:$E$11,G233,'Skip PDF Index'!$F$6:$F$11,I233)</f>
        <v>0</v>
      </c>
      <c r="O233" s="22" t="n">
        <f aca="false">COUNTIFS('Skip PDF Index'!$B$6:$B$11,D233,'Skip PDF Index'!$D$6:$D$11,C233,'Skip PDF Index'!$E$6:$E$11,G233,'Skip PDF Index'!$F$6:$F$11,I233,'Skip PDF Index'!$H$6:$H$11,"SUPPORTING RECORD")</f>
        <v>0</v>
      </c>
      <c r="P233" s="22" t="n">
        <f aca="false">COUNTIFS('Offer Events'!$A$2:$A$1487,B233,'Offer Events'!$B$2:$B$1487,C233,'Offer Events'!$C$2:$C$1487,D233,'Offer Events'!$E$2:$E$1487,G233,'Offer Events'!$L$2:$L$1487,"SKIPPED",'Offer Events'!$P$2:$P$1487,I233)</f>
        <v>1</v>
      </c>
      <c r="Q233" s="22" t="str">
        <f aca="false">IF(L233&lt;=C233,"Y","N")</f>
        <v>N</v>
      </c>
      <c r="R233" s="22" t="str">
        <f aca="false">IF(AND(O233&gt;0,P233&gt;0,Q233="Y"),"Y","N")</f>
        <v>N</v>
      </c>
      <c r="S233" s="22" t="str">
        <f aca="false">IF(P233=0,"Offer register missing/mismatch",IF(N233=0,IF(M233&gt;0,"PDF slip mismatch","No matching PDF"),IF(O233=0,"PDF lacks supporting record","Reconciled")))</f>
        <v>No matching PDF</v>
      </c>
      <c r="T233" s="22" t="str">
        <f aca="false">IF(R233="Y","Compliant",S233&amp;IF(Q233="N","; review after skip",""))</f>
        <v>No matching PDF; review after skip</v>
      </c>
      <c r="U233" s="22" t="str">
        <f aca="false">IF(R233="Y","",IF(AND(O233&gt;0,P233&gt;0,Q233="N"),"Priority 2","Priority 1"))</f>
        <v>Priority 1</v>
      </c>
    </row>
    <row r="234" customFormat="false" ht="15" hidden="false" customHeight="false" outlineLevel="0" collapsed="false">
      <c r="A234" s="22" t="s">
        <v>10829</v>
      </c>
      <c r="B234" s="22" t="s">
        <v>10114</v>
      </c>
      <c r="C234" s="23" t="n">
        <v>45956</v>
      </c>
      <c r="D234" s="22" t="s">
        <v>3262</v>
      </c>
      <c r="E234" s="22" t="str">
        <f aca="false">IFERROR(VLOOKUP(D234,'Applicant Lookup'!$A$2:$F$2911,2,FALSE()),"Not found")</f>
        <v>Tonya Ruiz</v>
      </c>
      <c r="F234" s="22" t="n">
        <v>1284</v>
      </c>
      <c r="G234" s="22" t="s">
        <v>8540</v>
      </c>
      <c r="H234" s="22" t="s">
        <v>188</v>
      </c>
      <c r="I234" s="22" t="s">
        <v>8603</v>
      </c>
      <c r="J234" s="22" t="s">
        <v>10489</v>
      </c>
      <c r="K234" s="22" t="s">
        <v>10516</v>
      </c>
      <c r="L234" s="23" t="n">
        <v>45959</v>
      </c>
      <c r="M234" s="22" t="n">
        <f aca="false">COUNTIFS('Skip PDF Index'!$B$6:$B$11,D234,'Skip PDF Index'!$D$6:$D$11,C234,'Skip PDF Index'!$F$6:$F$11,I234)</f>
        <v>0</v>
      </c>
      <c r="N234" s="22" t="n">
        <f aca="false">COUNTIFS('Skip PDF Index'!$B$6:$B$11,D234,'Skip PDF Index'!$D$6:$D$11,C234,'Skip PDF Index'!$E$6:$E$11,G234,'Skip PDF Index'!$F$6:$F$11,I234)</f>
        <v>0</v>
      </c>
      <c r="O234" s="22" t="n">
        <f aca="false">COUNTIFS('Skip PDF Index'!$B$6:$B$11,D234,'Skip PDF Index'!$D$6:$D$11,C234,'Skip PDF Index'!$E$6:$E$11,G234,'Skip PDF Index'!$F$6:$F$11,I234,'Skip PDF Index'!$H$6:$H$11,"SUPPORTING RECORD")</f>
        <v>0</v>
      </c>
      <c r="P234" s="22" t="n">
        <f aca="false">COUNTIFS('Offer Events'!$A$2:$A$1487,B234,'Offer Events'!$B$2:$B$1487,C234,'Offer Events'!$C$2:$C$1487,D234,'Offer Events'!$E$2:$E$1487,G234,'Offer Events'!$L$2:$L$1487,"SKIPPED",'Offer Events'!$P$2:$P$1487,I234)</f>
        <v>1</v>
      </c>
      <c r="Q234" s="22" t="str">
        <f aca="false">IF(L234&lt;=C234,"Y","N")</f>
        <v>N</v>
      </c>
      <c r="R234" s="22" t="str">
        <f aca="false">IF(AND(O234&gt;0,P234&gt;0,Q234="Y"),"Y","N")</f>
        <v>N</v>
      </c>
      <c r="S234" s="22" t="str">
        <f aca="false">IF(P234=0,"Offer register missing/mismatch",IF(N234=0,IF(M234&gt;0,"PDF slip mismatch","No matching PDF"),IF(O234=0,"PDF lacks supporting record","Reconciled")))</f>
        <v>No matching PDF</v>
      </c>
      <c r="T234" s="22" t="str">
        <f aca="false">IF(R234="Y","Compliant",S234&amp;IF(Q234="N","; review after skip",""))</f>
        <v>No matching PDF; review after skip</v>
      </c>
      <c r="U234" s="22" t="str">
        <f aca="false">IF(R234="Y","",IF(AND(O234&gt;0,P234&gt;0,Q234="N"),"Priority 2","Priority 1"))</f>
        <v>Priority 1</v>
      </c>
    </row>
    <row r="235" customFormat="false" ht="15" hidden="false" customHeight="false" outlineLevel="0" collapsed="false">
      <c r="A235" s="22" t="s">
        <v>10830</v>
      </c>
      <c r="B235" s="22" t="s">
        <v>10117</v>
      </c>
      <c r="C235" s="23" t="n">
        <v>45958</v>
      </c>
      <c r="D235" s="22" t="s">
        <v>3054</v>
      </c>
      <c r="E235" s="22" t="str">
        <f aca="false">IFERROR(VLOOKUP(D235,'Applicant Lookup'!$A$2:$F$2911,2,FALSE()),"Not found")</f>
        <v>Leonard Gordon</v>
      </c>
      <c r="F235" s="22" t="n">
        <v>1187</v>
      </c>
      <c r="G235" s="22" t="s">
        <v>8546</v>
      </c>
      <c r="H235" s="22" t="s">
        <v>188</v>
      </c>
      <c r="I235" s="22" t="s">
        <v>8603</v>
      </c>
      <c r="J235" s="22" t="s">
        <v>10489</v>
      </c>
      <c r="K235" s="22" t="s">
        <v>10504</v>
      </c>
      <c r="L235" s="23" t="n">
        <v>45961</v>
      </c>
      <c r="M235" s="22" t="n">
        <f aca="false">COUNTIFS('Skip PDF Index'!$B$6:$B$11,D235,'Skip PDF Index'!$D$6:$D$11,C235,'Skip PDF Index'!$F$6:$F$11,I235)</f>
        <v>0</v>
      </c>
      <c r="N235" s="22" t="n">
        <f aca="false">COUNTIFS('Skip PDF Index'!$B$6:$B$11,D235,'Skip PDF Index'!$D$6:$D$11,C235,'Skip PDF Index'!$E$6:$E$11,G235,'Skip PDF Index'!$F$6:$F$11,I235)</f>
        <v>0</v>
      </c>
      <c r="O235" s="22" t="n">
        <f aca="false">COUNTIFS('Skip PDF Index'!$B$6:$B$11,D235,'Skip PDF Index'!$D$6:$D$11,C235,'Skip PDF Index'!$E$6:$E$11,G235,'Skip PDF Index'!$F$6:$F$11,I235,'Skip PDF Index'!$H$6:$H$11,"SUPPORTING RECORD")</f>
        <v>0</v>
      </c>
      <c r="P235" s="22" t="n">
        <f aca="false">COUNTIFS('Offer Events'!$A$2:$A$1487,B235,'Offer Events'!$B$2:$B$1487,C235,'Offer Events'!$C$2:$C$1487,D235,'Offer Events'!$E$2:$E$1487,G235,'Offer Events'!$L$2:$L$1487,"SKIPPED",'Offer Events'!$P$2:$P$1487,I235)</f>
        <v>1</v>
      </c>
      <c r="Q235" s="22" t="str">
        <f aca="false">IF(L235&lt;=C235,"Y","N")</f>
        <v>N</v>
      </c>
      <c r="R235" s="22" t="str">
        <f aca="false">IF(AND(O235&gt;0,P235&gt;0,Q235="Y"),"Y","N")</f>
        <v>N</v>
      </c>
      <c r="S235" s="22" t="str">
        <f aca="false">IF(P235=0,"Offer register missing/mismatch",IF(N235=0,IF(M235&gt;0,"PDF slip mismatch","No matching PDF"),IF(O235=0,"PDF lacks supporting record","Reconciled")))</f>
        <v>No matching PDF</v>
      </c>
      <c r="T235" s="22" t="str">
        <f aca="false">IF(R235="Y","Compliant",S235&amp;IF(Q235="N","; review after skip",""))</f>
        <v>No matching PDF; review after skip</v>
      </c>
      <c r="U235" s="22" t="str">
        <f aca="false">IF(R235="Y","",IF(AND(O235&gt;0,P235&gt;0,Q235="N"),"Priority 2","Priority 1"))</f>
        <v>Priority 1</v>
      </c>
    </row>
    <row r="236" customFormat="false" ht="15" hidden="false" customHeight="false" outlineLevel="0" collapsed="false">
      <c r="A236" s="22" t="s">
        <v>10831</v>
      </c>
      <c r="B236" s="22" t="s">
        <v>10120</v>
      </c>
      <c r="C236" s="23" t="n">
        <v>45933</v>
      </c>
      <c r="D236" s="22" t="s">
        <v>6240</v>
      </c>
      <c r="E236" s="22" t="str">
        <f aca="false">IFERROR(VLOOKUP(D236,'Applicant Lookup'!$A$2:$F$2911,2,FALSE()),"Not found")</f>
        <v>Michael Phillips</v>
      </c>
      <c r="F236" s="22" t="n">
        <v>2750</v>
      </c>
      <c r="G236" s="22" t="s">
        <v>8220</v>
      </c>
      <c r="H236" s="22" t="s">
        <v>499</v>
      </c>
      <c r="I236" s="22" t="s">
        <v>8603</v>
      </c>
      <c r="J236" s="22" t="s">
        <v>10489</v>
      </c>
      <c r="K236" s="22" t="s">
        <v>10511</v>
      </c>
      <c r="L236" s="23" t="n">
        <v>45935</v>
      </c>
      <c r="M236" s="22" t="n">
        <f aca="false">COUNTIFS('Skip PDF Index'!$B$6:$B$11,D236,'Skip PDF Index'!$D$6:$D$11,C236,'Skip PDF Index'!$F$6:$F$11,I236)</f>
        <v>0</v>
      </c>
      <c r="N236" s="22" t="n">
        <f aca="false">COUNTIFS('Skip PDF Index'!$B$6:$B$11,D236,'Skip PDF Index'!$D$6:$D$11,C236,'Skip PDF Index'!$E$6:$E$11,G236,'Skip PDF Index'!$F$6:$F$11,I236)</f>
        <v>0</v>
      </c>
      <c r="O236" s="22" t="n">
        <f aca="false">COUNTIFS('Skip PDF Index'!$B$6:$B$11,D236,'Skip PDF Index'!$D$6:$D$11,C236,'Skip PDF Index'!$E$6:$E$11,G236,'Skip PDF Index'!$F$6:$F$11,I236,'Skip PDF Index'!$H$6:$H$11,"SUPPORTING RECORD")</f>
        <v>0</v>
      </c>
      <c r="P236" s="22" t="n">
        <f aca="false">COUNTIFS('Offer Events'!$A$2:$A$1487,B236,'Offer Events'!$B$2:$B$1487,C236,'Offer Events'!$C$2:$C$1487,D236,'Offer Events'!$E$2:$E$1487,G236,'Offer Events'!$L$2:$L$1487,"SKIPPED",'Offer Events'!$P$2:$P$1487,I236)</f>
        <v>1</v>
      </c>
      <c r="Q236" s="22" t="str">
        <f aca="false">IF(L236&lt;=C236,"Y","N")</f>
        <v>N</v>
      </c>
      <c r="R236" s="22" t="str">
        <f aca="false">IF(AND(O236&gt;0,P236&gt;0,Q236="Y"),"Y","N")</f>
        <v>N</v>
      </c>
      <c r="S236" s="22" t="str">
        <f aca="false">IF(P236=0,"Offer register missing/mismatch",IF(N236=0,IF(M236&gt;0,"PDF slip mismatch","No matching PDF"),IF(O236=0,"PDF lacks supporting record","Reconciled")))</f>
        <v>No matching PDF</v>
      </c>
      <c r="T236" s="22" t="str">
        <f aca="false">IF(R236="Y","Compliant",S236&amp;IF(Q236="N","; review after skip",""))</f>
        <v>No matching PDF; review after skip</v>
      </c>
      <c r="U236" s="22" t="str">
        <f aca="false">IF(R236="Y","",IF(AND(O236&gt;0,P236&gt;0,Q236="N"),"Priority 2","Priority 1"))</f>
        <v>Priority 1</v>
      </c>
    </row>
    <row r="237" customFormat="false" ht="15" hidden="false" customHeight="false" outlineLevel="0" collapsed="false">
      <c r="A237" s="22" t="s">
        <v>10832</v>
      </c>
      <c r="B237" s="22" t="s">
        <v>10121</v>
      </c>
      <c r="C237" s="23" t="n">
        <v>45956</v>
      </c>
      <c r="D237" s="22" t="s">
        <v>6447</v>
      </c>
      <c r="E237" s="22" t="str">
        <f aca="false">IFERROR(VLOOKUP(D237,'Applicant Lookup'!$A$2:$F$2911,2,FALSE()),"Not found")</f>
        <v>Catherine Davis</v>
      </c>
      <c r="F237" s="22" t="n">
        <v>2857</v>
      </c>
      <c r="G237" s="22" t="s">
        <v>7011</v>
      </c>
      <c r="H237" s="22" t="s">
        <v>198</v>
      </c>
      <c r="I237" s="22" t="s">
        <v>8618</v>
      </c>
      <c r="J237" s="22" t="s">
        <v>10489</v>
      </c>
      <c r="K237" s="22" t="s">
        <v>10491</v>
      </c>
      <c r="L237" s="23" t="n">
        <v>45956</v>
      </c>
      <c r="M237" s="22" t="n">
        <f aca="false">COUNTIFS('Skip PDF Index'!$B$6:$B$11,D237,'Skip PDF Index'!$D$6:$D$11,C237,'Skip PDF Index'!$F$6:$F$11,I237)</f>
        <v>0</v>
      </c>
      <c r="N237" s="22" t="n">
        <f aca="false">COUNTIFS('Skip PDF Index'!$B$6:$B$11,D237,'Skip PDF Index'!$D$6:$D$11,C237,'Skip PDF Index'!$E$6:$E$11,G237,'Skip PDF Index'!$F$6:$F$11,I237)</f>
        <v>0</v>
      </c>
      <c r="O237" s="22" t="n">
        <f aca="false">COUNTIFS('Skip PDF Index'!$B$6:$B$11,D237,'Skip PDF Index'!$D$6:$D$11,C237,'Skip PDF Index'!$E$6:$E$11,G237,'Skip PDF Index'!$F$6:$F$11,I237,'Skip PDF Index'!$H$6:$H$11,"SUPPORTING RECORD")</f>
        <v>0</v>
      </c>
      <c r="P237" s="22" t="n">
        <f aca="false">COUNTIFS('Offer Events'!$A$2:$A$1487,B237,'Offer Events'!$B$2:$B$1487,C237,'Offer Events'!$C$2:$C$1487,D237,'Offer Events'!$E$2:$E$1487,G237,'Offer Events'!$L$2:$L$1487,"SKIPPED",'Offer Events'!$P$2:$P$1487,I237)</f>
        <v>1</v>
      </c>
      <c r="Q237" s="22" t="str">
        <f aca="false">IF(L237&lt;=C237,"Y","N")</f>
        <v>Y</v>
      </c>
      <c r="R237" s="22" t="str">
        <f aca="false">IF(AND(O237&gt;0,P237&gt;0,Q237="Y"),"Y","N")</f>
        <v>N</v>
      </c>
      <c r="S237" s="22" t="str">
        <f aca="false">IF(P237=0,"Offer register missing/mismatch",IF(N237=0,IF(M237&gt;0,"PDF slip mismatch","No matching PDF"),IF(O237=0,"PDF lacks supporting record","Reconciled")))</f>
        <v>No matching PDF</v>
      </c>
      <c r="T237" s="22" t="str">
        <f aca="false">IF(R237="Y","Compliant",S237&amp;IF(Q237="N","; review after skip",""))</f>
        <v>No matching PDF</v>
      </c>
      <c r="U237" s="22" t="str">
        <f aca="false">IF(R237="Y","",IF(AND(O237&gt;0,P237&gt;0,Q237="N"),"Priority 2","Priority 1"))</f>
        <v>Priority 1</v>
      </c>
    </row>
    <row r="238" customFormat="false" ht="15" hidden="false" customHeight="false" outlineLevel="0" collapsed="false">
      <c r="A238" s="22" t="s">
        <v>10833</v>
      </c>
      <c r="B238" s="22" t="s">
        <v>10130</v>
      </c>
      <c r="C238" s="23" t="n">
        <v>45953</v>
      </c>
      <c r="D238" s="22" t="s">
        <v>1845</v>
      </c>
      <c r="E238" s="22" t="str">
        <f aca="false">IFERROR(VLOOKUP(D238,'Applicant Lookup'!$A$2:$F$2911,2,FALSE()),"Not found")</f>
        <v>Michael Walker</v>
      </c>
      <c r="F238" s="22" t="n">
        <v>645</v>
      </c>
      <c r="G238" s="22" t="s">
        <v>8333</v>
      </c>
      <c r="H238" s="22" t="s">
        <v>499</v>
      </c>
      <c r="I238" s="22" t="s">
        <v>8631</v>
      </c>
      <c r="J238" s="22" t="s">
        <v>10489</v>
      </c>
      <c r="K238" s="22" t="s">
        <v>10504</v>
      </c>
      <c r="L238" s="23" t="n">
        <v>45957</v>
      </c>
      <c r="M238" s="22" t="n">
        <f aca="false">COUNTIFS('Skip PDF Index'!$B$6:$B$11,D238,'Skip PDF Index'!$D$6:$D$11,C238,'Skip PDF Index'!$F$6:$F$11,I238)</f>
        <v>0</v>
      </c>
      <c r="N238" s="22" t="n">
        <f aca="false">COUNTIFS('Skip PDF Index'!$B$6:$B$11,D238,'Skip PDF Index'!$D$6:$D$11,C238,'Skip PDF Index'!$E$6:$E$11,G238,'Skip PDF Index'!$F$6:$F$11,I238)</f>
        <v>0</v>
      </c>
      <c r="O238" s="22" t="n">
        <f aca="false">COUNTIFS('Skip PDF Index'!$B$6:$B$11,D238,'Skip PDF Index'!$D$6:$D$11,C238,'Skip PDF Index'!$E$6:$E$11,G238,'Skip PDF Index'!$F$6:$F$11,I238,'Skip PDF Index'!$H$6:$H$11,"SUPPORTING RECORD")</f>
        <v>0</v>
      </c>
      <c r="P238" s="22" t="n">
        <f aca="false">COUNTIFS('Offer Events'!$A$2:$A$1487,B238,'Offer Events'!$B$2:$B$1487,C238,'Offer Events'!$C$2:$C$1487,D238,'Offer Events'!$E$2:$E$1487,G238,'Offer Events'!$L$2:$L$1487,"SKIPPED",'Offer Events'!$P$2:$P$1487,I238)</f>
        <v>1</v>
      </c>
      <c r="Q238" s="22" t="str">
        <f aca="false">IF(L238&lt;=C238,"Y","N")</f>
        <v>N</v>
      </c>
      <c r="R238" s="22" t="str">
        <f aca="false">IF(AND(O238&gt;0,P238&gt;0,Q238="Y"),"Y","N")</f>
        <v>N</v>
      </c>
      <c r="S238" s="22" t="str">
        <f aca="false">IF(P238=0,"Offer register missing/mismatch",IF(N238=0,IF(M238&gt;0,"PDF slip mismatch","No matching PDF"),IF(O238=0,"PDF lacks supporting record","Reconciled")))</f>
        <v>No matching PDF</v>
      </c>
      <c r="T238" s="22" t="str">
        <f aca="false">IF(R238="Y","Compliant",S238&amp;IF(Q238="N","; review after skip",""))</f>
        <v>No matching PDF; review after skip</v>
      </c>
      <c r="U238" s="22" t="str">
        <f aca="false">IF(R238="Y","",IF(AND(O238&gt;0,P238&gt;0,Q238="N"),"Priority 2","Priority 1"))</f>
        <v>Priority 1</v>
      </c>
    </row>
    <row r="239" customFormat="false" ht="15" hidden="false" customHeight="false" outlineLevel="0" collapsed="false">
      <c r="A239" s="22" t="s">
        <v>10834</v>
      </c>
      <c r="B239" s="22" t="s">
        <v>10137</v>
      </c>
      <c r="C239" s="23" t="n">
        <v>45941</v>
      </c>
      <c r="D239" s="22" t="s">
        <v>423</v>
      </c>
      <c r="E239" s="22" t="str">
        <f aca="false">IFERROR(VLOOKUP(D239,'Applicant Lookup'!$A$2:$F$2911,2,FALSE()),"Not found")</f>
        <v>Erin Holmes</v>
      </c>
      <c r="F239" s="22" t="n">
        <v>89</v>
      </c>
      <c r="G239" s="22" t="s">
        <v>8358</v>
      </c>
      <c r="H239" s="22" t="s">
        <v>188</v>
      </c>
      <c r="I239" s="22" t="s">
        <v>8603</v>
      </c>
      <c r="J239" s="22" t="s">
        <v>10518</v>
      </c>
      <c r="K239" s="22" t="s">
        <v>10506</v>
      </c>
      <c r="L239" s="23" t="n">
        <v>45943</v>
      </c>
      <c r="M239" s="22" t="n">
        <f aca="false">COUNTIFS('Skip PDF Index'!$B$6:$B$11,D239,'Skip PDF Index'!$D$6:$D$11,C239,'Skip PDF Index'!$F$6:$F$11,I239)</f>
        <v>0</v>
      </c>
      <c r="N239" s="22" t="n">
        <f aca="false">COUNTIFS('Skip PDF Index'!$B$6:$B$11,D239,'Skip PDF Index'!$D$6:$D$11,C239,'Skip PDF Index'!$E$6:$E$11,G239,'Skip PDF Index'!$F$6:$F$11,I239)</f>
        <v>0</v>
      </c>
      <c r="O239" s="22" t="n">
        <f aca="false">COUNTIFS('Skip PDF Index'!$B$6:$B$11,D239,'Skip PDF Index'!$D$6:$D$11,C239,'Skip PDF Index'!$E$6:$E$11,G239,'Skip PDF Index'!$F$6:$F$11,I239,'Skip PDF Index'!$H$6:$H$11,"SUPPORTING RECORD")</f>
        <v>0</v>
      </c>
      <c r="P239" s="22" t="n">
        <f aca="false">COUNTIFS('Offer Events'!$A$2:$A$1487,B239,'Offer Events'!$B$2:$B$1487,C239,'Offer Events'!$C$2:$C$1487,D239,'Offer Events'!$E$2:$E$1487,G239,'Offer Events'!$L$2:$L$1487,"SKIPPED",'Offer Events'!$P$2:$P$1487,I239)</f>
        <v>1</v>
      </c>
      <c r="Q239" s="22" t="str">
        <f aca="false">IF(L239&lt;=C239,"Y","N")</f>
        <v>N</v>
      </c>
      <c r="R239" s="22" t="str">
        <f aca="false">IF(AND(O239&gt;0,P239&gt;0,Q239="Y"),"Y","N")</f>
        <v>N</v>
      </c>
      <c r="S239" s="22" t="str">
        <f aca="false">IF(P239=0,"Offer register missing/mismatch",IF(N239=0,IF(M239&gt;0,"PDF slip mismatch","No matching PDF"),IF(O239=0,"PDF lacks supporting record","Reconciled")))</f>
        <v>No matching PDF</v>
      </c>
      <c r="T239" s="22" t="str">
        <f aca="false">IF(R239="Y","Compliant",S239&amp;IF(Q239="N","; review after skip",""))</f>
        <v>No matching PDF; review after skip</v>
      </c>
      <c r="U239" s="22" t="str">
        <f aca="false">IF(R239="Y","",IF(AND(O239&gt;0,P239&gt;0,Q239="N"),"Priority 2","Priority 1"))</f>
        <v>Priority 1</v>
      </c>
    </row>
    <row r="240" customFormat="false" ht="15" hidden="false" customHeight="false" outlineLevel="0" collapsed="false">
      <c r="A240" s="22" t="s">
        <v>10835</v>
      </c>
      <c r="B240" s="22" t="s">
        <v>10141</v>
      </c>
      <c r="C240" s="23" t="n">
        <v>45943</v>
      </c>
      <c r="D240" s="22" t="s">
        <v>536</v>
      </c>
      <c r="E240" s="22" t="str">
        <f aca="false">IFERROR(VLOOKUP(D240,'Applicant Lookup'!$A$2:$F$2911,2,FALSE()),"Not found")</f>
        <v>Angela Smith</v>
      </c>
      <c r="F240" s="22" t="n">
        <v>128</v>
      </c>
      <c r="G240" s="22" t="s">
        <v>6869</v>
      </c>
      <c r="H240" s="22" t="s">
        <v>198</v>
      </c>
      <c r="I240" s="22" t="s">
        <v>8631</v>
      </c>
      <c r="J240" s="22" t="s">
        <v>10489</v>
      </c>
      <c r="K240" s="22" t="s">
        <v>10501</v>
      </c>
      <c r="L240" s="23" t="n">
        <v>45945</v>
      </c>
      <c r="M240" s="22" t="n">
        <f aca="false">COUNTIFS('Skip PDF Index'!$B$6:$B$11,D240,'Skip PDF Index'!$D$6:$D$11,C240,'Skip PDF Index'!$F$6:$F$11,I240)</f>
        <v>0</v>
      </c>
      <c r="N240" s="22" t="n">
        <f aca="false">COUNTIFS('Skip PDF Index'!$B$6:$B$11,D240,'Skip PDF Index'!$D$6:$D$11,C240,'Skip PDF Index'!$E$6:$E$11,G240,'Skip PDF Index'!$F$6:$F$11,I240)</f>
        <v>0</v>
      </c>
      <c r="O240" s="22" t="n">
        <f aca="false">COUNTIFS('Skip PDF Index'!$B$6:$B$11,D240,'Skip PDF Index'!$D$6:$D$11,C240,'Skip PDF Index'!$E$6:$E$11,G240,'Skip PDF Index'!$F$6:$F$11,I240,'Skip PDF Index'!$H$6:$H$11,"SUPPORTING RECORD")</f>
        <v>0</v>
      </c>
      <c r="P240" s="22" t="n">
        <f aca="false">COUNTIFS('Offer Events'!$A$2:$A$1487,B240,'Offer Events'!$B$2:$B$1487,C240,'Offer Events'!$C$2:$C$1487,D240,'Offer Events'!$E$2:$E$1487,G240,'Offer Events'!$L$2:$L$1487,"SKIPPED",'Offer Events'!$P$2:$P$1487,I240)</f>
        <v>1</v>
      </c>
      <c r="Q240" s="22" t="str">
        <f aca="false">IF(L240&lt;=C240,"Y","N")</f>
        <v>N</v>
      </c>
      <c r="R240" s="22" t="str">
        <f aca="false">IF(AND(O240&gt;0,P240&gt;0,Q240="Y"),"Y","N")</f>
        <v>N</v>
      </c>
      <c r="S240" s="22" t="str">
        <f aca="false">IF(P240=0,"Offer register missing/mismatch",IF(N240=0,IF(M240&gt;0,"PDF slip mismatch","No matching PDF"),IF(O240=0,"PDF lacks supporting record","Reconciled")))</f>
        <v>No matching PDF</v>
      </c>
      <c r="T240" s="22" t="str">
        <f aca="false">IF(R240="Y","Compliant",S240&amp;IF(Q240="N","; review after skip",""))</f>
        <v>No matching PDF; review after skip</v>
      </c>
      <c r="U240" s="22" t="str">
        <f aca="false">IF(R240="Y","",IF(AND(O240&gt;0,P240&gt;0,Q240="N"),"Priority 2","Priority 1"))</f>
        <v>Priority 1</v>
      </c>
    </row>
    <row r="241" customFormat="false" ht="15" hidden="false" customHeight="false" outlineLevel="0" collapsed="false">
      <c r="A241" s="22" t="s">
        <v>10836</v>
      </c>
      <c r="B241" s="22" t="s">
        <v>10150</v>
      </c>
      <c r="C241" s="23" t="n">
        <v>45932</v>
      </c>
      <c r="D241" s="22" t="s">
        <v>4068</v>
      </c>
      <c r="E241" s="22" t="str">
        <f aca="false">IFERROR(VLOOKUP(D241,'Applicant Lookup'!$A$2:$F$2911,2,FALSE()),"Not found")</f>
        <v>Janice Walker</v>
      </c>
      <c r="F241" s="22" t="n">
        <v>1676</v>
      </c>
      <c r="G241" s="22" t="s">
        <v>7731</v>
      </c>
      <c r="H241" s="22" t="s">
        <v>215</v>
      </c>
      <c r="I241" s="22" t="s">
        <v>8603</v>
      </c>
      <c r="J241" s="22" t="s">
        <v>10489</v>
      </c>
      <c r="K241" s="22" t="s">
        <v>10496</v>
      </c>
      <c r="L241" s="23" t="n">
        <v>45934</v>
      </c>
      <c r="M241" s="22" t="n">
        <f aca="false">COUNTIFS('Skip PDF Index'!$B$6:$B$11,D241,'Skip PDF Index'!$D$6:$D$11,C241,'Skip PDF Index'!$F$6:$F$11,I241)</f>
        <v>0</v>
      </c>
      <c r="N241" s="22" t="n">
        <f aca="false">COUNTIFS('Skip PDF Index'!$B$6:$B$11,D241,'Skip PDF Index'!$D$6:$D$11,C241,'Skip PDF Index'!$E$6:$E$11,G241,'Skip PDF Index'!$F$6:$F$11,I241)</f>
        <v>0</v>
      </c>
      <c r="O241" s="22" t="n">
        <f aca="false">COUNTIFS('Skip PDF Index'!$B$6:$B$11,D241,'Skip PDF Index'!$D$6:$D$11,C241,'Skip PDF Index'!$E$6:$E$11,G241,'Skip PDF Index'!$F$6:$F$11,I241,'Skip PDF Index'!$H$6:$H$11,"SUPPORTING RECORD")</f>
        <v>0</v>
      </c>
      <c r="P241" s="22" t="n">
        <f aca="false">COUNTIFS('Offer Events'!$A$2:$A$1487,B241,'Offer Events'!$B$2:$B$1487,C241,'Offer Events'!$C$2:$C$1487,D241,'Offer Events'!$E$2:$E$1487,G241,'Offer Events'!$L$2:$L$1487,"SKIPPED",'Offer Events'!$P$2:$P$1487,I241)</f>
        <v>1</v>
      </c>
      <c r="Q241" s="22" t="str">
        <f aca="false">IF(L241&lt;=C241,"Y","N")</f>
        <v>N</v>
      </c>
      <c r="R241" s="22" t="str">
        <f aca="false">IF(AND(O241&gt;0,P241&gt;0,Q241="Y"),"Y","N")</f>
        <v>N</v>
      </c>
      <c r="S241" s="22" t="str">
        <f aca="false">IF(P241=0,"Offer register missing/mismatch",IF(N241=0,IF(M241&gt;0,"PDF slip mismatch","No matching PDF"),IF(O241=0,"PDF lacks supporting record","Reconciled")))</f>
        <v>No matching PDF</v>
      </c>
      <c r="T241" s="22" t="str">
        <f aca="false">IF(R241="Y","Compliant",S241&amp;IF(Q241="N","; review after skip",""))</f>
        <v>No matching PDF; review after skip</v>
      </c>
      <c r="U241" s="22" t="str">
        <f aca="false">IF(R241="Y","",IF(AND(O241&gt;0,P241&gt;0,Q241="N"),"Priority 2","Priority 1"))</f>
        <v>Priority 1</v>
      </c>
    </row>
    <row r="242" customFormat="false" ht="15" hidden="false" customHeight="false" outlineLevel="0" collapsed="false">
      <c r="A242" s="22" t="s">
        <v>10837</v>
      </c>
      <c r="B242" s="22" t="s">
        <v>10158</v>
      </c>
      <c r="C242" s="23" t="n">
        <v>45937</v>
      </c>
      <c r="D242" s="22" t="s">
        <v>5649</v>
      </c>
      <c r="E242" s="22" t="str">
        <f aca="false">IFERROR(VLOOKUP(D242,'Applicant Lookup'!$A$2:$F$2911,2,FALSE()),"Not found")</f>
        <v>Taylor George</v>
      </c>
      <c r="F242" s="22" t="n">
        <v>2455</v>
      </c>
      <c r="G242" s="22" t="s">
        <v>8426</v>
      </c>
      <c r="H242" s="22" t="s">
        <v>188</v>
      </c>
      <c r="I242" s="22" t="s">
        <v>8603</v>
      </c>
      <c r="J242" s="22" t="s">
        <v>10489</v>
      </c>
      <c r="K242" s="22" t="s">
        <v>10496</v>
      </c>
      <c r="L242" s="23" t="n">
        <v>45941</v>
      </c>
      <c r="M242" s="22" t="n">
        <f aca="false">COUNTIFS('Skip PDF Index'!$B$6:$B$11,D242,'Skip PDF Index'!$D$6:$D$11,C242,'Skip PDF Index'!$F$6:$F$11,I242)</f>
        <v>0</v>
      </c>
      <c r="N242" s="22" t="n">
        <f aca="false">COUNTIFS('Skip PDF Index'!$B$6:$B$11,D242,'Skip PDF Index'!$D$6:$D$11,C242,'Skip PDF Index'!$E$6:$E$11,G242,'Skip PDF Index'!$F$6:$F$11,I242)</f>
        <v>0</v>
      </c>
      <c r="O242" s="22" t="n">
        <f aca="false">COUNTIFS('Skip PDF Index'!$B$6:$B$11,D242,'Skip PDF Index'!$D$6:$D$11,C242,'Skip PDF Index'!$E$6:$E$11,G242,'Skip PDF Index'!$F$6:$F$11,I242,'Skip PDF Index'!$H$6:$H$11,"SUPPORTING RECORD")</f>
        <v>0</v>
      </c>
      <c r="P242" s="22" t="n">
        <f aca="false">COUNTIFS('Offer Events'!$A$2:$A$1487,B242,'Offer Events'!$B$2:$B$1487,C242,'Offer Events'!$C$2:$C$1487,D242,'Offer Events'!$E$2:$E$1487,G242,'Offer Events'!$L$2:$L$1487,"SKIPPED",'Offer Events'!$P$2:$P$1487,I242)</f>
        <v>1</v>
      </c>
      <c r="Q242" s="22" t="str">
        <f aca="false">IF(L242&lt;=C242,"Y","N")</f>
        <v>N</v>
      </c>
      <c r="R242" s="22" t="str">
        <f aca="false">IF(AND(O242&gt;0,P242&gt;0,Q242="Y"),"Y","N")</f>
        <v>N</v>
      </c>
      <c r="S242" s="22" t="str">
        <f aca="false">IF(P242=0,"Offer register missing/mismatch",IF(N242=0,IF(M242&gt;0,"PDF slip mismatch","No matching PDF"),IF(O242=0,"PDF lacks supporting record","Reconciled")))</f>
        <v>No matching PDF</v>
      </c>
      <c r="T242" s="22" t="str">
        <f aca="false">IF(R242="Y","Compliant",S242&amp;IF(Q242="N","; review after skip",""))</f>
        <v>No matching PDF; review after skip</v>
      </c>
      <c r="U242" s="22" t="str">
        <f aca="false">IF(R242="Y","",IF(AND(O242&gt;0,P242&gt;0,Q242="N"),"Priority 2","Priority 1"))</f>
        <v>Priority 1</v>
      </c>
    </row>
    <row r="243" customFormat="false" ht="15" hidden="false" customHeight="false" outlineLevel="0" collapsed="false">
      <c r="A243" s="22" t="s">
        <v>10838</v>
      </c>
      <c r="B243" s="22" t="s">
        <v>10159</v>
      </c>
      <c r="C243" s="23" t="n">
        <v>45943</v>
      </c>
      <c r="D243" s="22" t="s">
        <v>4139</v>
      </c>
      <c r="E243" s="22" t="str">
        <f aca="false">IFERROR(VLOOKUP(D243,'Applicant Lookup'!$A$2:$F$2911,2,FALSE()),"Not found")</f>
        <v>David Baker</v>
      </c>
      <c r="F243" s="22" t="n">
        <v>1711</v>
      </c>
      <c r="G243" s="22" t="s">
        <v>6693</v>
      </c>
      <c r="H243" s="22" t="s">
        <v>198</v>
      </c>
      <c r="I243" s="22" t="s">
        <v>8631</v>
      </c>
      <c r="J243" s="22" t="s">
        <v>10489</v>
      </c>
      <c r="K243" s="22" t="s">
        <v>10491</v>
      </c>
      <c r="L243" s="23" t="n">
        <v>45948</v>
      </c>
      <c r="M243" s="22" t="n">
        <f aca="false">COUNTIFS('Skip PDF Index'!$B$6:$B$11,D243,'Skip PDF Index'!$D$6:$D$11,C243,'Skip PDF Index'!$F$6:$F$11,I243)</f>
        <v>0</v>
      </c>
      <c r="N243" s="22" t="n">
        <f aca="false">COUNTIFS('Skip PDF Index'!$B$6:$B$11,D243,'Skip PDF Index'!$D$6:$D$11,C243,'Skip PDF Index'!$E$6:$E$11,G243,'Skip PDF Index'!$F$6:$F$11,I243)</f>
        <v>0</v>
      </c>
      <c r="O243" s="22" t="n">
        <f aca="false">COUNTIFS('Skip PDF Index'!$B$6:$B$11,D243,'Skip PDF Index'!$D$6:$D$11,C243,'Skip PDF Index'!$E$6:$E$11,G243,'Skip PDF Index'!$F$6:$F$11,I243,'Skip PDF Index'!$H$6:$H$11,"SUPPORTING RECORD")</f>
        <v>0</v>
      </c>
      <c r="P243" s="22" t="n">
        <f aca="false">COUNTIFS('Offer Events'!$A$2:$A$1487,B243,'Offer Events'!$B$2:$B$1487,C243,'Offer Events'!$C$2:$C$1487,D243,'Offer Events'!$E$2:$E$1487,G243,'Offer Events'!$L$2:$L$1487,"SKIPPED",'Offer Events'!$P$2:$P$1487,I243)</f>
        <v>1</v>
      </c>
      <c r="Q243" s="22" t="str">
        <f aca="false">IF(L243&lt;=C243,"Y","N")</f>
        <v>N</v>
      </c>
      <c r="R243" s="22" t="str">
        <f aca="false">IF(AND(O243&gt;0,P243&gt;0,Q243="Y"),"Y","N")</f>
        <v>N</v>
      </c>
      <c r="S243" s="22" t="str">
        <f aca="false">IF(P243=0,"Offer register missing/mismatch",IF(N243=0,IF(M243&gt;0,"PDF slip mismatch","No matching PDF"),IF(O243=0,"PDF lacks supporting record","Reconciled")))</f>
        <v>No matching PDF</v>
      </c>
      <c r="T243" s="22" t="str">
        <f aca="false">IF(R243="Y","Compliant",S243&amp;IF(Q243="N","; review after skip",""))</f>
        <v>No matching PDF; review after skip</v>
      </c>
      <c r="U243" s="22" t="str">
        <f aca="false">IF(R243="Y","",IF(AND(O243&gt;0,P243&gt;0,Q243="N"),"Priority 2","Priority 1"))</f>
        <v>Priority 1</v>
      </c>
    </row>
    <row r="244" customFormat="false" ht="15" hidden="false" customHeight="false" outlineLevel="0" collapsed="false">
      <c r="A244" s="22" t="s">
        <v>10839</v>
      </c>
      <c r="B244" s="22" t="s">
        <v>10162</v>
      </c>
      <c r="C244" s="23" t="n">
        <v>45943</v>
      </c>
      <c r="D244" s="22" t="s">
        <v>3605</v>
      </c>
      <c r="E244" s="22" t="str">
        <f aca="false">IFERROR(VLOOKUP(D244,'Applicant Lookup'!$A$2:$F$2911,2,FALSE()),"Not found")</f>
        <v>Mark Bolton</v>
      </c>
      <c r="F244" s="22" t="n">
        <v>1448</v>
      </c>
      <c r="G244" s="22" t="s">
        <v>7145</v>
      </c>
      <c r="H244" s="22" t="s">
        <v>198</v>
      </c>
      <c r="I244" s="22" t="s">
        <v>8603</v>
      </c>
      <c r="J244" s="22" t="s">
        <v>10489</v>
      </c>
      <c r="K244" s="22" t="s">
        <v>10555</v>
      </c>
      <c r="L244" s="23" t="n">
        <v>45945</v>
      </c>
      <c r="M244" s="22" t="n">
        <f aca="false">COUNTIFS('Skip PDF Index'!$B$6:$B$11,D244,'Skip PDF Index'!$D$6:$D$11,C244,'Skip PDF Index'!$F$6:$F$11,I244)</f>
        <v>0</v>
      </c>
      <c r="N244" s="22" t="n">
        <f aca="false">COUNTIFS('Skip PDF Index'!$B$6:$B$11,D244,'Skip PDF Index'!$D$6:$D$11,C244,'Skip PDF Index'!$E$6:$E$11,G244,'Skip PDF Index'!$F$6:$F$11,I244)</f>
        <v>0</v>
      </c>
      <c r="O244" s="22" t="n">
        <f aca="false">COUNTIFS('Skip PDF Index'!$B$6:$B$11,D244,'Skip PDF Index'!$D$6:$D$11,C244,'Skip PDF Index'!$E$6:$E$11,G244,'Skip PDF Index'!$F$6:$F$11,I244,'Skip PDF Index'!$H$6:$H$11,"SUPPORTING RECORD")</f>
        <v>0</v>
      </c>
      <c r="P244" s="22" t="n">
        <f aca="false">COUNTIFS('Offer Events'!$A$2:$A$1487,B244,'Offer Events'!$B$2:$B$1487,C244,'Offer Events'!$C$2:$C$1487,D244,'Offer Events'!$E$2:$E$1487,G244,'Offer Events'!$L$2:$L$1487,"SKIPPED",'Offer Events'!$P$2:$P$1487,I244)</f>
        <v>1</v>
      </c>
      <c r="Q244" s="22" t="str">
        <f aca="false">IF(L244&lt;=C244,"Y","N")</f>
        <v>N</v>
      </c>
      <c r="R244" s="22" t="str">
        <f aca="false">IF(AND(O244&gt;0,P244&gt;0,Q244="Y"),"Y","N")</f>
        <v>N</v>
      </c>
      <c r="S244" s="22" t="str">
        <f aca="false">IF(P244=0,"Offer register missing/mismatch",IF(N244=0,IF(M244&gt;0,"PDF slip mismatch","No matching PDF"),IF(O244=0,"PDF lacks supporting record","Reconciled")))</f>
        <v>No matching PDF</v>
      </c>
      <c r="T244" s="22" t="str">
        <f aca="false">IF(R244="Y","Compliant",S244&amp;IF(Q244="N","; review after skip",""))</f>
        <v>No matching PDF; review after skip</v>
      </c>
      <c r="U244" s="22" t="str">
        <f aca="false">IF(R244="Y","",IF(AND(O244&gt;0,P244&gt;0,Q244="N"),"Priority 2","Priority 1"))</f>
        <v>Priority 1</v>
      </c>
    </row>
    <row r="245" customFormat="false" ht="15" hidden="false" customHeight="false" outlineLevel="0" collapsed="false">
      <c r="A245" s="22" t="s">
        <v>10840</v>
      </c>
      <c r="B245" s="22" t="s">
        <v>10166</v>
      </c>
      <c r="C245" s="23" t="n">
        <v>45988</v>
      </c>
      <c r="D245" s="22" t="s">
        <v>905</v>
      </c>
      <c r="E245" s="22" t="str">
        <f aca="false">IFERROR(VLOOKUP(D245,'Applicant Lookup'!$A$2:$F$2911,2,FALSE()),"Not found")</f>
        <v>Jeffery Lewis</v>
      </c>
      <c r="F245" s="22" t="n">
        <v>264</v>
      </c>
      <c r="G245" s="22" t="s">
        <v>8511</v>
      </c>
      <c r="H245" s="22" t="s">
        <v>188</v>
      </c>
      <c r="I245" s="22" t="s">
        <v>8603</v>
      </c>
      <c r="J245" s="22" t="s">
        <v>10489</v>
      </c>
      <c r="K245" s="22" t="s">
        <v>10555</v>
      </c>
      <c r="L245" s="23" t="n">
        <v>45993</v>
      </c>
      <c r="M245" s="22" t="n">
        <f aca="false">COUNTIFS('Skip PDF Index'!$B$6:$B$11,D245,'Skip PDF Index'!$D$6:$D$11,C245,'Skip PDF Index'!$F$6:$F$11,I245)</f>
        <v>0</v>
      </c>
      <c r="N245" s="22" t="n">
        <f aca="false">COUNTIFS('Skip PDF Index'!$B$6:$B$11,D245,'Skip PDF Index'!$D$6:$D$11,C245,'Skip PDF Index'!$E$6:$E$11,G245,'Skip PDF Index'!$F$6:$F$11,I245)</f>
        <v>0</v>
      </c>
      <c r="O245" s="22" t="n">
        <f aca="false">COUNTIFS('Skip PDF Index'!$B$6:$B$11,D245,'Skip PDF Index'!$D$6:$D$11,C245,'Skip PDF Index'!$E$6:$E$11,G245,'Skip PDF Index'!$F$6:$F$11,I245,'Skip PDF Index'!$H$6:$H$11,"SUPPORTING RECORD")</f>
        <v>0</v>
      </c>
      <c r="P245" s="22" t="n">
        <f aca="false">COUNTIFS('Offer Events'!$A$2:$A$1487,B245,'Offer Events'!$B$2:$B$1487,C245,'Offer Events'!$C$2:$C$1487,D245,'Offer Events'!$E$2:$E$1487,G245,'Offer Events'!$L$2:$L$1487,"SKIPPED",'Offer Events'!$P$2:$P$1487,I245)</f>
        <v>1</v>
      </c>
      <c r="Q245" s="22" t="str">
        <f aca="false">IF(L245&lt;=C245,"Y","N")</f>
        <v>N</v>
      </c>
      <c r="R245" s="22" t="str">
        <f aca="false">IF(AND(O245&gt;0,P245&gt;0,Q245="Y"),"Y","N")</f>
        <v>N</v>
      </c>
      <c r="S245" s="22" t="str">
        <f aca="false">IF(P245=0,"Offer register missing/mismatch",IF(N245=0,IF(M245&gt;0,"PDF slip mismatch","No matching PDF"),IF(O245=0,"PDF lacks supporting record","Reconciled")))</f>
        <v>No matching PDF</v>
      </c>
      <c r="T245" s="22" t="str">
        <f aca="false">IF(R245="Y","Compliant",S245&amp;IF(Q245="N","; review after skip",""))</f>
        <v>No matching PDF; review after skip</v>
      </c>
      <c r="U245" s="22" t="str">
        <f aca="false">IF(R245="Y","",IF(AND(O245&gt;0,P245&gt;0,Q245="N"),"Priority 2","Priority 1"))</f>
        <v>Priority 1</v>
      </c>
    </row>
    <row r="246" customFormat="false" ht="15" hidden="false" customHeight="false" outlineLevel="0" collapsed="false">
      <c r="A246" s="22" t="s">
        <v>10841</v>
      </c>
      <c r="B246" s="22" t="s">
        <v>10171</v>
      </c>
      <c r="C246" s="23" t="n">
        <v>45978</v>
      </c>
      <c r="D246" s="22" t="s">
        <v>3512</v>
      </c>
      <c r="E246" s="22" t="str">
        <f aca="false">IFERROR(VLOOKUP(D246,'Applicant Lookup'!$A$2:$F$2911,2,FALSE()),"Not found")</f>
        <v>Samuel King</v>
      </c>
      <c r="F246" s="22" t="n">
        <v>1404</v>
      </c>
      <c r="G246" s="22" t="s">
        <v>7340</v>
      </c>
      <c r="H246" s="22" t="s">
        <v>159</v>
      </c>
      <c r="I246" s="22" t="s">
        <v>8618</v>
      </c>
      <c r="J246" s="22" t="s">
        <v>10489</v>
      </c>
      <c r="K246" s="22" t="s">
        <v>10513</v>
      </c>
      <c r="L246" s="23" t="n">
        <v>45980</v>
      </c>
      <c r="M246" s="22" t="n">
        <f aca="false">COUNTIFS('Skip PDF Index'!$B$6:$B$11,D246,'Skip PDF Index'!$D$6:$D$11,C246,'Skip PDF Index'!$F$6:$F$11,I246)</f>
        <v>0</v>
      </c>
      <c r="N246" s="22" t="n">
        <f aca="false">COUNTIFS('Skip PDF Index'!$B$6:$B$11,D246,'Skip PDF Index'!$D$6:$D$11,C246,'Skip PDF Index'!$E$6:$E$11,G246,'Skip PDF Index'!$F$6:$F$11,I246)</f>
        <v>0</v>
      </c>
      <c r="O246" s="22" t="n">
        <f aca="false">COUNTIFS('Skip PDF Index'!$B$6:$B$11,D246,'Skip PDF Index'!$D$6:$D$11,C246,'Skip PDF Index'!$E$6:$E$11,G246,'Skip PDF Index'!$F$6:$F$11,I246,'Skip PDF Index'!$H$6:$H$11,"SUPPORTING RECORD")</f>
        <v>0</v>
      </c>
      <c r="P246" s="22" t="n">
        <f aca="false">COUNTIFS('Offer Events'!$A$2:$A$1487,B246,'Offer Events'!$B$2:$B$1487,C246,'Offer Events'!$C$2:$C$1487,D246,'Offer Events'!$E$2:$E$1487,G246,'Offer Events'!$L$2:$L$1487,"SKIPPED",'Offer Events'!$P$2:$P$1487,I246)</f>
        <v>1</v>
      </c>
      <c r="Q246" s="22" t="str">
        <f aca="false">IF(L246&lt;=C246,"Y","N")</f>
        <v>N</v>
      </c>
      <c r="R246" s="22" t="str">
        <f aca="false">IF(AND(O246&gt;0,P246&gt;0,Q246="Y"),"Y","N")</f>
        <v>N</v>
      </c>
      <c r="S246" s="22" t="str">
        <f aca="false">IF(P246=0,"Offer register missing/mismatch",IF(N246=0,IF(M246&gt;0,"PDF slip mismatch","No matching PDF"),IF(O246=0,"PDF lacks supporting record","Reconciled")))</f>
        <v>No matching PDF</v>
      </c>
      <c r="T246" s="22" t="str">
        <f aca="false">IF(R246="Y","Compliant",S246&amp;IF(Q246="N","; review after skip",""))</f>
        <v>No matching PDF; review after skip</v>
      </c>
      <c r="U246" s="22" t="str">
        <f aca="false">IF(R246="Y","",IF(AND(O246&gt;0,P246&gt;0,Q246="N"),"Priority 2","Priority 1"))</f>
        <v>Priority 1</v>
      </c>
    </row>
    <row r="247" customFormat="false" ht="15" hidden="false" customHeight="false" outlineLevel="0" collapsed="false">
      <c r="A247" s="22" t="s">
        <v>10842</v>
      </c>
      <c r="B247" s="22" t="s">
        <v>10180</v>
      </c>
      <c r="C247" s="23" t="n">
        <v>46006</v>
      </c>
      <c r="D247" s="22" t="s">
        <v>2143</v>
      </c>
      <c r="E247" s="22" t="str">
        <f aca="false">IFERROR(VLOOKUP(D247,'Applicant Lookup'!$A$2:$F$2911,2,FALSE()),"Not found")</f>
        <v>Theresa Pena</v>
      </c>
      <c r="F247" s="22" t="n">
        <v>776</v>
      </c>
      <c r="G247" s="22" t="s">
        <v>8155</v>
      </c>
      <c r="H247" s="22" t="s">
        <v>499</v>
      </c>
      <c r="I247" s="22" t="s">
        <v>8618</v>
      </c>
      <c r="J247" s="22" t="s">
        <v>10489</v>
      </c>
      <c r="K247" s="22" t="s">
        <v>10496</v>
      </c>
      <c r="L247" s="23" t="n">
        <v>46008</v>
      </c>
      <c r="M247" s="22" t="n">
        <f aca="false">COUNTIFS('Skip PDF Index'!$B$6:$B$11,D247,'Skip PDF Index'!$D$6:$D$11,C247,'Skip PDF Index'!$F$6:$F$11,I247)</f>
        <v>0</v>
      </c>
      <c r="N247" s="22" t="n">
        <f aca="false">COUNTIFS('Skip PDF Index'!$B$6:$B$11,D247,'Skip PDF Index'!$D$6:$D$11,C247,'Skip PDF Index'!$E$6:$E$11,G247,'Skip PDF Index'!$F$6:$F$11,I247)</f>
        <v>0</v>
      </c>
      <c r="O247" s="22" t="n">
        <f aca="false">COUNTIFS('Skip PDF Index'!$B$6:$B$11,D247,'Skip PDF Index'!$D$6:$D$11,C247,'Skip PDF Index'!$E$6:$E$11,G247,'Skip PDF Index'!$F$6:$F$11,I247,'Skip PDF Index'!$H$6:$H$11,"SUPPORTING RECORD")</f>
        <v>0</v>
      </c>
      <c r="P247" s="22" t="n">
        <f aca="false">COUNTIFS('Offer Events'!$A$2:$A$1487,B247,'Offer Events'!$B$2:$B$1487,C247,'Offer Events'!$C$2:$C$1487,D247,'Offer Events'!$E$2:$E$1487,G247,'Offer Events'!$L$2:$L$1487,"SKIPPED",'Offer Events'!$P$2:$P$1487,I247)</f>
        <v>1</v>
      </c>
      <c r="Q247" s="22" t="str">
        <f aca="false">IF(L247&lt;=C247,"Y","N")</f>
        <v>N</v>
      </c>
      <c r="R247" s="22" t="str">
        <f aca="false">IF(AND(O247&gt;0,P247&gt;0,Q247="Y"),"Y","N")</f>
        <v>N</v>
      </c>
      <c r="S247" s="22" t="str">
        <f aca="false">IF(P247=0,"Offer register missing/mismatch",IF(N247=0,IF(M247&gt;0,"PDF slip mismatch","No matching PDF"),IF(O247=0,"PDF lacks supporting record","Reconciled")))</f>
        <v>No matching PDF</v>
      </c>
      <c r="T247" s="22" t="str">
        <f aca="false">IF(R247="Y","Compliant",S247&amp;IF(Q247="N","; review after skip",""))</f>
        <v>No matching PDF; review after skip</v>
      </c>
      <c r="U247" s="22" t="str">
        <f aca="false">IF(R247="Y","",IF(AND(O247&gt;0,P247&gt;0,Q247="N"),"Priority 2","Priority 1"))</f>
        <v>Priority 1</v>
      </c>
    </row>
    <row r="248" customFormat="false" ht="15" hidden="false" customHeight="false" outlineLevel="0" collapsed="false">
      <c r="A248" s="22" t="s">
        <v>10843</v>
      </c>
      <c r="B248" s="22" t="s">
        <v>10194</v>
      </c>
      <c r="C248" s="23" t="n">
        <v>46017</v>
      </c>
      <c r="D248" s="22" t="s">
        <v>4715</v>
      </c>
      <c r="E248" s="22" t="str">
        <f aca="false">IFERROR(VLOOKUP(D248,'Applicant Lookup'!$A$2:$F$2911,2,FALSE()),"Not found")</f>
        <v>Cole Palmer</v>
      </c>
      <c r="F248" s="22" t="n">
        <v>1991</v>
      </c>
      <c r="G248" s="22" t="s">
        <v>8432</v>
      </c>
      <c r="H248" s="22" t="s">
        <v>188</v>
      </c>
      <c r="I248" s="22" t="s">
        <v>8603</v>
      </c>
      <c r="J248" s="22" t="s">
        <v>10489</v>
      </c>
      <c r="K248" s="22" t="s">
        <v>10506</v>
      </c>
      <c r="L248" s="23" t="n">
        <v>46021</v>
      </c>
      <c r="M248" s="22" t="n">
        <f aca="false">COUNTIFS('Skip PDF Index'!$B$6:$B$11,D248,'Skip PDF Index'!$D$6:$D$11,C248,'Skip PDF Index'!$F$6:$F$11,I248)</f>
        <v>0</v>
      </c>
      <c r="N248" s="22" t="n">
        <f aca="false">COUNTIFS('Skip PDF Index'!$B$6:$B$11,D248,'Skip PDF Index'!$D$6:$D$11,C248,'Skip PDF Index'!$E$6:$E$11,G248,'Skip PDF Index'!$F$6:$F$11,I248)</f>
        <v>0</v>
      </c>
      <c r="O248" s="22" t="n">
        <f aca="false">COUNTIFS('Skip PDF Index'!$B$6:$B$11,D248,'Skip PDF Index'!$D$6:$D$11,C248,'Skip PDF Index'!$E$6:$E$11,G248,'Skip PDF Index'!$F$6:$F$11,I248,'Skip PDF Index'!$H$6:$H$11,"SUPPORTING RECORD")</f>
        <v>0</v>
      </c>
      <c r="P248" s="22" t="n">
        <f aca="false">COUNTIFS('Offer Events'!$A$2:$A$1487,B248,'Offer Events'!$B$2:$B$1487,C248,'Offer Events'!$C$2:$C$1487,D248,'Offer Events'!$E$2:$E$1487,G248,'Offer Events'!$L$2:$L$1487,"SKIPPED",'Offer Events'!$P$2:$P$1487,I248)</f>
        <v>1</v>
      </c>
      <c r="Q248" s="22" t="str">
        <f aca="false">IF(L248&lt;=C248,"Y","N")</f>
        <v>N</v>
      </c>
      <c r="R248" s="22" t="str">
        <f aca="false">IF(AND(O248&gt;0,P248&gt;0,Q248="Y"),"Y","N")</f>
        <v>N</v>
      </c>
      <c r="S248" s="22" t="str">
        <f aca="false">IF(P248=0,"Offer register missing/mismatch",IF(N248=0,IF(M248&gt;0,"PDF slip mismatch","No matching PDF"),IF(O248=0,"PDF lacks supporting record","Reconciled")))</f>
        <v>No matching PDF</v>
      </c>
      <c r="T248" s="22" t="str">
        <f aca="false">IF(R248="Y","Compliant",S248&amp;IF(Q248="N","; review after skip",""))</f>
        <v>No matching PDF; review after skip</v>
      </c>
      <c r="U248" s="22" t="str">
        <f aca="false">IF(R248="Y","",IF(AND(O248&gt;0,P248&gt;0,Q248="N"),"Priority 2","Priority 1"))</f>
        <v>Priority 1</v>
      </c>
    </row>
    <row r="249" customFormat="false" ht="15" hidden="false" customHeight="false" outlineLevel="0" collapsed="false">
      <c r="A249" s="22" t="s">
        <v>10844</v>
      </c>
      <c r="B249" s="22" t="s">
        <v>10196</v>
      </c>
      <c r="C249" s="23" t="n">
        <v>46035</v>
      </c>
      <c r="D249" s="22" t="s">
        <v>4755</v>
      </c>
      <c r="E249" s="22" t="str">
        <f aca="false">IFERROR(VLOOKUP(D249,'Applicant Lookup'!$A$2:$F$2911,2,FALSE()),"Not found")</f>
        <v>Christopher Schultz</v>
      </c>
      <c r="F249" s="22" t="n">
        <v>2011</v>
      </c>
      <c r="G249" s="22" t="s">
        <v>8533</v>
      </c>
      <c r="H249" s="22" t="s">
        <v>188</v>
      </c>
      <c r="I249" s="22" t="s">
        <v>8603</v>
      </c>
      <c r="J249" s="22" t="s">
        <v>10489</v>
      </c>
      <c r="K249" s="22" t="s">
        <v>10501</v>
      </c>
      <c r="L249" s="23" t="n">
        <v>46040</v>
      </c>
      <c r="M249" s="22" t="n">
        <f aca="false">COUNTIFS('Skip PDF Index'!$B$6:$B$11,D249,'Skip PDF Index'!$D$6:$D$11,C249,'Skip PDF Index'!$F$6:$F$11,I249)</f>
        <v>0</v>
      </c>
      <c r="N249" s="22" t="n">
        <f aca="false">COUNTIFS('Skip PDF Index'!$B$6:$B$11,D249,'Skip PDF Index'!$D$6:$D$11,C249,'Skip PDF Index'!$E$6:$E$11,G249,'Skip PDF Index'!$F$6:$F$11,I249)</f>
        <v>0</v>
      </c>
      <c r="O249" s="22" t="n">
        <f aca="false">COUNTIFS('Skip PDF Index'!$B$6:$B$11,D249,'Skip PDF Index'!$D$6:$D$11,C249,'Skip PDF Index'!$E$6:$E$11,G249,'Skip PDF Index'!$F$6:$F$11,I249,'Skip PDF Index'!$H$6:$H$11,"SUPPORTING RECORD")</f>
        <v>0</v>
      </c>
      <c r="P249" s="22" t="n">
        <f aca="false">COUNTIFS('Offer Events'!$A$2:$A$1487,B249,'Offer Events'!$B$2:$B$1487,C249,'Offer Events'!$C$2:$C$1487,D249,'Offer Events'!$E$2:$E$1487,G249,'Offer Events'!$L$2:$L$1487,"SKIPPED",'Offer Events'!$P$2:$P$1487,I249)</f>
        <v>1</v>
      </c>
      <c r="Q249" s="22" t="str">
        <f aca="false">IF(L249&lt;=C249,"Y","N")</f>
        <v>N</v>
      </c>
      <c r="R249" s="22" t="str">
        <f aca="false">IF(AND(O249&gt;0,P249&gt;0,Q249="Y"),"Y","N")</f>
        <v>N</v>
      </c>
      <c r="S249" s="22" t="str">
        <f aca="false">IF(P249=0,"Offer register missing/mismatch",IF(N249=0,IF(M249&gt;0,"PDF slip mismatch","No matching PDF"),IF(O249=0,"PDF lacks supporting record","Reconciled")))</f>
        <v>No matching PDF</v>
      </c>
      <c r="T249" s="22" t="str">
        <f aca="false">IF(R249="Y","Compliant",S249&amp;IF(Q249="N","; review after skip",""))</f>
        <v>No matching PDF; review after skip</v>
      </c>
      <c r="U249" s="22" t="str">
        <f aca="false">IF(R249="Y","",IF(AND(O249&gt;0,P249&gt;0,Q249="N"),"Priority 2","Priority 1"))</f>
        <v>Priority 1</v>
      </c>
    </row>
    <row r="250" customFormat="false" ht="15" hidden="false" customHeight="false" outlineLevel="0" collapsed="false">
      <c r="A250" s="22" t="s">
        <v>10845</v>
      </c>
      <c r="B250" s="22" t="s">
        <v>10197</v>
      </c>
      <c r="C250" s="23" t="n">
        <v>46035</v>
      </c>
      <c r="D250" s="22" t="s">
        <v>1176</v>
      </c>
      <c r="E250" s="22" t="str">
        <f aca="false">IFERROR(VLOOKUP(D250,'Applicant Lookup'!$A$2:$F$2911,2,FALSE()),"Not found")</f>
        <v>Justin Turner</v>
      </c>
      <c r="F250" s="22" t="n">
        <v>368</v>
      </c>
      <c r="G250" s="22" t="s">
        <v>7948</v>
      </c>
      <c r="H250" s="22" t="s">
        <v>215</v>
      </c>
      <c r="I250" s="22" t="s">
        <v>8637</v>
      </c>
      <c r="J250" s="22" t="s">
        <v>10489</v>
      </c>
      <c r="K250" s="22" t="s">
        <v>10511</v>
      </c>
      <c r="L250" s="23" t="n">
        <v>46037</v>
      </c>
      <c r="M250" s="22" t="n">
        <f aca="false">COUNTIFS('Skip PDF Index'!$B$6:$B$11,D250,'Skip PDF Index'!$D$6:$D$11,C250,'Skip PDF Index'!$F$6:$F$11,I250)</f>
        <v>0</v>
      </c>
      <c r="N250" s="22" t="n">
        <f aca="false">COUNTIFS('Skip PDF Index'!$B$6:$B$11,D250,'Skip PDF Index'!$D$6:$D$11,C250,'Skip PDF Index'!$E$6:$E$11,G250,'Skip PDF Index'!$F$6:$F$11,I250)</f>
        <v>0</v>
      </c>
      <c r="O250" s="22" t="n">
        <f aca="false">COUNTIFS('Skip PDF Index'!$B$6:$B$11,D250,'Skip PDF Index'!$D$6:$D$11,C250,'Skip PDF Index'!$E$6:$E$11,G250,'Skip PDF Index'!$F$6:$F$11,I250,'Skip PDF Index'!$H$6:$H$11,"SUPPORTING RECORD")</f>
        <v>0</v>
      </c>
      <c r="P250" s="22" t="n">
        <f aca="false">COUNTIFS('Offer Events'!$A$2:$A$1487,B250,'Offer Events'!$B$2:$B$1487,C250,'Offer Events'!$C$2:$C$1487,D250,'Offer Events'!$E$2:$E$1487,G250,'Offer Events'!$L$2:$L$1487,"SKIPPED",'Offer Events'!$P$2:$P$1487,I250)</f>
        <v>1</v>
      </c>
      <c r="Q250" s="22" t="str">
        <f aca="false">IF(L250&lt;=C250,"Y","N")</f>
        <v>N</v>
      </c>
      <c r="R250" s="22" t="str">
        <f aca="false">IF(AND(O250&gt;0,P250&gt;0,Q250="Y"),"Y","N")</f>
        <v>N</v>
      </c>
      <c r="S250" s="22" t="str">
        <f aca="false">IF(P250=0,"Offer register missing/mismatch",IF(N250=0,IF(M250&gt;0,"PDF slip mismatch","No matching PDF"),IF(O250=0,"PDF lacks supporting record","Reconciled")))</f>
        <v>No matching PDF</v>
      </c>
      <c r="T250" s="22" t="str">
        <f aca="false">IF(R250="Y","Compliant",S250&amp;IF(Q250="N","; review after skip",""))</f>
        <v>No matching PDF; review after skip</v>
      </c>
      <c r="U250" s="22" t="str">
        <f aca="false">IF(R250="Y","",IF(AND(O250&gt;0,P250&gt;0,Q250="N"),"Priority 2","Priority 1"))</f>
        <v>Priority 1</v>
      </c>
    </row>
    <row r="251" customFormat="false" ht="15" hidden="false" customHeight="false" outlineLevel="0" collapsed="false">
      <c r="A251" s="22" t="s">
        <v>10846</v>
      </c>
      <c r="B251" s="22" t="s">
        <v>10198</v>
      </c>
      <c r="C251" s="23" t="n">
        <v>46043</v>
      </c>
      <c r="D251" s="22" t="s">
        <v>1343</v>
      </c>
      <c r="E251" s="22" t="str">
        <f aca="false">IFERROR(VLOOKUP(D251,'Applicant Lookup'!$A$2:$F$2911,2,FALSE()),"Not found")</f>
        <v>Jessica Schultz</v>
      </c>
      <c r="F251" s="22" t="n">
        <v>435</v>
      </c>
      <c r="G251" s="22" t="s">
        <v>8232</v>
      </c>
      <c r="H251" s="22" t="s">
        <v>499</v>
      </c>
      <c r="I251" s="22" t="s">
        <v>8618</v>
      </c>
      <c r="J251" s="22" t="s">
        <v>10489</v>
      </c>
      <c r="K251" s="22" t="s">
        <v>10555</v>
      </c>
      <c r="L251" s="23" t="n">
        <v>46044</v>
      </c>
      <c r="M251" s="22" t="n">
        <f aca="false">COUNTIFS('Skip PDF Index'!$B$6:$B$11,D251,'Skip PDF Index'!$D$6:$D$11,C251,'Skip PDF Index'!$F$6:$F$11,I251)</f>
        <v>0</v>
      </c>
      <c r="N251" s="22" t="n">
        <f aca="false">COUNTIFS('Skip PDF Index'!$B$6:$B$11,D251,'Skip PDF Index'!$D$6:$D$11,C251,'Skip PDF Index'!$E$6:$E$11,G251,'Skip PDF Index'!$F$6:$F$11,I251)</f>
        <v>0</v>
      </c>
      <c r="O251" s="22" t="n">
        <f aca="false">COUNTIFS('Skip PDF Index'!$B$6:$B$11,D251,'Skip PDF Index'!$D$6:$D$11,C251,'Skip PDF Index'!$E$6:$E$11,G251,'Skip PDF Index'!$F$6:$F$11,I251,'Skip PDF Index'!$H$6:$H$11,"SUPPORTING RECORD")</f>
        <v>0</v>
      </c>
      <c r="P251" s="22" t="n">
        <f aca="false">COUNTIFS('Offer Events'!$A$2:$A$1487,B251,'Offer Events'!$B$2:$B$1487,C251,'Offer Events'!$C$2:$C$1487,D251,'Offer Events'!$E$2:$E$1487,G251,'Offer Events'!$L$2:$L$1487,"SKIPPED",'Offer Events'!$P$2:$P$1487,I251)</f>
        <v>1</v>
      </c>
      <c r="Q251" s="22" t="str">
        <f aca="false">IF(L251&lt;=C251,"Y","N")</f>
        <v>N</v>
      </c>
      <c r="R251" s="22" t="str">
        <f aca="false">IF(AND(O251&gt;0,P251&gt;0,Q251="Y"),"Y","N")</f>
        <v>N</v>
      </c>
      <c r="S251" s="22" t="str">
        <f aca="false">IF(P251=0,"Offer register missing/mismatch",IF(N251=0,IF(M251&gt;0,"PDF slip mismatch","No matching PDF"),IF(O251=0,"PDF lacks supporting record","Reconciled")))</f>
        <v>No matching PDF</v>
      </c>
      <c r="T251" s="22" t="str">
        <f aca="false">IF(R251="Y","Compliant",S251&amp;IF(Q251="N","; review after skip",""))</f>
        <v>No matching PDF; review after skip</v>
      </c>
      <c r="U251" s="22" t="str">
        <f aca="false">IF(R251="Y","",IF(AND(O251&gt;0,P251&gt;0,Q251="N"),"Priority 2","Priority 1"))</f>
        <v>Priority 1</v>
      </c>
    </row>
    <row r="252" customFormat="false" ht="15" hidden="false" customHeight="false" outlineLevel="0" collapsed="false">
      <c r="A252" s="22" t="s">
        <v>10847</v>
      </c>
      <c r="B252" s="22" t="s">
        <v>10201</v>
      </c>
      <c r="C252" s="23" t="n">
        <v>46049</v>
      </c>
      <c r="D252" s="22" t="s">
        <v>5133</v>
      </c>
      <c r="E252" s="22" t="str">
        <f aca="false">IFERROR(VLOOKUP(D252,'Applicant Lookup'!$A$2:$F$2911,2,FALSE()),"Not found")</f>
        <v>Thomas Lee</v>
      </c>
      <c r="F252" s="22" t="n">
        <v>2197</v>
      </c>
      <c r="G252" s="22" t="s">
        <v>7268</v>
      </c>
      <c r="H252" s="22" t="s">
        <v>198</v>
      </c>
      <c r="I252" s="22" t="s">
        <v>8631</v>
      </c>
      <c r="J252" s="22" t="s">
        <v>10489</v>
      </c>
      <c r="K252" s="22" t="s">
        <v>10491</v>
      </c>
      <c r="L252" s="23" t="n">
        <v>46054</v>
      </c>
      <c r="M252" s="22" t="n">
        <f aca="false">COUNTIFS('Skip PDF Index'!$B$6:$B$11,D252,'Skip PDF Index'!$D$6:$D$11,C252,'Skip PDF Index'!$F$6:$F$11,I252)</f>
        <v>0</v>
      </c>
      <c r="N252" s="22" t="n">
        <f aca="false">COUNTIFS('Skip PDF Index'!$B$6:$B$11,D252,'Skip PDF Index'!$D$6:$D$11,C252,'Skip PDF Index'!$E$6:$E$11,G252,'Skip PDF Index'!$F$6:$F$11,I252)</f>
        <v>0</v>
      </c>
      <c r="O252" s="22" t="n">
        <f aca="false">COUNTIFS('Skip PDF Index'!$B$6:$B$11,D252,'Skip PDF Index'!$D$6:$D$11,C252,'Skip PDF Index'!$E$6:$E$11,G252,'Skip PDF Index'!$F$6:$F$11,I252,'Skip PDF Index'!$H$6:$H$11,"SUPPORTING RECORD")</f>
        <v>0</v>
      </c>
      <c r="P252" s="22" t="n">
        <f aca="false">COUNTIFS('Offer Events'!$A$2:$A$1487,B252,'Offer Events'!$B$2:$B$1487,C252,'Offer Events'!$C$2:$C$1487,D252,'Offer Events'!$E$2:$E$1487,G252,'Offer Events'!$L$2:$L$1487,"SKIPPED",'Offer Events'!$P$2:$P$1487,I252)</f>
        <v>1</v>
      </c>
      <c r="Q252" s="22" t="str">
        <f aca="false">IF(L252&lt;=C252,"Y","N")</f>
        <v>N</v>
      </c>
      <c r="R252" s="22" t="str">
        <f aca="false">IF(AND(O252&gt;0,P252&gt;0,Q252="Y"),"Y","N")</f>
        <v>N</v>
      </c>
      <c r="S252" s="22" t="str">
        <f aca="false">IF(P252=0,"Offer register missing/mismatch",IF(N252=0,IF(M252&gt;0,"PDF slip mismatch","No matching PDF"),IF(O252=0,"PDF lacks supporting record","Reconciled")))</f>
        <v>No matching PDF</v>
      </c>
      <c r="T252" s="22" t="str">
        <f aca="false">IF(R252="Y","Compliant",S252&amp;IF(Q252="N","; review after skip",""))</f>
        <v>No matching PDF; review after skip</v>
      </c>
      <c r="U252" s="22" t="str">
        <f aca="false">IF(R252="Y","",IF(AND(O252&gt;0,P252&gt;0,Q252="N"),"Priority 2","Priority 1"))</f>
        <v>Priority 1</v>
      </c>
    </row>
    <row r="253" customFormat="false" ht="15" hidden="false" customHeight="false" outlineLevel="0" collapsed="false">
      <c r="A253" s="22" t="s">
        <v>10848</v>
      </c>
      <c r="B253" s="22" t="s">
        <v>10202</v>
      </c>
      <c r="C253" s="23" t="n">
        <v>46023</v>
      </c>
      <c r="D253" s="22" t="s">
        <v>1632</v>
      </c>
      <c r="E253" s="22" t="str">
        <f aca="false">IFERROR(VLOOKUP(D253,'Applicant Lookup'!$A$2:$F$2911,2,FALSE()),"Not found")</f>
        <v>Edward Carter</v>
      </c>
      <c r="F253" s="22" t="n">
        <v>558</v>
      </c>
      <c r="G253" s="22" t="s">
        <v>7832</v>
      </c>
      <c r="H253" s="22" t="s">
        <v>215</v>
      </c>
      <c r="I253" s="22" t="s">
        <v>8603</v>
      </c>
      <c r="J253" s="22" t="s">
        <v>10489</v>
      </c>
      <c r="K253" s="22" t="s">
        <v>10501</v>
      </c>
      <c r="L253" s="23" t="n">
        <v>46025</v>
      </c>
      <c r="M253" s="22" t="n">
        <f aca="false">COUNTIFS('Skip PDF Index'!$B$6:$B$11,D253,'Skip PDF Index'!$D$6:$D$11,C253,'Skip PDF Index'!$F$6:$F$11,I253)</f>
        <v>0</v>
      </c>
      <c r="N253" s="22" t="n">
        <f aca="false">COUNTIFS('Skip PDF Index'!$B$6:$B$11,D253,'Skip PDF Index'!$D$6:$D$11,C253,'Skip PDF Index'!$E$6:$E$11,G253,'Skip PDF Index'!$F$6:$F$11,I253)</f>
        <v>0</v>
      </c>
      <c r="O253" s="22" t="n">
        <f aca="false">COUNTIFS('Skip PDF Index'!$B$6:$B$11,D253,'Skip PDF Index'!$D$6:$D$11,C253,'Skip PDF Index'!$E$6:$E$11,G253,'Skip PDF Index'!$F$6:$F$11,I253,'Skip PDF Index'!$H$6:$H$11,"SUPPORTING RECORD")</f>
        <v>0</v>
      </c>
      <c r="P253" s="22" t="n">
        <f aca="false">COUNTIFS('Offer Events'!$A$2:$A$1487,B253,'Offer Events'!$B$2:$B$1487,C253,'Offer Events'!$C$2:$C$1487,D253,'Offer Events'!$E$2:$E$1487,G253,'Offer Events'!$L$2:$L$1487,"SKIPPED",'Offer Events'!$P$2:$P$1487,I253)</f>
        <v>1</v>
      </c>
      <c r="Q253" s="22" t="str">
        <f aca="false">IF(L253&lt;=C253,"Y","N")</f>
        <v>N</v>
      </c>
      <c r="R253" s="22" t="str">
        <f aca="false">IF(AND(O253&gt;0,P253&gt;0,Q253="Y"),"Y","N")</f>
        <v>N</v>
      </c>
      <c r="S253" s="22" t="str">
        <f aca="false">IF(P253=0,"Offer register missing/mismatch",IF(N253=0,IF(M253&gt;0,"PDF slip mismatch","No matching PDF"),IF(O253=0,"PDF lacks supporting record","Reconciled")))</f>
        <v>No matching PDF</v>
      </c>
      <c r="T253" s="22" t="str">
        <f aca="false">IF(R253="Y","Compliant",S253&amp;IF(Q253="N","; review after skip",""))</f>
        <v>No matching PDF; review after skip</v>
      </c>
      <c r="U253" s="22" t="str">
        <f aca="false">IF(R253="Y","",IF(AND(O253&gt;0,P253&gt;0,Q253="N"),"Priority 2","Priority 1"))</f>
        <v>Priority 1</v>
      </c>
    </row>
    <row r="254" customFormat="false" ht="15" hidden="false" customHeight="false" outlineLevel="0" collapsed="false">
      <c r="A254" s="22" t="s">
        <v>10849</v>
      </c>
      <c r="B254" s="22" t="s">
        <v>10203</v>
      </c>
      <c r="C254" s="23" t="n">
        <v>46023</v>
      </c>
      <c r="D254" s="22" t="s">
        <v>4842</v>
      </c>
      <c r="E254" s="22" t="str">
        <f aca="false">IFERROR(VLOOKUP(D254,'Applicant Lookup'!$A$2:$F$2911,2,FALSE()),"Not found")</f>
        <v>Amanda Schmidt</v>
      </c>
      <c r="F254" s="22" t="n">
        <v>2054</v>
      </c>
      <c r="G254" s="22" t="s">
        <v>7376</v>
      </c>
      <c r="H254" s="22" t="s">
        <v>159</v>
      </c>
      <c r="I254" s="22" t="s">
        <v>8603</v>
      </c>
      <c r="J254" s="22" t="s">
        <v>10518</v>
      </c>
      <c r="K254" s="22" t="s">
        <v>10501</v>
      </c>
      <c r="L254" s="23" t="n">
        <v>46026</v>
      </c>
      <c r="M254" s="22" t="n">
        <f aca="false">COUNTIFS('Skip PDF Index'!$B$6:$B$11,D254,'Skip PDF Index'!$D$6:$D$11,C254,'Skip PDF Index'!$F$6:$F$11,I254)</f>
        <v>0</v>
      </c>
      <c r="N254" s="22" t="n">
        <f aca="false">COUNTIFS('Skip PDF Index'!$B$6:$B$11,D254,'Skip PDF Index'!$D$6:$D$11,C254,'Skip PDF Index'!$E$6:$E$11,G254,'Skip PDF Index'!$F$6:$F$11,I254)</f>
        <v>0</v>
      </c>
      <c r="O254" s="22" t="n">
        <f aca="false">COUNTIFS('Skip PDF Index'!$B$6:$B$11,D254,'Skip PDF Index'!$D$6:$D$11,C254,'Skip PDF Index'!$E$6:$E$11,G254,'Skip PDF Index'!$F$6:$F$11,I254,'Skip PDF Index'!$H$6:$H$11,"SUPPORTING RECORD")</f>
        <v>0</v>
      </c>
      <c r="P254" s="22" t="n">
        <f aca="false">COUNTIFS('Offer Events'!$A$2:$A$1487,B254,'Offer Events'!$B$2:$B$1487,C254,'Offer Events'!$C$2:$C$1487,D254,'Offer Events'!$E$2:$E$1487,G254,'Offer Events'!$L$2:$L$1487,"SKIPPED",'Offer Events'!$P$2:$P$1487,I254)</f>
        <v>1</v>
      </c>
      <c r="Q254" s="22" t="str">
        <f aca="false">IF(L254&lt;=C254,"Y","N")</f>
        <v>N</v>
      </c>
      <c r="R254" s="22" t="str">
        <f aca="false">IF(AND(O254&gt;0,P254&gt;0,Q254="Y"),"Y","N")</f>
        <v>N</v>
      </c>
      <c r="S254" s="22" t="str">
        <f aca="false">IF(P254=0,"Offer register missing/mismatch",IF(N254=0,IF(M254&gt;0,"PDF slip mismatch","No matching PDF"),IF(O254=0,"PDF lacks supporting record","Reconciled")))</f>
        <v>No matching PDF</v>
      </c>
      <c r="T254" s="22" t="str">
        <f aca="false">IF(R254="Y","Compliant",S254&amp;IF(Q254="N","; review after skip",""))</f>
        <v>No matching PDF; review after skip</v>
      </c>
      <c r="U254" s="22" t="str">
        <f aca="false">IF(R254="Y","",IF(AND(O254&gt;0,P254&gt;0,Q254="N"),"Priority 2","Priority 1"))</f>
        <v>Priority 1</v>
      </c>
    </row>
    <row r="255" customFormat="false" ht="15" hidden="false" customHeight="false" outlineLevel="0" collapsed="false">
      <c r="A255" s="22" t="s">
        <v>10850</v>
      </c>
      <c r="B255" s="22" t="s">
        <v>10211</v>
      </c>
      <c r="C255" s="23" t="n">
        <v>46075</v>
      </c>
      <c r="D255" s="22" t="s">
        <v>6370</v>
      </c>
      <c r="E255" s="22" t="str">
        <f aca="false">IFERROR(VLOOKUP(D255,'Applicant Lookup'!$A$2:$F$2911,2,FALSE()),"Not found")</f>
        <v>Leslie Short</v>
      </c>
      <c r="F255" s="22" t="n">
        <v>2817</v>
      </c>
      <c r="G255" s="22" t="s">
        <v>8573</v>
      </c>
      <c r="H255" s="22" t="s">
        <v>188</v>
      </c>
      <c r="I255" s="22" t="s">
        <v>8603</v>
      </c>
      <c r="J255" s="22" t="s">
        <v>10489</v>
      </c>
      <c r="K255" s="22" t="s">
        <v>10513</v>
      </c>
      <c r="L255" s="23" t="n">
        <v>46076</v>
      </c>
      <c r="M255" s="22" t="n">
        <f aca="false">COUNTIFS('Skip PDF Index'!$B$6:$B$11,D255,'Skip PDF Index'!$D$6:$D$11,C255,'Skip PDF Index'!$F$6:$F$11,I255)</f>
        <v>0</v>
      </c>
      <c r="N255" s="22" t="n">
        <f aca="false">COUNTIFS('Skip PDF Index'!$B$6:$B$11,D255,'Skip PDF Index'!$D$6:$D$11,C255,'Skip PDF Index'!$E$6:$E$11,G255,'Skip PDF Index'!$F$6:$F$11,I255)</f>
        <v>0</v>
      </c>
      <c r="O255" s="22" t="n">
        <f aca="false">COUNTIFS('Skip PDF Index'!$B$6:$B$11,D255,'Skip PDF Index'!$D$6:$D$11,C255,'Skip PDF Index'!$E$6:$E$11,G255,'Skip PDF Index'!$F$6:$F$11,I255,'Skip PDF Index'!$H$6:$H$11,"SUPPORTING RECORD")</f>
        <v>0</v>
      </c>
      <c r="P255" s="22" t="n">
        <f aca="false">COUNTIFS('Offer Events'!$A$2:$A$1487,B255,'Offer Events'!$B$2:$B$1487,C255,'Offer Events'!$C$2:$C$1487,D255,'Offer Events'!$E$2:$E$1487,G255,'Offer Events'!$L$2:$L$1487,"SKIPPED",'Offer Events'!$P$2:$P$1487,I255)</f>
        <v>1</v>
      </c>
      <c r="Q255" s="22" t="str">
        <f aca="false">IF(L255&lt;=C255,"Y","N")</f>
        <v>N</v>
      </c>
      <c r="R255" s="22" t="str">
        <f aca="false">IF(AND(O255&gt;0,P255&gt;0,Q255="Y"),"Y","N")</f>
        <v>N</v>
      </c>
      <c r="S255" s="22" t="str">
        <f aca="false">IF(P255=0,"Offer register missing/mismatch",IF(N255=0,IF(M255&gt;0,"PDF slip mismatch","No matching PDF"),IF(O255=0,"PDF lacks supporting record","Reconciled")))</f>
        <v>No matching PDF</v>
      </c>
      <c r="T255" s="22" t="str">
        <f aca="false">IF(R255="Y","Compliant",S255&amp;IF(Q255="N","; review after skip",""))</f>
        <v>No matching PDF; review after skip</v>
      </c>
      <c r="U255" s="22" t="str">
        <f aca="false">IF(R255="Y","",IF(AND(O255&gt;0,P255&gt;0,Q255="N"),"Priority 2","Priority 1"))</f>
        <v>Priority 1</v>
      </c>
    </row>
    <row r="256" customFormat="false" ht="15" hidden="false" customHeight="false" outlineLevel="0" collapsed="false">
      <c r="A256" s="22" t="s">
        <v>10851</v>
      </c>
      <c r="B256" s="22" t="s">
        <v>10219</v>
      </c>
      <c r="C256" s="23" t="n">
        <v>46080</v>
      </c>
      <c r="D256" s="22" t="s">
        <v>6046</v>
      </c>
      <c r="E256" s="22" t="str">
        <f aca="false">IFERROR(VLOOKUP(D256,'Applicant Lookup'!$A$2:$F$2911,2,FALSE()),"Not found")</f>
        <v>Rodney Carter</v>
      </c>
      <c r="F256" s="22" t="n">
        <v>2653</v>
      </c>
      <c r="G256" s="22" t="s">
        <v>6968</v>
      </c>
      <c r="H256" s="22" t="s">
        <v>198</v>
      </c>
      <c r="I256" s="22" t="s">
        <v>8603</v>
      </c>
      <c r="J256" s="22" t="s">
        <v>10489</v>
      </c>
      <c r="K256" s="22" t="s">
        <v>10513</v>
      </c>
      <c r="L256" s="23" t="n">
        <v>46082</v>
      </c>
      <c r="M256" s="22" t="n">
        <f aca="false">COUNTIFS('Skip PDF Index'!$B$6:$B$11,D256,'Skip PDF Index'!$D$6:$D$11,C256,'Skip PDF Index'!$F$6:$F$11,I256)</f>
        <v>0</v>
      </c>
      <c r="N256" s="22" t="n">
        <f aca="false">COUNTIFS('Skip PDF Index'!$B$6:$B$11,D256,'Skip PDF Index'!$D$6:$D$11,C256,'Skip PDF Index'!$E$6:$E$11,G256,'Skip PDF Index'!$F$6:$F$11,I256)</f>
        <v>0</v>
      </c>
      <c r="O256" s="22" t="n">
        <f aca="false">COUNTIFS('Skip PDF Index'!$B$6:$B$11,D256,'Skip PDF Index'!$D$6:$D$11,C256,'Skip PDF Index'!$E$6:$E$11,G256,'Skip PDF Index'!$F$6:$F$11,I256,'Skip PDF Index'!$H$6:$H$11,"SUPPORTING RECORD")</f>
        <v>0</v>
      </c>
      <c r="P256" s="22" t="n">
        <f aca="false">COUNTIFS('Offer Events'!$A$2:$A$1487,B256,'Offer Events'!$B$2:$B$1487,C256,'Offer Events'!$C$2:$C$1487,D256,'Offer Events'!$E$2:$E$1487,G256,'Offer Events'!$L$2:$L$1487,"SKIPPED",'Offer Events'!$P$2:$P$1487,I256)</f>
        <v>1</v>
      </c>
      <c r="Q256" s="22" t="str">
        <f aca="false">IF(L256&lt;=C256,"Y","N")</f>
        <v>N</v>
      </c>
      <c r="R256" s="22" t="str">
        <f aca="false">IF(AND(O256&gt;0,P256&gt;0,Q256="Y"),"Y","N")</f>
        <v>N</v>
      </c>
      <c r="S256" s="22" t="str">
        <f aca="false">IF(P256=0,"Offer register missing/mismatch",IF(N256=0,IF(M256&gt;0,"PDF slip mismatch","No matching PDF"),IF(O256=0,"PDF lacks supporting record","Reconciled")))</f>
        <v>No matching PDF</v>
      </c>
      <c r="T256" s="22" t="str">
        <f aca="false">IF(R256="Y","Compliant",S256&amp;IF(Q256="N","; review after skip",""))</f>
        <v>No matching PDF; review after skip</v>
      </c>
      <c r="U256" s="22" t="str">
        <f aca="false">IF(R256="Y","",IF(AND(O256&gt;0,P256&gt;0,Q256="N"),"Priority 2","Priority 1"))</f>
        <v>Priority 1</v>
      </c>
    </row>
    <row r="257" customFormat="false" ht="15" hidden="false" customHeight="false" outlineLevel="0" collapsed="false">
      <c r="A257" s="22" t="s">
        <v>10852</v>
      </c>
      <c r="B257" s="22" t="s">
        <v>10220</v>
      </c>
      <c r="C257" s="23" t="n">
        <v>46067</v>
      </c>
      <c r="D257" s="22" t="s">
        <v>1746</v>
      </c>
      <c r="E257" s="22" t="str">
        <f aca="false">IFERROR(VLOOKUP(D257,'Applicant Lookup'!$A$2:$F$2911,2,FALSE()),"Not found")</f>
        <v>Michael Curtis</v>
      </c>
      <c r="F257" s="22" t="n">
        <v>605</v>
      </c>
      <c r="G257" s="22" t="s">
        <v>7638</v>
      </c>
      <c r="H257" s="22" t="s">
        <v>159</v>
      </c>
      <c r="I257" s="22" t="s">
        <v>8637</v>
      </c>
      <c r="J257" s="22" t="s">
        <v>10489</v>
      </c>
      <c r="K257" s="22" t="s">
        <v>10511</v>
      </c>
      <c r="L257" s="23" t="n">
        <v>46068</v>
      </c>
      <c r="M257" s="22" t="n">
        <f aca="false">COUNTIFS('Skip PDF Index'!$B$6:$B$11,D257,'Skip PDF Index'!$D$6:$D$11,C257,'Skip PDF Index'!$F$6:$F$11,I257)</f>
        <v>0</v>
      </c>
      <c r="N257" s="22" t="n">
        <f aca="false">COUNTIFS('Skip PDF Index'!$B$6:$B$11,D257,'Skip PDF Index'!$D$6:$D$11,C257,'Skip PDF Index'!$E$6:$E$11,G257,'Skip PDF Index'!$F$6:$F$11,I257)</f>
        <v>0</v>
      </c>
      <c r="O257" s="22" t="n">
        <f aca="false">COUNTIFS('Skip PDF Index'!$B$6:$B$11,D257,'Skip PDF Index'!$D$6:$D$11,C257,'Skip PDF Index'!$E$6:$E$11,G257,'Skip PDF Index'!$F$6:$F$11,I257,'Skip PDF Index'!$H$6:$H$11,"SUPPORTING RECORD")</f>
        <v>0</v>
      </c>
      <c r="P257" s="22" t="n">
        <f aca="false">COUNTIFS('Offer Events'!$A$2:$A$1487,B257,'Offer Events'!$B$2:$B$1487,C257,'Offer Events'!$C$2:$C$1487,D257,'Offer Events'!$E$2:$E$1487,G257,'Offer Events'!$L$2:$L$1487,"SKIPPED",'Offer Events'!$P$2:$P$1487,I257)</f>
        <v>1</v>
      </c>
      <c r="Q257" s="22" t="str">
        <f aca="false">IF(L257&lt;=C257,"Y","N")</f>
        <v>N</v>
      </c>
      <c r="R257" s="22" t="str">
        <f aca="false">IF(AND(O257&gt;0,P257&gt;0,Q257="Y"),"Y","N")</f>
        <v>N</v>
      </c>
      <c r="S257" s="22" t="str">
        <f aca="false">IF(P257=0,"Offer register missing/mismatch",IF(N257=0,IF(M257&gt;0,"PDF slip mismatch","No matching PDF"),IF(O257=0,"PDF lacks supporting record","Reconciled")))</f>
        <v>No matching PDF</v>
      </c>
      <c r="T257" s="22" t="str">
        <f aca="false">IF(R257="Y","Compliant",S257&amp;IF(Q257="N","; review after skip",""))</f>
        <v>No matching PDF; review after skip</v>
      </c>
      <c r="U257" s="22" t="str">
        <f aca="false">IF(R257="Y","",IF(AND(O257&gt;0,P257&gt;0,Q257="N"),"Priority 2","Priority 1"))</f>
        <v>Priority 1</v>
      </c>
    </row>
    <row r="258" customFormat="false" ht="15" hidden="false" customHeight="false" outlineLevel="0" collapsed="false">
      <c r="A258" s="22" t="s">
        <v>10853</v>
      </c>
      <c r="B258" s="22" t="s">
        <v>10221</v>
      </c>
      <c r="C258" s="23" t="n">
        <v>46075</v>
      </c>
      <c r="D258" s="22" t="s">
        <v>1614</v>
      </c>
      <c r="E258" s="22" t="str">
        <f aca="false">IFERROR(VLOOKUP(D258,'Applicant Lookup'!$A$2:$F$2911,2,FALSE()),"Not found")</f>
        <v>Brittany Grant</v>
      </c>
      <c r="F258" s="22" t="n">
        <v>550</v>
      </c>
      <c r="G258" s="22" t="s">
        <v>8020</v>
      </c>
      <c r="H258" s="22" t="s">
        <v>215</v>
      </c>
      <c r="I258" s="22" t="s">
        <v>8603</v>
      </c>
      <c r="J258" s="22" t="s">
        <v>10489</v>
      </c>
      <c r="K258" s="22" t="s">
        <v>10511</v>
      </c>
      <c r="L258" s="23" t="n">
        <v>46078</v>
      </c>
      <c r="M258" s="22" t="n">
        <f aca="false">COUNTIFS('Skip PDF Index'!$B$6:$B$11,D258,'Skip PDF Index'!$D$6:$D$11,C258,'Skip PDF Index'!$F$6:$F$11,I258)</f>
        <v>0</v>
      </c>
      <c r="N258" s="22" t="n">
        <f aca="false">COUNTIFS('Skip PDF Index'!$B$6:$B$11,D258,'Skip PDF Index'!$D$6:$D$11,C258,'Skip PDF Index'!$E$6:$E$11,G258,'Skip PDF Index'!$F$6:$F$11,I258)</f>
        <v>0</v>
      </c>
      <c r="O258" s="22" t="n">
        <f aca="false">COUNTIFS('Skip PDF Index'!$B$6:$B$11,D258,'Skip PDF Index'!$D$6:$D$11,C258,'Skip PDF Index'!$E$6:$E$11,G258,'Skip PDF Index'!$F$6:$F$11,I258,'Skip PDF Index'!$H$6:$H$11,"SUPPORTING RECORD")</f>
        <v>0</v>
      </c>
      <c r="P258" s="22" t="n">
        <f aca="false">COUNTIFS('Offer Events'!$A$2:$A$1487,B258,'Offer Events'!$B$2:$B$1487,C258,'Offer Events'!$C$2:$C$1487,D258,'Offer Events'!$E$2:$E$1487,G258,'Offer Events'!$L$2:$L$1487,"SKIPPED",'Offer Events'!$P$2:$P$1487,I258)</f>
        <v>1</v>
      </c>
      <c r="Q258" s="22" t="str">
        <f aca="false">IF(L258&lt;=C258,"Y","N")</f>
        <v>N</v>
      </c>
      <c r="R258" s="22" t="str">
        <f aca="false">IF(AND(O258&gt;0,P258&gt;0,Q258="Y"),"Y","N")</f>
        <v>N</v>
      </c>
      <c r="S258" s="22" t="str">
        <f aca="false">IF(P258=0,"Offer register missing/mismatch",IF(N258=0,IF(M258&gt;0,"PDF slip mismatch","No matching PDF"),IF(O258=0,"PDF lacks supporting record","Reconciled")))</f>
        <v>No matching PDF</v>
      </c>
      <c r="T258" s="22" t="str">
        <f aca="false">IF(R258="Y","Compliant",S258&amp;IF(Q258="N","; review after skip",""))</f>
        <v>No matching PDF; review after skip</v>
      </c>
      <c r="U258" s="22" t="str">
        <f aca="false">IF(R258="Y","",IF(AND(O258&gt;0,P258&gt;0,Q258="N"),"Priority 2","Priority 1"))</f>
        <v>Priority 1</v>
      </c>
    </row>
    <row r="259" customFormat="false" ht="15" hidden="false" customHeight="false" outlineLevel="0" collapsed="false">
      <c r="A259" s="22" t="s">
        <v>10854</v>
      </c>
      <c r="B259" s="22" t="s">
        <v>10230</v>
      </c>
      <c r="C259" s="23" t="n">
        <v>46075</v>
      </c>
      <c r="D259" s="22" t="s">
        <v>4587</v>
      </c>
      <c r="E259" s="22" t="str">
        <f aca="false">IFERROR(VLOOKUP(D259,'Applicant Lookup'!$A$2:$F$2911,2,FALSE()),"Not found")</f>
        <v>Carmen Strickland</v>
      </c>
      <c r="F259" s="22" t="n">
        <v>1930</v>
      </c>
      <c r="G259" s="22" t="s">
        <v>7163</v>
      </c>
      <c r="H259" s="22" t="s">
        <v>198</v>
      </c>
      <c r="I259" s="22" t="s">
        <v>8631</v>
      </c>
      <c r="J259" s="22" t="s">
        <v>10489</v>
      </c>
      <c r="K259" s="22" t="s">
        <v>10511</v>
      </c>
      <c r="L259" s="23" t="n">
        <v>46075</v>
      </c>
      <c r="M259" s="22" t="n">
        <f aca="false">COUNTIFS('Skip PDF Index'!$B$6:$B$11,D259,'Skip PDF Index'!$D$6:$D$11,C259,'Skip PDF Index'!$F$6:$F$11,I259)</f>
        <v>0</v>
      </c>
      <c r="N259" s="22" t="n">
        <f aca="false">COUNTIFS('Skip PDF Index'!$B$6:$B$11,D259,'Skip PDF Index'!$D$6:$D$11,C259,'Skip PDF Index'!$E$6:$E$11,G259,'Skip PDF Index'!$F$6:$F$11,I259)</f>
        <v>0</v>
      </c>
      <c r="O259" s="22" t="n">
        <f aca="false">COUNTIFS('Skip PDF Index'!$B$6:$B$11,D259,'Skip PDF Index'!$D$6:$D$11,C259,'Skip PDF Index'!$E$6:$E$11,G259,'Skip PDF Index'!$F$6:$F$11,I259,'Skip PDF Index'!$H$6:$H$11,"SUPPORTING RECORD")</f>
        <v>0</v>
      </c>
      <c r="P259" s="22" t="n">
        <f aca="false">COUNTIFS('Offer Events'!$A$2:$A$1487,B259,'Offer Events'!$B$2:$B$1487,C259,'Offer Events'!$C$2:$C$1487,D259,'Offer Events'!$E$2:$E$1487,G259,'Offer Events'!$L$2:$L$1487,"SKIPPED",'Offer Events'!$P$2:$P$1487,I259)</f>
        <v>1</v>
      </c>
      <c r="Q259" s="22" t="str">
        <f aca="false">IF(L259&lt;=C259,"Y","N")</f>
        <v>Y</v>
      </c>
      <c r="R259" s="22" t="str">
        <f aca="false">IF(AND(O259&gt;0,P259&gt;0,Q259="Y"),"Y","N")</f>
        <v>N</v>
      </c>
      <c r="S259" s="22" t="str">
        <f aca="false">IF(P259=0,"Offer register missing/mismatch",IF(N259=0,IF(M259&gt;0,"PDF slip mismatch","No matching PDF"),IF(O259=0,"PDF lacks supporting record","Reconciled")))</f>
        <v>No matching PDF</v>
      </c>
      <c r="T259" s="22" t="str">
        <f aca="false">IF(R259="Y","Compliant",S259&amp;IF(Q259="N","; review after skip",""))</f>
        <v>No matching PDF</v>
      </c>
      <c r="U259" s="22" t="str">
        <f aca="false">IF(R259="Y","",IF(AND(O259&gt;0,P259&gt;0,Q259="N"),"Priority 2","Priority 1"))</f>
        <v>Priority 1</v>
      </c>
    </row>
    <row r="260" customFormat="false" ht="15" hidden="false" customHeight="false" outlineLevel="0" collapsed="false">
      <c r="A260" s="22" t="s">
        <v>10855</v>
      </c>
      <c r="B260" s="22" t="s">
        <v>10231</v>
      </c>
      <c r="C260" s="23" t="n">
        <v>46060</v>
      </c>
      <c r="D260" s="22" t="s">
        <v>6368</v>
      </c>
      <c r="E260" s="22" t="str">
        <f aca="false">IFERROR(VLOOKUP(D260,'Applicant Lookup'!$A$2:$F$2911,2,FALSE()),"Not found")</f>
        <v>Brittany Lopez</v>
      </c>
      <c r="F260" s="22" t="n">
        <v>2816</v>
      </c>
      <c r="G260" s="22" t="s">
        <v>7936</v>
      </c>
      <c r="H260" s="22" t="s">
        <v>215</v>
      </c>
      <c r="I260" s="22" t="s">
        <v>8603</v>
      </c>
      <c r="J260" s="22" t="s">
        <v>10489</v>
      </c>
      <c r="K260" s="22" t="s">
        <v>10513</v>
      </c>
      <c r="L260" s="23" t="n">
        <v>46065</v>
      </c>
      <c r="M260" s="22" t="n">
        <f aca="false">COUNTIFS('Skip PDF Index'!$B$6:$B$11,D260,'Skip PDF Index'!$D$6:$D$11,C260,'Skip PDF Index'!$F$6:$F$11,I260)</f>
        <v>0</v>
      </c>
      <c r="N260" s="22" t="n">
        <f aca="false">COUNTIFS('Skip PDF Index'!$B$6:$B$11,D260,'Skip PDF Index'!$D$6:$D$11,C260,'Skip PDF Index'!$E$6:$E$11,G260,'Skip PDF Index'!$F$6:$F$11,I260)</f>
        <v>0</v>
      </c>
      <c r="O260" s="22" t="n">
        <f aca="false">COUNTIFS('Skip PDF Index'!$B$6:$B$11,D260,'Skip PDF Index'!$D$6:$D$11,C260,'Skip PDF Index'!$E$6:$E$11,G260,'Skip PDF Index'!$F$6:$F$11,I260,'Skip PDF Index'!$H$6:$H$11,"SUPPORTING RECORD")</f>
        <v>0</v>
      </c>
      <c r="P260" s="22" t="n">
        <f aca="false">COUNTIFS('Offer Events'!$A$2:$A$1487,B260,'Offer Events'!$B$2:$B$1487,C260,'Offer Events'!$C$2:$C$1487,D260,'Offer Events'!$E$2:$E$1487,G260,'Offer Events'!$L$2:$L$1487,"SKIPPED",'Offer Events'!$P$2:$P$1487,I260)</f>
        <v>1</v>
      </c>
      <c r="Q260" s="22" t="str">
        <f aca="false">IF(L260&lt;=C260,"Y","N")</f>
        <v>N</v>
      </c>
      <c r="R260" s="22" t="str">
        <f aca="false">IF(AND(O260&gt;0,P260&gt;0,Q260="Y"),"Y","N")</f>
        <v>N</v>
      </c>
      <c r="S260" s="22" t="str">
        <f aca="false">IF(P260=0,"Offer register missing/mismatch",IF(N260=0,IF(M260&gt;0,"PDF slip mismatch","No matching PDF"),IF(O260=0,"PDF lacks supporting record","Reconciled")))</f>
        <v>No matching PDF</v>
      </c>
      <c r="T260" s="22" t="str">
        <f aca="false">IF(R260="Y","Compliant",S260&amp;IF(Q260="N","; review after skip",""))</f>
        <v>No matching PDF; review after skip</v>
      </c>
      <c r="U260" s="22" t="str">
        <f aca="false">IF(R260="Y","",IF(AND(O260&gt;0,P260&gt;0,Q260="N"),"Priority 2","Priority 1"))</f>
        <v>Priority 1</v>
      </c>
    </row>
    <row r="261" customFormat="false" ht="15" hidden="false" customHeight="false" outlineLevel="0" collapsed="false">
      <c r="A261" s="22" t="s">
        <v>10856</v>
      </c>
      <c r="B261" s="22" t="s">
        <v>10236</v>
      </c>
      <c r="C261" s="23" t="n">
        <v>46093</v>
      </c>
      <c r="D261" s="22" t="s">
        <v>276</v>
      </c>
      <c r="E261" s="22" t="str">
        <f aca="false">IFERROR(VLOOKUP(D261,'Applicant Lookup'!$A$2:$F$2911,2,FALSE()),"Not found")</f>
        <v>Laura Collins</v>
      </c>
      <c r="F261" s="22" t="n">
        <v>38</v>
      </c>
      <c r="G261" s="22" t="s">
        <v>8039</v>
      </c>
      <c r="H261" s="22" t="s">
        <v>499</v>
      </c>
      <c r="I261" s="22" t="s">
        <v>8618</v>
      </c>
      <c r="J261" s="22" t="s">
        <v>10489</v>
      </c>
      <c r="K261" s="22" t="s">
        <v>10501</v>
      </c>
      <c r="L261" s="23" t="n">
        <v>46098</v>
      </c>
      <c r="M261" s="22" t="n">
        <f aca="false">COUNTIFS('Skip PDF Index'!$B$6:$B$11,D261,'Skip PDF Index'!$D$6:$D$11,C261,'Skip PDF Index'!$F$6:$F$11,I261)</f>
        <v>0</v>
      </c>
      <c r="N261" s="22" t="n">
        <f aca="false">COUNTIFS('Skip PDF Index'!$B$6:$B$11,D261,'Skip PDF Index'!$D$6:$D$11,C261,'Skip PDF Index'!$E$6:$E$11,G261,'Skip PDF Index'!$F$6:$F$11,I261)</f>
        <v>0</v>
      </c>
      <c r="O261" s="22" t="n">
        <f aca="false">COUNTIFS('Skip PDF Index'!$B$6:$B$11,D261,'Skip PDF Index'!$D$6:$D$11,C261,'Skip PDF Index'!$E$6:$E$11,G261,'Skip PDF Index'!$F$6:$F$11,I261,'Skip PDF Index'!$H$6:$H$11,"SUPPORTING RECORD")</f>
        <v>0</v>
      </c>
      <c r="P261" s="22" t="n">
        <f aca="false">COUNTIFS('Offer Events'!$A$2:$A$1487,B261,'Offer Events'!$B$2:$B$1487,C261,'Offer Events'!$C$2:$C$1487,D261,'Offer Events'!$E$2:$E$1487,G261,'Offer Events'!$L$2:$L$1487,"SKIPPED",'Offer Events'!$P$2:$P$1487,I261)</f>
        <v>1</v>
      </c>
      <c r="Q261" s="22" t="str">
        <f aca="false">IF(L261&lt;=C261,"Y","N")</f>
        <v>N</v>
      </c>
      <c r="R261" s="22" t="str">
        <f aca="false">IF(AND(O261&gt;0,P261&gt;0,Q261="Y"),"Y","N")</f>
        <v>N</v>
      </c>
      <c r="S261" s="22" t="str">
        <f aca="false">IF(P261=0,"Offer register missing/mismatch",IF(N261=0,IF(M261&gt;0,"PDF slip mismatch","No matching PDF"),IF(O261=0,"PDF lacks supporting record","Reconciled")))</f>
        <v>No matching PDF</v>
      </c>
      <c r="T261" s="22" t="str">
        <f aca="false">IF(R261="Y","Compliant",S261&amp;IF(Q261="N","; review after skip",""))</f>
        <v>No matching PDF; review after skip</v>
      </c>
      <c r="U261" s="22" t="str">
        <f aca="false">IF(R261="Y","",IF(AND(O261&gt;0,P261&gt;0,Q261="N"),"Priority 2","Priority 1"))</f>
        <v>Priority 1</v>
      </c>
    </row>
    <row r="262" customFormat="false" ht="15" hidden="false" customHeight="false" outlineLevel="0" collapsed="false">
      <c r="A262" s="22" t="s">
        <v>10857</v>
      </c>
      <c r="B262" s="22" t="s">
        <v>10251</v>
      </c>
      <c r="C262" s="23" t="n">
        <v>46096</v>
      </c>
      <c r="D262" s="22" t="s">
        <v>3309</v>
      </c>
      <c r="E262" s="22" t="str">
        <f aca="false">IFERROR(VLOOKUP(D262,'Applicant Lookup'!$A$2:$F$2911,2,FALSE()),"Not found")</f>
        <v>Lori Schneider</v>
      </c>
      <c r="F262" s="22" t="n">
        <v>1306</v>
      </c>
      <c r="G262" s="22" t="s">
        <v>8523</v>
      </c>
      <c r="H262" s="22" t="s">
        <v>188</v>
      </c>
      <c r="I262" s="22" t="s">
        <v>8618</v>
      </c>
      <c r="J262" s="22" t="s">
        <v>10489</v>
      </c>
      <c r="K262" s="22" t="s">
        <v>10506</v>
      </c>
      <c r="L262" s="23" t="n">
        <v>46099</v>
      </c>
      <c r="M262" s="22" t="n">
        <f aca="false">COUNTIFS('Skip PDF Index'!$B$6:$B$11,D262,'Skip PDF Index'!$D$6:$D$11,C262,'Skip PDF Index'!$F$6:$F$11,I262)</f>
        <v>0</v>
      </c>
      <c r="N262" s="22" t="n">
        <f aca="false">COUNTIFS('Skip PDF Index'!$B$6:$B$11,D262,'Skip PDF Index'!$D$6:$D$11,C262,'Skip PDF Index'!$E$6:$E$11,G262,'Skip PDF Index'!$F$6:$F$11,I262)</f>
        <v>0</v>
      </c>
      <c r="O262" s="22" t="n">
        <f aca="false">COUNTIFS('Skip PDF Index'!$B$6:$B$11,D262,'Skip PDF Index'!$D$6:$D$11,C262,'Skip PDF Index'!$E$6:$E$11,G262,'Skip PDF Index'!$F$6:$F$11,I262,'Skip PDF Index'!$H$6:$H$11,"SUPPORTING RECORD")</f>
        <v>0</v>
      </c>
      <c r="P262" s="22" t="n">
        <f aca="false">COUNTIFS('Offer Events'!$A$2:$A$1487,B262,'Offer Events'!$B$2:$B$1487,C262,'Offer Events'!$C$2:$C$1487,D262,'Offer Events'!$E$2:$E$1487,G262,'Offer Events'!$L$2:$L$1487,"SKIPPED",'Offer Events'!$P$2:$P$1487,I262)</f>
        <v>1</v>
      </c>
      <c r="Q262" s="22" t="str">
        <f aca="false">IF(L262&lt;=C262,"Y","N")</f>
        <v>N</v>
      </c>
      <c r="R262" s="22" t="str">
        <f aca="false">IF(AND(O262&gt;0,P262&gt;0,Q262="Y"),"Y","N")</f>
        <v>N</v>
      </c>
      <c r="S262" s="22" t="str">
        <f aca="false">IF(P262=0,"Offer register missing/mismatch",IF(N262=0,IF(M262&gt;0,"PDF slip mismatch","No matching PDF"),IF(O262=0,"PDF lacks supporting record","Reconciled")))</f>
        <v>No matching PDF</v>
      </c>
      <c r="T262" s="22" t="str">
        <f aca="false">IF(R262="Y","Compliant",S262&amp;IF(Q262="N","; review after skip",""))</f>
        <v>No matching PDF; review after skip</v>
      </c>
      <c r="U262" s="22" t="str">
        <f aca="false">IF(R262="Y","",IF(AND(O262&gt;0,P262&gt;0,Q262="N"),"Priority 2","Priority 1"))</f>
        <v>Priority 1</v>
      </c>
    </row>
    <row r="263" customFormat="false" ht="15" hidden="false" customHeight="false" outlineLevel="0" collapsed="false">
      <c r="A263" s="22" t="s">
        <v>10858</v>
      </c>
      <c r="B263" s="22" t="s">
        <v>10252</v>
      </c>
      <c r="C263" s="23" t="n">
        <v>46107</v>
      </c>
      <c r="D263" s="22" t="s">
        <v>568</v>
      </c>
      <c r="E263" s="22" t="str">
        <f aca="false">IFERROR(VLOOKUP(D263,'Applicant Lookup'!$A$2:$F$2911,2,FALSE()),"Not found")</f>
        <v>Zachary Martin</v>
      </c>
      <c r="F263" s="22" t="n">
        <v>139</v>
      </c>
      <c r="G263" s="22" t="s">
        <v>8118</v>
      </c>
      <c r="H263" s="22" t="s">
        <v>499</v>
      </c>
      <c r="I263" s="22" t="s">
        <v>8603</v>
      </c>
      <c r="J263" s="22" t="s">
        <v>10489</v>
      </c>
      <c r="K263" s="22" t="s">
        <v>10513</v>
      </c>
      <c r="L263" s="23" t="n">
        <v>46109</v>
      </c>
      <c r="M263" s="22" t="n">
        <f aca="false">COUNTIFS('Skip PDF Index'!$B$6:$B$11,D263,'Skip PDF Index'!$D$6:$D$11,C263,'Skip PDF Index'!$F$6:$F$11,I263)</f>
        <v>0</v>
      </c>
      <c r="N263" s="22" t="n">
        <f aca="false">COUNTIFS('Skip PDF Index'!$B$6:$B$11,D263,'Skip PDF Index'!$D$6:$D$11,C263,'Skip PDF Index'!$E$6:$E$11,G263,'Skip PDF Index'!$F$6:$F$11,I263)</f>
        <v>0</v>
      </c>
      <c r="O263" s="22" t="n">
        <f aca="false">COUNTIFS('Skip PDF Index'!$B$6:$B$11,D263,'Skip PDF Index'!$D$6:$D$11,C263,'Skip PDF Index'!$E$6:$E$11,G263,'Skip PDF Index'!$F$6:$F$11,I263,'Skip PDF Index'!$H$6:$H$11,"SUPPORTING RECORD")</f>
        <v>0</v>
      </c>
      <c r="P263" s="22" t="n">
        <f aca="false">COUNTIFS('Offer Events'!$A$2:$A$1487,B263,'Offer Events'!$B$2:$B$1487,C263,'Offer Events'!$C$2:$C$1487,D263,'Offer Events'!$E$2:$E$1487,G263,'Offer Events'!$L$2:$L$1487,"SKIPPED",'Offer Events'!$P$2:$P$1487,I263)</f>
        <v>1</v>
      </c>
      <c r="Q263" s="22" t="str">
        <f aca="false">IF(L263&lt;=C263,"Y","N")</f>
        <v>N</v>
      </c>
      <c r="R263" s="22" t="str">
        <f aca="false">IF(AND(O263&gt;0,P263&gt;0,Q263="Y"),"Y","N")</f>
        <v>N</v>
      </c>
      <c r="S263" s="22" t="str">
        <f aca="false">IF(P263=0,"Offer register missing/mismatch",IF(N263=0,IF(M263&gt;0,"PDF slip mismatch","No matching PDF"),IF(O263=0,"PDF lacks supporting record","Reconciled")))</f>
        <v>No matching PDF</v>
      </c>
      <c r="T263" s="22" t="str">
        <f aca="false">IF(R263="Y","Compliant",S263&amp;IF(Q263="N","; review after skip",""))</f>
        <v>No matching PDF; review after skip</v>
      </c>
      <c r="U263" s="22" t="str">
        <f aca="false">IF(R263="Y","",IF(AND(O263&gt;0,P263&gt;0,Q263="N"),"Priority 2","Priority 1"))</f>
        <v>Priority 1</v>
      </c>
    </row>
    <row r="264" customFormat="false" ht="15" hidden="false" customHeight="false" outlineLevel="0" collapsed="false">
      <c r="A264" s="22" t="s">
        <v>10859</v>
      </c>
      <c r="B264" s="22" t="s">
        <v>10253</v>
      </c>
      <c r="C264" s="23" t="n">
        <v>46094</v>
      </c>
      <c r="D264" s="22" t="s">
        <v>5298</v>
      </c>
      <c r="E264" s="22" t="str">
        <f aca="false">IFERROR(VLOOKUP(D264,'Applicant Lookup'!$A$2:$F$2911,2,FALSE()),"Not found")</f>
        <v>David Marshall</v>
      </c>
      <c r="F264" s="22" t="n">
        <v>2279</v>
      </c>
      <c r="G264" s="22" t="s">
        <v>7988</v>
      </c>
      <c r="H264" s="22" t="s">
        <v>215</v>
      </c>
      <c r="I264" s="22" t="s">
        <v>8603</v>
      </c>
      <c r="J264" s="22" t="s">
        <v>10489</v>
      </c>
      <c r="K264" s="22" t="s">
        <v>10555</v>
      </c>
      <c r="L264" s="23" t="n">
        <v>46099</v>
      </c>
      <c r="M264" s="22" t="n">
        <f aca="false">COUNTIFS('Skip PDF Index'!$B$6:$B$11,D264,'Skip PDF Index'!$D$6:$D$11,C264,'Skip PDF Index'!$F$6:$F$11,I264)</f>
        <v>0</v>
      </c>
      <c r="N264" s="22" t="n">
        <f aca="false">COUNTIFS('Skip PDF Index'!$B$6:$B$11,D264,'Skip PDF Index'!$D$6:$D$11,C264,'Skip PDF Index'!$E$6:$E$11,G264,'Skip PDF Index'!$F$6:$F$11,I264)</f>
        <v>0</v>
      </c>
      <c r="O264" s="22" t="n">
        <f aca="false">COUNTIFS('Skip PDF Index'!$B$6:$B$11,D264,'Skip PDF Index'!$D$6:$D$11,C264,'Skip PDF Index'!$E$6:$E$11,G264,'Skip PDF Index'!$F$6:$F$11,I264,'Skip PDF Index'!$H$6:$H$11,"SUPPORTING RECORD")</f>
        <v>0</v>
      </c>
      <c r="P264" s="22" t="n">
        <f aca="false">COUNTIFS('Offer Events'!$A$2:$A$1487,B264,'Offer Events'!$B$2:$B$1487,C264,'Offer Events'!$C$2:$C$1487,D264,'Offer Events'!$E$2:$E$1487,G264,'Offer Events'!$L$2:$L$1487,"SKIPPED",'Offer Events'!$P$2:$P$1487,I264)</f>
        <v>1</v>
      </c>
      <c r="Q264" s="22" t="str">
        <f aca="false">IF(L264&lt;=C264,"Y","N")</f>
        <v>N</v>
      </c>
      <c r="R264" s="22" t="str">
        <f aca="false">IF(AND(O264&gt;0,P264&gt;0,Q264="Y"),"Y","N")</f>
        <v>N</v>
      </c>
      <c r="S264" s="22" t="str">
        <f aca="false">IF(P264=0,"Offer register missing/mismatch",IF(N264=0,IF(M264&gt;0,"PDF slip mismatch","No matching PDF"),IF(O264=0,"PDF lacks supporting record","Reconciled")))</f>
        <v>No matching PDF</v>
      </c>
      <c r="T264" s="22" t="str">
        <f aca="false">IF(R264="Y","Compliant",S264&amp;IF(Q264="N","; review after skip",""))</f>
        <v>No matching PDF; review after skip</v>
      </c>
      <c r="U264" s="22" t="str">
        <f aca="false">IF(R264="Y","",IF(AND(O264&gt;0,P264&gt;0,Q264="N"),"Priority 2","Priority 1"))</f>
        <v>Priority 1</v>
      </c>
    </row>
    <row r="265" customFormat="false" ht="15" hidden="false" customHeight="false" outlineLevel="0" collapsed="false">
      <c r="A265" s="22" t="s">
        <v>10860</v>
      </c>
      <c r="B265" s="22" t="s">
        <v>10259</v>
      </c>
      <c r="C265" s="23" t="n">
        <v>46107</v>
      </c>
      <c r="D265" s="22" t="s">
        <v>5349</v>
      </c>
      <c r="E265" s="22" t="str">
        <f aca="false">IFERROR(VLOOKUP(D265,'Applicant Lookup'!$A$2:$F$2911,2,FALSE()),"Not found")</f>
        <v>Monica Garcia</v>
      </c>
      <c r="F265" s="22" t="n">
        <v>2305</v>
      </c>
      <c r="G265" s="22" t="s">
        <v>8173</v>
      </c>
      <c r="H265" s="22" t="s">
        <v>499</v>
      </c>
      <c r="I265" s="22" t="s">
        <v>8631</v>
      </c>
      <c r="J265" s="22" t="s">
        <v>10489</v>
      </c>
      <c r="K265" s="22" t="s">
        <v>10501</v>
      </c>
      <c r="L265" s="23" t="n">
        <v>46112</v>
      </c>
      <c r="M265" s="22" t="n">
        <f aca="false">COUNTIFS('Skip PDF Index'!$B$6:$B$11,D265,'Skip PDF Index'!$D$6:$D$11,C265,'Skip PDF Index'!$F$6:$F$11,I265)</f>
        <v>0</v>
      </c>
      <c r="N265" s="22" t="n">
        <f aca="false">COUNTIFS('Skip PDF Index'!$B$6:$B$11,D265,'Skip PDF Index'!$D$6:$D$11,C265,'Skip PDF Index'!$E$6:$E$11,G265,'Skip PDF Index'!$F$6:$F$11,I265)</f>
        <v>0</v>
      </c>
      <c r="O265" s="22" t="n">
        <f aca="false">COUNTIFS('Skip PDF Index'!$B$6:$B$11,D265,'Skip PDF Index'!$D$6:$D$11,C265,'Skip PDF Index'!$E$6:$E$11,G265,'Skip PDF Index'!$F$6:$F$11,I265,'Skip PDF Index'!$H$6:$H$11,"SUPPORTING RECORD")</f>
        <v>0</v>
      </c>
      <c r="P265" s="22" t="n">
        <f aca="false">COUNTIFS('Offer Events'!$A$2:$A$1487,B265,'Offer Events'!$B$2:$B$1487,C265,'Offer Events'!$C$2:$C$1487,D265,'Offer Events'!$E$2:$E$1487,G265,'Offer Events'!$L$2:$L$1487,"SKIPPED",'Offer Events'!$P$2:$P$1487,I265)</f>
        <v>1</v>
      </c>
      <c r="Q265" s="22" t="str">
        <f aca="false">IF(L265&lt;=C265,"Y","N")</f>
        <v>N</v>
      </c>
      <c r="R265" s="22" t="str">
        <f aca="false">IF(AND(O265&gt;0,P265&gt;0,Q265="Y"),"Y","N")</f>
        <v>N</v>
      </c>
      <c r="S265" s="22" t="str">
        <f aca="false">IF(P265=0,"Offer register missing/mismatch",IF(N265=0,IF(M265&gt;0,"PDF slip mismatch","No matching PDF"),IF(O265=0,"PDF lacks supporting record","Reconciled")))</f>
        <v>No matching PDF</v>
      </c>
      <c r="T265" s="22" t="str">
        <f aca="false">IF(R265="Y","Compliant",S265&amp;IF(Q265="N","; review after skip",""))</f>
        <v>No matching PDF; review after skip</v>
      </c>
      <c r="U265" s="22" t="str">
        <f aca="false">IF(R265="Y","",IF(AND(O265&gt;0,P265&gt;0,Q265="N"),"Priority 2","Priority 1"))</f>
        <v>Priority 1</v>
      </c>
    </row>
    <row r="266" customFormat="false" ht="15" hidden="false" customHeight="false" outlineLevel="0" collapsed="false">
      <c r="A266" s="22" t="s">
        <v>10861</v>
      </c>
      <c r="B266" s="22" t="s">
        <v>10260</v>
      </c>
      <c r="C266" s="23" t="n">
        <v>46099</v>
      </c>
      <c r="D266" s="22" t="s">
        <v>3539</v>
      </c>
      <c r="E266" s="22" t="str">
        <f aca="false">IFERROR(VLOOKUP(D266,'Applicant Lookup'!$A$2:$F$2911,2,FALSE()),"Not found")</f>
        <v>Eric Benjamin</v>
      </c>
      <c r="F266" s="22" t="n">
        <v>1417</v>
      </c>
      <c r="G266" s="22" t="s">
        <v>8133</v>
      </c>
      <c r="H266" s="22" t="s">
        <v>499</v>
      </c>
      <c r="I266" s="22" t="s">
        <v>8631</v>
      </c>
      <c r="J266" s="22" t="s">
        <v>10489</v>
      </c>
      <c r="K266" s="22" t="s">
        <v>10496</v>
      </c>
      <c r="L266" s="23" t="n">
        <v>46101</v>
      </c>
      <c r="M266" s="22" t="n">
        <f aca="false">COUNTIFS('Skip PDF Index'!$B$6:$B$11,D266,'Skip PDF Index'!$D$6:$D$11,C266,'Skip PDF Index'!$F$6:$F$11,I266)</f>
        <v>0</v>
      </c>
      <c r="N266" s="22" t="n">
        <f aca="false">COUNTIFS('Skip PDF Index'!$B$6:$B$11,D266,'Skip PDF Index'!$D$6:$D$11,C266,'Skip PDF Index'!$E$6:$E$11,G266,'Skip PDF Index'!$F$6:$F$11,I266)</f>
        <v>0</v>
      </c>
      <c r="O266" s="22" t="n">
        <f aca="false">COUNTIFS('Skip PDF Index'!$B$6:$B$11,D266,'Skip PDF Index'!$D$6:$D$11,C266,'Skip PDF Index'!$E$6:$E$11,G266,'Skip PDF Index'!$F$6:$F$11,I266,'Skip PDF Index'!$H$6:$H$11,"SUPPORTING RECORD")</f>
        <v>0</v>
      </c>
      <c r="P266" s="22" t="n">
        <f aca="false">COUNTIFS('Offer Events'!$A$2:$A$1487,B266,'Offer Events'!$B$2:$B$1487,C266,'Offer Events'!$C$2:$C$1487,D266,'Offer Events'!$E$2:$E$1487,G266,'Offer Events'!$L$2:$L$1487,"SKIPPED",'Offer Events'!$P$2:$P$1487,I266)</f>
        <v>1</v>
      </c>
      <c r="Q266" s="22" t="str">
        <f aca="false">IF(L266&lt;=C266,"Y","N")</f>
        <v>N</v>
      </c>
      <c r="R266" s="22" t="str">
        <f aca="false">IF(AND(O266&gt;0,P266&gt;0,Q266="Y"),"Y","N")</f>
        <v>N</v>
      </c>
      <c r="S266" s="22" t="str">
        <f aca="false">IF(P266=0,"Offer register missing/mismatch",IF(N266=0,IF(M266&gt;0,"PDF slip mismatch","No matching PDF"),IF(O266=0,"PDF lacks supporting record","Reconciled")))</f>
        <v>No matching PDF</v>
      </c>
      <c r="T266" s="22" t="str">
        <f aca="false">IF(R266="Y","Compliant",S266&amp;IF(Q266="N","; review after skip",""))</f>
        <v>No matching PDF; review after skip</v>
      </c>
      <c r="U266" s="22" t="str">
        <f aca="false">IF(R266="Y","",IF(AND(O266&gt;0,P266&gt;0,Q266="N"),"Priority 2","Priority 1"))</f>
        <v>Priority 1</v>
      </c>
    </row>
    <row r="267" customFormat="false" ht="15" hidden="false" customHeight="false" outlineLevel="0" collapsed="false">
      <c r="A267" s="22" t="s">
        <v>10862</v>
      </c>
      <c r="B267" s="22" t="s">
        <v>10263</v>
      </c>
      <c r="C267" s="23" t="n">
        <v>46113</v>
      </c>
      <c r="D267" s="22" t="s">
        <v>408</v>
      </c>
      <c r="E267" s="22" t="str">
        <f aca="false">IFERROR(VLOOKUP(D267,'Applicant Lookup'!$A$2:$F$2911,2,FALSE()),"Not found")</f>
        <v>Lisa Adams</v>
      </c>
      <c r="F267" s="22" t="n">
        <v>84</v>
      </c>
      <c r="G267" s="22" t="s">
        <v>8445</v>
      </c>
      <c r="H267" s="22" t="s">
        <v>188</v>
      </c>
      <c r="I267" s="22" t="s">
        <v>8631</v>
      </c>
      <c r="J267" s="22" t="s">
        <v>10489</v>
      </c>
      <c r="K267" s="22" t="s">
        <v>10496</v>
      </c>
      <c r="L267" s="23" t="n">
        <v>46114</v>
      </c>
      <c r="M267" s="22" t="n">
        <f aca="false">COUNTIFS('Skip PDF Index'!$B$6:$B$11,D267,'Skip PDF Index'!$D$6:$D$11,C267,'Skip PDF Index'!$F$6:$F$11,I267)</f>
        <v>0</v>
      </c>
      <c r="N267" s="22" t="n">
        <f aca="false">COUNTIFS('Skip PDF Index'!$B$6:$B$11,D267,'Skip PDF Index'!$D$6:$D$11,C267,'Skip PDF Index'!$E$6:$E$11,G267,'Skip PDF Index'!$F$6:$F$11,I267)</f>
        <v>0</v>
      </c>
      <c r="O267" s="22" t="n">
        <f aca="false">COUNTIFS('Skip PDF Index'!$B$6:$B$11,D267,'Skip PDF Index'!$D$6:$D$11,C267,'Skip PDF Index'!$E$6:$E$11,G267,'Skip PDF Index'!$F$6:$F$11,I267,'Skip PDF Index'!$H$6:$H$11,"SUPPORTING RECORD")</f>
        <v>0</v>
      </c>
      <c r="P267" s="22" t="n">
        <f aca="false">COUNTIFS('Offer Events'!$A$2:$A$1487,B267,'Offer Events'!$B$2:$B$1487,C267,'Offer Events'!$C$2:$C$1487,D267,'Offer Events'!$E$2:$E$1487,G267,'Offer Events'!$L$2:$L$1487,"SKIPPED",'Offer Events'!$P$2:$P$1487,I267)</f>
        <v>1</v>
      </c>
      <c r="Q267" s="22" t="str">
        <f aca="false">IF(L267&lt;=C267,"Y","N")</f>
        <v>N</v>
      </c>
      <c r="R267" s="22" t="str">
        <f aca="false">IF(AND(O267&gt;0,P267&gt;0,Q267="Y"),"Y","N")</f>
        <v>N</v>
      </c>
      <c r="S267" s="22" t="str">
        <f aca="false">IF(P267=0,"Offer register missing/mismatch",IF(N267=0,IF(M267&gt;0,"PDF slip mismatch","No matching PDF"),IF(O267=0,"PDF lacks supporting record","Reconciled")))</f>
        <v>No matching PDF</v>
      </c>
      <c r="T267" s="22" t="str">
        <f aca="false">IF(R267="Y","Compliant",S267&amp;IF(Q267="N","; review after skip",""))</f>
        <v>No matching PDF; review after skip</v>
      </c>
      <c r="U267" s="22" t="str">
        <f aca="false">IF(R267="Y","",IF(AND(O267&gt;0,P267&gt;0,Q267="N"),"Priority 2","Priority 1"))</f>
        <v>Priority 1</v>
      </c>
    </row>
    <row r="268" customFormat="false" ht="15" hidden="false" customHeight="false" outlineLevel="0" collapsed="false">
      <c r="A268" s="22" t="s">
        <v>10863</v>
      </c>
      <c r="B268" s="22" t="s">
        <v>10266</v>
      </c>
      <c r="C268" s="23" t="n">
        <v>46117</v>
      </c>
      <c r="D268" s="22" t="s">
        <v>5351</v>
      </c>
      <c r="E268" s="22" t="str">
        <f aca="false">IFERROR(VLOOKUP(D268,'Applicant Lookup'!$A$2:$F$2911,2,FALSE()),"Not found")</f>
        <v>Rebecca Martin</v>
      </c>
      <c r="F268" s="22" t="n">
        <v>2306</v>
      </c>
      <c r="G268" s="22" t="s">
        <v>8405</v>
      </c>
      <c r="H268" s="22" t="s">
        <v>188</v>
      </c>
      <c r="I268" s="22" t="s">
        <v>8631</v>
      </c>
      <c r="J268" s="22" t="s">
        <v>10489</v>
      </c>
      <c r="K268" s="22" t="s">
        <v>10504</v>
      </c>
      <c r="L268" s="23" t="n">
        <v>46122</v>
      </c>
      <c r="M268" s="22" t="n">
        <f aca="false">COUNTIFS('Skip PDF Index'!$B$6:$B$11,D268,'Skip PDF Index'!$D$6:$D$11,C268,'Skip PDF Index'!$F$6:$F$11,I268)</f>
        <v>0</v>
      </c>
      <c r="N268" s="22" t="n">
        <f aca="false">COUNTIFS('Skip PDF Index'!$B$6:$B$11,D268,'Skip PDF Index'!$D$6:$D$11,C268,'Skip PDF Index'!$E$6:$E$11,G268,'Skip PDF Index'!$F$6:$F$11,I268)</f>
        <v>0</v>
      </c>
      <c r="O268" s="22" t="n">
        <f aca="false">COUNTIFS('Skip PDF Index'!$B$6:$B$11,D268,'Skip PDF Index'!$D$6:$D$11,C268,'Skip PDF Index'!$E$6:$E$11,G268,'Skip PDF Index'!$F$6:$F$11,I268,'Skip PDF Index'!$H$6:$H$11,"SUPPORTING RECORD")</f>
        <v>0</v>
      </c>
      <c r="P268" s="22" t="n">
        <f aca="false">COUNTIFS('Offer Events'!$A$2:$A$1487,B268,'Offer Events'!$B$2:$B$1487,C268,'Offer Events'!$C$2:$C$1487,D268,'Offer Events'!$E$2:$E$1487,G268,'Offer Events'!$L$2:$L$1487,"SKIPPED",'Offer Events'!$P$2:$P$1487,I268)</f>
        <v>1</v>
      </c>
      <c r="Q268" s="22" t="str">
        <f aca="false">IF(L268&lt;=C268,"Y","N")</f>
        <v>N</v>
      </c>
      <c r="R268" s="22" t="str">
        <f aca="false">IF(AND(O268&gt;0,P268&gt;0,Q268="Y"),"Y","N")</f>
        <v>N</v>
      </c>
      <c r="S268" s="22" t="str">
        <f aca="false">IF(P268=0,"Offer register missing/mismatch",IF(N268=0,IF(M268&gt;0,"PDF slip mismatch","No matching PDF"),IF(O268=0,"PDF lacks supporting record","Reconciled")))</f>
        <v>No matching PDF</v>
      </c>
      <c r="T268" s="22" t="str">
        <f aca="false">IF(R268="Y","Compliant",S268&amp;IF(Q268="N","; review after skip",""))</f>
        <v>No matching PDF; review after skip</v>
      </c>
      <c r="U268" s="22" t="str">
        <f aca="false">IF(R268="Y","",IF(AND(O268&gt;0,P268&gt;0,Q268="N"),"Priority 2","Priority 1"))</f>
        <v>Priority 1</v>
      </c>
    </row>
    <row r="269" customFormat="false" ht="15" hidden="false" customHeight="false" outlineLevel="0" collapsed="false">
      <c r="A269" s="22" t="s">
        <v>10864</v>
      </c>
      <c r="B269" s="22" t="s">
        <v>10267</v>
      </c>
      <c r="C269" s="23" t="n">
        <v>46116</v>
      </c>
      <c r="D269" s="22" t="s">
        <v>957</v>
      </c>
      <c r="E269" s="22" t="str">
        <f aca="false">IFERROR(VLOOKUP(D269,'Applicant Lookup'!$A$2:$F$2911,2,FALSE()),"Not found")</f>
        <v>Jay Gregory</v>
      </c>
      <c r="F269" s="22" t="n">
        <v>283</v>
      </c>
      <c r="G269" s="22" t="s">
        <v>8578</v>
      </c>
      <c r="H269" s="22" t="s">
        <v>188</v>
      </c>
      <c r="I269" s="22" t="s">
        <v>8603</v>
      </c>
      <c r="J269" s="22" t="s">
        <v>10489</v>
      </c>
      <c r="K269" s="22" t="s">
        <v>10555</v>
      </c>
      <c r="L269" s="23" t="n">
        <v>46117</v>
      </c>
      <c r="M269" s="22" t="n">
        <f aca="false">COUNTIFS('Skip PDF Index'!$B$6:$B$11,D269,'Skip PDF Index'!$D$6:$D$11,C269,'Skip PDF Index'!$F$6:$F$11,I269)</f>
        <v>0</v>
      </c>
      <c r="N269" s="22" t="n">
        <f aca="false">COUNTIFS('Skip PDF Index'!$B$6:$B$11,D269,'Skip PDF Index'!$D$6:$D$11,C269,'Skip PDF Index'!$E$6:$E$11,G269,'Skip PDF Index'!$F$6:$F$11,I269)</f>
        <v>0</v>
      </c>
      <c r="O269" s="22" t="n">
        <f aca="false">COUNTIFS('Skip PDF Index'!$B$6:$B$11,D269,'Skip PDF Index'!$D$6:$D$11,C269,'Skip PDF Index'!$E$6:$E$11,G269,'Skip PDF Index'!$F$6:$F$11,I269,'Skip PDF Index'!$H$6:$H$11,"SUPPORTING RECORD")</f>
        <v>0</v>
      </c>
      <c r="P269" s="22" t="n">
        <f aca="false">COUNTIFS('Offer Events'!$A$2:$A$1487,B269,'Offer Events'!$B$2:$B$1487,C269,'Offer Events'!$C$2:$C$1487,D269,'Offer Events'!$E$2:$E$1487,G269,'Offer Events'!$L$2:$L$1487,"SKIPPED",'Offer Events'!$P$2:$P$1487,I269)</f>
        <v>1</v>
      </c>
      <c r="Q269" s="22" t="str">
        <f aca="false">IF(L269&lt;=C269,"Y","N")</f>
        <v>N</v>
      </c>
      <c r="R269" s="22" t="str">
        <f aca="false">IF(AND(O269&gt;0,P269&gt;0,Q269="Y"),"Y","N")</f>
        <v>N</v>
      </c>
      <c r="S269" s="22" t="str">
        <f aca="false">IF(P269=0,"Offer register missing/mismatch",IF(N269=0,IF(M269&gt;0,"PDF slip mismatch","No matching PDF"),IF(O269=0,"PDF lacks supporting record","Reconciled")))</f>
        <v>No matching PDF</v>
      </c>
      <c r="T269" s="22" t="str">
        <f aca="false">IF(R269="Y","Compliant",S269&amp;IF(Q269="N","; review after skip",""))</f>
        <v>No matching PDF; review after skip</v>
      </c>
      <c r="U269" s="22" t="str">
        <f aca="false">IF(R269="Y","",IF(AND(O269&gt;0,P269&gt;0,Q269="N"),"Priority 2","Priority 1"))</f>
        <v>Priority 1</v>
      </c>
    </row>
    <row r="270" customFormat="false" ht="15" hidden="false" customHeight="false" outlineLevel="0" collapsed="false">
      <c r="A270" s="22" t="s">
        <v>10865</v>
      </c>
      <c r="B270" s="22" t="s">
        <v>10270</v>
      </c>
      <c r="C270" s="23" t="n">
        <v>46113</v>
      </c>
      <c r="D270" s="22" t="s">
        <v>4252</v>
      </c>
      <c r="E270" s="22" t="str">
        <f aca="false">IFERROR(VLOOKUP(D270,'Applicant Lookup'!$A$2:$F$2911,2,FALSE()),"Not found")</f>
        <v>Valerie Macias</v>
      </c>
      <c r="F270" s="22" t="n">
        <v>1766</v>
      </c>
      <c r="G270" s="22" t="s">
        <v>8574</v>
      </c>
      <c r="H270" s="22" t="s">
        <v>188</v>
      </c>
      <c r="I270" s="22" t="s">
        <v>8618</v>
      </c>
      <c r="J270" s="22" t="s">
        <v>10489</v>
      </c>
      <c r="K270" s="22" t="s">
        <v>10516</v>
      </c>
      <c r="L270" s="23" t="n">
        <v>46117</v>
      </c>
      <c r="M270" s="22" t="n">
        <f aca="false">COUNTIFS('Skip PDF Index'!$B$6:$B$11,D270,'Skip PDF Index'!$D$6:$D$11,C270,'Skip PDF Index'!$F$6:$F$11,I270)</f>
        <v>0</v>
      </c>
      <c r="N270" s="22" t="n">
        <f aca="false">COUNTIFS('Skip PDF Index'!$B$6:$B$11,D270,'Skip PDF Index'!$D$6:$D$11,C270,'Skip PDF Index'!$E$6:$E$11,G270,'Skip PDF Index'!$F$6:$F$11,I270)</f>
        <v>0</v>
      </c>
      <c r="O270" s="22" t="n">
        <f aca="false">COUNTIFS('Skip PDF Index'!$B$6:$B$11,D270,'Skip PDF Index'!$D$6:$D$11,C270,'Skip PDF Index'!$E$6:$E$11,G270,'Skip PDF Index'!$F$6:$F$11,I270,'Skip PDF Index'!$H$6:$H$11,"SUPPORTING RECORD")</f>
        <v>0</v>
      </c>
      <c r="P270" s="22" t="n">
        <f aca="false">COUNTIFS('Offer Events'!$A$2:$A$1487,B270,'Offer Events'!$B$2:$B$1487,C270,'Offer Events'!$C$2:$C$1487,D270,'Offer Events'!$E$2:$E$1487,G270,'Offer Events'!$L$2:$L$1487,"SKIPPED",'Offer Events'!$P$2:$P$1487,I270)</f>
        <v>1</v>
      </c>
      <c r="Q270" s="22" t="str">
        <f aca="false">IF(L270&lt;=C270,"Y","N")</f>
        <v>N</v>
      </c>
      <c r="R270" s="22" t="str">
        <f aca="false">IF(AND(O270&gt;0,P270&gt;0,Q270="Y"),"Y","N")</f>
        <v>N</v>
      </c>
      <c r="S270" s="22" t="str">
        <f aca="false">IF(P270=0,"Offer register missing/mismatch",IF(N270=0,IF(M270&gt;0,"PDF slip mismatch","No matching PDF"),IF(O270=0,"PDF lacks supporting record","Reconciled")))</f>
        <v>No matching PDF</v>
      </c>
      <c r="T270" s="22" t="str">
        <f aca="false">IF(R270="Y","Compliant",S270&amp;IF(Q270="N","; review after skip",""))</f>
        <v>No matching PDF; review after skip</v>
      </c>
      <c r="U270" s="22" t="str">
        <f aca="false">IF(R270="Y","",IF(AND(O270&gt;0,P270&gt;0,Q270="N"),"Priority 2","Priority 1"))</f>
        <v>Priority 1</v>
      </c>
    </row>
    <row r="271" customFormat="false" ht="15" hidden="false" customHeight="false" outlineLevel="0" collapsed="false">
      <c r="A271" s="22" t="s">
        <v>10866</v>
      </c>
      <c r="B271" s="22" t="s">
        <v>10273</v>
      </c>
      <c r="C271" s="23" t="n">
        <v>46117</v>
      </c>
      <c r="D271" s="22" t="s">
        <v>4909</v>
      </c>
      <c r="E271" s="22" t="str">
        <f aca="false">IFERROR(VLOOKUP(D271,'Applicant Lookup'!$A$2:$F$2911,2,FALSE()),"Not found")</f>
        <v>Heather Williams</v>
      </c>
      <c r="F271" s="22" t="n">
        <v>2088</v>
      </c>
      <c r="G271" s="22" t="s">
        <v>8385</v>
      </c>
      <c r="H271" s="22" t="s">
        <v>188</v>
      </c>
      <c r="I271" s="22" t="s">
        <v>8631</v>
      </c>
      <c r="J271" s="22" t="s">
        <v>10489</v>
      </c>
      <c r="K271" s="22" t="s">
        <v>10555</v>
      </c>
      <c r="L271" s="23" t="n">
        <v>46122</v>
      </c>
      <c r="M271" s="22" t="n">
        <f aca="false">COUNTIFS('Skip PDF Index'!$B$6:$B$11,D271,'Skip PDF Index'!$D$6:$D$11,C271,'Skip PDF Index'!$F$6:$F$11,I271)</f>
        <v>0</v>
      </c>
      <c r="N271" s="22" t="n">
        <f aca="false">COUNTIFS('Skip PDF Index'!$B$6:$B$11,D271,'Skip PDF Index'!$D$6:$D$11,C271,'Skip PDF Index'!$E$6:$E$11,G271,'Skip PDF Index'!$F$6:$F$11,I271)</f>
        <v>0</v>
      </c>
      <c r="O271" s="22" t="n">
        <f aca="false">COUNTIFS('Skip PDF Index'!$B$6:$B$11,D271,'Skip PDF Index'!$D$6:$D$11,C271,'Skip PDF Index'!$E$6:$E$11,G271,'Skip PDF Index'!$F$6:$F$11,I271,'Skip PDF Index'!$H$6:$H$11,"SUPPORTING RECORD")</f>
        <v>0</v>
      </c>
      <c r="P271" s="22" t="n">
        <f aca="false">COUNTIFS('Offer Events'!$A$2:$A$1487,B271,'Offer Events'!$B$2:$B$1487,C271,'Offer Events'!$C$2:$C$1487,D271,'Offer Events'!$E$2:$E$1487,G271,'Offer Events'!$L$2:$L$1487,"SKIPPED",'Offer Events'!$P$2:$P$1487,I271)</f>
        <v>1</v>
      </c>
      <c r="Q271" s="22" t="str">
        <f aca="false">IF(L271&lt;=C271,"Y","N")</f>
        <v>N</v>
      </c>
      <c r="R271" s="22" t="str">
        <f aca="false">IF(AND(O271&gt;0,P271&gt;0,Q271="Y"),"Y","N")</f>
        <v>N</v>
      </c>
      <c r="S271" s="22" t="str">
        <f aca="false">IF(P271=0,"Offer register missing/mismatch",IF(N271=0,IF(M271&gt;0,"PDF slip mismatch","No matching PDF"),IF(O271=0,"PDF lacks supporting record","Reconciled")))</f>
        <v>No matching PDF</v>
      </c>
      <c r="T271" s="22" t="str">
        <f aca="false">IF(R271="Y","Compliant",S271&amp;IF(Q271="N","; review after skip",""))</f>
        <v>No matching PDF; review after skip</v>
      </c>
      <c r="U271" s="22" t="str">
        <f aca="false">IF(R271="Y","",IF(AND(O271&gt;0,P271&gt;0,Q271="N"),"Priority 2","Priority 1"))</f>
        <v>Priority 1</v>
      </c>
    </row>
    <row r="272" customFormat="false" ht="15" hidden="false" customHeight="false" outlineLevel="0" collapsed="false">
      <c r="A272" s="22" t="s">
        <v>10867</v>
      </c>
      <c r="B272" s="22" t="s">
        <v>10275</v>
      </c>
      <c r="C272" s="23" t="n">
        <v>46124</v>
      </c>
      <c r="D272" s="22" t="s">
        <v>5014</v>
      </c>
      <c r="E272" s="22" t="str">
        <f aca="false">IFERROR(VLOOKUP(D272,'Applicant Lookup'!$A$2:$F$2911,2,FALSE()),"Not found")</f>
        <v>Stanley Peterson</v>
      </c>
      <c r="F272" s="22" t="n">
        <v>2139</v>
      </c>
      <c r="G272" s="22" t="s">
        <v>8193</v>
      </c>
      <c r="H272" s="22" t="s">
        <v>499</v>
      </c>
      <c r="I272" s="22" t="s">
        <v>8631</v>
      </c>
      <c r="J272" s="22" t="s">
        <v>10489</v>
      </c>
      <c r="K272" s="22" t="s">
        <v>10511</v>
      </c>
      <c r="L272" s="23" t="n">
        <v>46124</v>
      </c>
      <c r="M272" s="22" t="n">
        <f aca="false">COUNTIFS('Skip PDF Index'!$B$6:$B$11,D272,'Skip PDF Index'!$D$6:$D$11,C272,'Skip PDF Index'!$F$6:$F$11,I272)</f>
        <v>0</v>
      </c>
      <c r="N272" s="22" t="n">
        <f aca="false">COUNTIFS('Skip PDF Index'!$B$6:$B$11,D272,'Skip PDF Index'!$D$6:$D$11,C272,'Skip PDF Index'!$E$6:$E$11,G272,'Skip PDF Index'!$F$6:$F$11,I272)</f>
        <v>0</v>
      </c>
      <c r="O272" s="22" t="n">
        <f aca="false">COUNTIFS('Skip PDF Index'!$B$6:$B$11,D272,'Skip PDF Index'!$D$6:$D$11,C272,'Skip PDF Index'!$E$6:$E$11,G272,'Skip PDF Index'!$F$6:$F$11,I272,'Skip PDF Index'!$H$6:$H$11,"SUPPORTING RECORD")</f>
        <v>0</v>
      </c>
      <c r="P272" s="22" t="n">
        <f aca="false">COUNTIFS('Offer Events'!$A$2:$A$1487,B272,'Offer Events'!$B$2:$B$1487,C272,'Offer Events'!$C$2:$C$1487,D272,'Offer Events'!$E$2:$E$1487,G272,'Offer Events'!$L$2:$L$1487,"SKIPPED",'Offer Events'!$P$2:$P$1487,I272)</f>
        <v>1</v>
      </c>
      <c r="Q272" s="22" t="str">
        <f aca="false">IF(L272&lt;=C272,"Y","N")</f>
        <v>Y</v>
      </c>
      <c r="R272" s="22" t="str">
        <f aca="false">IF(AND(O272&gt;0,P272&gt;0,Q272="Y"),"Y","N")</f>
        <v>N</v>
      </c>
      <c r="S272" s="22" t="str">
        <f aca="false">IF(P272=0,"Offer register missing/mismatch",IF(N272=0,IF(M272&gt;0,"PDF slip mismatch","No matching PDF"),IF(O272=0,"PDF lacks supporting record","Reconciled")))</f>
        <v>No matching PDF</v>
      </c>
      <c r="T272" s="22" t="str">
        <f aca="false">IF(R272="Y","Compliant",S272&amp;IF(Q272="N","; review after skip",""))</f>
        <v>No matching PDF</v>
      </c>
      <c r="U272" s="22" t="str">
        <f aca="false">IF(R272="Y","",IF(AND(O272&gt;0,P272&gt;0,Q272="N"),"Priority 2","Priority 1"))</f>
        <v>Priority 1</v>
      </c>
    </row>
    <row r="273" customFormat="false" ht="15" hidden="false" customHeight="false" outlineLevel="0" collapsed="false">
      <c r="A273" s="22" t="s">
        <v>10868</v>
      </c>
      <c r="B273" s="22" t="s">
        <v>10283</v>
      </c>
      <c r="C273" s="23" t="n">
        <v>46125</v>
      </c>
      <c r="D273" s="22" t="s">
        <v>2906</v>
      </c>
      <c r="E273" s="22" t="str">
        <f aca="false">IFERROR(VLOOKUP(D273,'Applicant Lookup'!$A$2:$F$2911,2,FALSE()),"Not found")</f>
        <v>Jerry Reyes</v>
      </c>
      <c r="F273" s="22" t="n">
        <v>1120</v>
      </c>
      <c r="G273" s="22" t="s">
        <v>6754</v>
      </c>
      <c r="H273" s="22" t="s">
        <v>198</v>
      </c>
      <c r="I273" s="22" t="s">
        <v>8603</v>
      </c>
      <c r="J273" s="22" t="s">
        <v>10489</v>
      </c>
      <c r="K273" s="22" t="s">
        <v>10513</v>
      </c>
      <c r="L273" s="23" t="n">
        <v>46127</v>
      </c>
      <c r="M273" s="22" t="n">
        <f aca="false">COUNTIFS('Skip PDF Index'!$B$6:$B$11,D273,'Skip PDF Index'!$D$6:$D$11,C273,'Skip PDF Index'!$F$6:$F$11,I273)</f>
        <v>0</v>
      </c>
      <c r="N273" s="22" t="n">
        <f aca="false">COUNTIFS('Skip PDF Index'!$B$6:$B$11,D273,'Skip PDF Index'!$D$6:$D$11,C273,'Skip PDF Index'!$E$6:$E$11,G273,'Skip PDF Index'!$F$6:$F$11,I273)</f>
        <v>0</v>
      </c>
      <c r="O273" s="22" t="n">
        <f aca="false">COUNTIFS('Skip PDF Index'!$B$6:$B$11,D273,'Skip PDF Index'!$D$6:$D$11,C273,'Skip PDF Index'!$E$6:$E$11,G273,'Skip PDF Index'!$F$6:$F$11,I273,'Skip PDF Index'!$H$6:$H$11,"SUPPORTING RECORD")</f>
        <v>0</v>
      </c>
      <c r="P273" s="22" t="n">
        <f aca="false">COUNTIFS('Offer Events'!$A$2:$A$1487,B273,'Offer Events'!$B$2:$B$1487,C273,'Offer Events'!$C$2:$C$1487,D273,'Offer Events'!$E$2:$E$1487,G273,'Offer Events'!$L$2:$L$1487,"SKIPPED",'Offer Events'!$P$2:$P$1487,I273)</f>
        <v>1</v>
      </c>
      <c r="Q273" s="22" t="str">
        <f aca="false">IF(L273&lt;=C273,"Y","N")</f>
        <v>N</v>
      </c>
      <c r="R273" s="22" t="str">
        <f aca="false">IF(AND(O273&gt;0,P273&gt;0,Q273="Y"),"Y","N")</f>
        <v>N</v>
      </c>
      <c r="S273" s="22" t="str">
        <f aca="false">IF(P273=0,"Offer register missing/mismatch",IF(N273=0,IF(M273&gt;0,"PDF slip mismatch","No matching PDF"),IF(O273=0,"PDF lacks supporting record","Reconciled")))</f>
        <v>No matching PDF</v>
      </c>
      <c r="T273" s="22" t="str">
        <f aca="false">IF(R273="Y","Compliant",S273&amp;IF(Q273="N","; review after skip",""))</f>
        <v>No matching PDF; review after skip</v>
      </c>
      <c r="U273" s="22" t="str">
        <f aca="false">IF(R273="Y","",IF(AND(O273&gt;0,P273&gt;0,Q273="N"),"Priority 2","Priority 1"))</f>
        <v>Priority 1</v>
      </c>
    </row>
    <row r="274" customFormat="false" ht="15" hidden="false" customHeight="false" outlineLevel="0" collapsed="false">
      <c r="A274" s="22" t="s">
        <v>10869</v>
      </c>
      <c r="B274" s="22" t="s">
        <v>10284</v>
      </c>
      <c r="C274" s="23" t="n">
        <v>46118</v>
      </c>
      <c r="D274" s="22" t="s">
        <v>3407</v>
      </c>
      <c r="E274" s="22" t="str">
        <f aca="false">IFERROR(VLOOKUP(D274,'Applicant Lookup'!$A$2:$F$2911,2,FALSE()),"Not found")</f>
        <v>Jonathan Freeman</v>
      </c>
      <c r="F274" s="22" t="n">
        <v>1353</v>
      </c>
      <c r="G274" s="22" t="s">
        <v>6928</v>
      </c>
      <c r="H274" s="22" t="s">
        <v>198</v>
      </c>
      <c r="I274" s="22" t="s">
        <v>8637</v>
      </c>
      <c r="J274" s="22" t="s">
        <v>10489</v>
      </c>
      <c r="K274" s="22" t="s">
        <v>10496</v>
      </c>
      <c r="L274" s="23" t="n">
        <v>46120</v>
      </c>
      <c r="M274" s="22" t="n">
        <f aca="false">COUNTIFS('Skip PDF Index'!$B$6:$B$11,D274,'Skip PDF Index'!$D$6:$D$11,C274,'Skip PDF Index'!$F$6:$F$11,I274)</f>
        <v>0</v>
      </c>
      <c r="N274" s="22" t="n">
        <f aca="false">COUNTIFS('Skip PDF Index'!$B$6:$B$11,D274,'Skip PDF Index'!$D$6:$D$11,C274,'Skip PDF Index'!$E$6:$E$11,G274,'Skip PDF Index'!$F$6:$F$11,I274)</f>
        <v>0</v>
      </c>
      <c r="O274" s="22" t="n">
        <f aca="false">COUNTIFS('Skip PDF Index'!$B$6:$B$11,D274,'Skip PDF Index'!$D$6:$D$11,C274,'Skip PDF Index'!$E$6:$E$11,G274,'Skip PDF Index'!$F$6:$F$11,I274,'Skip PDF Index'!$H$6:$H$11,"SUPPORTING RECORD")</f>
        <v>0</v>
      </c>
      <c r="P274" s="22" t="n">
        <f aca="false">COUNTIFS('Offer Events'!$A$2:$A$1487,B274,'Offer Events'!$B$2:$B$1487,C274,'Offer Events'!$C$2:$C$1487,D274,'Offer Events'!$E$2:$E$1487,G274,'Offer Events'!$L$2:$L$1487,"SKIPPED",'Offer Events'!$P$2:$P$1487,I274)</f>
        <v>1</v>
      </c>
      <c r="Q274" s="22" t="str">
        <f aca="false">IF(L274&lt;=C274,"Y","N")</f>
        <v>N</v>
      </c>
      <c r="R274" s="22" t="str">
        <f aca="false">IF(AND(O274&gt;0,P274&gt;0,Q274="Y"),"Y","N")</f>
        <v>N</v>
      </c>
      <c r="S274" s="22" t="str">
        <f aca="false">IF(P274=0,"Offer register missing/mismatch",IF(N274=0,IF(M274&gt;0,"PDF slip mismatch","No matching PDF"),IF(O274=0,"PDF lacks supporting record","Reconciled")))</f>
        <v>No matching PDF</v>
      </c>
      <c r="T274" s="22" t="str">
        <f aca="false">IF(R274="Y","Compliant",S274&amp;IF(Q274="N","; review after skip",""))</f>
        <v>No matching PDF; review after skip</v>
      </c>
      <c r="U274" s="22" t="str">
        <f aca="false">IF(R274="Y","",IF(AND(O274&gt;0,P274&gt;0,Q274="N"),"Priority 2","Priority 1"))</f>
        <v>Priority 1</v>
      </c>
    </row>
    <row r="275" customFormat="false" ht="15" hidden="false" customHeight="false" outlineLevel="0" collapsed="false">
      <c r="A275" s="22" t="s">
        <v>10870</v>
      </c>
      <c r="B275" s="22" t="s">
        <v>10285</v>
      </c>
      <c r="C275" s="23" t="n">
        <v>46131</v>
      </c>
      <c r="D275" s="22" t="s">
        <v>3718</v>
      </c>
      <c r="E275" s="22" t="str">
        <f aca="false">IFERROR(VLOOKUP(D275,'Applicant Lookup'!$A$2:$F$2911,2,FALSE()),"Not found")</f>
        <v>Crystal Stevenson</v>
      </c>
      <c r="F275" s="22" t="n">
        <v>1504</v>
      </c>
      <c r="G275" s="22" t="s">
        <v>8342</v>
      </c>
      <c r="H275" s="22" t="s">
        <v>188</v>
      </c>
      <c r="I275" s="22" t="s">
        <v>8618</v>
      </c>
      <c r="J275" s="22" t="s">
        <v>10489</v>
      </c>
      <c r="K275" s="22" t="s">
        <v>10504</v>
      </c>
      <c r="L275" s="23" t="n">
        <v>46132</v>
      </c>
      <c r="M275" s="22" t="n">
        <f aca="false">COUNTIFS('Skip PDF Index'!$B$6:$B$11,D275,'Skip PDF Index'!$D$6:$D$11,C275,'Skip PDF Index'!$F$6:$F$11,I275)</f>
        <v>0</v>
      </c>
      <c r="N275" s="22" t="n">
        <f aca="false">COUNTIFS('Skip PDF Index'!$B$6:$B$11,D275,'Skip PDF Index'!$D$6:$D$11,C275,'Skip PDF Index'!$E$6:$E$11,G275,'Skip PDF Index'!$F$6:$F$11,I275)</f>
        <v>0</v>
      </c>
      <c r="O275" s="22" t="n">
        <f aca="false">COUNTIFS('Skip PDF Index'!$B$6:$B$11,D275,'Skip PDF Index'!$D$6:$D$11,C275,'Skip PDF Index'!$E$6:$E$11,G275,'Skip PDF Index'!$F$6:$F$11,I275,'Skip PDF Index'!$H$6:$H$11,"SUPPORTING RECORD")</f>
        <v>0</v>
      </c>
      <c r="P275" s="22" t="n">
        <f aca="false">COUNTIFS('Offer Events'!$A$2:$A$1487,B275,'Offer Events'!$B$2:$B$1487,C275,'Offer Events'!$C$2:$C$1487,D275,'Offer Events'!$E$2:$E$1487,G275,'Offer Events'!$L$2:$L$1487,"SKIPPED",'Offer Events'!$P$2:$P$1487,I275)</f>
        <v>1</v>
      </c>
      <c r="Q275" s="22" t="str">
        <f aca="false">IF(L275&lt;=C275,"Y","N")</f>
        <v>N</v>
      </c>
      <c r="R275" s="22" t="str">
        <f aca="false">IF(AND(O275&gt;0,P275&gt;0,Q275="Y"),"Y","N")</f>
        <v>N</v>
      </c>
      <c r="S275" s="22" t="str">
        <f aca="false">IF(P275=0,"Offer register missing/mismatch",IF(N275=0,IF(M275&gt;0,"PDF slip mismatch","No matching PDF"),IF(O275=0,"PDF lacks supporting record","Reconciled")))</f>
        <v>No matching PDF</v>
      </c>
      <c r="T275" s="22" t="str">
        <f aca="false">IF(R275="Y","Compliant",S275&amp;IF(Q275="N","; review after skip",""))</f>
        <v>No matching PDF; review after skip</v>
      </c>
      <c r="U275" s="22" t="str">
        <f aca="false">IF(R275="Y","",IF(AND(O275&gt;0,P275&gt;0,Q275="N"),"Priority 2","Priority 1"))</f>
        <v>Priority 1</v>
      </c>
    </row>
    <row r="276" customFormat="false" ht="15" hidden="false" customHeight="false" outlineLevel="0" collapsed="false">
      <c r="A276" s="22" t="s">
        <v>10871</v>
      </c>
      <c r="B276" s="22" t="s">
        <v>10286</v>
      </c>
      <c r="C276" s="23" t="n">
        <v>46129</v>
      </c>
      <c r="D276" s="22" t="s">
        <v>4129</v>
      </c>
      <c r="E276" s="22" t="str">
        <f aca="false">IFERROR(VLOOKUP(D276,'Applicant Lookup'!$A$2:$F$2911,2,FALSE()),"Not found")</f>
        <v>Allison Fisher</v>
      </c>
      <c r="F276" s="22" t="n">
        <v>1706</v>
      </c>
      <c r="G276" s="22" t="s">
        <v>8178</v>
      </c>
      <c r="H276" s="22" t="s">
        <v>499</v>
      </c>
      <c r="I276" s="22" t="s">
        <v>8618</v>
      </c>
      <c r="J276" s="22" t="s">
        <v>10489</v>
      </c>
      <c r="K276" s="22" t="s">
        <v>10504</v>
      </c>
      <c r="L276" s="23" t="n">
        <v>46134</v>
      </c>
      <c r="M276" s="22" t="n">
        <f aca="false">COUNTIFS('Skip PDF Index'!$B$6:$B$11,D276,'Skip PDF Index'!$D$6:$D$11,C276,'Skip PDF Index'!$F$6:$F$11,I276)</f>
        <v>0</v>
      </c>
      <c r="N276" s="22" t="n">
        <f aca="false">COUNTIFS('Skip PDF Index'!$B$6:$B$11,D276,'Skip PDF Index'!$D$6:$D$11,C276,'Skip PDF Index'!$E$6:$E$11,G276,'Skip PDF Index'!$F$6:$F$11,I276)</f>
        <v>0</v>
      </c>
      <c r="O276" s="22" t="n">
        <f aca="false">COUNTIFS('Skip PDF Index'!$B$6:$B$11,D276,'Skip PDF Index'!$D$6:$D$11,C276,'Skip PDF Index'!$E$6:$E$11,G276,'Skip PDF Index'!$F$6:$F$11,I276,'Skip PDF Index'!$H$6:$H$11,"SUPPORTING RECORD")</f>
        <v>0</v>
      </c>
      <c r="P276" s="22" t="n">
        <f aca="false">COUNTIFS('Offer Events'!$A$2:$A$1487,B276,'Offer Events'!$B$2:$B$1487,C276,'Offer Events'!$C$2:$C$1487,D276,'Offer Events'!$E$2:$E$1487,G276,'Offer Events'!$L$2:$L$1487,"SKIPPED",'Offer Events'!$P$2:$P$1487,I276)</f>
        <v>1</v>
      </c>
      <c r="Q276" s="22" t="str">
        <f aca="false">IF(L276&lt;=C276,"Y","N")</f>
        <v>N</v>
      </c>
      <c r="R276" s="22" t="str">
        <f aca="false">IF(AND(O276&gt;0,P276&gt;0,Q276="Y"),"Y","N")</f>
        <v>N</v>
      </c>
      <c r="S276" s="22" t="str">
        <f aca="false">IF(P276=0,"Offer register missing/mismatch",IF(N276=0,IF(M276&gt;0,"PDF slip mismatch","No matching PDF"),IF(O276=0,"PDF lacks supporting record","Reconciled")))</f>
        <v>No matching PDF</v>
      </c>
      <c r="T276" s="22" t="str">
        <f aca="false">IF(R276="Y","Compliant",S276&amp;IF(Q276="N","; review after skip",""))</f>
        <v>No matching PDF; review after skip</v>
      </c>
      <c r="U276" s="22" t="str">
        <f aca="false">IF(R276="Y","",IF(AND(O276&gt;0,P276&gt;0,Q276="N"),"Priority 2","Priority 1"))</f>
        <v>Priority 1</v>
      </c>
    </row>
    <row r="277" customFormat="false" ht="15" hidden="false" customHeight="false" outlineLevel="0" collapsed="false">
      <c r="A277" s="22" t="s">
        <v>10872</v>
      </c>
      <c r="B277" s="22" t="s">
        <v>10287</v>
      </c>
      <c r="C277" s="23" t="n">
        <v>46114</v>
      </c>
      <c r="D277" s="22" t="s">
        <v>970</v>
      </c>
      <c r="E277" s="22" t="str">
        <f aca="false">IFERROR(VLOOKUP(D277,'Applicant Lookup'!$A$2:$F$2911,2,FALSE()),"Not found")</f>
        <v>Christopher Riley</v>
      </c>
      <c r="F277" s="22" t="n">
        <v>288</v>
      </c>
      <c r="G277" s="22" t="s">
        <v>7644</v>
      </c>
      <c r="H277" s="22" t="s">
        <v>159</v>
      </c>
      <c r="I277" s="22" t="s">
        <v>8631</v>
      </c>
      <c r="J277" s="22" t="s">
        <v>10489</v>
      </c>
      <c r="K277" s="22" t="s">
        <v>10513</v>
      </c>
      <c r="L277" s="23" t="n">
        <v>46116</v>
      </c>
      <c r="M277" s="22" t="n">
        <f aca="false">COUNTIFS('Skip PDF Index'!$B$6:$B$11,D277,'Skip PDF Index'!$D$6:$D$11,C277,'Skip PDF Index'!$F$6:$F$11,I277)</f>
        <v>0</v>
      </c>
      <c r="N277" s="22" t="n">
        <f aca="false">COUNTIFS('Skip PDF Index'!$B$6:$B$11,D277,'Skip PDF Index'!$D$6:$D$11,C277,'Skip PDF Index'!$E$6:$E$11,G277,'Skip PDF Index'!$F$6:$F$11,I277)</f>
        <v>0</v>
      </c>
      <c r="O277" s="22" t="n">
        <f aca="false">COUNTIFS('Skip PDF Index'!$B$6:$B$11,D277,'Skip PDF Index'!$D$6:$D$11,C277,'Skip PDF Index'!$E$6:$E$11,G277,'Skip PDF Index'!$F$6:$F$11,I277,'Skip PDF Index'!$H$6:$H$11,"SUPPORTING RECORD")</f>
        <v>0</v>
      </c>
      <c r="P277" s="22" t="n">
        <f aca="false">COUNTIFS('Offer Events'!$A$2:$A$1487,B277,'Offer Events'!$B$2:$B$1487,C277,'Offer Events'!$C$2:$C$1487,D277,'Offer Events'!$E$2:$E$1487,G277,'Offer Events'!$L$2:$L$1487,"SKIPPED",'Offer Events'!$P$2:$P$1487,I277)</f>
        <v>1</v>
      </c>
      <c r="Q277" s="22" t="str">
        <f aca="false">IF(L277&lt;=C277,"Y","N")</f>
        <v>N</v>
      </c>
      <c r="R277" s="22" t="str">
        <f aca="false">IF(AND(O277&gt;0,P277&gt;0,Q277="Y"),"Y","N")</f>
        <v>N</v>
      </c>
      <c r="S277" s="22" t="str">
        <f aca="false">IF(P277=0,"Offer register missing/mismatch",IF(N277=0,IF(M277&gt;0,"PDF slip mismatch","No matching PDF"),IF(O277=0,"PDF lacks supporting record","Reconciled")))</f>
        <v>No matching PDF</v>
      </c>
      <c r="T277" s="22" t="str">
        <f aca="false">IF(R277="Y","Compliant",S277&amp;IF(Q277="N","; review after skip",""))</f>
        <v>No matching PDF; review after skip</v>
      </c>
      <c r="U277" s="22" t="str">
        <f aca="false">IF(R277="Y","",IF(AND(O277&gt;0,P277&gt;0,Q277="N"),"Priority 2","Priority 1"))</f>
        <v>Priority 1</v>
      </c>
    </row>
    <row r="278" customFormat="false" ht="15" hidden="false" customHeight="false" outlineLevel="0" collapsed="false">
      <c r="A278" s="22" t="s">
        <v>10873</v>
      </c>
      <c r="B278" s="22" t="s">
        <v>10289</v>
      </c>
      <c r="C278" s="23" t="n">
        <v>46119</v>
      </c>
      <c r="D278" s="22" t="s">
        <v>3992</v>
      </c>
      <c r="E278" s="22" t="str">
        <f aca="false">IFERROR(VLOOKUP(D278,'Applicant Lookup'!$A$2:$F$2911,2,FALSE()),"Not found")</f>
        <v>Ronald Moore</v>
      </c>
      <c r="F278" s="22" t="n">
        <v>1639</v>
      </c>
      <c r="G278" s="22" t="s">
        <v>7249</v>
      </c>
      <c r="H278" s="22" t="s">
        <v>198</v>
      </c>
      <c r="I278" s="22" t="s">
        <v>8603</v>
      </c>
      <c r="J278" s="22" t="s">
        <v>10489</v>
      </c>
      <c r="K278" s="22" t="s">
        <v>10555</v>
      </c>
      <c r="L278" s="23" t="n">
        <v>46122</v>
      </c>
      <c r="M278" s="22" t="n">
        <f aca="false">COUNTIFS('Skip PDF Index'!$B$6:$B$11,D278,'Skip PDF Index'!$D$6:$D$11,C278,'Skip PDF Index'!$F$6:$F$11,I278)</f>
        <v>0</v>
      </c>
      <c r="N278" s="22" t="n">
        <f aca="false">COUNTIFS('Skip PDF Index'!$B$6:$B$11,D278,'Skip PDF Index'!$D$6:$D$11,C278,'Skip PDF Index'!$E$6:$E$11,G278,'Skip PDF Index'!$F$6:$F$11,I278)</f>
        <v>0</v>
      </c>
      <c r="O278" s="22" t="n">
        <f aca="false">COUNTIFS('Skip PDF Index'!$B$6:$B$11,D278,'Skip PDF Index'!$D$6:$D$11,C278,'Skip PDF Index'!$E$6:$E$11,G278,'Skip PDF Index'!$F$6:$F$11,I278,'Skip PDF Index'!$H$6:$H$11,"SUPPORTING RECORD")</f>
        <v>0</v>
      </c>
      <c r="P278" s="22" t="n">
        <f aca="false">COUNTIFS('Offer Events'!$A$2:$A$1487,B278,'Offer Events'!$B$2:$B$1487,C278,'Offer Events'!$C$2:$C$1487,D278,'Offer Events'!$E$2:$E$1487,G278,'Offer Events'!$L$2:$L$1487,"SKIPPED",'Offer Events'!$P$2:$P$1487,I278)</f>
        <v>1</v>
      </c>
      <c r="Q278" s="22" t="str">
        <f aca="false">IF(L278&lt;=C278,"Y","N")</f>
        <v>N</v>
      </c>
      <c r="R278" s="22" t="str">
        <f aca="false">IF(AND(O278&gt;0,P278&gt;0,Q278="Y"),"Y","N")</f>
        <v>N</v>
      </c>
      <c r="S278" s="22" t="str">
        <f aca="false">IF(P278=0,"Offer register missing/mismatch",IF(N278=0,IF(M278&gt;0,"PDF slip mismatch","No matching PDF"),IF(O278=0,"PDF lacks supporting record","Reconciled")))</f>
        <v>No matching PDF</v>
      </c>
      <c r="T278" s="22" t="str">
        <f aca="false">IF(R278="Y","Compliant",S278&amp;IF(Q278="N","; review after skip",""))</f>
        <v>No matching PDF; review after skip</v>
      </c>
      <c r="U278" s="22" t="str">
        <f aca="false">IF(R278="Y","",IF(AND(O278&gt;0,P278&gt;0,Q278="N"),"Priority 2","Priority 1"))</f>
        <v>Priority 1</v>
      </c>
    </row>
    <row r="279" customFormat="false" ht="15" hidden="false" customHeight="false" outlineLevel="0" collapsed="false">
      <c r="A279" s="22" t="s">
        <v>10874</v>
      </c>
      <c r="B279" s="22" t="s">
        <v>10300</v>
      </c>
      <c r="C279" s="23" t="n">
        <v>46151</v>
      </c>
      <c r="D279" s="22" t="s">
        <v>6247</v>
      </c>
      <c r="E279" s="22" t="str">
        <f aca="false">IFERROR(VLOOKUP(D279,'Applicant Lookup'!$A$2:$F$2911,2,FALSE()),"Not found")</f>
        <v>Carolyn Ali</v>
      </c>
      <c r="F279" s="22" t="n">
        <v>2754</v>
      </c>
      <c r="G279" s="22" t="s">
        <v>7182</v>
      </c>
      <c r="H279" s="22" t="s">
        <v>198</v>
      </c>
      <c r="I279" s="22" t="s">
        <v>8618</v>
      </c>
      <c r="J279" s="22" t="s">
        <v>10489</v>
      </c>
      <c r="K279" s="22" t="s">
        <v>10504</v>
      </c>
      <c r="L279" s="23" t="n">
        <v>46151</v>
      </c>
      <c r="M279" s="22" t="n">
        <f aca="false">COUNTIFS('Skip PDF Index'!$B$6:$B$11,D279,'Skip PDF Index'!$D$6:$D$11,C279,'Skip PDF Index'!$F$6:$F$11,I279)</f>
        <v>0</v>
      </c>
      <c r="N279" s="22" t="n">
        <f aca="false">COUNTIFS('Skip PDF Index'!$B$6:$B$11,D279,'Skip PDF Index'!$D$6:$D$11,C279,'Skip PDF Index'!$E$6:$E$11,G279,'Skip PDF Index'!$F$6:$F$11,I279)</f>
        <v>0</v>
      </c>
      <c r="O279" s="22" t="n">
        <f aca="false">COUNTIFS('Skip PDF Index'!$B$6:$B$11,D279,'Skip PDF Index'!$D$6:$D$11,C279,'Skip PDF Index'!$E$6:$E$11,G279,'Skip PDF Index'!$F$6:$F$11,I279,'Skip PDF Index'!$H$6:$H$11,"SUPPORTING RECORD")</f>
        <v>0</v>
      </c>
      <c r="P279" s="22" t="n">
        <f aca="false">COUNTIFS('Offer Events'!$A$2:$A$1487,B279,'Offer Events'!$B$2:$B$1487,C279,'Offer Events'!$C$2:$C$1487,D279,'Offer Events'!$E$2:$E$1487,G279,'Offer Events'!$L$2:$L$1487,"SKIPPED",'Offer Events'!$P$2:$P$1487,I279)</f>
        <v>1</v>
      </c>
      <c r="Q279" s="22" t="str">
        <f aca="false">IF(L279&lt;=C279,"Y","N")</f>
        <v>Y</v>
      </c>
      <c r="R279" s="22" t="str">
        <f aca="false">IF(AND(O279&gt;0,P279&gt;0,Q279="Y"),"Y","N")</f>
        <v>N</v>
      </c>
      <c r="S279" s="22" t="str">
        <f aca="false">IF(P279=0,"Offer register missing/mismatch",IF(N279=0,IF(M279&gt;0,"PDF slip mismatch","No matching PDF"),IF(O279=0,"PDF lacks supporting record","Reconciled")))</f>
        <v>No matching PDF</v>
      </c>
      <c r="T279" s="22" t="str">
        <f aca="false">IF(R279="Y","Compliant",S279&amp;IF(Q279="N","; review after skip",""))</f>
        <v>No matching PDF</v>
      </c>
      <c r="U279" s="22" t="str">
        <f aca="false">IF(R279="Y","",IF(AND(O279&gt;0,P279&gt;0,Q279="N"),"Priority 2","Priority 1"))</f>
        <v>Priority 1</v>
      </c>
    </row>
    <row r="280" customFormat="false" ht="15" hidden="false" customHeight="false" outlineLevel="0" collapsed="false">
      <c r="A280" s="22" t="s">
        <v>10875</v>
      </c>
      <c r="B280" s="22" t="s">
        <v>10303</v>
      </c>
      <c r="C280" s="23" t="n">
        <v>46148</v>
      </c>
      <c r="D280" s="22" t="s">
        <v>750</v>
      </c>
      <c r="E280" s="22" t="str">
        <f aca="false">IFERROR(VLOOKUP(D280,'Applicant Lookup'!$A$2:$F$2911,2,FALSE()),"Not found")</f>
        <v>Brian Osborne</v>
      </c>
      <c r="F280" s="22" t="n">
        <v>205</v>
      </c>
      <c r="G280" s="22" t="s">
        <v>8218</v>
      </c>
      <c r="H280" s="22" t="s">
        <v>499</v>
      </c>
      <c r="I280" s="22" t="s">
        <v>8637</v>
      </c>
      <c r="J280" s="22" t="s">
        <v>10489</v>
      </c>
      <c r="K280" s="22" t="s">
        <v>10513</v>
      </c>
      <c r="L280" s="23" t="n">
        <v>46151</v>
      </c>
      <c r="M280" s="22" t="n">
        <f aca="false">COUNTIFS('Skip PDF Index'!$B$6:$B$11,D280,'Skip PDF Index'!$D$6:$D$11,C280,'Skip PDF Index'!$F$6:$F$11,I280)</f>
        <v>0</v>
      </c>
      <c r="N280" s="22" t="n">
        <f aca="false">COUNTIFS('Skip PDF Index'!$B$6:$B$11,D280,'Skip PDF Index'!$D$6:$D$11,C280,'Skip PDF Index'!$E$6:$E$11,G280,'Skip PDF Index'!$F$6:$F$11,I280)</f>
        <v>0</v>
      </c>
      <c r="O280" s="22" t="n">
        <f aca="false">COUNTIFS('Skip PDF Index'!$B$6:$B$11,D280,'Skip PDF Index'!$D$6:$D$11,C280,'Skip PDF Index'!$E$6:$E$11,G280,'Skip PDF Index'!$F$6:$F$11,I280,'Skip PDF Index'!$H$6:$H$11,"SUPPORTING RECORD")</f>
        <v>0</v>
      </c>
      <c r="P280" s="22" t="n">
        <f aca="false">COUNTIFS('Offer Events'!$A$2:$A$1487,B280,'Offer Events'!$B$2:$B$1487,C280,'Offer Events'!$C$2:$C$1487,D280,'Offer Events'!$E$2:$E$1487,G280,'Offer Events'!$L$2:$L$1487,"SKIPPED",'Offer Events'!$P$2:$P$1487,I280)</f>
        <v>1</v>
      </c>
      <c r="Q280" s="22" t="str">
        <f aca="false">IF(L280&lt;=C280,"Y","N")</f>
        <v>N</v>
      </c>
      <c r="R280" s="22" t="str">
        <f aca="false">IF(AND(O280&gt;0,P280&gt;0,Q280="Y"),"Y","N")</f>
        <v>N</v>
      </c>
      <c r="S280" s="22" t="str">
        <f aca="false">IF(P280=0,"Offer register missing/mismatch",IF(N280=0,IF(M280&gt;0,"PDF slip mismatch","No matching PDF"),IF(O280=0,"PDF lacks supporting record","Reconciled")))</f>
        <v>No matching PDF</v>
      </c>
      <c r="T280" s="22" t="str">
        <f aca="false">IF(R280="Y","Compliant",S280&amp;IF(Q280="N","; review after skip",""))</f>
        <v>No matching PDF; review after skip</v>
      </c>
      <c r="U280" s="22" t="str">
        <f aca="false">IF(R280="Y","",IF(AND(O280&gt;0,P280&gt;0,Q280="N"),"Priority 2","Priority 1"))</f>
        <v>Priority 1</v>
      </c>
    </row>
    <row r="281" customFormat="false" ht="15" hidden="false" customHeight="false" outlineLevel="0" collapsed="false">
      <c r="A281" s="22" t="s">
        <v>10876</v>
      </c>
      <c r="B281" s="22" t="s">
        <v>10304</v>
      </c>
      <c r="C281" s="23" t="n">
        <v>46160</v>
      </c>
      <c r="D281" s="22" t="s">
        <v>5952</v>
      </c>
      <c r="E281" s="22" t="str">
        <f aca="false">IFERROR(VLOOKUP(D281,'Applicant Lookup'!$A$2:$F$2911,2,FALSE()),"Not found")</f>
        <v>Ross Green</v>
      </c>
      <c r="F281" s="22" t="n">
        <v>2607</v>
      </c>
      <c r="G281" s="22" t="s">
        <v>7257</v>
      </c>
      <c r="H281" s="22" t="s">
        <v>198</v>
      </c>
      <c r="I281" s="22" t="s">
        <v>8618</v>
      </c>
      <c r="J281" s="22" t="s">
        <v>10489</v>
      </c>
      <c r="K281" s="22" t="s">
        <v>10506</v>
      </c>
      <c r="L281" s="23" t="n">
        <v>46163</v>
      </c>
      <c r="M281" s="22" t="n">
        <f aca="false">COUNTIFS('Skip PDF Index'!$B$6:$B$11,D281,'Skip PDF Index'!$D$6:$D$11,C281,'Skip PDF Index'!$F$6:$F$11,I281)</f>
        <v>0</v>
      </c>
      <c r="N281" s="22" t="n">
        <f aca="false">COUNTIFS('Skip PDF Index'!$B$6:$B$11,D281,'Skip PDF Index'!$D$6:$D$11,C281,'Skip PDF Index'!$E$6:$E$11,G281,'Skip PDF Index'!$F$6:$F$11,I281)</f>
        <v>0</v>
      </c>
      <c r="O281" s="22" t="n">
        <f aca="false">COUNTIFS('Skip PDF Index'!$B$6:$B$11,D281,'Skip PDF Index'!$D$6:$D$11,C281,'Skip PDF Index'!$E$6:$E$11,G281,'Skip PDF Index'!$F$6:$F$11,I281,'Skip PDF Index'!$H$6:$H$11,"SUPPORTING RECORD")</f>
        <v>0</v>
      </c>
      <c r="P281" s="22" t="n">
        <f aca="false">COUNTIFS('Offer Events'!$A$2:$A$1487,B281,'Offer Events'!$B$2:$B$1487,C281,'Offer Events'!$C$2:$C$1487,D281,'Offer Events'!$E$2:$E$1487,G281,'Offer Events'!$L$2:$L$1487,"SKIPPED",'Offer Events'!$P$2:$P$1487,I281)</f>
        <v>1</v>
      </c>
      <c r="Q281" s="22" t="str">
        <f aca="false">IF(L281&lt;=C281,"Y","N")</f>
        <v>N</v>
      </c>
      <c r="R281" s="22" t="str">
        <f aca="false">IF(AND(O281&gt;0,P281&gt;0,Q281="Y"),"Y","N")</f>
        <v>N</v>
      </c>
      <c r="S281" s="22" t="str">
        <f aca="false">IF(P281=0,"Offer register missing/mismatch",IF(N281=0,IF(M281&gt;0,"PDF slip mismatch","No matching PDF"),IF(O281=0,"PDF lacks supporting record","Reconciled")))</f>
        <v>No matching PDF</v>
      </c>
      <c r="T281" s="22" t="str">
        <f aca="false">IF(R281="Y","Compliant",S281&amp;IF(Q281="N","; review after skip",""))</f>
        <v>No matching PDF; review after skip</v>
      </c>
      <c r="U281" s="22" t="str">
        <f aca="false">IF(R281="Y","",IF(AND(O281&gt;0,P281&gt;0,Q281="N"),"Priority 2","Priority 1"))</f>
        <v>Priority 1</v>
      </c>
    </row>
    <row r="282" customFormat="false" ht="15" hidden="false" customHeight="false" outlineLevel="0" collapsed="false">
      <c r="A282" s="22" t="s">
        <v>10877</v>
      </c>
      <c r="B282" s="22" t="s">
        <v>10307</v>
      </c>
      <c r="C282" s="23" t="n">
        <v>46150</v>
      </c>
      <c r="D282" s="22" t="s">
        <v>6526</v>
      </c>
      <c r="E282" s="22" t="str">
        <f aca="false">IFERROR(VLOOKUP(D282,'Applicant Lookup'!$A$2:$F$2911,2,FALSE()),"Not found")</f>
        <v>Stephen Hammond</v>
      </c>
      <c r="F282" s="22" t="n">
        <v>2896</v>
      </c>
      <c r="G282" s="22" t="s">
        <v>6708</v>
      </c>
      <c r="H282" s="22" t="s">
        <v>198</v>
      </c>
      <c r="I282" s="22" t="s">
        <v>8603</v>
      </c>
      <c r="J282" s="22" t="s">
        <v>10518</v>
      </c>
      <c r="K282" s="22" t="s">
        <v>10504</v>
      </c>
      <c r="L282" s="23" t="n">
        <v>46150</v>
      </c>
      <c r="M282" s="22" t="n">
        <f aca="false">COUNTIFS('Skip PDF Index'!$B$6:$B$11,D282,'Skip PDF Index'!$D$6:$D$11,C282,'Skip PDF Index'!$F$6:$F$11,I282)</f>
        <v>0</v>
      </c>
      <c r="N282" s="22" t="n">
        <f aca="false">COUNTIFS('Skip PDF Index'!$B$6:$B$11,D282,'Skip PDF Index'!$D$6:$D$11,C282,'Skip PDF Index'!$E$6:$E$11,G282,'Skip PDF Index'!$F$6:$F$11,I282)</f>
        <v>0</v>
      </c>
      <c r="O282" s="22" t="n">
        <f aca="false">COUNTIFS('Skip PDF Index'!$B$6:$B$11,D282,'Skip PDF Index'!$D$6:$D$11,C282,'Skip PDF Index'!$E$6:$E$11,G282,'Skip PDF Index'!$F$6:$F$11,I282,'Skip PDF Index'!$H$6:$H$11,"SUPPORTING RECORD")</f>
        <v>0</v>
      </c>
      <c r="P282" s="22" t="n">
        <f aca="false">COUNTIFS('Offer Events'!$A$2:$A$1487,B282,'Offer Events'!$B$2:$B$1487,C282,'Offer Events'!$C$2:$C$1487,D282,'Offer Events'!$E$2:$E$1487,G282,'Offer Events'!$L$2:$L$1487,"SKIPPED",'Offer Events'!$P$2:$P$1487,I282)</f>
        <v>1</v>
      </c>
      <c r="Q282" s="22" t="str">
        <f aca="false">IF(L282&lt;=C282,"Y","N")</f>
        <v>Y</v>
      </c>
      <c r="R282" s="22" t="str">
        <f aca="false">IF(AND(O282&gt;0,P282&gt;0,Q282="Y"),"Y","N")</f>
        <v>N</v>
      </c>
      <c r="S282" s="22" t="str">
        <f aca="false">IF(P282=0,"Offer register missing/mismatch",IF(N282=0,IF(M282&gt;0,"PDF slip mismatch","No matching PDF"),IF(O282=0,"PDF lacks supporting record","Reconciled")))</f>
        <v>No matching PDF</v>
      </c>
      <c r="T282" s="22" t="str">
        <f aca="false">IF(R282="Y","Compliant",S282&amp;IF(Q282="N","; review after skip",""))</f>
        <v>No matching PDF</v>
      </c>
      <c r="U282" s="22" t="str">
        <f aca="false">IF(R282="Y","",IF(AND(O282&gt;0,P282&gt;0,Q282="N"),"Priority 2","Priority 1"))</f>
        <v>Priority 1</v>
      </c>
    </row>
    <row r="283" customFormat="false" ht="15" hidden="false" customHeight="false" outlineLevel="0" collapsed="false">
      <c r="A283" s="22" t="s">
        <v>10878</v>
      </c>
      <c r="B283" s="22" t="s">
        <v>10312</v>
      </c>
      <c r="C283" s="23" t="n">
        <v>46166</v>
      </c>
      <c r="D283" s="22" t="s">
        <v>5233</v>
      </c>
      <c r="E283" s="22" t="str">
        <f aca="false">IFERROR(VLOOKUP(D283,'Applicant Lookup'!$A$2:$F$2911,2,FALSE()),"Not found")</f>
        <v>Tina Armstrong</v>
      </c>
      <c r="F283" s="22" t="n">
        <v>2247</v>
      </c>
      <c r="G283" s="22" t="s">
        <v>7644</v>
      </c>
      <c r="H283" s="22" t="s">
        <v>159</v>
      </c>
      <c r="I283" s="22" t="s">
        <v>8603</v>
      </c>
      <c r="J283" s="22" t="s">
        <v>10489</v>
      </c>
      <c r="K283" s="22" t="s">
        <v>10496</v>
      </c>
      <c r="L283" s="23" t="n">
        <v>46171</v>
      </c>
      <c r="M283" s="22" t="n">
        <f aca="false">COUNTIFS('Skip PDF Index'!$B$6:$B$11,D283,'Skip PDF Index'!$D$6:$D$11,C283,'Skip PDF Index'!$F$6:$F$11,I283)</f>
        <v>0</v>
      </c>
      <c r="N283" s="22" t="n">
        <f aca="false">COUNTIFS('Skip PDF Index'!$B$6:$B$11,D283,'Skip PDF Index'!$D$6:$D$11,C283,'Skip PDF Index'!$E$6:$E$11,G283,'Skip PDF Index'!$F$6:$F$11,I283)</f>
        <v>0</v>
      </c>
      <c r="O283" s="22" t="n">
        <f aca="false">COUNTIFS('Skip PDF Index'!$B$6:$B$11,D283,'Skip PDF Index'!$D$6:$D$11,C283,'Skip PDF Index'!$E$6:$E$11,G283,'Skip PDF Index'!$F$6:$F$11,I283,'Skip PDF Index'!$H$6:$H$11,"SUPPORTING RECORD")</f>
        <v>0</v>
      </c>
      <c r="P283" s="22" t="n">
        <f aca="false">COUNTIFS('Offer Events'!$A$2:$A$1487,B283,'Offer Events'!$B$2:$B$1487,C283,'Offer Events'!$C$2:$C$1487,D283,'Offer Events'!$E$2:$E$1487,G283,'Offer Events'!$L$2:$L$1487,"SKIPPED",'Offer Events'!$P$2:$P$1487,I283)</f>
        <v>1</v>
      </c>
      <c r="Q283" s="22" t="str">
        <f aca="false">IF(L283&lt;=C283,"Y","N")</f>
        <v>N</v>
      </c>
      <c r="R283" s="22" t="str">
        <f aca="false">IF(AND(O283&gt;0,P283&gt;0,Q283="Y"),"Y","N")</f>
        <v>N</v>
      </c>
      <c r="S283" s="22" t="str">
        <f aca="false">IF(P283=0,"Offer register missing/mismatch",IF(N283=0,IF(M283&gt;0,"PDF slip mismatch","No matching PDF"),IF(O283=0,"PDF lacks supporting record","Reconciled")))</f>
        <v>No matching PDF</v>
      </c>
      <c r="T283" s="22" t="str">
        <f aca="false">IF(R283="Y","Compliant",S283&amp;IF(Q283="N","; review after skip",""))</f>
        <v>No matching PDF; review after skip</v>
      </c>
      <c r="U283" s="22" t="str">
        <f aca="false">IF(R283="Y","",IF(AND(O283&gt;0,P283&gt;0,Q283="N"),"Priority 2","Priority 1"))</f>
        <v>Priority 1</v>
      </c>
    </row>
    <row r="284" customFormat="false" ht="15" hidden="false" customHeight="false" outlineLevel="0" collapsed="false">
      <c r="A284" s="22" t="s">
        <v>10879</v>
      </c>
      <c r="B284" s="22" t="s">
        <v>10323</v>
      </c>
      <c r="C284" s="23" t="n">
        <v>46144</v>
      </c>
      <c r="D284" s="22" t="s">
        <v>4058</v>
      </c>
      <c r="E284" s="22" t="str">
        <f aca="false">IFERROR(VLOOKUP(D284,'Applicant Lookup'!$A$2:$F$2911,2,FALSE()),"Not found")</f>
        <v>Monica Stephens</v>
      </c>
      <c r="F284" s="22" t="n">
        <v>1671</v>
      </c>
      <c r="G284" s="22" t="s">
        <v>7234</v>
      </c>
      <c r="H284" s="22" t="s">
        <v>198</v>
      </c>
      <c r="I284" s="22" t="s">
        <v>8603</v>
      </c>
      <c r="J284" s="22" t="s">
        <v>10489</v>
      </c>
      <c r="K284" s="22" t="s">
        <v>10555</v>
      </c>
      <c r="L284" s="23" t="n">
        <v>46145</v>
      </c>
      <c r="M284" s="22" t="n">
        <f aca="false">COUNTIFS('Skip PDF Index'!$B$6:$B$11,D284,'Skip PDF Index'!$D$6:$D$11,C284,'Skip PDF Index'!$F$6:$F$11,I284)</f>
        <v>0</v>
      </c>
      <c r="N284" s="22" t="n">
        <f aca="false">COUNTIFS('Skip PDF Index'!$B$6:$B$11,D284,'Skip PDF Index'!$D$6:$D$11,C284,'Skip PDF Index'!$E$6:$E$11,G284,'Skip PDF Index'!$F$6:$F$11,I284)</f>
        <v>0</v>
      </c>
      <c r="O284" s="22" t="n">
        <f aca="false">COUNTIFS('Skip PDF Index'!$B$6:$B$11,D284,'Skip PDF Index'!$D$6:$D$11,C284,'Skip PDF Index'!$E$6:$E$11,G284,'Skip PDF Index'!$F$6:$F$11,I284,'Skip PDF Index'!$H$6:$H$11,"SUPPORTING RECORD")</f>
        <v>0</v>
      </c>
      <c r="P284" s="22" t="n">
        <f aca="false">COUNTIFS('Offer Events'!$A$2:$A$1487,B284,'Offer Events'!$B$2:$B$1487,C284,'Offer Events'!$C$2:$C$1487,D284,'Offer Events'!$E$2:$E$1487,G284,'Offer Events'!$L$2:$L$1487,"SKIPPED",'Offer Events'!$P$2:$P$1487,I284)</f>
        <v>1</v>
      </c>
      <c r="Q284" s="22" t="str">
        <f aca="false">IF(L284&lt;=C284,"Y","N")</f>
        <v>N</v>
      </c>
      <c r="R284" s="22" t="str">
        <f aca="false">IF(AND(O284&gt;0,P284&gt;0,Q284="Y"),"Y","N")</f>
        <v>N</v>
      </c>
      <c r="S284" s="22" t="str">
        <f aca="false">IF(P284=0,"Offer register missing/mismatch",IF(N284=0,IF(M284&gt;0,"PDF slip mismatch","No matching PDF"),IF(O284=0,"PDF lacks supporting record","Reconciled")))</f>
        <v>No matching PDF</v>
      </c>
      <c r="T284" s="22" t="str">
        <f aca="false">IF(R284="Y","Compliant",S284&amp;IF(Q284="N","; review after skip",""))</f>
        <v>No matching PDF; review after skip</v>
      </c>
      <c r="U284" s="22" t="str">
        <f aca="false">IF(R284="Y","",IF(AND(O284&gt;0,P284&gt;0,Q284="N"),"Priority 2","Priority 1"))</f>
        <v>Priority 1</v>
      </c>
    </row>
    <row r="285" customFormat="false" ht="15" hidden="false" customHeight="false" outlineLevel="0" collapsed="false">
      <c r="A285" s="22" t="s">
        <v>10880</v>
      </c>
      <c r="B285" s="22" t="s">
        <v>10328</v>
      </c>
      <c r="C285" s="23" t="n">
        <v>46153</v>
      </c>
      <c r="D285" s="22" t="s">
        <v>1269</v>
      </c>
      <c r="E285" s="22" t="str">
        <f aca="false">IFERROR(VLOOKUP(D285,'Applicant Lookup'!$A$2:$F$2911,2,FALSE()),"Not found")</f>
        <v>Eric Boyle</v>
      </c>
      <c r="F285" s="22" t="n">
        <v>404</v>
      </c>
      <c r="G285" s="22" t="s">
        <v>7530</v>
      </c>
      <c r="H285" s="22" t="s">
        <v>159</v>
      </c>
      <c r="I285" s="22" t="s">
        <v>8618</v>
      </c>
      <c r="J285" s="22" t="s">
        <v>10489</v>
      </c>
      <c r="K285" s="22" t="s">
        <v>10491</v>
      </c>
      <c r="L285" s="23" t="n">
        <v>46157</v>
      </c>
      <c r="M285" s="22" t="n">
        <f aca="false">COUNTIFS('Skip PDF Index'!$B$6:$B$11,D285,'Skip PDF Index'!$D$6:$D$11,C285,'Skip PDF Index'!$F$6:$F$11,I285)</f>
        <v>0</v>
      </c>
      <c r="N285" s="22" t="n">
        <f aca="false">COUNTIFS('Skip PDF Index'!$B$6:$B$11,D285,'Skip PDF Index'!$D$6:$D$11,C285,'Skip PDF Index'!$E$6:$E$11,G285,'Skip PDF Index'!$F$6:$F$11,I285)</f>
        <v>0</v>
      </c>
      <c r="O285" s="22" t="n">
        <f aca="false">COUNTIFS('Skip PDF Index'!$B$6:$B$11,D285,'Skip PDF Index'!$D$6:$D$11,C285,'Skip PDF Index'!$E$6:$E$11,G285,'Skip PDF Index'!$F$6:$F$11,I285,'Skip PDF Index'!$H$6:$H$11,"SUPPORTING RECORD")</f>
        <v>0</v>
      </c>
      <c r="P285" s="22" t="n">
        <f aca="false">COUNTIFS('Offer Events'!$A$2:$A$1487,B285,'Offer Events'!$B$2:$B$1487,C285,'Offer Events'!$C$2:$C$1487,D285,'Offer Events'!$E$2:$E$1487,G285,'Offer Events'!$L$2:$L$1487,"SKIPPED",'Offer Events'!$P$2:$P$1487,I285)</f>
        <v>1</v>
      </c>
      <c r="Q285" s="22" t="str">
        <f aca="false">IF(L285&lt;=C285,"Y","N")</f>
        <v>N</v>
      </c>
      <c r="R285" s="22" t="str">
        <f aca="false">IF(AND(O285&gt;0,P285&gt;0,Q285="Y"),"Y","N")</f>
        <v>N</v>
      </c>
      <c r="S285" s="22" t="str">
        <f aca="false">IF(P285=0,"Offer register missing/mismatch",IF(N285=0,IF(M285&gt;0,"PDF slip mismatch","No matching PDF"),IF(O285=0,"PDF lacks supporting record","Reconciled")))</f>
        <v>No matching PDF</v>
      </c>
      <c r="T285" s="22" t="str">
        <f aca="false">IF(R285="Y","Compliant",S285&amp;IF(Q285="N","; review after skip",""))</f>
        <v>No matching PDF; review after skip</v>
      </c>
      <c r="U285" s="22" t="str">
        <f aca="false">IF(R285="Y","",IF(AND(O285&gt;0,P285&gt;0,Q285="N"),"Priority 2","Priority 1"))</f>
        <v>Priority 1</v>
      </c>
    </row>
    <row r="286" customFormat="false" ht="15" hidden="false" customHeight="false" outlineLevel="0" collapsed="false">
      <c r="A286" s="22" t="s">
        <v>10881</v>
      </c>
      <c r="B286" s="22" t="s">
        <v>10332</v>
      </c>
      <c r="C286" s="23" t="n">
        <v>46160</v>
      </c>
      <c r="D286" s="22" t="s">
        <v>999</v>
      </c>
      <c r="E286" s="22" t="str">
        <f aca="false">IFERROR(VLOOKUP(D286,'Applicant Lookup'!$A$2:$F$2911,2,FALSE()),"Not found")</f>
        <v>Wayne Andrews</v>
      </c>
      <c r="F286" s="22" t="n">
        <v>299</v>
      </c>
      <c r="G286" s="22" t="s">
        <v>8270</v>
      </c>
      <c r="H286" s="22" t="s">
        <v>499</v>
      </c>
      <c r="I286" s="22" t="s">
        <v>8618</v>
      </c>
      <c r="J286" s="22" t="s">
        <v>10489</v>
      </c>
      <c r="K286" s="22" t="s">
        <v>10516</v>
      </c>
      <c r="L286" s="23" t="n">
        <v>46161</v>
      </c>
      <c r="M286" s="22" t="n">
        <f aca="false">COUNTIFS('Skip PDF Index'!$B$6:$B$11,D286,'Skip PDF Index'!$D$6:$D$11,C286,'Skip PDF Index'!$F$6:$F$11,I286)</f>
        <v>0</v>
      </c>
      <c r="N286" s="22" t="n">
        <f aca="false">COUNTIFS('Skip PDF Index'!$B$6:$B$11,D286,'Skip PDF Index'!$D$6:$D$11,C286,'Skip PDF Index'!$E$6:$E$11,G286,'Skip PDF Index'!$F$6:$F$11,I286)</f>
        <v>0</v>
      </c>
      <c r="O286" s="22" t="n">
        <f aca="false">COUNTIFS('Skip PDF Index'!$B$6:$B$11,D286,'Skip PDF Index'!$D$6:$D$11,C286,'Skip PDF Index'!$E$6:$E$11,G286,'Skip PDF Index'!$F$6:$F$11,I286,'Skip PDF Index'!$H$6:$H$11,"SUPPORTING RECORD")</f>
        <v>0</v>
      </c>
      <c r="P286" s="22" t="n">
        <f aca="false">COUNTIFS('Offer Events'!$A$2:$A$1487,B286,'Offer Events'!$B$2:$B$1487,C286,'Offer Events'!$C$2:$C$1487,D286,'Offer Events'!$E$2:$E$1487,G286,'Offer Events'!$L$2:$L$1487,"SKIPPED",'Offer Events'!$P$2:$P$1487,I286)</f>
        <v>1</v>
      </c>
      <c r="Q286" s="22" t="str">
        <f aca="false">IF(L286&lt;=C286,"Y","N")</f>
        <v>N</v>
      </c>
      <c r="R286" s="22" t="str">
        <f aca="false">IF(AND(O286&gt;0,P286&gt;0,Q286="Y"),"Y","N")</f>
        <v>N</v>
      </c>
      <c r="S286" s="22" t="str">
        <f aca="false">IF(P286=0,"Offer register missing/mismatch",IF(N286=0,IF(M286&gt;0,"PDF slip mismatch","No matching PDF"),IF(O286=0,"PDF lacks supporting record","Reconciled")))</f>
        <v>No matching PDF</v>
      </c>
      <c r="T286" s="22" t="str">
        <f aca="false">IF(R286="Y","Compliant",S286&amp;IF(Q286="N","; review after skip",""))</f>
        <v>No matching PDF; review after skip</v>
      </c>
      <c r="U286" s="22" t="str">
        <f aca="false">IF(R286="Y","",IF(AND(O286&gt;0,P286&gt;0,Q286="N"),"Priority 2","Priority 1"))</f>
        <v>Priority 1</v>
      </c>
    </row>
    <row r="287" customFormat="false" ht="15" hidden="false" customHeight="false" outlineLevel="0" collapsed="false">
      <c r="A287" s="22" t="s">
        <v>10882</v>
      </c>
      <c r="B287" s="22" t="s">
        <v>10335</v>
      </c>
      <c r="C287" s="23" t="n">
        <v>46144</v>
      </c>
      <c r="D287" s="22" t="s">
        <v>5040</v>
      </c>
      <c r="E287" s="22" t="str">
        <f aca="false">IFERROR(VLOOKUP(D287,'Applicant Lookup'!$A$2:$F$2911,2,FALSE()),"Not found")</f>
        <v>Kenneth Simmons</v>
      </c>
      <c r="F287" s="22" t="n">
        <v>2152</v>
      </c>
      <c r="G287" s="22" t="s">
        <v>6588</v>
      </c>
      <c r="H287" s="22" t="s">
        <v>198</v>
      </c>
      <c r="I287" s="22" t="s">
        <v>8637</v>
      </c>
      <c r="J287" s="22" t="s">
        <v>10489</v>
      </c>
      <c r="K287" s="22" t="s">
        <v>10501</v>
      </c>
      <c r="L287" s="23" t="n">
        <v>46145</v>
      </c>
      <c r="M287" s="22" t="n">
        <f aca="false">COUNTIFS('Skip PDF Index'!$B$6:$B$11,D287,'Skip PDF Index'!$D$6:$D$11,C287,'Skip PDF Index'!$F$6:$F$11,I287)</f>
        <v>0</v>
      </c>
      <c r="N287" s="22" t="n">
        <f aca="false">COUNTIFS('Skip PDF Index'!$B$6:$B$11,D287,'Skip PDF Index'!$D$6:$D$11,C287,'Skip PDF Index'!$E$6:$E$11,G287,'Skip PDF Index'!$F$6:$F$11,I287)</f>
        <v>0</v>
      </c>
      <c r="O287" s="22" t="n">
        <f aca="false">COUNTIFS('Skip PDF Index'!$B$6:$B$11,D287,'Skip PDF Index'!$D$6:$D$11,C287,'Skip PDF Index'!$E$6:$E$11,G287,'Skip PDF Index'!$F$6:$F$11,I287,'Skip PDF Index'!$H$6:$H$11,"SUPPORTING RECORD")</f>
        <v>0</v>
      </c>
      <c r="P287" s="22" t="n">
        <f aca="false">COUNTIFS('Offer Events'!$A$2:$A$1487,B287,'Offer Events'!$B$2:$B$1487,C287,'Offer Events'!$C$2:$C$1487,D287,'Offer Events'!$E$2:$E$1487,G287,'Offer Events'!$L$2:$L$1487,"SKIPPED",'Offer Events'!$P$2:$P$1487,I287)</f>
        <v>1</v>
      </c>
      <c r="Q287" s="22" t="str">
        <f aca="false">IF(L287&lt;=C287,"Y","N")</f>
        <v>N</v>
      </c>
      <c r="R287" s="22" t="str">
        <f aca="false">IF(AND(O287&gt;0,P287&gt;0,Q287="Y"),"Y","N")</f>
        <v>N</v>
      </c>
      <c r="S287" s="22" t="str">
        <f aca="false">IF(P287=0,"Offer register missing/mismatch",IF(N287=0,IF(M287&gt;0,"PDF slip mismatch","No matching PDF"),IF(O287=0,"PDF lacks supporting record","Reconciled")))</f>
        <v>No matching PDF</v>
      </c>
      <c r="T287" s="22" t="str">
        <f aca="false">IF(R287="Y","Compliant",S287&amp;IF(Q287="N","; review after skip",""))</f>
        <v>No matching PDF; review after skip</v>
      </c>
      <c r="U287" s="22" t="str">
        <f aca="false">IF(R287="Y","",IF(AND(O287&gt;0,P287&gt;0,Q287="N"),"Priority 2","Priority 1"))</f>
        <v>Priority 1</v>
      </c>
    </row>
    <row r="288" customFormat="false" ht="15" hidden="false" customHeight="false" outlineLevel="0" collapsed="false">
      <c r="A288" s="22" t="s">
        <v>10883</v>
      </c>
      <c r="B288" s="22" t="s">
        <v>10336</v>
      </c>
      <c r="C288" s="23" t="n">
        <v>46156</v>
      </c>
      <c r="D288" s="22" t="s">
        <v>881</v>
      </c>
      <c r="E288" s="22" t="str">
        <f aca="false">IFERROR(VLOOKUP(D288,'Applicant Lookup'!$A$2:$F$2911,2,FALSE()),"Not found")</f>
        <v>Dana Walker</v>
      </c>
      <c r="F288" s="22" t="n">
        <v>255</v>
      </c>
      <c r="G288" s="22" t="s">
        <v>7865</v>
      </c>
      <c r="H288" s="22" t="s">
        <v>215</v>
      </c>
      <c r="I288" s="22" t="s">
        <v>8618</v>
      </c>
      <c r="J288" s="22" t="s">
        <v>10489</v>
      </c>
      <c r="K288" s="22" t="s">
        <v>10506</v>
      </c>
      <c r="L288" s="23" t="n">
        <v>46160</v>
      </c>
      <c r="M288" s="22" t="n">
        <f aca="false">COUNTIFS('Skip PDF Index'!$B$6:$B$11,D288,'Skip PDF Index'!$D$6:$D$11,C288,'Skip PDF Index'!$F$6:$F$11,I288)</f>
        <v>0</v>
      </c>
      <c r="N288" s="22" t="n">
        <f aca="false">COUNTIFS('Skip PDF Index'!$B$6:$B$11,D288,'Skip PDF Index'!$D$6:$D$11,C288,'Skip PDF Index'!$E$6:$E$11,G288,'Skip PDF Index'!$F$6:$F$11,I288)</f>
        <v>0</v>
      </c>
      <c r="O288" s="22" t="n">
        <f aca="false">COUNTIFS('Skip PDF Index'!$B$6:$B$11,D288,'Skip PDF Index'!$D$6:$D$11,C288,'Skip PDF Index'!$E$6:$E$11,G288,'Skip PDF Index'!$F$6:$F$11,I288,'Skip PDF Index'!$H$6:$H$11,"SUPPORTING RECORD")</f>
        <v>0</v>
      </c>
      <c r="P288" s="22" t="n">
        <f aca="false">COUNTIFS('Offer Events'!$A$2:$A$1487,B288,'Offer Events'!$B$2:$B$1487,C288,'Offer Events'!$C$2:$C$1487,D288,'Offer Events'!$E$2:$E$1487,G288,'Offer Events'!$L$2:$L$1487,"SKIPPED",'Offer Events'!$P$2:$P$1487,I288)</f>
        <v>1</v>
      </c>
      <c r="Q288" s="22" t="str">
        <f aca="false">IF(L288&lt;=C288,"Y","N")</f>
        <v>N</v>
      </c>
      <c r="R288" s="22" t="str">
        <f aca="false">IF(AND(O288&gt;0,P288&gt;0,Q288="Y"),"Y","N")</f>
        <v>N</v>
      </c>
      <c r="S288" s="22" t="str">
        <f aca="false">IF(P288=0,"Offer register missing/mismatch",IF(N288=0,IF(M288&gt;0,"PDF slip mismatch","No matching PDF"),IF(O288=0,"PDF lacks supporting record","Reconciled")))</f>
        <v>No matching PDF</v>
      </c>
      <c r="T288" s="22" t="str">
        <f aca="false">IF(R288="Y","Compliant",S288&amp;IF(Q288="N","; review after skip",""))</f>
        <v>No matching PDF; review after skip</v>
      </c>
      <c r="U288" s="22" t="str">
        <f aca="false">IF(R288="Y","",IF(AND(O288&gt;0,P288&gt;0,Q288="N"),"Priority 2","Priority 1"))</f>
        <v>Priority 1</v>
      </c>
    </row>
    <row r="289" customFormat="false" ht="15" hidden="false" customHeight="false" outlineLevel="0" collapsed="false">
      <c r="A289" s="22" t="s">
        <v>10884</v>
      </c>
      <c r="B289" s="22" t="s">
        <v>10340</v>
      </c>
      <c r="C289" s="23" t="n">
        <v>46152</v>
      </c>
      <c r="D289" s="22" t="s">
        <v>481</v>
      </c>
      <c r="E289" s="22" t="str">
        <f aca="false">IFERROR(VLOOKUP(D289,'Applicant Lookup'!$A$2:$F$2911,2,FALSE()),"Not found")</f>
        <v>Patrick Sanchez</v>
      </c>
      <c r="F289" s="22" t="n">
        <v>109</v>
      </c>
      <c r="G289" s="22" t="s">
        <v>7112</v>
      </c>
      <c r="H289" s="22" t="s">
        <v>198</v>
      </c>
      <c r="I289" s="22" t="s">
        <v>8637</v>
      </c>
      <c r="J289" s="22" t="s">
        <v>10489</v>
      </c>
      <c r="K289" s="22" t="s">
        <v>10491</v>
      </c>
      <c r="L289" s="23" t="n">
        <v>46153</v>
      </c>
      <c r="M289" s="22" t="n">
        <f aca="false">COUNTIFS('Skip PDF Index'!$B$6:$B$11,D289,'Skip PDF Index'!$D$6:$D$11,C289,'Skip PDF Index'!$F$6:$F$11,I289)</f>
        <v>0</v>
      </c>
      <c r="N289" s="22" t="n">
        <f aca="false">COUNTIFS('Skip PDF Index'!$B$6:$B$11,D289,'Skip PDF Index'!$D$6:$D$11,C289,'Skip PDF Index'!$E$6:$E$11,G289,'Skip PDF Index'!$F$6:$F$11,I289)</f>
        <v>0</v>
      </c>
      <c r="O289" s="22" t="n">
        <f aca="false">COUNTIFS('Skip PDF Index'!$B$6:$B$11,D289,'Skip PDF Index'!$D$6:$D$11,C289,'Skip PDF Index'!$E$6:$E$11,G289,'Skip PDF Index'!$F$6:$F$11,I289,'Skip PDF Index'!$H$6:$H$11,"SUPPORTING RECORD")</f>
        <v>0</v>
      </c>
      <c r="P289" s="22" t="n">
        <f aca="false">COUNTIFS('Offer Events'!$A$2:$A$1487,B289,'Offer Events'!$B$2:$B$1487,C289,'Offer Events'!$C$2:$C$1487,D289,'Offer Events'!$E$2:$E$1487,G289,'Offer Events'!$L$2:$L$1487,"SKIPPED",'Offer Events'!$P$2:$P$1487,I289)</f>
        <v>1</v>
      </c>
      <c r="Q289" s="22" t="str">
        <f aca="false">IF(L289&lt;=C289,"Y","N")</f>
        <v>N</v>
      </c>
      <c r="R289" s="22" t="str">
        <f aca="false">IF(AND(O289&gt;0,P289&gt;0,Q289="Y"),"Y","N")</f>
        <v>N</v>
      </c>
      <c r="S289" s="22" t="str">
        <f aca="false">IF(P289=0,"Offer register missing/mismatch",IF(N289=0,IF(M289&gt;0,"PDF slip mismatch","No matching PDF"),IF(O289=0,"PDF lacks supporting record","Reconciled")))</f>
        <v>No matching PDF</v>
      </c>
      <c r="T289" s="22" t="str">
        <f aca="false">IF(R289="Y","Compliant",S289&amp;IF(Q289="N","; review after skip",""))</f>
        <v>No matching PDF; review after skip</v>
      </c>
      <c r="U289" s="22" t="str">
        <f aca="false">IF(R289="Y","",IF(AND(O289&gt;0,P289&gt;0,Q289="N"),"Priority 2","Priority 1"))</f>
        <v>Priority 1</v>
      </c>
    </row>
    <row r="290" customFormat="false" ht="15" hidden="false" customHeight="false" outlineLevel="0" collapsed="false">
      <c r="A290" s="22" t="s">
        <v>10885</v>
      </c>
      <c r="B290" s="22" t="s">
        <v>10343</v>
      </c>
      <c r="C290" s="23" t="n">
        <v>46175</v>
      </c>
      <c r="D290" s="22" t="s">
        <v>3329</v>
      </c>
      <c r="E290" s="22" t="str">
        <f aca="false">IFERROR(VLOOKUP(D290,'Applicant Lookup'!$A$2:$F$2911,2,FALSE()),"Not found")</f>
        <v>Mitchell Mendez</v>
      </c>
      <c r="F290" s="22" t="n">
        <v>1315</v>
      </c>
      <c r="G290" s="22" t="s">
        <v>8399</v>
      </c>
      <c r="H290" s="22" t="s">
        <v>188</v>
      </c>
      <c r="I290" s="22" t="s">
        <v>8618</v>
      </c>
      <c r="J290" s="22" t="s">
        <v>10489</v>
      </c>
      <c r="K290" s="22" t="s">
        <v>10511</v>
      </c>
      <c r="L290" s="23" t="n">
        <v>46175</v>
      </c>
      <c r="M290" s="22" t="n">
        <f aca="false">COUNTIFS('Skip PDF Index'!$B$6:$B$11,D290,'Skip PDF Index'!$D$6:$D$11,C290,'Skip PDF Index'!$F$6:$F$11,I290)</f>
        <v>0</v>
      </c>
      <c r="N290" s="22" t="n">
        <f aca="false">COUNTIFS('Skip PDF Index'!$B$6:$B$11,D290,'Skip PDF Index'!$D$6:$D$11,C290,'Skip PDF Index'!$E$6:$E$11,G290,'Skip PDF Index'!$F$6:$F$11,I290)</f>
        <v>0</v>
      </c>
      <c r="O290" s="22" t="n">
        <f aca="false">COUNTIFS('Skip PDF Index'!$B$6:$B$11,D290,'Skip PDF Index'!$D$6:$D$11,C290,'Skip PDF Index'!$E$6:$E$11,G290,'Skip PDF Index'!$F$6:$F$11,I290,'Skip PDF Index'!$H$6:$H$11,"SUPPORTING RECORD")</f>
        <v>0</v>
      </c>
      <c r="P290" s="22" t="n">
        <f aca="false">COUNTIFS('Offer Events'!$A$2:$A$1487,B290,'Offer Events'!$B$2:$B$1487,C290,'Offer Events'!$C$2:$C$1487,D290,'Offer Events'!$E$2:$E$1487,G290,'Offer Events'!$L$2:$L$1487,"SKIPPED",'Offer Events'!$P$2:$P$1487,I290)</f>
        <v>1</v>
      </c>
      <c r="Q290" s="22" t="str">
        <f aca="false">IF(L290&lt;=C290,"Y","N")</f>
        <v>Y</v>
      </c>
      <c r="R290" s="22" t="str">
        <f aca="false">IF(AND(O290&gt;0,P290&gt;0,Q290="Y"),"Y","N")</f>
        <v>N</v>
      </c>
      <c r="S290" s="22" t="str">
        <f aca="false">IF(P290=0,"Offer register missing/mismatch",IF(N290=0,IF(M290&gt;0,"PDF slip mismatch","No matching PDF"),IF(O290=0,"PDF lacks supporting record","Reconciled")))</f>
        <v>No matching PDF</v>
      </c>
      <c r="T290" s="22" t="str">
        <f aca="false">IF(R290="Y","Compliant",S290&amp;IF(Q290="N","; review after skip",""))</f>
        <v>No matching PDF</v>
      </c>
      <c r="U290" s="22" t="str">
        <f aca="false">IF(R290="Y","",IF(AND(O290&gt;0,P290&gt;0,Q290="N"),"Priority 2","Priority 1"))</f>
        <v>Priority 1</v>
      </c>
    </row>
    <row r="291" customFormat="false" ht="15" hidden="false" customHeight="false" outlineLevel="0" collapsed="false">
      <c r="A291" s="22" t="s">
        <v>10886</v>
      </c>
      <c r="B291" s="22" t="s">
        <v>10350</v>
      </c>
      <c r="C291" s="23" t="n">
        <v>46194</v>
      </c>
      <c r="D291" s="22" t="s">
        <v>4891</v>
      </c>
      <c r="E291" s="22" t="str">
        <f aca="false">IFERROR(VLOOKUP(D291,'Applicant Lookup'!$A$2:$F$2911,2,FALSE()),"Not found")</f>
        <v>Rachael Mitchell</v>
      </c>
      <c r="F291" s="22" t="n">
        <v>2078</v>
      </c>
      <c r="G291" s="22" t="s">
        <v>7449</v>
      </c>
      <c r="H291" s="22" t="s">
        <v>159</v>
      </c>
      <c r="I291" s="22" t="s">
        <v>8631</v>
      </c>
      <c r="J291" s="22" t="s">
        <v>10489</v>
      </c>
      <c r="K291" s="22" t="s">
        <v>10513</v>
      </c>
      <c r="L291" s="23" t="n">
        <v>46197</v>
      </c>
      <c r="M291" s="22" t="n">
        <f aca="false">COUNTIFS('Skip PDF Index'!$B$6:$B$11,D291,'Skip PDF Index'!$D$6:$D$11,C291,'Skip PDF Index'!$F$6:$F$11,I291)</f>
        <v>0</v>
      </c>
      <c r="N291" s="22" t="n">
        <f aca="false">COUNTIFS('Skip PDF Index'!$B$6:$B$11,D291,'Skip PDF Index'!$D$6:$D$11,C291,'Skip PDF Index'!$E$6:$E$11,G291,'Skip PDF Index'!$F$6:$F$11,I291)</f>
        <v>0</v>
      </c>
      <c r="O291" s="22" t="n">
        <f aca="false">COUNTIFS('Skip PDF Index'!$B$6:$B$11,D291,'Skip PDF Index'!$D$6:$D$11,C291,'Skip PDF Index'!$E$6:$E$11,G291,'Skip PDF Index'!$F$6:$F$11,I291,'Skip PDF Index'!$H$6:$H$11,"SUPPORTING RECORD")</f>
        <v>0</v>
      </c>
      <c r="P291" s="22" t="n">
        <f aca="false">COUNTIFS('Offer Events'!$A$2:$A$1487,B291,'Offer Events'!$B$2:$B$1487,C291,'Offer Events'!$C$2:$C$1487,D291,'Offer Events'!$E$2:$E$1487,G291,'Offer Events'!$L$2:$L$1487,"SKIPPED",'Offer Events'!$P$2:$P$1487,I291)</f>
        <v>1</v>
      </c>
      <c r="Q291" s="22" t="str">
        <f aca="false">IF(L291&lt;=C291,"Y","N")</f>
        <v>N</v>
      </c>
      <c r="R291" s="22" t="str">
        <f aca="false">IF(AND(O291&gt;0,P291&gt;0,Q291="Y"),"Y","N")</f>
        <v>N</v>
      </c>
      <c r="S291" s="22" t="str">
        <f aca="false">IF(P291=0,"Offer register missing/mismatch",IF(N291=0,IF(M291&gt;0,"PDF slip mismatch","No matching PDF"),IF(O291=0,"PDF lacks supporting record","Reconciled")))</f>
        <v>No matching PDF</v>
      </c>
      <c r="T291" s="22" t="str">
        <f aca="false">IF(R291="Y","Compliant",S291&amp;IF(Q291="N","; review after skip",""))</f>
        <v>No matching PDF; review after skip</v>
      </c>
      <c r="U291" s="22" t="str">
        <f aca="false">IF(R291="Y","",IF(AND(O291&gt;0,P291&gt;0,Q291="N"),"Priority 2","Priority 1"))</f>
        <v>Priority 1</v>
      </c>
    </row>
    <row r="292" customFormat="false" ht="15" hidden="false" customHeight="false" outlineLevel="0" collapsed="false">
      <c r="A292" s="22" t="s">
        <v>10887</v>
      </c>
      <c r="B292" s="22" t="s">
        <v>10359</v>
      </c>
      <c r="C292" s="23" t="n">
        <v>46182</v>
      </c>
      <c r="D292" s="22" t="s">
        <v>2536</v>
      </c>
      <c r="E292" s="22" t="str">
        <f aca="false">IFERROR(VLOOKUP(D292,'Applicant Lookup'!$A$2:$F$2911,2,FALSE()),"Not found")</f>
        <v>Richard Smith</v>
      </c>
      <c r="F292" s="22" t="n">
        <v>954</v>
      </c>
      <c r="G292" s="22" t="s">
        <v>8442</v>
      </c>
      <c r="H292" s="22" t="s">
        <v>188</v>
      </c>
      <c r="I292" s="22" t="s">
        <v>8637</v>
      </c>
      <c r="J292" s="22" t="s">
        <v>10489</v>
      </c>
      <c r="K292" s="22" t="s">
        <v>10513</v>
      </c>
      <c r="L292" s="23" t="n">
        <v>46183</v>
      </c>
      <c r="M292" s="22" t="n">
        <f aca="false">COUNTIFS('Skip PDF Index'!$B$6:$B$11,D292,'Skip PDF Index'!$D$6:$D$11,C292,'Skip PDF Index'!$F$6:$F$11,I292)</f>
        <v>0</v>
      </c>
      <c r="N292" s="22" t="n">
        <f aca="false">COUNTIFS('Skip PDF Index'!$B$6:$B$11,D292,'Skip PDF Index'!$D$6:$D$11,C292,'Skip PDF Index'!$E$6:$E$11,G292,'Skip PDF Index'!$F$6:$F$11,I292)</f>
        <v>0</v>
      </c>
      <c r="O292" s="22" t="n">
        <f aca="false">COUNTIFS('Skip PDF Index'!$B$6:$B$11,D292,'Skip PDF Index'!$D$6:$D$11,C292,'Skip PDF Index'!$E$6:$E$11,G292,'Skip PDF Index'!$F$6:$F$11,I292,'Skip PDF Index'!$H$6:$H$11,"SUPPORTING RECORD")</f>
        <v>0</v>
      </c>
      <c r="P292" s="22" t="n">
        <f aca="false">COUNTIFS('Offer Events'!$A$2:$A$1487,B292,'Offer Events'!$B$2:$B$1487,C292,'Offer Events'!$C$2:$C$1487,D292,'Offer Events'!$E$2:$E$1487,G292,'Offer Events'!$L$2:$L$1487,"SKIPPED",'Offer Events'!$P$2:$P$1487,I292)</f>
        <v>1</v>
      </c>
      <c r="Q292" s="22" t="str">
        <f aca="false">IF(L292&lt;=C292,"Y","N")</f>
        <v>N</v>
      </c>
      <c r="R292" s="22" t="str">
        <f aca="false">IF(AND(O292&gt;0,P292&gt;0,Q292="Y"),"Y","N")</f>
        <v>N</v>
      </c>
      <c r="S292" s="22" t="str">
        <f aca="false">IF(P292=0,"Offer register missing/mismatch",IF(N292=0,IF(M292&gt;0,"PDF slip mismatch","No matching PDF"),IF(O292=0,"PDF lacks supporting record","Reconciled")))</f>
        <v>No matching PDF</v>
      </c>
      <c r="T292" s="22" t="str">
        <f aca="false">IF(R292="Y","Compliant",S292&amp;IF(Q292="N","; review after skip",""))</f>
        <v>No matching PDF; review after skip</v>
      </c>
      <c r="U292" s="22" t="str">
        <f aca="false">IF(R292="Y","",IF(AND(O292&gt;0,P292&gt;0,Q292="N"),"Priority 2","Priority 1"))</f>
        <v>Priority 1</v>
      </c>
    </row>
    <row r="293" customFormat="false" ht="15" hidden="false" customHeight="false" outlineLevel="0" collapsed="false">
      <c r="A293" s="22" t="s">
        <v>10888</v>
      </c>
      <c r="B293" s="22" t="s">
        <v>10360</v>
      </c>
      <c r="C293" s="23" t="n">
        <v>46201</v>
      </c>
      <c r="D293" s="22" t="s">
        <v>2857</v>
      </c>
      <c r="E293" s="22" t="str">
        <f aca="false">IFERROR(VLOOKUP(D293,'Applicant Lookup'!$A$2:$F$2911,2,FALSE()),"Not found")</f>
        <v>Rhonda James</v>
      </c>
      <c r="F293" s="22" t="n">
        <v>1098</v>
      </c>
      <c r="G293" s="22" t="s">
        <v>7550</v>
      </c>
      <c r="H293" s="22" t="s">
        <v>159</v>
      </c>
      <c r="I293" s="22" t="s">
        <v>8603</v>
      </c>
      <c r="J293" s="22" t="s">
        <v>10489</v>
      </c>
      <c r="K293" s="22" t="s">
        <v>10491</v>
      </c>
      <c r="L293" s="23" t="n">
        <v>46201</v>
      </c>
      <c r="M293" s="22" t="n">
        <f aca="false">COUNTIFS('Skip PDF Index'!$B$6:$B$11,D293,'Skip PDF Index'!$D$6:$D$11,C293,'Skip PDF Index'!$F$6:$F$11,I293)</f>
        <v>0</v>
      </c>
      <c r="N293" s="22" t="n">
        <f aca="false">COUNTIFS('Skip PDF Index'!$B$6:$B$11,D293,'Skip PDF Index'!$D$6:$D$11,C293,'Skip PDF Index'!$E$6:$E$11,G293,'Skip PDF Index'!$F$6:$F$11,I293)</f>
        <v>0</v>
      </c>
      <c r="O293" s="22" t="n">
        <f aca="false">COUNTIFS('Skip PDF Index'!$B$6:$B$11,D293,'Skip PDF Index'!$D$6:$D$11,C293,'Skip PDF Index'!$E$6:$E$11,G293,'Skip PDF Index'!$F$6:$F$11,I293,'Skip PDF Index'!$H$6:$H$11,"SUPPORTING RECORD")</f>
        <v>0</v>
      </c>
      <c r="P293" s="22" t="n">
        <f aca="false">COUNTIFS('Offer Events'!$A$2:$A$1487,B293,'Offer Events'!$B$2:$B$1487,C293,'Offer Events'!$C$2:$C$1487,D293,'Offer Events'!$E$2:$E$1487,G293,'Offer Events'!$L$2:$L$1487,"SKIPPED",'Offer Events'!$P$2:$P$1487,I293)</f>
        <v>1</v>
      </c>
      <c r="Q293" s="22" t="str">
        <f aca="false">IF(L293&lt;=C293,"Y","N")</f>
        <v>Y</v>
      </c>
      <c r="R293" s="22" t="str">
        <f aca="false">IF(AND(O293&gt;0,P293&gt;0,Q293="Y"),"Y","N")</f>
        <v>N</v>
      </c>
      <c r="S293" s="22" t="str">
        <f aca="false">IF(P293=0,"Offer register missing/mismatch",IF(N293=0,IF(M293&gt;0,"PDF slip mismatch","No matching PDF"),IF(O293=0,"PDF lacks supporting record","Reconciled")))</f>
        <v>No matching PDF</v>
      </c>
      <c r="T293" s="22" t="str">
        <f aca="false">IF(R293="Y","Compliant",S293&amp;IF(Q293="N","; review after skip",""))</f>
        <v>No matching PDF</v>
      </c>
      <c r="U293" s="22" t="str">
        <f aca="false">IF(R293="Y","",IF(AND(O293&gt;0,P293&gt;0,Q293="N"),"Priority 2","Priority 1"))</f>
        <v>Priority 1</v>
      </c>
    </row>
    <row r="294" customFormat="false" ht="15" hidden="false" customHeight="false" outlineLevel="0" collapsed="false">
      <c r="A294" s="22" t="s">
        <v>10889</v>
      </c>
      <c r="B294" s="22" t="s">
        <v>10361</v>
      </c>
      <c r="C294" s="23" t="n">
        <v>46193</v>
      </c>
      <c r="D294" s="22" t="s">
        <v>883</v>
      </c>
      <c r="E294" s="22" t="str">
        <f aca="false">IFERROR(VLOOKUP(D294,'Applicant Lookup'!$A$2:$F$2911,2,FALSE()),"Not found")</f>
        <v>Andrew Glover</v>
      </c>
      <c r="F294" s="22" t="n">
        <v>256</v>
      </c>
      <c r="G294" s="22" t="s">
        <v>7252</v>
      </c>
      <c r="H294" s="22" t="s">
        <v>198</v>
      </c>
      <c r="I294" s="22" t="s">
        <v>8618</v>
      </c>
      <c r="J294" s="22" t="s">
        <v>10489</v>
      </c>
      <c r="K294" s="22" t="s">
        <v>10501</v>
      </c>
      <c r="L294" s="23" t="n">
        <v>46197</v>
      </c>
      <c r="M294" s="22" t="n">
        <f aca="false">COUNTIFS('Skip PDF Index'!$B$6:$B$11,D294,'Skip PDF Index'!$D$6:$D$11,C294,'Skip PDF Index'!$F$6:$F$11,I294)</f>
        <v>0</v>
      </c>
      <c r="N294" s="22" t="n">
        <f aca="false">COUNTIFS('Skip PDF Index'!$B$6:$B$11,D294,'Skip PDF Index'!$D$6:$D$11,C294,'Skip PDF Index'!$E$6:$E$11,G294,'Skip PDF Index'!$F$6:$F$11,I294)</f>
        <v>0</v>
      </c>
      <c r="O294" s="22" t="n">
        <f aca="false">COUNTIFS('Skip PDF Index'!$B$6:$B$11,D294,'Skip PDF Index'!$D$6:$D$11,C294,'Skip PDF Index'!$E$6:$E$11,G294,'Skip PDF Index'!$F$6:$F$11,I294,'Skip PDF Index'!$H$6:$H$11,"SUPPORTING RECORD")</f>
        <v>0</v>
      </c>
      <c r="P294" s="22" t="n">
        <f aca="false">COUNTIFS('Offer Events'!$A$2:$A$1487,B294,'Offer Events'!$B$2:$B$1487,C294,'Offer Events'!$C$2:$C$1487,D294,'Offer Events'!$E$2:$E$1487,G294,'Offer Events'!$L$2:$L$1487,"SKIPPED",'Offer Events'!$P$2:$P$1487,I294)</f>
        <v>1</v>
      </c>
      <c r="Q294" s="22" t="str">
        <f aca="false">IF(L294&lt;=C294,"Y","N")</f>
        <v>N</v>
      </c>
      <c r="R294" s="22" t="str">
        <f aca="false">IF(AND(O294&gt;0,P294&gt;0,Q294="Y"),"Y","N")</f>
        <v>N</v>
      </c>
      <c r="S294" s="22" t="str">
        <f aca="false">IF(P294=0,"Offer register missing/mismatch",IF(N294=0,IF(M294&gt;0,"PDF slip mismatch","No matching PDF"),IF(O294=0,"PDF lacks supporting record","Reconciled")))</f>
        <v>No matching PDF</v>
      </c>
      <c r="T294" s="22" t="str">
        <f aca="false">IF(R294="Y","Compliant",S294&amp;IF(Q294="N","; review after skip",""))</f>
        <v>No matching PDF; review after skip</v>
      </c>
      <c r="U294" s="22" t="str">
        <f aca="false">IF(R294="Y","",IF(AND(O294&gt;0,P294&gt;0,Q294="N"),"Priority 2","Priority 1"))</f>
        <v>Priority 1</v>
      </c>
    </row>
    <row r="295" customFormat="false" ht="15" hidden="false" customHeight="false" outlineLevel="0" collapsed="false">
      <c r="A295" s="22" t="s">
        <v>10890</v>
      </c>
      <c r="B295" s="22" t="s">
        <v>10364</v>
      </c>
      <c r="C295" s="23" t="n">
        <v>46195</v>
      </c>
      <c r="D295" s="22" t="s">
        <v>2495</v>
      </c>
      <c r="E295" s="22" t="str">
        <f aca="false">IFERROR(VLOOKUP(D295,'Applicant Lookup'!$A$2:$F$2911,2,FALSE()),"Not found")</f>
        <v>Deanna Livingston</v>
      </c>
      <c r="F295" s="22" t="n">
        <v>936</v>
      </c>
      <c r="G295" s="22" t="s">
        <v>7475</v>
      </c>
      <c r="H295" s="22" t="s">
        <v>159</v>
      </c>
      <c r="I295" s="22" t="s">
        <v>8618</v>
      </c>
      <c r="J295" s="22" t="s">
        <v>10518</v>
      </c>
      <c r="K295" s="22" t="s">
        <v>10511</v>
      </c>
      <c r="L295" s="23" t="n">
        <v>46200</v>
      </c>
      <c r="M295" s="22" t="n">
        <f aca="false">COUNTIFS('Skip PDF Index'!$B$6:$B$11,D295,'Skip PDF Index'!$D$6:$D$11,C295,'Skip PDF Index'!$F$6:$F$11,I295)</f>
        <v>0</v>
      </c>
      <c r="N295" s="22" t="n">
        <f aca="false">COUNTIFS('Skip PDF Index'!$B$6:$B$11,D295,'Skip PDF Index'!$D$6:$D$11,C295,'Skip PDF Index'!$E$6:$E$11,G295,'Skip PDF Index'!$F$6:$F$11,I295)</f>
        <v>0</v>
      </c>
      <c r="O295" s="22" t="n">
        <f aca="false">COUNTIFS('Skip PDF Index'!$B$6:$B$11,D295,'Skip PDF Index'!$D$6:$D$11,C295,'Skip PDF Index'!$E$6:$E$11,G295,'Skip PDF Index'!$F$6:$F$11,I295,'Skip PDF Index'!$H$6:$H$11,"SUPPORTING RECORD")</f>
        <v>0</v>
      </c>
      <c r="P295" s="22" t="n">
        <f aca="false">COUNTIFS('Offer Events'!$A$2:$A$1487,B295,'Offer Events'!$B$2:$B$1487,C295,'Offer Events'!$C$2:$C$1487,D295,'Offer Events'!$E$2:$E$1487,G295,'Offer Events'!$L$2:$L$1487,"SKIPPED",'Offer Events'!$P$2:$P$1487,I295)</f>
        <v>1</v>
      </c>
      <c r="Q295" s="22" t="str">
        <f aca="false">IF(L295&lt;=C295,"Y","N")</f>
        <v>N</v>
      </c>
      <c r="R295" s="22" t="str">
        <f aca="false">IF(AND(O295&gt;0,P295&gt;0,Q295="Y"),"Y","N")</f>
        <v>N</v>
      </c>
      <c r="S295" s="22" t="str">
        <f aca="false">IF(P295=0,"Offer register missing/mismatch",IF(N295=0,IF(M295&gt;0,"PDF slip mismatch","No matching PDF"),IF(O295=0,"PDF lacks supporting record","Reconciled")))</f>
        <v>No matching PDF</v>
      </c>
      <c r="T295" s="22" t="str">
        <f aca="false">IF(R295="Y","Compliant",S295&amp;IF(Q295="N","; review after skip",""))</f>
        <v>No matching PDF; review after skip</v>
      </c>
      <c r="U295" s="22" t="str">
        <f aca="false">IF(R295="Y","",IF(AND(O295&gt;0,P295&gt;0,Q295="N"),"Priority 2","Priority 1"))</f>
        <v>Priority 1</v>
      </c>
    </row>
    <row r="296" customFormat="false" ht="15" hidden="false" customHeight="false" outlineLevel="0" collapsed="false">
      <c r="A296" s="22" t="s">
        <v>10891</v>
      </c>
      <c r="B296" s="22" t="s">
        <v>10365</v>
      </c>
      <c r="C296" s="23" t="n">
        <v>46198</v>
      </c>
      <c r="D296" s="22" t="s">
        <v>6121</v>
      </c>
      <c r="E296" s="22" t="str">
        <f aca="false">IFERROR(VLOOKUP(D296,'Applicant Lookup'!$A$2:$F$2911,2,FALSE()),"Not found")</f>
        <v>John Patel</v>
      </c>
      <c r="F296" s="22" t="n">
        <v>2690</v>
      </c>
      <c r="G296" s="22" t="s">
        <v>7399</v>
      </c>
      <c r="H296" s="22" t="s">
        <v>159</v>
      </c>
      <c r="I296" s="22" t="s">
        <v>8603</v>
      </c>
      <c r="J296" s="22" t="s">
        <v>10489</v>
      </c>
      <c r="K296" s="22" t="s">
        <v>10506</v>
      </c>
      <c r="L296" s="23" t="n">
        <v>46200</v>
      </c>
      <c r="M296" s="22" t="n">
        <f aca="false">COUNTIFS('Skip PDF Index'!$B$6:$B$11,D296,'Skip PDF Index'!$D$6:$D$11,C296,'Skip PDF Index'!$F$6:$F$11,I296)</f>
        <v>0</v>
      </c>
      <c r="N296" s="22" t="n">
        <f aca="false">COUNTIFS('Skip PDF Index'!$B$6:$B$11,D296,'Skip PDF Index'!$D$6:$D$11,C296,'Skip PDF Index'!$E$6:$E$11,G296,'Skip PDF Index'!$F$6:$F$11,I296)</f>
        <v>0</v>
      </c>
      <c r="O296" s="22" t="n">
        <f aca="false">COUNTIFS('Skip PDF Index'!$B$6:$B$11,D296,'Skip PDF Index'!$D$6:$D$11,C296,'Skip PDF Index'!$E$6:$E$11,G296,'Skip PDF Index'!$F$6:$F$11,I296,'Skip PDF Index'!$H$6:$H$11,"SUPPORTING RECORD")</f>
        <v>0</v>
      </c>
      <c r="P296" s="22" t="n">
        <f aca="false">COUNTIFS('Offer Events'!$A$2:$A$1487,B296,'Offer Events'!$B$2:$B$1487,C296,'Offer Events'!$C$2:$C$1487,D296,'Offer Events'!$E$2:$E$1487,G296,'Offer Events'!$L$2:$L$1487,"SKIPPED",'Offer Events'!$P$2:$P$1487,I296)</f>
        <v>1</v>
      </c>
      <c r="Q296" s="22" t="str">
        <f aca="false">IF(L296&lt;=C296,"Y","N")</f>
        <v>N</v>
      </c>
      <c r="R296" s="22" t="str">
        <f aca="false">IF(AND(O296&gt;0,P296&gt;0,Q296="Y"),"Y","N")</f>
        <v>N</v>
      </c>
      <c r="S296" s="22" t="str">
        <f aca="false">IF(P296=0,"Offer register missing/mismatch",IF(N296=0,IF(M296&gt;0,"PDF slip mismatch","No matching PDF"),IF(O296=0,"PDF lacks supporting record","Reconciled")))</f>
        <v>No matching PDF</v>
      </c>
      <c r="T296" s="22" t="str">
        <f aca="false">IF(R296="Y","Compliant",S296&amp;IF(Q296="N","; review after skip",""))</f>
        <v>No matching PDF; review after skip</v>
      </c>
      <c r="U296" s="22" t="str">
        <f aca="false">IF(R296="Y","",IF(AND(O296&gt;0,P296&gt;0,Q296="N"),"Priority 2","Priority 1"))</f>
        <v>Priority 1</v>
      </c>
    </row>
    <row r="297" customFormat="false" ht="15" hidden="false" customHeight="false" outlineLevel="0" collapsed="false">
      <c r="A297" s="22" t="s">
        <v>10892</v>
      </c>
      <c r="B297" s="22" t="s">
        <v>10373</v>
      </c>
      <c r="C297" s="23" t="n">
        <v>46176</v>
      </c>
      <c r="D297" s="22" t="s">
        <v>6313</v>
      </c>
      <c r="E297" s="22" t="str">
        <f aca="false">IFERROR(VLOOKUP(D297,'Applicant Lookup'!$A$2:$F$2911,2,FALSE()),"Not found")</f>
        <v>John Mcneil</v>
      </c>
      <c r="F297" s="22" t="n">
        <v>2787</v>
      </c>
      <c r="G297" s="22" t="s">
        <v>8085</v>
      </c>
      <c r="H297" s="22" t="s">
        <v>499</v>
      </c>
      <c r="I297" s="22" t="s">
        <v>8631</v>
      </c>
      <c r="J297" s="22" t="s">
        <v>10489</v>
      </c>
      <c r="K297" s="22" t="s">
        <v>10516</v>
      </c>
      <c r="L297" s="23" t="n">
        <v>46181</v>
      </c>
      <c r="M297" s="22" t="n">
        <f aca="false">COUNTIFS('Skip PDF Index'!$B$6:$B$11,D297,'Skip PDF Index'!$D$6:$D$11,C297,'Skip PDF Index'!$F$6:$F$11,I297)</f>
        <v>0</v>
      </c>
      <c r="N297" s="22" t="n">
        <f aca="false">COUNTIFS('Skip PDF Index'!$B$6:$B$11,D297,'Skip PDF Index'!$D$6:$D$11,C297,'Skip PDF Index'!$E$6:$E$11,G297,'Skip PDF Index'!$F$6:$F$11,I297)</f>
        <v>0</v>
      </c>
      <c r="O297" s="22" t="n">
        <f aca="false">COUNTIFS('Skip PDF Index'!$B$6:$B$11,D297,'Skip PDF Index'!$D$6:$D$11,C297,'Skip PDF Index'!$E$6:$E$11,G297,'Skip PDF Index'!$F$6:$F$11,I297,'Skip PDF Index'!$H$6:$H$11,"SUPPORTING RECORD")</f>
        <v>0</v>
      </c>
      <c r="P297" s="22" t="n">
        <f aca="false">COUNTIFS('Offer Events'!$A$2:$A$1487,B297,'Offer Events'!$B$2:$B$1487,C297,'Offer Events'!$C$2:$C$1487,D297,'Offer Events'!$E$2:$E$1487,G297,'Offer Events'!$L$2:$L$1487,"SKIPPED",'Offer Events'!$P$2:$P$1487,I297)</f>
        <v>1</v>
      </c>
      <c r="Q297" s="22" t="str">
        <f aca="false">IF(L297&lt;=C297,"Y","N")</f>
        <v>N</v>
      </c>
      <c r="R297" s="22" t="str">
        <f aca="false">IF(AND(O297&gt;0,P297&gt;0,Q297="Y"),"Y","N")</f>
        <v>N</v>
      </c>
      <c r="S297" s="22" t="str">
        <f aca="false">IF(P297=0,"Offer register missing/mismatch",IF(N297=0,IF(M297&gt;0,"PDF slip mismatch","No matching PDF"),IF(O297=0,"PDF lacks supporting record","Reconciled")))</f>
        <v>No matching PDF</v>
      </c>
      <c r="T297" s="22" t="str">
        <f aca="false">IF(R297="Y","Compliant",S297&amp;IF(Q297="N","; review after skip",""))</f>
        <v>No matching PDF; review after skip</v>
      </c>
      <c r="U297" s="22" t="str">
        <f aca="false">IF(R297="Y","",IF(AND(O297&gt;0,P297&gt;0,Q297="N"),"Priority 2","Priority 1"))</f>
        <v>Priority 1</v>
      </c>
    </row>
    <row r="298" customFormat="false" ht="15" hidden="false" customHeight="false" outlineLevel="0" collapsed="false">
      <c r="A298" s="22" t="s">
        <v>10893</v>
      </c>
      <c r="B298" s="22" t="s">
        <v>10374</v>
      </c>
      <c r="C298" s="23" t="n">
        <v>46198</v>
      </c>
      <c r="D298" s="22" t="s">
        <v>2295</v>
      </c>
      <c r="E298" s="22" t="str">
        <f aca="false">IFERROR(VLOOKUP(D298,'Applicant Lookup'!$A$2:$F$2911,2,FALSE()),"Not found")</f>
        <v>Donna Kim</v>
      </c>
      <c r="F298" s="22" t="n">
        <v>843</v>
      </c>
      <c r="G298" s="22" t="s">
        <v>7427</v>
      </c>
      <c r="H298" s="22" t="s">
        <v>159</v>
      </c>
      <c r="I298" s="22" t="s">
        <v>8618</v>
      </c>
      <c r="J298" s="22" t="s">
        <v>10489</v>
      </c>
      <c r="K298" s="22" t="s">
        <v>10513</v>
      </c>
      <c r="L298" s="23" t="n">
        <v>46199</v>
      </c>
      <c r="M298" s="22" t="n">
        <f aca="false">COUNTIFS('Skip PDF Index'!$B$6:$B$11,D298,'Skip PDF Index'!$D$6:$D$11,C298,'Skip PDF Index'!$F$6:$F$11,I298)</f>
        <v>0</v>
      </c>
      <c r="N298" s="22" t="n">
        <f aca="false">COUNTIFS('Skip PDF Index'!$B$6:$B$11,D298,'Skip PDF Index'!$D$6:$D$11,C298,'Skip PDF Index'!$E$6:$E$11,G298,'Skip PDF Index'!$F$6:$F$11,I298)</f>
        <v>0</v>
      </c>
      <c r="O298" s="22" t="n">
        <f aca="false">COUNTIFS('Skip PDF Index'!$B$6:$B$11,D298,'Skip PDF Index'!$D$6:$D$11,C298,'Skip PDF Index'!$E$6:$E$11,G298,'Skip PDF Index'!$F$6:$F$11,I298,'Skip PDF Index'!$H$6:$H$11,"SUPPORTING RECORD")</f>
        <v>0</v>
      </c>
      <c r="P298" s="22" t="n">
        <f aca="false">COUNTIFS('Offer Events'!$A$2:$A$1487,B298,'Offer Events'!$B$2:$B$1487,C298,'Offer Events'!$C$2:$C$1487,D298,'Offer Events'!$E$2:$E$1487,G298,'Offer Events'!$L$2:$L$1487,"SKIPPED",'Offer Events'!$P$2:$P$1487,I298)</f>
        <v>1</v>
      </c>
      <c r="Q298" s="22" t="str">
        <f aca="false">IF(L298&lt;=C298,"Y","N")</f>
        <v>N</v>
      </c>
      <c r="R298" s="22" t="str">
        <f aca="false">IF(AND(O298&gt;0,P298&gt;0,Q298="Y"),"Y","N")</f>
        <v>N</v>
      </c>
      <c r="S298" s="22" t="str">
        <f aca="false">IF(P298=0,"Offer register missing/mismatch",IF(N298=0,IF(M298&gt;0,"PDF slip mismatch","No matching PDF"),IF(O298=0,"PDF lacks supporting record","Reconciled")))</f>
        <v>No matching PDF</v>
      </c>
      <c r="T298" s="22" t="str">
        <f aca="false">IF(R298="Y","Compliant",S298&amp;IF(Q298="N","; review after skip",""))</f>
        <v>No matching PDF; review after skip</v>
      </c>
      <c r="U298" s="22" t="str">
        <f aca="false">IF(R298="Y","",IF(AND(O298&gt;0,P298&gt;0,Q298="N"),"Priority 2","Priority 1"))</f>
        <v>Priority 1</v>
      </c>
    </row>
    <row r="299" customFormat="false" ht="15" hidden="false" customHeight="false" outlineLevel="0" collapsed="false">
      <c r="A299" s="22" t="s">
        <v>10894</v>
      </c>
      <c r="B299" s="22" t="s">
        <v>10375</v>
      </c>
      <c r="C299" s="23" t="n">
        <v>46177</v>
      </c>
      <c r="D299" s="22" t="s">
        <v>2600</v>
      </c>
      <c r="E299" s="22" t="str">
        <f aca="false">IFERROR(VLOOKUP(D299,'Applicant Lookup'!$A$2:$F$2911,2,FALSE()),"Not found")</f>
        <v>Jeffrey Harrison</v>
      </c>
      <c r="F299" s="22" t="n">
        <v>982</v>
      </c>
      <c r="G299" s="22" t="s">
        <v>8107</v>
      </c>
      <c r="H299" s="22" t="s">
        <v>499</v>
      </c>
      <c r="I299" s="22" t="s">
        <v>8603</v>
      </c>
      <c r="J299" s="22" t="s">
        <v>10489</v>
      </c>
      <c r="K299" s="22" t="s">
        <v>10511</v>
      </c>
      <c r="L299" s="23" t="n">
        <v>46181</v>
      </c>
      <c r="M299" s="22" t="n">
        <f aca="false">COUNTIFS('Skip PDF Index'!$B$6:$B$11,D299,'Skip PDF Index'!$D$6:$D$11,C299,'Skip PDF Index'!$F$6:$F$11,I299)</f>
        <v>0</v>
      </c>
      <c r="N299" s="22" t="n">
        <f aca="false">COUNTIFS('Skip PDF Index'!$B$6:$B$11,D299,'Skip PDF Index'!$D$6:$D$11,C299,'Skip PDF Index'!$E$6:$E$11,G299,'Skip PDF Index'!$F$6:$F$11,I299)</f>
        <v>0</v>
      </c>
      <c r="O299" s="22" t="n">
        <f aca="false">COUNTIFS('Skip PDF Index'!$B$6:$B$11,D299,'Skip PDF Index'!$D$6:$D$11,C299,'Skip PDF Index'!$E$6:$E$11,G299,'Skip PDF Index'!$F$6:$F$11,I299,'Skip PDF Index'!$H$6:$H$11,"SUPPORTING RECORD")</f>
        <v>0</v>
      </c>
      <c r="P299" s="22" t="n">
        <f aca="false">COUNTIFS('Offer Events'!$A$2:$A$1487,B299,'Offer Events'!$B$2:$B$1487,C299,'Offer Events'!$C$2:$C$1487,D299,'Offer Events'!$E$2:$E$1487,G299,'Offer Events'!$L$2:$L$1487,"SKIPPED",'Offer Events'!$P$2:$P$1487,I299)</f>
        <v>1</v>
      </c>
      <c r="Q299" s="22" t="str">
        <f aca="false">IF(L299&lt;=C299,"Y","N")</f>
        <v>N</v>
      </c>
      <c r="R299" s="22" t="str">
        <f aca="false">IF(AND(O299&gt;0,P299&gt;0,Q299="Y"),"Y","N")</f>
        <v>N</v>
      </c>
      <c r="S299" s="22" t="str">
        <f aca="false">IF(P299=0,"Offer register missing/mismatch",IF(N299=0,IF(M299&gt;0,"PDF slip mismatch","No matching PDF"),IF(O299=0,"PDF lacks supporting record","Reconciled")))</f>
        <v>No matching PDF</v>
      </c>
      <c r="T299" s="22" t="str">
        <f aca="false">IF(R299="Y","Compliant",S299&amp;IF(Q299="N","; review after skip",""))</f>
        <v>No matching PDF; review after skip</v>
      </c>
      <c r="U299" s="22" t="str">
        <f aca="false">IF(R299="Y","",IF(AND(O299&gt;0,P299&gt;0,Q299="N"),"Priority 2","Priority 1"))</f>
        <v>Priority 1</v>
      </c>
    </row>
    <row r="300" customFormat="false" ht="15" hidden="false" customHeight="false" outlineLevel="0" collapsed="false">
      <c r="A300" s="22" t="s">
        <v>10895</v>
      </c>
      <c r="B300" s="22" t="s">
        <v>10385</v>
      </c>
      <c r="C300" s="23" t="n">
        <v>46220</v>
      </c>
      <c r="D300" s="22" t="s">
        <v>2670</v>
      </c>
      <c r="E300" s="22" t="str">
        <f aca="false">IFERROR(VLOOKUP(D300,'Applicant Lookup'!$A$2:$F$2911,2,FALSE()),"Not found")</f>
        <v>Elizabeth Harrison</v>
      </c>
      <c r="F300" s="22" t="n">
        <v>1013</v>
      </c>
      <c r="G300" s="22" t="s">
        <v>8568</v>
      </c>
      <c r="H300" s="22" t="s">
        <v>188</v>
      </c>
      <c r="I300" s="22" t="s">
        <v>8618</v>
      </c>
      <c r="J300" s="22" t="s">
        <v>10489</v>
      </c>
      <c r="K300" s="22" t="s">
        <v>10555</v>
      </c>
      <c r="L300" s="23" t="n">
        <v>46220</v>
      </c>
      <c r="M300" s="22" t="n">
        <f aca="false">COUNTIFS('Skip PDF Index'!$B$6:$B$11,D300,'Skip PDF Index'!$D$6:$D$11,C300,'Skip PDF Index'!$F$6:$F$11,I300)</f>
        <v>0</v>
      </c>
      <c r="N300" s="22" t="n">
        <f aca="false">COUNTIFS('Skip PDF Index'!$B$6:$B$11,D300,'Skip PDF Index'!$D$6:$D$11,C300,'Skip PDF Index'!$E$6:$E$11,G300,'Skip PDF Index'!$F$6:$F$11,I300)</f>
        <v>0</v>
      </c>
      <c r="O300" s="22" t="n">
        <f aca="false">COUNTIFS('Skip PDF Index'!$B$6:$B$11,D300,'Skip PDF Index'!$D$6:$D$11,C300,'Skip PDF Index'!$E$6:$E$11,G300,'Skip PDF Index'!$F$6:$F$11,I300,'Skip PDF Index'!$H$6:$H$11,"SUPPORTING RECORD")</f>
        <v>0</v>
      </c>
      <c r="P300" s="22" t="n">
        <f aca="false">COUNTIFS('Offer Events'!$A$2:$A$1487,B300,'Offer Events'!$B$2:$B$1487,C300,'Offer Events'!$C$2:$C$1487,D300,'Offer Events'!$E$2:$E$1487,G300,'Offer Events'!$L$2:$L$1487,"SKIPPED",'Offer Events'!$P$2:$P$1487,I300)</f>
        <v>1</v>
      </c>
      <c r="Q300" s="22" t="str">
        <f aca="false">IF(L300&lt;=C300,"Y","N")</f>
        <v>Y</v>
      </c>
      <c r="R300" s="22" t="str">
        <f aca="false">IF(AND(O300&gt;0,P300&gt;0,Q300="Y"),"Y","N")</f>
        <v>N</v>
      </c>
      <c r="S300" s="22" t="str">
        <f aca="false">IF(P300=0,"Offer register missing/mismatch",IF(N300=0,IF(M300&gt;0,"PDF slip mismatch","No matching PDF"),IF(O300=0,"PDF lacks supporting record","Reconciled")))</f>
        <v>No matching PDF</v>
      </c>
      <c r="T300" s="22" t="str">
        <f aca="false">IF(R300="Y","Compliant",S300&amp;IF(Q300="N","; review after skip",""))</f>
        <v>No matching PDF</v>
      </c>
      <c r="U300" s="22" t="str">
        <f aca="false">IF(R300="Y","",IF(AND(O300&gt;0,P300&gt;0,Q300="N"),"Priority 2","Priority 1"))</f>
        <v>Priority 1</v>
      </c>
    </row>
    <row r="301" customFormat="false" ht="15" hidden="false" customHeight="false" outlineLevel="0" collapsed="false">
      <c r="A301" s="22" t="s">
        <v>10896</v>
      </c>
      <c r="B301" s="22" t="s">
        <v>10390</v>
      </c>
      <c r="C301" s="23" t="n">
        <v>46228</v>
      </c>
      <c r="D301" s="22" t="s">
        <v>4878</v>
      </c>
      <c r="E301" s="22" t="str">
        <f aca="false">IFERROR(VLOOKUP(D301,'Applicant Lookup'!$A$2:$F$2911,2,FALSE()),"Not found")</f>
        <v>Kenneth Jones</v>
      </c>
      <c r="F301" s="22" t="n">
        <v>2071</v>
      </c>
      <c r="G301" s="22" t="s">
        <v>8436</v>
      </c>
      <c r="H301" s="22" t="s">
        <v>188</v>
      </c>
      <c r="I301" s="22" t="s">
        <v>8603</v>
      </c>
      <c r="J301" s="22" t="s">
        <v>10489</v>
      </c>
      <c r="K301" s="22" t="s">
        <v>10506</v>
      </c>
      <c r="L301" s="23" t="n">
        <v>46229</v>
      </c>
      <c r="M301" s="22" t="n">
        <f aca="false">COUNTIFS('Skip PDF Index'!$B$6:$B$11,D301,'Skip PDF Index'!$D$6:$D$11,C301,'Skip PDF Index'!$F$6:$F$11,I301)</f>
        <v>0</v>
      </c>
      <c r="N301" s="22" t="n">
        <f aca="false">COUNTIFS('Skip PDF Index'!$B$6:$B$11,D301,'Skip PDF Index'!$D$6:$D$11,C301,'Skip PDF Index'!$E$6:$E$11,G301,'Skip PDF Index'!$F$6:$F$11,I301)</f>
        <v>0</v>
      </c>
      <c r="O301" s="22" t="n">
        <f aca="false">COUNTIFS('Skip PDF Index'!$B$6:$B$11,D301,'Skip PDF Index'!$D$6:$D$11,C301,'Skip PDF Index'!$E$6:$E$11,G301,'Skip PDF Index'!$F$6:$F$11,I301,'Skip PDF Index'!$H$6:$H$11,"SUPPORTING RECORD")</f>
        <v>0</v>
      </c>
      <c r="P301" s="22" t="n">
        <f aca="false">COUNTIFS('Offer Events'!$A$2:$A$1487,B301,'Offer Events'!$B$2:$B$1487,C301,'Offer Events'!$C$2:$C$1487,D301,'Offer Events'!$E$2:$E$1487,G301,'Offer Events'!$L$2:$L$1487,"SKIPPED",'Offer Events'!$P$2:$P$1487,I301)</f>
        <v>1</v>
      </c>
      <c r="Q301" s="22" t="str">
        <f aca="false">IF(L301&lt;=C301,"Y","N")</f>
        <v>N</v>
      </c>
      <c r="R301" s="22" t="str">
        <f aca="false">IF(AND(O301&gt;0,P301&gt;0,Q301="Y"),"Y","N")</f>
        <v>N</v>
      </c>
      <c r="S301" s="22" t="str">
        <f aca="false">IF(P301=0,"Offer register missing/mismatch",IF(N301=0,IF(M301&gt;0,"PDF slip mismatch","No matching PDF"),IF(O301=0,"PDF lacks supporting record","Reconciled")))</f>
        <v>No matching PDF</v>
      </c>
      <c r="T301" s="22" t="str">
        <f aca="false">IF(R301="Y","Compliant",S301&amp;IF(Q301="N","; review after skip",""))</f>
        <v>No matching PDF; review after skip</v>
      </c>
      <c r="U301" s="22" t="str">
        <f aca="false">IF(R301="Y","",IF(AND(O301&gt;0,P301&gt;0,Q301="N"),"Priority 2","Priority 1"))</f>
        <v>Priority 1</v>
      </c>
    </row>
    <row r="302" customFormat="false" ht="15" hidden="false" customHeight="false" outlineLevel="0" collapsed="false">
      <c r="A302" s="22" t="s">
        <v>10897</v>
      </c>
      <c r="B302" s="22" t="s">
        <v>10401</v>
      </c>
      <c r="C302" s="23" t="n">
        <v>46224</v>
      </c>
      <c r="D302" s="22" t="s">
        <v>4946</v>
      </c>
      <c r="E302" s="22" t="str">
        <f aca="false">IFERROR(VLOOKUP(D302,'Applicant Lookup'!$A$2:$F$2911,2,FALSE()),"Not found")</f>
        <v>Shannon Morales</v>
      </c>
      <c r="F302" s="22" t="n">
        <v>2106</v>
      </c>
      <c r="G302" s="22" t="s">
        <v>6953</v>
      </c>
      <c r="H302" s="22" t="s">
        <v>198</v>
      </c>
      <c r="I302" s="22" t="s">
        <v>8618</v>
      </c>
      <c r="J302" s="22" t="s">
        <v>10489</v>
      </c>
      <c r="K302" s="22" t="s">
        <v>10555</v>
      </c>
      <c r="L302" s="23" t="n">
        <v>46227</v>
      </c>
      <c r="M302" s="22" t="n">
        <f aca="false">COUNTIFS('Skip PDF Index'!$B$6:$B$11,D302,'Skip PDF Index'!$D$6:$D$11,C302,'Skip PDF Index'!$F$6:$F$11,I302)</f>
        <v>0</v>
      </c>
      <c r="N302" s="22" t="n">
        <f aca="false">COUNTIFS('Skip PDF Index'!$B$6:$B$11,D302,'Skip PDF Index'!$D$6:$D$11,C302,'Skip PDF Index'!$E$6:$E$11,G302,'Skip PDF Index'!$F$6:$F$11,I302)</f>
        <v>0</v>
      </c>
      <c r="O302" s="22" t="n">
        <f aca="false">COUNTIFS('Skip PDF Index'!$B$6:$B$11,D302,'Skip PDF Index'!$D$6:$D$11,C302,'Skip PDF Index'!$E$6:$E$11,G302,'Skip PDF Index'!$F$6:$F$11,I302,'Skip PDF Index'!$H$6:$H$11,"SUPPORTING RECORD")</f>
        <v>0</v>
      </c>
      <c r="P302" s="22" t="n">
        <f aca="false">COUNTIFS('Offer Events'!$A$2:$A$1487,B302,'Offer Events'!$B$2:$B$1487,C302,'Offer Events'!$C$2:$C$1487,D302,'Offer Events'!$E$2:$E$1487,G302,'Offer Events'!$L$2:$L$1487,"SKIPPED",'Offer Events'!$P$2:$P$1487,I302)</f>
        <v>1</v>
      </c>
      <c r="Q302" s="22" t="str">
        <f aca="false">IF(L302&lt;=C302,"Y","N")</f>
        <v>N</v>
      </c>
      <c r="R302" s="22" t="str">
        <f aca="false">IF(AND(O302&gt;0,P302&gt;0,Q302="Y"),"Y","N")</f>
        <v>N</v>
      </c>
      <c r="S302" s="22" t="str">
        <f aca="false">IF(P302=0,"Offer register missing/mismatch",IF(N302=0,IF(M302&gt;0,"PDF slip mismatch","No matching PDF"),IF(O302=0,"PDF lacks supporting record","Reconciled")))</f>
        <v>No matching PDF</v>
      </c>
      <c r="T302" s="22" t="str">
        <f aca="false">IF(R302="Y","Compliant",S302&amp;IF(Q302="N","; review after skip",""))</f>
        <v>No matching PDF; review after skip</v>
      </c>
      <c r="U302" s="22" t="str">
        <f aca="false">IF(R302="Y","",IF(AND(O302&gt;0,P302&gt;0,Q302="N"),"Priority 2","Priority 1"))</f>
        <v>Priority 1</v>
      </c>
    </row>
    <row r="303" customFormat="false" ht="15" hidden="false" customHeight="false" outlineLevel="0" collapsed="false">
      <c r="A303" s="22" t="s">
        <v>10898</v>
      </c>
      <c r="B303" s="22" t="s">
        <v>10405</v>
      </c>
      <c r="C303" s="23" t="n">
        <v>46205</v>
      </c>
      <c r="D303" s="22" t="s">
        <v>5260</v>
      </c>
      <c r="E303" s="22" t="str">
        <f aca="false">IFERROR(VLOOKUP(D303,'Applicant Lookup'!$A$2:$F$2911,2,FALSE()),"Not found")</f>
        <v>Joel Thomas</v>
      </c>
      <c r="F303" s="22" t="n">
        <v>2260</v>
      </c>
      <c r="G303" s="22" t="s">
        <v>7700</v>
      </c>
      <c r="H303" s="22" t="s">
        <v>215</v>
      </c>
      <c r="I303" s="22" t="s">
        <v>8637</v>
      </c>
      <c r="J303" s="22" t="s">
        <v>10489</v>
      </c>
      <c r="K303" s="22" t="s">
        <v>10491</v>
      </c>
      <c r="L303" s="23" t="n">
        <v>46206</v>
      </c>
      <c r="M303" s="22" t="n">
        <f aca="false">COUNTIFS('Skip PDF Index'!$B$6:$B$11,D303,'Skip PDF Index'!$D$6:$D$11,C303,'Skip PDF Index'!$F$6:$F$11,I303)</f>
        <v>0</v>
      </c>
      <c r="N303" s="22" t="n">
        <f aca="false">COUNTIFS('Skip PDF Index'!$B$6:$B$11,D303,'Skip PDF Index'!$D$6:$D$11,C303,'Skip PDF Index'!$E$6:$E$11,G303,'Skip PDF Index'!$F$6:$F$11,I303)</f>
        <v>0</v>
      </c>
      <c r="O303" s="22" t="n">
        <f aca="false">COUNTIFS('Skip PDF Index'!$B$6:$B$11,D303,'Skip PDF Index'!$D$6:$D$11,C303,'Skip PDF Index'!$E$6:$E$11,G303,'Skip PDF Index'!$F$6:$F$11,I303,'Skip PDF Index'!$H$6:$H$11,"SUPPORTING RECORD")</f>
        <v>0</v>
      </c>
      <c r="P303" s="22" t="n">
        <f aca="false">COUNTIFS('Offer Events'!$A$2:$A$1487,B303,'Offer Events'!$B$2:$B$1487,C303,'Offer Events'!$C$2:$C$1487,D303,'Offer Events'!$E$2:$E$1487,G303,'Offer Events'!$L$2:$L$1487,"SKIPPED",'Offer Events'!$P$2:$P$1487,I303)</f>
        <v>1</v>
      </c>
      <c r="Q303" s="22" t="str">
        <f aca="false">IF(L303&lt;=C303,"Y","N")</f>
        <v>N</v>
      </c>
      <c r="R303" s="22" t="str">
        <f aca="false">IF(AND(O303&gt;0,P303&gt;0,Q303="Y"),"Y","N")</f>
        <v>N</v>
      </c>
      <c r="S303" s="22" t="str">
        <f aca="false">IF(P303=0,"Offer register missing/mismatch",IF(N303=0,IF(M303&gt;0,"PDF slip mismatch","No matching PDF"),IF(O303=0,"PDF lacks supporting record","Reconciled")))</f>
        <v>No matching PDF</v>
      </c>
      <c r="T303" s="22" t="str">
        <f aca="false">IF(R303="Y","Compliant",S303&amp;IF(Q303="N","; review after skip",""))</f>
        <v>No matching PDF; review after skip</v>
      </c>
      <c r="U303" s="22" t="str">
        <f aca="false">IF(R303="Y","",IF(AND(O303&gt;0,P303&gt;0,Q303="N"),"Priority 2","Priority 1"))</f>
        <v>Priority 1</v>
      </c>
    </row>
    <row r="304" customFormat="false" ht="15" hidden="false" customHeight="false" outlineLevel="0" collapsed="false">
      <c r="A304" s="22" t="s">
        <v>10899</v>
      </c>
      <c r="B304" s="22" t="s">
        <v>10409</v>
      </c>
      <c r="C304" s="23" t="n">
        <v>46217</v>
      </c>
      <c r="D304" s="22" t="s">
        <v>3417</v>
      </c>
      <c r="E304" s="22" t="str">
        <f aca="false">IFERROR(VLOOKUP(D304,'Applicant Lookup'!$A$2:$F$2911,2,FALSE()),"Not found")</f>
        <v>Kelly Mccoy</v>
      </c>
      <c r="F304" s="22" t="n">
        <v>1358</v>
      </c>
      <c r="G304" s="22" t="s">
        <v>7210</v>
      </c>
      <c r="H304" s="22" t="s">
        <v>198</v>
      </c>
      <c r="I304" s="22" t="s">
        <v>8631</v>
      </c>
      <c r="J304" s="22" t="s">
        <v>10489</v>
      </c>
      <c r="K304" s="22" t="s">
        <v>10555</v>
      </c>
      <c r="L304" s="23" t="n">
        <v>46220</v>
      </c>
      <c r="M304" s="22" t="n">
        <f aca="false">COUNTIFS('Skip PDF Index'!$B$6:$B$11,D304,'Skip PDF Index'!$D$6:$D$11,C304,'Skip PDF Index'!$F$6:$F$11,I304)</f>
        <v>0</v>
      </c>
      <c r="N304" s="22" t="n">
        <f aca="false">COUNTIFS('Skip PDF Index'!$B$6:$B$11,D304,'Skip PDF Index'!$D$6:$D$11,C304,'Skip PDF Index'!$E$6:$E$11,G304,'Skip PDF Index'!$F$6:$F$11,I304)</f>
        <v>0</v>
      </c>
      <c r="O304" s="22" t="n">
        <f aca="false">COUNTIFS('Skip PDF Index'!$B$6:$B$11,D304,'Skip PDF Index'!$D$6:$D$11,C304,'Skip PDF Index'!$E$6:$E$11,G304,'Skip PDF Index'!$F$6:$F$11,I304,'Skip PDF Index'!$H$6:$H$11,"SUPPORTING RECORD")</f>
        <v>0</v>
      </c>
      <c r="P304" s="22" t="n">
        <f aca="false">COUNTIFS('Offer Events'!$A$2:$A$1487,B304,'Offer Events'!$B$2:$B$1487,C304,'Offer Events'!$C$2:$C$1487,D304,'Offer Events'!$E$2:$E$1487,G304,'Offer Events'!$L$2:$L$1487,"SKIPPED",'Offer Events'!$P$2:$P$1487,I304)</f>
        <v>1</v>
      </c>
      <c r="Q304" s="22" t="str">
        <f aca="false">IF(L304&lt;=C304,"Y","N")</f>
        <v>N</v>
      </c>
      <c r="R304" s="22" t="str">
        <f aca="false">IF(AND(O304&gt;0,P304&gt;0,Q304="Y"),"Y","N")</f>
        <v>N</v>
      </c>
      <c r="S304" s="22" t="str">
        <f aca="false">IF(P304=0,"Offer register missing/mismatch",IF(N304=0,IF(M304&gt;0,"PDF slip mismatch","No matching PDF"),IF(O304=0,"PDF lacks supporting record","Reconciled")))</f>
        <v>No matching PDF</v>
      </c>
      <c r="T304" s="22" t="str">
        <f aca="false">IF(R304="Y","Compliant",S304&amp;IF(Q304="N","; review after skip",""))</f>
        <v>No matching PDF; review after skip</v>
      </c>
      <c r="U304" s="22" t="str">
        <f aca="false">IF(R304="Y","",IF(AND(O304&gt;0,P304&gt;0,Q304="N"),"Priority 2","Priority 1"))</f>
        <v>Priority 1</v>
      </c>
    </row>
    <row r="305" customFormat="false" ht="15" hidden="false" customHeight="false" outlineLevel="0" collapsed="false">
      <c r="A305" s="22" t="s">
        <v>10900</v>
      </c>
      <c r="B305" s="22" t="s">
        <v>10418</v>
      </c>
      <c r="C305" s="23" t="n">
        <v>46206</v>
      </c>
      <c r="D305" s="22" t="s">
        <v>5532</v>
      </c>
      <c r="E305" s="22" t="str">
        <f aca="false">IFERROR(VLOOKUP(D305,'Applicant Lookup'!$A$2:$F$2911,2,FALSE()),"Not found")</f>
        <v>Jessica Daugherty</v>
      </c>
      <c r="F305" s="22" t="n">
        <v>2397</v>
      </c>
      <c r="G305" s="22" t="s">
        <v>6588</v>
      </c>
      <c r="H305" s="22" t="s">
        <v>198</v>
      </c>
      <c r="I305" s="22" t="s">
        <v>8631</v>
      </c>
      <c r="J305" s="22" t="s">
        <v>10489</v>
      </c>
      <c r="K305" s="22" t="s">
        <v>10516</v>
      </c>
      <c r="L305" s="23" t="n">
        <v>46210</v>
      </c>
      <c r="M305" s="22" t="n">
        <f aca="false">COUNTIFS('Skip PDF Index'!$B$6:$B$11,D305,'Skip PDF Index'!$D$6:$D$11,C305,'Skip PDF Index'!$F$6:$F$11,I305)</f>
        <v>0</v>
      </c>
      <c r="N305" s="22" t="n">
        <f aca="false">COUNTIFS('Skip PDF Index'!$B$6:$B$11,D305,'Skip PDF Index'!$D$6:$D$11,C305,'Skip PDF Index'!$E$6:$E$11,G305,'Skip PDF Index'!$F$6:$F$11,I305)</f>
        <v>0</v>
      </c>
      <c r="O305" s="22" t="n">
        <f aca="false">COUNTIFS('Skip PDF Index'!$B$6:$B$11,D305,'Skip PDF Index'!$D$6:$D$11,C305,'Skip PDF Index'!$E$6:$E$11,G305,'Skip PDF Index'!$F$6:$F$11,I305,'Skip PDF Index'!$H$6:$H$11,"SUPPORTING RECORD")</f>
        <v>0</v>
      </c>
      <c r="P305" s="22" t="n">
        <f aca="false">COUNTIFS('Offer Events'!$A$2:$A$1487,B305,'Offer Events'!$B$2:$B$1487,C305,'Offer Events'!$C$2:$C$1487,D305,'Offer Events'!$E$2:$E$1487,G305,'Offer Events'!$L$2:$L$1487,"SKIPPED",'Offer Events'!$P$2:$P$1487,I305)</f>
        <v>1</v>
      </c>
      <c r="Q305" s="22" t="str">
        <f aca="false">IF(L305&lt;=C305,"Y","N")</f>
        <v>N</v>
      </c>
      <c r="R305" s="22" t="str">
        <f aca="false">IF(AND(O305&gt;0,P305&gt;0,Q305="Y"),"Y","N")</f>
        <v>N</v>
      </c>
      <c r="S305" s="22" t="str">
        <f aca="false">IF(P305=0,"Offer register missing/mismatch",IF(N305=0,IF(M305&gt;0,"PDF slip mismatch","No matching PDF"),IF(O305=0,"PDF lacks supporting record","Reconciled")))</f>
        <v>No matching PDF</v>
      </c>
      <c r="T305" s="22" t="str">
        <f aca="false">IF(R305="Y","Compliant",S305&amp;IF(Q305="N","; review after skip",""))</f>
        <v>No matching PDF; review after skip</v>
      </c>
      <c r="U305" s="22" t="str">
        <f aca="false">IF(R305="Y","",IF(AND(O305&gt;0,P305&gt;0,Q305="N"),"Priority 2","Priority 1"))</f>
        <v>Priority 1</v>
      </c>
    </row>
    <row r="306" customFormat="false" ht="15" hidden="false" customHeight="false" outlineLevel="0" collapsed="false">
      <c r="A306" s="22" t="s">
        <v>10901</v>
      </c>
      <c r="B306" s="22" t="s">
        <v>10419</v>
      </c>
      <c r="C306" s="23" t="n">
        <v>46210</v>
      </c>
      <c r="D306" s="22" t="s">
        <v>4525</v>
      </c>
      <c r="E306" s="22" t="str">
        <f aca="false">IFERROR(VLOOKUP(D306,'Applicant Lookup'!$A$2:$F$2911,2,FALSE()),"Not found")</f>
        <v>Timothy Henderson</v>
      </c>
      <c r="F306" s="22" t="n">
        <v>1900</v>
      </c>
      <c r="G306" s="22" t="s">
        <v>8149</v>
      </c>
      <c r="H306" s="22" t="s">
        <v>499</v>
      </c>
      <c r="I306" s="22" t="s">
        <v>8637</v>
      </c>
      <c r="J306" s="22" t="s">
        <v>10489</v>
      </c>
      <c r="K306" s="22" t="s">
        <v>10501</v>
      </c>
      <c r="L306" s="23" t="n">
        <v>46214</v>
      </c>
      <c r="M306" s="22" t="n">
        <f aca="false">COUNTIFS('Skip PDF Index'!$B$6:$B$11,D306,'Skip PDF Index'!$D$6:$D$11,C306,'Skip PDF Index'!$F$6:$F$11,I306)</f>
        <v>0</v>
      </c>
      <c r="N306" s="22" t="n">
        <f aca="false">COUNTIFS('Skip PDF Index'!$B$6:$B$11,D306,'Skip PDF Index'!$D$6:$D$11,C306,'Skip PDF Index'!$E$6:$E$11,G306,'Skip PDF Index'!$F$6:$F$11,I306)</f>
        <v>0</v>
      </c>
      <c r="O306" s="22" t="n">
        <f aca="false">COUNTIFS('Skip PDF Index'!$B$6:$B$11,D306,'Skip PDF Index'!$D$6:$D$11,C306,'Skip PDF Index'!$E$6:$E$11,G306,'Skip PDF Index'!$F$6:$F$11,I306,'Skip PDF Index'!$H$6:$H$11,"SUPPORTING RECORD")</f>
        <v>0</v>
      </c>
      <c r="P306" s="22" t="n">
        <f aca="false">COUNTIFS('Offer Events'!$A$2:$A$1487,B306,'Offer Events'!$B$2:$B$1487,C306,'Offer Events'!$C$2:$C$1487,D306,'Offer Events'!$E$2:$E$1487,G306,'Offer Events'!$L$2:$L$1487,"SKIPPED",'Offer Events'!$P$2:$P$1487,I306)</f>
        <v>1</v>
      </c>
      <c r="Q306" s="22" t="str">
        <f aca="false">IF(L306&lt;=C306,"Y","N")</f>
        <v>N</v>
      </c>
      <c r="R306" s="22" t="str">
        <f aca="false">IF(AND(O306&gt;0,P306&gt;0,Q306="Y"),"Y","N")</f>
        <v>N</v>
      </c>
      <c r="S306" s="22" t="str">
        <f aca="false">IF(P306=0,"Offer register missing/mismatch",IF(N306=0,IF(M306&gt;0,"PDF slip mismatch","No matching PDF"),IF(O306=0,"PDF lacks supporting record","Reconciled")))</f>
        <v>No matching PDF</v>
      </c>
      <c r="T306" s="22" t="str">
        <f aca="false">IF(R306="Y","Compliant",S306&amp;IF(Q306="N","; review after skip",""))</f>
        <v>No matching PDF; review after skip</v>
      </c>
      <c r="U306" s="22" t="str">
        <f aca="false">IF(R306="Y","",IF(AND(O306&gt;0,P306&gt;0,Q306="N"),"Priority 2","Priority 1"))</f>
        <v>Priority 1</v>
      </c>
    </row>
    <row r="307" customFormat="false" ht="15" hidden="false" customHeight="false" outlineLevel="0" collapsed="false">
      <c r="A307" s="22" t="s">
        <v>10902</v>
      </c>
      <c r="B307" s="22" t="s">
        <v>10420</v>
      </c>
      <c r="C307" s="23" t="n">
        <v>46218</v>
      </c>
      <c r="D307" s="22" t="s">
        <v>3577</v>
      </c>
      <c r="E307" s="22" t="str">
        <f aca="false">IFERROR(VLOOKUP(D307,'Applicant Lookup'!$A$2:$F$2911,2,FALSE()),"Not found")</f>
        <v>Jeffrey Allen</v>
      </c>
      <c r="F307" s="22" t="n">
        <v>1436</v>
      </c>
      <c r="G307" s="22" t="s">
        <v>8571</v>
      </c>
      <c r="H307" s="22" t="s">
        <v>188</v>
      </c>
      <c r="I307" s="22" t="s">
        <v>8637</v>
      </c>
      <c r="J307" s="22" t="s">
        <v>10489</v>
      </c>
      <c r="K307" s="22" t="s">
        <v>10501</v>
      </c>
      <c r="L307" s="23" t="n">
        <v>46220</v>
      </c>
      <c r="M307" s="22" t="n">
        <f aca="false">COUNTIFS('Skip PDF Index'!$B$6:$B$11,D307,'Skip PDF Index'!$D$6:$D$11,C307,'Skip PDF Index'!$F$6:$F$11,I307)</f>
        <v>0</v>
      </c>
      <c r="N307" s="22" t="n">
        <f aca="false">COUNTIFS('Skip PDF Index'!$B$6:$B$11,D307,'Skip PDF Index'!$D$6:$D$11,C307,'Skip PDF Index'!$E$6:$E$11,G307,'Skip PDF Index'!$F$6:$F$11,I307)</f>
        <v>0</v>
      </c>
      <c r="O307" s="22" t="n">
        <f aca="false">COUNTIFS('Skip PDF Index'!$B$6:$B$11,D307,'Skip PDF Index'!$D$6:$D$11,C307,'Skip PDF Index'!$E$6:$E$11,G307,'Skip PDF Index'!$F$6:$F$11,I307,'Skip PDF Index'!$H$6:$H$11,"SUPPORTING RECORD")</f>
        <v>0</v>
      </c>
      <c r="P307" s="22" t="n">
        <f aca="false">COUNTIFS('Offer Events'!$A$2:$A$1487,B307,'Offer Events'!$B$2:$B$1487,C307,'Offer Events'!$C$2:$C$1487,D307,'Offer Events'!$E$2:$E$1487,G307,'Offer Events'!$L$2:$L$1487,"SKIPPED",'Offer Events'!$P$2:$P$1487,I307)</f>
        <v>1</v>
      </c>
      <c r="Q307" s="22" t="str">
        <f aca="false">IF(L307&lt;=C307,"Y","N")</f>
        <v>N</v>
      </c>
      <c r="R307" s="22" t="str">
        <f aca="false">IF(AND(O307&gt;0,P307&gt;0,Q307="Y"),"Y","N")</f>
        <v>N</v>
      </c>
      <c r="S307" s="22" t="str">
        <f aca="false">IF(P307=0,"Offer register missing/mismatch",IF(N307=0,IF(M307&gt;0,"PDF slip mismatch","No matching PDF"),IF(O307=0,"PDF lacks supporting record","Reconciled")))</f>
        <v>No matching PDF</v>
      </c>
      <c r="T307" s="22" t="str">
        <f aca="false">IF(R307="Y","Compliant",S307&amp;IF(Q307="N","; review after skip",""))</f>
        <v>No matching PDF; review after skip</v>
      </c>
      <c r="U307" s="22" t="str">
        <f aca="false">IF(R307="Y","",IF(AND(O307&gt;0,P307&gt;0,Q307="N"),"Priority 2","Priority 1"))</f>
        <v>Priority 1</v>
      </c>
    </row>
    <row r="308" customFormat="false" ht="15" hidden="false" customHeight="false" outlineLevel="0" collapsed="false">
      <c r="A308" s="22" t="s">
        <v>10903</v>
      </c>
      <c r="B308" s="22" t="s">
        <v>10425</v>
      </c>
      <c r="C308" s="23" t="n">
        <v>46224</v>
      </c>
      <c r="D308" s="22" t="s">
        <v>2026</v>
      </c>
      <c r="E308" s="22" t="str">
        <f aca="false">IFERROR(VLOOKUP(D308,'Applicant Lookup'!$A$2:$F$2911,2,FALSE()),"Not found")</f>
        <v>Gregory Collins</v>
      </c>
      <c r="F308" s="22" t="n">
        <v>722</v>
      </c>
      <c r="G308" s="22" t="s">
        <v>7430</v>
      </c>
      <c r="H308" s="22" t="s">
        <v>159</v>
      </c>
      <c r="I308" s="22" t="s">
        <v>8618</v>
      </c>
      <c r="J308" s="22" t="s">
        <v>10489</v>
      </c>
      <c r="K308" s="22" t="s">
        <v>10516</v>
      </c>
      <c r="L308" s="23" t="n">
        <v>46227</v>
      </c>
      <c r="M308" s="22" t="n">
        <f aca="false">COUNTIFS('Skip PDF Index'!$B$6:$B$11,D308,'Skip PDF Index'!$D$6:$D$11,C308,'Skip PDF Index'!$F$6:$F$11,I308)</f>
        <v>0</v>
      </c>
      <c r="N308" s="22" t="n">
        <f aca="false">COUNTIFS('Skip PDF Index'!$B$6:$B$11,D308,'Skip PDF Index'!$D$6:$D$11,C308,'Skip PDF Index'!$E$6:$E$11,G308,'Skip PDF Index'!$F$6:$F$11,I308)</f>
        <v>0</v>
      </c>
      <c r="O308" s="22" t="n">
        <f aca="false">COUNTIFS('Skip PDF Index'!$B$6:$B$11,D308,'Skip PDF Index'!$D$6:$D$11,C308,'Skip PDF Index'!$E$6:$E$11,G308,'Skip PDF Index'!$F$6:$F$11,I308,'Skip PDF Index'!$H$6:$H$11,"SUPPORTING RECORD")</f>
        <v>0</v>
      </c>
      <c r="P308" s="22" t="n">
        <f aca="false">COUNTIFS('Offer Events'!$A$2:$A$1487,B308,'Offer Events'!$B$2:$B$1487,C308,'Offer Events'!$C$2:$C$1487,D308,'Offer Events'!$E$2:$E$1487,G308,'Offer Events'!$L$2:$L$1487,"SKIPPED",'Offer Events'!$P$2:$P$1487,I308)</f>
        <v>1</v>
      </c>
      <c r="Q308" s="22" t="str">
        <f aca="false">IF(L308&lt;=C308,"Y","N")</f>
        <v>N</v>
      </c>
      <c r="R308" s="22" t="str">
        <f aca="false">IF(AND(O308&gt;0,P308&gt;0,Q308="Y"),"Y","N")</f>
        <v>N</v>
      </c>
      <c r="S308" s="22" t="str">
        <f aca="false">IF(P308=0,"Offer register missing/mismatch",IF(N308=0,IF(M308&gt;0,"PDF slip mismatch","No matching PDF"),IF(O308=0,"PDF lacks supporting record","Reconciled")))</f>
        <v>No matching PDF</v>
      </c>
      <c r="T308" s="22" t="str">
        <f aca="false">IF(R308="Y","Compliant",S308&amp;IF(Q308="N","; review after skip",""))</f>
        <v>No matching PDF; review after skip</v>
      </c>
      <c r="U308" s="22" t="str">
        <f aca="false">IF(R308="Y","",IF(AND(O308&gt;0,P308&gt;0,Q308="N"),"Priority 2","Priority 1"))</f>
        <v>Priority 1</v>
      </c>
    </row>
    <row r="309" customFormat="false" ht="15" hidden="false" customHeight="false" outlineLevel="0" collapsed="false">
      <c r="A309" s="22" t="s">
        <v>10904</v>
      </c>
      <c r="B309" s="22" t="s">
        <v>10432</v>
      </c>
      <c r="C309" s="23" t="n">
        <v>46208</v>
      </c>
      <c r="D309" s="22" t="s">
        <v>4853</v>
      </c>
      <c r="E309" s="22" t="str">
        <f aca="false">IFERROR(VLOOKUP(D309,'Applicant Lookup'!$A$2:$F$2911,2,FALSE()),"Not found")</f>
        <v>Jonathan Daniels</v>
      </c>
      <c r="F309" s="22" t="n">
        <v>2059</v>
      </c>
      <c r="G309" s="22" t="s">
        <v>8097</v>
      </c>
      <c r="H309" s="22" t="s">
        <v>499</v>
      </c>
      <c r="I309" s="22" t="s">
        <v>8618</v>
      </c>
      <c r="J309" s="22" t="s">
        <v>10489</v>
      </c>
      <c r="K309" s="22" t="s">
        <v>10516</v>
      </c>
      <c r="L309" s="23" t="n">
        <v>46210</v>
      </c>
      <c r="M309" s="22" t="n">
        <f aca="false">COUNTIFS('Skip PDF Index'!$B$6:$B$11,D309,'Skip PDF Index'!$D$6:$D$11,C309,'Skip PDF Index'!$F$6:$F$11,I309)</f>
        <v>0</v>
      </c>
      <c r="N309" s="22" t="n">
        <f aca="false">COUNTIFS('Skip PDF Index'!$B$6:$B$11,D309,'Skip PDF Index'!$D$6:$D$11,C309,'Skip PDF Index'!$E$6:$E$11,G309,'Skip PDF Index'!$F$6:$F$11,I309)</f>
        <v>0</v>
      </c>
      <c r="O309" s="22" t="n">
        <f aca="false">COUNTIFS('Skip PDF Index'!$B$6:$B$11,D309,'Skip PDF Index'!$D$6:$D$11,C309,'Skip PDF Index'!$E$6:$E$11,G309,'Skip PDF Index'!$F$6:$F$11,I309,'Skip PDF Index'!$H$6:$H$11,"SUPPORTING RECORD")</f>
        <v>0</v>
      </c>
      <c r="P309" s="22" t="n">
        <f aca="false">COUNTIFS('Offer Events'!$A$2:$A$1487,B309,'Offer Events'!$B$2:$B$1487,C309,'Offer Events'!$C$2:$C$1487,D309,'Offer Events'!$E$2:$E$1487,G309,'Offer Events'!$L$2:$L$1487,"SKIPPED",'Offer Events'!$P$2:$P$1487,I309)</f>
        <v>1</v>
      </c>
      <c r="Q309" s="22" t="str">
        <f aca="false">IF(L309&lt;=C309,"Y","N")</f>
        <v>N</v>
      </c>
      <c r="R309" s="22" t="str">
        <f aca="false">IF(AND(O309&gt;0,P309&gt;0,Q309="Y"),"Y","N")</f>
        <v>N</v>
      </c>
      <c r="S309" s="22" t="str">
        <f aca="false">IF(P309=0,"Offer register missing/mismatch",IF(N309=0,IF(M309&gt;0,"PDF slip mismatch","No matching PDF"),IF(O309=0,"PDF lacks supporting record","Reconciled")))</f>
        <v>No matching PDF</v>
      </c>
      <c r="T309" s="22" t="str">
        <f aca="false">IF(R309="Y","Compliant",S309&amp;IF(Q309="N","; review after skip",""))</f>
        <v>No matching PDF; review after skip</v>
      </c>
      <c r="U309" s="22" t="str">
        <f aca="false">IF(R309="Y","",IF(AND(O309&gt;0,P309&gt;0,Q309="N"),"Priority 2","Priority 1"))</f>
        <v>Priority 1</v>
      </c>
    </row>
    <row r="310" customFormat="false" ht="15" hidden="false" customHeight="false" outlineLevel="0" collapsed="false">
      <c r="A310" s="22" t="s">
        <v>10916</v>
      </c>
      <c r="B310" s="22" t="s">
        <v>10917</v>
      </c>
      <c r="C310" s="23" t="n">
        <v>45048</v>
      </c>
      <c r="D310" s="22" t="s">
        <v>3948</v>
      </c>
      <c r="E310" s="22" t="str">
        <f aca="false">IFERROR(VLOOKUP(D310,'Applicant Lookup'!$A$2:$F$2911,2,FALSE()),"Not found")</f>
        <v>Gary Tomlinson</v>
      </c>
      <c r="F310" s="22" t="n">
        <v>1618</v>
      </c>
      <c r="G310" s="22" t="s">
        <v>8205</v>
      </c>
      <c r="H310" s="22" t="s">
        <v>499</v>
      </c>
      <c r="I310" s="22" t="s">
        <v>8603</v>
      </c>
      <c r="J310" s="22" t="s">
        <v>10518</v>
      </c>
      <c r="K310" s="22" t="s">
        <v>10513</v>
      </c>
      <c r="L310" s="23" t="n">
        <v>45050</v>
      </c>
      <c r="M310" s="22" t="n">
        <f aca="false">COUNTIFS('Skip PDF Index'!$B$6:$B$11,D310,'Skip PDF Index'!$D$6:$D$11,C310,'Skip PDF Index'!$F$6:$F$11,I310)</f>
        <v>1</v>
      </c>
      <c r="N310" s="22" t="n">
        <f aca="false">COUNTIFS('Skip PDF Index'!$B$6:$B$11,D310,'Skip PDF Index'!$D$6:$D$11,C310,'Skip PDF Index'!$E$6:$E$11,G310,'Skip PDF Index'!$F$6:$F$11,I310)</f>
        <v>0</v>
      </c>
      <c r="O310" s="22" t="n">
        <f aca="false">COUNTIFS('Skip PDF Index'!$B$6:$B$11,D310,'Skip PDF Index'!$D$6:$D$11,C310,'Skip PDF Index'!$E$6:$E$11,G310,'Skip PDF Index'!$F$6:$F$11,I310,'Skip PDF Index'!$H$6:$H$11,"SUPPORTING RECORD")</f>
        <v>0</v>
      </c>
      <c r="P310" s="22" t="n">
        <f aca="false">COUNTIFS('Offer Events'!$A$2:$A$1487,B310,'Offer Events'!$B$2:$B$1487,C310,'Offer Events'!$C$2:$C$1487,D310,'Offer Events'!$E$2:$E$1487,G310,'Offer Events'!$L$2:$L$1487,"SKIPPED",'Offer Events'!$P$2:$P$1487,I310)</f>
        <v>0</v>
      </c>
      <c r="Q310" s="22" t="str">
        <f aca="false">IF(L310&lt;=C310,"Y","N")</f>
        <v>N</v>
      </c>
      <c r="R310" s="22" t="str">
        <f aca="false">IF(AND(O310&gt;0,P310&gt;0,Q310="Y"),"Y","N")</f>
        <v>N</v>
      </c>
      <c r="S310" s="22" t="str">
        <f aca="false">IF(P310=0,"Offer register missing/mismatch",IF(N310=0,IF(M310&gt;0,"PDF slip mismatch","No matching PDF"),IF(O310=0,"PDF lacks supporting record","Reconciled")))</f>
        <v>Offer register missing/mismatch</v>
      </c>
      <c r="T310" s="22" t="str">
        <f aca="false">IF(R310="Y","Compliant",S310&amp;IF(Q310="N","; review after skip",""))</f>
        <v>Offer register missing/mismatch; review after skip</v>
      </c>
      <c r="U310" s="22" t="str">
        <f aca="false">IF(R310="Y","",IF(AND(O310&gt;0,P310&gt;0,Q310="N"),"Priority 2","Priority 1"))</f>
        <v>Priority 1</v>
      </c>
    </row>
    <row r="311" customFormat="false" ht="15" hidden="false" customHeight="false" outlineLevel="0" collapsed="false">
      <c r="A311" s="22" t="s">
        <v>10918</v>
      </c>
      <c r="B311" s="22" t="s">
        <v>10919</v>
      </c>
      <c r="C311" s="23" t="n">
        <v>45342</v>
      </c>
      <c r="D311" s="22" t="s">
        <v>4821</v>
      </c>
      <c r="E311" s="22" t="str">
        <f aca="false">IFERROR(VLOOKUP(D311,'Applicant Lookup'!$A$2:$F$2911,2,FALSE()),"Not found")</f>
        <v>Iris Quan</v>
      </c>
      <c r="F311" s="22" t="n">
        <v>2044</v>
      </c>
      <c r="G311" s="22" t="s">
        <v>7626</v>
      </c>
      <c r="H311" s="22" t="s">
        <v>159</v>
      </c>
      <c r="I311" s="22" t="s">
        <v>8637</v>
      </c>
      <c r="J311" s="22" t="s">
        <v>10518</v>
      </c>
      <c r="K311" s="22" t="s">
        <v>10506</v>
      </c>
      <c r="L311" s="23" t="n">
        <v>45344</v>
      </c>
      <c r="M311" s="22" t="n">
        <f aca="false">COUNTIFS('Skip PDF Index'!$B$6:$B$11,D311,'Skip PDF Index'!$D$6:$D$11,C311,'Skip PDF Index'!$F$6:$F$11,I311)</f>
        <v>1</v>
      </c>
      <c r="N311" s="22" t="n">
        <f aca="false">COUNTIFS('Skip PDF Index'!$B$6:$B$11,D311,'Skip PDF Index'!$D$6:$D$11,C311,'Skip PDF Index'!$E$6:$E$11,G311,'Skip PDF Index'!$F$6:$F$11,I311)</f>
        <v>0</v>
      </c>
      <c r="O311" s="22" t="n">
        <f aca="false">COUNTIFS('Skip PDF Index'!$B$6:$B$11,D311,'Skip PDF Index'!$D$6:$D$11,C311,'Skip PDF Index'!$E$6:$E$11,G311,'Skip PDF Index'!$F$6:$F$11,I311,'Skip PDF Index'!$H$6:$H$11,"SUPPORTING RECORD")</f>
        <v>0</v>
      </c>
      <c r="P311" s="22" t="n">
        <f aca="false">COUNTIFS('Offer Events'!$A$2:$A$1487,B311,'Offer Events'!$B$2:$B$1487,C311,'Offer Events'!$C$2:$C$1487,D311,'Offer Events'!$E$2:$E$1487,G311,'Offer Events'!$L$2:$L$1487,"SKIPPED",'Offer Events'!$P$2:$P$1487,I311)</f>
        <v>0</v>
      </c>
      <c r="Q311" s="22" t="str">
        <f aca="false">IF(L311&lt;=C311,"Y","N")</f>
        <v>N</v>
      </c>
      <c r="R311" s="22" t="str">
        <f aca="false">IF(AND(O311&gt;0,P311&gt;0,Q311="Y"),"Y","N")</f>
        <v>N</v>
      </c>
      <c r="S311" s="22" t="str">
        <f aca="false">IF(P311=0,"Offer register missing/mismatch",IF(N311=0,IF(M311&gt;0,"PDF slip mismatch","No matching PDF"),IF(O311=0,"PDF lacks supporting record","Reconciled")))</f>
        <v>Offer register missing/mismatch</v>
      </c>
      <c r="T311" s="22" t="str">
        <f aca="false">IF(R311="Y","Compliant",S311&amp;IF(Q311="N","; review after skip",""))</f>
        <v>Offer register missing/mismatch; review after skip</v>
      </c>
      <c r="U311" s="22" t="str">
        <f aca="false">IF(R311="Y","",IF(AND(O311&gt;0,P311&gt;0,Q311="N"),"Priority 2","Priority 1"))</f>
        <v>Priority 1</v>
      </c>
    </row>
    <row r="312" customFormat="false" ht="15" hidden="false" customHeight="false" outlineLevel="0" collapsed="false">
      <c r="A312" s="22" t="s">
        <v>10920</v>
      </c>
      <c r="B312" s="22" t="s">
        <v>10919</v>
      </c>
      <c r="C312" s="23" t="n">
        <v>45601</v>
      </c>
      <c r="D312" s="22" t="s">
        <v>5517</v>
      </c>
      <c r="E312" s="22" t="str">
        <f aca="false">IFERROR(VLOOKUP(D312,'Applicant Lookup'!$A$2:$F$2911,2,FALSE()),"Not found")</f>
        <v>Phillip Ard</v>
      </c>
      <c r="F312" s="22" t="n">
        <v>2390</v>
      </c>
      <c r="G312" s="22" t="s">
        <v>8364</v>
      </c>
      <c r="H312" s="22" t="s">
        <v>188</v>
      </c>
      <c r="I312" s="22" t="s">
        <v>8631</v>
      </c>
      <c r="J312" s="22" t="s">
        <v>10518</v>
      </c>
      <c r="K312" s="22" t="s">
        <v>10555</v>
      </c>
      <c r="L312" s="23" t="n">
        <v>45603</v>
      </c>
      <c r="M312" s="22" t="n">
        <f aca="false">COUNTIFS('Skip PDF Index'!$B$6:$B$11,D312,'Skip PDF Index'!$D$6:$D$11,C312,'Skip PDF Index'!$F$6:$F$11,I312)</f>
        <v>1</v>
      </c>
      <c r="N312" s="22" t="n">
        <f aca="false">COUNTIFS('Skip PDF Index'!$B$6:$B$11,D312,'Skip PDF Index'!$D$6:$D$11,C312,'Skip PDF Index'!$E$6:$E$11,G312,'Skip PDF Index'!$F$6:$F$11,I312)</f>
        <v>0</v>
      </c>
      <c r="O312" s="22" t="n">
        <f aca="false">COUNTIFS('Skip PDF Index'!$B$6:$B$11,D312,'Skip PDF Index'!$D$6:$D$11,C312,'Skip PDF Index'!$E$6:$E$11,G312,'Skip PDF Index'!$F$6:$F$11,I312,'Skip PDF Index'!$H$6:$H$11,"SUPPORTING RECORD")</f>
        <v>0</v>
      </c>
      <c r="P312" s="22" t="n">
        <f aca="false">COUNTIFS('Offer Events'!$A$2:$A$1487,B312,'Offer Events'!$B$2:$B$1487,C312,'Offer Events'!$C$2:$C$1487,D312,'Offer Events'!$E$2:$E$1487,G312,'Offer Events'!$L$2:$L$1487,"SKIPPED",'Offer Events'!$P$2:$P$1487,I312)</f>
        <v>0</v>
      </c>
      <c r="Q312" s="22" t="str">
        <f aca="false">IF(L312&lt;=C312,"Y","N")</f>
        <v>N</v>
      </c>
      <c r="R312" s="22" t="str">
        <f aca="false">IF(AND(O312&gt;0,P312&gt;0,Q312="Y"),"Y","N")</f>
        <v>N</v>
      </c>
      <c r="S312" s="22" t="str">
        <f aca="false">IF(P312=0,"Offer register missing/mismatch",IF(N312=0,IF(M312&gt;0,"PDF slip mismatch","No matching PDF"),IF(O312=0,"PDF lacks supporting record","Reconciled")))</f>
        <v>Offer register missing/mismatch</v>
      </c>
      <c r="T312" s="22" t="str">
        <f aca="false">IF(R312="Y","Compliant",S312&amp;IF(Q312="N","; review after skip",""))</f>
        <v>Offer register missing/mismatch; review after skip</v>
      </c>
      <c r="U312" s="22" t="str">
        <f aca="false">IF(R312="Y","",IF(AND(O312&gt;0,P312&gt;0,Q312="N"),"Priority 2","Priority 1"))</f>
        <v>Priority 1</v>
      </c>
    </row>
    <row r="313" customFormat="false" ht="15" hidden="false" customHeight="false" outlineLevel="0" collapsed="false">
      <c r="A313" s="22" t="s">
        <v>10921</v>
      </c>
      <c r="B313" s="22" t="s">
        <v>10919</v>
      </c>
      <c r="C313" s="23" t="n">
        <v>45370</v>
      </c>
      <c r="D313" s="22" t="s">
        <v>4479</v>
      </c>
      <c r="E313" s="22" t="str">
        <f aca="false">IFERROR(VLOOKUP(D313,'Applicant Lookup'!$A$2:$F$2911,2,FALSE()),"Not found")</f>
        <v>Sandra Milovich</v>
      </c>
      <c r="F313" s="22" t="n">
        <v>1877</v>
      </c>
      <c r="G313" s="22" t="s">
        <v>8325</v>
      </c>
      <c r="H313" s="22" t="s">
        <v>499</v>
      </c>
      <c r="I313" s="22" t="s">
        <v>8603</v>
      </c>
      <c r="J313" s="22" t="s">
        <v>10489</v>
      </c>
      <c r="K313" s="22" t="s">
        <v>10513</v>
      </c>
      <c r="L313" s="23" t="n">
        <v>45372</v>
      </c>
      <c r="M313" s="22" t="n">
        <f aca="false">COUNTIFS('Skip PDF Index'!$B$6:$B$11,D313,'Skip PDF Index'!$D$6:$D$11,C313,'Skip PDF Index'!$F$6:$F$11,I313)</f>
        <v>1</v>
      </c>
      <c r="N313" s="22" t="n">
        <f aca="false">COUNTIFS('Skip PDF Index'!$B$6:$B$11,D313,'Skip PDF Index'!$D$6:$D$11,C313,'Skip PDF Index'!$E$6:$E$11,G313,'Skip PDF Index'!$F$6:$F$11,I313)</f>
        <v>0</v>
      </c>
      <c r="O313" s="22" t="n">
        <f aca="false">COUNTIFS('Skip PDF Index'!$B$6:$B$11,D313,'Skip PDF Index'!$D$6:$D$11,C313,'Skip PDF Index'!$E$6:$E$11,G313,'Skip PDF Index'!$F$6:$F$11,I313,'Skip PDF Index'!$H$6:$H$11,"SUPPORTING RECORD")</f>
        <v>0</v>
      </c>
      <c r="P313" s="22" t="n">
        <f aca="false">COUNTIFS('Offer Events'!$A$2:$A$1487,B313,'Offer Events'!$B$2:$B$1487,C313,'Offer Events'!$C$2:$C$1487,D313,'Offer Events'!$E$2:$E$1487,G313,'Offer Events'!$L$2:$L$1487,"SKIPPED",'Offer Events'!$P$2:$P$1487,I313)</f>
        <v>0</v>
      </c>
      <c r="Q313" s="22" t="str">
        <f aca="false">IF(L313&lt;=C313,"Y","N")</f>
        <v>N</v>
      </c>
      <c r="R313" s="22" t="str">
        <f aca="false">IF(AND(O313&gt;0,P313&gt;0,Q313="Y"),"Y","N")</f>
        <v>N</v>
      </c>
      <c r="S313" s="22" t="str">
        <f aca="false">IF(P313=0,"Offer register missing/mismatch",IF(N313=0,IF(M313&gt;0,"PDF slip mismatch","No matching PDF"),IF(O313=0,"PDF lacks supporting record","Reconciled")))</f>
        <v>Offer register missing/mismatch</v>
      </c>
      <c r="T313" s="22" t="str">
        <f aca="false">IF(R313="Y","Compliant",S313&amp;IF(Q313="N","; review after skip",""))</f>
        <v>Offer register missing/mismatch; review after skip</v>
      </c>
      <c r="U313" s="22" t="str">
        <f aca="false">IF(R313="Y","",IF(AND(O313&gt;0,P313&gt;0,Q313="N"),"Priority 2","Priority 1"))</f>
        <v>Priority 1</v>
      </c>
    </row>
    <row r="314" customFormat="false" ht="15" hidden="false" customHeight="false" outlineLevel="0" collapsed="false">
      <c r="A314" s="22" t="s">
        <v>10922</v>
      </c>
      <c r="B314" s="22" t="s">
        <v>10923</v>
      </c>
      <c r="C314" s="23" t="n">
        <v>45909</v>
      </c>
      <c r="D314" s="22" t="s">
        <v>4938</v>
      </c>
      <c r="E314" s="22" t="str">
        <f aca="false">IFERROR(VLOOKUP(D314,'Applicant Lookup'!$A$2:$F$2911,2,FALSE()),"Not found")</f>
        <v>Dennis Farlow</v>
      </c>
      <c r="F314" s="22" t="n">
        <v>2102</v>
      </c>
      <c r="G314" s="22" t="s">
        <v>7076</v>
      </c>
      <c r="H314" s="22" t="s">
        <v>198</v>
      </c>
      <c r="I314" s="22" t="s">
        <v>8637</v>
      </c>
      <c r="J314" s="22" t="s">
        <v>10489</v>
      </c>
      <c r="K314" s="22" t="s">
        <v>10516</v>
      </c>
      <c r="L314" s="23" t="n">
        <v>45911</v>
      </c>
      <c r="M314" s="22" t="n">
        <f aca="false">COUNTIFS('Skip PDF Index'!$B$6:$B$11,D314,'Skip PDF Index'!$D$6:$D$11,C314,'Skip PDF Index'!$F$6:$F$11,I314)</f>
        <v>1</v>
      </c>
      <c r="N314" s="22" t="n">
        <f aca="false">COUNTIFS('Skip PDF Index'!$B$6:$B$11,D314,'Skip PDF Index'!$D$6:$D$11,C314,'Skip PDF Index'!$E$6:$E$11,G314,'Skip PDF Index'!$F$6:$F$11,I314)</f>
        <v>0</v>
      </c>
      <c r="O314" s="22" t="n">
        <f aca="false">COUNTIFS('Skip PDF Index'!$B$6:$B$11,D314,'Skip PDF Index'!$D$6:$D$11,C314,'Skip PDF Index'!$E$6:$E$11,G314,'Skip PDF Index'!$F$6:$F$11,I314,'Skip PDF Index'!$H$6:$H$11,"SUPPORTING RECORD")</f>
        <v>0</v>
      </c>
      <c r="P314" s="22" t="n">
        <f aca="false">COUNTIFS('Offer Events'!$A$2:$A$1487,B314,'Offer Events'!$B$2:$B$1487,C314,'Offer Events'!$C$2:$C$1487,D314,'Offer Events'!$E$2:$E$1487,G314,'Offer Events'!$L$2:$L$1487,"SKIPPED",'Offer Events'!$P$2:$P$1487,I314)</f>
        <v>0</v>
      </c>
      <c r="Q314" s="22" t="str">
        <f aca="false">IF(L314&lt;=C314,"Y","N")</f>
        <v>N</v>
      </c>
      <c r="R314" s="22" t="str">
        <f aca="false">IF(AND(O314&gt;0,P314&gt;0,Q314="Y"),"Y","N")</f>
        <v>N</v>
      </c>
      <c r="S314" s="22" t="str">
        <f aca="false">IF(P314=0,"Offer register missing/mismatch",IF(N314=0,IF(M314&gt;0,"PDF slip mismatch","No matching PDF"),IF(O314=0,"PDF lacks supporting record","Reconciled")))</f>
        <v>Offer register missing/mismatch</v>
      </c>
      <c r="T314" s="22" t="str">
        <f aca="false">IF(R314="Y","Compliant",S314&amp;IF(Q314="N","; review after skip",""))</f>
        <v>Offer register missing/mismatch; review after skip</v>
      </c>
      <c r="U314" s="22" t="str">
        <f aca="false">IF(R314="Y","",IF(AND(O314&gt;0,P314&gt;0,Q314="N"),"Priority 2","Priority 1"))</f>
        <v>Priority 1</v>
      </c>
    </row>
  </sheetData>
  <autoFilter ref="A5:U314"/>
  <mergeCells count="3">
    <mergeCell ref="A1:U1"/>
    <mergeCell ref="A2:U2"/>
    <mergeCell ref="A3:U3"/>
  </mergeCells>
  <conditionalFormatting sqref="U6:U314">
    <cfRule type="expression" priority="2" aboveAverage="0" equalAverage="0" bottom="0" percent="0" rank="0" text="" dxfId="5">
      <formula>$U6="Priority 1"</formula>
    </cfRule>
    <cfRule type="expression" priority="3" aboveAverage="0" equalAverage="0" bottom="0" percent="0" rank="0" text="" dxfId="6">
      <formula>$U6="Priority 2"</formula>
    </cfRule>
  </conditionalFormatting>
  <printOptions headings="false" gridLines="false" gridLinesSet="true" horizontalCentered="false" verticalCentered="false"/>
  <pageMargins left="0.25" right="0.25" top="0.45" bottom="0.45" header="0.2" footer="0.2"/>
  <pageSetup paperSize="1" scale="100" fitToWidth="2" fitToHeight="0" pageOrder="downThenOver" orientation="landscape" blackAndWhite="false" draft="false" cellComments="none" horizontalDpi="300" verticalDpi="300" copies="1"/>
  <headerFooter differentFirst="false" differentOddEven="false">
    <oddHeader>&amp;LSkip Audit | 2023-01-01 to 2026-07-31</oddHeader>
    <oddFooter>&amp;C&amp;7 Page &amp;P of &amp;N&amp;R&amp;7 Chaldale Harbor District | 2026-08-07</oddFooter>
  </headerFooter>
  <drawing r:id="rId1"/>
  <tableParts>
    <tablePart r:id="rId2"/>
  </tableParts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465A6E"/>
    <pageSetUpPr fitToPage="true"/>
  </sheetPr>
  <dimension ref="A1:P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customHeight="true" zeroHeight="false" outlineLevelRow="0" outlineLevelCol="0"/>
  <cols>
    <col collapsed="false" customWidth="true" hidden="false" outlineLevel="0" max="1" min="1" style="0" width="47"/>
    <col collapsed="false" customWidth="true" hidden="false" outlineLevel="0" max="2" min="2" style="0" width="17"/>
    <col collapsed="false" customWidth="true" hidden="false" outlineLevel="0" max="3" min="3" style="0" width="13"/>
    <col collapsed="false" customWidth="true" hidden="false" outlineLevel="0" max="4" min="4" style="0" width="14"/>
    <col collapsed="false" customWidth="true" hidden="false" outlineLevel="0" max="5" min="5" style="0" width="12"/>
    <col collapsed="false" customWidth="true" hidden="false" outlineLevel="0" max="6" min="6" style="0" width="46"/>
    <col collapsed="false" customWidth="true" hidden="false" outlineLevel="0" max="7" min="7" style="0" width="15"/>
    <col collapsed="false" customWidth="true" hidden="false" outlineLevel="0" max="8" min="8" style="0" width="14"/>
    <col collapsed="false" customWidth="true" hidden="false" outlineLevel="0" max="9" min="9" style="0" width="13"/>
    <col collapsed="false" customWidth="true" hidden="false" outlineLevel="0" max="11" min="10" style="0" width="14"/>
    <col collapsed="false" customWidth="true" hidden="false" outlineLevel="0" max="14" min="12" style="0" width="16"/>
    <col collapsed="false" customWidth="true" hidden="false" outlineLevel="0" max="15" min="15" style="0" width="58"/>
    <col collapsed="false" customWidth="true" hidden="false" outlineLevel="0" max="16" min="16" style="0" width="52"/>
  </cols>
  <sheetData>
    <row r="1" customFormat="false" ht="33.75" hidden="false" customHeight="true" outlineLevel="0" collapsed="false">
      <c r="A1" s="1" t="s">
        <v>10967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customFormat="false" ht="27.75" hidden="false" customHeight="true" outlineLevel="0" collapsed="false">
      <c r="A2" s="2" t="s">
        <v>10968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</row>
    <row r="3" customFormat="false" ht="30" hidden="false" customHeight="true" outlineLevel="0" collapsed="false">
      <c r="A3" s="24" t="s">
        <v>10969</v>
      </c>
      <c r="B3" s="24"/>
      <c r="C3" s="24"/>
      <c r="D3" s="24"/>
      <c r="E3" s="24"/>
      <c r="F3" s="24"/>
      <c r="G3" s="24"/>
      <c r="H3" s="24"/>
      <c r="I3" s="24"/>
      <c r="J3" s="24"/>
      <c r="K3" s="24"/>
      <c r="L3" s="24"/>
      <c r="M3" s="24"/>
      <c r="N3" s="24"/>
      <c r="O3" s="24"/>
      <c r="P3" s="24"/>
    </row>
    <row r="5" customFormat="false" ht="30" hidden="false" customHeight="true" outlineLevel="0" collapsed="false">
      <c r="A5" s="13" t="s">
        <v>10927</v>
      </c>
      <c r="B5" s="13" t="s">
        <v>10970</v>
      </c>
      <c r="C5" s="13" t="s">
        <v>10971</v>
      </c>
      <c r="D5" s="13" t="s">
        <v>149</v>
      </c>
      <c r="E5" s="13" t="s">
        <v>10972</v>
      </c>
      <c r="F5" s="13" t="s">
        <v>10973</v>
      </c>
      <c r="G5" s="13" t="s">
        <v>10974</v>
      </c>
      <c r="H5" s="13" t="s">
        <v>10975</v>
      </c>
      <c r="I5" s="13" t="s">
        <v>10976</v>
      </c>
      <c r="J5" s="13" t="s">
        <v>10977</v>
      </c>
      <c r="K5" s="13" t="s">
        <v>10978</v>
      </c>
      <c r="L5" s="13" t="s">
        <v>10979</v>
      </c>
      <c r="M5" s="13" t="s">
        <v>10980</v>
      </c>
      <c r="N5" s="13" t="s">
        <v>10981</v>
      </c>
      <c r="O5" s="13" t="s">
        <v>10982</v>
      </c>
      <c r="P5" s="13" t="s">
        <v>10938</v>
      </c>
    </row>
    <row r="6" customFormat="false" ht="15" hidden="false" customHeight="false" outlineLevel="0" collapsed="false">
      <c r="A6" s="22" t="s">
        <v>10983</v>
      </c>
      <c r="B6" s="22" t="s">
        <v>10984</v>
      </c>
      <c r="C6" s="23" t="n">
        <v>45446</v>
      </c>
      <c r="D6" s="22" t="s">
        <v>2403</v>
      </c>
      <c r="E6" s="22" t="n">
        <v>31.4</v>
      </c>
      <c r="F6" s="22" t="s">
        <v>10985</v>
      </c>
      <c r="G6" s="23"/>
      <c r="H6" s="22" t="s">
        <v>10518</v>
      </c>
      <c r="I6" s="22" t="n">
        <f aca="false">ROUNDUP(E6,0)</f>
        <v>32</v>
      </c>
      <c r="J6" s="22" t="s">
        <v>7351</v>
      </c>
      <c r="K6" s="22" t="str">
        <f aca="false">IF(J6="","",IFERROR(VLOOKUP(J6,'Slip Inventory'!$A$2:$R$1181,2,FALSE()),"NOT FOUND"))</f>
        <v>Vessbank</v>
      </c>
      <c r="L6" s="22" t="str">
        <f aca="false">IF(J6="","UNDETERMINED",IFERROR(VLOOKUP(J6,'Slip Inventory'!$A$2:$R$1181,7,FALSE()),"NOT FOUND"))</f>
        <v>COVERED</v>
      </c>
      <c r="M6" s="22" t="str">
        <f aca="false">IF(J6="","",IFERROR(VLOOKUP(J6,'Slip Inventory'!$A$2:$R$1181,10,FALSE()),"NOT FOUND"))</f>
        <v>OCCUPIED</v>
      </c>
      <c r="N6" s="22" t="str">
        <f aca="false">IF(J6="","",IFERROR(VLOOKUP(J6,'Slip Inventory'!$A$2:$R$1181,12,FALSE()),"NOT FOUND"))</f>
        <v>WL-03499</v>
      </c>
      <c r="O6" s="22" t="str">
        <f aca="false">IF(J6="","No assigned slip in certificate; 32-ft LOA is within covered cap but assignment is not established",IF(L6="COVERED","Historical certificate identifies a covered slip","Certificate identifies an open slip"))</f>
        <v>Historical certificate identifies a covered slip</v>
      </c>
      <c r="P6" s="22" t="s">
        <v>10986</v>
      </c>
    </row>
    <row r="7" customFormat="false" ht="15" hidden="false" customHeight="false" outlineLevel="0" collapsed="false">
      <c r="A7" s="22" t="s">
        <v>10987</v>
      </c>
      <c r="B7" s="22" t="s">
        <v>10988</v>
      </c>
      <c r="C7" s="23" t="n">
        <v>45538</v>
      </c>
      <c r="D7" s="22" t="s">
        <v>3505</v>
      </c>
      <c r="E7" s="22" t="n">
        <v>31.7</v>
      </c>
      <c r="F7" s="22" t="s">
        <v>10989</v>
      </c>
      <c r="G7" s="23" t="n">
        <v>45540</v>
      </c>
      <c r="H7" s="22" t="s">
        <v>10489</v>
      </c>
      <c r="I7" s="22" t="n">
        <f aca="false">ROUNDUP(E7,0)</f>
        <v>32</v>
      </c>
      <c r="J7" s="22"/>
      <c r="K7" s="22" t="str">
        <f aca="false">IF(J7="","",IFERROR(VLOOKUP(J7,'Slip Inventory'!$A$2:$R$1181,2,FALSE()),"NOT FOUND"))</f>
        <v/>
      </c>
      <c r="L7" s="22" t="str">
        <f aca="false">IF(J7="","UNDETERMINED",IFERROR(VLOOKUP(J7,'Slip Inventory'!$A$2:$R$1181,7,FALSE()),"NOT FOUND"))</f>
        <v>UNDETERMINED</v>
      </c>
      <c r="M7" s="22" t="str">
        <f aca="false">IF(J7="","",IFERROR(VLOOKUP(J7,'Slip Inventory'!$A$2:$R$1181,10,FALSE()),"NOT FOUND"))</f>
        <v/>
      </c>
      <c r="N7" s="22" t="str">
        <f aca="false">IF(J7="","",IFERROR(VLOOKUP(J7,'Slip Inventory'!$A$2:$R$1181,12,FALSE()),"NOT FOUND"))</f>
        <v/>
      </c>
      <c r="O7" s="22" t="str">
        <f aca="false">IF(J7="","No assigned slip in certificate; 32-ft LOA is within covered cap but assignment is not established",IF(L7="COVERED","Historical certificate identifies a covered slip","Certificate identifies an open slip"))</f>
        <v>No assigned slip in certificate; 32-ft LOA is within covered cap but assignment is not established</v>
      </c>
      <c r="P7" s="22" t="s">
        <v>10990</v>
      </c>
    </row>
  </sheetData>
  <autoFilter ref="A5:P7"/>
  <mergeCells count="3">
    <mergeCell ref="A1:P1"/>
    <mergeCell ref="A2:P2"/>
    <mergeCell ref="A3:P3"/>
  </mergeCells>
  <printOptions headings="false" gridLines="false" gridLinesSet="true" horizontalCentered="false" verticalCentered="false"/>
  <pageMargins left="0.25" right="0.25" top="0.45" bottom="0.45" header="0.2" footer="0.2"/>
  <pageSetup paperSize="1" scale="100" fitToWidth="2" fitToHeight="0" pageOrder="downThenOver" orientation="landscape" blackAndWhite="false" draft="false" cellComments="none" horizontalDpi="300" verticalDpi="300" copies="1"/>
  <headerFooter differentFirst="false" differentOddEven="false">
    <oddHeader>&amp;LMeasurement Certificate Reconciliation</oddHeader>
    <oddFooter>&amp;C&amp;7 Page &amp;P of &amp;N&amp;R&amp;7 Chaldale Harbor District | 2026-08-07</oddFooter>
  </headerFooter>
  <drawing r:id="rId1"/>
  <tableParts>
    <tablePart r:id="rId2"/>
  </tableParts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D97706"/>
    <pageSetUpPr fitToPage="true"/>
  </sheetPr>
  <dimension ref="A1:N20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customHeight="true" zeroHeight="false" outlineLevelRow="0" outlineLevelCol="0"/>
  <cols>
    <col collapsed="false" customWidth="true" hidden="false" outlineLevel="0" max="1" min="1" style="0" width="16"/>
    <col collapsed="false" customWidth="true" hidden="false" outlineLevel="0" max="3" min="2" style="0" width="14"/>
    <col collapsed="false" customWidth="true" hidden="false" outlineLevel="0" max="4" min="4" style="0" width="23"/>
    <col collapsed="false" customWidth="true" hidden="false" outlineLevel="0" max="6" min="5" style="0" width="10"/>
    <col collapsed="false" customWidth="true" hidden="false" outlineLevel="0" max="7" min="7" style="0" width="54"/>
    <col collapsed="false" customWidth="true" hidden="false" outlineLevel="0" max="8" min="8" style="0" width="13"/>
    <col collapsed="false" customWidth="true" hidden="false" outlineLevel="0" max="9" min="9" style="0" width="17"/>
    <col collapsed="false" customWidth="true" hidden="false" outlineLevel="0" max="10" min="10" style="0" width="13"/>
    <col collapsed="false" customWidth="true" hidden="false" outlineLevel="0" max="11" min="11" style="0" width="43"/>
    <col collapsed="false" customWidth="true" hidden="false" outlineLevel="0" max="12" min="12" style="0" width="47"/>
    <col collapsed="false" customWidth="true" hidden="false" outlineLevel="0" max="13" min="13" style="0" width="12"/>
    <col collapsed="false" customWidth="true" hidden="false" outlineLevel="0" max="14" min="14" style="0" width="50"/>
  </cols>
  <sheetData>
    <row r="1" customFormat="false" ht="33.75" hidden="false" customHeight="true" outlineLevel="0" collapsed="false">
      <c r="A1" s="1" t="s">
        <v>10991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customFormat="false" ht="27.75" hidden="false" customHeight="true" outlineLevel="0" collapsed="false">
      <c r="A2" s="2" t="s">
        <v>10992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 customFormat="false" ht="30" hidden="false" customHeight="true" outlineLevel="0" collapsed="false">
      <c r="A3" s="24" t="s">
        <v>10993</v>
      </c>
      <c r="B3" s="24"/>
      <c r="C3" s="24"/>
      <c r="D3" s="24"/>
      <c r="E3" s="24"/>
      <c r="F3" s="24"/>
      <c r="G3" s="24"/>
      <c r="H3" s="24"/>
      <c r="I3" s="24"/>
      <c r="J3" s="24"/>
      <c r="K3" s="24"/>
      <c r="L3" s="24"/>
      <c r="M3" s="24"/>
      <c r="N3" s="24"/>
    </row>
    <row r="5" customFormat="false" ht="30" hidden="false" customHeight="true" outlineLevel="0" collapsed="false">
      <c r="A5" s="13" t="s">
        <v>10994</v>
      </c>
      <c r="B5" s="13" t="s">
        <v>10995</v>
      </c>
      <c r="C5" s="13" t="s">
        <v>149</v>
      </c>
      <c r="D5" s="13" t="s">
        <v>150</v>
      </c>
      <c r="E5" s="13" t="s">
        <v>10996</v>
      </c>
      <c r="F5" s="13" t="s">
        <v>10997</v>
      </c>
      <c r="G5" s="13" t="s">
        <v>10998</v>
      </c>
      <c r="H5" s="13" t="s">
        <v>10999</v>
      </c>
      <c r="I5" s="13" t="s">
        <v>11000</v>
      </c>
      <c r="J5" s="13" t="s">
        <v>11001</v>
      </c>
      <c r="K5" s="13" t="s">
        <v>11002</v>
      </c>
      <c r="L5" s="13" t="s">
        <v>10965</v>
      </c>
      <c r="M5" s="13" t="s">
        <v>10966</v>
      </c>
      <c r="N5" s="13" t="s">
        <v>11003</v>
      </c>
    </row>
    <row r="6" customFormat="false" ht="15" hidden="false" customHeight="false" outlineLevel="0" collapsed="false">
      <c r="A6" s="22" t="s">
        <v>11004</v>
      </c>
      <c r="B6" s="23" t="n">
        <v>44778</v>
      </c>
      <c r="C6" s="22" t="s">
        <v>4593</v>
      </c>
      <c r="D6" s="22" t="str">
        <f aca="false">IFERROR(VLOOKUP(C6,'Applicant Lookup'!$A$2:$F$2911,2,FALSE()),"Not found")</f>
        <v>Jacob Turner</v>
      </c>
      <c r="E6" s="22" t="n">
        <v>44.5</v>
      </c>
      <c r="F6" s="22" t="n">
        <v>46.4</v>
      </c>
      <c r="G6" s="22" t="s">
        <v>11005</v>
      </c>
      <c r="H6" s="22" t="n">
        <f aca="false">COUNTIFS('Certificate Check'!$D$6:$D$7,C6,'Certificate Check'!$E$6:$E$7,F6,'Certificate Check'!$G$6:$G$7,B6,'Certificate Check'!$H$6:$H$7,"Y")</f>
        <v>0</v>
      </c>
      <c r="I6" s="22" t="str">
        <f aca="false">IF(H6&gt;0,"SUBSTANTIATED","UNSUBSTANTIATED")</f>
        <v>UNSUBSTANTIATED</v>
      </c>
      <c r="J6" s="22" t="n">
        <f aca="false">COUNTIFS('Skip Audit'!$D$6:$D$314,C6,'Skip Audit'!$C$6:$C$314,"&gt;="&amp;B6)</f>
        <v>0</v>
      </c>
      <c r="K6" s="22"/>
      <c r="L6" s="22" t="str">
        <f aca="false">IF(I6="SUBSTANTIATED","Compliant","No supplied signed certificate or yard measurement sheet")</f>
        <v>No supplied signed certificate or yard measurement sheet</v>
      </c>
      <c r="M6" s="22" t="str">
        <f aca="false">IF(I6="SUBSTANTIATED","",IF(J6&gt;0,"Priority 1","Priority 2"))</f>
        <v>Priority 2</v>
      </c>
      <c r="N6" s="22" t="s">
        <v>15</v>
      </c>
    </row>
    <row r="7" customFormat="false" ht="15" hidden="false" customHeight="false" outlineLevel="0" collapsed="false">
      <c r="A7" s="22" t="s">
        <v>11006</v>
      </c>
      <c r="B7" s="23" t="n">
        <v>44782</v>
      </c>
      <c r="C7" s="22" t="s">
        <v>2403</v>
      </c>
      <c r="D7" s="22" t="str">
        <f aca="false">IFERROR(VLOOKUP(C7,'Applicant Lookup'!$A$2:$F$2911,2,FALSE()),"Not found")</f>
        <v>Laura Beesley</v>
      </c>
      <c r="E7" s="22" t="n">
        <v>26.4</v>
      </c>
      <c r="F7" s="22" t="n">
        <v>25.8</v>
      </c>
      <c r="G7" s="22" t="s">
        <v>11007</v>
      </c>
      <c r="H7" s="22" t="n">
        <f aca="false">COUNTIFS('Certificate Check'!$D$6:$D$7,C7,'Certificate Check'!$E$6:$E$7,F7,'Certificate Check'!$G$6:$G$7,B7,'Certificate Check'!$H$6:$H$7,"Y")</f>
        <v>0</v>
      </c>
      <c r="I7" s="22" t="str">
        <f aca="false">IF(H7&gt;0,"SUBSTANTIATED","UNSUBSTANTIATED")</f>
        <v>UNSUBSTANTIATED</v>
      </c>
      <c r="J7" s="22" t="n">
        <f aca="false">COUNTIFS('Skip Audit'!$D$6:$D$314,C7,'Skip Audit'!$C$6:$C$314,"&gt;="&amp;B7)</f>
        <v>0</v>
      </c>
      <c r="K7" s="22"/>
      <c r="L7" s="22" t="str">
        <f aca="false">IF(I7="SUBSTANTIATED","Compliant","No supplied signed certificate or yard measurement sheet")</f>
        <v>No supplied signed certificate or yard measurement sheet</v>
      </c>
      <c r="M7" s="22" t="str">
        <f aca="false">IF(I7="SUBSTANTIATED","",IF(J7&gt;0,"Priority 1","Priority 2"))</f>
        <v>Priority 2</v>
      </c>
      <c r="N7" s="22" t="s">
        <v>15</v>
      </c>
    </row>
    <row r="8" customFormat="false" ht="15" hidden="false" customHeight="false" outlineLevel="0" collapsed="false">
      <c r="A8" s="22" t="s">
        <v>11008</v>
      </c>
      <c r="B8" s="23" t="n">
        <v>44782</v>
      </c>
      <c r="C8" s="22" t="s">
        <v>4842</v>
      </c>
      <c r="D8" s="22" t="str">
        <f aca="false">IFERROR(VLOOKUP(C8,'Applicant Lookup'!$A$2:$F$2911,2,FALSE()),"Not found")</f>
        <v>Amanda Schmidt</v>
      </c>
      <c r="E8" s="22" t="n">
        <v>46.9</v>
      </c>
      <c r="F8" s="22" t="n">
        <v>45.3</v>
      </c>
      <c r="G8" s="22" t="s">
        <v>11009</v>
      </c>
      <c r="H8" s="22" t="n">
        <f aca="false">COUNTIFS('Certificate Check'!$D$6:$D$7,C8,'Certificate Check'!$E$6:$E$7,F8,'Certificate Check'!$G$6:$G$7,B8,'Certificate Check'!$H$6:$H$7,"Y")</f>
        <v>0</v>
      </c>
      <c r="I8" s="22" t="str">
        <f aca="false">IF(H8&gt;0,"SUBSTANTIATED","UNSUBSTANTIATED")</f>
        <v>UNSUBSTANTIATED</v>
      </c>
      <c r="J8" s="22" t="n">
        <f aca="false">COUNTIFS('Skip Audit'!$D$6:$D$314,C8,'Skip Audit'!$C$6:$C$314,"&gt;="&amp;B8)</f>
        <v>1</v>
      </c>
      <c r="K8" s="22" t="s">
        <v>10849</v>
      </c>
      <c r="L8" s="22" t="str">
        <f aca="false">IF(I8="SUBSTANTIATED","Compliant","No supplied signed certificate or yard measurement sheet")</f>
        <v>No supplied signed certificate or yard measurement sheet</v>
      </c>
      <c r="M8" s="22" t="str">
        <f aca="false">IF(I8="SUBSTANTIATED","",IF(J8&gt;0,"Priority 1","Priority 2"))</f>
        <v>Priority 1</v>
      </c>
      <c r="N8" s="22" t="s">
        <v>15</v>
      </c>
    </row>
    <row r="9" customFormat="false" ht="15" hidden="false" customHeight="false" outlineLevel="0" collapsed="false">
      <c r="A9" s="22" t="s">
        <v>11010</v>
      </c>
      <c r="B9" s="23" t="n">
        <v>44783</v>
      </c>
      <c r="C9" s="22" t="s">
        <v>4940</v>
      </c>
      <c r="D9" s="22" t="str">
        <f aca="false">IFERROR(VLOOKUP(C9,'Applicant Lookup'!$A$2:$F$2911,2,FALSE()),"Not found")</f>
        <v>Thomas Roman</v>
      </c>
      <c r="E9" s="22" t="n">
        <v>51</v>
      </c>
      <c r="F9" s="22" t="n">
        <v>51.1</v>
      </c>
      <c r="G9" s="22" t="s">
        <v>11011</v>
      </c>
      <c r="H9" s="22" t="n">
        <f aca="false">COUNTIFS('Certificate Check'!$D$6:$D$7,C9,'Certificate Check'!$E$6:$E$7,F9,'Certificate Check'!$G$6:$G$7,B9,'Certificate Check'!$H$6:$H$7,"Y")</f>
        <v>0</v>
      </c>
      <c r="I9" s="22" t="str">
        <f aca="false">IF(H9&gt;0,"SUBSTANTIATED","UNSUBSTANTIATED")</f>
        <v>UNSUBSTANTIATED</v>
      </c>
      <c r="J9" s="22" t="n">
        <f aca="false">COUNTIFS('Skip Audit'!$D$6:$D$314,C9,'Skip Audit'!$C$6:$C$314,"&gt;="&amp;B9)</f>
        <v>0</v>
      </c>
      <c r="K9" s="22"/>
      <c r="L9" s="22" t="str">
        <f aca="false">IF(I9="SUBSTANTIATED","Compliant","No supplied signed certificate or yard measurement sheet")</f>
        <v>No supplied signed certificate or yard measurement sheet</v>
      </c>
      <c r="M9" s="22" t="str">
        <f aca="false">IF(I9="SUBSTANTIATED","",IF(J9&gt;0,"Priority 1","Priority 2"))</f>
        <v>Priority 2</v>
      </c>
      <c r="N9" s="22" t="s">
        <v>15</v>
      </c>
    </row>
    <row r="10" customFormat="false" ht="15" hidden="false" customHeight="false" outlineLevel="0" collapsed="false">
      <c r="A10" s="22" t="s">
        <v>11012</v>
      </c>
      <c r="B10" s="23" t="n">
        <v>44805</v>
      </c>
      <c r="C10" s="22" t="s">
        <v>4903</v>
      </c>
      <c r="D10" s="22" t="str">
        <f aca="false">IFERROR(VLOOKUP(C10,'Applicant Lookup'!$A$2:$F$2911,2,FALSE()),"Not found")</f>
        <v>Tiffany Robertson</v>
      </c>
      <c r="E10" s="22" t="n">
        <v>28.7</v>
      </c>
      <c r="F10" s="22" t="n">
        <v>26.4</v>
      </c>
      <c r="G10" s="22" t="s">
        <v>11013</v>
      </c>
      <c r="H10" s="22" t="n">
        <f aca="false">COUNTIFS('Certificate Check'!$D$6:$D$7,C10,'Certificate Check'!$E$6:$E$7,F10,'Certificate Check'!$G$6:$G$7,B10,'Certificate Check'!$H$6:$H$7,"Y")</f>
        <v>0</v>
      </c>
      <c r="I10" s="22" t="str">
        <f aca="false">IF(H10&gt;0,"SUBSTANTIATED","UNSUBSTANTIATED")</f>
        <v>UNSUBSTANTIATED</v>
      </c>
      <c r="J10" s="22" t="n">
        <f aca="false">COUNTIFS('Skip Audit'!$D$6:$D$314,C10,'Skip Audit'!$C$6:$C$314,"&gt;="&amp;B10)</f>
        <v>0</v>
      </c>
      <c r="K10" s="22"/>
      <c r="L10" s="22" t="str">
        <f aca="false">IF(I10="SUBSTANTIATED","Compliant","No supplied signed certificate or yard measurement sheet")</f>
        <v>No supplied signed certificate or yard measurement sheet</v>
      </c>
      <c r="M10" s="22" t="str">
        <f aca="false">IF(I10="SUBSTANTIATED","",IF(J10&gt;0,"Priority 1","Priority 2"))</f>
        <v>Priority 2</v>
      </c>
      <c r="N10" s="22" t="s">
        <v>15</v>
      </c>
    </row>
    <row r="11" customFormat="false" ht="15" hidden="false" customHeight="false" outlineLevel="0" collapsed="false">
      <c r="A11" s="22" t="s">
        <v>11014</v>
      </c>
      <c r="B11" s="23" t="n">
        <v>44811</v>
      </c>
      <c r="C11" s="22" t="s">
        <v>2553</v>
      </c>
      <c r="D11" s="22" t="str">
        <f aca="false">IFERROR(VLOOKUP(C11,'Applicant Lookup'!$A$2:$F$2911,2,FALSE()),"Not found")</f>
        <v>Natalie Tyler</v>
      </c>
      <c r="E11" s="22" t="n">
        <v>30.4</v>
      </c>
      <c r="F11" s="22" t="n">
        <v>31.5</v>
      </c>
      <c r="G11" s="22" t="s">
        <v>11015</v>
      </c>
      <c r="H11" s="22" t="n">
        <f aca="false">COUNTIFS('Certificate Check'!$D$6:$D$7,C11,'Certificate Check'!$E$6:$E$7,F11,'Certificate Check'!$G$6:$G$7,B11,'Certificate Check'!$H$6:$H$7,"Y")</f>
        <v>0</v>
      </c>
      <c r="I11" s="22" t="str">
        <f aca="false">IF(H11&gt;0,"SUBSTANTIATED","UNSUBSTANTIATED")</f>
        <v>UNSUBSTANTIATED</v>
      </c>
      <c r="J11" s="22" t="n">
        <f aca="false">COUNTIFS('Skip Audit'!$D$6:$D$314,C11,'Skip Audit'!$C$6:$C$314,"&gt;="&amp;B11)</f>
        <v>0</v>
      </c>
      <c r="K11" s="22"/>
      <c r="L11" s="22" t="str">
        <f aca="false">IF(I11="SUBSTANTIATED","Compliant","No supplied signed certificate or yard measurement sheet")</f>
        <v>No supplied signed certificate or yard measurement sheet</v>
      </c>
      <c r="M11" s="22" t="str">
        <f aca="false">IF(I11="SUBSTANTIATED","",IF(J11&gt;0,"Priority 1","Priority 2"))</f>
        <v>Priority 2</v>
      </c>
      <c r="N11" s="22" t="s">
        <v>15</v>
      </c>
    </row>
    <row r="12" customFormat="false" ht="15" hidden="false" customHeight="false" outlineLevel="0" collapsed="false">
      <c r="A12" s="22" t="s">
        <v>11016</v>
      </c>
      <c r="B12" s="23" t="n">
        <v>44824</v>
      </c>
      <c r="C12" s="22" t="s">
        <v>5938</v>
      </c>
      <c r="D12" s="22" t="str">
        <f aca="false">IFERROR(VLOOKUP(C12,'Applicant Lookup'!$A$2:$F$2911,2,FALSE()),"Not found")</f>
        <v>Bruce Miller</v>
      </c>
      <c r="E12" s="22" t="n">
        <v>51.4</v>
      </c>
      <c r="F12" s="22" t="n">
        <v>49</v>
      </c>
      <c r="G12" s="22"/>
      <c r="H12" s="22" t="n">
        <f aca="false">COUNTIFS('Certificate Check'!$D$6:$D$7,C12,'Certificate Check'!$E$6:$E$7,F12,'Certificate Check'!$G$6:$G$7,B12,'Certificate Check'!$H$6:$H$7,"Y")</f>
        <v>0</v>
      </c>
      <c r="I12" s="22" t="str">
        <f aca="false">IF(H12&gt;0,"SUBSTANTIATED","UNSUBSTANTIATED")</f>
        <v>UNSUBSTANTIATED</v>
      </c>
      <c r="J12" s="22" t="n">
        <f aca="false">COUNTIFS('Skip Audit'!$D$6:$D$314,C12,'Skip Audit'!$C$6:$C$314,"&gt;="&amp;B12)</f>
        <v>0</v>
      </c>
      <c r="K12" s="22"/>
      <c r="L12" s="22" t="str">
        <f aca="false">IF(I12="SUBSTANTIATED","Compliant","No supplied signed certificate or yard measurement sheet")</f>
        <v>No supplied signed certificate or yard measurement sheet</v>
      </c>
      <c r="M12" s="22" t="str">
        <f aca="false">IF(I12="SUBSTANTIATED","",IF(J12&gt;0,"Priority 1","Priority 2"))</f>
        <v>Priority 2</v>
      </c>
      <c r="N12" s="22" t="s">
        <v>15</v>
      </c>
    </row>
    <row r="13" customFormat="false" ht="15" hidden="false" customHeight="false" outlineLevel="0" collapsed="false">
      <c r="A13" s="22" t="s">
        <v>11017</v>
      </c>
      <c r="B13" s="23" t="n">
        <v>44826</v>
      </c>
      <c r="C13" s="22" t="s">
        <v>3695</v>
      </c>
      <c r="D13" s="22" t="str">
        <f aca="false">IFERROR(VLOOKUP(C13,'Applicant Lookup'!$A$2:$F$2911,2,FALSE()),"Not found")</f>
        <v>Rebecca Vaughn</v>
      </c>
      <c r="E13" s="22" t="n">
        <v>42.8</v>
      </c>
      <c r="F13" s="22" t="n">
        <v>42.9</v>
      </c>
      <c r="G13" s="22" t="s">
        <v>11018</v>
      </c>
      <c r="H13" s="22" t="n">
        <f aca="false">COUNTIFS('Certificate Check'!$D$6:$D$7,C13,'Certificate Check'!$E$6:$E$7,F13,'Certificate Check'!$G$6:$G$7,B13,'Certificate Check'!$H$6:$H$7,"Y")</f>
        <v>0</v>
      </c>
      <c r="I13" s="22" t="str">
        <f aca="false">IF(H13&gt;0,"SUBSTANTIATED","UNSUBSTANTIATED")</f>
        <v>UNSUBSTANTIATED</v>
      </c>
      <c r="J13" s="22" t="n">
        <f aca="false">COUNTIFS('Skip Audit'!$D$6:$D$314,C13,'Skip Audit'!$C$6:$C$314,"&gt;="&amp;B13)</f>
        <v>0</v>
      </c>
      <c r="K13" s="22"/>
      <c r="L13" s="22" t="str">
        <f aca="false">IF(I13="SUBSTANTIATED","Compliant","No supplied signed certificate or yard measurement sheet")</f>
        <v>No supplied signed certificate or yard measurement sheet</v>
      </c>
      <c r="M13" s="22" t="str">
        <f aca="false">IF(I13="SUBSTANTIATED","",IF(J13&gt;0,"Priority 1","Priority 2"))</f>
        <v>Priority 2</v>
      </c>
      <c r="N13" s="22" t="s">
        <v>15</v>
      </c>
    </row>
    <row r="14" customFormat="false" ht="15" hidden="false" customHeight="false" outlineLevel="0" collapsed="false">
      <c r="A14" s="22" t="s">
        <v>11019</v>
      </c>
      <c r="B14" s="23" t="n">
        <v>44827</v>
      </c>
      <c r="C14" s="22" t="s">
        <v>5221</v>
      </c>
      <c r="D14" s="22" t="str">
        <f aca="false">IFERROR(VLOOKUP(C14,'Applicant Lookup'!$A$2:$F$2911,2,FALSE()),"Not found")</f>
        <v>Michael Ford</v>
      </c>
      <c r="E14" s="22" t="n">
        <v>37.1</v>
      </c>
      <c r="F14" s="22" t="n">
        <v>38.3</v>
      </c>
      <c r="G14" s="22" t="s">
        <v>11020</v>
      </c>
      <c r="H14" s="22" t="n">
        <f aca="false">COUNTIFS('Certificate Check'!$D$6:$D$7,C14,'Certificate Check'!$E$6:$E$7,F14,'Certificate Check'!$G$6:$G$7,B14,'Certificate Check'!$H$6:$H$7,"Y")</f>
        <v>0</v>
      </c>
      <c r="I14" s="22" t="str">
        <f aca="false">IF(H14&gt;0,"SUBSTANTIATED","UNSUBSTANTIATED")</f>
        <v>UNSUBSTANTIATED</v>
      </c>
      <c r="J14" s="22" t="n">
        <f aca="false">COUNTIFS('Skip Audit'!$D$6:$D$314,C14,'Skip Audit'!$C$6:$C$314,"&gt;="&amp;B14)</f>
        <v>0</v>
      </c>
      <c r="K14" s="22"/>
      <c r="L14" s="22" t="str">
        <f aca="false">IF(I14="SUBSTANTIATED","Compliant","No supplied signed certificate or yard measurement sheet")</f>
        <v>No supplied signed certificate or yard measurement sheet</v>
      </c>
      <c r="M14" s="22" t="str">
        <f aca="false">IF(I14="SUBSTANTIATED","",IF(J14&gt;0,"Priority 1","Priority 2"))</f>
        <v>Priority 2</v>
      </c>
      <c r="N14" s="22" t="s">
        <v>15</v>
      </c>
    </row>
    <row r="15" customFormat="false" ht="15" hidden="false" customHeight="false" outlineLevel="0" collapsed="false">
      <c r="A15" s="22" t="s">
        <v>11021</v>
      </c>
      <c r="B15" s="23" t="n">
        <v>44839</v>
      </c>
      <c r="C15" s="22" t="s">
        <v>1090</v>
      </c>
      <c r="D15" s="22" t="str">
        <f aca="false">IFERROR(VLOOKUP(C15,'Applicant Lookup'!$A$2:$F$2911,2,FALSE()),"Not found")</f>
        <v>Andrew Hayden</v>
      </c>
      <c r="E15" s="22" t="n">
        <v>22.6</v>
      </c>
      <c r="F15" s="22" t="n">
        <v>20.2</v>
      </c>
      <c r="G15" s="22" t="s">
        <v>11022</v>
      </c>
      <c r="H15" s="22" t="n">
        <f aca="false">COUNTIFS('Certificate Check'!$D$6:$D$7,C15,'Certificate Check'!$E$6:$E$7,F15,'Certificate Check'!$G$6:$G$7,B15,'Certificate Check'!$H$6:$H$7,"Y")</f>
        <v>0</v>
      </c>
      <c r="I15" s="22" t="str">
        <f aca="false">IF(H15&gt;0,"SUBSTANTIATED","UNSUBSTANTIATED")</f>
        <v>UNSUBSTANTIATED</v>
      </c>
      <c r="J15" s="22" t="n">
        <f aca="false">COUNTIFS('Skip Audit'!$D$6:$D$314,C15,'Skip Audit'!$C$6:$C$314,"&gt;="&amp;B15)</f>
        <v>1</v>
      </c>
      <c r="K15" s="22" t="s">
        <v>10789</v>
      </c>
      <c r="L15" s="22" t="str">
        <f aca="false">IF(I15="SUBSTANTIATED","Compliant","No supplied signed certificate or yard measurement sheet")</f>
        <v>No supplied signed certificate or yard measurement sheet</v>
      </c>
      <c r="M15" s="22" t="str">
        <f aca="false">IF(I15="SUBSTANTIATED","",IF(J15&gt;0,"Priority 1","Priority 2"))</f>
        <v>Priority 1</v>
      </c>
      <c r="N15" s="22" t="s">
        <v>15</v>
      </c>
    </row>
    <row r="16" customFormat="false" ht="15" hidden="false" customHeight="false" outlineLevel="0" collapsed="false">
      <c r="A16" s="22" t="s">
        <v>11023</v>
      </c>
      <c r="B16" s="23" t="n">
        <v>44846</v>
      </c>
      <c r="C16" s="22" t="s">
        <v>500</v>
      </c>
      <c r="D16" s="22" t="str">
        <f aca="false">IFERROR(VLOOKUP(C16,'Applicant Lookup'!$A$2:$F$2911,2,FALSE()),"Not found")</f>
        <v>Nathan Hunt</v>
      </c>
      <c r="E16" s="22" t="n">
        <v>42.1</v>
      </c>
      <c r="F16" s="22" t="n">
        <v>43.7</v>
      </c>
      <c r="G16" s="22" t="s">
        <v>11024</v>
      </c>
      <c r="H16" s="22" t="n">
        <f aca="false">COUNTIFS('Certificate Check'!$D$6:$D$7,C16,'Certificate Check'!$E$6:$E$7,F16,'Certificate Check'!$G$6:$G$7,B16,'Certificate Check'!$H$6:$H$7,"Y")</f>
        <v>0</v>
      </c>
      <c r="I16" s="22" t="str">
        <f aca="false">IF(H16&gt;0,"SUBSTANTIATED","UNSUBSTANTIATED")</f>
        <v>UNSUBSTANTIATED</v>
      </c>
      <c r="J16" s="22" t="n">
        <f aca="false">COUNTIFS('Skip Audit'!$D$6:$D$314,C16,'Skip Audit'!$C$6:$C$314,"&gt;="&amp;B16)</f>
        <v>0</v>
      </c>
      <c r="K16" s="22"/>
      <c r="L16" s="22" t="str">
        <f aca="false">IF(I16="SUBSTANTIATED","Compliant","No supplied signed certificate or yard measurement sheet")</f>
        <v>No supplied signed certificate or yard measurement sheet</v>
      </c>
      <c r="M16" s="22" t="str">
        <f aca="false">IF(I16="SUBSTANTIATED","",IF(J16&gt;0,"Priority 1","Priority 2"))</f>
        <v>Priority 2</v>
      </c>
      <c r="N16" s="22" t="s">
        <v>15</v>
      </c>
    </row>
    <row r="17" customFormat="false" ht="15" hidden="false" customHeight="false" outlineLevel="0" collapsed="false">
      <c r="A17" s="22" t="s">
        <v>11025</v>
      </c>
      <c r="B17" s="23" t="n">
        <v>44851</v>
      </c>
      <c r="C17" s="22" t="s">
        <v>2906</v>
      </c>
      <c r="D17" s="22" t="str">
        <f aca="false">IFERROR(VLOOKUP(C17,'Applicant Lookup'!$A$2:$F$2911,2,FALSE()),"Not found")</f>
        <v>Jerry Reyes</v>
      </c>
      <c r="E17" s="22" t="n">
        <v>43.5</v>
      </c>
      <c r="F17" s="22" t="n">
        <v>42.6</v>
      </c>
      <c r="G17" s="22" t="s">
        <v>11026</v>
      </c>
      <c r="H17" s="22" t="n">
        <f aca="false">COUNTIFS('Certificate Check'!$D$6:$D$7,C17,'Certificate Check'!$E$6:$E$7,F17,'Certificate Check'!$G$6:$G$7,B17,'Certificate Check'!$H$6:$H$7,"Y")</f>
        <v>0</v>
      </c>
      <c r="I17" s="22" t="str">
        <f aca="false">IF(H17&gt;0,"SUBSTANTIATED","UNSUBSTANTIATED")</f>
        <v>UNSUBSTANTIATED</v>
      </c>
      <c r="J17" s="22" t="n">
        <f aca="false">COUNTIFS('Skip Audit'!$D$6:$D$314,C17,'Skip Audit'!$C$6:$C$314,"&gt;="&amp;B17)</f>
        <v>1</v>
      </c>
      <c r="K17" s="22" t="s">
        <v>10868</v>
      </c>
      <c r="L17" s="22" t="str">
        <f aca="false">IF(I17="SUBSTANTIATED","Compliant","No supplied signed certificate or yard measurement sheet")</f>
        <v>No supplied signed certificate or yard measurement sheet</v>
      </c>
      <c r="M17" s="22" t="str">
        <f aca="false">IF(I17="SUBSTANTIATED","",IF(J17&gt;0,"Priority 1","Priority 2"))</f>
        <v>Priority 1</v>
      </c>
      <c r="N17" s="22" t="s">
        <v>15</v>
      </c>
    </row>
    <row r="18" customFormat="false" ht="15" hidden="false" customHeight="false" outlineLevel="0" collapsed="false">
      <c r="A18" s="22" t="s">
        <v>11027</v>
      </c>
      <c r="B18" s="23" t="n">
        <v>44873</v>
      </c>
      <c r="C18" s="22" t="s">
        <v>420</v>
      </c>
      <c r="D18" s="22" t="str">
        <f aca="false">IFERROR(VLOOKUP(C18,'Applicant Lookup'!$A$2:$F$2911,2,FALSE()),"Not found")</f>
        <v>Connie Jacobson</v>
      </c>
      <c r="E18" s="22" t="n">
        <v>28.2</v>
      </c>
      <c r="F18" s="22" t="n">
        <v>28.9</v>
      </c>
      <c r="G18" s="22" t="s">
        <v>11028</v>
      </c>
      <c r="H18" s="22" t="n">
        <f aca="false">COUNTIFS('Certificate Check'!$D$6:$D$7,C18,'Certificate Check'!$E$6:$E$7,F18,'Certificate Check'!$G$6:$G$7,B18,'Certificate Check'!$H$6:$H$7,"Y")</f>
        <v>0</v>
      </c>
      <c r="I18" s="22" t="str">
        <f aca="false">IF(H18&gt;0,"SUBSTANTIATED","UNSUBSTANTIATED")</f>
        <v>UNSUBSTANTIATED</v>
      </c>
      <c r="J18" s="22" t="n">
        <f aca="false">COUNTIFS('Skip Audit'!$D$6:$D$314,C18,'Skip Audit'!$C$6:$C$314,"&gt;="&amp;B18)</f>
        <v>0</v>
      </c>
      <c r="K18" s="22"/>
      <c r="L18" s="22" t="str">
        <f aca="false">IF(I18="SUBSTANTIATED","Compliant","No supplied signed certificate or yard measurement sheet")</f>
        <v>No supplied signed certificate or yard measurement sheet</v>
      </c>
      <c r="M18" s="22" t="str">
        <f aca="false">IF(I18="SUBSTANTIATED","",IF(J18&gt;0,"Priority 1","Priority 2"))</f>
        <v>Priority 2</v>
      </c>
      <c r="N18" s="22" t="s">
        <v>15</v>
      </c>
    </row>
    <row r="19" customFormat="false" ht="15" hidden="false" customHeight="false" outlineLevel="0" collapsed="false">
      <c r="A19" s="22" t="s">
        <v>11029</v>
      </c>
      <c r="B19" s="23" t="n">
        <v>44878</v>
      </c>
      <c r="C19" s="22" t="s">
        <v>3735</v>
      </c>
      <c r="D19" s="22" t="str">
        <f aca="false">IFERROR(VLOOKUP(C19,'Applicant Lookup'!$A$2:$F$2911,2,FALSE()),"Not found")</f>
        <v>Natalie Olsen</v>
      </c>
      <c r="E19" s="22" t="n">
        <v>41.9</v>
      </c>
      <c r="F19" s="22" t="n">
        <v>40.7</v>
      </c>
      <c r="G19" s="22" t="s">
        <v>11030</v>
      </c>
      <c r="H19" s="22" t="n">
        <f aca="false">COUNTIFS('Certificate Check'!$D$6:$D$7,C19,'Certificate Check'!$E$6:$E$7,F19,'Certificate Check'!$G$6:$G$7,B19,'Certificate Check'!$H$6:$H$7,"Y")</f>
        <v>0</v>
      </c>
      <c r="I19" s="22" t="str">
        <f aca="false">IF(H19&gt;0,"SUBSTANTIATED","UNSUBSTANTIATED")</f>
        <v>UNSUBSTANTIATED</v>
      </c>
      <c r="J19" s="22" t="n">
        <f aca="false">COUNTIFS('Skip Audit'!$D$6:$D$314,C19,'Skip Audit'!$C$6:$C$314,"&gt;="&amp;B19)</f>
        <v>0</v>
      </c>
      <c r="K19" s="22"/>
      <c r="L19" s="22" t="str">
        <f aca="false">IF(I19="SUBSTANTIATED","Compliant","No supplied signed certificate or yard measurement sheet")</f>
        <v>No supplied signed certificate or yard measurement sheet</v>
      </c>
      <c r="M19" s="22" t="str">
        <f aca="false">IF(I19="SUBSTANTIATED","",IF(J19&gt;0,"Priority 1","Priority 2"))</f>
        <v>Priority 2</v>
      </c>
      <c r="N19" s="22" t="s">
        <v>15</v>
      </c>
    </row>
    <row r="20" customFormat="false" ht="15" hidden="false" customHeight="false" outlineLevel="0" collapsed="false">
      <c r="A20" s="22" t="s">
        <v>11031</v>
      </c>
      <c r="B20" s="23" t="n">
        <v>44881</v>
      </c>
      <c r="C20" s="22" t="s">
        <v>2878</v>
      </c>
      <c r="D20" s="22" t="str">
        <f aca="false">IFERROR(VLOOKUP(C20,'Applicant Lookup'!$A$2:$F$2911,2,FALSE()),"Not found")</f>
        <v>Brittany Baldwin</v>
      </c>
      <c r="E20" s="22" t="n">
        <v>48.4</v>
      </c>
      <c r="F20" s="22" t="n">
        <v>47.3</v>
      </c>
      <c r="G20" s="22" t="s">
        <v>11015</v>
      </c>
      <c r="H20" s="22" t="n">
        <f aca="false">COUNTIFS('Certificate Check'!$D$6:$D$7,C20,'Certificate Check'!$E$6:$E$7,F20,'Certificate Check'!$G$6:$G$7,B20,'Certificate Check'!$H$6:$H$7,"Y")</f>
        <v>0</v>
      </c>
      <c r="I20" s="22" t="str">
        <f aca="false">IF(H20&gt;0,"SUBSTANTIATED","UNSUBSTANTIATED")</f>
        <v>UNSUBSTANTIATED</v>
      </c>
      <c r="J20" s="22" t="n">
        <f aca="false">COUNTIFS('Skip Audit'!$D$6:$D$314,C20,'Skip Audit'!$C$6:$C$314,"&gt;="&amp;B20)</f>
        <v>0</v>
      </c>
      <c r="K20" s="22"/>
      <c r="L20" s="22" t="str">
        <f aca="false">IF(I20="SUBSTANTIATED","Compliant","No supplied signed certificate or yard measurement sheet")</f>
        <v>No supplied signed certificate or yard measurement sheet</v>
      </c>
      <c r="M20" s="22" t="str">
        <f aca="false">IF(I20="SUBSTANTIATED","",IF(J20&gt;0,"Priority 1","Priority 2"))</f>
        <v>Priority 2</v>
      </c>
      <c r="N20" s="22" t="s">
        <v>15</v>
      </c>
    </row>
    <row r="21" customFormat="false" ht="15" hidden="false" customHeight="false" outlineLevel="0" collapsed="false">
      <c r="A21" s="22" t="s">
        <v>11032</v>
      </c>
      <c r="B21" s="23" t="n">
        <v>44881</v>
      </c>
      <c r="C21" s="22" t="s">
        <v>6011</v>
      </c>
      <c r="D21" s="22" t="str">
        <f aca="false">IFERROR(VLOOKUP(C21,'Applicant Lookup'!$A$2:$F$2911,2,FALSE()),"Not found")</f>
        <v>Amy Flores</v>
      </c>
      <c r="E21" s="22" t="n">
        <v>23</v>
      </c>
      <c r="F21" s="22" t="n">
        <v>24.8</v>
      </c>
      <c r="G21" s="22" t="s">
        <v>11033</v>
      </c>
      <c r="H21" s="22" t="n">
        <f aca="false">COUNTIFS('Certificate Check'!$D$6:$D$7,C21,'Certificate Check'!$E$6:$E$7,F21,'Certificate Check'!$G$6:$G$7,B21,'Certificate Check'!$H$6:$H$7,"Y")</f>
        <v>0</v>
      </c>
      <c r="I21" s="22" t="str">
        <f aca="false">IF(H21&gt;0,"SUBSTANTIATED","UNSUBSTANTIATED")</f>
        <v>UNSUBSTANTIATED</v>
      </c>
      <c r="J21" s="22" t="n">
        <f aca="false">COUNTIFS('Skip Audit'!$D$6:$D$314,C21,'Skip Audit'!$C$6:$C$314,"&gt;="&amp;B21)</f>
        <v>0</v>
      </c>
      <c r="K21" s="22"/>
      <c r="L21" s="22" t="str">
        <f aca="false">IF(I21="SUBSTANTIATED","Compliant","No supplied signed certificate or yard measurement sheet")</f>
        <v>No supplied signed certificate or yard measurement sheet</v>
      </c>
      <c r="M21" s="22" t="str">
        <f aca="false">IF(I21="SUBSTANTIATED","",IF(J21&gt;0,"Priority 1","Priority 2"))</f>
        <v>Priority 2</v>
      </c>
      <c r="N21" s="22" t="s">
        <v>15</v>
      </c>
    </row>
    <row r="22" customFormat="false" ht="15" hidden="false" customHeight="false" outlineLevel="0" collapsed="false">
      <c r="A22" s="22" t="s">
        <v>11034</v>
      </c>
      <c r="B22" s="23" t="n">
        <v>44889</v>
      </c>
      <c r="C22" s="22" t="s">
        <v>5437</v>
      </c>
      <c r="D22" s="22" t="str">
        <f aca="false">IFERROR(VLOOKUP(C22,'Applicant Lookup'!$A$2:$F$2911,2,FALSE()),"Not found")</f>
        <v>Edwin Jones</v>
      </c>
      <c r="E22" s="22" t="n">
        <v>37.5</v>
      </c>
      <c r="F22" s="22" t="n">
        <v>35.2</v>
      </c>
      <c r="G22" s="22" t="s">
        <v>11035</v>
      </c>
      <c r="H22" s="22" t="n">
        <f aca="false">COUNTIFS('Certificate Check'!$D$6:$D$7,C22,'Certificate Check'!$E$6:$E$7,F22,'Certificate Check'!$G$6:$G$7,B22,'Certificate Check'!$H$6:$H$7,"Y")</f>
        <v>0</v>
      </c>
      <c r="I22" s="22" t="str">
        <f aca="false">IF(H22&gt;0,"SUBSTANTIATED","UNSUBSTANTIATED")</f>
        <v>UNSUBSTANTIATED</v>
      </c>
      <c r="J22" s="22" t="n">
        <f aca="false">COUNTIFS('Skip Audit'!$D$6:$D$314,C22,'Skip Audit'!$C$6:$C$314,"&gt;="&amp;B22)</f>
        <v>0</v>
      </c>
      <c r="K22" s="22"/>
      <c r="L22" s="22" t="str">
        <f aca="false">IF(I22="SUBSTANTIATED","Compliant","No supplied signed certificate or yard measurement sheet")</f>
        <v>No supplied signed certificate or yard measurement sheet</v>
      </c>
      <c r="M22" s="22" t="str">
        <f aca="false">IF(I22="SUBSTANTIATED","",IF(J22&gt;0,"Priority 1","Priority 2"))</f>
        <v>Priority 2</v>
      </c>
      <c r="N22" s="22" t="s">
        <v>15</v>
      </c>
    </row>
    <row r="23" customFormat="false" ht="15" hidden="false" customHeight="false" outlineLevel="0" collapsed="false">
      <c r="A23" s="22" t="s">
        <v>11036</v>
      </c>
      <c r="B23" s="23" t="n">
        <v>44893</v>
      </c>
      <c r="C23" s="22" t="s">
        <v>6194</v>
      </c>
      <c r="D23" s="22" t="str">
        <f aca="false">IFERROR(VLOOKUP(C23,'Applicant Lookup'!$A$2:$F$2911,2,FALSE()),"Not found")</f>
        <v>Vanessa Crawford</v>
      </c>
      <c r="E23" s="22" t="n">
        <v>42.3</v>
      </c>
      <c r="F23" s="22" t="n">
        <v>44</v>
      </c>
      <c r="G23" s="22" t="s">
        <v>11037</v>
      </c>
      <c r="H23" s="22" t="n">
        <f aca="false">COUNTIFS('Certificate Check'!$D$6:$D$7,C23,'Certificate Check'!$E$6:$E$7,F23,'Certificate Check'!$G$6:$G$7,B23,'Certificate Check'!$H$6:$H$7,"Y")</f>
        <v>0</v>
      </c>
      <c r="I23" s="22" t="str">
        <f aca="false">IF(H23&gt;0,"SUBSTANTIATED","UNSUBSTANTIATED")</f>
        <v>UNSUBSTANTIATED</v>
      </c>
      <c r="J23" s="22" t="n">
        <f aca="false">COUNTIFS('Skip Audit'!$D$6:$D$314,C23,'Skip Audit'!$C$6:$C$314,"&gt;="&amp;B23)</f>
        <v>0</v>
      </c>
      <c r="K23" s="22"/>
      <c r="L23" s="22" t="str">
        <f aca="false">IF(I23="SUBSTANTIATED","Compliant","No supplied signed certificate or yard measurement sheet")</f>
        <v>No supplied signed certificate or yard measurement sheet</v>
      </c>
      <c r="M23" s="22" t="str">
        <f aca="false">IF(I23="SUBSTANTIATED","",IF(J23&gt;0,"Priority 1","Priority 2"))</f>
        <v>Priority 2</v>
      </c>
      <c r="N23" s="22" t="s">
        <v>15</v>
      </c>
    </row>
    <row r="24" customFormat="false" ht="15" hidden="false" customHeight="false" outlineLevel="0" collapsed="false">
      <c r="A24" s="22" t="s">
        <v>11038</v>
      </c>
      <c r="B24" s="23" t="n">
        <v>44895</v>
      </c>
      <c r="C24" s="22" t="s">
        <v>6255</v>
      </c>
      <c r="D24" s="22" t="str">
        <f aca="false">IFERROR(VLOOKUP(C24,'Applicant Lookup'!$A$2:$F$2911,2,FALSE()),"Not found")</f>
        <v>Sean Cherry</v>
      </c>
      <c r="E24" s="22" t="n">
        <v>53.2</v>
      </c>
      <c r="F24" s="22" t="n">
        <v>51.4</v>
      </c>
      <c r="G24" s="22" t="s">
        <v>11039</v>
      </c>
      <c r="H24" s="22" t="n">
        <f aca="false">COUNTIFS('Certificate Check'!$D$6:$D$7,C24,'Certificate Check'!$E$6:$E$7,F24,'Certificate Check'!$G$6:$G$7,B24,'Certificate Check'!$H$6:$H$7,"Y")</f>
        <v>0</v>
      </c>
      <c r="I24" s="22" t="str">
        <f aca="false">IF(H24&gt;0,"SUBSTANTIATED","UNSUBSTANTIATED")</f>
        <v>UNSUBSTANTIATED</v>
      </c>
      <c r="J24" s="22" t="n">
        <f aca="false">COUNTIFS('Skip Audit'!$D$6:$D$314,C24,'Skip Audit'!$C$6:$C$314,"&gt;="&amp;B24)</f>
        <v>1</v>
      </c>
      <c r="K24" s="22" t="s">
        <v>10642</v>
      </c>
      <c r="L24" s="22" t="str">
        <f aca="false">IF(I24="SUBSTANTIATED","Compliant","No supplied signed certificate or yard measurement sheet")</f>
        <v>No supplied signed certificate or yard measurement sheet</v>
      </c>
      <c r="M24" s="22" t="str">
        <f aca="false">IF(I24="SUBSTANTIATED","",IF(J24&gt;0,"Priority 1","Priority 2"))</f>
        <v>Priority 1</v>
      </c>
      <c r="N24" s="22" t="s">
        <v>15</v>
      </c>
    </row>
    <row r="25" customFormat="false" ht="15" hidden="false" customHeight="false" outlineLevel="0" collapsed="false">
      <c r="A25" s="22" t="s">
        <v>11040</v>
      </c>
      <c r="B25" s="23" t="n">
        <v>44897</v>
      </c>
      <c r="C25" s="22" t="s">
        <v>2718</v>
      </c>
      <c r="D25" s="22" t="str">
        <f aca="false">IFERROR(VLOOKUP(C25,'Applicant Lookup'!$A$2:$F$2911,2,FALSE()),"Not found")</f>
        <v>Susan Miller</v>
      </c>
      <c r="E25" s="22" t="n">
        <v>23.5</v>
      </c>
      <c r="F25" s="22" t="n">
        <v>23.5</v>
      </c>
      <c r="G25" s="22" t="s">
        <v>11041</v>
      </c>
      <c r="H25" s="22" t="n">
        <f aca="false">COUNTIFS('Certificate Check'!$D$6:$D$7,C25,'Certificate Check'!$E$6:$E$7,F25,'Certificate Check'!$G$6:$G$7,B25,'Certificate Check'!$H$6:$H$7,"Y")</f>
        <v>0</v>
      </c>
      <c r="I25" s="22" t="str">
        <f aca="false">IF(H25&gt;0,"SUBSTANTIATED","UNSUBSTANTIATED")</f>
        <v>UNSUBSTANTIATED</v>
      </c>
      <c r="J25" s="22" t="n">
        <f aca="false">COUNTIFS('Skip Audit'!$D$6:$D$314,C25,'Skip Audit'!$C$6:$C$314,"&gt;="&amp;B25)</f>
        <v>0</v>
      </c>
      <c r="K25" s="22"/>
      <c r="L25" s="22" t="str">
        <f aca="false">IF(I25="SUBSTANTIATED","Compliant","No supplied signed certificate or yard measurement sheet")</f>
        <v>No supplied signed certificate or yard measurement sheet</v>
      </c>
      <c r="M25" s="22" t="str">
        <f aca="false">IF(I25="SUBSTANTIATED","",IF(J25&gt;0,"Priority 1","Priority 2"))</f>
        <v>Priority 2</v>
      </c>
      <c r="N25" s="22" t="s">
        <v>15</v>
      </c>
    </row>
    <row r="26" customFormat="false" ht="15" hidden="false" customHeight="false" outlineLevel="0" collapsed="false">
      <c r="A26" s="22" t="s">
        <v>11042</v>
      </c>
      <c r="B26" s="23" t="n">
        <v>44915</v>
      </c>
      <c r="C26" s="22" t="s">
        <v>6005</v>
      </c>
      <c r="D26" s="22" t="str">
        <f aca="false">IFERROR(VLOOKUP(C26,'Applicant Lookup'!$A$2:$F$2911,2,FALSE()),"Not found")</f>
        <v>Keith Powell</v>
      </c>
      <c r="E26" s="22" t="n">
        <v>30.8</v>
      </c>
      <c r="F26" s="22" t="n">
        <v>33.4</v>
      </c>
      <c r="G26" s="22" t="s">
        <v>11043</v>
      </c>
      <c r="H26" s="22" t="n">
        <f aca="false">COUNTIFS('Certificate Check'!$D$6:$D$7,C26,'Certificate Check'!$E$6:$E$7,F26,'Certificate Check'!$G$6:$G$7,B26,'Certificate Check'!$H$6:$H$7,"Y")</f>
        <v>0</v>
      </c>
      <c r="I26" s="22" t="str">
        <f aca="false">IF(H26&gt;0,"SUBSTANTIATED","UNSUBSTANTIATED")</f>
        <v>UNSUBSTANTIATED</v>
      </c>
      <c r="J26" s="22" t="n">
        <f aca="false">COUNTIFS('Skip Audit'!$D$6:$D$314,C26,'Skip Audit'!$C$6:$C$314,"&gt;="&amp;B26)</f>
        <v>0</v>
      </c>
      <c r="K26" s="22"/>
      <c r="L26" s="22" t="str">
        <f aca="false">IF(I26="SUBSTANTIATED","Compliant","No supplied signed certificate or yard measurement sheet")</f>
        <v>No supplied signed certificate or yard measurement sheet</v>
      </c>
      <c r="M26" s="22" t="str">
        <f aca="false">IF(I26="SUBSTANTIATED","",IF(J26&gt;0,"Priority 1","Priority 2"))</f>
        <v>Priority 2</v>
      </c>
      <c r="N26" s="22" t="s">
        <v>15</v>
      </c>
    </row>
    <row r="27" customFormat="false" ht="15" hidden="false" customHeight="false" outlineLevel="0" collapsed="false">
      <c r="A27" s="22" t="s">
        <v>11044</v>
      </c>
      <c r="B27" s="23" t="n">
        <v>44916</v>
      </c>
      <c r="C27" s="22" t="s">
        <v>3317</v>
      </c>
      <c r="D27" s="22" t="str">
        <f aca="false">IFERROR(VLOOKUP(C27,'Applicant Lookup'!$A$2:$F$2911,2,FALSE()),"Not found")</f>
        <v>Timothy Brown</v>
      </c>
      <c r="E27" s="22" t="n">
        <v>32.1</v>
      </c>
      <c r="F27" s="22" t="n">
        <v>29.7</v>
      </c>
      <c r="G27" s="22" t="s">
        <v>11045</v>
      </c>
      <c r="H27" s="22" t="n">
        <f aca="false">COUNTIFS('Certificate Check'!$D$6:$D$7,C27,'Certificate Check'!$E$6:$E$7,F27,'Certificate Check'!$G$6:$G$7,B27,'Certificate Check'!$H$6:$H$7,"Y")</f>
        <v>0</v>
      </c>
      <c r="I27" s="22" t="str">
        <f aca="false">IF(H27&gt;0,"SUBSTANTIATED","UNSUBSTANTIATED")</f>
        <v>UNSUBSTANTIATED</v>
      </c>
      <c r="J27" s="22" t="n">
        <f aca="false">COUNTIFS('Skip Audit'!$D$6:$D$314,C27,'Skip Audit'!$C$6:$C$314,"&gt;="&amp;B27)</f>
        <v>0</v>
      </c>
      <c r="K27" s="22"/>
      <c r="L27" s="22" t="str">
        <f aca="false">IF(I27="SUBSTANTIATED","Compliant","No supplied signed certificate or yard measurement sheet")</f>
        <v>No supplied signed certificate or yard measurement sheet</v>
      </c>
      <c r="M27" s="22" t="str">
        <f aca="false">IF(I27="SUBSTANTIATED","",IF(J27&gt;0,"Priority 1","Priority 2"))</f>
        <v>Priority 2</v>
      </c>
      <c r="N27" s="22" t="s">
        <v>15</v>
      </c>
    </row>
    <row r="28" customFormat="false" ht="15" hidden="false" customHeight="false" outlineLevel="0" collapsed="false">
      <c r="A28" s="22" t="s">
        <v>11046</v>
      </c>
      <c r="B28" s="23" t="n">
        <v>44921</v>
      </c>
      <c r="C28" s="22" t="s">
        <v>4643</v>
      </c>
      <c r="D28" s="22" t="str">
        <f aca="false">IFERROR(VLOOKUP(C28,'Applicant Lookup'!$A$2:$F$2911,2,FALSE()),"Not found")</f>
        <v>Jeanne Montgomery</v>
      </c>
      <c r="E28" s="22" t="n">
        <v>50.6</v>
      </c>
      <c r="F28" s="22" t="n">
        <v>48.9</v>
      </c>
      <c r="G28" s="22" t="s">
        <v>11047</v>
      </c>
      <c r="H28" s="22" t="n">
        <f aca="false">COUNTIFS('Certificate Check'!$D$6:$D$7,C28,'Certificate Check'!$E$6:$E$7,F28,'Certificate Check'!$G$6:$G$7,B28,'Certificate Check'!$H$6:$H$7,"Y")</f>
        <v>0</v>
      </c>
      <c r="I28" s="22" t="str">
        <f aca="false">IF(H28&gt;0,"SUBSTANTIATED","UNSUBSTANTIATED")</f>
        <v>UNSUBSTANTIATED</v>
      </c>
      <c r="J28" s="22" t="n">
        <f aca="false">COUNTIFS('Skip Audit'!$D$6:$D$314,C28,'Skip Audit'!$C$6:$C$314,"&gt;="&amp;B28)</f>
        <v>0</v>
      </c>
      <c r="K28" s="22"/>
      <c r="L28" s="22" t="str">
        <f aca="false">IF(I28="SUBSTANTIATED","Compliant","No supplied signed certificate or yard measurement sheet")</f>
        <v>No supplied signed certificate or yard measurement sheet</v>
      </c>
      <c r="M28" s="22" t="str">
        <f aca="false">IF(I28="SUBSTANTIATED","",IF(J28&gt;0,"Priority 1","Priority 2"))</f>
        <v>Priority 2</v>
      </c>
      <c r="N28" s="22" t="s">
        <v>15</v>
      </c>
    </row>
    <row r="29" customFormat="false" ht="15" hidden="false" customHeight="false" outlineLevel="0" collapsed="false">
      <c r="A29" s="22" t="s">
        <v>11048</v>
      </c>
      <c r="B29" s="23" t="n">
        <v>44925</v>
      </c>
      <c r="C29" s="22" t="s">
        <v>5288</v>
      </c>
      <c r="D29" s="22" t="str">
        <f aca="false">IFERROR(VLOOKUP(C29,'Applicant Lookup'!$A$2:$F$2911,2,FALSE()),"Not found")</f>
        <v>Brenda Matthews</v>
      </c>
      <c r="E29" s="22" t="n">
        <v>26.3</v>
      </c>
      <c r="F29" s="22" t="n">
        <v>27.5</v>
      </c>
      <c r="G29" s="22" t="s">
        <v>11049</v>
      </c>
      <c r="H29" s="22" t="n">
        <f aca="false">COUNTIFS('Certificate Check'!$D$6:$D$7,C29,'Certificate Check'!$E$6:$E$7,F29,'Certificate Check'!$G$6:$G$7,B29,'Certificate Check'!$H$6:$H$7,"Y")</f>
        <v>0</v>
      </c>
      <c r="I29" s="22" t="str">
        <f aca="false">IF(H29&gt;0,"SUBSTANTIATED","UNSUBSTANTIATED")</f>
        <v>UNSUBSTANTIATED</v>
      </c>
      <c r="J29" s="22" t="n">
        <f aca="false">COUNTIFS('Skip Audit'!$D$6:$D$314,C29,'Skip Audit'!$C$6:$C$314,"&gt;="&amp;B29)</f>
        <v>0</v>
      </c>
      <c r="K29" s="22"/>
      <c r="L29" s="22" t="str">
        <f aca="false">IF(I29="SUBSTANTIATED","Compliant","No supplied signed certificate or yard measurement sheet")</f>
        <v>No supplied signed certificate or yard measurement sheet</v>
      </c>
      <c r="M29" s="22" t="str">
        <f aca="false">IF(I29="SUBSTANTIATED","",IF(J29&gt;0,"Priority 1","Priority 2"))</f>
        <v>Priority 2</v>
      </c>
      <c r="N29" s="22" t="s">
        <v>15</v>
      </c>
    </row>
    <row r="30" customFormat="false" ht="15" hidden="false" customHeight="false" outlineLevel="0" collapsed="false">
      <c r="A30" s="22" t="s">
        <v>11050</v>
      </c>
      <c r="B30" s="23" t="n">
        <v>44927</v>
      </c>
      <c r="C30" s="22" t="s">
        <v>6500</v>
      </c>
      <c r="D30" s="22" t="str">
        <f aca="false">IFERROR(VLOOKUP(C30,'Applicant Lookup'!$A$2:$F$2911,2,FALSE()),"Not found")</f>
        <v>Priscilla Gallegos</v>
      </c>
      <c r="E30" s="22" t="n">
        <v>23.8</v>
      </c>
      <c r="F30" s="22" t="n">
        <v>24</v>
      </c>
      <c r="G30" s="22" t="s">
        <v>11051</v>
      </c>
      <c r="H30" s="22" t="n">
        <f aca="false">COUNTIFS('Certificate Check'!$D$6:$D$7,C30,'Certificate Check'!$E$6:$E$7,F30,'Certificate Check'!$G$6:$G$7,B30,'Certificate Check'!$H$6:$H$7,"Y")</f>
        <v>0</v>
      </c>
      <c r="I30" s="22" t="str">
        <f aca="false">IF(H30&gt;0,"SUBSTANTIATED","UNSUBSTANTIATED")</f>
        <v>UNSUBSTANTIATED</v>
      </c>
      <c r="J30" s="22" t="n">
        <f aca="false">COUNTIFS('Skip Audit'!$D$6:$D$314,C30,'Skip Audit'!$C$6:$C$314,"&gt;="&amp;B30)</f>
        <v>0</v>
      </c>
      <c r="K30" s="22"/>
      <c r="L30" s="22" t="str">
        <f aca="false">IF(I30="SUBSTANTIATED","Compliant","No supplied signed certificate or yard measurement sheet")</f>
        <v>No supplied signed certificate or yard measurement sheet</v>
      </c>
      <c r="M30" s="22" t="str">
        <f aca="false">IF(I30="SUBSTANTIATED","",IF(J30&gt;0,"Priority 1","Priority 2"))</f>
        <v>Priority 2</v>
      </c>
      <c r="N30" s="22" t="s">
        <v>15</v>
      </c>
    </row>
    <row r="31" customFormat="false" ht="15" hidden="false" customHeight="false" outlineLevel="0" collapsed="false">
      <c r="A31" s="22" t="s">
        <v>11052</v>
      </c>
      <c r="B31" s="23" t="n">
        <v>44948</v>
      </c>
      <c r="C31" s="22" t="s">
        <v>4166</v>
      </c>
      <c r="D31" s="22" t="str">
        <f aca="false">IFERROR(VLOOKUP(C31,'Applicant Lookup'!$A$2:$F$2911,2,FALSE()),"Not found")</f>
        <v>Benjamin Hawkins</v>
      </c>
      <c r="E31" s="22" t="n">
        <v>45.4</v>
      </c>
      <c r="F31" s="22" t="n">
        <v>44.5</v>
      </c>
      <c r="G31" s="22" t="s">
        <v>11053</v>
      </c>
      <c r="H31" s="22" t="n">
        <f aca="false">COUNTIFS('Certificate Check'!$D$6:$D$7,C31,'Certificate Check'!$E$6:$E$7,F31,'Certificate Check'!$G$6:$G$7,B31,'Certificate Check'!$H$6:$H$7,"Y")</f>
        <v>0</v>
      </c>
      <c r="I31" s="22" t="str">
        <f aca="false">IF(H31&gt;0,"SUBSTANTIATED","UNSUBSTANTIATED")</f>
        <v>UNSUBSTANTIATED</v>
      </c>
      <c r="J31" s="22" t="n">
        <f aca="false">COUNTIFS('Skip Audit'!$D$6:$D$314,C31,'Skip Audit'!$C$6:$C$314,"&gt;="&amp;B31)</f>
        <v>0</v>
      </c>
      <c r="K31" s="22"/>
      <c r="L31" s="22" t="str">
        <f aca="false">IF(I31="SUBSTANTIATED","Compliant","No supplied signed certificate or yard measurement sheet")</f>
        <v>No supplied signed certificate or yard measurement sheet</v>
      </c>
      <c r="M31" s="22" t="str">
        <f aca="false">IF(I31="SUBSTANTIATED","",IF(J31&gt;0,"Priority 1","Priority 2"))</f>
        <v>Priority 2</v>
      </c>
      <c r="N31" s="22" t="s">
        <v>15</v>
      </c>
    </row>
    <row r="32" customFormat="false" ht="15" hidden="false" customHeight="false" outlineLevel="0" collapsed="false">
      <c r="A32" s="22" t="s">
        <v>11054</v>
      </c>
      <c r="B32" s="23" t="n">
        <v>44960</v>
      </c>
      <c r="C32" s="22" t="s">
        <v>5597</v>
      </c>
      <c r="D32" s="22" t="str">
        <f aca="false">IFERROR(VLOOKUP(C32,'Applicant Lookup'!$A$2:$F$2911,2,FALSE()),"Not found")</f>
        <v>Daniel Perez</v>
      </c>
      <c r="E32" s="22" t="n">
        <v>20.4</v>
      </c>
      <c r="F32" s="22" t="n">
        <v>23.1</v>
      </c>
      <c r="G32" s="22" t="s">
        <v>11055</v>
      </c>
      <c r="H32" s="22" t="n">
        <f aca="false">COUNTIFS('Certificate Check'!$D$6:$D$7,C32,'Certificate Check'!$E$6:$E$7,F32,'Certificate Check'!$G$6:$G$7,B32,'Certificate Check'!$H$6:$H$7,"Y")</f>
        <v>0</v>
      </c>
      <c r="I32" s="22" t="str">
        <f aca="false">IF(H32&gt;0,"SUBSTANTIATED","UNSUBSTANTIATED")</f>
        <v>UNSUBSTANTIATED</v>
      </c>
      <c r="J32" s="22" t="n">
        <f aca="false">COUNTIFS('Skip Audit'!$D$6:$D$314,C32,'Skip Audit'!$C$6:$C$314,"&gt;="&amp;B32)</f>
        <v>0</v>
      </c>
      <c r="K32" s="22"/>
      <c r="L32" s="22" t="str">
        <f aca="false">IF(I32="SUBSTANTIATED","Compliant","No supplied signed certificate or yard measurement sheet")</f>
        <v>No supplied signed certificate or yard measurement sheet</v>
      </c>
      <c r="M32" s="22" t="str">
        <f aca="false">IF(I32="SUBSTANTIATED","",IF(J32&gt;0,"Priority 1","Priority 2"))</f>
        <v>Priority 2</v>
      </c>
      <c r="N32" s="22" t="s">
        <v>15</v>
      </c>
    </row>
    <row r="33" customFormat="false" ht="15" hidden="false" customHeight="false" outlineLevel="0" collapsed="false">
      <c r="A33" s="22" t="s">
        <v>11056</v>
      </c>
      <c r="B33" s="23" t="n">
        <v>44960</v>
      </c>
      <c r="C33" s="22" t="s">
        <v>2076</v>
      </c>
      <c r="D33" s="22" t="str">
        <f aca="false">IFERROR(VLOOKUP(C33,'Applicant Lookup'!$A$2:$F$2911,2,FALSE()),"Not found")</f>
        <v>Elizabeth Ward</v>
      </c>
      <c r="E33" s="22" t="n">
        <v>53.7</v>
      </c>
      <c r="F33" s="22" t="n">
        <v>54.4</v>
      </c>
      <c r="G33" s="22" t="s">
        <v>11057</v>
      </c>
      <c r="H33" s="22" t="n">
        <f aca="false">COUNTIFS('Certificate Check'!$D$6:$D$7,C33,'Certificate Check'!$E$6:$E$7,F33,'Certificate Check'!$G$6:$G$7,B33,'Certificate Check'!$H$6:$H$7,"Y")</f>
        <v>0</v>
      </c>
      <c r="I33" s="22" t="str">
        <f aca="false">IF(H33&gt;0,"SUBSTANTIATED","UNSUBSTANTIATED")</f>
        <v>UNSUBSTANTIATED</v>
      </c>
      <c r="J33" s="22" t="n">
        <f aca="false">COUNTIFS('Skip Audit'!$D$6:$D$314,C33,'Skip Audit'!$C$6:$C$314,"&gt;="&amp;B33)</f>
        <v>1</v>
      </c>
      <c r="K33" s="22" t="s">
        <v>10671</v>
      </c>
      <c r="L33" s="22" t="str">
        <f aca="false">IF(I33="SUBSTANTIATED","Compliant","No supplied signed certificate or yard measurement sheet")</f>
        <v>No supplied signed certificate or yard measurement sheet</v>
      </c>
      <c r="M33" s="22" t="str">
        <f aca="false">IF(I33="SUBSTANTIATED","",IF(J33&gt;0,"Priority 1","Priority 2"))</f>
        <v>Priority 1</v>
      </c>
      <c r="N33" s="22" t="s">
        <v>15</v>
      </c>
    </row>
    <row r="34" customFormat="false" ht="15" hidden="false" customHeight="false" outlineLevel="0" collapsed="false">
      <c r="A34" s="22" t="s">
        <v>11058</v>
      </c>
      <c r="B34" s="23" t="n">
        <v>44996</v>
      </c>
      <c r="C34" s="22" t="s">
        <v>4964</v>
      </c>
      <c r="D34" s="22" t="str">
        <f aca="false">IFERROR(VLOOKUP(C34,'Applicant Lookup'!$A$2:$F$2911,2,FALSE()),"Not found")</f>
        <v>Ariel Bray</v>
      </c>
      <c r="E34" s="22" t="n">
        <v>53.7</v>
      </c>
      <c r="F34" s="22" t="n">
        <v>51.8</v>
      </c>
      <c r="G34" s="22" t="s">
        <v>11059</v>
      </c>
      <c r="H34" s="22" t="n">
        <f aca="false">COUNTIFS('Certificate Check'!$D$6:$D$7,C34,'Certificate Check'!$E$6:$E$7,F34,'Certificate Check'!$G$6:$G$7,B34,'Certificate Check'!$H$6:$H$7,"Y")</f>
        <v>0</v>
      </c>
      <c r="I34" s="22" t="str">
        <f aca="false">IF(H34&gt;0,"SUBSTANTIATED","UNSUBSTANTIATED")</f>
        <v>UNSUBSTANTIATED</v>
      </c>
      <c r="J34" s="22" t="n">
        <f aca="false">COUNTIFS('Skip Audit'!$D$6:$D$314,C34,'Skip Audit'!$C$6:$C$314,"&gt;="&amp;B34)</f>
        <v>0</v>
      </c>
      <c r="K34" s="22"/>
      <c r="L34" s="22" t="str">
        <f aca="false">IF(I34="SUBSTANTIATED","Compliant","No supplied signed certificate or yard measurement sheet")</f>
        <v>No supplied signed certificate or yard measurement sheet</v>
      </c>
      <c r="M34" s="22" t="str">
        <f aca="false">IF(I34="SUBSTANTIATED","",IF(J34&gt;0,"Priority 1","Priority 2"))</f>
        <v>Priority 2</v>
      </c>
      <c r="N34" s="22" t="s">
        <v>15</v>
      </c>
    </row>
    <row r="35" customFormat="false" ht="15" hidden="false" customHeight="false" outlineLevel="0" collapsed="false">
      <c r="A35" s="22" t="s">
        <v>11060</v>
      </c>
      <c r="B35" s="23" t="n">
        <v>44999</v>
      </c>
      <c r="C35" s="22" t="s">
        <v>5973</v>
      </c>
      <c r="D35" s="22" t="str">
        <f aca="false">IFERROR(VLOOKUP(C35,'Applicant Lookup'!$A$2:$F$2911,2,FALSE()),"Not found")</f>
        <v>Kimberly Vaughan</v>
      </c>
      <c r="E35" s="22" t="n">
        <v>25.5</v>
      </c>
      <c r="F35" s="22" t="n">
        <v>26.7</v>
      </c>
      <c r="G35" s="22" t="s">
        <v>11043</v>
      </c>
      <c r="H35" s="22" t="n">
        <f aca="false">COUNTIFS('Certificate Check'!$D$6:$D$7,C35,'Certificate Check'!$E$6:$E$7,F35,'Certificate Check'!$G$6:$G$7,B35,'Certificate Check'!$H$6:$H$7,"Y")</f>
        <v>0</v>
      </c>
      <c r="I35" s="22" t="str">
        <f aca="false">IF(H35&gt;0,"SUBSTANTIATED","UNSUBSTANTIATED")</f>
        <v>UNSUBSTANTIATED</v>
      </c>
      <c r="J35" s="22" t="n">
        <f aca="false">COUNTIFS('Skip Audit'!$D$6:$D$314,C35,'Skip Audit'!$C$6:$C$314,"&gt;="&amp;B35)</f>
        <v>0</v>
      </c>
      <c r="K35" s="22"/>
      <c r="L35" s="22" t="str">
        <f aca="false">IF(I35="SUBSTANTIATED","Compliant","No supplied signed certificate or yard measurement sheet")</f>
        <v>No supplied signed certificate or yard measurement sheet</v>
      </c>
      <c r="M35" s="22" t="str">
        <f aca="false">IF(I35="SUBSTANTIATED","",IF(J35&gt;0,"Priority 1","Priority 2"))</f>
        <v>Priority 2</v>
      </c>
      <c r="N35" s="22" t="s">
        <v>15</v>
      </c>
    </row>
    <row r="36" customFormat="false" ht="15" hidden="false" customHeight="false" outlineLevel="0" collapsed="false">
      <c r="A36" s="22" t="s">
        <v>11061</v>
      </c>
      <c r="B36" s="23" t="n">
        <v>45010</v>
      </c>
      <c r="C36" s="22" t="s">
        <v>1903</v>
      </c>
      <c r="D36" s="22" t="str">
        <f aca="false">IFERROR(VLOOKUP(C36,'Applicant Lookup'!$A$2:$F$2911,2,FALSE()),"Not found")</f>
        <v>Benjamin Larsen</v>
      </c>
      <c r="E36" s="22" t="n">
        <v>28.8</v>
      </c>
      <c r="F36" s="22" t="n">
        <v>29.6</v>
      </c>
      <c r="G36" s="22" t="s">
        <v>11062</v>
      </c>
      <c r="H36" s="22" t="n">
        <f aca="false">COUNTIFS('Certificate Check'!$D$6:$D$7,C36,'Certificate Check'!$E$6:$E$7,F36,'Certificate Check'!$G$6:$G$7,B36,'Certificate Check'!$H$6:$H$7,"Y")</f>
        <v>0</v>
      </c>
      <c r="I36" s="22" t="str">
        <f aca="false">IF(H36&gt;0,"SUBSTANTIATED","UNSUBSTANTIATED")</f>
        <v>UNSUBSTANTIATED</v>
      </c>
      <c r="J36" s="22" t="n">
        <f aca="false">COUNTIFS('Skip Audit'!$D$6:$D$314,C36,'Skip Audit'!$C$6:$C$314,"&gt;="&amp;B36)</f>
        <v>0</v>
      </c>
      <c r="K36" s="22"/>
      <c r="L36" s="22" t="str">
        <f aca="false">IF(I36="SUBSTANTIATED","Compliant","No supplied signed certificate or yard measurement sheet")</f>
        <v>No supplied signed certificate or yard measurement sheet</v>
      </c>
      <c r="M36" s="22" t="str">
        <f aca="false">IF(I36="SUBSTANTIATED","",IF(J36&gt;0,"Priority 1","Priority 2"))</f>
        <v>Priority 2</v>
      </c>
      <c r="N36" s="22" t="s">
        <v>15</v>
      </c>
    </row>
    <row r="37" customFormat="false" ht="15" hidden="false" customHeight="false" outlineLevel="0" collapsed="false">
      <c r="A37" s="22" t="s">
        <v>11063</v>
      </c>
      <c r="B37" s="23" t="n">
        <v>45023</v>
      </c>
      <c r="C37" s="22" t="s">
        <v>4107</v>
      </c>
      <c r="D37" s="22" t="str">
        <f aca="false">IFERROR(VLOOKUP(C37,'Applicant Lookup'!$A$2:$F$2911,2,FALSE()),"Not found")</f>
        <v>Anthony Hamilton</v>
      </c>
      <c r="E37" s="22" t="n">
        <v>52.1</v>
      </c>
      <c r="F37" s="22" t="n">
        <v>52.5</v>
      </c>
      <c r="G37" s="22" t="s">
        <v>11064</v>
      </c>
      <c r="H37" s="22" t="n">
        <f aca="false">COUNTIFS('Certificate Check'!$D$6:$D$7,C37,'Certificate Check'!$E$6:$E$7,F37,'Certificate Check'!$G$6:$G$7,B37,'Certificate Check'!$H$6:$H$7,"Y")</f>
        <v>0</v>
      </c>
      <c r="I37" s="22" t="str">
        <f aca="false">IF(H37&gt;0,"SUBSTANTIATED","UNSUBSTANTIATED")</f>
        <v>UNSUBSTANTIATED</v>
      </c>
      <c r="J37" s="22" t="n">
        <f aca="false">COUNTIFS('Skip Audit'!$D$6:$D$314,C37,'Skip Audit'!$C$6:$C$314,"&gt;="&amp;B37)</f>
        <v>0</v>
      </c>
      <c r="K37" s="22"/>
      <c r="L37" s="22" t="str">
        <f aca="false">IF(I37="SUBSTANTIATED","Compliant","No supplied signed certificate or yard measurement sheet")</f>
        <v>No supplied signed certificate or yard measurement sheet</v>
      </c>
      <c r="M37" s="22" t="str">
        <f aca="false">IF(I37="SUBSTANTIATED","",IF(J37&gt;0,"Priority 1","Priority 2"))</f>
        <v>Priority 2</v>
      </c>
      <c r="N37" s="22" t="s">
        <v>15</v>
      </c>
    </row>
    <row r="38" customFormat="false" ht="15" hidden="false" customHeight="false" outlineLevel="0" collapsed="false">
      <c r="A38" s="22" t="s">
        <v>11065</v>
      </c>
      <c r="B38" s="23" t="n">
        <v>45038</v>
      </c>
      <c r="C38" s="22" t="s">
        <v>1349</v>
      </c>
      <c r="D38" s="22" t="str">
        <f aca="false">IFERROR(VLOOKUP(C38,'Applicant Lookup'!$A$2:$F$2911,2,FALSE()),"Not found")</f>
        <v>Angela Whitehead</v>
      </c>
      <c r="E38" s="22" t="n">
        <v>21.7</v>
      </c>
      <c r="F38" s="22" t="n">
        <v>21.3</v>
      </c>
      <c r="G38" s="22" t="s">
        <v>11066</v>
      </c>
      <c r="H38" s="22" t="n">
        <f aca="false">COUNTIFS('Certificate Check'!$D$6:$D$7,C38,'Certificate Check'!$E$6:$E$7,F38,'Certificate Check'!$G$6:$G$7,B38,'Certificate Check'!$H$6:$H$7,"Y")</f>
        <v>0</v>
      </c>
      <c r="I38" s="22" t="str">
        <f aca="false">IF(H38&gt;0,"SUBSTANTIATED","UNSUBSTANTIATED")</f>
        <v>UNSUBSTANTIATED</v>
      </c>
      <c r="J38" s="22" t="n">
        <f aca="false">COUNTIFS('Skip Audit'!$D$6:$D$314,C38,'Skip Audit'!$C$6:$C$314,"&gt;="&amp;B38)</f>
        <v>0</v>
      </c>
      <c r="K38" s="22"/>
      <c r="L38" s="22" t="str">
        <f aca="false">IF(I38="SUBSTANTIATED","Compliant","No supplied signed certificate or yard measurement sheet")</f>
        <v>No supplied signed certificate or yard measurement sheet</v>
      </c>
      <c r="M38" s="22" t="str">
        <f aca="false">IF(I38="SUBSTANTIATED","",IF(J38&gt;0,"Priority 1","Priority 2"))</f>
        <v>Priority 2</v>
      </c>
      <c r="N38" s="22" t="s">
        <v>15</v>
      </c>
    </row>
    <row r="39" customFormat="false" ht="15" hidden="false" customHeight="false" outlineLevel="0" collapsed="false">
      <c r="A39" s="22" t="s">
        <v>11067</v>
      </c>
      <c r="B39" s="23" t="n">
        <v>45050</v>
      </c>
      <c r="C39" s="22" t="s">
        <v>3701</v>
      </c>
      <c r="D39" s="22" t="str">
        <f aca="false">IFERROR(VLOOKUP(C39,'Applicant Lookup'!$A$2:$F$2911,2,FALSE()),"Not found")</f>
        <v>Larry Mitchell</v>
      </c>
      <c r="E39" s="22" t="n">
        <v>24.2</v>
      </c>
      <c r="F39" s="22" t="n">
        <v>24.3</v>
      </c>
      <c r="G39" s="22"/>
      <c r="H39" s="22" t="n">
        <f aca="false">COUNTIFS('Certificate Check'!$D$6:$D$7,C39,'Certificate Check'!$E$6:$E$7,F39,'Certificate Check'!$G$6:$G$7,B39,'Certificate Check'!$H$6:$H$7,"Y")</f>
        <v>0</v>
      </c>
      <c r="I39" s="22" t="str">
        <f aca="false">IF(H39&gt;0,"SUBSTANTIATED","UNSUBSTANTIATED")</f>
        <v>UNSUBSTANTIATED</v>
      </c>
      <c r="J39" s="22" t="n">
        <f aca="false">COUNTIFS('Skip Audit'!$D$6:$D$314,C39,'Skip Audit'!$C$6:$C$314,"&gt;="&amp;B39)</f>
        <v>0</v>
      </c>
      <c r="K39" s="22"/>
      <c r="L39" s="22" t="str">
        <f aca="false">IF(I39="SUBSTANTIATED","Compliant","No supplied signed certificate or yard measurement sheet")</f>
        <v>No supplied signed certificate or yard measurement sheet</v>
      </c>
      <c r="M39" s="22" t="str">
        <f aca="false">IF(I39="SUBSTANTIATED","",IF(J39&gt;0,"Priority 1","Priority 2"))</f>
        <v>Priority 2</v>
      </c>
      <c r="N39" s="22" t="s">
        <v>15</v>
      </c>
    </row>
    <row r="40" customFormat="false" ht="15" hidden="false" customHeight="false" outlineLevel="0" collapsed="false">
      <c r="A40" s="22" t="s">
        <v>11068</v>
      </c>
      <c r="B40" s="23" t="n">
        <v>45067</v>
      </c>
      <c r="C40" s="22" t="s">
        <v>3218</v>
      </c>
      <c r="D40" s="22" t="str">
        <f aca="false">IFERROR(VLOOKUP(C40,'Applicant Lookup'!$A$2:$F$2911,2,FALSE()),"Not found")</f>
        <v>Anthony Young</v>
      </c>
      <c r="E40" s="22" t="n">
        <v>54</v>
      </c>
      <c r="F40" s="22" t="n">
        <v>53.9</v>
      </c>
      <c r="G40" s="22" t="s">
        <v>11069</v>
      </c>
      <c r="H40" s="22" t="n">
        <f aca="false">COUNTIFS('Certificate Check'!$D$6:$D$7,C40,'Certificate Check'!$E$6:$E$7,F40,'Certificate Check'!$G$6:$G$7,B40,'Certificate Check'!$H$6:$H$7,"Y")</f>
        <v>0</v>
      </c>
      <c r="I40" s="22" t="str">
        <f aca="false">IF(H40&gt;0,"SUBSTANTIATED","UNSUBSTANTIATED")</f>
        <v>UNSUBSTANTIATED</v>
      </c>
      <c r="J40" s="22" t="n">
        <f aca="false">COUNTIFS('Skip Audit'!$D$6:$D$314,C40,'Skip Audit'!$C$6:$C$314,"&gt;="&amp;B40)</f>
        <v>0</v>
      </c>
      <c r="K40" s="22"/>
      <c r="L40" s="22" t="str">
        <f aca="false">IF(I40="SUBSTANTIATED","Compliant","No supplied signed certificate or yard measurement sheet")</f>
        <v>No supplied signed certificate or yard measurement sheet</v>
      </c>
      <c r="M40" s="22" t="str">
        <f aca="false">IF(I40="SUBSTANTIATED","",IF(J40&gt;0,"Priority 1","Priority 2"))</f>
        <v>Priority 2</v>
      </c>
      <c r="N40" s="22" t="s">
        <v>15</v>
      </c>
    </row>
    <row r="41" customFormat="false" ht="15" hidden="false" customHeight="false" outlineLevel="0" collapsed="false">
      <c r="A41" s="22" t="s">
        <v>11070</v>
      </c>
      <c r="B41" s="23" t="n">
        <v>45067</v>
      </c>
      <c r="C41" s="22" t="s">
        <v>3249</v>
      </c>
      <c r="D41" s="22" t="str">
        <f aca="false">IFERROR(VLOOKUP(C41,'Applicant Lookup'!$A$2:$F$2911,2,FALSE()),"Not found")</f>
        <v>Maria Williams</v>
      </c>
      <c r="E41" s="22" t="n">
        <v>44.4</v>
      </c>
      <c r="F41" s="22" t="n">
        <v>44.9</v>
      </c>
      <c r="G41" s="22" t="s">
        <v>11071</v>
      </c>
      <c r="H41" s="22" t="n">
        <f aca="false">COUNTIFS('Certificate Check'!$D$6:$D$7,C41,'Certificate Check'!$E$6:$E$7,F41,'Certificate Check'!$G$6:$G$7,B41,'Certificate Check'!$H$6:$H$7,"Y")</f>
        <v>0</v>
      </c>
      <c r="I41" s="22" t="str">
        <f aca="false">IF(H41&gt;0,"SUBSTANTIATED","UNSUBSTANTIATED")</f>
        <v>UNSUBSTANTIATED</v>
      </c>
      <c r="J41" s="22" t="n">
        <f aca="false">COUNTIFS('Skip Audit'!$D$6:$D$314,C41,'Skip Audit'!$C$6:$C$314,"&gt;="&amp;B41)</f>
        <v>0</v>
      </c>
      <c r="K41" s="22"/>
      <c r="L41" s="22" t="str">
        <f aca="false">IF(I41="SUBSTANTIATED","Compliant","No supplied signed certificate or yard measurement sheet")</f>
        <v>No supplied signed certificate or yard measurement sheet</v>
      </c>
      <c r="M41" s="22" t="str">
        <f aca="false">IF(I41="SUBSTANTIATED","",IF(J41&gt;0,"Priority 1","Priority 2"))</f>
        <v>Priority 2</v>
      </c>
      <c r="N41" s="22" t="s">
        <v>15</v>
      </c>
    </row>
    <row r="42" customFormat="false" ht="15" hidden="false" customHeight="false" outlineLevel="0" collapsed="false">
      <c r="A42" s="22" t="s">
        <v>11072</v>
      </c>
      <c r="B42" s="23" t="n">
        <v>45081</v>
      </c>
      <c r="C42" s="22" t="s">
        <v>3996</v>
      </c>
      <c r="D42" s="22" t="str">
        <f aca="false">IFERROR(VLOOKUP(C42,'Applicant Lookup'!$A$2:$F$2911,2,FALSE()),"Not found")</f>
        <v>Denise Miles</v>
      </c>
      <c r="E42" s="22" t="n">
        <v>35.5</v>
      </c>
      <c r="F42" s="22" t="n">
        <v>37.5</v>
      </c>
      <c r="G42" s="22" t="s">
        <v>11073</v>
      </c>
      <c r="H42" s="22" t="n">
        <f aca="false">COUNTIFS('Certificate Check'!$D$6:$D$7,C42,'Certificate Check'!$E$6:$E$7,F42,'Certificate Check'!$G$6:$G$7,B42,'Certificate Check'!$H$6:$H$7,"Y")</f>
        <v>0</v>
      </c>
      <c r="I42" s="22" t="str">
        <f aca="false">IF(H42&gt;0,"SUBSTANTIATED","UNSUBSTANTIATED")</f>
        <v>UNSUBSTANTIATED</v>
      </c>
      <c r="J42" s="22" t="n">
        <f aca="false">COUNTIFS('Skip Audit'!$D$6:$D$314,C42,'Skip Audit'!$C$6:$C$314,"&gt;="&amp;B42)</f>
        <v>0</v>
      </c>
      <c r="K42" s="22"/>
      <c r="L42" s="22" t="str">
        <f aca="false">IF(I42="SUBSTANTIATED","Compliant","No supplied signed certificate or yard measurement sheet")</f>
        <v>No supplied signed certificate or yard measurement sheet</v>
      </c>
      <c r="M42" s="22" t="str">
        <f aca="false">IF(I42="SUBSTANTIATED","",IF(J42&gt;0,"Priority 1","Priority 2"))</f>
        <v>Priority 2</v>
      </c>
      <c r="N42" s="22" t="s">
        <v>15</v>
      </c>
    </row>
    <row r="43" customFormat="false" ht="15" hidden="false" customHeight="false" outlineLevel="0" collapsed="false">
      <c r="A43" s="22" t="s">
        <v>11074</v>
      </c>
      <c r="B43" s="23" t="n">
        <v>45085</v>
      </c>
      <c r="C43" s="22" t="s">
        <v>5649</v>
      </c>
      <c r="D43" s="22" t="str">
        <f aca="false">IFERROR(VLOOKUP(C43,'Applicant Lookup'!$A$2:$F$2911,2,FALSE()),"Not found")</f>
        <v>Taylor George</v>
      </c>
      <c r="E43" s="22" t="n">
        <v>36.5</v>
      </c>
      <c r="F43" s="22" t="n">
        <v>39</v>
      </c>
      <c r="G43" s="22" t="s">
        <v>11075</v>
      </c>
      <c r="H43" s="22" t="n">
        <f aca="false">COUNTIFS('Certificate Check'!$D$6:$D$7,C43,'Certificate Check'!$E$6:$E$7,F43,'Certificate Check'!$G$6:$G$7,B43,'Certificate Check'!$H$6:$H$7,"Y")</f>
        <v>0</v>
      </c>
      <c r="I43" s="22" t="str">
        <f aca="false">IF(H43&gt;0,"SUBSTANTIATED","UNSUBSTANTIATED")</f>
        <v>UNSUBSTANTIATED</v>
      </c>
      <c r="J43" s="22" t="n">
        <f aca="false">COUNTIFS('Skip Audit'!$D$6:$D$314,C43,'Skip Audit'!$C$6:$C$314,"&gt;="&amp;B43)</f>
        <v>1</v>
      </c>
      <c r="K43" s="22" t="s">
        <v>10837</v>
      </c>
      <c r="L43" s="22" t="str">
        <f aca="false">IF(I43="SUBSTANTIATED","Compliant","No supplied signed certificate or yard measurement sheet")</f>
        <v>No supplied signed certificate or yard measurement sheet</v>
      </c>
      <c r="M43" s="22" t="str">
        <f aca="false">IF(I43="SUBSTANTIATED","",IF(J43&gt;0,"Priority 1","Priority 2"))</f>
        <v>Priority 1</v>
      </c>
      <c r="N43" s="22" t="s">
        <v>15</v>
      </c>
    </row>
    <row r="44" customFormat="false" ht="15" hidden="false" customHeight="false" outlineLevel="0" collapsed="false">
      <c r="A44" s="22" t="s">
        <v>11076</v>
      </c>
      <c r="B44" s="23" t="n">
        <v>45086</v>
      </c>
      <c r="C44" s="22" t="s">
        <v>6136</v>
      </c>
      <c r="D44" s="22" t="str">
        <f aca="false">IFERROR(VLOOKUP(C44,'Applicant Lookup'!$A$2:$F$2911,2,FALSE()),"Not found")</f>
        <v>Tonya Martinez</v>
      </c>
      <c r="E44" s="22" t="n">
        <v>38</v>
      </c>
      <c r="F44" s="22" t="n">
        <v>37.8</v>
      </c>
      <c r="G44" s="22" t="s">
        <v>11077</v>
      </c>
      <c r="H44" s="22" t="n">
        <f aca="false">COUNTIFS('Certificate Check'!$D$6:$D$7,C44,'Certificate Check'!$E$6:$E$7,F44,'Certificate Check'!$G$6:$G$7,B44,'Certificate Check'!$H$6:$H$7,"Y")</f>
        <v>0</v>
      </c>
      <c r="I44" s="22" t="str">
        <f aca="false">IF(H44&gt;0,"SUBSTANTIATED","UNSUBSTANTIATED")</f>
        <v>UNSUBSTANTIATED</v>
      </c>
      <c r="J44" s="22" t="n">
        <f aca="false">COUNTIFS('Skip Audit'!$D$6:$D$314,C44,'Skip Audit'!$C$6:$C$314,"&gt;="&amp;B44)</f>
        <v>0</v>
      </c>
      <c r="K44" s="22"/>
      <c r="L44" s="22" t="str">
        <f aca="false">IF(I44="SUBSTANTIATED","Compliant","No supplied signed certificate or yard measurement sheet")</f>
        <v>No supplied signed certificate or yard measurement sheet</v>
      </c>
      <c r="M44" s="22" t="str">
        <f aca="false">IF(I44="SUBSTANTIATED","",IF(J44&gt;0,"Priority 1","Priority 2"))</f>
        <v>Priority 2</v>
      </c>
      <c r="N44" s="22" t="s">
        <v>15</v>
      </c>
    </row>
    <row r="45" customFormat="false" ht="15" hidden="false" customHeight="false" outlineLevel="0" collapsed="false">
      <c r="A45" s="22" t="s">
        <v>11078</v>
      </c>
      <c r="B45" s="23" t="n">
        <v>45095</v>
      </c>
      <c r="C45" s="22" t="s">
        <v>4214</v>
      </c>
      <c r="D45" s="22" t="str">
        <f aca="false">IFERROR(VLOOKUP(C45,'Applicant Lookup'!$A$2:$F$2911,2,FALSE()),"Not found")</f>
        <v>Angel Massey</v>
      </c>
      <c r="E45" s="22" t="n">
        <v>53.3</v>
      </c>
      <c r="F45" s="22" t="n">
        <v>51.8</v>
      </c>
      <c r="G45" s="22" t="s">
        <v>11079</v>
      </c>
      <c r="H45" s="22" t="n">
        <f aca="false">COUNTIFS('Certificate Check'!$D$6:$D$7,C45,'Certificate Check'!$E$6:$E$7,F45,'Certificate Check'!$G$6:$G$7,B45,'Certificate Check'!$H$6:$H$7,"Y")</f>
        <v>0</v>
      </c>
      <c r="I45" s="22" t="str">
        <f aca="false">IF(H45&gt;0,"SUBSTANTIATED","UNSUBSTANTIATED")</f>
        <v>UNSUBSTANTIATED</v>
      </c>
      <c r="J45" s="22" t="n">
        <f aca="false">COUNTIFS('Skip Audit'!$D$6:$D$314,C45,'Skip Audit'!$C$6:$C$314,"&gt;="&amp;B45)</f>
        <v>1</v>
      </c>
      <c r="K45" s="22" t="s">
        <v>10788</v>
      </c>
      <c r="L45" s="22" t="str">
        <f aca="false">IF(I45="SUBSTANTIATED","Compliant","No supplied signed certificate or yard measurement sheet")</f>
        <v>No supplied signed certificate or yard measurement sheet</v>
      </c>
      <c r="M45" s="22" t="str">
        <f aca="false">IF(I45="SUBSTANTIATED","",IF(J45&gt;0,"Priority 1","Priority 2"))</f>
        <v>Priority 1</v>
      </c>
      <c r="N45" s="22" t="s">
        <v>15</v>
      </c>
    </row>
    <row r="46" customFormat="false" ht="15" hidden="false" customHeight="false" outlineLevel="0" collapsed="false">
      <c r="A46" s="22" t="s">
        <v>11080</v>
      </c>
      <c r="B46" s="23" t="n">
        <v>45097</v>
      </c>
      <c r="C46" s="22" t="s">
        <v>1007</v>
      </c>
      <c r="D46" s="22" t="str">
        <f aca="false">IFERROR(VLOOKUP(C46,'Applicant Lookup'!$A$2:$F$2911,2,FALSE()),"Not found")</f>
        <v>Shelby Maynard</v>
      </c>
      <c r="E46" s="22" t="n">
        <v>25.2</v>
      </c>
      <c r="F46" s="22" t="n">
        <v>26.6</v>
      </c>
      <c r="G46" s="22" t="s">
        <v>11081</v>
      </c>
      <c r="H46" s="22" t="n">
        <f aca="false">COUNTIFS('Certificate Check'!$D$6:$D$7,C46,'Certificate Check'!$E$6:$E$7,F46,'Certificate Check'!$G$6:$G$7,B46,'Certificate Check'!$H$6:$H$7,"Y")</f>
        <v>0</v>
      </c>
      <c r="I46" s="22" t="str">
        <f aca="false">IF(H46&gt;0,"SUBSTANTIATED","UNSUBSTANTIATED")</f>
        <v>UNSUBSTANTIATED</v>
      </c>
      <c r="J46" s="22" t="n">
        <f aca="false">COUNTIFS('Skip Audit'!$D$6:$D$314,C46,'Skip Audit'!$C$6:$C$314,"&gt;="&amp;B46)</f>
        <v>0</v>
      </c>
      <c r="K46" s="22"/>
      <c r="L46" s="22" t="str">
        <f aca="false">IF(I46="SUBSTANTIATED","Compliant","No supplied signed certificate or yard measurement sheet")</f>
        <v>No supplied signed certificate or yard measurement sheet</v>
      </c>
      <c r="M46" s="22" t="str">
        <f aca="false">IF(I46="SUBSTANTIATED","",IF(J46&gt;0,"Priority 1","Priority 2"))</f>
        <v>Priority 2</v>
      </c>
      <c r="N46" s="22" t="s">
        <v>15</v>
      </c>
    </row>
    <row r="47" customFormat="false" ht="15" hidden="false" customHeight="false" outlineLevel="0" collapsed="false">
      <c r="A47" s="22" t="s">
        <v>11082</v>
      </c>
      <c r="B47" s="23" t="n">
        <v>45100</v>
      </c>
      <c r="C47" s="22" t="s">
        <v>2111</v>
      </c>
      <c r="D47" s="22" t="str">
        <f aca="false">IFERROR(VLOOKUP(C47,'Applicant Lookup'!$A$2:$F$2911,2,FALSE()),"Not found")</f>
        <v>John Powell</v>
      </c>
      <c r="E47" s="22" t="n">
        <v>33.5</v>
      </c>
      <c r="F47" s="22" t="n">
        <v>34.3</v>
      </c>
      <c r="G47" s="22" t="s">
        <v>11083</v>
      </c>
      <c r="H47" s="22" t="n">
        <f aca="false">COUNTIFS('Certificate Check'!$D$6:$D$7,C47,'Certificate Check'!$E$6:$E$7,F47,'Certificate Check'!$G$6:$G$7,B47,'Certificate Check'!$H$6:$H$7,"Y")</f>
        <v>0</v>
      </c>
      <c r="I47" s="22" t="str">
        <f aca="false">IF(H47&gt;0,"SUBSTANTIATED","UNSUBSTANTIATED")</f>
        <v>UNSUBSTANTIATED</v>
      </c>
      <c r="J47" s="22" t="n">
        <f aca="false">COUNTIFS('Skip Audit'!$D$6:$D$314,C47,'Skip Audit'!$C$6:$C$314,"&gt;="&amp;B47)</f>
        <v>0</v>
      </c>
      <c r="K47" s="22"/>
      <c r="L47" s="22" t="str">
        <f aca="false">IF(I47="SUBSTANTIATED","Compliant","No supplied signed certificate or yard measurement sheet")</f>
        <v>No supplied signed certificate or yard measurement sheet</v>
      </c>
      <c r="M47" s="22" t="str">
        <f aca="false">IF(I47="SUBSTANTIATED","",IF(J47&gt;0,"Priority 1","Priority 2"))</f>
        <v>Priority 2</v>
      </c>
      <c r="N47" s="22" t="s">
        <v>15</v>
      </c>
    </row>
    <row r="48" customFormat="false" ht="15" hidden="false" customHeight="false" outlineLevel="0" collapsed="false">
      <c r="A48" s="22" t="s">
        <v>11084</v>
      </c>
      <c r="B48" s="23" t="n">
        <v>45101</v>
      </c>
      <c r="C48" s="22" t="s">
        <v>2547</v>
      </c>
      <c r="D48" s="22" t="str">
        <f aca="false">IFERROR(VLOOKUP(C48,'Applicant Lookup'!$A$2:$F$2911,2,FALSE()),"Not found")</f>
        <v>Jonathan Moore</v>
      </c>
      <c r="E48" s="22" t="n">
        <v>32.3</v>
      </c>
      <c r="F48" s="22" t="n">
        <v>34.6</v>
      </c>
      <c r="G48" s="22" t="s">
        <v>11085</v>
      </c>
      <c r="H48" s="22" t="n">
        <f aca="false">COUNTIFS('Certificate Check'!$D$6:$D$7,C48,'Certificate Check'!$E$6:$E$7,F48,'Certificate Check'!$G$6:$G$7,B48,'Certificate Check'!$H$6:$H$7,"Y")</f>
        <v>0</v>
      </c>
      <c r="I48" s="22" t="str">
        <f aca="false">IF(H48&gt;0,"SUBSTANTIATED","UNSUBSTANTIATED")</f>
        <v>UNSUBSTANTIATED</v>
      </c>
      <c r="J48" s="22" t="n">
        <f aca="false">COUNTIFS('Skip Audit'!$D$6:$D$314,C48,'Skip Audit'!$C$6:$C$314,"&gt;="&amp;B48)</f>
        <v>0</v>
      </c>
      <c r="K48" s="22"/>
      <c r="L48" s="22" t="str">
        <f aca="false">IF(I48="SUBSTANTIATED","Compliant","No supplied signed certificate or yard measurement sheet")</f>
        <v>No supplied signed certificate or yard measurement sheet</v>
      </c>
      <c r="M48" s="22" t="str">
        <f aca="false">IF(I48="SUBSTANTIATED","",IF(J48&gt;0,"Priority 1","Priority 2"))</f>
        <v>Priority 2</v>
      </c>
      <c r="N48" s="22" t="s">
        <v>15</v>
      </c>
    </row>
    <row r="49" customFormat="false" ht="15" hidden="false" customHeight="false" outlineLevel="0" collapsed="false">
      <c r="A49" s="22" t="s">
        <v>11086</v>
      </c>
      <c r="B49" s="23" t="n">
        <v>45132</v>
      </c>
      <c r="C49" s="22" t="s">
        <v>5405</v>
      </c>
      <c r="D49" s="22" t="str">
        <f aca="false">IFERROR(VLOOKUP(C49,'Applicant Lookup'!$A$2:$F$2911,2,FALSE()),"Not found")</f>
        <v>Steven Greene</v>
      </c>
      <c r="E49" s="22" t="n">
        <v>29.1</v>
      </c>
      <c r="F49" s="22" t="n">
        <v>26.9</v>
      </c>
      <c r="G49" s="22" t="s">
        <v>11087</v>
      </c>
      <c r="H49" s="22" t="n">
        <f aca="false">COUNTIFS('Certificate Check'!$D$6:$D$7,C49,'Certificate Check'!$E$6:$E$7,F49,'Certificate Check'!$G$6:$G$7,B49,'Certificate Check'!$H$6:$H$7,"Y")</f>
        <v>0</v>
      </c>
      <c r="I49" s="22" t="str">
        <f aca="false">IF(H49&gt;0,"SUBSTANTIATED","UNSUBSTANTIATED")</f>
        <v>UNSUBSTANTIATED</v>
      </c>
      <c r="J49" s="22" t="n">
        <f aca="false">COUNTIFS('Skip Audit'!$D$6:$D$314,C49,'Skip Audit'!$C$6:$C$314,"&gt;="&amp;B49)</f>
        <v>0</v>
      </c>
      <c r="K49" s="22"/>
      <c r="L49" s="22" t="str">
        <f aca="false">IF(I49="SUBSTANTIATED","Compliant","No supplied signed certificate or yard measurement sheet")</f>
        <v>No supplied signed certificate or yard measurement sheet</v>
      </c>
      <c r="M49" s="22" t="str">
        <f aca="false">IF(I49="SUBSTANTIATED","",IF(J49&gt;0,"Priority 1","Priority 2"))</f>
        <v>Priority 2</v>
      </c>
      <c r="N49" s="22" t="s">
        <v>15</v>
      </c>
    </row>
    <row r="50" customFormat="false" ht="15" hidden="false" customHeight="false" outlineLevel="0" collapsed="false">
      <c r="A50" s="22" t="s">
        <v>11088</v>
      </c>
      <c r="B50" s="23" t="n">
        <v>45141</v>
      </c>
      <c r="C50" s="22" t="s">
        <v>5105</v>
      </c>
      <c r="D50" s="22" t="str">
        <f aca="false">IFERROR(VLOOKUP(C50,'Applicant Lookup'!$A$2:$F$2911,2,FALSE()),"Not found")</f>
        <v>Daniel Stevens</v>
      </c>
      <c r="E50" s="22" t="n">
        <v>38.8</v>
      </c>
      <c r="F50" s="22" t="n">
        <v>39.8</v>
      </c>
      <c r="G50" s="22" t="s">
        <v>11089</v>
      </c>
      <c r="H50" s="22" t="n">
        <f aca="false">COUNTIFS('Certificate Check'!$D$6:$D$7,C50,'Certificate Check'!$E$6:$E$7,F50,'Certificate Check'!$G$6:$G$7,B50,'Certificate Check'!$H$6:$H$7,"Y")</f>
        <v>0</v>
      </c>
      <c r="I50" s="22" t="str">
        <f aca="false">IF(H50&gt;0,"SUBSTANTIATED","UNSUBSTANTIATED")</f>
        <v>UNSUBSTANTIATED</v>
      </c>
      <c r="J50" s="22" t="n">
        <f aca="false">COUNTIFS('Skip Audit'!$D$6:$D$314,C50,'Skip Audit'!$C$6:$C$314,"&gt;="&amp;B50)</f>
        <v>0</v>
      </c>
      <c r="K50" s="22"/>
      <c r="L50" s="22" t="str">
        <f aca="false">IF(I50="SUBSTANTIATED","Compliant","No supplied signed certificate or yard measurement sheet")</f>
        <v>No supplied signed certificate or yard measurement sheet</v>
      </c>
      <c r="M50" s="22" t="str">
        <f aca="false">IF(I50="SUBSTANTIATED","",IF(J50&gt;0,"Priority 1","Priority 2"))</f>
        <v>Priority 2</v>
      </c>
      <c r="N50" s="22" t="s">
        <v>15</v>
      </c>
    </row>
    <row r="51" customFormat="false" ht="15" hidden="false" customHeight="false" outlineLevel="0" collapsed="false">
      <c r="A51" s="22" t="s">
        <v>11090</v>
      </c>
      <c r="B51" s="23" t="n">
        <v>45142</v>
      </c>
      <c r="C51" s="22" t="s">
        <v>3093</v>
      </c>
      <c r="D51" s="22" t="str">
        <f aca="false">IFERROR(VLOOKUP(C51,'Applicant Lookup'!$A$2:$F$2911,2,FALSE()),"Not found")</f>
        <v>Robert Rivas</v>
      </c>
      <c r="E51" s="22" t="n">
        <v>38.6</v>
      </c>
      <c r="F51" s="22" t="n">
        <v>37.8</v>
      </c>
      <c r="G51" s="22" t="s">
        <v>11091</v>
      </c>
      <c r="H51" s="22" t="n">
        <f aca="false">COUNTIFS('Certificate Check'!$D$6:$D$7,C51,'Certificate Check'!$E$6:$E$7,F51,'Certificate Check'!$G$6:$G$7,B51,'Certificate Check'!$H$6:$H$7,"Y")</f>
        <v>0</v>
      </c>
      <c r="I51" s="22" t="str">
        <f aca="false">IF(H51&gt;0,"SUBSTANTIATED","UNSUBSTANTIATED")</f>
        <v>UNSUBSTANTIATED</v>
      </c>
      <c r="J51" s="22" t="n">
        <f aca="false">COUNTIFS('Skip Audit'!$D$6:$D$314,C51,'Skip Audit'!$C$6:$C$314,"&gt;="&amp;B51)</f>
        <v>0</v>
      </c>
      <c r="K51" s="22"/>
      <c r="L51" s="22" t="str">
        <f aca="false">IF(I51="SUBSTANTIATED","Compliant","No supplied signed certificate or yard measurement sheet")</f>
        <v>No supplied signed certificate or yard measurement sheet</v>
      </c>
      <c r="M51" s="22" t="str">
        <f aca="false">IF(I51="SUBSTANTIATED","",IF(J51&gt;0,"Priority 1","Priority 2"))</f>
        <v>Priority 2</v>
      </c>
      <c r="N51" s="22" t="s">
        <v>15</v>
      </c>
    </row>
    <row r="52" customFormat="false" ht="15" hidden="false" customHeight="false" outlineLevel="0" collapsed="false">
      <c r="A52" s="22" t="s">
        <v>11092</v>
      </c>
      <c r="B52" s="23" t="n">
        <v>45148</v>
      </c>
      <c r="C52" s="22" t="s">
        <v>1721</v>
      </c>
      <c r="D52" s="22" t="str">
        <f aca="false">IFERROR(VLOOKUP(C52,'Applicant Lookup'!$A$2:$F$2911,2,FALSE()),"Not found")</f>
        <v>Tracey Johnson</v>
      </c>
      <c r="E52" s="22" t="n">
        <v>24</v>
      </c>
      <c r="F52" s="22" t="n">
        <v>23.5</v>
      </c>
      <c r="G52" s="22" t="s">
        <v>11093</v>
      </c>
      <c r="H52" s="22" t="n">
        <f aca="false">COUNTIFS('Certificate Check'!$D$6:$D$7,C52,'Certificate Check'!$E$6:$E$7,F52,'Certificate Check'!$G$6:$G$7,B52,'Certificate Check'!$H$6:$H$7,"Y")</f>
        <v>0</v>
      </c>
      <c r="I52" s="22" t="str">
        <f aca="false">IF(H52&gt;0,"SUBSTANTIATED","UNSUBSTANTIATED")</f>
        <v>UNSUBSTANTIATED</v>
      </c>
      <c r="J52" s="22" t="n">
        <f aca="false">COUNTIFS('Skip Audit'!$D$6:$D$314,C52,'Skip Audit'!$C$6:$C$314,"&gt;="&amp;B52)</f>
        <v>1</v>
      </c>
      <c r="K52" s="22" t="s">
        <v>10682</v>
      </c>
      <c r="L52" s="22" t="str">
        <f aca="false">IF(I52="SUBSTANTIATED","Compliant","No supplied signed certificate or yard measurement sheet")</f>
        <v>No supplied signed certificate or yard measurement sheet</v>
      </c>
      <c r="M52" s="22" t="str">
        <f aca="false">IF(I52="SUBSTANTIATED","",IF(J52&gt;0,"Priority 1","Priority 2"))</f>
        <v>Priority 1</v>
      </c>
      <c r="N52" s="22" t="s">
        <v>15</v>
      </c>
    </row>
    <row r="53" customFormat="false" ht="15" hidden="false" customHeight="false" outlineLevel="0" collapsed="false">
      <c r="A53" s="22" t="s">
        <v>11094</v>
      </c>
      <c r="B53" s="23" t="n">
        <v>45152</v>
      </c>
      <c r="C53" s="22" t="s">
        <v>4488</v>
      </c>
      <c r="D53" s="22" t="str">
        <f aca="false">IFERROR(VLOOKUP(C53,'Applicant Lookup'!$A$2:$F$2911,2,FALSE()),"Not found")</f>
        <v>Christopher Woodward</v>
      </c>
      <c r="E53" s="22" t="n">
        <v>40.5</v>
      </c>
      <c r="F53" s="22" t="n">
        <v>42.8</v>
      </c>
      <c r="G53" s="22" t="s">
        <v>11095</v>
      </c>
      <c r="H53" s="22" t="n">
        <f aca="false">COUNTIFS('Certificate Check'!$D$6:$D$7,C53,'Certificate Check'!$E$6:$E$7,F53,'Certificate Check'!$G$6:$G$7,B53,'Certificate Check'!$H$6:$H$7,"Y")</f>
        <v>0</v>
      </c>
      <c r="I53" s="22" t="str">
        <f aca="false">IF(H53&gt;0,"SUBSTANTIATED","UNSUBSTANTIATED")</f>
        <v>UNSUBSTANTIATED</v>
      </c>
      <c r="J53" s="22" t="n">
        <f aca="false">COUNTIFS('Skip Audit'!$D$6:$D$314,C53,'Skip Audit'!$C$6:$C$314,"&gt;="&amp;B53)</f>
        <v>0</v>
      </c>
      <c r="K53" s="22"/>
      <c r="L53" s="22" t="str">
        <f aca="false">IF(I53="SUBSTANTIATED","Compliant","No supplied signed certificate or yard measurement sheet")</f>
        <v>No supplied signed certificate or yard measurement sheet</v>
      </c>
      <c r="M53" s="22" t="str">
        <f aca="false">IF(I53="SUBSTANTIATED","",IF(J53&gt;0,"Priority 1","Priority 2"))</f>
        <v>Priority 2</v>
      </c>
      <c r="N53" s="22" t="s">
        <v>15</v>
      </c>
    </row>
    <row r="54" customFormat="false" ht="15" hidden="false" customHeight="false" outlineLevel="0" collapsed="false">
      <c r="A54" s="22" t="s">
        <v>11096</v>
      </c>
      <c r="B54" s="23" t="n">
        <v>45154</v>
      </c>
      <c r="C54" s="22" t="s">
        <v>2339</v>
      </c>
      <c r="D54" s="22" t="str">
        <f aca="false">IFERROR(VLOOKUP(C54,'Applicant Lookup'!$A$2:$F$2911,2,FALSE()),"Not found")</f>
        <v>Eric Weber</v>
      </c>
      <c r="E54" s="22" t="n">
        <v>39.5</v>
      </c>
      <c r="F54" s="22" t="n">
        <v>41.3</v>
      </c>
      <c r="G54" s="22" t="s">
        <v>11097</v>
      </c>
      <c r="H54" s="22" t="n">
        <f aca="false">COUNTIFS('Certificate Check'!$D$6:$D$7,C54,'Certificate Check'!$E$6:$E$7,F54,'Certificate Check'!$G$6:$G$7,B54,'Certificate Check'!$H$6:$H$7,"Y")</f>
        <v>0</v>
      </c>
      <c r="I54" s="22" t="str">
        <f aca="false">IF(H54&gt;0,"SUBSTANTIATED","UNSUBSTANTIATED")</f>
        <v>UNSUBSTANTIATED</v>
      </c>
      <c r="J54" s="22" t="n">
        <f aca="false">COUNTIFS('Skip Audit'!$D$6:$D$314,C54,'Skip Audit'!$C$6:$C$314,"&gt;="&amp;B54)</f>
        <v>0</v>
      </c>
      <c r="K54" s="22"/>
      <c r="L54" s="22" t="str">
        <f aca="false">IF(I54="SUBSTANTIATED","Compliant","No supplied signed certificate or yard measurement sheet")</f>
        <v>No supplied signed certificate or yard measurement sheet</v>
      </c>
      <c r="M54" s="22" t="str">
        <f aca="false">IF(I54="SUBSTANTIATED","",IF(J54&gt;0,"Priority 1","Priority 2"))</f>
        <v>Priority 2</v>
      </c>
      <c r="N54" s="22" t="s">
        <v>15</v>
      </c>
    </row>
    <row r="55" customFormat="false" ht="15" hidden="false" customHeight="false" outlineLevel="0" collapsed="false">
      <c r="A55" s="22" t="s">
        <v>11098</v>
      </c>
      <c r="B55" s="23" t="n">
        <v>45156</v>
      </c>
      <c r="C55" s="22" t="s">
        <v>5239</v>
      </c>
      <c r="D55" s="22" t="str">
        <f aca="false">IFERROR(VLOOKUP(C55,'Applicant Lookup'!$A$2:$F$2911,2,FALSE()),"Not found")</f>
        <v>Philip Garcia</v>
      </c>
      <c r="E55" s="22" t="n">
        <v>49</v>
      </c>
      <c r="F55" s="22" t="n">
        <v>51.2</v>
      </c>
      <c r="G55" s="22" t="s">
        <v>11099</v>
      </c>
      <c r="H55" s="22" t="n">
        <f aca="false">COUNTIFS('Certificate Check'!$D$6:$D$7,C55,'Certificate Check'!$E$6:$E$7,F55,'Certificate Check'!$G$6:$G$7,B55,'Certificate Check'!$H$6:$H$7,"Y")</f>
        <v>0</v>
      </c>
      <c r="I55" s="22" t="str">
        <f aca="false">IF(H55&gt;0,"SUBSTANTIATED","UNSUBSTANTIATED")</f>
        <v>UNSUBSTANTIATED</v>
      </c>
      <c r="J55" s="22" t="n">
        <f aca="false">COUNTIFS('Skip Audit'!$D$6:$D$314,C55,'Skip Audit'!$C$6:$C$314,"&gt;="&amp;B55)</f>
        <v>0</v>
      </c>
      <c r="K55" s="22"/>
      <c r="L55" s="22" t="str">
        <f aca="false">IF(I55="SUBSTANTIATED","Compliant","No supplied signed certificate or yard measurement sheet")</f>
        <v>No supplied signed certificate or yard measurement sheet</v>
      </c>
      <c r="M55" s="22" t="str">
        <f aca="false">IF(I55="SUBSTANTIATED","",IF(J55&gt;0,"Priority 1","Priority 2"))</f>
        <v>Priority 2</v>
      </c>
      <c r="N55" s="22" t="s">
        <v>15</v>
      </c>
    </row>
    <row r="56" customFormat="false" ht="15" hidden="false" customHeight="false" outlineLevel="0" collapsed="false">
      <c r="A56" s="22" t="s">
        <v>11100</v>
      </c>
      <c r="B56" s="23" t="n">
        <v>45158</v>
      </c>
      <c r="C56" s="22" t="s">
        <v>5325</v>
      </c>
      <c r="D56" s="22" t="str">
        <f aca="false">IFERROR(VLOOKUP(C56,'Applicant Lookup'!$A$2:$F$2911,2,FALSE()),"Not found")</f>
        <v>Laurie Huerta</v>
      </c>
      <c r="E56" s="22" t="n">
        <v>39.4</v>
      </c>
      <c r="F56" s="22" t="n">
        <v>39.3</v>
      </c>
      <c r="G56" s="22" t="s">
        <v>11101</v>
      </c>
      <c r="H56" s="22" t="n">
        <f aca="false">COUNTIFS('Certificate Check'!$D$6:$D$7,C56,'Certificate Check'!$E$6:$E$7,F56,'Certificate Check'!$G$6:$G$7,B56,'Certificate Check'!$H$6:$H$7,"Y")</f>
        <v>0</v>
      </c>
      <c r="I56" s="22" t="str">
        <f aca="false">IF(H56&gt;0,"SUBSTANTIATED","UNSUBSTANTIATED")</f>
        <v>UNSUBSTANTIATED</v>
      </c>
      <c r="J56" s="22" t="n">
        <f aca="false">COUNTIFS('Skip Audit'!$D$6:$D$314,C56,'Skip Audit'!$C$6:$C$314,"&gt;="&amp;B56)</f>
        <v>0</v>
      </c>
      <c r="K56" s="22"/>
      <c r="L56" s="22" t="str">
        <f aca="false">IF(I56="SUBSTANTIATED","Compliant","No supplied signed certificate or yard measurement sheet")</f>
        <v>No supplied signed certificate or yard measurement sheet</v>
      </c>
      <c r="M56" s="22" t="str">
        <f aca="false">IF(I56="SUBSTANTIATED","",IF(J56&gt;0,"Priority 1","Priority 2"))</f>
        <v>Priority 2</v>
      </c>
      <c r="N56" s="22" t="s">
        <v>15</v>
      </c>
    </row>
    <row r="57" customFormat="false" ht="15" hidden="false" customHeight="false" outlineLevel="0" collapsed="false">
      <c r="A57" s="22" t="s">
        <v>11102</v>
      </c>
      <c r="B57" s="23" t="n">
        <v>45169</v>
      </c>
      <c r="C57" s="22" t="s">
        <v>6073</v>
      </c>
      <c r="D57" s="22" t="str">
        <f aca="false">IFERROR(VLOOKUP(C57,'Applicant Lookup'!$A$2:$F$2911,2,FALSE()),"Not found")</f>
        <v>Andrea Franco</v>
      </c>
      <c r="E57" s="22" t="n">
        <v>20.8</v>
      </c>
      <c r="F57" s="22" t="n">
        <v>23.7</v>
      </c>
      <c r="G57" s="22" t="s">
        <v>11103</v>
      </c>
      <c r="H57" s="22" t="n">
        <f aca="false">COUNTIFS('Certificate Check'!$D$6:$D$7,C57,'Certificate Check'!$E$6:$E$7,F57,'Certificate Check'!$G$6:$G$7,B57,'Certificate Check'!$H$6:$H$7,"Y")</f>
        <v>0</v>
      </c>
      <c r="I57" s="22" t="str">
        <f aca="false">IF(H57&gt;0,"SUBSTANTIATED","UNSUBSTANTIATED")</f>
        <v>UNSUBSTANTIATED</v>
      </c>
      <c r="J57" s="22" t="n">
        <f aca="false">COUNTIFS('Skip Audit'!$D$6:$D$314,C57,'Skip Audit'!$C$6:$C$314,"&gt;="&amp;B57)</f>
        <v>0</v>
      </c>
      <c r="K57" s="22"/>
      <c r="L57" s="22" t="str">
        <f aca="false">IF(I57="SUBSTANTIATED","Compliant","No supplied signed certificate or yard measurement sheet")</f>
        <v>No supplied signed certificate or yard measurement sheet</v>
      </c>
      <c r="M57" s="22" t="str">
        <f aca="false">IF(I57="SUBSTANTIATED","",IF(J57&gt;0,"Priority 1","Priority 2"))</f>
        <v>Priority 2</v>
      </c>
      <c r="N57" s="22" t="s">
        <v>15</v>
      </c>
    </row>
    <row r="58" customFormat="false" ht="15" hidden="false" customHeight="false" outlineLevel="0" collapsed="false">
      <c r="A58" s="22" t="s">
        <v>11104</v>
      </c>
      <c r="B58" s="23" t="n">
        <v>45172</v>
      </c>
      <c r="C58" s="22" t="s">
        <v>5377</v>
      </c>
      <c r="D58" s="22" t="str">
        <f aca="false">IFERROR(VLOOKUP(C58,'Applicant Lookup'!$A$2:$F$2911,2,FALSE()),"Not found")</f>
        <v>Darrell Hall</v>
      </c>
      <c r="E58" s="22" t="n">
        <v>38.6</v>
      </c>
      <c r="F58" s="22" t="n">
        <v>37.8</v>
      </c>
      <c r="G58" s="22"/>
      <c r="H58" s="22" t="n">
        <f aca="false">COUNTIFS('Certificate Check'!$D$6:$D$7,C58,'Certificate Check'!$E$6:$E$7,F58,'Certificate Check'!$G$6:$G$7,B58,'Certificate Check'!$H$6:$H$7,"Y")</f>
        <v>0</v>
      </c>
      <c r="I58" s="22" t="str">
        <f aca="false">IF(H58&gt;0,"SUBSTANTIATED","UNSUBSTANTIATED")</f>
        <v>UNSUBSTANTIATED</v>
      </c>
      <c r="J58" s="22" t="n">
        <f aca="false">COUNTIFS('Skip Audit'!$D$6:$D$314,C58,'Skip Audit'!$C$6:$C$314,"&gt;="&amp;B58)</f>
        <v>0</v>
      </c>
      <c r="K58" s="22"/>
      <c r="L58" s="22" t="str">
        <f aca="false">IF(I58="SUBSTANTIATED","Compliant","No supplied signed certificate or yard measurement sheet")</f>
        <v>No supplied signed certificate or yard measurement sheet</v>
      </c>
      <c r="M58" s="22" t="str">
        <f aca="false">IF(I58="SUBSTANTIATED","",IF(J58&gt;0,"Priority 1","Priority 2"))</f>
        <v>Priority 2</v>
      </c>
      <c r="N58" s="22" t="s">
        <v>15</v>
      </c>
    </row>
    <row r="59" customFormat="false" ht="15" hidden="false" customHeight="false" outlineLevel="0" collapsed="false">
      <c r="A59" s="22" t="s">
        <v>11105</v>
      </c>
      <c r="B59" s="23" t="n">
        <v>45213</v>
      </c>
      <c r="C59" s="22" t="s">
        <v>3383</v>
      </c>
      <c r="D59" s="22" t="str">
        <f aca="false">IFERROR(VLOOKUP(C59,'Applicant Lookup'!$A$2:$F$2911,2,FALSE()),"Not found")</f>
        <v>Ricky Morris</v>
      </c>
      <c r="E59" s="22" t="n">
        <v>38.1</v>
      </c>
      <c r="F59" s="22" t="n">
        <v>35.9</v>
      </c>
      <c r="G59" s="22" t="s">
        <v>11106</v>
      </c>
      <c r="H59" s="22" t="n">
        <f aca="false">COUNTIFS('Certificate Check'!$D$6:$D$7,C59,'Certificate Check'!$E$6:$E$7,F59,'Certificate Check'!$G$6:$G$7,B59,'Certificate Check'!$H$6:$H$7,"Y")</f>
        <v>0</v>
      </c>
      <c r="I59" s="22" t="str">
        <f aca="false">IF(H59&gt;0,"SUBSTANTIATED","UNSUBSTANTIATED")</f>
        <v>UNSUBSTANTIATED</v>
      </c>
      <c r="J59" s="22" t="n">
        <f aca="false">COUNTIFS('Skip Audit'!$D$6:$D$314,C59,'Skip Audit'!$C$6:$C$314,"&gt;="&amp;B59)</f>
        <v>0</v>
      </c>
      <c r="K59" s="22"/>
      <c r="L59" s="22" t="str">
        <f aca="false">IF(I59="SUBSTANTIATED","Compliant","No supplied signed certificate or yard measurement sheet")</f>
        <v>No supplied signed certificate or yard measurement sheet</v>
      </c>
      <c r="M59" s="22" t="str">
        <f aca="false">IF(I59="SUBSTANTIATED","",IF(J59&gt;0,"Priority 1","Priority 2"))</f>
        <v>Priority 2</v>
      </c>
      <c r="N59" s="22" t="s">
        <v>15</v>
      </c>
    </row>
    <row r="60" customFormat="false" ht="15" hidden="false" customHeight="false" outlineLevel="0" collapsed="false">
      <c r="A60" s="22" t="s">
        <v>11107</v>
      </c>
      <c r="B60" s="23" t="n">
        <v>45237</v>
      </c>
      <c r="C60" s="22" t="s">
        <v>6550</v>
      </c>
      <c r="D60" s="22" t="str">
        <f aca="false">IFERROR(VLOOKUP(C60,'Applicant Lookup'!$A$2:$F$2911,2,FALSE()),"Not found")</f>
        <v>Kaitlin Ibarra</v>
      </c>
      <c r="E60" s="22" t="n">
        <v>33.9</v>
      </c>
      <c r="F60" s="22" t="n">
        <v>31.8</v>
      </c>
      <c r="G60" s="22" t="s">
        <v>11108</v>
      </c>
      <c r="H60" s="22" t="n">
        <f aca="false">COUNTIFS('Certificate Check'!$D$6:$D$7,C60,'Certificate Check'!$E$6:$E$7,F60,'Certificate Check'!$G$6:$G$7,B60,'Certificate Check'!$H$6:$H$7,"Y")</f>
        <v>0</v>
      </c>
      <c r="I60" s="22" t="str">
        <f aca="false">IF(H60&gt;0,"SUBSTANTIATED","UNSUBSTANTIATED")</f>
        <v>UNSUBSTANTIATED</v>
      </c>
      <c r="J60" s="22" t="n">
        <f aca="false">COUNTIFS('Skip Audit'!$D$6:$D$314,C60,'Skip Audit'!$C$6:$C$314,"&gt;="&amp;B60)</f>
        <v>0</v>
      </c>
      <c r="K60" s="22"/>
      <c r="L60" s="22" t="str">
        <f aca="false">IF(I60="SUBSTANTIATED","Compliant","No supplied signed certificate or yard measurement sheet")</f>
        <v>No supplied signed certificate or yard measurement sheet</v>
      </c>
      <c r="M60" s="22" t="str">
        <f aca="false">IF(I60="SUBSTANTIATED","",IF(J60&gt;0,"Priority 1","Priority 2"))</f>
        <v>Priority 2</v>
      </c>
      <c r="N60" s="22" t="s">
        <v>15</v>
      </c>
    </row>
    <row r="61" customFormat="false" ht="15" hidden="false" customHeight="false" outlineLevel="0" collapsed="false">
      <c r="A61" s="22" t="s">
        <v>11109</v>
      </c>
      <c r="B61" s="23" t="n">
        <v>45244</v>
      </c>
      <c r="C61" s="22" t="s">
        <v>4668</v>
      </c>
      <c r="D61" s="22" t="str">
        <f aca="false">IFERROR(VLOOKUP(C61,'Applicant Lookup'!$A$2:$F$2911,2,FALSE()),"Not found")</f>
        <v>Anthony Davis</v>
      </c>
      <c r="E61" s="22" t="n">
        <v>50.4</v>
      </c>
      <c r="F61" s="22" t="n">
        <v>50.5</v>
      </c>
      <c r="G61" s="22" t="s">
        <v>11110</v>
      </c>
      <c r="H61" s="22" t="n">
        <f aca="false">COUNTIFS('Certificate Check'!$D$6:$D$7,C61,'Certificate Check'!$E$6:$E$7,F61,'Certificate Check'!$G$6:$G$7,B61,'Certificate Check'!$H$6:$H$7,"Y")</f>
        <v>0</v>
      </c>
      <c r="I61" s="22" t="str">
        <f aca="false">IF(H61&gt;0,"SUBSTANTIATED","UNSUBSTANTIATED")</f>
        <v>UNSUBSTANTIATED</v>
      </c>
      <c r="J61" s="22" t="n">
        <f aca="false">COUNTIFS('Skip Audit'!$D$6:$D$314,C61,'Skip Audit'!$C$6:$C$314,"&gt;="&amp;B61)</f>
        <v>0</v>
      </c>
      <c r="K61" s="22"/>
      <c r="L61" s="22" t="str">
        <f aca="false">IF(I61="SUBSTANTIATED","Compliant","No supplied signed certificate or yard measurement sheet")</f>
        <v>No supplied signed certificate or yard measurement sheet</v>
      </c>
      <c r="M61" s="22" t="str">
        <f aca="false">IF(I61="SUBSTANTIATED","",IF(J61&gt;0,"Priority 1","Priority 2"))</f>
        <v>Priority 2</v>
      </c>
      <c r="N61" s="22" t="s">
        <v>15</v>
      </c>
    </row>
    <row r="62" customFormat="false" ht="15" hidden="false" customHeight="false" outlineLevel="0" collapsed="false">
      <c r="A62" s="22" t="s">
        <v>11111</v>
      </c>
      <c r="B62" s="23" t="n">
        <v>45246</v>
      </c>
      <c r="C62" s="22" t="s">
        <v>3251</v>
      </c>
      <c r="D62" s="22" t="str">
        <f aca="false">IFERROR(VLOOKUP(C62,'Applicant Lookup'!$A$2:$F$2911,2,FALSE()),"Not found")</f>
        <v>Christine Atkinson</v>
      </c>
      <c r="E62" s="22" t="n">
        <v>50</v>
      </c>
      <c r="F62" s="22" t="n">
        <v>47.1</v>
      </c>
      <c r="G62" s="22" t="s">
        <v>11112</v>
      </c>
      <c r="H62" s="22" t="n">
        <f aca="false">COUNTIFS('Certificate Check'!$D$6:$D$7,C62,'Certificate Check'!$E$6:$E$7,F62,'Certificate Check'!$G$6:$G$7,B62,'Certificate Check'!$H$6:$H$7,"Y")</f>
        <v>0</v>
      </c>
      <c r="I62" s="22" t="str">
        <f aca="false">IF(H62&gt;0,"SUBSTANTIATED","UNSUBSTANTIATED")</f>
        <v>UNSUBSTANTIATED</v>
      </c>
      <c r="J62" s="22" t="n">
        <f aca="false">COUNTIFS('Skip Audit'!$D$6:$D$314,C62,'Skip Audit'!$C$6:$C$314,"&gt;="&amp;B62)</f>
        <v>0</v>
      </c>
      <c r="K62" s="22"/>
      <c r="L62" s="22" t="str">
        <f aca="false">IF(I62="SUBSTANTIATED","Compliant","No supplied signed certificate or yard measurement sheet")</f>
        <v>No supplied signed certificate or yard measurement sheet</v>
      </c>
      <c r="M62" s="22" t="str">
        <f aca="false">IF(I62="SUBSTANTIATED","",IF(J62&gt;0,"Priority 1","Priority 2"))</f>
        <v>Priority 2</v>
      </c>
      <c r="N62" s="22" t="s">
        <v>15</v>
      </c>
    </row>
    <row r="63" customFormat="false" ht="15" hidden="false" customHeight="false" outlineLevel="0" collapsed="false">
      <c r="A63" s="22" t="s">
        <v>11113</v>
      </c>
      <c r="B63" s="23" t="n">
        <v>45246</v>
      </c>
      <c r="C63" s="22" t="s">
        <v>2359</v>
      </c>
      <c r="D63" s="22" t="str">
        <f aca="false">IFERROR(VLOOKUP(C63,'Applicant Lookup'!$A$2:$F$2911,2,FALSE()),"Not found")</f>
        <v>Glenda Williams</v>
      </c>
      <c r="E63" s="22" t="n">
        <v>47.3</v>
      </c>
      <c r="F63" s="22" t="n">
        <v>45.3</v>
      </c>
      <c r="G63" s="22" t="s">
        <v>11114</v>
      </c>
      <c r="H63" s="22" t="n">
        <f aca="false">COUNTIFS('Certificate Check'!$D$6:$D$7,C63,'Certificate Check'!$E$6:$E$7,F63,'Certificate Check'!$G$6:$G$7,B63,'Certificate Check'!$H$6:$H$7,"Y")</f>
        <v>0</v>
      </c>
      <c r="I63" s="22" t="str">
        <f aca="false">IF(H63&gt;0,"SUBSTANTIATED","UNSUBSTANTIATED")</f>
        <v>UNSUBSTANTIATED</v>
      </c>
      <c r="J63" s="22" t="n">
        <f aca="false">COUNTIFS('Skip Audit'!$D$6:$D$314,C63,'Skip Audit'!$C$6:$C$314,"&gt;="&amp;B63)</f>
        <v>0</v>
      </c>
      <c r="K63" s="22"/>
      <c r="L63" s="22" t="str">
        <f aca="false">IF(I63="SUBSTANTIATED","Compliant","No supplied signed certificate or yard measurement sheet")</f>
        <v>No supplied signed certificate or yard measurement sheet</v>
      </c>
      <c r="M63" s="22" t="str">
        <f aca="false">IF(I63="SUBSTANTIATED","",IF(J63&gt;0,"Priority 1","Priority 2"))</f>
        <v>Priority 2</v>
      </c>
      <c r="N63" s="22" t="s">
        <v>15</v>
      </c>
    </row>
    <row r="64" customFormat="false" ht="15" hidden="false" customHeight="false" outlineLevel="0" collapsed="false">
      <c r="A64" s="22" t="s">
        <v>11115</v>
      </c>
      <c r="B64" s="23" t="n">
        <v>45255</v>
      </c>
      <c r="C64" s="22" t="s">
        <v>6015</v>
      </c>
      <c r="D64" s="22" t="str">
        <f aca="false">IFERROR(VLOOKUP(C64,'Applicant Lookup'!$A$2:$F$2911,2,FALSE()),"Not found")</f>
        <v>Edward Stanley</v>
      </c>
      <c r="E64" s="22" t="n">
        <v>44.9</v>
      </c>
      <c r="F64" s="22" t="n">
        <v>47.4</v>
      </c>
      <c r="G64" s="22" t="s">
        <v>11116</v>
      </c>
      <c r="H64" s="22" t="n">
        <f aca="false">COUNTIFS('Certificate Check'!$D$6:$D$7,C64,'Certificate Check'!$E$6:$E$7,F64,'Certificate Check'!$G$6:$G$7,B64,'Certificate Check'!$H$6:$H$7,"Y")</f>
        <v>0</v>
      </c>
      <c r="I64" s="22" t="str">
        <f aca="false">IF(H64&gt;0,"SUBSTANTIATED","UNSUBSTANTIATED")</f>
        <v>UNSUBSTANTIATED</v>
      </c>
      <c r="J64" s="22" t="n">
        <f aca="false">COUNTIFS('Skip Audit'!$D$6:$D$314,C64,'Skip Audit'!$C$6:$C$314,"&gt;="&amp;B64)</f>
        <v>0</v>
      </c>
      <c r="K64" s="22"/>
      <c r="L64" s="22" t="str">
        <f aca="false">IF(I64="SUBSTANTIATED","Compliant","No supplied signed certificate or yard measurement sheet")</f>
        <v>No supplied signed certificate or yard measurement sheet</v>
      </c>
      <c r="M64" s="22" t="str">
        <f aca="false">IF(I64="SUBSTANTIATED","",IF(J64&gt;0,"Priority 1","Priority 2"))</f>
        <v>Priority 2</v>
      </c>
      <c r="N64" s="22" t="s">
        <v>15</v>
      </c>
    </row>
    <row r="65" customFormat="false" ht="15" hidden="false" customHeight="false" outlineLevel="0" collapsed="false">
      <c r="A65" s="22" t="s">
        <v>11117</v>
      </c>
      <c r="B65" s="23" t="n">
        <v>45265</v>
      </c>
      <c r="C65" s="22" t="s">
        <v>3699</v>
      </c>
      <c r="D65" s="22" t="str">
        <f aca="false">IFERROR(VLOOKUP(C65,'Applicant Lookup'!$A$2:$F$2911,2,FALSE()),"Not found")</f>
        <v>Richard Dean</v>
      </c>
      <c r="E65" s="22" t="n">
        <v>48.8</v>
      </c>
      <c r="F65" s="22" t="n">
        <v>47.6</v>
      </c>
      <c r="G65" s="22" t="s">
        <v>11118</v>
      </c>
      <c r="H65" s="22" t="n">
        <f aca="false">COUNTIFS('Certificate Check'!$D$6:$D$7,C65,'Certificate Check'!$E$6:$E$7,F65,'Certificate Check'!$G$6:$G$7,B65,'Certificate Check'!$H$6:$H$7,"Y")</f>
        <v>0</v>
      </c>
      <c r="I65" s="22" t="str">
        <f aca="false">IF(H65&gt;0,"SUBSTANTIATED","UNSUBSTANTIATED")</f>
        <v>UNSUBSTANTIATED</v>
      </c>
      <c r="J65" s="22" t="n">
        <f aca="false">COUNTIFS('Skip Audit'!$D$6:$D$314,C65,'Skip Audit'!$C$6:$C$314,"&gt;="&amp;B65)</f>
        <v>0</v>
      </c>
      <c r="K65" s="22"/>
      <c r="L65" s="22" t="str">
        <f aca="false">IF(I65="SUBSTANTIATED","Compliant","No supplied signed certificate or yard measurement sheet")</f>
        <v>No supplied signed certificate or yard measurement sheet</v>
      </c>
      <c r="M65" s="22" t="str">
        <f aca="false">IF(I65="SUBSTANTIATED","",IF(J65&gt;0,"Priority 1","Priority 2"))</f>
        <v>Priority 2</v>
      </c>
      <c r="N65" s="22" t="s">
        <v>15</v>
      </c>
    </row>
    <row r="66" customFormat="false" ht="15" hidden="false" customHeight="false" outlineLevel="0" collapsed="false">
      <c r="A66" s="22" t="s">
        <v>11119</v>
      </c>
      <c r="B66" s="23" t="n">
        <v>45269</v>
      </c>
      <c r="C66" s="22" t="s">
        <v>1159</v>
      </c>
      <c r="D66" s="22" t="str">
        <f aca="false">IFERROR(VLOOKUP(C66,'Applicant Lookup'!$A$2:$F$2911,2,FALSE()),"Not found")</f>
        <v>Benjamin Willis</v>
      </c>
      <c r="E66" s="22" t="n">
        <v>30</v>
      </c>
      <c r="F66" s="22" t="n">
        <v>28.6</v>
      </c>
      <c r="G66" s="22" t="s">
        <v>11120</v>
      </c>
      <c r="H66" s="22" t="n">
        <f aca="false">COUNTIFS('Certificate Check'!$D$6:$D$7,C66,'Certificate Check'!$E$6:$E$7,F66,'Certificate Check'!$G$6:$G$7,B66,'Certificate Check'!$H$6:$H$7,"Y")</f>
        <v>0</v>
      </c>
      <c r="I66" s="22" t="str">
        <f aca="false">IF(H66&gt;0,"SUBSTANTIATED","UNSUBSTANTIATED")</f>
        <v>UNSUBSTANTIATED</v>
      </c>
      <c r="J66" s="22" t="n">
        <f aca="false">COUNTIFS('Skip Audit'!$D$6:$D$314,C66,'Skip Audit'!$C$6:$C$314,"&gt;="&amp;B66)</f>
        <v>0</v>
      </c>
      <c r="K66" s="22"/>
      <c r="L66" s="22" t="str">
        <f aca="false">IF(I66="SUBSTANTIATED","Compliant","No supplied signed certificate or yard measurement sheet")</f>
        <v>No supplied signed certificate or yard measurement sheet</v>
      </c>
      <c r="M66" s="22" t="str">
        <f aca="false">IF(I66="SUBSTANTIATED","",IF(J66&gt;0,"Priority 1","Priority 2"))</f>
        <v>Priority 2</v>
      </c>
      <c r="N66" s="22" t="s">
        <v>15</v>
      </c>
    </row>
    <row r="67" customFormat="false" ht="15" hidden="false" customHeight="false" outlineLevel="0" collapsed="false">
      <c r="A67" s="22" t="s">
        <v>11121</v>
      </c>
      <c r="B67" s="23" t="n">
        <v>45291</v>
      </c>
      <c r="C67" s="22" t="s">
        <v>1914</v>
      </c>
      <c r="D67" s="22" t="str">
        <f aca="false">IFERROR(VLOOKUP(C67,'Applicant Lookup'!$A$2:$F$2911,2,FALSE()),"Not found")</f>
        <v>Christina Smith</v>
      </c>
      <c r="E67" s="22" t="n">
        <v>31.4</v>
      </c>
      <c r="F67" s="22" t="n">
        <v>34</v>
      </c>
      <c r="G67" s="22" t="s">
        <v>11122</v>
      </c>
      <c r="H67" s="22" t="n">
        <f aca="false">COUNTIFS('Certificate Check'!$D$6:$D$7,C67,'Certificate Check'!$E$6:$E$7,F67,'Certificate Check'!$G$6:$G$7,B67,'Certificate Check'!$H$6:$H$7,"Y")</f>
        <v>0</v>
      </c>
      <c r="I67" s="22" t="str">
        <f aca="false">IF(H67&gt;0,"SUBSTANTIATED","UNSUBSTANTIATED")</f>
        <v>UNSUBSTANTIATED</v>
      </c>
      <c r="J67" s="22" t="n">
        <f aca="false">COUNTIFS('Skip Audit'!$D$6:$D$314,C67,'Skip Audit'!$C$6:$C$314,"&gt;="&amp;B67)</f>
        <v>1</v>
      </c>
      <c r="K67" s="22" t="s">
        <v>10715</v>
      </c>
      <c r="L67" s="22" t="str">
        <f aca="false">IF(I67="SUBSTANTIATED","Compliant","No supplied signed certificate or yard measurement sheet")</f>
        <v>No supplied signed certificate or yard measurement sheet</v>
      </c>
      <c r="M67" s="22" t="str">
        <f aca="false">IF(I67="SUBSTANTIATED","",IF(J67&gt;0,"Priority 1","Priority 2"))</f>
        <v>Priority 1</v>
      </c>
      <c r="N67" s="22" t="s">
        <v>15</v>
      </c>
    </row>
    <row r="68" customFormat="false" ht="15" hidden="false" customHeight="false" outlineLevel="0" collapsed="false">
      <c r="A68" s="22" t="s">
        <v>11123</v>
      </c>
      <c r="B68" s="23" t="n">
        <v>45294</v>
      </c>
      <c r="C68" s="22" t="s">
        <v>1064</v>
      </c>
      <c r="D68" s="22" t="str">
        <f aca="false">IFERROR(VLOOKUP(C68,'Applicant Lookup'!$A$2:$F$2911,2,FALSE()),"Not found")</f>
        <v>Melanie Alvarado</v>
      </c>
      <c r="E68" s="22" t="n">
        <v>41.1</v>
      </c>
      <c r="F68" s="22" t="n">
        <v>38.9</v>
      </c>
      <c r="G68" s="22" t="s">
        <v>11124</v>
      </c>
      <c r="H68" s="22" t="n">
        <f aca="false">COUNTIFS('Certificate Check'!$D$6:$D$7,C68,'Certificate Check'!$E$6:$E$7,F68,'Certificate Check'!$G$6:$G$7,B68,'Certificate Check'!$H$6:$H$7,"Y")</f>
        <v>0</v>
      </c>
      <c r="I68" s="22" t="str">
        <f aca="false">IF(H68&gt;0,"SUBSTANTIATED","UNSUBSTANTIATED")</f>
        <v>UNSUBSTANTIATED</v>
      </c>
      <c r="J68" s="22" t="n">
        <f aca="false">COUNTIFS('Skip Audit'!$D$6:$D$314,C68,'Skip Audit'!$C$6:$C$314,"&gt;="&amp;B68)</f>
        <v>0</v>
      </c>
      <c r="K68" s="22"/>
      <c r="L68" s="22" t="str">
        <f aca="false">IF(I68="SUBSTANTIATED","Compliant","No supplied signed certificate or yard measurement sheet")</f>
        <v>No supplied signed certificate or yard measurement sheet</v>
      </c>
      <c r="M68" s="22" t="str">
        <f aca="false">IF(I68="SUBSTANTIATED","",IF(J68&gt;0,"Priority 1","Priority 2"))</f>
        <v>Priority 2</v>
      </c>
      <c r="N68" s="22" t="s">
        <v>15</v>
      </c>
    </row>
    <row r="69" customFormat="false" ht="15" hidden="false" customHeight="false" outlineLevel="0" collapsed="false">
      <c r="A69" s="22" t="s">
        <v>11125</v>
      </c>
      <c r="B69" s="23" t="n">
        <v>45298</v>
      </c>
      <c r="C69" s="22" t="s">
        <v>1784</v>
      </c>
      <c r="D69" s="22" t="str">
        <f aca="false">IFERROR(VLOOKUP(C69,'Applicant Lookup'!$A$2:$F$2911,2,FALSE()),"Not found")</f>
        <v>Carmen Montgomery</v>
      </c>
      <c r="E69" s="22" t="n">
        <v>35.4</v>
      </c>
      <c r="F69" s="22" t="n">
        <v>34.3</v>
      </c>
      <c r="G69" s="22" t="s">
        <v>11126</v>
      </c>
      <c r="H69" s="22" t="n">
        <f aca="false">COUNTIFS('Certificate Check'!$D$6:$D$7,C69,'Certificate Check'!$E$6:$E$7,F69,'Certificate Check'!$G$6:$G$7,B69,'Certificate Check'!$H$6:$H$7,"Y")</f>
        <v>0</v>
      </c>
      <c r="I69" s="22" t="str">
        <f aca="false">IF(H69&gt;0,"SUBSTANTIATED","UNSUBSTANTIATED")</f>
        <v>UNSUBSTANTIATED</v>
      </c>
      <c r="J69" s="22" t="n">
        <f aca="false">COUNTIFS('Skip Audit'!$D$6:$D$314,C69,'Skip Audit'!$C$6:$C$314,"&gt;="&amp;B69)</f>
        <v>0</v>
      </c>
      <c r="K69" s="22"/>
      <c r="L69" s="22" t="str">
        <f aca="false">IF(I69="SUBSTANTIATED","Compliant","No supplied signed certificate or yard measurement sheet")</f>
        <v>No supplied signed certificate or yard measurement sheet</v>
      </c>
      <c r="M69" s="22" t="str">
        <f aca="false">IF(I69="SUBSTANTIATED","",IF(J69&gt;0,"Priority 1","Priority 2"))</f>
        <v>Priority 2</v>
      </c>
      <c r="N69" s="22" t="s">
        <v>15</v>
      </c>
    </row>
    <row r="70" customFormat="false" ht="15" hidden="false" customHeight="false" outlineLevel="0" collapsed="false">
      <c r="A70" s="22" t="s">
        <v>11127</v>
      </c>
      <c r="B70" s="23" t="n">
        <v>45302</v>
      </c>
      <c r="C70" s="22" t="s">
        <v>1789</v>
      </c>
      <c r="D70" s="22" t="str">
        <f aca="false">IFERROR(VLOOKUP(C70,'Applicant Lookup'!$A$2:$F$2911,2,FALSE()),"Not found")</f>
        <v>Scott Lee</v>
      </c>
      <c r="E70" s="22" t="n">
        <v>45.3</v>
      </c>
      <c r="F70" s="22" t="n">
        <v>47</v>
      </c>
      <c r="G70" s="22" t="s">
        <v>11128</v>
      </c>
      <c r="H70" s="22" t="n">
        <f aca="false">COUNTIFS('Certificate Check'!$D$6:$D$7,C70,'Certificate Check'!$E$6:$E$7,F70,'Certificate Check'!$G$6:$G$7,B70,'Certificate Check'!$H$6:$H$7,"Y")</f>
        <v>0</v>
      </c>
      <c r="I70" s="22" t="str">
        <f aca="false">IF(H70&gt;0,"SUBSTANTIATED","UNSUBSTANTIATED")</f>
        <v>UNSUBSTANTIATED</v>
      </c>
      <c r="J70" s="22" t="n">
        <f aca="false">COUNTIFS('Skip Audit'!$D$6:$D$314,C70,'Skip Audit'!$C$6:$C$314,"&gt;="&amp;B70)</f>
        <v>0</v>
      </c>
      <c r="K70" s="22"/>
      <c r="L70" s="22" t="str">
        <f aca="false">IF(I70="SUBSTANTIATED","Compliant","No supplied signed certificate or yard measurement sheet")</f>
        <v>No supplied signed certificate or yard measurement sheet</v>
      </c>
      <c r="M70" s="22" t="str">
        <f aca="false">IF(I70="SUBSTANTIATED","",IF(J70&gt;0,"Priority 1","Priority 2"))</f>
        <v>Priority 2</v>
      </c>
      <c r="N70" s="22" t="s">
        <v>15</v>
      </c>
    </row>
    <row r="71" customFormat="false" ht="15" hidden="false" customHeight="false" outlineLevel="0" collapsed="false">
      <c r="A71" s="22" t="s">
        <v>11129</v>
      </c>
      <c r="B71" s="23" t="n">
        <v>45314</v>
      </c>
      <c r="C71" s="22" t="s">
        <v>2497</v>
      </c>
      <c r="D71" s="22" t="str">
        <f aca="false">IFERROR(VLOOKUP(C71,'Applicant Lookup'!$A$2:$F$2911,2,FALSE()),"Not found")</f>
        <v>Debbie Brady</v>
      </c>
      <c r="E71" s="22" t="n">
        <v>21.2</v>
      </c>
      <c r="F71" s="22" t="n">
        <v>18.8</v>
      </c>
      <c r="G71" s="22" t="s">
        <v>11130</v>
      </c>
      <c r="H71" s="22" t="n">
        <f aca="false">COUNTIFS('Certificate Check'!$D$6:$D$7,C71,'Certificate Check'!$E$6:$E$7,F71,'Certificate Check'!$G$6:$G$7,B71,'Certificate Check'!$H$6:$H$7,"Y")</f>
        <v>0</v>
      </c>
      <c r="I71" s="22" t="str">
        <f aca="false">IF(H71&gt;0,"SUBSTANTIATED","UNSUBSTANTIATED")</f>
        <v>UNSUBSTANTIATED</v>
      </c>
      <c r="J71" s="22" t="n">
        <f aca="false">COUNTIFS('Skip Audit'!$D$6:$D$314,C71,'Skip Audit'!$C$6:$C$314,"&gt;="&amp;B71)</f>
        <v>0</v>
      </c>
      <c r="K71" s="22"/>
      <c r="L71" s="22" t="str">
        <f aca="false">IF(I71="SUBSTANTIATED","Compliant","No supplied signed certificate or yard measurement sheet")</f>
        <v>No supplied signed certificate or yard measurement sheet</v>
      </c>
      <c r="M71" s="22" t="str">
        <f aca="false">IF(I71="SUBSTANTIATED","",IF(J71&gt;0,"Priority 1","Priority 2"))</f>
        <v>Priority 2</v>
      </c>
      <c r="N71" s="22" t="s">
        <v>15</v>
      </c>
    </row>
    <row r="72" customFormat="false" ht="15" hidden="false" customHeight="false" outlineLevel="0" collapsed="false">
      <c r="A72" s="22" t="s">
        <v>11131</v>
      </c>
      <c r="B72" s="23" t="n">
        <v>45329</v>
      </c>
      <c r="C72" s="22" t="s">
        <v>216</v>
      </c>
      <c r="D72" s="22" t="str">
        <f aca="false">IFERROR(VLOOKUP(C72,'Applicant Lookup'!$A$2:$F$2911,2,FALSE()),"Not found")</f>
        <v>Hector Gutierrez</v>
      </c>
      <c r="E72" s="22" t="n">
        <v>30.3</v>
      </c>
      <c r="F72" s="22" t="n">
        <v>30</v>
      </c>
      <c r="G72" s="22" t="s">
        <v>11132</v>
      </c>
      <c r="H72" s="22" t="n">
        <f aca="false">COUNTIFS('Certificate Check'!$D$6:$D$7,C72,'Certificate Check'!$E$6:$E$7,F72,'Certificate Check'!$G$6:$G$7,B72,'Certificate Check'!$H$6:$H$7,"Y")</f>
        <v>0</v>
      </c>
      <c r="I72" s="22" t="str">
        <f aca="false">IF(H72&gt;0,"SUBSTANTIATED","UNSUBSTANTIATED")</f>
        <v>UNSUBSTANTIATED</v>
      </c>
      <c r="J72" s="22" t="n">
        <f aca="false">COUNTIFS('Skip Audit'!$D$6:$D$314,C72,'Skip Audit'!$C$6:$C$314,"&gt;="&amp;B72)</f>
        <v>0</v>
      </c>
      <c r="K72" s="22"/>
      <c r="L72" s="22" t="str">
        <f aca="false">IF(I72="SUBSTANTIATED","Compliant","No supplied signed certificate or yard measurement sheet")</f>
        <v>No supplied signed certificate or yard measurement sheet</v>
      </c>
      <c r="M72" s="22" t="str">
        <f aca="false">IF(I72="SUBSTANTIATED","",IF(J72&gt;0,"Priority 1","Priority 2"))</f>
        <v>Priority 2</v>
      </c>
      <c r="N72" s="22" t="s">
        <v>15</v>
      </c>
    </row>
    <row r="73" customFormat="false" ht="15" hidden="false" customHeight="false" outlineLevel="0" collapsed="false">
      <c r="A73" s="22" t="s">
        <v>11133</v>
      </c>
      <c r="B73" s="23" t="n">
        <v>45340</v>
      </c>
      <c r="C73" s="22" t="s">
        <v>2479</v>
      </c>
      <c r="D73" s="22" t="str">
        <f aca="false">IFERROR(VLOOKUP(C73,'Applicant Lookup'!$A$2:$F$2911,2,FALSE()),"Not found")</f>
        <v>Margaret Mcbride</v>
      </c>
      <c r="E73" s="22" t="n">
        <v>49.1</v>
      </c>
      <c r="F73" s="22" t="n">
        <v>50.4</v>
      </c>
      <c r="G73" s="22" t="s">
        <v>11134</v>
      </c>
      <c r="H73" s="22" t="n">
        <f aca="false">COUNTIFS('Certificate Check'!$D$6:$D$7,C73,'Certificate Check'!$E$6:$E$7,F73,'Certificate Check'!$G$6:$G$7,B73,'Certificate Check'!$H$6:$H$7,"Y")</f>
        <v>0</v>
      </c>
      <c r="I73" s="22" t="str">
        <f aca="false">IF(H73&gt;0,"SUBSTANTIATED","UNSUBSTANTIATED")</f>
        <v>UNSUBSTANTIATED</v>
      </c>
      <c r="J73" s="22" t="n">
        <f aca="false">COUNTIFS('Skip Audit'!$D$6:$D$314,C73,'Skip Audit'!$C$6:$C$314,"&gt;="&amp;B73)</f>
        <v>0</v>
      </c>
      <c r="K73" s="22"/>
      <c r="L73" s="22" t="str">
        <f aca="false">IF(I73="SUBSTANTIATED","Compliant","No supplied signed certificate or yard measurement sheet")</f>
        <v>No supplied signed certificate or yard measurement sheet</v>
      </c>
      <c r="M73" s="22" t="str">
        <f aca="false">IF(I73="SUBSTANTIATED","",IF(J73&gt;0,"Priority 1","Priority 2"))</f>
        <v>Priority 2</v>
      </c>
      <c r="N73" s="22" t="s">
        <v>15</v>
      </c>
    </row>
    <row r="74" customFormat="false" ht="15" hidden="false" customHeight="false" outlineLevel="0" collapsed="false">
      <c r="A74" s="22" t="s">
        <v>11135</v>
      </c>
      <c r="B74" s="23" t="n">
        <v>45360</v>
      </c>
      <c r="C74" s="22" t="s">
        <v>5284</v>
      </c>
      <c r="D74" s="22" t="str">
        <f aca="false">IFERROR(VLOOKUP(C74,'Applicant Lookup'!$A$2:$F$2911,2,FALSE()),"Not found")</f>
        <v>Matthew Contreras</v>
      </c>
      <c r="E74" s="22" t="n">
        <v>48.8</v>
      </c>
      <c r="F74" s="22" t="n">
        <v>48.7</v>
      </c>
      <c r="G74" s="22" t="s">
        <v>11136</v>
      </c>
      <c r="H74" s="22" t="n">
        <f aca="false">COUNTIFS('Certificate Check'!$D$6:$D$7,C74,'Certificate Check'!$E$6:$E$7,F74,'Certificate Check'!$G$6:$G$7,B74,'Certificate Check'!$H$6:$H$7,"Y")</f>
        <v>0</v>
      </c>
      <c r="I74" s="22" t="str">
        <f aca="false">IF(H74&gt;0,"SUBSTANTIATED","UNSUBSTANTIATED")</f>
        <v>UNSUBSTANTIATED</v>
      </c>
      <c r="J74" s="22" t="n">
        <f aca="false">COUNTIFS('Skip Audit'!$D$6:$D$314,C74,'Skip Audit'!$C$6:$C$314,"&gt;="&amp;B74)</f>
        <v>0</v>
      </c>
      <c r="K74" s="22"/>
      <c r="L74" s="22" t="str">
        <f aca="false">IF(I74="SUBSTANTIATED","Compliant","No supplied signed certificate or yard measurement sheet")</f>
        <v>No supplied signed certificate or yard measurement sheet</v>
      </c>
      <c r="M74" s="22" t="str">
        <f aca="false">IF(I74="SUBSTANTIATED","",IF(J74&gt;0,"Priority 1","Priority 2"))</f>
        <v>Priority 2</v>
      </c>
      <c r="N74" s="22" t="s">
        <v>15</v>
      </c>
    </row>
    <row r="75" customFormat="false" ht="15" hidden="false" customHeight="false" outlineLevel="0" collapsed="false">
      <c r="A75" s="22" t="s">
        <v>11137</v>
      </c>
      <c r="B75" s="23" t="n">
        <v>45381</v>
      </c>
      <c r="C75" s="22" t="s">
        <v>2637</v>
      </c>
      <c r="D75" s="22" t="str">
        <f aca="false">IFERROR(VLOOKUP(C75,'Applicant Lookup'!$A$2:$F$2911,2,FALSE()),"Not found")</f>
        <v>Kristen Williams</v>
      </c>
      <c r="E75" s="22" t="n">
        <v>22.8</v>
      </c>
      <c r="F75" s="22" t="n">
        <v>19.9</v>
      </c>
      <c r="G75" s="22"/>
      <c r="H75" s="22" t="n">
        <f aca="false">COUNTIFS('Certificate Check'!$D$6:$D$7,C75,'Certificate Check'!$E$6:$E$7,F75,'Certificate Check'!$G$6:$G$7,B75,'Certificate Check'!$H$6:$H$7,"Y")</f>
        <v>0</v>
      </c>
      <c r="I75" s="22" t="str">
        <f aca="false">IF(H75&gt;0,"SUBSTANTIATED","UNSUBSTANTIATED")</f>
        <v>UNSUBSTANTIATED</v>
      </c>
      <c r="J75" s="22" t="n">
        <f aca="false">COUNTIFS('Skip Audit'!$D$6:$D$314,C75,'Skip Audit'!$C$6:$C$314,"&gt;="&amp;B75)</f>
        <v>0</v>
      </c>
      <c r="K75" s="22"/>
      <c r="L75" s="22" t="str">
        <f aca="false">IF(I75="SUBSTANTIATED","Compliant","No supplied signed certificate or yard measurement sheet")</f>
        <v>No supplied signed certificate or yard measurement sheet</v>
      </c>
      <c r="M75" s="22" t="str">
        <f aca="false">IF(I75="SUBSTANTIATED","",IF(J75&gt;0,"Priority 1","Priority 2"))</f>
        <v>Priority 2</v>
      </c>
      <c r="N75" s="22" t="s">
        <v>15</v>
      </c>
    </row>
    <row r="76" customFormat="false" ht="15" hidden="false" customHeight="false" outlineLevel="0" collapsed="false">
      <c r="A76" s="22" t="s">
        <v>11138</v>
      </c>
      <c r="B76" s="23" t="n">
        <v>45383</v>
      </c>
      <c r="C76" s="22" t="s">
        <v>243</v>
      </c>
      <c r="D76" s="22" t="str">
        <f aca="false">IFERROR(VLOOKUP(C76,'Applicant Lookup'!$A$2:$F$2911,2,FALSE()),"Not found")</f>
        <v>Rachel Jones</v>
      </c>
      <c r="E76" s="22" t="n">
        <v>22.4</v>
      </c>
      <c r="F76" s="22" t="n">
        <v>23</v>
      </c>
      <c r="G76" s="22" t="s">
        <v>11139</v>
      </c>
      <c r="H76" s="22" t="n">
        <f aca="false">COUNTIFS('Certificate Check'!$D$6:$D$7,C76,'Certificate Check'!$E$6:$E$7,F76,'Certificate Check'!$G$6:$G$7,B76,'Certificate Check'!$H$6:$H$7,"Y")</f>
        <v>0</v>
      </c>
      <c r="I76" s="22" t="str">
        <f aca="false">IF(H76&gt;0,"SUBSTANTIATED","UNSUBSTANTIATED")</f>
        <v>UNSUBSTANTIATED</v>
      </c>
      <c r="J76" s="22" t="n">
        <f aca="false">COUNTIFS('Skip Audit'!$D$6:$D$314,C76,'Skip Audit'!$C$6:$C$314,"&gt;="&amp;B76)</f>
        <v>0</v>
      </c>
      <c r="K76" s="22"/>
      <c r="L76" s="22" t="str">
        <f aca="false">IF(I76="SUBSTANTIATED","Compliant","No supplied signed certificate or yard measurement sheet")</f>
        <v>No supplied signed certificate or yard measurement sheet</v>
      </c>
      <c r="M76" s="22" t="str">
        <f aca="false">IF(I76="SUBSTANTIATED","",IF(J76&gt;0,"Priority 1","Priority 2"))</f>
        <v>Priority 2</v>
      </c>
      <c r="N76" s="22" t="s">
        <v>15</v>
      </c>
    </row>
    <row r="77" customFormat="false" ht="15" hidden="false" customHeight="false" outlineLevel="0" collapsed="false">
      <c r="A77" s="22" t="s">
        <v>11140</v>
      </c>
      <c r="B77" s="23" t="n">
        <v>45393</v>
      </c>
      <c r="C77" s="22" t="s">
        <v>4629</v>
      </c>
      <c r="D77" s="22" t="str">
        <f aca="false">IFERROR(VLOOKUP(C77,'Applicant Lookup'!$A$2:$F$2911,2,FALSE()),"Not found")</f>
        <v>Travis Young</v>
      </c>
      <c r="E77" s="22" t="n">
        <v>32.2</v>
      </c>
      <c r="F77" s="22" t="n">
        <v>29.9</v>
      </c>
      <c r="G77" s="22" t="s">
        <v>11141</v>
      </c>
      <c r="H77" s="22" t="n">
        <f aca="false">COUNTIFS('Certificate Check'!$D$6:$D$7,C77,'Certificate Check'!$E$6:$E$7,F77,'Certificate Check'!$G$6:$G$7,B77,'Certificate Check'!$H$6:$H$7,"Y")</f>
        <v>0</v>
      </c>
      <c r="I77" s="22" t="str">
        <f aca="false">IF(H77&gt;0,"SUBSTANTIATED","UNSUBSTANTIATED")</f>
        <v>UNSUBSTANTIATED</v>
      </c>
      <c r="J77" s="22" t="n">
        <f aca="false">COUNTIFS('Skip Audit'!$D$6:$D$314,C77,'Skip Audit'!$C$6:$C$314,"&gt;="&amp;B77)</f>
        <v>0</v>
      </c>
      <c r="K77" s="22"/>
      <c r="L77" s="22" t="str">
        <f aca="false">IF(I77="SUBSTANTIATED","Compliant","No supplied signed certificate or yard measurement sheet")</f>
        <v>No supplied signed certificate or yard measurement sheet</v>
      </c>
      <c r="M77" s="22" t="str">
        <f aca="false">IF(I77="SUBSTANTIATED","",IF(J77&gt;0,"Priority 1","Priority 2"))</f>
        <v>Priority 2</v>
      </c>
      <c r="N77" s="22" t="s">
        <v>15</v>
      </c>
    </row>
    <row r="78" customFormat="false" ht="15" hidden="false" customHeight="false" outlineLevel="0" collapsed="false">
      <c r="A78" s="22" t="s">
        <v>11142</v>
      </c>
      <c r="B78" s="23" t="n">
        <v>45395</v>
      </c>
      <c r="C78" s="22" t="s">
        <v>3010</v>
      </c>
      <c r="D78" s="22" t="str">
        <f aca="false">IFERROR(VLOOKUP(C78,'Applicant Lookup'!$A$2:$F$2911,2,FALSE()),"Not found")</f>
        <v>Jonathan Anderson</v>
      </c>
      <c r="E78" s="22" t="n">
        <v>34.8</v>
      </c>
      <c r="F78" s="22" t="n">
        <v>34.9</v>
      </c>
      <c r="G78" s="22" t="s">
        <v>11143</v>
      </c>
      <c r="H78" s="22" t="n">
        <f aca="false">COUNTIFS('Certificate Check'!$D$6:$D$7,C78,'Certificate Check'!$E$6:$E$7,F78,'Certificate Check'!$G$6:$G$7,B78,'Certificate Check'!$H$6:$H$7,"Y")</f>
        <v>0</v>
      </c>
      <c r="I78" s="22" t="str">
        <f aca="false">IF(H78&gt;0,"SUBSTANTIATED","UNSUBSTANTIATED")</f>
        <v>UNSUBSTANTIATED</v>
      </c>
      <c r="J78" s="22" t="n">
        <f aca="false">COUNTIFS('Skip Audit'!$D$6:$D$314,C78,'Skip Audit'!$C$6:$C$314,"&gt;="&amp;B78)</f>
        <v>1</v>
      </c>
      <c r="K78" s="22" t="s">
        <v>10826</v>
      </c>
      <c r="L78" s="22" t="str">
        <f aca="false">IF(I78="SUBSTANTIATED","Compliant","No supplied signed certificate or yard measurement sheet")</f>
        <v>No supplied signed certificate or yard measurement sheet</v>
      </c>
      <c r="M78" s="22" t="str">
        <f aca="false">IF(I78="SUBSTANTIATED","",IF(J78&gt;0,"Priority 1","Priority 2"))</f>
        <v>Priority 1</v>
      </c>
      <c r="N78" s="22" t="s">
        <v>15</v>
      </c>
    </row>
    <row r="79" customFormat="false" ht="15" hidden="false" customHeight="false" outlineLevel="0" collapsed="false">
      <c r="A79" s="22" t="s">
        <v>11144</v>
      </c>
      <c r="B79" s="23" t="n">
        <v>45399</v>
      </c>
      <c r="C79" s="22" t="s">
        <v>2924</v>
      </c>
      <c r="D79" s="22" t="str">
        <f aca="false">IFERROR(VLOOKUP(C79,'Applicant Lookup'!$A$2:$F$2911,2,FALSE()),"Not found")</f>
        <v>Kevin Terry</v>
      </c>
      <c r="E79" s="22" t="n">
        <v>27.4</v>
      </c>
      <c r="F79" s="22" t="n">
        <v>26.4</v>
      </c>
      <c r="G79" s="22" t="s">
        <v>11145</v>
      </c>
      <c r="H79" s="22" t="n">
        <f aca="false">COUNTIFS('Certificate Check'!$D$6:$D$7,C79,'Certificate Check'!$E$6:$E$7,F79,'Certificate Check'!$G$6:$G$7,B79,'Certificate Check'!$H$6:$H$7,"Y")</f>
        <v>0</v>
      </c>
      <c r="I79" s="22" t="str">
        <f aca="false">IF(H79&gt;0,"SUBSTANTIATED","UNSUBSTANTIATED")</f>
        <v>UNSUBSTANTIATED</v>
      </c>
      <c r="J79" s="22" t="n">
        <f aca="false">COUNTIFS('Skip Audit'!$D$6:$D$314,C79,'Skip Audit'!$C$6:$C$314,"&gt;="&amp;B79)</f>
        <v>0</v>
      </c>
      <c r="K79" s="22"/>
      <c r="L79" s="22" t="str">
        <f aca="false">IF(I79="SUBSTANTIATED","Compliant","No supplied signed certificate or yard measurement sheet")</f>
        <v>No supplied signed certificate or yard measurement sheet</v>
      </c>
      <c r="M79" s="22" t="str">
        <f aca="false">IF(I79="SUBSTANTIATED","",IF(J79&gt;0,"Priority 1","Priority 2"))</f>
        <v>Priority 2</v>
      </c>
      <c r="N79" s="22" t="s">
        <v>15</v>
      </c>
    </row>
    <row r="80" customFormat="false" ht="15" hidden="false" customHeight="false" outlineLevel="0" collapsed="false">
      <c r="A80" s="22" t="s">
        <v>11146</v>
      </c>
      <c r="B80" s="23" t="n">
        <v>45402</v>
      </c>
      <c r="C80" s="22" t="s">
        <v>3896</v>
      </c>
      <c r="D80" s="22" t="str">
        <f aca="false">IFERROR(VLOOKUP(C80,'Applicant Lookup'!$A$2:$F$2911,2,FALSE()),"Not found")</f>
        <v>Stacy Hernandez</v>
      </c>
      <c r="E80" s="22" t="n">
        <v>39.3</v>
      </c>
      <c r="F80" s="22" t="n">
        <v>42.2</v>
      </c>
      <c r="G80" s="22" t="s">
        <v>11147</v>
      </c>
      <c r="H80" s="22" t="n">
        <f aca="false">COUNTIFS('Certificate Check'!$D$6:$D$7,C80,'Certificate Check'!$E$6:$E$7,F80,'Certificate Check'!$G$6:$G$7,B80,'Certificate Check'!$H$6:$H$7,"Y")</f>
        <v>0</v>
      </c>
      <c r="I80" s="22" t="str">
        <f aca="false">IF(H80&gt;0,"SUBSTANTIATED","UNSUBSTANTIATED")</f>
        <v>UNSUBSTANTIATED</v>
      </c>
      <c r="J80" s="22" t="n">
        <f aca="false">COUNTIFS('Skip Audit'!$D$6:$D$314,C80,'Skip Audit'!$C$6:$C$314,"&gt;="&amp;B80)</f>
        <v>0</v>
      </c>
      <c r="K80" s="22"/>
      <c r="L80" s="22" t="str">
        <f aca="false">IF(I80="SUBSTANTIATED","Compliant","No supplied signed certificate or yard measurement sheet")</f>
        <v>No supplied signed certificate or yard measurement sheet</v>
      </c>
      <c r="M80" s="22" t="str">
        <f aca="false">IF(I80="SUBSTANTIATED","",IF(J80&gt;0,"Priority 1","Priority 2"))</f>
        <v>Priority 2</v>
      </c>
      <c r="N80" s="22" t="s">
        <v>15</v>
      </c>
    </row>
    <row r="81" customFormat="false" ht="15" hidden="false" customHeight="false" outlineLevel="0" collapsed="false">
      <c r="A81" s="22" t="s">
        <v>11148</v>
      </c>
      <c r="B81" s="23" t="n">
        <v>45426</v>
      </c>
      <c r="C81" s="22" t="s">
        <v>4008</v>
      </c>
      <c r="D81" s="22" t="str">
        <f aca="false">IFERROR(VLOOKUP(C81,'Applicant Lookup'!$A$2:$F$2911,2,FALSE()),"Not found")</f>
        <v>Seth Perez</v>
      </c>
      <c r="E81" s="22" t="n">
        <v>44.6</v>
      </c>
      <c r="F81" s="22" t="n">
        <v>41.8</v>
      </c>
      <c r="G81" s="22" t="s">
        <v>11149</v>
      </c>
      <c r="H81" s="22" t="n">
        <f aca="false">COUNTIFS('Certificate Check'!$D$6:$D$7,C81,'Certificate Check'!$E$6:$E$7,F81,'Certificate Check'!$G$6:$G$7,B81,'Certificate Check'!$H$6:$H$7,"Y")</f>
        <v>0</v>
      </c>
      <c r="I81" s="22" t="str">
        <f aca="false">IF(H81&gt;0,"SUBSTANTIATED","UNSUBSTANTIATED")</f>
        <v>UNSUBSTANTIATED</v>
      </c>
      <c r="J81" s="22" t="n">
        <f aca="false">COUNTIFS('Skip Audit'!$D$6:$D$314,C81,'Skip Audit'!$C$6:$C$314,"&gt;="&amp;B81)</f>
        <v>0</v>
      </c>
      <c r="K81" s="22"/>
      <c r="L81" s="22" t="str">
        <f aca="false">IF(I81="SUBSTANTIATED","Compliant","No supplied signed certificate or yard measurement sheet")</f>
        <v>No supplied signed certificate or yard measurement sheet</v>
      </c>
      <c r="M81" s="22" t="str">
        <f aca="false">IF(I81="SUBSTANTIATED","",IF(J81&gt;0,"Priority 1","Priority 2"))</f>
        <v>Priority 2</v>
      </c>
      <c r="N81" s="22" t="s">
        <v>15</v>
      </c>
    </row>
    <row r="82" customFormat="false" ht="15" hidden="false" customHeight="false" outlineLevel="0" collapsed="false">
      <c r="A82" s="22" t="s">
        <v>11150</v>
      </c>
      <c r="B82" s="23" t="n">
        <v>45439</v>
      </c>
      <c r="C82" s="22" t="s">
        <v>322</v>
      </c>
      <c r="D82" s="22" t="str">
        <f aca="false">IFERROR(VLOOKUP(C82,'Applicant Lookup'!$A$2:$F$2911,2,FALSE()),"Not found")</f>
        <v>Cynthia Smith</v>
      </c>
      <c r="E82" s="22" t="n">
        <v>37.1</v>
      </c>
      <c r="F82" s="22" t="n">
        <v>34.5</v>
      </c>
      <c r="G82" s="22" t="s">
        <v>11151</v>
      </c>
      <c r="H82" s="22" t="n">
        <f aca="false">COUNTIFS('Certificate Check'!$D$6:$D$7,C82,'Certificate Check'!$E$6:$E$7,F82,'Certificate Check'!$G$6:$G$7,B82,'Certificate Check'!$H$6:$H$7,"Y")</f>
        <v>0</v>
      </c>
      <c r="I82" s="22" t="str">
        <f aca="false">IF(H82&gt;0,"SUBSTANTIATED","UNSUBSTANTIATED")</f>
        <v>UNSUBSTANTIATED</v>
      </c>
      <c r="J82" s="22" t="n">
        <f aca="false">COUNTIFS('Skip Audit'!$D$6:$D$314,C82,'Skip Audit'!$C$6:$C$314,"&gt;="&amp;B82)</f>
        <v>0</v>
      </c>
      <c r="K82" s="22"/>
      <c r="L82" s="22" t="str">
        <f aca="false">IF(I82="SUBSTANTIATED","Compliant","No supplied signed certificate or yard measurement sheet")</f>
        <v>No supplied signed certificate or yard measurement sheet</v>
      </c>
      <c r="M82" s="22" t="str">
        <f aca="false">IF(I82="SUBSTANTIATED","",IF(J82&gt;0,"Priority 1","Priority 2"))</f>
        <v>Priority 2</v>
      </c>
      <c r="N82" s="22" t="s">
        <v>15</v>
      </c>
    </row>
    <row r="83" customFormat="false" ht="15" hidden="false" customHeight="false" outlineLevel="0" collapsed="false">
      <c r="A83" s="22" t="s">
        <v>11152</v>
      </c>
      <c r="B83" s="23" t="n">
        <v>45440</v>
      </c>
      <c r="C83" s="22" t="s">
        <v>2234</v>
      </c>
      <c r="D83" s="22" t="str">
        <f aca="false">IFERROR(VLOOKUP(C83,'Applicant Lookup'!$A$2:$F$2911,2,FALSE()),"Not found")</f>
        <v>Jeanne Bennett</v>
      </c>
      <c r="E83" s="22" t="n">
        <v>33</v>
      </c>
      <c r="F83" s="22" t="n">
        <v>34.8</v>
      </c>
      <c r="G83" s="22" t="s">
        <v>11153</v>
      </c>
      <c r="H83" s="22" t="n">
        <f aca="false">COUNTIFS('Certificate Check'!$D$6:$D$7,C83,'Certificate Check'!$E$6:$E$7,F83,'Certificate Check'!$G$6:$G$7,B83,'Certificate Check'!$H$6:$H$7,"Y")</f>
        <v>0</v>
      </c>
      <c r="I83" s="22" t="str">
        <f aca="false">IF(H83&gt;0,"SUBSTANTIATED","UNSUBSTANTIATED")</f>
        <v>UNSUBSTANTIATED</v>
      </c>
      <c r="J83" s="22" t="n">
        <f aca="false">COUNTIFS('Skip Audit'!$D$6:$D$314,C83,'Skip Audit'!$C$6:$C$314,"&gt;="&amp;B83)</f>
        <v>0</v>
      </c>
      <c r="K83" s="22"/>
      <c r="L83" s="22" t="str">
        <f aca="false">IF(I83="SUBSTANTIATED","Compliant","No supplied signed certificate or yard measurement sheet")</f>
        <v>No supplied signed certificate or yard measurement sheet</v>
      </c>
      <c r="M83" s="22" t="str">
        <f aca="false">IF(I83="SUBSTANTIATED","",IF(J83&gt;0,"Priority 1","Priority 2"))</f>
        <v>Priority 2</v>
      </c>
      <c r="N83" s="22" t="s">
        <v>15</v>
      </c>
    </row>
    <row r="84" customFormat="false" ht="15" hidden="false" customHeight="false" outlineLevel="0" collapsed="false">
      <c r="A84" s="22" t="s">
        <v>11154</v>
      </c>
      <c r="B84" s="23" t="n">
        <v>45441</v>
      </c>
      <c r="C84" s="22" t="s">
        <v>1284</v>
      </c>
      <c r="D84" s="22" t="str">
        <f aca="false">IFERROR(VLOOKUP(C84,'Applicant Lookup'!$A$2:$F$2911,2,FALSE()),"Not found")</f>
        <v>Amanda Graham</v>
      </c>
      <c r="E84" s="22" t="n">
        <v>42.5</v>
      </c>
      <c r="F84" s="22" t="n">
        <v>41.8</v>
      </c>
      <c r="G84" s="22" t="s">
        <v>11155</v>
      </c>
      <c r="H84" s="22" t="n">
        <f aca="false">COUNTIFS('Certificate Check'!$D$6:$D$7,C84,'Certificate Check'!$E$6:$E$7,F84,'Certificate Check'!$G$6:$G$7,B84,'Certificate Check'!$H$6:$H$7,"Y")</f>
        <v>0</v>
      </c>
      <c r="I84" s="22" t="str">
        <f aca="false">IF(H84&gt;0,"SUBSTANTIATED","UNSUBSTANTIATED")</f>
        <v>UNSUBSTANTIATED</v>
      </c>
      <c r="J84" s="22" t="n">
        <f aca="false">COUNTIFS('Skip Audit'!$D$6:$D$314,C84,'Skip Audit'!$C$6:$C$314,"&gt;="&amp;B84)</f>
        <v>0</v>
      </c>
      <c r="K84" s="22"/>
      <c r="L84" s="22" t="str">
        <f aca="false">IF(I84="SUBSTANTIATED","Compliant","No supplied signed certificate or yard measurement sheet")</f>
        <v>No supplied signed certificate or yard measurement sheet</v>
      </c>
      <c r="M84" s="22" t="str">
        <f aca="false">IF(I84="SUBSTANTIATED","",IF(J84&gt;0,"Priority 1","Priority 2"))</f>
        <v>Priority 2</v>
      </c>
      <c r="N84" s="22" t="s">
        <v>15</v>
      </c>
    </row>
    <row r="85" customFormat="false" ht="15" hidden="false" customHeight="false" outlineLevel="0" collapsed="false">
      <c r="A85" s="22" t="s">
        <v>11156</v>
      </c>
      <c r="B85" s="23" t="n">
        <v>45464</v>
      </c>
      <c r="C85" s="22" t="s">
        <v>155</v>
      </c>
      <c r="D85" s="22" t="str">
        <f aca="false">IFERROR(VLOOKUP(C85,'Applicant Lookup'!$A$2:$F$2911,2,FALSE()),"Not found")</f>
        <v>Valerie Jones</v>
      </c>
      <c r="E85" s="22" t="n">
        <v>50.6</v>
      </c>
      <c r="F85" s="22" t="n">
        <v>50.8</v>
      </c>
      <c r="G85" s="22" t="s">
        <v>11157</v>
      </c>
      <c r="H85" s="22" t="n">
        <f aca="false">COUNTIFS('Certificate Check'!$D$6:$D$7,C85,'Certificate Check'!$E$6:$E$7,F85,'Certificate Check'!$G$6:$G$7,B85,'Certificate Check'!$H$6:$H$7,"Y")</f>
        <v>0</v>
      </c>
      <c r="I85" s="22" t="str">
        <f aca="false">IF(H85&gt;0,"SUBSTANTIATED","UNSUBSTANTIATED")</f>
        <v>UNSUBSTANTIATED</v>
      </c>
      <c r="J85" s="22" t="n">
        <f aca="false">COUNTIFS('Skip Audit'!$D$6:$D$314,C85,'Skip Audit'!$C$6:$C$314,"&gt;="&amp;B85)</f>
        <v>1</v>
      </c>
      <c r="K85" s="22" t="s">
        <v>10734</v>
      </c>
      <c r="L85" s="22" t="str">
        <f aca="false">IF(I85="SUBSTANTIATED","Compliant","No supplied signed certificate or yard measurement sheet")</f>
        <v>No supplied signed certificate or yard measurement sheet</v>
      </c>
      <c r="M85" s="22" t="str">
        <f aca="false">IF(I85="SUBSTANTIATED","",IF(J85&gt;0,"Priority 1","Priority 2"))</f>
        <v>Priority 1</v>
      </c>
      <c r="N85" s="22" t="s">
        <v>15</v>
      </c>
    </row>
    <row r="86" customFormat="false" ht="15" hidden="false" customHeight="false" outlineLevel="0" collapsed="false">
      <c r="A86" s="22" t="s">
        <v>11158</v>
      </c>
      <c r="B86" s="23" t="n">
        <v>45471</v>
      </c>
      <c r="C86" s="22" t="s">
        <v>4041</v>
      </c>
      <c r="D86" s="22" t="str">
        <f aca="false">IFERROR(VLOOKUP(C86,'Applicant Lookup'!$A$2:$F$2911,2,FALSE()),"Not found")</f>
        <v>Susan Thompson</v>
      </c>
      <c r="E86" s="22" t="n">
        <v>39.6</v>
      </c>
      <c r="F86" s="22" t="n">
        <v>37.7</v>
      </c>
      <c r="G86" s="22" t="s">
        <v>11159</v>
      </c>
      <c r="H86" s="22" t="n">
        <f aca="false">COUNTIFS('Certificate Check'!$D$6:$D$7,C86,'Certificate Check'!$E$6:$E$7,F86,'Certificate Check'!$G$6:$G$7,B86,'Certificate Check'!$H$6:$H$7,"Y")</f>
        <v>0</v>
      </c>
      <c r="I86" s="22" t="str">
        <f aca="false">IF(H86&gt;0,"SUBSTANTIATED","UNSUBSTANTIATED")</f>
        <v>UNSUBSTANTIATED</v>
      </c>
      <c r="J86" s="22" t="n">
        <f aca="false">COUNTIFS('Skip Audit'!$D$6:$D$314,C86,'Skip Audit'!$C$6:$C$314,"&gt;="&amp;B86)</f>
        <v>0</v>
      </c>
      <c r="K86" s="22"/>
      <c r="L86" s="22" t="str">
        <f aca="false">IF(I86="SUBSTANTIATED","Compliant","No supplied signed certificate or yard measurement sheet")</f>
        <v>No supplied signed certificate or yard measurement sheet</v>
      </c>
      <c r="M86" s="22" t="str">
        <f aca="false">IF(I86="SUBSTANTIATED","",IF(J86&gt;0,"Priority 1","Priority 2"))</f>
        <v>Priority 2</v>
      </c>
      <c r="N86" s="22" t="s">
        <v>15</v>
      </c>
    </row>
    <row r="87" customFormat="false" ht="15" hidden="false" customHeight="false" outlineLevel="0" collapsed="false">
      <c r="A87" s="22" t="s">
        <v>11160</v>
      </c>
      <c r="B87" s="23" t="n">
        <v>45474</v>
      </c>
      <c r="C87" s="22" t="s">
        <v>1614</v>
      </c>
      <c r="D87" s="22" t="str">
        <f aca="false">IFERROR(VLOOKUP(C87,'Applicant Lookup'!$A$2:$F$2911,2,FALSE()),"Not found")</f>
        <v>Brittany Grant</v>
      </c>
      <c r="E87" s="22" t="n">
        <v>44.2</v>
      </c>
      <c r="F87" s="22" t="n">
        <v>43</v>
      </c>
      <c r="G87" s="22" t="s">
        <v>11161</v>
      </c>
      <c r="H87" s="22" t="n">
        <f aca="false">COUNTIFS('Certificate Check'!$D$6:$D$7,C87,'Certificate Check'!$E$6:$E$7,F87,'Certificate Check'!$G$6:$G$7,B87,'Certificate Check'!$H$6:$H$7,"Y")</f>
        <v>0</v>
      </c>
      <c r="I87" s="22" t="str">
        <f aca="false">IF(H87&gt;0,"SUBSTANTIATED","UNSUBSTANTIATED")</f>
        <v>UNSUBSTANTIATED</v>
      </c>
      <c r="J87" s="22" t="n">
        <f aca="false">COUNTIFS('Skip Audit'!$D$6:$D$314,C87,'Skip Audit'!$C$6:$C$314,"&gt;="&amp;B87)</f>
        <v>1</v>
      </c>
      <c r="K87" s="22" t="s">
        <v>10853</v>
      </c>
      <c r="L87" s="22" t="str">
        <f aca="false">IF(I87="SUBSTANTIATED","Compliant","No supplied signed certificate or yard measurement sheet")</f>
        <v>No supplied signed certificate or yard measurement sheet</v>
      </c>
      <c r="M87" s="22" t="str">
        <f aca="false">IF(I87="SUBSTANTIATED","",IF(J87&gt;0,"Priority 1","Priority 2"))</f>
        <v>Priority 1</v>
      </c>
      <c r="N87" s="22" t="s">
        <v>15</v>
      </c>
    </row>
    <row r="88" customFormat="false" ht="15" hidden="false" customHeight="false" outlineLevel="0" collapsed="false">
      <c r="A88" s="22" t="s">
        <v>11162</v>
      </c>
      <c r="B88" s="23" t="n">
        <v>45496</v>
      </c>
      <c r="C88" s="22" t="s">
        <v>1751</v>
      </c>
      <c r="D88" s="22" t="str">
        <f aca="false">IFERROR(VLOOKUP(C88,'Applicant Lookup'!$A$2:$F$2911,2,FALSE()),"Not found")</f>
        <v>John Williams</v>
      </c>
      <c r="E88" s="22" t="n">
        <v>54.1</v>
      </c>
      <c r="F88" s="22" t="n">
        <v>54.8</v>
      </c>
      <c r="G88" s="22" t="s">
        <v>11163</v>
      </c>
      <c r="H88" s="22" t="n">
        <f aca="false">COUNTIFS('Certificate Check'!$D$6:$D$7,C88,'Certificate Check'!$E$6:$E$7,F88,'Certificate Check'!$G$6:$G$7,B88,'Certificate Check'!$H$6:$H$7,"Y")</f>
        <v>0</v>
      </c>
      <c r="I88" s="22" t="str">
        <f aca="false">IF(H88&gt;0,"SUBSTANTIATED","UNSUBSTANTIATED")</f>
        <v>UNSUBSTANTIATED</v>
      </c>
      <c r="J88" s="22" t="n">
        <f aca="false">COUNTIFS('Skip Audit'!$D$6:$D$314,C88,'Skip Audit'!$C$6:$C$314,"&gt;="&amp;B88)</f>
        <v>0</v>
      </c>
      <c r="K88" s="22"/>
      <c r="L88" s="22" t="str">
        <f aca="false">IF(I88="SUBSTANTIATED","Compliant","No supplied signed certificate or yard measurement sheet")</f>
        <v>No supplied signed certificate or yard measurement sheet</v>
      </c>
      <c r="M88" s="22" t="str">
        <f aca="false">IF(I88="SUBSTANTIATED","",IF(J88&gt;0,"Priority 1","Priority 2"))</f>
        <v>Priority 2</v>
      </c>
      <c r="N88" s="22" t="s">
        <v>15</v>
      </c>
    </row>
    <row r="89" customFormat="false" ht="15" hidden="false" customHeight="false" outlineLevel="0" collapsed="false">
      <c r="A89" s="22" t="s">
        <v>11164</v>
      </c>
      <c r="B89" s="23" t="n">
        <v>45501</v>
      </c>
      <c r="C89" s="22" t="s">
        <v>973</v>
      </c>
      <c r="D89" s="22" t="str">
        <f aca="false">IFERROR(VLOOKUP(C89,'Applicant Lookup'!$A$2:$F$2911,2,FALSE()),"Not found")</f>
        <v>Harry Faulkner</v>
      </c>
      <c r="E89" s="22" t="n">
        <v>21.1</v>
      </c>
      <c r="F89" s="22" t="n">
        <v>21.4</v>
      </c>
      <c r="G89" s="22" t="s">
        <v>11165</v>
      </c>
      <c r="H89" s="22" t="n">
        <f aca="false">COUNTIFS('Certificate Check'!$D$6:$D$7,C89,'Certificate Check'!$E$6:$E$7,F89,'Certificate Check'!$G$6:$G$7,B89,'Certificate Check'!$H$6:$H$7,"Y")</f>
        <v>0</v>
      </c>
      <c r="I89" s="22" t="str">
        <f aca="false">IF(H89&gt;0,"SUBSTANTIATED","UNSUBSTANTIATED")</f>
        <v>UNSUBSTANTIATED</v>
      </c>
      <c r="J89" s="22" t="n">
        <f aca="false">COUNTIFS('Skip Audit'!$D$6:$D$314,C89,'Skip Audit'!$C$6:$C$314,"&gt;="&amp;B89)</f>
        <v>0</v>
      </c>
      <c r="K89" s="22"/>
      <c r="L89" s="22" t="str">
        <f aca="false">IF(I89="SUBSTANTIATED","Compliant","No supplied signed certificate or yard measurement sheet")</f>
        <v>No supplied signed certificate or yard measurement sheet</v>
      </c>
      <c r="M89" s="22" t="str">
        <f aca="false">IF(I89="SUBSTANTIATED","",IF(J89&gt;0,"Priority 1","Priority 2"))</f>
        <v>Priority 2</v>
      </c>
      <c r="N89" s="22" t="s">
        <v>15</v>
      </c>
    </row>
    <row r="90" customFormat="false" ht="15" hidden="false" customHeight="false" outlineLevel="0" collapsed="false">
      <c r="A90" s="22" t="s">
        <v>11166</v>
      </c>
      <c r="B90" s="23" t="n">
        <v>45504</v>
      </c>
      <c r="C90" s="22" t="s">
        <v>1671</v>
      </c>
      <c r="D90" s="22" t="str">
        <f aca="false">IFERROR(VLOOKUP(C90,'Applicant Lookup'!$A$2:$F$2911,2,FALSE()),"Not found")</f>
        <v>Benjamin Jimenez</v>
      </c>
      <c r="E90" s="22" t="n">
        <v>40.3</v>
      </c>
      <c r="F90" s="22" t="n">
        <v>37.3</v>
      </c>
      <c r="G90" s="22" t="s">
        <v>11167</v>
      </c>
      <c r="H90" s="22" t="n">
        <f aca="false">COUNTIFS('Certificate Check'!$D$6:$D$7,C90,'Certificate Check'!$E$6:$E$7,F90,'Certificate Check'!$G$6:$G$7,B90,'Certificate Check'!$H$6:$H$7,"Y")</f>
        <v>0</v>
      </c>
      <c r="I90" s="22" t="str">
        <f aca="false">IF(H90&gt;0,"SUBSTANTIATED","UNSUBSTANTIATED")</f>
        <v>UNSUBSTANTIATED</v>
      </c>
      <c r="J90" s="22" t="n">
        <f aca="false">COUNTIFS('Skip Audit'!$D$6:$D$314,C90,'Skip Audit'!$C$6:$C$314,"&gt;="&amp;B90)</f>
        <v>0</v>
      </c>
      <c r="K90" s="22"/>
      <c r="L90" s="22" t="str">
        <f aca="false">IF(I90="SUBSTANTIATED","Compliant","No supplied signed certificate or yard measurement sheet")</f>
        <v>No supplied signed certificate or yard measurement sheet</v>
      </c>
      <c r="M90" s="22" t="str">
        <f aca="false">IF(I90="SUBSTANTIATED","",IF(J90&gt;0,"Priority 1","Priority 2"))</f>
        <v>Priority 2</v>
      </c>
      <c r="N90" s="22" t="s">
        <v>15</v>
      </c>
    </row>
    <row r="91" customFormat="false" ht="15" hidden="false" customHeight="false" outlineLevel="0" collapsed="false">
      <c r="A91" s="22" t="s">
        <v>11168</v>
      </c>
      <c r="B91" s="23" t="n">
        <v>45509</v>
      </c>
      <c r="C91" s="22" t="s">
        <v>3579</v>
      </c>
      <c r="D91" s="22" t="str">
        <f aca="false">IFERROR(VLOOKUP(C91,'Applicant Lookup'!$A$2:$F$2911,2,FALSE()),"Not found")</f>
        <v>Jeremy Holmes</v>
      </c>
      <c r="E91" s="22" t="n">
        <v>22.4</v>
      </c>
      <c r="F91" s="22" t="n">
        <v>20.1</v>
      </c>
      <c r="G91" s="22" t="s">
        <v>11169</v>
      </c>
      <c r="H91" s="22" t="n">
        <f aca="false">COUNTIFS('Certificate Check'!$D$6:$D$7,C91,'Certificate Check'!$E$6:$E$7,F91,'Certificate Check'!$G$6:$G$7,B91,'Certificate Check'!$H$6:$H$7,"Y")</f>
        <v>0</v>
      </c>
      <c r="I91" s="22" t="str">
        <f aca="false">IF(H91&gt;0,"SUBSTANTIATED","UNSUBSTANTIATED")</f>
        <v>UNSUBSTANTIATED</v>
      </c>
      <c r="J91" s="22" t="n">
        <f aca="false">COUNTIFS('Skip Audit'!$D$6:$D$314,C91,'Skip Audit'!$C$6:$C$314,"&gt;="&amp;B91)</f>
        <v>0</v>
      </c>
      <c r="K91" s="22"/>
      <c r="L91" s="22" t="str">
        <f aca="false">IF(I91="SUBSTANTIATED","Compliant","No supplied signed certificate or yard measurement sheet")</f>
        <v>No supplied signed certificate or yard measurement sheet</v>
      </c>
      <c r="M91" s="22" t="str">
        <f aca="false">IF(I91="SUBSTANTIATED","",IF(J91&gt;0,"Priority 1","Priority 2"))</f>
        <v>Priority 2</v>
      </c>
      <c r="N91" s="22" t="s">
        <v>15</v>
      </c>
    </row>
    <row r="92" customFormat="false" ht="15" hidden="false" customHeight="false" outlineLevel="0" collapsed="false">
      <c r="A92" s="22" t="s">
        <v>11170</v>
      </c>
      <c r="B92" s="23" t="n">
        <v>45510</v>
      </c>
      <c r="C92" s="22" t="s">
        <v>1478</v>
      </c>
      <c r="D92" s="22" t="str">
        <f aca="false">IFERROR(VLOOKUP(C92,'Applicant Lookup'!$A$2:$F$2911,2,FALSE()),"Not found")</f>
        <v>Elizabeth Williams</v>
      </c>
      <c r="E92" s="22" t="n">
        <v>51.6</v>
      </c>
      <c r="F92" s="22" t="n">
        <v>49</v>
      </c>
      <c r="G92" s="22" t="s">
        <v>11171</v>
      </c>
      <c r="H92" s="22" t="n">
        <f aca="false">COUNTIFS('Certificate Check'!$D$6:$D$7,C92,'Certificate Check'!$E$6:$E$7,F92,'Certificate Check'!$G$6:$G$7,B92,'Certificate Check'!$H$6:$H$7,"Y")</f>
        <v>0</v>
      </c>
      <c r="I92" s="22" t="str">
        <f aca="false">IF(H92&gt;0,"SUBSTANTIATED","UNSUBSTANTIATED")</f>
        <v>UNSUBSTANTIATED</v>
      </c>
      <c r="J92" s="22" t="n">
        <f aca="false">COUNTIFS('Skip Audit'!$D$6:$D$314,C92,'Skip Audit'!$C$6:$C$314,"&gt;="&amp;B92)</f>
        <v>0</v>
      </c>
      <c r="K92" s="22"/>
      <c r="L92" s="22" t="str">
        <f aca="false">IF(I92="SUBSTANTIATED","Compliant","No supplied signed certificate or yard measurement sheet")</f>
        <v>No supplied signed certificate or yard measurement sheet</v>
      </c>
      <c r="M92" s="22" t="str">
        <f aca="false">IF(I92="SUBSTANTIATED","",IF(J92&gt;0,"Priority 1","Priority 2"))</f>
        <v>Priority 2</v>
      </c>
      <c r="N92" s="22" t="s">
        <v>15</v>
      </c>
    </row>
    <row r="93" customFormat="false" ht="15" hidden="false" customHeight="false" outlineLevel="0" collapsed="false">
      <c r="A93" s="22" t="s">
        <v>11172</v>
      </c>
      <c r="B93" s="23" t="n">
        <v>45518</v>
      </c>
      <c r="C93" s="22" t="s">
        <v>5788</v>
      </c>
      <c r="D93" s="22" t="str">
        <f aca="false">IFERROR(VLOOKUP(C93,'Applicant Lookup'!$A$2:$F$2911,2,FALSE()),"Not found")</f>
        <v>James Hayes</v>
      </c>
      <c r="E93" s="22" t="n">
        <v>31.3</v>
      </c>
      <c r="F93" s="22" t="n">
        <v>29.7</v>
      </c>
      <c r="G93" s="22" t="s">
        <v>11173</v>
      </c>
      <c r="H93" s="22" t="n">
        <f aca="false">COUNTIFS('Certificate Check'!$D$6:$D$7,C93,'Certificate Check'!$E$6:$E$7,F93,'Certificate Check'!$G$6:$G$7,B93,'Certificate Check'!$H$6:$H$7,"Y")</f>
        <v>0</v>
      </c>
      <c r="I93" s="22" t="str">
        <f aca="false">IF(H93&gt;0,"SUBSTANTIATED","UNSUBSTANTIATED")</f>
        <v>UNSUBSTANTIATED</v>
      </c>
      <c r="J93" s="22" t="n">
        <f aca="false">COUNTIFS('Skip Audit'!$D$6:$D$314,C93,'Skip Audit'!$C$6:$C$314,"&gt;="&amp;B93)</f>
        <v>0</v>
      </c>
      <c r="K93" s="22"/>
      <c r="L93" s="22" t="str">
        <f aca="false">IF(I93="SUBSTANTIATED","Compliant","No supplied signed certificate or yard measurement sheet")</f>
        <v>No supplied signed certificate or yard measurement sheet</v>
      </c>
      <c r="M93" s="22" t="str">
        <f aca="false">IF(I93="SUBSTANTIATED","",IF(J93&gt;0,"Priority 1","Priority 2"))</f>
        <v>Priority 2</v>
      </c>
      <c r="N93" s="22" t="s">
        <v>15</v>
      </c>
    </row>
    <row r="94" customFormat="false" ht="15" hidden="false" customHeight="false" outlineLevel="0" collapsed="false">
      <c r="A94" s="22" t="s">
        <v>11174</v>
      </c>
      <c r="B94" s="23" t="n">
        <v>45522</v>
      </c>
      <c r="C94" s="22" t="s">
        <v>6339</v>
      </c>
      <c r="D94" s="22" t="str">
        <f aca="false">IFERROR(VLOOKUP(C94,'Applicant Lookup'!$A$2:$F$2911,2,FALSE()),"Not found")</f>
        <v>Brian Weaver</v>
      </c>
      <c r="E94" s="22" t="n">
        <v>35.4</v>
      </c>
      <c r="F94" s="22" t="n">
        <v>32.5</v>
      </c>
      <c r="G94" s="22" t="s">
        <v>11175</v>
      </c>
      <c r="H94" s="22" t="n">
        <f aca="false">COUNTIFS('Certificate Check'!$D$6:$D$7,C94,'Certificate Check'!$E$6:$E$7,F94,'Certificate Check'!$G$6:$G$7,B94,'Certificate Check'!$H$6:$H$7,"Y")</f>
        <v>0</v>
      </c>
      <c r="I94" s="22" t="str">
        <f aca="false">IF(H94&gt;0,"SUBSTANTIATED","UNSUBSTANTIATED")</f>
        <v>UNSUBSTANTIATED</v>
      </c>
      <c r="J94" s="22" t="n">
        <f aca="false">COUNTIFS('Skip Audit'!$D$6:$D$314,C94,'Skip Audit'!$C$6:$C$314,"&gt;="&amp;B94)</f>
        <v>0</v>
      </c>
      <c r="K94" s="22"/>
      <c r="L94" s="22" t="str">
        <f aca="false">IF(I94="SUBSTANTIATED","Compliant","No supplied signed certificate or yard measurement sheet")</f>
        <v>No supplied signed certificate or yard measurement sheet</v>
      </c>
      <c r="M94" s="22" t="str">
        <f aca="false">IF(I94="SUBSTANTIATED","",IF(J94&gt;0,"Priority 1","Priority 2"))</f>
        <v>Priority 2</v>
      </c>
      <c r="N94" s="22" t="s">
        <v>15</v>
      </c>
    </row>
    <row r="95" customFormat="false" ht="15" hidden="false" customHeight="false" outlineLevel="0" collapsed="false">
      <c r="A95" s="22" t="s">
        <v>11176</v>
      </c>
      <c r="B95" s="23" t="n">
        <v>45524</v>
      </c>
      <c r="C95" s="22" t="s">
        <v>5605</v>
      </c>
      <c r="D95" s="22" t="str">
        <f aca="false">IFERROR(VLOOKUP(C95,'Applicant Lookup'!$A$2:$F$2911,2,FALSE()),"Not found")</f>
        <v>Ruben Taylor</v>
      </c>
      <c r="E95" s="22" t="n">
        <v>45.4</v>
      </c>
      <c r="F95" s="22" t="n">
        <v>43.4</v>
      </c>
      <c r="G95" s="22" t="s">
        <v>11177</v>
      </c>
      <c r="H95" s="22" t="n">
        <f aca="false">COUNTIFS('Certificate Check'!$D$6:$D$7,C95,'Certificate Check'!$E$6:$E$7,F95,'Certificate Check'!$G$6:$G$7,B95,'Certificate Check'!$H$6:$H$7,"Y")</f>
        <v>0</v>
      </c>
      <c r="I95" s="22" t="str">
        <f aca="false">IF(H95&gt;0,"SUBSTANTIATED","UNSUBSTANTIATED")</f>
        <v>UNSUBSTANTIATED</v>
      </c>
      <c r="J95" s="22" t="n">
        <f aca="false">COUNTIFS('Skip Audit'!$D$6:$D$314,C95,'Skip Audit'!$C$6:$C$314,"&gt;="&amp;B95)</f>
        <v>0</v>
      </c>
      <c r="K95" s="22"/>
      <c r="L95" s="22" t="str">
        <f aca="false">IF(I95="SUBSTANTIATED","Compliant","No supplied signed certificate or yard measurement sheet")</f>
        <v>No supplied signed certificate or yard measurement sheet</v>
      </c>
      <c r="M95" s="22" t="str">
        <f aca="false">IF(I95="SUBSTANTIATED","",IF(J95&gt;0,"Priority 1","Priority 2"))</f>
        <v>Priority 2</v>
      </c>
      <c r="N95" s="22" t="s">
        <v>15</v>
      </c>
    </row>
    <row r="96" customFormat="false" ht="15" hidden="false" customHeight="false" outlineLevel="0" collapsed="false">
      <c r="A96" s="22" t="s">
        <v>11178</v>
      </c>
      <c r="B96" s="23" t="n">
        <v>45533</v>
      </c>
      <c r="C96" s="22" t="s">
        <v>3765</v>
      </c>
      <c r="D96" s="22" t="str">
        <f aca="false">IFERROR(VLOOKUP(C96,'Applicant Lookup'!$A$2:$F$2911,2,FALSE()),"Not found")</f>
        <v>Rachel Hanson</v>
      </c>
      <c r="E96" s="22" t="n">
        <v>40.6</v>
      </c>
      <c r="F96" s="22" t="n">
        <v>39.8</v>
      </c>
      <c r="G96" s="22" t="s">
        <v>11179</v>
      </c>
      <c r="H96" s="22" t="n">
        <f aca="false">COUNTIFS('Certificate Check'!$D$6:$D$7,C96,'Certificate Check'!$E$6:$E$7,F96,'Certificate Check'!$G$6:$G$7,B96,'Certificate Check'!$H$6:$H$7,"Y")</f>
        <v>0</v>
      </c>
      <c r="I96" s="22" t="str">
        <f aca="false">IF(H96&gt;0,"SUBSTANTIATED","UNSUBSTANTIATED")</f>
        <v>UNSUBSTANTIATED</v>
      </c>
      <c r="J96" s="22" t="n">
        <f aca="false">COUNTIFS('Skip Audit'!$D$6:$D$314,C96,'Skip Audit'!$C$6:$C$314,"&gt;="&amp;B96)</f>
        <v>0</v>
      </c>
      <c r="K96" s="22"/>
      <c r="L96" s="22" t="str">
        <f aca="false">IF(I96="SUBSTANTIATED","Compliant","No supplied signed certificate or yard measurement sheet")</f>
        <v>No supplied signed certificate or yard measurement sheet</v>
      </c>
      <c r="M96" s="22" t="str">
        <f aca="false">IF(I96="SUBSTANTIATED","",IF(J96&gt;0,"Priority 1","Priority 2"))</f>
        <v>Priority 2</v>
      </c>
      <c r="N96" s="22" t="s">
        <v>15</v>
      </c>
    </row>
    <row r="97" customFormat="false" ht="15" hidden="false" customHeight="false" outlineLevel="0" collapsed="false">
      <c r="A97" s="22" t="s">
        <v>11180</v>
      </c>
      <c r="B97" s="23" t="n">
        <v>45534</v>
      </c>
      <c r="C97" s="22" t="s">
        <v>3833</v>
      </c>
      <c r="D97" s="22" t="str">
        <f aca="false">IFERROR(VLOOKUP(C97,'Applicant Lookup'!$A$2:$F$2911,2,FALSE()),"Not found")</f>
        <v>Kayla Carpenter</v>
      </c>
      <c r="E97" s="22" t="n">
        <v>30.8</v>
      </c>
      <c r="F97" s="22" t="n">
        <v>32.3</v>
      </c>
      <c r="G97" s="22" t="s">
        <v>11181</v>
      </c>
      <c r="H97" s="22" t="n">
        <f aca="false">COUNTIFS('Certificate Check'!$D$6:$D$7,C97,'Certificate Check'!$E$6:$E$7,F97,'Certificate Check'!$G$6:$G$7,B97,'Certificate Check'!$H$6:$H$7,"Y")</f>
        <v>0</v>
      </c>
      <c r="I97" s="22" t="str">
        <f aca="false">IF(H97&gt;0,"SUBSTANTIATED","UNSUBSTANTIATED")</f>
        <v>UNSUBSTANTIATED</v>
      </c>
      <c r="J97" s="22" t="n">
        <f aca="false">COUNTIFS('Skip Audit'!$D$6:$D$314,C97,'Skip Audit'!$C$6:$C$314,"&gt;="&amp;B97)</f>
        <v>0</v>
      </c>
      <c r="K97" s="22"/>
      <c r="L97" s="22" t="str">
        <f aca="false">IF(I97="SUBSTANTIATED","Compliant","No supplied signed certificate or yard measurement sheet")</f>
        <v>No supplied signed certificate or yard measurement sheet</v>
      </c>
      <c r="M97" s="22" t="str">
        <f aca="false">IF(I97="SUBSTANTIATED","",IF(J97&gt;0,"Priority 1","Priority 2"))</f>
        <v>Priority 2</v>
      </c>
      <c r="N97" s="22" t="s">
        <v>15</v>
      </c>
    </row>
    <row r="98" customFormat="false" ht="15" hidden="false" customHeight="false" outlineLevel="0" collapsed="false">
      <c r="A98" s="22" t="s">
        <v>11182</v>
      </c>
      <c r="B98" s="23" t="n">
        <v>45539</v>
      </c>
      <c r="C98" s="22" t="s">
        <v>5499</v>
      </c>
      <c r="D98" s="22" t="str">
        <f aca="false">IFERROR(VLOOKUP(C98,'Applicant Lookup'!$A$2:$F$2911,2,FALSE()),"Not found")</f>
        <v>Julie Jackson</v>
      </c>
      <c r="E98" s="22" t="n">
        <v>44.7</v>
      </c>
      <c r="F98" s="22" t="n">
        <v>42.9</v>
      </c>
      <c r="G98" s="22" t="s">
        <v>11183</v>
      </c>
      <c r="H98" s="22" t="n">
        <f aca="false">COUNTIFS('Certificate Check'!$D$6:$D$7,C98,'Certificate Check'!$E$6:$E$7,F98,'Certificate Check'!$G$6:$G$7,B98,'Certificate Check'!$H$6:$H$7,"Y")</f>
        <v>0</v>
      </c>
      <c r="I98" s="22" t="str">
        <f aca="false">IF(H98&gt;0,"SUBSTANTIATED","UNSUBSTANTIATED")</f>
        <v>UNSUBSTANTIATED</v>
      </c>
      <c r="J98" s="22" t="n">
        <f aca="false">COUNTIFS('Skip Audit'!$D$6:$D$314,C98,'Skip Audit'!$C$6:$C$314,"&gt;="&amp;B98)</f>
        <v>0</v>
      </c>
      <c r="K98" s="22"/>
      <c r="L98" s="22" t="str">
        <f aca="false">IF(I98="SUBSTANTIATED","Compliant","No supplied signed certificate or yard measurement sheet")</f>
        <v>No supplied signed certificate or yard measurement sheet</v>
      </c>
      <c r="M98" s="22" t="str">
        <f aca="false">IF(I98="SUBSTANTIATED","",IF(J98&gt;0,"Priority 1","Priority 2"))</f>
        <v>Priority 2</v>
      </c>
      <c r="N98" s="22" t="s">
        <v>15</v>
      </c>
    </row>
    <row r="99" customFormat="false" ht="15" hidden="false" customHeight="false" outlineLevel="0" collapsed="false">
      <c r="A99" s="22" t="s">
        <v>11184</v>
      </c>
      <c r="B99" s="23" t="n">
        <v>45540</v>
      </c>
      <c r="C99" s="22" t="s">
        <v>3505</v>
      </c>
      <c r="D99" s="22" t="str">
        <f aca="false">IFERROR(VLOOKUP(C99,'Applicant Lookup'!$A$2:$F$2911,2,FALSE()),"Not found")</f>
        <v>Dana Whitford</v>
      </c>
      <c r="E99" s="22" t="n">
        <v>31.2</v>
      </c>
      <c r="F99" s="22" t="n">
        <v>31.7</v>
      </c>
      <c r="G99" s="22" t="s">
        <v>10988</v>
      </c>
      <c r="H99" s="22" t="n">
        <f aca="false">COUNTIFS('Certificate Check'!$D$6:$D$7,C99,'Certificate Check'!$E$6:$E$7,F99,'Certificate Check'!$G$6:$G$7,B99,'Certificate Check'!$H$6:$H$7,"Y")</f>
        <v>1</v>
      </c>
      <c r="I99" s="22" t="str">
        <f aca="false">IF(H99&gt;0,"SUBSTANTIATED","UNSUBSTANTIATED")</f>
        <v>SUBSTANTIATED</v>
      </c>
      <c r="J99" s="22" t="n">
        <f aca="false">COUNTIFS('Skip Audit'!$D$6:$D$314,C99,'Skip Audit'!$C$6:$C$314,"&gt;="&amp;B99)</f>
        <v>0</v>
      </c>
      <c r="K99" s="22"/>
      <c r="L99" s="22" t="str">
        <f aca="false">IF(I99="SUBSTANTIATED","Compliant","No supplied signed certificate or yard measurement sheet")</f>
        <v>Compliant</v>
      </c>
      <c r="M99" s="22" t="str">
        <f aca="false">IF(I99="SUBSTANTIATED","",IF(J99&gt;0,"Priority 1","Priority 2"))</f>
        <v/>
      </c>
      <c r="N99" s="22" t="s">
        <v>15</v>
      </c>
    </row>
    <row r="100" customFormat="false" ht="15" hidden="false" customHeight="false" outlineLevel="0" collapsed="false">
      <c r="A100" s="22" t="s">
        <v>11185</v>
      </c>
      <c r="B100" s="23" t="n">
        <v>45543</v>
      </c>
      <c r="C100" s="22" t="s">
        <v>2121</v>
      </c>
      <c r="D100" s="22" t="str">
        <f aca="false">IFERROR(VLOOKUP(C100,'Applicant Lookup'!$A$2:$F$2911,2,FALSE()),"Not found")</f>
        <v>James Wallace</v>
      </c>
      <c r="E100" s="22" t="n">
        <v>33.7</v>
      </c>
      <c r="F100" s="22" t="n">
        <v>32.4</v>
      </c>
      <c r="G100" s="22" t="s">
        <v>11186</v>
      </c>
      <c r="H100" s="22" t="n">
        <f aca="false">COUNTIFS('Certificate Check'!$D$6:$D$7,C100,'Certificate Check'!$E$6:$E$7,F100,'Certificate Check'!$G$6:$G$7,B100,'Certificate Check'!$H$6:$H$7,"Y")</f>
        <v>0</v>
      </c>
      <c r="I100" s="22" t="str">
        <f aca="false">IF(H100&gt;0,"SUBSTANTIATED","UNSUBSTANTIATED")</f>
        <v>UNSUBSTANTIATED</v>
      </c>
      <c r="J100" s="22" t="n">
        <f aca="false">COUNTIFS('Skip Audit'!$D$6:$D$314,C100,'Skip Audit'!$C$6:$C$314,"&gt;="&amp;B100)</f>
        <v>0</v>
      </c>
      <c r="K100" s="22"/>
      <c r="L100" s="22" t="str">
        <f aca="false">IF(I100="SUBSTANTIATED","Compliant","No supplied signed certificate or yard measurement sheet")</f>
        <v>No supplied signed certificate or yard measurement sheet</v>
      </c>
      <c r="M100" s="22" t="str">
        <f aca="false">IF(I100="SUBSTANTIATED","",IF(J100&gt;0,"Priority 1","Priority 2"))</f>
        <v>Priority 2</v>
      </c>
      <c r="N100" s="22" t="s">
        <v>15</v>
      </c>
    </row>
    <row r="101" customFormat="false" ht="15" hidden="false" customHeight="false" outlineLevel="0" collapsed="false">
      <c r="A101" s="22" t="s">
        <v>11187</v>
      </c>
      <c r="B101" s="23" t="n">
        <v>45555</v>
      </c>
      <c r="C101" s="22" t="s">
        <v>3165</v>
      </c>
      <c r="D101" s="22" t="str">
        <f aca="false">IFERROR(VLOOKUP(C101,'Applicant Lookup'!$A$2:$F$2911,2,FALSE()),"Not found")</f>
        <v>Morgan Haas</v>
      </c>
      <c r="E101" s="22" t="n">
        <v>23.8</v>
      </c>
      <c r="F101" s="22" t="n">
        <v>24.4</v>
      </c>
      <c r="G101" s="22" t="s">
        <v>11188</v>
      </c>
      <c r="H101" s="22" t="n">
        <f aca="false">COUNTIFS('Certificate Check'!$D$6:$D$7,C101,'Certificate Check'!$E$6:$E$7,F101,'Certificate Check'!$G$6:$G$7,B101,'Certificate Check'!$H$6:$H$7,"Y")</f>
        <v>0</v>
      </c>
      <c r="I101" s="22" t="str">
        <f aca="false">IF(H101&gt;0,"SUBSTANTIATED","UNSUBSTANTIATED")</f>
        <v>UNSUBSTANTIATED</v>
      </c>
      <c r="J101" s="22" t="n">
        <f aca="false">COUNTIFS('Skip Audit'!$D$6:$D$314,C101,'Skip Audit'!$C$6:$C$314,"&gt;="&amp;B101)</f>
        <v>0</v>
      </c>
      <c r="K101" s="22"/>
      <c r="L101" s="22" t="str">
        <f aca="false">IF(I101="SUBSTANTIATED","Compliant","No supplied signed certificate or yard measurement sheet")</f>
        <v>No supplied signed certificate or yard measurement sheet</v>
      </c>
      <c r="M101" s="22" t="str">
        <f aca="false">IF(I101="SUBSTANTIATED","",IF(J101&gt;0,"Priority 1","Priority 2"))</f>
        <v>Priority 2</v>
      </c>
      <c r="N101" s="22" t="s">
        <v>15</v>
      </c>
    </row>
    <row r="102" customFormat="false" ht="15" hidden="false" customHeight="false" outlineLevel="0" collapsed="false">
      <c r="A102" s="22" t="s">
        <v>11189</v>
      </c>
      <c r="B102" s="23" t="n">
        <v>45556</v>
      </c>
      <c r="C102" s="22" t="s">
        <v>3319</v>
      </c>
      <c r="D102" s="22" t="str">
        <f aca="false">IFERROR(VLOOKUP(C102,'Applicant Lookup'!$A$2:$F$2911,2,FALSE()),"Not found")</f>
        <v>Kristy Bell</v>
      </c>
      <c r="E102" s="22" t="n">
        <v>29.5</v>
      </c>
      <c r="F102" s="22" t="n">
        <v>28</v>
      </c>
      <c r="G102" s="22" t="s">
        <v>11190</v>
      </c>
      <c r="H102" s="22" t="n">
        <f aca="false">COUNTIFS('Certificate Check'!$D$6:$D$7,C102,'Certificate Check'!$E$6:$E$7,F102,'Certificate Check'!$G$6:$G$7,B102,'Certificate Check'!$H$6:$H$7,"Y")</f>
        <v>0</v>
      </c>
      <c r="I102" s="22" t="str">
        <f aca="false">IF(H102&gt;0,"SUBSTANTIATED","UNSUBSTANTIATED")</f>
        <v>UNSUBSTANTIATED</v>
      </c>
      <c r="J102" s="22" t="n">
        <f aca="false">COUNTIFS('Skip Audit'!$D$6:$D$314,C102,'Skip Audit'!$C$6:$C$314,"&gt;="&amp;B102)</f>
        <v>0</v>
      </c>
      <c r="K102" s="22"/>
      <c r="L102" s="22" t="str">
        <f aca="false">IF(I102="SUBSTANTIATED","Compliant","No supplied signed certificate or yard measurement sheet")</f>
        <v>No supplied signed certificate or yard measurement sheet</v>
      </c>
      <c r="M102" s="22" t="str">
        <f aca="false">IF(I102="SUBSTANTIATED","",IF(J102&gt;0,"Priority 1","Priority 2"))</f>
        <v>Priority 2</v>
      </c>
      <c r="N102" s="22" t="s">
        <v>15</v>
      </c>
    </row>
    <row r="103" customFormat="false" ht="15" hidden="false" customHeight="false" outlineLevel="0" collapsed="false">
      <c r="A103" s="22" t="s">
        <v>11191</v>
      </c>
      <c r="B103" s="23" t="n">
        <v>45569</v>
      </c>
      <c r="C103" s="22" t="s">
        <v>1331</v>
      </c>
      <c r="D103" s="22" t="str">
        <f aca="false">IFERROR(VLOOKUP(C103,'Applicant Lookup'!$A$2:$F$2911,2,FALSE()),"Not found")</f>
        <v>Brandon Hall</v>
      </c>
      <c r="E103" s="22" t="n">
        <v>27.2</v>
      </c>
      <c r="F103" s="22" t="n">
        <v>27.1</v>
      </c>
      <c r="G103" s="22" t="s">
        <v>11192</v>
      </c>
      <c r="H103" s="22" t="n">
        <f aca="false">COUNTIFS('Certificate Check'!$D$6:$D$7,C103,'Certificate Check'!$E$6:$E$7,F103,'Certificate Check'!$G$6:$G$7,B103,'Certificate Check'!$H$6:$H$7,"Y")</f>
        <v>0</v>
      </c>
      <c r="I103" s="22" t="str">
        <f aca="false">IF(H103&gt;0,"SUBSTANTIATED","UNSUBSTANTIATED")</f>
        <v>UNSUBSTANTIATED</v>
      </c>
      <c r="J103" s="22" t="n">
        <f aca="false">COUNTIFS('Skip Audit'!$D$6:$D$314,C103,'Skip Audit'!$C$6:$C$314,"&gt;="&amp;B103)</f>
        <v>0</v>
      </c>
      <c r="K103" s="22"/>
      <c r="L103" s="22" t="str">
        <f aca="false">IF(I103="SUBSTANTIATED","Compliant","No supplied signed certificate or yard measurement sheet")</f>
        <v>No supplied signed certificate or yard measurement sheet</v>
      </c>
      <c r="M103" s="22" t="str">
        <f aca="false">IF(I103="SUBSTANTIATED","",IF(J103&gt;0,"Priority 1","Priority 2"))</f>
        <v>Priority 2</v>
      </c>
      <c r="N103" s="22" t="s">
        <v>15</v>
      </c>
    </row>
    <row r="104" customFormat="false" ht="15" hidden="false" customHeight="false" outlineLevel="0" collapsed="false">
      <c r="A104" s="22" t="s">
        <v>11193</v>
      </c>
      <c r="B104" s="23" t="n">
        <v>45573</v>
      </c>
      <c r="C104" s="22" t="s">
        <v>3926</v>
      </c>
      <c r="D104" s="22" t="str">
        <f aca="false">IFERROR(VLOOKUP(C104,'Applicant Lookup'!$A$2:$F$2911,2,FALSE()),"Not found")</f>
        <v>Sean Charles</v>
      </c>
      <c r="E104" s="22" t="n">
        <v>24.7</v>
      </c>
      <c r="F104" s="22" t="n">
        <v>27.7</v>
      </c>
      <c r="G104" s="22" t="s">
        <v>11194</v>
      </c>
      <c r="H104" s="22" t="n">
        <f aca="false">COUNTIFS('Certificate Check'!$D$6:$D$7,C104,'Certificate Check'!$E$6:$E$7,F104,'Certificate Check'!$G$6:$G$7,B104,'Certificate Check'!$H$6:$H$7,"Y")</f>
        <v>0</v>
      </c>
      <c r="I104" s="22" t="str">
        <f aca="false">IF(H104&gt;0,"SUBSTANTIATED","UNSUBSTANTIATED")</f>
        <v>UNSUBSTANTIATED</v>
      </c>
      <c r="J104" s="22" t="n">
        <f aca="false">COUNTIFS('Skip Audit'!$D$6:$D$314,C104,'Skip Audit'!$C$6:$C$314,"&gt;="&amp;B104)</f>
        <v>1</v>
      </c>
      <c r="K104" s="22" t="s">
        <v>10809</v>
      </c>
      <c r="L104" s="22" t="str">
        <f aca="false">IF(I104="SUBSTANTIATED","Compliant","No supplied signed certificate or yard measurement sheet")</f>
        <v>No supplied signed certificate or yard measurement sheet</v>
      </c>
      <c r="M104" s="22" t="str">
        <f aca="false">IF(I104="SUBSTANTIATED","",IF(J104&gt;0,"Priority 1","Priority 2"))</f>
        <v>Priority 1</v>
      </c>
      <c r="N104" s="22" t="s">
        <v>15</v>
      </c>
    </row>
    <row r="105" customFormat="false" ht="15" hidden="false" customHeight="false" outlineLevel="0" collapsed="false">
      <c r="A105" s="22" t="s">
        <v>11195</v>
      </c>
      <c r="B105" s="23" t="n">
        <v>45573</v>
      </c>
      <c r="C105" s="22" t="s">
        <v>5833</v>
      </c>
      <c r="D105" s="22" t="str">
        <f aca="false">IFERROR(VLOOKUP(C105,'Applicant Lookup'!$A$2:$F$2911,2,FALSE()),"Not found")</f>
        <v>Amber Ward</v>
      </c>
      <c r="E105" s="22" t="n">
        <v>44.9</v>
      </c>
      <c r="F105" s="22" t="n">
        <v>44.6</v>
      </c>
      <c r="G105" s="22" t="s">
        <v>11196</v>
      </c>
      <c r="H105" s="22" t="n">
        <f aca="false">COUNTIFS('Certificate Check'!$D$6:$D$7,C105,'Certificate Check'!$E$6:$E$7,F105,'Certificate Check'!$G$6:$G$7,B105,'Certificate Check'!$H$6:$H$7,"Y")</f>
        <v>0</v>
      </c>
      <c r="I105" s="22" t="str">
        <f aca="false">IF(H105&gt;0,"SUBSTANTIATED","UNSUBSTANTIATED")</f>
        <v>UNSUBSTANTIATED</v>
      </c>
      <c r="J105" s="22" t="n">
        <f aca="false">COUNTIFS('Skip Audit'!$D$6:$D$314,C105,'Skip Audit'!$C$6:$C$314,"&gt;="&amp;B105)</f>
        <v>0</v>
      </c>
      <c r="K105" s="22"/>
      <c r="L105" s="22" t="str">
        <f aca="false">IF(I105="SUBSTANTIATED","Compliant","No supplied signed certificate or yard measurement sheet")</f>
        <v>No supplied signed certificate or yard measurement sheet</v>
      </c>
      <c r="M105" s="22" t="str">
        <f aca="false">IF(I105="SUBSTANTIATED","",IF(J105&gt;0,"Priority 1","Priority 2"))</f>
        <v>Priority 2</v>
      </c>
      <c r="N105" s="22" t="s">
        <v>15</v>
      </c>
    </row>
    <row r="106" customFormat="false" ht="15" hidden="false" customHeight="false" outlineLevel="0" collapsed="false">
      <c r="A106" s="22" t="s">
        <v>11197</v>
      </c>
      <c r="B106" s="23" t="n">
        <v>45576</v>
      </c>
      <c r="C106" s="22" t="s">
        <v>6253</v>
      </c>
      <c r="D106" s="22" t="str">
        <f aca="false">IFERROR(VLOOKUP(C106,'Applicant Lookup'!$A$2:$F$2911,2,FALSE()),"Not found")</f>
        <v>Stephanie Webb</v>
      </c>
      <c r="E106" s="22" t="n">
        <v>52.8</v>
      </c>
      <c r="F106" s="22" t="n">
        <v>52.7</v>
      </c>
      <c r="G106" s="22" t="s">
        <v>11198</v>
      </c>
      <c r="H106" s="22" t="n">
        <f aca="false">COUNTIFS('Certificate Check'!$D$6:$D$7,C106,'Certificate Check'!$E$6:$E$7,F106,'Certificate Check'!$G$6:$G$7,B106,'Certificate Check'!$H$6:$H$7,"Y")</f>
        <v>0</v>
      </c>
      <c r="I106" s="22" t="str">
        <f aca="false">IF(H106&gt;0,"SUBSTANTIATED","UNSUBSTANTIATED")</f>
        <v>UNSUBSTANTIATED</v>
      </c>
      <c r="J106" s="22" t="n">
        <f aca="false">COUNTIFS('Skip Audit'!$D$6:$D$314,C106,'Skip Audit'!$C$6:$C$314,"&gt;="&amp;B106)</f>
        <v>0</v>
      </c>
      <c r="K106" s="22"/>
      <c r="L106" s="22" t="str">
        <f aca="false">IF(I106="SUBSTANTIATED","Compliant","No supplied signed certificate or yard measurement sheet")</f>
        <v>No supplied signed certificate or yard measurement sheet</v>
      </c>
      <c r="M106" s="22" t="str">
        <f aca="false">IF(I106="SUBSTANTIATED","",IF(J106&gt;0,"Priority 1","Priority 2"))</f>
        <v>Priority 2</v>
      </c>
      <c r="N106" s="22" t="s">
        <v>15</v>
      </c>
    </row>
    <row r="107" customFormat="false" ht="15" hidden="false" customHeight="false" outlineLevel="0" collapsed="false">
      <c r="A107" s="22" t="s">
        <v>11199</v>
      </c>
      <c r="B107" s="23" t="n">
        <v>45594</v>
      </c>
      <c r="C107" s="22" t="s">
        <v>3499</v>
      </c>
      <c r="D107" s="22" t="str">
        <f aca="false">IFERROR(VLOOKUP(C107,'Applicant Lookup'!$A$2:$F$2911,2,FALSE()),"Not found")</f>
        <v>Danny Patrick</v>
      </c>
      <c r="E107" s="22" t="n">
        <v>38.6</v>
      </c>
      <c r="F107" s="22" t="n">
        <v>36.6</v>
      </c>
      <c r="G107" s="22" t="s">
        <v>11200</v>
      </c>
      <c r="H107" s="22" t="n">
        <f aca="false">COUNTIFS('Certificate Check'!$D$6:$D$7,C107,'Certificate Check'!$E$6:$E$7,F107,'Certificate Check'!$G$6:$G$7,B107,'Certificate Check'!$H$6:$H$7,"Y")</f>
        <v>0</v>
      </c>
      <c r="I107" s="22" t="str">
        <f aca="false">IF(H107&gt;0,"SUBSTANTIATED","UNSUBSTANTIATED")</f>
        <v>UNSUBSTANTIATED</v>
      </c>
      <c r="J107" s="22" t="n">
        <f aca="false">COUNTIFS('Skip Audit'!$D$6:$D$314,C107,'Skip Audit'!$C$6:$C$314,"&gt;="&amp;B107)</f>
        <v>0</v>
      </c>
      <c r="K107" s="22"/>
      <c r="L107" s="22" t="str">
        <f aca="false">IF(I107="SUBSTANTIATED","Compliant","No supplied signed certificate or yard measurement sheet")</f>
        <v>No supplied signed certificate or yard measurement sheet</v>
      </c>
      <c r="M107" s="22" t="str">
        <f aca="false">IF(I107="SUBSTANTIATED","",IF(J107&gt;0,"Priority 1","Priority 2"))</f>
        <v>Priority 2</v>
      </c>
      <c r="N107" s="22" t="s">
        <v>15</v>
      </c>
    </row>
    <row r="108" customFormat="false" ht="15" hidden="false" customHeight="false" outlineLevel="0" collapsed="false">
      <c r="A108" s="22" t="s">
        <v>11201</v>
      </c>
      <c r="B108" s="23" t="n">
        <v>45601</v>
      </c>
      <c r="C108" s="22" t="s">
        <v>4834</v>
      </c>
      <c r="D108" s="22" t="str">
        <f aca="false">IFERROR(VLOOKUP(C108,'Applicant Lookup'!$A$2:$F$2911,2,FALSE()),"Not found")</f>
        <v>Justin Pearson</v>
      </c>
      <c r="E108" s="22" t="n">
        <v>39.5</v>
      </c>
      <c r="F108" s="22" t="n">
        <v>42.3</v>
      </c>
      <c r="G108" s="22" t="s">
        <v>11151</v>
      </c>
      <c r="H108" s="22" t="n">
        <f aca="false">COUNTIFS('Certificate Check'!$D$6:$D$7,C108,'Certificate Check'!$E$6:$E$7,F108,'Certificate Check'!$G$6:$G$7,B108,'Certificate Check'!$H$6:$H$7,"Y")</f>
        <v>0</v>
      </c>
      <c r="I108" s="22" t="str">
        <f aca="false">IF(H108&gt;0,"SUBSTANTIATED","UNSUBSTANTIATED")</f>
        <v>UNSUBSTANTIATED</v>
      </c>
      <c r="J108" s="22" t="n">
        <f aca="false">COUNTIFS('Skip Audit'!$D$6:$D$314,C108,'Skip Audit'!$C$6:$C$314,"&gt;="&amp;B108)</f>
        <v>0</v>
      </c>
      <c r="K108" s="22"/>
      <c r="L108" s="22" t="str">
        <f aca="false">IF(I108="SUBSTANTIATED","Compliant","No supplied signed certificate or yard measurement sheet")</f>
        <v>No supplied signed certificate or yard measurement sheet</v>
      </c>
      <c r="M108" s="22" t="str">
        <f aca="false">IF(I108="SUBSTANTIATED","",IF(J108&gt;0,"Priority 1","Priority 2"))</f>
        <v>Priority 2</v>
      </c>
      <c r="N108" s="22" t="s">
        <v>15</v>
      </c>
    </row>
    <row r="109" customFormat="false" ht="15" hidden="false" customHeight="false" outlineLevel="0" collapsed="false">
      <c r="A109" s="22" t="s">
        <v>11202</v>
      </c>
      <c r="B109" s="23" t="n">
        <v>45615</v>
      </c>
      <c r="C109" s="22" t="s">
        <v>3591</v>
      </c>
      <c r="D109" s="22" t="str">
        <f aca="false">IFERROR(VLOOKUP(C109,'Applicant Lookup'!$A$2:$F$2911,2,FALSE()),"Not found")</f>
        <v>Elizabeth Burns</v>
      </c>
      <c r="E109" s="22" t="n">
        <v>37.6</v>
      </c>
      <c r="F109" s="22" t="n">
        <v>38.1</v>
      </c>
      <c r="G109" s="22" t="s">
        <v>11203</v>
      </c>
      <c r="H109" s="22" t="n">
        <f aca="false">COUNTIFS('Certificate Check'!$D$6:$D$7,C109,'Certificate Check'!$E$6:$E$7,F109,'Certificate Check'!$G$6:$G$7,B109,'Certificate Check'!$H$6:$H$7,"Y")</f>
        <v>0</v>
      </c>
      <c r="I109" s="22" t="str">
        <f aca="false">IF(H109&gt;0,"SUBSTANTIATED","UNSUBSTANTIATED")</f>
        <v>UNSUBSTANTIATED</v>
      </c>
      <c r="J109" s="22" t="n">
        <f aca="false">COUNTIFS('Skip Audit'!$D$6:$D$314,C109,'Skip Audit'!$C$6:$C$314,"&gt;="&amp;B109)</f>
        <v>0</v>
      </c>
      <c r="K109" s="22"/>
      <c r="L109" s="22" t="str">
        <f aca="false">IF(I109="SUBSTANTIATED","Compliant","No supplied signed certificate or yard measurement sheet")</f>
        <v>No supplied signed certificate or yard measurement sheet</v>
      </c>
      <c r="M109" s="22" t="str">
        <f aca="false">IF(I109="SUBSTANTIATED","",IF(J109&gt;0,"Priority 1","Priority 2"))</f>
        <v>Priority 2</v>
      </c>
      <c r="N109" s="22" t="s">
        <v>15</v>
      </c>
    </row>
    <row r="110" customFormat="false" ht="15" hidden="false" customHeight="false" outlineLevel="0" collapsed="false">
      <c r="A110" s="22" t="s">
        <v>11204</v>
      </c>
      <c r="B110" s="23" t="n">
        <v>45624</v>
      </c>
      <c r="C110" s="22" t="s">
        <v>5762</v>
      </c>
      <c r="D110" s="22" t="str">
        <f aca="false">IFERROR(VLOOKUP(C110,'Applicant Lookup'!$A$2:$F$2911,2,FALSE()),"Not found")</f>
        <v>Kristen Turner</v>
      </c>
      <c r="E110" s="22" t="n">
        <v>24.5</v>
      </c>
      <c r="F110" s="22" t="n">
        <v>22.8</v>
      </c>
      <c r="G110" s="22" t="s">
        <v>11205</v>
      </c>
      <c r="H110" s="22" t="n">
        <f aca="false">COUNTIFS('Certificate Check'!$D$6:$D$7,C110,'Certificate Check'!$E$6:$E$7,F110,'Certificate Check'!$G$6:$G$7,B110,'Certificate Check'!$H$6:$H$7,"Y")</f>
        <v>0</v>
      </c>
      <c r="I110" s="22" t="str">
        <f aca="false">IF(H110&gt;0,"SUBSTANTIATED","UNSUBSTANTIATED")</f>
        <v>UNSUBSTANTIATED</v>
      </c>
      <c r="J110" s="22" t="n">
        <f aca="false">COUNTIFS('Skip Audit'!$D$6:$D$314,C110,'Skip Audit'!$C$6:$C$314,"&gt;="&amp;B110)</f>
        <v>0</v>
      </c>
      <c r="K110" s="22"/>
      <c r="L110" s="22" t="str">
        <f aca="false">IF(I110="SUBSTANTIATED","Compliant","No supplied signed certificate or yard measurement sheet")</f>
        <v>No supplied signed certificate or yard measurement sheet</v>
      </c>
      <c r="M110" s="22" t="str">
        <f aca="false">IF(I110="SUBSTANTIATED","",IF(J110&gt;0,"Priority 1","Priority 2"))</f>
        <v>Priority 2</v>
      </c>
      <c r="N110" s="22" t="s">
        <v>15</v>
      </c>
    </row>
    <row r="111" customFormat="false" ht="15" hidden="false" customHeight="false" outlineLevel="0" collapsed="false">
      <c r="A111" s="22" t="s">
        <v>11206</v>
      </c>
      <c r="B111" s="23" t="n">
        <v>45626</v>
      </c>
      <c r="C111" s="22" t="s">
        <v>2970</v>
      </c>
      <c r="D111" s="22" t="str">
        <f aca="false">IFERROR(VLOOKUP(C111,'Applicant Lookup'!$A$2:$F$2911,2,FALSE()),"Not found")</f>
        <v>Jared Gomez</v>
      </c>
      <c r="E111" s="22" t="n">
        <v>34.3</v>
      </c>
      <c r="F111" s="22" t="n">
        <v>32.9</v>
      </c>
      <c r="G111" s="22" t="s">
        <v>11207</v>
      </c>
      <c r="H111" s="22" t="n">
        <f aca="false">COUNTIFS('Certificate Check'!$D$6:$D$7,C111,'Certificate Check'!$E$6:$E$7,F111,'Certificate Check'!$G$6:$G$7,B111,'Certificate Check'!$H$6:$H$7,"Y")</f>
        <v>0</v>
      </c>
      <c r="I111" s="22" t="str">
        <f aca="false">IF(H111&gt;0,"SUBSTANTIATED","UNSUBSTANTIATED")</f>
        <v>UNSUBSTANTIATED</v>
      </c>
      <c r="J111" s="22" t="n">
        <f aca="false">COUNTIFS('Skip Audit'!$D$6:$D$314,C111,'Skip Audit'!$C$6:$C$314,"&gt;="&amp;B111)</f>
        <v>0</v>
      </c>
      <c r="K111" s="22"/>
      <c r="L111" s="22" t="str">
        <f aca="false">IF(I111="SUBSTANTIATED","Compliant","No supplied signed certificate or yard measurement sheet")</f>
        <v>No supplied signed certificate or yard measurement sheet</v>
      </c>
      <c r="M111" s="22" t="str">
        <f aca="false">IF(I111="SUBSTANTIATED","",IF(J111&gt;0,"Priority 1","Priority 2"))</f>
        <v>Priority 2</v>
      </c>
      <c r="N111" s="22" t="s">
        <v>15</v>
      </c>
    </row>
    <row r="112" customFormat="false" ht="15" hidden="false" customHeight="false" outlineLevel="0" collapsed="false">
      <c r="A112" s="22" t="s">
        <v>11208</v>
      </c>
      <c r="B112" s="23" t="n">
        <v>45628</v>
      </c>
      <c r="C112" s="22" t="s">
        <v>5905</v>
      </c>
      <c r="D112" s="22" t="str">
        <f aca="false">IFERROR(VLOOKUP(C112,'Applicant Lookup'!$A$2:$F$2911,2,FALSE()),"Not found")</f>
        <v>Walter Martin</v>
      </c>
      <c r="E112" s="22" t="n">
        <v>50.6</v>
      </c>
      <c r="F112" s="22" t="n">
        <v>49</v>
      </c>
      <c r="G112" s="22" t="s">
        <v>11209</v>
      </c>
      <c r="H112" s="22" t="n">
        <f aca="false">COUNTIFS('Certificate Check'!$D$6:$D$7,C112,'Certificate Check'!$E$6:$E$7,F112,'Certificate Check'!$G$6:$G$7,B112,'Certificate Check'!$H$6:$H$7,"Y")</f>
        <v>0</v>
      </c>
      <c r="I112" s="22" t="str">
        <f aca="false">IF(H112&gt;0,"SUBSTANTIATED","UNSUBSTANTIATED")</f>
        <v>UNSUBSTANTIATED</v>
      </c>
      <c r="J112" s="22" t="n">
        <f aca="false">COUNTIFS('Skip Audit'!$D$6:$D$314,C112,'Skip Audit'!$C$6:$C$314,"&gt;="&amp;B112)</f>
        <v>0</v>
      </c>
      <c r="K112" s="22"/>
      <c r="L112" s="22" t="str">
        <f aca="false">IF(I112="SUBSTANTIATED","Compliant","No supplied signed certificate or yard measurement sheet")</f>
        <v>No supplied signed certificate or yard measurement sheet</v>
      </c>
      <c r="M112" s="22" t="str">
        <f aca="false">IF(I112="SUBSTANTIATED","",IF(J112&gt;0,"Priority 1","Priority 2"))</f>
        <v>Priority 2</v>
      </c>
      <c r="N112" s="22" t="s">
        <v>15</v>
      </c>
    </row>
    <row r="113" customFormat="false" ht="15" hidden="false" customHeight="false" outlineLevel="0" collapsed="false">
      <c r="A113" s="22" t="s">
        <v>11210</v>
      </c>
      <c r="B113" s="23" t="n">
        <v>45631</v>
      </c>
      <c r="C113" s="22" t="s">
        <v>2641</v>
      </c>
      <c r="D113" s="22" t="str">
        <f aca="false">IFERROR(VLOOKUP(C113,'Applicant Lookup'!$A$2:$F$2911,2,FALSE()),"Not found")</f>
        <v>Ashley Richard</v>
      </c>
      <c r="E113" s="22" t="n">
        <v>46.3</v>
      </c>
      <c r="F113" s="22" t="n">
        <v>46.8</v>
      </c>
      <c r="G113" s="22" t="s">
        <v>11211</v>
      </c>
      <c r="H113" s="22" t="n">
        <f aca="false">COUNTIFS('Certificate Check'!$D$6:$D$7,C113,'Certificate Check'!$E$6:$E$7,F113,'Certificate Check'!$G$6:$G$7,B113,'Certificate Check'!$H$6:$H$7,"Y")</f>
        <v>0</v>
      </c>
      <c r="I113" s="22" t="str">
        <f aca="false">IF(H113&gt;0,"SUBSTANTIATED","UNSUBSTANTIATED")</f>
        <v>UNSUBSTANTIATED</v>
      </c>
      <c r="J113" s="22" t="n">
        <f aca="false">COUNTIFS('Skip Audit'!$D$6:$D$314,C113,'Skip Audit'!$C$6:$C$314,"&gt;="&amp;B113)</f>
        <v>0</v>
      </c>
      <c r="K113" s="22"/>
      <c r="L113" s="22" t="str">
        <f aca="false">IF(I113="SUBSTANTIATED","Compliant","No supplied signed certificate or yard measurement sheet")</f>
        <v>No supplied signed certificate or yard measurement sheet</v>
      </c>
      <c r="M113" s="22" t="str">
        <f aca="false">IF(I113="SUBSTANTIATED","",IF(J113&gt;0,"Priority 1","Priority 2"))</f>
        <v>Priority 2</v>
      </c>
      <c r="N113" s="22" t="s">
        <v>15</v>
      </c>
    </row>
    <row r="114" customFormat="false" ht="15" hidden="false" customHeight="false" outlineLevel="0" collapsed="false">
      <c r="A114" s="22" t="s">
        <v>11212</v>
      </c>
      <c r="B114" s="23" t="n">
        <v>45631</v>
      </c>
      <c r="C114" s="22" t="s">
        <v>2935</v>
      </c>
      <c r="D114" s="22" t="str">
        <f aca="false">IFERROR(VLOOKUP(C114,'Applicant Lookup'!$A$2:$F$2911,2,FALSE()),"Not found")</f>
        <v>Michael Moses</v>
      </c>
      <c r="E114" s="22" t="n">
        <v>28.2</v>
      </c>
      <c r="F114" s="22" t="n">
        <v>28.4</v>
      </c>
      <c r="G114" s="22" t="s">
        <v>11213</v>
      </c>
      <c r="H114" s="22" t="n">
        <f aca="false">COUNTIFS('Certificate Check'!$D$6:$D$7,C114,'Certificate Check'!$E$6:$E$7,F114,'Certificate Check'!$G$6:$G$7,B114,'Certificate Check'!$H$6:$H$7,"Y")</f>
        <v>0</v>
      </c>
      <c r="I114" s="22" t="str">
        <f aca="false">IF(H114&gt;0,"SUBSTANTIATED","UNSUBSTANTIATED")</f>
        <v>UNSUBSTANTIATED</v>
      </c>
      <c r="J114" s="22" t="n">
        <f aca="false">COUNTIFS('Skip Audit'!$D$6:$D$314,C114,'Skip Audit'!$C$6:$C$314,"&gt;="&amp;B114)</f>
        <v>0</v>
      </c>
      <c r="K114" s="22"/>
      <c r="L114" s="22" t="str">
        <f aca="false">IF(I114="SUBSTANTIATED","Compliant","No supplied signed certificate or yard measurement sheet")</f>
        <v>No supplied signed certificate or yard measurement sheet</v>
      </c>
      <c r="M114" s="22" t="str">
        <f aca="false">IF(I114="SUBSTANTIATED","",IF(J114&gt;0,"Priority 1","Priority 2"))</f>
        <v>Priority 2</v>
      </c>
      <c r="N114" s="22" t="s">
        <v>15</v>
      </c>
    </row>
    <row r="115" customFormat="false" ht="15" hidden="false" customHeight="false" outlineLevel="0" collapsed="false">
      <c r="A115" s="22" t="s">
        <v>11214</v>
      </c>
      <c r="B115" s="23" t="n">
        <v>45633</v>
      </c>
      <c r="C115" s="22" t="s">
        <v>2698</v>
      </c>
      <c r="D115" s="22" t="str">
        <f aca="false">IFERROR(VLOOKUP(C115,'Applicant Lookup'!$A$2:$F$2911,2,FALSE()),"Not found")</f>
        <v>Miranda Foster</v>
      </c>
      <c r="E115" s="22" t="n">
        <v>25.7</v>
      </c>
      <c r="F115" s="22" t="n">
        <v>23</v>
      </c>
      <c r="G115" s="22" t="s">
        <v>11215</v>
      </c>
      <c r="H115" s="22" t="n">
        <f aca="false">COUNTIFS('Certificate Check'!$D$6:$D$7,C115,'Certificate Check'!$E$6:$E$7,F115,'Certificate Check'!$G$6:$G$7,B115,'Certificate Check'!$H$6:$H$7,"Y")</f>
        <v>0</v>
      </c>
      <c r="I115" s="22" t="str">
        <f aca="false">IF(H115&gt;0,"SUBSTANTIATED","UNSUBSTANTIATED")</f>
        <v>UNSUBSTANTIATED</v>
      </c>
      <c r="J115" s="22" t="n">
        <f aca="false">COUNTIFS('Skip Audit'!$D$6:$D$314,C115,'Skip Audit'!$C$6:$C$314,"&gt;="&amp;B115)</f>
        <v>0</v>
      </c>
      <c r="K115" s="22"/>
      <c r="L115" s="22" t="str">
        <f aca="false">IF(I115="SUBSTANTIATED","Compliant","No supplied signed certificate or yard measurement sheet")</f>
        <v>No supplied signed certificate or yard measurement sheet</v>
      </c>
      <c r="M115" s="22" t="str">
        <f aca="false">IF(I115="SUBSTANTIATED","",IF(J115&gt;0,"Priority 1","Priority 2"))</f>
        <v>Priority 2</v>
      </c>
      <c r="N115" s="22" t="s">
        <v>15</v>
      </c>
    </row>
    <row r="116" customFormat="false" ht="15" hidden="false" customHeight="false" outlineLevel="0" collapsed="false">
      <c r="A116" s="22" t="s">
        <v>11216</v>
      </c>
      <c r="B116" s="23" t="n">
        <v>45637</v>
      </c>
      <c r="C116" s="22" t="s">
        <v>6514</v>
      </c>
      <c r="D116" s="22" t="str">
        <f aca="false">IFERROR(VLOOKUP(C116,'Applicant Lookup'!$A$2:$F$2911,2,FALSE()),"Not found")</f>
        <v>Steven Alvarado</v>
      </c>
      <c r="E116" s="22" t="n">
        <v>51.3</v>
      </c>
      <c r="F116" s="22" t="n">
        <v>49.6</v>
      </c>
      <c r="G116" s="22" t="s">
        <v>11217</v>
      </c>
      <c r="H116" s="22" t="n">
        <f aca="false">COUNTIFS('Certificate Check'!$D$6:$D$7,C116,'Certificate Check'!$E$6:$E$7,F116,'Certificate Check'!$G$6:$G$7,B116,'Certificate Check'!$H$6:$H$7,"Y")</f>
        <v>0</v>
      </c>
      <c r="I116" s="22" t="str">
        <f aca="false">IF(H116&gt;0,"SUBSTANTIATED","UNSUBSTANTIATED")</f>
        <v>UNSUBSTANTIATED</v>
      </c>
      <c r="J116" s="22" t="n">
        <f aca="false">COUNTIFS('Skip Audit'!$D$6:$D$314,C116,'Skip Audit'!$C$6:$C$314,"&gt;="&amp;B116)</f>
        <v>0</v>
      </c>
      <c r="K116" s="22"/>
      <c r="L116" s="22" t="str">
        <f aca="false">IF(I116="SUBSTANTIATED","Compliant","No supplied signed certificate or yard measurement sheet")</f>
        <v>No supplied signed certificate or yard measurement sheet</v>
      </c>
      <c r="M116" s="22" t="str">
        <f aca="false">IF(I116="SUBSTANTIATED","",IF(J116&gt;0,"Priority 1","Priority 2"))</f>
        <v>Priority 2</v>
      </c>
      <c r="N116" s="22" t="s">
        <v>15</v>
      </c>
    </row>
    <row r="117" customFormat="false" ht="15" hidden="false" customHeight="false" outlineLevel="0" collapsed="false">
      <c r="A117" s="22" t="s">
        <v>11218</v>
      </c>
      <c r="B117" s="23" t="n">
        <v>45648</v>
      </c>
      <c r="C117" s="22" t="s">
        <v>5679</v>
      </c>
      <c r="D117" s="22" t="str">
        <f aca="false">IFERROR(VLOOKUP(C117,'Applicant Lookup'!$A$2:$F$2911,2,FALSE()),"Not found")</f>
        <v>Nathan Huffman</v>
      </c>
      <c r="E117" s="22" t="n">
        <v>37</v>
      </c>
      <c r="F117" s="22" t="n">
        <v>36.4</v>
      </c>
      <c r="G117" s="22" t="s">
        <v>11219</v>
      </c>
      <c r="H117" s="22" t="n">
        <f aca="false">COUNTIFS('Certificate Check'!$D$6:$D$7,C117,'Certificate Check'!$E$6:$E$7,F117,'Certificate Check'!$G$6:$G$7,B117,'Certificate Check'!$H$6:$H$7,"Y")</f>
        <v>0</v>
      </c>
      <c r="I117" s="22" t="str">
        <f aca="false">IF(H117&gt;0,"SUBSTANTIATED","UNSUBSTANTIATED")</f>
        <v>UNSUBSTANTIATED</v>
      </c>
      <c r="J117" s="22" t="n">
        <f aca="false">COUNTIFS('Skip Audit'!$D$6:$D$314,C117,'Skip Audit'!$C$6:$C$314,"&gt;="&amp;B117)</f>
        <v>0</v>
      </c>
      <c r="K117" s="22"/>
      <c r="L117" s="22" t="str">
        <f aca="false">IF(I117="SUBSTANTIATED","Compliant","No supplied signed certificate or yard measurement sheet")</f>
        <v>No supplied signed certificate or yard measurement sheet</v>
      </c>
      <c r="M117" s="22" t="str">
        <f aca="false">IF(I117="SUBSTANTIATED","",IF(J117&gt;0,"Priority 1","Priority 2"))</f>
        <v>Priority 2</v>
      </c>
      <c r="N117" s="22" t="s">
        <v>15</v>
      </c>
    </row>
    <row r="118" customFormat="false" ht="15" hidden="false" customHeight="false" outlineLevel="0" collapsed="false">
      <c r="A118" s="22" t="s">
        <v>11220</v>
      </c>
      <c r="B118" s="23" t="n">
        <v>45650</v>
      </c>
      <c r="C118" s="22" t="s">
        <v>5408</v>
      </c>
      <c r="D118" s="22" t="str">
        <f aca="false">IFERROR(VLOOKUP(C118,'Applicant Lookup'!$A$2:$F$2911,2,FALSE()),"Not found")</f>
        <v>Adrian Johnson</v>
      </c>
      <c r="E118" s="22" t="n">
        <v>54.8</v>
      </c>
      <c r="F118" s="22" t="n">
        <v>52</v>
      </c>
      <c r="G118" s="22" t="s">
        <v>11221</v>
      </c>
      <c r="H118" s="22" t="n">
        <f aca="false">COUNTIFS('Certificate Check'!$D$6:$D$7,C118,'Certificate Check'!$E$6:$E$7,F118,'Certificate Check'!$G$6:$G$7,B118,'Certificate Check'!$H$6:$H$7,"Y")</f>
        <v>0</v>
      </c>
      <c r="I118" s="22" t="str">
        <f aca="false">IF(H118&gt;0,"SUBSTANTIATED","UNSUBSTANTIATED")</f>
        <v>UNSUBSTANTIATED</v>
      </c>
      <c r="J118" s="22" t="n">
        <f aca="false">COUNTIFS('Skip Audit'!$D$6:$D$314,C118,'Skip Audit'!$C$6:$C$314,"&gt;="&amp;B118)</f>
        <v>0</v>
      </c>
      <c r="K118" s="22"/>
      <c r="L118" s="22" t="str">
        <f aca="false">IF(I118="SUBSTANTIATED","Compliant","No supplied signed certificate or yard measurement sheet")</f>
        <v>No supplied signed certificate or yard measurement sheet</v>
      </c>
      <c r="M118" s="22" t="str">
        <f aca="false">IF(I118="SUBSTANTIATED","",IF(J118&gt;0,"Priority 1","Priority 2"))</f>
        <v>Priority 2</v>
      </c>
      <c r="N118" s="22" t="s">
        <v>15</v>
      </c>
    </row>
    <row r="119" customFormat="false" ht="15" hidden="false" customHeight="false" outlineLevel="0" collapsed="false">
      <c r="A119" s="22" t="s">
        <v>11222</v>
      </c>
      <c r="B119" s="23" t="n">
        <v>45666</v>
      </c>
      <c r="C119" s="22" t="s">
        <v>3352</v>
      </c>
      <c r="D119" s="22" t="str">
        <f aca="false">IFERROR(VLOOKUP(C119,'Applicant Lookup'!$A$2:$F$2911,2,FALSE()),"Not found")</f>
        <v>Sarah Hogan</v>
      </c>
      <c r="E119" s="22" t="n">
        <v>26.7</v>
      </c>
      <c r="F119" s="22" t="n">
        <v>25</v>
      </c>
      <c r="G119" s="22" t="s">
        <v>11223</v>
      </c>
      <c r="H119" s="22" t="n">
        <f aca="false">COUNTIFS('Certificate Check'!$D$6:$D$7,C119,'Certificate Check'!$E$6:$E$7,F119,'Certificate Check'!$G$6:$G$7,B119,'Certificate Check'!$H$6:$H$7,"Y")</f>
        <v>0</v>
      </c>
      <c r="I119" s="22" t="str">
        <f aca="false">IF(H119&gt;0,"SUBSTANTIATED","UNSUBSTANTIATED")</f>
        <v>UNSUBSTANTIATED</v>
      </c>
      <c r="J119" s="22" t="n">
        <f aca="false">COUNTIFS('Skip Audit'!$D$6:$D$314,C119,'Skip Audit'!$C$6:$C$314,"&gt;="&amp;B119)</f>
        <v>0</v>
      </c>
      <c r="K119" s="22"/>
      <c r="L119" s="22" t="str">
        <f aca="false">IF(I119="SUBSTANTIATED","Compliant","No supplied signed certificate or yard measurement sheet")</f>
        <v>No supplied signed certificate or yard measurement sheet</v>
      </c>
      <c r="M119" s="22" t="str">
        <f aca="false">IF(I119="SUBSTANTIATED","",IF(J119&gt;0,"Priority 1","Priority 2"))</f>
        <v>Priority 2</v>
      </c>
      <c r="N119" s="22" t="s">
        <v>15</v>
      </c>
    </row>
    <row r="120" customFormat="false" ht="15" hidden="false" customHeight="false" outlineLevel="0" collapsed="false">
      <c r="A120" s="22" t="s">
        <v>11224</v>
      </c>
      <c r="B120" s="23" t="n">
        <v>45670</v>
      </c>
      <c r="C120" s="22" t="s">
        <v>2320</v>
      </c>
      <c r="D120" s="22" t="str">
        <f aca="false">IFERROR(VLOOKUP(C120,'Applicant Lookup'!$A$2:$F$2911,2,FALSE()),"Not found")</f>
        <v>Maria Wright</v>
      </c>
      <c r="E120" s="22" t="n">
        <v>31.7</v>
      </c>
      <c r="F120" s="22" t="n">
        <v>34.4</v>
      </c>
      <c r="G120" s="22" t="s">
        <v>11225</v>
      </c>
      <c r="H120" s="22" t="n">
        <f aca="false">COUNTIFS('Certificate Check'!$D$6:$D$7,C120,'Certificate Check'!$E$6:$E$7,F120,'Certificate Check'!$G$6:$G$7,B120,'Certificate Check'!$H$6:$H$7,"Y")</f>
        <v>0</v>
      </c>
      <c r="I120" s="22" t="str">
        <f aca="false">IF(H120&gt;0,"SUBSTANTIATED","UNSUBSTANTIATED")</f>
        <v>UNSUBSTANTIATED</v>
      </c>
      <c r="J120" s="22" t="n">
        <f aca="false">COUNTIFS('Skip Audit'!$D$6:$D$314,C120,'Skip Audit'!$C$6:$C$314,"&gt;="&amp;B120)</f>
        <v>0</v>
      </c>
      <c r="K120" s="22"/>
      <c r="L120" s="22" t="str">
        <f aca="false">IF(I120="SUBSTANTIATED","Compliant","No supplied signed certificate or yard measurement sheet")</f>
        <v>No supplied signed certificate or yard measurement sheet</v>
      </c>
      <c r="M120" s="22" t="str">
        <f aca="false">IF(I120="SUBSTANTIATED","",IF(J120&gt;0,"Priority 1","Priority 2"))</f>
        <v>Priority 2</v>
      </c>
      <c r="N120" s="22" t="s">
        <v>15</v>
      </c>
    </row>
    <row r="121" customFormat="false" ht="15" hidden="false" customHeight="false" outlineLevel="0" collapsed="false">
      <c r="A121" s="22" t="s">
        <v>11226</v>
      </c>
      <c r="B121" s="23" t="n">
        <v>45671</v>
      </c>
      <c r="C121" s="22" t="s">
        <v>6039</v>
      </c>
      <c r="D121" s="22" t="str">
        <f aca="false">IFERROR(VLOOKUP(C121,'Applicant Lookup'!$A$2:$F$2911,2,FALSE()),"Not found")</f>
        <v>Sean Roth</v>
      </c>
      <c r="E121" s="22" t="n">
        <v>49.2</v>
      </c>
      <c r="F121" s="22" t="n">
        <v>47.5</v>
      </c>
      <c r="G121" s="22"/>
      <c r="H121" s="22" t="n">
        <f aca="false">COUNTIFS('Certificate Check'!$D$6:$D$7,C121,'Certificate Check'!$E$6:$E$7,F121,'Certificate Check'!$G$6:$G$7,B121,'Certificate Check'!$H$6:$H$7,"Y")</f>
        <v>0</v>
      </c>
      <c r="I121" s="22" t="str">
        <f aca="false">IF(H121&gt;0,"SUBSTANTIATED","UNSUBSTANTIATED")</f>
        <v>UNSUBSTANTIATED</v>
      </c>
      <c r="J121" s="22" t="n">
        <f aca="false">COUNTIFS('Skip Audit'!$D$6:$D$314,C121,'Skip Audit'!$C$6:$C$314,"&gt;="&amp;B121)</f>
        <v>0</v>
      </c>
      <c r="K121" s="22"/>
      <c r="L121" s="22" t="str">
        <f aca="false">IF(I121="SUBSTANTIATED","Compliant","No supplied signed certificate or yard measurement sheet")</f>
        <v>No supplied signed certificate or yard measurement sheet</v>
      </c>
      <c r="M121" s="22" t="str">
        <f aca="false">IF(I121="SUBSTANTIATED","",IF(J121&gt;0,"Priority 1","Priority 2"))</f>
        <v>Priority 2</v>
      </c>
      <c r="N121" s="22" t="s">
        <v>15</v>
      </c>
    </row>
    <row r="122" customFormat="false" ht="15" hidden="false" customHeight="false" outlineLevel="0" collapsed="false">
      <c r="A122" s="22" t="s">
        <v>11227</v>
      </c>
      <c r="B122" s="23" t="n">
        <v>45674</v>
      </c>
      <c r="C122" s="22" t="s">
        <v>3039</v>
      </c>
      <c r="D122" s="22" t="str">
        <f aca="false">IFERROR(VLOOKUP(C122,'Applicant Lookup'!$A$2:$F$2911,2,FALSE()),"Not found")</f>
        <v>Michele Jones</v>
      </c>
      <c r="E122" s="22" t="n">
        <v>22.6</v>
      </c>
      <c r="F122" s="22" t="n">
        <v>24.1</v>
      </c>
      <c r="G122" s="22" t="s">
        <v>11228</v>
      </c>
      <c r="H122" s="22" t="n">
        <f aca="false">COUNTIFS('Certificate Check'!$D$6:$D$7,C122,'Certificate Check'!$E$6:$E$7,F122,'Certificate Check'!$G$6:$G$7,B122,'Certificate Check'!$H$6:$H$7,"Y")</f>
        <v>0</v>
      </c>
      <c r="I122" s="22" t="str">
        <f aca="false">IF(H122&gt;0,"SUBSTANTIATED","UNSUBSTANTIATED")</f>
        <v>UNSUBSTANTIATED</v>
      </c>
      <c r="J122" s="22" t="n">
        <f aca="false">COUNTIFS('Skip Audit'!$D$6:$D$314,C122,'Skip Audit'!$C$6:$C$314,"&gt;="&amp;B122)</f>
        <v>0</v>
      </c>
      <c r="K122" s="22"/>
      <c r="L122" s="22" t="str">
        <f aca="false">IF(I122="SUBSTANTIATED","Compliant","No supplied signed certificate or yard measurement sheet")</f>
        <v>No supplied signed certificate or yard measurement sheet</v>
      </c>
      <c r="M122" s="22" t="str">
        <f aca="false">IF(I122="SUBSTANTIATED","",IF(J122&gt;0,"Priority 1","Priority 2"))</f>
        <v>Priority 2</v>
      </c>
      <c r="N122" s="22" t="s">
        <v>15</v>
      </c>
    </row>
    <row r="123" customFormat="false" ht="15" hidden="false" customHeight="false" outlineLevel="0" collapsed="false">
      <c r="A123" s="22" t="s">
        <v>11229</v>
      </c>
      <c r="B123" s="23" t="n">
        <v>45680</v>
      </c>
      <c r="C123" s="22" t="s">
        <v>3627</v>
      </c>
      <c r="D123" s="22" t="str">
        <f aca="false">IFERROR(VLOOKUP(C123,'Applicant Lookup'!$A$2:$F$2911,2,FALSE()),"Not found")</f>
        <v>Kimberly Smith</v>
      </c>
      <c r="E123" s="22" t="n">
        <v>24.1</v>
      </c>
      <c r="F123" s="22" t="n">
        <v>21.5</v>
      </c>
      <c r="G123" s="22" t="s">
        <v>11230</v>
      </c>
      <c r="H123" s="22" t="n">
        <f aca="false">COUNTIFS('Certificate Check'!$D$6:$D$7,C123,'Certificate Check'!$E$6:$E$7,F123,'Certificate Check'!$G$6:$G$7,B123,'Certificate Check'!$H$6:$H$7,"Y")</f>
        <v>0</v>
      </c>
      <c r="I123" s="22" t="str">
        <f aca="false">IF(H123&gt;0,"SUBSTANTIATED","UNSUBSTANTIATED")</f>
        <v>UNSUBSTANTIATED</v>
      </c>
      <c r="J123" s="22" t="n">
        <f aca="false">COUNTIFS('Skip Audit'!$D$6:$D$314,C123,'Skip Audit'!$C$6:$C$314,"&gt;="&amp;B123)</f>
        <v>0</v>
      </c>
      <c r="K123" s="22"/>
      <c r="L123" s="22" t="str">
        <f aca="false">IF(I123="SUBSTANTIATED","Compliant","No supplied signed certificate or yard measurement sheet")</f>
        <v>No supplied signed certificate or yard measurement sheet</v>
      </c>
      <c r="M123" s="22" t="str">
        <f aca="false">IF(I123="SUBSTANTIATED","",IF(J123&gt;0,"Priority 1","Priority 2"))</f>
        <v>Priority 2</v>
      </c>
      <c r="N123" s="22" t="s">
        <v>15</v>
      </c>
    </row>
    <row r="124" customFormat="false" ht="15" hidden="false" customHeight="false" outlineLevel="0" collapsed="false">
      <c r="A124" s="22" t="s">
        <v>11231</v>
      </c>
      <c r="B124" s="23" t="n">
        <v>45687</v>
      </c>
      <c r="C124" s="22" t="s">
        <v>2956</v>
      </c>
      <c r="D124" s="22" t="str">
        <f aca="false">IFERROR(VLOOKUP(C124,'Applicant Lookup'!$A$2:$F$2911,2,FALSE()),"Not found")</f>
        <v>Lisa Wright</v>
      </c>
      <c r="E124" s="22" t="n">
        <v>49.6</v>
      </c>
      <c r="F124" s="22" t="n">
        <v>48.4</v>
      </c>
      <c r="G124" s="22" t="s">
        <v>11232</v>
      </c>
      <c r="H124" s="22" t="n">
        <f aca="false">COUNTIFS('Certificate Check'!$D$6:$D$7,C124,'Certificate Check'!$E$6:$E$7,F124,'Certificate Check'!$G$6:$G$7,B124,'Certificate Check'!$H$6:$H$7,"Y")</f>
        <v>0</v>
      </c>
      <c r="I124" s="22" t="str">
        <f aca="false">IF(H124&gt;0,"SUBSTANTIATED","UNSUBSTANTIATED")</f>
        <v>UNSUBSTANTIATED</v>
      </c>
      <c r="J124" s="22" t="n">
        <f aca="false">COUNTIFS('Skip Audit'!$D$6:$D$314,C124,'Skip Audit'!$C$6:$C$314,"&gt;="&amp;B124)</f>
        <v>0</v>
      </c>
      <c r="K124" s="22"/>
      <c r="L124" s="22" t="str">
        <f aca="false">IF(I124="SUBSTANTIATED","Compliant","No supplied signed certificate or yard measurement sheet")</f>
        <v>No supplied signed certificate or yard measurement sheet</v>
      </c>
      <c r="M124" s="22" t="str">
        <f aca="false">IF(I124="SUBSTANTIATED","",IF(J124&gt;0,"Priority 1","Priority 2"))</f>
        <v>Priority 2</v>
      </c>
      <c r="N124" s="22" t="s">
        <v>15</v>
      </c>
    </row>
    <row r="125" customFormat="false" ht="15" hidden="false" customHeight="false" outlineLevel="0" collapsed="false">
      <c r="A125" s="22" t="s">
        <v>11233</v>
      </c>
      <c r="B125" s="23" t="n">
        <v>45710</v>
      </c>
      <c r="C125" s="22" t="s">
        <v>2716</v>
      </c>
      <c r="D125" s="22" t="str">
        <f aca="false">IFERROR(VLOOKUP(C125,'Applicant Lookup'!$A$2:$F$2911,2,FALSE()),"Not found")</f>
        <v>Deborah Howe</v>
      </c>
      <c r="E125" s="22" t="n">
        <v>31.1</v>
      </c>
      <c r="F125" s="22" t="n">
        <v>29.6</v>
      </c>
      <c r="G125" s="22" t="s">
        <v>11234</v>
      </c>
      <c r="H125" s="22" t="n">
        <f aca="false">COUNTIFS('Certificate Check'!$D$6:$D$7,C125,'Certificate Check'!$E$6:$E$7,F125,'Certificate Check'!$G$6:$G$7,B125,'Certificate Check'!$H$6:$H$7,"Y")</f>
        <v>0</v>
      </c>
      <c r="I125" s="22" t="str">
        <f aca="false">IF(H125&gt;0,"SUBSTANTIATED","UNSUBSTANTIATED")</f>
        <v>UNSUBSTANTIATED</v>
      </c>
      <c r="J125" s="22" t="n">
        <f aca="false">COUNTIFS('Skip Audit'!$D$6:$D$314,C125,'Skip Audit'!$C$6:$C$314,"&gt;="&amp;B125)</f>
        <v>0</v>
      </c>
      <c r="K125" s="22"/>
      <c r="L125" s="22" t="str">
        <f aca="false">IF(I125="SUBSTANTIATED","Compliant","No supplied signed certificate or yard measurement sheet")</f>
        <v>No supplied signed certificate or yard measurement sheet</v>
      </c>
      <c r="M125" s="22" t="str">
        <f aca="false">IF(I125="SUBSTANTIATED","",IF(J125&gt;0,"Priority 1","Priority 2"))</f>
        <v>Priority 2</v>
      </c>
      <c r="N125" s="22" t="s">
        <v>15</v>
      </c>
    </row>
    <row r="126" customFormat="false" ht="15" hidden="false" customHeight="false" outlineLevel="0" collapsed="false">
      <c r="A126" s="22" t="s">
        <v>11235</v>
      </c>
      <c r="B126" s="23" t="n">
        <v>45716</v>
      </c>
      <c r="C126" s="22" t="s">
        <v>1765</v>
      </c>
      <c r="D126" s="22" t="str">
        <f aca="false">IFERROR(VLOOKUP(C126,'Applicant Lookup'!$A$2:$F$2911,2,FALSE()),"Not found")</f>
        <v>Donald Hernandez</v>
      </c>
      <c r="E126" s="22" t="n">
        <v>29.6</v>
      </c>
      <c r="F126" s="22" t="n">
        <v>27.6</v>
      </c>
      <c r="G126" s="22" t="s">
        <v>11236</v>
      </c>
      <c r="H126" s="22" t="n">
        <f aca="false">COUNTIFS('Certificate Check'!$D$6:$D$7,C126,'Certificate Check'!$E$6:$E$7,F126,'Certificate Check'!$G$6:$G$7,B126,'Certificate Check'!$H$6:$H$7,"Y")</f>
        <v>0</v>
      </c>
      <c r="I126" s="22" t="str">
        <f aca="false">IF(H126&gt;0,"SUBSTANTIATED","UNSUBSTANTIATED")</f>
        <v>UNSUBSTANTIATED</v>
      </c>
      <c r="J126" s="22" t="n">
        <f aca="false">COUNTIFS('Skip Audit'!$D$6:$D$314,C126,'Skip Audit'!$C$6:$C$314,"&gt;="&amp;B126)</f>
        <v>0</v>
      </c>
      <c r="K126" s="22"/>
      <c r="L126" s="22" t="str">
        <f aca="false">IF(I126="SUBSTANTIATED","Compliant","No supplied signed certificate or yard measurement sheet")</f>
        <v>No supplied signed certificate or yard measurement sheet</v>
      </c>
      <c r="M126" s="22" t="str">
        <f aca="false">IF(I126="SUBSTANTIATED","",IF(J126&gt;0,"Priority 1","Priority 2"))</f>
        <v>Priority 2</v>
      </c>
      <c r="N126" s="22" t="s">
        <v>15</v>
      </c>
    </row>
    <row r="127" customFormat="false" ht="15" hidden="false" customHeight="false" outlineLevel="0" collapsed="false">
      <c r="A127" s="22" t="s">
        <v>11237</v>
      </c>
      <c r="B127" s="23" t="n">
        <v>45725</v>
      </c>
      <c r="C127" s="22" t="s">
        <v>3567</v>
      </c>
      <c r="D127" s="22" t="str">
        <f aca="false">IFERROR(VLOOKUP(C127,'Applicant Lookup'!$A$2:$F$2911,2,FALSE()),"Not found")</f>
        <v>Laura Montoya</v>
      </c>
      <c r="E127" s="22" t="n">
        <v>26.7</v>
      </c>
      <c r="F127" s="22" t="n">
        <v>29.1</v>
      </c>
      <c r="G127" s="22" t="s">
        <v>11238</v>
      </c>
      <c r="H127" s="22" t="n">
        <f aca="false">COUNTIFS('Certificate Check'!$D$6:$D$7,C127,'Certificate Check'!$E$6:$E$7,F127,'Certificate Check'!$G$6:$G$7,B127,'Certificate Check'!$H$6:$H$7,"Y")</f>
        <v>0</v>
      </c>
      <c r="I127" s="22" t="str">
        <f aca="false">IF(H127&gt;0,"SUBSTANTIATED","UNSUBSTANTIATED")</f>
        <v>UNSUBSTANTIATED</v>
      </c>
      <c r="J127" s="22" t="n">
        <f aca="false">COUNTIFS('Skip Audit'!$D$6:$D$314,C127,'Skip Audit'!$C$6:$C$314,"&gt;="&amp;B127)</f>
        <v>0</v>
      </c>
      <c r="K127" s="22"/>
      <c r="L127" s="22" t="str">
        <f aca="false">IF(I127="SUBSTANTIATED","Compliant","No supplied signed certificate or yard measurement sheet")</f>
        <v>No supplied signed certificate or yard measurement sheet</v>
      </c>
      <c r="M127" s="22" t="str">
        <f aca="false">IF(I127="SUBSTANTIATED","",IF(J127&gt;0,"Priority 1","Priority 2"))</f>
        <v>Priority 2</v>
      </c>
      <c r="N127" s="22" t="s">
        <v>15</v>
      </c>
    </row>
    <row r="128" customFormat="false" ht="15" hidden="false" customHeight="false" outlineLevel="0" collapsed="false">
      <c r="A128" s="22" t="s">
        <v>11239</v>
      </c>
      <c r="B128" s="23" t="n">
        <v>45731</v>
      </c>
      <c r="C128" s="22" t="s">
        <v>2970</v>
      </c>
      <c r="D128" s="22" t="str">
        <f aca="false">IFERROR(VLOOKUP(C128,'Applicant Lookup'!$A$2:$F$2911,2,FALSE()),"Not found")</f>
        <v>Jared Gomez</v>
      </c>
      <c r="E128" s="22" t="n">
        <v>33.7</v>
      </c>
      <c r="F128" s="22" t="n">
        <v>36.3</v>
      </c>
      <c r="G128" s="22" t="s">
        <v>11240</v>
      </c>
      <c r="H128" s="22" t="n">
        <f aca="false">COUNTIFS('Certificate Check'!$D$6:$D$7,C128,'Certificate Check'!$E$6:$E$7,F128,'Certificate Check'!$G$6:$G$7,B128,'Certificate Check'!$H$6:$H$7,"Y")</f>
        <v>0</v>
      </c>
      <c r="I128" s="22" t="str">
        <f aca="false">IF(H128&gt;0,"SUBSTANTIATED","UNSUBSTANTIATED")</f>
        <v>UNSUBSTANTIATED</v>
      </c>
      <c r="J128" s="22" t="n">
        <f aca="false">COUNTIFS('Skip Audit'!$D$6:$D$314,C128,'Skip Audit'!$C$6:$C$314,"&gt;="&amp;B128)</f>
        <v>0</v>
      </c>
      <c r="K128" s="22"/>
      <c r="L128" s="22" t="str">
        <f aca="false">IF(I128="SUBSTANTIATED","Compliant","No supplied signed certificate or yard measurement sheet")</f>
        <v>No supplied signed certificate or yard measurement sheet</v>
      </c>
      <c r="M128" s="22" t="str">
        <f aca="false">IF(I128="SUBSTANTIATED","",IF(J128&gt;0,"Priority 1","Priority 2"))</f>
        <v>Priority 2</v>
      </c>
      <c r="N128" s="22" t="s">
        <v>15</v>
      </c>
    </row>
    <row r="129" customFormat="false" ht="15" hidden="false" customHeight="false" outlineLevel="0" collapsed="false">
      <c r="A129" s="22" t="s">
        <v>11241</v>
      </c>
      <c r="B129" s="23" t="n">
        <v>45742</v>
      </c>
      <c r="C129" s="22" t="s">
        <v>662</v>
      </c>
      <c r="D129" s="22" t="str">
        <f aca="false">IFERROR(VLOOKUP(C129,'Applicant Lookup'!$A$2:$F$2911,2,FALSE()),"Not found")</f>
        <v>Jason Boyer</v>
      </c>
      <c r="E129" s="22" t="n">
        <v>20.5</v>
      </c>
      <c r="F129" s="22" t="n">
        <v>20.8</v>
      </c>
      <c r="G129" s="22" t="s">
        <v>11242</v>
      </c>
      <c r="H129" s="22" t="n">
        <f aca="false">COUNTIFS('Certificate Check'!$D$6:$D$7,C129,'Certificate Check'!$E$6:$E$7,F129,'Certificate Check'!$G$6:$G$7,B129,'Certificate Check'!$H$6:$H$7,"Y")</f>
        <v>0</v>
      </c>
      <c r="I129" s="22" t="str">
        <f aca="false">IF(H129&gt;0,"SUBSTANTIATED","UNSUBSTANTIATED")</f>
        <v>UNSUBSTANTIATED</v>
      </c>
      <c r="J129" s="22" t="n">
        <f aca="false">COUNTIFS('Skip Audit'!$D$6:$D$314,C129,'Skip Audit'!$C$6:$C$314,"&gt;="&amp;B129)</f>
        <v>0</v>
      </c>
      <c r="K129" s="22"/>
      <c r="L129" s="22" t="str">
        <f aca="false">IF(I129="SUBSTANTIATED","Compliant","No supplied signed certificate or yard measurement sheet")</f>
        <v>No supplied signed certificate or yard measurement sheet</v>
      </c>
      <c r="M129" s="22" t="str">
        <f aca="false">IF(I129="SUBSTANTIATED","",IF(J129&gt;0,"Priority 1","Priority 2"))</f>
        <v>Priority 2</v>
      </c>
      <c r="N129" s="22" t="s">
        <v>15</v>
      </c>
    </row>
    <row r="130" customFormat="false" ht="15" hidden="false" customHeight="false" outlineLevel="0" collapsed="false">
      <c r="A130" s="22" t="s">
        <v>11243</v>
      </c>
      <c r="B130" s="23" t="n">
        <v>45745</v>
      </c>
      <c r="C130" s="22" t="s">
        <v>1131</v>
      </c>
      <c r="D130" s="22" t="str">
        <f aca="false">IFERROR(VLOOKUP(C130,'Applicant Lookup'!$A$2:$F$2911,2,FALSE()),"Not found")</f>
        <v>John George</v>
      </c>
      <c r="E130" s="22" t="n">
        <v>38</v>
      </c>
      <c r="F130" s="22" t="n">
        <v>38.8</v>
      </c>
      <c r="G130" s="22" t="s">
        <v>11244</v>
      </c>
      <c r="H130" s="22" t="n">
        <f aca="false">COUNTIFS('Certificate Check'!$D$6:$D$7,C130,'Certificate Check'!$E$6:$E$7,F130,'Certificate Check'!$G$6:$G$7,B130,'Certificate Check'!$H$6:$H$7,"Y")</f>
        <v>0</v>
      </c>
      <c r="I130" s="22" t="str">
        <f aca="false">IF(H130&gt;0,"SUBSTANTIATED","UNSUBSTANTIATED")</f>
        <v>UNSUBSTANTIATED</v>
      </c>
      <c r="J130" s="22" t="n">
        <f aca="false">COUNTIFS('Skip Audit'!$D$6:$D$314,C130,'Skip Audit'!$C$6:$C$314,"&gt;="&amp;B130)</f>
        <v>0</v>
      </c>
      <c r="K130" s="22"/>
      <c r="L130" s="22" t="str">
        <f aca="false">IF(I130="SUBSTANTIATED","Compliant","No supplied signed certificate or yard measurement sheet")</f>
        <v>No supplied signed certificate or yard measurement sheet</v>
      </c>
      <c r="M130" s="22" t="str">
        <f aca="false">IF(I130="SUBSTANTIATED","",IF(J130&gt;0,"Priority 1","Priority 2"))</f>
        <v>Priority 2</v>
      </c>
      <c r="N130" s="22" t="s">
        <v>15</v>
      </c>
    </row>
    <row r="131" customFormat="false" ht="15" hidden="false" customHeight="false" outlineLevel="0" collapsed="false">
      <c r="A131" s="22" t="s">
        <v>11245</v>
      </c>
      <c r="B131" s="23" t="n">
        <v>45746</v>
      </c>
      <c r="C131" s="22" t="s">
        <v>1128</v>
      </c>
      <c r="D131" s="22" t="str">
        <f aca="false">IFERROR(VLOOKUP(C131,'Applicant Lookup'!$A$2:$F$2911,2,FALSE()),"Not found")</f>
        <v>Justin Johnson</v>
      </c>
      <c r="E131" s="22" t="n">
        <v>32.9</v>
      </c>
      <c r="F131" s="22" t="n">
        <v>32.4</v>
      </c>
      <c r="G131" s="22" t="s">
        <v>11246</v>
      </c>
      <c r="H131" s="22" t="n">
        <f aca="false">COUNTIFS('Certificate Check'!$D$6:$D$7,C131,'Certificate Check'!$E$6:$E$7,F131,'Certificate Check'!$G$6:$G$7,B131,'Certificate Check'!$H$6:$H$7,"Y")</f>
        <v>0</v>
      </c>
      <c r="I131" s="22" t="str">
        <f aca="false">IF(H131&gt;0,"SUBSTANTIATED","UNSUBSTANTIATED")</f>
        <v>UNSUBSTANTIATED</v>
      </c>
      <c r="J131" s="22" t="n">
        <f aca="false">COUNTIFS('Skip Audit'!$D$6:$D$314,C131,'Skip Audit'!$C$6:$C$314,"&gt;="&amp;B131)</f>
        <v>0</v>
      </c>
      <c r="K131" s="22"/>
      <c r="L131" s="22" t="str">
        <f aca="false">IF(I131="SUBSTANTIATED","Compliant","No supplied signed certificate or yard measurement sheet")</f>
        <v>No supplied signed certificate or yard measurement sheet</v>
      </c>
      <c r="M131" s="22" t="str">
        <f aca="false">IF(I131="SUBSTANTIATED","",IF(J131&gt;0,"Priority 1","Priority 2"))</f>
        <v>Priority 2</v>
      </c>
      <c r="N131" s="22" t="s">
        <v>15</v>
      </c>
    </row>
    <row r="132" customFormat="false" ht="15" hidden="false" customHeight="false" outlineLevel="0" collapsed="false">
      <c r="A132" s="22" t="s">
        <v>11247</v>
      </c>
      <c r="B132" s="23" t="n">
        <v>45747</v>
      </c>
      <c r="C132" s="22" t="s">
        <v>5229</v>
      </c>
      <c r="D132" s="22" t="str">
        <f aca="false">IFERROR(VLOOKUP(C132,'Applicant Lookup'!$A$2:$F$2911,2,FALSE()),"Not found")</f>
        <v>Howard Sellers</v>
      </c>
      <c r="E132" s="22" t="n">
        <v>33</v>
      </c>
      <c r="F132" s="22" t="n">
        <v>32.2</v>
      </c>
      <c r="G132" s="22" t="s">
        <v>11248</v>
      </c>
      <c r="H132" s="22" t="n">
        <f aca="false">COUNTIFS('Certificate Check'!$D$6:$D$7,C132,'Certificate Check'!$E$6:$E$7,F132,'Certificate Check'!$G$6:$G$7,B132,'Certificate Check'!$H$6:$H$7,"Y")</f>
        <v>0</v>
      </c>
      <c r="I132" s="22" t="str">
        <f aca="false">IF(H132&gt;0,"SUBSTANTIATED","UNSUBSTANTIATED")</f>
        <v>UNSUBSTANTIATED</v>
      </c>
      <c r="J132" s="22" t="n">
        <f aca="false">COUNTIFS('Skip Audit'!$D$6:$D$314,C132,'Skip Audit'!$C$6:$C$314,"&gt;="&amp;B132)</f>
        <v>0</v>
      </c>
      <c r="K132" s="22"/>
      <c r="L132" s="22" t="str">
        <f aca="false">IF(I132="SUBSTANTIATED","Compliant","No supplied signed certificate or yard measurement sheet")</f>
        <v>No supplied signed certificate or yard measurement sheet</v>
      </c>
      <c r="M132" s="22" t="str">
        <f aca="false">IF(I132="SUBSTANTIATED","",IF(J132&gt;0,"Priority 1","Priority 2"))</f>
        <v>Priority 2</v>
      </c>
      <c r="N132" s="22" t="s">
        <v>15</v>
      </c>
    </row>
    <row r="133" customFormat="false" ht="15" hidden="false" customHeight="false" outlineLevel="0" collapsed="false">
      <c r="A133" s="22" t="s">
        <v>11249</v>
      </c>
      <c r="B133" s="23" t="n">
        <v>45748</v>
      </c>
      <c r="C133" s="22" t="s">
        <v>4320</v>
      </c>
      <c r="D133" s="22" t="str">
        <f aca="false">IFERROR(VLOOKUP(C133,'Applicant Lookup'!$A$2:$F$2911,2,FALSE()),"Not found")</f>
        <v>Amber Turner</v>
      </c>
      <c r="E133" s="22" t="n">
        <v>48.5</v>
      </c>
      <c r="F133" s="22" t="n">
        <v>46.4</v>
      </c>
      <c r="G133" s="22" t="s">
        <v>11250</v>
      </c>
      <c r="H133" s="22" t="n">
        <f aca="false">COUNTIFS('Certificate Check'!$D$6:$D$7,C133,'Certificate Check'!$E$6:$E$7,F133,'Certificate Check'!$G$6:$G$7,B133,'Certificate Check'!$H$6:$H$7,"Y")</f>
        <v>0</v>
      </c>
      <c r="I133" s="22" t="str">
        <f aca="false">IF(H133&gt;0,"SUBSTANTIATED","UNSUBSTANTIATED")</f>
        <v>UNSUBSTANTIATED</v>
      </c>
      <c r="J133" s="22" t="n">
        <f aca="false">COUNTIFS('Skip Audit'!$D$6:$D$314,C133,'Skip Audit'!$C$6:$C$314,"&gt;="&amp;B133)</f>
        <v>0</v>
      </c>
      <c r="K133" s="22"/>
      <c r="L133" s="22" t="str">
        <f aca="false">IF(I133="SUBSTANTIATED","Compliant","No supplied signed certificate or yard measurement sheet")</f>
        <v>No supplied signed certificate or yard measurement sheet</v>
      </c>
      <c r="M133" s="22" t="str">
        <f aca="false">IF(I133="SUBSTANTIATED","",IF(J133&gt;0,"Priority 1","Priority 2"))</f>
        <v>Priority 2</v>
      </c>
      <c r="N133" s="22" t="s">
        <v>15</v>
      </c>
    </row>
    <row r="134" customFormat="false" ht="15" hidden="false" customHeight="false" outlineLevel="0" collapsed="false">
      <c r="A134" s="22" t="s">
        <v>11251</v>
      </c>
      <c r="B134" s="23" t="n">
        <v>45756</v>
      </c>
      <c r="C134" s="22" t="s">
        <v>6031</v>
      </c>
      <c r="D134" s="22" t="str">
        <f aca="false">IFERROR(VLOOKUP(C134,'Applicant Lookup'!$A$2:$F$2911,2,FALSE()),"Not found")</f>
        <v>James Grimes</v>
      </c>
      <c r="E134" s="22" t="n">
        <v>28</v>
      </c>
      <c r="F134" s="22" t="n">
        <v>28.8</v>
      </c>
      <c r="G134" s="22" t="s">
        <v>11252</v>
      </c>
      <c r="H134" s="22" t="n">
        <f aca="false">COUNTIFS('Certificate Check'!$D$6:$D$7,C134,'Certificate Check'!$E$6:$E$7,F134,'Certificate Check'!$G$6:$G$7,B134,'Certificate Check'!$H$6:$H$7,"Y")</f>
        <v>0</v>
      </c>
      <c r="I134" s="22" t="str">
        <f aca="false">IF(H134&gt;0,"SUBSTANTIATED","UNSUBSTANTIATED")</f>
        <v>UNSUBSTANTIATED</v>
      </c>
      <c r="J134" s="22" t="n">
        <f aca="false">COUNTIFS('Skip Audit'!$D$6:$D$314,C134,'Skip Audit'!$C$6:$C$314,"&gt;="&amp;B134)</f>
        <v>0</v>
      </c>
      <c r="K134" s="22"/>
      <c r="L134" s="22" t="str">
        <f aca="false">IF(I134="SUBSTANTIATED","Compliant","No supplied signed certificate or yard measurement sheet")</f>
        <v>No supplied signed certificate or yard measurement sheet</v>
      </c>
      <c r="M134" s="22" t="str">
        <f aca="false">IF(I134="SUBSTANTIATED","",IF(J134&gt;0,"Priority 1","Priority 2"))</f>
        <v>Priority 2</v>
      </c>
      <c r="N134" s="22" t="s">
        <v>15</v>
      </c>
    </row>
    <row r="135" customFormat="false" ht="15" hidden="false" customHeight="false" outlineLevel="0" collapsed="false">
      <c r="A135" s="22" t="s">
        <v>11253</v>
      </c>
      <c r="B135" s="23" t="n">
        <v>45765</v>
      </c>
      <c r="C135" s="22" t="s">
        <v>4365</v>
      </c>
      <c r="D135" s="22" t="str">
        <f aca="false">IFERROR(VLOOKUP(C135,'Applicant Lookup'!$A$2:$F$2911,2,FALSE()),"Not found")</f>
        <v>Benjamin Smith</v>
      </c>
      <c r="E135" s="22" t="n">
        <v>48.4</v>
      </c>
      <c r="F135" s="22" t="n">
        <v>48.5</v>
      </c>
      <c r="G135" s="22" t="s">
        <v>11254</v>
      </c>
      <c r="H135" s="22" t="n">
        <f aca="false">COUNTIFS('Certificate Check'!$D$6:$D$7,C135,'Certificate Check'!$E$6:$E$7,F135,'Certificate Check'!$G$6:$G$7,B135,'Certificate Check'!$H$6:$H$7,"Y")</f>
        <v>0</v>
      </c>
      <c r="I135" s="22" t="str">
        <f aca="false">IF(H135&gt;0,"SUBSTANTIATED","UNSUBSTANTIATED")</f>
        <v>UNSUBSTANTIATED</v>
      </c>
      <c r="J135" s="22" t="n">
        <f aca="false">COUNTIFS('Skip Audit'!$D$6:$D$314,C135,'Skip Audit'!$C$6:$C$314,"&gt;="&amp;B135)</f>
        <v>0</v>
      </c>
      <c r="K135" s="22"/>
      <c r="L135" s="22" t="str">
        <f aca="false">IF(I135="SUBSTANTIATED","Compliant","No supplied signed certificate or yard measurement sheet")</f>
        <v>No supplied signed certificate or yard measurement sheet</v>
      </c>
      <c r="M135" s="22" t="str">
        <f aca="false">IF(I135="SUBSTANTIATED","",IF(J135&gt;0,"Priority 1","Priority 2"))</f>
        <v>Priority 2</v>
      </c>
      <c r="N135" s="22" t="s">
        <v>15</v>
      </c>
    </row>
    <row r="136" customFormat="false" ht="15" hidden="false" customHeight="false" outlineLevel="0" collapsed="false">
      <c r="A136" s="22" t="s">
        <v>11255</v>
      </c>
      <c r="B136" s="23" t="n">
        <v>45770</v>
      </c>
      <c r="C136" s="22" t="s">
        <v>5564</v>
      </c>
      <c r="D136" s="22" t="str">
        <f aca="false">IFERROR(VLOOKUP(C136,'Applicant Lookup'!$A$2:$F$2911,2,FALSE()),"Not found")</f>
        <v>Timothy Moran</v>
      </c>
      <c r="E136" s="22" t="n">
        <v>33.9</v>
      </c>
      <c r="F136" s="22" t="n">
        <v>34.4</v>
      </c>
      <c r="G136" s="22" t="s">
        <v>11256</v>
      </c>
      <c r="H136" s="22" t="n">
        <f aca="false">COUNTIFS('Certificate Check'!$D$6:$D$7,C136,'Certificate Check'!$E$6:$E$7,F136,'Certificate Check'!$G$6:$G$7,B136,'Certificate Check'!$H$6:$H$7,"Y")</f>
        <v>0</v>
      </c>
      <c r="I136" s="22" t="str">
        <f aca="false">IF(H136&gt;0,"SUBSTANTIATED","UNSUBSTANTIATED")</f>
        <v>UNSUBSTANTIATED</v>
      </c>
      <c r="J136" s="22" t="n">
        <f aca="false">COUNTIFS('Skip Audit'!$D$6:$D$314,C136,'Skip Audit'!$C$6:$C$314,"&gt;="&amp;B136)</f>
        <v>0</v>
      </c>
      <c r="K136" s="22"/>
      <c r="L136" s="22" t="str">
        <f aca="false">IF(I136="SUBSTANTIATED","Compliant","No supplied signed certificate or yard measurement sheet")</f>
        <v>No supplied signed certificate or yard measurement sheet</v>
      </c>
      <c r="M136" s="22" t="str">
        <f aca="false">IF(I136="SUBSTANTIATED","",IF(J136&gt;0,"Priority 1","Priority 2"))</f>
        <v>Priority 2</v>
      </c>
      <c r="N136" s="22" t="s">
        <v>15</v>
      </c>
    </row>
    <row r="137" customFormat="false" ht="15" hidden="false" customHeight="false" outlineLevel="0" collapsed="false">
      <c r="A137" s="22" t="s">
        <v>11257</v>
      </c>
      <c r="B137" s="23" t="n">
        <v>45770</v>
      </c>
      <c r="C137" s="22" t="s">
        <v>4803</v>
      </c>
      <c r="D137" s="22" t="str">
        <f aca="false">IFERROR(VLOOKUP(C137,'Applicant Lookup'!$A$2:$F$2911,2,FALSE()),"Not found")</f>
        <v>Robert Osborn</v>
      </c>
      <c r="E137" s="22" t="n">
        <v>25.5</v>
      </c>
      <c r="F137" s="22" t="n">
        <v>27</v>
      </c>
      <c r="G137" s="22" t="s">
        <v>11258</v>
      </c>
      <c r="H137" s="22" t="n">
        <f aca="false">COUNTIFS('Certificate Check'!$D$6:$D$7,C137,'Certificate Check'!$E$6:$E$7,F137,'Certificate Check'!$G$6:$G$7,B137,'Certificate Check'!$H$6:$H$7,"Y")</f>
        <v>0</v>
      </c>
      <c r="I137" s="22" t="str">
        <f aca="false">IF(H137&gt;0,"SUBSTANTIATED","UNSUBSTANTIATED")</f>
        <v>UNSUBSTANTIATED</v>
      </c>
      <c r="J137" s="22" t="n">
        <f aca="false">COUNTIFS('Skip Audit'!$D$6:$D$314,C137,'Skip Audit'!$C$6:$C$314,"&gt;="&amp;B137)</f>
        <v>0</v>
      </c>
      <c r="K137" s="22"/>
      <c r="L137" s="22" t="str">
        <f aca="false">IF(I137="SUBSTANTIATED","Compliant","No supplied signed certificate or yard measurement sheet")</f>
        <v>No supplied signed certificate or yard measurement sheet</v>
      </c>
      <c r="M137" s="22" t="str">
        <f aca="false">IF(I137="SUBSTANTIATED","",IF(J137&gt;0,"Priority 1","Priority 2"))</f>
        <v>Priority 2</v>
      </c>
      <c r="N137" s="22" t="s">
        <v>15</v>
      </c>
    </row>
    <row r="138" customFormat="false" ht="15" hidden="false" customHeight="false" outlineLevel="0" collapsed="false">
      <c r="A138" s="22" t="s">
        <v>11259</v>
      </c>
      <c r="B138" s="23" t="n">
        <v>45773</v>
      </c>
      <c r="C138" s="22" t="s">
        <v>5006</v>
      </c>
      <c r="D138" s="22" t="str">
        <f aca="false">IFERROR(VLOOKUP(C138,'Applicant Lookup'!$A$2:$F$2911,2,FALSE()),"Not found")</f>
        <v>Mallory Rodgers</v>
      </c>
      <c r="E138" s="22" t="n">
        <v>33.2</v>
      </c>
      <c r="F138" s="22" t="n">
        <v>31.7</v>
      </c>
      <c r="G138" s="22" t="s">
        <v>11260</v>
      </c>
      <c r="H138" s="22" t="n">
        <f aca="false">COUNTIFS('Certificate Check'!$D$6:$D$7,C138,'Certificate Check'!$E$6:$E$7,F138,'Certificate Check'!$G$6:$G$7,B138,'Certificate Check'!$H$6:$H$7,"Y")</f>
        <v>0</v>
      </c>
      <c r="I138" s="22" t="str">
        <f aca="false">IF(H138&gt;0,"SUBSTANTIATED","UNSUBSTANTIATED")</f>
        <v>UNSUBSTANTIATED</v>
      </c>
      <c r="J138" s="22" t="n">
        <f aca="false">COUNTIFS('Skip Audit'!$D$6:$D$314,C138,'Skip Audit'!$C$6:$C$314,"&gt;="&amp;B138)</f>
        <v>0</v>
      </c>
      <c r="K138" s="22"/>
      <c r="L138" s="22" t="str">
        <f aca="false">IF(I138="SUBSTANTIATED","Compliant","No supplied signed certificate or yard measurement sheet")</f>
        <v>No supplied signed certificate or yard measurement sheet</v>
      </c>
      <c r="M138" s="22" t="str">
        <f aca="false">IF(I138="SUBSTANTIATED","",IF(J138&gt;0,"Priority 1","Priority 2"))</f>
        <v>Priority 2</v>
      </c>
      <c r="N138" s="22" t="s">
        <v>15</v>
      </c>
    </row>
    <row r="139" customFormat="false" ht="15" hidden="false" customHeight="false" outlineLevel="0" collapsed="false">
      <c r="A139" s="22" t="s">
        <v>11261</v>
      </c>
      <c r="B139" s="23" t="n">
        <v>45775</v>
      </c>
      <c r="C139" s="22" t="s">
        <v>2839</v>
      </c>
      <c r="D139" s="22" t="str">
        <f aca="false">IFERROR(VLOOKUP(C139,'Applicant Lookup'!$A$2:$F$2911,2,FALSE()),"Not found")</f>
        <v>Rita Lyons</v>
      </c>
      <c r="E139" s="22" t="n">
        <v>20.7</v>
      </c>
      <c r="F139" s="22" t="n">
        <v>18.1</v>
      </c>
      <c r="G139" s="22" t="s">
        <v>11262</v>
      </c>
      <c r="H139" s="22" t="n">
        <f aca="false">COUNTIFS('Certificate Check'!$D$6:$D$7,C139,'Certificate Check'!$E$6:$E$7,F139,'Certificate Check'!$G$6:$G$7,B139,'Certificate Check'!$H$6:$H$7,"Y")</f>
        <v>0</v>
      </c>
      <c r="I139" s="22" t="str">
        <f aca="false">IF(H139&gt;0,"SUBSTANTIATED","UNSUBSTANTIATED")</f>
        <v>UNSUBSTANTIATED</v>
      </c>
      <c r="J139" s="22" t="n">
        <f aca="false">COUNTIFS('Skip Audit'!$D$6:$D$314,C139,'Skip Audit'!$C$6:$C$314,"&gt;="&amp;B139)</f>
        <v>0</v>
      </c>
      <c r="K139" s="22"/>
      <c r="L139" s="22" t="str">
        <f aca="false">IF(I139="SUBSTANTIATED","Compliant","No supplied signed certificate or yard measurement sheet")</f>
        <v>No supplied signed certificate or yard measurement sheet</v>
      </c>
      <c r="M139" s="22" t="str">
        <f aca="false">IF(I139="SUBSTANTIATED","",IF(J139&gt;0,"Priority 1","Priority 2"))</f>
        <v>Priority 2</v>
      </c>
      <c r="N139" s="22" t="s">
        <v>15</v>
      </c>
    </row>
    <row r="140" customFormat="false" ht="15" hidden="false" customHeight="false" outlineLevel="0" collapsed="false">
      <c r="A140" s="22" t="s">
        <v>11263</v>
      </c>
      <c r="B140" s="23" t="n">
        <v>45778</v>
      </c>
      <c r="C140" s="22" t="s">
        <v>4355</v>
      </c>
      <c r="D140" s="22" t="str">
        <f aca="false">IFERROR(VLOOKUP(C140,'Applicant Lookup'!$A$2:$F$2911,2,FALSE()),"Not found")</f>
        <v>Joel Chang</v>
      </c>
      <c r="E140" s="22" t="n">
        <v>40.9</v>
      </c>
      <c r="F140" s="22" t="n">
        <v>40.4</v>
      </c>
      <c r="G140" s="22" t="s">
        <v>11264</v>
      </c>
      <c r="H140" s="22" t="n">
        <f aca="false">COUNTIFS('Certificate Check'!$D$6:$D$7,C140,'Certificate Check'!$E$6:$E$7,F140,'Certificate Check'!$G$6:$G$7,B140,'Certificate Check'!$H$6:$H$7,"Y")</f>
        <v>0</v>
      </c>
      <c r="I140" s="22" t="str">
        <f aca="false">IF(H140&gt;0,"SUBSTANTIATED","UNSUBSTANTIATED")</f>
        <v>UNSUBSTANTIATED</v>
      </c>
      <c r="J140" s="22" t="n">
        <f aca="false">COUNTIFS('Skip Audit'!$D$6:$D$314,C140,'Skip Audit'!$C$6:$C$314,"&gt;="&amp;B140)</f>
        <v>0</v>
      </c>
      <c r="K140" s="22"/>
      <c r="L140" s="22" t="str">
        <f aca="false">IF(I140="SUBSTANTIATED","Compliant","No supplied signed certificate or yard measurement sheet")</f>
        <v>No supplied signed certificate or yard measurement sheet</v>
      </c>
      <c r="M140" s="22" t="str">
        <f aca="false">IF(I140="SUBSTANTIATED","",IF(J140&gt;0,"Priority 1","Priority 2"))</f>
        <v>Priority 2</v>
      </c>
      <c r="N140" s="22" t="s">
        <v>15</v>
      </c>
    </row>
    <row r="141" customFormat="false" ht="15" hidden="false" customHeight="false" outlineLevel="0" collapsed="false">
      <c r="A141" s="22" t="s">
        <v>11265</v>
      </c>
      <c r="B141" s="23" t="n">
        <v>45783</v>
      </c>
      <c r="C141" s="22" t="s">
        <v>1078</v>
      </c>
      <c r="D141" s="22" t="str">
        <f aca="false">IFERROR(VLOOKUP(C141,'Applicant Lookup'!$A$2:$F$2911,2,FALSE()),"Not found")</f>
        <v>Charles Solis</v>
      </c>
      <c r="E141" s="22" t="n">
        <v>41.9</v>
      </c>
      <c r="F141" s="22" t="n">
        <v>43</v>
      </c>
      <c r="G141" s="22" t="s">
        <v>11266</v>
      </c>
      <c r="H141" s="22" t="n">
        <f aca="false">COUNTIFS('Certificate Check'!$D$6:$D$7,C141,'Certificate Check'!$E$6:$E$7,F141,'Certificate Check'!$G$6:$G$7,B141,'Certificate Check'!$H$6:$H$7,"Y")</f>
        <v>0</v>
      </c>
      <c r="I141" s="22" t="str">
        <f aca="false">IF(H141&gt;0,"SUBSTANTIATED","UNSUBSTANTIATED")</f>
        <v>UNSUBSTANTIATED</v>
      </c>
      <c r="J141" s="22" t="n">
        <f aca="false">COUNTIFS('Skip Audit'!$D$6:$D$314,C141,'Skip Audit'!$C$6:$C$314,"&gt;="&amp;B141)</f>
        <v>0</v>
      </c>
      <c r="K141" s="22"/>
      <c r="L141" s="22" t="str">
        <f aca="false">IF(I141="SUBSTANTIATED","Compliant","No supplied signed certificate or yard measurement sheet")</f>
        <v>No supplied signed certificate or yard measurement sheet</v>
      </c>
      <c r="M141" s="22" t="str">
        <f aca="false">IF(I141="SUBSTANTIATED","",IF(J141&gt;0,"Priority 1","Priority 2"))</f>
        <v>Priority 2</v>
      </c>
      <c r="N141" s="22" t="s">
        <v>15</v>
      </c>
    </row>
    <row r="142" customFormat="false" ht="15" hidden="false" customHeight="false" outlineLevel="0" collapsed="false">
      <c r="A142" s="22" t="s">
        <v>11267</v>
      </c>
      <c r="B142" s="23" t="n">
        <v>45793</v>
      </c>
      <c r="C142" s="22" t="s">
        <v>5262</v>
      </c>
      <c r="D142" s="22" t="str">
        <f aca="false">IFERROR(VLOOKUP(C142,'Applicant Lookup'!$A$2:$F$2911,2,FALSE()),"Not found")</f>
        <v>Eric Wright</v>
      </c>
      <c r="E142" s="22" t="n">
        <v>49.6</v>
      </c>
      <c r="F142" s="22" t="n">
        <v>47.6</v>
      </c>
      <c r="G142" s="22" t="s">
        <v>11268</v>
      </c>
      <c r="H142" s="22" t="n">
        <f aca="false">COUNTIFS('Certificate Check'!$D$6:$D$7,C142,'Certificate Check'!$E$6:$E$7,F142,'Certificate Check'!$G$6:$G$7,B142,'Certificate Check'!$H$6:$H$7,"Y")</f>
        <v>0</v>
      </c>
      <c r="I142" s="22" t="str">
        <f aca="false">IF(H142&gt;0,"SUBSTANTIATED","UNSUBSTANTIATED")</f>
        <v>UNSUBSTANTIATED</v>
      </c>
      <c r="J142" s="22" t="n">
        <f aca="false">COUNTIFS('Skip Audit'!$D$6:$D$314,C142,'Skip Audit'!$C$6:$C$314,"&gt;="&amp;B142)</f>
        <v>0</v>
      </c>
      <c r="K142" s="22"/>
      <c r="L142" s="22" t="str">
        <f aca="false">IF(I142="SUBSTANTIATED","Compliant","No supplied signed certificate or yard measurement sheet")</f>
        <v>No supplied signed certificate or yard measurement sheet</v>
      </c>
      <c r="M142" s="22" t="str">
        <f aca="false">IF(I142="SUBSTANTIATED","",IF(J142&gt;0,"Priority 1","Priority 2"))</f>
        <v>Priority 2</v>
      </c>
      <c r="N142" s="22" t="s">
        <v>15</v>
      </c>
    </row>
    <row r="143" customFormat="false" ht="15" hidden="false" customHeight="false" outlineLevel="0" collapsed="false">
      <c r="A143" s="22" t="s">
        <v>11269</v>
      </c>
      <c r="B143" s="23" t="n">
        <v>45800</v>
      </c>
      <c r="C143" s="22" t="s">
        <v>2623</v>
      </c>
      <c r="D143" s="22" t="str">
        <f aca="false">IFERROR(VLOOKUP(C143,'Applicant Lookup'!$A$2:$F$2911,2,FALSE()),"Not found")</f>
        <v>Nichole Hudson</v>
      </c>
      <c r="E143" s="22" t="n">
        <v>20.4</v>
      </c>
      <c r="F143" s="22" t="n">
        <v>20.3</v>
      </c>
      <c r="G143" s="22" t="s">
        <v>11270</v>
      </c>
      <c r="H143" s="22" t="n">
        <f aca="false">COUNTIFS('Certificate Check'!$D$6:$D$7,C143,'Certificate Check'!$E$6:$E$7,F143,'Certificate Check'!$G$6:$G$7,B143,'Certificate Check'!$H$6:$H$7,"Y")</f>
        <v>0</v>
      </c>
      <c r="I143" s="22" t="str">
        <f aca="false">IF(H143&gt;0,"SUBSTANTIATED","UNSUBSTANTIATED")</f>
        <v>UNSUBSTANTIATED</v>
      </c>
      <c r="J143" s="22" t="n">
        <f aca="false">COUNTIFS('Skip Audit'!$D$6:$D$314,C143,'Skip Audit'!$C$6:$C$314,"&gt;="&amp;B143)</f>
        <v>0</v>
      </c>
      <c r="K143" s="22"/>
      <c r="L143" s="22" t="str">
        <f aca="false">IF(I143="SUBSTANTIATED","Compliant","No supplied signed certificate or yard measurement sheet")</f>
        <v>No supplied signed certificate or yard measurement sheet</v>
      </c>
      <c r="M143" s="22" t="str">
        <f aca="false">IF(I143="SUBSTANTIATED","",IF(J143&gt;0,"Priority 1","Priority 2"))</f>
        <v>Priority 2</v>
      </c>
      <c r="N143" s="22" t="s">
        <v>15</v>
      </c>
    </row>
    <row r="144" customFormat="false" ht="15" hidden="false" customHeight="false" outlineLevel="0" collapsed="false">
      <c r="A144" s="22" t="s">
        <v>11271</v>
      </c>
      <c r="B144" s="23" t="n">
        <v>45800</v>
      </c>
      <c r="C144" s="22" t="s">
        <v>2824</v>
      </c>
      <c r="D144" s="22" t="str">
        <f aca="false">IFERROR(VLOOKUP(C144,'Applicant Lookup'!$A$2:$F$2911,2,FALSE()),"Not found")</f>
        <v>Brandon Choi</v>
      </c>
      <c r="E144" s="22" t="n">
        <v>37.1</v>
      </c>
      <c r="F144" s="22" t="n">
        <v>35</v>
      </c>
      <c r="G144" s="22" t="s">
        <v>11272</v>
      </c>
      <c r="H144" s="22" t="n">
        <f aca="false">COUNTIFS('Certificate Check'!$D$6:$D$7,C144,'Certificate Check'!$E$6:$E$7,F144,'Certificate Check'!$G$6:$G$7,B144,'Certificate Check'!$H$6:$H$7,"Y")</f>
        <v>0</v>
      </c>
      <c r="I144" s="22" t="str">
        <f aca="false">IF(H144&gt;0,"SUBSTANTIATED","UNSUBSTANTIATED")</f>
        <v>UNSUBSTANTIATED</v>
      </c>
      <c r="J144" s="22" t="n">
        <f aca="false">COUNTIFS('Skip Audit'!$D$6:$D$314,C144,'Skip Audit'!$C$6:$C$314,"&gt;="&amp;B144)</f>
        <v>0</v>
      </c>
      <c r="K144" s="22"/>
      <c r="L144" s="22" t="str">
        <f aca="false">IF(I144="SUBSTANTIATED","Compliant","No supplied signed certificate or yard measurement sheet")</f>
        <v>No supplied signed certificate or yard measurement sheet</v>
      </c>
      <c r="M144" s="22" t="str">
        <f aca="false">IF(I144="SUBSTANTIATED","",IF(J144&gt;0,"Priority 1","Priority 2"))</f>
        <v>Priority 2</v>
      </c>
      <c r="N144" s="22" t="s">
        <v>15</v>
      </c>
    </row>
    <row r="145" customFormat="false" ht="15" hidden="false" customHeight="false" outlineLevel="0" collapsed="false">
      <c r="A145" s="22" t="s">
        <v>11273</v>
      </c>
      <c r="B145" s="23" t="n">
        <v>45803</v>
      </c>
      <c r="C145" s="22" t="s">
        <v>5746</v>
      </c>
      <c r="D145" s="22" t="str">
        <f aca="false">IFERROR(VLOOKUP(C145,'Applicant Lookup'!$A$2:$F$2911,2,FALSE()),"Not found")</f>
        <v>Shelly Elliott</v>
      </c>
      <c r="E145" s="22" t="n">
        <v>46.2</v>
      </c>
      <c r="F145" s="22" t="n">
        <v>48.2</v>
      </c>
      <c r="G145" s="22" t="s">
        <v>11274</v>
      </c>
      <c r="H145" s="22" t="n">
        <f aca="false">COUNTIFS('Certificate Check'!$D$6:$D$7,C145,'Certificate Check'!$E$6:$E$7,F145,'Certificate Check'!$G$6:$G$7,B145,'Certificate Check'!$H$6:$H$7,"Y")</f>
        <v>0</v>
      </c>
      <c r="I145" s="22" t="str">
        <f aca="false">IF(H145&gt;0,"SUBSTANTIATED","UNSUBSTANTIATED")</f>
        <v>UNSUBSTANTIATED</v>
      </c>
      <c r="J145" s="22" t="n">
        <f aca="false">COUNTIFS('Skip Audit'!$D$6:$D$314,C145,'Skip Audit'!$C$6:$C$314,"&gt;="&amp;B145)</f>
        <v>0</v>
      </c>
      <c r="K145" s="22"/>
      <c r="L145" s="22" t="str">
        <f aca="false">IF(I145="SUBSTANTIATED","Compliant","No supplied signed certificate or yard measurement sheet")</f>
        <v>No supplied signed certificate or yard measurement sheet</v>
      </c>
      <c r="M145" s="22" t="str">
        <f aca="false">IF(I145="SUBSTANTIATED","",IF(J145&gt;0,"Priority 1","Priority 2"))</f>
        <v>Priority 2</v>
      </c>
      <c r="N145" s="22" t="s">
        <v>15</v>
      </c>
    </row>
    <row r="146" customFormat="false" ht="15" hidden="false" customHeight="false" outlineLevel="0" collapsed="false">
      <c r="A146" s="22" t="s">
        <v>11275</v>
      </c>
      <c r="B146" s="23" t="n">
        <v>45804</v>
      </c>
      <c r="C146" s="22" t="s">
        <v>2588</v>
      </c>
      <c r="D146" s="22" t="str">
        <f aca="false">IFERROR(VLOOKUP(C146,'Applicant Lookup'!$A$2:$F$2911,2,FALSE()),"Not found")</f>
        <v>Adam Warner</v>
      </c>
      <c r="E146" s="22" t="n">
        <v>23.5</v>
      </c>
      <c r="F146" s="22" t="n">
        <v>23.3</v>
      </c>
      <c r="G146" s="22" t="s">
        <v>11276</v>
      </c>
      <c r="H146" s="22" t="n">
        <f aca="false">COUNTIFS('Certificate Check'!$D$6:$D$7,C146,'Certificate Check'!$E$6:$E$7,F146,'Certificate Check'!$G$6:$G$7,B146,'Certificate Check'!$H$6:$H$7,"Y")</f>
        <v>0</v>
      </c>
      <c r="I146" s="22" t="str">
        <f aca="false">IF(H146&gt;0,"SUBSTANTIATED","UNSUBSTANTIATED")</f>
        <v>UNSUBSTANTIATED</v>
      </c>
      <c r="J146" s="22" t="n">
        <f aca="false">COUNTIFS('Skip Audit'!$D$6:$D$314,C146,'Skip Audit'!$C$6:$C$314,"&gt;="&amp;B146)</f>
        <v>0</v>
      </c>
      <c r="K146" s="22"/>
      <c r="L146" s="22" t="str">
        <f aca="false">IF(I146="SUBSTANTIATED","Compliant","No supplied signed certificate or yard measurement sheet")</f>
        <v>No supplied signed certificate or yard measurement sheet</v>
      </c>
      <c r="M146" s="22" t="str">
        <f aca="false">IF(I146="SUBSTANTIATED","",IF(J146&gt;0,"Priority 1","Priority 2"))</f>
        <v>Priority 2</v>
      </c>
      <c r="N146" s="22" t="s">
        <v>15</v>
      </c>
    </row>
    <row r="147" customFormat="false" ht="15" hidden="false" customHeight="false" outlineLevel="0" collapsed="false">
      <c r="A147" s="22" t="s">
        <v>11277</v>
      </c>
      <c r="B147" s="23" t="n">
        <v>45826</v>
      </c>
      <c r="C147" s="22" t="s">
        <v>1627</v>
      </c>
      <c r="D147" s="22" t="str">
        <f aca="false">IFERROR(VLOOKUP(C147,'Applicant Lookup'!$A$2:$F$2911,2,FALSE()),"Not found")</f>
        <v>Christopher Russell</v>
      </c>
      <c r="E147" s="22" t="n">
        <v>25.6</v>
      </c>
      <c r="F147" s="22" t="n">
        <v>27.3</v>
      </c>
      <c r="G147" s="22" t="s">
        <v>11278</v>
      </c>
      <c r="H147" s="22" t="n">
        <f aca="false">COUNTIFS('Certificate Check'!$D$6:$D$7,C147,'Certificate Check'!$E$6:$E$7,F147,'Certificate Check'!$G$6:$G$7,B147,'Certificate Check'!$H$6:$H$7,"Y")</f>
        <v>0</v>
      </c>
      <c r="I147" s="22" t="str">
        <f aca="false">IF(H147&gt;0,"SUBSTANTIATED","UNSUBSTANTIATED")</f>
        <v>UNSUBSTANTIATED</v>
      </c>
      <c r="J147" s="22" t="n">
        <f aca="false">COUNTIFS('Skip Audit'!$D$6:$D$314,C147,'Skip Audit'!$C$6:$C$314,"&gt;="&amp;B147)</f>
        <v>0</v>
      </c>
      <c r="K147" s="22"/>
      <c r="L147" s="22" t="str">
        <f aca="false">IF(I147="SUBSTANTIATED","Compliant","No supplied signed certificate or yard measurement sheet")</f>
        <v>No supplied signed certificate or yard measurement sheet</v>
      </c>
      <c r="M147" s="22" t="str">
        <f aca="false">IF(I147="SUBSTANTIATED","",IF(J147&gt;0,"Priority 1","Priority 2"))</f>
        <v>Priority 2</v>
      </c>
      <c r="N147" s="22" t="s">
        <v>15</v>
      </c>
    </row>
    <row r="148" customFormat="false" ht="15" hidden="false" customHeight="false" outlineLevel="0" collapsed="false">
      <c r="A148" s="22" t="s">
        <v>11279</v>
      </c>
      <c r="B148" s="23" t="n">
        <v>45833</v>
      </c>
      <c r="C148" s="22" t="s">
        <v>2882</v>
      </c>
      <c r="D148" s="22" t="str">
        <f aca="false">IFERROR(VLOOKUP(C148,'Applicant Lookup'!$A$2:$F$2911,2,FALSE()),"Not found")</f>
        <v>Leah Flynn</v>
      </c>
      <c r="E148" s="22" t="n">
        <v>28</v>
      </c>
      <c r="F148" s="22" t="n">
        <v>30.9</v>
      </c>
      <c r="G148" s="22" t="s">
        <v>11280</v>
      </c>
      <c r="H148" s="22" t="n">
        <f aca="false">COUNTIFS('Certificate Check'!$D$6:$D$7,C148,'Certificate Check'!$E$6:$E$7,F148,'Certificate Check'!$G$6:$G$7,B148,'Certificate Check'!$H$6:$H$7,"Y")</f>
        <v>0</v>
      </c>
      <c r="I148" s="22" t="str">
        <f aca="false">IF(H148&gt;0,"SUBSTANTIATED","UNSUBSTANTIATED")</f>
        <v>UNSUBSTANTIATED</v>
      </c>
      <c r="J148" s="22" t="n">
        <f aca="false">COUNTIFS('Skip Audit'!$D$6:$D$314,C148,'Skip Audit'!$C$6:$C$314,"&gt;="&amp;B148)</f>
        <v>0</v>
      </c>
      <c r="K148" s="22"/>
      <c r="L148" s="22" t="str">
        <f aca="false">IF(I148="SUBSTANTIATED","Compliant","No supplied signed certificate or yard measurement sheet")</f>
        <v>No supplied signed certificate or yard measurement sheet</v>
      </c>
      <c r="M148" s="22" t="str">
        <f aca="false">IF(I148="SUBSTANTIATED","",IF(J148&gt;0,"Priority 1","Priority 2"))</f>
        <v>Priority 2</v>
      </c>
      <c r="N148" s="22" t="s">
        <v>15</v>
      </c>
    </row>
    <row r="149" customFormat="false" ht="15" hidden="false" customHeight="false" outlineLevel="0" collapsed="false">
      <c r="A149" s="22" t="s">
        <v>11281</v>
      </c>
      <c r="B149" s="23" t="n">
        <v>45834</v>
      </c>
      <c r="C149" s="22" t="s">
        <v>3111</v>
      </c>
      <c r="D149" s="22" t="str">
        <f aca="false">IFERROR(VLOOKUP(C149,'Applicant Lookup'!$A$2:$F$2911,2,FALSE()),"Not found")</f>
        <v>Thomas Miller</v>
      </c>
      <c r="E149" s="22" t="n">
        <v>52.8</v>
      </c>
      <c r="F149" s="22" t="n">
        <v>52</v>
      </c>
      <c r="G149" s="22" t="s">
        <v>11282</v>
      </c>
      <c r="H149" s="22" t="n">
        <f aca="false">COUNTIFS('Certificate Check'!$D$6:$D$7,C149,'Certificate Check'!$E$6:$E$7,F149,'Certificate Check'!$G$6:$G$7,B149,'Certificate Check'!$H$6:$H$7,"Y")</f>
        <v>0</v>
      </c>
      <c r="I149" s="22" t="str">
        <f aca="false">IF(H149&gt;0,"SUBSTANTIATED","UNSUBSTANTIATED")</f>
        <v>UNSUBSTANTIATED</v>
      </c>
      <c r="J149" s="22" t="n">
        <f aca="false">COUNTIFS('Skip Audit'!$D$6:$D$314,C149,'Skip Audit'!$C$6:$C$314,"&gt;="&amp;B149)</f>
        <v>0</v>
      </c>
      <c r="K149" s="22"/>
      <c r="L149" s="22" t="str">
        <f aca="false">IF(I149="SUBSTANTIATED","Compliant","No supplied signed certificate or yard measurement sheet")</f>
        <v>No supplied signed certificate or yard measurement sheet</v>
      </c>
      <c r="M149" s="22" t="str">
        <f aca="false">IF(I149="SUBSTANTIATED","",IF(J149&gt;0,"Priority 1","Priority 2"))</f>
        <v>Priority 2</v>
      </c>
      <c r="N149" s="22" t="s">
        <v>15</v>
      </c>
    </row>
    <row r="150" customFormat="false" ht="15" hidden="false" customHeight="false" outlineLevel="0" collapsed="false">
      <c r="A150" s="22" t="s">
        <v>11283</v>
      </c>
      <c r="B150" s="23" t="n">
        <v>45838</v>
      </c>
      <c r="C150" s="22" t="s">
        <v>1436</v>
      </c>
      <c r="D150" s="22" t="str">
        <f aca="false">IFERROR(VLOOKUP(C150,'Applicant Lookup'!$A$2:$F$2911,2,FALSE()),"Not found")</f>
        <v>Alexis Barker</v>
      </c>
      <c r="E150" s="22" t="n">
        <v>37.7</v>
      </c>
      <c r="F150" s="22" t="n">
        <v>40.2</v>
      </c>
      <c r="G150" s="22" t="s">
        <v>11011</v>
      </c>
      <c r="H150" s="22" t="n">
        <f aca="false">COUNTIFS('Certificate Check'!$D$6:$D$7,C150,'Certificate Check'!$E$6:$E$7,F150,'Certificate Check'!$G$6:$G$7,B150,'Certificate Check'!$H$6:$H$7,"Y")</f>
        <v>0</v>
      </c>
      <c r="I150" s="22" t="str">
        <f aca="false">IF(H150&gt;0,"SUBSTANTIATED","UNSUBSTANTIATED")</f>
        <v>UNSUBSTANTIATED</v>
      </c>
      <c r="J150" s="22" t="n">
        <f aca="false">COUNTIFS('Skip Audit'!$D$6:$D$314,C150,'Skip Audit'!$C$6:$C$314,"&gt;="&amp;B150)</f>
        <v>0</v>
      </c>
      <c r="K150" s="22"/>
      <c r="L150" s="22" t="str">
        <f aca="false">IF(I150="SUBSTANTIATED","Compliant","No supplied signed certificate or yard measurement sheet")</f>
        <v>No supplied signed certificate or yard measurement sheet</v>
      </c>
      <c r="M150" s="22" t="str">
        <f aca="false">IF(I150="SUBSTANTIATED","",IF(J150&gt;0,"Priority 1","Priority 2"))</f>
        <v>Priority 2</v>
      </c>
      <c r="N150" s="22" t="s">
        <v>15</v>
      </c>
    </row>
    <row r="151" customFormat="false" ht="15" hidden="false" customHeight="false" outlineLevel="0" collapsed="false">
      <c r="A151" s="22" t="s">
        <v>11284</v>
      </c>
      <c r="B151" s="23" t="n">
        <v>45839</v>
      </c>
      <c r="C151" s="22" t="s">
        <v>4938</v>
      </c>
      <c r="D151" s="22" t="str">
        <f aca="false">IFERROR(VLOOKUP(C151,'Applicant Lookup'!$A$2:$F$2911,2,FALSE()),"Not found")</f>
        <v>Dennis Farlow</v>
      </c>
      <c r="E151" s="22" t="n">
        <v>36.4</v>
      </c>
      <c r="F151" s="22" t="n">
        <v>35.8</v>
      </c>
      <c r="G151" s="22" t="s">
        <v>11285</v>
      </c>
      <c r="H151" s="22" t="n">
        <f aca="false">COUNTIFS('Certificate Check'!$D$6:$D$7,C151,'Certificate Check'!$E$6:$E$7,F151,'Certificate Check'!$G$6:$G$7,B151,'Certificate Check'!$H$6:$H$7,"Y")</f>
        <v>0</v>
      </c>
      <c r="I151" s="22" t="str">
        <f aca="false">IF(H151&gt;0,"SUBSTANTIATED","UNSUBSTANTIATED")</f>
        <v>UNSUBSTANTIATED</v>
      </c>
      <c r="J151" s="22" t="n">
        <f aca="false">COUNTIFS('Skip Audit'!$D$6:$D$314,C151,'Skip Audit'!$C$6:$C$314,"&gt;="&amp;B151)</f>
        <v>1</v>
      </c>
      <c r="K151" s="22" t="s">
        <v>10922</v>
      </c>
      <c r="L151" s="22" t="str">
        <f aca="false">IF(I151="SUBSTANTIATED","Compliant","No supplied signed certificate or yard measurement sheet")</f>
        <v>No supplied signed certificate or yard measurement sheet</v>
      </c>
      <c r="M151" s="22" t="str">
        <f aca="false">IF(I151="SUBSTANTIATED","",IF(J151&gt;0,"Priority 1","Priority 2"))</f>
        <v>Priority 1</v>
      </c>
      <c r="N151" s="22" t="s">
        <v>15</v>
      </c>
    </row>
    <row r="152" customFormat="false" ht="15" hidden="false" customHeight="false" outlineLevel="0" collapsed="false">
      <c r="A152" s="22" t="s">
        <v>11286</v>
      </c>
      <c r="B152" s="23" t="n">
        <v>45842</v>
      </c>
      <c r="C152" s="22" t="s">
        <v>4795</v>
      </c>
      <c r="D152" s="22" t="str">
        <f aca="false">IFERROR(VLOOKUP(C152,'Applicant Lookup'!$A$2:$F$2911,2,FALSE()),"Not found")</f>
        <v>Kevin House</v>
      </c>
      <c r="E152" s="22" t="n">
        <v>44.3</v>
      </c>
      <c r="F152" s="22" t="n">
        <v>41.7</v>
      </c>
      <c r="G152" s="22" t="s">
        <v>11287</v>
      </c>
      <c r="H152" s="22" t="n">
        <f aca="false">COUNTIFS('Certificate Check'!$D$6:$D$7,C152,'Certificate Check'!$E$6:$E$7,F152,'Certificate Check'!$G$6:$G$7,B152,'Certificate Check'!$H$6:$H$7,"Y")</f>
        <v>0</v>
      </c>
      <c r="I152" s="22" t="str">
        <f aca="false">IF(H152&gt;0,"SUBSTANTIATED","UNSUBSTANTIATED")</f>
        <v>UNSUBSTANTIATED</v>
      </c>
      <c r="J152" s="22" t="n">
        <f aca="false">COUNTIFS('Skip Audit'!$D$6:$D$314,C152,'Skip Audit'!$C$6:$C$314,"&gt;="&amp;B152)</f>
        <v>0</v>
      </c>
      <c r="K152" s="22"/>
      <c r="L152" s="22" t="str">
        <f aca="false">IF(I152="SUBSTANTIATED","Compliant","No supplied signed certificate or yard measurement sheet")</f>
        <v>No supplied signed certificate or yard measurement sheet</v>
      </c>
      <c r="M152" s="22" t="str">
        <f aca="false">IF(I152="SUBSTANTIATED","",IF(J152&gt;0,"Priority 1","Priority 2"))</f>
        <v>Priority 2</v>
      </c>
      <c r="N152" s="22" t="s">
        <v>15</v>
      </c>
    </row>
    <row r="153" customFormat="false" ht="15" hidden="false" customHeight="false" outlineLevel="0" collapsed="false">
      <c r="A153" s="22" t="s">
        <v>11288</v>
      </c>
      <c r="B153" s="23" t="n">
        <v>45861</v>
      </c>
      <c r="C153" s="22" t="s">
        <v>3722</v>
      </c>
      <c r="D153" s="22" t="str">
        <f aca="false">IFERROR(VLOOKUP(C153,'Applicant Lookup'!$A$2:$F$2911,2,FALSE()),"Not found")</f>
        <v>Maria Fernandez</v>
      </c>
      <c r="E153" s="22" t="n">
        <v>26.3</v>
      </c>
      <c r="F153" s="22" t="n">
        <v>28.5</v>
      </c>
      <c r="G153" s="22" t="s">
        <v>11289</v>
      </c>
      <c r="H153" s="22" t="n">
        <f aca="false">COUNTIFS('Certificate Check'!$D$6:$D$7,C153,'Certificate Check'!$E$6:$E$7,F153,'Certificate Check'!$G$6:$G$7,B153,'Certificate Check'!$H$6:$H$7,"Y")</f>
        <v>0</v>
      </c>
      <c r="I153" s="22" t="str">
        <f aca="false">IF(H153&gt;0,"SUBSTANTIATED","UNSUBSTANTIATED")</f>
        <v>UNSUBSTANTIATED</v>
      </c>
      <c r="J153" s="22" t="n">
        <f aca="false">COUNTIFS('Skip Audit'!$D$6:$D$314,C153,'Skip Audit'!$C$6:$C$314,"&gt;="&amp;B153)</f>
        <v>0</v>
      </c>
      <c r="K153" s="22"/>
      <c r="L153" s="22" t="str">
        <f aca="false">IF(I153="SUBSTANTIATED","Compliant","No supplied signed certificate or yard measurement sheet")</f>
        <v>No supplied signed certificate or yard measurement sheet</v>
      </c>
      <c r="M153" s="22" t="str">
        <f aca="false">IF(I153="SUBSTANTIATED","",IF(J153&gt;0,"Priority 1","Priority 2"))</f>
        <v>Priority 2</v>
      </c>
      <c r="N153" s="22" t="s">
        <v>15</v>
      </c>
    </row>
    <row r="154" customFormat="false" ht="15" hidden="false" customHeight="false" outlineLevel="0" collapsed="false">
      <c r="A154" s="22" t="s">
        <v>11290</v>
      </c>
      <c r="B154" s="23" t="n">
        <v>45878</v>
      </c>
      <c r="C154" s="22" t="s">
        <v>2345</v>
      </c>
      <c r="D154" s="22" t="str">
        <f aca="false">IFERROR(VLOOKUP(C154,'Applicant Lookup'!$A$2:$F$2911,2,FALSE()),"Not found")</f>
        <v>Andrea Evans</v>
      </c>
      <c r="E154" s="22" t="n">
        <v>48.9</v>
      </c>
      <c r="F154" s="22" t="n">
        <v>49.3</v>
      </c>
      <c r="G154" s="22" t="s">
        <v>11291</v>
      </c>
      <c r="H154" s="22" t="n">
        <f aca="false">COUNTIFS('Certificate Check'!$D$6:$D$7,C154,'Certificate Check'!$E$6:$E$7,F154,'Certificate Check'!$G$6:$G$7,B154,'Certificate Check'!$H$6:$H$7,"Y")</f>
        <v>0</v>
      </c>
      <c r="I154" s="22" t="str">
        <f aca="false">IF(H154&gt;0,"SUBSTANTIATED","UNSUBSTANTIATED")</f>
        <v>UNSUBSTANTIATED</v>
      </c>
      <c r="J154" s="22" t="n">
        <f aca="false">COUNTIFS('Skip Audit'!$D$6:$D$314,C154,'Skip Audit'!$C$6:$C$314,"&gt;="&amp;B154)</f>
        <v>0</v>
      </c>
      <c r="K154" s="22"/>
      <c r="L154" s="22" t="str">
        <f aca="false">IF(I154="SUBSTANTIATED","Compliant","No supplied signed certificate or yard measurement sheet")</f>
        <v>No supplied signed certificate or yard measurement sheet</v>
      </c>
      <c r="M154" s="22" t="str">
        <f aca="false">IF(I154="SUBSTANTIATED","",IF(J154&gt;0,"Priority 1","Priority 2"))</f>
        <v>Priority 2</v>
      </c>
      <c r="N154" s="22" t="s">
        <v>15</v>
      </c>
    </row>
    <row r="155" customFormat="false" ht="15" hidden="false" customHeight="false" outlineLevel="0" collapsed="false">
      <c r="A155" s="22" t="s">
        <v>11292</v>
      </c>
      <c r="B155" s="23" t="n">
        <v>45903</v>
      </c>
      <c r="C155" s="22" t="s">
        <v>2708</v>
      </c>
      <c r="D155" s="22" t="str">
        <f aca="false">IFERROR(VLOOKUP(C155,'Applicant Lookup'!$A$2:$F$2911,2,FALSE()),"Not found")</f>
        <v>Joseph Bishop</v>
      </c>
      <c r="E155" s="22" t="n">
        <v>22.5</v>
      </c>
      <c r="F155" s="22" t="n">
        <v>22.1</v>
      </c>
      <c r="G155" s="22" t="s">
        <v>11293</v>
      </c>
      <c r="H155" s="22" t="n">
        <f aca="false">COUNTIFS('Certificate Check'!$D$6:$D$7,C155,'Certificate Check'!$E$6:$E$7,F155,'Certificate Check'!$G$6:$G$7,B155,'Certificate Check'!$H$6:$H$7,"Y")</f>
        <v>0</v>
      </c>
      <c r="I155" s="22" t="str">
        <f aca="false">IF(H155&gt;0,"SUBSTANTIATED","UNSUBSTANTIATED")</f>
        <v>UNSUBSTANTIATED</v>
      </c>
      <c r="J155" s="22" t="n">
        <f aca="false">COUNTIFS('Skip Audit'!$D$6:$D$314,C155,'Skip Audit'!$C$6:$C$314,"&gt;="&amp;B155)</f>
        <v>0</v>
      </c>
      <c r="K155" s="22"/>
      <c r="L155" s="22" t="str">
        <f aca="false">IF(I155="SUBSTANTIATED","Compliant","No supplied signed certificate or yard measurement sheet")</f>
        <v>No supplied signed certificate or yard measurement sheet</v>
      </c>
      <c r="M155" s="22" t="str">
        <f aca="false">IF(I155="SUBSTANTIATED","",IF(J155&gt;0,"Priority 1","Priority 2"))</f>
        <v>Priority 2</v>
      </c>
      <c r="N155" s="22" t="s">
        <v>15</v>
      </c>
    </row>
    <row r="156" customFormat="false" ht="15" hidden="false" customHeight="false" outlineLevel="0" collapsed="false">
      <c r="A156" s="22" t="s">
        <v>11294</v>
      </c>
      <c r="B156" s="23" t="n">
        <v>45903</v>
      </c>
      <c r="C156" s="22" t="s">
        <v>1741</v>
      </c>
      <c r="D156" s="22" t="str">
        <f aca="false">IFERROR(VLOOKUP(C156,'Applicant Lookup'!$A$2:$F$2911,2,FALSE()),"Not found")</f>
        <v>Lauren Smith</v>
      </c>
      <c r="E156" s="22" t="n">
        <v>33</v>
      </c>
      <c r="F156" s="22" t="n">
        <v>34</v>
      </c>
      <c r="G156" s="22" t="s">
        <v>11295</v>
      </c>
      <c r="H156" s="22" t="n">
        <f aca="false">COUNTIFS('Certificate Check'!$D$6:$D$7,C156,'Certificate Check'!$E$6:$E$7,F156,'Certificate Check'!$G$6:$G$7,B156,'Certificate Check'!$H$6:$H$7,"Y")</f>
        <v>0</v>
      </c>
      <c r="I156" s="22" t="str">
        <f aca="false">IF(H156&gt;0,"SUBSTANTIATED","UNSUBSTANTIATED")</f>
        <v>UNSUBSTANTIATED</v>
      </c>
      <c r="J156" s="22" t="n">
        <f aca="false">COUNTIFS('Skip Audit'!$D$6:$D$314,C156,'Skip Audit'!$C$6:$C$314,"&gt;="&amp;B156)</f>
        <v>0</v>
      </c>
      <c r="K156" s="22"/>
      <c r="L156" s="22" t="str">
        <f aca="false">IF(I156="SUBSTANTIATED","Compliant","No supplied signed certificate or yard measurement sheet")</f>
        <v>No supplied signed certificate or yard measurement sheet</v>
      </c>
      <c r="M156" s="22" t="str">
        <f aca="false">IF(I156="SUBSTANTIATED","",IF(J156&gt;0,"Priority 1","Priority 2"))</f>
        <v>Priority 2</v>
      </c>
      <c r="N156" s="22" t="s">
        <v>15</v>
      </c>
    </row>
    <row r="157" customFormat="false" ht="15" hidden="false" customHeight="false" outlineLevel="0" collapsed="false">
      <c r="A157" s="22" t="s">
        <v>11296</v>
      </c>
      <c r="B157" s="23" t="n">
        <v>45915</v>
      </c>
      <c r="C157" s="22" t="s">
        <v>5323</v>
      </c>
      <c r="D157" s="22" t="str">
        <f aca="false">IFERROR(VLOOKUP(C157,'Applicant Lookup'!$A$2:$F$2911,2,FALSE()),"Not found")</f>
        <v>Vincent Hanson</v>
      </c>
      <c r="E157" s="22" t="n">
        <v>49.8</v>
      </c>
      <c r="F157" s="22" t="n">
        <v>47.9</v>
      </c>
      <c r="G157" s="22" t="s">
        <v>11297</v>
      </c>
      <c r="H157" s="22" t="n">
        <f aca="false">COUNTIFS('Certificate Check'!$D$6:$D$7,C157,'Certificate Check'!$E$6:$E$7,F157,'Certificate Check'!$G$6:$G$7,B157,'Certificate Check'!$H$6:$H$7,"Y")</f>
        <v>0</v>
      </c>
      <c r="I157" s="22" t="str">
        <f aca="false">IF(H157&gt;0,"SUBSTANTIATED","UNSUBSTANTIATED")</f>
        <v>UNSUBSTANTIATED</v>
      </c>
      <c r="J157" s="22" t="n">
        <f aca="false">COUNTIFS('Skip Audit'!$D$6:$D$314,C157,'Skip Audit'!$C$6:$C$314,"&gt;="&amp;B157)</f>
        <v>0</v>
      </c>
      <c r="K157" s="22"/>
      <c r="L157" s="22" t="str">
        <f aca="false">IF(I157="SUBSTANTIATED","Compliant","No supplied signed certificate or yard measurement sheet")</f>
        <v>No supplied signed certificate or yard measurement sheet</v>
      </c>
      <c r="M157" s="22" t="str">
        <f aca="false">IF(I157="SUBSTANTIATED","",IF(J157&gt;0,"Priority 1","Priority 2"))</f>
        <v>Priority 2</v>
      </c>
      <c r="N157" s="22" t="s">
        <v>15</v>
      </c>
    </row>
    <row r="158" customFormat="false" ht="15" hidden="false" customHeight="false" outlineLevel="0" collapsed="false">
      <c r="A158" s="22" t="s">
        <v>11298</v>
      </c>
      <c r="B158" s="23" t="n">
        <v>45917</v>
      </c>
      <c r="C158" s="22" t="s">
        <v>934</v>
      </c>
      <c r="D158" s="22" t="str">
        <f aca="false">IFERROR(VLOOKUP(C158,'Applicant Lookup'!$A$2:$F$2911,2,FALSE()),"Not found")</f>
        <v>Adam Shepherd</v>
      </c>
      <c r="E158" s="22" t="n">
        <v>49.3</v>
      </c>
      <c r="F158" s="22" t="n">
        <v>51.7</v>
      </c>
      <c r="G158" s="22" t="s">
        <v>11299</v>
      </c>
      <c r="H158" s="22" t="n">
        <f aca="false">COUNTIFS('Certificate Check'!$D$6:$D$7,C158,'Certificate Check'!$E$6:$E$7,F158,'Certificate Check'!$G$6:$G$7,B158,'Certificate Check'!$H$6:$H$7,"Y")</f>
        <v>0</v>
      </c>
      <c r="I158" s="22" t="str">
        <f aca="false">IF(H158&gt;0,"SUBSTANTIATED","UNSUBSTANTIATED")</f>
        <v>UNSUBSTANTIATED</v>
      </c>
      <c r="J158" s="22" t="n">
        <f aca="false">COUNTIFS('Skip Audit'!$D$6:$D$314,C158,'Skip Audit'!$C$6:$C$314,"&gt;="&amp;B158)</f>
        <v>0</v>
      </c>
      <c r="K158" s="22"/>
      <c r="L158" s="22" t="str">
        <f aca="false">IF(I158="SUBSTANTIATED","Compliant","No supplied signed certificate or yard measurement sheet")</f>
        <v>No supplied signed certificate or yard measurement sheet</v>
      </c>
      <c r="M158" s="22" t="str">
        <f aca="false">IF(I158="SUBSTANTIATED","",IF(J158&gt;0,"Priority 1","Priority 2"))</f>
        <v>Priority 2</v>
      </c>
      <c r="N158" s="22" t="s">
        <v>15</v>
      </c>
    </row>
    <row r="159" customFormat="false" ht="15" hidden="false" customHeight="false" outlineLevel="0" collapsed="false">
      <c r="A159" s="22" t="s">
        <v>11300</v>
      </c>
      <c r="B159" s="23" t="n">
        <v>45936</v>
      </c>
      <c r="C159" s="22" t="s">
        <v>1149</v>
      </c>
      <c r="D159" s="22" t="str">
        <f aca="false">IFERROR(VLOOKUP(C159,'Applicant Lookup'!$A$2:$F$2911,2,FALSE()),"Not found")</f>
        <v>Cody Rose</v>
      </c>
      <c r="E159" s="22" t="n">
        <v>54.5</v>
      </c>
      <c r="F159" s="22" t="n">
        <v>55.6</v>
      </c>
      <c r="G159" s="22" t="s">
        <v>11301</v>
      </c>
      <c r="H159" s="22" t="n">
        <f aca="false">COUNTIFS('Certificate Check'!$D$6:$D$7,C159,'Certificate Check'!$E$6:$E$7,F159,'Certificate Check'!$G$6:$G$7,B159,'Certificate Check'!$H$6:$H$7,"Y")</f>
        <v>0</v>
      </c>
      <c r="I159" s="22" t="str">
        <f aca="false">IF(H159&gt;0,"SUBSTANTIATED","UNSUBSTANTIATED")</f>
        <v>UNSUBSTANTIATED</v>
      </c>
      <c r="J159" s="22" t="n">
        <f aca="false">COUNTIFS('Skip Audit'!$D$6:$D$314,C159,'Skip Audit'!$C$6:$C$314,"&gt;="&amp;B159)</f>
        <v>0</v>
      </c>
      <c r="K159" s="22"/>
      <c r="L159" s="22" t="str">
        <f aca="false">IF(I159="SUBSTANTIATED","Compliant","No supplied signed certificate or yard measurement sheet")</f>
        <v>No supplied signed certificate or yard measurement sheet</v>
      </c>
      <c r="M159" s="22" t="str">
        <f aca="false">IF(I159="SUBSTANTIATED","",IF(J159&gt;0,"Priority 1","Priority 2"))</f>
        <v>Priority 2</v>
      </c>
      <c r="N159" s="22" t="s">
        <v>15</v>
      </c>
    </row>
    <row r="160" customFormat="false" ht="15" hidden="false" customHeight="false" outlineLevel="0" collapsed="false">
      <c r="A160" s="22" t="s">
        <v>11302</v>
      </c>
      <c r="B160" s="23" t="n">
        <v>45937</v>
      </c>
      <c r="C160" s="22" t="s">
        <v>493</v>
      </c>
      <c r="D160" s="22" t="str">
        <f aca="false">IFERROR(VLOOKUP(C160,'Applicant Lookup'!$A$2:$F$2911,2,FALSE()),"Not found")</f>
        <v>Ronnie Lee</v>
      </c>
      <c r="E160" s="22" t="n">
        <v>53.7</v>
      </c>
      <c r="F160" s="22" t="n">
        <v>56.3</v>
      </c>
      <c r="G160" s="22" t="s">
        <v>11303</v>
      </c>
      <c r="H160" s="22" t="n">
        <f aca="false">COUNTIFS('Certificate Check'!$D$6:$D$7,C160,'Certificate Check'!$E$6:$E$7,F160,'Certificate Check'!$G$6:$G$7,B160,'Certificate Check'!$H$6:$H$7,"Y")</f>
        <v>0</v>
      </c>
      <c r="I160" s="22" t="str">
        <f aca="false">IF(H160&gt;0,"SUBSTANTIATED","UNSUBSTANTIATED")</f>
        <v>UNSUBSTANTIATED</v>
      </c>
      <c r="J160" s="22" t="n">
        <f aca="false">COUNTIFS('Skip Audit'!$D$6:$D$314,C160,'Skip Audit'!$C$6:$C$314,"&gt;="&amp;B160)</f>
        <v>0</v>
      </c>
      <c r="K160" s="22"/>
      <c r="L160" s="22" t="str">
        <f aca="false">IF(I160="SUBSTANTIATED","Compliant","No supplied signed certificate or yard measurement sheet")</f>
        <v>No supplied signed certificate or yard measurement sheet</v>
      </c>
      <c r="M160" s="22" t="str">
        <f aca="false">IF(I160="SUBSTANTIATED","",IF(J160&gt;0,"Priority 1","Priority 2"))</f>
        <v>Priority 2</v>
      </c>
      <c r="N160" s="22" t="s">
        <v>15</v>
      </c>
    </row>
    <row r="161" customFormat="false" ht="15" hidden="false" customHeight="false" outlineLevel="0" collapsed="false">
      <c r="A161" s="22" t="s">
        <v>11304</v>
      </c>
      <c r="B161" s="23" t="n">
        <v>45941</v>
      </c>
      <c r="C161" s="22" t="s">
        <v>2300</v>
      </c>
      <c r="D161" s="22" t="str">
        <f aca="false">IFERROR(VLOOKUP(C161,'Applicant Lookup'!$A$2:$F$2911,2,FALSE()),"Not found")</f>
        <v>Brianna Bush</v>
      </c>
      <c r="E161" s="22" t="n">
        <v>54.2</v>
      </c>
      <c r="F161" s="22" t="n">
        <v>53.2</v>
      </c>
      <c r="G161" s="22"/>
      <c r="H161" s="22" t="n">
        <f aca="false">COUNTIFS('Certificate Check'!$D$6:$D$7,C161,'Certificate Check'!$E$6:$E$7,F161,'Certificate Check'!$G$6:$G$7,B161,'Certificate Check'!$H$6:$H$7,"Y")</f>
        <v>0</v>
      </c>
      <c r="I161" s="22" t="str">
        <f aca="false">IF(H161&gt;0,"SUBSTANTIATED","UNSUBSTANTIATED")</f>
        <v>UNSUBSTANTIATED</v>
      </c>
      <c r="J161" s="22" t="n">
        <f aca="false">COUNTIFS('Skip Audit'!$D$6:$D$314,C161,'Skip Audit'!$C$6:$C$314,"&gt;="&amp;B161)</f>
        <v>0</v>
      </c>
      <c r="K161" s="22"/>
      <c r="L161" s="22" t="str">
        <f aca="false">IF(I161="SUBSTANTIATED","Compliant","No supplied signed certificate or yard measurement sheet")</f>
        <v>No supplied signed certificate or yard measurement sheet</v>
      </c>
      <c r="M161" s="22" t="str">
        <f aca="false">IF(I161="SUBSTANTIATED","",IF(J161&gt;0,"Priority 1","Priority 2"))</f>
        <v>Priority 2</v>
      </c>
      <c r="N161" s="22" t="s">
        <v>15</v>
      </c>
    </row>
    <row r="162" customFormat="false" ht="15" hidden="false" customHeight="false" outlineLevel="0" collapsed="false">
      <c r="A162" s="22" t="s">
        <v>11305</v>
      </c>
      <c r="B162" s="23" t="n">
        <v>45943</v>
      </c>
      <c r="C162" s="22" t="s">
        <v>1314</v>
      </c>
      <c r="D162" s="22" t="str">
        <f aca="false">IFERROR(VLOOKUP(C162,'Applicant Lookup'!$A$2:$F$2911,2,FALSE()),"Not found")</f>
        <v>Emma Mayo</v>
      </c>
      <c r="E162" s="22" t="n">
        <v>25.5</v>
      </c>
      <c r="F162" s="22" t="n">
        <v>27.2</v>
      </c>
      <c r="G162" s="22" t="s">
        <v>11306</v>
      </c>
      <c r="H162" s="22" t="n">
        <f aca="false">COUNTIFS('Certificate Check'!$D$6:$D$7,C162,'Certificate Check'!$E$6:$E$7,F162,'Certificate Check'!$G$6:$G$7,B162,'Certificate Check'!$H$6:$H$7,"Y")</f>
        <v>0</v>
      </c>
      <c r="I162" s="22" t="str">
        <f aca="false">IF(H162&gt;0,"SUBSTANTIATED","UNSUBSTANTIATED")</f>
        <v>UNSUBSTANTIATED</v>
      </c>
      <c r="J162" s="22" t="n">
        <f aca="false">COUNTIFS('Skip Audit'!$D$6:$D$314,C162,'Skip Audit'!$C$6:$C$314,"&gt;="&amp;B162)</f>
        <v>0</v>
      </c>
      <c r="K162" s="22"/>
      <c r="L162" s="22" t="str">
        <f aca="false">IF(I162="SUBSTANTIATED","Compliant","No supplied signed certificate or yard measurement sheet")</f>
        <v>No supplied signed certificate or yard measurement sheet</v>
      </c>
      <c r="M162" s="22" t="str">
        <f aca="false">IF(I162="SUBSTANTIATED","",IF(J162&gt;0,"Priority 1","Priority 2"))</f>
        <v>Priority 2</v>
      </c>
      <c r="N162" s="22" t="s">
        <v>15</v>
      </c>
    </row>
    <row r="163" customFormat="false" ht="15" hidden="false" customHeight="false" outlineLevel="0" collapsed="false">
      <c r="A163" s="22" t="s">
        <v>11307</v>
      </c>
      <c r="B163" s="23" t="n">
        <v>45944</v>
      </c>
      <c r="C163" s="22" t="s">
        <v>4830</v>
      </c>
      <c r="D163" s="22" t="str">
        <f aca="false">IFERROR(VLOOKUP(C163,'Applicant Lookup'!$A$2:$F$2911,2,FALSE()),"Not found")</f>
        <v>Brian Campbell</v>
      </c>
      <c r="E163" s="22" t="n">
        <v>42.8</v>
      </c>
      <c r="F163" s="22" t="n">
        <v>41.9</v>
      </c>
      <c r="G163" s="22" t="s">
        <v>11308</v>
      </c>
      <c r="H163" s="22" t="n">
        <f aca="false">COUNTIFS('Certificate Check'!$D$6:$D$7,C163,'Certificate Check'!$E$6:$E$7,F163,'Certificate Check'!$G$6:$G$7,B163,'Certificate Check'!$H$6:$H$7,"Y")</f>
        <v>0</v>
      </c>
      <c r="I163" s="22" t="str">
        <f aca="false">IF(H163&gt;0,"SUBSTANTIATED","UNSUBSTANTIATED")</f>
        <v>UNSUBSTANTIATED</v>
      </c>
      <c r="J163" s="22" t="n">
        <f aca="false">COUNTIFS('Skip Audit'!$D$6:$D$314,C163,'Skip Audit'!$C$6:$C$314,"&gt;="&amp;B163)</f>
        <v>0</v>
      </c>
      <c r="K163" s="22"/>
      <c r="L163" s="22" t="str">
        <f aca="false">IF(I163="SUBSTANTIATED","Compliant","No supplied signed certificate or yard measurement sheet")</f>
        <v>No supplied signed certificate or yard measurement sheet</v>
      </c>
      <c r="M163" s="22" t="str">
        <f aca="false">IF(I163="SUBSTANTIATED","",IF(J163&gt;0,"Priority 1","Priority 2"))</f>
        <v>Priority 2</v>
      </c>
      <c r="N163" s="22" t="s">
        <v>15</v>
      </c>
    </row>
    <row r="164" customFormat="false" ht="15" hidden="false" customHeight="false" outlineLevel="0" collapsed="false">
      <c r="A164" s="22" t="s">
        <v>11309</v>
      </c>
      <c r="B164" s="23" t="n">
        <v>45944</v>
      </c>
      <c r="C164" s="22" t="s">
        <v>5100</v>
      </c>
      <c r="D164" s="22" t="str">
        <f aca="false">IFERROR(VLOOKUP(C164,'Applicant Lookup'!$A$2:$F$2911,2,FALSE()),"Not found")</f>
        <v>Annette Collins</v>
      </c>
      <c r="E164" s="22" t="n">
        <v>46.6</v>
      </c>
      <c r="F164" s="22" t="n">
        <v>47.1</v>
      </c>
      <c r="G164" s="22" t="s">
        <v>11310</v>
      </c>
      <c r="H164" s="22" t="n">
        <f aca="false">COUNTIFS('Certificate Check'!$D$6:$D$7,C164,'Certificate Check'!$E$6:$E$7,F164,'Certificate Check'!$G$6:$G$7,B164,'Certificate Check'!$H$6:$H$7,"Y")</f>
        <v>0</v>
      </c>
      <c r="I164" s="22" t="str">
        <f aca="false">IF(H164&gt;0,"SUBSTANTIATED","UNSUBSTANTIATED")</f>
        <v>UNSUBSTANTIATED</v>
      </c>
      <c r="J164" s="22" t="n">
        <f aca="false">COUNTIFS('Skip Audit'!$D$6:$D$314,C164,'Skip Audit'!$C$6:$C$314,"&gt;="&amp;B164)</f>
        <v>0</v>
      </c>
      <c r="K164" s="22"/>
      <c r="L164" s="22" t="str">
        <f aca="false">IF(I164="SUBSTANTIATED","Compliant","No supplied signed certificate or yard measurement sheet")</f>
        <v>No supplied signed certificate or yard measurement sheet</v>
      </c>
      <c r="M164" s="22" t="str">
        <f aca="false">IF(I164="SUBSTANTIATED","",IF(J164&gt;0,"Priority 1","Priority 2"))</f>
        <v>Priority 2</v>
      </c>
      <c r="N164" s="22" t="s">
        <v>15</v>
      </c>
    </row>
    <row r="165" customFormat="false" ht="15" hidden="false" customHeight="false" outlineLevel="0" collapsed="false">
      <c r="A165" s="22" t="s">
        <v>11311</v>
      </c>
      <c r="B165" s="23" t="n">
        <v>45945</v>
      </c>
      <c r="C165" s="22" t="s">
        <v>6099</v>
      </c>
      <c r="D165" s="22" t="str">
        <f aca="false">IFERROR(VLOOKUP(C165,'Applicant Lookup'!$A$2:$F$2911,2,FALSE()),"Not found")</f>
        <v>Tracy Page</v>
      </c>
      <c r="E165" s="22" t="n">
        <v>23</v>
      </c>
      <c r="F165" s="22" t="n">
        <v>23</v>
      </c>
      <c r="G165" s="22" t="s">
        <v>11312</v>
      </c>
      <c r="H165" s="22" t="n">
        <f aca="false">COUNTIFS('Certificate Check'!$D$6:$D$7,C165,'Certificate Check'!$E$6:$E$7,F165,'Certificate Check'!$G$6:$G$7,B165,'Certificate Check'!$H$6:$H$7,"Y")</f>
        <v>0</v>
      </c>
      <c r="I165" s="22" t="str">
        <f aca="false">IF(H165&gt;0,"SUBSTANTIATED","UNSUBSTANTIATED")</f>
        <v>UNSUBSTANTIATED</v>
      </c>
      <c r="J165" s="22" t="n">
        <f aca="false">COUNTIFS('Skip Audit'!$D$6:$D$314,C165,'Skip Audit'!$C$6:$C$314,"&gt;="&amp;B165)</f>
        <v>0</v>
      </c>
      <c r="K165" s="22"/>
      <c r="L165" s="22" t="str">
        <f aca="false">IF(I165="SUBSTANTIATED","Compliant","No supplied signed certificate or yard measurement sheet")</f>
        <v>No supplied signed certificate or yard measurement sheet</v>
      </c>
      <c r="M165" s="22" t="str">
        <f aca="false">IF(I165="SUBSTANTIATED","",IF(J165&gt;0,"Priority 1","Priority 2"))</f>
        <v>Priority 2</v>
      </c>
      <c r="N165" s="22" t="s">
        <v>15</v>
      </c>
    </row>
    <row r="166" customFormat="false" ht="15" hidden="false" customHeight="false" outlineLevel="0" collapsed="false">
      <c r="A166" s="22" t="s">
        <v>11313</v>
      </c>
      <c r="B166" s="23" t="n">
        <v>45949</v>
      </c>
      <c r="C166" s="22" t="s">
        <v>331</v>
      </c>
      <c r="D166" s="22" t="str">
        <f aca="false">IFERROR(VLOOKUP(C166,'Applicant Lookup'!$A$2:$F$2911,2,FALSE()),"Not found")</f>
        <v>Eric Ross</v>
      </c>
      <c r="E166" s="22" t="n">
        <v>52.5</v>
      </c>
      <c r="F166" s="22" t="n">
        <v>51</v>
      </c>
      <c r="G166" s="22" t="s">
        <v>11314</v>
      </c>
      <c r="H166" s="22" t="n">
        <f aca="false">COUNTIFS('Certificate Check'!$D$6:$D$7,C166,'Certificate Check'!$E$6:$E$7,F166,'Certificate Check'!$G$6:$G$7,B166,'Certificate Check'!$H$6:$H$7,"Y")</f>
        <v>0</v>
      </c>
      <c r="I166" s="22" t="str">
        <f aca="false">IF(H166&gt;0,"SUBSTANTIATED","UNSUBSTANTIATED")</f>
        <v>UNSUBSTANTIATED</v>
      </c>
      <c r="J166" s="22" t="n">
        <f aca="false">COUNTIFS('Skip Audit'!$D$6:$D$314,C166,'Skip Audit'!$C$6:$C$314,"&gt;="&amp;B166)</f>
        <v>0</v>
      </c>
      <c r="K166" s="22"/>
      <c r="L166" s="22" t="str">
        <f aca="false">IF(I166="SUBSTANTIATED","Compliant","No supplied signed certificate or yard measurement sheet")</f>
        <v>No supplied signed certificate or yard measurement sheet</v>
      </c>
      <c r="M166" s="22" t="str">
        <f aca="false">IF(I166="SUBSTANTIATED","",IF(J166&gt;0,"Priority 1","Priority 2"))</f>
        <v>Priority 2</v>
      </c>
      <c r="N166" s="22" t="s">
        <v>15</v>
      </c>
    </row>
    <row r="167" customFormat="false" ht="15" hidden="false" customHeight="false" outlineLevel="0" collapsed="false">
      <c r="A167" s="22" t="s">
        <v>11315</v>
      </c>
      <c r="B167" s="23" t="n">
        <v>45956</v>
      </c>
      <c r="C167" s="22" t="s">
        <v>2629</v>
      </c>
      <c r="D167" s="22" t="str">
        <f aca="false">IFERROR(VLOOKUP(C167,'Applicant Lookup'!$A$2:$F$2911,2,FALSE()),"Not found")</f>
        <v>Tiffany Russell</v>
      </c>
      <c r="E167" s="22" t="n">
        <v>43.6</v>
      </c>
      <c r="F167" s="22" t="n">
        <v>46</v>
      </c>
      <c r="G167" s="22" t="s">
        <v>11316</v>
      </c>
      <c r="H167" s="22" t="n">
        <f aca="false">COUNTIFS('Certificate Check'!$D$6:$D$7,C167,'Certificate Check'!$E$6:$E$7,F167,'Certificate Check'!$G$6:$G$7,B167,'Certificate Check'!$H$6:$H$7,"Y")</f>
        <v>0</v>
      </c>
      <c r="I167" s="22" t="str">
        <f aca="false">IF(H167&gt;0,"SUBSTANTIATED","UNSUBSTANTIATED")</f>
        <v>UNSUBSTANTIATED</v>
      </c>
      <c r="J167" s="22" t="n">
        <f aca="false">COUNTIFS('Skip Audit'!$D$6:$D$314,C167,'Skip Audit'!$C$6:$C$314,"&gt;="&amp;B167)</f>
        <v>0</v>
      </c>
      <c r="K167" s="22"/>
      <c r="L167" s="22" t="str">
        <f aca="false">IF(I167="SUBSTANTIATED","Compliant","No supplied signed certificate or yard measurement sheet")</f>
        <v>No supplied signed certificate or yard measurement sheet</v>
      </c>
      <c r="M167" s="22" t="str">
        <f aca="false">IF(I167="SUBSTANTIATED","",IF(J167&gt;0,"Priority 1","Priority 2"))</f>
        <v>Priority 2</v>
      </c>
      <c r="N167" s="22" t="s">
        <v>15</v>
      </c>
    </row>
    <row r="168" customFormat="false" ht="15" hidden="false" customHeight="false" outlineLevel="0" collapsed="false">
      <c r="A168" s="22" t="s">
        <v>11317</v>
      </c>
      <c r="B168" s="23" t="n">
        <v>45960</v>
      </c>
      <c r="C168" s="22" t="s">
        <v>2828</v>
      </c>
      <c r="D168" s="22" t="str">
        <f aca="false">IFERROR(VLOOKUP(C168,'Applicant Lookup'!$A$2:$F$2911,2,FALSE()),"Not found")</f>
        <v>Sherry Jacobs</v>
      </c>
      <c r="E168" s="22" t="n">
        <v>48.6</v>
      </c>
      <c r="F168" s="22" t="n">
        <v>49</v>
      </c>
      <c r="G168" s="22"/>
      <c r="H168" s="22" t="n">
        <f aca="false">COUNTIFS('Certificate Check'!$D$6:$D$7,C168,'Certificate Check'!$E$6:$E$7,F168,'Certificate Check'!$G$6:$G$7,B168,'Certificate Check'!$H$6:$H$7,"Y")</f>
        <v>0</v>
      </c>
      <c r="I168" s="22" t="str">
        <f aca="false">IF(H168&gt;0,"SUBSTANTIATED","UNSUBSTANTIATED")</f>
        <v>UNSUBSTANTIATED</v>
      </c>
      <c r="J168" s="22" t="n">
        <f aca="false">COUNTIFS('Skip Audit'!$D$6:$D$314,C168,'Skip Audit'!$C$6:$C$314,"&gt;="&amp;B168)</f>
        <v>0</v>
      </c>
      <c r="K168" s="22"/>
      <c r="L168" s="22" t="str">
        <f aca="false">IF(I168="SUBSTANTIATED","Compliant","No supplied signed certificate or yard measurement sheet")</f>
        <v>No supplied signed certificate or yard measurement sheet</v>
      </c>
      <c r="M168" s="22" t="str">
        <f aca="false">IF(I168="SUBSTANTIATED","",IF(J168&gt;0,"Priority 1","Priority 2"))</f>
        <v>Priority 2</v>
      </c>
      <c r="N168" s="22" t="s">
        <v>15</v>
      </c>
    </row>
    <row r="169" customFormat="false" ht="15" hidden="false" customHeight="false" outlineLevel="0" collapsed="false">
      <c r="A169" s="22" t="s">
        <v>11318</v>
      </c>
      <c r="B169" s="23" t="n">
        <v>45960</v>
      </c>
      <c r="C169" s="22" t="s">
        <v>4688</v>
      </c>
      <c r="D169" s="22" t="str">
        <f aca="false">IFERROR(VLOOKUP(C169,'Applicant Lookup'!$A$2:$F$2911,2,FALSE()),"Not found")</f>
        <v>Arthur Schmitt</v>
      </c>
      <c r="E169" s="22" t="n">
        <v>53.2</v>
      </c>
      <c r="F169" s="22" t="n">
        <v>50.3</v>
      </c>
      <c r="G169" s="22" t="s">
        <v>11319</v>
      </c>
      <c r="H169" s="22" t="n">
        <f aca="false">COUNTIFS('Certificate Check'!$D$6:$D$7,C169,'Certificate Check'!$E$6:$E$7,F169,'Certificate Check'!$G$6:$G$7,B169,'Certificate Check'!$H$6:$H$7,"Y")</f>
        <v>0</v>
      </c>
      <c r="I169" s="22" t="str">
        <f aca="false">IF(H169&gt;0,"SUBSTANTIATED","UNSUBSTANTIATED")</f>
        <v>UNSUBSTANTIATED</v>
      </c>
      <c r="J169" s="22" t="n">
        <f aca="false">COUNTIFS('Skip Audit'!$D$6:$D$314,C169,'Skip Audit'!$C$6:$C$314,"&gt;="&amp;B169)</f>
        <v>0</v>
      </c>
      <c r="K169" s="22"/>
      <c r="L169" s="22" t="str">
        <f aca="false">IF(I169="SUBSTANTIATED","Compliant","No supplied signed certificate or yard measurement sheet")</f>
        <v>No supplied signed certificate or yard measurement sheet</v>
      </c>
      <c r="M169" s="22" t="str">
        <f aca="false">IF(I169="SUBSTANTIATED","",IF(J169&gt;0,"Priority 1","Priority 2"))</f>
        <v>Priority 2</v>
      </c>
      <c r="N169" s="22" t="s">
        <v>15</v>
      </c>
    </row>
    <row r="170" customFormat="false" ht="15" hidden="false" customHeight="false" outlineLevel="0" collapsed="false">
      <c r="A170" s="22" t="s">
        <v>11320</v>
      </c>
      <c r="B170" s="23" t="n">
        <v>45962</v>
      </c>
      <c r="C170" s="22" t="s">
        <v>6508</v>
      </c>
      <c r="D170" s="22" t="str">
        <f aca="false">IFERROR(VLOOKUP(C170,'Applicant Lookup'!$A$2:$F$2911,2,FALSE()),"Not found")</f>
        <v>Brianna Goodwin</v>
      </c>
      <c r="E170" s="22" t="n">
        <v>46.5</v>
      </c>
      <c r="F170" s="22" t="n">
        <v>48</v>
      </c>
      <c r="G170" s="22" t="s">
        <v>11321</v>
      </c>
      <c r="H170" s="22" t="n">
        <f aca="false">COUNTIFS('Certificate Check'!$D$6:$D$7,C170,'Certificate Check'!$E$6:$E$7,F170,'Certificate Check'!$G$6:$G$7,B170,'Certificate Check'!$H$6:$H$7,"Y")</f>
        <v>0</v>
      </c>
      <c r="I170" s="22" t="str">
        <f aca="false">IF(H170&gt;0,"SUBSTANTIATED","UNSUBSTANTIATED")</f>
        <v>UNSUBSTANTIATED</v>
      </c>
      <c r="J170" s="22" t="n">
        <f aca="false">COUNTIFS('Skip Audit'!$D$6:$D$314,C170,'Skip Audit'!$C$6:$C$314,"&gt;="&amp;B170)</f>
        <v>0</v>
      </c>
      <c r="K170" s="22"/>
      <c r="L170" s="22" t="str">
        <f aca="false">IF(I170="SUBSTANTIATED","Compliant","No supplied signed certificate or yard measurement sheet")</f>
        <v>No supplied signed certificate or yard measurement sheet</v>
      </c>
      <c r="M170" s="22" t="str">
        <f aca="false">IF(I170="SUBSTANTIATED","",IF(J170&gt;0,"Priority 1","Priority 2"))</f>
        <v>Priority 2</v>
      </c>
      <c r="N170" s="22" t="s">
        <v>15</v>
      </c>
    </row>
    <row r="171" customFormat="false" ht="15" hidden="false" customHeight="false" outlineLevel="0" collapsed="false">
      <c r="A171" s="22" t="s">
        <v>11322</v>
      </c>
      <c r="B171" s="23" t="n">
        <v>45973</v>
      </c>
      <c r="C171" s="22" t="s">
        <v>2521</v>
      </c>
      <c r="D171" s="22" t="str">
        <f aca="false">IFERROR(VLOOKUP(C171,'Applicant Lookup'!$A$2:$F$2911,2,FALSE()),"Not found")</f>
        <v>Teresa Mcdowell</v>
      </c>
      <c r="E171" s="22" t="n">
        <v>34.8</v>
      </c>
      <c r="F171" s="22" t="n">
        <v>37.3</v>
      </c>
      <c r="G171" s="22" t="s">
        <v>11323</v>
      </c>
      <c r="H171" s="22" t="n">
        <f aca="false">COUNTIFS('Certificate Check'!$D$6:$D$7,C171,'Certificate Check'!$E$6:$E$7,F171,'Certificate Check'!$G$6:$G$7,B171,'Certificate Check'!$H$6:$H$7,"Y")</f>
        <v>0</v>
      </c>
      <c r="I171" s="22" t="str">
        <f aca="false">IF(H171&gt;0,"SUBSTANTIATED","UNSUBSTANTIATED")</f>
        <v>UNSUBSTANTIATED</v>
      </c>
      <c r="J171" s="22" t="n">
        <f aca="false">COUNTIFS('Skip Audit'!$D$6:$D$314,C171,'Skip Audit'!$C$6:$C$314,"&gt;="&amp;B171)</f>
        <v>0</v>
      </c>
      <c r="K171" s="22"/>
      <c r="L171" s="22" t="str">
        <f aca="false">IF(I171="SUBSTANTIATED","Compliant","No supplied signed certificate or yard measurement sheet")</f>
        <v>No supplied signed certificate or yard measurement sheet</v>
      </c>
      <c r="M171" s="22" t="str">
        <f aca="false">IF(I171="SUBSTANTIATED","",IF(J171&gt;0,"Priority 1","Priority 2"))</f>
        <v>Priority 2</v>
      </c>
      <c r="N171" s="22" t="s">
        <v>15</v>
      </c>
    </row>
    <row r="172" customFormat="false" ht="15" hidden="false" customHeight="false" outlineLevel="0" collapsed="false">
      <c r="A172" s="22" t="s">
        <v>11324</v>
      </c>
      <c r="B172" s="23" t="n">
        <v>45973</v>
      </c>
      <c r="C172" s="22" t="s">
        <v>4638</v>
      </c>
      <c r="D172" s="22" t="str">
        <f aca="false">IFERROR(VLOOKUP(C172,'Applicant Lookup'!$A$2:$F$2911,2,FALSE()),"Not found")</f>
        <v>Jessica Phillips</v>
      </c>
      <c r="E172" s="22" t="n">
        <v>26.7</v>
      </c>
      <c r="F172" s="22" t="n">
        <v>24</v>
      </c>
      <c r="G172" s="22" t="s">
        <v>11325</v>
      </c>
      <c r="H172" s="22" t="n">
        <f aca="false">COUNTIFS('Certificate Check'!$D$6:$D$7,C172,'Certificate Check'!$E$6:$E$7,F172,'Certificate Check'!$G$6:$G$7,B172,'Certificate Check'!$H$6:$H$7,"Y")</f>
        <v>0</v>
      </c>
      <c r="I172" s="22" t="str">
        <f aca="false">IF(H172&gt;0,"SUBSTANTIATED","UNSUBSTANTIATED")</f>
        <v>UNSUBSTANTIATED</v>
      </c>
      <c r="J172" s="22" t="n">
        <f aca="false">COUNTIFS('Skip Audit'!$D$6:$D$314,C172,'Skip Audit'!$C$6:$C$314,"&gt;="&amp;B172)</f>
        <v>0</v>
      </c>
      <c r="K172" s="22"/>
      <c r="L172" s="22" t="str">
        <f aca="false">IF(I172="SUBSTANTIATED","Compliant","No supplied signed certificate or yard measurement sheet")</f>
        <v>No supplied signed certificate or yard measurement sheet</v>
      </c>
      <c r="M172" s="22" t="str">
        <f aca="false">IF(I172="SUBSTANTIATED","",IF(J172&gt;0,"Priority 1","Priority 2"))</f>
        <v>Priority 2</v>
      </c>
      <c r="N172" s="22" t="s">
        <v>15</v>
      </c>
    </row>
    <row r="173" customFormat="false" ht="15" hidden="false" customHeight="false" outlineLevel="0" collapsed="false">
      <c r="A173" s="22" t="s">
        <v>11326</v>
      </c>
      <c r="B173" s="23" t="n">
        <v>45976</v>
      </c>
      <c r="C173" s="22" t="s">
        <v>2924</v>
      </c>
      <c r="D173" s="22" t="str">
        <f aca="false">IFERROR(VLOOKUP(C173,'Applicant Lookup'!$A$2:$F$2911,2,FALSE()),"Not found")</f>
        <v>Kevin Terry</v>
      </c>
      <c r="E173" s="22" t="n">
        <v>45.2</v>
      </c>
      <c r="F173" s="22" t="n">
        <v>44.2</v>
      </c>
      <c r="G173" s="22" t="s">
        <v>11327</v>
      </c>
      <c r="H173" s="22" t="n">
        <f aca="false">COUNTIFS('Certificate Check'!$D$6:$D$7,C173,'Certificate Check'!$E$6:$E$7,F173,'Certificate Check'!$G$6:$G$7,B173,'Certificate Check'!$H$6:$H$7,"Y")</f>
        <v>0</v>
      </c>
      <c r="I173" s="22" t="str">
        <f aca="false">IF(H173&gt;0,"SUBSTANTIATED","UNSUBSTANTIATED")</f>
        <v>UNSUBSTANTIATED</v>
      </c>
      <c r="J173" s="22" t="n">
        <f aca="false">COUNTIFS('Skip Audit'!$D$6:$D$314,C173,'Skip Audit'!$C$6:$C$314,"&gt;="&amp;B173)</f>
        <v>0</v>
      </c>
      <c r="K173" s="22"/>
      <c r="L173" s="22" t="str">
        <f aca="false">IF(I173="SUBSTANTIATED","Compliant","No supplied signed certificate or yard measurement sheet")</f>
        <v>No supplied signed certificate or yard measurement sheet</v>
      </c>
      <c r="M173" s="22" t="str">
        <f aca="false">IF(I173="SUBSTANTIATED","",IF(J173&gt;0,"Priority 1","Priority 2"))</f>
        <v>Priority 2</v>
      </c>
      <c r="N173" s="22" t="s">
        <v>15</v>
      </c>
    </row>
    <row r="174" customFormat="false" ht="15" hidden="false" customHeight="false" outlineLevel="0" collapsed="false">
      <c r="A174" s="22" t="s">
        <v>11328</v>
      </c>
      <c r="B174" s="23" t="n">
        <v>45978</v>
      </c>
      <c r="C174" s="22" t="s">
        <v>387</v>
      </c>
      <c r="D174" s="22" t="str">
        <f aca="false">IFERROR(VLOOKUP(C174,'Applicant Lookup'!$A$2:$F$2911,2,FALSE()),"Not found")</f>
        <v>Stephanie Hess</v>
      </c>
      <c r="E174" s="22" t="n">
        <v>32.7</v>
      </c>
      <c r="F174" s="22" t="n">
        <v>32.1</v>
      </c>
      <c r="G174" s="22" t="s">
        <v>11329</v>
      </c>
      <c r="H174" s="22" t="n">
        <f aca="false">COUNTIFS('Certificate Check'!$D$6:$D$7,C174,'Certificate Check'!$E$6:$E$7,F174,'Certificate Check'!$G$6:$G$7,B174,'Certificate Check'!$H$6:$H$7,"Y")</f>
        <v>0</v>
      </c>
      <c r="I174" s="22" t="str">
        <f aca="false">IF(H174&gt;0,"SUBSTANTIATED","UNSUBSTANTIATED")</f>
        <v>UNSUBSTANTIATED</v>
      </c>
      <c r="J174" s="22" t="n">
        <f aca="false">COUNTIFS('Skip Audit'!$D$6:$D$314,C174,'Skip Audit'!$C$6:$C$314,"&gt;="&amp;B174)</f>
        <v>0</v>
      </c>
      <c r="K174" s="22"/>
      <c r="L174" s="22" t="str">
        <f aca="false">IF(I174="SUBSTANTIATED","Compliant","No supplied signed certificate or yard measurement sheet")</f>
        <v>No supplied signed certificate or yard measurement sheet</v>
      </c>
      <c r="M174" s="22" t="str">
        <f aca="false">IF(I174="SUBSTANTIATED","",IF(J174&gt;0,"Priority 1","Priority 2"))</f>
        <v>Priority 2</v>
      </c>
      <c r="N174" s="22" t="s">
        <v>15</v>
      </c>
    </row>
    <row r="175" customFormat="false" ht="15" hidden="false" customHeight="false" outlineLevel="0" collapsed="false">
      <c r="A175" s="22" t="s">
        <v>11330</v>
      </c>
      <c r="B175" s="23" t="n">
        <v>45984</v>
      </c>
      <c r="C175" s="22" t="s">
        <v>1580</v>
      </c>
      <c r="D175" s="22" t="str">
        <f aca="false">IFERROR(VLOOKUP(C175,'Applicant Lookup'!$A$2:$F$2911,2,FALSE()),"Not found")</f>
        <v>Jose Mueller</v>
      </c>
      <c r="E175" s="22" t="n">
        <v>29.9</v>
      </c>
      <c r="F175" s="22" t="n">
        <v>30.2</v>
      </c>
      <c r="G175" s="22" t="s">
        <v>11331</v>
      </c>
      <c r="H175" s="22" t="n">
        <f aca="false">COUNTIFS('Certificate Check'!$D$6:$D$7,C175,'Certificate Check'!$E$6:$E$7,F175,'Certificate Check'!$G$6:$G$7,B175,'Certificate Check'!$H$6:$H$7,"Y")</f>
        <v>0</v>
      </c>
      <c r="I175" s="22" t="str">
        <f aca="false">IF(H175&gt;0,"SUBSTANTIATED","UNSUBSTANTIATED")</f>
        <v>UNSUBSTANTIATED</v>
      </c>
      <c r="J175" s="22" t="n">
        <f aca="false">COUNTIFS('Skip Audit'!$D$6:$D$314,C175,'Skip Audit'!$C$6:$C$314,"&gt;="&amp;B175)</f>
        <v>0</v>
      </c>
      <c r="K175" s="22"/>
      <c r="L175" s="22" t="str">
        <f aca="false">IF(I175="SUBSTANTIATED","Compliant","No supplied signed certificate or yard measurement sheet")</f>
        <v>No supplied signed certificate or yard measurement sheet</v>
      </c>
      <c r="M175" s="22" t="str">
        <f aca="false">IF(I175="SUBSTANTIATED","",IF(J175&gt;0,"Priority 1","Priority 2"))</f>
        <v>Priority 2</v>
      </c>
      <c r="N175" s="22" t="s">
        <v>15</v>
      </c>
    </row>
    <row r="176" customFormat="false" ht="15" hidden="false" customHeight="false" outlineLevel="0" collapsed="false">
      <c r="A176" s="22" t="s">
        <v>11332</v>
      </c>
      <c r="B176" s="23" t="n">
        <v>46005</v>
      </c>
      <c r="C176" s="22" t="s">
        <v>6313</v>
      </c>
      <c r="D176" s="22" t="str">
        <f aca="false">IFERROR(VLOOKUP(C176,'Applicant Lookup'!$A$2:$F$2911,2,FALSE()),"Not found")</f>
        <v>John Mcneil</v>
      </c>
      <c r="E176" s="22" t="n">
        <v>48.4</v>
      </c>
      <c r="F176" s="22" t="n">
        <v>51</v>
      </c>
      <c r="G176" s="22" t="s">
        <v>11333</v>
      </c>
      <c r="H176" s="22" t="n">
        <f aca="false">COUNTIFS('Certificate Check'!$D$6:$D$7,C176,'Certificate Check'!$E$6:$E$7,F176,'Certificate Check'!$G$6:$G$7,B176,'Certificate Check'!$H$6:$H$7,"Y")</f>
        <v>0</v>
      </c>
      <c r="I176" s="22" t="str">
        <f aca="false">IF(H176&gt;0,"SUBSTANTIATED","UNSUBSTANTIATED")</f>
        <v>UNSUBSTANTIATED</v>
      </c>
      <c r="J176" s="22" t="n">
        <f aca="false">COUNTIFS('Skip Audit'!$D$6:$D$314,C176,'Skip Audit'!$C$6:$C$314,"&gt;="&amp;B176)</f>
        <v>1</v>
      </c>
      <c r="K176" s="22" t="s">
        <v>10892</v>
      </c>
      <c r="L176" s="22" t="str">
        <f aca="false">IF(I176="SUBSTANTIATED","Compliant","No supplied signed certificate or yard measurement sheet")</f>
        <v>No supplied signed certificate or yard measurement sheet</v>
      </c>
      <c r="M176" s="22" t="str">
        <f aca="false">IF(I176="SUBSTANTIATED","",IF(J176&gt;0,"Priority 1","Priority 2"))</f>
        <v>Priority 1</v>
      </c>
      <c r="N176" s="22" t="s">
        <v>15</v>
      </c>
    </row>
    <row r="177" customFormat="false" ht="15" hidden="false" customHeight="false" outlineLevel="0" collapsed="false">
      <c r="A177" s="22" t="s">
        <v>11334</v>
      </c>
      <c r="B177" s="23" t="n">
        <v>46020</v>
      </c>
      <c r="C177" s="22" t="s">
        <v>1660</v>
      </c>
      <c r="D177" s="22" t="str">
        <f aca="false">IFERROR(VLOOKUP(C177,'Applicant Lookup'!$A$2:$F$2911,2,FALSE()),"Not found")</f>
        <v>Sherri Smith</v>
      </c>
      <c r="E177" s="22" t="n">
        <v>42.4</v>
      </c>
      <c r="F177" s="22" t="n">
        <v>44.1</v>
      </c>
      <c r="G177" s="22" t="s">
        <v>11335</v>
      </c>
      <c r="H177" s="22" t="n">
        <f aca="false">COUNTIFS('Certificate Check'!$D$6:$D$7,C177,'Certificate Check'!$E$6:$E$7,F177,'Certificate Check'!$G$6:$G$7,B177,'Certificate Check'!$H$6:$H$7,"Y")</f>
        <v>0</v>
      </c>
      <c r="I177" s="22" t="str">
        <f aca="false">IF(H177&gt;0,"SUBSTANTIATED","UNSUBSTANTIATED")</f>
        <v>UNSUBSTANTIATED</v>
      </c>
      <c r="J177" s="22" t="n">
        <f aca="false">COUNTIFS('Skip Audit'!$D$6:$D$314,C177,'Skip Audit'!$C$6:$C$314,"&gt;="&amp;B177)</f>
        <v>0</v>
      </c>
      <c r="K177" s="22"/>
      <c r="L177" s="22" t="str">
        <f aca="false">IF(I177="SUBSTANTIATED","Compliant","No supplied signed certificate or yard measurement sheet")</f>
        <v>No supplied signed certificate or yard measurement sheet</v>
      </c>
      <c r="M177" s="22" t="str">
        <f aca="false">IF(I177="SUBSTANTIATED","",IF(J177&gt;0,"Priority 1","Priority 2"))</f>
        <v>Priority 2</v>
      </c>
      <c r="N177" s="22" t="s">
        <v>15</v>
      </c>
    </row>
    <row r="178" customFormat="false" ht="15" hidden="false" customHeight="false" outlineLevel="0" collapsed="false">
      <c r="A178" s="22" t="s">
        <v>11336</v>
      </c>
      <c r="B178" s="23" t="n">
        <v>46026</v>
      </c>
      <c r="C178" s="22" t="s">
        <v>1458</v>
      </c>
      <c r="D178" s="22" t="str">
        <f aca="false">IFERROR(VLOOKUP(C178,'Applicant Lookup'!$A$2:$F$2911,2,FALSE()),"Not found")</f>
        <v>Patricia Mann</v>
      </c>
      <c r="E178" s="22" t="n">
        <v>49</v>
      </c>
      <c r="F178" s="22" t="n">
        <v>49.8</v>
      </c>
      <c r="G178" s="22"/>
      <c r="H178" s="22" t="n">
        <f aca="false">COUNTIFS('Certificate Check'!$D$6:$D$7,C178,'Certificate Check'!$E$6:$E$7,F178,'Certificate Check'!$G$6:$G$7,B178,'Certificate Check'!$H$6:$H$7,"Y")</f>
        <v>0</v>
      </c>
      <c r="I178" s="22" t="str">
        <f aca="false">IF(H178&gt;0,"SUBSTANTIATED","UNSUBSTANTIATED")</f>
        <v>UNSUBSTANTIATED</v>
      </c>
      <c r="J178" s="22" t="n">
        <f aca="false">COUNTIFS('Skip Audit'!$D$6:$D$314,C178,'Skip Audit'!$C$6:$C$314,"&gt;="&amp;B178)</f>
        <v>0</v>
      </c>
      <c r="K178" s="22"/>
      <c r="L178" s="22" t="str">
        <f aca="false">IF(I178="SUBSTANTIATED","Compliant","No supplied signed certificate or yard measurement sheet")</f>
        <v>No supplied signed certificate or yard measurement sheet</v>
      </c>
      <c r="M178" s="22" t="str">
        <f aca="false">IF(I178="SUBSTANTIATED","",IF(J178&gt;0,"Priority 1","Priority 2"))</f>
        <v>Priority 2</v>
      </c>
      <c r="N178" s="22" t="s">
        <v>15</v>
      </c>
    </row>
    <row r="179" customFormat="false" ht="15" hidden="false" customHeight="false" outlineLevel="0" collapsed="false">
      <c r="A179" s="22" t="s">
        <v>11337</v>
      </c>
      <c r="B179" s="23" t="n">
        <v>46027</v>
      </c>
      <c r="C179" s="22" t="s">
        <v>5689</v>
      </c>
      <c r="D179" s="22" t="str">
        <f aca="false">IFERROR(VLOOKUP(C179,'Applicant Lookup'!$A$2:$F$2911,2,FALSE()),"Not found")</f>
        <v>Jennifer Ross</v>
      </c>
      <c r="E179" s="22" t="n">
        <v>40.2</v>
      </c>
      <c r="F179" s="22" t="n">
        <v>37.5</v>
      </c>
      <c r="G179" s="22" t="s">
        <v>11338</v>
      </c>
      <c r="H179" s="22" t="n">
        <f aca="false">COUNTIFS('Certificate Check'!$D$6:$D$7,C179,'Certificate Check'!$E$6:$E$7,F179,'Certificate Check'!$G$6:$G$7,B179,'Certificate Check'!$H$6:$H$7,"Y")</f>
        <v>0</v>
      </c>
      <c r="I179" s="22" t="str">
        <f aca="false">IF(H179&gt;0,"SUBSTANTIATED","UNSUBSTANTIATED")</f>
        <v>UNSUBSTANTIATED</v>
      </c>
      <c r="J179" s="22" t="n">
        <f aca="false">COUNTIFS('Skip Audit'!$D$6:$D$314,C179,'Skip Audit'!$C$6:$C$314,"&gt;="&amp;B179)</f>
        <v>0</v>
      </c>
      <c r="K179" s="22"/>
      <c r="L179" s="22" t="str">
        <f aca="false">IF(I179="SUBSTANTIATED","Compliant","No supplied signed certificate or yard measurement sheet")</f>
        <v>No supplied signed certificate or yard measurement sheet</v>
      </c>
      <c r="M179" s="22" t="str">
        <f aca="false">IF(I179="SUBSTANTIATED","",IF(J179&gt;0,"Priority 1","Priority 2"))</f>
        <v>Priority 2</v>
      </c>
      <c r="N179" s="22" t="s">
        <v>15</v>
      </c>
    </row>
    <row r="180" customFormat="false" ht="15" hidden="false" customHeight="false" outlineLevel="0" collapsed="false">
      <c r="A180" s="22" t="s">
        <v>11339</v>
      </c>
      <c r="B180" s="23" t="n">
        <v>46046</v>
      </c>
      <c r="C180" s="22" t="s">
        <v>5675</v>
      </c>
      <c r="D180" s="22" t="str">
        <f aca="false">IFERROR(VLOOKUP(C180,'Applicant Lookup'!$A$2:$F$2911,2,FALSE()),"Not found")</f>
        <v>Robert Peterson</v>
      </c>
      <c r="E180" s="22" t="n">
        <v>30.3</v>
      </c>
      <c r="F180" s="22" t="n">
        <v>27.7</v>
      </c>
      <c r="G180" s="22"/>
      <c r="H180" s="22" t="n">
        <f aca="false">COUNTIFS('Certificate Check'!$D$6:$D$7,C180,'Certificate Check'!$E$6:$E$7,F180,'Certificate Check'!$G$6:$G$7,B180,'Certificate Check'!$H$6:$H$7,"Y")</f>
        <v>0</v>
      </c>
      <c r="I180" s="22" t="str">
        <f aca="false">IF(H180&gt;0,"SUBSTANTIATED","UNSUBSTANTIATED")</f>
        <v>UNSUBSTANTIATED</v>
      </c>
      <c r="J180" s="22" t="n">
        <f aca="false">COUNTIFS('Skip Audit'!$D$6:$D$314,C180,'Skip Audit'!$C$6:$C$314,"&gt;="&amp;B180)</f>
        <v>0</v>
      </c>
      <c r="K180" s="22"/>
      <c r="L180" s="22" t="str">
        <f aca="false">IF(I180="SUBSTANTIATED","Compliant","No supplied signed certificate or yard measurement sheet")</f>
        <v>No supplied signed certificate or yard measurement sheet</v>
      </c>
      <c r="M180" s="22" t="str">
        <f aca="false">IF(I180="SUBSTANTIATED","",IF(J180&gt;0,"Priority 1","Priority 2"))</f>
        <v>Priority 2</v>
      </c>
      <c r="N180" s="22" t="s">
        <v>15</v>
      </c>
    </row>
    <row r="181" customFormat="false" ht="15" hidden="false" customHeight="false" outlineLevel="0" collapsed="false">
      <c r="A181" s="22" t="s">
        <v>11340</v>
      </c>
      <c r="B181" s="23" t="n">
        <v>46047</v>
      </c>
      <c r="C181" s="22" t="s">
        <v>3180</v>
      </c>
      <c r="D181" s="22" t="str">
        <f aca="false">IFERROR(VLOOKUP(C181,'Applicant Lookup'!$A$2:$F$2911,2,FALSE()),"Not found")</f>
        <v>Angela Tran</v>
      </c>
      <c r="E181" s="22" t="n">
        <v>53.4</v>
      </c>
      <c r="F181" s="22" t="n">
        <v>54</v>
      </c>
      <c r="G181" s="22" t="s">
        <v>11132</v>
      </c>
      <c r="H181" s="22" t="n">
        <f aca="false">COUNTIFS('Certificate Check'!$D$6:$D$7,C181,'Certificate Check'!$E$6:$E$7,F181,'Certificate Check'!$G$6:$G$7,B181,'Certificate Check'!$H$6:$H$7,"Y")</f>
        <v>0</v>
      </c>
      <c r="I181" s="22" t="str">
        <f aca="false">IF(H181&gt;0,"SUBSTANTIATED","UNSUBSTANTIATED")</f>
        <v>UNSUBSTANTIATED</v>
      </c>
      <c r="J181" s="22" t="n">
        <f aca="false">COUNTIFS('Skip Audit'!$D$6:$D$314,C181,'Skip Audit'!$C$6:$C$314,"&gt;="&amp;B181)</f>
        <v>0</v>
      </c>
      <c r="K181" s="22"/>
      <c r="L181" s="22" t="str">
        <f aca="false">IF(I181="SUBSTANTIATED","Compliant","No supplied signed certificate or yard measurement sheet")</f>
        <v>No supplied signed certificate or yard measurement sheet</v>
      </c>
      <c r="M181" s="22" t="str">
        <f aca="false">IF(I181="SUBSTANTIATED","",IF(J181&gt;0,"Priority 1","Priority 2"))</f>
        <v>Priority 2</v>
      </c>
      <c r="N181" s="22" t="s">
        <v>15</v>
      </c>
    </row>
    <row r="182" customFormat="false" ht="15" hidden="false" customHeight="false" outlineLevel="0" collapsed="false">
      <c r="A182" s="22" t="s">
        <v>11341</v>
      </c>
      <c r="B182" s="23" t="n">
        <v>46049</v>
      </c>
      <c r="C182" s="22" t="s">
        <v>4824</v>
      </c>
      <c r="D182" s="22" t="str">
        <f aca="false">IFERROR(VLOOKUP(C182,'Applicant Lookup'!$A$2:$F$2911,2,FALSE()),"Not found")</f>
        <v>Karen Davis</v>
      </c>
      <c r="E182" s="22" t="n">
        <v>32.9</v>
      </c>
      <c r="F182" s="22" t="n">
        <v>35.5</v>
      </c>
      <c r="G182" s="22"/>
      <c r="H182" s="22" t="n">
        <f aca="false">COUNTIFS('Certificate Check'!$D$6:$D$7,C182,'Certificate Check'!$E$6:$E$7,F182,'Certificate Check'!$G$6:$G$7,B182,'Certificate Check'!$H$6:$H$7,"Y")</f>
        <v>0</v>
      </c>
      <c r="I182" s="22" t="str">
        <f aca="false">IF(H182&gt;0,"SUBSTANTIATED","UNSUBSTANTIATED")</f>
        <v>UNSUBSTANTIATED</v>
      </c>
      <c r="J182" s="22" t="n">
        <f aca="false">COUNTIFS('Skip Audit'!$D$6:$D$314,C182,'Skip Audit'!$C$6:$C$314,"&gt;="&amp;B182)</f>
        <v>0</v>
      </c>
      <c r="K182" s="22"/>
      <c r="L182" s="22" t="str">
        <f aca="false">IF(I182="SUBSTANTIATED","Compliant","No supplied signed certificate or yard measurement sheet")</f>
        <v>No supplied signed certificate or yard measurement sheet</v>
      </c>
      <c r="M182" s="22" t="str">
        <f aca="false">IF(I182="SUBSTANTIATED","",IF(J182&gt;0,"Priority 1","Priority 2"))</f>
        <v>Priority 2</v>
      </c>
      <c r="N182" s="22" t="s">
        <v>15</v>
      </c>
    </row>
    <row r="183" customFormat="false" ht="15" hidden="false" customHeight="false" outlineLevel="0" collapsed="false">
      <c r="A183" s="22" t="s">
        <v>11342</v>
      </c>
      <c r="B183" s="23" t="n">
        <v>46049</v>
      </c>
      <c r="C183" s="22" t="s">
        <v>6171</v>
      </c>
      <c r="D183" s="22" t="str">
        <f aca="false">IFERROR(VLOOKUP(C183,'Applicant Lookup'!$A$2:$F$2911,2,FALSE()),"Not found")</f>
        <v>Sharon Tyler</v>
      </c>
      <c r="E183" s="22" t="n">
        <v>51.2</v>
      </c>
      <c r="F183" s="22" t="n">
        <v>53.5</v>
      </c>
      <c r="G183" s="22" t="s">
        <v>11343</v>
      </c>
      <c r="H183" s="22" t="n">
        <f aca="false">COUNTIFS('Certificate Check'!$D$6:$D$7,C183,'Certificate Check'!$E$6:$E$7,F183,'Certificate Check'!$G$6:$G$7,B183,'Certificate Check'!$H$6:$H$7,"Y")</f>
        <v>0</v>
      </c>
      <c r="I183" s="22" t="str">
        <f aca="false">IF(H183&gt;0,"SUBSTANTIATED","UNSUBSTANTIATED")</f>
        <v>UNSUBSTANTIATED</v>
      </c>
      <c r="J183" s="22" t="n">
        <f aca="false">COUNTIFS('Skip Audit'!$D$6:$D$314,C183,'Skip Audit'!$C$6:$C$314,"&gt;="&amp;B183)</f>
        <v>0</v>
      </c>
      <c r="K183" s="22"/>
      <c r="L183" s="22" t="str">
        <f aca="false">IF(I183="SUBSTANTIATED","Compliant","No supplied signed certificate or yard measurement sheet")</f>
        <v>No supplied signed certificate or yard measurement sheet</v>
      </c>
      <c r="M183" s="22" t="str">
        <f aca="false">IF(I183="SUBSTANTIATED","",IF(J183&gt;0,"Priority 1","Priority 2"))</f>
        <v>Priority 2</v>
      </c>
      <c r="N183" s="22" t="s">
        <v>15</v>
      </c>
    </row>
    <row r="184" customFormat="false" ht="15" hidden="false" customHeight="false" outlineLevel="0" collapsed="false">
      <c r="A184" s="22" t="s">
        <v>11344</v>
      </c>
      <c r="B184" s="23" t="n">
        <v>46062</v>
      </c>
      <c r="C184" s="22" t="s">
        <v>3884</v>
      </c>
      <c r="D184" s="22" t="str">
        <f aca="false">IFERROR(VLOOKUP(C184,'Applicant Lookup'!$A$2:$F$2911,2,FALSE()),"Not found")</f>
        <v>Shelby Stanton</v>
      </c>
      <c r="E184" s="22" t="n">
        <v>46.4</v>
      </c>
      <c r="F184" s="22" t="n">
        <v>49.3</v>
      </c>
      <c r="G184" s="22" t="s">
        <v>11345</v>
      </c>
      <c r="H184" s="22" t="n">
        <f aca="false">COUNTIFS('Certificate Check'!$D$6:$D$7,C184,'Certificate Check'!$E$6:$E$7,F184,'Certificate Check'!$G$6:$G$7,B184,'Certificate Check'!$H$6:$H$7,"Y")</f>
        <v>0</v>
      </c>
      <c r="I184" s="22" t="str">
        <f aca="false">IF(H184&gt;0,"SUBSTANTIATED","UNSUBSTANTIATED")</f>
        <v>UNSUBSTANTIATED</v>
      </c>
      <c r="J184" s="22" t="n">
        <f aca="false">COUNTIFS('Skip Audit'!$D$6:$D$314,C184,'Skip Audit'!$C$6:$C$314,"&gt;="&amp;B184)</f>
        <v>0</v>
      </c>
      <c r="K184" s="22"/>
      <c r="L184" s="22" t="str">
        <f aca="false">IF(I184="SUBSTANTIATED","Compliant","No supplied signed certificate or yard measurement sheet")</f>
        <v>No supplied signed certificate or yard measurement sheet</v>
      </c>
      <c r="M184" s="22" t="str">
        <f aca="false">IF(I184="SUBSTANTIATED","",IF(J184&gt;0,"Priority 1","Priority 2"))</f>
        <v>Priority 2</v>
      </c>
      <c r="N184" s="22" t="s">
        <v>15</v>
      </c>
    </row>
    <row r="185" customFormat="false" ht="15" hidden="false" customHeight="false" outlineLevel="0" collapsed="false">
      <c r="A185" s="22" t="s">
        <v>11346</v>
      </c>
      <c r="B185" s="23" t="n">
        <v>46062</v>
      </c>
      <c r="C185" s="22" t="s">
        <v>4115</v>
      </c>
      <c r="D185" s="22" t="str">
        <f aca="false">IFERROR(VLOOKUP(C185,'Applicant Lookup'!$A$2:$F$2911,2,FALSE()),"Not found")</f>
        <v>Sharon Gonzales</v>
      </c>
      <c r="E185" s="22" t="n">
        <v>42.6</v>
      </c>
      <c r="F185" s="22" t="n">
        <v>43.4</v>
      </c>
      <c r="G185" s="22" t="s">
        <v>11347</v>
      </c>
      <c r="H185" s="22" t="n">
        <f aca="false">COUNTIFS('Certificate Check'!$D$6:$D$7,C185,'Certificate Check'!$E$6:$E$7,F185,'Certificate Check'!$G$6:$G$7,B185,'Certificate Check'!$H$6:$H$7,"Y")</f>
        <v>0</v>
      </c>
      <c r="I185" s="22" t="str">
        <f aca="false">IF(H185&gt;0,"SUBSTANTIATED","UNSUBSTANTIATED")</f>
        <v>UNSUBSTANTIATED</v>
      </c>
      <c r="J185" s="22" t="n">
        <f aca="false">COUNTIFS('Skip Audit'!$D$6:$D$314,C185,'Skip Audit'!$C$6:$C$314,"&gt;="&amp;B185)</f>
        <v>0</v>
      </c>
      <c r="K185" s="22"/>
      <c r="L185" s="22" t="str">
        <f aca="false">IF(I185="SUBSTANTIATED","Compliant","No supplied signed certificate or yard measurement sheet")</f>
        <v>No supplied signed certificate or yard measurement sheet</v>
      </c>
      <c r="M185" s="22" t="str">
        <f aca="false">IF(I185="SUBSTANTIATED","",IF(J185&gt;0,"Priority 1","Priority 2"))</f>
        <v>Priority 2</v>
      </c>
      <c r="N185" s="22" t="s">
        <v>15</v>
      </c>
    </row>
    <row r="186" customFormat="false" ht="15" hidden="false" customHeight="false" outlineLevel="0" collapsed="false">
      <c r="A186" s="22" t="s">
        <v>11348</v>
      </c>
      <c r="B186" s="23" t="n">
        <v>46071</v>
      </c>
      <c r="C186" s="22" t="s">
        <v>5687</v>
      </c>
      <c r="D186" s="22" t="str">
        <f aca="false">IFERROR(VLOOKUP(C186,'Applicant Lookup'!$A$2:$F$2911,2,FALSE()),"Not found")</f>
        <v>Christopher Flores</v>
      </c>
      <c r="E186" s="22" t="n">
        <v>50.4</v>
      </c>
      <c r="F186" s="22" t="n">
        <v>51.6</v>
      </c>
      <c r="G186" s="22" t="s">
        <v>11349</v>
      </c>
      <c r="H186" s="22" t="n">
        <f aca="false">COUNTIFS('Certificate Check'!$D$6:$D$7,C186,'Certificate Check'!$E$6:$E$7,F186,'Certificate Check'!$G$6:$G$7,B186,'Certificate Check'!$H$6:$H$7,"Y")</f>
        <v>0</v>
      </c>
      <c r="I186" s="22" t="str">
        <f aca="false">IF(H186&gt;0,"SUBSTANTIATED","UNSUBSTANTIATED")</f>
        <v>UNSUBSTANTIATED</v>
      </c>
      <c r="J186" s="22" t="n">
        <f aca="false">COUNTIFS('Skip Audit'!$D$6:$D$314,C186,'Skip Audit'!$C$6:$C$314,"&gt;="&amp;B186)</f>
        <v>0</v>
      </c>
      <c r="K186" s="22"/>
      <c r="L186" s="22" t="str">
        <f aca="false">IF(I186="SUBSTANTIATED","Compliant","No supplied signed certificate or yard measurement sheet")</f>
        <v>No supplied signed certificate or yard measurement sheet</v>
      </c>
      <c r="M186" s="22" t="str">
        <f aca="false">IF(I186="SUBSTANTIATED","",IF(J186&gt;0,"Priority 1","Priority 2"))</f>
        <v>Priority 2</v>
      </c>
      <c r="N186" s="22" t="s">
        <v>15</v>
      </c>
    </row>
    <row r="187" customFormat="false" ht="15" hidden="false" customHeight="false" outlineLevel="0" collapsed="false">
      <c r="A187" s="22" t="s">
        <v>11350</v>
      </c>
      <c r="B187" s="23" t="n">
        <v>46073</v>
      </c>
      <c r="C187" s="22" t="s">
        <v>3027</v>
      </c>
      <c r="D187" s="22" t="str">
        <f aca="false">IFERROR(VLOOKUP(C187,'Applicant Lookup'!$A$2:$F$2911,2,FALSE()),"Not found")</f>
        <v>Eric Hill</v>
      </c>
      <c r="E187" s="22" t="n">
        <v>54.2</v>
      </c>
      <c r="F187" s="22" t="n">
        <v>56.1</v>
      </c>
      <c r="G187" s="22" t="s">
        <v>11351</v>
      </c>
      <c r="H187" s="22" t="n">
        <f aca="false">COUNTIFS('Certificate Check'!$D$6:$D$7,C187,'Certificate Check'!$E$6:$E$7,F187,'Certificate Check'!$G$6:$G$7,B187,'Certificate Check'!$H$6:$H$7,"Y")</f>
        <v>0</v>
      </c>
      <c r="I187" s="22" t="str">
        <f aca="false">IF(H187&gt;0,"SUBSTANTIATED","UNSUBSTANTIATED")</f>
        <v>UNSUBSTANTIATED</v>
      </c>
      <c r="J187" s="22" t="n">
        <f aca="false">COUNTIFS('Skip Audit'!$D$6:$D$314,C187,'Skip Audit'!$C$6:$C$314,"&gt;="&amp;B187)</f>
        <v>0</v>
      </c>
      <c r="K187" s="22"/>
      <c r="L187" s="22" t="str">
        <f aca="false">IF(I187="SUBSTANTIATED","Compliant","No supplied signed certificate or yard measurement sheet")</f>
        <v>No supplied signed certificate or yard measurement sheet</v>
      </c>
      <c r="M187" s="22" t="str">
        <f aca="false">IF(I187="SUBSTANTIATED","",IF(J187&gt;0,"Priority 1","Priority 2"))</f>
        <v>Priority 2</v>
      </c>
      <c r="N187" s="22" t="s">
        <v>15</v>
      </c>
    </row>
    <row r="188" customFormat="false" ht="15" hidden="false" customHeight="false" outlineLevel="0" collapsed="false">
      <c r="A188" s="22" t="s">
        <v>11352</v>
      </c>
      <c r="B188" s="23" t="n">
        <v>46081</v>
      </c>
      <c r="C188" s="22" t="s">
        <v>496</v>
      </c>
      <c r="D188" s="22" t="str">
        <f aca="false">IFERROR(VLOOKUP(C188,'Applicant Lookup'!$A$2:$F$2911,2,FALSE()),"Not found")</f>
        <v>Dustin Lambert</v>
      </c>
      <c r="E188" s="22" t="n">
        <v>37.5</v>
      </c>
      <c r="F188" s="22" t="n">
        <v>37.5</v>
      </c>
      <c r="G188" s="22" t="s">
        <v>11353</v>
      </c>
      <c r="H188" s="22" t="n">
        <f aca="false">COUNTIFS('Certificate Check'!$D$6:$D$7,C188,'Certificate Check'!$E$6:$E$7,F188,'Certificate Check'!$G$6:$G$7,B188,'Certificate Check'!$H$6:$H$7,"Y")</f>
        <v>0</v>
      </c>
      <c r="I188" s="22" t="str">
        <f aca="false">IF(H188&gt;0,"SUBSTANTIATED","UNSUBSTANTIATED")</f>
        <v>UNSUBSTANTIATED</v>
      </c>
      <c r="J188" s="22" t="n">
        <f aca="false">COUNTIFS('Skip Audit'!$D$6:$D$314,C188,'Skip Audit'!$C$6:$C$314,"&gt;="&amp;B188)</f>
        <v>0</v>
      </c>
      <c r="K188" s="22"/>
      <c r="L188" s="22" t="str">
        <f aca="false">IF(I188="SUBSTANTIATED","Compliant","No supplied signed certificate or yard measurement sheet")</f>
        <v>No supplied signed certificate or yard measurement sheet</v>
      </c>
      <c r="M188" s="22" t="str">
        <f aca="false">IF(I188="SUBSTANTIATED","",IF(J188&gt;0,"Priority 1","Priority 2"))</f>
        <v>Priority 2</v>
      </c>
      <c r="N188" s="22" t="s">
        <v>15</v>
      </c>
    </row>
    <row r="189" customFormat="false" ht="15" hidden="false" customHeight="false" outlineLevel="0" collapsed="false">
      <c r="A189" s="22" t="s">
        <v>11354</v>
      </c>
      <c r="B189" s="23" t="n">
        <v>46095</v>
      </c>
      <c r="C189" s="22" t="s">
        <v>5270</v>
      </c>
      <c r="D189" s="22" t="str">
        <f aca="false">IFERROR(VLOOKUP(C189,'Applicant Lookup'!$A$2:$F$2911,2,FALSE()),"Not found")</f>
        <v>Melvin Espinoza</v>
      </c>
      <c r="E189" s="22" t="n">
        <v>28.3</v>
      </c>
      <c r="F189" s="22" t="n">
        <v>26.6</v>
      </c>
      <c r="G189" s="22" t="s">
        <v>11355</v>
      </c>
      <c r="H189" s="22" t="n">
        <f aca="false">COUNTIFS('Certificate Check'!$D$6:$D$7,C189,'Certificate Check'!$E$6:$E$7,F189,'Certificate Check'!$G$6:$G$7,B189,'Certificate Check'!$H$6:$H$7,"Y")</f>
        <v>0</v>
      </c>
      <c r="I189" s="22" t="str">
        <f aca="false">IF(H189&gt;0,"SUBSTANTIATED","UNSUBSTANTIATED")</f>
        <v>UNSUBSTANTIATED</v>
      </c>
      <c r="J189" s="22" t="n">
        <f aca="false">COUNTIFS('Skip Audit'!$D$6:$D$314,C189,'Skip Audit'!$C$6:$C$314,"&gt;="&amp;B189)</f>
        <v>0</v>
      </c>
      <c r="K189" s="22"/>
      <c r="L189" s="22" t="str">
        <f aca="false">IF(I189="SUBSTANTIATED","Compliant","No supplied signed certificate or yard measurement sheet")</f>
        <v>No supplied signed certificate or yard measurement sheet</v>
      </c>
      <c r="M189" s="22" t="str">
        <f aca="false">IF(I189="SUBSTANTIATED","",IF(J189&gt;0,"Priority 1","Priority 2"))</f>
        <v>Priority 2</v>
      </c>
      <c r="N189" s="22" t="s">
        <v>15</v>
      </c>
    </row>
    <row r="190" customFormat="false" ht="15" hidden="false" customHeight="false" outlineLevel="0" collapsed="false">
      <c r="A190" s="22" t="s">
        <v>11356</v>
      </c>
      <c r="B190" s="23" t="n">
        <v>46116</v>
      </c>
      <c r="C190" s="22" t="s">
        <v>1111</v>
      </c>
      <c r="D190" s="22" t="str">
        <f aca="false">IFERROR(VLOOKUP(C190,'Applicant Lookup'!$A$2:$F$2911,2,FALSE()),"Not found")</f>
        <v>Lee Maldonado</v>
      </c>
      <c r="E190" s="22" t="n">
        <v>52.9</v>
      </c>
      <c r="F190" s="22" t="n">
        <v>52.8</v>
      </c>
      <c r="G190" s="22" t="s">
        <v>11357</v>
      </c>
      <c r="H190" s="22" t="n">
        <f aca="false">COUNTIFS('Certificate Check'!$D$6:$D$7,C190,'Certificate Check'!$E$6:$E$7,F190,'Certificate Check'!$G$6:$G$7,B190,'Certificate Check'!$H$6:$H$7,"Y")</f>
        <v>0</v>
      </c>
      <c r="I190" s="22" t="str">
        <f aca="false">IF(H190&gt;0,"SUBSTANTIATED","UNSUBSTANTIATED")</f>
        <v>UNSUBSTANTIATED</v>
      </c>
      <c r="J190" s="22" t="n">
        <f aca="false">COUNTIFS('Skip Audit'!$D$6:$D$314,C190,'Skip Audit'!$C$6:$C$314,"&gt;="&amp;B190)</f>
        <v>0</v>
      </c>
      <c r="K190" s="22"/>
      <c r="L190" s="22" t="str">
        <f aca="false">IF(I190="SUBSTANTIATED","Compliant","No supplied signed certificate or yard measurement sheet")</f>
        <v>No supplied signed certificate or yard measurement sheet</v>
      </c>
      <c r="M190" s="22" t="str">
        <f aca="false">IF(I190="SUBSTANTIATED","",IF(J190&gt;0,"Priority 1","Priority 2"))</f>
        <v>Priority 2</v>
      </c>
      <c r="N190" s="22" t="s">
        <v>15</v>
      </c>
    </row>
    <row r="191" customFormat="false" ht="15" hidden="false" customHeight="false" outlineLevel="0" collapsed="false">
      <c r="A191" s="22" t="s">
        <v>11358</v>
      </c>
      <c r="B191" s="23" t="n">
        <v>46117</v>
      </c>
      <c r="C191" s="22" t="s">
        <v>5473</v>
      </c>
      <c r="D191" s="22" t="str">
        <f aca="false">IFERROR(VLOOKUP(C191,'Applicant Lookup'!$A$2:$F$2911,2,FALSE()),"Not found")</f>
        <v>Daniel Bowen</v>
      </c>
      <c r="E191" s="22" t="n">
        <v>46</v>
      </c>
      <c r="F191" s="22" t="n">
        <v>47.3</v>
      </c>
      <c r="G191" s="22" t="s">
        <v>11359</v>
      </c>
      <c r="H191" s="22" t="n">
        <f aca="false">COUNTIFS('Certificate Check'!$D$6:$D$7,C191,'Certificate Check'!$E$6:$E$7,F191,'Certificate Check'!$G$6:$G$7,B191,'Certificate Check'!$H$6:$H$7,"Y")</f>
        <v>0</v>
      </c>
      <c r="I191" s="22" t="str">
        <f aca="false">IF(H191&gt;0,"SUBSTANTIATED","UNSUBSTANTIATED")</f>
        <v>UNSUBSTANTIATED</v>
      </c>
      <c r="J191" s="22" t="n">
        <f aca="false">COUNTIFS('Skip Audit'!$D$6:$D$314,C191,'Skip Audit'!$C$6:$C$314,"&gt;="&amp;B191)</f>
        <v>0</v>
      </c>
      <c r="K191" s="22"/>
      <c r="L191" s="22" t="str">
        <f aca="false">IF(I191="SUBSTANTIATED","Compliant","No supplied signed certificate or yard measurement sheet")</f>
        <v>No supplied signed certificate or yard measurement sheet</v>
      </c>
      <c r="M191" s="22" t="str">
        <f aca="false">IF(I191="SUBSTANTIATED","",IF(J191&gt;0,"Priority 1","Priority 2"))</f>
        <v>Priority 2</v>
      </c>
      <c r="N191" s="22" t="s">
        <v>15</v>
      </c>
    </row>
    <row r="192" customFormat="false" ht="15" hidden="false" customHeight="false" outlineLevel="0" collapsed="false">
      <c r="A192" s="22" t="s">
        <v>11360</v>
      </c>
      <c r="B192" s="23" t="n">
        <v>46133</v>
      </c>
      <c r="C192" s="22" t="s">
        <v>1737</v>
      </c>
      <c r="D192" s="22" t="str">
        <f aca="false">IFERROR(VLOOKUP(C192,'Applicant Lookup'!$A$2:$F$2911,2,FALSE()),"Not found")</f>
        <v>Keith Smith</v>
      </c>
      <c r="E192" s="22" t="n">
        <v>28</v>
      </c>
      <c r="F192" s="22" t="n">
        <v>30.1</v>
      </c>
      <c r="G192" s="22"/>
      <c r="H192" s="22" t="n">
        <f aca="false">COUNTIFS('Certificate Check'!$D$6:$D$7,C192,'Certificate Check'!$E$6:$E$7,F192,'Certificate Check'!$G$6:$G$7,B192,'Certificate Check'!$H$6:$H$7,"Y")</f>
        <v>0</v>
      </c>
      <c r="I192" s="22" t="str">
        <f aca="false">IF(H192&gt;0,"SUBSTANTIATED","UNSUBSTANTIATED")</f>
        <v>UNSUBSTANTIATED</v>
      </c>
      <c r="J192" s="22" t="n">
        <f aca="false">COUNTIFS('Skip Audit'!$D$6:$D$314,C192,'Skip Audit'!$C$6:$C$314,"&gt;="&amp;B192)</f>
        <v>0</v>
      </c>
      <c r="K192" s="22"/>
      <c r="L192" s="22" t="str">
        <f aca="false">IF(I192="SUBSTANTIATED","Compliant","No supplied signed certificate or yard measurement sheet")</f>
        <v>No supplied signed certificate or yard measurement sheet</v>
      </c>
      <c r="M192" s="22" t="str">
        <f aca="false">IF(I192="SUBSTANTIATED","",IF(J192&gt;0,"Priority 1","Priority 2"))</f>
        <v>Priority 2</v>
      </c>
      <c r="N192" s="22" t="s">
        <v>15</v>
      </c>
    </row>
    <row r="193" customFormat="false" ht="15" hidden="false" customHeight="false" outlineLevel="0" collapsed="false">
      <c r="A193" s="22" t="s">
        <v>11361</v>
      </c>
      <c r="B193" s="23" t="n">
        <v>46143</v>
      </c>
      <c r="C193" s="22" t="s">
        <v>6267</v>
      </c>
      <c r="D193" s="22" t="str">
        <f aca="false">IFERROR(VLOOKUP(C193,'Applicant Lookup'!$A$2:$F$2911,2,FALSE()),"Not found")</f>
        <v>Kim Allen</v>
      </c>
      <c r="E193" s="22" t="n">
        <v>47</v>
      </c>
      <c r="F193" s="22" t="n">
        <v>49.4</v>
      </c>
      <c r="G193" s="22" t="s">
        <v>11362</v>
      </c>
      <c r="H193" s="22" t="n">
        <f aca="false">COUNTIFS('Certificate Check'!$D$6:$D$7,C193,'Certificate Check'!$E$6:$E$7,F193,'Certificate Check'!$G$6:$G$7,B193,'Certificate Check'!$H$6:$H$7,"Y")</f>
        <v>0</v>
      </c>
      <c r="I193" s="22" t="str">
        <f aca="false">IF(H193&gt;0,"SUBSTANTIATED","UNSUBSTANTIATED")</f>
        <v>UNSUBSTANTIATED</v>
      </c>
      <c r="J193" s="22" t="n">
        <f aca="false">COUNTIFS('Skip Audit'!$D$6:$D$314,C193,'Skip Audit'!$C$6:$C$314,"&gt;="&amp;B193)</f>
        <v>0</v>
      </c>
      <c r="K193" s="22"/>
      <c r="L193" s="22" t="str">
        <f aca="false">IF(I193="SUBSTANTIATED","Compliant","No supplied signed certificate or yard measurement sheet")</f>
        <v>No supplied signed certificate or yard measurement sheet</v>
      </c>
      <c r="M193" s="22" t="str">
        <f aca="false">IF(I193="SUBSTANTIATED","",IF(J193&gt;0,"Priority 1","Priority 2"))</f>
        <v>Priority 2</v>
      </c>
      <c r="N193" s="22" t="s">
        <v>15</v>
      </c>
    </row>
    <row r="194" customFormat="false" ht="15" hidden="false" customHeight="false" outlineLevel="0" collapsed="false">
      <c r="A194" s="22" t="s">
        <v>11363</v>
      </c>
      <c r="B194" s="23" t="n">
        <v>46147</v>
      </c>
      <c r="C194" s="22" t="s">
        <v>1349</v>
      </c>
      <c r="D194" s="22" t="str">
        <f aca="false">IFERROR(VLOOKUP(C194,'Applicant Lookup'!$A$2:$F$2911,2,FALSE()),"Not found")</f>
        <v>Angela Whitehead</v>
      </c>
      <c r="E194" s="22" t="n">
        <v>23.9</v>
      </c>
      <c r="F194" s="22" t="n">
        <v>21.8</v>
      </c>
      <c r="G194" s="22" t="s">
        <v>11364</v>
      </c>
      <c r="H194" s="22" t="n">
        <f aca="false">COUNTIFS('Certificate Check'!$D$6:$D$7,C194,'Certificate Check'!$E$6:$E$7,F194,'Certificate Check'!$G$6:$G$7,B194,'Certificate Check'!$H$6:$H$7,"Y")</f>
        <v>0</v>
      </c>
      <c r="I194" s="22" t="str">
        <f aca="false">IF(H194&gt;0,"SUBSTANTIATED","UNSUBSTANTIATED")</f>
        <v>UNSUBSTANTIATED</v>
      </c>
      <c r="J194" s="22" t="n">
        <f aca="false">COUNTIFS('Skip Audit'!$D$6:$D$314,C194,'Skip Audit'!$C$6:$C$314,"&gt;="&amp;B194)</f>
        <v>0</v>
      </c>
      <c r="K194" s="22"/>
      <c r="L194" s="22" t="str">
        <f aca="false">IF(I194="SUBSTANTIATED","Compliant","No supplied signed certificate or yard measurement sheet")</f>
        <v>No supplied signed certificate or yard measurement sheet</v>
      </c>
      <c r="M194" s="22" t="str">
        <f aca="false">IF(I194="SUBSTANTIATED","",IF(J194&gt;0,"Priority 1","Priority 2"))</f>
        <v>Priority 2</v>
      </c>
      <c r="N194" s="22" t="s">
        <v>15</v>
      </c>
    </row>
    <row r="195" customFormat="false" ht="15" hidden="false" customHeight="false" outlineLevel="0" collapsed="false">
      <c r="A195" s="22" t="s">
        <v>11365</v>
      </c>
      <c r="B195" s="23" t="n">
        <v>46155</v>
      </c>
      <c r="C195" s="22" t="s">
        <v>4460</v>
      </c>
      <c r="D195" s="22" t="str">
        <f aca="false">IFERROR(VLOOKUP(C195,'Applicant Lookup'!$A$2:$F$2911,2,FALSE()),"Not found")</f>
        <v>Michael Lopez</v>
      </c>
      <c r="E195" s="22" t="n">
        <v>48.4</v>
      </c>
      <c r="F195" s="22" t="n">
        <v>45.8</v>
      </c>
      <c r="G195" s="22" t="s">
        <v>11366</v>
      </c>
      <c r="H195" s="22" t="n">
        <f aca="false">COUNTIFS('Certificate Check'!$D$6:$D$7,C195,'Certificate Check'!$E$6:$E$7,F195,'Certificate Check'!$G$6:$G$7,B195,'Certificate Check'!$H$6:$H$7,"Y")</f>
        <v>0</v>
      </c>
      <c r="I195" s="22" t="str">
        <f aca="false">IF(H195&gt;0,"SUBSTANTIATED","UNSUBSTANTIATED")</f>
        <v>UNSUBSTANTIATED</v>
      </c>
      <c r="J195" s="22" t="n">
        <f aca="false">COUNTIFS('Skip Audit'!$D$6:$D$314,C195,'Skip Audit'!$C$6:$C$314,"&gt;="&amp;B195)</f>
        <v>0</v>
      </c>
      <c r="K195" s="22"/>
      <c r="L195" s="22" t="str">
        <f aca="false">IF(I195="SUBSTANTIATED","Compliant","No supplied signed certificate or yard measurement sheet")</f>
        <v>No supplied signed certificate or yard measurement sheet</v>
      </c>
      <c r="M195" s="22" t="str">
        <f aca="false">IF(I195="SUBSTANTIATED","",IF(J195&gt;0,"Priority 1","Priority 2"))</f>
        <v>Priority 2</v>
      </c>
      <c r="N195" s="22" t="s">
        <v>15</v>
      </c>
    </row>
    <row r="196" customFormat="false" ht="15" hidden="false" customHeight="false" outlineLevel="0" collapsed="false">
      <c r="A196" s="22" t="s">
        <v>11367</v>
      </c>
      <c r="B196" s="23" t="n">
        <v>46159</v>
      </c>
      <c r="C196" s="22" t="s">
        <v>3362</v>
      </c>
      <c r="D196" s="22" t="str">
        <f aca="false">IFERROR(VLOOKUP(C196,'Applicant Lookup'!$A$2:$F$2911,2,FALSE()),"Not found")</f>
        <v>Karla Cross</v>
      </c>
      <c r="E196" s="22" t="n">
        <v>53.1</v>
      </c>
      <c r="F196" s="22" t="n">
        <v>55.6</v>
      </c>
      <c r="G196" s="22" t="s">
        <v>11368</v>
      </c>
      <c r="H196" s="22" t="n">
        <f aca="false">COUNTIFS('Certificate Check'!$D$6:$D$7,C196,'Certificate Check'!$E$6:$E$7,F196,'Certificate Check'!$G$6:$G$7,B196,'Certificate Check'!$H$6:$H$7,"Y")</f>
        <v>0</v>
      </c>
      <c r="I196" s="22" t="str">
        <f aca="false">IF(H196&gt;0,"SUBSTANTIATED","UNSUBSTANTIATED")</f>
        <v>UNSUBSTANTIATED</v>
      </c>
      <c r="J196" s="22" t="n">
        <f aca="false">COUNTIFS('Skip Audit'!$D$6:$D$314,C196,'Skip Audit'!$C$6:$C$314,"&gt;="&amp;B196)</f>
        <v>0</v>
      </c>
      <c r="K196" s="22"/>
      <c r="L196" s="22" t="str">
        <f aca="false">IF(I196="SUBSTANTIATED","Compliant","No supplied signed certificate or yard measurement sheet")</f>
        <v>No supplied signed certificate or yard measurement sheet</v>
      </c>
      <c r="M196" s="22" t="str">
        <f aca="false">IF(I196="SUBSTANTIATED","",IF(J196&gt;0,"Priority 1","Priority 2"))</f>
        <v>Priority 2</v>
      </c>
      <c r="N196" s="22" t="s">
        <v>15</v>
      </c>
    </row>
    <row r="197" customFormat="false" ht="15" hidden="false" customHeight="false" outlineLevel="0" collapsed="false">
      <c r="A197" s="22" t="s">
        <v>11369</v>
      </c>
      <c r="B197" s="23" t="n">
        <v>46166</v>
      </c>
      <c r="C197" s="22" t="s">
        <v>4472</v>
      </c>
      <c r="D197" s="22" t="str">
        <f aca="false">IFERROR(VLOOKUP(C197,'Applicant Lookup'!$A$2:$F$2911,2,FALSE()),"Not found")</f>
        <v>Michael Sherman</v>
      </c>
      <c r="E197" s="22" t="n">
        <v>22.7</v>
      </c>
      <c r="F197" s="22" t="n">
        <v>24.3</v>
      </c>
      <c r="G197" s="22" t="s">
        <v>11370</v>
      </c>
      <c r="H197" s="22" t="n">
        <f aca="false">COUNTIFS('Certificate Check'!$D$6:$D$7,C197,'Certificate Check'!$E$6:$E$7,F197,'Certificate Check'!$G$6:$G$7,B197,'Certificate Check'!$H$6:$H$7,"Y")</f>
        <v>0</v>
      </c>
      <c r="I197" s="22" t="str">
        <f aca="false">IF(H197&gt;0,"SUBSTANTIATED","UNSUBSTANTIATED")</f>
        <v>UNSUBSTANTIATED</v>
      </c>
      <c r="J197" s="22" t="n">
        <f aca="false">COUNTIFS('Skip Audit'!$D$6:$D$314,C197,'Skip Audit'!$C$6:$C$314,"&gt;="&amp;B197)</f>
        <v>0</v>
      </c>
      <c r="K197" s="22"/>
      <c r="L197" s="22" t="str">
        <f aca="false">IF(I197="SUBSTANTIATED","Compliant","No supplied signed certificate or yard measurement sheet")</f>
        <v>No supplied signed certificate or yard measurement sheet</v>
      </c>
      <c r="M197" s="22" t="str">
        <f aca="false">IF(I197="SUBSTANTIATED","",IF(J197&gt;0,"Priority 1","Priority 2"))</f>
        <v>Priority 2</v>
      </c>
      <c r="N197" s="22" t="s">
        <v>15</v>
      </c>
    </row>
    <row r="198" customFormat="false" ht="15" hidden="false" customHeight="false" outlineLevel="0" collapsed="false">
      <c r="A198" s="22" t="s">
        <v>11371</v>
      </c>
      <c r="B198" s="23" t="n">
        <v>46167</v>
      </c>
      <c r="C198" s="22" t="s">
        <v>4382</v>
      </c>
      <c r="D198" s="22" t="str">
        <f aca="false">IFERROR(VLOOKUP(C198,'Applicant Lookup'!$A$2:$F$2911,2,FALSE()),"Not found")</f>
        <v>Jenna Lawrence</v>
      </c>
      <c r="E198" s="22" t="n">
        <v>45.6</v>
      </c>
      <c r="F198" s="22" t="n">
        <v>46.7</v>
      </c>
      <c r="G198" s="22" t="s">
        <v>11122</v>
      </c>
      <c r="H198" s="22" t="n">
        <f aca="false">COUNTIFS('Certificate Check'!$D$6:$D$7,C198,'Certificate Check'!$E$6:$E$7,F198,'Certificate Check'!$G$6:$G$7,B198,'Certificate Check'!$H$6:$H$7,"Y")</f>
        <v>0</v>
      </c>
      <c r="I198" s="22" t="str">
        <f aca="false">IF(H198&gt;0,"SUBSTANTIATED","UNSUBSTANTIATED")</f>
        <v>UNSUBSTANTIATED</v>
      </c>
      <c r="J198" s="22" t="n">
        <f aca="false">COUNTIFS('Skip Audit'!$D$6:$D$314,C198,'Skip Audit'!$C$6:$C$314,"&gt;="&amp;B198)</f>
        <v>0</v>
      </c>
      <c r="K198" s="22"/>
      <c r="L198" s="22" t="str">
        <f aca="false">IF(I198="SUBSTANTIATED","Compliant","No supplied signed certificate or yard measurement sheet")</f>
        <v>No supplied signed certificate or yard measurement sheet</v>
      </c>
      <c r="M198" s="22" t="str">
        <f aca="false">IF(I198="SUBSTANTIATED","",IF(J198&gt;0,"Priority 1","Priority 2"))</f>
        <v>Priority 2</v>
      </c>
      <c r="N198" s="22" t="s">
        <v>15</v>
      </c>
    </row>
    <row r="199" customFormat="false" ht="15" hidden="false" customHeight="false" outlineLevel="0" collapsed="false">
      <c r="A199" s="22" t="s">
        <v>11372</v>
      </c>
      <c r="B199" s="23" t="n">
        <v>46170</v>
      </c>
      <c r="C199" s="22" t="s">
        <v>4336</v>
      </c>
      <c r="D199" s="22" t="str">
        <f aca="false">IFERROR(VLOOKUP(C199,'Applicant Lookup'!$A$2:$F$2911,2,FALSE()),"Not found")</f>
        <v>Julia Wells</v>
      </c>
      <c r="E199" s="22" t="n">
        <v>45.6</v>
      </c>
      <c r="F199" s="22" t="n">
        <v>43.7</v>
      </c>
      <c r="G199" s="22" t="s">
        <v>11373</v>
      </c>
      <c r="H199" s="22" t="n">
        <f aca="false">COUNTIFS('Certificate Check'!$D$6:$D$7,C199,'Certificate Check'!$E$6:$E$7,F199,'Certificate Check'!$G$6:$G$7,B199,'Certificate Check'!$H$6:$H$7,"Y")</f>
        <v>0</v>
      </c>
      <c r="I199" s="22" t="str">
        <f aca="false">IF(H199&gt;0,"SUBSTANTIATED","UNSUBSTANTIATED")</f>
        <v>UNSUBSTANTIATED</v>
      </c>
      <c r="J199" s="22" t="n">
        <f aca="false">COUNTIFS('Skip Audit'!$D$6:$D$314,C199,'Skip Audit'!$C$6:$C$314,"&gt;="&amp;B199)</f>
        <v>0</v>
      </c>
      <c r="K199" s="22"/>
      <c r="L199" s="22" t="str">
        <f aca="false">IF(I199="SUBSTANTIATED","Compliant","No supplied signed certificate or yard measurement sheet")</f>
        <v>No supplied signed certificate or yard measurement sheet</v>
      </c>
      <c r="M199" s="22" t="str">
        <f aca="false">IF(I199="SUBSTANTIATED","",IF(J199&gt;0,"Priority 1","Priority 2"))</f>
        <v>Priority 2</v>
      </c>
      <c r="N199" s="22" t="s">
        <v>15</v>
      </c>
    </row>
    <row r="200" customFormat="false" ht="15" hidden="false" customHeight="false" outlineLevel="0" collapsed="false">
      <c r="A200" s="22" t="s">
        <v>11374</v>
      </c>
      <c r="B200" s="23" t="n">
        <v>46180</v>
      </c>
      <c r="C200" s="22" t="s">
        <v>5683</v>
      </c>
      <c r="D200" s="22" t="str">
        <f aca="false">IFERROR(VLOOKUP(C200,'Applicant Lookup'!$A$2:$F$2911,2,FALSE()),"Not found")</f>
        <v>Robert Shea</v>
      </c>
      <c r="E200" s="22" t="n">
        <v>48.2</v>
      </c>
      <c r="F200" s="22" t="n">
        <v>46.8</v>
      </c>
      <c r="G200" s="22" t="s">
        <v>11375</v>
      </c>
      <c r="H200" s="22" t="n">
        <f aca="false">COUNTIFS('Certificate Check'!$D$6:$D$7,C200,'Certificate Check'!$E$6:$E$7,F200,'Certificate Check'!$G$6:$G$7,B200,'Certificate Check'!$H$6:$H$7,"Y")</f>
        <v>0</v>
      </c>
      <c r="I200" s="22" t="str">
        <f aca="false">IF(H200&gt;0,"SUBSTANTIATED","UNSUBSTANTIATED")</f>
        <v>UNSUBSTANTIATED</v>
      </c>
      <c r="J200" s="22" t="n">
        <f aca="false">COUNTIFS('Skip Audit'!$D$6:$D$314,C200,'Skip Audit'!$C$6:$C$314,"&gt;="&amp;B200)</f>
        <v>0</v>
      </c>
      <c r="K200" s="22"/>
      <c r="L200" s="22" t="str">
        <f aca="false">IF(I200="SUBSTANTIATED","Compliant","No supplied signed certificate or yard measurement sheet")</f>
        <v>No supplied signed certificate or yard measurement sheet</v>
      </c>
      <c r="M200" s="22" t="str">
        <f aca="false">IF(I200="SUBSTANTIATED","",IF(J200&gt;0,"Priority 1","Priority 2"))</f>
        <v>Priority 2</v>
      </c>
      <c r="N200" s="22" t="s">
        <v>15</v>
      </c>
    </row>
    <row r="201" customFormat="false" ht="15" hidden="false" customHeight="false" outlineLevel="0" collapsed="false">
      <c r="A201" s="22" t="s">
        <v>11376</v>
      </c>
      <c r="B201" s="23" t="n">
        <v>46191</v>
      </c>
      <c r="C201" s="22" t="s">
        <v>6490</v>
      </c>
      <c r="D201" s="22" t="str">
        <f aca="false">IFERROR(VLOOKUP(C201,'Applicant Lookup'!$A$2:$F$2911,2,FALSE()),"Not found")</f>
        <v>Michael Wagner</v>
      </c>
      <c r="E201" s="22" t="n">
        <v>31.4</v>
      </c>
      <c r="F201" s="22" t="n">
        <v>28.5</v>
      </c>
      <c r="G201" s="22" t="s">
        <v>11377</v>
      </c>
      <c r="H201" s="22" t="n">
        <f aca="false">COUNTIFS('Certificate Check'!$D$6:$D$7,C201,'Certificate Check'!$E$6:$E$7,F201,'Certificate Check'!$G$6:$G$7,B201,'Certificate Check'!$H$6:$H$7,"Y")</f>
        <v>0</v>
      </c>
      <c r="I201" s="22" t="str">
        <f aca="false">IF(H201&gt;0,"SUBSTANTIATED","UNSUBSTANTIATED")</f>
        <v>UNSUBSTANTIATED</v>
      </c>
      <c r="J201" s="22" t="n">
        <f aca="false">COUNTIFS('Skip Audit'!$D$6:$D$314,C201,'Skip Audit'!$C$6:$C$314,"&gt;="&amp;B201)</f>
        <v>0</v>
      </c>
      <c r="K201" s="22"/>
      <c r="L201" s="22" t="str">
        <f aca="false">IF(I201="SUBSTANTIATED","Compliant","No supplied signed certificate or yard measurement sheet")</f>
        <v>No supplied signed certificate or yard measurement sheet</v>
      </c>
      <c r="M201" s="22" t="str">
        <f aca="false">IF(I201="SUBSTANTIATED","",IF(J201&gt;0,"Priority 1","Priority 2"))</f>
        <v>Priority 2</v>
      </c>
      <c r="N201" s="22" t="s">
        <v>15</v>
      </c>
    </row>
    <row r="202" customFormat="false" ht="15" hidden="false" customHeight="false" outlineLevel="0" collapsed="false">
      <c r="A202" s="22" t="s">
        <v>11378</v>
      </c>
      <c r="B202" s="23" t="n">
        <v>46201</v>
      </c>
      <c r="C202" s="22" t="s">
        <v>2901</v>
      </c>
      <c r="D202" s="22" t="str">
        <f aca="false">IFERROR(VLOOKUP(C202,'Applicant Lookup'!$A$2:$F$2911,2,FALSE()),"Not found")</f>
        <v>Matthew Meyer</v>
      </c>
      <c r="E202" s="22" t="n">
        <v>47.6</v>
      </c>
      <c r="F202" s="22" t="n">
        <v>48.8</v>
      </c>
      <c r="G202" s="22" t="s">
        <v>11379</v>
      </c>
      <c r="H202" s="22" t="n">
        <f aca="false">COUNTIFS('Certificate Check'!$D$6:$D$7,C202,'Certificate Check'!$E$6:$E$7,F202,'Certificate Check'!$G$6:$G$7,B202,'Certificate Check'!$H$6:$H$7,"Y")</f>
        <v>0</v>
      </c>
      <c r="I202" s="22" t="str">
        <f aca="false">IF(H202&gt;0,"SUBSTANTIATED","UNSUBSTANTIATED")</f>
        <v>UNSUBSTANTIATED</v>
      </c>
      <c r="J202" s="22" t="n">
        <f aca="false">COUNTIFS('Skip Audit'!$D$6:$D$314,C202,'Skip Audit'!$C$6:$C$314,"&gt;="&amp;B202)</f>
        <v>0</v>
      </c>
      <c r="K202" s="22"/>
      <c r="L202" s="22" t="str">
        <f aca="false">IF(I202="SUBSTANTIATED","Compliant","No supplied signed certificate or yard measurement sheet")</f>
        <v>No supplied signed certificate or yard measurement sheet</v>
      </c>
      <c r="M202" s="22" t="str">
        <f aca="false">IF(I202="SUBSTANTIATED","",IF(J202&gt;0,"Priority 1","Priority 2"))</f>
        <v>Priority 2</v>
      </c>
      <c r="N202" s="22" t="s">
        <v>15</v>
      </c>
    </row>
    <row r="203" customFormat="false" ht="15" hidden="false" customHeight="false" outlineLevel="0" collapsed="false">
      <c r="A203" s="22" t="s">
        <v>11380</v>
      </c>
      <c r="B203" s="23" t="n">
        <v>46203</v>
      </c>
      <c r="C203" s="22" t="s">
        <v>4909</v>
      </c>
      <c r="D203" s="22" t="str">
        <f aca="false">IFERROR(VLOOKUP(C203,'Applicant Lookup'!$A$2:$F$2911,2,FALSE()),"Not found")</f>
        <v>Heather Williams</v>
      </c>
      <c r="E203" s="22" t="n">
        <v>31.5</v>
      </c>
      <c r="F203" s="22" t="n">
        <v>33.6</v>
      </c>
      <c r="G203" s="22"/>
      <c r="H203" s="22" t="n">
        <f aca="false">COUNTIFS('Certificate Check'!$D$6:$D$7,C203,'Certificate Check'!$E$6:$E$7,F203,'Certificate Check'!$G$6:$G$7,B203,'Certificate Check'!$H$6:$H$7,"Y")</f>
        <v>0</v>
      </c>
      <c r="I203" s="22" t="str">
        <f aca="false">IF(H203&gt;0,"SUBSTANTIATED","UNSUBSTANTIATED")</f>
        <v>UNSUBSTANTIATED</v>
      </c>
      <c r="J203" s="22" t="n">
        <f aca="false">COUNTIFS('Skip Audit'!$D$6:$D$314,C203,'Skip Audit'!$C$6:$C$314,"&gt;="&amp;B203)</f>
        <v>0</v>
      </c>
      <c r="K203" s="22"/>
      <c r="L203" s="22" t="str">
        <f aca="false">IF(I203="SUBSTANTIATED","Compliant","No supplied signed certificate or yard measurement sheet")</f>
        <v>No supplied signed certificate or yard measurement sheet</v>
      </c>
      <c r="M203" s="22" t="str">
        <f aca="false">IF(I203="SUBSTANTIATED","",IF(J203&gt;0,"Priority 1","Priority 2"))</f>
        <v>Priority 2</v>
      </c>
      <c r="N203" s="22" t="s">
        <v>15</v>
      </c>
    </row>
    <row r="204" customFormat="false" ht="15" hidden="false" customHeight="false" outlineLevel="0" collapsed="false">
      <c r="A204" s="22" t="s">
        <v>11381</v>
      </c>
      <c r="B204" s="23" t="n">
        <v>46205</v>
      </c>
      <c r="C204" s="22" t="s">
        <v>3857</v>
      </c>
      <c r="D204" s="22" t="str">
        <f aca="false">IFERROR(VLOOKUP(C204,'Applicant Lookup'!$A$2:$F$2911,2,FALSE()),"Not found")</f>
        <v>Jason Bell</v>
      </c>
      <c r="E204" s="22" t="n">
        <v>30.2</v>
      </c>
      <c r="F204" s="22" t="n">
        <v>29.2</v>
      </c>
      <c r="G204" s="22" t="s">
        <v>11382</v>
      </c>
      <c r="H204" s="22" t="n">
        <f aca="false">COUNTIFS('Certificate Check'!$D$6:$D$7,C204,'Certificate Check'!$E$6:$E$7,F204,'Certificate Check'!$G$6:$G$7,B204,'Certificate Check'!$H$6:$H$7,"Y")</f>
        <v>0</v>
      </c>
      <c r="I204" s="22" t="str">
        <f aca="false">IF(H204&gt;0,"SUBSTANTIATED","UNSUBSTANTIATED")</f>
        <v>UNSUBSTANTIATED</v>
      </c>
      <c r="J204" s="22" t="n">
        <f aca="false">COUNTIFS('Skip Audit'!$D$6:$D$314,C204,'Skip Audit'!$C$6:$C$314,"&gt;="&amp;B204)</f>
        <v>0</v>
      </c>
      <c r="K204" s="22"/>
      <c r="L204" s="22" t="str">
        <f aca="false">IF(I204="SUBSTANTIATED","Compliant","No supplied signed certificate or yard measurement sheet")</f>
        <v>No supplied signed certificate or yard measurement sheet</v>
      </c>
      <c r="M204" s="22" t="str">
        <f aca="false">IF(I204="SUBSTANTIATED","",IF(J204&gt;0,"Priority 1","Priority 2"))</f>
        <v>Priority 2</v>
      </c>
      <c r="N204" s="22" t="s">
        <v>15</v>
      </c>
    </row>
    <row r="205" customFormat="false" ht="15" hidden="false" customHeight="false" outlineLevel="0" collapsed="false">
      <c r="A205" s="22" t="s">
        <v>11383</v>
      </c>
      <c r="B205" s="23" t="n">
        <v>46222</v>
      </c>
      <c r="C205" s="22" t="s">
        <v>6354</v>
      </c>
      <c r="D205" s="22" t="str">
        <f aca="false">IFERROR(VLOOKUP(C205,'Applicant Lookup'!$A$2:$F$2911,2,FALSE()),"Not found")</f>
        <v>Julie Peterson</v>
      </c>
      <c r="E205" s="22" t="n">
        <v>26</v>
      </c>
      <c r="F205" s="22" t="n">
        <v>24.3</v>
      </c>
      <c r="G205" s="22" t="s">
        <v>11384</v>
      </c>
      <c r="H205" s="22" t="n">
        <f aca="false">COUNTIFS('Certificate Check'!$D$6:$D$7,C205,'Certificate Check'!$E$6:$E$7,F205,'Certificate Check'!$G$6:$G$7,B205,'Certificate Check'!$H$6:$H$7,"Y")</f>
        <v>0</v>
      </c>
      <c r="I205" s="22" t="str">
        <f aca="false">IF(H205&gt;0,"SUBSTANTIATED","UNSUBSTANTIATED")</f>
        <v>UNSUBSTANTIATED</v>
      </c>
      <c r="J205" s="22" t="n">
        <f aca="false">COUNTIFS('Skip Audit'!$D$6:$D$314,C205,'Skip Audit'!$C$6:$C$314,"&gt;="&amp;B205)</f>
        <v>0</v>
      </c>
      <c r="K205" s="22"/>
      <c r="L205" s="22" t="str">
        <f aca="false">IF(I205="SUBSTANTIATED","Compliant","No supplied signed certificate or yard measurement sheet")</f>
        <v>No supplied signed certificate or yard measurement sheet</v>
      </c>
      <c r="M205" s="22" t="str">
        <f aca="false">IF(I205="SUBSTANTIATED","",IF(J205&gt;0,"Priority 1","Priority 2"))</f>
        <v>Priority 2</v>
      </c>
      <c r="N205" s="22" t="s">
        <v>15</v>
      </c>
    </row>
  </sheetData>
  <autoFilter ref="A5:N205"/>
  <mergeCells count="3">
    <mergeCell ref="A1:N1"/>
    <mergeCell ref="A2:N2"/>
    <mergeCell ref="A3:N3"/>
  </mergeCells>
  <conditionalFormatting sqref="M6:M205">
    <cfRule type="expression" priority="2" aboveAverage="0" equalAverage="0" bottom="0" percent="0" rank="0" text="" dxfId="5">
      <formula>$M6="Priority 1"</formula>
    </cfRule>
    <cfRule type="expression" priority="3" aboveAverage="0" equalAverage="0" bottom="0" percent="0" rank="0" text="" dxfId="6">
      <formula>$M6="Priority 2"</formula>
    </cfRule>
  </conditionalFormatting>
  <printOptions headings="false" gridLines="false" gridLinesSet="true" horizontalCentered="false" verticalCentered="false"/>
  <pageMargins left="0.25" right="0.25" top="0.45" bottom="0.45" header="0.2" footer="0.2"/>
  <pageSetup paperSize="1" scale="100" fitToWidth="2" fitToHeight="0" pageOrder="downThenOver" orientation="landscape" blackAndWhite="false" draft="false" cellComments="none" horizontalDpi="300" verticalDpi="300" copies="1"/>
  <headerFooter differentFirst="false" differentOddEven="false">
    <oddHeader>&amp;LLOA Amendment Audit | 2022-08-01 to 2026-08-07</oddHeader>
    <oddFooter>&amp;C&amp;7 Page &amp;P of &amp;N&amp;R&amp;7 Chaldale Harbor District | 2026-08-07</oddFooter>
  </headerFooter>
  <drawing r:id="rId1"/>
  <tableParts>
    <tablePart r:id="rId2"/>
  </tableParts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Y77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customHeight="true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12"/>
    <col collapsed="false" customWidth="true" hidden="false" outlineLevel="0" max="3" min="3" style="0" width="16"/>
    <col collapsed="false" customWidth="true" hidden="false" outlineLevel="0" max="4" min="4" style="0" width="14"/>
    <col collapsed="false" customWidth="true" hidden="false" outlineLevel="0" max="5" min="5" style="0" width="13"/>
    <col collapsed="false" customWidth="true" hidden="false" outlineLevel="0" max="6" min="6" style="0" width="14"/>
    <col collapsed="false" customWidth="true" hidden="false" outlineLevel="0" max="8" min="7" style="0" width="20"/>
    <col collapsed="false" customWidth="true" hidden="false" outlineLevel="0" max="9" min="9" style="0" width="12"/>
    <col collapsed="false" customWidth="true" hidden="false" outlineLevel="0" max="10" min="10" style="0" width="11"/>
    <col collapsed="false" customWidth="true" hidden="false" outlineLevel="0" max="11" min="11" style="0" width="13"/>
    <col collapsed="false" customWidth="true" hidden="false" outlineLevel="0" max="12" min="12" style="0" width="12"/>
    <col collapsed="false" customWidth="true" hidden="false" outlineLevel="0" max="13" min="13" style="0" width="13"/>
    <col collapsed="false" customWidth="true" hidden="false" outlineLevel="0" max="14" min="14" style="0" width="12"/>
    <col collapsed="false" customWidth="true" hidden="false" outlineLevel="0" max="15" min="15" style="0" width="13"/>
    <col collapsed="false" customWidth="true" hidden="false" outlineLevel="0" max="16" min="16" style="0" width="14"/>
    <col collapsed="false" customWidth="true" hidden="false" outlineLevel="0" max="17" min="17" style="0" width="12"/>
    <col collapsed="false" customWidth="true" hidden="false" outlineLevel="0" max="23" min="18" style="0" width="13"/>
    <col collapsed="false" customWidth="true" hidden="false" outlineLevel="0" max="24" min="24" style="0" width="28"/>
    <col collapsed="false" customWidth="true" hidden="false" outlineLevel="0" max="25" min="25" style="0" width="12"/>
  </cols>
  <sheetData>
    <row r="1" customFormat="false" ht="30" hidden="false" customHeight="true" outlineLevel="0" collapsed="false">
      <c r="A1" s="13" t="s">
        <v>11385</v>
      </c>
      <c r="B1" s="13" t="s">
        <v>11386</v>
      </c>
      <c r="C1" s="13" t="s">
        <v>11387</v>
      </c>
      <c r="D1" s="13" t="s">
        <v>149</v>
      </c>
      <c r="E1" s="13" t="s">
        <v>6556</v>
      </c>
      <c r="F1" s="13" t="s">
        <v>6557</v>
      </c>
      <c r="G1" s="13" t="s">
        <v>8592</v>
      </c>
      <c r="H1" s="13" t="s">
        <v>11388</v>
      </c>
      <c r="I1" s="13" t="s">
        <v>11389</v>
      </c>
      <c r="J1" s="13" t="s">
        <v>11390</v>
      </c>
      <c r="K1" s="13" t="s">
        <v>11391</v>
      </c>
      <c r="L1" s="13" t="s">
        <v>11392</v>
      </c>
      <c r="M1" s="13" t="s">
        <v>11393</v>
      </c>
      <c r="N1" s="13" t="s">
        <v>11394</v>
      </c>
      <c r="O1" s="13" t="s">
        <v>11395</v>
      </c>
      <c r="P1" s="13" t="s">
        <v>11396</v>
      </c>
      <c r="Q1" s="13" t="s">
        <v>11397</v>
      </c>
      <c r="R1" s="13" t="s">
        <v>11398</v>
      </c>
      <c r="S1" s="13" t="s">
        <v>11399</v>
      </c>
      <c r="T1" s="13" t="s">
        <v>11400</v>
      </c>
      <c r="U1" s="13" t="s">
        <v>11401</v>
      </c>
      <c r="V1" s="13" t="s">
        <v>11402</v>
      </c>
      <c r="W1" s="13" t="s">
        <v>11403</v>
      </c>
      <c r="X1" s="13" t="s">
        <v>10965</v>
      </c>
      <c r="Y1" s="13" t="s">
        <v>10966</v>
      </c>
    </row>
    <row r="2" customFormat="false" ht="15" hidden="false" customHeight="false" outlineLevel="0" collapsed="false">
      <c r="A2" s="22" t="s">
        <v>11404</v>
      </c>
      <c r="B2" s="23" t="n">
        <v>46235</v>
      </c>
      <c r="C2" s="22" t="s">
        <v>11405</v>
      </c>
      <c r="D2" s="22" t="s">
        <v>3591</v>
      </c>
      <c r="E2" s="22" t="s">
        <v>6572</v>
      </c>
      <c r="F2" s="22" t="s">
        <v>198</v>
      </c>
      <c r="G2" s="22" t="s">
        <v>8601</v>
      </c>
      <c r="H2" s="22" t="s">
        <v>11406</v>
      </c>
      <c r="I2" s="22" t="n">
        <v>51</v>
      </c>
      <c r="J2" s="22" t="n">
        <v>1</v>
      </c>
      <c r="K2" s="22" t="n">
        <v>51</v>
      </c>
      <c r="L2" s="25" t="n">
        <v>10.4</v>
      </c>
      <c r="M2" s="25" t="n">
        <v>530.4</v>
      </c>
      <c r="N2" s="25" t="n">
        <v>68.1</v>
      </c>
      <c r="O2" s="25" t="n">
        <v>598.5</v>
      </c>
      <c r="P2" s="22" t="s">
        <v>11407</v>
      </c>
      <c r="Q2" s="23" t="n">
        <v>46249</v>
      </c>
      <c r="R2" s="22" t="n">
        <f aca="false">I2*J2</f>
        <v>51</v>
      </c>
      <c r="S2" s="25" t="n">
        <f aca="false">K2-R2</f>
        <v>0</v>
      </c>
      <c r="T2" s="25" t="n">
        <f aca="false">K2*L2</f>
        <v>530.4</v>
      </c>
      <c r="U2" s="25" t="n">
        <f aca="false">M2-T2</f>
        <v>0</v>
      </c>
      <c r="V2" s="25" t="n">
        <f aca="false">M2+N2</f>
        <v>598.5</v>
      </c>
      <c r="W2" s="25" t="n">
        <f aca="false">O2-V2</f>
        <v>0</v>
      </c>
      <c r="X2" s="22" t="str">
        <f aca="false">IF(OR(ABS(S2)&gt;0.005,ABS(U2)&gt;0.005,ABS(W2)&gt;0.005),"Subledger arithmetic error","OK")</f>
        <v>OK</v>
      </c>
      <c r="Y2" s="22" t="str">
        <f aca="false">IF(X2="OK","","Priority 3")</f>
        <v/>
      </c>
    </row>
    <row r="3" customFormat="false" ht="15" hidden="false" customHeight="false" outlineLevel="0" collapsed="false">
      <c r="A3" s="22" t="s">
        <v>11408</v>
      </c>
      <c r="B3" s="23" t="n">
        <v>46235</v>
      </c>
      <c r="C3" s="22" t="s">
        <v>11409</v>
      </c>
      <c r="D3" s="22" t="s">
        <v>3531</v>
      </c>
      <c r="E3" s="22" t="s">
        <v>6580</v>
      </c>
      <c r="F3" s="22" t="s">
        <v>198</v>
      </c>
      <c r="G3" s="22" t="s">
        <v>8601</v>
      </c>
      <c r="H3" s="22" t="s">
        <v>11406</v>
      </c>
      <c r="I3" s="22" t="n">
        <v>40</v>
      </c>
      <c r="J3" s="22" t="n">
        <v>1</v>
      </c>
      <c r="K3" s="22" t="n">
        <v>40</v>
      </c>
      <c r="L3" s="25" t="n">
        <v>10.4</v>
      </c>
      <c r="M3" s="25" t="n">
        <v>416</v>
      </c>
      <c r="N3" s="25" t="n">
        <v>53.41</v>
      </c>
      <c r="O3" s="25" t="n">
        <v>469.41</v>
      </c>
      <c r="P3" s="22" t="s">
        <v>11410</v>
      </c>
      <c r="Q3" s="23" t="n">
        <v>46249</v>
      </c>
      <c r="R3" s="22" t="n">
        <f aca="false">I3*J3</f>
        <v>40</v>
      </c>
      <c r="S3" s="25" t="n">
        <f aca="false">K3-R3</f>
        <v>0</v>
      </c>
      <c r="T3" s="25" t="n">
        <f aca="false">K3*L3</f>
        <v>416</v>
      </c>
      <c r="U3" s="25" t="n">
        <f aca="false">M3-T3</f>
        <v>0</v>
      </c>
      <c r="V3" s="25" t="n">
        <f aca="false">M3+N3</f>
        <v>469.41</v>
      </c>
      <c r="W3" s="25" t="n">
        <f aca="false">O3-V3</f>
        <v>0</v>
      </c>
      <c r="X3" s="22" t="str">
        <f aca="false">IF(OR(ABS(S3)&gt;0.005,ABS(U3)&gt;0.005,ABS(W3)&gt;0.005),"Subledger arithmetic error","OK")</f>
        <v>OK</v>
      </c>
      <c r="Y3" s="22" t="str">
        <f aca="false">IF(X3="OK","","Priority 3")</f>
        <v/>
      </c>
    </row>
    <row r="4" customFormat="false" ht="15" hidden="false" customHeight="false" outlineLevel="0" collapsed="false">
      <c r="A4" s="22" t="s">
        <v>11411</v>
      </c>
      <c r="B4" s="23" t="n">
        <v>46235</v>
      </c>
      <c r="C4" s="22" t="s">
        <v>11412</v>
      </c>
      <c r="D4" s="22" t="s">
        <v>1375</v>
      </c>
      <c r="E4" s="22" t="s">
        <v>6585</v>
      </c>
      <c r="F4" s="22" t="s">
        <v>198</v>
      </c>
      <c r="G4" s="22" t="s">
        <v>8601</v>
      </c>
      <c r="H4" s="22" t="s">
        <v>11406</v>
      </c>
      <c r="I4" s="22" t="n">
        <v>33</v>
      </c>
      <c r="J4" s="22" t="n">
        <v>1</v>
      </c>
      <c r="K4" s="22" t="n">
        <v>33</v>
      </c>
      <c r="L4" s="25" t="n">
        <v>10.4</v>
      </c>
      <c r="M4" s="25" t="n">
        <v>343.2</v>
      </c>
      <c r="N4" s="25" t="n">
        <v>44.07</v>
      </c>
      <c r="O4" s="25" t="n">
        <v>387.27</v>
      </c>
      <c r="P4" s="22" t="s">
        <v>11407</v>
      </c>
      <c r="Q4" s="23" t="n">
        <v>46249</v>
      </c>
      <c r="R4" s="22" t="n">
        <f aca="false">I4*J4</f>
        <v>33</v>
      </c>
      <c r="S4" s="25" t="n">
        <f aca="false">K4-R4</f>
        <v>0</v>
      </c>
      <c r="T4" s="25" t="n">
        <f aca="false">K4*L4</f>
        <v>343.2</v>
      </c>
      <c r="U4" s="25" t="n">
        <f aca="false">M4-T4</f>
        <v>0</v>
      </c>
      <c r="V4" s="25" t="n">
        <f aca="false">M4+N4</f>
        <v>387.27</v>
      </c>
      <c r="W4" s="25" t="n">
        <f aca="false">O4-V4</f>
        <v>0</v>
      </c>
      <c r="X4" s="22" t="str">
        <f aca="false">IF(OR(ABS(S4)&gt;0.005,ABS(U4)&gt;0.005,ABS(W4)&gt;0.005),"Subledger arithmetic error","OK")</f>
        <v>OK</v>
      </c>
      <c r="Y4" s="22" t="str">
        <f aca="false">IF(X4="OK","","Priority 3")</f>
        <v/>
      </c>
    </row>
    <row r="5" customFormat="false" ht="15" hidden="false" customHeight="false" outlineLevel="0" collapsed="false">
      <c r="A5" s="22" t="s">
        <v>11413</v>
      </c>
      <c r="B5" s="23" t="n">
        <v>46235</v>
      </c>
      <c r="C5" s="22" t="s">
        <v>11414</v>
      </c>
      <c r="D5" s="22" t="s">
        <v>5989</v>
      </c>
      <c r="E5" s="22" t="s">
        <v>6588</v>
      </c>
      <c r="F5" s="22" t="s">
        <v>198</v>
      </c>
      <c r="G5" s="22" t="s">
        <v>8601</v>
      </c>
      <c r="H5" s="22" t="s">
        <v>11406</v>
      </c>
      <c r="I5" s="22" t="n">
        <v>43</v>
      </c>
      <c r="J5" s="22" t="n">
        <v>1</v>
      </c>
      <c r="K5" s="22" t="n">
        <v>43</v>
      </c>
      <c r="L5" s="25" t="n">
        <v>10.4</v>
      </c>
      <c r="M5" s="25" t="n">
        <v>447.2</v>
      </c>
      <c r="N5" s="25" t="n">
        <v>57.42</v>
      </c>
      <c r="O5" s="25" t="n">
        <v>504.62</v>
      </c>
      <c r="P5" s="22" t="s">
        <v>11407</v>
      </c>
      <c r="Q5" s="23" t="n">
        <v>46249</v>
      </c>
      <c r="R5" s="22" t="n">
        <f aca="false">I5*J5</f>
        <v>43</v>
      </c>
      <c r="S5" s="25" t="n">
        <f aca="false">K5-R5</f>
        <v>0</v>
      </c>
      <c r="T5" s="25" t="n">
        <f aca="false">K5*L5</f>
        <v>447.2</v>
      </c>
      <c r="U5" s="25" t="n">
        <f aca="false">M5-T5</f>
        <v>0</v>
      </c>
      <c r="V5" s="25" t="n">
        <f aca="false">M5+N5</f>
        <v>504.62</v>
      </c>
      <c r="W5" s="25" t="n">
        <f aca="false">O5-V5</f>
        <v>0</v>
      </c>
      <c r="X5" s="22" t="str">
        <f aca="false">IF(OR(ABS(S5)&gt;0.005,ABS(U5)&gt;0.005,ABS(W5)&gt;0.005),"Subledger arithmetic error","OK")</f>
        <v>OK</v>
      </c>
      <c r="Y5" s="22" t="str">
        <f aca="false">IF(X5="OK","","Priority 3")</f>
        <v/>
      </c>
    </row>
    <row r="6" customFormat="false" ht="15" hidden="false" customHeight="false" outlineLevel="0" collapsed="false">
      <c r="A6" s="22" t="s">
        <v>11415</v>
      </c>
      <c r="B6" s="23" t="n">
        <v>46235</v>
      </c>
      <c r="C6" s="22" t="s">
        <v>11416</v>
      </c>
      <c r="D6" s="22" t="s">
        <v>6485</v>
      </c>
      <c r="E6" s="22" t="s">
        <v>6591</v>
      </c>
      <c r="F6" s="22" t="s">
        <v>198</v>
      </c>
      <c r="G6" s="22" t="s">
        <v>8601</v>
      </c>
      <c r="H6" s="22" t="s">
        <v>11406</v>
      </c>
      <c r="I6" s="22" t="n">
        <v>39</v>
      </c>
      <c r="J6" s="22" t="n">
        <v>1</v>
      </c>
      <c r="K6" s="22" t="n">
        <v>39</v>
      </c>
      <c r="L6" s="25" t="n">
        <v>10.4</v>
      </c>
      <c r="M6" s="25" t="n">
        <v>405.6</v>
      </c>
      <c r="N6" s="25" t="n">
        <v>52.08</v>
      </c>
      <c r="O6" s="25" t="n">
        <v>457.68</v>
      </c>
      <c r="P6" s="22" t="s">
        <v>11407</v>
      </c>
      <c r="Q6" s="23" t="n">
        <v>46249</v>
      </c>
      <c r="R6" s="22" t="n">
        <f aca="false">I6*J6</f>
        <v>39</v>
      </c>
      <c r="S6" s="25" t="n">
        <f aca="false">K6-R6</f>
        <v>0</v>
      </c>
      <c r="T6" s="25" t="n">
        <f aca="false">K6*L6</f>
        <v>405.6</v>
      </c>
      <c r="U6" s="25" t="n">
        <f aca="false">M6-T6</f>
        <v>0</v>
      </c>
      <c r="V6" s="25" t="n">
        <f aca="false">M6+N6</f>
        <v>457.68</v>
      </c>
      <c r="W6" s="25" t="n">
        <f aca="false">O6-V6</f>
        <v>0</v>
      </c>
      <c r="X6" s="22" t="str">
        <f aca="false">IF(OR(ABS(S6)&gt;0.005,ABS(U6)&gt;0.005,ABS(W6)&gt;0.005),"Subledger arithmetic error","OK")</f>
        <v>OK</v>
      </c>
      <c r="Y6" s="22" t="str">
        <f aca="false">IF(X6="OK","","Priority 3")</f>
        <v/>
      </c>
    </row>
    <row r="7" customFormat="false" ht="15" hidden="false" customHeight="false" outlineLevel="0" collapsed="false">
      <c r="A7" s="22" t="s">
        <v>11417</v>
      </c>
      <c r="B7" s="23" t="n">
        <v>46235</v>
      </c>
      <c r="C7" s="22" t="s">
        <v>11418</v>
      </c>
      <c r="D7" s="22" t="s">
        <v>3331</v>
      </c>
      <c r="E7" s="22" t="s">
        <v>6594</v>
      </c>
      <c r="F7" s="22" t="s">
        <v>198</v>
      </c>
      <c r="G7" s="22" t="s">
        <v>8601</v>
      </c>
      <c r="H7" s="22" t="s">
        <v>11406</v>
      </c>
      <c r="I7" s="22" t="n">
        <v>39</v>
      </c>
      <c r="J7" s="22" t="n">
        <v>1</v>
      </c>
      <c r="K7" s="22" t="n">
        <v>39</v>
      </c>
      <c r="L7" s="25" t="n">
        <v>10.4</v>
      </c>
      <c r="M7" s="25" t="n">
        <v>405.6</v>
      </c>
      <c r="N7" s="25" t="n">
        <v>52.08</v>
      </c>
      <c r="O7" s="25" t="n">
        <v>457.68</v>
      </c>
      <c r="P7" s="22" t="s">
        <v>11407</v>
      </c>
      <c r="Q7" s="23" t="n">
        <v>46249</v>
      </c>
      <c r="R7" s="22" t="n">
        <f aca="false">I7*J7</f>
        <v>39</v>
      </c>
      <c r="S7" s="25" t="n">
        <f aca="false">K7-R7</f>
        <v>0</v>
      </c>
      <c r="T7" s="25" t="n">
        <f aca="false">K7*L7</f>
        <v>405.6</v>
      </c>
      <c r="U7" s="25" t="n">
        <f aca="false">M7-T7</f>
        <v>0</v>
      </c>
      <c r="V7" s="25" t="n">
        <f aca="false">M7+N7</f>
        <v>457.68</v>
      </c>
      <c r="W7" s="25" t="n">
        <f aca="false">O7-V7</f>
        <v>0</v>
      </c>
      <c r="X7" s="22" t="str">
        <f aca="false">IF(OR(ABS(S7)&gt;0.005,ABS(U7)&gt;0.005,ABS(W7)&gt;0.005),"Subledger arithmetic error","OK")</f>
        <v>OK</v>
      </c>
      <c r="Y7" s="22" t="str">
        <f aca="false">IF(X7="OK","","Priority 3")</f>
        <v/>
      </c>
    </row>
    <row r="8" customFormat="false" ht="15" hidden="false" customHeight="false" outlineLevel="0" collapsed="false">
      <c r="A8" s="22" t="s">
        <v>11419</v>
      </c>
      <c r="B8" s="23" t="n">
        <v>46235</v>
      </c>
      <c r="C8" s="22" t="s">
        <v>11420</v>
      </c>
      <c r="D8" s="22" t="s">
        <v>3926</v>
      </c>
      <c r="E8" s="22" t="s">
        <v>6597</v>
      </c>
      <c r="F8" s="22" t="s">
        <v>198</v>
      </c>
      <c r="G8" s="22" t="s">
        <v>8601</v>
      </c>
      <c r="H8" s="22" t="s">
        <v>11406</v>
      </c>
      <c r="I8" s="22" t="n">
        <v>31</v>
      </c>
      <c r="J8" s="22" t="n">
        <v>1</v>
      </c>
      <c r="K8" s="22" t="n">
        <v>31</v>
      </c>
      <c r="L8" s="25" t="n">
        <v>10.4</v>
      </c>
      <c r="M8" s="25" t="n">
        <v>322.4</v>
      </c>
      <c r="N8" s="25" t="n">
        <v>41.4</v>
      </c>
      <c r="O8" s="25" t="n">
        <v>363.8</v>
      </c>
      <c r="P8" s="22" t="s">
        <v>11407</v>
      </c>
      <c r="Q8" s="23" t="n">
        <v>46249</v>
      </c>
      <c r="R8" s="22" t="n">
        <f aca="false">I8*J8</f>
        <v>31</v>
      </c>
      <c r="S8" s="25" t="n">
        <f aca="false">K8-R8</f>
        <v>0</v>
      </c>
      <c r="T8" s="25" t="n">
        <f aca="false">K8*L8</f>
        <v>322.4</v>
      </c>
      <c r="U8" s="25" t="n">
        <f aca="false">M8-T8</f>
        <v>0</v>
      </c>
      <c r="V8" s="25" t="n">
        <f aca="false">M8+N8</f>
        <v>363.8</v>
      </c>
      <c r="W8" s="25" t="n">
        <f aca="false">O8-V8</f>
        <v>0</v>
      </c>
      <c r="X8" s="22" t="str">
        <f aca="false">IF(OR(ABS(S8)&gt;0.005,ABS(U8)&gt;0.005,ABS(W8)&gt;0.005),"Subledger arithmetic error","OK")</f>
        <v>OK</v>
      </c>
      <c r="Y8" s="22" t="str">
        <f aca="false">IF(X8="OK","","Priority 3")</f>
        <v/>
      </c>
    </row>
    <row r="9" customFormat="false" ht="15" hidden="false" customHeight="false" outlineLevel="0" collapsed="false">
      <c r="A9" s="22" t="s">
        <v>11421</v>
      </c>
      <c r="B9" s="23" t="n">
        <v>46235</v>
      </c>
      <c r="C9" s="22" t="s">
        <v>11422</v>
      </c>
      <c r="D9" s="22" t="s">
        <v>1654</v>
      </c>
      <c r="E9" s="22" t="s">
        <v>6600</v>
      </c>
      <c r="F9" s="22" t="s">
        <v>198</v>
      </c>
      <c r="G9" s="22" t="s">
        <v>8601</v>
      </c>
      <c r="H9" s="22" t="s">
        <v>11406</v>
      </c>
      <c r="I9" s="22" t="n">
        <v>32</v>
      </c>
      <c r="J9" s="22" t="n">
        <v>1</v>
      </c>
      <c r="K9" s="22" t="n">
        <v>32</v>
      </c>
      <c r="L9" s="25" t="n">
        <v>10.4</v>
      </c>
      <c r="M9" s="25" t="n">
        <v>332.8</v>
      </c>
      <c r="N9" s="25" t="n">
        <v>42.73</v>
      </c>
      <c r="O9" s="25" t="n">
        <v>375.53</v>
      </c>
      <c r="P9" s="22" t="s">
        <v>11407</v>
      </c>
      <c r="Q9" s="23" t="n">
        <v>46249</v>
      </c>
      <c r="R9" s="22" t="n">
        <f aca="false">I9*J9</f>
        <v>32</v>
      </c>
      <c r="S9" s="25" t="n">
        <f aca="false">K9-R9</f>
        <v>0</v>
      </c>
      <c r="T9" s="25" t="n">
        <f aca="false">K9*L9</f>
        <v>332.8</v>
      </c>
      <c r="U9" s="25" t="n">
        <f aca="false">M9-T9</f>
        <v>0</v>
      </c>
      <c r="V9" s="25" t="n">
        <f aca="false">M9+N9</f>
        <v>375.53</v>
      </c>
      <c r="W9" s="25" t="n">
        <f aca="false">O9-V9</f>
        <v>0</v>
      </c>
      <c r="X9" s="22" t="str">
        <f aca="false">IF(OR(ABS(S9)&gt;0.005,ABS(U9)&gt;0.005,ABS(W9)&gt;0.005),"Subledger arithmetic error","OK")</f>
        <v>OK</v>
      </c>
      <c r="Y9" s="22" t="str">
        <f aca="false">IF(X9="OK","","Priority 3")</f>
        <v/>
      </c>
    </row>
    <row r="10" customFormat="false" ht="15" hidden="false" customHeight="false" outlineLevel="0" collapsed="false">
      <c r="A10" s="22" t="s">
        <v>11423</v>
      </c>
      <c r="B10" s="23" t="n">
        <v>46235</v>
      </c>
      <c r="C10" s="22" t="s">
        <v>11424</v>
      </c>
      <c r="D10" s="22" t="s">
        <v>4256</v>
      </c>
      <c r="E10" s="22" t="s">
        <v>6603</v>
      </c>
      <c r="F10" s="22" t="s">
        <v>198</v>
      </c>
      <c r="G10" s="22" t="s">
        <v>8601</v>
      </c>
      <c r="H10" s="22" t="s">
        <v>11406</v>
      </c>
      <c r="I10" s="22" t="n">
        <v>32</v>
      </c>
      <c r="J10" s="22" t="n">
        <v>1</v>
      </c>
      <c r="K10" s="22" t="n">
        <v>32</v>
      </c>
      <c r="L10" s="25" t="n">
        <v>10.4</v>
      </c>
      <c r="M10" s="25" t="n">
        <v>332.8</v>
      </c>
      <c r="N10" s="25" t="n">
        <v>42.73</v>
      </c>
      <c r="O10" s="25" t="n">
        <v>375.53</v>
      </c>
      <c r="P10" s="22" t="s">
        <v>11407</v>
      </c>
      <c r="Q10" s="23" t="n">
        <v>46249</v>
      </c>
      <c r="R10" s="22" t="n">
        <f aca="false">I10*J10</f>
        <v>32</v>
      </c>
      <c r="S10" s="25" t="n">
        <f aca="false">K10-R10</f>
        <v>0</v>
      </c>
      <c r="T10" s="25" t="n">
        <f aca="false">K10*L10</f>
        <v>332.8</v>
      </c>
      <c r="U10" s="25" t="n">
        <f aca="false">M10-T10</f>
        <v>0</v>
      </c>
      <c r="V10" s="25" t="n">
        <f aca="false">M10+N10</f>
        <v>375.53</v>
      </c>
      <c r="W10" s="25" t="n">
        <f aca="false">O10-V10</f>
        <v>0</v>
      </c>
      <c r="X10" s="22" t="str">
        <f aca="false">IF(OR(ABS(S10)&gt;0.005,ABS(U10)&gt;0.005,ABS(W10)&gt;0.005),"Subledger arithmetic error","OK")</f>
        <v>OK</v>
      </c>
      <c r="Y10" s="22" t="str">
        <f aca="false">IF(X10="OK","","Priority 3")</f>
        <v/>
      </c>
    </row>
    <row r="11" customFormat="false" ht="15" hidden="false" customHeight="false" outlineLevel="0" collapsed="false">
      <c r="A11" s="22" t="s">
        <v>11425</v>
      </c>
      <c r="B11" s="23" t="n">
        <v>46235</v>
      </c>
      <c r="C11" s="22" t="s">
        <v>11426</v>
      </c>
      <c r="D11" s="22" t="s">
        <v>5016</v>
      </c>
      <c r="E11" s="22" t="s">
        <v>6606</v>
      </c>
      <c r="F11" s="22" t="s">
        <v>198</v>
      </c>
      <c r="G11" s="22" t="s">
        <v>8601</v>
      </c>
      <c r="H11" s="22" t="s">
        <v>11406</v>
      </c>
      <c r="I11" s="22" t="n">
        <v>28</v>
      </c>
      <c r="J11" s="22" t="n">
        <v>1</v>
      </c>
      <c r="K11" s="22" t="n">
        <v>28</v>
      </c>
      <c r="L11" s="25" t="n">
        <v>10.4</v>
      </c>
      <c r="M11" s="25" t="n">
        <v>291.2</v>
      </c>
      <c r="N11" s="25" t="n">
        <v>37.39</v>
      </c>
      <c r="O11" s="25" t="n">
        <v>328.59</v>
      </c>
      <c r="P11" s="22" t="s">
        <v>7696</v>
      </c>
      <c r="Q11" s="23" t="n">
        <v>46249</v>
      </c>
      <c r="R11" s="22" t="n">
        <f aca="false">I11*J11</f>
        <v>28</v>
      </c>
      <c r="S11" s="25" t="n">
        <f aca="false">K11-R11</f>
        <v>0</v>
      </c>
      <c r="T11" s="25" t="n">
        <f aca="false">K11*L11</f>
        <v>291.2</v>
      </c>
      <c r="U11" s="25" t="n">
        <f aca="false">M11-T11</f>
        <v>0</v>
      </c>
      <c r="V11" s="25" t="n">
        <f aca="false">M11+N11</f>
        <v>328.59</v>
      </c>
      <c r="W11" s="25" t="n">
        <f aca="false">O11-V11</f>
        <v>0</v>
      </c>
      <c r="X11" s="22" t="str">
        <f aca="false">IF(OR(ABS(S11)&gt;0.005,ABS(U11)&gt;0.005,ABS(W11)&gt;0.005),"Subledger arithmetic error","OK")</f>
        <v>OK</v>
      </c>
      <c r="Y11" s="22" t="str">
        <f aca="false">IF(X11="OK","","Priority 3")</f>
        <v/>
      </c>
    </row>
    <row r="12" customFormat="false" ht="15" hidden="false" customHeight="false" outlineLevel="0" collapsed="false">
      <c r="A12" s="22" t="s">
        <v>11427</v>
      </c>
      <c r="B12" s="23" t="n">
        <v>46235</v>
      </c>
      <c r="C12" s="22" t="s">
        <v>11428</v>
      </c>
      <c r="D12" s="22" t="s">
        <v>5981</v>
      </c>
      <c r="E12" s="22" t="s">
        <v>6609</v>
      </c>
      <c r="F12" s="22" t="s">
        <v>198</v>
      </c>
      <c r="G12" s="22" t="s">
        <v>8601</v>
      </c>
      <c r="H12" s="22" t="s">
        <v>11406</v>
      </c>
      <c r="I12" s="22" t="n">
        <v>54</v>
      </c>
      <c r="J12" s="22" t="n">
        <v>1</v>
      </c>
      <c r="K12" s="22" t="n">
        <v>54</v>
      </c>
      <c r="L12" s="25" t="n">
        <v>10.4</v>
      </c>
      <c r="M12" s="25" t="n">
        <v>561.6</v>
      </c>
      <c r="N12" s="25" t="n">
        <v>72.11</v>
      </c>
      <c r="O12" s="25" t="n">
        <v>633.71</v>
      </c>
      <c r="P12" s="22" t="s">
        <v>11407</v>
      </c>
      <c r="Q12" s="23" t="n">
        <v>46249</v>
      </c>
      <c r="R12" s="22" t="n">
        <f aca="false">I12*J12</f>
        <v>54</v>
      </c>
      <c r="S12" s="25" t="n">
        <f aca="false">K12-R12</f>
        <v>0</v>
      </c>
      <c r="T12" s="25" t="n">
        <f aca="false">K12*L12</f>
        <v>561.6</v>
      </c>
      <c r="U12" s="25" t="n">
        <f aca="false">M12-T12</f>
        <v>0</v>
      </c>
      <c r="V12" s="25" t="n">
        <f aca="false">M12+N12</f>
        <v>633.71</v>
      </c>
      <c r="W12" s="25" t="n">
        <f aca="false">O12-V12</f>
        <v>0</v>
      </c>
      <c r="X12" s="22" t="str">
        <f aca="false">IF(OR(ABS(S12)&gt;0.005,ABS(U12)&gt;0.005,ABS(W12)&gt;0.005),"Subledger arithmetic error","OK")</f>
        <v>OK</v>
      </c>
      <c r="Y12" s="22" t="str">
        <f aca="false">IF(X12="OK","","Priority 3")</f>
        <v/>
      </c>
    </row>
    <row r="13" customFormat="false" ht="15" hidden="false" customHeight="false" outlineLevel="0" collapsed="false">
      <c r="A13" s="22" t="s">
        <v>11429</v>
      </c>
      <c r="B13" s="23" t="n">
        <v>46235</v>
      </c>
      <c r="C13" s="22" t="s">
        <v>11430</v>
      </c>
      <c r="D13" s="22" t="s">
        <v>4245</v>
      </c>
      <c r="E13" s="22" t="s">
        <v>6615</v>
      </c>
      <c r="F13" s="22" t="s">
        <v>198</v>
      </c>
      <c r="G13" s="22" t="s">
        <v>8601</v>
      </c>
      <c r="H13" s="22" t="s">
        <v>11406</v>
      </c>
      <c r="I13" s="22" t="n">
        <v>36</v>
      </c>
      <c r="J13" s="22" t="n">
        <v>1</v>
      </c>
      <c r="K13" s="22" t="n">
        <v>36</v>
      </c>
      <c r="L13" s="25" t="n">
        <v>10.4</v>
      </c>
      <c r="M13" s="25" t="n">
        <v>374.4</v>
      </c>
      <c r="N13" s="25" t="n">
        <v>48.07</v>
      </c>
      <c r="O13" s="25" t="n">
        <v>422.47</v>
      </c>
      <c r="P13" s="22" t="s">
        <v>11407</v>
      </c>
      <c r="Q13" s="23" t="n">
        <v>46249</v>
      </c>
      <c r="R13" s="22" t="n">
        <f aca="false">I13*J13</f>
        <v>36</v>
      </c>
      <c r="S13" s="25" t="n">
        <f aca="false">K13-R13</f>
        <v>0</v>
      </c>
      <c r="T13" s="25" t="n">
        <f aca="false">K13*L13</f>
        <v>374.4</v>
      </c>
      <c r="U13" s="25" t="n">
        <f aca="false">M13-T13</f>
        <v>0</v>
      </c>
      <c r="V13" s="25" t="n">
        <f aca="false">M13+N13</f>
        <v>422.47</v>
      </c>
      <c r="W13" s="25" t="n">
        <f aca="false">O13-V13</f>
        <v>0</v>
      </c>
      <c r="X13" s="22" t="str">
        <f aca="false">IF(OR(ABS(S13)&gt;0.005,ABS(U13)&gt;0.005,ABS(W13)&gt;0.005),"Subledger arithmetic error","OK")</f>
        <v>OK</v>
      </c>
      <c r="Y13" s="22" t="str">
        <f aca="false">IF(X13="OK","","Priority 3")</f>
        <v/>
      </c>
    </row>
    <row r="14" customFormat="false" ht="15" hidden="false" customHeight="false" outlineLevel="0" collapsed="false">
      <c r="A14" s="22" t="s">
        <v>11431</v>
      </c>
      <c r="B14" s="23" t="n">
        <v>46235</v>
      </c>
      <c r="C14" s="22" t="s">
        <v>11432</v>
      </c>
      <c r="D14" s="22" t="s">
        <v>3161</v>
      </c>
      <c r="E14" s="22" t="s">
        <v>6618</v>
      </c>
      <c r="F14" s="22" t="s">
        <v>198</v>
      </c>
      <c r="G14" s="22" t="s">
        <v>8601</v>
      </c>
      <c r="H14" s="22" t="s">
        <v>11406</v>
      </c>
      <c r="I14" s="22" t="n">
        <v>29</v>
      </c>
      <c r="J14" s="22" t="n">
        <v>1</v>
      </c>
      <c r="K14" s="22" t="n">
        <v>29</v>
      </c>
      <c r="L14" s="25" t="n">
        <v>10.4</v>
      </c>
      <c r="M14" s="25" t="n">
        <v>301.6</v>
      </c>
      <c r="N14" s="25" t="n">
        <v>38.73</v>
      </c>
      <c r="O14" s="25" t="n">
        <v>340.33</v>
      </c>
      <c r="P14" s="22" t="s">
        <v>11407</v>
      </c>
      <c r="Q14" s="23" t="n">
        <v>46249</v>
      </c>
      <c r="R14" s="22" t="n">
        <f aca="false">I14*J14</f>
        <v>29</v>
      </c>
      <c r="S14" s="25" t="n">
        <f aca="false">K14-R14</f>
        <v>0</v>
      </c>
      <c r="T14" s="25" t="n">
        <f aca="false">K14*L14</f>
        <v>301.6</v>
      </c>
      <c r="U14" s="25" t="n">
        <f aca="false">M14-T14</f>
        <v>0</v>
      </c>
      <c r="V14" s="25" t="n">
        <f aca="false">M14+N14</f>
        <v>340.33</v>
      </c>
      <c r="W14" s="25" t="n">
        <f aca="false">O14-V14</f>
        <v>0</v>
      </c>
      <c r="X14" s="22" t="str">
        <f aca="false">IF(OR(ABS(S14)&gt;0.005,ABS(U14)&gt;0.005,ABS(W14)&gt;0.005),"Subledger arithmetic error","OK")</f>
        <v>OK</v>
      </c>
      <c r="Y14" s="22" t="str">
        <f aca="false">IF(X14="OK","","Priority 3")</f>
        <v/>
      </c>
    </row>
    <row r="15" customFormat="false" ht="15" hidden="false" customHeight="false" outlineLevel="0" collapsed="false">
      <c r="A15" s="22" t="s">
        <v>11433</v>
      </c>
      <c r="B15" s="23" t="n">
        <v>46235</v>
      </c>
      <c r="C15" s="22" t="s">
        <v>11434</v>
      </c>
      <c r="D15" s="22" t="s">
        <v>4614</v>
      </c>
      <c r="E15" s="22" t="s">
        <v>6621</v>
      </c>
      <c r="F15" s="22" t="s">
        <v>198</v>
      </c>
      <c r="G15" s="22" t="s">
        <v>8601</v>
      </c>
      <c r="H15" s="22" t="s">
        <v>11406</v>
      </c>
      <c r="I15" s="22" t="n">
        <v>28</v>
      </c>
      <c r="J15" s="22" t="n">
        <v>1</v>
      </c>
      <c r="K15" s="22" t="n">
        <v>28</v>
      </c>
      <c r="L15" s="25" t="n">
        <v>10.4</v>
      </c>
      <c r="M15" s="25" t="n">
        <v>291.2</v>
      </c>
      <c r="N15" s="25" t="n">
        <v>37.39</v>
      </c>
      <c r="O15" s="25" t="n">
        <v>328.59</v>
      </c>
      <c r="P15" s="22" t="s">
        <v>11407</v>
      </c>
      <c r="Q15" s="23" t="n">
        <v>46249</v>
      </c>
      <c r="R15" s="22" t="n">
        <f aca="false">I15*J15</f>
        <v>28</v>
      </c>
      <c r="S15" s="25" t="n">
        <f aca="false">K15-R15</f>
        <v>0</v>
      </c>
      <c r="T15" s="25" t="n">
        <f aca="false">K15*L15</f>
        <v>291.2</v>
      </c>
      <c r="U15" s="25" t="n">
        <f aca="false">M15-T15</f>
        <v>0</v>
      </c>
      <c r="V15" s="25" t="n">
        <f aca="false">M15+N15</f>
        <v>328.59</v>
      </c>
      <c r="W15" s="25" t="n">
        <f aca="false">O15-V15</f>
        <v>0</v>
      </c>
      <c r="X15" s="22" t="str">
        <f aca="false">IF(OR(ABS(S15)&gt;0.005,ABS(U15)&gt;0.005,ABS(W15)&gt;0.005),"Subledger arithmetic error","OK")</f>
        <v>OK</v>
      </c>
      <c r="Y15" s="22" t="str">
        <f aca="false">IF(X15="OK","","Priority 3")</f>
        <v/>
      </c>
    </row>
    <row r="16" customFormat="false" ht="15" hidden="false" customHeight="false" outlineLevel="0" collapsed="false">
      <c r="A16" s="22" t="s">
        <v>11435</v>
      </c>
      <c r="B16" s="23" t="n">
        <v>46235</v>
      </c>
      <c r="C16" s="22" t="s">
        <v>11436</v>
      </c>
      <c r="D16" s="22" t="s">
        <v>2708</v>
      </c>
      <c r="E16" s="22" t="s">
        <v>6624</v>
      </c>
      <c r="F16" s="22" t="s">
        <v>198</v>
      </c>
      <c r="G16" s="22" t="s">
        <v>8601</v>
      </c>
      <c r="H16" s="22" t="s">
        <v>11406</v>
      </c>
      <c r="I16" s="22" t="n">
        <v>28</v>
      </c>
      <c r="J16" s="22" t="n">
        <v>1</v>
      </c>
      <c r="K16" s="22" t="n">
        <v>28</v>
      </c>
      <c r="L16" s="25" t="n">
        <v>10.4</v>
      </c>
      <c r="M16" s="25" t="n">
        <v>291.2</v>
      </c>
      <c r="N16" s="25" t="n">
        <v>37.39</v>
      </c>
      <c r="O16" s="25" t="n">
        <v>328.59</v>
      </c>
      <c r="P16" s="22" t="s">
        <v>11407</v>
      </c>
      <c r="Q16" s="23" t="n">
        <v>46249</v>
      </c>
      <c r="R16" s="22" t="n">
        <f aca="false">I16*J16</f>
        <v>28</v>
      </c>
      <c r="S16" s="25" t="n">
        <f aca="false">K16-R16</f>
        <v>0</v>
      </c>
      <c r="T16" s="25" t="n">
        <f aca="false">K16*L16</f>
        <v>291.2</v>
      </c>
      <c r="U16" s="25" t="n">
        <f aca="false">M16-T16</f>
        <v>0</v>
      </c>
      <c r="V16" s="25" t="n">
        <f aca="false">M16+N16</f>
        <v>328.59</v>
      </c>
      <c r="W16" s="25" t="n">
        <f aca="false">O16-V16</f>
        <v>0</v>
      </c>
      <c r="X16" s="22" t="str">
        <f aca="false">IF(OR(ABS(S16)&gt;0.005,ABS(U16)&gt;0.005,ABS(W16)&gt;0.005),"Subledger arithmetic error","OK")</f>
        <v>OK</v>
      </c>
      <c r="Y16" s="22" t="str">
        <f aca="false">IF(X16="OK","","Priority 3")</f>
        <v/>
      </c>
    </row>
    <row r="17" customFormat="false" ht="15" hidden="false" customHeight="false" outlineLevel="0" collapsed="false">
      <c r="A17" s="22" t="s">
        <v>11437</v>
      </c>
      <c r="B17" s="23" t="n">
        <v>46235</v>
      </c>
      <c r="C17" s="22" t="s">
        <v>11438</v>
      </c>
      <c r="D17" s="22" t="s">
        <v>1159</v>
      </c>
      <c r="E17" s="22" t="s">
        <v>6627</v>
      </c>
      <c r="F17" s="22" t="s">
        <v>198</v>
      </c>
      <c r="G17" s="22" t="s">
        <v>8601</v>
      </c>
      <c r="H17" s="22" t="s">
        <v>11406</v>
      </c>
      <c r="I17" s="22" t="n">
        <v>32</v>
      </c>
      <c r="J17" s="22" t="n">
        <v>1</v>
      </c>
      <c r="K17" s="22" t="n">
        <v>32</v>
      </c>
      <c r="L17" s="25" t="n">
        <v>10.4</v>
      </c>
      <c r="M17" s="25" t="n">
        <v>332.8</v>
      </c>
      <c r="N17" s="25" t="n">
        <v>42.73</v>
      </c>
      <c r="O17" s="25" t="n">
        <v>375.53</v>
      </c>
      <c r="P17" s="22" t="s">
        <v>11407</v>
      </c>
      <c r="Q17" s="23" t="n">
        <v>46249</v>
      </c>
      <c r="R17" s="22" t="n">
        <f aca="false">I17*J17</f>
        <v>32</v>
      </c>
      <c r="S17" s="25" t="n">
        <f aca="false">K17-R17</f>
        <v>0</v>
      </c>
      <c r="T17" s="25" t="n">
        <f aca="false">K17*L17</f>
        <v>332.8</v>
      </c>
      <c r="U17" s="25" t="n">
        <f aca="false">M17-T17</f>
        <v>0</v>
      </c>
      <c r="V17" s="25" t="n">
        <f aca="false">M17+N17</f>
        <v>375.53</v>
      </c>
      <c r="W17" s="25" t="n">
        <f aca="false">O17-V17</f>
        <v>0</v>
      </c>
      <c r="X17" s="22" t="str">
        <f aca="false">IF(OR(ABS(S17)&gt;0.005,ABS(U17)&gt;0.005,ABS(W17)&gt;0.005),"Subledger arithmetic error","OK")</f>
        <v>OK</v>
      </c>
      <c r="Y17" s="22" t="str">
        <f aca="false">IF(X17="OK","","Priority 3")</f>
        <v/>
      </c>
    </row>
    <row r="18" customFormat="false" ht="15" hidden="false" customHeight="false" outlineLevel="0" collapsed="false">
      <c r="A18" s="22" t="s">
        <v>11439</v>
      </c>
      <c r="B18" s="23" t="n">
        <v>46235</v>
      </c>
      <c r="C18" s="22" t="s">
        <v>11440</v>
      </c>
      <c r="D18" s="22" t="s">
        <v>6005</v>
      </c>
      <c r="E18" s="22" t="s">
        <v>6630</v>
      </c>
      <c r="F18" s="22" t="s">
        <v>198</v>
      </c>
      <c r="G18" s="22" t="s">
        <v>8601</v>
      </c>
      <c r="H18" s="22" t="s">
        <v>11406</v>
      </c>
      <c r="I18" s="22" t="n">
        <v>24</v>
      </c>
      <c r="J18" s="22" t="n">
        <v>1</v>
      </c>
      <c r="K18" s="22" t="n">
        <v>24</v>
      </c>
      <c r="L18" s="25" t="n">
        <v>10.4</v>
      </c>
      <c r="M18" s="25" t="n">
        <v>249.6</v>
      </c>
      <c r="N18" s="25" t="n">
        <v>32.05</v>
      </c>
      <c r="O18" s="25" t="n">
        <v>281.65</v>
      </c>
      <c r="P18" s="22" t="s">
        <v>11407</v>
      </c>
      <c r="Q18" s="23" t="n">
        <v>46249</v>
      </c>
      <c r="R18" s="22" t="n">
        <f aca="false">I18*J18</f>
        <v>24</v>
      </c>
      <c r="S18" s="25" t="n">
        <f aca="false">K18-R18</f>
        <v>0</v>
      </c>
      <c r="T18" s="25" t="n">
        <f aca="false">K18*L18</f>
        <v>249.6</v>
      </c>
      <c r="U18" s="25" t="n">
        <f aca="false">M18-T18</f>
        <v>0</v>
      </c>
      <c r="V18" s="25" t="n">
        <f aca="false">M18+N18</f>
        <v>281.65</v>
      </c>
      <c r="W18" s="25" t="n">
        <f aca="false">O18-V18</f>
        <v>0</v>
      </c>
      <c r="X18" s="22" t="str">
        <f aca="false">IF(OR(ABS(S18)&gt;0.005,ABS(U18)&gt;0.005,ABS(W18)&gt;0.005),"Subledger arithmetic error","OK")</f>
        <v>OK</v>
      </c>
      <c r="Y18" s="22" t="str">
        <f aca="false">IF(X18="OK","","Priority 3")</f>
        <v/>
      </c>
    </row>
    <row r="19" customFormat="false" ht="15" hidden="false" customHeight="false" outlineLevel="0" collapsed="false">
      <c r="A19" s="22" t="s">
        <v>11441</v>
      </c>
      <c r="B19" s="23" t="n">
        <v>46235</v>
      </c>
      <c r="C19" s="22" t="s">
        <v>11442</v>
      </c>
      <c r="D19" s="22" t="s">
        <v>2373</v>
      </c>
      <c r="E19" s="22" t="s">
        <v>6633</v>
      </c>
      <c r="F19" s="22" t="s">
        <v>198</v>
      </c>
      <c r="G19" s="22" t="s">
        <v>8601</v>
      </c>
      <c r="H19" s="22" t="s">
        <v>11406</v>
      </c>
      <c r="I19" s="22" t="n">
        <v>44</v>
      </c>
      <c r="J19" s="22" t="n">
        <v>1</v>
      </c>
      <c r="K19" s="22" t="n">
        <v>44</v>
      </c>
      <c r="L19" s="25" t="n">
        <v>10.4</v>
      </c>
      <c r="M19" s="25" t="n">
        <v>457.6</v>
      </c>
      <c r="N19" s="25" t="n">
        <v>58.76</v>
      </c>
      <c r="O19" s="25" t="n">
        <v>516.36</v>
      </c>
      <c r="P19" s="22" t="s">
        <v>11410</v>
      </c>
      <c r="Q19" s="23" t="n">
        <v>46249</v>
      </c>
      <c r="R19" s="22" t="n">
        <f aca="false">I19*J19</f>
        <v>44</v>
      </c>
      <c r="S19" s="25" t="n">
        <f aca="false">K19-R19</f>
        <v>0</v>
      </c>
      <c r="T19" s="25" t="n">
        <f aca="false">K19*L19</f>
        <v>457.6</v>
      </c>
      <c r="U19" s="25" t="n">
        <f aca="false">M19-T19</f>
        <v>0</v>
      </c>
      <c r="V19" s="25" t="n">
        <f aca="false">M19+N19</f>
        <v>516.36</v>
      </c>
      <c r="W19" s="25" t="n">
        <f aca="false">O19-V19</f>
        <v>0</v>
      </c>
      <c r="X19" s="22" t="str">
        <f aca="false">IF(OR(ABS(S19)&gt;0.005,ABS(U19)&gt;0.005,ABS(W19)&gt;0.005),"Subledger arithmetic error","OK")</f>
        <v>OK</v>
      </c>
      <c r="Y19" s="22" t="str">
        <f aca="false">IF(X19="OK","","Priority 3")</f>
        <v/>
      </c>
    </row>
    <row r="20" customFormat="false" ht="15" hidden="false" customHeight="false" outlineLevel="0" collapsed="false">
      <c r="A20" s="22" t="s">
        <v>11443</v>
      </c>
      <c r="B20" s="23" t="n">
        <v>46235</v>
      </c>
      <c r="C20" s="22" t="s">
        <v>11444</v>
      </c>
      <c r="D20" s="22" t="s">
        <v>4991</v>
      </c>
      <c r="E20" s="22" t="s">
        <v>6636</v>
      </c>
      <c r="F20" s="22" t="s">
        <v>198</v>
      </c>
      <c r="G20" s="22" t="s">
        <v>8601</v>
      </c>
      <c r="H20" s="22" t="s">
        <v>11406</v>
      </c>
      <c r="I20" s="22" t="n">
        <v>32</v>
      </c>
      <c r="J20" s="22" t="n">
        <v>1</v>
      </c>
      <c r="K20" s="22" t="n">
        <v>32</v>
      </c>
      <c r="L20" s="25" t="n">
        <v>10.4</v>
      </c>
      <c r="M20" s="25" t="n">
        <v>332.8</v>
      </c>
      <c r="N20" s="25" t="n">
        <v>42.73</v>
      </c>
      <c r="O20" s="25" t="n">
        <v>375.53</v>
      </c>
      <c r="P20" s="22" t="s">
        <v>11407</v>
      </c>
      <c r="Q20" s="23" t="n">
        <v>46249</v>
      </c>
      <c r="R20" s="22" t="n">
        <f aca="false">I20*J20</f>
        <v>32</v>
      </c>
      <c r="S20" s="25" t="n">
        <f aca="false">K20-R20</f>
        <v>0</v>
      </c>
      <c r="T20" s="25" t="n">
        <f aca="false">K20*L20</f>
        <v>332.8</v>
      </c>
      <c r="U20" s="25" t="n">
        <f aca="false">M20-T20</f>
        <v>0</v>
      </c>
      <c r="V20" s="25" t="n">
        <f aca="false">M20+N20</f>
        <v>375.53</v>
      </c>
      <c r="W20" s="25" t="n">
        <f aca="false">O20-V20</f>
        <v>0</v>
      </c>
      <c r="X20" s="22" t="str">
        <f aca="false">IF(OR(ABS(S20)&gt;0.005,ABS(U20)&gt;0.005,ABS(W20)&gt;0.005),"Subledger arithmetic error","OK")</f>
        <v>OK</v>
      </c>
      <c r="Y20" s="22" t="str">
        <f aca="false">IF(X20="OK","","Priority 3")</f>
        <v/>
      </c>
    </row>
    <row r="21" customFormat="false" ht="15" hidden="false" customHeight="false" outlineLevel="0" collapsed="false">
      <c r="A21" s="22" t="s">
        <v>11445</v>
      </c>
      <c r="B21" s="23" t="n">
        <v>46235</v>
      </c>
      <c r="C21" s="22" t="s">
        <v>11446</v>
      </c>
      <c r="D21" s="22" t="s">
        <v>5693</v>
      </c>
      <c r="E21" s="22" t="s">
        <v>6639</v>
      </c>
      <c r="F21" s="22" t="s">
        <v>198</v>
      </c>
      <c r="G21" s="22" t="s">
        <v>8601</v>
      </c>
      <c r="H21" s="22" t="s">
        <v>11406</v>
      </c>
      <c r="I21" s="22" t="n">
        <v>52</v>
      </c>
      <c r="J21" s="22" t="n">
        <v>1</v>
      </c>
      <c r="K21" s="22" t="n">
        <v>52</v>
      </c>
      <c r="L21" s="25" t="n">
        <v>10.4</v>
      </c>
      <c r="M21" s="25" t="n">
        <v>540.8</v>
      </c>
      <c r="N21" s="25" t="n">
        <v>69.44</v>
      </c>
      <c r="O21" s="25" t="n">
        <v>610.24</v>
      </c>
      <c r="P21" s="22" t="s">
        <v>11410</v>
      </c>
      <c r="Q21" s="23" t="n">
        <v>46249</v>
      </c>
      <c r="R21" s="22" t="n">
        <f aca="false">I21*J21</f>
        <v>52</v>
      </c>
      <c r="S21" s="25" t="n">
        <f aca="false">K21-R21</f>
        <v>0</v>
      </c>
      <c r="T21" s="25" t="n">
        <f aca="false">K21*L21</f>
        <v>540.8</v>
      </c>
      <c r="U21" s="25" t="n">
        <f aca="false">M21-T21</f>
        <v>0</v>
      </c>
      <c r="V21" s="25" t="n">
        <f aca="false">M21+N21</f>
        <v>610.24</v>
      </c>
      <c r="W21" s="25" t="n">
        <f aca="false">O21-V21</f>
        <v>0</v>
      </c>
      <c r="X21" s="22" t="str">
        <f aca="false">IF(OR(ABS(S21)&gt;0.005,ABS(U21)&gt;0.005,ABS(W21)&gt;0.005),"Subledger arithmetic error","OK")</f>
        <v>OK</v>
      </c>
      <c r="Y21" s="22" t="str">
        <f aca="false">IF(X21="OK","","Priority 3")</f>
        <v/>
      </c>
    </row>
    <row r="22" customFormat="false" ht="15" hidden="false" customHeight="false" outlineLevel="0" collapsed="false">
      <c r="A22" s="22" t="s">
        <v>11447</v>
      </c>
      <c r="B22" s="23" t="n">
        <v>46235</v>
      </c>
      <c r="C22" s="22" t="s">
        <v>11448</v>
      </c>
      <c r="D22" s="22" t="s">
        <v>2581</v>
      </c>
      <c r="E22" s="22" t="s">
        <v>6642</v>
      </c>
      <c r="F22" s="22" t="s">
        <v>198</v>
      </c>
      <c r="G22" s="22" t="s">
        <v>8601</v>
      </c>
      <c r="H22" s="22" t="s">
        <v>11406</v>
      </c>
      <c r="I22" s="22" t="n">
        <v>49</v>
      </c>
      <c r="J22" s="22" t="n">
        <v>1</v>
      </c>
      <c r="K22" s="22" t="n">
        <v>49</v>
      </c>
      <c r="L22" s="25" t="n">
        <v>10.4</v>
      </c>
      <c r="M22" s="25" t="n">
        <v>509.6</v>
      </c>
      <c r="N22" s="25" t="n">
        <v>65.43</v>
      </c>
      <c r="O22" s="25" t="n">
        <v>575.03</v>
      </c>
      <c r="P22" s="22" t="s">
        <v>11407</v>
      </c>
      <c r="Q22" s="23" t="n">
        <v>46249</v>
      </c>
      <c r="R22" s="22" t="n">
        <f aca="false">I22*J22</f>
        <v>49</v>
      </c>
      <c r="S22" s="25" t="n">
        <f aca="false">K22-R22</f>
        <v>0</v>
      </c>
      <c r="T22" s="25" t="n">
        <f aca="false">K22*L22</f>
        <v>509.6</v>
      </c>
      <c r="U22" s="25" t="n">
        <f aca="false">M22-T22</f>
        <v>0</v>
      </c>
      <c r="V22" s="25" t="n">
        <f aca="false">M22+N22</f>
        <v>575.03</v>
      </c>
      <c r="W22" s="25" t="n">
        <f aca="false">O22-V22</f>
        <v>0</v>
      </c>
      <c r="X22" s="22" t="str">
        <f aca="false">IF(OR(ABS(S22)&gt;0.005,ABS(U22)&gt;0.005,ABS(W22)&gt;0.005),"Subledger arithmetic error","OK")</f>
        <v>OK</v>
      </c>
      <c r="Y22" s="22" t="str">
        <f aca="false">IF(X22="OK","","Priority 3")</f>
        <v/>
      </c>
    </row>
    <row r="23" customFormat="false" ht="15" hidden="false" customHeight="false" outlineLevel="0" collapsed="false">
      <c r="A23" s="22" t="s">
        <v>11449</v>
      </c>
      <c r="B23" s="23" t="n">
        <v>46235</v>
      </c>
      <c r="C23" s="22" t="s">
        <v>11450</v>
      </c>
      <c r="D23" s="22" t="s">
        <v>5697</v>
      </c>
      <c r="E23" s="22" t="s">
        <v>6645</v>
      </c>
      <c r="F23" s="22" t="s">
        <v>198</v>
      </c>
      <c r="G23" s="22" t="s">
        <v>8601</v>
      </c>
      <c r="H23" s="22" t="s">
        <v>11406</v>
      </c>
      <c r="I23" s="22" t="n">
        <v>32</v>
      </c>
      <c r="J23" s="22" t="n">
        <v>1</v>
      </c>
      <c r="K23" s="22" t="n">
        <v>32</v>
      </c>
      <c r="L23" s="25" t="n">
        <v>10.4</v>
      </c>
      <c r="M23" s="25" t="n">
        <v>332.8</v>
      </c>
      <c r="N23" s="25" t="n">
        <v>42.73</v>
      </c>
      <c r="O23" s="25" t="n">
        <v>375.53</v>
      </c>
      <c r="P23" s="22" t="s">
        <v>11407</v>
      </c>
      <c r="Q23" s="23" t="n">
        <v>46249</v>
      </c>
      <c r="R23" s="22" t="n">
        <f aca="false">I23*J23</f>
        <v>32</v>
      </c>
      <c r="S23" s="25" t="n">
        <f aca="false">K23-R23</f>
        <v>0</v>
      </c>
      <c r="T23" s="25" t="n">
        <f aca="false">K23*L23</f>
        <v>332.8</v>
      </c>
      <c r="U23" s="25" t="n">
        <f aca="false">M23-T23</f>
        <v>0</v>
      </c>
      <c r="V23" s="25" t="n">
        <f aca="false">M23+N23</f>
        <v>375.53</v>
      </c>
      <c r="W23" s="25" t="n">
        <f aca="false">O23-V23</f>
        <v>0</v>
      </c>
      <c r="X23" s="22" t="str">
        <f aca="false">IF(OR(ABS(S23)&gt;0.005,ABS(U23)&gt;0.005,ABS(W23)&gt;0.005),"Subledger arithmetic error","OK")</f>
        <v>OK</v>
      </c>
      <c r="Y23" s="22" t="str">
        <f aca="false">IF(X23="OK","","Priority 3")</f>
        <v/>
      </c>
    </row>
    <row r="24" customFormat="false" ht="15" hidden="false" customHeight="false" outlineLevel="0" collapsed="false">
      <c r="A24" s="22" t="s">
        <v>11451</v>
      </c>
      <c r="B24" s="23" t="n">
        <v>46235</v>
      </c>
      <c r="C24" s="22" t="s">
        <v>11452</v>
      </c>
      <c r="D24" s="22" t="s">
        <v>2817</v>
      </c>
      <c r="E24" s="22" t="s">
        <v>6648</v>
      </c>
      <c r="F24" s="22" t="s">
        <v>198</v>
      </c>
      <c r="G24" s="22" t="s">
        <v>8601</v>
      </c>
      <c r="H24" s="22" t="s">
        <v>11406</v>
      </c>
      <c r="I24" s="22" t="n">
        <v>39</v>
      </c>
      <c r="J24" s="22" t="n">
        <v>1</v>
      </c>
      <c r="K24" s="22" t="n">
        <v>39</v>
      </c>
      <c r="L24" s="25" t="n">
        <v>10.4</v>
      </c>
      <c r="M24" s="25" t="n">
        <v>405.6</v>
      </c>
      <c r="N24" s="25" t="n">
        <v>52.08</v>
      </c>
      <c r="O24" s="25" t="n">
        <v>457.68</v>
      </c>
      <c r="P24" s="22" t="s">
        <v>11407</v>
      </c>
      <c r="Q24" s="23" t="n">
        <v>46249</v>
      </c>
      <c r="R24" s="22" t="n">
        <f aca="false">I24*J24</f>
        <v>39</v>
      </c>
      <c r="S24" s="25" t="n">
        <f aca="false">K24-R24</f>
        <v>0</v>
      </c>
      <c r="T24" s="25" t="n">
        <f aca="false">K24*L24</f>
        <v>405.6</v>
      </c>
      <c r="U24" s="25" t="n">
        <f aca="false">M24-T24</f>
        <v>0</v>
      </c>
      <c r="V24" s="25" t="n">
        <f aca="false">M24+N24</f>
        <v>457.68</v>
      </c>
      <c r="W24" s="25" t="n">
        <f aca="false">O24-V24</f>
        <v>0</v>
      </c>
      <c r="X24" s="22" t="str">
        <f aca="false">IF(OR(ABS(S24)&gt;0.005,ABS(U24)&gt;0.005,ABS(W24)&gt;0.005),"Subledger arithmetic error","OK")</f>
        <v>OK</v>
      </c>
      <c r="Y24" s="22" t="str">
        <f aca="false">IF(X24="OK","","Priority 3")</f>
        <v/>
      </c>
    </row>
    <row r="25" customFormat="false" ht="15" hidden="false" customHeight="false" outlineLevel="0" collapsed="false">
      <c r="A25" s="22" t="s">
        <v>11453</v>
      </c>
      <c r="B25" s="23" t="n">
        <v>46235</v>
      </c>
      <c r="C25" s="22" t="s">
        <v>11454</v>
      </c>
      <c r="D25" s="22" t="s">
        <v>6054</v>
      </c>
      <c r="E25" s="22" t="s">
        <v>6651</v>
      </c>
      <c r="F25" s="22" t="s">
        <v>198</v>
      </c>
      <c r="G25" s="22" t="s">
        <v>8601</v>
      </c>
      <c r="H25" s="22" t="s">
        <v>11406</v>
      </c>
      <c r="I25" s="22" t="n">
        <v>52</v>
      </c>
      <c r="J25" s="22" t="n">
        <v>1</v>
      </c>
      <c r="K25" s="22" t="n">
        <v>52</v>
      </c>
      <c r="L25" s="25" t="n">
        <v>10.4</v>
      </c>
      <c r="M25" s="25" t="n">
        <v>540.8</v>
      </c>
      <c r="N25" s="25" t="n">
        <v>69.44</v>
      </c>
      <c r="O25" s="25" t="n">
        <v>610.24</v>
      </c>
      <c r="P25" s="22" t="s">
        <v>11407</v>
      </c>
      <c r="Q25" s="23" t="n">
        <v>46249</v>
      </c>
      <c r="R25" s="22" t="n">
        <f aca="false">I25*J25</f>
        <v>52</v>
      </c>
      <c r="S25" s="25" t="n">
        <f aca="false">K25-R25</f>
        <v>0</v>
      </c>
      <c r="T25" s="25" t="n">
        <f aca="false">K25*L25</f>
        <v>540.8</v>
      </c>
      <c r="U25" s="25" t="n">
        <f aca="false">M25-T25</f>
        <v>0</v>
      </c>
      <c r="V25" s="25" t="n">
        <f aca="false">M25+N25</f>
        <v>610.24</v>
      </c>
      <c r="W25" s="25" t="n">
        <f aca="false">O25-V25</f>
        <v>0</v>
      </c>
      <c r="X25" s="22" t="str">
        <f aca="false">IF(OR(ABS(S25)&gt;0.005,ABS(U25)&gt;0.005,ABS(W25)&gt;0.005),"Subledger arithmetic error","OK")</f>
        <v>OK</v>
      </c>
      <c r="Y25" s="22" t="str">
        <f aca="false">IF(X25="OK","","Priority 3")</f>
        <v/>
      </c>
    </row>
    <row r="26" customFormat="false" ht="15" hidden="false" customHeight="false" outlineLevel="0" collapsed="false">
      <c r="A26" s="22" t="s">
        <v>11455</v>
      </c>
      <c r="B26" s="23" t="n">
        <v>46235</v>
      </c>
      <c r="C26" s="22" t="s">
        <v>11456</v>
      </c>
      <c r="D26" s="22" t="s">
        <v>4658</v>
      </c>
      <c r="E26" s="22" t="s">
        <v>6655</v>
      </c>
      <c r="F26" s="22" t="s">
        <v>198</v>
      </c>
      <c r="G26" s="22" t="s">
        <v>8601</v>
      </c>
      <c r="H26" s="22" t="s">
        <v>11406</v>
      </c>
      <c r="I26" s="22" t="n">
        <v>38</v>
      </c>
      <c r="J26" s="22" t="n">
        <v>1</v>
      </c>
      <c r="K26" s="22" t="n">
        <v>38</v>
      </c>
      <c r="L26" s="25" t="n">
        <v>10.4</v>
      </c>
      <c r="M26" s="25" t="n">
        <v>395.2</v>
      </c>
      <c r="N26" s="25" t="n">
        <v>50.74</v>
      </c>
      <c r="O26" s="25" t="n">
        <v>445.94</v>
      </c>
      <c r="P26" s="22" t="s">
        <v>11407</v>
      </c>
      <c r="Q26" s="23" t="n">
        <v>46249</v>
      </c>
      <c r="R26" s="22" t="n">
        <f aca="false">I26*J26</f>
        <v>38</v>
      </c>
      <c r="S26" s="25" t="n">
        <f aca="false">K26-R26</f>
        <v>0</v>
      </c>
      <c r="T26" s="25" t="n">
        <f aca="false">K26*L26</f>
        <v>395.2</v>
      </c>
      <c r="U26" s="25" t="n">
        <f aca="false">M26-T26</f>
        <v>0</v>
      </c>
      <c r="V26" s="25" t="n">
        <f aca="false">M26+N26</f>
        <v>445.94</v>
      </c>
      <c r="W26" s="25" t="n">
        <f aca="false">O26-V26</f>
        <v>0</v>
      </c>
      <c r="X26" s="22" t="str">
        <f aca="false">IF(OR(ABS(S26)&gt;0.005,ABS(U26)&gt;0.005,ABS(W26)&gt;0.005),"Subledger arithmetic error","OK")</f>
        <v>OK</v>
      </c>
      <c r="Y26" s="22" t="str">
        <f aca="false">IF(X26="OK","","Priority 3")</f>
        <v/>
      </c>
    </row>
    <row r="27" customFormat="false" ht="15" hidden="false" customHeight="false" outlineLevel="0" collapsed="false">
      <c r="A27" s="22" t="s">
        <v>11457</v>
      </c>
      <c r="B27" s="23" t="n">
        <v>46235</v>
      </c>
      <c r="C27" s="22" t="s">
        <v>11458</v>
      </c>
      <c r="D27" s="22" t="s">
        <v>2244</v>
      </c>
      <c r="E27" s="22" t="s">
        <v>6658</v>
      </c>
      <c r="F27" s="22" t="s">
        <v>198</v>
      </c>
      <c r="G27" s="22" t="s">
        <v>8601</v>
      </c>
      <c r="H27" s="22" t="s">
        <v>11406</v>
      </c>
      <c r="I27" s="22" t="n">
        <v>29</v>
      </c>
      <c r="J27" s="22" t="n">
        <v>1</v>
      </c>
      <c r="K27" s="22" t="n">
        <v>29</v>
      </c>
      <c r="L27" s="25" t="n">
        <v>10.4</v>
      </c>
      <c r="M27" s="25" t="n">
        <v>301.6</v>
      </c>
      <c r="N27" s="25" t="n">
        <v>38.73</v>
      </c>
      <c r="O27" s="25" t="n">
        <v>340.33</v>
      </c>
      <c r="P27" s="22" t="s">
        <v>11407</v>
      </c>
      <c r="Q27" s="23" t="n">
        <v>46249</v>
      </c>
      <c r="R27" s="22" t="n">
        <f aca="false">I27*J27</f>
        <v>29</v>
      </c>
      <c r="S27" s="25" t="n">
        <f aca="false">K27-R27</f>
        <v>0</v>
      </c>
      <c r="T27" s="25" t="n">
        <f aca="false">K27*L27</f>
        <v>301.6</v>
      </c>
      <c r="U27" s="25" t="n">
        <f aca="false">M27-T27</f>
        <v>0</v>
      </c>
      <c r="V27" s="25" t="n">
        <f aca="false">M27+N27</f>
        <v>340.33</v>
      </c>
      <c r="W27" s="25" t="n">
        <f aca="false">O27-V27</f>
        <v>0</v>
      </c>
      <c r="X27" s="22" t="str">
        <f aca="false">IF(OR(ABS(S27)&gt;0.005,ABS(U27)&gt;0.005,ABS(W27)&gt;0.005),"Subledger arithmetic error","OK")</f>
        <v>OK</v>
      </c>
      <c r="Y27" s="22" t="str">
        <f aca="false">IF(X27="OK","","Priority 3")</f>
        <v/>
      </c>
    </row>
    <row r="28" customFormat="false" ht="15" hidden="false" customHeight="false" outlineLevel="0" collapsed="false">
      <c r="A28" s="22" t="s">
        <v>11459</v>
      </c>
      <c r="B28" s="23" t="n">
        <v>46235</v>
      </c>
      <c r="C28" s="22" t="s">
        <v>11460</v>
      </c>
      <c r="D28" s="22" t="s">
        <v>1703</v>
      </c>
      <c r="E28" s="22" t="s">
        <v>6661</v>
      </c>
      <c r="F28" s="22" t="s">
        <v>198</v>
      </c>
      <c r="G28" s="22" t="s">
        <v>8601</v>
      </c>
      <c r="H28" s="22" t="s">
        <v>11406</v>
      </c>
      <c r="I28" s="22" t="n">
        <v>36</v>
      </c>
      <c r="J28" s="22" t="n">
        <v>1</v>
      </c>
      <c r="K28" s="22" t="n">
        <v>36</v>
      </c>
      <c r="L28" s="25" t="n">
        <v>10.4</v>
      </c>
      <c r="M28" s="25" t="n">
        <v>374.4</v>
      </c>
      <c r="N28" s="25" t="n">
        <v>48.07</v>
      </c>
      <c r="O28" s="25" t="n">
        <v>422.47</v>
      </c>
      <c r="P28" s="22" t="s">
        <v>11407</v>
      </c>
      <c r="Q28" s="23" t="n">
        <v>46249</v>
      </c>
      <c r="R28" s="22" t="n">
        <f aca="false">I28*J28</f>
        <v>36</v>
      </c>
      <c r="S28" s="25" t="n">
        <f aca="false">K28-R28</f>
        <v>0</v>
      </c>
      <c r="T28" s="25" t="n">
        <f aca="false">K28*L28</f>
        <v>374.4</v>
      </c>
      <c r="U28" s="25" t="n">
        <f aca="false">M28-T28</f>
        <v>0</v>
      </c>
      <c r="V28" s="25" t="n">
        <f aca="false">M28+N28</f>
        <v>422.47</v>
      </c>
      <c r="W28" s="25" t="n">
        <f aca="false">O28-V28</f>
        <v>0</v>
      </c>
      <c r="X28" s="22" t="str">
        <f aca="false">IF(OR(ABS(S28)&gt;0.005,ABS(U28)&gt;0.005,ABS(W28)&gt;0.005),"Subledger arithmetic error","OK")</f>
        <v>OK</v>
      </c>
      <c r="Y28" s="22" t="str">
        <f aca="false">IF(X28="OK","","Priority 3")</f>
        <v/>
      </c>
    </row>
    <row r="29" customFormat="false" ht="15" hidden="false" customHeight="false" outlineLevel="0" collapsed="false">
      <c r="A29" s="22" t="s">
        <v>11461</v>
      </c>
      <c r="B29" s="23" t="n">
        <v>46235</v>
      </c>
      <c r="C29" s="22" t="s">
        <v>11462</v>
      </c>
      <c r="D29" s="22" t="s">
        <v>1530</v>
      </c>
      <c r="E29" s="22" t="s">
        <v>6664</v>
      </c>
      <c r="F29" s="22" t="s">
        <v>198</v>
      </c>
      <c r="G29" s="22" t="s">
        <v>8601</v>
      </c>
      <c r="H29" s="22" t="s">
        <v>11406</v>
      </c>
      <c r="I29" s="22" t="n">
        <v>40</v>
      </c>
      <c r="J29" s="22" t="n">
        <v>1</v>
      </c>
      <c r="K29" s="22" t="n">
        <v>40</v>
      </c>
      <c r="L29" s="25" t="n">
        <v>10.4</v>
      </c>
      <c r="M29" s="25" t="n">
        <v>416</v>
      </c>
      <c r="N29" s="25" t="n">
        <v>53.41</v>
      </c>
      <c r="O29" s="25" t="n">
        <v>469.41</v>
      </c>
      <c r="P29" s="22" t="s">
        <v>11407</v>
      </c>
      <c r="Q29" s="23" t="n">
        <v>46249</v>
      </c>
      <c r="R29" s="22" t="n">
        <f aca="false">I29*J29</f>
        <v>40</v>
      </c>
      <c r="S29" s="25" t="n">
        <f aca="false">K29-R29</f>
        <v>0</v>
      </c>
      <c r="T29" s="25" t="n">
        <f aca="false">K29*L29</f>
        <v>416</v>
      </c>
      <c r="U29" s="25" t="n">
        <f aca="false">M29-T29</f>
        <v>0</v>
      </c>
      <c r="V29" s="25" t="n">
        <f aca="false">M29+N29</f>
        <v>469.41</v>
      </c>
      <c r="W29" s="25" t="n">
        <f aca="false">O29-V29</f>
        <v>0</v>
      </c>
      <c r="X29" s="22" t="str">
        <f aca="false">IF(OR(ABS(S29)&gt;0.005,ABS(U29)&gt;0.005,ABS(W29)&gt;0.005),"Subledger arithmetic error","OK")</f>
        <v>OK</v>
      </c>
      <c r="Y29" s="22" t="str">
        <f aca="false">IF(X29="OK","","Priority 3")</f>
        <v/>
      </c>
    </row>
    <row r="30" customFormat="false" ht="15" hidden="false" customHeight="false" outlineLevel="0" collapsed="false">
      <c r="A30" s="22" t="s">
        <v>11463</v>
      </c>
      <c r="B30" s="23" t="n">
        <v>46235</v>
      </c>
      <c r="C30" s="22" t="s">
        <v>11464</v>
      </c>
      <c r="D30" s="22" t="s">
        <v>4893</v>
      </c>
      <c r="E30" s="22" t="s">
        <v>6667</v>
      </c>
      <c r="F30" s="22" t="s">
        <v>198</v>
      </c>
      <c r="G30" s="22" t="s">
        <v>8601</v>
      </c>
      <c r="H30" s="22" t="s">
        <v>11406</v>
      </c>
      <c r="I30" s="22" t="n">
        <v>42</v>
      </c>
      <c r="J30" s="22" t="n">
        <v>1</v>
      </c>
      <c r="K30" s="22" t="n">
        <v>42</v>
      </c>
      <c r="L30" s="25" t="n">
        <v>10.4</v>
      </c>
      <c r="M30" s="25" t="n">
        <v>436.8</v>
      </c>
      <c r="N30" s="25" t="n">
        <v>56.09</v>
      </c>
      <c r="O30" s="25" t="n">
        <v>492.89</v>
      </c>
      <c r="P30" s="22" t="s">
        <v>11407</v>
      </c>
      <c r="Q30" s="23" t="n">
        <v>46249</v>
      </c>
      <c r="R30" s="22" t="n">
        <f aca="false">I30*J30</f>
        <v>42</v>
      </c>
      <c r="S30" s="25" t="n">
        <f aca="false">K30-R30</f>
        <v>0</v>
      </c>
      <c r="T30" s="25" t="n">
        <f aca="false">K30*L30</f>
        <v>436.8</v>
      </c>
      <c r="U30" s="25" t="n">
        <f aca="false">M30-T30</f>
        <v>0</v>
      </c>
      <c r="V30" s="25" t="n">
        <f aca="false">M30+N30</f>
        <v>492.89</v>
      </c>
      <c r="W30" s="25" t="n">
        <f aca="false">O30-V30</f>
        <v>0</v>
      </c>
      <c r="X30" s="22" t="str">
        <f aca="false">IF(OR(ABS(S30)&gt;0.005,ABS(U30)&gt;0.005,ABS(W30)&gt;0.005),"Subledger arithmetic error","OK")</f>
        <v>OK</v>
      </c>
      <c r="Y30" s="22" t="str">
        <f aca="false">IF(X30="OK","","Priority 3")</f>
        <v/>
      </c>
    </row>
    <row r="31" customFormat="false" ht="15" hidden="false" customHeight="false" outlineLevel="0" collapsed="false">
      <c r="A31" s="22" t="s">
        <v>11465</v>
      </c>
      <c r="B31" s="23" t="n">
        <v>46235</v>
      </c>
      <c r="C31" s="22" t="s">
        <v>11466</v>
      </c>
      <c r="D31" s="22" t="s">
        <v>3569</v>
      </c>
      <c r="E31" s="22" t="s">
        <v>6673</v>
      </c>
      <c r="F31" s="22" t="s">
        <v>198</v>
      </c>
      <c r="G31" s="22" t="s">
        <v>8601</v>
      </c>
      <c r="H31" s="22" t="s">
        <v>11406</v>
      </c>
      <c r="I31" s="22" t="n">
        <v>36</v>
      </c>
      <c r="J31" s="22" t="n">
        <v>1</v>
      </c>
      <c r="K31" s="22" t="n">
        <v>36</v>
      </c>
      <c r="L31" s="25" t="n">
        <v>10.4</v>
      </c>
      <c r="M31" s="25" t="n">
        <v>374.4</v>
      </c>
      <c r="N31" s="25" t="n">
        <v>48.07</v>
      </c>
      <c r="O31" s="25" t="n">
        <v>422.47</v>
      </c>
      <c r="P31" s="22" t="s">
        <v>11407</v>
      </c>
      <c r="Q31" s="23" t="n">
        <v>46249</v>
      </c>
      <c r="R31" s="22" t="n">
        <f aca="false">I31*J31</f>
        <v>36</v>
      </c>
      <c r="S31" s="25" t="n">
        <f aca="false">K31-R31</f>
        <v>0</v>
      </c>
      <c r="T31" s="25" t="n">
        <f aca="false">K31*L31</f>
        <v>374.4</v>
      </c>
      <c r="U31" s="25" t="n">
        <f aca="false">M31-T31</f>
        <v>0</v>
      </c>
      <c r="V31" s="25" t="n">
        <f aca="false">M31+N31</f>
        <v>422.47</v>
      </c>
      <c r="W31" s="25" t="n">
        <f aca="false">O31-V31</f>
        <v>0</v>
      </c>
      <c r="X31" s="22" t="str">
        <f aca="false">IF(OR(ABS(S31)&gt;0.005,ABS(U31)&gt;0.005,ABS(W31)&gt;0.005),"Subledger arithmetic error","OK")</f>
        <v>OK</v>
      </c>
      <c r="Y31" s="22" t="str">
        <f aca="false">IF(X31="OK","","Priority 3")</f>
        <v/>
      </c>
    </row>
    <row r="32" customFormat="false" ht="15" hidden="false" customHeight="false" outlineLevel="0" collapsed="false">
      <c r="A32" s="22" t="s">
        <v>11467</v>
      </c>
      <c r="B32" s="23" t="n">
        <v>46235</v>
      </c>
      <c r="C32" s="22" t="s">
        <v>11468</v>
      </c>
      <c r="D32" s="22" t="s">
        <v>1539</v>
      </c>
      <c r="E32" s="22" t="s">
        <v>6676</v>
      </c>
      <c r="F32" s="22" t="s">
        <v>198</v>
      </c>
      <c r="G32" s="22" t="s">
        <v>8601</v>
      </c>
      <c r="H32" s="22" t="s">
        <v>11406</v>
      </c>
      <c r="I32" s="22" t="n">
        <v>32</v>
      </c>
      <c r="J32" s="22" t="n">
        <v>1</v>
      </c>
      <c r="K32" s="22" t="n">
        <v>32</v>
      </c>
      <c r="L32" s="25" t="n">
        <v>10.4</v>
      </c>
      <c r="M32" s="25" t="n">
        <v>332.8</v>
      </c>
      <c r="N32" s="25" t="n">
        <v>42.73</v>
      </c>
      <c r="O32" s="25" t="n">
        <v>375.53</v>
      </c>
      <c r="P32" s="22" t="s">
        <v>11407</v>
      </c>
      <c r="Q32" s="23" t="n">
        <v>46249</v>
      </c>
      <c r="R32" s="22" t="n">
        <f aca="false">I32*J32</f>
        <v>32</v>
      </c>
      <c r="S32" s="25" t="n">
        <f aca="false">K32-R32</f>
        <v>0</v>
      </c>
      <c r="T32" s="25" t="n">
        <f aca="false">K32*L32</f>
        <v>332.8</v>
      </c>
      <c r="U32" s="25" t="n">
        <f aca="false">M32-T32</f>
        <v>0</v>
      </c>
      <c r="V32" s="25" t="n">
        <f aca="false">M32+N32</f>
        <v>375.53</v>
      </c>
      <c r="W32" s="25" t="n">
        <f aca="false">O32-V32</f>
        <v>0</v>
      </c>
      <c r="X32" s="22" t="str">
        <f aca="false">IF(OR(ABS(S32)&gt;0.005,ABS(U32)&gt;0.005,ABS(W32)&gt;0.005),"Subledger arithmetic error","OK")</f>
        <v>OK</v>
      </c>
      <c r="Y32" s="22" t="str">
        <f aca="false">IF(X32="OK","","Priority 3")</f>
        <v/>
      </c>
    </row>
    <row r="33" customFormat="false" ht="15" hidden="false" customHeight="false" outlineLevel="0" collapsed="false">
      <c r="A33" s="22" t="s">
        <v>11469</v>
      </c>
      <c r="B33" s="23" t="n">
        <v>46235</v>
      </c>
      <c r="C33" s="22" t="s">
        <v>11470</v>
      </c>
      <c r="D33" s="22" t="s">
        <v>3034</v>
      </c>
      <c r="E33" s="22" t="s">
        <v>6679</v>
      </c>
      <c r="F33" s="22" t="s">
        <v>198</v>
      </c>
      <c r="G33" s="22" t="s">
        <v>8601</v>
      </c>
      <c r="H33" s="22" t="s">
        <v>11406</v>
      </c>
      <c r="I33" s="22" t="n">
        <v>40</v>
      </c>
      <c r="J33" s="22" t="n">
        <v>1</v>
      </c>
      <c r="K33" s="22" t="n">
        <v>40</v>
      </c>
      <c r="L33" s="25" t="n">
        <v>10.4</v>
      </c>
      <c r="M33" s="25" t="n">
        <v>416</v>
      </c>
      <c r="N33" s="25" t="n">
        <v>53.41</v>
      </c>
      <c r="O33" s="25" t="n">
        <v>469.41</v>
      </c>
      <c r="P33" s="22" t="s">
        <v>11407</v>
      </c>
      <c r="Q33" s="23" t="n">
        <v>46249</v>
      </c>
      <c r="R33" s="22" t="n">
        <f aca="false">I33*J33</f>
        <v>40</v>
      </c>
      <c r="S33" s="25" t="n">
        <f aca="false">K33-R33</f>
        <v>0</v>
      </c>
      <c r="T33" s="25" t="n">
        <f aca="false">K33*L33</f>
        <v>416</v>
      </c>
      <c r="U33" s="25" t="n">
        <f aca="false">M33-T33</f>
        <v>0</v>
      </c>
      <c r="V33" s="25" t="n">
        <f aca="false">M33+N33</f>
        <v>469.41</v>
      </c>
      <c r="W33" s="25" t="n">
        <f aca="false">O33-V33</f>
        <v>0</v>
      </c>
      <c r="X33" s="22" t="str">
        <f aca="false">IF(OR(ABS(S33)&gt;0.005,ABS(U33)&gt;0.005,ABS(W33)&gt;0.005),"Subledger arithmetic error","OK")</f>
        <v>OK</v>
      </c>
      <c r="Y33" s="22" t="str">
        <f aca="false">IF(X33="OK","","Priority 3")</f>
        <v/>
      </c>
    </row>
    <row r="34" customFormat="false" ht="15" hidden="false" customHeight="false" outlineLevel="0" collapsed="false">
      <c r="A34" s="22" t="s">
        <v>11471</v>
      </c>
      <c r="B34" s="23" t="n">
        <v>46235</v>
      </c>
      <c r="C34" s="22" t="s">
        <v>11472</v>
      </c>
      <c r="D34" s="22" t="s">
        <v>5433</v>
      </c>
      <c r="E34" s="22" t="s">
        <v>6684</v>
      </c>
      <c r="F34" s="22" t="s">
        <v>198</v>
      </c>
      <c r="G34" s="22" t="s">
        <v>8601</v>
      </c>
      <c r="H34" s="22" t="s">
        <v>11406</v>
      </c>
      <c r="I34" s="22" t="n">
        <v>58</v>
      </c>
      <c r="J34" s="22" t="n">
        <v>1</v>
      </c>
      <c r="K34" s="22" t="n">
        <v>58</v>
      </c>
      <c r="L34" s="25" t="n">
        <v>10.4</v>
      </c>
      <c r="M34" s="25" t="n">
        <v>603.2</v>
      </c>
      <c r="N34" s="25" t="n">
        <v>77.45</v>
      </c>
      <c r="O34" s="25" t="n">
        <v>680.65</v>
      </c>
      <c r="P34" s="22" t="s">
        <v>11407</v>
      </c>
      <c r="Q34" s="23" t="n">
        <v>46249</v>
      </c>
      <c r="R34" s="22" t="n">
        <f aca="false">I34*J34</f>
        <v>58</v>
      </c>
      <c r="S34" s="25" t="n">
        <f aca="false">K34-R34</f>
        <v>0</v>
      </c>
      <c r="T34" s="25" t="n">
        <f aca="false">K34*L34</f>
        <v>603.2</v>
      </c>
      <c r="U34" s="25" t="n">
        <f aca="false">M34-T34</f>
        <v>0</v>
      </c>
      <c r="V34" s="25" t="n">
        <f aca="false">M34+N34</f>
        <v>680.65</v>
      </c>
      <c r="W34" s="25" t="n">
        <f aca="false">O34-V34</f>
        <v>0</v>
      </c>
      <c r="X34" s="22" t="str">
        <f aca="false">IF(OR(ABS(S34)&gt;0.005,ABS(U34)&gt;0.005,ABS(W34)&gt;0.005),"Subledger arithmetic error","OK")</f>
        <v>OK</v>
      </c>
      <c r="Y34" s="22" t="str">
        <f aca="false">IF(X34="OK","","Priority 3")</f>
        <v/>
      </c>
    </row>
    <row r="35" customFormat="false" ht="15" hidden="false" customHeight="false" outlineLevel="0" collapsed="false">
      <c r="A35" s="22" t="s">
        <v>11473</v>
      </c>
      <c r="B35" s="23" t="n">
        <v>46235</v>
      </c>
      <c r="C35" s="22" t="s">
        <v>11474</v>
      </c>
      <c r="D35" s="22" t="s">
        <v>3479</v>
      </c>
      <c r="E35" s="22" t="s">
        <v>6687</v>
      </c>
      <c r="F35" s="22" t="s">
        <v>198</v>
      </c>
      <c r="G35" s="22" t="s">
        <v>8601</v>
      </c>
      <c r="H35" s="22" t="s">
        <v>11406</v>
      </c>
      <c r="I35" s="22" t="n">
        <v>50</v>
      </c>
      <c r="J35" s="22" t="n">
        <v>1</v>
      </c>
      <c r="K35" s="22" t="n">
        <v>50</v>
      </c>
      <c r="L35" s="25" t="n">
        <v>10.4</v>
      </c>
      <c r="M35" s="25" t="n">
        <v>520</v>
      </c>
      <c r="N35" s="25" t="n">
        <v>66.77</v>
      </c>
      <c r="O35" s="25" t="n">
        <v>586.77</v>
      </c>
      <c r="P35" s="22" t="s">
        <v>11407</v>
      </c>
      <c r="Q35" s="23" t="n">
        <v>46249</v>
      </c>
      <c r="R35" s="22" t="n">
        <f aca="false">I35*J35</f>
        <v>50</v>
      </c>
      <c r="S35" s="25" t="n">
        <f aca="false">K35-R35</f>
        <v>0</v>
      </c>
      <c r="T35" s="25" t="n">
        <f aca="false">K35*L35</f>
        <v>520</v>
      </c>
      <c r="U35" s="25" t="n">
        <f aca="false">M35-T35</f>
        <v>0</v>
      </c>
      <c r="V35" s="25" t="n">
        <f aca="false">M35+N35</f>
        <v>586.77</v>
      </c>
      <c r="W35" s="25" t="n">
        <f aca="false">O35-V35</f>
        <v>0</v>
      </c>
      <c r="X35" s="22" t="str">
        <f aca="false">IF(OR(ABS(S35)&gt;0.005,ABS(U35)&gt;0.005,ABS(W35)&gt;0.005),"Subledger arithmetic error","OK")</f>
        <v>OK</v>
      </c>
      <c r="Y35" s="22" t="str">
        <f aca="false">IF(X35="OK","","Priority 3")</f>
        <v/>
      </c>
    </row>
    <row r="36" customFormat="false" ht="15" hidden="false" customHeight="false" outlineLevel="0" collapsed="false">
      <c r="A36" s="22" t="s">
        <v>11475</v>
      </c>
      <c r="B36" s="23" t="n">
        <v>46235</v>
      </c>
      <c r="C36" s="22" t="s">
        <v>11476</v>
      </c>
      <c r="D36" s="22" t="s">
        <v>2234</v>
      </c>
      <c r="E36" s="22" t="s">
        <v>6690</v>
      </c>
      <c r="F36" s="22" t="s">
        <v>198</v>
      </c>
      <c r="G36" s="22" t="s">
        <v>8601</v>
      </c>
      <c r="H36" s="22" t="s">
        <v>11406</v>
      </c>
      <c r="I36" s="22" t="n">
        <v>31</v>
      </c>
      <c r="J36" s="22" t="n">
        <v>1</v>
      </c>
      <c r="K36" s="22" t="n">
        <v>31</v>
      </c>
      <c r="L36" s="25" t="n">
        <v>10.4</v>
      </c>
      <c r="M36" s="25" t="n">
        <v>322.4</v>
      </c>
      <c r="N36" s="25" t="n">
        <v>41.4</v>
      </c>
      <c r="O36" s="25" t="n">
        <v>363.8</v>
      </c>
      <c r="P36" s="22" t="s">
        <v>11407</v>
      </c>
      <c r="Q36" s="23" t="n">
        <v>46249</v>
      </c>
      <c r="R36" s="22" t="n">
        <f aca="false">I36*J36</f>
        <v>31</v>
      </c>
      <c r="S36" s="25" t="n">
        <f aca="false">K36-R36</f>
        <v>0</v>
      </c>
      <c r="T36" s="25" t="n">
        <f aca="false">K36*L36</f>
        <v>322.4</v>
      </c>
      <c r="U36" s="25" t="n">
        <f aca="false">M36-T36</f>
        <v>0</v>
      </c>
      <c r="V36" s="25" t="n">
        <f aca="false">M36+N36</f>
        <v>363.8</v>
      </c>
      <c r="W36" s="25" t="n">
        <f aca="false">O36-V36</f>
        <v>0</v>
      </c>
      <c r="X36" s="22" t="str">
        <f aca="false">IF(OR(ABS(S36)&gt;0.005,ABS(U36)&gt;0.005,ABS(W36)&gt;0.005),"Subledger arithmetic error","OK")</f>
        <v>OK</v>
      </c>
      <c r="Y36" s="22" t="str">
        <f aca="false">IF(X36="OK","","Priority 3")</f>
        <v/>
      </c>
    </row>
    <row r="37" customFormat="false" ht="15" hidden="false" customHeight="false" outlineLevel="0" collapsed="false">
      <c r="A37" s="22" t="s">
        <v>11477</v>
      </c>
      <c r="B37" s="23" t="n">
        <v>46235</v>
      </c>
      <c r="C37" s="22" t="s">
        <v>11478</v>
      </c>
      <c r="D37" s="22" t="s">
        <v>1098</v>
      </c>
      <c r="E37" s="22" t="s">
        <v>6693</v>
      </c>
      <c r="F37" s="22" t="s">
        <v>198</v>
      </c>
      <c r="G37" s="22" t="s">
        <v>8601</v>
      </c>
      <c r="H37" s="22" t="s">
        <v>11406</v>
      </c>
      <c r="I37" s="22" t="n">
        <v>28</v>
      </c>
      <c r="J37" s="22" t="n">
        <v>1</v>
      </c>
      <c r="K37" s="22" t="n">
        <v>28</v>
      </c>
      <c r="L37" s="25" t="n">
        <v>10.4</v>
      </c>
      <c r="M37" s="25" t="n">
        <v>291.2</v>
      </c>
      <c r="N37" s="25" t="n">
        <v>37.39</v>
      </c>
      <c r="O37" s="25" t="n">
        <v>328.59</v>
      </c>
      <c r="P37" s="22" t="s">
        <v>11407</v>
      </c>
      <c r="Q37" s="23" t="n">
        <v>46249</v>
      </c>
      <c r="R37" s="22" t="n">
        <f aca="false">I37*J37</f>
        <v>28</v>
      </c>
      <c r="S37" s="25" t="n">
        <f aca="false">K37-R37</f>
        <v>0</v>
      </c>
      <c r="T37" s="25" t="n">
        <f aca="false">K37*L37</f>
        <v>291.2</v>
      </c>
      <c r="U37" s="25" t="n">
        <f aca="false">M37-T37</f>
        <v>0</v>
      </c>
      <c r="V37" s="25" t="n">
        <f aca="false">M37+N37</f>
        <v>328.59</v>
      </c>
      <c r="W37" s="25" t="n">
        <f aca="false">O37-V37</f>
        <v>0</v>
      </c>
      <c r="X37" s="22" t="str">
        <f aca="false">IF(OR(ABS(S37)&gt;0.005,ABS(U37)&gt;0.005,ABS(W37)&gt;0.005),"Subledger arithmetic error","OK")</f>
        <v>OK</v>
      </c>
      <c r="Y37" s="22" t="str">
        <f aca="false">IF(X37="OK","","Priority 3")</f>
        <v/>
      </c>
    </row>
    <row r="38" customFormat="false" ht="15" hidden="false" customHeight="false" outlineLevel="0" collapsed="false">
      <c r="A38" s="22" t="s">
        <v>11479</v>
      </c>
      <c r="B38" s="23" t="n">
        <v>46235</v>
      </c>
      <c r="C38" s="22" t="s">
        <v>11480</v>
      </c>
      <c r="D38" s="22" t="s">
        <v>1327</v>
      </c>
      <c r="E38" s="22" t="s">
        <v>6696</v>
      </c>
      <c r="F38" s="22" t="s">
        <v>198</v>
      </c>
      <c r="G38" s="22" t="s">
        <v>8601</v>
      </c>
      <c r="H38" s="22" t="s">
        <v>11406</v>
      </c>
      <c r="I38" s="22" t="n">
        <v>57</v>
      </c>
      <c r="J38" s="22" t="n">
        <v>1</v>
      </c>
      <c r="K38" s="22" t="n">
        <v>57</v>
      </c>
      <c r="L38" s="25" t="n">
        <v>10.4</v>
      </c>
      <c r="M38" s="25" t="n">
        <v>592.8</v>
      </c>
      <c r="N38" s="25" t="n">
        <v>76.12</v>
      </c>
      <c r="O38" s="25" t="n">
        <v>668.92</v>
      </c>
      <c r="P38" s="22" t="s">
        <v>11407</v>
      </c>
      <c r="Q38" s="23" t="n">
        <v>46249</v>
      </c>
      <c r="R38" s="22" t="n">
        <f aca="false">I38*J38</f>
        <v>57</v>
      </c>
      <c r="S38" s="25" t="n">
        <f aca="false">K38-R38</f>
        <v>0</v>
      </c>
      <c r="T38" s="25" t="n">
        <f aca="false">K38*L38</f>
        <v>592.8</v>
      </c>
      <c r="U38" s="25" t="n">
        <f aca="false">M38-T38</f>
        <v>0</v>
      </c>
      <c r="V38" s="25" t="n">
        <f aca="false">M38+N38</f>
        <v>668.92</v>
      </c>
      <c r="W38" s="25" t="n">
        <f aca="false">O38-V38</f>
        <v>0</v>
      </c>
      <c r="X38" s="22" t="str">
        <f aca="false">IF(OR(ABS(S38)&gt;0.005,ABS(U38)&gt;0.005,ABS(W38)&gt;0.005),"Subledger arithmetic error","OK")</f>
        <v>OK</v>
      </c>
      <c r="Y38" s="22" t="str">
        <f aca="false">IF(X38="OK","","Priority 3")</f>
        <v/>
      </c>
    </row>
    <row r="39" customFormat="false" ht="15" hidden="false" customHeight="false" outlineLevel="0" collapsed="false">
      <c r="A39" s="22" t="s">
        <v>11481</v>
      </c>
      <c r="B39" s="23" t="n">
        <v>46235</v>
      </c>
      <c r="C39" s="22" t="s">
        <v>11482</v>
      </c>
      <c r="D39" s="22" t="s">
        <v>1490</v>
      </c>
      <c r="E39" s="22" t="s">
        <v>6699</v>
      </c>
      <c r="F39" s="22" t="s">
        <v>198</v>
      </c>
      <c r="G39" s="22" t="s">
        <v>8601</v>
      </c>
      <c r="H39" s="22" t="s">
        <v>11406</v>
      </c>
      <c r="I39" s="22" t="n">
        <v>59</v>
      </c>
      <c r="J39" s="22" t="n">
        <v>1</v>
      </c>
      <c r="K39" s="22" t="n">
        <v>59</v>
      </c>
      <c r="L39" s="25" t="n">
        <v>10.4</v>
      </c>
      <c r="M39" s="25" t="n">
        <v>613.6</v>
      </c>
      <c r="N39" s="25" t="n">
        <v>78.79</v>
      </c>
      <c r="O39" s="25" t="n">
        <v>692.39</v>
      </c>
      <c r="P39" s="22" t="s">
        <v>11407</v>
      </c>
      <c r="Q39" s="23" t="n">
        <v>46249</v>
      </c>
      <c r="R39" s="22" t="n">
        <f aca="false">I39*J39</f>
        <v>59</v>
      </c>
      <c r="S39" s="25" t="n">
        <f aca="false">K39-R39</f>
        <v>0</v>
      </c>
      <c r="T39" s="25" t="n">
        <f aca="false">K39*L39</f>
        <v>613.6</v>
      </c>
      <c r="U39" s="25" t="n">
        <f aca="false">M39-T39</f>
        <v>0</v>
      </c>
      <c r="V39" s="25" t="n">
        <f aca="false">M39+N39</f>
        <v>692.39</v>
      </c>
      <c r="W39" s="25" t="n">
        <f aca="false">O39-V39</f>
        <v>0</v>
      </c>
      <c r="X39" s="22" t="str">
        <f aca="false">IF(OR(ABS(S39)&gt;0.005,ABS(U39)&gt;0.005,ABS(W39)&gt;0.005),"Subledger arithmetic error","OK")</f>
        <v>OK</v>
      </c>
      <c r="Y39" s="22" t="str">
        <f aca="false">IF(X39="OK","","Priority 3")</f>
        <v/>
      </c>
    </row>
    <row r="40" customFormat="false" ht="15" hidden="false" customHeight="false" outlineLevel="0" collapsed="false">
      <c r="A40" s="22" t="s">
        <v>11483</v>
      </c>
      <c r="B40" s="23" t="n">
        <v>46235</v>
      </c>
      <c r="C40" s="22" t="s">
        <v>11484</v>
      </c>
      <c r="D40" s="22" t="s">
        <v>673</v>
      </c>
      <c r="E40" s="22" t="s">
        <v>6702</v>
      </c>
      <c r="F40" s="22" t="s">
        <v>198</v>
      </c>
      <c r="G40" s="22" t="s">
        <v>8601</v>
      </c>
      <c r="H40" s="22" t="s">
        <v>11406</v>
      </c>
      <c r="I40" s="22" t="n">
        <v>42</v>
      </c>
      <c r="J40" s="22" t="n">
        <v>1</v>
      </c>
      <c r="K40" s="22" t="n">
        <v>42</v>
      </c>
      <c r="L40" s="25" t="n">
        <v>10.4</v>
      </c>
      <c r="M40" s="25" t="n">
        <v>436.8</v>
      </c>
      <c r="N40" s="25" t="n">
        <v>56.09</v>
      </c>
      <c r="O40" s="25" t="n">
        <v>492.89</v>
      </c>
      <c r="P40" s="22" t="s">
        <v>11407</v>
      </c>
      <c r="Q40" s="23" t="n">
        <v>46249</v>
      </c>
      <c r="R40" s="22" t="n">
        <f aca="false">I40*J40</f>
        <v>42</v>
      </c>
      <c r="S40" s="25" t="n">
        <f aca="false">K40-R40</f>
        <v>0</v>
      </c>
      <c r="T40" s="25" t="n">
        <f aca="false">K40*L40</f>
        <v>436.8</v>
      </c>
      <c r="U40" s="25" t="n">
        <f aca="false">M40-T40</f>
        <v>0</v>
      </c>
      <c r="V40" s="25" t="n">
        <f aca="false">M40+N40</f>
        <v>492.89</v>
      </c>
      <c r="W40" s="25" t="n">
        <f aca="false">O40-V40</f>
        <v>0</v>
      </c>
      <c r="X40" s="22" t="str">
        <f aca="false">IF(OR(ABS(S40)&gt;0.005,ABS(U40)&gt;0.005,ABS(W40)&gt;0.005),"Subledger arithmetic error","OK")</f>
        <v>OK</v>
      </c>
      <c r="Y40" s="22" t="str">
        <f aca="false">IF(X40="OK","","Priority 3")</f>
        <v/>
      </c>
    </row>
    <row r="41" customFormat="false" ht="15" hidden="false" customHeight="false" outlineLevel="0" collapsed="false">
      <c r="A41" s="22" t="s">
        <v>11485</v>
      </c>
      <c r="B41" s="23" t="n">
        <v>46235</v>
      </c>
      <c r="C41" s="22" t="s">
        <v>11486</v>
      </c>
      <c r="D41" s="22" t="s">
        <v>1067</v>
      </c>
      <c r="E41" s="22" t="s">
        <v>6705</v>
      </c>
      <c r="F41" s="22" t="s">
        <v>198</v>
      </c>
      <c r="G41" s="22" t="s">
        <v>8601</v>
      </c>
      <c r="H41" s="22" t="s">
        <v>11406</v>
      </c>
      <c r="I41" s="22" t="n">
        <v>47</v>
      </c>
      <c r="J41" s="22" t="n">
        <v>1</v>
      </c>
      <c r="K41" s="22" t="n">
        <v>47</v>
      </c>
      <c r="L41" s="25" t="n">
        <v>10.4</v>
      </c>
      <c r="M41" s="25" t="n">
        <v>488.8</v>
      </c>
      <c r="N41" s="25" t="n">
        <v>62.76</v>
      </c>
      <c r="O41" s="25" t="n">
        <v>551.56</v>
      </c>
      <c r="P41" s="22" t="s">
        <v>11407</v>
      </c>
      <c r="Q41" s="23" t="n">
        <v>46249</v>
      </c>
      <c r="R41" s="22" t="n">
        <f aca="false">I41*J41</f>
        <v>47</v>
      </c>
      <c r="S41" s="25" t="n">
        <f aca="false">K41-R41</f>
        <v>0</v>
      </c>
      <c r="T41" s="25" t="n">
        <f aca="false">K41*L41</f>
        <v>488.8</v>
      </c>
      <c r="U41" s="25" t="n">
        <f aca="false">M41-T41</f>
        <v>0</v>
      </c>
      <c r="V41" s="25" t="n">
        <f aca="false">M41+N41</f>
        <v>551.56</v>
      </c>
      <c r="W41" s="25" t="n">
        <f aca="false">O41-V41</f>
        <v>0</v>
      </c>
      <c r="X41" s="22" t="str">
        <f aca="false">IF(OR(ABS(S41)&gt;0.005,ABS(U41)&gt;0.005,ABS(W41)&gt;0.005),"Subledger arithmetic error","OK")</f>
        <v>OK</v>
      </c>
      <c r="Y41" s="22" t="str">
        <f aca="false">IF(X41="OK","","Priority 3")</f>
        <v/>
      </c>
    </row>
    <row r="42" customFormat="false" ht="15" hidden="false" customHeight="false" outlineLevel="0" collapsed="false">
      <c r="A42" s="22" t="s">
        <v>11487</v>
      </c>
      <c r="B42" s="23" t="n">
        <v>46235</v>
      </c>
      <c r="C42" s="22" t="s">
        <v>11488</v>
      </c>
      <c r="D42" s="22" t="s">
        <v>4032</v>
      </c>
      <c r="E42" s="22" t="s">
        <v>6708</v>
      </c>
      <c r="F42" s="22" t="s">
        <v>198</v>
      </c>
      <c r="G42" s="22" t="s">
        <v>8601</v>
      </c>
      <c r="H42" s="22" t="s">
        <v>11406</v>
      </c>
      <c r="I42" s="22" t="n">
        <v>46</v>
      </c>
      <c r="J42" s="22" t="n">
        <v>1</v>
      </c>
      <c r="K42" s="22" t="n">
        <v>46</v>
      </c>
      <c r="L42" s="25" t="n">
        <v>10.4</v>
      </c>
      <c r="M42" s="25" t="n">
        <v>478.4</v>
      </c>
      <c r="N42" s="25" t="n">
        <v>61.43</v>
      </c>
      <c r="O42" s="25" t="n">
        <v>539.83</v>
      </c>
      <c r="P42" s="22" t="s">
        <v>11407</v>
      </c>
      <c r="Q42" s="23" t="n">
        <v>46249</v>
      </c>
      <c r="R42" s="22" t="n">
        <f aca="false">I42*J42</f>
        <v>46</v>
      </c>
      <c r="S42" s="25" t="n">
        <f aca="false">K42-R42</f>
        <v>0</v>
      </c>
      <c r="T42" s="25" t="n">
        <f aca="false">K42*L42</f>
        <v>478.4</v>
      </c>
      <c r="U42" s="25" t="n">
        <f aca="false">M42-T42</f>
        <v>0</v>
      </c>
      <c r="V42" s="25" t="n">
        <f aca="false">M42+N42</f>
        <v>539.83</v>
      </c>
      <c r="W42" s="25" t="n">
        <f aca="false">O42-V42</f>
        <v>0</v>
      </c>
      <c r="X42" s="22" t="str">
        <f aca="false">IF(OR(ABS(S42)&gt;0.005,ABS(U42)&gt;0.005,ABS(W42)&gt;0.005),"Subledger arithmetic error","OK")</f>
        <v>OK</v>
      </c>
      <c r="Y42" s="22" t="str">
        <f aca="false">IF(X42="OK","","Priority 3")</f>
        <v/>
      </c>
    </row>
    <row r="43" customFormat="false" ht="15" hidden="false" customHeight="false" outlineLevel="0" collapsed="false">
      <c r="A43" s="22" t="s">
        <v>11489</v>
      </c>
      <c r="B43" s="23" t="n">
        <v>46235</v>
      </c>
      <c r="C43" s="22" t="s">
        <v>11490</v>
      </c>
      <c r="D43" s="22" t="s">
        <v>5552</v>
      </c>
      <c r="E43" s="22" t="s">
        <v>6711</v>
      </c>
      <c r="F43" s="22" t="s">
        <v>198</v>
      </c>
      <c r="G43" s="22" t="s">
        <v>8601</v>
      </c>
      <c r="H43" s="22" t="s">
        <v>11406</v>
      </c>
      <c r="I43" s="22" t="n">
        <v>58</v>
      </c>
      <c r="J43" s="22" t="n">
        <v>1</v>
      </c>
      <c r="K43" s="22" t="n">
        <v>58</v>
      </c>
      <c r="L43" s="25" t="n">
        <v>10.4</v>
      </c>
      <c r="M43" s="25" t="n">
        <v>603.2</v>
      </c>
      <c r="N43" s="25" t="n">
        <v>77.45</v>
      </c>
      <c r="O43" s="25" t="n">
        <v>680.65</v>
      </c>
      <c r="P43" s="22" t="s">
        <v>11407</v>
      </c>
      <c r="Q43" s="23" t="n">
        <v>46249</v>
      </c>
      <c r="R43" s="22" t="n">
        <f aca="false">I43*J43</f>
        <v>58</v>
      </c>
      <c r="S43" s="25" t="n">
        <f aca="false">K43-R43</f>
        <v>0</v>
      </c>
      <c r="T43" s="25" t="n">
        <f aca="false">K43*L43</f>
        <v>603.2</v>
      </c>
      <c r="U43" s="25" t="n">
        <f aca="false">M43-T43</f>
        <v>0</v>
      </c>
      <c r="V43" s="25" t="n">
        <f aca="false">M43+N43</f>
        <v>680.65</v>
      </c>
      <c r="W43" s="25" t="n">
        <f aca="false">O43-V43</f>
        <v>0</v>
      </c>
      <c r="X43" s="22" t="str">
        <f aca="false">IF(OR(ABS(S43)&gt;0.005,ABS(U43)&gt;0.005,ABS(W43)&gt;0.005),"Subledger arithmetic error","OK")</f>
        <v>OK</v>
      </c>
      <c r="Y43" s="22" t="str">
        <f aca="false">IF(X43="OK","","Priority 3")</f>
        <v/>
      </c>
    </row>
    <row r="44" customFormat="false" ht="15" hidden="false" customHeight="false" outlineLevel="0" collapsed="false">
      <c r="A44" s="22" t="s">
        <v>11491</v>
      </c>
      <c r="B44" s="23" t="n">
        <v>46235</v>
      </c>
      <c r="C44" s="22" t="s">
        <v>11492</v>
      </c>
      <c r="D44" s="22" t="s">
        <v>696</v>
      </c>
      <c r="E44" s="22" t="s">
        <v>6714</v>
      </c>
      <c r="F44" s="22" t="s">
        <v>198</v>
      </c>
      <c r="G44" s="22" t="s">
        <v>8601</v>
      </c>
      <c r="H44" s="22" t="s">
        <v>11406</v>
      </c>
      <c r="I44" s="22" t="n">
        <v>36</v>
      </c>
      <c r="J44" s="22" t="n">
        <v>1</v>
      </c>
      <c r="K44" s="22" t="n">
        <v>36</v>
      </c>
      <c r="L44" s="25" t="n">
        <v>10.4</v>
      </c>
      <c r="M44" s="25" t="n">
        <v>374.4</v>
      </c>
      <c r="N44" s="25" t="n">
        <v>48.07</v>
      </c>
      <c r="O44" s="25" t="n">
        <v>422.47</v>
      </c>
      <c r="P44" s="22" t="s">
        <v>11407</v>
      </c>
      <c r="Q44" s="23" t="n">
        <v>46249</v>
      </c>
      <c r="R44" s="22" t="n">
        <f aca="false">I44*J44</f>
        <v>36</v>
      </c>
      <c r="S44" s="25" t="n">
        <f aca="false">K44-R44</f>
        <v>0</v>
      </c>
      <c r="T44" s="25" t="n">
        <f aca="false">K44*L44</f>
        <v>374.4</v>
      </c>
      <c r="U44" s="25" t="n">
        <f aca="false">M44-T44</f>
        <v>0</v>
      </c>
      <c r="V44" s="25" t="n">
        <f aca="false">M44+N44</f>
        <v>422.47</v>
      </c>
      <c r="W44" s="25" t="n">
        <f aca="false">O44-V44</f>
        <v>0</v>
      </c>
      <c r="X44" s="22" t="str">
        <f aca="false">IF(OR(ABS(S44)&gt;0.005,ABS(U44)&gt;0.005,ABS(W44)&gt;0.005),"Subledger arithmetic error","OK")</f>
        <v>OK</v>
      </c>
      <c r="Y44" s="22" t="str">
        <f aca="false">IF(X44="OK","","Priority 3")</f>
        <v/>
      </c>
    </row>
    <row r="45" customFormat="false" ht="15" hidden="false" customHeight="false" outlineLevel="0" collapsed="false">
      <c r="A45" s="22" t="s">
        <v>11493</v>
      </c>
      <c r="B45" s="23" t="n">
        <v>46235</v>
      </c>
      <c r="C45" s="22" t="s">
        <v>11494</v>
      </c>
      <c r="D45" s="22" t="s">
        <v>3697</v>
      </c>
      <c r="E45" s="22" t="s">
        <v>6717</v>
      </c>
      <c r="F45" s="22" t="s">
        <v>198</v>
      </c>
      <c r="G45" s="22" t="s">
        <v>8601</v>
      </c>
      <c r="H45" s="22" t="s">
        <v>11406</v>
      </c>
      <c r="I45" s="22" t="n">
        <v>50</v>
      </c>
      <c r="J45" s="22" t="n">
        <v>1</v>
      </c>
      <c r="K45" s="22" t="n">
        <v>50</v>
      </c>
      <c r="L45" s="25" t="n">
        <v>10.4</v>
      </c>
      <c r="M45" s="25" t="n">
        <v>520</v>
      </c>
      <c r="N45" s="25" t="n">
        <v>66.77</v>
      </c>
      <c r="O45" s="25" t="n">
        <v>586.77</v>
      </c>
      <c r="P45" s="22" t="s">
        <v>11407</v>
      </c>
      <c r="Q45" s="23" t="n">
        <v>46249</v>
      </c>
      <c r="R45" s="22" t="n">
        <f aca="false">I45*J45</f>
        <v>50</v>
      </c>
      <c r="S45" s="25" t="n">
        <f aca="false">K45-R45</f>
        <v>0</v>
      </c>
      <c r="T45" s="25" t="n">
        <f aca="false">K45*L45</f>
        <v>520</v>
      </c>
      <c r="U45" s="25" t="n">
        <f aca="false">M45-T45</f>
        <v>0</v>
      </c>
      <c r="V45" s="25" t="n">
        <f aca="false">M45+N45</f>
        <v>586.77</v>
      </c>
      <c r="W45" s="25" t="n">
        <f aca="false">O45-V45</f>
        <v>0</v>
      </c>
      <c r="X45" s="22" t="str">
        <f aca="false">IF(OR(ABS(S45)&gt;0.005,ABS(U45)&gt;0.005,ABS(W45)&gt;0.005),"Subledger arithmetic error","OK")</f>
        <v>OK</v>
      </c>
      <c r="Y45" s="22" t="str">
        <f aca="false">IF(X45="OK","","Priority 3")</f>
        <v/>
      </c>
    </row>
    <row r="46" customFormat="false" ht="15" hidden="false" customHeight="false" outlineLevel="0" collapsed="false">
      <c r="A46" s="22" t="s">
        <v>11495</v>
      </c>
      <c r="B46" s="23" t="n">
        <v>46235</v>
      </c>
      <c r="C46" s="22" t="s">
        <v>11496</v>
      </c>
      <c r="D46" s="22" t="s">
        <v>897</v>
      </c>
      <c r="E46" s="22" t="s">
        <v>6720</v>
      </c>
      <c r="F46" s="22" t="s">
        <v>198</v>
      </c>
      <c r="G46" s="22" t="s">
        <v>8601</v>
      </c>
      <c r="H46" s="22" t="s">
        <v>11406</v>
      </c>
      <c r="I46" s="22" t="n">
        <v>40</v>
      </c>
      <c r="J46" s="22" t="n">
        <v>1</v>
      </c>
      <c r="K46" s="22" t="n">
        <v>40</v>
      </c>
      <c r="L46" s="25" t="n">
        <v>10.4</v>
      </c>
      <c r="M46" s="25" t="n">
        <v>416</v>
      </c>
      <c r="N46" s="25" t="n">
        <v>53.41</v>
      </c>
      <c r="O46" s="25" t="n">
        <v>469.41</v>
      </c>
      <c r="P46" s="22" t="s">
        <v>11407</v>
      </c>
      <c r="Q46" s="23" t="n">
        <v>46249</v>
      </c>
      <c r="R46" s="22" t="n">
        <f aca="false">I46*J46</f>
        <v>40</v>
      </c>
      <c r="S46" s="25" t="n">
        <f aca="false">K46-R46</f>
        <v>0</v>
      </c>
      <c r="T46" s="25" t="n">
        <f aca="false">K46*L46</f>
        <v>416</v>
      </c>
      <c r="U46" s="25" t="n">
        <f aca="false">M46-T46</f>
        <v>0</v>
      </c>
      <c r="V46" s="25" t="n">
        <f aca="false">M46+N46</f>
        <v>469.41</v>
      </c>
      <c r="W46" s="25" t="n">
        <f aca="false">O46-V46</f>
        <v>0</v>
      </c>
      <c r="X46" s="22" t="str">
        <f aca="false">IF(OR(ABS(S46)&gt;0.005,ABS(U46)&gt;0.005,ABS(W46)&gt;0.005),"Subledger arithmetic error","OK")</f>
        <v>OK</v>
      </c>
      <c r="Y46" s="22" t="str">
        <f aca="false">IF(X46="OK","","Priority 3")</f>
        <v/>
      </c>
    </row>
    <row r="47" customFormat="false" ht="15" hidden="false" customHeight="false" outlineLevel="0" collapsed="false">
      <c r="A47" s="22" t="s">
        <v>11497</v>
      </c>
      <c r="B47" s="23" t="n">
        <v>46235</v>
      </c>
      <c r="C47" s="22" t="s">
        <v>11498</v>
      </c>
      <c r="D47" s="22" t="s">
        <v>5588</v>
      </c>
      <c r="E47" s="22" t="s">
        <v>6723</v>
      </c>
      <c r="F47" s="22" t="s">
        <v>198</v>
      </c>
      <c r="G47" s="22" t="s">
        <v>8601</v>
      </c>
      <c r="H47" s="22" t="s">
        <v>11406</v>
      </c>
      <c r="I47" s="22" t="n">
        <v>28</v>
      </c>
      <c r="J47" s="22" t="n">
        <v>1</v>
      </c>
      <c r="K47" s="22" t="n">
        <v>28</v>
      </c>
      <c r="L47" s="25" t="n">
        <v>10.4</v>
      </c>
      <c r="M47" s="25" t="n">
        <v>291.2</v>
      </c>
      <c r="N47" s="25" t="n">
        <v>37.39</v>
      </c>
      <c r="O47" s="25" t="n">
        <v>328.59</v>
      </c>
      <c r="P47" s="22" t="s">
        <v>11407</v>
      </c>
      <c r="Q47" s="23" t="n">
        <v>46249</v>
      </c>
      <c r="R47" s="22" t="n">
        <f aca="false">I47*J47</f>
        <v>28</v>
      </c>
      <c r="S47" s="25" t="n">
        <f aca="false">K47-R47</f>
        <v>0</v>
      </c>
      <c r="T47" s="25" t="n">
        <f aca="false">K47*L47</f>
        <v>291.2</v>
      </c>
      <c r="U47" s="25" t="n">
        <f aca="false">M47-T47</f>
        <v>0</v>
      </c>
      <c r="V47" s="25" t="n">
        <f aca="false">M47+N47</f>
        <v>328.59</v>
      </c>
      <c r="W47" s="25" t="n">
        <f aca="false">O47-V47</f>
        <v>0</v>
      </c>
      <c r="X47" s="22" t="str">
        <f aca="false">IF(OR(ABS(S47)&gt;0.005,ABS(U47)&gt;0.005,ABS(W47)&gt;0.005),"Subledger arithmetic error","OK")</f>
        <v>OK</v>
      </c>
      <c r="Y47" s="22" t="str">
        <f aca="false">IF(X47="OK","","Priority 3")</f>
        <v/>
      </c>
    </row>
    <row r="48" customFormat="false" ht="15" hidden="false" customHeight="false" outlineLevel="0" collapsed="false">
      <c r="A48" s="22" t="s">
        <v>11499</v>
      </c>
      <c r="B48" s="23" t="n">
        <v>46235</v>
      </c>
      <c r="C48" s="22" t="s">
        <v>11500</v>
      </c>
      <c r="D48" s="22" t="s">
        <v>4830</v>
      </c>
      <c r="E48" s="22" t="s">
        <v>6727</v>
      </c>
      <c r="F48" s="22" t="s">
        <v>198</v>
      </c>
      <c r="G48" s="22" t="s">
        <v>8601</v>
      </c>
      <c r="H48" s="22" t="s">
        <v>11406</v>
      </c>
      <c r="I48" s="22" t="n">
        <v>38</v>
      </c>
      <c r="J48" s="22" t="n">
        <v>1</v>
      </c>
      <c r="K48" s="22" t="n">
        <v>38</v>
      </c>
      <c r="L48" s="25" t="n">
        <v>10.4</v>
      </c>
      <c r="M48" s="25" t="n">
        <v>395.2</v>
      </c>
      <c r="N48" s="25" t="n">
        <v>50.74</v>
      </c>
      <c r="O48" s="25" t="n">
        <v>445.94</v>
      </c>
      <c r="P48" s="22" t="s">
        <v>11410</v>
      </c>
      <c r="Q48" s="23" t="n">
        <v>46249</v>
      </c>
      <c r="R48" s="22" t="n">
        <f aca="false">I48*J48</f>
        <v>38</v>
      </c>
      <c r="S48" s="25" t="n">
        <f aca="false">K48-R48</f>
        <v>0</v>
      </c>
      <c r="T48" s="25" t="n">
        <f aca="false">K48*L48</f>
        <v>395.2</v>
      </c>
      <c r="U48" s="25" t="n">
        <f aca="false">M48-T48</f>
        <v>0</v>
      </c>
      <c r="V48" s="25" t="n">
        <f aca="false">M48+N48</f>
        <v>445.94</v>
      </c>
      <c r="W48" s="25" t="n">
        <f aca="false">O48-V48</f>
        <v>0</v>
      </c>
      <c r="X48" s="22" t="str">
        <f aca="false">IF(OR(ABS(S48)&gt;0.005,ABS(U48)&gt;0.005,ABS(W48)&gt;0.005),"Subledger arithmetic error","OK")</f>
        <v>OK</v>
      </c>
      <c r="Y48" s="22" t="str">
        <f aca="false">IF(X48="OK","","Priority 3")</f>
        <v/>
      </c>
    </row>
    <row r="49" customFormat="false" ht="15" hidden="false" customHeight="false" outlineLevel="0" collapsed="false">
      <c r="A49" s="22" t="s">
        <v>11501</v>
      </c>
      <c r="B49" s="23" t="n">
        <v>46235</v>
      </c>
      <c r="C49" s="22" t="s">
        <v>11502</v>
      </c>
      <c r="D49" s="22" t="s">
        <v>4430</v>
      </c>
      <c r="E49" s="22" t="s">
        <v>6730</v>
      </c>
      <c r="F49" s="22" t="s">
        <v>198</v>
      </c>
      <c r="G49" s="22" t="s">
        <v>8601</v>
      </c>
      <c r="H49" s="22" t="s">
        <v>11406</v>
      </c>
      <c r="I49" s="22" t="n">
        <v>54</v>
      </c>
      <c r="J49" s="22" t="n">
        <v>1</v>
      </c>
      <c r="K49" s="22" t="n">
        <v>54</v>
      </c>
      <c r="L49" s="25" t="n">
        <v>10.4</v>
      </c>
      <c r="M49" s="25" t="n">
        <v>561.6</v>
      </c>
      <c r="N49" s="25" t="n">
        <v>72.11</v>
      </c>
      <c r="O49" s="25" t="n">
        <v>633.71</v>
      </c>
      <c r="P49" s="22" t="s">
        <v>11407</v>
      </c>
      <c r="Q49" s="23" t="n">
        <v>46249</v>
      </c>
      <c r="R49" s="22" t="n">
        <f aca="false">I49*J49</f>
        <v>54</v>
      </c>
      <c r="S49" s="25" t="n">
        <f aca="false">K49-R49</f>
        <v>0</v>
      </c>
      <c r="T49" s="25" t="n">
        <f aca="false">K49*L49</f>
        <v>561.6</v>
      </c>
      <c r="U49" s="25" t="n">
        <f aca="false">M49-T49</f>
        <v>0</v>
      </c>
      <c r="V49" s="25" t="n">
        <f aca="false">M49+N49</f>
        <v>633.71</v>
      </c>
      <c r="W49" s="25" t="n">
        <f aca="false">O49-V49</f>
        <v>0</v>
      </c>
      <c r="X49" s="22" t="str">
        <f aca="false">IF(OR(ABS(S49)&gt;0.005,ABS(U49)&gt;0.005,ABS(W49)&gt;0.005),"Subledger arithmetic error","OK")</f>
        <v>OK</v>
      </c>
      <c r="Y49" s="22" t="str">
        <f aca="false">IF(X49="OK","","Priority 3")</f>
        <v/>
      </c>
    </row>
    <row r="50" customFormat="false" ht="15" hidden="false" customHeight="false" outlineLevel="0" collapsed="false">
      <c r="A50" s="22" t="s">
        <v>11503</v>
      </c>
      <c r="B50" s="23" t="n">
        <v>46235</v>
      </c>
      <c r="C50" s="22" t="s">
        <v>11504</v>
      </c>
      <c r="D50" s="22" t="s">
        <v>5679</v>
      </c>
      <c r="E50" s="22" t="s">
        <v>6736</v>
      </c>
      <c r="F50" s="22" t="s">
        <v>198</v>
      </c>
      <c r="G50" s="22" t="s">
        <v>8601</v>
      </c>
      <c r="H50" s="22" t="s">
        <v>11406</v>
      </c>
      <c r="I50" s="22" t="n">
        <v>32</v>
      </c>
      <c r="J50" s="22" t="n">
        <v>1</v>
      </c>
      <c r="K50" s="22" t="n">
        <v>32</v>
      </c>
      <c r="L50" s="25" t="n">
        <v>10.4</v>
      </c>
      <c r="M50" s="25" t="n">
        <v>332.8</v>
      </c>
      <c r="N50" s="25" t="n">
        <v>42.73</v>
      </c>
      <c r="O50" s="25" t="n">
        <v>375.53</v>
      </c>
      <c r="P50" s="22" t="s">
        <v>11407</v>
      </c>
      <c r="Q50" s="23" t="n">
        <v>46249</v>
      </c>
      <c r="R50" s="22" t="n">
        <f aca="false">I50*J50</f>
        <v>32</v>
      </c>
      <c r="S50" s="25" t="n">
        <f aca="false">K50-R50</f>
        <v>0</v>
      </c>
      <c r="T50" s="25" t="n">
        <f aca="false">K50*L50</f>
        <v>332.8</v>
      </c>
      <c r="U50" s="25" t="n">
        <f aca="false">M50-T50</f>
        <v>0</v>
      </c>
      <c r="V50" s="25" t="n">
        <f aca="false">M50+N50</f>
        <v>375.53</v>
      </c>
      <c r="W50" s="25" t="n">
        <f aca="false">O50-V50</f>
        <v>0</v>
      </c>
      <c r="X50" s="22" t="str">
        <f aca="false">IF(OR(ABS(S50)&gt;0.005,ABS(U50)&gt;0.005,ABS(W50)&gt;0.005),"Subledger arithmetic error","OK")</f>
        <v>OK</v>
      </c>
      <c r="Y50" s="22" t="str">
        <f aca="false">IF(X50="OK","","Priority 3")</f>
        <v/>
      </c>
    </row>
    <row r="51" customFormat="false" ht="15" hidden="false" customHeight="false" outlineLevel="0" collapsed="false">
      <c r="A51" s="22" t="s">
        <v>11505</v>
      </c>
      <c r="B51" s="23" t="n">
        <v>46235</v>
      </c>
      <c r="C51" s="22" t="s">
        <v>11506</v>
      </c>
      <c r="D51" s="22" t="s">
        <v>3390</v>
      </c>
      <c r="E51" s="22" t="s">
        <v>6739</v>
      </c>
      <c r="F51" s="22" t="s">
        <v>198</v>
      </c>
      <c r="G51" s="22" t="s">
        <v>8601</v>
      </c>
      <c r="H51" s="22" t="s">
        <v>11406</v>
      </c>
      <c r="I51" s="22" t="n">
        <v>55</v>
      </c>
      <c r="J51" s="22" t="n">
        <v>1</v>
      </c>
      <c r="K51" s="22" t="n">
        <v>55</v>
      </c>
      <c r="L51" s="25" t="n">
        <v>10.4</v>
      </c>
      <c r="M51" s="25" t="n">
        <v>572</v>
      </c>
      <c r="N51" s="25" t="n">
        <v>73.44</v>
      </c>
      <c r="O51" s="25" t="n">
        <v>645.44</v>
      </c>
      <c r="P51" s="22" t="s">
        <v>11407</v>
      </c>
      <c r="Q51" s="23" t="n">
        <v>46249</v>
      </c>
      <c r="R51" s="22" t="n">
        <f aca="false">I51*J51</f>
        <v>55</v>
      </c>
      <c r="S51" s="25" t="n">
        <f aca="false">K51-R51</f>
        <v>0</v>
      </c>
      <c r="T51" s="25" t="n">
        <f aca="false">K51*L51</f>
        <v>572</v>
      </c>
      <c r="U51" s="25" t="n">
        <f aca="false">M51-T51</f>
        <v>0</v>
      </c>
      <c r="V51" s="25" t="n">
        <f aca="false">M51+N51</f>
        <v>645.44</v>
      </c>
      <c r="W51" s="25" t="n">
        <f aca="false">O51-V51</f>
        <v>0</v>
      </c>
      <c r="X51" s="22" t="str">
        <f aca="false">IF(OR(ABS(S51)&gt;0.005,ABS(U51)&gt;0.005,ABS(W51)&gt;0.005),"Subledger arithmetic error","OK")</f>
        <v>OK</v>
      </c>
      <c r="Y51" s="22" t="str">
        <f aca="false">IF(X51="OK","","Priority 3")</f>
        <v/>
      </c>
    </row>
    <row r="52" customFormat="false" ht="15" hidden="false" customHeight="false" outlineLevel="0" collapsed="false">
      <c r="A52" s="22" t="s">
        <v>11507</v>
      </c>
      <c r="B52" s="23" t="n">
        <v>46235</v>
      </c>
      <c r="C52" s="22" t="s">
        <v>11508</v>
      </c>
      <c r="D52" s="22" t="s">
        <v>5198</v>
      </c>
      <c r="E52" s="22" t="s">
        <v>6742</v>
      </c>
      <c r="F52" s="22" t="s">
        <v>198</v>
      </c>
      <c r="G52" s="22" t="s">
        <v>8601</v>
      </c>
      <c r="H52" s="22" t="s">
        <v>11406</v>
      </c>
      <c r="I52" s="22" t="n">
        <v>61</v>
      </c>
      <c r="J52" s="22" t="n">
        <v>1</v>
      </c>
      <c r="K52" s="22" t="n">
        <v>61</v>
      </c>
      <c r="L52" s="25" t="n">
        <v>10.4</v>
      </c>
      <c r="M52" s="25" t="n">
        <v>634.4</v>
      </c>
      <c r="N52" s="25" t="n">
        <v>81.46</v>
      </c>
      <c r="O52" s="25" t="n">
        <v>715.86</v>
      </c>
      <c r="P52" s="22" t="s">
        <v>11407</v>
      </c>
      <c r="Q52" s="23" t="n">
        <v>46249</v>
      </c>
      <c r="R52" s="22" t="n">
        <f aca="false">I52*J52</f>
        <v>61</v>
      </c>
      <c r="S52" s="25" t="n">
        <f aca="false">K52-R52</f>
        <v>0</v>
      </c>
      <c r="T52" s="25" t="n">
        <f aca="false">K52*L52</f>
        <v>634.4</v>
      </c>
      <c r="U52" s="25" t="n">
        <f aca="false">M52-T52</f>
        <v>0</v>
      </c>
      <c r="V52" s="25" t="n">
        <f aca="false">M52+N52</f>
        <v>715.86</v>
      </c>
      <c r="W52" s="25" t="n">
        <f aca="false">O52-V52</f>
        <v>0</v>
      </c>
      <c r="X52" s="22" t="str">
        <f aca="false">IF(OR(ABS(S52)&gt;0.005,ABS(U52)&gt;0.005,ABS(W52)&gt;0.005),"Subledger arithmetic error","OK")</f>
        <v>OK</v>
      </c>
      <c r="Y52" s="22" t="str">
        <f aca="false">IF(X52="OK","","Priority 3")</f>
        <v/>
      </c>
    </row>
    <row r="53" customFormat="false" ht="15" hidden="false" customHeight="false" outlineLevel="0" collapsed="false">
      <c r="A53" s="22" t="s">
        <v>11509</v>
      </c>
      <c r="B53" s="23" t="n">
        <v>46235</v>
      </c>
      <c r="C53" s="22" t="s">
        <v>11510</v>
      </c>
      <c r="D53" s="22" t="s">
        <v>4496</v>
      </c>
      <c r="E53" s="22" t="s">
        <v>6747</v>
      </c>
      <c r="F53" s="22" t="s">
        <v>198</v>
      </c>
      <c r="G53" s="22" t="s">
        <v>8601</v>
      </c>
      <c r="H53" s="22" t="s">
        <v>11406</v>
      </c>
      <c r="I53" s="22" t="n">
        <v>43</v>
      </c>
      <c r="J53" s="22" t="n">
        <v>1</v>
      </c>
      <c r="K53" s="22" t="n">
        <v>43</v>
      </c>
      <c r="L53" s="25" t="n">
        <v>10.4</v>
      </c>
      <c r="M53" s="25" t="n">
        <v>447.2</v>
      </c>
      <c r="N53" s="25" t="n">
        <v>57.42</v>
      </c>
      <c r="O53" s="25" t="n">
        <v>504.62</v>
      </c>
      <c r="P53" s="22" t="s">
        <v>11407</v>
      </c>
      <c r="Q53" s="23" t="n">
        <v>46249</v>
      </c>
      <c r="R53" s="22" t="n">
        <f aca="false">I53*J53</f>
        <v>43</v>
      </c>
      <c r="S53" s="25" t="n">
        <f aca="false">K53-R53</f>
        <v>0</v>
      </c>
      <c r="T53" s="25" t="n">
        <f aca="false">K53*L53</f>
        <v>447.2</v>
      </c>
      <c r="U53" s="25" t="n">
        <f aca="false">M53-T53</f>
        <v>0</v>
      </c>
      <c r="V53" s="25" t="n">
        <f aca="false">M53+N53</f>
        <v>504.62</v>
      </c>
      <c r="W53" s="25" t="n">
        <f aca="false">O53-V53</f>
        <v>0</v>
      </c>
      <c r="X53" s="22" t="str">
        <f aca="false">IF(OR(ABS(S53)&gt;0.005,ABS(U53)&gt;0.005,ABS(W53)&gt;0.005),"Subledger arithmetic error","OK")</f>
        <v>OK</v>
      </c>
      <c r="Y53" s="22" t="str">
        <f aca="false">IF(X53="OK","","Priority 3")</f>
        <v/>
      </c>
    </row>
    <row r="54" customFormat="false" ht="15" hidden="false" customHeight="false" outlineLevel="0" collapsed="false">
      <c r="A54" s="22" t="s">
        <v>11511</v>
      </c>
      <c r="B54" s="23" t="n">
        <v>46235</v>
      </c>
      <c r="C54" s="22" t="s">
        <v>11512</v>
      </c>
      <c r="D54" s="22" t="s">
        <v>1748</v>
      </c>
      <c r="E54" s="22" t="s">
        <v>6751</v>
      </c>
      <c r="F54" s="22" t="s">
        <v>198</v>
      </c>
      <c r="G54" s="22" t="s">
        <v>8601</v>
      </c>
      <c r="H54" s="22" t="s">
        <v>11406</v>
      </c>
      <c r="I54" s="22" t="n">
        <v>24</v>
      </c>
      <c r="J54" s="22" t="n">
        <v>1</v>
      </c>
      <c r="K54" s="22" t="n">
        <v>24</v>
      </c>
      <c r="L54" s="25" t="n">
        <v>10.4</v>
      </c>
      <c r="M54" s="25" t="n">
        <v>249.6</v>
      </c>
      <c r="N54" s="25" t="n">
        <v>32.05</v>
      </c>
      <c r="O54" s="25" t="n">
        <v>281.65</v>
      </c>
      <c r="P54" s="22" t="s">
        <v>11407</v>
      </c>
      <c r="Q54" s="23" t="n">
        <v>46249</v>
      </c>
      <c r="R54" s="22" t="n">
        <f aca="false">I54*J54</f>
        <v>24</v>
      </c>
      <c r="S54" s="25" t="n">
        <f aca="false">K54-R54</f>
        <v>0</v>
      </c>
      <c r="T54" s="25" t="n">
        <f aca="false">K54*L54</f>
        <v>249.6</v>
      </c>
      <c r="U54" s="25" t="n">
        <f aca="false">M54-T54</f>
        <v>0</v>
      </c>
      <c r="V54" s="25" t="n">
        <f aca="false">M54+N54</f>
        <v>281.65</v>
      </c>
      <c r="W54" s="25" t="n">
        <f aca="false">O54-V54</f>
        <v>0</v>
      </c>
      <c r="X54" s="22" t="str">
        <f aca="false">IF(OR(ABS(S54)&gt;0.005,ABS(U54)&gt;0.005,ABS(W54)&gt;0.005),"Subledger arithmetic error","OK")</f>
        <v>OK</v>
      </c>
      <c r="Y54" s="22" t="str">
        <f aca="false">IF(X54="OK","","Priority 3")</f>
        <v/>
      </c>
    </row>
    <row r="55" customFormat="false" ht="15" hidden="false" customHeight="false" outlineLevel="0" collapsed="false">
      <c r="A55" s="22" t="s">
        <v>11513</v>
      </c>
      <c r="B55" s="23" t="n">
        <v>46235</v>
      </c>
      <c r="C55" s="22" t="s">
        <v>11514</v>
      </c>
      <c r="D55" s="22" t="s">
        <v>5405</v>
      </c>
      <c r="E55" s="22" t="s">
        <v>6754</v>
      </c>
      <c r="F55" s="22" t="s">
        <v>198</v>
      </c>
      <c r="G55" s="22" t="s">
        <v>8601</v>
      </c>
      <c r="H55" s="22" t="s">
        <v>11406</v>
      </c>
      <c r="I55" s="22" t="n">
        <v>32</v>
      </c>
      <c r="J55" s="22" t="n">
        <v>1</v>
      </c>
      <c r="K55" s="22" t="n">
        <v>32</v>
      </c>
      <c r="L55" s="25" t="n">
        <v>10.4</v>
      </c>
      <c r="M55" s="25" t="n">
        <v>332.8</v>
      </c>
      <c r="N55" s="25" t="n">
        <v>42.73</v>
      </c>
      <c r="O55" s="25" t="n">
        <v>375.53</v>
      </c>
      <c r="P55" s="22" t="s">
        <v>11407</v>
      </c>
      <c r="Q55" s="23" t="n">
        <v>46249</v>
      </c>
      <c r="R55" s="22" t="n">
        <f aca="false">I55*J55</f>
        <v>32</v>
      </c>
      <c r="S55" s="25" t="n">
        <f aca="false">K55-R55</f>
        <v>0</v>
      </c>
      <c r="T55" s="25" t="n">
        <f aca="false">K55*L55</f>
        <v>332.8</v>
      </c>
      <c r="U55" s="25" t="n">
        <f aca="false">M55-T55</f>
        <v>0</v>
      </c>
      <c r="V55" s="25" t="n">
        <f aca="false">M55+N55</f>
        <v>375.53</v>
      </c>
      <c r="W55" s="25" t="n">
        <f aca="false">O55-V55</f>
        <v>0</v>
      </c>
      <c r="X55" s="22" t="str">
        <f aca="false">IF(OR(ABS(S55)&gt;0.005,ABS(U55)&gt;0.005,ABS(W55)&gt;0.005),"Subledger arithmetic error","OK")</f>
        <v>OK</v>
      </c>
      <c r="Y55" s="22" t="str">
        <f aca="false">IF(X55="OK","","Priority 3")</f>
        <v/>
      </c>
    </row>
    <row r="56" customFormat="false" ht="15" hidden="false" customHeight="false" outlineLevel="0" collapsed="false">
      <c r="A56" s="22" t="s">
        <v>11515</v>
      </c>
      <c r="B56" s="23" t="n">
        <v>46235</v>
      </c>
      <c r="C56" s="22" t="s">
        <v>11516</v>
      </c>
      <c r="D56" s="22" t="s">
        <v>4066</v>
      </c>
      <c r="E56" s="22" t="s">
        <v>6757</v>
      </c>
      <c r="F56" s="22" t="s">
        <v>198</v>
      </c>
      <c r="G56" s="22" t="s">
        <v>8601</v>
      </c>
      <c r="H56" s="22" t="s">
        <v>11406</v>
      </c>
      <c r="I56" s="22" t="n">
        <v>32</v>
      </c>
      <c r="J56" s="22" t="n">
        <v>1</v>
      </c>
      <c r="K56" s="22" t="n">
        <v>32</v>
      </c>
      <c r="L56" s="25" t="n">
        <v>10.4</v>
      </c>
      <c r="M56" s="25" t="n">
        <v>332.8</v>
      </c>
      <c r="N56" s="25" t="n">
        <v>42.73</v>
      </c>
      <c r="O56" s="25" t="n">
        <v>375.53</v>
      </c>
      <c r="P56" s="22" t="s">
        <v>11407</v>
      </c>
      <c r="Q56" s="23" t="n">
        <v>46249</v>
      </c>
      <c r="R56" s="22" t="n">
        <f aca="false">I56*J56</f>
        <v>32</v>
      </c>
      <c r="S56" s="25" t="n">
        <f aca="false">K56-R56</f>
        <v>0</v>
      </c>
      <c r="T56" s="25" t="n">
        <f aca="false">K56*L56</f>
        <v>332.8</v>
      </c>
      <c r="U56" s="25" t="n">
        <f aca="false">M56-T56</f>
        <v>0</v>
      </c>
      <c r="V56" s="25" t="n">
        <f aca="false">M56+N56</f>
        <v>375.53</v>
      </c>
      <c r="W56" s="25" t="n">
        <f aca="false">O56-V56</f>
        <v>0</v>
      </c>
      <c r="X56" s="22" t="str">
        <f aca="false">IF(OR(ABS(S56)&gt;0.005,ABS(U56)&gt;0.005,ABS(W56)&gt;0.005),"Subledger arithmetic error","OK")</f>
        <v>OK</v>
      </c>
      <c r="Y56" s="22" t="str">
        <f aca="false">IF(X56="OK","","Priority 3")</f>
        <v/>
      </c>
    </row>
    <row r="57" customFormat="false" ht="15" hidden="false" customHeight="false" outlineLevel="0" collapsed="false">
      <c r="A57" s="22" t="s">
        <v>11517</v>
      </c>
      <c r="B57" s="23" t="n">
        <v>46235</v>
      </c>
      <c r="C57" s="22" t="s">
        <v>11518</v>
      </c>
      <c r="D57" s="22" t="s">
        <v>5288</v>
      </c>
      <c r="E57" s="22" t="s">
        <v>6760</v>
      </c>
      <c r="F57" s="22" t="s">
        <v>198</v>
      </c>
      <c r="G57" s="22" t="s">
        <v>8601</v>
      </c>
      <c r="H57" s="22" t="s">
        <v>11406</v>
      </c>
      <c r="I57" s="22" t="n">
        <v>32</v>
      </c>
      <c r="J57" s="22" t="n">
        <v>1</v>
      </c>
      <c r="K57" s="22" t="n">
        <v>32</v>
      </c>
      <c r="L57" s="25" t="n">
        <v>10.4</v>
      </c>
      <c r="M57" s="25" t="n">
        <v>332.8</v>
      </c>
      <c r="N57" s="25" t="n">
        <v>42.73</v>
      </c>
      <c r="O57" s="25" t="n">
        <v>375.53</v>
      </c>
      <c r="P57" s="22" t="s">
        <v>11407</v>
      </c>
      <c r="Q57" s="23" t="n">
        <v>46249</v>
      </c>
      <c r="R57" s="22" t="n">
        <f aca="false">I57*J57</f>
        <v>32</v>
      </c>
      <c r="S57" s="25" t="n">
        <f aca="false">K57-R57</f>
        <v>0</v>
      </c>
      <c r="T57" s="25" t="n">
        <f aca="false">K57*L57</f>
        <v>332.8</v>
      </c>
      <c r="U57" s="25" t="n">
        <f aca="false">M57-T57</f>
        <v>0</v>
      </c>
      <c r="V57" s="25" t="n">
        <f aca="false">M57+N57</f>
        <v>375.53</v>
      </c>
      <c r="W57" s="25" t="n">
        <f aca="false">O57-V57</f>
        <v>0</v>
      </c>
      <c r="X57" s="22" t="str">
        <f aca="false">IF(OR(ABS(S57)&gt;0.005,ABS(U57)&gt;0.005,ABS(W57)&gt;0.005),"Subledger arithmetic error","OK")</f>
        <v>OK</v>
      </c>
      <c r="Y57" s="22" t="str">
        <f aca="false">IF(X57="OK","","Priority 3")</f>
        <v/>
      </c>
    </row>
    <row r="58" customFormat="false" ht="15" hidden="false" customHeight="false" outlineLevel="0" collapsed="false">
      <c r="A58" s="22" t="s">
        <v>11519</v>
      </c>
      <c r="B58" s="23" t="n">
        <v>46235</v>
      </c>
      <c r="C58" s="22" t="s">
        <v>11520</v>
      </c>
      <c r="D58" s="22" t="s">
        <v>4233</v>
      </c>
      <c r="E58" s="22" t="s">
        <v>6763</v>
      </c>
      <c r="F58" s="22" t="s">
        <v>198</v>
      </c>
      <c r="G58" s="22" t="s">
        <v>8601</v>
      </c>
      <c r="H58" s="22" t="s">
        <v>11406</v>
      </c>
      <c r="I58" s="22" t="n">
        <v>32</v>
      </c>
      <c r="J58" s="22" t="n">
        <v>1</v>
      </c>
      <c r="K58" s="22" t="n">
        <v>32</v>
      </c>
      <c r="L58" s="25" t="n">
        <v>10.4</v>
      </c>
      <c r="M58" s="25" t="n">
        <v>332.8</v>
      </c>
      <c r="N58" s="25" t="n">
        <v>42.73</v>
      </c>
      <c r="O58" s="25" t="n">
        <v>375.53</v>
      </c>
      <c r="P58" s="22" t="s">
        <v>11407</v>
      </c>
      <c r="Q58" s="23" t="n">
        <v>46249</v>
      </c>
      <c r="R58" s="22" t="n">
        <f aca="false">I58*J58</f>
        <v>32</v>
      </c>
      <c r="S58" s="25" t="n">
        <f aca="false">K58-R58</f>
        <v>0</v>
      </c>
      <c r="T58" s="25" t="n">
        <f aca="false">K58*L58</f>
        <v>332.8</v>
      </c>
      <c r="U58" s="25" t="n">
        <f aca="false">M58-T58</f>
        <v>0</v>
      </c>
      <c r="V58" s="25" t="n">
        <f aca="false">M58+N58</f>
        <v>375.53</v>
      </c>
      <c r="W58" s="25" t="n">
        <f aca="false">O58-V58</f>
        <v>0</v>
      </c>
      <c r="X58" s="22" t="str">
        <f aca="false">IF(OR(ABS(S58)&gt;0.005,ABS(U58)&gt;0.005,ABS(W58)&gt;0.005),"Subledger arithmetic error","OK")</f>
        <v>OK</v>
      </c>
      <c r="Y58" s="22" t="str">
        <f aca="false">IF(X58="OK","","Priority 3")</f>
        <v/>
      </c>
    </row>
    <row r="59" customFormat="false" ht="15" hidden="false" customHeight="false" outlineLevel="0" collapsed="false">
      <c r="A59" s="22" t="s">
        <v>11521</v>
      </c>
      <c r="B59" s="23" t="n">
        <v>46235</v>
      </c>
      <c r="C59" s="22" t="s">
        <v>11522</v>
      </c>
      <c r="D59" s="22" t="s">
        <v>6161</v>
      </c>
      <c r="E59" s="22" t="s">
        <v>6766</v>
      </c>
      <c r="F59" s="22" t="s">
        <v>198</v>
      </c>
      <c r="G59" s="22" t="s">
        <v>8601</v>
      </c>
      <c r="H59" s="22" t="s">
        <v>11406</v>
      </c>
      <c r="I59" s="22" t="n">
        <v>54</v>
      </c>
      <c r="J59" s="22" t="n">
        <v>1</v>
      </c>
      <c r="K59" s="22" t="n">
        <v>54</v>
      </c>
      <c r="L59" s="25" t="n">
        <v>10.4</v>
      </c>
      <c r="M59" s="25" t="n">
        <v>561.6</v>
      </c>
      <c r="N59" s="25" t="n">
        <v>72.11</v>
      </c>
      <c r="O59" s="25" t="n">
        <v>633.71</v>
      </c>
      <c r="P59" s="22" t="s">
        <v>11407</v>
      </c>
      <c r="Q59" s="23" t="n">
        <v>46249</v>
      </c>
      <c r="R59" s="22" t="n">
        <f aca="false">I59*J59</f>
        <v>54</v>
      </c>
      <c r="S59" s="25" t="n">
        <f aca="false">K59-R59</f>
        <v>0</v>
      </c>
      <c r="T59" s="25" t="n">
        <f aca="false">K59*L59</f>
        <v>561.6</v>
      </c>
      <c r="U59" s="25" t="n">
        <f aca="false">M59-T59</f>
        <v>0</v>
      </c>
      <c r="V59" s="25" t="n">
        <f aca="false">M59+N59</f>
        <v>633.71</v>
      </c>
      <c r="W59" s="25" t="n">
        <f aca="false">O59-V59</f>
        <v>0</v>
      </c>
      <c r="X59" s="22" t="str">
        <f aca="false">IF(OR(ABS(S59)&gt;0.005,ABS(U59)&gt;0.005,ABS(W59)&gt;0.005),"Subledger arithmetic error","OK")</f>
        <v>OK</v>
      </c>
      <c r="Y59" s="22" t="str">
        <f aca="false">IF(X59="OK","","Priority 3")</f>
        <v/>
      </c>
    </row>
    <row r="60" customFormat="false" ht="15" hidden="false" customHeight="false" outlineLevel="0" collapsed="false">
      <c r="A60" s="22" t="s">
        <v>11523</v>
      </c>
      <c r="B60" s="23" t="n">
        <v>46235</v>
      </c>
      <c r="C60" s="22" t="s">
        <v>11524</v>
      </c>
      <c r="D60" s="22" t="s">
        <v>4573</v>
      </c>
      <c r="E60" s="22" t="s">
        <v>6769</v>
      </c>
      <c r="F60" s="22" t="s">
        <v>198</v>
      </c>
      <c r="G60" s="22" t="s">
        <v>8601</v>
      </c>
      <c r="H60" s="22" t="s">
        <v>11406</v>
      </c>
      <c r="I60" s="22" t="n">
        <v>40</v>
      </c>
      <c r="J60" s="22" t="n">
        <v>1</v>
      </c>
      <c r="K60" s="22" t="n">
        <v>40</v>
      </c>
      <c r="L60" s="25" t="n">
        <v>10.4</v>
      </c>
      <c r="M60" s="25" t="n">
        <v>416</v>
      </c>
      <c r="N60" s="25" t="n">
        <v>53.41</v>
      </c>
      <c r="O60" s="25" t="n">
        <v>469.41</v>
      </c>
      <c r="P60" s="22" t="s">
        <v>11407</v>
      </c>
      <c r="Q60" s="23" t="n">
        <v>46249</v>
      </c>
      <c r="R60" s="22" t="n">
        <f aca="false">I60*J60</f>
        <v>40</v>
      </c>
      <c r="S60" s="25" t="n">
        <f aca="false">K60-R60</f>
        <v>0</v>
      </c>
      <c r="T60" s="25" t="n">
        <f aca="false">K60*L60</f>
        <v>416</v>
      </c>
      <c r="U60" s="25" t="n">
        <f aca="false">M60-T60</f>
        <v>0</v>
      </c>
      <c r="V60" s="25" t="n">
        <f aca="false">M60+N60</f>
        <v>469.41</v>
      </c>
      <c r="W60" s="25" t="n">
        <f aca="false">O60-V60</f>
        <v>0</v>
      </c>
      <c r="X60" s="22" t="str">
        <f aca="false">IF(OR(ABS(S60)&gt;0.005,ABS(U60)&gt;0.005,ABS(W60)&gt;0.005),"Subledger arithmetic error","OK")</f>
        <v>OK</v>
      </c>
      <c r="Y60" s="22" t="str">
        <f aca="false">IF(X60="OK","","Priority 3")</f>
        <v/>
      </c>
    </row>
    <row r="61" customFormat="false" ht="15" hidden="false" customHeight="false" outlineLevel="0" collapsed="false">
      <c r="A61" s="22" t="s">
        <v>11525</v>
      </c>
      <c r="B61" s="23" t="n">
        <v>46235</v>
      </c>
      <c r="C61" s="22" t="s">
        <v>11526</v>
      </c>
      <c r="D61" s="22" t="s">
        <v>5716</v>
      </c>
      <c r="E61" s="22" t="s">
        <v>6772</v>
      </c>
      <c r="F61" s="22" t="s">
        <v>198</v>
      </c>
      <c r="G61" s="22" t="s">
        <v>8601</v>
      </c>
      <c r="H61" s="22" t="s">
        <v>11406</v>
      </c>
      <c r="I61" s="22" t="n">
        <v>35</v>
      </c>
      <c r="J61" s="22" t="n">
        <v>1</v>
      </c>
      <c r="K61" s="22" t="n">
        <v>35</v>
      </c>
      <c r="L61" s="25" t="n">
        <v>10.4</v>
      </c>
      <c r="M61" s="25" t="n">
        <v>364</v>
      </c>
      <c r="N61" s="25" t="n">
        <v>46.74</v>
      </c>
      <c r="O61" s="25" t="n">
        <v>410.74</v>
      </c>
      <c r="P61" s="22" t="s">
        <v>11410</v>
      </c>
      <c r="Q61" s="23" t="n">
        <v>46249</v>
      </c>
      <c r="R61" s="22" t="n">
        <f aca="false">I61*J61</f>
        <v>35</v>
      </c>
      <c r="S61" s="25" t="n">
        <f aca="false">K61-R61</f>
        <v>0</v>
      </c>
      <c r="T61" s="25" t="n">
        <f aca="false">K61*L61</f>
        <v>364</v>
      </c>
      <c r="U61" s="25" t="n">
        <f aca="false">M61-T61</f>
        <v>0</v>
      </c>
      <c r="V61" s="25" t="n">
        <f aca="false">M61+N61</f>
        <v>410.74</v>
      </c>
      <c r="W61" s="25" t="n">
        <f aca="false">O61-V61</f>
        <v>0</v>
      </c>
      <c r="X61" s="22" t="str">
        <f aca="false">IF(OR(ABS(S61)&gt;0.005,ABS(U61)&gt;0.005,ABS(W61)&gt;0.005),"Subledger arithmetic error","OK")</f>
        <v>OK</v>
      </c>
      <c r="Y61" s="22" t="str">
        <f aca="false">IF(X61="OK","","Priority 3")</f>
        <v/>
      </c>
    </row>
    <row r="62" customFormat="false" ht="15" hidden="false" customHeight="false" outlineLevel="0" collapsed="false">
      <c r="A62" s="22" t="s">
        <v>11527</v>
      </c>
      <c r="B62" s="23" t="n">
        <v>46235</v>
      </c>
      <c r="C62" s="22" t="s">
        <v>11528</v>
      </c>
      <c r="D62" s="22" t="s">
        <v>3759</v>
      </c>
      <c r="E62" s="22" t="s">
        <v>6776</v>
      </c>
      <c r="F62" s="22" t="s">
        <v>198</v>
      </c>
      <c r="G62" s="22" t="s">
        <v>8601</v>
      </c>
      <c r="H62" s="22" t="s">
        <v>11406</v>
      </c>
      <c r="I62" s="22" t="n">
        <v>54</v>
      </c>
      <c r="J62" s="22" t="n">
        <v>1</v>
      </c>
      <c r="K62" s="22" t="n">
        <v>54</v>
      </c>
      <c r="L62" s="25" t="n">
        <v>10.4</v>
      </c>
      <c r="M62" s="25" t="n">
        <v>561.6</v>
      </c>
      <c r="N62" s="25" t="n">
        <v>72.11</v>
      </c>
      <c r="O62" s="25" t="n">
        <v>633.71</v>
      </c>
      <c r="P62" s="22" t="s">
        <v>11407</v>
      </c>
      <c r="Q62" s="23" t="n">
        <v>46249</v>
      </c>
      <c r="R62" s="22" t="n">
        <f aca="false">I62*J62</f>
        <v>54</v>
      </c>
      <c r="S62" s="25" t="n">
        <f aca="false">K62-R62</f>
        <v>0</v>
      </c>
      <c r="T62" s="25" t="n">
        <f aca="false">K62*L62</f>
        <v>561.6</v>
      </c>
      <c r="U62" s="25" t="n">
        <f aca="false">M62-T62</f>
        <v>0</v>
      </c>
      <c r="V62" s="25" t="n">
        <f aca="false">M62+N62</f>
        <v>633.71</v>
      </c>
      <c r="W62" s="25" t="n">
        <f aca="false">O62-V62</f>
        <v>0</v>
      </c>
      <c r="X62" s="22" t="str">
        <f aca="false">IF(OR(ABS(S62)&gt;0.005,ABS(U62)&gt;0.005,ABS(W62)&gt;0.005),"Subledger arithmetic error","OK")</f>
        <v>OK</v>
      </c>
      <c r="Y62" s="22" t="str">
        <f aca="false">IF(X62="OK","","Priority 3")</f>
        <v/>
      </c>
    </row>
    <row r="63" customFormat="false" ht="15" hidden="false" customHeight="false" outlineLevel="0" collapsed="false">
      <c r="A63" s="22" t="s">
        <v>11529</v>
      </c>
      <c r="B63" s="23" t="n">
        <v>46235</v>
      </c>
      <c r="C63" s="22" t="s">
        <v>11530</v>
      </c>
      <c r="D63" s="22" t="s">
        <v>5568</v>
      </c>
      <c r="E63" s="22" t="s">
        <v>6779</v>
      </c>
      <c r="F63" s="22" t="s">
        <v>198</v>
      </c>
      <c r="G63" s="22" t="s">
        <v>8601</v>
      </c>
      <c r="H63" s="22" t="s">
        <v>11406</v>
      </c>
      <c r="I63" s="22" t="n">
        <v>35</v>
      </c>
      <c r="J63" s="22" t="n">
        <v>1</v>
      </c>
      <c r="K63" s="22" t="n">
        <v>35</v>
      </c>
      <c r="L63" s="25" t="n">
        <v>10.4</v>
      </c>
      <c r="M63" s="25" t="n">
        <v>364</v>
      </c>
      <c r="N63" s="25" t="n">
        <v>46.74</v>
      </c>
      <c r="O63" s="25" t="n">
        <v>410.74</v>
      </c>
      <c r="P63" s="22" t="s">
        <v>11407</v>
      </c>
      <c r="Q63" s="23" t="n">
        <v>46249</v>
      </c>
      <c r="R63" s="22" t="n">
        <f aca="false">I63*J63</f>
        <v>35</v>
      </c>
      <c r="S63" s="25" t="n">
        <f aca="false">K63-R63</f>
        <v>0</v>
      </c>
      <c r="T63" s="25" t="n">
        <f aca="false">K63*L63</f>
        <v>364</v>
      </c>
      <c r="U63" s="25" t="n">
        <f aca="false">M63-T63</f>
        <v>0</v>
      </c>
      <c r="V63" s="25" t="n">
        <f aca="false">M63+N63</f>
        <v>410.74</v>
      </c>
      <c r="W63" s="25" t="n">
        <f aca="false">O63-V63</f>
        <v>0</v>
      </c>
      <c r="X63" s="22" t="str">
        <f aca="false">IF(OR(ABS(S63)&gt;0.005,ABS(U63)&gt;0.005,ABS(W63)&gt;0.005),"Subledger arithmetic error","OK")</f>
        <v>OK</v>
      </c>
      <c r="Y63" s="22" t="str">
        <f aca="false">IF(X63="OK","","Priority 3")</f>
        <v/>
      </c>
    </row>
    <row r="64" customFormat="false" ht="15" hidden="false" customHeight="false" outlineLevel="0" collapsed="false">
      <c r="A64" s="22" t="s">
        <v>11531</v>
      </c>
      <c r="B64" s="23" t="n">
        <v>46235</v>
      </c>
      <c r="C64" s="22" t="s">
        <v>11532</v>
      </c>
      <c r="D64" s="22" t="s">
        <v>1622</v>
      </c>
      <c r="E64" s="22" t="s">
        <v>6782</v>
      </c>
      <c r="F64" s="22" t="s">
        <v>198</v>
      </c>
      <c r="G64" s="22" t="s">
        <v>8601</v>
      </c>
      <c r="H64" s="22" t="s">
        <v>11406</v>
      </c>
      <c r="I64" s="22" t="n">
        <v>58</v>
      </c>
      <c r="J64" s="22" t="n">
        <v>1</v>
      </c>
      <c r="K64" s="22" t="n">
        <v>58</v>
      </c>
      <c r="L64" s="25" t="n">
        <v>10.4</v>
      </c>
      <c r="M64" s="25" t="n">
        <v>603.2</v>
      </c>
      <c r="N64" s="25" t="n">
        <v>77.45</v>
      </c>
      <c r="O64" s="25" t="n">
        <v>680.65</v>
      </c>
      <c r="P64" s="22" t="s">
        <v>11407</v>
      </c>
      <c r="Q64" s="23" t="n">
        <v>46249</v>
      </c>
      <c r="R64" s="22" t="n">
        <f aca="false">I64*J64</f>
        <v>58</v>
      </c>
      <c r="S64" s="25" t="n">
        <f aca="false">K64-R64</f>
        <v>0</v>
      </c>
      <c r="T64" s="25" t="n">
        <f aca="false">K64*L64</f>
        <v>603.2</v>
      </c>
      <c r="U64" s="25" t="n">
        <f aca="false">M64-T64</f>
        <v>0</v>
      </c>
      <c r="V64" s="25" t="n">
        <f aca="false">M64+N64</f>
        <v>680.65</v>
      </c>
      <c r="W64" s="25" t="n">
        <f aca="false">O64-V64</f>
        <v>0</v>
      </c>
      <c r="X64" s="22" t="str">
        <f aca="false">IF(OR(ABS(S64)&gt;0.005,ABS(U64)&gt;0.005,ABS(W64)&gt;0.005),"Subledger arithmetic error","OK")</f>
        <v>OK</v>
      </c>
      <c r="Y64" s="22" t="str">
        <f aca="false">IF(X64="OK","","Priority 3")</f>
        <v/>
      </c>
    </row>
    <row r="65" customFormat="false" ht="15" hidden="false" customHeight="false" outlineLevel="0" collapsed="false">
      <c r="A65" s="22" t="s">
        <v>11533</v>
      </c>
      <c r="B65" s="23" t="n">
        <v>46235</v>
      </c>
      <c r="C65" s="22" t="s">
        <v>11534</v>
      </c>
      <c r="D65" s="22" t="s">
        <v>3630</v>
      </c>
      <c r="E65" s="22" t="s">
        <v>6785</v>
      </c>
      <c r="F65" s="22" t="s">
        <v>198</v>
      </c>
      <c r="G65" s="22" t="s">
        <v>8601</v>
      </c>
      <c r="H65" s="22" t="s">
        <v>11406</v>
      </c>
      <c r="I65" s="22" t="n">
        <v>49</v>
      </c>
      <c r="J65" s="22" t="n">
        <v>1</v>
      </c>
      <c r="K65" s="22" t="n">
        <v>49</v>
      </c>
      <c r="L65" s="25" t="n">
        <v>10.4</v>
      </c>
      <c r="M65" s="25" t="n">
        <v>509.6</v>
      </c>
      <c r="N65" s="25" t="n">
        <v>65.43</v>
      </c>
      <c r="O65" s="25" t="n">
        <v>575.03</v>
      </c>
      <c r="P65" s="22" t="s">
        <v>11407</v>
      </c>
      <c r="Q65" s="23" t="n">
        <v>46249</v>
      </c>
      <c r="R65" s="22" t="n">
        <f aca="false">I65*J65</f>
        <v>49</v>
      </c>
      <c r="S65" s="25" t="n">
        <f aca="false">K65-R65</f>
        <v>0</v>
      </c>
      <c r="T65" s="25" t="n">
        <f aca="false">K65*L65</f>
        <v>509.6</v>
      </c>
      <c r="U65" s="25" t="n">
        <f aca="false">M65-T65</f>
        <v>0</v>
      </c>
      <c r="V65" s="25" t="n">
        <f aca="false">M65+N65</f>
        <v>575.03</v>
      </c>
      <c r="W65" s="25" t="n">
        <f aca="false">O65-V65</f>
        <v>0</v>
      </c>
      <c r="X65" s="22" t="str">
        <f aca="false">IF(OR(ABS(S65)&gt;0.005,ABS(U65)&gt;0.005,ABS(W65)&gt;0.005),"Subledger arithmetic error","OK")</f>
        <v>OK</v>
      </c>
      <c r="Y65" s="22" t="str">
        <f aca="false">IF(X65="OK","","Priority 3")</f>
        <v/>
      </c>
    </row>
    <row r="66" customFormat="false" ht="15" hidden="false" customHeight="false" outlineLevel="0" collapsed="false">
      <c r="A66" s="22" t="s">
        <v>11535</v>
      </c>
      <c r="B66" s="23" t="n">
        <v>46235</v>
      </c>
      <c r="C66" s="22" t="s">
        <v>11536</v>
      </c>
      <c r="D66" s="22" t="s">
        <v>1406</v>
      </c>
      <c r="E66" s="22" t="s">
        <v>6787</v>
      </c>
      <c r="F66" s="22" t="s">
        <v>198</v>
      </c>
      <c r="G66" s="22" t="s">
        <v>8601</v>
      </c>
      <c r="H66" s="22" t="s">
        <v>11406</v>
      </c>
      <c r="I66" s="22" t="n">
        <v>45</v>
      </c>
      <c r="J66" s="22" t="n">
        <v>1</v>
      </c>
      <c r="K66" s="22" t="n">
        <v>45</v>
      </c>
      <c r="L66" s="25" t="n">
        <v>10.4</v>
      </c>
      <c r="M66" s="25" t="n">
        <v>468</v>
      </c>
      <c r="N66" s="25" t="n">
        <v>60.09</v>
      </c>
      <c r="O66" s="25" t="n">
        <v>528.09</v>
      </c>
      <c r="P66" s="22" t="s">
        <v>11407</v>
      </c>
      <c r="Q66" s="23" t="n">
        <v>46249</v>
      </c>
      <c r="R66" s="22" t="n">
        <f aca="false">I66*J66</f>
        <v>45</v>
      </c>
      <c r="S66" s="25" t="n">
        <f aca="false">K66-R66</f>
        <v>0</v>
      </c>
      <c r="T66" s="25" t="n">
        <f aca="false">K66*L66</f>
        <v>468</v>
      </c>
      <c r="U66" s="25" t="n">
        <f aca="false">M66-T66</f>
        <v>0</v>
      </c>
      <c r="V66" s="25" t="n">
        <f aca="false">M66+N66</f>
        <v>528.09</v>
      </c>
      <c r="W66" s="25" t="n">
        <f aca="false">O66-V66</f>
        <v>0</v>
      </c>
      <c r="X66" s="22" t="str">
        <f aca="false">IF(OR(ABS(S66)&gt;0.005,ABS(U66)&gt;0.005,ABS(W66)&gt;0.005),"Subledger arithmetic error","OK")</f>
        <v>OK</v>
      </c>
      <c r="Y66" s="22" t="str">
        <f aca="false">IF(X66="OK","","Priority 3")</f>
        <v/>
      </c>
    </row>
    <row r="67" customFormat="false" ht="15" hidden="false" customHeight="false" outlineLevel="0" collapsed="false">
      <c r="A67" s="22" t="s">
        <v>11537</v>
      </c>
      <c r="B67" s="23" t="n">
        <v>46235</v>
      </c>
      <c r="C67" s="22" t="s">
        <v>11538</v>
      </c>
      <c r="D67" s="22" t="s">
        <v>704</v>
      </c>
      <c r="E67" s="22" t="s">
        <v>6793</v>
      </c>
      <c r="F67" s="22" t="s">
        <v>198</v>
      </c>
      <c r="G67" s="22" t="s">
        <v>8601</v>
      </c>
      <c r="H67" s="22" t="s">
        <v>11406</v>
      </c>
      <c r="I67" s="22" t="n">
        <v>37</v>
      </c>
      <c r="J67" s="22" t="n">
        <v>1</v>
      </c>
      <c r="K67" s="22" t="n">
        <v>37</v>
      </c>
      <c r="L67" s="25" t="n">
        <v>10.4</v>
      </c>
      <c r="M67" s="25" t="n">
        <v>384.8</v>
      </c>
      <c r="N67" s="25" t="n">
        <v>49.41</v>
      </c>
      <c r="O67" s="25" t="n">
        <v>434.21</v>
      </c>
      <c r="P67" s="22" t="s">
        <v>11407</v>
      </c>
      <c r="Q67" s="23" t="n">
        <v>46249</v>
      </c>
      <c r="R67" s="22" t="n">
        <f aca="false">I67*J67</f>
        <v>37</v>
      </c>
      <c r="S67" s="25" t="n">
        <f aca="false">K67-R67</f>
        <v>0</v>
      </c>
      <c r="T67" s="25" t="n">
        <f aca="false">K67*L67</f>
        <v>384.8</v>
      </c>
      <c r="U67" s="25" t="n">
        <f aca="false">M67-T67</f>
        <v>0</v>
      </c>
      <c r="V67" s="25" t="n">
        <f aca="false">M67+N67</f>
        <v>434.21</v>
      </c>
      <c r="W67" s="25" t="n">
        <f aca="false">O67-V67</f>
        <v>0</v>
      </c>
      <c r="X67" s="22" t="str">
        <f aca="false">IF(OR(ABS(S67)&gt;0.005,ABS(U67)&gt;0.005,ABS(W67)&gt;0.005),"Subledger arithmetic error","OK")</f>
        <v>OK</v>
      </c>
      <c r="Y67" s="22" t="str">
        <f aca="false">IF(X67="OK","","Priority 3")</f>
        <v/>
      </c>
    </row>
    <row r="68" customFormat="false" ht="15" hidden="false" customHeight="false" outlineLevel="0" collapsed="false">
      <c r="A68" s="22" t="s">
        <v>11539</v>
      </c>
      <c r="B68" s="23" t="n">
        <v>46235</v>
      </c>
      <c r="C68" s="22" t="s">
        <v>11540</v>
      </c>
      <c r="D68" s="22" t="s">
        <v>347</v>
      </c>
      <c r="E68" s="22" t="s">
        <v>6796</v>
      </c>
      <c r="F68" s="22" t="s">
        <v>198</v>
      </c>
      <c r="G68" s="22" t="s">
        <v>8601</v>
      </c>
      <c r="H68" s="22" t="s">
        <v>11406</v>
      </c>
      <c r="I68" s="22" t="n">
        <v>47</v>
      </c>
      <c r="J68" s="22" t="n">
        <v>1</v>
      </c>
      <c r="K68" s="22" t="n">
        <v>47</v>
      </c>
      <c r="L68" s="25" t="n">
        <v>10.4</v>
      </c>
      <c r="M68" s="25" t="n">
        <v>488.8</v>
      </c>
      <c r="N68" s="25" t="n">
        <v>62.76</v>
      </c>
      <c r="O68" s="25" t="n">
        <v>551.56</v>
      </c>
      <c r="P68" s="22" t="s">
        <v>11407</v>
      </c>
      <c r="Q68" s="23" t="n">
        <v>46249</v>
      </c>
      <c r="R68" s="22" t="n">
        <f aca="false">I68*J68</f>
        <v>47</v>
      </c>
      <c r="S68" s="25" t="n">
        <f aca="false">K68-R68</f>
        <v>0</v>
      </c>
      <c r="T68" s="25" t="n">
        <f aca="false">K68*L68</f>
        <v>488.8</v>
      </c>
      <c r="U68" s="25" t="n">
        <f aca="false">M68-T68</f>
        <v>0</v>
      </c>
      <c r="V68" s="25" t="n">
        <f aca="false">M68+N68</f>
        <v>551.56</v>
      </c>
      <c r="W68" s="25" t="n">
        <f aca="false">O68-V68</f>
        <v>0</v>
      </c>
      <c r="X68" s="22" t="str">
        <f aca="false">IF(OR(ABS(S68)&gt;0.005,ABS(U68)&gt;0.005,ABS(W68)&gt;0.005),"Subledger arithmetic error","OK")</f>
        <v>OK</v>
      </c>
      <c r="Y68" s="22" t="str">
        <f aca="false">IF(X68="OK","","Priority 3")</f>
        <v/>
      </c>
    </row>
    <row r="69" customFormat="false" ht="15" hidden="false" customHeight="false" outlineLevel="0" collapsed="false">
      <c r="A69" s="22" t="s">
        <v>11541</v>
      </c>
      <c r="B69" s="23" t="n">
        <v>46235</v>
      </c>
      <c r="C69" s="22" t="s">
        <v>11542</v>
      </c>
      <c r="D69" s="22" t="s">
        <v>4651</v>
      </c>
      <c r="E69" s="22" t="s">
        <v>6799</v>
      </c>
      <c r="F69" s="22" t="s">
        <v>198</v>
      </c>
      <c r="G69" s="22" t="s">
        <v>8601</v>
      </c>
      <c r="H69" s="22" t="s">
        <v>11406</v>
      </c>
      <c r="I69" s="22" t="n">
        <v>28</v>
      </c>
      <c r="J69" s="22" t="n">
        <v>1</v>
      </c>
      <c r="K69" s="22" t="n">
        <v>28</v>
      </c>
      <c r="L69" s="25" t="n">
        <v>10.4</v>
      </c>
      <c r="M69" s="25" t="n">
        <v>291.2</v>
      </c>
      <c r="N69" s="25" t="n">
        <v>37.39</v>
      </c>
      <c r="O69" s="25" t="n">
        <v>328.59</v>
      </c>
      <c r="P69" s="22" t="s">
        <v>11407</v>
      </c>
      <c r="Q69" s="23" t="n">
        <v>46249</v>
      </c>
      <c r="R69" s="22" t="n">
        <f aca="false">I69*J69</f>
        <v>28</v>
      </c>
      <c r="S69" s="25" t="n">
        <f aca="false">K69-R69</f>
        <v>0</v>
      </c>
      <c r="T69" s="25" t="n">
        <f aca="false">K69*L69</f>
        <v>291.2</v>
      </c>
      <c r="U69" s="25" t="n">
        <f aca="false">M69-T69</f>
        <v>0</v>
      </c>
      <c r="V69" s="25" t="n">
        <f aca="false">M69+N69</f>
        <v>328.59</v>
      </c>
      <c r="W69" s="25" t="n">
        <f aca="false">O69-V69</f>
        <v>0</v>
      </c>
      <c r="X69" s="22" t="str">
        <f aca="false">IF(OR(ABS(S69)&gt;0.005,ABS(U69)&gt;0.005,ABS(W69)&gt;0.005),"Subledger arithmetic error","OK")</f>
        <v>OK</v>
      </c>
      <c r="Y69" s="22" t="str">
        <f aca="false">IF(X69="OK","","Priority 3")</f>
        <v/>
      </c>
    </row>
    <row r="70" customFormat="false" ht="15" hidden="false" customHeight="false" outlineLevel="0" collapsed="false">
      <c r="A70" s="22" t="s">
        <v>11543</v>
      </c>
      <c r="B70" s="23" t="n">
        <v>46235</v>
      </c>
      <c r="C70" s="22" t="s">
        <v>11544</v>
      </c>
      <c r="D70" s="22" t="s">
        <v>3771</v>
      </c>
      <c r="E70" s="22" t="s">
        <v>6802</v>
      </c>
      <c r="F70" s="22" t="s">
        <v>198</v>
      </c>
      <c r="G70" s="22" t="s">
        <v>8601</v>
      </c>
      <c r="H70" s="22" t="s">
        <v>11406</v>
      </c>
      <c r="I70" s="22" t="n">
        <v>35</v>
      </c>
      <c r="J70" s="22" t="n">
        <v>1</v>
      </c>
      <c r="K70" s="22" t="n">
        <v>35</v>
      </c>
      <c r="L70" s="25" t="n">
        <v>10.4</v>
      </c>
      <c r="M70" s="25" t="n">
        <v>364</v>
      </c>
      <c r="N70" s="25" t="n">
        <v>46.74</v>
      </c>
      <c r="O70" s="25" t="n">
        <v>410.74</v>
      </c>
      <c r="P70" s="22" t="s">
        <v>11407</v>
      </c>
      <c r="Q70" s="23" t="n">
        <v>46249</v>
      </c>
      <c r="R70" s="22" t="n">
        <f aca="false">I70*J70</f>
        <v>35</v>
      </c>
      <c r="S70" s="25" t="n">
        <f aca="false">K70-R70</f>
        <v>0</v>
      </c>
      <c r="T70" s="25" t="n">
        <f aca="false">K70*L70</f>
        <v>364</v>
      </c>
      <c r="U70" s="25" t="n">
        <f aca="false">M70-T70</f>
        <v>0</v>
      </c>
      <c r="V70" s="25" t="n">
        <f aca="false">M70+N70</f>
        <v>410.74</v>
      </c>
      <c r="W70" s="25" t="n">
        <f aca="false">O70-V70</f>
        <v>0</v>
      </c>
      <c r="X70" s="22" t="str">
        <f aca="false">IF(OR(ABS(S70)&gt;0.005,ABS(U70)&gt;0.005,ABS(W70)&gt;0.005),"Subledger arithmetic error","OK")</f>
        <v>OK</v>
      </c>
      <c r="Y70" s="22" t="str">
        <f aca="false">IF(X70="OK","","Priority 3")</f>
        <v/>
      </c>
    </row>
    <row r="71" customFormat="false" ht="15" hidden="false" customHeight="false" outlineLevel="0" collapsed="false">
      <c r="A71" s="22" t="s">
        <v>11545</v>
      </c>
      <c r="B71" s="23" t="n">
        <v>46235</v>
      </c>
      <c r="C71" s="22" t="s">
        <v>11546</v>
      </c>
      <c r="D71" s="22" t="s">
        <v>3211</v>
      </c>
      <c r="E71" s="22" t="s">
        <v>6805</v>
      </c>
      <c r="F71" s="22" t="s">
        <v>198</v>
      </c>
      <c r="G71" s="22" t="s">
        <v>8601</v>
      </c>
      <c r="H71" s="22" t="s">
        <v>11406</v>
      </c>
      <c r="I71" s="22" t="n">
        <v>60</v>
      </c>
      <c r="J71" s="22" t="n">
        <v>1</v>
      </c>
      <c r="K71" s="22" t="n">
        <v>60</v>
      </c>
      <c r="L71" s="25" t="n">
        <v>10.4</v>
      </c>
      <c r="M71" s="25" t="n">
        <v>624</v>
      </c>
      <c r="N71" s="25" t="n">
        <v>80.12</v>
      </c>
      <c r="O71" s="25" t="n">
        <v>704.12</v>
      </c>
      <c r="P71" s="22" t="s">
        <v>11407</v>
      </c>
      <c r="Q71" s="23" t="n">
        <v>46249</v>
      </c>
      <c r="R71" s="22" t="n">
        <f aca="false">I71*J71</f>
        <v>60</v>
      </c>
      <c r="S71" s="25" t="n">
        <f aca="false">K71-R71</f>
        <v>0</v>
      </c>
      <c r="T71" s="25" t="n">
        <f aca="false">K71*L71</f>
        <v>624</v>
      </c>
      <c r="U71" s="25" t="n">
        <f aca="false">M71-T71</f>
        <v>0</v>
      </c>
      <c r="V71" s="25" t="n">
        <f aca="false">M71+N71</f>
        <v>704.12</v>
      </c>
      <c r="W71" s="25" t="n">
        <f aca="false">O71-V71</f>
        <v>0</v>
      </c>
      <c r="X71" s="22" t="str">
        <f aca="false">IF(OR(ABS(S71)&gt;0.005,ABS(U71)&gt;0.005,ABS(W71)&gt;0.005),"Subledger arithmetic error","OK")</f>
        <v>OK</v>
      </c>
      <c r="Y71" s="22" t="str">
        <f aca="false">IF(X71="OK","","Priority 3")</f>
        <v/>
      </c>
    </row>
    <row r="72" customFormat="false" ht="15" hidden="false" customHeight="false" outlineLevel="0" collapsed="false">
      <c r="A72" s="22" t="s">
        <v>11547</v>
      </c>
      <c r="B72" s="23" t="n">
        <v>46235</v>
      </c>
      <c r="C72" s="22" t="s">
        <v>11548</v>
      </c>
      <c r="D72" s="22" t="s">
        <v>3362</v>
      </c>
      <c r="E72" s="22" t="s">
        <v>6808</v>
      </c>
      <c r="F72" s="22" t="s">
        <v>198</v>
      </c>
      <c r="G72" s="22" t="s">
        <v>8601</v>
      </c>
      <c r="H72" s="22" t="s">
        <v>11406</v>
      </c>
      <c r="I72" s="22" t="n">
        <v>39</v>
      </c>
      <c r="J72" s="22" t="n">
        <v>1</v>
      </c>
      <c r="K72" s="22" t="n">
        <v>39</v>
      </c>
      <c r="L72" s="25" t="n">
        <v>10.4</v>
      </c>
      <c r="M72" s="25" t="n">
        <v>405.6</v>
      </c>
      <c r="N72" s="25" t="n">
        <v>52.08</v>
      </c>
      <c r="O72" s="25" t="n">
        <v>457.68</v>
      </c>
      <c r="P72" s="22" t="s">
        <v>11407</v>
      </c>
      <c r="Q72" s="23" t="n">
        <v>46249</v>
      </c>
      <c r="R72" s="22" t="n">
        <f aca="false">I72*J72</f>
        <v>39</v>
      </c>
      <c r="S72" s="25" t="n">
        <f aca="false">K72-R72</f>
        <v>0</v>
      </c>
      <c r="T72" s="25" t="n">
        <f aca="false">K72*L72</f>
        <v>405.6</v>
      </c>
      <c r="U72" s="25" t="n">
        <f aca="false">M72-T72</f>
        <v>0</v>
      </c>
      <c r="V72" s="25" t="n">
        <f aca="false">M72+N72</f>
        <v>457.68</v>
      </c>
      <c r="W72" s="25" t="n">
        <f aca="false">O72-V72</f>
        <v>0</v>
      </c>
      <c r="X72" s="22" t="str">
        <f aca="false">IF(OR(ABS(S72)&gt;0.005,ABS(U72)&gt;0.005,ABS(W72)&gt;0.005),"Subledger arithmetic error","OK")</f>
        <v>OK</v>
      </c>
      <c r="Y72" s="22" t="str">
        <f aca="false">IF(X72="OK","","Priority 3")</f>
        <v/>
      </c>
    </row>
    <row r="73" customFormat="false" ht="15" hidden="false" customHeight="false" outlineLevel="0" collapsed="false">
      <c r="A73" s="22" t="s">
        <v>11549</v>
      </c>
      <c r="B73" s="23" t="n">
        <v>46235</v>
      </c>
      <c r="C73" s="22" t="s">
        <v>11550</v>
      </c>
      <c r="D73" s="22" t="s">
        <v>5190</v>
      </c>
      <c r="E73" s="22" t="s">
        <v>6811</v>
      </c>
      <c r="F73" s="22" t="s">
        <v>198</v>
      </c>
      <c r="G73" s="22" t="s">
        <v>8601</v>
      </c>
      <c r="H73" s="22" t="s">
        <v>11406</v>
      </c>
      <c r="I73" s="22" t="n">
        <v>40</v>
      </c>
      <c r="J73" s="22" t="n">
        <v>1</v>
      </c>
      <c r="K73" s="22" t="n">
        <v>40</v>
      </c>
      <c r="L73" s="25" t="n">
        <v>10.4</v>
      </c>
      <c r="M73" s="25" t="n">
        <v>416</v>
      </c>
      <c r="N73" s="25" t="n">
        <v>53.41</v>
      </c>
      <c r="O73" s="25" t="n">
        <v>469.41</v>
      </c>
      <c r="P73" s="22" t="s">
        <v>7696</v>
      </c>
      <c r="Q73" s="23" t="n">
        <v>46249</v>
      </c>
      <c r="R73" s="22" t="n">
        <f aca="false">I73*J73</f>
        <v>40</v>
      </c>
      <c r="S73" s="25" t="n">
        <f aca="false">K73-R73</f>
        <v>0</v>
      </c>
      <c r="T73" s="25" t="n">
        <f aca="false">K73*L73</f>
        <v>416</v>
      </c>
      <c r="U73" s="25" t="n">
        <f aca="false">M73-T73</f>
        <v>0</v>
      </c>
      <c r="V73" s="25" t="n">
        <f aca="false">M73+N73</f>
        <v>469.41</v>
      </c>
      <c r="W73" s="25" t="n">
        <f aca="false">O73-V73</f>
        <v>0</v>
      </c>
      <c r="X73" s="22" t="str">
        <f aca="false">IF(OR(ABS(S73)&gt;0.005,ABS(U73)&gt;0.005,ABS(W73)&gt;0.005),"Subledger arithmetic error","OK")</f>
        <v>OK</v>
      </c>
      <c r="Y73" s="22" t="str">
        <f aca="false">IF(X73="OK","","Priority 3")</f>
        <v/>
      </c>
    </row>
    <row r="74" customFormat="false" ht="15" hidden="false" customHeight="false" outlineLevel="0" collapsed="false">
      <c r="A74" s="22" t="s">
        <v>11551</v>
      </c>
      <c r="B74" s="23" t="n">
        <v>46235</v>
      </c>
      <c r="C74" s="22" t="s">
        <v>11552</v>
      </c>
      <c r="D74" s="22" t="s">
        <v>4092</v>
      </c>
      <c r="E74" s="22" t="s">
        <v>6814</v>
      </c>
      <c r="F74" s="22" t="s">
        <v>198</v>
      </c>
      <c r="G74" s="22" t="s">
        <v>8601</v>
      </c>
      <c r="H74" s="22" t="s">
        <v>11406</v>
      </c>
      <c r="I74" s="22" t="n">
        <v>49</v>
      </c>
      <c r="J74" s="22" t="n">
        <v>1</v>
      </c>
      <c r="K74" s="22" t="n">
        <v>49</v>
      </c>
      <c r="L74" s="25" t="n">
        <v>10.4</v>
      </c>
      <c r="M74" s="25" t="n">
        <v>509.6</v>
      </c>
      <c r="N74" s="25" t="n">
        <v>65.43</v>
      </c>
      <c r="O74" s="25" t="n">
        <v>575.03</v>
      </c>
      <c r="P74" s="22" t="s">
        <v>11407</v>
      </c>
      <c r="Q74" s="23" t="n">
        <v>46249</v>
      </c>
      <c r="R74" s="22" t="n">
        <f aca="false">I74*J74</f>
        <v>49</v>
      </c>
      <c r="S74" s="25" t="n">
        <f aca="false">K74-R74</f>
        <v>0</v>
      </c>
      <c r="T74" s="25" t="n">
        <f aca="false">K74*L74</f>
        <v>509.6</v>
      </c>
      <c r="U74" s="25" t="n">
        <f aca="false">M74-T74</f>
        <v>0</v>
      </c>
      <c r="V74" s="25" t="n">
        <f aca="false">M74+N74</f>
        <v>575.03</v>
      </c>
      <c r="W74" s="25" t="n">
        <f aca="false">O74-V74</f>
        <v>0</v>
      </c>
      <c r="X74" s="22" t="str">
        <f aca="false">IF(OR(ABS(S74)&gt;0.005,ABS(U74)&gt;0.005,ABS(W74)&gt;0.005),"Subledger arithmetic error","OK")</f>
        <v>OK</v>
      </c>
      <c r="Y74" s="22" t="str">
        <f aca="false">IF(X74="OK","","Priority 3")</f>
        <v/>
      </c>
    </row>
    <row r="75" customFormat="false" ht="15" hidden="false" customHeight="false" outlineLevel="0" collapsed="false">
      <c r="A75" s="22" t="s">
        <v>11553</v>
      </c>
      <c r="B75" s="23" t="n">
        <v>46235</v>
      </c>
      <c r="C75" s="22" t="s">
        <v>11554</v>
      </c>
      <c r="D75" s="22" t="s">
        <v>3615</v>
      </c>
      <c r="E75" s="22" t="s">
        <v>6817</v>
      </c>
      <c r="F75" s="22" t="s">
        <v>198</v>
      </c>
      <c r="G75" s="22" t="s">
        <v>8601</v>
      </c>
      <c r="H75" s="22" t="s">
        <v>11406</v>
      </c>
      <c r="I75" s="22" t="n">
        <v>40</v>
      </c>
      <c r="J75" s="22" t="n">
        <v>1</v>
      </c>
      <c r="K75" s="22" t="n">
        <v>40</v>
      </c>
      <c r="L75" s="25" t="n">
        <v>10.4</v>
      </c>
      <c r="M75" s="25" t="n">
        <v>416</v>
      </c>
      <c r="N75" s="25" t="n">
        <v>53.41</v>
      </c>
      <c r="O75" s="25" t="n">
        <v>469.41</v>
      </c>
      <c r="P75" s="22" t="s">
        <v>11407</v>
      </c>
      <c r="Q75" s="23" t="n">
        <v>46249</v>
      </c>
      <c r="R75" s="22" t="n">
        <f aca="false">I75*J75</f>
        <v>40</v>
      </c>
      <c r="S75" s="25" t="n">
        <f aca="false">K75-R75</f>
        <v>0</v>
      </c>
      <c r="T75" s="25" t="n">
        <f aca="false">K75*L75</f>
        <v>416</v>
      </c>
      <c r="U75" s="25" t="n">
        <f aca="false">M75-T75</f>
        <v>0</v>
      </c>
      <c r="V75" s="25" t="n">
        <f aca="false">M75+N75</f>
        <v>469.41</v>
      </c>
      <c r="W75" s="25" t="n">
        <f aca="false">O75-V75</f>
        <v>0</v>
      </c>
      <c r="X75" s="22" t="str">
        <f aca="false">IF(OR(ABS(S75)&gt;0.005,ABS(U75)&gt;0.005,ABS(W75)&gt;0.005),"Subledger arithmetic error","OK")</f>
        <v>OK</v>
      </c>
      <c r="Y75" s="22" t="str">
        <f aca="false">IF(X75="OK","","Priority 3")</f>
        <v/>
      </c>
    </row>
    <row r="76" customFormat="false" ht="15" hidden="false" customHeight="false" outlineLevel="0" collapsed="false">
      <c r="A76" s="22" t="s">
        <v>11555</v>
      </c>
      <c r="B76" s="23" t="n">
        <v>46235</v>
      </c>
      <c r="C76" s="22" t="s">
        <v>11556</v>
      </c>
      <c r="D76" s="22" t="s">
        <v>2486</v>
      </c>
      <c r="E76" s="22" t="s">
        <v>6820</v>
      </c>
      <c r="F76" s="22" t="s">
        <v>198</v>
      </c>
      <c r="G76" s="22" t="s">
        <v>8601</v>
      </c>
      <c r="H76" s="22" t="s">
        <v>11406</v>
      </c>
      <c r="I76" s="22" t="n">
        <v>25</v>
      </c>
      <c r="J76" s="22" t="n">
        <v>1</v>
      </c>
      <c r="K76" s="22" t="n">
        <v>25</v>
      </c>
      <c r="L76" s="25" t="n">
        <v>10.4</v>
      </c>
      <c r="M76" s="25" t="n">
        <v>260</v>
      </c>
      <c r="N76" s="25" t="n">
        <v>33.38</v>
      </c>
      <c r="O76" s="25" t="n">
        <v>293.38</v>
      </c>
      <c r="P76" s="22" t="s">
        <v>11407</v>
      </c>
      <c r="Q76" s="23" t="n">
        <v>46249</v>
      </c>
      <c r="R76" s="22" t="n">
        <f aca="false">I76*J76</f>
        <v>25</v>
      </c>
      <c r="S76" s="25" t="n">
        <f aca="false">K76-R76</f>
        <v>0</v>
      </c>
      <c r="T76" s="25" t="n">
        <f aca="false">K76*L76</f>
        <v>260</v>
      </c>
      <c r="U76" s="25" t="n">
        <f aca="false">M76-T76</f>
        <v>0</v>
      </c>
      <c r="V76" s="25" t="n">
        <f aca="false">M76+N76</f>
        <v>293.38</v>
      </c>
      <c r="W76" s="25" t="n">
        <f aca="false">O76-V76</f>
        <v>0</v>
      </c>
      <c r="X76" s="22" t="str">
        <f aca="false">IF(OR(ABS(S76)&gt;0.005,ABS(U76)&gt;0.005,ABS(W76)&gt;0.005),"Subledger arithmetic error","OK")</f>
        <v>OK</v>
      </c>
      <c r="Y76" s="22" t="str">
        <f aca="false">IF(X76="OK","","Priority 3")</f>
        <v/>
      </c>
    </row>
    <row r="77" customFormat="false" ht="15" hidden="false" customHeight="false" outlineLevel="0" collapsed="false">
      <c r="A77" s="22" t="s">
        <v>11557</v>
      </c>
      <c r="B77" s="23" t="n">
        <v>46235</v>
      </c>
      <c r="C77" s="22" t="s">
        <v>11558</v>
      </c>
      <c r="D77" s="22" t="s">
        <v>842</v>
      </c>
      <c r="E77" s="22" t="s">
        <v>6823</v>
      </c>
      <c r="F77" s="22" t="s">
        <v>198</v>
      </c>
      <c r="G77" s="22" t="s">
        <v>8601</v>
      </c>
      <c r="H77" s="22" t="s">
        <v>11406</v>
      </c>
      <c r="I77" s="22" t="n">
        <v>42</v>
      </c>
      <c r="J77" s="22" t="n">
        <v>1</v>
      </c>
      <c r="K77" s="22" t="n">
        <v>42</v>
      </c>
      <c r="L77" s="25" t="n">
        <v>10.4</v>
      </c>
      <c r="M77" s="25" t="n">
        <v>436.8</v>
      </c>
      <c r="N77" s="25" t="n">
        <v>56.09</v>
      </c>
      <c r="O77" s="25" t="n">
        <v>492.89</v>
      </c>
      <c r="P77" s="22" t="s">
        <v>11407</v>
      </c>
      <c r="Q77" s="23" t="n">
        <v>46249</v>
      </c>
      <c r="R77" s="22" t="n">
        <f aca="false">I77*J77</f>
        <v>42</v>
      </c>
      <c r="S77" s="25" t="n">
        <f aca="false">K77-R77</f>
        <v>0</v>
      </c>
      <c r="T77" s="25" t="n">
        <f aca="false">K77*L77</f>
        <v>436.8</v>
      </c>
      <c r="U77" s="25" t="n">
        <f aca="false">M77-T77</f>
        <v>0</v>
      </c>
      <c r="V77" s="25" t="n">
        <f aca="false">M77+N77</f>
        <v>492.89</v>
      </c>
      <c r="W77" s="25" t="n">
        <f aca="false">O77-V77</f>
        <v>0</v>
      </c>
      <c r="X77" s="22" t="str">
        <f aca="false">IF(OR(ABS(S77)&gt;0.005,ABS(U77)&gt;0.005,ABS(W77)&gt;0.005),"Subledger arithmetic error","OK")</f>
        <v>OK</v>
      </c>
      <c r="Y77" s="22" t="str">
        <f aca="false">IF(X77="OK","","Priority 3")</f>
        <v/>
      </c>
    </row>
    <row r="78" customFormat="false" ht="15" hidden="false" customHeight="false" outlineLevel="0" collapsed="false">
      <c r="A78" s="22" t="s">
        <v>11559</v>
      </c>
      <c r="B78" s="23" t="n">
        <v>46235</v>
      </c>
      <c r="C78" s="22" t="s">
        <v>11560</v>
      </c>
      <c r="D78" s="22" t="s">
        <v>3890</v>
      </c>
      <c r="E78" s="22" t="s">
        <v>6826</v>
      </c>
      <c r="F78" s="22" t="s">
        <v>198</v>
      </c>
      <c r="G78" s="22" t="s">
        <v>8601</v>
      </c>
      <c r="H78" s="22" t="s">
        <v>11406</v>
      </c>
      <c r="I78" s="22" t="n">
        <v>28</v>
      </c>
      <c r="J78" s="22" t="n">
        <v>1</v>
      </c>
      <c r="K78" s="22" t="n">
        <v>28</v>
      </c>
      <c r="L78" s="25" t="n">
        <v>10.4</v>
      </c>
      <c r="M78" s="25" t="n">
        <v>291.2</v>
      </c>
      <c r="N78" s="25" t="n">
        <v>37.39</v>
      </c>
      <c r="O78" s="25" t="n">
        <v>328.59</v>
      </c>
      <c r="P78" s="22" t="s">
        <v>11407</v>
      </c>
      <c r="Q78" s="23" t="n">
        <v>46249</v>
      </c>
      <c r="R78" s="22" t="n">
        <f aca="false">I78*J78</f>
        <v>28</v>
      </c>
      <c r="S78" s="25" t="n">
        <f aca="false">K78-R78</f>
        <v>0</v>
      </c>
      <c r="T78" s="25" t="n">
        <f aca="false">K78*L78</f>
        <v>291.2</v>
      </c>
      <c r="U78" s="25" t="n">
        <f aca="false">M78-T78</f>
        <v>0</v>
      </c>
      <c r="V78" s="25" t="n">
        <f aca="false">M78+N78</f>
        <v>328.59</v>
      </c>
      <c r="W78" s="25" t="n">
        <f aca="false">O78-V78</f>
        <v>0</v>
      </c>
      <c r="X78" s="22" t="str">
        <f aca="false">IF(OR(ABS(S78)&gt;0.005,ABS(U78)&gt;0.005,ABS(W78)&gt;0.005),"Subledger arithmetic error","OK")</f>
        <v>OK</v>
      </c>
      <c r="Y78" s="22" t="str">
        <f aca="false">IF(X78="OK","","Priority 3")</f>
        <v/>
      </c>
    </row>
    <row r="79" customFormat="false" ht="15" hidden="false" customHeight="false" outlineLevel="0" collapsed="false">
      <c r="A79" s="22" t="s">
        <v>11561</v>
      </c>
      <c r="B79" s="23" t="n">
        <v>46235</v>
      </c>
      <c r="C79" s="22" t="s">
        <v>11562</v>
      </c>
      <c r="D79" s="22" t="s">
        <v>6548</v>
      </c>
      <c r="E79" s="22" t="s">
        <v>6831</v>
      </c>
      <c r="F79" s="22" t="s">
        <v>198</v>
      </c>
      <c r="G79" s="22" t="s">
        <v>8601</v>
      </c>
      <c r="H79" s="22" t="s">
        <v>11406</v>
      </c>
      <c r="I79" s="22" t="n">
        <v>36</v>
      </c>
      <c r="J79" s="22" t="n">
        <v>1</v>
      </c>
      <c r="K79" s="22" t="n">
        <v>36</v>
      </c>
      <c r="L79" s="25" t="n">
        <v>10.4</v>
      </c>
      <c r="M79" s="25" t="n">
        <v>374.4</v>
      </c>
      <c r="N79" s="25" t="n">
        <v>48.07</v>
      </c>
      <c r="O79" s="25" t="n">
        <v>422.47</v>
      </c>
      <c r="P79" s="22" t="s">
        <v>11407</v>
      </c>
      <c r="Q79" s="23" t="n">
        <v>46249</v>
      </c>
      <c r="R79" s="22" t="n">
        <f aca="false">I79*J79</f>
        <v>36</v>
      </c>
      <c r="S79" s="25" t="n">
        <f aca="false">K79-R79</f>
        <v>0</v>
      </c>
      <c r="T79" s="25" t="n">
        <f aca="false">K79*L79</f>
        <v>374.4</v>
      </c>
      <c r="U79" s="25" t="n">
        <f aca="false">M79-T79</f>
        <v>0</v>
      </c>
      <c r="V79" s="25" t="n">
        <f aca="false">M79+N79</f>
        <v>422.47</v>
      </c>
      <c r="W79" s="25" t="n">
        <f aca="false">O79-V79</f>
        <v>0</v>
      </c>
      <c r="X79" s="22" t="str">
        <f aca="false">IF(OR(ABS(S79)&gt;0.005,ABS(U79)&gt;0.005,ABS(W79)&gt;0.005),"Subledger arithmetic error","OK")</f>
        <v>OK</v>
      </c>
      <c r="Y79" s="22" t="str">
        <f aca="false">IF(X79="OK","","Priority 3")</f>
        <v/>
      </c>
    </row>
    <row r="80" customFormat="false" ht="15" hidden="false" customHeight="false" outlineLevel="0" collapsed="false">
      <c r="A80" s="22" t="s">
        <v>11563</v>
      </c>
      <c r="B80" s="23" t="n">
        <v>46235</v>
      </c>
      <c r="C80" s="22" t="s">
        <v>11564</v>
      </c>
      <c r="D80" s="22" t="s">
        <v>1969</v>
      </c>
      <c r="E80" s="22" t="s">
        <v>6834</v>
      </c>
      <c r="F80" s="22" t="s">
        <v>198</v>
      </c>
      <c r="G80" s="22" t="s">
        <v>8601</v>
      </c>
      <c r="H80" s="22" t="s">
        <v>11406</v>
      </c>
      <c r="I80" s="22" t="n">
        <v>48</v>
      </c>
      <c r="J80" s="22" t="n">
        <v>1</v>
      </c>
      <c r="K80" s="22" t="n">
        <v>48</v>
      </c>
      <c r="L80" s="25" t="n">
        <v>10.4</v>
      </c>
      <c r="M80" s="25" t="n">
        <v>499.2</v>
      </c>
      <c r="N80" s="25" t="n">
        <v>64.1</v>
      </c>
      <c r="O80" s="25" t="n">
        <v>563.3</v>
      </c>
      <c r="P80" s="22" t="s">
        <v>11407</v>
      </c>
      <c r="Q80" s="23" t="n">
        <v>46249</v>
      </c>
      <c r="R80" s="22" t="n">
        <f aca="false">I80*J80</f>
        <v>48</v>
      </c>
      <c r="S80" s="25" t="n">
        <f aca="false">K80-R80</f>
        <v>0</v>
      </c>
      <c r="T80" s="25" t="n">
        <f aca="false">K80*L80</f>
        <v>499.2</v>
      </c>
      <c r="U80" s="25" t="n">
        <f aca="false">M80-T80</f>
        <v>0</v>
      </c>
      <c r="V80" s="25" t="n">
        <f aca="false">M80+N80</f>
        <v>563.3</v>
      </c>
      <c r="W80" s="25" t="n">
        <f aca="false">O80-V80</f>
        <v>0</v>
      </c>
      <c r="X80" s="22" t="str">
        <f aca="false">IF(OR(ABS(S80)&gt;0.005,ABS(U80)&gt;0.005,ABS(W80)&gt;0.005),"Subledger arithmetic error","OK")</f>
        <v>OK</v>
      </c>
      <c r="Y80" s="22" t="str">
        <f aca="false">IF(X80="OK","","Priority 3")</f>
        <v/>
      </c>
    </row>
    <row r="81" customFormat="false" ht="15" hidden="false" customHeight="false" outlineLevel="0" collapsed="false">
      <c r="A81" s="22" t="s">
        <v>11565</v>
      </c>
      <c r="B81" s="23" t="n">
        <v>46235</v>
      </c>
      <c r="C81" s="22" t="s">
        <v>11566</v>
      </c>
      <c r="D81" s="22" t="s">
        <v>4095</v>
      </c>
      <c r="E81" s="22" t="s">
        <v>6837</v>
      </c>
      <c r="F81" s="22" t="s">
        <v>198</v>
      </c>
      <c r="G81" s="22" t="s">
        <v>8601</v>
      </c>
      <c r="H81" s="22" t="s">
        <v>11406</v>
      </c>
      <c r="I81" s="22" t="n">
        <v>61</v>
      </c>
      <c r="J81" s="22" t="n">
        <v>1</v>
      </c>
      <c r="K81" s="22" t="n">
        <v>61</v>
      </c>
      <c r="L81" s="25" t="n">
        <v>10.4</v>
      </c>
      <c r="M81" s="25" t="n">
        <v>634.4</v>
      </c>
      <c r="N81" s="25" t="n">
        <v>81.46</v>
      </c>
      <c r="O81" s="25" t="n">
        <v>715.86</v>
      </c>
      <c r="P81" s="22" t="s">
        <v>11407</v>
      </c>
      <c r="Q81" s="23" t="n">
        <v>46249</v>
      </c>
      <c r="R81" s="22" t="n">
        <f aca="false">I81*J81</f>
        <v>61</v>
      </c>
      <c r="S81" s="25" t="n">
        <f aca="false">K81-R81</f>
        <v>0</v>
      </c>
      <c r="T81" s="25" t="n">
        <f aca="false">K81*L81</f>
        <v>634.4</v>
      </c>
      <c r="U81" s="25" t="n">
        <f aca="false">M81-T81</f>
        <v>0</v>
      </c>
      <c r="V81" s="25" t="n">
        <f aca="false">M81+N81</f>
        <v>715.86</v>
      </c>
      <c r="W81" s="25" t="n">
        <f aca="false">O81-V81</f>
        <v>0</v>
      </c>
      <c r="X81" s="22" t="str">
        <f aca="false">IF(OR(ABS(S81)&gt;0.005,ABS(U81)&gt;0.005,ABS(W81)&gt;0.005),"Subledger arithmetic error","OK")</f>
        <v>OK</v>
      </c>
      <c r="Y81" s="22" t="str">
        <f aca="false">IF(X81="OK","","Priority 3")</f>
        <v/>
      </c>
    </row>
    <row r="82" customFormat="false" ht="15" hidden="false" customHeight="false" outlineLevel="0" collapsed="false">
      <c r="A82" s="22" t="s">
        <v>11567</v>
      </c>
      <c r="B82" s="23" t="n">
        <v>46235</v>
      </c>
      <c r="C82" s="22" t="s">
        <v>11568</v>
      </c>
      <c r="D82" s="22" t="s">
        <v>1980</v>
      </c>
      <c r="E82" s="22" t="s">
        <v>6840</v>
      </c>
      <c r="F82" s="22" t="s">
        <v>198</v>
      </c>
      <c r="G82" s="22" t="s">
        <v>8601</v>
      </c>
      <c r="H82" s="22" t="s">
        <v>11406</v>
      </c>
      <c r="I82" s="22" t="n">
        <v>44</v>
      </c>
      <c r="J82" s="22" t="n">
        <v>1</v>
      </c>
      <c r="K82" s="22" t="n">
        <v>44</v>
      </c>
      <c r="L82" s="25" t="n">
        <v>10.4</v>
      </c>
      <c r="M82" s="25" t="n">
        <v>457.6</v>
      </c>
      <c r="N82" s="25" t="n">
        <v>58.76</v>
      </c>
      <c r="O82" s="25" t="n">
        <v>516.36</v>
      </c>
      <c r="P82" s="22" t="s">
        <v>11407</v>
      </c>
      <c r="Q82" s="23" t="n">
        <v>46249</v>
      </c>
      <c r="R82" s="22" t="n">
        <f aca="false">I82*J82</f>
        <v>44</v>
      </c>
      <c r="S82" s="25" t="n">
        <f aca="false">K82-R82</f>
        <v>0</v>
      </c>
      <c r="T82" s="25" t="n">
        <f aca="false">K82*L82</f>
        <v>457.6</v>
      </c>
      <c r="U82" s="25" t="n">
        <f aca="false">M82-T82</f>
        <v>0</v>
      </c>
      <c r="V82" s="25" t="n">
        <f aca="false">M82+N82</f>
        <v>516.36</v>
      </c>
      <c r="W82" s="25" t="n">
        <f aca="false">O82-V82</f>
        <v>0</v>
      </c>
      <c r="X82" s="22" t="str">
        <f aca="false">IF(OR(ABS(S82)&gt;0.005,ABS(U82)&gt;0.005,ABS(W82)&gt;0.005),"Subledger arithmetic error","OK")</f>
        <v>OK</v>
      </c>
      <c r="Y82" s="22" t="str">
        <f aca="false">IF(X82="OK","","Priority 3")</f>
        <v/>
      </c>
    </row>
    <row r="83" customFormat="false" ht="15" hidden="false" customHeight="false" outlineLevel="0" collapsed="false">
      <c r="A83" s="22" t="s">
        <v>11569</v>
      </c>
      <c r="B83" s="23" t="n">
        <v>46235</v>
      </c>
      <c r="C83" s="22" t="s">
        <v>11570</v>
      </c>
      <c r="D83" s="22" t="s">
        <v>4579</v>
      </c>
      <c r="E83" s="22" t="s">
        <v>6843</v>
      </c>
      <c r="F83" s="22" t="s">
        <v>198</v>
      </c>
      <c r="G83" s="22" t="s">
        <v>8601</v>
      </c>
      <c r="H83" s="22" t="s">
        <v>11406</v>
      </c>
      <c r="I83" s="22" t="n">
        <v>45</v>
      </c>
      <c r="J83" s="22" t="n">
        <v>1</v>
      </c>
      <c r="K83" s="22" t="n">
        <v>45</v>
      </c>
      <c r="L83" s="25" t="n">
        <v>10.4</v>
      </c>
      <c r="M83" s="25" t="n">
        <v>468</v>
      </c>
      <c r="N83" s="25" t="n">
        <v>60.09</v>
      </c>
      <c r="O83" s="25" t="n">
        <v>528.09</v>
      </c>
      <c r="P83" s="22" t="s">
        <v>11407</v>
      </c>
      <c r="Q83" s="23" t="n">
        <v>46249</v>
      </c>
      <c r="R83" s="22" t="n">
        <f aca="false">I83*J83</f>
        <v>45</v>
      </c>
      <c r="S83" s="25" t="n">
        <f aca="false">K83-R83</f>
        <v>0</v>
      </c>
      <c r="T83" s="25" t="n">
        <f aca="false">K83*L83</f>
        <v>468</v>
      </c>
      <c r="U83" s="25" t="n">
        <f aca="false">M83-T83</f>
        <v>0</v>
      </c>
      <c r="V83" s="25" t="n">
        <f aca="false">M83+N83</f>
        <v>528.09</v>
      </c>
      <c r="W83" s="25" t="n">
        <f aca="false">O83-V83</f>
        <v>0</v>
      </c>
      <c r="X83" s="22" t="str">
        <f aca="false">IF(OR(ABS(S83)&gt;0.005,ABS(U83)&gt;0.005,ABS(W83)&gt;0.005),"Subledger arithmetic error","OK")</f>
        <v>OK</v>
      </c>
      <c r="Y83" s="22" t="str">
        <f aca="false">IF(X83="OK","","Priority 3")</f>
        <v/>
      </c>
    </row>
    <row r="84" customFormat="false" ht="15" hidden="false" customHeight="false" outlineLevel="0" collapsed="false">
      <c r="A84" s="22" t="s">
        <v>11571</v>
      </c>
      <c r="B84" s="23" t="n">
        <v>46235</v>
      </c>
      <c r="C84" s="22" t="s">
        <v>11572</v>
      </c>
      <c r="D84" s="22" t="s">
        <v>5327</v>
      </c>
      <c r="E84" s="22" t="s">
        <v>6846</v>
      </c>
      <c r="F84" s="22" t="s">
        <v>198</v>
      </c>
      <c r="G84" s="22" t="s">
        <v>8601</v>
      </c>
      <c r="H84" s="22" t="s">
        <v>11406</v>
      </c>
      <c r="I84" s="22" t="n">
        <v>36</v>
      </c>
      <c r="J84" s="22" t="n">
        <v>1</v>
      </c>
      <c r="K84" s="22" t="n">
        <v>36</v>
      </c>
      <c r="L84" s="25" t="n">
        <v>10.4</v>
      </c>
      <c r="M84" s="25" t="n">
        <v>374.4</v>
      </c>
      <c r="N84" s="25" t="n">
        <v>48.07</v>
      </c>
      <c r="O84" s="25" t="n">
        <v>422.47</v>
      </c>
      <c r="P84" s="22" t="s">
        <v>11407</v>
      </c>
      <c r="Q84" s="23" t="n">
        <v>46249</v>
      </c>
      <c r="R84" s="22" t="n">
        <f aca="false">I84*J84</f>
        <v>36</v>
      </c>
      <c r="S84" s="25" t="n">
        <f aca="false">K84-R84</f>
        <v>0</v>
      </c>
      <c r="T84" s="25" t="n">
        <f aca="false">K84*L84</f>
        <v>374.4</v>
      </c>
      <c r="U84" s="25" t="n">
        <f aca="false">M84-T84</f>
        <v>0</v>
      </c>
      <c r="V84" s="25" t="n">
        <f aca="false">M84+N84</f>
        <v>422.47</v>
      </c>
      <c r="W84" s="25" t="n">
        <f aca="false">O84-V84</f>
        <v>0</v>
      </c>
      <c r="X84" s="22" t="str">
        <f aca="false">IF(OR(ABS(S84)&gt;0.005,ABS(U84)&gt;0.005,ABS(W84)&gt;0.005),"Subledger arithmetic error","OK")</f>
        <v>OK</v>
      </c>
      <c r="Y84" s="22" t="str">
        <f aca="false">IF(X84="OK","","Priority 3")</f>
        <v/>
      </c>
    </row>
    <row r="85" customFormat="false" ht="15" hidden="false" customHeight="false" outlineLevel="0" collapsed="false">
      <c r="A85" s="22" t="s">
        <v>11573</v>
      </c>
      <c r="B85" s="23" t="n">
        <v>46235</v>
      </c>
      <c r="C85" s="22" t="s">
        <v>11574</v>
      </c>
      <c r="D85" s="22" t="s">
        <v>5877</v>
      </c>
      <c r="E85" s="22" t="s">
        <v>6849</v>
      </c>
      <c r="F85" s="22" t="s">
        <v>198</v>
      </c>
      <c r="G85" s="22" t="s">
        <v>8601</v>
      </c>
      <c r="H85" s="22" t="s">
        <v>11406</v>
      </c>
      <c r="I85" s="22" t="n">
        <v>28</v>
      </c>
      <c r="J85" s="22" t="n">
        <v>1</v>
      </c>
      <c r="K85" s="22" t="n">
        <v>28</v>
      </c>
      <c r="L85" s="25" t="n">
        <v>10.4</v>
      </c>
      <c r="M85" s="25" t="n">
        <v>291.2</v>
      </c>
      <c r="N85" s="25" t="n">
        <v>37.39</v>
      </c>
      <c r="O85" s="25" t="n">
        <v>328.59</v>
      </c>
      <c r="P85" s="22" t="s">
        <v>11407</v>
      </c>
      <c r="Q85" s="23" t="n">
        <v>46249</v>
      </c>
      <c r="R85" s="22" t="n">
        <f aca="false">I85*J85</f>
        <v>28</v>
      </c>
      <c r="S85" s="25" t="n">
        <f aca="false">K85-R85</f>
        <v>0</v>
      </c>
      <c r="T85" s="25" t="n">
        <f aca="false">K85*L85</f>
        <v>291.2</v>
      </c>
      <c r="U85" s="25" t="n">
        <f aca="false">M85-T85</f>
        <v>0</v>
      </c>
      <c r="V85" s="25" t="n">
        <f aca="false">M85+N85</f>
        <v>328.59</v>
      </c>
      <c r="W85" s="25" t="n">
        <f aca="false">O85-V85</f>
        <v>0</v>
      </c>
      <c r="X85" s="22" t="str">
        <f aca="false">IF(OR(ABS(S85)&gt;0.005,ABS(U85)&gt;0.005,ABS(W85)&gt;0.005),"Subledger arithmetic error","OK")</f>
        <v>OK</v>
      </c>
      <c r="Y85" s="22" t="str">
        <f aca="false">IF(X85="OK","","Priority 3")</f>
        <v/>
      </c>
    </row>
    <row r="86" customFormat="false" ht="15" hidden="false" customHeight="false" outlineLevel="0" collapsed="false">
      <c r="A86" s="22" t="s">
        <v>11575</v>
      </c>
      <c r="B86" s="23" t="n">
        <v>46235</v>
      </c>
      <c r="C86" s="22" t="s">
        <v>11576</v>
      </c>
      <c r="D86" s="22" t="s">
        <v>4474</v>
      </c>
      <c r="E86" s="22" t="s">
        <v>6851</v>
      </c>
      <c r="F86" s="22" t="s">
        <v>198</v>
      </c>
      <c r="G86" s="22" t="s">
        <v>8601</v>
      </c>
      <c r="H86" s="22" t="s">
        <v>11406</v>
      </c>
      <c r="I86" s="22" t="n">
        <v>34</v>
      </c>
      <c r="J86" s="22" t="n">
        <v>1</v>
      </c>
      <c r="K86" s="22" t="n">
        <v>34</v>
      </c>
      <c r="L86" s="25" t="n">
        <v>10.4</v>
      </c>
      <c r="M86" s="25" t="n">
        <v>353.6</v>
      </c>
      <c r="N86" s="25" t="n">
        <v>45.4</v>
      </c>
      <c r="O86" s="25" t="n">
        <v>399</v>
      </c>
      <c r="P86" s="22" t="s">
        <v>11407</v>
      </c>
      <c r="Q86" s="23" t="n">
        <v>46249</v>
      </c>
      <c r="R86" s="22" t="n">
        <f aca="false">I86*J86</f>
        <v>34</v>
      </c>
      <c r="S86" s="25" t="n">
        <f aca="false">K86-R86</f>
        <v>0</v>
      </c>
      <c r="T86" s="25" t="n">
        <f aca="false">K86*L86</f>
        <v>353.6</v>
      </c>
      <c r="U86" s="25" t="n">
        <f aca="false">M86-T86</f>
        <v>0</v>
      </c>
      <c r="V86" s="25" t="n">
        <f aca="false">M86+N86</f>
        <v>399</v>
      </c>
      <c r="W86" s="25" t="n">
        <f aca="false">O86-V86</f>
        <v>0</v>
      </c>
      <c r="X86" s="22" t="str">
        <f aca="false">IF(OR(ABS(S86)&gt;0.005,ABS(U86)&gt;0.005,ABS(W86)&gt;0.005),"Subledger arithmetic error","OK")</f>
        <v>OK</v>
      </c>
      <c r="Y86" s="22" t="str">
        <f aca="false">IF(X86="OK","","Priority 3")</f>
        <v/>
      </c>
    </row>
    <row r="87" customFormat="false" ht="15" hidden="false" customHeight="false" outlineLevel="0" collapsed="false">
      <c r="A87" s="22" t="s">
        <v>11577</v>
      </c>
      <c r="B87" s="23" t="n">
        <v>46235</v>
      </c>
      <c r="C87" s="22" t="s">
        <v>11578</v>
      </c>
      <c r="D87" s="22" t="s">
        <v>2148</v>
      </c>
      <c r="E87" s="22" t="s">
        <v>6854</v>
      </c>
      <c r="F87" s="22" t="s">
        <v>198</v>
      </c>
      <c r="G87" s="22" t="s">
        <v>8601</v>
      </c>
      <c r="H87" s="22" t="s">
        <v>11406</v>
      </c>
      <c r="I87" s="22" t="n">
        <v>40</v>
      </c>
      <c r="J87" s="22" t="n">
        <v>1</v>
      </c>
      <c r="K87" s="22" t="n">
        <v>40</v>
      </c>
      <c r="L87" s="25" t="n">
        <v>10.4</v>
      </c>
      <c r="M87" s="25" t="n">
        <v>416</v>
      </c>
      <c r="N87" s="25" t="n">
        <v>53.41</v>
      </c>
      <c r="O87" s="25" t="n">
        <v>469.41</v>
      </c>
      <c r="P87" s="22" t="s">
        <v>11407</v>
      </c>
      <c r="Q87" s="23" t="n">
        <v>46249</v>
      </c>
      <c r="R87" s="22" t="n">
        <f aca="false">I87*J87</f>
        <v>40</v>
      </c>
      <c r="S87" s="25" t="n">
        <f aca="false">K87-R87</f>
        <v>0</v>
      </c>
      <c r="T87" s="25" t="n">
        <f aca="false">K87*L87</f>
        <v>416</v>
      </c>
      <c r="U87" s="25" t="n">
        <f aca="false">M87-T87</f>
        <v>0</v>
      </c>
      <c r="V87" s="25" t="n">
        <f aca="false">M87+N87</f>
        <v>469.41</v>
      </c>
      <c r="W87" s="25" t="n">
        <f aca="false">O87-V87</f>
        <v>0</v>
      </c>
      <c r="X87" s="22" t="str">
        <f aca="false">IF(OR(ABS(S87)&gt;0.005,ABS(U87)&gt;0.005,ABS(W87)&gt;0.005),"Subledger arithmetic error","OK")</f>
        <v>OK</v>
      </c>
      <c r="Y87" s="22" t="str">
        <f aca="false">IF(X87="OK","","Priority 3")</f>
        <v/>
      </c>
    </row>
    <row r="88" customFormat="false" ht="15" hidden="false" customHeight="false" outlineLevel="0" collapsed="false">
      <c r="A88" s="22" t="s">
        <v>11579</v>
      </c>
      <c r="B88" s="23" t="n">
        <v>46235</v>
      </c>
      <c r="C88" s="22" t="s">
        <v>11580</v>
      </c>
      <c r="D88" s="22" t="s">
        <v>4637</v>
      </c>
      <c r="E88" s="22" t="s">
        <v>6857</v>
      </c>
      <c r="F88" s="22" t="s">
        <v>198</v>
      </c>
      <c r="G88" s="22" t="s">
        <v>8601</v>
      </c>
      <c r="H88" s="22" t="s">
        <v>11406</v>
      </c>
      <c r="I88" s="22" t="n">
        <v>29</v>
      </c>
      <c r="J88" s="22" t="n">
        <v>1</v>
      </c>
      <c r="K88" s="22" t="n">
        <v>29</v>
      </c>
      <c r="L88" s="25" t="n">
        <v>10.4</v>
      </c>
      <c r="M88" s="25" t="n">
        <v>301.6</v>
      </c>
      <c r="N88" s="25" t="n">
        <v>38.73</v>
      </c>
      <c r="O88" s="25" t="n">
        <v>340.33</v>
      </c>
      <c r="P88" s="22" t="s">
        <v>11407</v>
      </c>
      <c r="Q88" s="23" t="n">
        <v>46249</v>
      </c>
      <c r="R88" s="22" t="n">
        <f aca="false">I88*J88</f>
        <v>29</v>
      </c>
      <c r="S88" s="25" t="n">
        <f aca="false">K88-R88</f>
        <v>0</v>
      </c>
      <c r="T88" s="25" t="n">
        <f aca="false">K88*L88</f>
        <v>301.6</v>
      </c>
      <c r="U88" s="25" t="n">
        <f aca="false">M88-T88</f>
        <v>0</v>
      </c>
      <c r="V88" s="25" t="n">
        <f aca="false">M88+N88</f>
        <v>340.33</v>
      </c>
      <c r="W88" s="25" t="n">
        <f aca="false">O88-V88</f>
        <v>0</v>
      </c>
      <c r="X88" s="22" t="str">
        <f aca="false">IF(OR(ABS(S88)&gt;0.005,ABS(U88)&gt;0.005,ABS(W88)&gt;0.005),"Subledger arithmetic error","OK")</f>
        <v>OK</v>
      </c>
      <c r="Y88" s="22" t="str">
        <f aca="false">IF(X88="OK","","Priority 3")</f>
        <v/>
      </c>
    </row>
    <row r="89" customFormat="false" ht="15" hidden="false" customHeight="false" outlineLevel="0" collapsed="false">
      <c r="A89" s="22" t="s">
        <v>11581</v>
      </c>
      <c r="B89" s="23" t="n">
        <v>46235</v>
      </c>
      <c r="C89" s="22" t="s">
        <v>11582</v>
      </c>
      <c r="D89" s="22" t="s">
        <v>3981</v>
      </c>
      <c r="E89" s="22" t="s">
        <v>6863</v>
      </c>
      <c r="F89" s="22" t="s">
        <v>198</v>
      </c>
      <c r="G89" s="22" t="s">
        <v>8601</v>
      </c>
      <c r="H89" s="22" t="s">
        <v>11406</v>
      </c>
      <c r="I89" s="22" t="n">
        <v>54</v>
      </c>
      <c r="J89" s="22" t="n">
        <v>1</v>
      </c>
      <c r="K89" s="22" t="n">
        <v>54</v>
      </c>
      <c r="L89" s="25" t="n">
        <v>10.4</v>
      </c>
      <c r="M89" s="25" t="n">
        <v>561.6</v>
      </c>
      <c r="N89" s="25" t="n">
        <v>72.11</v>
      </c>
      <c r="O89" s="25" t="n">
        <v>633.71</v>
      </c>
      <c r="P89" s="22" t="s">
        <v>11407</v>
      </c>
      <c r="Q89" s="23" t="n">
        <v>46249</v>
      </c>
      <c r="R89" s="22" t="n">
        <f aca="false">I89*J89</f>
        <v>54</v>
      </c>
      <c r="S89" s="25" t="n">
        <f aca="false">K89-R89</f>
        <v>0</v>
      </c>
      <c r="T89" s="25" t="n">
        <f aca="false">K89*L89</f>
        <v>561.6</v>
      </c>
      <c r="U89" s="25" t="n">
        <f aca="false">M89-T89</f>
        <v>0</v>
      </c>
      <c r="V89" s="25" t="n">
        <f aca="false">M89+N89</f>
        <v>633.71</v>
      </c>
      <c r="W89" s="25" t="n">
        <f aca="false">O89-V89</f>
        <v>0</v>
      </c>
      <c r="X89" s="22" t="str">
        <f aca="false">IF(OR(ABS(S89)&gt;0.005,ABS(U89)&gt;0.005,ABS(W89)&gt;0.005),"Subledger arithmetic error","OK")</f>
        <v>OK</v>
      </c>
      <c r="Y89" s="22" t="str">
        <f aca="false">IF(X89="OK","","Priority 3")</f>
        <v/>
      </c>
    </row>
    <row r="90" customFormat="false" ht="15" hidden="false" customHeight="false" outlineLevel="0" collapsed="false">
      <c r="A90" s="22" t="s">
        <v>11583</v>
      </c>
      <c r="B90" s="23" t="n">
        <v>46235</v>
      </c>
      <c r="C90" s="22" t="s">
        <v>11584</v>
      </c>
      <c r="D90" s="22" t="s">
        <v>5944</v>
      </c>
      <c r="E90" s="22" t="s">
        <v>6866</v>
      </c>
      <c r="F90" s="22" t="s">
        <v>198</v>
      </c>
      <c r="G90" s="22" t="s">
        <v>8601</v>
      </c>
      <c r="H90" s="22" t="s">
        <v>11406</v>
      </c>
      <c r="I90" s="22" t="n">
        <v>34</v>
      </c>
      <c r="J90" s="22" t="n">
        <v>1</v>
      </c>
      <c r="K90" s="22" t="n">
        <v>34</v>
      </c>
      <c r="L90" s="25" t="n">
        <v>10.4</v>
      </c>
      <c r="M90" s="25" t="n">
        <v>353.6</v>
      </c>
      <c r="N90" s="25" t="n">
        <v>45.4</v>
      </c>
      <c r="O90" s="25" t="n">
        <v>399</v>
      </c>
      <c r="P90" s="22" t="s">
        <v>11407</v>
      </c>
      <c r="Q90" s="23" t="n">
        <v>46249</v>
      </c>
      <c r="R90" s="22" t="n">
        <f aca="false">I90*J90</f>
        <v>34</v>
      </c>
      <c r="S90" s="25" t="n">
        <f aca="false">K90-R90</f>
        <v>0</v>
      </c>
      <c r="T90" s="25" t="n">
        <f aca="false">K90*L90</f>
        <v>353.6</v>
      </c>
      <c r="U90" s="25" t="n">
        <f aca="false">M90-T90</f>
        <v>0</v>
      </c>
      <c r="V90" s="25" t="n">
        <f aca="false">M90+N90</f>
        <v>399</v>
      </c>
      <c r="W90" s="25" t="n">
        <f aca="false">O90-V90</f>
        <v>0</v>
      </c>
      <c r="X90" s="22" t="str">
        <f aca="false">IF(OR(ABS(S90)&gt;0.005,ABS(U90)&gt;0.005,ABS(W90)&gt;0.005),"Subledger arithmetic error","OK")</f>
        <v>OK</v>
      </c>
      <c r="Y90" s="22" t="str">
        <f aca="false">IF(X90="OK","","Priority 3")</f>
        <v/>
      </c>
    </row>
    <row r="91" customFormat="false" ht="15" hidden="false" customHeight="false" outlineLevel="0" collapsed="false">
      <c r="A91" s="22" t="s">
        <v>11585</v>
      </c>
      <c r="B91" s="23" t="n">
        <v>46235</v>
      </c>
      <c r="C91" s="22" t="s">
        <v>11586</v>
      </c>
      <c r="D91" s="22" t="s">
        <v>4679</v>
      </c>
      <c r="E91" s="22" t="s">
        <v>6869</v>
      </c>
      <c r="F91" s="22" t="s">
        <v>198</v>
      </c>
      <c r="G91" s="22" t="s">
        <v>8601</v>
      </c>
      <c r="H91" s="22" t="s">
        <v>11406</v>
      </c>
      <c r="I91" s="22" t="n">
        <v>58</v>
      </c>
      <c r="J91" s="22" t="n">
        <v>1</v>
      </c>
      <c r="K91" s="22" t="n">
        <v>58</v>
      </c>
      <c r="L91" s="25" t="n">
        <v>10.4</v>
      </c>
      <c r="M91" s="25" t="n">
        <v>603.2</v>
      </c>
      <c r="N91" s="25" t="n">
        <v>77.45</v>
      </c>
      <c r="O91" s="25" t="n">
        <v>680.65</v>
      </c>
      <c r="P91" s="22" t="s">
        <v>11407</v>
      </c>
      <c r="Q91" s="23" t="n">
        <v>46249</v>
      </c>
      <c r="R91" s="22" t="n">
        <f aca="false">I91*J91</f>
        <v>58</v>
      </c>
      <c r="S91" s="25" t="n">
        <f aca="false">K91-R91</f>
        <v>0</v>
      </c>
      <c r="T91" s="25" t="n">
        <f aca="false">K91*L91</f>
        <v>603.2</v>
      </c>
      <c r="U91" s="25" t="n">
        <f aca="false">M91-T91</f>
        <v>0</v>
      </c>
      <c r="V91" s="25" t="n">
        <f aca="false">M91+N91</f>
        <v>680.65</v>
      </c>
      <c r="W91" s="25" t="n">
        <f aca="false">O91-V91</f>
        <v>0</v>
      </c>
      <c r="X91" s="22" t="str">
        <f aca="false">IF(OR(ABS(S91)&gt;0.005,ABS(U91)&gt;0.005,ABS(W91)&gt;0.005),"Subledger arithmetic error","OK")</f>
        <v>OK</v>
      </c>
      <c r="Y91" s="22" t="str">
        <f aca="false">IF(X91="OK","","Priority 3")</f>
        <v/>
      </c>
    </row>
    <row r="92" customFormat="false" ht="15" hidden="false" customHeight="false" outlineLevel="0" collapsed="false">
      <c r="A92" s="22" t="s">
        <v>11587</v>
      </c>
      <c r="B92" s="23" t="n">
        <v>46235</v>
      </c>
      <c r="C92" s="22" t="s">
        <v>11588</v>
      </c>
      <c r="D92" s="22" t="s">
        <v>3571</v>
      </c>
      <c r="E92" s="22" t="s">
        <v>6872</v>
      </c>
      <c r="F92" s="22" t="s">
        <v>198</v>
      </c>
      <c r="G92" s="22" t="s">
        <v>8601</v>
      </c>
      <c r="H92" s="22" t="s">
        <v>11406</v>
      </c>
      <c r="I92" s="22" t="n">
        <v>58</v>
      </c>
      <c r="J92" s="22" t="n">
        <v>1</v>
      </c>
      <c r="K92" s="22" t="n">
        <v>58</v>
      </c>
      <c r="L92" s="25" t="n">
        <v>10.4</v>
      </c>
      <c r="M92" s="25" t="n">
        <v>603.2</v>
      </c>
      <c r="N92" s="25" t="n">
        <v>77.45</v>
      </c>
      <c r="O92" s="25" t="n">
        <v>680.65</v>
      </c>
      <c r="P92" s="22" t="s">
        <v>11407</v>
      </c>
      <c r="Q92" s="23" t="n">
        <v>46249</v>
      </c>
      <c r="R92" s="22" t="n">
        <f aca="false">I92*J92</f>
        <v>58</v>
      </c>
      <c r="S92" s="25" t="n">
        <f aca="false">K92-R92</f>
        <v>0</v>
      </c>
      <c r="T92" s="25" t="n">
        <f aca="false">K92*L92</f>
        <v>603.2</v>
      </c>
      <c r="U92" s="25" t="n">
        <f aca="false">M92-T92</f>
        <v>0</v>
      </c>
      <c r="V92" s="25" t="n">
        <f aca="false">M92+N92</f>
        <v>680.65</v>
      </c>
      <c r="W92" s="25" t="n">
        <f aca="false">O92-V92</f>
        <v>0</v>
      </c>
      <c r="X92" s="22" t="str">
        <f aca="false">IF(OR(ABS(S92)&gt;0.005,ABS(U92)&gt;0.005,ABS(W92)&gt;0.005),"Subledger arithmetic error","OK")</f>
        <v>OK</v>
      </c>
      <c r="Y92" s="22" t="str">
        <f aca="false">IF(X92="OK","","Priority 3")</f>
        <v/>
      </c>
    </row>
    <row r="93" customFormat="false" ht="15" hidden="false" customHeight="false" outlineLevel="0" collapsed="false">
      <c r="A93" s="22" t="s">
        <v>11589</v>
      </c>
      <c r="B93" s="23" t="n">
        <v>46235</v>
      </c>
      <c r="C93" s="22" t="s">
        <v>11590</v>
      </c>
      <c r="D93" s="22" t="s">
        <v>555</v>
      </c>
      <c r="E93" s="22" t="s">
        <v>6875</v>
      </c>
      <c r="F93" s="22" t="s">
        <v>198</v>
      </c>
      <c r="G93" s="22" t="s">
        <v>8601</v>
      </c>
      <c r="H93" s="22" t="s">
        <v>11406</v>
      </c>
      <c r="I93" s="22" t="n">
        <v>47</v>
      </c>
      <c r="J93" s="22" t="n">
        <v>1</v>
      </c>
      <c r="K93" s="22" t="n">
        <v>47</v>
      </c>
      <c r="L93" s="25" t="n">
        <v>10.4</v>
      </c>
      <c r="M93" s="25" t="n">
        <v>488.8</v>
      </c>
      <c r="N93" s="25" t="n">
        <v>62.76</v>
      </c>
      <c r="O93" s="25" t="n">
        <v>551.56</v>
      </c>
      <c r="P93" s="22" t="s">
        <v>11407</v>
      </c>
      <c r="Q93" s="23" t="n">
        <v>46249</v>
      </c>
      <c r="R93" s="22" t="n">
        <f aca="false">I93*J93</f>
        <v>47</v>
      </c>
      <c r="S93" s="25" t="n">
        <f aca="false">K93-R93</f>
        <v>0</v>
      </c>
      <c r="T93" s="25" t="n">
        <f aca="false">K93*L93</f>
        <v>488.8</v>
      </c>
      <c r="U93" s="25" t="n">
        <f aca="false">M93-T93</f>
        <v>0</v>
      </c>
      <c r="V93" s="25" t="n">
        <f aca="false">M93+N93</f>
        <v>551.56</v>
      </c>
      <c r="W93" s="25" t="n">
        <f aca="false">O93-V93</f>
        <v>0</v>
      </c>
      <c r="X93" s="22" t="str">
        <f aca="false">IF(OR(ABS(S93)&gt;0.005,ABS(U93)&gt;0.005,ABS(W93)&gt;0.005),"Subledger arithmetic error","OK")</f>
        <v>OK</v>
      </c>
      <c r="Y93" s="22" t="str">
        <f aca="false">IF(X93="OK","","Priority 3")</f>
        <v/>
      </c>
    </row>
    <row r="94" customFormat="false" ht="15" hidden="false" customHeight="false" outlineLevel="0" collapsed="false">
      <c r="A94" s="22" t="s">
        <v>11591</v>
      </c>
      <c r="B94" s="23" t="n">
        <v>46235</v>
      </c>
      <c r="C94" s="22" t="s">
        <v>11592</v>
      </c>
      <c r="D94" s="22" t="s">
        <v>5361</v>
      </c>
      <c r="E94" s="22" t="s">
        <v>6878</v>
      </c>
      <c r="F94" s="22" t="s">
        <v>198</v>
      </c>
      <c r="G94" s="22" t="s">
        <v>8601</v>
      </c>
      <c r="H94" s="22" t="s">
        <v>11406</v>
      </c>
      <c r="I94" s="22" t="n">
        <v>41</v>
      </c>
      <c r="J94" s="22" t="n">
        <v>1</v>
      </c>
      <c r="K94" s="22" t="n">
        <v>41</v>
      </c>
      <c r="L94" s="25" t="n">
        <v>10.4</v>
      </c>
      <c r="M94" s="25" t="n">
        <v>426.4</v>
      </c>
      <c r="N94" s="25" t="n">
        <v>54.75</v>
      </c>
      <c r="O94" s="25" t="n">
        <v>481.15</v>
      </c>
      <c r="P94" s="22" t="s">
        <v>11407</v>
      </c>
      <c r="Q94" s="23" t="n">
        <v>46249</v>
      </c>
      <c r="R94" s="22" t="n">
        <f aca="false">I94*J94</f>
        <v>41</v>
      </c>
      <c r="S94" s="25" t="n">
        <f aca="false">K94-R94</f>
        <v>0</v>
      </c>
      <c r="T94" s="25" t="n">
        <f aca="false">K94*L94</f>
        <v>426.4</v>
      </c>
      <c r="U94" s="25" t="n">
        <f aca="false">M94-T94</f>
        <v>0</v>
      </c>
      <c r="V94" s="25" t="n">
        <f aca="false">M94+N94</f>
        <v>481.15</v>
      </c>
      <c r="W94" s="25" t="n">
        <f aca="false">O94-V94</f>
        <v>0</v>
      </c>
      <c r="X94" s="22" t="str">
        <f aca="false">IF(OR(ABS(S94)&gt;0.005,ABS(U94)&gt;0.005,ABS(W94)&gt;0.005),"Subledger arithmetic error","OK")</f>
        <v>OK</v>
      </c>
      <c r="Y94" s="22" t="str">
        <f aca="false">IF(X94="OK","","Priority 3")</f>
        <v/>
      </c>
    </row>
    <row r="95" customFormat="false" ht="15" hidden="false" customHeight="false" outlineLevel="0" collapsed="false">
      <c r="A95" s="22" t="s">
        <v>11593</v>
      </c>
      <c r="B95" s="23" t="n">
        <v>46235</v>
      </c>
      <c r="C95" s="22" t="s">
        <v>11594</v>
      </c>
      <c r="D95" s="22" t="s">
        <v>2320</v>
      </c>
      <c r="E95" s="22" t="s">
        <v>6880</v>
      </c>
      <c r="F95" s="22" t="s">
        <v>198</v>
      </c>
      <c r="G95" s="22" t="s">
        <v>8601</v>
      </c>
      <c r="H95" s="22" t="s">
        <v>11406</v>
      </c>
      <c r="I95" s="22" t="n">
        <v>57</v>
      </c>
      <c r="J95" s="22" t="n">
        <v>1</v>
      </c>
      <c r="K95" s="22" t="n">
        <v>57</v>
      </c>
      <c r="L95" s="25" t="n">
        <v>10.4</v>
      </c>
      <c r="M95" s="25" t="n">
        <v>592.8</v>
      </c>
      <c r="N95" s="25" t="n">
        <v>76.12</v>
      </c>
      <c r="O95" s="25" t="n">
        <v>668.92</v>
      </c>
      <c r="P95" s="22" t="s">
        <v>11407</v>
      </c>
      <c r="Q95" s="23" t="n">
        <v>46249</v>
      </c>
      <c r="R95" s="22" t="n">
        <f aca="false">I95*J95</f>
        <v>57</v>
      </c>
      <c r="S95" s="25" t="n">
        <f aca="false">K95-R95</f>
        <v>0</v>
      </c>
      <c r="T95" s="25" t="n">
        <f aca="false">K95*L95</f>
        <v>592.8</v>
      </c>
      <c r="U95" s="25" t="n">
        <f aca="false">M95-T95</f>
        <v>0</v>
      </c>
      <c r="V95" s="25" t="n">
        <f aca="false">M95+N95</f>
        <v>668.92</v>
      </c>
      <c r="W95" s="25" t="n">
        <f aca="false">O95-V95</f>
        <v>0</v>
      </c>
      <c r="X95" s="22" t="str">
        <f aca="false">IF(OR(ABS(S95)&gt;0.005,ABS(U95)&gt;0.005,ABS(W95)&gt;0.005),"Subledger arithmetic error","OK")</f>
        <v>OK</v>
      </c>
      <c r="Y95" s="22" t="str">
        <f aca="false">IF(X95="OK","","Priority 3")</f>
        <v/>
      </c>
    </row>
    <row r="96" customFormat="false" ht="15" hidden="false" customHeight="false" outlineLevel="0" collapsed="false">
      <c r="A96" s="22" t="s">
        <v>11595</v>
      </c>
      <c r="B96" s="23" t="n">
        <v>46235</v>
      </c>
      <c r="C96" s="22" t="s">
        <v>11596</v>
      </c>
      <c r="D96" s="22" t="s">
        <v>2568</v>
      </c>
      <c r="E96" s="22" t="s">
        <v>6882</v>
      </c>
      <c r="F96" s="22" t="s">
        <v>198</v>
      </c>
      <c r="G96" s="22" t="s">
        <v>8601</v>
      </c>
      <c r="H96" s="22" t="s">
        <v>11406</v>
      </c>
      <c r="I96" s="22" t="n">
        <v>50</v>
      </c>
      <c r="J96" s="22" t="n">
        <v>1</v>
      </c>
      <c r="K96" s="22" t="n">
        <v>50</v>
      </c>
      <c r="L96" s="25" t="n">
        <v>10.4</v>
      </c>
      <c r="M96" s="25" t="n">
        <v>520</v>
      </c>
      <c r="N96" s="25" t="n">
        <v>66.77</v>
      </c>
      <c r="O96" s="25" t="n">
        <v>586.77</v>
      </c>
      <c r="P96" s="22" t="s">
        <v>11407</v>
      </c>
      <c r="Q96" s="23" t="n">
        <v>46249</v>
      </c>
      <c r="R96" s="22" t="n">
        <f aca="false">I96*J96</f>
        <v>50</v>
      </c>
      <c r="S96" s="25" t="n">
        <f aca="false">K96-R96</f>
        <v>0</v>
      </c>
      <c r="T96" s="25" t="n">
        <f aca="false">K96*L96</f>
        <v>520</v>
      </c>
      <c r="U96" s="25" t="n">
        <f aca="false">M96-T96</f>
        <v>0</v>
      </c>
      <c r="V96" s="25" t="n">
        <f aca="false">M96+N96</f>
        <v>586.77</v>
      </c>
      <c r="W96" s="25" t="n">
        <f aca="false">O96-V96</f>
        <v>0</v>
      </c>
      <c r="X96" s="22" t="str">
        <f aca="false">IF(OR(ABS(S96)&gt;0.005,ABS(U96)&gt;0.005,ABS(W96)&gt;0.005),"Subledger arithmetic error","OK")</f>
        <v>OK</v>
      </c>
      <c r="Y96" s="22" t="str">
        <f aca="false">IF(X96="OK","","Priority 3")</f>
        <v/>
      </c>
    </row>
    <row r="97" customFormat="false" ht="15" hidden="false" customHeight="false" outlineLevel="0" collapsed="false">
      <c r="A97" s="22" t="s">
        <v>11597</v>
      </c>
      <c r="B97" s="23" t="n">
        <v>46235</v>
      </c>
      <c r="C97" s="22" t="s">
        <v>11598</v>
      </c>
      <c r="D97" s="22" t="s">
        <v>5315</v>
      </c>
      <c r="E97" s="22" t="s">
        <v>6885</v>
      </c>
      <c r="F97" s="22" t="s">
        <v>198</v>
      </c>
      <c r="G97" s="22" t="s">
        <v>8601</v>
      </c>
      <c r="H97" s="22" t="s">
        <v>11406</v>
      </c>
      <c r="I97" s="22" t="n">
        <v>59</v>
      </c>
      <c r="J97" s="22" t="n">
        <v>1</v>
      </c>
      <c r="K97" s="22" t="n">
        <v>59</v>
      </c>
      <c r="L97" s="25" t="n">
        <v>10.4</v>
      </c>
      <c r="M97" s="25" t="n">
        <v>613.6</v>
      </c>
      <c r="N97" s="25" t="n">
        <v>78.79</v>
      </c>
      <c r="O97" s="25" t="n">
        <v>692.39</v>
      </c>
      <c r="P97" s="22" t="s">
        <v>11407</v>
      </c>
      <c r="Q97" s="23" t="n">
        <v>46249</v>
      </c>
      <c r="R97" s="22" t="n">
        <f aca="false">I97*J97</f>
        <v>59</v>
      </c>
      <c r="S97" s="25" t="n">
        <f aca="false">K97-R97</f>
        <v>0</v>
      </c>
      <c r="T97" s="25" t="n">
        <f aca="false">K97*L97</f>
        <v>613.6</v>
      </c>
      <c r="U97" s="25" t="n">
        <f aca="false">M97-T97</f>
        <v>0</v>
      </c>
      <c r="V97" s="25" t="n">
        <f aca="false">M97+N97</f>
        <v>692.39</v>
      </c>
      <c r="W97" s="25" t="n">
        <f aca="false">O97-V97</f>
        <v>0</v>
      </c>
      <c r="X97" s="22" t="str">
        <f aca="false">IF(OR(ABS(S97)&gt;0.005,ABS(U97)&gt;0.005,ABS(W97)&gt;0.005),"Subledger arithmetic error","OK")</f>
        <v>OK</v>
      </c>
      <c r="Y97" s="22" t="str">
        <f aca="false">IF(X97="OK","","Priority 3")</f>
        <v/>
      </c>
    </row>
    <row r="98" customFormat="false" ht="15" hidden="false" customHeight="false" outlineLevel="0" collapsed="false">
      <c r="A98" s="22" t="s">
        <v>11599</v>
      </c>
      <c r="B98" s="23" t="n">
        <v>46235</v>
      </c>
      <c r="C98" s="22" t="s">
        <v>11600</v>
      </c>
      <c r="D98" s="22" t="s">
        <v>339</v>
      </c>
      <c r="E98" s="22" t="s">
        <v>6888</v>
      </c>
      <c r="F98" s="22" t="s">
        <v>198</v>
      </c>
      <c r="G98" s="22" t="s">
        <v>8601</v>
      </c>
      <c r="H98" s="22" t="s">
        <v>11406</v>
      </c>
      <c r="I98" s="22" t="n">
        <v>40</v>
      </c>
      <c r="J98" s="22" t="n">
        <v>1</v>
      </c>
      <c r="K98" s="22" t="n">
        <v>40</v>
      </c>
      <c r="L98" s="25" t="n">
        <v>10.4</v>
      </c>
      <c r="M98" s="25" t="n">
        <v>416</v>
      </c>
      <c r="N98" s="25" t="n">
        <v>53.41</v>
      </c>
      <c r="O98" s="25" t="n">
        <v>469.41</v>
      </c>
      <c r="P98" s="22" t="s">
        <v>11407</v>
      </c>
      <c r="Q98" s="23" t="n">
        <v>46249</v>
      </c>
      <c r="R98" s="22" t="n">
        <f aca="false">I98*J98</f>
        <v>40</v>
      </c>
      <c r="S98" s="25" t="n">
        <f aca="false">K98-R98</f>
        <v>0</v>
      </c>
      <c r="T98" s="25" t="n">
        <f aca="false">K98*L98</f>
        <v>416</v>
      </c>
      <c r="U98" s="25" t="n">
        <f aca="false">M98-T98</f>
        <v>0</v>
      </c>
      <c r="V98" s="25" t="n">
        <f aca="false">M98+N98</f>
        <v>469.41</v>
      </c>
      <c r="W98" s="25" t="n">
        <f aca="false">O98-V98</f>
        <v>0</v>
      </c>
      <c r="X98" s="22" t="str">
        <f aca="false">IF(OR(ABS(S98)&gt;0.005,ABS(U98)&gt;0.005,ABS(W98)&gt;0.005),"Subledger arithmetic error","OK")</f>
        <v>OK</v>
      </c>
      <c r="Y98" s="22" t="str">
        <f aca="false">IF(X98="OK","","Priority 3")</f>
        <v/>
      </c>
    </row>
    <row r="99" customFormat="false" ht="15" hidden="false" customHeight="false" outlineLevel="0" collapsed="false">
      <c r="A99" s="22" t="s">
        <v>11601</v>
      </c>
      <c r="B99" s="23" t="n">
        <v>46235</v>
      </c>
      <c r="C99" s="22" t="s">
        <v>11602</v>
      </c>
      <c r="D99" s="22" t="s">
        <v>4603</v>
      </c>
      <c r="E99" s="22" t="s">
        <v>6891</v>
      </c>
      <c r="F99" s="22" t="s">
        <v>198</v>
      </c>
      <c r="G99" s="22" t="s">
        <v>8601</v>
      </c>
      <c r="H99" s="22" t="s">
        <v>11406</v>
      </c>
      <c r="I99" s="22" t="n">
        <v>40</v>
      </c>
      <c r="J99" s="22" t="n">
        <v>1</v>
      </c>
      <c r="K99" s="22" t="n">
        <v>40</v>
      </c>
      <c r="L99" s="25" t="n">
        <v>10.4</v>
      </c>
      <c r="M99" s="25" t="n">
        <v>416</v>
      </c>
      <c r="N99" s="25" t="n">
        <v>53.41</v>
      </c>
      <c r="O99" s="25" t="n">
        <v>469.41</v>
      </c>
      <c r="P99" s="22" t="s">
        <v>11407</v>
      </c>
      <c r="Q99" s="23" t="n">
        <v>46249</v>
      </c>
      <c r="R99" s="22" t="n">
        <f aca="false">I99*J99</f>
        <v>40</v>
      </c>
      <c r="S99" s="25" t="n">
        <f aca="false">K99-R99</f>
        <v>0</v>
      </c>
      <c r="T99" s="25" t="n">
        <f aca="false">K99*L99</f>
        <v>416</v>
      </c>
      <c r="U99" s="25" t="n">
        <f aca="false">M99-T99</f>
        <v>0</v>
      </c>
      <c r="V99" s="25" t="n">
        <f aca="false">M99+N99</f>
        <v>469.41</v>
      </c>
      <c r="W99" s="25" t="n">
        <f aca="false">O99-V99</f>
        <v>0</v>
      </c>
      <c r="X99" s="22" t="str">
        <f aca="false">IF(OR(ABS(S99)&gt;0.005,ABS(U99)&gt;0.005,ABS(W99)&gt;0.005),"Subledger arithmetic error","OK")</f>
        <v>OK</v>
      </c>
      <c r="Y99" s="22" t="str">
        <f aca="false">IF(X99="OK","","Priority 3")</f>
        <v/>
      </c>
    </row>
    <row r="100" customFormat="false" ht="15" hidden="false" customHeight="false" outlineLevel="0" collapsed="false">
      <c r="A100" s="22" t="s">
        <v>11603</v>
      </c>
      <c r="B100" s="23" t="n">
        <v>46235</v>
      </c>
      <c r="C100" s="22" t="s">
        <v>11604</v>
      </c>
      <c r="D100" s="22" t="s">
        <v>1520</v>
      </c>
      <c r="E100" s="22" t="s">
        <v>6894</v>
      </c>
      <c r="F100" s="22" t="s">
        <v>198</v>
      </c>
      <c r="G100" s="22" t="s">
        <v>8601</v>
      </c>
      <c r="H100" s="22" t="s">
        <v>11406</v>
      </c>
      <c r="I100" s="22" t="n">
        <v>41</v>
      </c>
      <c r="J100" s="22" t="n">
        <v>1</v>
      </c>
      <c r="K100" s="22" t="n">
        <v>41</v>
      </c>
      <c r="L100" s="25" t="n">
        <v>10.4</v>
      </c>
      <c r="M100" s="25" t="n">
        <v>426.4</v>
      </c>
      <c r="N100" s="25" t="n">
        <v>54.75</v>
      </c>
      <c r="O100" s="25" t="n">
        <v>481.15</v>
      </c>
      <c r="P100" s="22" t="s">
        <v>11407</v>
      </c>
      <c r="Q100" s="23" t="n">
        <v>46249</v>
      </c>
      <c r="R100" s="22" t="n">
        <f aca="false">I100*J100</f>
        <v>41</v>
      </c>
      <c r="S100" s="25" t="n">
        <f aca="false">K100-R100</f>
        <v>0</v>
      </c>
      <c r="T100" s="25" t="n">
        <f aca="false">K100*L100</f>
        <v>426.4</v>
      </c>
      <c r="U100" s="25" t="n">
        <f aca="false">M100-T100</f>
        <v>0</v>
      </c>
      <c r="V100" s="25" t="n">
        <f aca="false">M100+N100</f>
        <v>481.15</v>
      </c>
      <c r="W100" s="25" t="n">
        <f aca="false">O100-V100</f>
        <v>0</v>
      </c>
      <c r="X100" s="22" t="str">
        <f aca="false">IF(OR(ABS(S100)&gt;0.005,ABS(U100)&gt;0.005,ABS(W100)&gt;0.005),"Subledger arithmetic error","OK")</f>
        <v>OK</v>
      </c>
      <c r="Y100" s="22" t="str">
        <f aca="false">IF(X100="OK","","Priority 3")</f>
        <v/>
      </c>
    </row>
    <row r="101" customFormat="false" ht="15" hidden="false" customHeight="false" outlineLevel="0" collapsed="false">
      <c r="A101" s="22" t="s">
        <v>11605</v>
      </c>
      <c r="B101" s="23" t="n">
        <v>46235</v>
      </c>
      <c r="C101" s="22" t="s">
        <v>11606</v>
      </c>
      <c r="D101" s="22" t="s">
        <v>270</v>
      </c>
      <c r="E101" s="22" t="s">
        <v>6897</v>
      </c>
      <c r="F101" s="22" t="s">
        <v>198</v>
      </c>
      <c r="G101" s="22" t="s">
        <v>8601</v>
      </c>
      <c r="H101" s="22" t="s">
        <v>11406</v>
      </c>
      <c r="I101" s="22" t="n">
        <v>28</v>
      </c>
      <c r="J101" s="22" t="n">
        <v>1</v>
      </c>
      <c r="K101" s="22" t="n">
        <v>28</v>
      </c>
      <c r="L101" s="25" t="n">
        <v>10.4</v>
      </c>
      <c r="M101" s="25" t="n">
        <v>291.2</v>
      </c>
      <c r="N101" s="25" t="n">
        <v>37.39</v>
      </c>
      <c r="O101" s="25" t="n">
        <v>328.59</v>
      </c>
      <c r="P101" s="22" t="s">
        <v>11407</v>
      </c>
      <c r="Q101" s="23" t="n">
        <v>46249</v>
      </c>
      <c r="R101" s="22" t="n">
        <f aca="false">I101*J101</f>
        <v>28</v>
      </c>
      <c r="S101" s="25" t="n">
        <f aca="false">K101-R101</f>
        <v>0</v>
      </c>
      <c r="T101" s="25" t="n">
        <f aca="false">K101*L101</f>
        <v>291.2</v>
      </c>
      <c r="U101" s="25" t="n">
        <f aca="false">M101-T101</f>
        <v>0</v>
      </c>
      <c r="V101" s="25" t="n">
        <f aca="false">M101+N101</f>
        <v>328.59</v>
      </c>
      <c r="W101" s="25" t="n">
        <f aca="false">O101-V101</f>
        <v>0</v>
      </c>
      <c r="X101" s="22" t="str">
        <f aca="false">IF(OR(ABS(S101)&gt;0.005,ABS(U101)&gt;0.005,ABS(W101)&gt;0.005),"Subledger arithmetic error","OK")</f>
        <v>OK</v>
      </c>
      <c r="Y101" s="22" t="str">
        <f aca="false">IF(X101="OK","","Priority 3")</f>
        <v/>
      </c>
    </row>
    <row r="102" customFormat="false" ht="15" hidden="false" customHeight="false" outlineLevel="0" collapsed="false">
      <c r="A102" s="22" t="s">
        <v>11607</v>
      </c>
      <c r="B102" s="23" t="n">
        <v>46235</v>
      </c>
      <c r="C102" s="22" t="s">
        <v>11608</v>
      </c>
      <c r="D102" s="22" t="s">
        <v>5006</v>
      </c>
      <c r="E102" s="22" t="s">
        <v>6902</v>
      </c>
      <c r="F102" s="22" t="s">
        <v>198</v>
      </c>
      <c r="G102" s="22" t="s">
        <v>8601</v>
      </c>
      <c r="H102" s="22" t="s">
        <v>11406</v>
      </c>
      <c r="I102" s="22" t="n">
        <v>40</v>
      </c>
      <c r="J102" s="22" t="n">
        <v>1</v>
      </c>
      <c r="K102" s="22" t="n">
        <v>40</v>
      </c>
      <c r="L102" s="25" t="n">
        <v>10.4</v>
      </c>
      <c r="M102" s="25" t="n">
        <v>416</v>
      </c>
      <c r="N102" s="25" t="n">
        <v>53.41</v>
      </c>
      <c r="O102" s="25" t="n">
        <v>469.41</v>
      </c>
      <c r="P102" s="22" t="s">
        <v>11407</v>
      </c>
      <c r="Q102" s="23" t="n">
        <v>46249</v>
      </c>
      <c r="R102" s="22" t="n">
        <f aca="false">I102*J102</f>
        <v>40</v>
      </c>
      <c r="S102" s="25" t="n">
        <f aca="false">K102-R102</f>
        <v>0</v>
      </c>
      <c r="T102" s="25" t="n">
        <f aca="false">K102*L102</f>
        <v>416</v>
      </c>
      <c r="U102" s="25" t="n">
        <f aca="false">M102-T102</f>
        <v>0</v>
      </c>
      <c r="V102" s="25" t="n">
        <f aca="false">M102+N102</f>
        <v>469.41</v>
      </c>
      <c r="W102" s="25" t="n">
        <f aca="false">O102-V102</f>
        <v>0</v>
      </c>
      <c r="X102" s="22" t="str">
        <f aca="false">IF(OR(ABS(S102)&gt;0.005,ABS(U102)&gt;0.005,ABS(W102)&gt;0.005),"Subledger arithmetic error","OK")</f>
        <v>OK</v>
      </c>
      <c r="Y102" s="22" t="str">
        <f aca="false">IF(X102="OK","","Priority 3")</f>
        <v/>
      </c>
    </row>
    <row r="103" customFormat="false" ht="15" hidden="false" customHeight="false" outlineLevel="0" collapsed="false">
      <c r="A103" s="22" t="s">
        <v>11609</v>
      </c>
      <c r="B103" s="23" t="n">
        <v>46235</v>
      </c>
      <c r="C103" s="22" t="s">
        <v>11610</v>
      </c>
      <c r="D103" s="22" t="s">
        <v>4150</v>
      </c>
      <c r="E103" s="22" t="s">
        <v>6905</v>
      </c>
      <c r="F103" s="22" t="s">
        <v>198</v>
      </c>
      <c r="G103" s="22" t="s">
        <v>8601</v>
      </c>
      <c r="H103" s="22" t="s">
        <v>11406</v>
      </c>
      <c r="I103" s="22" t="n">
        <v>55</v>
      </c>
      <c r="J103" s="22" t="n">
        <v>1</v>
      </c>
      <c r="K103" s="22" t="n">
        <v>55</v>
      </c>
      <c r="L103" s="25" t="n">
        <v>10.4</v>
      </c>
      <c r="M103" s="25" t="n">
        <v>572</v>
      </c>
      <c r="N103" s="25" t="n">
        <v>73.44</v>
      </c>
      <c r="O103" s="25" t="n">
        <v>645.44</v>
      </c>
      <c r="P103" s="22" t="s">
        <v>11407</v>
      </c>
      <c r="Q103" s="23" t="n">
        <v>46249</v>
      </c>
      <c r="R103" s="22" t="n">
        <f aca="false">I103*J103</f>
        <v>55</v>
      </c>
      <c r="S103" s="25" t="n">
        <f aca="false">K103-R103</f>
        <v>0</v>
      </c>
      <c r="T103" s="25" t="n">
        <f aca="false">K103*L103</f>
        <v>572</v>
      </c>
      <c r="U103" s="25" t="n">
        <f aca="false">M103-T103</f>
        <v>0</v>
      </c>
      <c r="V103" s="25" t="n">
        <f aca="false">M103+N103</f>
        <v>645.44</v>
      </c>
      <c r="W103" s="25" t="n">
        <f aca="false">O103-V103</f>
        <v>0</v>
      </c>
      <c r="X103" s="22" t="str">
        <f aca="false">IF(OR(ABS(S103)&gt;0.005,ABS(U103)&gt;0.005,ABS(W103)&gt;0.005),"Subledger arithmetic error","OK")</f>
        <v>OK</v>
      </c>
      <c r="Y103" s="22" t="str">
        <f aca="false">IF(X103="OK","","Priority 3")</f>
        <v/>
      </c>
    </row>
    <row r="104" customFormat="false" ht="15" hidden="false" customHeight="false" outlineLevel="0" collapsed="false">
      <c r="A104" s="22" t="s">
        <v>11611</v>
      </c>
      <c r="B104" s="23" t="n">
        <v>46235</v>
      </c>
      <c r="C104" s="22" t="s">
        <v>11612</v>
      </c>
      <c r="D104" s="22" t="s">
        <v>4656</v>
      </c>
      <c r="E104" s="22" t="s">
        <v>6908</v>
      </c>
      <c r="F104" s="22" t="s">
        <v>198</v>
      </c>
      <c r="G104" s="22" t="s">
        <v>8601</v>
      </c>
      <c r="H104" s="22" t="s">
        <v>11406</v>
      </c>
      <c r="I104" s="22" t="n">
        <v>36</v>
      </c>
      <c r="J104" s="22" t="n">
        <v>1</v>
      </c>
      <c r="K104" s="22" t="n">
        <v>36</v>
      </c>
      <c r="L104" s="25" t="n">
        <v>10.4</v>
      </c>
      <c r="M104" s="25" t="n">
        <v>374.4</v>
      </c>
      <c r="N104" s="25" t="n">
        <v>48.07</v>
      </c>
      <c r="O104" s="25" t="n">
        <v>422.47</v>
      </c>
      <c r="P104" s="22" t="s">
        <v>11407</v>
      </c>
      <c r="Q104" s="23" t="n">
        <v>46249</v>
      </c>
      <c r="R104" s="22" t="n">
        <f aca="false">I104*J104</f>
        <v>36</v>
      </c>
      <c r="S104" s="25" t="n">
        <f aca="false">K104-R104</f>
        <v>0</v>
      </c>
      <c r="T104" s="25" t="n">
        <f aca="false">K104*L104</f>
        <v>374.4</v>
      </c>
      <c r="U104" s="25" t="n">
        <f aca="false">M104-T104</f>
        <v>0</v>
      </c>
      <c r="V104" s="25" t="n">
        <f aca="false">M104+N104</f>
        <v>422.47</v>
      </c>
      <c r="W104" s="25" t="n">
        <f aca="false">O104-V104</f>
        <v>0</v>
      </c>
      <c r="X104" s="22" t="str">
        <f aca="false">IF(OR(ABS(S104)&gt;0.005,ABS(U104)&gt;0.005,ABS(W104)&gt;0.005),"Subledger arithmetic error","OK")</f>
        <v>OK</v>
      </c>
      <c r="Y104" s="22" t="str">
        <f aca="false">IF(X104="OK","","Priority 3")</f>
        <v/>
      </c>
    </row>
    <row r="105" customFormat="false" ht="15" hidden="false" customHeight="false" outlineLevel="0" collapsed="false">
      <c r="A105" s="22" t="s">
        <v>11613</v>
      </c>
      <c r="B105" s="23" t="n">
        <v>46235</v>
      </c>
      <c r="C105" s="22" t="s">
        <v>11614</v>
      </c>
      <c r="D105" s="22" t="s">
        <v>5100</v>
      </c>
      <c r="E105" s="22" t="s">
        <v>6911</v>
      </c>
      <c r="F105" s="22" t="s">
        <v>198</v>
      </c>
      <c r="G105" s="22" t="s">
        <v>8601</v>
      </c>
      <c r="H105" s="22" t="s">
        <v>11406</v>
      </c>
      <c r="I105" s="22" t="n">
        <v>37</v>
      </c>
      <c r="J105" s="22" t="n">
        <v>1</v>
      </c>
      <c r="K105" s="22" t="n">
        <v>37</v>
      </c>
      <c r="L105" s="25" t="n">
        <v>10.4</v>
      </c>
      <c r="M105" s="25" t="n">
        <v>384.8</v>
      </c>
      <c r="N105" s="25" t="n">
        <v>49.41</v>
      </c>
      <c r="O105" s="25" t="n">
        <v>434.21</v>
      </c>
      <c r="P105" s="22" t="s">
        <v>11407</v>
      </c>
      <c r="Q105" s="23" t="n">
        <v>46249</v>
      </c>
      <c r="R105" s="22" t="n">
        <f aca="false">I105*J105</f>
        <v>37</v>
      </c>
      <c r="S105" s="25" t="n">
        <f aca="false">K105-R105</f>
        <v>0</v>
      </c>
      <c r="T105" s="25" t="n">
        <f aca="false">K105*L105</f>
        <v>384.8</v>
      </c>
      <c r="U105" s="25" t="n">
        <f aca="false">M105-T105</f>
        <v>0</v>
      </c>
      <c r="V105" s="25" t="n">
        <f aca="false">M105+N105</f>
        <v>434.21</v>
      </c>
      <c r="W105" s="25" t="n">
        <f aca="false">O105-V105</f>
        <v>0</v>
      </c>
      <c r="X105" s="22" t="str">
        <f aca="false">IF(OR(ABS(S105)&gt;0.005,ABS(U105)&gt;0.005,ABS(W105)&gt;0.005),"Subledger arithmetic error","OK")</f>
        <v>OK</v>
      </c>
      <c r="Y105" s="22" t="str">
        <f aca="false">IF(X105="OK","","Priority 3")</f>
        <v/>
      </c>
    </row>
    <row r="106" customFormat="false" ht="15" hidden="false" customHeight="false" outlineLevel="0" collapsed="false">
      <c r="A106" s="22" t="s">
        <v>11615</v>
      </c>
      <c r="B106" s="23" t="n">
        <v>46235</v>
      </c>
      <c r="C106" s="22" t="s">
        <v>11616</v>
      </c>
      <c r="D106" s="22" t="s">
        <v>2410</v>
      </c>
      <c r="E106" s="22" t="s">
        <v>6914</v>
      </c>
      <c r="F106" s="22" t="s">
        <v>198</v>
      </c>
      <c r="G106" s="22" t="s">
        <v>8601</v>
      </c>
      <c r="H106" s="22" t="s">
        <v>11406</v>
      </c>
      <c r="I106" s="22" t="n">
        <v>39</v>
      </c>
      <c r="J106" s="22" t="n">
        <v>1</v>
      </c>
      <c r="K106" s="22" t="n">
        <v>39</v>
      </c>
      <c r="L106" s="25" t="n">
        <v>10.4</v>
      </c>
      <c r="M106" s="25" t="n">
        <v>405.6</v>
      </c>
      <c r="N106" s="25" t="n">
        <v>52.08</v>
      </c>
      <c r="O106" s="25" t="n">
        <v>457.68</v>
      </c>
      <c r="P106" s="22" t="s">
        <v>11407</v>
      </c>
      <c r="Q106" s="23" t="n">
        <v>46249</v>
      </c>
      <c r="R106" s="22" t="n">
        <f aca="false">I106*J106</f>
        <v>39</v>
      </c>
      <c r="S106" s="25" t="n">
        <f aca="false">K106-R106</f>
        <v>0</v>
      </c>
      <c r="T106" s="25" t="n">
        <f aca="false">K106*L106</f>
        <v>405.6</v>
      </c>
      <c r="U106" s="25" t="n">
        <f aca="false">M106-T106</f>
        <v>0</v>
      </c>
      <c r="V106" s="25" t="n">
        <f aca="false">M106+N106</f>
        <v>457.68</v>
      </c>
      <c r="W106" s="25" t="n">
        <f aca="false">O106-V106</f>
        <v>0</v>
      </c>
      <c r="X106" s="22" t="str">
        <f aca="false">IF(OR(ABS(S106)&gt;0.005,ABS(U106)&gt;0.005,ABS(W106)&gt;0.005),"Subledger arithmetic error","OK")</f>
        <v>OK</v>
      </c>
      <c r="Y106" s="22" t="str">
        <f aca="false">IF(X106="OK","","Priority 3")</f>
        <v/>
      </c>
    </row>
    <row r="107" customFormat="false" ht="15" hidden="false" customHeight="false" outlineLevel="0" collapsed="false">
      <c r="A107" s="22" t="s">
        <v>11617</v>
      </c>
      <c r="B107" s="23" t="n">
        <v>46235</v>
      </c>
      <c r="C107" s="22" t="s">
        <v>11618</v>
      </c>
      <c r="D107" s="22" t="s">
        <v>5059</v>
      </c>
      <c r="E107" s="22" t="s">
        <v>6917</v>
      </c>
      <c r="F107" s="22" t="s">
        <v>198</v>
      </c>
      <c r="G107" s="22" t="s">
        <v>8601</v>
      </c>
      <c r="H107" s="22" t="s">
        <v>11406</v>
      </c>
      <c r="I107" s="22" t="n">
        <v>40</v>
      </c>
      <c r="J107" s="22" t="n">
        <v>1</v>
      </c>
      <c r="K107" s="22" t="n">
        <v>40</v>
      </c>
      <c r="L107" s="25" t="n">
        <v>10.4</v>
      </c>
      <c r="M107" s="25" t="n">
        <v>416</v>
      </c>
      <c r="N107" s="25" t="n">
        <v>53.41</v>
      </c>
      <c r="O107" s="25" t="n">
        <v>469.41</v>
      </c>
      <c r="P107" s="22" t="s">
        <v>11407</v>
      </c>
      <c r="Q107" s="23" t="n">
        <v>46249</v>
      </c>
      <c r="R107" s="22" t="n">
        <f aca="false">I107*J107</f>
        <v>40</v>
      </c>
      <c r="S107" s="25" t="n">
        <f aca="false">K107-R107</f>
        <v>0</v>
      </c>
      <c r="T107" s="25" t="n">
        <f aca="false">K107*L107</f>
        <v>416</v>
      </c>
      <c r="U107" s="25" t="n">
        <f aca="false">M107-T107</f>
        <v>0</v>
      </c>
      <c r="V107" s="25" t="n">
        <f aca="false">M107+N107</f>
        <v>469.41</v>
      </c>
      <c r="W107" s="25" t="n">
        <f aca="false">O107-V107</f>
        <v>0</v>
      </c>
      <c r="X107" s="22" t="str">
        <f aca="false">IF(OR(ABS(S107)&gt;0.005,ABS(U107)&gt;0.005,ABS(W107)&gt;0.005),"Subledger arithmetic error","OK")</f>
        <v>OK</v>
      </c>
      <c r="Y107" s="22" t="str">
        <f aca="false">IF(X107="OK","","Priority 3")</f>
        <v/>
      </c>
    </row>
    <row r="108" customFormat="false" ht="15" hidden="false" customHeight="false" outlineLevel="0" collapsed="false">
      <c r="A108" s="22" t="s">
        <v>11619</v>
      </c>
      <c r="B108" s="23" t="n">
        <v>46235</v>
      </c>
      <c r="C108" s="22" t="s">
        <v>11620</v>
      </c>
      <c r="D108" s="22" t="s">
        <v>1744</v>
      </c>
      <c r="E108" s="22" t="s">
        <v>6920</v>
      </c>
      <c r="F108" s="22" t="s">
        <v>198</v>
      </c>
      <c r="G108" s="22" t="s">
        <v>8601</v>
      </c>
      <c r="H108" s="22" t="s">
        <v>11406</v>
      </c>
      <c r="I108" s="22" t="n">
        <v>61</v>
      </c>
      <c r="J108" s="22" t="n">
        <v>1</v>
      </c>
      <c r="K108" s="22" t="n">
        <v>61</v>
      </c>
      <c r="L108" s="25" t="n">
        <v>10.4</v>
      </c>
      <c r="M108" s="25" t="n">
        <v>634.4</v>
      </c>
      <c r="N108" s="25" t="n">
        <v>81.46</v>
      </c>
      <c r="O108" s="25" t="n">
        <v>715.86</v>
      </c>
      <c r="P108" s="22" t="s">
        <v>11407</v>
      </c>
      <c r="Q108" s="23" t="n">
        <v>46249</v>
      </c>
      <c r="R108" s="22" t="n">
        <f aca="false">I108*J108</f>
        <v>61</v>
      </c>
      <c r="S108" s="25" t="n">
        <f aca="false">K108-R108</f>
        <v>0</v>
      </c>
      <c r="T108" s="25" t="n">
        <f aca="false">K108*L108</f>
        <v>634.4</v>
      </c>
      <c r="U108" s="25" t="n">
        <f aca="false">M108-T108</f>
        <v>0</v>
      </c>
      <c r="V108" s="25" t="n">
        <f aca="false">M108+N108</f>
        <v>715.86</v>
      </c>
      <c r="W108" s="25" t="n">
        <f aca="false">O108-V108</f>
        <v>0</v>
      </c>
      <c r="X108" s="22" t="str">
        <f aca="false">IF(OR(ABS(S108)&gt;0.005,ABS(U108)&gt;0.005,ABS(W108)&gt;0.005),"Subledger arithmetic error","OK")</f>
        <v>OK</v>
      </c>
      <c r="Y108" s="22" t="str">
        <f aca="false">IF(X108="OK","","Priority 3")</f>
        <v/>
      </c>
    </row>
    <row r="109" customFormat="false" ht="15" hidden="false" customHeight="false" outlineLevel="0" collapsed="false">
      <c r="A109" s="22" t="s">
        <v>11621</v>
      </c>
      <c r="B109" s="23" t="n">
        <v>46235</v>
      </c>
      <c r="C109" s="22" t="s">
        <v>11622</v>
      </c>
      <c r="D109" s="22" t="s">
        <v>5162</v>
      </c>
      <c r="E109" s="22" t="s">
        <v>6923</v>
      </c>
      <c r="F109" s="22" t="s">
        <v>198</v>
      </c>
      <c r="G109" s="22" t="s">
        <v>8601</v>
      </c>
      <c r="H109" s="22" t="s">
        <v>11406</v>
      </c>
      <c r="I109" s="22" t="n">
        <v>25</v>
      </c>
      <c r="J109" s="22" t="n">
        <v>1</v>
      </c>
      <c r="K109" s="22" t="n">
        <v>25</v>
      </c>
      <c r="L109" s="25" t="n">
        <v>10.4</v>
      </c>
      <c r="M109" s="25" t="n">
        <v>260</v>
      </c>
      <c r="N109" s="25" t="n">
        <v>33.38</v>
      </c>
      <c r="O109" s="25" t="n">
        <v>293.38</v>
      </c>
      <c r="P109" s="22" t="s">
        <v>11407</v>
      </c>
      <c r="Q109" s="23" t="n">
        <v>46249</v>
      </c>
      <c r="R109" s="22" t="n">
        <f aca="false">I109*J109</f>
        <v>25</v>
      </c>
      <c r="S109" s="25" t="n">
        <f aca="false">K109-R109</f>
        <v>0</v>
      </c>
      <c r="T109" s="25" t="n">
        <f aca="false">K109*L109</f>
        <v>260</v>
      </c>
      <c r="U109" s="25" t="n">
        <f aca="false">M109-T109</f>
        <v>0</v>
      </c>
      <c r="V109" s="25" t="n">
        <f aca="false">M109+N109</f>
        <v>293.38</v>
      </c>
      <c r="W109" s="25" t="n">
        <f aca="false">O109-V109</f>
        <v>0</v>
      </c>
      <c r="X109" s="22" t="str">
        <f aca="false">IF(OR(ABS(S109)&gt;0.005,ABS(U109)&gt;0.005,ABS(W109)&gt;0.005),"Subledger arithmetic error","OK")</f>
        <v>OK</v>
      </c>
      <c r="Y109" s="22" t="str">
        <f aca="false">IF(X109="OK","","Priority 3")</f>
        <v/>
      </c>
    </row>
    <row r="110" customFormat="false" ht="15" hidden="false" customHeight="false" outlineLevel="0" collapsed="false">
      <c r="A110" s="22" t="s">
        <v>11623</v>
      </c>
      <c r="B110" s="23" t="n">
        <v>46235</v>
      </c>
      <c r="C110" s="22" t="s">
        <v>11624</v>
      </c>
      <c r="D110" s="22" t="s">
        <v>4107</v>
      </c>
      <c r="E110" s="22" t="s">
        <v>6925</v>
      </c>
      <c r="F110" s="22" t="s">
        <v>198</v>
      </c>
      <c r="G110" s="22" t="s">
        <v>8601</v>
      </c>
      <c r="H110" s="22" t="s">
        <v>11406</v>
      </c>
      <c r="I110" s="22" t="n">
        <v>28</v>
      </c>
      <c r="J110" s="22" t="n">
        <v>1</v>
      </c>
      <c r="K110" s="22" t="n">
        <v>28</v>
      </c>
      <c r="L110" s="25" t="n">
        <v>10.4</v>
      </c>
      <c r="M110" s="25" t="n">
        <v>291.2</v>
      </c>
      <c r="N110" s="25" t="n">
        <v>37.39</v>
      </c>
      <c r="O110" s="25" t="n">
        <v>328.59</v>
      </c>
      <c r="P110" s="22" t="s">
        <v>11407</v>
      </c>
      <c r="Q110" s="23" t="n">
        <v>46249</v>
      </c>
      <c r="R110" s="22" t="n">
        <f aca="false">I110*J110</f>
        <v>28</v>
      </c>
      <c r="S110" s="25" t="n">
        <f aca="false">K110-R110</f>
        <v>0</v>
      </c>
      <c r="T110" s="25" t="n">
        <f aca="false">K110*L110</f>
        <v>291.2</v>
      </c>
      <c r="U110" s="25" t="n">
        <f aca="false">M110-T110</f>
        <v>0</v>
      </c>
      <c r="V110" s="25" t="n">
        <f aca="false">M110+N110</f>
        <v>328.59</v>
      </c>
      <c r="W110" s="25" t="n">
        <f aca="false">O110-V110</f>
        <v>0</v>
      </c>
      <c r="X110" s="22" t="str">
        <f aca="false">IF(OR(ABS(S110)&gt;0.005,ABS(U110)&gt;0.005,ABS(W110)&gt;0.005),"Subledger arithmetic error","OK")</f>
        <v>OK</v>
      </c>
      <c r="Y110" s="22" t="str">
        <f aca="false">IF(X110="OK","","Priority 3")</f>
        <v/>
      </c>
    </row>
    <row r="111" customFormat="false" ht="15" hidden="false" customHeight="false" outlineLevel="0" collapsed="false">
      <c r="A111" s="22" t="s">
        <v>11625</v>
      </c>
      <c r="B111" s="23" t="n">
        <v>46235</v>
      </c>
      <c r="C111" s="22" t="s">
        <v>11626</v>
      </c>
      <c r="D111" s="22" t="s">
        <v>3992</v>
      </c>
      <c r="E111" s="22" t="s">
        <v>6928</v>
      </c>
      <c r="F111" s="22" t="s">
        <v>198</v>
      </c>
      <c r="G111" s="22" t="s">
        <v>8601</v>
      </c>
      <c r="H111" s="22" t="s">
        <v>11406</v>
      </c>
      <c r="I111" s="22" t="n">
        <v>30</v>
      </c>
      <c r="J111" s="22" t="n">
        <v>1</v>
      </c>
      <c r="K111" s="22" t="n">
        <v>30</v>
      </c>
      <c r="L111" s="25" t="n">
        <v>10.4</v>
      </c>
      <c r="M111" s="25" t="n">
        <v>312</v>
      </c>
      <c r="N111" s="25" t="n">
        <v>40.06</v>
      </c>
      <c r="O111" s="25" t="n">
        <v>352.06</v>
      </c>
      <c r="P111" s="22" t="s">
        <v>11407</v>
      </c>
      <c r="Q111" s="23" t="n">
        <v>46249</v>
      </c>
      <c r="R111" s="22" t="n">
        <f aca="false">I111*J111</f>
        <v>30</v>
      </c>
      <c r="S111" s="25" t="n">
        <f aca="false">K111-R111</f>
        <v>0</v>
      </c>
      <c r="T111" s="25" t="n">
        <f aca="false">K111*L111</f>
        <v>312</v>
      </c>
      <c r="U111" s="25" t="n">
        <f aca="false">M111-T111</f>
        <v>0</v>
      </c>
      <c r="V111" s="25" t="n">
        <f aca="false">M111+N111</f>
        <v>352.06</v>
      </c>
      <c r="W111" s="25" t="n">
        <f aca="false">O111-V111</f>
        <v>0</v>
      </c>
      <c r="X111" s="22" t="str">
        <f aca="false">IF(OR(ABS(S111)&gt;0.005,ABS(U111)&gt;0.005,ABS(W111)&gt;0.005),"Subledger arithmetic error","OK")</f>
        <v>OK</v>
      </c>
      <c r="Y111" s="22" t="str">
        <f aca="false">IF(X111="OK","","Priority 3")</f>
        <v/>
      </c>
    </row>
    <row r="112" customFormat="false" ht="15" hidden="false" customHeight="false" outlineLevel="0" collapsed="false">
      <c r="A112" s="22" t="s">
        <v>11627</v>
      </c>
      <c r="B112" s="23" t="n">
        <v>46235</v>
      </c>
      <c r="C112" s="22" t="s">
        <v>11628</v>
      </c>
      <c r="D112" s="22" t="s">
        <v>1111</v>
      </c>
      <c r="E112" s="22" t="s">
        <v>6932</v>
      </c>
      <c r="F112" s="22" t="s">
        <v>198</v>
      </c>
      <c r="G112" s="22" t="s">
        <v>8601</v>
      </c>
      <c r="H112" s="22" t="s">
        <v>11406</v>
      </c>
      <c r="I112" s="22" t="n">
        <v>58</v>
      </c>
      <c r="J112" s="22" t="n">
        <v>1</v>
      </c>
      <c r="K112" s="22" t="n">
        <v>58</v>
      </c>
      <c r="L112" s="25" t="n">
        <v>10.4</v>
      </c>
      <c r="M112" s="25" t="n">
        <v>603.2</v>
      </c>
      <c r="N112" s="25" t="n">
        <v>77.45</v>
      </c>
      <c r="O112" s="25" t="n">
        <v>680.65</v>
      </c>
      <c r="P112" s="22" t="s">
        <v>11407</v>
      </c>
      <c r="Q112" s="23" t="n">
        <v>46249</v>
      </c>
      <c r="R112" s="22" t="n">
        <f aca="false">I112*J112</f>
        <v>58</v>
      </c>
      <c r="S112" s="25" t="n">
        <f aca="false">K112-R112</f>
        <v>0</v>
      </c>
      <c r="T112" s="25" t="n">
        <f aca="false">K112*L112</f>
        <v>603.2</v>
      </c>
      <c r="U112" s="25" t="n">
        <f aca="false">M112-T112</f>
        <v>0</v>
      </c>
      <c r="V112" s="25" t="n">
        <f aca="false">M112+N112</f>
        <v>680.65</v>
      </c>
      <c r="W112" s="25" t="n">
        <f aca="false">O112-V112</f>
        <v>0</v>
      </c>
      <c r="X112" s="22" t="str">
        <f aca="false">IF(OR(ABS(S112)&gt;0.005,ABS(U112)&gt;0.005,ABS(W112)&gt;0.005),"Subledger arithmetic error","OK")</f>
        <v>OK</v>
      </c>
      <c r="Y112" s="22" t="str">
        <f aca="false">IF(X112="OK","","Priority 3")</f>
        <v/>
      </c>
    </row>
    <row r="113" customFormat="false" ht="15" hidden="false" customHeight="false" outlineLevel="0" collapsed="false">
      <c r="A113" s="22" t="s">
        <v>11629</v>
      </c>
      <c r="B113" s="23" t="n">
        <v>46235</v>
      </c>
      <c r="C113" s="22" t="s">
        <v>11630</v>
      </c>
      <c r="D113" s="22" t="s">
        <v>4569</v>
      </c>
      <c r="E113" s="22" t="s">
        <v>6935</v>
      </c>
      <c r="F113" s="22" t="s">
        <v>198</v>
      </c>
      <c r="G113" s="22" t="s">
        <v>8601</v>
      </c>
      <c r="H113" s="22" t="s">
        <v>11406</v>
      </c>
      <c r="I113" s="22" t="n">
        <v>33</v>
      </c>
      <c r="J113" s="22" t="n">
        <v>1</v>
      </c>
      <c r="K113" s="22" t="n">
        <v>33</v>
      </c>
      <c r="L113" s="25" t="n">
        <v>10.4</v>
      </c>
      <c r="M113" s="25" t="n">
        <v>343.2</v>
      </c>
      <c r="N113" s="25" t="n">
        <v>44.07</v>
      </c>
      <c r="O113" s="25" t="n">
        <v>387.27</v>
      </c>
      <c r="P113" s="22" t="s">
        <v>11407</v>
      </c>
      <c r="Q113" s="23" t="n">
        <v>46249</v>
      </c>
      <c r="R113" s="22" t="n">
        <f aca="false">I113*J113</f>
        <v>33</v>
      </c>
      <c r="S113" s="25" t="n">
        <f aca="false">K113-R113</f>
        <v>0</v>
      </c>
      <c r="T113" s="25" t="n">
        <f aca="false">K113*L113</f>
        <v>343.2</v>
      </c>
      <c r="U113" s="25" t="n">
        <f aca="false">M113-T113</f>
        <v>0</v>
      </c>
      <c r="V113" s="25" t="n">
        <f aca="false">M113+N113</f>
        <v>387.27</v>
      </c>
      <c r="W113" s="25" t="n">
        <f aca="false">O113-V113</f>
        <v>0</v>
      </c>
      <c r="X113" s="22" t="str">
        <f aca="false">IF(OR(ABS(S113)&gt;0.005,ABS(U113)&gt;0.005,ABS(W113)&gt;0.005),"Subledger arithmetic error","OK")</f>
        <v>OK</v>
      </c>
      <c r="Y113" s="22" t="str">
        <f aca="false">IF(X113="OK","","Priority 3")</f>
        <v/>
      </c>
    </row>
    <row r="114" customFormat="false" ht="15" hidden="false" customHeight="false" outlineLevel="0" collapsed="false">
      <c r="A114" s="22" t="s">
        <v>11631</v>
      </c>
      <c r="B114" s="23" t="n">
        <v>46235</v>
      </c>
      <c r="C114" s="22" t="s">
        <v>11632</v>
      </c>
      <c r="D114" s="22" t="s">
        <v>3928</v>
      </c>
      <c r="E114" s="22" t="s">
        <v>6938</v>
      </c>
      <c r="F114" s="22" t="s">
        <v>198</v>
      </c>
      <c r="G114" s="22" t="s">
        <v>8601</v>
      </c>
      <c r="H114" s="22" t="s">
        <v>11406</v>
      </c>
      <c r="I114" s="22" t="n">
        <v>51</v>
      </c>
      <c r="J114" s="22" t="n">
        <v>1</v>
      </c>
      <c r="K114" s="22" t="n">
        <v>51</v>
      </c>
      <c r="L114" s="25" t="n">
        <v>10.4</v>
      </c>
      <c r="M114" s="25" t="n">
        <v>530.4</v>
      </c>
      <c r="N114" s="25" t="n">
        <v>68.1</v>
      </c>
      <c r="O114" s="25" t="n">
        <v>598.5</v>
      </c>
      <c r="P114" s="22" t="s">
        <v>11407</v>
      </c>
      <c r="Q114" s="23" t="n">
        <v>46249</v>
      </c>
      <c r="R114" s="22" t="n">
        <f aca="false">I114*J114</f>
        <v>51</v>
      </c>
      <c r="S114" s="25" t="n">
        <f aca="false">K114-R114</f>
        <v>0</v>
      </c>
      <c r="T114" s="25" t="n">
        <f aca="false">K114*L114</f>
        <v>530.4</v>
      </c>
      <c r="U114" s="25" t="n">
        <f aca="false">M114-T114</f>
        <v>0</v>
      </c>
      <c r="V114" s="25" t="n">
        <f aca="false">M114+N114</f>
        <v>598.5</v>
      </c>
      <c r="W114" s="25" t="n">
        <f aca="false">O114-V114</f>
        <v>0</v>
      </c>
      <c r="X114" s="22" t="str">
        <f aca="false">IF(OR(ABS(S114)&gt;0.005,ABS(U114)&gt;0.005,ABS(W114)&gt;0.005),"Subledger arithmetic error","OK")</f>
        <v>OK</v>
      </c>
      <c r="Y114" s="22" t="str">
        <f aca="false">IF(X114="OK","","Priority 3")</f>
        <v/>
      </c>
    </row>
    <row r="115" customFormat="false" ht="15" hidden="false" customHeight="false" outlineLevel="0" collapsed="false">
      <c r="A115" s="22" t="s">
        <v>11633</v>
      </c>
      <c r="B115" s="23" t="n">
        <v>46235</v>
      </c>
      <c r="C115" s="22" t="s">
        <v>11634</v>
      </c>
      <c r="D115" s="22" t="s">
        <v>2079</v>
      </c>
      <c r="E115" s="22" t="s">
        <v>6941</v>
      </c>
      <c r="F115" s="22" t="s">
        <v>198</v>
      </c>
      <c r="G115" s="22" t="s">
        <v>8601</v>
      </c>
      <c r="H115" s="22" t="s">
        <v>11406</v>
      </c>
      <c r="I115" s="22" t="n">
        <v>51</v>
      </c>
      <c r="J115" s="22" t="n">
        <v>1</v>
      </c>
      <c r="K115" s="22" t="n">
        <v>51</v>
      </c>
      <c r="L115" s="25" t="n">
        <v>10.4</v>
      </c>
      <c r="M115" s="25" t="n">
        <v>530.4</v>
      </c>
      <c r="N115" s="25" t="n">
        <v>68.1</v>
      </c>
      <c r="O115" s="25" t="n">
        <v>598.5</v>
      </c>
      <c r="P115" s="22" t="s">
        <v>11407</v>
      </c>
      <c r="Q115" s="23" t="n">
        <v>46249</v>
      </c>
      <c r="R115" s="22" t="n">
        <f aca="false">I115*J115</f>
        <v>51</v>
      </c>
      <c r="S115" s="25" t="n">
        <f aca="false">K115-R115</f>
        <v>0</v>
      </c>
      <c r="T115" s="25" t="n">
        <f aca="false">K115*L115</f>
        <v>530.4</v>
      </c>
      <c r="U115" s="25" t="n">
        <f aca="false">M115-T115</f>
        <v>0</v>
      </c>
      <c r="V115" s="25" t="n">
        <f aca="false">M115+N115</f>
        <v>598.5</v>
      </c>
      <c r="W115" s="25" t="n">
        <f aca="false">O115-V115</f>
        <v>0</v>
      </c>
      <c r="X115" s="22" t="str">
        <f aca="false">IF(OR(ABS(S115)&gt;0.005,ABS(U115)&gt;0.005,ABS(W115)&gt;0.005),"Subledger arithmetic error","OK")</f>
        <v>OK</v>
      </c>
      <c r="Y115" s="22" t="str">
        <f aca="false">IF(X115="OK","","Priority 3")</f>
        <v/>
      </c>
    </row>
    <row r="116" customFormat="false" ht="15" hidden="false" customHeight="false" outlineLevel="0" collapsed="false">
      <c r="A116" s="22" t="s">
        <v>11635</v>
      </c>
      <c r="B116" s="23" t="n">
        <v>46235</v>
      </c>
      <c r="C116" s="22" t="s">
        <v>11636</v>
      </c>
      <c r="D116" s="22" t="s">
        <v>6210</v>
      </c>
      <c r="E116" s="22" t="s">
        <v>6944</v>
      </c>
      <c r="F116" s="22" t="s">
        <v>198</v>
      </c>
      <c r="G116" s="22" t="s">
        <v>8601</v>
      </c>
      <c r="H116" s="22" t="s">
        <v>11406</v>
      </c>
      <c r="I116" s="22" t="n">
        <v>62</v>
      </c>
      <c r="J116" s="22" t="n">
        <v>1</v>
      </c>
      <c r="K116" s="22" t="n">
        <v>62</v>
      </c>
      <c r="L116" s="25" t="n">
        <v>10.4</v>
      </c>
      <c r="M116" s="25" t="n">
        <v>644.8</v>
      </c>
      <c r="N116" s="25" t="n">
        <v>82.79</v>
      </c>
      <c r="O116" s="25" t="n">
        <v>727.59</v>
      </c>
      <c r="P116" s="22" t="s">
        <v>11407</v>
      </c>
      <c r="Q116" s="23" t="n">
        <v>46249</v>
      </c>
      <c r="R116" s="22" t="n">
        <f aca="false">I116*J116</f>
        <v>62</v>
      </c>
      <c r="S116" s="25" t="n">
        <f aca="false">K116-R116</f>
        <v>0</v>
      </c>
      <c r="T116" s="25" t="n">
        <f aca="false">K116*L116</f>
        <v>644.8</v>
      </c>
      <c r="U116" s="25" t="n">
        <f aca="false">M116-T116</f>
        <v>0</v>
      </c>
      <c r="V116" s="25" t="n">
        <f aca="false">M116+N116</f>
        <v>727.59</v>
      </c>
      <c r="W116" s="25" t="n">
        <f aca="false">O116-V116</f>
        <v>0</v>
      </c>
      <c r="X116" s="22" t="str">
        <f aca="false">IF(OR(ABS(S116)&gt;0.005,ABS(U116)&gt;0.005,ABS(W116)&gt;0.005),"Subledger arithmetic error","OK")</f>
        <v>OK</v>
      </c>
      <c r="Y116" s="22" t="str">
        <f aca="false">IF(X116="OK","","Priority 3")</f>
        <v/>
      </c>
    </row>
    <row r="117" customFormat="false" ht="15" hidden="false" customHeight="false" outlineLevel="0" collapsed="false">
      <c r="A117" s="22" t="s">
        <v>11637</v>
      </c>
      <c r="B117" s="23" t="n">
        <v>46235</v>
      </c>
      <c r="C117" s="22" t="s">
        <v>11638</v>
      </c>
      <c r="D117" s="22" t="s">
        <v>1205</v>
      </c>
      <c r="E117" s="22" t="s">
        <v>6947</v>
      </c>
      <c r="F117" s="22" t="s">
        <v>198</v>
      </c>
      <c r="G117" s="22" t="s">
        <v>8601</v>
      </c>
      <c r="H117" s="22" t="s">
        <v>11406</v>
      </c>
      <c r="I117" s="22" t="n">
        <v>40</v>
      </c>
      <c r="J117" s="22" t="n">
        <v>1</v>
      </c>
      <c r="K117" s="22" t="n">
        <v>40</v>
      </c>
      <c r="L117" s="25" t="n">
        <v>10.4</v>
      </c>
      <c r="M117" s="25" t="n">
        <v>416</v>
      </c>
      <c r="N117" s="25" t="n">
        <v>53.41</v>
      </c>
      <c r="O117" s="25" t="n">
        <v>469.41</v>
      </c>
      <c r="P117" s="22" t="s">
        <v>11407</v>
      </c>
      <c r="Q117" s="23" t="n">
        <v>46249</v>
      </c>
      <c r="R117" s="22" t="n">
        <f aca="false">I117*J117</f>
        <v>40</v>
      </c>
      <c r="S117" s="25" t="n">
        <f aca="false">K117-R117</f>
        <v>0</v>
      </c>
      <c r="T117" s="25" t="n">
        <f aca="false">K117*L117</f>
        <v>416</v>
      </c>
      <c r="U117" s="25" t="n">
        <f aca="false">M117-T117</f>
        <v>0</v>
      </c>
      <c r="V117" s="25" t="n">
        <f aca="false">M117+N117</f>
        <v>469.41</v>
      </c>
      <c r="W117" s="25" t="n">
        <f aca="false">O117-V117</f>
        <v>0</v>
      </c>
      <c r="X117" s="22" t="str">
        <f aca="false">IF(OR(ABS(S117)&gt;0.005,ABS(U117)&gt;0.005,ABS(W117)&gt;0.005),"Subledger arithmetic error","OK")</f>
        <v>OK</v>
      </c>
      <c r="Y117" s="22" t="str">
        <f aca="false">IF(X117="OK","","Priority 3")</f>
        <v/>
      </c>
    </row>
    <row r="118" customFormat="false" ht="15" hidden="false" customHeight="false" outlineLevel="0" collapsed="false">
      <c r="A118" s="22" t="s">
        <v>11639</v>
      </c>
      <c r="B118" s="23" t="n">
        <v>46235</v>
      </c>
      <c r="C118" s="22" t="s">
        <v>11640</v>
      </c>
      <c r="D118" s="22" t="s">
        <v>6544</v>
      </c>
      <c r="E118" s="22" t="s">
        <v>6950</v>
      </c>
      <c r="F118" s="22" t="s">
        <v>198</v>
      </c>
      <c r="G118" s="22" t="s">
        <v>8601</v>
      </c>
      <c r="H118" s="22" t="s">
        <v>11406</v>
      </c>
      <c r="I118" s="22" t="n">
        <v>28</v>
      </c>
      <c r="J118" s="22" t="n">
        <v>1</v>
      </c>
      <c r="K118" s="22" t="n">
        <v>28</v>
      </c>
      <c r="L118" s="25" t="n">
        <v>10.4</v>
      </c>
      <c r="M118" s="25" t="n">
        <v>291.2</v>
      </c>
      <c r="N118" s="25" t="n">
        <v>37.39</v>
      </c>
      <c r="O118" s="25" t="n">
        <v>328.59</v>
      </c>
      <c r="P118" s="22" t="s">
        <v>11407</v>
      </c>
      <c r="Q118" s="23" t="n">
        <v>46249</v>
      </c>
      <c r="R118" s="22" t="n">
        <f aca="false">I118*J118</f>
        <v>28</v>
      </c>
      <c r="S118" s="25" t="n">
        <f aca="false">K118-R118</f>
        <v>0</v>
      </c>
      <c r="T118" s="25" t="n">
        <f aca="false">K118*L118</f>
        <v>291.2</v>
      </c>
      <c r="U118" s="25" t="n">
        <f aca="false">M118-T118</f>
        <v>0</v>
      </c>
      <c r="V118" s="25" t="n">
        <f aca="false">M118+N118</f>
        <v>328.59</v>
      </c>
      <c r="W118" s="25" t="n">
        <f aca="false">O118-V118</f>
        <v>0</v>
      </c>
      <c r="X118" s="22" t="str">
        <f aca="false">IF(OR(ABS(S118)&gt;0.005,ABS(U118)&gt;0.005,ABS(W118)&gt;0.005),"Subledger arithmetic error","OK")</f>
        <v>OK</v>
      </c>
      <c r="Y118" s="22" t="str">
        <f aca="false">IF(X118="OK","","Priority 3")</f>
        <v/>
      </c>
    </row>
    <row r="119" customFormat="false" ht="15" hidden="false" customHeight="false" outlineLevel="0" collapsed="false">
      <c r="A119" s="22" t="s">
        <v>11641</v>
      </c>
      <c r="B119" s="23" t="n">
        <v>46235</v>
      </c>
      <c r="C119" s="22" t="s">
        <v>11642</v>
      </c>
      <c r="D119" s="22" t="s">
        <v>1739</v>
      </c>
      <c r="E119" s="22" t="s">
        <v>6953</v>
      </c>
      <c r="F119" s="22" t="s">
        <v>198</v>
      </c>
      <c r="G119" s="22" t="s">
        <v>8601</v>
      </c>
      <c r="H119" s="22" t="s">
        <v>11406</v>
      </c>
      <c r="I119" s="22" t="n">
        <v>38</v>
      </c>
      <c r="J119" s="22" t="n">
        <v>1</v>
      </c>
      <c r="K119" s="22" t="n">
        <v>38</v>
      </c>
      <c r="L119" s="25" t="n">
        <v>10.4</v>
      </c>
      <c r="M119" s="25" t="n">
        <v>395.2</v>
      </c>
      <c r="N119" s="25" t="n">
        <v>50.74</v>
      </c>
      <c r="O119" s="25" t="n">
        <v>445.94</v>
      </c>
      <c r="P119" s="22" t="s">
        <v>11407</v>
      </c>
      <c r="Q119" s="23" t="n">
        <v>46249</v>
      </c>
      <c r="R119" s="22" t="n">
        <f aca="false">I119*J119</f>
        <v>38</v>
      </c>
      <c r="S119" s="25" t="n">
        <f aca="false">K119-R119</f>
        <v>0</v>
      </c>
      <c r="T119" s="25" t="n">
        <f aca="false">K119*L119</f>
        <v>395.2</v>
      </c>
      <c r="U119" s="25" t="n">
        <f aca="false">M119-T119</f>
        <v>0</v>
      </c>
      <c r="V119" s="25" t="n">
        <f aca="false">M119+N119</f>
        <v>445.94</v>
      </c>
      <c r="W119" s="25" t="n">
        <f aca="false">O119-V119</f>
        <v>0</v>
      </c>
      <c r="X119" s="22" t="str">
        <f aca="false">IF(OR(ABS(S119)&gt;0.005,ABS(U119)&gt;0.005,ABS(W119)&gt;0.005),"Subledger arithmetic error","OK")</f>
        <v>OK</v>
      </c>
      <c r="Y119" s="22" t="str">
        <f aca="false">IF(X119="OK","","Priority 3")</f>
        <v/>
      </c>
    </row>
    <row r="120" customFormat="false" ht="15" hidden="false" customHeight="false" outlineLevel="0" collapsed="false">
      <c r="A120" s="22" t="s">
        <v>11643</v>
      </c>
      <c r="B120" s="23" t="n">
        <v>46235</v>
      </c>
      <c r="C120" s="22" t="s">
        <v>11644</v>
      </c>
      <c r="D120" s="22" t="s">
        <v>4536</v>
      </c>
      <c r="E120" s="22" t="s">
        <v>6956</v>
      </c>
      <c r="F120" s="22" t="s">
        <v>198</v>
      </c>
      <c r="G120" s="22" t="s">
        <v>8601</v>
      </c>
      <c r="H120" s="22" t="s">
        <v>11406</v>
      </c>
      <c r="I120" s="22" t="n">
        <v>35</v>
      </c>
      <c r="J120" s="22" t="n">
        <v>1</v>
      </c>
      <c r="K120" s="22" t="n">
        <v>35</v>
      </c>
      <c r="L120" s="25" t="n">
        <v>10.4</v>
      </c>
      <c r="M120" s="25" t="n">
        <v>364</v>
      </c>
      <c r="N120" s="25" t="n">
        <v>46.74</v>
      </c>
      <c r="O120" s="25" t="n">
        <v>410.74</v>
      </c>
      <c r="P120" s="22" t="s">
        <v>11407</v>
      </c>
      <c r="Q120" s="23" t="n">
        <v>46249</v>
      </c>
      <c r="R120" s="22" t="n">
        <f aca="false">I120*J120</f>
        <v>35</v>
      </c>
      <c r="S120" s="25" t="n">
        <f aca="false">K120-R120</f>
        <v>0</v>
      </c>
      <c r="T120" s="25" t="n">
        <f aca="false">K120*L120</f>
        <v>364</v>
      </c>
      <c r="U120" s="25" t="n">
        <f aca="false">M120-T120</f>
        <v>0</v>
      </c>
      <c r="V120" s="25" t="n">
        <f aca="false">M120+N120</f>
        <v>410.74</v>
      </c>
      <c r="W120" s="25" t="n">
        <f aca="false">O120-V120</f>
        <v>0</v>
      </c>
      <c r="X120" s="22" t="str">
        <f aca="false">IF(OR(ABS(S120)&gt;0.005,ABS(U120)&gt;0.005,ABS(W120)&gt;0.005),"Subledger arithmetic error","OK")</f>
        <v>OK</v>
      </c>
      <c r="Y120" s="22" t="str">
        <f aca="false">IF(X120="OK","","Priority 3")</f>
        <v/>
      </c>
    </row>
    <row r="121" customFormat="false" ht="15" hidden="false" customHeight="false" outlineLevel="0" collapsed="false">
      <c r="A121" s="22" t="s">
        <v>11645</v>
      </c>
      <c r="B121" s="23" t="n">
        <v>46235</v>
      </c>
      <c r="C121" s="22" t="s">
        <v>11646</v>
      </c>
      <c r="D121" s="22" t="s">
        <v>5851</v>
      </c>
      <c r="E121" s="22" t="s">
        <v>6959</v>
      </c>
      <c r="F121" s="22" t="s">
        <v>198</v>
      </c>
      <c r="G121" s="22" t="s">
        <v>8601</v>
      </c>
      <c r="H121" s="22" t="s">
        <v>11406</v>
      </c>
      <c r="I121" s="22" t="n">
        <v>61</v>
      </c>
      <c r="J121" s="22" t="n">
        <v>1</v>
      </c>
      <c r="K121" s="22" t="n">
        <v>61</v>
      </c>
      <c r="L121" s="25" t="n">
        <v>10.4</v>
      </c>
      <c r="M121" s="25" t="n">
        <v>634.4</v>
      </c>
      <c r="N121" s="25" t="n">
        <v>81.46</v>
      </c>
      <c r="O121" s="25" t="n">
        <v>715.86</v>
      </c>
      <c r="P121" s="22" t="s">
        <v>11407</v>
      </c>
      <c r="Q121" s="23" t="n">
        <v>46249</v>
      </c>
      <c r="R121" s="22" t="n">
        <f aca="false">I121*J121</f>
        <v>61</v>
      </c>
      <c r="S121" s="25" t="n">
        <f aca="false">K121-R121</f>
        <v>0</v>
      </c>
      <c r="T121" s="25" t="n">
        <f aca="false">K121*L121</f>
        <v>634.4</v>
      </c>
      <c r="U121" s="25" t="n">
        <f aca="false">M121-T121</f>
        <v>0</v>
      </c>
      <c r="V121" s="25" t="n">
        <f aca="false">M121+N121</f>
        <v>715.86</v>
      </c>
      <c r="W121" s="25" t="n">
        <f aca="false">O121-V121</f>
        <v>0</v>
      </c>
      <c r="X121" s="22" t="str">
        <f aca="false">IF(OR(ABS(S121)&gt;0.005,ABS(U121)&gt;0.005,ABS(W121)&gt;0.005),"Subledger arithmetic error","OK")</f>
        <v>OK</v>
      </c>
      <c r="Y121" s="22" t="str">
        <f aca="false">IF(X121="OK","","Priority 3")</f>
        <v/>
      </c>
    </row>
    <row r="122" customFormat="false" ht="15" hidden="false" customHeight="false" outlineLevel="0" collapsed="false">
      <c r="A122" s="22" t="s">
        <v>11647</v>
      </c>
      <c r="B122" s="23" t="n">
        <v>46235</v>
      </c>
      <c r="C122" s="22" t="s">
        <v>11648</v>
      </c>
      <c r="D122" s="22" t="s">
        <v>1800</v>
      </c>
      <c r="E122" s="22" t="s">
        <v>6962</v>
      </c>
      <c r="F122" s="22" t="s">
        <v>198</v>
      </c>
      <c r="G122" s="22" t="s">
        <v>8601</v>
      </c>
      <c r="H122" s="22" t="s">
        <v>11406</v>
      </c>
      <c r="I122" s="22" t="n">
        <v>32</v>
      </c>
      <c r="J122" s="22" t="n">
        <v>1</v>
      </c>
      <c r="K122" s="22" t="n">
        <v>32</v>
      </c>
      <c r="L122" s="25" t="n">
        <v>10.4</v>
      </c>
      <c r="M122" s="25" t="n">
        <v>332.8</v>
      </c>
      <c r="N122" s="25" t="n">
        <v>42.73</v>
      </c>
      <c r="O122" s="25" t="n">
        <v>375.53</v>
      </c>
      <c r="P122" s="22" t="s">
        <v>11407</v>
      </c>
      <c r="Q122" s="23" t="n">
        <v>46249</v>
      </c>
      <c r="R122" s="22" t="n">
        <f aca="false">I122*J122</f>
        <v>32</v>
      </c>
      <c r="S122" s="25" t="n">
        <f aca="false">K122-R122</f>
        <v>0</v>
      </c>
      <c r="T122" s="25" t="n">
        <f aca="false">K122*L122</f>
        <v>332.8</v>
      </c>
      <c r="U122" s="25" t="n">
        <f aca="false">M122-T122</f>
        <v>0</v>
      </c>
      <c r="V122" s="25" t="n">
        <f aca="false">M122+N122</f>
        <v>375.53</v>
      </c>
      <c r="W122" s="25" t="n">
        <f aca="false">O122-V122</f>
        <v>0</v>
      </c>
      <c r="X122" s="22" t="str">
        <f aca="false">IF(OR(ABS(S122)&gt;0.005,ABS(U122)&gt;0.005,ABS(W122)&gt;0.005),"Subledger arithmetic error","OK")</f>
        <v>OK</v>
      </c>
      <c r="Y122" s="22" t="str">
        <f aca="false">IF(X122="OK","","Priority 3")</f>
        <v/>
      </c>
    </row>
    <row r="123" customFormat="false" ht="15" hidden="false" customHeight="false" outlineLevel="0" collapsed="false">
      <c r="A123" s="22" t="s">
        <v>11649</v>
      </c>
      <c r="B123" s="23" t="n">
        <v>46235</v>
      </c>
      <c r="C123" s="22" t="s">
        <v>11650</v>
      </c>
      <c r="D123" s="22" t="s">
        <v>5633</v>
      </c>
      <c r="E123" s="22" t="s">
        <v>6965</v>
      </c>
      <c r="F123" s="22" t="s">
        <v>198</v>
      </c>
      <c r="G123" s="22" t="s">
        <v>8601</v>
      </c>
      <c r="H123" s="22" t="s">
        <v>11406</v>
      </c>
      <c r="I123" s="22" t="n">
        <v>53</v>
      </c>
      <c r="J123" s="22" t="n">
        <v>1</v>
      </c>
      <c r="K123" s="22" t="n">
        <v>53</v>
      </c>
      <c r="L123" s="25" t="n">
        <v>10.4</v>
      </c>
      <c r="M123" s="25" t="n">
        <v>551.2</v>
      </c>
      <c r="N123" s="25" t="n">
        <v>70.77</v>
      </c>
      <c r="O123" s="25" t="n">
        <v>621.97</v>
      </c>
      <c r="P123" s="22" t="s">
        <v>11407</v>
      </c>
      <c r="Q123" s="23" t="n">
        <v>46249</v>
      </c>
      <c r="R123" s="22" t="n">
        <f aca="false">I123*J123</f>
        <v>53</v>
      </c>
      <c r="S123" s="25" t="n">
        <f aca="false">K123-R123</f>
        <v>0</v>
      </c>
      <c r="T123" s="25" t="n">
        <f aca="false">K123*L123</f>
        <v>551.2</v>
      </c>
      <c r="U123" s="25" t="n">
        <f aca="false">M123-T123</f>
        <v>0</v>
      </c>
      <c r="V123" s="25" t="n">
        <f aca="false">M123+N123</f>
        <v>621.97</v>
      </c>
      <c r="W123" s="25" t="n">
        <f aca="false">O123-V123</f>
        <v>0</v>
      </c>
      <c r="X123" s="22" t="str">
        <f aca="false">IF(OR(ABS(S123)&gt;0.005,ABS(U123)&gt;0.005,ABS(W123)&gt;0.005),"Subledger arithmetic error","OK")</f>
        <v>OK</v>
      </c>
      <c r="Y123" s="22" t="str">
        <f aca="false">IF(X123="OK","","Priority 3")</f>
        <v/>
      </c>
    </row>
    <row r="124" customFormat="false" ht="15" hidden="false" customHeight="false" outlineLevel="0" collapsed="false">
      <c r="A124" s="22" t="s">
        <v>11651</v>
      </c>
      <c r="B124" s="23" t="n">
        <v>46235</v>
      </c>
      <c r="C124" s="22" t="s">
        <v>11652</v>
      </c>
      <c r="D124" s="22" t="s">
        <v>475</v>
      </c>
      <c r="E124" s="22" t="s">
        <v>6968</v>
      </c>
      <c r="F124" s="22" t="s">
        <v>198</v>
      </c>
      <c r="G124" s="22" t="s">
        <v>8601</v>
      </c>
      <c r="H124" s="22" t="s">
        <v>11406</v>
      </c>
      <c r="I124" s="22" t="n">
        <v>28</v>
      </c>
      <c r="J124" s="22" t="n">
        <v>1</v>
      </c>
      <c r="K124" s="22" t="n">
        <v>28</v>
      </c>
      <c r="L124" s="25" t="n">
        <v>10.4</v>
      </c>
      <c r="M124" s="25" t="n">
        <v>291.2</v>
      </c>
      <c r="N124" s="25" t="n">
        <v>37.39</v>
      </c>
      <c r="O124" s="25" t="n">
        <v>328.59</v>
      </c>
      <c r="P124" s="22" t="s">
        <v>11407</v>
      </c>
      <c r="Q124" s="23" t="n">
        <v>46249</v>
      </c>
      <c r="R124" s="22" t="n">
        <f aca="false">I124*J124</f>
        <v>28</v>
      </c>
      <c r="S124" s="25" t="n">
        <f aca="false">K124-R124</f>
        <v>0</v>
      </c>
      <c r="T124" s="25" t="n">
        <f aca="false">K124*L124</f>
        <v>291.2</v>
      </c>
      <c r="U124" s="25" t="n">
        <f aca="false">M124-T124</f>
        <v>0</v>
      </c>
      <c r="V124" s="25" t="n">
        <f aca="false">M124+N124</f>
        <v>328.59</v>
      </c>
      <c r="W124" s="25" t="n">
        <f aca="false">O124-V124</f>
        <v>0</v>
      </c>
      <c r="X124" s="22" t="str">
        <f aca="false">IF(OR(ABS(S124)&gt;0.005,ABS(U124)&gt;0.005,ABS(W124)&gt;0.005),"Subledger arithmetic error","OK")</f>
        <v>OK</v>
      </c>
      <c r="Y124" s="22" t="str">
        <f aca="false">IF(X124="OK","","Priority 3")</f>
        <v/>
      </c>
    </row>
    <row r="125" customFormat="false" ht="15" hidden="false" customHeight="false" outlineLevel="0" collapsed="false">
      <c r="A125" s="22" t="s">
        <v>11653</v>
      </c>
      <c r="B125" s="23" t="n">
        <v>46235</v>
      </c>
      <c r="C125" s="22" t="s">
        <v>11654</v>
      </c>
      <c r="D125" s="22" t="s">
        <v>6372</v>
      </c>
      <c r="E125" s="22" t="s">
        <v>6971</v>
      </c>
      <c r="F125" s="22" t="s">
        <v>198</v>
      </c>
      <c r="G125" s="22" t="s">
        <v>8601</v>
      </c>
      <c r="H125" s="22" t="s">
        <v>11406</v>
      </c>
      <c r="I125" s="22" t="n">
        <v>38</v>
      </c>
      <c r="J125" s="22" t="n">
        <v>1</v>
      </c>
      <c r="K125" s="22" t="n">
        <v>38</v>
      </c>
      <c r="L125" s="25" t="n">
        <v>10.4</v>
      </c>
      <c r="M125" s="25" t="n">
        <v>395.2</v>
      </c>
      <c r="N125" s="25" t="n">
        <v>50.74</v>
      </c>
      <c r="O125" s="25" t="n">
        <v>445.94</v>
      </c>
      <c r="P125" s="22" t="s">
        <v>11407</v>
      </c>
      <c r="Q125" s="23" t="n">
        <v>46249</v>
      </c>
      <c r="R125" s="22" t="n">
        <f aca="false">I125*J125</f>
        <v>38</v>
      </c>
      <c r="S125" s="25" t="n">
        <f aca="false">K125-R125</f>
        <v>0</v>
      </c>
      <c r="T125" s="25" t="n">
        <f aca="false">K125*L125</f>
        <v>395.2</v>
      </c>
      <c r="U125" s="25" t="n">
        <f aca="false">M125-T125</f>
        <v>0</v>
      </c>
      <c r="V125" s="25" t="n">
        <f aca="false">M125+N125</f>
        <v>445.94</v>
      </c>
      <c r="W125" s="25" t="n">
        <f aca="false">O125-V125</f>
        <v>0</v>
      </c>
      <c r="X125" s="22" t="str">
        <f aca="false">IF(OR(ABS(S125)&gt;0.005,ABS(U125)&gt;0.005,ABS(W125)&gt;0.005),"Subledger arithmetic error","OK")</f>
        <v>OK</v>
      </c>
      <c r="Y125" s="22" t="str">
        <f aca="false">IF(X125="OK","","Priority 3")</f>
        <v/>
      </c>
    </row>
    <row r="126" customFormat="false" ht="15" hidden="false" customHeight="false" outlineLevel="0" collapsed="false">
      <c r="A126" s="22" t="s">
        <v>11655</v>
      </c>
      <c r="B126" s="23" t="n">
        <v>46235</v>
      </c>
      <c r="C126" s="22" t="s">
        <v>11656</v>
      </c>
      <c r="D126" s="22" t="s">
        <v>6441</v>
      </c>
      <c r="E126" s="22" t="s">
        <v>6974</v>
      </c>
      <c r="F126" s="22" t="s">
        <v>198</v>
      </c>
      <c r="G126" s="22" t="s">
        <v>8601</v>
      </c>
      <c r="H126" s="22" t="s">
        <v>11406</v>
      </c>
      <c r="I126" s="22" t="n">
        <v>52</v>
      </c>
      <c r="J126" s="22" t="n">
        <v>1</v>
      </c>
      <c r="K126" s="22" t="n">
        <v>52</v>
      </c>
      <c r="L126" s="25" t="n">
        <v>10.4</v>
      </c>
      <c r="M126" s="25" t="n">
        <v>540.8</v>
      </c>
      <c r="N126" s="25" t="n">
        <v>69.44</v>
      </c>
      <c r="O126" s="25" t="n">
        <v>610.24</v>
      </c>
      <c r="P126" s="22" t="s">
        <v>11407</v>
      </c>
      <c r="Q126" s="23" t="n">
        <v>46249</v>
      </c>
      <c r="R126" s="22" t="n">
        <f aca="false">I126*J126</f>
        <v>52</v>
      </c>
      <c r="S126" s="25" t="n">
        <f aca="false">K126-R126</f>
        <v>0</v>
      </c>
      <c r="T126" s="25" t="n">
        <f aca="false">K126*L126</f>
        <v>540.8</v>
      </c>
      <c r="U126" s="25" t="n">
        <f aca="false">M126-T126</f>
        <v>0</v>
      </c>
      <c r="V126" s="25" t="n">
        <f aca="false">M126+N126</f>
        <v>610.24</v>
      </c>
      <c r="W126" s="25" t="n">
        <f aca="false">O126-V126</f>
        <v>0</v>
      </c>
      <c r="X126" s="22" t="str">
        <f aca="false">IF(OR(ABS(S126)&gt;0.005,ABS(U126)&gt;0.005,ABS(W126)&gt;0.005),"Subledger arithmetic error","OK")</f>
        <v>OK</v>
      </c>
      <c r="Y126" s="22" t="str">
        <f aca="false">IF(X126="OK","","Priority 3")</f>
        <v/>
      </c>
    </row>
    <row r="127" customFormat="false" ht="15" hidden="false" customHeight="false" outlineLevel="0" collapsed="false">
      <c r="A127" s="22" t="s">
        <v>11657</v>
      </c>
      <c r="B127" s="23" t="n">
        <v>46235</v>
      </c>
      <c r="C127" s="22" t="s">
        <v>11658</v>
      </c>
      <c r="D127" s="22" t="s">
        <v>2802</v>
      </c>
      <c r="E127" s="22" t="s">
        <v>6977</v>
      </c>
      <c r="F127" s="22" t="s">
        <v>198</v>
      </c>
      <c r="G127" s="22" t="s">
        <v>8601</v>
      </c>
      <c r="H127" s="22" t="s">
        <v>11406</v>
      </c>
      <c r="I127" s="22" t="n">
        <v>36</v>
      </c>
      <c r="J127" s="22" t="n">
        <v>1</v>
      </c>
      <c r="K127" s="22" t="n">
        <v>36</v>
      </c>
      <c r="L127" s="25" t="n">
        <v>10.4</v>
      </c>
      <c r="M127" s="25" t="n">
        <v>374.4</v>
      </c>
      <c r="N127" s="25" t="n">
        <v>48.07</v>
      </c>
      <c r="O127" s="25" t="n">
        <v>422.47</v>
      </c>
      <c r="P127" s="22" t="s">
        <v>11407</v>
      </c>
      <c r="Q127" s="23" t="n">
        <v>46249</v>
      </c>
      <c r="R127" s="22" t="n">
        <f aca="false">I127*J127</f>
        <v>36</v>
      </c>
      <c r="S127" s="25" t="n">
        <f aca="false">K127-R127</f>
        <v>0</v>
      </c>
      <c r="T127" s="25" t="n">
        <f aca="false">K127*L127</f>
        <v>374.4</v>
      </c>
      <c r="U127" s="25" t="n">
        <f aca="false">M127-T127</f>
        <v>0</v>
      </c>
      <c r="V127" s="25" t="n">
        <f aca="false">M127+N127</f>
        <v>422.47</v>
      </c>
      <c r="W127" s="25" t="n">
        <f aca="false">O127-V127</f>
        <v>0</v>
      </c>
      <c r="X127" s="22" t="str">
        <f aca="false">IF(OR(ABS(S127)&gt;0.005,ABS(U127)&gt;0.005,ABS(W127)&gt;0.005),"Subledger arithmetic error","OK")</f>
        <v>OK</v>
      </c>
      <c r="Y127" s="22" t="str">
        <f aca="false">IF(X127="OK","","Priority 3")</f>
        <v/>
      </c>
    </row>
    <row r="128" customFormat="false" ht="15" hidden="false" customHeight="false" outlineLevel="0" collapsed="false">
      <c r="A128" s="22" t="s">
        <v>11659</v>
      </c>
      <c r="B128" s="23" t="n">
        <v>46235</v>
      </c>
      <c r="C128" s="22" t="s">
        <v>11660</v>
      </c>
      <c r="D128" s="22" t="s">
        <v>2553</v>
      </c>
      <c r="E128" s="22" t="s">
        <v>6980</v>
      </c>
      <c r="F128" s="22" t="s">
        <v>198</v>
      </c>
      <c r="G128" s="22" t="s">
        <v>8601</v>
      </c>
      <c r="H128" s="22" t="s">
        <v>11406</v>
      </c>
      <c r="I128" s="22" t="n">
        <v>32</v>
      </c>
      <c r="J128" s="22" t="n">
        <v>1</v>
      </c>
      <c r="K128" s="22" t="n">
        <v>32</v>
      </c>
      <c r="L128" s="25" t="n">
        <v>10.4</v>
      </c>
      <c r="M128" s="25" t="n">
        <v>332.8</v>
      </c>
      <c r="N128" s="25" t="n">
        <v>42.73</v>
      </c>
      <c r="O128" s="25" t="n">
        <v>375.53</v>
      </c>
      <c r="P128" s="22" t="s">
        <v>11407</v>
      </c>
      <c r="Q128" s="23" t="n">
        <v>46249</v>
      </c>
      <c r="R128" s="22" t="n">
        <f aca="false">I128*J128</f>
        <v>32</v>
      </c>
      <c r="S128" s="25" t="n">
        <f aca="false">K128-R128</f>
        <v>0</v>
      </c>
      <c r="T128" s="25" t="n">
        <f aca="false">K128*L128</f>
        <v>332.8</v>
      </c>
      <c r="U128" s="25" t="n">
        <f aca="false">M128-T128</f>
        <v>0</v>
      </c>
      <c r="V128" s="25" t="n">
        <f aca="false">M128+N128</f>
        <v>375.53</v>
      </c>
      <c r="W128" s="25" t="n">
        <f aca="false">O128-V128</f>
        <v>0</v>
      </c>
      <c r="X128" s="22" t="str">
        <f aca="false">IF(OR(ABS(S128)&gt;0.005,ABS(U128)&gt;0.005,ABS(W128)&gt;0.005),"Subledger arithmetic error","OK")</f>
        <v>OK</v>
      </c>
      <c r="Y128" s="22" t="str">
        <f aca="false">IF(X128="OK","","Priority 3")</f>
        <v/>
      </c>
    </row>
    <row r="129" customFormat="false" ht="15" hidden="false" customHeight="false" outlineLevel="0" collapsed="false">
      <c r="A129" s="22" t="s">
        <v>11661</v>
      </c>
      <c r="B129" s="23" t="n">
        <v>46235</v>
      </c>
      <c r="C129" s="22" t="s">
        <v>11662</v>
      </c>
      <c r="D129" s="22" t="s">
        <v>3524</v>
      </c>
      <c r="E129" s="22" t="s">
        <v>6985</v>
      </c>
      <c r="F129" s="22" t="s">
        <v>198</v>
      </c>
      <c r="G129" s="22" t="s">
        <v>8601</v>
      </c>
      <c r="H129" s="22" t="s">
        <v>11406</v>
      </c>
      <c r="I129" s="22" t="n">
        <v>41</v>
      </c>
      <c r="J129" s="22" t="n">
        <v>1</v>
      </c>
      <c r="K129" s="22" t="n">
        <v>41</v>
      </c>
      <c r="L129" s="25" t="n">
        <v>10.4</v>
      </c>
      <c r="M129" s="25" t="n">
        <v>426.4</v>
      </c>
      <c r="N129" s="25" t="n">
        <v>54.75</v>
      </c>
      <c r="O129" s="25" t="n">
        <v>481.15</v>
      </c>
      <c r="P129" s="22" t="s">
        <v>11407</v>
      </c>
      <c r="Q129" s="23" t="n">
        <v>46249</v>
      </c>
      <c r="R129" s="22" t="n">
        <f aca="false">I129*J129</f>
        <v>41</v>
      </c>
      <c r="S129" s="25" t="n">
        <f aca="false">K129-R129</f>
        <v>0</v>
      </c>
      <c r="T129" s="25" t="n">
        <f aca="false">K129*L129</f>
        <v>426.4</v>
      </c>
      <c r="U129" s="25" t="n">
        <f aca="false">M129-T129</f>
        <v>0</v>
      </c>
      <c r="V129" s="25" t="n">
        <f aca="false">M129+N129</f>
        <v>481.15</v>
      </c>
      <c r="W129" s="25" t="n">
        <f aca="false">O129-V129</f>
        <v>0</v>
      </c>
      <c r="X129" s="22" t="str">
        <f aca="false">IF(OR(ABS(S129)&gt;0.005,ABS(U129)&gt;0.005,ABS(W129)&gt;0.005),"Subledger arithmetic error","OK")</f>
        <v>OK</v>
      </c>
      <c r="Y129" s="22" t="str">
        <f aca="false">IF(X129="OK","","Priority 3")</f>
        <v/>
      </c>
    </row>
    <row r="130" customFormat="false" ht="15" hidden="false" customHeight="false" outlineLevel="0" collapsed="false">
      <c r="A130" s="22" t="s">
        <v>11663</v>
      </c>
      <c r="B130" s="23" t="n">
        <v>46235</v>
      </c>
      <c r="C130" s="22" t="s">
        <v>11664</v>
      </c>
      <c r="D130" s="22" t="s">
        <v>3068</v>
      </c>
      <c r="E130" s="22" t="s">
        <v>6988</v>
      </c>
      <c r="F130" s="22" t="s">
        <v>198</v>
      </c>
      <c r="G130" s="22" t="s">
        <v>8601</v>
      </c>
      <c r="H130" s="22" t="s">
        <v>11406</v>
      </c>
      <c r="I130" s="22" t="n">
        <v>40</v>
      </c>
      <c r="J130" s="22" t="n">
        <v>1</v>
      </c>
      <c r="K130" s="22" t="n">
        <v>40</v>
      </c>
      <c r="L130" s="25" t="n">
        <v>10.4</v>
      </c>
      <c r="M130" s="25" t="n">
        <v>416</v>
      </c>
      <c r="N130" s="25" t="n">
        <v>53.41</v>
      </c>
      <c r="O130" s="25" t="n">
        <v>469.41</v>
      </c>
      <c r="P130" s="22" t="s">
        <v>11407</v>
      </c>
      <c r="Q130" s="23" t="n">
        <v>46249</v>
      </c>
      <c r="R130" s="22" t="n">
        <f aca="false">I130*J130</f>
        <v>40</v>
      </c>
      <c r="S130" s="25" t="n">
        <f aca="false">K130-R130</f>
        <v>0</v>
      </c>
      <c r="T130" s="25" t="n">
        <f aca="false">K130*L130</f>
        <v>416</v>
      </c>
      <c r="U130" s="25" t="n">
        <f aca="false">M130-T130</f>
        <v>0</v>
      </c>
      <c r="V130" s="25" t="n">
        <f aca="false">M130+N130</f>
        <v>469.41</v>
      </c>
      <c r="W130" s="25" t="n">
        <f aca="false">O130-V130</f>
        <v>0</v>
      </c>
      <c r="X130" s="22" t="str">
        <f aca="false">IF(OR(ABS(S130)&gt;0.005,ABS(U130)&gt;0.005,ABS(W130)&gt;0.005),"Subledger arithmetic error","OK")</f>
        <v>OK</v>
      </c>
      <c r="Y130" s="22" t="str">
        <f aca="false">IF(X130="OK","","Priority 3")</f>
        <v/>
      </c>
    </row>
    <row r="131" customFormat="false" ht="15" hidden="false" customHeight="false" outlineLevel="0" collapsed="false">
      <c r="A131" s="22" t="s">
        <v>11665</v>
      </c>
      <c r="B131" s="23" t="n">
        <v>46235</v>
      </c>
      <c r="C131" s="22" t="s">
        <v>11666</v>
      </c>
      <c r="D131" s="22" t="s">
        <v>5952</v>
      </c>
      <c r="E131" s="22" t="s">
        <v>6991</v>
      </c>
      <c r="F131" s="22" t="s">
        <v>198</v>
      </c>
      <c r="G131" s="22" t="s">
        <v>8601</v>
      </c>
      <c r="H131" s="22" t="s">
        <v>11406</v>
      </c>
      <c r="I131" s="22" t="n">
        <v>40</v>
      </c>
      <c r="J131" s="22" t="n">
        <v>1</v>
      </c>
      <c r="K131" s="22" t="n">
        <v>40</v>
      </c>
      <c r="L131" s="25" t="n">
        <v>10.4</v>
      </c>
      <c r="M131" s="25" t="n">
        <v>416</v>
      </c>
      <c r="N131" s="25" t="n">
        <v>53.41</v>
      </c>
      <c r="O131" s="25" t="n">
        <v>469.41</v>
      </c>
      <c r="P131" s="22" t="s">
        <v>11407</v>
      </c>
      <c r="Q131" s="23" t="n">
        <v>46249</v>
      </c>
      <c r="R131" s="22" t="n">
        <f aca="false">I131*J131</f>
        <v>40</v>
      </c>
      <c r="S131" s="25" t="n">
        <f aca="false">K131-R131</f>
        <v>0</v>
      </c>
      <c r="T131" s="25" t="n">
        <f aca="false">K131*L131</f>
        <v>416</v>
      </c>
      <c r="U131" s="25" t="n">
        <f aca="false">M131-T131</f>
        <v>0</v>
      </c>
      <c r="V131" s="25" t="n">
        <f aca="false">M131+N131</f>
        <v>469.41</v>
      </c>
      <c r="W131" s="25" t="n">
        <f aca="false">O131-V131</f>
        <v>0</v>
      </c>
      <c r="X131" s="22" t="str">
        <f aca="false">IF(OR(ABS(S131)&gt;0.005,ABS(U131)&gt;0.005,ABS(W131)&gt;0.005),"Subledger arithmetic error","OK")</f>
        <v>OK</v>
      </c>
      <c r="Y131" s="22" t="str">
        <f aca="false">IF(X131="OK","","Priority 3")</f>
        <v/>
      </c>
    </row>
    <row r="132" customFormat="false" ht="15" hidden="false" customHeight="false" outlineLevel="0" collapsed="false">
      <c r="A132" s="22" t="s">
        <v>11667</v>
      </c>
      <c r="B132" s="23" t="n">
        <v>46235</v>
      </c>
      <c r="C132" s="22" t="s">
        <v>11668</v>
      </c>
      <c r="D132" s="22" t="s">
        <v>4926</v>
      </c>
      <c r="E132" s="22" t="s">
        <v>6994</v>
      </c>
      <c r="F132" s="22" t="s">
        <v>198</v>
      </c>
      <c r="G132" s="22" t="s">
        <v>8601</v>
      </c>
      <c r="H132" s="22" t="s">
        <v>11406</v>
      </c>
      <c r="I132" s="22" t="n">
        <v>54</v>
      </c>
      <c r="J132" s="22" t="n">
        <v>1</v>
      </c>
      <c r="K132" s="22" t="n">
        <v>54</v>
      </c>
      <c r="L132" s="25" t="n">
        <v>10.4</v>
      </c>
      <c r="M132" s="25" t="n">
        <v>561.6</v>
      </c>
      <c r="N132" s="25" t="n">
        <v>72.11</v>
      </c>
      <c r="O132" s="25" t="n">
        <v>633.71</v>
      </c>
      <c r="P132" s="22" t="s">
        <v>11407</v>
      </c>
      <c r="Q132" s="23" t="n">
        <v>46249</v>
      </c>
      <c r="R132" s="22" t="n">
        <f aca="false">I132*J132</f>
        <v>54</v>
      </c>
      <c r="S132" s="25" t="n">
        <f aca="false">K132-R132</f>
        <v>0</v>
      </c>
      <c r="T132" s="25" t="n">
        <f aca="false">K132*L132</f>
        <v>561.6</v>
      </c>
      <c r="U132" s="25" t="n">
        <f aca="false">M132-T132</f>
        <v>0</v>
      </c>
      <c r="V132" s="25" t="n">
        <f aca="false">M132+N132</f>
        <v>633.71</v>
      </c>
      <c r="W132" s="25" t="n">
        <f aca="false">O132-V132</f>
        <v>0</v>
      </c>
      <c r="X132" s="22" t="str">
        <f aca="false">IF(OR(ABS(S132)&gt;0.005,ABS(U132)&gt;0.005,ABS(W132)&gt;0.005),"Subledger arithmetic error","OK")</f>
        <v>OK</v>
      </c>
      <c r="Y132" s="22" t="str">
        <f aca="false">IF(X132="OK","","Priority 3")</f>
        <v/>
      </c>
    </row>
    <row r="133" customFormat="false" ht="15" hidden="false" customHeight="false" outlineLevel="0" collapsed="false">
      <c r="A133" s="22" t="s">
        <v>11669</v>
      </c>
      <c r="B133" s="23" t="n">
        <v>46235</v>
      </c>
      <c r="C133" s="22" t="s">
        <v>11670</v>
      </c>
      <c r="D133" s="22" t="s">
        <v>4631</v>
      </c>
      <c r="E133" s="22" t="s">
        <v>6996</v>
      </c>
      <c r="F133" s="22" t="s">
        <v>198</v>
      </c>
      <c r="G133" s="22" t="s">
        <v>8601</v>
      </c>
      <c r="H133" s="22" t="s">
        <v>11406</v>
      </c>
      <c r="I133" s="22" t="n">
        <v>50</v>
      </c>
      <c r="J133" s="22" t="n">
        <v>1</v>
      </c>
      <c r="K133" s="22" t="n">
        <v>50</v>
      </c>
      <c r="L133" s="25" t="n">
        <v>10.4</v>
      </c>
      <c r="M133" s="25" t="n">
        <v>520</v>
      </c>
      <c r="N133" s="25" t="n">
        <v>66.77</v>
      </c>
      <c r="O133" s="25" t="n">
        <v>586.77</v>
      </c>
      <c r="P133" s="22" t="s">
        <v>11407</v>
      </c>
      <c r="Q133" s="23" t="n">
        <v>46249</v>
      </c>
      <c r="R133" s="22" t="n">
        <f aca="false">I133*J133</f>
        <v>50</v>
      </c>
      <c r="S133" s="25" t="n">
        <f aca="false">K133-R133</f>
        <v>0</v>
      </c>
      <c r="T133" s="25" t="n">
        <f aca="false">K133*L133</f>
        <v>520</v>
      </c>
      <c r="U133" s="25" t="n">
        <f aca="false">M133-T133</f>
        <v>0</v>
      </c>
      <c r="V133" s="25" t="n">
        <f aca="false">M133+N133</f>
        <v>586.77</v>
      </c>
      <c r="W133" s="25" t="n">
        <f aca="false">O133-V133</f>
        <v>0</v>
      </c>
      <c r="X133" s="22" t="str">
        <f aca="false">IF(OR(ABS(S133)&gt;0.005,ABS(U133)&gt;0.005,ABS(W133)&gt;0.005),"Subledger arithmetic error","OK")</f>
        <v>OK</v>
      </c>
      <c r="Y133" s="22" t="str">
        <f aca="false">IF(X133="OK","","Priority 3")</f>
        <v/>
      </c>
    </row>
    <row r="134" customFormat="false" ht="15" hidden="false" customHeight="false" outlineLevel="0" collapsed="false">
      <c r="A134" s="22" t="s">
        <v>11671</v>
      </c>
      <c r="B134" s="23" t="n">
        <v>46235</v>
      </c>
      <c r="C134" s="22" t="s">
        <v>11672</v>
      </c>
      <c r="D134" s="22" t="s">
        <v>3388</v>
      </c>
      <c r="E134" s="22" t="s">
        <v>6999</v>
      </c>
      <c r="F134" s="22" t="s">
        <v>198</v>
      </c>
      <c r="G134" s="22" t="s">
        <v>8601</v>
      </c>
      <c r="H134" s="22" t="s">
        <v>11406</v>
      </c>
      <c r="I134" s="22" t="n">
        <v>44</v>
      </c>
      <c r="J134" s="22" t="n">
        <v>1</v>
      </c>
      <c r="K134" s="22" t="n">
        <v>44</v>
      </c>
      <c r="L134" s="25" t="n">
        <v>10.4</v>
      </c>
      <c r="M134" s="25" t="n">
        <v>457.6</v>
      </c>
      <c r="N134" s="25" t="n">
        <v>58.76</v>
      </c>
      <c r="O134" s="25" t="n">
        <v>516.36</v>
      </c>
      <c r="P134" s="22" t="s">
        <v>11410</v>
      </c>
      <c r="Q134" s="23" t="n">
        <v>46249</v>
      </c>
      <c r="R134" s="22" t="n">
        <f aca="false">I134*J134</f>
        <v>44</v>
      </c>
      <c r="S134" s="25" t="n">
        <f aca="false">K134-R134</f>
        <v>0</v>
      </c>
      <c r="T134" s="25" t="n">
        <f aca="false">K134*L134</f>
        <v>457.6</v>
      </c>
      <c r="U134" s="25" t="n">
        <f aca="false">M134-T134</f>
        <v>0</v>
      </c>
      <c r="V134" s="25" t="n">
        <f aca="false">M134+N134</f>
        <v>516.36</v>
      </c>
      <c r="W134" s="25" t="n">
        <f aca="false">O134-V134</f>
        <v>0</v>
      </c>
      <c r="X134" s="22" t="str">
        <f aca="false">IF(OR(ABS(S134)&gt;0.005,ABS(U134)&gt;0.005,ABS(W134)&gt;0.005),"Subledger arithmetic error","OK")</f>
        <v>OK</v>
      </c>
      <c r="Y134" s="22" t="str">
        <f aca="false">IF(X134="OK","","Priority 3")</f>
        <v/>
      </c>
    </row>
    <row r="135" customFormat="false" ht="15" hidden="false" customHeight="false" outlineLevel="0" collapsed="false">
      <c r="A135" s="22" t="s">
        <v>11673</v>
      </c>
      <c r="B135" s="23" t="n">
        <v>46235</v>
      </c>
      <c r="C135" s="22" t="s">
        <v>11674</v>
      </c>
      <c r="D135" s="22" t="s">
        <v>1999</v>
      </c>
      <c r="E135" s="22" t="s">
        <v>7003</v>
      </c>
      <c r="F135" s="22" t="s">
        <v>198</v>
      </c>
      <c r="G135" s="22" t="s">
        <v>8601</v>
      </c>
      <c r="H135" s="22" t="s">
        <v>11406</v>
      </c>
      <c r="I135" s="22" t="n">
        <v>52</v>
      </c>
      <c r="J135" s="22" t="n">
        <v>1</v>
      </c>
      <c r="K135" s="22" t="n">
        <v>52</v>
      </c>
      <c r="L135" s="25" t="n">
        <v>10.4</v>
      </c>
      <c r="M135" s="25" t="n">
        <v>540.8</v>
      </c>
      <c r="N135" s="25" t="n">
        <v>69.44</v>
      </c>
      <c r="O135" s="25" t="n">
        <v>610.24</v>
      </c>
      <c r="P135" s="22" t="s">
        <v>11407</v>
      </c>
      <c r="Q135" s="23" t="n">
        <v>46249</v>
      </c>
      <c r="R135" s="22" t="n">
        <f aca="false">I135*J135</f>
        <v>52</v>
      </c>
      <c r="S135" s="25" t="n">
        <f aca="false">K135-R135</f>
        <v>0</v>
      </c>
      <c r="T135" s="25" t="n">
        <f aca="false">K135*L135</f>
        <v>540.8</v>
      </c>
      <c r="U135" s="25" t="n">
        <f aca="false">M135-T135</f>
        <v>0</v>
      </c>
      <c r="V135" s="25" t="n">
        <f aca="false">M135+N135</f>
        <v>610.24</v>
      </c>
      <c r="W135" s="25" t="n">
        <f aca="false">O135-V135</f>
        <v>0</v>
      </c>
      <c r="X135" s="22" t="str">
        <f aca="false">IF(OR(ABS(S135)&gt;0.005,ABS(U135)&gt;0.005,ABS(W135)&gt;0.005),"Subledger arithmetic error","OK")</f>
        <v>OK</v>
      </c>
      <c r="Y135" s="22" t="str">
        <f aca="false">IF(X135="OK","","Priority 3")</f>
        <v/>
      </c>
    </row>
    <row r="136" customFormat="false" ht="15" hidden="false" customHeight="false" outlineLevel="0" collapsed="false">
      <c r="A136" s="22" t="s">
        <v>11675</v>
      </c>
      <c r="B136" s="23" t="n">
        <v>46235</v>
      </c>
      <c r="C136" s="22" t="s">
        <v>11676</v>
      </c>
      <c r="D136" s="22" t="s">
        <v>5774</v>
      </c>
      <c r="E136" s="22" t="s">
        <v>7006</v>
      </c>
      <c r="F136" s="22" t="s">
        <v>198</v>
      </c>
      <c r="G136" s="22" t="s">
        <v>8601</v>
      </c>
      <c r="H136" s="22" t="s">
        <v>11406</v>
      </c>
      <c r="I136" s="22" t="n">
        <v>59</v>
      </c>
      <c r="J136" s="22" t="n">
        <v>1</v>
      </c>
      <c r="K136" s="22" t="n">
        <v>59</v>
      </c>
      <c r="L136" s="25" t="n">
        <v>10.4</v>
      </c>
      <c r="M136" s="25" t="n">
        <v>613.6</v>
      </c>
      <c r="N136" s="25" t="n">
        <v>78.79</v>
      </c>
      <c r="O136" s="25" t="n">
        <v>692.39</v>
      </c>
      <c r="P136" s="22" t="s">
        <v>11407</v>
      </c>
      <c r="Q136" s="23" t="n">
        <v>46249</v>
      </c>
      <c r="R136" s="22" t="n">
        <f aca="false">I136*J136</f>
        <v>59</v>
      </c>
      <c r="S136" s="25" t="n">
        <f aca="false">K136-R136</f>
        <v>0</v>
      </c>
      <c r="T136" s="25" t="n">
        <f aca="false">K136*L136</f>
        <v>613.6</v>
      </c>
      <c r="U136" s="25" t="n">
        <f aca="false">M136-T136</f>
        <v>0</v>
      </c>
      <c r="V136" s="25" t="n">
        <f aca="false">M136+N136</f>
        <v>692.39</v>
      </c>
      <c r="W136" s="25" t="n">
        <f aca="false">O136-V136</f>
        <v>0</v>
      </c>
      <c r="X136" s="22" t="str">
        <f aca="false">IF(OR(ABS(S136)&gt;0.005,ABS(U136)&gt;0.005,ABS(W136)&gt;0.005),"Subledger arithmetic error","OK")</f>
        <v>OK</v>
      </c>
      <c r="Y136" s="22" t="str">
        <f aca="false">IF(X136="OK","","Priority 3")</f>
        <v/>
      </c>
    </row>
    <row r="137" customFormat="false" ht="15" hidden="false" customHeight="false" outlineLevel="0" collapsed="false">
      <c r="A137" s="22" t="s">
        <v>11677</v>
      </c>
      <c r="B137" s="23" t="n">
        <v>46235</v>
      </c>
      <c r="C137" s="22" t="s">
        <v>11678</v>
      </c>
      <c r="D137" s="22" t="s">
        <v>2843</v>
      </c>
      <c r="E137" s="22" t="s">
        <v>7008</v>
      </c>
      <c r="F137" s="22" t="s">
        <v>198</v>
      </c>
      <c r="G137" s="22" t="s">
        <v>8601</v>
      </c>
      <c r="H137" s="22" t="s">
        <v>11406</v>
      </c>
      <c r="I137" s="22" t="n">
        <v>53</v>
      </c>
      <c r="J137" s="22" t="n">
        <v>1</v>
      </c>
      <c r="K137" s="22" t="n">
        <v>53</v>
      </c>
      <c r="L137" s="25" t="n">
        <v>10.4</v>
      </c>
      <c r="M137" s="25" t="n">
        <v>551.2</v>
      </c>
      <c r="N137" s="25" t="n">
        <v>70.77</v>
      </c>
      <c r="O137" s="25" t="n">
        <v>621.97</v>
      </c>
      <c r="P137" s="22" t="s">
        <v>11407</v>
      </c>
      <c r="Q137" s="23" t="n">
        <v>46249</v>
      </c>
      <c r="R137" s="22" t="n">
        <f aca="false">I137*J137</f>
        <v>53</v>
      </c>
      <c r="S137" s="25" t="n">
        <f aca="false">K137-R137</f>
        <v>0</v>
      </c>
      <c r="T137" s="25" t="n">
        <f aca="false">K137*L137</f>
        <v>551.2</v>
      </c>
      <c r="U137" s="25" t="n">
        <f aca="false">M137-T137</f>
        <v>0</v>
      </c>
      <c r="V137" s="25" t="n">
        <f aca="false">M137+N137</f>
        <v>621.97</v>
      </c>
      <c r="W137" s="25" t="n">
        <f aca="false">O137-V137</f>
        <v>0</v>
      </c>
      <c r="X137" s="22" t="str">
        <f aca="false">IF(OR(ABS(S137)&gt;0.005,ABS(U137)&gt;0.005,ABS(W137)&gt;0.005),"Subledger arithmetic error","OK")</f>
        <v>OK</v>
      </c>
      <c r="Y137" s="22" t="str">
        <f aca="false">IF(X137="OK","","Priority 3")</f>
        <v/>
      </c>
    </row>
    <row r="138" customFormat="false" ht="15" hidden="false" customHeight="false" outlineLevel="0" collapsed="false">
      <c r="A138" s="22" t="s">
        <v>11679</v>
      </c>
      <c r="B138" s="23" t="n">
        <v>46235</v>
      </c>
      <c r="C138" s="22" t="s">
        <v>11680</v>
      </c>
      <c r="D138" s="22" t="s">
        <v>3352</v>
      </c>
      <c r="E138" s="22" t="s">
        <v>7011</v>
      </c>
      <c r="F138" s="22" t="s">
        <v>198</v>
      </c>
      <c r="G138" s="22" t="s">
        <v>8601</v>
      </c>
      <c r="H138" s="22" t="s">
        <v>11406</v>
      </c>
      <c r="I138" s="22" t="n">
        <v>44</v>
      </c>
      <c r="J138" s="22" t="n">
        <v>1</v>
      </c>
      <c r="K138" s="22" t="n">
        <v>44</v>
      </c>
      <c r="L138" s="25" t="n">
        <v>10.4</v>
      </c>
      <c r="M138" s="25" t="n">
        <v>457.6</v>
      </c>
      <c r="N138" s="25" t="n">
        <v>58.76</v>
      </c>
      <c r="O138" s="25" t="n">
        <v>516.36</v>
      </c>
      <c r="P138" s="22" t="s">
        <v>11407</v>
      </c>
      <c r="Q138" s="23" t="n">
        <v>46249</v>
      </c>
      <c r="R138" s="22" t="n">
        <f aca="false">I138*J138</f>
        <v>44</v>
      </c>
      <c r="S138" s="25" t="n">
        <f aca="false">K138-R138</f>
        <v>0</v>
      </c>
      <c r="T138" s="25" t="n">
        <f aca="false">K138*L138</f>
        <v>457.6</v>
      </c>
      <c r="U138" s="25" t="n">
        <f aca="false">M138-T138</f>
        <v>0</v>
      </c>
      <c r="V138" s="25" t="n">
        <f aca="false">M138+N138</f>
        <v>516.36</v>
      </c>
      <c r="W138" s="25" t="n">
        <f aca="false">O138-V138</f>
        <v>0</v>
      </c>
      <c r="X138" s="22" t="str">
        <f aca="false">IF(OR(ABS(S138)&gt;0.005,ABS(U138)&gt;0.005,ABS(W138)&gt;0.005),"Subledger arithmetic error","OK")</f>
        <v>OK</v>
      </c>
      <c r="Y138" s="22" t="str">
        <f aca="false">IF(X138="OK","","Priority 3")</f>
        <v/>
      </c>
    </row>
    <row r="139" customFormat="false" ht="15" hidden="false" customHeight="false" outlineLevel="0" collapsed="false">
      <c r="A139" s="22" t="s">
        <v>11681</v>
      </c>
      <c r="B139" s="23" t="n">
        <v>46235</v>
      </c>
      <c r="C139" s="22" t="s">
        <v>11682</v>
      </c>
      <c r="D139" s="22" t="s">
        <v>2325</v>
      </c>
      <c r="E139" s="22" t="s">
        <v>7013</v>
      </c>
      <c r="F139" s="22" t="s">
        <v>198</v>
      </c>
      <c r="G139" s="22" t="s">
        <v>8601</v>
      </c>
      <c r="H139" s="22" t="s">
        <v>11406</v>
      </c>
      <c r="I139" s="22" t="n">
        <v>44</v>
      </c>
      <c r="J139" s="22" t="n">
        <v>1</v>
      </c>
      <c r="K139" s="22" t="n">
        <v>44</v>
      </c>
      <c r="L139" s="25" t="n">
        <v>10.4</v>
      </c>
      <c r="M139" s="25" t="n">
        <v>457.6</v>
      </c>
      <c r="N139" s="25" t="n">
        <v>58.76</v>
      </c>
      <c r="O139" s="25" t="n">
        <v>516.36</v>
      </c>
      <c r="P139" s="22" t="s">
        <v>11407</v>
      </c>
      <c r="Q139" s="23" t="n">
        <v>46249</v>
      </c>
      <c r="R139" s="22" t="n">
        <f aca="false">I139*J139</f>
        <v>44</v>
      </c>
      <c r="S139" s="25" t="n">
        <f aca="false">K139-R139</f>
        <v>0</v>
      </c>
      <c r="T139" s="25" t="n">
        <f aca="false">K139*L139</f>
        <v>457.6</v>
      </c>
      <c r="U139" s="25" t="n">
        <f aca="false">M139-T139</f>
        <v>0</v>
      </c>
      <c r="V139" s="25" t="n">
        <f aca="false">M139+N139</f>
        <v>516.36</v>
      </c>
      <c r="W139" s="25" t="n">
        <f aca="false">O139-V139</f>
        <v>0</v>
      </c>
      <c r="X139" s="22" t="str">
        <f aca="false">IF(OR(ABS(S139)&gt;0.005,ABS(U139)&gt;0.005,ABS(W139)&gt;0.005),"Subledger arithmetic error","OK")</f>
        <v>OK</v>
      </c>
      <c r="Y139" s="22" t="str">
        <f aca="false">IF(X139="OK","","Priority 3")</f>
        <v/>
      </c>
    </row>
    <row r="140" customFormat="false" ht="15" hidden="false" customHeight="false" outlineLevel="0" collapsed="false">
      <c r="A140" s="22" t="s">
        <v>11683</v>
      </c>
      <c r="B140" s="23" t="n">
        <v>46235</v>
      </c>
      <c r="C140" s="22" t="s">
        <v>11684</v>
      </c>
      <c r="D140" s="22" t="s">
        <v>3800</v>
      </c>
      <c r="E140" s="22" t="s">
        <v>7016</v>
      </c>
      <c r="F140" s="22" t="s">
        <v>198</v>
      </c>
      <c r="G140" s="22" t="s">
        <v>8601</v>
      </c>
      <c r="H140" s="22" t="s">
        <v>11406</v>
      </c>
      <c r="I140" s="22" t="n">
        <v>46</v>
      </c>
      <c r="J140" s="22" t="n">
        <v>1</v>
      </c>
      <c r="K140" s="22" t="n">
        <v>46</v>
      </c>
      <c r="L140" s="25" t="n">
        <v>10.4</v>
      </c>
      <c r="M140" s="25" t="n">
        <v>478.4</v>
      </c>
      <c r="N140" s="25" t="n">
        <v>61.43</v>
      </c>
      <c r="O140" s="25" t="n">
        <v>539.83</v>
      </c>
      <c r="P140" s="22" t="s">
        <v>11407</v>
      </c>
      <c r="Q140" s="23" t="n">
        <v>46249</v>
      </c>
      <c r="R140" s="22" t="n">
        <f aca="false">I140*J140</f>
        <v>46</v>
      </c>
      <c r="S140" s="25" t="n">
        <f aca="false">K140-R140</f>
        <v>0</v>
      </c>
      <c r="T140" s="25" t="n">
        <f aca="false">K140*L140</f>
        <v>478.4</v>
      </c>
      <c r="U140" s="25" t="n">
        <f aca="false">M140-T140</f>
        <v>0</v>
      </c>
      <c r="V140" s="25" t="n">
        <f aca="false">M140+N140</f>
        <v>539.83</v>
      </c>
      <c r="W140" s="25" t="n">
        <f aca="false">O140-V140</f>
        <v>0</v>
      </c>
      <c r="X140" s="22" t="str">
        <f aca="false">IF(OR(ABS(S140)&gt;0.005,ABS(U140)&gt;0.005,ABS(W140)&gt;0.005),"Subledger arithmetic error","OK")</f>
        <v>OK</v>
      </c>
      <c r="Y140" s="22" t="str">
        <f aca="false">IF(X140="OK","","Priority 3")</f>
        <v/>
      </c>
    </row>
    <row r="141" customFormat="false" ht="15" hidden="false" customHeight="false" outlineLevel="0" collapsed="false">
      <c r="A141" s="22" t="s">
        <v>11685</v>
      </c>
      <c r="B141" s="23" t="n">
        <v>46235</v>
      </c>
      <c r="C141" s="22" t="s">
        <v>11686</v>
      </c>
      <c r="D141" s="22" t="s">
        <v>6344</v>
      </c>
      <c r="E141" s="22" t="s">
        <v>7019</v>
      </c>
      <c r="F141" s="22" t="s">
        <v>198</v>
      </c>
      <c r="G141" s="22" t="s">
        <v>8601</v>
      </c>
      <c r="H141" s="22" t="s">
        <v>11406</v>
      </c>
      <c r="I141" s="22" t="n">
        <v>44</v>
      </c>
      <c r="J141" s="22" t="n">
        <v>1</v>
      </c>
      <c r="K141" s="22" t="n">
        <v>44</v>
      </c>
      <c r="L141" s="25" t="n">
        <v>10.4</v>
      </c>
      <c r="M141" s="25" t="n">
        <v>457.6</v>
      </c>
      <c r="N141" s="25" t="n">
        <v>58.76</v>
      </c>
      <c r="O141" s="25" t="n">
        <v>516.36</v>
      </c>
      <c r="P141" s="22" t="s">
        <v>11407</v>
      </c>
      <c r="Q141" s="23" t="n">
        <v>46249</v>
      </c>
      <c r="R141" s="22" t="n">
        <f aca="false">I141*J141</f>
        <v>44</v>
      </c>
      <c r="S141" s="25" t="n">
        <f aca="false">K141-R141</f>
        <v>0</v>
      </c>
      <c r="T141" s="25" t="n">
        <f aca="false">K141*L141</f>
        <v>457.6</v>
      </c>
      <c r="U141" s="25" t="n">
        <f aca="false">M141-T141</f>
        <v>0</v>
      </c>
      <c r="V141" s="25" t="n">
        <f aca="false">M141+N141</f>
        <v>516.36</v>
      </c>
      <c r="W141" s="25" t="n">
        <f aca="false">O141-V141</f>
        <v>0</v>
      </c>
      <c r="X141" s="22" t="str">
        <f aca="false">IF(OR(ABS(S141)&gt;0.005,ABS(U141)&gt;0.005,ABS(W141)&gt;0.005),"Subledger arithmetic error","OK")</f>
        <v>OK</v>
      </c>
      <c r="Y141" s="22" t="str">
        <f aca="false">IF(X141="OK","","Priority 3")</f>
        <v/>
      </c>
    </row>
    <row r="142" customFormat="false" ht="15" hidden="false" customHeight="false" outlineLevel="0" collapsed="false">
      <c r="A142" s="22" t="s">
        <v>11687</v>
      </c>
      <c r="B142" s="23" t="n">
        <v>46235</v>
      </c>
      <c r="C142" s="22" t="s">
        <v>11688</v>
      </c>
      <c r="D142" s="22" t="s">
        <v>4103</v>
      </c>
      <c r="E142" s="22" t="s">
        <v>7022</v>
      </c>
      <c r="F142" s="22" t="s">
        <v>198</v>
      </c>
      <c r="G142" s="22" t="s">
        <v>8601</v>
      </c>
      <c r="H142" s="22" t="s">
        <v>11406</v>
      </c>
      <c r="I142" s="22" t="n">
        <v>46</v>
      </c>
      <c r="J142" s="22" t="n">
        <v>1</v>
      </c>
      <c r="K142" s="22" t="n">
        <v>46</v>
      </c>
      <c r="L142" s="25" t="n">
        <v>10.4</v>
      </c>
      <c r="M142" s="25" t="n">
        <v>478.4</v>
      </c>
      <c r="N142" s="25" t="n">
        <v>61.43</v>
      </c>
      <c r="O142" s="25" t="n">
        <v>539.83</v>
      </c>
      <c r="P142" s="22" t="s">
        <v>11407</v>
      </c>
      <c r="Q142" s="23" t="n">
        <v>46249</v>
      </c>
      <c r="R142" s="22" t="n">
        <f aca="false">I142*J142</f>
        <v>46</v>
      </c>
      <c r="S142" s="25" t="n">
        <f aca="false">K142-R142</f>
        <v>0</v>
      </c>
      <c r="T142" s="25" t="n">
        <f aca="false">K142*L142</f>
        <v>478.4</v>
      </c>
      <c r="U142" s="25" t="n">
        <f aca="false">M142-T142</f>
        <v>0</v>
      </c>
      <c r="V142" s="25" t="n">
        <f aca="false">M142+N142</f>
        <v>539.83</v>
      </c>
      <c r="W142" s="25" t="n">
        <f aca="false">O142-V142</f>
        <v>0</v>
      </c>
      <c r="X142" s="22" t="str">
        <f aca="false">IF(OR(ABS(S142)&gt;0.005,ABS(U142)&gt;0.005,ABS(W142)&gt;0.005),"Subledger arithmetic error","OK")</f>
        <v>OK</v>
      </c>
      <c r="Y142" s="22" t="str">
        <f aca="false">IF(X142="OK","","Priority 3")</f>
        <v/>
      </c>
    </row>
    <row r="143" customFormat="false" ht="15" hidden="false" customHeight="false" outlineLevel="0" collapsed="false">
      <c r="A143" s="22" t="s">
        <v>11689</v>
      </c>
      <c r="B143" s="23" t="n">
        <v>46235</v>
      </c>
      <c r="C143" s="22" t="s">
        <v>11690</v>
      </c>
      <c r="D143" s="22" t="s">
        <v>6542</v>
      </c>
      <c r="E143" s="22" t="s">
        <v>7025</v>
      </c>
      <c r="F143" s="22" t="s">
        <v>198</v>
      </c>
      <c r="G143" s="22" t="s">
        <v>8601</v>
      </c>
      <c r="H143" s="22" t="s">
        <v>11406</v>
      </c>
      <c r="I143" s="22" t="n">
        <v>34</v>
      </c>
      <c r="J143" s="22" t="n">
        <v>1</v>
      </c>
      <c r="K143" s="22" t="n">
        <v>34</v>
      </c>
      <c r="L143" s="25" t="n">
        <v>10.4</v>
      </c>
      <c r="M143" s="25" t="n">
        <v>353.6</v>
      </c>
      <c r="N143" s="25" t="n">
        <v>45.4</v>
      </c>
      <c r="O143" s="25" t="n">
        <v>399</v>
      </c>
      <c r="P143" s="22" t="s">
        <v>11407</v>
      </c>
      <c r="Q143" s="23" t="n">
        <v>46249</v>
      </c>
      <c r="R143" s="22" t="n">
        <f aca="false">I143*J143</f>
        <v>34</v>
      </c>
      <c r="S143" s="25" t="n">
        <f aca="false">K143-R143</f>
        <v>0</v>
      </c>
      <c r="T143" s="25" t="n">
        <f aca="false">K143*L143</f>
        <v>353.6</v>
      </c>
      <c r="U143" s="25" t="n">
        <f aca="false">M143-T143</f>
        <v>0</v>
      </c>
      <c r="V143" s="25" t="n">
        <f aca="false">M143+N143</f>
        <v>399</v>
      </c>
      <c r="W143" s="25" t="n">
        <f aca="false">O143-V143</f>
        <v>0</v>
      </c>
      <c r="X143" s="22" t="str">
        <f aca="false">IF(OR(ABS(S143)&gt;0.005,ABS(U143)&gt;0.005,ABS(W143)&gt;0.005),"Subledger arithmetic error","OK")</f>
        <v>OK</v>
      </c>
      <c r="Y143" s="22" t="str">
        <f aca="false">IF(X143="OK","","Priority 3")</f>
        <v/>
      </c>
    </row>
    <row r="144" customFormat="false" ht="15" hidden="false" customHeight="false" outlineLevel="0" collapsed="false">
      <c r="A144" s="22" t="s">
        <v>11691</v>
      </c>
      <c r="B144" s="23" t="n">
        <v>46235</v>
      </c>
      <c r="C144" s="22" t="s">
        <v>11692</v>
      </c>
      <c r="D144" s="22" t="s">
        <v>2064</v>
      </c>
      <c r="E144" s="22" t="s">
        <v>7028</v>
      </c>
      <c r="F144" s="22" t="s">
        <v>198</v>
      </c>
      <c r="G144" s="22" t="s">
        <v>8601</v>
      </c>
      <c r="H144" s="22" t="s">
        <v>11406</v>
      </c>
      <c r="I144" s="22" t="n">
        <v>44</v>
      </c>
      <c r="J144" s="22" t="n">
        <v>1</v>
      </c>
      <c r="K144" s="22" t="n">
        <v>44</v>
      </c>
      <c r="L144" s="25" t="n">
        <v>10.4</v>
      </c>
      <c r="M144" s="25" t="n">
        <v>457.6</v>
      </c>
      <c r="N144" s="25" t="n">
        <v>58.76</v>
      </c>
      <c r="O144" s="25" t="n">
        <v>516.36</v>
      </c>
      <c r="P144" s="22" t="s">
        <v>11407</v>
      </c>
      <c r="Q144" s="23" t="n">
        <v>46249</v>
      </c>
      <c r="R144" s="22" t="n">
        <f aca="false">I144*J144</f>
        <v>44</v>
      </c>
      <c r="S144" s="25" t="n">
        <f aca="false">K144-R144</f>
        <v>0</v>
      </c>
      <c r="T144" s="25" t="n">
        <f aca="false">K144*L144</f>
        <v>457.6</v>
      </c>
      <c r="U144" s="25" t="n">
        <f aca="false">M144-T144</f>
        <v>0</v>
      </c>
      <c r="V144" s="25" t="n">
        <f aca="false">M144+N144</f>
        <v>516.36</v>
      </c>
      <c r="W144" s="25" t="n">
        <f aca="false">O144-V144</f>
        <v>0</v>
      </c>
      <c r="X144" s="22" t="str">
        <f aca="false">IF(OR(ABS(S144)&gt;0.005,ABS(U144)&gt;0.005,ABS(W144)&gt;0.005),"Subledger arithmetic error","OK")</f>
        <v>OK</v>
      </c>
      <c r="Y144" s="22" t="str">
        <f aca="false">IF(X144="OK","","Priority 3")</f>
        <v/>
      </c>
    </row>
    <row r="145" customFormat="false" ht="15" hidden="false" customHeight="false" outlineLevel="0" collapsed="false">
      <c r="A145" s="22" t="s">
        <v>11693</v>
      </c>
      <c r="B145" s="23" t="n">
        <v>46235</v>
      </c>
      <c r="C145" s="22" t="s">
        <v>11694</v>
      </c>
      <c r="D145" s="22" t="s">
        <v>4599</v>
      </c>
      <c r="E145" s="22" t="s">
        <v>7030</v>
      </c>
      <c r="F145" s="22" t="s">
        <v>198</v>
      </c>
      <c r="G145" s="22" t="s">
        <v>8601</v>
      </c>
      <c r="H145" s="22" t="s">
        <v>11406</v>
      </c>
      <c r="I145" s="22" t="n">
        <v>37</v>
      </c>
      <c r="J145" s="22" t="n">
        <v>1</v>
      </c>
      <c r="K145" s="22" t="n">
        <v>37</v>
      </c>
      <c r="L145" s="25" t="n">
        <v>10.4</v>
      </c>
      <c r="M145" s="25" t="n">
        <v>384.8</v>
      </c>
      <c r="N145" s="25" t="n">
        <v>49.41</v>
      </c>
      <c r="O145" s="25" t="n">
        <v>434.21</v>
      </c>
      <c r="P145" s="22" t="s">
        <v>11407</v>
      </c>
      <c r="Q145" s="23" t="n">
        <v>46249</v>
      </c>
      <c r="R145" s="22" t="n">
        <f aca="false">I145*J145</f>
        <v>37</v>
      </c>
      <c r="S145" s="25" t="n">
        <f aca="false">K145-R145</f>
        <v>0</v>
      </c>
      <c r="T145" s="25" t="n">
        <f aca="false">K145*L145</f>
        <v>384.8</v>
      </c>
      <c r="U145" s="25" t="n">
        <f aca="false">M145-T145</f>
        <v>0</v>
      </c>
      <c r="V145" s="25" t="n">
        <f aca="false">M145+N145</f>
        <v>434.21</v>
      </c>
      <c r="W145" s="25" t="n">
        <f aca="false">O145-V145</f>
        <v>0</v>
      </c>
      <c r="X145" s="22" t="str">
        <f aca="false">IF(OR(ABS(S145)&gt;0.005,ABS(U145)&gt;0.005,ABS(W145)&gt;0.005),"Subledger arithmetic error","OK")</f>
        <v>OK</v>
      </c>
      <c r="Y145" s="22" t="str">
        <f aca="false">IF(X145="OK","","Priority 3")</f>
        <v/>
      </c>
    </row>
    <row r="146" customFormat="false" ht="15" hidden="false" customHeight="false" outlineLevel="0" collapsed="false">
      <c r="A146" s="22" t="s">
        <v>11695</v>
      </c>
      <c r="B146" s="23" t="n">
        <v>46235</v>
      </c>
      <c r="C146" s="22" t="s">
        <v>11696</v>
      </c>
      <c r="D146" s="22" t="s">
        <v>5615</v>
      </c>
      <c r="E146" s="22" t="s">
        <v>7032</v>
      </c>
      <c r="F146" s="22" t="s">
        <v>198</v>
      </c>
      <c r="G146" s="22" t="s">
        <v>8601</v>
      </c>
      <c r="H146" s="22" t="s">
        <v>11406</v>
      </c>
      <c r="I146" s="22" t="n">
        <v>40</v>
      </c>
      <c r="J146" s="22" t="n">
        <v>1</v>
      </c>
      <c r="K146" s="22" t="n">
        <v>40</v>
      </c>
      <c r="L146" s="25" t="n">
        <v>10.4</v>
      </c>
      <c r="M146" s="25" t="n">
        <v>416</v>
      </c>
      <c r="N146" s="25" t="n">
        <v>53.41</v>
      </c>
      <c r="O146" s="25" t="n">
        <v>469.41</v>
      </c>
      <c r="P146" s="22" t="s">
        <v>11407</v>
      </c>
      <c r="Q146" s="23" t="n">
        <v>46249</v>
      </c>
      <c r="R146" s="22" t="n">
        <f aca="false">I146*J146</f>
        <v>40</v>
      </c>
      <c r="S146" s="25" t="n">
        <f aca="false">K146-R146</f>
        <v>0</v>
      </c>
      <c r="T146" s="25" t="n">
        <f aca="false">K146*L146</f>
        <v>416</v>
      </c>
      <c r="U146" s="25" t="n">
        <f aca="false">M146-T146</f>
        <v>0</v>
      </c>
      <c r="V146" s="25" t="n">
        <f aca="false">M146+N146</f>
        <v>469.41</v>
      </c>
      <c r="W146" s="25" t="n">
        <f aca="false">O146-V146</f>
        <v>0</v>
      </c>
      <c r="X146" s="22" t="str">
        <f aca="false">IF(OR(ABS(S146)&gt;0.005,ABS(U146)&gt;0.005,ABS(W146)&gt;0.005),"Subledger arithmetic error","OK")</f>
        <v>OK</v>
      </c>
      <c r="Y146" s="22" t="str">
        <f aca="false">IF(X146="OK","","Priority 3")</f>
        <v/>
      </c>
    </row>
    <row r="147" customFormat="false" ht="15" hidden="false" customHeight="false" outlineLevel="0" collapsed="false">
      <c r="A147" s="22" t="s">
        <v>11697</v>
      </c>
      <c r="B147" s="23" t="n">
        <v>46235</v>
      </c>
      <c r="C147" s="22" t="s">
        <v>11698</v>
      </c>
      <c r="D147" s="22" t="s">
        <v>1347</v>
      </c>
      <c r="E147" s="22" t="s">
        <v>7035</v>
      </c>
      <c r="F147" s="22" t="s">
        <v>198</v>
      </c>
      <c r="G147" s="22" t="s">
        <v>8601</v>
      </c>
      <c r="H147" s="22" t="s">
        <v>11406</v>
      </c>
      <c r="I147" s="22" t="n">
        <v>32</v>
      </c>
      <c r="J147" s="22" t="n">
        <v>1</v>
      </c>
      <c r="K147" s="22" t="n">
        <v>32</v>
      </c>
      <c r="L147" s="25" t="n">
        <v>10.4</v>
      </c>
      <c r="M147" s="25" t="n">
        <v>332.8</v>
      </c>
      <c r="N147" s="25" t="n">
        <v>42.73</v>
      </c>
      <c r="O147" s="25" t="n">
        <v>375.53</v>
      </c>
      <c r="P147" s="22" t="s">
        <v>11407</v>
      </c>
      <c r="Q147" s="23" t="n">
        <v>46249</v>
      </c>
      <c r="R147" s="22" t="n">
        <f aca="false">I147*J147</f>
        <v>32</v>
      </c>
      <c r="S147" s="25" t="n">
        <f aca="false">K147-R147</f>
        <v>0</v>
      </c>
      <c r="T147" s="25" t="n">
        <f aca="false">K147*L147</f>
        <v>332.8</v>
      </c>
      <c r="U147" s="25" t="n">
        <f aca="false">M147-T147</f>
        <v>0</v>
      </c>
      <c r="V147" s="25" t="n">
        <f aca="false">M147+N147</f>
        <v>375.53</v>
      </c>
      <c r="W147" s="25" t="n">
        <f aca="false">O147-V147</f>
        <v>0</v>
      </c>
      <c r="X147" s="22" t="str">
        <f aca="false">IF(OR(ABS(S147)&gt;0.005,ABS(U147)&gt;0.005,ABS(W147)&gt;0.005),"Subledger arithmetic error","OK")</f>
        <v>OK</v>
      </c>
      <c r="Y147" s="22" t="str">
        <f aca="false">IF(X147="OK","","Priority 3")</f>
        <v/>
      </c>
    </row>
    <row r="148" customFormat="false" ht="15" hidden="false" customHeight="false" outlineLevel="0" collapsed="false">
      <c r="A148" s="22" t="s">
        <v>11699</v>
      </c>
      <c r="B148" s="23" t="n">
        <v>46235</v>
      </c>
      <c r="C148" s="22" t="s">
        <v>11700</v>
      </c>
      <c r="D148" s="22" t="s">
        <v>5647</v>
      </c>
      <c r="E148" s="22" t="s">
        <v>7037</v>
      </c>
      <c r="F148" s="22" t="s">
        <v>198</v>
      </c>
      <c r="G148" s="22" t="s">
        <v>8601</v>
      </c>
      <c r="H148" s="22" t="s">
        <v>11406</v>
      </c>
      <c r="I148" s="22" t="n">
        <v>56</v>
      </c>
      <c r="J148" s="22" t="n">
        <v>1</v>
      </c>
      <c r="K148" s="22" t="n">
        <v>56</v>
      </c>
      <c r="L148" s="25" t="n">
        <v>10.4</v>
      </c>
      <c r="M148" s="25" t="n">
        <v>582.4</v>
      </c>
      <c r="N148" s="25" t="n">
        <v>74.78</v>
      </c>
      <c r="O148" s="25" t="n">
        <v>657.18</v>
      </c>
      <c r="P148" s="22" t="s">
        <v>7696</v>
      </c>
      <c r="Q148" s="23" t="n">
        <v>46249</v>
      </c>
      <c r="R148" s="22" t="n">
        <f aca="false">I148*J148</f>
        <v>56</v>
      </c>
      <c r="S148" s="25" t="n">
        <f aca="false">K148-R148</f>
        <v>0</v>
      </c>
      <c r="T148" s="25" t="n">
        <f aca="false">K148*L148</f>
        <v>582.4</v>
      </c>
      <c r="U148" s="25" t="n">
        <f aca="false">M148-T148</f>
        <v>0</v>
      </c>
      <c r="V148" s="25" t="n">
        <f aca="false">M148+N148</f>
        <v>657.18</v>
      </c>
      <c r="W148" s="25" t="n">
        <f aca="false">O148-V148</f>
        <v>0</v>
      </c>
      <c r="X148" s="22" t="str">
        <f aca="false">IF(OR(ABS(S148)&gt;0.005,ABS(U148)&gt;0.005,ABS(W148)&gt;0.005),"Subledger arithmetic error","OK")</f>
        <v>OK</v>
      </c>
      <c r="Y148" s="22" t="str">
        <f aca="false">IF(X148="OK","","Priority 3")</f>
        <v/>
      </c>
    </row>
    <row r="149" customFormat="false" ht="15" hidden="false" customHeight="false" outlineLevel="0" collapsed="false">
      <c r="A149" s="22" t="s">
        <v>11701</v>
      </c>
      <c r="B149" s="23" t="n">
        <v>46235</v>
      </c>
      <c r="C149" s="22" t="s">
        <v>11702</v>
      </c>
      <c r="D149" s="22" t="s">
        <v>5927</v>
      </c>
      <c r="E149" s="22" t="s">
        <v>7040</v>
      </c>
      <c r="F149" s="22" t="s">
        <v>198</v>
      </c>
      <c r="G149" s="22" t="s">
        <v>8601</v>
      </c>
      <c r="H149" s="22" t="s">
        <v>11406</v>
      </c>
      <c r="I149" s="22" t="n">
        <v>41</v>
      </c>
      <c r="J149" s="22" t="n">
        <v>1</v>
      </c>
      <c r="K149" s="22" t="n">
        <v>41</v>
      </c>
      <c r="L149" s="25" t="n">
        <v>10.4</v>
      </c>
      <c r="M149" s="25" t="n">
        <v>426.4</v>
      </c>
      <c r="N149" s="25" t="n">
        <v>54.75</v>
      </c>
      <c r="O149" s="25" t="n">
        <v>481.15</v>
      </c>
      <c r="P149" s="22" t="s">
        <v>11407</v>
      </c>
      <c r="Q149" s="23" t="n">
        <v>46249</v>
      </c>
      <c r="R149" s="22" t="n">
        <f aca="false">I149*J149</f>
        <v>41</v>
      </c>
      <c r="S149" s="25" t="n">
        <f aca="false">K149-R149</f>
        <v>0</v>
      </c>
      <c r="T149" s="25" t="n">
        <f aca="false">K149*L149</f>
        <v>426.4</v>
      </c>
      <c r="U149" s="25" t="n">
        <f aca="false">M149-T149</f>
        <v>0</v>
      </c>
      <c r="V149" s="25" t="n">
        <f aca="false">M149+N149</f>
        <v>481.15</v>
      </c>
      <c r="W149" s="25" t="n">
        <f aca="false">O149-V149</f>
        <v>0</v>
      </c>
      <c r="X149" s="22" t="str">
        <f aca="false">IF(OR(ABS(S149)&gt;0.005,ABS(U149)&gt;0.005,ABS(W149)&gt;0.005),"Subledger arithmetic error","OK")</f>
        <v>OK</v>
      </c>
      <c r="Y149" s="22" t="str">
        <f aca="false">IF(X149="OK","","Priority 3")</f>
        <v/>
      </c>
    </row>
    <row r="150" customFormat="false" ht="15" hidden="false" customHeight="false" outlineLevel="0" collapsed="false">
      <c r="A150" s="22" t="s">
        <v>11703</v>
      </c>
      <c r="B150" s="23" t="n">
        <v>46235</v>
      </c>
      <c r="C150" s="22" t="s">
        <v>11704</v>
      </c>
      <c r="D150" s="22" t="s">
        <v>1041</v>
      </c>
      <c r="E150" s="22" t="s">
        <v>7043</v>
      </c>
      <c r="F150" s="22" t="s">
        <v>198</v>
      </c>
      <c r="G150" s="22" t="s">
        <v>8601</v>
      </c>
      <c r="H150" s="22" t="s">
        <v>11406</v>
      </c>
      <c r="I150" s="22" t="n">
        <v>56</v>
      </c>
      <c r="J150" s="22" t="n">
        <v>1</v>
      </c>
      <c r="K150" s="22" t="n">
        <v>56</v>
      </c>
      <c r="L150" s="25" t="n">
        <v>10.4</v>
      </c>
      <c r="M150" s="25" t="n">
        <v>582.4</v>
      </c>
      <c r="N150" s="25" t="n">
        <v>74.78</v>
      </c>
      <c r="O150" s="25" t="n">
        <v>657.18</v>
      </c>
      <c r="P150" s="22" t="s">
        <v>11407</v>
      </c>
      <c r="Q150" s="23" t="n">
        <v>46249</v>
      </c>
      <c r="R150" s="22" t="n">
        <f aca="false">I150*J150</f>
        <v>56</v>
      </c>
      <c r="S150" s="25" t="n">
        <f aca="false">K150-R150</f>
        <v>0</v>
      </c>
      <c r="T150" s="25" t="n">
        <f aca="false">K150*L150</f>
        <v>582.4</v>
      </c>
      <c r="U150" s="25" t="n">
        <f aca="false">M150-T150</f>
        <v>0</v>
      </c>
      <c r="V150" s="25" t="n">
        <f aca="false">M150+N150</f>
        <v>657.18</v>
      </c>
      <c r="W150" s="25" t="n">
        <f aca="false">O150-V150</f>
        <v>0</v>
      </c>
      <c r="X150" s="22" t="str">
        <f aca="false">IF(OR(ABS(S150)&gt;0.005,ABS(U150)&gt;0.005,ABS(W150)&gt;0.005),"Subledger arithmetic error","OK")</f>
        <v>OK</v>
      </c>
      <c r="Y150" s="22" t="str">
        <f aca="false">IF(X150="OK","","Priority 3")</f>
        <v/>
      </c>
    </row>
    <row r="151" customFormat="false" ht="15" hidden="false" customHeight="false" outlineLevel="0" collapsed="false">
      <c r="A151" s="22" t="s">
        <v>11705</v>
      </c>
      <c r="B151" s="23" t="n">
        <v>46235</v>
      </c>
      <c r="C151" s="22" t="s">
        <v>11706</v>
      </c>
      <c r="D151" s="22" t="s">
        <v>5536</v>
      </c>
      <c r="E151" s="22" t="s">
        <v>7045</v>
      </c>
      <c r="F151" s="22" t="s">
        <v>198</v>
      </c>
      <c r="G151" s="22" t="s">
        <v>8601</v>
      </c>
      <c r="H151" s="22" t="s">
        <v>11406</v>
      </c>
      <c r="I151" s="22" t="n">
        <v>32</v>
      </c>
      <c r="J151" s="22" t="n">
        <v>1</v>
      </c>
      <c r="K151" s="22" t="n">
        <v>32</v>
      </c>
      <c r="L151" s="25" t="n">
        <v>10.4</v>
      </c>
      <c r="M151" s="25" t="n">
        <v>332.8</v>
      </c>
      <c r="N151" s="25" t="n">
        <v>42.73</v>
      </c>
      <c r="O151" s="25" t="n">
        <v>375.53</v>
      </c>
      <c r="P151" s="22" t="s">
        <v>11407</v>
      </c>
      <c r="Q151" s="23" t="n">
        <v>46249</v>
      </c>
      <c r="R151" s="22" t="n">
        <f aca="false">I151*J151</f>
        <v>32</v>
      </c>
      <c r="S151" s="25" t="n">
        <f aca="false">K151-R151</f>
        <v>0</v>
      </c>
      <c r="T151" s="25" t="n">
        <f aca="false">K151*L151</f>
        <v>332.8</v>
      </c>
      <c r="U151" s="25" t="n">
        <f aca="false">M151-T151</f>
        <v>0</v>
      </c>
      <c r="V151" s="25" t="n">
        <f aca="false">M151+N151</f>
        <v>375.53</v>
      </c>
      <c r="W151" s="25" t="n">
        <f aca="false">O151-V151</f>
        <v>0</v>
      </c>
      <c r="X151" s="22" t="str">
        <f aca="false">IF(OR(ABS(S151)&gt;0.005,ABS(U151)&gt;0.005,ABS(W151)&gt;0.005),"Subledger arithmetic error","OK")</f>
        <v>OK</v>
      </c>
      <c r="Y151" s="22" t="str">
        <f aca="false">IF(X151="OK","","Priority 3")</f>
        <v/>
      </c>
    </row>
    <row r="152" customFormat="false" ht="15" hidden="false" customHeight="false" outlineLevel="0" collapsed="false">
      <c r="A152" s="22" t="s">
        <v>11707</v>
      </c>
      <c r="B152" s="23" t="n">
        <v>46235</v>
      </c>
      <c r="C152" s="22" t="s">
        <v>11708</v>
      </c>
      <c r="D152" s="22" t="s">
        <v>3735</v>
      </c>
      <c r="E152" s="22" t="s">
        <v>7047</v>
      </c>
      <c r="F152" s="22" t="s">
        <v>198</v>
      </c>
      <c r="G152" s="22" t="s">
        <v>8601</v>
      </c>
      <c r="H152" s="22" t="s">
        <v>11406</v>
      </c>
      <c r="I152" s="22" t="n">
        <v>33</v>
      </c>
      <c r="J152" s="22" t="n">
        <v>1</v>
      </c>
      <c r="K152" s="22" t="n">
        <v>33</v>
      </c>
      <c r="L152" s="25" t="n">
        <v>10.4</v>
      </c>
      <c r="M152" s="25" t="n">
        <v>343.2</v>
      </c>
      <c r="N152" s="25" t="n">
        <v>44.07</v>
      </c>
      <c r="O152" s="25" t="n">
        <v>387.27</v>
      </c>
      <c r="P152" s="22" t="s">
        <v>11407</v>
      </c>
      <c r="Q152" s="23" t="n">
        <v>46249</v>
      </c>
      <c r="R152" s="22" t="n">
        <f aca="false">I152*J152</f>
        <v>33</v>
      </c>
      <c r="S152" s="25" t="n">
        <f aca="false">K152-R152</f>
        <v>0</v>
      </c>
      <c r="T152" s="25" t="n">
        <f aca="false">K152*L152</f>
        <v>343.2</v>
      </c>
      <c r="U152" s="25" t="n">
        <f aca="false">M152-T152</f>
        <v>0</v>
      </c>
      <c r="V152" s="25" t="n">
        <f aca="false">M152+N152</f>
        <v>387.27</v>
      </c>
      <c r="W152" s="25" t="n">
        <f aca="false">O152-V152</f>
        <v>0</v>
      </c>
      <c r="X152" s="22" t="str">
        <f aca="false">IF(OR(ABS(S152)&gt;0.005,ABS(U152)&gt;0.005,ABS(W152)&gt;0.005),"Subledger arithmetic error","OK")</f>
        <v>OK</v>
      </c>
      <c r="Y152" s="22" t="str">
        <f aca="false">IF(X152="OK","","Priority 3")</f>
        <v/>
      </c>
    </row>
    <row r="153" customFormat="false" ht="15" hidden="false" customHeight="false" outlineLevel="0" collapsed="false">
      <c r="A153" s="22" t="s">
        <v>11709</v>
      </c>
      <c r="B153" s="23" t="n">
        <v>46235</v>
      </c>
      <c r="C153" s="22" t="s">
        <v>11710</v>
      </c>
      <c r="D153" s="22" t="s">
        <v>1994</v>
      </c>
      <c r="E153" s="22" t="s">
        <v>7050</v>
      </c>
      <c r="F153" s="22" t="s">
        <v>198</v>
      </c>
      <c r="G153" s="22" t="s">
        <v>8601</v>
      </c>
      <c r="H153" s="22" t="s">
        <v>11406</v>
      </c>
      <c r="I153" s="22" t="n">
        <v>54</v>
      </c>
      <c r="J153" s="22" t="n">
        <v>1</v>
      </c>
      <c r="K153" s="22" t="n">
        <v>54</v>
      </c>
      <c r="L153" s="25" t="n">
        <v>10.4</v>
      </c>
      <c r="M153" s="25" t="n">
        <v>561.6</v>
      </c>
      <c r="N153" s="25" t="n">
        <v>72.11</v>
      </c>
      <c r="O153" s="25" t="n">
        <v>633.71</v>
      </c>
      <c r="P153" s="22" t="s">
        <v>11407</v>
      </c>
      <c r="Q153" s="23" t="n">
        <v>46249</v>
      </c>
      <c r="R153" s="22" t="n">
        <f aca="false">I153*J153</f>
        <v>54</v>
      </c>
      <c r="S153" s="25" t="n">
        <f aca="false">K153-R153</f>
        <v>0</v>
      </c>
      <c r="T153" s="25" t="n">
        <f aca="false">K153*L153</f>
        <v>561.6</v>
      </c>
      <c r="U153" s="25" t="n">
        <f aca="false">M153-T153</f>
        <v>0</v>
      </c>
      <c r="V153" s="25" t="n">
        <f aca="false">M153+N153</f>
        <v>633.71</v>
      </c>
      <c r="W153" s="25" t="n">
        <f aca="false">O153-V153</f>
        <v>0</v>
      </c>
      <c r="X153" s="22" t="str">
        <f aca="false">IF(OR(ABS(S153)&gt;0.005,ABS(U153)&gt;0.005,ABS(W153)&gt;0.005),"Subledger arithmetic error","OK")</f>
        <v>OK</v>
      </c>
      <c r="Y153" s="22" t="str">
        <f aca="false">IF(X153="OK","","Priority 3")</f>
        <v/>
      </c>
    </row>
    <row r="154" customFormat="false" ht="15" hidden="false" customHeight="false" outlineLevel="0" collapsed="false">
      <c r="A154" s="22" t="s">
        <v>11711</v>
      </c>
      <c r="B154" s="23" t="n">
        <v>46235</v>
      </c>
      <c r="C154" s="22" t="s">
        <v>11712</v>
      </c>
      <c r="D154" s="22" t="s">
        <v>3761</v>
      </c>
      <c r="E154" s="22" t="s">
        <v>7055</v>
      </c>
      <c r="F154" s="22" t="s">
        <v>198</v>
      </c>
      <c r="G154" s="22" t="s">
        <v>8601</v>
      </c>
      <c r="H154" s="22" t="s">
        <v>11406</v>
      </c>
      <c r="I154" s="22" t="n">
        <v>60</v>
      </c>
      <c r="J154" s="22" t="n">
        <v>1</v>
      </c>
      <c r="K154" s="22" t="n">
        <v>60</v>
      </c>
      <c r="L154" s="25" t="n">
        <v>10.4</v>
      </c>
      <c r="M154" s="25" t="n">
        <v>624</v>
      </c>
      <c r="N154" s="25" t="n">
        <v>80.12</v>
      </c>
      <c r="O154" s="25" t="n">
        <v>704.12</v>
      </c>
      <c r="P154" s="22" t="s">
        <v>11407</v>
      </c>
      <c r="Q154" s="23" t="n">
        <v>46249</v>
      </c>
      <c r="R154" s="22" t="n">
        <f aca="false">I154*J154</f>
        <v>60</v>
      </c>
      <c r="S154" s="25" t="n">
        <f aca="false">K154-R154</f>
        <v>0</v>
      </c>
      <c r="T154" s="25" t="n">
        <f aca="false">K154*L154</f>
        <v>624</v>
      </c>
      <c r="U154" s="25" t="n">
        <f aca="false">M154-T154</f>
        <v>0</v>
      </c>
      <c r="V154" s="25" t="n">
        <f aca="false">M154+N154</f>
        <v>704.12</v>
      </c>
      <c r="W154" s="25" t="n">
        <f aca="false">O154-V154</f>
        <v>0</v>
      </c>
      <c r="X154" s="22" t="str">
        <f aca="false">IF(OR(ABS(S154)&gt;0.005,ABS(U154)&gt;0.005,ABS(W154)&gt;0.005),"Subledger arithmetic error","OK")</f>
        <v>OK</v>
      </c>
      <c r="Y154" s="22" t="str">
        <f aca="false">IF(X154="OK","","Priority 3")</f>
        <v/>
      </c>
    </row>
    <row r="155" customFormat="false" ht="15" hidden="false" customHeight="false" outlineLevel="0" collapsed="false">
      <c r="A155" s="22" t="s">
        <v>11713</v>
      </c>
      <c r="B155" s="23" t="n">
        <v>46235</v>
      </c>
      <c r="C155" s="22" t="s">
        <v>11714</v>
      </c>
      <c r="D155" s="22" t="s">
        <v>472</v>
      </c>
      <c r="E155" s="22" t="s">
        <v>7058</v>
      </c>
      <c r="F155" s="22" t="s">
        <v>198</v>
      </c>
      <c r="G155" s="22" t="s">
        <v>8601</v>
      </c>
      <c r="H155" s="22" t="s">
        <v>11406</v>
      </c>
      <c r="I155" s="22" t="n">
        <v>38</v>
      </c>
      <c r="J155" s="22" t="n">
        <v>1</v>
      </c>
      <c r="K155" s="22" t="n">
        <v>38</v>
      </c>
      <c r="L155" s="25" t="n">
        <v>10.4</v>
      </c>
      <c r="M155" s="25" t="n">
        <v>395.2</v>
      </c>
      <c r="N155" s="25" t="n">
        <v>50.74</v>
      </c>
      <c r="O155" s="25" t="n">
        <v>445.94</v>
      </c>
      <c r="P155" s="22" t="s">
        <v>11407</v>
      </c>
      <c r="Q155" s="23" t="n">
        <v>46249</v>
      </c>
      <c r="R155" s="22" t="n">
        <f aca="false">I155*J155</f>
        <v>38</v>
      </c>
      <c r="S155" s="25" t="n">
        <f aca="false">K155-R155</f>
        <v>0</v>
      </c>
      <c r="T155" s="25" t="n">
        <f aca="false">K155*L155</f>
        <v>395.2</v>
      </c>
      <c r="U155" s="25" t="n">
        <f aca="false">M155-T155</f>
        <v>0</v>
      </c>
      <c r="V155" s="25" t="n">
        <f aca="false">M155+N155</f>
        <v>445.94</v>
      </c>
      <c r="W155" s="25" t="n">
        <f aca="false">O155-V155</f>
        <v>0</v>
      </c>
      <c r="X155" s="22" t="str">
        <f aca="false">IF(OR(ABS(S155)&gt;0.005,ABS(U155)&gt;0.005,ABS(W155)&gt;0.005),"Subledger arithmetic error","OK")</f>
        <v>OK</v>
      </c>
      <c r="Y155" s="22" t="str">
        <f aca="false">IF(X155="OK","","Priority 3")</f>
        <v/>
      </c>
    </row>
    <row r="156" customFormat="false" ht="15" hidden="false" customHeight="false" outlineLevel="0" collapsed="false">
      <c r="A156" s="22" t="s">
        <v>11715</v>
      </c>
      <c r="B156" s="23" t="n">
        <v>46235</v>
      </c>
      <c r="C156" s="22" t="s">
        <v>11716</v>
      </c>
      <c r="D156" s="22" t="s">
        <v>2060</v>
      </c>
      <c r="E156" s="22" t="s">
        <v>7060</v>
      </c>
      <c r="F156" s="22" t="s">
        <v>198</v>
      </c>
      <c r="G156" s="22" t="s">
        <v>8601</v>
      </c>
      <c r="H156" s="22" t="s">
        <v>11406</v>
      </c>
      <c r="I156" s="22" t="n">
        <v>57</v>
      </c>
      <c r="J156" s="22" t="n">
        <v>1</v>
      </c>
      <c r="K156" s="22" t="n">
        <v>57</v>
      </c>
      <c r="L156" s="25" t="n">
        <v>10.4</v>
      </c>
      <c r="M156" s="25" t="n">
        <v>592.8</v>
      </c>
      <c r="N156" s="25" t="n">
        <v>76.12</v>
      </c>
      <c r="O156" s="25" t="n">
        <v>668.92</v>
      </c>
      <c r="P156" s="22" t="s">
        <v>11407</v>
      </c>
      <c r="Q156" s="23" t="n">
        <v>46249</v>
      </c>
      <c r="R156" s="22" t="n">
        <f aca="false">I156*J156</f>
        <v>57</v>
      </c>
      <c r="S156" s="25" t="n">
        <f aca="false">K156-R156</f>
        <v>0</v>
      </c>
      <c r="T156" s="25" t="n">
        <f aca="false">K156*L156</f>
        <v>592.8</v>
      </c>
      <c r="U156" s="25" t="n">
        <f aca="false">M156-T156</f>
        <v>0</v>
      </c>
      <c r="V156" s="25" t="n">
        <f aca="false">M156+N156</f>
        <v>668.92</v>
      </c>
      <c r="W156" s="25" t="n">
        <f aca="false">O156-V156</f>
        <v>0</v>
      </c>
      <c r="X156" s="22" t="str">
        <f aca="false">IF(OR(ABS(S156)&gt;0.005,ABS(U156)&gt;0.005,ABS(W156)&gt;0.005),"Subledger arithmetic error","OK")</f>
        <v>OK</v>
      </c>
      <c r="Y156" s="22" t="str">
        <f aca="false">IF(X156="OK","","Priority 3")</f>
        <v/>
      </c>
    </row>
    <row r="157" customFormat="false" ht="15" hidden="false" customHeight="false" outlineLevel="0" collapsed="false">
      <c r="A157" s="22" t="s">
        <v>11717</v>
      </c>
      <c r="B157" s="23" t="n">
        <v>46235</v>
      </c>
      <c r="C157" s="22" t="s">
        <v>11718</v>
      </c>
      <c r="D157" s="22" t="s">
        <v>3343</v>
      </c>
      <c r="E157" s="22" t="s">
        <v>7062</v>
      </c>
      <c r="F157" s="22" t="s">
        <v>198</v>
      </c>
      <c r="G157" s="22" t="s">
        <v>8601</v>
      </c>
      <c r="H157" s="22" t="s">
        <v>11406</v>
      </c>
      <c r="I157" s="22" t="n">
        <v>47</v>
      </c>
      <c r="J157" s="22" t="n">
        <v>1</v>
      </c>
      <c r="K157" s="22" t="n">
        <v>47</v>
      </c>
      <c r="L157" s="25" t="n">
        <v>10.4</v>
      </c>
      <c r="M157" s="25" t="n">
        <v>488.8</v>
      </c>
      <c r="N157" s="25" t="n">
        <v>62.76</v>
      </c>
      <c r="O157" s="25" t="n">
        <v>551.56</v>
      </c>
      <c r="P157" s="22" t="s">
        <v>11407</v>
      </c>
      <c r="Q157" s="23" t="n">
        <v>46249</v>
      </c>
      <c r="R157" s="22" t="n">
        <f aca="false">I157*J157</f>
        <v>47</v>
      </c>
      <c r="S157" s="25" t="n">
        <f aca="false">K157-R157</f>
        <v>0</v>
      </c>
      <c r="T157" s="25" t="n">
        <f aca="false">K157*L157</f>
        <v>488.8</v>
      </c>
      <c r="U157" s="25" t="n">
        <f aca="false">M157-T157</f>
        <v>0</v>
      </c>
      <c r="V157" s="25" t="n">
        <f aca="false">M157+N157</f>
        <v>551.56</v>
      </c>
      <c r="W157" s="25" t="n">
        <f aca="false">O157-V157</f>
        <v>0</v>
      </c>
      <c r="X157" s="22" t="str">
        <f aca="false">IF(OR(ABS(S157)&gt;0.005,ABS(U157)&gt;0.005,ABS(W157)&gt;0.005),"Subledger arithmetic error","OK")</f>
        <v>OK</v>
      </c>
      <c r="Y157" s="22" t="str">
        <f aca="false">IF(X157="OK","","Priority 3")</f>
        <v/>
      </c>
    </row>
    <row r="158" customFormat="false" ht="15" hidden="false" customHeight="false" outlineLevel="0" collapsed="false">
      <c r="A158" s="22" t="s">
        <v>11719</v>
      </c>
      <c r="B158" s="23" t="n">
        <v>46235</v>
      </c>
      <c r="C158" s="22" t="s">
        <v>11720</v>
      </c>
      <c r="D158" s="22" t="s">
        <v>5792</v>
      </c>
      <c r="E158" s="22" t="s">
        <v>7066</v>
      </c>
      <c r="F158" s="22" t="s">
        <v>198</v>
      </c>
      <c r="G158" s="22" t="s">
        <v>8601</v>
      </c>
      <c r="H158" s="22" t="s">
        <v>11406</v>
      </c>
      <c r="I158" s="22" t="n">
        <v>40</v>
      </c>
      <c r="J158" s="22" t="n">
        <v>1</v>
      </c>
      <c r="K158" s="22" t="n">
        <v>40</v>
      </c>
      <c r="L158" s="25" t="n">
        <v>10.4</v>
      </c>
      <c r="M158" s="25" t="n">
        <v>416</v>
      </c>
      <c r="N158" s="25" t="n">
        <v>53.41</v>
      </c>
      <c r="O158" s="25" t="n">
        <v>469.41</v>
      </c>
      <c r="P158" s="22" t="s">
        <v>11407</v>
      </c>
      <c r="Q158" s="23" t="n">
        <v>46249</v>
      </c>
      <c r="R158" s="22" t="n">
        <f aca="false">I158*J158</f>
        <v>40</v>
      </c>
      <c r="S158" s="25" t="n">
        <f aca="false">K158-R158</f>
        <v>0</v>
      </c>
      <c r="T158" s="25" t="n">
        <f aca="false">K158*L158</f>
        <v>416</v>
      </c>
      <c r="U158" s="25" t="n">
        <f aca="false">M158-T158</f>
        <v>0</v>
      </c>
      <c r="V158" s="25" t="n">
        <f aca="false">M158+N158</f>
        <v>469.41</v>
      </c>
      <c r="W158" s="25" t="n">
        <f aca="false">O158-V158</f>
        <v>0</v>
      </c>
      <c r="X158" s="22" t="str">
        <f aca="false">IF(OR(ABS(S158)&gt;0.005,ABS(U158)&gt;0.005,ABS(W158)&gt;0.005),"Subledger arithmetic error","OK")</f>
        <v>OK</v>
      </c>
      <c r="Y158" s="22" t="str">
        <f aca="false">IF(X158="OK","","Priority 3")</f>
        <v/>
      </c>
    </row>
    <row r="159" customFormat="false" ht="15" hidden="false" customHeight="false" outlineLevel="0" collapsed="false">
      <c r="A159" s="22" t="s">
        <v>11721</v>
      </c>
      <c r="B159" s="23" t="n">
        <v>46235</v>
      </c>
      <c r="C159" s="22" t="s">
        <v>11722</v>
      </c>
      <c r="D159" s="22" t="s">
        <v>5471</v>
      </c>
      <c r="E159" s="22" t="s">
        <v>7069</v>
      </c>
      <c r="F159" s="22" t="s">
        <v>198</v>
      </c>
      <c r="G159" s="22" t="s">
        <v>8601</v>
      </c>
      <c r="H159" s="22" t="s">
        <v>11406</v>
      </c>
      <c r="I159" s="22" t="n">
        <v>48</v>
      </c>
      <c r="J159" s="22" t="n">
        <v>1</v>
      </c>
      <c r="K159" s="22" t="n">
        <v>48</v>
      </c>
      <c r="L159" s="25" t="n">
        <v>10.4</v>
      </c>
      <c r="M159" s="25" t="n">
        <v>499.2</v>
      </c>
      <c r="N159" s="25" t="n">
        <v>64.1</v>
      </c>
      <c r="O159" s="25" t="n">
        <v>563.3</v>
      </c>
      <c r="P159" s="22" t="s">
        <v>11407</v>
      </c>
      <c r="Q159" s="23" t="n">
        <v>46249</v>
      </c>
      <c r="R159" s="22" t="n">
        <f aca="false">I159*J159</f>
        <v>48</v>
      </c>
      <c r="S159" s="25" t="n">
        <f aca="false">K159-R159</f>
        <v>0</v>
      </c>
      <c r="T159" s="25" t="n">
        <f aca="false">K159*L159</f>
        <v>499.2</v>
      </c>
      <c r="U159" s="25" t="n">
        <f aca="false">M159-T159</f>
        <v>0</v>
      </c>
      <c r="V159" s="25" t="n">
        <f aca="false">M159+N159</f>
        <v>563.3</v>
      </c>
      <c r="W159" s="25" t="n">
        <f aca="false">O159-V159</f>
        <v>0</v>
      </c>
      <c r="X159" s="22" t="str">
        <f aca="false">IF(OR(ABS(S159)&gt;0.005,ABS(U159)&gt;0.005,ABS(W159)&gt;0.005),"Subledger arithmetic error","OK")</f>
        <v>OK</v>
      </c>
      <c r="Y159" s="22" t="str">
        <f aca="false">IF(X159="OK","","Priority 3")</f>
        <v/>
      </c>
    </row>
    <row r="160" customFormat="false" ht="15" hidden="false" customHeight="false" outlineLevel="0" collapsed="false">
      <c r="A160" s="22" t="s">
        <v>11723</v>
      </c>
      <c r="B160" s="23" t="n">
        <v>46235</v>
      </c>
      <c r="C160" s="22" t="s">
        <v>11724</v>
      </c>
      <c r="D160" s="22" t="s">
        <v>3178</v>
      </c>
      <c r="E160" s="22" t="s">
        <v>7073</v>
      </c>
      <c r="F160" s="22" t="s">
        <v>198</v>
      </c>
      <c r="G160" s="22" t="s">
        <v>8601</v>
      </c>
      <c r="H160" s="22" t="s">
        <v>11406</v>
      </c>
      <c r="I160" s="22" t="n">
        <v>40</v>
      </c>
      <c r="J160" s="22" t="n">
        <v>1</v>
      </c>
      <c r="K160" s="22" t="n">
        <v>40</v>
      </c>
      <c r="L160" s="25" t="n">
        <v>10.4</v>
      </c>
      <c r="M160" s="25" t="n">
        <v>416</v>
      </c>
      <c r="N160" s="25" t="n">
        <v>53.41</v>
      </c>
      <c r="O160" s="25" t="n">
        <v>469.41</v>
      </c>
      <c r="P160" s="22" t="s">
        <v>11407</v>
      </c>
      <c r="Q160" s="23" t="n">
        <v>46249</v>
      </c>
      <c r="R160" s="22" t="n">
        <f aca="false">I160*J160</f>
        <v>40</v>
      </c>
      <c r="S160" s="25" t="n">
        <f aca="false">K160-R160</f>
        <v>0</v>
      </c>
      <c r="T160" s="25" t="n">
        <f aca="false">K160*L160</f>
        <v>416</v>
      </c>
      <c r="U160" s="25" t="n">
        <f aca="false">M160-T160</f>
        <v>0</v>
      </c>
      <c r="V160" s="25" t="n">
        <f aca="false">M160+N160</f>
        <v>469.41</v>
      </c>
      <c r="W160" s="25" t="n">
        <f aca="false">O160-V160</f>
        <v>0</v>
      </c>
      <c r="X160" s="22" t="str">
        <f aca="false">IF(OR(ABS(S160)&gt;0.005,ABS(U160)&gt;0.005,ABS(W160)&gt;0.005),"Subledger arithmetic error","OK")</f>
        <v>OK</v>
      </c>
      <c r="Y160" s="22" t="str">
        <f aca="false">IF(X160="OK","","Priority 3")</f>
        <v/>
      </c>
    </row>
    <row r="161" customFormat="false" ht="15" hidden="false" customHeight="false" outlineLevel="0" collapsed="false">
      <c r="A161" s="22" t="s">
        <v>11725</v>
      </c>
      <c r="B161" s="23" t="n">
        <v>46235</v>
      </c>
      <c r="C161" s="22" t="s">
        <v>11726</v>
      </c>
      <c r="D161" s="22" t="s">
        <v>4262</v>
      </c>
      <c r="E161" s="22" t="s">
        <v>7076</v>
      </c>
      <c r="F161" s="22" t="s">
        <v>198</v>
      </c>
      <c r="G161" s="22" t="s">
        <v>8601</v>
      </c>
      <c r="H161" s="22" t="s">
        <v>11406</v>
      </c>
      <c r="I161" s="22" t="n">
        <v>56</v>
      </c>
      <c r="J161" s="22" t="n">
        <v>1</v>
      </c>
      <c r="K161" s="22" t="n">
        <v>56</v>
      </c>
      <c r="L161" s="25" t="n">
        <v>10.4</v>
      </c>
      <c r="M161" s="25" t="n">
        <v>582.4</v>
      </c>
      <c r="N161" s="25" t="n">
        <v>74.78</v>
      </c>
      <c r="O161" s="25" t="n">
        <v>657.18</v>
      </c>
      <c r="P161" s="22" t="s">
        <v>11407</v>
      </c>
      <c r="Q161" s="23" t="n">
        <v>46249</v>
      </c>
      <c r="R161" s="22" t="n">
        <f aca="false">I161*J161</f>
        <v>56</v>
      </c>
      <c r="S161" s="25" t="n">
        <f aca="false">K161-R161</f>
        <v>0</v>
      </c>
      <c r="T161" s="25" t="n">
        <f aca="false">K161*L161</f>
        <v>582.4</v>
      </c>
      <c r="U161" s="25" t="n">
        <f aca="false">M161-T161</f>
        <v>0</v>
      </c>
      <c r="V161" s="25" t="n">
        <f aca="false">M161+N161</f>
        <v>657.18</v>
      </c>
      <c r="W161" s="25" t="n">
        <f aca="false">O161-V161</f>
        <v>0</v>
      </c>
      <c r="X161" s="22" t="str">
        <f aca="false">IF(OR(ABS(S161)&gt;0.005,ABS(U161)&gt;0.005,ABS(W161)&gt;0.005),"Subledger arithmetic error","OK")</f>
        <v>OK</v>
      </c>
      <c r="Y161" s="22" t="str">
        <f aca="false">IF(X161="OK","","Priority 3")</f>
        <v/>
      </c>
    </row>
    <row r="162" customFormat="false" ht="15" hidden="false" customHeight="false" outlineLevel="0" collapsed="false">
      <c r="A162" s="22" t="s">
        <v>11727</v>
      </c>
      <c r="B162" s="23" t="n">
        <v>46235</v>
      </c>
      <c r="C162" s="22" t="s">
        <v>11728</v>
      </c>
      <c r="D162" s="22" t="s">
        <v>4008</v>
      </c>
      <c r="E162" s="22" t="s">
        <v>7079</v>
      </c>
      <c r="F162" s="22" t="s">
        <v>198</v>
      </c>
      <c r="G162" s="22" t="s">
        <v>8601</v>
      </c>
      <c r="H162" s="22" t="s">
        <v>11406</v>
      </c>
      <c r="I162" s="22" t="n">
        <v>41</v>
      </c>
      <c r="J162" s="22" t="n">
        <v>1</v>
      </c>
      <c r="K162" s="22" t="n">
        <v>41</v>
      </c>
      <c r="L162" s="25" t="n">
        <v>10.4</v>
      </c>
      <c r="M162" s="25" t="n">
        <v>426.4</v>
      </c>
      <c r="N162" s="25" t="n">
        <v>54.75</v>
      </c>
      <c r="O162" s="25" t="n">
        <v>481.15</v>
      </c>
      <c r="P162" s="22" t="s">
        <v>11407</v>
      </c>
      <c r="Q162" s="23" t="n">
        <v>46249</v>
      </c>
      <c r="R162" s="22" t="n">
        <f aca="false">I162*J162</f>
        <v>41</v>
      </c>
      <c r="S162" s="25" t="n">
        <f aca="false">K162-R162</f>
        <v>0</v>
      </c>
      <c r="T162" s="25" t="n">
        <f aca="false">K162*L162</f>
        <v>426.4</v>
      </c>
      <c r="U162" s="25" t="n">
        <f aca="false">M162-T162</f>
        <v>0</v>
      </c>
      <c r="V162" s="25" t="n">
        <f aca="false">M162+N162</f>
        <v>481.15</v>
      </c>
      <c r="W162" s="25" t="n">
        <f aca="false">O162-V162</f>
        <v>0</v>
      </c>
      <c r="X162" s="22" t="str">
        <f aca="false">IF(OR(ABS(S162)&gt;0.005,ABS(U162)&gt;0.005,ABS(W162)&gt;0.005),"Subledger arithmetic error","OK")</f>
        <v>OK</v>
      </c>
      <c r="Y162" s="22" t="str">
        <f aca="false">IF(X162="OK","","Priority 3")</f>
        <v/>
      </c>
    </row>
    <row r="163" customFormat="false" ht="15" hidden="false" customHeight="false" outlineLevel="0" collapsed="false">
      <c r="A163" s="22" t="s">
        <v>11729</v>
      </c>
      <c r="B163" s="23" t="n">
        <v>46235</v>
      </c>
      <c r="C163" s="22" t="s">
        <v>11730</v>
      </c>
      <c r="D163" s="22" t="s">
        <v>5375</v>
      </c>
      <c r="E163" s="22" t="s">
        <v>7081</v>
      </c>
      <c r="F163" s="22" t="s">
        <v>198</v>
      </c>
      <c r="G163" s="22" t="s">
        <v>8601</v>
      </c>
      <c r="H163" s="22" t="s">
        <v>11406</v>
      </c>
      <c r="I163" s="22" t="n">
        <v>43</v>
      </c>
      <c r="J163" s="22" t="n">
        <v>1</v>
      </c>
      <c r="K163" s="22" t="n">
        <v>43</v>
      </c>
      <c r="L163" s="25" t="n">
        <v>10.4</v>
      </c>
      <c r="M163" s="25" t="n">
        <v>447.2</v>
      </c>
      <c r="N163" s="25" t="n">
        <v>57.42</v>
      </c>
      <c r="O163" s="25" t="n">
        <v>504.62</v>
      </c>
      <c r="P163" s="22" t="s">
        <v>11407</v>
      </c>
      <c r="Q163" s="23" t="n">
        <v>46249</v>
      </c>
      <c r="R163" s="22" t="n">
        <f aca="false">I163*J163</f>
        <v>43</v>
      </c>
      <c r="S163" s="25" t="n">
        <f aca="false">K163-R163</f>
        <v>0</v>
      </c>
      <c r="T163" s="25" t="n">
        <f aca="false">K163*L163</f>
        <v>447.2</v>
      </c>
      <c r="U163" s="25" t="n">
        <f aca="false">M163-T163</f>
        <v>0</v>
      </c>
      <c r="V163" s="25" t="n">
        <f aca="false">M163+N163</f>
        <v>504.62</v>
      </c>
      <c r="W163" s="25" t="n">
        <f aca="false">O163-V163</f>
        <v>0</v>
      </c>
      <c r="X163" s="22" t="str">
        <f aca="false">IF(OR(ABS(S163)&gt;0.005,ABS(U163)&gt;0.005,ABS(W163)&gt;0.005),"Subledger arithmetic error","OK")</f>
        <v>OK</v>
      </c>
      <c r="Y163" s="22" t="str">
        <f aca="false">IF(X163="OK","","Priority 3")</f>
        <v/>
      </c>
    </row>
    <row r="164" customFormat="false" ht="15" hidden="false" customHeight="false" outlineLevel="0" collapsed="false">
      <c r="A164" s="22" t="s">
        <v>11731</v>
      </c>
      <c r="B164" s="23" t="n">
        <v>46235</v>
      </c>
      <c r="C164" s="22" t="s">
        <v>11732</v>
      </c>
      <c r="D164" s="22" t="s">
        <v>3093</v>
      </c>
      <c r="E164" s="22" t="s">
        <v>7083</v>
      </c>
      <c r="F164" s="22" t="s">
        <v>198</v>
      </c>
      <c r="G164" s="22" t="s">
        <v>8601</v>
      </c>
      <c r="H164" s="22" t="s">
        <v>11406</v>
      </c>
      <c r="I164" s="22" t="n">
        <v>35</v>
      </c>
      <c r="J164" s="22" t="n">
        <v>1</v>
      </c>
      <c r="K164" s="22" t="n">
        <v>35</v>
      </c>
      <c r="L164" s="25" t="n">
        <v>10.4</v>
      </c>
      <c r="M164" s="25" t="n">
        <v>364</v>
      </c>
      <c r="N164" s="25" t="n">
        <v>46.74</v>
      </c>
      <c r="O164" s="25" t="n">
        <v>410.74</v>
      </c>
      <c r="P164" s="22" t="s">
        <v>11407</v>
      </c>
      <c r="Q164" s="23" t="n">
        <v>46249</v>
      </c>
      <c r="R164" s="22" t="n">
        <f aca="false">I164*J164</f>
        <v>35</v>
      </c>
      <c r="S164" s="25" t="n">
        <f aca="false">K164-R164</f>
        <v>0</v>
      </c>
      <c r="T164" s="25" t="n">
        <f aca="false">K164*L164</f>
        <v>364</v>
      </c>
      <c r="U164" s="25" t="n">
        <f aca="false">M164-T164</f>
        <v>0</v>
      </c>
      <c r="V164" s="25" t="n">
        <f aca="false">M164+N164</f>
        <v>410.74</v>
      </c>
      <c r="W164" s="25" t="n">
        <f aca="false">O164-V164</f>
        <v>0</v>
      </c>
      <c r="X164" s="22" t="str">
        <f aca="false">IF(OR(ABS(S164)&gt;0.005,ABS(U164)&gt;0.005,ABS(W164)&gt;0.005),"Subledger arithmetic error","OK")</f>
        <v>OK</v>
      </c>
      <c r="Y164" s="22" t="str">
        <f aca="false">IF(X164="OK","","Priority 3")</f>
        <v/>
      </c>
    </row>
    <row r="165" customFormat="false" ht="15" hidden="false" customHeight="false" outlineLevel="0" collapsed="false">
      <c r="A165" s="22" t="s">
        <v>11733</v>
      </c>
      <c r="B165" s="23" t="n">
        <v>46235</v>
      </c>
      <c r="C165" s="22" t="s">
        <v>11734</v>
      </c>
      <c r="D165" s="22" t="s">
        <v>2854</v>
      </c>
      <c r="E165" s="22" t="s">
        <v>7088</v>
      </c>
      <c r="F165" s="22" t="s">
        <v>198</v>
      </c>
      <c r="G165" s="22" t="s">
        <v>8601</v>
      </c>
      <c r="H165" s="22" t="s">
        <v>11406</v>
      </c>
      <c r="I165" s="22" t="n">
        <v>52</v>
      </c>
      <c r="J165" s="22" t="n">
        <v>1</v>
      </c>
      <c r="K165" s="22" t="n">
        <v>52</v>
      </c>
      <c r="L165" s="25" t="n">
        <v>10.4</v>
      </c>
      <c r="M165" s="25" t="n">
        <v>540.8</v>
      </c>
      <c r="N165" s="25" t="n">
        <v>69.44</v>
      </c>
      <c r="O165" s="25" t="n">
        <v>610.24</v>
      </c>
      <c r="P165" s="22" t="s">
        <v>11407</v>
      </c>
      <c r="Q165" s="23" t="n">
        <v>46249</v>
      </c>
      <c r="R165" s="22" t="n">
        <f aca="false">I165*J165</f>
        <v>52</v>
      </c>
      <c r="S165" s="25" t="n">
        <f aca="false">K165-R165</f>
        <v>0</v>
      </c>
      <c r="T165" s="25" t="n">
        <f aca="false">K165*L165</f>
        <v>540.8</v>
      </c>
      <c r="U165" s="25" t="n">
        <f aca="false">M165-T165</f>
        <v>0</v>
      </c>
      <c r="V165" s="25" t="n">
        <f aca="false">M165+N165</f>
        <v>610.24</v>
      </c>
      <c r="W165" s="25" t="n">
        <f aca="false">O165-V165</f>
        <v>0</v>
      </c>
      <c r="X165" s="22" t="str">
        <f aca="false">IF(OR(ABS(S165)&gt;0.005,ABS(U165)&gt;0.005,ABS(W165)&gt;0.005),"Subledger arithmetic error","OK")</f>
        <v>OK</v>
      </c>
      <c r="Y165" s="22" t="str">
        <f aca="false">IF(X165="OK","","Priority 3")</f>
        <v/>
      </c>
    </row>
    <row r="166" customFormat="false" ht="15" hidden="false" customHeight="false" outlineLevel="0" collapsed="false">
      <c r="A166" s="22" t="s">
        <v>11735</v>
      </c>
      <c r="B166" s="23" t="n">
        <v>46235</v>
      </c>
      <c r="C166" s="22" t="s">
        <v>11736</v>
      </c>
      <c r="D166" s="22" t="s">
        <v>3733</v>
      </c>
      <c r="E166" s="22" t="s">
        <v>7091</v>
      </c>
      <c r="F166" s="22" t="s">
        <v>198</v>
      </c>
      <c r="G166" s="22" t="s">
        <v>8601</v>
      </c>
      <c r="H166" s="22" t="s">
        <v>11406</v>
      </c>
      <c r="I166" s="22" t="n">
        <v>28</v>
      </c>
      <c r="J166" s="22" t="n">
        <v>1</v>
      </c>
      <c r="K166" s="22" t="n">
        <v>28</v>
      </c>
      <c r="L166" s="25" t="n">
        <v>10.4</v>
      </c>
      <c r="M166" s="25" t="n">
        <v>291.2</v>
      </c>
      <c r="N166" s="25" t="n">
        <v>37.39</v>
      </c>
      <c r="O166" s="25" t="n">
        <v>328.59</v>
      </c>
      <c r="P166" s="22" t="s">
        <v>11407</v>
      </c>
      <c r="Q166" s="23" t="n">
        <v>46249</v>
      </c>
      <c r="R166" s="22" t="n">
        <f aca="false">I166*J166</f>
        <v>28</v>
      </c>
      <c r="S166" s="25" t="n">
        <f aca="false">K166-R166</f>
        <v>0</v>
      </c>
      <c r="T166" s="25" t="n">
        <f aca="false">K166*L166</f>
        <v>291.2</v>
      </c>
      <c r="U166" s="25" t="n">
        <f aca="false">M166-T166</f>
        <v>0</v>
      </c>
      <c r="V166" s="25" t="n">
        <f aca="false">M166+N166</f>
        <v>328.59</v>
      </c>
      <c r="W166" s="25" t="n">
        <f aca="false">O166-V166</f>
        <v>0</v>
      </c>
      <c r="X166" s="22" t="str">
        <f aca="false">IF(OR(ABS(S166)&gt;0.005,ABS(U166)&gt;0.005,ABS(W166)&gt;0.005),"Subledger arithmetic error","OK")</f>
        <v>OK</v>
      </c>
      <c r="Y166" s="22" t="str">
        <f aca="false">IF(X166="OK","","Priority 3")</f>
        <v/>
      </c>
    </row>
    <row r="167" customFormat="false" ht="15" hidden="false" customHeight="false" outlineLevel="0" collapsed="false">
      <c r="A167" s="22" t="s">
        <v>11737</v>
      </c>
      <c r="B167" s="23" t="n">
        <v>46235</v>
      </c>
      <c r="C167" s="22" t="s">
        <v>11738</v>
      </c>
      <c r="D167" s="22" t="s">
        <v>3600</v>
      </c>
      <c r="E167" s="22" t="s">
        <v>7093</v>
      </c>
      <c r="F167" s="22" t="s">
        <v>198</v>
      </c>
      <c r="G167" s="22" t="s">
        <v>8601</v>
      </c>
      <c r="H167" s="22" t="s">
        <v>11406</v>
      </c>
      <c r="I167" s="22" t="n">
        <v>38</v>
      </c>
      <c r="J167" s="22" t="n">
        <v>1</v>
      </c>
      <c r="K167" s="22" t="n">
        <v>38</v>
      </c>
      <c r="L167" s="25" t="n">
        <v>10.4</v>
      </c>
      <c r="M167" s="25" t="n">
        <v>395.2</v>
      </c>
      <c r="N167" s="25" t="n">
        <v>50.74</v>
      </c>
      <c r="O167" s="25" t="n">
        <v>445.94</v>
      </c>
      <c r="P167" s="22" t="s">
        <v>11407</v>
      </c>
      <c r="Q167" s="23" t="n">
        <v>46249</v>
      </c>
      <c r="R167" s="22" t="n">
        <f aca="false">I167*J167</f>
        <v>38</v>
      </c>
      <c r="S167" s="25" t="n">
        <f aca="false">K167-R167</f>
        <v>0</v>
      </c>
      <c r="T167" s="25" t="n">
        <f aca="false">K167*L167</f>
        <v>395.2</v>
      </c>
      <c r="U167" s="25" t="n">
        <f aca="false">M167-T167</f>
        <v>0</v>
      </c>
      <c r="V167" s="25" t="n">
        <f aca="false">M167+N167</f>
        <v>445.94</v>
      </c>
      <c r="W167" s="25" t="n">
        <f aca="false">O167-V167</f>
        <v>0</v>
      </c>
      <c r="X167" s="22" t="str">
        <f aca="false">IF(OR(ABS(S167)&gt;0.005,ABS(U167)&gt;0.005,ABS(W167)&gt;0.005),"Subledger arithmetic error","OK")</f>
        <v>OK</v>
      </c>
      <c r="Y167" s="22" t="str">
        <f aca="false">IF(X167="OK","","Priority 3")</f>
        <v/>
      </c>
    </row>
    <row r="168" customFormat="false" ht="15" hidden="false" customHeight="false" outlineLevel="0" collapsed="false">
      <c r="A168" s="22" t="s">
        <v>11739</v>
      </c>
      <c r="B168" s="23" t="n">
        <v>46235</v>
      </c>
      <c r="C168" s="22" t="s">
        <v>11740</v>
      </c>
      <c r="D168" s="22" t="s">
        <v>3522</v>
      </c>
      <c r="E168" s="22" t="s">
        <v>7096</v>
      </c>
      <c r="F168" s="22" t="s">
        <v>198</v>
      </c>
      <c r="G168" s="22" t="s">
        <v>8601</v>
      </c>
      <c r="H168" s="22" t="s">
        <v>11406</v>
      </c>
      <c r="I168" s="22" t="n">
        <v>35</v>
      </c>
      <c r="J168" s="22" t="n">
        <v>1</v>
      </c>
      <c r="K168" s="22" t="n">
        <v>35</v>
      </c>
      <c r="L168" s="25" t="n">
        <v>10.4</v>
      </c>
      <c r="M168" s="25" t="n">
        <v>364</v>
      </c>
      <c r="N168" s="25" t="n">
        <v>46.74</v>
      </c>
      <c r="O168" s="25" t="n">
        <v>410.74</v>
      </c>
      <c r="P168" s="22" t="s">
        <v>11407</v>
      </c>
      <c r="Q168" s="23" t="n">
        <v>46249</v>
      </c>
      <c r="R168" s="22" t="n">
        <f aca="false">I168*J168</f>
        <v>35</v>
      </c>
      <c r="S168" s="25" t="n">
        <f aca="false">K168-R168</f>
        <v>0</v>
      </c>
      <c r="T168" s="25" t="n">
        <f aca="false">K168*L168</f>
        <v>364</v>
      </c>
      <c r="U168" s="25" t="n">
        <f aca="false">M168-T168</f>
        <v>0</v>
      </c>
      <c r="V168" s="25" t="n">
        <f aca="false">M168+N168</f>
        <v>410.74</v>
      </c>
      <c r="W168" s="25" t="n">
        <f aca="false">O168-V168</f>
        <v>0</v>
      </c>
      <c r="X168" s="22" t="str">
        <f aca="false">IF(OR(ABS(S168)&gt;0.005,ABS(U168)&gt;0.005,ABS(W168)&gt;0.005),"Subledger arithmetic error","OK")</f>
        <v>OK</v>
      </c>
      <c r="Y168" s="22" t="str">
        <f aca="false">IF(X168="OK","","Priority 3")</f>
        <v/>
      </c>
    </row>
    <row r="169" customFormat="false" ht="15" hidden="false" customHeight="false" outlineLevel="0" collapsed="false">
      <c r="A169" s="22" t="s">
        <v>11741</v>
      </c>
      <c r="B169" s="23" t="n">
        <v>46235</v>
      </c>
      <c r="C169" s="22" t="s">
        <v>11742</v>
      </c>
      <c r="D169" s="22" t="s">
        <v>2521</v>
      </c>
      <c r="E169" s="22" t="s">
        <v>7099</v>
      </c>
      <c r="F169" s="22" t="s">
        <v>198</v>
      </c>
      <c r="G169" s="22" t="s">
        <v>8601</v>
      </c>
      <c r="H169" s="22" t="s">
        <v>11406</v>
      </c>
      <c r="I169" s="22" t="n">
        <v>50</v>
      </c>
      <c r="J169" s="22" t="n">
        <v>1</v>
      </c>
      <c r="K169" s="22" t="n">
        <v>50</v>
      </c>
      <c r="L169" s="25" t="n">
        <v>10.4</v>
      </c>
      <c r="M169" s="25" t="n">
        <v>520</v>
      </c>
      <c r="N169" s="25" t="n">
        <v>66.77</v>
      </c>
      <c r="O169" s="25" t="n">
        <v>586.77</v>
      </c>
      <c r="P169" s="22" t="s">
        <v>11407</v>
      </c>
      <c r="Q169" s="23" t="n">
        <v>46249</v>
      </c>
      <c r="R169" s="22" t="n">
        <f aca="false">I169*J169</f>
        <v>50</v>
      </c>
      <c r="S169" s="25" t="n">
        <f aca="false">K169-R169</f>
        <v>0</v>
      </c>
      <c r="T169" s="25" t="n">
        <f aca="false">K169*L169</f>
        <v>520</v>
      </c>
      <c r="U169" s="25" t="n">
        <f aca="false">M169-T169</f>
        <v>0</v>
      </c>
      <c r="V169" s="25" t="n">
        <f aca="false">M169+N169</f>
        <v>586.77</v>
      </c>
      <c r="W169" s="25" t="n">
        <f aca="false">O169-V169</f>
        <v>0</v>
      </c>
      <c r="X169" s="22" t="str">
        <f aca="false">IF(OR(ABS(S169)&gt;0.005,ABS(U169)&gt;0.005,ABS(W169)&gt;0.005),"Subledger arithmetic error","OK")</f>
        <v>OK</v>
      </c>
      <c r="Y169" s="22" t="str">
        <f aca="false">IF(X169="OK","","Priority 3")</f>
        <v/>
      </c>
    </row>
    <row r="170" customFormat="false" ht="15" hidden="false" customHeight="false" outlineLevel="0" collapsed="false">
      <c r="A170" s="22" t="s">
        <v>11743</v>
      </c>
      <c r="B170" s="23" t="n">
        <v>46235</v>
      </c>
      <c r="C170" s="22" t="s">
        <v>11744</v>
      </c>
      <c r="D170" s="22" t="s">
        <v>5225</v>
      </c>
      <c r="E170" s="22" t="s">
        <v>7101</v>
      </c>
      <c r="F170" s="22" t="s">
        <v>198</v>
      </c>
      <c r="G170" s="22" t="s">
        <v>8601</v>
      </c>
      <c r="H170" s="22" t="s">
        <v>11406</v>
      </c>
      <c r="I170" s="22" t="n">
        <v>48</v>
      </c>
      <c r="J170" s="22" t="n">
        <v>1</v>
      </c>
      <c r="K170" s="22" t="n">
        <v>48</v>
      </c>
      <c r="L170" s="25" t="n">
        <v>10.4</v>
      </c>
      <c r="M170" s="25" t="n">
        <v>499.2</v>
      </c>
      <c r="N170" s="25" t="n">
        <v>64.1</v>
      </c>
      <c r="O170" s="25" t="n">
        <v>563.3</v>
      </c>
      <c r="P170" s="22" t="s">
        <v>11407</v>
      </c>
      <c r="Q170" s="23" t="n">
        <v>46249</v>
      </c>
      <c r="R170" s="22" t="n">
        <f aca="false">I170*J170</f>
        <v>48</v>
      </c>
      <c r="S170" s="25" t="n">
        <f aca="false">K170-R170</f>
        <v>0</v>
      </c>
      <c r="T170" s="25" t="n">
        <f aca="false">K170*L170</f>
        <v>499.2</v>
      </c>
      <c r="U170" s="25" t="n">
        <f aca="false">M170-T170</f>
        <v>0</v>
      </c>
      <c r="V170" s="25" t="n">
        <f aca="false">M170+N170</f>
        <v>563.3</v>
      </c>
      <c r="W170" s="25" t="n">
        <f aca="false">O170-V170</f>
        <v>0</v>
      </c>
      <c r="X170" s="22" t="str">
        <f aca="false">IF(OR(ABS(S170)&gt;0.005,ABS(U170)&gt;0.005,ABS(W170)&gt;0.005),"Subledger arithmetic error","OK")</f>
        <v>OK</v>
      </c>
      <c r="Y170" s="22" t="str">
        <f aca="false">IF(X170="OK","","Priority 3")</f>
        <v/>
      </c>
    </row>
    <row r="171" customFormat="false" ht="15" hidden="false" customHeight="false" outlineLevel="0" collapsed="false">
      <c r="A171" s="22" t="s">
        <v>11745</v>
      </c>
      <c r="B171" s="23" t="n">
        <v>46235</v>
      </c>
      <c r="C171" s="22" t="s">
        <v>11746</v>
      </c>
      <c r="D171" s="22" t="s">
        <v>5999</v>
      </c>
      <c r="E171" s="22" t="s">
        <v>7104</v>
      </c>
      <c r="F171" s="22" t="s">
        <v>198</v>
      </c>
      <c r="G171" s="22" t="s">
        <v>8601</v>
      </c>
      <c r="H171" s="22" t="s">
        <v>11406</v>
      </c>
      <c r="I171" s="22" t="n">
        <v>32</v>
      </c>
      <c r="J171" s="22" t="n">
        <v>1</v>
      </c>
      <c r="K171" s="22" t="n">
        <v>32</v>
      </c>
      <c r="L171" s="25" t="n">
        <v>10.4</v>
      </c>
      <c r="M171" s="25" t="n">
        <v>332.8</v>
      </c>
      <c r="N171" s="25" t="n">
        <v>42.73</v>
      </c>
      <c r="O171" s="25" t="n">
        <v>375.53</v>
      </c>
      <c r="P171" s="22" t="s">
        <v>11407</v>
      </c>
      <c r="Q171" s="23" t="n">
        <v>46249</v>
      </c>
      <c r="R171" s="22" t="n">
        <f aca="false">I171*J171</f>
        <v>32</v>
      </c>
      <c r="S171" s="25" t="n">
        <f aca="false">K171-R171</f>
        <v>0</v>
      </c>
      <c r="T171" s="25" t="n">
        <f aca="false">K171*L171</f>
        <v>332.8</v>
      </c>
      <c r="U171" s="25" t="n">
        <f aca="false">M171-T171</f>
        <v>0</v>
      </c>
      <c r="V171" s="25" t="n">
        <f aca="false">M171+N171</f>
        <v>375.53</v>
      </c>
      <c r="W171" s="25" t="n">
        <f aca="false">O171-V171</f>
        <v>0</v>
      </c>
      <c r="X171" s="22" t="str">
        <f aca="false">IF(OR(ABS(S171)&gt;0.005,ABS(U171)&gt;0.005,ABS(W171)&gt;0.005),"Subledger arithmetic error","OK")</f>
        <v>OK</v>
      </c>
      <c r="Y171" s="22" t="str">
        <f aca="false">IF(X171="OK","","Priority 3")</f>
        <v/>
      </c>
    </row>
    <row r="172" customFormat="false" ht="15" hidden="false" customHeight="false" outlineLevel="0" collapsed="false">
      <c r="A172" s="22" t="s">
        <v>11747</v>
      </c>
      <c r="B172" s="23" t="n">
        <v>46235</v>
      </c>
      <c r="C172" s="22" t="s">
        <v>11748</v>
      </c>
      <c r="D172" s="22" t="s">
        <v>4538</v>
      </c>
      <c r="E172" s="22" t="s">
        <v>7107</v>
      </c>
      <c r="F172" s="22" t="s">
        <v>198</v>
      </c>
      <c r="G172" s="22" t="s">
        <v>8601</v>
      </c>
      <c r="H172" s="22" t="s">
        <v>11406</v>
      </c>
      <c r="I172" s="22" t="n">
        <v>61</v>
      </c>
      <c r="J172" s="22" t="n">
        <v>1</v>
      </c>
      <c r="K172" s="22" t="n">
        <v>61</v>
      </c>
      <c r="L172" s="25" t="n">
        <v>10.4</v>
      </c>
      <c r="M172" s="25" t="n">
        <v>634.4</v>
      </c>
      <c r="N172" s="25" t="n">
        <v>81.46</v>
      </c>
      <c r="O172" s="25" t="n">
        <v>715.86</v>
      </c>
      <c r="P172" s="22" t="s">
        <v>11410</v>
      </c>
      <c r="Q172" s="23" t="n">
        <v>46249</v>
      </c>
      <c r="R172" s="22" t="n">
        <f aca="false">I172*J172</f>
        <v>61</v>
      </c>
      <c r="S172" s="25" t="n">
        <f aca="false">K172-R172</f>
        <v>0</v>
      </c>
      <c r="T172" s="25" t="n">
        <f aca="false">K172*L172</f>
        <v>634.4</v>
      </c>
      <c r="U172" s="25" t="n">
        <f aca="false">M172-T172</f>
        <v>0</v>
      </c>
      <c r="V172" s="25" t="n">
        <f aca="false">M172+N172</f>
        <v>715.86</v>
      </c>
      <c r="W172" s="25" t="n">
        <f aca="false">O172-V172</f>
        <v>0</v>
      </c>
      <c r="X172" s="22" t="str">
        <f aca="false">IF(OR(ABS(S172)&gt;0.005,ABS(U172)&gt;0.005,ABS(W172)&gt;0.005),"Subledger arithmetic error","OK")</f>
        <v>OK</v>
      </c>
      <c r="Y172" s="22" t="str">
        <f aca="false">IF(X172="OK","","Priority 3")</f>
        <v/>
      </c>
    </row>
    <row r="173" customFormat="false" ht="15" hidden="false" customHeight="false" outlineLevel="0" collapsed="false">
      <c r="A173" s="22" t="s">
        <v>11749</v>
      </c>
      <c r="B173" s="23" t="n">
        <v>46235</v>
      </c>
      <c r="C173" s="22" t="s">
        <v>11750</v>
      </c>
      <c r="D173" s="22" t="s">
        <v>3003</v>
      </c>
      <c r="E173" s="22" t="s">
        <v>7109</v>
      </c>
      <c r="F173" s="22" t="s">
        <v>198</v>
      </c>
      <c r="G173" s="22" t="s">
        <v>8601</v>
      </c>
      <c r="H173" s="22" t="s">
        <v>11406</v>
      </c>
      <c r="I173" s="22" t="n">
        <v>32</v>
      </c>
      <c r="J173" s="22" t="n">
        <v>1</v>
      </c>
      <c r="K173" s="22" t="n">
        <v>32</v>
      </c>
      <c r="L173" s="25" t="n">
        <v>10.4</v>
      </c>
      <c r="M173" s="25" t="n">
        <v>332.8</v>
      </c>
      <c r="N173" s="25" t="n">
        <v>42.73</v>
      </c>
      <c r="O173" s="25" t="n">
        <v>375.53</v>
      </c>
      <c r="P173" s="22" t="s">
        <v>11407</v>
      </c>
      <c r="Q173" s="23" t="n">
        <v>46249</v>
      </c>
      <c r="R173" s="22" t="n">
        <f aca="false">I173*J173</f>
        <v>32</v>
      </c>
      <c r="S173" s="25" t="n">
        <f aca="false">K173-R173</f>
        <v>0</v>
      </c>
      <c r="T173" s="25" t="n">
        <f aca="false">K173*L173</f>
        <v>332.8</v>
      </c>
      <c r="U173" s="25" t="n">
        <f aca="false">M173-T173</f>
        <v>0</v>
      </c>
      <c r="V173" s="25" t="n">
        <f aca="false">M173+N173</f>
        <v>375.53</v>
      </c>
      <c r="W173" s="25" t="n">
        <f aca="false">O173-V173</f>
        <v>0</v>
      </c>
      <c r="X173" s="22" t="str">
        <f aca="false">IF(OR(ABS(S173)&gt;0.005,ABS(U173)&gt;0.005,ABS(W173)&gt;0.005),"Subledger arithmetic error","OK")</f>
        <v>OK</v>
      </c>
      <c r="Y173" s="22" t="str">
        <f aca="false">IF(X173="OK","","Priority 3")</f>
        <v/>
      </c>
    </row>
    <row r="174" customFormat="false" ht="15" hidden="false" customHeight="false" outlineLevel="0" collapsed="false">
      <c r="A174" s="22" t="s">
        <v>11751</v>
      </c>
      <c r="B174" s="23" t="n">
        <v>46235</v>
      </c>
      <c r="C174" s="22" t="s">
        <v>11752</v>
      </c>
      <c r="D174" s="22" t="s">
        <v>481</v>
      </c>
      <c r="E174" s="22" t="s">
        <v>7112</v>
      </c>
      <c r="F174" s="22" t="s">
        <v>198</v>
      </c>
      <c r="G174" s="22" t="s">
        <v>8601</v>
      </c>
      <c r="H174" s="22" t="s">
        <v>11406</v>
      </c>
      <c r="I174" s="22" t="n">
        <v>44</v>
      </c>
      <c r="J174" s="22" t="n">
        <v>1</v>
      </c>
      <c r="K174" s="22" t="n">
        <v>44</v>
      </c>
      <c r="L174" s="25" t="n">
        <v>10.4</v>
      </c>
      <c r="M174" s="25" t="n">
        <v>457.6</v>
      </c>
      <c r="N174" s="25" t="n">
        <v>58.76</v>
      </c>
      <c r="O174" s="25" t="n">
        <v>516.36</v>
      </c>
      <c r="P174" s="22" t="s">
        <v>11407</v>
      </c>
      <c r="Q174" s="23" t="n">
        <v>46249</v>
      </c>
      <c r="R174" s="22" t="n">
        <f aca="false">I174*J174</f>
        <v>44</v>
      </c>
      <c r="S174" s="25" t="n">
        <f aca="false">K174-R174</f>
        <v>0</v>
      </c>
      <c r="T174" s="25" t="n">
        <f aca="false">K174*L174</f>
        <v>457.6</v>
      </c>
      <c r="U174" s="25" t="n">
        <f aca="false">M174-T174</f>
        <v>0</v>
      </c>
      <c r="V174" s="25" t="n">
        <f aca="false">M174+N174</f>
        <v>516.36</v>
      </c>
      <c r="W174" s="25" t="n">
        <f aca="false">O174-V174</f>
        <v>0</v>
      </c>
      <c r="X174" s="22" t="str">
        <f aca="false">IF(OR(ABS(S174)&gt;0.005,ABS(U174)&gt;0.005,ABS(W174)&gt;0.005),"Subledger arithmetic error","OK")</f>
        <v>OK</v>
      </c>
      <c r="Y174" s="22" t="str">
        <f aca="false">IF(X174="OK","","Priority 3")</f>
        <v/>
      </c>
    </row>
    <row r="175" customFormat="false" ht="15" hidden="false" customHeight="false" outlineLevel="0" collapsed="false">
      <c r="A175" s="22" t="s">
        <v>11753</v>
      </c>
      <c r="B175" s="23" t="n">
        <v>46235</v>
      </c>
      <c r="C175" s="22" t="s">
        <v>11754</v>
      </c>
      <c r="D175" s="22" t="s">
        <v>5487</v>
      </c>
      <c r="E175" s="22" t="s">
        <v>7114</v>
      </c>
      <c r="F175" s="22" t="s">
        <v>198</v>
      </c>
      <c r="G175" s="22" t="s">
        <v>8601</v>
      </c>
      <c r="H175" s="22" t="s">
        <v>11406</v>
      </c>
      <c r="I175" s="22" t="n">
        <v>54</v>
      </c>
      <c r="J175" s="22" t="n">
        <v>1</v>
      </c>
      <c r="K175" s="22" t="n">
        <v>54</v>
      </c>
      <c r="L175" s="25" t="n">
        <v>10.4</v>
      </c>
      <c r="M175" s="25" t="n">
        <v>561.6</v>
      </c>
      <c r="N175" s="25" t="n">
        <v>72.11</v>
      </c>
      <c r="O175" s="25" t="n">
        <v>633.71</v>
      </c>
      <c r="P175" s="22" t="s">
        <v>11407</v>
      </c>
      <c r="Q175" s="23" t="n">
        <v>46249</v>
      </c>
      <c r="R175" s="22" t="n">
        <f aca="false">I175*J175</f>
        <v>54</v>
      </c>
      <c r="S175" s="25" t="n">
        <f aca="false">K175-R175</f>
        <v>0</v>
      </c>
      <c r="T175" s="25" t="n">
        <f aca="false">K175*L175</f>
        <v>561.6</v>
      </c>
      <c r="U175" s="25" t="n">
        <f aca="false">M175-T175</f>
        <v>0</v>
      </c>
      <c r="V175" s="25" t="n">
        <f aca="false">M175+N175</f>
        <v>633.71</v>
      </c>
      <c r="W175" s="25" t="n">
        <f aca="false">O175-V175</f>
        <v>0</v>
      </c>
      <c r="X175" s="22" t="str">
        <f aca="false">IF(OR(ABS(S175)&gt;0.005,ABS(U175)&gt;0.005,ABS(W175)&gt;0.005),"Subledger arithmetic error","OK")</f>
        <v>OK</v>
      </c>
      <c r="Y175" s="22" t="str">
        <f aca="false">IF(X175="OK","","Priority 3")</f>
        <v/>
      </c>
    </row>
    <row r="176" customFormat="false" ht="15" hidden="false" customHeight="false" outlineLevel="0" collapsed="false">
      <c r="A176" s="22" t="s">
        <v>11755</v>
      </c>
      <c r="B176" s="23" t="n">
        <v>46235</v>
      </c>
      <c r="C176" s="22" t="s">
        <v>11756</v>
      </c>
      <c r="D176" s="22" t="s">
        <v>4175</v>
      </c>
      <c r="E176" s="22" t="s">
        <v>7117</v>
      </c>
      <c r="F176" s="22" t="s">
        <v>198</v>
      </c>
      <c r="G176" s="22" t="s">
        <v>8601</v>
      </c>
      <c r="H176" s="22" t="s">
        <v>11406</v>
      </c>
      <c r="I176" s="22" t="n">
        <v>61</v>
      </c>
      <c r="J176" s="22" t="n">
        <v>1</v>
      </c>
      <c r="K176" s="22" t="n">
        <v>61</v>
      </c>
      <c r="L176" s="25" t="n">
        <v>10.4</v>
      </c>
      <c r="M176" s="25" t="n">
        <v>634.4</v>
      </c>
      <c r="N176" s="25" t="n">
        <v>81.46</v>
      </c>
      <c r="O176" s="25" t="n">
        <v>715.86</v>
      </c>
      <c r="P176" s="22" t="s">
        <v>11407</v>
      </c>
      <c r="Q176" s="23" t="n">
        <v>46249</v>
      </c>
      <c r="R176" s="22" t="n">
        <f aca="false">I176*J176</f>
        <v>61</v>
      </c>
      <c r="S176" s="25" t="n">
        <f aca="false">K176-R176</f>
        <v>0</v>
      </c>
      <c r="T176" s="25" t="n">
        <f aca="false">K176*L176</f>
        <v>634.4</v>
      </c>
      <c r="U176" s="25" t="n">
        <f aca="false">M176-T176</f>
        <v>0</v>
      </c>
      <c r="V176" s="25" t="n">
        <f aca="false">M176+N176</f>
        <v>715.86</v>
      </c>
      <c r="W176" s="25" t="n">
        <f aca="false">O176-V176</f>
        <v>0</v>
      </c>
      <c r="X176" s="22" t="str">
        <f aca="false">IF(OR(ABS(S176)&gt;0.005,ABS(U176)&gt;0.005,ABS(W176)&gt;0.005),"Subledger arithmetic error","OK")</f>
        <v>OK</v>
      </c>
      <c r="Y176" s="22" t="str">
        <f aca="false">IF(X176="OK","","Priority 3")</f>
        <v/>
      </c>
    </row>
    <row r="177" customFormat="false" ht="15" hidden="false" customHeight="false" outlineLevel="0" collapsed="false">
      <c r="A177" s="22" t="s">
        <v>11757</v>
      </c>
      <c r="B177" s="23" t="n">
        <v>46235</v>
      </c>
      <c r="C177" s="22" t="s">
        <v>11758</v>
      </c>
      <c r="D177" s="22" t="s">
        <v>5379</v>
      </c>
      <c r="E177" s="22" t="s">
        <v>7119</v>
      </c>
      <c r="F177" s="22" t="s">
        <v>198</v>
      </c>
      <c r="G177" s="22" t="s">
        <v>8601</v>
      </c>
      <c r="H177" s="22" t="s">
        <v>11406</v>
      </c>
      <c r="I177" s="22" t="n">
        <v>43</v>
      </c>
      <c r="J177" s="22" t="n">
        <v>1</v>
      </c>
      <c r="K177" s="22" t="n">
        <v>43</v>
      </c>
      <c r="L177" s="25" t="n">
        <v>10.4</v>
      </c>
      <c r="M177" s="25" t="n">
        <v>447.2</v>
      </c>
      <c r="N177" s="25" t="n">
        <v>57.42</v>
      </c>
      <c r="O177" s="25" t="n">
        <v>504.62</v>
      </c>
      <c r="P177" s="22" t="s">
        <v>11407</v>
      </c>
      <c r="Q177" s="23" t="n">
        <v>46249</v>
      </c>
      <c r="R177" s="22" t="n">
        <f aca="false">I177*J177</f>
        <v>43</v>
      </c>
      <c r="S177" s="25" t="n">
        <f aca="false">K177-R177</f>
        <v>0</v>
      </c>
      <c r="T177" s="25" t="n">
        <f aca="false">K177*L177</f>
        <v>447.2</v>
      </c>
      <c r="U177" s="25" t="n">
        <f aca="false">M177-T177</f>
        <v>0</v>
      </c>
      <c r="V177" s="25" t="n">
        <f aca="false">M177+N177</f>
        <v>504.62</v>
      </c>
      <c r="W177" s="25" t="n">
        <f aca="false">O177-V177</f>
        <v>0</v>
      </c>
      <c r="X177" s="22" t="str">
        <f aca="false">IF(OR(ABS(S177)&gt;0.005,ABS(U177)&gt;0.005,ABS(W177)&gt;0.005),"Subledger arithmetic error","OK")</f>
        <v>OK</v>
      </c>
      <c r="Y177" s="22" t="str">
        <f aca="false">IF(X177="OK","","Priority 3")</f>
        <v/>
      </c>
    </row>
    <row r="178" customFormat="false" ht="15" hidden="false" customHeight="false" outlineLevel="0" collapsed="false">
      <c r="A178" s="22" t="s">
        <v>11759</v>
      </c>
      <c r="B178" s="23" t="n">
        <v>46235</v>
      </c>
      <c r="C178" s="22" t="s">
        <v>11760</v>
      </c>
      <c r="D178" s="22" t="s">
        <v>234</v>
      </c>
      <c r="E178" s="22" t="s">
        <v>7122</v>
      </c>
      <c r="F178" s="22" t="s">
        <v>198</v>
      </c>
      <c r="G178" s="22" t="s">
        <v>8601</v>
      </c>
      <c r="H178" s="22" t="s">
        <v>11406</v>
      </c>
      <c r="I178" s="22" t="n">
        <v>49</v>
      </c>
      <c r="J178" s="22" t="n">
        <v>1</v>
      </c>
      <c r="K178" s="22" t="n">
        <v>49</v>
      </c>
      <c r="L178" s="25" t="n">
        <v>10.4</v>
      </c>
      <c r="M178" s="25" t="n">
        <v>509.6</v>
      </c>
      <c r="N178" s="25" t="n">
        <v>65.43</v>
      </c>
      <c r="O178" s="25" t="n">
        <v>575.03</v>
      </c>
      <c r="P178" s="22" t="s">
        <v>11407</v>
      </c>
      <c r="Q178" s="23" t="n">
        <v>46249</v>
      </c>
      <c r="R178" s="22" t="n">
        <f aca="false">I178*J178</f>
        <v>49</v>
      </c>
      <c r="S178" s="25" t="n">
        <f aca="false">K178-R178</f>
        <v>0</v>
      </c>
      <c r="T178" s="25" t="n">
        <f aca="false">K178*L178</f>
        <v>509.6</v>
      </c>
      <c r="U178" s="25" t="n">
        <f aca="false">M178-T178</f>
        <v>0</v>
      </c>
      <c r="V178" s="25" t="n">
        <f aca="false">M178+N178</f>
        <v>575.03</v>
      </c>
      <c r="W178" s="25" t="n">
        <f aca="false">O178-V178</f>
        <v>0</v>
      </c>
      <c r="X178" s="22" t="str">
        <f aca="false">IF(OR(ABS(S178)&gt;0.005,ABS(U178)&gt;0.005,ABS(W178)&gt;0.005),"Subledger arithmetic error","OK")</f>
        <v>OK</v>
      </c>
      <c r="Y178" s="22" t="str">
        <f aca="false">IF(X178="OK","","Priority 3")</f>
        <v/>
      </c>
    </row>
    <row r="179" customFormat="false" ht="15" hidden="false" customHeight="false" outlineLevel="0" collapsed="false">
      <c r="A179" s="22" t="s">
        <v>11761</v>
      </c>
      <c r="B179" s="23" t="n">
        <v>46235</v>
      </c>
      <c r="C179" s="22" t="s">
        <v>11762</v>
      </c>
      <c r="D179" s="22" t="s">
        <v>4036</v>
      </c>
      <c r="E179" s="22" t="s">
        <v>7125</v>
      </c>
      <c r="F179" s="22" t="s">
        <v>198</v>
      </c>
      <c r="G179" s="22" t="s">
        <v>8601</v>
      </c>
      <c r="H179" s="22" t="s">
        <v>11406</v>
      </c>
      <c r="I179" s="22" t="n">
        <v>40</v>
      </c>
      <c r="J179" s="22" t="n">
        <v>1</v>
      </c>
      <c r="K179" s="22" t="n">
        <v>40</v>
      </c>
      <c r="L179" s="25" t="n">
        <v>10.4</v>
      </c>
      <c r="M179" s="25" t="n">
        <v>416</v>
      </c>
      <c r="N179" s="25" t="n">
        <v>53.41</v>
      </c>
      <c r="O179" s="25" t="n">
        <v>469.41</v>
      </c>
      <c r="P179" s="22" t="s">
        <v>11407</v>
      </c>
      <c r="Q179" s="23" t="n">
        <v>46249</v>
      </c>
      <c r="R179" s="22" t="n">
        <f aca="false">I179*J179</f>
        <v>40</v>
      </c>
      <c r="S179" s="25" t="n">
        <f aca="false">K179-R179</f>
        <v>0</v>
      </c>
      <c r="T179" s="25" t="n">
        <f aca="false">K179*L179</f>
        <v>416</v>
      </c>
      <c r="U179" s="25" t="n">
        <f aca="false">M179-T179</f>
        <v>0</v>
      </c>
      <c r="V179" s="25" t="n">
        <f aca="false">M179+N179</f>
        <v>469.41</v>
      </c>
      <c r="W179" s="25" t="n">
        <f aca="false">O179-V179</f>
        <v>0</v>
      </c>
      <c r="X179" s="22" t="str">
        <f aca="false">IF(OR(ABS(S179)&gt;0.005,ABS(U179)&gt;0.005,ABS(W179)&gt;0.005),"Subledger arithmetic error","OK")</f>
        <v>OK</v>
      </c>
      <c r="Y179" s="22" t="str">
        <f aca="false">IF(X179="OK","","Priority 3")</f>
        <v/>
      </c>
    </row>
    <row r="180" customFormat="false" ht="15" hidden="false" customHeight="false" outlineLevel="0" collapsed="false">
      <c r="A180" s="22" t="s">
        <v>11763</v>
      </c>
      <c r="B180" s="23" t="n">
        <v>46235</v>
      </c>
      <c r="C180" s="22" t="s">
        <v>11764</v>
      </c>
      <c r="D180" s="22" t="s">
        <v>2355</v>
      </c>
      <c r="E180" s="22" t="s">
        <v>7129</v>
      </c>
      <c r="F180" s="22" t="s">
        <v>198</v>
      </c>
      <c r="G180" s="22" t="s">
        <v>8601</v>
      </c>
      <c r="H180" s="22" t="s">
        <v>11406</v>
      </c>
      <c r="I180" s="22" t="n">
        <v>58</v>
      </c>
      <c r="J180" s="22" t="n">
        <v>1</v>
      </c>
      <c r="K180" s="22" t="n">
        <v>58</v>
      </c>
      <c r="L180" s="25" t="n">
        <v>10.4</v>
      </c>
      <c r="M180" s="25" t="n">
        <v>603.2</v>
      </c>
      <c r="N180" s="25" t="n">
        <v>77.45</v>
      </c>
      <c r="O180" s="25" t="n">
        <v>680.65</v>
      </c>
      <c r="P180" s="22" t="s">
        <v>11407</v>
      </c>
      <c r="Q180" s="23" t="n">
        <v>46249</v>
      </c>
      <c r="R180" s="22" t="n">
        <f aca="false">I180*J180</f>
        <v>58</v>
      </c>
      <c r="S180" s="25" t="n">
        <f aca="false">K180-R180</f>
        <v>0</v>
      </c>
      <c r="T180" s="25" t="n">
        <f aca="false">K180*L180</f>
        <v>603.2</v>
      </c>
      <c r="U180" s="25" t="n">
        <f aca="false">M180-T180</f>
        <v>0</v>
      </c>
      <c r="V180" s="25" t="n">
        <f aca="false">M180+N180</f>
        <v>680.65</v>
      </c>
      <c r="W180" s="25" t="n">
        <f aca="false">O180-V180</f>
        <v>0</v>
      </c>
      <c r="X180" s="22" t="str">
        <f aca="false">IF(OR(ABS(S180)&gt;0.005,ABS(U180)&gt;0.005,ABS(W180)&gt;0.005),"Subledger arithmetic error","OK")</f>
        <v>OK</v>
      </c>
      <c r="Y180" s="22" t="str">
        <f aca="false">IF(X180="OK","","Priority 3")</f>
        <v/>
      </c>
    </row>
    <row r="181" customFormat="false" ht="15" hidden="false" customHeight="false" outlineLevel="0" collapsed="false">
      <c r="A181" s="22" t="s">
        <v>11765</v>
      </c>
      <c r="B181" s="23" t="n">
        <v>46235</v>
      </c>
      <c r="C181" s="22" t="s">
        <v>11766</v>
      </c>
      <c r="D181" s="22" t="s">
        <v>718</v>
      </c>
      <c r="E181" s="22" t="s">
        <v>7132</v>
      </c>
      <c r="F181" s="22" t="s">
        <v>198</v>
      </c>
      <c r="G181" s="22" t="s">
        <v>8601</v>
      </c>
      <c r="H181" s="22" t="s">
        <v>11406</v>
      </c>
      <c r="I181" s="22" t="n">
        <v>36</v>
      </c>
      <c r="J181" s="22" t="n">
        <v>1</v>
      </c>
      <c r="K181" s="22" t="n">
        <v>36</v>
      </c>
      <c r="L181" s="25" t="n">
        <v>10.4</v>
      </c>
      <c r="M181" s="25" t="n">
        <v>374.4</v>
      </c>
      <c r="N181" s="25" t="n">
        <v>48.07</v>
      </c>
      <c r="O181" s="25" t="n">
        <v>422.47</v>
      </c>
      <c r="P181" s="22" t="s">
        <v>11407</v>
      </c>
      <c r="Q181" s="23" t="n">
        <v>46249</v>
      </c>
      <c r="R181" s="22" t="n">
        <f aca="false">I181*J181</f>
        <v>36</v>
      </c>
      <c r="S181" s="25" t="n">
        <f aca="false">K181-R181</f>
        <v>0</v>
      </c>
      <c r="T181" s="25" t="n">
        <f aca="false">K181*L181</f>
        <v>374.4</v>
      </c>
      <c r="U181" s="25" t="n">
        <f aca="false">M181-T181</f>
        <v>0</v>
      </c>
      <c r="V181" s="25" t="n">
        <f aca="false">M181+N181</f>
        <v>422.47</v>
      </c>
      <c r="W181" s="25" t="n">
        <f aca="false">O181-V181</f>
        <v>0</v>
      </c>
      <c r="X181" s="22" t="str">
        <f aca="false">IF(OR(ABS(S181)&gt;0.005,ABS(U181)&gt;0.005,ABS(W181)&gt;0.005),"Subledger arithmetic error","OK")</f>
        <v>OK</v>
      </c>
      <c r="Y181" s="22" t="str">
        <f aca="false">IF(X181="OK","","Priority 3")</f>
        <v/>
      </c>
    </row>
    <row r="182" customFormat="false" ht="15" hidden="false" customHeight="false" outlineLevel="0" collapsed="false">
      <c r="A182" s="22" t="s">
        <v>11767</v>
      </c>
      <c r="B182" s="23" t="n">
        <v>46235</v>
      </c>
      <c r="C182" s="22" t="s">
        <v>11768</v>
      </c>
      <c r="D182" s="22" t="s">
        <v>6281</v>
      </c>
      <c r="E182" s="22" t="s">
        <v>7134</v>
      </c>
      <c r="F182" s="22" t="s">
        <v>198</v>
      </c>
      <c r="G182" s="22" t="s">
        <v>8601</v>
      </c>
      <c r="H182" s="22" t="s">
        <v>11406</v>
      </c>
      <c r="I182" s="22" t="n">
        <v>62</v>
      </c>
      <c r="J182" s="22" t="n">
        <v>1</v>
      </c>
      <c r="K182" s="22" t="n">
        <v>62</v>
      </c>
      <c r="L182" s="25" t="n">
        <v>10.4</v>
      </c>
      <c r="M182" s="25" t="n">
        <v>644.8</v>
      </c>
      <c r="N182" s="25" t="n">
        <v>82.79</v>
      </c>
      <c r="O182" s="25" t="n">
        <v>727.59</v>
      </c>
      <c r="P182" s="22" t="s">
        <v>11407</v>
      </c>
      <c r="Q182" s="23" t="n">
        <v>46249</v>
      </c>
      <c r="R182" s="22" t="n">
        <f aca="false">I182*J182</f>
        <v>62</v>
      </c>
      <c r="S182" s="25" t="n">
        <f aca="false">K182-R182</f>
        <v>0</v>
      </c>
      <c r="T182" s="25" t="n">
        <f aca="false">K182*L182</f>
        <v>644.8</v>
      </c>
      <c r="U182" s="25" t="n">
        <f aca="false">M182-T182</f>
        <v>0</v>
      </c>
      <c r="V182" s="25" t="n">
        <f aca="false">M182+N182</f>
        <v>727.59</v>
      </c>
      <c r="W182" s="25" t="n">
        <f aca="false">O182-V182</f>
        <v>0</v>
      </c>
      <c r="X182" s="22" t="str">
        <f aca="false">IF(OR(ABS(S182)&gt;0.005,ABS(U182)&gt;0.005,ABS(W182)&gt;0.005),"Subledger arithmetic error","OK")</f>
        <v>OK</v>
      </c>
      <c r="Y182" s="22" t="str">
        <f aca="false">IF(X182="OK","","Priority 3")</f>
        <v/>
      </c>
    </row>
    <row r="183" customFormat="false" ht="15" hidden="false" customHeight="false" outlineLevel="0" collapsed="false">
      <c r="A183" s="22" t="s">
        <v>11769</v>
      </c>
      <c r="B183" s="23" t="n">
        <v>46235</v>
      </c>
      <c r="C183" s="22" t="s">
        <v>11770</v>
      </c>
      <c r="D183" s="22" t="s">
        <v>2187</v>
      </c>
      <c r="E183" s="22" t="s">
        <v>7137</v>
      </c>
      <c r="F183" s="22" t="s">
        <v>198</v>
      </c>
      <c r="G183" s="22" t="s">
        <v>8601</v>
      </c>
      <c r="H183" s="22" t="s">
        <v>11406</v>
      </c>
      <c r="I183" s="22" t="n">
        <v>54</v>
      </c>
      <c r="J183" s="22" t="n">
        <v>1</v>
      </c>
      <c r="K183" s="22" t="n">
        <v>54</v>
      </c>
      <c r="L183" s="25" t="n">
        <v>10.4</v>
      </c>
      <c r="M183" s="25" t="n">
        <v>561.6</v>
      </c>
      <c r="N183" s="25" t="n">
        <v>72.11</v>
      </c>
      <c r="O183" s="25" t="n">
        <v>633.71</v>
      </c>
      <c r="P183" s="22" t="s">
        <v>11407</v>
      </c>
      <c r="Q183" s="23" t="n">
        <v>46249</v>
      </c>
      <c r="R183" s="22" t="n">
        <f aca="false">I183*J183</f>
        <v>54</v>
      </c>
      <c r="S183" s="25" t="n">
        <f aca="false">K183-R183</f>
        <v>0</v>
      </c>
      <c r="T183" s="25" t="n">
        <f aca="false">K183*L183</f>
        <v>561.6</v>
      </c>
      <c r="U183" s="25" t="n">
        <f aca="false">M183-T183</f>
        <v>0</v>
      </c>
      <c r="V183" s="25" t="n">
        <f aca="false">M183+N183</f>
        <v>633.71</v>
      </c>
      <c r="W183" s="25" t="n">
        <f aca="false">O183-V183</f>
        <v>0</v>
      </c>
      <c r="X183" s="22" t="str">
        <f aca="false">IF(OR(ABS(S183)&gt;0.005,ABS(U183)&gt;0.005,ABS(W183)&gt;0.005),"Subledger arithmetic error","OK")</f>
        <v>OK</v>
      </c>
      <c r="Y183" s="22" t="str">
        <f aca="false">IF(X183="OK","","Priority 3")</f>
        <v/>
      </c>
    </row>
    <row r="184" customFormat="false" ht="15" hidden="false" customHeight="false" outlineLevel="0" collapsed="false">
      <c r="A184" s="22" t="s">
        <v>11771</v>
      </c>
      <c r="B184" s="23" t="n">
        <v>46235</v>
      </c>
      <c r="C184" s="22" t="s">
        <v>11772</v>
      </c>
      <c r="D184" s="22" t="s">
        <v>4771</v>
      </c>
      <c r="E184" s="22" t="s">
        <v>7139</v>
      </c>
      <c r="F184" s="22" t="s">
        <v>198</v>
      </c>
      <c r="G184" s="22" t="s">
        <v>8601</v>
      </c>
      <c r="H184" s="22" t="s">
        <v>11406</v>
      </c>
      <c r="I184" s="22" t="n">
        <v>58</v>
      </c>
      <c r="J184" s="22" t="n">
        <v>1</v>
      </c>
      <c r="K184" s="22" t="n">
        <v>58</v>
      </c>
      <c r="L184" s="25" t="n">
        <v>10.4</v>
      </c>
      <c r="M184" s="25" t="n">
        <v>603.2</v>
      </c>
      <c r="N184" s="25" t="n">
        <v>77.45</v>
      </c>
      <c r="O184" s="25" t="n">
        <v>680.65</v>
      </c>
      <c r="P184" s="22" t="s">
        <v>11407</v>
      </c>
      <c r="Q184" s="23" t="n">
        <v>46249</v>
      </c>
      <c r="R184" s="22" t="n">
        <f aca="false">I184*J184</f>
        <v>58</v>
      </c>
      <c r="S184" s="25" t="n">
        <f aca="false">K184-R184</f>
        <v>0</v>
      </c>
      <c r="T184" s="25" t="n">
        <f aca="false">K184*L184</f>
        <v>603.2</v>
      </c>
      <c r="U184" s="25" t="n">
        <f aca="false">M184-T184</f>
        <v>0</v>
      </c>
      <c r="V184" s="25" t="n">
        <f aca="false">M184+N184</f>
        <v>680.65</v>
      </c>
      <c r="W184" s="25" t="n">
        <f aca="false">O184-V184</f>
        <v>0</v>
      </c>
      <c r="X184" s="22" t="str">
        <f aca="false">IF(OR(ABS(S184)&gt;0.005,ABS(U184)&gt;0.005,ABS(W184)&gt;0.005),"Subledger arithmetic error","OK")</f>
        <v>OK</v>
      </c>
      <c r="Y184" s="22" t="str">
        <f aca="false">IF(X184="OK","","Priority 3")</f>
        <v/>
      </c>
    </row>
    <row r="185" customFormat="false" ht="15" hidden="false" customHeight="false" outlineLevel="0" collapsed="false">
      <c r="A185" s="22" t="s">
        <v>11773</v>
      </c>
      <c r="B185" s="23" t="n">
        <v>46235</v>
      </c>
      <c r="C185" s="22" t="s">
        <v>11774</v>
      </c>
      <c r="D185" s="22" t="s">
        <v>4470</v>
      </c>
      <c r="E185" s="22" t="s">
        <v>7142</v>
      </c>
      <c r="F185" s="22" t="s">
        <v>198</v>
      </c>
      <c r="G185" s="22" t="s">
        <v>8601</v>
      </c>
      <c r="H185" s="22" t="s">
        <v>11406</v>
      </c>
      <c r="I185" s="22" t="n">
        <v>46</v>
      </c>
      <c r="J185" s="22" t="n">
        <v>1</v>
      </c>
      <c r="K185" s="22" t="n">
        <v>46</v>
      </c>
      <c r="L185" s="25" t="n">
        <v>10.4</v>
      </c>
      <c r="M185" s="25" t="n">
        <v>478.4</v>
      </c>
      <c r="N185" s="25" t="n">
        <v>61.43</v>
      </c>
      <c r="O185" s="25" t="n">
        <v>539.83</v>
      </c>
      <c r="P185" s="22" t="s">
        <v>11407</v>
      </c>
      <c r="Q185" s="23" t="n">
        <v>46249</v>
      </c>
      <c r="R185" s="22" t="n">
        <f aca="false">I185*J185</f>
        <v>46</v>
      </c>
      <c r="S185" s="25" t="n">
        <f aca="false">K185-R185</f>
        <v>0</v>
      </c>
      <c r="T185" s="25" t="n">
        <f aca="false">K185*L185</f>
        <v>478.4</v>
      </c>
      <c r="U185" s="25" t="n">
        <f aca="false">M185-T185</f>
        <v>0</v>
      </c>
      <c r="V185" s="25" t="n">
        <f aca="false">M185+N185</f>
        <v>539.83</v>
      </c>
      <c r="W185" s="25" t="n">
        <f aca="false">O185-V185</f>
        <v>0</v>
      </c>
      <c r="X185" s="22" t="str">
        <f aca="false">IF(OR(ABS(S185)&gt;0.005,ABS(U185)&gt;0.005,ABS(W185)&gt;0.005),"Subledger arithmetic error","OK")</f>
        <v>OK</v>
      </c>
      <c r="Y185" s="22" t="str">
        <f aca="false">IF(X185="OK","","Priority 3")</f>
        <v/>
      </c>
    </row>
    <row r="186" customFormat="false" ht="15" hidden="false" customHeight="false" outlineLevel="0" collapsed="false">
      <c r="A186" s="22" t="s">
        <v>11775</v>
      </c>
      <c r="B186" s="23" t="n">
        <v>46235</v>
      </c>
      <c r="C186" s="22" t="s">
        <v>11776</v>
      </c>
      <c r="D186" s="22" t="s">
        <v>172</v>
      </c>
      <c r="E186" s="22" t="s">
        <v>7145</v>
      </c>
      <c r="F186" s="22" t="s">
        <v>198</v>
      </c>
      <c r="G186" s="22" t="s">
        <v>8601</v>
      </c>
      <c r="H186" s="22" t="s">
        <v>11406</v>
      </c>
      <c r="I186" s="22" t="n">
        <v>50</v>
      </c>
      <c r="J186" s="22" t="n">
        <v>1</v>
      </c>
      <c r="K186" s="22" t="n">
        <v>50</v>
      </c>
      <c r="L186" s="25" t="n">
        <v>10.4</v>
      </c>
      <c r="M186" s="25" t="n">
        <v>520</v>
      </c>
      <c r="N186" s="25" t="n">
        <v>66.77</v>
      </c>
      <c r="O186" s="25" t="n">
        <v>586.77</v>
      </c>
      <c r="P186" s="22" t="s">
        <v>11407</v>
      </c>
      <c r="Q186" s="23" t="n">
        <v>46249</v>
      </c>
      <c r="R186" s="22" t="n">
        <f aca="false">I186*J186</f>
        <v>50</v>
      </c>
      <c r="S186" s="25" t="n">
        <f aca="false">K186-R186</f>
        <v>0</v>
      </c>
      <c r="T186" s="25" t="n">
        <f aca="false">K186*L186</f>
        <v>520</v>
      </c>
      <c r="U186" s="25" t="n">
        <f aca="false">M186-T186</f>
        <v>0</v>
      </c>
      <c r="V186" s="25" t="n">
        <f aca="false">M186+N186</f>
        <v>586.77</v>
      </c>
      <c r="W186" s="25" t="n">
        <f aca="false">O186-V186</f>
        <v>0</v>
      </c>
      <c r="X186" s="22" t="str">
        <f aca="false">IF(OR(ABS(S186)&gt;0.005,ABS(U186)&gt;0.005,ABS(W186)&gt;0.005),"Subledger arithmetic error","OK")</f>
        <v>OK</v>
      </c>
      <c r="Y186" s="22" t="str">
        <f aca="false">IF(X186="OK","","Priority 3")</f>
        <v/>
      </c>
    </row>
    <row r="187" customFormat="false" ht="15" hidden="false" customHeight="false" outlineLevel="0" collapsed="false">
      <c r="A187" s="22" t="s">
        <v>11777</v>
      </c>
      <c r="B187" s="23" t="n">
        <v>46235</v>
      </c>
      <c r="C187" s="22" t="s">
        <v>11778</v>
      </c>
      <c r="D187" s="22" t="s">
        <v>2216</v>
      </c>
      <c r="E187" s="22" t="s">
        <v>7148</v>
      </c>
      <c r="F187" s="22" t="s">
        <v>198</v>
      </c>
      <c r="G187" s="22" t="s">
        <v>8601</v>
      </c>
      <c r="H187" s="22" t="s">
        <v>11406</v>
      </c>
      <c r="I187" s="22" t="n">
        <v>47</v>
      </c>
      <c r="J187" s="22" t="n">
        <v>1</v>
      </c>
      <c r="K187" s="22" t="n">
        <v>47</v>
      </c>
      <c r="L187" s="25" t="n">
        <v>10.4</v>
      </c>
      <c r="M187" s="25" t="n">
        <v>488.8</v>
      </c>
      <c r="N187" s="25" t="n">
        <v>62.76</v>
      </c>
      <c r="O187" s="25" t="n">
        <v>551.56</v>
      </c>
      <c r="P187" s="22" t="s">
        <v>11407</v>
      </c>
      <c r="Q187" s="23" t="n">
        <v>46249</v>
      </c>
      <c r="R187" s="22" t="n">
        <f aca="false">I187*J187</f>
        <v>47</v>
      </c>
      <c r="S187" s="25" t="n">
        <f aca="false">K187-R187</f>
        <v>0</v>
      </c>
      <c r="T187" s="25" t="n">
        <f aca="false">K187*L187</f>
        <v>488.8</v>
      </c>
      <c r="U187" s="25" t="n">
        <f aca="false">M187-T187</f>
        <v>0</v>
      </c>
      <c r="V187" s="25" t="n">
        <f aca="false">M187+N187</f>
        <v>551.56</v>
      </c>
      <c r="W187" s="25" t="n">
        <f aca="false">O187-V187</f>
        <v>0</v>
      </c>
      <c r="X187" s="22" t="str">
        <f aca="false">IF(OR(ABS(S187)&gt;0.005,ABS(U187)&gt;0.005,ABS(W187)&gt;0.005),"Subledger arithmetic error","OK")</f>
        <v>OK</v>
      </c>
      <c r="Y187" s="22" t="str">
        <f aca="false">IF(X187="OK","","Priority 3")</f>
        <v/>
      </c>
    </row>
    <row r="188" customFormat="false" ht="15" hidden="false" customHeight="false" outlineLevel="0" collapsed="false">
      <c r="A188" s="22" t="s">
        <v>11779</v>
      </c>
      <c r="B188" s="23" t="n">
        <v>46235</v>
      </c>
      <c r="C188" s="22" t="s">
        <v>11780</v>
      </c>
      <c r="D188" s="22" t="s">
        <v>2621</v>
      </c>
      <c r="E188" s="22" t="s">
        <v>7151</v>
      </c>
      <c r="F188" s="22" t="s">
        <v>198</v>
      </c>
      <c r="G188" s="22" t="s">
        <v>8601</v>
      </c>
      <c r="H188" s="22" t="s">
        <v>11406</v>
      </c>
      <c r="I188" s="22" t="n">
        <v>38</v>
      </c>
      <c r="J188" s="22" t="n">
        <v>1</v>
      </c>
      <c r="K188" s="22" t="n">
        <v>38</v>
      </c>
      <c r="L188" s="25" t="n">
        <v>10.4</v>
      </c>
      <c r="M188" s="25" t="n">
        <v>395.2</v>
      </c>
      <c r="N188" s="25" t="n">
        <v>50.74</v>
      </c>
      <c r="O188" s="25" t="n">
        <v>445.94</v>
      </c>
      <c r="P188" s="22" t="s">
        <v>11407</v>
      </c>
      <c r="Q188" s="23" t="n">
        <v>46249</v>
      </c>
      <c r="R188" s="22" t="n">
        <f aca="false">I188*J188</f>
        <v>38</v>
      </c>
      <c r="S188" s="25" t="n">
        <f aca="false">K188-R188</f>
        <v>0</v>
      </c>
      <c r="T188" s="25" t="n">
        <f aca="false">K188*L188</f>
        <v>395.2</v>
      </c>
      <c r="U188" s="25" t="n">
        <f aca="false">M188-T188</f>
        <v>0</v>
      </c>
      <c r="V188" s="25" t="n">
        <f aca="false">M188+N188</f>
        <v>445.94</v>
      </c>
      <c r="W188" s="25" t="n">
        <f aca="false">O188-V188</f>
        <v>0</v>
      </c>
      <c r="X188" s="22" t="str">
        <f aca="false">IF(OR(ABS(S188)&gt;0.005,ABS(U188)&gt;0.005,ABS(W188)&gt;0.005),"Subledger arithmetic error","OK")</f>
        <v>OK</v>
      </c>
      <c r="Y188" s="22" t="str">
        <f aca="false">IF(X188="OK","","Priority 3")</f>
        <v/>
      </c>
    </row>
    <row r="189" customFormat="false" ht="15" hidden="false" customHeight="false" outlineLevel="0" collapsed="false">
      <c r="A189" s="22" t="s">
        <v>11781</v>
      </c>
      <c r="B189" s="23" t="n">
        <v>46235</v>
      </c>
      <c r="C189" s="22" t="s">
        <v>11782</v>
      </c>
      <c r="D189" s="22" t="s">
        <v>2635</v>
      </c>
      <c r="E189" s="22" t="s">
        <v>7154</v>
      </c>
      <c r="F189" s="22" t="s">
        <v>198</v>
      </c>
      <c r="G189" s="22" t="s">
        <v>8601</v>
      </c>
      <c r="H189" s="22" t="s">
        <v>11406</v>
      </c>
      <c r="I189" s="22" t="n">
        <v>44</v>
      </c>
      <c r="J189" s="22" t="n">
        <v>1</v>
      </c>
      <c r="K189" s="22" t="n">
        <v>44</v>
      </c>
      <c r="L189" s="25" t="n">
        <v>10.4</v>
      </c>
      <c r="M189" s="25" t="n">
        <v>457.6</v>
      </c>
      <c r="N189" s="25" t="n">
        <v>58.76</v>
      </c>
      <c r="O189" s="25" t="n">
        <v>516.36</v>
      </c>
      <c r="P189" s="22" t="s">
        <v>11407</v>
      </c>
      <c r="Q189" s="23" t="n">
        <v>46249</v>
      </c>
      <c r="R189" s="22" t="n">
        <f aca="false">I189*J189</f>
        <v>44</v>
      </c>
      <c r="S189" s="25" t="n">
        <f aca="false">K189-R189</f>
        <v>0</v>
      </c>
      <c r="T189" s="25" t="n">
        <f aca="false">K189*L189</f>
        <v>457.6</v>
      </c>
      <c r="U189" s="25" t="n">
        <f aca="false">M189-T189</f>
        <v>0</v>
      </c>
      <c r="V189" s="25" t="n">
        <f aca="false">M189+N189</f>
        <v>516.36</v>
      </c>
      <c r="W189" s="25" t="n">
        <f aca="false">O189-V189</f>
        <v>0</v>
      </c>
      <c r="X189" s="22" t="str">
        <f aca="false">IF(OR(ABS(S189)&gt;0.005,ABS(U189)&gt;0.005,ABS(W189)&gt;0.005),"Subledger arithmetic error","OK")</f>
        <v>OK</v>
      </c>
      <c r="Y189" s="22" t="str">
        <f aca="false">IF(X189="OK","","Priority 3")</f>
        <v/>
      </c>
    </row>
    <row r="190" customFormat="false" ht="15" hidden="false" customHeight="false" outlineLevel="0" collapsed="false">
      <c r="A190" s="22" t="s">
        <v>11783</v>
      </c>
      <c r="B190" s="23" t="n">
        <v>46235</v>
      </c>
      <c r="C190" s="22" t="s">
        <v>11784</v>
      </c>
      <c r="D190" s="22" t="s">
        <v>4660</v>
      </c>
      <c r="E190" s="22" t="s">
        <v>7156</v>
      </c>
      <c r="F190" s="22" t="s">
        <v>198</v>
      </c>
      <c r="G190" s="22" t="s">
        <v>8601</v>
      </c>
      <c r="H190" s="22" t="s">
        <v>11406</v>
      </c>
      <c r="I190" s="22" t="n">
        <v>33</v>
      </c>
      <c r="J190" s="22" t="n">
        <v>1</v>
      </c>
      <c r="K190" s="22" t="n">
        <v>33</v>
      </c>
      <c r="L190" s="25" t="n">
        <v>10.4</v>
      </c>
      <c r="M190" s="25" t="n">
        <v>343.2</v>
      </c>
      <c r="N190" s="25" t="n">
        <v>44.07</v>
      </c>
      <c r="O190" s="25" t="n">
        <v>387.27</v>
      </c>
      <c r="P190" s="22" t="s">
        <v>11407</v>
      </c>
      <c r="Q190" s="23" t="n">
        <v>46249</v>
      </c>
      <c r="R190" s="22" t="n">
        <f aca="false">I190*J190</f>
        <v>33</v>
      </c>
      <c r="S190" s="25" t="n">
        <f aca="false">K190-R190</f>
        <v>0</v>
      </c>
      <c r="T190" s="25" t="n">
        <f aca="false">K190*L190</f>
        <v>343.2</v>
      </c>
      <c r="U190" s="25" t="n">
        <f aca="false">M190-T190</f>
        <v>0</v>
      </c>
      <c r="V190" s="25" t="n">
        <f aca="false">M190+N190</f>
        <v>387.27</v>
      </c>
      <c r="W190" s="25" t="n">
        <f aca="false">O190-V190</f>
        <v>0</v>
      </c>
      <c r="X190" s="22" t="str">
        <f aca="false">IF(OR(ABS(S190)&gt;0.005,ABS(U190)&gt;0.005,ABS(W190)&gt;0.005),"Subledger arithmetic error","OK")</f>
        <v>OK</v>
      </c>
      <c r="Y190" s="22" t="str">
        <f aca="false">IF(X190="OK","","Priority 3")</f>
        <v/>
      </c>
    </row>
    <row r="191" customFormat="false" ht="15" hidden="false" customHeight="false" outlineLevel="0" collapsed="false">
      <c r="A191" s="22" t="s">
        <v>11785</v>
      </c>
      <c r="B191" s="23" t="n">
        <v>46235</v>
      </c>
      <c r="C191" s="22" t="s">
        <v>11786</v>
      </c>
      <c r="D191" s="22" t="s">
        <v>3303</v>
      </c>
      <c r="E191" s="22" t="s">
        <v>7158</v>
      </c>
      <c r="F191" s="22" t="s">
        <v>198</v>
      </c>
      <c r="G191" s="22" t="s">
        <v>8601</v>
      </c>
      <c r="H191" s="22" t="s">
        <v>11406</v>
      </c>
      <c r="I191" s="22" t="n">
        <v>44</v>
      </c>
      <c r="J191" s="22" t="n">
        <v>1</v>
      </c>
      <c r="K191" s="22" t="n">
        <v>44</v>
      </c>
      <c r="L191" s="25" t="n">
        <v>10.4</v>
      </c>
      <c r="M191" s="25" t="n">
        <v>457.6</v>
      </c>
      <c r="N191" s="25" t="n">
        <v>58.76</v>
      </c>
      <c r="O191" s="25" t="n">
        <v>516.36</v>
      </c>
      <c r="P191" s="22" t="s">
        <v>11407</v>
      </c>
      <c r="Q191" s="23" t="n">
        <v>46249</v>
      </c>
      <c r="R191" s="22" t="n">
        <f aca="false">I191*J191</f>
        <v>44</v>
      </c>
      <c r="S191" s="25" t="n">
        <f aca="false">K191-R191</f>
        <v>0</v>
      </c>
      <c r="T191" s="25" t="n">
        <f aca="false">K191*L191</f>
        <v>457.6</v>
      </c>
      <c r="U191" s="25" t="n">
        <f aca="false">M191-T191</f>
        <v>0</v>
      </c>
      <c r="V191" s="25" t="n">
        <f aca="false">M191+N191</f>
        <v>516.36</v>
      </c>
      <c r="W191" s="25" t="n">
        <f aca="false">O191-V191</f>
        <v>0</v>
      </c>
      <c r="X191" s="22" t="str">
        <f aca="false">IF(OR(ABS(S191)&gt;0.005,ABS(U191)&gt;0.005,ABS(W191)&gt;0.005),"Subledger arithmetic error","OK")</f>
        <v>OK</v>
      </c>
      <c r="Y191" s="22" t="str">
        <f aca="false">IF(X191="OK","","Priority 3")</f>
        <v/>
      </c>
    </row>
    <row r="192" customFormat="false" ht="15" hidden="false" customHeight="false" outlineLevel="0" collapsed="false">
      <c r="A192" s="22" t="s">
        <v>11787</v>
      </c>
      <c r="B192" s="23" t="n">
        <v>46235</v>
      </c>
      <c r="C192" s="22" t="s">
        <v>11788</v>
      </c>
      <c r="D192" s="22" t="s">
        <v>1964</v>
      </c>
      <c r="E192" s="22" t="s">
        <v>7161</v>
      </c>
      <c r="F192" s="22" t="s">
        <v>198</v>
      </c>
      <c r="G192" s="22" t="s">
        <v>8601</v>
      </c>
      <c r="H192" s="22" t="s">
        <v>11406</v>
      </c>
      <c r="I192" s="22" t="n">
        <v>40</v>
      </c>
      <c r="J192" s="22" t="n">
        <v>1</v>
      </c>
      <c r="K192" s="22" t="n">
        <v>40</v>
      </c>
      <c r="L192" s="25" t="n">
        <v>10.4</v>
      </c>
      <c r="M192" s="25" t="n">
        <v>416</v>
      </c>
      <c r="N192" s="25" t="n">
        <v>53.41</v>
      </c>
      <c r="O192" s="25" t="n">
        <v>469.41</v>
      </c>
      <c r="P192" s="22" t="s">
        <v>11407</v>
      </c>
      <c r="Q192" s="23" t="n">
        <v>46249</v>
      </c>
      <c r="R192" s="22" t="n">
        <f aca="false">I192*J192</f>
        <v>40</v>
      </c>
      <c r="S192" s="25" t="n">
        <f aca="false">K192-R192</f>
        <v>0</v>
      </c>
      <c r="T192" s="25" t="n">
        <f aca="false">K192*L192</f>
        <v>416</v>
      </c>
      <c r="U192" s="25" t="n">
        <f aca="false">M192-T192</f>
        <v>0</v>
      </c>
      <c r="V192" s="25" t="n">
        <f aca="false">M192+N192</f>
        <v>469.41</v>
      </c>
      <c r="W192" s="25" t="n">
        <f aca="false">O192-V192</f>
        <v>0</v>
      </c>
      <c r="X192" s="22" t="str">
        <f aca="false">IF(OR(ABS(S192)&gt;0.005,ABS(U192)&gt;0.005,ABS(W192)&gt;0.005),"Subledger arithmetic error","OK")</f>
        <v>OK</v>
      </c>
      <c r="Y192" s="22" t="str">
        <f aca="false">IF(X192="OK","","Priority 3")</f>
        <v/>
      </c>
    </row>
    <row r="193" customFormat="false" ht="15" hidden="false" customHeight="false" outlineLevel="0" collapsed="false">
      <c r="A193" s="22" t="s">
        <v>11789</v>
      </c>
      <c r="B193" s="23" t="n">
        <v>46235</v>
      </c>
      <c r="C193" s="22" t="s">
        <v>11790</v>
      </c>
      <c r="D193" s="22" t="s">
        <v>1297</v>
      </c>
      <c r="E193" s="22" t="s">
        <v>7163</v>
      </c>
      <c r="F193" s="22" t="s">
        <v>198</v>
      </c>
      <c r="G193" s="22" t="s">
        <v>8601</v>
      </c>
      <c r="H193" s="22" t="s">
        <v>11406</v>
      </c>
      <c r="I193" s="22" t="n">
        <v>36</v>
      </c>
      <c r="J193" s="22" t="n">
        <v>1</v>
      </c>
      <c r="K193" s="22" t="n">
        <v>36</v>
      </c>
      <c r="L193" s="25" t="n">
        <v>10.4</v>
      </c>
      <c r="M193" s="25" t="n">
        <v>374.4</v>
      </c>
      <c r="N193" s="25" t="n">
        <v>48.07</v>
      </c>
      <c r="O193" s="25" t="n">
        <v>422.47</v>
      </c>
      <c r="P193" s="22" t="s">
        <v>11407</v>
      </c>
      <c r="Q193" s="23" t="n">
        <v>46249</v>
      </c>
      <c r="R193" s="22" t="n">
        <f aca="false">I193*J193</f>
        <v>36</v>
      </c>
      <c r="S193" s="25" t="n">
        <f aca="false">K193-R193</f>
        <v>0</v>
      </c>
      <c r="T193" s="25" t="n">
        <f aca="false">K193*L193</f>
        <v>374.4</v>
      </c>
      <c r="U193" s="25" t="n">
        <f aca="false">M193-T193</f>
        <v>0</v>
      </c>
      <c r="V193" s="25" t="n">
        <f aca="false">M193+N193</f>
        <v>422.47</v>
      </c>
      <c r="W193" s="25" t="n">
        <f aca="false">O193-V193</f>
        <v>0</v>
      </c>
      <c r="X193" s="22" t="str">
        <f aca="false">IF(OR(ABS(S193)&gt;0.005,ABS(U193)&gt;0.005,ABS(W193)&gt;0.005),"Subledger arithmetic error","OK")</f>
        <v>OK</v>
      </c>
      <c r="Y193" s="22" t="str">
        <f aca="false">IF(X193="OK","","Priority 3")</f>
        <v/>
      </c>
    </row>
    <row r="194" customFormat="false" ht="15" hidden="false" customHeight="false" outlineLevel="0" collapsed="false">
      <c r="A194" s="22" t="s">
        <v>11791</v>
      </c>
      <c r="B194" s="23" t="n">
        <v>46235</v>
      </c>
      <c r="C194" s="22" t="s">
        <v>11792</v>
      </c>
      <c r="D194" s="22" t="s">
        <v>1240</v>
      </c>
      <c r="E194" s="22" t="s">
        <v>7167</v>
      </c>
      <c r="F194" s="22" t="s">
        <v>198</v>
      </c>
      <c r="G194" s="22" t="s">
        <v>8601</v>
      </c>
      <c r="H194" s="22" t="s">
        <v>11406</v>
      </c>
      <c r="I194" s="22" t="n">
        <v>36</v>
      </c>
      <c r="J194" s="22" t="n">
        <v>1</v>
      </c>
      <c r="K194" s="22" t="n">
        <v>36</v>
      </c>
      <c r="L194" s="25" t="n">
        <v>10.4</v>
      </c>
      <c r="M194" s="25" t="n">
        <v>374.4</v>
      </c>
      <c r="N194" s="25" t="n">
        <v>48.07</v>
      </c>
      <c r="O194" s="25" t="n">
        <v>422.47</v>
      </c>
      <c r="P194" s="22" t="s">
        <v>11407</v>
      </c>
      <c r="Q194" s="23" t="n">
        <v>46249</v>
      </c>
      <c r="R194" s="22" t="n">
        <f aca="false">I194*J194</f>
        <v>36</v>
      </c>
      <c r="S194" s="25" t="n">
        <f aca="false">K194-R194</f>
        <v>0</v>
      </c>
      <c r="T194" s="25" t="n">
        <f aca="false">K194*L194</f>
        <v>374.4</v>
      </c>
      <c r="U194" s="25" t="n">
        <f aca="false">M194-T194</f>
        <v>0</v>
      </c>
      <c r="V194" s="25" t="n">
        <f aca="false">M194+N194</f>
        <v>422.47</v>
      </c>
      <c r="W194" s="25" t="n">
        <f aca="false">O194-V194</f>
        <v>0</v>
      </c>
      <c r="X194" s="22" t="str">
        <f aca="false">IF(OR(ABS(S194)&gt;0.005,ABS(U194)&gt;0.005,ABS(W194)&gt;0.005),"Subledger arithmetic error","OK")</f>
        <v>OK</v>
      </c>
      <c r="Y194" s="22" t="str">
        <f aca="false">IF(X194="OK","","Priority 3")</f>
        <v/>
      </c>
    </row>
    <row r="195" customFormat="false" ht="15" hidden="false" customHeight="false" outlineLevel="0" collapsed="false">
      <c r="A195" s="22" t="s">
        <v>11793</v>
      </c>
      <c r="B195" s="23" t="n">
        <v>46235</v>
      </c>
      <c r="C195" s="22" t="s">
        <v>11794</v>
      </c>
      <c r="D195" s="22" t="s">
        <v>6419</v>
      </c>
      <c r="E195" s="22" t="s">
        <v>7170</v>
      </c>
      <c r="F195" s="22" t="s">
        <v>198</v>
      </c>
      <c r="G195" s="22" t="s">
        <v>8601</v>
      </c>
      <c r="H195" s="22" t="s">
        <v>11406</v>
      </c>
      <c r="I195" s="22" t="n">
        <v>59</v>
      </c>
      <c r="J195" s="22" t="n">
        <v>1</v>
      </c>
      <c r="K195" s="22" t="n">
        <v>59</v>
      </c>
      <c r="L195" s="25" t="n">
        <v>10.4</v>
      </c>
      <c r="M195" s="25" t="n">
        <v>613.6</v>
      </c>
      <c r="N195" s="25" t="n">
        <v>78.79</v>
      </c>
      <c r="O195" s="25" t="n">
        <v>692.39</v>
      </c>
      <c r="P195" s="22" t="s">
        <v>11407</v>
      </c>
      <c r="Q195" s="23" t="n">
        <v>46249</v>
      </c>
      <c r="R195" s="22" t="n">
        <f aca="false">I195*J195</f>
        <v>59</v>
      </c>
      <c r="S195" s="25" t="n">
        <f aca="false">K195-R195</f>
        <v>0</v>
      </c>
      <c r="T195" s="25" t="n">
        <f aca="false">K195*L195</f>
        <v>613.6</v>
      </c>
      <c r="U195" s="25" t="n">
        <f aca="false">M195-T195</f>
        <v>0</v>
      </c>
      <c r="V195" s="25" t="n">
        <f aca="false">M195+N195</f>
        <v>692.39</v>
      </c>
      <c r="W195" s="25" t="n">
        <f aca="false">O195-V195</f>
        <v>0</v>
      </c>
      <c r="X195" s="22" t="str">
        <f aca="false">IF(OR(ABS(S195)&gt;0.005,ABS(U195)&gt;0.005,ABS(W195)&gt;0.005),"Subledger arithmetic error","OK")</f>
        <v>OK</v>
      </c>
      <c r="Y195" s="22" t="str">
        <f aca="false">IF(X195="OK","","Priority 3")</f>
        <v/>
      </c>
    </row>
    <row r="196" customFormat="false" ht="15" hidden="false" customHeight="false" outlineLevel="0" collapsed="false">
      <c r="A196" s="22" t="s">
        <v>11795</v>
      </c>
      <c r="B196" s="23" t="n">
        <v>46235</v>
      </c>
      <c r="C196" s="22" t="s">
        <v>11796</v>
      </c>
      <c r="D196" s="22" t="s">
        <v>4721</v>
      </c>
      <c r="E196" s="22" t="s">
        <v>7172</v>
      </c>
      <c r="F196" s="22" t="s">
        <v>198</v>
      </c>
      <c r="G196" s="22" t="s">
        <v>8601</v>
      </c>
      <c r="H196" s="22" t="s">
        <v>11406</v>
      </c>
      <c r="I196" s="22" t="n">
        <v>32</v>
      </c>
      <c r="J196" s="22" t="n">
        <v>1</v>
      </c>
      <c r="K196" s="22" t="n">
        <v>32</v>
      </c>
      <c r="L196" s="25" t="n">
        <v>10.4</v>
      </c>
      <c r="M196" s="25" t="n">
        <v>332.8</v>
      </c>
      <c r="N196" s="25" t="n">
        <v>42.73</v>
      </c>
      <c r="O196" s="25" t="n">
        <v>375.53</v>
      </c>
      <c r="P196" s="22" t="s">
        <v>11407</v>
      </c>
      <c r="Q196" s="23" t="n">
        <v>46249</v>
      </c>
      <c r="R196" s="22" t="n">
        <f aca="false">I196*J196</f>
        <v>32</v>
      </c>
      <c r="S196" s="25" t="n">
        <f aca="false">K196-R196</f>
        <v>0</v>
      </c>
      <c r="T196" s="25" t="n">
        <f aca="false">K196*L196</f>
        <v>332.8</v>
      </c>
      <c r="U196" s="25" t="n">
        <f aca="false">M196-T196</f>
        <v>0</v>
      </c>
      <c r="V196" s="25" t="n">
        <f aca="false">M196+N196</f>
        <v>375.53</v>
      </c>
      <c r="W196" s="25" t="n">
        <f aca="false">O196-V196</f>
        <v>0</v>
      </c>
      <c r="X196" s="22" t="str">
        <f aca="false">IF(OR(ABS(S196)&gt;0.005,ABS(U196)&gt;0.005,ABS(W196)&gt;0.005),"Subledger arithmetic error","OK")</f>
        <v>OK</v>
      </c>
      <c r="Y196" s="22" t="str">
        <f aca="false">IF(X196="OK","","Priority 3")</f>
        <v/>
      </c>
    </row>
    <row r="197" customFormat="false" ht="15" hidden="false" customHeight="false" outlineLevel="0" collapsed="false">
      <c r="A197" s="22" t="s">
        <v>11797</v>
      </c>
      <c r="B197" s="23" t="n">
        <v>46235</v>
      </c>
      <c r="C197" s="22" t="s">
        <v>11798</v>
      </c>
      <c r="D197" s="22" t="s">
        <v>665</v>
      </c>
      <c r="E197" s="22" t="s">
        <v>7175</v>
      </c>
      <c r="F197" s="22" t="s">
        <v>198</v>
      </c>
      <c r="G197" s="22" t="s">
        <v>8601</v>
      </c>
      <c r="H197" s="22" t="s">
        <v>11406</v>
      </c>
      <c r="I197" s="22" t="n">
        <v>39</v>
      </c>
      <c r="J197" s="22" t="n">
        <v>1</v>
      </c>
      <c r="K197" s="22" t="n">
        <v>39</v>
      </c>
      <c r="L197" s="25" t="n">
        <v>10.4</v>
      </c>
      <c r="M197" s="25" t="n">
        <v>405.6</v>
      </c>
      <c r="N197" s="25" t="n">
        <v>52.08</v>
      </c>
      <c r="O197" s="25" t="n">
        <v>457.68</v>
      </c>
      <c r="P197" s="22" t="s">
        <v>11407</v>
      </c>
      <c r="Q197" s="23" t="n">
        <v>46249</v>
      </c>
      <c r="R197" s="22" t="n">
        <f aca="false">I197*J197</f>
        <v>39</v>
      </c>
      <c r="S197" s="25" t="n">
        <f aca="false">K197-R197</f>
        <v>0</v>
      </c>
      <c r="T197" s="25" t="n">
        <f aca="false">K197*L197</f>
        <v>405.6</v>
      </c>
      <c r="U197" s="25" t="n">
        <f aca="false">M197-T197</f>
        <v>0</v>
      </c>
      <c r="V197" s="25" t="n">
        <f aca="false">M197+N197</f>
        <v>457.68</v>
      </c>
      <c r="W197" s="25" t="n">
        <f aca="false">O197-V197</f>
        <v>0</v>
      </c>
      <c r="X197" s="22" t="str">
        <f aca="false">IF(OR(ABS(S197)&gt;0.005,ABS(U197)&gt;0.005,ABS(W197)&gt;0.005),"Subledger arithmetic error","OK")</f>
        <v>OK</v>
      </c>
      <c r="Y197" s="22" t="str">
        <f aca="false">IF(X197="OK","","Priority 3")</f>
        <v/>
      </c>
    </row>
    <row r="198" customFormat="false" ht="15" hidden="false" customHeight="false" outlineLevel="0" collapsed="false">
      <c r="A198" s="22" t="s">
        <v>11799</v>
      </c>
      <c r="B198" s="23" t="n">
        <v>46235</v>
      </c>
      <c r="C198" s="22" t="s">
        <v>11800</v>
      </c>
      <c r="D198" s="22" t="s">
        <v>3437</v>
      </c>
      <c r="E198" s="22" t="s">
        <v>7178</v>
      </c>
      <c r="F198" s="22" t="s">
        <v>198</v>
      </c>
      <c r="G198" s="22" t="s">
        <v>8601</v>
      </c>
      <c r="H198" s="22" t="s">
        <v>11406</v>
      </c>
      <c r="I198" s="22" t="n">
        <v>28</v>
      </c>
      <c r="J198" s="22" t="n">
        <v>1</v>
      </c>
      <c r="K198" s="22" t="n">
        <v>28</v>
      </c>
      <c r="L198" s="25" t="n">
        <v>10.4</v>
      </c>
      <c r="M198" s="25" t="n">
        <v>291.2</v>
      </c>
      <c r="N198" s="25" t="n">
        <v>37.39</v>
      </c>
      <c r="O198" s="25" t="n">
        <v>328.59</v>
      </c>
      <c r="P198" s="22" t="s">
        <v>11407</v>
      </c>
      <c r="Q198" s="23" t="n">
        <v>46249</v>
      </c>
      <c r="R198" s="22" t="n">
        <f aca="false">I198*J198</f>
        <v>28</v>
      </c>
      <c r="S198" s="25" t="n">
        <f aca="false">K198-R198</f>
        <v>0</v>
      </c>
      <c r="T198" s="25" t="n">
        <f aca="false">K198*L198</f>
        <v>291.2</v>
      </c>
      <c r="U198" s="25" t="n">
        <f aca="false">M198-T198</f>
        <v>0</v>
      </c>
      <c r="V198" s="25" t="n">
        <f aca="false">M198+N198</f>
        <v>328.59</v>
      </c>
      <c r="W198" s="25" t="n">
        <f aca="false">O198-V198</f>
        <v>0</v>
      </c>
      <c r="X198" s="22" t="str">
        <f aca="false">IF(OR(ABS(S198)&gt;0.005,ABS(U198)&gt;0.005,ABS(W198)&gt;0.005),"Subledger arithmetic error","OK")</f>
        <v>OK</v>
      </c>
      <c r="Y198" s="22" t="str">
        <f aca="false">IF(X198="OK","","Priority 3")</f>
        <v/>
      </c>
    </row>
    <row r="199" customFormat="false" ht="15" hidden="false" customHeight="false" outlineLevel="0" collapsed="false">
      <c r="A199" s="22" t="s">
        <v>11801</v>
      </c>
      <c r="B199" s="23" t="n">
        <v>46235</v>
      </c>
      <c r="C199" s="22" t="s">
        <v>11802</v>
      </c>
      <c r="D199" s="22" t="s">
        <v>5260</v>
      </c>
      <c r="E199" s="22" t="s">
        <v>7180</v>
      </c>
      <c r="F199" s="22" t="s">
        <v>198</v>
      </c>
      <c r="G199" s="22" t="s">
        <v>8601</v>
      </c>
      <c r="H199" s="22" t="s">
        <v>11406</v>
      </c>
      <c r="I199" s="22" t="n">
        <v>58</v>
      </c>
      <c r="J199" s="22" t="n">
        <v>1</v>
      </c>
      <c r="K199" s="22" t="n">
        <v>58</v>
      </c>
      <c r="L199" s="25" t="n">
        <v>10.4</v>
      </c>
      <c r="M199" s="25" t="n">
        <v>603.2</v>
      </c>
      <c r="N199" s="25" t="n">
        <v>77.45</v>
      </c>
      <c r="O199" s="25" t="n">
        <v>680.65</v>
      </c>
      <c r="P199" s="22" t="s">
        <v>11407</v>
      </c>
      <c r="Q199" s="23" t="n">
        <v>46249</v>
      </c>
      <c r="R199" s="22" t="n">
        <f aca="false">I199*J199</f>
        <v>58</v>
      </c>
      <c r="S199" s="25" t="n">
        <f aca="false">K199-R199</f>
        <v>0</v>
      </c>
      <c r="T199" s="25" t="n">
        <f aca="false">K199*L199</f>
        <v>603.2</v>
      </c>
      <c r="U199" s="25" t="n">
        <f aca="false">M199-T199</f>
        <v>0</v>
      </c>
      <c r="V199" s="25" t="n">
        <f aca="false">M199+N199</f>
        <v>680.65</v>
      </c>
      <c r="W199" s="25" t="n">
        <f aca="false">O199-V199</f>
        <v>0</v>
      </c>
      <c r="X199" s="22" t="str">
        <f aca="false">IF(OR(ABS(S199)&gt;0.005,ABS(U199)&gt;0.005,ABS(W199)&gt;0.005),"Subledger arithmetic error","OK")</f>
        <v>OK</v>
      </c>
      <c r="Y199" s="22" t="str">
        <f aca="false">IF(X199="OK","","Priority 3")</f>
        <v/>
      </c>
    </row>
    <row r="200" customFormat="false" ht="15" hidden="false" customHeight="false" outlineLevel="0" collapsed="false">
      <c r="A200" s="22" t="s">
        <v>11803</v>
      </c>
      <c r="B200" s="23" t="n">
        <v>46235</v>
      </c>
      <c r="C200" s="22" t="s">
        <v>11804</v>
      </c>
      <c r="D200" s="22" t="s">
        <v>4060</v>
      </c>
      <c r="E200" s="22" t="s">
        <v>7182</v>
      </c>
      <c r="F200" s="22" t="s">
        <v>198</v>
      </c>
      <c r="G200" s="22" t="s">
        <v>8601</v>
      </c>
      <c r="H200" s="22" t="s">
        <v>11406</v>
      </c>
      <c r="I200" s="22" t="n">
        <v>24</v>
      </c>
      <c r="J200" s="22" t="n">
        <v>1</v>
      </c>
      <c r="K200" s="22" t="n">
        <v>24</v>
      </c>
      <c r="L200" s="25" t="n">
        <v>10.4</v>
      </c>
      <c r="M200" s="25" t="n">
        <v>249.6</v>
      </c>
      <c r="N200" s="25" t="n">
        <v>32.05</v>
      </c>
      <c r="O200" s="25" t="n">
        <v>281.65</v>
      </c>
      <c r="P200" s="22" t="s">
        <v>11407</v>
      </c>
      <c r="Q200" s="23" t="n">
        <v>46249</v>
      </c>
      <c r="R200" s="22" t="n">
        <f aca="false">I200*J200</f>
        <v>24</v>
      </c>
      <c r="S200" s="25" t="n">
        <f aca="false">K200-R200</f>
        <v>0</v>
      </c>
      <c r="T200" s="25" t="n">
        <f aca="false">K200*L200</f>
        <v>249.6</v>
      </c>
      <c r="U200" s="25" t="n">
        <f aca="false">M200-T200</f>
        <v>0</v>
      </c>
      <c r="V200" s="25" t="n">
        <f aca="false">M200+N200</f>
        <v>281.65</v>
      </c>
      <c r="W200" s="25" t="n">
        <f aca="false">O200-V200</f>
        <v>0</v>
      </c>
      <c r="X200" s="22" t="str">
        <f aca="false">IF(OR(ABS(S200)&gt;0.005,ABS(U200)&gt;0.005,ABS(W200)&gt;0.005),"Subledger arithmetic error","OK")</f>
        <v>OK</v>
      </c>
      <c r="Y200" s="22" t="str">
        <f aca="false">IF(X200="OK","","Priority 3")</f>
        <v/>
      </c>
    </row>
    <row r="201" customFormat="false" ht="15" hidden="false" customHeight="false" outlineLevel="0" collapsed="false">
      <c r="A201" s="22" t="s">
        <v>11805</v>
      </c>
      <c r="B201" s="23" t="n">
        <v>46235</v>
      </c>
      <c r="C201" s="22" t="s">
        <v>11806</v>
      </c>
      <c r="D201" s="22" t="s">
        <v>1032</v>
      </c>
      <c r="E201" s="22" t="s">
        <v>7185</v>
      </c>
      <c r="F201" s="22" t="s">
        <v>198</v>
      </c>
      <c r="G201" s="22" t="s">
        <v>8601</v>
      </c>
      <c r="H201" s="22" t="s">
        <v>11406</v>
      </c>
      <c r="I201" s="22" t="n">
        <v>60</v>
      </c>
      <c r="J201" s="22" t="n">
        <v>1</v>
      </c>
      <c r="K201" s="22" t="n">
        <v>60</v>
      </c>
      <c r="L201" s="25" t="n">
        <v>10.4</v>
      </c>
      <c r="M201" s="25" t="n">
        <v>624</v>
      </c>
      <c r="N201" s="25" t="n">
        <v>80.12</v>
      </c>
      <c r="O201" s="25" t="n">
        <v>704.12</v>
      </c>
      <c r="P201" s="22" t="s">
        <v>11407</v>
      </c>
      <c r="Q201" s="23" t="n">
        <v>46249</v>
      </c>
      <c r="R201" s="22" t="n">
        <f aca="false">I201*J201</f>
        <v>60</v>
      </c>
      <c r="S201" s="25" t="n">
        <f aca="false">K201-R201</f>
        <v>0</v>
      </c>
      <c r="T201" s="25" t="n">
        <f aca="false">K201*L201</f>
        <v>624</v>
      </c>
      <c r="U201" s="25" t="n">
        <f aca="false">M201-T201</f>
        <v>0</v>
      </c>
      <c r="V201" s="25" t="n">
        <f aca="false">M201+N201</f>
        <v>704.12</v>
      </c>
      <c r="W201" s="25" t="n">
        <f aca="false">O201-V201</f>
        <v>0</v>
      </c>
      <c r="X201" s="22" t="str">
        <f aca="false">IF(OR(ABS(S201)&gt;0.005,ABS(U201)&gt;0.005,ABS(W201)&gt;0.005),"Subledger arithmetic error","OK")</f>
        <v>OK</v>
      </c>
      <c r="Y201" s="22" t="str">
        <f aca="false">IF(X201="OK","","Priority 3")</f>
        <v/>
      </c>
    </row>
    <row r="202" customFormat="false" ht="15" hidden="false" customHeight="false" outlineLevel="0" collapsed="false">
      <c r="A202" s="22" t="s">
        <v>11807</v>
      </c>
      <c r="B202" s="23" t="n">
        <v>46235</v>
      </c>
      <c r="C202" s="22" t="s">
        <v>11808</v>
      </c>
      <c r="D202" s="22" t="s">
        <v>5107</v>
      </c>
      <c r="E202" s="22" t="s">
        <v>7187</v>
      </c>
      <c r="F202" s="22" t="s">
        <v>198</v>
      </c>
      <c r="G202" s="22" t="s">
        <v>8601</v>
      </c>
      <c r="H202" s="22" t="s">
        <v>11406</v>
      </c>
      <c r="I202" s="22" t="n">
        <v>55</v>
      </c>
      <c r="J202" s="22" t="n">
        <v>1</v>
      </c>
      <c r="K202" s="22" t="n">
        <v>55</v>
      </c>
      <c r="L202" s="25" t="n">
        <v>10.4</v>
      </c>
      <c r="M202" s="25" t="n">
        <v>572</v>
      </c>
      <c r="N202" s="25" t="n">
        <v>73.44</v>
      </c>
      <c r="O202" s="25" t="n">
        <v>645.44</v>
      </c>
      <c r="P202" s="22" t="s">
        <v>11407</v>
      </c>
      <c r="Q202" s="23" t="n">
        <v>46249</v>
      </c>
      <c r="R202" s="22" t="n">
        <f aca="false">I202*J202</f>
        <v>55</v>
      </c>
      <c r="S202" s="25" t="n">
        <f aca="false">K202-R202</f>
        <v>0</v>
      </c>
      <c r="T202" s="25" t="n">
        <f aca="false">K202*L202</f>
        <v>572</v>
      </c>
      <c r="U202" s="25" t="n">
        <f aca="false">M202-T202</f>
        <v>0</v>
      </c>
      <c r="V202" s="25" t="n">
        <f aca="false">M202+N202</f>
        <v>645.44</v>
      </c>
      <c r="W202" s="25" t="n">
        <f aca="false">O202-V202</f>
        <v>0</v>
      </c>
      <c r="X202" s="22" t="str">
        <f aca="false">IF(OR(ABS(S202)&gt;0.005,ABS(U202)&gt;0.005,ABS(W202)&gt;0.005),"Subledger arithmetic error","OK")</f>
        <v>OK</v>
      </c>
      <c r="Y202" s="22" t="str">
        <f aca="false">IF(X202="OK","","Priority 3")</f>
        <v/>
      </c>
    </row>
    <row r="203" customFormat="false" ht="15" hidden="false" customHeight="false" outlineLevel="0" collapsed="false">
      <c r="A203" s="22" t="s">
        <v>11809</v>
      </c>
      <c r="B203" s="23" t="n">
        <v>46235</v>
      </c>
      <c r="C203" s="22" t="s">
        <v>11810</v>
      </c>
      <c r="D203" s="22" t="s">
        <v>5524</v>
      </c>
      <c r="E203" s="22" t="s">
        <v>7191</v>
      </c>
      <c r="F203" s="22" t="s">
        <v>198</v>
      </c>
      <c r="G203" s="22" t="s">
        <v>8601</v>
      </c>
      <c r="H203" s="22" t="s">
        <v>11406</v>
      </c>
      <c r="I203" s="22" t="n">
        <v>62</v>
      </c>
      <c r="J203" s="22" t="n">
        <v>1</v>
      </c>
      <c r="K203" s="22" t="n">
        <v>62</v>
      </c>
      <c r="L203" s="25" t="n">
        <v>10.4</v>
      </c>
      <c r="M203" s="25" t="n">
        <v>644.8</v>
      </c>
      <c r="N203" s="25" t="n">
        <v>82.79</v>
      </c>
      <c r="O203" s="25" t="n">
        <v>727.59</v>
      </c>
      <c r="P203" s="22" t="s">
        <v>11407</v>
      </c>
      <c r="Q203" s="23" t="n">
        <v>46249</v>
      </c>
      <c r="R203" s="22" t="n">
        <f aca="false">I203*J203</f>
        <v>62</v>
      </c>
      <c r="S203" s="25" t="n">
        <f aca="false">K203-R203</f>
        <v>0</v>
      </c>
      <c r="T203" s="25" t="n">
        <f aca="false">K203*L203</f>
        <v>644.8</v>
      </c>
      <c r="U203" s="25" t="n">
        <f aca="false">M203-T203</f>
        <v>0</v>
      </c>
      <c r="V203" s="25" t="n">
        <f aca="false">M203+N203</f>
        <v>727.59</v>
      </c>
      <c r="W203" s="25" t="n">
        <f aca="false">O203-V203</f>
        <v>0</v>
      </c>
      <c r="X203" s="22" t="str">
        <f aca="false">IF(OR(ABS(S203)&gt;0.005,ABS(U203)&gt;0.005,ABS(W203)&gt;0.005),"Subledger arithmetic error","OK")</f>
        <v>OK</v>
      </c>
      <c r="Y203" s="22" t="str">
        <f aca="false">IF(X203="OK","","Priority 3")</f>
        <v/>
      </c>
    </row>
    <row r="204" customFormat="false" ht="15" hidden="false" customHeight="false" outlineLevel="0" collapsed="false">
      <c r="A204" s="22" t="s">
        <v>11811</v>
      </c>
      <c r="B204" s="23" t="n">
        <v>46235</v>
      </c>
      <c r="C204" s="22" t="s">
        <v>11812</v>
      </c>
      <c r="D204" s="22" t="s">
        <v>1027</v>
      </c>
      <c r="E204" s="22" t="s">
        <v>7194</v>
      </c>
      <c r="F204" s="22" t="s">
        <v>198</v>
      </c>
      <c r="G204" s="22" t="s">
        <v>8601</v>
      </c>
      <c r="H204" s="22" t="s">
        <v>11406</v>
      </c>
      <c r="I204" s="22" t="n">
        <v>57</v>
      </c>
      <c r="J204" s="22" t="n">
        <v>1</v>
      </c>
      <c r="K204" s="22" t="n">
        <v>57</v>
      </c>
      <c r="L204" s="25" t="n">
        <v>10.4</v>
      </c>
      <c r="M204" s="25" t="n">
        <v>592.8</v>
      </c>
      <c r="N204" s="25" t="n">
        <v>76.12</v>
      </c>
      <c r="O204" s="25" t="n">
        <v>668.92</v>
      </c>
      <c r="P204" s="22" t="s">
        <v>11407</v>
      </c>
      <c r="Q204" s="23" t="n">
        <v>46249</v>
      </c>
      <c r="R204" s="22" t="n">
        <f aca="false">I204*J204</f>
        <v>57</v>
      </c>
      <c r="S204" s="25" t="n">
        <f aca="false">K204-R204</f>
        <v>0</v>
      </c>
      <c r="T204" s="25" t="n">
        <f aca="false">K204*L204</f>
        <v>592.8</v>
      </c>
      <c r="U204" s="25" t="n">
        <f aca="false">M204-T204</f>
        <v>0</v>
      </c>
      <c r="V204" s="25" t="n">
        <f aca="false">M204+N204</f>
        <v>668.92</v>
      </c>
      <c r="W204" s="25" t="n">
        <f aca="false">O204-V204</f>
        <v>0</v>
      </c>
      <c r="X204" s="22" t="str">
        <f aca="false">IF(OR(ABS(S204)&gt;0.005,ABS(U204)&gt;0.005,ABS(W204)&gt;0.005),"Subledger arithmetic error","OK")</f>
        <v>OK</v>
      </c>
      <c r="Y204" s="22" t="str">
        <f aca="false">IF(X204="OK","","Priority 3")</f>
        <v/>
      </c>
    </row>
    <row r="205" customFormat="false" ht="15" hidden="false" customHeight="false" outlineLevel="0" collapsed="false">
      <c r="A205" s="22" t="s">
        <v>11813</v>
      </c>
      <c r="B205" s="23" t="n">
        <v>46235</v>
      </c>
      <c r="C205" s="22" t="s">
        <v>11814</v>
      </c>
      <c r="D205" s="22" t="s">
        <v>5574</v>
      </c>
      <c r="E205" s="22" t="s">
        <v>7196</v>
      </c>
      <c r="F205" s="22" t="s">
        <v>198</v>
      </c>
      <c r="G205" s="22" t="s">
        <v>8601</v>
      </c>
      <c r="H205" s="22" t="s">
        <v>11406</v>
      </c>
      <c r="I205" s="22" t="n">
        <v>34</v>
      </c>
      <c r="J205" s="22" t="n">
        <v>1</v>
      </c>
      <c r="K205" s="22" t="n">
        <v>34</v>
      </c>
      <c r="L205" s="25" t="n">
        <v>10.4</v>
      </c>
      <c r="M205" s="25" t="n">
        <v>353.6</v>
      </c>
      <c r="N205" s="25" t="n">
        <v>45.4</v>
      </c>
      <c r="O205" s="25" t="n">
        <v>399</v>
      </c>
      <c r="P205" s="22" t="s">
        <v>11407</v>
      </c>
      <c r="Q205" s="23" t="n">
        <v>46249</v>
      </c>
      <c r="R205" s="22" t="n">
        <f aca="false">I205*J205</f>
        <v>34</v>
      </c>
      <c r="S205" s="25" t="n">
        <f aca="false">K205-R205</f>
        <v>0</v>
      </c>
      <c r="T205" s="25" t="n">
        <f aca="false">K205*L205</f>
        <v>353.6</v>
      </c>
      <c r="U205" s="25" t="n">
        <f aca="false">M205-T205</f>
        <v>0</v>
      </c>
      <c r="V205" s="25" t="n">
        <f aca="false">M205+N205</f>
        <v>399</v>
      </c>
      <c r="W205" s="25" t="n">
        <f aca="false">O205-V205</f>
        <v>0</v>
      </c>
      <c r="X205" s="22" t="str">
        <f aca="false">IF(OR(ABS(S205)&gt;0.005,ABS(U205)&gt;0.005,ABS(W205)&gt;0.005),"Subledger arithmetic error","OK")</f>
        <v>OK</v>
      </c>
      <c r="Y205" s="22" t="str">
        <f aca="false">IF(X205="OK","","Priority 3")</f>
        <v/>
      </c>
    </row>
    <row r="206" customFormat="false" ht="15" hidden="false" customHeight="false" outlineLevel="0" collapsed="false">
      <c r="A206" s="22" t="s">
        <v>11815</v>
      </c>
      <c r="B206" s="23" t="n">
        <v>46235</v>
      </c>
      <c r="C206" s="22" t="s">
        <v>11816</v>
      </c>
      <c r="D206" s="22" t="s">
        <v>6196</v>
      </c>
      <c r="E206" s="22" t="s">
        <v>7198</v>
      </c>
      <c r="F206" s="22" t="s">
        <v>198</v>
      </c>
      <c r="G206" s="22" t="s">
        <v>8601</v>
      </c>
      <c r="H206" s="22" t="s">
        <v>11406</v>
      </c>
      <c r="I206" s="22" t="n">
        <v>38</v>
      </c>
      <c r="J206" s="22" t="n">
        <v>1</v>
      </c>
      <c r="K206" s="22" t="n">
        <v>38</v>
      </c>
      <c r="L206" s="25" t="n">
        <v>10.4</v>
      </c>
      <c r="M206" s="25" t="n">
        <v>395.2</v>
      </c>
      <c r="N206" s="25" t="n">
        <v>50.74</v>
      </c>
      <c r="O206" s="25" t="n">
        <v>445.94</v>
      </c>
      <c r="P206" s="22" t="s">
        <v>11407</v>
      </c>
      <c r="Q206" s="23" t="n">
        <v>46249</v>
      </c>
      <c r="R206" s="22" t="n">
        <f aca="false">I206*J206</f>
        <v>38</v>
      </c>
      <c r="S206" s="25" t="n">
        <f aca="false">K206-R206</f>
        <v>0</v>
      </c>
      <c r="T206" s="25" t="n">
        <f aca="false">K206*L206</f>
        <v>395.2</v>
      </c>
      <c r="U206" s="25" t="n">
        <f aca="false">M206-T206</f>
        <v>0</v>
      </c>
      <c r="V206" s="25" t="n">
        <f aca="false">M206+N206</f>
        <v>445.94</v>
      </c>
      <c r="W206" s="25" t="n">
        <f aca="false">O206-V206</f>
        <v>0</v>
      </c>
      <c r="X206" s="22" t="str">
        <f aca="false">IF(OR(ABS(S206)&gt;0.005,ABS(U206)&gt;0.005,ABS(W206)&gt;0.005),"Subledger arithmetic error","OK")</f>
        <v>OK</v>
      </c>
      <c r="Y206" s="22" t="str">
        <f aca="false">IF(X206="OK","","Priority 3")</f>
        <v/>
      </c>
    </row>
    <row r="207" customFormat="false" ht="15" hidden="false" customHeight="false" outlineLevel="0" collapsed="false">
      <c r="A207" s="22" t="s">
        <v>11817</v>
      </c>
      <c r="B207" s="23" t="n">
        <v>46235</v>
      </c>
      <c r="C207" s="22" t="s">
        <v>11818</v>
      </c>
      <c r="D207" s="22" t="s">
        <v>4160</v>
      </c>
      <c r="E207" s="22" t="s">
        <v>7201</v>
      </c>
      <c r="F207" s="22" t="s">
        <v>198</v>
      </c>
      <c r="G207" s="22" t="s">
        <v>8601</v>
      </c>
      <c r="H207" s="22" t="s">
        <v>11406</v>
      </c>
      <c r="I207" s="22" t="n">
        <v>36</v>
      </c>
      <c r="J207" s="22" t="n">
        <v>1</v>
      </c>
      <c r="K207" s="22" t="n">
        <v>36</v>
      </c>
      <c r="L207" s="25" t="n">
        <v>10.4</v>
      </c>
      <c r="M207" s="25" t="n">
        <v>374.4</v>
      </c>
      <c r="N207" s="25" t="n">
        <v>48.07</v>
      </c>
      <c r="O207" s="25" t="n">
        <v>422.47</v>
      </c>
      <c r="P207" s="22" t="s">
        <v>11407</v>
      </c>
      <c r="Q207" s="23" t="n">
        <v>46249</v>
      </c>
      <c r="R207" s="22" t="n">
        <f aca="false">I207*J207</f>
        <v>36</v>
      </c>
      <c r="S207" s="25" t="n">
        <f aca="false">K207-R207</f>
        <v>0</v>
      </c>
      <c r="T207" s="25" t="n">
        <f aca="false">K207*L207</f>
        <v>374.4</v>
      </c>
      <c r="U207" s="25" t="n">
        <f aca="false">M207-T207</f>
        <v>0</v>
      </c>
      <c r="V207" s="25" t="n">
        <f aca="false">M207+N207</f>
        <v>422.47</v>
      </c>
      <c r="W207" s="25" t="n">
        <f aca="false">O207-V207</f>
        <v>0</v>
      </c>
      <c r="X207" s="22" t="str">
        <f aca="false">IF(OR(ABS(S207)&gt;0.005,ABS(U207)&gt;0.005,ABS(W207)&gt;0.005),"Subledger arithmetic error","OK")</f>
        <v>OK</v>
      </c>
      <c r="Y207" s="22" t="str">
        <f aca="false">IF(X207="OK","","Priority 3")</f>
        <v/>
      </c>
    </row>
    <row r="208" customFormat="false" ht="15" hidden="false" customHeight="false" outlineLevel="0" collapsed="false">
      <c r="A208" s="22" t="s">
        <v>11819</v>
      </c>
      <c r="B208" s="23" t="n">
        <v>46235</v>
      </c>
      <c r="C208" s="22" t="s">
        <v>11820</v>
      </c>
      <c r="D208" s="22" t="s">
        <v>6107</v>
      </c>
      <c r="E208" s="22" t="s">
        <v>7204</v>
      </c>
      <c r="F208" s="22" t="s">
        <v>198</v>
      </c>
      <c r="G208" s="22" t="s">
        <v>8601</v>
      </c>
      <c r="H208" s="22" t="s">
        <v>11406</v>
      </c>
      <c r="I208" s="22" t="n">
        <v>58</v>
      </c>
      <c r="J208" s="22" t="n">
        <v>1</v>
      </c>
      <c r="K208" s="22" t="n">
        <v>58</v>
      </c>
      <c r="L208" s="25" t="n">
        <v>10.4</v>
      </c>
      <c r="M208" s="25" t="n">
        <v>603.2</v>
      </c>
      <c r="N208" s="25" t="n">
        <v>77.45</v>
      </c>
      <c r="O208" s="25" t="n">
        <v>680.65</v>
      </c>
      <c r="P208" s="22" t="s">
        <v>11407</v>
      </c>
      <c r="Q208" s="23" t="n">
        <v>46249</v>
      </c>
      <c r="R208" s="22" t="n">
        <f aca="false">I208*J208</f>
        <v>58</v>
      </c>
      <c r="S208" s="25" t="n">
        <f aca="false">K208-R208</f>
        <v>0</v>
      </c>
      <c r="T208" s="25" t="n">
        <f aca="false">K208*L208</f>
        <v>603.2</v>
      </c>
      <c r="U208" s="25" t="n">
        <f aca="false">M208-T208</f>
        <v>0</v>
      </c>
      <c r="V208" s="25" t="n">
        <f aca="false">M208+N208</f>
        <v>680.65</v>
      </c>
      <c r="W208" s="25" t="n">
        <f aca="false">O208-V208</f>
        <v>0</v>
      </c>
      <c r="X208" s="22" t="str">
        <f aca="false">IF(OR(ABS(S208)&gt;0.005,ABS(U208)&gt;0.005,ABS(W208)&gt;0.005),"Subledger arithmetic error","OK")</f>
        <v>OK</v>
      </c>
      <c r="Y208" s="22" t="str">
        <f aca="false">IF(X208="OK","","Priority 3")</f>
        <v/>
      </c>
    </row>
    <row r="209" customFormat="false" ht="15" hidden="false" customHeight="false" outlineLevel="0" collapsed="false">
      <c r="A209" s="22" t="s">
        <v>11821</v>
      </c>
      <c r="B209" s="23" t="n">
        <v>46235</v>
      </c>
      <c r="C209" s="22" t="s">
        <v>11822</v>
      </c>
      <c r="D209" s="22" t="s">
        <v>4156</v>
      </c>
      <c r="E209" s="22" t="s">
        <v>7207</v>
      </c>
      <c r="F209" s="22" t="s">
        <v>198</v>
      </c>
      <c r="G209" s="22" t="s">
        <v>8601</v>
      </c>
      <c r="H209" s="22" t="s">
        <v>11406</v>
      </c>
      <c r="I209" s="22" t="n">
        <v>59</v>
      </c>
      <c r="J209" s="22" t="n">
        <v>1</v>
      </c>
      <c r="K209" s="22" t="n">
        <v>59</v>
      </c>
      <c r="L209" s="25" t="n">
        <v>10.4</v>
      </c>
      <c r="M209" s="25" t="n">
        <v>613.6</v>
      </c>
      <c r="N209" s="25" t="n">
        <v>78.79</v>
      </c>
      <c r="O209" s="25" t="n">
        <v>692.39</v>
      </c>
      <c r="P209" s="22" t="s">
        <v>11410</v>
      </c>
      <c r="Q209" s="23" t="n">
        <v>46249</v>
      </c>
      <c r="R209" s="22" t="n">
        <f aca="false">I209*J209</f>
        <v>59</v>
      </c>
      <c r="S209" s="25" t="n">
        <f aca="false">K209-R209</f>
        <v>0</v>
      </c>
      <c r="T209" s="25" t="n">
        <f aca="false">K209*L209</f>
        <v>613.6</v>
      </c>
      <c r="U209" s="25" t="n">
        <f aca="false">M209-T209</f>
        <v>0</v>
      </c>
      <c r="V209" s="25" t="n">
        <f aca="false">M209+N209</f>
        <v>692.39</v>
      </c>
      <c r="W209" s="25" t="n">
        <f aca="false">O209-V209</f>
        <v>0</v>
      </c>
      <c r="X209" s="22" t="str">
        <f aca="false">IF(OR(ABS(S209)&gt;0.005,ABS(U209)&gt;0.005,ABS(W209)&gt;0.005),"Subledger arithmetic error","OK")</f>
        <v>OK</v>
      </c>
      <c r="Y209" s="22" t="str">
        <f aca="false">IF(X209="OK","","Priority 3")</f>
        <v/>
      </c>
    </row>
    <row r="210" customFormat="false" ht="15" hidden="false" customHeight="false" outlineLevel="0" collapsed="false">
      <c r="A210" s="22" t="s">
        <v>11823</v>
      </c>
      <c r="B210" s="23" t="n">
        <v>46235</v>
      </c>
      <c r="C210" s="22" t="s">
        <v>11824</v>
      </c>
      <c r="D210" s="22" t="s">
        <v>2263</v>
      </c>
      <c r="E210" s="22" t="s">
        <v>7210</v>
      </c>
      <c r="F210" s="22" t="s">
        <v>198</v>
      </c>
      <c r="G210" s="22" t="s">
        <v>8601</v>
      </c>
      <c r="H210" s="22" t="s">
        <v>11406</v>
      </c>
      <c r="I210" s="22" t="n">
        <v>32</v>
      </c>
      <c r="J210" s="22" t="n">
        <v>1</v>
      </c>
      <c r="K210" s="22" t="n">
        <v>32</v>
      </c>
      <c r="L210" s="25" t="n">
        <v>10.4</v>
      </c>
      <c r="M210" s="25" t="n">
        <v>332.8</v>
      </c>
      <c r="N210" s="25" t="n">
        <v>42.73</v>
      </c>
      <c r="O210" s="25" t="n">
        <v>375.53</v>
      </c>
      <c r="P210" s="22" t="s">
        <v>11407</v>
      </c>
      <c r="Q210" s="23" t="n">
        <v>46249</v>
      </c>
      <c r="R210" s="22" t="n">
        <f aca="false">I210*J210</f>
        <v>32</v>
      </c>
      <c r="S210" s="25" t="n">
        <f aca="false">K210-R210</f>
        <v>0</v>
      </c>
      <c r="T210" s="25" t="n">
        <f aca="false">K210*L210</f>
        <v>332.8</v>
      </c>
      <c r="U210" s="25" t="n">
        <f aca="false">M210-T210</f>
        <v>0</v>
      </c>
      <c r="V210" s="25" t="n">
        <f aca="false">M210+N210</f>
        <v>375.53</v>
      </c>
      <c r="W210" s="25" t="n">
        <f aca="false">O210-V210</f>
        <v>0</v>
      </c>
      <c r="X210" s="22" t="str">
        <f aca="false">IF(OR(ABS(S210)&gt;0.005,ABS(U210)&gt;0.005,ABS(W210)&gt;0.005),"Subledger arithmetic error","OK")</f>
        <v>OK</v>
      </c>
      <c r="Y210" s="22" t="str">
        <f aca="false">IF(X210="OK","","Priority 3")</f>
        <v/>
      </c>
    </row>
    <row r="211" customFormat="false" ht="15" hidden="false" customHeight="false" outlineLevel="0" collapsed="false">
      <c r="A211" s="22" t="s">
        <v>11825</v>
      </c>
      <c r="B211" s="23" t="n">
        <v>46235</v>
      </c>
      <c r="C211" s="22" t="s">
        <v>11826</v>
      </c>
      <c r="D211" s="22" t="s">
        <v>1972</v>
      </c>
      <c r="E211" s="22" t="s">
        <v>7212</v>
      </c>
      <c r="F211" s="22" t="s">
        <v>198</v>
      </c>
      <c r="G211" s="22" t="s">
        <v>8601</v>
      </c>
      <c r="H211" s="22" t="s">
        <v>11406</v>
      </c>
      <c r="I211" s="22" t="n">
        <v>62</v>
      </c>
      <c r="J211" s="22" t="n">
        <v>1</v>
      </c>
      <c r="K211" s="22" t="n">
        <v>62</v>
      </c>
      <c r="L211" s="25" t="n">
        <v>10.4</v>
      </c>
      <c r="M211" s="25" t="n">
        <v>644.8</v>
      </c>
      <c r="N211" s="25" t="n">
        <v>82.79</v>
      </c>
      <c r="O211" s="25" t="n">
        <v>727.59</v>
      </c>
      <c r="P211" s="22" t="s">
        <v>11407</v>
      </c>
      <c r="Q211" s="23" t="n">
        <v>46249</v>
      </c>
      <c r="R211" s="22" t="n">
        <f aca="false">I211*J211</f>
        <v>62</v>
      </c>
      <c r="S211" s="25" t="n">
        <f aca="false">K211-R211</f>
        <v>0</v>
      </c>
      <c r="T211" s="25" t="n">
        <f aca="false">K211*L211</f>
        <v>644.8</v>
      </c>
      <c r="U211" s="25" t="n">
        <f aca="false">M211-T211</f>
        <v>0</v>
      </c>
      <c r="V211" s="25" t="n">
        <f aca="false">M211+N211</f>
        <v>727.59</v>
      </c>
      <c r="W211" s="25" t="n">
        <f aca="false">O211-V211</f>
        <v>0</v>
      </c>
      <c r="X211" s="22" t="str">
        <f aca="false">IF(OR(ABS(S211)&gt;0.005,ABS(U211)&gt;0.005,ABS(W211)&gt;0.005),"Subledger arithmetic error","OK")</f>
        <v>OK</v>
      </c>
      <c r="Y211" s="22" t="str">
        <f aca="false">IF(X211="OK","","Priority 3")</f>
        <v/>
      </c>
    </row>
    <row r="212" customFormat="false" ht="15" hidden="false" customHeight="false" outlineLevel="0" collapsed="false">
      <c r="A212" s="22" t="s">
        <v>11827</v>
      </c>
      <c r="B212" s="23" t="n">
        <v>46235</v>
      </c>
      <c r="C212" s="22" t="s">
        <v>11828</v>
      </c>
      <c r="D212" s="22" t="s">
        <v>4576</v>
      </c>
      <c r="E212" s="22" t="s">
        <v>7215</v>
      </c>
      <c r="F212" s="22" t="s">
        <v>198</v>
      </c>
      <c r="G212" s="22" t="s">
        <v>8601</v>
      </c>
      <c r="H212" s="22" t="s">
        <v>11406</v>
      </c>
      <c r="I212" s="22" t="n">
        <v>41</v>
      </c>
      <c r="J212" s="22" t="n">
        <v>1</v>
      </c>
      <c r="K212" s="22" t="n">
        <v>41</v>
      </c>
      <c r="L212" s="25" t="n">
        <v>10.4</v>
      </c>
      <c r="M212" s="25" t="n">
        <v>426.4</v>
      </c>
      <c r="N212" s="25" t="n">
        <v>54.75</v>
      </c>
      <c r="O212" s="25" t="n">
        <v>481.15</v>
      </c>
      <c r="P212" s="22" t="s">
        <v>11407</v>
      </c>
      <c r="Q212" s="23" t="n">
        <v>46249</v>
      </c>
      <c r="R212" s="22" t="n">
        <f aca="false">I212*J212</f>
        <v>41</v>
      </c>
      <c r="S212" s="25" t="n">
        <f aca="false">K212-R212</f>
        <v>0</v>
      </c>
      <c r="T212" s="25" t="n">
        <f aca="false">K212*L212</f>
        <v>426.4</v>
      </c>
      <c r="U212" s="25" t="n">
        <f aca="false">M212-T212</f>
        <v>0</v>
      </c>
      <c r="V212" s="25" t="n">
        <f aca="false">M212+N212</f>
        <v>481.15</v>
      </c>
      <c r="W212" s="25" t="n">
        <f aca="false">O212-V212</f>
        <v>0</v>
      </c>
      <c r="X212" s="22" t="str">
        <f aca="false">IF(OR(ABS(S212)&gt;0.005,ABS(U212)&gt;0.005,ABS(W212)&gt;0.005),"Subledger arithmetic error","OK")</f>
        <v>OK</v>
      </c>
      <c r="Y212" s="22" t="str">
        <f aca="false">IF(X212="OK","","Priority 3")</f>
        <v/>
      </c>
    </row>
    <row r="213" customFormat="false" ht="15" hidden="false" customHeight="false" outlineLevel="0" collapsed="false">
      <c r="A213" s="22" t="s">
        <v>11829</v>
      </c>
      <c r="B213" s="23" t="n">
        <v>46235</v>
      </c>
      <c r="C213" s="22" t="s">
        <v>11830</v>
      </c>
      <c r="D213" s="22" t="s">
        <v>2834</v>
      </c>
      <c r="E213" s="22" t="s">
        <v>7218</v>
      </c>
      <c r="F213" s="22" t="s">
        <v>198</v>
      </c>
      <c r="G213" s="22" t="s">
        <v>8601</v>
      </c>
      <c r="H213" s="22" t="s">
        <v>11406</v>
      </c>
      <c r="I213" s="22" t="n">
        <v>29</v>
      </c>
      <c r="J213" s="22" t="n">
        <v>1</v>
      </c>
      <c r="K213" s="22" t="n">
        <v>29</v>
      </c>
      <c r="L213" s="25" t="n">
        <v>10.4</v>
      </c>
      <c r="M213" s="25" t="n">
        <v>301.6</v>
      </c>
      <c r="N213" s="25" t="n">
        <v>38.73</v>
      </c>
      <c r="O213" s="25" t="n">
        <v>340.33</v>
      </c>
      <c r="P213" s="22" t="s">
        <v>11407</v>
      </c>
      <c r="Q213" s="23" t="n">
        <v>46249</v>
      </c>
      <c r="R213" s="22" t="n">
        <f aca="false">I213*J213</f>
        <v>29</v>
      </c>
      <c r="S213" s="25" t="n">
        <f aca="false">K213-R213</f>
        <v>0</v>
      </c>
      <c r="T213" s="25" t="n">
        <f aca="false">K213*L213</f>
        <v>301.6</v>
      </c>
      <c r="U213" s="25" t="n">
        <f aca="false">M213-T213</f>
        <v>0</v>
      </c>
      <c r="V213" s="25" t="n">
        <f aca="false">M213+N213</f>
        <v>340.33</v>
      </c>
      <c r="W213" s="25" t="n">
        <f aca="false">O213-V213</f>
        <v>0</v>
      </c>
      <c r="X213" s="22" t="str">
        <f aca="false">IF(OR(ABS(S213)&gt;0.005,ABS(U213)&gt;0.005,ABS(W213)&gt;0.005),"Subledger arithmetic error","OK")</f>
        <v>OK</v>
      </c>
      <c r="Y213" s="22" t="str">
        <f aca="false">IF(X213="OK","","Priority 3")</f>
        <v/>
      </c>
    </row>
    <row r="214" customFormat="false" ht="15" hidden="false" customHeight="false" outlineLevel="0" collapsed="false">
      <c r="A214" s="22" t="s">
        <v>11831</v>
      </c>
      <c r="B214" s="23" t="n">
        <v>46235</v>
      </c>
      <c r="C214" s="22" t="s">
        <v>11832</v>
      </c>
      <c r="D214" s="22" t="s">
        <v>850</v>
      </c>
      <c r="E214" s="22" t="s">
        <v>7221</v>
      </c>
      <c r="F214" s="22" t="s">
        <v>198</v>
      </c>
      <c r="G214" s="22" t="s">
        <v>8601</v>
      </c>
      <c r="H214" s="22" t="s">
        <v>11406</v>
      </c>
      <c r="I214" s="22" t="n">
        <v>28</v>
      </c>
      <c r="J214" s="22" t="n">
        <v>1</v>
      </c>
      <c r="K214" s="22" t="n">
        <v>28</v>
      </c>
      <c r="L214" s="25" t="n">
        <v>10.4</v>
      </c>
      <c r="M214" s="25" t="n">
        <v>291.2</v>
      </c>
      <c r="N214" s="25" t="n">
        <v>37.39</v>
      </c>
      <c r="O214" s="25" t="n">
        <v>328.59</v>
      </c>
      <c r="P214" s="22" t="s">
        <v>11407</v>
      </c>
      <c r="Q214" s="23" t="n">
        <v>46249</v>
      </c>
      <c r="R214" s="22" t="n">
        <f aca="false">I214*J214</f>
        <v>28</v>
      </c>
      <c r="S214" s="25" t="n">
        <f aca="false">K214-R214</f>
        <v>0</v>
      </c>
      <c r="T214" s="25" t="n">
        <f aca="false">K214*L214</f>
        <v>291.2</v>
      </c>
      <c r="U214" s="25" t="n">
        <f aca="false">M214-T214</f>
        <v>0</v>
      </c>
      <c r="V214" s="25" t="n">
        <f aca="false">M214+N214</f>
        <v>328.59</v>
      </c>
      <c r="W214" s="25" t="n">
        <f aca="false">O214-V214</f>
        <v>0</v>
      </c>
      <c r="X214" s="22" t="str">
        <f aca="false">IF(OR(ABS(S214)&gt;0.005,ABS(U214)&gt;0.005,ABS(W214)&gt;0.005),"Subledger arithmetic error","OK")</f>
        <v>OK</v>
      </c>
      <c r="Y214" s="22" t="str">
        <f aca="false">IF(X214="OK","","Priority 3")</f>
        <v/>
      </c>
    </row>
    <row r="215" customFormat="false" ht="15" hidden="false" customHeight="false" outlineLevel="0" collapsed="false">
      <c r="A215" s="22" t="s">
        <v>11833</v>
      </c>
      <c r="B215" s="23" t="n">
        <v>46235</v>
      </c>
      <c r="C215" s="22" t="s">
        <v>11834</v>
      </c>
      <c r="D215" s="22" t="s">
        <v>3782</v>
      </c>
      <c r="E215" s="22" t="s">
        <v>7223</v>
      </c>
      <c r="F215" s="22" t="s">
        <v>198</v>
      </c>
      <c r="G215" s="22" t="s">
        <v>8601</v>
      </c>
      <c r="H215" s="22" t="s">
        <v>11406</v>
      </c>
      <c r="I215" s="22" t="n">
        <v>24</v>
      </c>
      <c r="J215" s="22" t="n">
        <v>1</v>
      </c>
      <c r="K215" s="22" t="n">
        <v>24</v>
      </c>
      <c r="L215" s="25" t="n">
        <v>10.4</v>
      </c>
      <c r="M215" s="25" t="n">
        <v>249.6</v>
      </c>
      <c r="N215" s="25" t="n">
        <v>32.05</v>
      </c>
      <c r="O215" s="25" t="n">
        <v>281.65</v>
      </c>
      <c r="P215" s="22" t="s">
        <v>11407</v>
      </c>
      <c r="Q215" s="23" t="n">
        <v>46249</v>
      </c>
      <c r="R215" s="22" t="n">
        <f aca="false">I215*J215</f>
        <v>24</v>
      </c>
      <c r="S215" s="25" t="n">
        <f aca="false">K215-R215</f>
        <v>0</v>
      </c>
      <c r="T215" s="25" t="n">
        <f aca="false">K215*L215</f>
        <v>249.6</v>
      </c>
      <c r="U215" s="25" t="n">
        <f aca="false">M215-T215</f>
        <v>0</v>
      </c>
      <c r="V215" s="25" t="n">
        <f aca="false">M215+N215</f>
        <v>281.65</v>
      </c>
      <c r="W215" s="25" t="n">
        <f aca="false">O215-V215</f>
        <v>0</v>
      </c>
      <c r="X215" s="22" t="str">
        <f aca="false">IF(OR(ABS(S215)&gt;0.005,ABS(U215)&gt;0.005,ABS(W215)&gt;0.005),"Subledger arithmetic error","OK")</f>
        <v>OK</v>
      </c>
      <c r="Y215" s="22" t="str">
        <f aca="false">IF(X215="OK","","Priority 3")</f>
        <v/>
      </c>
    </row>
    <row r="216" customFormat="false" ht="15" hidden="false" customHeight="false" outlineLevel="0" collapsed="false">
      <c r="A216" s="22" t="s">
        <v>11835</v>
      </c>
      <c r="B216" s="23" t="n">
        <v>46235</v>
      </c>
      <c r="C216" s="22" t="s">
        <v>11836</v>
      </c>
      <c r="D216" s="22" t="s">
        <v>4912</v>
      </c>
      <c r="E216" s="22" t="s">
        <v>7227</v>
      </c>
      <c r="F216" s="22" t="s">
        <v>198</v>
      </c>
      <c r="G216" s="22" t="s">
        <v>8601</v>
      </c>
      <c r="H216" s="22" t="s">
        <v>11406</v>
      </c>
      <c r="I216" s="22" t="n">
        <v>28</v>
      </c>
      <c r="J216" s="22" t="n">
        <v>1</v>
      </c>
      <c r="K216" s="22" t="n">
        <v>28</v>
      </c>
      <c r="L216" s="25" t="n">
        <v>10.4</v>
      </c>
      <c r="M216" s="25" t="n">
        <v>291.2</v>
      </c>
      <c r="N216" s="25" t="n">
        <v>37.39</v>
      </c>
      <c r="O216" s="25" t="n">
        <v>328.59</v>
      </c>
      <c r="P216" s="22" t="s">
        <v>7696</v>
      </c>
      <c r="Q216" s="23" t="n">
        <v>46249</v>
      </c>
      <c r="R216" s="22" t="n">
        <f aca="false">I216*J216</f>
        <v>28</v>
      </c>
      <c r="S216" s="25" t="n">
        <f aca="false">K216-R216</f>
        <v>0</v>
      </c>
      <c r="T216" s="25" t="n">
        <f aca="false">K216*L216</f>
        <v>291.2</v>
      </c>
      <c r="U216" s="25" t="n">
        <f aca="false">M216-T216</f>
        <v>0</v>
      </c>
      <c r="V216" s="25" t="n">
        <f aca="false">M216+N216</f>
        <v>328.59</v>
      </c>
      <c r="W216" s="25" t="n">
        <f aca="false">O216-V216</f>
        <v>0</v>
      </c>
      <c r="X216" s="22" t="str">
        <f aca="false">IF(OR(ABS(S216)&gt;0.005,ABS(U216)&gt;0.005,ABS(W216)&gt;0.005),"Subledger arithmetic error","OK")</f>
        <v>OK</v>
      </c>
      <c r="Y216" s="22" t="str">
        <f aca="false">IF(X216="OK","","Priority 3")</f>
        <v/>
      </c>
    </row>
    <row r="217" customFormat="false" ht="15" hidden="false" customHeight="false" outlineLevel="0" collapsed="false">
      <c r="A217" s="22" t="s">
        <v>11837</v>
      </c>
      <c r="B217" s="23" t="n">
        <v>46235</v>
      </c>
      <c r="C217" s="22" t="s">
        <v>11838</v>
      </c>
      <c r="D217" s="22" t="s">
        <v>2283</v>
      </c>
      <c r="E217" s="22" t="s">
        <v>7229</v>
      </c>
      <c r="F217" s="22" t="s">
        <v>198</v>
      </c>
      <c r="G217" s="22" t="s">
        <v>8601</v>
      </c>
      <c r="H217" s="22" t="s">
        <v>11406</v>
      </c>
      <c r="I217" s="22" t="n">
        <v>56</v>
      </c>
      <c r="J217" s="22" t="n">
        <v>1</v>
      </c>
      <c r="K217" s="22" t="n">
        <v>56</v>
      </c>
      <c r="L217" s="25" t="n">
        <v>10.4</v>
      </c>
      <c r="M217" s="25" t="n">
        <v>582.4</v>
      </c>
      <c r="N217" s="25" t="n">
        <v>74.78</v>
      </c>
      <c r="O217" s="25" t="n">
        <v>657.18</v>
      </c>
      <c r="P217" s="22" t="s">
        <v>11407</v>
      </c>
      <c r="Q217" s="23" t="n">
        <v>46249</v>
      </c>
      <c r="R217" s="22" t="n">
        <f aca="false">I217*J217</f>
        <v>56</v>
      </c>
      <c r="S217" s="25" t="n">
        <f aca="false">K217-R217</f>
        <v>0</v>
      </c>
      <c r="T217" s="25" t="n">
        <f aca="false">K217*L217</f>
        <v>582.4</v>
      </c>
      <c r="U217" s="25" t="n">
        <f aca="false">M217-T217</f>
        <v>0</v>
      </c>
      <c r="V217" s="25" t="n">
        <f aca="false">M217+N217</f>
        <v>657.18</v>
      </c>
      <c r="W217" s="25" t="n">
        <f aca="false">O217-V217</f>
        <v>0</v>
      </c>
      <c r="X217" s="22" t="str">
        <f aca="false">IF(OR(ABS(S217)&gt;0.005,ABS(U217)&gt;0.005,ABS(W217)&gt;0.005),"Subledger arithmetic error","OK")</f>
        <v>OK</v>
      </c>
      <c r="Y217" s="22" t="str">
        <f aca="false">IF(X217="OK","","Priority 3")</f>
        <v/>
      </c>
    </row>
    <row r="218" customFormat="false" ht="15" hidden="false" customHeight="false" outlineLevel="0" collapsed="false">
      <c r="A218" s="22" t="s">
        <v>11839</v>
      </c>
      <c r="B218" s="23" t="n">
        <v>46235</v>
      </c>
      <c r="C218" s="22" t="s">
        <v>11840</v>
      </c>
      <c r="D218" s="22" t="s">
        <v>853</v>
      </c>
      <c r="E218" s="22" t="s">
        <v>7232</v>
      </c>
      <c r="F218" s="22" t="s">
        <v>198</v>
      </c>
      <c r="G218" s="22" t="s">
        <v>8601</v>
      </c>
      <c r="H218" s="22" t="s">
        <v>11406</v>
      </c>
      <c r="I218" s="22" t="n">
        <v>54</v>
      </c>
      <c r="J218" s="22" t="n">
        <v>1</v>
      </c>
      <c r="K218" s="22" t="n">
        <v>54</v>
      </c>
      <c r="L218" s="25" t="n">
        <v>10.4</v>
      </c>
      <c r="M218" s="25" t="n">
        <v>561.6</v>
      </c>
      <c r="N218" s="25" t="n">
        <v>72.11</v>
      </c>
      <c r="O218" s="25" t="n">
        <v>633.71</v>
      </c>
      <c r="P218" s="22" t="s">
        <v>11407</v>
      </c>
      <c r="Q218" s="23" t="n">
        <v>46249</v>
      </c>
      <c r="R218" s="22" t="n">
        <f aca="false">I218*J218</f>
        <v>54</v>
      </c>
      <c r="S218" s="25" t="n">
        <f aca="false">K218-R218</f>
        <v>0</v>
      </c>
      <c r="T218" s="25" t="n">
        <f aca="false">K218*L218</f>
        <v>561.6</v>
      </c>
      <c r="U218" s="25" t="n">
        <f aca="false">M218-T218</f>
        <v>0</v>
      </c>
      <c r="V218" s="25" t="n">
        <f aca="false">M218+N218</f>
        <v>633.71</v>
      </c>
      <c r="W218" s="25" t="n">
        <f aca="false">O218-V218</f>
        <v>0</v>
      </c>
      <c r="X218" s="22" t="str">
        <f aca="false">IF(OR(ABS(S218)&gt;0.005,ABS(U218)&gt;0.005,ABS(W218)&gt;0.005),"Subledger arithmetic error","OK")</f>
        <v>OK</v>
      </c>
      <c r="Y218" s="22" t="str">
        <f aca="false">IF(X218="OK","","Priority 3")</f>
        <v/>
      </c>
    </row>
    <row r="219" customFormat="false" ht="15" hidden="false" customHeight="false" outlineLevel="0" collapsed="false">
      <c r="A219" s="22" t="s">
        <v>11841</v>
      </c>
      <c r="B219" s="23" t="n">
        <v>46235</v>
      </c>
      <c r="C219" s="22" t="s">
        <v>11842</v>
      </c>
      <c r="D219" s="22" t="s">
        <v>2617</v>
      </c>
      <c r="E219" s="22" t="s">
        <v>7235</v>
      </c>
      <c r="F219" s="22" t="s">
        <v>198</v>
      </c>
      <c r="G219" s="22" t="s">
        <v>8601</v>
      </c>
      <c r="H219" s="22" t="s">
        <v>11406</v>
      </c>
      <c r="I219" s="22" t="n">
        <v>32</v>
      </c>
      <c r="J219" s="22" t="n">
        <v>1</v>
      </c>
      <c r="K219" s="22" t="n">
        <v>32</v>
      </c>
      <c r="L219" s="25" t="n">
        <v>10.4</v>
      </c>
      <c r="M219" s="25" t="n">
        <v>332.8</v>
      </c>
      <c r="N219" s="25" t="n">
        <v>42.73</v>
      </c>
      <c r="O219" s="25" t="n">
        <v>375.53</v>
      </c>
      <c r="P219" s="22" t="s">
        <v>11407</v>
      </c>
      <c r="Q219" s="23" t="n">
        <v>46249</v>
      </c>
      <c r="R219" s="22" t="n">
        <f aca="false">I219*J219</f>
        <v>32</v>
      </c>
      <c r="S219" s="25" t="n">
        <f aca="false">K219-R219</f>
        <v>0</v>
      </c>
      <c r="T219" s="25" t="n">
        <f aca="false">K219*L219</f>
        <v>332.8</v>
      </c>
      <c r="U219" s="25" t="n">
        <f aca="false">M219-T219</f>
        <v>0</v>
      </c>
      <c r="V219" s="25" t="n">
        <f aca="false">M219+N219</f>
        <v>375.53</v>
      </c>
      <c r="W219" s="25" t="n">
        <f aca="false">O219-V219</f>
        <v>0</v>
      </c>
      <c r="X219" s="22" t="str">
        <f aca="false">IF(OR(ABS(S219)&gt;0.005,ABS(U219)&gt;0.005,ABS(W219)&gt;0.005),"Subledger arithmetic error","OK")</f>
        <v>OK</v>
      </c>
      <c r="Y219" s="22" t="str">
        <f aca="false">IF(X219="OK","","Priority 3")</f>
        <v/>
      </c>
    </row>
    <row r="220" customFormat="false" ht="15" hidden="false" customHeight="false" outlineLevel="0" collapsed="false">
      <c r="A220" s="22" t="s">
        <v>11843</v>
      </c>
      <c r="B220" s="23" t="n">
        <v>46235</v>
      </c>
      <c r="C220" s="22" t="s">
        <v>11844</v>
      </c>
      <c r="D220" s="22" t="s">
        <v>4378</v>
      </c>
      <c r="E220" s="22" t="s">
        <v>7237</v>
      </c>
      <c r="F220" s="22" t="s">
        <v>198</v>
      </c>
      <c r="G220" s="22" t="s">
        <v>8601</v>
      </c>
      <c r="H220" s="22" t="s">
        <v>11406</v>
      </c>
      <c r="I220" s="22" t="n">
        <v>37</v>
      </c>
      <c r="J220" s="22" t="n">
        <v>1</v>
      </c>
      <c r="K220" s="22" t="n">
        <v>37</v>
      </c>
      <c r="L220" s="25" t="n">
        <v>10.4</v>
      </c>
      <c r="M220" s="25" t="n">
        <v>384.8</v>
      </c>
      <c r="N220" s="25" t="n">
        <v>49.41</v>
      </c>
      <c r="O220" s="25" t="n">
        <v>434.21</v>
      </c>
      <c r="P220" s="22" t="s">
        <v>11407</v>
      </c>
      <c r="Q220" s="23" t="n">
        <v>46249</v>
      </c>
      <c r="R220" s="22" t="n">
        <f aca="false">I220*J220</f>
        <v>37</v>
      </c>
      <c r="S220" s="25" t="n">
        <f aca="false">K220-R220</f>
        <v>0</v>
      </c>
      <c r="T220" s="25" t="n">
        <f aca="false">K220*L220</f>
        <v>384.8</v>
      </c>
      <c r="U220" s="25" t="n">
        <f aca="false">M220-T220</f>
        <v>0</v>
      </c>
      <c r="V220" s="25" t="n">
        <f aca="false">M220+N220</f>
        <v>434.21</v>
      </c>
      <c r="W220" s="25" t="n">
        <f aca="false">O220-V220</f>
        <v>0</v>
      </c>
      <c r="X220" s="22" t="str">
        <f aca="false">IF(OR(ABS(S220)&gt;0.005,ABS(U220)&gt;0.005,ABS(W220)&gt;0.005),"Subledger arithmetic error","OK")</f>
        <v>OK</v>
      </c>
      <c r="Y220" s="22" t="str">
        <f aca="false">IF(X220="OK","","Priority 3")</f>
        <v/>
      </c>
    </row>
    <row r="221" customFormat="false" ht="15" hidden="false" customHeight="false" outlineLevel="0" collapsed="false">
      <c r="A221" s="22" t="s">
        <v>11845</v>
      </c>
      <c r="B221" s="23" t="n">
        <v>46235</v>
      </c>
      <c r="C221" s="22" t="s">
        <v>11846</v>
      </c>
      <c r="D221" s="22" t="s">
        <v>2214</v>
      </c>
      <c r="E221" s="22" t="s">
        <v>7239</v>
      </c>
      <c r="F221" s="22" t="s">
        <v>198</v>
      </c>
      <c r="G221" s="22" t="s">
        <v>8601</v>
      </c>
      <c r="H221" s="22" t="s">
        <v>11406</v>
      </c>
      <c r="I221" s="22" t="n">
        <v>29</v>
      </c>
      <c r="J221" s="22" t="n">
        <v>1</v>
      </c>
      <c r="K221" s="22" t="n">
        <v>29</v>
      </c>
      <c r="L221" s="25" t="n">
        <v>10.4</v>
      </c>
      <c r="M221" s="25" t="n">
        <v>301.6</v>
      </c>
      <c r="N221" s="25" t="n">
        <v>38.73</v>
      </c>
      <c r="O221" s="25" t="n">
        <v>340.33</v>
      </c>
      <c r="P221" s="22" t="s">
        <v>11407</v>
      </c>
      <c r="Q221" s="23" t="n">
        <v>46249</v>
      </c>
      <c r="R221" s="22" t="n">
        <f aca="false">I221*J221</f>
        <v>29</v>
      </c>
      <c r="S221" s="25" t="n">
        <f aca="false">K221-R221</f>
        <v>0</v>
      </c>
      <c r="T221" s="25" t="n">
        <f aca="false">K221*L221</f>
        <v>301.6</v>
      </c>
      <c r="U221" s="25" t="n">
        <f aca="false">M221-T221</f>
        <v>0</v>
      </c>
      <c r="V221" s="25" t="n">
        <f aca="false">M221+N221</f>
        <v>340.33</v>
      </c>
      <c r="W221" s="25" t="n">
        <f aca="false">O221-V221</f>
        <v>0</v>
      </c>
      <c r="X221" s="22" t="str">
        <f aca="false">IF(OR(ABS(S221)&gt;0.005,ABS(U221)&gt;0.005,ABS(W221)&gt;0.005),"Subledger arithmetic error","OK")</f>
        <v>OK</v>
      </c>
      <c r="Y221" s="22" t="str">
        <f aca="false">IF(X221="OK","","Priority 3")</f>
        <v/>
      </c>
    </row>
    <row r="222" customFormat="false" ht="15" hidden="false" customHeight="false" outlineLevel="0" collapsed="false">
      <c r="A222" s="22" t="s">
        <v>11847</v>
      </c>
      <c r="B222" s="23" t="n">
        <v>46235</v>
      </c>
      <c r="C222" s="22" t="s">
        <v>11848</v>
      </c>
      <c r="D222" s="22" t="s">
        <v>1165</v>
      </c>
      <c r="E222" s="22" t="s">
        <v>7241</v>
      </c>
      <c r="F222" s="22" t="s">
        <v>198</v>
      </c>
      <c r="G222" s="22" t="s">
        <v>8601</v>
      </c>
      <c r="H222" s="22" t="s">
        <v>11406</v>
      </c>
      <c r="I222" s="22" t="n">
        <v>24</v>
      </c>
      <c r="J222" s="22" t="n">
        <v>1</v>
      </c>
      <c r="K222" s="22" t="n">
        <v>24</v>
      </c>
      <c r="L222" s="25" t="n">
        <v>10.4</v>
      </c>
      <c r="M222" s="25" t="n">
        <v>249.6</v>
      </c>
      <c r="N222" s="25" t="n">
        <v>32.05</v>
      </c>
      <c r="O222" s="25" t="n">
        <v>281.65</v>
      </c>
      <c r="P222" s="22" t="s">
        <v>11407</v>
      </c>
      <c r="Q222" s="23" t="n">
        <v>46249</v>
      </c>
      <c r="R222" s="22" t="n">
        <f aca="false">I222*J222</f>
        <v>24</v>
      </c>
      <c r="S222" s="25" t="n">
        <f aca="false">K222-R222</f>
        <v>0</v>
      </c>
      <c r="T222" s="25" t="n">
        <f aca="false">K222*L222</f>
        <v>249.6</v>
      </c>
      <c r="U222" s="25" t="n">
        <f aca="false">M222-T222</f>
        <v>0</v>
      </c>
      <c r="V222" s="25" t="n">
        <f aca="false">M222+N222</f>
        <v>281.65</v>
      </c>
      <c r="W222" s="25" t="n">
        <f aca="false">O222-V222</f>
        <v>0</v>
      </c>
      <c r="X222" s="22" t="str">
        <f aca="false">IF(OR(ABS(S222)&gt;0.005,ABS(U222)&gt;0.005,ABS(W222)&gt;0.005),"Subledger arithmetic error","OK")</f>
        <v>OK</v>
      </c>
      <c r="Y222" s="22" t="str">
        <f aca="false">IF(X222="OK","","Priority 3")</f>
        <v/>
      </c>
    </row>
    <row r="223" customFormat="false" ht="15" hidden="false" customHeight="false" outlineLevel="0" collapsed="false">
      <c r="A223" s="22" t="s">
        <v>11849</v>
      </c>
      <c r="B223" s="23" t="n">
        <v>46235</v>
      </c>
      <c r="C223" s="22" t="s">
        <v>11850</v>
      </c>
      <c r="D223" s="22" t="s">
        <v>246</v>
      </c>
      <c r="E223" s="22" t="s">
        <v>7243</v>
      </c>
      <c r="F223" s="22" t="s">
        <v>198</v>
      </c>
      <c r="G223" s="22" t="s">
        <v>8601</v>
      </c>
      <c r="H223" s="22" t="s">
        <v>11406</v>
      </c>
      <c r="I223" s="22" t="n">
        <v>54</v>
      </c>
      <c r="J223" s="22" t="n">
        <v>1</v>
      </c>
      <c r="K223" s="22" t="n">
        <v>54</v>
      </c>
      <c r="L223" s="25" t="n">
        <v>10.4</v>
      </c>
      <c r="M223" s="25" t="n">
        <v>561.6</v>
      </c>
      <c r="N223" s="25" t="n">
        <v>72.11</v>
      </c>
      <c r="O223" s="25" t="n">
        <v>633.71</v>
      </c>
      <c r="P223" s="22" t="s">
        <v>11407</v>
      </c>
      <c r="Q223" s="23" t="n">
        <v>46249</v>
      </c>
      <c r="R223" s="22" t="n">
        <f aca="false">I223*J223</f>
        <v>54</v>
      </c>
      <c r="S223" s="25" t="n">
        <f aca="false">K223-R223</f>
        <v>0</v>
      </c>
      <c r="T223" s="25" t="n">
        <f aca="false">K223*L223</f>
        <v>561.6</v>
      </c>
      <c r="U223" s="25" t="n">
        <f aca="false">M223-T223</f>
        <v>0</v>
      </c>
      <c r="V223" s="25" t="n">
        <f aca="false">M223+N223</f>
        <v>633.71</v>
      </c>
      <c r="W223" s="25" t="n">
        <f aca="false">O223-V223</f>
        <v>0</v>
      </c>
      <c r="X223" s="22" t="str">
        <f aca="false">IF(OR(ABS(S223)&gt;0.005,ABS(U223)&gt;0.005,ABS(W223)&gt;0.005),"Subledger arithmetic error","OK")</f>
        <v>OK</v>
      </c>
      <c r="Y223" s="22" t="str">
        <f aca="false">IF(X223="OK","","Priority 3")</f>
        <v/>
      </c>
    </row>
    <row r="224" customFormat="false" ht="15" hidden="false" customHeight="false" outlineLevel="0" collapsed="false">
      <c r="A224" s="22" t="s">
        <v>11851</v>
      </c>
      <c r="B224" s="23" t="n">
        <v>46235</v>
      </c>
      <c r="C224" s="22" t="s">
        <v>11852</v>
      </c>
      <c r="D224" s="22" t="s">
        <v>6323</v>
      </c>
      <c r="E224" s="22" t="s">
        <v>7249</v>
      </c>
      <c r="F224" s="22" t="s">
        <v>198</v>
      </c>
      <c r="G224" s="22" t="s">
        <v>8601</v>
      </c>
      <c r="H224" s="22" t="s">
        <v>11406</v>
      </c>
      <c r="I224" s="22" t="n">
        <v>55</v>
      </c>
      <c r="J224" s="22" t="n">
        <v>1</v>
      </c>
      <c r="K224" s="22" t="n">
        <v>55</v>
      </c>
      <c r="L224" s="25" t="n">
        <v>10.4</v>
      </c>
      <c r="M224" s="25" t="n">
        <v>572</v>
      </c>
      <c r="N224" s="25" t="n">
        <v>73.44</v>
      </c>
      <c r="O224" s="25" t="n">
        <v>645.44</v>
      </c>
      <c r="P224" s="22" t="s">
        <v>11407</v>
      </c>
      <c r="Q224" s="23" t="n">
        <v>46249</v>
      </c>
      <c r="R224" s="22" t="n">
        <f aca="false">I224*J224</f>
        <v>55</v>
      </c>
      <c r="S224" s="25" t="n">
        <f aca="false">K224-R224</f>
        <v>0</v>
      </c>
      <c r="T224" s="25" t="n">
        <f aca="false">K224*L224</f>
        <v>572</v>
      </c>
      <c r="U224" s="25" t="n">
        <f aca="false">M224-T224</f>
        <v>0</v>
      </c>
      <c r="V224" s="25" t="n">
        <f aca="false">M224+N224</f>
        <v>645.44</v>
      </c>
      <c r="W224" s="25" t="n">
        <f aca="false">O224-V224</f>
        <v>0</v>
      </c>
      <c r="X224" s="22" t="str">
        <f aca="false">IF(OR(ABS(S224)&gt;0.005,ABS(U224)&gt;0.005,ABS(W224)&gt;0.005),"Subledger arithmetic error","OK")</f>
        <v>OK</v>
      </c>
      <c r="Y224" s="22" t="str">
        <f aca="false">IF(X224="OK","","Priority 3")</f>
        <v/>
      </c>
    </row>
    <row r="225" customFormat="false" ht="15" hidden="false" customHeight="false" outlineLevel="0" collapsed="false">
      <c r="A225" s="22" t="s">
        <v>11853</v>
      </c>
      <c r="B225" s="23" t="n">
        <v>46235</v>
      </c>
      <c r="C225" s="22" t="s">
        <v>11854</v>
      </c>
      <c r="D225" s="22" t="s">
        <v>4970</v>
      </c>
      <c r="E225" s="22" t="s">
        <v>7252</v>
      </c>
      <c r="F225" s="22" t="s">
        <v>198</v>
      </c>
      <c r="G225" s="22" t="s">
        <v>8601</v>
      </c>
      <c r="H225" s="22" t="s">
        <v>11406</v>
      </c>
      <c r="I225" s="22" t="n">
        <v>32</v>
      </c>
      <c r="J225" s="22" t="n">
        <v>1</v>
      </c>
      <c r="K225" s="22" t="n">
        <v>32</v>
      </c>
      <c r="L225" s="25" t="n">
        <v>10.4</v>
      </c>
      <c r="M225" s="25" t="n">
        <v>332.8</v>
      </c>
      <c r="N225" s="25" t="n">
        <v>42.73</v>
      </c>
      <c r="O225" s="25" t="n">
        <v>375.53</v>
      </c>
      <c r="P225" s="22" t="s">
        <v>11407</v>
      </c>
      <c r="Q225" s="23" t="n">
        <v>46249</v>
      </c>
      <c r="R225" s="22" t="n">
        <f aca="false">I225*J225</f>
        <v>32</v>
      </c>
      <c r="S225" s="25" t="n">
        <f aca="false">K225-R225</f>
        <v>0</v>
      </c>
      <c r="T225" s="25" t="n">
        <f aca="false">K225*L225</f>
        <v>332.8</v>
      </c>
      <c r="U225" s="25" t="n">
        <f aca="false">M225-T225</f>
        <v>0</v>
      </c>
      <c r="V225" s="25" t="n">
        <f aca="false">M225+N225</f>
        <v>375.53</v>
      </c>
      <c r="W225" s="25" t="n">
        <f aca="false">O225-V225</f>
        <v>0</v>
      </c>
      <c r="X225" s="22" t="str">
        <f aca="false">IF(OR(ABS(S225)&gt;0.005,ABS(U225)&gt;0.005,ABS(W225)&gt;0.005),"Subledger arithmetic error","OK")</f>
        <v>OK</v>
      </c>
      <c r="Y225" s="22" t="str">
        <f aca="false">IF(X225="OK","","Priority 3")</f>
        <v/>
      </c>
    </row>
    <row r="226" customFormat="false" ht="15" hidden="false" customHeight="false" outlineLevel="0" collapsed="false">
      <c r="A226" s="22" t="s">
        <v>11855</v>
      </c>
      <c r="B226" s="23" t="n">
        <v>46235</v>
      </c>
      <c r="C226" s="22" t="s">
        <v>11856</v>
      </c>
      <c r="D226" s="22" t="s">
        <v>4739</v>
      </c>
      <c r="E226" s="22" t="s">
        <v>7255</v>
      </c>
      <c r="F226" s="22" t="s">
        <v>198</v>
      </c>
      <c r="G226" s="22" t="s">
        <v>8601</v>
      </c>
      <c r="H226" s="22" t="s">
        <v>11406</v>
      </c>
      <c r="I226" s="22" t="n">
        <v>54</v>
      </c>
      <c r="J226" s="22" t="n">
        <v>1</v>
      </c>
      <c r="K226" s="22" t="n">
        <v>54</v>
      </c>
      <c r="L226" s="25" t="n">
        <v>10.4</v>
      </c>
      <c r="M226" s="25" t="n">
        <v>561.6</v>
      </c>
      <c r="N226" s="25" t="n">
        <v>72.11</v>
      </c>
      <c r="O226" s="25" t="n">
        <v>633.71</v>
      </c>
      <c r="P226" s="22" t="s">
        <v>11407</v>
      </c>
      <c r="Q226" s="23" t="n">
        <v>46249</v>
      </c>
      <c r="R226" s="22" t="n">
        <f aca="false">I226*J226</f>
        <v>54</v>
      </c>
      <c r="S226" s="25" t="n">
        <f aca="false">K226-R226</f>
        <v>0</v>
      </c>
      <c r="T226" s="25" t="n">
        <f aca="false">K226*L226</f>
        <v>561.6</v>
      </c>
      <c r="U226" s="25" t="n">
        <f aca="false">M226-T226</f>
        <v>0</v>
      </c>
      <c r="V226" s="25" t="n">
        <f aca="false">M226+N226</f>
        <v>633.71</v>
      </c>
      <c r="W226" s="25" t="n">
        <f aca="false">O226-V226</f>
        <v>0</v>
      </c>
      <c r="X226" s="22" t="str">
        <f aca="false">IF(OR(ABS(S226)&gt;0.005,ABS(U226)&gt;0.005,ABS(W226)&gt;0.005),"Subledger arithmetic error","OK")</f>
        <v>OK</v>
      </c>
      <c r="Y226" s="22" t="str">
        <f aca="false">IF(X226="OK","","Priority 3")</f>
        <v/>
      </c>
    </row>
    <row r="227" customFormat="false" ht="15" hidden="false" customHeight="false" outlineLevel="0" collapsed="false">
      <c r="A227" s="22" t="s">
        <v>11857</v>
      </c>
      <c r="B227" s="23" t="n">
        <v>46235</v>
      </c>
      <c r="C227" s="22" t="s">
        <v>11858</v>
      </c>
      <c r="D227" s="22" t="s">
        <v>2674</v>
      </c>
      <c r="E227" s="22" t="s">
        <v>7257</v>
      </c>
      <c r="F227" s="22" t="s">
        <v>198</v>
      </c>
      <c r="G227" s="22" t="s">
        <v>8601</v>
      </c>
      <c r="H227" s="22" t="s">
        <v>11406</v>
      </c>
      <c r="I227" s="22" t="n">
        <v>49</v>
      </c>
      <c r="J227" s="22" t="n">
        <v>1</v>
      </c>
      <c r="K227" s="22" t="n">
        <v>49</v>
      </c>
      <c r="L227" s="25" t="n">
        <v>10.4</v>
      </c>
      <c r="M227" s="25" t="n">
        <v>509.6</v>
      </c>
      <c r="N227" s="25" t="n">
        <v>65.43</v>
      </c>
      <c r="O227" s="25" t="n">
        <v>575.03</v>
      </c>
      <c r="P227" s="22" t="s">
        <v>11407</v>
      </c>
      <c r="Q227" s="23" t="n">
        <v>46249</v>
      </c>
      <c r="R227" s="22" t="n">
        <f aca="false">I227*J227</f>
        <v>49</v>
      </c>
      <c r="S227" s="25" t="n">
        <f aca="false">K227-R227</f>
        <v>0</v>
      </c>
      <c r="T227" s="25" t="n">
        <f aca="false">K227*L227</f>
        <v>509.6</v>
      </c>
      <c r="U227" s="25" t="n">
        <f aca="false">M227-T227</f>
        <v>0</v>
      </c>
      <c r="V227" s="25" t="n">
        <f aca="false">M227+N227</f>
        <v>575.03</v>
      </c>
      <c r="W227" s="25" t="n">
        <f aca="false">O227-V227</f>
        <v>0</v>
      </c>
      <c r="X227" s="22" t="str">
        <f aca="false">IF(OR(ABS(S227)&gt;0.005,ABS(U227)&gt;0.005,ABS(W227)&gt;0.005),"Subledger arithmetic error","OK")</f>
        <v>OK</v>
      </c>
      <c r="Y227" s="22" t="str">
        <f aca="false">IF(X227="OK","","Priority 3")</f>
        <v/>
      </c>
    </row>
    <row r="228" customFormat="false" ht="15" hidden="false" customHeight="false" outlineLevel="0" collapsed="false">
      <c r="A228" s="22" t="s">
        <v>11859</v>
      </c>
      <c r="B228" s="23" t="n">
        <v>46235</v>
      </c>
      <c r="C228" s="22" t="s">
        <v>11860</v>
      </c>
      <c r="D228" s="22" t="s">
        <v>1899</v>
      </c>
      <c r="E228" s="22" t="s">
        <v>7260</v>
      </c>
      <c r="F228" s="22" t="s">
        <v>198</v>
      </c>
      <c r="G228" s="22" t="s">
        <v>8601</v>
      </c>
      <c r="H228" s="22" t="s">
        <v>11406</v>
      </c>
      <c r="I228" s="22" t="n">
        <v>24</v>
      </c>
      <c r="J228" s="22" t="n">
        <v>1</v>
      </c>
      <c r="K228" s="22" t="n">
        <v>24</v>
      </c>
      <c r="L228" s="25" t="n">
        <v>10.4</v>
      </c>
      <c r="M228" s="25" t="n">
        <v>249.6</v>
      </c>
      <c r="N228" s="25" t="n">
        <v>32.05</v>
      </c>
      <c r="O228" s="25" t="n">
        <v>281.65</v>
      </c>
      <c r="P228" s="22" t="s">
        <v>11407</v>
      </c>
      <c r="Q228" s="23" t="n">
        <v>46249</v>
      </c>
      <c r="R228" s="22" t="n">
        <f aca="false">I228*J228</f>
        <v>24</v>
      </c>
      <c r="S228" s="25" t="n">
        <f aca="false">K228-R228</f>
        <v>0</v>
      </c>
      <c r="T228" s="25" t="n">
        <f aca="false">K228*L228</f>
        <v>249.6</v>
      </c>
      <c r="U228" s="25" t="n">
        <f aca="false">M228-T228</f>
        <v>0</v>
      </c>
      <c r="V228" s="25" t="n">
        <f aca="false">M228+N228</f>
        <v>281.65</v>
      </c>
      <c r="W228" s="25" t="n">
        <f aca="false">O228-V228</f>
        <v>0</v>
      </c>
      <c r="X228" s="22" t="str">
        <f aca="false">IF(OR(ABS(S228)&gt;0.005,ABS(U228)&gt;0.005,ABS(W228)&gt;0.005),"Subledger arithmetic error","OK")</f>
        <v>OK</v>
      </c>
      <c r="Y228" s="22" t="str">
        <f aca="false">IF(X228="OK","","Priority 3")</f>
        <v/>
      </c>
    </row>
    <row r="229" customFormat="false" ht="15" hidden="false" customHeight="false" outlineLevel="0" collapsed="false">
      <c r="A229" s="22" t="s">
        <v>11861</v>
      </c>
      <c r="B229" s="23" t="n">
        <v>46235</v>
      </c>
      <c r="C229" s="22" t="s">
        <v>11862</v>
      </c>
      <c r="D229" s="22" t="s">
        <v>6275</v>
      </c>
      <c r="E229" s="22" t="s">
        <v>7263</v>
      </c>
      <c r="F229" s="22" t="s">
        <v>198</v>
      </c>
      <c r="G229" s="22" t="s">
        <v>8601</v>
      </c>
      <c r="H229" s="22" t="s">
        <v>11406</v>
      </c>
      <c r="I229" s="22" t="n">
        <v>48</v>
      </c>
      <c r="J229" s="22" t="n">
        <v>1</v>
      </c>
      <c r="K229" s="22" t="n">
        <v>48</v>
      </c>
      <c r="L229" s="25" t="n">
        <v>10.4</v>
      </c>
      <c r="M229" s="25" t="n">
        <v>499.2</v>
      </c>
      <c r="N229" s="25" t="n">
        <v>64.1</v>
      </c>
      <c r="O229" s="25" t="n">
        <v>563.3</v>
      </c>
      <c r="P229" s="22" t="s">
        <v>11407</v>
      </c>
      <c r="Q229" s="23" t="n">
        <v>46249</v>
      </c>
      <c r="R229" s="22" t="n">
        <f aca="false">I229*J229</f>
        <v>48</v>
      </c>
      <c r="S229" s="25" t="n">
        <f aca="false">K229-R229</f>
        <v>0</v>
      </c>
      <c r="T229" s="25" t="n">
        <f aca="false">K229*L229</f>
        <v>499.2</v>
      </c>
      <c r="U229" s="25" t="n">
        <f aca="false">M229-T229</f>
        <v>0</v>
      </c>
      <c r="V229" s="25" t="n">
        <f aca="false">M229+N229</f>
        <v>563.3</v>
      </c>
      <c r="W229" s="25" t="n">
        <f aca="false">O229-V229</f>
        <v>0</v>
      </c>
      <c r="X229" s="22" t="str">
        <f aca="false">IF(OR(ABS(S229)&gt;0.005,ABS(U229)&gt;0.005,ABS(W229)&gt;0.005),"Subledger arithmetic error","OK")</f>
        <v>OK</v>
      </c>
      <c r="Y229" s="22" t="str">
        <f aca="false">IF(X229="OK","","Priority 3")</f>
        <v/>
      </c>
    </row>
    <row r="230" customFormat="false" ht="15" hidden="false" customHeight="false" outlineLevel="0" collapsed="false">
      <c r="A230" s="22" t="s">
        <v>11863</v>
      </c>
      <c r="B230" s="23" t="n">
        <v>46235</v>
      </c>
      <c r="C230" s="22" t="s">
        <v>11864</v>
      </c>
      <c r="D230" s="22" t="s">
        <v>3861</v>
      </c>
      <c r="E230" s="22" t="s">
        <v>7266</v>
      </c>
      <c r="F230" s="22" t="s">
        <v>198</v>
      </c>
      <c r="G230" s="22" t="s">
        <v>8601</v>
      </c>
      <c r="H230" s="22" t="s">
        <v>11406</v>
      </c>
      <c r="I230" s="22" t="n">
        <v>32</v>
      </c>
      <c r="J230" s="22" t="n">
        <v>1</v>
      </c>
      <c r="K230" s="22" t="n">
        <v>32</v>
      </c>
      <c r="L230" s="25" t="n">
        <v>10.4</v>
      </c>
      <c r="M230" s="25" t="n">
        <v>332.8</v>
      </c>
      <c r="N230" s="25" t="n">
        <v>42.73</v>
      </c>
      <c r="O230" s="25" t="n">
        <v>375.53</v>
      </c>
      <c r="P230" s="22" t="s">
        <v>11407</v>
      </c>
      <c r="Q230" s="23" t="n">
        <v>46249</v>
      </c>
      <c r="R230" s="22" t="n">
        <f aca="false">I230*J230</f>
        <v>32</v>
      </c>
      <c r="S230" s="25" t="n">
        <f aca="false">K230-R230</f>
        <v>0</v>
      </c>
      <c r="T230" s="25" t="n">
        <f aca="false">K230*L230</f>
        <v>332.8</v>
      </c>
      <c r="U230" s="25" t="n">
        <f aca="false">M230-T230</f>
        <v>0</v>
      </c>
      <c r="V230" s="25" t="n">
        <f aca="false">M230+N230</f>
        <v>375.53</v>
      </c>
      <c r="W230" s="25" t="n">
        <f aca="false">O230-V230</f>
        <v>0</v>
      </c>
      <c r="X230" s="22" t="str">
        <f aca="false">IF(OR(ABS(S230)&gt;0.005,ABS(U230)&gt;0.005,ABS(W230)&gt;0.005),"Subledger arithmetic error","OK")</f>
        <v>OK</v>
      </c>
      <c r="Y230" s="22" t="str">
        <f aca="false">IF(X230="OK","","Priority 3")</f>
        <v/>
      </c>
    </row>
    <row r="231" customFormat="false" ht="15" hidden="false" customHeight="false" outlineLevel="0" collapsed="false">
      <c r="A231" s="22" t="s">
        <v>11865</v>
      </c>
      <c r="B231" s="23" t="n">
        <v>46235</v>
      </c>
      <c r="C231" s="22" t="s">
        <v>11866</v>
      </c>
      <c r="D231" s="22" t="s">
        <v>4099</v>
      </c>
      <c r="E231" s="22" t="s">
        <v>7268</v>
      </c>
      <c r="F231" s="22" t="s">
        <v>198</v>
      </c>
      <c r="G231" s="22" t="s">
        <v>8601</v>
      </c>
      <c r="H231" s="22" t="s">
        <v>11406</v>
      </c>
      <c r="I231" s="22" t="n">
        <v>30</v>
      </c>
      <c r="J231" s="22" t="n">
        <v>1</v>
      </c>
      <c r="K231" s="22" t="n">
        <v>30</v>
      </c>
      <c r="L231" s="25" t="n">
        <v>10.4</v>
      </c>
      <c r="M231" s="25" t="n">
        <v>312</v>
      </c>
      <c r="N231" s="25" t="n">
        <v>40.06</v>
      </c>
      <c r="O231" s="25" t="n">
        <v>352.06</v>
      </c>
      <c r="P231" s="22" t="s">
        <v>11407</v>
      </c>
      <c r="Q231" s="23" t="n">
        <v>46249</v>
      </c>
      <c r="R231" s="22" t="n">
        <f aca="false">I231*J231</f>
        <v>30</v>
      </c>
      <c r="S231" s="25" t="n">
        <f aca="false">K231-R231</f>
        <v>0</v>
      </c>
      <c r="T231" s="25" t="n">
        <f aca="false">K231*L231</f>
        <v>312</v>
      </c>
      <c r="U231" s="25" t="n">
        <f aca="false">M231-T231</f>
        <v>0</v>
      </c>
      <c r="V231" s="25" t="n">
        <f aca="false">M231+N231</f>
        <v>352.06</v>
      </c>
      <c r="W231" s="25" t="n">
        <f aca="false">O231-V231</f>
        <v>0</v>
      </c>
      <c r="X231" s="22" t="str">
        <f aca="false">IF(OR(ABS(S231)&gt;0.005,ABS(U231)&gt;0.005,ABS(W231)&gt;0.005),"Subledger arithmetic error","OK")</f>
        <v>OK</v>
      </c>
      <c r="Y231" s="22" t="str">
        <f aca="false">IF(X231="OK","","Priority 3")</f>
        <v/>
      </c>
    </row>
    <row r="232" customFormat="false" ht="15" hidden="false" customHeight="false" outlineLevel="0" collapsed="false">
      <c r="A232" s="22" t="s">
        <v>11867</v>
      </c>
      <c r="B232" s="23" t="n">
        <v>46235</v>
      </c>
      <c r="C232" s="22" t="s">
        <v>11868</v>
      </c>
      <c r="D232" s="22" t="s">
        <v>434</v>
      </c>
      <c r="E232" s="22" t="s">
        <v>7271</v>
      </c>
      <c r="F232" s="22" t="s">
        <v>198</v>
      </c>
      <c r="G232" s="22" t="s">
        <v>8601</v>
      </c>
      <c r="H232" s="22" t="s">
        <v>11406</v>
      </c>
      <c r="I232" s="22" t="n">
        <v>35</v>
      </c>
      <c r="J232" s="22" t="n">
        <v>1</v>
      </c>
      <c r="K232" s="22" t="n">
        <v>35</v>
      </c>
      <c r="L232" s="25" t="n">
        <v>10.4</v>
      </c>
      <c r="M232" s="25" t="n">
        <v>364</v>
      </c>
      <c r="N232" s="25" t="n">
        <v>46.74</v>
      </c>
      <c r="O232" s="25" t="n">
        <v>410.74</v>
      </c>
      <c r="P232" s="22" t="s">
        <v>7696</v>
      </c>
      <c r="Q232" s="23" t="n">
        <v>46249</v>
      </c>
      <c r="R232" s="22" t="n">
        <f aca="false">I232*J232</f>
        <v>35</v>
      </c>
      <c r="S232" s="25" t="n">
        <f aca="false">K232-R232</f>
        <v>0</v>
      </c>
      <c r="T232" s="25" t="n">
        <f aca="false">K232*L232</f>
        <v>364</v>
      </c>
      <c r="U232" s="25" t="n">
        <f aca="false">M232-T232</f>
        <v>0</v>
      </c>
      <c r="V232" s="25" t="n">
        <f aca="false">M232+N232</f>
        <v>410.74</v>
      </c>
      <c r="W232" s="25" t="n">
        <f aca="false">O232-V232</f>
        <v>0</v>
      </c>
      <c r="X232" s="22" t="str">
        <f aca="false">IF(OR(ABS(S232)&gt;0.005,ABS(U232)&gt;0.005,ABS(W232)&gt;0.005),"Subledger arithmetic error","OK")</f>
        <v>OK</v>
      </c>
      <c r="Y232" s="22" t="str">
        <f aca="false">IF(X232="OK","","Priority 3")</f>
        <v/>
      </c>
    </row>
    <row r="233" customFormat="false" ht="15" hidden="false" customHeight="false" outlineLevel="0" collapsed="false">
      <c r="A233" s="22" t="s">
        <v>11869</v>
      </c>
      <c r="B233" s="23" t="n">
        <v>46235</v>
      </c>
      <c r="C233" s="22" t="s">
        <v>11870</v>
      </c>
      <c r="D233" s="22" t="s">
        <v>4252</v>
      </c>
      <c r="E233" s="22" t="s">
        <v>7274</v>
      </c>
      <c r="F233" s="22" t="s">
        <v>198</v>
      </c>
      <c r="G233" s="22" t="s">
        <v>8601</v>
      </c>
      <c r="H233" s="22" t="s">
        <v>11406</v>
      </c>
      <c r="I233" s="22" t="n">
        <v>55</v>
      </c>
      <c r="J233" s="22" t="n">
        <v>1</v>
      </c>
      <c r="K233" s="22" t="n">
        <v>55</v>
      </c>
      <c r="L233" s="25" t="n">
        <v>10.4</v>
      </c>
      <c r="M233" s="25" t="n">
        <v>572</v>
      </c>
      <c r="N233" s="25" t="n">
        <v>73.44</v>
      </c>
      <c r="O233" s="25" t="n">
        <v>645.44</v>
      </c>
      <c r="P233" s="22" t="s">
        <v>11407</v>
      </c>
      <c r="Q233" s="23" t="n">
        <v>46249</v>
      </c>
      <c r="R233" s="22" t="n">
        <f aca="false">I233*J233</f>
        <v>55</v>
      </c>
      <c r="S233" s="25" t="n">
        <f aca="false">K233-R233</f>
        <v>0</v>
      </c>
      <c r="T233" s="25" t="n">
        <f aca="false">K233*L233</f>
        <v>572</v>
      </c>
      <c r="U233" s="25" t="n">
        <f aca="false">M233-T233</f>
        <v>0</v>
      </c>
      <c r="V233" s="25" t="n">
        <f aca="false">M233+N233</f>
        <v>645.44</v>
      </c>
      <c r="W233" s="25" t="n">
        <f aca="false">O233-V233</f>
        <v>0</v>
      </c>
      <c r="X233" s="22" t="str">
        <f aca="false">IF(OR(ABS(S233)&gt;0.005,ABS(U233)&gt;0.005,ABS(W233)&gt;0.005),"Subledger arithmetic error","OK")</f>
        <v>OK</v>
      </c>
      <c r="Y233" s="22" t="str">
        <f aca="false">IF(X233="OK","","Priority 3")</f>
        <v/>
      </c>
    </row>
    <row r="234" customFormat="false" ht="15" hidden="false" customHeight="false" outlineLevel="0" collapsed="false">
      <c r="A234" s="22" t="s">
        <v>11871</v>
      </c>
      <c r="B234" s="23" t="n">
        <v>46235</v>
      </c>
      <c r="C234" s="22" t="s">
        <v>11872</v>
      </c>
      <c r="D234" s="22" t="s">
        <v>6152</v>
      </c>
      <c r="E234" s="22" t="s">
        <v>7277</v>
      </c>
      <c r="F234" s="22" t="s">
        <v>198</v>
      </c>
      <c r="G234" s="22" t="s">
        <v>8601</v>
      </c>
      <c r="H234" s="22" t="s">
        <v>11406</v>
      </c>
      <c r="I234" s="22" t="n">
        <v>40</v>
      </c>
      <c r="J234" s="22" t="n">
        <v>1</v>
      </c>
      <c r="K234" s="22" t="n">
        <v>40</v>
      </c>
      <c r="L234" s="25" t="n">
        <v>10.4</v>
      </c>
      <c r="M234" s="25" t="n">
        <v>416</v>
      </c>
      <c r="N234" s="25" t="n">
        <v>53.41</v>
      </c>
      <c r="O234" s="25" t="n">
        <v>469.41</v>
      </c>
      <c r="P234" s="22" t="s">
        <v>11407</v>
      </c>
      <c r="Q234" s="23" t="n">
        <v>46249</v>
      </c>
      <c r="R234" s="22" t="n">
        <f aca="false">I234*J234</f>
        <v>40</v>
      </c>
      <c r="S234" s="25" t="n">
        <f aca="false">K234-R234</f>
        <v>0</v>
      </c>
      <c r="T234" s="25" t="n">
        <f aca="false">K234*L234</f>
        <v>416</v>
      </c>
      <c r="U234" s="25" t="n">
        <f aca="false">M234-T234</f>
        <v>0</v>
      </c>
      <c r="V234" s="25" t="n">
        <f aca="false">M234+N234</f>
        <v>469.41</v>
      </c>
      <c r="W234" s="25" t="n">
        <f aca="false">O234-V234</f>
        <v>0</v>
      </c>
      <c r="X234" s="22" t="str">
        <f aca="false">IF(OR(ABS(S234)&gt;0.005,ABS(U234)&gt;0.005,ABS(W234)&gt;0.005),"Subledger arithmetic error","OK")</f>
        <v>OK</v>
      </c>
      <c r="Y234" s="22" t="str">
        <f aca="false">IF(X234="OK","","Priority 3")</f>
        <v/>
      </c>
    </row>
    <row r="235" customFormat="false" ht="15" hidden="false" customHeight="false" outlineLevel="0" collapsed="false">
      <c r="A235" s="22" t="s">
        <v>11873</v>
      </c>
      <c r="B235" s="23" t="n">
        <v>46235</v>
      </c>
      <c r="C235" s="22" t="s">
        <v>11874</v>
      </c>
      <c r="D235" s="22" t="s">
        <v>2704</v>
      </c>
      <c r="E235" s="22" t="s">
        <v>7280</v>
      </c>
      <c r="F235" s="22" t="s">
        <v>198</v>
      </c>
      <c r="G235" s="22" t="s">
        <v>8601</v>
      </c>
      <c r="H235" s="22" t="s">
        <v>11406</v>
      </c>
      <c r="I235" s="22" t="n">
        <v>24</v>
      </c>
      <c r="J235" s="22" t="n">
        <v>1</v>
      </c>
      <c r="K235" s="22" t="n">
        <v>24</v>
      </c>
      <c r="L235" s="25" t="n">
        <v>10.4</v>
      </c>
      <c r="M235" s="25" t="n">
        <v>249.6</v>
      </c>
      <c r="N235" s="25" t="n">
        <v>32.05</v>
      </c>
      <c r="O235" s="25" t="n">
        <v>281.65</v>
      </c>
      <c r="P235" s="22" t="s">
        <v>11407</v>
      </c>
      <c r="Q235" s="23" t="n">
        <v>46249</v>
      </c>
      <c r="R235" s="22" t="n">
        <f aca="false">I235*J235</f>
        <v>24</v>
      </c>
      <c r="S235" s="25" t="n">
        <f aca="false">K235-R235</f>
        <v>0</v>
      </c>
      <c r="T235" s="25" t="n">
        <f aca="false">K235*L235</f>
        <v>249.6</v>
      </c>
      <c r="U235" s="25" t="n">
        <f aca="false">M235-T235</f>
        <v>0</v>
      </c>
      <c r="V235" s="25" t="n">
        <f aca="false">M235+N235</f>
        <v>281.65</v>
      </c>
      <c r="W235" s="25" t="n">
        <f aca="false">O235-V235</f>
        <v>0</v>
      </c>
      <c r="X235" s="22" t="str">
        <f aca="false">IF(OR(ABS(S235)&gt;0.005,ABS(U235)&gt;0.005,ABS(W235)&gt;0.005),"Subledger arithmetic error","OK")</f>
        <v>OK</v>
      </c>
      <c r="Y235" s="22" t="str">
        <f aca="false">IF(X235="OK","","Priority 3")</f>
        <v/>
      </c>
    </row>
    <row r="236" customFormat="false" ht="15" hidden="false" customHeight="false" outlineLevel="0" collapsed="false">
      <c r="A236" s="22" t="s">
        <v>11875</v>
      </c>
      <c r="B236" s="23" t="n">
        <v>46235</v>
      </c>
      <c r="C236" s="22" t="s">
        <v>11876</v>
      </c>
      <c r="D236" s="22" t="s">
        <v>1925</v>
      </c>
      <c r="E236" s="22" t="s">
        <v>7283</v>
      </c>
      <c r="F236" s="22" t="s">
        <v>198</v>
      </c>
      <c r="G236" s="22" t="s">
        <v>8601</v>
      </c>
      <c r="H236" s="22" t="s">
        <v>11406</v>
      </c>
      <c r="I236" s="22" t="n">
        <v>32</v>
      </c>
      <c r="J236" s="22" t="n">
        <v>1</v>
      </c>
      <c r="K236" s="22" t="n">
        <v>32</v>
      </c>
      <c r="L236" s="25" t="n">
        <v>10.4</v>
      </c>
      <c r="M236" s="25" t="n">
        <v>332.8</v>
      </c>
      <c r="N236" s="25" t="n">
        <v>42.73</v>
      </c>
      <c r="O236" s="25" t="n">
        <v>375.53</v>
      </c>
      <c r="P236" s="22" t="s">
        <v>11407</v>
      </c>
      <c r="Q236" s="23" t="n">
        <v>46249</v>
      </c>
      <c r="R236" s="22" t="n">
        <f aca="false">I236*J236</f>
        <v>32</v>
      </c>
      <c r="S236" s="25" t="n">
        <f aca="false">K236-R236</f>
        <v>0</v>
      </c>
      <c r="T236" s="25" t="n">
        <f aca="false">K236*L236</f>
        <v>332.8</v>
      </c>
      <c r="U236" s="25" t="n">
        <f aca="false">M236-T236</f>
        <v>0</v>
      </c>
      <c r="V236" s="25" t="n">
        <f aca="false">M236+N236</f>
        <v>375.53</v>
      </c>
      <c r="W236" s="25" t="n">
        <f aca="false">O236-V236</f>
        <v>0</v>
      </c>
      <c r="X236" s="22" t="str">
        <f aca="false">IF(OR(ABS(S236)&gt;0.005,ABS(U236)&gt;0.005,ABS(W236)&gt;0.005),"Subledger arithmetic error","OK")</f>
        <v>OK</v>
      </c>
      <c r="Y236" s="22" t="str">
        <f aca="false">IF(X236="OK","","Priority 3")</f>
        <v/>
      </c>
    </row>
    <row r="237" customFormat="false" ht="15" hidden="false" customHeight="false" outlineLevel="0" collapsed="false">
      <c r="A237" s="22" t="s">
        <v>11877</v>
      </c>
      <c r="B237" s="23" t="n">
        <v>46235</v>
      </c>
      <c r="C237" s="22" t="s">
        <v>11878</v>
      </c>
      <c r="D237" s="22" t="s">
        <v>4306</v>
      </c>
      <c r="E237" s="22" t="s">
        <v>7286</v>
      </c>
      <c r="F237" s="22" t="s">
        <v>198</v>
      </c>
      <c r="G237" s="22" t="s">
        <v>8601</v>
      </c>
      <c r="H237" s="22" t="s">
        <v>11406</v>
      </c>
      <c r="I237" s="22" t="n">
        <v>59</v>
      </c>
      <c r="J237" s="22" t="n">
        <v>1</v>
      </c>
      <c r="K237" s="22" t="n">
        <v>59</v>
      </c>
      <c r="L237" s="25" t="n">
        <v>10.4</v>
      </c>
      <c r="M237" s="25" t="n">
        <v>613.6</v>
      </c>
      <c r="N237" s="25" t="n">
        <v>78.79</v>
      </c>
      <c r="O237" s="25" t="n">
        <v>692.39</v>
      </c>
      <c r="P237" s="22" t="s">
        <v>11407</v>
      </c>
      <c r="Q237" s="23" t="n">
        <v>46249</v>
      </c>
      <c r="R237" s="22" t="n">
        <f aca="false">I237*J237</f>
        <v>59</v>
      </c>
      <c r="S237" s="25" t="n">
        <f aca="false">K237-R237</f>
        <v>0</v>
      </c>
      <c r="T237" s="25" t="n">
        <f aca="false">K237*L237</f>
        <v>613.6</v>
      </c>
      <c r="U237" s="25" t="n">
        <f aca="false">M237-T237</f>
        <v>0</v>
      </c>
      <c r="V237" s="25" t="n">
        <f aca="false">M237+N237</f>
        <v>692.39</v>
      </c>
      <c r="W237" s="25" t="n">
        <f aca="false">O237-V237</f>
        <v>0</v>
      </c>
      <c r="X237" s="22" t="str">
        <f aca="false">IF(OR(ABS(S237)&gt;0.005,ABS(U237)&gt;0.005,ABS(W237)&gt;0.005),"Subledger arithmetic error","OK")</f>
        <v>OK</v>
      </c>
      <c r="Y237" s="22" t="str">
        <f aca="false">IF(X237="OK","","Priority 3")</f>
        <v/>
      </c>
    </row>
    <row r="238" customFormat="false" ht="15" hidden="false" customHeight="false" outlineLevel="0" collapsed="false">
      <c r="A238" s="22" t="s">
        <v>11879</v>
      </c>
      <c r="B238" s="23" t="n">
        <v>46235</v>
      </c>
      <c r="C238" s="22" t="s">
        <v>11880</v>
      </c>
      <c r="D238" s="22" t="s">
        <v>5645</v>
      </c>
      <c r="E238" s="22" t="s">
        <v>7289</v>
      </c>
      <c r="F238" s="22" t="s">
        <v>198</v>
      </c>
      <c r="G238" s="22" t="s">
        <v>8601</v>
      </c>
      <c r="H238" s="22" t="s">
        <v>11406</v>
      </c>
      <c r="I238" s="22" t="n">
        <v>37</v>
      </c>
      <c r="J238" s="22" t="n">
        <v>1</v>
      </c>
      <c r="K238" s="22" t="n">
        <v>37</v>
      </c>
      <c r="L238" s="25" t="n">
        <v>10.4</v>
      </c>
      <c r="M238" s="25" t="n">
        <v>384.8</v>
      </c>
      <c r="N238" s="25" t="n">
        <v>49.41</v>
      </c>
      <c r="O238" s="25" t="n">
        <v>434.21</v>
      </c>
      <c r="P238" s="22" t="s">
        <v>11407</v>
      </c>
      <c r="Q238" s="23" t="n">
        <v>46249</v>
      </c>
      <c r="R238" s="22" t="n">
        <f aca="false">I238*J238</f>
        <v>37</v>
      </c>
      <c r="S238" s="25" t="n">
        <f aca="false">K238-R238</f>
        <v>0</v>
      </c>
      <c r="T238" s="25" t="n">
        <f aca="false">K238*L238</f>
        <v>384.8</v>
      </c>
      <c r="U238" s="25" t="n">
        <f aca="false">M238-T238</f>
        <v>0</v>
      </c>
      <c r="V238" s="25" t="n">
        <f aca="false">M238+N238</f>
        <v>434.21</v>
      </c>
      <c r="W238" s="25" t="n">
        <f aca="false">O238-V238</f>
        <v>0</v>
      </c>
      <c r="X238" s="22" t="str">
        <f aca="false">IF(OR(ABS(S238)&gt;0.005,ABS(U238)&gt;0.005,ABS(W238)&gt;0.005),"Subledger arithmetic error","OK")</f>
        <v>OK</v>
      </c>
      <c r="Y238" s="22" t="str">
        <f aca="false">IF(X238="OK","","Priority 3")</f>
        <v/>
      </c>
    </row>
    <row r="239" customFormat="false" ht="15" hidden="false" customHeight="false" outlineLevel="0" collapsed="false">
      <c r="A239" s="22" t="s">
        <v>11881</v>
      </c>
      <c r="B239" s="23" t="n">
        <v>46235</v>
      </c>
      <c r="C239" s="22" t="s">
        <v>11882</v>
      </c>
      <c r="D239" s="22" t="s">
        <v>2515</v>
      </c>
      <c r="E239" s="22" t="s">
        <v>7292</v>
      </c>
      <c r="F239" s="22" t="s">
        <v>198</v>
      </c>
      <c r="G239" s="22" t="s">
        <v>8601</v>
      </c>
      <c r="H239" s="22" t="s">
        <v>11406</v>
      </c>
      <c r="I239" s="22" t="n">
        <v>62</v>
      </c>
      <c r="J239" s="22" t="n">
        <v>1</v>
      </c>
      <c r="K239" s="22" t="n">
        <v>62</v>
      </c>
      <c r="L239" s="25" t="n">
        <v>10.4</v>
      </c>
      <c r="M239" s="25" t="n">
        <v>644.8</v>
      </c>
      <c r="N239" s="25" t="n">
        <v>82.79</v>
      </c>
      <c r="O239" s="25" t="n">
        <v>727.59</v>
      </c>
      <c r="P239" s="22" t="s">
        <v>11407</v>
      </c>
      <c r="Q239" s="23" t="n">
        <v>46249</v>
      </c>
      <c r="R239" s="22" t="n">
        <f aca="false">I239*J239</f>
        <v>62</v>
      </c>
      <c r="S239" s="25" t="n">
        <f aca="false">K239-R239</f>
        <v>0</v>
      </c>
      <c r="T239" s="25" t="n">
        <f aca="false">K239*L239</f>
        <v>644.8</v>
      </c>
      <c r="U239" s="25" t="n">
        <f aca="false">M239-T239</f>
        <v>0</v>
      </c>
      <c r="V239" s="25" t="n">
        <f aca="false">M239+N239</f>
        <v>727.59</v>
      </c>
      <c r="W239" s="25" t="n">
        <f aca="false">O239-V239</f>
        <v>0</v>
      </c>
      <c r="X239" s="22" t="str">
        <f aca="false">IF(OR(ABS(S239)&gt;0.005,ABS(U239)&gt;0.005,ABS(W239)&gt;0.005),"Subledger arithmetic error","OK")</f>
        <v>OK</v>
      </c>
      <c r="Y239" s="22" t="str">
        <f aca="false">IF(X239="OK","","Priority 3")</f>
        <v/>
      </c>
    </row>
    <row r="240" customFormat="false" ht="15" hidden="false" customHeight="false" outlineLevel="0" collapsed="false">
      <c r="A240" s="22" t="s">
        <v>11883</v>
      </c>
      <c r="B240" s="23" t="n">
        <v>46235</v>
      </c>
      <c r="C240" s="22" t="s">
        <v>11884</v>
      </c>
      <c r="D240" s="22" t="s">
        <v>3687</v>
      </c>
      <c r="E240" s="22" t="s">
        <v>7295</v>
      </c>
      <c r="F240" s="22" t="s">
        <v>198</v>
      </c>
      <c r="G240" s="22" t="s">
        <v>8601</v>
      </c>
      <c r="H240" s="22" t="s">
        <v>11406</v>
      </c>
      <c r="I240" s="22" t="n">
        <v>60</v>
      </c>
      <c r="J240" s="22" t="n">
        <v>1</v>
      </c>
      <c r="K240" s="22" t="n">
        <v>60</v>
      </c>
      <c r="L240" s="25" t="n">
        <v>10.4</v>
      </c>
      <c r="M240" s="25" t="n">
        <v>624</v>
      </c>
      <c r="N240" s="25" t="n">
        <v>80.12</v>
      </c>
      <c r="O240" s="25" t="n">
        <v>704.12</v>
      </c>
      <c r="P240" s="22" t="s">
        <v>11407</v>
      </c>
      <c r="Q240" s="23" t="n">
        <v>46249</v>
      </c>
      <c r="R240" s="22" t="n">
        <f aca="false">I240*J240</f>
        <v>60</v>
      </c>
      <c r="S240" s="25" t="n">
        <f aca="false">K240-R240</f>
        <v>0</v>
      </c>
      <c r="T240" s="25" t="n">
        <f aca="false">K240*L240</f>
        <v>624</v>
      </c>
      <c r="U240" s="25" t="n">
        <f aca="false">M240-T240</f>
        <v>0</v>
      </c>
      <c r="V240" s="25" t="n">
        <f aca="false">M240+N240</f>
        <v>704.12</v>
      </c>
      <c r="W240" s="25" t="n">
        <f aca="false">O240-V240</f>
        <v>0</v>
      </c>
      <c r="X240" s="22" t="str">
        <f aca="false">IF(OR(ABS(S240)&gt;0.005,ABS(U240)&gt;0.005,ABS(W240)&gt;0.005),"Subledger arithmetic error","OK")</f>
        <v>OK</v>
      </c>
      <c r="Y240" s="22" t="str">
        <f aca="false">IF(X240="OK","","Priority 3")</f>
        <v/>
      </c>
    </row>
    <row r="241" customFormat="false" ht="15" hidden="false" customHeight="false" outlineLevel="0" collapsed="false">
      <c r="A241" s="22" t="s">
        <v>11885</v>
      </c>
      <c r="B241" s="23" t="n">
        <v>46235</v>
      </c>
      <c r="C241" s="22" t="s">
        <v>11886</v>
      </c>
      <c r="D241" s="22" t="s">
        <v>5243</v>
      </c>
      <c r="E241" s="22" t="s">
        <v>7298</v>
      </c>
      <c r="F241" s="22" t="s">
        <v>198</v>
      </c>
      <c r="G241" s="22" t="s">
        <v>8601</v>
      </c>
      <c r="H241" s="22" t="s">
        <v>11406</v>
      </c>
      <c r="I241" s="22" t="n">
        <v>42</v>
      </c>
      <c r="J241" s="22" t="n">
        <v>1</v>
      </c>
      <c r="K241" s="22" t="n">
        <v>42</v>
      </c>
      <c r="L241" s="25" t="n">
        <v>10.4</v>
      </c>
      <c r="M241" s="25" t="n">
        <v>436.8</v>
      </c>
      <c r="N241" s="25" t="n">
        <v>56.09</v>
      </c>
      <c r="O241" s="25" t="n">
        <v>492.89</v>
      </c>
      <c r="P241" s="22" t="s">
        <v>11407</v>
      </c>
      <c r="Q241" s="23" t="n">
        <v>46249</v>
      </c>
      <c r="R241" s="22" t="n">
        <f aca="false">I241*J241</f>
        <v>42</v>
      </c>
      <c r="S241" s="25" t="n">
        <f aca="false">K241-R241</f>
        <v>0</v>
      </c>
      <c r="T241" s="25" t="n">
        <f aca="false">K241*L241</f>
        <v>436.8</v>
      </c>
      <c r="U241" s="25" t="n">
        <f aca="false">M241-T241</f>
        <v>0</v>
      </c>
      <c r="V241" s="25" t="n">
        <f aca="false">M241+N241</f>
        <v>492.89</v>
      </c>
      <c r="W241" s="25" t="n">
        <f aca="false">O241-V241</f>
        <v>0</v>
      </c>
      <c r="X241" s="22" t="str">
        <f aca="false">IF(OR(ABS(S241)&gt;0.005,ABS(U241)&gt;0.005,ABS(W241)&gt;0.005),"Subledger arithmetic error","OK")</f>
        <v>OK</v>
      </c>
      <c r="Y241" s="22" t="str">
        <f aca="false">IF(X241="OK","","Priority 3")</f>
        <v/>
      </c>
    </row>
    <row r="242" customFormat="false" ht="15" hidden="false" customHeight="false" outlineLevel="0" collapsed="false">
      <c r="A242" s="22" t="s">
        <v>11887</v>
      </c>
      <c r="B242" s="23" t="n">
        <v>46235</v>
      </c>
      <c r="C242" s="22" t="s">
        <v>11888</v>
      </c>
      <c r="D242" s="22" t="s">
        <v>225</v>
      </c>
      <c r="E242" s="22" t="s">
        <v>7301</v>
      </c>
      <c r="F242" s="22" t="s">
        <v>198</v>
      </c>
      <c r="G242" s="22" t="s">
        <v>8601</v>
      </c>
      <c r="H242" s="22" t="s">
        <v>11406</v>
      </c>
      <c r="I242" s="22" t="n">
        <v>32</v>
      </c>
      <c r="J242" s="22" t="n">
        <v>1</v>
      </c>
      <c r="K242" s="22" t="n">
        <v>32</v>
      </c>
      <c r="L242" s="25" t="n">
        <v>10.4</v>
      </c>
      <c r="M242" s="25" t="n">
        <v>332.8</v>
      </c>
      <c r="N242" s="25" t="n">
        <v>42.73</v>
      </c>
      <c r="O242" s="25" t="n">
        <v>375.53</v>
      </c>
      <c r="P242" s="22" t="s">
        <v>11407</v>
      </c>
      <c r="Q242" s="23" t="n">
        <v>46249</v>
      </c>
      <c r="R242" s="22" t="n">
        <f aca="false">I242*J242</f>
        <v>32</v>
      </c>
      <c r="S242" s="25" t="n">
        <f aca="false">K242-R242</f>
        <v>0</v>
      </c>
      <c r="T242" s="25" t="n">
        <f aca="false">K242*L242</f>
        <v>332.8</v>
      </c>
      <c r="U242" s="25" t="n">
        <f aca="false">M242-T242</f>
        <v>0</v>
      </c>
      <c r="V242" s="25" t="n">
        <f aca="false">M242+N242</f>
        <v>375.53</v>
      </c>
      <c r="W242" s="25" t="n">
        <f aca="false">O242-V242</f>
        <v>0</v>
      </c>
      <c r="X242" s="22" t="str">
        <f aca="false">IF(OR(ABS(S242)&gt;0.005,ABS(U242)&gt;0.005,ABS(W242)&gt;0.005),"Subledger arithmetic error","OK")</f>
        <v>OK</v>
      </c>
      <c r="Y242" s="22" t="str">
        <f aca="false">IF(X242="OK","","Priority 3")</f>
        <v/>
      </c>
    </row>
    <row r="243" customFormat="false" ht="15" hidden="false" customHeight="false" outlineLevel="0" collapsed="false">
      <c r="A243" s="22" t="s">
        <v>11889</v>
      </c>
      <c r="B243" s="23" t="n">
        <v>46235</v>
      </c>
      <c r="C243" s="22" t="s">
        <v>11890</v>
      </c>
      <c r="D243" s="22" t="s">
        <v>5584</v>
      </c>
      <c r="E243" s="22" t="s">
        <v>7303</v>
      </c>
      <c r="F243" s="22" t="s">
        <v>159</v>
      </c>
      <c r="G243" s="22" t="s">
        <v>8601</v>
      </c>
      <c r="H243" s="22" t="s">
        <v>11406</v>
      </c>
      <c r="I243" s="22" t="n">
        <v>61</v>
      </c>
      <c r="J243" s="22" t="n">
        <v>1</v>
      </c>
      <c r="K243" s="22" t="n">
        <v>61</v>
      </c>
      <c r="L243" s="25" t="n">
        <v>10.4</v>
      </c>
      <c r="M243" s="25" t="n">
        <v>634.4</v>
      </c>
      <c r="N243" s="25" t="n">
        <v>81.46</v>
      </c>
      <c r="O243" s="25" t="n">
        <v>715.86</v>
      </c>
      <c r="P243" s="22" t="s">
        <v>11407</v>
      </c>
      <c r="Q243" s="23" t="n">
        <v>46249</v>
      </c>
      <c r="R243" s="22" t="n">
        <f aca="false">I243*J243</f>
        <v>61</v>
      </c>
      <c r="S243" s="25" t="n">
        <f aca="false">K243-R243</f>
        <v>0</v>
      </c>
      <c r="T243" s="25" t="n">
        <f aca="false">K243*L243</f>
        <v>634.4</v>
      </c>
      <c r="U243" s="25" t="n">
        <f aca="false">M243-T243</f>
        <v>0</v>
      </c>
      <c r="V243" s="25" t="n">
        <f aca="false">M243+N243</f>
        <v>715.86</v>
      </c>
      <c r="W243" s="25" t="n">
        <f aca="false">O243-V243</f>
        <v>0</v>
      </c>
      <c r="X243" s="22" t="str">
        <f aca="false">IF(OR(ABS(S243)&gt;0.005,ABS(U243)&gt;0.005,ABS(W243)&gt;0.005),"Subledger arithmetic error","OK")</f>
        <v>OK</v>
      </c>
      <c r="Y243" s="22" t="str">
        <f aca="false">IF(X243="OK","","Priority 3")</f>
        <v/>
      </c>
    </row>
    <row r="244" customFormat="false" ht="15" hidden="false" customHeight="false" outlineLevel="0" collapsed="false">
      <c r="A244" s="22" t="s">
        <v>11891</v>
      </c>
      <c r="B244" s="23" t="n">
        <v>46235</v>
      </c>
      <c r="C244" s="22" t="s">
        <v>11892</v>
      </c>
      <c r="D244" s="22" t="s">
        <v>5449</v>
      </c>
      <c r="E244" s="22" t="s">
        <v>7304</v>
      </c>
      <c r="F244" s="22" t="s">
        <v>159</v>
      </c>
      <c r="G244" s="22" t="s">
        <v>8601</v>
      </c>
      <c r="H244" s="22" t="s">
        <v>11406</v>
      </c>
      <c r="I244" s="22" t="n">
        <v>34</v>
      </c>
      <c r="J244" s="22" t="n">
        <v>1</v>
      </c>
      <c r="K244" s="22" t="n">
        <v>34</v>
      </c>
      <c r="L244" s="25" t="n">
        <v>10.4</v>
      </c>
      <c r="M244" s="25" t="n">
        <v>353.6</v>
      </c>
      <c r="N244" s="25" t="n">
        <v>45.4</v>
      </c>
      <c r="O244" s="25" t="n">
        <v>399</v>
      </c>
      <c r="P244" s="22" t="s">
        <v>11407</v>
      </c>
      <c r="Q244" s="23" t="n">
        <v>46249</v>
      </c>
      <c r="R244" s="22" t="n">
        <f aca="false">I244*J244</f>
        <v>34</v>
      </c>
      <c r="S244" s="25" t="n">
        <f aca="false">K244-R244</f>
        <v>0</v>
      </c>
      <c r="T244" s="25" t="n">
        <f aca="false">K244*L244</f>
        <v>353.6</v>
      </c>
      <c r="U244" s="25" t="n">
        <f aca="false">M244-T244</f>
        <v>0</v>
      </c>
      <c r="V244" s="25" t="n">
        <f aca="false">M244+N244</f>
        <v>399</v>
      </c>
      <c r="W244" s="25" t="n">
        <f aca="false">O244-V244</f>
        <v>0</v>
      </c>
      <c r="X244" s="22" t="str">
        <f aca="false">IF(OR(ABS(S244)&gt;0.005,ABS(U244)&gt;0.005,ABS(W244)&gt;0.005),"Subledger arithmetic error","OK")</f>
        <v>OK</v>
      </c>
      <c r="Y244" s="22" t="str">
        <f aca="false">IF(X244="OK","","Priority 3")</f>
        <v/>
      </c>
    </row>
    <row r="245" customFormat="false" ht="15" hidden="false" customHeight="false" outlineLevel="0" collapsed="false">
      <c r="A245" s="22" t="s">
        <v>11893</v>
      </c>
      <c r="B245" s="23" t="n">
        <v>46235</v>
      </c>
      <c r="C245" s="22" t="s">
        <v>11894</v>
      </c>
      <c r="D245" s="22" t="s">
        <v>5040</v>
      </c>
      <c r="E245" s="22" t="s">
        <v>7305</v>
      </c>
      <c r="F245" s="22" t="s">
        <v>159</v>
      </c>
      <c r="G245" s="22" t="s">
        <v>8601</v>
      </c>
      <c r="H245" s="22" t="s">
        <v>11406</v>
      </c>
      <c r="I245" s="22" t="n">
        <v>39</v>
      </c>
      <c r="J245" s="22" t="n">
        <v>1</v>
      </c>
      <c r="K245" s="22" t="n">
        <v>39</v>
      </c>
      <c r="L245" s="25" t="n">
        <v>10.4</v>
      </c>
      <c r="M245" s="25" t="n">
        <v>405.6</v>
      </c>
      <c r="N245" s="25" t="n">
        <v>52.08</v>
      </c>
      <c r="O245" s="25" t="n">
        <v>457.68</v>
      </c>
      <c r="P245" s="22" t="s">
        <v>11407</v>
      </c>
      <c r="Q245" s="23" t="n">
        <v>46249</v>
      </c>
      <c r="R245" s="22" t="n">
        <f aca="false">I245*J245</f>
        <v>39</v>
      </c>
      <c r="S245" s="25" t="n">
        <f aca="false">K245-R245</f>
        <v>0</v>
      </c>
      <c r="T245" s="25" t="n">
        <f aca="false">K245*L245</f>
        <v>405.6</v>
      </c>
      <c r="U245" s="25" t="n">
        <f aca="false">M245-T245</f>
        <v>0</v>
      </c>
      <c r="V245" s="25" t="n">
        <f aca="false">M245+N245</f>
        <v>457.68</v>
      </c>
      <c r="W245" s="25" t="n">
        <f aca="false">O245-V245</f>
        <v>0</v>
      </c>
      <c r="X245" s="22" t="str">
        <f aca="false">IF(OR(ABS(S245)&gt;0.005,ABS(U245)&gt;0.005,ABS(W245)&gt;0.005),"Subledger arithmetic error","OK")</f>
        <v>OK</v>
      </c>
      <c r="Y245" s="22" t="str">
        <f aca="false">IF(X245="OK","","Priority 3")</f>
        <v/>
      </c>
    </row>
    <row r="246" customFormat="false" ht="15" hidden="false" customHeight="false" outlineLevel="0" collapsed="false">
      <c r="A246" s="22" t="s">
        <v>11895</v>
      </c>
      <c r="B246" s="23" t="n">
        <v>46235</v>
      </c>
      <c r="C246" s="22" t="s">
        <v>11896</v>
      </c>
      <c r="D246" s="22" t="s">
        <v>6420</v>
      </c>
      <c r="E246" s="22" t="s">
        <v>7309</v>
      </c>
      <c r="F246" s="22" t="s">
        <v>159</v>
      </c>
      <c r="G246" s="22" t="s">
        <v>8601</v>
      </c>
      <c r="H246" s="22" t="s">
        <v>11406</v>
      </c>
      <c r="I246" s="22" t="n">
        <v>54</v>
      </c>
      <c r="J246" s="22" t="n">
        <v>1</v>
      </c>
      <c r="K246" s="22" t="n">
        <v>54</v>
      </c>
      <c r="L246" s="25" t="n">
        <v>10.4</v>
      </c>
      <c r="M246" s="25" t="n">
        <v>561.6</v>
      </c>
      <c r="N246" s="25" t="n">
        <v>72.11</v>
      </c>
      <c r="O246" s="25" t="n">
        <v>633.71</v>
      </c>
      <c r="P246" s="22" t="s">
        <v>11407</v>
      </c>
      <c r="Q246" s="23" t="n">
        <v>46249</v>
      </c>
      <c r="R246" s="22" t="n">
        <f aca="false">I246*J246</f>
        <v>54</v>
      </c>
      <c r="S246" s="25" t="n">
        <f aca="false">K246-R246</f>
        <v>0</v>
      </c>
      <c r="T246" s="25" t="n">
        <f aca="false">K246*L246</f>
        <v>561.6</v>
      </c>
      <c r="U246" s="25" t="n">
        <f aca="false">M246-T246</f>
        <v>0</v>
      </c>
      <c r="V246" s="25" t="n">
        <f aca="false">M246+N246</f>
        <v>633.71</v>
      </c>
      <c r="W246" s="25" t="n">
        <f aca="false">O246-V246</f>
        <v>0</v>
      </c>
      <c r="X246" s="22" t="str">
        <f aca="false">IF(OR(ABS(S246)&gt;0.005,ABS(U246)&gt;0.005,ABS(W246)&gt;0.005),"Subledger arithmetic error","OK")</f>
        <v>OK</v>
      </c>
      <c r="Y246" s="22" t="str">
        <f aca="false">IF(X246="OK","","Priority 3")</f>
        <v/>
      </c>
    </row>
    <row r="247" customFormat="false" ht="15" hidden="false" customHeight="false" outlineLevel="0" collapsed="false">
      <c r="A247" s="22" t="s">
        <v>11897</v>
      </c>
      <c r="B247" s="23" t="n">
        <v>46235</v>
      </c>
      <c r="C247" s="22" t="s">
        <v>11898</v>
      </c>
      <c r="D247" s="22" t="s">
        <v>874</v>
      </c>
      <c r="E247" s="22" t="s">
        <v>7311</v>
      </c>
      <c r="F247" s="22" t="s">
        <v>159</v>
      </c>
      <c r="G247" s="22" t="s">
        <v>8601</v>
      </c>
      <c r="H247" s="22" t="s">
        <v>11406</v>
      </c>
      <c r="I247" s="22" t="n">
        <v>49</v>
      </c>
      <c r="J247" s="22" t="n">
        <v>1</v>
      </c>
      <c r="K247" s="22" t="n">
        <v>49</v>
      </c>
      <c r="L247" s="25" t="n">
        <v>10.4</v>
      </c>
      <c r="M247" s="25" t="n">
        <v>509.6</v>
      </c>
      <c r="N247" s="25" t="n">
        <v>65.43</v>
      </c>
      <c r="O247" s="25" t="n">
        <v>575.03</v>
      </c>
      <c r="P247" s="22" t="s">
        <v>11407</v>
      </c>
      <c r="Q247" s="23" t="n">
        <v>46249</v>
      </c>
      <c r="R247" s="22" t="n">
        <f aca="false">I247*J247</f>
        <v>49</v>
      </c>
      <c r="S247" s="25" t="n">
        <f aca="false">K247-R247</f>
        <v>0</v>
      </c>
      <c r="T247" s="25" t="n">
        <f aca="false">K247*L247</f>
        <v>509.6</v>
      </c>
      <c r="U247" s="25" t="n">
        <f aca="false">M247-T247</f>
        <v>0</v>
      </c>
      <c r="V247" s="25" t="n">
        <f aca="false">M247+N247</f>
        <v>575.03</v>
      </c>
      <c r="W247" s="25" t="n">
        <f aca="false">O247-V247</f>
        <v>0</v>
      </c>
      <c r="X247" s="22" t="str">
        <f aca="false">IF(OR(ABS(S247)&gt;0.005,ABS(U247)&gt;0.005,ABS(W247)&gt;0.005),"Subledger arithmetic error","OK")</f>
        <v>OK</v>
      </c>
      <c r="Y247" s="22" t="str">
        <f aca="false">IF(X247="OK","","Priority 3")</f>
        <v/>
      </c>
    </row>
    <row r="248" customFormat="false" ht="15" hidden="false" customHeight="false" outlineLevel="0" collapsed="false">
      <c r="A248" s="22" t="s">
        <v>11899</v>
      </c>
      <c r="B248" s="23" t="n">
        <v>46235</v>
      </c>
      <c r="C248" s="22" t="s">
        <v>11900</v>
      </c>
      <c r="D248" s="22" t="s">
        <v>4414</v>
      </c>
      <c r="E248" s="22" t="s">
        <v>7312</v>
      </c>
      <c r="F248" s="22" t="s">
        <v>159</v>
      </c>
      <c r="G248" s="22" t="s">
        <v>8601</v>
      </c>
      <c r="H248" s="22" t="s">
        <v>11406</v>
      </c>
      <c r="I248" s="22" t="n">
        <v>36</v>
      </c>
      <c r="J248" s="22" t="n">
        <v>1</v>
      </c>
      <c r="K248" s="22" t="n">
        <v>36</v>
      </c>
      <c r="L248" s="25" t="n">
        <v>10.4</v>
      </c>
      <c r="M248" s="25" t="n">
        <v>374.4</v>
      </c>
      <c r="N248" s="25" t="n">
        <v>48.07</v>
      </c>
      <c r="O248" s="25" t="n">
        <v>422.47</v>
      </c>
      <c r="P248" s="22" t="s">
        <v>11407</v>
      </c>
      <c r="Q248" s="23" t="n">
        <v>46249</v>
      </c>
      <c r="R248" s="22" t="n">
        <f aca="false">I248*J248</f>
        <v>36</v>
      </c>
      <c r="S248" s="25" t="n">
        <f aca="false">K248-R248</f>
        <v>0</v>
      </c>
      <c r="T248" s="25" t="n">
        <f aca="false">K248*L248</f>
        <v>374.4</v>
      </c>
      <c r="U248" s="25" t="n">
        <f aca="false">M248-T248</f>
        <v>0</v>
      </c>
      <c r="V248" s="25" t="n">
        <f aca="false">M248+N248</f>
        <v>422.47</v>
      </c>
      <c r="W248" s="25" t="n">
        <f aca="false">O248-V248</f>
        <v>0</v>
      </c>
      <c r="X248" s="22" t="str">
        <f aca="false">IF(OR(ABS(S248)&gt;0.005,ABS(U248)&gt;0.005,ABS(W248)&gt;0.005),"Subledger arithmetic error","OK")</f>
        <v>OK</v>
      </c>
      <c r="Y248" s="22" t="str">
        <f aca="false">IF(X248="OK","","Priority 3")</f>
        <v/>
      </c>
    </row>
    <row r="249" customFormat="false" ht="15" hidden="false" customHeight="false" outlineLevel="0" collapsed="false">
      <c r="A249" s="22" t="s">
        <v>11901</v>
      </c>
      <c r="B249" s="23" t="n">
        <v>46235</v>
      </c>
      <c r="C249" s="22" t="s">
        <v>11902</v>
      </c>
      <c r="D249" s="22" t="s">
        <v>6488</v>
      </c>
      <c r="E249" s="22" t="s">
        <v>7314</v>
      </c>
      <c r="F249" s="22" t="s">
        <v>159</v>
      </c>
      <c r="G249" s="22" t="s">
        <v>8601</v>
      </c>
      <c r="H249" s="22" t="s">
        <v>11406</v>
      </c>
      <c r="I249" s="22" t="n">
        <v>32</v>
      </c>
      <c r="J249" s="22" t="n">
        <v>1</v>
      </c>
      <c r="K249" s="22" t="n">
        <v>32</v>
      </c>
      <c r="L249" s="25" t="n">
        <v>10.4</v>
      </c>
      <c r="M249" s="25" t="n">
        <v>332.8</v>
      </c>
      <c r="N249" s="25" t="n">
        <v>42.73</v>
      </c>
      <c r="O249" s="25" t="n">
        <v>375.53</v>
      </c>
      <c r="P249" s="22" t="s">
        <v>11407</v>
      </c>
      <c r="Q249" s="23" t="n">
        <v>46249</v>
      </c>
      <c r="R249" s="22" t="n">
        <f aca="false">I249*J249</f>
        <v>32</v>
      </c>
      <c r="S249" s="25" t="n">
        <f aca="false">K249-R249</f>
        <v>0</v>
      </c>
      <c r="T249" s="25" t="n">
        <f aca="false">K249*L249</f>
        <v>332.8</v>
      </c>
      <c r="U249" s="25" t="n">
        <f aca="false">M249-T249</f>
        <v>0</v>
      </c>
      <c r="V249" s="25" t="n">
        <f aca="false">M249+N249</f>
        <v>375.53</v>
      </c>
      <c r="W249" s="25" t="n">
        <f aca="false">O249-V249</f>
        <v>0</v>
      </c>
      <c r="X249" s="22" t="str">
        <f aca="false">IF(OR(ABS(S249)&gt;0.005,ABS(U249)&gt;0.005,ABS(W249)&gt;0.005),"Subledger arithmetic error","OK")</f>
        <v>OK</v>
      </c>
      <c r="Y249" s="22" t="str">
        <f aca="false">IF(X249="OK","","Priority 3")</f>
        <v/>
      </c>
    </row>
    <row r="250" customFormat="false" ht="15" hidden="false" customHeight="false" outlineLevel="0" collapsed="false">
      <c r="A250" s="22" t="s">
        <v>11903</v>
      </c>
      <c r="B250" s="23" t="n">
        <v>46235</v>
      </c>
      <c r="C250" s="22" t="s">
        <v>11904</v>
      </c>
      <c r="D250" s="22" t="s">
        <v>3813</v>
      </c>
      <c r="E250" s="22" t="s">
        <v>7316</v>
      </c>
      <c r="F250" s="22" t="s">
        <v>159</v>
      </c>
      <c r="G250" s="22" t="s">
        <v>8601</v>
      </c>
      <c r="H250" s="22" t="s">
        <v>11406</v>
      </c>
      <c r="I250" s="22" t="n">
        <v>31</v>
      </c>
      <c r="J250" s="22" t="n">
        <v>1</v>
      </c>
      <c r="K250" s="22" t="n">
        <v>31</v>
      </c>
      <c r="L250" s="25" t="n">
        <v>10.4</v>
      </c>
      <c r="M250" s="25" t="n">
        <v>322.4</v>
      </c>
      <c r="N250" s="25" t="n">
        <v>41.4</v>
      </c>
      <c r="O250" s="25" t="n">
        <v>363.8</v>
      </c>
      <c r="P250" s="22" t="s">
        <v>11410</v>
      </c>
      <c r="Q250" s="23" t="n">
        <v>46249</v>
      </c>
      <c r="R250" s="22" t="n">
        <f aca="false">I250*J250</f>
        <v>31</v>
      </c>
      <c r="S250" s="25" t="n">
        <f aca="false">K250-R250</f>
        <v>0</v>
      </c>
      <c r="T250" s="25" t="n">
        <f aca="false">K250*L250</f>
        <v>322.4</v>
      </c>
      <c r="U250" s="25" t="n">
        <f aca="false">M250-T250</f>
        <v>0</v>
      </c>
      <c r="V250" s="25" t="n">
        <f aca="false">M250+N250</f>
        <v>363.8</v>
      </c>
      <c r="W250" s="25" t="n">
        <f aca="false">O250-V250</f>
        <v>0</v>
      </c>
      <c r="X250" s="22" t="str">
        <f aca="false">IF(OR(ABS(S250)&gt;0.005,ABS(U250)&gt;0.005,ABS(W250)&gt;0.005),"Subledger arithmetic error","OK")</f>
        <v>OK</v>
      </c>
      <c r="Y250" s="22" t="str">
        <f aca="false">IF(X250="OK","","Priority 3")</f>
        <v/>
      </c>
    </row>
    <row r="251" customFormat="false" ht="15" hidden="false" customHeight="false" outlineLevel="0" collapsed="false">
      <c r="A251" s="22" t="s">
        <v>11905</v>
      </c>
      <c r="B251" s="23" t="n">
        <v>46235</v>
      </c>
      <c r="C251" s="22" t="s">
        <v>11906</v>
      </c>
      <c r="D251" s="22" t="s">
        <v>2408</v>
      </c>
      <c r="E251" s="22" t="s">
        <v>7318</v>
      </c>
      <c r="F251" s="22" t="s">
        <v>159</v>
      </c>
      <c r="G251" s="22" t="s">
        <v>8601</v>
      </c>
      <c r="H251" s="22" t="s">
        <v>11406</v>
      </c>
      <c r="I251" s="22" t="n">
        <v>52</v>
      </c>
      <c r="J251" s="22" t="n">
        <v>1</v>
      </c>
      <c r="K251" s="22" t="n">
        <v>52</v>
      </c>
      <c r="L251" s="25" t="n">
        <v>10.4</v>
      </c>
      <c r="M251" s="25" t="n">
        <v>540.8</v>
      </c>
      <c r="N251" s="25" t="n">
        <v>69.44</v>
      </c>
      <c r="O251" s="25" t="n">
        <v>610.24</v>
      </c>
      <c r="P251" s="22" t="s">
        <v>11407</v>
      </c>
      <c r="Q251" s="23" t="n">
        <v>46249</v>
      </c>
      <c r="R251" s="22" t="n">
        <f aca="false">I251*J251</f>
        <v>52</v>
      </c>
      <c r="S251" s="25" t="n">
        <f aca="false">K251-R251</f>
        <v>0</v>
      </c>
      <c r="T251" s="25" t="n">
        <f aca="false">K251*L251</f>
        <v>540.8</v>
      </c>
      <c r="U251" s="25" t="n">
        <f aca="false">M251-T251</f>
        <v>0</v>
      </c>
      <c r="V251" s="25" t="n">
        <f aca="false">M251+N251</f>
        <v>610.24</v>
      </c>
      <c r="W251" s="25" t="n">
        <f aca="false">O251-V251</f>
        <v>0</v>
      </c>
      <c r="X251" s="22" t="str">
        <f aca="false">IF(OR(ABS(S251)&gt;0.005,ABS(U251)&gt;0.005,ABS(W251)&gt;0.005),"Subledger arithmetic error","OK")</f>
        <v>OK</v>
      </c>
      <c r="Y251" s="22" t="str">
        <f aca="false">IF(X251="OK","","Priority 3")</f>
        <v/>
      </c>
    </row>
    <row r="252" customFormat="false" ht="15" hidden="false" customHeight="false" outlineLevel="0" collapsed="false">
      <c r="A252" s="22" t="s">
        <v>11907</v>
      </c>
      <c r="B252" s="23" t="n">
        <v>46235</v>
      </c>
      <c r="C252" s="22" t="s">
        <v>11908</v>
      </c>
      <c r="D252" s="22" t="s">
        <v>6017</v>
      </c>
      <c r="E252" s="22" t="s">
        <v>7320</v>
      </c>
      <c r="F252" s="22" t="s">
        <v>159</v>
      </c>
      <c r="G252" s="22" t="s">
        <v>8601</v>
      </c>
      <c r="H252" s="22" t="s">
        <v>11406</v>
      </c>
      <c r="I252" s="22" t="n">
        <v>39</v>
      </c>
      <c r="J252" s="22" t="n">
        <v>1</v>
      </c>
      <c r="K252" s="22" t="n">
        <v>39</v>
      </c>
      <c r="L252" s="25" t="n">
        <v>10.4</v>
      </c>
      <c r="M252" s="25" t="n">
        <v>405.6</v>
      </c>
      <c r="N252" s="25" t="n">
        <v>52.08</v>
      </c>
      <c r="O252" s="25" t="n">
        <v>457.68</v>
      </c>
      <c r="P252" s="22" t="s">
        <v>11407</v>
      </c>
      <c r="Q252" s="23" t="n">
        <v>46249</v>
      </c>
      <c r="R252" s="22" t="n">
        <f aca="false">I252*J252</f>
        <v>39</v>
      </c>
      <c r="S252" s="25" t="n">
        <f aca="false">K252-R252</f>
        <v>0</v>
      </c>
      <c r="T252" s="25" t="n">
        <f aca="false">K252*L252</f>
        <v>405.6</v>
      </c>
      <c r="U252" s="25" t="n">
        <f aca="false">M252-T252</f>
        <v>0</v>
      </c>
      <c r="V252" s="25" t="n">
        <f aca="false">M252+N252</f>
        <v>457.68</v>
      </c>
      <c r="W252" s="25" t="n">
        <f aca="false">O252-V252</f>
        <v>0</v>
      </c>
      <c r="X252" s="22" t="str">
        <f aca="false">IF(OR(ABS(S252)&gt;0.005,ABS(U252)&gt;0.005,ABS(W252)&gt;0.005),"Subledger arithmetic error","OK")</f>
        <v>OK</v>
      </c>
      <c r="Y252" s="22" t="str">
        <f aca="false">IF(X252="OK","","Priority 3")</f>
        <v/>
      </c>
    </row>
    <row r="253" customFormat="false" ht="15" hidden="false" customHeight="false" outlineLevel="0" collapsed="false">
      <c r="A253" s="22" t="s">
        <v>11909</v>
      </c>
      <c r="B253" s="23" t="n">
        <v>46235</v>
      </c>
      <c r="C253" s="22" t="s">
        <v>11910</v>
      </c>
      <c r="D253" s="22" t="s">
        <v>726</v>
      </c>
      <c r="E253" s="22" t="s">
        <v>7321</v>
      </c>
      <c r="F253" s="22" t="s">
        <v>159</v>
      </c>
      <c r="G253" s="22" t="s">
        <v>8601</v>
      </c>
      <c r="H253" s="22" t="s">
        <v>11406</v>
      </c>
      <c r="I253" s="22" t="n">
        <v>53</v>
      </c>
      <c r="J253" s="22" t="n">
        <v>1</v>
      </c>
      <c r="K253" s="22" t="n">
        <v>53</v>
      </c>
      <c r="L253" s="25" t="n">
        <v>10.4</v>
      </c>
      <c r="M253" s="25" t="n">
        <v>551.2</v>
      </c>
      <c r="N253" s="25" t="n">
        <v>70.77</v>
      </c>
      <c r="O253" s="25" t="n">
        <v>621.97</v>
      </c>
      <c r="P253" s="22" t="s">
        <v>11407</v>
      </c>
      <c r="Q253" s="23" t="n">
        <v>46249</v>
      </c>
      <c r="R253" s="22" t="n">
        <f aca="false">I253*J253</f>
        <v>53</v>
      </c>
      <c r="S253" s="25" t="n">
        <f aca="false">K253-R253</f>
        <v>0</v>
      </c>
      <c r="T253" s="25" t="n">
        <f aca="false">K253*L253</f>
        <v>551.2</v>
      </c>
      <c r="U253" s="25" t="n">
        <f aca="false">M253-T253</f>
        <v>0</v>
      </c>
      <c r="V253" s="25" t="n">
        <f aca="false">M253+N253</f>
        <v>621.97</v>
      </c>
      <c r="W253" s="25" t="n">
        <f aca="false">O253-V253</f>
        <v>0</v>
      </c>
      <c r="X253" s="22" t="str">
        <f aca="false">IF(OR(ABS(S253)&gt;0.005,ABS(U253)&gt;0.005,ABS(W253)&gt;0.005),"Subledger arithmetic error","OK")</f>
        <v>OK</v>
      </c>
      <c r="Y253" s="22" t="str">
        <f aca="false">IF(X253="OK","","Priority 3")</f>
        <v/>
      </c>
    </row>
    <row r="254" customFormat="false" ht="15" hidden="false" customHeight="false" outlineLevel="0" collapsed="false">
      <c r="A254" s="22" t="s">
        <v>11911</v>
      </c>
      <c r="B254" s="23" t="n">
        <v>46235</v>
      </c>
      <c r="C254" s="22" t="s">
        <v>11912</v>
      </c>
      <c r="D254" s="22" t="s">
        <v>1734</v>
      </c>
      <c r="E254" s="22" t="s">
        <v>7323</v>
      </c>
      <c r="F254" s="22" t="s">
        <v>159</v>
      </c>
      <c r="G254" s="22" t="s">
        <v>8601</v>
      </c>
      <c r="H254" s="22" t="s">
        <v>11406</v>
      </c>
      <c r="I254" s="22" t="n">
        <v>28</v>
      </c>
      <c r="J254" s="22" t="n">
        <v>1</v>
      </c>
      <c r="K254" s="22" t="n">
        <v>28</v>
      </c>
      <c r="L254" s="25" t="n">
        <v>10.4</v>
      </c>
      <c r="M254" s="25" t="n">
        <v>291.2</v>
      </c>
      <c r="N254" s="25" t="n">
        <v>37.39</v>
      </c>
      <c r="O254" s="25" t="n">
        <v>328.59</v>
      </c>
      <c r="P254" s="22" t="s">
        <v>11407</v>
      </c>
      <c r="Q254" s="23" t="n">
        <v>46249</v>
      </c>
      <c r="R254" s="22" t="n">
        <f aca="false">I254*J254</f>
        <v>28</v>
      </c>
      <c r="S254" s="25" t="n">
        <f aca="false">K254-R254</f>
        <v>0</v>
      </c>
      <c r="T254" s="25" t="n">
        <f aca="false">K254*L254</f>
        <v>291.2</v>
      </c>
      <c r="U254" s="25" t="n">
        <f aca="false">M254-T254</f>
        <v>0</v>
      </c>
      <c r="V254" s="25" t="n">
        <f aca="false">M254+N254</f>
        <v>328.59</v>
      </c>
      <c r="W254" s="25" t="n">
        <f aca="false">O254-V254</f>
        <v>0</v>
      </c>
      <c r="X254" s="22" t="str">
        <f aca="false">IF(OR(ABS(S254)&gt;0.005,ABS(U254)&gt;0.005,ABS(W254)&gt;0.005),"Subledger arithmetic error","OK")</f>
        <v>OK</v>
      </c>
      <c r="Y254" s="22" t="str">
        <f aca="false">IF(X254="OK","","Priority 3")</f>
        <v/>
      </c>
    </row>
    <row r="255" customFormat="false" ht="15" hidden="false" customHeight="false" outlineLevel="0" collapsed="false">
      <c r="A255" s="22" t="s">
        <v>11913</v>
      </c>
      <c r="B255" s="23" t="n">
        <v>46235</v>
      </c>
      <c r="C255" s="22" t="s">
        <v>11914</v>
      </c>
      <c r="D255" s="22" t="s">
        <v>2984</v>
      </c>
      <c r="E255" s="22" t="s">
        <v>7325</v>
      </c>
      <c r="F255" s="22" t="s">
        <v>159</v>
      </c>
      <c r="G255" s="22" t="s">
        <v>8601</v>
      </c>
      <c r="H255" s="22" t="s">
        <v>11406</v>
      </c>
      <c r="I255" s="22" t="n">
        <v>41</v>
      </c>
      <c r="J255" s="22" t="n">
        <v>1</v>
      </c>
      <c r="K255" s="22" t="n">
        <v>41</v>
      </c>
      <c r="L255" s="25" t="n">
        <v>10.4</v>
      </c>
      <c r="M255" s="25" t="n">
        <v>426.4</v>
      </c>
      <c r="N255" s="25" t="n">
        <v>54.75</v>
      </c>
      <c r="O255" s="25" t="n">
        <v>481.15</v>
      </c>
      <c r="P255" s="22" t="s">
        <v>11407</v>
      </c>
      <c r="Q255" s="23" t="n">
        <v>46249</v>
      </c>
      <c r="R255" s="22" t="n">
        <f aca="false">I255*J255</f>
        <v>41</v>
      </c>
      <c r="S255" s="25" t="n">
        <f aca="false">K255-R255</f>
        <v>0</v>
      </c>
      <c r="T255" s="25" t="n">
        <f aca="false">K255*L255</f>
        <v>426.4</v>
      </c>
      <c r="U255" s="25" t="n">
        <f aca="false">M255-T255</f>
        <v>0</v>
      </c>
      <c r="V255" s="25" t="n">
        <f aca="false">M255+N255</f>
        <v>481.15</v>
      </c>
      <c r="W255" s="25" t="n">
        <f aca="false">O255-V255</f>
        <v>0</v>
      </c>
      <c r="X255" s="22" t="str">
        <f aca="false">IF(OR(ABS(S255)&gt;0.005,ABS(U255)&gt;0.005,ABS(W255)&gt;0.005),"Subledger arithmetic error","OK")</f>
        <v>OK</v>
      </c>
      <c r="Y255" s="22" t="str">
        <f aca="false">IF(X255="OK","","Priority 3")</f>
        <v/>
      </c>
    </row>
    <row r="256" customFormat="false" ht="15" hidden="false" customHeight="false" outlineLevel="0" collapsed="false">
      <c r="A256" s="22" t="s">
        <v>11915</v>
      </c>
      <c r="B256" s="23" t="n">
        <v>46235</v>
      </c>
      <c r="C256" s="22" t="s">
        <v>11916</v>
      </c>
      <c r="D256" s="22" t="s">
        <v>6429</v>
      </c>
      <c r="E256" s="22" t="s">
        <v>7327</v>
      </c>
      <c r="F256" s="22" t="s">
        <v>159</v>
      </c>
      <c r="G256" s="22" t="s">
        <v>8601</v>
      </c>
      <c r="H256" s="22" t="s">
        <v>11406</v>
      </c>
      <c r="I256" s="22" t="n">
        <v>32</v>
      </c>
      <c r="J256" s="22" t="n">
        <v>1</v>
      </c>
      <c r="K256" s="22" t="n">
        <v>32</v>
      </c>
      <c r="L256" s="25" t="n">
        <v>10.4</v>
      </c>
      <c r="M256" s="25" t="n">
        <v>332.8</v>
      </c>
      <c r="N256" s="25" t="n">
        <v>42.73</v>
      </c>
      <c r="O256" s="25" t="n">
        <v>375.53</v>
      </c>
      <c r="P256" s="22" t="s">
        <v>11407</v>
      </c>
      <c r="Q256" s="23" t="n">
        <v>46249</v>
      </c>
      <c r="R256" s="22" t="n">
        <f aca="false">I256*J256</f>
        <v>32</v>
      </c>
      <c r="S256" s="25" t="n">
        <f aca="false">K256-R256</f>
        <v>0</v>
      </c>
      <c r="T256" s="25" t="n">
        <f aca="false">K256*L256</f>
        <v>332.8</v>
      </c>
      <c r="U256" s="25" t="n">
        <f aca="false">M256-T256</f>
        <v>0</v>
      </c>
      <c r="V256" s="25" t="n">
        <f aca="false">M256+N256</f>
        <v>375.53</v>
      </c>
      <c r="W256" s="25" t="n">
        <f aca="false">O256-V256</f>
        <v>0</v>
      </c>
      <c r="X256" s="22" t="str">
        <f aca="false">IF(OR(ABS(S256)&gt;0.005,ABS(U256)&gt;0.005,ABS(W256)&gt;0.005),"Subledger arithmetic error","OK")</f>
        <v>OK</v>
      </c>
      <c r="Y256" s="22" t="str">
        <f aca="false">IF(X256="OK","","Priority 3")</f>
        <v/>
      </c>
    </row>
    <row r="257" customFormat="false" ht="15" hidden="false" customHeight="false" outlineLevel="0" collapsed="false">
      <c r="A257" s="22" t="s">
        <v>11917</v>
      </c>
      <c r="B257" s="23" t="n">
        <v>46235</v>
      </c>
      <c r="C257" s="22" t="s">
        <v>11918</v>
      </c>
      <c r="D257" s="22" t="s">
        <v>5590</v>
      </c>
      <c r="E257" s="22" t="s">
        <v>7329</v>
      </c>
      <c r="F257" s="22" t="s">
        <v>159</v>
      </c>
      <c r="G257" s="22" t="s">
        <v>8601</v>
      </c>
      <c r="H257" s="22" t="s">
        <v>11406</v>
      </c>
      <c r="I257" s="22" t="n">
        <v>55</v>
      </c>
      <c r="J257" s="22" t="n">
        <v>1</v>
      </c>
      <c r="K257" s="22" t="n">
        <v>55</v>
      </c>
      <c r="L257" s="25" t="n">
        <v>10.4</v>
      </c>
      <c r="M257" s="25" t="n">
        <v>572</v>
      </c>
      <c r="N257" s="25" t="n">
        <v>73.44</v>
      </c>
      <c r="O257" s="25" t="n">
        <v>645.44</v>
      </c>
      <c r="P257" s="22" t="s">
        <v>11407</v>
      </c>
      <c r="Q257" s="23" t="n">
        <v>46249</v>
      </c>
      <c r="R257" s="22" t="n">
        <f aca="false">I257*J257</f>
        <v>55</v>
      </c>
      <c r="S257" s="25" t="n">
        <f aca="false">K257-R257</f>
        <v>0</v>
      </c>
      <c r="T257" s="25" t="n">
        <f aca="false">K257*L257</f>
        <v>572</v>
      </c>
      <c r="U257" s="25" t="n">
        <f aca="false">M257-T257</f>
        <v>0</v>
      </c>
      <c r="V257" s="25" t="n">
        <f aca="false">M257+N257</f>
        <v>645.44</v>
      </c>
      <c r="W257" s="25" t="n">
        <f aca="false">O257-V257</f>
        <v>0</v>
      </c>
      <c r="X257" s="22" t="str">
        <f aca="false">IF(OR(ABS(S257)&gt;0.005,ABS(U257)&gt;0.005,ABS(W257)&gt;0.005),"Subledger arithmetic error","OK")</f>
        <v>OK</v>
      </c>
      <c r="Y257" s="22" t="str">
        <f aca="false">IF(X257="OK","","Priority 3")</f>
        <v/>
      </c>
    </row>
    <row r="258" customFormat="false" ht="15" hidden="false" customHeight="false" outlineLevel="0" collapsed="false">
      <c r="A258" s="22" t="s">
        <v>11919</v>
      </c>
      <c r="B258" s="23" t="n">
        <v>46235</v>
      </c>
      <c r="C258" s="22" t="s">
        <v>11920</v>
      </c>
      <c r="D258" s="22" t="s">
        <v>1987</v>
      </c>
      <c r="E258" s="22" t="s">
        <v>7331</v>
      </c>
      <c r="F258" s="22" t="s">
        <v>159</v>
      </c>
      <c r="G258" s="22" t="s">
        <v>8601</v>
      </c>
      <c r="H258" s="22" t="s">
        <v>11406</v>
      </c>
      <c r="I258" s="22" t="n">
        <v>54</v>
      </c>
      <c r="J258" s="22" t="n">
        <v>1</v>
      </c>
      <c r="K258" s="22" t="n">
        <v>54</v>
      </c>
      <c r="L258" s="25" t="n">
        <v>10.4</v>
      </c>
      <c r="M258" s="25" t="n">
        <v>561.6</v>
      </c>
      <c r="N258" s="25" t="n">
        <v>72.11</v>
      </c>
      <c r="O258" s="25" t="n">
        <v>633.71</v>
      </c>
      <c r="P258" s="22" t="s">
        <v>7696</v>
      </c>
      <c r="Q258" s="23" t="n">
        <v>46249</v>
      </c>
      <c r="R258" s="22" t="n">
        <f aca="false">I258*J258</f>
        <v>54</v>
      </c>
      <c r="S258" s="25" t="n">
        <f aca="false">K258-R258</f>
        <v>0</v>
      </c>
      <c r="T258" s="25" t="n">
        <f aca="false">K258*L258</f>
        <v>561.6</v>
      </c>
      <c r="U258" s="25" t="n">
        <f aca="false">M258-T258</f>
        <v>0</v>
      </c>
      <c r="V258" s="25" t="n">
        <f aca="false">M258+N258</f>
        <v>633.71</v>
      </c>
      <c r="W258" s="25" t="n">
        <f aca="false">O258-V258</f>
        <v>0</v>
      </c>
      <c r="X258" s="22" t="str">
        <f aca="false">IF(OR(ABS(S258)&gt;0.005,ABS(U258)&gt;0.005,ABS(W258)&gt;0.005),"Subledger arithmetic error","OK")</f>
        <v>OK</v>
      </c>
      <c r="Y258" s="22" t="str">
        <f aca="false">IF(X258="OK","","Priority 3")</f>
        <v/>
      </c>
    </row>
    <row r="259" customFormat="false" ht="15" hidden="false" customHeight="false" outlineLevel="0" collapsed="false">
      <c r="A259" s="22" t="s">
        <v>11921</v>
      </c>
      <c r="B259" s="23" t="n">
        <v>46235</v>
      </c>
      <c r="C259" s="22" t="s">
        <v>11922</v>
      </c>
      <c r="D259" s="22" t="s">
        <v>994</v>
      </c>
      <c r="E259" s="22" t="s">
        <v>7332</v>
      </c>
      <c r="F259" s="22" t="s">
        <v>159</v>
      </c>
      <c r="G259" s="22" t="s">
        <v>8601</v>
      </c>
      <c r="H259" s="22" t="s">
        <v>11406</v>
      </c>
      <c r="I259" s="22" t="n">
        <v>44</v>
      </c>
      <c r="J259" s="22" t="n">
        <v>1</v>
      </c>
      <c r="K259" s="22" t="n">
        <v>44</v>
      </c>
      <c r="L259" s="25" t="n">
        <v>10.4</v>
      </c>
      <c r="M259" s="25" t="n">
        <v>457.6</v>
      </c>
      <c r="N259" s="25" t="n">
        <v>58.76</v>
      </c>
      <c r="O259" s="25" t="n">
        <v>516.36</v>
      </c>
      <c r="P259" s="22" t="s">
        <v>11407</v>
      </c>
      <c r="Q259" s="23" t="n">
        <v>46249</v>
      </c>
      <c r="R259" s="22" t="n">
        <f aca="false">I259*J259</f>
        <v>44</v>
      </c>
      <c r="S259" s="25" t="n">
        <f aca="false">K259-R259</f>
        <v>0</v>
      </c>
      <c r="T259" s="25" t="n">
        <f aca="false">K259*L259</f>
        <v>457.6</v>
      </c>
      <c r="U259" s="25" t="n">
        <f aca="false">M259-T259</f>
        <v>0</v>
      </c>
      <c r="V259" s="25" t="n">
        <f aca="false">M259+N259</f>
        <v>516.36</v>
      </c>
      <c r="W259" s="25" t="n">
        <f aca="false">O259-V259</f>
        <v>0</v>
      </c>
      <c r="X259" s="22" t="str">
        <f aca="false">IF(OR(ABS(S259)&gt;0.005,ABS(U259)&gt;0.005,ABS(W259)&gt;0.005),"Subledger arithmetic error","OK")</f>
        <v>OK</v>
      </c>
      <c r="Y259" s="22" t="str">
        <f aca="false">IF(X259="OK","","Priority 3")</f>
        <v/>
      </c>
    </row>
    <row r="260" customFormat="false" ht="15" hidden="false" customHeight="false" outlineLevel="0" collapsed="false">
      <c r="A260" s="22" t="s">
        <v>11923</v>
      </c>
      <c r="B260" s="23" t="n">
        <v>46235</v>
      </c>
      <c r="C260" s="22" t="s">
        <v>11924</v>
      </c>
      <c r="D260" s="22" t="s">
        <v>1834</v>
      </c>
      <c r="E260" s="22" t="s">
        <v>7333</v>
      </c>
      <c r="F260" s="22" t="s">
        <v>159</v>
      </c>
      <c r="G260" s="22" t="s">
        <v>8601</v>
      </c>
      <c r="H260" s="22" t="s">
        <v>11406</v>
      </c>
      <c r="I260" s="22" t="n">
        <v>62</v>
      </c>
      <c r="J260" s="22" t="n">
        <v>1</v>
      </c>
      <c r="K260" s="22" t="n">
        <v>62</v>
      </c>
      <c r="L260" s="25" t="n">
        <v>10.4</v>
      </c>
      <c r="M260" s="25" t="n">
        <v>644.8</v>
      </c>
      <c r="N260" s="25" t="n">
        <v>82.79</v>
      </c>
      <c r="O260" s="25" t="n">
        <v>727.59</v>
      </c>
      <c r="P260" s="22" t="s">
        <v>11407</v>
      </c>
      <c r="Q260" s="23" t="n">
        <v>46249</v>
      </c>
      <c r="R260" s="22" t="n">
        <f aca="false">I260*J260</f>
        <v>62</v>
      </c>
      <c r="S260" s="25" t="n">
        <f aca="false">K260-R260</f>
        <v>0</v>
      </c>
      <c r="T260" s="25" t="n">
        <f aca="false">K260*L260</f>
        <v>644.8</v>
      </c>
      <c r="U260" s="25" t="n">
        <f aca="false">M260-T260</f>
        <v>0</v>
      </c>
      <c r="V260" s="25" t="n">
        <f aca="false">M260+N260</f>
        <v>727.59</v>
      </c>
      <c r="W260" s="25" t="n">
        <f aca="false">O260-V260</f>
        <v>0</v>
      </c>
      <c r="X260" s="22" t="str">
        <f aca="false">IF(OR(ABS(S260)&gt;0.005,ABS(U260)&gt;0.005,ABS(W260)&gt;0.005),"Subledger arithmetic error","OK")</f>
        <v>OK</v>
      </c>
      <c r="Y260" s="22" t="str">
        <f aca="false">IF(X260="OK","","Priority 3")</f>
        <v/>
      </c>
    </row>
    <row r="261" customFormat="false" ht="15" hidden="false" customHeight="false" outlineLevel="0" collapsed="false">
      <c r="A261" s="22" t="s">
        <v>11925</v>
      </c>
      <c r="B261" s="23" t="n">
        <v>46235</v>
      </c>
      <c r="C261" s="22" t="s">
        <v>11926</v>
      </c>
      <c r="D261" s="22" t="s">
        <v>2706</v>
      </c>
      <c r="E261" s="22" t="s">
        <v>7334</v>
      </c>
      <c r="F261" s="22" t="s">
        <v>159</v>
      </c>
      <c r="G261" s="22" t="s">
        <v>8601</v>
      </c>
      <c r="H261" s="22" t="s">
        <v>11406</v>
      </c>
      <c r="I261" s="22" t="n">
        <v>48</v>
      </c>
      <c r="J261" s="22" t="n">
        <v>1</v>
      </c>
      <c r="K261" s="22" t="n">
        <v>48</v>
      </c>
      <c r="L261" s="25" t="n">
        <v>10.4</v>
      </c>
      <c r="M261" s="25" t="n">
        <v>499.2</v>
      </c>
      <c r="N261" s="25" t="n">
        <v>64.1</v>
      </c>
      <c r="O261" s="25" t="n">
        <v>563.3</v>
      </c>
      <c r="P261" s="22" t="s">
        <v>11407</v>
      </c>
      <c r="Q261" s="23" t="n">
        <v>46249</v>
      </c>
      <c r="R261" s="22" t="n">
        <f aca="false">I261*J261</f>
        <v>48</v>
      </c>
      <c r="S261" s="25" t="n">
        <f aca="false">K261-R261</f>
        <v>0</v>
      </c>
      <c r="T261" s="25" t="n">
        <f aca="false">K261*L261</f>
        <v>499.2</v>
      </c>
      <c r="U261" s="25" t="n">
        <f aca="false">M261-T261</f>
        <v>0</v>
      </c>
      <c r="V261" s="25" t="n">
        <f aca="false">M261+N261</f>
        <v>563.3</v>
      </c>
      <c r="W261" s="25" t="n">
        <f aca="false">O261-V261</f>
        <v>0</v>
      </c>
      <c r="X261" s="22" t="str">
        <f aca="false">IF(OR(ABS(S261)&gt;0.005,ABS(U261)&gt;0.005,ABS(W261)&gt;0.005),"Subledger arithmetic error","OK")</f>
        <v>OK</v>
      </c>
      <c r="Y261" s="22" t="str">
        <f aca="false">IF(X261="OK","","Priority 3")</f>
        <v/>
      </c>
    </row>
    <row r="262" customFormat="false" ht="15" hidden="false" customHeight="false" outlineLevel="0" collapsed="false">
      <c r="A262" s="22" t="s">
        <v>11927</v>
      </c>
      <c r="B262" s="23" t="n">
        <v>46235</v>
      </c>
      <c r="C262" s="22" t="s">
        <v>11928</v>
      </c>
      <c r="D262" s="22" t="s">
        <v>4437</v>
      </c>
      <c r="E262" s="22" t="s">
        <v>7335</v>
      </c>
      <c r="F262" s="22" t="s">
        <v>159</v>
      </c>
      <c r="G262" s="22" t="s">
        <v>8601</v>
      </c>
      <c r="H262" s="22" t="s">
        <v>11406</v>
      </c>
      <c r="I262" s="22" t="n">
        <v>57</v>
      </c>
      <c r="J262" s="22" t="n">
        <v>1</v>
      </c>
      <c r="K262" s="22" t="n">
        <v>57</v>
      </c>
      <c r="L262" s="25" t="n">
        <v>10.4</v>
      </c>
      <c r="M262" s="25" t="n">
        <v>592.8</v>
      </c>
      <c r="N262" s="25" t="n">
        <v>76.12</v>
      </c>
      <c r="O262" s="25" t="n">
        <v>668.92</v>
      </c>
      <c r="P262" s="22" t="s">
        <v>11407</v>
      </c>
      <c r="Q262" s="23" t="n">
        <v>46249</v>
      </c>
      <c r="R262" s="22" t="n">
        <f aca="false">I262*J262</f>
        <v>57</v>
      </c>
      <c r="S262" s="25" t="n">
        <f aca="false">K262-R262</f>
        <v>0</v>
      </c>
      <c r="T262" s="25" t="n">
        <f aca="false">K262*L262</f>
        <v>592.8</v>
      </c>
      <c r="U262" s="25" t="n">
        <f aca="false">M262-T262</f>
        <v>0</v>
      </c>
      <c r="V262" s="25" t="n">
        <f aca="false">M262+N262</f>
        <v>668.92</v>
      </c>
      <c r="W262" s="25" t="n">
        <f aca="false">O262-V262</f>
        <v>0</v>
      </c>
      <c r="X262" s="22" t="str">
        <f aca="false">IF(OR(ABS(S262)&gt;0.005,ABS(U262)&gt;0.005,ABS(W262)&gt;0.005),"Subledger arithmetic error","OK")</f>
        <v>OK</v>
      </c>
      <c r="Y262" s="22" t="str">
        <f aca="false">IF(X262="OK","","Priority 3")</f>
        <v/>
      </c>
    </row>
    <row r="263" customFormat="false" ht="15" hidden="false" customHeight="false" outlineLevel="0" collapsed="false">
      <c r="A263" s="22" t="s">
        <v>11929</v>
      </c>
      <c r="B263" s="23" t="n">
        <v>46235</v>
      </c>
      <c r="C263" s="22" t="s">
        <v>11930</v>
      </c>
      <c r="D263" s="22" t="s">
        <v>1985</v>
      </c>
      <c r="E263" s="22" t="s">
        <v>7336</v>
      </c>
      <c r="F263" s="22" t="s">
        <v>159</v>
      </c>
      <c r="G263" s="22" t="s">
        <v>8601</v>
      </c>
      <c r="H263" s="22" t="s">
        <v>11406</v>
      </c>
      <c r="I263" s="22" t="n">
        <v>40</v>
      </c>
      <c r="J263" s="22" t="n">
        <v>1</v>
      </c>
      <c r="K263" s="22" t="n">
        <v>40</v>
      </c>
      <c r="L263" s="25" t="n">
        <v>10.4</v>
      </c>
      <c r="M263" s="25" t="n">
        <v>416</v>
      </c>
      <c r="N263" s="25" t="n">
        <v>53.41</v>
      </c>
      <c r="O263" s="25" t="n">
        <v>469.41</v>
      </c>
      <c r="P263" s="22" t="s">
        <v>11407</v>
      </c>
      <c r="Q263" s="23" t="n">
        <v>46249</v>
      </c>
      <c r="R263" s="22" t="n">
        <f aca="false">I263*J263</f>
        <v>40</v>
      </c>
      <c r="S263" s="25" t="n">
        <f aca="false">K263-R263</f>
        <v>0</v>
      </c>
      <c r="T263" s="25" t="n">
        <f aca="false">K263*L263</f>
        <v>416</v>
      </c>
      <c r="U263" s="25" t="n">
        <f aca="false">M263-T263</f>
        <v>0</v>
      </c>
      <c r="V263" s="25" t="n">
        <f aca="false">M263+N263</f>
        <v>469.41</v>
      </c>
      <c r="W263" s="25" t="n">
        <f aca="false">O263-V263</f>
        <v>0</v>
      </c>
      <c r="X263" s="22" t="str">
        <f aca="false">IF(OR(ABS(S263)&gt;0.005,ABS(U263)&gt;0.005,ABS(W263)&gt;0.005),"Subledger arithmetic error","OK")</f>
        <v>OK</v>
      </c>
      <c r="Y263" s="22" t="str">
        <f aca="false">IF(X263="OK","","Priority 3")</f>
        <v/>
      </c>
    </row>
    <row r="264" customFormat="false" ht="15" hidden="false" customHeight="false" outlineLevel="0" collapsed="false">
      <c r="A264" s="22" t="s">
        <v>11931</v>
      </c>
      <c r="B264" s="23" t="n">
        <v>46235</v>
      </c>
      <c r="C264" s="22" t="s">
        <v>11932</v>
      </c>
      <c r="D264" s="22" t="s">
        <v>5079</v>
      </c>
      <c r="E264" s="22" t="s">
        <v>7338</v>
      </c>
      <c r="F264" s="22" t="s">
        <v>159</v>
      </c>
      <c r="G264" s="22" t="s">
        <v>8601</v>
      </c>
      <c r="H264" s="22" t="s">
        <v>11406</v>
      </c>
      <c r="I264" s="22" t="n">
        <v>59</v>
      </c>
      <c r="J264" s="22" t="n">
        <v>1</v>
      </c>
      <c r="K264" s="22" t="n">
        <v>59</v>
      </c>
      <c r="L264" s="25" t="n">
        <v>10.4</v>
      </c>
      <c r="M264" s="25" t="n">
        <v>613.6</v>
      </c>
      <c r="N264" s="25" t="n">
        <v>78.79</v>
      </c>
      <c r="O264" s="25" t="n">
        <v>692.39</v>
      </c>
      <c r="P264" s="22" t="s">
        <v>11407</v>
      </c>
      <c r="Q264" s="23" t="n">
        <v>46249</v>
      </c>
      <c r="R264" s="22" t="n">
        <f aca="false">I264*J264</f>
        <v>59</v>
      </c>
      <c r="S264" s="25" t="n">
        <f aca="false">K264-R264</f>
        <v>0</v>
      </c>
      <c r="T264" s="25" t="n">
        <f aca="false">K264*L264</f>
        <v>613.6</v>
      </c>
      <c r="U264" s="25" t="n">
        <f aca="false">M264-T264</f>
        <v>0</v>
      </c>
      <c r="V264" s="25" t="n">
        <f aca="false">M264+N264</f>
        <v>692.39</v>
      </c>
      <c r="W264" s="25" t="n">
        <f aca="false">O264-V264</f>
        <v>0</v>
      </c>
      <c r="X264" s="22" t="str">
        <f aca="false">IF(OR(ABS(S264)&gt;0.005,ABS(U264)&gt;0.005,ABS(W264)&gt;0.005),"Subledger arithmetic error","OK")</f>
        <v>OK</v>
      </c>
      <c r="Y264" s="22" t="str">
        <f aca="false">IF(X264="OK","","Priority 3")</f>
        <v/>
      </c>
    </row>
    <row r="265" customFormat="false" ht="15" hidden="false" customHeight="false" outlineLevel="0" collapsed="false">
      <c r="A265" s="22" t="s">
        <v>11933</v>
      </c>
      <c r="B265" s="23" t="n">
        <v>46235</v>
      </c>
      <c r="C265" s="22" t="s">
        <v>11934</v>
      </c>
      <c r="D265" s="22" t="s">
        <v>5026</v>
      </c>
      <c r="E265" s="22" t="s">
        <v>7339</v>
      </c>
      <c r="F265" s="22" t="s">
        <v>159</v>
      </c>
      <c r="G265" s="22" t="s">
        <v>8601</v>
      </c>
      <c r="H265" s="22" t="s">
        <v>11406</v>
      </c>
      <c r="I265" s="22" t="n">
        <v>47</v>
      </c>
      <c r="J265" s="22" t="n">
        <v>1</v>
      </c>
      <c r="K265" s="22" t="n">
        <v>47</v>
      </c>
      <c r="L265" s="25" t="n">
        <v>10.4</v>
      </c>
      <c r="M265" s="25" t="n">
        <v>488.8</v>
      </c>
      <c r="N265" s="25" t="n">
        <v>62.76</v>
      </c>
      <c r="O265" s="25" t="n">
        <v>551.56</v>
      </c>
      <c r="P265" s="22" t="s">
        <v>11407</v>
      </c>
      <c r="Q265" s="23" t="n">
        <v>46249</v>
      </c>
      <c r="R265" s="22" t="n">
        <f aca="false">I265*J265</f>
        <v>47</v>
      </c>
      <c r="S265" s="25" t="n">
        <f aca="false">K265-R265</f>
        <v>0</v>
      </c>
      <c r="T265" s="25" t="n">
        <f aca="false">K265*L265</f>
        <v>488.8</v>
      </c>
      <c r="U265" s="25" t="n">
        <f aca="false">M265-T265</f>
        <v>0</v>
      </c>
      <c r="V265" s="25" t="n">
        <f aca="false">M265+N265</f>
        <v>551.56</v>
      </c>
      <c r="W265" s="25" t="n">
        <f aca="false">O265-V265</f>
        <v>0</v>
      </c>
      <c r="X265" s="22" t="str">
        <f aca="false">IF(OR(ABS(S265)&gt;0.005,ABS(U265)&gt;0.005,ABS(W265)&gt;0.005),"Subledger arithmetic error","OK")</f>
        <v>OK</v>
      </c>
      <c r="Y265" s="22" t="str">
        <f aca="false">IF(X265="OK","","Priority 3")</f>
        <v/>
      </c>
    </row>
    <row r="266" customFormat="false" ht="15" hidden="false" customHeight="false" outlineLevel="0" collapsed="false">
      <c r="A266" s="22" t="s">
        <v>11935</v>
      </c>
      <c r="B266" s="23" t="n">
        <v>46235</v>
      </c>
      <c r="C266" s="22" t="s">
        <v>11936</v>
      </c>
      <c r="D266" s="22" t="s">
        <v>1809</v>
      </c>
      <c r="E266" s="22" t="s">
        <v>7340</v>
      </c>
      <c r="F266" s="22" t="s">
        <v>159</v>
      </c>
      <c r="G266" s="22" t="s">
        <v>8601</v>
      </c>
      <c r="H266" s="22" t="s">
        <v>11406</v>
      </c>
      <c r="I266" s="22" t="n">
        <v>43</v>
      </c>
      <c r="J266" s="22" t="n">
        <v>1</v>
      </c>
      <c r="K266" s="22" t="n">
        <v>43</v>
      </c>
      <c r="L266" s="25" t="n">
        <v>10.4</v>
      </c>
      <c r="M266" s="25" t="n">
        <v>447.2</v>
      </c>
      <c r="N266" s="25" t="n">
        <v>57.42</v>
      </c>
      <c r="O266" s="25" t="n">
        <v>504.62</v>
      </c>
      <c r="P266" s="22" t="s">
        <v>11410</v>
      </c>
      <c r="Q266" s="23" t="n">
        <v>46249</v>
      </c>
      <c r="R266" s="22" t="n">
        <f aca="false">I266*J266</f>
        <v>43</v>
      </c>
      <c r="S266" s="25" t="n">
        <f aca="false">K266-R266</f>
        <v>0</v>
      </c>
      <c r="T266" s="25" t="n">
        <f aca="false">K266*L266</f>
        <v>447.2</v>
      </c>
      <c r="U266" s="25" t="n">
        <f aca="false">M266-T266</f>
        <v>0</v>
      </c>
      <c r="V266" s="25" t="n">
        <f aca="false">M266+N266</f>
        <v>504.62</v>
      </c>
      <c r="W266" s="25" t="n">
        <f aca="false">O266-V266</f>
        <v>0</v>
      </c>
      <c r="X266" s="22" t="str">
        <f aca="false">IF(OR(ABS(S266)&gt;0.005,ABS(U266)&gt;0.005,ABS(W266)&gt;0.005),"Subledger arithmetic error","OK")</f>
        <v>OK</v>
      </c>
      <c r="Y266" s="22" t="str">
        <f aca="false">IF(X266="OK","","Priority 3")</f>
        <v/>
      </c>
    </row>
    <row r="267" customFormat="false" ht="15" hidden="false" customHeight="false" outlineLevel="0" collapsed="false">
      <c r="A267" s="22" t="s">
        <v>11937</v>
      </c>
      <c r="B267" s="23" t="n">
        <v>46235</v>
      </c>
      <c r="C267" s="22" t="s">
        <v>11938</v>
      </c>
      <c r="D267" s="22" t="s">
        <v>4070</v>
      </c>
      <c r="E267" s="22" t="s">
        <v>7342</v>
      </c>
      <c r="F267" s="22" t="s">
        <v>159</v>
      </c>
      <c r="G267" s="22" t="s">
        <v>8601</v>
      </c>
      <c r="H267" s="22" t="s">
        <v>11406</v>
      </c>
      <c r="I267" s="22" t="n">
        <v>40</v>
      </c>
      <c r="J267" s="22" t="n">
        <v>1</v>
      </c>
      <c r="K267" s="22" t="n">
        <v>40</v>
      </c>
      <c r="L267" s="25" t="n">
        <v>10.4</v>
      </c>
      <c r="M267" s="25" t="n">
        <v>416</v>
      </c>
      <c r="N267" s="25" t="n">
        <v>53.41</v>
      </c>
      <c r="O267" s="25" t="n">
        <v>469.41</v>
      </c>
      <c r="P267" s="22" t="s">
        <v>11407</v>
      </c>
      <c r="Q267" s="23" t="n">
        <v>46249</v>
      </c>
      <c r="R267" s="22" t="n">
        <f aca="false">I267*J267</f>
        <v>40</v>
      </c>
      <c r="S267" s="25" t="n">
        <f aca="false">K267-R267</f>
        <v>0</v>
      </c>
      <c r="T267" s="25" t="n">
        <f aca="false">K267*L267</f>
        <v>416</v>
      </c>
      <c r="U267" s="25" t="n">
        <f aca="false">M267-T267</f>
        <v>0</v>
      </c>
      <c r="V267" s="25" t="n">
        <f aca="false">M267+N267</f>
        <v>469.41</v>
      </c>
      <c r="W267" s="25" t="n">
        <f aca="false">O267-V267</f>
        <v>0</v>
      </c>
      <c r="X267" s="22" t="str">
        <f aca="false">IF(OR(ABS(S267)&gt;0.005,ABS(U267)&gt;0.005,ABS(W267)&gt;0.005),"Subledger arithmetic error","OK")</f>
        <v>OK</v>
      </c>
      <c r="Y267" s="22" t="str">
        <f aca="false">IF(X267="OK","","Priority 3")</f>
        <v/>
      </c>
    </row>
    <row r="268" customFormat="false" ht="15" hidden="false" customHeight="false" outlineLevel="0" collapsed="false">
      <c r="A268" s="22" t="s">
        <v>11939</v>
      </c>
      <c r="B268" s="23" t="n">
        <v>46235</v>
      </c>
      <c r="C268" s="22" t="s">
        <v>11940</v>
      </c>
      <c r="D268" s="22" t="s">
        <v>6150</v>
      </c>
      <c r="E268" s="22" t="s">
        <v>7344</v>
      </c>
      <c r="F268" s="22" t="s">
        <v>159</v>
      </c>
      <c r="G268" s="22" t="s">
        <v>8601</v>
      </c>
      <c r="H268" s="22" t="s">
        <v>11406</v>
      </c>
      <c r="I268" s="22" t="n">
        <v>36</v>
      </c>
      <c r="J268" s="22" t="n">
        <v>1</v>
      </c>
      <c r="K268" s="22" t="n">
        <v>36</v>
      </c>
      <c r="L268" s="25" t="n">
        <v>10.4</v>
      </c>
      <c r="M268" s="25" t="n">
        <v>374.4</v>
      </c>
      <c r="N268" s="25" t="n">
        <v>48.07</v>
      </c>
      <c r="O268" s="25" t="n">
        <v>422.47</v>
      </c>
      <c r="P268" s="22" t="s">
        <v>11407</v>
      </c>
      <c r="Q268" s="23" t="n">
        <v>46249</v>
      </c>
      <c r="R268" s="22" t="n">
        <f aca="false">I268*J268</f>
        <v>36</v>
      </c>
      <c r="S268" s="25" t="n">
        <f aca="false">K268-R268</f>
        <v>0</v>
      </c>
      <c r="T268" s="25" t="n">
        <f aca="false">K268*L268</f>
        <v>374.4</v>
      </c>
      <c r="U268" s="25" t="n">
        <f aca="false">M268-T268</f>
        <v>0</v>
      </c>
      <c r="V268" s="25" t="n">
        <f aca="false">M268+N268</f>
        <v>422.47</v>
      </c>
      <c r="W268" s="25" t="n">
        <f aca="false">O268-V268</f>
        <v>0</v>
      </c>
      <c r="X268" s="22" t="str">
        <f aca="false">IF(OR(ABS(S268)&gt;0.005,ABS(U268)&gt;0.005,ABS(W268)&gt;0.005),"Subledger arithmetic error","OK")</f>
        <v>OK</v>
      </c>
      <c r="Y268" s="22" t="str">
        <f aca="false">IF(X268="OK","","Priority 3")</f>
        <v/>
      </c>
    </row>
    <row r="269" customFormat="false" ht="15" hidden="false" customHeight="false" outlineLevel="0" collapsed="false">
      <c r="A269" s="22" t="s">
        <v>11941</v>
      </c>
      <c r="B269" s="23" t="n">
        <v>46235</v>
      </c>
      <c r="C269" s="22" t="s">
        <v>11942</v>
      </c>
      <c r="D269" s="22" t="s">
        <v>4763</v>
      </c>
      <c r="E269" s="22" t="s">
        <v>7345</v>
      </c>
      <c r="F269" s="22" t="s">
        <v>159</v>
      </c>
      <c r="G269" s="22" t="s">
        <v>8601</v>
      </c>
      <c r="H269" s="22" t="s">
        <v>11406</v>
      </c>
      <c r="I269" s="22" t="n">
        <v>42</v>
      </c>
      <c r="J269" s="22" t="n">
        <v>1</v>
      </c>
      <c r="K269" s="22" t="n">
        <v>42</v>
      </c>
      <c r="L269" s="25" t="n">
        <v>10.4</v>
      </c>
      <c r="M269" s="25" t="n">
        <v>436.8</v>
      </c>
      <c r="N269" s="25" t="n">
        <v>56.09</v>
      </c>
      <c r="O269" s="25" t="n">
        <v>492.89</v>
      </c>
      <c r="P269" s="22" t="s">
        <v>11407</v>
      </c>
      <c r="Q269" s="23" t="n">
        <v>46249</v>
      </c>
      <c r="R269" s="22" t="n">
        <f aca="false">I269*J269</f>
        <v>42</v>
      </c>
      <c r="S269" s="25" t="n">
        <f aca="false">K269-R269</f>
        <v>0</v>
      </c>
      <c r="T269" s="25" t="n">
        <f aca="false">K269*L269</f>
        <v>436.8</v>
      </c>
      <c r="U269" s="25" t="n">
        <f aca="false">M269-T269</f>
        <v>0</v>
      </c>
      <c r="V269" s="25" t="n">
        <f aca="false">M269+N269</f>
        <v>492.89</v>
      </c>
      <c r="W269" s="25" t="n">
        <f aca="false">O269-V269</f>
        <v>0</v>
      </c>
      <c r="X269" s="22" t="str">
        <f aca="false">IF(OR(ABS(S269)&gt;0.005,ABS(U269)&gt;0.005,ABS(W269)&gt;0.005),"Subledger arithmetic error","OK")</f>
        <v>OK</v>
      </c>
      <c r="Y269" s="22" t="str">
        <f aca="false">IF(X269="OK","","Priority 3")</f>
        <v/>
      </c>
    </row>
    <row r="270" customFormat="false" ht="15" hidden="false" customHeight="false" outlineLevel="0" collapsed="false">
      <c r="A270" s="22" t="s">
        <v>11943</v>
      </c>
      <c r="B270" s="23" t="n">
        <v>46235</v>
      </c>
      <c r="C270" s="22" t="s">
        <v>11944</v>
      </c>
      <c r="D270" s="22" t="s">
        <v>3957</v>
      </c>
      <c r="E270" s="22" t="s">
        <v>7346</v>
      </c>
      <c r="F270" s="22" t="s">
        <v>159</v>
      </c>
      <c r="G270" s="22" t="s">
        <v>8601</v>
      </c>
      <c r="H270" s="22" t="s">
        <v>11406</v>
      </c>
      <c r="I270" s="22" t="n">
        <v>35</v>
      </c>
      <c r="J270" s="22" t="n">
        <v>1</v>
      </c>
      <c r="K270" s="22" t="n">
        <v>35</v>
      </c>
      <c r="L270" s="25" t="n">
        <v>10.4</v>
      </c>
      <c r="M270" s="25" t="n">
        <v>364</v>
      </c>
      <c r="N270" s="25" t="n">
        <v>46.74</v>
      </c>
      <c r="O270" s="25" t="n">
        <v>410.74</v>
      </c>
      <c r="P270" s="22" t="s">
        <v>11407</v>
      </c>
      <c r="Q270" s="23" t="n">
        <v>46249</v>
      </c>
      <c r="R270" s="22" t="n">
        <f aca="false">I270*J270</f>
        <v>35</v>
      </c>
      <c r="S270" s="25" t="n">
        <f aca="false">K270-R270</f>
        <v>0</v>
      </c>
      <c r="T270" s="25" t="n">
        <f aca="false">K270*L270</f>
        <v>364</v>
      </c>
      <c r="U270" s="25" t="n">
        <f aca="false">M270-T270</f>
        <v>0</v>
      </c>
      <c r="V270" s="25" t="n">
        <f aca="false">M270+N270</f>
        <v>410.74</v>
      </c>
      <c r="W270" s="25" t="n">
        <f aca="false">O270-V270</f>
        <v>0</v>
      </c>
      <c r="X270" s="22" t="str">
        <f aca="false">IF(OR(ABS(S270)&gt;0.005,ABS(U270)&gt;0.005,ABS(W270)&gt;0.005),"Subledger arithmetic error","OK")</f>
        <v>OK</v>
      </c>
      <c r="Y270" s="22" t="str">
        <f aca="false">IF(X270="OK","","Priority 3")</f>
        <v/>
      </c>
    </row>
    <row r="271" customFormat="false" ht="15" hidden="false" customHeight="false" outlineLevel="0" collapsed="false">
      <c r="A271" s="22" t="s">
        <v>11945</v>
      </c>
      <c r="B271" s="23" t="n">
        <v>46235</v>
      </c>
      <c r="C271" s="22" t="s">
        <v>11946</v>
      </c>
      <c r="D271" s="22" t="s">
        <v>1202</v>
      </c>
      <c r="E271" s="22" t="s">
        <v>7347</v>
      </c>
      <c r="F271" s="22" t="s">
        <v>159</v>
      </c>
      <c r="G271" s="22" t="s">
        <v>8601</v>
      </c>
      <c r="H271" s="22" t="s">
        <v>11406</v>
      </c>
      <c r="I271" s="22" t="n">
        <v>28</v>
      </c>
      <c r="J271" s="22" t="n">
        <v>1</v>
      </c>
      <c r="K271" s="22" t="n">
        <v>28</v>
      </c>
      <c r="L271" s="25" t="n">
        <v>10.4</v>
      </c>
      <c r="M271" s="25" t="n">
        <v>291.2</v>
      </c>
      <c r="N271" s="25" t="n">
        <v>37.39</v>
      </c>
      <c r="O271" s="25" t="n">
        <v>328.59</v>
      </c>
      <c r="P271" s="22" t="s">
        <v>11407</v>
      </c>
      <c r="Q271" s="23" t="n">
        <v>46249</v>
      </c>
      <c r="R271" s="22" t="n">
        <f aca="false">I271*J271</f>
        <v>28</v>
      </c>
      <c r="S271" s="25" t="n">
        <f aca="false">K271-R271</f>
        <v>0</v>
      </c>
      <c r="T271" s="25" t="n">
        <f aca="false">K271*L271</f>
        <v>291.2</v>
      </c>
      <c r="U271" s="25" t="n">
        <f aca="false">M271-T271</f>
        <v>0</v>
      </c>
      <c r="V271" s="25" t="n">
        <f aca="false">M271+N271</f>
        <v>328.59</v>
      </c>
      <c r="W271" s="25" t="n">
        <f aca="false">O271-V271</f>
        <v>0</v>
      </c>
      <c r="X271" s="22" t="str">
        <f aca="false">IF(OR(ABS(S271)&gt;0.005,ABS(U271)&gt;0.005,ABS(W271)&gt;0.005),"Subledger arithmetic error","OK")</f>
        <v>OK</v>
      </c>
      <c r="Y271" s="22" t="str">
        <f aca="false">IF(X271="OK","","Priority 3")</f>
        <v/>
      </c>
    </row>
    <row r="272" customFormat="false" ht="15" hidden="false" customHeight="false" outlineLevel="0" collapsed="false">
      <c r="A272" s="22" t="s">
        <v>11947</v>
      </c>
      <c r="B272" s="23" t="n">
        <v>46235</v>
      </c>
      <c r="C272" s="22" t="s">
        <v>11948</v>
      </c>
      <c r="D272" s="22" t="s">
        <v>5899</v>
      </c>
      <c r="E272" s="22" t="s">
        <v>7349</v>
      </c>
      <c r="F272" s="22" t="s">
        <v>159</v>
      </c>
      <c r="G272" s="22" t="s">
        <v>8601</v>
      </c>
      <c r="H272" s="22" t="s">
        <v>11406</v>
      </c>
      <c r="I272" s="22" t="n">
        <v>50</v>
      </c>
      <c r="J272" s="22" t="n">
        <v>1</v>
      </c>
      <c r="K272" s="22" t="n">
        <v>50</v>
      </c>
      <c r="L272" s="25" t="n">
        <v>10.4</v>
      </c>
      <c r="M272" s="25" t="n">
        <v>520</v>
      </c>
      <c r="N272" s="25" t="n">
        <v>66.77</v>
      </c>
      <c r="O272" s="25" t="n">
        <v>586.77</v>
      </c>
      <c r="P272" s="22" t="s">
        <v>11407</v>
      </c>
      <c r="Q272" s="23" t="n">
        <v>46249</v>
      </c>
      <c r="R272" s="22" t="n">
        <f aca="false">I272*J272</f>
        <v>50</v>
      </c>
      <c r="S272" s="25" t="n">
        <f aca="false">K272-R272</f>
        <v>0</v>
      </c>
      <c r="T272" s="25" t="n">
        <f aca="false">K272*L272</f>
        <v>520</v>
      </c>
      <c r="U272" s="25" t="n">
        <f aca="false">M272-T272</f>
        <v>0</v>
      </c>
      <c r="V272" s="25" t="n">
        <f aca="false">M272+N272</f>
        <v>586.77</v>
      </c>
      <c r="W272" s="25" t="n">
        <f aca="false">O272-V272</f>
        <v>0</v>
      </c>
      <c r="X272" s="22" t="str">
        <f aca="false">IF(OR(ABS(S272)&gt;0.005,ABS(U272)&gt;0.005,ABS(W272)&gt;0.005),"Subledger arithmetic error","OK")</f>
        <v>OK</v>
      </c>
      <c r="Y272" s="22" t="str">
        <f aca="false">IF(X272="OK","","Priority 3")</f>
        <v/>
      </c>
    </row>
    <row r="273" customFormat="false" ht="15" hidden="false" customHeight="false" outlineLevel="0" collapsed="false">
      <c r="A273" s="22" t="s">
        <v>11949</v>
      </c>
      <c r="B273" s="23" t="n">
        <v>46235</v>
      </c>
      <c r="C273" s="22" t="s">
        <v>11950</v>
      </c>
      <c r="D273" s="22" t="s">
        <v>5738</v>
      </c>
      <c r="E273" s="22" t="s">
        <v>7351</v>
      </c>
      <c r="F273" s="22" t="s">
        <v>159</v>
      </c>
      <c r="G273" s="22" t="s">
        <v>8601</v>
      </c>
      <c r="H273" s="22" t="s">
        <v>11406</v>
      </c>
      <c r="I273" s="22" t="n">
        <v>40</v>
      </c>
      <c r="J273" s="22" t="n">
        <v>1</v>
      </c>
      <c r="K273" s="22" t="n">
        <v>40</v>
      </c>
      <c r="L273" s="25" t="n">
        <v>10.4</v>
      </c>
      <c r="M273" s="25" t="n">
        <v>416</v>
      </c>
      <c r="N273" s="25" t="n">
        <v>53.41</v>
      </c>
      <c r="O273" s="25" t="n">
        <v>469.41</v>
      </c>
      <c r="P273" s="22" t="s">
        <v>11407</v>
      </c>
      <c r="Q273" s="23" t="n">
        <v>46249</v>
      </c>
      <c r="R273" s="22" t="n">
        <f aca="false">I273*J273</f>
        <v>40</v>
      </c>
      <c r="S273" s="25" t="n">
        <f aca="false">K273-R273</f>
        <v>0</v>
      </c>
      <c r="T273" s="25" t="n">
        <f aca="false">K273*L273</f>
        <v>416</v>
      </c>
      <c r="U273" s="25" t="n">
        <f aca="false">M273-T273</f>
        <v>0</v>
      </c>
      <c r="V273" s="25" t="n">
        <f aca="false">M273+N273</f>
        <v>469.41</v>
      </c>
      <c r="W273" s="25" t="n">
        <f aca="false">O273-V273</f>
        <v>0</v>
      </c>
      <c r="X273" s="22" t="str">
        <f aca="false">IF(OR(ABS(S273)&gt;0.005,ABS(U273)&gt;0.005,ABS(W273)&gt;0.005),"Subledger arithmetic error","OK")</f>
        <v>OK</v>
      </c>
      <c r="Y273" s="22" t="str">
        <f aca="false">IF(X273="OK","","Priority 3")</f>
        <v/>
      </c>
    </row>
    <row r="274" customFormat="false" ht="15" hidden="false" customHeight="false" outlineLevel="0" collapsed="false">
      <c r="A274" s="22" t="s">
        <v>11951</v>
      </c>
      <c r="B274" s="23" t="n">
        <v>46235</v>
      </c>
      <c r="C274" s="22" t="s">
        <v>11952</v>
      </c>
      <c r="D274" s="22" t="s">
        <v>4187</v>
      </c>
      <c r="E274" s="22" t="s">
        <v>7352</v>
      </c>
      <c r="F274" s="22" t="s">
        <v>159</v>
      </c>
      <c r="G274" s="22" t="s">
        <v>8601</v>
      </c>
      <c r="H274" s="22" t="s">
        <v>11406</v>
      </c>
      <c r="I274" s="22" t="n">
        <v>39</v>
      </c>
      <c r="J274" s="22" t="n">
        <v>1</v>
      </c>
      <c r="K274" s="22" t="n">
        <v>39</v>
      </c>
      <c r="L274" s="25" t="n">
        <v>10.4</v>
      </c>
      <c r="M274" s="25" t="n">
        <v>405.6</v>
      </c>
      <c r="N274" s="25" t="n">
        <v>52.08</v>
      </c>
      <c r="O274" s="25" t="n">
        <v>457.68</v>
      </c>
      <c r="P274" s="22" t="s">
        <v>11410</v>
      </c>
      <c r="Q274" s="23" t="n">
        <v>46249</v>
      </c>
      <c r="R274" s="22" t="n">
        <f aca="false">I274*J274</f>
        <v>39</v>
      </c>
      <c r="S274" s="25" t="n">
        <f aca="false">K274-R274</f>
        <v>0</v>
      </c>
      <c r="T274" s="25" t="n">
        <f aca="false">K274*L274</f>
        <v>405.6</v>
      </c>
      <c r="U274" s="25" t="n">
        <f aca="false">M274-T274</f>
        <v>0</v>
      </c>
      <c r="V274" s="25" t="n">
        <f aca="false">M274+N274</f>
        <v>457.68</v>
      </c>
      <c r="W274" s="25" t="n">
        <f aca="false">O274-V274</f>
        <v>0</v>
      </c>
      <c r="X274" s="22" t="str">
        <f aca="false">IF(OR(ABS(S274)&gt;0.005,ABS(U274)&gt;0.005,ABS(W274)&gt;0.005),"Subledger arithmetic error","OK")</f>
        <v>OK</v>
      </c>
      <c r="Y274" s="22" t="str">
        <f aca="false">IF(X274="OK","","Priority 3")</f>
        <v/>
      </c>
    </row>
    <row r="275" customFormat="false" ht="15" hidden="false" customHeight="false" outlineLevel="0" collapsed="false">
      <c r="A275" s="22" t="s">
        <v>11953</v>
      </c>
      <c r="B275" s="23" t="n">
        <v>46235</v>
      </c>
      <c r="C275" s="22" t="s">
        <v>11954</v>
      </c>
      <c r="D275" s="22" t="s">
        <v>4460</v>
      </c>
      <c r="E275" s="22" t="s">
        <v>7354</v>
      </c>
      <c r="F275" s="22" t="s">
        <v>159</v>
      </c>
      <c r="G275" s="22" t="s">
        <v>8601</v>
      </c>
      <c r="H275" s="22" t="s">
        <v>11406</v>
      </c>
      <c r="I275" s="22" t="n">
        <v>28</v>
      </c>
      <c r="J275" s="22" t="n">
        <v>1</v>
      </c>
      <c r="K275" s="22" t="n">
        <v>28</v>
      </c>
      <c r="L275" s="25" t="n">
        <v>10.4</v>
      </c>
      <c r="M275" s="25" t="n">
        <v>291.2</v>
      </c>
      <c r="N275" s="25" t="n">
        <v>37.39</v>
      </c>
      <c r="O275" s="25" t="n">
        <v>328.59</v>
      </c>
      <c r="P275" s="22" t="s">
        <v>11407</v>
      </c>
      <c r="Q275" s="23" t="n">
        <v>46249</v>
      </c>
      <c r="R275" s="22" t="n">
        <f aca="false">I275*J275</f>
        <v>28</v>
      </c>
      <c r="S275" s="25" t="n">
        <f aca="false">K275-R275</f>
        <v>0</v>
      </c>
      <c r="T275" s="25" t="n">
        <f aca="false">K275*L275</f>
        <v>291.2</v>
      </c>
      <c r="U275" s="25" t="n">
        <f aca="false">M275-T275</f>
        <v>0</v>
      </c>
      <c r="V275" s="25" t="n">
        <f aca="false">M275+N275</f>
        <v>328.59</v>
      </c>
      <c r="W275" s="25" t="n">
        <f aca="false">O275-V275</f>
        <v>0</v>
      </c>
      <c r="X275" s="22" t="str">
        <f aca="false">IF(OR(ABS(S275)&gt;0.005,ABS(U275)&gt;0.005,ABS(W275)&gt;0.005),"Subledger arithmetic error","OK")</f>
        <v>OK</v>
      </c>
      <c r="Y275" s="22" t="str">
        <f aca="false">IF(X275="OK","","Priority 3")</f>
        <v/>
      </c>
    </row>
    <row r="276" customFormat="false" ht="15" hidden="false" customHeight="false" outlineLevel="0" collapsed="false">
      <c r="A276" s="22" t="s">
        <v>11955</v>
      </c>
      <c r="B276" s="23" t="n">
        <v>46235</v>
      </c>
      <c r="C276" s="22" t="s">
        <v>11956</v>
      </c>
      <c r="D276" s="22" t="s">
        <v>3095</v>
      </c>
      <c r="E276" s="22" t="s">
        <v>7356</v>
      </c>
      <c r="F276" s="22" t="s">
        <v>159</v>
      </c>
      <c r="G276" s="22" t="s">
        <v>8601</v>
      </c>
      <c r="H276" s="22" t="s">
        <v>11406</v>
      </c>
      <c r="I276" s="22" t="n">
        <v>40</v>
      </c>
      <c r="J276" s="22" t="n">
        <v>1</v>
      </c>
      <c r="K276" s="22" t="n">
        <v>40</v>
      </c>
      <c r="L276" s="25" t="n">
        <v>10.4</v>
      </c>
      <c r="M276" s="25" t="n">
        <v>416</v>
      </c>
      <c r="N276" s="25" t="n">
        <v>53.41</v>
      </c>
      <c r="O276" s="25" t="n">
        <v>469.41</v>
      </c>
      <c r="P276" s="22" t="s">
        <v>11407</v>
      </c>
      <c r="Q276" s="23" t="n">
        <v>46249</v>
      </c>
      <c r="R276" s="22" t="n">
        <f aca="false">I276*J276</f>
        <v>40</v>
      </c>
      <c r="S276" s="25" t="n">
        <f aca="false">K276-R276</f>
        <v>0</v>
      </c>
      <c r="T276" s="25" t="n">
        <f aca="false">K276*L276</f>
        <v>416</v>
      </c>
      <c r="U276" s="25" t="n">
        <f aca="false">M276-T276</f>
        <v>0</v>
      </c>
      <c r="V276" s="25" t="n">
        <f aca="false">M276+N276</f>
        <v>469.41</v>
      </c>
      <c r="W276" s="25" t="n">
        <f aca="false">O276-V276</f>
        <v>0</v>
      </c>
      <c r="X276" s="22" t="str">
        <f aca="false">IF(OR(ABS(S276)&gt;0.005,ABS(U276)&gt;0.005,ABS(W276)&gt;0.005),"Subledger arithmetic error","OK")</f>
        <v>OK</v>
      </c>
      <c r="Y276" s="22" t="str">
        <f aca="false">IF(X276="OK","","Priority 3")</f>
        <v/>
      </c>
    </row>
    <row r="277" customFormat="false" ht="15" hidden="false" customHeight="false" outlineLevel="0" collapsed="false">
      <c r="A277" s="22" t="s">
        <v>11957</v>
      </c>
      <c r="B277" s="23" t="n">
        <v>46235</v>
      </c>
      <c r="C277" s="22" t="s">
        <v>11958</v>
      </c>
      <c r="D277" s="22" t="s">
        <v>4698</v>
      </c>
      <c r="E277" s="22" t="s">
        <v>7358</v>
      </c>
      <c r="F277" s="22" t="s">
        <v>159</v>
      </c>
      <c r="G277" s="22" t="s">
        <v>8601</v>
      </c>
      <c r="H277" s="22" t="s">
        <v>11406</v>
      </c>
      <c r="I277" s="22" t="n">
        <v>58</v>
      </c>
      <c r="J277" s="22" t="n">
        <v>1</v>
      </c>
      <c r="K277" s="22" t="n">
        <v>58</v>
      </c>
      <c r="L277" s="25" t="n">
        <v>10.4</v>
      </c>
      <c r="M277" s="25" t="n">
        <v>603.2</v>
      </c>
      <c r="N277" s="25" t="n">
        <v>77.45</v>
      </c>
      <c r="O277" s="25" t="n">
        <v>680.65</v>
      </c>
      <c r="P277" s="22" t="s">
        <v>11407</v>
      </c>
      <c r="Q277" s="23" t="n">
        <v>46249</v>
      </c>
      <c r="R277" s="22" t="n">
        <f aca="false">I277*J277</f>
        <v>58</v>
      </c>
      <c r="S277" s="25" t="n">
        <f aca="false">K277-R277</f>
        <v>0</v>
      </c>
      <c r="T277" s="25" t="n">
        <f aca="false">K277*L277</f>
        <v>603.2</v>
      </c>
      <c r="U277" s="25" t="n">
        <f aca="false">M277-T277</f>
        <v>0</v>
      </c>
      <c r="V277" s="25" t="n">
        <f aca="false">M277+N277</f>
        <v>680.65</v>
      </c>
      <c r="W277" s="25" t="n">
        <f aca="false">O277-V277</f>
        <v>0</v>
      </c>
      <c r="X277" s="22" t="str">
        <f aca="false">IF(OR(ABS(S277)&gt;0.005,ABS(U277)&gt;0.005,ABS(W277)&gt;0.005),"Subledger arithmetic error","OK")</f>
        <v>OK</v>
      </c>
      <c r="Y277" s="22" t="str">
        <f aca="false">IF(X277="OK","","Priority 3")</f>
        <v/>
      </c>
    </row>
    <row r="278" customFormat="false" ht="15" hidden="false" customHeight="false" outlineLevel="0" collapsed="false">
      <c r="A278" s="22" t="s">
        <v>11959</v>
      </c>
      <c r="B278" s="23" t="n">
        <v>46235</v>
      </c>
      <c r="C278" s="22" t="s">
        <v>11960</v>
      </c>
      <c r="D278" s="22" t="s">
        <v>160</v>
      </c>
      <c r="E278" s="22" t="s">
        <v>7360</v>
      </c>
      <c r="F278" s="22" t="s">
        <v>159</v>
      </c>
      <c r="G278" s="22" t="s">
        <v>8601</v>
      </c>
      <c r="H278" s="22" t="s">
        <v>11406</v>
      </c>
      <c r="I278" s="22" t="n">
        <v>39</v>
      </c>
      <c r="J278" s="22" t="n">
        <v>1</v>
      </c>
      <c r="K278" s="22" t="n">
        <v>39</v>
      </c>
      <c r="L278" s="25" t="n">
        <v>10.4</v>
      </c>
      <c r="M278" s="25" t="n">
        <v>405.6</v>
      </c>
      <c r="N278" s="25" t="n">
        <v>52.08</v>
      </c>
      <c r="O278" s="25" t="n">
        <v>457.68</v>
      </c>
      <c r="P278" s="22" t="s">
        <v>7696</v>
      </c>
      <c r="Q278" s="23" t="n">
        <v>46249</v>
      </c>
      <c r="R278" s="22" t="n">
        <f aca="false">I278*J278</f>
        <v>39</v>
      </c>
      <c r="S278" s="25" t="n">
        <f aca="false">K278-R278</f>
        <v>0</v>
      </c>
      <c r="T278" s="25" t="n">
        <f aca="false">K278*L278</f>
        <v>405.6</v>
      </c>
      <c r="U278" s="25" t="n">
        <f aca="false">M278-T278</f>
        <v>0</v>
      </c>
      <c r="V278" s="25" t="n">
        <f aca="false">M278+N278</f>
        <v>457.68</v>
      </c>
      <c r="W278" s="25" t="n">
        <f aca="false">O278-V278</f>
        <v>0</v>
      </c>
      <c r="X278" s="22" t="str">
        <f aca="false">IF(OR(ABS(S278)&gt;0.005,ABS(U278)&gt;0.005,ABS(W278)&gt;0.005),"Subledger arithmetic error","OK")</f>
        <v>OK</v>
      </c>
      <c r="Y278" s="22" t="str">
        <f aca="false">IF(X278="OK","","Priority 3")</f>
        <v/>
      </c>
    </row>
    <row r="279" customFormat="false" ht="15" hidden="false" customHeight="false" outlineLevel="0" collapsed="false">
      <c r="A279" s="22" t="s">
        <v>11961</v>
      </c>
      <c r="B279" s="23" t="n">
        <v>46235</v>
      </c>
      <c r="C279" s="22" t="s">
        <v>11962</v>
      </c>
      <c r="D279" s="22" t="s">
        <v>2353</v>
      </c>
      <c r="E279" s="22" t="s">
        <v>7361</v>
      </c>
      <c r="F279" s="22" t="s">
        <v>159</v>
      </c>
      <c r="G279" s="22" t="s">
        <v>8601</v>
      </c>
      <c r="H279" s="22" t="s">
        <v>11406</v>
      </c>
      <c r="I279" s="22" t="n">
        <v>61</v>
      </c>
      <c r="J279" s="22" t="n">
        <v>1</v>
      </c>
      <c r="K279" s="22" t="n">
        <v>61</v>
      </c>
      <c r="L279" s="25" t="n">
        <v>10.4</v>
      </c>
      <c r="M279" s="25" t="n">
        <v>634.4</v>
      </c>
      <c r="N279" s="25" t="n">
        <v>81.46</v>
      </c>
      <c r="O279" s="25" t="n">
        <v>715.86</v>
      </c>
      <c r="P279" s="22" t="s">
        <v>11407</v>
      </c>
      <c r="Q279" s="23" t="n">
        <v>46249</v>
      </c>
      <c r="R279" s="22" t="n">
        <f aca="false">I279*J279</f>
        <v>61</v>
      </c>
      <c r="S279" s="25" t="n">
        <f aca="false">K279-R279</f>
        <v>0</v>
      </c>
      <c r="T279" s="25" t="n">
        <f aca="false">K279*L279</f>
        <v>634.4</v>
      </c>
      <c r="U279" s="25" t="n">
        <f aca="false">M279-T279</f>
        <v>0</v>
      </c>
      <c r="V279" s="25" t="n">
        <f aca="false">M279+N279</f>
        <v>715.86</v>
      </c>
      <c r="W279" s="25" t="n">
        <f aca="false">O279-V279</f>
        <v>0</v>
      </c>
      <c r="X279" s="22" t="str">
        <f aca="false">IF(OR(ABS(S279)&gt;0.005,ABS(U279)&gt;0.005,ABS(W279)&gt;0.005),"Subledger arithmetic error","OK")</f>
        <v>OK</v>
      </c>
      <c r="Y279" s="22" t="str">
        <f aca="false">IF(X279="OK","","Priority 3")</f>
        <v/>
      </c>
    </row>
    <row r="280" customFormat="false" ht="15" hidden="false" customHeight="false" outlineLevel="0" collapsed="false">
      <c r="A280" s="22" t="s">
        <v>11963</v>
      </c>
      <c r="B280" s="23" t="n">
        <v>46235</v>
      </c>
      <c r="C280" s="22" t="s">
        <v>11964</v>
      </c>
      <c r="D280" s="22" t="s">
        <v>5465</v>
      </c>
      <c r="E280" s="22" t="s">
        <v>7363</v>
      </c>
      <c r="F280" s="22" t="s">
        <v>159</v>
      </c>
      <c r="G280" s="22" t="s">
        <v>8601</v>
      </c>
      <c r="H280" s="22" t="s">
        <v>11406</v>
      </c>
      <c r="I280" s="22" t="n">
        <v>28</v>
      </c>
      <c r="J280" s="22" t="n">
        <v>1</v>
      </c>
      <c r="K280" s="22" t="n">
        <v>28</v>
      </c>
      <c r="L280" s="25" t="n">
        <v>10.4</v>
      </c>
      <c r="M280" s="25" t="n">
        <v>291.2</v>
      </c>
      <c r="N280" s="25" t="n">
        <v>37.39</v>
      </c>
      <c r="O280" s="25" t="n">
        <v>328.59</v>
      </c>
      <c r="P280" s="22" t="s">
        <v>11407</v>
      </c>
      <c r="Q280" s="23" t="n">
        <v>46249</v>
      </c>
      <c r="R280" s="22" t="n">
        <f aca="false">I280*J280</f>
        <v>28</v>
      </c>
      <c r="S280" s="25" t="n">
        <f aca="false">K280-R280</f>
        <v>0</v>
      </c>
      <c r="T280" s="25" t="n">
        <f aca="false">K280*L280</f>
        <v>291.2</v>
      </c>
      <c r="U280" s="25" t="n">
        <f aca="false">M280-T280</f>
        <v>0</v>
      </c>
      <c r="V280" s="25" t="n">
        <f aca="false">M280+N280</f>
        <v>328.59</v>
      </c>
      <c r="W280" s="25" t="n">
        <f aca="false">O280-V280</f>
        <v>0</v>
      </c>
      <c r="X280" s="22" t="str">
        <f aca="false">IF(OR(ABS(S280)&gt;0.005,ABS(U280)&gt;0.005,ABS(W280)&gt;0.005),"Subledger arithmetic error","OK")</f>
        <v>OK</v>
      </c>
      <c r="Y280" s="22" t="str">
        <f aca="false">IF(X280="OK","","Priority 3")</f>
        <v/>
      </c>
    </row>
    <row r="281" customFormat="false" ht="15" hidden="false" customHeight="false" outlineLevel="0" collapsed="false">
      <c r="A281" s="22" t="s">
        <v>11965</v>
      </c>
      <c r="B281" s="23" t="n">
        <v>46235</v>
      </c>
      <c r="C281" s="22" t="s">
        <v>11966</v>
      </c>
      <c r="D281" s="22" t="s">
        <v>3197</v>
      </c>
      <c r="E281" s="22" t="s">
        <v>7364</v>
      </c>
      <c r="F281" s="22" t="s">
        <v>159</v>
      </c>
      <c r="G281" s="22" t="s">
        <v>8601</v>
      </c>
      <c r="H281" s="22" t="s">
        <v>11406</v>
      </c>
      <c r="I281" s="22" t="n">
        <v>40</v>
      </c>
      <c r="J281" s="22" t="n">
        <v>1</v>
      </c>
      <c r="K281" s="22" t="n">
        <v>40</v>
      </c>
      <c r="L281" s="25" t="n">
        <v>10.4</v>
      </c>
      <c r="M281" s="25" t="n">
        <v>416</v>
      </c>
      <c r="N281" s="25" t="n">
        <v>53.41</v>
      </c>
      <c r="O281" s="25" t="n">
        <v>469.41</v>
      </c>
      <c r="P281" s="22" t="s">
        <v>11407</v>
      </c>
      <c r="Q281" s="23" t="n">
        <v>46249</v>
      </c>
      <c r="R281" s="22" t="n">
        <f aca="false">I281*J281</f>
        <v>40</v>
      </c>
      <c r="S281" s="25" t="n">
        <f aca="false">K281-R281</f>
        <v>0</v>
      </c>
      <c r="T281" s="25" t="n">
        <f aca="false">K281*L281</f>
        <v>416</v>
      </c>
      <c r="U281" s="25" t="n">
        <f aca="false">M281-T281</f>
        <v>0</v>
      </c>
      <c r="V281" s="25" t="n">
        <f aca="false">M281+N281</f>
        <v>469.41</v>
      </c>
      <c r="W281" s="25" t="n">
        <f aca="false">O281-V281</f>
        <v>0</v>
      </c>
      <c r="X281" s="22" t="str">
        <f aca="false">IF(OR(ABS(S281)&gt;0.005,ABS(U281)&gt;0.005,ABS(W281)&gt;0.005),"Subledger arithmetic error","OK")</f>
        <v>OK</v>
      </c>
      <c r="Y281" s="22" t="str">
        <f aca="false">IF(X281="OK","","Priority 3")</f>
        <v/>
      </c>
    </row>
    <row r="282" customFormat="false" ht="15" hidden="false" customHeight="false" outlineLevel="0" collapsed="false">
      <c r="A282" s="22" t="s">
        <v>11967</v>
      </c>
      <c r="B282" s="23" t="n">
        <v>46235</v>
      </c>
      <c r="C282" s="22" t="s">
        <v>11968</v>
      </c>
      <c r="D282" s="22" t="s">
        <v>5503</v>
      </c>
      <c r="E282" s="22" t="s">
        <v>7366</v>
      </c>
      <c r="F282" s="22" t="s">
        <v>159</v>
      </c>
      <c r="G282" s="22" t="s">
        <v>8601</v>
      </c>
      <c r="H282" s="22" t="s">
        <v>11406</v>
      </c>
      <c r="I282" s="22" t="n">
        <v>39</v>
      </c>
      <c r="J282" s="22" t="n">
        <v>1</v>
      </c>
      <c r="K282" s="22" t="n">
        <v>39</v>
      </c>
      <c r="L282" s="25" t="n">
        <v>10.4</v>
      </c>
      <c r="M282" s="25" t="n">
        <v>405.6</v>
      </c>
      <c r="N282" s="25" t="n">
        <v>52.08</v>
      </c>
      <c r="O282" s="25" t="n">
        <v>457.68</v>
      </c>
      <c r="P282" s="22" t="s">
        <v>11407</v>
      </c>
      <c r="Q282" s="23" t="n">
        <v>46249</v>
      </c>
      <c r="R282" s="22" t="n">
        <f aca="false">I282*J282</f>
        <v>39</v>
      </c>
      <c r="S282" s="25" t="n">
        <f aca="false">K282-R282</f>
        <v>0</v>
      </c>
      <c r="T282" s="25" t="n">
        <f aca="false">K282*L282</f>
        <v>405.6</v>
      </c>
      <c r="U282" s="25" t="n">
        <f aca="false">M282-T282</f>
        <v>0</v>
      </c>
      <c r="V282" s="25" t="n">
        <f aca="false">M282+N282</f>
        <v>457.68</v>
      </c>
      <c r="W282" s="25" t="n">
        <f aca="false">O282-V282</f>
        <v>0</v>
      </c>
      <c r="X282" s="22" t="str">
        <f aca="false">IF(OR(ABS(S282)&gt;0.005,ABS(U282)&gt;0.005,ABS(W282)&gt;0.005),"Subledger arithmetic error","OK")</f>
        <v>OK</v>
      </c>
      <c r="Y282" s="22" t="str">
        <f aca="false">IF(X282="OK","","Priority 3")</f>
        <v/>
      </c>
    </row>
    <row r="283" customFormat="false" ht="15" hidden="false" customHeight="false" outlineLevel="0" collapsed="false">
      <c r="A283" s="22" t="s">
        <v>11969</v>
      </c>
      <c r="B283" s="23" t="n">
        <v>46235</v>
      </c>
      <c r="C283" s="22" t="s">
        <v>11970</v>
      </c>
      <c r="D283" s="22" t="s">
        <v>3780</v>
      </c>
      <c r="E283" s="22" t="s">
        <v>7367</v>
      </c>
      <c r="F283" s="22" t="s">
        <v>159</v>
      </c>
      <c r="G283" s="22" t="s">
        <v>8601</v>
      </c>
      <c r="H283" s="22" t="s">
        <v>11406</v>
      </c>
      <c r="I283" s="22" t="n">
        <v>27</v>
      </c>
      <c r="J283" s="22" t="n">
        <v>1</v>
      </c>
      <c r="K283" s="22" t="n">
        <v>27</v>
      </c>
      <c r="L283" s="25" t="n">
        <v>10.4</v>
      </c>
      <c r="M283" s="25" t="n">
        <v>280.8</v>
      </c>
      <c r="N283" s="25" t="n">
        <v>36.05</v>
      </c>
      <c r="O283" s="25" t="n">
        <v>316.85</v>
      </c>
      <c r="P283" s="22" t="s">
        <v>11407</v>
      </c>
      <c r="Q283" s="23" t="n">
        <v>46249</v>
      </c>
      <c r="R283" s="22" t="n">
        <f aca="false">I283*J283</f>
        <v>27</v>
      </c>
      <c r="S283" s="25" t="n">
        <f aca="false">K283-R283</f>
        <v>0</v>
      </c>
      <c r="T283" s="25" t="n">
        <f aca="false">K283*L283</f>
        <v>280.8</v>
      </c>
      <c r="U283" s="25" t="n">
        <f aca="false">M283-T283</f>
        <v>0</v>
      </c>
      <c r="V283" s="25" t="n">
        <f aca="false">M283+N283</f>
        <v>316.85</v>
      </c>
      <c r="W283" s="25" t="n">
        <f aca="false">O283-V283</f>
        <v>0</v>
      </c>
      <c r="X283" s="22" t="str">
        <f aca="false">IF(OR(ABS(S283)&gt;0.005,ABS(U283)&gt;0.005,ABS(W283)&gt;0.005),"Subledger arithmetic error","OK")</f>
        <v>OK</v>
      </c>
      <c r="Y283" s="22" t="str">
        <f aca="false">IF(X283="OK","","Priority 3")</f>
        <v/>
      </c>
    </row>
    <row r="284" customFormat="false" ht="15" hidden="false" customHeight="false" outlineLevel="0" collapsed="false">
      <c r="A284" s="22" t="s">
        <v>11971</v>
      </c>
      <c r="B284" s="23" t="n">
        <v>46235</v>
      </c>
      <c r="C284" s="22" t="s">
        <v>11972</v>
      </c>
      <c r="D284" s="22" t="s">
        <v>4692</v>
      </c>
      <c r="E284" s="22" t="s">
        <v>7368</v>
      </c>
      <c r="F284" s="22" t="s">
        <v>159</v>
      </c>
      <c r="G284" s="22" t="s">
        <v>8601</v>
      </c>
      <c r="H284" s="22" t="s">
        <v>11406</v>
      </c>
      <c r="I284" s="22" t="n">
        <v>48</v>
      </c>
      <c r="J284" s="22" t="n">
        <v>1</v>
      </c>
      <c r="K284" s="22" t="n">
        <v>48</v>
      </c>
      <c r="L284" s="25" t="n">
        <v>10.4</v>
      </c>
      <c r="M284" s="25" t="n">
        <v>499.2</v>
      </c>
      <c r="N284" s="25" t="n">
        <v>64.1</v>
      </c>
      <c r="O284" s="25" t="n">
        <v>563.3</v>
      </c>
      <c r="P284" s="22" t="s">
        <v>11407</v>
      </c>
      <c r="Q284" s="23" t="n">
        <v>46249</v>
      </c>
      <c r="R284" s="22" t="n">
        <f aca="false">I284*J284</f>
        <v>48</v>
      </c>
      <c r="S284" s="25" t="n">
        <f aca="false">K284-R284</f>
        <v>0</v>
      </c>
      <c r="T284" s="25" t="n">
        <f aca="false">K284*L284</f>
        <v>499.2</v>
      </c>
      <c r="U284" s="25" t="n">
        <f aca="false">M284-T284</f>
        <v>0</v>
      </c>
      <c r="V284" s="25" t="n">
        <f aca="false">M284+N284</f>
        <v>563.3</v>
      </c>
      <c r="W284" s="25" t="n">
        <f aca="false">O284-V284</f>
        <v>0</v>
      </c>
      <c r="X284" s="22" t="str">
        <f aca="false">IF(OR(ABS(S284)&gt;0.005,ABS(U284)&gt;0.005,ABS(W284)&gt;0.005),"Subledger arithmetic error","OK")</f>
        <v>OK</v>
      </c>
      <c r="Y284" s="22" t="str">
        <f aca="false">IF(X284="OK","","Priority 3")</f>
        <v/>
      </c>
    </row>
    <row r="285" customFormat="false" ht="15" hidden="false" customHeight="false" outlineLevel="0" collapsed="false">
      <c r="A285" s="22" t="s">
        <v>11973</v>
      </c>
      <c r="B285" s="23" t="n">
        <v>46235</v>
      </c>
      <c r="C285" s="22" t="s">
        <v>11974</v>
      </c>
      <c r="D285" s="22" t="s">
        <v>3786</v>
      </c>
      <c r="E285" s="22" t="s">
        <v>7370</v>
      </c>
      <c r="F285" s="22" t="s">
        <v>159</v>
      </c>
      <c r="G285" s="22" t="s">
        <v>8601</v>
      </c>
      <c r="H285" s="22" t="s">
        <v>11406</v>
      </c>
      <c r="I285" s="22" t="n">
        <v>28</v>
      </c>
      <c r="J285" s="22" t="n">
        <v>1</v>
      </c>
      <c r="K285" s="22" t="n">
        <v>28</v>
      </c>
      <c r="L285" s="25" t="n">
        <v>10.4</v>
      </c>
      <c r="M285" s="25" t="n">
        <v>291.2</v>
      </c>
      <c r="N285" s="25" t="n">
        <v>37.39</v>
      </c>
      <c r="O285" s="25" t="n">
        <v>328.59</v>
      </c>
      <c r="P285" s="22" t="s">
        <v>7696</v>
      </c>
      <c r="Q285" s="23" t="n">
        <v>46249</v>
      </c>
      <c r="R285" s="22" t="n">
        <f aca="false">I285*J285</f>
        <v>28</v>
      </c>
      <c r="S285" s="25" t="n">
        <f aca="false">K285-R285</f>
        <v>0</v>
      </c>
      <c r="T285" s="25" t="n">
        <f aca="false">K285*L285</f>
        <v>291.2</v>
      </c>
      <c r="U285" s="25" t="n">
        <f aca="false">M285-T285</f>
        <v>0</v>
      </c>
      <c r="V285" s="25" t="n">
        <f aca="false">M285+N285</f>
        <v>328.59</v>
      </c>
      <c r="W285" s="25" t="n">
        <f aca="false">O285-V285</f>
        <v>0</v>
      </c>
      <c r="X285" s="22" t="str">
        <f aca="false">IF(OR(ABS(S285)&gt;0.005,ABS(U285)&gt;0.005,ABS(W285)&gt;0.005),"Subledger arithmetic error","OK")</f>
        <v>OK</v>
      </c>
      <c r="Y285" s="22" t="str">
        <f aca="false">IF(X285="OK","","Priority 3")</f>
        <v/>
      </c>
    </row>
    <row r="286" customFormat="false" ht="15" hidden="false" customHeight="false" outlineLevel="0" collapsed="false">
      <c r="A286" s="22" t="s">
        <v>11975</v>
      </c>
      <c r="B286" s="23" t="n">
        <v>46235</v>
      </c>
      <c r="C286" s="22" t="s">
        <v>11976</v>
      </c>
      <c r="D286" s="22" t="s">
        <v>541</v>
      </c>
      <c r="E286" s="22" t="s">
        <v>7372</v>
      </c>
      <c r="F286" s="22" t="s">
        <v>159</v>
      </c>
      <c r="G286" s="22" t="s">
        <v>8601</v>
      </c>
      <c r="H286" s="22" t="s">
        <v>11406</v>
      </c>
      <c r="I286" s="22" t="n">
        <v>32</v>
      </c>
      <c r="J286" s="22" t="n">
        <v>1</v>
      </c>
      <c r="K286" s="22" t="n">
        <v>32</v>
      </c>
      <c r="L286" s="25" t="n">
        <v>10.4</v>
      </c>
      <c r="M286" s="25" t="n">
        <v>332.8</v>
      </c>
      <c r="N286" s="25" t="n">
        <v>42.73</v>
      </c>
      <c r="O286" s="25" t="n">
        <v>375.53</v>
      </c>
      <c r="P286" s="22" t="s">
        <v>11407</v>
      </c>
      <c r="Q286" s="23" t="n">
        <v>46249</v>
      </c>
      <c r="R286" s="22" t="n">
        <f aca="false">I286*J286</f>
        <v>32</v>
      </c>
      <c r="S286" s="25" t="n">
        <f aca="false">K286-R286</f>
        <v>0</v>
      </c>
      <c r="T286" s="25" t="n">
        <f aca="false">K286*L286</f>
        <v>332.8</v>
      </c>
      <c r="U286" s="25" t="n">
        <f aca="false">M286-T286</f>
        <v>0</v>
      </c>
      <c r="V286" s="25" t="n">
        <f aca="false">M286+N286</f>
        <v>375.53</v>
      </c>
      <c r="W286" s="25" t="n">
        <f aca="false">O286-V286</f>
        <v>0</v>
      </c>
      <c r="X286" s="22" t="str">
        <f aca="false">IF(OR(ABS(S286)&gt;0.005,ABS(U286)&gt;0.005,ABS(W286)&gt;0.005),"Subledger arithmetic error","OK")</f>
        <v>OK</v>
      </c>
      <c r="Y286" s="22" t="str">
        <f aca="false">IF(X286="OK","","Priority 3")</f>
        <v/>
      </c>
    </row>
    <row r="287" customFormat="false" ht="15" hidden="false" customHeight="false" outlineLevel="0" collapsed="false">
      <c r="A287" s="22" t="s">
        <v>11977</v>
      </c>
      <c r="B287" s="23" t="n">
        <v>46235</v>
      </c>
      <c r="C287" s="22" t="s">
        <v>11978</v>
      </c>
      <c r="D287" s="22" t="s">
        <v>3360</v>
      </c>
      <c r="E287" s="22" t="s">
        <v>7373</v>
      </c>
      <c r="F287" s="22" t="s">
        <v>159</v>
      </c>
      <c r="G287" s="22" t="s">
        <v>8601</v>
      </c>
      <c r="H287" s="22" t="s">
        <v>11406</v>
      </c>
      <c r="I287" s="22" t="n">
        <v>62</v>
      </c>
      <c r="J287" s="22" t="n">
        <v>1</v>
      </c>
      <c r="K287" s="22" t="n">
        <v>62</v>
      </c>
      <c r="L287" s="25" t="n">
        <v>10.4</v>
      </c>
      <c r="M287" s="25" t="n">
        <v>644.8</v>
      </c>
      <c r="N287" s="25" t="n">
        <v>82.79</v>
      </c>
      <c r="O287" s="25" t="n">
        <v>727.59</v>
      </c>
      <c r="P287" s="22" t="s">
        <v>11407</v>
      </c>
      <c r="Q287" s="23" t="n">
        <v>46249</v>
      </c>
      <c r="R287" s="22" t="n">
        <f aca="false">I287*J287</f>
        <v>62</v>
      </c>
      <c r="S287" s="25" t="n">
        <f aca="false">K287-R287</f>
        <v>0</v>
      </c>
      <c r="T287" s="25" t="n">
        <f aca="false">K287*L287</f>
        <v>644.8</v>
      </c>
      <c r="U287" s="25" t="n">
        <f aca="false">M287-T287</f>
        <v>0</v>
      </c>
      <c r="V287" s="25" t="n">
        <f aca="false">M287+N287</f>
        <v>727.59</v>
      </c>
      <c r="W287" s="25" t="n">
        <f aca="false">O287-V287</f>
        <v>0</v>
      </c>
      <c r="X287" s="22" t="str">
        <f aca="false">IF(OR(ABS(S287)&gt;0.005,ABS(U287)&gt;0.005,ABS(W287)&gt;0.005),"Subledger arithmetic error","OK")</f>
        <v>OK</v>
      </c>
      <c r="Y287" s="22" t="str">
        <f aca="false">IF(X287="OK","","Priority 3")</f>
        <v/>
      </c>
    </row>
    <row r="288" customFormat="false" ht="15" hidden="false" customHeight="false" outlineLevel="0" collapsed="false">
      <c r="A288" s="22" t="s">
        <v>11979</v>
      </c>
      <c r="B288" s="23" t="n">
        <v>46235</v>
      </c>
      <c r="C288" s="22" t="s">
        <v>11980</v>
      </c>
      <c r="D288" s="22" t="s">
        <v>2812</v>
      </c>
      <c r="E288" s="22" t="s">
        <v>7375</v>
      </c>
      <c r="F288" s="22" t="s">
        <v>159</v>
      </c>
      <c r="G288" s="22" t="s">
        <v>8601</v>
      </c>
      <c r="H288" s="22" t="s">
        <v>11406</v>
      </c>
      <c r="I288" s="22" t="n">
        <v>32</v>
      </c>
      <c r="J288" s="22" t="n">
        <v>1</v>
      </c>
      <c r="K288" s="22" t="n">
        <v>32</v>
      </c>
      <c r="L288" s="25" t="n">
        <v>10.4</v>
      </c>
      <c r="M288" s="25" t="n">
        <v>332.8</v>
      </c>
      <c r="N288" s="25" t="n">
        <v>42.73</v>
      </c>
      <c r="O288" s="25" t="n">
        <v>375.53</v>
      </c>
      <c r="P288" s="22" t="s">
        <v>7696</v>
      </c>
      <c r="Q288" s="23" t="n">
        <v>46249</v>
      </c>
      <c r="R288" s="22" t="n">
        <f aca="false">I288*J288</f>
        <v>32</v>
      </c>
      <c r="S288" s="25" t="n">
        <f aca="false">K288-R288</f>
        <v>0</v>
      </c>
      <c r="T288" s="25" t="n">
        <f aca="false">K288*L288</f>
        <v>332.8</v>
      </c>
      <c r="U288" s="25" t="n">
        <f aca="false">M288-T288</f>
        <v>0</v>
      </c>
      <c r="V288" s="25" t="n">
        <f aca="false">M288+N288</f>
        <v>375.53</v>
      </c>
      <c r="W288" s="25" t="n">
        <f aca="false">O288-V288</f>
        <v>0</v>
      </c>
      <c r="X288" s="22" t="str">
        <f aca="false">IF(OR(ABS(S288)&gt;0.005,ABS(U288)&gt;0.005,ABS(W288)&gt;0.005),"Subledger arithmetic error","OK")</f>
        <v>OK</v>
      </c>
      <c r="Y288" s="22" t="str">
        <f aca="false">IF(X288="OK","","Priority 3")</f>
        <v/>
      </c>
    </row>
    <row r="289" customFormat="false" ht="15" hidden="false" customHeight="false" outlineLevel="0" collapsed="false">
      <c r="A289" s="22" t="s">
        <v>11981</v>
      </c>
      <c r="B289" s="23" t="n">
        <v>46235</v>
      </c>
      <c r="C289" s="22" t="s">
        <v>11982</v>
      </c>
      <c r="D289" s="22" t="s">
        <v>902</v>
      </c>
      <c r="E289" s="22" t="s">
        <v>7376</v>
      </c>
      <c r="F289" s="22" t="s">
        <v>159</v>
      </c>
      <c r="G289" s="22" t="s">
        <v>8601</v>
      </c>
      <c r="H289" s="22" t="s">
        <v>11406</v>
      </c>
      <c r="I289" s="22" t="n">
        <v>28</v>
      </c>
      <c r="J289" s="22" t="n">
        <v>1</v>
      </c>
      <c r="K289" s="22" t="n">
        <v>28</v>
      </c>
      <c r="L289" s="25" t="n">
        <v>10.4</v>
      </c>
      <c r="M289" s="25" t="n">
        <v>291.2</v>
      </c>
      <c r="N289" s="25" t="n">
        <v>37.39</v>
      </c>
      <c r="O289" s="25" t="n">
        <v>328.59</v>
      </c>
      <c r="P289" s="22" t="s">
        <v>11407</v>
      </c>
      <c r="Q289" s="23" t="n">
        <v>46249</v>
      </c>
      <c r="R289" s="22" t="n">
        <f aca="false">I289*J289</f>
        <v>28</v>
      </c>
      <c r="S289" s="25" t="n">
        <f aca="false">K289-R289</f>
        <v>0</v>
      </c>
      <c r="T289" s="25" t="n">
        <f aca="false">K289*L289</f>
        <v>291.2</v>
      </c>
      <c r="U289" s="25" t="n">
        <f aca="false">M289-T289</f>
        <v>0</v>
      </c>
      <c r="V289" s="25" t="n">
        <f aca="false">M289+N289</f>
        <v>328.59</v>
      </c>
      <c r="W289" s="25" t="n">
        <f aca="false">O289-V289</f>
        <v>0</v>
      </c>
      <c r="X289" s="22" t="str">
        <f aca="false">IF(OR(ABS(S289)&gt;0.005,ABS(U289)&gt;0.005,ABS(W289)&gt;0.005),"Subledger arithmetic error","OK")</f>
        <v>OK</v>
      </c>
      <c r="Y289" s="22" t="str">
        <f aca="false">IF(X289="OK","","Priority 3")</f>
        <v/>
      </c>
    </row>
    <row r="290" customFormat="false" ht="15" hidden="false" customHeight="false" outlineLevel="0" collapsed="false">
      <c r="A290" s="22" t="s">
        <v>11983</v>
      </c>
      <c r="B290" s="23" t="n">
        <v>46235</v>
      </c>
      <c r="C290" s="22" t="s">
        <v>11984</v>
      </c>
      <c r="D290" s="22" t="s">
        <v>1370</v>
      </c>
      <c r="E290" s="22" t="s">
        <v>7379</v>
      </c>
      <c r="F290" s="22" t="s">
        <v>159</v>
      </c>
      <c r="G290" s="22" t="s">
        <v>8601</v>
      </c>
      <c r="H290" s="22" t="s">
        <v>11406</v>
      </c>
      <c r="I290" s="22" t="n">
        <v>42</v>
      </c>
      <c r="J290" s="22" t="n">
        <v>1</v>
      </c>
      <c r="K290" s="22" t="n">
        <v>42</v>
      </c>
      <c r="L290" s="25" t="n">
        <v>10.4</v>
      </c>
      <c r="M290" s="25" t="n">
        <v>436.8</v>
      </c>
      <c r="N290" s="25" t="n">
        <v>56.09</v>
      </c>
      <c r="O290" s="25" t="n">
        <v>492.89</v>
      </c>
      <c r="P290" s="22" t="s">
        <v>11407</v>
      </c>
      <c r="Q290" s="23" t="n">
        <v>46249</v>
      </c>
      <c r="R290" s="22" t="n">
        <f aca="false">I290*J290</f>
        <v>42</v>
      </c>
      <c r="S290" s="25" t="n">
        <f aca="false">K290-R290</f>
        <v>0</v>
      </c>
      <c r="T290" s="25" t="n">
        <f aca="false">K290*L290</f>
        <v>436.8</v>
      </c>
      <c r="U290" s="25" t="n">
        <f aca="false">M290-T290</f>
        <v>0</v>
      </c>
      <c r="V290" s="25" t="n">
        <f aca="false">M290+N290</f>
        <v>492.89</v>
      </c>
      <c r="W290" s="25" t="n">
        <f aca="false">O290-V290</f>
        <v>0</v>
      </c>
      <c r="X290" s="22" t="str">
        <f aca="false">IF(OR(ABS(S290)&gt;0.005,ABS(U290)&gt;0.005,ABS(W290)&gt;0.005),"Subledger arithmetic error","OK")</f>
        <v>OK</v>
      </c>
      <c r="Y290" s="22" t="str">
        <f aca="false">IF(X290="OK","","Priority 3")</f>
        <v/>
      </c>
    </row>
    <row r="291" customFormat="false" ht="15" hidden="false" customHeight="false" outlineLevel="0" collapsed="false">
      <c r="A291" s="22" t="s">
        <v>11985</v>
      </c>
      <c r="B291" s="23" t="n">
        <v>46235</v>
      </c>
      <c r="C291" s="22" t="s">
        <v>11986</v>
      </c>
      <c r="D291" s="22" t="s">
        <v>1103</v>
      </c>
      <c r="E291" s="22" t="s">
        <v>7380</v>
      </c>
      <c r="F291" s="22" t="s">
        <v>159</v>
      </c>
      <c r="G291" s="22" t="s">
        <v>8601</v>
      </c>
      <c r="H291" s="22" t="s">
        <v>11406</v>
      </c>
      <c r="I291" s="22" t="n">
        <v>32</v>
      </c>
      <c r="J291" s="22" t="n">
        <v>1</v>
      </c>
      <c r="K291" s="22" t="n">
        <v>32</v>
      </c>
      <c r="L291" s="25" t="n">
        <v>10.4</v>
      </c>
      <c r="M291" s="25" t="n">
        <v>332.8</v>
      </c>
      <c r="N291" s="25" t="n">
        <v>42.73</v>
      </c>
      <c r="O291" s="25" t="n">
        <v>375.53</v>
      </c>
      <c r="P291" s="22" t="s">
        <v>11407</v>
      </c>
      <c r="Q291" s="23" t="n">
        <v>46249</v>
      </c>
      <c r="R291" s="22" t="n">
        <f aca="false">I291*J291</f>
        <v>32</v>
      </c>
      <c r="S291" s="25" t="n">
        <f aca="false">K291-R291</f>
        <v>0</v>
      </c>
      <c r="T291" s="25" t="n">
        <f aca="false">K291*L291</f>
        <v>332.8</v>
      </c>
      <c r="U291" s="25" t="n">
        <f aca="false">M291-T291</f>
        <v>0</v>
      </c>
      <c r="V291" s="25" t="n">
        <f aca="false">M291+N291</f>
        <v>375.53</v>
      </c>
      <c r="W291" s="25" t="n">
        <f aca="false">O291-V291</f>
        <v>0</v>
      </c>
      <c r="X291" s="22" t="str">
        <f aca="false">IF(OR(ABS(S291)&gt;0.005,ABS(U291)&gt;0.005,ABS(W291)&gt;0.005),"Subledger arithmetic error","OK")</f>
        <v>OK</v>
      </c>
      <c r="Y291" s="22" t="str">
        <f aca="false">IF(X291="OK","","Priority 3")</f>
        <v/>
      </c>
    </row>
    <row r="292" customFormat="false" ht="15" hidden="false" customHeight="false" outlineLevel="0" collapsed="false">
      <c r="A292" s="22" t="s">
        <v>11987</v>
      </c>
      <c r="B292" s="23" t="n">
        <v>46235</v>
      </c>
      <c r="C292" s="22" t="s">
        <v>11988</v>
      </c>
      <c r="D292" s="22" t="s">
        <v>1009</v>
      </c>
      <c r="E292" s="22" t="s">
        <v>7382</v>
      </c>
      <c r="F292" s="22" t="s">
        <v>159</v>
      </c>
      <c r="G292" s="22" t="s">
        <v>8601</v>
      </c>
      <c r="H292" s="22" t="s">
        <v>11406</v>
      </c>
      <c r="I292" s="22" t="n">
        <v>33</v>
      </c>
      <c r="J292" s="22" t="n">
        <v>1</v>
      </c>
      <c r="K292" s="22" t="n">
        <v>33</v>
      </c>
      <c r="L292" s="25" t="n">
        <v>10.4</v>
      </c>
      <c r="M292" s="25" t="n">
        <v>343.2</v>
      </c>
      <c r="N292" s="25" t="n">
        <v>44.07</v>
      </c>
      <c r="O292" s="25" t="n">
        <v>387.27</v>
      </c>
      <c r="P292" s="22" t="s">
        <v>11407</v>
      </c>
      <c r="Q292" s="23" t="n">
        <v>46249</v>
      </c>
      <c r="R292" s="22" t="n">
        <f aca="false">I292*J292</f>
        <v>33</v>
      </c>
      <c r="S292" s="25" t="n">
        <f aca="false">K292-R292</f>
        <v>0</v>
      </c>
      <c r="T292" s="25" t="n">
        <f aca="false">K292*L292</f>
        <v>343.2</v>
      </c>
      <c r="U292" s="25" t="n">
        <f aca="false">M292-T292</f>
        <v>0</v>
      </c>
      <c r="V292" s="25" t="n">
        <f aca="false">M292+N292</f>
        <v>387.27</v>
      </c>
      <c r="W292" s="25" t="n">
        <f aca="false">O292-V292</f>
        <v>0</v>
      </c>
      <c r="X292" s="22" t="str">
        <f aca="false">IF(OR(ABS(S292)&gt;0.005,ABS(U292)&gt;0.005,ABS(W292)&gt;0.005),"Subledger arithmetic error","OK")</f>
        <v>OK</v>
      </c>
      <c r="Y292" s="22" t="str">
        <f aca="false">IF(X292="OK","","Priority 3")</f>
        <v/>
      </c>
    </row>
    <row r="293" customFormat="false" ht="15" hidden="false" customHeight="false" outlineLevel="0" collapsed="false">
      <c r="A293" s="22" t="s">
        <v>11989</v>
      </c>
      <c r="B293" s="23" t="n">
        <v>46235</v>
      </c>
      <c r="C293" s="22" t="s">
        <v>11990</v>
      </c>
      <c r="D293" s="22" t="s">
        <v>2929</v>
      </c>
      <c r="E293" s="22" t="s">
        <v>7385</v>
      </c>
      <c r="F293" s="22" t="s">
        <v>159</v>
      </c>
      <c r="G293" s="22" t="s">
        <v>8601</v>
      </c>
      <c r="H293" s="22" t="s">
        <v>11406</v>
      </c>
      <c r="I293" s="22" t="n">
        <v>46</v>
      </c>
      <c r="J293" s="22" t="n">
        <v>1</v>
      </c>
      <c r="K293" s="22" t="n">
        <v>46</v>
      </c>
      <c r="L293" s="25" t="n">
        <v>10.4</v>
      </c>
      <c r="M293" s="25" t="n">
        <v>478.4</v>
      </c>
      <c r="N293" s="25" t="n">
        <v>61.43</v>
      </c>
      <c r="O293" s="25" t="n">
        <v>539.83</v>
      </c>
      <c r="P293" s="22" t="s">
        <v>11407</v>
      </c>
      <c r="Q293" s="23" t="n">
        <v>46249</v>
      </c>
      <c r="R293" s="22" t="n">
        <f aca="false">I293*J293</f>
        <v>46</v>
      </c>
      <c r="S293" s="25" t="n">
        <f aca="false">K293-R293</f>
        <v>0</v>
      </c>
      <c r="T293" s="25" t="n">
        <f aca="false">K293*L293</f>
        <v>478.4</v>
      </c>
      <c r="U293" s="25" t="n">
        <f aca="false">M293-T293</f>
        <v>0</v>
      </c>
      <c r="V293" s="25" t="n">
        <f aca="false">M293+N293</f>
        <v>539.83</v>
      </c>
      <c r="W293" s="25" t="n">
        <f aca="false">O293-V293</f>
        <v>0</v>
      </c>
      <c r="X293" s="22" t="str">
        <f aca="false">IF(OR(ABS(S293)&gt;0.005,ABS(U293)&gt;0.005,ABS(W293)&gt;0.005),"Subledger arithmetic error","OK")</f>
        <v>OK</v>
      </c>
      <c r="Y293" s="22" t="str">
        <f aca="false">IF(X293="OK","","Priority 3")</f>
        <v/>
      </c>
    </row>
    <row r="294" customFormat="false" ht="15" hidden="false" customHeight="false" outlineLevel="0" collapsed="false">
      <c r="A294" s="22" t="s">
        <v>11991</v>
      </c>
      <c r="B294" s="23" t="n">
        <v>46235</v>
      </c>
      <c r="C294" s="22" t="s">
        <v>11992</v>
      </c>
      <c r="D294" s="22" t="s">
        <v>5532</v>
      </c>
      <c r="E294" s="22" t="s">
        <v>7386</v>
      </c>
      <c r="F294" s="22" t="s">
        <v>159</v>
      </c>
      <c r="G294" s="22" t="s">
        <v>8601</v>
      </c>
      <c r="H294" s="22" t="s">
        <v>11406</v>
      </c>
      <c r="I294" s="22" t="n">
        <v>28</v>
      </c>
      <c r="J294" s="22" t="n">
        <v>1</v>
      </c>
      <c r="K294" s="22" t="n">
        <v>28</v>
      </c>
      <c r="L294" s="25" t="n">
        <v>10.4</v>
      </c>
      <c r="M294" s="25" t="n">
        <v>291.2</v>
      </c>
      <c r="N294" s="25" t="n">
        <v>37.39</v>
      </c>
      <c r="O294" s="25" t="n">
        <v>328.59</v>
      </c>
      <c r="P294" s="22" t="s">
        <v>11407</v>
      </c>
      <c r="Q294" s="23" t="n">
        <v>46249</v>
      </c>
      <c r="R294" s="22" t="n">
        <f aca="false">I294*J294</f>
        <v>28</v>
      </c>
      <c r="S294" s="25" t="n">
        <f aca="false">K294-R294</f>
        <v>0</v>
      </c>
      <c r="T294" s="25" t="n">
        <f aca="false">K294*L294</f>
        <v>291.2</v>
      </c>
      <c r="U294" s="25" t="n">
        <f aca="false">M294-T294</f>
        <v>0</v>
      </c>
      <c r="V294" s="25" t="n">
        <f aca="false">M294+N294</f>
        <v>328.59</v>
      </c>
      <c r="W294" s="25" t="n">
        <f aca="false">O294-V294</f>
        <v>0</v>
      </c>
      <c r="X294" s="22" t="str">
        <f aca="false">IF(OR(ABS(S294)&gt;0.005,ABS(U294)&gt;0.005,ABS(W294)&gt;0.005),"Subledger arithmetic error","OK")</f>
        <v>OK</v>
      </c>
      <c r="Y294" s="22" t="str">
        <f aca="false">IF(X294="OK","","Priority 3")</f>
        <v/>
      </c>
    </row>
    <row r="295" customFormat="false" ht="15" hidden="false" customHeight="false" outlineLevel="0" collapsed="false">
      <c r="A295" s="22" t="s">
        <v>11993</v>
      </c>
      <c r="B295" s="23" t="n">
        <v>46235</v>
      </c>
      <c r="C295" s="22" t="s">
        <v>11994</v>
      </c>
      <c r="D295" s="22" t="s">
        <v>1208</v>
      </c>
      <c r="E295" s="22" t="s">
        <v>7388</v>
      </c>
      <c r="F295" s="22" t="s">
        <v>159</v>
      </c>
      <c r="G295" s="22" t="s">
        <v>8601</v>
      </c>
      <c r="H295" s="22" t="s">
        <v>11406</v>
      </c>
      <c r="I295" s="22" t="n">
        <v>32</v>
      </c>
      <c r="J295" s="22" t="n">
        <v>1</v>
      </c>
      <c r="K295" s="22" t="n">
        <v>32</v>
      </c>
      <c r="L295" s="25" t="n">
        <v>10.4</v>
      </c>
      <c r="M295" s="25" t="n">
        <v>332.8</v>
      </c>
      <c r="N295" s="25" t="n">
        <v>42.73</v>
      </c>
      <c r="O295" s="25" t="n">
        <v>375.53</v>
      </c>
      <c r="P295" s="22" t="s">
        <v>11407</v>
      </c>
      <c r="Q295" s="23" t="n">
        <v>46249</v>
      </c>
      <c r="R295" s="22" t="n">
        <f aca="false">I295*J295</f>
        <v>32</v>
      </c>
      <c r="S295" s="25" t="n">
        <f aca="false">K295-R295</f>
        <v>0</v>
      </c>
      <c r="T295" s="25" t="n">
        <f aca="false">K295*L295</f>
        <v>332.8</v>
      </c>
      <c r="U295" s="25" t="n">
        <f aca="false">M295-T295</f>
        <v>0</v>
      </c>
      <c r="V295" s="25" t="n">
        <f aca="false">M295+N295</f>
        <v>375.53</v>
      </c>
      <c r="W295" s="25" t="n">
        <f aca="false">O295-V295</f>
        <v>0</v>
      </c>
      <c r="X295" s="22" t="str">
        <f aca="false">IF(OR(ABS(S295)&gt;0.005,ABS(U295)&gt;0.005,ABS(W295)&gt;0.005),"Subledger arithmetic error","OK")</f>
        <v>OK</v>
      </c>
      <c r="Y295" s="22" t="str">
        <f aca="false">IF(X295="OK","","Priority 3")</f>
        <v/>
      </c>
    </row>
    <row r="296" customFormat="false" ht="15" hidden="false" customHeight="false" outlineLevel="0" collapsed="false">
      <c r="A296" s="22" t="s">
        <v>11995</v>
      </c>
      <c r="B296" s="23" t="n">
        <v>46235</v>
      </c>
      <c r="C296" s="22" t="s">
        <v>11996</v>
      </c>
      <c r="D296" s="22" t="s">
        <v>5867</v>
      </c>
      <c r="E296" s="22" t="s">
        <v>7390</v>
      </c>
      <c r="F296" s="22" t="s">
        <v>159</v>
      </c>
      <c r="G296" s="22" t="s">
        <v>8601</v>
      </c>
      <c r="H296" s="22" t="s">
        <v>11406</v>
      </c>
      <c r="I296" s="22" t="n">
        <v>42</v>
      </c>
      <c r="J296" s="22" t="n">
        <v>1</v>
      </c>
      <c r="K296" s="22" t="n">
        <v>42</v>
      </c>
      <c r="L296" s="25" t="n">
        <v>10.4</v>
      </c>
      <c r="M296" s="25" t="n">
        <v>436.8</v>
      </c>
      <c r="N296" s="25" t="n">
        <v>56.09</v>
      </c>
      <c r="O296" s="25" t="n">
        <v>492.89</v>
      </c>
      <c r="P296" s="22" t="s">
        <v>11407</v>
      </c>
      <c r="Q296" s="23" t="n">
        <v>46249</v>
      </c>
      <c r="R296" s="22" t="n">
        <f aca="false">I296*J296</f>
        <v>42</v>
      </c>
      <c r="S296" s="25" t="n">
        <f aca="false">K296-R296</f>
        <v>0</v>
      </c>
      <c r="T296" s="25" t="n">
        <f aca="false">K296*L296</f>
        <v>436.8</v>
      </c>
      <c r="U296" s="25" t="n">
        <f aca="false">M296-T296</f>
        <v>0</v>
      </c>
      <c r="V296" s="25" t="n">
        <f aca="false">M296+N296</f>
        <v>492.89</v>
      </c>
      <c r="W296" s="25" t="n">
        <f aca="false">O296-V296</f>
        <v>0</v>
      </c>
      <c r="X296" s="22" t="str">
        <f aca="false">IF(OR(ABS(S296)&gt;0.005,ABS(U296)&gt;0.005,ABS(W296)&gt;0.005),"Subledger arithmetic error","OK")</f>
        <v>OK</v>
      </c>
      <c r="Y296" s="22" t="str">
        <f aca="false">IF(X296="OK","","Priority 3")</f>
        <v/>
      </c>
    </row>
    <row r="297" customFormat="false" ht="15" hidden="false" customHeight="false" outlineLevel="0" collapsed="false">
      <c r="A297" s="22" t="s">
        <v>11997</v>
      </c>
      <c r="B297" s="23" t="n">
        <v>46235</v>
      </c>
      <c r="C297" s="22" t="s">
        <v>11998</v>
      </c>
      <c r="D297" s="22" t="s">
        <v>4026</v>
      </c>
      <c r="E297" s="22" t="s">
        <v>7393</v>
      </c>
      <c r="F297" s="22" t="s">
        <v>159</v>
      </c>
      <c r="G297" s="22" t="s">
        <v>8601</v>
      </c>
      <c r="H297" s="22" t="s">
        <v>11406</v>
      </c>
      <c r="I297" s="22" t="n">
        <v>36</v>
      </c>
      <c r="J297" s="22" t="n">
        <v>1</v>
      </c>
      <c r="K297" s="22" t="n">
        <v>36</v>
      </c>
      <c r="L297" s="25" t="n">
        <v>10.4</v>
      </c>
      <c r="M297" s="25" t="n">
        <v>374.4</v>
      </c>
      <c r="N297" s="25" t="n">
        <v>48.07</v>
      </c>
      <c r="O297" s="25" t="n">
        <v>422.47</v>
      </c>
      <c r="P297" s="22" t="s">
        <v>11407</v>
      </c>
      <c r="Q297" s="23" t="n">
        <v>46249</v>
      </c>
      <c r="R297" s="22" t="n">
        <f aca="false">I297*J297</f>
        <v>36</v>
      </c>
      <c r="S297" s="25" t="n">
        <f aca="false">K297-R297</f>
        <v>0</v>
      </c>
      <c r="T297" s="25" t="n">
        <f aca="false">K297*L297</f>
        <v>374.4</v>
      </c>
      <c r="U297" s="25" t="n">
        <f aca="false">M297-T297</f>
        <v>0</v>
      </c>
      <c r="V297" s="25" t="n">
        <f aca="false">M297+N297</f>
        <v>422.47</v>
      </c>
      <c r="W297" s="25" t="n">
        <f aca="false">O297-V297</f>
        <v>0</v>
      </c>
      <c r="X297" s="22" t="str">
        <f aca="false">IF(OR(ABS(S297)&gt;0.005,ABS(U297)&gt;0.005,ABS(W297)&gt;0.005),"Subledger arithmetic error","OK")</f>
        <v>OK</v>
      </c>
      <c r="Y297" s="22" t="str">
        <f aca="false">IF(X297="OK","","Priority 3")</f>
        <v/>
      </c>
    </row>
    <row r="298" customFormat="false" ht="15" hidden="false" customHeight="false" outlineLevel="0" collapsed="false">
      <c r="A298" s="22" t="s">
        <v>11999</v>
      </c>
      <c r="B298" s="23" t="n">
        <v>46235</v>
      </c>
      <c r="C298" s="22" t="s">
        <v>12000</v>
      </c>
      <c r="D298" s="22" t="s">
        <v>5365</v>
      </c>
      <c r="E298" s="22" t="s">
        <v>7395</v>
      </c>
      <c r="F298" s="22" t="s">
        <v>159</v>
      </c>
      <c r="G298" s="22" t="s">
        <v>8601</v>
      </c>
      <c r="H298" s="22" t="s">
        <v>11406</v>
      </c>
      <c r="I298" s="22" t="n">
        <v>39</v>
      </c>
      <c r="J298" s="22" t="n">
        <v>1</v>
      </c>
      <c r="K298" s="22" t="n">
        <v>39</v>
      </c>
      <c r="L298" s="25" t="n">
        <v>10.4</v>
      </c>
      <c r="M298" s="25" t="n">
        <v>405.6</v>
      </c>
      <c r="N298" s="25" t="n">
        <v>52.08</v>
      </c>
      <c r="O298" s="25" t="n">
        <v>457.68</v>
      </c>
      <c r="P298" s="22" t="s">
        <v>11407</v>
      </c>
      <c r="Q298" s="23" t="n">
        <v>46249</v>
      </c>
      <c r="R298" s="22" t="n">
        <f aca="false">I298*J298</f>
        <v>39</v>
      </c>
      <c r="S298" s="25" t="n">
        <f aca="false">K298-R298</f>
        <v>0</v>
      </c>
      <c r="T298" s="25" t="n">
        <f aca="false">K298*L298</f>
        <v>405.6</v>
      </c>
      <c r="U298" s="25" t="n">
        <f aca="false">M298-T298</f>
        <v>0</v>
      </c>
      <c r="V298" s="25" t="n">
        <f aca="false">M298+N298</f>
        <v>457.68</v>
      </c>
      <c r="W298" s="25" t="n">
        <f aca="false">O298-V298</f>
        <v>0</v>
      </c>
      <c r="X298" s="22" t="str">
        <f aca="false">IF(OR(ABS(S298)&gt;0.005,ABS(U298)&gt;0.005,ABS(W298)&gt;0.005),"Subledger arithmetic error","OK")</f>
        <v>OK</v>
      </c>
      <c r="Y298" s="22" t="str">
        <f aca="false">IF(X298="OK","","Priority 3")</f>
        <v/>
      </c>
    </row>
    <row r="299" customFormat="false" ht="15" hidden="false" customHeight="false" outlineLevel="0" collapsed="false">
      <c r="A299" s="22" t="s">
        <v>12001</v>
      </c>
      <c r="B299" s="23" t="n">
        <v>46235</v>
      </c>
      <c r="C299" s="22" t="s">
        <v>12002</v>
      </c>
      <c r="D299" s="22" t="s">
        <v>2106</v>
      </c>
      <c r="E299" s="22" t="s">
        <v>7397</v>
      </c>
      <c r="F299" s="22" t="s">
        <v>159</v>
      </c>
      <c r="G299" s="22" t="s">
        <v>8601</v>
      </c>
      <c r="H299" s="22" t="s">
        <v>11406</v>
      </c>
      <c r="I299" s="22" t="n">
        <v>47</v>
      </c>
      <c r="J299" s="22" t="n">
        <v>1</v>
      </c>
      <c r="K299" s="22" t="n">
        <v>47</v>
      </c>
      <c r="L299" s="25" t="n">
        <v>10.4</v>
      </c>
      <c r="M299" s="25" t="n">
        <v>488.8</v>
      </c>
      <c r="N299" s="25" t="n">
        <v>62.76</v>
      </c>
      <c r="O299" s="25" t="n">
        <v>551.56</v>
      </c>
      <c r="P299" s="22" t="s">
        <v>11407</v>
      </c>
      <c r="Q299" s="23" t="n">
        <v>46249</v>
      </c>
      <c r="R299" s="22" t="n">
        <f aca="false">I299*J299</f>
        <v>47</v>
      </c>
      <c r="S299" s="25" t="n">
        <f aca="false">K299-R299</f>
        <v>0</v>
      </c>
      <c r="T299" s="25" t="n">
        <f aca="false">K299*L299</f>
        <v>488.8</v>
      </c>
      <c r="U299" s="25" t="n">
        <f aca="false">M299-T299</f>
        <v>0</v>
      </c>
      <c r="V299" s="25" t="n">
        <f aca="false">M299+N299</f>
        <v>551.56</v>
      </c>
      <c r="W299" s="25" t="n">
        <f aca="false">O299-V299</f>
        <v>0</v>
      </c>
      <c r="X299" s="22" t="str">
        <f aca="false">IF(OR(ABS(S299)&gt;0.005,ABS(U299)&gt;0.005,ABS(W299)&gt;0.005),"Subledger arithmetic error","OK")</f>
        <v>OK</v>
      </c>
      <c r="Y299" s="22" t="str">
        <f aca="false">IF(X299="OK","","Priority 3")</f>
        <v/>
      </c>
    </row>
    <row r="300" customFormat="false" ht="15" hidden="false" customHeight="false" outlineLevel="0" collapsed="false">
      <c r="A300" s="22" t="s">
        <v>12003</v>
      </c>
      <c r="B300" s="23" t="n">
        <v>46235</v>
      </c>
      <c r="C300" s="22" t="s">
        <v>12004</v>
      </c>
      <c r="D300" s="22" t="s">
        <v>5186</v>
      </c>
      <c r="E300" s="22" t="s">
        <v>7399</v>
      </c>
      <c r="F300" s="22" t="s">
        <v>159</v>
      </c>
      <c r="G300" s="22" t="s">
        <v>8601</v>
      </c>
      <c r="H300" s="22" t="s">
        <v>11406</v>
      </c>
      <c r="I300" s="22" t="n">
        <v>57</v>
      </c>
      <c r="J300" s="22" t="n">
        <v>1</v>
      </c>
      <c r="K300" s="22" t="n">
        <v>57</v>
      </c>
      <c r="L300" s="25" t="n">
        <v>10.4</v>
      </c>
      <c r="M300" s="25" t="n">
        <v>592.8</v>
      </c>
      <c r="N300" s="25" t="n">
        <v>76.12</v>
      </c>
      <c r="O300" s="25" t="n">
        <v>668.92</v>
      </c>
      <c r="P300" s="22" t="s">
        <v>11407</v>
      </c>
      <c r="Q300" s="23" t="n">
        <v>46249</v>
      </c>
      <c r="R300" s="22" t="n">
        <f aca="false">I300*J300</f>
        <v>57</v>
      </c>
      <c r="S300" s="25" t="n">
        <f aca="false">K300-R300</f>
        <v>0</v>
      </c>
      <c r="T300" s="25" t="n">
        <f aca="false">K300*L300</f>
        <v>592.8</v>
      </c>
      <c r="U300" s="25" t="n">
        <f aca="false">M300-T300</f>
        <v>0</v>
      </c>
      <c r="V300" s="25" t="n">
        <f aca="false">M300+N300</f>
        <v>668.92</v>
      </c>
      <c r="W300" s="25" t="n">
        <f aca="false">O300-V300</f>
        <v>0</v>
      </c>
      <c r="X300" s="22" t="str">
        <f aca="false">IF(OR(ABS(S300)&gt;0.005,ABS(U300)&gt;0.005,ABS(W300)&gt;0.005),"Subledger arithmetic error","OK")</f>
        <v>OK</v>
      </c>
      <c r="Y300" s="22" t="str">
        <f aca="false">IF(X300="OK","","Priority 3")</f>
        <v/>
      </c>
    </row>
    <row r="301" customFormat="false" ht="15" hidden="false" customHeight="false" outlineLevel="0" collapsed="false">
      <c r="A301" s="22" t="s">
        <v>12005</v>
      </c>
      <c r="B301" s="23" t="n">
        <v>46235</v>
      </c>
      <c r="C301" s="22" t="s">
        <v>12006</v>
      </c>
      <c r="D301" s="22" t="s">
        <v>3329</v>
      </c>
      <c r="E301" s="22" t="s">
        <v>7403</v>
      </c>
      <c r="F301" s="22" t="s">
        <v>159</v>
      </c>
      <c r="G301" s="22" t="s">
        <v>8601</v>
      </c>
      <c r="H301" s="22" t="s">
        <v>11406</v>
      </c>
      <c r="I301" s="22" t="n">
        <v>62</v>
      </c>
      <c r="J301" s="22" t="n">
        <v>1</v>
      </c>
      <c r="K301" s="22" t="n">
        <v>62</v>
      </c>
      <c r="L301" s="25" t="n">
        <v>10.4</v>
      </c>
      <c r="M301" s="25" t="n">
        <v>644.8</v>
      </c>
      <c r="N301" s="25" t="n">
        <v>82.79</v>
      </c>
      <c r="O301" s="25" t="n">
        <v>727.59</v>
      </c>
      <c r="P301" s="22" t="s">
        <v>11407</v>
      </c>
      <c r="Q301" s="23" t="n">
        <v>46249</v>
      </c>
      <c r="R301" s="22" t="n">
        <f aca="false">I301*J301</f>
        <v>62</v>
      </c>
      <c r="S301" s="25" t="n">
        <f aca="false">K301-R301</f>
        <v>0</v>
      </c>
      <c r="T301" s="25" t="n">
        <f aca="false">K301*L301</f>
        <v>644.8</v>
      </c>
      <c r="U301" s="25" t="n">
        <f aca="false">M301-T301</f>
        <v>0</v>
      </c>
      <c r="V301" s="25" t="n">
        <f aca="false">M301+N301</f>
        <v>727.59</v>
      </c>
      <c r="W301" s="25" t="n">
        <f aca="false">O301-V301</f>
        <v>0</v>
      </c>
      <c r="X301" s="22" t="str">
        <f aca="false">IF(OR(ABS(S301)&gt;0.005,ABS(U301)&gt;0.005,ABS(W301)&gt;0.005),"Subledger arithmetic error","OK")</f>
        <v>OK</v>
      </c>
      <c r="Y301" s="22" t="str">
        <f aca="false">IF(X301="OK","","Priority 3")</f>
        <v/>
      </c>
    </row>
    <row r="302" customFormat="false" ht="15" hidden="false" customHeight="false" outlineLevel="0" collapsed="false">
      <c r="A302" s="22" t="s">
        <v>12007</v>
      </c>
      <c r="B302" s="23" t="n">
        <v>46235</v>
      </c>
      <c r="C302" s="22" t="s">
        <v>12008</v>
      </c>
      <c r="D302" s="22" t="s">
        <v>5391</v>
      </c>
      <c r="E302" s="22" t="s">
        <v>7405</v>
      </c>
      <c r="F302" s="22" t="s">
        <v>159</v>
      </c>
      <c r="G302" s="22" t="s">
        <v>8601</v>
      </c>
      <c r="H302" s="22" t="s">
        <v>11406</v>
      </c>
      <c r="I302" s="22" t="n">
        <v>40</v>
      </c>
      <c r="J302" s="22" t="n">
        <v>1</v>
      </c>
      <c r="K302" s="22" t="n">
        <v>40</v>
      </c>
      <c r="L302" s="25" t="n">
        <v>10.4</v>
      </c>
      <c r="M302" s="25" t="n">
        <v>416</v>
      </c>
      <c r="N302" s="25" t="n">
        <v>53.41</v>
      </c>
      <c r="O302" s="25" t="n">
        <v>469.41</v>
      </c>
      <c r="P302" s="22" t="s">
        <v>11407</v>
      </c>
      <c r="Q302" s="23" t="n">
        <v>46249</v>
      </c>
      <c r="R302" s="22" t="n">
        <f aca="false">I302*J302</f>
        <v>40</v>
      </c>
      <c r="S302" s="25" t="n">
        <f aca="false">K302-R302</f>
        <v>0</v>
      </c>
      <c r="T302" s="25" t="n">
        <f aca="false">K302*L302</f>
        <v>416</v>
      </c>
      <c r="U302" s="25" t="n">
        <f aca="false">M302-T302</f>
        <v>0</v>
      </c>
      <c r="V302" s="25" t="n">
        <f aca="false">M302+N302</f>
        <v>469.41</v>
      </c>
      <c r="W302" s="25" t="n">
        <f aca="false">O302-V302</f>
        <v>0</v>
      </c>
      <c r="X302" s="22" t="str">
        <f aca="false">IF(OR(ABS(S302)&gt;0.005,ABS(U302)&gt;0.005,ABS(W302)&gt;0.005),"Subledger arithmetic error","OK")</f>
        <v>OK</v>
      </c>
      <c r="Y302" s="22" t="str">
        <f aca="false">IF(X302="OK","","Priority 3")</f>
        <v/>
      </c>
    </row>
    <row r="303" customFormat="false" ht="15" hidden="false" customHeight="false" outlineLevel="0" collapsed="false">
      <c r="A303" s="22" t="s">
        <v>12009</v>
      </c>
      <c r="B303" s="23" t="n">
        <v>46235</v>
      </c>
      <c r="C303" s="22" t="s">
        <v>12010</v>
      </c>
      <c r="D303" s="22" t="s">
        <v>5724</v>
      </c>
      <c r="E303" s="22" t="s">
        <v>7406</v>
      </c>
      <c r="F303" s="22" t="s">
        <v>159</v>
      </c>
      <c r="G303" s="22" t="s">
        <v>8601</v>
      </c>
      <c r="H303" s="22" t="s">
        <v>11406</v>
      </c>
      <c r="I303" s="22" t="n">
        <v>36</v>
      </c>
      <c r="J303" s="22" t="n">
        <v>1</v>
      </c>
      <c r="K303" s="22" t="n">
        <v>36</v>
      </c>
      <c r="L303" s="25" t="n">
        <v>10.4</v>
      </c>
      <c r="M303" s="25" t="n">
        <v>374.4</v>
      </c>
      <c r="N303" s="25" t="n">
        <v>48.07</v>
      </c>
      <c r="O303" s="25" t="n">
        <v>422.47</v>
      </c>
      <c r="P303" s="22" t="s">
        <v>11407</v>
      </c>
      <c r="Q303" s="23" t="n">
        <v>46249</v>
      </c>
      <c r="R303" s="22" t="n">
        <f aca="false">I303*J303</f>
        <v>36</v>
      </c>
      <c r="S303" s="25" t="n">
        <f aca="false">K303-R303</f>
        <v>0</v>
      </c>
      <c r="T303" s="25" t="n">
        <f aca="false">K303*L303</f>
        <v>374.4</v>
      </c>
      <c r="U303" s="25" t="n">
        <f aca="false">M303-T303</f>
        <v>0</v>
      </c>
      <c r="V303" s="25" t="n">
        <f aca="false">M303+N303</f>
        <v>422.47</v>
      </c>
      <c r="W303" s="25" t="n">
        <f aca="false">O303-V303</f>
        <v>0</v>
      </c>
      <c r="X303" s="22" t="str">
        <f aca="false">IF(OR(ABS(S303)&gt;0.005,ABS(U303)&gt;0.005,ABS(W303)&gt;0.005),"Subledger arithmetic error","OK")</f>
        <v>OK</v>
      </c>
      <c r="Y303" s="22" t="str">
        <f aca="false">IF(X303="OK","","Priority 3")</f>
        <v/>
      </c>
    </row>
    <row r="304" customFormat="false" ht="15" hidden="false" customHeight="false" outlineLevel="0" collapsed="false">
      <c r="A304" s="22" t="s">
        <v>12011</v>
      </c>
      <c r="B304" s="23" t="n">
        <v>46235</v>
      </c>
      <c r="C304" s="22" t="s">
        <v>12012</v>
      </c>
      <c r="D304" s="22" t="s">
        <v>3023</v>
      </c>
      <c r="E304" s="22" t="s">
        <v>7408</v>
      </c>
      <c r="F304" s="22" t="s">
        <v>159</v>
      </c>
      <c r="G304" s="22" t="s">
        <v>8601</v>
      </c>
      <c r="H304" s="22" t="s">
        <v>11406</v>
      </c>
      <c r="I304" s="22" t="n">
        <v>39</v>
      </c>
      <c r="J304" s="22" t="n">
        <v>1</v>
      </c>
      <c r="K304" s="22" t="n">
        <v>39</v>
      </c>
      <c r="L304" s="25" t="n">
        <v>10.4</v>
      </c>
      <c r="M304" s="25" t="n">
        <v>405.6</v>
      </c>
      <c r="N304" s="25" t="n">
        <v>52.08</v>
      </c>
      <c r="O304" s="25" t="n">
        <v>457.68</v>
      </c>
      <c r="P304" s="22" t="s">
        <v>11407</v>
      </c>
      <c r="Q304" s="23" t="n">
        <v>46249</v>
      </c>
      <c r="R304" s="22" t="n">
        <f aca="false">I304*J304</f>
        <v>39</v>
      </c>
      <c r="S304" s="25" t="n">
        <f aca="false">K304-R304</f>
        <v>0</v>
      </c>
      <c r="T304" s="25" t="n">
        <f aca="false">K304*L304</f>
        <v>405.6</v>
      </c>
      <c r="U304" s="25" t="n">
        <f aca="false">M304-T304</f>
        <v>0</v>
      </c>
      <c r="V304" s="25" t="n">
        <f aca="false">M304+N304</f>
        <v>457.68</v>
      </c>
      <c r="W304" s="25" t="n">
        <f aca="false">O304-V304</f>
        <v>0</v>
      </c>
      <c r="X304" s="22" t="str">
        <f aca="false">IF(OR(ABS(S304)&gt;0.005,ABS(U304)&gt;0.005,ABS(W304)&gt;0.005),"Subledger arithmetic error","OK")</f>
        <v>OK</v>
      </c>
      <c r="Y304" s="22" t="str">
        <f aca="false">IF(X304="OK","","Priority 3")</f>
        <v/>
      </c>
    </row>
    <row r="305" customFormat="false" ht="15" hidden="false" customHeight="false" outlineLevel="0" collapsed="false">
      <c r="A305" s="22" t="s">
        <v>12013</v>
      </c>
      <c r="B305" s="23" t="n">
        <v>46235</v>
      </c>
      <c r="C305" s="22" t="s">
        <v>12014</v>
      </c>
      <c r="D305" s="22" t="s">
        <v>3201</v>
      </c>
      <c r="E305" s="22" t="s">
        <v>7410</v>
      </c>
      <c r="F305" s="22" t="s">
        <v>159</v>
      </c>
      <c r="G305" s="22" t="s">
        <v>8601</v>
      </c>
      <c r="H305" s="22" t="s">
        <v>11406</v>
      </c>
      <c r="I305" s="22" t="n">
        <v>32</v>
      </c>
      <c r="J305" s="22" t="n">
        <v>1</v>
      </c>
      <c r="K305" s="22" t="n">
        <v>32</v>
      </c>
      <c r="L305" s="25" t="n">
        <v>10.4</v>
      </c>
      <c r="M305" s="25" t="n">
        <v>332.8</v>
      </c>
      <c r="N305" s="25" t="n">
        <v>42.73</v>
      </c>
      <c r="O305" s="25" t="n">
        <v>375.53</v>
      </c>
      <c r="P305" s="22" t="s">
        <v>11407</v>
      </c>
      <c r="Q305" s="23" t="n">
        <v>46249</v>
      </c>
      <c r="R305" s="22" t="n">
        <f aca="false">I305*J305</f>
        <v>32</v>
      </c>
      <c r="S305" s="25" t="n">
        <f aca="false">K305-R305</f>
        <v>0</v>
      </c>
      <c r="T305" s="25" t="n">
        <f aca="false">K305*L305</f>
        <v>332.8</v>
      </c>
      <c r="U305" s="25" t="n">
        <f aca="false">M305-T305</f>
        <v>0</v>
      </c>
      <c r="V305" s="25" t="n">
        <f aca="false">M305+N305</f>
        <v>375.53</v>
      </c>
      <c r="W305" s="25" t="n">
        <f aca="false">O305-V305</f>
        <v>0</v>
      </c>
      <c r="X305" s="22" t="str">
        <f aca="false">IF(OR(ABS(S305)&gt;0.005,ABS(U305)&gt;0.005,ABS(W305)&gt;0.005),"Subledger arithmetic error","OK")</f>
        <v>OK</v>
      </c>
      <c r="Y305" s="22" t="str">
        <f aca="false">IF(X305="OK","","Priority 3")</f>
        <v/>
      </c>
    </row>
    <row r="306" customFormat="false" ht="15" hidden="false" customHeight="false" outlineLevel="0" collapsed="false">
      <c r="A306" s="22" t="s">
        <v>12015</v>
      </c>
      <c r="B306" s="23" t="n">
        <v>46235</v>
      </c>
      <c r="C306" s="22" t="s">
        <v>12016</v>
      </c>
      <c r="D306" s="22" t="s">
        <v>1213</v>
      </c>
      <c r="E306" s="22" t="s">
        <v>7412</v>
      </c>
      <c r="F306" s="22" t="s">
        <v>159</v>
      </c>
      <c r="G306" s="22" t="s">
        <v>8601</v>
      </c>
      <c r="H306" s="22" t="s">
        <v>11406</v>
      </c>
      <c r="I306" s="22" t="n">
        <v>28</v>
      </c>
      <c r="J306" s="22" t="n">
        <v>1</v>
      </c>
      <c r="K306" s="22" t="n">
        <v>28</v>
      </c>
      <c r="L306" s="25" t="n">
        <v>10.4</v>
      </c>
      <c r="M306" s="25" t="n">
        <v>291.2</v>
      </c>
      <c r="N306" s="25" t="n">
        <v>37.39</v>
      </c>
      <c r="O306" s="25" t="n">
        <v>328.59</v>
      </c>
      <c r="P306" s="22" t="s">
        <v>11407</v>
      </c>
      <c r="Q306" s="23" t="n">
        <v>46249</v>
      </c>
      <c r="R306" s="22" t="n">
        <f aca="false">I306*J306</f>
        <v>28</v>
      </c>
      <c r="S306" s="25" t="n">
        <f aca="false">K306-R306</f>
        <v>0</v>
      </c>
      <c r="T306" s="25" t="n">
        <f aca="false">K306*L306</f>
        <v>291.2</v>
      </c>
      <c r="U306" s="25" t="n">
        <f aca="false">M306-T306</f>
        <v>0</v>
      </c>
      <c r="V306" s="25" t="n">
        <f aca="false">M306+N306</f>
        <v>328.59</v>
      </c>
      <c r="W306" s="25" t="n">
        <f aca="false">O306-V306</f>
        <v>0</v>
      </c>
      <c r="X306" s="22" t="str">
        <f aca="false">IF(OR(ABS(S306)&gt;0.005,ABS(U306)&gt;0.005,ABS(W306)&gt;0.005),"Subledger arithmetic error","OK")</f>
        <v>OK</v>
      </c>
      <c r="Y306" s="22" t="str">
        <f aca="false">IF(X306="OK","","Priority 3")</f>
        <v/>
      </c>
    </row>
    <row r="307" customFormat="false" ht="15" hidden="false" customHeight="false" outlineLevel="0" collapsed="false">
      <c r="A307" s="22" t="s">
        <v>12017</v>
      </c>
      <c r="B307" s="23" t="n">
        <v>46235</v>
      </c>
      <c r="C307" s="22" t="s">
        <v>12018</v>
      </c>
      <c r="D307" s="22" t="s">
        <v>878</v>
      </c>
      <c r="E307" s="22" t="s">
        <v>7415</v>
      </c>
      <c r="F307" s="22" t="s">
        <v>159</v>
      </c>
      <c r="G307" s="22" t="s">
        <v>8601</v>
      </c>
      <c r="H307" s="22" t="s">
        <v>11406</v>
      </c>
      <c r="I307" s="22" t="n">
        <v>50</v>
      </c>
      <c r="J307" s="22" t="n">
        <v>1</v>
      </c>
      <c r="K307" s="22" t="n">
        <v>50</v>
      </c>
      <c r="L307" s="25" t="n">
        <v>10.4</v>
      </c>
      <c r="M307" s="25" t="n">
        <v>520</v>
      </c>
      <c r="N307" s="25" t="n">
        <v>66.77</v>
      </c>
      <c r="O307" s="25" t="n">
        <v>586.77</v>
      </c>
      <c r="P307" s="22" t="s">
        <v>11407</v>
      </c>
      <c r="Q307" s="23" t="n">
        <v>46249</v>
      </c>
      <c r="R307" s="22" t="n">
        <f aca="false">I307*J307</f>
        <v>50</v>
      </c>
      <c r="S307" s="25" t="n">
        <f aca="false">K307-R307</f>
        <v>0</v>
      </c>
      <c r="T307" s="25" t="n">
        <f aca="false">K307*L307</f>
        <v>520</v>
      </c>
      <c r="U307" s="25" t="n">
        <f aca="false">M307-T307</f>
        <v>0</v>
      </c>
      <c r="V307" s="25" t="n">
        <f aca="false">M307+N307</f>
        <v>586.77</v>
      </c>
      <c r="W307" s="25" t="n">
        <f aca="false">O307-V307</f>
        <v>0</v>
      </c>
      <c r="X307" s="22" t="str">
        <f aca="false">IF(OR(ABS(S307)&gt;0.005,ABS(U307)&gt;0.005,ABS(W307)&gt;0.005),"Subledger arithmetic error","OK")</f>
        <v>OK</v>
      </c>
      <c r="Y307" s="22" t="str">
        <f aca="false">IF(X307="OK","","Priority 3")</f>
        <v/>
      </c>
    </row>
    <row r="308" customFormat="false" ht="15" hidden="false" customHeight="false" outlineLevel="0" collapsed="false">
      <c r="A308" s="22" t="s">
        <v>12019</v>
      </c>
      <c r="B308" s="23" t="n">
        <v>46235</v>
      </c>
      <c r="C308" s="22" t="s">
        <v>12020</v>
      </c>
      <c r="D308" s="22" t="s">
        <v>4922</v>
      </c>
      <c r="E308" s="22" t="s">
        <v>7417</v>
      </c>
      <c r="F308" s="22" t="s">
        <v>159</v>
      </c>
      <c r="G308" s="22" t="s">
        <v>8601</v>
      </c>
      <c r="H308" s="22" t="s">
        <v>11406</v>
      </c>
      <c r="I308" s="22" t="n">
        <v>28</v>
      </c>
      <c r="J308" s="22" t="n">
        <v>1</v>
      </c>
      <c r="K308" s="22" t="n">
        <v>28</v>
      </c>
      <c r="L308" s="25" t="n">
        <v>10.4</v>
      </c>
      <c r="M308" s="25" t="n">
        <v>291.2</v>
      </c>
      <c r="N308" s="25" t="n">
        <v>37.39</v>
      </c>
      <c r="O308" s="25" t="n">
        <v>328.59</v>
      </c>
      <c r="P308" s="22" t="s">
        <v>11407</v>
      </c>
      <c r="Q308" s="23" t="n">
        <v>46249</v>
      </c>
      <c r="R308" s="22" t="n">
        <f aca="false">I308*J308</f>
        <v>28</v>
      </c>
      <c r="S308" s="25" t="n">
        <f aca="false">K308-R308</f>
        <v>0</v>
      </c>
      <c r="T308" s="25" t="n">
        <f aca="false">K308*L308</f>
        <v>291.2</v>
      </c>
      <c r="U308" s="25" t="n">
        <f aca="false">M308-T308</f>
        <v>0</v>
      </c>
      <c r="V308" s="25" t="n">
        <f aca="false">M308+N308</f>
        <v>328.59</v>
      </c>
      <c r="W308" s="25" t="n">
        <f aca="false">O308-V308</f>
        <v>0</v>
      </c>
      <c r="X308" s="22" t="str">
        <f aca="false">IF(OR(ABS(S308)&gt;0.005,ABS(U308)&gt;0.005,ABS(W308)&gt;0.005),"Subledger arithmetic error","OK")</f>
        <v>OK</v>
      </c>
      <c r="Y308" s="22" t="str">
        <f aca="false">IF(X308="OK","","Priority 3")</f>
        <v/>
      </c>
    </row>
    <row r="309" customFormat="false" ht="15" hidden="false" customHeight="false" outlineLevel="0" collapsed="false">
      <c r="A309" s="22" t="s">
        <v>12021</v>
      </c>
      <c r="B309" s="23" t="n">
        <v>46235</v>
      </c>
      <c r="C309" s="22" t="s">
        <v>12022</v>
      </c>
      <c r="D309" s="22" t="s">
        <v>3203</v>
      </c>
      <c r="E309" s="22" t="s">
        <v>7418</v>
      </c>
      <c r="F309" s="22" t="s">
        <v>159</v>
      </c>
      <c r="G309" s="22" t="s">
        <v>8601</v>
      </c>
      <c r="H309" s="22" t="s">
        <v>11406</v>
      </c>
      <c r="I309" s="22" t="n">
        <v>40</v>
      </c>
      <c r="J309" s="22" t="n">
        <v>1</v>
      </c>
      <c r="K309" s="22" t="n">
        <v>40</v>
      </c>
      <c r="L309" s="25" t="n">
        <v>10.4</v>
      </c>
      <c r="M309" s="25" t="n">
        <v>416</v>
      </c>
      <c r="N309" s="25" t="n">
        <v>53.41</v>
      </c>
      <c r="O309" s="25" t="n">
        <v>469.41</v>
      </c>
      <c r="P309" s="22" t="s">
        <v>11407</v>
      </c>
      <c r="Q309" s="23" t="n">
        <v>46249</v>
      </c>
      <c r="R309" s="22" t="n">
        <f aca="false">I309*J309</f>
        <v>40</v>
      </c>
      <c r="S309" s="25" t="n">
        <f aca="false">K309-R309</f>
        <v>0</v>
      </c>
      <c r="T309" s="25" t="n">
        <f aca="false">K309*L309</f>
        <v>416</v>
      </c>
      <c r="U309" s="25" t="n">
        <f aca="false">M309-T309</f>
        <v>0</v>
      </c>
      <c r="V309" s="25" t="n">
        <f aca="false">M309+N309</f>
        <v>469.41</v>
      </c>
      <c r="W309" s="25" t="n">
        <f aca="false">O309-V309</f>
        <v>0</v>
      </c>
      <c r="X309" s="22" t="str">
        <f aca="false">IF(OR(ABS(S309)&gt;0.005,ABS(U309)&gt;0.005,ABS(W309)&gt;0.005),"Subledger arithmetic error","OK")</f>
        <v>OK</v>
      </c>
      <c r="Y309" s="22" t="str">
        <f aca="false">IF(X309="OK","","Priority 3")</f>
        <v/>
      </c>
    </row>
    <row r="310" customFormat="false" ht="15" hidden="false" customHeight="false" outlineLevel="0" collapsed="false">
      <c r="A310" s="22" t="s">
        <v>12023</v>
      </c>
      <c r="B310" s="23" t="n">
        <v>46235</v>
      </c>
      <c r="C310" s="22" t="s">
        <v>12024</v>
      </c>
      <c r="D310" s="22" t="s">
        <v>1468</v>
      </c>
      <c r="E310" s="22" t="s">
        <v>7420</v>
      </c>
      <c r="F310" s="22" t="s">
        <v>159</v>
      </c>
      <c r="G310" s="22" t="s">
        <v>8601</v>
      </c>
      <c r="H310" s="22" t="s">
        <v>11406</v>
      </c>
      <c r="I310" s="22" t="n">
        <v>44</v>
      </c>
      <c r="J310" s="22" t="n">
        <v>1</v>
      </c>
      <c r="K310" s="22" t="n">
        <v>44</v>
      </c>
      <c r="L310" s="25" t="n">
        <v>10.4</v>
      </c>
      <c r="M310" s="25" t="n">
        <v>457.6</v>
      </c>
      <c r="N310" s="25" t="n">
        <v>58.76</v>
      </c>
      <c r="O310" s="25" t="n">
        <v>516.36</v>
      </c>
      <c r="P310" s="22" t="s">
        <v>11410</v>
      </c>
      <c r="Q310" s="23" t="n">
        <v>46249</v>
      </c>
      <c r="R310" s="22" t="n">
        <f aca="false">I310*J310</f>
        <v>44</v>
      </c>
      <c r="S310" s="25" t="n">
        <f aca="false">K310-R310</f>
        <v>0</v>
      </c>
      <c r="T310" s="25" t="n">
        <f aca="false">K310*L310</f>
        <v>457.6</v>
      </c>
      <c r="U310" s="25" t="n">
        <f aca="false">M310-T310</f>
        <v>0</v>
      </c>
      <c r="V310" s="25" t="n">
        <f aca="false">M310+N310</f>
        <v>516.36</v>
      </c>
      <c r="W310" s="25" t="n">
        <f aca="false">O310-V310</f>
        <v>0</v>
      </c>
      <c r="X310" s="22" t="str">
        <f aca="false">IF(OR(ABS(S310)&gt;0.005,ABS(U310)&gt;0.005,ABS(W310)&gt;0.005),"Subledger arithmetic error","OK")</f>
        <v>OK</v>
      </c>
      <c r="Y310" s="22" t="str">
        <f aca="false">IF(X310="OK","","Priority 3")</f>
        <v/>
      </c>
    </row>
    <row r="311" customFormat="false" ht="15" hidden="false" customHeight="false" outlineLevel="0" collapsed="false">
      <c r="A311" s="22" t="s">
        <v>12025</v>
      </c>
      <c r="B311" s="23" t="n">
        <v>46235</v>
      </c>
      <c r="C311" s="22" t="s">
        <v>12026</v>
      </c>
      <c r="D311" s="22" t="s">
        <v>1030</v>
      </c>
      <c r="E311" s="22" t="s">
        <v>7422</v>
      </c>
      <c r="F311" s="22" t="s">
        <v>159</v>
      </c>
      <c r="G311" s="22" t="s">
        <v>8601</v>
      </c>
      <c r="H311" s="22" t="s">
        <v>11406</v>
      </c>
      <c r="I311" s="22" t="n">
        <v>37</v>
      </c>
      <c r="J311" s="22" t="n">
        <v>1</v>
      </c>
      <c r="K311" s="22" t="n">
        <v>37</v>
      </c>
      <c r="L311" s="25" t="n">
        <v>10.4</v>
      </c>
      <c r="M311" s="25" t="n">
        <v>384.8</v>
      </c>
      <c r="N311" s="25" t="n">
        <v>49.41</v>
      </c>
      <c r="O311" s="25" t="n">
        <v>434.21</v>
      </c>
      <c r="P311" s="22" t="s">
        <v>11407</v>
      </c>
      <c r="Q311" s="23" t="n">
        <v>46249</v>
      </c>
      <c r="R311" s="22" t="n">
        <f aca="false">I311*J311</f>
        <v>37</v>
      </c>
      <c r="S311" s="25" t="n">
        <f aca="false">K311-R311</f>
        <v>0</v>
      </c>
      <c r="T311" s="25" t="n">
        <f aca="false">K311*L311</f>
        <v>384.8</v>
      </c>
      <c r="U311" s="25" t="n">
        <f aca="false">M311-T311</f>
        <v>0</v>
      </c>
      <c r="V311" s="25" t="n">
        <f aca="false">M311+N311</f>
        <v>434.21</v>
      </c>
      <c r="W311" s="25" t="n">
        <f aca="false">O311-V311</f>
        <v>0</v>
      </c>
      <c r="X311" s="22" t="str">
        <f aca="false">IF(OR(ABS(S311)&gt;0.005,ABS(U311)&gt;0.005,ABS(W311)&gt;0.005),"Subledger arithmetic error","OK")</f>
        <v>OK</v>
      </c>
      <c r="Y311" s="22" t="str">
        <f aca="false">IF(X311="OK","","Priority 3")</f>
        <v/>
      </c>
    </row>
    <row r="312" customFormat="false" ht="15" hidden="false" customHeight="false" outlineLevel="0" collapsed="false">
      <c r="A312" s="22" t="s">
        <v>12027</v>
      </c>
      <c r="B312" s="23" t="n">
        <v>46235</v>
      </c>
      <c r="C312" s="22" t="s">
        <v>12028</v>
      </c>
      <c r="D312" s="22" t="s">
        <v>2195</v>
      </c>
      <c r="E312" s="22" t="s">
        <v>7424</v>
      </c>
      <c r="F312" s="22" t="s">
        <v>159</v>
      </c>
      <c r="G312" s="22" t="s">
        <v>8601</v>
      </c>
      <c r="H312" s="22" t="s">
        <v>11406</v>
      </c>
      <c r="I312" s="22" t="n">
        <v>42</v>
      </c>
      <c r="J312" s="22" t="n">
        <v>1</v>
      </c>
      <c r="K312" s="22" t="n">
        <v>42</v>
      </c>
      <c r="L312" s="25" t="n">
        <v>10.4</v>
      </c>
      <c r="M312" s="25" t="n">
        <v>436.8</v>
      </c>
      <c r="N312" s="25" t="n">
        <v>56.09</v>
      </c>
      <c r="O312" s="25" t="n">
        <v>492.89</v>
      </c>
      <c r="P312" s="22" t="s">
        <v>11407</v>
      </c>
      <c r="Q312" s="23" t="n">
        <v>46249</v>
      </c>
      <c r="R312" s="22" t="n">
        <f aca="false">I312*J312</f>
        <v>42</v>
      </c>
      <c r="S312" s="25" t="n">
        <f aca="false">K312-R312</f>
        <v>0</v>
      </c>
      <c r="T312" s="25" t="n">
        <f aca="false">K312*L312</f>
        <v>436.8</v>
      </c>
      <c r="U312" s="25" t="n">
        <f aca="false">M312-T312</f>
        <v>0</v>
      </c>
      <c r="V312" s="25" t="n">
        <f aca="false">M312+N312</f>
        <v>492.89</v>
      </c>
      <c r="W312" s="25" t="n">
        <f aca="false">O312-V312</f>
        <v>0</v>
      </c>
      <c r="X312" s="22" t="str">
        <f aca="false">IF(OR(ABS(S312)&gt;0.005,ABS(U312)&gt;0.005,ABS(W312)&gt;0.005),"Subledger arithmetic error","OK")</f>
        <v>OK</v>
      </c>
      <c r="Y312" s="22" t="str">
        <f aca="false">IF(X312="OK","","Priority 3")</f>
        <v/>
      </c>
    </row>
    <row r="313" customFormat="false" ht="15" hidden="false" customHeight="false" outlineLevel="0" collapsed="false">
      <c r="A313" s="22" t="s">
        <v>12029</v>
      </c>
      <c r="B313" s="23" t="n">
        <v>46235</v>
      </c>
      <c r="C313" s="22" t="s">
        <v>12030</v>
      </c>
      <c r="D313" s="22" t="s">
        <v>2547</v>
      </c>
      <c r="E313" s="22" t="s">
        <v>7427</v>
      </c>
      <c r="F313" s="22" t="s">
        <v>159</v>
      </c>
      <c r="G313" s="22" t="s">
        <v>8601</v>
      </c>
      <c r="H313" s="22" t="s">
        <v>11406</v>
      </c>
      <c r="I313" s="22" t="n">
        <v>47</v>
      </c>
      <c r="J313" s="22" t="n">
        <v>1</v>
      </c>
      <c r="K313" s="22" t="n">
        <v>47</v>
      </c>
      <c r="L313" s="25" t="n">
        <v>10.4</v>
      </c>
      <c r="M313" s="25" t="n">
        <v>488.8</v>
      </c>
      <c r="N313" s="25" t="n">
        <v>62.76</v>
      </c>
      <c r="O313" s="25" t="n">
        <v>551.56</v>
      </c>
      <c r="P313" s="22" t="s">
        <v>11407</v>
      </c>
      <c r="Q313" s="23" t="n">
        <v>46249</v>
      </c>
      <c r="R313" s="22" t="n">
        <f aca="false">I313*J313</f>
        <v>47</v>
      </c>
      <c r="S313" s="25" t="n">
        <f aca="false">K313-R313</f>
        <v>0</v>
      </c>
      <c r="T313" s="25" t="n">
        <f aca="false">K313*L313</f>
        <v>488.8</v>
      </c>
      <c r="U313" s="25" t="n">
        <f aca="false">M313-T313</f>
        <v>0</v>
      </c>
      <c r="V313" s="25" t="n">
        <f aca="false">M313+N313</f>
        <v>551.56</v>
      </c>
      <c r="W313" s="25" t="n">
        <f aca="false">O313-V313</f>
        <v>0</v>
      </c>
      <c r="X313" s="22" t="str">
        <f aca="false">IF(OR(ABS(S313)&gt;0.005,ABS(U313)&gt;0.005,ABS(W313)&gt;0.005),"Subledger arithmetic error","OK")</f>
        <v>OK</v>
      </c>
      <c r="Y313" s="22" t="str">
        <f aca="false">IF(X313="OK","","Priority 3")</f>
        <v/>
      </c>
    </row>
    <row r="314" customFormat="false" ht="15" hidden="false" customHeight="false" outlineLevel="0" collapsed="false">
      <c r="A314" s="22" t="s">
        <v>12031</v>
      </c>
      <c r="B314" s="23" t="n">
        <v>46235</v>
      </c>
      <c r="C314" s="22" t="s">
        <v>12032</v>
      </c>
      <c r="D314" s="22" t="s">
        <v>5835</v>
      </c>
      <c r="E314" s="22" t="s">
        <v>7428</v>
      </c>
      <c r="F314" s="22" t="s">
        <v>159</v>
      </c>
      <c r="G314" s="22" t="s">
        <v>8601</v>
      </c>
      <c r="H314" s="22" t="s">
        <v>11406</v>
      </c>
      <c r="I314" s="22" t="n">
        <v>38</v>
      </c>
      <c r="J314" s="22" t="n">
        <v>1</v>
      </c>
      <c r="K314" s="22" t="n">
        <v>38</v>
      </c>
      <c r="L314" s="25" t="n">
        <v>10.4</v>
      </c>
      <c r="M314" s="25" t="n">
        <v>395.2</v>
      </c>
      <c r="N314" s="25" t="n">
        <v>50.74</v>
      </c>
      <c r="O314" s="25" t="n">
        <v>445.94</v>
      </c>
      <c r="P314" s="22" t="s">
        <v>11407</v>
      </c>
      <c r="Q314" s="23" t="n">
        <v>46249</v>
      </c>
      <c r="R314" s="22" t="n">
        <f aca="false">I314*J314</f>
        <v>38</v>
      </c>
      <c r="S314" s="25" t="n">
        <f aca="false">K314-R314</f>
        <v>0</v>
      </c>
      <c r="T314" s="25" t="n">
        <f aca="false">K314*L314</f>
        <v>395.2</v>
      </c>
      <c r="U314" s="25" t="n">
        <f aca="false">M314-T314</f>
        <v>0</v>
      </c>
      <c r="V314" s="25" t="n">
        <f aca="false">M314+N314</f>
        <v>445.94</v>
      </c>
      <c r="W314" s="25" t="n">
        <f aca="false">O314-V314</f>
        <v>0</v>
      </c>
      <c r="X314" s="22" t="str">
        <f aca="false">IF(OR(ABS(S314)&gt;0.005,ABS(U314)&gt;0.005,ABS(W314)&gt;0.005),"Subledger arithmetic error","OK")</f>
        <v>OK</v>
      </c>
      <c r="Y314" s="22" t="str">
        <f aca="false">IF(X314="OK","","Priority 3")</f>
        <v/>
      </c>
    </row>
    <row r="315" customFormat="false" ht="15" hidden="false" customHeight="false" outlineLevel="0" collapsed="false">
      <c r="A315" s="22" t="s">
        <v>12033</v>
      </c>
      <c r="B315" s="23" t="n">
        <v>46235</v>
      </c>
      <c r="C315" s="22" t="s">
        <v>12034</v>
      </c>
      <c r="D315" s="22" t="s">
        <v>2901</v>
      </c>
      <c r="E315" s="22" t="s">
        <v>7431</v>
      </c>
      <c r="F315" s="22" t="s">
        <v>159</v>
      </c>
      <c r="G315" s="22" t="s">
        <v>8601</v>
      </c>
      <c r="H315" s="22" t="s">
        <v>11406</v>
      </c>
      <c r="I315" s="22" t="n">
        <v>56</v>
      </c>
      <c r="J315" s="22" t="n">
        <v>1</v>
      </c>
      <c r="K315" s="22" t="n">
        <v>56</v>
      </c>
      <c r="L315" s="25" t="n">
        <v>10.4</v>
      </c>
      <c r="M315" s="25" t="n">
        <v>582.4</v>
      </c>
      <c r="N315" s="25" t="n">
        <v>74.78</v>
      </c>
      <c r="O315" s="25" t="n">
        <v>657.18</v>
      </c>
      <c r="P315" s="22" t="s">
        <v>11407</v>
      </c>
      <c r="Q315" s="23" t="n">
        <v>46249</v>
      </c>
      <c r="R315" s="22" t="n">
        <f aca="false">I315*J315</f>
        <v>56</v>
      </c>
      <c r="S315" s="25" t="n">
        <f aca="false">K315-R315</f>
        <v>0</v>
      </c>
      <c r="T315" s="25" t="n">
        <f aca="false">K315*L315</f>
        <v>582.4</v>
      </c>
      <c r="U315" s="25" t="n">
        <f aca="false">M315-T315</f>
        <v>0</v>
      </c>
      <c r="V315" s="25" t="n">
        <f aca="false">M315+N315</f>
        <v>657.18</v>
      </c>
      <c r="W315" s="25" t="n">
        <f aca="false">O315-V315</f>
        <v>0</v>
      </c>
      <c r="X315" s="22" t="str">
        <f aca="false">IF(OR(ABS(S315)&gt;0.005,ABS(U315)&gt;0.005,ABS(W315)&gt;0.005),"Subledger arithmetic error","OK")</f>
        <v>OK</v>
      </c>
      <c r="Y315" s="22" t="str">
        <f aca="false">IF(X315="OK","","Priority 3")</f>
        <v/>
      </c>
    </row>
    <row r="316" customFormat="false" ht="15" hidden="false" customHeight="false" outlineLevel="0" collapsed="false">
      <c r="A316" s="22" t="s">
        <v>12035</v>
      </c>
      <c r="B316" s="23" t="n">
        <v>46235</v>
      </c>
      <c r="C316" s="22" t="s">
        <v>12036</v>
      </c>
      <c r="D316" s="22" t="s">
        <v>1714</v>
      </c>
      <c r="E316" s="22" t="s">
        <v>7433</v>
      </c>
      <c r="F316" s="22" t="s">
        <v>159</v>
      </c>
      <c r="G316" s="22" t="s">
        <v>8601</v>
      </c>
      <c r="H316" s="22" t="s">
        <v>11406</v>
      </c>
      <c r="I316" s="22" t="n">
        <v>57</v>
      </c>
      <c r="J316" s="22" t="n">
        <v>1</v>
      </c>
      <c r="K316" s="22" t="n">
        <v>57</v>
      </c>
      <c r="L316" s="25" t="n">
        <v>10.4</v>
      </c>
      <c r="M316" s="25" t="n">
        <v>592.8</v>
      </c>
      <c r="N316" s="25" t="n">
        <v>76.12</v>
      </c>
      <c r="O316" s="25" t="n">
        <v>668.92</v>
      </c>
      <c r="P316" s="22" t="s">
        <v>11407</v>
      </c>
      <c r="Q316" s="23" t="n">
        <v>46249</v>
      </c>
      <c r="R316" s="22" t="n">
        <f aca="false">I316*J316</f>
        <v>57</v>
      </c>
      <c r="S316" s="25" t="n">
        <f aca="false">K316-R316</f>
        <v>0</v>
      </c>
      <c r="T316" s="25" t="n">
        <f aca="false">K316*L316</f>
        <v>592.8</v>
      </c>
      <c r="U316" s="25" t="n">
        <f aca="false">M316-T316</f>
        <v>0</v>
      </c>
      <c r="V316" s="25" t="n">
        <f aca="false">M316+N316</f>
        <v>668.92</v>
      </c>
      <c r="W316" s="25" t="n">
        <f aca="false">O316-V316</f>
        <v>0</v>
      </c>
      <c r="X316" s="22" t="str">
        <f aca="false">IF(OR(ABS(S316)&gt;0.005,ABS(U316)&gt;0.005,ABS(W316)&gt;0.005),"Subledger arithmetic error","OK")</f>
        <v>OK</v>
      </c>
      <c r="Y316" s="22" t="str">
        <f aca="false">IF(X316="OK","","Priority 3")</f>
        <v/>
      </c>
    </row>
    <row r="317" customFormat="false" ht="15" hidden="false" customHeight="false" outlineLevel="0" collapsed="false">
      <c r="A317" s="22" t="s">
        <v>12037</v>
      </c>
      <c r="B317" s="23" t="n">
        <v>46235</v>
      </c>
      <c r="C317" s="22" t="s">
        <v>12038</v>
      </c>
      <c r="D317" s="22" t="s">
        <v>4181</v>
      </c>
      <c r="E317" s="22" t="s">
        <v>7435</v>
      </c>
      <c r="F317" s="22" t="s">
        <v>159</v>
      </c>
      <c r="G317" s="22" t="s">
        <v>8601</v>
      </c>
      <c r="H317" s="22" t="s">
        <v>11406</v>
      </c>
      <c r="I317" s="22" t="n">
        <v>31</v>
      </c>
      <c r="J317" s="22" t="n">
        <v>1</v>
      </c>
      <c r="K317" s="22" t="n">
        <v>31</v>
      </c>
      <c r="L317" s="25" t="n">
        <v>10.4</v>
      </c>
      <c r="M317" s="25" t="n">
        <v>322.4</v>
      </c>
      <c r="N317" s="25" t="n">
        <v>41.4</v>
      </c>
      <c r="O317" s="25" t="n">
        <v>363.8</v>
      </c>
      <c r="P317" s="22" t="s">
        <v>11407</v>
      </c>
      <c r="Q317" s="23" t="n">
        <v>46249</v>
      </c>
      <c r="R317" s="22" t="n">
        <f aca="false">I317*J317</f>
        <v>31</v>
      </c>
      <c r="S317" s="25" t="n">
        <f aca="false">K317-R317</f>
        <v>0</v>
      </c>
      <c r="T317" s="25" t="n">
        <f aca="false">K317*L317</f>
        <v>322.4</v>
      </c>
      <c r="U317" s="25" t="n">
        <f aca="false">M317-T317</f>
        <v>0</v>
      </c>
      <c r="V317" s="25" t="n">
        <f aca="false">M317+N317</f>
        <v>363.8</v>
      </c>
      <c r="W317" s="25" t="n">
        <f aca="false">O317-V317</f>
        <v>0</v>
      </c>
      <c r="X317" s="22" t="str">
        <f aca="false">IF(OR(ABS(S317)&gt;0.005,ABS(U317)&gt;0.005,ABS(W317)&gt;0.005),"Subledger arithmetic error","OK")</f>
        <v>OK</v>
      </c>
      <c r="Y317" s="22" t="str">
        <f aca="false">IF(X317="OK","","Priority 3")</f>
        <v/>
      </c>
    </row>
    <row r="318" customFormat="false" ht="15" hidden="false" customHeight="false" outlineLevel="0" collapsed="false">
      <c r="A318" s="22" t="s">
        <v>12039</v>
      </c>
      <c r="B318" s="23" t="n">
        <v>46235</v>
      </c>
      <c r="C318" s="22" t="s">
        <v>12040</v>
      </c>
      <c r="D318" s="22" t="s">
        <v>342</v>
      </c>
      <c r="E318" s="22" t="s">
        <v>7437</v>
      </c>
      <c r="F318" s="22" t="s">
        <v>159</v>
      </c>
      <c r="G318" s="22" t="s">
        <v>8601</v>
      </c>
      <c r="H318" s="22" t="s">
        <v>11406</v>
      </c>
      <c r="I318" s="22" t="n">
        <v>53</v>
      </c>
      <c r="J318" s="22" t="n">
        <v>1</v>
      </c>
      <c r="K318" s="22" t="n">
        <v>53</v>
      </c>
      <c r="L318" s="25" t="n">
        <v>10.4</v>
      </c>
      <c r="M318" s="25" t="n">
        <v>551.2</v>
      </c>
      <c r="N318" s="25" t="n">
        <v>70.77</v>
      </c>
      <c r="O318" s="25" t="n">
        <v>621.97</v>
      </c>
      <c r="P318" s="22" t="s">
        <v>11407</v>
      </c>
      <c r="Q318" s="23" t="n">
        <v>46249</v>
      </c>
      <c r="R318" s="22" t="n">
        <f aca="false">I318*J318</f>
        <v>53</v>
      </c>
      <c r="S318" s="25" t="n">
        <f aca="false">K318-R318</f>
        <v>0</v>
      </c>
      <c r="T318" s="25" t="n">
        <f aca="false">K318*L318</f>
        <v>551.2</v>
      </c>
      <c r="U318" s="25" t="n">
        <f aca="false">M318-T318</f>
        <v>0</v>
      </c>
      <c r="V318" s="25" t="n">
        <f aca="false">M318+N318</f>
        <v>621.97</v>
      </c>
      <c r="W318" s="25" t="n">
        <f aca="false">O318-V318</f>
        <v>0</v>
      </c>
      <c r="X318" s="22" t="str">
        <f aca="false">IF(OR(ABS(S318)&gt;0.005,ABS(U318)&gt;0.005,ABS(W318)&gt;0.005),"Subledger arithmetic error","OK")</f>
        <v>OK</v>
      </c>
      <c r="Y318" s="22" t="str">
        <f aca="false">IF(X318="OK","","Priority 3")</f>
        <v/>
      </c>
    </row>
    <row r="319" customFormat="false" ht="15" hidden="false" customHeight="false" outlineLevel="0" collapsed="false">
      <c r="A319" s="22" t="s">
        <v>12041</v>
      </c>
      <c r="B319" s="23" t="n">
        <v>46235</v>
      </c>
      <c r="C319" s="22" t="s">
        <v>12042</v>
      </c>
      <c r="D319" s="22" t="s">
        <v>2270</v>
      </c>
      <c r="E319" s="22" t="s">
        <v>7439</v>
      </c>
      <c r="F319" s="22" t="s">
        <v>159</v>
      </c>
      <c r="G319" s="22" t="s">
        <v>8601</v>
      </c>
      <c r="H319" s="22" t="s">
        <v>11406</v>
      </c>
      <c r="I319" s="22" t="n">
        <v>57</v>
      </c>
      <c r="J319" s="22" t="n">
        <v>1</v>
      </c>
      <c r="K319" s="22" t="n">
        <v>57</v>
      </c>
      <c r="L319" s="25" t="n">
        <v>10.4</v>
      </c>
      <c r="M319" s="25" t="n">
        <v>592.8</v>
      </c>
      <c r="N319" s="25" t="n">
        <v>76.12</v>
      </c>
      <c r="O319" s="25" t="n">
        <v>668.92</v>
      </c>
      <c r="P319" s="22" t="s">
        <v>11407</v>
      </c>
      <c r="Q319" s="23" t="n">
        <v>46249</v>
      </c>
      <c r="R319" s="22" t="n">
        <f aca="false">I319*J319</f>
        <v>57</v>
      </c>
      <c r="S319" s="25" t="n">
        <f aca="false">K319-R319</f>
        <v>0</v>
      </c>
      <c r="T319" s="25" t="n">
        <f aca="false">K319*L319</f>
        <v>592.8</v>
      </c>
      <c r="U319" s="25" t="n">
        <f aca="false">M319-T319</f>
        <v>0</v>
      </c>
      <c r="V319" s="25" t="n">
        <f aca="false">M319+N319</f>
        <v>668.92</v>
      </c>
      <c r="W319" s="25" t="n">
        <f aca="false">O319-V319</f>
        <v>0</v>
      </c>
      <c r="X319" s="22" t="str">
        <f aca="false">IF(OR(ABS(S319)&gt;0.005,ABS(U319)&gt;0.005,ABS(W319)&gt;0.005),"Subledger arithmetic error","OK")</f>
        <v>OK</v>
      </c>
      <c r="Y319" s="22" t="str">
        <f aca="false">IF(X319="OK","","Priority 3")</f>
        <v/>
      </c>
    </row>
    <row r="320" customFormat="false" ht="15" hidden="false" customHeight="false" outlineLevel="0" collapsed="false">
      <c r="A320" s="22" t="s">
        <v>12043</v>
      </c>
      <c r="B320" s="23" t="n">
        <v>46235</v>
      </c>
      <c r="C320" s="22" t="s">
        <v>12044</v>
      </c>
      <c r="D320" s="22" t="s">
        <v>4209</v>
      </c>
      <c r="E320" s="22" t="s">
        <v>7441</v>
      </c>
      <c r="F320" s="22" t="s">
        <v>159</v>
      </c>
      <c r="G320" s="22" t="s">
        <v>8601</v>
      </c>
      <c r="H320" s="22" t="s">
        <v>11406</v>
      </c>
      <c r="I320" s="22" t="n">
        <v>32</v>
      </c>
      <c r="J320" s="22" t="n">
        <v>1</v>
      </c>
      <c r="K320" s="22" t="n">
        <v>32</v>
      </c>
      <c r="L320" s="25" t="n">
        <v>10.4</v>
      </c>
      <c r="M320" s="25" t="n">
        <v>332.8</v>
      </c>
      <c r="N320" s="25" t="n">
        <v>42.73</v>
      </c>
      <c r="O320" s="25" t="n">
        <v>375.53</v>
      </c>
      <c r="P320" s="22" t="s">
        <v>11407</v>
      </c>
      <c r="Q320" s="23" t="n">
        <v>46249</v>
      </c>
      <c r="R320" s="22" t="n">
        <f aca="false">I320*J320</f>
        <v>32</v>
      </c>
      <c r="S320" s="25" t="n">
        <f aca="false">K320-R320</f>
        <v>0</v>
      </c>
      <c r="T320" s="25" t="n">
        <f aca="false">K320*L320</f>
        <v>332.8</v>
      </c>
      <c r="U320" s="25" t="n">
        <f aca="false">M320-T320</f>
        <v>0</v>
      </c>
      <c r="V320" s="25" t="n">
        <f aca="false">M320+N320</f>
        <v>375.53</v>
      </c>
      <c r="W320" s="25" t="n">
        <f aca="false">O320-V320</f>
        <v>0</v>
      </c>
      <c r="X320" s="22" t="str">
        <f aca="false">IF(OR(ABS(S320)&gt;0.005,ABS(U320)&gt;0.005,ABS(W320)&gt;0.005),"Subledger arithmetic error","OK")</f>
        <v>OK</v>
      </c>
      <c r="Y320" s="22" t="str">
        <f aca="false">IF(X320="OK","","Priority 3")</f>
        <v/>
      </c>
    </row>
    <row r="321" customFormat="false" ht="15" hidden="false" customHeight="false" outlineLevel="0" collapsed="false">
      <c r="A321" s="22" t="s">
        <v>12045</v>
      </c>
      <c r="B321" s="23" t="n">
        <v>46235</v>
      </c>
      <c r="C321" s="22" t="s">
        <v>12046</v>
      </c>
      <c r="D321" s="22" t="s">
        <v>4705</v>
      </c>
      <c r="E321" s="22" t="s">
        <v>7442</v>
      </c>
      <c r="F321" s="22" t="s">
        <v>159</v>
      </c>
      <c r="G321" s="22" t="s">
        <v>8601</v>
      </c>
      <c r="H321" s="22" t="s">
        <v>11406</v>
      </c>
      <c r="I321" s="22" t="n">
        <v>37</v>
      </c>
      <c r="J321" s="22" t="n">
        <v>1</v>
      </c>
      <c r="K321" s="22" t="n">
        <v>37</v>
      </c>
      <c r="L321" s="25" t="n">
        <v>10.4</v>
      </c>
      <c r="M321" s="25" t="n">
        <v>384.8</v>
      </c>
      <c r="N321" s="25" t="n">
        <v>49.41</v>
      </c>
      <c r="O321" s="25" t="n">
        <v>434.21</v>
      </c>
      <c r="P321" s="22" t="s">
        <v>11407</v>
      </c>
      <c r="Q321" s="23" t="n">
        <v>46249</v>
      </c>
      <c r="R321" s="22" t="n">
        <f aca="false">I321*J321</f>
        <v>37</v>
      </c>
      <c r="S321" s="25" t="n">
        <f aca="false">K321-R321</f>
        <v>0</v>
      </c>
      <c r="T321" s="25" t="n">
        <f aca="false">K321*L321</f>
        <v>384.8</v>
      </c>
      <c r="U321" s="25" t="n">
        <f aca="false">M321-T321</f>
        <v>0</v>
      </c>
      <c r="V321" s="25" t="n">
        <f aca="false">M321+N321</f>
        <v>434.21</v>
      </c>
      <c r="W321" s="25" t="n">
        <f aca="false">O321-V321</f>
        <v>0</v>
      </c>
      <c r="X321" s="22" t="str">
        <f aca="false">IF(OR(ABS(S321)&gt;0.005,ABS(U321)&gt;0.005,ABS(W321)&gt;0.005),"Subledger arithmetic error","OK")</f>
        <v>OK</v>
      </c>
      <c r="Y321" s="22" t="str">
        <f aca="false">IF(X321="OK","","Priority 3")</f>
        <v/>
      </c>
    </row>
    <row r="322" customFormat="false" ht="15" hidden="false" customHeight="false" outlineLevel="0" collapsed="false">
      <c r="A322" s="22" t="s">
        <v>12047</v>
      </c>
      <c r="B322" s="23" t="n">
        <v>46235</v>
      </c>
      <c r="C322" s="22" t="s">
        <v>12048</v>
      </c>
      <c r="D322" s="22" t="s">
        <v>3195</v>
      </c>
      <c r="E322" s="22" t="s">
        <v>7443</v>
      </c>
      <c r="F322" s="22" t="s">
        <v>159</v>
      </c>
      <c r="G322" s="22" t="s">
        <v>8601</v>
      </c>
      <c r="H322" s="22" t="s">
        <v>11406</v>
      </c>
      <c r="I322" s="22" t="n">
        <v>56</v>
      </c>
      <c r="J322" s="22" t="n">
        <v>1</v>
      </c>
      <c r="K322" s="22" t="n">
        <v>56</v>
      </c>
      <c r="L322" s="25" t="n">
        <v>10.4</v>
      </c>
      <c r="M322" s="25" t="n">
        <v>582.4</v>
      </c>
      <c r="N322" s="25" t="n">
        <v>74.78</v>
      </c>
      <c r="O322" s="25" t="n">
        <v>657.18</v>
      </c>
      <c r="P322" s="22" t="s">
        <v>11407</v>
      </c>
      <c r="Q322" s="23" t="n">
        <v>46249</v>
      </c>
      <c r="R322" s="22" t="n">
        <f aca="false">I322*J322</f>
        <v>56</v>
      </c>
      <c r="S322" s="25" t="n">
        <f aca="false">K322-R322</f>
        <v>0</v>
      </c>
      <c r="T322" s="25" t="n">
        <f aca="false">K322*L322</f>
        <v>582.4</v>
      </c>
      <c r="U322" s="25" t="n">
        <f aca="false">M322-T322</f>
        <v>0</v>
      </c>
      <c r="V322" s="25" t="n">
        <f aca="false">M322+N322</f>
        <v>657.18</v>
      </c>
      <c r="W322" s="25" t="n">
        <f aca="false">O322-V322</f>
        <v>0</v>
      </c>
      <c r="X322" s="22" t="str">
        <f aca="false">IF(OR(ABS(S322)&gt;0.005,ABS(U322)&gt;0.005,ABS(W322)&gt;0.005),"Subledger arithmetic error","OK")</f>
        <v>OK</v>
      </c>
      <c r="Y322" s="22" t="str">
        <f aca="false">IF(X322="OK","","Priority 3")</f>
        <v/>
      </c>
    </row>
    <row r="323" customFormat="false" ht="15" hidden="false" customHeight="false" outlineLevel="0" collapsed="false">
      <c r="A323" s="22" t="s">
        <v>12049</v>
      </c>
      <c r="B323" s="23" t="n">
        <v>46235</v>
      </c>
      <c r="C323" s="22" t="s">
        <v>12050</v>
      </c>
      <c r="D323" s="22" t="s">
        <v>202</v>
      </c>
      <c r="E323" s="22" t="s">
        <v>7445</v>
      </c>
      <c r="F323" s="22" t="s">
        <v>159</v>
      </c>
      <c r="G323" s="22" t="s">
        <v>8601</v>
      </c>
      <c r="H323" s="22" t="s">
        <v>11406</v>
      </c>
      <c r="I323" s="22" t="n">
        <v>44</v>
      </c>
      <c r="J323" s="22" t="n">
        <v>1</v>
      </c>
      <c r="K323" s="22" t="n">
        <v>44</v>
      </c>
      <c r="L323" s="25" t="n">
        <v>10.4</v>
      </c>
      <c r="M323" s="25" t="n">
        <v>457.6</v>
      </c>
      <c r="N323" s="25" t="n">
        <v>58.76</v>
      </c>
      <c r="O323" s="25" t="n">
        <v>516.36</v>
      </c>
      <c r="P323" s="22" t="s">
        <v>11407</v>
      </c>
      <c r="Q323" s="23" t="n">
        <v>46249</v>
      </c>
      <c r="R323" s="22" t="n">
        <f aca="false">I323*J323</f>
        <v>44</v>
      </c>
      <c r="S323" s="25" t="n">
        <f aca="false">K323-R323</f>
        <v>0</v>
      </c>
      <c r="T323" s="25" t="n">
        <f aca="false">K323*L323</f>
        <v>457.6</v>
      </c>
      <c r="U323" s="25" t="n">
        <f aca="false">M323-T323</f>
        <v>0</v>
      </c>
      <c r="V323" s="25" t="n">
        <f aca="false">M323+N323</f>
        <v>516.36</v>
      </c>
      <c r="W323" s="25" t="n">
        <f aca="false">O323-V323</f>
        <v>0</v>
      </c>
      <c r="X323" s="22" t="str">
        <f aca="false">IF(OR(ABS(S323)&gt;0.005,ABS(U323)&gt;0.005,ABS(W323)&gt;0.005),"Subledger arithmetic error","OK")</f>
        <v>OK</v>
      </c>
      <c r="Y323" s="22" t="str">
        <f aca="false">IF(X323="OK","","Priority 3")</f>
        <v/>
      </c>
    </row>
    <row r="324" customFormat="false" ht="15" hidden="false" customHeight="false" outlineLevel="0" collapsed="false">
      <c r="A324" s="22" t="s">
        <v>12051</v>
      </c>
      <c r="B324" s="23" t="n">
        <v>46235</v>
      </c>
      <c r="C324" s="22" t="s">
        <v>12052</v>
      </c>
      <c r="D324" s="22" t="s">
        <v>6138</v>
      </c>
      <c r="E324" s="22" t="s">
        <v>7447</v>
      </c>
      <c r="F324" s="22" t="s">
        <v>159</v>
      </c>
      <c r="G324" s="22" t="s">
        <v>8601</v>
      </c>
      <c r="H324" s="22" t="s">
        <v>11406</v>
      </c>
      <c r="I324" s="22" t="n">
        <v>56</v>
      </c>
      <c r="J324" s="22" t="n">
        <v>1</v>
      </c>
      <c r="K324" s="22" t="n">
        <v>56</v>
      </c>
      <c r="L324" s="25" t="n">
        <v>10.4</v>
      </c>
      <c r="M324" s="25" t="n">
        <v>582.4</v>
      </c>
      <c r="N324" s="25" t="n">
        <v>74.78</v>
      </c>
      <c r="O324" s="25" t="n">
        <v>657.18</v>
      </c>
      <c r="P324" s="22" t="s">
        <v>11407</v>
      </c>
      <c r="Q324" s="23" t="n">
        <v>46249</v>
      </c>
      <c r="R324" s="22" t="n">
        <f aca="false">I324*J324</f>
        <v>56</v>
      </c>
      <c r="S324" s="25" t="n">
        <f aca="false">K324-R324</f>
        <v>0</v>
      </c>
      <c r="T324" s="25" t="n">
        <f aca="false">K324*L324</f>
        <v>582.4</v>
      </c>
      <c r="U324" s="25" t="n">
        <f aca="false">M324-T324</f>
        <v>0</v>
      </c>
      <c r="V324" s="25" t="n">
        <f aca="false">M324+N324</f>
        <v>657.18</v>
      </c>
      <c r="W324" s="25" t="n">
        <f aca="false">O324-V324</f>
        <v>0</v>
      </c>
      <c r="X324" s="22" t="str">
        <f aca="false">IF(OR(ABS(S324)&gt;0.005,ABS(U324)&gt;0.005,ABS(W324)&gt;0.005),"Subledger arithmetic error","OK")</f>
        <v>OK</v>
      </c>
      <c r="Y324" s="22" t="str">
        <f aca="false">IF(X324="OK","","Priority 3")</f>
        <v/>
      </c>
    </row>
    <row r="325" customFormat="false" ht="15" hidden="false" customHeight="false" outlineLevel="0" collapsed="false">
      <c r="A325" s="22" t="s">
        <v>12053</v>
      </c>
      <c r="B325" s="23" t="n">
        <v>46235</v>
      </c>
      <c r="C325" s="22" t="s">
        <v>12054</v>
      </c>
      <c r="D325" s="22" t="s">
        <v>5754</v>
      </c>
      <c r="E325" s="22" t="s">
        <v>7449</v>
      </c>
      <c r="F325" s="22" t="s">
        <v>159</v>
      </c>
      <c r="G325" s="22" t="s">
        <v>8601</v>
      </c>
      <c r="H325" s="22" t="s">
        <v>11406</v>
      </c>
      <c r="I325" s="22" t="n">
        <v>24</v>
      </c>
      <c r="J325" s="22" t="n">
        <v>1</v>
      </c>
      <c r="K325" s="22" t="n">
        <v>24</v>
      </c>
      <c r="L325" s="25" t="n">
        <v>10.4</v>
      </c>
      <c r="M325" s="25" t="n">
        <v>249.6</v>
      </c>
      <c r="N325" s="25" t="n">
        <v>32.05</v>
      </c>
      <c r="O325" s="25" t="n">
        <v>281.65</v>
      </c>
      <c r="P325" s="22" t="s">
        <v>11407</v>
      </c>
      <c r="Q325" s="23" t="n">
        <v>46249</v>
      </c>
      <c r="R325" s="22" t="n">
        <f aca="false">I325*J325</f>
        <v>24</v>
      </c>
      <c r="S325" s="25" t="n">
        <f aca="false">K325-R325</f>
        <v>0</v>
      </c>
      <c r="T325" s="25" t="n">
        <f aca="false">K325*L325</f>
        <v>249.6</v>
      </c>
      <c r="U325" s="25" t="n">
        <f aca="false">M325-T325</f>
        <v>0</v>
      </c>
      <c r="V325" s="25" t="n">
        <f aca="false">M325+N325</f>
        <v>281.65</v>
      </c>
      <c r="W325" s="25" t="n">
        <f aca="false">O325-V325</f>
        <v>0</v>
      </c>
      <c r="X325" s="22" t="str">
        <f aca="false">IF(OR(ABS(S325)&gt;0.005,ABS(U325)&gt;0.005,ABS(W325)&gt;0.005),"Subledger arithmetic error","OK")</f>
        <v>OK</v>
      </c>
      <c r="Y325" s="22" t="str">
        <f aca="false">IF(X325="OK","","Priority 3")</f>
        <v/>
      </c>
    </row>
    <row r="326" customFormat="false" ht="15" hidden="false" customHeight="false" outlineLevel="0" collapsed="false">
      <c r="A326" s="22" t="s">
        <v>12055</v>
      </c>
      <c r="B326" s="23" t="n">
        <v>46235</v>
      </c>
      <c r="C326" s="22" t="s">
        <v>12056</v>
      </c>
      <c r="D326" s="22" t="s">
        <v>5942</v>
      </c>
      <c r="E326" s="22" t="s">
        <v>7450</v>
      </c>
      <c r="F326" s="22" t="s">
        <v>159</v>
      </c>
      <c r="G326" s="22" t="s">
        <v>8601</v>
      </c>
      <c r="H326" s="22" t="s">
        <v>11406</v>
      </c>
      <c r="I326" s="22" t="n">
        <v>36</v>
      </c>
      <c r="J326" s="22" t="n">
        <v>1</v>
      </c>
      <c r="K326" s="22" t="n">
        <v>36</v>
      </c>
      <c r="L326" s="25" t="n">
        <v>10.4</v>
      </c>
      <c r="M326" s="25" t="n">
        <v>374.4</v>
      </c>
      <c r="N326" s="25" t="n">
        <v>48.07</v>
      </c>
      <c r="O326" s="25" t="n">
        <v>422.47</v>
      </c>
      <c r="P326" s="22" t="s">
        <v>11407</v>
      </c>
      <c r="Q326" s="23" t="n">
        <v>46249</v>
      </c>
      <c r="R326" s="22" t="n">
        <f aca="false">I326*J326</f>
        <v>36</v>
      </c>
      <c r="S326" s="25" t="n">
        <f aca="false">K326-R326</f>
        <v>0</v>
      </c>
      <c r="T326" s="25" t="n">
        <f aca="false">K326*L326</f>
        <v>374.4</v>
      </c>
      <c r="U326" s="25" t="n">
        <f aca="false">M326-T326</f>
        <v>0</v>
      </c>
      <c r="V326" s="25" t="n">
        <f aca="false">M326+N326</f>
        <v>422.47</v>
      </c>
      <c r="W326" s="25" t="n">
        <f aca="false">O326-V326</f>
        <v>0</v>
      </c>
      <c r="X326" s="22" t="str">
        <f aca="false">IF(OR(ABS(S326)&gt;0.005,ABS(U326)&gt;0.005,ABS(W326)&gt;0.005),"Subledger arithmetic error","OK")</f>
        <v>OK</v>
      </c>
      <c r="Y326" s="22" t="str">
        <f aca="false">IF(X326="OK","","Priority 3")</f>
        <v/>
      </c>
    </row>
    <row r="327" customFormat="false" ht="15" hidden="false" customHeight="false" outlineLevel="0" collapsed="false">
      <c r="A327" s="22" t="s">
        <v>12057</v>
      </c>
      <c r="B327" s="23" t="n">
        <v>46235</v>
      </c>
      <c r="C327" s="22" t="s">
        <v>12058</v>
      </c>
      <c r="D327" s="22" t="s">
        <v>5453</v>
      </c>
      <c r="E327" s="22" t="s">
        <v>7452</v>
      </c>
      <c r="F327" s="22" t="s">
        <v>159</v>
      </c>
      <c r="G327" s="22" t="s">
        <v>8601</v>
      </c>
      <c r="H327" s="22" t="s">
        <v>11406</v>
      </c>
      <c r="I327" s="22" t="n">
        <v>32</v>
      </c>
      <c r="J327" s="22" t="n">
        <v>1</v>
      </c>
      <c r="K327" s="22" t="n">
        <v>32</v>
      </c>
      <c r="L327" s="25" t="n">
        <v>10.4</v>
      </c>
      <c r="M327" s="25" t="n">
        <v>332.8</v>
      </c>
      <c r="N327" s="25" t="n">
        <v>42.73</v>
      </c>
      <c r="O327" s="25" t="n">
        <v>375.53</v>
      </c>
      <c r="P327" s="22" t="s">
        <v>11407</v>
      </c>
      <c r="Q327" s="23" t="n">
        <v>46249</v>
      </c>
      <c r="R327" s="22" t="n">
        <f aca="false">I327*J327</f>
        <v>32</v>
      </c>
      <c r="S327" s="25" t="n">
        <f aca="false">K327-R327</f>
        <v>0</v>
      </c>
      <c r="T327" s="25" t="n">
        <f aca="false">K327*L327</f>
        <v>332.8</v>
      </c>
      <c r="U327" s="25" t="n">
        <f aca="false">M327-T327</f>
        <v>0</v>
      </c>
      <c r="V327" s="25" t="n">
        <f aca="false">M327+N327</f>
        <v>375.53</v>
      </c>
      <c r="W327" s="25" t="n">
        <f aca="false">O327-V327</f>
        <v>0</v>
      </c>
      <c r="X327" s="22" t="str">
        <f aca="false">IF(OR(ABS(S327)&gt;0.005,ABS(U327)&gt;0.005,ABS(W327)&gt;0.005),"Subledger arithmetic error","OK")</f>
        <v>OK</v>
      </c>
      <c r="Y327" s="22" t="str">
        <f aca="false">IF(X327="OK","","Priority 3")</f>
        <v/>
      </c>
    </row>
    <row r="328" customFormat="false" ht="15" hidden="false" customHeight="false" outlineLevel="0" collapsed="false">
      <c r="A328" s="22" t="s">
        <v>12059</v>
      </c>
      <c r="B328" s="23" t="n">
        <v>46235</v>
      </c>
      <c r="C328" s="22" t="s">
        <v>12060</v>
      </c>
      <c r="D328" s="22" t="s">
        <v>5158</v>
      </c>
      <c r="E328" s="22" t="s">
        <v>7453</v>
      </c>
      <c r="F328" s="22" t="s">
        <v>159</v>
      </c>
      <c r="G328" s="22" t="s">
        <v>8601</v>
      </c>
      <c r="H328" s="22" t="s">
        <v>11406</v>
      </c>
      <c r="I328" s="22" t="n">
        <v>34</v>
      </c>
      <c r="J328" s="22" t="n">
        <v>1</v>
      </c>
      <c r="K328" s="22" t="n">
        <v>34</v>
      </c>
      <c r="L328" s="25" t="n">
        <v>10.4</v>
      </c>
      <c r="M328" s="25" t="n">
        <v>353.6</v>
      </c>
      <c r="N328" s="25" t="n">
        <v>45.4</v>
      </c>
      <c r="O328" s="25" t="n">
        <v>399</v>
      </c>
      <c r="P328" s="22" t="s">
        <v>11407</v>
      </c>
      <c r="Q328" s="23" t="n">
        <v>46249</v>
      </c>
      <c r="R328" s="22" t="n">
        <f aca="false">I328*J328</f>
        <v>34</v>
      </c>
      <c r="S328" s="25" t="n">
        <f aca="false">K328-R328</f>
        <v>0</v>
      </c>
      <c r="T328" s="25" t="n">
        <f aca="false">K328*L328</f>
        <v>353.6</v>
      </c>
      <c r="U328" s="25" t="n">
        <f aca="false">M328-T328</f>
        <v>0</v>
      </c>
      <c r="V328" s="25" t="n">
        <f aca="false">M328+N328</f>
        <v>399</v>
      </c>
      <c r="W328" s="25" t="n">
        <f aca="false">O328-V328</f>
        <v>0</v>
      </c>
      <c r="X328" s="22" t="str">
        <f aca="false">IF(OR(ABS(S328)&gt;0.005,ABS(U328)&gt;0.005,ABS(W328)&gt;0.005),"Subledger arithmetic error","OK")</f>
        <v>OK</v>
      </c>
      <c r="Y328" s="22" t="str">
        <f aca="false">IF(X328="OK","","Priority 3")</f>
        <v/>
      </c>
    </row>
    <row r="329" customFormat="false" ht="15" hidden="false" customHeight="false" outlineLevel="0" collapsed="false">
      <c r="A329" s="22" t="s">
        <v>12061</v>
      </c>
      <c r="B329" s="23" t="n">
        <v>46235</v>
      </c>
      <c r="C329" s="22" t="s">
        <v>12062</v>
      </c>
      <c r="D329" s="22" t="s">
        <v>6502</v>
      </c>
      <c r="E329" s="22" t="s">
        <v>7454</v>
      </c>
      <c r="F329" s="22" t="s">
        <v>159</v>
      </c>
      <c r="G329" s="22" t="s">
        <v>8601</v>
      </c>
      <c r="H329" s="22" t="s">
        <v>11406</v>
      </c>
      <c r="I329" s="22" t="n">
        <v>33</v>
      </c>
      <c r="J329" s="22" t="n">
        <v>1</v>
      </c>
      <c r="K329" s="22" t="n">
        <v>33</v>
      </c>
      <c r="L329" s="25" t="n">
        <v>10.4</v>
      </c>
      <c r="M329" s="25" t="n">
        <v>343.2</v>
      </c>
      <c r="N329" s="25" t="n">
        <v>44.07</v>
      </c>
      <c r="O329" s="25" t="n">
        <v>387.27</v>
      </c>
      <c r="P329" s="22" t="s">
        <v>11407</v>
      </c>
      <c r="Q329" s="23" t="n">
        <v>46249</v>
      </c>
      <c r="R329" s="22" t="n">
        <f aca="false">I329*J329</f>
        <v>33</v>
      </c>
      <c r="S329" s="25" t="n">
        <f aca="false">K329-R329</f>
        <v>0</v>
      </c>
      <c r="T329" s="25" t="n">
        <f aca="false">K329*L329</f>
        <v>343.2</v>
      </c>
      <c r="U329" s="25" t="n">
        <f aca="false">M329-T329</f>
        <v>0</v>
      </c>
      <c r="V329" s="25" t="n">
        <f aca="false">M329+N329</f>
        <v>387.27</v>
      </c>
      <c r="W329" s="25" t="n">
        <f aca="false">O329-V329</f>
        <v>0</v>
      </c>
      <c r="X329" s="22" t="str">
        <f aca="false">IF(OR(ABS(S329)&gt;0.005,ABS(U329)&gt;0.005,ABS(W329)&gt;0.005),"Subledger arithmetic error","OK")</f>
        <v>OK</v>
      </c>
      <c r="Y329" s="22" t="str">
        <f aca="false">IF(X329="OK","","Priority 3")</f>
        <v/>
      </c>
    </row>
    <row r="330" customFormat="false" ht="15" hidden="false" customHeight="false" outlineLevel="0" collapsed="false">
      <c r="A330" s="22" t="s">
        <v>12063</v>
      </c>
      <c r="B330" s="23" t="n">
        <v>46235</v>
      </c>
      <c r="C330" s="22" t="s">
        <v>12064</v>
      </c>
      <c r="D330" s="22" t="s">
        <v>776</v>
      </c>
      <c r="E330" s="22" t="s">
        <v>7456</v>
      </c>
      <c r="F330" s="22" t="s">
        <v>159</v>
      </c>
      <c r="G330" s="22" t="s">
        <v>8601</v>
      </c>
      <c r="H330" s="22" t="s">
        <v>11406</v>
      </c>
      <c r="I330" s="22" t="n">
        <v>28</v>
      </c>
      <c r="J330" s="22" t="n">
        <v>1</v>
      </c>
      <c r="K330" s="22" t="n">
        <v>28</v>
      </c>
      <c r="L330" s="25" t="n">
        <v>10.4</v>
      </c>
      <c r="M330" s="25" t="n">
        <v>291.2</v>
      </c>
      <c r="N330" s="25" t="n">
        <v>37.39</v>
      </c>
      <c r="O330" s="25" t="n">
        <v>328.59</v>
      </c>
      <c r="P330" s="22" t="s">
        <v>11407</v>
      </c>
      <c r="Q330" s="23" t="n">
        <v>46249</v>
      </c>
      <c r="R330" s="22" t="n">
        <f aca="false">I330*J330</f>
        <v>28</v>
      </c>
      <c r="S330" s="25" t="n">
        <f aca="false">K330-R330</f>
        <v>0</v>
      </c>
      <c r="T330" s="25" t="n">
        <f aca="false">K330*L330</f>
        <v>291.2</v>
      </c>
      <c r="U330" s="25" t="n">
        <f aca="false">M330-T330</f>
        <v>0</v>
      </c>
      <c r="V330" s="25" t="n">
        <f aca="false">M330+N330</f>
        <v>328.59</v>
      </c>
      <c r="W330" s="25" t="n">
        <f aca="false">O330-V330</f>
        <v>0</v>
      </c>
      <c r="X330" s="22" t="str">
        <f aca="false">IF(OR(ABS(S330)&gt;0.005,ABS(U330)&gt;0.005,ABS(W330)&gt;0.005),"Subledger arithmetic error","OK")</f>
        <v>OK</v>
      </c>
      <c r="Y330" s="22" t="str">
        <f aca="false">IF(X330="OK","","Priority 3")</f>
        <v/>
      </c>
    </row>
    <row r="331" customFormat="false" ht="15" hidden="false" customHeight="false" outlineLevel="0" collapsed="false">
      <c r="A331" s="22" t="s">
        <v>12065</v>
      </c>
      <c r="B331" s="23" t="n">
        <v>46235</v>
      </c>
      <c r="C331" s="22" t="s">
        <v>12066</v>
      </c>
      <c r="D331" s="22" t="s">
        <v>6396</v>
      </c>
      <c r="E331" s="22" t="s">
        <v>7460</v>
      </c>
      <c r="F331" s="22" t="s">
        <v>159</v>
      </c>
      <c r="G331" s="22" t="s">
        <v>8601</v>
      </c>
      <c r="H331" s="22" t="s">
        <v>11406</v>
      </c>
      <c r="I331" s="22" t="n">
        <v>36</v>
      </c>
      <c r="J331" s="22" t="n">
        <v>1</v>
      </c>
      <c r="K331" s="22" t="n">
        <v>36</v>
      </c>
      <c r="L331" s="25" t="n">
        <v>10.4</v>
      </c>
      <c r="M331" s="25" t="n">
        <v>374.4</v>
      </c>
      <c r="N331" s="25" t="n">
        <v>48.07</v>
      </c>
      <c r="O331" s="25" t="n">
        <v>422.47</v>
      </c>
      <c r="P331" s="22" t="s">
        <v>11407</v>
      </c>
      <c r="Q331" s="23" t="n">
        <v>46249</v>
      </c>
      <c r="R331" s="22" t="n">
        <f aca="false">I331*J331</f>
        <v>36</v>
      </c>
      <c r="S331" s="25" t="n">
        <f aca="false">K331-R331</f>
        <v>0</v>
      </c>
      <c r="T331" s="25" t="n">
        <f aca="false">K331*L331</f>
        <v>374.4</v>
      </c>
      <c r="U331" s="25" t="n">
        <f aca="false">M331-T331</f>
        <v>0</v>
      </c>
      <c r="V331" s="25" t="n">
        <f aca="false">M331+N331</f>
        <v>422.47</v>
      </c>
      <c r="W331" s="25" t="n">
        <f aca="false">O331-V331</f>
        <v>0</v>
      </c>
      <c r="X331" s="22" t="str">
        <f aca="false">IF(OR(ABS(S331)&gt;0.005,ABS(U331)&gt;0.005,ABS(W331)&gt;0.005),"Subledger arithmetic error","OK")</f>
        <v>OK</v>
      </c>
      <c r="Y331" s="22" t="str">
        <f aca="false">IF(X331="OK","","Priority 3")</f>
        <v/>
      </c>
    </row>
    <row r="332" customFormat="false" ht="15" hidden="false" customHeight="false" outlineLevel="0" collapsed="false">
      <c r="A332" s="22" t="s">
        <v>12067</v>
      </c>
      <c r="B332" s="23" t="n">
        <v>46235</v>
      </c>
      <c r="C332" s="22" t="s">
        <v>12068</v>
      </c>
      <c r="D332" s="22" t="s">
        <v>4842</v>
      </c>
      <c r="E332" s="22" t="s">
        <v>7462</v>
      </c>
      <c r="F332" s="22" t="s">
        <v>159</v>
      </c>
      <c r="G332" s="22" t="s">
        <v>8601</v>
      </c>
      <c r="H332" s="22" t="s">
        <v>11406</v>
      </c>
      <c r="I332" s="22" t="n">
        <v>31</v>
      </c>
      <c r="J332" s="22" t="n">
        <v>1</v>
      </c>
      <c r="K332" s="22" t="n">
        <v>31</v>
      </c>
      <c r="L332" s="25" t="n">
        <v>10.4</v>
      </c>
      <c r="M332" s="25" t="n">
        <v>322.4</v>
      </c>
      <c r="N332" s="25" t="n">
        <v>41.4</v>
      </c>
      <c r="O332" s="25" t="n">
        <v>363.8</v>
      </c>
      <c r="P332" s="22" t="s">
        <v>11407</v>
      </c>
      <c r="Q332" s="23" t="n">
        <v>46249</v>
      </c>
      <c r="R332" s="22" t="n">
        <f aca="false">I332*J332</f>
        <v>31</v>
      </c>
      <c r="S332" s="25" t="n">
        <f aca="false">K332-R332</f>
        <v>0</v>
      </c>
      <c r="T332" s="25" t="n">
        <f aca="false">K332*L332</f>
        <v>322.4</v>
      </c>
      <c r="U332" s="25" t="n">
        <f aca="false">M332-T332</f>
        <v>0</v>
      </c>
      <c r="V332" s="25" t="n">
        <f aca="false">M332+N332</f>
        <v>363.8</v>
      </c>
      <c r="W332" s="25" t="n">
        <f aca="false">O332-V332</f>
        <v>0</v>
      </c>
      <c r="X332" s="22" t="str">
        <f aca="false">IF(OR(ABS(S332)&gt;0.005,ABS(U332)&gt;0.005,ABS(W332)&gt;0.005),"Subledger arithmetic error","OK")</f>
        <v>OK</v>
      </c>
      <c r="Y332" s="22" t="str">
        <f aca="false">IF(X332="OK","","Priority 3")</f>
        <v/>
      </c>
    </row>
    <row r="333" customFormat="false" ht="15" hidden="false" customHeight="false" outlineLevel="0" collapsed="false">
      <c r="A333" s="22" t="s">
        <v>12069</v>
      </c>
      <c r="B333" s="23" t="n">
        <v>46235</v>
      </c>
      <c r="C333" s="22" t="s">
        <v>12070</v>
      </c>
      <c r="D333" s="22" t="s">
        <v>4355</v>
      </c>
      <c r="E333" s="22" t="s">
        <v>7463</v>
      </c>
      <c r="F333" s="22" t="s">
        <v>159</v>
      </c>
      <c r="G333" s="22" t="s">
        <v>8601</v>
      </c>
      <c r="H333" s="22" t="s">
        <v>11406</v>
      </c>
      <c r="I333" s="22" t="n">
        <v>49</v>
      </c>
      <c r="J333" s="22" t="n">
        <v>1</v>
      </c>
      <c r="K333" s="22" t="n">
        <v>49</v>
      </c>
      <c r="L333" s="25" t="n">
        <v>10.4</v>
      </c>
      <c r="M333" s="25" t="n">
        <v>509.6</v>
      </c>
      <c r="N333" s="25" t="n">
        <v>65.43</v>
      </c>
      <c r="O333" s="25" t="n">
        <v>575.03</v>
      </c>
      <c r="P333" s="22" t="s">
        <v>11407</v>
      </c>
      <c r="Q333" s="23" t="n">
        <v>46249</v>
      </c>
      <c r="R333" s="22" t="n">
        <f aca="false">I333*J333</f>
        <v>49</v>
      </c>
      <c r="S333" s="25" t="n">
        <f aca="false">K333-R333</f>
        <v>0</v>
      </c>
      <c r="T333" s="25" t="n">
        <f aca="false">K333*L333</f>
        <v>509.6</v>
      </c>
      <c r="U333" s="25" t="n">
        <f aca="false">M333-T333</f>
        <v>0</v>
      </c>
      <c r="V333" s="25" t="n">
        <f aca="false">M333+N333</f>
        <v>575.03</v>
      </c>
      <c r="W333" s="25" t="n">
        <f aca="false">O333-V333</f>
        <v>0</v>
      </c>
      <c r="X333" s="22" t="str">
        <f aca="false">IF(OR(ABS(S333)&gt;0.005,ABS(U333)&gt;0.005,ABS(W333)&gt;0.005),"Subledger arithmetic error","OK")</f>
        <v>OK</v>
      </c>
      <c r="Y333" s="22" t="str">
        <f aca="false">IF(X333="OK","","Priority 3")</f>
        <v/>
      </c>
    </row>
    <row r="334" customFormat="false" ht="15" hidden="false" customHeight="false" outlineLevel="0" collapsed="false">
      <c r="A334" s="22" t="s">
        <v>12071</v>
      </c>
      <c r="B334" s="23" t="n">
        <v>46235</v>
      </c>
      <c r="C334" s="22" t="s">
        <v>12072</v>
      </c>
      <c r="D334" s="22" t="s">
        <v>5891</v>
      </c>
      <c r="E334" s="22" t="s">
        <v>7465</v>
      </c>
      <c r="F334" s="22" t="s">
        <v>159</v>
      </c>
      <c r="G334" s="22" t="s">
        <v>8601</v>
      </c>
      <c r="H334" s="22" t="s">
        <v>11406</v>
      </c>
      <c r="I334" s="22" t="n">
        <v>37</v>
      </c>
      <c r="J334" s="22" t="n">
        <v>1</v>
      </c>
      <c r="K334" s="22" t="n">
        <v>37</v>
      </c>
      <c r="L334" s="25" t="n">
        <v>10.4</v>
      </c>
      <c r="M334" s="25" t="n">
        <v>384.8</v>
      </c>
      <c r="N334" s="25" t="n">
        <v>49.41</v>
      </c>
      <c r="O334" s="25" t="n">
        <v>434.21</v>
      </c>
      <c r="P334" s="22" t="s">
        <v>11410</v>
      </c>
      <c r="Q334" s="23" t="n">
        <v>46249</v>
      </c>
      <c r="R334" s="22" t="n">
        <f aca="false">I334*J334</f>
        <v>37</v>
      </c>
      <c r="S334" s="25" t="n">
        <f aca="false">K334-R334</f>
        <v>0</v>
      </c>
      <c r="T334" s="25" t="n">
        <f aca="false">K334*L334</f>
        <v>384.8</v>
      </c>
      <c r="U334" s="25" t="n">
        <f aca="false">M334-T334</f>
        <v>0</v>
      </c>
      <c r="V334" s="25" t="n">
        <f aca="false">M334+N334</f>
        <v>434.21</v>
      </c>
      <c r="W334" s="25" t="n">
        <f aca="false">O334-V334</f>
        <v>0</v>
      </c>
      <c r="X334" s="22" t="str">
        <f aca="false">IF(OR(ABS(S334)&gt;0.005,ABS(U334)&gt;0.005,ABS(W334)&gt;0.005),"Subledger arithmetic error","OK")</f>
        <v>OK</v>
      </c>
      <c r="Y334" s="22" t="str">
        <f aca="false">IF(X334="OK","","Priority 3")</f>
        <v/>
      </c>
    </row>
    <row r="335" customFormat="false" ht="15" hidden="false" customHeight="false" outlineLevel="0" collapsed="false">
      <c r="A335" s="22" t="s">
        <v>12073</v>
      </c>
      <c r="B335" s="23" t="n">
        <v>46235</v>
      </c>
      <c r="C335" s="22" t="s">
        <v>12074</v>
      </c>
      <c r="D335" s="22" t="s">
        <v>2923</v>
      </c>
      <c r="E335" s="22" t="s">
        <v>7467</v>
      </c>
      <c r="F335" s="22" t="s">
        <v>159</v>
      </c>
      <c r="G335" s="22" t="s">
        <v>8601</v>
      </c>
      <c r="H335" s="22" t="s">
        <v>11406</v>
      </c>
      <c r="I335" s="22" t="n">
        <v>41</v>
      </c>
      <c r="J335" s="22" t="n">
        <v>1</v>
      </c>
      <c r="K335" s="22" t="n">
        <v>41</v>
      </c>
      <c r="L335" s="25" t="n">
        <v>10.4</v>
      </c>
      <c r="M335" s="25" t="n">
        <v>426.4</v>
      </c>
      <c r="N335" s="25" t="n">
        <v>54.75</v>
      </c>
      <c r="O335" s="25" t="n">
        <v>481.15</v>
      </c>
      <c r="P335" s="22" t="s">
        <v>11407</v>
      </c>
      <c r="Q335" s="23" t="n">
        <v>46249</v>
      </c>
      <c r="R335" s="22" t="n">
        <f aca="false">I335*J335</f>
        <v>41</v>
      </c>
      <c r="S335" s="25" t="n">
        <f aca="false">K335-R335</f>
        <v>0</v>
      </c>
      <c r="T335" s="25" t="n">
        <f aca="false">K335*L335</f>
        <v>426.4</v>
      </c>
      <c r="U335" s="25" t="n">
        <f aca="false">M335-T335</f>
        <v>0</v>
      </c>
      <c r="V335" s="25" t="n">
        <f aca="false">M335+N335</f>
        <v>481.15</v>
      </c>
      <c r="W335" s="25" t="n">
        <f aca="false">O335-V335</f>
        <v>0</v>
      </c>
      <c r="X335" s="22" t="str">
        <f aca="false">IF(OR(ABS(S335)&gt;0.005,ABS(U335)&gt;0.005,ABS(W335)&gt;0.005),"Subledger arithmetic error","OK")</f>
        <v>OK</v>
      </c>
      <c r="Y335" s="22" t="str">
        <f aca="false">IF(X335="OK","","Priority 3")</f>
        <v/>
      </c>
    </row>
    <row r="336" customFormat="false" ht="15" hidden="false" customHeight="false" outlineLevel="0" collapsed="false">
      <c r="A336" s="22" t="s">
        <v>12075</v>
      </c>
      <c r="B336" s="23" t="n">
        <v>46235</v>
      </c>
      <c r="C336" s="22" t="s">
        <v>12076</v>
      </c>
      <c r="D336" s="22" t="s">
        <v>6208</v>
      </c>
      <c r="E336" s="22" t="s">
        <v>7471</v>
      </c>
      <c r="F336" s="22" t="s">
        <v>159</v>
      </c>
      <c r="G336" s="22" t="s">
        <v>8601</v>
      </c>
      <c r="H336" s="22" t="s">
        <v>11406</v>
      </c>
      <c r="I336" s="22" t="n">
        <v>52</v>
      </c>
      <c r="J336" s="22" t="n">
        <v>1</v>
      </c>
      <c r="K336" s="22" t="n">
        <v>52</v>
      </c>
      <c r="L336" s="25" t="n">
        <v>10.4</v>
      </c>
      <c r="M336" s="25" t="n">
        <v>540.8</v>
      </c>
      <c r="N336" s="25" t="n">
        <v>69.44</v>
      </c>
      <c r="O336" s="25" t="n">
        <v>610.24</v>
      </c>
      <c r="P336" s="22" t="s">
        <v>11407</v>
      </c>
      <c r="Q336" s="23" t="n">
        <v>46249</v>
      </c>
      <c r="R336" s="22" t="n">
        <f aca="false">I336*J336</f>
        <v>52</v>
      </c>
      <c r="S336" s="25" t="n">
        <f aca="false">K336-R336</f>
        <v>0</v>
      </c>
      <c r="T336" s="25" t="n">
        <f aca="false">K336*L336</f>
        <v>540.8</v>
      </c>
      <c r="U336" s="25" t="n">
        <f aca="false">M336-T336</f>
        <v>0</v>
      </c>
      <c r="V336" s="25" t="n">
        <f aca="false">M336+N336</f>
        <v>610.24</v>
      </c>
      <c r="W336" s="25" t="n">
        <f aca="false">O336-V336</f>
        <v>0</v>
      </c>
      <c r="X336" s="22" t="str">
        <f aca="false">IF(OR(ABS(S336)&gt;0.005,ABS(U336)&gt;0.005,ABS(W336)&gt;0.005),"Subledger arithmetic error","OK")</f>
        <v>OK</v>
      </c>
      <c r="Y336" s="22" t="str">
        <f aca="false">IF(X336="OK","","Priority 3")</f>
        <v/>
      </c>
    </row>
    <row r="337" customFormat="false" ht="15" hidden="false" customHeight="false" outlineLevel="0" collapsed="false">
      <c r="A337" s="22" t="s">
        <v>12077</v>
      </c>
      <c r="B337" s="23" t="n">
        <v>46235</v>
      </c>
      <c r="C337" s="22" t="s">
        <v>12078</v>
      </c>
      <c r="D337" s="22" t="s">
        <v>5424</v>
      </c>
      <c r="E337" s="22" t="s">
        <v>7472</v>
      </c>
      <c r="F337" s="22" t="s">
        <v>159</v>
      </c>
      <c r="G337" s="22" t="s">
        <v>8601</v>
      </c>
      <c r="H337" s="22" t="s">
        <v>11406</v>
      </c>
      <c r="I337" s="22" t="n">
        <v>55</v>
      </c>
      <c r="J337" s="22" t="n">
        <v>1</v>
      </c>
      <c r="K337" s="22" t="n">
        <v>55</v>
      </c>
      <c r="L337" s="25" t="n">
        <v>10.4</v>
      </c>
      <c r="M337" s="25" t="n">
        <v>572</v>
      </c>
      <c r="N337" s="25" t="n">
        <v>73.44</v>
      </c>
      <c r="O337" s="25" t="n">
        <v>645.44</v>
      </c>
      <c r="P337" s="22" t="s">
        <v>11407</v>
      </c>
      <c r="Q337" s="23" t="n">
        <v>46249</v>
      </c>
      <c r="R337" s="22" t="n">
        <f aca="false">I337*J337</f>
        <v>55</v>
      </c>
      <c r="S337" s="25" t="n">
        <f aca="false">K337-R337</f>
        <v>0</v>
      </c>
      <c r="T337" s="25" t="n">
        <f aca="false">K337*L337</f>
        <v>572</v>
      </c>
      <c r="U337" s="25" t="n">
        <f aca="false">M337-T337</f>
        <v>0</v>
      </c>
      <c r="V337" s="25" t="n">
        <f aca="false">M337+N337</f>
        <v>645.44</v>
      </c>
      <c r="W337" s="25" t="n">
        <f aca="false">O337-V337</f>
        <v>0</v>
      </c>
      <c r="X337" s="22" t="str">
        <f aca="false">IF(OR(ABS(S337)&gt;0.005,ABS(U337)&gt;0.005,ABS(W337)&gt;0.005),"Subledger arithmetic error","OK")</f>
        <v>OK</v>
      </c>
      <c r="Y337" s="22" t="str">
        <f aca="false">IF(X337="OK","","Priority 3")</f>
        <v/>
      </c>
    </row>
    <row r="338" customFormat="false" ht="15" hidden="false" customHeight="false" outlineLevel="0" collapsed="false">
      <c r="A338" s="22" t="s">
        <v>12079</v>
      </c>
      <c r="B338" s="23" t="n">
        <v>46235</v>
      </c>
      <c r="C338" s="22" t="s">
        <v>12080</v>
      </c>
      <c r="D338" s="22" t="s">
        <v>5044</v>
      </c>
      <c r="E338" s="22" t="s">
        <v>7473</v>
      </c>
      <c r="F338" s="22" t="s">
        <v>159</v>
      </c>
      <c r="G338" s="22" t="s">
        <v>8601</v>
      </c>
      <c r="H338" s="22" t="s">
        <v>11406</v>
      </c>
      <c r="I338" s="22" t="n">
        <v>40</v>
      </c>
      <c r="J338" s="22" t="n">
        <v>1</v>
      </c>
      <c r="K338" s="22" t="n">
        <v>40</v>
      </c>
      <c r="L338" s="25" t="n">
        <v>10.4</v>
      </c>
      <c r="M338" s="25" t="n">
        <v>416</v>
      </c>
      <c r="N338" s="25" t="n">
        <v>53.41</v>
      </c>
      <c r="O338" s="25" t="n">
        <v>469.41</v>
      </c>
      <c r="P338" s="22" t="s">
        <v>11407</v>
      </c>
      <c r="Q338" s="23" t="n">
        <v>46249</v>
      </c>
      <c r="R338" s="22" t="n">
        <f aca="false">I338*J338</f>
        <v>40</v>
      </c>
      <c r="S338" s="25" t="n">
        <f aca="false">K338-R338</f>
        <v>0</v>
      </c>
      <c r="T338" s="25" t="n">
        <f aca="false">K338*L338</f>
        <v>416</v>
      </c>
      <c r="U338" s="25" t="n">
        <f aca="false">M338-T338</f>
        <v>0</v>
      </c>
      <c r="V338" s="25" t="n">
        <f aca="false">M338+N338</f>
        <v>469.41</v>
      </c>
      <c r="W338" s="25" t="n">
        <f aca="false">O338-V338</f>
        <v>0</v>
      </c>
      <c r="X338" s="22" t="str">
        <f aca="false">IF(OR(ABS(S338)&gt;0.005,ABS(U338)&gt;0.005,ABS(W338)&gt;0.005),"Subledger arithmetic error","OK")</f>
        <v>OK</v>
      </c>
      <c r="Y338" s="22" t="str">
        <f aca="false">IF(X338="OK","","Priority 3")</f>
        <v/>
      </c>
    </row>
    <row r="339" customFormat="false" ht="15" hidden="false" customHeight="false" outlineLevel="0" collapsed="false">
      <c r="A339" s="22" t="s">
        <v>12081</v>
      </c>
      <c r="B339" s="23" t="n">
        <v>46235</v>
      </c>
      <c r="C339" s="22" t="s">
        <v>12082</v>
      </c>
      <c r="D339" s="22" t="s">
        <v>1595</v>
      </c>
      <c r="E339" s="22" t="s">
        <v>7475</v>
      </c>
      <c r="F339" s="22" t="s">
        <v>159</v>
      </c>
      <c r="G339" s="22" t="s">
        <v>8601</v>
      </c>
      <c r="H339" s="22" t="s">
        <v>11406</v>
      </c>
      <c r="I339" s="22" t="n">
        <v>40</v>
      </c>
      <c r="J339" s="22" t="n">
        <v>1</v>
      </c>
      <c r="K339" s="22" t="n">
        <v>40</v>
      </c>
      <c r="L339" s="25" t="n">
        <v>10.4</v>
      </c>
      <c r="M339" s="25" t="n">
        <v>416</v>
      </c>
      <c r="N339" s="25" t="n">
        <v>53.41</v>
      </c>
      <c r="O339" s="25" t="n">
        <v>469.41</v>
      </c>
      <c r="P339" s="22" t="s">
        <v>11407</v>
      </c>
      <c r="Q339" s="23" t="n">
        <v>46249</v>
      </c>
      <c r="R339" s="22" t="n">
        <f aca="false">I339*J339</f>
        <v>40</v>
      </c>
      <c r="S339" s="25" t="n">
        <f aca="false">K339-R339</f>
        <v>0</v>
      </c>
      <c r="T339" s="25" t="n">
        <f aca="false">K339*L339</f>
        <v>416</v>
      </c>
      <c r="U339" s="25" t="n">
        <f aca="false">M339-T339</f>
        <v>0</v>
      </c>
      <c r="V339" s="25" t="n">
        <f aca="false">M339+N339</f>
        <v>469.41</v>
      </c>
      <c r="W339" s="25" t="n">
        <f aca="false">O339-V339</f>
        <v>0</v>
      </c>
      <c r="X339" s="22" t="str">
        <f aca="false">IF(OR(ABS(S339)&gt;0.005,ABS(U339)&gt;0.005,ABS(W339)&gt;0.005),"Subledger arithmetic error","OK")</f>
        <v>OK</v>
      </c>
      <c r="Y339" s="22" t="str">
        <f aca="false">IF(X339="OK","","Priority 3")</f>
        <v/>
      </c>
    </row>
    <row r="340" customFormat="false" ht="15" hidden="false" customHeight="false" outlineLevel="0" collapsed="false">
      <c r="A340" s="22" t="s">
        <v>12083</v>
      </c>
      <c r="B340" s="23" t="n">
        <v>46235</v>
      </c>
      <c r="C340" s="22" t="s">
        <v>12084</v>
      </c>
      <c r="D340" s="22" t="s">
        <v>2274</v>
      </c>
      <c r="E340" s="22" t="s">
        <v>7476</v>
      </c>
      <c r="F340" s="22" t="s">
        <v>159</v>
      </c>
      <c r="G340" s="22" t="s">
        <v>8601</v>
      </c>
      <c r="H340" s="22" t="s">
        <v>11406</v>
      </c>
      <c r="I340" s="22" t="n">
        <v>54</v>
      </c>
      <c r="J340" s="22" t="n">
        <v>1</v>
      </c>
      <c r="K340" s="22" t="n">
        <v>54</v>
      </c>
      <c r="L340" s="25" t="n">
        <v>10.4</v>
      </c>
      <c r="M340" s="25" t="n">
        <v>561.6</v>
      </c>
      <c r="N340" s="25" t="n">
        <v>72.11</v>
      </c>
      <c r="O340" s="25" t="n">
        <v>633.71</v>
      </c>
      <c r="P340" s="22" t="s">
        <v>11407</v>
      </c>
      <c r="Q340" s="23" t="n">
        <v>46249</v>
      </c>
      <c r="R340" s="22" t="n">
        <f aca="false">I340*J340</f>
        <v>54</v>
      </c>
      <c r="S340" s="25" t="n">
        <f aca="false">K340-R340</f>
        <v>0</v>
      </c>
      <c r="T340" s="25" t="n">
        <f aca="false">K340*L340</f>
        <v>561.6</v>
      </c>
      <c r="U340" s="25" t="n">
        <f aca="false">M340-T340</f>
        <v>0</v>
      </c>
      <c r="V340" s="25" t="n">
        <f aca="false">M340+N340</f>
        <v>633.71</v>
      </c>
      <c r="W340" s="25" t="n">
        <f aca="false">O340-V340</f>
        <v>0</v>
      </c>
      <c r="X340" s="22" t="str">
        <f aca="false">IF(OR(ABS(S340)&gt;0.005,ABS(U340)&gt;0.005,ABS(W340)&gt;0.005),"Subledger arithmetic error","OK")</f>
        <v>OK</v>
      </c>
      <c r="Y340" s="22" t="str">
        <f aca="false">IF(X340="OK","","Priority 3")</f>
        <v/>
      </c>
    </row>
    <row r="341" customFormat="false" ht="15" hidden="false" customHeight="false" outlineLevel="0" collapsed="false">
      <c r="A341" s="22" t="s">
        <v>12085</v>
      </c>
      <c r="B341" s="23" t="n">
        <v>46235</v>
      </c>
      <c r="C341" s="22" t="s">
        <v>12086</v>
      </c>
      <c r="D341" s="22" t="s">
        <v>3350</v>
      </c>
      <c r="E341" s="22" t="s">
        <v>7477</v>
      </c>
      <c r="F341" s="22" t="s">
        <v>159</v>
      </c>
      <c r="G341" s="22" t="s">
        <v>8601</v>
      </c>
      <c r="H341" s="22" t="s">
        <v>11406</v>
      </c>
      <c r="I341" s="22" t="n">
        <v>33</v>
      </c>
      <c r="J341" s="22" t="n">
        <v>1</v>
      </c>
      <c r="K341" s="22" t="n">
        <v>33</v>
      </c>
      <c r="L341" s="25" t="n">
        <v>10.4</v>
      </c>
      <c r="M341" s="25" t="n">
        <v>343.2</v>
      </c>
      <c r="N341" s="25" t="n">
        <v>44.07</v>
      </c>
      <c r="O341" s="25" t="n">
        <v>387.27</v>
      </c>
      <c r="P341" s="22" t="s">
        <v>11407</v>
      </c>
      <c r="Q341" s="23" t="n">
        <v>46249</v>
      </c>
      <c r="R341" s="22" t="n">
        <f aca="false">I341*J341</f>
        <v>33</v>
      </c>
      <c r="S341" s="25" t="n">
        <f aca="false">K341-R341</f>
        <v>0</v>
      </c>
      <c r="T341" s="25" t="n">
        <f aca="false">K341*L341</f>
        <v>343.2</v>
      </c>
      <c r="U341" s="25" t="n">
        <f aca="false">M341-T341</f>
        <v>0</v>
      </c>
      <c r="V341" s="25" t="n">
        <f aca="false">M341+N341</f>
        <v>387.27</v>
      </c>
      <c r="W341" s="25" t="n">
        <f aca="false">O341-V341</f>
        <v>0</v>
      </c>
      <c r="X341" s="22" t="str">
        <f aca="false">IF(OR(ABS(S341)&gt;0.005,ABS(U341)&gt;0.005,ABS(W341)&gt;0.005),"Subledger arithmetic error","OK")</f>
        <v>OK</v>
      </c>
      <c r="Y341" s="22" t="str">
        <f aca="false">IF(X341="OK","","Priority 3")</f>
        <v/>
      </c>
    </row>
    <row r="342" customFormat="false" ht="15" hidden="false" customHeight="false" outlineLevel="0" collapsed="false">
      <c r="A342" s="22" t="s">
        <v>12087</v>
      </c>
      <c r="B342" s="23" t="n">
        <v>46235</v>
      </c>
      <c r="C342" s="22" t="s">
        <v>12088</v>
      </c>
      <c r="D342" s="22" t="s">
        <v>6398</v>
      </c>
      <c r="E342" s="22" t="s">
        <v>7478</v>
      </c>
      <c r="F342" s="22" t="s">
        <v>159</v>
      </c>
      <c r="G342" s="22" t="s">
        <v>8601</v>
      </c>
      <c r="H342" s="22" t="s">
        <v>11406</v>
      </c>
      <c r="I342" s="22" t="n">
        <v>40</v>
      </c>
      <c r="J342" s="22" t="n">
        <v>1</v>
      </c>
      <c r="K342" s="22" t="n">
        <v>40</v>
      </c>
      <c r="L342" s="25" t="n">
        <v>10.4</v>
      </c>
      <c r="M342" s="25" t="n">
        <v>416</v>
      </c>
      <c r="N342" s="25" t="n">
        <v>53.41</v>
      </c>
      <c r="O342" s="25" t="n">
        <v>469.41</v>
      </c>
      <c r="P342" s="22" t="s">
        <v>11407</v>
      </c>
      <c r="Q342" s="23" t="n">
        <v>46249</v>
      </c>
      <c r="R342" s="22" t="n">
        <f aca="false">I342*J342</f>
        <v>40</v>
      </c>
      <c r="S342" s="25" t="n">
        <f aca="false">K342-R342</f>
        <v>0</v>
      </c>
      <c r="T342" s="25" t="n">
        <f aca="false">K342*L342</f>
        <v>416</v>
      </c>
      <c r="U342" s="25" t="n">
        <f aca="false">M342-T342</f>
        <v>0</v>
      </c>
      <c r="V342" s="25" t="n">
        <f aca="false">M342+N342</f>
        <v>469.41</v>
      </c>
      <c r="W342" s="25" t="n">
        <f aca="false">O342-V342</f>
        <v>0</v>
      </c>
      <c r="X342" s="22" t="str">
        <f aca="false">IF(OR(ABS(S342)&gt;0.005,ABS(U342)&gt;0.005,ABS(W342)&gt;0.005),"Subledger arithmetic error","OK")</f>
        <v>OK</v>
      </c>
      <c r="Y342" s="22" t="str">
        <f aca="false">IF(X342="OK","","Priority 3")</f>
        <v/>
      </c>
    </row>
    <row r="343" customFormat="false" ht="15" hidden="false" customHeight="false" outlineLevel="0" collapsed="false">
      <c r="A343" s="22" t="s">
        <v>12089</v>
      </c>
      <c r="B343" s="23" t="n">
        <v>46235</v>
      </c>
      <c r="C343" s="22" t="s">
        <v>12090</v>
      </c>
      <c r="D343" s="22" t="s">
        <v>2718</v>
      </c>
      <c r="E343" s="22" t="s">
        <v>7479</v>
      </c>
      <c r="F343" s="22" t="s">
        <v>159</v>
      </c>
      <c r="G343" s="22" t="s">
        <v>8601</v>
      </c>
      <c r="H343" s="22" t="s">
        <v>11406</v>
      </c>
      <c r="I343" s="22" t="n">
        <v>47</v>
      </c>
      <c r="J343" s="22" t="n">
        <v>1</v>
      </c>
      <c r="K343" s="22" t="n">
        <v>47</v>
      </c>
      <c r="L343" s="25" t="n">
        <v>10.4</v>
      </c>
      <c r="M343" s="25" t="n">
        <v>488.8</v>
      </c>
      <c r="N343" s="25" t="n">
        <v>62.76</v>
      </c>
      <c r="O343" s="25" t="n">
        <v>551.56</v>
      </c>
      <c r="P343" s="22" t="s">
        <v>11407</v>
      </c>
      <c r="Q343" s="23" t="n">
        <v>46249</v>
      </c>
      <c r="R343" s="22" t="n">
        <f aca="false">I343*J343</f>
        <v>47</v>
      </c>
      <c r="S343" s="25" t="n">
        <f aca="false">K343-R343</f>
        <v>0</v>
      </c>
      <c r="T343" s="25" t="n">
        <f aca="false">K343*L343</f>
        <v>488.8</v>
      </c>
      <c r="U343" s="25" t="n">
        <f aca="false">M343-T343</f>
        <v>0</v>
      </c>
      <c r="V343" s="25" t="n">
        <f aca="false">M343+N343</f>
        <v>551.56</v>
      </c>
      <c r="W343" s="25" t="n">
        <f aca="false">O343-V343</f>
        <v>0</v>
      </c>
      <c r="X343" s="22" t="str">
        <f aca="false">IF(OR(ABS(S343)&gt;0.005,ABS(U343)&gt;0.005,ABS(W343)&gt;0.005),"Subledger arithmetic error","OK")</f>
        <v>OK</v>
      </c>
      <c r="Y343" s="22" t="str">
        <f aca="false">IF(X343="OK","","Priority 3")</f>
        <v/>
      </c>
    </row>
    <row r="344" customFormat="false" ht="15" hidden="false" customHeight="false" outlineLevel="0" collapsed="false">
      <c r="A344" s="22" t="s">
        <v>12091</v>
      </c>
      <c r="B344" s="23" t="n">
        <v>46235</v>
      </c>
      <c r="C344" s="22" t="s">
        <v>12092</v>
      </c>
      <c r="D344" s="22" t="s">
        <v>3896</v>
      </c>
      <c r="E344" s="22" t="s">
        <v>7481</v>
      </c>
      <c r="F344" s="22" t="s">
        <v>159</v>
      </c>
      <c r="G344" s="22" t="s">
        <v>8601</v>
      </c>
      <c r="H344" s="22" t="s">
        <v>11406</v>
      </c>
      <c r="I344" s="22" t="n">
        <v>28</v>
      </c>
      <c r="J344" s="22" t="n">
        <v>1</v>
      </c>
      <c r="K344" s="22" t="n">
        <v>28</v>
      </c>
      <c r="L344" s="25" t="n">
        <v>10.4</v>
      </c>
      <c r="M344" s="25" t="n">
        <v>291.2</v>
      </c>
      <c r="N344" s="25" t="n">
        <v>37.39</v>
      </c>
      <c r="O344" s="25" t="n">
        <v>328.59</v>
      </c>
      <c r="P344" s="22" t="s">
        <v>11407</v>
      </c>
      <c r="Q344" s="23" t="n">
        <v>46249</v>
      </c>
      <c r="R344" s="22" t="n">
        <f aca="false">I344*J344</f>
        <v>28</v>
      </c>
      <c r="S344" s="25" t="n">
        <f aca="false">K344-R344</f>
        <v>0</v>
      </c>
      <c r="T344" s="25" t="n">
        <f aca="false">K344*L344</f>
        <v>291.2</v>
      </c>
      <c r="U344" s="25" t="n">
        <f aca="false">M344-T344</f>
        <v>0</v>
      </c>
      <c r="V344" s="25" t="n">
        <f aca="false">M344+N344</f>
        <v>328.59</v>
      </c>
      <c r="W344" s="25" t="n">
        <f aca="false">O344-V344</f>
        <v>0</v>
      </c>
      <c r="X344" s="22" t="str">
        <f aca="false">IF(OR(ABS(S344)&gt;0.005,ABS(U344)&gt;0.005,ABS(W344)&gt;0.005),"Subledger arithmetic error","OK")</f>
        <v>OK</v>
      </c>
      <c r="Y344" s="22" t="str">
        <f aca="false">IF(X344="OK","","Priority 3")</f>
        <v/>
      </c>
    </row>
    <row r="345" customFormat="false" ht="15" hidden="false" customHeight="false" outlineLevel="0" collapsed="false">
      <c r="A345" s="22" t="s">
        <v>12093</v>
      </c>
      <c r="B345" s="23" t="n">
        <v>46235</v>
      </c>
      <c r="C345" s="22" t="s">
        <v>12094</v>
      </c>
      <c r="D345" s="22" t="s">
        <v>652</v>
      </c>
      <c r="E345" s="22" t="s">
        <v>7482</v>
      </c>
      <c r="F345" s="22" t="s">
        <v>159</v>
      </c>
      <c r="G345" s="22" t="s">
        <v>8601</v>
      </c>
      <c r="H345" s="22" t="s">
        <v>11406</v>
      </c>
      <c r="I345" s="22" t="n">
        <v>58</v>
      </c>
      <c r="J345" s="22" t="n">
        <v>1</v>
      </c>
      <c r="K345" s="22" t="n">
        <v>58</v>
      </c>
      <c r="L345" s="25" t="n">
        <v>10.4</v>
      </c>
      <c r="M345" s="25" t="n">
        <v>603.2</v>
      </c>
      <c r="N345" s="25" t="n">
        <v>77.45</v>
      </c>
      <c r="O345" s="25" t="n">
        <v>680.65</v>
      </c>
      <c r="P345" s="22" t="s">
        <v>11407</v>
      </c>
      <c r="Q345" s="23" t="n">
        <v>46249</v>
      </c>
      <c r="R345" s="22" t="n">
        <f aca="false">I345*J345</f>
        <v>58</v>
      </c>
      <c r="S345" s="25" t="n">
        <f aca="false">K345-R345</f>
        <v>0</v>
      </c>
      <c r="T345" s="25" t="n">
        <f aca="false">K345*L345</f>
        <v>603.2</v>
      </c>
      <c r="U345" s="25" t="n">
        <f aca="false">M345-T345</f>
        <v>0</v>
      </c>
      <c r="V345" s="25" t="n">
        <f aca="false">M345+N345</f>
        <v>680.65</v>
      </c>
      <c r="W345" s="25" t="n">
        <f aca="false">O345-V345</f>
        <v>0</v>
      </c>
      <c r="X345" s="22" t="str">
        <f aca="false">IF(OR(ABS(S345)&gt;0.005,ABS(U345)&gt;0.005,ABS(W345)&gt;0.005),"Subledger arithmetic error","OK")</f>
        <v>OK</v>
      </c>
      <c r="Y345" s="22" t="str">
        <f aca="false">IF(X345="OK","","Priority 3")</f>
        <v/>
      </c>
    </row>
    <row r="346" customFormat="false" ht="15" hidden="false" customHeight="false" outlineLevel="0" collapsed="false">
      <c r="A346" s="22" t="s">
        <v>12095</v>
      </c>
      <c r="B346" s="23" t="n">
        <v>46235</v>
      </c>
      <c r="C346" s="22" t="s">
        <v>12096</v>
      </c>
      <c r="D346" s="22" t="s">
        <v>5264</v>
      </c>
      <c r="E346" s="22" t="s">
        <v>7483</v>
      </c>
      <c r="F346" s="22" t="s">
        <v>159</v>
      </c>
      <c r="G346" s="22" t="s">
        <v>8601</v>
      </c>
      <c r="H346" s="22" t="s">
        <v>11406</v>
      </c>
      <c r="I346" s="22" t="n">
        <v>26</v>
      </c>
      <c r="J346" s="22" t="n">
        <v>1</v>
      </c>
      <c r="K346" s="22" t="n">
        <v>26</v>
      </c>
      <c r="L346" s="25" t="n">
        <v>10.4</v>
      </c>
      <c r="M346" s="25" t="n">
        <v>270.4</v>
      </c>
      <c r="N346" s="25" t="n">
        <v>34.72</v>
      </c>
      <c r="O346" s="25" t="n">
        <v>305.12</v>
      </c>
      <c r="P346" s="22" t="s">
        <v>11407</v>
      </c>
      <c r="Q346" s="23" t="n">
        <v>46249</v>
      </c>
      <c r="R346" s="22" t="n">
        <f aca="false">I346*J346</f>
        <v>26</v>
      </c>
      <c r="S346" s="25" t="n">
        <f aca="false">K346-R346</f>
        <v>0</v>
      </c>
      <c r="T346" s="25" t="n">
        <f aca="false">K346*L346</f>
        <v>270.4</v>
      </c>
      <c r="U346" s="25" t="n">
        <f aca="false">M346-T346</f>
        <v>0</v>
      </c>
      <c r="V346" s="25" t="n">
        <f aca="false">M346+N346</f>
        <v>305.12</v>
      </c>
      <c r="W346" s="25" t="n">
        <f aca="false">O346-V346</f>
        <v>0</v>
      </c>
      <c r="X346" s="22" t="str">
        <f aca="false">IF(OR(ABS(S346)&gt;0.005,ABS(U346)&gt;0.005,ABS(W346)&gt;0.005),"Subledger arithmetic error","OK")</f>
        <v>OK</v>
      </c>
      <c r="Y346" s="22" t="str">
        <f aca="false">IF(X346="OK","","Priority 3")</f>
        <v/>
      </c>
    </row>
    <row r="347" customFormat="false" ht="15" hidden="false" customHeight="false" outlineLevel="0" collapsed="false">
      <c r="A347" s="22" t="s">
        <v>12097</v>
      </c>
      <c r="B347" s="23" t="n">
        <v>46235</v>
      </c>
      <c r="C347" s="22" t="s">
        <v>12098</v>
      </c>
      <c r="D347" s="22" t="s">
        <v>3892</v>
      </c>
      <c r="E347" s="22" t="s">
        <v>7484</v>
      </c>
      <c r="F347" s="22" t="s">
        <v>159</v>
      </c>
      <c r="G347" s="22" t="s">
        <v>8601</v>
      </c>
      <c r="H347" s="22" t="s">
        <v>11406</v>
      </c>
      <c r="I347" s="22" t="n">
        <v>42</v>
      </c>
      <c r="J347" s="22" t="n">
        <v>1</v>
      </c>
      <c r="K347" s="22" t="n">
        <v>42</v>
      </c>
      <c r="L347" s="25" t="n">
        <v>10.4</v>
      </c>
      <c r="M347" s="25" t="n">
        <v>436.8</v>
      </c>
      <c r="N347" s="25" t="n">
        <v>56.09</v>
      </c>
      <c r="O347" s="25" t="n">
        <v>492.89</v>
      </c>
      <c r="P347" s="22" t="s">
        <v>11407</v>
      </c>
      <c r="Q347" s="23" t="n">
        <v>46249</v>
      </c>
      <c r="R347" s="22" t="n">
        <f aca="false">I347*J347</f>
        <v>42</v>
      </c>
      <c r="S347" s="25" t="n">
        <f aca="false">K347-R347</f>
        <v>0</v>
      </c>
      <c r="T347" s="25" t="n">
        <f aca="false">K347*L347</f>
        <v>436.8</v>
      </c>
      <c r="U347" s="25" t="n">
        <f aca="false">M347-T347</f>
        <v>0</v>
      </c>
      <c r="V347" s="25" t="n">
        <f aca="false">M347+N347</f>
        <v>492.89</v>
      </c>
      <c r="W347" s="25" t="n">
        <f aca="false">O347-V347</f>
        <v>0</v>
      </c>
      <c r="X347" s="22" t="str">
        <f aca="false">IF(OR(ABS(S347)&gt;0.005,ABS(U347)&gt;0.005,ABS(W347)&gt;0.005),"Subledger arithmetic error","OK")</f>
        <v>OK</v>
      </c>
      <c r="Y347" s="22" t="str">
        <f aca="false">IF(X347="OK","","Priority 3")</f>
        <v/>
      </c>
    </row>
    <row r="348" customFormat="false" ht="15" hidden="false" customHeight="false" outlineLevel="0" collapsed="false">
      <c r="A348" s="22" t="s">
        <v>12099</v>
      </c>
      <c r="B348" s="23" t="n">
        <v>46235</v>
      </c>
      <c r="C348" s="22" t="s">
        <v>12100</v>
      </c>
      <c r="D348" s="22" t="s">
        <v>5718</v>
      </c>
      <c r="E348" s="22" t="s">
        <v>7489</v>
      </c>
      <c r="F348" s="22" t="s">
        <v>159</v>
      </c>
      <c r="G348" s="22" t="s">
        <v>8601</v>
      </c>
      <c r="H348" s="22" t="s">
        <v>11406</v>
      </c>
      <c r="I348" s="22" t="n">
        <v>60</v>
      </c>
      <c r="J348" s="22" t="n">
        <v>1</v>
      </c>
      <c r="K348" s="22" t="n">
        <v>60</v>
      </c>
      <c r="L348" s="25" t="n">
        <v>10.4</v>
      </c>
      <c r="M348" s="25" t="n">
        <v>624</v>
      </c>
      <c r="N348" s="25" t="n">
        <v>80.12</v>
      </c>
      <c r="O348" s="25" t="n">
        <v>704.12</v>
      </c>
      <c r="P348" s="22" t="s">
        <v>11407</v>
      </c>
      <c r="Q348" s="23" t="n">
        <v>46249</v>
      </c>
      <c r="R348" s="22" t="n">
        <f aca="false">I348*J348</f>
        <v>60</v>
      </c>
      <c r="S348" s="25" t="n">
        <f aca="false">K348-R348</f>
        <v>0</v>
      </c>
      <c r="T348" s="25" t="n">
        <f aca="false">K348*L348</f>
        <v>624</v>
      </c>
      <c r="U348" s="25" t="n">
        <f aca="false">M348-T348</f>
        <v>0</v>
      </c>
      <c r="V348" s="25" t="n">
        <f aca="false">M348+N348</f>
        <v>704.12</v>
      </c>
      <c r="W348" s="25" t="n">
        <f aca="false">O348-V348</f>
        <v>0</v>
      </c>
      <c r="X348" s="22" t="str">
        <f aca="false">IF(OR(ABS(S348)&gt;0.005,ABS(U348)&gt;0.005,ABS(W348)&gt;0.005),"Subledger arithmetic error","OK")</f>
        <v>OK</v>
      </c>
      <c r="Y348" s="22" t="str">
        <f aca="false">IF(X348="OK","","Priority 3")</f>
        <v/>
      </c>
    </row>
    <row r="349" customFormat="false" ht="15" hidden="false" customHeight="false" outlineLevel="0" collapsed="false">
      <c r="A349" s="22" t="s">
        <v>12101</v>
      </c>
      <c r="B349" s="23" t="n">
        <v>46235</v>
      </c>
      <c r="C349" s="22" t="s">
        <v>12102</v>
      </c>
      <c r="D349" s="22" t="s">
        <v>1640</v>
      </c>
      <c r="E349" s="22" t="s">
        <v>7491</v>
      </c>
      <c r="F349" s="22" t="s">
        <v>159</v>
      </c>
      <c r="G349" s="22" t="s">
        <v>8601</v>
      </c>
      <c r="H349" s="22" t="s">
        <v>11406</v>
      </c>
      <c r="I349" s="22" t="n">
        <v>57</v>
      </c>
      <c r="J349" s="22" t="n">
        <v>1</v>
      </c>
      <c r="K349" s="22" t="n">
        <v>57</v>
      </c>
      <c r="L349" s="25" t="n">
        <v>10.4</v>
      </c>
      <c r="M349" s="25" t="n">
        <v>592.8</v>
      </c>
      <c r="N349" s="25" t="n">
        <v>76.12</v>
      </c>
      <c r="O349" s="25" t="n">
        <v>668.92</v>
      </c>
      <c r="P349" s="22" t="s">
        <v>11407</v>
      </c>
      <c r="Q349" s="23" t="n">
        <v>46249</v>
      </c>
      <c r="R349" s="22" t="n">
        <f aca="false">I349*J349</f>
        <v>57</v>
      </c>
      <c r="S349" s="25" t="n">
        <f aca="false">K349-R349</f>
        <v>0</v>
      </c>
      <c r="T349" s="25" t="n">
        <f aca="false">K349*L349</f>
        <v>592.8</v>
      </c>
      <c r="U349" s="25" t="n">
        <f aca="false">M349-T349</f>
        <v>0</v>
      </c>
      <c r="V349" s="25" t="n">
        <f aca="false">M349+N349</f>
        <v>668.92</v>
      </c>
      <c r="W349" s="25" t="n">
        <f aca="false">O349-V349</f>
        <v>0</v>
      </c>
      <c r="X349" s="22" t="str">
        <f aca="false">IF(OR(ABS(S349)&gt;0.005,ABS(U349)&gt;0.005,ABS(W349)&gt;0.005),"Subledger arithmetic error","OK")</f>
        <v>OK</v>
      </c>
      <c r="Y349" s="22" t="str">
        <f aca="false">IF(X349="OK","","Priority 3")</f>
        <v/>
      </c>
    </row>
    <row r="350" customFormat="false" ht="15" hidden="false" customHeight="false" outlineLevel="0" collapsed="false">
      <c r="A350" s="22" t="s">
        <v>12103</v>
      </c>
      <c r="B350" s="23" t="n">
        <v>46235</v>
      </c>
      <c r="C350" s="22" t="s">
        <v>12104</v>
      </c>
      <c r="D350" s="22" t="s">
        <v>4223</v>
      </c>
      <c r="E350" s="22" t="s">
        <v>7492</v>
      </c>
      <c r="F350" s="22" t="s">
        <v>159</v>
      </c>
      <c r="G350" s="22" t="s">
        <v>8601</v>
      </c>
      <c r="H350" s="22" t="s">
        <v>11406</v>
      </c>
      <c r="I350" s="22" t="n">
        <v>49</v>
      </c>
      <c r="J350" s="22" t="n">
        <v>1</v>
      </c>
      <c r="K350" s="22" t="n">
        <v>49</v>
      </c>
      <c r="L350" s="25" t="n">
        <v>10.4</v>
      </c>
      <c r="M350" s="25" t="n">
        <v>509.6</v>
      </c>
      <c r="N350" s="25" t="n">
        <v>65.43</v>
      </c>
      <c r="O350" s="25" t="n">
        <v>575.03</v>
      </c>
      <c r="P350" s="22" t="s">
        <v>7696</v>
      </c>
      <c r="Q350" s="23" t="n">
        <v>46249</v>
      </c>
      <c r="R350" s="22" t="n">
        <f aca="false">I350*J350</f>
        <v>49</v>
      </c>
      <c r="S350" s="25" t="n">
        <f aca="false">K350-R350</f>
        <v>0</v>
      </c>
      <c r="T350" s="25" t="n">
        <f aca="false">K350*L350</f>
        <v>509.6</v>
      </c>
      <c r="U350" s="25" t="n">
        <f aca="false">M350-T350</f>
        <v>0</v>
      </c>
      <c r="V350" s="25" t="n">
        <f aca="false">M350+N350</f>
        <v>575.03</v>
      </c>
      <c r="W350" s="25" t="n">
        <f aca="false">O350-V350</f>
        <v>0</v>
      </c>
      <c r="X350" s="22" t="str">
        <f aca="false">IF(OR(ABS(S350)&gt;0.005,ABS(U350)&gt;0.005,ABS(W350)&gt;0.005),"Subledger arithmetic error","OK")</f>
        <v>OK</v>
      </c>
      <c r="Y350" s="22" t="str">
        <f aca="false">IF(X350="OK","","Priority 3")</f>
        <v/>
      </c>
    </row>
    <row r="351" customFormat="false" ht="15" hidden="false" customHeight="false" outlineLevel="0" collapsed="false">
      <c r="A351" s="22" t="s">
        <v>12105</v>
      </c>
      <c r="B351" s="23" t="n">
        <v>46235</v>
      </c>
      <c r="C351" s="22" t="s">
        <v>12106</v>
      </c>
      <c r="D351" s="22" t="s">
        <v>4753</v>
      </c>
      <c r="E351" s="22" t="s">
        <v>7493</v>
      </c>
      <c r="F351" s="22" t="s">
        <v>159</v>
      </c>
      <c r="G351" s="22" t="s">
        <v>8601</v>
      </c>
      <c r="H351" s="22" t="s">
        <v>11406</v>
      </c>
      <c r="I351" s="22" t="n">
        <v>36</v>
      </c>
      <c r="J351" s="22" t="n">
        <v>1</v>
      </c>
      <c r="K351" s="22" t="n">
        <v>36</v>
      </c>
      <c r="L351" s="25" t="n">
        <v>10.4</v>
      </c>
      <c r="M351" s="25" t="n">
        <v>374.4</v>
      </c>
      <c r="N351" s="25" t="n">
        <v>48.07</v>
      </c>
      <c r="O351" s="25" t="n">
        <v>422.47</v>
      </c>
      <c r="P351" s="22" t="s">
        <v>11407</v>
      </c>
      <c r="Q351" s="23" t="n">
        <v>46249</v>
      </c>
      <c r="R351" s="22" t="n">
        <f aca="false">I351*J351</f>
        <v>36</v>
      </c>
      <c r="S351" s="25" t="n">
        <f aca="false">K351-R351</f>
        <v>0</v>
      </c>
      <c r="T351" s="25" t="n">
        <f aca="false">K351*L351</f>
        <v>374.4</v>
      </c>
      <c r="U351" s="25" t="n">
        <f aca="false">M351-T351</f>
        <v>0</v>
      </c>
      <c r="V351" s="25" t="n">
        <f aca="false">M351+N351</f>
        <v>422.47</v>
      </c>
      <c r="W351" s="25" t="n">
        <f aca="false">O351-V351</f>
        <v>0</v>
      </c>
      <c r="X351" s="22" t="str">
        <f aca="false">IF(OR(ABS(S351)&gt;0.005,ABS(U351)&gt;0.005,ABS(W351)&gt;0.005),"Subledger arithmetic error","OK")</f>
        <v>OK</v>
      </c>
      <c r="Y351" s="22" t="str">
        <f aca="false">IF(X351="OK","","Priority 3")</f>
        <v/>
      </c>
    </row>
    <row r="352" customFormat="false" ht="15" hidden="false" customHeight="false" outlineLevel="0" collapsed="false">
      <c r="A352" s="22" t="s">
        <v>12107</v>
      </c>
      <c r="B352" s="23" t="n">
        <v>46235</v>
      </c>
      <c r="C352" s="22" t="s">
        <v>12108</v>
      </c>
      <c r="D352" s="22" t="s">
        <v>4479</v>
      </c>
      <c r="E352" s="22" t="s">
        <v>7494</v>
      </c>
      <c r="F352" s="22" t="s">
        <v>159</v>
      </c>
      <c r="G352" s="22" t="s">
        <v>8601</v>
      </c>
      <c r="H352" s="22" t="s">
        <v>11406</v>
      </c>
      <c r="I352" s="22" t="n">
        <v>34</v>
      </c>
      <c r="J352" s="22" t="n">
        <v>1</v>
      </c>
      <c r="K352" s="22" t="n">
        <v>34</v>
      </c>
      <c r="L352" s="25" t="n">
        <v>10.4</v>
      </c>
      <c r="M352" s="25" t="n">
        <v>353.6</v>
      </c>
      <c r="N352" s="25" t="n">
        <v>45.4</v>
      </c>
      <c r="O352" s="25" t="n">
        <v>399</v>
      </c>
      <c r="P352" s="22" t="s">
        <v>11407</v>
      </c>
      <c r="Q352" s="23" t="n">
        <v>46249</v>
      </c>
      <c r="R352" s="22" t="n">
        <f aca="false">I352*J352</f>
        <v>34</v>
      </c>
      <c r="S352" s="25" t="n">
        <f aca="false">K352-R352</f>
        <v>0</v>
      </c>
      <c r="T352" s="25" t="n">
        <f aca="false">K352*L352</f>
        <v>353.6</v>
      </c>
      <c r="U352" s="25" t="n">
        <f aca="false">M352-T352</f>
        <v>0</v>
      </c>
      <c r="V352" s="25" t="n">
        <f aca="false">M352+N352</f>
        <v>399</v>
      </c>
      <c r="W352" s="25" t="n">
        <f aca="false">O352-V352</f>
        <v>0</v>
      </c>
      <c r="X352" s="22" t="str">
        <f aca="false">IF(OR(ABS(S352)&gt;0.005,ABS(U352)&gt;0.005,ABS(W352)&gt;0.005),"Subledger arithmetic error","OK")</f>
        <v>OK</v>
      </c>
      <c r="Y352" s="22" t="str">
        <f aca="false">IF(X352="OK","","Priority 3")</f>
        <v/>
      </c>
    </row>
    <row r="353" customFormat="false" ht="15" hidden="false" customHeight="false" outlineLevel="0" collapsed="false">
      <c r="A353" s="22" t="s">
        <v>12109</v>
      </c>
      <c r="B353" s="23" t="n">
        <v>46235</v>
      </c>
      <c r="C353" s="22" t="s">
        <v>12110</v>
      </c>
      <c r="D353" s="22" t="s">
        <v>5710</v>
      </c>
      <c r="E353" s="22" t="s">
        <v>7495</v>
      </c>
      <c r="F353" s="22" t="s">
        <v>159</v>
      </c>
      <c r="G353" s="22" t="s">
        <v>8601</v>
      </c>
      <c r="H353" s="22" t="s">
        <v>11406</v>
      </c>
      <c r="I353" s="22" t="n">
        <v>43</v>
      </c>
      <c r="J353" s="22" t="n">
        <v>1</v>
      </c>
      <c r="K353" s="22" t="n">
        <v>43</v>
      </c>
      <c r="L353" s="25" t="n">
        <v>10.4</v>
      </c>
      <c r="M353" s="25" t="n">
        <v>447.2</v>
      </c>
      <c r="N353" s="25" t="n">
        <v>57.42</v>
      </c>
      <c r="O353" s="25" t="n">
        <v>504.62</v>
      </c>
      <c r="P353" s="22" t="s">
        <v>11410</v>
      </c>
      <c r="Q353" s="23" t="n">
        <v>46249</v>
      </c>
      <c r="R353" s="22" t="n">
        <f aca="false">I353*J353</f>
        <v>43</v>
      </c>
      <c r="S353" s="25" t="n">
        <f aca="false">K353-R353</f>
        <v>0</v>
      </c>
      <c r="T353" s="25" t="n">
        <f aca="false">K353*L353</f>
        <v>447.2</v>
      </c>
      <c r="U353" s="25" t="n">
        <f aca="false">M353-T353</f>
        <v>0</v>
      </c>
      <c r="V353" s="25" t="n">
        <f aca="false">M353+N353</f>
        <v>504.62</v>
      </c>
      <c r="W353" s="25" t="n">
        <f aca="false">O353-V353</f>
        <v>0</v>
      </c>
      <c r="X353" s="22" t="str">
        <f aca="false">IF(OR(ABS(S353)&gt;0.005,ABS(U353)&gt;0.005,ABS(W353)&gt;0.005),"Subledger arithmetic error","OK")</f>
        <v>OK</v>
      </c>
      <c r="Y353" s="22" t="str">
        <f aca="false">IF(X353="OK","","Priority 3")</f>
        <v/>
      </c>
    </row>
    <row r="354" customFormat="false" ht="15" hidden="false" customHeight="false" outlineLevel="0" collapsed="false">
      <c r="A354" s="22" t="s">
        <v>12111</v>
      </c>
      <c r="B354" s="23" t="n">
        <v>46235</v>
      </c>
      <c r="C354" s="22" t="s">
        <v>12112</v>
      </c>
      <c r="D354" s="22" t="s">
        <v>2475</v>
      </c>
      <c r="E354" s="22" t="s">
        <v>7497</v>
      </c>
      <c r="F354" s="22" t="s">
        <v>159</v>
      </c>
      <c r="G354" s="22" t="s">
        <v>8601</v>
      </c>
      <c r="H354" s="22" t="s">
        <v>11406</v>
      </c>
      <c r="I354" s="22" t="n">
        <v>39</v>
      </c>
      <c r="J354" s="22" t="n">
        <v>1</v>
      </c>
      <c r="K354" s="22" t="n">
        <v>39</v>
      </c>
      <c r="L354" s="25" t="n">
        <v>10.4</v>
      </c>
      <c r="M354" s="25" t="n">
        <v>405.6</v>
      </c>
      <c r="N354" s="25" t="n">
        <v>52.08</v>
      </c>
      <c r="O354" s="25" t="n">
        <v>457.68</v>
      </c>
      <c r="P354" s="22" t="s">
        <v>11407</v>
      </c>
      <c r="Q354" s="23" t="n">
        <v>46249</v>
      </c>
      <c r="R354" s="22" t="n">
        <f aca="false">I354*J354</f>
        <v>39</v>
      </c>
      <c r="S354" s="25" t="n">
        <f aca="false">K354-R354</f>
        <v>0</v>
      </c>
      <c r="T354" s="25" t="n">
        <f aca="false">K354*L354</f>
        <v>405.6</v>
      </c>
      <c r="U354" s="25" t="n">
        <f aca="false">M354-T354</f>
        <v>0</v>
      </c>
      <c r="V354" s="25" t="n">
        <f aca="false">M354+N354</f>
        <v>457.68</v>
      </c>
      <c r="W354" s="25" t="n">
        <f aca="false">O354-V354</f>
        <v>0</v>
      </c>
      <c r="X354" s="22" t="str">
        <f aca="false">IF(OR(ABS(S354)&gt;0.005,ABS(U354)&gt;0.005,ABS(W354)&gt;0.005),"Subledger arithmetic error","OK")</f>
        <v>OK</v>
      </c>
      <c r="Y354" s="22" t="str">
        <f aca="false">IF(X354="OK","","Priority 3")</f>
        <v/>
      </c>
    </row>
    <row r="355" customFormat="false" ht="15" hidden="false" customHeight="false" outlineLevel="0" collapsed="false">
      <c r="A355" s="22" t="s">
        <v>12113</v>
      </c>
      <c r="B355" s="23" t="n">
        <v>46235</v>
      </c>
      <c r="C355" s="22" t="s">
        <v>12114</v>
      </c>
      <c r="D355" s="22" t="s">
        <v>4296</v>
      </c>
      <c r="E355" s="22" t="s">
        <v>7499</v>
      </c>
      <c r="F355" s="22" t="s">
        <v>159</v>
      </c>
      <c r="G355" s="22" t="s">
        <v>8601</v>
      </c>
      <c r="H355" s="22" t="s">
        <v>11406</v>
      </c>
      <c r="I355" s="22" t="n">
        <v>28</v>
      </c>
      <c r="J355" s="22" t="n">
        <v>1</v>
      </c>
      <c r="K355" s="22" t="n">
        <v>28</v>
      </c>
      <c r="L355" s="25" t="n">
        <v>10.4</v>
      </c>
      <c r="M355" s="25" t="n">
        <v>291.2</v>
      </c>
      <c r="N355" s="25" t="n">
        <v>37.39</v>
      </c>
      <c r="O355" s="25" t="n">
        <v>328.59</v>
      </c>
      <c r="P355" s="22" t="s">
        <v>11407</v>
      </c>
      <c r="Q355" s="23" t="n">
        <v>46249</v>
      </c>
      <c r="R355" s="22" t="n">
        <f aca="false">I355*J355</f>
        <v>28</v>
      </c>
      <c r="S355" s="25" t="n">
        <f aca="false">K355-R355</f>
        <v>0</v>
      </c>
      <c r="T355" s="25" t="n">
        <f aca="false">K355*L355</f>
        <v>291.2</v>
      </c>
      <c r="U355" s="25" t="n">
        <f aca="false">M355-T355</f>
        <v>0</v>
      </c>
      <c r="V355" s="25" t="n">
        <f aca="false">M355+N355</f>
        <v>328.59</v>
      </c>
      <c r="W355" s="25" t="n">
        <f aca="false">O355-V355</f>
        <v>0</v>
      </c>
      <c r="X355" s="22" t="str">
        <f aca="false">IF(OR(ABS(S355)&gt;0.005,ABS(U355)&gt;0.005,ABS(W355)&gt;0.005),"Subledger arithmetic error","OK")</f>
        <v>OK</v>
      </c>
      <c r="Y355" s="22" t="str">
        <f aca="false">IF(X355="OK","","Priority 3")</f>
        <v/>
      </c>
    </row>
    <row r="356" customFormat="false" ht="15" hidden="false" customHeight="false" outlineLevel="0" collapsed="false">
      <c r="A356" s="22" t="s">
        <v>12115</v>
      </c>
      <c r="B356" s="23" t="n">
        <v>46235</v>
      </c>
      <c r="C356" s="22" t="s">
        <v>12116</v>
      </c>
      <c r="D356" s="22" t="s">
        <v>2043</v>
      </c>
      <c r="E356" s="22" t="s">
        <v>7500</v>
      </c>
      <c r="F356" s="22" t="s">
        <v>159</v>
      </c>
      <c r="G356" s="22" t="s">
        <v>8601</v>
      </c>
      <c r="H356" s="22" t="s">
        <v>11406</v>
      </c>
      <c r="I356" s="22" t="n">
        <v>46</v>
      </c>
      <c r="J356" s="22" t="n">
        <v>1</v>
      </c>
      <c r="K356" s="22" t="n">
        <v>46</v>
      </c>
      <c r="L356" s="25" t="n">
        <v>10.4</v>
      </c>
      <c r="M356" s="25" t="n">
        <v>478.4</v>
      </c>
      <c r="N356" s="25" t="n">
        <v>61.43</v>
      </c>
      <c r="O356" s="25" t="n">
        <v>539.83</v>
      </c>
      <c r="P356" s="22" t="s">
        <v>11407</v>
      </c>
      <c r="Q356" s="23" t="n">
        <v>46249</v>
      </c>
      <c r="R356" s="22" t="n">
        <f aca="false">I356*J356</f>
        <v>46</v>
      </c>
      <c r="S356" s="25" t="n">
        <f aca="false">K356-R356</f>
        <v>0</v>
      </c>
      <c r="T356" s="25" t="n">
        <f aca="false">K356*L356</f>
        <v>478.4</v>
      </c>
      <c r="U356" s="25" t="n">
        <f aca="false">M356-T356</f>
        <v>0</v>
      </c>
      <c r="V356" s="25" t="n">
        <f aca="false">M356+N356</f>
        <v>539.83</v>
      </c>
      <c r="W356" s="25" t="n">
        <f aca="false">O356-V356</f>
        <v>0</v>
      </c>
      <c r="X356" s="22" t="str">
        <f aca="false">IF(OR(ABS(S356)&gt;0.005,ABS(U356)&gt;0.005,ABS(W356)&gt;0.005),"Subledger arithmetic error","OK")</f>
        <v>OK</v>
      </c>
      <c r="Y356" s="22" t="str">
        <f aca="false">IF(X356="OK","","Priority 3")</f>
        <v/>
      </c>
    </row>
    <row r="357" customFormat="false" ht="15" hidden="false" customHeight="false" outlineLevel="0" collapsed="false">
      <c r="A357" s="22" t="s">
        <v>12117</v>
      </c>
      <c r="B357" s="23" t="n">
        <v>46235</v>
      </c>
      <c r="C357" s="22" t="s">
        <v>12118</v>
      </c>
      <c r="D357" s="22" t="s">
        <v>5221</v>
      </c>
      <c r="E357" s="22" t="s">
        <v>7502</v>
      </c>
      <c r="F357" s="22" t="s">
        <v>159</v>
      </c>
      <c r="G357" s="22" t="s">
        <v>8601</v>
      </c>
      <c r="H357" s="22" t="s">
        <v>11406</v>
      </c>
      <c r="I357" s="22" t="n">
        <v>40</v>
      </c>
      <c r="J357" s="22" t="n">
        <v>1</v>
      </c>
      <c r="K357" s="22" t="n">
        <v>40</v>
      </c>
      <c r="L357" s="25" t="n">
        <v>10.4</v>
      </c>
      <c r="M357" s="25" t="n">
        <v>416</v>
      </c>
      <c r="N357" s="25" t="n">
        <v>53.41</v>
      </c>
      <c r="O357" s="25" t="n">
        <v>469.41</v>
      </c>
      <c r="P357" s="22" t="s">
        <v>11410</v>
      </c>
      <c r="Q357" s="23" t="n">
        <v>46249</v>
      </c>
      <c r="R357" s="22" t="n">
        <f aca="false">I357*J357</f>
        <v>40</v>
      </c>
      <c r="S357" s="25" t="n">
        <f aca="false">K357-R357</f>
        <v>0</v>
      </c>
      <c r="T357" s="25" t="n">
        <f aca="false">K357*L357</f>
        <v>416</v>
      </c>
      <c r="U357" s="25" t="n">
        <f aca="false">M357-T357</f>
        <v>0</v>
      </c>
      <c r="V357" s="25" t="n">
        <f aca="false">M357+N357</f>
        <v>469.41</v>
      </c>
      <c r="W357" s="25" t="n">
        <f aca="false">O357-V357</f>
        <v>0</v>
      </c>
      <c r="X357" s="22" t="str">
        <f aca="false">IF(OR(ABS(S357)&gt;0.005,ABS(U357)&gt;0.005,ABS(W357)&gt;0.005),"Subledger arithmetic error","OK")</f>
        <v>OK</v>
      </c>
      <c r="Y357" s="22" t="str">
        <f aca="false">IF(X357="OK","","Priority 3")</f>
        <v/>
      </c>
    </row>
    <row r="358" customFormat="false" ht="15" hidden="false" customHeight="false" outlineLevel="0" collapsed="false">
      <c r="A358" s="22" t="s">
        <v>12119</v>
      </c>
      <c r="B358" s="23" t="n">
        <v>46235</v>
      </c>
      <c r="C358" s="22" t="s">
        <v>12120</v>
      </c>
      <c r="D358" s="22" t="s">
        <v>539</v>
      </c>
      <c r="E358" s="22" t="s">
        <v>7504</v>
      </c>
      <c r="F358" s="22" t="s">
        <v>159</v>
      </c>
      <c r="G358" s="22" t="s">
        <v>8601</v>
      </c>
      <c r="H358" s="22" t="s">
        <v>11406</v>
      </c>
      <c r="I358" s="22" t="n">
        <v>28</v>
      </c>
      <c r="J358" s="22" t="n">
        <v>1</v>
      </c>
      <c r="K358" s="22" t="n">
        <v>28</v>
      </c>
      <c r="L358" s="25" t="n">
        <v>10.4</v>
      </c>
      <c r="M358" s="25" t="n">
        <v>291.2</v>
      </c>
      <c r="N358" s="25" t="n">
        <v>37.39</v>
      </c>
      <c r="O358" s="25" t="n">
        <v>328.59</v>
      </c>
      <c r="P358" s="22" t="s">
        <v>11407</v>
      </c>
      <c r="Q358" s="23" t="n">
        <v>46249</v>
      </c>
      <c r="R358" s="22" t="n">
        <f aca="false">I358*J358</f>
        <v>28</v>
      </c>
      <c r="S358" s="25" t="n">
        <f aca="false">K358-R358</f>
        <v>0</v>
      </c>
      <c r="T358" s="25" t="n">
        <f aca="false">K358*L358</f>
        <v>291.2</v>
      </c>
      <c r="U358" s="25" t="n">
        <f aca="false">M358-T358</f>
        <v>0</v>
      </c>
      <c r="V358" s="25" t="n">
        <f aca="false">M358+N358</f>
        <v>328.59</v>
      </c>
      <c r="W358" s="25" t="n">
        <f aca="false">O358-V358</f>
        <v>0</v>
      </c>
      <c r="X358" s="22" t="str">
        <f aca="false">IF(OR(ABS(S358)&gt;0.005,ABS(U358)&gt;0.005,ABS(W358)&gt;0.005),"Subledger arithmetic error","OK")</f>
        <v>OK</v>
      </c>
      <c r="Y358" s="22" t="str">
        <f aca="false">IF(X358="OK","","Priority 3")</f>
        <v/>
      </c>
    </row>
    <row r="359" customFormat="false" ht="15" hidden="false" customHeight="false" outlineLevel="0" collapsed="false">
      <c r="A359" s="22" t="s">
        <v>12121</v>
      </c>
      <c r="B359" s="23" t="n">
        <v>46235</v>
      </c>
      <c r="C359" s="22" t="s">
        <v>12122</v>
      </c>
      <c r="D359" s="22" t="s">
        <v>2637</v>
      </c>
      <c r="E359" s="22" t="s">
        <v>7505</v>
      </c>
      <c r="F359" s="22" t="s">
        <v>159</v>
      </c>
      <c r="G359" s="22" t="s">
        <v>8601</v>
      </c>
      <c r="H359" s="22" t="s">
        <v>11406</v>
      </c>
      <c r="I359" s="22" t="n">
        <v>28</v>
      </c>
      <c r="J359" s="22" t="n">
        <v>1</v>
      </c>
      <c r="K359" s="22" t="n">
        <v>28</v>
      </c>
      <c r="L359" s="25" t="n">
        <v>10.4</v>
      </c>
      <c r="M359" s="25" t="n">
        <v>291.2</v>
      </c>
      <c r="N359" s="25" t="n">
        <v>37.39</v>
      </c>
      <c r="O359" s="25" t="n">
        <v>328.59</v>
      </c>
      <c r="P359" s="22" t="s">
        <v>11410</v>
      </c>
      <c r="Q359" s="23" t="n">
        <v>46249</v>
      </c>
      <c r="R359" s="22" t="n">
        <f aca="false">I359*J359</f>
        <v>28</v>
      </c>
      <c r="S359" s="25" t="n">
        <f aca="false">K359-R359</f>
        <v>0</v>
      </c>
      <c r="T359" s="25" t="n">
        <f aca="false">K359*L359</f>
        <v>291.2</v>
      </c>
      <c r="U359" s="25" t="n">
        <f aca="false">M359-T359</f>
        <v>0</v>
      </c>
      <c r="V359" s="25" t="n">
        <f aca="false">M359+N359</f>
        <v>328.59</v>
      </c>
      <c r="W359" s="25" t="n">
        <f aca="false">O359-V359</f>
        <v>0</v>
      </c>
      <c r="X359" s="22" t="str">
        <f aca="false">IF(OR(ABS(S359)&gt;0.005,ABS(U359)&gt;0.005,ABS(W359)&gt;0.005),"Subledger arithmetic error","OK")</f>
        <v>OK</v>
      </c>
      <c r="Y359" s="22" t="str">
        <f aca="false">IF(X359="OK","","Priority 3")</f>
        <v/>
      </c>
    </row>
    <row r="360" customFormat="false" ht="15" hidden="false" customHeight="false" outlineLevel="0" collapsed="false">
      <c r="A360" s="22" t="s">
        <v>12123</v>
      </c>
      <c r="B360" s="23" t="n">
        <v>46235</v>
      </c>
      <c r="C360" s="22" t="s">
        <v>12124</v>
      </c>
      <c r="D360" s="22" t="s">
        <v>4506</v>
      </c>
      <c r="E360" s="22" t="s">
        <v>7506</v>
      </c>
      <c r="F360" s="22" t="s">
        <v>159</v>
      </c>
      <c r="G360" s="22" t="s">
        <v>8601</v>
      </c>
      <c r="H360" s="22" t="s">
        <v>11406</v>
      </c>
      <c r="I360" s="22" t="n">
        <v>36</v>
      </c>
      <c r="J360" s="22" t="n">
        <v>1</v>
      </c>
      <c r="K360" s="22" t="n">
        <v>36</v>
      </c>
      <c r="L360" s="25" t="n">
        <v>10.4</v>
      </c>
      <c r="M360" s="25" t="n">
        <v>374.4</v>
      </c>
      <c r="N360" s="25" t="n">
        <v>48.07</v>
      </c>
      <c r="O360" s="25" t="n">
        <v>422.47</v>
      </c>
      <c r="P360" s="22" t="s">
        <v>11407</v>
      </c>
      <c r="Q360" s="23" t="n">
        <v>46249</v>
      </c>
      <c r="R360" s="22" t="n">
        <f aca="false">I360*J360</f>
        <v>36</v>
      </c>
      <c r="S360" s="25" t="n">
        <f aca="false">K360-R360</f>
        <v>0</v>
      </c>
      <c r="T360" s="25" t="n">
        <f aca="false">K360*L360</f>
        <v>374.4</v>
      </c>
      <c r="U360" s="25" t="n">
        <f aca="false">M360-T360</f>
        <v>0</v>
      </c>
      <c r="V360" s="25" t="n">
        <f aca="false">M360+N360</f>
        <v>422.47</v>
      </c>
      <c r="W360" s="25" t="n">
        <f aca="false">O360-V360</f>
        <v>0</v>
      </c>
      <c r="X360" s="22" t="str">
        <f aca="false">IF(OR(ABS(S360)&gt;0.005,ABS(U360)&gt;0.005,ABS(W360)&gt;0.005),"Subledger arithmetic error","OK")</f>
        <v>OK</v>
      </c>
      <c r="Y360" s="22" t="str">
        <f aca="false">IF(X360="OK","","Priority 3")</f>
        <v/>
      </c>
    </row>
    <row r="361" customFormat="false" ht="15" hidden="false" customHeight="false" outlineLevel="0" collapsed="false">
      <c r="A361" s="22" t="s">
        <v>12125</v>
      </c>
      <c r="B361" s="23" t="n">
        <v>46235</v>
      </c>
      <c r="C361" s="22" t="s">
        <v>12126</v>
      </c>
      <c r="D361" s="22" t="s">
        <v>3512</v>
      </c>
      <c r="E361" s="22" t="s">
        <v>7507</v>
      </c>
      <c r="F361" s="22" t="s">
        <v>159</v>
      </c>
      <c r="G361" s="22" t="s">
        <v>8601</v>
      </c>
      <c r="H361" s="22" t="s">
        <v>11406</v>
      </c>
      <c r="I361" s="22" t="n">
        <v>45</v>
      </c>
      <c r="J361" s="22" t="n">
        <v>1</v>
      </c>
      <c r="K361" s="22" t="n">
        <v>45</v>
      </c>
      <c r="L361" s="25" t="n">
        <v>10.4</v>
      </c>
      <c r="M361" s="25" t="n">
        <v>468</v>
      </c>
      <c r="N361" s="25" t="n">
        <v>60.09</v>
      </c>
      <c r="O361" s="25" t="n">
        <v>528.09</v>
      </c>
      <c r="P361" s="22" t="s">
        <v>11407</v>
      </c>
      <c r="Q361" s="23" t="n">
        <v>46249</v>
      </c>
      <c r="R361" s="22" t="n">
        <f aca="false">I361*J361</f>
        <v>45</v>
      </c>
      <c r="S361" s="25" t="n">
        <f aca="false">K361-R361</f>
        <v>0</v>
      </c>
      <c r="T361" s="25" t="n">
        <f aca="false">K361*L361</f>
        <v>468</v>
      </c>
      <c r="U361" s="25" t="n">
        <f aca="false">M361-T361</f>
        <v>0</v>
      </c>
      <c r="V361" s="25" t="n">
        <f aca="false">M361+N361</f>
        <v>528.09</v>
      </c>
      <c r="W361" s="25" t="n">
        <f aca="false">O361-V361</f>
        <v>0</v>
      </c>
      <c r="X361" s="22" t="str">
        <f aca="false">IF(OR(ABS(S361)&gt;0.005,ABS(U361)&gt;0.005,ABS(W361)&gt;0.005),"Subledger arithmetic error","OK")</f>
        <v>OK</v>
      </c>
      <c r="Y361" s="22" t="str">
        <f aca="false">IF(X361="OK","","Priority 3")</f>
        <v/>
      </c>
    </row>
    <row r="362" customFormat="false" ht="15" hidden="false" customHeight="false" outlineLevel="0" collapsed="false">
      <c r="A362" s="22" t="s">
        <v>12127</v>
      </c>
      <c r="B362" s="23" t="n">
        <v>46235</v>
      </c>
      <c r="C362" s="22" t="s">
        <v>12128</v>
      </c>
      <c r="D362" s="22" t="s">
        <v>1711</v>
      </c>
      <c r="E362" s="22" t="s">
        <v>7509</v>
      </c>
      <c r="F362" s="22" t="s">
        <v>159</v>
      </c>
      <c r="G362" s="22" t="s">
        <v>8601</v>
      </c>
      <c r="H362" s="22" t="s">
        <v>11406</v>
      </c>
      <c r="I362" s="22" t="n">
        <v>36</v>
      </c>
      <c r="J362" s="22" t="n">
        <v>1</v>
      </c>
      <c r="K362" s="22" t="n">
        <v>36</v>
      </c>
      <c r="L362" s="25" t="n">
        <v>10.4</v>
      </c>
      <c r="M362" s="25" t="n">
        <v>374.4</v>
      </c>
      <c r="N362" s="25" t="n">
        <v>48.07</v>
      </c>
      <c r="O362" s="25" t="n">
        <v>422.47</v>
      </c>
      <c r="P362" s="22" t="s">
        <v>11407</v>
      </c>
      <c r="Q362" s="23" t="n">
        <v>46249</v>
      </c>
      <c r="R362" s="22" t="n">
        <f aca="false">I362*J362</f>
        <v>36</v>
      </c>
      <c r="S362" s="25" t="n">
        <f aca="false">K362-R362</f>
        <v>0</v>
      </c>
      <c r="T362" s="25" t="n">
        <f aca="false">K362*L362</f>
        <v>374.4</v>
      </c>
      <c r="U362" s="25" t="n">
        <f aca="false">M362-T362</f>
        <v>0</v>
      </c>
      <c r="V362" s="25" t="n">
        <f aca="false">M362+N362</f>
        <v>422.47</v>
      </c>
      <c r="W362" s="25" t="n">
        <f aca="false">O362-V362</f>
        <v>0</v>
      </c>
      <c r="X362" s="22" t="str">
        <f aca="false">IF(OR(ABS(S362)&gt;0.005,ABS(U362)&gt;0.005,ABS(W362)&gt;0.005),"Subledger arithmetic error","OK")</f>
        <v>OK</v>
      </c>
      <c r="Y362" s="22" t="str">
        <f aca="false">IF(X362="OK","","Priority 3")</f>
        <v/>
      </c>
    </row>
    <row r="363" customFormat="false" ht="15" hidden="false" customHeight="false" outlineLevel="0" collapsed="false">
      <c r="A363" s="22" t="s">
        <v>12129</v>
      </c>
      <c r="B363" s="23" t="n">
        <v>46235</v>
      </c>
      <c r="C363" s="22" t="s">
        <v>12130</v>
      </c>
      <c r="D363" s="22" t="s">
        <v>1608</v>
      </c>
      <c r="E363" s="22" t="s">
        <v>7513</v>
      </c>
      <c r="F363" s="22" t="s">
        <v>159</v>
      </c>
      <c r="G363" s="22" t="s">
        <v>8601</v>
      </c>
      <c r="H363" s="22" t="s">
        <v>11406</v>
      </c>
      <c r="I363" s="22" t="n">
        <v>36</v>
      </c>
      <c r="J363" s="22" t="n">
        <v>1</v>
      </c>
      <c r="K363" s="22" t="n">
        <v>36</v>
      </c>
      <c r="L363" s="25" t="n">
        <v>10.4</v>
      </c>
      <c r="M363" s="25" t="n">
        <v>374.4</v>
      </c>
      <c r="N363" s="25" t="n">
        <v>48.07</v>
      </c>
      <c r="O363" s="25" t="n">
        <v>422.47</v>
      </c>
      <c r="P363" s="22" t="s">
        <v>11407</v>
      </c>
      <c r="Q363" s="23" t="n">
        <v>46249</v>
      </c>
      <c r="R363" s="22" t="n">
        <f aca="false">I363*J363</f>
        <v>36</v>
      </c>
      <c r="S363" s="25" t="n">
        <f aca="false">K363-R363</f>
        <v>0</v>
      </c>
      <c r="T363" s="25" t="n">
        <f aca="false">K363*L363</f>
        <v>374.4</v>
      </c>
      <c r="U363" s="25" t="n">
        <f aca="false">M363-T363</f>
        <v>0</v>
      </c>
      <c r="V363" s="25" t="n">
        <f aca="false">M363+N363</f>
        <v>422.47</v>
      </c>
      <c r="W363" s="25" t="n">
        <f aca="false">O363-V363</f>
        <v>0</v>
      </c>
      <c r="X363" s="22" t="str">
        <f aca="false">IF(OR(ABS(S363)&gt;0.005,ABS(U363)&gt;0.005,ABS(W363)&gt;0.005),"Subledger arithmetic error","OK")</f>
        <v>OK</v>
      </c>
      <c r="Y363" s="22" t="str">
        <f aca="false">IF(X363="OK","","Priority 3")</f>
        <v/>
      </c>
    </row>
    <row r="364" customFormat="false" ht="15" hidden="false" customHeight="false" outlineLevel="0" collapsed="false">
      <c r="A364" s="22" t="s">
        <v>12131</v>
      </c>
      <c r="B364" s="23" t="n">
        <v>46235</v>
      </c>
      <c r="C364" s="22" t="s">
        <v>12132</v>
      </c>
      <c r="D364" s="22" t="s">
        <v>4851</v>
      </c>
      <c r="E364" s="22" t="s">
        <v>7515</v>
      </c>
      <c r="F364" s="22" t="s">
        <v>159</v>
      </c>
      <c r="G364" s="22" t="s">
        <v>8601</v>
      </c>
      <c r="H364" s="22" t="s">
        <v>11406</v>
      </c>
      <c r="I364" s="22" t="n">
        <v>60</v>
      </c>
      <c r="J364" s="22" t="n">
        <v>1</v>
      </c>
      <c r="K364" s="22" t="n">
        <v>60</v>
      </c>
      <c r="L364" s="25" t="n">
        <v>10.4</v>
      </c>
      <c r="M364" s="25" t="n">
        <v>624</v>
      </c>
      <c r="N364" s="25" t="n">
        <v>80.12</v>
      </c>
      <c r="O364" s="25" t="n">
        <v>704.12</v>
      </c>
      <c r="P364" s="22" t="s">
        <v>11407</v>
      </c>
      <c r="Q364" s="23" t="n">
        <v>46249</v>
      </c>
      <c r="R364" s="22" t="n">
        <f aca="false">I364*J364</f>
        <v>60</v>
      </c>
      <c r="S364" s="25" t="n">
        <f aca="false">K364-R364</f>
        <v>0</v>
      </c>
      <c r="T364" s="25" t="n">
        <f aca="false">K364*L364</f>
        <v>624</v>
      </c>
      <c r="U364" s="25" t="n">
        <f aca="false">M364-T364</f>
        <v>0</v>
      </c>
      <c r="V364" s="25" t="n">
        <f aca="false">M364+N364</f>
        <v>704.12</v>
      </c>
      <c r="W364" s="25" t="n">
        <f aca="false">O364-V364</f>
        <v>0</v>
      </c>
      <c r="X364" s="22" t="str">
        <f aca="false">IF(OR(ABS(S364)&gt;0.005,ABS(U364)&gt;0.005,ABS(W364)&gt;0.005),"Subledger arithmetic error","OK")</f>
        <v>OK</v>
      </c>
      <c r="Y364" s="22" t="str">
        <f aca="false">IF(X364="OK","","Priority 3")</f>
        <v/>
      </c>
    </row>
    <row r="365" customFormat="false" ht="15" hidden="false" customHeight="false" outlineLevel="0" collapsed="false">
      <c r="A365" s="22" t="s">
        <v>12133</v>
      </c>
      <c r="B365" s="23" t="n">
        <v>46235</v>
      </c>
      <c r="C365" s="22" t="s">
        <v>12134</v>
      </c>
      <c r="D365" s="22" t="s">
        <v>1083</v>
      </c>
      <c r="E365" s="22" t="s">
        <v>7517</v>
      </c>
      <c r="F365" s="22" t="s">
        <v>159</v>
      </c>
      <c r="G365" s="22" t="s">
        <v>8601</v>
      </c>
      <c r="H365" s="22" t="s">
        <v>11406</v>
      </c>
      <c r="I365" s="22" t="n">
        <v>32</v>
      </c>
      <c r="J365" s="22" t="n">
        <v>1</v>
      </c>
      <c r="K365" s="22" t="n">
        <v>32</v>
      </c>
      <c r="L365" s="25" t="n">
        <v>10.4</v>
      </c>
      <c r="M365" s="25" t="n">
        <v>332.8</v>
      </c>
      <c r="N365" s="25" t="n">
        <v>42.73</v>
      </c>
      <c r="O365" s="25" t="n">
        <v>375.53</v>
      </c>
      <c r="P365" s="22" t="s">
        <v>11407</v>
      </c>
      <c r="Q365" s="23" t="n">
        <v>46249</v>
      </c>
      <c r="R365" s="22" t="n">
        <f aca="false">I365*J365</f>
        <v>32</v>
      </c>
      <c r="S365" s="25" t="n">
        <f aca="false">K365-R365</f>
        <v>0</v>
      </c>
      <c r="T365" s="25" t="n">
        <f aca="false">K365*L365</f>
        <v>332.8</v>
      </c>
      <c r="U365" s="25" t="n">
        <f aca="false">M365-T365</f>
        <v>0</v>
      </c>
      <c r="V365" s="25" t="n">
        <f aca="false">M365+N365</f>
        <v>375.53</v>
      </c>
      <c r="W365" s="25" t="n">
        <f aca="false">O365-V365</f>
        <v>0</v>
      </c>
      <c r="X365" s="22" t="str">
        <f aca="false">IF(OR(ABS(S365)&gt;0.005,ABS(U365)&gt;0.005,ABS(W365)&gt;0.005),"Subledger arithmetic error","OK")</f>
        <v>OK</v>
      </c>
      <c r="Y365" s="22" t="str">
        <f aca="false">IF(X365="OK","","Priority 3")</f>
        <v/>
      </c>
    </row>
    <row r="366" customFormat="false" ht="15" hidden="false" customHeight="false" outlineLevel="0" collapsed="false">
      <c r="A366" s="22" t="s">
        <v>12135</v>
      </c>
      <c r="B366" s="23" t="n">
        <v>46235</v>
      </c>
      <c r="C366" s="22" t="s">
        <v>12136</v>
      </c>
      <c r="D366" s="22" t="s">
        <v>6479</v>
      </c>
      <c r="E366" s="22" t="s">
        <v>7519</v>
      </c>
      <c r="F366" s="22" t="s">
        <v>159</v>
      </c>
      <c r="G366" s="22" t="s">
        <v>8601</v>
      </c>
      <c r="H366" s="22" t="s">
        <v>11406</v>
      </c>
      <c r="I366" s="22" t="n">
        <v>57</v>
      </c>
      <c r="J366" s="22" t="n">
        <v>1</v>
      </c>
      <c r="K366" s="22" t="n">
        <v>57</v>
      </c>
      <c r="L366" s="25" t="n">
        <v>10.4</v>
      </c>
      <c r="M366" s="25" t="n">
        <v>592.8</v>
      </c>
      <c r="N366" s="25" t="n">
        <v>76.12</v>
      </c>
      <c r="O366" s="25" t="n">
        <v>668.92</v>
      </c>
      <c r="P366" s="22" t="s">
        <v>11407</v>
      </c>
      <c r="Q366" s="23" t="n">
        <v>46249</v>
      </c>
      <c r="R366" s="22" t="n">
        <f aca="false">I366*J366</f>
        <v>57</v>
      </c>
      <c r="S366" s="25" t="n">
        <f aca="false">K366-R366</f>
        <v>0</v>
      </c>
      <c r="T366" s="25" t="n">
        <f aca="false">K366*L366</f>
        <v>592.8</v>
      </c>
      <c r="U366" s="25" t="n">
        <f aca="false">M366-T366</f>
        <v>0</v>
      </c>
      <c r="V366" s="25" t="n">
        <f aca="false">M366+N366</f>
        <v>668.92</v>
      </c>
      <c r="W366" s="25" t="n">
        <f aca="false">O366-V366</f>
        <v>0</v>
      </c>
      <c r="X366" s="22" t="str">
        <f aca="false">IF(OR(ABS(S366)&gt;0.005,ABS(U366)&gt;0.005,ABS(W366)&gt;0.005),"Subledger arithmetic error","OK")</f>
        <v>OK</v>
      </c>
      <c r="Y366" s="22" t="str">
        <f aca="false">IF(X366="OK","","Priority 3")</f>
        <v/>
      </c>
    </row>
    <row r="367" customFormat="false" ht="15" hidden="false" customHeight="false" outlineLevel="0" collapsed="false">
      <c r="A367" s="22" t="s">
        <v>12137</v>
      </c>
      <c r="B367" s="23" t="n">
        <v>46235</v>
      </c>
      <c r="C367" s="22" t="s">
        <v>12138</v>
      </c>
      <c r="D367" s="22" t="s">
        <v>3643</v>
      </c>
      <c r="E367" s="22" t="s">
        <v>7520</v>
      </c>
      <c r="F367" s="22" t="s">
        <v>159</v>
      </c>
      <c r="G367" s="22" t="s">
        <v>8601</v>
      </c>
      <c r="H367" s="22" t="s">
        <v>11406</v>
      </c>
      <c r="I367" s="22" t="n">
        <v>55</v>
      </c>
      <c r="J367" s="22" t="n">
        <v>1</v>
      </c>
      <c r="K367" s="22" t="n">
        <v>55</v>
      </c>
      <c r="L367" s="25" t="n">
        <v>10.4</v>
      </c>
      <c r="M367" s="25" t="n">
        <v>572</v>
      </c>
      <c r="N367" s="25" t="n">
        <v>73.44</v>
      </c>
      <c r="O367" s="25" t="n">
        <v>645.44</v>
      </c>
      <c r="P367" s="22" t="s">
        <v>11407</v>
      </c>
      <c r="Q367" s="23" t="n">
        <v>46249</v>
      </c>
      <c r="R367" s="22" t="n">
        <f aca="false">I367*J367</f>
        <v>55</v>
      </c>
      <c r="S367" s="25" t="n">
        <f aca="false">K367-R367</f>
        <v>0</v>
      </c>
      <c r="T367" s="25" t="n">
        <f aca="false">K367*L367</f>
        <v>572</v>
      </c>
      <c r="U367" s="25" t="n">
        <f aca="false">M367-T367</f>
        <v>0</v>
      </c>
      <c r="V367" s="25" t="n">
        <f aca="false">M367+N367</f>
        <v>645.44</v>
      </c>
      <c r="W367" s="25" t="n">
        <f aca="false">O367-V367</f>
        <v>0</v>
      </c>
      <c r="X367" s="22" t="str">
        <f aca="false">IF(OR(ABS(S367)&gt;0.005,ABS(U367)&gt;0.005,ABS(W367)&gt;0.005),"Subledger arithmetic error","OK")</f>
        <v>OK</v>
      </c>
      <c r="Y367" s="22" t="str">
        <f aca="false">IF(X367="OK","","Priority 3")</f>
        <v/>
      </c>
    </row>
    <row r="368" customFormat="false" ht="15" hidden="false" customHeight="false" outlineLevel="0" collapsed="false">
      <c r="A368" s="22" t="s">
        <v>12139</v>
      </c>
      <c r="B368" s="23" t="n">
        <v>46235</v>
      </c>
      <c r="C368" s="22" t="s">
        <v>12140</v>
      </c>
      <c r="D368" s="22" t="s">
        <v>2295</v>
      </c>
      <c r="E368" s="22" t="s">
        <v>7521</v>
      </c>
      <c r="F368" s="22" t="s">
        <v>159</v>
      </c>
      <c r="G368" s="22" t="s">
        <v>8601</v>
      </c>
      <c r="H368" s="22" t="s">
        <v>11406</v>
      </c>
      <c r="I368" s="22" t="n">
        <v>45</v>
      </c>
      <c r="J368" s="22" t="n">
        <v>1</v>
      </c>
      <c r="K368" s="22" t="n">
        <v>45</v>
      </c>
      <c r="L368" s="25" t="n">
        <v>10.4</v>
      </c>
      <c r="M368" s="25" t="n">
        <v>468</v>
      </c>
      <c r="N368" s="25" t="n">
        <v>60.09</v>
      </c>
      <c r="O368" s="25" t="n">
        <v>528.09</v>
      </c>
      <c r="P368" s="22" t="s">
        <v>11407</v>
      </c>
      <c r="Q368" s="23" t="n">
        <v>46249</v>
      </c>
      <c r="R368" s="22" t="n">
        <f aca="false">I368*J368</f>
        <v>45</v>
      </c>
      <c r="S368" s="25" t="n">
        <f aca="false">K368-R368</f>
        <v>0</v>
      </c>
      <c r="T368" s="25" t="n">
        <f aca="false">K368*L368</f>
        <v>468</v>
      </c>
      <c r="U368" s="25" t="n">
        <f aca="false">M368-T368</f>
        <v>0</v>
      </c>
      <c r="V368" s="25" t="n">
        <f aca="false">M368+N368</f>
        <v>528.09</v>
      </c>
      <c r="W368" s="25" t="n">
        <f aca="false">O368-V368</f>
        <v>0</v>
      </c>
      <c r="X368" s="22" t="str">
        <f aca="false">IF(OR(ABS(S368)&gt;0.005,ABS(U368)&gt;0.005,ABS(W368)&gt;0.005),"Subledger arithmetic error","OK")</f>
        <v>OK</v>
      </c>
      <c r="Y368" s="22" t="str">
        <f aca="false">IF(X368="OK","","Priority 3")</f>
        <v/>
      </c>
    </row>
    <row r="369" customFormat="false" ht="15" hidden="false" customHeight="false" outlineLevel="0" collapsed="false">
      <c r="A369" s="22" t="s">
        <v>12141</v>
      </c>
      <c r="B369" s="23" t="n">
        <v>46235</v>
      </c>
      <c r="C369" s="22" t="s">
        <v>12142</v>
      </c>
      <c r="D369" s="22" t="s">
        <v>4115</v>
      </c>
      <c r="E369" s="22" t="s">
        <v>7522</v>
      </c>
      <c r="F369" s="22" t="s">
        <v>159</v>
      </c>
      <c r="G369" s="22" t="s">
        <v>8601</v>
      </c>
      <c r="H369" s="22" t="s">
        <v>11406</v>
      </c>
      <c r="I369" s="22" t="n">
        <v>50</v>
      </c>
      <c r="J369" s="22" t="n">
        <v>1</v>
      </c>
      <c r="K369" s="22" t="n">
        <v>50</v>
      </c>
      <c r="L369" s="25" t="n">
        <v>10.4</v>
      </c>
      <c r="M369" s="25" t="n">
        <v>520</v>
      </c>
      <c r="N369" s="25" t="n">
        <v>66.77</v>
      </c>
      <c r="O369" s="25" t="n">
        <v>586.77</v>
      </c>
      <c r="P369" s="22" t="s">
        <v>11407</v>
      </c>
      <c r="Q369" s="23" t="n">
        <v>46249</v>
      </c>
      <c r="R369" s="22" t="n">
        <f aca="false">I369*J369</f>
        <v>50</v>
      </c>
      <c r="S369" s="25" t="n">
        <f aca="false">K369-R369</f>
        <v>0</v>
      </c>
      <c r="T369" s="25" t="n">
        <f aca="false">K369*L369</f>
        <v>520</v>
      </c>
      <c r="U369" s="25" t="n">
        <f aca="false">M369-T369</f>
        <v>0</v>
      </c>
      <c r="V369" s="25" t="n">
        <f aca="false">M369+N369</f>
        <v>586.77</v>
      </c>
      <c r="W369" s="25" t="n">
        <f aca="false">O369-V369</f>
        <v>0</v>
      </c>
      <c r="X369" s="22" t="str">
        <f aca="false">IF(OR(ABS(S369)&gt;0.005,ABS(U369)&gt;0.005,ABS(W369)&gt;0.005),"Subledger arithmetic error","OK")</f>
        <v>OK</v>
      </c>
      <c r="Y369" s="22" t="str">
        <f aca="false">IF(X369="OK","","Priority 3")</f>
        <v/>
      </c>
    </row>
    <row r="370" customFormat="false" ht="15" hidden="false" customHeight="false" outlineLevel="0" collapsed="false">
      <c r="A370" s="22" t="s">
        <v>12143</v>
      </c>
      <c r="B370" s="23" t="n">
        <v>46235</v>
      </c>
      <c r="C370" s="22" t="s">
        <v>12144</v>
      </c>
      <c r="D370" s="22" t="s">
        <v>1805</v>
      </c>
      <c r="E370" s="22" t="s">
        <v>7524</v>
      </c>
      <c r="F370" s="22" t="s">
        <v>159</v>
      </c>
      <c r="G370" s="22" t="s">
        <v>8601</v>
      </c>
      <c r="H370" s="22" t="s">
        <v>11406</v>
      </c>
      <c r="I370" s="22" t="n">
        <v>33</v>
      </c>
      <c r="J370" s="22" t="n">
        <v>1</v>
      </c>
      <c r="K370" s="22" t="n">
        <v>33</v>
      </c>
      <c r="L370" s="25" t="n">
        <v>10.4</v>
      </c>
      <c r="M370" s="25" t="n">
        <v>343.2</v>
      </c>
      <c r="N370" s="25" t="n">
        <v>44.07</v>
      </c>
      <c r="O370" s="25" t="n">
        <v>387.27</v>
      </c>
      <c r="P370" s="22" t="s">
        <v>11407</v>
      </c>
      <c r="Q370" s="23" t="n">
        <v>46249</v>
      </c>
      <c r="R370" s="22" t="n">
        <f aca="false">I370*J370</f>
        <v>33</v>
      </c>
      <c r="S370" s="25" t="n">
        <f aca="false">K370-R370</f>
        <v>0</v>
      </c>
      <c r="T370" s="25" t="n">
        <f aca="false">K370*L370</f>
        <v>343.2</v>
      </c>
      <c r="U370" s="25" t="n">
        <f aca="false">M370-T370</f>
        <v>0</v>
      </c>
      <c r="V370" s="25" t="n">
        <f aca="false">M370+N370</f>
        <v>387.27</v>
      </c>
      <c r="W370" s="25" t="n">
        <f aca="false">O370-V370</f>
        <v>0</v>
      </c>
      <c r="X370" s="22" t="str">
        <f aca="false">IF(OR(ABS(S370)&gt;0.005,ABS(U370)&gt;0.005,ABS(W370)&gt;0.005),"Subledger arithmetic error","OK")</f>
        <v>OK</v>
      </c>
      <c r="Y370" s="22" t="str">
        <f aca="false">IF(X370="OK","","Priority 3")</f>
        <v/>
      </c>
    </row>
    <row r="371" customFormat="false" ht="15" hidden="false" customHeight="false" outlineLevel="0" collapsed="false">
      <c r="A371" s="22" t="s">
        <v>12145</v>
      </c>
      <c r="B371" s="23" t="n">
        <v>46235</v>
      </c>
      <c r="C371" s="22" t="s">
        <v>12146</v>
      </c>
      <c r="D371" s="22" t="s">
        <v>4500</v>
      </c>
      <c r="E371" s="22" t="s">
        <v>7526</v>
      </c>
      <c r="F371" s="22" t="s">
        <v>159</v>
      </c>
      <c r="G371" s="22" t="s">
        <v>8601</v>
      </c>
      <c r="H371" s="22" t="s">
        <v>11406</v>
      </c>
      <c r="I371" s="22" t="n">
        <v>49</v>
      </c>
      <c r="J371" s="22" t="n">
        <v>1</v>
      </c>
      <c r="K371" s="22" t="n">
        <v>49</v>
      </c>
      <c r="L371" s="25" t="n">
        <v>10.4</v>
      </c>
      <c r="M371" s="25" t="n">
        <v>509.6</v>
      </c>
      <c r="N371" s="25" t="n">
        <v>65.43</v>
      </c>
      <c r="O371" s="25" t="n">
        <v>575.03</v>
      </c>
      <c r="P371" s="22" t="s">
        <v>11407</v>
      </c>
      <c r="Q371" s="23" t="n">
        <v>46249</v>
      </c>
      <c r="R371" s="22" t="n">
        <f aca="false">I371*J371</f>
        <v>49</v>
      </c>
      <c r="S371" s="25" t="n">
        <f aca="false">K371-R371</f>
        <v>0</v>
      </c>
      <c r="T371" s="25" t="n">
        <f aca="false">K371*L371</f>
        <v>509.6</v>
      </c>
      <c r="U371" s="25" t="n">
        <f aca="false">M371-T371</f>
        <v>0</v>
      </c>
      <c r="V371" s="25" t="n">
        <f aca="false">M371+N371</f>
        <v>575.03</v>
      </c>
      <c r="W371" s="25" t="n">
        <f aca="false">O371-V371</f>
        <v>0</v>
      </c>
      <c r="X371" s="22" t="str">
        <f aca="false">IF(OR(ABS(S371)&gt;0.005,ABS(U371)&gt;0.005,ABS(W371)&gt;0.005),"Subledger arithmetic error","OK")</f>
        <v>OK</v>
      </c>
      <c r="Y371" s="22" t="str">
        <f aca="false">IF(X371="OK","","Priority 3")</f>
        <v/>
      </c>
    </row>
    <row r="372" customFormat="false" ht="15" hidden="false" customHeight="false" outlineLevel="0" collapsed="false">
      <c r="A372" s="22" t="s">
        <v>12147</v>
      </c>
      <c r="B372" s="23" t="n">
        <v>46235</v>
      </c>
      <c r="C372" s="22" t="s">
        <v>12148</v>
      </c>
      <c r="D372" s="22" t="s">
        <v>4380</v>
      </c>
      <c r="E372" s="22" t="s">
        <v>7528</v>
      </c>
      <c r="F372" s="22" t="s">
        <v>159</v>
      </c>
      <c r="G372" s="22" t="s">
        <v>8601</v>
      </c>
      <c r="H372" s="22" t="s">
        <v>11406</v>
      </c>
      <c r="I372" s="22" t="n">
        <v>60</v>
      </c>
      <c r="J372" s="22" t="n">
        <v>1</v>
      </c>
      <c r="K372" s="22" t="n">
        <v>60</v>
      </c>
      <c r="L372" s="25" t="n">
        <v>10.4</v>
      </c>
      <c r="M372" s="25" t="n">
        <v>624</v>
      </c>
      <c r="N372" s="25" t="n">
        <v>80.12</v>
      </c>
      <c r="O372" s="25" t="n">
        <v>704.12</v>
      </c>
      <c r="P372" s="22" t="s">
        <v>11407</v>
      </c>
      <c r="Q372" s="23" t="n">
        <v>46249</v>
      </c>
      <c r="R372" s="22" t="n">
        <f aca="false">I372*J372</f>
        <v>60</v>
      </c>
      <c r="S372" s="25" t="n">
        <f aca="false">K372-R372</f>
        <v>0</v>
      </c>
      <c r="T372" s="25" t="n">
        <f aca="false">K372*L372</f>
        <v>624</v>
      </c>
      <c r="U372" s="25" t="n">
        <f aca="false">M372-T372</f>
        <v>0</v>
      </c>
      <c r="V372" s="25" t="n">
        <f aca="false">M372+N372</f>
        <v>704.12</v>
      </c>
      <c r="W372" s="25" t="n">
        <f aca="false">O372-V372</f>
        <v>0</v>
      </c>
      <c r="X372" s="22" t="str">
        <f aca="false">IF(OR(ABS(S372)&gt;0.005,ABS(U372)&gt;0.005,ABS(W372)&gt;0.005),"Subledger arithmetic error","OK")</f>
        <v>OK</v>
      </c>
      <c r="Y372" s="22" t="str">
        <f aca="false">IF(X372="OK","","Priority 3")</f>
        <v/>
      </c>
    </row>
    <row r="373" customFormat="false" ht="15" hidden="false" customHeight="false" outlineLevel="0" collapsed="false">
      <c r="A373" s="22" t="s">
        <v>12149</v>
      </c>
      <c r="B373" s="23" t="n">
        <v>46235</v>
      </c>
      <c r="C373" s="22" t="s">
        <v>12150</v>
      </c>
      <c r="D373" s="22" t="s">
        <v>2290</v>
      </c>
      <c r="E373" s="22" t="s">
        <v>7530</v>
      </c>
      <c r="F373" s="22" t="s">
        <v>159</v>
      </c>
      <c r="G373" s="22" t="s">
        <v>8601</v>
      </c>
      <c r="H373" s="22" t="s">
        <v>11406</v>
      </c>
      <c r="I373" s="22" t="n">
        <v>62</v>
      </c>
      <c r="J373" s="22" t="n">
        <v>1</v>
      </c>
      <c r="K373" s="22" t="n">
        <v>62</v>
      </c>
      <c r="L373" s="25" t="n">
        <v>10.4</v>
      </c>
      <c r="M373" s="25" t="n">
        <v>644.8</v>
      </c>
      <c r="N373" s="25" t="n">
        <v>82.79</v>
      </c>
      <c r="O373" s="25" t="n">
        <v>727.59</v>
      </c>
      <c r="P373" s="22" t="s">
        <v>11407</v>
      </c>
      <c r="Q373" s="23" t="n">
        <v>46249</v>
      </c>
      <c r="R373" s="22" t="n">
        <f aca="false">I373*J373</f>
        <v>62</v>
      </c>
      <c r="S373" s="25" t="n">
        <f aca="false">K373-R373</f>
        <v>0</v>
      </c>
      <c r="T373" s="25" t="n">
        <f aca="false">K373*L373</f>
        <v>644.8</v>
      </c>
      <c r="U373" s="25" t="n">
        <f aca="false">M373-T373</f>
        <v>0</v>
      </c>
      <c r="V373" s="25" t="n">
        <f aca="false">M373+N373</f>
        <v>727.59</v>
      </c>
      <c r="W373" s="25" t="n">
        <f aca="false">O373-V373</f>
        <v>0</v>
      </c>
      <c r="X373" s="22" t="str">
        <f aca="false">IF(OR(ABS(S373)&gt;0.005,ABS(U373)&gt;0.005,ABS(W373)&gt;0.005),"Subledger arithmetic error","OK")</f>
        <v>OK</v>
      </c>
      <c r="Y373" s="22" t="str">
        <f aca="false">IF(X373="OK","","Priority 3")</f>
        <v/>
      </c>
    </row>
    <row r="374" customFormat="false" ht="15" hidden="false" customHeight="false" outlineLevel="0" collapsed="false">
      <c r="A374" s="22" t="s">
        <v>12151</v>
      </c>
      <c r="B374" s="23" t="n">
        <v>46235</v>
      </c>
      <c r="C374" s="22" t="s">
        <v>12152</v>
      </c>
      <c r="D374" s="22" t="s">
        <v>808</v>
      </c>
      <c r="E374" s="22" t="s">
        <v>7532</v>
      </c>
      <c r="F374" s="22" t="s">
        <v>159</v>
      </c>
      <c r="G374" s="22" t="s">
        <v>8601</v>
      </c>
      <c r="H374" s="22" t="s">
        <v>11406</v>
      </c>
      <c r="I374" s="22" t="n">
        <v>48</v>
      </c>
      <c r="J374" s="22" t="n">
        <v>1</v>
      </c>
      <c r="K374" s="22" t="n">
        <v>48</v>
      </c>
      <c r="L374" s="25" t="n">
        <v>10.4</v>
      </c>
      <c r="M374" s="25" t="n">
        <v>499.2</v>
      </c>
      <c r="N374" s="25" t="n">
        <v>64.1</v>
      </c>
      <c r="O374" s="25" t="n">
        <v>563.3</v>
      </c>
      <c r="P374" s="22" t="s">
        <v>11407</v>
      </c>
      <c r="Q374" s="23" t="n">
        <v>46249</v>
      </c>
      <c r="R374" s="22" t="n">
        <f aca="false">I374*J374</f>
        <v>48</v>
      </c>
      <c r="S374" s="25" t="n">
        <f aca="false">K374-R374</f>
        <v>0</v>
      </c>
      <c r="T374" s="25" t="n">
        <f aca="false">K374*L374</f>
        <v>499.2</v>
      </c>
      <c r="U374" s="25" t="n">
        <f aca="false">M374-T374</f>
        <v>0</v>
      </c>
      <c r="V374" s="25" t="n">
        <f aca="false">M374+N374</f>
        <v>563.3</v>
      </c>
      <c r="W374" s="25" t="n">
        <f aca="false">O374-V374</f>
        <v>0</v>
      </c>
      <c r="X374" s="22" t="str">
        <f aca="false">IF(OR(ABS(S374)&gt;0.005,ABS(U374)&gt;0.005,ABS(W374)&gt;0.005),"Subledger arithmetic error","OK")</f>
        <v>OK</v>
      </c>
      <c r="Y374" s="22" t="str">
        <f aca="false">IF(X374="OK","","Priority 3")</f>
        <v/>
      </c>
    </row>
    <row r="375" customFormat="false" ht="15" hidden="false" customHeight="false" outlineLevel="0" collapsed="false">
      <c r="A375" s="22" t="s">
        <v>12153</v>
      </c>
      <c r="B375" s="23" t="n">
        <v>46235</v>
      </c>
      <c r="C375" s="22" t="s">
        <v>12154</v>
      </c>
      <c r="D375" s="22" t="s">
        <v>934</v>
      </c>
      <c r="E375" s="22" t="s">
        <v>7533</v>
      </c>
      <c r="F375" s="22" t="s">
        <v>159</v>
      </c>
      <c r="G375" s="22" t="s">
        <v>8601</v>
      </c>
      <c r="H375" s="22" t="s">
        <v>11406</v>
      </c>
      <c r="I375" s="22" t="n">
        <v>24</v>
      </c>
      <c r="J375" s="22" t="n">
        <v>1</v>
      </c>
      <c r="K375" s="22" t="n">
        <v>24</v>
      </c>
      <c r="L375" s="25" t="n">
        <v>10.4</v>
      </c>
      <c r="M375" s="25" t="n">
        <v>249.6</v>
      </c>
      <c r="N375" s="25" t="n">
        <v>32.05</v>
      </c>
      <c r="O375" s="25" t="n">
        <v>281.65</v>
      </c>
      <c r="P375" s="22" t="s">
        <v>11407</v>
      </c>
      <c r="Q375" s="23" t="n">
        <v>46249</v>
      </c>
      <c r="R375" s="22" t="n">
        <f aca="false">I375*J375</f>
        <v>24</v>
      </c>
      <c r="S375" s="25" t="n">
        <f aca="false">K375-R375</f>
        <v>0</v>
      </c>
      <c r="T375" s="25" t="n">
        <f aca="false">K375*L375</f>
        <v>249.6</v>
      </c>
      <c r="U375" s="25" t="n">
        <f aca="false">M375-T375</f>
        <v>0</v>
      </c>
      <c r="V375" s="25" t="n">
        <f aca="false">M375+N375</f>
        <v>281.65</v>
      </c>
      <c r="W375" s="25" t="n">
        <f aca="false">O375-V375</f>
        <v>0</v>
      </c>
      <c r="X375" s="22" t="str">
        <f aca="false">IF(OR(ABS(S375)&gt;0.005,ABS(U375)&gt;0.005,ABS(W375)&gt;0.005),"Subledger arithmetic error","OK")</f>
        <v>OK</v>
      </c>
      <c r="Y375" s="22" t="str">
        <f aca="false">IF(X375="OK","","Priority 3")</f>
        <v/>
      </c>
    </row>
    <row r="376" customFormat="false" ht="15" hidden="false" customHeight="false" outlineLevel="0" collapsed="false">
      <c r="A376" s="22" t="s">
        <v>12155</v>
      </c>
      <c r="B376" s="23" t="n">
        <v>46235</v>
      </c>
      <c r="C376" s="22" t="s">
        <v>12156</v>
      </c>
      <c r="D376" s="22" t="s">
        <v>405</v>
      </c>
      <c r="E376" s="22" t="s">
        <v>7535</v>
      </c>
      <c r="F376" s="22" t="s">
        <v>159</v>
      </c>
      <c r="G376" s="22" t="s">
        <v>8601</v>
      </c>
      <c r="H376" s="22" t="s">
        <v>11406</v>
      </c>
      <c r="I376" s="22" t="n">
        <v>32</v>
      </c>
      <c r="J376" s="22" t="n">
        <v>1</v>
      </c>
      <c r="K376" s="22" t="n">
        <v>32</v>
      </c>
      <c r="L376" s="25" t="n">
        <v>10.4</v>
      </c>
      <c r="M376" s="25" t="n">
        <v>332.8</v>
      </c>
      <c r="N376" s="25" t="n">
        <v>42.73</v>
      </c>
      <c r="O376" s="25" t="n">
        <v>375.53</v>
      </c>
      <c r="P376" s="22" t="s">
        <v>11407</v>
      </c>
      <c r="Q376" s="23" t="n">
        <v>46249</v>
      </c>
      <c r="R376" s="22" t="n">
        <f aca="false">I376*J376</f>
        <v>32</v>
      </c>
      <c r="S376" s="25" t="n">
        <f aca="false">K376-R376</f>
        <v>0</v>
      </c>
      <c r="T376" s="25" t="n">
        <f aca="false">K376*L376</f>
        <v>332.8</v>
      </c>
      <c r="U376" s="25" t="n">
        <f aca="false">M376-T376</f>
        <v>0</v>
      </c>
      <c r="V376" s="25" t="n">
        <f aca="false">M376+N376</f>
        <v>375.53</v>
      </c>
      <c r="W376" s="25" t="n">
        <f aca="false">O376-V376</f>
        <v>0</v>
      </c>
      <c r="X376" s="22" t="str">
        <f aca="false">IF(OR(ABS(S376)&gt;0.005,ABS(U376)&gt;0.005,ABS(W376)&gt;0.005),"Subledger arithmetic error","OK")</f>
        <v>OK</v>
      </c>
      <c r="Y376" s="22" t="str">
        <f aca="false">IF(X376="OK","","Priority 3")</f>
        <v/>
      </c>
    </row>
    <row r="377" customFormat="false" ht="15" hidden="false" customHeight="false" outlineLevel="0" collapsed="false">
      <c r="A377" s="22" t="s">
        <v>12157</v>
      </c>
      <c r="B377" s="23" t="n">
        <v>46235</v>
      </c>
      <c r="C377" s="22" t="s">
        <v>12158</v>
      </c>
      <c r="D377" s="22" t="s">
        <v>4216</v>
      </c>
      <c r="E377" s="22" t="s">
        <v>7537</v>
      </c>
      <c r="F377" s="22" t="s">
        <v>159</v>
      </c>
      <c r="G377" s="22" t="s">
        <v>8601</v>
      </c>
      <c r="H377" s="22" t="s">
        <v>11406</v>
      </c>
      <c r="I377" s="22" t="n">
        <v>43</v>
      </c>
      <c r="J377" s="22" t="n">
        <v>1</v>
      </c>
      <c r="K377" s="22" t="n">
        <v>43</v>
      </c>
      <c r="L377" s="25" t="n">
        <v>10.4</v>
      </c>
      <c r="M377" s="25" t="n">
        <v>447.2</v>
      </c>
      <c r="N377" s="25" t="n">
        <v>57.42</v>
      </c>
      <c r="O377" s="25" t="n">
        <v>504.62</v>
      </c>
      <c r="P377" s="22" t="s">
        <v>11407</v>
      </c>
      <c r="Q377" s="23" t="n">
        <v>46249</v>
      </c>
      <c r="R377" s="22" t="n">
        <f aca="false">I377*J377</f>
        <v>43</v>
      </c>
      <c r="S377" s="25" t="n">
        <f aca="false">K377-R377</f>
        <v>0</v>
      </c>
      <c r="T377" s="25" t="n">
        <f aca="false">K377*L377</f>
        <v>447.2</v>
      </c>
      <c r="U377" s="25" t="n">
        <f aca="false">M377-T377</f>
        <v>0</v>
      </c>
      <c r="V377" s="25" t="n">
        <f aca="false">M377+N377</f>
        <v>504.62</v>
      </c>
      <c r="W377" s="25" t="n">
        <f aca="false">O377-V377</f>
        <v>0</v>
      </c>
      <c r="X377" s="22" t="str">
        <f aca="false">IF(OR(ABS(S377)&gt;0.005,ABS(U377)&gt;0.005,ABS(W377)&gt;0.005),"Subledger arithmetic error","OK")</f>
        <v>OK</v>
      </c>
      <c r="Y377" s="22" t="str">
        <f aca="false">IF(X377="OK","","Priority 3")</f>
        <v/>
      </c>
    </row>
    <row r="378" customFormat="false" ht="15" hidden="false" customHeight="false" outlineLevel="0" collapsed="false">
      <c r="A378" s="22" t="s">
        <v>12159</v>
      </c>
      <c r="B378" s="23" t="n">
        <v>46235</v>
      </c>
      <c r="C378" s="22" t="s">
        <v>12160</v>
      </c>
      <c r="D378" s="22" t="s">
        <v>5347</v>
      </c>
      <c r="E378" s="22" t="s">
        <v>7539</v>
      </c>
      <c r="F378" s="22" t="s">
        <v>159</v>
      </c>
      <c r="G378" s="22" t="s">
        <v>8601</v>
      </c>
      <c r="H378" s="22" t="s">
        <v>11406</v>
      </c>
      <c r="I378" s="22" t="n">
        <v>40</v>
      </c>
      <c r="J378" s="22" t="n">
        <v>1</v>
      </c>
      <c r="K378" s="22" t="n">
        <v>40</v>
      </c>
      <c r="L378" s="25" t="n">
        <v>10.4</v>
      </c>
      <c r="M378" s="25" t="n">
        <v>416</v>
      </c>
      <c r="N378" s="25" t="n">
        <v>53.41</v>
      </c>
      <c r="O378" s="25" t="n">
        <v>469.41</v>
      </c>
      <c r="P378" s="22" t="s">
        <v>7696</v>
      </c>
      <c r="Q378" s="23" t="n">
        <v>46249</v>
      </c>
      <c r="R378" s="22" t="n">
        <f aca="false">I378*J378</f>
        <v>40</v>
      </c>
      <c r="S378" s="25" t="n">
        <f aca="false">K378-R378</f>
        <v>0</v>
      </c>
      <c r="T378" s="25" t="n">
        <f aca="false">K378*L378</f>
        <v>416</v>
      </c>
      <c r="U378" s="25" t="n">
        <f aca="false">M378-T378</f>
        <v>0</v>
      </c>
      <c r="V378" s="25" t="n">
        <f aca="false">M378+N378</f>
        <v>469.41</v>
      </c>
      <c r="W378" s="25" t="n">
        <f aca="false">O378-V378</f>
        <v>0</v>
      </c>
      <c r="X378" s="22" t="str">
        <f aca="false">IF(OR(ABS(S378)&gt;0.005,ABS(U378)&gt;0.005,ABS(W378)&gt;0.005),"Subledger arithmetic error","OK")</f>
        <v>OK</v>
      </c>
      <c r="Y378" s="22" t="str">
        <f aca="false">IF(X378="OK","","Priority 3")</f>
        <v/>
      </c>
    </row>
    <row r="379" customFormat="false" ht="15" hidden="false" customHeight="false" outlineLevel="0" collapsed="false">
      <c r="A379" s="22" t="s">
        <v>12161</v>
      </c>
      <c r="B379" s="23" t="n">
        <v>46235</v>
      </c>
      <c r="C379" s="22" t="s">
        <v>12162</v>
      </c>
      <c r="D379" s="22" t="s">
        <v>3085</v>
      </c>
      <c r="E379" s="22" t="s">
        <v>7541</v>
      </c>
      <c r="F379" s="22" t="s">
        <v>159</v>
      </c>
      <c r="G379" s="22" t="s">
        <v>8601</v>
      </c>
      <c r="H379" s="22" t="s">
        <v>11406</v>
      </c>
      <c r="I379" s="22" t="n">
        <v>38</v>
      </c>
      <c r="J379" s="22" t="n">
        <v>1</v>
      </c>
      <c r="K379" s="22" t="n">
        <v>38</v>
      </c>
      <c r="L379" s="25" t="n">
        <v>10.4</v>
      </c>
      <c r="M379" s="25" t="n">
        <v>395.2</v>
      </c>
      <c r="N379" s="25" t="n">
        <v>50.74</v>
      </c>
      <c r="O379" s="25" t="n">
        <v>445.94</v>
      </c>
      <c r="P379" s="22" t="s">
        <v>11407</v>
      </c>
      <c r="Q379" s="23" t="n">
        <v>46249</v>
      </c>
      <c r="R379" s="22" t="n">
        <f aca="false">I379*J379</f>
        <v>38</v>
      </c>
      <c r="S379" s="25" t="n">
        <f aca="false">K379-R379</f>
        <v>0</v>
      </c>
      <c r="T379" s="25" t="n">
        <f aca="false">K379*L379</f>
        <v>395.2</v>
      </c>
      <c r="U379" s="25" t="n">
        <f aca="false">M379-T379</f>
        <v>0</v>
      </c>
      <c r="V379" s="25" t="n">
        <f aca="false">M379+N379</f>
        <v>445.94</v>
      </c>
      <c r="W379" s="25" t="n">
        <f aca="false">O379-V379</f>
        <v>0</v>
      </c>
      <c r="X379" s="22" t="str">
        <f aca="false">IF(OR(ABS(S379)&gt;0.005,ABS(U379)&gt;0.005,ABS(W379)&gt;0.005),"Subledger arithmetic error","OK")</f>
        <v>OK</v>
      </c>
      <c r="Y379" s="22" t="str">
        <f aca="false">IF(X379="OK","","Priority 3")</f>
        <v/>
      </c>
    </row>
    <row r="380" customFormat="false" ht="15" hidden="false" customHeight="false" outlineLevel="0" collapsed="false">
      <c r="A380" s="22" t="s">
        <v>12163</v>
      </c>
      <c r="B380" s="23" t="n">
        <v>46235</v>
      </c>
      <c r="C380" s="22" t="s">
        <v>12164</v>
      </c>
      <c r="D380" s="22" t="s">
        <v>2412</v>
      </c>
      <c r="E380" s="22" t="s">
        <v>7544</v>
      </c>
      <c r="F380" s="22" t="s">
        <v>159</v>
      </c>
      <c r="G380" s="22" t="s">
        <v>8601</v>
      </c>
      <c r="H380" s="22" t="s">
        <v>11406</v>
      </c>
      <c r="I380" s="22" t="n">
        <v>61</v>
      </c>
      <c r="J380" s="22" t="n">
        <v>1</v>
      </c>
      <c r="K380" s="22" t="n">
        <v>61</v>
      </c>
      <c r="L380" s="25" t="n">
        <v>10.4</v>
      </c>
      <c r="M380" s="25" t="n">
        <v>634.4</v>
      </c>
      <c r="N380" s="25" t="n">
        <v>81.46</v>
      </c>
      <c r="O380" s="25" t="n">
        <v>715.86</v>
      </c>
      <c r="P380" s="22" t="s">
        <v>11407</v>
      </c>
      <c r="Q380" s="23" t="n">
        <v>46249</v>
      </c>
      <c r="R380" s="22" t="n">
        <f aca="false">I380*J380</f>
        <v>61</v>
      </c>
      <c r="S380" s="25" t="n">
        <f aca="false">K380-R380</f>
        <v>0</v>
      </c>
      <c r="T380" s="25" t="n">
        <f aca="false">K380*L380</f>
        <v>634.4</v>
      </c>
      <c r="U380" s="25" t="n">
        <f aca="false">M380-T380</f>
        <v>0</v>
      </c>
      <c r="V380" s="25" t="n">
        <f aca="false">M380+N380</f>
        <v>715.86</v>
      </c>
      <c r="W380" s="25" t="n">
        <f aca="false">O380-V380</f>
        <v>0</v>
      </c>
      <c r="X380" s="22" t="str">
        <f aca="false">IF(OR(ABS(S380)&gt;0.005,ABS(U380)&gt;0.005,ABS(W380)&gt;0.005),"Subledger arithmetic error","OK")</f>
        <v>OK</v>
      </c>
      <c r="Y380" s="22" t="str">
        <f aca="false">IF(X380="OK","","Priority 3")</f>
        <v/>
      </c>
    </row>
    <row r="381" customFormat="false" ht="15" hidden="false" customHeight="false" outlineLevel="0" collapsed="false">
      <c r="A381" s="22" t="s">
        <v>12165</v>
      </c>
      <c r="B381" s="23" t="n">
        <v>46235</v>
      </c>
      <c r="C381" s="22" t="s">
        <v>12166</v>
      </c>
      <c r="D381" s="22" t="s">
        <v>4193</v>
      </c>
      <c r="E381" s="22" t="s">
        <v>7545</v>
      </c>
      <c r="F381" s="22" t="s">
        <v>159</v>
      </c>
      <c r="G381" s="22" t="s">
        <v>8601</v>
      </c>
      <c r="H381" s="22" t="s">
        <v>11406</v>
      </c>
      <c r="I381" s="22" t="n">
        <v>44</v>
      </c>
      <c r="J381" s="22" t="n">
        <v>1</v>
      </c>
      <c r="K381" s="22" t="n">
        <v>44</v>
      </c>
      <c r="L381" s="25" t="n">
        <v>10.4</v>
      </c>
      <c r="M381" s="25" t="n">
        <v>457.6</v>
      </c>
      <c r="N381" s="25" t="n">
        <v>58.76</v>
      </c>
      <c r="O381" s="25" t="n">
        <v>516.36</v>
      </c>
      <c r="P381" s="22" t="s">
        <v>11407</v>
      </c>
      <c r="Q381" s="23" t="n">
        <v>46249</v>
      </c>
      <c r="R381" s="22" t="n">
        <f aca="false">I381*J381</f>
        <v>44</v>
      </c>
      <c r="S381" s="25" t="n">
        <f aca="false">K381-R381</f>
        <v>0</v>
      </c>
      <c r="T381" s="25" t="n">
        <f aca="false">K381*L381</f>
        <v>457.6</v>
      </c>
      <c r="U381" s="25" t="n">
        <f aca="false">M381-T381</f>
        <v>0</v>
      </c>
      <c r="V381" s="25" t="n">
        <f aca="false">M381+N381</f>
        <v>516.36</v>
      </c>
      <c r="W381" s="25" t="n">
        <f aca="false">O381-V381</f>
        <v>0</v>
      </c>
      <c r="X381" s="22" t="str">
        <f aca="false">IF(OR(ABS(S381)&gt;0.005,ABS(U381)&gt;0.005,ABS(W381)&gt;0.005),"Subledger arithmetic error","OK")</f>
        <v>OK</v>
      </c>
      <c r="Y381" s="22" t="str">
        <f aca="false">IF(X381="OK","","Priority 3")</f>
        <v/>
      </c>
    </row>
    <row r="382" customFormat="false" ht="15" hidden="false" customHeight="false" outlineLevel="0" collapsed="false">
      <c r="A382" s="22" t="s">
        <v>12167</v>
      </c>
      <c r="B382" s="23" t="n">
        <v>46235</v>
      </c>
      <c r="C382" s="22" t="s">
        <v>12168</v>
      </c>
      <c r="D382" s="22" t="s">
        <v>4729</v>
      </c>
      <c r="E382" s="22" t="s">
        <v>7547</v>
      </c>
      <c r="F382" s="22" t="s">
        <v>159</v>
      </c>
      <c r="G382" s="22" t="s">
        <v>8601</v>
      </c>
      <c r="H382" s="22" t="s">
        <v>11406</v>
      </c>
      <c r="I382" s="22" t="n">
        <v>46</v>
      </c>
      <c r="J382" s="22" t="n">
        <v>1</v>
      </c>
      <c r="K382" s="22" t="n">
        <v>46</v>
      </c>
      <c r="L382" s="25" t="n">
        <v>10.4</v>
      </c>
      <c r="M382" s="25" t="n">
        <v>478.4</v>
      </c>
      <c r="N382" s="25" t="n">
        <v>61.43</v>
      </c>
      <c r="O382" s="25" t="n">
        <v>539.83</v>
      </c>
      <c r="P382" s="22" t="s">
        <v>11407</v>
      </c>
      <c r="Q382" s="23" t="n">
        <v>46249</v>
      </c>
      <c r="R382" s="22" t="n">
        <f aca="false">I382*J382</f>
        <v>46</v>
      </c>
      <c r="S382" s="25" t="n">
        <f aca="false">K382-R382</f>
        <v>0</v>
      </c>
      <c r="T382" s="25" t="n">
        <f aca="false">K382*L382</f>
        <v>478.4</v>
      </c>
      <c r="U382" s="25" t="n">
        <f aca="false">M382-T382</f>
        <v>0</v>
      </c>
      <c r="V382" s="25" t="n">
        <f aca="false">M382+N382</f>
        <v>539.83</v>
      </c>
      <c r="W382" s="25" t="n">
        <f aca="false">O382-V382</f>
        <v>0</v>
      </c>
      <c r="X382" s="22" t="str">
        <f aca="false">IF(OR(ABS(S382)&gt;0.005,ABS(U382)&gt;0.005,ABS(W382)&gt;0.005),"Subledger arithmetic error","OK")</f>
        <v>OK</v>
      </c>
      <c r="Y382" s="22" t="str">
        <f aca="false">IF(X382="OK","","Priority 3")</f>
        <v/>
      </c>
    </row>
    <row r="383" customFormat="false" ht="15" hidden="false" customHeight="false" outlineLevel="0" collapsed="false">
      <c r="A383" s="22" t="s">
        <v>12169</v>
      </c>
      <c r="B383" s="23" t="n">
        <v>46235</v>
      </c>
      <c r="C383" s="22" t="s">
        <v>12170</v>
      </c>
      <c r="D383" s="22" t="s">
        <v>3967</v>
      </c>
      <c r="E383" s="22" t="s">
        <v>7549</v>
      </c>
      <c r="F383" s="22" t="s">
        <v>159</v>
      </c>
      <c r="G383" s="22" t="s">
        <v>8601</v>
      </c>
      <c r="H383" s="22" t="s">
        <v>11406</v>
      </c>
      <c r="I383" s="22" t="n">
        <v>34</v>
      </c>
      <c r="J383" s="22" t="n">
        <v>1</v>
      </c>
      <c r="K383" s="22" t="n">
        <v>34</v>
      </c>
      <c r="L383" s="25" t="n">
        <v>10.4</v>
      </c>
      <c r="M383" s="25" t="n">
        <v>353.6</v>
      </c>
      <c r="N383" s="25" t="n">
        <v>45.4</v>
      </c>
      <c r="O383" s="25" t="n">
        <v>399</v>
      </c>
      <c r="P383" s="22" t="s">
        <v>11407</v>
      </c>
      <c r="Q383" s="23" t="n">
        <v>46249</v>
      </c>
      <c r="R383" s="22" t="n">
        <f aca="false">I383*J383</f>
        <v>34</v>
      </c>
      <c r="S383" s="25" t="n">
        <f aca="false">K383-R383</f>
        <v>0</v>
      </c>
      <c r="T383" s="25" t="n">
        <f aca="false">K383*L383</f>
        <v>353.6</v>
      </c>
      <c r="U383" s="25" t="n">
        <f aca="false">M383-T383</f>
        <v>0</v>
      </c>
      <c r="V383" s="25" t="n">
        <f aca="false">M383+N383</f>
        <v>399</v>
      </c>
      <c r="W383" s="25" t="n">
        <f aca="false">O383-V383</f>
        <v>0</v>
      </c>
      <c r="X383" s="22" t="str">
        <f aca="false">IF(OR(ABS(S383)&gt;0.005,ABS(U383)&gt;0.005,ABS(W383)&gt;0.005),"Subledger arithmetic error","OK")</f>
        <v>OK</v>
      </c>
      <c r="Y383" s="22" t="str">
        <f aca="false">IF(X383="OK","","Priority 3")</f>
        <v/>
      </c>
    </row>
    <row r="384" customFormat="false" ht="15" hidden="false" customHeight="false" outlineLevel="0" collapsed="false">
      <c r="A384" s="22" t="s">
        <v>12171</v>
      </c>
      <c r="B384" s="23" t="n">
        <v>46235</v>
      </c>
      <c r="C384" s="22" t="s">
        <v>12172</v>
      </c>
      <c r="D384" s="22" t="s">
        <v>583</v>
      </c>
      <c r="E384" s="22" t="s">
        <v>7550</v>
      </c>
      <c r="F384" s="22" t="s">
        <v>159</v>
      </c>
      <c r="G384" s="22" t="s">
        <v>8601</v>
      </c>
      <c r="H384" s="22" t="s">
        <v>11406</v>
      </c>
      <c r="I384" s="22" t="n">
        <v>28</v>
      </c>
      <c r="J384" s="22" t="n">
        <v>1</v>
      </c>
      <c r="K384" s="22" t="n">
        <v>28</v>
      </c>
      <c r="L384" s="25" t="n">
        <v>10.4</v>
      </c>
      <c r="M384" s="25" t="n">
        <v>291.2</v>
      </c>
      <c r="N384" s="25" t="n">
        <v>37.39</v>
      </c>
      <c r="O384" s="25" t="n">
        <v>328.59</v>
      </c>
      <c r="P384" s="22" t="s">
        <v>11407</v>
      </c>
      <c r="Q384" s="23" t="n">
        <v>46249</v>
      </c>
      <c r="R384" s="22" t="n">
        <f aca="false">I384*J384</f>
        <v>28</v>
      </c>
      <c r="S384" s="25" t="n">
        <f aca="false">K384-R384</f>
        <v>0</v>
      </c>
      <c r="T384" s="25" t="n">
        <f aca="false">K384*L384</f>
        <v>291.2</v>
      </c>
      <c r="U384" s="25" t="n">
        <f aca="false">M384-T384</f>
        <v>0</v>
      </c>
      <c r="V384" s="25" t="n">
        <f aca="false">M384+N384</f>
        <v>328.59</v>
      </c>
      <c r="W384" s="25" t="n">
        <f aca="false">O384-V384</f>
        <v>0</v>
      </c>
      <c r="X384" s="22" t="str">
        <f aca="false">IF(OR(ABS(S384)&gt;0.005,ABS(U384)&gt;0.005,ABS(W384)&gt;0.005),"Subledger arithmetic error","OK")</f>
        <v>OK</v>
      </c>
      <c r="Y384" s="22" t="str">
        <f aca="false">IF(X384="OK","","Priority 3")</f>
        <v/>
      </c>
    </row>
    <row r="385" customFormat="false" ht="15" hidden="false" customHeight="false" outlineLevel="0" collapsed="false">
      <c r="A385" s="22" t="s">
        <v>12173</v>
      </c>
      <c r="B385" s="23" t="n">
        <v>46235</v>
      </c>
      <c r="C385" s="22" t="s">
        <v>12174</v>
      </c>
      <c r="D385" s="22" t="s">
        <v>1612</v>
      </c>
      <c r="E385" s="22" t="s">
        <v>7551</v>
      </c>
      <c r="F385" s="22" t="s">
        <v>159</v>
      </c>
      <c r="G385" s="22" t="s">
        <v>8601</v>
      </c>
      <c r="H385" s="22" t="s">
        <v>11406</v>
      </c>
      <c r="I385" s="22" t="n">
        <v>36</v>
      </c>
      <c r="J385" s="22" t="n">
        <v>1</v>
      </c>
      <c r="K385" s="22" t="n">
        <v>36</v>
      </c>
      <c r="L385" s="25" t="n">
        <v>10.4</v>
      </c>
      <c r="M385" s="25" t="n">
        <v>374.4</v>
      </c>
      <c r="N385" s="25" t="n">
        <v>48.07</v>
      </c>
      <c r="O385" s="25" t="n">
        <v>422.47</v>
      </c>
      <c r="P385" s="22" t="s">
        <v>11407</v>
      </c>
      <c r="Q385" s="23" t="n">
        <v>46249</v>
      </c>
      <c r="R385" s="22" t="n">
        <f aca="false">I385*J385</f>
        <v>36</v>
      </c>
      <c r="S385" s="25" t="n">
        <f aca="false">K385-R385</f>
        <v>0</v>
      </c>
      <c r="T385" s="25" t="n">
        <f aca="false">K385*L385</f>
        <v>374.4</v>
      </c>
      <c r="U385" s="25" t="n">
        <f aca="false">M385-T385</f>
        <v>0</v>
      </c>
      <c r="V385" s="25" t="n">
        <f aca="false">M385+N385</f>
        <v>422.47</v>
      </c>
      <c r="W385" s="25" t="n">
        <f aca="false">O385-V385</f>
        <v>0</v>
      </c>
      <c r="X385" s="22" t="str">
        <f aca="false">IF(OR(ABS(S385)&gt;0.005,ABS(U385)&gt;0.005,ABS(W385)&gt;0.005),"Subledger arithmetic error","OK")</f>
        <v>OK</v>
      </c>
      <c r="Y385" s="22" t="str">
        <f aca="false">IF(X385="OK","","Priority 3")</f>
        <v/>
      </c>
    </row>
    <row r="386" customFormat="false" ht="15" hidden="false" customHeight="false" outlineLevel="0" collapsed="false">
      <c r="A386" s="22" t="s">
        <v>12175</v>
      </c>
      <c r="B386" s="23" t="n">
        <v>46235</v>
      </c>
      <c r="C386" s="22" t="s">
        <v>12176</v>
      </c>
      <c r="D386" s="22" t="s">
        <v>4968</v>
      </c>
      <c r="E386" s="22" t="s">
        <v>7553</v>
      </c>
      <c r="F386" s="22" t="s">
        <v>159</v>
      </c>
      <c r="G386" s="22" t="s">
        <v>8601</v>
      </c>
      <c r="H386" s="22" t="s">
        <v>11406</v>
      </c>
      <c r="I386" s="22" t="n">
        <v>44</v>
      </c>
      <c r="J386" s="22" t="n">
        <v>1</v>
      </c>
      <c r="K386" s="22" t="n">
        <v>44</v>
      </c>
      <c r="L386" s="25" t="n">
        <v>10.4</v>
      </c>
      <c r="M386" s="25" t="n">
        <v>457.6</v>
      </c>
      <c r="N386" s="25" t="n">
        <v>58.76</v>
      </c>
      <c r="O386" s="25" t="n">
        <v>516.36</v>
      </c>
      <c r="P386" s="22" t="s">
        <v>11407</v>
      </c>
      <c r="Q386" s="23" t="n">
        <v>46249</v>
      </c>
      <c r="R386" s="22" t="n">
        <f aca="false">I386*J386</f>
        <v>44</v>
      </c>
      <c r="S386" s="25" t="n">
        <f aca="false">K386-R386</f>
        <v>0</v>
      </c>
      <c r="T386" s="25" t="n">
        <f aca="false">K386*L386</f>
        <v>457.6</v>
      </c>
      <c r="U386" s="25" t="n">
        <f aca="false">M386-T386</f>
        <v>0</v>
      </c>
      <c r="V386" s="25" t="n">
        <f aca="false">M386+N386</f>
        <v>516.36</v>
      </c>
      <c r="W386" s="25" t="n">
        <f aca="false">O386-V386</f>
        <v>0</v>
      </c>
      <c r="X386" s="22" t="str">
        <f aca="false">IF(OR(ABS(S386)&gt;0.005,ABS(U386)&gt;0.005,ABS(W386)&gt;0.005),"Subledger arithmetic error","OK")</f>
        <v>OK</v>
      </c>
      <c r="Y386" s="22" t="str">
        <f aca="false">IF(X386="OK","","Priority 3")</f>
        <v/>
      </c>
    </row>
    <row r="387" customFormat="false" ht="15" hidden="false" customHeight="false" outlineLevel="0" collapsed="false">
      <c r="A387" s="22" t="s">
        <v>12177</v>
      </c>
      <c r="B387" s="23" t="n">
        <v>46235</v>
      </c>
      <c r="C387" s="22" t="s">
        <v>12178</v>
      </c>
      <c r="D387" s="22" t="s">
        <v>589</v>
      </c>
      <c r="E387" s="22" t="s">
        <v>7554</v>
      </c>
      <c r="F387" s="22" t="s">
        <v>159</v>
      </c>
      <c r="G387" s="22" t="s">
        <v>8601</v>
      </c>
      <c r="H387" s="22" t="s">
        <v>11406</v>
      </c>
      <c r="I387" s="22" t="n">
        <v>37</v>
      </c>
      <c r="J387" s="22" t="n">
        <v>1</v>
      </c>
      <c r="K387" s="22" t="n">
        <v>37</v>
      </c>
      <c r="L387" s="25" t="n">
        <v>10.4</v>
      </c>
      <c r="M387" s="25" t="n">
        <v>384.8</v>
      </c>
      <c r="N387" s="25" t="n">
        <v>49.41</v>
      </c>
      <c r="O387" s="25" t="n">
        <v>434.21</v>
      </c>
      <c r="P387" s="22" t="s">
        <v>11407</v>
      </c>
      <c r="Q387" s="23" t="n">
        <v>46249</v>
      </c>
      <c r="R387" s="22" t="n">
        <f aca="false">I387*J387</f>
        <v>37</v>
      </c>
      <c r="S387" s="25" t="n">
        <f aca="false">K387-R387</f>
        <v>0</v>
      </c>
      <c r="T387" s="25" t="n">
        <f aca="false">K387*L387</f>
        <v>384.8</v>
      </c>
      <c r="U387" s="25" t="n">
        <f aca="false">M387-T387</f>
        <v>0</v>
      </c>
      <c r="V387" s="25" t="n">
        <f aca="false">M387+N387</f>
        <v>434.21</v>
      </c>
      <c r="W387" s="25" t="n">
        <f aca="false">O387-V387</f>
        <v>0</v>
      </c>
      <c r="X387" s="22" t="str">
        <f aca="false">IF(OR(ABS(S387)&gt;0.005,ABS(U387)&gt;0.005,ABS(W387)&gt;0.005),"Subledger arithmetic error","OK")</f>
        <v>OK</v>
      </c>
      <c r="Y387" s="22" t="str">
        <f aca="false">IF(X387="OK","","Priority 3")</f>
        <v/>
      </c>
    </row>
    <row r="388" customFormat="false" ht="15" hidden="false" customHeight="false" outlineLevel="0" collapsed="false">
      <c r="A388" s="22" t="s">
        <v>12179</v>
      </c>
      <c r="B388" s="23" t="n">
        <v>46235</v>
      </c>
      <c r="C388" s="22" t="s">
        <v>12180</v>
      </c>
      <c r="D388" s="22" t="s">
        <v>5048</v>
      </c>
      <c r="E388" s="22" t="s">
        <v>7556</v>
      </c>
      <c r="F388" s="22" t="s">
        <v>159</v>
      </c>
      <c r="G388" s="22" t="s">
        <v>8601</v>
      </c>
      <c r="H388" s="22" t="s">
        <v>11406</v>
      </c>
      <c r="I388" s="22" t="n">
        <v>38</v>
      </c>
      <c r="J388" s="22" t="n">
        <v>1</v>
      </c>
      <c r="K388" s="22" t="n">
        <v>38</v>
      </c>
      <c r="L388" s="25" t="n">
        <v>10.4</v>
      </c>
      <c r="M388" s="25" t="n">
        <v>395.2</v>
      </c>
      <c r="N388" s="25" t="n">
        <v>50.74</v>
      </c>
      <c r="O388" s="25" t="n">
        <v>445.94</v>
      </c>
      <c r="P388" s="22" t="s">
        <v>11407</v>
      </c>
      <c r="Q388" s="23" t="n">
        <v>46249</v>
      </c>
      <c r="R388" s="22" t="n">
        <f aca="false">I388*J388</f>
        <v>38</v>
      </c>
      <c r="S388" s="25" t="n">
        <f aca="false">K388-R388</f>
        <v>0</v>
      </c>
      <c r="T388" s="25" t="n">
        <f aca="false">K388*L388</f>
        <v>395.2</v>
      </c>
      <c r="U388" s="25" t="n">
        <f aca="false">M388-T388</f>
        <v>0</v>
      </c>
      <c r="V388" s="25" t="n">
        <f aca="false">M388+N388</f>
        <v>445.94</v>
      </c>
      <c r="W388" s="25" t="n">
        <f aca="false">O388-V388</f>
        <v>0</v>
      </c>
      <c r="X388" s="22" t="str">
        <f aca="false">IF(OR(ABS(S388)&gt;0.005,ABS(U388)&gt;0.005,ABS(W388)&gt;0.005),"Subledger arithmetic error","OK")</f>
        <v>OK</v>
      </c>
      <c r="Y388" s="22" t="str">
        <f aca="false">IF(X388="OK","","Priority 3")</f>
        <v/>
      </c>
    </row>
    <row r="389" customFormat="false" ht="15" hidden="false" customHeight="false" outlineLevel="0" collapsed="false">
      <c r="A389" s="22" t="s">
        <v>12181</v>
      </c>
      <c r="B389" s="23" t="n">
        <v>46235</v>
      </c>
      <c r="C389" s="22" t="s">
        <v>12182</v>
      </c>
      <c r="D389" s="22" t="s">
        <v>5800</v>
      </c>
      <c r="E389" s="22" t="s">
        <v>7558</v>
      </c>
      <c r="F389" s="22" t="s">
        <v>159</v>
      </c>
      <c r="G389" s="22" t="s">
        <v>8601</v>
      </c>
      <c r="H389" s="22" t="s">
        <v>11406</v>
      </c>
      <c r="I389" s="22" t="n">
        <v>41</v>
      </c>
      <c r="J389" s="22" t="n">
        <v>1</v>
      </c>
      <c r="K389" s="22" t="n">
        <v>41</v>
      </c>
      <c r="L389" s="25" t="n">
        <v>10.4</v>
      </c>
      <c r="M389" s="25" t="n">
        <v>426.4</v>
      </c>
      <c r="N389" s="25" t="n">
        <v>54.75</v>
      </c>
      <c r="O389" s="25" t="n">
        <v>481.15</v>
      </c>
      <c r="P389" s="22" t="s">
        <v>11407</v>
      </c>
      <c r="Q389" s="23" t="n">
        <v>46249</v>
      </c>
      <c r="R389" s="22" t="n">
        <f aca="false">I389*J389</f>
        <v>41</v>
      </c>
      <c r="S389" s="25" t="n">
        <f aca="false">K389-R389</f>
        <v>0</v>
      </c>
      <c r="T389" s="25" t="n">
        <f aca="false">K389*L389</f>
        <v>426.4</v>
      </c>
      <c r="U389" s="25" t="n">
        <f aca="false">M389-T389</f>
        <v>0</v>
      </c>
      <c r="V389" s="25" t="n">
        <f aca="false">M389+N389</f>
        <v>481.15</v>
      </c>
      <c r="W389" s="25" t="n">
        <f aca="false">O389-V389</f>
        <v>0</v>
      </c>
      <c r="X389" s="22" t="str">
        <f aca="false">IF(OR(ABS(S389)&gt;0.005,ABS(U389)&gt;0.005,ABS(W389)&gt;0.005),"Subledger arithmetic error","OK")</f>
        <v>OK</v>
      </c>
      <c r="Y389" s="22" t="str">
        <f aca="false">IF(X389="OK","","Priority 3")</f>
        <v/>
      </c>
    </row>
    <row r="390" customFormat="false" ht="15" hidden="false" customHeight="false" outlineLevel="0" collapsed="false">
      <c r="A390" s="22" t="s">
        <v>12183</v>
      </c>
      <c r="B390" s="23" t="n">
        <v>46235</v>
      </c>
      <c r="C390" s="22" t="s">
        <v>12184</v>
      </c>
      <c r="D390" s="22" t="s">
        <v>936</v>
      </c>
      <c r="E390" s="22" t="s">
        <v>7560</v>
      </c>
      <c r="F390" s="22" t="s">
        <v>159</v>
      </c>
      <c r="G390" s="22" t="s">
        <v>8601</v>
      </c>
      <c r="H390" s="22" t="s">
        <v>11406</v>
      </c>
      <c r="I390" s="22" t="n">
        <v>34</v>
      </c>
      <c r="J390" s="22" t="n">
        <v>1</v>
      </c>
      <c r="K390" s="22" t="n">
        <v>34</v>
      </c>
      <c r="L390" s="25" t="n">
        <v>10.4</v>
      </c>
      <c r="M390" s="25" t="n">
        <v>353.6</v>
      </c>
      <c r="N390" s="25" t="n">
        <v>45.4</v>
      </c>
      <c r="O390" s="25" t="n">
        <v>399</v>
      </c>
      <c r="P390" s="22" t="s">
        <v>11407</v>
      </c>
      <c r="Q390" s="23" t="n">
        <v>46249</v>
      </c>
      <c r="R390" s="22" t="n">
        <f aca="false">I390*J390</f>
        <v>34</v>
      </c>
      <c r="S390" s="25" t="n">
        <f aca="false">K390-R390</f>
        <v>0</v>
      </c>
      <c r="T390" s="25" t="n">
        <f aca="false">K390*L390</f>
        <v>353.6</v>
      </c>
      <c r="U390" s="25" t="n">
        <f aca="false">M390-T390</f>
        <v>0</v>
      </c>
      <c r="V390" s="25" t="n">
        <f aca="false">M390+N390</f>
        <v>399</v>
      </c>
      <c r="W390" s="25" t="n">
        <f aca="false">O390-V390</f>
        <v>0</v>
      </c>
      <c r="X390" s="22" t="str">
        <f aca="false">IF(OR(ABS(S390)&gt;0.005,ABS(U390)&gt;0.005,ABS(W390)&gt;0.005),"Subledger arithmetic error","OK")</f>
        <v>OK</v>
      </c>
      <c r="Y390" s="22" t="str">
        <f aca="false">IF(X390="OK","","Priority 3")</f>
        <v/>
      </c>
    </row>
    <row r="391" customFormat="false" ht="15" hidden="false" customHeight="false" outlineLevel="0" collapsed="false">
      <c r="A391" s="22" t="s">
        <v>12185</v>
      </c>
      <c r="B391" s="23" t="n">
        <v>46235</v>
      </c>
      <c r="C391" s="22" t="s">
        <v>12186</v>
      </c>
      <c r="D391" s="22" t="s">
        <v>3217</v>
      </c>
      <c r="E391" s="22" t="s">
        <v>7562</v>
      </c>
      <c r="F391" s="22" t="s">
        <v>159</v>
      </c>
      <c r="G391" s="22" t="s">
        <v>8601</v>
      </c>
      <c r="H391" s="22" t="s">
        <v>11406</v>
      </c>
      <c r="I391" s="22" t="n">
        <v>62</v>
      </c>
      <c r="J391" s="22" t="n">
        <v>1</v>
      </c>
      <c r="K391" s="22" t="n">
        <v>62</v>
      </c>
      <c r="L391" s="25" t="n">
        <v>10.4</v>
      </c>
      <c r="M391" s="25" t="n">
        <v>644.8</v>
      </c>
      <c r="N391" s="25" t="n">
        <v>82.79</v>
      </c>
      <c r="O391" s="25" t="n">
        <v>727.59</v>
      </c>
      <c r="P391" s="22" t="s">
        <v>11407</v>
      </c>
      <c r="Q391" s="23" t="n">
        <v>46249</v>
      </c>
      <c r="R391" s="22" t="n">
        <f aca="false">I391*J391</f>
        <v>62</v>
      </c>
      <c r="S391" s="25" t="n">
        <f aca="false">K391-R391</f>
        <v>0</v>
      </c>
      <c r="T391" s="25" t="n">
        <f aca="false">K391*L391</f>
        <v>644.8</v>
      </c>
      <c r="U391" s="25" t="n">
        <f aca="false">M391-T391</f>
        <v>0</v>
      </c>
      <c r="V391" s="25" t="n">
        <f aca="false">M391+N391</f>
        <v>727.59</v>
      </c>
      <c r="W391" s="25" t="n">
        <f aca="false">O391-V391</f>
        <v>0</v>
      </c>
      <c r="X391" s="22" t="str">
        <f aca="false">IF(OR(ABS(S391)&gt;0.005,ABS(U391)&gt;0.005,ABS(W391)&gt;0.005),"Subledger arithmetic error","OK")</f>
        <v>OK</v>
      </c>
      <c r="Y391" s="22" t="str">
        <f aca="false">IF(X391="OK","","Priority 3")</f>
        <v/>
      </c>
    </row>
    <row r="392" customFormat="false" ht="15" hidden="false" customHeight="false" outlineLevel="0" collapsed="false">
      <c r="A392" s="22" t="s">
        <v>12187</v>
      </c>
      <c r="B392" s="23" t="n">
        <v>46235</v>
      </c>
      <c r="C392" s="22" t="s">
        <v>12188</v>
      </c>
      <c r="D392" s="22" t="s">
        <v>4424</v>
      </c>
      <c r="E392" s="22" t="s">
        <v>7564</v>
      </c>
      <c r="F392" s="22" t="s">
        <v>159</v>
      </c>
      <c r="G392" s="22" t="s">
        <v>8601</v>
      </c>
      <c r="H392" s="22" t="s">
        <v>11406</v>
      </c>
      <c r="I392" s="22" t="n">
        <v>49</v>
      </c>
      <c r="J392" s="22" t="n">
        <v>1</v>
      </c>
      <c r="K392" s="22" t="n">
        <v>49</v>
      </c>
      <c r="L392" s="25" t="n">
        <v>10.4</v>
      </c>
      <c r="M392" s="25" t="n">
        <v>509.6</v>
      </c>
      <c r="N392" s="25" t="n">
        <v>65.43</v>
      </c>
      <c r="O392" s="25" t="n">
        <v>575.03</v>
      </c>
      <c r="P392" s="22" t="s">
        <v>11407</v>
      </c>
      <c r="Q392" s="23" t="n">
        <v>46249</v>
      </c>
      <c r="R392" s="22" t="n">
        <f aca="false">I392*J392</f>
        <v>49</v>
      </c>
      <c r="S392" s="25" t="n">
        <f aca="false">K392-R392</f>
        <v>0</v>
      </c>
      <c r="T392" s="25" t="n">
        <f aca="false">K392*L392</f>
        <v>509.6</v>
      </c>
      <c r="U392" s="25" t="n">
        <f aca="false">M392-T392</f>
        <v>0</v>
      </c>
      <c r="V392" s="25" t="n">
        <f aca="false">M392+N392</f>
        <v>575.03</v>
      </c>
      <c r="W392" s="25" t="n">
        <f aca="false">O392-V392</f>
        <v>0</v>
      </c>
      <c r="X392" s="22" t="str">
        <f aca="false">IF(OR(ABS(S392)&gt;0.005,ABS(U392)&gt;0.005,ABS(W392)&gt;0.005),"Subledger arithmetic error","OK")</f>
        <v>OK</v>
      </c>
      <c r="Y392" s="22" t="str">
        <f aca="false">IF(X392="OK","","Priority 3")</f>
        <v/>
      </c>
    </row>
    <row r="393" customFormat="false" ht="15" hidden="false" customHeight="false" outlineLevel="0" collapsed="false">
      <c r="A393" s="22" t="s">
        <v>12189</v>
      </c>
      <c r="B393" s="23" t="n">
        <v>46235</v>
      </c>
      <c r="C393" s="22" t="s">
        <v>12190</v>
      </c>
      <c r="D393" s="22" t="s">
        <v>3673</v>
      </c>
      <c r="E393" s="22" t="s">
        <v>7566</v>
      </c>
      <c r="F393" s="22" t="s">
        <v>159</v>
      </c>
      <c r="G393" s="22" t="s">
        <v>8601</v>
      </c>
      <c r="H393" s="22" t="s">
        <v>11406</v>
      </c>
      <c r="I393" s="22" t="n">
        <v>58</v>
      </c>
      <c r="J393" s="22" t="n">
        <v>1</v>
      </c>
      <c r="K393" s="22" t="n">
        <v>58</v>
      </c>
      <c r="L393" s="25" t="n">
        <v>10.4</v>
      </c>
      <c r="M393" s="25" t="n">
        <v>603.2</v>
      </c>
      <c r="N393" s="25" t="n">
        <v>77.45</v>
      </c>
      <c r="O393" s="25" t="n">
        <v>680.65</v>
      </c>
      <c r="P393" s="22" t="s">
        <v>11407</v>
      </c>
      <c r="Q393" s="23" t="n">
        <v>46249</v>
      </c>
      <c r="R393" s="22" t="n">
        <f aca="false">I393*J393</f>
        <v>58</v>
      </c>
      <c r="S393" s="25" t="n">
        <f aca="false">K393-R393</f>
        <v>0</v>
      </c>
      <c r="T393" s="25" t="n">
        <f aca="false">K393*L393</f>
        <v>603.2</v>
      </c>
      <c r="U393" s="25" t="n">
        <f aca="false">M393-T393</f>
        <v>0</v>
      </c>
      <c r="V393" s="25" t="n">
        <f aca="false">M393+N393</f>
        <v>680.65</v>
      </c>
      <c r="W393" s="25" t="n">
        <f aca="false">O393-V393</f>
        <v>0</v>
      </c>
      <c r="X393" s="22" t="str">
        <f aca="false">IF(OR(ABS(S393)&gt;0.005,ABS(U393)&gt;0.005,ABS(W393)&gt;0.005),"Subledger arithmetic error","OK")</f>
        <v>OK</v>
      </c>
      <c r="Y393" s="22" t="str">
        <f aca="false">IF(X393="OK","","Priority 3")</f>
        <v/>
      </c>
    </row>
    <row r="394" customFormat="false" ht="15" hidden="false" customHeight="false" outlineLevel="0" collapsed="false">
      <c r="A394" s="22" t="s">
        <v>12191</v>
      </c>
      <c r="B394" s="23" t="n">
        <v>46235</v>
      </c>
      <c r="C394" s="22" t="s">
        <v>12192</v>
      </c>
      <c r="D394" s="22" t="s">
        <v>1533</v>
      </c>
      <c r="E394" s="22" t="s">
        <v>7567</v>
      </c>
      <c r="F394" s="22" t="s">
        <v>159</v>
      </c>
      <c r="G394" s="22" t="s">
        <v>8601</v>
      </c>
      <c r="H394" s="22" t="s">
        <v>11406</v>
      </c>
      <c r="I394" s="22" t="n">
        <v>51</v>
      </c>
      <c r="J394" s="22" t="n">
        <v>1</v>
      </c>
      <c r="K394" s="22" t="n">
        <v>51</v>
      </c>
      <c r="L394" s="25" t="n">
        <v>10.4</v>
      </c>
      <c r="M394" s="25" t="n">
        <v>530.4</v>
      </c>
      <c r="N394" s="25" t="n">
        <v>68.1</v>
      </c>
      <c r="O394" s="25" t="n">
        <v>598.5</v>
      </c>
      <c r="P394" s="22" t="s">
        <v>11407</v>
      </c>
      <c r="Q394" s="23" t="n">
        <v>46249</v>
      </c>
      <c r="R394" s="22" t="n">
        <f aca="false">I394*J394</f>
        <v>51</v>
      </c>
      <c r="S394" s="25" t="n">
        <f aca="false">K394-R394</f>
        <v>0</v>
      </c>
      <c r="T394" s="25" t="n">
        <f aca="false">K394*L394</f>
        <v>530.4</v>
      </c>
      <c r="U394" s="25" t="n">
        <f aca="false">M394-T394</f>
        <v>0</v>
      </c>
      <c r="V394" s="25" t="n">
        <f aca="false">M394+N394</f>
        <v>598.5</v>
      </c>
      <c r="W394" s="25" t="n">
        <f aca="false">O394-V394</f>
        <v>0</v>
      </c>
      <c r="X394" s="22" t="str">
        <f aca="false">IF(OR(ABS(S394)&gt;0.005,ABS(U394)&gt;0.005,ABS(W394)&gt;0.005),"Subledger arithmetic error","OK")</f>
        <v>OK</v>
      </c>
      <c r="Y394" s="22" t="str">
        <f aca="false">IF(X394="OK","","Priority 3")</f>
        <v/>
      </c>
    </row>
    <row r="395" customFormat="false" ht="15" hidden="false" customHeight="false" outlineLevel="0" collapsed="false">
      <c r="A395" s="22" t="s">
        <v>12193</v>
      </c>
      <c r="B395" s="23" t="n">
        <v>46235</v>
      </c>
      <c r="C395" s="22" t="s">
        <v>12194</v>
      </c>
      <c r="D395" s="22" t="s">
        <v>4056</v>
      </c>
      <c r="E395" s="22" t="s">
        <v>7569</v>
      </c>
      <c r="F395" s="22" t="s">
        <v>159</v>
      </c>
      <c r="G395" s="22" t="s">
        <v>8601</v>
      </c>
      <c r="H395" s="22" t="s">
        <v>11406</v>
      </c>
      <c r="I395" s="22" t="n">
        <v>36</v>
      </c>
      <c r="J395" s="22" t="n">
        <v>1</v>
      </c>
      <c r="K395" s="22" t="n">
        <v>36</v>
      </c>
      <c r="L395" s="25" t="n">
        <v>10.4</v>
      </c>
      <c r="M395" s="25" t="n">
        <v>374.4</v>
      </c>
      <c r="N395" s="25" t="n">
        <v>48.07</v>
      </c>
      <c r="O395" s="25" t="n">
        <v>422.47</v>
      </c>
      <c r="P395" s="22" t="s">
        <v>11407</v>
      </c>
      <c r="Q395" s="23" t="n">
        <v>46249</v>
      </c>
      <c r="R395" s="22" t="n">
        <f aca="false">I395*J395</f>
        <v>36</v>
      </c>
      <c r="S395" s="25" t="n">
        <f aca="false">K395-R395</f>
        <v>0</v>
      </c>
      <c r="T395" s="25" t="n">
        <f aca="false">K395*L395</f>
        <v>374.4</v>
      </c>
      <c r="U395" s="25" t="n">
        <f aca="false">M395-T395</f>
        <v>0</v>
      </c>
      <c r="V395" s="25" t="n">
        <f aca="false">M395+N395</f>
        <v>422.47</v>
      </c>
      <c r="W395" s="25" t="n">
        <f aca="false">O395-V395</f>
        <v>0</v>
      </c>
      <c r="X395" s="22" t="str">
        <f aca="false">IF(OR(ABS(S395)&gt;0.005,ABS(U395)&gt;0.005,ABS(W395)&gt;0.005),"Subledger arithmetic error","OK")</f>
        <v>OK</v>
      </c>
      <c r="Y395" s="22" t="str">
        <f aca="false">IF(X395="OK","","Priority 3")</f>
        <v/>
      </c>
    </row>
    <row r="396" customFormat="false" ht="15" hidden="false" customHeight="false" outlineLevel="0" collapsed="false">
      <c r="A396" s="22" t="s">
        <v>12195</v>
      </c>
      <c r="B396" s="23" t="n">
        <v>46235</v>
      </c>
      <c r="C396" s="22" t="s">
        <v>12196</v>
      </c>
      <c r="D396" s="22" t="s">
        <v>2082</v>
      </c>
      <c r="E396" s="22" t="s">
        <v>7571</v>
      </c>
      <c r="F396" s="22" t="s">
        <v>159</v>
      </c>
      <c r="G396" s="22" t="s">
        <v>8601</v>
      </c>
      <c r="H396" s="22" t="s">
        <v>11406</v>
      </c>
      <c r="I396" s="22" t="n">
        <v>32</v>
      </c>
      <c r="J396" s="22" t="n">
        <v>1</v>
      </c>
      <c r="K396" s="22" t="n">
        <v>32</v>
      </c>
      <c r="L396" s="25" t="n">
        <v>10.4</v>
      </c>
      <c r="M396" s="25" t="n">
        <v>332.8</v>
      </c>
      <c r="N396" s="25" t="n">
        <v>42.73</v>
      </c>
      <c r="O396" s="25" t="n">
        <v>375.53</v>
      </c>
      <c r="P396" s="22" t="s">
        <v>11407</v>
      </c>
      <c r="Q396" s="23" t="n">
        <v>46249</v>
      </c>
      <c r="R396" s="22" t="n">
        <f aca="false">I396*J396</f>
        <v>32</v>
      </c>
      <c r="S396" s="25" t="n">
        <f aca="false">K396-R396</f>
        <v>0</v>
      </c>
      <c r="T396" s="25" t="n">
        <f aca="false">K396*L396</f>
        <v>332.8</v>
      </c>
      <c r="U396" s="25" t="n">
        <f aca="false">M396-T396</f>
        <v>0</v>
      </c>
      <c r="V396" s="25" t="n">
        <f aca="false">M396+N396</f>
        <v>375.53</v>
      </c>
      <c r="W396" s="25" t="n">
        <f aca="false">O396-V396</f>
        <v>0</v>
      </c>
      <c r="X396" s="22" t="str">
        <f aca="false">IF(OR(ABS(S396)&gt;0.005,ABS(U396)&gt;0.005,ABS(W396)&gt;0.005),"Subledger arithmetic error","OK")</f>
        <v>OK</v>
      </c>
      <c r="Y396" s="22" t="str">
        <f aca="false">IF(X396="OK","","Priority 3")</f>
        <v/>
      </c>
    </row>
    <row r="397" customFormat="false" ht="15" hidden="false" customHeight="false" outlineLevel="0" collapsed="false">
      <c r="A397" s="22" t="s">
        <v>12197</v>
      </c>
      <c r="B397" s="23" t="n">
        <v>46235</v>
      </c>
      <c r="C397" s="22" t="s">
        <v>12198</v>
      </c>
      <c r="D397" s="22" t="s">
        <v>291</v>
      </c>
      <c r="E397" s="22" t="s">
        <v>7572</v>
      </c>
      <c r="F397" s="22" t="s">
        <v>159</v>
      </c>
      <c r="G397" s="22" t="s">
        <v>8601</v>
      </c>
      <c r="H397" s="22" t="s">
        <v>11406</v>
      </c>
      <c r="I397" s="22" t="n">
        <v>62</v>
      </c>
      <c r="J397" s="22" t="n">
        <v>1</v>
      </c>
      <c r="K397" s="22" t="n">
        <v>62</v>
      </c>
      <c r="L397" s="25" t="n">
        <v>10.4</v>
      </c>
      <c r="M397" s="25" t="n">
        <v>644.8</v>
      </c>
      <c r="N397" s="25" t="n">
        <v>82.79</v>
      </c>
      <c r="O397" s="25" t="n">
        <v>727.59</v>
      </c>
      <c r="P397" s="22" t="s">
        <v>11407</v>
      </c>
      <c r="Q397" s="23" t="n">
        <v>46249</v>
      </c>
      <c r="R397" s="22" t="n">
        <f aca="false">I397*J397</f>
        <v>62</v>
      </c>
      <c r="S397" s="25" t="n">
        <f aca="false">K397-R397</f>
        <v>0</v>
      </c>
      <c r="T397" s="25" t="n">
        <f aca="false">K397*L397</f>
        <v>644.8</v>
      </c>
      <c r="U397" s="25" t="n">
        <f aca="false">M397-T397</f>
        <v>0</v>
      </c>
      <c r="V397" s="25" t="n">
        <f aca="false">M397+N397</f>
        <v>727.59</v>
      </c>
      <c r="W397" s="25" t="n">
        <f aca="false">O397-V397</f>
        <v>0</v>
      </c>
      <c r="X397" s="22" t="str">
        <f aca="false">IF(OR(ABS(S397)&gt;0.005,ABS(U397)&gt;0.005,ABS(W397)&gt;0.005),"Subledger arithmetic error","OK")</f>
        <v>OK</v>
      </c>
      <c r="Y397" s="22" t="str">
        <f aca="false">IF(X397="OK","","Priority 3")</f>
        <v/>
      </c>
    </row>
    <row r="398" customFormat="false" ht="15" hidden="false" customHeight="false" outlineLevel="0" collapsed="false">
      <c r="A398" s="22" t="s">
        <v>12199</v>
      </c>
      <c r="B398" s="23" t="n">
        <v>46235</v>
      </c>
      <c r="C398" s="22" t="s">
        <v>12200</v>
      </c>
      <c r="D398" s="22" t="s">
        <v>925</v>
      </c>
      <c r="E398" s="22" t="s">
        <v>7574</v>
      </c>
      <c r="F398" s="22" t="s">
        <v>159</v>
      </c>
      <c r="G398" s="22" t="s">
        <v>8601</v>
      </c>
      <c r="H398" s="22" t="s">
        <v>11406</v>
      </c>
      <c r="I398" s="22" t="n">
        <v>28</v>
      </c>
      <c r="J398" s="22" t="n">
        <v>1</v>
      </c>
      <c r="K398" s="22" t="n">
        <v>28</v>
      </c>
      <c r="L398" s="25" t="n">
        <v>10.4</v>
      </c>
      <c r="M398" s="25" t="n">
        <v>291.2</v>
      </c>
      <c r="N398" s="25" t="n">
        <v>37.39</v>
      </c>
      <c r="O398" s="25" t="n">
        <v>328.59</v>
      </c>
      <c r="P398" s="22" t="s">
        <v>11407</v>
      </c>
      <c r="Q398" s="23" t="n">
        <v>46249</v>
      </c>
      <c r="R398" s="22" t="n">
        <f aca="false">I398*J398</f>
        <v>28</v>
      </c>
      <c r="S398" s="25" t="n">
        <f aca="false">K398-R398</f>
        <v>0</v>
      </c>
      <c r="T398" s="25" t="n">
        <f aca="false">K398*L398</f>
        <v>291.2</v>
      </c>
      <c r="U398" s="25" t="n">
        <f aca="false">M398-T398</f>
        <v>0</v>
      </c>
      <c r="V398" s="25" t="n">
        <f aca="false">M398+N398</f>
        <v>328.59</v>
      </c>
      <c r="W398" s="25" t="n">
        <f aca="false">O398-V398</f>
        <v>0</v>
      </c>
      <c r="X398" s="22" t="str">
        <f aca="false">IF(OR(ABS(S398)&gt;0.005,ABS(U398)&gt;0.005,ABS(W398)&gt;0.005),"Subledger arithmetic error","OK")</f>
        <v>OK</v>
      </c>
      <c r="Y398" s="22" t="str">
        <f aca="false">IF(X398="OK","","Priority 3")</f>
        <v/>
      </c>
    </row>
    <row r="399" customFormat="false" ht="15" hidden="false" customHeight="false" outlineLevel="0" collapsed="false">
      <c r="A399" s="22" t="s">
        <v>12201</v>
      </c>
      <c r="B399" s="23" t="n">
        <v>46235</v>
      </c>
      <c r="C399" s="22" t="s">
        <v>12202</v>
      </c>
      <c r="D399" s="22" t="s">
        <v>4867</v>
      </c>
      <c r="E399" s="22" t="s">
        <v>7577</v>
      </c>
      <c r="F399" s="22" t="s">
        <v>159</v>
      </c>
      <c r="G399" s="22" t="s">
        <v>8601</v>
      </c>
      <c r="H399" s="22" t="s">
        <v>11406</v>
      </c>
      <c r="I399" s="22" t="n">
        <v>54</v>
      </c>
      <c r="J399" s="22" t="n">
        <v>1</v>
      </c>
      <c r="K399" s="22" t="n">
        <v>54</v>
      </c>
      <c r="L399" s="25" t="n">
        <v>10.4</v>
      </c>
      <c r="M399" s="25" t="n">
        <v>561.6</v>
      </c>
      <c r="N399" s="25" t="n">
        <v>72.11</v>
      </c>
      <c r="O399" s="25" t="n">
        <v>633.71</v>
      </c>
      <c r="P399" s="22" t="s">
        <v>11407</v>
      </c>
      <c r="Q399" s="23" t="n">
        <v>46249</v>
      </c>
      <c r="R399" s="22" t="n">
        <f aca="false">I399*J399</f>
        <v>54</v>
      </c>
      <c r="S399" s="25" t="n">
        <f aca="false">K399-R399</f>
        <v>0</v>
      </c>
      <c r="T399" s="25" t="n">
        <f aca="false">K399*L399</f>
        <v>561.6</v>
      </c>
      <c r="U399" s="25" t="n">
        <f aca="false">M399-T399</f>
        <v>0</v>
      </c>
      <c r="V399" s="25" t="n">
        <f aca="false">M399+N399</f>
        <v>633.71</v>
      </c>
      <c r="W399" s="25" t="n">
        <f aca="false">O399-V399</f>
        <v>0</v>
      </c>
      <c r="X399" s="22" t="str">
        <f aca="false">IF(OR(ABS(S399)&gt;0.005,ABS(U399)&gt;0.005,ABS(W399)&gt;0.005),"Subledger arithmetic error","OK")</f>
        <v>OK</v>
      </c>
      <c r="Y399" s="22" t="str">
        <f aca="false">IF(X399="OK","","Priority 3")</f>
        <v/>
      </c>
    </row>
    <row r="400" customFormat="false" ht="15" hidden="false" customHeight="false" outlineLevel="0" collapsed="false">
      <c r="A400" s="22" t="s">
        <v>12203</v>
      </c>
      <c r="B400" s="23" t="n">
        <v>46235</v>
      </c>
      <c r="C400" s="22" t="s">
        <v>12204</v>
      </c>
      <c r="D400" s="22" t="s">
        <v>5123</v>
      </c>
      <c r="E400" s="22" t="s">
        <v>7578</v>
      </c>
      <c r="F400" s="22" t="s">
        <v>159</v>
      </c>
      <c r="G400" s="22" t="s">
        <v>8601</v>
      </c>
      <c r="H400" s="22" t="s">
        <v>11406</v>
      </c>
      <c r="I400" s="22" t="n">
        <v>56</v>
      </c>
      <c r="J400" s="22" t="n">
        <v>1</v>
      </c>
      <c r="K400" s="22" t="n">
        <v>56</v>
      </c>
      <c r="L400" s="25" t="n">
        <v>10.4</v>
      </c>
      <c r="M400" s="25" t="n">
        <v>582.4</v>
      </c>
      <c r="N400" s="25" t="n">
        <v>74.78</v>
      </c>
      <c r="O400" s="25" t="n">
        <v>657.18</v>
      </c>
      <c r="P400" s="22" t="s">
        <v>11407</v>
      </c>
      <c r="Q400" s="23" t="n">
        <v>46249</v>
      </c>
      <c r="R400" s="22" t="n">
        <f aca="false">I400*J400</f>
        <v>56</v>
      </c>
      <c r="S400" s="25" t="n">
        <f aca="false">K400-R400</f>
        <v>0</v>
      </c>
      <c r="T400" s="25" t="n">
        <f aca="false">K400*L400</f>
        <v>582.4</v>
      </c>
      <c r="U400" s="25" t="n">
        <f aca="false">M400-T400</f>
        <v>0</v>
      </c>
      <c r="V400" s="25" t="n">
        <f aca="false">M400+N400</f>
        <v>657.18</v>
      </c>
      <c r="W400" s="25" t="n">
        <f aca="false">O400-V400</f>
        <v>0</v>
      </c>
      <c r="X400" s="22" t="str">
        <f aca="false">IF(OR(ABS(S400)&gt;0.005,ABS(U400)&gt;0.005,ABS(W400)&gt;0.005),"Subledger arithmetic error","OK")</f>
        <v>OK</v>
      </c>
      <c r="Y400" s="22" t="str">
        <f aca="false">IF(X400="OK","","Priority 3")</f>
        <v/>
      </c>
    </row>
    <row r="401" customFormat="false" ht="15" hidden="false" customHeight="false" outlineLevel="0" collapsed="false">
      <c r="A401" s="22" t="s">
        <v>12205</v>
      </c>
      <c r="B401" s="23" t="n">
        <v>46235</v>
      </c>
      <c r="C401" s="22" t="s">
        <v>12206</v>
      </c>
      <c r="D401" s="22" t="s">
        <v>4146</v>
      </c>
      <c r="E401" s="22" t="s">
        <v>7579</v>
      </c>
      <c r="F401" s="22" t="s">
        <v>159</v>
      </c>
      <c r="G401" s="22" t="s">
        <v>8601</v>
      </c>
      <c r="H401" s="22" t="s">
        <v>11406</v>
      </c>
      <c r="I401" s="22" t="n">
        <v>55</v>
      </c>
      <c r="J401" s="22" t="n">
        <v>1</v>
      </c>
      <c r="K401" s="22" t="n">
        <v>55</v>
      </c>
      <c r="L401" s="25" t="n">
        <v>10.4</v>
      </c>
      <c r="M401" s="25" t="n">
        <v>572</v>
      </c>
      <c r="N401" s="25" t="n">
        <v>73.44</v>
      </c>
      <c r="O401" s="25" t="n">
        <v>645.44</v>
      </c>
      <c r="P401" s="22" t="s">
        <v>11407</v>
      </c>
      <c r="Q401" s="23" t="n">
        <v>46249</v>
      </c>
      <c r="R401" s="22" t="n">
        <f aca="false">I401*J401</f>
        <v>55</v>
      </c>
      <c r="S401" s="25" t="n">
        <f aca="false">K401-R401</f>
        <v>0</v>
      </c>
      <c r="T401" s="25" t="n">
        <f aca="false">K401*L401</f>
        <v>572</v>
      </c>
      <c r="U401" s="25" t="n">
        <f aca="false">M401-T401</f>
        <v>0</v>
      </c>
      <c r="V401" s="25" t="n">
        <f aca="false">M401+N401</f>
        <v>645.44</v>
      </c>
      <c r="W401" s="25" t="n">
        <f aca="false">O401-V401</f>
        <v>0</v>
      </c>
      <c r="X401" s="22" t="str">
        <f aca="false">IF(OR(ABS(S401)&gt;0.005,ABS(U401)&gt;0.005,ABS(W401)&gt;0.005),"Subledger arithmetic error","OK")</f>
        <v>OK</v>
      </c>
      <c r="Y401" s="22" t="str">
        <f aca="false">IF(X401="OK","","Priority 3")</f>
        <v/>
      </c>
    </row>
    <row r="402" customFormat="false" ht="15" hidden="false" customHeight="false" outlineLevel="0" collapsed="false">
      <c r="A402" s="22" t="s">
        <v>12207</v>
      </c>
      <c r="B402" s="23" t="n">
        <v>46235</v>
      </c>
      <c r="C402" s="22" t="s">
        <v>12208</v>
      </c>
      <c r="D402" s="22" t="s">
        <v>452</v>
      </c>
      <c r="E402" s="22" t="s">
        <v>7580</v>
      </c>
      <c r="F402" s="22" t="s">
        <v>159</v>
      </c>
      <c r="G402" s="22" t="s">
        <v>8601</v>
      </c>
      <c r="H402" s="22" t="s">
        <v>11406</v>
      </c>
      <c r="I402" s="22" t="n">
        <v>40</v>
      </c>
      <c r="J402" s="22" t="n">
        <v>1</v>
      </c>
      <c r="K402" s="22" t="n">
        <v>40</v>
      </c>
      <c r="L402" s="25" t="n">
        <v>10.4</v>
      </c>
      <c r="M402" s="25" t="n">
        <v>416</v>
      </c>
      <c r="N402" s="25" t="n">
        <v>53.41</v>
      </c>
      <c r="O402" s="25" t="n">
        <v>469.41</v>
      </c>
      <c r="P402" s="22" t="s">
        <v>11407</v>
      </c>
      <c r="Q402" s="23" t="n">
        <v>46249</v>
      </c>
      <c r="R402" s="22" t="n">
        <f aca="false">I402*J402</f>
        <v>40</v>
      </c>
      <c r="S402" s="25" t="n">
        <f aca="false">K402-R402</f>
        <v>0</v>
      </c>
      <c r="T402" s="25" t="n">
        <f aca="false">K402*L402</f>
        <v>416</v>
      </c>
      <c r="U402" s="25" t="n">
        <f aca="false">M402-T402</f>
        <v>0</v>
      </c>
      <c r="V402" s="25" t="n">
        <f aca="false">M402+N402</f>
        <v>469.41</v>
      </c>
      <c r="W402" s="25" t="n">
        <f aca="false">O402-V402</f>
        <v>0</v>
      </c>
      <c r="X402" s="22" t="str">
        <f aca="false">IF(OR(ABS(S402)&gt;0.005,ABS(U402)&gt;0.005,ABS(W402)&gt;0.005),"Subledger arithmetic error","OK")</f>
        <v>OK</v>
      </c>
      <c r="Y402" s="22" t="str">
        <f aca="false">IF(X402="OK","","Priority 3")</f>
        <v/>
      </c>
    </row>
    <row r="403" customFormat="false" ht="15" hidden="false" customHeight="false" outlineLevel="0" collapsed="false">
      <c r="A403" s="22" t="s">
        <v>12209</v>
      </c>
      <c r="B403" s="23" t="n">
        <v>46235</v>
      </c>
      <c r="C403" s="22" t="s">
        <v>12210</v>
      </c>
      <c r="D403" s="22" t="s">
        <v>4882</v>
      </c>
      <c r="E403" s="22" t="s">
        <v>7582</v>
      </c>
      <c r="F403" s="22" t="s">
        <v>159</v>
      </c>
      <c r="G403" s="22" t="s">
        <v>8601</v>
      </c>
      <c r="H403" s="22" t="s">
        <v>11406</v>
      </c>
      <c r="I403" s="22" t="n">
        <v>50</v>
      </c>
      <c r="J403" s="22" t="n">
        <v>1</v>
      </c>
      <c r="K403" s="22" t="n">
        <v>50</v>
      </c>
      <c r="L403" s="25" t="n">
        <v>10.4</v>
      </c>
      <c r="M403" s="25" t="n">
        <v>520</v>
      </c>
      <c r="N403" s="25" t="n">
        <v>66.77</v>
      </c>
      <c r="O403" s="25" t="n">
        <v>586.77</v>
      </c>
      <c r="P403" s="22" t="s">
        <v>11407</v>
      </c>
      <c r="Q403" s="23" t="n">
        <v>46249</v>
      </c>
      <c r="R403" s="22" t="n">
        <f aca="false">I403*J403</f>
        <v>50</v>
      </c>
      <c r="S403" s="25" t="n">
        <f aca="false">K403-R403</f>
        <v>0</v>
      </c>
      <c r="T403" s="25" t="n">
        <f aca="false">K403*L403</f>
        <v>520</v>
      </c>
      <c r="U403" s="25" t="n">
        <f aca="false">M403-T403</f>
        <v>0</v>
      </c>
      <c r="V403" s="25" t="n">
        <f aca="false">M403+N403</f>
        <v>586.77</v>
      </c>
      <c r="W403" s="25" t="n">
        <f aca="false">O403-V403</f>
        <v>0</v>
      </c>
      <c r="X403" s="22" t="str">
        <f aca="false">IF(OR(ABS(S403)&gt;0.005,ABS(U403)&gt;0.005,ABS(W403)&gt;0.005),"Subledger arithmetic error","OK")</f>
        <v>OK</v>
      </c>
      <c r="Y403" s="22" t="str">
        <f aca="false">IF(X403="OK","","Priority 3")</f>
        <v/>
      </c>
    </row>
    <row r="404" customFormat="false" ht="15" hidden="false" customHeight="false" outlineLevel="0" collapsed="false">
      <c r="A404" s="22" t="s">
        <v>12211</v>
      </c>
      <c r="B404" s="23" t="n">
        <v>46235</v>
      </c>
      <c r="C404" s="22" t="s">
        <v>12212</v>
      </c>
      <c r="D404" s="22" t="s">
        <v>2395</v>
      </c>
      <c r="E404" s="22" t="s">
        <v>7584</v>
      </c>
      <c r="F404" s="22" t="s">
        <v>159</v>
      </c>
      <c r="G404" s="22" t="s">
        <v>8601</v>
      </c>
      <c r="H404" s="22" t="s">
        <v>11406</v>
      </c>
      <c r="I404" s="22" t="n">
        <v>28</v>
      </c>
      <c r="J404" s="22" t="n">
        <v>1</v>
      </c>
      <c r="K404" s="22" t="n">
        <v>28</v>
      </c>
      <c r="L404" s="25" t="n">
        <v>10.4</v>
      </c>
      <c r="M404" s="25" t="n">
        <v>291.2</v>
      </c>
      <c r="N404" s="25" t="n">
        <v>37.39</v>
      </c>
      <c r="O404" s="25" t="n">
        <v>328.59</v>
      </c>
      <c r="P404" s="22" t="s">
        <v>11407</v>
      </c>
      <c r="Q404" s="23" t="n">
        <v>46249</v>
      </c>
      <c r="R404" s="22" t="n">
        <f aca="false">I404*J404</f>
        <v>28</v>
      </c>
      <c r="S404" s="25" t="n">
        <f aca="false">K404-R404</f>
        <v>0</v>
      </c>
      <c r="T404" s="25" t="n">
        <f aca="false">K404*L404</f>
        <v>291.2</v>
      </c>
      <c r="U404" s="25" t="n">
        <f aca="false">M404-T404</f>
        <v>0</v>
      </c>
      <c r="V404" s="25" t="n">
        <f aca="false">M404+N404</f>
        <v>328.59</v>
      </c>
      <c r="W404" s="25" t="n">
        <f aca="false">O404-V404</f>
        <v>0</v>
      </c>
      <c r="X404" s="22" t="str">
        <f aca="false">IF(OR(ABS(S404)&gt;0.005,ABS(U404)&gt;0.005,ABS(W404)&gt;0.005),"Subledger arithmetic error","OK")</f>
        <v>OK</v>
      </c>
      <c r="Y404" s="22" t="str">
        <f aca="false">IF(X404="OK","","Priority 3")</f>
        <v/>
      </c>
    </row>
    <row r="405" customFormat="false" ht="15" hidden="false" customHeight="false" outlineLevel="0" collapsed="false">
      <c r="A405" s="22" t="s">
        <v>12213</v>
      </c>
      <c r="B405" s="23" t="n">
        <v>46235</v>
      </c>
      <c r="C405" s="22" t="s">
        <v>12214</v>
      </c>
      <c r="D405" s="22" t="s">
        <v>4398</v>
      </c>
      <c r="E405" s="22" t="s">
        <v>7585</v>
      </c>
      <c r="F405" s="22" t="s">
        <v>159</v>
      </c>
      <c r="G405" s="22" t="s">
        <v>8601</v>
      </c>
      <c r="H405" s="22" t="s">
        <v>11406</v>
      </c>
      <c r="I405" s="22" t="n">
        <v>24</v>
      </c>
      <c r="J405" s="22" t="n">
        <v>1</v>
      </c>
      <c r="K405" s="22" t="n">
        <v>24</v>
      </c>
      <c r="L405" s="25" t="n">
        <v>10.4</v>
      </c>
      <c r="M405" s="25" t="n">
        <v>249.6</v>
      </c>
      <c r="N405" s="25" t="n">
        <v>32.05</v>
      </c>
      <c r="O405" s="25" t="n">
        <v>281.65</v>
      </c>
      <c r="P405" s="22" t="s">
        <v>11407</v>
      </c>
      <c r="Q405" s="23" t="n">
        <v>46249</v>
      </c>
      <c r="R405" s="22" t="n">
        <f aca="false">I405*J405</f>
        <v>24</v>
      </c>
      <c r="S405" s="25" t="n">
        <f aca="false">K405-R405</f>
        <v>0</v>
      </c>
      <c r="T405" s="25" t="n">
        <f aca="false">K405*L405</f>
        <v>249.6</v>
      </c>
      <c r="U405" s="25" t="n">
        <f aca="false">M405-T405</f>
        <v>0</v>
      </c>
      <c r="V405" s="25" t="n">
        <f aca="false">M405+N405</f>
        <v>281.65</v>
      </c>
      <c r="W405" s="25" t="n">
        <f aca="false">O405-V405</f>
        <v>0</v>
      </c>
      <c r="X405" s="22" t="str">
        <f aca="false">IF(OR(ABS(S405)&gt;0.005,ABS(U405)&gt;0.005,ABS(W405)&gt;0.005),"Subledger arithmetic error","OK")</f>
        <v>OK</v>
      </c>
      <c r="Y405" s="22" t="str">
        <f aca="false">IF(X405="OK","","Priority 3")</f>
        <v/>
      </c>
    </row>
    <row r="406" customFormat="false" ht="15" hidden="false" customHeight="false" outlineLevel="0" collapsed="false">
      <c r="A406" s="22" t="s">
        <v>12215</v>
      </c>
      <c r="B406" s="23" t="n">
        <v>46235</v>
      </c>
      <c r="C406" s="22" t="s">
        <v>12216</v>
      </c>
      <c r="D406" s="22" t="s">
        <v>5325</v>
      </c>
      <c r="E406" s="22" t="s">
        <v>7587</v>
      </c>
      <c r="F406" s="22" t="s">
        <v>159</v>
      </c>
      <c r="G406" s="22" t="s">
        <v>8601</v>
      </c>
      <c r="H406" s="22" t="s">
        <v>11406</v>
      </c>
      <c r="I406" s="22" t="n">
        <v>32</v>
      </c>
      <c r="J406" s="22" t="n">
        <v>1</v>
      </c>
      <c r="K406" s="22" t="n">
        <v>32</v>
      </c>
      <c r="L406" s="25" t="n">
        <v>10.4</v>
      </c>
      <c r="M406" s="25" t="n">
        <v>332.8</v>
      </c>
      <c r="N406" s="25" t="n">
        <v>42.73</v>
      </c>
      <c r="O406" s="25" t="n">
        <v>375.53</v>
      </c>
      <c r="P406" s="22" t="s">
        <v>11407</v>
      </c>
      <c r="Q406" s="23" t="n">
        <v>46249</v>
      </c>
      <c r="R406" s="22" t="n">
        <f aca="false">I406*J406</f>
        <v>32</v>
      </c>
      <c r="S406" s="25" t="n">
        <f aca="false">K406-R406</f>
        <v>0</v>
      </c>
      <c r="T406" s="25" t="n">
        <f aca="false">K406*L406</f>
        <v>332.8</v>
      </c>
      <c r="U406" s="25" t="n">
        <f aca="false">M406-T406</f>
        <v>0</v>
      </c>
      <c r="V406" s="25" t="n">
        <f aca="false">M406+N406</f>
        <v>375.53</v>
      </c>
      <c r="W406" s="25" t="n">
        <f aca="false">O406-V406</f>
        <v>0</v>
      </c>
      <c r="X406" s="22" t="str">
        <f aca="false">IF(OR(ABS(S406)&gt;0.005,ABS(U406)&gt;0.005,ABS(W406)&gt;0.005),"Subledger arithmetic error","OK")</f>
        <v>OK</v>
      </c>
      <c r="Y406" s="22" t="str">
        <f aca="false">IF(X406="OK","","Priority 3")</f>
        <v/>
      </c>
    </row>
    <row r="407" customFormat="false" ht="15" hidden="false" customHeight="false" outlineLevel="0" collapsed="false">
      <c r="A407" s="22" t="s">
        <v>12217</v>
      </c>
      <c r="B407" s="23" t="n">
        <v>46235</v>
      </c>
      <c r="C407" s="22" t="s">
        <v>12218</v>
      </c>
      <c r="D407" s="22" t="s">
        <v>1480</v>
      </c>
      <c r="E407" s="22" t="s">
        <v>7589</v>
      </c>
      <c r="F407" s="22" t="s">
        <v>159</v>
      </c>
      <c r="G407" s="22" t="s">
        <v>8601</v>
      </c>
      <c r="H407" s="22" t="s">
        <v>11406</v>
      </c>
      <c r="I407" s="22" t="n">
        <v>32</v>
      </c>
      <c r="J407" s="22" t="n">
        <v>1</v>
      </c>
      <c r="K407" s="22" t="n">
        <v>32</v>
      </c>
      <c r="L407" s="25" t="n">
        <v>10.4</v>
      </c>
      <c r="M407" s="25" t="n">
        <v>332.8</v>
      </c>
      <c r="N407" s="25" t="n">
        <v>42.73</v>
      </c>
      <c r="O407" s="25" t="n">
        <v>375.53</v>
      </c>
      <c r="P407" s="22" t="s">
        <v>11407</v>
      </c>
      <c r="Q407" s="23" t="n">
        <v>46249</v>
      </c>
      <c r="R407" s="22" t="n">
        <f aca="false">I407*J407</f>
        <v>32</v>
      </c>
      <c r="S407" s="25" t="n">
        <f aca="false">K407-R407</f>
        <v>0</v>
      </c>
      <c r="T407" s="25" t="n">
        <f aca="false">K407*L407</f>
        <v>332.8</v>
      </c>
      <c r="U407" s="25" t="n">
        <f aca="false">M407-T407</f>
        <v>0</v>
      </c>
      <c r="V407" s="25" t="n">
        <f aca="false">M407+N407</f>
        <v>375.53</v>
      </c>
      <c r="W407" s="25" t="n">
        <f aca="false">O407-V407</f>
        <v>0</v>
      </c>
      <c r="X407" s="22" t="str">
        <f aca="false">IF(OR(ABS(S407)&gt;0.005,ABS(U407)&gt;0.005,ABS(W407)&gt;0.005),"Subledger arithmetic error","OK")</f>
        <v>OK</v>
      </c>
      <c r="Y407" s="22" t="str">
        <f aca="false">IF(X407="OK","","Priority 3")</f>
        <v/>
      </c>
    </row>
    <row r="408" customFormat="false" ht="15" hidden="false" customHeight="false" outlineLevel="0" collapsed="false">
      <c r="A408" s="22" t="s">
        <v>12219</v>
      </c>
      <c r="B408" s="23" t="n">
        <v>46235</v>
      </c>
      <c r="C408" s="22" t="s">
        <v>12220</v>
      </c>
      <c r="D408" s="22" t="s">
        <v>1478</v>
      </c>
      <c r="E408" s="22" t="s">
        <v>7591</v>
      </c>
      <c r="F408" s="22" t="s">
        <v>159</v>
      </c>
      <c r="G408" s="22" t="s">
        <v>8601</v>
      </c>
      <c r="H408" s="22" t="s">
        <v>11406</v>
      </c>
      <c r="I408" s="22" t="n">
        <v>59</v>
      </c>
      <c r="J408" s="22" t="n">
        <v>1</v>
      </c>
      <c r="K408" s="22" t="n">
        <v>59</v>
      </c>
      <c r="L408" s="25" t="n">
        <v>10.4</v>
      </c>
      <c r="M408" s="25" t="n">
        <v>613.6</v>
      </c>
      <c r="N408" s="25" t="n">
        <v>78.79</v>
      </c>
      <c r="O408" s="25" t="n">
        <v>692.39</v>
      </c>
      <c r="P408" s="22" t="s">
        <v>11407</v>
      </c>
      <c r="Q408" s="23" t="n">
        <v>46249</v>
      </c>
      <c r="R408" s="22" t="n">
        <f aca="false">I408*J408</f>
        <v>59</v>
      </c>
      <c r="S408" s="25" t="n">
        <f aca="false">K408-R408</f>
        <v>0</v>
      </c>
      <c r="T408" s="25" t="n">
        <f aca="false">K408*L408</f>
        <v>613.6</v>
      </c>
      <c r="U408" s="25" t="n">
        <f aca="false">M408-T408</f>
        <v>0</v>
      </c>
      <c r="V408" s="25" t="n">
        <f aca="false">M408+N408</f>
        <v>692.39</v>
      </c>
      <c r="W408" s="25" t="n">
        <f aca="false">O408-V408</f>
        <v>0</v>
      </c>
      <c r="X408" s="22" t="str">
        <f aca="false">IF(OR(ABS(S408)&gt;0.005,ABS(U408)&gt;0.005,ABS(W408)&gt;0.005),"Subledger arithmetic error","OK")</f>
        <v>OK</v>
      </c>
      <c r="Y408" s="22" t="str">
        <f aca="false">IF(X408="OK","","Priority 3")</f>
        <v/>
      </c>
    </row>
    <row r="409" customFormat="false" ht="15" hidden="false" customHeight="false" outlineLevel="0" collapsed="false">
      <c r="A409" s="22" t="s">
        <v>12221</v>
      </c>
      <c r="B409" s="23" t="n">
        <v>46235</v>
      </c>
      <c r="C409" s="22" t="s">
        <v>12222</v>
      </c>
      <c r="D409" s="22" t="s">
        <v>6409</v>
      </c>
      <c r="E409" s="22" t="s">
        <v>7593</v>
      </c>
      <c r="F409" s="22" t="s">
        <v>159</v>
      </c>
      <c r="G409" s="22" t="s">
        <v>8601</v>
      </c>
      <c r="H409" s="22" t="s">
        <v>11406</v>
      </c>
      <c r="I409" s="22" t="n">
        <v>24</v>
      </c>
      <c r="J409" s="22" t="n">
        <v>1</v>
      </c>
      <c r="K409" s="22" t="n">
        <v>24</v>
      </c>
      <c r="L409" s="25" t="n">
        <v>10.4</v>
      </c>
      <c r="M409" s="25" t="n">
        <v>249.6</v>
      </c>
      <c r="N409" s="25" t="n">
        <v>32.05</v>
      </c>
      <c r="O409" s="25" t="n">
        <v>281.65</v>
      </c>
      <c r="P409" s="22" t="s">
        <v>11407</v>
      </c>
      <c r="Q409" s="23" t="n">
        <v>46249</v>
      </c>
      <c r="R409" s="22" t="n">
        <f aca="false">I409*J409</f>
        <v>24</v>
      </c>
      <c r="S409" s="25" t="n">
        <f aca="false">K409-R409</f>
        <v>0</v>
      </c>
      <c r="T409" s="25" t="n">
        <f aca="false">K409*L409</f>
        <v>249.6</v>
      </c>
      <c r="U409" s="25" t="n">
        <f aca="false">M409-T409</f>
        <v>0</v>
      </c>
      <c r="V409" s="25" t="n">
        <f aca="false">M409+N409</f>
        <v>281.65</v>
      </c>
      <c r="W409" s="25" t="n">
        <f aca="false">O409-V409</f>
        <v>0</v>
      </c>
      <c r="X409" s="22" t="str">
        <f aca="false">IF(OR(ABS(S409)&gt;0.005,ABS(U409)&gt;0.005,ABS(W409)&gt;0.005),"Subledger arithmetic error","OK")</f>
        <v>OK</v>
      </c>
      <c r="Y409" s="22" t="str">
        <f aca="false">IF(X409="OK","","Priority 3")</f>
        <v/>
      </c>
    </row>
    <row r="410" customFormat="false" ht="15" hidden="false" customHeight="false" outlineLevel="0" collapsed="false">
      <c r="A410" s="22" t="s">
        <v>12223</v>
      </c>
      <c r="B410" s="23" t="n">
        <v>46235</v>
      </c>
      <c r="C410" s="22" t="s">
        <v>12224</v>
      </c>
      <c r="D410" s="22" t="s">
        <v>5655</v>
      </c>
      <c r="E410" s="22" t="s">
        <v>7596</v>
      </c>
      <c r="F410" s="22" t="s">
        <v>159</v>
      </c>
      <c r="G410" s="22" t="s">
        <v>8601</v>
      </c>
      <c r="H410" s="22" t="s">
        <v>11406</v>
      </c>
      <c r="I410" s="22" t="n">
        <v>32</v>
      </c>
      <c r="J410" s="22" t="n">
        <v>1</v>
      </c>
      <c r="K410" s="22" t="n">
        <v>32</v>
      </c>
      <c r="L410" s="25" t="n">
        <v>10.4</v>
      </c>
      <c r="M410" s="25" t="n">
        <v>332.8</v>
      </c>
      <c r="N410" s="25" t="n">
        <v>42.73</v>
      </c>
      <c r="O410" s="25" t="n">
        <v>375.53</v>
      </c>
      <c r="P410" s="22" t="s">
        <v>11407</v>
      </c>
      <c r="Q410" s="23" t="n">
        <v>46249</v>
      </c>
      <c r="R410" s="22" t="n">
        <f aca="false">I410*J410</f>
        <v>32</v>
      </c>
      <c r="S410" s="25" t="n">
        <f aca="false">K410-R410</f>
        <v>0</v>
      </c>
      <c r="T410" s="25" t="n">
        <f aca="false">K410*L410</f>
        <v>332.8</v>
      </c>
      <c r="U410" s="25" t="n">
        <f aca="false">M410-T410</f>
        <v>0</v>
      </c>
      <c r="V410" s="25" t="n">
        <f aca="false">M410+N410</f>
        <v>375.53</v>
      </c>
      <c r="W410" s="25" t="n">
        <f aca="false">O410-V410</f>
        <v>0</v>
      </c>
      <c r="X410" s="22" t="str">
        <f aca="false">IF(OR(ABS(S410)&gt;0.005,ABS(U410)&gt;0.005,ABS(W410)&gt;0.005),"Subledger arithmetic error","OK")</f>
        <v>OK</v>
      </c>
      <c r="Y410" s="22" t="str">
        <f aca="false">IF(X410="OK","","Priority 3")</f>
        <v/>
      </c>
    </row>
    <row r="411" customFormat="false" ht="15" hidden="false" customHeight="false" outlineLevel="0" collapsed="false">
      <c r="A411" s="22" t="s">
        <v>12225</v>
      </c>
      <c r="B411" s="23" t="n">
        <v>46235</v>
      </c>
      <c r="C411" s="22" t="s">
        <v>12226</v>
      </c>
      <c r="D411" s="22" t="s">
        <v>3543</v>
      </c>
      <c r="E411" s="22" t="s">
        <v>7599</v>
      </c>
      <c r="F411" s="22" t="s">
        <v>159</v>
      </c>
      <c r="G411" s="22" t="s">
        <v>8601</v>
      </c>
      <c r="H411" s="22" t="s">
        <v>11406</v>
      </c>
      <c r="I411" s="22" t="n">
        <v>53</v>
      </c>
      <c r="J411" s="22" t="n">
        <v>1</v>
      </c>
      <c r="K411" s="22" t="n">
        <v>53</v>
      </c>
      <c r="L411" s="25" t="n">
        <v>10.4</v>
      </c>
      <c r="M411" s="25" t="n">
        <v>551.2</v>
      </c>
      <c r="N411" s="25" t="n">
        <v>70.77</v>
      </c>
      <c r="O411" s="25" t="n">
        <v>621.97</v>
      </c>
      <c r="P411" s="22" t="s">
        <v>11407</v>
      </c>
      <c r="Q411" s="23" t="n">
        <v>46249</v>
      </c>
      <c r="R411" s="22" t="n">
        <f aca="false">I411*J411</f>
        <v>53</v>
      </c>
      <c r="S411" s="25" t="n">
        <f aca="false">K411-R411</f>
        <v>0</v>
      </c>
      <c r="T411" s="25" t="n">
        <f aca="false">K411*L411</f>
        <v>551.2</v>
      </c>
      <c r="U411" s="25" t="n">
        <f aca="false">M411-T411</f>
        <v>0</v>
      </c>
      <c r="V411" s="25" t="n">
        <f aca="false">M411+N411</f>
        <v>621.97</v>
      </c>
      <c r="W411" s="25" t="n">
        <f aca="false">O411-V411</f>
        <v>0</v>
      </c>
      <c r="X411" s="22" t="str">
        <f aca="false">IF(OR(ABS(S411)&gt;0.005,ABS(U411)&gt;0.005,ABS(W411)&gt;0.005),"Subledger arithmetic error","OK")</f>
        <v>OK</v>
      </c>
      <c r="Y411" s="22" t="str">
        <f aca="false">IF(X411="OK","","Priority 3")</f>
        <v/>
      </c>
    </row>
    <row r="412" customFormat="false" ht="15" hidden="false" customHeight="false" outlineLevel="0" collapsed="false">
      <c r="A412" s="22" t="s">
        <v>12227</v>
      </c>
      <c r="B412" s="23" t="n">
        <v>46235</v>
      </c>
      <c r="C412" s="22" t="s">
        <v>12228</v>
      </c>
      <c r="D412" s="22" t="s">
        <v>3986</v>
      </c>
      <c r="E412" s="22" t="s">
        <v>7601</v>
      </c>
      <c r="F412" s="22" t="s">
        <v>159</v>
      </c>
      <c r="G412" s="22" t="s">
        <v>8601</v>
      </c>
      <c r="H412" s="22" t="s">
        <v>11406</v>
      </c>
      <c r="I412" s="22" t="n">
        <v>34</v>
      </c>
      <c r="J412" s="22" t="n">
        <v>1</v>
      </c>
      <c r="K412" s="22" t="n">
        <v>34</v>
      </c>
      <c r="L412" s="25" t="n">
        <v>10.4</v>
      </c>
      <c r="M412" s="25" t="n">
        <v>353.6</v>
      </c>
      <c r="N412" s="25" t="n">
        <v>45.4</v>
      </c>
      <c r="O412" s="25" t="n">
        <v>399</v>
      </c>
      <c r="P412" s="22" t="s">
        <v>11407</v>
      </c>
      <c r="Q412" s="23" t="n">
        <v>46249</v>
      </c>
      <c r="R412" s="22" t="n">
        <f aca="false">I412*J412</f>
        <v>34</v>
      </c>
      <c r="S412" s="25" t="n">
        <f aca="false">K412-R412</f>
        <v>0</v>
      </c>
      <c r="T412" s="25" t="n">
        <f aca="false">K412*L412</f>
        <v>353.6</v>
      </c>
      <c r="U412" s="25" t="n">
        <f aca="false">M412-T412</f>
        <v>0</v>
      </c>
      <c r="V412" s="25" t="n">
        <f aca="false">M412+N412</f>
        <v>399</v>
      </c>
      <c r="W412" s="25" t="n">
        <f aca="false">O412-V412</f>
        <v>0</v>
      </c>
      <c r="X412" s="22" t="str">
        <f aca="false">IF(OR(ABS(S412)&gt;0.005,ABS(U412)&gt;0.005,ABS(W412)&gt;0.005),"Subledger arithmetic error","OK")</f>
        <v>OK</v>
      </c>
      <c r="Y412" s="22" t="str">
        <f aca="false">IF(X412="OK","","Priority 3")</f>
        <v/>
      </c>
    </row>
    <row r="413" customFormat="false" ht="15" hidden="false" customHeight="false" outlineLevel="0" collapsed="false">
      <c r="A413" s="22" t="s">
        <v>12229</v>
      </c>
      <c r="B413" s="23" t="n">
        <v>46235</v>
      </c>
      <c r="C413" s="22" t="s">
        <v>12230</v>
      </c>
      <c r="D413" s="22" t="s">
        <v>5000</v>
      </c>
      <c r="E413" s="22" t="s">
        <v>7603</v>
      </c>
      <c r="F413" s="22" t="s">
        <v>159</v>
      </c>
      <c r="G413" s="22" t="s">
        <v>8601</v>
      </c>
      <c r="H413" s="22" t="s">
        <v>11406</v>
      </c>
      <c r="I413" s="22" t="n">
        <v>57</v>
      </c>
      <c r="J413" s="22" t="n">
        <v>1</v>
      </c>
      <c r="K413" s="22" t="n">
        <v>57</v>
      </c>
      <c r="L413" s="25" t="n">
        <v>10.4</v>
      </c>
      <c r="M413" s="25" t="n">
        <v>592.8</v>
      </c>
      <c r="N413" s="25" t="n">
        <v>76.12</v>
      </c>
      <c r="O413" s="25" t="n">
        <v>668.92</v>
      </c>
      <c r="P413" s="22" t="s">
        <v>11407</v>
      </c>
      <c r="Q413" s="23" t="n">
        <v>46249</v>
      </c>
      <c r="R413" s="22" t="n">
        <f aca="false">I413*J413</f>
        <v>57</v>
      </c>
      <c r="S413" s="25" t="n">
        <f aca="false">K413-R413</f>
        <v>0</v>
      </c>
      <c r="T413" s="25" t="n">
        <f aca="false">K413*L413</f>
        <v>592.8</v>
      </c>
      <c r="U413" s="25" t="n">
        <f aca="false">M413-T413</f>
        <v>0</v>
      </c>
      <c r="V413" s="25" t="n">
        <f aca="false">M413+N413</f>
        <v>668.92</v>
      </c>
      <c r="W413" s="25" t="n">
        <f aca="false">O413-V413</f>
        <v>0</v>
      </c>
      <c r="X413" s="22" t="str">
        <f aca="false">IF(OR(ABS(S413)&gt;0.005,ABS(U413)&gt;0.005,ABS(W413)&gt;0.005),"Subledger arithmetic error","OK")</f>
        <v>OK</v>
      </c>
      <c r="Y413" s="22" t="str">
        <f aca="false">IF(X413="OK","","Priority 3")</f>
        <v/>
      </c>
    </row>
    <row r="414" customFormat="false" ht="15" hidden="false" customHeight="false" outlineLevel="0" collapsed="false">
      <c r="A414" s="22" t="s">
        <v>12231</v>
      </c>
      <c r="B414" s="23" t="n">
        <v>46235</v>
      </c>
      <c r="C414" s="22" t="s">
        <v>12232</v>
      </c>
      <c r="D414" s="22" t="s">
        <v>5957</v>
      </c>
      <c r="E414" s="22" t="s">
        <v>7605</v>
      </c>
      <c r="F414" s="22" t="s">
        <v>159</v>
      </c>
      <c r="G414" s="22" t="s">
        <v>8601</v>
      </c>
      <c r="H414" s="22" t="s">
        <v>11406</v>
      </c>
      <c r="I414" s="22" t="n">
        <v>60</v>
      </c>
      <c r="J414" s="22" t="n">
        <v>1</v>
      </c>
      <c r="K414" s="22" t="n">
        <v>60</v>
      </c>
      <c r="L414" s="25" t="n">
        <v>10.4</v>
      </c>
      <c r="M414" s="25" t="n">
        <v>624</v>
      </c>
      <c r="N414" s="25" t="n">
        <v>80.12</v>
      </c>
      <c r="O414" s="25" t="n">
        <v>704.12</v>
      </c>
      <c r="P414" s="22" t="s">
        <v>11407</v>
      </c>
      <c r="Q414" s="23" t="n">
        <v>46249</v>
      </c>
      <c r="R414" s="22" t="n">
        <f aca="false">I414*J414</f>
        <v>60</v>
      </c>
      <c r="S414" s="25" t="n">
        <f aca="false">K414-R414</f>
        <v>0</v>
      </c>
      <c r="T414" s="25" t="n">
        <f aca="false">K414*L414</f>
        <v>624</v>
      </c>
      <c r="U414" s="25" t="n">
        <f aca="false">M414-T414</f>
        <v>0</v>
      </c>
      <c r="V414" s="25" t="n">
        <f aca="false">M414+N414</f>
        <v>704.12</v>
      </c>
      <c r="W414" s="25" t="n">
        <f aca="false">O414-V414</f>
        <v>0</v>
      </c>
      <c r="X414" s="22" t="str">
        <f aca="false">IF(OR(ABS(S414)&gt;0.005,ABS(U414)&gt;0.005,ABS(W414)&gt;0.005),"Subledger arithmetic error","OK")</f>
        <v>OK</v>
      </c>
      <c r="Y414" s="22" t="str">
        <f aca="false">IF(X414="OK","","Priority 3")</f>
        <v/>
      </c>
    </row>
    <row r="415" customFormat="false" ht="15" hidden="false" customHeight="false" outlineLevel="0" collapsed="false">
      <c r="A415" s="22" t="s">
        <v>12233</v>
      </c>
      <c r="B415" s="23" t="n">
        <v>46235</v>
      </c>
      <c r="C415" s="22" t="s">
        <v>12234</v>
      </c>
      <c r="D415" s="22" t="s">
        <v>2310</v>
      </c>
      <c r="E415" s="22" t="s">
        <v>7607</v>
      </c>
      <c r="F415" s="22" t="s">
        <v>159</v>
      </c>
      <c r="G415" s="22" t="s">
        <v>8601</v>
      </c>
      <c r="H415" s="22" t="s">
        <v>11406</v>
      </c>
      <c r="I415" s="22" t="n">
        <v>36</v>
      </c>
      <c r="J415" s="22" t="n">
        <v>1</v>
      </c>
      <c r="K415" s="22" t="n">
        <v>36</v>
      </c>
      <c r="L415" s="25" t="n">
        <v>10.4</v>
      </c>
      <c r="M415" s="25" t="n">
        <v>374.4</v>
      </c>
      <c r="N415" s="25" t="n">
        <v>48.07</v>
      </c>
      <c r="O415" s="25" t="n">
        <v>422.47</v>
      </c>
      <c r="P415" s="22" t="s">
        <v>11410</v>
      </c>
      <c r="Q415" s="23" t="n">
        <v>46249</v>
      </c>
      <c r="R415" s="22" t="n">
        <f aca="false">I415*J415</f>
        <v>36</v>
      </c>
      <c r="S415" s="25" t="n">
        <f aca="false">K415-R415</f>
        <v>0</v>
      </c>
      <c r="T415" s="25" t="n">
        <f aca="false">K415*L415</f>
        <v>374.4</v>
      </c>
      <c r="U415" s="25" t="n">
        <f aca="false">M415-T415</f>
        <v>0</v>
      </c>
      <c r="V415" s="25" t="n">
        <f aca="false">M415+N415</f>
        <v>422.47</v>
      </c>
      <c r="W415" s="25" t="n">
        <f aca="false">O415-V415</f>
        <v>0</v>
      </c>
      <c r="X415" s="22" t="str">
        <f aca="false">IF(OR(ABS(S415)&gt;0.005,ABS(U415)&gt;0.005,ABS(W415)&gt;0.005),"Subledger arithmetic error","OK")</f>
        <v>OK</v>
      </c>
      <c r="Y415" s="22" t="str">
        <f aca="false">IF(X415="OK","","Priority 3")</f>
        <v/>
      </c>
    </row>
    <row r="416" customFormat="false" ht="15" hidden="false" customHeight="false" outlineLevel="0" collapsed="false">
      <c r="A416" s="22" t="s">
        <v>12235</v>
      </c>
      <c r="B416" s="23" t="n">
        <v>46235</v>
      </c>
      <c r="C416" s="22" t="s">
        <v>12236</v>
      </c>
      <c r="D416" s="22" t="s">
        <v>4373</v>
      </c>
      <c r="E416" s="22" t="s">
        <v>7608</v>
      </c>
      <c r="F416" s="22" t="s">
        <v>159</v>
      </c>
      <c r="G416" s="22" t="s">
        <v>8601</v>
      </c>
      <c r="H416" s="22" t="s">
        <v>11406</v>
      </c>
      <c r="I416" s="22" t="n">
        <v>59</v>
      </c>
      <c r="J416" s="22" t="n">
        <v>1</v>
      </c>
      <c r="K416" s="22" t="n">
        <v>59</v>
      </c>
      <c r="L416" s="25" t="n">
        <v>10.4</v>
      </c>
      <c r="M416" s="25" t="n">
        <v>613.6</v>
      </c>
      <c r="N416" s="25" t="n">
        <v>78.79</v>
      </c>
      <c r="O416" s="25" t="n">
        <v>692.39</v>
      </c>
      <c r="P416" s="22" t="s">
        <v>11407</v>
      </c>
      <c r="Q416" s="23" t="n">
        <v>46249</v>
      </c>
      <c r="R416" s="22" t="n">
        <f aca="false">I416*J416</f>
        <v>59</v>
      </c>
      <c r="S416" s="25" t="n">
        <f aca="false">K416-R416</f>
        <v>0</v>
      </c>
      <c r="T416" s="25" t="n">
        <f aca="false">K416*L416</f>
        <v>613.6</v>
      </c>
      <c r="U416" s="25" t="n">
        <f aca="false">M416-T416</f>
        <v>0</v>
      </c>
      <c r="V416" s="25" t="n">
        <f aca="false">M416+N416</f>
        <v>692.39</v>
      </c>
      <c r="W416" s="25" t="n">
        <f aca="false">O416-V416</f>
        <v>0</v>
      </c>
      <c r="X416" s="22" t="str">
        <f aca="false">IF(OR(ABS(S416)&gt;0.005,ABS(U416)&gt;0.005,ABS(W416)&gt;0.005),"Subledger arithmetic error","OK")</f>
        <v>OK</v>
      </c>
      <c r="Y416" s="22" t="str">
        <f aca="false">IF(X416="OK","","Priority 3")</f>
        <v/>
      </c>
    </row>
    <row r="417" customFormat="false" ht="15" hidden="false" customHeight="false" outlineLevel="0" collapsed="false">
      <c r="A417" s="22" t="s">
        <v>12237</v>
      </c>
      <c r="B417" s="23" t="n">
        <v>46235</v>
      </c>
      <c r="C417" s="22" t="s">
        <v>12238</v>
      </c>
      <c r="D417" s="22" t="s">
        <v>2800</v>
      </c>
      <c r="E417" s="22" t="s">
        <v>7609</v>
      </c>
      <c r="F417" s="22" t="s">
        <v>159</v>
      </c>
      <c r="G417" s="22" t="s">
        <v>8601</v>
      </c>
      <c r="H417" s="22" t="s">
        <v>11406</v>
      </c>
      <c r="I417" s="22" t="n">
        <v>55</v>
      </c>
      <c r="J417" s="22" t="n">
        <v>1</v>
      </c>
      <c r="K417" s="22" t="n">
        <v>55</v>
      </c>
      <c r="L417" s="25" t="n">
        <v>10.4</v>
      </c>
      <c r="M417" s="25" t="n">
        <v>572</v>
      </c>
      <c r="N417" s="25" t="n">
        <v>73.44</v>
      </c>
      <c r="O417" s="25" t="n">
        <v>645.44</v>
      </c>
      <c r="P417" s="22" t="s">
        <v>11407</v>
      </c>
      <c r="Q417" s="23" t="n">
        <v>46249</v>
      </c>
      <c r="R417" s="22" t="n">
        <f aca="false">I417*J417</f>
        <v>55</v>
      </c>
      <c r="S417" s="25" t="n">
        <f aca="false">K417-R417</f>
        <v>0</v>
      </c>
      <c r="T417" s="25" t="n">
        <f aca="false">K417*L417</f>
        <v>572</v>
      </c>
      <c r="U417" s="25" t="n">
        <f aca="false">M417-T417</f>
        <v>0</v>
      </c>
      <c r="V417" s="25" t="n">
        <f aca="false">M417+N417</f>
        <v>645.44</v>
      </c>
      <c r="W417" s="25" t="n">
        <f aca="false">O417-V417</f>
        <v>0</v>
      </c>
      <c r="X417" s="22" t="str">
        <f aca="false">IF(OR(ABS(S417)&gt;0.005,ABS(U417)&gt;0.005,ABS(W417)&gt;0.005),"Subledger arithmetic error","OK")</f>
        <v>OK</v>
      </c>
      <c r="Y417" s="22" t="str">
        <f aca="false">IF(X417="OK","","Priority 3")</f>
        <v/>
      </c>
    </row>
    <row r="418" customFormat="false" ht="15" hidden="false" customHeight="false" outlineLevel="0" collapsed="false">
      <c r="A418" s="22" t="s">
        <v>12239</v>
      </c>
      <c r="B418" s="23" t="n">
        <v>46235</v>
      </c>
      <c r="C418" s="22" t="s">
        <v>12240</v>
      </c>
      <c r="D418" s="22" t="s">
        <v>1500</v>
      </c>
      <c r="E418" s="22" t="s">
        <v>7610</v>
      </c>
      <c r="F418" s="22" t="s">
        <v>159</v>
      </c>
      <c r="G418" s="22" t="s">
        <v>8601</v>
      </c>
      <c r="H418" s="22" t="s">
        <v>11406</v>
      </c>
      <c r="I418" s="22" t="n">
        <v>47</v>
      </c>
      <c r="J418" s="22" t="n">
        <v>1</v>
      </c>
      <c r="K418" s="22" t="n">
        <v>47</v>
      </c>
      <c r="L418" s="25" t="n">
        <v>10.4</v>
      </c>
      <c r="M418" s="25" t="n">
        <v>488.8</v>
      </c>
      <c r="N418" s="25" t="n">
        <v>62.76</v>
      </c>
      <c r="O418" s="25" t="n">
        <v>551.56</v>
      </c>
      <c r="P418" s="22" t="s">
        <v>11407</v>
      </c>
      <c r="Q418" s="23" t="n">
        <v>46249</v>
      </c>
      <c r="R418" s="22" t="n">
        <f aca="false">I418*J418</f>
        <v>47</v>
      </c>
      <c r="S418" s="25" t="n">
        <f aca="false">K418-R418</f>
        <v>0</v>
      </c>
      <c r="T418" s="25" t="n">
        <f aca="false">K418*L418</f>
        <v>488.8</v>
      </c>
      <c r="U418" s="25" t="n">
        <f aca="false">M418-T418</f>
        <v>0</v>
      </c>
      <c r="V418" s="25" t="n">
        <f aca="false">M418+N418</f>
        <v>551.56</v>
      </c>
      <c r="W418" s="25" t="n">
        <f aca="false">O418-V418</f>
        <v>0</v>
      </c>
      <c r="X418" s="22" t="str">
        <f aca="false">IF(OR(ABS(S418)&gt;0.005,ABS(U418)&gt;0.005,ABS(W418)&gt;0.005),"Subledger arithmetic error","OK")</f>
        <v>OK</v>
      </c>
      <c r="Y418" s="22" t="str">
        <f aca="false">IF(X418="OK","","Priority 3")</f>
        <v/>
      </c>
    </row>
    <row r="419" customFormat="false" ht="15" hidden="false" customHeight="false" outlineLevel="0" collapsed="false">
      <c r="A419" s="22" t="s">
        <v>12241</v>
      </c>
      <c r="B419" s="23" t="n">
        <v>46235</v>
      </c>
      <c r="C419" s="22" t="s">
        <v>12242</v>
      </c>
      <c r="D419" s="22" t="s">
        <v>5143</v>
      </c>
      <c r="E419" s="22" t="s">
        <v>7612</v>
      </c>
      <c r="F419" s="22" t="s">
        <v>159</v>
      </c>
      <c r="G419" s="22" t="s">
        <v>8601</v>
      </c>
      <c r="H419" s="22" t="s">
        <v>11406</v>
      </c>
      <c r="I419" s="22" t="n">
        <v>57</v>
      </c>
      <c r="J419" s="22" t="n">
        <v>1</v>
      </c>
      <c r="K419" s="22" t="n">
        <v>57</v>
      </c>
      <c r="L419" s="25" t="n">
        <v>10.4</v>
      </c>
      <c r="M419" s="25" t="n">
        <v>592.8</v>
      </c>
      <c r="N419" s="25" t="n">
        <v>76.12</v>
      </c>
      <c r="O419" s="25" t="n">
        <v>668.92</v>
      </c>
      <c r="P419" s="22" t="s">
        <v>11407</v>
      </c>
      <c r="Q419" s="23" t="n">
        <v>46249</v>
      </c>
      <c r="R419" s="22" t="n">
        <f aca="false">I419*J419</f>
        <v>57</v>
      </c>
      <c r="S419" s="25" t="n">
        <f aca="false">K419-R419</f>
        <v>0</v>
      </c>
      <c r="T419" s="25" t="n">
        <f aca="false">K419*L419</f>
        <v>592.8</v>
      </c>
      <c r="U419" s="25" t="n">
        <f aca="false">M419-T419</f>
        <v>0</v>
      </c>
      <c r="V419" s="25" t="n">
        <f aca="false">M419+N419</f>
        <v>668.92</v>
      </c>
      <c r="W419" s="25" t="n">
        <f aca="false">O419-V419</f>
        <v>0</v>
      </c>
      <c r="X419" s="22" t="str">
        <f aca="false">IF(OR(ABS(S419)&gt;0.005,ABS(U419)&gt;0.005,ABS(W419)&gt;0.005),"Subledger arithmetic error","OK")</f>
        <v>OK</v>
      </c>
      <c r="Y419" s="22" t="str">
        <f aca="false">IF(X419="OK","","Priority 3")</f>
        <v/>
      </c>
    </row>
    <row r="420" customFormat="false" ht="15" hidden="false" customHeight="false" outlineLevel="0" collapsed="false">
      <c r="A420" s="22" t="s">
        <v>12243</v>
      </c>
      <c r="B420" s="23" t="n">
        <v>46235</v>
      </c>
      <c r="C420" s="22" t="s">
        <v>12244</v>
      </c>
      <c r="D420" s="22" t="s">
        <v>2293</v>
      </c>
      <c r="E420" s="22" t="s">
        <v>7614</v>
      </c>
      <c r="F420" s="22" t="s">
        <v>159</v>
      </c>
      <c r="G420" s="22" t="s">
        <v>8601</v>
      </c>
      <c r="H420" s="22" t="s">
        <v>11406</v>
      </c>
      <c r="I420" s="22" t="n">
        <v>40</v>
      </c>
      <c r="J420" s="22" t="n">
        <v>1</v>
      </c>
      <c r="K420" s="22" t="n">
        <v>40</v>
      </c>
      <c r="L420" s="25" t="n">
        <v>10.4</v>
      </c>
      <c r="M420" s="25" t="n">
        <v>416</v>
      </c>
      <c r="N420" s="25" t="n">
        <v>53.41</v>
      </c>
      <c r="O420" s="25" t="n">
        <v>469.41</v>
      </c>
      <c r="P420" s="22" t="s">
        <v>11407</v>
      </c>
      <c r="Q420" s="23" t="n">
        <v>46249</v>
      </c>
      <c r="R420" s="22" t="n">
        <f aca="false">I420*J420</f>
        <v>40</v>
      </c>
      <c r="S420" s="25" t="n">
        <f aca="false">K420-R420</f>
        <v>0</v>
      </c>
      <c r="T420" s="25" t="n">
        <f aca="false">K420*L420</f>
        <v>416</v>
      </c>
      <c r="U420" s="25" t="n">
        <f aca="false">M420-T420</f>
        <v>0</v>
      </c>
      <c r="V420" s="25" t="n">
        <f aca="false">M420+N420</f>
        <v>469.41</v>
      </c>
      <c r="W420" s="25" t="n">
        <f aca="false">O420-V420</f>
        <v>0</v>
      </c>
      <c r="X420" s="22" t="str">
        <f aca="false">IF(OR(ABS(S420)&gt;0.005,ABS(U420)&gt;0.005,ABS(W420)&gt;0.005),"Subledger arithmetic error","OK")</f>
        <v>OK</v>
      </c>
      <c r="Y420" s="22" t="str">
        <f aca="false">IF(X420="OK","","Priority 3")</f>
        <v/>
      </c>
    </row>
    <row r="421" customFormat="false" ht="15" hidden="false" customHeight="false" outlineLevel="0" collapsed="false">
      <c r="A421" s="22" t="s">
        <v>12245</v>
      </c>
      <c r="B421" s="23" t="n">
        <v>46235</v>
      </c>
      <c r="C421" s="22" t="s">
        <v>12246</v>
      </c>
      <c r="D421" s="22" t="s">
        <v>3262</v>
      </c>
      <c r="E421" s="22" t="s">
        <v>7616</v>
      </c>
      <c r="F421" s="22" t="s">
        <v>159</v>
      </c>
      <c r="G421" s="22" t="s">
        <v>8601</v>
      </c>
      <c r="H421" s="22" t="s">
        <v>11406</v>
      </c>
      <c r="I421" s="22" t="n">
        <v>58</v>
      </c>
      <c r="J421" s="22" t="n">
        <v>1</v>
      </c>
      <c r="K421" s="22" t="n">
        <v>58</v>
      </c>
      <c r="L421" s="25" t="n">
        <v>10.4</v>
      </c>
      <c r="M421" s="25" t="n">
        <v>603.2</v>
      </c>
      <c r="N421" s="25" t="n">
        <v>77.45</v>
      </c>
      <c r="O421" s="25" t="n">
        <v>680.65</v>
      </c>
      <c r="P421" s="22" t="s">
        <v>11407</v>
      </c>
      <c r="Q421" s="23" t="n">
        <v>46249</v>
      </c>
      <c r="R421" s="22" t="n">
        <f aca="false">I421*J421</f>
        <v>58</v>
      </c>
      <c r="S421" s="25" t="n">
        <f aca="false">K421-R421</f>
        <v>0</v>
      </c>
      <c r="T421" s="25" t="n">
        <f aca="false">K421*L421</f>
        <v>603.2</v>
      </c>
      <c r="U421" s="25" t="n">
        <f aca="false">M421-T421</f>
        <v>0</v>
      </c>
      <c r="V421" s="25" t="n">
        <f aca="false">M421+N421</f>
        <v>680.65</v>
      </c>
      <c r="W421" s="25" t="n">
        <f aca="false">O421-V421</f>
        <v>0</v>
      </c>
      <c r="X421" s="22" t="str">
        <f aca="false">IF(OR(ABS(S421)&gt;0.005,ABS(U421)&gt;0.005,ABS(W421)&gt;0.005),"Subledger arithmetic error","OK")</f>
        <v>OK</v>
      </c>
      <c r="Y421" s="22" t="str">
        <f aca="false">IF(X421="OK","","Priority 3")</f>
        <v/>
      </c>
    </row>
    <row r="422" customFormat="false" ht="15" hidden="false" customHeight="false" outlineLevel="0" collapsed="false">
      <c r="A422" s="22" t="s">
        <v>12247</v>
      </c>
      <c r="B422" s="23" t="n">
        <v>46235</v>
      </c>
      <c r="C422" s="22" t="s">
        <v>12248</v>
      </c>
      <c r="D422" s="22" t="s">
        <v>1055</v>
      </c>
      <c r="E422" s="22" t="s">
        <v>7617</v>
      </c>
      <c r="F422" s="22" t="s">
        <v>159</v>
      </c>
      <c r="G422" s="22" t="s">
        <v>8601</v>
      </c>
      <c r="H422" s="22" t="s">
        <v>11406</v>
      </c>
      <c r="I422" s="22" t="n">
        <v>51</v>
      </c>
      <c r="J422" s="22" t="n">
        <v>1</v>
      </c>
      <c r="K422" s="22" t="n">
        <v>51</v>
      </c>
      <c r="L422" s="25" t="n">
        <v>10.4</v>
      </c>
      <c r="M422" s="25" t="n">
        <v>530.4</v>
      </c>
      <c r="N422" s="25" t="n">
        <v>68.1</v>
      </c>
      <c r="O422" s="25" t="n">
        <v>598.5</v>
      </c>
      <c r="P422" s="22" t="s">
        <v>11407</v>
      </c>
      <c r="Q422" s="23" t="n">
        <v>46249</v>
      </c>
      <c r="R422" s="22" t="n">
        <f aca="false">I422*J422</f>
        <v>51</v>
      </c>
      <c r="S422" s="25" t="n">
        <f aca="false">K422-R422</f>
        <v>0</v>
      </c>
      <c r="T422" s="25" t="n">
        <f aca="false">K422*L422</f>
        <v>530.4</v>
      </c>
      <c r="U422" s="25" t="n">
        <f aca="false">M422-T422</f>
        <v>0</v>
      </c>
      <c r="V422" s="25" t="n">
        <f aca="false">M422+N422</f>
        <v>598.5</v>
      </c>
      <c r="W422" s="25" t="n">
        <f aca="false">O422-V422</f>
        <v>0</v>
      </c>
      <c r="X422" s="22" t="str">
        <f aca="false">IF(OR(ABS(S422)&gt;0.005,ABS(U422)&gt;0.005,ABS(W422)&gt;0.005),"Subledger arithmetic error","OK")</f>
        <v>OK</v>
      </c>
      <c r="Y422" s="22" t="str">
        <f aca="false">IF(X422="OK","","Priority 3")</f>
        <v/>
      </c>
    </row>
    <row r="423" customFormat="false" ht="15" hidden="false" customHeight="false" outlineLevel="0" collapsed="false">
      <c r="A423" s="22" t="s">
        <v>12249</v>
      </c>
      <c r="B423" s="23" t="n">
        <v>46235</v>
      </c>
      <c r="C423" s="22" t="s">
        <v>12250</v>
      </c>
      <c r="D423" s="22" t="s">
        <v>2426</v>
      </c>
      <c r="E423" s="22" t="s">
        <v>7618</v>
      </c>
      <c r="F423" s="22" t="s">
        <v>159</v>
      </c>
      <c r="G423" s="22" t="s">
        <v>8601</v>
      </c>
      <c r="H423" s="22" t="s">
        <v>11406</v>
      </c>
      <c r="I423" s="22" t="n">
        <v>59</v>
      </c>
      <c r="J423" s="22" t="n">
        <v>1</v>
      </c>
      <c r="K423" s="22" t="n">
        <v>59</v>
      </c>
      <c r="L423" s="25" t="n">
        <v>10.4</v>
      </c>
      <c r="M423" s="25" t="n">
        <v>613.6</v>
      </c>
      <c r="N423" s="25" t="n">
        <v>78.79</v>
      </c>
      <c r="O423" s="25" t="n">
        <v>692.39</v>
      </c>
      <c r="P423" s="22" t="s">
        <v>11410</v>
      </c>
      <c r="Q423" s="23" t="n">
        <v>46249</v>
      </c>
      <c r="R423" s="22" t="n">
        <f aca="false">I423*J423</f>
        <v>59</v>
      </c>
      <c r="S423" s="25" t="n">
        <f aca="false">K423-R423</f>
        <v>0</v>
      </c>
      <c r="T423" s="25" t="n">
        <f aca="false">K423*L423</f>
        <v>613.6</v>
      </c>
      <c r="U423" s="25" t="n">
        <f aca="false">M423-T423</f>
        <v>0</v>
      </c>
      <c r="V423" s="25" t="n">
        <f aca="false">M423+N423</f>
        <v>692.39</v>
      </c>
      <c r="W423" s="25" t="n">
        <f aca="false">O423-V423</f>
        <v>0</v>
      </c>
      <c r="X423" s="22" t="str">
        <f aca="false">IF(OR(ABS(S423)&gt;0.005,ABS(U423)&gt;0.005,ABS(W423)&gt;0.005),"Subledger arithmetic error","OK")</f>
        <v>OK</v>
      </c>
      <c r="Y423" s="22" t="str">
        <f aca="false">IF(X423="OK","","Priority 3")</f>
        <v/>
      </c>
    </row>
    <row r="424" customFormat="false" ht="15" hidden="false" customHeight="false" outlineLevel="0" collapsed="false">
      <c r="A424" s="22" t="s">
        <v>12251</v>
      </c>
      <c r="B424" s="23" t="n">
        <v>46235</v>
      </c>
      <c r="C424" s="22" t="s">
        <v>12252</v>
      </c>
      <c r="D424" s="22" t="s">
        <v>4014</v>
      </c>
      <c r="E424" s="22" t="s">
        <v>7621</v>
      </c>
      <c r="F424" s="22" t="s">
        <v>159</v>
      </c>
      <c r="G424" s="22" t="s">
        <v>8601</v>
      </c>
      <c r="H424" s="22" t="s">
        <v>11406</v>
      </c>
      <c r="I424" s="22" t="n">
        <v>47</v>
      </c>
      <c r="J424" s="22" t="n">
        <v>1</v>
      </c>
      <c r="K424" s="22" t="n">
        <v>47</v>
      </c>
      <c r="L424" s="25" t="n">
        <v>10.4</v>
      </c>
      <c r="M424" s="25" t="n">
        <v>488.8</v>
      </c>
      <c r="N424" s="25" t="n">
        <v>62.76</v>
      </c>
      <c r="O424" s="25" t="n">
        <v>551.56</v>
      </c>
      <c r="P424" s="22" t="s">
        <v>11407</v>
      </c>
      <c r="Q424" s="23" t="n">
        <v>46249</v>
      </c>
      <c r="R424" s="22" t="n">
        <f aca="false">I424*J424</f>
        <v>47</v>
      </c>
      <c r="S424" s="25" t="n">
        <f aca="false">K424-R424</f>
        <v>0</v>
      </c>
      <c r="T424" s="25" t="n">
        <f aca="false">K424*L424</f>
        <v>488.8</v>
      </c>
      <c r="U424" s="25" t="n">
        <f aca="false">M424-T424</f>
        <v>0</v>
      </c>
      <c r="V424" s="25" t="n">
        <f aca="false">M424+N424</f>
        <v>551.56</v>
      </c>
      <c r="W424" s="25" t="n">
        <f aca="false">O424-V424</f>
        <v>0</v>
      </c>
      <c r="X424" s="22" t="str">
        <f aca="false">IF(OR(ABS(S424)&gt;0.005,ABS(U424)&gt;0.005,ABS(W424)&gt;0.005),"Subledger arithmetic error","OK")</f>
        <v>OK</v>
      </c>
      <c r="Y424" s="22" t="str">
        <f aca="false">IF(X424="OK","","Priority 3")</f>
        <v/>
      </c>
    </row>
    <row r="425" customFormat="false" ht="15" hidden="false" customHeight="false" outlineLevel="0" collapsed="false">
      <c r="A425" s="22" t="s">
        <v>12253</v>
      </c>
      <c r="B425" s="23" t="n">
        <v>46235</v>
      </c>
      <c r="C425" s="22" t="s">
        <v>12254</v>
      </c>
      <c r="D425" s="22" t="s">
        <v>928</v>
      </c>
      <c r="E425" s="22" t="s">
        <v>7622</v>
      </c>
      <c r="F425" s="22" t="s">
        <v>159</v>
      </c>
      <c r="G425" s="22" t="s">
        <v>8601</v>
      </c>
      <c r="H425" s="22" t="s">
        <v>11406</v>
      </c>
      <c r="I425" s="22" t="n">
        <v>59</v>
      </c>
      <c r="J425" s="22" t="n">
        <v>1</v>
      </c>
      <c r="K425" s="22" t="n">
        <v>59</v>
      </c>
      <c r="L425" s="25" t="n">
        <v>10.4</v>
      </c>
      <c r="M425" s="25" t="n">
        <v>613.6</v>
      </c>
      <c r="N425" s="25" t="n">
        <v>78.79</v>
      </c>
      <c r="O425" s="25" t="n">
        <v>692.39</v>
      </c>
      <c r="P425" s="22" t="s">
        <v>11407</v>
      </c>
      <c r="Q425" s="23" t="n">
        <v>46249</v>
      </c>
      <c r="R425" s="22" t="n">
        <f aca="false">I425*J425</f>
        <v>59</v>
      </c>
      <c r="S425" s="25" t="n">
        <f aca="false">K425-R425</f>
        <v>0</v>
      </c>
      <c r="T425" s="25" t="n">
        <f aca="false">K425*L425</f>
        <v>613.6</v>
      </c>
      <c r="U425" s="25" t="n">
        <f aca="false">M425-T425</f>
        <v>0</v>
      </c>
      <c r="V425" s="25" t="n">
        <f aca="false">M425+N425</f>
        <v>692.39</v>
      </c>
      <c r="W425" s="25" t="n">
        <f aca="false">O425-V425</f>
        <v>0</v>
      </c>
      <c r="X425" s="22" t="str">
        <f aca="false">IF(OR(ABS(S425)&gt;0.005,ABS(U425)&gt;0.005,ABS(W425)&gt;0.005),"Subledger arithmetic error","OK")</f>
        <v>OK</v>
      </c>
      <c r="Y425" s="22" t="str">
        <f aca="false">IF(X425="OK","","Priority 3")</f>
        <v/>
      </c>
    </row>
    <row r="426" customFormat="false" ht="15" hidden="false" customHeight="false" outlineLevel="0" collapsed="false">
      <c r="A426" s="22" t="s">
        <v>12255</v>
      </c>
      <c r="B426" s="23" t="n">
        <v>46235</v>
      </c>
      <c r="C426" s="22" t="s">
        <v>12256</v>
      </c>
      <c r="D426" s="22" t="s">
        <v>3621</v>
      </c>
      <c r="E426" s="22" t="s">
        <v>7624</v>
      </c>
      <c r="F426" s="22" t="s">
        <v>159</v>
      </c>
      <c r="G426" s="22" t="s">
        <v>8601</v>
      </c>
      <c r="H426" s="22" t="s">
        <v>11406</v>
      </c>
      <c r="I426" s="22" t="n">
        <v>57</v>
      </c>
      <c r="J426" s="22" t="n">
        <v>1</v>
      </c>
      <c r="K426" s="22" t="n">
        <v>57</v>
      </c>
      <c r="L426" s="25" t="n">
        <v>10.4</v>
      </c>
      <c r="M426" s="25" t="n">
        <v>592.8</v>
      </c>
      <c r="N426" s="25" t="n">
        <v>76.12</v>
      </c>
      <c r="O426" s="25" t="n">
        <v>668.92</v>
      </c>
      <c r="P426" s="22" t="s">
        <v>11407</v>
      </c>
      <c r="Q426" s="23" t="n">
        <v>46249</v>
      </c>
      <c r="R426" s="22" t="n">
        <f aca="false">I426*J426</f>
        <v>57</v>
      </c>
      <c r="S426" s="25" t="n">
        <f aca="false">K426-R426</f>
        <v>0</v>
      </c>
      <c r="T426" s="25" t="n">
        <f aca="false">K426*L426</f>
        <v>592.8</v>
      </c>
      <c r="U426" s="25" t="n">
        <f aca="false">M426-T426</f>
        <v>0</v>
      </c>
      <c r="V426" s="25" t="n">
        <f aca="false">M426+N426</f>
        <v>668.92</v>
      </c>
      <c r="W426" s="25" t="n">
        <f aca="false">O426-V426</f>
        <v>0</v>
      </c>
      <c r="X426" s="22" t="str">
        <f aca="false">IF(OR(ABS(S426)&gt;0.005,ABS(U426)&gt;0.005,ABS(W426)&gt;0.005),"Subledger arithmetic error","OK")</f>
        <v>OK</v>
      </c>
      <c r="Y426" s="22" t="str">
        <f aca="false">IF(X426="OK","","Priority 3")</f>
        <v/>
      </c>
    </row>
    <row r="427" customFormat="false" ht="15" hidden="false" customHeight="false" outlineLevel="0" collapsed="false">
      <c r="A427" s="22" t="s">
        <v>12257</v>
      </c>
      <c r="B427" s="23" t="n">
        <v>46235</v>
      </c>
      <c r="C427" s="22" t="s">
        <v>12258</v>
      </c>
      <c r="D427" s="22" t="s">
        <v>3409</v>
      </c>
      <c r="E427" s="22" t="s">
        <v>7626</v>
      </c>
      <c r="F427" s="22" t="s">
        <v>159</v>
      </c>
      <c r="G427" s="22" t="s">
        <v>8601</v>
      </c>
      <c r="H427" s="22" t="s">
        <v>11406</v>
      </c>
      <c r="I427" s="22" t="n">
        <v>57</v>
      </c>
      <c r="J427" s="22" t="n">
        <v>1</v>
      </c>
      <c r="K427" s="22" t="n">
        <v>57</v>
      </c>
      <c r="L427" s="25" t="n">
        <v>10.4</v>
      </c>
      <c r="M427" s="25" t="n">
        <v>592.8</v>
      </c>
      <c r="N427" s="25" t="n">
        <v>76.12</v>
      </c>
      <c r="O427" s="25" t="n">
        <v>668.92</v>
      </c>
      <c r="P427" s="22" t="s">
        <v>11407</v>
      </c>
      <c r="Q427" s="23" t="n">
        <v>46249</v>
      </c>
      <c r="R427" s="22" t="n">
        <f aca="false">I427*J427</f>
        <v>57</v>
      </c>
      <c r="S427" s="25" t="n">
        <f aca="false">K427-R427</f>
        <v>0</v>
      </c>
      <c r="T427" s="25" t="n">
        <f aca="false">K427*L427</f>
        <v>592.8</v>
      </c>
      <c r="U427" s="25" t="n">
        <f aca="false">M427-T427</f>
        <v>0</v>
      </c>
      <c r="V427" s="25" t="n">
        <f aca="false">M427+N427</f>
        <v>668.92</v>
      </c>
      <c r="W427" s="25" t="n">
        <f aca="false">O427-V427</f>
        <v>0</v>
      </c>
      <c r="X427" s="22" t="str">
        <f aca="false">IF(OR(ABS(S427)&gt;0.005,ABS(U427)&gt;0.005,ABS(W427)&gt;0.005),"Subledger arithmetic error","OK")</f>
        <v>OK</v>
      </c>
      <c r="Y427" s="22" t="str">
        <f aca="false">IF(X427="OK","","Priority 3")</f>
        <v/>
      </c>
    </row>
    <row r="428" customFormat="false" ht="15" hidden="false" customHeight="false" outlineLevel="0" collapsed="false">
      <c r="A428" s="22" t="s">
        <v>12259</v>
      </c>
      <c r="B428" s="23" t="n">
        <v>46235</v>
      </c>
      <c r="C428" s="22" t="s">
        <v>12260</v>
      </c>
      <c r="D428" s="22" t="s">
        <v>4936</v>
      </c>
      <c r="E428" s="22" t="s">
        <v>7627</v>
      </c>
      <c r="F428" s="22" t="s">
        <v>159</v>
      </c>
      <c r="G428" s="22" t="s">
        <v>8601</v>
      </c>
      <c r="H428" s="22" t="s">
        <v>11406</v>
      </c>
      <c r="I428" s="22" t="n">
        <v>28</v>
      </c>
      <c r="J428" s="22" t="n">
        <v>1</v>
      </c>
      <c r="K428" s="22" t="n">
        <v>28</v>
      </c>
      <c r="L428" s="25" t="n">
        <v>10.4</v>
      </c>
      <c r="M428" s="25" t="n">
        <v>291.2</v>
      </c>
      <c r="N428" s="25" t="n">
        <v>37.39</v>
      </c>
      <c r="O428" s="25" t="n">
        <v>328.59</v>
      </c>
      <c r="P428" s="22" t="s">
        <v>11407</v>
      </c>
      <c r="Q428" s="23" t="n">
        <v>46249</v>
      </c>
      <c r="R428" s="22" t="n">
        <f aca="false">I428*J428</f>
        <v>28</v>
      </c>
      <c r="S428" s="25" t="n">
        <f aca="false">K428-R428</f>
        <v>0</v>
      </c>
      <c r="T428" s="25" t="n">
        <f aca="false">K428*L428</f>
        <v>291.2</v>
      </c>
      <c r="U428" s="25" t="n">
        <f aca="false">M428-T428</f>
        <v>0</v>
      </c>
      <c r="V428" s="25" t="n">
        <f aca="false">M428+N428</f>
        <v>328.59</v>
      </c>
      <c r="W428" s="25" t="n">
        <f aca="false">O428-V428</f>
        <v>0</v>
      </c>
      <c r="X428" s="22" t="str">
        <f aca="false">IF(OR(ABS(S428)&gt;0.005,ABS(U428)&gt;0.005,ABS(W428)&gt;0.005),"Subledger arithmetic error","OK")</f>
        <v>OK</v>
      </c>
      <c r="Y428" s="22" t="str">
        <f aca="false">IF(X428="OK","","Priority 3")</f>
        <v/>
      </c>
    </row>
    <row r="429" customFormat="false" ht="15" hidden="false" customHeight="false" outlineLevel="0" collapsed="false">
      <c r="A429" s="22" t="s">
        <v>12261</v>
      </c>
      <c r="B429" s="23" t="n">
        <v>46235</v>
      </c>
      <c r="C429" s="22" t="s">
        <v>12262</v>
      </c>
      <c r="D429" s="22" t="s">
        <v>4214</v>
      </c>
      <c r="E429" s="22" t="s">
        <v>7628</v>
      </c>
      <c r="F429" s="22" t="s">
        <v>159</v>
      </c>
      <c r="G429" s="22" t="s">
        <v>8601</v>
      </c>
      <c r="H429" s="22" t="s">
        <v>11406</v>
      </c>
      <c r="I429" s="22" t="n">
        <v>36</v>
      </c>
      <c r="J429" s="22" t="n">
        <v>1</v>
      </c>
      <c r="K429" s="22" t="n">
        <v>36</v>
      </c>
      <c r="L429" s="25" t="n">
        <v>10.4</v>
      </c>
      <c r="M429" s="25" t="n">
        <v>374.4</v>
      </c>
      <c r="N429" s="25" t="n">
        <v>48.07</v>
      </c>
      <c r="O429" s="25" t="n">
        <v>422.47</v>
      </c>
      <c r="P429" s="22" t="s">
        <v>11407</v>
      </c>
      <c r="Q429" s="23" t="n">
        <v>46249</v>
      </c>
      <c r="R429" s="22" t="n">
        <f aca="false">I429*J429</f>
        <v>36</v>
      </c>
      <c r="S429" s="25" t="n">
        <f aca="false">K429-R429</f>
        <v>0</v>
      </c>
      <c r="T429" s="25" t="n">
        <f aca="false">K429*L429</f>
        <v>374.4</v>
      </c>
      <c r="U429" s="25" t="n">
        <f aca="false">M429-T429</f>
        <v>0</v>
      </c>
      <c r="V429" s="25" t="n">
        <f aca="false">M429+N429</f>
        <v>422.47</v>
      </c>
      <c r="W429" s="25" t="n">
        <f aca="false">O429-V429</f>
        <v>0</v>
      </c>
      <c r="X429" s="22" t="str">
        <f aca="false">IF(OR(ABS(S429)&gt;0.005,ABS(U429)&gt;0.005,ABS(W429)&gt;0.005),"Subledger arithmetic error","OK")</f>
        <v>OK</v>
      </c>
      <c r="Y429" s="22" t="str">
        <f aca="false">IF(X429="OK","","Priority 3")</f>
        <v/>
      </c>
    </row>
    <row r="430" customFormat="false" ht="15" hidden="false" customHeight="false" outlineLevel="0" collapsed="false">
      <c r="A430" s="22" t="s">
        <v>12263</v>
      </c>
      <c r="B430" s="23" t="n">
        <v>46235</v>
      </c>
      <c r="C430" s="22" t="s">
        <v>12264</v>
      </c>
      <c r="D430" s="22" t="s">
        <v>6443</v>
      </c>
      <c r="E430" s="22" t="s">
        <v>7630</v>
      </c>
      <c r="F430" s="22" t="s">
        <v>159</v>
      </c>
      <c r="G430" s="22" t="s">
        <v>8601</v>
      </c>
      <c r="H430" s="22" t="s">
        <v>11406</v>
      </c>
      <c r="I430" s="22" t="n">
        <v>36</v>
      </c>
      <c r="J430" s="22" t="n">
        <v>1</v>
      </c>
      <c r="K430" s="22" t="n">
        <v>36</v>
      </c>
      <c r="L430" s="25" t="n">
        <v>10.4</v>
      </c>
      <c r="M430" s="25" t="n">
        <v>374.4</v>
      </c>
      <c r="N430" s="25" t="n">
        <v>48.07</v>
      </c>
      <c r="O430" s="25" t="n">
        <v>422.47</v>
      </c>
      <c r="P430" s="22" t="s">
        <v>11407</v>
      </c>
      <c r="Q430" s="23" t="n">
        <v>46249</v>
      </c>
      <c r="R430" s="22" t="n">
        <f aca="false">I430*J430</f>
        <v>36</v>
      </c>
      <c r="S430" s="25" t="n">
        <f aca="false">K430-R430</f>
        <v>0</v>
      </c>
      <c r="T430" s="25" t="n">
        <f aca="false">K430*L430</f>
        <v>374.4</v>
      </c>
      <c r="U430" s="25" t="n">
        <f aca="false">M430-T430</f>
        <v>0</v>
      </c>
      <c r="V430" s="25" t="n">
        <f aca="false">M430+N430</f>
        <v>422.47</v>
      </c>
      <c r="W430" s="25" t="n">
        <f aca="false">O430-V430</f>
        <v>0</v>
      </c>
      <c r="X430" s="22" t="str">
        <f aca="false">IF(OR(ABS(S430)&gt;0.005,ABS(U430)&gt;0.005,ABS(W430)&gt;0.005),"Subledger arithmetic error","OK")</f>
        <v>OK</v>
      </c>
      <c r="Y430" s="22" t="str">
        <f aca="false">IF(X430="OK","","Priority 3")</f>
        <v/>
      </c>
    </row>
    <row r="431" customFormat="false" ht="15" hidden="false" customHeight="false" outlineLevel="0" collapsed="false">
      <c r="A431" s="22" t="s">
        <v>12265</v>
      </c>
      <c r="B431" s="23" t="n">
        <v>46235</v>
      </c>
      <c r="C431" s="22" t="s">
        <v>12266</v>
      </c>
      <c r="D431" s="22" t="s">
        <v>4139</v>
      </c>
      <c r="E431" s="22" t="s">
        <v>7632</v>
      </c>
      <c r="F431" s="22" t="s">
        <v>159</v>
      </c>
      <c r="G431" s="22" t="s">
        <v>8601</v>
      </c>
      <c r="H431" s="22" t="s">
        <v>11406</v>
      </c>
      <c r="I431" s="22" t="n">
        <v>56</v>
      </c>
      <c r="J431" s="22" t="n">
        <v>1</v>
      </c>
      <c r="K431" s="22" t="n">
        <v>56</v>
      </c>
      <c r="L431" s="25" t="n">
        <v>10.4</v>
      </c>
      <c r="M431" s="25" t="n">
        <v>582.4</v>
      </c>
      <c r="N431" s="25" t="n">
        <v>74.78</v>
      </c>
      <c r="O431" s="25" t="n">
        <v>657.18</v>
      </c>
      <c r="P431" s="22" t="s">
        <v>11407</v>
      </c>
      <c r="Q431" s="23" t="n">
        <v>46249</v>
      </c>
      <c r="R431" s="22" t="n">
        <f aca="false">I431*J431</f>
        <v>56</v>
      </c>
      <c r="S431" s="25" t="n">
        <f aca="false">K431-R431</f>
        <v>0</v>
      </c>
      <c r="T431" s="25" t="n">
        <f aca="false">K431*L431</f>
        <v>582.4</v>
      </c>
      <c r="U431" s="25" t="n">
        <f aca="false">M431-T431</f>
        <v>0</v>
      </c>
      <c r="V431" s="25" t="n">
        <f aca="false">M431+N431</f>
        <v>657.18</v>
      </c>
      <c r="W431" s="25" t="n">
        <f aca="false">O431-V431</f>
        <v>0</v>
      </c>
      <c r="X431" s="22" t="str">
        <f aca="false">IF(OR(ABS(S431)&gt;0.005,ABS(U431)&gt;0.005,ABS(W431)&gt;0.005),"Subledger arithmetic error","OK")</f>
        <v>OK</v>
      </c>
      <c r="Y431" s="22" t="str">
        <f aca="false">IF(X431="OK","","Priority 3")</f>
        <v/>
      </c>
    </row>
    <row r="432" customFormat="false" ht="15" hidden="false" customHeight="false" outlineLevel="0" collapsed="false">
      <c r="A432" s="22" t="s">
        <v>12267</v>
      </c>
      <c r="B432" s="23" t="n">
        <v>46235</v>
      </c>
      <c r="C432" s="22" t="s">
        <v>12268</v>
      </c>
      <c r="D432" s="22" t="s">
        <v>3325</v>
      </c>
      <c r="E432" s="22" t="s">
        <v>7634</v>
      </c>
      <c r="F432" s="22" t="s">
        <v>159</v>
      </c>
      <c r="G432" s="22" t="s">
        <v>8601</v>
      </c>
      <c r="H432" s="22" t="s">
        <v>11406</v>
      </c>
      <c r="I432" s="22" t="n">
        <v>62</v>
      </c>
      <c r="J432" s="22" t="n">
        <v>1</v>
      </c>
      <c r="K432" s="22" t="n">
        <v>62</v>
      </c>
      <c r="L432" s="25" t="n">
        <v>10.4</v>
      </c>
      <c r="M432" s="25" t="n">
        <v>644.8</v>
      </c>
      <c r="N432" s="25" t="n">
        <v>82.79</v>
      </c>
      <c r="O432" s="25" t="n">
        <v>727.59</v>
      </c>
      <c r="P432" s="22" t="s">
        <v>11407</v>
      </c>
      <c r="Q432" s="23" t="n">
        <v>46249</v>
      </c>
      <c r="R432" s="22" t="n">
        <f aca="false">I432*J432</f>
        <v>62</v>
      </c>
      <c r="S432" s="25" t="n">
        <f aca="false">K432-R432</f>
        <v>0</v>
      </c>
      <c r="T432" s="25" t="n">
        <f aca="false">K432*L432</f>
        <v>644.8</v>
      </c>
      <c r="U432" s="25" t="n">
        <f aca="false">M432-T432</f>
        <v>0</v>
      </c>
      <c r="V432" s="25" t="n">
        <f aca="false">M432+N432</f>
        <v>727.59</v>
      </c>
      <c r="W432" s="25" t="n">
        <f aca="false">O432-V432</f>
        <v>0</v>
      </c>
      <c r="X432" s="22" t="str">
        <f aca="false">IF(OR(ABS(S432)&gt;0.005,ABS(U432)&gt;0.005,ABS(W432)&gt;0.005),"Subledger arithmetic error","OK")</f>
        <v>OK</v>
      </c>
      <c r="Y432" s="22" t="str">
        <f aca="false">IF(X432="OK","","Priority 3")</f>
        <v/>
      </c>
    </row>
    <row r="433" customFormat="false" ht="15" hidden="false" customHeight="false" outlineLevel="0" collapsed="false">
      <c r="A433" s="22" t="s">
        <v>12269</v>
      </c>
      <c r="B433" s="23" t="n">
        <v>46235</v>
      </c>
      <c r="C433" s="22" t="s">
        <v>12270</v>
      </c>
      <c r="D433" s="22" t="s">
        <v>5355</v>
      </c>
      <c r="E433" s="22" t="s">
        <v>7636</v>
      </c>
      <c r="F433" s="22" t="s">
        <v>159</v>
      </c>
      <c r="G433" s="22" t="s">
        <v>8601</v>
      </c>
      <c r="H433" s="22" t="s">
        <v>11406</v>
      </c>
      <c r="I433" s="22" t="n">
        <v>61</v>
      </c>
      <c r="J433" s="22" t="n">
        <v>1</v>
      </c>
      <c r="K433" s="22" t="n">
        <v>61</v>
      </c>
      <c r="L433" s="25" t="n">
        <v>10.4</v>
      </c>
      <c r="M433" s="25" t="n">
        <v>634.4</v>
      </c>
      <c r="N433" s="25" t="n">
        <v>81.46</v>
      </c>
      <c r="O433" s="25" t="n">
        <v>715.86</v>
      </c>
      <c r="P433" s="22" t="s">
        <v>11407</v>
      </c>
      <c r="Q433" s="23" t="n">
        <v>46249</v>
      </c>
      <c r="R433" s="22" t="n">
        <f aca="false">I433*J433</f>
        <v>61</v>
      </c>
      <c r="S433" s="25" t="n">
        <f aca="false">K433-R433</f>
        <v>0</v>
      </c>
      <c r="T433" s="25" t="n">
        <f aca="false">K433*L433</f>
        <v>634.4</v>
      </c>
      <c r="U433" s="25" t="n">
        <f aca="false">M433-T433</f>
        <v>0</v>
      </c>
      <c r="V433" s="25" t="n">
        <f aca="false">M433+N433</f>
        <v>715.86</v>
      </c>
      <c r="W433" s="25" t="n">
        <f aca="false">O433-V433</f>
        <v>0</v>
      </c>
      <c r="X433" s="22" t="str">
        <f aca="false">IF(OR(ABS(S433)&gt;0.005,ABS(U433)&gt;0.005,ABS(W433)&gt;0.005),"Subledger arithmetic error","OK")</f>
        <v>OK</v>
      </c>
      <c r="Y433" s="22" t="str">
        <f aca="false">IF(X433="OK","","Priority 3")</f>
        <v/>
      </c>
    </row>
    <row r="434" customFormat="false" ht="15" hidden="false" customHeight="false" outlineLevel="0" collapsed="false">
      <c r="A434" s="22" t="s">
        <v>12271</v>
      </c>
      <c r="B434" s="23" t="n">
        <v>46235</v>
      </c>
      <c r="C434" s="22" t="s">
        <v>12272</v>
      </c>
      <c r="D434" s="22" t="s">
        <v>1528</v>
      </c>
      <c r="E434" s="22" t="s">
        <v>7637</v>
      </c>
      <c r="F434" s="22" t="s">
        <v>159</v>
      </c>
      <c r="G434" s="22" t="s">
        <v>8601</v>
      </c>
      <c r="H434" s="22" t="s">
        <v>11406</v>
      </c>
      <c r="I434" s="22" t="n">
        <v>48</v>
      </c>
      <c r="J434" s="22" t="n">
        <v>1</v>
      </c>
      <c r="K434" s="22" t="n">
        <v>48</v>
      </c>
      <c r="L434" s="25" t="n">
        <v>10.4</v>
      </c>
      <c r="M434" s="25" t="n">
        <v>499.2</v>
      </c>
      <c r="N434" s="25" t="n">
        <v>64.1</v>
      </c>
      <c r="O434" s="25" t="n">
        <v>563.3</v>
      </c>
      <c r="P434" s="22" t="s">
        <v>11407</v>
      </c>
      <c r="Q434" s="23" t="n">
        <v>46249</v>
      </c>
      <c r="R434" s="22" t="n">
        <f aca="false">I434*J434</f>
        <v>48</v>
      </c>
      <c r="S434" s="25" t="n">
        <f aca="false">K434-R434</f>
        <v>0</v>
      </c>
      <c r="T434" s="25" t="n">
        <f aca="false">K434*L434</f>
        <v>499.2</v>
      </c>
      <c r="U434" s="25" t="n">
        <f aca="false">M434-T434</f>
        <v>0</v>
      </c>
      <c r="V434" s="25" t="n">
        <f aca="false">M434+N434</f>
        <v>563.3</v>
      </c>
      <c r="W434" s="25" t="n">
        <f aca="false">O434-V434</f>
        <v>0</v>
      </c>
      <c r="X434" s="22" t="str">
        <f aca="false">IF(OR(ABS(S434)&gt;0.005,ABS(U434)&gt;0.005,ABS(W434)&gt;0.005),"Subledger arithmetic error","OK")</f>
        <v>OK</v>
      </c>
      <c r="Y434" s="22" t="str">
        <f aca="false">IF(X434="OK","","Priority 3")</f>
        <v/>
      </c>
    </row>
    <row r="435" customFormat="false" ht="15" hidden="false" customHeight="false" outlineLevel="0" collapsed="false">
      <c r="A435" s="22" t="s">
        <v>12273</v>
      </c>
      <c r="B435" s="23" t="n">
        <v>46235</v>
      </c>
      <c r="C435" s="22" t="s">
        <v>12274</v>
      </c>
      <c r="D435" s="22" t="s">
        <v>243</v>
      </c>
      <c r="E435" s="22" t="s">
        <v>7638</v>
      </c>
      <c r="F435" s="22" t="s">
        <v>159</v>
      </c>
      <c r="G435" s="22" t="s">
        <v>8601</v>
      </c>
      <c r="H435" s="22" t="s">
        <v>11406</v>
      </c>
      <c r="I435" s="22" t="n">
        <v>54</v>
      </c>
      <c r="J435" s="22" t="n">
        <v>1</v>
      </c>
      <c r="K435" s="22" t="n">
        <v>54</v>
      </c>
      <c r="L435" s="25" t="n">
        <v>10.4</v>
      </c>
      <c r="M435" s="25" t="n">
        <v>561.6</v>
      </c>
      <c r="N435" s="25" t="n">
        <v>72.11</v>
      </c>
      <c r="O435" s="25" t="n">
        <v>633.71</v>
      </c>
      <c r="P435" s="22" t="s">
        <v>11407</v>
      </c>
      <c r="Q435" s="23" t="n">
        <v>46249</v>
      </c>
      <c r="R435" s="22" t="n">
        <f aca="false">I435*J435</f>
        <v>54</v>
      </c>
      <c r="S435" s="25" t="n">
        <f aca="false">K435-R435</f>
        <v>0</v>
      </c>
      <c r="T435" s="25" t="n">
        <f aca="false">K435*L435</f>
        <v>561.6</v>
      </c>
      <c r="U435" s="25" t="n">
        <f aca="false">M435-T435</f>
        <v>0</v>
      </c>
      <c r="V435" s="25" t="n">
        <f aca="false">M435+N435</f>
        <v>633.71</v>
      </c>
      <c r="W435" s="25" t="n">
        <f aca="false">O435-V435</f>
        <v>0</v>
      </c>
      <c r="X435" s="22" t="str">
        <f aca="false">IF(OR(ABS(S435)&gt;0.005,ABS(U435)&gt;0.005,ABS(W435)&gt;0.005),"Subledger arithmetic error","OK")</f>
        <v>OK</v>
      </c>
      <c r="Y435" s="22" t="str">
        <f aca="false">IF(X435="OK","","Priority 3")</f>
        <v/>
      </c>
    </row>
    <row r="436" customFormat="false" ht="15" hidden="false" customHeight="false" outlineLevel="0" collapsed="false">
      <c r="A436" s="22" t="s">
        <v>12275</v>
      </c>
      <c r="B436" s="23" t="n">
        <v>46235</v>
      </c>
      <c r="C436" s="22" t="s">
        <v>12276</v>
      </c>
      <c r="D436" s="22" t="s">
        <v>6411</v>
      </c>
      <c r="E436" s="22" t="s">
        <v>7640</v>
      </c>
      <c r="F436" s="22" t="s">
        <v>159</v>
      </c>
      <c r="G436" s="22" t="s">
        <v>8601</v>
      </c>
      <c r="H436" s="22" t="s">
        <v>11406</v>
      </c>
      <c r="I436" s="22" t="n">
        <v>30</v>
      </c>
      <c r="J436" s="22" t="n">
        <v>1</v>
      </c>
      <c r="K436" s="22" t="n">
        <v>30</v>
      </c>
      <c r="L436" s="25" t="n">
        <v>10.4</v>
      </c>
      <c r="M436" s="25" t="n">
        <v>312</v>
      </c>
      <c r="N436" s="25" t="n">
        <v>40.06</v>
      </c>
      <c r="O436" s="25" t="n">
        <v>352.06</v>
      </c>
      <c r="P436" s="22" t="s">
        <v>11410</v>
      </c>
      <c r="Q436" s="23" t="n">
        <v>46249</v>
      </c>
      <c r="R436" s="22" t="n">
        <f aca="false">I436*J436</f>
        <v>30</v>
      </c>
      <c r="S436" s="25" t="n">
        <f aca="false">K436-R436</f>
        <v>0</v>
      </c>
      <c r="T436" s="25" t="n">
        <f aca="false">K436*L436</f>
        <v>312</v>
      </c>
      <c r="U436" s="25" t="n">
        <f aca="false">M436-T436</f>
        <v>0</v>
      </c>
      <c r="V436" s="25" t="n">
        <f aca="false">M436+N436</f>
        <v>352.06</v>
      </c>
      <c r="W436" s="25" t="n">
        <f aca="false">O436-V436</f>
        <v>0</v>
      </c>
      <c r="X436" s="22" t="str">
        <f aca="false">IF(OR(ABS(S436)&gt;0.005,ABS(U436)&gt;0.005,ABS(W436)&gt;0.005),"Subledger arithmetic error","OK")</f>
        <v>OK</v>
      </c>
      <c r="Y436" s="22" t="str">
        <f aca="false">IF(X436="OK","","Priority 3")</f>
        <v/>
      </c>
    </row>
    <row r="437" customFormat="false" ht="15" hidden="false" customHeight="false" outlineLevel="0" collapsed="false">
      <c r="A437" s="22" t="s">
        <v>12277</v>
      </c>
      <c r="B437" s="23" t="n">
        <v>46235</v>
      </c>
      <c r="C437" s="22" t="s">
        <v>12278</v>
      </c>
      <c r="D437" s="22" t="s">
        <v>4629</v>
      </c>
      <c r="E437" s="22" t="s">
        <v>7642</v>
      </c>
      <c r="F437" s="22" t="s">
        <v>159</v>
      </c>
      <c r="G437" s="22" t="s">
        <v>8601</v>
      </c>
      <c r="H437" s="22" t="s">
        <v>11406</v>
      </c>
      <c r="I437" s="22" t="n">
        <v>28</v>
      </c>
      <c r="J437" s="22" t="n">
        <v>1</v>
      </c>
      <c r="K437" s="22" t="n">
        <v>28</v>
      </c>
      <c r="L437" s="25" t="n">
        <v>10.4</v>
      </c>
      <c r="M437" s="25" t="n">
        <v>291.2</v>
      </c>
      <c r="N437" s="25" t="n">
        <v>37.39</v>
      </c>
      <c r="O437" s="25" t="n">
        <v>328.59</v>
      </c>
      <c r="P437" s="22" t="s">
        <v>11410</v>
      </c>
      <c r="Q437" s="23" t="n">
        <v>46249</v>
      </c>
      <c r="R437" s="22" t="n">
        <f aca="false">I437*J437</f>
        <v>28</v>
      </c>
      <c r="S437" s="25" t="n">
        <f aca="false">K437-R437</f>
        <v>0</v>
      </c>
      <c r="T437" s="25" t="n">
        <f aca="false">K437*L437</f>
        <v>291.2</v>
      </c>
      <c r="U437" s="25" t="n">
        <f aca="false">M437-T437</f>
        <v>0</v>
      </c>
      <c r="V437" s="25" t="n">
        <f aca="false">M437+N437</f>
        <v>328.59</v>
      </c>
      <c r="W437" s="25" t="n">
        <f aca="false">O437-V437</f>
        <v>0</v>
      </c>
      <c r="X437" s="22" t="str">
        <f aca="false">IF(OR(ABS(S437)&gt;0.005,ABS(U437)&gt;0.005,ABS(W437)&gt;0.005),"Subledger arithmetic error","OK")</f>
        <v>OK</v>
      </c>
      <c r="Y437" s="22" t="str">
        <f aca="false">IF(X437="OK","","Priority 3")</f>
        <v/>
      </c>
    </row>
    <row r="438" customFormat="false" ht="15" hidden="false" customHeight="false" outlineLevel="0" collapsed="false">
      <c r="A438" s="22" t="s">
        <v>12279</v>
      </c>
      <c r="B438" s="23" t="n">
        <v>46235</v>
      </c>
      <c r="C438" s="22" t="s">
        <v>12280</v>
      </c>
      <c r="D438" s="22" t="s">
        <v>3552</v>
      </c>
      <c r="E438" s="22" t="s">
        <v>7643</v>
      </c>
      <c r="F438" s="22" t="s">
        <v>159</v>
      </c>
      <c r="G438" s="22" t="s">
        <v>8601</v>
      </c>
      <c r="H438" s="22" t="s">
        <v>11406</v>
      </c>
      <c r="I438" s="22" t="n">
        <v>37</v>
      </c>
      <c r="J438" s="22" t="n">
        <v>1</v>
      </c>
      <c r="K438" s="22" t="n">
        <v>37</v>
      </c>
      <c r="L438" s="25" t="n">
        <v>10.4</v>
      </c>
      <c r="M438" s="25" t="n">
        <v>384.8</v>
      </c>
      <c r="N438" s="25" t="n">
        <v>49.41</v>
      </c>
      <c r="O438" s="25" t="n">
        <v>434.21</v>
      </c>
      <c r="P438" s="22" t="s">
        <v>11407</v>
      </c>
      <c r="Q438" s="23" t="n">
        <v>46249</v>
      </c>
      <c r="R438" s="22" t="n">
        <f aca="false">I438*J438</f>
        <v>37</v>
      </c>
      <c r="S438" s="25" t="n">
        <f aca="false">K438-R438</f>
        <v>0</v>
      </c>
      <c r="T438" s="25" t="n">
        <f aca="false">K438*L438</f>
        <v>384.8</v>
      </c>
      <c r="U438" s="25" t="n">
        <f aca="false">M438-T438</f>
        <v>0</v>
      </c>
      <c r="V438" s="25" t="n">
        <f aca="false">M438+N438</f>
        <v>434.21</v>
      </c>
      <c r="W438" s="25" t="n">
        <f aca="false">O438-V438</f>
        <v>0</v>
      </c>
      <c r="X438" s="22" t="str">
        <f aca="false">IF(OR(ABS(S438)&gt;0.005,ABS(U438)&gt;0.005,ABS(W438)&gt;0.005),"Subledger arithmetic error","OK")</f>
        <v>OK</v>
      </c>
      <c r="Y438" s="22" t="str">
        <f aca="false">IF(X438="OK","","Priority 3")</f>
        <v/>
      </c>
    </row>
    <row r="439" customFormat="false" ht="15" hidden="false" customHeight="false" outlineLevel="0" collapsed="false">
      <c r="A439" s="22" t="s">
        <v>12281</v>
      </c>
      <c r="B439" s="23" t="n">
        <v>46235</v>
      </c>
      <c r="C439" s="22" t="s">
        <v>12282</v>
      </c>
      <c r="D439" s="22" t="s">
        <v>721</v>
      </c>
      <c r="E439" s="22" t="s">
        <v>7644</v>
      </c>
      <c r="F439" s="22" t="s">
        <v>159</v>
      </c>
      <c r="G439" s="22" t="s">
        <v>8601</v>
      </c>
      <c r="H439" s="22" t="s">
        <v>11406</v>
      </c>
      <c r="I439" s="22" t="n">
        <v>27</v>
      </c>
      <c r="J439" s="22" t="n">
        <v>1</v>
      </c>
      <c r="K439" s="22" t="n">
        <v>27</v>
      </c>
      <c r="L439" s="25" t="n">
        <v>10.4</v>
      </c>
      <c r="M439" s="25" t="n">
        <v>280.8</v>
      </c>
      <c r="N439" s="25" t="n">
        <v>36.05</v>
      </c>
      <c r="O439" s="25" t="n">
        <v>316.85</v>
      </c>
      <c r="P439" s="22" t="s">
        <v>11407</v>
      </c>
      <c r="Q439" s="23" t="n">
        <v>46249</v>
      </c>
      <c r="R439" s="22" t="n">
        <f aca="false">I439*J439</f>
        <v>27</v>
      </c>
      <c r="S439" s="25" t="n">
        <f aca="false">K439-R439</f>
        <v>0</v>
      </c>
      <c r="T439" s="25" t="n">
        <f aca="false">K439*L439</f>
        <v>280.8</v>
      </c>
      <c r="U439" s="25" t="n">
        <f aca="false">M439-T439</f>
        <v>0</v>
      </c>
      <c r="V439" s="25" t="n">
        <f aca="false">M439+N439</f>
        <v>316.85</v>
      </c>
      <c r="W439" s="25" t="n">
        <f aca="false">O439-V439</f>
        <v>0</v>
      </c>
      <c r="X439" s="22" t="str">
        <f aca="false">IF(OR(ABS(S439)&gt;0.005,ABS(U439)&gt;0.005,ABS(W439)&gt;0.005),"Subledger arithmetic error","OK")</f>
        <v>OK</v>
      </c>
      <c r="Y439" s="22" t="str">
        <f aca="false">IF(X439="OK","","Priority 3")</f>
        <v/>
      </c>
    </row>
    <row r="440" customFormat="false" ht="15" hidden="false" customHeight="false" outlineLevel="0" collapsed="false">
      <c r="A440" s="22" t="s">
        <v>12283</v>
      </c>
      <c r="B440" s="23" t="n">
        <v>46235</v>
      </c>
      <c r="C440" s="22" t="s">
        <v>12284</v>
      </c>
      <c r="D440" s="22" t="s">
        <v>5582</v>
      </c>
      <c r="E440" s="22" t="s">
        <v>7646</v>
      </c>
      <c r="F440" s="22" t="s">
        <v>159</v>
      </c>
      <c r="G440" s="22" t="s">
        <v>8601</v>
      </c>
      <c r="H440" s="22" t="s">
        <v>11406</v>
      </c>
      <c r="I440" s="22" t="n">
        <v>55</v>
      </c>
      <c r="J440" s="22" t="n">
        <v>1</v>
      </c>
      <c r="K440" s="22" t="n">
        <v>55</v>
      </c>
      <c r="L440" s="25" t="n">
        <v>10.4</v>
      </c>
      <c r="M440" s="25" t="n">
        <v>572</v>
      </c>
      <c r="N440" s="25" t="n">
        <v>73.44</v>
      </c>
      <c r="O440" s="25" t="n">
        <v>645.44</v>
      </c>
      <c r="P440" s="22" t="s">
        <v>11407</v>
      </c>
      <c r="Q440" s="23" t="n">
        <v>46249</v>
      </c>
      <c r="R440" s="22" t="n">
        <f aca="false">I440*J440</f>
        <v>55</v>
      </c>
      <c r="S440" s="25" t="n">
        <f aca="false">K440-R440</f>
        <v>0</v>
      </c>
      <c r="T440" s="25" t="n">
        <f aca="false">K440*L440</f>
        <v>572</v>
      </c>
      <c r="U440" s="25" t="n">
        <f aca="false">M440-T440</f>
        <v>0</v>
      </c>
      <c r="V440" s="25" t="n">
        <f aca="false">M440+N440</f>
        <v>645.44</v>
      </c>
      <c r="W440" s="25" t="n">
        <f aca="false">O440-V440</f>
        <v>0</v>
      </c>
      <c r="X440" s="22" t="str">
        <f aca="false">IF(OR(ABS(S440)&gt;0.005,ABS(U440)&gt;0.005,ABS(W440)&gt;0.005),"Subledger arithmetic error","OK")</f>
        <v>OK</v>
      </c>
      <c r="Y440" s="22" t="str">
        <f aca="false">IF(X440="OK","","Priority 3")</f>
        <v/>
      </c>
    </row>
    <row r="441" customFormat="false" ht="15" hidden="false" customHeight="false" outlineLevel="0" collapsed="false">
      <c r="A441" s="22" t="s">
        <v>12285</v>
      </c>
      <c r="B441" s="23" t="n">
        <v>46235</v>
      </c>
      <c r="C441" s="22" t="s">
        <v>12286</v>
      </c>
      <c r="D441" s="22" t="s">
        <v>4799</v>
      </c>
      <c r="E441" s="22" t="s">
        <v>7647</v>
      </c>
      <c r="F441" s="22" t="s">
        <v>159</v>
      </c>
      <c r="G441" s="22" t="s">
        <v>8601</v>
      </c>
      <c r="H441" s="22" t="s">
        <v>11406</v>
      </c>
      <c r="I441" s="22" t="n">
        <v>36</v>
      </c>
      <c r="J441" s="22" t="n">
        <v>1</v>
      </c>
      <c r="K441" s="22" t="n">
        <v>36</v>
      </c>
      <c r="L441" s="25" t="n">
        <v>10.4</v>
      </c>
      <c r="M441" s="25" t="n">
        <v>374.4</v>
      </c>
      <c r="N441" s="25" t="n">
        <v>48.07</v>
      </c>
      <c r="O441" s="25" t="n">
        <v>422.47</v>
      </c>
      <c r="P441" s="22" t="s">
        <v>11407</v>
      </c>
      <c r="Q441" s="23" t="n">
        <v>46249</v>
      </c>
      <c r="R441" s="22" t="n">
        <f aca="false">I441*J441</f>
        <v>36</v>
      </c>
      <c r="S441" s="25" t="n">
        <f aca="false">K441-R441</f>
        <v>0</v>
      </c>
      <c r="T441" s="25" t="n">
        <f aca="false">K441*L441</f>
        <v>374.4</v>
      </c>
      <c r="U441" s="25" t="n">
        <f aca="false">M441-T441</f>
        <v>0</v>
      </c>
      <c r="V441" s="25" t="n">
        <f aca="false">M441+N441</f>
        <v>422.47</v>
      </c>
      <c r="W441" s="25" t="n">
        <f aca="false">O441-V441</f>
        <v>0</v>
      </c>
      <c r="X441" s="22" t="str">
        <f aca="false">IF(OR(ABS(S441)&gt;0.005,ABS(U441)&gt;0.005,ABS(W441)&gt;0.005),"Subledger arithmetic error","OK")</f>
        <v>OK</v>
      </c>
      <c r="Y441" s="22" t="str">
        <f aca="false">IF(X441="OK","","Priority 3")</f>
        <v/>
      </c>
    </row>
    <row r="442" customFormat="false" ht="15" hidden="false" customHeight="false" outlineLevel="0" collapsed="false">
      <c r="A442" s="22" t="s">
        <v>12287</v>
      </c>
      <c r="B442" s="23" t="n">
        <v>46235</v>
      </c>
      <c r="C442" s="22" t="s">
        <v>12288</v>
      </c>
      <c r="D442" s="22" t="s">
        <v>4916</v>
      </c>
      <c r="E442" s="22" t="s">
        <v>7649</v>
      </c>
      <c r="F442" s="22" t="s">
        <v>159</v>
      </c>
      <c r="G442" s="22" t="s">
        <v>8601</v>
      </c>
      <c r="H442" s="22" t="s">
        <v>11406</v>
      </c>
      <c r="I442" s="22" t="n">
        <v>62</v>
      </c>
      <c r="J442" s="22" t="n">
        <v>1</v>
      </c>
      <c r="K442" s="22" t="n">
        <v>62</v>
      </c>
      <c r="L442" s="25" t="n">
        <v>10.4</v>
      </c>
      <c r="M442" s="25" t="n">
        <v>644.8</v>
      </c>
      <c r="N442" s="25" t="n">
        <v>82.79</v>
      </c>
      <c r="O442" s="25" t="n">
        <v>727.59</v>
      </c>
      <c r="P442" s="22" t="s">
        <v>11407</v>
      </c>
      <c r="Q442" s="23" t="n">
        <v>46249</v>
      </c>
      <c r="R442" s="22" t="n">
        <f aca="false">I442*J442</f>
        <v>62</v>
      </c>
      <c r="S442" s="25" t="n">
        <f aca="false">K442-R442</f>
        <v>0</v>
      </c>
      <c r="T442" s="25" t="n">
        <f aca="false">K442*L442</f>
        <v>644.8</v>
      </c>
      <c r="U442" s="25" t="n">
        <f aca="false">M442-T442</f>
        <v>0</v>
      </c>
      <c r="V442" s="25" t="n">
        <f aca="false">M442+N442</f>
        <v>727.59</v>
      </c>
      <c r="W442" s="25" t="n">
        <f aca="false">O442-V442</f>
        <v>0</v>
      </c>
      <c r="X442" s="22" t="str">
        <f aca="false">IF(OR(ABS(S442)&gt;0.005,ABS(U442)&gt;0.005,ABS(W442)&gt;0.005),"Subledger arithmetic error","OK")</f>
        <v>OK</v>
      </c>
      <c r="Y442" s="22" t="str">
        <f aca="false">IF(X442="OK","","Priority 3")</f>
        <v/>
      </c>
    </row>
    <row r="443" customFormat="false" ht="15" hidden="false" customHeight="false" outlineLevel="0" collapsed="false">
      <c r="A443" s="22" t="s">
        <v>12289</v>
      </c>
      <c r="B443" s="23" t="n">
        <v>46235</v>
      </c>
      <c r="C443" s="22" t="s">
        <v>12290</v>
      </c>
      <c r="D443" s="22" t="s">
        <v>3222</v>
      </c>
      <c r="E443" s="22" t="s">
        <v>7650</v>
      </c>
      <c r="F443" s="22" t="s">
        <v>159</v>
      </c>
      <c r="G443" s="22" t="s">
        <v>8601</v>
      </c>
      <c r="H443" s="22" t="s">
        <v>11406</v>
      </c>
      <c r="I443" s="22" t="n">
        <v>48</v>
      </c>
      <c r="J443" s="22" t="n">
        <v>1</v>
      </c>
      <c r="K443" s="22" t="n">
        <v>48</v>
      </c>
      <c r="L443" s="25" t="n">
        <v>10.4</v>
      </c>
      <c r="M443" s="25" t="n">
        <v>499.2</v>
      </c>
      <c r="N443" s="25" t="n">
        <v>64.1</v>
      </c>
      <c r="O443" s="25" t="n">
        <v>563.3</v>
      </c>
      <c r="P443" s="22" t="s">
        <v>11407</v>
      </c>
      <c r="Q443" s="23" t="n">
        <v>46249</v>
      </c>
      <c r="R443" s="22" t="n">
        <f aca="false">I443*J443</f>
        <v>48</v>
      </c>
      <c r="S443" s="25" t="n">
        <f aca="false">K443-R443</f>
        <v>0</v>
      </c>
      <c r="T443" s="25" t="n">
        <f aca="false">K443*L443</f>
        <v>499.2</v>
      </c>
      <c r="U443" s="25" t="n">
        <f aca="false">M443-T443</f>
        <v>0</v>
      </c>
      <c r="V443" s="25" t="n">
        <f aca="false">M443+N443</f>
        <v>563.3</v>
      </c>
      <c r="W443" s="25" t="n">
        <f aca="false">O443-V443</f>
        <v>0</v>
      </c>
      <c r="X443" s="22" t="str">
        <f aca="false">IF(OR(ABS(S443)&gt;0.005,ABS(U443)&gt;0.005,ABS(W443)&gt;0.005),"Subledger arithmetic error","OK")</f>
        <v>OK</v>
      </c>
      <c r="Y443" s="22" t="str">
        <f aca="false">IF(X443="OK","","Priority 3")</f>
        <v/>
      </c>
    </row>
    <row r="444" customFormat="false" ht="15" hidden="false" customHeight="false" outlineLevel="0" collapsed="false">
      <c r="A444" s="22" t="s">
        <v>12291</v>
      </c>
      <c r="B444" s="23" t="n">
        <v>46235</v>
      </c>
      <c r="C444" s="22" t="s">
        <v>12292</v>
      </c>
      <c r="D444" s="22" t="s">
        <v>5828</v>
      </c>
      <c r="E444" s="22" t="s">
        <v>7652</v>
      </c>
      <c r="F444" s="22" t="s">
        <v>159</v>
      </c>
      <c r="G444" s="22" t="s">
        <v>8601</v>
      </c>
      <c r="H444" s="22" t="s">
        <v>11406</v>
      </c>
      <c r="I444" s="22" t="n">
        <v>28</v>
      </c>
      <c r="J444" s="22" t="n">
        <v>1</v>
      </c>
      <c r="K444" s="22" t="n">
        <v>28</v>
      </c>
      <c r="L444" s="25" t="n">
        <v>10.4</v>
      </c>
      <c r="M444" s="25" t="n">
        <v>291.2</v>
      </c>
      <c r="N444" s="25" t="n">
        <v>37.39</v>
      </c>
      <c r="O444" s="25" t="n">
        <v>328.59</v>
      </c>
      <c r="P444" s="22" t="s">
        <v>11407</v>
      </c>
      <c r="Q444" s="23" t="n">
        <v>46249</v>
      </c>
      <c r="R444" s="22" t="n">
        <f aca="false">I444*J444</f>
        <v>28</v>
      </c>
      <c r="S444" s="25" t="n">
        <f aca="false">K444-R444</f>
        <v>0</v>
      </c>
      <c r="T444" s="25" t="n">
        <f aca="false">K444*L444</f>
        <v>291.2</v>
      </c>
      <c r="U444" s="25" t="n">
        <f aca="false">M444-T444</f>
        <v>0</v>
      </c>
      <c r="V444" s="25" t="n">
        <f aca="false">M444+N444</f>
        <v>328.59</v>
      </c>
      <c r="W444" s="25" t="n">
        <f aca="false">O444-V444</f>
        <v>0</v>
      </c>
      <c r="X444" s="22" t="str">
        <f aca="false">IF(OR(ABS(S444)&gt;0.005,ABS(U444)&gt;0.005,ABS(W444)&gt;0.005),"Subledger arithmetic error","OK")</f>
        <v>OK</v>
      </c>
      <c r="Y444" s="22" t="str">
        <f aca="false">IF(X444="OK","","Priority 3")</f>
        <v/>
      </c>
    </row>
    <row r="445" customFormat="false" ht="15" hidden="false" customHeight="false" outlineLevel="0" collapsed="false">
      <c r="A445" s="22" t="s">
        <v>12293</v>
      </c>
      <c r="B445" s="23" t="n">
        <v>46235</v>
      </c>
      <c r="C445" s="22" t="s">
        <v>12294</v>
      </c>
      <c r="D445" s="22" t="s">
        <v>4048</v>
      </c>
      <c r="E445" s="22" t="s">
        <v>7654</v>
      </c>
      <c r="F445" s="22" t="s">
        <v>159</v>
      </c>
      <c r="G445" s="22" t="s">
        <v>8601</v>
      </c>
      <c r="H445" s="22" t="s">
        <v>11406</v>
      </c>
      <c r="I445" s="22" t="n">
        <v>41</v>
      </c>
      <c r="J445" s="22" t="n">
        <v>1</v>
      </c>
      <c r="K445" s="22" t="n">
        <v>41</v>
      </c>
      <c r="L445" s="25" t="n">
        <v>10.4</v>
      </c>
      <c r="M445" s="25" t="n">
        <v>426.4</v>
      </c>
      <c r="N445" s="25" t="n">
        <v>54.75</v>
      </c>
      <c r="O445" s="25" t="n">
        <v>481.15</v>
      </c>
      <c r="P445" s="22" t="s">
        <v>11407</v>
      </c>
      <c r="Q445" s="23" t="n">
        <v>46249</v>
      </c>
      <c r="R445" s="22" t="n">
        <f aca="false">I445*J445</f>
        <v>41</v>
      </c>
      <c r="S445" s="25" t="n">
        <f aca="false">K445-R445</f>
        <v>0</v>
      </c>
      <c r="T445" s="25" t="n">
        <f aca="false">K445*L445</f>
        <v>426.4</v>
      </c>
      <c r="U445" s="25" t="n">
        <f aca="false">M445-T445</f>
        <v>0</v>
      </c>
      <c r="V445" s="25" t="n">
        <f aca="false">M445+N445</f>
        <v>481.15</v>
      </c>
      <c r="W445" s="25" t="n">
        <f aca="false">O445-V445</f>
        <v>0</v>
      </c>
      <c r="X445" s="22" t="str">
        <f aca="false">IF(OR(ABS(S445)&gt;0.005,ABS(U445)&gt;0.005,ABS(W445)&gt;0.005),"Subledger arithmetic error","OK")</f>
        <v>OK</v>
      </c>
      <c r="Y445" s="22" t="str">
        <f aca="false">IF(X445="OK","","Priority 3")</f>
        <v/>
      </c>
    </row>
    <row r="446" customFormat="false" ht="15" hidden="false" customHeight="false" outlineLevel="0" collapsed="false">
      <c r="A446" s="22" t="s">
        <v>12295</v>
      </c>
      <c r="B446" s="23" t="n">
        <v>46235</v>
      </c>
      <c r="C446" s="22" t="s">
        <v>12296</v>
      </c>
      <c r="D446" s="22" t="s">
        <v>5090</v>
      </c>
      <c r="E446" s="22" t="s">
        <v>7655</v>
      </c>
      <c r="F446" s="22" t="s">
        <v>159</v>
      </c>
      <c r="G446" s="22" t="s">
        <v>8601</v>
      </c>
      <c r="H446" s="22" t="s">
        <v>11406</v>
      </c>
      <c r="I446" s="22" t="n">
        <v>32</v>
      </c>
      <c r="J446" s="22" t="n">
        <v>1</v>
      </c>
      <c r="K446" s="22" t="n">
        <v>32</v>
      </c>
      <c r="L446" s="25" t="n">
        <v>10.4</v>
      </c>
      <c r="M446" s="25" t="n">
        <v>332.8</v>
      </c>
      <c r="N446" s="25" t="n">
        <v>42.73</v>
      </c>
      <c r="O446" s="25" t="n">
        <v>375.53</v>
      </c>
      <c r="P446" s="22" t="s">
        <v>11407</v>
      </c>
      <c r="Q446" s="23" t="n">
        <v>46249</v>
      </c>
      <c r="R446" s="22" t="n">
        <f aca="false">I446*J446</f>
        <v>32</v>
      </c>
      <c r="S446" s="25" t="n">
        <f aca="false">K446-R446</f>
        <v>0</v>
      </c>
      <c r="T446" s="25" t="n">
        <f aca="false">K446*L446</f>
        <v>332.8</v>
      </c>
      <c r="U446" s="25" t="n">
        <f aca="false">M446-T446</f>
        <v>0</v>
      </c>
      <c r="V446" s="25" t="n">
        <f aca="false">M446+N446</f>
        <v>375.53</v>
      </c>
      <c r="W446" s="25" t="n">
        <f aca="false">O446-V446</f>
        <v>0</v>
      </c>
      <c r="X446" s="22" t="str">
        <f aca="false">IF(OR(ABS(S446)&gt;0.005,ABS(U446)&gt;0.005,ABS(W446)&gt;0.005),"Subledger arithmetic error","OK")</f>
        <v>OK</v>
      </c>
      <c r="Y446" s="22" t="str">
        <f aca="false">IF(X446="OK","","Priority 3")</f>
        <v/>
      </c>
    </row>
    <row r="447" customFormat="false" ht="15" hidden="false" customHeight="false" outlineLevel="0" collapsed="false">
      <c r="A447" s="22" t="s">
        <v>12297</v>
      </c>
      <c r="B447" s="23" t="n">
        <v>46235</v>
      </c>
      <c r="C447" s="22" t="s">
        <v>12298</v>
      </c>
      <c r="D447" s="22" t="s">
        <v>6341</v>
      </c>
      <c r="E447" s="22" t="s">
        <v>7656</v>
      </c>
      <c r="F447" s="22" t="s">
        <v>159</v>
      </c>
      <c r="G447" s="22" t="s">
        <v>8601</v>
      </c>
      <c r="H447" s="22" t="s">
        <v>11406</v>
      </c>
      <c r="I447" s="22" t="n">
        <v>40</v>
      </c>
      <c r="J447" s="22" t="n">
        <v>1</v>
      </c>
      <c r="K447" s="22" t="n">
        <v>40</v>
      </c>
      <c r="L447" s="25" t="n">
        <v>10.4</v>
      </c>
      <c r="M447" s="25" t="n">
        <v>416</v>
      </c>
      <c r="N447" s="25" t="n">
        <v>53.41</v>
      </c>
      <c r="O447" s="25" t="n">
        <v>469.41</v>
      </c>
      <c r="P447" s="22" t="s">
        <v>11407</v>
      </c>
      <c r="Q447" s="23" t="n">
        <v>46249</v>
      </c>
      <c r="R447" s="22" t="n">
        <f aca="false">I447*J447</f>
        <v>40</v>
      </c>
      <c r="S447" s="25" t="n">
        <f aca="false">K447-R447</f>
        <v>0</v>
      </c>
      <c r="T447" s="25" t="n">
        <f aca="false">K447*L447</f>
        <v>416</v>
      </c>
      <c r="U447" s="25" t="n">
        <f aca="false">M447-T447</f>
        <v>0</v>
      </c>
      <c r="V447" s="25" t="n">
        <f aca="false">M447+N447</f>
        <v>469.41</v>
      </c>
      <c r="W447" s="25" t="n">
        <f aca="false">O447-V447</f>
        <v>0</v>
      </c>
      <c r="X447" s="22" t="str">
        <f aca="false">IF(OR(ABS(S447)&gt;0.005,ABS(U447)&gt;0.005,ABS(W447)&gt;0.005),"Subledger arithmetic error","OK")</f>
        <v>OK</v>
      </c>
      <c r="Y447" s="22" t="str">
        <f aca="false">IF(X447="OK","","Priority 3")</f>
        <v/>
      </c>
    </row>
    <row r="448" customFormat="false" ht="15" hidden="false" customHeight="false" outlineLevel="0" collapsed="false">
      <c r="A448" s="22" t="s">
        <v>12299</v>
      </c>
      <c r="B448" s="23" t="n">
        <v>46235</v>
      </c>
      <c r="C448" s="22" t="s">
        <v>12300</v>
      </c>
      <c r="D448" s="22" t="s">
        <v>4529</v>
      </c>
      <c r="E448" s="22" t="s">
        <v>7658</v>
      </c>
      <c r="F448" s="22" t="s">
        <v>159</v>
      </c>
      <c r="G448" s="22" t="s">
        <v>8601</v>
      </c>
      <c r="H448" s="22" t="s">
        <v>11406</v>
      </c>
      <c r="I448" s="22" t="n">
        <v>60</v>
      </c>
      <c r="J448" s="22" t="n">
        <v>1</v>
      </c>
      <c r="K448" s="22" t="n">
        <v>60</v>
      </c>
      <c r="L448" s="25" t="n">
        <v>10.4</v>
      </c>
      <c r="M448" s="25" t="n">
        <v>624</v>
      </c>
      <c r="N448" s="25" t="n">
        <v>80.12</v>
      </c>
      <c r="O448" s="25" t="n">
        <v>704.12</v>
      </c>
      <c r="P448" s="22" t="s">
        <v>7696</v>
      </c>
      <c r="Q448" s="23" t="n">
        <v>46249</v>
      </c>
      <c r="R448" s="22" t="n">
        <f aca="false">I448*J448</f>
        <v>60</v>
      </c>
      <c r="S448" s="25" t="n">
        <f aca="false">K448-R448</f>
        <v>0</v>
      </c>
      <c r="T448" s="25" t="n">
        <f aca="false">K448*L448</f>
        <v>624</v>
      </c>
      <c r="U448" s="25" t="n">
        <f aca="false">M448-T448</f>
        <v>0</v>
      </c>
      <c r="V448" s="25" t="n">
        <f aca="false">M448+N448</f>
        <v>704.12</v>
      </c>
      <c r="W448" s="25" t="n">
        <f aca="false">O448-V448</f>
        <v>0</v>
      </c>
      <c r="X448" s="22" t="str">
        <f aca="false">IF(OR(ABS(S448)&gt;0.005,ABS(U448)&gt;0.005,ABS(W448)&gt;0.005),"Subledger arithmetic error","OK")</f>
        <v>OK</v>
      </c>
      <c r="Y448" s="22" t="str">
        <f aca="false">IF(X448="OK","","Priority 3")</f>
        <v/>
      </c>
    </row>
    <row r="449" customFormat="false" ht="15" hidden="false" customHeight="false" outlineLevel="0" collapsed="false">
      <c r="A449" s="22" t="s">
        <v>12301</v>
      </c>
      <c r="B449" s="23" t="n">
        <v>46235</v>
      </c>
      <c r="C449" s="22" t="s">
        <v>12302</v>
      </c>
      <c r="D449" s="22" t="s">
        <v>6269</v>
      </c>
      <c r="E449" s="22" t="s">
        <v>7660</v>
      </c>
      <c r="F449" s="22" t="s">
        <v>159</v>
      </c>
      <c r="G449" s="22" t="s">
        <v>8601</v>
      </c>
      <c r="H449" s="22" t="s">
        <v>11406</v>
      </c>
      <c r="I449" s="22" t="n">
        <v>36</v>
      </c>
      <c r="J449" s="22" t="n">
        <v>1</v>
      </c>
      <c r="K449" s="22" t="n">
        <v>36</v>
      </c>
      <c r="L449" s="25" t="n">
        <v>10.4</v>
      </c>
      <c r="M449" s="25" t="n">
        <v>374.4</v>
      </c>
      <c r="N449" s="25" t="n">
        <v>48.07</v>
      </c>
      <c r="O449" s="25" t="n">
        <v>422.47</v>
      </c>
      <c r="P449" s="22" t="s">
        <v>11407</v>
      </c>
      <c r="Q449" s="23" t="n">
        <v>46249</v>
      </c>
      <c r="R449" s="22" t="n">
        <f aca="false">I449*J449</f>
        <v>36</v>
      </c>
      <c r="S449" s="25" t="n">
        <f aca="false">K449-R449</f>
        <v>0</v>
      </c>
      <c r="T449" s="25" t="n">
        <f aca="false">K449*L449</f>
        <v>374.4</v>
      </c>
      <c r="U449" s="25" t="n">
        <f aca="false">M449-T449</f>
        <v>0</v>
      </c>
      <c r="V449" s="25" t="n">
        <f aca="false">M449+N449</f>
        <v>422.47</v>
      </c>
      <c r="W449" s="25" t="n">
        <f aca="false">O449-V449</f>
        <v>0</v>
      </c>
      <c r="X449" s="22" t="str">
        <f aca="false">IF(OR(ABS(S449)&gt;0.005,ABS(U449)&gt;0.005,ABS(W449)&gt;0.005),"Subledger arithmetic error","OK")</f>
        <v>OK</v>
      </c>
      <c r="Y449" s="22" t="str">
        <f aca="false">IF(X449="OK","","Priority 3")</f>
        <v/>
      </c>
    </row>
    <row r="450" customFormat="false" ht="15" hidden="false" customHeight="false" outlineLevel="0" collapsed="false">
      <c r="A450" s="22" t="s">
        <v>12303</v>
      </c>
      <c r="B450" s="23" t="n">
        <v>46235</v>
      </c>
      <c r="C450" s="22" t="s">
        <v>12304</v>
      </c>
      <c r="D450" s="22" t="s">
        <v>2359</v>
      </c>
      <c r="E450" s="22" t="s">
        <v>7661</v>
      </c>
      <c r="F450" s="22" t="s">
        <v>159</v>
      </c>
      <c r="G450" s="22" t="s">
        <v>8601</v>
      </c>
      <c r="H450" s="22" t="s">
        <v>11406</v>
      </c>
      <c r="I450" s="22" t="n">
        <v>57</v>
      </c>
      <c r="J450" s="22" t="n">
        <v>1</v>
      </c>
      <c r="K450" s="22" t="n">
        <v>57</v>
      </c>
      <c r="L450" s="25" t="n">
        <v>10.4</v>
      </c>
      <c r="M450" s="25" t="n">
        <v>592.8</v>
      </c>
      <c r="N450" s="25" t="n">
        <v>76.12</v>
      </c>
      <c r="O450" s="25" t="n">
        <v>668.92</v>
      </c>
      <c r="P450" s="22" t="s">
        <v>11407</v>
      </c>
      <c r="Q450" s="23" t="n">
        <v>46249</v>
      </c>
      <c r="R450" s="22" t="n">
        <f aca="false">I450*J450</f>
        <v>57</v>
      </c>
      <c r="S450" s="25" t="n">
        <f aca="false">K450-R450</f>
        <v>0</v>
      </c>
      <c r="T450" s="25" t="n">
        <f aca="false">K450*L450</f>
        <v>592.8</v>
      </c>
      <c r="U450" s="25" t="n">
        <f aca="false">M450-T450</f>
        <v>0</v>
      </c>
      <c r="V450" s="25" t="n">
        <f aca="false">M450+N450</f>
        <v>668.92</v>
      </c>
      <c r="W450" s="25" t="n">
        <f aca="false">O450-V450</f>
        <v>0</v>
      </c>
      <c r="X450" s="22" t="str">
        <f aca="false">IF(OR(ABS(S450)&gt;0.005,ABS(U450)&gt;0.005,ABS(W450)&gt;0.005),"Subledger arithmetic error","OK")</f>
        <v>OK</v>
      </c>
      <c r="Y450" s="22" t="str">
        <f aca="false">IF(X450="OK","","Priority 3")</f>
        <v/>
      </c>
    </row>
    <row r="451" customFormat="false" ht="15" hidden="false" customHeight="false" outlineLevel="0" collapsed="false">
      <c r="A451" s="22" t="s">
        <v>12305</v>
      </c>
      <c r="B451" s="23" t="n">
        <v>46235</v>
      </c>
      <c r="C451" s="22" t="s">
        <v>12306</v>
      </c>
      <c r="D451" s="22" t="s">
        <v>6186</v>
      </c>
      <c r="E451" s="22" t="s">
        <v>7662</v>
      </c>
      <c r="F451" s="22" t="s">
        <v>159</v>
      </c>
      <c r="G451" s="22" t="s">
        <v>8601</v>
      </c>
      <c r="H451" s="22" t="s">
        <v>11406</v>
      </c>
      <c r="I451" s="22" t="n">
        <v>29</v>
      </c>
      <c r="J451" s="22" t="n">
        <v>1</v>
      </c>
      <c r="K451" s="22" t="n">
        <v>29</v>
      </c>
      <c r="L451" s="25" t="n">
        <v>10.4</v>
      </c>
      <c r="M451" s="25" t="n">
        <v>301.6</v>
      </c>
      <c r="N451" s="25" t="n">
        <v>38.73</v>
      </c>
      <c r="O451" s="25" t="n">
        <v>340.33</v>
      </c>
      <c r="P451" s="22" t="s">
        <v>11407</v>
      </c>
      <c r="Q451" s="23" t="n">
        <v>46249</v>
      </c>
      <c r="R451" s="22" t="n">
        <f aca="false">I451*J451</f>
        <v>29</v>
      </c>
      <c r="S451" s="25" t="n">
        <f aca="false">K451-R451</f>
        <v>0</v>
      </c>
      <c r="T451" s="25" t="n">
        <f aca="false">K451*L451</f>
        <v>301.6</v>
      </c>
      <c r="U451" s="25" t="n">
        <f aca="false">M451-T451</f>
        <v>0</v>
      </c>
      <c r="V451" s="25" t="n">
        <f aca="false">M451+N451</f>
        <v>340.33</v>
      </c>
      <c r="W451" s="25" t="n">
        <f aca="false">O451-V451</f>
        <v>0</v>
      </c>
      <c r="X451" s="22" t="str">
        <f aca="false">IF(OR(ABS(S451)&gt;0.005,ABS(U451)&gt;0.005,ABS(W451)&gt;0.005),"Subledger arithmetic error","OK")</f>
        <v>OK</v>
      </c>
      <c r="Y451" s="22" t="str">
        <f aca="false">IF(X451="OK","","Priority 3")</f>
        <v/>
      </c>
    </row>
    <row r="452" customFormat="false" ht="15" hidden="false" customHeight="false" outlineLevel="0" collapsed="false">
      <c r="A452" s="22" t="s">
        <v>12307</v>
      </c>
      <c r="B452" s="23" t="n">
        <v>46235</v>
      </c>
      <c r="C452" s="22" t="s">
        <v>12308</v>
      </c>
      <c r="D452" s="22" t="s">
        <v>4314</v>
      </c>
      <c r="E452" s="22" t="s">
        <v>7664</v>
      </c>
      <c r="F452" s="22" t="s">
        <v>159</v>
      </c>
      <c r="G452" s="22" t="s">
        <v>8601</v>
      </c>
      <c r="H452" s="22" t="s">
        <v>11406</v>
      </c>
      <c r="I452" s="22" t="n">
        <v>47</v>
      </c>
      <c r="J452" s="22" t="n">
        <v>1</v>
      </c>
      <c r="K452" s="22" t="n">
        <v>47</v>
      </c>
      <c r="L452" s="25" t="n">
        <v>10.4</v>
      </c>
      <c r="M452" s="25" t="n">
        <v>488.8</v>
      </c>
      <c r="N452" s="25" t="n">
        <v>62.76</v>
      </c>
      <c r="O452" s="25" t="n">
        <v>551.56</v>
      </c>
      <c r="P452" s="22" t="s">
        <v>11407</v>
      </c>
      <c r="Q452" s="23" t="n">
        <v>46249</v>
      </c>
      <c r="R452" s="22" t="n">
        <f aca="false">I452*J452</f>
        <v>47</v>
      </c>
      <c r="S452" s="25" t="n">
        <f aca="false">K452-R452</f>
        <v>0</v>
      </c>
      <c r="T452" s="25" t="n">
        <f aca="false">K452*L452</f>
        <v>488.8</v>
      </c>
      <c r="U452" s="25" t="n">
        <f aca="false">M452-T452</f>
        <v>0</v>
      </c>
      <c r="V452" s="25" t="n">
        <f aca="false">M452+N452</f>
        <v>551.56</v>
      </c>
      <c r="W452" s="25" t="n">
        <f aca="false">O452-V452</f>
        <v>0</v>
      </c>
      <c r="X452" s="22" t="str">
        <f aca="false">IF(OR(ABS(S452)&gt;0.005,ABS(U452)&gt;0.005,ABS(W452)&gt;0.005),"Subledger arithmetic error","OK")</f>
        <v>OK</v>
      </c>
      <c r="Y452" s="22" t="str">
        <f aca="false">IF(X452="OK","","Priority 3")</f>
        <v/>
      </c>
    </row>
    <row r="453" customFormat="false" ht="15" hidden="false" customHeight="false" outlineLevel="0" collapsed="false">
      <c r="A453" s="22" t="s">
        <v>12309</v>
      </c>
      <c r="B453" s="23" t="n">
        <v>46235</v>
      </c>
      <c r="C453" s="22" t="s">
        <v>12310</v>
      </c>
      <c r="D453" s="22" t="s">
        <v>3066</v>
      </c>
      <c r="E453" s="22" t="s">
        <v>7666</v>
      </c>
      <c r="F453" s="22" t="s">
        <v>159</v>
      </c>
      <c r="G453" s="22" t="s">
        <v>8601</v>
      </c>
      <c r="H453" s="22" t="s">
        <v>11406</v>
      </c>
      <c r="I453" s="22" t="n">
        <v>50</v>
      </c>
      <c r="J453" s="22" t="n">
        <v>1</v>
      </c>
      <c r="K453" s="22" t="n">
        <v>50</v>
      </c>
      <c r="L453" s="25" t="n">
        <v>10.4</v>
      </c>
      <c r="M453" s="25" t="n">
        <v>520</v>
      </c>
      <c r="N453" s="25" t="n">
        <v>66.77</v>
      </c>
      <c r="O453" s="25" t="n">
        <v>586.77</v>
      </c>
      <c r="P453" s="22" t="s">
        <v>11407</v>
      </c>
      <c r="Q453" s="23" t="n">
        <v>46249</v>
      </c>
      <c r="R453" s="22" t="n">
        <f aca="false">I453*J453</f>
        <v>50</v>
      </c>
      <c r="S453" s="25" t="n">
        <f aca="false">K453-R453</f>
        <v>0</v>
      </c>
      <c r="T453" s="25" t="n">
        <f aca="false">K453*L453</f>
        <v>520</v>
      </c>
      <c r="U453" s="25" t="n">
        <f aca="false">M453-T453</f>
        <v>0</v>
      </c>
      <c r="V453" s="25" t="n">
        <f aca="false">M453+N453</f>
        <v>586.77</v>
      </c>
      <c r="W453" s="25" t="n">
        <f aca="false">O453-V453</f>
        <v>0</v>
      </c>
      <c r="X453" s="22" t="str">
        <f aca="false">IF(OR(ABS(S453)&gt;0.005,ABS(U453)&gt;0.005,ABS(W453)&gt;0.005),"Subledger arithmetic error","OK")</f>
        <v>OK</v>
      </c>
      <c r="Y453" s="22" t="str">
        <f aca="false">IF(X453="OK","","Priority 3")</f>
        <v/>
      </c>
    </row>
    <row r="454" customFormat="false" ht="15" hidden="false" customHeight="false" outlineLevel="0" collapsed="false">
      <c r="A454" s="22" t="s">
        <v>12311</v>
      </c>
      <c r="B454" s="23" t="n">
        <v>46235</v>
      </c>
      <c r="C454" s="22" t="s">
        <v>12312</v>
      </c>
      <c r="D454" s="22" t="s">
        <v>4326</v>
      </c>
      <c r="E454" s="22" t="s">
        <v>7668</v>
      </c>
      <c r="F454" s="22" t="s">
        <v>159</v>
      </c>
      <c r="G454" s="22" t="s">
        <v>8601</v>
      </c>
      <c r="H454" s="22" t="s">
        <v>11406</v>
      </c>
      <c r="I454" s="22" t="n">
        <v>44</v>
      </c>
      <c r="J454" s="22" t="n">
        <v>1</v>
      </c>
      <c r="K454" s="22" t="n">
        <v>44</v>
      </c>
      <c r="L454" s="25" t="n">
        <v>10.4</v>
      </c>
      <c r="M454" s="25" t="n">
        <v>457.6</v>
      </c>
      <c r="N454" s="25" t="n">
        <v>58.76</v>
      </c>
      <c r="O454" s="25" t="n">
        <v>516.36</v>
      </c>
      <c r="P454" s="22" t="s">
        <v>11407</v>
      </c>
      <c r="Q454" s="23" t="n">
        <v>46249</v>
      </c>
      <c r="R454" s="22" t="n">
        <f aca="false">I454*J454</f>
        <v>44</v>
      </c>
      <c r="S454" s="25" t="n">
        <f aca="false">K454-R454</f>
        <v>0</v>
      </c>
      <c r="T454" s="25" t="n">
        <f aca="false">K454*L454</f>
        <v>457.6</v>
      </c>
      <c r="U454" s="25" t="n">
        <f aca="false">M454-T454</f>
        <v>0</v>
      </c>
      <c r="V454" s="25" t="n">
        <f aca="false">M454+N454</f>
        <v>516.36</v>
      </c>
      <c r="W454" s="25" t="n">
        <f aca="false">O454-V454</f>
        <v>0</v>
      </c>
      <c r="X454" s="22" t="str">
        <f aca="false">IF(OR(ABS(S454)&gt;0.005,ABS(U454)&gt;0.005,ABS(W454)&gt;0.005),"Subledger arithmetic error","OK")</f>
        <v>OK</v>
      </c>
      <c r="Y454" s="22" t="str">
        <f aca="false">IF(X454="OK","","Priority 3")</f>
        <v/>
      </c>
    </row>
    <row r="455" customFormat="false" ht="15" hidden="false" customHeight="false" outlineLevel="0" collapsed="false">
      <c r="A455" s="22" t="s">
        <v>12313</v>
      </c>
      <c r="B455" s="23" t="n">
        <v>46235</v>
      </c>
      <c r="C455" s="22" t="s">
        <v>12314</v>
      </c>
      <c r="D455" s="22" t="s">
        <v>4890</v>
      </c>
      <c r="E455" s="22" t="s">
        <v>7670</v>
      </c>
      <c r="F455" s="22" t="s">
        <v>159</v>
      </c>
      <c r="G455" s="22" t="s">
        <v>8601</v>
      </c>
      <c r="H455" s="22" t="s">
        <v>11406</v>
      </c>
      <c r="I455" s="22" t="n">
        <v>49</v>
      </c>
      <c r="J455" s="22" t="n">
        <v>1</v>
      </c>
      <c r="K455" s="22" t="n">
        <v>49</v>
      </c>
      <c r="L455" s="25" t="n">
        <v>10.4</v>
      </c>
      <c r="M455" s="25" t="n">
        <v>509.6</v>
      </c>
      <c r="N455" s="25" t="n">
        <v>65.43</v>
      </c>
      <c r="O455" s="25" t="n">
        <v>575.03</v>
      </c>
      <c r="P455" s="22" t="s">
        <v>11407</v>
      </c>
      <c r="Q455" s="23" t="n">
        <v>46249</v>
      </c>
      <c r="R455" s="22" t="n">
        <f aca="false">I455*J455</f>
        <v>49</v>
      </c>
      <c r="S455" s="25" t="n">
        <f aca="false">K455-R455</f>
        <v>0</v>
      </c>
      <c r="T455" s="25" t="n">
        <f aca="false">K455*L455</f>
        <v>509.6</v>
      </c>
      <c r="U455" s="25" t="n">
        <f aca="false">M455-T455</f>
        <v>0</v>
      </c>
      <c r="V455" s="25" t="n">
        <f aca="false">M455+N455</f>
        <v>575.03</v>
      </c>
      <c r="W455" s="25" t="n">
        <f aca="false">O455-V455</f>
        <v>0</v>
      </c>
      <c r="X455" s="22" t="str">
        <f aca="false">IF(OR(ABS(S455)&gt;0.005,ABS(U455)&gt;0.005,ABS(W455)&gt;0.005),"Subledger arithmetic error","OK")</f>
        <v>OK</v>
      </c>
      <c r="Y455" s="22" t="str">
        <f aca="false">IF(X455="OK","","Priority 3")</f>
        <v/>
      </c>
    </row>
    <row r="456" customFormat="false" ht="15" hidden="false" customHeight="false" outlineLevel="0" collapsed="false">
      <c r="A456" s="22" t="s">
        <v>12315</v>
      </c>
      <c r="B456" s="23" t="n">
        <v>46235</v>
      </c>
      <c r="C456" s="22" t="s">
        <v>12316</v>
      </c>
      <c r="D456" s="22" t="s">
        <v>701</v>
      </c>
      <c r="E456" s="22" t="s">
        <v>7671</v>
      </c>
      <c r="F456" s="22" t="s">
        <v>159</v>
      </c>
      <c r="G456" s="22" t="s">
        <v>8601</v>
      </c>
      <c r="H456" s="22" t="s">
        <v>11406</v>
      </c>
      <c r="I456" s="22" t="n">
        <v>40</v>
      </c>
      <c r="J456" s="22" t="n">
        <v>1</v>
      </c>
      <c r="K456" s="22" t="n">
        <v>40</v>
      </c>
      <c r="L456" s="25" t="n">
        <v>10.4</v>
      </c>
      <c r="M456" s="25" t="n">
        <v>416</v>
      </c>
      <c r="N456" s="25" t="n">
        <v>53.41</v>
      </c>
      <c r="O456" s="25" t="n">
        <v>469.41</v>
      </c>
      <c r="P456" s="22" t="s">
        <v>11407</v>
      </c>
      <c r="Q456" s="23" t="n">
        <v>46249</v>
      </c>
      <c r="R456" s="22" t="n">
        <f aca="false">I456*J456</f>
        <v>40</v>
      </c>
      <c r="S456" s="25" t="n">
        <f aca="false">K456-R456</f>
        <v>0</v>
      </c>
      <c r="T456" s="25" t="n">
        <f aca="false">K456*L456</f>
        <v>416</v>
      </c>
      <c r="U456" s="25" t="n">
        <f aca="false">M456-T456</f>
        <v>0</v>
      </c>
      <c r="V456" s="25" t="n">
        <f aca="false">M456+N456</f>
        <v>469.41</v>
      </c>
      <c r="W456" s="25" t="n">
        <f aca="false">O456-V456</f>
        <v>0</v>
      </c>
      <c r="X456" s="22" t="str">
        <f aca="false">IF(OR(ABS(S456)&gt;0.005,ABS(U456)&gt;0.005,ABS(W456)&gt;0.005),"Subledger arithmetic error","OK")</f>
        <v>OK</v>
      </c>
      <c r="Y456" s="22" t="str">
        <f aca="false">IF(X456="OK","","Priority 3")</f>
        <v/>
      </c>
    </row>
    <row r="457" customFormat="false" ht="15" hidden="false" customHeight="false" outlineLevel="0" collapsed="false">
      <c r="A457" s="22" t="s">
        <v>12317</v>
      </c>
      <c r="B457" s="23" t="n">
        <v>46235</v>
      </c>
      <c r="C457" s="22" t="s">
        <v>12318</v>
      </c>
      <c r="D457" s="22" t="s">
        <v>1064</v>
      </c>
      <c r="E457" s="22" t="s">
        <v>7673</v>
      </c>
      <c r="F457" s="22" t="s">
        <v>159</v>
      </c>
      <c r="G457" s="22" t="s">
        <v>8601</v>
      </c>
      <c r="H457" s="22" t="s">
        <v>11406</v>
      </c>
      <c r="I457" s="22" t="n">
        <v>58</v>
      </c>
      <c r="J457" s="22" t="n">
        <v>1</v>
      </c>
      <c r="K457" s="22" t="n">
        <v>58</v>
      </c>
      <c r="L457" s="25" t="n">
        <v>10.4</v>
      </c>
      <c r="M457" s="25" t="n">
        <v>603.2</v>
      </c>
      <c r="N457" s="25" t="n">
        <v>77.45</v>
      </c>
      <c r="O457" s="25" t="n">
        <v>680.65</v>
      </c>
      <c r="P457" s="22" t="s">
        <v>11407</v>
      </c>
      <c r="Q457" s="23" t="n">
        <v>46249</v>
      </c>
      <c r="R457" s="22" t="n">
        <f aca="false">I457*J457</f>
        <v>58</v>
      </c>
      <c r="S457" s="25" t="n">
        <f aca="false">K457-R457</f>
        <v>0</v>
      </c>
      <c r="T457" s="25" t="n">
        <f aca="false">K457*L457</f>
        <v>603.2</v>
      </c>
      <c r="U457" s="25" t="n">
        <f aca="false">M457-T457</f>
        <v>0</v>
      </c>
      <c r="V457" s="25" t="n">
        <f aca="false">M457+N457</f>
        <v>680.65</v>
      </c>
      <c r="W457" s="25" t="n">
        <f aca="false">O457-V457</f>
        <v>0</v>
      </c>
      <c r="X457" s="22" t="str">
        <f aca="false">IF(OR(ABS(S457)&gt;0.005,ABS(U457)&gt;0.005,ABS(W457)&gt;0.005),"Subledger arithmetic error","OK")</f>
        <v>OK</v>
      </c>
      <c r="Y457" s="22" t="str">
        <f aca="false">IF(X457="OK","","Priority 3")</f>
        <v/>
      </c>
    </row>
    <row r="458" customFormat="false" ht="15" hidden="false" customHeight="false" outlineLevel="0" collapsed="false">
      <c r="A458" s="22" t="s">
        <v>12319</v>
      </c>
      <c r="B458" s="23" t="n">
        <v>46235</v>
      </c>
      <c r="C458" s="22" t="s">
        <v>12320</v>
      </c>
      <c r="D458" s="22" t="s">
        <v>2874</v>
      </c>
      <c r="E458" s="22" t="s">
        <v>7674</v>
      </c>
      <c r="F458" s="22" t="s">
        <v>159</v>
      </c>
      <c r="G458" s="22" t="s">
        <v>8601</v>
      </c>
      <c r="H458" s="22" t="s">
        <v>11406</v>
      </c>
      <c r="I458" s="22" t="n">
        <v>28</v>
      </c>
      <c r="J458" s="22" t="n">
        <v>1</v>
      </c>
      <c r="K458" s="22" t="n">
        <v>28</v>
      </c>
      <c r="L458" s="25" t="n">
        <v>10.4</v>
      </c>
      <c r="M458" s="25" t="n">
        <v>291.2</v>
      </c>
      <c r="N458" s="25" t="n">
        <v>37.39</v>
      </c>
      <c r="O458" s="25" t="n">
        <v>328.59</v>
      </c>
      <c r="P458" s="22" t="s">
        <v>11407</v>
      </c>
      <c r="Q458" s="23" t="n">
        <v>46249</v>
      </c>
      <c r="R458" s="22" t="n">
        <f aca="false">I458*J458</f>
        <v>28</v>
      </c>
      <c r="S458" s="25" t="n">
        <f aca="false">K458-R458</f>
        <v>0</v>
      </c>
      <c r="T458" s="25" t="n">
        <f aca="false">K458*L458</f>
        <v>291.2</v>
      </c>
      <c r="U458" s="25" t="n">
        <f aca="false">M458-T458</f>
        <v>0</v>
      </c>
      <c r="V458" s="25" t="n">
        <f aca="false">M458+N458</f>
        <v>328.59</v>
      </c>
      <c r="W458" s="25" t="n">
        <f aca="false">O458-V458</f>
        <v>0</v>
      </c>
      <c r="X458" s="22" t="str">
        <f aca="false">IF(OR(ABS(S458)&gt;0.005,ABS(U458)&gt;0.005,ABS(W458)&gt;0.005),"Subledger arithmetic error","OK")</f>
        <v>OK</v>
      </c>
      <c r="Y458" s="22" t="str">
        <f aca="false">IF(X458="OK","","Priority 3")</f>
        <v/>
      </c>
    </row>
    <row r="459" customFormat="false" ht="15" hidden="false" customHeight="false" outlineLevel="0" collapsed="false">
      <c r="A459" s="22" t="s">
        <v>12321</v>
      </c>
      <c r="B459" s="23" t="n">
        <v>46235</v>
      </c>
      <c r="C459" s="22" t="s">
        <v>12322</v>
      </c>
      <c r="D459" s="22" t="s">
        <v>3056</v>
      </c>
      <c r="E459" s="22" t="s">
        <v>7676</v>
      </c>
      <c r="F459" s="22" t="s">
        <v>159</v>
      </c>
      <c r="G459" s="22" t="s">
        <v>8601</v>
      </c>
      <c r="H459" s="22" t="s">
        <v>11406</v>
      </c>
      <c r="I459" s="22" t="n">
        <v>36</v>
      </c>
      <c r="J459" s="22" t="n">
        <v>1</v>
      </c>
      <c r="K459" s="22" t="n">
        <v>36</v>
      </c>
      <c r="L459" s="25" t="n">
        <v>10.4</v>
      </c>
      <c r="M459" s="25" t="n">
        <v>374.4</v>
      </c>
      <c r="N459" s="25" t="n">
        <v>48.07</v>
      </c>
      <c r="O459" s="25" t="n">
        <v>422.47</v>
      </c>
      <c r="P459" s="22" t="s">
        <v>11407</v>
      </c>
      <c r="Q459" s="23" t="n">
        <v>46249</v>
      </c>
      <c r="R459" s="22" t="n">
        <f aca="false">I459*J459</f>
        <v>36</v>
      </c>
      <c r="S459" s="25" t="n">
        <f aca="false">K459-R459</f>
        <v>0</v>
      </c>
      <c r="T459" s="25" t="n">
        <f aca="false">K459*L459</f>
        <v>374.4</v>
      </c>
      <c r="U459" s="25" t="n">
        <f aca="false">M459-T459</f>
        <v>0</v>
      </c>
      <c r="V459" s="25" t="n">
        <f aca="false">M459+N459</f>
        <v>422.47</v>
      </c>
      <c r="W459" s="25" t="n">
        <f aca="false">O459-V459</f>
        <v>0</v>
      </c>
      <c r="X459" s="22" t="str">
        <f aca="false">IF(OR(ABS(S459)&gt;0.005,ABS(U459)&gt;0.005,ABS(W459)&gt;0.005),"Subledger arithmetic error","OK")</f>
        <v>OK</v>
      </c>
      <c r="Y459" s="22" t="str">
        <f aca="false">IF(X459="OK","","Priority 3")</f>
        <v/>
      </c>
    </row>
    <row r="460" customFormat="false" ht="15" hidden="false" customHeight="false" outlineLevel="0" collapsed="false">
      <c r="A460" s="22" t="s">
        <v>12323</v>
      </c>
      <c r="B460" s="23" t="n">
        <v>46235</v>
      </c>
      <c r="C460" s="22" t="s">
        <v>12324</v>
      </c>
      <c r="D460" s="22" t="s">
        <v>1446</v>
      </c>
      <c r="E460" s="22" t="s">
        <v>7677</v>
      </c>
      <c r="F460" s="22" t="s">
        <v>159</v>
      </c>
      <c r="G460" s="22" t="s">
        <v>8601</v>
      </c>
      <c r="H460" s="22" t="s">
        <v>11406</v>
      </c>
      <c r="I460" s="22" t="n">
        <v>39</v>
      </c>
      <c r="J460" s="22" t="n">
        <v>1</v>
      </c>
      <c r="K460" s="22" t="n">
        <v>39</v>
      </c>
      <c r="L460" s="25" t="n">
        <v>10.4</v>
      </c>
      <c r="M460" s="25" t="n">
        <v>405.6</v>
      </c>
      <c r="N460" s="25" t="n">
        <v>52.08</v>
      </c>
      <c r="O460" s="25" t="n">
        <v>457.68</v>
      </c>
      <c r="P460" s="22" t="s">
        <v>11407</v>
      </c>
      <c r="Q460" s="23" t="n">
        <v>46249</v>
      </c>
      <c r="R460" s="22" t="n">
        <f aca="false">I460*J460</f>
        <v>39</v>
      </c>
      <c r="S460" s="25" t="n">
        <f aca="false">K460-R460</f>
        <v>0</v>
      </c>
      <c r="T460" s="25" t="n">
        <f aca="false">K460*L460</f>
        <v>405.6</v>
      </c>
      <c r="U460" s="25" t="n">
        <f aca="false">M460-T460</f>
        <v>0</v>
      </c>
      <c r="V460" s="25" t="n">
        <f aca="false">M460+N460</f>
        <v>457.68</v>
      </c>
      <c r="W460" s="25" t="n">
        <f aca="false">O460-V460</f>
        <v>0</v>
      </c>
      <c r="X460" s="22" t="str">
        <f aca="false">IF(OR(ABS(S460)&gt;0.005,ABS(U460)&gt;0.005,ABS(W460)&gt;0.005),"Subledger arithmetic error","OK")</f>
        <v>OK</v>
      </c>
      <c r="Y460" s="22" t="str">
        <f aca="false">IF(X460="OK","","Priority 3")</f>
        <v/>
      </c>
    </row>
    <row r="461" customFormat="false" ht="15" hidden="false" customHeight="false" outlineLevel="0" collapsed="false">
      <c r="A461" s="22" t="s">
        <v>12325</v>
      </c>
      <c r="B461" s="23" t="n">
        <v>46235</v>
      </c>
      <c r="C461" s="22" t="s">
        <v>12326</v>
      </c>
      <c r="D461" s="22" t="s">
        <v>4891</v>
      </c>
      <c r="E461" s="22" t="s">
        <v>7679</v>
      </c>
      <c r="F461" s="22" t="s">
        <v>159</v>
      </c>
      <c r="G461" s="22" t="s">
        <v>8601</v>
      </c>
      <c r="H461" s="22" t="s">
        <v>11406</v>
      </c>
      <c r="I461" s="22" t="n">
        <v>50</v>
      </c>
      <c r="J461" s="22" t="n">
        <v>1</v>
      </c>
      <c r="K461" s="22" t="n">
        <v>50</v>
      </c>
      <c r="L461" s="25" t="n">
        <v>10.4</v>
      </c>
      <c r="M461" s="25" t="n">
        <v>520</v>
      </c>
      <c r="N461" s="25" t="n">
        <v>66.77</v>
      </c>
      <c r="O461" s="25" t="n">
        <v>586.77</v>
      </c>
      <c r="P461" s="22" t="s">
        <v>11407</v>
      </c>
      <c r="Q461" s="23" t="n">
        <v>46249</v>
      </c>
      <c r="R461" s="22" t="n">
        <f aca="false">I461*J461</f>
        <v>50</v>
      </c>
      <c r="S461" s="25" t="n">
        <f aca="false">K461-R461</f>
        <v>0</v>
      </c>
      <c r="T461" s="25" t="n">
        <f aca="false">K461*L461</f>
        <v>520</v>
      </c>
      <c r="U461" s="25" t="n">
        <f aca="false">M461-T461</f>
        <v>0</v>
      </c>
      <c r="V461" s="25" t="n">
        <f aca="false">M461+N461</f>
        <v>586.77</v>
      </c>
      <c r="W461" s="25" t="n">
        <f aca="false">O461-V461</f>
        <v>0</v>
      </c>
      <c r="X461" s="22" t="str">
        <f aca="false">IF(OR(ABS(S461)&gt;0.005,ABS(U461)&gt;0.005,ABS(W461)&gt;0.005),"Subledger arithmetic error","OK")</f>
        <v>OK</v>
      </c>
      <c r="Y461" s="22" t="str">
        <f aca="false">IF(X461="OK","","Priority 3")</f>
        <v/>
      </c>
    </row>
    <row r="462" customFormat="false" ht="15" hidden="false" customHeight="false" outlineLevel="0" collapsed="false">
      <c r="A462" s="22" t="s">
        <v>12327</v>
      </c>
      <c r="B462" s="23" t="n">
        <v>46235</v>
      </c>
      <c r="C462" s="22" t="s">
        <v>12328</v>
      </c>
      <c r="D462" s="22" t="s">
        <v>4942</v>
      </c>
      <c r="E462" s="22" t="s">
        <v>7681</v>
      </c>
      <c r="F462" s="22" t="s">
        <v>159</v>
      </c>
      <c r="G462" s="22" t="s">
        <v>8601</v>
      </c>
      <c r="H462" s="22" t="s">
        <v>11406</v>
      </c>
      <c r="I462" s="22" t="n">
        <v>35</v>
      </c>
      <c r="J462" s="22" t="n">
        <v>1</v>
      </c>
      <c r="K462" s="22" t="n">
        <v>35</v>
      </c>
      <c r="L462" s="25" t="n">
        <v>10.4</v>
      </c>
      <c r="M462" s="25" t="n">
        <v>364</v>
      </c>
      <c r="N462" s="25" t="n">
        <v>46.74</v>
      </c>
      <c r="O462" s="25" t="n">
        <v>410.74</v>
      </c>
      <c r="P462" s="22" t="s">
        <v>11407</v>
      </c>
      <c r="Q462" s="23" t="n">
        <v>46249</v>
      </c>
      <c r="R462" s="22" t="n">
        <f aca="false">I462*J462</f>
        <v>35</v>
      </c>
      <c r="S462" s="25" t="n">
        <f aca="false">K462-R462</f>
        <v>0</v>
      </c>
      <c r="T462" s="25" t="n">
        <f aca="false">K462*L462</f>
        <v>364</v>
      </c>
      <c r="U462" s="25" t="n">
        <f aca="false">M462-T462</f>
        <v>0</v>
      </c>
      <c r="V462" s="25" t="n">
        <f aca="false">M462+N462</f>
        <v>410.74</v>
      </c>
      <c r="W462" s="25" t="n">
        <f aca="false">O462-V462</f>
        <v>0</v>
      </c>
      <c r="X462" s="22" t="str">
        <f aca="false">IF(OR(ABS(S462)&gt;0.005,ABS(U462)&gt;0.005,ABS(W462)&gt;0.005),"Subledger arithmetic error","OK")</f>
        <v>OK</v>
      </c>
      <c r="Y462" s="22" t="str">
        <f aca="false">IF(X462="OK","","Priority 3")</f>
        <v/>
      </c>
    </row>
    <row r="463" customFormat="false" ht="15" hidden="false" customHeight="false" outlineLevel="0" collapsed="false">
      <c r="A463" s="22" t="s">
        <v>12329</v>
      </c>
      <c r="B463" s="23" t="n">
        <v>46235</v>
      </c>
      <c r="C463" s="22" t="s">
        <v>12330</v>
      </c>
      <c r="D463" s="22" t="s">
        <v>2861</v>
      </c>
      <c r="E463" s="22" t="s">
        <v>7682</v>
      </c>
      <c r="F463" s="22" t="s">
        <v>159</v>
      </c>
      <c r="G463" s="22" t="s">
        <v>8601</v>
      </c>
      <c r="H463" s="22" t="s">
        <v>11406</v>
      </c>
      <c r="I463" s="22" t="n">
        <v>52</v>
      </c>
      <c r="J463" s="22" t="n">
        <v>1</v>
      </c>
      <c r="K463" s="22" t="n">
        <v>52</v>
      </c>
      <c r="L463" s="25" t="n">
        <v>10.4</v>
      </c>
      <c r="M463" s="25" t="n">
        <v>540.8</v>
      </c>
      <c r="N463" s="25" t="n">
        <v>69.44</v>
      </c>
      <c r="O463" s="25" t="n">
        <v>610.24</v>
      </c>
      <c r="P463" s="22" t="s">
        <v>11407</v>
      </c>
      <c r="Q463" s="23" t="n">
        <v>46249</v>
      </c>
      <c r="R463" s="22" t="n">
        <f aca="false">I463*J463</f>
        <v>52</v>
      </c>
      <c r="S463" s="25" t="n">
        <f aca="false">K463-R463</f>
        <v>0</v>
      </c>
      <c r="T463" s="25" t="n">
        <f aca="false">K463*L463</f>
        <v>540.8</v>
      </c>
      <c r="U463" s="25" t="n">
        <f aca="false">M463-T463</f>
        <v>0</v>
      </c>
      <c r="V463" s="25" t="n">
        <f aca="false">M463+N463</f>
        <v>610.24</v>
      </c>
      <c r="W463" s="25" t="n">
        <f aca="false">O463-V463</f>
        <v>0</v>
      </c>
      <c r="X463" s="22" t="str">
        <f aca="false">IF(OR(ABS(S463)&gt;0.005,ABS(U463)&gt;0.005,ABS(W463)&gt;0.005),"Subledger arithmetic error","OK")</f>
        <v>OK</v>
      </c>
      <c r="Y463" s="22" t="str">
        <f aca="false">IF(X463="OK","","Priority 3")</f>
        <v/>
      </c>
    </row>
    <row r="464" customFormat="false" ht="15" hidden="false" customHeight="false" outlineLevel="0" collapsed="false">
      <c r="A464" s="22" t="s">
        <v>12331</v>
      </c>
      <c r="B464" s="23" t="n">
        <v>46235</v>
      </c>
      <c r="C464" s="22" t="s">
        <v>12332</v>
      </c>
      <c r="D464" s="22" t="s">
        <v>6087</v>
      </c>
      <c r="E464" s="22" t="s">
        <v>7684</v>
      </c>
      <c r="F464" s="22" t="s">
        <v>159</v>
      </c>
      <c r="G464" s="22" t="s">
        <v>8601</v>
      </c>
      <c r="H464" s="22" t="s">
        <v>11406</v>
      </c>
      <c r="I464" s="22" t="n">
        <v>34</v>
      </c>
      <c r="J464" s="22" t="n">
        <v>1</v>
      </c>
      <c r="K464" s="22" t="n">
        <v>34</v>
      </c>
      <c r="L464" s="25" t="n">
        <v>10.4</v>
      </c>
      <c r="M464" s="25" t="n">
        <v>353.6</v>
      </c>
      <c r="N464" s="25" t="n">
        <v>45.4</v>
      </c>
      <c r="O464" s="25" t="n">
        <v>399</v>
      </c>
      <c r="P464" s="22" t="s">
        <v>11407</v>
      </c>
      <c r="Q464" s="23" t="n">
        <v>46249</v>
      </c>
      <c r="R464" s="22" t="n">
        <f aca="false">I464*J464</f>
        <v>34</v>
      </c>
      <c r="S464" s="25" t="n">
        <f aca="false">K464-R464</f>
        <v>0</v>
      </c>
      <c r="T464" s="25" t="n">
        <f aca="false">K464*L464</f>
        <v>353.6</v>
      </c>
      <c r="U464" s="25" t="n">
        <f aca="false">M464-T464</f>
        <v>0</v>
      </c>
      <c r="V464" s="25" t="n">
        <f aca="false">M464+N464</f>
        <v>399</v>
      </c>
      <c r="W464" s="25" t="n">
        <f aca="false">O464-V464</f>
        <v>0</v>
      </c>
      <c r="X464" s="22" t="str">
        <f aca="false">IF(OR(ABS(S464)&gt;0.005,ABS(U464)&gt;0.005,ABS(W464)&gt;0.005),"Subledger arithmetic error","OK")</f>
        <v>OK</v>
      </c>
      <c r="Y464" s="22" t="str">
        <f aca="false">IF(X464="OK","","Priority 3")</f>
        <v/>
      </c>
    </row>
    <row r="465" customFormat="false" ht="15" hidden="false" customHeight="false" outlineLevel="0" collapsed="false">
      <c r="A465" s="22" t="s">
        <v>12333</v>
      </c>
      <c r="B465" s="23" t="n">
        <v>46235</v>
      </c>
      <c r="C465" s="22" t="s">
        <v>12334</v>
      </c>
      <c r="D465" s="22" t="s">
        <v>2888</v>
      </c>
      <c r="E465" s="22" t="s">
        <v>7687</v>
      </c>
      <c r="F465" s="22" t="s">
        <v>159</v>
      </c>
      <c r="G465" s="22" t="s">
        <v>8601</v>
      </c>
      <c r="H465" s="22" t="s">
        <v>11406</v>
      </c>
      <c r="I465" s="22" t="n">
        <v>40</v>
      </c>
      <c r="J465" s="22" t="n">
        <v>1</v>
      </c>
      <c r="K465" s="22" t="n">
        <v>40</v>
      </c>
      <c r="L465" s="25" t="n">
        <v>10.4</v>
      </c>
      <c r="M465" s="25" t="n">
        <v>416</v>
      </c>
      <c r="N465" s="25" t="n">
        <v>53.41</v>
      </c>
      <c r="O465" s="25" t="n">
        <v>469.41</v>
      </c>
      <c r="P465" s="22" t="s">
        <v>11407</v>
      </c>
      <c r="Q465" s="23" t="n">
        <v>46249</v>
      </c>
      <c r="R465" s="22" t="n">
        <f aca="false">I465*J465</f>
        <v>40</v>
      </c>
      <c r="S465" s="25" t="n">
        <f aca="false">K465-R465</f>
        <v>0</v>
      </c>
      <c r="T465" s="25" t="n">
        <f aca="false">K465*L465</f>
        <v>416</v>
      </c>
      <c r="U465" s="25" t="n">
        <f aca="false">M465-T465</f>
        <v>0</v>
      </c>
      <c r="V465" s="25" t="n">
        <f aca="false">M465+N465</f>
        <v>469.41</v>
      </c>
      <c r="W465" s="25" t="n">
        <f aca="false">O465-V465</f>
        <v>0</v>
      </c>
      <c r="X465" s="22" t="str">
        <f aca="false">IF(OR(ABS(S465)&gt;0.005,ABS(U465)&gt;0.005,ABS(W465)&gt;0.005),"Subledger arithmetic error","OK")</f>
        <v>OK</v>
      </c>
      <c r="Y465" s="22" t="str">
        <f aca="false">IF(X465="OK","","Priority 3")</f>
        <v/>
      </c>
    </row>
    <row r="466" customFormat="false" ht="15" hidden="false" customHeight="false" outlineLevel="0" collapsed="false">
      <c r="A466" s="22" t="s">
        <v>12335</v>
      </c>
      <c r="B466" s="23" t="n">
        <v>46235</v>
      </c>
      <c r="C466" s="22" t="s">
        <v>12336</v>
      </c>
      <c r="D466" s="22" t="s">
        <v>5020</v>
      </c>
      <c r="E466" s="22" t="s">
        <v>7688</v>
      </c>
      <c r="F466" s="22" t="s">
        <v>159</v>
      </c>
      <c r="G466" s="22" t="s">
        <v>8601</v>
      </c>
      <c r="H466" s="22" t="s">
        <v>11406</v>
      </c>
      <c r="I466" s="22" t="n">
        <v>41</v>
      </c>
      <c r="J466" s="22" t="n">
        <v>1</v>
      </c>
      <c r="K466" s="22" t="n">
        <v>41</v>
      </c>
      <c r="L466" s="25" t="n">
        <v>10.4</v>
      </c>
      <c r="M466" s="25" t="n">
        <v>426.4</v>
      </c>
      <c r="N466" s="25" t="n">
        <v>54.75</v>
      </c>
      <c r="O466" s="25" t="n">
        <v>481.15</v>
      </c>
      <c r="P466" s="22" t="s">
        <v>11410</v>
      </c>
      <c r="Q466" s="23" t="n">
        <v>46249</v>
      </c>
      <c r="R466" s="22" t="n">
        <f aca="false">I466*J466</f>
        <v>41</v>
      </c>
      <c r="S466" s="25" t="n">
        <f aca="false">K466-R466</f>
        <v>0</v>
      </c>
      <c r="T466" s="25" t="n">
        <f aca="false">K466*L466</f>
        <v>426.4</v>
      </c>
      <c r="U466" s="25" t="n">
        <f aca="false">M466-T466</f>
        <v>0</v>
      </c>
      <c r="V466" s="25" t="n">
        <f aca="false">M466+N466</f>
        <v>481.15</v>
      </c>
      <c r="W466" s="25" t="n">
        <f aca="false">O466-V466</f>
        <v>0</v>
      </c>
      <c r="X466" s="22" t="str">
        <f aca="false">IF(OR(ABS(S466)&gt;0.005,ABS(U466)&gt;0.005,ABS(W466)&gt;0.005),"Subledger arithmetic error","OK")</f>
        <v>OK</v>
      </c>
      <c r="Y466" s="22" t="str">
        <f aca="false">IF(X466="OK","","Priority 3")</f>
        <v/>
      </c>
    </row>
    <row r="467" customFormat="false" ht="15" hidden="false" customHeight="false" outlineLevel="0" collapsed="false">
      <c r="A467" s="22" t="s">
        <v>12337</v>
      </c>
      <c r="B467" s="23" t="n">
        <v>46235</v>
      </c>
      <c r="C467" s="22" t="s">
        <v>12338</v>
      </c>
      <c r="D467" s="22" t="s">
        <v>2598</v>
      </c>
      <c r="E467" s="22" t="s">
        <v>7689</v>
      </c>
      <c r="F467" s="22" t="s">
        <v>159</v>
      </c>
      <c r="G467" s="22" t="s">
        <v>8601</v>
      </c>
      <c r="H467" s="22" t="s">
        <v>11406</v>
      </c>
      <c r="I467" s="22" t="n">
        <v>57</v>
      </c>
      <c r="J467" s="22" t="n">
        <v>1</v>
      </c>
      <c r="K467" s="22" t="n">
        <v>57</v>
      </c>
      <c r="L467" s="25" t="n">
        <v>10.4</v>
      </c>
      <c r="M467" s="25" t="n">
        <v>592.8</v>
      </c>
      <c r="N467" s="25" t="n">
        <v>76.12</v>
      </c>
      <c r="O467" s="25" t="n">
        <v>668.92</v>
      </c>
      <c r="P467" s="22" t="s">
        <v>11407</v>
      </c>
      <c r="Q467" s="23" t="n">
        <v>46249</v>
      </c>
      <c r="R467" s="22" t="n">
        <f aca="false">I467*J467</f>
        <v>57</v>
      </c>
      <c r="S467" s="25" t="n">
        <f aca="false">K467-R467</f>
        <v>0</v>
      </c>
      <c r="T467" s="25" t="n">
        <f aca="false">K467*L467</f>
        <v>592.8</v>
      </c>
      <c r="U467" s="25" t="n">
        <f aca="false">M467-T467</f>
        <v>0</v>
      </c>
      <c r="V467" s="25" t="n">
        <f aca="false">M467+N467</f>
        <v>668.92</v>
      </c>
      <c r="W467" s="25" t="n">
        <f aca="false">O467-V467</f>
        <v>0</v>
      </c>
      <c r="X467" s="22" t="str">
        <f aca="false">IF(OR(ABS(S467)&gt;0.005,ABS(U467)&gt;0.005,ABS(W467)&gt;0.005),"Subledger arithmetic error","OK")</f>
        <v>OK</v>
      </c>
      <c r="Y467" s="22" t="str">
        <f aca="false">IF(X467="OK","","Priority 3")</f>
        <v/>
      </c>
    </row>
    <row r="468" customFormat="false" ht="15" hidden="false" customHeight="false" outlineLevel="0" collapsed="false">
      <c r="A468" s="22" t="s">
        <v>12339</v>
      </c>
      <c r="B468" s="23" t="n">
        <v>46235</v>
      </c>
      <c r="C468" s="22" t="s">
        <v>12340</v>
      </c>
      <c r="D468" s="22" t="s">
        <v>1419</v>
      </c>
      <c r="E468" s="22" t="s">
        <v>7691</v>
      </c>
      <c r="F468" s="22" t="s">
        <v>159</v>
      </c>
      <c r="G468" s="22" t="s">
        <v>8601</v>
      </c>
      <c r="H468" s="22" t="s">
        <v>11406</v>
      </c>
      <c r="I468" s="22" t="n">
        <v>30</v>
      </c>
      <c r="J468" s="22" t="n">
        <v>1</v>
      </c>
      <c r="K468" s="22" t="n">
        <v>30</v>
      </c>
      <c r="L468" s="25" t="n">
        <v>10.4</v>
      </c>
      <c r="M468" s="25" t="n">
        <v>312</v>
      </c>
      <c r="N468" s="25" t="n">
        <v>40.06</v>
      </c>
      <c r="O468" s="25" t="n">
        <v>352.06</v>
      </c>
      <c r="P468" s="22" t="s">
        <v>11407</v>
      </c>
      <c r="Q468" s="23" t="n">
        <v>46249</v>
      </c>
      <c r="R468" s="22" t="n">
        <f aca="false">I468*J468</f>
        <v>30</v>
      </c>
      <c r="S468" s="25" t="n">
        <f aca="false">K468-R468</f>
        <v>0</v>
      </c>
      <c r="T468" s="25" t="n">
        <f aca="false">K468*L468</f>
        <v>312</v>
      </c>
      <c r="U468" s="25" t="n">
        <f aca="false">M468-T468</f>
        <v>0</v>
      </c>
      <c r="V468" s="25" t="n">
        <f aca="false">M468+N468</f>
        <v>352.06</v>
      </c>
      <c r="W468" s="25" t="n">
        <f aca="false">O468-V468</f>
        <v>0</v>
      </c>
      <c r="X468" s="22" t="str">
        <f aca="false">IF(OR(ABS(S468)&gt;0.005,ABS(U468)&gt;0.005,ABS(W468)&gt;0.005),"Subledger arithmetic error","OK")</f>
        <v>OK</v>
      </c>
      <c r="Y468" s="22" t="str">
        <f aca="false">IF(X468="OK","","Priority 3")</f>
        <v/>
      </c>
    </row>
    <row r="469" customFormat="false" ht="15" hidden="false" customHeight="false" outlineLevel="0" collapsed="false">
      <c r="A469" s="22" t="s">
        <v>12341</v>
      </c>
      <c r="B469" s="23" t="n">
        <v>46235</v>
      </c>
      <c r="C469" s="22" t="s">
        <v>12342</v>
      </c>
      <c r="D469" s="22" t="s">
        <v>3636</v>
      </c>
      <c r="E469" s="22" t="s">
        <v>7692</v>
      </c>
      <c r="F469" s="22" t="s">
        <v>159</v>
      </c>
      <c r="G469" s="22" t="s">
        <v>8601</v>
      </c>
      <c r="H469" s="22" t="s">
        <v>11406</v>
      </c>
      <c r="I469" s="22" t="n">
        <v>56</v>
      </c>
      <c r="J469" s="22" t="n">
        <v>1</v>
      </c>
      <c r="K469" s="22" t="n">
        <v>56</v>
      </c>
      <c r="L469" s="25" t="n">
        <v>10.4</v>
      </c>
      <c r="M469" s="25" t="n">
        <v>582.4</v>
      </c>
      <c r="N469" s="25" t="n">
        <v>74.78</v>
      </c>
      <c r="O469" s="25" t="n">
        <v>657.18</v>
      </c>
      <c r="P469" s="22" t="s">
        <v>11407</v>
      </c>
      <c r="Q469" s="23" t="n">
        <v>46249</v>
      </c>
      <c r="R469" s="22" t="n">
        <f aca="false">I469*J469</f>
        <v>56</v>
      </c>
      <c r="S469" s="25" t="n">
        <f aca="false">K469-R469</f>
        <v>0</v>
      </c>
      <c r="T469" s="25" t="n">
        <f aca="false">K469*L469</f>
        <v>582.4</v>
      </c>
      <c r="U469" s="25" t="n">
        <f aca="false">M469-T469</f>
        <v>0</v>
      </c>
      <c r="V469" s="25" t="n">
        <f aca="false">M469+N469</f>
        <v>657.18</v>
      </c>
      <c r="W469" s="25" t="n">
        <f aca="false">O469-V469</f>
        <v>0</v>
      </c>
      <c r="X469" s="22" t="str">
        <f aca="false">IF(OR(ABS(S469)&gt;0.005,ABS(U469)&gt;0.005,ABS(W469)&gt;0.005),"Subledger arithmetic error","OK")</f>
        <v>OK</v>
      </c>
      <c r="Y469" s="22" t="str">
        <f aca="false">IF(X469="OK","","Priority 3")</f>
        <v/>
      </c>
    </row>
    <row r="470" customFormat="false" ht="15" hidden="false" customHeight="false" outlineLevel="0" collapsed="false">
      <c r="A470" s="22" t="s">
        <v>12343</v>
      </c>
      <c r="B470" s="23" t="n">
        <v>46235</v>
      </c>
      <c r="C470" s="22" t="s">
        <v>12344</v>
      </c>
      <c r="D470" s="22" t="s">
        <v>1292</v>
      </c>
      <c r="E470" s="22" t="s">
        <v>7693</v>
      </c>
      <c r="F470" s="22" t="s">
        <v>215</v>
      </c>
      <c r="G470" s="22" t="s">
        <v>8601</v>
      </c>
      <c r="H470" s="22" t="s">
        <v>11406</v>
      </c>
      <c r="I470" s="22" t="n">
        <v>80</v>
      </c>
      <c r="J470" s="22" t="n">
        <v>1</v>
      </c>
      <c r="K470" s="22" t="n">
        <v>80</v>
      </c>
      <c r="L470" s="25" t="n">
        <v>7.55</v>
      </c>
      <c r="M470" s="25" t="n">
        <v>604</v>
      </c>
      <c r="N470" s="25" t="n">
        <v>77.55</v>
      </c>
      <c r="O470" s="25" t="n">
        <v>681.55</v>
      </c>
      <c r="P470" s="22" t="s">
        <v>11407</v>
      </c>
      <c r="Q470" s="23" t="n">
        <v>46249</v>
      </c>
      <c r="R470" s="22" t="n">
        <f aca="false">I470*J470</f>
        <v>80</v>
      </c>
      <c r="S470" s="25" t="n">
        <f aca="false">K470-R470</f>
        <v>0</v>
      </c>
      <c r="T470" s="25" t="n">
        <f aca="false">K470*L470</f>
        <v>604</v>
      </c>
      <c r="U470" s="25" t="n">
        <f aca="false">M470-T470</f>
        <v>0</v>
      </c>
      <c r="V470" s="25" t="n">
        <f aca="false">M470+N470</f>
        <v>681.55</v>
      </c>
      <c r="W470" s="25" t="n">
        <f aca="false">O470-V470</f>
        <v>0</v>
      </c>
      <c r="X470" s="22" t="str">
        <f aca="false">IF(OR(ABS(S470)&gt;0.005,ABS(U470)&gt;0.005,ABS(W470)&gt;0.005),"Subledger arithmetic error","OK")</f>
        <v>OK</v>
      </c>
      <c r="Y470" s="22" t="str">
        <f aca="false">IF(X470="OK","","Priority 3")</f>
        <v/>
      </c>
    </row>
    <row r="471" customFormat="false" ht="15" hidden="false" customHeight="false" outlineLevel="0" collapsed="false">
      <c r="A471" s="22" t="s">
        <v>12345</v>
      </c>
      <c r="B471" s="23" t="n">
        <v>46235</v>
      </c>
      <c r="C471" s="22" t="s">
        <v>12346</v>
      </c>
      <c r="D471" s="22" t="s">
        <v>6073</v>
      </c>
      <c r="E471" s="22" t="s">
        <v>7698</v>
      </c>
      <c r="F471" s="22" t="s">
        <v>215</v>
      </c>
      <c r="G471" s="22" t="s">
        <v>8601</v>
      </c>
      <c r="H471" s="22" t="s">
        <v>11406</v>
      </c>
      <c r="I471" s="22" t="n">
        <v>56</v>
      </c>
      <c r="J471" s="22" t="n">
        <v>1</v>
      </c>
      <c r="K471" s="22" t="n">
        <v>56</v>
      </c>
      <c r="L471" s="25" t="n">
        <v>7.55</v>
      </c>
      <c r="M471" s="25" t="n">
        <v>422.8</v>
      </c>
      <c r="N471" s="25" t="n">
        <v>54.29</v>
      </c>
      <c r="O471" s="25" t="n">
        <v>477.09</v>
      </c>
      <c r="P471" s="22" t="s">
        <v>11407</v>
      </c>
      <c r="Q471" s="23" t="n">
        <v>46249</v>
      </c>
      <c r="R471" s="22" t="n">
        <f aca="false">I471*J471</f>
        <v>56</v>
      </c>
      <c r="S471" s="25" t="n">
        <f aca="false">K471-R471</f>
        <v>0</v>
      </c>
      <c r="T471" s="25" t="n">
        <f aca="false">K471*L471</f>
        <v>422.8</v>
      </c>
      <c r="U471" s="25" t="n">
        <f aca="false">M471-T471</f>
        <v>0</v>
      </c>
      <c r="V471" s="25" t="n">
        <f aca="false">M471+N471</f>
        <v>477.09</v>
      </c>
      <c r="W471" s="25" t="n">
        <f aca="false">O471-V471</f>
        <v>0</v>
      </c>
      <c r="X471" s="22" t="str">
        <f aca="false">IF(OR(ABS(S471)&gt;0.005,ABS(U471)&gt;0.005,ABS(W471)&gt;0.005),"Subledger arithmetic error","OK")</f>
        <v>OK</v>
      </c>
      <c r="Y471" s="22" t="str">
        <f aca="false">IF(X471="OK","","Priority 3")</f>
        <v/>
      </c>
    </row>
    <row r="472" customFormat="false" ht="15" hidden="false" customHeight="false" outlineLevel="0" collapsed="false">
      <c r="A472" s="22" t="s">
        <v>12347</v>
      </c>
      <c r="B472" s="23" t="n">
        <v>46235</v>
      </c>
      <c r="C472" s="22" t="s">
        <v>12348</v>
      </c>
      <c r="D472" s="22" t="s">
        <v>597</v>
      </c>
      <c r="E472" s="22" t="s">
        <v>7699</v>
      </c>
      <c r="F472" s="22" t="s">
        <v>215</v>
      </c>
      <c r="G472" s="22" t="s">
        <v>8601</v>
      </c>
      <c r="H472" s="22" t="s">
        <v>11406</v>
      </c>
      <c r="I472" s="22" t="n">
        <v>43</v>
      </c>
      <c r="J472" s="22" t="n">
        <v>1</v>
      </c>
      <c r="K472" s="22" t="n">
        <v>43</v>
      </c>
      <c r="L472" s="25" t="n">
        <v>7.55</v>
      </c>
      <c r="M472" s="25" t="n">
        <v>324.65</v>
      </c>
      <c r="N472" s="25" t="n">
        <v>41.69</v>
      </c>
      <c r="O472" s="25" t="n">
        <v>366.34</v>
      </c>
      <c r="P472" s="22" t="s">
        <v>11407</v>
      </c>
      <c r="Q472" s="23" t="n">
        <v>46249</v>
      </c>
      <c r="R472" s="22" t="n">
        <f aca="false">I472*J472</f>
        <v>43</v>
      </c>
      <c r="S472" s="25" t="n">
        <f aca="false">K472-R472</f>
        <v>0</v>
      </c>
      <c r="T472" s="25" t="n">
        <f aca="false">K472*L472</f>
        <v>324.65</v>
      </c>
      <c r="U472" s="25" t="n">
        <f aca="false">M472-T472</f>
        <v>0</v>
      </c>
      <c r="V472" s="25" t="n">
        <f aca="false">M472+N472</f>
        <v>366.34</v>
      </c>
      <c r="W472" s="25" t="n">
        <f aca="false">O472-V472</f>
        <v>0</v>
      </c>
      <c r="X472" s="22" t="str">
        <f aca="false">IF(OR(ABS(S472)&gt;0.005,ABS(U472)&gt;0.005,ABS(W472)&gt;0.005),"Subledger arithmetic error","OK")</f>
        <v>OK</v>
      </c>
      <c r="Y472" s="22" t="str">
        <f aca="false">IF(X472="OK","","Priority 3")</f>
        <v/>
      </c>
    </row>
    <row r="473" customFormat="false" ht="15" hidden="false" customHeight="false" outlineLevel="0" collapsed="false">
      <c r="A473" s="22" t="s">
        <v>12349</v>
      </c>
      <c r="B473" s="23" t="n">
        <v>46235</v>
      </c>
      <c r="C473" s="22" t="s">
        <v>12350</v>
      </c>
      <c r="D473" s="22" t="s">
        <v>5223</v>
      </c>
      <c r="E473" s="22" t="s">
        <v>7701</v>
      </c>
      <c r="F473" s="22" t="s">
        <v>215</v>
      </c>
      <c r="G473" s="22" t="s">
        <v>8601</v>
      </c>
      <c r="H473" s="22" t="s">
        <v>11406</v>
      </c>
      <c r="I473" s="22" t="n">
        <v>61</v>
      </c>
      <c r="J473" s="22" t="n">
        <v>1</v>
      </c>
      <c r="K473" s="22" t="n">
        <v>61</v>
      </c>
      <c r="L473" s="25" t="n">
        <v>7.55</v>
      </c>
      <c r="M473" s="25" t="n">
        <v>460.55</v>
      </c>
      <c r="N473" s="25" t="n">
        <v>59.13</v>
      </c>
      <c r="O473" s="25" t="n">
        <v>519.68</v>
      </c>
      <c r="P473" s="22" t="s">
        <v>11410</v>
      </c>
      <c r="Q473" s="23" t="n">
        <v>46249</v>
      </c>
      <c r="R473" s="22" t="n">
        <f aca="false">I473*J473</f>
        <v>61</v>
      </c>
      <c r="S473" s="25" t="n">
        <f aca="false">K473-R473</f>
        <v>0</v>
      </c>
      <c r="T473" s="25" t="n">
        <f aca="false">K473*L473</f>
        <v>460.55</v>
      </c>
      <c r="U473" s="25" t="n">
        <f aca="false">M473-T473</f>
        <v>0</v>
      </c>
      <c r="V473" s="25" t="n">
        <f aca="false">M473+N473</f>
        <v>519.68</v>
      </c>
      <c r="W473" s="25" t="n">
        <f aca="false">O473-V473</f>
        <v>0</v>
      </c>
      <c r="X473" s="22" t="str">
        <f aca="false">IF(OR(ABS(S473)&gt;0.005,ABS(U473)&gt;0.005,ABS(W473)&gt;0.005),"Subledger arithmetic error","OK")</f>
        <v>OK</v>
      </c>
      <c r="Y473" s="22" t="str">
        <f aca="false">IF(X473="OK","","Priority 3")</f>
        <v/>
      </c>
    </row>
    <row r="474" customFormat="false" ht="15" hidden="false" customHeight="false" outlineLevel="0" collapsed="false">
      <c r="A474" s="22" t="s">
        <v>12351</v>
      </c>
      <c r="B474" s="23" t="n">
        <v>46235</v>
      </c>
      <c r="C474" s="22" t="s">
        <v>12352</v>
      </c>
      <c r="D474" s="22" t="s">
        <v>5497</v>
      </c>
      <c r="E474" s="22" t="s">
        <v>7703</v>
      </c>
      <c r="F474" s="22" t="s">
        <v>215</v>
      </c>
      <c r="G474" s="22" t="s">
        <v>8601</v>
      </c>
      <c r="H474" s="22" t="s">
        <v>11406</v>
      </c>
      <c r="I474" s="22" t="n">
        <v>48</v>
      </c>
      <c r="J474" s="22" t="n">
        <v>1</v>
      </c>
      <c r="K474" s="22" t="n">
        <v>48</v>
      </c>
      <c r="L474" s="25" t="n">
        <v>7.55</v>
      </c>
      <c r="M474" s="25" t="n">
        <v>362.4</v>
      </c>
      <c r="N474" s="25" t="n">
        <v>46.53</v>
      </c>
      <c r="O474" s="25" t="n">
        <v>408.93</v>
      </c>
      <c r="P474" s="22" t="s">
        <v>11407</v>
      </c>
      <c r="Q474" s="23" t="n">
        <v>46249</v>
      </c>
      <c r="R474" s="22" t="n">
        <f aca="false">I474*J474</f>
        <v>48</v>
      </c>
      <c r="S474" s="25" t="n">
        <f aca="false">K474-R474</f>
        <v>0</v>
      </c>
      <c r="T474" s="25" t="n">
        <f aca="false">K474*L474</f>
        <v>362.4</v>
      </c>
      <c r="U474" s="25" t="n">
        <f aca="false">M474-T474</f>
        <v>0</v>
      </c>
      <c r="V474" s="25" t="n">
        <f aca="false">M474+N474</f>
        <v>408.93</v>
      </c>
      <c r="W474" s="25" t="n">
        <f aca="false">O474-V474</f>
        <v>0</v>
      </c>
      <c r="X474" s="22" t="str">
        <f aca="false">IF(OR(ABS(S474)&gt;0.005,ABS(U474)&gt;0.005,ABS(W474)&gt;0.005),"Subledger arithmetic error","OK")</f>
        <v>OK</v>
      </c>
      <c r="Y474" s="22" t="str">
        <f aca="false">IF(X474="OK","","Priority 3")</f>
        <v/>
      </c>
    </row>
    <row r="475" customFormat="false" ht="15" hidden="false" customHeight="false" outlineLevel="0" collapsed="false">
      <c r="A475" s="22" t="s">
        <v>12353</v>
      </c>
      <c r="B475" s="23" t="n">
        <v>46235</v>
      </c>
      <c r="C475" s="22" t="s">
        <v>12354</v>
      </c>
      <c r="D475" s="22" t="s">
        <v>1176</v>
      </c>
      <c r="E475" s="22" t="s">
        <v>7706</v>
      </c>
      <c r="F475" s="22" t="s">
        <v>215</v>
      </c>
      <c r="G475" s="22" t="s">
        <v>8601</v>
      </c>
      <c r="H475" s="22" t="s">
        <v>11406</v>
      </c>
      <c r="I475" s="22" t="n">
        <v>28</v>
      </c>
      <c r="J475" s="22" t="n">
        <v>1</v>
      </c>
      <c r="K475" s="22" t="n">
        <v>28</v>
      </c>
      <c r="L475" s="25" t="n">
        <v>7.55</v>
      </c>
      <c r="M475" s="25" t="n">
        <v>211.4</v>
      </c>
      <c r="N475" s="25" t="n">
        <v>27.14</v>
      </c>
      <c r="O475" s="25" t="n">
        <v>238.54</v>
      </c>
      <c r="P475" s="22" t="s">
        <v>11407</v>
      </c>
      <c r="Q475" s="23" t="n">
        <v>46249</v>
      </c>
      <c r="R475" s="22" t="n">
        <f aca="false">I475*J475</f>
        <v>28</v>
      </c>
      <c r="S475" s="25" t="n">
        <f aca="false">K475-R475</f>
        <v>0</v>
      </c>
      <c r="T475" s="25" t="n">
        <f aca="false">K475*L475</f>
        <v>211.4</v>
      </c>
      <c r="U475" s="25" t="n">
        <f aca="false">M475-T475</f>
        <v>0</v>
      </c>
      <c r="V475" s="25" t="n">
        <f aca="false">M475+N475</f>
        <v>238.54</v>
      </c>
      <c r="W475" s="25" t="n">
        <f aca="false">O475-V475</f>
        <v>0</v>
      </c>
      <c r="X475" s="22" t="str">
        <f aca="false">IF(OR(ABS(S475)&gt;0.005,ABS(U475)&gt;0.005,ABS(W475)&gt;0.005),"Subledger arithmetic error","OK")</f>
        <v>OK</v>
      </c>
      <c r="Y475" s="22" t="str">
        <f aca="false">IF(X475="OK","","Priority 3")</f>
        <v/>
      </c>
    </row>
    <row r="476" customFormat="false" ht="15" hidden="false" customHeight="false" outlineLevel="0" collapsed="false">
      <c r="A476" s="22" t="s">
        <v>12355</v>
      </c>
      <c r="B476" s="23" t="n">
        <v>46235</v>
      </c>
      <c r="C476" s="22" t="s">
        <v>12356</v>
      </c>
      <c r="D476" s="22" t="s">
        <v>2796</v>
      </c>
      <c r="E476" s="22" t="s">
        <v>7708</v>
      </c>
      <c r="F476" s="22" t="s">
        <v>215</v>
      </c>
      <c r="G476" s="22" t="s">
        <v>8601</v>
      </c>
      <c r="H476" s="22" t="s">
        <v>11406</v>
      </c>
      <c r="I476" s="22" t="n">
        <v>60</v>
      </c>
      <c r="J476" s="22" t="n">
        <v>1</v>
      </c>
      <c r="K476" s="22" t="n">
        <v>60</v>
      </c>
      <c r="L476" s="25" t="n">
        <v>7.55</v>
      </c>
      <c r="M476" s="25" t="n">
        <v>453</v>
      </c>
      <c r="N476" s="25" t="n">
        <v>58.17</v>
      </c>
      <c r="O476" s="25" t="n">
        <v>511.17</v>
      </c>
      <c r="P476" s="22" t="s">
        <v>11407</v>
      </c>
      <c r="Q476" s="23" t="n">
        <v>46249</v>
      </c>
      <c r="R476" s="22" t="n">
        <f aca="false">I476*J476</f>
        <v>60</v>
      </c>
      <c r="S476" s="25" t="n">
        <f aca="false">K476-R476</f>
        <v>0</v>
      </c>
      <c r="T476" s="25" t="n">
        <f aca="false">K476*L476</f>
        <v>453</v>
      </c>
      <c r="U476" s="25" t="n">
        <f aca="false">M476-T476</f>
        <v>0</v>
      </c>
      <c r="V476" s="25" t="n">
        <f aca="false">M476+N476</f>
        <v>511.17</v>
      </c>
      <c r="W476" s="25" t="n">
        <f aca="false">O476-V476</f>
        <v>0</v>
      </c>
      <c r="X476" s="22" t="str">
        <f aca="false">IF(OR(ABS(S476)&gt;0.005,ABS(U476)&gt;0.005,ABS(W476)&gt;0.005),"Subledger arithmetic error","OK")</f>
        <v>OK</v>
      </c>
      <c r="Y476" s="22" t="str">
        <f aca="false">IF(X476="OK","","Priority 3")</f>
        <v/>
      </c>
    </row>
    <row r="477" customFormat="false" ht="15" hidden="false" customHeight="false" outlineLevel="0" collapsed="false">
      <c r="A477" s="22" t="s">
        <v>12357</v>
      </c>
      <c r="B477" s="23" t="n">
        <v>46235</v>
      </c>
      <c r="C477" s="22" t="s">
        <v>12358</v>
      </c>
      <c r="D477" s="22" t="s">
        <v>5987</v>
      </c>
      <c r="E477" s="22" t="s">
        <v>7709</v>
      </c>
      <c r="F477" s="22" t="s">
        <v>215</v>
      </c>
      <c r="G477" s="22" t="s">
        <v>8601</v>
      </c>
      <c r="H477" s="22" t="s">
        <v>11406</v>
      </c>
      <c r="I477" s="22" t="n">
        <v>60</v>
      </c>
      <c r="J477" s="22" t="n">
        <v>1</v>
      </c>
      <c r="K477" s="22" t="n">
        <v>60</v>
      </c>
      <c r="L477" s="25" t="n">
        <v>7.55</v>
      </c>
      <c r="M477" s="25" t="n">
        <v>453</v>
      </c>
      <c r="N477" s="25" t="n">
        <v>58.17</v>
      </c>
      <c r="O477" s="25" t="n">
        <v>511.17</v>
      </c>
      <c r="P477" s="22" t="s">
        <v>11407</v>
      </c>
      <c r="Q477" s="23" t="n">
        <v>46249</v>
      </c>
      <c r="R477" s="22" t="n">
        <f aca="false">I477*J477</f>
        <v>60</v>
      </c>
      <c r="S477" s="25" t="n">
        <f aca="false">K477-R477</f>
        <v>0</v>
      </c>
      <c r="T477" s="25" t="n">
        <f aca="false">K477*L477</f>
        <v>453</v>
      </c>
      <c r="U477" s="25" t="n">
        <f aca="false">M477-T477</f>
        <v>0</v>
      </c>
      <c r="V477" s="25" t="n">
        <f aca="false">M477+N477</f>
        <v>511.17</v>
      </c>
      <c r="W477" s="25" t="n">
        <f aca="false">O477-V477</f>
        <v>0</v>
      </c>
      <c r="X477" s="22" t="str">
        <f aca="false">IF(OR(ABS(S477)&gt;0.005,ABS(U477)&gt;0.005,ABS(W477)&gt;0.005),"Subledger arithmetic error","OK")</f>
        <v>OK</v>
      </c>
      <c r="Y477" s="22" t="str">
        <f aca="false">IF(X477="OK","","Priority 3")</f>
        <v/>
      </c>
    </row>
    <row r="478" customFormat="false" ht="15" hidden="false" customHeight="false" outlineLevel="0" collapsed="false">
      <c r="A478" s="22" t="s">
        <v>12359</v>
      </c>
      <c r="B478" s="23" t="n">
        <v>46235</v>
      </c>
      <c r="C478" s="22" t="s">
        <v>12360</v>
      </c>
      <c r="D478" s="22" t="s">
        <v>2268</v>
      </c>
      <c r="E478" s="22" t="s">
        <v>7710</v>
      </c>
      <c r="F478" s="22" t="s">
        <v>215</v>
      </c>
      <c r="G478" s="22" t="s">
        <v>8601</v>
      </c>
      <c r="H478" s="22" t="s">
        <v>11406</v>
      </c>
      <c r="I478" s="22" t="n">
        <v>37</v>
      </c>
      <c r="J478" s="22" t="n">
        <v>1</v>
      </c>
      <c r="K478" s="22" t="n">
        <v>37</v>
      </c>
      <c r="L478" s="25" t="n">
        <v>7.55</v>
      </c>
      <c r="M478" s="25" t="n">
        <v>279.35</v>
      </c>
      <c r="N478" s="25" t="n">
        <v>35.87</v>
      </c>
      <c r="O478" s="25" t="n">
        <v>315.22</v>
      </c>
      <c r="P478" s="22" t="s">
        <v>11407</v>
      </c>
      <c r="Q478" s="23" t="n">
        <v>46249</v>
      </c>
      <c r="R478" s="22" t="n">
        <f aca="false">I478*J478</f>
        <v>37</v>
      </c>
      <c r="S478" s="25" t="n">
        <f aca="false">K478-R478</f>
        <v>0</v>
      </c>
      <c r="T478" s="25" t="n">
        <f aca="false">K478*L478</f>
        <v>279.35</v>
      </c>
      <c r="U478" s="25" t="n">
        <f aca="false">M478-T478</f>
        <v>0</v>
      </c>
      <c r="V478" s="25" t="n">
        <f aca="false">M478+N478</f>
        <v>315.22</v>
      </c>
      <c r="W478" s="25" t="n">
        <f aca="false">O478-V478</f>
        <v>0</v>
      </c>
      <c r="X478" s="22" t="str">
        <f aca="false">IF(OR(ABS(S478)&gt;0.005,ABS(U478)&gt;0.005,ABS(W478)&gt;0.005),"Subledger arithmetic error","OK")</f>
        <v>OK</v>
      </c>
      <c r="Y478" s="22" t="str">
        <f aca="false">IF(X478="OK","","Priority 3")</f>
        <v/>
      </c>
    </row>
    <row r="479" customFormat="false" ht="15" hidden="false" customHeight="false" outlineLevel="0" collapsed="false">
      <c r="A479" s="22" t="s">
        <v>12361</v>
      </c>
      <c r="B479" s="23" t="n">
        <v>46235</v>
      </c>
      <c r="C479" s="22" t="s">
        <v>12362</v>
      </c>
      <c r="D479" s="22" t="s">
        <v>1778</v>
      </c>
      <c r="E479" s="22" t="s">
        <v>7711</v>
      </c>
      <c r="F479" s="22" t="s">
        <v>215</v>
      </c>
      <c r="G479" s="22" t="s">
        <v>8601</v>
      </c>
      <c r="H479" s="22" t="s">
        <v>11406</v>
      </c>
      <c r="I479" s="22" t="n">
        <v>44</v>
      </c>
      <c r="J479" s="22" t="n">
        <v>1</v>
      </c>
      <c r="K479" s="22" t="n">
        <v>44</v>
      </c>
      <c r="L479" s="25" t="n">
        <v>7.55</v>
      </c>
      <c r="M479" s="25" t="n">
        <v>332.2</v>
      </c>
      <c r="N479" s="25" t="n">
        <v>42.65</v>
      </c>
      <c r="O479" s="25" t="n">
        <v>374.85</v>
      </c>
      <c r="P479" s="22" t="s">
        <v>11407</v>
      </c>
      <c r="Q479" s="23" t="n">
        <v>46249</v>
      </c>
      <c r="R479" s="22" t="n">
        <f aca="false">I479*J479</f>
        <v>44</v>
      </c>
      <c r="S479" s="25" t="n">
        <f aca="false">K479-R479</f>
        <v>0</v>
      </c>
      <c r="T479" s="25" t="n">
        <f aca="false">K479*L479</f>
        <v>332.2</v>
      </c>
      <c r="U479" s="25" t="n">
        <f aca="false">M479-T479</f>
        <v>0</v>
      </c>
      <c r="V479" s="25" t="n">
        <f aca="false">M479+N479</f>
        <v>374.85</v>
      </c>
      <c r="W479" s="25" t="n">
        <f aca="false">O479-V479</f>
        <v>0</v>
      </c>
      <c r="X479" s="22" t="str">
        <f aca="false">IF(OR(ABS(S479)&gt;0.005,ABS(U479)&gt;0.005,ABS(W479)&gt;0.005),"Subledger arithmetic error","OK")</f>
        <v>OK</v>
      </c>
      <c r="Y479" s="22" t="str">
        <f aca="false">IF(X479="OK","","Priority 3")</f>
        <v/>
      </c>
    </row>
    <row r="480" customFormat="false" ht="15" hidden="false" customHeight="false" outlineLevel="0" collapsed="false">
      <c r="A480" s="22" t="s">
        <v>12363</v>
      </c>
      <c r="B480" s="23" t="n">
        <v>46235</v>
      </c>
      <c r="C480" s="22" t="s">
        <v>12364</v>
      </c>
      <c r="D480" s="22" t="s">
        <v>1577</v>
      </c>
      <c r="E480" s="22" t="s">
        <v>7713</v>
      </c>
      <c r="F480" s="22" t="s">
        <v>215</v>
      </c>
      <c r="G480" s="22" t="s">
        <v>8601</v>
      </c>
      <c r="H480" s="22" t="s">
        <v>11406</v>
      </c>
      <c r="I480" s="22" t="n">
        <v>70</v>
      </c>
      <c r="J480" s="22" t="n">
        <v>1</v>
      </c>
      <c r="K480" s="22" t="n">
        <v>70</v>
      </c>
      <c r="L480" s="25" t="n">
        <v>7.55</v>
      </c>
      <c r="M480" s="25" t="n">
        <v>528.5</v>
      </c>
      <c r="N480" s="25" t="n">
        <v>67.86</v>
      </c>
      <c r="O480" s="25" t="n">
        <v>596.36</v>
      </c>
      <c r="P480" s="22" t="s">
        <v>11407</v>
      </c>
      <c r="Q480" s="23" t="n">
        <v>46249</v>
      </c>
      <c r="R480" s="22" t="n">
        <f aca="false">I480*J480</f>
        <v>70</v>
      </c>
      <c r="S480" s="25" t="n">
        <f aca="false">K480-R480</f>
        <v>0</v>
      </c>
      <c r="T480" s="25" t="n">
        <f aca="false">K480*L480</f>
        <v>528.5</v>
      </c>
      <c r="U480" s="25" t="n">
        <f aca="false">M480-T480</f>
        <v>0</v>
      </c>
      <c r="V480" s="25" t="n">
        <f aca="false">M480+N480</f>
        <v>596.36</v>
      </c>
      <c r="W480" s="25" t="n">
        <f aca="false">O480-V480</f>
        <v>0</v>
      </c>
      <c r="X480" s="22" t="str">
        <f aca="false">IF(OR(ABS(S480)&gt;0.005,ABS(U480)&gt;0.005,ABS(W480)&gt;0.005),"Subledger arithmetic error","OK")</f>
        <v>OK</v>
      </c>
      <c r="Y480" s="22" t="str">
        <f aca="false">IF(X480="OK","","Priority 3")</f>
        <v/>
      </c>
    </row>
    <row r="481" customFormat="false" ht="15" hidden="false" customHeight="false" outlineLevel="0" collapsed="false">
      <c r="A481" s="22" t="s">
        <v>12365</v>
      </c>
      <c r="B481" s="23" t="n">
        <v>46235</v>
      </c>
      <c r="C481" s="22" t="s">
        <v>12366</v>
      </c>
      <c r="D481" s="22" t="s">
        <v>1454</v>
      </c>
      <c r="E481" s="22" t="s">
        <v>7714</v>
      </c>
      <c r="F481" s="22" t="s">
        <v>215</v>
      </c>
      <c r="G481" s="22" t="s">
        <v>8601</v>
      </c>
      <c r="H481" s="22" t="s">
        <v>11406</v>
      </c>
      <c r="I481" s="22" t="n">
        <v>62</v>
      </c>
      <c r="J481" s="22" t="n">
        <v>1</v>
      </c>
      <c r="K481" s="22" t="n">
        <v>62</v>
      </c>
      <c r="L481" s="25" t="n">
        <v>7.55</v>
      </c>
      <c r="M481" s="25" t="n">
        <v>468.1</v>
      </c>
      <c r="N481" s="25" t="n">
        <v>60.1</v>
      </c>
      <c r="O481" s="25" t="n">
        <v>528.2</v>
      </c>
      <c r="P481" s="22" t="s">
        <v>11407</v>
      </c>
      <c r="Q481" s="23" t="n">
        <v>46249</v>
      </c>
      <c r="R481" s="22" t="n">
        <f aca="false">I481*J481</f>
        <v>62</v>
      </c>
      <c r="S481" s="25" t="n">
        <f aca="false">K481-R481</f>
        <v>0</v>
      </c>
      <c r="T481" s="25" t="n">
        <f aca="false">K481*L481</f>
        <v>468.1</v>
      </c>
      <c r="U481" s="25" t="n">
        <f aca="false">M481-T481</f>
        <v>0</v>
      </c>
      <c r="V481" s="25" t="n">
        <f aca="false">M481+N481</f>
        <v>528.2</v>
      </c>
      <c r="W481" s="25" t="n">
        <f aca="false">O481-V481</f>
        <v>0</v>
      </c>
      <c r="X481" s="22" t="str">
        <f aca="false">IF(OR(ABS(S481)&gt;0.005,ABS(U481)&gt;0.005,ABS(W481)&gt;0.005),"Subledger arithmetic error","OK")</f>
        <v>OK</v>
      </c>
      <c r="Y481" s="22" t="str">
        <f aca="false">IF(X481="OK","","Priority 3")</f>
        <v/>
      </c>
    </row>
    <row r="482" customFormat="false" ht="15" hidden="false" customHeight="false" outlineLevel="0" collapsed="false">
      <c r="A482" s="22" t="s">
        <v>12367</v>
      </c>
      <c r="B482" s="23" t="n">
        <v>46235</v>
      </c>
      <c r="C482" s="22" t="s">
        <v>12368</v>
      </c>
      <c r="D482" s="22" t="s">
        <v>5418</v>
      </c>
      <c r="E482" s="22" t="s">
        <v>7716</v>
      </c>
      <c r="F482" s="22" t="s">
        <v>215</v>
      </c>
      <c r="G482" s="22" t="s">
        <v>8601</v>
      </c>
      <c r="H482" s="22" t="s">
        <v>11406</v>
      </c>
      <c r="I482" s="22" t="n">
        <v>42</v>
      </c>
      <c r="J482" s="22" t="n">
        <v>1</v>
      </c>
      <c r="K482" s="22" t="n">
        <v>42</v>
      </c>
      <c r="L482" s="25" t="n">
        <v>7.55</v>
      </c>
      <c r="M482" s="25" t="n">
        <v>317.1</v>
      </c>
      <c r="N482" s="25" t="n">
        <v>40.72</v>
      </c>
      <c r="O482" s="25" t="n">
        <v>357.82</v>
      </c>
      <c r="P482" s="22" t="s">
        <v>11407</v>
      </c>
      <c r="Q482" s="23" t="n">
        <v>46249</v>
      </c>
      <c r="R482" s="22" t="n">
        <f aca="false">I482*J482</f>
        <v>42</v>
      </c>
      <c r="S482" s="25" t="n">
        <f aca="false">K482-R482</f>
        <v>0</v>
      </c>
      <c r="T482" s="25" t="n">
        <f aca="false">K482*L482</f>
        <v>317.1</v>
      </c>
      <c r="U482" s="25" t="n">
        <f aca="false">M482-T482</f>
        <v>0</v>
      </c>
      <c r="V482" s="25" t="n">
        <f aca="false">M482+N482</f>
        <v>357.82</v>
      </c>
      <c r="W482" s="25" t="n">
        <f aca="false">O482-V482</f>
        <v>0</v>
      </c>
      <c r="X482" s="22" t="str">
        <f aca="false">IF(OR(ABS(S482)&gt;0.005,ABS(U482)&gt;0.005,ABS(W482)&gt;0.005),"Subledger arithmetic error","OK")</f>
        <v>OK</v>
      </c>
      <c r="Y482" s="22" t="str">
        <f aca="false">IF(X482="OK","","Priority 3")</f>
        <v/>
      </c>
    </row>
    <row r="483" customFormat="false" ht="15" hidden="false" customHeight="false" outlineLevel="0" collapsed="false">
      <c r="A483" s="22" t="s">
        <v>12369</v>
      </c>
      <c r="B483" s="23" t="n">
        <v>46235</v>
      </c>
      <c r="C483" s="22" t="s">
        <v>12370</v>
      </c>
      <c r="D483" s="22" t="s">
        <v>2218</v>
      </c>
      <c r="E483" s="22" t="s">
        <v>7718</v>
      </c>
      <c r="F483" s="22" t="s">
        <v>215</v>
      </c>
      <c r="G483" s="22" t="s">
        <v>8601</v>
      </c>
      <c r="H483" s="22" t="s">
        <v>11406</v>
      </c>
      <c r="I483" s="22" t="n">
        <v>39</v>
      </c>
      <c r="J483" s="22" t="n">
        <v>1</v>
      </c>
      <c r="K483" s="22" t="n">
        <v>39</v>
      </c>
      <c r="L483" s="25" t="n">
        <v>7.55</v>
      </c>
      <c r="M483" s="25" t="n">
        <v>294.45</v>
      </c>
      <c r="N483" s="25" t="n">
        <v>37.81</v>
      </c>
      <c r="O483" s="25" t="n">
        <v>332.26</v>
      </c>
      <c r="P483" s="22" t="s">
        <v>11407</v>
      </c>
      <c r="Q483" s="23" t="n">
        <v>46249</v>
      </c>
      <c r="R483" s="22" t="n">
        <f aca="false">I483*J483</f>
        <v>39</v>
      </c>
      <c r="S483" s="25" t="n">
        <f aca="false">K483-R483</f>
        <v>0</v>
      </c>
      <c r="T483" s="25" t="n">
        <f aca="false">K483*L483</f>
        <v>294.45</v>
      </c>
      <c r="U483" s="25" t="n">
        <f aca="false">M483-T483</f>
        <v>0</v>
      </c>
      <c r="V483" s="25" t="n">
        <f aca="false">M483+N483</f>
        <v>332.26</v>
      </c>
      <c r="W483" s="25" t="n">
        <f aca="false">O483-V483</f>
        <v>0</v>
      </c>
      <c r="X483" s="22" t="str">
        <f aca="false">IF(OR(ABS(S483)&gt;0.005,ABS(U483)&gt;0.005,ABS(W483)&gt;0.005),"Subledger arithmetic error","OK")</f>
        <v>OK</v>
      </c>
      <c r="Y483" s="22" t="str">
        <f aca="false">IF(X483="OK","","Priority 3")</f>
        <v/>
      </c>
    </row>
    <row r="484" customFormat="false" ht="15" hidden="false" customHeight="false" outlineLevel="0" collapsed="false">
      <c r="A484" s="22" t="s">
        <v>12371</v>
      </c>
      <c r="B484" s="23" t="n">
        <v>46235</v>
      </c>
      <c r="C484" s="22" t="s">
        <v>12372</v>
      </c>
      <c r="D484" s="22" t="s">
        <v>3827</v>
      </c>
      <c r="E484" s="22" t="s">
        <v>7719</v>
      </c>
      <c r="F484" s="22" t="s">
        <v>215</v>
      </c>
      <c r="G484" s="22" t="s">
        <v>8601</v>
      </c>
      <c r="H484" s="22" t="s">
        <v>11406</v>
      </c>
      <c r="I484" s="22" t="n">
        <v>32</v>
      </c>
      <c r="J484" s="22" t="n">
        <v>1</v>
      </c>
      <c r="K484" s="22" t="n">
        <v>32</v>
      </c>
      <c r="L484" s="25" t="n">
        <v>7.55</v>
      </c>
      <c r="M484" s="25" t="n">
        <v>241.6</v>
      </c>
      <c r="N484" s="25" t="n">
        <v>31.02</v>
      </c>
      <c r="O484" s="25" t="n">
        <v>272.62</v>
      </c>
      <c r="P484" s="22" t="s">
        <v>11407</v>
      </c>
      <c r="Q484" s="23" t="n">
        <v>46249</v>
      </c>
      <c r="R484" s="22" t="n">
        <f aca="false">I484*J484</f>
        <v>32</v>
      </c>
      <c r="S484" s="25" t="n">
        <f aca="false">K484-R484</f>
        <v>0</v>
      </c>
      <c r="T484" s="25" t="n">
        <f aca="false">K484*L484</f>
        <v>241.6</v>
      </c>
      <c r="U484" s="25" t="n">
        <f aca="false">M484-T484</f>
        <v>0</v>
      </c>
      <c r="V484" s="25" t="n">
        <f aca="false">M484+N484</f>
        <v>272.62</v>
      </c>
      <c r="W484" s="25" t="n">
        <f aca="false">O484-V484</f>
        <v>0</v>
      </c>
      <c r="X484" s="22" t="str">
        <f aca="false">IF(OR(ABS(S484)&gt;0.005,ABS(U484)&gt;0.005,ABS(W484)&gt;0.005),"Subledger arithmetic error","OK")</f>
        <v>OK</v>
      </c>
      <c r="Y484" s="22" t="str">
        <f aca="false">IF(X484="OK","","Priority 3")</f>
        <v/>
      </c>
    </row>
    <row r="485" customFormat="false" ht="15" hidden="false" customHeight="false" outlineLevel="0" collapsed="false">
      <c r="A485" s="22" t="s">
        <v>12373</v>
      </c>
      <c r="B485" s="23" t="n">
        <v>46235</v>
      </c>
      <c r="C485" s="22" t="s">
        <v>12374</v>
      </c>
      <c r="D485" s="22" t="s">
        <v>5683</v>
      </c>
      <c r="E485" s="22" t="s">
        <v>7723</v>
      </c>
      <c r="F485" s="22" t="s">
        <v>215</v>
      </c>
      <c r="G485" s="22" t="s">
        <v>8601</v>
      </c>
      <c r="H485" s="22" t="s">
        <v>11406</v>
      </c>
      <c r="I485" s="22" t="n">
        <v>49</v>
      </c>
      <c r="J485" s="22" t="n">
        <v>1</v>
      </c>
      <c r="K485" s="22" t="n">
        <v>49</v>
      </c>
      <c r="L485" s="25" t="n">
        <v>7.55</v>
      </c>
      <c r="M485" s="25" t="n">
        <v>369.95</v>
      </c>
      <c r="N485" s="25" t="n">
        <v>47.5</v>
      </c>
      <c r="O485" s="25" t="n">
        <v>417.45</v>
      </c>
      <c r="P485" s="22" t="s">
        <v>11410</v>
      </c>
      <c r="Q485" s="23" t="n">
        <v>46249</v>
      </c>
      <c r="R485" s="22" t="n">
        <f aca="false">I485*J485</f>
        <v>49</v>
      </c>
      <c r="S485" s="25" t="n">
        <f aca="false">K485-R485</f>
        <v>0</v>
      </c>
      <c r="T485" s="25" t="n">
        <f aca="false">K485*L485</f>
        <v>369.95</v>
      </c>
      <c r="U485" s="25" t="n">
        <f aca="false">M485-T485</f>
        <v>0</v>
      </c>
      <c r="V485" s="25" t="n">
        <f aca="false">M485+N485</f>
        <v>417.45</v>
      </c>
      <c r="W485" s="25" t="n">
        <f aca="false">O485-V485</f>
        <v>0</v>
      </c>
      <c r="X485" s="22" t="str">
        <f aca="false">IF(OR(ABS(S485)&gt;0.005,ABS(U485)&gt;0.005,ABS(W485)&gt;0.005),"Subledger arithmetic error","OK")</f>
        <v>OK</v>
      </c>
      <c r="Y485" s="22" t="str">
        <f aca="false">IF(X485="OK","","Priority 3")</f>
        <v/>
      </c>
    </row>
    <row r="486" customFormat="false" ht="15" hidden="false" customHeight="false" outlineLevel="0" collapsed="false">
      <c r="A486" s="22" t="s">
        <v>12375</v>
      </c>
      <c r="B486" s="23" t="n">
        <v>46235</v>
      </c>
      <c r="C486" s="22" t="s">
        <v>12376</v>
      </c>
      <c r="D486" s="22" t="s">
        <v>3539</v>
      </c>
      <c r="E486" s="22" t="s">
        <v>7724</v>
      </c>
      <c r="F486" s="22" t="s">
        <v>215</v>
      </c>
      <c r="G486" s="22" t="s">
        <v>8601</v>
      </c>
      <c r="H486" s="22" t="s">
        <v>11406</v>
      </c>
      <c r="I486" s="22" t="n">
        <v>49</v>
      </c>
      <c r="J486" s="22" t="n">
        <v>1</v>
      </c>
      <c r="K486" s="22" t="n">
        <v>49</v>
      </c>
      <c r="L486" s="25" t="n">
        <v>7.55</v>
      </c>
      <c r="M486" s="25" t="n">
        <v>369.95</v>
      </c>
      <c r="N486" s="25" t="n">
        <v>47.5</v>
      </c>
      <c r="O486" s="25" t="n">
        <v>417.45</v>
      </c>
      <c r="P486" s="22" t="s">
        <v>11407</v>
      </c>
      <c r="Q486" s="23" t="n">
        <v>46249</v>
      </c>
      <c r="R486" s="22" t="n">
        <f aca="false">I486*J486</f>
        <v>49</v>
      </c>
      <c r="S486" s="25" t="n">
        <f aca="false">K486-R486</f>
        <v>0</v>
      </c>
      <c r="T486" s="25" t="n">
        <f aca="false">K486*L486</f>
        <v>369.95</v>
      </c>
      <c r="U486" s="25" t="n">
        <f aca="false">M486-T486</f>
        <v>0</v>
      </c>
      <c r="V486" s="25" t="n">
        <f aca="false">M486+N486</f>
        <v>417.45</v>
      </c>
      <c r="W486" s="25" t="n">
        <f aca="false">O486-V486</f>
        <v>0</v>
      </c>
      <c r="X486" s="22" t="str">
        <f aca="false">IF(OR(ABS(S486)&gt;0.005,ABS(U486)&gt;0.005,ABS(W486)&gt;0.005),"Subledger arithmetic error","OK")</f>
        <v>OK</v>
      </c>
      <c r="Y486" s="22" t="str">
        <f aca="false">IF(X486="OK","","Priority 3")</f>
        <v/>
      </c>
    </row>
    <row r="487" customFormat="false" ht="15" hidden="false" customHeight="false" outlineLevel="0" collapsed="false">
      <c r="A487" s="22" t="s">
        <v>12377</v>
      </c>
      <c r="B487" s="23" t="n">
        <v>46235</v>
      </c>
      <c r="C487" s="22" t="s">
        <v>12378</v>
      </c>
      <c r="D487" s="22" t="s">
        <v>2968</v>
      </c>
      <c r="E487" s="22" t="s">
        <v>7725</v>
      </c>
      <c r="F487" s="22" t="s">
        <v>215</v>
      </c>
      <c r="G487" s="22" t="s">
        <v>8601</v>
      </c>
      <c r="H487" s="22" t="s">
        <v>11406</v>
      </c>
      <c r="I487" s="22" t="n">
        <v>80</v>
      </c>
      <c r="J487" s="22" t="n">
        <v>1</v>
      </c>
      <c r="K487" s="22" t="n">
        <v>80</v>
      </c>
      <c r="L487" s="25" t="n">
        <v>7.55</v>
      </c>
      <c r="M487" s="25" t="n">
        <v>604</v>
      </c>
      <c r="N487" s="25" t="n">
        <v>77.55</v>
      </c>
      <c r="O487" s="25" t="n">
        <v>681.55</v>
      </c>
      <c r="P487" s="22" t="s">
        <v>11407</v>
      </c>
      <c r="Q487" s="23" t="n">
        <v>46249</v>
      </c>
      <c r="R487" s="22" t="n">
        <f aca="false">I487*J487</f>
        <v>80</v>
      </c>
      <c r="S487" s="25" t="n">
        <f aca="false">K487-R487</f>
        <v>0</v>
      </c>
      <c r="T487" s="25" t="n">
        <f aca="false">K487*L487</f>
        <v>604</v>
      </c>
      <c r="U487" s="25" t="n">
        <f aca="false">M487-T487</f>
        <v>0</v>
      </c>
      <c r="V487" s="25" t="n">
        <f aca="false">M487+N487</f>
        <v>681.55</v>
      </c>
      <c r="W487" s="25" t="n">
        <f aca="false">O487-V487</f>
        <v>0</v>
      </c>
      <c r="X487" s="22" t="str">
        <f aca="false">IF(OR(ABS(S487)&gt;0.005,ABS(U487)&gt;0.005,ABS(W487)&gt;0.005),"Subledger arithmetic error","OK")</f>
        <v>OK</v>
      </c>
      <c r="Y487" s="22" t="str">
        <f aca="false">IF(X487="OK","","Priority 3")</f>
        <v/>
      </c>
    </row>
    <row r="488" customFormat="false" ht="15" hidden="false" customHeight="false" outlineLevel="0" collapsed="false">
      <c r="A488" s="22" t="s">
        <v>12379</v>
      </c>
      <c r="B488" s="23" t="n">
        <v>46235</v>
      </c>
      <c r="C488" s="22" t="s">
        <v>12380</v>
      </c>
      <c r="D488" s="22" t="s">
        <v>529</v>
      </c>
      <c r="E488" s="22" t="s">
        <v>7726</v>
      </c>
      <c r="F488" s="22" t="s">
        <v>215</v>
      </c>
      <c r="G488" s="22" t="s">
        <v>8601</v>
      </c>
      <c r="H488" s="22" t="s">
        <v>11406</v>
      </c>
      <c r="I488" s="22" t="n">
        <v>38</v>
      </c>
      <c r="J488" s="22" t="n">
        <v>1</v>
      </c>
      <c r="K488" s="22" t="n">
        <v>38</v>
      </c>
      <c r="L488" s="25" t="n">
        <v>7.55</v>
      </c>
      <c r="M488" s="25" t="n">
        <v>286.9</v>
      </c>
      <c r="N488" s="25" t="n">
        <v>36.84</v>
      </c>
      <c r="O488" s="25" t="n">
        <v>323.74</v>
      </c>
      <c r="P488" s="22" t="s">
        <v>11407</v>
      </c>
      <c r="Q488" s="23" t="n">
        <v>46249</v>
      </c>
      <c r="R488" s="22" t="n">
        <f aca="false">I488*J488</f>
        <v>38</v>
      </c>
      <c r="S488" s="25" t="n">
        <f aca="false">K488-R488</f>
        <v>0</v>
      </c>
      <c r="T488" s="25" t="n">
        <f aca="false">K488*L488</f>
        <v>286.9</v>
      </c>
      <c r="U488" s="25" t="n">
        <f aca="false">M488-T488</f>
        <v>0</v>
      </c>
      <c r="V488" s="25" t="n">
        <f aca="false">M488+N488</f>
        <v>323.74</v>
      </c>
      <c r="W488" s="25" t="n">
        <f aca="false">O488-V488</f>
        <v>0</v>
      </c>
      <c r="X488" s="22" t="str">
        <f aca="false">IF(OR(ABS(S488)&gt;0.005,ABS(U488)&gt;0.005,ABS(W488)&gt;0.005),"Subledger arithmetic error","OK")</f>
        <v>OK</v>
      </c>
      <c r="Y488" s="22" t="str">
        <f aca="false">IF(X488="OK","","Priority 3")</f>
        <v/>
      </c>
    </row>
    <row r="489" customFormat="false" ht="15" hidden="false" customHeight="false" outlineLevel="0" collapsed="false">
      <c r="A489" s="22" t="s">
        <v>12381</v>
      </c>
      <c r="B489" s="23" t="n">
        <v>46235</v>
      </c>
      <c r="C489" s="22" t="s">
        <v>12382</v>
      </c>
      <c r="D489" s="22" t="s">
        <v>6368</v>
      </c>
      <c r="E489" s="22" t="s">
        <v>7728</v>
      </c>
      <c r="F489" s="22" t="s">
        <v>215</v>
      </c>
      <c r="G489" s="22" t="s">
        <v>8601</v>
      </c>
      <c r="H489" s="22" t="s">
        <v>11406</v>
      </c>
      <c r="I489" s="22" t="n">
        <v>70</v>
      </c>
      <c r="J489" s="22" t="n">
        <v>1</v>
      </c>
      <c r="K489" s="22" t="n">
        <v>70</v>
      </c>
      <c r="L489" s="25" t="n">
        <v>7.55</v>
      </c>
      <c r="M489" s="25" t="n">
        <v>528.5</v>
      </c>
      <c r="N489" s="25" t="n">
        <v>67.86</v>
      </c>
      <c r="O489" s="25" t="n">
        <v>596.36</v>
      </c>
      <c r="P489" s="22" t="s">
        <v>11407</v>
      </c>
      <c r="Q489" s="23" t="n">
        <v>46249</v>
      </c>
      <c r="R489" s="22" t="n">
        <f aca="false">I489*J489</f>
        <v>70</v>
      </c>
      <c r="S489" s="25" t="n">
        <f aca="false">K489-R489</f>
        <v>0</v>
      </c>
      <c r="T489" s="25" t="n">
        <f aca="false">K489*L489</f>
        <v>528.5</v>
      </c>
      <c r="U489" s="25" t="n">
        <f aca="false">M489-T489</f>
        <v>0</v>
      </c>
      <c r="V489" s="25" t="n">
        <f aca="false">M489+N489</f>
        <v>596.36</v>
      </c>
      <c r="W489" s="25" t="n">
        <f aca="false">O489-V489</f>
        <v>0</v>
      </c>
      <c r="X489" s="22" t="str">
        <f aca="false">IF(OR(ABS(S489)&gt;0.005,ABS(U489)&gt;0.005,ABS(W489)&gt;0.005),"Subledger arithmetic error","OK")</f>
        <v>OK</v>
      </c>
      <c r="Y489" s="22" t="str">
        <f aca="false">IF(X489="OK","","Priority 3")</f>
        <v/>
      </c>
    </row>
    <row r="490" customFormat="false" ht="15" hidden="false" customHeight="false" outlineLevel="0" collapsed="false">
      <c r="A490" s="22" t="s">
        <v>12383</v>
      </c>
      <c r="B490" s="23" t="n">
        <v>46235</v>
      </c>
      <c r="C490" s="22" t="s">
        <v>12384</v>
      </c>
      <c r="D490" s="22" t="s">
        <v>5144</v>
      </c>
      <c r="E490" s="22" t="s">
        <v>7730</v>
      </c>
      <c r="F490" s="22" t="s">
        <v>215</v>
      </c>
      <c r="G490" s="22" t="s">
        <v>8601</v>
      </c>
      <c r="H490" s="22" t="s">
        <v>11406</v>
      </c>
      <c r="I490" s="22" t="n">
        <v>45</v>
      </c>
      <c r="J490" s="22" t="n">
        <v>1</v>
      </c>
      <c r="K490" s="22" t="n">
        <v>45</v>
      </c>
      <c r="L490" s="25" t="n">
        <v>7.55</v>
      </c>
      <c r="M490" s="25" t="n">
        <v>339.75</v>
      </c>
      <c r="N490" s="25" t="n">
        <v>43.62</v>
      </c>
      <c r="O490" s="25" t="n">
        <v>383.37</v>
      </c>
      <c r="P490" s="22" t="s">
        <v>11407</v>
      </c>
      <c r="Q490" s="23" t="n">
        <v>46249</v>
      </c>
      <c r="R490" s="22" t="n">
        <f aca="false">I490*J490</f>
        <v>45</v>
      </c>
      <c r="S490" s="25" t="n">
        <f aca="false">K490-R490</f>
        <v>0</v>
      </c>
      <c r="T490" s="25" t="n">
        <f aca="false">K490*L490</f>
        <v>339.75</v>
      </c>
      <c r="U490" s="25" t="n">
        <f aca="false">M490-T490</f>
        <v>0</v>
      </c>
      <c r="V490" s="25" t="n">
        <f aca="false">M490+N490</f>
        <v>383.37</v>
      </c>
      <c r="W490" s="25" t="n">
        <f aca="false">O490-V490</f>
        <v>0</v>
      </c>
      <c r="X490" s="22" t="str">
        <f aca="false">IF(OR(ABS(S490)&gt;0.005,ABS(U490)&gt;0.005,ABS(W490)&gt;0.005),"Subledger arithmetic error","OK")</f>
        <v>OK</v>
      </c>
      <c r="Y490" s="22" t="str">
        <f aca="false">IF(X490="OK","","Priority 3")</f>
        <v/>
      </c>
    </row>
    <row r="491" customFormat="false" ht="15" hidden="false" customHeight="false" outlineLevel="0" collapsed="false">
      <c r="A491" s="22" t="s">
        <v>12385</v>
      </c>
      <c r="B491" s="23" t="n">
        <v>46235</v>
      </c>
      <c r="C491" s="22" t="s">
        <v>12386</v>
      </c>
      <c r="D491" s="22" t="s">
        <v>5459</v>
      </c>
      <c r="E491" s="22" t="s">
        <v>7731</v>
      </c>
      <c r="F491" s="22" t="s">
        <v>215</v>
      </c>
      <c r="G491" s="22" t="s">
        <v>8601</v>
      </c>
      <c r="H491" s="22" t="s">
        <v>11406</v>
      </c>
      <c r="I491" s="22" t="n">
        <v>56</v>
      </c>
      <c r="J491" s="22" t="n">
        <v>1</v>
      </c>
      <c r="K491" s="22" t="n">
        <v>56</v>
      </c>
      <c r="L491" s="25" t="n">
        <v>7.55</v>
      </c>
      <c r="M491" s="25" t="n">
        <v>422.8</v>
      </c>
      <c r="N491" s="25" t="n">
        <v>54.29</v>
      </c>
      <c r="O491" s="25" t="n">
        <v>477.09</v>
      </c>
      <c r="P491" s="22" t="s">
        <v>11407</v>
      </c>
      <c r="Q491" s="23" t="n">
        <v>46249</v>
      </c>
      <c r="R491" s="22" t="n">
        <f aca="false">I491*J491</f>
        <v>56</v>
      </c>
      <c r="S491" s="25" t="n">
        <f aca="false">K491-R491</f>
        <v>0</v>
      </c>
      <c r="T491" s="25" t="n">
        <f aca="false">K491*L491</f>
        <v>422.8</v>
      </c>
      <c r="U491" s="25" t="n">
        <f aca="false">M491-T491</f>
        <v>0</v>
      </c>
      <c r="V491" s="25" t="n">
        <f aca="false">M491+N491</f>
        <v>477.09</v>
      </c>
      <c r="W491" s="25" t="n">
        <f aca="false">O491-V491</f>
        <v>0</v>
      </c>
      <c r="X491" s="22" t="str">
        <f aca="false">IF(OR(ABS(S491)&gt;0.005,ABS(U491)&gt;0.005,ABS(W491)&gt;0.005),"Subledger arithmetic error","OK")</f>
        <v>OK</v>
      </c>
      <c r="Y491" s="22" t="str">
        <f aca="false">IF(X491="OK","","Priority 3")</f>
        <v/>
      </c>
    </row>
    <row r="492" customFormat="false" ht="15" hidden="false" customHeight="false" outlineLevel="0" collapsed="false">
      <c r="A492" s="22" t="s">
        <v>12387</v>
      </c>
      <c r="B492" s="23" t="n">
        <v>46235</v>
      </c>
      <c r="C492" s="22" t="s">
        <v>12388</v>
      </c>
      <c r="D492" s="22" t="s">
        <v>4359</v>
      </c>
      <c r="E492" s="22" t="s">
        <v>7733</v>
      </c>
      <c r="F492" s="22" t="s">
        <v>215</v>
      </c>
      <c r="G492" s="22" t="s">
        <v>8601</v>
      </c>
      <c r="H492" s="22" t="s">
        <v>11406</v>
      </c>
      <c r="I492" s="22" t="n">
        <v>40</v>
      </c>
      <c r="J492" s="22" t="n">
        <v>1</v>
      </c>
      <c r="K492" s="22" t="n">
        <v>40</v>
      </c>
      <c r="L492" s="25" t="n">
        <v>7.55</v>
      </c>
      <c r="M492" s="25" t="n">
        <v>302</v>
      </c>
      <c r="N492" s="25" t="n">
        <v>38.78</v>
      </c>
      <c r="O492" s="25" t="n">
        <v>340.78</v>
      </c>
      <c r="P492" s="22" t="s">
        <v>11407</v>
      </c>
      <c r="Q492" s="23" t="n">
        <v>46249</v>
      </c>
      <c r="R492" s="22" t="n">
        <f aca="false">I492*J492</f>
        <v>40</v>
      </c>
      <c r="S492" s="25" t="n">
        <f aca="false">K492-R492</f>
        <v>0</v>
      </c>
      <c r="T492" s="25" t="n">
        <f aca="false">K492*L492</f>
        <v>302</v>
      </c>
      <c r="U492" s="25" t="n">
        <f aca="false">M492-T492</f>
        <v>0</v>
      </c>
      <c r="V492" s="25" t="n">
        <f aca="false">M492+N492</f>
        <v>340.78</v>
      </c>
      <c r="W492" s="25" t="n">
        <f aca="false">O492-V492</f>
        <v>0</v>
      </c>
      <c r="X492" s="22" t="str">
        <f aca="false">IF(OR(ABS(S492)&gt;0.005,ABS(U492)&gt;0.005,ABS(W492)&gt;0.005),"Subledger arithmetic error","OK")</f>
        <v>OK</v>
      </c>
      <c r="Y492" s="22" t="str">
        <f aca="false">IF(X492="OK","","Priority 3")</f>
        <v/>
      </c>
    </row>
    <row r="493" customFormat="false" ht="15" hidden="false" customHeight="false" outlineLevel="0" collapsed="false">
      <c r="A493" s="22" t="s">
        <v>12389</v>
      </c>
      <c r="B493" s="23" t="n">
        <v>46235</v>
      </c>
      <c r="C493" s="22" t="s">
        <v>12390</v>
      </c>
      <c r="D493" s="22" t="s">
        <v>5403</v>
      </c>
      <c r="E493" s="22" t="s">
        <v>7735</v>
      </c>
      <c r="F493" s="22" t="s">
        <v>215</v>
      </c>
      <c r="G493" s="22" t="s">
        <v>8601</v>
      </c>
      <c r="H493" s="22" t="s">
        <v>11406</v>
      </c>
      <c r="I493" s="22" t="n">
        <v>50</v>
      </c>
      <c r="J493" s="22" t="n">
        <v>1</v>
      </c>
      <c r="K493" s="22" t="n">
        <v>50</v>
      </c>
      <c r="L493" s="25" t="n">
        <v>7.55</v>
      </c>
      <c r="M493" s="25" t="n">
        <v>377.5</v>
      </c>
      <c r="N493" s="25" t="n">
        <v>48.47</v>
      </c>
      <c r="O493" s="25" t="n">
        <v>425.97</v>
      </c>
      <c r="P493" s="22" t="s">
        <v>11407</v>
      </c>
      <c r="Q493" s="23" t="n">
        <v>46249</v>
      </c>
      <c r="R493" s="22" t="n">
        <f aca="false">I493*J493</f>
        <v>50</v>
      </c>
      <c r="S493" s="25" t="n">
        <f aca="false">K493-R493</f>
        <v>0</v>
      </c>
      <c r="T493" s="25" t="n">
        <f aca="false">K493*L493</f>
        <v>377.5</v>
      </c>
      <c r="U493" s="25" t="n">
        <f aca="false">M493-T493</f>
        <v>0</v>
      </c>
      <c r="V493" s="25" t="n">
        <f aca="false">M493+N493</f>
        <v>425.97</v>
      </c>
      <c r="W493" s="25" t="n">
        <f aca="false">O493-V493</f>
        <v>0</v>
      </c>
      <c r="X493" s="22" t="str">
        <f aca="false">IF(OR(ABS(S493)&gt;0.005,ABS(U493)&gt;0.005,ABS(W493)&gt;0.005),"Subledger arithmetic error","OK")</f>
        <v>OK</v>
      </c>
      <c r="Y493" s="22" t="str">
        <f aca="false">IF(X493="OK","","Priority 3")</f>
        <v/>
      </c>
    </row>
    <row r="494" customFormat="false" ht="15" hidden="false" customHeight="false" outlineLevel="0" collapsed="false">
      <c r="A494" s="22" t="s">
        <v>12391</v>
      </c>
      <c r="B494" s="23" t="n">
        <v>46235</v>
      </c>
      <c r="C494" s="22" t="s">
        <v>12392</v>
      </c>
      <c r="D494" s="22" t="s">
        <v>4068</v>
      </c>
      <c r="E494" s="22" t="s">
        <v>7737</v>
      </c>
      <c r="F494" s="22" t="s">
        <v>215</v>
      </c>
      <c r="G494" s="22" t="s">
        <v>8601</v>
      </c>
      <c r="H494" s="22" t="s">
        <v>11406</v>
      </c>
      <c r="I494" s="22" t="n">
        <v>35</v>
      </c>
      <c r="J494" s="22" t="n">
        <v>1</v>
      </c>
      <c r="K494" s="22" t="n">
        <v>35</v>
      </c>
      <c r="L494" s="25" t="n">
        <v>7.55</v>
      </c>
      <c r="M494" s="25" t="n">
        <v>264.25</v>
      </c>
      <c r="N494" s="25" t="n">
        <v>33.93</v>
      </c>
      <c r="O494" s="25" t="n">
        <v>298.18</v>
      </c>
      <c r="P494" s="22" t="s">
        <v>11407</v>
      </c>
      <c r="Q494" s="23" t="n">
        <v>46249</v>
      </c>
      <c r="R494" s="22" t="n">
        <f aca="false">I494*J494</f>
        <v>35</v>
      </c>
      <c r="S494" s="25" t="n">
        <f aca="false">K494-R494</f>
        <v>0</v>
      </c>
      <c r="T494" s="25" t="n">
        <f aca="false">K494*L494</f>
        <v>264.25</v>
      </c>
      <c r="U494" s="25" t="n">
        <f aca="false">M494-T494</f>
        <v>0</v>
      </c>
      <c r="V494" s="25" t="n">
        <f aca="false">M494+N494</f>
        <v>298.18</v>
      </c>
      <c r="W494" s="25" t="n">
        <f aca="false">O494-V494</f>
        <v>0</v>
      </c>
      <c r="X494" s="22" t="str">
        <f aca="false">IF(OR(ABS(S494)&gt;0.005,ABS(U494)&gt;0.005,ABS(W494)&gt;0.005),"Subledger arithmetic error","OK")</f>
        <v>OK</v>
      </c>
      <c r="Y494" s="22" t="str">
        <f aca="false">IF(X494="OK","","Priority 3")</f>
        <v/>
      </c>
    </row>
    <row r="495" customFormat="false" ht="15" hidden="false" customHeight="false" outlineLevel="0" collapsed="false">
      <c r="A495" s="22" t="s">
        <v>12393</v>
      </c>
      <c r="B495" s="23" t="n">
        <v>46235</v>
      </c>
      <c r="C495" s="22" t="s">
        <v>12394</v>
      </c>
      <c r="D495" s="22" t="s">
        <v>1604</v>
      </c>
      <c r="E495" s="22" t="s">
        <v>7738</v>
      </c>
      <c r="F495" s="22" t="s">
        <v>215</v>
      </c>
      <c r="G495" s="22" t="s">
        <v>8601</v>
      </c>
      <c r="H495" s="22" t="s">
        <v>11406</v>
      </c>
      <c r="I495" s="22" t="n">
        <v>40</v>
      </c>
      <c r="J495" s="22" t="n">
        <v>1</v>
      </c>
      <c r="K495" s="22" t="n">
        <v>40</v>
      </c>
      <c r="L495" s="25" t="n">
        <v>7.55</v>
      </c>
      <c r="M495" s="25" t="n">
        <v>302</v>
      </c>
      <c r="N495" s="25" t="n">
        <v>38.78</v>
      </c>
      <c r="O495" s="25" t="n">
        <v>340.78</v>
      </c>
      <c r="P495" s="22" t="s">
        <v>11410</v>
      </c>
      <c r="Q495" s="23" t="n">
        <v>46249</v>
      </c>
      <c r="R495" s="22" t="n">
        <f aca="false">I495*J495</f>
        <v>40</v>
      </c>
      <c r="S495" s="25" t="n">
        <f aca="false">K495-R495</f>
        <v>0</v>
      </c>
      <c r="T495" s="25" t="n">
        <f aca="false">K495*L495</f>
        <v>302</v>
      </c>
      <c r="U495" s="25" t="n">
        <f aca="false">M495-T495</f>
        <v>0</v>
      </c>
      <c r="V495" s="25" t="n">
        <f aca="false">M495+N495</f>
        <v>340.78</v>
      </c>
      <c r="W495" s="25" t="n">
        <f aca="false">O495-V495</f>
        <v>0</v>
      </c>
      <c r="X495" s="22" t="str">
        <f aca="false">IF(OR(ABS(S495)&gt;0.005,ABS(U495)&gt;0.005,ABS(W495)&gt;0.005),"Subledger arithmetic error","OK")</f>
        <v>OK</v>
      </c>
      <c r="Y495" s="22" t="str">
        <f aca="false">IF(X495="OK","","Priority 3")</f>
        <v/>
      </c>
    </row>
    <row r="496" customFormat="false" ht="15" hidden="false" customHeight="false" outlineLevel="0" collapsed="false">
      <c r="A496" s="22" t="s">
        <v>12395</v>
      </c>
      <c r="B496" s="23" t="n">
        <v>46235</v>
      </c>
      <c r="C496" s="22" t="s">
        <v>12396</v>
      </c>
      <c r="D496" s="22" t="s">
        <v>965</v>
      </c>
      <c r="E496" s="22" t="s">
        <v>7741</v>
      </c>
      <c r="F496" s="22" t="s">
        <v>215</v>
      </c>
      <c r="G496" s="22" t="s">
        <v>8601</v>
      </c>
      <c r="H496" s="22" t="s">
        <v>11406</v>
      </c>
      <c r="I496" s="22" t="n">
        <v>36</v>
      </c>
      <c r="J496" s="22" t="n">
        <v>1</v>
      </c>
      <c r="K496" s="22" t="n">
        <v>36</v>
      </c>
      <c r="L496" s="25" t="n">
        <v>7.55</v>
      </c>
      <c r="M496" s="25" t="n">
        <v>271.8</v>
      </c>
      <c r="N496" s="25" t="n">
        <v>34.9</v>
      </c>
      <c r="O496" s="25" t="n">
        <v>306.7</v>
      </c>
      <c r="P496" s="22" t="s">
        <v>11407</v>
      </c>
      <c r="Q496" s="23" t="n">
        <v>46249</v>
      </c>
      <c r="R496" s="22" t="n">
        <f aca="false">I496*J496</f>
        <v>36</v>
      </c>
      <c r="S496" s="25" t="n">
        <f aca="false">K496-R496</f>
        <v>0</v>
      </c>
      <c r="T496" s="25" t="n">
        <f aca="false">K496*L496</f>
        <v>271.8</v>
      </c>
      <c r="U496" s="25" t="n">
        <f aca="false">M496-T496</f>
        <v>0</v>
      </c>
      <c r="V496" s="25" t="n">
        <f aca="false">M496+N496</f>
        <v>306.7</v>
      </c>
      <c r="W496" s="25" t="n">
        <f aca="false">O496-V496</f>
        <v>0</v>
      </c>
      <c r="X496" s="22" t="str">
        <f aca="false">IF(OR(ABS(S496)&gt;0.005,ABS(U496)&gt;0.005,ABS(W496)&gt;0.005),"Subledger arithmetic error","OK")</f>
        <v>OK</v>
      </c>
      <c r="Y496" s="22" t="str">
        <f aca="false">IF(X496="OK","","Priority 3")</f>
        <v/>
      </c>
    </row>
    <row r="497" customFormat="false" ht="15" hidden="false" customHeight="false" outlineLevel="0" collapsed="false">
      <c r="A497" s="22" t="s">
        <v>12397</v>
      </c>
      <c r="B497" s="23" t="n">
        <v>46235</v>
      </c>
      <c r="C497" s="22" t="s">
        <v>12398</v>
      </c>
      <c r="D497" s="22" t="s">
        <v>1464</v>
      </c>
      <c r="E497" s="22" t="s">
        <v>7743</v>
      </c>
      <c r="F497" s="22" t="s">
        <v>215</v>
      </c>
      <c r="G497" s="22" t="s">
        <v>8601</v>
      </c>
      <c r="H497" s="22" t="s">
        <v>11406</v>
      </c>
      <c r="I497" s="22" t="n">
        <v>45</v>
      </c>
      <c r="J497" s="22" t="n">
        <v>1</v>
      </c>
      <c r="K497" s="22" t="n">
        <v>45</v>
      </c>
      <c r="L497" s="25" t="n">
        <v>7.55</v>
      </c>
      <c r="M497" s="25" t="n">
        <v>339.75</v>
      </c>
      <c r="N497" s="25" t="n">
        <v>43.62</v>
      </c>
      <c r="O497" s="25" t="n">
        <v>383.37</v>
      </c>
      <c r="P497" s="22" t="s">
        <v>11407</v>
      </c>
      <c r="Q497" s="23" t="n">
        <v>46249</v>
      </c>
      <c r="R497" s="22" t="n">
        <f aca="false">I497*J497</f>
        <v>45</v>
      </c>
      <c r="S497" s="25" t="n">
        <f aca="false">K497-R497</f>
        <v>0</v>
      </c>
      <c r="T497" s="25" t="n">
        <f aca="false">K497*L497</f>
        <v>339.75</v>
      </c>
      <c r="U497" s="25" t="n">
        <f aca="false">M497-T497</f>
        <v>0</v>
      </c>
      <c r="V497" s="25" t="n">
        <f aca="false">M497+N497</f>
        <v>383.37</v>
      </c>
      <c r="W497" s="25" t="n">
        <f aca="false">O497-V497</f>
        <v>0</v>
      </c>
      <c r="X497" s="22" t="str">
        <f aca="false">IF(OR(ABS(S497)&gt;0.005,ABS(U497)&gt;0.005,ABS(W497)&gt;0.005),"Subledger arithmetic error","OK")</f>
        <v>OK</v>
      </c>
      <c r="Y497" s="22" t="str">
        <f aca="false">IF(X497="OK","","Priority 3")</f>
        <v/>
      </c>
    </row>
    <row r="498" customFormat="false" ht="15" hidden="false" customHeight="false" outlineLevel="0" collapsed="false">
      <c r="A498" s="22" t="s">
        <v>12399</v>
      </c>
      <c r="B498" s="23" t="n">
        <v>46235</v>
      </c>
      <c r="C498" s="22" t="s">
        <v>12400</v>
      </c>
      <c r="D498" s="22" t="s">
        <v>4996</v>
      </c>
      <c r="E498" s="22" t="s">
        <v>7745</v>
      </c>
      <c r="F498" s="22" t="s">
        <v>215</v>
      </c>
      <c r="G498" s="22" t="s">
        <v>8601</v>
      </c>
      <c r="H498" s="22" t="s">
        <v>11406</v>
      </c>
      <c r="I498" s="22" t="n">
        <v>32</v>
      </c>
      <c r="J498" s="22" t="n">
        <v>1</v>
      </c>
      <c r="K498" s="22" t="n">
        <v>32</v>
      </c>
      <c r="L498" s="25" t="n">
        <v>7.55</v>
      </c>
      <c r="M498" s="25" t="n">
        <v>241.6</v>
      </c>
      <c r="N498" s="25" t="n">
        <v>31.02</v>
      </c>
      <c r="O498" s="25" t="n">
        <v>272.62</v>
      </c>
      <c r="P498" s="22" t="s">
        <v>11407</v>
      </c>
      <c r="Q498" s="23" t="n">
        <v>46249</v>
      </c>
      <c r="R498" s="22" t="n">
        <f aca="false">I498*J498</f>
        <v>32</v>
      </c>
      <c r="S498" s="25" t="n">
        <f aca="false">K498-R498</f>
        <v>0</v>
      </c>
      <c r="T498" s="25" t="n">
        <f aca="false">K498*L498</f>
        <v>241.6</v>
      </c>
      <c r="U498" s="25" t="n">
        <f aca="false">M498-T498</f>
        <v>0</v>
      </c>
      <c r="V498" s="25" t="n">
        <f aca="false">M498+N498</f>
        <v>272.62</v>
      </c>
      <c r="W498" s="25" t="n">
        <f aca="false">O498-V498</f>
        <v>0</v>
      </c>
      <c r="X498" s="22" t="str">
        <f aca="false">IF(OR(ABS(S498)&gt;0.005,ABS(U498)&gt;0.005,ABS(W498)&gt;0.005),"Subledger arithmetic error","OK")</f>
        <v>OK</v>
      </c>
      <c r="Y498" s="22" t="str">
        <f aca="false">IF(X498="OK","","Priority 3")</f>
        <v/>
      </c>
    </row>
    <row r="499" customFormat="false" ht="15" hidden="false" customHeight="false" outlineLevel="0" collapsed="false">
      <c r="A499" s="22" t="s">
        <v>12401</v>
      </c>
      <c r="B499" s="23" t="n">
        <v>46235</v>
      </c>
      <c r="C499" s="22" t="s">
        <v>12402</v>
      </c>
      <c r="D499" s="22" t="s">
        <v>4062</v>
      </c>
      <c r="E499" s="22" t="s">
        <v>7746</v>
      </c>
      <c r="F499" s="22" t="s">
        <v>215</v>
      </c>
      <c r="G499" s="22" t="s">
        <v>8601</v>
      </c>
      <c r="H499" s="22" t="s">
        <v>11406</v>
      </c>
      <c r="I499" s="22" t="n">
        <v>36</v>
      </c>
      <c r="J499" s="22" t="n">
        <v>1</v>
      </c>
      <c r="K499" s="22" t="n">
        <v>36</v>
      </c>
      <c r="L499" s="25" t="n">
        <v>7.55</v>
      </c>
      <c r="M499" s="25" t="n">
        <v>271.8</v>
      </c>
      <c r="N499" s="25" t="n">
        <v>34.9</v>
      </c>
      <c r="O499" s="25" t="n">
        <v>306.7</v>
      </c>
      <c r="P499" s="22" t="s">
        <v>11407</v>
      </c>
      <c r="Q499" s="23" t="n">
        <v>46249</v>
      </c>
      <c r="R499" s="22" t="n">
        <f aca="false">I499*J499</f>
        <v>36</v>
      </c>
      <c r="S499" s="25" t="n">
        <f aca="false">K499-R499</f>
        <v>0</v>
      </c>
      <c r="T499" s="25" t="n">
        <f aca="false">K499*L499</f>
        <v>271.8</v>
      </c>
      <c r="U499" s="25" t="n">
        <f aca="false">M499-T499</f>
        <v>0</v>
      </c>
      <c r="V499" s="25" t="n">
        <f aca="false">M499+N499</f>
        <v>306.7</v>
      </c>
      <c r="W499" s="25" t="n">
        <f aca="false">O499-V499</f>
        <v>0</v>
      </c>
      <c r="X499" s="22" t="str">
        <f aca="false">IF(OR(ABS(S499)&gt;0.005,ABS(U499)&gt;0.005,ABS(W499)&gt;0.005),"Subledger arithmetic error","OK")</f>
        <v>OK</v>
      </c>
      <c r="Y499" s="22" t="str">
        <f aca="false">IF(X499="OK","","Priority 3")</f>
        <v/>
      </c>
    </row>
    <row r="500" customFormat="false" ht="15" hidden="false" customHeight="false" outlineLevel="0" collapsed="false">
      <c r="A500" s="22" t="s">
        <v>12403</v>
      </c>
      <c r="B500" s="23" t="n">
        <v>46235</v>
      </c>
      <c r="C500" s="22" t="s">
        <v>12404</v>
      </c>
      <c r="D500" s="22" t="s">
        <v>2041</v>
      </c>
      <c r="E500" s="22" t="s">
        <v>7748</v>
      </c>
      <c r="F500" s="22" t="s">
        <v>215</v>
      </c>
      <c r="G500" s="22" t="s">
        <v>8601</v>
      </c>
      <c r="H500" s="22" t="s">
        <v>11406</v>
      </c>
      <c r="I500" s="22" t="n">
        <v>40</v>
      </c>
      <c r="J500" s="22" t="n">
        <v>1</v>
      </c>
      <c r="K500" s="22" t="n">
        <v>40</v>
      </c>
      <c r="L500" s="25" t="n">
        <v>7.55</v>
      </c>
      <c r="M500" s="25" t="n">
        <v>302</v>
      </c>
      <c r="N500" s="25" t="n">
        <v>38.78</v>
      </c>
      <c r="O500" s="25" t="n">
        <v>340.78</v>
      </c>
      <c r="P500" s="22" t="s">
        <v>7696</v>
      </c>
      <c r="Q500" s="23" t="n">
        <v>46249</v>
      </c>
      <c r="R500" s="22" t="n">
        <f aca="false">I500*J500</f>
        <v>40</v>
      </c>
      <c r="S500" s="25" t="n">
        <f aca="false">K500-R500</f>
        <v>0</v>
      </c>
      <c r="T500" s="25" t="n">
        <f aca="false">K500*L500</f>
        <v>302</v>
      </c>
      <c r="U500" s="25" t="n">
        <f aca="false">M500-T500</f>
        <v>0</v>
      </c>
      <c r="V500" s="25" t="n">
        <f aca="false">M500+N500</f>
        <v>340.78</v>
      </c>
      <c r="W500" s="25" t="n">
        <f aca="false">O500-V500</f>
        <v>0</v>
      </c>
      <c r="X500" s="22" t="str">
        <f aca="false">IF(OR(ABS(S500)&gt;0.005,ABS(U500)&gt;0.005,ABS(W500)&gt;0.005),"Subledger arithmetic error","OK")</f>
        <v>OK</v>
      </c>
      <c r="Y500" s="22" t="str">
        <f aca="false">IF(X500="OK","","Priority 3")</f>
        <v/>
      </c>
    </row>
    <row r="501" customFormat="false" ht="15" hidden="false" customHeight="false" outlineLevel="0" collapsed="false">
      <c r="A501" s="22" t="s">
        <v>12405</v>
      </c>
      <c r="B501" s="23" t="n">
        <v>46235</v>
      </c>
      <c r="C501" s="22" t="s">
        <v>12406</v>
      </c>
      <c r="D501" s="22" t="s">
        <v>3019</v>
      </c>
      <c r="E501" s="22" t="s">
        <v>7749</v>
      </c>
      <c r="F501" s="22" t="s">
        <v>215</v>
      </c>
      <c r="G501" s="22" t="s">
        <v>8601</v>
      </c>
      <c r="H501" s="22" t="s">
        <v>11406</v>
      </c>
      <c r="I501" s="22" t="n">
        <v>50</v>
      </c>
      <c r="J501" s="22" t="n">
        <v>1</v>
      </c>
      <c r="K501" s="22" t="n">
        <v>50</v>
      </c>
      <c r="L501" s="25" t="n">
        <v>7.55</v>
      </c>
      <c r="M501" s="25" t="n">
        <v>377.5</v>
      </c>
      <c r="N501" s="25" t="n">
        <v>48.47</v>
      </c>
      <c r="O501" s="25" t="n">
        <v>425.97</v>
      </c>
      <c r="P501" s="22" t="s">
        <v>11407</v>
      </c>
      <c r="Q501" s="23" t="n">
        <v>46249</v>
      </c>
      <c r="R501" s="22" t="n">
        <f aca="false">I501*J501</f>
        <v>50</v>
      </c>
      <c r="S501" s="25" t="n">
        <f aca="false">K501-R501</f>
        <v>0</v>
      </c>
      <c r="T501" s="25" t="n">
        <f aca="false">K501*L501</f>
        <v>377.5</v>
      </c>
      <c r="U501" s="25" t="n">
        <f aca="false">M501-T501</f>
        <v>0</v>
      </c>
      <c r="V501" s="25" t="n">
        <f aca="false">M501+N501</f>
        <v>425.97</v>
      </c>
      <c r="W501" s="25" t="n">
        <f aca="false">O501-V501</f>
        <v>0</v>
      </c>
      <c r="X501" s="22" t="str">
        <f aca="false">IF(OR(ABS(S501)&gt;0.005,ABS(U501)&gt;0.005,ABS(W501)&gt;0.005),"Subledger arithmetic error","OK")</f>
        <v>OK</v>
      </c>
      <c r="Y501" s="22" t="str">
        <f aca="false">IF(X501="OK","","Priority 3")</f>
        <v/>
      </c>
    </row>
    <row r="502" customFormat="false" ht="15" hidden="false" customHeight="false" outlineLevel="0" collapsed="false">
      <c r="A502" s="22" t="s">
        <v>12407</v>
      </c>
      <c r="B502" s="23" t="n">
        <v>46235</v>
      </c>
      <c r="C502" s="22" t="s">
        <v>12408</v>
      </c>
      <c r="D502" s="22" t="s">
        <v>1709</v>
      </c>
      <c r="E502" s="22" t="s">
        <v>7751</v>
      </c>
      <c r="F502" s="22" t="s">
        <v>215</v>
      </c>
      <c r="G502" s="22" t="s">
        <v>8601</v>
      </c>
      <c r="H502" s="22" t="s">
        <v>11406</v>
      </c>
      <c r="I502" s="22" t="n">
        <v>32</v>
      </c>
      <c r="J502" s="22" t="n">
        <v>1</v>
      </c>
      <c r="K502" s="22" t="n">
        <v>32</v>
      </c>
      <c r="L502" s="25" t="n">
        <v>7.55</v>
      </c>
      <c r="M502" s="25" t="n">
        <v>241.6</v>
      </c>
      <c r="N502" s="25" t="n">
        <v>31.02</v>
      </c>
      <c r="O502" s="25" t="n">
        <v>272.62</v>
      </c>
      <c r="P502" s="22" t="s">
        <v>11407</v>
      </c>
      <c r="Q502" s="23" t="n">
        <v>46249</v>
      </c>
      <c r="R502" s="22" t="n">
        <f aca="false">I502*J502</f>
        <v>32</v>
      </c>
      <c r="S502" s="25" t="n">
        <f aca="false">K502-R502</f>
        <v>0</v>
      </c>
      <c r="T502" s="25" t="n">
        <f aca="false">K502*L502</f>
        <v>241.6</v>
      </c>
      <c r="U502" s="25" t="n">
        <f aca="false">M502-T502</f>
        <v>0</v>
      </c>
      <c r="V502" s="25" t="n">
        <f aca="false">M502+N502</f>
        <v>272.62</v>
      </c>
      <c r="W502" s="25" t="n">
        <f aca="false">O502-V502</f>
        <v>0</v>
      </c>
      <c r="X502" s="22" t="str">
        <f aca="false">IF(OR(ABS(S502)&gt;0.005,ABS(U502)&gt;0.005,ABS(W502)&gt;0.005),"Subledger arithmetic error","OK")</f>
        <v>OK</v>
      </c>
      <c r="Y502" s="22" t="str">
        <f aca="false">IF(X502="OK","","Priority 3")</f>
        <v/>
      </c>
    </row>
    <row r="503" customFormat="false" ht="15" hidden="false" customHeight="false" outlineLevel="0" collapsed="false">
      <c r="A503" s="22" t="s">
        <v>12409</v>
      </c>
      <c r="B503" s="23" t="n">
        <v>46235</v>
      </c>
      <c r="C503" s="22" t="s">
        <v>12410</v>
      </c>
      <c r="D503" s="22" t="s">
        <v>1860</v>
      </c>
      <c r="E503" s="22" t="s">
        <v>7754</v>
      </c>
      <c r="F503" s="22" t="s">
        <v>215</v>
      </c>
      <c r="G503" s="22" t="s">
        <v>8601</v>
      </c>
      <c r="H503" s="22" t="s">
        <v>11406</v>
      </c>
      <c r="I503" s="22" t="n">
        <v>60</v>
      </c>
      <c r="J503" s="22" t="n">
        <v>1</v>
      </c>
      <c r="K503" s="22" t="n">
        <v>60</v>
      </c>
      <c r="L503" s="25" t="n">
        <v>7.55</v>
      </c>
      <c r="M503" s="25" t="n">
        <v>453</v>
      </c>
      <c r="N503" s="25" t="n">
        <v>58.17</v>
      </c>
      <c r="O503" s="25" t="n">
        <v>511.17</v>
      </c>
      <c r="P503" s="22" t="s">
        <v>11407</v>
      </c>
      <c r="Q503" s="23" t="n">
        <v>46249</v>
      </c>
      <c r="R503" s="22" t="n">
        <f aca="false">I503*J503</f>
        <v>60</v>
      </c>
      <c r="S503" s="25" t="n">
        <f aca="false">K503-R503</f>
        <v>0</v>
      </c>
      <c r="T503" s="25" t="n">
        <f aca="false">K503*L503</f>
        <v>453</v>
      </c>
      <c r="U503" s="25" t="n">
        <f aca="false">M503-T503</f>
        <v>0</v>
      </c>
      <c r="V503" s="25" t="n">
        <f aca="false">M503+N503</f>
        <v>511.17</v>
      </c>
      <c r="W503" s="25" t="n">
        <f aca="false">O503-V503</f>
        <v>0</v>
      </c>
      <c r="X503" s="22" t="str">
        <f aca="false">IF(OR(ABS(S503)&gt;0.005,ABS(U503)&gt;0.005,ABS(W503)&gt;0.005),"Subledger arithmetic error","OK")</f>
        <v>OK</v>
      </c>
      <c r="Y503" s="22" t="str">
        <f aca="false">IF(X503="OK","","Priority 3")</f>
        <v/>
      </c>
    </row>
    <row r="504" customFormat="false" ht="15" hidden="false" customHeight="false" outlineLevel="0" collapsed="false">
      <c r="A504" s="22" t="s">
        <v>12411</v>
      </c>
      <c r="B504" s="23" t="n">
        <v>46235</v>
      </c>
      <c r="C504" s="22" t="s">
        <v>12412</v>
      </c>
      <c r="D504" s="22" t="s">
        <v>6079</v>
      </c>
      <c r="E504" s="22" t="s">
        <v>7756</v>
      </c>
      <c r="F504" s="22" t="s">
        <v>215</v>
      </c>
      <c r="G504" s="22" t="s">
        <v>8601</v>
      </c>
      <c r="H504" s="22" t="s">
        <v>11406</v>
      </c>
      <c r="I504" s="22" t="n">
        <v>32</v>
      </c>
      <c r="J504" s="22" t="n">
        <v>1</v>
      </c>
      <c r="K504" s="22" t="n">
        <v>32</v>
      </c>
      <c r="L504" s="25" t="n">
        <v>7.55</v>
      </c>
      <c r="M504" s="25" t="n">
        <v>241.6</v>
      </c>
      <c r="N504" s="25" t="n">
        <v>31.02</v>
      </c>
      <c r="O504" s="25" t="n">
        <v>272.62</v>
      </c>
      <c r="P504" s="22" t="s">
        <v>11407</v>
      </c>
      <c r="Q504" s="23" t="n">
        <v>46249</v>
      </c>
      <c r="R504" s="22" t="n">
        <f aca="false">I504*J504</f>
        <v>32</v>
      </c>
      <c r="S504" s="25" t="n">
        <f aca="false">K504-R504</f>
        <v>0</v>
      </c>
      <c r="T504" s="25" t="n">
        <f aca="false">K504*L504</f>
        <v>241.6</v>
      </c>
      <c r="U504" s="25" t="n">
        <f aca="false">M504-T504</f>
        <v>0</v>
      </c>
      <c r="V504" s="25" t="n">
        <f aca="false">M504+N504</f>
        <v>272.62</v>
      </c>
      <c r="W504" s="25" t="n">
        <f aca="false">O504-V504</f>
        <v>0</v>
      </c>
      <c r="X504" s="22" t="str">
        <f aca="false">IF(OR(ABS(S504)&gt;0.005,ABS(U504)&gt;0.005,ABS(W504)&gt;0.005),"Subledger arithmetic error","OK")</f>
        <v>OK</v>
      </c>
      <c r="Y504" s="22" t="str">
        <f aca="false">IF(X504="OK","","Priority 3")</f>
        <v/>
      </c>
    </row>
    <row r="505" customFormat="false" ht="15" hidden="false" customHeight="false" outlineLevel="0" collapsed="false">
      <c r="A505" s="22" t="s">
        <v>12413</v>
      </c>
      <c r="B505" s="23" t="n">
        <v>46235</v>
      </c>
      <c r="C505" s="22" t="s">
        <v>12414</v>
      </c>
      <c r="D505" s="22" t="s">
        <v>1136</v>
      </c>
      <c r="E505" s="22" t="s">
        <v>7757</v>
      </c>
      <c r="F505" s="22" t="s">
        <v>215</v>
      </c>
      <c r="G505" s="22" t="s">
        <v>8601</v>
      </c>
      <c r="H505" s="22" t="s">
        <v>11406</v>
      </c>
      <c r="I505" s="22" t="n">
        <v>50</v>
      </c>
      <c r="J505" s="22" t="n">
        <v>1</v>
      </c>
      <c r="K505" s="22" t="n">
        <v>50</v>
      </c>
      <c r="L505" s="25" t="n">
        <v>7.55</v>
      </c>
      <c r="M505" s="25" t="n">
        <v>377.5</v>
      </c>
      <c r="N505" s="25" t="n">
        <v>48.47</v>
      </c>
      <c r="O505" s="25" t="n">
        <v>425.97</v>
      </c>
      <c r="P505" s="22" t="s">
        <v>11407</v>
      </c>
      <c r="Q505" s="23" t="n">
        <v>46249</v>
      </c>
      <c r="R505" s="22" t="n">
        <f aca="false">I505*J505</f>
        <v>50</v>
      </c>
      <c r="S505" s="25" t="n">
        <f aca="false">K505-R505</f>
        <v>0</v>
      </c>
      <c r="T505" s="25" t="n">
        <f aca="false">K505*L505</f>
        <v>377.5</v>
      </c>
      <c r="U505" s="25" t="n">
        <f aca="false">M505-T505</f>
        <v>0</v>
      </c>
      <c r="V505" s="25" t="n">
        <f aca="false">M505+N505</f>
        <v>425.97</v>
      </c>
      <c r="W505" s="25" t="n">
        <f aca="false">O505-V505</f>
        <v>0</v>
      </c>
      <c r="X505" s="22" t="str">
        <f aca="false">IF(OR(ABS(S505)&gt;0.005,ABS(U505)&gt;0.005,ABS(W505)&gt;0.005),"Subledger arithmetic error","OK")</f>
        <v>OK</v>
      </c>
      <c r="Y505" s="22" t="str">
        <f aca="false">IF(X505="OK","","Priority 3")</f>
        <v/>
      </c>
    </row>
    <row r="506" customFormat="false" ht="15" hidden="false" customHeight="false" outlineLevel="0" collapsed="false">
      <c r="A506" s="22" t="s">
        <v>12415</v>
      </c>
      <c r="B506" s="23" t="n">
        <v>46235</v>
      </c>
      <c r="C506" s="22" t="s">
        <v>12416</v>
      </c>
      <c r="D506" s="22" t="s">
        <v>1652</v>
      </c>
      <c r="E506" s="22" t="s">
        <v>7758</v>
      </c>
      <c r="F506" s="22" t="s">
        <v>215</v>
      </c>
      <c r="G506" s="22" t="s">
        <v>8601</v>
      </c>
      <c r="H506" s="22" t="s">
        <v>11406</v>
      </c>
      <c r="I506" s="22" t="n">
        <v>33</v>
      </c>
      <c r="J506" s="22" t="n">
        <v>1</v>
      </c>
      <c r="K506" s="22" t="n">
        <v>33</v>
      </c>
      <c r="L506" s="25" t="n">
        <v>7.55</v>
      </c>
      <c r="M506" s="25" t="n">
        <v>249.15</v>
      </c>
      <c r="N506" s="25" t="n">
        <v>31.99</v>
      </c>
      <c r="O506" s="25" t="n">
        <v>281.14</v>
      </c>
      <c r="P506" s="22" t="s">
        <v>11407</v>
      </c>
      <c r="Q506" s="23" t="n">
        <v>46249</v>
      </c>
      <c r="R506" s="22" t="n">
        <f aca="false">I506*J506</f>
        <v>33</v>
      </c>
      <c r="S506" s="25" t="n">
        <f aca="false">K506-R506</f>
        <v>0</v>
      </c>
      <c r="T506" s="25" t="n">
        <f aca="false">K506*L506</f>
        <v>249.15</v>
      </c>
      <c r="U506" s="25" t="n">
        <f aca="false">M506-T506</f>
        <v>0</v>
      </c>
      <c r="V506" s="25" t="n">
        <f aca="false">M506+N506</f>
        <v>281.14</v>
      </c>
      <c r="W506" s="25" t="n">
        <f aca="false">O506-V506</f>
        <v>0</v>
      </c>
      <c r="X506" s="22" t="str">
        <f aca="false">IF(OR(ABS(S506)&gt;0.005,ABS(U506)&gt;0.005,ABS(W506)&gt;0.005),"Subledger arithmetic error","OK")</f>
        <v>OK</v>
      </c>
      <c r="Y506" s="22" t="str">
        <f aca="false">IF(X506="OK","","Priority 3")</f>
        <v/>
      </c>
    </row>
    <row r="507" customFormat="false" ht="15" hidden="false" customHeight="false" outlineLevel="0" collapsed="false">
      <c r="A507" s="22" t="s">
        <v>12417</v>
      </c>
      <c r="B507" s="23" t="n">
        <v>46235</v>
      </c>
      <c r="C507" s="22" t="s">
        <v>12418</v>
      </c>
      <c r="D507" s="22" t="s">
        <v>195</v>
      </c>
      <c r="E507" s="22" t="s">
        <v>7760</v>
      </c>
      <c r="F507" s="22" t="s">
        <v>215</v>
      </c>
      <c r="G507" s="22" t="s">
        <v>8601</v>
      </c>
      <c r="H507" s="22" t="s">
        <v>11406</v>
      </c>
      <c r="I507" s="22" t="n">
        <v>36</v>
      </c>
      <c r="J507" s="22" t="n">
        <v>1</v>
      </c>
      <c r="K507" s="22" t="n">
        <v>36</v>
      </c>
      <c r="L507" s="25" t="n">
        <v>7.55</v>
      </c>
      <c r="M507" s="25" t="n">
        <v>271.8</v>
      </c>
      <c r="N507" s="25" t="n">
        <v>34.9</v>
      </c>
      <c r="O507" s="25" t="n">
        <v>306.7</v>
      </c>
      <c r="P507" s="22" t="s">
        <v>11407</v>
      </c>
      <c r="Q507" s="23" t="n">
        <v>46249</v>
      </c>
      <c r="R507" s="22" t="n">
        <f aca="false">I507*J507</f>
        <v>36</v>
      </c>
      <c r="S507" s="25" t="n">
        <f aca="false">K507-R507</f>
        <v>0</v>
      </c>
      <c r="T507" s="25" t="n">
        <f aca="false">K507*L507</f>
        <v>271.8</v>
      </c>
      <c r="U507" s="25" t="n">
        <f aca="false">M507-T507</f>
        <v>0</v>
      </c>
      <c r="V507" s="25" t="n">
        <f aca="false">M507+N507</f>
        <v>306.7</v>
      </c>
      <c r="W507" s="25" t="n">
        <f aca="false">O507-V507</f>
        <v>0</v>
      </c>
      <c r="X507" s="22" t="str">
        <f aca="false">IF(OR(ABS(S507)&gt;0.005,ABS(U507)&gt;0.005,ABS(W507)&gt;0.005),"Subledger arithmetic error","OK")</f>
        <v>OK</v>
      </c>
      <c r="Y507" s="22" t="str">
        <f aca="false">IF(X507="OK","","Priority 3")</f>
        <v/>
      </c>
    </row>
    <row r="508" customFormat="false" ht="15" hidden="false" customHeight="false" outlineLevel="0" collapsed="false">
      <c r="A508" s="22" t="s">
        <v>12419</v>
      </c>
      <c r="B508" s="23" t="n">
        <v>46235</v>
      </c>
      <c r="C508" s="22" t="s">
        <v>12420</v>
      </c>
      <c r="D508" s="22" t="s">
        <v>3175</v>
      </c>
      <c r="E508" s="22" t="s">
        <v>7761</v>
      </c>
      <c r="F508" s="22" t="s">
        <v>215</v>
      </c>
      <c r="G508" s="22" t="s">
        <v>8601</v>
      </c>
      <c r="H508" s="22" t="s">
        <v>11406</v>
      </c>
      <c r="I508" s="22" t="n">
        <v>70</v>
      </c>
      <c r="J508" s="22" t="n">
        <v>1</v>
      </c>
      <c r="K508" s="22" t="n">
        <v>70</v>
      </c>
      <c r="L508" s="25" t="n">
        <v>7.55</v>
      </c>
      <c r="M508" s="25" t="n">
        <v>528.5</v>
      </c>
      <c r="N508" s="25" t="n">
        <v>67.86</v>
      </c>
      <c r="O508" s="25" t="n">
        <v>596.36</v>
      </c>
      <c r="P508" s="22" t="s">
        <v>11407</v>
      </c>
      <c r="Q508" s="23" t="n">
        <v>46249</v>
      </c>
      <c r="R508" s="22" t="n">
        <f aca="false">I508*J508</f>
        <v>70</v>
      </c>
      <c r="S508" s="25" t="n">
        <f aca="false">K508-R508</f>
        <v>0</v>
      </c>
      <c r="T508" s="25" t="n">
        <f aca="false">K508*L508</f>
        <v>528.5</v>
      </c>
      <c r="U508" s="25" t="n">
        <f aca="false">M508-T508</f>
        <v>0</v>
      </c>
      <c r="V508" s="25" t="n">
        <f aca="false">M508+N508</f>
        <v>596.36</v>
      </c>
      <c r="W508" s="25" t="n">
        <f aca="false">O508-V508</f>
        <v>0</v>
      </c>
      <c r="X508" s="22" t="str">
        <f aca="false">IF(OR(ABS(S508)&gt;0.005,ABS(U508)&gt;0.005,ABS(W508)&gt;0.005),"Subledger arithmetic error","OK")</f>
        <v>OK</v>
      </c>
      <c r="Y508" s="22" t="str">
        <f aca="false">IF(X508="OK","","Priority 3")</f>
        <v/>
      </c>
    </row>
    <row r="509" customFormat="false" ht="15" hidden="false" customHeight="false" outlineLevel="0" collapsed="false">
      <c r="A509" s="22" t="s">
        <v>12421</v>
      </c>
      <c r="B509" s="23" t="n">
        <v>46235</v>
      </c>
      <c r="C509" s="22" t="s">
        <v>12422</v>
      </c>
      <c r="D509" s="22" t="s">
        <v>746</v>
      </c>
      <c r="E509" s="22" t="s">
        <v>7763</v>
      </c>
      <c r="F509" s="22" t="s">
        <v>215</v>
      </c>
      <c r="G509" s="22" t="s">
        <v>8601</v>
      </c>
      <c r="H509" s="22" t="s">
        <v>11406</v>
      </c>
      <c r="I509" s="22" t="n">
        <v>40</v>
      </c>
      <c r="J509" s="22" t="n">
        <v>1</v>
      </c>
      <c r="K509" s="22" t="n">
        <v>40</v>
      </c>
      <c r="L509" s="25" t="n">
        <v>7.55</v>
      </c>
      <c r="M509" s="25" t="n">
        <v>302</v>
      </c>
      <c r="N509" s="25" t="n">
        <v>38.78</v>
      </c>
      <c r="O509" s="25" t="n">
        <v>340.78</v>
      </c>
      <c r="P509" s="22" t="s">
        <v>11407</v>
      </c>
      <c r="Q509" s="23" t="n">
        <v>46249</v>
      </c>
      <c r="R509" s="22" t="n">
        <f aca="false">I509*J509</f>
        <v>40</v>
      </c>
      <c r="S509" s="25" t="n">
        <f aca="false">K509-R509</f>
        <v>0</v>
      </c>
      <c r="T509" s="25" t="n">
        <f aca="false">K509*L509</f>
        <v>302</v>
      </c>
      <c r="U509" s="25" t="n">
        <f aca="false">M509-T509</f>
        <v>0</v>
      </c>
      <c r="V509" s="25" t="n">
        <f aca="false">M509+N509</f>
        <v>340.78</v>
      </c>
      <c r="W509" s="25" t="n">
        <f aca="false">O509-V509</f>
        <v>0</v>
      </c>
      <c r="X509" s="22" t="str">
        <f aca="false">IF(OR(ABS(S509)&gt;0.005,ABS(U509)&gt;0.005,ABS(W509)&gt;0.005),"Subledger arithmetic error","OK")</f>
        <v>OK</v>
      </c>
      <c r="Y509" s="22" t="str">
        <f aca="false">IF(X509="OK","","Priority 3")</f>
        <v/>
      </c>
    </row>
    <row r="510" customFormat="false" ht="15" hidden="false" customHeight="false" outlineLevel="0" collapsed="false">
      <c r="A510" s="22" t="s">
        <v>12423</v>
      </c>
      <c r="B510" s="23" t="n">
        <v>46235</v>
      </c>
      <c r="C510" s="22" t="s">
        <v>12424</v>
      </c>
      <c r="D510" s="22" t="s">
        <v>4004</v>
      </c>
      <c r="E510" s="22" t="s">
        <v>7764</v>
      </c>
      <c r="F510" s="22" t="s">
        <v>215</v>
      </c>
      <c r="G510" s="22" t="s">
        <v>8601</v>
      </c>
      <c r="H510" s="22" t="s">
        <v>11406</v>
      </c>
      <c r="I510" s="22" t="n">
        <v>58</v>
      </c>
      <c r="J510" s="22" t="n">
        <v>1</v>
      </c>
      <c r="K510" s="22" t="n">
        <v>58</v>
      </c>
      <c r="L510" s="25" t="n">
        <v>7.55</v>
      </c>
      <c r="M510" s="25" t="n">
        <v>437.9</v>
      </c>
      <c r="N510" s="25" t="n">
        <v>56.23</v>
      </c>
      <c r="O510" s="25" t="n">
        <v>494.13</v>
      </c>
      <c r="P510" s="22" t="s">
        <v>11407</v>
      </c>
      <c r="Q510" s="23" t="n">
        <v>46249</v>
      </c>
      <c r="R510" s="22" t="n">
        <f aca="false">I510*J510</f>
        <v>58</v>
      </c>
      <c r="S510" s="25" t="n">
        <f aca="false">K510-R510</f>
        <v>0</v>
      </c>
      <c r="T510" s="25" t="n">
        <f aca="false">K510*L510</f>
        <v>437.9</v>
      </c>
      <c r="U510" s="25" t="n">
        <f aca="false">M510-T510</f>
        <v>0</v>
      </c>
      <c r="V510" s="25" t="n">
        <f aca="false">M510+N510</f>
        <v>494.13</v>
      </c>
      <c r="W510" s="25" t="n">
        <f aca="false">O510-V510</f>
        <v>0</v>
      </c>
      <c r="X510" s="22" t="str">
        <f aca="false">IF(OR(ABS(S510)&gt;0.005,ABS(U510)&gt;0.005,ABS(W510)&gt;0.005),"Subledger arithmetic error","OK")</f>
        <v>OK</v>
      </c>
      <c r="Y510" s="22" t="str">
        <f aca="false">IF(X510="OK","","Priority 3")</f>
        <v/>
      </c>
    </row>
    <row r="511" customFormat="false" ht="15" hidden="false" customHeight="false" outlineLevel="0" collapsed="false">
      <c r="A511" s="22" t="s">
        <v>12425</v>
      </c>
      <c r="B511" s="23" t="n">
        <v>46235</v>
      </c>
      <c r="C511" s="22" t="s">
        <v>12426</v>
      </c>
      <c r="D511" s="22" t="s">
        <v>4546</v>
      </c>
      <c r="E511" s="22" t="s">
        <v>7765</v>
      </c>
      <c r="F511" s="22" t="s">
        <v>215</v>
      </c>
      <c r="G511" s="22" t="s">
        <v>8601</v>
      </c>
      <c r="H511" s="22" t="s">
        <v>11406</v>
      </c>
      <c r="I511" s="22" t="n">
        <v>30</v>
      </c>
      <c r="J511" s="22" t="n">
        <v>1</v>
      </c>
      <c r="K511" s="22" t="n">
        <v>30</v>
      </c>
      <c r="L511" s="25" t="n">
        <v>7.55</v>
      </c>
      <c r="M511" s="25" t="n">
        <v>226.5</v>
      </c>
      <c r="N511" s="25" t="n">
        <v>29.08</v>
      </c>
      <c r="O511" s="25" t="n">
        <v>255.58</v>
      </c>
      <c r="P511" s="22" t="s">
        <v>11407</v>
      </c>
      <c r="Q511" s="23" t="n">
        <v>46249</v>
      </c>
      <c r="R511" s="22" t="n">
        <f aca="false">I511*J511</f>
        <v>30</v>
      </c>
      <c r="S511" s="25" t="n">
        <f aca="false">K511-R511</f>
        <v>0</v>
      </c>
      <c r="T511" s="25" t="n">
        <f aca="false">K511*L511</f>
        <v>226.5</v>
      </c>
      <c r="U511" s="25" t="n">
        <f aca="false">M511-T511</f>
        <v>0</v>
      </c>
      <c r="V511" s="25" t="n">
        <f aca="false">M511+N511</f>
        <v>255.58</v>
      </c>
      <c r="W511" s="25" t="n">
        <f aca="false">O511-V511</f>
        <v>0</v>
      </c>
      <c r="X511" s="22" t="str">
        <f aca="false">IF(OR(ABS(S511)&gt;0.005,ABS(U511)&gt;0.005,ABS(W511)&gt;0.005),"Subledger arithmetic error","OK")</f>
        <v>OK</v>
      </c>
      <c r="Y511" s="22" t="str">
        <f aca="false">IF(X511="OK","","Priority 3")</f>
        <v/>
      </c>
    </row>
    <row r="512" customFormat="false" ht="15" hidden="false" customHeight="false" outlineLevel="0" collapsed="false">
      <c r="A512" s="22" t="s">
        <v>12427</v>
      </c>
      <c r="B512" s="23" t="n">
        <v>46235</v>
      </c>
      <c r="C512" s="22" t="s">
        <v>12428</v>
      </c>
      <c r="D512" s="22" t="s">
        <v>2517</v>
      </c>
      <c r="E512" s="22" t="s">
        <v>7767</v>
      </c>
      <c r="F512" s="22" t="s">
        <v>215</v>
      </c>
      <c r="G512" s="22" t="s">
        <v>8601</v>
      </c>
      <c r="H512" s="22" t="s">
        <v>11406</v>
      </c>
      <c r="I512" s="22" t="n">
        <v>36</v>
      </c>
      <c r="J512" s="22" t="n">
        <v>1</v>
      </c>
      <c r="K512" s="22" t="n">
        <v>36</v>
      </c>
      <c r="L512" s="25" t="n">
        <v>7.55</v>
      </c>
      <c r="M512" s="25" t="n">
        <v>271.8</v>
      </c>
      <c r="N512" s="25" t="n">
        <v>34.9</v>
      </c>
      <c r="O512" s="25" t="n">
        <v>306.7</v>
      </c>
      <c r="P512" s="22" t="s">
        <v>11407</v>
      </c>
      <c r="Q512" s="23" t="n">
        <v>46249</v>
      </c>
      <c r="R512" s="22" t="n">
        <f aca="false">I512*J512</f>
        <v>36</v>
      </c>
      <c r="S512" s="25" t="n">
        <f aca="false">K512-R512</f>
        <v>0</v>
      </c>
      <c r="T512" s="25" t="n">
        <f aca="false">K512*L512</f>
        <v>271.8</v>
      </c>
      <c r="U512" s="25" t="n">
        <f aca="false">M512-T512</f>
        <v>0</v>
      </c>
      <c r="V512" s="25" t="n">
        <f aca="false">M512+N512</f>
        <v>306.7</v>
      </c>
      <c r="W512" s="25" t="n">
        <f aca="false">O512-V512</f>
        <v>0</v>
      </c>
      <c r="X512" s="22" t="str">
        <f aca="false">IF(OR(ABS(S512)&gt;0.005,ABS(U512)&gt;0.005,ABS(W512)&gt;0.005),"Subledger arithmetic error","OK")</f>
        <v>OK</v>
      </c>
      <c r="Y512" s="22" t="str">
        <f aca="false">IF(X512="OK","","Priority 3")</f>
        <v/>
      </c>
    </row>
    <row r="513" customFormat="false" ht="15" hidden="false" customHeight="false" outlineLevel="0" collapsed="false">
      <c r="A513" s="22" t="s">
        <v>12429</v>
      </c>
      <c r="B513" s="23" t="n">
        <v>46235</v>
      </c>
      <c r="C513" s="22" t="s">
        <v>12430</v>
      </c>
      <c r="D513" s="22" t="s">
        <v>534</v>
      </c>
      <c r="E513" s="22" t="s">
        <v>7768</v>
      </c>
      <c r="F513" s="22" t="s">
        <v>215</v>
      </c>
      <c r="G513" s="22" t="s">
        <v>8601</v>
      </c>
      <c r="H513" s="22" t="s">
        <v>11406</v>
      </c>
      <c r="I513" s="22" t="n">
        <v>50</v>
      </c>
      <c r="J513" s="22" t="n">
        <v>1</v>
      </c>
      <c r="K513" s="22" t="n">
        <v>50</v>
      </c>
      <c r="L513" s="25" t="n">
        <v>7.55</v>
      </c>
      <c r="M513" s="25" t="n">
        <v>377.5</v>
      </c>
      <c r="N513" s="25" t="n">
        <v>48.47</v>
      </c>
      <c r="O513" s="25" t="n">
        <v>425.97</v>
      </c>
      <c r="P513" s="22" t="s">
        <v>11407</v>
      </c>
      <c r="Q513" s="23" t="n">
        <v>46249</v>
      </c>
      <c r="R513" s="22" t="n">
        <f aca="false">I513*J513</f>
        <v>50</v>
      </c>
      <c r="S513" s="25" t="n">
        <f aca="false">K513-R513</f>
        <v>0</v>
      </c>
      <c r="T513" s="25" t="n">
        <f aca="false">K513*L513</f>
        <v>377.5</v>
      </c>
      <c r="U513" s="25" t="n">
        <f aca="false">M513-T513</f>
        <v>0</v>
      </c>
      <c r="V513" s="25" t="n">
        <f aca="false">M513+N513</f>
        <v>425.97</v>
      </c>
      <c r="W513" s="25" t="n">
        <f aca="false">O513-V513</f>
        <v>0</v>
      </c>
      <c r="X513" s="22" t="str">
        <f aca="false">IF(OR(ABS(S513)&gt;0.005,ABS(U513)&gt;0.005,ABS(W513)&gt;0.005),"Subledger arithmetic error","OK")</f>
        <v>OK</v>
      </c>
      <c r="Y513" s="22" t="str">
        <f aca="false">IF(X513="OK","","Priority 3")</f>
        <v/>
      </c>
    </row>
    <row r="514" customFormat="false" ht="15" hidden="false" customHeight="false" outlineLevel="0" collapsed="false">
      <c r="A514" s="22" t="s">
        <v>12431</v>
      </c>
      <c r="B514" s="23" t="n">
        <v>46235</v>
      </c>
      <c r="C514" s="22" t="s">
        <v>12432</v>
      </c>
      <c r="D514" s="22" t="s">
        <v>2440</v>
      </c>
      <c r="E514" s="22" t="s">
        <v>7771</v>
      </c>
      <c r="F514" s="22" t="s">
        <v>215</v>
      </c>
      <c r="G514" s="22" t="s">
        <v>8601</v>
      </c>
      <c r="H514" s="22" t="s">
        <v>11406</v>
      </c>
      <c r="I514" s="22" t="n">
        <v>50</v>
      </c>
      <c r="J514" s="22" t="n">
        <v>1</v>
      </c>
      <c r="K514" s="22" t="n">
        <v>50</v>
      </c>
      <c r="L514" s="25" t="n">
        <v>7.55</v>
      </c>
      <c r="M514" s="25" t="n">
        <v>377.5</v>
      </c>
      <c r="N514" s="25" t="n">
        <v>48.47</v>
      </c>
      <c r="O514" s="25" t="n">
        <v>425.97</v>
      </c>
      <c r="P514" s="22" t="s">
        <v>11407</v>
      </c>
      <c r="Q514" s="23" t="n">
        <v>46249</v>
      </c>
      <c r="R514" s="22" t="n">
        <f aca="false">I514*J514</f>
        <v>50</v>
      </c>
      <c r="S514" s="25" t="n">
        <f aca="false">K514-R514</f>
        <v>0</v>
      </c>
      <c r="T514" s="25" t="n">
        <f aca="false">K514*L514</f>
        <v>377.5</v>
      </c>
      <c r="U514" s="25" t="n">
        <f aca="false">M514-T514</f>
        <v>0</v>
      </c>
      <c r="V514" s="25" t="n">
        <f aca="false">M514+N514</f>
        <v>425.97</v>
      </c>
      <c r="W514" s="25" t="n">
        <f aca="false">O514-V514</f>
        <v>0</v>
      </c>
      <c r="X514" s="22" t="str">
        <f aca="false">IF(OR(ABS(S514)&gt;0.005,ABS(U514)&gt;0.005,ABS(W514)&gt;0.005),"Subledger arithmetic error","OK")</f>
        <v>OK</v>
      </c>
      <c r="Y514" s="22" t="str">
        <f aca="false">IF(X514="OK","","Priority 3")</f>
        <v/>
      </c>
    </row>
    <row r="515" customFormat="false" ht="15" hidden="false" customHeight="false" outlineLevel="0" collapsed="false">
      <c r="A515" s="22" t="s">
        <v>12433</v>
      </c>
      <c r="B515" s="23" t="n">
        <v>46235</v>
      </c>
      <c r="C515" s="22" t="s">
        <v>12434</v>
      </c>
      <c r="D515" s="22" t="s">
        <v>437</v>
      </c>
      <c r="E515" s="22" t="s">
        <v>7772</v>
      </c>
      <c r="F515" s="22" t="s">
        <v>215</v>
      </c>
      <c r="G515" s="22" t="s">
        <v>8601</v>
      </c>
      <c r="H515" s="22" t="s">
        <v>11406</v>
      </c>
      <c r="I515" s="22" t="n">
        <v>40</v>
      </c>
      <c r="J515" s="22" t="n">
        <v>1</v>
      </c>
      <c r="K515" s="22" t="n">
        <v>40</v>
      </c>
      <c r="L515" s="25" t="n">
        <v>7.55</v>
      </c>
      <c r="M515" s="25" t="n">
        <v>302</v>
      </c>
      <c r="N515" s="25" t="n">
        <v>38.78</v>
      </c>
      <c r="O515" s="25" t="n">
        <v>340.78</v>
      </c>
      <c r="P515" s="22" t="s">
        <v>11410</v>
      </c>
      <c r="Q515" s="23" t="n">
        <v>46249</v>
      </c>
      <c r="R515" s="22" t="n">
        <f aca="false">I515*J515</f>
        <v>40</v>
      </c>
      <c r="S515" s="25" t="n">
        <f aca="false">K515-R515</f>
        <v>0</v>
      </c>
      <c r="T515" s="25" t="n">
        <f aca="false">K515*L515</f>
        <v>302</v>
      </c>
      <c r="U515" s="25" t="n">
        <f aca="false">M515-T515</f>
        <v>0</v>
      </c>
      <c r="V515" s="25" t="n">
        <f aca="false">M515+N515</f>
        <v>340.78</v>
      </c>
      <c r="W515" s="25" t="n">
        <f aca="false">O515-V515</f>
        <v>0</v>
      </c>
      <c r="X515" s="22" t="str">
        <f aca="false">IF(OR(ABS(S515)&gt;0.005,ABS(U515)&gt;0.005,ABS(W515)&gt;0.005),"Subledger arithmetic error","OK")</f>
        <v>OK</v>
      </c>
      <c r="Y515" s="22" t="str">
        <f aca="false">IF(X515="OK","","Priority 3")</f>
        <v/>
      </c>
    </row>
    <row r="516" customFormat="false" ht="15" hidden="false" customHeight="false" outlineLevel="0" collapsed="false">
      <c r="A516" s="22" t="s">
        <v>12435</v>
      </c>
      <c r="B516" s="23" t="n">
        <v>46235</v>
      </c>
      <c r="C516" s="22" t="s">
        <v>12436</v>
      </c>
      <c r="D516" s="22" t="s">
        <v>6182</v>
      </c>
      <c r="E516" s="22" t="s">
        <v>7774</v>
      </c>
      <c r="F516" s="22" t="s">
        <v>215</v>
      </c>
      <c r="G516" s="22" t="s">
        <v>8601</v>
      </c>
      <c r="H516" s="22" t="s">
        <v>11406</v>
      </c>
      <c r="I516" s="22" t="n">
        <v>40</v>
      </c>
      <c r="J516" s="22" t="n">
        <v>1</v>
      </c>
      <c r="K516" s="22" t="n">
        <v>40</v>
      </c>
      <c r="L516" s="25" t="n">
        <v>7.55</v>
      </c>
      <c r="M516" s="25" t="n">
        <v>302</v>
      </c>
      <c r="N516" s="25" t="n">
        <v>38.78</v>
      </c>
      <c r="O516" s="25" t="n">
        <v>340.78</v>
      </c>
      <c r="P516" s="22" t="s">
        <v>11407</v>
      </c>
      <c r="Q516" s="23" t="n">
        <v>46249</v>
      </c>
      <c r="R516" s="22" t="n">
        <f aca="false">I516*J516</f>
        <v>40</v>
      </c>
      <c r="S516" s="25" t="n">
        <f aca="false">K516-R516</f>
        <v>0</v>
      </c>
      <c r="T516" s="25" t="n">
        <f aca="false">K516*L516</f>
        <v>302</v>
      </c>
      <c r="U516" s="25" t="n">
        <f aca="false">M516-T516</f>
        <v>0</v>
      </c>
      <c r="V516" s="25" t="n">
        <f aca="false">M516+N516</f>
        <v>340.78</v>
      </c>
      <c r="W516" s="25" t="n">
        <f aca="false">O516-V516</f>
        <v>0</v>
      </c>
      <c r="X516" s="22" t="str">
        <f aca="false">IF(OR(ABS(S516)&gt;0.005,ABS(U516)&gt;0.005,ABS(W516)&gt;0.005),"Subledger arithmetic error","OK")</f>
        <v>OK</v>
      </c>
      <c r="Y516" s="22" t="str">
        <f aca="false">IF(X516="OK","","Priority 3")</f>
        <v/>
      </c>
    </row>
    <row r="517" customFormat="false" ht="15" hidden="false" customHeight="false" outlineLevel="0" collapsed="false">
      <c r="A517" s="22" t="s">
        <v>12437</v>
      </c>
      <c r="B517" s="23" t="n">
        <v>46235</v>
      </c>
      <c r="C517" s="22" t="s">
        <v>12438</v>
      </c>
      <c r="D517" s="22" t="s">
        <v>3866</v>
      </c>
      <c r="E517" s="22" t="s">
        <v>7775</v>
      </c>
      <c r="F517" s="22" t="s">
        <v>215</v>
      </c>
      <c r="G517" s="22" t="s">
        <v>8601</v>
      </c>
      <c r="H517" s="22" t="s">
        <v>11406</v>
      </c>
      <c r="I517" s="22" t="n">
        <v>62</v>
      </c>
      <c r="J517" s="22" t="n">
        <v>1</v>
      </c>
      <c r="K517" s="22" t="n">
        <v>62</v>
      </c>
      <c r="L517" s="25" t="n">
        <v>7.55</v>
      </c>
      <c r="M517" s="25" t="n">
        <v>468.1</v>
      </c>
      <c r="N517" s="25" t="n">
        <v>60.1</v>
      </c>
      <c r="O517" s="25" t="n">
        <v>528.2</v>
      </c>
      <c r="P517" s="22" t="s">
        <v>11410</v>
      </c>
      <c r="Q517" s="23" t="n">
        <v>46249</v>
      </c>
      <c r="R517" s="22" t="n">
        <f aca="false">I517*J517</f>
        <v>62</v>
      </c>
      <c r="S517" s="25" t="n">
        <f aca="false">K517-R517</f>
        <v>0</v>
      </c>
      <c r="T517" s="25" t="n">
        <f aca="false">K517*L517</f>
        <v>468.1</v>
      </c>
      <c r="U517" s="25" t="n">
        <f aca="false">M517-T517</f>
        <v>0</v>
      </c>
      <c r="V517" s="25" t="n">
        <f aca="false">M517+N517</f>
        <v>528.2</v>
      </c>
      <c r="W517" s="25" t="n">
        <f aca="false">O517-V517</f>
        <v>0</v>
      </c>
      <c r="X517" s="22" t="str">
        <f aca="false">IF(OR(ABS(S517)&gt;0.005,ABS(U517)&gt;0.005,ABS(W517)&gt;0.005),"Subledger arithmetic error","OK")</f>
        <v>OK</v>
      </c>
      <c r="Y517" s="22" t="str">
        <f aca="false">IF(X517="OK","","Priority 3")</f>
        <v/>
      </c>
    </row>
    <row r="518" customFormat="false" ht="15" hidden="false" customHeight="false" outlineLevel="0" collapsed="false">
      <c r="A518" s="22" t="s">
        <v>12439</v>
      </c>
      <c r="B518" s="23" t="n">
        <v>46235</v>
      </c>
      <c r="C518" s="22" t="s">
        <v>12440</v>
      </c>
      <c r="D518" s="22" t="s">
        <v>2331</v>
      </c>
      <c r="E518" s="22" t="s">
        <v>7777</v>
      </c>
      <c r="F518" s="22" t="s">
        <v>215</v>
      </c>
      <c r="G518" s="22" t="s">
        <v>8601</v>
      </c>
      <c r="H518" s="22" t="s">
        <v>11406</v>
      </c>
      <c r="I518" s="22" t="n">
        <v>50</v>
      </c>
      <c r="J518" s="22" t="n">
        <v>1</v>
      </c>
      <c r="K518" s="22" t="n">
        <v>50</v>
      </c>
      <c r="L518" s="25" t="n">
        <v>7.55</v>
      </c>
      <c r="M518" s="25" t="n">
        <v>377.5</v>
      </c>
      <c r="N518" s="25" t="n">
        <v>48.47</v>
      </c>
      <c r="O518" s="25" t="n">
        <v>425.97</v>
      </c>
      <c r="P518" s="22" t="s">
        <v>11407</v>
      </c>
      <c r="Q518" s="23" t="n">
        <v>46249</v>
      </c>
      <c r="R518" s="22" t="n">
        <f aca="false">I518*J518</f>
        <v>50</v>
      </c>
      <c r="S518" s="25" t="n">
        <f aca="false">K518-R518</f>
        <v>0</v>
      </c>
      <c r="T518" s="25" t="n">
        <f aca="false">K518*L518</f>
        <v>377.5</v>
      </c>
      <c r="U518" s="25" t="n">
        <f aca="false">M518-T518</f>
        <v>0</v>
      </c>
      <c r="V518" s="25" t="n">
        <f aca="false">M518+N518</f>
        <v>425.97</v>
      </c>
      <c r="W518" s="25" t="n">
        <f aca="false">O518-V518</f>
        <v>0</v>
      </c>
      <c r="X518" s="22" t="str">
        <f aca="false">IF(OR(ABS(S518)&gt;0.005,ABS(U518)&gt;0.005,ABS(W518)&gt;0.005),"Subledger arithmetic error","OK")</f>
        <v>OK</v>
      </c>
      <c r="Y518" s="22" t="str">
        <f aca="false">IF(X518="OK","","Priority 3")</f>
        <v/>
      </c>
    </row>
    <row r="519" customFormat="false" ht="15" hidden="false" customHeight="false" outlineLevel="0" collapsed="false">
      <c r="A519" s="22" t="s">
        <v>12441</v>
      </c>
      <c r="B519" s="23" t="n">
        <v>46235</v>
      </c>
      <c r="C519" s="22" t="s">
        <v>12442</v>
      </c>
      <c r="D519" s="22" t="s">
        <v>691</v>
      </c>
      <c r="E519" s="22" t="s">
        <v>7778</v>
      </c>
      <c r="F519" s="22" t="s">
        <v>215</v>
      </c>
      <c r="G519" s="22" t="s">
        <v>8601</v>
      </c>
      <c r="H519" s="22" t="s">
        <v>11406</v>
      </c>
      <c r="I519" s="22" t="n">
        <v>70</v>
      </c>
      <c r="J519" s="22" t="n">
        <v>1</v>
      </c>
      <c r="K519" s="22" t="n">
        <v>70</v>
      </c>
      <c r="L519" s="25" t="n">
        <v>7.55</v>
      </c>
      <c r="M519" s="25" t="n">
        <v>528.5</v>
      </c>
      <c r="N519" s="25" t="n">
        <v>67.86</v>
      </c>
      <c r="O519" s="25" t="n">
        <v>596.36</v>
      </c>
      <c r="P519" s="22" t="s">
        <v>11407</v>
      </c>
      <c r="Q519" s="23" t="n">
        <v>46249</v>
      </c>
      <c r="R519" s="22" t="n">
        <f aca="false">I519*J519</f>
        <v>70</v>
      </c>
      <c r="S519" s="25" t="n">
        <f aca="false">K519-R519</f>
        <v>0</v>
      </c>
      <c r="T519" s="25" t="n">
        <f aca="false">K519*L519</f>
        <v>528.5</v>
      </c>
      <c r="U519" s="25" t="n">
        <f aca="false">M519-T519</f>
        <v>0</v>
      </c>
      <c r="V519" s="25" t="n">
        <f aca="false">M519+N519</f>
        <v>596.36</v>
      </c>
      <c r="W519" s="25" t="n">
        <f aca="false">O519-V519</f>
        <v>0</v>
      </c>
      <c r="X519" s="22" t="str">
        <f aca="false">IF(OR(ABS(S519)&gt;0.005,ABS(U519)&gt;0.005,ABS(W519)&gt;0.005),"Subledger arithmetic error","OK")</f>
        <v>OK</v>
      </c>
      <c r="Y519" s="22" t="str">
        <f aca="false">IF(X519="OK","","Priority 3")</f>
        <v/>
      </c>
    </row>
    <row r="520" customFormat="false" ht="15" hidden="false" customHeight="false" outlineLevel="0" collapsed="false">
      <c r="A520" s="22" t="s">
        <v>12443</v>
      </c>
      <c r="B520" s="23" t="n">
        <v>46235</v>
      </c>
      <c r="C520" s="22" t="s">
        <v>12444</v>
      </c>
      <c r="D520" s="22" t="s">
        <v>2878</v>
      </c>
      <c r="E520" s="22" t="s">
        <v>7779</v>
      </c>
      <c r="F520" s="22" t="s">
        <v>215</v>
      </c>
      <c r="G520" s="22" t="s">
        <v>8601</v>
      </c>
      <c r="H520" s="22" t="s">
        <v>11406</v>
      </c>
      <c r="I520" s="22" t="n">
        <v>28</v>
      </c>
      <c r="J520" s="22" t="n">
        <v>1</v>
      </c>
      <c r="K520" s="22" t="n">
        <v>28</v>
      </c>
      <c r="L520" s="25" t="n">
        <v>7.55</v>
      </c>
      <c r="M520" s="25" t="n">
        <v>211.4</v>
      </c>
      <c r="N520" s="25" t="n">
        <v>27.14</v>
      </c>
      <c r="O520" s="25" t="n">
        <v>238.54</v>
      </c>
      <c r="P520" s="22" t="s">
        <v>11407</v>
      </c>
      <c r="Q520" s="23" t="n">
        <v>46249</v>
      </c>
      <c r="R520" s="22" t="n">
        <f aca="false">I520*J520</f>
        <v>28</v>
      </c>
      <c r="S520" s="25" t="n">
        <f aca="false">K520-R520</f>
        <v>0</v>
      </c>
      <c r="T520" s="25" t="n">
        <f aca="false">K520*L520</f>
        <v>211.4</v>
      </c>
      <c r="U520" s="25" t="n">
        <f aca="false">M520-T520</f>
        <v>0</v>
      </c>
      <c r="V520" s="25" t="n">
        <f aca="false">M520+N520</f>
        <v>238.54</v>
      </c>
      <c r="W520" s="25" t="n">
        <f aca="false">O520-V520</f>
        <v>0</v>
      </c>
      <c r="X520" s="22" t="str">
        <f aca="false">IF(OR(ABS(S520)&gt;0.005,ABS(U520)&gt;0.005,ABS(W520)&gt;0.005),"Subledger arithmetic error","OK")</f>
        <v>OK</v>
      </c>
      <c r="Y520" s="22" t="str">
        <f aca="false">IF(X520="OK","","Priority 3")</f>
        <v/>
      </c>
    </row>
    <row r="521" customFormat="false" ht="15" hidden="false" customHeight="false" outlineLevel="0" collapsed="false">
      <c r="A521" s="22" t="s">
        <v>12445</v>
      </c>
      <c r="B521" s="23" t="n">
        <v>46235</v>
      </c>
      <c r="C521" s="22" t="s">
        <v>12446</v>
      </c>
      <c r="D521" s="22" t="s">
        <v>2556</v>
      </c>
      <c r="E521" s="22" t="s">
        <v>7781</v>
      </c>
      <c r="F521" s="22" t="s">
        <v>215</v>
      </c>
      <c r="G521" s="22" t="s">
        <v>8601</v>
      </c>
      <c r="H521" s="22" t="s">
        <v>11406</v>
      </c>
      <c r="I521" s="22" t="n">
        <v>50</v>
      </c>
      <c r="J521" s="22" t="n">
        <v>1</v>
      </c>
      <c r="K521" s="22" t="n">
        <v>50</v>
      </c>
      <c r="L521" s="25" t="n">
        <v>7.55</v>
      </c>
      <c r="M521" s="25" t="n">
        <v>377.5</v>
      </c>
      <c r="N521" s="25" t="n">
        <v>48.47</v>
      </c>
      <c r="O521" s="25" t="n">
        <v>425.97</v>
      </c>
      <c r="P521" s="22" t="s">
        <v>11407</v>
      </c>
      <c r="Q521" s="23" t="n">
        <v>46249</v>
      </c>
      <c r="R521" s="22" t="n">
        <f aca="false">I521*J521</f>
        <v>50</v>
      </c>
      <c r="S521" s="25" t="n">
        <f aca="false">K521-R521</f>
        <v>0</v>
      </c>
      <c r="T521" s="25" t="n">
        <f aca="false">K521*L521</f>
        <v>377.5</v>
      </c>
      <c r="U521" s="25" t="n">
        <f aca="false">M521-T521</f>
        <v>0</v>
      </c>
      <c r="V521" s="25" t="n">
        <f aca="false">M521+N521</f>
        <v>425.97</v>
      </c>
      <c r="W521" s="25" t="n">
        <f aca="false">O521-V521</f>
        <v>0</v>
      </c>
      <c r="X521" s="22" t="str">
        <f aca="false">IF(OR(ABS(S521)&gt;0.005,ABS(U521)&gt;0.005,ABS(W521)&gt;0.005),"Subledger arithmetic error","OK")</f>
        <v>OK</v>
      </c>
      <c r="Y521" s="22" t="str">
        <f aca="false">IF(X521="OK","","Priority 3")</f>
        <v/>
      </c>
    </row>
    <row r="522" customFormat="false" ht="15" hidden="false" customHeight="false" outlineLevel="0" collapsed="false">
      <c r="A522" s="22" t="s">
        <v>12447</v>
      </c>
      <c r="B522" s="23" t="n">
        <v>46235</v>
      </c>
      <c r="C522" s="22" t="s">
        <v>12448</v>
      </c>
      <c r="D522" s="22" t="s">
        <v>3187</v>
      </c>
      <c r="E522" s="22" t="s">
        <v>7784</v>
      </c>
      <c r="F522" s="22" t="s">
        <v>215</v>
      </c>
      <c r="G522" s="22" t="s">
        <v>8601</v>
      </c>
      <c r="H522" s="22" t="s">
        <v>11406</v>
      </c>
      <c r="I522" s="22" t="n">
        <v>32</v>
      </c>
      <c r="J522" s="22" t="n">
        <v>1</v>
      </c>
      <c r="K522" s="22" t="n">
        <v>32</v>
      </c>
      <c r="L522" s="25" t="n">
        <v>7.55</v>
      </c>
      <c r="M522" s="25" t="n">
        <v>241.6</v>
      </c>
      <c r="N522" s="25" t="n">
        <v>31.02</v>
      </c>
      <c r="O522" s="25" t="n">
        <v>272.62</v>
      </c>
      <c r="P522" s="22" t="s">
        <v>11407</v>
      </c>
      <c r="Q522" s="23" t="n">
        <v>46249</v>
      </c>
      <c r="R522" s="22" t="n">
        <f aca="false">I522*J522</f>
        <v>32</v>
      </c>
      <c r="S522" s="25" t="n">
        <f aca="false">K522-R522</f>
        <v>0</v>
      </c>
      <c r="T522" s="25" t="n">
        <f aca="false">K522*L522</f>
        <v>241.6</v>
      </c>
      <c r="U522" s="25" t="n">
        <f aca="false">M522-T522</f>
        <v>0</v>
      </c>
      <c r="V522" s="25" t="n">
        <f aca="false">M522+N522</f>
        <v>272.62</v>
      </c>
      <c r="W522" s="25" t="n">
        <f aca="false">O522-V522</f>
        <v>0</v>
      </c>
      <c r="X522" s="22" t="str">
        <f aca="false">IF(OR(ABS(S522)&gt;0.005,ABS(U522)&gt;0.005,ABS(W522)&gt;0.005),"Subledger arithmetic error","OK")</f>
        <v>OK</v>
      </c>
      <c r="Y522" s="22" t="str">
        <f aca="false">IF(X522="OK","","Priority 3")</f>
        <v/>
      </c>
    </row>
    <row r="523" customFormat="false" ht="15" hidden="false" customHeight="false" outlineLevel="0" collapsed="false">
      <c r="A523" s="22" t="s">
        <v>12449</v>
      </c>
      <c r="B523" s="23" t="n">
        <v>46235</v>
      </c>
      <c r="C523" s="22" t="s">
        <v>12450</v>
      </c>
      <c r="D523" s="22" t="s">
        <v>6355</v>
      </c>
      <c r="E523" s="22" t="s">
        <v>7785</v>
      </c>
      <c r="F523" s="22" t="s">
        <v>215</v>
      </c>
      <c r="G523" s="22" t="s">
        <v>8601</v>
      </c>
      <c r="H523" s="22" t="s">
        <v>11406</v>
      </c>
      <c r="I523" s="22" t="n">
        <v>31</v>
      </c>
      <c r="J523" s="22" t="n">
        <v>1</v>
      </c>
      <c r="K523" s="22" t="n">
        <v>31</v>
      </c>
      <c r="L523" s="25" t="n">
        <v>7.55</v>
      </c>
      <c r="M523" s="25" t="n">
        <v>234.05</v>
      </c>
      <c r="N523" s="25" t="n">
        <v>30.05</v>
      </c>
      <c r="O523" s="25" t="n">
        <v>264.1</v>
      </c>
      <c r="P523" s="22" t="s">
        <v>11407</v>
      </c>
      <c r="Q523" s="23" t="n">
        <v>46249</v>
      </c>
      <c r="R523" s="22" t="n">
        <f aca="false">I523*J523</f>
        <v>31</v>
      </c>
      <c r="S523" s="25" t="n">
        <f aca="false">K523-R523</f>
        <v>0</v>
      </c>
      <c r="T523" s="25" t="n">
        <f aca="false">K523*L523</f>
        <v>234.05</v>
      </c>
      <c r="U523" s="25" t="n">
        <f aca="false">M523-T523</f>
        <v>0</v>
      </c>
      <c r="V523" s="25" t="n">
        <f aca="false">M523+N523</f>
        <v>264.1</v>
      </c>
      <c r="W523" s="25" t="n">
        <f aca="false">O523-V523</f>
        <v>0</v>
      </c>
      <c r="X523" s="22" t="str">
        <f aca="false">IF(OR(ABS(S523)&gt;0.005,ABS(U523)&gt;0.005,ABS(W523)&gt;0.005),"Subledger arithmetic error","OK")</f>
        <v>OK</v>
      </c>
      <c r="Y523" s="22" t="str">
        <f aca="false">IF(X523="OK","","Priority 3")</f>
        <v/>
      </c>
    </row>
    <row r="524" customFormat="false" ht="15" hidden="false" customHeight="false" outlineLevel="0" collapsed="false">
      <c r="A524" s="22" t="s">
        <v>12451</v>
      </c>
      <c r="B524" s="23" t="n">
        <v>46235</v>
      </c>
      <c r="C524" s="22" t="s">
        <v>12452</v>
      </c>
      <c r="D524" s="22" t="s">
        <v>1329</v>
      </c>
      <c r="E524" s="22" t="s">
        <v>7786</v>
      </c>
      <c r="F524" s="22" t="s">
        <v>215</v>
      </c>
      <c r="G524" s="22" t="s">
        <v>8601</v>
      </c>
      <c r="H524" s="22" t="s">
        <v>11406</v>
      </c>
      <c r="I524" s="22" t="n">
        <v>50</v>
      </c>
      <c r="J524" s="22" t="n">
        <v>1</v>
      </c>
      <c r="K524" s="22" t="n">
        <v>50</v>
      </c>
      <c r="L524" s="25" t="n">
        <v>7.55</v>
      </c>
      <c r="M524" s="25" t="n">
        <v>377.5</v>
      </c>
      <c r="N524" s="25" t="n">
        <v>48.47</v>
      </c>
      <c r="O524" s="25" t="n">
        <v>425.97</v>
      </c>
      <c r="P524" s="22" t="s">
        <v>11410</v>
      </c>
      <c r="Q524" s="23" t="n">
        <v>46249</v>
      </c>
      <c r="R524" s="22" t="n">
        <f aca="false">I524*J524</f>
        <v>50</v>
      </c>
      <c r="S524" s="25" t="n">
        <f aca="false">K524-R524</f>
        <v>0</v>
      </c>
      <c r="T524" s="25" t="n">
        <f aca="false">K524*L524</f>
        <v>377.5</v>
      </c>
      <c r="U524" s="25" t="n">
        <f aca="false">M524-T524</f>
        <v>0</v>
      </c>
      <c r="V524" s="25" t="n">
        <f aca="false">M524+N524</f>
        <v>425.97</v>
      </c>
      <c r="W524" s="25" t="n">
        <f aca="false">O524-V524</f>
        <v>0</v>
      </c>
      <c r="X524" s="22" t="str">
        <f aca="false">IF(OR(ABS(S524)&gt;0.005,ABS(U524)&gt;0.005,ABS(W524)&gt;0.005),"Subledger arithmetic error","OK")</f>
        <v>OK</v>
      </c>
      <c r="Y524" s="22" t="str">
        <f aca="false">IF(X524="OK","","Priority 3")</f>
        <v/>
      </c>
    </row>
    <row r="525" customFormat="false" ht="15" hidden="false" customHeight="false" outlineLevel="0" collapsed="false">
      <c r="A525" s="22" t="s">
        <v>12453</v>
      </c>
      <c r="B525" s="23" t="n">
        <v>46235</v>
      </c>
      <c r="C525" s="22" t="s">
        <v>12454</v>
      </c>
      <c r="D525" s="22" t="s">
        <v>2010</v>
      </c>
      <c r="E525" s="22" t="s">
        <v>7787</v>
      </c>
      <c r="F525" s="22" t="s">
        <v>215</v>
      </c>
      <c r="G525" s="22" t="s">
        <v>8601</v>
      </c>
      <c r="H525" s="22" t="s">
        <v>11406</v>
      </c>
      <c r="I525" s="22" t="n">
        <v>33</v>
      </c>
      <c r="J525" s="22" t="n">
        <v>1</v>
      </c>
      <c r="K525" s="22" t="n">
        <v>33</v>
      </c>
      <c r="L525" s="25" t="n">
        <v>7.55</v>
      </c>
      <c r="M525" s="25" t="n">
        <v>249.15</v>
      </c>
      <c r="N525" s="25" t="n">
        <v>31.99</v>
      </c>
      <c r="O525" s="25" t="n">
        <v>281.14</v>
      </c>
      <c r="P525" s="22" t="s">
        <v>11407</v>
      </c>
      <c r="Q525" s="23" t="n">
        <v>46249</v>
      </c>
      <c r="R525" s="22" t="n">
        <f aca="false">I525*J525</f>
        <v>33</v>
      </c>
      <c r="S525" s="25" t="n">
        <f aca="false">K525-R525</f>
        <v>0</v>
      </c>
      <c r="T525" s="25" t="n">
        <f aca="false">K525*L525</f>
        <v>249.15</v>
      </c>
      <c r="U525" s="25" t="n">
        <f aca="false">M525-T525</f>
        <v>0</v>
      </c>
      <c r="V525" s="25" t="n">
        <f aca="false">M525+N525</f>
        <v>281.14</v>
      </c>
      <c r="W525" s="25" t="n">
        <f aca="false">O525-V525</f>
        <v>0</v>
      </c>
      <c r="X525" s="22" t="str">
        <f aca="false">IF(OR(ABS(S525)&gt;0.005,ABS(U525)&gt;0.005,ABS(W525)&gt;0.005),"Subledger arithmetic error","OK")</f>
        <v>OK</v>
      </c>
      <c r="Y525" s="22" t="str">
        <f aca="false">IF(X525="OK","","Priority 3")</f>
        <v/>
      </c>
    </row>
    <row r="526" customFormat="false" ht="15" hidden="false" customHeight="false" outlineLevel="0" collapsed="false">
      <c r="A526" s="22" t="s">
        <v>12455</v>
      </c>
      <c r="B526" s="23" t="n">
        <v>46235</v>
      </c>
      <c r="C526" s="22" t="s">
        <v>12456</v>
      </c>
      <c r="D526" s="22" t="s">
        <v>1223</v>
      </c>
      <c r="E526" s="22" t="s">
        <v>7788</v>
      </c>
      <c r="F526" s="22" t="s">
        <v>215</v>
      </c>
      <c r="G526" s="22" t="s">
        <v>8601</v>
      </c>
      <c r="H526" s="22" t="s">
        <v>11406</v>
      </c>
      <c r="I526" s="22" t="n">
        <v>44</v>
      </c>
      <c r="J526" s="22" t="n">
        <v>1</v>
      </c>
      <c r="K526" s="22" t="n">
        <v>44</v>
      </c>
      <c r="L526" s="25" t="n">
        <v>7.55</v>
      </c>
      <c r="M526" s="25" t="n">
        <v>332.2</v>
      </c>
      <c r="N526" s="25" t="n">
        <v>42.65</v>
      </c>
      <c r="O526" s="25" t="n">
        <v>374.85</v>
      </c>
      <c r="P526" s="22" t="s">
        <v>11407</v>
      </c>
      <c r="Q526" s="23" t="n">
        <v>46249</v>
      </c>
      <c r="R526" s="22" t="n">
        <f aca="false">I526*J526</f>
        <v>44</v>
      </c>
      <c r="S526" s="25" t="n">
        <f aca="false">K526-R526</f>
        <v>0</v>
      </c>
      <c r="T526" s="25" t="n">
        <f aca="false">K526*L526</f>
        <v>332.2</v>
      </c>
      <c r="U526" s="25" t="n">
        <f aca="false">M526-T526</f>
        <v>0</v>
      </c>
      <c r="V526" s="25" t="n">
        <f aca="false">M526+N526</f>
        <v>374.85</v>
      </c>
      <c r="W526" s="25" t="n">
        <f aca="false">O526-V526</f>
        <v>0</v>
      </c>
      <c r="X526" s="22" t="str">
        <f aca="false">IF(OR(ABS(S526)&gt;0.005,ABS(U526)&gt;0.005,ABS(W526)&gt;0.005),"Subledger arithmetic error","OK")</f>
        <v>OK</v>
      </c>
      <c r="Y526" s="22" t="str">
        <f aca="false">IF(X526="OK","","Priority 3")</f>
        <v/>
      </c>
    </row>
    <row r="527" customFormat="false" ht="15" hidden="false" customHeight="false" outlineLevel="0" collapsed="false">
      <c r="A527" s="22" t="s">
        <v>12457</v>
      </c>
      <c r="B527" s="23" t="n">
        <v>46235</v>
      </c>
      <c r="C527" s="22" t="s">
        <v>12458</v>
      </c>
      <c r="D527" s="22" t="s">
        <v>4607</v>
      </c>
      <c r="E527" s="22" t="s">
        <v>7790</v>
      </c>
      <c r="F527" s="22" t="s">
        <v>215</v>
      </c>
      <c r="G527" s="22" t="s">
        <v>8601</v>
      </c>
      <c r="H527" s="22" t="s">
        <v>11406</v>
      </c>
      <c r="I527" s="22" t="n">
        <v>61</v>
      </c>
      <c r="J527" s="22" t="n">
        <v>1</v>
      </c>
      <c r="K527" s="22" t="n">
        <v>61</v>
      </c>
      <c r="L527" s="25" t="n">
        <v>7.55</v>
      </c>
      <c r="M527" s="25" t="n">
        <v>460.55</v>
      </c>
      <c r="N527" s="25" t="n">
        <v>59.13</v>
      </c>
      <c r="O527" s="25" t="n">
        <v>519.68</v>
      </c>
      <c r="P527" s="22" t="s">
        <v>11407</v>
      </c>
      <c r="Q527" s="23" t="n">
        <v>46249</v>
      </c>
      <c r="R527" s="22" t="n">
        <f aca="false">I527*J527</f>
        <v>61</v>
      </c>
      <c r="S527" s="25" t="n">
        <f aca="false">K527-R527</f>
        <v>0</v>
      </c>
      <c r="T527" s="25" t="n">
        <f aca="false">K527*L527</f>
        <v>460.55</v>
      </c>
      <c r="U527" s="25" t="n">
        <f aca="false">M527-T527</f>
        <v>0</v>
      </c>
      <c r="V527" s="25" t="n">
        <f aca="false">M527+N527</f>
        <v>519.68</v>
      </c>
      <c r="W527" s="25" t="n">
        <f aca="false">O527-V527</f>
        <v>0</v>
      </c>
      <c r="X527" s="22" t="str">
        <f aca="false">IF(OR(ABS(S527)&gt;0.005,ABS(U527)&gt;0.005,ABS(W527)&gt;0.005),"Subledger arithmetic error","OK")</f>
        <v>OK</v>
      </c>
      <c r="Y527" s="22" t="str">
        <f aca="false">IF(X527="OK","","Priority 3")</f>
        <v/>
      </c>
    </row>
    <row r="528" customFormat="false" ht="15" hidden="false" customHeight="false" outlineLevel="0" collapsed="false">
      <c r="A528" s="22" t="s">
        <v>12459</v>
      </c>
      <c r="B528" s="23" t="n">
        <v>46235</v>
      </c>
      <c r="C528" s="22" t="s">
        <v>12460</v>
      </c>
      <c r="D528" s="22" t="s">
        <v>2678</v>
      </c>
      <c r="E528" s="22" t="s">
        <v>7792</v>
      </c>
      <c r="F528" s="22" t="s">
        <v>215</v>
      </c>
      <c r="G528" s="22" t="s">
        <v>8601</v>
      </c>
      <c r="H528" s="22" t="s">
        <v>11406</v>
      </c>
      <c r="I528" s="22" t="n">
        <v>45</v>
      </c>
      <c r="J528" s="22" t="n">
        <v>1</v>
      </c>
      <c r="K528" s="22" t="n">
        <v>45</v>
      </c>
      <c r="L528" s="25" t="n">
        <v>7.55</v>
      </c>
      <c r="M528" s="25" t="n">
        <v>339.75</v>
      </c>
      <c r="N528" s="25" t="n">
        <v>43.62</v>
      </c>
      <c r="O528" s="25" t="n">
        <v>383.37</v>
      </c>
      <c r="P528" s="22" t="s">
        <v>11407</v>
      </c>
      <c r="Q528" s="23" t="n">
        <v>46249</v>
      </c>
      <c r="R528" s="22" t="n">
        <f aca="false">I528*J528</f>
        <v>45</v>
      </c>
      <c r="S528" s="25" t="n">
        <f aca="false">K528-R528</f>
        <v>0</v>
      </c>
      <c r="T528" s="25" t="n">
        <f aca="false">K528*L528</f>
        <v>339.75</v>
      </c>
      <c r="U528" s="25" t="n">
        <f aca="false">M528-T528</f>
        <v>0</v>
      </c>
      <c r="V528" s="25" t="n">
        <f aca="false">M528+N528</f>
        <v>383.37</v>
      </c>
      <c r="W528" s="25" t="n">
        <f aca="false">O528-V528</f>
        <v>0</v>
      </c>
      <c r="X528" s="22" t="str">
        <f aca="false">IF(OR(ABS(S528)&gt;0.005,ABS(U528)&gt;0.005,ABS(W528)&gt;0.005),"Subledger arithmetic error","OK")</f>
        <v>OK</v>
      </c>
      <c r="Y528" s="22" t="str">
        <f aca="false">IF(X528="OK","","Priority 3")</f>
        <v/>
      </c>
    </row>
    <row r="529" customFormat="false" ht="15" hidden="false" customHeight="false" outlineLevel="0" collapsed="false">
      <c r="A529" s="22" t="s">
        <v>12461</v>
      </c>
      <c r="B529" s="23" t="n">
        <v>46235</v>
      </c>
      <c r="C529" s="22" t="s">
        <v>12462</v>
      </c>
      <c r="D529" s="22" t="s">
        <v>5061</v>
      </c>
      <c r="E529" s="22" t="s">
        <v>7793</v>
      </c>
      <c r="F529" s="22" t="s">
        <v>215</v>
      </c>
      <c r="G529" s="22" t="s">
        <v>8601</v>
      </c>
      <c r="H529" s="22" t="s">
        <v>11406</v>
      </c>
      <c r="I529" s="22" t="n">
        <v>37</v>
      </c>
      <c r="J529" s="22" t="n">
        <v>1</v>
      </c>
      <c r="K529" s="22" t="n">
        <v>37</v>
      </c>
      <c r="L529" s="25" t="n">
        <v>7.55</v>
      </c>
      <c r="M529" s="25" t="n">
        <v>279.35</v>
      </c>
      <c r="N529" s="25" t="n">
        <v>35.87</v>
      </c>
      <c r="O529" s="25" t="n">
        <v>315.22</v>
      </c>
      <c r="P529" s="22" t="s">
        <v>11407</v>
      </c>
      <c r="Q529" s="23" t="n">
        <v>46249</v>
      </c>
      <c r="R529" s="22" t="n">
        <f aca="false">I529*J529</f>
        <v>37</v>
      </c>
      <c r="S529" s="25" t="n">
        <f aca="false">K529-R529</f>
        <v>0</v>
      </c>
      <c r="T529" s="25" t="n">
        <f aca="false">K529*L529</f>
        <v>279.35</v>
      </c>
      <c r="U529" s="25" t="n">
        <f aca="false">M529-T529</f>
        <v>0</v>
      </c>
      <c r="V529" s="25" t="n">
        <f aca="false">M529+N529</f>
        <v>315.22</v>
      </c>
      <c r="W529" s="25" t="n">
        <f aca="false">O529-V529</f>
        <v>0</v>
      </c>
      <c r="X529" s="22" t="str">
        <f aca="false">IF(OR(ABS(S529)&gt;0.005,ABS(U529)&gt;0.005,ABS(W529)&gt;0.005),"Subledger arithmetic error","OK")</f>
        <v>OK</v>
      </c>
      <c r="Y529" s="22" t="str">
        <f aca="false">IF(X529="OK","","Priority 3")</f>
        <v/>
      </c>
    </row>
    <row r="530" customFormat="false" ht="15" hidden="false" customHeight="false" outlineLevel="0" collapsed="false">
      <c r="A530" s="22" t="s">
        <v>12463</v>
      </c>
      <c r="B530" s="23" t="n">
        <v>46235</v>
      </c>
      <c r="C530" s="22" t="s">
        <v>12464</v>
      </c>
      <c r="D530" s="22" t="s">
        <v>4111</v>
      </c>
      <c r="E530" s="22" t="s">
        <v>7794</v>
      </c>
      <c r="F530" s="22" t="s">
        <v>215</v>
      </c>
      <c r="G530" s="22" t="s">
        <v>8601</v>
      </c>
      <c r="H530" s="22" t="s">
        <v>11406</v>
      </c>
      <c r="I530" s="22" t="n">
        <v>70</v>
      </c>
      <c r="J530" s="22" t="n">
        <v>1</v>
      </c>
      <c r="K530" s="22" t="n">
        <v>70</v>
      </c>
      <c r="L530" s="25" t="n">
        <v>7.55</v>
      </c>
      <c r="M530" s="25" t="n">
        <v>528.5</v>
      </c>
      <c r="N530" s="25" t="n">
        <v>67.86</v>
      </c>
      <c r="O530" s="25" t="n">
        <v>596.36</v>
      </c>
      <c r="P530" s="22" t="s">
        <v>11407</v>
      </c>
      <c r="Q530" s="23" t="n">
        <v>46249</v>
      </c>
      <c r="R530" s="22" t="n">
        <f aca="false">I530*J530</f>
        <v>70</v>
      </c>
      <c r="S530" s="25" t="n">
        <f aca="false">K530-R530</f>
        <v>0</v>
      </c>
      <c r="T530" s="25" t="n">
        <f aca="false">K530*L530</f>
        <v>528.5</v>
      </c>
      <c r="U530" s="25" t="n">
        <f aca="false">M530-T530</f>
        <v>0</v>
      </c>
      <c r="V530" s="25" t="n">
        <f aca="false">M530+N530</f>
        <v>596.36</v>
      </c>
      <c r="W530" s="25" t="n">
        <f aca="false">O530-V530</f>
        <v>0</v>
      </c>
      <c r="X530" s="22" t="str">
        <f aca="false">IF(OR(ABS(S530)&gt;0.005,ABS(U530)&gt;0.005,ABS(W530)&gt;0.005),"Subledger arithmetic error","OK")</f>
        <v>OK</v>
      </c>
      <c r="Y530" s="22" t="str">
        <f aca="false">IF(X530="OK","","Priority 3")</f>
        <v/>
      </c>
    </row>
    <row r="531" customFormat="false" ht="15" hidden="false" customHeight="false" outlineLevel="0" collapsed="false">
      <c r="A531" s="22" t="s">
        <v>12465</v>
      </c>
      <c r="B531" s="23" t="n">
        <v>46235</v>
      </c>
      <c r="C531" s="22" t="s">
        <v>12466</v>
      </c>
      <c r="D531" s="22" t="s">
        <v>4034</v>
      </c>
      <c r="E531" s="22" t="s">
        <v>7796</v>
      </c>
      <c r="F531" s="22" t="s">
        <v>215</v>
      </c>
      <c r="G531" s="22" t="s">
        <v>8601</v>
      </c>
      <c r="H531" s="22" t="s">
        <v>11406</v>
      </c>
      <c r="I531" s="22" t="n">
        <v>70</v>
      </c>
      <c r="J531" s="22" t="n">
        <v>1</v>
      </c>
      <c r="K531" s="22" t="n">
        <v>70</v>
      </c>
      <c r="L531" s="25" t="n">
        <v>7.55</v>
      </c>
      <c r="M531" s="25" t="n">
        <v>528.5</v>
      </c>
      <c r="N531" s="25" t="n">
        <v>67.86</v>
      </c>
      <c r="O531" s="25" t="n">
        <v>596.36</v>
      </c>
      <c r="P531" s="22" t="s">
        <v>11407</v>
      </c>
      <c r="Q531" s="23" t="n">
        <v>46249</v>
      </c>
      <c r="R531" s="22" t="n">
        <f aca="false">I531*J531</f>
        <v>70</v>
      </c>
      <c r="S531" s="25" t="n">
        <f aca="false">K531-R531</f>
        <v>0</v>
      </c>
      <c r="T531" s="25" t="n">
        <f aca="false">K531*L531</f>
        <v>528.5</v>
      </c>
      <c r="U531" s="25" t="n">
        <f aca="false">M531-T531</f>
        <v>0</v>
      </c>
      <c r="V531" s="25" t="n">
        <f aca="false">M531+N531</f>
        <v>596.36</v>
      </c>
      <c r="W531" s="25" t="n">
        <f aca="false">O531-V531</f>
        <v>0</v>
      </c>
      <c r="X531" s="22" t="str">
        <f aca="false">IF(OR(ABS(S531)&gt;0.005,ABS(U531)&gt;0.005,ABS(W531)&gt;0.005),"Subledger arithmetic error","OK")</f>
        <v>OK</v>
      </c>
      <c r="Y531" s="22" t="str">
        <f aca="false">IF(X531="OK","","Priority 3")</f>
        <v/>
      </c>
    </row>
    <row r="532" customFormat="false" ht="15" hidden="false" customHeight="false" outlineLevel="0" collapsed="false">
      <c r="A532" s="22" t="s">
        <v>12467</v>
      </c>
      <c r="B532" s="23" t="n">
        <v>46235</v>
      </c>
      <c r="C532" s="22" t="s">
        <v>12468</v>
      </c>
      <c r="D532" s="22" t="s">
        <v>2664</v>
      </c>
      <c r="E532" s="22" t="s">
        <v>7797</v>
      </c>
      <c r="F532" s="22" t="s">
        <v>215</v>
      </c>
      <c r="G532" s="22" t="s">
        <v>8601</v>
      </c>
      <c r="H532" s="22" t="s">
        <v>11406</v>
      </c>
      <c r="I532" s="22" t="n">
        <v>57</v>
      </c>
      <c r="J532" s="22" t="n">
        <v>1</v>
      </c>
      <c r="K532" s="22" t="n">
        <v>57</v>
      </c>
      <c r="L532" s="25" t="n">
        <v>7.55</v>
      </c>
      <c r="M532" s="25" t="n">
        <v>430.35</v>
      </c>
      <c r="N532" s="25" t="n">
        <v>55.26</v>
      </c>
      <c r="O532" s="25" t="n">
        <v>485.61</v>
      </c>
      <c r="P532" s="22" t="s">
        <v>11410</v>
      </c>
      <c r="Q532" s="23" t="n">
        <v>46249</v>
      </c>
      <c r="R532" s="22" t="n">
        <f aca="false">I532*J532</f>
        <v>57</v>
      </c>
      <c r="S532" s="25" t="n">
        <f aca="false">K532-R532</f>
        <v>0</v>
      </c>
      <c r="T532" s="25" t="n">
        <f aca="false">K532*L532</f>
        <v>430.35</v>
      </c>
      <c r="U532" s="25" t="n">
        <f aca="false">M532-T532</f>
        <v>0</v>
      </c>
      <c r="V532" s="25" t="n">
        <f aca="false">M532+N532</f>
        <v>485.61</v>
      </c>
      <c r="W532" s="25" t="n">
        <f aca="false">O532-V532</f>
        <v>0</v>
      </c>
      <c r="X532" s="22" t="str">
        <f aca="false">IF(OR(ABS(S532)&gt;0.005,ABS(U532)&gt;0.005,ABS(W532)&gt;0.005),"Subledger arithmetic error","OK")</f>
        <v>OK</v>
      </c>
      <c r="Y532" s="22" t="str">
        <f aca="false">IF(X532="OK","","Priority 3")</f>
        <v/>
      </c>
    </row>
    <row r="533" customFormat="false" ht="15" hidden="false" customHeight="false" outlineLevel="0" collapsed="false">
      <c r="A533" s="22" t="s">
        <v>12469</v>
      </c>
      <c r="B533" s="23" t="n">
        <v>46235</v>
      </c>
      <c r="C533" s="22" t="s">
        <v>12470</v>
      </c>
      <c r="D533" s="22" t="s">
        <v>4086</v>
      </c>
      <c r="E533" s="22" t="s">
        <v>7798</v>
      </c>
      <c r="F533" s="22" t="s">
        <v>215</v>
      </c>
      <c r="G533" s="22" t="s">
        <v>8601</v>
      </c>
      <c r="H533" s="22" t="s">
        <v>11406</v>
      </c>
      <c r="I533" s="22" t="n">
        <v>51</v>
      </c>
      <c r="J533" s="22" t="n">
        <v>1</v>
      </c>
      <c r="K533" s="22" t="n">
        <v>51</v>
      </c>
      <c r="L533" s="25" t="n">
        <v>7.55</v>
      </c>
      <c r="M533" s="25" t="n">
        <v>385.05</v>
      </c>
      <c r="N533" s="25" t="n">
        <v>49.44</v>
      </c>
      <c r="O533" s="25" t="n">
        <v>434.49</v>
      </c>
      <c r="P533" s="22" t="s">
        <v>11407</v>
      </c>
      <c r="Q533" s="23" t="n">
        <v>46249</v>
      </c>
      <c r="R533" s="22" t="n">
        <f aca="false">I533*J533</f>
        <v>51</v>
      </c>
      <c r="S533" s="25" t="n">
        <f aca="false">K533-R533</f>
        <v>0</v>
      </c>
      <c r="T533" s="25" t="n">
        <f aca="false">K533*L533</f>
        <v>385.05</v>
      </c>
      <c r="U533" s="25" t="n">
        <f aca="false">M533-T533</f>
        <v>0</v>
      </c>
      <c r="V533" s="25" t="n">
        <f aca="false">M533+N533</f>
        <v>434.49</v>
      </c>
      <c r="W533" s="25" t="n">
        <f aca="false">O533-V533</f>
        <v>0</v>
      </c>
      <c r="X533" s="22" t="str">
        <f aca="false">IF(OR(ABS(S533)&gt;0.005,ABS(U533)&gt;0.005,ABS(W533)&gt;0.005),"Subledger arithmetic error","OK")</f>
        <v>OK</v>
      </c>
      <c r="Y533" s="22" t="str">
        <f aca="false">IF(X533="OK","","Priority 3")</f>
        <v/>
      </c>
    </row>
    <row r="534" customFormat="false" ht="15" hidden="false" customHeight="false" outlineLevel="0" collapsed="false">
      <c r="A534" s="22" t="s">
        <v>12471</v>
      </c>
      <c r="B534" s="23" t="n">
        <v>46235</v>
      </c>
      <c r="C534" s="22" t="s">
        <v>12472</v>
      </c>
      <c r="D534" s="22" t="s">
        <v>3627</v>
      </c>
      <c r="E534" s="22" t="s">
        <v>7799</v>
      </c>
      <c r="F534" s="22" t="s">
        <v>215</v>
      </c>
      <c r="G534" s="22" t="s">
        <v>8601</v>
      </c>
      <c r="H534" s="22" t="s">
        <v>11406</v>
      </c>
      <c r="I534" s="22" t="n">
        <v>80</v>
      </c>
      <c r="J534" s="22" t="n">
        <v>1</v>
      </c>
      <c r="K534" s="22" t="n">
        <v>80</v>
      </c>
      <c r="L534" s="25" t="n">
        <v>7.55</v>
      </c>
      <c r="M534" s="25" t="n">
        <v>604</v>
      </c>
      <c r="N534" s="25" t="n">
        <v>77.55</v>
      </c>
      <c r="O534" s="25" t="n">
        <v>681.55</v>
      </c>
      <c r="P534" s="22" t="s">
        <v>11407</v>
      </c>
      <c r="Q534" s="23" t="n">
        <v>46249</v>
      </c>
      <c r="R534" s="22" t="n">
        <f aca="false">I534*J534</f>
        <v>80</v>
      </c>
      <c r="S534" s="25" t="n">
        <f aca="false">K534-R534</f>
        <v>0</v>
      </c>
      <c r="T534" s="25" t="n">
        <f aca="false">K534*L534</f>
        <v>604</v>
      </c>
      <c r="U534" s="25" t="n">
        <f aca="false">M534-T534</f>
        <v>0</v>
      </c>
      <c r="V534" s="25" t="n">
        <f aca="false">M534+N534</f>
        <v>681.55</v>
      </c>
      <c r="W534" s="25" t="n">
        <f aca="false">O534-V534</f>
        <v>0</v>
      </c>
      <c r="X534" s="22" t="str">
        <f aca="false">IF(OR(ABS(S534)&gt;0.005,ABS(U534)&gt;0.005,ABS(W534)&gt;0.005),"Subledger arithmetic error","OK")</f>
        <v>OK</v>
      </c>
      <c r="Y534" s="22" t="str">
        <f aca="false">IF(X534="OK","","Priority 3")</f>
        <v/>
      </c>
    </row>
    <row r="535" customFormat="false" ht="15" hidden="false" customHeight="false" outlineLevel="0" collapsed="false">
      <c r="A535" s="22" t="s">
        <v>12473</v>
      </c>
      <c r="B535" s="23" t="n">
        <v>46235</v>
      </c>
      <c r="C535" s="22" t="s">
        <v>12474</v>
      </c>
      <c r="D535" s="22" t="s">
        <v>3456</v>
      </c>
      <c r="E535" s="22" t="s">
        <v>7801</v>
      </c>
      <c r="F535" s="22" t="s">
        <v>215</v>
      </c>
      <c r="G535" s="22" t="s">
        <v>8601</v>
      </c>
      <c r="H535" s="22" t="s">
        <v>11406</v>
      </c>
      <c r="I535" s="22" t="n">
        <v>51</v>
      </c>
      <c r="J535" s="22" t="n">
        <v>1</v>
      </c>
      <c r="K535" s="22" t="n">
        <v>51</v>
      </c>
      <c r="L535" s="25" t="n">
        <v>7.55</v>
      </c>
      <c r="M535" s="25" t="n">
        <v>385.05</v>
      </c>
      <c r="N535" s="25" t="n">
        <v>49.44</v>
      </c>
      <c r="O535" s="25" t="n">
        <v>434.49</v>
      </c>
      <c r="P535" s="22" t="s">
        <v>11407</v>
      </c>
      <c r="Q535" s="23" t="n">
        <v>46249</v>
      </c>
      <c r="R535" s="22" t="n">
        <f aca="false">I535*J535</f>
        <v>51</v>
      </c>
      <c r="S535" s="25" t="n">
        <f aca="false">K535-R535</f>
        <v>0</v>
      </c>
      <c r="T535" s="25" t="n">
        <f aca="false">K535*L535</f>
        <v>385.05</v>
      </c>
      <c r="U535" s="25" t="n">
        <f aca="false">M535-T535</f>
        <v>0</v>
      </c>
      <c r="V535" s="25" t="n">
        <f aca="false">M535+N535</f>
        <v>434.49</v>
      </c>
      <c r="W535" s="25" t="n">
        <f aca="false">O535-V535</f>
        <v>0</v>
      </c>
      <c r="X535" s="22" t="str">
        <f aca="false">IF(OR(ABS(S535)&gt;0.005,ABS(U535)&gt;0.005,ABS(W535)&gt;0.005),"Subledger arithmetic error","OK")</f>
        <v>OK</v>
      </c>
      <c r="Y535" s="22" t="str">
        <f aca="false">IF(X535="OK","","Priority 3")</f>
        <v/>
      </c>
    </row>
    <row r="536" customFormat="false" ht="15" hidden="false" customHeight="false" outlineLevel="0" collapsed="false">
      <c r="A536" s="22" t="s">
        <v>12475</v>
      </c>
      <c r="B536" s="23" t="n">
        <v>46235</v>
      </c>
      <c r="C536" s="22" t="s">
        <v>12476</v>
      </c>
      <c r="D536" s="22" t="s">
        <v>2066</v>
      </c>
      <c r="E536" s="22" t="s">
        <v>7803</v>
      </c>
      <c r="F536" s="22" t="s">
        <v>215</v>
      </c>
      <c r="G536" s="22" t="s">
        <v>8601</v>
      </c>
      <c r="H536" s="22" t="s">
        <v>11406</v>
      </c>
      <c r="I536" s="22" t="n">
        <v>40</v>
      </c>
      <c r="J536" s="22" t="n">
        <v>1</v>
      </c>
      <c r="K536" s="22" t="n">
        <v>40</v>
      </c>
      <c r="L536" s="25" t="n">
        <v>7.55</v>
      </c>
      <c r="M536" s="25" t="n">
        <v>302</v>
      </c>
      <c r="N536" s="25" t="n">
        <v>38.78</v>
      </c>
      <c r="O536" s="25" t="n">
        <v>340.78</v>
      </c>
      <c r="P536" s="22" t="s">
        <v>11407</v>
      </c>
      <c r="Q536" s="23" t="n">
        <v>46249</v>
      </c>
      <c r="R536" s="22" t="n">
        <f aca="false">I536*J536</f>
        <v>40</v>
      </c>
      <c r="S536" s="25" t="n">
        <f aca="false">K536-R536</f>
        <v>0</v>
      </c>
      <c r="T536" s="25" t="n">
        <f aca="false">K536*L536</f>
        <v>302</v>
      </c>
      <c r="U536" s="25" t="n">
        <f aca="false">M536-T536</f>
        <v>0</v>
      </c>
      <c r="V536" s="25" t="n">
        <f aca="false">M536+N536</f>
        <v>340.78</v>
      </c>
      <c r="W536" s="25" t="n">
        <f aca="false">O536-V536</f>
        <v>0</v>
      </c>
      <c r="X536" s="22" t="str">
        <f aca="false">IF(OR(ABS(S536)&gt;0.005,ABS(U536)&gt;0.005,ABS(W536)&gt;0.005),"Subledger arithmetic error","OK")</f>
        <v>OK</v>
      </c>
      <c r="Y536" s="22" t="str">
        <f aca="false">IF(X536="OK","","Priority 3")</f>
        <v/>
      </c>
    </row>
    <row r="537" customFormat="false" ht="15" hidden="false" customHeight="false" outlineLevel="0" collapsed="false">
      <c r="A537" s="22" t="s">
        <v>12477</v>
      </c>
      <c r="B537" s="23" t="n">
        <v>46235</v>
      </c>
      <c r="C537" s="22" t="s">
        <v>12478</v>
      </c>
      <c r="D537" s="22" t="s">
        <v>760</v>
      </c>
      <c r="E537" s="22" t="s">
        <v>7805</v>
      </c>
      <c r="F537" s="22" t="s">
        <v>215</v>
      </c>
      <c r="G537" s="22" t="s">
        <v>8601</v>
      </c>
      <c r="H537" s="22" t="s">
        <v>11406</v>
      </c>
      <c r="I537" s="22" t="n">
        <v>60</v>
      </c>
      <c r="J537" s="22" t="n">
        <v>1</v>
      </c>
      <c r="K537" s="22" t="n">
        <v>60</v>
      </c>
      <c r="L537" s="25" t="n">
        <v>7.55</v>
      </c>
      <c r="M537" s="25" t="n">
        <v>453</v>
      </c>
      <c r="N537" s="25" t="n">
        <v>58.17</v>
      </c>
      <c r="O537" s="25" t="n">
        <v>511.17</v>
      </c>
      <c r="P537" s="22" t="s">
        <v>11407</v>
      </c>
      <c r="Q537" s="23" t="n">
        <v>46249</v>
      </c>
      <c r="R537" s="22" t="n">
        <f aca="false">I537*J537</f>
        <v>60</v>
      </c>
      <c r="S537" s="25" t="n">
        <f aca="false">K537-R537</f>
        <v>0</v>
      </c>
      <c r="T537" s="25" t="n">
        <f aca="false">K537*L537</f>
        <v>453</v>
      </c>
      <c r="U537" s="25" t="n">
        <f aca="false">M537-T537</f>
        <v>0</v>
      </c>
      <c r="V537" s="25" t="n">
        <f aca="false">M537+N537</f>
        <v>511.17</v>
      </c>
      <c r="W537" s="25" t="n">
        <f aca="false">O537-V537</f>
        <v>0</v>
      </c>
      <c r="X537" s="22" t="str">
        <f aca="false">IF(OR(ABS(S537)&gt;0.005,ABS(U537)&gt;0.005,ABS(W537)&gt;0.005),"Subledger arithmetic error","OK")</f>
        <v>OK</v>
      </c>
      <c r="Y537" s="22" t="str">
        <f aca="false">IF(X537="OK","","Priority 3")</f>
        <v/>
      </c>
    </row>
    <row r="538" customFormat="false" ht="15" hidden="false" customHeight="false" outlineLevel="0" collapsed="false">
      <c r="A538" s="22" t="s">
        <v>12479</v>
      </c>
      <c r="B538" s="23" t="n">
        <v>46235</v>
      </c>
      <c r="C538" s="22" t="s">
        <v>12480</v>
      </c>
      <c r="D538" s="22" t="s">
        <v>1182</v>
      </c>
      <c r="E538" s="22" t="s">
        <v>7807</v>
      </c>
      <c r="F538" s="22" t="s">
        <v>215</v>
      </c>
      <c r="G538" s="22" t="s">
        <v>8601</v>
      </c>
      <c r="H538" s="22" t="s">
        <v>11406</v>
      </c>
      <c r="I538" s="22" t="n">
        <v>70</v>
      </c>
      <c r="J538" s="22" t="n">
        <v>1</v>
      </c>
      <c r="K538" s="22" t="n">
        <v>70</v>
      </c>
      <c r="L538" s="25" t="n">
        <v>7.55</v>
      </c>
      <c r="M538" s="25" t="n">
        <v>528.5</v>
      </c>
      <c r="N538" s="25" t="n">
        <v>67.86</v>
      </c>
      <c r="O538" s="25" t="n">
        <v>596.36</v>
      </c>
      <c r="P538" s="22" t="s">
        <v>11407</v>
      </c>
      <c r="Q538" s="23" t="n">
        <v>46249</v>
      </c>
      <c r="R538" s="22" t="n">
        <f aca="false">I538*J538</f>
        <v>70</v>
      </c>
      <c r="S538" s="25" t="n">
        <f aca="false">K538-R538</f>
        <v>0</v>
      </c>
      <c r="T538" s="25" t="n">
        <f aca="false">K538*L538</f>
        <v>528.5</v>
      </c>
      <c r="U538" s="25" t="n">
        <f aca="false">M538-T538</f>
        <v>0</v>
      </c>
      <c r="V538" s="25" t="n">
        <f aca="false">M538+N538</f>
        <v>596.36</v>
      </c>
      <c r="W538" s="25" t="n">
        <f aca="false">O538-V538</f>
        <v>0</v>
      </c>
      <c r="X538" s="22" t="str">
        <f aca="false">IF(OR(ABS(S538)&gt;0.005,ABS(U538)&gt;0.005,ABS(W538)&gt;0.005),"Subledger arithmetic error","OK")</f>
        <v>OK</v>
      </c>
      <c r="Y538" s="22" t="str">
        <f aca="false">IF(X538="OK","","Priority 3")</f>
        <v/>
      </c>
    </row>
    <row r="539" customFormat="false" ht="15" hidden="false" customHeight="false" outlineLevel="0" collapsed="false">
      <c r="A539" s="22" t="s">
        <v>12481</v>
      </c>
      <c r="B539" s="23" t="n">
        <v>46235</v>
      </c>
      <c r="C539" s="22" t="s">
        <v>12482</v>
      </c>
      <c r="D539" s="22" t="s">
        <v>3669</v>
      </c>
      <c r="E539" s="22" t="s">
        <v>7808</v>
      </c>
      <c r="F539" s="22" t="s">
        <v>215</v>
      </c>
      <c r="G539" s="22" t="s">
        <v>8601</v>
      </c>
      <c r="H539" s="22" t="s">
        <v>11406</v>
      </c>
      <c r="I539" s="22" t="n">
        <v>47</v>
      </c>
      <c r="J539" s="22" t="n">
        <v>1</v>
      </c>
      <c r="K539" s="22" t="n">
        <v>47</v>
      </c>
      <c r="L539" s="25" t="n">
        <v>7.55</v>
      </c>
      <c r="M539" s="25" t="n">
        <v>354.85</v>
      </c>
      <c r="N539" s="25" t="n">
        <v>45.56</v>
      </c>
      <c r="O539" s="25" t="n">
        <v>400.41</v>
      </c>
      <c r="P539" s="22" t="s">
        <v>11407</v>
      </c>
      <c r="Q539" s="23" t="n">
        <v>46249</v>
      </c>
      <c r="R539" s="22" t="n">
        <f aca="false">I539*J539</f>
        <v>47</v>
      </c>
      <c r="S539" s="25" t="n">
        <f aca="false">K539-R539</f>
        <v>0</v>
      </c>
      <c r="T539" s="25" t="n">
        <f aca="false">K539*L539</f>
        <v>354.85</v>
      </c>
      <c r="U539" s="25" t="n">
        <f aca="false">M539-T539</f>
        <v>0</v>
      </c>
      <c r="V539" s="25" t="n">
        <f aca="false">M539+N539</f>
        <v>400.41</v>
      </c>
      <c r="W539" s="25" t="n">
        <f aca="false">O539-V539</f>
        <v>0</v>
      </c>
      <c r="X539" s="22" t="str">
        <f aca="false">IF(OR(ABS(S539)&gt;0.005,ABS(U539)&gt;0.005,ABS(W539)&gt;0.005),"Subledger arithmetic error","OK")</f>
        <v>OK</v>
      </c>
      <c r="Y539" s="22" t="str">
        <f aca="false">IF(X539="OK","","Priority 3")</f>
        <v/>
      </c>
    </row>
    <row r="540" customFormat="false" ht="15" hidden="false" customHeight="false" outlineLevel="0" collapsed="false">
      <c r="A540" s="22" t="s">
        <v>12483</v>
      </c>
      <c r="B540" s="23" t="n">
        <v>46235</v>
      </c>
      <c r="C540" s="22" t="s">
        <v>12484</v>
      </c>
      <c r="D540" s="22" t="s">
        <v>4342</v>
      </c>
      <c r="E540" s="22" t="s">
        <v>7810</v>
      </c>
      <c r="F540" s="22" t="s">
        <v>215</v>
      </c>
      <c r="G540" s="22" t="s">
        <v>8601</v>
      </c>
      <c r="H540" s="22" t="s">
        <v>11406</v>
      </c>
      <c r="I540" s="22" t="n">
        <v>40</v>
      </c>
      <c r="J540" s="22" t="n">
        <v>1</v>
      </c>
      <c r="K540" s="22" t="n">
        <v>40</v>
      </c>
      <c r="L540" s="25" t="n">
        <v>7.55</v>
      </c>
      <c r="M540" s="25" t="n">
        <v>302</v>
      </c>
      <c r="N540" s="25" t="n">
        <v>38.78</v>
      </c>
      <c r="O540" s="25" t="n">
        <v>340.78</v>
      </c>
      <c r="P540" s="22" t="s">
        <v>11407</v>
      </c>
      <c r="Q540" s="23" t="n">
        <v>46249</v>
      </c>
      <c r="R540" s="22" t="n">
        <f aca="false">I540*J540</f>
        <v>40</v>
      </c>
      <c r="S540" s="25" t="n">
        <f aca="false">K540-R540</f>
        <v>0</v>
      </c>
      <c r="T540" s="25" t="n">
        <f aca="false">K540*L540</f>
        <v>302</v>
      </c>
      <c r="U540" s="25" t="n">
        <f aca="false">M540-T540</f>
        <v>0</v>
      </c>
      <c r="V540" s="25" t="n">
        <f aca="false">M540+N540</f>
        <v>340.78</v>
      </c>
      <c r="W540" s="25" t="n">
        <f aca="false">O540-V540</f>
        <v>0</v>
      </c>
      <c r="X540" s="22" t="str">
        <f aca="false">IF(OR(ABS(S540)&gt;0.005,ABS(U540)&gt;0.005,ABS(W540)&gt;0.005),"Subledger arithmetic error","OK")</f>
        <v>OK</v>
      </c>
      <c r="Y540" s="22" t="str">
        <f aca="false">IF(X540="OK","","Priority 3")</f>
        <v/>
      </c>
    </row>
    <row r="541" customFormat="false" ht="15" hidden="false" customHeight="false" outlineLevel="0" collapsed="false">
      <c r="A541" s="22" t="s">
        <v>12485</v>
      </c>
      <c r="B541" s="23" t="n">
        <v>46235</v>
      </c>
      <c r="C541" s="22" t="s">
        <v>12486</v>
      </c>
      <c r="D541" s="22" t="s">
        <v>3327</v>
      </c>
      <c r="E541" s="22" t="s">
        <v>7811</v>
      </c>
      <c r="F541" s="22" t="s">
        <v>215</v>
      </c>
      <c r="G541" s="22" t="s">
        <v>8601</v>
      </c>
      <c r="H541" s="22" t="s">
        <v>11406</v>
      </c>
      <c r="I541" s="22" t="n">
        <v>45</v>
      </c>
      <c r="J541" s="22" t="n">
        <v>1</v>
      </c>
      <c r="K541" s="22" t="n">
        <v>45</v>
      </c>
      <c r="L541" s="25" t="n">
        <v>7.55</v>
      </c>
      <c r="M541" s="25" t="n">
        <v>339.75</v>
      </c>
      <c r="N541" s="25" t="n">
        <v>43.62</v>
      </c>
      <c r="O541" s="25" t="n">
        <v>383.37</v>
      </c>
      <c r="P541" s="22" t="s">
        <v>11407</v>
      </c>
      <c r="Q541" s="23" t="n">
        <v>46249</v>
      </c>
      <c r="R541" s="22" t="n">
        <f aca="false">I541*J541</f>
        <v>45</v>
      </c>
      <c r="S541" s="25" t="n">
        <f aca="false">K541-R541</f>
        <v>0</v>
      </c>
      <c r="T541" s="25" t="n">
        <f aca="false">K541*L541</f>
        <v>339.75</v>
      </c>
      <c r="U541" s="25" t="n">
        <f aca="false">M541-T541</f>
        <v>0</v>
      </c>
      <c r="V541" s="25" t="n">
        <f aca="false">M541+N541</f>
        <v>383.37</v>
      </c>
      <c r="W541" s="25" t="n">
        <f aca="false">O541-V541</f>
        <v>0</v>
      </c>
      <c r="X541" s="22" t="str">
        <f aca="false">IF(OR(ABS(S541)&gt;0.005,ABS(U541)&gt;0.005,ABS(W541)&gt;0.005),"Subledger arithmetic error","OK")</f>
        <v>OK</v>
      </c>
      <c r="Y541" s="22" t="str">
        <f aca="false">IF(X541="OK","","Priority 3")</f>
        <v/>
      </c>
    </row>
    <row r="542" customFormat="false" ht="15" hidden="false" customHeight="false" outlineLevel="0" collapsed="false">
      <c r="A542" s="22" t="s">
        <v>12487</v>
      </c>
      <c r="B542" s="23" t="n">
        <v>46235</v>
      </c>
      <c r="C542" s="22" t="s">
        <v>12488</v>
      </c>
      <c r="D542" s="22" t="s">
        <v>4127</v>
      </c>
      <c r="E542" s="22" t="s">
        <v>7813</v>
      </c>
      <c r="F542" s="22" t="s">
        <v>215</v>
      </c>
      <c r="G542" s="22" t="s">
        <v>8601</v>
      </c>
      <c r="H542" s="22" t="s">
        <v>11406</v>
      </c>
      <c r="I542" s="22" t="n">
        <v>60</v>
      </c>
      <c r="J542" s="22" t="n">
        <v>1</v>
      </c>
      <c r="K542" s="22" t="n">
        <v>60</v>
      </c>
      <c r="L542" s="25" t="n">
        <v>7.55</v>
      </c>
      <c r="M542" s="25" t="n">
        <v>453</v>
      </c>
      <c r="N542" s="25" t="n">
        <v>58.17</v>
      </c>
      <c r="O542" s="25" t="n">
        <v>511.17</v>
      </c>
      <c r="P542" s="22" t="s">
        <v>11407</v>
      </c>
      <c r="Q542" s="23" t="n">
        <v>46249</v>
      </c>
      <c r="R542" s="22" t="n">
        <f aca="false">I542*J542</f>
        <v>60</v>
      </c>
      <c r="S542" s="25" t="n">
        <f aca="false">K542-R542</f>
        <v>0</v>
      </c>
      <c r="T542" s="25" t="n">
        <f aca="false">K542*L542</f>
        <v>453</v>
      </c>
      <c r="U542" s="25" t="n">
        <f aca="false">M542-T542</f>
        <v>0</v>
      </c>
      <c r="V542" s="25" t="n">
        <f aca="false">M542+N542</f>
        <v>511.17</v>
      </c>
      <c r="W542" s="25" t="n">
        <f aca="false">O542-V542</f>
        <v>0</v>
      </c>
      <c r="X542" s="22" t="str">
        <f aca="false">IF(OR(ABS(S542)&gt;0.005,ABS(U542)&gt;0.005,ABS(W542)&gt;0.005),"Subledger arithmetic error","OK")</f>
        <v>OK</v>
      </c>
      <c r="Y542" s="22" t="str">
        <f aca="false">IF(X542="OK","","Priority 3")</f>
        <v/>
      </c>
    </row>
    <row r="543" customFormat="false" ht="15" hidden="false" customHeight="false" outlineLevel="0" collapsed="false">
      <c r="A543" s="22" t="s">
        <v>12489</v>
      </c>
      <c r="B543" s="23" t="n">
        <v>46235</v>
      </c>
      <c r="C543" s="22" t="s">
        <v>12490</v>
      </c>
      <c r="D543" s="22" t="s">
        <v>905</v>
      </c>
      <c r="E543" s="22" t="s">
        <v>7815</v>
      </c>
      <c r="F543" s="22" t="s">
        <v>215</v>
      </c>
      <c r="G543" s="22" t="s">
        <v>8601</v>
      </c>
      <c r="H543" s="22" t="s">
        <v>11406</v>
      </c>
      <c r="I543" s="22" t="n">
        <v>70</v>
      </c>
      <c r="J543" s="22" t="n">
        <v>1</v>
      </c>
      <c r="K543" s="22" t="n">
        <v>70</v>
      </c>
      <c r="L543" s="25" t="n">
        <v>7.55</v>
      </c>
      <c r="M543" s="25" t="n">
        <v>528.5</v>
      </c>
      <c r="N543" s="25" t="n">
        <v>67.86</v>
      </c>
      <c r="O543" s="25" t="n">
        <v>596.36</v>
      </c>
      <c r="P543" s="22" t="s">
        <v>11407</v>
      </c>
      <c r="Q543" s="23" t="n">
        <v>46249</v>
      </c>
      <c r="R543" s="22" t="n">
        <f aca="false">I543*J543</f>
        <v>70</v>
      </c>
      <c r="S543" s="25" t="n">
        <f aca="false">K543-R543</f>
        <v>0</v>
      </c>
      <c r="T543" s="25" t="n">
        <f aca="false">K543*L543</f>
        <v>528.5</v>
      </c>
      <c r="U543" s="25" t="n">
        <f aca="false">M543-T543</f>
        <v>0</v>
      </c>
      <c r="V543" s="25" t="n">
        <f aca="false">M543+N543</f>
        <v>596.36</v>
      </c>
      <c r="W543" s="25" t="n">
        <f aca="false">O543-V543</f>
        <v>0</v>
      </c>
      <c r="X543" s="22" t="str">
        <f aca="false">IF(OR(ABS(S543)&gt;0.005,ABS(U543)&gt;0.005,ABS(W543)&gt;0.005),"Subledger arithmetic error","OK")</f>
        <v>OK</v>
      </c>
      <c r="Y543" s="22" t="str">
        <f aca="false">IF(X543="OK","","Priority 3")</f>
        <v/>
      </c>
    </row>
    <row r="544" customFormat="false" ht="15" hidden="false" customHeight="false" outlineLevel="0" collapsed="false">
      <c r="A544" s="22" t="s">
        <v>12491</v>
      </c>
      <c r="B544" s="23" t="n">
        <v>46235</v>
      </c>
      <c r="C544" s="22" t="s">
        <v>12492</v>
      </c>
      <c r="D544" s="22" t="s">
        <v>3608</v>
      </c>
      <c r="E544" s="22" t="s">
        <v>7816</v>
      </c>
      <c r="F544" s="22" t="s">
        <v>215</v>
      </c>
      <c r="G544" s="22" t="s">
        <v>8601</v>
      </c>
      <c r="H544" s="22" t="s">
        <v>11406</v>
      </c>
      <c r="I544" s="22" t="n">
        <v>45</v>
      </c>
      <c r="J544" s="22" t="n">
        <v>1</v>
      </c>
      <c r="K544" s="22" t="n">
        <v>45</v>
      </c>
      <c r="L544" s="25" t="n">
        <v>7.55</v>
      </c>
      <c r="M544" s="25" t="n">
        <v>339.75</v>
      </c>
      <c r="N544" s="25" t="n">
        <v>43.62</v>
      </c>
      <c r="O544" s="25" t="n">
        <v>383.37</v>
      </c>
      <c r="P544" s="22" t="s">
        <v>11407</v>
      </c>
      <c r="Q544" s="23" t="n">
        <v>46249</v>
      </c>
      <c r="R544" s="22" t="n">
        <f aca="false">I544*J544</f>
        <v>45</v>
      </c>
      <c r="S544" s="25" t="n">
        <f aca="false">K544-R544</f>
        <v>0</v>
      </c>
      <c r="T544" s="25" t="n">
        <f aca="false">K544*L544</f>
        <v>339.75</v>
      </c>
      <c r="U544" s="25" t="n">
        <f aca="false">M544-T544</f>
        <v>0</v>
      </c>
      <c r="V544" s="25" t="n">
        <f aca="false">M544+N544</f>
        <v>383.37</v>
      </c>
      <c r="W544" s="25" t="n">
        <f aca="false">O544-V544</f>
        <v>0</v>
      </c>
      <c r="X544" s="22" t="str">
        <f aca="false">IF(OR(ABS(S544)&gt;0.005,ABS(U544)&gt;0.005,ABS(W544)&gt;0.005),"Subledger arithmetic error","OK")</f>
        <v>OK</v>
      </c>
      <c r="Y544" s="22" t="str">
        <f aca="false">IF(X544="OK","","Priority 3")</f>
        <v/>
      </c>
    </row>
    <row r="545" customFormat="false" ht="15" hidden="false" customHeight="false" outlineLevel="0" collapsed="false">
      <c r="A545" s="22" t="s">
        <v>12493</v>
      </c>
      <c r="B545" s="23" t="n">
        <v>46235</v>
      </c>
      <c r="C545" s="22" t="s">
        <v>12494</v>
      </c>
      <c r="D545" s="22" t="s">
        <v>1470</v>
      </c>
      <c r="E545" s="22" t="s">
        <v>7817</v>
      </c>
      <c r="F545" s="22" t="s">
        <v>215</v>
      </c>
      <c r="G545" s="22" t="s">
        <v>8601</v>
      </c>
      <c r="H545" s="22" t="s">
        <v>11406</v>
      </c>
      <c r="I545" s="22" t="n">
        <v>70</v>
      </c>
      <c r="J545" s="22" t="n">
        <v>1</v>
      </c>
      <c r="K545" s="22" t="n">
        <v>70</v>
      </c>
      <c r="L545" s="25" t="n">
        <v>7.55</v>
      </c>
      <c r="M545" s="25" t="n">
        <v>528.5</v>
      </c>
      <c r="N545" s="25" t="n">
        <v>67.86</v>
      </c>
      <c r="O545" s="25" t="n">
        <v>596.36</v>
      </c>
      <c r="P545" s="22" t="s">
        <v>11407</v>
      </c>
      <c r="Q545" s="23" t="n">
        <v>46249</v>
      </c>
      <c r="R545" s="22" t="n">
        <f aca="false">I545*J545</f>
        <v>70</v>
      </c>
      <c r="S545" s="25" t="n">
        <f aca="false">K545-R545</f>
        <v>0</v>
      </c>
      <c r="T545" s="25" t="n">
        <f aca="false">K545*L545</f>
        <v>528.5</v>
      </c>
      <c r="U545" s="25" t="n">
        <f aca="false">M545-T545</f>
        <v>0</v>
      </c>
      <c r="V545" s="25" t="n">
        <f aca="false">M545+N545</f>
        <v>596.36</v>
      </c>
      <c r="W545" s="25" t="n">
        <f aca="false">O545-V545</f>
        <v>0</v>
      </c>
      <c r="X545" s="22" t="str">
        <f aca="false">IF(OR(ABS(S545)&gt;0.005,ABS(U545)&gt;0.005,ABS(W545)&gt;0.005),"Subledger arithmetic error","OK")</f>
        <v>OK</v>
      </c>
      <c r="Y545" s="22" t="str">
        <f aca="false">IF(X545="OK","","Priority 3")</f>
        <v/>
      </c>
    </row>
    <row r="546" customFormat="false" ht="15" hidden="false" customHeight="false" outlineLevel="0" collapsed="false">
      <c r="A546" s="22" t="s">
        <v>12495</v>
      </c>
      <c r="B546" s="23" t="n">
        <v>46235</v>
      </c>
      <c r="C546" s="22" t="s">
        <v>12496</v>
      </c>
      <c r="D546" s="22" t="s">
        <v>2318</v>
      </c>
      <c r="E546" s="22" t="s">
        <v>7818</v>
      </c>
      <c r="F546" s="22" t="s">
        <v>215</v>
      </c>
      <c r="G546" s="22" t="s">
        <v>8601</v>
      </c>
      <c r="H546" s="22" t="s">
        <v>11406</v>
      </c>
      <c r="I546" s="22" t="n">
        <v>70</v>
      </c>
      <c r="J546" s="22" t="n">
        <v>1</v>
      </c>
      <c r="K546" s="22" t="n">
        <v>70</v>
      </c>
      <c r="L546" s="25" t="n">
        <v>7.55</v>
      </c>
      <c r="M546" s="25" t="n">
        <v>528.5</v>
      </c>
      <c r="N546" s="25" t="n">
        <v>67.86</v>
      </c>
      <c r="O546" s="25" t="n">
        <v>596.36</v>
      </c>
      <c r="P546" s="22" t="s">
        <v>11407</v>
      </c>
      <c r="Q546" s="23" t="n">
        <v>46249</v>
      </c>
      <c r="R546" s="22" t="n">
        <f aca="false">I546*J546</f>
        <v>70</v>
      </c>
      <c r="S546" s="25" t="n">
        <f aca="false">K546-R546</f>
        <v>0</v>
      </c>
      <c r="T546" s="25" t="n">
        <f aca="false">K546*L546</f>
        <v>528.5</v>
      </c>
      <c r="U546" s="25" t="n">
        <f aca="false">M546-T546</f>
        <v>0</v>
      </c>
      <c r="V546" s="25" t="n">
        <f aca="false">M546+N546</f>
        <v>596.36</v>
      </c>
      <c r="W546" s="25" t="n">
        <f aca="false">O546-V546</f>
        <v>0</v>
      </c>
      <c r="X546" s="22" t="str">
        <f aca="false">IF(OR(ABS(S546)&gt;0.005,ABS(U546)&gt;0.005,ABS(W546)&gt;0.005),"Subledger arithmetic error","OK")</f>
        <v>OK</v>
      </c>
      <c r="Y546" s="22" t="str">
        <f aca="false">IF(X546="OK","","Priority 3")</f>
        <v/>
      </c>
    </row>
    <row r="547" customFormat="false" ht="15" hidden="false" customHeight="false" outlineLevel="0" collapsed="false">
      <c r="A547" s="22" t="s">
        <v>12497</v>
      </c>
      <c r="B547" s="23" t="n">
        <v>46235</v>
      </c>
      <c r="C547" s="22" t="s">
        <v>12498</v>
      </c>
      <c r="D547" s="22" t="s">
        <v>3014</v>
      </c>
      <c r="E547" s="22" t="s">
        <v>7820</v>
      </c>
      <c r="F547" s="22" t="s">
        <v>215</v>
      </c>
      <c r="G547" s="22" t="s">
        <v>8601</v>
      </c>
      <c r="H547" s="22" t="s">
        <v>11406</v>
      </c>
      <c r="I547" s="22" t="n">
        <v>70</v>
      </c>
      <c r="J547" s="22" t="n">
        <v>1</v>
      </c>
      <c r="K547" s="22" t="n">
        <v>70</v>
      </c>
      <c r="L547" s="25" t="n">
        <v>7.55</v>
      </c>
      <c r="M547" s="25" t="n">
        <v>528.5</v>
      </c>
      <c r="N547" s="25" t="n">
        <v>67.86</v>
      </c>
      <c r="O547" s="25" t="n">
        <v>596.36</v>
      </c>
      <c r="P547" s="22" t="s">
        <v>11407</v>
      </c>
      <c r="Q547" s="23" t="n">
        <v>46249</v>
      </c>
      <c r="R547" s="22" t="n">
        <f aca="false">I547*J547</f>
        <v>70</v>
      </c>
      <c r="S547" s="25" t="n">
        <f aca="false">K547-R547</f>
        <v>0</v>
      </c>
      <c r="T547" s="25" t="n">
        <f aca="false">K547*L547</f>
        <v>528.5</v>
      </c>
      <c r="U547" s="25" t="n">
        <f aca="false">M547-T547</f>
        <v>0</v>
      </c>
      <c r="V547" s="25" t="n">
        <f aca="false">M547+N547</f>
        <v>596.36</v>
      </c>
      <c r="W547" s="25" t="n">
        <f aca="false">O547-V547</f>
        <v>0</v>
      </c>
      <c r="X547" s="22" t="str">
        <f aca="false">IF(OR(ABS(S547)&gt;0.005,ABS(U547)&gt;0.005,ABS(W547)&gt;0.005),"Subledger arithmetic error","OK")</f>
        <v>OK</v>
      </c>
      <c r="Y547" s="22" t="str">
        <f aca="false">IF(X547="OK","","Priority 3")</f>
        <v/>
      </c>
    </row>
    <row r="548" customFormat="false" ht="15" hidden="false" customHeight="false" outlineLevel="0" collapsed="false">
      <c r="A548" s="22" t="s">
        <v>12499</v>
      </c>
      <c r="B548" s="23" t="n">
        <v>46235</v>
      </c>
      <c r="C548" s="22" t="s">
        <v>12500</v>
      </c>
      <c r="D548" s="22" t="s">
        <v>3128</v>
      </c>
      <c r="E548" s="22" t="s">
        <v>7822</v>
      </c>
      <c r="F548" s="22" t="s">
        <v>215</v>
      </c>
      <c r="G548" s="22" t="s">
        <v>8601</v>
      </c>
      <c r="H548" s="22" t="s">
        <v>11406</v>
      </c>
      <c r="I548" s="22" t="n">
        <v>40</v>
      </c>
      <c r="J548" s="22" t="n">
        <v>1</v>
      </c>
      <c r="K548" s="22" t="n">
        <v>40</v>
      </c>
      <c r="L548" s="25" t="n">
        <v>7.55</v>
      </c>
      <c r="M548" s="25" t="n">
        <v>302</v>
      </c>
      <c r="N548" s="25" t="n">
        <v>38.78</v>
      </c>
      <c r="O548" s="25" t="n">
        <v>340.78</v>
      </c>
      <c r="P548" s="22" t="s">
        <v>11407</v>
      </c>
      <c r="Q548" s="23" t="n">
        <v>46249</v>
      </c>
      <c r="R548" s="22" t="n">
        <f aca="false">I548*J548</f>
        <v>40</v>
      </c>
      <c r="S548" s="25" t="n">
        <f aca="false">K548-R548</f>
        <v>0</v>
      </c>
      <c r="T548" s="25" t="n">
        <f aca="false">K548*L548</f>
        <v>302</v>
      </c>
      <c r="U548" s="25" t="n">
        <f aca="false">M548-T548</f>
        <v>0</v>
      </c>
      <c r="V548" s="25" t="n">
        <f aca="false">M548+N548</f>
        <v>340.78</v>
      </c>
      <c r="W548" s="25" t="n">
        <f aca="false">O548-V548</f>
        <v>0</v>
      </c>
      <c r="X548" s="22" t="str">
        <f aca="false">IF(OR(ABS(S548)&gt;0.005,ABS(U548)&gt;0.005,ABS(W548)&gt;0.005),"Subledger arithmetic error","OK")</f>
        <v>OK</v>
      </c>
      <c r="Y548" s="22" t="str">
        <f aca="false">IF(X548="OK","","Priority 3")</f>
        <v/>
      </c>
    </row>
    <row r="549" customFormat="false" ht="15" hidden="false" customHeight="false" outlineLevel="0" collapsed="false">
      <c r="A549" s="22" t="s">
        <v>12501</v>
      </c>
      <c r="B549" s="23" t="n">
        <v>46235</v>
      </c>
      <c r="C549" s="22" t="s">
        <v>12502</v>
      </c>
      <c r="D549" s="22" t="s">
        <v>3784</v>
      </c>
      <c r="E549" s="22" t="s">
        <v>7823</v>
      </c>
      <c r="F549" s="22" t="s">
        <v>215</v>
      </c>
      <c r="G549" s="22" t="s">
        <v>8601</v>
      </c>
      <c r="H549" s="22" t="s">
        <v>11406</v>
      </c>
      <c r="I549" s="22" t="n">
        <v>43</v>
      </c>
      <c r="J549" s="22" t="n">
        <v>1</v>
      </c>
      <c r="K549" s="22" t="n">
        <v>43</v>
      </c>
      <c r="L549" s="25" t="n">
        <v>7.55</v>
      </c>
      <c r="M549" s="25" t="n">
        <v>324.65</v>
      </c>
      <c r="N549" s="25" t="n">
        <v>41.69</v>
      </c>
      <c r="O549" s="25" t="n">
        <v>366.34</v>
      </c>
      <c r="P549" s="22" t="s">
        <v>11407</v>
      </c>
      <c r="Q549" s="23" t="n">
        <v>46249</v>
      </c>
      <c r="R549" s="22" t="n">
        <f aca="false">I549*J549</f>
        <v>43</v>
      </c>
      <c r="S549" s="25" t="n">
        <f aca="false">K549-R549</f>
        <v>0</v>
      </c>
      <c r="T549" s="25" t="n">
        <f aca="false">K549*L549</f>
        <v>324.65</v>
      </c>
      <c r="U549" s="25" t="n">
        <f aca="false">M549-T549</f>
        <v>0</v>
      </c>
      <c r="V549" s="25" t="n">
        <f aca="false">M549+N549</f>
        <v>366.34</v>
      </c>
      <c r="W549" s="25" t="n">
        <f aca="false">O549-V549</f>
        <v>0</v>
      </c>
      <c r="X549" s="22" t="str">
        <f aca="false">IF(OR(ABS(S549)&gt;0.005,ABS(U549)&gt;0.005,ABS(W549)&gt;0.005),"Subledger arithmetic error","OK")</f>
        <v>OK</v>
      </c>
      <c r="Y549" s="22" t="str">
        <f aca="false">IF(X549="OK","","Priority 3")</f>
        <v/>
      </c>
    </row>
    <row r="550" customFormat="false" ht="15" hidden="false" customHeight="false" outlineLevel="0" collapsed="false">
      <c r="A550" s="22" t="s">
        <v>12503</v>
      </c>
      <c r="B550" s="23" t="n">
        <v>46235</v>
      </c>
      <c r="C550" s="22" t="s">
        <v>12504</v>
      </c>
      <c r="D550" s="22" t="s">
        <v>4709</v>
      </c>
      <c r="E550" s="22" t="s">
        <v>7825</v>
      </c>
      <c r="F550" s="22" t="s">
        <v>215</v>
      </c>
      <c r="G550" s="22" t="s">
        <v>8601</v>
      </c>
      <c r="H550" s="22" t="s">
        <v>11406</v>
      </c>
      <c r="I550" s="22" t="n">
        <v>34</v>
      </c>
      <c r="J550" s="22" t="n">
        <v>1</v>
      </c>
      <c r="K550" s="22" t="n">
        <v>34</v>
      </c>
      <c r="L550" s="25" t="n">
        <v>7.55</v>
      </c>
      <c r="M550" s="25" t="n">
        <v>256.7</v>
      </c>
      <c r="N550" s="25" t="n">
        <v>32.96</v>
      </c>
      <c r="O550" s="25" t="n">
        <v>289.66</v>
      </c>
      <c r="P550" s="22" t="s">
        <v>11407</v>
      </c>
      <c r="Q550" s="23" t="n">
        <v>46249</v>
      </c>
      <c r="R550" s="22" t="n">
        <f aca="false">I550*J550</f>
        <v>34</v>
      </c>
      <c r="S550" s="25" t="n">
        <f aca="false">K550-R550</f>
        <v>0</v>
      </c>
      <c r="T550" s="25" t="n">
        <f aca="false">K550*L550</f>
        <v>256.7</v>
      </c>
      <c r="U550" s="25" t="n">
        <f aca="false">M550-T550</f>
        <v>0</v>
      </c>
      <c r="V550" s="25" t="n">
        <f aca="false">M550+N550</f>
        <v>289.66</v>
      </c>
      <c r="W550" s="25" t="n">
        <f aca="false">O550-V550</f>
        <v>0</v>
      </c>
      <c r="X550" s="22" t="str">
        <f aca="false">IF(OR(ABS(S550)&gt;0.005,ABS(U550)&gt;0.005,ABS(W550)&gt;0.005),"Subledger arithmetic error","OK")</f>
        <v>OK</v>
      </c>
      <c r="Y550" s="22" t="str">
        <f aca="false">IF(X550="OK","","Priority 3")</f>
        <v/>
      </c>
    </row>
    <row r="551" customFormat="false" ht="15" hidden="false" customHeight="false" outlineLevel="0" collapsed="false">
      <c r="A551" s="22" t="s">
        <v>12505</v>
      </c>
      <c r="B551" s="23" t="n">
        <v>46235</v>
      </c>
      <c r="C551" s="22" t="s">
        <v>12506</v>
      </c>
      <c r="D551" s="22" t="s">
        <v>2633</v>
      </c>
      <c r="E551" s="22" t="s">
        <v>7827</v>
      </c>
      <c r="F551" s="22" t="s">
        <v>215</v>
      </c>
      <c r="G551" s="22" t="s">
        <v>8601</v>
      </c>
      <c r="H551" s="22" t="s">
        <v>11406</v>
      </c>
      <c r="I551" s="22" t="n">
        <v>57</v>
      </c>
      <c r="J551" s="22" t="n">
        <v>1</v>
      </c>
      <c r="K551" s="22" t="n">
        <v>57</v>
      </c>
      <c r="L551" s="25" t="n">
        <v>7.55</v>
      </c>
      <c r="M551" s="25" t="n">
        <v>430.35</v>
      </c>
      <c r="N551" s="25" t="n">
        <v>55.26</v>
      </c>
      <c r="O551" s="25" t="n">
        <v>485.61</v>
      </c>
      <c r="P551" s="22" t="s">
        <v>7696</v>
      </c>
      <c r="Q551" s="23" t="n">
        <v>46249</v>
      </c>
      <c r="R551" s="22" t="n">
        <f aca="false">I551*J551</f>
        <v>57</v>
      </c>
      <c r="S551" s="25" t="n">
        <f aca="false">K551-R551</f>
        <v>0</v>
      </c>
      <c r="T551" s="25" t="n">
        <f aca="false">K551*L551</f>
        <v>430.35</v>
      </c>
      <c r="U551" s="25" t="n">
        <f aca="false">M551-T551</f>
        <v>0</v>
      </c>
      <c r="V551" s="25" t="n">
        <f aca="false">M551+N551</f>
        <v>485.61</v>
      </c>
      <c r="W551" s="25" t="n">
        <f aca="false">O551-V551</f>
        <v>0</v>
      </c>
      <c r="X551" s="22" t="str">
        <f aca="false">IF(OR(ABS(S551)&gt;0.005,ABS(U551)&gt;0.005,ABS(W551)&gt;0.005),"Subledger arithmetic error","OK")</f>
        <v>OK</v>
      </c>
      <c r="Y551" s="22" t="str">
        <f aca="false">IF(X551="OK","","Priority 3")</f>
        <v/>
      </c>
    </row>
    <row r="552" customFormat="false" ht="15" hidden="false" customHeight="false" outlineLevel="0" collapsed="false">
      <c r="A552" s="22" t="s">
        <v>12507</v>
      </c>
      <c r="B552" s="23" t="n">
        <v>46235</v>
      </c>
      <c r="C552" s="22" t="s">
        <v>12508</v>
      </c>
      <c r="D552" s="22" t="s">
        <v>4265</v>
      </c>
      <c r="E552" s="22" t="s">
        <v>7828</v>
      </c>
      <c r="F552" s="22" t="s">
        <v>215</v>
      </c>
      <c r="G552" s="22" t="s">
        <v>8601</v>
      </c>
      <c r="H552" s="22" t="s">
        <v>11406</v>
      </c>
      <c r="I552" s="22" t="n">
        <v>58</v>
      </c>
      <c r="J552" s="22" t="n">
        <v>1</v>
      </c>
      <c r="K552" s="22" t="n">
        <v>58</v>
      </c>
      <c r="L552" s="25" t="n">
        <v>7.55</v>
      </c>
      <c r="M552" s="25" t="n">
        <v>437.9</v>
      </c>
      <c r="N552" s="25" t="n">
        <v>56.23</v>
      </c>
      <c r="O552" s="25" t="n">
        <v>494.13</v>
      </c>
      <c r="P552" s="22" t="s">
        <v>11407</v>
      </c>
      <c r="Q552" s="23" t="n">
        <v>46249</v>
      </c>
      <c r="R552" s="22" t="n">
        <f aca="false">I552*J552</f>
        <v>58</v>
      </c>
      <c r="S552" s="25" t="n">
        <f aca="false">K552-R552</f>
        <v>0</v>
      </c>
      <c r="T552" s="25" t="n">
        <f aca="false">K552*L552</f>
        <v>437.9</v>
      </c>
      <c r="U552" s="25" t="n">
        <f aca="false">M552-T552</f>
        <v>0</v>
      </c>
      <c r="V552" s="25" t="n">
        <f aca="false">M552+N552</f>
        <v>494.13</v>
      </c>
      <c r="W552" s="25" t="n">
        <f aca="false">O552-V552</f>
        <v>0</v>
      </c>
      <c r="X552" s="22" t="str">
        <f aca="false">IF(OR(ABS(S552)&gt;0.005,ABS(U552)&gt;0.005,ABS(W552)&gt;0.005),"Subledger arithmetic error","OK")</f>
        <v>OK</v>
      </c>
      <c r="Y552" s="22" t="str">
        <f aca="false">IF(X552="OK","","Priority 3")</f>
        <v/>
      </c>
    </row>
    <row r="553" customFormat="false" ht="15" hidden="false" customHeight="false" outlineLevel="0" collapsed="false">
      <c r="A553" s="22" t="s">
        <v>12509</v>
      </c>
      <c r="B553" s="23" t="n">
        <v>46235</v>
      </c>
      <c r="C553" s="22" t="s">
        <v>12510</v>
      </c>
      <c r="D553" s="22" t="s">
        <v>6240</v>
      </c>
      <c r="E553" s="22" t="s">
        <v>7829</v>
      </c>
      <c r="F553" s="22" t="s">
        <v>215</v>
      </c>
      <c r="G553" s="22" t="s">
        <v>8601</v>
      </c>
      <c r="H553" s="22" t="s">
        <v>11406</v>
      </c>
      <c r="I553" s="22" t="n">
        <v>45</v>
      </c>
      <c r="J553" s="22" t="n">
        <v>1</v>
      </c>
      <c r="K553" s="22" t="n">
        <v>45</v>
      </c>
      <c r="L553" s="25" t="n">
        <v>7.55</v>
      </c>
      <c r="M553" s="25" t="n">
        <v>339.75</v>
      </c>
      <c r="N553" s="25" t="n">
        <v>43.62</v>
      </c>
      <c r="O553" s="25" t="n">
        <v>383.37</v>
      </c>
      <c r="P553" s="22" t="s">
        <v>11407</v>
      </c>
      <c r="Q553" s="23" t="n">
        <v>46249</v>
      </c>
      <c r="R553" s="22" t="n">
        <f aca="false">I553*J553</f>
        <v>45</v>
      </c>
      <c r="S553" s="25" t="n">
        <f aca="false">K553-R553</f>
        <v>0</v>
      </c>
      <c r="T553" s="25" t="n">
        <f aca="false">K553*L553</f>
        <v>339.75</v>
      </c>
      <c r="U553" s="25" t="n">
        <f aca="false">M553-T553</f>
        <v>0</v>
      </c>
      <c r="V553" s="25" t="n">
        <f aca="false">M553+N553</f>
        <v>383.37</v>
      </c>
      <c r="W553" s="25" t="n">
        <f aca="false">O553-V553</f>
        <v>0</v>
      </c>
      <c r="X553" s="22" t="str">
        <f aca="false">IF(OR(ABS(S553)&gt;0.005,ABS(U553)&gt;0.005,ABS(W553)&gt;0.005),"Subledger arithmetic error","OK")</f>
        <v>OK</v>
      </c>
      <c r="Y553" s="22" t="str">
        <f aca="false">IF(X553="OK","","Priority 3")</f>
        <v/>
      </c>
    </row>
    <row r="554" customFormat="false" ht="15" hidden="false" customHeight="false" outlineLevel="0" collapsed="false">
      <c r="A554" s="22" t="s">
        <v>12511</v>
      </c>
      <c r="B554" s="23" t="n">
        <v>46235</v>
      </c>
      <c r="C554" s="22" t="s">
        <v>12512</v>
      </c>
      <c r="D554" s="22" t="s">
        <v>4834</v>
      </c>
      <c r="E554" s="22" t="s">
        <v>7830</v>
      </c>
      <c r="F554" s="22" t="s">
        <v>215</v>
      </c>
      <c r="G554" s="22" t="s">
        <v>8601</v>
      </c>
      <c r="H554" s="22" t="s">
        <v>11406</v>
      </c>
      <c r="I554" s="22" t="n">
        <v>32</v>
      </c>
      <c r="J554" s="22" t="n">
        <v>1</v>
      </c>
      <c r="K554" s="22" t="n">
        <v>32</v>
      </c>
      <c r="L554" s="25" t="n">
        <v>7.55</v>
      </c>
      <c r="M554" s="25" t="n">
        <v>241.6</v>
      </c>
      <c r="N554" s="25" t="n">
        <v>31.02</v>
      </c>
      <c r="O554" s="25" t="n">
        <v>272.62</v>
      </c>
      <c r="P554" s="22" t="s">
        <v>11407</v>
      </c>
      <c r="Q554" s="23" t="n">
        <v>46249</v>
      </c>
      <c r="R554" s="22" t="n">
        <f aca="false">I554*J554</f>
        <v>32</v>
      </c>
      <c r="S554" s="25" t="n">
        <f aca="false">K554-R554</f>
        <v>0</v>
      </c>
      <c r="T554" s="25" t="n">
        <f aca="false">K554*L554</f>
        <v>241.6</v>
      </c>
      <c r="U554" s="25" t="n">
        <f aca="false">M554-T554</f>
        <v>0</v>
      </c>
      <c r="V554" s="25" t="n">
        <f aca="false">M554+N554</f>
        <v>272.62</v>
      </c>
      <c r="W554" s="25" t="n">
        <f aca="false">O554-V554</f>
        <v>0</v>
      </c>
      <c r="X554" s="22" t="str">
        <f aca="false">IF(OR(ABS(S554)&gt;0.005,ABS(U554)&gt;0.005,ABS(W554)&gt;0.005),"Subledger arithmetic error","OK")</f>
        <v>OK</v>
      </c>
      <c r="Y554" s="22" t="str">
        <f aca="false">IF(X554="OK","","Priority 3")</f>
        <v/>
      </c>
    </row>
    <row r="555" customFormat="false" ht="15" hidden="false" customHeight="false" outlineLevel="0" collapsed="false">
      <c r="A555" s="22" t="s">
        <v>12513</v>
      </c>
      <c r="B555" s="23" t="n">
        <v>46235</v>
      </c>
      <c r="C555" s="22" t="s">
        <v>12514</v>
      </c>
      <c r="D555" s="22" t="s">
        <v>1308</v>
      </c>
      <c r="E555" s="22" t="s">
        <v>7832</v>
      </c>
      <c r="F555" s="22" t="s">
        <v>215</v>
      </c>
      <c r="G555" s="22" t="s">
        <v>8601</v>
      </c>
      <c r="H555" s="22" t="s">
        <v>11406</v>
      </c>
      <c r="I555" s="22" t="n">
        <v>36</v>
      </c>
      <c r="J555" s="22" t="n">
        <v>1</v>
      </c>
      <c r="K555" s="22" t="n">
        <v>36</v>
      </c>
      <c r="L555" s="25" t="n">
        <v>7.55</v>
      </c>
      <c r="M555" s="25" t="n">
        <v>271.8</v>
      </c>
      <c r="N555" s="25" t="n">
        <v>34.9</v>
      </c>
      <c r="O555" s="25" t="n">
        <v>306.7</v>
      </c>
      <c r="P555" s="22" t="s">
        <v>11407</v>
      </c>
      <c r="Q555" s="23" t="n">
        <v>46249</v>
      </c>
      <c r="R555" s="22" t="n">
        <f aca="false">I555*J555</f>
        <v>36</v>
      </c>
      <c r="S555" s="25" t="n">
        <f aca="false">K555-R555</f>
        <v>0</v>
      </c>
      <c r="T555" s="25" t="n">
        <f aca="false">K555*L555</f>
        <v>271.8</v>
      </c>
      <c r="U555" s="25" t="n">
        <f aca="false">M555-T555</f>
        <v>0</v>
      </c>
      <c r="V555" s="25" t="n">
        <f aca="false">M555+N555</f>
        <v>306.7</v>
      </c>
      <c r="W555" s="25" t="n">
        <f aca="false">O555-V555</f>
        <v>0</v>
      </c>
      <c r="X555" s="22" t="str">
        <f aca="false">IF(OR(ABS(S555)&gt;0.005,ABS(U555)&gt;0.005,ABS(W555)&gt;0.005),"Subledger arithmetic error","OK")</f>
        <v>OK</v>
      </c>
      <c r="Y555" s="22" t="str">
        <f aca="false">IF(X555="OK","","Priority 3")</f>
        <v/>
      </c>
    </row>
    <row r="556" customFormat="false" ht="15" hidden="false" customHeight="false" outlineLevel="0" collapsed="false">
      <c r="A556" s="22" t="s">
        <v>12515</v>
      </c>
      <c r="B556" s="23" t="n">
        <v>46235</v>
      </c>
      <c r="C556" s="22" t="s">
        <v>12516</v>
      </c>
      <c r="D556" s="22" t="s">
        <v>2432</v>
      </c>
      <c r="E556" s="22" t="s">
        <v>7835</v>
      </c>
      <c r="F556" s="22" t="s">
        <v>215</v>
      </c>
      <c r="G556" s="22" t="s">
        <v>8601</v>
      </c>
      <c r="H556" s="22" t="s">
        <v>11406</v>
      </c>
      <c r="I556" s="22" t="n">
        <v>70</v>
      </c>
      <c r="J556" s="22" t="n">
        <v>1</v>
      </c>
      <c r="K556" s="22" t="n">
        <v>70</v>
      </c>
      <c r="L556" s="25" t="n">
        <v>7.55</v>
      </c>
      <c r="M556" s="25" t="n">
        <v>528.5</v>
      </c>
      <c r="N556" s="25" t="n">
        <v>67.86</v>
      </c>
      <c r="O556" s="25" t="n">
        <v>596.36</v>
      </c>
      <c r="P556" s="22" t="s">
        <v>11407</v>
      </c>
      <c r="Q556" s="23" t="n">
        <v>46249</v>
      </c>
      <c r="R556" s="22" t="n">
        <f aca="false">I556*J556</f>
        <v>70</v>
      </c>
      <c r="S556" s="25" t="n">
        <f aca="false">K556-R556</f>
        <v>0</v>
      </c>
      <c r="T556" s="25" t="n">
        <f aca="false">K556*L556</f>
        <v>528.5</v>
      </c>
      <c r="U556" s="25" t="n">
        <f aca="false">M556-T556</f>
        <v>0</v>
      </c>
      <c r="V556" s="25" t="n">
        <f aca="false">M556+N556</f>
        <v>596.36</v>
      </c>
      <c r="W556" s="25" t="n">
        <f aca="false">O556-V556</f>
        <v>0</v>
      </c>
      <c r="X556" s="22" t="str">
        <f aca="false">IF(OR(ABS(S556)&gt;0.005,ABS(U556)&gt;0.005,ABS(W556)&gt;0.005),"Subledger arithmetic error","OK")</f>
        <v>OK</v>
      </c>
      <c r="Y556" s="22" t="str">
        <f aca="false">IF(X556="OK","","Priority 3")</f>
        <v/>
      </c>
    </row>
    <row r="557" customFormat="false" ht="15" hidden="false" customHeight="false" outlineLevel="0" collapsed="false">
      <c r="A557" s="22" t="s">
        <v>12517</v>
      </c>
      <c r="B557" s="23" t="n">
        <v>46235</v>
      </c>
      <c r="C557" s="22" t="s">
        <v>12518</v>
      </c>
      <c r="D557" s="22" t="s">
        <v>6319</v>
      </c>
      <c r="E557" s="22" t="s">
        <v>7836</v>
      </c>
      <c r="F557" s="22" t="s">
        <v>215</v>
      </c>
      <c r="G557" s="22" t="s">
        <v>8601</v>
      </c>
      <c r="H557" s="22" t="s">
        <v>11406</v>
      </c>
      <c r="I557" s="22" t="n">
        <v>52</v>
      </c>
      <c r="J557" s="22" t="n">
        <v>1</v>
      </c>
      <c r="K557" s="22" t="n">
        <v>52</v>
      </c>
      <c r="L557" s="25" t="n">
        <v>7.55</v>
      </c>
      <c r="M557" s="25" t="n">
        <v>392.6</v>
      </c>
      <c r="N557" s="25" t="n">
        <v>50.41</v>
      </c>
      <c r="O557" s="25" t="n">
        <v>443.01</v>
      </c>
      <c r="P557" s="22" t="s">
        <v>11407</v>
      </c>
      <c r="Q557" s="23" t="n">
        <v>46249</v>
      </c>
      <c r="R557" s="22" t="n">
        <f aca="false">I557*J557</f>
        <v>52</v>
      </c>
      <c r="S557" s="25" t="n">
        <f aca="false">K557-R557</f>
        <v>0</v>
      </c>
      <c r="T557" s="25" t="n">
        <f aca="false">K557*L557</f>
        <v>392.6</v>
      </c>
      <c r="U557" s="25" t="n">
        <f aca="false">M557-T557</f>
        <v>0</v>
      </c>
      <c r="V557" s="25" t="n">
        <f aca="false">M557+N557</f>
        <v>443.01</v>
      </c>
      <c r="W557" s="25" t="n">
        <f aca="false">O557-V557</f>
        <v>0</v>
      </c>
      <c r="X557" s="22" t="str">
        <f aca="false">IF(OR(ABS(S557)&gt;0.005,ABS(U557)&gt;0.005,ABS(W557)&gt;0.005),"Subledger arithmetic error","OK")</f>
        <v>OK</v>
      </c>
      <c r="Y557" s="22" t="str">
        <f aca="false">IF(X557="OK","","Priority 3")</f>
        <v/>
      </c>
    </row>
    <row r="558" customFormat="false" ht="15" hidden="false" customHeight="false" outlineLevel="0" collapsed="false">
      <c r="A558" s="22" t="s">
        <v>12519</v>
      </c>
      <c r="B558" s="23" t="n">
        <v>46235</v>
      </c>
      <c r="C558" s="22" t="s">
        <v>12520</v>
      </c>
      <c r="D558" s="22" t="s">
        <v>3829</v>
      </c>
      <c r="E558" s="22" t="s">
        <v>7838</v>
      </c>
      <c r="F558" s="22" t="s">
        <v>215</v>
      </c>
      <c r="G558" s="22" t="s">
        <v>8601</v>
      </c>
      <c r="H558" s="22" t="s">
        <v>11406</v>
      </c>
      <c r="I558" s="22" t="n">
        <v>47</v>
      </c>
      <c r="J558" s="22" t="n">
        <v>1</v>
      </c>
      <c r="K558" s="22" t="n">
        <v>47</v>
      </c>
      <c r="L558" s="25" t="n">
        <v>7.55</v>
      </c>
      <c r="M558" s="25" t="n">
        <v>354.85</v>
      </c>
      <c r="N558" s="25" t="n">
        <v>45.56</v>
      </c>
      <c r="O558" s="25" t="n">
        <v>400.41</v>
      </c>
      <c r="P558" s="22" t="s">
        <v>11407</v>
      </c>
      <c r="Q558" s="23" t="n">
        <v>46249</v>
      </c>
      <c r="R558" s="22" t="n">
        <f aca="false">I558*J558</f>
        <v>47</v>
      </c>
      <c r="S558" s="25" t="n">
        <f aca="false">K558-R558</f>
        <v>0</v>
      </c>
      <c r="T558" s="25" t="n">
        <f aca="false">K558*L558</f>
        <v>354.85</v>
      </c>
      <c r="U558" s="25" t="n">
        <f aca="false">M558-T558</f>
        <v>0</v>
      </c>
      <c r="V558" s="25" t="n">
        <f aca="false">M558+N558</f>
        <v>400.41</v>
      </c>
      <c r="W558" s="25" t="n">
        <f aca="false">O558-V558</f>
        <v>0</v>
      </c>
      <c r="X558" s="22" t="str">
        <f aca="false">IF(OR(ABS(S558)&gt;0.005,ABS(U558)&gt;0.005,ABS(W558)&gt;0.005),"Subledger arithmetic error","OK")</f>
        <v>OK</v>
      </c>
      <c r="Y558" s="22" t="str">
        <f aca="false">IF(X558="OK","","Priority 3")</f>
        <v/>
      </c>
    </row>
    <row r="559" customFormat="false" ht="15" hidden="false" customHeight="false" outlineLevel="0" collapsed="false">
      <c r="A559" s="22" t="s">
        <v>12521</v>
      </c>
      <c r="B559" s="23" t="n">
        <v>46235</v>
      </c>
      <c r="C559" s="22" t="s">
        <v>12522</v>
      </c>
      <c r="D559" s="22" t="s">
        <v>2098</v>
      </c>
      <c r="E559" s="22" t="s">
        <v>7840</v>
      </c>
      <c r="F559" s="22" t="s">
        <v>215</v>
      </c>
      <c r="G559" s="22" t="s">
        <v>8601</v>
      </c>
      <c r="H559" s="22" t="s">
        <v>11406</v>
      </c>
      <c r="I559" s="22" t="n">
        <v>59</v>
      </c>
      <c r="J559" s="22" t="n">
        <v>1</v>
      </c>
      <c r="K559" s="22" t="n">
        <v>59</v>
      </c>
      <c r="L559" s="25" t="n">
        <v>7.55</v>
      </c>
      <c r="M559" s="25" t="n">
        <v>445.45</v>
      </c>
      <c r="N559" s="25" t="n">
        <v>57.2</v>
      </c>
      <c r="O559" s="25" t="n">
        <v>502.65</v>
      </c>
      <c r="P559" s="22" t="s">
        <v>11407</v>
      </c>
      <c r="Q559" s="23" t="n">
        <v>46249</v>
      </c>
      <c r="R559" s="22" t="n">
        <f aca="false">I559*J559</f>
        <v>59</v>
      </c>
      <c r="S559" s="25" t="n">
        <f aca="false">K559-R559</f>
        <v>0</v>
      </c>
      <c r="T559" s="25" t="n">
        <f aca="false">K559*L559</f>
        <v>445.45</v>
      </c>
      <c r="U559" s="25" t="n">
        <f aca="false">M559-T559</f>
        <v>0</v>
      </c>
      <c r="V559" s="25" t="n">
        <f aca="false">M559+N559</f>
        <v>502.65</v>
      </c>
      <c r="W559" s="25" t="n">
        <f aca="false">O559-V559</f>
        <v>0</v>
      </c>
      <c r="X559" s="22" t="str">
        <f aca="false">IF(OR(ABS(S559)&gt;0.005,ABS(U559)&gt;0.005,ABS(W559)&gt;0.005),"Subledger arithmetic error","OK")</f>
        <v>OK</v>
      </c>
      <c r="Y559" s="22" t="str">
        <f aca="false">IF(X559="OK","","Priority 3")</f>
        <v/>
      </c>
    </row>
    <row r="560" customFormat="false" ht="15" hidden="false" customHeight="false" outlineLevel="0" collapsed="false">
      <c r="A560" s="22" t="s">
        <v>12523</v>
      </c>
      <c r="B560" s="23" t="n">
        <v>46235</v>
      </c>
      <c r="C560" s="22" t="s">
        <v>12524</v>
      </c>
      <c r="D560" s="22" t="s">
        <v>3122</v>
      </c>
      <c r="E560" s="22" t="s">
        <v>7841</v>
      </c>
      <c r="F560" s="22" t="s">
        <v>215</v>
      </c>
      <c r="G560" s="22" t="s">
        <v>8601</v>
      </c>
      <c r="H560" s="22" t="s">
        <v>11406</v>
      </c>
      <c r="I560" s="22" t="n">
        <v>55</v>
      </c>
      <c r="J560" s="22" t="n">
        <v>1</v>
      </c>
      <c r="K560" s="22" t="n">
        <v>55</v>
      </c>
      <c r="L560" s="25" t="n">
        <v>7.55</v>
      </c>
      <c r="M560" s="25" t="n">
        <v>415.25</v>
      </c>
      <c r="N560" s="25" t="n">
        <v>53.32</v>
      </c>
      <c r="O560" s="25" t="n">
        <v>468.57</v>
      </c>
      <c r="P560" s="22" t="s">
        <v>11407</v>
      </c>
      <c r="Q560" s="23" t="n">
        <v>46249</v>
      </c>
      <c r="R560" s="22" t="n">
        <f aca="false">I560*J560</f>
        <v>55</v>
      </c>
      <c r="S560" s="25" t="n">
        <f aca="false">K560-R560</f>
        <v>0</v>
      </c>
      <c r="T560" s="25" t="n">
        <f aca="false">K560*L560</f>
        <v>415.25</v>
      </c>
      <c r="U560" s="25" t="n">
        <f aca="false">M560-T560</f>
        <v>0</v>
      </c>
      <c r="V560" s="25" t="n">
        <f aca="false">M560+N560</f>
        <v>468.57</v>
      </c>
      <c r="W560" s="25" t="n">
        <f aca="false">O560-V560</f>
        <v>0</v>
      </c>
      <c r="X560" s="22" t="str">
        <f aca="false">IF(OR(ABS(S560)&gt;0.005,ABS(U560)&gt;0.005,ABS(W560)&gt;0.005),"Subledger arithmetic error","OK")</f>
        <v>OK</v>
      </c>
      <c r="Y560" s="22" t="str">
        <f aca="false">IF(X560="OK","","Priority 3")</f>
        <v/>
      </c>
    </row>
    <row r="561" customFormat="false" ht="15" hidden="false" customHeight="false" outlineLevel="0" collapsed="false">
      <c r="A561" s="22" t="s">
        <v>12525</v>
      </c>
      <c r="B561" s="23" t="n">
        <v>46235</v>
      </c>
      <c r="C561" s="22" t="s">
        <v>12526</v>
      </c>
      <c r="D561" s="22" t="s">
        <v>3638</v>
      </c>
      <c r="E561" s="22" t="s">
        <v>7842</v>
      </c>
      <c r="F561" s="22" t="s">
        <v>215</v>
      </c>
      <c r="G561" s="22" t="s">
        <v>8601</v>
      </c>
      <c r="H561" s="22" t="s">
        <v>11406</v>
      </c>
      <c r="I561" s="22" t="n">
        <v>32</v>
      </c>
      <c r="J561" s="22" t="n">
        <v>1</v>
      </c>
      <c r="K561" s="22" t="n">
        <v>32</v>
      </c>
      <c r="L561" s="25" t="n">
        <v>7.55</v>
      </c>
      <c r="M561" s="25" t="n">
        <v>241.6</v>
      </c>
      <c r="N561" s="25" t="n">
        <v>31.02</v>
      </c>
      <c r="O561" s="25" t="n">
        <v>272.62</v>
      </c>
      <c r="P561" s="22" t="s">
        <v>11407</v>
      </c>
      <c r="Q561" s="23" t="n">
        <v>46249</v>
      </c>
      <c r="R561" s="22" t="n">
        <f aca="false">I561*J561</f>
        <v>32</v>
      </c>
      <c r="S561" s="25" t="n">
        <f aca="false">K561-R561</f>
        <v>0</v>
      </c>
      <c r="T561" s="25" t="n">
        <f aca="false">K561*L561</f>
        <v>241.6</v>
      </c>
      <c r="U561" s="25" t="n">
        <f aca="false">M561-T561</f>
        <v>0</v>
      </c>
      <c r="V561" s="25" t="n">
        <f aca="false">M561+N561</f>
        <v>272.62</v>
      </c>
      <c r="W561" s="25" t="n">
        <f aca="false">O561-V561</f>
        <v>0</v>
      </c>
      <c r="X561" s="22" t="str">
        <f aca="false">IF(OR(ABS(S561)&gt;0.005,ABS(U561)&gt;0.005,ABS(W561)&gt;0.005),"Subledger arithmetic error","OK")</f>
        <v>OK</v>
      </c>
      <c r="Y561" s="22" t="str">
        <f aca="false">IF(X561="OK","","Priority 3")</f>
        <v/>
      </c>
    </row>
    <row r="562" customFormat="false" ht="15" hidden="false" customHeight="false" outlineLevel="0" collapsed="false">
      <c r="A562" s="22" t="s">
        <v>12527</v>
      </c>
      <c r="B562" s="23" t="n">
        <v>46235</v>
      </c>
      <c r="C562" s="22" t="s">
        <v>12528</v>
      </c>
      <c r="D562" s="22" t="s">
        <v>1754</v>
      </c>
      <c r="E562" s="22" t="s">
        <v>7843</v>
      </c>
      <c r="F562" s="22" t="s">
        <v>215</v>
      </c>
      <c r="G562" s="22" t="s">
        <v>8601</v>
      </c>
      <c r="H562" s="22" t="s">
        <v>11406</v>
      </c>
      <c r="I562" s="22" t="n">
        <v>60</v>
      </c>
      <c r="J562" s="22" t="n">
        <v>1</v>
      </c>
      <c r="K562" s="22" t="n">
        <v>60</v>
      </c>
      <c r="L562" s="25" t="n">
        <v>7.55</v>
      </c>
      <c r="M562" s="25" t="n">
        <v>453</v>
      </c>
      <c r="N562" s="25" t="n">
        <v>58.17</v>
      </c>
      <c r="O562" s="25" t="n">
        <v>511.17</v>
      </c>
      <c r="P562" s="22" t="s">
        <v>11407</v>
      </c>
      <c r="Q562" s="23" t="n">
        <v>46249</v>
      </c>
      <c r="R562" s="22" t="n">
        <f aca="false">I562*J562</f>
        <v>60</v>
      </c>
      <c r="S562" s="25" t="n">
        <f aca="false">K562-R562</f>
        <v>0</v>
      </c>
      <c r="T562" s="25" t="n">
        <f aca="false">K562*L562</f>
        <v>453</v>
      </c>
      <c r="U562" s="25" t="n">
        <f aca="false">M562-T562</f>
        <v>0</v>
      </c>
      <c r="V562" s="25" t="n">
        <f aca="false">M562+N562</f>
        <v>511.17</v>
      </c>
      <c r="W562" s="25" t="n">
        <f aca="false">O562-V562</f>
        <v>0</v>
      </c>
      <c r="X562" s="22" t="str">
        <f aca="false">IF(OR(ABS(S562)&gt;0.005,ABS(U562)&gt;0.005,ABS(W562)&gt;0.005),"Subledger arithmetic error","OK")</f>
        <v>OK</v>
      </c>
      <c r="Y562" s="22" t="str">
        <f aca="false">IF(X562="OK","","Priority 3")</f>
        <v/>
      </c>
    </row>
    <row r="563" customFormat="false" ht="15" hidden="false" customHeight="false" outlineLevel="0" collapsed="false">
      <c r="A563" s="22" t="s">
        <v>12529</v>
      </c>
      <c r="B563" s="23" t="n">
        <v>46235</v>
      </c>
      <c r="C563" s="22" t="s">
        <v>12530</v>
      </c>
      <c r="D563" s="22" t="s">
        <v>4462</v>
      </c>
      <c r="E563" s="22" t="s">
        <v>7845</v>
      </c>
      <c r="F563" s="22" t="s">
        <v>215</v>
      </c>
      <c r="G563" s="22" t="s">
        <v>8601</v>
      </c>
      <c r="H563" s="22" t="s">
        <v>11406</v>
      </c>
      <c r="I563" s="22" t="n">
        <v>70</v>
      </c>
      <c r="J563" s="22" t="n">
        <v>1</v>
      </c>
      <c r="K563" s="22" t="n">
        <v>70</v>
      </c>
      <c r="L563" s="25" t="n">
        <v>7.55</v>
      </c>
      <c r="M563" s="25" t="n">
        <v>528.5</v>
      </c>
      <c r="N563" s="25" t="n">
        <v>67.86</v>
      </c>
      <c r="O563" s="25" t="n">
        <v>596.36</v>
      </c>
      <c r="P563" s="22" t="s">
        <v>11407</v>
      </c>
      <c r="Q563" s="23" t="n">
        <v>46249</v>
      </c>
      <c r="R563" s="22" t="n">
        <f aca="false">I563*J563</f>
        <v>70</v>
      </c>
      <c r="S563" s="25" t="n">
        <f aca="false">K563-R563</f>
        <v>0</v>
      </c>
      <c r="T563" s="25" t="n">
        <f aca="false">K563*L563</f>
        <v>528.5</v>
      </c>
      <c r="U563" s="25" t="n">
        <f aca="false">M563-T563</f>
        <v>0</v>
      </c>
      <c r="V563" s="25" t="n">
        <f aca="false">M563+N563</f>
        <v>596.36</v>
      </c>
      <c r="W563" s="25" t="n">
        <f aca="false">O563-V563</f>
        <v>0</v>
      </c>
      <c r="X563" s="22" t="str">
        <f aca="false">IF(OR(ABS(S563)&gt;0.005,ABS(U563)&gt;0.005,ABS(W563)&gt;0.005),"Subledger arithmetic error","OK")</f>
        <v>OK</v>
      </c>
      <c r="Y563" s="22" t="str">
        <f aca="false">IF(X563="OK","","Priority 3")</f>
        <v/>
      </c>
    </row>
    <row r="564" customFormat="false" ht="15" hidden="false" customHeight="false" outlineLevel="0" collapsed="false">
      <c r="A564" s="22" t="s">
        <v>12531</v>
      </c>
      <c r="B564" s="23" t="n">
        <v>46235</v>
      </c>
      <c r="C564" s="22" t="s">
        <v>12532</v>
      </c>
      <c r="D564" s="22" t="s">
        <v>5808</v>
      </c>
      <c r="E564" s="22" t="s">
        <v>7847</v>
      </c>
      <c r="F564" s="22" t="s">
        <v>215</v>
      </c>
      <c r="G564" s="22" t="s">
        <v>8601</v>
      </c>
      <c r="H564" s="22" t="s">
        <v>11406</v>
      </c>
      <c r="I564" s="22" t="n">
        <v>60</v>
      </c>
      <c r="J564" s="22" t="n">
        <v>1</v>
      </c>
      <c r="K564" s="22" t="n">
        <v>60</v>
      </c>
      <c r="L564" s="25" t="n">
        <v>7.55</v>
      </c>
      <c r="M564" s="25" t="n">
        <v>453</v>
      </c>
      <c r="N564" s="25" t="n">
        <v>58.17</v>
      </c>
      <c r="O564" s="25" t="n">
        <v>511.17</v>
      </c>
      <c r="P564" s="22" t="s">
        <v>11407</v>
      </c>
      <c r="Q564" s="23" t="n">
        <v>46249</v>
      </c>
      <c r="R564" s="22" t="n">
        <f aca="false">I564*J564</f>
        <v>60</v>
      </c>
      <c r="S564" s="25" t="n">
        <f aca="false">K564-R564</f>
        <v>0</v>
      </c>
      <c r="T564" s="25" t="n">
        <f aca="false">K564*L564</f>
        <v>453</v>
      </c>
      <c r="U564" s="25" t="n">
        <f aca="false">M564-T564</f>
        <v>0</v>
      </c>
      <c r="V564" s="25" t="n">
        <f aca="false">M564+N564</f>
        <v>511.17</v>
      </c>
      <c r="W564" s="25" t="n">
        <f aca="false">O564-V564</f>
        <v>0</v>
      </c>
      <c r="X564" s="22" t="str">
        <f aca="false">IF(OR(ABS(S564)&gt;0.005,ABS(U564)&gt;0.005,ABS(W564)&gt;0.005),"Subledger arithmetic error","OK")</f>
        <v>OK</v>
      </c>
      <c r="Y564" s="22" t="str">
        <f aca="false">IF(X564="OK","","Priority 3")</f>
        <v/>
      </c>
    </row>
    <row r="565" customFormat="false" ht="15" hidden="false" customHeight="false" outlineLevel="0" collapsed="false">
      <c r="A565" s="22" t="s">
        <v>12533</v>
      </c>
      <c r="B565" s="23" t="n">
        <v>46235</v>
      </c>
      <c r="C565" s="22" t="s">
        <v>12534</v>
      </c>
      <c r="D565" s="22" t="s">
        <v>5430</v>
      </c>
      <c r="E565" s="22" t="s">
        <v>7849</v>
      </c>
      <c r="F565" s="22" t="s">
        <v>215</v>
      </c>
      <c r="G565" s="22" t="s">
        <v>8601</v>
      </c>
      <c r="H565" s="22" t="s">
        <v>11406</v>
      </c>
      <c r="I565" s="22" t="n">
        <v>53</v>
      </c>
      <c r="J565" s="22" t="n">
        <v>1</v>
      </c>
      <c r="K565" s="22" t="n">
        <v>53</v>
      </c>
      <c r="L565" s="25" t="n">
        <v>7.55</v>
      </c>
      <c r="M565" s="25" t="n">
        <v>400.15</v>
      </c>
      <c r="N565" s="25" t="n">
        <v>51.38</v>
      </c>
      <c r="O565" s="25" t="n">
        <v>451.53</v>
      </c>
      <c r="P565" s="22" t="s">
        <v>11407</v>
      </c>
      <c r="Q565" s="23" t="n">
        <v>46249</v>
      </c>
      <c r="R565" s="22" t="n">
        <f aca="false">I565*J565</f>
        <v>53</v>
      </c>
      <c r="S565" s="25" t="n">
        <f aca="false">K565-R565</f>
        <v>0</v>
      </c>
      <c r="T565" s="25" t="n">
        <f aca="false">K565*L565</f>
        <v>400.15</v>
      </c>
      <c r="U565" s="25" t="n">
        <f aca="false">M565-T565</f>
        <v>0</v>
      </c>
      <c r="V565" s="25" t="n">
        <f aca="false">M565+N565</f>
        <v>451.53</v>
      </c>
      <c r="W565" s="25" t="n">
        <f aca="false">O565-V565</f>
        <v>0</v>
      </c>
      <c r="X565" s="22" t="str">
        <f aca="false">IF(OR(ABS(S565)&gt;0.005,ABS(U565)&gt;0.005,ABS(W565)&gt;0.005),"Subledger arithmetic error","OK")</f>
        <v>OK</v>
      </c>
      <c r="Y565" s="22" t="str">
        <f aca="false">IF(X565="OK","","Priority 3")</f>
        <v/>
      </c>
    </row>
    <row r="566" customFormat="false" ht="15" hidden="false" customHeight="false" outlineLevel="0" collapsed="false">
      <c r="A566" s="22" t="s">
        <v>12535</v>
      </c>
      <c r="B566" s="23" t="n">
        <v>46235</v>
      </c>
      <c r="C566" s="22" t="s">
        <v>12536</v>
      </c>
      <c r="D566" s="22" t="s">
        <v>5313</v>
      </c>
      <c r="E566" s="22" t="s">
        <v>7850</v>
      </c>
      <c r="F566" s="22" t="s">
        <v>215</v>
      </c>
      <c r="G566" s="22" t="s">
        <v>8601</v>
      </c>
      <c r="H566" s="22" t="s">
        <v>11406</v>
      </c>
      <c r="I566" s="22" t="n">
        <v>36</v>
      </c>
      <c r="J566" s="22" t="n">
        <v>1</v>
      </c>
      <c r="K566" s="22" t="n">
        <v>36</v>
      </c>
      <c r="L566" s="25" t="n">
        <v>7.55</v>
      </c>
      <c r="M566" s="25" t="n">
        <v>271.8</v>
      </c>
      <c r="N566" s="25" t="n">
        <v>34.9</v>
      </c>
      <c r="O566" s="25" t="n">
        <v>306.7</v>
      </c>
      <c r="P566" s="22" t="s">
        <v>11407</v>
      </c>
      <c r="Q566" s="23" t="n">
        <v>46249</v>
      </c>
      <c r="R566" s="22" t="n">
        <f aca="false">I566*J566</f>
        <v>36</v>
      </c>
      <c r="S566" s="25" t="n">
        <f aca="false">K566-R566</f>
        <v>0</v>
      </c>
      <c r="T566" s="25" t="n">
        <f aca="false">K566*L566</f>
        <v>271.8</v>
      </c>
      <c r="U566" s="25" t="n">
        <f aca="false">M566-T566</f>
        <v>0</v>
      </c>
      <c r="V566" s="25" t="n">
        <f aca="false">M566+N566</f>
        <v>306.7</v>
      </c>
      <c r="W566" s="25" t="n">
        <f aca="false">O566-V566</f>
        <v>0</v>
      </c>
      <c r="X566" s="22" t="str">
        <f aca="false">IF(OR(ABS(S566)&gt;0.005,ABS(U566)&gt;0.005,ABS(W566)&gt;0.005),"Subledger arithmetic error","OK")</f>
        <v>OK</v>
      </c>
      <c r="Y566" s="22" t="str">
        <f aca="false">IF(X566="OK","","Priority 3")</f>
        <v/>
      </c>
    </row>
    <row r="567" customFormat="false" ht="15" hidden="false" customHeight="false" outlineLevel="0" collapsed="false">
      <c r="A567" s="22" t="s">
        <v>12537</v>
      </c>
      <c r="B567" s="23" t="n">
        <v>46235</v>
      </c>
      <c r="C567" s="22" t="s">
        <v>12538</v>
      </c>
      <c r="D567" s="22" t="s">
        <v>4484</v>
      </c>
      <c r="E567" s="22" t="s">
        <v>7851</v>
      </c>
      <c r="F567" s="22" t="s">
        <v>215</v>
      </c>
      <c r="G567" s="22" t="s">
        <v>8601</v>
      </c>
      <c r="H567" s="22" t="s">
        <v>11406</v>
      </c>
      <c r="I567" s="22" t="n">
        <v>60</v>
      </c>
      <c r="J567" s="22" t="n">
        <v>1</v>
      </c>
      <c r="K567" s="22" t="n">
        <v>60</v>
      </c>
      <c r="L567" s="25" t="n">
        <v>7.55</v>
      </c>
      <c r="M567" s="25" t="n">
        <v>453</v>
      </c>
      <c r="N567" s="25" t="n">
        <v>58.17</v>
      </c>
      <c r="O567" s="25" t="n">
        <v>511.17</v>
      </c>
      <c r="P567" s="22" t="s">
        <v>11407</v>
      </c>
      <c r="Q567" s="23" t="n">
        <v>46249</v>
      </c>
      <c r="R567" s="22" t="n">
        <f aca="false">I567*J567</f>
        <v>60</v>
      </c>
      <c r="S567" s="25" t="n">
        <f aca="false">K567-R567</f>
        <v>0</v>
      </c>
      <c r="T567" s="25" t="n">
        <f aca="false">K567*L567</f>
        <v>453</v>
      </c>
      <c r="U567" s="25" t="n">
        <f aca="false">M567-T567</f>
        <v>0</v>
      </c>
      <c r="V567" s="25" t="n">
        <f aca="false">M567+N567</f>
        <v>511.17</v>
      </c>
      <c r="W567" s="25" t="n">
        <f aca="false">O567-V567</f>
        <v>0</v>
      </c>
      <c r="X567" s="22" t="str">
        <f aca="false">IF(OR(ABS(S567)&gt;0.005,ABS(U567)&gt;0.005,ABS(W567)&gt;0.005),"Subledger arithmetic error","OK")</f>
        <v>OK</v>
      </c>
      <c r="Y567" s="22" t="str">
        <f aca="false">IF(X567="OK","","Priority 3")</f>
        <v/>
      </c>
    </row>
    <row r="568" customFormat="false" ht="15" hidden="false" customHeight="false" outlineLevel="0" collapsed="false">
      <c r="A568" s="22" t="s">
        <v>12539</v>
      </c>
      <c r="B568" s="23" t="n">
        <v>46235</v>
      </c>
      <c r="C568" s="22" t="s">
        <v>12540</v>
      </c>
      <c r="D568" s="22" t="s">
        <v>1957</v>
      </c>
      <c r="E568" s="22" t="s">
        <v>7852</v>
      </c>
      <c r="F568" s="22" t="s">
        <v>215</v>
      </c>
      <c r="G568" s="22" t="s">
        <v>8601</v>
      </c>
      <c r="H568" s="22" t="s">
        <v>11406</v>
      </c>
      <c r="I568" s="22" t="n">
        <v>41</v>
      </c>
      <c r="J568" s="22" t="n">
        <v>1</v>
      </c>
      <c r="K568" s="22" t="n">
        <v>41</v>
      </c>
      <c r="L568" s="25" t="n">
        <v>7.55</v>
      </c>
      <c r="M568" s="25" t="n">
        <v>309.55</v>
      </c>
      <c r="N568" s="25" t="n">
        <v>39.75</v>
      </c>
      <c r="O568" s="25" t="n">
        <v>349.3</v>
      </c>
      <c r="P568" s="22" t="s">
        <v>11407</v>
      </c>
      <c r="Q568" s="23" t="n">
        <v>46249</v>
      </c>
      <c r="R568" s="22" t="n">
        <f aca="false">I568*J568</f>
        <v>41</v>
      </c>
      <c r="S568" s="25" t="n">
        <f aca="false">K568-R568</f>
        <v>0</v>
      </c>
      <c r="T568" s="25" t="n">
        <f aca="false">K568*L568</f>
        <v>309.55</v>
      </c>
      <c r="U568" s="25" t="n">
        <f aca="false">M568-T568</f>
        <v>0</v>
      </c>
      <c r="V568" s="25" t="n">
        <f aca="false">M568+N568</f>
        <v>349.3</v>
      </c>
      <c r="W568" s="25" t="n">
        <f aca="false">O568-V568</f>
        <v>0</v>
      </c>
      <c r="X568" s="22" t="str">
        <f aca="false">IF(OR(ABS(S568)&gt;0.005,ABS(U568)&gt;0.005,ABS(W568)&gt;0.005),"Subledger arithmetic error","OK")</f>
        <v>OK</v>
      </c>
      <c r="Y568" s="22" t="str">
        <f aca="false">IF(X568="OK","","Priority 3")</f>
        <v/>
      </c>
    </row>
    <row r="569" customFormat="false" ht="15" hidden="false" customHeight="false" outlineLevel="0" collapsed="false">
      <c r="A569" s="22" t="s">
        <v>12541</v>
      </c>
      <c r="B569" s="23" t="n">
        <v>46235</v>
      </c>
      <c r="C569" s="22" t="s">
        <v>12542</v>
      </c>
      <c r="D569" s="22" t="s">
        <v>4101</v>
      </c>
      <c r="E569" s="22" t="s">
        <v>7854</v>
      </c>
      <c r="F569" s="22" t="s">
        <v>215</v>
      </c>
      <c r="G569" s="22" t="s">
        <v>8601</v>
      </c>
      <c r="H569" s="22" t="s">
        <v>11406</v>
      </c>
      <c r="I569" s="22" t="n">
        <v>51</v>
      </c>
      <c r="J569" s="22" t="n">
        <v>1</v>
      </c>
      <c r="K569" s="22" t="n">
        <v>51</v>
      </c>
      <c r="L569" s="25" t="n">
        <v>7.55</v>
      </c>
      <c r="M569" s="25" t="n">
        <v>385.05</v>
      </c>
      <c r="N569" s="25" t="n">
        <v>49.44</v>
      </c>
      <c r="O569" s="25" t="n">
        <v>434.49</v>
      </c>
      <c r="P569" s="22" t="s">
        <v>11407</v>
      </c>
      <c r="Q569" s="23" t="n">
        <v>46249</v>
      </c>
      <c r="R569" s="22" t="n">
        <f aca="false">I569*J569</f>
        <v>51</v>
      </c>
      <c r="S569" s="25" t="n">
        <f aca="false">K569-R569</f>
        <v>0</v>
      </c>
      <c r="T569" s="25" t="n">
        <f aca="false">K569*L569</f>
        <v>385.05</v>
      </c>
      <c r="U569" s="25" t="n">
        <f aca="false">M569-T569</f>
        <v>0</v>
      </c>
      <c r="V569" s="25" t="n">
        <f aca="false">M569+N569</f>
        <v>434.49</v>
      </c>
      <c r="W569" s="25" t="n">
        <f aca="false">O569-V569</f>
        <v>0</v>
      </c>
      <c r="X569" s="22" t="str">
        <f aca="false">IF(OR(ABS(S569)&gt;0.005,ABS(U569)&gt;0.005,ABS(W569)&gt;0.005),"Subledger arithmetic error","OK")</f>
        <v>OK</v>
      </c>
      <c r="Y569" s="22" t="str">
        <f aca="false">IF(X569="OK","","Priority 3")</f>
        <v/>
      </c>
    </row>
    <row r="570" customFormat="false" ht="15" hidden="false" customHeight="false" outlineLevel="0" collapsed="false">
      <c r="A570" s="22" t="s">
        <v>12543</v>
      </c>
      <c r="B570" s="23" t="n">
        <v>46235</v>
      </c>
      <c r="C570" s="22" t="s">
        <v>12544</v>
      </c>
      <c r="D570" s="22" t="s">
        <v>2495</v>
      </c>
      <c r="E570" s="22" t="s">
        <v>7855</v>
      </c>
      <c r="F570" s="22" t="s">
        <v>215</v>
      </c>
      <c r="G570" s="22" t="s">
        <v>8601</v>
      </c>
      <c r="H570" s="22" t="s">
        <v>11406</v>
      </c>
      <c r="I570" s="22" t="n">
        <v>61</v>
      </c>
      <c r="J570" s="22" t="n">
        <v>1</v>
      </c>
      <c r="K570" s="22" t="n">
        <v>61</v>
      </c>
      <c r="L570" s="25" t="n">
        <v>7.55</v>
      </c>
      <c r="M570" s="25" t="n">
        <v>460.55</v>
      </c>
      <c r="N570" s="25" t="n">
        <v>59.13</v>
      </c>
      <c r="O570" s="25" t="n">
        <v>519.68</v>
      </c>
      <c r="P570" s="22" t="s">
        <v>11407</v>
      </c>
      <c r="Q570" s="23" t="n">
        <v>46249</v>
      </c>
      <c r="R570" s="22" t="n">
        <f aca="false">I570*J570</f>
        <v>61</v>
      </c>
      <c r="S570" s="25" t="n">
        <f aca="false">K570-R570</f>
        <v>0</v>
      </c>
      <c r="T570" s="25" t="n">
        <f aca="false">K570*L570</f>
        <v>460.55</v>
      </c>
      <c r="U570" s="25" t="n">
        <f aca="false">M570-T570</f>
        <v>0</v>
      </c>
      <c r="V570" s="25" t="n">
        <f aca="false">M570+N570</f>
        <v>519.68</v>
      </c>
      <c r="W570" s="25" t="n">
        <f aca="false">O570-V570</f>
        <v>0</v>
      </c>
      <c r="X570" s="22" t="str">
        <f aca="false">IF(OR(ABS(S570)&gt;0.005,ABS(U570)&gt;0.005,ABS(W570)&gt;0.005),"Subledger arithmetic error","OK")</f>
        <v>OK</v>
      </c>
      <c r="Y570" s="22" t="str">
        <f aca="false">IF(X570="OK","","Priority 3")</f>
        <v/>
      </c>
    </row>
    <row r="571" customFormat="false" ht="15" hidden="false" customHeight="false" outlineLevel="0" collapsed="false">
      <c r="A571" s="22" t="s">
        <v>12545</v>
      </c>
      <c r="B571" s="23" t="n">
        <v>46235</v>
      </c>
      <c r="C571" s="22" t="s">
        <v>12546</v>
      </c>
      <c r="D571" s="22" t="s">
        <v>6552</v>
      </c>
      <c r="E571" s="22" t="s">
        <v>7856</v>
      </c>
      <c r="F571" s="22" t="s">
        <v>215</v>
      </c>
      <c r="G571" s="22" t="s">
        <v>8601</v>
      </c>
      <c r="H571" s="22" t="s">
        <v>11406</v>
      </c>
      <c r="I571" s="22" t="n">
        <v>40</v>
      </c>
      <c r="J571" s="22" t="n">
        <v>1</v>
      </c>
      <c r="K571" s="22" t="n">
        <v>40</v>
      </c>
      <c r="L571" s="25" t="n">
        <v>7.55</v>
      </c>
      <c r="M571" s="25" t="n">
        <v>302</v>
      </c>
      <c r="N571" s="25" t="n">
        <v>38.78</v>
      </c>
      <c r="O571" s="25" t="n">
        <v>340.78</v>
      </c>
      <c r="P571" s="22" t="s">
        <v>11407</v>
      </c>
      <c r="Q571" s="23" t="n">
        <v>46249</v>
      </c>
      <c r="R571" s="22" t="n">
        <f aca="false">I571*J571</f>
        <v>40</v>
      </c>
      <c r="S571" s="25" t="n">
        <f aca="false">K571-R571</f>
        <v>0</v>
      </c>
      <c r="T571" s="25" t="n">
        <f aca="false">K571*L571</f>
        <v>302</v>
      </c>
      <c r="U571" s="25" t="n">
        <f aca="false">M571-T571</f>
        <v>0</v>
      </c>
      <c r="V571" s="25" t="n">
        <f aca="false">M571+N571</f>
        <v>340.78</v>
      </c>
      <c r="W571" s="25" t="n">
        <f aca="false">O571-V571</f>
        <v>0</v>
      </c>
      <c r="X571" s="22" t="str">
        <f aca="false">IF(OR(ABS(S571)&gt;0.005,ABS(U571)&gt;0.005,ABS(W571)&gt;0.005),"Subledger arithmetic error","OK")</f>
        <v>OK</v>
      </c>
      <c r="Y571" s="22" t="str">
        <f aca="false">IF(X571="OK","","Priority 3")</f>
        <v/>
      </c>
    </row>
    <row r="572" customFormat="false" ht="15" hidden="false" customHeight="false" outlineLevel="0" collapsed="false">
      <c r="A572" s="22" t="s">
        <v>12547</v>
      </c>
      <c r="B572" s="23" t="n">
        <v>46235</v>
      </c>
      <c r="C572" s="22" t="s">
        <v>12548</v>
      </c>
      <c r="D572" s="22" t="s">
        <v>1909</v>
      </c>
      <c r="E572" s="22" t="s">
        <v>7857</v>
      </c>
      <c r="F572" s="22" t="s">
        <v>215</v>
      </c>
      <c r="G572" s="22" t="s">
        <v>8601</v>
      </c>
      <c r="H572" s="22" t="s">
        <v>11406</v>
      </c>
      <c r="I572" s="22" t="n">
        <v>39</v>
      </c>
      <c r="J572" s="22" t="n">
        <v>1</v>
      </c>
      <c r="K572" s="22" t="n">
        <v>39</v>
      </c>
      <c r="L572" s="25" t="n">
        <v>7.55</v>
      </c>
      <c r="M572" s="25" t="n">
        <v>294.45</v>
      </c>
      <c r="N572" s="25" t="n">
        <v>37.81</v>
      </c>
      <c r="O572" s="25" t="n">
        <v>332.26</v>
      </c>
      <c r="P572" s="22" t="s">
        <v>11407</v>
      </c>
      <c r="Q572" s="23" t="n">
        <v>46249</v>
      </c>
      <c r="R572" s="22" t="n">
        <f aca="false">I572*J572</f>
        <v>39</v>
      </c>
      <c r="S572" s="25" t="n">
        <f aca="false">K572-R572</f>
        <v>0</v>
      </c>
      <c r="T572" s="25" t="n">
        <f aca="false">K572*L572</f>
        <v>294.45</v>
      </c>
      <c r="U572" s="25" t="n">
        <f aca="false">M572-T572</f>
        <v>0</v>
      </c>
      <c r="V572" s="25" t="n">
        <f aca="false">M572+N572</f>
        <v>332.26</v>
      </c>
      <c r="W572" s="25" t="n">
        <f aca="false">O572-V572</f>
        <v>0</v>
      </c>
      <c r="X572" s="22" t="str">
        <f aca="false">IF(OR(ABS(S572)&gt;0.005,ABS(U572)&gt;0.005,ABS(W572)&gt;0.005),"Subledger arithmetic error","OK")</f>
        <v>OK</v>
      </c>
      <c r="Y572" s="22" t="str">
        <f aca="false">IF(X572="OK","","Priority 3")</f>
        <v/>
      </c>
    </row>
    <row r="573" customFormat="false" ht="15" hidden="false" customHeight="false" outlineLevel="0" collapsed="false">
      <c r="A573" s="22" t="s">
        <v>12549</v>
      </c>
      <c r="B573" s="23" t="n">
        <v>46235</v>
      </c>
      <c r="C573" s="22" t="s">
        <v>12550</v>
      </c>
      <c r="D573" s="22" t="s">
        <v>1337</v>
      </c>
      <c r="E573" s="22" t="s">
        <v>7859</v>
      </c>
      <c r="F573" s="22" t="s">
        <v>215</v>
      </c>
      <c r="G573" s="22" t="s">
        <v>8601</v>
      </c>
      <c r="H573" s="22" t="s">
        <v>11406</v>
      </c>
      <c r="I573" s="22" t="n">
        <v>50</v>
      </c>
      <c r="J573" s="22" t="n">
        <v>1</v>
      </c>
      <c r="K573" s="22" t="n">
        <v>50</v>
      </c>
      <c r="L573" s="25" t="n">
        <v>7.55</v>
      </c>
      <c r="M573" s="25" t="n">
        <v>377.5</v>
      </c>
      <c r="N573" s="25" t="n">
        <v>48.47</v>
      </c>
      <c r="O573" s="25" t="n">
        <v>425.97</v>
      </c>
      <c r="P573" s="22" t="s">
        <v>11407</v>
      </c>
      <c r="Q573" s="23" t="n">
        <v>46249</v>
      </c>
      <c r="R573" s="22" t="n">
        <f aca="false">I573*J573</f>
        <v>50</v>
      </c>
      <c r="S573" s="25" t="n">
        <f aca="false">K573-R573</f>
        <v>0</v>
      </c>
      <c r="T573" s="25" t="n">
        <f aca="false">K573*L573</f>
        <v>377.5</v>
      </c>
      <c r="U573" s="25" t="n">
        <f aca="false">M573-T573</f>
        <v>0</v>
      </c>
      <c r="V573" s="25" t="n">
        <f aca="false">M573+N573</f>
        <v>425.97</v>
      </c>
      <c r="W573" s="25" t="n">
        <f aca="false">O573-V573</f>
        <v>0</v>
      </c>
      <c r="X573" s="22" t="str">
        <f aca="false">IF(OR(ABS(S573)&gt;0.005,ABS(U573)&gt;0.005,ABS(W573)&gt;0.005),"Subledger arithmetic error","OK")</f>
        <v>OK</v>
      </c>
      <c r="Y573" s="22" t="str">
        <f aca="false">IF(X573="OK","","Priority 3")</f>
        <v/>
      </c>
    </row>
    <row r="574" customFormat="false" ht="15" hidden="false" customHeight="false" outlineLevel="0" collapsed="false">
      <c r="A574" s="22" t="s">
        <v>12551</v>
      </c>
      <c r="B574" s="23" t="n">
        <v>46235</v>
      </c>
      <c r="C574" s="22" t="s">
        <v>12552</v>
      </c>
      <c r="D574" s="22" t="s">
        <v>2119</v>
      </c>
      <c r="E574" s="22" t="s">
        <v>7860</v>
      </c>
      <c r="F574" s="22" t="s">
        <v>215</v>
      </c>
      <c r="G574" s="22" t="s">
        <v>8601</v>
      </c>
      <c r="H574" s="22" t="s">
        <v>11406</v>
      </c>
      <c r="I574" s="22" t="n">
        <v>54</v>
      </c>
      <c r="J574" s="22" t="n">
        <v>1</v>
      </c>
      <c r="K574" s="22" t="n">
        <v>54</v>
      </c>
      <c r="L574" s="25" t="n">
        <v>7.55</v>
      </c>
      <c r="M574" s="25" t="n">
        <v>407.7</v>
      </c>
      <c r="N574" s="25" t="n">
        <v>52.35</v>
      </c>
      <c r="O574" s="25" t="n">
        <v>460.05</v>
      </c>
      <c r="P574" s="22" t="s">
        <v>11407</v>
      </c>
      <c r="Q574" s="23" t="n">
        <v>46249</v>
      </c>
      <c r="R574" s="22" t="n">
        <f aca="false">I574*J574</f>
        <v>54</v>
      </c>
      <c r="S574" s="25" t="n">
        <f aca="false">K574-R574</f>
        <v>0</v>
      </c>
      <c r="T574" s="25" t="n">
        <f aca="false">K574*L574</f>
        <v>407.7</v>
      </c>
      <c r="U574" s="25" t="n">
        <f aca="false">M574-T574</f>
        <v>0</v>
      </c>
      <c r="V574" s="25" t="n">
        <f aca="false">M574+N574</f>
        <v>460.05</v>
      </c>
      <c r="W574" s="25" t="n">
        <f aca="false">O574-V574</f>
        <v>0</v>
      </c>
      <c r="X574" s="22" t="str">
        <f aca="false">IF(OR(ABS(S574)&gt;0.005,ABS(U574)&gt;0.005,ABS(W574)&gt;0.005),"Subledger arithmetic error","OK")</f>
        <v>OK</v>
      </c>
      <c r="Y574" s="22" t="str">
        <f aca="false">IF(X574="OK","","Priority 3")</f>
        <v/>
      </c>
    </row>
    <row r="575" customFormat="false" ht="15" hidden="false" customHeight="false" outlineLevel="0" collapsed="false">
      <c r="A575" s="22" t="s">
        <v>12553</v>
      </c>
      <c r="B575" s="23" t="n">
        <v>46235</v>
      </c>
      <c r="C575" s="22" t="s">
        <v>12554</v>
      </c>
      <c r="D575" s="22" t="s">
        <v>4109</v>
      </c>
      <c r="E575" s="22" t="s">
        <v>7861</v>
      </c>
      <c r="F575" s="22" t="s">
        <v>215</v>
      </c>
      <c r="G575" s="22" t="s">
        <v>8601</v>
      </c>
      <c r="H575" s="22" t="s">
        <v>11406</v>
      </c>
      <c r="I575" s="22" t="n">
        <v>27</v>
      </c>
      <c r="J575" s="22" t="n">
        <v>1</v>
      </c>
      <c r="K575" s="22" t="n">
        <v>27</v>
      </c>
      <c r="L575" s="25" t="n">
        <v>7.55</v>
      </c>
      <c r="M575" s="25" t="n">
        <v>203.85</v>
      </c>
      <c r="N575" s="25" t="n">
        <v>26.17</v>
      </c>
      <c r="O575" s="25" t="n">
        <v>230.02</v>
      </c>
      <c r="P575" s="22" t="s">
        <v>11407</v>
      </c>
      <c r="Q575" s="23" t="n">
        <v>46249</v>
      </c>
      <c r="R575" s="22" t="n">
        <f aca="false">I575*J575</f>
        <v>27</v>
      </c>
      <c r="S575" s="25" t="n">
        <f aca="false">K575-R575</f>
        <v>0</v>
      </c>
      <c r="T575" s="25" t="n">
        <f aca="false">K575*L575</f>
        <v>203.85</v>
      </c>
      <c r="U575" s="25" t="n">
        <f aca="false">M575-T575</f>
        <v>0</v>
      </c>
      <c r="V575" s="25" t="n">
        <f aca="false">M575+N575</f>
        <v>230.02</v>
      </c>
      <c r="W575" s="25" t="n">
        <f aca="false">O575-V575</f>
        <v>0</v>
      </c>
      <c r="X575" s="22" t="str">
        <f aca="false">IF(OR(ABS(S575)&gt;0.005,ABS(U575)&gt;0.005,ABS(W575)&gt;0.005),"Subledger arithmetic error","OK")</f>
        <v>OK</v>
      </c>
      <c r="Y575" s="22" t="str">
        <f aca="false">IF(X575="OK","","Priority 3")</f>
        <v/>
      </c>
    </row>
    <row r="576" customFormat="false" ht="15" hidden="false" customHeight="false" outlineLevel="0" collapsed="false">
      <c r="A576" s="22" t="s">
        <v>12555</v>
      </c>
      <c r="B576" s="23" t="n">
        <v>46235</v>
      </c>
      <c r="C576" s="22" t="s">
        <v>12556</v>
      </c>
      <c r="D576" s="22" t="s">
        <v>4717</v>
      </c>
      <c r="E576" s="22" t="s">
        <v>7863</v>
      </c>
      <c r="F576" s="22" t="s">
        <v>215</v>
      </c>
      <c r="G576" s="22" t="s">
        <v>8601</v>
      </c>
      <c r="H576" s="22" t="s">
        <v>11406</v>
      </c>
      <c r="I576" s="22" t="n">
        <v>50</v>
      </c>
      <c r="J576" s="22" t="n">
        <v>1</v>
      </c>
      <c r="K576" s="22" t="n">
        <v>50</v>
      </c>
      <c r="L576" s="25" t="n">
        <v>7.55</v>
      </c>
      <c r="M576" s="25" t="n">
        <v>377.5</v>
      </c>
      <c r="N576" s="25" t="n">
        <v>48.47</v>
      </c>
      <c r="O576" s="25" t="n">
        <v>425.97</v>
      </c>
      <c r="P576" s="22" t="s">
        <v>11407</v>
      </c>
      <c r="Q576" s="23" t="n">
        <v>46249</v>
      </c>
      <c r="R576" s="22" t="n">
        <f aca="false">I576*J576</f>
        <v>50</v>
      </c>
      <c r="S576" s="25" t="n">
        <f aca="false">K576-R576</f>
        <v>0</v>
      </c>
      <c r="T576" s="25" t="n">
        <f aca="false">K576*L576</f>
        <v>377.5</v>
      </c>
      <c r="U576" s="25" t="n">
        <f aca="false">M576-T576</f>
        <v>0</v>
      </c>
      <c r="V576" s="25" t="n">
        <f aca="false">M576+N576</f>
        <v>425.97</v>
      </c>
      <c r="W576" s="25" t="n">
        <f aca="false">O576-V576</f>
        <v>0</v>
      </c>
      <c r="X576" s="22" t="str">
        <f aca="false">IF(OR(ABS(S576)&gt;0.005,ABS(U576)&gt;0.005,ABS(W576)&gt;0.005),"Subledger arithmetic error","OK")</f>
        <v>OK</v>
      </c>
      <c r="Y576" s="22" t="str">
        <f aca="false">IF(X576="OK","","Priority 3")</f>
        <v/>
      </c>
    </row>
    <row r="577" customFormat="false" ht="15" hidden="false" customHeight="false" outlineLevel="0" collapsed="false">
      <c r="A577" s="22" t="s">
        <v>12557</v>
      </c>
      <c r="B577" s="23" t="n">
        <v>46235</v>
      </c>
      <c r="C577" s="22" t="s">
        <v>12558</v>
      </c>
      <c r="D577" s="22" t="s">
        <v>5997</v>
      </c>
      <c r="E577" s="22" t="s">
        <v>7865</v>
      </c>
      <c r="F577" s="22" t="s">
        <v>215</v>
      </c>
      <c r="G577" s="22" t="s">
        <v>8601</v>
      </c>
      <c r="H577" s="22" t="s">
        <v>11406</v>
      </c>
      <c r="I577" s="22" t="n">
        <v>36</v>
      </c>
      <c r="J577" s="22" t="n">
        <v>1</v>
      </c>
      <c r="K577" s="22" t="n">
        <v>36</v>
      </c>
      <c r="L577" s="25" t="n">
        <v>7.55</v>
      </c>
      <c r="M577" s="25" t="n">
        <v>271.8</v>
      </c>
      <c r="N577" s="25" t="n">
        <v>34.9</v>
      </c>
      <c r="O577" s="25" t="n">
        <v>306.7</v>
      </c>
      <c r="P577" s="22" t="s">
        <v>11407</v>
      </c>
      <c r="Q577" s="23" t="n">
        <v>46249</v>
      </c>
      <c r="R577" s="22" t="n">
        <f aca="false">I577*J577</f>
        <v>36</v>
      </c>
      <c r="S577" s="25" t="n">
        <f aca="false">K577-R577</f>
        <v>0</v>
      </c>
      <c r="T577" s="25" t="n">
        <f aca="false">K577*L577</f>
        <v>271.8</v>
      </c>
      <c r="U577" s="25" t="n">
        <f aca="false">M577-T577</f>
        <v>0</v>
      </c>
      <c r="V577" s="25" t="n">
        <f aca="false">M577+N577</f>
        <v>306.7</v>
      </c>
      <c r="W577" s="25" t="n">
        <f aca="false">O577-V577</f>
        <v>0</v>
      </c>
      <c r="X577" s="22" t="str">
        <f aca="false">IF(OR(ABS(S577)&gt;0.005,ABS(U577)&gt;0.005,ABS(W577)&gt;0.005),"Subledger arithmetic error","OK")</f>
        <v>OK</v>
      </c>
      <c r="Y577" s="22" t="str">
        <f aca="false">IF(X577="OK","","Priority 3")</f>
        <v/>
      </c>
    </row>
    <row r="578" customFormat="false" ht="15" hidden="false" customHeight="false" outlineLevel="0" collapsed="false">
      <c r="A578" s="22" t="s">
        <v>12559</v>
      </c>
      <c r="B578" s="23" t="n">
        <v>46235</v>
      </c>
      <c r="C578" s="22" t="s">
        <v>12560</v>
      </c>
      <c r="D578" s="22" t="s">
        <v>2577</v>
      </c>
      <c r="E578" s="22" t="s">
        <v>7866</v>
      </c>
      <c r="F578" s="22" t="s">
        <v>215</v>
      </c>
      <c r="G578" s="22" t="s">
        <v>8601</v>
      </c>
      <c r="H578" s="22" t="s">
        <v>11406</v>
      </c>
      <c r="I578" s="22" t="n">
        <v>58</v>
      </c>
      <c r="J578" s="22" t="n">
        <v>1</v>
      </c>
      <c r="K578" s="22" t="n">
        <v>58</v>
      </c>
      <c r="L578" s="25" t="n">
        <v>7.55</v>
      </c>
      <c r="M578" s="25" t="n">
        <v>437.9</v>
      </c>
      <c r="N578" s="25" t="n">
        <v>56.23</v>
      </c>
      <c r="O578" s="25" t="n">
        <v>494.13</v>
      </c>
      <c r="P578" s="22" t="s">
        <v>11407</v>
      </c>
      <c r="Q578" s="23" t="n">
        <v>46249</v>
      </c>
      <c r="R578" s="22" t="n">
        <f aca="false">I578*J578</f>
        <v>58</v>
      </c>
      <c r="S578" s="25" t="n">
        <f aca="false">K578-R578</f>
        <v>0</v>
      </c>
      <c r="T578" s="25" t="n">
        <f aca="false">K578*L578</f>
        <v>437.9</v>
      </c>
      <c r="U578" s="25" t="n">
        <f aca="false">M578-T578</f>
        <v>0</v>
      </c>
      <c r="V578" s="25" t="n">
        <f aca="false">M578+N578</f>
        <v>494.13</v>
      </c>
      <c r="W578" s="25" t="n">
        <f aca="false">O578-V578</f>
        <v>0</v>
      </c>
      <c r="X578" s="22" t="str">
        <f aca="false">IF(OR(ABS(S578)&gt;0.005,ABS(U578)&gt;0.005,ABS(W578)&gt;0.005),"Subledger arithmetic error","OK")</f>
        <v>OK</v>
      </c>
      <c r="Y578" s="22" t="str">
        <f aca="false">IF(X578="OK","","Priority 3")</f>
        <v/>
      </c>
    </row>
    <row r="579" customFormat="false" ht="15" hidden="false" customHeight="false" outlineLevel="0" collapsed="false">
      <c r="A579" s="22" t="s">
        <v>12561</v>
      </c>
      <c r="B579" s="23" t="n">
        <v>46235</v>
      </c>
      <c r="C579" s="22" t="s">
        <v>12562</v>
      </c>
      <c r="D579" s="22" t="s">
        <v>996</v>
      </c>
      <c r="E579" s="22" t="s">
        <v>7867</v>
      </c>
      <c r="F579" s="22" t="s">
        <v>215</v>
      </c>
      <c r="G579" s="22" t="s">
        <v>8601</v>
      </c>
      <c r="H579" s="22" t="s">
        <v>11406</v>
      </c>
      <c r="I579" s="22" t="n">
        <v>32</v>
      </c>
      <c r="J579" s="22" t="n">
        <v>1</v>
      </c>
      <c r="K579" s="22" t="n">
        <v>32</v>
      </c>
      <c r="L579" s="25" t="n">
        <v>7.55</v>
      </c>
      <c r="M579" s="25" t="n">
        <v>241.6</v>
      </c>
      <c r="N579" s="25" t="n">
        <v>31.02</v>
      </c>
      <c r="O579" s="25" t="n">
        <v>272.62</v>
      </c>
      <c r="P579" s="22" t="s">
        <v>11407</v>
      </c>
      <c r="Q579" s="23" t="n">
        <v>46249</v>
      </c>
      <c r="R579" s="22" t="n">
        <f aca="false">I579*J579</f>
        <v>32</v>
      </c>
      <c r="S579" s="25" t="n">
        <f aca="false">K579-R579</f>
        <v>0</v>
      </c>
      <c r="T579" s="25" t="n">
        <f aca="false">K579*L579</f>
        <v>241.6</v>
      </c>
      <c r="U579" s="25" t="n">
        <f aca="false">M579-T579</f>
        <v>0</v>
      </c>
      <c r="V579" s="25" t="n">
        <f aca="false">M579+N579</f>
        <v>272.62</v>
      </c>
      <c r="W579" s="25" t="n">
        <f aca="false">O579-V579</f>
        <v>0</v>
      </c>
      <c r="X579" s="22" t="str">
        <f aca="false">IF(OR(ABS(S579)&gt;0.005,ABS(U579)&gt;0.005,ABS(W579)&gt;0.005),"Subledger arithmetic error","OK")</f>
        <v>OK</v>
      </c>
      <c r="Y579" s="22" t="str">
        <f aca="false">IF(X579="OK","","Priority 3")</f>
        <v/>
      </c>
    </row>
    <row r="580" customFormat="false" ht="15" hidden="false" customHeight="false" outlineLevel="0" collapsed="false">
      <c r="A580" s="22" t="s">
        <v>12563</v>
      </c>
      <c r="B580" s="23" t="n">
        <v>46235</v>
      </c>
      <c r="C580" s="22" t="s">
        <v>12564</v>
      </c>
      <c r="D580" s="22" t="s">
        <v>4285</v>
      </c>
      <c r="E580" s="22" t="s">
        <v>7870</v>
      </c>
      <c r="F580" s="22" t="s">
        <v>215</v>
      </c>
      <c r="G580" s="22" t="s">
        <v>8601</v>
      </c>
      <c r="H580" s="22" t="s">
        <v>11406</v>
      </c>
      <c r="I580" s="22" t="n">
        <v>24</v>
      </c>
      <c r="J580" s="22" t="n">
        <v>1</v>
      </c>
      <c r="K580" s="22" t="n">
        <v>24</v>
      </c>
      <c r="L580" s="25" t="n">
        <v>7.55</v>
      </c>
      <c r="M580" s="25" t="n">
        <v>181.2</v>
      </c>
      <c r="N580" s="25" t="n">
        <v>23.27</v>
      </c>
      <c r="O580" s="25" t="n">
        <v>204.47</v>
      </c>
      <c r="P580" s="22" t="s">
        <v>11407</v>
      </c>
      <c r="Q580" s="23" t="n">
        <v>46249</v>
      </c>
      <c r="R580" s="22" t="n">
        <f aca="false">I580*J580</f>
        <v>24</v>
      </c>
      <c r="S580" s="25" t="n">
        <f aca="false">K580-R580</f>
        <v>0</v>
      </c>
      <c r="T580" s="25" t="n">
        <f aca="false">K580*L580</f>
        <v>181.2</v>
      </c>
      <c r="U580" s="25" t="n">
        <f aca="false">M580-T580</f>
        <v>0</v>
      </c>
      <c r="V580" s="25" t="n">
        <f aca="false">M580+N580</f>
        <v>204.47</v>
      </c>
      <c r="W580" s="25" t="n">
        <f aca="false">O580-V580</f>
        <v>0</v>
      </c>
      <c r="X580" s="22" t="str">
        <f aca="false">IF(OR(ABS(S580)&gt;0.005,ABS(U580)&gt;0.005,ABS(W580)&gt;0.005),"Subledger arithmetic error","OK")</f>
        <v>OK</v>
      </c>
      <c r="Y580" s="22" t="str">
        <f aca="false">IF(X580="OK","","Priority 3")</f>
        <v/>
      </c>
    </row>
    <row r="581" customFormat="false" ht="15" hidden="false" customHeight="false" outlineLevel="0" collapsed="false">
      <c r="A581" s="22" t="s">
        <v>12565</v>
      </c>
      <c r="B581" s="23" t="n">
        <v>46235</v>
      </c>
      <c r="C581" s="22" t="s">
        <v>12566</v>
      </c>
      <c r="D581" s="22" t="s">
        <v>3855</v>
      </c>
      <c r="E581" s="22" t="s">
        <v>7872</v>
      </c>
      <c r="F581" s="22" t="s">
        <v>215</v>
      </c>
      <c r="G581" s="22" t="s">
        <v>8601</v>
      </c>
      <c r="H581" s="22" t="s">
        <v>11406</v>
      </c>
      <c r="I581" s="22" t="n">
        <v>50</v>
      </c>
      <c r="J581" s="22" t="n">
        <v>1</v>
      </c>
      <c r="K581" s="22" t="n">
        <v>50</v>
      </c>
      <c r="L581" s="25" t="n">
        <v>7.55</v>
      </c>
      <c r="M581" s="25" t="n">
        <v>377.5</v>
      </c>
      <c r="N581" s="25" t="n">
        <v>48.47</v>
      </c>
      <c r="O581" s="25" t="n">
        <v>425.97</v>
      </c>
      <c r="P581" s="22" t="s">
        <v>7696</v>
      </c>
      <c r="Q581" s="23" t="n">
        <v>46249</v>
      </c>
      <c r="R581" s="22" t="n">
        <f aca="false">I581*J581</f>
        <v>50</v>
      </c>
      <c r="S581" s="25" t="n">
        <f aca="false">K581-R581</f>
        <v>0</v>
      </c>
      <c r="T581" s="25" t="n">
        <f aca="false">K581*L581</f>
        <v>377.5</v>
      </c>
      <c r="U581" s="25" t="n">
        <f aca="false">M581-T581</f>
        <v>0</v>
      </c>
      <c r="V581" s="25" t="n">
        <f aca="false">M581+N581</f>
        <v>425.97</v>
      </c>
      <c r="W581" s="25" t="n">
        <f aca="false">O581-V581</f>
        <v>0</v>
      </c>
      <c r="X581" s="22" t="str">
        <f aca="false">IF(OR(ABS(S581)&gt;0.005,ABS(U581)&gt;0.005,ABS(W581)&gt;0.005),"Subledger arithmetic error","OK")</f>
        <v>OK</v>
      </c>
      <c r="Y581" s="22" t="str">
        <f aca="false">IF(X581="OK","","Priority 3")</f>
        <v/>
      </c>
    </row>
    <row r="582" customFormat="false" ht="15" hidden="false" customHeight="false" outlineLevel="0" collapsed="false">
      <c r="A582" s="22" t="s">
        <v>12567</v>
      </c>
      <c r="B582" s="23" t="n">
        <v>46235</v>
      </c>
      <c r="C582" s="22" t="s">
        <v>12568</v>
      </c>
      <c r="D582" s="22" t="s">
        <v>6071</v>
      </c>
      <c r="E582" s="22" t="s">
        <v>7874</v>
      </c>
      <c r="F582" s="22" t="s">
        <v>215</v>
      </c>
      <c r="G582" s="22" t="s">
        <v>8601</v>
      </c>
      <c r="H582" s="22" t="s">
        <v>11406</v>
      </c>
      <c r="I582" s="22" t="n">
        <v>24</v>
      </c>
      <c r="J582" s="22" t="n">
        <v>1</v>
      </c>
      <c r="K582" s="22" t="n">
        <v>24</v>
      </c>
      <c r="L582" s="25" t="n">
        <v>7.55</v>
      </c>
      <c r="M582" s="25" t="n">
        <v>181.2</v>
      </c>
      <c r="N582" s="25" t="n">
        <v>23.27</v>
      </c>
      <c r="O582" s="25" t="n">
        <v>204.47</v>
      </c>
      <c r="P582" s="22" t="s">
        <v>11407</v>
      </c>
      <c r="Q582" s="23" t="n">
        <v>46249</v>
      </c>
      <c r="R582" s="22" t="n">
        <f aca="false">I582*J582</f>
        <v>24</v>
      </c>
      <c r="S582" s="25" t="n">
        <f aca="false">K582-R582</f>
        <v>0</v>
      </c>
      <c r="T582" s="25" t="n">
        <f aca="false">K582*L582</f>
        <v>181.2</v>
      </c>
      <c r="U582" s="25" t="n">
        <f aca="false">M582-T582</f>
        <v>0</v>
      </c>
      <c r="V582" s="25" t="n">
        <f aca="false">M582+N582</f>
        <v>204.47</v>
      </c>
      <c r="W582" s="25" t="n">
        <f aca="false">O582-V582</f>
        <v>0</v>
      </c>
      <c r="X582" s="22" t="str">
        <f aca="false">IF(OR(ABS(S582)&gt;0.005,ABS(U582)&gt;0.005,ABS(W582)&gt;0.005),"Subledger arithmetic error","OK")</f>
        <v>OK</v>
      </c>
      <c r="Y582" s="22" t="str">
        <f aca="false">IF(X582="OK","","Priority 3")</f>
        <v/>
      </c>
    </row>
    <row r="583" customFormat="false" ht="15" hidden="false" customHeight="false" outlineLevel="0" collapsed="false">
      <c r="A583" s="22" t="s">
        <v>12569</v>
      </c>
      <c r="B583" s="23" t="n">
        <v>46235</v>
      </c>
      <c r="C583" s="22" t="s">
        <v>12570</v>
      </c>
      <c r="D583" s="22" t="s">
        <v>3282</v>
      </c>
      <c r="E583" s="22" t="s">
        <v>7876</v>
      </c>
      <c r="F583" s="22" t="s">
        <v>215</v>
      </c>
      <c r="G583" s="22" t="s">
        <v>8601</v>
      </c>
      <c r="H583" s="22" t="s">
        <v>11406</v>
      </c>
      <c r="I583" s="22" t="n">
        <v>60</v>
      </c>
      <c r="J583" s="22" t="n">
        <v>1</v>
      </c>
      <c r="K583" s="22" t="n">
        <v>60</v>
      </c>
      <c r="L583" s="25" t="n">
        <v>7.55</v>
      </c>
      <c r="M583" s="25" t="n">
        <v>453</v>
      </c>
      <c r="N583" s="25" t="n">
        <v>58.17</v>
      </c>
      <c r="O583" s="25" t="n">
        <v>511.17</v>
      </c>
      <c r="P583" s="22" t="s">
        <v>11407</v>
      </c>
      <c r="Q583" s="23" t="n">
        <v>46249</v>
      </c>
      <c r="R583" s="22" t="n">
        <f aca="false">I583*J583</f>
        <v>60</v>
      </c>
      <c r="S583" s="25" t="n">
        <f aca="false">K583-R583</f>
        <v>0</v>
      </c>
      <c r="T583" s="25" t="n">
        <f aca="false">K583*L583</f>
        <v>453</v>
      </c>
      <c r="U583" s="25" t="n">
        <f aca="false">M583-T583</f>
        <v>0</v>
      </c>
      <c r="V583" s="25" t="n">
        <f aca="false">M583+N583</f>
        <v>511.17</v>
      </c>
      <c r="W583" s="25" t="n">
        <f aca="false">O583-V583</f>
        <v>0</v>
      </c>
      <c r="X583" s="22" t="str">
        <f aca="false">IF(OR(ABS(S583)&gt;0.005,ABS(U583)&gt;0.005,ABS(W583)&gt;0.005),"Subledger arithmetic error","OK")</f>
        <v>OK</v>
      </c>
      <c r="Y583" s="22" t="str">
        <f aca="false">IF(X583="OK","","Priority 3")</f>
        <v/>
      </c>
    </row>
    <row r="584" customFormat="false" ht="15" hidden="false" customHeight="false" outlineLevel="0" collapsed="false">
      <c r="A584" s="22" t="s">
        <v>12571</v>
      </c>
      <c r="B584" s="23" t="n">
        <v>46235</v>
      </c>
      <c r="C584" s="22" t="s">
        <v>12572</v>
      </c>
      <c r="D584" s="22" t="s">
        <v>2676</v>
      </c>
      <c r="E584" s="22" t="s">
        <v>7878</v>
      </c>
      <c r="F584" s="22" t="s">
        <v>215</v>
      </c>
      <c r="G584" s="22" t="s">
        <v>8601</v>
      </c>
      <c r="H584" s="22" t="s">
        <v>11406</v>
      </c>
      <c r="I584" s="22" t="n">
        <v>55</v>
      </c>
      <c r="J584" s="22" t="n">
        <v>1</v>
      </c>
      <c r="K584" s="22" t="n">
        <v>55</v>
      </c>
      <c r="L584" s="25" t="n">
        <v>7.55</v>
      </c>
      <c r="M584" s="25" t="n">
        <v>415.25</v>
      </c>
      <c r="N584" s="25" t="n">
        <v>53.32</v>
      </c>
      <c r="O584" s="25" t="n">
        <v>468.57</v>
      </c>
      <c r="P584" s="22" t="s">
        <v>11407</v>
      </c>
      <c r="Q584" s="23" t="n">
        <v>46249</v>
      </c>
      <c r="R584" s="22" t="n">
        <f aca="false">I584*J584</f>
        <v>55</v>
      </c>
      <c r="S584" s="25" t="n">
        <f aca="false">K584-R584</f>
        <v>0</v>
      </c>
      <c r="T584" s="25" t="n">
        <f aca="false">K584*L584</f>
        <v>415.25</v>
      </c>
      <c r="U584" s="25" t="n">
        <f aca="false">M584-T584</f>
        <v>0</v>
      </c>
      <c r="V584" s="25" t="n">
        <f aca="false">M584+N584</f>
        <v>468.57</v>
      </c>
      <c r="W584" s="25" t="n">
        <f aca="false">O584-V584</f>
        <v>0</v>
      </c>
      <c r="X584" s="22" t="str">
        <f aca="false">IF(OR(ABS(S584)&gt;0.005,ABS(U584)&gt;0.005,ABS(W584)&gt;0.005),"Subledger arithmetic error","OK")</f>
        <v>OK</v>
      </c>
      <c r="Y584" s="22" t="str">
        <f aca="false">IF(X584="OK","","Priority 3")</f>
        <v/>
      </c>
    </row>
    <row r="585" customFormat="false" ht="15" hidden="false" customHeight="false" outlineLevel="0" collapsed="false">
      <c r="A585" s="22" t="s">
        <v>12573</v>
      </c>
      <c r="B585" s="23" t="n">
        <v>46235</v>
      </c>
      <c r="C585" s="22" t="s">
        <v>12574</v>
      </c>
      <c r="D585" s="22" t="s">
        <v>5601</v>
      </c>
      <c r="E585" s="22" t="s">
        <v>7879</v>
      </c>
      <c r="F585" s="22" t="s">
        <v>215</v>
      </c>
      <c r="G585" s="22" t="s">
        <v>8601</v>
      </c>
      <c r="H585" s="22" t="s">
        <v>11406</v>
      </c>
      <c r="I585" s="22" t="n">
        <v>54</v>
      </c>
      <c r="J585" s="22" t="n">
        <v>1</v>
      </c>
      <c r="K585" s="22" t="n">
        <v>54</v>
      </c>
      <c r="L585" s="25" t="n">
        <v>7.55</v>
      </c>
      <c r="M585" s="25" t="n">
        <v>407.7</v>
      </c>
      <c r="N585" s="25" t="n">
        <v>52.35</v>
      </c>
      <c r="O585" s="25" t="n">
        <v>460.05</v>
      </c>
      <c r="P585" s="22" t="s">
        <v>11407</v>
      </c>
      <c r="Q585" s="23" t="n">
        <v>46249</v>
      </c>
      <c r="R585" s="22" t="n">
        <f aca="false">I585*J585</f>
        <v>54</v>
      </c>
      <c r="S585" s="25" t="n">
        <f aca="false">K585-R585</f>
        <v>0</v>
      </c>
      <c r="T585" s="25" t="n">
        <f aca="false">K585*L585</f>
        <v>407.7</v>
      </c>
      <c r="U585" s="25" t="n">
        <f aca="false">M585-T585</f>
        <v>0</v>
      </c>
      <c r="V585" s="25" t="n">
        <f aca="false">M585+N585</f>
        <v>460.05</v>
      </c>
      <c r="W585" s="25" t="n">
        <f aca="false">O585-V585</f>
        <v>0</v>
      </c>
      <c r="X585" s="22" t="str">
        <f aca="false">IF(OR(ABS(S585)&gt;0.005,ABS(U585)&gt;0.005,ABS(W585)&gt;0.005),"Subledger arithmetic error","OK")</f>
        <v>OK</v>
      </c>
      <c r="Y585" s="22" t="str">
        <f aca="false">IF(X585="OK","","Priority 3")</f>
        <v/>
      </c>
    </row>
    <row r="586" customFormat="false" ht="15" hidden="false" customHeight="false" outlineLevel="0" collapsed="false">
      <c r="A586" s="22" t="s">
        <v>12575</v>
      </c>
      <c r="B586" s="23" t="n">
        <v>46235</v>
      </c>
      <c r="C586" s="22" t="s">
        <v>12576</v>
      </c>
      <c r="D586" s="22" t="s">
        <v>3103</v>
      </c>
      <c r="E586" s="22" t="s">
        <v>7880</v>
      </c>
      <c r="F586" s="22" t="s">
        <v>215</v>
      </c>
      <c r="G586" s="22" t="s">
        <v>8601</v>
      </c>
      <c r="H586" s="22" t="s">
        <v>11406</v>
      </c>
      <c r="I586" s="22" t="n">
        <v>40</v>
      </c>
      <c r="J586" s="22" t="n">
        <v>1</v>
      </c>
      <c r="K586" s="22" t="n">
        <v>40</v>
      </c>
      <c r="L586" s="25" t="n">
        <v>7.55</v>
      </c>
      <c r="M586" s="25" t="n">
        <v>302</v>
      </c>
      <c r="N586" s="25" t="n">
        <v>38.78</v>
      </c>
      <c r="O586" s="25" t="n">
        <v>340.78</v>
      </c>
      <c r="P586" s="22" t="s">
        <v>11407</v>
      </c>
      <c r="Q586" s="23" t="n">
        <v>46249</v>
      </c>
      <c r="R586" s="22" t="n">
        <f aca="false">I586*J586</f>
        <v>40</v>
      </c>
      <c r="S586" s="25" t="n">
        <f aca="false">K586-R586</f>
        <v>0</v>
      </c>
      <c r="T586" s="25" t="n">
        <f aca="false">K586*L586</f>
        <v>302</v>
      </c>
      <c r="U586" s="25" t="n">
        <f aca="false">M586-T586</f>
        <v>0</v>
      </c>
      <c r="V586" s="25" t="n">
        <f aca="false">M586+N586</f>
        <v>340.78</v>
      </c>
      <c r="W586" s="25" t="n">
        <f aca="false">O586-V586</f>
        <v>0</v>
      </c>
      <c r="X586" s="22" t="str">
        <f aca="false">IF(OR(ABS(S586)&gt;0.005,ABS(U586)&gt;0.005,ABS(W586)&gt;0.005),"Subledger arithmetic error","OK")</f>
        <v>OK</v>
      </c>
      <c r="Y586" s="22" t="str">
        <f aca="false">IF(X586="OK","","Priority 3")</f>
        <v/>
      </c>
    </row>
    <row r="587" customFormat="false" ht="15" hidden="false" customHeight="false" outlineLevel="0" collapsed="false">
      <c r="A587" s="22" t="s">
        <v>12577</v>
      </c>
      <c r="B587" s="23" t="n">
        <v>46235</v>
      </c>
      <c r="C587" s="22" t="s">
        <v>12578</v>
      </c>
      <c r="D587" s="22" t="s">
        <v>3705</v>
      </c>
      <c r="E587" s="22" t="s">
        <v>7881</v>
      </c>
      <c r="F587" s="22" t="s">
        <v>215</v>
      </c>
      <c r="G587" s="22" t="s">
        <v>8601</v>
      </c>
      <c r="H587" s="22" t="s">
        <v>11406</v>
      </c>
      <c r="I587" s="22" t="n">
        <v>43</v>
      </c>
      <c r="J587" s="22" t="n">
        <v>1</v>
      </c>
      <c r="K587" s="22" t="n">
        <v>43</v>
      </c>
      <c r="L587" s="25" t="n">
        <v>7.55</v>
      </c>
      <c r="M587" s="25" t="n">
        <v>324.65</v>
      </c>
      <c r="N587" s="25" t="n">
        <v>41.69</v>
      </c>
      <c r="O587" s="25" t="n">
        <v>366.34</v>
      </c>
      <c r="P587" s="22" t="s">
        <v>11407</v>
      </c>
      <c r="Q587" s="23" t="n">
        <v>46249</v>
      </c>
      <c r="R587" s="22" t="n">
        <f aca="false">I587*J587</f>
        <v>43</v>
      </c>
      <c r="S587" s="25" t="n">
        <f aca="false">K587-R587</f>
        <v>0</v>
      </c>
      <c r="T587" s="25" t="n">
        <f aca="false">K587*L587</f>
        <v>324.65</v>
      </c>
      <c r="U587" s="25" t="n">
        <f aca="false">M587-T587</f>
        <v>0</v>
      </c>
      <c r="V587" s="25" t="n">
        <f aca="false">M587+N587</f>
        <v>366.34</v>
      </c>
      <c r="W587" s="25" t="n">
        <f aca="false">O587-V587</f>
        <v>0</v>
      </c>
      <c r="X587" s="22" t="str">
        <f aca="false">IF(OR(ABS(S587)&gt;0.005,ABS(U587)&gt;0.005,ABS(W587)&gt;0.005),"Subledger arithmetic error","OK")</f>
        <v>OK</v>
      </c>
      <c r="Y587" s="22" t="str">
        <f aca="false">IF(X587="OK","","Priority 3")</f>
        <v/>
      </c>
    </row>
    <row r="588" customFormat="false" ht="15" hidden="false" customHeight="false" outlineLevel="0" collapsed="false">
      <c r="A588" s="22" t="s">
        <v>12579</v>
      </c>
      <c r="B588" s="23" t="n">
        <v>46235</v>
      </c>
      <c r="C588" s="22" t="s">
        <v>12580</v>
      </c>
      <c r="D588" s="22" t="s">
        <v>1524</v>
      </c>
      <c r="E588" s="22" t="s">
        <v>7883</v>
      </c>
      <c r="F588" s="22" t="s">
        <v>215</v>
      </c>
      <c r="G588" s="22" t="s">
        <v>8601</v>
      </c>
      <c r="H588" s="22" t="s">
        <v>11406</v>
      </c>
      <c r="I588" s="22" t="n">
        <v>52</v>
      </c>
      <c r="J588" s="22" t="n">
        <v>1</v>
      </c>
      <c r="K588" s="22" t="n">
        <v>52</v>
      </c>
      <c r="L588" s="25" t="n">
        <v>7.55</v>
      </c>
      <c r="M588" s="25" t="n">
        <v>392.6</v>
      </c>
      <c r="N588" s="25" t="n">
        <v>50.41</v>
      </c>
      <c r="O588" s="25" t="n">
        <v>443.01</v>
      </c>
      <c r="P588" s="22" t="s">
        <v>11407</v>
      </c>
      <c r="Q588" s="23" t="n">
        <v>46249</v>
      </c>
      <c r="R588" s="22" t="n">
        <f aca="false">I588*J588</f>
        <v>52</v>
      </c>
      <c r="S588" s="25" t="n">
        <f aca="false">K588-R588</f>
        <v>0</v>
      </c>
      <c r="T588" s="25" t="n">
        <f aca="false">K588*L588</f>
        <v>392.6</v>
      </c>
      <c r="U588" s="25" t="n">
        <f aca="false">M588-T588</f>
        <v>0</v>
      </c>
      <c r="V588" s="25" t="n">
        <f aca="false">M588+N588</f>
        <v>443.01</v>
      </c>
      <c r="W588" s="25" t="n">
        <f aca="false">O588-V588</f>
        <v>0</v>
      </c>
      <c r="X588" s="22" t="str">
        <f aca="false">IF(OR(ABS(S588)&gt;0.005,ABS(U588)&gt;0.005,ABS(W588)&gt;0.005),"Subledger arithmetic error","OK")</f>
        <v>OK</v>
      </c>
      <c r="Y588" s="22" t="str">
        <f aca="false">IF(X588="OK","","Priority 3")</f>
        <v/>
      </c>
    </row>
    <row r="589" customFormat="false" ht="15" hidden="false" customHeight="false" outlineLevel="0" collapsed="false">
      <c r="A589" s="22" t="s">
        <v>12581</v>
      </c>
      <c r="B589" s="23" t="n">
        <v>46235</v>
      </c>
      <c r="C589" s="22" t="s">
        <v>12582</v>
      </c>
      <c r="D589" s="22" t="s">
        <v>3833</v>
      </c>
      <c r="E589" s="22" t="s">
        <v>7884</v>
      </c>
      <c r="F589" s="22" t="s">
        <v>215</v>
      </c>
      <c r="G589" s="22" t="s">
        <v>8601</v>
      </c>
      <c r="H589" s="22" t="s">
        <v>11406</v>
      </c>
      <c r="I589" s="22" t="n">
        <v>51</v>
      </c>
      <c r="J589" s="22" t="n">
        <v>1</v>
      </c>
      <c r="K589" s="22" t="n">
        <v>51</v>
      </c>
      <c r="L589" s="25" t="n">
        <v>7.55</v>
      </c>
      <c r="M589" s="25" t="n">
        <v>385.05</v>
      </c>
      <c r="N589" s="25" t="n">
        <v>49.44</v>
      </c>
      <c r="O589" s="25" t="n">
        <v>434.49</v>
      </c>
      <c r="P589" s="22" t="s">
        <v>11407</v>
      </c>
      <c r="Q589" s="23" t="n">
        <v>46249</v>
      </c>
      <c r="R589" s="22" t="n">
        <f aca="false">I589*J589</f>
        <v>51</v>
      </c>
      <c r="S589" s="25" t="n">
        <f aca="false">K589-R589</f>
        <v>0</v>
      </c>
      <c r="T589" s="25" t="n">
        <f aca="false">K589*L589</f>
        <v>385.05</v>
      </c>
      <c r="U589" s="25" t="n">
        <f aca="false">M589-T589</f>
        <v>0</v>
      </c>
      <c r="V589" s="25" t="n">
        <f aca="false">M589+N589</f>
        <v>434.49</v>
      </c>
      <c r="W589" s="25" t="n">
        <f aca="false">O589-V589</f>
        <v>0</v>
      </c>
      <c r="X589" s="22" t="str">
        <f aca="false">IF(OR(ABS(S589)&gt;0.005,ABS(U589)&gt;0.005,ABS(W589)&gt;0.005),"Subledger arithmetic error","OK")</f>
        <v>OK</v>
      </c>
      <c r="Y589" s="22" t="str">
        <f aca="false">IF(X589="OK","","Priority 3")</f>
        <v/>
      </c>
    </row>
    <row r="590" customFormat="false" ht="15" hidden="false" customHeight="false" outlineLevel="0" collapsed="false">
      <c r="A590" s="22" t="s">
        <v>12583</v>
      </c>
      <c r="B590" s="23" t="n">
        <v>46235</v>
      </c>
      <c r="C590" s="22" t="s">
        <v>12584</v>
      </c>
      <c r="D590" s="22" t="s">
        <v>2189</v>
      </c>
      <c r="E590" s="22" t="s">
        <v>7885</v>
      </c>
      <c r="F590" s="22" t="s">
        <v>215</v>
      </c>
      <c r="G590" s="22" t="s">
        <v>8601</v>
      </c>
      <c r="H590" s="22" t="s">
        <v>11406</v>
      </c>
      <c r="I590" s="22" t="n">
        <v>47</v>
      </c>
      <c r="J590" s="22" t="n">
        <v>1</v>
      </c>
      <c r="K590" s="22" t="n">
        <v>47</v>
      </c>
      <c r="L590" s="25" t="n">
        <v>7.55</v>
      </c>
      <c r="M590" s="25" t="n">
        <v>354.85</v>
      </c>
      <c r="N590" s="25" t="n">
        <v>45.56</v>
      </c>
      <c r="O590" s="25" t="n">
        <v>400.41</v>
      </c>
      <c r="P590" s="22" t="s">
        <v>11407</v>
      </c>
      <c r="Q590" s="23" t="n">
        <v>46249</v>
      </c>
      <c r="R590" s="22" t="n">
        <f aca="false">I590*J590</f>
        <v>47</v>
      </c>
      <c r="S590" s="25" t="n">
        <f aca="false">K590-R590</f>
        <v>0</v>
      </c>
      <c r="T590" s="25" t="n">
        <f aca="false">K590*L590</f>
        <v>354.85</v>
      </c>
      <c r="U590" s="25" t="n">
        <f aca="false">M590-T590</f>
        <v>0</v>
      </c>
      <c r="V590" s="25" t="n">
        <f aca="false">M590+N590</f>
        <v>400.41</v>
      </c>
      <c r="W590" s="25" t="n">
        <f aca="false">O590-V590</f>
        <v>0</v>
      </c>
      <c r="X590" s="22" t="str">
        <f aca="false">IF(OR(ABS(S590)&gt;0.005,ABS(U590)&gt;0.005,ABS(W590)&gt;0.005),"Subledger arithmetic error","OK")</f>
        <v>OK</v>
      </c>
      <c r="Y590" s="22" t="str">
        <f aca="false">IF(X590="OK","","Priority 3")</f>
        <v/>
      </c>
    </row>
    <row r="591" customFormat="false" ht="15" hidden="false" customHeight="false" outlineLevel="0" collapsed="false">
      <c r="A591" s="22" t="s">
        <v>12585</v>
      </c>
      <c r="B591" s="23" t="n">
        <v>46235</v>
      </c>
      <c r="C591" s="22" t="s">
        <v>12586</v>
      </c>
      <c r="D591" s="22" t="s">
        <v>3319</v>
      </c>
      <c r="E591" s="22" t="s">
        <v>7889</v>
      </c>
      <c r="F591" s="22" t="s">
        <v>215</v>
      </c>
      <c r="G591" s="22" t="s">
        <v>8601</v>
      </c>
      <c r="H591" s="22" t="s">
        <v>11406</v>
      </c>
      <c r="I591" s="22" t="n">
        <v>53</v>
      </c>
      <c r="J591" s="22" t="n">
        <v>1</v>
      </c>
      <c r="K591" s="22" t="n">
        <v>53</v>
      </c>
      <c r="L591" s="25" t="n">
        <v>7.55</v>
      </c>
      <c r="M591" s="25" t="n">
        <v>400.15</v>
      </c>
      <c r="N591" s="25" t="n">
        <v>51.38</v>
      </c>
      <c r="O591" s="25" t="n">
        <v>451.53</v>
      </c>
      <c r="P591" s="22" t="s">
        <v>11410</v>
      </c>
      <c r="Q591" s="23" t="n">
        <v>46249</v>
      </c>
      <c r="R591" s="22" t="n">
        <f aca="false">I591*J591</f>
        <v>53</v>
      </c>
      <c r="S591" s="25" t="n">
        <f aca="false">K591-R591</f>
        <v>0</v>
      </c>
      <c r="T591" s="25" t="n">
        <f aca="false">K591*L591</f>
        <v>400.15</v>
      </c>
      <c r="U591" s="25" t="n">
        <f aca="false">M591-T591</f>
        <v>0</v>
      </c>
      <c r="V591" s="25" t="n">
        <f aca="false">M591+N591</f>
        <v>451.53</v>
      </c>
      <c r="W591" s="25" t="n">
        <f aca="false">O591-V591</f>
        <v>0</v>
      </c>
      <c r="X591" s="22" t="str">
        <f aca="false">IF(OR(ABS(S591)&gt;0.005,ABS(U591)&gt;0.005,ABS(W591)&gt;0.005),"Subledger arithmetic error","OK")</f>
        <v>OK</v>
      </c>
      <c r="Y591" s="22" t="str">
        <f aca="false">IF(X591="OK","","Priority 3")</f>
        <v/>
      </c>
    </row>
    <row r="592" customFormat="false" ht="15" hidden="false" customHeight="false" outlineLevel="0" collapsed="false">
      <c r="A592" s="22" t="s">
        <v>12587</v>
      </c>
      <c r="B592" s="23" t="n">
        <v>46235</v>
      </c>
      <c r="C592" s="22" t="s">
        <v>12588</v>
      </c>
      <c r="D592" s="22" t="s">
        <v>5861</v>
      </c>
      <c r="E592" s="22" t="s">
        <v>7890</v>
      </c>
      <c r="F592" s="22" t="s">
        <v>215</v>
      </c>
      <c r="G592" s="22" t="s">
        <v>8601</v>
      </c>
      <c r="H592" s="22" t="s">
        <v>11406</v>
      </c>
      <c r="I592" s="22" t="n">
        <v>45</v>
      </c>
      <c r="J592" s="22" t="n">
        <v>1</v>
      </c>
      <c r="K592" s="22" t="n">
        <v>45</v>
      </c>
      <c r="L592" s="25" t="n">
        <v>7.55</v>
      </c>
      <c r="M592" s="25" t="n">
        <v>339.75</v>
      </c>
      <c r="N592" s="25" t="n">
        <v>43.62</v>
      </c>
      <c r="O592" s="25" t="n">
        <v>383.37</v>
      </c>
      <c r="P592" s="22" t="s">
        <v>11407</v>
      </c>
      <c r="Q592" s="23" t="n">
        <v>46249</v>
      </c>
      <c r="R592" s="22" t="n">
        <f aca="false">I592*J592</f>
        <v>45</v>
      </c>
      <c r="S592" s="25" t="n">
        <f aca="false">K592-R592</f>
        <v>0</v>
      </c>
      <c r="T592" s="25" t="n">
        <f aca="false">K592*L592</f>
        <v>339.75</v>
      </c>
      <c r="U592" s="25" t="n">
        <f aca="false">M592-T592</f>
        <v>0</v>
      </c>
      <c r="V592" s="25" t="n">
        <f aca="false">M592+N592</f>
        <v>383.37</v>
      </c>
      <c r="W592" s="25" t="n">
        <f aca="false">O592-V592</f>
        <v>0</v>
      </c>
      <c r="X592" s="22" t="str">
        <f aca="false">IF(OR(ABS(S592)&gt;0.005,ABS(U592)&gt;0.005,ABS(W592)&gt;0.005),"Subledger arithmetic error","OK")</f>
        <v>OK</v>
      </c>
      <c r="Y592" s="22" t="str">
        <f aca="false">IF(X592="OK","","Priority 3")</f>
        <v/>
      </c>
    </row>
    <row r="593" customFormat="false" ht="15" hidden="false" customHeight="false" outlineLevel="0" collapsed="false">
      <c r="A593" s="22" t="s">
        <v>12589</v>
      </c>
      <c r="B593" s="23" t="n">
        <v>46235</v>
      </c>
      <c r="C593" s="22" t="s">
        <v>12590</v>
      </c>
      <c r="D593" s="22" t="s">
        <v>973</v>
      </c>
      <c r="E593" s="22" t="s">
        <v>7891</v>
      </c>
      <c r="F593" s="22" t="s">
        <v>215</v>
      </c>
      <c r="G593" s="22" t="s">
        <v>8601</v>
      </c>
      <c r="H593" s="22" t="s">
        <v>11406</v>
      </c>
      <c r="I593" s="22" t="n">
        <v>43</v>
      </c>
      <c r="J593" s="22" t="n">
        <v>1</v>
      </c>
      <c r="K593" s="22" t="n">
        <v>43</v>
      </c>
      <c r="L593" s="25" t="n">
        <v>7.55</v>
      </c>
      <c r="M593" s="25" t="n">
        <v>324.65</v>
      </c>
      <c r="N593" s="25" t="n">
        <v>41.69</v>
      </c>
      <c r="O593" s="25" t="n">
        <v>366.34</v>
      </c>
      <c r="P593" s="22" t="s">
        <v>11407</v>
      </c>
      <c r="Q593" s="23" t="n">
        <v>46249</v>
      </c>
      <c r="R593" s="22" t="n">
        <f aca="false">I593*J593</f>
        <v>43</v>
      </c>
      <c r="S593" s="25" t="n">
        <f aca="false">K593-R593</f>
        <v>0</v>
      </c>
      <c r="T593" s="25" t="n">
        <f aca="false">K593*L593</f>
        <v>324.65</v>
      </c>
      <c r="U593" s="25" t="n">
        <f aca="false">M593-T593</f>
        <v>0</v>
      </c>
      <c r="V593" s="25" t="n">
        <f aca="false">M593+N593</f>
        <v>366.34</v>
      </c>
      <c r="W593" s="25" t="n">
        <f aca="false">O593-V593</f>
        <v>0</v>
      </c>
      <c r="X593" s="22" t="str">
        <f aca="false">IF(OR(ABS(S593)&gt;0.005,ABS(U593)&gt;0.005,ABS(W593)&gt;0.005),"Subledger arithmetic error","OK")</f>
        <v>OK</v>
      </c>
      <c r="Y593" s="22" t="str">
        <f aca="false">IF(X593="OK","","Priority 3")</f>
        <v/>
      </c>
    </row>
    <row r="594" customFormat="false" ht="15" hidden="false" customHeight="false" outlineLevel="0" collapsed="false">
      <c r="A594" s="22" t="s">
        <v>12591</v>
      </c>
      <c r="B594" s="23" t="n">
        <v>46235</v>
      </c>
      <c r="C594" s="22" t="s">
        <v>12592</v>
      </c>
      <c r="D594" s="22" t="s">
        <v>2239</v>
      </c>
      <c r="E594" s="22" t="s">
        <v>7893</v>
      </c>
      <c r="F594" s="22" t="s">
        <v>215</v>
      </c>
      <c r="G594" s="22" t="s">
        <v>8601</v>
      </c>
      <c r="H594" s="22" t="s">
        <v>11406</v>
      </c>
      <c r="I594" s="22" t="n">
        <v>70</v>
      </c>
      <c r="J594" s="22" t="n">
        <v>1</v>
      </c>
      <c r="K594" s="22" t="n">
        <v>70</v>
      </c>
      <c r="L594" s="25" t="n">
        <v>7.55</v>
      </c>
      <c r="M594" s="25" t="n">
        <v>528.5</v>
      </c>
      <c r="N594" s="25" t="n">
        <v>67.86</v>
      </c>
      <c r="O594" s="25" t="n">
        <v>596.36</v>
      </c>
      <c r="P594" s="22" t="s">
        <v>11407</v>
      </c>
      <c r="Q594" s="23" t="n">
        <v>46249</v>
      </c>
      <c r="R594" s="22" t="n">
        <f aca="false">I594*J594</f>
        <v>70</v>
      </c>
      <c r="S594" s="25" t="n">
        <f aca="false">K594-R594</f>
        <v>0</v>
      </c>
      <c r="T594" s="25" t="n">
        <f aca="false">K594*L594</f>
        <v>528.5</v>
      </c>
      <c r="U594" s="25" t="n">
        <f aca="false">M594-T594</f>
        <v>0</v>
      </c>
      <c r="V594" s="25" t="n">
        <f aca="false">M594+N594</f>
        <v>596.36</v>
      </c>
      <c r="W594" s="25" t="n">
        <f aca="false">O594-V594</f>
        <v>0</v>
      </c>
      <c r="X594" s="22" t="str">
        <f aca="false">IF(OR(ABS(S594)&gt;0.005,ABS(U594)&gt;0.005,ABS(W594)&gt;0.005),"Subledger arithmetic error","OK")</f>
        <v>OK</v>
      </c>
      <c r="Y594" s="22" t="str">
        <f aca="false">IF(X594="OK","","Priority 3")</f>
        <v/>
      </c>
    </row>
    <row r="595" customFormat="false" ht="15" hidden="false" customHeight="false" outlineLevel="0" collapsed="false">
      <c r="A595" s="22" t="s">
        <v>12593</v>
      </c>
      <c r="B595" s="23" t="n">
        <v>46235</v>
      </c>
      <c r="C595" s="22" t="s">
        <v>12594</v>
      </c>
      <c r="D595" s="22" t="s">
        <v>2381</v>
      </c>
      <c r="E595" s="22" t="s">
        <v>7894</v>
      </c>
      <c r="F595" s="22" t="s">
        <v>215</v>
      </c>
      <c r="G595" s="22" t="s">
        <v>8601</v>
      </c>
      <c r="H595" s="22" t="s">
        <v>11406</v>
      </c>
      <c r="I595" s="22" t="n">
        <v>28</v>
      </c>
      <c r="J595" s="22" t="n">
        <v>1</v>
      </c>
      <c r="K595" s="22" t="n">
        <v>28</v>
      </c>
      <c r="L595" s="25" t="n">
        <v>7.55</v>
      </c>
      <c r="M595" s="25" t="n">
        <v>211.4</v>
      </c>
      <c r="N595" s="25" t="n">
        <v>27.14</v>
      </c>
      <c r="O595" s="25" t="n">
        <v>238.54</v>
      </c>
      <c r="P595" s="22" t="s">
        <v>11410</v>
      </c>
      <c r="Q595" s="23" t="n">
        <v>46249</v>
      </c>
      <c r="R595" s="22" t="n">
        <f aca="false">I595*J595</f>
        <v>28</v>
      </c>
      <c r="S595" s="25" t="n">
        <f aca="false">K595-R595</f>
        <v>0</v>
      </c>
      <c r="T595" s="25" t="n">
        <f aca="false">K595*L595</f>
        <v>211.4</v>
      </c>
      <c r="U595" s="25" t="n">
        <f aca="false">M595-T595</f>
        <v>0</v>
      </c>
      <c r="V595" s="25" t="n">
        <f aca="false">M595+N595</f>
        <v>238.54</v>
      </c>
      <c r="W595" s="25" t="n">
        <f aca="false">O595-V595</f>
        <v>0</v>
      </c>
      <c r="X595" s="22" t="str">
        <f aca="false">IF(OR(ABS(S595)&gt;0.005,ABS(U595)&gt;0.005,ABS(W595)&gt;0.005),"Subledger arithmetic error","OK")</f>
        <v>OK</v>
      </c>
      <c r="Y595" s="22" t="str">
        <f aca="false">IF(X595="OK","","Priority 3")</f>
        <v/>
      </c>
    </row>
    <row r="596" customFormat="false" ht="15" hidden="false" customHeight="false" outlineLevel="0" collapsed="false">
      <c r="A596" s="22" t="s">
        <v>12595</v>
      </c>
      <c r="B596" s="23" t="n">
        <v>46235</v>
      </c>
      <c r="C596" s="22" t="s">
        <v>12596</v>
      </c>
      <c r="D596" s="22" t="s">
        <v>168</v>
      </c>
      <c r="E596" s="22" t="s">
        <v>7897</v>
      </c>
      <c r="F596" s="22" t="s">
        <v>215</v>
      </c>
      <c r="G596" s="22" t="s">
        <v>8601</v>
      </c>
      <c r="H596" s="22" t="s">
        <v>11406</v>
      </c>
      <c r="I596" s="22" t="n">
        <v>80</v>
      </c>
      <c r="J596" s="22" t="n">
        <v>1</v>
      </c>
      <c r="K596" s="22" t="n">
        <v>80</v>
      </c>
      <c r="L596" s="25" t="n">
        <v>7.55</v>
      </c>
      <c r="M596" s="25" t="n">
        <v>604</v>
      </c>
      <c r="N596" s="25" t="n">
        <v>77.55</v>
      </c>
      <c r="O596" s="25" t="n">
        <v>681.55</v>
      </c>
      <c r="P596" s="22" t="s">
        <v>11407</v>
      </c>
      <c r="Q596" s="23" t="n">
        <v>46249</v>
      </c>
      <c r="R596" s="22" t="n">
        <f aca="false">I596*J596</f>
        <v>80</v>
      </c>
      <c r="S596" s="25" t="n">
        <f aca="false">K596-R596</f>
        <v>0</v>
      </c>
      <c r="T596" s="25" t="n">
        <f aca="false">K596*L596</f>
        <v>604</v>
      </c>
      <c r="U596" s="25" t="n">
        <f aca="false">M596-T596</f>
        <v>0</v>
      </c>
      <c r="V596" s="25" t="n">
        <f aca="false">M596+N596</f>
        <v>681.55</v>
      </c>
      <c r="W596" s="25" t="n">
        <f aca="false">O596-V596</f>
        <v>0</v>
      </c>
      <c r="X596" s="22" t="str">
        <f aca="false">IF(OR(ABS(S596)&gt;0.005,ABS(U596)&gt;0.005,ABS(W596)&gt;0.005),"Subledger arithmetic error","OK")</f>
        <v>OK</v>
      </c>
      <c r="Y596" s="22" t="str">
        <f aca="false">IF(X596="OK","","Priority 3")</f>
        <v/>
      </c>
    </row>
    <row r="597" customFormat="false" ht="15" hidden="false" customHeight="false" outlineLevel="0" collapsed="false">
      <c r="A597" s="22" t="s">
        <v>12597</v>
      </c>
      <c r="B597" s="23" t="n">
        <v>46235</v>
      </c>
      <c r="C597" s="22" t="s">
        <v>12598</v>
      </c>
      <c r="D597" s="22" t="s">
        <v>4498</v>
      </c>
      <c r="E597" s="22" t="s">
        <v>7900</v>
      </c>
      <c r="F597" s="22" t="s">
        <v>215</v>
      </c>
      <c r="G597" s="22" t="s">
        <v>8601</v>
      </c>
      <c r="H597" s="22" t="s">
        <v>11406</v>
      </c>
      <c r="I597" s="22" t="n">
        <v>62</v>
      </c>
      <c r="J597" s="22" t="n">
        <v>1</v>
      </c>
      <c r="K597" s="22" t="n">
        <v>62</v>
      </c>
      <c r="L597" s="25" t="n">
        <v>7.55</v>
      </c>
      <c r="M597" s="25" t="n">
        <v>468.1</v>
      </c>
      <c r="N597" s="25" t="n">
        <v>60.1</v>
      </c>
      <c r="O597" s="25" t="n">
        <v>528.2</v>
      </c>
      <c r="P597" s="22" t="s">
        <v>11407</v>
      </c>
      <c r="Q597" s="23" t="n">
        <v>46249</v>
      </c>
      <c r="R597" s="22" t="n">
        <f aca="false">I597*J597</f>
        <v>62</v>
      </c>
      <c r="S597" s="25" t="n">
        <f aca="false">K597-R597</f>
        <v>0</v>
      </c>
      <c r="T597" s="25" t="n">
        <f aca="false">K597*L597</f>
        <v>468.1</v>
      </c>
      <c r="U597" s="25" t="n">
        <f aca="false">M597-T597</f>
        <v>0</v>
      </c>
      <c r="V597" s="25" t="n">
        <f aca="false">M597+N597</f>
        <v>528.2</v>
      </c>
      <c r="W597" s="25" t="n">
        <f aca="false">O597-V597</f>
        <v>0</v>
      </c>
      <c r="X597" s="22" t="str">
        <f aca="false">IF(OR(ABS(S597)&gt;0.005,ABS(U597)&gt;0.005,ABS(W597)&gt;0.005),"Subledger arithmetic error","OK")</f>
        <v>OK</v>
      </c>
      <c r="Y597" s="22" t="str">
        <f aca="false">IF(X597="OK","","Priority 3")</f>
        <v/>
      </c>
    </row>
    <row r="598" customFormat="false" ht="15" hidden="false" customHeight="false" outlineLevel="0" collapsed="false">
      <c r="A598" s="22" t="s">
        <v>12599</v>
      </c>
      <c r="B598" s="23" t="n">
        <v>46235</v>
      </c>
      <c r="C598" s="22" t="s">
        <v>12600</v>
      </c>
      <c r="D598" s="22" t="s">
        <v>886</v>
      </c>
      <c r="E598" s="22" t="s">
        <v>7901</v>
      </c>
      <c r="F598" s="22" t="s">
        <v>215</v>
      </c>
      <c r="G598" s="22" t="s">
        <v>8601</v>
      </c>
      <c r="H598" s="22" t="s">
        <v>11406</v>
      </c>
      <c r="I598" s="22" t="n">
        <v>60</v>
      </c>
      <c r="J598" s="22" t="n">
        <v>1</v>
      </c>
      <c r="K598" s="22" t="n">
        <v>60</v>
      </c>
      <c r="L598" s="25" t="n">
        <v>7.55</v>
      </c>
      <c r="M598" s="25" t="n">
        <v>453</v>
      </c>
      <c r="N598" s="25" t="n">
        <v>58.17</v>
      </c>
      <c r="O598" s="25" t="n">
        <v>511.17</v>
      </c>
      <c r="P598" s="22" t="s">
        <v>11407</v>
      </c>
      <c r="Q598" s="23" t="n">
        <v>46249</v>
      </c>
      <c r="R598" s="22" t="n">
        <f aca="false">I598*J598</f>
        <v>60</v>
      </c>
      <c r="S598" s="25" t="n">
        <f aca="false">K598-R598</f>
        <v>0</v>
      </c>
      <c r="T598" s="25" t="n">
        <f aca="false">K598*L598</f>
        <v>453</v>
      </c>
      <c r="U598" s="25" t="n">
        <f aca="false">M598-T598</f>
        <v>0</v>
      </c>
      <c r="V598" s="25" t="n">
        <f aca="false">M598+N598</f>
        <v>511.17</v>
      </c>
      <c r="W598" s="25" t="n">
        <f aca="false">O598-V598</f>
        <v>0</v>
      </c>
      <c r="X598" s="22" t="str">
        <f aca="false">IF(OR(ABS(S598)&gt;0.005,ABS(U598)&gt;0.005,ABS(W598)&gt;0.005),"Subledger arithmetic error","OK")</f>
        <v>OK</v>
      </c>
      <c r="Y598" s="22" t="str">
        <f aca="false">IF(X598="OK","","Priority 3")</f>
        <v/>
      </c>
    </row>
    <row r="599" customFormat="false" ht="15" hidden="false" customHeight="false" outlineLevel="0" collapsed="false">
      <c r="A599" s="22" t="s">
        <v>12601</v>
      </c>
      <c r="B599" s="23" t="n">
        <v>46235</v>
      </c>
      <c r="C599" s="22" t="s">
        <v>12602</v>
      </c>
      <c r="D599" s="22" t="s">
        <v>3386</v>
      </c>
      <c r="E599" s="22" t="s">
        <v>7904</v>
      </c>
      <c r="F599" s="22" t="s">
        <v>215</v>
      </c>
      <c r="G599" s="22" t="s">
        <v>8601</v>
      </c>
      <c r="H599" s="22" t="s">
        <v>11406</v>
      </c>
      <c r="I599" s="22" t="n">
        <v>45</v>
      </c>
      <c r="J599" s="22" t="n">
        <v>1</v>
      </c>
      <c r="K599" s="22" t="n">
        <v>45</v>
      </c>
      <c r="L599" s="25" t="n">
        <v>7.55</v>
      </c>
      <c r="M599" s="25" t="n">
        <v>339.75</v>
      </c>
      <c r="N599" s="25" t="n">
        <v>43.62</v>
      </c>
      <c r="O599" s="25" t="n">
        <v>383.37</v>
      </c>
      <c r="P599" s="22" t="s">
        <v>11407</v>
      </c>
      <c r="Q599" s="23" t="n">
        <v>46249</v>
      </c>
      <c r="R599" s="22" t="n">
        <f aca="false">I599*J599</f>
        <v>45</v>
      </c>
      <c r="S599" s="25" t="n">
        <f aca="false">K599-R599</f>
        <v>0</v>
      </c>
      <c r="T599" s="25" t="n">
        <f aca="false">K599*L599</f>
        <v>339.75</v>
      </c>
      <c r="U599" s="25" t="n">
        <f aca="false">M599-T599</f>
        <v>0</v>
      </c>
      <c r="V599" s="25" t="n">
        <f aca="false">M599+N599</f>
        <v>383.37</v>
      </c>
      <c r="W599" s="25" t="n">
        <f aca="false">O599-V599</f>
        <v>0</v>
      </c>
      <c r="X599" s="22" t="str">
        <f aca="false">IF(OR(ABS(S599)&gt;0.005,ABS(U599)&gt;0.005,ABS(W599)&gt;0.005),"Subledger arithmetic error","OK")</f>
        <v>OK</v>
      </c>
      <c r="Y599" s="22" t="str">
        <f aca="false">IF(X599="OK","","Priority 3")</f>
        <v/>
      </c>
    </row>
    <row r="600" customFormat="false" ht="15" hidden="false" customHeight="false" outlineLevel="0" collapsed="false">
      <c r="A600" s="22" t="s">
        <v>12603</v>
      </c>
      <c r="B600" s="23" t="n">
        <v>46235</v>
      </c>
      <c r="C600" s="22" t="s">
        <v>12604</v>
      </c>
      <c r="D600" s="22" t="s">
        <v>622</v>
      </c>
      <c r="E600" s="22" t="s">
        <v>7905</v>
      </c>
      <c r="F600" s="22" t="s">
        <v>215</v>
      </c>
      <c r="G600" s="22" t="s">
        <v>8601</v>
      </c>
      <c r="H600" s="22" t="s">
        <v>11406</v>
      </c>
      <c r="I600" s="22" t="n">
        <v>52</v>
      </c>
      <c r="J600" s="22" t="n">
        <v>1</v>
      </c>
      <c r="K600" s="22" t="n">
        <v>52</v>
      </c>
      <c r="L600" s="25" t="n">
        <v>7.55</v>
      </c>
      <c r="M600" s="25" t="n">
        <v>392.6</v>
      </c>
      <c r="N600" s="25" t="n">
        <v>50.41</v>
      </c>
      <c r="O600" s="25" t="n">
        <v>443.01</v>
      </c>
      <c r="P600" s="22" t="s">
        <v>11407</v>
      </c>
      <c r="Q600" s="23" t="n">
        <v>46249</v>
      </c>
      <c r="R600" s="22" t="n">
        <f aca="false">I600*J600</f>
        <v>52</v>
      </c>
      <c r="S600" s="25" t="n">
        <f aca="false">K600-R600</f>
        <v>0</v>
      </c>
      <c r="T600" s="25" t="n">
        <f aca="false">K600*L600</f>
        <v>392.6</v>
      </c>
      <c r="U600" s="25" t="n">
        <f aca="false">M600-T600</f>
        <v>0</v>
      </c>
      <c r="V600" s="25" t="n">
        <f aca="false">M600+N600</f>
        <v>443.01</v>
      </c>
      <c r="W600" s="25" t="n">
        <f aca="false">O600-V600</f>
        <v>0</v>
      </c>
      <c r="X600" s="22" t="str">
        <f aca="false">IF(OR(ABS(S600)&gt;0.005,ABS(U600)&gt;0.005,ABS(W600)&gt;0.005),"Subledger arithmetic error","OK")</f>
        <v>OK</v>
      </c>
      <c r="Y600" s="22" t="str">
        <f aca="false">IF(X600="OK","","Priority 3")</f>
        <v/>
      </c>
    </row>
    <row r="601" customFormat="false" ht="15" hidden="false" customHeight="false" outlineLevel="0" collapsed="false">
      <c r="A601" s="22" t="s">
        <v>12605</v>
      </c>
      <c r="B601" s="23" t="n">
        <v>46235</v>
      </c>
      <c r="C601" s="22" t="s">
        <v>12606</v>
      </c>
      <c r="D601" s="22" t="s">
        <v>6173</v>
      </c>
      <c r="E601" s="22" t="s">
        <v>7906</v>
      </c>
      <c r="F601" s="22" t="s">
        <v>215</v>
      </c>
      <c r="G601" s="22" t="s">
        <v>8601</v>
      </c>
      <c r="H601" s="22" t="s">
        <v>11406</v>
      </c>
      <c r="I601" s="22" t="n">
        <v>45</v>
      </c>
      <c r="J601" s="22" t="n">
        <v>1</v>
      </c>
      <c r="K601" s="22" t="n">
        <v>45</v>
      </c>
      <c r="L601" s="25" t="n">
        <v>7.55</v>
      </c>
      <c r="M601" s="25" t="n">
        <v>339.75</v>
      </c>
      <c r="N601" s="25" t="n">
        <v>43.62</v>
      </c>
      <c r="O601" s="25" t="n">
        <v>383.37</v>
      </c>
      <c r="P601" s="22" t="s">
        <v>11407</v>
      </c>
      <c r="Q601" s="23" t="n">
        <v>46249</v>
      </c>
      <c r="R601" s="22" t="n">
        <f aca="false">I601*J601</f>
        <v>45</v>
      </c>
      <c r="S601" s="25" t="n">
        <f aca="false">K601-R601</f>
        <v>0</v>
      </c>
      <c r="T601" s="25" t="n">
        <f aca="false">K601*L601</f>
        <v>339.75</v>
      </c>
      <c r="U601" s="25" t="n">
        <f aca="false">M601-T601</f>
        <v>0</v>
      </c>
      <c r="V601" s="25" t="n">
        <f aca="false">M601+N601</f>
        <v>383.37</v>
      </c>
      <c r="W601" s="25" t="n">
        <f aca="false">O601-V601</f>
        <v>0</v>
      </c>
      <c r="X601" s="22" t="str">
        <f aca="false">IF(OR(ABS(S601)&gt;0.005,ABS(U601)&gt;0.005,ABS(W601)&gt;0.005),"Subledger arithmetic error","OK")</f>
        <v>OK</v>
      </c>
      <c r="Y601" s="22" t="str">
        <f aca="false">IF(X601="OK","","Priority 3")</f>
        <v/>
      </c>
    </row>
    <row r="602" customFormat="false" ht="15" hidden="false" customHeight="false" outlineLevel="0" collapsed="false">
      <c r="A602" s="22" t="s">
        <v>12607</v>
      </c>
      <c r="B602" s="23" t="n">
        <v>46235</v>
      </c>
      <c r="C602" s="22" t="s">
        <v>12608</v>
      </c>
      <c r="D602" s="22" t="s">
        <v>1927</v>
      </c>
      <c r="E602" s="22" t="s">
        <v>7908</v>
      </c>
      <c r="F602" s="22" t="s">
        <v>215</v>
      </c>
      <c r="G602" s="22" t="s">
        <v>8601</v>
      </c>
      <c r="H602" s="22" t="s">
        <v>11406</v>
      </c>
      <c r="I602" s="22" t="n">
        <v>51</v>
      </c>
      <c r="J602" s="22" t="n">
        <v>1</v>
      </c>
      <c r="K602" s="22" t="n">
        <v>51</v>
      </c>
      <c r="L602" s="25" t="n">
        <v>7.55</v>
      </c>
      <c r="M602" s="25" t="n">
        <v>385.05</v>
      </c>
      <c r="N602" s="25" t="n">
        <v>49.44</v>
      </c>
      <c r="O602" s="25" t="n">
        <v>434.49</v>
      </c>
      <c r="P602" s="22" t="s">
        <v>11407</v>
      </c>
      <c r="Q602" s="23" t="n">
        <v>46249</v>
      </c>
      <c r="R602" s="22" t="n">
        <f aca="false">I602*J602</f>
        <v>51</v>
      </c>
      <c r="S602" s="25" t="n">
        <f aca="false">K602-R602</f>
        <v>0</v>
      </c>
      <c r="T602" s="25" t="n">
        <f aca="false">K602*L602</f>
        <v>385.05</v>
      </c>
      <c r="U602" s="25" t="n">
        <f aca="false">M602-T602</f>
        <v>0</v>
      </c>
      <c r="V602" s="25" t="n">
        <f aca="false">M602+N602</f>
        <v>434.49</v>
      </c>
      <c r="W602" s="25" t="n">
        <f aca="false">O602-V602</f>
        <v>0</v>
      </c>
      <c r="X602" s="22" t="str">
        <f aca="false">IF(OR(ABS(S602)&gt;0.005,ABS(U602)&gt;0.005,ABS(W602)&gt;0.005),"Subledger arithmetic error","OK")</f>
        <v>OK</v>
      </c>
      <c r="Y602" s="22" t="str">
        <f aca="false">IF(X602="OK","","Priority 3")</f>
        <v/>
      </c>
    </row>
    <row r="603" customFormat="false" ht="15" hidden="false" customHeight="false" outlineLevel="0" collapsed="false">
      <c r="A603" s="22" t="s">
        <v>12609</v>
      </c>
      <c r="B603" s="23" t="n">
        <v>46235</v>
      </c>
      <c r="C603" s="22" t="s">
        <v>12610</v>
      </c>
      <c r="D603" s="22" t="s">
        <v>5744</v>
      </c>
      <c r="E603" s="22" t="s">
        <v>7909</v>
      </c>
      <c r="F603" s="22" t="s">
        <v>215</v>
      </c>
      <c r="G603" s="22" t="s">
        <v>8601</v>
      </c>
      <c r="H603" s="22" t="s">
        <v>11406</v>
      </c>
      <c r="I603" s="22" t="n">
        <v>43</v>
      </c>
      <c r="J603" s="22" t="n">
        <v>1</v>
      </c>
      <c r="K603" s="22" t="n">
        <v>43</v>
      </c>
      <c r="L603" s="25" t="n">
        <v>7.55</v>
      </c>
      <c r="M603" s="25" t="n">
        <v>324.65</v>
      </c>
      <c r="N603" s="25" t="n">
        <v>41.69</v>
      </c>
      <c r="O603" s="25" t="n">
        <v>366.34</v>
      </c>
      <c r="P603" s="22" t="s">
        <v>11407</v>
      </c>
      <c r="Q603" s="23" t="n">
        <v>46249</v>
      </c>
      <c r="R603" s="22" t="n">
        <f aca="false">I603*J603</f>
        <v>43</v>
      </c>
      <c r="S603" s="25" t="n">
        <f aca="false">K603-R603</f>
        <v>0</v>
      </c>
      <c r="T603" s="25" t="n">
        <f aca="false">K603*L603</f>
        <v>324.65</v>
      </c>
      <c r="U603" s="25" t="n">
        <f aca="false">M603-T603</f>
        <v>0</v>
      </c>
      <c r="V603" s="25" t="n">
        <f aca="false">M603+N603</f>
        <v>366.34</v>
      </c>
      <c r="W603" s="25" t="n">
        <f aca="false">O603-V603</f>
        <v>0</v>
      </c>
      <c r="X603" s="22" t="str">
        <f aca="false">IF(OR(ABS(S603)&gt;0.005,ABS(U603)&gt;0.005,ABS(W603)&gt;0.005),"Subledger arithmetic error","OK")</f>
        <v>OK</v>
      </c>
      <c r="Y603" s="22" t="str">
        <f aca="false">IF(X603="OK","","Priority 3")</f>
        <v/>
      </c>
    </row>
    <row r="604" customFormat="false" ht="15" hidden="false" customHeight="false" outlineLevel="0" collapsed="false">
      <c r="A604" s="22" t="s">
        <v>12611</v>
      </c>
      <c r="B604" s="23" t="n">
        <v>46235</v>
      </c>
      <c r="C604" s="22" t="s">
        <v>12612</v>
      </c>
      <c r="D604" s="22" t="s">
        <v>4468</v>
      </c>
      <c r="E604" s="22" t="s">
        <v>7912</v>
      </c>
      <c r="F604" s="22" t="s">
        <v>215</v>
      </c>
      <c r="G604" s="22" t="s">
        <v>8601</v>
      </c>
      <c r="H604" s="22" t="s">
        <v>11406</v>
      </c>
      <c r="I604" s="22" t="n">
        <v>50</v>
      </c>
      <c r="J604" s="22" t="n">
        <v>1</v>
      </c>
      <c r="K604" s="22" t="n">
        <v>50</v>
      </c>
      <c r="L604" s="25" t="n">
        <v>7.55</v>
      </c>
      <c r="M604" s="25" t="n">
        <v>377.5</v>
      </c>
      <c r="N604" s="25" t="n">
        <v>48.47</v>
      </c>
      <c r="O604" s="25" t="n">
        <v>425.97</v>
      </c>
      <c r="P604" s="22" t="s">
        <v>11410</v>
      </c>
      <c r="Q604" s="23" t="n">
        <v>46249</v>
      </c>
      <c r="R604" s="22" t="n">
        <f aca="false">I604*J604</f>
        <v>50</v>
      </c>
      <c r="S604" s="25" t="n">
        <f aca="false">K604-R604</f>
        <v>0</v>
      </c>
      <c r="T604" s="25" t="n">
        <f aca="false">K604*L604</f>
        <v>377.5</v>
      </c>
      <c r="U604" s="25" t="n">
        <f aca="false">M604-T604</f>
        <v>0</v>
      </c>
      <c r="V604" s="25" t="n">
        <f aca="false">M604+N604</f>
        <v>425.97</v>
      </c>
      <c r="W604" s="25" t="n">
        <f aca="false">O604-V604</f>
        <v>0</v>
      </c>
      <c r="X604" s="22" t="str">
        <f aca="false">IF(OR(ABS(S604)&gt;0.005,ABS(U604)&gt;0.005,ABS(W604)&gt;0.005),"Subledger arithmetic error","OK")</f>
        <v>OK</v>
      </c>
      <c r="Y604" s="22" t="str">
        <f aca="false">IF(X604="OK","","Priority 3")</f>
        <v/>
      </c>
    </row>
    <row r="605" customFormat="false" ht="15" hidden="false" customHeight="false" outlineLevel="0" collapsed="false">
      <c r="A605" s="22" t="s">
        <v>12613</v>
      </c>
      <c r="B605" s="23" t="n">
        <v>46235</v>
      </c>
      <c r="C605" s="22" t="s">
        <v>12614</v>
      </c>
      <c r="D605" s="22" t="s">
        <v>881</v>
      </c>
      <c r="E605" s="22" t="s">
        <v>7913</v>
      </c>
      <c r="F605" s="22" t="s">
        <v>215</v>
      </c>
      <c r="G605" s="22" t="s">
        <v>8601</v>
      </c>
      <c r="H605" s="22" t="s">
        <v>11406</v>
      </c>
      <c r="I605" s="22" t="n">
        <v>28</v>
      </c>
      <c r="J605" s="22" t="n">
        <v>1</v>
      </c>
      <c r="K605" s="22" t="n">
        <v>28</v>
      </c>
      <c r="L605" s="25" t="n">
        <v>7.55</v>
      </c>
      <c r="M605" s="25" t="n">
        <v>211.4</v>
      </c>
      <c r="N605" s="25" t="n">
        <v>27.14</v>
      </c>
      <c r="O605" s="25" t="n">
        <v>238.54</v>
      </c>
      <c r="P605" s="22" t="s">
        <v>11407</v>
      </c>
      <c r="Q605" s="23" t="n">
        <v>46249</v>
      </c>
      <c r="R605" s="22" t="n">
        <f aca="false">I605*J605</f>
        <v>28</v>
      </c>
      <c r="S605" s="25" t="n">
        <f aca="false">K605-R605</f>
        <v>0</v>
      </c>
      <c r="T605" s="25" t="n">
        <f aca="false">K605*L605</f>
        <v>211.4</v>
      </c>
      <c r="U605" s="25" t="n">
        <f aca="false">M605-T605</f>
        <v>0</v>
      </c>
      <c r="V605" s="25" t="n">
        <f aca="false">M605+N605</f>
        <v>238.54</v>
      </c>
      <c r="W605" s="25" t="n">
        <f aca="false">O605-V605</f>
        <v>0</v>
      </c>
      <c r="X605" s="22" t="str">
        <f aca="false">IF(OR(ABS(S605)&gt;0.005,ABS(U605)&gt;0.005,ABS(W605)&gt;0.005),"Subledger arithmetic error","OK")</f>
        <v>OK</v>
      </c>
      <c r="Y605" s="22" t="str">
        <f aca="false">IF(X605="OK","","Priority 3")</f>
        <v/>
      </c>
    </row>
    <row r="606" customFormat="false" ht="15" hidden="false" customHeight="false" outlineLevel="0" collapsed="false">
      <c r="A606" s="22" t="s">
        <v>12615</v>
      </c>
      <c r="B606" s="23" t="n">
        <v>46235</v>
      </c>
      <c r="C606" s="22" t="s">
        <v>12616</v>
      </c>
      <c r="D606" s="22" t="s">
        <v>976</v>
      </c>
      <c r="E606" s="22" t="s">
        <v>7914</v>
      </c>
      <c r="F606" s="22" t="s">
        <v>215</v>
      </c>
      <c r="G606" s="22" t="s">
        <v>8601</v>
      </c>
      <c r="H606" s="22" t="s">
        <v>11406</v>
      </c>
      <c r="I606" s="22" t="n">
        <v>28</v>
      </c>
      <c r="J606" s="22" t="n">
        <v>1</v>
      </c>
      <c r="K606" s="22" t="n">
        <v>28</v>
      </c>
      <c r="L606" s="25" t="n">
        <v>7.55</v>
      </c>
      <c r="M606" s="25" t="n">
        <v>211.4</v>
      </c>
      <c r="N606" s="25" t="n">
        <v>27.14</v>
      </c>
      <c r="O606" s="25" t="n">
        <v>238.54</v>
      </c>
      <c r="P606" s="22" t="s">
        <v>11407</v>
      </c>
      <c r="Q606" s="23" t="n">
        <v>46249</v>
      </c>
      <c r="R606" s="22" t="n">
        <f aca="false">I606*J606</f>
        <v>28</v>
      </c>
      <c r="S606" s="25" t="n">
        <f aca="false">K606-R606</f>
        <v>0</v>
      </c>
      <c r="T606" s="25" t="n">
        <f aca="false">K606*L606</f>
        <v>211.4</v>
      </c>
      <c r="U606" s="25" t="n">
        <f aca="false">M606-T606</f>
        <v>0</v>
      </c>
      <c r="V606" s="25" t="n">
        <f aca="false">M606+N606</f>
        <v>238.54</v>
      </c>
      <c r="W606" s="25" t="n">
        <f aca="false">O606-V606</f>
        <v>0</v>
      </c>
      <c r="X606" s="22" t="str">
        <f aca="false">IF(OR(ABS(S606)&gt;0.005,ABS(U606)&gt;0.005,ABS(W606)&gt;0.005),"Subledger arithmetic error","OK")</f>
        <v>OK</v>
      </c>
      <c r="Y606" s="22" t="str">
        <f aca="false">IF(X606="OK","","Priority 3")</f>
        <v/>
      </c>
    </row>
    <row r="607" customFormat="false" ht="15" hidden="false" customHeight="false" outlineLevel="0" collapsed="false">
      <c r="A607" s="22" t="s">
        <v>12617</v>
      </c>
      <c r="B607" s="23" t="n">
        <v>46235</v>
      </c>
      <c r="C607" s="22" t="s">
        <v>12618</v>
      </c>
      <c r="D607" s="22" t="s">
        <v>3526</v>
      </c>
      <c r="E607" s="22" t="s">
        <v>7916</v>
      </c>
      <c r="F607" s="22" t="s">
        <v>215</v>
      </c>
      <c r="G607" s="22" t="s">
        <v>8601</v>
      </c>
      <c r="H607" s="22" t="s">
        <v>11406</v>
      </c>
      <c r="I607" s="22" t="n">
        <v>51</v>
      </c>
      <c r="J607" s="22" t="n">
        <v>1</v>
      </c>
      <c r="K607" s="22" t="n">
        <v>51</v>
      </c>
      <c r="L607" s="25" t="n">
        <v>7.55</v>
      </c>
      <c r="M607" s="25" t="n">
        <v>385.05</v>
      </c>
      <c r="N607" s="25" t="n">
        <v>49.44</v>
      </c>
      <c r="O607" s="25" t="n">
        <v>434.49</v>
      </c>
      <c r="P607" s="22" t="s">
        <v>11407</v>
      </c>
      <c r="Q607" s="23" t="n">
        <v>46249</v>
      </c>
      <c r="R607" s="22" t="n">
        <f aca="false">I607*J607</f>
        <v>51</v>
      </c>
      <c r="S607" s="25" t="n">
        <f aca="false">K607-R607</f>
        <v>0</v>
      </c>
      <c r="T607" s="25" t="n">
        <f aca="false">K607*L607</f>
        <v>385.05</v>
      </c>
      <c r="U607" s="25" t="n">
        <f aca="false">M607-T607</f>
        <v>0</v>
      </c>
      <c r="V607" s="25" t="n">
        <f aca="false">M607+N607</f>
        <v>434.49</v>
      </c>
      <c r="W607" s="25" t="n">
        <f aca="false">O607-V607</f>
        <v>0</v>
      </c>
      <c r="X607" s="22" t="str">
        <f aca="false">IF(OR(ABS(S607)&gt;0.005,ABS(U607)&gt;0.005,ABS(W607)&gt;0.005),"Subledger arithmetic error","OK")</f>
        <v>OK</v>
      </c>
      <c r="Y607" s="22" t="str">
        <f aca="false">IF(X607="OK","","Priority 3")</f>
        <v/>
      </c>
    </row>
    <row r="608" customFormat="false" ht="15" hidden="false" customHeight="false" outlineLevel="0" collapsed="false">
      <c r="A608" s="22" t="s">
        <v>12619</v>
      </c>
      <c r="B608" s="23" t="n">
        <v>46235</v>
      </c>
      <c r="C608" s="22" t="s">
        <v>12620</v>
      </c>
      <c r="D608" s="22" t="s">
        <v>6192</v>
      </c>
      <c r="E608" s="22" t="s">
        <v>7917</v>
      </c>
      <c r="F608" s="22" t="s">
        <v>215</v>
      </c>
      <c r="G608" s="22" t="s">
        <v>8601</v>
      </c>
      <c r="H608" s="22" t="s">
        <v>11406</v>
      </c>
      <c r="I608" s="22" t="n">
        <v>33</v>
      </c>
      <c r="J608" s="22" t="n">
        <v>1</v>
      </c>
      <c r="K608" s="22" t="n">
        <v>33</v>
      </c>
      <c r="L608" s="25" t="n">
        <v>7.55</v>
      </c>
      <c r="M608" s="25" t="n">
        <v>249.15</v>
      </c>
      <c r="N608" s="25" t="n">
        <v>31.99</v>
      </c>
      <c r="O608" s="25" t="n">
        <v>281.14</v>
      </c>
      <c r="P608" s="22" t="s">
        <v>11407</v>
      </c>
      <c r="Q608" s="23" t="n">
        <v>46249</v>
      </c>
      <c r="R608" s="22" t="n">
        <f aca="false">I608*J608</f>
        <v>33</v>
      </c>
      <c r="S608" s="25" t="n">
        <f aca="false">K608-R608</f>
        <v>0</v>
      </c>
      <c r="T608" s="25" t="n">
        <f aca="false">K608*L608</f>
        <v>249.15</v>
      </c>
      <c r="U608" s="25" t="n">
        <f aca="false">M608-T608</f>
        <v>0</v>
      </c>
      <c r="V608" s="25" t="n">
        <f aca="false">M608+N608</f>
        <v>281.14</v>
      </c>
      <c r="W608" s="25" t="n">
        <f aca="false">O608-V608</f>
        <v>0</v>
      </c>
      <c r="X608" s="22" t="str">
        <f aca="false">IF(OR(ABS(S608)&gt;0.005,ABS(U608)&gt;0.005,ABS(W608)&gt;0.005),"Subledger arithmetic error","OK")</f>
        <v>OK</v>
      </c>
      <c r="Y608" s="22" t="str">
        <f aca="false">IF(X608="OK","","Priority 3")</f>
        <v/>
      </c>
    </row>
    <row r="609" customFormat="false" ht="15" hidden="false" customHeight="false" outlineLevel="0" collapsed="false">
      <c r="A609" s="22" t="s">
        <v>12621</v>
      </c>
      <c r="B609" s="23" t="n">
        <v>46235</v>
      </c>
      <c r="C609" s="22" t="s">
        <v>12622</v>
      </c>
      <c r="D609" s="22" t="s">
        <v>6459</v>
      </c>
      <c r="E609" s="22" t="s">
        <v>7918</v>
      </c>
      <c r="F609" s="22" t="s">
        <v>215</v>
      </c>
      <c r="G609" s="22" t="s">
        <v>8601</v>
      </c>
      <c r="H609" s="22" t="s">
        <v>11406</v>
      </c>
      <c r="I609" s="22" t="n">
        <v>60</v>
      </c>
      <c r="J609" s="22" t="n">
        <v>1</v>
      </c>
      <c r="K609" s="22" t="n">
        <v>60</v>
      </c>
      <c r="L609" s="25" t="n">
        <v>7.55</v>
      </c>
      <c r="M609" s="25" t="n">
        <v>453</v>
      </c>
      <c r="N609" s="25" t="n">
        <v>58.17</v>
      </c>
      <c r="O609" s="25" t="n">
        <v>511.17</v>
      </c>
      <c r="P609" s="22" t="s">
        <v>11407</v>
      </c>
      <c r="Q609" s="23" t="n">
        <v>46249</v>
      </c>
      <c r="R609" s="22" t="n">
        <f aca="false">I609*J609</f>
        <v>60</v>
      </c>
      <c r="S609" s="25" t="n">
        <f aca="false">K609-R609</f>
        <v>0</v>
      </c>
      <c r="T609" s="25" t="n">
        <f aca="false">K609*L609</f>
        <v>453</v>
      </c>
      <c r="U609" s="25" t="n">
        <f aca="false">M609-T609</f>
        <v>0</v>
      </c>
      <c r="V609" s="25" t="n">
        <f aca="false">M609+N609</f>
        <v>511.17</v>
      </c>
      <c r="W609" s="25" t="n">
        <f aca="false">O609-V609</f>
        <v>0</v>
      </c>
      <c r="X609" s="22" t="str">
        <f aca="false">IF(OR(ABS(S609)&gt;0.005,ABS(U609)&gt;0.005,ABS(W609)&gt;0.005),"Subledger arithmetic error","OK")</f>
        <v>OK</v>
      </c>
      <c r="Y609" s="22" t="str">
        <f aca="false">IF(X609="OK","","Priority 3")</f>
        <v/>
      </c>
    </row>
    <row r="610" customFormat="false" ht="15" hidden="false" customHeight="false" outlineLevel="0" collapsed="false">
      <c r="A610" s="22" t="s">
        <v>12623</v>
      </c>
      <c r="B610" s="23" t="n">
        <v>46235</v>
      </c>
      <c r="C610" s="22" t="s">
        <v>12624</v>
      </c>
      <c r="D610" s="22" t="s">
        <v>2982</v>
      </c>
      <c r="E610" s="22" t="s">
        <v>7919</v>
      </c>
      <c r="F610" s="22" t="s">
        <v>215</v>
      </c>
      <c r="G610" s="22" t="s">
        <v>8601</v>
      </c>
      <c r="H610" s="22" t="s">
        <v>11406</v>
      </c>
      <c r="I610" s="22" t="n">
        <v>50</v>
      </c>
      <c r="J610" s="22" t="n">
        <v>1</v>
      </c>
      <c r="K610" s="22" t="n">
        <v>50</v>
      </c>
      <c r="L610" s="25" t="n">
        <v>7.55</v>
      </c>
      <c r="M610" s="25" t="n">
        <v>377.5</v>
      </c>
      <c r="N610" s="25" t="n">
        <v>48.47</v>
      </c>
      <c r="O610" s="25" t="n">
        <v>425.97</v>
      </c>
      <c r="P610" s="22" t="s">
        <v>11407</v>
      </c>
      <c r="Q610" s="23" t="n">
        <v>46249</v>
      </c>
      <c r="R610" s="22" t="n">
        <f aca="false">I610*J610</f>
        <v>50</v>
      </c>
      <c r="S610" s="25" t="n">
        <f aca="false">K610-R610</f>
        <v>0</v>
      </c>
      <c r="T610" s="25" t="n">
        <f aca="false">K610*L610</f>
        <v>377.5</v>
      </c>
      <c r="U610" s="25" t="n">
        <f aca="false">M610-T610</f>
        <v>0</v>
      </c>
      <c r="V610" s="25" t="n">
        <f aca="false">M610+N610</f>
        <v>425.97</v>
      </c>
      <c r="W610" s="25" t="n">
        <f aca="false">O610-V610</f>
        <v>0</v>
      </c>
      <c r="X610" s="22" t="str">
        <f aca="false">IF(OR(ABS(S610)&gt;0.005,ABS(U610)&gt;0.005,ABS(W610)&gt;0.005),"Subledger arithmetic error","OK")</f>
        <v>OK</v>
      </c>
      <c r="Y610" s="22" t="str">
        <f aca="false">IF(X610="OK","","Priority 3")</f>
        <v/>
      </c>
    </row>
    <row r="611" customFormat="false" ht="15" hidden="false" customHeight="false" outlineLevel="0" collapsed="false">
      <c r="A611" s="22" t="s">
        <v>12625</v>
      </c>
      <c r="B611" s="23" t="n">
        <v>46235</v>
      </c>
      <c r="C611" s="22" t="s">
        <v>12626</v>
      </c>
      <c r="D611" s="22" t="s">
        <v>3253</v>
      </c>
      <c r="E611" s="22" t="s">
        <v>7921</v>
      </c>
      <c r="F611" s="22" t="s">
        <v>215</v>
      </c>
      <c r="G611" s="22" t="s">
        <v>8601</v>
      </c>
      <c r="H611" s="22" t="s">
        <v>11406</v>
      </c>
      <c r="I611" s="22" t="n">
        <v>28</v>
      </c>
      <c r="J611" s="22" t="n">
        <v>1</v>
      </c>
      <c r="K611" s="22" t="n">
        <v>28</v>
      </c>
      <c r="L611" s="25" t="n">
        <v>7.55</v>
      </c>
      <c r="M611" s="25" t="n">
        <v>211.4</v>
      </c>
      <c r="N611" s="25" t="n">
        <v>27.14</v>
      </c>
      <c r="O611" s="25" t="n">
        <v>238.54</v>
      </c>
      <c r="P611" s="22" t="s">
        <v>11410</v>
      </c>
      <c r="Q611" s="23" t="n">
        <v>46249</v>
      </c>
      <c r="R611" s="22" t="n">
        <f aca="false">I611*J611</f>
        <v>28</v>
      </c>
      <c r="S611" s="25" t="n">
        <f aca="false">K611-R611</f>
        <v>0</v>
      </c>
      <c r="T611" s="25" t="n">
        <f aca="false">K611*L611</f>
        <v>211.4</v>
      </c>
      <c r="U611" s="25" t="n">
        <f aca="false">M611-T611</f>
        <v>0</v>
      </c>
      <c r="V611" s="25" t="n">
        <f aca="false">M611+N611</f>
        <v>238.54</v>
      </c>
      <c r="W611" s="25" t="n">
        <f aca="false">O611-V611</f>
        <v>0</v>
      </c>
      <c r="X611" s="22" t="str">
        <f aca="false">IF(OR(ABS(S611)&gt;0.005,ABS(U611)&gt;0.005,ABS(W611)&gt;0.005),"Subledger arithmetic error","OK")</f>
        <v>OK</v>
      </c>
      <c r="Y611" s="22" t="str">
        <f aca="false">IF(X611="OK","","Priority 3")</f>
        <v/>
      </c>
    </row>
    <row r="612" customFormat="false" ht="15" hidden="false" customHeight="false" outlineLevel="0" collapsed="false">
      <c r="A612" s="22" t="s">
        <v>12627</v>
      </c>
      <c r="B612" s="23" t="n">
        <v>46235</v>
      </c>
      <c r="C612" s="22" t="s">
        <v>12628</v>
      </c>
      <c r="D612" s="22" t="s">
        <v>3510</v>
      </c>
      <c r="E612" s="22" t="s">
        <v>7922</v>
      </c>
      <c r="F612" s="22" t="s">
        <v>215</v>
      </c>
      <c r="G612" s="22" t="s">
        <v>8601</v>
      </c>
      <c r="H612" s="22" t="s">
        <v>11406</v>
      </c>
      <c r="I612" s="22" t="n">
        <v>40</v>
      </c>
      <c r="J612" s="22" t="n">
        <v>1</v>
      </c>
      <c r="K612" s="22" t="n">
        <v>40</v>
      </c>
      <c r="L612" s="25" t="n">
        <v>7.55</v>
      </c>
      <c r="M612" s="25" t="n">
        <v>302</v>
      </c>
      <c r="N612" s="25" t="n">
        <v>38.78</v>
      </c>
      <c r="O612" s="25" t="n">
        <v>340.78</v>
      </c>
      <c r="P612" s="22" t="s">
        <v>11410</v>
      </c>
      <c r="Q612" s="23" t="n">
        <v>46249</v>
      </c>
      <c r="R612" s="22" t="n">
        <f aca="false">I612*J612</f>
        <v>40</v>
      </c>
      <c r="S612" s="25" t="n">
        <f aca="false">K612-R612</f>
        <v>0</v>
      </c>
      <c r="T612" s="25" t="n">
        <f aca="false">K612*L612</f>
        <v>302</v>
      </c>
      <c r="U612" s="25" t="n">
        <f aca="false">M612-T612</f>
        <v>0</v>
      </c>
      <c r="V612" s="25" t="n">
        <f aca="false">M612+N612</f>
        <v>340.78</v>
      </c>
      <c r="W612" s="25" t="n">
        <f aca="false">O612-V612</f>
        <v>0</v>
      </c>
      <c r="X612" s="22" t="str">
        <f aca="false">IF(OR(ABS(S612)&gt;0.005,ABS(U612)&gt;0.005,ABS(W612)&gt;0.005),"Subledger arithmetic error","OK")</f>
        <v>OK</v>
      </c>
      <c r="Y612" s="22" t="str">
        <f aca="false">IF(X612="OK","","Priority 3")</f>
        <v/>
      </c>
    </row>
    <row r="613" customFormat="false" ht="15" hidden="false" customHeight="false" outlineLevel="0" collapsed="false">
      <c r="A613" s="22" t="s">
        <v>12629</v>
      </c>
      <c r="B613" s="23" t="n">
        <v>46235</v>
      </c>
      <c r="C613" s="22" t="s">
        <v>12630</v>
      </c>
      <c r="D613" s="22" t="s">
        <v>624</v>
      </c>
      <c r="E613" s="22" t="s">
        <v>7924</v>
      </c>
      <c r="F613" s="22" t="s">
        <v>215</v>
      </c>
      <c r="G613" s="22" t="s">
        <v>8601</v>
      </c>
      <c r="H613" s="22" t="s">
        <v>11406</v>
      </c>
      <c r="I613" s="22" t="n">
        <v>60</v>
      </c>
      <c r="J613" s="22" t="n">
        <v>1</v>
      </c>
      <c r="K613" s="22" t="n">
        <v>60</v>
      </c>
      <c r="L613" s="25" t="n">
        <v>7.55</v>
      </c>
      <c r="M613" s="25" t="n">
        <v>453</v>
      </c>
      <c r="N613" s="25" t="n">
        <v>58.17</v>
      </c>
      <c r="O613" s="25" t="n">
        <v>511.17</v>
      </c>
      <c r="P613" s="22" t="s">
        <v>11407</v>
      </c>
      <c r="Q613" s="23" t="n">
        <v>46249</v>
      </c>
      <c r="R613" s="22" t="n">
        <f aca="false">I613*J613</f>
        <v>60</v>
      </c>
      <c r="S613" s="25" t="n">
        <f aca="false">K613-R613</f>
        <v>0</v>
      </c>
      <c r="T613" s="25" t="n">
        <f aca="false">K613*L613</f>
        <v>453</v>
      </c>
      <c r="U613" s="25" t="n">
        <f aca="false">M613-T613</f>
        <v>0</v>
      </c>
      <c r="V613" s="25" t="n">
        <f aca="false">M613+N613</f>
        <v>511.17</v>
      </c>
      <c r="W613" s="25" t="n">
        <f aca="false">O613-V613</f>
        <v>0</v>
      </c>
      <c r="X613" s="22" t="str">
        <f aca="false">IF(OR(ABS(S613)&gt;0.005,ABS(U613)&gt;0.005,ABS(W613)&gt;0.005),"Subledger arithmetic error","OK")</f>
        <v>OK</v>
      </c>
      <c r="Y613" s="22" t="str">
        <f aca="false">IF(X613="OK","","Priority 3")</f>
        <v/>
      </c>
    </row>
    <row r="614" customFormat="false" ht="15" hidden="false" customHeight="false" outlineLevel="0" collapsed="false">
      <c r="A614" s="22" t="s">
        <v>12631</v>
      </c>
      <c r="B614" s="23" t="n">
        <v>46235</v>
      </c>
      <c r="C614" s="22" t="s">
        <v>12632</v>
      </c>
      <c r="D614" s="22" t="s">
        <v>4320</v>
      </c>
      <c r="E614" s="22" t="s">
        <v>7925</v>
      </c>
      <c r="F614" s="22" t="s">
        <v>215</v>
      </c>
      <c r="G614" s="22" t="s">
        <v>8601</v>
      </c>
      <c r="H614" s="22" t="s">
        <v>11406</v>
      </c>
      <c r="I614" s="22" t="n">
        <v>52</v>
      </c>
      <c r="J614" s="22" t="n">
        <v>1</v>
      </c>
      <c r="K614" s="22" t="n">
        <v>52</v>
      </c>
      <c r="L614" s="25" t="n">
        <v>7.55</v>
      </c>
      <c r="M614" s="25" t="n">
        <v>392.6</v>
      </c>
      <c r="N614" s="25" t="n">
        <v>50.41</v>
      </c>
      <c r="O614" s="25" t="n">
        <v>443.01</v>
      </c>
      <c r="P614" s="22" t="s">
        <v>11407</v>
      </c>
      <c r="Q614" s="23" t="n">
        <v>46249</v>
      </c>
      <c r="R614" s="22" t="n">
        <f aca="false">I614*J614</f>
        <v>52</v>
      </c>
      <c r="S614" s="25" t="n">
        <f aca="false">K614-R614</f>
        <v>0</v>
      </c>
      <c r="T614" s="25" t="n">
        <f aca="false">K614*L614</f>
        <v>392.6</v>
      </c>
      <c r="U614" s="25" t="n">
        <f aca="false">M614-T614</f>
        <v>0</v>
      </c>
      <c r="V614" s="25" t="n">
        <f aca="false">M614+N614</f>
        <v>443.01</v>
      </c>
      <c r="W614" s="25" t="n">
        <f aca="false">O614-V614</f>
        <v>0</v>
      </c>
      <c r="X614" s="22" t="str">
        <f aca="false">IF(OR(ABS(S614)&gt;0.005,ABS(U614)&gt;0.005,ABS(W614)&gt;0.005),"Subledger arithmetic error","OK")</f>
        <v>OK</v>
      </c>
      <c r="Y614" s="22" t="str">
        <f aca="false">IF(X614="OK","","Priority 3")</f>
        <v/>
      </c>
    </row>
    <row r="615" customFormat="false" ht="15" hidden="false" customHeight="false" outlineLevel="0" collapsed="false">
      <c r="A615" s="22" t="s">
        <v>12633</v>
      </c>
      <c r="B615" s="23" t="n">
        <v>46235</v>
      </c>
      <c r="C615" s="22" t="s">
        <v>12634</v>
      </c>
      <c r="D615" s="22" t="s">
        <v>6011</v>
      </c>
      <c r="E615" s="22" t="s">
        <v>7926</v>
      </c>
      <c r="F615" s="22" t="s">
        <v>215</v>
      </c>
      <c r="G615" s="22" t="s">
        <v>8601</v>
      </c>
      <c r="H615" s="22" t="s">
        <v>11406</v>
      </c>
      <c r="I615" s="22" t="n">
        <v>40</v>
      </c>
      <c r="J615" s="22" t="n">
        <v>1</v>
      </c>
      <c r="K615" s="22" t="n">
        <v>40</v>
      </c>
      <c r="L615" s="25" t="n">
        <v>7.55</v>
      </c>
      <c r="M615" s="25" t="n">
        <v>302</v>
      </c>
      <c r="N615" s="25" t="n">
        <v>38.78</v>
      </c>
      <c r="O615" s="25" t="n">
        <v>340.78</v>
      </c>
      <c r="P615" s="22" t="s">
        <v>11407</v>
      </c>
      <c r="Q615" s="23" t="n">
        <v>46249</v>
      </c>
      <c r="R615" s="22" t="n">
        <f aca="false">I615*J615</f>
        <v>40</v>
      </c>
      <c r="S615" s="25" t="n">
        <f aca="false">K615-R615</f>
        <v>0</v>
      </c>
      <c r="T615" s="25" t="n">
        <f aca="false">K615*L615</f>
        <v>302</v>
      </c>
      <c r="U615" s="25" t="n">
        <f aca="false">M615-T615</f>
        <v>0</v>
      </c>
      <c r="V615" s="25" t="n">
        <f aca="false">M615+N615</f>
        <v>340.78</v>
      </c>
      <c r="W615" s="25" t="n">
        <f aca="false">O615-V615</f>
        <v>0</v>
      </c>
      <c r="X615" s="22" t="str">
        <f aca="false">IF(OR(ABS(S615)&gt;0.005,ABS(U615)&gt;0.005,ABS(W615)&gt;0.005),"Subledger arithmetic error","OK")</f>
        <v>OK</v>
      </c>
      <c r="Y615" s="22" t="str">
        <f aca="false">IF(X615="OK","","Priority 3")</f>
        <v/>
      </c>
    </row>
    <row r="616" customFormat="false" ht="15" hidden="false" customHeight="false" outlineLevel="0" collapsed="false">
      <c r="A616" s="22" t="s">
        <v>12635</v>
      </c>
      <c r="B616" s="23" t="n">
        <v>46235</v>
      </c>
      <c r="C616" s="22" t="s">
        <v>12636</v>
      </c>
      <c r="D616" s="22" t="s">
        <v>1874</v>
      </c>
      <c r="E616" s="22" t="s">
        <v>7927</v>
      </c>
      <c r="F616" s="22" t="s">
        <v>215</v>
      </c>
      <c r="G616" s="22" t="s">
        <v>8601</v>
      </c>
      <c r="H616" s="22" t="s">
        <v>11406</v>
      </c>
      <c r="I616" s="22" t="n">
        <v>47</v>
      </c>
      <c r="J616" s="22" t="n">
        <v>1</v>
      </c>
      <c r="K616" s="22" t="n">
        <v>47</v>
      </c>
      <c r="L616" s="25" t="n">
        <v>7.55</v>
      </c>
      <c r="M616" s="25" t="n">
        <v>354.85</v>
      </c>
      <c r="N616" s="25" t="n">
        <v>45.56</v>
      </c>
      <c r="O616" s="25" t="n">
        <v>400.41</v>
      </c>
      <c r="P616" s="22" t="s">
        <v>7696</v>
      </c>
      <c r="Q616" s="23" t="n">
        <v>46249</v>
      </c>
      <c r="R616" s="22" t="n">
        <f aca="false">I616*J616</f>
        <v>47</v>
      </c>
      <c r="S616" s="25" t="n">
        <f aca="false">K616-R616</f>
        <v>0</v>
      </c>
      <c r="T616" s="25" t="n">
        <f aca="false">K616*L616</f>
        <v>354.85</v>
      </c>
      <c r="U616" s="25" t="n">
        <f aca="false">M616-T616</f>
        <v>0</v>
      </c>
      <c r="V616" s="25" t="n">
        <f aca="false">M616+N616</f>
        <v>400.41</v>
      </c>
      <c r="W616" s="25" t="n">
        <f aca="false">O616-V616</f>
        <v>0</v>
      </c>
      <c r="X616" s="22" t="str">
        <f aca="false">IF(OR(ABS(S616)&gt;0.005,ABS(U616)&gt;0.005,ABS(W616)&gt;0.005),"Subledger arithmetic error","OK")</f>
        <v>OK</v>
      </c>
      <c r="Y616" s="22" t="str">
        <f aca="false">IF(X616="OK","","Priority 3")</f>
        <v/>
      </c>
    </row>
    <row r="617" customFormat="false" ht="15" hidden="false" customHeight="false" outlineLevel="0" collapsed="false">
      <c r="A617" s="22" t="s">
        <v>12637</v>
      </c>
      <c r="B617" s="23" t="n">
        <v>46235</v>
      </c>
      <c r="C617" s="22" t="s">
        <v>12638</v>
      </c>
      <c r="D617" s="22" t="s">
        <v>4633</v>
      </c>
      <c r="E617" s="22" t="s">
        <v>7928</v>
      </c>
      <c r="F617" s="22" t="s">
        <v>215</v>
      </c>
      <c r="G617" s="22" t="s">
        <v>8601</v>
      </c>
      <c r="H617" s="22" t="s">
        <v>11406</v>
      </c>
      <c r="I617" s="22" t="n">
        <v>55</v>
      </c>
      <c r="J617" s="22" t="n">
        <v>1</v>
      </c>
      <c r="K617" s="22" t="n">
        <v>55</v>
      </c>
      <c r="L617" s="25" t="n">
        <v>7.55</v>
      </c>
      <c r="M617" s="25" t="n">
        <v>415.25</v>
      </c>
      <c r="N617" s="25" t="n">
        <v>53.32</v>
      </c>
      <c r="O617" s="25" t="n">
        <v>468.57</v>
      </c>
      <c r="P617" s="22" t="s">
        <v>11407</v>
      </c>
      <c r="Q617" s="23" t="n">
        <v>46249</v>
      </c>
      <c r="R617" s="22" t="n">
        <f aca="false">I617*J617</f>
        <v>55</v>
      </c>
      <c r="S617" s="25" t="n">
        <f aca="false">K617-R617</f>
        <v>0</v>
      </c>
      <c r="T617" s="25" t="n">
        <f aca="false">K617*L617</f>
        <v>415.25</v>
      </c>
      <c r="U617" s="25" t="n">
        <f aca="false">M617-T617</f>
        <v>0</v>
      </c>
      <c r="V617" s="25" t="n">
        <f aca="false">M617+N617</f>
        <v>468.57</v>
      </c>
      <c r="W617" s="25" t="n">
        <f aca="false">O617-V617</f>
        <v>0</v>
      </c>
      <c r="X617" s="22" t="str">
        <f aca="false">IF(OR(ABS(S617)&gt;0.005,ABS(U617)&gt;0.005,ABS(W617)&gt;0.005),"Subledger arithmetic error","OK")</f>
        <v>OK</v>
      </c>
      <c r="Y617" s="22" t="str">
        <f aca="false">IF(X617="OK","","Priority 3")</f>
        <v/>
      </c>
    </row>
    <row r="618" customFormat="false" ht="15" hidden="false" customHeight="false" outlineLevel="0" collapsed="false">
      <c r="A618" s="22" t="s">
        <v>12639</v>
      </c>
      <c r="B618" s="23" t="n">
        <v>46235</v>
      </c>
      <c r="C618" s="22" t="s">
        <v>12640</v>
      </c>
      <c r="D618" s="22" t="s">
        <v>5393</v>
      </c>
      <c r="E618" s="22" t="s">
        <v>7929</v>
      </c>
      <c r="F618" s="22" t="s">
        <v>215</v>
      </c>
      <c r="G618" s="22" t="s">
        <v>8601</v>
      </c>
      <c r="H618" s="22" t="s">
        <v>11406</v>
      </c>
      <c r="I618" s="22" t="n">
        <v>54</v>
      </c>
      <c r="J618" s="22" t="n">
        <v>1</v>
      </c>
      <c r="K618" s="22" t="n">
        <v>54</v>
      </c>
      <c r="L618" s="25" t="n">
        <v>7.55</v>
      </c>
      <c r="M618" s="25" t="n">
        <v>407.7</v>
      </c>
      <c r="N618" s="25" t="n">
        <v>52.35</v>
      </c>
      <c r="O618" s="25" t="n">
        <v>460.05</v>
      </c>
      <c r="P618" s="22" t="s">
        <v>11407</v>
      </c>
      <c r="Q618" s="23" t="n">
        <v>46249</v>
      </c>
      <c r="R618" s="22" t="n">
        <f aca="false">I618*J618</f>
        <v>54</v>
      </c>
      <c r="S618" s="25" t="n">
        <f aca="false">K618-R618</f>
        <v>0</v>
      </c>
      <c r="T618" s="25" t="n">
        <f aca="false">K618*L618</f>
        <v>407.7</v>
      </c>
      <c r="U618" s="25" t="n">
        <f aca="false">M618-T618</f>
        <v>0</v>
      </c>
      <c r="V618" s="25" t="n">
        <f aca="false">M618+N618</f>
        <v>460.05</v>
      </c>
      <c r="W618" s="25" t="n">
        <f aca="false">O618-V618</f>
        <v>0</v>
      </c>
      <c r="X618" s="22" t="str">
        <f aca="false">IF(OR(ABS(S618)&gt;0.005,ABS(U618)&gt;0.005,ABS(W618)&gt;0.005),"Subledger arithmetic error","OK")</f>
        <v>OK</v>
      </c>
      <c r="Y618" s="22" t="str">
        <f aca="false">IF(X618="OK","","Priority 3")</f>
        <v/>
      </c>
    </row>
    <row r="619" customFormat="false" ht="15" hidden="false" customHeight="false" outlineLevel="0" collapsed="false">
      <c r="A619" s="22" t="s">
        <v>12641</v>
      </c>
      <c r="B619" s="23" t="n">
        <v>46235</v>
      </c>
      <c r="C619" s="22" t="s">
        <v>12642</v>
      </c>
      <c r="D619" s="22" t="s">
        <v>2651</v>
      </c>
      <c r="E619" s="22" t="s">
        <v>7930</v>
      </c>
      <c r="F619" s="22" t="s">
        <v>215</v>
      </c>
      <c r="G619" s="22" t="s">
        <v>8601</v>
      </c>
      <c r="H619" s="22" t="s">
        <v>11406</v>
      </c>
      <c r="I619" s="22" t="n">
        <v>70</v>
      </c>
      <c r="J619" s="22" t="n">
        <v>1</v>
      </c>
      <c r="K619" s="22" t="n">
        <v>70</v>
      </c>
      <c r="L619" s="25" t="n">
        <v>7.55</v>
      </c>
      <c r="M619" s="25" t="n">
        <v>528.5</v>
      </c>
      <c r="N619" s="25" t="n">
        <v>67.86</v>
      </c>
      <c r="O619" s="25" t="n">
        <v>596.36</v>
      </c>
      <c r="P619" s="22" t="s">
        <v>11407</v>
      </c>
      <c r="Q619" s="23" t="n">
        <v>46249</v>
      </c>
      <c r="R619" s="22" t="n">
        <f aca="false">I619*J619</f>
        <v>70</v>
      </c>
      <c r="S619" s="25" t="n">
        <f aca="false">K619-R619</f>
        <v>0</v>
      </c>
      <c r="T619" s="25" t="n">
        <f aca="false">K619*L619</f>
        <v>528.5</v>
      </c>
      <c r="U619" s="25" t="n">
        <f aca="false">M619-T619</f>
        <v>0</v>
      </c>
      <c r="V619" s="25" t="n">
        <f aca="false">M619+N619</f>
        <v>596.36</v>
      </c>
      <c r="W619" s="25" t="n">
        <f aca="false">O619-V619</f>
        <v>0</v>
      </c>
      <c r="X619" s="22" t="str">
        <f aca="false">IF(OR(ABS(S619)&gt;0.005,ABS(U619)&gt;0.005,ABS(W619)&gt;0.005),"Subledger arithmetic error","OK")</f>
        <v>OK</v>
      </c>
      <c r="Y619" s="22" t="str">
        <f aca="false">IF(X619="OK","","Priority 3")</f>
        <v/>
      </c>
    </row>
    <row r="620" customFormat="false" ht="15" hidden="false" customHeight="false" outlineLevel="0" collapsed="false">
      <c r="A620" s="22" t="s">
        <v>12643</v>
      </c>
      <c r="B620" s="23" t="n">
        <v>46235</v>
      </c>
      <c r="C620" s="22" t="s">
        <v>12644</v>
      </c>
      <c r="D620" s="22" t="s">
        <v>2682</v>
      </c>
      <c r="E620" s="22" t="s">
        <v>7932</v>
      </c>
      <c r="F620" s="22" t="s">
        <v>215</v>
      </c>
      <c r="G620" s="22" t="s">
        <v>8601</v>
      </c>
      <c r="H620" s="22" t="s">
        <v>11406</v>
      </c>
      <c r="I620" s="22" t="n">
        <v>45</v>
      </c>
      <c r="J620" s="22" t="n">
        <v>1</v>
      </c>
      <c r="K620" s="22" t="n">
        <v>45</v>
      </c>
      <c r="L620" s="25" t="n">
        <v>7.55</v>
      </c>
      <c r="M620" s="25" t="n">
        <v>339.75</v>
      </c>
      <c r="N620" s="25" t="n">
        <v>43.62</v>
      </c>
      <c r="O620" s="25" t="n">
        <v>383.37</v>
      </c>
      <c r="P620" s="22" t="s">
        <v>11407</v>
      </c>
      <c r="Q620" s="23" t="n">
        <v>46249</v>
      </c>
      <c r="R620" s="22" t="n">
        <f aca="false">I620*J620</f>
        <v>45</v>
      </c>
      <c r="S620" s="25" t="n">
        <f aca="false">K620-R620</f>
        <v>0</v>
      </c>
      <c r="T620" s="25" t="n">
        <f aca="false">K620*L620</f>
        <v>339.75</v>
      </c>
      <c r="U620" s="25" t="n">
        <f aca="false">M620-T620</f>
        <v>0</v>
      </c>
      <c r="V620" s="25" t="n">
        <f aca="false">M620+N620</f>
        <v>383.37</v>
      </c>
      <c r="W620" s="25" t="n">
        <f aca="false">O620-V620</f>
        <v>0</v>
      </c>
      <c r="X620" s="22" t="str">
        <f aca="false">IF(OR(ABS(S620)&gt;0.005,ABS(U620)&gt;0.005,ABS(W620)&gt;0.005),"Subledger arithmetic error","OK")</f>
        <v>OK</v>
      </c>
      <c r="Y620" s="22" t="str">
        <f aca="false">IF(X620="OK","","Priority 3")</f>
        <v/>
      </c>
    </row>
    <row r="621" customFormat="false" ht="15" hidden="false" customHeight="false" outlineLevel="0" collapsed="false">
      <c r="A621" s="22" t="s">
        <v>12645</v>
      </c>
      <c r="B621" s="23" t="n">
        <v>46235</v>
      </c>
      <c r="C621" s="22" t="s">
        <v>12646</v>
      </c>
      <c r="D621" s="22" t="s">
        <v>6299</v>
      </c>
      <c r="E621" s="22" t="s">
        <v>7934</v>
      </c>
      <c r="F621" s="22" t="s">
        <v>215</v>
      </c>
      <c r="G621" s="22" t="s">
        <v>8601</v>
      </c>
      <c r="H621" s="22" t="s">
        <v>11406</v>
      </c>
      <c r="I621" s="22" t="n">
        <v>70</v>
      </c>
      <c r="J621" s="22" t="n">
        <v>1</v>
      </c>
      <c r="K621" s="22" t="n">
        <v>70</v>
      </c>
      <c r="L621" s="25" t="n">
        <v>7.55</v>
      </c>
      <c r="M621" s="25" t="n">
        <v>528.5</v>
      </c>
      <c r="N621" s="25" t="n">
        <v>67.86</v>
      </c>
      <c r="O621" s="25" t="n">
        <v>596.36</v>
      </c>
      <c r="P621" s="22" t="s">
        <v>11407</v>
      </c>
      <c r="Q621" s="23" t="n">
        <v>46249</v>
      </c>
      <c r="R621" s="22" t="n">
        <f aca="false">I621*J621</f>
        <v>70</v>
      </c>
      <c r="S621" s="25" t="n">
        <f aca="false">K621-R621</f>
        <v>0</v>
      </c>
      <c r="T621" s="25" t="n">
        <f aca="false">K621*L621</f>
        <v>528.5</v>
      </c>
      <c r="U621" s="25" t="n">
        <f aca="false">M621-T621</f>
        <v>0</v>
      </c>
      <c r="V621" s="25" t="n">
        <f aca="false">M621+N621</f>
        <v>596.36</v>
      </c>
      <c r="W621" s="25" t="n">
        <f aca="false">O621-V621</f>
        <v>0</v>
      </c>
      <c r="X621" s="22" t="str">
        <f aca="false">IF(OR(ABS(S621)&gt;0.005,ABS(U621)&gt;0.005,ABS(W621)&gt;0.005),"Subledger arithmetic error","OK")</f>
        <v>OK</v>
      </c>
      <c r="Y621" s="22" t="str">
        <f aca="false">IF(X621="OK","","Priority 3")</f>
        <v/>
      </c>
    </row>
    <row r="622" customFormat="false" ht="15" hidden="false" customHeight="false" outlineLevel="0" collapsed="false">
      <c r="A622" s="22" t="s">
        <v>12647</v>
      </c>
      <c r="B622" s="23" t="n">
        <v>46235</v>
      </c>
      <c r="C622" s="22" t="s">
        <v>12648</v>
      </c>
      <c r="D622" s="22" t="s">
        <v>5457</v>
      </c>
      <c r="E622" s="22" t="s">
        <v>7935</v>
      </c>
      <c r="F622" s="22" t="s">
        <v>215</v>
      </c>
      <c r="G622" s="22" t="s">
        <v>8601</v>
      </c>
      <c r="H622" s="22" t="s">
        <v>11406</v>
      </c>
      <c r="I622" s="22" t="n">
        <v>57</v>
      </c>
      <c r="J622" s="22" t="n">
        <v>1</v>
      </c>
      <c r="K622" s="22" t="n">
        <v>57</v>
      </c>
      <c r="L622" s="25" t="n">
        <v>7.55</v>
      </c>
      <c r="M622" s="25" t="n">
        <v>430.35</v>
      </c>
      <c r="N622" s="25" t="n">
        <v>55.26</v>
      </c>
      <c r="O622" s="25" t="n">
        <v>485.61</v>
      </c>
      <c r="P622" s="22" t="s">
        <v>11407</v>
      </c>
      <c r="Q622" s="23" t="n">
        <v>46249</v>
      </c>
      <c r="R622" s="22" t="n">
        <f aca="false">I622*J622</f>
        <v>57</v>
      </c>
      <c r="S622" s="25" t="n">
        <f aca="false">K622-R622</f>
        <v>0</v>
      </c>
      <c r="T622" s="25" t="n">
        <f aca="false">K622*L622</f>
        <v>430.35</v>
      </c>
      <c r="U622" s="25" t="n">
        <f aca="false">M622-T622</f>
        <v>0</v>
      </c>
      <c r="V622" s="25" t="n">
        <f aca="false">M622+N622</f>
        <v>485.61</v>
      </c>
      <c r="W622" s="25" t="n">
        <f aca="false">O622-V622</f>
        <v>0</v>
      </c>
      <c r="X622" s="22" t="str">
        <f aca="false">IF(OR(ABS(S622)&gt;0.005,ABS(U622)&gt;0.005,ABS(W622)&gt;0.005),"Subledger arithmetic error","OK")</f>
        <v>OK</v>
      </c>
      <c r="Y622" s="22" t="str">
        <f aca="false">IF(X622="OK","","Priority 3")</f>
        <v/>
      </c>
    </row>
    <row r="623" customFormat="false" ht="15" hidden="false" customHeight="false" outlineLevel="0" collapsed="false">
      <c r="A623" s="22" t="s">
        <v>12649</v>
      </c>
      <c r="B623" s="23" t="n">
        <v>46235</v>
      </c>
      <c r="C623" s="22" t="s">
        <v>12650</v>
      </c>
      <c r="D623" s="22" t="s">
        <v>6184</v>
      </c>
      <c r="E623" s="22" t="s">
        <v>7936</v>
      </c>
      <c r="F623" s="22" t="s">
        <v>215</v>
      </c>
      <c r="G623" s="22" t="s">
        <v>8601</v>
      </c>
      <c r="H623" s="22" t="s">
        <v>11406</v>
      </c>
      <c r="I623" s="22" t="n">
        <v>32</v>
      </c>
      <c r="J623" s="22" t="n">
        <v>1</v>
      </c>
      <c r="K623" s="22" t="n">
        <v>32</v>
      </c>
      <c r="L623" s="25" t="n">
        <v>7.55</v>
      </c>
      <c r="M623" s="25" t="n">
        <v>241.6</v>
      </c>
      <c r="N623" s="25" t="n">
        <v>31.02</v>
      </c>
      <c r="O623" s="25" t="n">
        <v>272.62</v>
      </c>
      <c r="P623" s="22" t="s">
        <v>11407</v>
      </c>
      <c r="Q623" s="23" t="n">
        <v>46249</v>
      </c>
      <c r="R623" s="22" t="n">
        <f aca="false">I623*J623</f>
        <v>32</v>
      </c>
      <c r="S623" s="25" t="n">
        <f aca="false">K623-R623</f>
        <v>0</v>
      </c>
      <c r="T623" s="25" t="n">
        <f aca="false">K623*L623</f>
        <v>241.6</v>
      </c>
      <c r="U623" s="25" t="n">
        <f aca="false">M623-T623</f>
        <v>0</v>
      </c>
      <c r="V623" s="25" t="n">
        <f aca="false">M623+N623</f>
        <v>272.62</v>
      </c>
      <c r="W623" s="25" t="n">
        <f aca="false">O623-V623</f>
        <v>0</v>
      </c>
      <c r="X623" s="22" t="str">
        <f aca="false">IF(OR(ABS(S623)&gt;0.005,ABS(U623)&gt;0.005,ABS(W623)&gt;0.005),"Subledger arithmetic error","OK")</f>
        <v>OK</v>
      </c>
      <c r="Y623" s="22" t="str">
        <f aca="false">IF(X623="OK","","Priority 3")</f>
        <v/>
      </c>
    </row>
    <row r="624" customFormat="false" ht="15" hidden="false" customHeight="false" outlineLevel="0" collapsed="false">
      <c r="A624" s="22" t="s">
        <v>12651</v>
      </c>
      <c r="B624" s="23" t="n">
        <v>46235</v>
      </c>
      <c r="C624" s="22" t="s">
        <v>12652</v>
      </c>
      <c r="D624" s="22" t="s">
        <v>1660</v>
      </c>
      <c r="E624" s="22" t="s">
        <v>7938</v>
      </c>
      <c r="F624" s="22" t="s">
        <v>215</v>
      </c>
      <c r="G624" s="22" t="s">
        <v>8601</v>
      </c>
      <c r="H624" s="22" t="s">
        <v>11406</v>
      </c>
      <c r="I624" s="22" t="n">
        <v>59</v>
      </c>
      <c r="J624" s="22" t="n">
        <v>1</v>
      </c>
      <c r="K624" s="22" t="n">
        <v>59</v>
      </c>
      <c r="L624" s="25" t="n">
        <v>7.55</v>
      </c>
      <c r="M624" s="25" t="n">
        <v>445.45</v>
      </c>
      <c r="N624" s="25" t="n">
        <v>57.2</v>
      </c>
      <c r="O624" s="25" t="n">
        <v>502.65</v>
      </c>
      <c r="P624" s="22" t="s">
        <v>11407</v>
      </c>
      <c r="Q624" s="23" t="n">
        <v>46249</v>
      </c>
      <c r="R624" s="22" t="n">
        <f aca="false">I624*J624</f>
        <v>59</v>
      </c>
      <c r="S624" s="25" t="n">
        <f aca="false">K624-R624</f>
        <v>0</v>
      </c>
      <c r="T624" s="25" t="n">
        <f aca="false">K624*L624</f>
        <v>445.45</v>
      </c>
      <c r="U624" s="25" t="n">
        <f aca="false">M624-T624</f>
        <v>0</v>
      </c>
      <c r="V624" s="25" t="n">
        <f aca="false">M624+N624</f>
        <v>502.65</v>
      </c>
      <c r="W624" s="25" t="n">
        <f aca="false">O624-V624</f>
        <v>0</v>
      </c>
      <c r="X624" s="22" t="str">
        <f aca="false">IF(OR(ABS(S624)&gt;0.005,ABS(U624)&gt;0.005,ABS(W624)&gt;0.005),"Subledger arithmetic error","OK")</f>
        <v>OK</v>
      </c>
      <c r="Y624" s="22" t="str">
        <f aca="false">IF(X624="OK","","Priority 3")</f>
        <v/>
      </c>
    </row>
    <row r="625" customFormat="false" ht="15" hidden="false" customHeight="false" outlineLevel="0" collapsed="false">
      <c r="A625" s="22" t="s">
        <v>12653</v>
      </c>
      <c r="B625" s="23" t="n">
        <v>46235</v>
      </c>
      <c r="C625" s="22" t="s">
        <v>12654</v>
      </c>
      <c r="D625" s="22" t="s">
        <v>1196</v>
      </c>
      <c r="E625" s="22" t="s">
        <v>7939</v>
      </c>
      <c r="F625" s="22" t="s">
        <v>215</v>
      </c>
      <c r="G625" s="22" t="s">
        <v>8601</v>
      </c>
      <c r="H625" s="22" t="s">
        <v>11406</v>
      </c>
      <c r="I625" s="22" t="n">
        <v>36</v>
      </c>
      <c r="J625" s="22" t="n">
        <v>1</v>
      </c>
      <c r="K625" s="22" t="n">
        <v>36</v>
      </c>
      <c r="L625" s="25" t="n">
        <v>7.55</v>
      </c>
      <c r="M625" s="25" t="n">
        <v>271.8</v>
      </c>
      <c r="N625" s="25" t="n">
        <v>34.9</v>
      </c>
      <c r="O625" s="25" t="n">
        <v>306.7</v>
      </c>
      <c r="P625" s="22" t="s">
        <v>11407</v>
      </c>
      <c r="Q625" s="23" t="n">
        <v>46249</v>
      </c>
      <c r="R625" s="22" t="n">
        <f aca="false">I625*J625</f>
        <v>36</v>
      </c>
      <c r="S625" s="25" t="n">
        <f aca="false">K625-R625</f>
        <v>0</v>
      </c>
      <c r="T625" s="25" t="n">
        <f aca="false">K625*L625</f>
        <v>271.8</v>
      </c>
      <c r="U625" s="25" t="n">
        <f aca="false">M625-T625</f>
        <v>0</v>
      </c>
      <c r="V625" s="25" t="n">
        <f aca="false">M625+N625</f>
        <v>306.7</v>
      </c>
      <c r="W625" s="25" t="n">
        <f aca="false">O625-V625</f>
        <v>0</v>
      </c>
      <c r="X625" s="22" t="str">
        <f aca="false">IF(OR(ABS(S625)&gt;0.005,ABS(U625)&gt;0.005,ABS(W625)&gt;0.005),"Subledger arithmetic error","OK")</f>
        <v>OK</v>
      </c>
      <c r="Y625" s="22" t="str">
        <f aca="false">IF(X625="OK","","Priority 3")</f>
        <v/>
      </c>
    </row>
    <row r="626" customFormat="false" ht="15" hidden="false" customHeight="false" outlineLevel="0" collapsed="false">
      <c r="A626" s="22" t="s">
        <v>12655</v>
      </c>
      <c r="B626" s="23" t="n">
        <v>46235</v>
      </c>
      <c r="C626" s="22" t="s">
        <v>12656</v>
      </c>
      <c r="D626" s="22" t="s">
        <v>5102</v>
      </c>
      <c r="E626" s="22" t="s">
        <v>7941</v>
      </c>
      <c r="F626" s="22" t="s">
        <v>215</v>
      </c>
      <c r="G626" s="22" t="s">
        <v>8601</v>
      </c>
      <c r="H626" s="22" t="s">
        <v>11406</v>
      </c>
      <c r="I626" s="22" t="n">
        <v>30</v>
      </c>
      <c r="J626" s="22" t="n">
        <v>1</v>
      </c>
      <c r="K626" s="22" t="n">
        <v>30</v>
      </c>
      <c r="L626" s="25" t="n">
        <v>7.55</v>
      </c>
      <c r="M626" s="25" t="n">
        <v>226.5</v>
      </c>
      <c r="N626" s="25" t="n">
        <v>29.08</v>
      </c>
      <c r="O626" s="25" t="n">
        <v>255.58</v>
      </c>
      <c r="P626" s="22" t="s">
        <v>11410</v>
      </c>
      <c r="Q626" s="23" t="n">
        <v>46249</v>
      </c>
      <c r="R626" s="22" t="n">
        <f aca="false">I626*J626</f>
        <v>30</v>
      </c>
      <c r="S626" s="25" t="n">
        <f aca="false">K626-R626</f>
        <v>0</v>
      </c>
      <c r="T626" s="25" t="n">
        <f aca="false">K626*L626</f>
        <v>226.5</v>
      </c>
      <c r="U626" s="25" t="n">
        <f aca="false">M626-T626</f>
        <v>0</v>
      </c>
      <c r="V626" s="25" t="n">
        <f aca="false">M626+N626</f>
        <v>255.58</v>
      </c>
      <c r="W626" s="25" t="n">
        <f aca="false">O626-V626</f>
        <v>0</v>
      </c>
      <c r="X626" s="22" t="str">
        <f aca="false">IF(OR(ABS(S626)&gt;0.005,ABS(U626)&gt;0.005,ABS(W626)&gt;0.005),"Subledger arithmetic error","OK")</f>
        <v>OK</v>
      </c>
      <c r="Y626" s="22" t="str">
        <f aca="false">IF(X626="OK","","Priority 3")</f>
        <v/>
      </c>
    </row>
    <row r="627" customFormat="false" ht="15" hidden="false" customHeight="false" outlineLevel="0" collapsed="false">
      <c r="A627" s="22" t="s">
        <v>12657</v>
      </c>
      <c r="B627" s="23" t="n">
        <v>46235</v>
      </c>
      <c r="C627" s="22" t="s">
        <v>12658</v>
      </c>
      <c r="D627" s="22" t="s">
        <v>3321</v>
      </c>
      <c r="E627" s="22" t="s">
        <v>7943</v>
      </c>
      <c r="F627" s="22" t="s">
        <v>215</v>
      </c>
      <c r="G627" s="22" t="s">
        <v>8601</v>
      </c>
      <c r="H627" s="22" t="s">
        <v>11406</v>
      </c>
      <c r="I627" s="22" t="n">
        <v>80</v>
      </c>
      <c r="J627" s="22" t="n">
        <v>1</v>
      </c>
      <c r="K627" s="22" t="n">
        <v>80</v>
      </c>
      <c r="L627" s="25" t="n">
        <v>7.55</v>
      </c>
      <c r="M627" s="25" t="n">
        <v>604</v>
      </c>
      <c r="N627" s="25" t="n">
        <v>77.55</v>
      </c>
      <c r="O627" s="25" t="n">
        <v>681.55</v>
      </c>
      <c r="P627" s="22" t="s">
        <v>11407</v>
      </c>
      <c r="Q627" s="23" t="n">
        <v>46249</v>
      </c>
      <c r="R627" s="22" t="n">
        <f aca="false">I627*J627</f>
        <v>80</v>
      </c>
      <c r="S627" s="25" t="n">
        <f aca="false">K627-R627</f>
        <v>0</v>
      </c>
      <c r="T627" s="25" t="n">
        <f aca="false">K627*L627</f>
        <v>604</v>
      </c>
      <c r="U627" s="25" t="n">
        <f aca="false">M627-T627</f>
        <v>0</v>
      </c>
      <c r="V627" s="25" t="n">
        <f aca="false">M627+N627</f>
        <v>681.55</v>
      </c>
      <c r="W627" s="25" t="n">
        <f aca="false">O627-V627</f>
        <v>0</v>
      </c>
      <c r="X627" s="22" t="str">
        <f aca="false">IF(OR(ABS(S627)&gt;0.005,ABS(U627)&gt;0.005,ABS(W627)&gt;0.005),"Subledger arithmetic error","OK")</f>
        <v>OK</v>
      </c>
      <c r="Y627" s="22" t="str">
        <f aca="false">IF(X627="OK","","Priority 3")</f>
        <v/>
      </c>
    </row>
    <row r="628" customFormat="false" ht="15" hidden="false" customHeight="false" outlineLevel="0" collapsed="false">
      <c r="A628" s="22" t="s">
        <v>12659</v>
      </c>
      <c r="B628" s="23" t="n">
        <v>46235</v>
      </c>
      <c r="C628" s="22" t="s">
        <v>12660</v>
      </c>
      <c r="D628" s="22" t="s">
        <v>3902</v>
      </c>
      <c r="E628" s="22" t="s">
        <v>7944</v>
      </c>
      <c r="F628" s="22" t="s">
        <v>215</v>
      </c>
      <c r="G628" s="22" t="s">
        <v>8601</v>
      </c>
      <c r="H628" s="22" t="s">
        <v>11406</v>
      </c>
      <c r="I628" s="22" t="n">
        <v>70</v>
      </c>
      <c r="J628" s="22" t="n">
        <v>1</v>
      </c>
      <c r="K628" s="22" t="n">
        <v>70</v>
      </c>
      <c r="L628" s="25" t="n">
        <v>7.55</v>
      </c>
      <c r="M628" s="25" t="n">
        <v>528.5</v>
      </c>
      <c r="N628" s="25" t="n">
        <v>67.86</v>
      </c>
      <c r="O628" s="25" t="n">
        <v>596.36</v>
      </c>
      <c r="P628" s="22" t="s">
        <v>11407</v>
      </c>
      <c r="Q628" s="23" t="n">
        <v>46249</v>
      </c>
      <c r="R628" s="22" t="n">
        <f aca="false">I628*J628</f>
        <v>70</v>
      </c>
      <c r="S628" s="25" t="n">
        <f aca="false">K628-R628</f>
        <v>0</v>
      </c>
      <c r="T628" s="25" t="n">
        <f aca="false">K628*L628</f>
        <v>528.5</v>
      </c>
      <c r="U628" s="25" t="n">
        <f aca="false">M628-T628</f>
        <v>0</v>
      </c>
      <c r="V628" s="25" t="n">
        <f aca="false">M628+N628</f>
        <v>596.36</v>
      </c>
      <c r="W628" s="25" t="n">
        <f aca="false">O628-V628</f>
        <v>0</v>
      </c>
      <c r="X628" s="22" t="str">
        <f aca="false">IF(OR(ABS(S628)&gt;0.005,ABS(U628)&gt;0.005,ABS(W628)&gt;0.005),"Subledger arithmetic error","OK")</f>
        <v>OK</v>
      </c>
      <c r="Y628" s="22" t="str">
        <f aca="false">IF(X628="OK","","Priority 3")</f>
        <v/>
      </c>
    </row>
    <row r="629" customFormat="false" ht="15" hidden="false" customHeight="false" outlineLevel="0" collapsed="false">
      <c r="A629" s="22" t="s">
        <v>12661</v>
      </c>
      <c r="B629" s="23" t="n">
        <v>46235</v>
      </c>
      <c r="C629" s="22" t="s">
        <v>12662</v>
      </c>
      <c r="D629" s="22" t="s">
        <v>5776</v>
      </c>
      <c r="E629" s="22" t="s">
        <v>7945</v>
      </c>
      <c r="F629" s="22" t="s">
        <v>215</v>
      </c>
      <c r="G629" s="22" t="s">
        <v>8601</v>
      </c>
      <c r="H629" s="22" t="s">
        <v>11406</v>
      </c>
      <c r="I629" s="22" t="n">
        <v>28</v>
      </c>
      <c r="J629" s="22" t="n">
        <v>1</v>
      </c>
      <c r="K629" s="22" t="n">
        <v>28</v>
      </c>
      <c r="L629" s="25" t="n">
        <v>7.55</v>
      </c>
      <c r="M629" s="25" t="n">
        <v>211.4</v>
      </c>
      <c r="N629" s="25" t="n">
        <v>27.14</v>
      </c>
      <c r="O629" s="25" t="n">
        <v>238.54</v>
      </c>
      <c r="P629" s="22" t="s">
        <v>11407</v>
      </c>
      <c r="Q629" s="23" t="n">
        <v>46249</v>
      </c>
      <c r="R629" s="22" t="n">
        <f aca="false">I629*J629</f>
        <v>28</v>
      </c>
      <c r="S629" s="25" t="n">
        <f aca="false">K629-R629</f>
        <v>0</v>
      </c>
      <c r="T629" s="25" t="n">
        <f aca="false">K629*L629</f>
        <v>211.4</v>
      </c>
      <c r="U629" s="25" t="n">
        <f aca="false">M629-T629</f>
        <v>0</v>
      </c>
      <c r="V629" s="25" t="n">
        <f aca="false">M629+N629</f>
        <v>238.54</v>
      </c>
      <c r="W629" s="25" t="n">
        <f aca="false">O629-V629</f>
        <v>0</v>
      </c>
      <c r="X629" s="22" t="str">
        <f aca="false">IF(OR(ABS(S629)&gt;0.005,ABS(U629)&gt;0.005,ABS(W629)&gt;0.005),"Subledger arithmetic error","OK")</f>
        <v>OK</v>
      </c>
      <c r="Y629" s="22" t="str">
        <f aca="false">IF(X629="OK","","Priority 3")</f>
        <v/>
      </c>
    </row>
    <row r="630" customFormat="false" ht="15" hidden="false" customHeight="false" outlineLevel="0" collapsed="false">
      <c r="A630" s="22" t="s">
        <v>12663</v>
      </c>
      <c r="B630" s="23" t="n">
        <v>46235</v>
      </c>
      <c r="C630" s="22" t="s">
        <v>12664</v>
      </c>
      <c r="D630" s="22" t="s">
        <v>6155</v>
      </c>
      <c r="E630" s="22" t="s">
        <v>7946</v>
      </c>
      <c r="F630" s="22" t="s">
        <v>215</v>
      </c>
      <c r="G630" s="22" t="s">
        <v>8601</v>
      </c>
      <c r="H630" s="22" t="s">
        <v>11406</v>
      </c>
      <c r="I630" s="22" t="n">
        <v>70</v>
      </c>
      <c r="J630" s="22" t="n">
        <v>1</v>
      </c>
      <c r="K630" s="22" t="n">
        <v>70</v>
      </c>
      <c r="L630" s="25" t="n">
        <v>7.55</v>
      </c>
      <c r="M630" s="25" t="n">
        <v>528.5</v>
      </c>
      <c r="N630" s="25" t="n">
        <v>67.86</v>
      </c>
      <c r="O630" s="25" t="n">
        <v>596.36</v>
      </c>
      <c r="P630" s="22" t="s">
        <v>11410</v>
      </c>
      <c r="Q630" s="23" t="n">
        <v>46249</v>
      </c>
      <c r="R630" s="22" t="n">
        <f aca="false">I630*J630</f>
        <v>70</v>
      </c>
      <c r="S630" s="25" t="n">
        <f aca="false">K630-R630</f>
        <v>0</v>
      </c>
      <c r="T630" s="25" t="n">
        <f aca="false">K630*L630</f>
        <v>528.5</v>
      </c>
      <c r="U630" s="25" t="n">
        <f aca="false">M630-T630</f>
        <v>0</v>
      </c>
      <c r="V630" s="25" t="n">
        <f aca="false">M630+N630</f>
        <v>596.36</v>
      </c>
      <c r="W630" s="25" t="n">
        <f aca="false">O630-V630</f>
        <v>0</v>
      </c>
      <c r="X630" s="22" t="str">
        <f aca="false">IF(OR(ABS(S630)&gt;0.005,ABS(U630)&gt;0.005,ABS(W630)&gt;0.005),"Subledger arithmetic error","OK")</f>
        <v>OK</v>
      </c>
      <c r="Y630" s="22" t="str">
        <f aca="false">IF(X630="OK","","Priority 3")</f>
        <v/>
      </c>
    </row>
    <row r="631" customFormat="false" ht="15" hidden="false" customHeight="false" outlineLevel="0" collapsed="false">
      <c r="A631" s="22" t="s">
        <v>12665</v>
      </c>
      <c r="B631" s="23" t="n">
        <v>46235</v>
      </c>
      <c r="C631" s="22" t="s">
        <v>12666</v>
      </c>
      <c r="D631" s="22" t="s">
        <v>6099</v>
      </c>
      <c r="E631" s="22" t="s">
        <v>7947</v>
      </c>
      <c r="F631" s="22" t="s">
        <v>215</v>
      </c>
      <c r="G631" s="22" t="s">
        <v>8601</v>
      </c>
      <c r="H631" s="22" t="s">
        <v>11406</v>
      </c>
      <c r="I631" s="22" t="n">
        <v>28</v>
      </c>
      <c r="J631" s="22" t="n">
        <v>1</v>
      </c>
      <c r="K631" s="22" t="n">
        <v>28</v>
      </c>
      <c r="L631" s="25" t="n">
        <v>7.55</v>
      </c>
      <c r="M631" s="25" t="n">
        <v>211.4</v>
      </c>
      <c r="N631" s="25" t="n">
        <v>27.14</v>
      </c>
      <c r="O631" s="25" t="n">
        <v>238.54</v>
      </c>
      <c r="P631" s="22" t="s">
        <v>11407</v>
      </c>
      <c r="Q631" s="23" t="n">
        <v>46249</v>
      </c>
      <c r="R631" s="22" t="n">
        <f aca="false">I631*J631</f>
        <v>28</v>
      </c>
      <c r="S631" s="25" t="n">
        <f aca="false">K631-R631</f>
        <v>0</v>
      </c>
      <c r="T631" s="25" t="n">
        <f aca="false">K631*L631</f>
        <v>211.4</v>
      </c>
      <c r="U631" s="25" t="n">
        <f aca="false">M631-T631</f>
        <v>0</v>
      </c>
      <c r="V631" s="25" t="n">
        <f aca="false">M631+N631</f>
        <v>238.54</v>
      </c>
      <c r="W631" s="25" t="n">
        <f aca="false">O631-V631</f>
        <v>0</v>
      </c>
      <c r="X631" s="22" t="str">
        <f aca="false">IF(OR(ABS(S631)&gt;0.005,ABS(U631)&gt;0.005,ABS(W631)&gt;0.005),"Subledger arithmetic error","OK")</f>
        <v>OK</v>
      </c>
      <c r="Y631" s="22" t="str">
        <f aca="false">IF(X631="OK","","Priority 3")</f>
        <v/>
      </c>
    </row>
    <row r="632" customFormat="false" ht="15" hidden="false" customHeight="false" outlineLevel="0" collapsed="false">
      <c r="A632" s="22" t="s">
        <v>12667</v>
      </c>
      <c r="B632" s="23" t="n">
        <v>46235</v>
      </c>
      <c r="C632" s="22" t="s">
        <v>12668</v>
      </c>
      <c r="D632" s="22" t="s">
        <v>3078</v>
      </c>
      <c r="E632" s="22" t="s">
        <v>7948</v>
      </c>
      <c r="F632" s="22" t="s">
        <v>215</v>
      </c>
      <c r="G632" s="22" t="s">
        <v>8601</v>
      </c>
      <c r="H632" s="22" t="s">
        <v>11406</v>
      </c>
      <c r="I632" s="22" t="n">
        <v>55</v>
      </c>
      <c r="J632" s="22" t="n">
        <v>1</v>
      </c>
      <c r="K632" s="22" t="n">
        <v>55</v>
      </c>
      <c r="L632" s="25" t="n">
        <v>7.55</v>
      </c>
      <c r="M632" s="25" t="n">
        <v>415.25</v>
      </c>
      <c r="N632" s="25" t="n">
        <v>53.32</v>
      </c>
      <c r="O632" s="25" t="n">
        <v>468.57</v>
      </c>
      <c r="P632" s="22" t="s">
        <v>11407</v>
      </c>
      <c r="Q632" s="23" t="n">
        <v>46249</v>
      </c>
      <c r="R632" s="22" t="n">
        <f aca="false">I632*J632</f>
        <v>55</v>
      </c>
      <c r="S632" s="25" t="n">
        <f aca="false">K632-R632</f>
        <v>0</v>
      </c>
      <c r="T632" s="25" t="n">
        <f aca="false">K632*L632</f>
        <v>415.25</v>
      </c>
      <c r="U632" s="25" t="n">
        <f aca="false">M632-T632</f>
        <v>0</v>
      </c>
      <c r="V632" s="25" t="n">
        <f aca="false">M632+N632</f>
        <v>468.57</v>
      </c>
      <c r="W632" s="25" t="n">
        <f aca="false">O632-V632</f>
        <v>0</v>
      </c>
      <c r="X632" s="22" t="str">
        <f aca="false">IF(OR(ABS(S632)&gt;0.005,ABS(U632)&gt;0.005,ABS(W632)&gt;0.005),"Subledger arithmetic error","OK")</f>
        <v>OK</v>
      </c>
      <c r="Y632" s="22" t="str">
        <f aca="false">IF(X632="OK","","Priority 3")</f>
        <v/>
      </c>
    </row>
    <row r="633" customFormat="false" ht="15" hidden="false" customHeight="false" outlineLevel="0" collapsed="false">
      <c r="A633" s="22" t="s">
        <v>12669</v>
      </c>
      <c r="B633" s="23" t="n">
        <v>46235</v>
      </c>
      <c r="C633" s="22" t="s">
        <v>12670</v>
      </c>
      <c r="D633" s="22" t="s">
        <v>2314</v>
      </c>
      <c r="E633" s="22" t="s">
        <v>7949</v>
      </c>
      <c r="F633" s="22" t="s">
        <v>215</v>
      </c>
      <c r="G633" s="22" t="s">
        <v>8601</v>
      </c>
      <c r="H633" s="22" t="s">
        <v>11406</v>
      </c>
      <c r="I633" s="22" t="n">
        <v>40</v>
      </c>
      <c r="J633" s="22" t="n">
        <v>1</v>
      </c>
      <c r="K633" s="22" t="n">
        <v>40</v>
      </c>
      <c r="L633" s="25" t="n">
        <v>7.55</v>
      </c>
      <c r="M633" s="25" t="n">
        <v>302</v>
      </c>
      <c r="N633" s="25" t="n">
        <v>38.78</v>
      </c>
      <c r="O633" s="25" t="n">
        <v>340.78</v>
      </c>
      <c r="P633" s="22" t="s">
        <v>11407</v>
      </c>
      <c r="Q633" s="23" t="n">
        <v>46249</v>
      </c>
      <c r="R633" s="22" t="n">
        <f aca="false">I633*J633</f>
        <v>40</v>
      </c>
      <c r="S633" s="25" t="n">
        <f aca="false">K633-R633</f>
        <v>0</v>
      </c>
      <c r="T633" s="25" t="n">
        <f aca="false">K633*L633</f>
        <v>302</v>
      </c>
      <c r="U633" s="25" t="n">
        <f aca="false">M633-T633</f>
        <v>0</v>
      </c>
      <c r="V633" s="25" t="n">
        <f aca="false">M633+N633</f>
        <v>340.78</v>
      </c>
      <c r="W633" s="25" t="n">
        <f aca="false">O633-V633</f>
        <v>0</v>
      </c>
      <c r="X633" s="22" t="str">
        <f aca="false">IF(OR(ABS(S633)&gt;0.005,ABS(U633)&gt;0.005,ABS(W633)&gt;0.005),"Subledger arithmetic error","OK")</f>
        <v>OK</v>
      </c>
      <c r="Y633" s="22" t="str">
        <f aca="false">IF(X633="OK","","Priority 3")</f>
        <v/>
      </c>
    </row>
    <row r="634" customFormat="false" ht="15" hidden="false" customHeight="false" outlineLevel="0" collapsed="false">
      <c r="A634" s="22" t="s">
        <v>12671</v>
      </c>
      <c r="B634" s="23" t="n">
        <v>46235</v>
      </c>
      <c r="C634" s="22" t="s">
        <v>12672</v>
      </c>
      <c r="D634" s="22" t="s">
        <v>5473</v>
      </c>
      <c r="E634" s="22" t="s">
        <v>7950</v>
      </c>
      <c r="F634" s="22" t="s">
        <v>215</v>
      </c>
      <c r="G634" s="22" t="s">
        <v>8601</v>
      </c>
      <c r="H634" s="22" t="s">
        <v>11406</v>
      </c>
      <c r="I634" s="22" t="n">
        <v>50</v>
      </c>
      <c r="J634" s="22" t="n">
        <v>1</v>
      </c>
      <c r="K634" s="22" t="n">
        <v>50</v>
      </c>
      <c r="L634" s="25" t="n">
        <v>7.55</v>
      </c>
      <c r="M634" s="25" t="n">
        <v>377.5</v>
      </c>
      <c r="N634" s="25" t="n">
        <v>48.47</v>
      </c>
      <c r="O634" s="25" t="n">
        <v>425.97</v>
      </c>
      <c r="P634" s="22" t="s">
        <v>11407</v>
      </c>
      <c r="Q634" s="23" t="n">
        <v>46249</v>
      </c>
      <c r="R634" s="22" t="n">
        <f aca="false">I634*J634</f>
        <v>50</v>
      </c>
      <c r="S634" s="25" t="n">
        <f aca="false">K634-R634</f>
        <v>0</v>
      </c>
      <c r="T634" s="25" t="n">
        <f aca="false">K634*L634</f>
        <v>377.5</v>
      </c>
      <c r="U634" s="25" t="n">
        <f aca="false">M634-T634</f>
        <v>0</v>
      </c>
      <c r="V634" s="25" t="n">
        <f aca="false">M634+N634</f>
        <v>425.97</v>
      </c>
      <c r="W634" s="25" t="n">
        <f aca="false">O634-V634</f>
        <v>0</v>
      </c>
      <c r="X634" s="22" t="str">
        <f aca="false">IF(OR(ABS(S634)&gt;0.005,ABS(U634)&gt;0.005,ABS(W634)&gt;0.005),"Subledger arithmetic error","OK")</f>
        <v>OK</v>
      </c>
      <c r="Y634" s="22" t="str">
        <f aca="false">IF(X634="OK","","Priority 3")</f>
        <v/>
      </c>
    </row>
    <row r="635" customFormat="false" ht="15" hidden="false" customHeight="false" outlineLevel="0" collapsed="false">
      <c r="A635" s="22" t="s">
        <v>12673</v>
      </c>
      <c r="B635" s="23" t="n">
        <v>46235</v>
      </c>
      <c r="C635" s="22" t="s">
        <v>12674</v>
      </c>
      <c r="D635" s="22" t="s">
        <v>3597</v>
      </c>
      <c r="E635" s="22" t="s">
        <v>7951</v>
      </c>
      <c r="F635" s="22" t="s">
        <v>215</v>
      </c>
      <c r="G635" s="22" t="s">
        <v>8601</v>
      </c>
      <c r="H635" s="22" t="s">
        <v>11406</v>
      </c>
      <c r="I635" s="22" t="n">
        <v>80</v>
      </c>
      <c r="J635" s="22" t="n">
        <v>1</v>
      </c>
      <c r="K635" s="22" t="n">
        <v>80</v>
      </c>
      <c r="L635" s="25" t="n">
        <v>7.55</v>
      </c>
      <c r="M635" s="25" t="n">
        <v>604</v>
      </c>
      <c r="N635" s="25" t="n">
        <v>77.55</v>
      </c>
      <c r="O635" s="25" t="n">
        <v>681.55</v>
      </c>
      <c r="P635" s="22" t="s">
        <v>11407</v>
      </c>
      <c r="Q635" s="23" t="n">
        <v>46249</v>
      </c>
      <c r="R635" s="22" t="n">
        <f aca="false">I635*J635</f>
        <v>80</v>
      </c>
      <c r="S635" s="25" t="n">
        <f aca="false">K635-R635</f>
        <v>0</v>
      </c>
      <c r="T635" s="25" t="n">
        <f aca="false">K635*L635</f>
        <v>604</v>
      </c>
      <c r="U635" s="25" t="n">
        <f aca="false">M635-T635</f>
        <v>0</v>
      </c>
      <c r="V635" s="25" t="n">
        <f aca="false">M635+N635</f>
        <v>681.55</v>
      </c>
      <c r="W635" s="25" t="n">
        <f aca="false">O635-V635</f>
        <v>0</v>
      </c>
      <c r="X635" s="22" t="str">
        <f aca="false">IF(OR(ABS(S635)&gt;0.005,ABS(U635)&gt;0.005,ABS(W635)&gt;0.005),"Subledger arithmetic error","OK")</f>
        <v>OK</v>
      </c>
      <c r="Y635" s="22" t="str">
        <f aca="false">IF(X635="OK","","Priority 3")</f>
        <v/>
      </c>
    </row>
    <row r="636" customFormat="false" ht="15" hidden="false" customHeight="false" outlineLevel="0" collapsed="false">
      <c r="A636" s="22" t="s">
        <v>12675</v>
      </c>
      <c r="B636" s="23" t="n">
        <v>46235</v>
      </c>
      <c r="C636" s="22" t="s">
        <v>12676</v>
      </c>
      <c r="D636" s="22" t="s">
        <v>5607</v>
      </c>
      <c r="E636" s="22" t="s">
        <v>7953</v>
      </c>
      <c r="F636" s="22" t="s">
        <v>215</v>
      </c>
      <c r="G636" s="22" t="s">
        <v>8601</v>
      </c>
      <c r="H636" s="22" t="s">
        <v>11406</v>
      </c>
      <c r="I636" s="22" t="n">
        <v>36</v>
      </c>
      <c r="J636" s="22" t="n">
        <v>1</v>
      </c>
      <c r="K636" s="22" t="n">
        <v>36</v>
      </c>
      <c r="L636" s="25" t="n">
        <v>7.55</v>
      </c>
      <c r="M636" s="25" t="n">
        <v>271.8</v>
      </c>
      <c r="N636" s="25" t="n">
        <v>34.9</v>
      </c>
      <c r="O636" s="25" t="n">
        <v>306.7</v>
      </c>
      <c r="P636" s="22" t="s">
        <v>11407</v>
      </c>
      <c r="Q636" s="23" t="n">
        <v>46249</v>
      </c>
      <c r="R636" s="22" t="n">
        <f aca="false">I636*J636</f>
        <v>36</v>
      </c>
      <c r="S636" s="25" t="n">
        <f aca="false">K636-R636</f>
        <v>0</v>
      </c>
      <c r="T636" s="25" t="n">
        <f aca="false">K636*L636</f>
        <v>271.8</v>
      </c>
      <c r="U636" s="25" t="n">
        <f aca="false">M636-T636</f>
        <v>0</v>
      </c>
      <c r="V636" s="25" t="n">
        <f aca="false">M636+N636</f>
        <v>306.7</v>
      </c>
      <c r="W636" s="25" t="n">
        <f aca="false">O636-V636</f>
        <v>0</v>
      </c>
      <c r="X636" s="22" t="str">
        <f aca="false">IF(OR(ABS(S636)&gt;0.005,ABS(U636)&gt;0.005,ABS(W636)&gt;0.005),"Subledger arithmetic error","OK")</f>
        <v>OK</v>
      </c>
      <c r="Y636" s="22" t="str">
        <f aca="false">IF(X636="OK","","Priority 3")</f>
        <v/>
      </c>
    </row>
    <row r="637" customFormat="false" ht="15" hidden="false" customHeight="false" outlineLevel="0" collapsed="false">
      <c r="A637" s="22" t="s">
        <v>12677</v>
      </c>
      <c r="B637" s="23" t="n">
        <v>46235</v>
      </c>
      <c r="C637" s="22" t="s">
        <v>12678</v>
      </c>
      <c r="D637" s="22" t="s">
        <v>6157</v>
      </c>
      <c r="E637" s="22" t="s">
        <v>7955</v>
      </c>
      <c r="F637" s="22" t="s">
        <v>215</v>
      </c>
      <c r="G637" s="22" t="s">
        <v>8601</v>
      </c>
      <c r="H637" s="22" t="s">
        <v>11406</v>
      </c>
      <c r="I637" s="22" t="n">
        <v>55</v>
      </c>
      <c r="J637" s="22" t="n">
        <v>1</v>
      </c>
      <c r="K637" s="22" t="n">
        <v>55</v>
      </c>
      <c r="L637" s="25" t="n">
        <v>7.55</v>
      </c>
      <c r="M637" s="25" t="n">
        <v>415.25</v>
      </c>
      <c r="N637" s="25" t="n">
        <v>53.32</v>
      </c>
      <c r="O637" s="25" t="n">
        <v>468.57</v>
      </c>
      <c r="P637" s="22" t="s">
        <v>11407</v>
      </c>
      <c r="Q637" s="23" t="n">
        <v>46249</v>
      </c>
      <c r="R637" s="22" t="n">
        <f aca="false">I637*J637</f>
        <v>55</v>
      </c>
      <c r="S637" s="25" t="n">
        <f aca="false">K637-R637</f>
        <v>0</v>
      </c>
      <c r="T637" s="25" t="n">
        <f aca="false">K637*L637</f>
        <v>415.25</v>
      </c>
      <c r="U637" s="25" t="n">
        <f aca="false">M637-T637</f>
        <v>0</v>
      </c>
      <c r="V637" s="25" t="n">
        <f aca="false">M637+N637</f>
        <v>468.57</v>
      </c>
      <c r="W637" s="25" t="n">
        <f aca="false">O637-V637</f>
        <v>0</v>
      </c>
      <c r="X637" s="22" t="str">
        <f aca="false">IF(OR(ABS(S637)&gt;0.005,ABS(U637)&gt;0.005,ABS(W637)&gt;0.005),"Subledger arithmetic error","OK")</f>
        <v>OK</v>
      </c>
      <c r="Y637" s="22" t="str">
        <f aca="false">IF(X637="OK","","Priority 3")</f>
        <v/>
      </c>
    </row>
    <row r="638" customFormat="false" ht="15" hidden="false" customHeight="false" outlineLevel="0" collapsed="false">
      <c r="A638" s="22" t="s">
        <v>12679</v>
      </c>
      <c r="B638" s="23" t="n">
        <v>46235</v>
      </c>
      <c r="C638" s="22" t="s">
        <v>12680</v>
      </c>
      <c r="D638" s="22" t="s">
        <v>3886</v>
      </c>
      <c r="E638" s="22" t="s">
        <v>7957</v>
      </c>
      <c r="F638" s="22" t="s">
        <v>215</v>
      </c>
      <c r="G638" s="22" t="s">
        <v>8601</v>
      </c>
      <c r="H638" s="22" t="s">
        <v>11406</v>
      </c>
      <c r="I638" s="22" t="n">
        <v>35</v>
      </c>
      <c r="J638" s="22" t="n">
        <v>1</v>
      </c>
      <c r="K638" s="22" t="n">
        <v>35</v>
      </c>
      <c r="L638" s="25" t="n">
        <v>7.55</v>
      </c>
      <c r="M638" s="25" t="n">
        <v>264.25</v>
      </c>
      <c r="N638" s="25" t="n">
        <v>33.93</v>
      </c>
      <c r="O638" s="25" t="n">
        <v>298.18</v>
      </c>
      <c r="P638" s="22" t="s">
        <v>11407</v>
      </c>
      <c r="Q638" s="23" t="n">
        <v>46249</v>
      </c>
      <c r="R638" s="22" t="n">
        <f aca="false">I638*J638</f>
        <v>35</v>
      </c>
      <c r="S638" s="25" t="n">
        <f aca="false">K638-R638</f>
        <v>0</v>
      </c>
      <c r="T638" s="25" t="n">
        <f aca="false">K638*L638</f>
        <v>264.25</v>
      </c>
      <c r="U638" s="25" t="n">
        <f aca="false">M638-T638</f>
        <v>0</v>
      </c>
      <c r="V638" s="25" t="n">
        <f aca="false">M638+N638</f>
        <v>298.18</v>
      </c>
      <c r="W638" s="25" t="n">
        <f aca="false">O638-V638</f>
        <v>0</v>
      </c>
      <c r="X638" s="22" t="str">
        <f aca="false">IF(OR(ABS(S638)&gt;0.005,ABS(U638)&gt;0.005,ABS(W638)&gt;0.005),"Subledger arithmetic error","OK")</f>
        <v>OK</v>
      </c>
      <c r="Y638" s="22" t="str">
        <f aca="false">IF(X638="OK","","Priority 3")</f>
        <v/>
      </c>
    </row>
    <row r="639" customFormat="false" ht="15" hidden="false" customHeight="false" outlineLevel="0" collapsed="false">
      <c r="A639" s="22" t="s">
        <v>12681</v>
      </c>
      <c r="B639" s="23" t="n">
        <v>46235</v>
      </c>
      <c r="C639" s="22" t="s">
        <v>12682</v>
      </c>
      <c r="D639" s="22" t="s">
        <v>3120</v>
      </c>
      <c r="E639" s="22" t="s">
        <v>7961</v>
      </c>
      <c r="F639" s="22" t="s">
        <v>215</v>
      </c>
      <c r="G639" s="22" t="s">
        <v>8601</v>
      </c>
      <c r="H639" s="22" t="s">
        <v>11406</v>
      </c>
      <c r="I639" s="22" t="n">
        <v>40</v>
      </c>
      <c r="J639" s="22" t="n">
        <v>1</v>
      </c>
      <c r="K639" s="22" t="n">
        <v>40</v>
      </c>
      <c r="L639" s="25" t="n">
        <v>7.55</v>
      </c>
      <c r="M639" s="25" t="n">
        <v>302</v>
      </c>
      <c r="N639" s="25" t="n">
        <v>38.78</v>
      </c>
      <c r="O639" s="25" t="n">
        <v>340.78</v>
      </c>
      <c r="P639" s="22" t="s">
        <v>11407</v>
      </c>
      <c r="Q639" s="23" t="n">
        <v>46249</v>
      </c>
      <c r="R639" s="22" t="n">
        <f aca="false">I639*J639</f>
        <v>40</v>
      </c>
      <c r="S639" s="25" t="n">
        <f aca="false">K639-R639</f>
        <v>0</v>
      </c>
      <c r="T639" s="25" t="n">
        <f aca="false">K639*L639</f>
        <v>302</v>
      </c>
      <c r="U639" s="25" t="n">
        <f aca="false">M639-T639</f>
        <v>0</v>
      </c>
      <c r="V639" s="25" t="n">
        <f aca="false">M639+N639</f>
        <v>340.78</v>
      </c>
      <c r="W639" s="25" t="n">
        <f aca="false">O639-V639</f>
        <v>0</v>
      </c>
      <c r="X639" s="22" t="str">
        <f aca="false">IF(OR(ABS(S639)&gt;0.005,ABS(U639)&gt;0.005,ABS(W639)&gt;0.005),"Subledger arithmetic error","OK")</f>
        <v>OK</v>
      </c>
      <c r="Y639" s="22" t="str">
        <f aca="false">IF(X639="OK","","Priority 3")</f>
        <v/>
      </c>
    </row>
    <row r="640" customFormat="false" ht="15" hidden="false" customHeight="false" outlineLevel="0" collapsed="false">
      <c r="A640" s="22" t="s">
        <v>12683</v>
      </c>
      <c r="B640" s="23" t="n">
        <v>46235</v>
      </c>
      <c r="C640" s="22" t="s">
        <v>12684</v>
      </c>
      <c r="D640" s="22" t="s">
        <v>384</v>
      </c>
      <c r="E640" s="22" t="s">
        <v>7963</v>
      </c>
      <c r="F640" s="22" t="s">
        <v>215</v>
      </c>
      <c r="G640" s="22" t="s">
        <v>8601</v>
      </c>
      <c r="H640" s="22" t="s">
        <v>11406</v>
      </c>
      <c r="I640" s="22" t="n">
        <v>60</v>
      </c>
      <c r="J640" s="22" t="n">
        <v>1</v>
      </c>
      <c r="K640" s="22" t="n">
        <v>60</v>
      </c>
      <c r="L640" s="25" t="n">
        <v>7.55</v>
      </c>
      <c r="M640" s="25" t="n">
        <v>453</v>
      </c>
      <c r="N640" s="25" t="n">
        <v>58.17</v>
      </c>
      <c r="O640" s="25" t="n">
        <v>511.17</v>
      </c>
      <c r="P640" s="22" t="s">
        <v>11407</v>
      </c>
      <c r="Q640" s="23" t="n">
        <v>46249</v>
      </c>
      <c r="R640" s="22" t="n">
        <f aca="false">I640*J640</f>
        <v>60</v>
      </c>
      <c r="S640" s="25" t="n">
        <f aca="false">K640-R640</f>
        <v>0</v>
      </c>
      <c r="T640" s="25" t="n">
        <f aca="false">K640*L640</f>
        <v>453</v>
      </c>
      <c r="U640" s="25" t="n">
        <f aca="false">M640-T640</f>
        <v>0</v>
      </c>
      <c r="V640" s="25" t="n">
        <f aca="false">M640+N640</f>
        <v>511.17</v>
      </c>
      <c r="W640" s="25" t="n">
        <f aca="false">O640-V640</f>
        <v>0</v>
      </c>
      <c r="X640" s="22" t="str">
        <f aca="false">IF(OR(ABS(S640)&gt;0.005,ABS(U640)&gt;0.005,ABS(W640)&gt;0.005),"Subledger arithmetic error","OK")</f>
        <v>OK</v>
      </c>
      <c r="Y640" s="22" t="str">
        <f aca="false">IF(X640="OK","","Priority 3")</f>
        <v/>
      </c>
    </row>
    <row r="641" customFormat="false" ht="15" hidden="false" customHeight="false" outlineLevel="0" collapsed="false">
      <c r="A641" s="22" t="s">
        <v>12685</v>
      </c>
      <c r="B641" s="23" t="n">
        <v>46235</v>
      </c>
      <c r="C641" s="22" t="s">
        <v>12686</v>
      </c>
      <c r="D641" s="22" t="s">
        <v>5141</v>
      </c>
      <c r="E641" s="22" t="s">
        <v>7964</v>
      </c>
      <c r="F641" s="22" t="s">
        <v>215</v>
      </c>
      <c r="G641" s="22" t="s">
        <v>8601</v>
      </c>
      <c r="H641" s="22" t="s">
        <v>11406</v>
      </c>
      <c r="I641" s="22" t="n">
        <v>55</v>
      </c>
      <c r="J641" s="22" t="n">
        <v>1</v>
      </c>
      <c r="K641" s="22" t="n">
        <v>55</v>
      </c>
      <c r="L641" s="25" t="n">
        <v>7.55</v>
      </c>
      <c r="M641" s="25" t="n">
        <v>415.25</v>
      </c>
      <c r="N641" s="25" t="n">
        <v>53.32</v>
      </c>
      <c r="O641" s="25" t="n">
        <v>468.57</v>
      </c>
      <c r="P641" s="22" t="s">
        <v>11407</v>
      </c>
      <c r="Q641" s="23" t="n">
        <v>46249</v>
      </c>
      <c r="R641" s="22" t="n">
        <f aca="false">I641*J641</f>
        <v>55</v>
      </c>
      <c r="S641" s="25" t="n">
        <f aca="false">K641-R641</f>
        <v>0</v>
      </c>
      <c r="T641" s="25" t="n">
        <f aca="false">K641*L641</f>
        <v>415.25</v>
      </c>
      <c r="U641" s="25" t="n">
        <f aca="false">M641-T641</f>
        <v>0</v>
      </c>
      <c r="V641" s="25" t="n">
        <f aca="false">M641+N641</f>
        <v>468.57</v>
      </c>
      <c r="W641" s="25" t="n">
        <f aca="false">O641-V641</f>
        <v>0</v>
      </c>
      <c r="X641" s="22" t="str">
        <f aca="false">IF(OR(ABS(S641)&gt;0.005,ABS(U641)&gt;0.005,ABS(W641)&gt;0.005),"Subledger arithmetic error","OK")</f>
        <v>OK</v>
      </c>
      <c r="Y641" s="22" t="str">
        <f aca="false">IF(X641="OK","","Priority 3")</f>
        <v/>
      </c>
    </row>
    <row r="642" customFormat="false" ht="15" hidden="false" customHeight="false" outlineLevel="0" collapsed="false">
      <c r="A642" s="22" t="s">
        <v>12687</v>
      </c>
      <c r="B642" s="23" t="n">
        <v>46235</v>
      </c>
      <c r="C642" s="22" t="s">
        <v>12688</v>
      </c>
      <c r="D642" s="22" t="s">
        <v>3874</v>
      </c>
      <c r="E642" s="22" t="s">
        <v>7967</v>
      </c>
      <c r="F642" s="22" t="s">
        <v>215</v>
      </c>
      <c r="G642" s="22" t="s">
        <v>8601</v>
      </c>
      <c r="H642" s="22" t="s">
        <v>11406</v>
      </c>
      <c r="I642" s="22" t="n">
        <v>38</v>
      </c>
      <c r="J642" s="22" t="n">
        <v>1</v>
      </c>
      <c r="K642" s="22" t="n">
        <v>38</v>
      </c>
      <c r="L642" s="25" t="n">
        <v>7.55</v>
      </c>
      <c r="M642" s="25" t="n">
        <v>286.9</v>
      </c>
      <c r="N642" s="25" t="n">
        <v>36.84</v>
      </c>
      <c r="O642" s="25" t="n">
        <v>323.74</v>
      </c>
      <c r="P642" s="22" t="s">
        <v>11407</v>
      </c>
      <c r="Q642" s="23" t="n">
        <v>46249</v>
      </c>
      <c r="R642" s="22" t="n">
        <f aca="false">I642*J642</f>
        <v>38</v>
      </c>
      <c r="S642" s="25" t="n">
        <f aca="false">K642-R642</f>
        <v>0</v>
      </c>
      <c r="T642" s="25" t="n">
        <f aca="false">K642*L642</f>
        <v>286.9</v>
      </c>
      <c r="U642" s="25" t="n">
        <f aca="false">M642-T642</f>
        <v>0</v>
      </c>
      <c r="V642" s="25" t="n">
        <f aca="false">M642+N642</f>
        <v>323.74</v>
      </c>
      <c r="W642" s="25" t="n">
        <f aca="false">O642-V642</f>
        <v>0</v>
      </c>
      <c r="X642" s="22" t="str">
        <f aca="false">IF(OR(ABS(S642)&gt;0.005,ABS(U642)&gt;0.005,ABS(W642)&gt;0.005),"Subledger arithmetic error","OK")</f>
        <v>OK</v>
      </c>
      <c r="Y642" s="22" t="str">
        <f aca="false">IF(X642="OK","","Priority 3")</f>
        <v/>
      </c>
    </row>
    <row r="643" customFormat="false" ht="15" hidden="false" customHeight="false" outlineLevel="0" collapsed="false">
      <c r="A643" s="22" t="s">
        <v>12689</v>
      </c>
      <c r="B643" s="23" t="n">
        <v>46235</v>
      </c>
      <c r="C643" s="22" t="s">
        <v>12690</v>
      </c>
      <c r="D643" s="22" t="s">
        <v>6121</v>
      </c>
      <c r="E643" s="22" t="s">
        <v>7968</v>
      </c>
      <c r="F643" s="22" t="s">
        <v>215</v>
      </c>
      <c r="G643" s="22" t="s">
        <v>8601</v>
      </c>
      <c r="H643" s="22" t="s">
        <v>11406</v>
      </c>
      <c r="I643" s="22" t="n">
        <v>80</v>
      </c>
      <c r="J643" s="22" t="n">
        <v>1</v>
      </c>
      <c r="K643" s="22" t="n">
        <v>80</v>
      </c>
      <c r="L643" s="25" t="n">
        <v>7.55</v>
      </c>
      <c r="M643" s="25" t="n">
        <v>604</v>
      </c>
      <c r="N643" s="25" t="n">
        <v>77.55</v>
      </c>
      <c r="O643" s="25" t="n">
        <v>681.55</v>
      </c>
      <c r="P643" s="22" t="s">
        <v>11407</v>
      </c>
      <c r="Q643" s="23" t="n">
        <v>46249</v>
      </c>
      <c r="R643" s="22" t="n">
        <f aca="false">I643*J643</f>
        <v>80</v>
      </c>
      <c r="S643" s="25" t="n">
        <f aca="false">K643-R643</f>
        <v>0</v>
      </c>
      <c r="T643" s="25" t="n">
        <f aca="false">K643*L643</f>
        <v>604</v>
      </c>
      <c r="U643" s="25" t="n">
        <f aca="false">M643-T643</f>
        <v>0</v>
      </c>
      <c r="V643" s="25" t="n">
        <f aca="false">M643+N643</f>
        <v>681.55</v>
      </c>
      <c r="W643" s="25" t="n">
        <f aca="false">O643-V643</f>
        <v>0</v>
      </c>
      <c r="X643" s="22" t="str">
        <f aca="false">IF(OR(ABS(S643)&gt;0.005,ABS(U643)&gt;0.005,ABS(W643)&gt;0.005),"Subledger arithmetic error","OK")</f>
        <v>OK</v>
      </c>
      <c r="Y643" s="22" t="str">
        <f aca="false">IF(X643="OK","","Priority 3")</f>
        <v/>
      </c>
    </row>
    <row r="644" customFormat="false" ht="15" hidden="false" customHeight="false" outlineLevel="0" collapsed="false">
      <c r="A644" s="22" t="s">
        <v>12691</v>
      </c>
      <c r="B644" s="23" t="n">
        <v>46235</v>
      </c>
      <c r="C644" s="22" t="s">
        <v>12692</v>
      </c>
      <c r="D644" s="22" t="s">
        <v>2399</v>
      </c>
      <c r="E644" s="22" t="s">
        <v>7970</v>
      </c>
      <c r="F644" s="22" t="s">
        <v>215</v>
      </c>
      <c r="G644" s="22" t="s">
        <v>8601</v>
      </c>
      <c r="H644" s="22" t="s">
        <v>11406</v>
      </c>
      <c r="I644" s="22" t="n">
        <v>27</v>
      </c>
      <c r="J644" s="22" t="n">
        <v>1</v>
      </c>
      <c r="K644" s="22" t="n">
        <v>27</v>
      </c>
      <c r="L644" s="25" t="n">
        <v>7.55</v>
      </c>
      <c r="M644" s="25" t="n">
        <v>203.85</v>
      </c>
      <c r="N644" s="25" t="n">
        <v>26.17</v>
      </c>
      <c r="O644" s="25" t="n">
        <v>230.02</v>
      </c>
      <c r="P644" s="22" t="s">
        <v>11407</v>
      </c>
      <c r="Q644" s="23" t="n">
        <v>46249</v>
      </c>
      <c r="R644" s="22" t="n">
        <f aca="false">I644*J644</f>
        <v>27</v>
      </c>
      <c r="S644" s="25" t="n">
        <f aca="false">K644-R644</f>
        <v>0</v>
      </c>
      <c r="T644" s="25" t="n">
        <f aca="false">K644*L644</f>
        <v>203.85</v>
      </c>
      <c r="U644" s="25" t="n">
        <f aca="false">M644-T644</f>
        <v>0</v>
      </c>
      <c r="V644" s="25" t="n">
        <f aca="false">M644+N644</f>
        <v>230.02</v>
      </c>
      <c r="W644" s="25" t="n">
        <f aca="false">O644-V644</f>
        <v>0</v>
      </c>
      <c r="X644" s="22" t="str">
        <f aca="false">IF(OR(ABS(S644)&gt;0.005,ABS(U644)&gt;0.005,ABS(W644)&gt;0.005),"Subledger arithmetic error","OK")</f>
        <v>OK</v>
      </c>
      <c r="Y644" s="22" t="str">
        <f aca="false">IF(X644="OK","","Priority 3")</f>
        <v/>
      </c>
    </row>
    <row r="645" customFormat="false" ht="15" hidden="false" customHeight="false" outlineLevel="0" collapsed="false">
      <c r="A645" s="22" t="s">
        <v>12693</v>
      </c>
      <c r="B645" s="23" t="n">
        <v>46235</v>
      </c>
      <c r="C645" s="22" t="s">
        <v>12694</v>
      </c>
      <c r="D645" s="22" t="s">
        <v>5562</v>
      </c>
      <c r="E645" s="22" t="s">
        <v>7971</v>
      </c>
      <c r="F645" s="22" t="s">
        <v>215</v>
      </c>
      <c r="G645" s="22" t="s">
        <v>8601</v>
      </c>
      <c r="H645" s="22" t="s">
        <v>11406</v>
      </c>
      <c r="I645" s="22" t="n">
        <v>45</v>
      </c>
      <c r="J645" s="22" t="n">
        <v>1</v>
      </c>
      <c r="K645" s="22" t="n">
        <v>45</v>
      </c>
      <c r="L645" s="25" t="n">
        <v>7.55</v>
      </c>
      <c r="M645" s="25" t="n">
        <v>339.75</v>
      </c>
      <c r="N645" s="25" t="n">
        <v>43.62</v>
      </c>
      <c r="O645" s="25" t="n">
        <v>383.37</v>
      </c>
      <c r="P645" s="22" t="s">
        <v>11407</v>
      </c>
      <c r="Q645" s="23" t="n">
        <v>46249</v>
      </c>
      <c r="R645" s="22" t="n">
        <f aca="false">I645*J645</f>
        <v>45</v>
      </c>
      <c r="S645" s="25" t="n">
        <f aca="false">K645-R645</f>
        <v>0</v>
      </c>
      <c r="T645" s="25" t="n">
        <f aca="false">K645*L645</f>
        <v>339.75</v>
      </c>
      <c r="U645" s="25" t="n">
        <f aca="false">M645-T645</f>
        <v>0</v>
      </c>
      <c r="V645" s="25" t="n">
        <f aca="false">M645+N645</f>
        <v>383.37</v>
      </c>
      <c r="W645" s="25" t="n">
        <f aca="false">O645-V645</f>
        <v>0</v>
      </c>
      <c r="X645" s="22" t="str">
        <f aca="false">IF(OR(ABS(S645)&gt;0.005,ABS(U645)&gt;0.005,ABS(W645)&gt;0.005),"Subledger arithmetic error","OK")</f>
        <v>OK</v>
      </c>
      <c r="Y645" s="22" t="str">
        <f aca="false">IF(X645="OK","","Priority 3")</f>
        <v/>
      </c>
    </row>
    <row r="646" customFormat="false" ht="15" hidden="false" customHeight="false" outlineLevel="0" collapsed="false">
      <c r="A646" s="22" t="s">
        <v>12695</v>
      </c>
      <c r="B646" s="23" t="n">
        <v>46235</v>
      </c>
      <c r="C646" s="22" t="s">
        <v>12696</v>
      </c>
      <c r="D646" s="22" t="s">
        <v>1243</v>
      </c>
      <c r="E646" s="22" t="s">
        <v>7973</v>
      </c>
      <c r="F646" s="22" t="s">
        <v>215</v>
      </c>
      <c r="G646" s="22" t="s">
        <v>8601</v>
      </c>
      <c r="H646" s="22" t="s">
        <v>11406</v>
      </c>
      <c r="I646" s="22" t="n">
        <v>47</v>
      </c>
      <c r="J646" s="22" t="n">
        <v>1</v>
      </c>
      <c r="K646" s="22" t="n">
        <v>47</v>
      </c>
      <c r="L646" s="25" t="n">
        <v>7.55</v>
      </c>
      <c r="M646" s="25" t="n">
        <v>354.85</v>
      </c>
      <c r="N646" s="25" t="n">
        <v>45.56</v>
      </c>
      <c r="O646" s="25" t="n">
        <v>400.41</v>
      </c>
      <c r="P646" s="22" t="s">
        <v>11407</v>
      </c>
      <c r="Q646" s="23" t="n">
        <v>46249</v>
      </c>
      <c r="R646" s="22" t="n">
        <f aca="false">I646*J646</f>
        <v>47</v>
      </c>
      <c r="S646" s="25" t="n">
        <f aca="false">K646-R646</f>
        <v>0</v>
      </c>
      <c r="T646" s="25" t="n">
        <f aca="false">K646*L646</f>
        <v>354.85</v>
      </c>
      <c r="U646" s="25" t="n">
        <f aca="false">M646-T646</f>
        <v>0</v>
      </c>
      <c r="V646" s="25" t="n">
        <f aca="false">M646+N646</f>
        <v>400.41</v>
      </c>
      <c r="W646" s="25" t="n">
        <f aca="false">O646-V646</f>
        <v>0</v>
      </c>
      <c r="X646" s="22" t="str">
        <f aca="false">IF(OR(ABS(S646)&gt;0.005,ABS(U646)&gt;0.005,ABS(W646)&gt;0.005),"Subledger arithmetic error","OK")</f>
        <v>OK</v>
      </c>
      <c r="Y646" s="22" t="str">
        <f aca="false">IF(X646="OK","","Priority 3")</f>
        <v/>
      </c>
    </row>
    <row r="647" customFormat="false" ht="15" hidden="false" customHeight="false" outlineLevel="0" collapsed="false">
      <c r="A647" s="22" t="s">
        <v>12697</v>
      </c>
      <c r="B647" s="23" t="n">
        <v>46235</v>
      </c>
      <c r="C647" s="22" t="s">
        <v>12698</v>
      </c>
      <c r="D647" s="22" t="s">
        <v>267</v>
      </c>
      <c r="E647" s="22" t="s">
        <v>7975</v>
      </c>
      <c r="F647" s="22" t="s">
        <v>215</v>
      </c>
      <c r="G647" s="22" t="s">
        <v>8601</v>
      </c>
      <c r="H647" s="22" t="s">
        <v>11406</v>
      </c>
      <c r="I647" s="22" t="n">
        <v>80</v>
      </c>
      <c r="J647" s="22" t="n">
        <v>1</v>
      </c>
      <c r="K647" s="22" t="n">
        <v>80</v>
      </c>
      <c r="L647" s="25" t="n">
        <v>7.55</v>
      </c>
      <c r="M647" s="25" t="n">
        <v>604</v>
      </c>
      <c r="N647" s="25" t="n">
        <v>77.55</v>
      </c>
      <c r="O647" s="25" t="n">
        <v>681.55</v>
      </c>
      <c r="P647" s="22" t="s">
        <v>11407</v>
      </c>
      <c r="Q647" s="23" t="n">
        <v>46249</v>
      </c>
      <c r="R647" s="22" t="n">
        <f aca="false">I647*J647</f>
        <v>80</v>
      </c>
      <c r="S647" s="25" t="n">
        <f aca="false">K647-R647</f>
        <v>0</v>
      </c>
      <c r="T647" s="25" t="n">
        <f aca="false">K647*L647</f>
        <v>604</v>
      </c>
      <c r="U647" s="25" t="n">
        <f aca="false">M647-T647</f>
        <v>0</v>
      </c>
      <c r="V647" s="25" t="n">
        <f aca="false">M647+N647</f>
        <v>681.55</v>
      </c>
      <c r="W647" s="25" t="n">
        <f aca="false">O647-V647</f>
        <v>0</v>
      </c>
      <c r="X647" s="22" t="str">
        <f aca="false">IF(OR(ABS(S647)&gt;0.005,ABS(U647)&gt;0.005,ABS(W647)&gt;0.005),"Subledger arithmetic error","OK")</f>
        <v>OK</v>
      </c>
      <c r="Y647" s="22" t="str">
        <f aca="false">IF(X647="OK","","Priority 3")</f>
        <v/>
      </c>
    </row>
    <row r="648" customFormat="false" ht="15" hidden="false" customHeight="false" outlineLevel="0" collapsed="false">
      <c r="A648" s="22" t="s">
        <v>12699</v>
      </c>
      <c r="B648" s="23" t="n">
        <v>46235</v>
      </c>
      <c r="C648" s="22" t="s">
        <v>12700</v>
      </c>
      <c r="D648" s="22" t="s">
        <v>4488</v>
      </c>
      <c r="E648" s="22" t="s">
        <v>7977</v>
      </c>
      <c r="F648" s="22" t="s">
        <v>215</v>
      </c>
      <c r="G648" s="22" t="s">
        <v>8601</v>
      </c>
      <c r="H648" s="22" t="s">
        <v>11406</v>
      </c>
      <c r="I648" s="22" t="n">
        <v>52</v>
      </c>
      <c r="J648" s="22" t="n">
        <v>1</v>
      </c>
      <c r="K648" s="22" t="n">
        <v>52</v>
      </c>
      <c r="L648" s="25" t="n">
        <v>7.55</v>
      </c>
      <c r="M648" s="25" t="n">
        <v>392.6</v>
      </c>
      <c r="N648" s="25" t="n">
        <v>50.41</v>
      </c>
      <c r="O648" s="25" t="n">
        <v>443.01</v>
      </c>
      <c r="P648" s="22" t="s">
        <v>11407</v>
      </c>
      <c r="Q648" s="23" t="n">
        <v>46249</v>
      </c>
      <c r="R648" s="22" t="n">
        <f aca="false">I648*J648</f>
        <v>52</v>
      </c>
      <c r="S648" s="25" t="n">
        <f aca="false">K648-R648</f>
        <v>0</v>
      </c>
      <c r="T648" s="25" t="n">
        <f aca="false">K648*L648</f>
        <v>392.6</v>
      </c>
      <c r="U648" s="25" t="n">
        <f aca="false">M648-T648</f>
        <v>0</v>
      </c>
      <c r="V648" s="25" t="n">
        <f aca="false">M648+N648</f>
        <v>443.01</v>
      </c>
      <c r="W648" s="25" t="n">
        <f aca="false">O648-V648</f>
        <v>0</v>
      </c>
      <c r="X648" s="22" t="str">
        <f aca="false">IF(OR(ABS(S648)&gt;0.005,ABS(U648)&gt;0.005,ABS(W648)&gt;0.005),"Subledger arithmetic error","OK")</f>
        <v>OK</v>
      </c>
      <c r="Y648" s="22" t="str">
        <f aca="false">IF(X648="OK","","Priority 3")</f>
        <v/>
      </c>
    </row>
    <row r="649" customFormat="false" ht="15" hidden="false" customHeight="false" outlineLevel="0" collapsed="false">
      <c r="A649" s="22" t="s">
        <v>12701</v>
      </c>
      <c r="B649" s="23" t="n">
        <v>46235</v>
      </c>
      <c r="C649" s="22" t="s">
        <v>12702</v>
      </c>
      <c r="D649" s="22" t="s">
        <v>3665</v>
      </c>
      <c r="E649" s="22" t="s">
        <v>7978</v>
      </c>
      <c r="F649" s="22" t="s">
        <v>215</v>
      </c>
      <c r="G649" s="22" t="s">
        <v>8601</v>
      </c>
      <c r="H649" s="22" t="s">
        <v>11406</v>
      </c>
      <c r="I649" s="22" t="n">
        <v>40</v>
      </c>
      <c r="J649" s="22" t="n">
        <v>1</v>
      </c>
      <c r="K649" s="22" t="n">
        <v>40</v>
      </c>
      <c r="L649" s="25" t="n">
        <v>7.55</v>
      </c>
      <c r="M649" s="25" t="n">
        <v>302</v>
      </c>
      <c r="N649" s="25" t="n">
        <v>38.78</v>
      </c>
      <c r="O649" s="25" t="n">
        <v>340.78</v>
      </c>
      <c r="P649" s="22" t="s">
        <v>11407</v>
      </c>
      <c r="Q649" s="23" t="n">
        <v>46249</v>
      </c>
      <c r="R649" s="22" t="n">
        <f aca="false">I649*J649</f>
        <v>40</v>
      </c>
      <c r="S649" s="25" t="n">
        <f aca="false">K649-R649</f>
        <v>0</v>
      </c>
      <c r="T649" s="25" t="n">
        <f aca="false">K649*L649</f>
        <v>302</v>
      </c>
      <c r="U649" s="25" t="n">
        <f aca="false">M649-T649</f>
        <v>0</v>
      </c>
      <c r="V649" s="25" t="n">
        <f aca="false">M649+N649</f>
        <v>340.78</v>
      </c>
      <c r="W649" s="25" t="n">
        <f aca="false">O649-V649</f>
        <v>0</v>
      </c>
      <c r="X649" s="22" t="str">
        <f aca="false">IF(OR(ABS(S649)&gt;0.005,ABS(U649)&gt;0.005,ABS(W649)&gt;0.005),"Subledger arithmetic error","OK")</f>
        <v>OK</v>
      </c>
      <c r="Y649" s="22" t="str">
        <f aca="false">IF(X649="OK","","Priority 3")</f>
        <v/>
      </c>
    </row>
    <row r="650" customFormat="false" ht="15" hidden="false" customHeight="false" outlineLevel="0" collapsed="false">
      <c r="A650" s="22" t="s">
        <v>12703</v>
      </c>
      <c r="B650" s="23" t="n">
        <v>46235</v>
      </c>
      <c r="C650" s="22" t="s">
        <v>12704</v>
      </c>
      <c r="D650" s="22" t="s">
        <v>5530</v>
      </c>
      <c r="E650" s="22" t="s">
        <v>7980</v>
      </c>
      <c r="F650" s="22" t="s">
        <v>215</v>
      </c>
      <c r="G650" s="22" t="s">
        <v>8601</v>
      </c>
      <c r="H650" s="22" t="s">
        <v>11406</v>
      </c>
      <c r="I650" s="22" t="n">
        <v>45</v>
      </c>
      <c r="J650" s="22" t="n">
        <v>1</v>
      </c>
      <c r="K650" s="22" t="n">
        <v>45</v>
      </c>
      <c r="L650" s="25" t="n">
        <v>7.55</v>
      </c>
      <c r="M650" s="25" t="n">
        <v>339.75</v>
      </c>
      <c r="N650" s="25" t="n">
        <v>43.62</v>
      </c>
      <c r="O650" s="25" t="n">
        <v>383.37</v>
      </c>
      <c r="P650" s="22" t="s">
        <v>11407</v>
      </c>
      <c r="Q650" s="23" t="n">
        <v>46249</v>
      </c>
      <c r="R650" s="22" t="n">
        <f aca="false">I650*J650</f>
        <v>45</v>
      </c>
      <c r="S650" s="25" t="n">
        <f aca="false">K650-R650</f>
        <v>0</v>
      </c>
      <c r="T650" s="25" t="n">
        <f aca="false">K650*L650</f>
        <v>339.75</v>
      </c>
      <c r="U650" s="25" t="n">
        <f aca="false">M650-T650</f>
        <v>0</v>
      </c>
      <c r="V650" s="25" t="n">
        <f aca="false">M650+N650</f>
        <v>383.37</v>
      </c>
      <c r="W650" s="25" t="n">
        <f aca="false">O650-V650</f>
        <v>0</v>
      </c>
      <c r="X650" s="22" t="str">
        <f aca="false">IF(OR(ABS(S650)&gt;0.005,ABS(U650)&gt;0.005,ABS(W650)&gt;0.005),"Subledger arithmetic error","OK")</f>
        <v>OK</v>
      </c>
      <c r="Y650" s="22" t="str">
        <f aca="false">IF(X650="OK","","Priority 3")</f>
        <v/>
      </c>
    </row>
    <row r="651" customFormat="false" ht="15" hidden="false" customHeight="false" outlineLevel="0" collapsed="false">
      <c r="A651" s="22" t="s">
        <v>12705</v>
      </c>
      <c r="B651" s="23" t="n">
        <v>46235</v>
      </c>
      <c r="C651" s="22" t="s">
        <v>12706</v>
      </c>
      <c r="D651" s="22" t="s">
        <v>5377</v>
      </c>
      <c r="E651" s="22" t="s">
        <v>7981</v>
      </c>
      <c r="F651" s="22" t="s">
        <v>215</v>
      </c>
      <c r="G651" s="22" t="s">
        <v>8601</v>
      </c>
      <c r="H651" s="22" t="s">
        <v>11406</v>
      </c>
      <c r="I651" s="22" t="n">
        <v>70</v>
      </c>
      <c r="J651" s="22" t="n">
        <v>1</v>
      </c>
      <c r="K651" s="22" t="n">
        <v>70</v>
      </c>
      <c r="L651" s="25" t="n">
        <v>7.55</v>
      </c>
      <c r="M651" s="25" t="n">
        <v>528.5</v>
      </c>
      <c r="N651" s="25" t="n">
        <v>67.86</v>
      </c>
      <c r="O651" s="25" t="n">
        <v>596.36</v>
      </c>
      <c r="P651" s="22" t="s">
        <v>11407</v>
      </c>
      <c r="Q651" s="23" t="n">
        <v>46249</v>
      </c>
      <c r="R651" s="22" t="n">
        <f aca="false">I651*J651</f>
        <v>70</v>
      </c>
      <c r="S651" s="25" t="n">
        <f aca="false">K651-R651</f>
        <v>0</v>
      </c>
      <c r="T651" s="25" t="n">
        <f aca="false">K651*L651</f>
        <v>528.5</v>
      </c>
      <c r="U651" s="25" t="n">
        <f aca="false">M651-T651</f>
        <v>0</v>
      </c>
      <c r="V651" s="25" t="n">
        <f aca="false">M651+N651</f>
        <v>596.36</v>
      </c>
      <c r="W651" s="25" t="n">
        <f aca="false">O651-V651</f>
        <v>0</v>
      </c>
      <c r="X651" s="22" t="str">
        <f aca="false">IF(OR(ABS(S651)&gt;0.005,ABS(U651)&gt;0.005,ABS(W651)&gt;0.005),"Subledger arithmetic error","OK")</f>
        <v>OK</v>
      </c>
      <c r="Y651" s="22" t="str">
        <f aca="false">IF(X651="OK","","Priority 3")</f>
        <v/>
      </c>
    </row>
    <row r="652" customFormat="false" ht="15" hidden="false" customHeight="false" outlineLevel="0" collapsed="false">
      <c r="A652" s="22" t="s">
        <v>12707</v>
      </c>
      <c r="B652" s="23" t="n">
        <v>46235</v>
      </c>
      <c r="C652" s="22" t="s">
        <v>12708</v>
      </c>
      <c r="D652" s="22" t="s">
        <v>4466</v>
      </c>
      <c r="E652" s="22" t="s">
        <v>7982</v>
      </c>
      <c r="F652" s="22" t="s">
        <v>215</v>
      </c>
      <c r="G652" s="22" t="s">
        <v>8601</v>
      </c>
      <c r="H652" s="22" t="s">
        <v>11406</v>
      </c>
      <c r="I652" s="22" t="n">
        <v>60</v>
      </c>
      <c r="J652" s="22" t="n">
        <v>1</v>
      </c>
      <c r="K652" s="22" t="n">
        <v>60</v>
      </c>
      <c r="L652" s="25" t="n">
        <v>7.55</v>
      </c>
      <c r="M652" s="25" t="n">
        <v>453</v>
      </c>
      <c r="N652" s="25" t="n">
        <v>58.17</v>
      </c>
      <c r="O652" s="25" t="n">
        <v>511.17</v>
      </c>
      <c r="P652" s="22" t="s">
        <v>11407</v>
      </c>
      <c r="Q652" s="23" t="n">
        <v>46249</v>
      </c>
      <c r="R652" s="22" t="n">
        <f aca="false">I652*J652</f>
        <v>60</v>
      </c>
      <c r="S652" s="25" t="n">
        <f aca="false">K652-R652</f>
        <v>0</v>
      </c>
      <c r="T652" s="25" t="n">
        <f aca="false">K652*L652</f>
        <v>453</v>
      </c>
      <c r="U652" s="25" t="n">
        <f aca="false">M652-T652</f>
        <v>0</v>
      </c>
      <c r="V652" s="25" t="n">
        <f aca="false">M652+N652</f>
        <v>511.17</v>
      </c>
      <c r="W652" s="25" t="n">
        <f aca="false">O652-V652</f>
        <v>0</v>
      </c>
      <c r="X652" s="22" t="str">
        <f aca="false">IF(OR(ABS(S652)&gt;0.005,ABS(U652)&gt;0.005,ABS(W652)&gt;0.005),"Subledger arithmetic error","OK")</f>
        <v>OK</v>
      </c>
      <c r="Y652" s="22" t="str">
        <f aca="false">IF(X652="OK","","Priority 3")</f>
        <v/>
      </c>
    </row>
    <row r="653" customFormat="false" ht="15" hidden="false" customHeight="false" outlineLevel="0" collapsed="false">
      <c r="A653" s="22" t="s">
        <v>12709</v>
      </c>
      <c r="B653" s="23" t="n">
        <v>46235</v>
      </c>
      <c r="C653" s="22" t="s">
        <v>12710</v>
      </c>
      <c r="D653" s="22" t="s">
        <v>5863</v>
      </c>
      <c r="E653" s="22" t="s">
        <v>7984</v>
      </c>
      <c r="F653" s="22" t="s">
        <v>215</v>
      </c>
      <c r="G653" s="22" t="s">
        <v>8601</v>
      </c>
      <c r="H653" s="22" t="s">
        <v>11406</v>
      </c>
      <c r="I653" s="22" t="n">
        <v>70</v>
      </c>
      <c r="J653" s="22" t="n">
        <v>1</v>
      </c>
      <c r="K653" s="22" t="n">
        <v>70</v>
      </c>
      <c r="L653" s="25" t="n">
        <v>7.55</v>
      </c>
      <c r="M653" s="25" t="n">
        <v>528.5</v>
      </c>
      <c r="N653" s="25" t="n">
        <v>67.86</v>
      </c>
      <c r="O653" s="25" t="n">
        <v>596.36</v>
      </c>
      <c r="P653" s="22" t="s">
        <v>11407</v>
      </c>
      <c r="Q653" s="23" t="n">
        <v>46249</v>
      </c>
      <c r="R653" s="22" t="n">
        <f aca="false">I653*J653</f>
        <v>70</v>
      </c>
      <c r="S653" s="25" t="n">
        <f aca="false">K653-R653</f>
        <v>0</v>
      </c>
      <c r="T653" s="25" t="n">
        <f aca="false">K653*L653</f>
        <v>528.5</v>
      </c>
      <c r="U653" s="25" t="n">
        <f aca="false">M653-T653</f>
        <v>0</v>
      </c>
      <c r="V653" s="25" t="n">
        <f aca="false">M653+N653</f>
        <v>596.36</v>
      </c>
      <c r="W653" s="25" t="n">
        <f aca="false">O653-V653</f>
        <v>0</v>
      </c>
      <c r="X653" s="22" t="str">
        <f aca="false">IF(OR(ABS(S653)&gt;0.005,ABS(U653)&gt;0.005,ABS(W653)&gt;0.005),"Subledger arithmetic error","OK")</f>
        <v>OK</v>
      </c>
      <c r="Y653" s="22" t="str">
        <f aca="false">IF(X653="OK","","Priority 3")</f>
        <v/>
      </c>
    </row>
    <row r="654" customFormat="false" ht="15" hidden="false" customHeight="false" outlineLevel="0" collapsed="false">
      <c r="A654" s="22" t="s">
        <v>12711</v>
      </c>
      <c r="B654" s="23" t="n">
        <v>46235</v>
      </c>
      <c r="C654" s="22" t="s">
        <v>12712</v>
      </c>
      <c r="D654" s="22" t="s">
        <v>3467</v>
      </c>
      <c r="E654" s="22" t="s">
        <v>7985</v>
      </c>
      <c r="F654" s="22" t="s">
        <v>215</v>
      </c>
      <c r="G654" s="22" t="s">
        <v>8601</v>
      </c>
      <c r="H654" s="22" t="s">
        <v>11406</v>
      </c>
      <c r="I654" s="22" t="n">
        <v>48</v>
      </c>
      <c r="J654" s="22" t="n">
        <v>1</v>
      </c>
      <c r="K654" s="22" t="n">
        <v>48</v>
      </c>
      <c r="L654" s="25" t="n">
        <v>7.55</v>
      </c>
      <c r="M654" s="25" t="n">
        <v>362.4</v>
      </c>
      <c r="N654" s="25" t="n">
        <v>46.53</v>
      </c>
      <c r="O654" s="25" t="n">
        <v>408.93</v>
      </c>
      <c r="P654" s="22" t="s">
        <v>11407</v>
      </c>
      <c r="Q654" s="23" t="n">
        <v>46249</v>
      </c>
      <c r="R654" s="22" t="n">
        <f aca="false">I654*J654</f>
        <v>48</v>
      </c>
      <c r="S654" s="25" t="n">
        <f aca="false">K654-R654</f>
        <v>0</v>
      </c>
      <c r="T654" s="25" t="n">
        <f aca="false">K654*L654</f>
        <v>362.4</v>
      </c>
      <c r="U654" s="25" t="n">
        <f aca="false">M654-T654</f>
        <v>0</v>
      </c>
      <c r="V654" s="25" t="n">
        <f aca="false">M654+N654</f>
        <v>408.93</v>
      </c>
      <c r="W654" s="25" t="n">
        <f aca="false">O654-V654</f>
        <v>0</v>
      </c>
      <c r="X654" s="22" t="str">
        <f aca="false">IF(OR(ABS(S654)&gt;0.005,ABS(U654)&gt;0.005,ABS(W654)&gt;0.005),"Subledger arithmetic error","OK")</f>
        <v>OK</v>
      </c>
      <c r="Y654" s="22" t="str">
        <f aca="false">IF(X654="OK","","Priority 3")</f>
        <v/>
      </c>
    </row>
    <row r="655" customFormat="false" ht="15" hidden="false" customHeight="false" outlineLevel="0" collapsed="false">
      <c r="A655" s="22" t="s">
        <v>12713</v>
      </c>
      <c r="B655" s="23" t="n">
        <v>46235</v>
      </c>
      <c r="C655" s="22" t="s">
        <v>12714</v>
      </c>
      <c r="D655" s="22" t="s">
        <v>2745</v>
      </c>
      <c r="E655" s="22" t="s">
        <v>7986</v>
      </c>
      <c r="F655" s="22" t="s">
        <v>215</v>
      </c>
      <c r="G655" s="22" t="s">
        <v>8601</v>
      </c>
      <c r="H655" s="22" t="s">
        <v>11406</v>
      </c>
      <c r="I655" s="22" t="n">
        <v>28</v>
      </c>
      <c r="J655" s="22" t="n">
        <v>1</v>
      </c>
      <c r="K655" s="22" t="n">
        <v>28</v>
      </c>
      <c r="L655" s="25" t="n">
        <v>7.55</v>
      </c>
      <c r="M655" s="25" t="n">
        <v>211.4</v>
      </c>
      <c r="N655" s="25" t="n">
        <v>27.14</v>
      </c>
      <c r="O655" s="25" t="n">
        <v>238.54</v>
      </c>
      <c r="P655" s="22" t="s">
        <v>11407</v>
      </c>
      <c r="Q655" s="23" t="n">
        <v>46249</v>
      </c>
      <c r="R655" s="22" t="n">
        <f aca="false">I655*J655</f>
        <v>28</v>
      </c>
      <c r="S655" s="25" t="n">
        <f aca="false">K655-R655</f>
        <v>0</v>
      </c>
      <c r="T655" s="25" t="n">
        <f aca="false">K655*L655</f>
        <v>211.4</v>
      </c>
      <c r="U655" s="25" t="n">
        <f aca="false">M655-T655</f>
        <v>0</v>
      </c>
      <c r="V655" s="25" t="n">
        <f aca="false">M655+N655</f>
        <v>238.54</v>
      </c>
      <c r="W655" s="25" t="n">
        <f aca="false">O655-V655</f>
        <v>0</v>
      </c>
      <c r="X655" s="22" t="str">
        <f aca="false">IF(OR(ABS(S655)&gt;0.005,ABS(U655)&gt;0.005,ABS(W655)&gt;0.005),"Subledger arithmetic error","OK")</f>
        <v>OK</v>
      </c>
      <c r="Y655" s="22" t="str">
        <f aca="false">IF(X655="OK","","Priority 3")</f>
        <v/>
      </c>
    </row>
    <row r="656" customFormat="false" ht="15" hidden="false" customHeight="false" outlineLevel="0" collapsed="false">
      <c r="A656" s="22" t="s">
        <v>12715</v>
      </c>
      <c r="B656" s="23" t="n">
        <v>46235</v>
      </c>
      <c r="C656" s="22" t="s">
        <v>12716</v>
      </c>
      <c r="D656" s="22" t="s">
        <v>5077</v>
      </c>
      <c r="E656" s="22" t="s">
        <v>7987</v>
      </c>
      <c r="F656" s="22" t="s">
        <v>215</v>
      </c>
      <c r="G656" s="22" t="s">
        <v>8601</v>
      </c>
      <c r="H656" s="22" t="s">
        <v>11406</v>
      </c>
      <c r="I656" s="22" t="n">
        <v>50</v>
      </c>
      <c r="J656" s="22" t="n">
        <v>1</v>
      </c>
      <c r="K656" s="22" t="n">
        <v>50</v>
      </c>
      <c r="L656" s="25" t="n">
        <v>7.55</v>
      </c>
      <c r="M656" s="25" t="n">
        <v>377.5</v>
      </c>
      <c r="N656" s="25" t="n">
        <v>48.47</v>
      </c>
      <c r="O656" s="25" t="n">
        <v>425.97</v>
      </c>
      <c r="P656" s="22" t="s">
        <v>11407</v>
      </c>
      <c r="Q656" s="23" t="n">
        <v>46249</v>
      </c>
      <c r="R656" s="22" t="n">
        <f aca="false">I656*J656</f>
        <v>50</v>
      </c>
      <c r="S656" s="25" t="n">
        <f aca="false">K656-R656</f>
        <v>0</v>
      </c>
      <c r="T656" s="25" t="n">
        <f aca="false">K656*L656</f>
        <v>377.5</v>
      </c>
      <c r="U656" s="25" t="n">
        <f aca="false">M656-T656</f>
        <v>0</v>
      </c>
      <c r="V656" s="25" t="n">
        <f aca="false">M656+N656</f>
        <v>425.97</v>
      </c>
      <c r="W656" s="25" t="n">
        <f aca="false">O656-V656</f>
        <v>0</v>
      </c>
      <c r="X656" s="22" t="str">
        <f aca="false">IF(OR(ABS(S656)&gt;0.005,ABS(U656)&gt;0.005,ABS(W656)&gt;0.005),"Subledger arithmetic error","OK")</f>
        <v>OK</v>
      </c>
      <c r="Y656" s="22" t="str">
        <f aca="false">IF(X656="OK","","Priority 3")</f>
        <v/>
      </c>
    </row>
    <row r="657" customFormat="false" ht="15" hidden="false" customHeight="false" outlineLevel="0" collapsed="false">
      <c r="A657" s="22" t="s">
        <v>12717</v>
      </c>
      <c r="B657" s="23" t="n">
        <v>46235</v>
      </c>
      <c r="C657" s="22" t="s">
        <v>12718</v>
      </c>
      <c r="D657" s="22" t="s">
        <v>5276</v>
      </c>
      <c r="E657" s="22" t="s">
        <v>7988</v>
      </c>
      <c r="F657" s="22" t="s">
        <v>215</v>
      </c>
      <c r="G657" s="22" t="s">
        <v>8601</v>
      </c>
      <c r="H657" s="22" t="s">
        <v>11406</v>
      </c>
      <c r="I657" s="22" t="n">
        <v>54</v>
      </c>
      <c r="J657" s="22" t="n">
        <v>1</v>
      </c>
      <c r="K657" s="22" t="n">
        <v>54</v>
      </c>
      <c r="L657" s="25" t="n">
        <v>7.55</v>
      </c>
      <c r="M657" s="25" t="n">
        <v>407.7</v>
      </c>
      <c r="N657" s="25" t="n">
        <v>52.35</v>
      </c>
      <c r="O657" s="25" t="n">
        <v>460.05</v>
      </c>
      <c r="P657" s="22" t="s">
        <v>11407</v>
      </c>
      <c r="Q657" s="23" t="n">
        <v>46249</v>
      </c>
      <c r="R657" s="22" t="n">
        <f aca="false">I657*J657</f>
        <v>54</v>
      </c>
      <c r="S657" s="25" t="n">
        <f aca="false">K657-R657</f>
        <v>0</v>
      </c>
      <c r="T657" s="25" t="n">
        <f aca="false">K657*L657</f>
        <v>407.7</v>
      </c>
      <c r="U657" s="25" t="n">
        <f aca="false">M657-T657</f>
        <v>0</v>
      </c>
      <c r="V657" s="25" t="n">
        <f aca="false">M657+N657</f>
        <v>460.05</v>
      </c>
      <c r="W657" s="25" t="n">
        <f aca="false">O657-V657</f>
        <v>0</v>
      </c>
      <c r="X657" s="22" t="str">
        <f aca="false">IF(OR(ABS(S657)&gt;0.005,ABS(U657)&gt;0.005,ABS(W657)&gt;0.005),"Subledger arithmetic error","OK")</f>
        <v>OK</v>
      </c>
      <c r="Y657" s="22" t="str">
        <f aca="false">IF(X657="OK","","Priority 3")</f>
        <v/>
      </c>
    </row>
    <row r="658" customFormat="false" ht="15" hidden="false" customHeight="false" outlineLevel="0" collapsed="false">
      <c r="A658" s="22" t="s">
        <v>12719</v>
      </c>
      <c r="B658" s="23" t="n">
        <v>46235</v>
      </c>
      <c r="C658" s="22" t="s">
        <v>12720</v>
      </c>
      <c r="D658" s="22" t="s">
        <v>5485</v>
      </c>
      <c r="E658" s="22" t="s">
        <v>7989</v>
      </c>
      <c r="F658" s="22" t="s">
        <v>215</v>
      </c>
      <c r="G658" s="22" t="s">
        <v>8601</v>
      </c>
      <c r="H658" s="22" t="s">
        <v>11406</v>
      </c>
      <c r="I658" s="22" t="n">
        <v>49</v>
      </c>
      <c r="J658" s="22" t="n">
        <v>1</v>
      </c>
      <c r="K658" s="22" t="n">
        <v>49</v>
      </c>
      <c r="L658" s="25" t="n">
        <v>7.55</v>
      </c>
      <c r="M658" s="25" t="n">
        <v>369.95</v>
      </c>
      <c r="N658" s="25" t="n">
        <v>47.5</v>
      </c>
      <c r="O658" s="25" t="n">
        <v>417.45</v>
      </c>
      <c r="P658" s="22" t="s">
        <v>11407</v>
      </c>
      <c r="Q658" s="23" t="n">
        <v>46249</v>
      </c>
      <c r="R658" s="22" t="n">
        <f aca="false">I658*J658</f>
        <v>49</v>
      </c>
      <c r="S658" s="25" t="n">
        <f aca="false">K658-R658</f>
        <v>0</v>
      </c>
      <c r="T658" s="25" t="n">
        <f aca="false">K658*L658</f>
        <v>369.95</v>
      </c>
      <c r="U658" s="25" t="n">
        <f aca="false">M658-T658</f>
        <v>0</v>
      </c>
      <c r="V658" s="25" t="n">
        <f aca="false">M658+N658</f>
        <v>417.45</v>
      </c>
      <c r="W658" s="25" t="n">
        <f aca="false">O658-V658</f>
        <v>0</v>
      </c>
      <c r="X658" s="22" t="str">
        <f aca="false">IF(OR(ABS(S658)&gt;0.005,ABS(U658)&gt;0.005,ABS(W658)&gt;0.005),"Subledger arithmetic error","OK")</f>
        <v>OK</v>
      </c>
      <c r="Y658" s="22" t="str">
        <f aca="false">IF(X658="OK","","Priority 3")</f>
        <v/>
      </c>
    </row>
    <row r="659" customFormat="false" ht="15" hidden="false" customHeight="false" outlineLevel="0" collapsed="false">
      <c r="A659" s="22" t="s">
        <v>12721</v>
      </c>
      <c r="B659" s="23" t="n">
        <v>46235</v>
      </c>
      <c r="C659" s="22" t="s">
        <v>12722</v>
      </c>
      <c r="D659" s="22" t="s">
        <v>3714</v>
      </c>
      <c r="E659" s="22" t="s">
        <v>7990</v>
      </c>
      <c r="F659" s="22" t="s">
        <v>215</v>
      </c>
      <c r="G659" s="22" t="s">
        <v>8601</v>
      </c>
      <c r="H659" s="22" t="s">
        <v>11406</v>
      </c>
      <c r="I659" s="22" t="n">
        <v>30</v>
      </c>
      <c r="J659" s="22" t="n">
        <v>1</v>
      </c>
      <c r="K659" s="22" t="n">
        <v>30</v>
      </c>
      <c r="L659" s="25" t="n">
        <v>7.55</v>
      </c>
      <c r="M659" s="25" t="n">
        <v>226.5</v>
      </c>
      <c r="N659" s="25" t="n">
        <v>29.08</v>
      </c>
      <c r="O659" s="25" t="n">
        <v>255.58</v>
      </c>
      <c r="P659" s="22" t="s">
        <v>11407</v>
      </c>
      <c r="Q659" s="23" t="n">
        <v>46249</v>
      </c>
      <c r="R659" s="22" t="n">
        <f aca="false">I659*J659</f>
        <v>30</v>
      </c>
      <c r="S659" s="25" t="n">
        <f aca="false">K659-R659</f>
        <v>0</v>
      </c>
      <c r="T659" s="25" t="n">
        <f aca="false">K659*L659</f>
        <v>226.5</v>
      </c>
      <c r="U659" s="25" t="n">
        <f aca="false">M659-T659</f>
        <v>0</v>
      </c>
      <c r="V659" s="25" t="n">
        <f aca="false">M659+N659</f>
        <v>255.58</v>
      </c>
      <c r="W659" s="25" t="n">
        <f aca="false">O659-V659</f>
        <v>0</v>
      </c>
      <c r="X659" s="22" t="str">
        <f aca="false">IF(OR(ABS(S659)&gt;0.005,ABS(U659)&gt;0.005,ABS(W659)&gt;0.005),"Subledger arithmetic error","OK")</f>
        <v>OK</v>
      </c>
      <c r="Y659" s="22" t="str">
        <f aca="false">IF(X659="OK","","Priority 3")</f>
        <v/>
      </c>
    </row>
    <row r="660" customFormat="false" ht="15" hidden="false" customHeight="false" outlineLevel="0" collapsed="false">
      <c r="A660" s="22" t="s">
        <v>12723</v>
      </c>
      <c r="B660" s="23" t="n">
        <v>46235</v>
      </c>
      <c r="C660" s="22" t="s">
        <v>12724</v>
      </c>
      <c r="D660" s="22" t="s">
        <v>4757</v>
      </c>
      <c r="E660" s="22" t="s">
        <v>7992</v>
      </c>
      <c r="F660" s="22" t="s">
        <v>215</v>
      </c>
      <c r="G660" s="22" t="s">
        <v>8601</v>
      </c>
      <c r="H660" s="22" t="s">
        <v>11406</v>
      </c>
      <c r="I660" s="22" t="n">
        <v>62</v>
      </c>
      <c r="J660" s="22" t="n">
        <v>1</v>
      </c>
      <c r="K660" s="22" t="n">
        <v>62</v>
      </c>
      <c r="L660" s="25" t="n">
        <v>7.55</v>
      </c>
      <c r="M660" s="25" t="n">
        <v>468.1</v>
      </c>
      <c r="N660" s="25" t="n">
        <v>60.1</v>
      </c>
      <c r="O660" s="25" t="n">
        <v>528.2</v>
      </c>
      <c r="P660" s="22" t="s">
        <v>11407</v>
      </c>
      <c r="Q660" s="23" t="n">
        <v>46249</v>
      </c>
      <c r="R660" s="22" t="n">
        <f aca="false">I660*J660</f>
        <v>62</v>
      </c>
      <c r="S660" s="25" t="n">
        <f aca="false">K660-R660</f>
        <v>0</v>
      </c>
      <c r="T660" s="25" t="n">
        <f aca="false">K660*L660</f>
        <v>468.1</v>
      </c>
      <c r="U660" s="25" t="n">
        <f aca="false">M660-T660</f>
        <v>0</v>
      </c>
      <c r="V660" s="25" t="n">
        <f aca="false">M660+N660</f>
        <v>528.2</v>
      </c>
      <c r="W660" s="25" t="n">
        <f aca="false">O660-V660</f>
        <v>0</v>
      </c>
      <c r="X660" s="22" t="str">
        <f aca="false">IF(OR(ABS(S660)&gt;0.005,ABS(U660)&gt;0.005,ABS(W660)&gt;0.005),"Subledger arithmetic error","OK")</f>
        <v>OK</v>
      </c>
      <c r="Y660" s="22" t="str">
        <f aca="false">IF(X660="OK","","Priority 3")</f>
        <v/>
      </c>
    </row>
    <row r="661" customFormat="false" ht="15" hidden="false" customHeight="false" outlineLevel="0" collapsed="false">
      <c r="A661" s="22" t="s">
        <v>12725</v>
      </c>
      <c r="B661" s="23" t="n">
        <v>46235</v>
      </c>
      <c r="C661" s="22" t="s">
        <v>12726</v>
      </c>
      <c r="D661" s="22" t="s">
        <v>3612</v>
      </c>
      <c r="E661" s="22" t="s">
        <v>7993</v>
      </c>
      <c r="F661" s="22" t="s">
        <v>215</v>
      </c>
      <c r="G661" s="22" t="s">
        <v>8601</v>
      </c>
      <c r="H661" s="22" t="s">
        <v>11406</v>
      </c>
      <c r="I661" s="22" t="n">
        <v>52</v>
      </c>
      <c r="J661" s="22" t="n">
        <v>1</v>
      </c>
      <c r="K661" s="22" t="n">
        <v>52</v>
      </c>
      <c r="L661" s="25" t="n">
        <v>7.55</v>
      </c>
      <c r="M661" s="25" t="n">
        <v>392.6</v>
      </c>
      <c r="N661" s="25" t="n">
        <v>50.41</v>
      </c>
      <c r="O661" s="25" t="n">
        <v>443.01</v>
      </c>
      <c r="P661" s="22" t="s">
        <v>11407</v>
      </c>
      <c r="Q661" s="23" t="n">
        <v>46249</v>
      </c>
      <c r="R661" s="22" t="n">
        <f aca="false">I661*J661</f>
        <v>52</v>
      </c>
      <c r="S661" s="25" t="n">
        <f aca="false">K661-R661</f>
        <v>0</v>
      </c>
      <c r="T661" s="25" t="n">
        <f aca="false">K661*L661</f>
        <v>392.6</v>
      </c>
      <c r="U661" s="25" t="n">
        <f aca="false">M661-T661</f>
        <v>0</v>
      </c>
      <c r="V661" s="25" t="n">
        <f aca="false">M661+N661</f>
        <v>443.01</v>
      </c>
      <c r="W661" s="25" t="n">
        <f aca="false">O661-V661</f>
        <v>0</v>
      </c>
      <c r="X661" s="22" t="str">
        <f aca="false">IF(OR(ABS(S661)&gt;0.005,ABS(U661)&gt;0.005,ABS(W661)&gt;0.005),"Subledger arithmetic error","OK")</f>
        <v>OK</v>
      </c>
      <c r="Y661" s="22" t="str">
        <f aca="false">IF(X661="OK","","Priority 3")</f>
        <v/>
      </c>
    </row>
    <row r="662" customFormat="false" ht="15" hidden="false" customHeight="false" outlineLevel="0" collapsed="false">
      <c r="A662" s="22" t="s">
        <v>12727</v>
      </c>
      <c r="B662" s="23" t="n">
        <v>46235</v>
      </c>
      <c r="C662" s="22" t="s">
        <v>12728</v>
      </c>
      <c r="D662" s="22" t="s">
        <v>1494</v>
      </c>
      <c r="E662" s="22" t="s">
        <v>7995</v>
      </c>
      <c r="F662" s="22" t="s">
        <v>215</v>
      </c>
      <c r="G662" s="22" t="s">
        <v>8601</v>
      </c>
      <c r="H662" s="22" t="s">
        <v>11406</v>
      </c>
      <c r="I662" s="22" t="n">
        <v>62</v>
      </c>
      <c r="J662" s="22" t="n">
        <v>1</v>
      </c>
      <c r="K662" s="22" t="n">
        <v>62</v>
      </c>
      <c r="L662" s="25" t="n">
        <v>7.55</v>
      </c>
      <c r="M662" s="25" t="n">
        <v>468.1</v>
      </c>
      <c r="N662" s="25" t="n">
        <v>60.1</v>
      </c>
      <c r="O662" s="25" t="n">
        <v>528.2</v>
      </c>
      <c r="P662" s="22" t="s">
        <v>11407</v>
      </c>
      <c r="Q662" s="23" t="n">
        <v>46249</v>
      </c>
      <c r="R662" s="22" t="n">
        <f aca="false">I662*J662</f>
        <v>62</v>
      </c>
      <c r="S662" s="25" t="n">
        <f aca="false">K662-R662</f>
        <v>0</v>
      </c>
      <c r="T662" s="25" t="n">
        <f aca="false">K662*L662</f>
        <v>468.1</v>
      </c>
      <c r="U662" s="25" t="n">
        <f aca="false">M662-T662</f>
        <v>0</v>
      </c>
      <c r="V662" s="25" t="n">
        <f aca="false">M662+N662</f>
        <v>528.2</v>
      </c>
      <c r="W662" s="25" t="n">
        <f aca="false">O662-V662</f>
        <v>0</v>
      </c>
      <c r="X662" s="22" t="str">
        <f aca="false">IF(OR(ABS(S662)&gt;0.005,ABS(U662)&gt;0.005,ABS(W662)&gt;0.005),"Subledger arithmetic error","OK")</f>
        <v>OK</v>
      </c>
      <c r="Y662" s="22" t="str">
        <f aca="false">IF(X662="OK","","Priority 3")</f>
        <v/>
      </c>
    </row>
    <row r="663" customFormat="false" ht="15" hidden="false" customHeight="false" outlineLevel="0" collapsed="false">
      <c r="A663" s="22" t="s">
        <v>12729</v>
      </c>
      <c r="B663" s="23" t="n">
        <v>46235</v>
      </c>
      <c r="C663" s="22" t="s">
        <v>12730</v>
      </c>
      <c r="D663" s="22" t="s">
        <v>5875</v>
      </c>
      <c r="E663" s="22" t="s">
        <v>7996</v>
      </c>
      <c r="F663" s="22" t="s">
        <v>215</v>
      </c>
      <c r="G663" s="22" t="s">
        <v>8601</v>
      </c>
      <c r="H663" s="22" t="s">
        <v>11406</v>
      </c>
      <c r="I663" s="22" t="n">
        <v>28</v>
      </c>
      <c r="J663" s="22" t="n">
        <v>1</v>
      </c>
      <c r="K663" s="22" t="n">
        <v>28</v>
      </c>
      <c r="L663" s="25" t="n">
        <v>7.55</v>
      </c>
      <c r="M663" s="25" t="n">
        <v>211.4</v>
      </c>
      <c r="N663" s="25" t="n">
        <v>27.14</v>
      </c>
      <c r="O663" s="25" t="n">
        <v>238.54</v>
      </c>
      <c r="P663" s="22" t="s">
        <v>11407</v>
      </c>
      <c r="Q663" s="23" t="n">
        <v>46249</v>
      </c>
      <c r="R663" s="22" t="n">
        <f aca="false">I663*J663</f>
        <v>28</v>
      </c>
      <c r="S663" s="25" t="n">
        <f aca="false">K663-R663</f>
        <v>0</v>
      </c>
      <c r="T663" s="25" t="n">
        <f aca="false">K663*L663</f>
        <v>211.4</v>
      </c>
      <c r="U663" s="25" t="n">
        <f aca="false">M663-T663</f>
        <v>0</v>
      </c>
      <c r="V663" s="25" t="n">
        <f aca="false">M663+N663</f>
        <v>238.54</v>
      </c>
      <c r="W663" s="25" t="n">
        <f aca="false">O663-V663</f>
        <v>0</v>
      </c>
      <c r="X663" s="22" t="str">
        <f aca="false">IF(OR(ABS(S663)&gt;0.005,ABS(U663)&gt;0.005,ABS(W663)&gt;0.005),"Subledger arithmetic error","OK")</f>
        <v>OK</v>
      </c>
      <c r="Y663" s="22" t="str">
        <f aca="false">IF(X663="OK","","Priority 3")</f>
        <v/>
      </c>
    </row>
    <row r="664" customFormat="false" ht="15" hidden="false" customHeight="false" outlineLevel="0" collapsed="false">
      <c r="A664" s="22" t="s">
        <v>12731</v>
      </c>
      <c r="B664" s="23" t="n">
        <v>46235</v>
      </c>
      <c r="C664" s="22" t="s">
        <v>12732</v>
      </c>
      <c r="D664" s="22" t="s">
        <v>5439</v>
      </c>
      <c r="E664" s="22" t="s">
        <v>7998</v>
      </c>
      <c r="F664" s="22" t="s">
        <v>215</v>
      </c>
      <c r="G664" s="22" t="s">
        <v>8601</v>
      </c>
      <c r="H664" s="22" t="s">
        <v>11406</v>
      </c>
      <c r="I664" s="22" t="n">
        <v>41</v>
      </c>
      <c r="J664" s="22" t="n">
        <v>1</v>
      </c>
      <c r="K664" s="22" t="n">
        <v>41</v>
      </c>
      <c r="L664" s="25" t="n">
        <v>7.55</v>
      </c>
      <c r="M664" s="25" t="n">
        <v>309.55</v>
      </c>
      <c r="N664" s="25" t="n">
        <v>39.75</v>
      </c>
      <c r="O664" s="25" t="n">
        <v>349.3</v>
      </c>
      <c r="P664" s="22" t="s">
        <v>11407</v>
      </c>
      <c r="Q664" s="23" t="n">
        <v>46249</v>
      </c>
      <c r="R664" s="22" t="n">
        <f aca="false">I664*J664</f>
        <v>41</v>
      </c>
      <c r="S664" s="25" t="n">
        <f aca="false">K664-R664</f>
        <v>0</v>
      </c>
      <c r="T664" s="25" t="n">
        <f aca="false">K664*L664</f>
        <v>309.55</v>
      </c>
      <c r="U664" s="25" t="n">
        <f aca="false">M664-T664</f>
        <v>0</v>
      </c>
      <c r="V664" s="25" t="n">
        <f aca="false">M664+N664</f>
        <v>349.3</v>
      </c>
      <c r="W664" s="25" t="n">
        <f aca="false">O664-V664</f>
        <v>0</v>
      </c>
      <c r="X664" s="22" t="str">
        <f aca="false">IF(OR(ABS(S664)&gt;0.005,ABS(U664)&gt;0.005,ABS(W664)&gt;0.005),"Subledger arithmetic error","OK")</f>
        <v>OK</v>
      </c>
      <c r="Y664" s="22" t="str">
        <f aca="false">IF(X664="OK","","Priority 3")</f>
        <v/>
      </c>
    </row>
    <row r="665" customFormat="false" ht="15" hidden="false" customHeight="false" outlineLevel="0" collapsed="false">
      <c r="A665" s="22" t="s">
        <v>12733</v>
      </c>
      <c r="B665" s="23" t="n">
        <v>46235</v>
      </c>
      <c r="C665" s="22" t="s">
        <v>12734</v>
      </c>
      <c r="D665" s="22" t="s">
        <v>6378</v>
      </c>
      <c r="E665" s="22" t="s">
        <v>8001</v>
      </c>
      <c r="F665" s="22" t="s">
        <v>215</v>
      </c>
      <c r="G665" s="22" t="s">
        <v>8601</v>
      </c>
      <c r="H665" s="22" t="s">
        <v>11406</v>
      </c>
      <c r="I665" s="22" t="n">
        <v>60</v>
      </c>
      <c r="J665" s="22" t="n">
        <v>1</v>
      </c>
      <c r="K665" s="22" t="n">
        <v>60</v>
      </c>
      <c r="L665" s="25" t="n">
        <v>7.55</v>
      </c>
      <c r="M665" s="25" t="n">
        <v>453</v>
      </c>
      <c r="N665" s="25" t="n">
        <v>58.17</v>
      </c>
      <c r="O665" s="25" t="n">
        <v>511.17</v>
      </c>
      <c r="P665" s="22" t="s">
        <v>11407</v>
      </c>
      <c r="Q665" s="23" t="n">
        <v>46249</v>
      </c>
      <c r="R665" s="22" t="n">
        <f aca="false">I665*J665</f>
        <v>60</v>
      </c>
      <c r="S665" s="25" t="n">
        <f aca="false">K665-R665</f>
        <v>0</v>
      </c>
      <c r="T665" s="25" t="n">
        <f aca="false">K665*L665</f>
        <v>453</v>
      </c>
      <c r="U665" s="25" t="n">
        <f aca="false">M665-T665</f>
        <v>0</v>
      </c>
      <c r="V665" s="25" t="n">
        <f aca="false">M665+N665</f>
        <v>511.17</v>
      </c>
      <c r="W665" s="25" t="n">
        <f aca="false">O665-V665</f>
        <v>0</v>
      </c>
      <c r="X665" s="22" t="str">
        <f aca="false">IF(OR(ABS(S665)&gt;0.005,ABS(U665)&gt;0.005,ABS(W665)&gt;0.005),"Subledger arithmetic error","OK")</f>
        <v>OK</v>
      </c>
      <c r="Y665" s="22" t="str">
        <f aca="false">IF(X665="OK","","Priority 3")</f>
        <v/>
      </c>
    </row>
    <row r="666" customFormat="false" ht="15" hidden="false" customHeight="false" outlineLevel="0" collapsed="false">
      <c r="A666" s="22" t="s">
        <v>12735</v>
      </c>
      <c r="B666" s="23" t="n">
        <v>46235</v>
      </c>
      <c r="C666" s="22" t="s">
        <v>12736</v>
      </c>
      <c r="D666" s="22" t="s">
        <v>2906</v>
      </c>
      <c r="E666" s="22" t="s">
        <v>8002</v>
      </c>
      <c r="F666" s="22" t="s">
        <v>215</v>
      </c>
      <c r="G666" s="22" t="s">
        <v>8601</v>
      </c>
      <c r="H666" s="22" t="s">
        <v>11406</v>
      </c>
      <c r="I666" s="22" t="n">
        <v>28</v>
      </c>
      <c r="J666" s="22" t="n">
        <v>1</v>
      </c>
      <c r="K666" s="22" t="n">
        <v>28</v>
      </c>
      <c r="L666" s="25" t="n">
        <v>7.55</v>
      </c>
      <c r="M666" s="25" t="n">
        <v>211.4</v>
      </c>
      <c r="N666" s="25" t="n">
        <v>27.14</v>
      </c>
      <c r="O666" s="25" t="n">
        <v>238.54</v>
      </c>
      <c r="P666" s="22" t="s">
        <v>11407</v>
      </c>
      <c r="Q666" s="23" t="n">
        <v>46249</v>
      </c>
      <c r="R666" s="22" t="n">
        <f aca="false">I666*J666</f>
        <v>28</v>
      </c>
      <c r="S666" s="25" t="n">
        <f aca="false">K666-R666</f>
        <v>0</v>
      </c>
      <c r="T666" s="25" t="n">
        <f aca="false">K666*L666</f>
        <v>211.4</v>
      </c>
      <c r="U666" s="25" t="n">
        <f aca="false">M666-T666</f>
        <v>0</v>
      </c>
      <c r="V666" s="25" t="n">
        <f aca="false">M666+N666</f>
        <v>238.54</v>
      </c>
      <c r="W666" s="25" t="n">
        <f aca="false">O666-V666</f>
        <v>0</v>
      </c>
      <c r="X666" s="22" t="str">
        <f aca="false">IF(OR(ABS(S666)&gt;0.005,ABS(U666)&gt;0.005,ABS(W666)&gt;0.005),"Subledger arithmetic error","OK")</f>
        <v>OK</v>
      </c>
      <c r="Y666" s="22" t="str">
        <f aca="false">IF(X666="OK","","Priority 3")</f>
        <v/>
      </c>
    </row>
    <row r="667" customFormat="false" ht="15" hidden="false" customHeight="false" outlineLevel="0" collapsed="false">
      <c r="A667" s="22" t="s">
        <v>12737</v>
      </c>
      <c r="B667" s="23" t="n">
        <v>46235</v>
      </c>
      <c r="C667" s="22" t="s">
        <v>12738</v>
      </c>
      <c r="D667" s="22" t="s">
        <v>1723</v>
      </c>
      <c r="E667" s="22" t="s">
        <v>8003</v>
      </c>
      <c r="F667" s="22" t="s">
        <v>215</v>
      </c>
      <c r="G667" s="22" t="s">
        <v>8601</v>
      </c>
      <c r="H667" s="22" t="s">
        <v>11406</v>
      </c>
      <c r="I667" s="22" t="n">
        <v>40</v>
      </c>
      <c r="J667" s="22" t="n">
        <v>1</v>
      </c>
      <c r="K667" s="22" t="n">
        <v>40</v>
      </c>
      <c r="L667" s="25" t="n">
        <v>7.55</v>
      </c>
      <c r="M667" s="25" t="n">
        <v>302</v>
      </c>
      <c r="N667" s="25" t="n">
        <v>38.78</v>
      </c>
      <c r="O667" s="25" t="n">
        <v>340.78</v>
      </c>
      <c r="P667" s="22" t="s">
        <v>11407</v>
      </c>
      <c r="Q667" s="23" t="n">
        <v>46249</v>
      </c>
      <c r="R667" s="22" t="n">
        <f aca="false">I667*J667</f>
        <v>40</v>
      </c>
      <c r="S667" s="25" t="n">
        <f aca="false">K667-R667</f>
        <v>0</v>
      </c>
      <c r="T667" s="25" t="n">
        <f aca="false">K667*L667</f>
        <v>302</v>
      </c>
      <c r="U667" s="25" t="n">
        <f aca="false">M667-T667</f>
        <v>0</v>
      </c>
      <c r="V667" s="25" t="n">
        <f aca="false">M667+N667</f>
        <v>340.78</v>
      </c>
      <c r="W667" s="25" t="n">
        <f aca="false">O667-V667</f>
        <v>0</v>
      </c>
      <c r="X667" s="22" t="str">
        <f aca="false">IF(OR(ABS(S667)&gt;0.005,ABS(U667)&gt;0.005,ABS(W667)&gt;0.005),"Subledger arithmetic error","OK")</f>
        <v>OK</v>
      </c>
      <c r="Y667" s="22" t="str">
        <f aca="false">IF(X667="OK","","Priority 3")</f>
        <v/>
      </c>
    </row>
    <row r="668" customFormat="false" ht="15" hidden="false" customHeight="false" outlineLevel="0" collapsed="false">
      <c r="A668" s="22" t="s">
        <v>12739</v>
      </c>
      <c r="B668" s="23" t="n">
        <v>46235</v>
      </c>
      <c r="C668" s="22" t="s">
        <v>12740</v>
      </c>
      <c r="D668" s="22" t="s">
        <v>189</v>
      </c>
      <c r="E668" s="22" t="s">
        <v>8006</v>
      </c>
      <c r="F668" s="22" t="s">
        <v>215</v>
      </c>
      <c r="G668" s="22" t="s">
        <v>8601</v>
      </c>
      <c r="H668" s="22" t="s">
        <v>11406</v>
      </c>
      <c r="I668" s="22" t="n">
        <v>32</v>
      </c>
      <c r="J668" s="22" t="n">
        <v>1</v>
      </c>
      <c r="K668" s="22" t="n">
        <v>32</v>
      </c>
      <c r="L668" s="25" t="n">
        <v>7.55</v>
      </c>
      <c r="M668" s="25" t="n">
        <v>241.6</v>
      </c>
      <c r="N668" s="25" t="n">
        <v>31.02</v>
      </c>
      <c r="O668" s="25" t="n">
        <v>272.62</v>
      </c>
      <c r="P668" s="22" t="s">
        <v>11410</v>
      </c>
      <c r="Q668" s="23" t="n">
        <v>46249</v>
      </c>
      <c r="R668" s="22" t="n">
        <f aca="false">I668*J668</f>
        <v>32</v>
      </c>
      <c r="S668" s="25" t="n">
        <f aca="false">K668-R668</f>
        <v>0</v>
      </c>
      <c r="T668" s="25" t="n">
        <f aca="false">K668*L668</f>
        <v>241.6</v>
      </c>
      <c r="U668" s="25" t="n">
        <f aca="false">M668-T668</f>
        <v>0</v>
      </c>
      <c r="V668" s="25" t="n">
        <f aca="false">M668+N668</f>
        <v>272.62</v>
      </c>
      <c r="W668" s="25" t="n">
        <f aca="false">O668-V668</f>
        <v>0</v>
      </c>
      <c r="X668" s="22" t="str">
        <f aca="false">IF(OR(ABS(S668)&gt;0.005,ABS(U668)&gt;0.005,ABS(W668)&gt;0.005),"Subledger arithmetic error","OK")</f>
        <v>OK</v>
      </c>
      <c r="Y668" s="22" t="str">
        <f aca="false">IF(X668="OK","","Priority 3")</f>
        <v/>
      </c>
    </row>
    <row r="669" customFormat="false" ht="15" hidden="false" customHeight="false" outlineLevel="0" collapsed="false">
      <c r="A669" s="22" t="s">
        <v>12741</v>
      </c>
      <c r="B669" s="23" t="n">
        <v>46235</v>
      </c>
      <c r="C669" s="22" t="s">
        <v>12742</v>
      </c>
      <c r="D669" s="22" t="s">
        <v>3581</v>
      </c>
      <c r="E669" s="22" t="s">
        <v>8009</v>
      </c>
      <c r="F669" s="22" t="s">
        <v>215</v>
      </c>
      <c r="G669" s="22" t="s">
        <v>8601</v>
      </c>
      <c r="H669" s="22" t="s">
        <v>11406</v>
      </c>
      <c r="I669" s="22" t="n">
        <v>54</v>
      </c>
      <c r="J669" s="22" t="n">
        <v>1</v>
      </c>
      <c r="K669" s="22" t="n">
        <v>54</v>
      </c>
      <c r="L669" s="25" t="n">
        <v>7.55</v>
      </c>
      <c r="M669" s="25" t="n">
        <v>407.7</v>
      </c>
      <c r="N669" s="25" t="n">
        <v>52.35</v>
      </c>
      <c r="O669" s="25" t="n">
        <v>460.05</v>
      </c>
      <c r="P669" s="22" t="s">
        <v>11407</v>
      </c>
      <c r="Q669" s="23" t="n">
        <v>46249</v>
      </c>
      <c r="R669" s="22" t="n">
        <f aca="false">I669*J669</f>
        <v>54</v>
      </c>
      <c r="S669" s="25" t="n">
        <f aca="false">K669-R669</f>
        <v>0</v>
      </c>
      <c r="T669" s="25" t="n">
        <f aca="false">K669*L669</f>
        <v>407.7</v>
      </c>
      <c r="U669" s="25" t="n">
        <f aca="false">M669-T669</f>
        <v>0</v>
      </c>
      <c r="V669" s="25" t="n">
        <f aca="false">M669+N669</f>
        <v>460.05</v>
      </c>
      <c r="W669" s="25" t="n">
        <f aca="false">O669-V669</f>
        <v>0</v>
      </c>
      <c r="X669" s="22" t="str">
        <f aca="false">IF(OR(ABS(S669)&gt;0.005,ABS(U669)&gt;0.005,ABS(W669)&gt;0.005),"Subledger arithmetic error","OK")</f>
        <v>OK</v>
      </c>
      <c r="Y669" s="22" t="str">
        <f aca="false">IF(X669="OK","","Priority 3")</f>
        <v/>
      </c>
    </row>
    <row r="670" customFormat="false" ht="15" hidden="false" customHeight="false" outlineLevel="0" collapsed="false">
      <c r="A670" s="22" t="s">
        <v>12743</v>
      </c>
      <c r="B670" s="23" t="n">
        <v>46235</v>
      </c>
      <c r="C670" s="22" t="s">
        <v>12744</v>
      </c>
      <c r="D670" s="22" t="s">
        <v>3124</v>
      </c>
      <c r="E670" s="22" t="s">
        <v>8010</v>
      </c>
      <c r="F670" s="22" t="s">
        <v>215</v>
      </c>
      <c r="G670" s="22" t="s">
        <v>8601</v>
      </c>
      <c r="H670" s="22" t="s">
        <v>11406</v>
      </c>
      <c r="I670" s="22" t="n">
        <v>50</v>
      </c>
      <c r="J670" s="22" t="n">
        <v>1</v>
      </c>
      <c r="K670" s="22" t="n">
        <v>50</v>
      </c>
      <c r="L670" s="25" t="n">
        <v>7.55</v>
      </c>
      <c r="M670" s="25" t="n">
        <v>377.5</v>
      </c>
      <c r="N670" s="25" t="n">
        <v>48.47</v>
      </c>
      <c r="O670" s="25" t="n">
        <v>425.97</v>
      </c>
      <c r="P670" s="22" t="s">
        <v>11410</v>
      </c>
      <c r="Q670" s="23" t="n">
        <v>46249</v>
      </c>
      <c r="R670" s="22" t="n">
        <f aca="false">I670*J670</f>
        <v>50</v>
      </c>
      <c r="S670" s="25" t="n">
        <f aca="false">K670-R670</f>
        <v>0</v>
      </c>
      <c r="T670" s="25" t="n">
        <f aca="false">K670*L670</f>
        <v>377.5</v>
      </c>
      <c r="U670" s="25" t="n">
        <f aca="false">M670-T670</f>
        <v>0</v>
      </c>
      <c r="V670" s="25" t="n">
        <f aca="false">M670+N670</f>
        <v>425.97</v>
      </c>
      <c r="W670" s="25" t="n">
        <f aca="false">O670-V670</f>
        <v>0</v>
      </c>
      <c r="X670" s="22" t="str">
        <f aca="false">IF(OR(ABS(S670)&gt;0.005,ABS(U670)&gt;0.005,ABS(W670)&gt;0.005),"Subledger arithmetic error","OK")</f>
        <v>OK</v>
      </c>
      <c r="Y670" s="22" t="str">
        <f aca="false">IF(X670="OK","","Priority 3")</f>
        <v/>
      </c>
    </row>
    <row r="671" customFormat="false" ht="15" hidden="false" customHeight="false" outlineLevel="0" collapsed="false">
      <c r="A671" s="22" t="s">
        <v>12745</v>
      </c>
      <c r="B671" s="23" t="n">
        <v>46235</v>
      </c>
      <c r="C671" s="22" t="s">
        <v>12746</v>
      </c>
      <c r="D671" s="22" t="s">
        <v>2781</v>
      </c>
      <c r="E671" s="22" t="s">
        <v>8013</v>
      </c>
      <c r="F671" s="22" t="s">
        <v>215</v>
      </c>
      <c r="G671" s="22" t="s">
        <v>8601</v>
      </c>
      <c r="H671" s="22" t="s">
        <v>11406</v>
      </c>
      <c r="I671" s="22" t="n">
        <v>45</v>
      </c>
      <c r="J671" s="22" t="n">
        <v>1</v>
      </c>
      <c r="K671" s="22" t="n">
        <v>45</v>
      </c>
      <c r="L671" s="25" t="n">
        <v>7.55</v>
      </c>
      <c r="M671" s="25" t="n">
        <v>339.75</v>
      </c>
      <c r="N671" s="25" t="n">
        <v>43.62</v>
      </c>
      <c r="O671" s="25" t="n">
        <v>383.37</v>
      </c>
      <c r="P671" s="22" t="s">
        <v>11407</v>
      </c>
      <c r="Q671" s="23" t="n">
        <v>46249</v>
      </c>
      <c r="R671" s="22" t="n">
        <f aca="false">I671*J671</f>
        <v>45</v>
      </c>
      <c r="S671" s="25" t="n">
        <f aca="false">K671-R671</f>
        <v>0</v>
      </c>
      <c r="T671" s="25" t="n">
        <f aca="false">K671*L671</f>
        <v>339.75</v>
      </c>
      <c r="U671" s="25" t="n">
        <f aca="false">M671-T671</f>
        <v>0</v>
      </c>
      <c r="V671" s="25" t="n">
        <f aca="false">M671+N671</f>
        <v>383.37</v>
      </c>
      <c r="W671" s="25" t="n">
        <f aca="false">O671-V671</f>
        <v>0</v>
      </c>
      <c r="X671" s="22" t="str">
        <f aca="false">IF(OR(ABS(S671)&gt;0.005,ABS(U671)&gt;0.005,ABS(W671)&gt;0.005),"Subledger arithmetic error","OK")</f>
        <v>OK</v>
      </c>
      <c r="Y671" s="22" t="str">
        <f aca="false">IF(X671="OK","","Priority 3")</f>
        <v/>
      </c>
    </row>
    <row r="672" customFormat="false" ht="15" hidden="false" customHeight="false" outlineLevel="0" collapsed="false">
      <c r="A672" s="22" t="s">
        <v>12747</v>
      </c>
      <c r="B672" s="23" t="n">
        <v>46235</v>
      </c>
      <c r="C672" s="22" t="s">
        <v>12748</v>
      </c>
      <c r="D672" s="22" t="s">
        <v>5669</v>
      </c>
      <c r="E672" s="22" t="s">
        <v>8015</v>
      </c>
      <c r="F672" s="22" t="s">
        <v>215</v>
      </c>
      <c r="G672" s="22" t="s">
        <v>8601</v>
      </c>
      <c r="H672" s="22" t="s">
        <v>11406</v>
      </c>
      <c r="I672" s="22" t="n">
        <v>41</v>
      </c>
      <c r="J672" s="22" t="n">
        <v>1</v>
      </c>
      <c r="K672" s="22" t="n">
        <v>41</v>
      </c>
      <c r="L672" s="25" t="n">
        <v>7.55</v>
      </c>
      <c r="M672" s="25" t="n">
        <v>309.55</v>
      </c>
      <c r="N672" s="25" t="n">
        <v>39.75</v>
      </c>
      <c r="O672" s="25" t="n">
        <v>349.3</v>
      </c>
      <c r="P672" s="22" t="s">
        <v>11407</v>
      </c>
      <c r="Q672" s="23" t="n">
        <v>46249</v>
      </c>
      <c r="R672" s="22" t="n">
        <f aca="false">I672*J672</f>
        <v>41</v>
      </c>
      <c r="S672" s="25" t="n">
        <f aca="false">K672-R672</f>
        <v>0</v>
      </c>
      <c r="T672" s="25" t="n">
        <f aca="false">K672*L672</f>
        <v>309.55</v>
      </c>
      <c r="U672" s="25" t="n">
        <f aca="false">M672-T672</f>
        <v>0</v>
      </c>
      <c r="V672" s="25" t="n">
        <f aca="false">M672+N672</f>
        <v>349.3</v>
      </c>
      <c r="W672" s="25" t="n">
        <f aca="false">O672-V672</f>
        <v>0</v>
      </c>
      <c r="X672" s="22" t="str">
        <f aca="false">IF(OR(ABS(S672)&gt;0.005,ABS(U672)&gt;0.005,ABS(W672)&gt;0.005),"Subledger arithmetic error","OK")</f>
        <v>OK</v>
      </c>
      <c r="Y672" s="22" t="str">
        <f aca="false">IF(X672="OK","","Priority 3")</f>
        <v/>
      </c>
    </row>
    <row r="673" customFormat="false" ht="15" hidden="false" customHeight="false" outlineLevel="0" collapsed="false">
      <c r="A673" s="22" t="s">
        <v>12749</v>
      </c>
      <c r="B673" s="23" t="n">
        <v>46235</v>
      </c>
      <c r="C673" s="22" t="s">
        <v>12750</v>
      </c>
      <c r="D673" s="22" t="s">
        <v>3516</v>
      </c>
      <c r="E673" s="22" t="s">
        <v>8016</v>
      </c>
      <c r="F673" s="22" t="s">
        <v>215</v>
      </c>
      <c r="G673" s="22" t="s">
        <v>8601</v>
      </c>
      <c r="H673" s="22" t="s">
        <v>11406</v>
      </c>
      <c r="I673" s="22" t="n">
        <v>53</v>
      </c>
      <c r="J673" s="22" t="n">
        <v>1</v>
      </c>
      <c r="K673" s="22" t="n">
        <v>53</v>
      </c>
      <c r="L673" s="25" t="n">
        <v>7.55</v>
      </c>
      <c r="M673" s="25" t="n">
        <v>400.15</v>
      </c>
      <c r="N673" s="25" t="n">
        <v>51.38</v>
      </c>
      <c r="O673" s="25" t="n">
        <v>451.53</v>
      </c>
      <c r="P673" s="22" t="s">
        <v>11407</v>
      </c>
      <c r="Q673" s="23" t="n">
        <v>46249</v>
      </c>
      <c r="R673" s="22" t="n">
        <f aca="false">I673*J673</f>
        <v>53</v>
      </c>
      <c r="S673" s="25" t="n">
        <f aca="false">K673-R673</f>
        <v>0</v>
      </c>
      <c r="T673" s="25" t="n">
        <f aca="false">K673*L673</f>
        <v>400.15</v>
      </c>
      <c r="U673" s="25" t="n">
        <f aca="false">M673-T673</f>
        <v>0</v>
      </c>
      <c r="V673" s="25" t="n">
        <f aca="false">M673+N673</f>
        <v>451.53</v>
      </c>
      <c r="W673" s="25" t="n">
        <f aca="false">O673-V673</f>
        <v>0</v>
      </c>
      <c r="X673" s="22" t="str">
        <f aca="false">IF(OR(ABS(S673)&gt;0.005,ABS(U673)&gt;0.005,ABS(W673)&gt;0.005),"Subledger arithmetic error","OK")</f>
        <v>OK</v>
      </c>
      <c r="Y673" s="22" t="str">
        <f aca="false">IF(X673="OK","","Priority 3")</f>
        <v/>
      </c>
    </row>
    <row r="674" customFormat="false" ht="15" hidden="false" customHeight="false" outlineLevel="0" collapsed="false">
      <c r="A674" s="22" t="s">
        <v>12751</v>
      </c>
      <c r="B674" s="23" t="n">
        <v>46235</v>
      </c>
      <c r="C674" s="22" t="s">
        <v>12752</v>
      </c>
      <c r="D674" s="22" t="s">
        <v>2659</v>
      </c>
      <c r="E674" s="22" t="s">
        <v>8018</v>
      </c>
      <c r="F674" s="22" t="s">
        <v>215</v>
      </c>
      <c r="G674" s="22" t="s">
        <v>8601</v>
      </c>
      <c r="H674" s="22" t="s">
        <v>11406</v>
      </c>
      <c r="I674" s="22" t="n">
        <v>40</v>
      </c>
      <c r="J674" s="22" t="n">
        <v>1</v>
      </c>
      <c r="K674" s="22" t="n">
        <v>40</v>
      </c>
      <c r="L674" s="25" t="n">
        <v>7.55</v>
      </c>
      <c r="M674" s="25" t="n">
        <v>302</v>
      </c>
      <c r="N674" s="25" t="n">
        <v>38.78</v>
      </c>
      <c r="O674" s="25" t="n">
        <v>340.78</v>
      </c>
      <c r="P674" s="22" t="s">
        <v>11407</v>
      </c>
      <c r="Q674" s="23" t="n">
        <v>46249</v>
      </c>
      <c r="R674" s="22" t="n">
        <f aca="false">I674*J674</f>
        <v>40</v>
      </c>
      <c r="S674" s="25" t="n">
        <f aca="false">K674-R674</f>
        <v>0</v>
      </c>
      <c r="T674" s="25" t="n">
        <f aca="false">K674*L674</f>
        <v>302</v>
      </c>
      <c r="U674" s="25" t="n">
        <f aca="false">M674-T674</f>
        <v>0</v>
      </c>
      <c r="V674" s="25" t="n">
        <f aca="false">M674+N674</f>
        <v>340.78</v>
      </c>
      <c r="W674" s="25" t="n">
        <f aca="false">O674-V674</f>
        <v>0</v>
      </c>
      <c r="X674" s="22" t="str">
        <f aca="false">IF(OR(ABS(S674)&gt;0.005,ABS(U674)&gt;0.005,ABS(W674)&gt;0.005),"Subledger arithmetic error","OK")</f>
        <v>OK</v>
      </c>
      <c r="Y674" s="22" t="str">
        <f aca="false">IF(X674="OK","","Priority 3")</f>
        <v/>
      </c>
    </row>
    <row r="675" customFormat="false" ht="15" hidden="false" customHeight="false" outlineLevel="0" collapsed="false">
      <c r="A675" s="22" t="s">
        <v>12753</v>
      </c>
      <c r="B675" s="23" t="n">
        <v>46235</v>
      </c>
      <c r="C675" s="22" t="s">
        <v>12754</v>
      </c>
      <c r="D675" s="22" t="s">
        <v>4076</v>
      </c>
      <c r="E675" s="22" t="s">
        <v>8019</v>
      </c>
      <c r="F675" s="22" t="s">
        <v>215</v>
      </c>
      <c r="G675" s="22" t="s">
        <v>8601</v>
      </c>
      <c r="H675" s="22" t="s">
        <v>11406</v>
      </c>
      <c r="I675" s="22" t="n">
        <v>40</v>
      </c>
      <c r="J675" s="22" t="n">
        <v>1</v>
      </c>
      <c r="K675" s="22" t="n">
        <v>40</v>
      </c>
      <c r="L675" s="25" t="n">
        <v>7.55</v>
      </c>
      <c r="M675" s="25" t="n">
        <v>302</v>
      </c>
      <c r="N675" s="25" t="n">
        <v>38.78</v>
      </c>
      <c r="O675" s="25" t="n">
        <v>340.78</v>
      </c>
      <c r="P675" s="22" t="s">
        <v>11407</v>
      </c>
      <c r="Q675" s="23" t="n">
        <v>46249</v>
      </c>
      <c r="R675" s="22" t="n">
        <f aca="false">I675*J675</f>
        <v>40</v>
      </c>
      <c r="S675" s="25" t="n">
        <f aca="false">K675-R675</f>
        <v>0</v>
      </c>
      <c r="T675" s="25" t="n">
        <f aca="false">K675*L675</f>
        <v>302</v>
      </c>
      <c r="U675" s="25" t="n">
        <f aca="false">M675-T675</f>
        <v>0</v>
      </c>
      <c r="V675" s="25" t="n">
        <f aca="false">M675+N675</f>
        <v>340.78</v>
      </c>
      <c r="W675" s="25" t="n">
        <f aca="false">O675-V675</f>
        <v>0</v>
      </c>
      <c r="X675" s="22" t="str">
        <f aca="false">IF(OR(ABS(S675)&gt;0.005,ABS(U675)&gt;0.005,ABS(W675)&gt;0.005),"Subledger arithmetic error","OK")</f>
        <v>OK</v>
      </c>
      <c r="Y675" s="22" t="str">
        <f aca="false">IF(X675="OK","","Priority 3")</f>
        <v/>
      </c>
    </row>
    <row r="676" customFormat="false" ht="15" hidden="false" customHeight="false" outlineLevel="0" collapsed="false">
      <c r="A676" s="22" t="s">
        <v>12755</v>
      </c>
      <c r="B676" s="23" t="n">
        <v>46235</v>
      </c>
      <c r="C676" s="22" t="s">
        <v>12756</v>
      </c>
      <c r="D676" s="22" t="s">
        <v>5443</v>
      </c>
      <c r="E676" s="22" t="s">
        <v>8020</v>
      </c>
      <c r="F676" s="22" t="s">
        <v>215</v>
      </c>
      <c r="G676" s="22" t="s">
        <v>8601</v>
      </c>
      <c r="H676" s="22" t="s">
        <v>11406</v>
      </c>
      <c r="I676" s="22" t="n">
        <v>24</v>
      </c>
      <c r="J676" s="22" t="n">
        <v>1</v>
      </c>
      <c r="K676" s="22" t="n">
        <v>24</v>
      </c>
      <c r="L676" s="25" t="n">
        <v>7.55</v>
      </c>
      <c r="M676" s="25" t="n">
        <v>181.2</v>
      </c>
      <c r="N676" s="25" t="n">
        <v>23.27</v>
      </c>
      <c r="O676" s="25" t="n">
        <v>204.47</v>
      </c>
      <c r="P676" s="22" t="s">
        <v>11407</v>
      </c>
      <c r="Q676" s="23" t="n">
        <v>46249</v>
      </c>
      <c r="R676" s="22" t="n">
        <f aca="false">I676*J676</f>
        <v>24</v>
      </c>
      <c r="S676" s="25" t="n">
        <f aca="false">K676-R676</f>
        <v>0</v>
      </c>
      <c r="T676" s="25" t="n">
        <f aca="false">K676*L676</f>
        <v>181.2</v>
      </c>
      <c r="U676" s="25" t="n">
        <f aca="false">M676-T676</f>
        <v>0</v>
      </c>
      <c r="V676" s="25" t="n">
        <f aca="false">M676+N676</f>
        <v>204.47</v>
      </c>
      <c r="W676" s="25" t="n">
        <f aca="false">O676-V676</f>
        <v>0</v>
      </c>
      <c r="X676" s="22" t="str">
        <f aca="false">IF(OR(ABS(S676)&gt;0.005,ABS(U676)&gt;0.005,ABS(W676)&gt;0.005),"Subledger arithmetic error","OK")</f>
        <v>OK</v>
      </c>
      <c r="Y676" s="22" t="str">
        <f aca="false">IF(X676="OK","","Priority 3")</f>
        <v/>
      </c>
    </row>
    <row r="677" customFormat="false" ht="15" hidden="false" customHeight="false" outlineLevel="0" collapsed="false">
      <c r="A677" s="22" t="s">
        <v>12757</v>
      </c>
      <c r="B677" s="23" t="n">
        <v>46235</v>
      </c>
      <c r="C677" s="22" t="s">
        <v>12758</v>
      </c>
      <c r="D677" s="22" t="s">
        <v>2076</v>
      </c>
      <c r="E677" s="22" t="s">
        <v>8021</v>
      </c>
      <c r="F677" s="22" t="s">
        <v>215</v>
      </c>
      <c r="G677" s="22" t="s">
        <v>8601</v>
      </c>
      <c r="H677" s="22" t="s">
        <v>11406</v>
      </c>
      <c r="I677" s="22" t="n">
        <v>56</v>
      </c>
      <c r="J677" s="22" t="n">
        <v>1</v>
      </c>
      <c r="K677" s="22" t="n">
        <v>56</v>
      </c>
      <c r="L677" s="25" t="n">
        <v>7.55</v>
      </c>
      <c r="M677" s="25" t="n">
        <v>422.8</v>
      </c>
      <c r="N677" s="25" t="n">
        <v>54.29</v>
      </c>
      <c r="O677" s="25" t="n">
        <v>477.09</v>
      </c>
      <c r="P677" s="22" t="s">
        <v>11407</v>
      </c>
      <c r="Q677" s="23" t="n">
        <v>46249</v>
      </c>
      <c r="R677" s="22" t="n">
        <f aca="false">I677*J677</f>
        <v>56</v>
      </c>
      <c r="S677" s="25" t="n">
        <f aca="false">K677-R677</f>
        <v>0</v>
      </c>
      <c r="T677" s="25" t="n">
        <f aca="false">K677*L677</f>
        <v>422.8</v>
      </c>
      <c r="U677" s="25" t="n">
        <f aca="false">M677-T677</f>
        <v>0</v>
      </c>
      <c r="V677" s="25" t="n">
        <f aca="false">M677+N677</f>
        <v>477.09</v>
      </c>
      <c r="W677" s="25" t="n">
        <f aca="false">O677-V677</f>
        <v>0</v>
      </c>
      <c r="X677" s="22" t="str">
        <f aca="false">IF(OR(ABS(S677)&gt;0.005,ABS(U677)&gt;0.005,ABS(W677)&gt;0.005),"Subledger arithmetic error","OK")</f>
        <v>OK</v>
      </c>
      <c r="Y677" s="22" t="str">
        <f aca="false">IF(X677="OK","","Priority 3")</f>
        <v/>
      </c>
    </row>
    <row r="678" customFormat="false" ht="15" hidden="false" customHeight="false" outlineLevel="0" collapsed="false">
      <c r="A678" s="22" t="s">
        <v>12759</v>
      </c>
      <c r="B678" s="23" t="n">
        <v>46235</v>
      </c>
      <c r="C678" s="22" t="s">
        <v>12760</v>
      </c>
      <c r="D678" s="22" t="s">
        <v>4152</v>
      </c>
      <c r="E678" s="22" t="s">
        <v>8022</v>
      </c>
      <c r="F678" s="22" t="s">
        <v>215</v>
      </c>
      <c r="G678" s="22" t="s">
        <v>8601</v>
      </c>
      <c r="H678" s="22" t="s">
        <v>11406</v>
      </c>
      <c r="I678" s="22" t="n">
        <v>62</v>
      </c>
      <c r="J678" s="22" t="n">
        <v>1</v>
      </c>
      <c r="K678" s="22" t="n">
        <v>62</v>
      </c>
      <c r="L678" s="25" t="n">
        <v>7.55</v>
      </c>
      <c r="M678" s="25" t="n">
        <v>468.1</v>
      </c>
      <c r="N678" s="25" t="n">
        <v>60.1</v>
      </c>
      <c r="O678" s="25" t="n">
        <v>528.2</v>
      </c>
      <c r="P678" s="22" t="s">
        <v>11407</v>
      </c>
      <c r="Q678" s="23" t="n">
        <v>46249</v>
      </c>
      <c r="R678" s="22" t="n">
        <f aca="false">I678*J678</f>
        <v>62</v>
      </c>
      <c r="S678" s="25" t="n">
        <f aca="false">K678-R678</f>
        <v>0</v>
      </c>
      <c r="T678" s="25" t="n">
        <f aca="false">K678*L678</f>
        <v>468.1</v>
      </c>
      <c r="U678" s="25" t="n">
        <f aca="false">M678-T678</f>
        <v>0</v>
      </c>
      <c r="V678" s="25" t="n">
        <f aca="false">M678+N678</f>
        <v>528.2</v>
      </c>
      <c r="W678" s="25" t="n">
        <f aca="false">O678-V678</f>
        <v>0</v>
      </c>
      <c r="X678" s="22" t="str">
        <f aca="false">IF(OR(ABS(S678)&gt;0.005,ABS(U678)&gt;0.005,ABS(W678)&gt;0.005),"Subledger arithmetic error","OK")</f>
        <v>OK</v>
      </c>
      <c r="Y678" s="22" t="str">
        <f aca="false">IF(X678="OK","","Priority 3")</f>
        <v/>
      </c>
    </row>
    <row r="679" customFormat="false" ht="15" hidden="false" customHeight="false" outlineLevel="0" collapsed="false">
      <c r="A679" s="22" t="s">
        <v>12761</v>
      </c>
      <c r="B679" s="23" t="n">
        <v>46235</v>
      </c>
      <c r="C679" s="22" t="s">
        <v>12762</v>
      </c>
      <c r="D679" s="22" t="s">
        <v>1593</v>
      </c>
      <c r="E679" s="22" t="s">
        <v>8023</v>
      </c>
      <c r="F679" s="22" t="s">
        <v>215</v>
      </c>
      <c r="G679" s="22" t="s">
        <v>8601</v>
      </c>
      <c r="H679" s="22" t="s">
        <v>11406</v>
      </c>
      <c r="I679" s="22" t="n">
        <v>61</v>
      </c>
      <c r="J679" s="22" t="n">
        <v>1</v>
      </c>
      <c r="K679" s="22" t="n">
        <v>61</v>
      </c>
      <c r="L679" s="25" t="n">
        <v>7.55</v>
      </c>
      <c r="M679" s="25" t="n">
        <v>460.55</v>
      </c>
      <c r="N679" s="25" t="n">
        <v>59.13</v>
      </c>
      <c r="O679" s="25" t="n">
        <v>519.68</v>
      </c>
      <c r="P679" s="22" t="s">
        <v>11407</v>
      </c>
      <c r="Q679" s="23" t="n">
        <v>46249</v>
      </c>
      <c r="R679" s="22" t="n">
        <f aca="false">I679*J679</f>
        <v>61</v>
      </c>
      <c r="S679" s="25" t="n">
        <f aca="false">K679-R679</f>
        <v>0</v>
      </c>
      <c r="T679" s="25" t="n">
        <f aca="false">K679*L679</f>
        <v>460.55</v>
      </c>
      <c r="U679" s="25" t="n">
        <f aca="false">M679-T679</f>
        <v>0</v>
      </c>
      <c r="V679" s="25" t="n">
        <f aca="false">M679+N679</f>
        <v>519.68</v>
      </c>
      <c r="W679" s="25" t="n">
        <f aca="false">O679-V679</f>
        <v>0</v>
      </c>
      <c r="X679" s="22" t="str">
        <f aca="false">IF(OR(ABS(S679)&gt;0.005,ABS(U679)&gt;0.005,ABS(W679)&gt;0.005),"Subledger arithmetic error","OK")</f>
        <v>OK</v>
      </c>
      <c r="Y679" s="22" t="str">
        <f aca="false">IF(X679="OK","","Priority 3")</f>
        <v/>
      </c>
    </row>
    <row r="680" customFormat="false" ht="15" hidden="false" customHeight="false" outlineLevel="0" collapsed="false">
      <c r="A680" s="22" t="s">
        <v>12763</v>
      </c>
      <c r="B680" s="23" t="n">
        <v>46235</v>
      </c>
      <c r="C680" s="22" t="s">
        <v>12764</v>
      </c>
      <c r="D680" s="22" t="s">
        <v>5905</v>
      </c>
      <c r="E680" s="22" t="s">
        <v>8024</v>
      </c>
      <c r="F680" s="22" t="s">
        <v>215</v>
      </c>
      <c r="G680" s="22" t="s">
        <v>8601</v>
      </c>
      <c r="H680" s="22" t="s">
        <v>11406</v>
      </c>
      <c r="I680" s="22" t="n">
        <v>51</v>
      </c>
      <c r="J680" s="22" t="n">
        <v>1</v>
      </c>
      <c r="K680" s="22" t="n">
        <v>51</v>
      </c>
      <c r="L680" s="25" t="n">
        <v>7.55</v>
      </c>
      <c r="M680" s="25" t="n">
        <v>385.05</v>
      </c>
      <c r="N680" s="25" t="n">
        <v>49.44</v>
      </c>
      <c r="O680" s="25" t="n">
        <v>434.49</v>
      </c>
      <c r="P680" s="22" t="s">
        <v>11407</v>
      </c>
      <c r="Q680" s="23" t="n">
        <v>46249</v>
      </c>
      <c r="R680" s="22" t="n">
        <f aca="false">I680*J680</f>
        <v>51</v>
      </c>
      <c r="S680" s="25" t="n">
        <f aca="false">K680-R680</f>
        <v>0</v>
      </c>
      <c r="T680" s="25" t="n">
        <f aca="false">K680*L680</f>
        <v>385.05</v>
      </c>
      <c r="U680" s="25" t="n">
        <f aca="false">M680-T680</f>
        <v>0</v>
      </c>
      <c r="V680" s="25" t="n">
        <f aca="false">M680+N680</f>
        <v>434.49</v>
      </c>
      <c r="W680" s="25" t="n">
        <f aca="false">O680-V680</f>
        <v>0</v>
      </c>
      <c r="X680" s="22" t="str">
        <f aca="false">IF(OR(ABS(S680)&gt;0.005,ABS(U680)&gt;0.005,ABS(W680)&gt;0.005),"Subledger arithmetic error","OK")</f>
        <v>OK</v>
      </c>
      <c r="Y680" s="22" t="str">
        <f aca="false">IF(X680="OK","","Priority 3")</f>
        <v/>
      </c>
    </row>
    <row r="681" customFormat="false" ht="15" hidden="false" customHeight="false" outlineLevel="0" collapsed="false">
      <c r="A681" s="22" t="s">
        <v>12765</v>
      </c>
      <c r="B681" s="23" t="n">
        <v>46235</v>
      </c>
      <c r="C681" s="22" t="s">
        <v>12766</v>
      </c>
      <c r="D681" s="22" t="s">
        <v>6510</v>
      </c>
      <c r="E681" s="22" t="s">
        <v>8026</v>
      </c>
      <c r="F681" s="22" t="s">
        <v>215</v>
      </c>
      <c r="G681" s="22" t="s">
        <v>8601</v>
      </c>
      <c r="H681" s="22" t="s">
        <v>11406</v>
      </c>
      <c r="I681" s="22" t="n">
        <v>70</v>
      </c>
      <c r="J681" s="22" t="n">
        <v>1</v>
      </c>
      <c r="K681" s="22" t="n">
        <v>70</v>
      </c>
      <c r="L681" s="25" t="n">
        <v>7.55</v>
      </c>
      <c r="M681" s="25" t="n">
        <v>528.5</v>
      </c>
      <c r="N681" s="25" t="n">
        <v>67.86</v>
      </c>
      <c r="O681" s="25" t="n">
        <v>596.36</v>
      </c>
      <c r="P681" s="22" t="s">
        <v>11407</v>
      </c>
      <c r="Q681" s="23" t="n">
        <v>46249</v>
      </c>
      <c r="R681" s="22" t="n">
        <f aca="false">I681*J681</f>
        <v>70</v>
      </c>
      <c r="S681" s="25" t="n">
        <f aca="false">K681-R681</f>
        <v>0</v>
      </c>
      <c r="T681" s="25" t="n">
        <f aca="false">K681*L681</f>
        <v>528.5</v>
      </c>
      <c r="U681" s="25" t="n">
        <f aca="false">M681-T681</f>
        <v>0</v>
      </c>
      <c r="V681" s="25" t="n">
        <f aca="false">M681+N681</f>
        <v>596.36</v>
      </c>
      <c r="W681" s="25" t="n">
        <f aca="false">O681-V681</f>
        <v>0</v>
      </c>
      <c r="X681" s="22" t="str">
        <f aca="false">IF(OR(ABS(S681)&gt;0.005,ABS(U681)&gt;0.005,ABS(W681)&gt;0.005),"Subledger arithmetic error","OK")</f>
        <v>OK</v>
      </c>
      <c r="Y681" s="22" t="str">
        <f aca="false">IF(X681="OK","","Priority 3")</f>
        <v/>
      </c>
    </row>
    <row r="682" customFormat="false" ht="15" hidden="false" customHeight="false" outlineLevel="0" collapsed="false">
      <c r="A682" s="22" t="s">
        <v>12767</v>
      </c>
      <c r="B682" s="23" t="n">
        <v>46235</v>
      </c>
      <c r="C682" s="22" t="s">
        <v>12768</v>
      </c>
      <c r="D682" s="22" t="s">
        <v>2170</v>
      </c>
      <c r="E682" s="22" t="s">
        <v>8028</v>
      </c>
      <c r="F682" s="22" t="s">
        <v>215</v>
      </c>
      <c r="G682" s="22" t="s">
        <v>8601</v>
      </c>
      <c r="H682" s="22" t="s">
        <v>11406</v>
      </c>
      <c r="I682" s="22" t="n">
        <v>39</v>
      </c>
      <c r="J682" s="22" t="n">
        <v>1</v>
      </c>
      <c r="K682" s="22" t="n">
        <v>39</v>
      </c>
      <c r="L682" s="25" t="n">
        <v>7.55</v>
      </c>
      <c r="M682" s="25" t="n">
        <v>294.45</v>
      </c>
      <c r="N682" s="25" t="n">
        <v>37.81</v>
      </c>
      <c r="O682" s="25" t="n">
        <v>332.26</v>
      </c>
      <c r="P682" s="22" t="s">
        <v>11407</v>
      </c>
      <c r="Q682" s="23" t="n">
        <v>46249</v>
      </c>
      <c r="R682" s="22" t="n">
        <f aca="false">I682*J682</f>
        <v>39</v>
      </c>
      <c r="S682" s="25" t="n">
        <f aca="false">K682-R682</f>
        <v>0</v>
      </c>
      <c r="T682" s="25" t="n">
        <f aca="false">K682*L682</f>
        <v>294.45</v>
      </c>
      <c r="U682" s="25" t="n">
        <f aca="false">M682-T682</f>
        <v>0</v>
      </c>
      <c r="V682" s="25" t="n">
        <f aca="false">M682+N682</f>
        <v>332.26</v>
      </c>
      <c r="W682" s="25" t="n">
        <f aca="false">O682-V682</f>
        <v>0</v>
      </c>
      <c r="X682" s="22" t="str">
        <f aca="false">IF(OR(ABS(S682)&gt;0.005,ABS(U682)&gt;0.005,ABS(W682)&gt;0.005),"Subledger arithmetic error","OK")</f>
        <v>OK</v>
      </c>
      <c r="Y682" s="22" t="str">
        <f aca="false">IF(X682="OK","","Priority 3")</f>
        <v/>
      </c>
    </row>
    <row r="683" customFormat="false" ht="15" hidden="false" customHeight="false" outlineLevel="0" collapsed="false">
      <c r="A683" s="22" t="s">
        <v>12769</v>
      </c>
      <c r="B683" s="23" t="n">
        <v>46235</v>
      </c>
      <c r="C683" s="22" t="s">
        <v>12770</v>
      </c>
      <c r="D683" s="22" t="s">
        <v>2252</v>
      </c>
      <c r="E683" s="22" t="s">
        <v>8030</v>
      </c>
      <c r="F683" s="22" t="s">
        <v>215</v>
      </c>
      <c r="G683" s="22" t="s">
        <v>8601</v>
      </c>
      <c r="H683" s="22" t="s">
        <v>11406</v>
      </c>
      <c r="I683" s="22" t="n">
        <v>60</v>
      </c>
      <c r="J683" s="22" t="n">
        <v>1</v>
      </c>
      <c r="K683" s="22" t="n">
        <v>60</v>
      </c>
      <c r="L683" s="25" t="n">
        <v>7.55</v>
      </c>
      <c r="M683" s="25" t="n">
        <v>453</v>
      </c>
      <c r="N683" s="25" t="n">
        <v>58.17</v>
      </c>
      <c r="O683" s="25" t="n">
        <v>511.17</v>
      </c>
      <c r="P683" s="22" t="s">
        <v>11407</v>
      </c>
      <c r="Q683" s="23" t="n">
        <v>46249</v>
      </c>
      <c r="R683" s="22" t="n">
        <f aca="false">I683*J683</f>
        <v>60</v>
      </c>
      <c r="S683" s="25" t="n">
        <f aca="false">K683-R683</f>
        <v>0</v>
      </c>
      <c r="T683" s="25" t="n">
        <f aca="false">K683*L683</f>
        <v>453</v>
      </c>
      <c r="U683" s="25" t="n">
        <f aca="false">M683-T683</f>
        <v>0</v>
      </c>
      <c r="V683" s="25" t="n">
        <f aca="false">M683+N683</f>
        <v>511.17</v>
      </c>
      <c r="W683" s="25" t="n">
        <f aca="false">O683-V683</f>
        <v>0</v>
      </c>
      <c r="X683" s="22" t="str">
        <f aca="false">IF(OR(ABS(S683)&gt;0.005,ABS(U683)&gt;0.005,ABS(W683)&gt;0.005),"Subledger arithmetic error","OK")</f>
        <v>OK</v>
      </c>
      <c r="Y683" s="22" t="str">
        <f aca="false">IF(X683="OK","","Priority 3")</f>
        <v/>
      </c>
    </row>
    <row r="684" customFormat="false" ht="15" hidden="false" customHeight="false" outlineLevel="0" collapsed="false">
      <c r="A684" s="22" t="s">
        <v>12771</v>
      </c>
      <c r="B684" s="23" t="n">
        <v>46235</v>
      </c>
      <c r="C684" s="22" t="s">
        <v>12772</v>
      </c>
      <c r="D684" s="22" t="s">
        <v>5098</v>
      </c>
      <c r="E684" s="22" t="s">
        <v>8032</v>
      </c>
      <c r="F684" s="22" t="s">
        <v>215</v>
      </c>
      <c r="G684" s="22" t="s">
        <v>8601</v>
      </c>
      <c r="H684" s="22" t="s">
        <v>11406</v>
      </c>
      <c r="I684" s="22" t="n">
        <v>34</v>
      </c>
      <c r="J684" s="22" t="n">
        <v>1</v>
      </c>
      <c r="K684" s="22" t="n">
        <v>34</v>
      </c>
      <c r="L684" s="25" t="n">
        <v>7.55</v>
      </c>
      <c r="M684" s="25" t="n">
        <v>256.7</v>
      </c>
      <c r="N684" s="25" t="n">
        <v>32.96</v>
      </c>
      <c r="O684" s="25" t="n">
        <v>289.66</v>
      </c>
      <c r="P684" s="22" t="s">
        <v>11407</v>
      </c>
      <c r="Q684" s="23" t="n">
        <v>46249</v>
      </c>
      <c r="R684" s="22" t="n">
        <f aca="false">I684*J684</f>
        <v>34</v>
      </c>
      <c r="S684" s="25" t="n">
        <f aca="false">K684-R684</f>
        <v>0</v>
      </c>
      <c r="T684" s="25" t="n">
        <f aca="false">K684*L684</f>
        <v>256.7</v>
      </c>
      <c r="U684" s="25" t="n">
        <f aca="false">M684-T684</f>
        <v>0</v>
      </c>
      <c r="V684" s="25" t="n">
        <f aca="false">M684+N684</f>
        <v>289.66</v>
      </c>
      <c r="W684" s="25" t="n">
        <f aca="false">O684-V684</f>
        <v>0</v>
      </c>
      <c r="X684" s="22" t="str">
        <f aca="false">IF(OR(ABS(S684)&gt;0.005,ABS(U684)&gt;0.005,ABS(W684)&gt;0.005),"Subledger arithmetic error","OK")</f>
        <v>OK</v>
      </c>
      <c r="Y684" s="22" t="str">
        <f aca="false">IF(X684="OK","","Priority 3")</f>
        <v/>
      </c>
    </row>
    <row r="685" customFormat="false" ht="15" hidden="false" customHeight="false" outlineLevel="0" collapsed="false">
      <c r="A685" s="22" t="s">
        <v>12773</v>
      </c>
      <c r="B685" s="23" t="n">
        <v>46235</v>
      </c>
      <c r="C685" s="22" t="s">
        <v>12774</v>
      </c>
      <c r="D685" s="22" t="s">
        <v>558</v>
      </c>
      <c r="E685" s="22" t="s">
        <v>8035</v>
      </c>
      <c r="F685" s="22" t="s">
        <v>499</v>
      </c>
      <c r="G685" s="22" t="s">
        <v>8601</v>
      </c>
      <c r="H685" s="22" t="s">
        <v>11406</v>
      </c>
      <c r="I685" s="22" t="n">
        <v>44</v>
      </c>
      <c r="J685" s="22" t="n">
        <v>1</v>
      </c>
      <c r="K685" s="22" t="n">
        <v>44</v>
      </c>
      <c r="L685" s="25" t="n">
        <v>7.55</v>
      </c>
      <c r="M685" s="25" t="n">
        <v>332.2</v>
      </c>
      <c r="N685" s="25" t="n">
        <v>42.65</v>
      </c>
      <c r="O685" s="25" t="n">
        <v>374.85</v>
      </c>
      <c r="P685" s="22" t="s">
        <v>11407</v>
      </c>
      <c r="Q685" s="23" t="n">
        <v>46249</v>
      </c>
      <c r="R685" s="22" t="n">
        <f aca="false">I685*J685</f>
        <v>44</v>
      </c>
      <c r="S685" s="25" t="n">
        <f aca="false">K685-R685</f>
        <v>0</v>
      </c>
      <c r="T685" s="25" t="n">
        <f aca="false">K685*L685</f>
        <v>332.2</v>
      </c>
      <c r="U685" s="25" t="n">
        <f aca="false">M685-T685</f>
        <v>0</v>
      </c>
      <c r="V685" s="25" t="n">
        <f aca="false">M685+N685</f>
        <v>374.85</v>
      </c>
      <c r="W685" s="25" t="n">
        <f aca="false">O685-V685</f>
        <v>0</v>
      </c>
      <c r="X685" s="22" t="str">
        <f aca="false">IF(OR(ABS(S685)&gt;0.005,ABS(U685)&gt;0.005,ABS(W685)&gt;0.005),"Subledger arithmetic error","OK")</f>
        <v>OK</v>
      </c>
      <c r="Y685" s="22" t="str">
        <f aca="false">IF(X685="OK","","Priority 3")</f>
        <v/>
      </c>
    </row>
    <row r="686" customFormat="false" ht="15" hidden="false" customHeight="false" outlineLevel="0" collapsed="false">
      <c r="A686" s="22" t="s">
        <v>12775</v>
      </c>
      <c r="B686" s="23" t="n">
        <v>46235</v>
      </c>
      <c r="C686" s="22" t="s">
        <v>12776</v>
      </c>
      <c r="D686" s="22" t="s">
        <v>3152</v>
      </c>
      <c r="E686" s="22" t="s">
        <v>8037</v>
      </c>
      <c r="F686" s="22" t="s">
        <v>499</v>
      </c>
      <c r="G686" s="22" t="s">
        <v>8601</v>
      </c>
      <c r="H686" s="22" t="s">
        <v>11406</v>
      </c>
      <c r="I686" s="22" t="n">
        <v>45</v>
      </c>
      <c r="J686" s="22" t="n">
        <v>1</v>
      </c>
      <c r="K686" s="22" t="n">
        <v>45</v>
      </c>
      <c r="L686" s="25" t="n">
        <v>7.55</v>
      </c>
      <c r="M686" s="25" t="n">
        <v>339.75</v>
      </c>
      <c r="N686" s="25" t="n">
        <v>43.62</v>
      </c>
      <c r="O686" s="25" t="n">
        <v>383.37</v>
      </c>
      <c r="P686" s="22" t="s">
        <v>11407</v>
      </c>
      <c r="Q686" s="23" t="n">
        <v>46249</v>
      </c>
      <c r="R686" s="22" t="n">
        <f aca="false">I686*J686</f>
        <v>45</v>
      </c>
      <c r="S686" s="25" t="n">
        <f aca="false">K686-R686</f>
        <v>0</v>
      </c>
      <c r="T686" s="25" t="n">
        <f aca="false">K686*L686</f>
        <v>339.75</v>
      </c>
      <c r="U686" s="25" t="n">
        <f aca="false">M686-T686</f>
        <v>0</v>
      </c>
      <c r="V686" s="25" t="n">
        <f aca="false">M686+N686</f>
        <v>383.37</v>
      </c>
      <c r="W686" s="25" t="n">
        <f aca="false">O686-V686</f>
        <v>0</v>
      </c>
      <c r="X686" s="22" t="str">
        <f aca="false">IF(OR(ABS(S686)&gt;0.005,ABS(U686)&gt;0.005,ABS(W686)&gt;0.005),"Subledger arithmetic error","OK")</f>
        <v>OK</v>
      </c>
      <c r="Y686" s="22" t="str">
        <f aca="false">IF(X686="OK","","Priority 3")</f>
        <v/>
      </c>
    </row>
    <row r="687" customFormat="false" ht="15" hidden="false" customHeight="false" outlineLevel="0" collapsed="false">
      <c r="A687" s="22" t="s">
        <v>12777</v>
      </c>
      <c r="B687" s="23" t="n">
        <v>46235</v>
      </c>
      <c r="C687" s="22" t="s">
        <v>12778</v>
      </c>
      <c r="D687" s="22" t="s">
        <v>2596</v>
      </c>
      <c r="E687" s="22" t="s">
        <v>8038</v>
      </c>
      <c r="F687" s="22" t="s">
        <v>499</v>
      </c>
      <c r="G687" s="22" t="s">
        <v>8601</v>
      </c>
      <c r="H687" s="22" t="s">
        <v>11406</v>
      </c>
      <c r="I687" s="22" t="n">
        <v>50</v>
      </c>
      <c r="J687" s="22" t="n">
        <v>1</v>
      </c>
      <c r="K687" s="22" t="n">
        <v>50</v>
      </c>
      <c r="L687" s="25" t="n">
        <v>7.55</v>
      </c>
      <c r="M687" s="25" t="n">
        <v>377.5</v>
      </c>
      <c r="N687" s="25" t="n">
        <v>48.47</v>
      </c>
      <c r="O687" s="25" t="n">
        <v>425.97</v>
      </c>
      <c r="P687" s="22" t="s">
        <v>11407</v>
      </c>
      <c r="Q687" s="23" t="n">
        <v>46249</v>
      </c>
      <c r="R687" s="22" t="n">
        <f aca="false">I687*J687</f>
        <v>50</v>
      </c>
      <c r="S687" s="25" t="n">
        <f aca="false">K687-R687</f>
        <v>0</v>
      </c>
      <c r="T687" s="25" t="n">
        <f aca="false">K687*L687</f>
        <v>377.5</v>
      </c>
      <c r="U687" s="25" t="n">
        <f aca="false">M687-T687</f>
        <v>0</v>
      </c>
      <c r="V687" s="25" t="n">
        <f aca="false">M687+N687</f>
        <v>425.97</v>
      </c>
      <c r="W687" s="25" t="n">
        <f aca="false">O687-V687</f>
        <v>0</v>
      </c>
      <c r="X687" s="22" t="str">
        <f aca="false">IF(OR(ABS(S687)&gt;0.005,ABS(U687)&gt;0.005,ABS(W687)&gt;0.005),"Subledger arithmetic error","OK")</f>
        <v>OK</v>
      </c>
      <c r="Y687" s="22" t="str">
        <f aca="false">IF(X687="OK","","Priority 3")</f>
        <v/>
      </c>
    </row>
    <row r="688" customFormat="false" ht="15" hidden="false" customHeight="false" outlineLevel="0" collapsed="false">
      <c r="A688" s="22" t="s">
        <v>12779</v>
      </c>
      <c r="B688" s="23" t="n">
        <v>46235</v>
      </c>
      <c r="C688" s="22" t="s">
        <v>12780</v>
      </c>
      <c r="D688" s="22" t="s">
        <v>5556</v>
      </c>
      <c r="E688" s="22" t="s">
        <v>8039</v>
      </c>
      <c r="F688" s="22" t="s">
        <v>499</v>
      </c>
      <c r="G688" s="22" t="s">
        <v>8601</v>
      </c>
      <c r="H688" s="22" t="s">
        <v>11406</v>
      </c>
      <c r="I688" s="22" t="n">
        <v>60</v>
      </c>
      <c r="J688" s="22" t="n">
        <v>1</v>
      </c>
      <c r="K688" s="22" t="n">
        <v>60</v>
      </c>
      <c r="L688" s="25" t="n">
        <v>7.55</v>
      </c>
      <c r="M688" s="25" t="n">
        <v>453</v>
      </c>
      <c r="N688" s="25" t="n">
        <v>58.17</v>
      </c>
      <c r="O688" s="25" t="n">
        <v>511.17</v>
      </c>
      <c r="P688" s="22" t="s">
        <v>11407</v>
      </c>
      <c r="Q688" s="23" t="n">
        <v>46249</v>
      </c>
      <c r="R688" s="22" t="n">
        <f aca="false">I688*J688</f>
        <v>60</v>
      </c>
      <c r="S688" s="25" t="n">
        <f aca="false">K688-R688</f>
        <v>0</v>
      </c>
      <c r="T688" s="25" t="n">
        <f aca="false">K688*L688</f>
        <v>453</v>
      </c>
      <c r="U688" s="25" t="n">
        <f aca="false">M688-T688</f>
        <v>0</v>
      </c>
      <c r="V688" s="25" t="n">
        <f aca="false">M688+N688</f>
        <v>511.17</v>
      </c>
      <c r="W688" s="25" t="n">
        <f aca="false">O688-V688</f>
        <v>0</v>
      </c>
      <c r="X688" s="22" t="str">
        <f aca="false">IF(OR(ABS(S688)&gt;0.005,ABS(U688)&gt;0.005,ABS(W688)&gt;0.005),"Subledger arithmetic error","OK")</f>
        <v>OK</v>
      </c>
      <c r="Y688" s="22" t="str">
        <f aca="false">IF(X688="OK","","Priority 3")</f>
        <v/>
      </c>
    </row>
    <row r="689" customFormat="false" ht="15" hidden="false" customHeight="false" outlineLevel="0" collapsed="false">
      <c r="A689" s="22" t="s">
        <v>12781</v>
      </c>
      <c r="B689" s="23" t="n">
        <v>46235</v>
      </c>
      <c r="C689" s="22" t="s">
        <v>12782</v>
      </c>
      <c r="D689" s="22" t="s">
        <v>2136</v>
      </c>
      <c r="E689" s="22" t="s">
        <v>8040</v>
      </c>
      <c r="F689" s="22" t="s">
        <v>499</v>
      </c>
      <c r="G689" s="22" t="s">
        <v>8601</v>
      </c>
      <c r="H689" s="22" t="s">
        <v>11406</v>
      </c>
      <c r="I689" s="22" t="n">
        <v>80</v>
      </c>
      <c r="J689" s="22" t="n">
        <v>1</v>
      </c>
      <c r="K689" s="22" t="n">
        <v>80</v>
      </c>
      <c r="L689" s="25" t="n">
        <v>7.55</v>
      </c>
      <c r="M689" s="25" t="n">
        <v>604</v>
      </c>
      <c r="N689" s="25" t="n">
        <v>77.55</v>
      </c>
      <c r="O689" s="25" t="n">
        <v>681.55</v>
      </c>
      <c r="P689" s="22" t="s">
        <v>11407</v>
      </c>
      <c r="Q689" s="23" t="n">
        <v>46249</v>
      </c>
      <c r="R689" s="22" t="n">
        <f aca="false">I689*J689</f>
        <v>80</v>
      </c>
      <c r="S689" s="25" t="n">
        <f aca="false">K689-R689</f>
        <v>0</v>
      </c>
      <c r="T689" s="25" t="n">
        <f aca="false">K689*L689</f>
        <v>604</v>
      </c>
      <c r="U689" s="25" t="n">
        <f aca="false">M689-T689</f>
        <v>0</v>
      </c>
      <c r="V689" s="25" t="n">
        <f aca="false">M689+N689</f>
        <v>681.55</v>
      </c>
      <c r="W689" s="25" t="n">
        <f aca="false">O689-V689</f>
        <v>0</v>
      </c>
      <c r="X689" s="22" t="str">
        <f aca="false">IF(OR(ABS(S689)&gt;0.005,ABS(U689)&gt;0.005,ABS(W689)&gt;0.005),"Subledger arithmetic error","OK")</f>
        <v>OK</v>
      </c>
      <c r="Y689" s="22" t="str">
        <f aca="false">IF(X689="OK","","Priority 3")</f>
        <v/>
      </c>
    </row>
    <row r="690" customFormat="false" ht="15" hidden="false" customHeight="false" outlineLevel="0" collapsed="false">
      <c r="A690" s="22" t="s">
        <v>12783</v>
      </c>
      <c r="B690" s="23" t="n">
        <v>46235</v>
      </c>
      <c r="C690" s="22" t="s">
        <v>12784</v>
      </c>
      <c r="D690" s="22" t="s">
        <v>4581</v>
      </c>
      <c r="E690" s="22" t="s">
        <v>8043</v>
      </c>
      <c r="F690" s="22" t="s">
        <v>499</v>
      </c>
      <c r="G690" s="22" t="s">
        <v>8601</v>
      </c>
      <c r="H690" s="22" t="s">
        <v>11406</v>
      </c>
      <c r="I690" s="22" t="n">
        <v>47</v>
      </c>
      <c r="J690" s="22" t="n">
        <v>1</v>
      </c>
      <c r="K690" s="22" t="n">
        <v>47</v>
      </c>
      <c r="L690" s="25" t="n">
        <v>7.55</v>
      </c>
      <c r="M690" s="25" t="n">
        <v>354.85</v>
      </c>
      <c r="N690" s="25" t="n">
        <v>45.56</v>
      </c>
      <c r="O690" s="25" t="n">
        <v>400.41</v>
      </c>
      <c r="P690" s="22" t="s">
        <v>11407</v>
      </c>
      <c r="Q690" s="23" t="n">
        <v>46249</v>
      </c>
      <c r="R690" s="22" t="n">
        <f aca="false">I690*J690</f>
        <v>47</v>
      </c>
      <c r="S690" s="25" t="n">
        <f aca="false">K690-R690</f>
        <v>0</v>
      </c>
      <c r="T690" s="25" t="n">
        <f aca="false">K690*L690</f>
        <v>354.85</v>
      </c>
      <c r="U690" s="25" t="n">
        <f aca="false">M690-T690</f>
        <v>0</v>
      </c>
      <c r="V690" s="25" t="n">
        <f aca="false">M690+N690</f>
        <v>400.41</v>
      </c>
      <c r="W690" s="25" t="n">
        <f aca="false">O690-V690</f>
        <v>0</v>
      </c>
      <c r="X690" s="22" t="str">
        <f aca="false">IF(OR(ABS(S690)&gt;0.005,ABS(U690)&gt;0.005,ABS(W690)&gt;0.005),"Subledger arithmetic error","OK")</f>
        <v>OK</v>
      </c>
      <c r="Y690" s="22" t="str">
        <f aca="false">IF(X690="OK","","Priority 3")</f>
        <v/>
      </c>
    </row>
    <row r="691" customFormat="false" ht="15" hidden="false" customHeight="false" outlineLevel="0" collapsed="false">
      <c r="A691" s="22" t="s">
        <v>12785</v>
      </c>
      <c r="B691" s="23" t="n">
        <v>46235</v>
      </c>
      <c r="C691" s="22" t="s">
        <v>12786</v>
      </c>
      <c r="D691" s="22" t="s">
        <v>4690</v>
      </c>
      <c r="E691" s="22" t="s">
        <v>8045</v>
      </c>
      <c r="F691" s="22" t="s">
        <v>499</v>
      </c>
      <c r="G691" s="22" t="s">
        <v>8601</v>
      </c>
      <c r="H691" s="22" t="s">
        <v>11406</v>
      </c>
      <c r="I691" s="22" t="n">
        <v>55</v>
      </c>
      <c r="J691" s="22" t="n">
        <v>1</v>
      </c>
      <c r="K691" s="22" t="n">
        <v>55</v>
      </c>
      <c r="L691" s="25" t="n">
        <v>7.55</v>
      </c>
      <c r="M691" s="25" t="n">
        <v>415.25</v>
      </c>
      <c r="N691" s="25" t="n">
        <v>53.32</v>
      </c>
      <c r="O691" s="25" t="n">
        <v>468.57</v>
      </c>
      <c r="P691" s="22" t="s">
        <v>11410</v>
      </c>
      <c r="Q691" s="23" t="n">
        <v>46249</v>
      </c>
      <c r="R691" s="22" t="n">
        <f aca="false">I691*J691</f>
        <v>55</v>
      </c>
      <c r="S691" s="25" t="n">
        <f aca="false">K691-R691</f>
        <v>0</v>
      </c>
      <c r="T691" s="25" t="n">
        <f aca="false">K691*L691</f>
        <v>415.25</v>
      </c>
      <c r="U691" s="25" t="n">
        <f aca="false">M691-T691</f>
        <v>0</v>
      </c>
      <c r="V691" s="25" t="n">
        <f aca="false">M691+N691</f>
        <v>468.57</v>
      </c>
      <c r="W691" s="25" t="n">
        <f aca="false">O691-V691</f>
        <v>0</v>
      </c>
      <c r="X691" s="22" t="str">
        <f aca="false">IF(OR(ABS(S691)&gt;0.005,ABS(U691)&gt;0.005,ABS(W691)&gt;0.005),"Subledger arithmetic error","OK")</f>
        <v>OK</v>
      </c>
      <c r="Y691" s="22" t="str">
        <f aca="false">IF(X691="OK","","Priority 3")</f>
        <v/>
      </c>
    </row>
    <row r="692" customFormat="false" ht="15" hidden="false" customHeight="false" outlineLevel="0" collapsed="false">
      <c r="A692" s="22" t="s">
        <v>12787</v>
      </c>
      <c r="B692" s="23" t="n">
        <v>46235</v>
      </c>
      <c r="C692" s="22" t="s">
        <v>12788</v>
      </c>
      <c r="D692" s="22" t="s">
        <v>3667</v>
      </c>
      <c r="E692" s="22" t="s">
        <v>8047</v>
      </c>
      <c r="F692" s="22" t="s">
        <v>499</v>
      </c>
      <c r="G692" s="22" t="s">
        <v>8601</v>
      </c>
      <c r="H692" s="22" t="s">
        <v>11406</v>
      </c>
      <c r="I692" s="22" t="n">
        <v>80</v>
      </c>
      <c r="J692" s="22" t="n">
        <v>1</v>
      </c>
      <c r="K692" s="22" t="n">
        <v>80</v>
      </c>
      <c r="L692" s="25" t="n">
        <v>7.55</v>
      </c>
      <c r="M692" s="25" t="n">
        <v>604</v>
      </c>
      <c r="N692" s="25" t="n">
        <v>77.55</v>
      </c>
      <c r="O692" s="25" t="n">
        <v>681.55</v>
      </c>
      <c r="P692" s="22" t="s">
        <v>11407</v>
      </c>
      <c r="Q692" s="23" t="n">
        <v>46249</v>
      </c>
      <c r="R692" s="22" t="n">
        <f aca="false">I692*J692</f>
        <v>80</v>
      </c>
      <c r="S692" s="25" t="n">
        <f aca="false">K692-R692</f>
        <v>0</v>
      </c>
      <c r="T692" s="25" t="n">
        <f aca="false">K692*L692</f>
        <v>604</v>
      </c>
      <c r="U692" s="25" t="n">
        <f aca="false">M692-T692</f>
        <v>0</v>
      </c>
      <c r="V692" s="25" t="n">
        <f aca="false">M692+N692</f>
        <v>681.55</v>
      </c>
      <c r="W692" s="25" t="n">
        <f aca="false">O692-V692</f>
        <v>0</v>
      </c>
      <c r="X692" s="22" t="str">
        <f aca="false">IF(OR(ABS(S692)&gt;0.005,ABS(U692)&gt;0.005,ABS(W692)&gt;0.005),"Subledger arithmetic error","OK")</f>
        <v>OK</v>
      </c>
      <c r="Y692" s="22" t="str">
        <f aca="false">IF(X692="OK","","Priority 3")</f>
        <v/>
      </c>
    </row>
    <row r="693" customFormat="false" ht="15" hidden="false" customHeight="false" outlineLevel="0" collapsed="false">
      <c r="A693" s="22" t="s">
        <v>12789</v>
      </c>
      <c r="B693" s="23" t="n">
        <v>46235</v>
      </c>
      <c r="C693" s="22" t="s">
        <v>12790</v>
      </c>
      <c r="D693" s="22" t="s">
        <v>5196</v>
      </c>
      <c r="E693" s="22" t="s">
        <v>8048</v>
      </c>
      <c r="F693" s="22" t="s">
        <v>499</v>
      </c>
      <c r="G693" s="22" t="s">
        <v>8601</v>
      </c>
      <c r="H693" s="22" t="s">
        <v>11406</v>
      </c>
      <c r="I693" s="22" t="n">
        <v>60</v>
      </c>
      <c r="J693" s="22" t="n">
        <v>1</v>
      </c>
      <c r="K693" s="22" t="n">
        <v>60</v>
      </c>
      <c r="L693" s="25" t="n">
        <v>7.55</v>
      </c>
      <c r="M693" s="25" t="n">
        <v>453</v>
      </c>
      <c r="N693" s="25" t="n">
        <v>58.17</v>
      </c>
      <c r="O693" s="25" t="n">
        <v>511.17</v>
      </c>
      <c r="P693" s="22" t="s">
        <v>11407</v>
      </c>
      <c r="Q693" s="23" t="n">
        <v>46249</v>
      </c>
      <c r="R693" s="22" t="n">
        <f aca="false">I693*J693</f>
        <v>60</v>
      </c>
      <c r="S693" s="25" t="n">
        <f aca="false">K693-R693</f>
        <v>0</v>
      </c>
      <c r="T693" s="25" t="n">
        <f aca="false">K693*L693</f>
        <v>453</v>
      </c>
      <c r="U693" s="25" t="n">
        <f aca="false">M693-T693</f>
        <v>0</v>
      </c>
      <c r="V693" s="25" t="n">
        <f aca="false">M693+N693</f>
        <v>511.17</v>
      </c>
      <c r="W693" s="25" t="n">
        <f aca="false">O693-V693</f>
        <v>0</v>
      </c>
      <c r="X693" s="22" t="str">
        <f aca="false">IF(OR(ABS(S693)&gt;0.005,ABS(U693)&gt;0.005,ABS(W693)&gt;0.005),"Subledger arithmetic error","OK")</f>
        <v>OK</v>
      </c>
      <c r="Y693" s="22" t="str">
        <f aca="false">IF(X693="OK","","Priority 3")</f>
        <v/>
      </c>
    </row>
    <row r="694" customFormat="false" ht="15" hidden="false" customHeight="false" outlineLevel="0" collapsed="false">
      <c r="A694" s="22" t="s">
        <v>12791</v>
      </c>
      <c r="B694" s="23" t="n">
        <v>46235</v>
      </c>
      <c r="C694" s="22" t="s">
        <v>12792</v>
      </c>
      <c r="D694" s="22" t="s">
        <v>758</v>
      </c>
      <c r="E694" s="22" t="s">
        <v>8049</v>
      </c>
      <c r="F694" s="22" t="s">
        <v>499</v>
      </c>
      <c r="G694" s="22" t="s">
        <v>8601</v>
      </c>
      <c r="H694" s="22" t="s">
        <v>11406</v>
      </c>
      <c r="I694" s="22" t="n">
        <v>32</v>
      </c>
      <c r="J694" s="22" t="n">
        <v>1</v>
      </c>
      <c r="K694" s="22" t="n">
        <v>32</v>
      </c>
      <c r="L694" s="25" t="n">
        <v>7.55</v>
      </c>
      <c r="M694" s="25" t="n">
        <v>241.6</v>
      </c>
      <c r="N694" s="25" t="n">
        <v>31.02</v>
      </c>
      <c r="O694" s="25" t="n">
        <v>272.62</v>
      </c>
      <c r="P694" s="22" t="s">
        <v>11407</v>
      </c>
      <c r="Q694" s="23" t="n">
        <v>46249</v>
      </c>
      <c r="R694" s="22" t="n">
        <f aca="false">I694*J694</f>
        <v>32</v>
      </c>
      <c r="S694" s="25" t="n">
        <f aca="false">K694-R694</f>
        <v>0</v>
      </c>
      <c r="T694" s="25" t="n">
        <f aca="false">K694*L694</f>
        <v>241.6</v>
      </c>
      <c r="U694" s="25" t="n">
        <f aca="false">M694-T694</f>
        <v>0</v>
      </c>
      <c r="V694" s="25" t="n">
        <f aca="false">M694+N694</f>
        <v>272.62</v>
      </c>
      <c r="W694" s="25" t="n">
        <f aca="false">O694-V694</f>
        <v>0</v>
      </c>
      <c r="X694" s="22" t="str">
        <f aca="false">IF(OR(ABS(S694)&gt;0.005,ABS(U694)&gt;0.005,ABS(W694)&gt;0.005),"Subledger arithmetic error","OK")</f>
        <v>OK</v>
      </c>
      <c r="Y694" s="22" t="str">
        <f aca="false">IF(X694="OK","","Priority 3")</f>
        <v/>
      </c>
    </row>
    <row r="695" customFormat="false" ht="15" hidden="false" customHeight="false" outlineLevel="0" collapsed="false">
      <c r="A695" s="22" t="s">
        <v>12793</v>
      </c>
      <c r="B695" s="23" t="n">
        <v>46235</v>
      </c>
      <c r="C695" s="22" t="s">
        <v>12794</v>
      </c>
      <c r="D695" s="22" t="s">
        <v>891</v>
      </c>
      <c r="E695" s="22" t="s">
        <v>8050</v>
      </c>
      <c r="F695" s="22" t="s">
        <v>499</v>
      </c>
      <c r="G695" s="22" t="s">
        <v>8601</v>
      </c>
      <c r="H695" s="22" t="s">
        <v>11406</v>
      </c>
      <c r="I695" s="22" t="n">
        <v>46</v>
      </c>
      <c r="J695" s="22" t="n">
        <v>1</v>
      </c>
      <c r="K695" s="22" t="n">
        <v>46</v>
      </c>
      <c r="L695" s="25" t="n">
        <v>7.55</v>
      </c>
      <c r="M695" s="25" t="n">
        <v>347.3</v>
      </c>
      <c r="N695" s="25" t="n">
        <v>44.59</v>
      </c>
      <c r="O695" s="25" t="n">
        <v>391.89</v>
      </c>
      <c r="P695" s="22" t="s">
        <v>11407</v>
      </c>
      <c r="Q695" s="23" t="n">
        <v>46249</v>
      </c>
      <c r="R695" s="22" t="n">
        <f aca="false">I695*J695</f>
        <v>46</v>
      </c>
      <c r="S695" s="25" t="n">
        <f aca="false">K695-R695</f>
        <v>0</v>
      </c>
      <c r="T695" s="25" t="n">
        <f aca="false">K695*L695</f>
        <v>347.3</v>
      </c>
      <c r="U695" s="25" t="n">
        <f aca="false">M695-T695</f>
        <v>0</v>
      </c>
      <c r="V695" s="25" t="n">
        <f aca="false">M695+N695</f>
        <v>391.89</v>
      </c>
      <c r="W695" s="25" t="n">
        <f aca="false">O695-V695</f>
        <v>0</v>
      </c>
      <c r="X695" s="22" t="str">
        <f aca="false">IF(OR(ABS(S695)&gt;0.005,ABS(U695)&gt;0.005,ABS(W695)&gt;0.005),"Subledger arithmetic error","OK")</f>
        <v>OK</v>
      </c>
      <c r="Y695" s="22" t="str">
        <f aca="false">IF(X695="OK","","Priority 3")</f>
        <v/>
      </c>
    </row>
    <row r="696" customFormat="false" ht="15" hidden="false" customHeight="false" outlineLevel="0" collapsed="false">
      <c r="A696" s="22" t="s">
        <v>12795</v>
      </c>
      <c r="B696" s="23" t="n">
        <v>46235</v>
      </c>
      <c r="C696" s="22" t="s">
        <v>12796</v>
      </c>
      <c r="D696" s="22" t="s">
        <v>4702</v>
      </c>
      <c r="E696" s="22" t="s">
        <v>8052</v>
      </c>
      <c r="F696" s="22" t="s">
        <v>499</v>
      </c>
      <c r="G696" s="22" t="s">
        <v>8601</v>
      </c>
      <c r="H696" s="22" t="s">
        <v>11406</v>
      </c>
      <c r="I696" s="22" t="n">
        <v>37</v>
      </c>
      <c r="J696" s="22" t="n">
        <v>1</v>
      </c>
      <c r="K696" s="22" t="n">
        <v>37</v>
      </c>
      <c r="L696" s="25" t="n">
        <v>7.55</v>
      </c>
      <c r="M696" s="25" t="n">
        <v>279.35</v>
      </c>
      <c r="N696" s="25" t="n">
        <v>35.87</v>
      </c>
      <c r="O696" s="25" t="n">
        <v>315.22</v>
      </c>
      <c r="P696" s="22" t="s">
        <v>11407</v>
      </c>
      <c r="Q696" s="23" t="n">
        <v>46249</v>
      </c>
      <c r="R696" s="22" t="n">
        <f aca="false">I696*J696</f>
        <v>37</v>
      </c>
      <c r="S696" s="25" t="n">
        <f aca="false">K696-R696</f>
        <v>0</v>
      </c>
      <c r="T696" s="25" t="n">
        <f aca="false">K696*L696</f>
        <v>279.35</v>
      </c>
      <c r="U696" s="25" t="n">
        <f aca="false">M696-T696</f>
        <v>0</v>
      </c>
      <c r="V696" s="25" t="n">
        <f aca="false">M696+N696</f>
        <v>315.22</v>
      </c>
      <c r="W696" s="25" t="n">
        <f aca="false">O696-V696</f>
        <v>0</v>
      </c>
      <c r="X696" s="22" t="str">
        <f aca="false">IF(OR(ABS(S696)&gt;0.005,ABS(U696)&gt;0.005,ABS(W696)&gt;0.005),"Subledger arithmetic error","OK")</f>
        <v>OK</v>
      </c>
      <c r="Y696" s="22" t="str">
        <f aca="false">IF(X696="OK","","Priority 3")</f>
        <v/>
      </c>
    </row>
    <row r="697" customFormat="false" ht="15" hidden="false" customHeight="false" outlineLevel="0" collapsed="false">
      <c r="A697" s="22" t="s">
        <v>12797</v>
      </c>
      <c r="B697" s="23" t="n">
        <v>46235</v>
      </c>
      <c r="C697" s="22" t="s">
        <v>12798</v>
      </c>
      <c r="D697" s="22" t="s">
        <v>1759</v>
      </c>
      <c r="E697" s="22" t="s">
        <v>8053</v>
      </c>
      <c r="F697" s="22" t="s">
        <v>499</v>
      </c>
      <c r="G697" s="22" t="s">
        <v>8601</v>
      </c>
      <c r="H697" s="22" t="s">
        <v>11406</v>
      </c>
      <c r="I697" s="22" t="n">
        <v>50</v>
      </c>
      <c r="J697" s="22" t="n">
        <v>1</v>
      </c>
      <c r="K697" s="22" t="n">
        <v>50</v>
      </c>
      <c r="L697" s="25" t="n">
        <v>7.55</v>
      </c>
      <c r="M697" s="25" t="n">
        <v>377.5</v>
      </c>
      <c r="N697" s="25" t="n">
        <v>48.47</v>
      </c>
      <c r="O697" s="25" t="n">
        <v>425.97</v>
      </c>
      <c r="P697" s="22" t="s">
        <v>11407</v>
      </c>
      <c r="Q697" s="23" t="n">
        <v>46249</v>
      </c>
      <c r="R697" s="22" t="n">
        <f aca="false">I697*J697</f>
        <v>50</v>
      </c>
      <c r="S697" s="25" t="n">
        <f aca="false">K697-R697</f>
        <v>0</v>
      </c>
      <c r="T697" s="25" t="n">
        <f aca="false">K697*L697</f>
        <v>377.5</v>
      </c>
      <c r="U697" s="25" t="n">
        <f aca="false">M697-T697</f>
        <v>0</v>
      </c>
      <c r="V697" s="25" t="n">
        <f aca="false">M697+N697</f>
        <v>425.97</v>
      </c>
      <c r="W697" s="25" t="n">
        <f aca="false">O697-V697</f>
        <v>0</v>
      </c>
      <c r="X697" s="22" t="str">
        <f aca="false">IF(OR(ABS(S697)&gt;0.005,ABS(U697)&gt;0.005,ABS(W697)&gt;0.005),"Subledger arithmetic error","OK")</f>
        <v>OK</v>
      </c>
      <c r="Y697" s="22" t="str">
        <f aca="false">IF(X697="OK","","Priority 3")</f>
        <v/>
      </c>
    </row>
    <row r="698" customFormat="false" ht="15" hidden="false" customHeight="false" outlineLevel="0" collapsed="false">
      <c r="A698" s="22" t="s">
        <v>12799</v>
      </c>
      <c r="B698" s="23" t="n">
        <v>46235</v>
      </c>
      <c r="C698" s="22" t="s">
        <v>12800</v>
      </c>
      <c r="D698" s="22" t="s">
        <v>4166</v>
      </c>
      <c r="E698" s="22" t="s">
        <v>8054</v>
      </c>
      <c r="F698" s="22" t="s">
        <v>499</v>
      </c>
      <c r="G698" s="22" t="s">
        <v>8601</v>
      </c>
      <c r="H698" s="22" t="s">
        <v>11406</v>
      </c>
      <c r="I698" s="22" t="n">
        <v>50</v>
      </c>
      <c r="J698" s="22" t="n">
        <v>1</v>
      </c>
      <c r="K698" s="22" t="n">
        <v>50</v>
      </c>
      <c r="L698" s="25" t="n">
        <v>7.55</v>
      </c>
      <c r="M698" s="25" t="n">
        <v>377.5</v>
      </c>
      <c r="N698" s="25" t="n">
        <v>48.47</v>
      </c>
      <c r="O698" s="25" t="n">
        <v>425.97</v>
      </c>
      <c r="P698" s="22" t="s">
        <v>11407</v>
      </c>
      <c r="Q698" s="23" t="n">
        <v>46249</v>
      </c>
      <c r="R698" s="22" t="n">
        <f aca="false">I698*J698</f>
        <v>50</v>
      </c>
      <c r="S698" s="25" t="n">
        <f aca="false">K698-R698</f>
        <v>0</v>
      </c>
      <c r="T698" s="25" t="n">
        <f aca="false">K698*L698</f>
        <v>377.5</v>
      </c>
      <c r="U698" s="25" t="n">
        <f aca="false">M698-T698</f>
        <v>0</v>
      </c>
      <c r="V698" s="25" t="n">
        <f aca="false">M698+N698</f>
        <v>425.97</v>
      </c>
      <c r="W698" s="25" t="n">
        <f aca="false">O698-V698</f>
        <v>0</v>
      </c>
      <c r="X698" s="22" t="str">
        <f aca="false">IF(OR(ABS(S698)&gt;0.005,ABS(U698)&gt;0.005,ABS(W698)&gt;0.005),"Subledger arithmetic error","OK")</f>
        <v>OK</v>
      </c>
      <c r="Y698" s="22" t="str">
        <f aca="false">IF(X698="OK","","Priority 3")</f>
        <v/>
      </c>
    </row>
    <row r="699" customFormat="false" ht="15" hidden="false" customHeight="false" outlineLevel="0" collapsed="false">
      <c r="A699" s="22" t="s">
        <v>12801</v>
      </c>
      <c r="B699" s="23" t="n">
        <v>46235</v>
      </c>
      <c r="C699" s="22" t="s">
        <v>12802</v>
      </c>
      <c r="D699" s="22" t="s">
        <v>3888</v>
      </c>
      <c r="E699" s="22" t="s">
        <v>8055</v>
      </c>
      <c r="F699" s="22" t="s">
        <v>499</v>
      </c>
      <c r="G699" s="22" t="s">
        <v>8601</v>
      </c>
      <c r="H699" s="22" t="s">
        <v>11406</v>
      </c>
      <c r="I699" s="22" t="n">
        <v>50</v>
      </c>
      <c r="J699" s="22" t="n">
        <v>1</v>
      </c>
      <c r="K699" s="22" t="n">
        <v>50</v>
      </c>
      <c r="L699" s="25" t="n">
        <v>7.55</v>
      </c>
      <c r="M699" s="25" t="n">
        <v>377.5</v>
      </c>
      <c r="N699" s="25" t="n">
        <v>48.47</v>
      </c>
      <c r="O699" s="25" t="n">
        <v>425.97</v>
      </c>
      <c r="P699" s="22" t="s">
        <v>11407</v>
      </c>
      <c r="Q699" s="23" t="n">
        <v>46249</v>
      </c>
      <c r="R699" s="22" t="n">
        <f aca="false">I699*J699</f>
        <v>50</v>
      </c>
      <c r="S699" s="25" t="n">
        <f aca="false">K699-R699</f>
        <v>0</v>
      </c>
      <c r="T699" s="25" t="n">
        <f aca="false">K699*L699</f>
        <v>377.5</v>
      </c>
      <c r="U699" s="25" t="n">
        <f aca="false">M699-T699</f>
        <v>0</v>
      </c>
      <c r="V699" s="25" t="n">
        <f aca="false">M699+N699</f>
        <v>425.97</v>
      </c>
      <c r="W699" s="25" t="n">
        <f aca="false">O699-V699</f>
        <v>0</v>
      </c>
      <c r="X699" s="22" t="str">
        <f aca="false">IF(OR(ABS(S699)&gt;0.005,ABS(U699)&gt;0.005,ABS(W699)&gt;0.005),"Subledger arithmetic error","OK")</f>
        <v>OK</v>
      </c>
      <c r="Y699" s="22" t="str">
        <f aca="false">IF(X699="OK","","Priority 3")</f>
        <v/>
      </c>
    </row>
    <row r="700" customFormat="false" ht="15" hidden="false" customHeight="false" outlineLevel="0" collapsed="false">
      <c r="A700" s="22" t="s">
        <v>12803</v>
      </c>
      <c r="B700" s="23" t="n">
        <v>46235</v>
      </c>
      <c r="C700" s="22" t="s">
        <v>12804</v>
      </c>
      <c r="D700" s="22" t="s">
        <v>4404</v>
      </c>
      <c r="E700" s="22" t="s">
        <v>8057</v>
      </c>
      <c r="F700" s="22" t="s">
        <v>499</v>
      </c>
      <c r="G700" s="22" t="s">
        <v>8601</v>
      </c>
      <c r="H700" s="22" t="s">
        <v>11406</v>
      </c>
      <c r="I700" s="22" t="n">
        <v>60</v>
      </c>
      <c r="J700" s="22" t="n">
        <v>1</v>
      </c>
      <c r="K700" s="22" t="n">
        <v>60</v>
      </c>
      <c r="L700" s="25" t="n">
        <v>7.55</v>
      </c>
      <c r="M700" s="25" t="n">
        <v>453</v>
      </c>
      <c r="N700" s="25" t="n">
        <v>58.17</v>
      </c>
      <c r="O700" s="25" t="n">
        <v>511.17</v>
      </c>
      <c r="P700" s="22" t="s">
        <v>11407</v>
      </c>
      <c r="Q700" s="23" t="n">
        <v>46249</v>
      </c>
      <c r="R700" s="22" t="n">
        <f aca="false">I700*J700</f>
        <v>60</v>
      </c>
      <c r="S700" s="25" t="n">
        <f aca="false">K700-R700</f>
        <v>0</v>
      </c>
      <c r="T700" s="25" t="n">
        <f aca="false">K700*L700</f>
        <v>453</v>
      </c>
      <c r="U700" s="25" t="n">
        <f aca="false">M700-T700</f>
        <v>0</v>
      </c>
      <c r="V700" s="25" t="n">
        <f aca="false">M700+N700</f>
        <v>511.17</v>
      </c>
      <c r="W700" s="25" t="n">
        <f aca="false">O700-V700</f>
        <v>0</v>
      </c>
      <c r="X700" s="22" t="str">
        <f aca="false">IF(OR(ABS(S700)&gt;0.005,ABS(U700)&gt;0.005,ABS(W700)&gt;0.005),"Subledger arithmetic error","OK")</f>
        <v>OK</v>
      </c>
      <c r="Y700" s="22" t="str">
        <f aca="false">IF(X700="OK","","Priority 3")</f>
        <v/>
      </c>
    </row>
    <row r="701" customFormat="false" ht="15" hidden="false" customHeight="false" outlineLevel="0" collapsed="false">
      <c r="A701" s="22" t="s">
        <v>12805</v>
      </c>
      <c r="B701" s="23" t="n">
        <v>46235</v>
      </c>
      <c r="C701" s="22" t="s">
        <v>12806</v>
      </c>
      <c r="D701" s="22" t="s">
        <v>1798</v>
      </c>
      <c r="E701" s="22" t="s">
        <v>8059</v>
      </c>
      <c r="F701" s="22" t="s">
        <v>499</v>
      </c>
      <c r="G701" s="22" t="s">
        <v>8601</v>
      </c>
      <c r="H701" s="22" t="s">
        <v>11406</v>
      </c>
      <c r="I701" s="22" t="n">
        <v>38</v>
      </c>
      <c r="J701" s="22" t="n">
        <v>1</v>
      </c>
      <c r="K701" s="22" t="n">
        <v>38</v>
      </c>
      <c r="L701" s="25" t="n">
        <v>7.55</v>
      </c>
      <c r="M701" s="25" t="n">
        <v>286.9</v>
      </c>
      <c r="N701" s="25" t="n">
        <v>36.84</v>
      </c>
      <c r="O701" s="25" t="n">
        <v>323.74</v>
      </c>
      <c r="P701" s="22" t="s">
        <v>11407</v>
      </c>
      <c r="Q701" s="23" t="n">
        <v>46249</v>
      </c>
      <c r="R701" s="22" t="n">
        <f aca="false">I701*J701</f>
        <v>38</v>
      </c>
      <c r="S701" s="25" t="n">
        <f aca="false">K701-R701</f>
        <v>0</v>
      </c>
      <c r="T701" s="25" t="n">
        <f aca="false">K701*L701</f>
        <v>286.9</v>
      </c>
      <c r="U701" s="25" t="n">
        <f aca="false">M701-T701</f>
        <v>0</v>
      </c>
      <c r="V701" s="25" t="n">
        <f aca="false">M701+N701</f>
        <v>323.74</v>
      </c>
      <c r="W701" s="25" t="n">
        <f aca="false">O701-V701</f>
        <v>0</v>
      </c>
      <c r="X701" s="22" t="str">
        <f aca="false">IF(OR(ABS(S701)&gt;0.005,ABS(U701)&gt;0.005,ABS(W701)&gt;0.005),"Subledger arithmetic error","OK")</f>
        <v>OK</v>
      </c>
      <c r="Y701" s="22" t="str">
        <f aca="false">IF(X701="OK","","Priority 3")</f>
        <v/>
      </c>
    </row>
    <row r="702" customFormat="false" ht="15" hidden="false" customHeight="false" outlineLevel="0" collapsed="false">
      <c r="A702" s="22" t="s">
        <v>12807</v>
      </c>
      <c r="B702" s="23" t="n">
        <v>46235</v>
      </c>
      <c r="C702" s="22" t="s">
        <v>12808</v>
      </c>
      <c r="D702" s="22" t="s">
        <v>803</v>
      </c>
      <c r="E702" s="22" t="s">
        <v>8061</v>
      </c>
      <c r="F702" s="22" t="s">
        <v>499</v>
      </c>
      <c r="G702" s="22" t="s">
        <v>8601</v>
      </c>
      <c r="H702" s="22" t="s">
        <v>11406</v>
      </c>
      <c r="I702" s="22" t="n">
        <v>50</v>
      </c>
      <c r="J702" s="22" t="n">
        <v>1</v>
      </c>
      <c r="K702" s="22" t="n">
        <v>50</v>
      </c>
      <c r="L702" s="25" t="n">
        <v>7.55</v>
      </c>
      <c r="M702" s="25" t="n">
        <v>377.5</v>
      </c>
      <c r="N702" s="25" t="n">
        <v>48.47</v>
      </c>
      <c r="O702" s="25" t="n">
        <v>425.97</v>
      </c>
      <c r="P702" s="22" t="s">
        <v>11407</v>
      </c>
      <c r="Q702" s="23" t="n">
        <v>46249</v>
      </c>
      <c r="R702" s="22" t="n">
        <f aca="false">I702*J702</f>
        <v>50</v>
      </c>
      <c r="S702" s="25" t="n">
        <f aca="false">K702-R702</f>
        <v>0</v>
      </c>
      <c r="T702" s="25" t="n">
        <f aca="false">K702*L702</f>
        <v>377.5</v>
      </c>
      <c r="U702" s="25" t="n">
        <f aca="false">M702-T702</f>
        <v>0</v>
      </c>
      <c r="V702" s="25" t="n">
        <f aca="false">M702+N702</f>
        <v>425.97</v>
      </c>
      <c r="W702" s="25" t="n">
        <f aca="false">O702-V702</f>
        <v>0</v>
      </c>
      <c r="X702" s="22" t="str">
        <f aca="false">IF(OR(ABS(S702)&gt;0.005,ABS(U702)&gt;0.005,ABS(W702)&gt;0.005),"Subledger arithmetic error","OK")</f>
        <v>OK</v>
      </c>
      <c r="Y702" s="22" t="str">
        <f aca="false">IF(X702="OK","","Priority 3")</f>
        <v/>
      </c>
    </row>
    <row r="703" customFormat="false" ht="15" hidden="false" customHeight="false" outlineLevel="0" collapsed="false">
      <c r="A703" s="22" t="s">
        <v>12809</v>
      </c>
      <c r="B703" s="23" t="n">
        <v>46235</v>
      </c>
      <c r="C703" s="22" t="s">
        <v>12810</v>
      </c>
      <c r="D703" s="22" t="s">
        <v>2114</v>
      </c>
      <c r="E703" s="22" t="s">
        <v>8062</v>
      </c>
      <c r="F703" s="22" t="s">
        <v>499</v>
      </c>
      <c r="G703" s="22" t="s">
        <v>8601</v>
      </c>
      <c r="H703" s="22" t="s">
        <v>11406</v>
      </c>
      <c r="I703" s="22" t="n">
        <v>41</v>
      </c>
      <c r="J703" s="22" t="n">
        <v>1</v>
      </c>
      <c r="K703" s="22" t="n">
        <v>41</v>
      </c>
      <c r="L703" s="25" t="n">
        <v>7.55</v>
      </c>
      <c r="M703" s="25" t="n">
        <v>309.55</v>
      </c>
      <c r="N703" s="25" t="n">
        <v>39.75</v>
      </c>
      <c r="O703" s="25" t="n">
        <v>349.3</v>
      </c>
      <c r="P703" s="22" t="s">
        <v>11407</v>
      </c>
      <c r="Q703" s="23" t="n">
        <v>46249</v>
      </c>
      <c r="R703" s="22" t="n">
        <f aca="false">I703*J703</f>
        <v>41</v>
      </c>
      <c r="S703" s="25" t="n">
        <f aca="false">K703-R703</f>
        <v>0</v>
      </c>
      <c r="T703" s="25" t="n">
        <f aca="false">K703*L703</f>
        <v>309.55</v>
      </c>
      <c r="U703" s="25" t="n">
        <f aca="false">M703-T703</f>
        <v>0</v>
      </c>
      <c r="V703" s="25" t="n">
        <f aca="false">M703+N703</f>
        <v>349.3</v>
      </c>
      <c r="W703" s="25" t="n">
        <f aca="false">O703-V703</f>
        <v>0</v>
      </c>
      <c r="X703" s="22" t="str">
        <f aca="false">IF(OR(ABS(S703)&gt;0.005,ABS(U703)&gt;0.005,ABS(W703)&gt;0.005),"Subledger arithmetic error","OK")</f>
        <v>OK</v>
      </c>
      <c r="Y703" s="22" t="str">
        <f aca="false">IF(X703="OK","","Priority 3")</f>
        <v/>
      </c>
    </row>
    <row r="704" customFormat="false" ht="15" hidden="false" customHeight="false" outlineLevel="0" collapsed="false">
      <c r="A704" s="22" t="s">
        <v>12811</v>
      </c>
      <c r="B704" s="23" t="n">
        <v>46235</v>
      </c>
      <c r="C704" s="22" t="s">
        <v>12812</v>
      </c>
      <c r="D704" s="22" t="s">
        <v>1932</v>
      </c>
      <c r="E704" s="22" t="s">
        <v>8063</v>
      </c>
      <c r="F704" s="22" t="s">
        <v>499</v>
      </c>
      <c r="G704" s="22" t="s">
        <v>8601</v>
      </c>
      <c r="H704" s="22" t="s">
        <v>11406</v>
      </c>
      <c r="I704" s="22" t="n">
        <v>32</v>
      </c>
      <c r="J704" s="22" t="n">
        <v>1</v>
      </c>
      <c r="K704" s="22" t="n">
        <v>32</v>
      </c>
      <c r="L704" s="25" t="n">
        <v>7.55</v>
      </c>
      <c r="M704" s="25" t="n">
        <v>241.6</v>
      </c>
      <c r="N704" s="25" t="n">
        <v>31.02</v>
      </c>
      <c r="O704" s="25" t="n">
        <v>272.62</v>
      </c>
      <c r="P704" s="22" t="s">
        <v>11407</v>
      </c>
      <c r="Q704" s="23" t="n">
        <v>46249</v>
      </c>
      <c r="R704" s="22" t="n">
        <f aca="false">I704*J704</f>
        <v>32</v>
      </c>
      <c r="S704" s="25" t="n">
        <f aca="false">K704-R704</f>
        <v>0</v>
      </c>
      <c r="T704" s="25" t="n">
        <f aca="false">K704*L704</f>
        <v>241.6</v>
      </c>
      <c r="U704" s="25" t="n">
        <f aca="false">M704-T704</f>
        <v>0</v>
      </c>
      <c r="V704" s="25" t="n">
        <f aca="false">M704+N704</f>
        <v>272.62</v>
      </c>
      <c r="W704" s="25" t="n">
        <f aca="false">O704-V704</f>
        <v>0</v>
      </c>
      <c r="X704" s="22" t="str">
        <f aca="false">IF(OR(ABS(S704)&gt;0.005,ABS(U704)&gt;0.005,ABS(W704)&gt;0.005),"Subledger arithmetic error","OK")</f>
        <v>OK</v>
      </c>
      <c r="Y704" s="22" t="str">
        <f aca="false">IF(X704="OK","","Priority 3")</f>
        <v/>
      </c>
    </row>
    <row r="705" customFormat="false" ht="15" hidden="false" customHeight="false" outlineLevel="0" collapsed="false">
      <c r="A705" s="22" t="s">
        <v>12813</v>
      </c>
      <c r="B705" s="23" t="n">
        <v>46235</v>
      </c>
      <c r="C705" s="22" t="s">
        <v>12814</v>
      </c>
      <c r="D705" s="22" t="s">
        <v>5961</v>
      </c>
      <c r="E705" s="22" t="s">
        <v>8064</v>
      </c>
      <c r="F705" s="22" t="s">
        <v>499</v>
      </c>
      <c r="G705" s="22" t="s">
        <v>8601</v>
      </c>
      <c r="H705" s="22" t="s">
        <v>11406</v>
      </c>
      <c r="I705" s="22" t="n">
        <v>80</v>
      </c>
      <c r="J705" s="22" t="n">
        <v>1</v>
      </c>
      <c r="K705" s="22" t="n">
        <v>80</v>
      </c>
      <c r="L705" s="25" t="n">
        <v>7.55</v>
      </c>
      <c r="M705" s="25" t="n">
        <v>604</v>
      </c>
      <c r="N705" s="25" t="n">
        <v>77.55</v>
      </c>
      <c r="O705" s="25" t="n">
        <v>681.55</v>
      </c>
      <c r="P705" s="22" t="s">
        <v>11407</v>
      </c>
      <c r="Q705" s="23" t="n">
        <v>46249</v>
      </c>
      <c r="R705" s="22" t="n">
        <f aca="false">I705*J705</f>
        <v>80</v>
      </c>
      <c r="S705" s="25" t="n">
        <f aca="false">K705-R705</f>
        <v>0</v>
      </c>
      <c r="T705" s="25" t="n">
        <f aca="false">K705*L705</f>
        <v>604</v>
      </c>
      <c r="U705" s="25" t="n">
        <f aca="false">M705-T705</f>
        <v>0</v>
      </c>
      <c r="V705" s="25" t="n">
        <f aca="false">M705+N705</f>
        <v>681.55</v>
      </c>
      <c r="W705" s="25" t="n">
        <f aca="false">O705-V705</f>
        <v>0</v>
      </c>
      <c r="X705" s="22" t="str">
        <f aca="false">IF(OR(ABS(S705)&gt;0.005,ABS(U705)&gt;0.005,ABS(W705)&gt;0.005),"Subledger arithmetic error","OK")</f>
        <v>OK</v>
      </c>
      <c r="Y705" s="22" t="str">
        <f aca="false">IF(X705="OK","","Priority 3")</f>
        <v/>
      </c>
    </row>
    <row r="706" customFormat="false" ht="15" hidden="false" customHeight="false" outlineLevel="0" collapsed="false">
      <c r="A706" s="22" t="s">
        <v>12815</v>
      </c>
      <c r="B706" s="23" t="n">
        <v>46235</v>
      </c>
      <c r="C706" s="22" t="s">
        <v>12816</v>
      </c>
      <c r="D706" s="22" t="s">
        <v>2157</v>
      </c>
      <c r="E706" s="22" t="s">
        <v>8066</v>
      </c>
      <c r="F706" s="22" t="s">
        <v>499</v>
      </c>
      <c r="G706" s="22" t="s">
        <v>8601</v>
      </c>
      <c r="H706" s="22" t="s">
        <v>11406</v>
      </c>
      <c r="I706" s="22" t="n">
        <v>37</v>
      </c>
      <c r="J706" s="22" t="n">
        <v>1</v>
      </c>
      <c r="K706" s="22" t="n">
        <v>37</v>
      </c>
      <c r="L706" s="25" t="n">
        <v>7.55</v>
      </c>
      <c r="M706" s="25" t="n">
        <v>279.35</v>
      </c>
      <c r="N706" s="25" t="n">
        <v>35.87</v>
      </c>
      <c r="O706" s="25" t="n">
        <v>315.22</v>
      </c>
      <c r="P706" s="22" t="s">
        <v>11407</v>
      </c>
      <c r="Q706" s="23" t="n">
        <v>46249</v>
      </c>
      <c r="R706" s="22" t="n">
        <f aca="false">I706*J706</f>
        <v>37</v>
      </c>
      <c r="S706" s="25" t="n">
        <f aca="false">K706-R706</f>
        <v>0</v>
      </c>
      <c r="T706" s="25" t="n">
        <f aca="false">K706*L706</f>
        <v>279.35</v>
      </c>
      <c r="U706" s="25" t="n">
        <f aca="false">M706-T706</f>
        <v>0</v>
      </c>
      <c r="V706" s="25" t="n">
        <f aca="false">M706+N706</f>
        <v>315.22</v>
      </c>
      <c r="W706" s="25" t="n">
        <f aca="false">O706-V706</f>
        <v>0</v>
      </c>
      <c r="X706" s="22" t="str">
        <f aca="false">IF(OR(ABS(S706)&gt;0.005,ABS(U706)&gt;0.005,ABS(W706)&gt;0.005),"Subledger arithmetic error","OK")</f>
        <v>OK</v>
      </c>
      <c r="Y706" s="22" t="str">
        <f aca="false">IF(X706="OK","","Priority 3")</f>
        <v/>
      </c>
    </row>
    <row r="707" customFormat="false" ht="15" hidden="false" customHeight="false" outlineLevel="0" collapsed="false">
      <c r="A707" s="22" t="s">
        <v>12817</v>
      </c>
      <c r="B707" s="23" t="n">
        <v>46235</v>
      </c>
      <c r="C707" s="22" t="s">
        <v>12818</v>
      </c>
      <c r="D707" s="22" t="s">
        <v>4905</v>
      </c>
      <c r="E707" s="22" t="s">
        <v>8068</v>
      </c>
      <c r="F707" s="22" t="s">
        <v>499</v>
      </c>
      <c r="G707" s="22" t="s">
        <v>8601</v>
      </c>
      <c r="H707" s="22" t="s">
        <v>11406</v>
      </c>
      <c r="I707" s="22" t="n">
        <v>80</v>
      </c>
      <c r="J707" s="22" t="n">
        <v>1</v>
      </c>
      <c r="K707" s="22" t="n">
        <v>80</v>
      </c>
      <c r="L707" s="25" t="n">
        <v>7.55</v>
      </c>
      <c r="M707" s="25" t="n">
        <v>604</v>
      </c>
      <c r="N707" s="25" t="n">
        <v>77.55</v>
      </c>
      <c r="O707" s="25" t="n">
        <v>681.55</v>
      </c>
      <c r="P707" s="22" t="s">
        <v>11410</v>
      </c>
      <c r="Q707" s="23" t="n">
        <v>46249</v>
      </c>
      <c r="R707" s="22" t="n">
        <f aca="false">I707*J707</f>
        <v>80</v>
      </c>
      <c r="S707" s="25" t="n">
        <f aca="false">K707-R707</f>
        <v>0</v>
      </c>
      <c r="T707" s="25" t="n">
        <f aca="false">K707*L707</f>
        <v>604</v>
      </c>
      <c r="U707" s="25" t="n">
        <f aca="false">M707-T707</f>
        <v>0</v>
      </c>
      <c r="V707" s="25" t="n">
        <f aca="false">M707+N707</f>
        <v>681.55</v>
      </c>
      <c r="W707" s="25" t="n">
        <f aca="false">O707-V707</f>
        <v>0</v>
      </c>
      <c r="X707" s="22" t="str">
        <f aca="false">IF(OR(ABS(S707)&gt;0.005,ABS(U707)&gt;0.005,ABS(W707)&gt;0.005),"Subledger arithmetic error","OK")</f>
        <v>OK</v>
      </c>
      <c r="Y707" s="22" t="str">
        <f aca="false">IF(X707="OK","","Priority 3")</f>
        <v/>
      </c>
    </row>
    <row r="708" customFormat="false" ht="15" hidden="false" customHeight="false" outlineLevel="0" collapsed="false">
      <c r="A708" s="22" t="s">
        <v>12819</v>
      </c>
      <c r="B708" s="23" t="n">
        <v>46235</v>
      </c>
      <c r="C708" s="22" t="s">
        <v>12820</v>
      </c>
      <c r="D708" s="22" t="s">
        <v>2794</v>
      </c>
      <c r="E708" s="22" t="s">
        <v>8071</v>
      </c>
      <c r="F708" s="22" t="s">
        <v>499</v>
      </c>
      <c r="G708" s="22" t="s">
        <v>8601</v>
      </c>
      <c r="H708" s="22" t="s">
        <v>11406</v>
      </c>
      <c r="I708" s="22" t="n">
        <v>32</v>
      </c>
      <c r="J708" s="22" t="n">
        <v>1</v>
      </c>
      <c r="K708" s="22" t="n">
        <v>32</v>
      </c>
      <c r="L708" s="25" t="n">
        <v>7.55</v>
      </c>
      <c r="M708" s="25" t="n">
        <v>241.6</v>
      </c>
      <c r="N708" s="25" t="n">
        <v>31.02</v>
      </c>
      <c r="O708" s="25" t="n">
        <v>272.62</v>
      </c>
      <c r="P708" s="22" t="s">
        <v>11407</v>
      </c>
      <c r="Q708" s="23" t="n">
        <v>46249</v>
      </c>
      <c r="R708" s="22" t="n">
        <f aca="false">I708*J708</f>
        <v>32</v>
      </c>
      <c r="S708" s="25" t="n">
        <f aca="false">K708-R708</f>
        <v>0</v>
      </c>
      <c r="T708" s="25" t="n">
        <f aca="false">K708*L708</f>
        <v>241.6</v>
      </c>
      <c r="U708" s="25" t="n">
        <f aca="false">M708-T708</f>
        <v>0</v>
      </c>
      <c r="V708" s="25" t="n">
        <f aca="false">M708+N708</f>
        <v>272.62</v>
      </c>
      <c r="W708" s="25" t="n">
        <f aca="false">O708-V708</f>
        <v>0</v>
      </c>
      <c r="X708" s="22" t="str">
        <f aca="false">IF(OR(ABS(S708)&gt;0.005,ABS(U708)&gt;0.005,ABS(W708)&gt;0.005),"Subledger arithmetic error","OK")</f>
        <v>OK</v>
      </c>
      <c r="Y708" s="22" t="str">
        <f aca="false">IF(X708="OK","","Priority 3")</f>
        <v/>
      </c>
    </row>
    <row r="709" customFormat="false" ht="15" hidden="false" customHeight="false" outlineLevel="0" collapsed="false">
      <c r="A709" s="22" t="s">
        <v>12821</v>
      </c>
      <c r="B709" s="23" t="n">
        <v>46235</v>
      </c>
      <c r="C709" s="22" t="s">
        <v>12822</v>
      </c>
      <c r="D709" s="22" t="s">
        <v>2341</v>
      </c>
      <c r="E709" s="22" t="s">
        <v>8073</v>
      </c>
      <c r="F709" s="22" t="s">
        <v>499</v>
      </c>
      <c r="G709" s="22" t="s">
        <v>8601</v>
      </c>
      <c r="H709" s="22" t="s">
        <v>11406</v>
      </c>
      <c r="I709" s="22" t="n">
        <v>50</v>
      </c>
      <c r="J709" s="22" t="n">
        <v>1</v>
      </c>
      <c r="K709" s="22" t="n">
        <v>50</v>
      </c>
      <c r="L709" s="25" t="n">
        <v>7.55</v>
      </c>
      <c r="M709" s="25" t="n">
        <v>377.5</v>
      </c>
      <c r="N709" s="25" t="n">
        <v>48.47</v>
      </c>
      <c r="O709" s="25" t="n">
        <v>425.97</v>
      </c>
      <c r="P709" s="22" t="s">
        <v>11407</v>
      </c>
      <c r="Q709" s="23" t="n">
        <v>46249</v>
      </c>
      <c r="R709" s="22" t="n">
        <f aca="false">I709*J709</f>
        <v>50</v>
      </c>
      <c r="S709" s="25" t="n">
        <f aca="false">K709-R709</f>
        <v>0</v>
      </c>
      <c r="T709" s="25" t="n">
        <f aca="false">K709*L709</f>
        <v>377.5</v>
      </c>
      <c r="U709" s="25" t="n">
        <f aca="false">M709-T709</f>
        <v>0</v>
      </c>
      <c r="V709" s="25" t="n">
        <f aca="false">M709+N709</f>
        <v>425.97</v>
      </c>
      <c r="W709" s="25" t="n">
        <f aca="false">O709-V709</f>
        <v>0</v>
      </c>
      <c r="X709" s="22" t="str">
        <f aca="false">IF(OR(ABS(S709)&gt;0.005,ABS(U709)&gt;0.005,ABS(W709)&gt;0.005),"Subledger arithmetic error","OK")</f>
        <v>OK</v>
      </c>
      <c r="Y709" s="22" t="str">
        <f aca="false">IF(X709="OK","","Priority 3")</f>
        <v/>
      </c>
    </row>
    <row r="710" customFormat="false" ht="15" hidden="false" customHeight="false" outlineLevel="0" collapsed="false">
      <c r="A710" s="22" t="s">
        <v>12823</v>
      </c>
      <c r="B710" s="23" t="n">
        <v>46235</v>
      </c>
      <c r="C710" s="22" t="s">
        <v>12824</v>
      </c>
      <c r="D710" s="22" t="s">
        <v>5441</v>
      </c>
      <c r="E710" s="22" t="s">
        <v>8074</v>
      </c>
      <c r="F710" s="22" t="s">
        <v>499</v>
      </c>
      <c r="G710" s="22" t="s">
        <v>8601</v>
      </c>
      <c r="H710" s="22" t="s">
        <v>11406</v>
      </c>
      <c r="I710" s="22" t="n">
        <v>56</v>
      </c>
      <c r="J710" s="22" t="n">
        <v>1</v>
      </c>
      <c r="K710" s="22" t="n">
        <v>56</v>
      </c>
      <c r="L710" s="25" t="n">
        <v>7.55</v>
      </c>
      <c r="M710" s="25" t="n">
        <v>422.8</v>
      </c>
      <c r="N710" s="25" t="n">
        <v>54.29</v>
      </c>
      <c r="O710" s="25" t="n">
        <v>477.09</v>
      </c>
      <c r="P710" s="22" t="s">
        <v>11407</v>
      </c>
      <c r="Q710" s="23" t="n">
        <v>46249</v>
      </c>
      <c r="R710" s="22" t="n">
        <f aca="false">I710*J710</f>
        <v>56</v>
      </c>
      <c r="S710" s="25" t="n">
        <f aca="false">K710-R710</f>
        <v>0</v>
      </c>
      <c r="T710" s="25" t="n">
        <f aca="false">K710*L710</f>
        <v>422.8</v>
      </c>
      <c r="U710" s="25" t="n">
        <f aca="false">M710-T710</f>
        <v>0</v>
      </c>
      <c r="V710" s="25" t="n">
        <f aca="false">M710+N710</f>
        <v>477.09</v>
      </c>
      <c r="W710" s="25" t="n">
        <f aca="false">O710-V710</f>
        <v>0</v>
      </c>
      <c r="X710" s="22" t="str">
        <f aca="false">IF(OR(ABS(S710)&gt;0.005,ABS(U710)&gt;0.005,ABS(W710)&gt;0.005),"Subledger arithmetic error","OK")</f>
        <v>OK</v>
      </c>
      <c r="Y710" s="22" t="str">
        <f aca="false">IF(X710="OK","","Priority 3")</f>
        <v/>
      </c>
    </row>
    <row r="711" customFormat="false" ht="15" hidden="false" customHeight="false" outlineLevel="0" collapsed="false">
      <c r="A711" s="22" t="s">
        <v>12825</v>
      </c>
      <c r="B711" s="23" t="n">
        <v>46235</v>
      </c>
      <c r="C711" s="22" t="s">
        <v>12826</v>
      </c>
      <c r="D711" s="22" t="s">
        <v>978</v>
      </c>
      <c r="E711" s="22" t="s">
        <v>8075</v>
      </c>
      <c r="F711" s="22" t="s">
        <v>499</v>
      </c>
      <c r="G711" s="22" t="s">
        <v>8601</v>
      </c>
      <c r="H711" s="22" t="s">
        <v>11406</v>
      </c>
      <c r="I711" s="22" t="n">
        <v>53</v>
      </c>
      <c r="J711" s="22" t="n">
        <v>1</v>
      </c>
      <c r="K711" s="22" t="n">
        <v>53</v>
      </c>
      <c r="L711" s="25" t="n">
        <v>7.55</v>
      </c>
      <c r="M711" s="25" t="n">
        <v>400.15</v>
      </c>
      <c r="N711" s="25" t="n">
        <v>51.38</v>
      </c>
      <c r="O711" s="25" t="n">
        <v>451.53</v>
      </c>
      <c r="P711" s="22" t="s">
        <v>11407</v>
      </c>
      <c r="Q711" s="23" t="n">
        <v>46249</v>
      </c>
      <c r="R711" s="22" t="n">
        <f aca="false">I711*J711</f>
        <v>53</v>
      </c>
      <c r="S711" s="25" t="n">
        <f aca="false">K711-R711</f>
        <v>0</v>
      </c>
      <c r="T711" s="25" t="n">
        <f aca="false">K711*L711</f>
        <v>400.15</v>
      </c>
      <c r="U711" s="25" t="n">
        <f aca="false">M711-T711</f>
        <v>0</v>
      </c>
      <c r="V711" s="25" t="n">
        <f aca="false">M711+N711</f>
        <v>451.53</v>
      </c>
      <c r="W711" s="25" t="n">
        <f aca="false">O711-V711</f>
        <v>0</v>
      </c>
      <c r="X711" s="22" t="str">
        <f aca="false">IF(OR(ABS(S711)&gt;0.005,ABS(U711)&gt;0.005,ABS(W711)&gt;0.005),"Subledger arithmetic error","OK")</f>
        <v>OK</v>
      </c>
      <c r="Y711" s="22" t="str">
        <f aca="false">IF(X711="OK","","Priority 3")</f>
        <v/>
      </c>
    </row>
    <row r="712" customFormat="false" ht="15" hidden="false" customHeight="false" outlineLevel="0" collapsed="false">
      <c r="A712" s="22" t="s">
        <v>12827</v>
      </c>
      <c r="B712" s="23" t="n">
        <v>46235</v>
      </c>
      <c r="C712" s="22" t="s">
        <v>12828</v>
      </c>
      <c r="D712" s="22" t="s">
        <v>3720</v>
      </c>
      <c r="E712" s="22" t="s">
        <v>8076</v>
      </c>
      <c r="F712" s="22" t="s">
        <v>499</v>
      </c>
      <c r="G712" s="22" t="s">
        <v>8601</v>
      </c>
      <c r="H712" s="22" t="s">
        <v>11406</v>
      </c>
      <c r="I712" s="22" t="n">
        <v>58</v>
      </c>
      <c r="J712" s="22" t="n">
        <v>1</v>
      </c>
      <c r="K712" s="22" t="n">
        <v>58</v>
      </c>
      <c r="L712" s="25" t="n">
        <v>7.55</v>
      </c>
      <c r="M712" s="25" t="n">
        <v>437.9</v>
      </c>
      <c r="N712" s="25" t="n">
        <v>56.23</v>
      </c>
      <c r="O712" s="25" t="n">
        <v>494.13</v>
      </c>
      <c r="P712" s="22" t="s">
        <v>11407</v>
      </c>
      <c r="Q712" s="23" t="n">
        <v>46249</v>
      </c>
      <c r="R712" s="22" t="n">
        <f aca="false">I712*J712</f>
        <v>58</v>
      </c>
      <c r="S712" s="25" t="n">
        <f aca="false">K712-R712</f>
        <v>0</v>
      </c>
      <c r="T712" s="25" t="n">
        <f aca="false">K712*L712</f>
        <v>437.9</v>
      </c>
      <c r="U712" s="25" t="n">
        <f aca="false">M712-T712</f>
        <v>0</v>
      </c>
      <c r="V712" s="25" t="n">
        <f aca="false">M712+N712</f>
        <v>494.13</v>
      </c>
      <c r="W712" s="25" t="n">
        <f aca="false">O712-V712</f>
        <v>0</v>
      </c>
      <c r="X712" s="22" t="str">
        <f aca="false">IF(OR(ABS(S712)&gt;0.005,ABS(U712)&gt;0.005,ABS(W712)&gt;0.005),"Subledger arithmetic error","OK")</f>
        <v>OK</v>
      </c>
      <c r="Y712" s="22" t="str">
        <f aca="false">IF(X712="OK","","Priority 3")</f>
        <v/>
      </c>
    </row>
    <row r="713" customFormat="false" ht="15" hidden="false" customHeight="false" outlineLevel="0" collapsed="false">
      <c r="A713" s="22" t="s">
        <v>12829</v>
      </c>
      <c r="B713" s="23" t="n">
        <v>46235</v>
      </c>
      <c r="C713" s="22" t="s">
        <v>12830</v>
      </c>
      <c r="D713" s="22" t="s">
        <v>1310</v>
      </c>
      <c r="E713" s="22" t="s">
        <v>8077</v>
      </c>
      <c r="F713" s="22" t="s">
        <v>499</v>
      </c>
      <c r="G713" s="22" t="s">
        <v>8601</v>
      </c>
      <c r="H713" s="22" t="s">
        <v>11406</v>
      </c>
      <c r="I713" s="22" t="n">
        <v>40</v>
      </c>
      <c r="J713" s="22" t="n">
        <v>1</v>
      </c>
      <c r="K713" s="22" t="n">
        <v>40</v>
      </c>
      <c r="L713" s="25" t="n">
        <v>7.55</v>
      </c>
      <c r="M713" s="25" t="n">
        <v>302</v>
      </c>
      <c r="N713" s="25" t="n">
        <v>38.78</v>
      </c>
      <c r="O713" s="25" t="n">
        <v>340.78</v>
      </c>
      <c r="P713" s="22" t="s">
        <v>11407</v>
      </c>
      <c r="Q713" s="23" t="n">
        <v>46249</v>
      </c>
      <c r="R713" s="22" t="n">
        <f aca="false">I713*J713</f>
        <v>40</v>
      </c>
      <c r="S713" s="25" t="n">
        <f aca="false">K713-R713</f>
        <v>0</v>
      </c>
      <c r="T713" s="25" t="n">
        <f aca="false">K713*L713</f>
        <v>302</v>
      </c>
      <c r="U713" s="25" t="n">
        <f aca="false">M713-T713</f>
        <v>0</v>
      </c>
      <c r="V713" s="25" t="n">
        <f aca="false">M713+N713</f>
        <v>340.78</v>
      </c>
      <c r="W713" s="25" t="n">
        <f aca="false">O713-V713</f>
        <v>0</v>
      </c>
      <c r="X713" s="22" t="str">
        <f aca="false">IF(OR(ABS(S713)&gt;0.005,ABS(U713)&gt;0.005,ABS(W713)&gt;0.005),"Subledger arithmetic error","OK")</f>
        <v>OK</v>
      </c>
      <c r="Y713" s="22" t="str">
        <f aca="false">IF(X713="OK","","Priority 3")</f>
        <v/>
      </c>
    </row>
    <row r="714" customFormat="false" ht="15" hidden="false" customHeight="false" outlineLevel="0" collapsed="false">
      <c r="A714" s="22" t="s">
        <v>12831</v>
      </c>
      <c r="B714" s="23" t="n">
        <v>46235</v>
      </c>
      <c r="C714" s="22" t="s">
        <v>12832</v>
      </c>
      <c r="D714" s="22" t="s">
        <v>6399</v>
      </c>
      <c r="E714" s="22" t="s">
        <v>8079</v>
      </c>
      <c r="F714" s="22" t="s">
        <v>499</v>
      </c>
      <c r="G714" s="22" t="s">
        <v>8601</v>
      </c>
      <c r="H714" s="22" t="s">
        <v>11406</v>
      </c>
      <c r="I714" s="22" t="n">
        <v>40</v>
      </c>
      <c r="J714" s="22" t="n">
        <v>1</v>
      </c>
      <c r="K714" s="22" t="n">
        <v>40</v>
      </c>
      <c r="L714" s="25" t="n">
        <v>7.55</v>
      </c>
      <c r="M714" s="25" t="n">
        <v>302</v>
      </c>
      <c r="N714" s="25" t="n">
        <v>38.78</v>
      </c>
      <c r="O714" s="25" t="n">
        <v>340.78</v>
      </c>
      <c r="P714" s="22" t="s">
        <v>11407</v>
      </c>
      <c r="Q714" s="23" t="n">
        <v>46249</v>
      </c>
      <c r="R714" s="22" t="n">
        <f aca="false">I714*J714</f>
        <v>40</v>
      </c>
      <c r="S714" s="25" t="n">
        <f aca="false">K714-R714</f>
        <v>0</v>
      </c>
      <c r="T714" s="25" t="n">
        <f aca="false">K714*L714</f>
        <v>302</v>
      </c>
      <c r="U714" s="25" t="n">
        <f aca="false">M714-T714</f>
        <v>0</v>
      </c>
      <c r="V714" s="25" t="n">
        <f aca="false">M714+N714</f>
        <v>340.78</v>
      </c>
      <c r="W714" s="25" t="n">
        <f aca="false">O714-V714</f>
        <v>0</v>
      </c>
      <c r="X714" s="22" t="str">
        <f aca="false">IF(OR(ABS(S714)&gt;0.005,ABS(U714)&gt;0.005,ABS(W714)&gt;0.005),"Subledger arithmetic error","OK")</f>
        <v>OK</v>
      </c>
      <c r="Y714" s="22" t="str">
        <f aca="false">IF(X714="OK","","Priority 3")</f>
        <v/>
      </c>
    </row>
    <row r="715" customFormat="false" ht="15" hidden="false" customHeight="false" outlineLevel="0" collapsed="false">
      <c r="A715" s="22" t="s">
        <v>12833</v>
      </c>
      <c r="B715" s="23" t="n">
        <v>46235</v>
      </c>
      <c r="C715" s="22" t="s">
        <v>12834</v>
      </c>
      <c r="D715" s="22" t="s">
        <v>5014</v>
      </c>
      <c r="E715" s="22" t="s">
        <v>8080</v>
      </c>
      <c r="F715" s="22" t="s">
        <v>499</v>
      </c>
      <c r="G715" s="22" t="s">
        <v>8601</v>
      </c>
      <c r="H715" s="22" t="s">
        <v>11406</v>
      </c>
      <c r="I715" s="22" t="n">
        <v>28</v>
      </c>
      <c r="J715" s="22" t="n">
        <v>1</v>
      </c>
      <c r="K715" s="22" t="n">
        <v>28</v>
      </c>
      <c r="L715" s="25" t="n">
        <v>7.55</v>
      </c>
      <c r="M715" s="25" t="n">
        <v>211.4</v>
      </c>
      <c r="N715" s="25" t="n">
        <v>27.14</v>
      </c>
      <c r="O715" s="25" t="n">
        <v>238.54</v>
      </c>
      <c r="P715" s="22" t="s">
        <v>11407</v>
      </c>
      <c r="Q715" s="23" t="n">
        <v>46249</v>
      </c>
      <c r="R715" s="22" t="n">
        <f aca="false">I715*J715</f>
        <v>28</v>
      </c>
      <c r="S715" s="25" t="n">
        <f aca="false">K715-R715</f>
        <v>0</v>
      </c>
      <c r="T715" s="25" t="n">
        <f aca="false">K715*L715</f>
        <v>211.4</v>
      </c>
      <c r="U715" s="25" t="n">
        <f aca="false">M715-T715</f>
        <v>0</v>
      </c>
      <c r="V715" s="25" t="n">
        <f aca="false">M715+N715</f>
        <v>238.54</v>
      </c>
      <c r="W715" s="25" t="n">
        <f aca="false">O715-V715</f>
        <v>0</v>
      </c>
      <c r="X715" s="22" t="str">
        <f aca="false">IF(OR(ABS(S715)&gt;0.005,ABS(U715)&gt;0.005,ABS(W715)&gt;0.005),"Subledger arithmetic error","OK")</f>
        <v>OK</v>
      </c>
      <c r="Y715" s="22" t="str">
        <f aca="false">IF(X715="OK","","Priority 3")</f>
        <v/>
      </c>
    </row>
    <row r="716" customFormat="false" ht="15" hidden="false" customHeight="false" outlineLevel="0" collapsed="false">
      <c r="A716" s="22" t="s">
        <v>12835</v>
      </c>
      <c r="B716" s="23" t="n">
        <v>46235</v>
      </c>
      <c r="C716" s="22" t="s">
        <v>12836</v>
      </c>
      <c r="D716" s="22" t="s">
        <v>3048</v>
      </c>
      <c r="E716" s="22" t="s">
        <v>8081</v>
      </c>
      <c r="F716" s="22" t="s">
        <v>499</v>
      </c>
      <c r="G716" s="22" t="s">
        <v>8601</v>
      </c>
      <c r="H716" s="22" t="s">
        <v>11406</v>
      </c>
      <c r="I716" s="22" t="n">
        <v>60</v>
      </c>
      <c r="J716" s="22" t="n">
        <v>1</v>
      </c>
      <c r="K716" s="22" t="n">
        <v>60</v>
      </c>
      <c r="L716" s="25" t="n">
        <v>7.55</v>
      </c>
      <c r="M716" s="25" t="n">
        <v>453</v>
      </c>
      <c r="N716" s="25" t="n">
        <v>58.17</v>
      </c>
      <c r="O716" s="25" t="n">
        <v>511.17</v>
      </c>
      <c r="P716" s="22" t="s">
        <v>7696</v>
      </c>
      <c r="Q716" s="23" t="n">
        <v>46249</v>
      </c>
      <c r="R716" s="22" t="n">
        <f aca="false">I716*J716</f>
        <v>60</v>
      </c>
      <c r="S716" s="25" t="n">
        <f aca="false">K716-R716</f>
        <v>0</v>
      </c>
      <c r="T716" s="25" t="n">
        <f aca="false">K716*L716</f>
        <v>453</v>
      </c>
      <c r="U716" s="25" t="n">
        <f aca="false">M716-T716</f>
        <v>0</v>
      </c>
      <c r="V716" s="25" t="n">
        <f aca="false">M716+N716</f>
        <v>511.17</v>
      </c>
      <c r="W716" s="25" t="n">
        <f aca="false">O716-V716</f>
        <v>0</v>
      </c>
      <c r="X716" s="22" t="str">
        <f aca="false">IF(OR(ABS(S716)&gt;0.005,ABS(U716)&gt;0.005,ABS(W716)&gt;0.005),"Subledger arithmetic error","OK")</f>
        <v>OK</v>
      </c>
      <c r="Y716" s="22" t="str">
        <f aca="false">IF(X716="OK","","Priority 3")</f>
        <v/>
      </c>
    </row>
    <row r="717" customFormat="false" ht="15" hidden="false" customHeight="false" outlineLevel="0" collapsed="false">
      <c r="A717" s="22" t="s">
        <v>12837</v>
      </c>
      <c r="B717" s="23" t="n">
        <v>46235</v>
      </c>
      <c r="C717" s="22" t="s">
        <v>12838</v>
      </c>
      <c r="D717" s="22" t="s">
        <v>3427</v>
      </c>
      <c r="E717" s="22" t="s">
        <v>8083</v>
      </c>
      <c r="F717" s="22" t="s">
        <v>499</v>
      </c>
      <c r="G717" s="22" t="s">
        <v>8601</v>
      </c>
      <c r="H717" s="22" t="s">
        <v>11406</v>
      </c>
      <c r="I717" s="22" t="n">
        <v>29</v>
      </c>
      <c r="J717" s="22" t="n">
        <v>1</v>
      </c>
      <c r="K717" s="22" t="n">
        <v>29</v>
      </c>
      <c r="L717" s="25" t="n">
        <v>7.55</v>
      </c>
      <c r="M717" s="25" t="n">
        <v>218.95</v>
      </c>
      <c r="N717" s="25" t="n">
        <v>28.11</v>
      </c>
      <c r="O717" s="25" t="n">
        <v>247.06</v>
      </c>
      <c r="P717" s="22" t="s">
        <v>11407</v>
      </c>
      <c r="Q717" s="23" t="n">
        <v>46249</v>
      </c>
      <c r="R717" s="22" t="n">
        <f aca="false">I717*J717</f>
        <v>29</v>
      </c>
      <c r="S717" s="25" t="n">
        <f aca="false">K717-R717</f>
        <v>0</v>
      </c>
      <c r="T717" s="25" t="n">
        <f aca="false">K717*L717</f>
        <v>218.95</v>
      </c>
      <c r="U717" s="25" t="n">
        <f aca="false">M717-T717</f>
        <v>0</v>
      </c>
      <c r="V717" s="25" t="n">
        <f aca="false">M717+N717</f>
        <v>247.06</v>
      </c>
      <c r="W717" s="25" t="n">
        <f aca="false">O717-V717</f>
        <v>0</v>
      </c>
      <c r="X717" s="22" t="str">
        <f aca="false">IF(OR(ABS(S717)&gt;0.005,ABS(U717)&gt;0.005,ABS(W717)&gt;0.005),"Subledger arithmetic error","OK")</f>
        <v>OK</v>
      </c>
      <c r="Y717" s="22" t="str">
        <f aca="false">IF(X717="OK","","Priority 3")</f>
        <v/>
      </c>
    </row>
    <row r="718" customFormat="false" ht="15" hidden="false" customHeight="false" outlineLevel="0" collapsed="false">
      <c r="A718" s="22" t="s">
        <v>12839</v>
      </c>
      <c r="B718" s="23" t="n">
        <v>46235</v>
      </c>
      <c r="C718" s="22" t="s">
        <v>12840</v>
      </c>
      <c r="D718" s="22" t="s">
        <v>6180</v>
      </c>
      <c r="E718" s="22" t="s">
        <v>8085</v>
      </c>
      <c r="F718" s="22" t="s">
        <v>499</v>
      </c>
      <c r="G718" s="22" t="s">
        <v>8601</v>
      </c>
      <c r="H718" s="22" t="s">
        <v>11406</v>
      </c>
      <c r="I718" s="22" t="n">
        <v>26</v>
      </c>
      <c r="J718" s="22" t="n">
        <v>1</v>
      </c>
      <c r="K718" s="22" t="n">
        <v>26</v>
      </c>
      <c r="L718" s="25" t="n">
        <v>7.55</v>
      </c>
      <c r="M718" s="25" t="n">
        <v>196.3</v>
      </c>
      <c r="N718" s="25" t="n">
        <v>25.2</v>
      </c>
      <c r="O718" s="25" t="n">
        <v>221.5</v>
      </c>
      <c r="P718" s="22" t="s">
        <v>11407</v>
      </c>
      <c r="Q718" s="23" t="n">
        <v>46249</v>
      </c>
      <c r="R718" s="22" t="n">
        <f aca="false">I718*J718</f>
        <v>26</v>
      </c>
      <c r="S718" s="25" t="n">
        <f aca="false">K718-R718</f>
        <v>0</v>
      </c>
      <c r="T718" s="25" t="n">
        <f aca="false">K718*L718</f>
        <v>196.3</v>
      </c>
      <c r="U718" s="25" t="n">
        <f aca="false">M718-T718</f>
        <v>0</v>
      </c>
      <c r="V718" s="25" t="n">
        <f aca="false">M718+N718</f>
        <v>221.5</v>
      </c>
      <c r="W718" s="25" t="n">
        <f aca="false">O718-V718</f>
        <v>0</v>
      </c>
      <c r="X718" s="22" t="str">
        <f aca="false">IF(OR(ABS(S718)&gt;0.005,ABS(U718)&gt;0.005,ABS(W718)&gt;0.005),"Subledger arithmetic error","OK")</f>
        <v>OK</v>
      </c>
      <c r="Y718" s="22" t="str">
        <f aca="false">IF(X718="OK","","Priority 3")</f>
        <v/>
      </c>
    </row>
    <row r="719" customFormat="false" ht="15" hidden="false" customHeight="false" outlineLevel="0" collapsed="false">
      <c r="A719" s="22" t="s">
        <v>12841</v>
      </c>
      <c r="B719" s="23" t="n">
        <v>46235</v>
      </c>
      <c r="C719" s="22" t="s">
        <v>12842</v>
      </c>
      <c r="D719" s="22" t="s">
        <v>1345</v>
      </c>
      <c r="E719" s="22" t="s">
        <v>8086</v>
      </c>
      <c r="F719" s="22" t="s">
        <v>499</v>
      </c>
      <c r="G719" s="22" t="s">
        <v>8601</v>
      </c>
      <c r="H719" s="22" t="s">
        <v>11406</v>
      </c>
      <c r="I719" s="22" t="n">
        <v>34</v>
      </c>
      <c r="J719" s="22" t="n">
        <v>1</v>
      </c>
      <c r="K719" s="22" t="n">
        <v>34</v>
      </c>
      <c r="L719" s="25" t="n">
        <v>7.55</v>
      </c>
      <c r="M719" s="25" t="n">
        <v>256.7</v>
      </c>
      <c r="N719" s="25" t="n">
        <v>32.96</v>
      </c>
      <c r="O719" s="25" t="n">
        <v>289.66</v>
      </c>
      <c r="P719" s="22" t="s">
        <v>11407</v>
      </c>
      <c r="Q719" s="23" t="n">
        <v>46249</v>
      </c>
      <c r="R719" s="22" t="n">
        <f aca="false">I719*J719</f>
        <v>34</v>
      </c>
      <c r="S719" s="25" t="n">
        <f aca="false">K719-R719</f>
        <v>0</v>
      </c>
      <c r="T719" s="25" t="n">
        <f aca="false">K719*L719</f>
        <v>256.7</v>
      </c>
      <c r="U719" s="25" t="n">
        <f aca="false">M719-T719</f>
        <v>0</v>
      </c>
      <c r="V719" s="25" t="n">
        <f aca="false">M719+N719</f>
        <v>289.66</v>
      </c>
      <c r="W719" s="25" t="n">
        <f aca="false">O719-V719</f>
        <v>0</v>
      </c>
      <c r="X719" s="22" t="str">
        <f aca="false">IF(OR(ABS(S719)&gt;0.005,ABS(U719)&gt;0.005,ABS(W719)&gt;0.005),"Subledger arithmetic error","OK")</f>
        <v>OK</v>
      </c>
      <c r="Y719" s="22" t="str">
        <f aca="false">IF(X719="OK","","Priority 3")</f>
        <v/>
      </c>
    </row>
    <row r="720" customFormat="false" ht="15" hidden="false" customHeight="false" outlineLevel="0" collapsed="false">
      <c r="A720" s="22" t="s">
        <v>12843</v>
      </c>
      <c r="B720" s="23" t="n">
        <v>46235</v>
      </c>
      <c r="C720" s="22" t="s">
        <v>12844</v>
      </c>
      <c r="D720" s="22" t="s">
        <v>5967</v>
      </c>
      <c r="E720" s="22" t="s">
        <v>8087</v>
      </c>
      <c r="F720" s="22" t="s">
        <v>499</v>
      </c>
      <c r="G720" s="22" t="s">
        <v>8601</v>
      </c>
      <c r="H720" s="22" t="s">
        <v>11406</v>
      </c>
      <c r="I720" s="22" t="n">
        <v>80</v>
      </c>
      <c r="J720" s="22" t="n">
        <v>1</v>
      </c>
      <c r="K720" s="22" t="n">
        <v>80</v>
      </c>
      <c r="L720" s="25" t="n">
        <v>7.55</v>
      </c>
      <c r="M720" s="25" t="n">
        <v>604</v>
      </c>
      <c r="N720" s="25" t="n">
        <v>77.55</v>
      </c>
      <c r="O720" s="25" t="n">
        <v>681.55</v>
      </c>
      <c r="P720" s="22" t="s">
        <v>11407</v>
      </c>
      <c r="Q720" s="23" t="n">
        <v>46249</v>
      </c>
      <c r="R720" s="22" t="n">
        <f aca="false">I720*J720</f>
        <v>80</v>
      </c>
      <c r="S720" s="25" t="n">
        <f aca="false">K720-R720</f>
        <v>0</v>
      </c>
      <c r="T720" s="25" t="n">
        <f aca="false">K720*L720</f>
        <v>604</v>
      </c>
      <c r="U720" s="25" t="n">
        <f aca="false">M720-T720</f>
        <v>0</v>
      </c>
      <c r="V720" s="25" t="n">
        <f aca="false">M720+N720</f>
        <v>681.55</v>
      </c>
      <c r="W720" s="25" t="n">
        <f aca="false">O720-V720</f>
        <v>0</v>
      </c>
      <c r="X720" s="22" t="str">
        <f aca="false">IF(OR(ABS(S720)&gt;0.005,ABS(U720)&gt;0.005,ABS(W720)&gt;0.005),"Subledger arithmetic error","OK")</f>
        <v>OK</v>
      </c>
      <c r="Y720" s="22" t="str">
        <f aca="false">IF(X720="OK","","Priority 3")</f>
        <v/>
      </c>
    </row>
    <row r="721" customFormat="false" ht="15" hidden="false" customHeight="false" outlineLevel="0" collapsed="false">
      <c r="A721" s="22" t="s">
        <v>12845</v>
      </c>
      <c r="B721" s="23" t="n">
        <v>46235</v>
      </c>
      <c r="C721" s="22" t="s">
        <v>12846</v>
      </c>
      <c r="D721" s="22" t="s">
        <v>4700</v>
      </c>
      <c r="E721" s="22" t="s">
        <v>8088</v>
      </c>
      <c r="F721" s="22" t="s">
        <v>499</v>
      </c>
      <c r="G721" s="22" t="s">
        <v>8601</v>
      </c>
      <c r="H721" s="22" t="s">
        <v>11406</v>
      </c>
      <c r="I721" s="22" t="n">
        <v>80</v>
      </c>
      <c r="J721" s="22" t="n">
        <v>1</v>
      </c>
      <c r="K721" s="22" t="n">
        <v>80</v>
      </c>
      <c r="L721" s="25" t="n">
        <v>7.55</v>
      </c>
      <c r="M721" s="25" t="n">
        <v>604</v>
      </c>
      <c r="N721" s="25" t="n">
        <v>77.55</v>
      </c>
      <c r="O721" s="25" t="n">
        <v>681.55</v>
      </c>
      <c r="P721" s="22" t="s">
        <v>11407</v>
      </c>
      <c r="Q721" s="23" t="n">
        <v>46249</v>
      </c>
      <c r="R721" s="22" t="n">
        <f aca="false">I721*J721</f>
        <v>80</v>
      </c>
      <c r="S721" s="25" t="n">
        <f aca="false">K721-R721</f>
        <v>0</v>
      </c>
      <c r="T721" s="25" t="n">
        <f aca="false">K721*L721</f>
        <v>604</v>
      </c>
      <c r="U721" s="25" t="n">
        <f aca="false">M721-T721</f>
        <v>0</v>
      </c>
      <c r="V721" s="25" t="n">
        <f aca="false">M721+N721</f>
        <v>681.55</v>
      </c>
      <c r="W721" s="25" t="n">
        <f aca="false">O721-V721</f>
        <v>0</v>
      </c>
      <c r="X721" s="22" t="str">
        <f aca="false">IF(OR(ABS(S721)&gt;0.005,ABS(U721)&gt;0.005,ABS(W721)&gt;0.005),"Subledger arithmetic error","OK")</f>
        <v>OK</v>
      </c>
      <c r="Y721" s="22" t="str">
        <f aca="false">IF(X721="OK","","Priority 3")</f>
        <v/>
      </c>
    </row>
    <row r="722" customFormat="false" ht="15" hidden="false" customHeight="false" outlineLevel="0" collapsed="false">
      <c r="A722" s="22" t="s">
        <v>12847</v>
      </c>
      <c r="B722" s="23" t="n">
        <v>46235</v>
      </c>
      <c r="C722" s="22" t="s">
        <v>12848</v>
      </c>
      <c r="D722" s="22" t="s">
        <v>1627</v>
      </c>
      <c r="E722" s="22" t="s">
        <v>8090</v>
      </c>
      <c r="F722" s="22" t="s">
        <v>499</v>
      </c>
      <c r="G722" s="22" t="s">
        <v>8601</v>
      </c>
      <c r="H722" s="22" t="s">
        <v>11406</v>
      </c>
      <c r="I722" s="22" t="n">
        <v>60</v>
      </c>
      <c r="J722" s="22" t="n">
        <v>1</v>
      </c>
      <c r="K722" s="22" t="n">
        <v>60</v>
      </c>
      <c r="L722" s="25" t="n">
        <v>7.55</v>
      </c>
      <c r="M722" s="25" t="n">
        <v>453</v>
      </c>
      <c r="N722" s="25" t="n">
        <v>58.17</v>
      </c>
      <c r="O722" s="25" t="n">
        <v>511.17</v>
      </c>
      <c r="P722" s="22" t="s">
        <v>11407</v>
      </c>
      <c r="Q722" s="23" t="n">
        <v>46249</v>
      </c>
      <c r="R722" s="22" t="n">
        <f aca="false">I722*J722</f>
        <v>60</v>
      </c>
      <c r="S722" s="25" t="n">
        <f aca="false">K722-R722</f>
        <v>0</v>
      </c>
      <c r="T722" s="25" t="n">
        <f aca="false">K722*L722</f>
        <v>453</v>
      </c>
      <c r="U722" s="25" t="n">
        <f aca="false">M722-T722</f>
        <v>0</v>
      </c>
      <c r="V722" s="25" t="n">
        <f aca="false">M722+N722</f>
        <v>511.17</v>
      </c>
      <c r="W722" s="25" t="n">
        <f aca="false">O722-V722</f>
        <v>0</v>
      </c>
      <c r="X722" s="22" t="str">
        <f aca="false">IF(OR(ABS(S722)&gt;0.005,ABS(U722)&gt;0.005,ABS(W722)&gt;0.005),"Subledger arithmetic error","OK")</f>
        <v>OK</v>
      </c>
      <c r="Y722" s="22" t="str">
        <f aca="false">IF(X722="OK","","Priority 3")</f>
        <v/>
      </c>
    </row>
    <row r="723" customFormat="false" ht="15" hidden="false" customHeight="false" outlineLevel="0" collapsed="false">
      <c r="A723" s="22" t="s">
        <v>12849</v>
      </c>
      <c r="B723" s="23" t="n">
        <v>46235</v>
      </c>
      <c r="C723" s="22" t="s">
        <v>12850</v>
      </c>
      <c r="D723" s="22" t="s">
        <v>3577</v>
      </c>
      <c r="E723" s="22" t="s">
        <v>8093</v>
      </c>
      <c r="F723" s="22" t="s">
        <v>499</v>
      </c>
      <c r="G723" s="22" t="s">
        <v>8601</v>
      </c>
      <c r="H723" s="22" t="s">
        <v>11406</v>
      </c>
      <c r="I723" s="22" t="n">
        <v>60</v>
      </c>
      <c r="J723" s="22" t="n">
        <v>1</v>
      </c>
      <c r="K723" s="22" t="n">
        <v>60</v>
      </c>
      <c r="L723" s="25" t="n">
        <v>7.55</v>
      </c>
      <c r="M723" s="25" t="n">
        <v>453</v>
      </c>
      <c r="N723" s="25" t="n">
        <v>58.17</v>
      </c>
      <c r="O723" s="25" t="n">
        <v>511.17</v>
      </c>
      <c r="P723" s="22" t="s">
        <v>11407</v>
      </c>
      <c r="Q723" s="23" t="n">
        <v>46249</v>
      </c>
      <c r="R723" s="22" t="n">
        <f aca="false">I723*J723</f>
        <v>60</v>
      </c>
      <c r="S723" s="25" t="n">
        <f aca="false">K723-R723</f>
        <v>0</v>
      </c>
      <c r="T723" s="25" t="n">
        <f aca="false">K723*L723</f>
        <v>453</v>
      </c>
      <c r="U723" s="25" t="n">
        <f aca="false">M723-T723</f>
        <v>0</v>
      </c>
      <c r="V723" s="25" t="n">
        <f aca="false">M723+N723</f>
        <v>511.17</v>
      </c>
      <c r="W723" s="25" t="n">
        <f aca="false">O723-V723</f>
        <v>0</v>
      </c>
      <c r="X723" s="22" t="str">
        <f aca="false">IF(OR(ABS(S723)&gt;0.005,ABS(U723)&gt;0.005,ABS(W723)&gt;0.005),"Subledger arithmetic error","OK")</f>
        <v>OK</v>
      </c>
      <c r="Y723" s="22" t="str">
        <f aca="false">IF(X723="OK","","Priority 3")</f>
        <v/>
      </c>
    </row>
    <row r="724" customFormat="false" ht="15" hidden="false" customHeight="false" outlineLevel="0" collapsed="false">
      <c r="A724" s="22" t="s">
        <v>12851</v>
      </c>
      <c r="B724" s="23" t="n">
        <v>46235</v>
      </c>
      <c r="C724" s="22" t="s">
        <v>12852</v>
      </c>
      <c r="D724" s="22" t="s">
        <v>3337</v>
      </c>
      <c r="E724" s="22" t="s">
        <v>8094</v>
      </c>
      <c r="F724" s="22" t="s">
        <v>499</v>
      </c>
      <c r="G724" s="22" t="s">
        <v>8601</v>
      </c>
      <c r="H724" s="22" t="s">
        <v>11406</v>
      </c>
      <c r="I724" s="22" t="n">
        <v>80</v>
      </c>
      <c r="J724" s="22" t="n">
        <v>1</v>
      </c>
      <c r="K724" s="22" t="n">
        <v>80</v>
      </c>
      <c r="L724" s="25" t="n">
        <v>7.55</v>
      </c>
      <c r="M724" s="25" t="n">
        <v>604</v>
      </c>
      <c r="N724" s="25" t="n">
        <v>77.55</v>
      </c>
      <c r="O724" s="25" t="n">
        <v>681.55</v>
      </c>
      <c r="P724" s="22" t="s">
        <v>11407</v>
      </c>
      <c r="Q724" s="23" t="n">
        <v>46249</v>
      </c>
      <c r="R724" s="22" t="n">
        <f aca="false">I724*J724</f>
        <v>80</v>
      </c>
      <c r="S724" s="25" t="n">
        <f aca="false">K724-R724</f>
        <v>0</v>
      </c>
      <c r="T724" s="25" t="n">
        <f aca="false">K724*L724</f>
        <v>604</v>
      </c>
      <c r="U724" s="25" t="n">
        <f aca="false">M724-T724</f>
        <v>0</v>
      </c>
      <c r="V724" s="25" t="n">
        <f aca="false">M724+N724</f>
        <v>681.55</v>
      </c>
      <c r="W724" s="25" t="n">
        <f aca="false">O724-V724</f>
        <v>0</v>
      </c>
      <c r="X724" s="22" t="str">
        <f aca="false">IF(OR(ABS(S724)&gt;0.005,ABS(U724)&gt;0.005,ABS(W724)&gt;0.005),"Subledger arithmetic error","OK")</f>
        <v>OK</v>
      </c>
      <c r="Y724" s="22" t="str">
        <f aca="false">IF(X724="OK","","Priority 3")</f>
        <v/>
      </c>
    </row>
    <row r="725" customFormat="false" ht="15" hidden="false" customHeight="false" outlineLevel="0" collapsed="false">
      <c r="A725" s="22" t="s">
        <v>12853</v>
      </c>
      <c r="B725" s="23" t="n">
        <v>46235</v>
      </c>
      <c r="C725" s="22" t="s">
        <v>12854</v>
      </c>
      <c r="D725" s="22" t="s">
        <v>1167</v>
      </c>
      <c r="E725" s="22" t="s">
        <v>8096</v>
      </c>
      <c r="F725" s="22" t="s">
        <v>499</v>
      </c>
      <c r="G725" s="22" t="s">
        <v>8601</v>
      </c>
      <c r="H725" s="22" t="s">
        <v>11406</v>
      </c>
      <c r="I725" s="22" t="n">
        <v>60</v>
      </c>
      <c r="J725" s="22" t="n">
        <v>1</v>
      </c>
      <c r="K725" s="22" t="n">
        <v>60</v>
      </c>
      <c r="L725" s="25" t="n">
        <v>7.55</v>
      </c>
      <c r="M725" s="25" t="n">
        <v>453</v>
      </c>
      <c r="N725" s="25" t="n">
        <v>58.17</v>
      </c>
      <c r="O725" s="25" t="n">
        <v>511.17</v>
      </c>
      <c r="P725" s="22" t="s">
        <v>11407</v>
      </c>
      <c r="Q725" s="23" t="n">
        <v>46249</v>
      </c>
      <c r="R725" s="22" t="n">
        <f aca="false">I725*J725</f>
        <v>60</v>
      </c>
      <c r="S725" s="25" t="n">
        <f aca="false">K725-R725</f>
        <v>0</v>
      </c>
      <c r="T725" s="25" t="n">
        <f aca="false">K725*L725</f>
        <v>453</v>
      </c>
      <c r="U725" s="25" t="n">
        <f aca="false">M725-T725</f>
        <v>0</v>
      </c>
      <c r="V725" s="25" t="n">
        <f aca="false">M725+N725</f>
        <v>511.17</v>
      </c>
      <c r="W725" s="25" t="n">
        <f aca="false">O725-V725</f>
        <v>0</v>
      </c>
      <c r="X725" s="22" t="str">
        <f aca="false">IF(OR(ABS(S725)&gt;0.005,ABS(U725)&gt;0.005,ABS(W725)&gt;0.005),"Subledger arithmetic error","OK")</f>
        <v>OK</v>
      </c>
      <c r="Y725" s="22" t="str">
        <f aca="false">IF(X725="OK","","Priority 3")</f>
        <v/>
      </c>
    </row>
    <row r="726" customFormat="false" ht="15" hidden="false" customHeight="false" outlineLevel="0" collapsed="false">
      <c r="A726" s="22" t="s">
        <v>12855</v>
      </c>
      <c r="B726" s="23" t="n">
        <v>46235</v>
      </c>
      <c r="C726" s="22" t="s">
        <v>12856</v>
      </c>
      <c r="D726" s="22" t="s">
        <v>2584</v>
      </c>
      <c r="E726" s="22" t="s">
        <v>8097</v>
      </c>
      <c r="F726" s="22" t="s">
        <v>499</v>
      </c>
      <c r="G726" s="22" t="s">
        <v>8601</v>
      </c>
      <c r="H726" s="22" t="s">
        <v>11406</v>
      </c>
      <c r="I726" s="22" t="n">
        <v>46</v>
      </c>
      <c r="J726" s="22" t="n">
        <v>1</v>
      </c>
      <c r="K726" s="22" t="n">
        <v>46</v>
      </c>
      <c r="L726" s="25" t="n">
        <v>7.55</v>
      </c>
      <c r="M726" s="25" t="n">
        <v>347.3</v>
      </c>
      <c r="N726" s="25" t="n">
        <v>44.59</v>
      </c>
      <c r="O726" s="25" t="n">
        <v>391.89</v>
      </c>
      <c r="P726" s="22" t="s">
        <v>11407</v>
      </c>
      <c r="Q726" s="23" t="n">
        <v>46249</v>
      </c>
      <c r="R726" s="22" t="n">
        <f aca="false">I726*J726</f>
        <v>46</v>
      </c>
      <c r="S726" s="25" t="n">
        <f aca="false">K726-R726</f>
        <v>0</v>
      </c>
      <c r="T726" s="25" t="n">
        <f aca="false">K726*L726</f>
        <v>347.3</v>
      </c>
      <c r="U726" s="25" t="n">
        <f aca="false">M726-T726</f>
        <v>0</v>
      </c>
      <c r="V726" s="25" t="n">
        <f aca="false">M726+N726</f>
        <v>391.89</v>
      </c>
      <c r="W726" s="25" t="n">
        <f aca="false">O726-V726</f>
        <v>0</v>
      </c>
      <c r="X726" s="22" t="str">
        <f aca="false">IF(OR(ABS(S726)&gt;0.005,ABS(U726)&gt;0.005,ABS(W726)&gt;0.005),"Subledger arithmetic error","OK")</f>
        <v>OK</v>
      </c>
      <c r="Y726" s="22" t="str">
        <f aca="false">IF(X726="OK","","Priority 3")</f>
        <v/>
      </c>
    </row>
    <row r="727" customFormat="false" ht="15" hidden="false" customHeight="false" outlineLevel="0" collapsed="false">
      <c r="A727" s="22" t="s">
        <v>12857</v>
      </c>
      <c r="B727" s="23" t="n">
        <v>46235</v>
      </c>
      <c r="C727" s="22" t="s">
        <v>12858</v>
      </c>
      <c r="D727" s="22" t="s">
        <v>2558</v>
      </c>
      <c r="E727" s="22" t="s">
        <v>8099</v>
      </c>
      <c r="F727" s="22" t="s">
        <v>499</v>
      </c>
      <c r="G727" s="22" t="s">
        <v>8601</v>
      </c>
      <c r="H727" s="22" t="s">
        <v>11406</v>
      </c>
      <c r="I727" s="22" t="n">
        <v>33</v>
      </c>
      <c r="J727" s="22" t="n">
        <v>1</v>
      </c>
      <c r="K727" s="22" t="n">
        <v>33</v>
      </c>
      <c r="L727" s="25" t="n">
        <v>7.55</v>
      </c>
      <c r="M727" s="25" t="n">
        <v>249.15</v>
      </c>
      <c r="N727" s="25" t="n">
        <v>31.99</v>
      </c>
      <c r="O727" s="25" t="n">
        <v>281.14</v>
      </c>
      <c r="P727" s="22" t="s">
        <v>11407</v>
      </c>
      <c r="Q727" s="23" t="n">
        <v>46249</v>
      </c>
      <c r="R727" s="22" t="n">
        <f aca="false">I727*J727</f>
        <v>33</v>
      </c>
      <c r="S727" s="25" t="n">
        <f aca="false">K727-R727</f>
        <v>0</v>
      </c>
      <c r="T727" s="25" t="n">
        <f aca="false">K727*L727</f>
        <v>249.15</v>
      </c>
      <c r="U727" s="25" t="n">
        <f aca="false">M727-T727</f>
        <v>0</v>
      </c>
      <c r="V727" s="25" t="n">
        <f aca="false">M727+N727</f>
        <v>281.14</v>
      </c>
      <c r="W727" s="25" t="n">
        <f aca="false">O727-V727</f>
        <v>0</v>
      </c>
      <c r="X727" s="22" t="str">
        <f aca="false">IF(OR(ABS(S727)&gt;0.005,ABS(U727)&gt;0.005,ABS(W727)&gt;0.005),"Subledger arithmetic error","OK")</f>
        <v>OK</v>
      </c>
      <c r="Y727" s="22" t="str">
        <f aca="false">IF(X727="OK","","Priority 3")</f>
        <v/>
      </c>
    </row>
    <row r="728" customFormat="false" ht="15" hidden="false" customHeight="false" outlineLevel="0" collapsed="false">
      <c r="A728" s="22" t="s">
        <v>12859</v>
      </c>
      <c r="B728" s="23" t="n">
        <v>46235</v>
      </c>
      <c r="C728" s="22" t="s">
        <v>12860</v>
      </c>
      <c r="D728" s="22" t="s">
        <v>2053</v>
      </c>
      <c r="E728" s="22" t="s">
        <v>8101</v>
      </c>
      <c r="F728" s="22" t="s">
        <v>499</v>
      </c>
      <c r="G728" s="22" t="s">
        <v>8601</v>
      </c>
      <c r="H728" s="22" t="s">
        <v>11406</v>
      </c>
      <c r="I728" s="22" t="n">
        <v>56</v>
      </c>
      <c r="J728" s="22" t="n">
        <v>1</v>
      </c>
      <c r="K728" s="22" t="n">
        <v>56</v>
      </c>
      <c r="L728" s="25" t="n">
        <v>7.55</v>
      </c>
      <c r="M728" s="25" t="n">
        <v>422.8</v>
      </c>
      <c r="N728" s="25" t="n">
        <v>54.29</v>
      </c>
      <c r="O728" s="25" t="n">
        <v>477.09</v>
      </c>
      <c r="P728" s="22" t="s">
        <v>11407</v>
      </c>
      <c r="Q728" s="23" t="n">
        <v>46249</v>
      </c>
      <c r="R728" s="22" t="n">
        <f aca="false">I728*J728</f>
        <v>56</v>
      </c>
      <c r="S728" s="25" t="n">
        <f aca="false">K728-R728</f>
        <v>0</v>
      </c>
      <c r="T728" s="25" t="n">
        <f aca="false">K728*L728</f>
        <v>422.8</v>
      </c>
      <c r="U728" s="25" t="n">
        <f aca="false">M728-T728</f>
        <v>0</v>
      </c>
      <c r="V728" s="25" t="n">
        <f aca="false">M728+N728</f>
        <v>477.09</v>
      </c>
      <c r="W728" s="25" t="n">
        <f aca="false">O728-V728</f>
        <v>0</v>
      </c>
      <c r="X728" s="22" t="str">
        <f aca="false">IF(OR(ABS(S728)&gt;0.005,ABS(U728)&gt;0.005,ABS(W728)&gt;0.005),"Subledger arithmetic error","OK")</f>
        <v>OK</v>
      </c>
      <c r="Y728" s="22" t="str">
        <f aca="false">IF(X728="OK","","Priority 3")</f>
        <v/>
      </c>
    </row>
    <row r="729" customFormat="false" ht="15" hidden="false" customHeight="false" outlineLevel="0" collapsed="false">
      <c r="A729" s="22" t="s">
        <v>12861</v>
      </c>
      <c r="B729" s="23" t="n">
        <v>46235</v>
      </c>
      <c r="C729" s="22" t="s">
        <v>12862</v>
      </c>
      <c r="D729" s="22" t="s">
        <v>2841</v>
      </c>
      <c r="E729" s="22" t="s">
        <v>8103</v>
      </c>
      <c r="F729" s="22" t="s">
        <v>499</v>
      </c>
      <c r="G729" s="22" t="s">
        <v>8601</v>
      </c>
      <c r="H729" s="22" t="s">
        <v>11406</v>
      </c>
      <c r="I729" s="22" t="n">
        <v>30</v>
      </c>
      <c r="J729" s="22" t="n">
        <v>1</v>
      </c>
      <c r="K729" s="22" t="n">
        <v>30</v>
      </c>
      <c r="L729" s="25" t="n">
        <v>7.55</v>
      </c>
      <c r="M729" s="25" t="n">
        <v>226.5</v>
      </c>
      <c r="N729" s="25" t="n">
        <v>29.08</v>
      </c>
      <c r="O729" s="25" t="n">
        <v>255.58</v>
      </c>
      <c r="P729" s="22" t="s">
        <v>11407</v>
      </c>
      <c r="Q729" s="23" t="n">
        <v>46249</v>
      </c>
      <c r="R729" s="22" t="n">
        <f aca="false">I729*J729</f>
        <v>30</v>
      </c>
      <c r="S729" s="25" t="n">
        <f aca="false">K729-R729</f>
        <v>0</v>
      </c>
      <c r="T729" s="25" t="n">
        <f aca="false">K729*L729</f>
        <v>226.5</v>
      </c>
      <c r="U729" s="25" t="n">
        <f aca="false">M729-T729</f>
        <v>0</v>
      </c>
      <c r="V729" s="25" t="n">
        <f aca="false">M729+N729</f>
        <v>255.58</v>
      </c>
      <c r="W729" s="25" t="n">
        <f aca="false">O729-V729</f>
        <v>0</v>
      </c>
      <c r="X729" s="22" t="str">
        <f aca="false">IF(OR(ABS(S729)&gt;0.005,ABS(U729)&gt;0.005,ABS(W729)&gt;0.005),"Subledger arithmetic error","OK")</f>
        <v>OK</v>
      </c>
      <c r="Y729" s="22" t="str">
        <f aca="false">IF(X729="OK","","Priority 3")</f>
        <v/>
      </c>
    </row>
    <row r="730" customFormat="false" ht="15" hidden="false" customHeight="false" outlineLevel="0" collapsed="false">
      <c r="A730" s="22" t="s">
        <v>12863</v>
      </c>
      <c r="B730" s="23" t="n">
        <v>46235</v>
      </c>
      <c r="C730" s="22" t="s">
        <v>12864</v>
      </c>
      <c r="D730" s="22" t="s">
        <v>282</v>
      </c>
      <c r="E730" s="22" t="s">
        <v>8105</v>
      </c>
      <c r="F730" s="22" t="s">
        <v>499</v>
      </c>
      <c r="G730" s="22" t="s">
        <v>8601</v>
      </c>
      <c r="H730" s="22" t="s">
        <v>11406</v>
      </c>
      <c r="I730" s="22" t="n">
        <v>36</v>
      </c>
      <c r="J730" s="22" t="n">
        <v>1</v>
      </c>
      <c r="K730" s="22" t="n">
        <v>36</v>
      </c>
      <c r="L730" s="25" t="n">
        <v>7.55</v>
      </c>
      <c r="M730" s="25" t="n">
        <v>271.8</v>
      </c>
      <c r="N730" s="25" t="n">
        <v>34.9</v>
      </c>
      <c r="O730" s="25" t="n">
        <v>306.7</v>
      </c>
      <c r="P730" s="22" t="s">
        <v>11407</v>
      </c>
      <c r="Q730" s="23" t="n">
        <v>46249</v>
      </c>
      <c r="R730" s="22" t="n">
        <f aca="false">I730*J730</f>
        <v>36</v>
      </c>
      <c r="S730" s="25" t="n">
        <f aca="false">K730-R730</f>
        <v>0</v>
      </c>
      <c r="T730" s="25" t="n">
        <f aca="false">K730*L730</f>
        <v>271.8</v>
      </c>
      <c r="U730" s="25" t="n">
        <f aca="false">M730-T730</f>
        <v>0</v>
      </c>
      <c r="V730" s="25" t="n">
        <f aca="false">M730+N730</f>
        <v>306.7</v>
      </c>
      <c r="W730" s="25" t="n">
        <f aca="false">O730-V730</f>
        <v>0</v>
      </c>
      <c r="X730" s="22" t="str">
        <f aca="false">IF(OR(ABS(S730)&gt;0.005,ABS(U730)&gt;0.005,ABS(W730)&gt;0.005),"Subledger arithmetic error","OK")</f>
        <v>OK</v>
      </c>
      <c r="Y730" s="22" t="str">
        <f aca="false">IF(X730="OK","","Priority 3")</f>
        <v/>
      </c>
    </row>
    <row r="731" customFormat="false" ht="15" hidden="false" customHeight="false" outlineLevel="0" collapsed="false">
      <c r="A731" s="22" t="s">
        <v>12865</v>
      </c>
      <c r="B731" s="23" t="n">
        <v>46235</v>
      </c>
      <c r="C731" s="22" t="s">
        <v>12866</v>
      </c>
      <c r="D731" s="22" t="s">
        <v>3767</v>
      </c>
      <c r="E731" s="22" t="s">
        <v>8107</v>
      </c>
      <c r="F731" s="22" t="s">
        <v>499</v>
      </c>
      <c r="G731" s="22" t="s">
        <v>8601</v>
      </c>
      <c r="H731" s="22" t="s">
        <v>11406</v>
      </c>
      <c r="I731" s="22" t="n">
        <v>80</v>
      </c>
      <c r="J731" s="22" t="n">
        <v>1</v>
      </c>
      <c r="K731" s="22" t="n">
        <v>80</v>
      </c>
      <c r="L731" s="25" t="n">
        <v>7.55</v>
      </c>
      <c r="M731" s="25" t="n">
        <v>604</v>
      </c>
      <c r="N731" s="25" t="n">
        <v>77.55</v>
      </c>
      <c r="O731" s="25" t="n">
        <v>681.55</v>
      </c>
      <c r="P731" s="22" t="s">
        <v>11407</v>
      </c>
      <c r="Q731" s="23" t="n">
        <v>46249</v>
      </c>
      <c r="R731" s="22" t="n">
        <f aca="false">I731*J731</f>
        <v>80</v>
      </c>
      <c r="S731" s="25" t="n">
        <f aca="false">K731-R731</f>
        <v>0</v>
      </c>
      <c r="T731" s="25" t="n">
        <f aca="false">K731*L731</f>
        <v>604</v>
      </c>
      <c r="U731" s="25" t="n">
        <f aca="false">M731-T731</f>
        <v>0</v>
      </c>
      <c r="V731" s="25" t="n">
        <f aca="false">M731+N731</f>
        <v>681.55</v>
      </c>
      <c r="W731" s="25" t="n">
        <f aca="false">O731-V731</f>
        <v>0</v>
      </c>
      <c r="X731" s="22" t="str">
        <f aca="false">IF(OR(ABS(S731)&gt;0.005,ABS(U731)&gt;0.005,ABS(W731)&gt;0.005),"Subledger arithmetic error","OK")</f>
        <v>OK</v>
      </c>
      <c r="Y731" s="22" t="str">
        <f aca="false">IF(X731="OK","","Priority 3")</f>
        <v/>
      </c>
    </row>
    <row r="732" customFormat="false" ht="15" hidden="false" customHeight="false" outlineLevel="0" collapsed="false">
      <c r="A732" s="22" t="s">
        <v>12867</v>
      </c>
      <c r="B732" s="23" t="n">
        <v>46235</v>
      </c>
      <c r="C732" s="22" t="s">
        <v>12868</v>
      </c>
      <c r="D732" s="22" t="s">
        <v>4164</v>
      </c>
      <c r="E732" s="22" t="s">
        <v>8108</v>
      </c>
      <c r="F732" s="22" t="s">
        <v>499</v>
      </c>
      <c r="G732" s="22" t="s">
        <v>8601</v>
      </c>
      <c r="H732" s="22" t="s">
        <v>11406</v>
      </c>
      <c r="I732" s="22" t="n">
        <v>47</v>
      </c>
      <c r="J732" s="22" t="n">
        <v>1</v>
      </c>
      <c r="K732" s="22" t="n">
        <v>47</v>
      </c>
      <c r="L732" s="25" t="n">
        <v>7.55</v>
      </c>
      <c r="M732" s="25" t="n">
        <v>354.85</v>
      </c>
      <c r="N732" s="25" t="n">
        <v>45.56</v>
      </c>
      <c r="O732" s="25" t="n">
        <v>400.41</v>
      </c>
      <c r="P732" s="22" t="s">
        <v>11407</v>
      </c>
      <c r="Q732" s="23" t="n">
        <v>46249</v>
      </c>
      <c r="R732" s="22" t="n">
        <f aca="false">I732*J732</f>
        <v>47</v>
      </c>
      <c r="S732" s="25" t="n">
        <f aca="false">K732-R732</f>
        <v>0</v>
      </c>
      <c r="T732" s="25" t="n">
        <f aca="false">K732*L732</f>
        <v>354.85</v>
      </c>
      <c r="U732" s="25" t="n">
        <f aca="false">M732-T732</f>
        <v>0</v>
      </c>
      <c r="V732" s="25" t="n">
        <f aca="false">M732+N732</f>
        <v>400.41</v>
      </c>
      <c r="W732" s="25" t="n">
        <f aca="false">O732-V732</f>
        <v>0</v>
      </c>
      <c r="X732" s="22" t="str">
        <f aca="false">IF(OR(ABS(S732)&gt;0.005,ABS(U732)&gt;0.005,ABS(W732)&gt;0.005),"Subledger arithmetic error","OK")</f>
        <v>OK</v>
      </c>
      <c r="Y732" s="22" t="str">
        <f aca="false">IF(X732="OK","","Priority 3")</f>
        <v/>
      </c>
    </row>
    <row r="733" customFormat="false" ht="15" hidden="false" customHeight="false" outlineLevel="0" collapsed="false">
      <c r="A733" s="22" t="s">
        <v>12869</v>
      </c>
      <c r="B733" s="23" t="n">
        <v>46235</v>
      </c>
      <c r="C733" s="22" t="s">
        <v>12870</v>
      </c>
      <c r="D733" s="22" t="s">
        <v>3579</v>
      </c>
      <c r="E733" s="22" t="s">
        <v>8109</v>
      </c>
      <c r="F733" s="22" t="s">
        <v>499</v>
      </c>
      <c r="G733" s="22" t="s">
        <v>8601</v>
      </c>
      <c r="H733" s="22" t="s">
        <v>11406</v>
      </c>
      <c r="I733" s="22" t="n">
        <v>42</v>
      </c>
      <c r="J733" s="22" t="n">
        <v>1</v>
      </c>
      <c r="K733" s="22" t="n">
        <v>42</v>
      </c>
      <c r="L733" s="25" t="n">
        <v>7.55</v>
      </c>
      <c r="M733" s="25" t="n">
        <v>317.1</v>
      </c>
      <c r="N733" s="25" t="n">
        <v>40.72</v>
      </c>
      <c r="O733" s="25" t="n">
        <v>357.82</v>
      </c>
      <c r="P733" s="22" t="s">
        <v>11407</v>
      </c>
      <c r="Q733" s="23" t="n">
        <v>46249</v>
      </c>
      <c r="R733" s="22" t="n">
        <f aca="false">I733*J733</f>
        <v>42</v>
      </c>
      <c r="S733" s="25" t="n">
        <f aca="false">K733-R733</f>
        <v>0</v>
      </c>
      <c r="T733" s="25" t="n">
        <f aca="false">K733*L733</f>
        <v>317.1</v>
      </c>
      <c r="U733" s="25" t="n">
        <f aca="false">M733-T733</f>
        <v>0</v>
      </c>
      <c r="V733" s="25" t="n">
        <f aca="false">M733+N733</f>
        <v>357.82</v>
      </c>
      <c r="W733" s="25" t="n">
        <f aca="false">O733-V733</f>
        <v>0</v>
      </c>
      <c r="X733" s="22" t="str">
        <f aca="false">IF(OR(ABS(S733)&gt;0.005,ABS(U733)&gt;0.005,ABS(W733)&gt;0.005),"Subledger arithmetic error","OK")</f>
        <v>OK</v>
      </c>
      <c r="Y733" s="22" t="str">
        <f aca="false">IF(X733="OK","","Priority 3")</f>
        <v/>
      </c>
    </row>
    <row r="734" customFormat="false" ht="15" hidden="false" customHeight="false" outlineLevel="0" collapsed="false">
      <c r="A734" s="22" t="s">
        <v>12871</v>
      </c>
      <c r="B734" s="23" t="n">
        <v>46235</v>
      </c>
      <c r="C734" s="22" t="s">
        <v>12872</v>
      </c>
      <c r="D734" s="22" t="s">
        <v>640</v>
      </c>
      <c r="E734" s="22" t="s">
        <v>8110</v>
      </c>
      <c r="F734" s="22" t="s">
        <v>499</v>
      </c>
      <c r="G734" s="22" t="s">
        <v>8601</v>
      </c>
      <c r="H734" s="22" t="s">
        <v>11406</v>
      </c>
      <c r="I734" s="22" t="n">
        <v>60</v>
      </c>
      <c r="J734" s="22" t="n">
        <v>1</v>
      </c>
      <c r="K734" s="22" t="n">
        <v>60</v>
      </c>
      <c r="L734" s="25" t="n">
        <v>7.55</v>
      </c>
      <c r="M734" s="25" t="n">
        <v>453</v>
      </c>
      <c r="N734" s="25" t="n">
        <v>58.17</v>
      </c>
      <c r="O734" s="25" t="n">
        <v>511.17</v>
      </c>
      <c r="P734" s="22" t="s">
        <v>11407</v>
      </c>
      <c r="Q734" s="23" t="n">
        <v>46249</v>
      </c>
      <c r="R734" s="22" t="n">
        <f aca="false">I734*J734</f>
        <v>60</v>
      </c>
      <c r="S734" s="25" t="n">
        <f aca="false">K734-R734</f>
        <v>0</v>
      </c>
      <c r="T734" s="25" t="n">
        <f aca="false">K734*L734</f>
        <v>453</v>
      </c>
      <c r="U734" s="25" t="n">
        <f aca="false">M734-T734</f>
        <v>0</v>
      </c>
      <c r="V734" s="25" t="n">
        <f aca="false">M734+N734</f>
        <v>511.17</v>
      </c>
      <c r="W734" s="25" t="n">
        <f aca="false">O734-V734</f>
        <v>0</v>
      </c>
      <c r="X734" s="22" t="str">
        <f aca="false">IF(OR(ABS(S734)&gt;0.005,ABS(U734)&gt;0.005,ABS(W734)&gt;0.005),"Subledger arithmetic error","OK")</f>
        <v>OK</v>
      </c>
      <c r="Y734" s="22" t="str">
        <f aca="false">IF(X734="OK","","Priority 3")</f>
        <v/>
      </c>
    </row>
    <row r="735" customFormat="false" ht="15" hidden="false" customHeight="false" outlineLevel="0" collapsed="false">
      <c r="A735" s="22" t="s">
        <v>12873</v>
      </c>
      <c r="B735" s="23" t="n">
        <v>46235</v>
      </c>
      <c r="C735" s="22" t="s">
        <v>12874</v>
      </c>
      <c r="D735" s="22" t="s">
        <v>5319</v>
      </c>
      <c r="E735" s="22" t="s">
        <v>8112</v>
      </c>
      <c r="F735" s="22" t="s">
        <v>499</v>
      </c>
      <c r="G735" s="22" t="s">
        <v>8601</v>
      </c>
      <c r="H735" s="22" t="s">
        <v>11406</v>
      </c>
      <c r="I735" s="22" t="n">
        <v>49</v>
      </c>
      <c r="J735" s="22" t="n">
        <v>1</v>
      </c>
      <c r="K735" s="22" t="n">
        <v>49</v>
      </c>
      <c r="L735" s="25" t="n">
        <v>7.55</v>
      </c>
      <c r="M735" s="25" t="n">
        <v>369.95</v>
      </c>
      <c r="N735" s="25" t="n">
        <v>47.5</v>
      </c>
      <c r="O735" s="25" t="n">
        <v>417.45</v>
      </c>
      <c r="P735" s="22" t="s">
        <v>7696</v>
      </c>
      <c r="Q735" s="23" t="n">
        <v>46249</v>
      </c>
      <c r="R735" s="22" t="n">
        <f aca="false">I735*J735</f>
        <v>49</v>
      </c>
      <c r="S735" s="25" t="n">
        <f aca="false">K735-R735</f>
        <v>0</v>
      </c>
      <c r="T735" s="25" t="n">
        <f aca="false">K735*L735</f>
        <v>369.95</v>
      </c>
      <c r="U735" s="25" t="n">
        <f aca="false">M735-T735</f>
        <v>0</v>
      </c>
      <c r="V735" s="25" t="n">
        <f aca="false">M735+N735</f>
        <v>417.45</v>
      </c>
      <c r="W735" s="25" t="n">
        <f aca="false">O735-V735</f>
        <v>0</v>
      </c>
      <c r="X735" s="22" t="str">
        <f aca="false">IF(OR(ABS(S735)&gt;0.005,ABS(U735)&gt;0.005,ABS(W735)&gt;0.005),"Subledger arithmetic error","OK")</f>
        <v>OK</v>
      </c>
      <c r="Y735" s="22" t="str">
        <f aca="false">IF(X735="OK","","Priority 3")</f>
        <v/>
      </c>
    </row>
    <row r="736" customFormat="false" ht="15" hidden="false" customHeight="false" outlineLevel="0" collapsed="false">
      <c r="A736" s="22" t="s">
        <v>12875</v>
      </c>
      <c r="B736" s="23" t="n">
        <v>46235</v>
      </c>
      <c r="C736" s="22" t="s">
        <v>12876</v>
      </c>
      <c r="D736" s="22" t="s">
        <v>5369</v>
      </c>
      <c r="E736" s="22" t="s">
        <v>8113</v>
      </c>
      <c r="F736" s="22" t="s">
        <v>499</v>
      </c>
      <c r="G736" s="22" t="s">
        <v>8601</v>
      </c>
      <c r="H736" s="22" t="s">
        <v>11406</v>
      </c>
      <c r="I736" s="22" t="n">
        <v>36</v>
      </c>
      <c r="J736" s="22" t="n">
        <v>1</v>
      </c>
      <c r="K736" s="22" t="n">
        <v>36</v>
      </c>
      <c r="L736" s="25" t="n">
        <v>7.55</v>
      </c>
      <c r="M736" s="25" t="n">
        <v>271.8</v>
      </c>
      <c r="N736" s="25" t="n">
        <v>34.9</v>
      </c>
      <c r="O736" s="25" t="n">
        <v>306.7</v>
      </c>
      <c r="P736" s="22" t="s">
        <v>11407</v>
      </c>
      <c r="Q736" s="23" t="n">
        <v>46249</v>
      </c>
      <c r="R736" s="22" t="n">
        <f aca="false">I736*J736</f>
        <v>36</v>
      </c>
      <c r="S736" s="25" t="n">
        <f aca="false">K736-R736</f>
        <v>0</v>
      </c>
      <c r="T736" s="25" t="n">
        <f aca="false">K736*L736</f>
        <v>271.8</v>
      </c>
      <c r="U736" s="25" t="n">
        <f aca="false">M736-T736</f>
        <v>0</v>
      </c>
      <c r="V736" s="25" t="n">
        <f aca="false">M736+N736</f>
        <v>306.7</v>
      </c>
      <c r="W736" s="25" t="n">
        <f aca="false">O736-V736</f>
        <v>0</v>
      </c>
      <c r="X736" s="22" t="str">
        <f aca="false">IF(OR(ABS(S736)&gt;0.005,ABS(U736)&gt;0.005,ABS(W736)&gt;0.005),"Subledger arithmetic error","OK")</f>
        <v>OK</v>
      </c>
      <c r="Y736" s="22" t="str">
        <f aca="false">IF(X736="OK","","Priority 3")</f>
        <v/>
      </c>
    </row>
    <row r="737" customFormat="false" ht="15" hidden="false" customHeight="false" outlineLevel="0" collapsed="false">
      <c r="A737" s="22" t="s">
        <v>12877</v>
      </c>
      <c r="B737" s="23" t="n">
        <v>46235</v>
      </c>
      <c r="C737" s="22" t="s">
        <v>12878</v>
      </c>
      <c r="D737" s="22" t="s">
        <v>2538</v>
      </c>
      <c r="E737" s="22" t="s">
        <v>8115</v>
      </c>
      <c r="F737" s="22" t="s">
        <v>499</v>
      </c>
      <c r="G737" s="22" t="s">
        <v>8601</v>
      </c>
      <c r="H737" s="22" t="s">
        <v>11406</v>
      </c>
      <c r="I737" s="22" t="n">
        <v>70</v>
      </c>
      <c r="J737" s="22" t="n">
        <v>1</v>
      </c>
      <c r="K737" s="22" t="n">
        <v>70</v>
      </c>
      <c r="L737" s="25" t="n">
        <v>7.55</v>
      </c>
      <c r="M737" s="25" t="n">
        <v>528.5</v>
      </c>
      <c r="N737" s="25" t="n">
        <v>67.86</v>
      </c>
      <c r="O737" s="25" t="n">
        <v>596.36</v>
      </c>
      <c r="P737" s="22" t="s">
        <v>11407</v>
      </c>
      <c r="Q737" s="23" t="n">
        <v>46249</v>
      </c>
      <c r="R737" s="22" t="n">
        <f aca="false">I737*J737</f>
        <v>70</v>
      </c>
      <c r="S737" s="25" t="n">
        <f aca="false">K737-R737</f>
        <v>0</v>
      </c>
      <c r="T737" s="25" t="n">
        <f aca="false">K737*L737</f>
        <v>528.5</v>
      </c>
      <c r="U737" s="25" t="n">
        <f aca="false">M737-T737</f>
        <v>0</v>
      </c>
      <c r="V737" s="25" t="n">
        <f aca="false">M737+N737</f>
        <v>596.36</v>
      </c>
      <c r="W737" s="25" t="n">
        <f aca="false">O737-V737</f>
        <v>0</v>
      </c>
      <c r="X737" s="22" t="str">
        <f aca="false">IF(OR(ABS(S737)&gt;0.005,ABS(U737)&gt;0.005,ABS(W737)&gt;0.005),"Subledger arithmetic error","OK")</f>
        <v>OK</v>
      </c>
      <c r="Y737" s="22" t="str">
        <f aca="false">IF(X737="OK","","Priority 3")</f>
        <v/>
      </c>
    </row>
    <row r="738" customFormat="false" ht="15" hidden="false" customHeight="false" outlineLevel="0" collapsed="false">
      <c r="A738" s="22" t="s">
        <v>12879</v>
      </c>
      <c r="B738" s="23" t="n">
        <v>46235</v>
      </c>
      <c r="C738" s="22" t="s">
        <v>12880</v>
      </c>
      <c r="D738" s="22" t="s">
        <v>5649</v>
      </c>
      <c r="E738" s="22" t="s">
        <v>8117</v>
      </c>
      <c r="F738" s="22" t="s">
        <v>499</v>
      </c>
      <c r="G738" s="22" t="s">
        <v>8601</v>
      </c>
      <c r="H738" s="22" t="s">
        <v>11406</v>
      </c>
      <c r="I738" s="22" t="n">
        <v>61</v>
      </c>
      <c r="J738" s="22" t="n">
        <v>1</v>
      </c>
      <c r="K738" s="22" t="n">
        <v>61</v>
      </c>
      <c r="L738" s="25" t="n">
        <v>7.55</v>
      </c>
      <c r="M738" s="25" t="n">
        <v>460.55</v>
      </c>
      <c r="N738" s="25" t="n">
        <v>59.13</v>
      </c>
      <c r="O738" s="25" t="n">
        <v>519.68</v>
      </c>
      <c r="P738" s="22" t="s">
        <v>11407</v>
      </c>
      <c r="Q738" s="23" t="n">
        <v>46249</v>
      </c>
      <c r="R738" s="22" t="n">
        <f aca="false">I738*J738</f>
        <v>61</v>
      </c>
      <c r="S738" s="25" t="n">
        <f aca="false">K738-R738</f>
        <v>0</v>
      </c>
      <c r="T738" s="25" t="n">
        <f aca="false">K738*L738</f>
        <v>460.55</v>
      </c>
      <c r="U738" s="25" t="n">
        <f aca="false">M738-T738</f>
        <v>0</v>
      </c>
      <c r="V738" s="25" t="n">
        <f aca="false">M738+N738</f>
        <v>519.68</v>
      </c>
      <c r="W738" s="25" t="n">
        <f aca="false">O738-V738</f>
        <v>0</v>
      </c>
      <c r="X738" s="22" t="str">
        <f aca="false">IF(OR(ABS(S738)&gt;0.005,ABS(U738)&gt;0.005,ABS(W738)&gt;0.005),"Subledger arithmetic error","OK")</f>
        <v>OK</v>
      </c>
      <c r="Y738" s="22" t="str">
        <f aca="false">IF(X738="OK","","Priority 3")</f>
        <v/>
      </c>
    </row>
    <row r="739" customFormat="false" ht="15" hidden="false" customHeight="false" outlineLevel="0" collapsed="false">
      <c r="A739" s="22" t="s">
        <v>12881</v>
      </c>
      <c r="B739" s="23" t="n">
        <v>46235</v>
      </c>
      <c r="C739" s="22" t="s">
        <v>12882</v>
      </c>
      <c r="D739" s="22" t="s">
        <v>5351</v>
      </c>
      <c r="E739" s="22" t="s">
        <v>8120</v>
      </c>
      <c r="F739" s="22" t="s">
        <v>499</v>
      </c>
      <c r="G739" s="22" t="s">
        <v>8601</v>
      </c>
      <c r="H739" s="22" t="s">
        <v>11406</v>
      </c>
      <c r="I739" s="22" t="n">
        <v>59</v>
      </c>
      <c r="J739" s="22" t="n">
        <v>1</v>
      </c>
      <c r="K739" s="22" t="n">
        <v>59</v>
      </c>
      <c r="L739" s="25" t="n">
        <v>7.55</v>
      </c>
      <c r="M739" s="25" t="n">
        <v>445.45</v>
      </c>
      <c r="N739" s="25" t="n">
        <v>57.2</v>
      </c>
      <c r="O739" s="25" t="n">
        <v>502.65</v>
      </c>
      <c r="P739" s="22" t="s">
        <v>11407</v>
      </c>
      <c r="Q739" s="23" t="n">
        <v>46249</v>
      </c>
      <c r="R739" s="22" t="n">
        <f aca="false">I739*J739</f>
        <v>59</v>
      </c>
      <c r="S739" s="25" t="n">
        <f aca="false">K739-R739</f>
        <v>0</v>
      </c>
      <c r="T739" s="25" t="n">
        <f aca="false">K739*L739</f>
        <v>445.45</v>
      </c>
      <c r="U739" s="25" t="n">
        <f aca="false">M739-T739</f>
        <v>0</v>
      </c>
      <c r="V739" s="25" t="n">
        <f aca="false">M739+N739</f>
        <v>502.65</v>
      </c>
      <c r="W739" s="25" t="n">
        <f aca="false">O739-V739</f>
        <v>0</v>
      </c>
      <c r="X739" s="22" t="str">
        <f aca="false">IF(OR(ABS(S739)&gt;0.005,ABS(U739)&gt;0.005,ABS(W739)&gt;0.005),"Subledger arithmetic error","OK")</f>
        <v>OK</v>
      </c>
      <c r="Y739" s="22" t="str">
        <f aca="false">IF(X739="OK","","Priority 3")</f>
        <v/>
      </c>
    </row>
    <row r="740" customFormat="false" ht="15" hidden="false" customHeight="false" outlineLevel="0" collapsed="false">
      <c r="A740" s="22" t="s">
        <v>12883</v>
      </c>
      <c r="B740" s="23" t="n">
        <v>46235</v>
      </c>
      <c r="C740" s="22" t="s">
        <v>12884</v>
      </c>
      <c r="D740" s="22" t="s">
        <v>1853</v>
      </c>
      <c r="E740" s="22" t="s">
        <v>8122</v>
      </c>
      <c r="F740" s="22" t="s">
        <v>499</v>
      </c>
      <c r="G740" s="22" t="s">
        <v>8601</v>
      </c>
      <c r="H740" s="22" t="s">
        <v>11406</v>
      </c>
      <c r="I740" s="22" t="n">
        <v>32</v>
      </c>
      <c r="J740" s="22" t="n">
        <v>1</v>
      </c>
      <c r="K740" s="22" t="n">
        <v>32</v>
      </c>
      <c r="L740" s="25" t="n">
        <v>7.55</v>
      </c>
      <c r="M740" s="25" t="n">
        <v>241.6</v>
      </c>
      <c r="N740" s="25" t="n">
        <v>31.02</v>
      </c>
      <c r="O740" s="25" t="n">
        <v>272.62</v>
      </c>
      <c r="P740" s="22" t="s">
        <v>11407</v>
      </c>
      <c r="Q740" s="23" t="n">
        <v>46249</v>
      </c>
      <c r="R740" s="22" t="n">
        <f aca="false">I740*J740</f>
        <v>32</v>
      </c>
      <c r="S740" s="25" t="n">
        <f aca="false">K740-R740</f>
        <v>0</v>
      </c>
      <c r="T740" s="25" t="n">
        <f aca="false">K740*L740</f>
        <v>241.6</v>
      </c>
      <c r="U740" s="25" t="n">
        <f aca="false">M740-T740</f>
        <v>0</v>
      </c>
      <c r="V740" s="25" t="n">
        <f aca="false">M740+N740</f>
        <v>272.62</v>
      </c>
      <c r="W740" s="25" t="n">
        <f aca="false">O740-V740</f>
        <v>0</v>
      </c>
      <c r="X740" s="22" t="str">
        <f aca="false">IF(OR(ABS(S740)&gt;0.005,ABS(U740)&gt;0.005,ABS(W740)&gt;0.005),"Subledger arithmetic error","OK")</f>
        <v>OK</v>
      </c>
      <c r="Y740" s="22" t="str">
        <f aca="false">IF(X740="OK","","Priority 3")</f>
        <v/>
      </c>
    </row>
    <row r="741" customFormat="false" ht="15" hidden="false" customHeight="false" outlineLevel="0" collapsed="false">
      <c r="A741" s="22" t="s">
        <v>12885</v>
      </c>
      <c r="B741" s="23" t="n">
        <v>46235</v>
      </c>
      <c r="C741" s="22" t="s">
        <v>12886</v>
      </c>
      <c r="D741" s="22" t="s">
        <v>3233</v>
      </c>
      <c r="E741" s="22" t="s">
        <v>8124</v>
      </c>
      <c r="F741" s="22" t="s">
        <v>499</v>
      </c>
      <c r="G741" s="22" t="s">
        <v>8601</v>
      </c>
      <c r="H741" s="22" t="s">
        <v>11406</v>
      </c>
      <c r="I741" s="22" t="n">
        <v>59</v>
      </c>
      <c r="J741" s="22" t="n">
        <v>1</v>
      </c>
      <c r="K741" s="22" t="n">
        <v>59</v>
      </c>
      <c r="L741" s="25" t="n">
        <v>7.55</v>
      </c>
      <c r="M741" s="25" t="n">
        <v>445.45</v>
      </c>
      <c r="N741" s="25" t="n">
        <v>57.2</v>
      </c>
      <c r="O741" s="25" t="n">
        <v>502.65</v>
      </c>
      <c r="P741" s="22" t="s">
        <v>11407</v>
      </c>
      <c r="Q741" s="23" t="n">
        <v>46249</v>
      </c>
      <c r="R741" s="22" t="n">
        <f aca="false">I741*J741</f>
        <v>59</v>
      </c>
      <c r="S741" s="25" t="n">
        <f aca="false">K741-R741</f>
        <v>0</v>
      </c>
      <c r="T741" s="25" t="n">
        <f aca="false">K741*L741</f>
        <v>445.45</v>
      </c>
      <c r="U741" s="25" t="n">
        <f aca="false">M741-T741</f>
        <v>0</v>
      </c>
      <c r="V741" s="25" t="n">
        <f aca="false">M741+N741</f>
        <v>502.65</v>
      </c>
      <c r="W741" s="25" t="n">
        <f aca="false">O741-V741</f>
        <v>0</v>
      </c>
      <c r="X741" s="22" t="str">
        <f aca="false">IF(OR(ABS(S741)&gt;0.005,ABS(U741)&gt;0.005,ABS(W741)&gt;0.005),"Subledger arithmetic error","OK")</f>
        <v>OK</v>
      </c>
      <c r="Y741" s="22" t="str">
        <f aca="false">IF(X741="OK","","Priority 3")</f>
        <v/>
      </c>
    </row>
    <row r="742" customFormat="false" ht="15" hidden="false" customHeight="false" outlineLevel="0" collapsed="false">
      <c r="A742" s="22" t="s">
        <v>12887</v>
      </c>
      <c r="B742" s="23" t="n">
        <v>46235</v>
      </c>
      <c r="C742" s="22" t="s">
        <v>12888</v>
      </c>
      <c r="D742" s="22" t="s">
        <v>520</v>
      </c>
      <c r="E742" s="22" t="s">
        <v>8125</v>
      </c>
      <c r="F742" s="22" t="s">
        <v>499</v>
      </c>
      <c r="G742" s="22" t="s">
        <v>8601</v>
      </c>
      <c r="H742" s="22" t="s">
        <v>11406</v>
      </c>
      <c r="I742" s="22" t="n">
        <v>33</v>
      </c>
      <c r="J742" s="22" t="n">
        <v>1</v>
      </c>
      <c r="K742" s="22" t="n">
        <v>33</v>
      </c>
      <c r="L742" s="25" t="n">
        <v>7.55</v>
      </c>
      <c r="M742" s="25" t="n">
        <v>249.15</v>
      </c>
      <c r="N742" s="25" t="n">
        <v>31.99</v>
      </c>
      <c r="O742" s="25" t="n">
        <v>281.14</v>
      </c>
      <c r="P742" s="22" t="s">
        <v>11407</v>
      </c>
      <c r="Q742" s="23" t="n">
        <v>46249</v>
      </c>
      <c r="R742" s="22" t="n">
        <f aca="false">I742*J742</f>
        <v>33</v>
      </c>
      <c r="S742" s="25" t="n">
        <f aca="false">K742-R742</f>
        <v>0</v>
      </c>
      <c r="T742" s="25" t="n">
        <f aca="false">K742*L742</f>
        <v>249.15</v>
      </c>
      <c r="U742" s="25" t="n">
        <f aca="false">M742-T742</f>
        <v>0</v>
      </c>
      <c r="V742" s="25" t="n">
        <f aca="false">M742+N742</f>
        <v>281.14</v>
      </c>
      <c r="W742" s="25" t="n">
        <f aca="false">O742-V742</f>
        <v>0</v>
      </c>
      <c r="X742" s="22" t="str">
        <f aca="false">IF(OR(ABS(S742)&gt;0.005,ABS(U742)&gt;0.005,ABS(W742)&gt;0.005),"Subledger arithmetic error","OK")</f>
        <v>OK</v>
      </c>
      <c r="Y742" s="22" t="str">
        <f aca="false">IF(X742="OK","","Priority 3")</f>
        <v/>
      </c>
    </row>
    <row r="743" customFormat="false" ht="15" hidden="false" customHeight="false" outlineLevel="0" collapsed="false">
      <c r="A743" s="22" t="s">
        <v>12889</v>
      </c>
      <c r="B743" s="23" t="n">
        <v>46235</v>
      </c>
      <c r="C743" s="22" t="s">
        <v>12890</v>
      </c>
      <c r="D743" s="22" t="s">
        <v>1466</v>
      </c>
      <c r="E743" s="22" t="s">
        <v>8128</v>
      </c>
      <c r="F743" s="22" t="s">
        <v>499</v>
      </c>
      <c r="G743" s="22" t="s">
        <v>8601</v>
      </c>
      <c r="H743" s="22" t="s">
        <v>11406</v>
      </c>
      <c r="I743" s="22" t="n">
        <v>43</v>
      </c>
      <c r="J743" s="22" t="n">
        <v>1</v>
      </c>
      <c r="K743" s="22" t="n">
        <v>43</v>
      </c>
      <c r="L743" s="25" t="n">
        <v>7.55</v>
      </c>
      <c r="M743" s="25" t="n">
        <v>324.65</v>
      </c>
      <c r="N743" s="25" t="n">
        <v>41.69</v>
      </c>
      <c r="O743" s="25" t="n">
        <v>366.34</v>
      </c>
      <c r="P743" s="22" t="s">
        <v>11407</v>
      </c>
      <c r="Q743" s="23" t="n">
        <v>46249</v>
      </c>
      <c r="R743" s="22" t="n">
        <f aca="false">I743*J743</f>
        <v>43</v>
      </c>
      <c r="S743" s="25" t="n">
        <f aca="false">K743-R743</f>
        <v>0</v>
      </c>
      <c r="T743" s="25" t="n">
        <f aca="false">K743*L743</f>
        <v>324.65</v>
      </c>
      <c r="U743" s="25" t="n">
        <f aca="false">M743-T743</f>
        <v>0</v>
      </c>
      <c r="V743" s="25" t="n">
        <f aca="false">M743+N743</f>
        <v>366.34</v>
      </c>
      <c r="W743" s="25" t="n">
        <f aca="false">O743-V743</f>
        <v>0</v>
      </c>
      <c r="X743" s="22" t="str">
        <f aca="false">IF(OR(ABS(S743)&gt;0.005,ABS(U743)&gt;0.005,ABS(W743)&gt;0.005),"Subledger arithmetic error","OK")</f>
        <v>OK</v>
      </c>
      <c r="Y743" s="22" t="str">
        <f aca="false">IF(X743="OK","","Priority 3")</f>
        <v/>
      </c>
    </row>
    <row r="744" customFormat="false" ht="15" hidden="false" customHeight="false" outlineLevel="0" collapsed="false">
      <c r="A744" s="22" t="s">
        <v>12891</v>
      </c>
      <c r="B744" s="23" t="n">
        <v>46235</v>
      </c>
      <c r="C744" s="22" t="s">
        <v>12892</v>
      </c>
      <c r="D744" s="22" t="s">
        <v>4571</v>
      </c>
      <c r="E744" s="22" t="s">
        <v>8129</v>
      </c>
      <c r="F744" s="22" t="s">
        <v>499</v>
      </c>
      <c r="G744" s="22" t="s">
        <v>8601</v>
      </c>
      <c r="H744" s="22" t="s">
        <v>11406</v>
      </c>
      <c r="I744" s="22" t="n">
        <v>58</v>
      </c>
      <c r="J744" s="22" t="n">
        <v>1</v>
      </c>
      <c r="K744" s="22" t="n">
        <v>58</v>
      </c>
      <c r="L744" s="25" t="n">
        <v>7.55</v>
      </c>
      <c r="M744" s="25" t="n">
        <v>437.9</v>
      </c>
      <c r="N744" s="25" t="n">
        <v>56.23</v>
      </c>
      <c r="O744" s="25" t="n">
        <v>494.13</v>
      </c>
      <c r="P744" s="22" t="s">
        <v>11407</v>
      </c>
      <c r="Q744" s="23" t="n">
        <v>46249</v>
      </c>
      <c r="R744" s="22" t="n">
        <f aca="false">I744*J744</f>
        <v>58</v>
      </c>
      <c r="S744" s="25" t="n">
        <f aca="false">K744-R744</f>
        <v>0</v>
      </c>
      <c r="T744" s="25" t="n">
        <f aca="false">K744*L744</f>
        <v>437.9</v>
      </c>
      <c r="U744" s="25" t="n">
        <f aca="false">M744-T744</f>
        <v>0</v>
      </c>
      <c r="V744" s="25" t="n">
        <f aca="false">M744+N744</f>
        <v>494.13</v>
      </c>
      <c r="W744" s="25" t="n">
        <f aca="false">O744-V744</f>
        <v>0</v>
      </c>
      <c r="X744" s="22" t="str">
        <f aca="false">IF(OR(ABS(S744)&gt;0.005,ABS(U744)&gt;0.005,ABS(W744)&gt;0.005),"Subledger arithmetic error","OK")</f>
        <v>OK</v>
      </c>
      <c r="Y744" s="22" t="str">
        <f aca="false">IF(X744="OK","","Priority 3")</f>
        <v/>
      </c>
    </row>
    <row r="745" customFormat="false" ht="15" hidden="false" customHeight="false" outlineLevel="0" collapsed="false">
      <c r="A745" s="22" t="s">
        <v>12893</v>
      </c>
      <c r="B745" s="23" t="n">
        <v>46235</v>
      </c>
      <c r="C745" s="22" t="s">
        <v>12894</v>
      </c>
      <c r="D745" s="22" t="s">
        <v>2232</v>
      </c>
      <c r="E745" s="22" t="s">
        <v>8131</v>
      </c>
      <c r="F745" s="22" t="s">
        <v>499</v>
      </c>
      <c r="G745" s="22" t="s">
        <v>8601</v>
      </c>
      <c r="H745" s="22" t="s">
        <v>11406</v>
      </c>
      <c r="I745" s="22" t="n">
        <v>45</v>
      </c>
      <c r="J745" s="22" t="n">
        <v>1</v>
      </c>
      <c r="K745" s="22" t="n">
        <v>45</v>
      </c>
      <c r="L745" s="25" t="n">
        <v>7.55</v>
      </c>
      <c r="M745" s="25" t="n">
        <v>339.75</v>
      </c>
      <c r="N745" s="25" t="n">
        <v>43.62</v>
      </c>
      <c r="O745" s="25" t="n">
        <v>383.37</v>
      </c>
      <c r="P745" s="22" t="s">
        <v>11407</v>
      </c>
      <c r="Q745" s="23" t="n">
        <v>46249</v>
      </c>
      <c r="R745" s="22" t="n">
        <f aca="false">I745*J745</f>
        <v>45</v>
      </c>
      <c r="S745" s="25" t="n">
        <f aca="false">K745-R745</f>
        <v>0</v>
      </c>
      <c r="T745" s="25" t="n">
        <f aca="false">K745*L745</f>
        <v>339.75</v>
      </c>
      <c r="U745" s="25" t="n">
        <f aca="false">M745-T745</f>
        <v>0</v>
      </c>
      <c r="V745" s="25" t="n">
        <f aca="false">M745+N745</f>
        <v>383.37</v>
      </c>
      <c r="W745" s="25" t="n">
        <f aca="false">O745-V745</f>
        <v>0</v>
      </c>
      <c r="X745" s="22" t="str">
        <f aca="false">IF(OR(ABS(S745)&gt;0.005,ABS(U745)&gt;0.005,ABS(W745)&gt;0.005),"Subledger arithmetic error","OK")</f>
        <v>OK</v>
      </c>
      <c r="Y745" s="22" t="str">
        <f aca="false">IF(X745="OK","","Priority 3")</f>
        <v/>
      </c>
    </row>
    <row r="746" customFormat="false" ht="15" hidden="false" customHeight="false" outlineLevel="0" collapsed="false">
      <c r="A746" s="22" t="s">
        <v>12895</v>
      </c>
      <c r="B746" s="23" t="n">
        <v>46235</v>
      </c>
      <c r="C746" s="22" t="s">
        <v>12896</v>
      </c>
      <c r="D746" s="22" t="s">
        <v>4189</v>
      </c>
      <c r="E746" s="22" t="s">
        <v>8133</v>
      </c>
      <c r="F746" s="22" t="s">
        <v>499</v>
      </c>
      <c r="G746" s="22" t="s">
        <v>8601</v>
      </c>
      <c r="H746" s="22" t="s">
        <v>11406</v>
      </c>
      <c r="I746" s="22" t="n">
        <v>80</v>
      </c>
      <c r="J746" s="22" t="n">
        <v>1</v>
      </c>
      <c r="K746" s="22" t="n">
        <v>80</v>
      </c>
      <c r="L746" s="25" t="n">
        <v>7.55</v>
      </c>
      <c r="M746" s="25" t="n">
        <v>604</v>
      </c>
      <c r="N746" s="25" t="n">
        <v>77.55</v>
      </c>
      <c r="O746" s="25" t="n">
        <v>681.55</v>
      </c>
      <c r="P746" s="22" t="s">
        <v>11407</v>
      </c>
      <c r="Q746" s="23" t="n">
        <v>46249</v>
      </c>
      <c r="R746" s="22" t="n">
        <f aca="false">I746*J746</f>
        <v>80</v>
      </c>
      <c r="S746" s="25" t="n">
        <f aca="false">K746-R746</f>
        <v>0</v>
      </c>
      <c r="T746" s="25" t="n">
        <f aca="false">K746*L746</f>
        <v>604</v>
      </c>
      <c r="U746" s="25" t="n">
        <f aca="false">M746-T746</f>
        <v>0</v>
      </c>
      <c r="V746" s="25" t="n">
        <f aca="false">M746+N746</f>
        <v>681.55</v>
      </c>
      <c r="W746" s="25" t="n">
        <f aca="false">O746-V746</f>
        <v>0</v>
      </c>
      <c r="X746" s="22" t="str">
        <f aca="false">IF(OR(ABS(S746)&gt;0.005,ABS(U746)&gt;0.005,ABS(W746)&gt;0.005),"Subledger arithmetic error","OK")</f>
        <v>OK</v>
      </c>
      <c r="Y746" s="22" t="str">
        <f aca="false">IF(X746="OK","","Priority 3")</f>
        <v/>
      </c>
    </row>
    <row r="747" customFormat="false" ht="15" hidden="false" customHeight="false" outlineLevel="0" collapsed="false">
      <c r="A747" s="22" t="s">
        <v>12897</v>
      </c>
      <c r="B747" s="23" t="n">
        <v>46235</v>
      </c>
      <c r="C747" s="22" t="s">
        <v>12898</v>
      </c>
      <c r="D747" s="22" t="s">
        <v>4863</v>
      </c>
      <c r="E747" s="22" t="s">
        <v>8134</v>
      </c>
      <c r="F747" s="22" t="s">
        <v>499</v>
      </c>
      <c r="G747" s="22" t="s">
        <v>8601</v>
      </c>
      <c r="H747" s="22" t="s">
        <v>11406</v>
      </c>
      <c r="I747" s="22" t="n">
        <v>45</v>
      </c>
      <c r="J747" s="22" t="n">
        <v>1</v>
      </c>
      <c r="K747" s="22" t="n">
        <v>45</v>
      </c>
      <c r="L747" s="25" t="n">
        <v>7.55</v>
      </c>
      <c r="M747" s="25" t="n">
        <v>339.75</v>
      </c>
      <c r="N747" s="25" t="n">
        <v>43.62</v>
      </c>
      <c r="O747" s="25" t="n">
        <v>383.37</v>
      </c>
      <c r="P747" s="22" t="s">
        <v>11407</v>
      </c>
      <c r="Q747" s="23" t="n">
        <v>46249</v>
      </c>
      <c r="R747" s="22" t="n">
        <f aca="false">I747*J747</f>
        <v>45</v>
      </c>
      <c r="S747" s="25" t="n">
        <f aca="false">K747-R747</f>
        <v>0</v>
      </c>
      <c r="T747" s="25" t="n">
        <f aca="false">K747*L747</f>
        <v>339.75</v>
      </c>
      <c r="U747" s="25" t="n">
        <f aca="false">M747-T747</f>
        <v>0</v>
      </c>
      <c r="V747" s="25" t="n">
        <f aca="false">M747+N747</f>
        <v>383.37</v>
      </c>
      <c r="W747" s="25" t="n">
        <f aca="false">O747-V747</f>
        <v>0</v>
      </c>
      <c r="X747" s="22" t="str">
        <f aca="false">IF(OR(ABS(S747)&gt;0.005,ABS(U747)&gt;0.005,ABS(W747)&gt;0.005),"Subledger arithmetic error","OK")</f>
        <v>OK</v>
      </c>
      <c r="Y747" s="22" t="str">
        <f aca="false">IF(X747="OK","","Priority 3")</f>
        <v/>
      </c>
    </row>
    <row r="748" customFormat="false" ht="15" hidden="false" customHeight="false" outlineLevel="0" collapsed="false">
      <c r="A748" s="22" t="s">
        <v>12899</v>
      </c>
      <c r="B748" s="23" t="n">
        <v>46235</v>
      </c>
      <c r="C748" s="22" t="s">
        <v>12900</v>
      </c>
      <c r="D748" s="22" t="s">
        <v>3984</v>
      </c>
      <c r="E748" s="22" t="s">
        <v>8136</v>
      </c>
      <c r="F748" s="22" t="s">
        <v>499</v>
      </c>
      <c r="G748" s="22" t="s">
        <v>8601</v>
      </c>
      <c r="H748" s="22" t="s">
        <v>11406</v>
      </c>
      <c r="I748" s="22" t="n">
        <v>34</v>
      </c>
      <c r="J748" s="22" t="n">
        <v>1</v>
      </c>
      <c r="K748" s="22" t="n">
        <v>34</v>
      </c>
      <c r="L748" s="25" t="n">
        <v>7.55</v>
      </c>
      <c r="M748" s="25" t="n">
        <v>256.7</v>
      </c>
      <c r="N748" s="25" t="n">
        <v>32.96</v>
      </c>
      <c r="O748" s="25" t="n">
        <v>289.66</v>
      </c>
      <c r="P748" s="22" t="s">
        <v>11407</v>
      </c>
      <c r="Q748" s="23" t="n">
        <v>46249</v>
      </c>
      <c r="R748" s="22" t="n">
        <f aca="false">I748*J748</f>
        <v>34</v>
      </c>
      <c r="S748" s="25" t="n">
        <f aca="false">K748-R748</f>
        <v>0</v>
      </c>
      <c r="T748" s="25" t="n">
        <f aca="false">K748*L748</f>
        <v>256.7</v>
      </c>
      <c r="U748" s="25" t="n">
        <f aca="false">M748-T748</f>
        <v>0</v>
      </c>
      <c r="V748" s="25" t="n">
        <f aca="false">M748+N748</f>
        <v>289.66</v>
      </c>
      <c r="W748" s="25" t="n">
        <f aca="false">O748-V748</f>
        <v>0</v>
      </c>
      <c r="X748" s="22" t="str">
        <f aca="false">IF(OR(ABS(S748)&gt;0.005,ABS(U748)&gt;0.005,ABS(W748)&gt;0.005),"Subledger arithmetic error","OK")</f>
        <v>OK</v>
      </c>
      <c r="Y748" s="22" t="str">
        <f aca="false">IF(X748="OK","","Priority 3")</f>
        <v/>
      </c>
    </row>
    <row r="749" customFormat="false" ht="15" hidden="false" customHeight="false" outlineLevel="0" collapsed="false">
      <c r="A749" s="22" t="s">
        <v>12901</v>
      </c>
      <c r="B749" s="23" t="n">
        <v>46235</v>
      </c>
      <c r="C749" s="22" t="s">
        <v>12902</v>
      </c>
      <c r="D749" s="22" t="s">
        <v>3501</v>
      </c>
      <c r="E749" s="22" t="s">
        <v>8137</v>
      </c>
      <c r="F749" s="22" t="s">
        <v>499</v>
      </c>
      <c r="G749" s="22" t="s">
        <v>8601</v>
      </c>
      <c r="H749" s="22" t="s">
        <v>11406</v>
      </c>
      <c r="I749" s="22" t="n">
        <v>32</v>
      </c>
      <c r="J749" s="22" t="n">
        <v>1</v>
      </c>
      <c r="K749" s="22" t="n">
        <v>32</v>
      </c>
      <c r="L749" s="25" t="n">
        <v>7.55</v>
      </c>
      <c r="M749" s="25" t="n">
        <v>241.6</v>
      </c>
      <c r="N749" s="25" t="n">
        <v>31.02</v>
      </c>
      <c r="O749" s="25" t="n">
        <v>272.62</v>
      </c>
      <c r="P749" s="22" t="s">
        <v>11407</v>
      </c>
      <c r="Q749" s="23" t="n">
        <v>46249</v>
      </c>
      <c r="R749" s="22" t="n">
        <f aca="false">I749*J749</f>
        <v>32</v>
      </c>
      <c r="S749" s="25" t="n">
        <f aca="false">K749-R749</f>
        <v>0</v>
      </c>
      <c r="T749" s="25" t="n">
        <f aca="false">K749*L749</f>
        <v>241.6</v>
      </c>
      <c r="U749" s="25" t="n">
        <f aca="false">M749-T749</f>
        <v>0</v>
      </c>
      <c r="V749" s="25" t="n">
        <f aca="false">M749+N749</f>
        <v>272.62</v>
      </c>
      <c r="W749" s="25" t="n">
        <f aca="false">O749-V749</f>
        <v>0</v>
      </c>
      <c r="X749" s="22" t="str">
        <f aca="false">IF(OR(ABS(S749)&gt;0.005,ABS(U749)&gt;0.005,ABS(W749)&gt;0.005),"Subledger arithmetic error","OK")</f>
        <v>OK</v>
      </c>
      <c r="Y749" s="22" t="str">
        <f aca="false">IF(X749="OK","","Priority 3")</f>
        <v/>
      </c>
    </row>
    <row r="750" customFormat="false" ht="15" hidden="false" customHeight="false" outlineLevel="0" collapsed="false">
      <c r="A750" s="22" t="s">
        <v>12903</v>
      </c>
      <c r="B750" s="23" t="n">
        <v>46235</v>
      </c>
      <c r="C750" s="22" t="s">
        <v>12904</v>
      </c>
      <c r="D750" s="22" t="s">
        <v>6082</v>
      </c>
      <c r="E750" s="22" t="s">
        <v>8138</v>
      </c>
      <c r="F750" s="22" t="s">
        <v>499</v>
      </c>
      <c r="G750" s="22" t="s">
        <v>8601</v>
      </c>
      <c r="H750" s="22" t="s">
        <v>11406</v>
      </c>
      <c r="I750" s="22" t="n">
        <v>60</v>
      </c>
      <c r="J750" s="22" t="n">
        <v>1</v>
      </c>
      <c r="K750" s="22" t="n">
        <v>60</v>
      </c>
      <c r="L750" s="25" t="n">
        <v>7.55</v>
      </c>
      <c r="M750" s="25" t="n">
        <v>453</v>
      </c>
      <c r="N750" s="25" t="n">
        <v>58.17</v>
      </c>
      <c r="O750" s="25" t="n">
        <v>511.17</v>
      </c>
      <c r="P750" s="22" t="s">
        <v>11407</v>
      </c>
      <c r="Q750" s="23" t="n">
        <v>46249</v>
      </c>
      <c r="R750" s="22" t="n">
        <f aca="false">I750*J750</f>
        <v>60</v>
      </c>
      <c r="S750" s="25" t="n">
        <f aca="false">K750-R750</f>
        <v>0</v>
      </c>
      <c r="T750" s="25" t="n">
        <f aca="false">K750*L750</f>
        <v>453</v>
      </c>
      <c r="U750" s="25" t="n">
        <f aca="false">M750-T750</f>
        <v>0</v>
      </c>
      <c r="V750" s="25" t="n">
        <f aca="false">M750+N750</f>
        <v>511.17</v>
      </c>
      <c r="W750" s="25" t="n">
        <f aca="false">O750-V750</f>
        <v>0</v>
      </c>
      <c r="X750" s="22" t="str">
        <f aca="false">IF(OR(ABS(S750)&gt;0.005,ABS(U750)&gt;0.005,ABS(W750)&gt;0.005),"Subledger arithmetic error","OK")</f>
        <v>OK</v>
      </c>
      <c r="Y750" s="22" t="str">
        <f aca="false">IF(X750="OK","","Priority 3")</f>
        <v/>
      </c>
    </row>
    <row r="751" customFormat="false" ht="15" hidden="false" customHeight="false" outlineLevel="0" collapsed="false">
      <c r="A751" s="22" t="s">
        <v>12905</v>
      </c>
      <c r="B751" s="23" t="n">
        <v>46235</v>
      </c>
      <c r="C751" s="22" t="s">
        <v>12906</v>
      </c>
      <c r="D751" s="22" t="s">
        <v>984</v>
      </c>
      <c r="E751" s="22" t="s">
        <v>8139</v>
      </c>
      <c r="F751" s="22" t="s">
        <v>499</v>
      </c>
      <c r="G751" s="22" t="s">
        <v>8601</v>
      </c>
      <c r="H751" s="22" t="s">
        <v>11406</v>
      </c>
      <c r="I751" s="22" t="n">
        <v>45</v>
      </c>
      <c r="J751" s="22" t="n">
        <v>1</v>
      </c>
      <c r="K751" s="22" t="n">
        <v>45</v>
      </c>
      <c r="L751" s="25" t="n">
        <v>7.55</v>
      </c>
      <c r="M751" s="25" t="n">
        <v>339.75</v>
      </c>
      <c r="N751" s="25" t="n">
        <v>43.62</v>
      </c>
      <c r="O751" s="25" t="n">
        <v>383.37</v>
      </c>
      <c r="P751" s="22" t="s">
        <v>11407</v>
      </c>
      <c r="Q751" s="23" t="n">
        <v>46249</v>
      </c>
      <c r="R751" s="22" t="n">
        <f aca="false">I751*J751</f>
        <v>45</v>
      </c>
      <c r="S751" s="25" t="n">
        <f aca="false">K751-R751</f>
        <v>0</v>
      </c>
      <c r="T751" s="25" t="n">
        <f aca="false">K751*L751</f>
        <v>339.75</v>
      </c>
      <c r="U751" s="25" t="n">
        <f aca="false">M751-T751</f>
        <v>0</v>
      </c>
      <c r="V751" s="25" t="n">
        <f aca="false">M751+N751</f>
        <v>383.37</v>
      </c>
      <c r="W751" s="25" t="n">
        <f aca="false">O751-V751</f>
        <v>0</v>
      </c>
      <c r="X751" s="22" t="str">
        <f aca="false">IF(OR(ABS(S751)&gt;0.005,ABS(U751)&gt;0.005,ABS(W751)&gt;0.005),"Subledger arithmetic error","OK")</f>
        <v>OK</v>
      </c>
      <c r="Y751" s="22" t="str">
        <f aca="false">IF(X751="OK","","Priority 3")</f>
        <v/>
      </c>
    </row>
    <row r="752" customFormat="false" ht="15" hidden="false" customHeight="false" outlineLevel="0" collapsed="false">
      <c r="A752" s="22" t="s">
        <v>12907</v>
      </c>
      <c r="B752" s="23" t="n">
        <v>46235</v>
      </c>
      <c r="C752" s="22" t="s">
        <v>12908</v>
      </c>
      <c r="D752" s="22" t="s">
        <v>2810</v>
      </c>
      <c r="E752" s="22" t="s">
        <v>8140</v>
      </c>
      <c r="F752" s="22" t="s">
        <v>499</v>
      </c>
      <c r="G752" s="22" t="s">
        <v>8601</v>
      </c>
      <c r="H752" s="22" t="s">
        <v>11406</v>
      </c>
      <c r="I752" s="22" t="n">
        <v>62</v>
      </c>
      <c r="J752" s="22" t="n">
        <v>1</v>
      </c>
      <c r="K752" s="22" t="n">
        <v>62</v>
      </c>
      <c r="L752" s="25" t="n">
        <v>7.55</v>
      </c>
      <c r="M752" s="25" t="n">
        <v>468.1</v>
      </c>
      <c r="N752" s="25" t="n">
        <v>60.1</v>
      </c>
      <c r="O752" s="25" t="n">
        <v>528.2</v>
      </c>
      <c r="P752" s="22" t="s">
        <v>11407</v>
      </c>
      <c r="Q752" s="23" t="n">
        <v>46249</v>
      </c>
      <c r="R752" s="22" t="n">
        <f aca="false">I752*J752</f>
        <v>62</v>
      </c>
      <c r="S752" s="25" t="n">
        <f aca="false">K752-R752</f>
        <v>0</v>
      </c>
      <c r="T752" s="25" t="n">
        <f aca="false">K752*L752</f>
        <v>468.1</v>
      </c>
      <c r="U752" s="25" t="n">
        <f aca="false">M752-T752</f>
        <v>0</v>
      </c>
      <c r="V752" s="25" t="n">
        <f aca="false">M752+N752</f>
        <v>528.2</v>
      </c>
      <c r="W752" s="25" t="n">
        <f aca="false">O752-V752</f>
        <v>0</v>
      </c>
      <c r="X752" s="22" t="str">
        <f aca="false">IF(OR(ABS(S752)&gt;0.005,ABS(U752)&gt;0.005,ABS(W752)&gt;0.005),"Subledger arithmetic error","OK")</f>
        <v>OK</v>
      </c>
      <c r="Y752" s="22" t="str">
        <f aca="false">IF(X752="OK","","Priority 3")</f>
        <v/>
      </c>
    </row>
    <row r="753" customFormat="false" ht="15" hidden="false" customHeight="false" outlineLevel="0" collapsed="false">
      <c r="A753" s="22" t="s">
        <v>12909</v>
      </c>
      <c r="B753" s="23" t="n">
        <v>46235</v>
      </c>
      <c r="C753" s="22" t="s">
        <v>12910</v>
      </c>
      <c r="D753" s="22" t="s">
        <v>6105</v>
      </c>
      <c r="E753" s="22" t="s">
        <v>8141</v>
      </c>
      <c r="F753" s="22" t="s">
        <v>499</v>
      </c>
      <c r="G753" s="22" t="s">
        <v>8601</v>
      </c>
      <c r="H753" s="22" t="s">
        <v>11406</v>
      </c>
      <c r="I753" s="22" t="n">
        <v>45</v>
      </c>
      <c r="J753" s="22" t="n">
        <v>1</v>
      </c>
      <c r="K753" s="22" t="n">
        <v>45</v>
      </c>
      <c r="L753" s="25" t="n">
        <v>7.55</v>
      </c>
      <c r="M753" s="25" t="n">
        <v>339.75</v>
      </c>
      <c r="N753" s="25" t="n">
        <v>43.62</v>
      </c>
      <c r="O753" s="25" t="n">
        <v>383.37</v>
      </c>
      <c r="P753" s="22" t="s">
        <v>11407</v>
      </c>
      <c r="Q753" s="23" t="n">
        <v>46249</v>
      </c>
      <c r="R753" s="22" t="n">
        <f aca="false">I753*J753</f>
        <v>45</v>
      </c>
      <c r="S753" s="25" t="n">
        <f aca="false">K753-R753</f>
        <v>0</v>
      </c>
      <c r="T753" s="25" t="n">
        <f aca="false">K753*L753</f>
        <v>339.75</v>
      </c>
      <c r="U753" s="25" t="n">
        <f aca="false">M753-T753</f>
        <v>0</v>
      </c>
      <c r="V753" s="25" t="n">
        <f aca="false">M753+N753</f>
        <v>383.37</v>
      </c>
      <c r="W753" s="25" t="n">
        <f aca="false">O753-V753</f>
        <v>0</v>
      </c>
      <c r="X753" s="22" t="str">
        <f aca="false">IF(OR(ABS(S753)&gt;0.005,ABS(U753)&gt;0.005,ABS(W753)&gt;0.005),"Subledger arithmetic error","OK")</f>
        <v>OK</v>
      </c>
      <c r="Y753" s="22" t="str">
        <f aca="false">IF(X753="OK","","Priority 3")</f>
        <v/>
      </c>
    </row>
    <row r="754" customFormat="false" ht="15" hidden="false" customHeight="false" outlineLevel="0" collapsed="false">
      <c r="A754" s="22" t="s">
        <v>12911</v>
      </c>
      <c r="B754" s="23" t="n">
        <v>46235</v>
      </c>
      <c r="C754" s="22" t="s">
        <v>12912</v>
      </c>
      <c r="D754" s="22" t="s">
        <v>1616</v>
      </c>
      <c r="E754" s="22" t="s">
        <v>8142</v>
      </c>
      <c r="F754" s="22" t="s">
        <v>499</v>
      </c>
      <c r="G754" s="22" t="s">
        <v>8601</v>
      </c>
      <c r="H754" s="22" t="s">
        <v>11406</v>
      </c>
      <c r="I754" s="22" t="n">
        <v>28</v>
      </c>
      <c r="J754" s="22" t="n">
        <v>1</v>
      </c>
      <c r="K754" s="22" t="n">
        <v>28</v>
      </c>
      <c r="L754" s="25" t="n">
        <v>7.55</v>
      </c>
      <c r="M754" s="25" t="n">
        <v>211.4</v>
      </c>
      <c r="N754" s="25" t="n">
        <v>27.14</v>
      </c>
      <c r="O754" s="25" t="n">
        <v>238.54</v>
      </c>
      <c r="P754" s="22" t="s">
        <v>11407</v>
      </c>
      <c r="Q754" s="23" t="n">
        <v>46249</v>
      </c>
      <c r="R754" s="22" t="n">
        <f aca="false">I754*J754</f>
        <v>28</v>
      </c>
      <c r="S754" s="25" t="n">
        <f aca="false">K754-R754</f>
        <v>0</v>
      </c>
      <c r="T754" s="25" t="n">
        <f aca="false">K754*L754</f>
        <v>211.4</v>
      </c>
      <c r="U754" s="25" t="n">
        <f aca="false">M754-T754</f>
        <v>0</v>
      </c>
      <c r="V754" s="25" t="n">
        <f aca="false">M754+N754</f>
        <v>238.54</v>
      </c>
      <c r="W754" s="25" t="n">
        <f aca="false">O754-V754</f>
        <v>0</v>
      </c>
      <c r="X754" s="22" t="str">
        <f aca="false">IF(OR(ABS(S754)&gt;0.005,ABS(U754)&gt;0.005,ABS(W754)&gt;0.005),"Subledger arithmetic error","OK")</f>
        <v>OK</v>
      </c>
      <c r="Y754" s="22" t="str">
        <f aca="false">IF(X754="OK","","Priority 3")</f>
        <v/>
      </c>
    </row>
    <row r="755" customFormat="false" ht="15" hidden="false" customHeight="false" outlineLevel="0" collapsed="false">
      <c r="A755" s="22" t="s">
        <v>12913</v>
      </c>
      <c r="B755" s="23" t="n">
        <v>46235</v>
      </c>
      <c r="C755" s="22" t="s">
        <v>12914</v>
      </c>
      <c r="D755" s="22" t="s">
        <v>3354</v>
      </c>
      <c r="E755" s="22" t="s">
        <v>8143</v>
      </c>
      <c r="F755" s="22" t="s">
        <v>499</v>
      </c>
      <c r="G755" s="22" t="s">
        <v>8601</v>
      </c>
      <c r="H755" s="22" t="s">
        <v>11406</v>
      </c>
      <c r="I755" s="22" t="n">
        <v>56</v>
      </c>
      <c r="J755" s="22" t="n">
        <v>1</v>
      </c>
      <c r="K755" s="22" t="n">
        <v>56</v>
      </c>
      <c r="L755" s="25" t="n">
        <v>7.55</v>
      </c>
      <c r="M755" s="25" t="n">
        <v>422.8</v>
      </c>
      <c r="N755" s="25" t="n">
        <v>54.29</v>
      </c>
      <c r="O755" s="25" t="n">
        <v>477.09</v>
      </c>
      <c r="P755" s="22" t="s">
        <v>11407</v>
      </c>
      <c r="Q755" s="23" t="n">
        <v>46249</v>
      </c>
      <c r="R755" s="22" t="n">
        <f aca="false">I755*J755</f>
        <v>56</v>
      </c>
      <c r="S755" s="25" t="n">
        <f aca="false">K755-R755</f>
        <v>0</v>
      </c>
      <c r="T755" s="25" t="n">
        <f aca="false">K755*L755</f>
        <v>422.8</v>
      </c>
      <c r="U755" s="25" t="n">
        <f aca="false">M755-T755</f>
        <v>0</v>
      </c>
      <c r="V755" s="25" t="n">
        <f aca="false">M755+N755</f>
        <v>477.09</v>
      </c>
      <c r="W755" s="25" t="n">
        <f aca="false">O755-V755</f>
        <v>0</v>
      </c>
      <c r="X755" s="22" t="str">
        <f aca="false">IF(OR(ABS(S755)&gt;0.005,ABS(U755)&gt;0.005,ABS(W755)&gt;0.005),"Subledger arithmetic error","OK")</f>
        <v>OK</v>
      </c>
      <c r="Y755" s="22" t="str">
        <f aca="false">IF(X755="OK","","Priority 3")</f>
        <v/>
      </c>
    </row>
    <row r="756" customFormat="false" ht="15" hidden="false" customHeight="false" outlineLevel="0" collapsed="false">
      <c r="A756" s="22" t="s">
        <v>12915</v>
      </c>
      <c r="B756" s="23" t="n">
        <v>46235</v>
      </c>
      <c r="C756" s="22" t="s">
        <v>12916</v>
      </c>
      <c r="D756" s="22" t="s">
        <v>2804</v>
      </c>
      <c r="E756" s="22" t="s">
        <v>8144</v>
      </c>
      <c r="F756" s="22" t="s">
        <v>499</v>
      </c>
      <c r="G756" s="22" t="s">
        <v>8601</v>
      </c>
      <c r="H756" s="22" t="s">
        <v>11406</v>
      </c>
      <c r="I756" s="22" t="n">
        <v>70</v>
      </c>
      <c r="J756" s="22" t="n">
        <v>1</v>
      </c>
      <c r="K756" s="22" t="n">
        <v>70</v>
      </c>
      <c r="L756" s="25" t="n">
        <v>7.55</v>
      </c>
      <c r="M756" s="25" t="n">
        <v>528.5</v>
      </c>
      <c r="N756" s="25" t="n">
        <v>67.86</v>
      </c>
      <c r="O756" s="25" t="n">
        <v>596.36</v>
      </c>
      <c r="P756" s="22" t="s">
        <v>11407</v>
      </c>
      <c r="Q756" s="23" t="n">
        <v>46249</v>
      </c>
      <c r="R756" s="22" t="n">
        <f aca="false">I756*J756</f>
        <v>70</v>
      </c>
      <c r="S756" s="25" t="n">
        <f aca="false">K756-R756</f>
        <v>0</v>
      </c>
      <c r="T756" s="25" t="n">
        <f aca="false">K756*L756</f>
        <v>528.5</v>
      </c>
      <c r="U756" s="25" t="n">
        <f aca="false">M756-T756</f>
        <v>0</v>
      </c>
      <c r="V756" s="25" t="n">
        <f aca="false">M756+N756</f>
        <v>596.36</v>
      </c>
      <c r="W756" s="25" t="n">
        <f aca="false">O756-V756</f>
        <v>0</v>
      </c>
      <c r="X756" s="22" t="str">
        <f aca="false">IF(OR(ABS(S756)&gt;0.005,ABS(U756)&gt;0.005,ABS(W756)&gt;0.005),"Subledger arithmetic error","OK")</f>
        <v>OK</v>
      </c>
      <c r="Y756" s="22" t="str">
        <f aca="false">IF(X756="OK","","Priority 3")</f>
        <v/>
      </c>
    </row>
    <row r="757" customFormat="false" ht="15" hidden="false" customHeight="false" outlineLevel="0" collapsed="false">
      <c r="A757" s="22" t="s">
        <v>12917</v>
      </c>
      <c r="B757" s="23" t="n">
        <v>46235</v>
      </c>
      <c r="C757" s="22" t="s">
        <v>12918</v>
      </c>
      <c r="D757" s="22" t="s">
        <v>2329</v>
      </c>
      <c r="E757" s="22" t="s">
        <v>8145</v>
      </c>
      <c r="F757" s="22" t="s">
        <v>499</v>
      </c>
      <c r="G757" s="22" t="s">
        <v>8601</v>
      </c>
      <c r="H757" s="22" t="s">
        <v>11406</v>
      </c>
      <c r="I757" s="22" t="n">
        <v>49</v>
      </c>
      <c r="J757" s="22" t="n">
        <v>1</v>
      </c>
      <c r="K757" s="22" t="n">
        <v>49</v>
      </c>
      <c r="L757" s="25" t="n">
        <v>7.55</v>
      </c>
      <c r="M757" s="25" t="n">
        <v>369.95</v>
      </c>
      <c r="N757" s="25" t="n">
        <v>47.5</v>
      </c>
      <c r="O757" s="25" t="n">
        <v>417.45</v>
      </c>
      <c r="P757" s="22" t="s">
        <v>11407</v>
      </c>
      <c r="Q757" s="23" t="n">
        <v>46249</v>
      </c>
      <c r="R757" s="22" t="n">
        <f aca="false">I757*J757</f>
        <v>49</v>
      </c>
      <c r="S757" s="25" t="n">
        <f aca="false">K757-R757</f>
        <v>0</v>
      </c>
      <c r="T757" s="25" t="n">
        <f aca="false">K757*L757</f>
        <v>369.95</v>
      </c>
      <c r="U757" s="25" t="n">
        <f aca="false">M757-T757</f>
        <v>0</v>
      </c>
      <c r="V757" s="25" t="n">
        <f aca="false">M757+N757</f>
        <v>417.45</v>
      </c>
      <c r="W757" s="25" t="n">
        <f aca="false">O757-V757</f>
        <v>0</v>
      </c>
      <c r="X757" s="22" t="str">
        <f aca="false">IF(OR(ABS(S757)&gt;0.005,ABS(U757)&gt;0.005,ABS(W757)&gt;0.005),"Subledger arithmetic error","OK")</f>
        <v>OK</v>
      </c>
      <c r="Y757" s="22" t="str">
        <f aca="false">IF(X757="OK","","Priority 3")</f>
        <v/>
      </c>
    </row>
    <row r="758" customFormat="false" ht="15" hidden="false" customHeight="false" outlineLevel="0" collapsed="false">
      <c r="A758" s="22" t="s">
        <v>12919</v>
      </c>
      <c r="B758" s="23" t="n">
        <v>46235</v>
      </c>
      <c r="C758" s="22" t="s">
        <v>12920</v>
      </c>
      <c r="D758" s="22" t="s">
        <v>954</v>
      </c>
      <c r="E758" s="22" t="s">
        <v>8146</v>
      </c>
      <c r="F758" s="22" t="s">
        <v>499</v>
      </c>
      <c r="G758" s="22" t="s">
        <v>8601</v>
      </c>
      <c r="H758" s="22" t="s">
        <v>11406</v>
      </c>
      <c r="I758" s="22" t="n">
        <v>36</v>
      </c>
      <c r="J758" s="22" t="n">
        <v>1</v>
      </c>
      <c r="K758" s="22" t="n">
        <v>36</v>
      </c>
      <c r="L758" s="25" t="n">
        <v>7.55</v>
      </c>
      <c r="M758" s="25" t="n">
        <v>271.8</v>
      </c>
      <c r="N758" s="25" t="n">
        <v>34.9</v>
      </c>
      <c r="O758" s="25" t="n">
        <v>306.7</v>
      </c>
      <c r="P758" s="22" t="s">
        <v>11407</v>
      </c>
      <c r="Q758" s="23" t="n">
        <v>46249</v>
      </c>
      <c r="R758" s="22" t="n">
        <f aca="false">I758*J758</f>
        <v>36</v>
      </c>
      <c r="S758" s="25" t="n">
        <f aca="false">K758-R758</f>
        <v>0</v>
      </c>
      <c r="T758" s="25" t="n">
        <f aca="false">K758*L758</f>
        <v>271.8</v>
      </c>
      <c r="U758" s="25" t="n">
        <f aca="false">M758-T758</f>
        <v>0</v>
      </c>
      <c r="V758" s="25" t="n">
        <f aca="false">M758+N758</f>
        <v>306.7</v>
      </c>
      <c r="W758" s="25" t="n">
        <f aca="false">O758-V758</f>
        <v>0</v>
      </c>
      <c r="X758" s="22" t="str">
        <f aca="false">IF(OR(ABS(S758)&gt;0.005,ABS(U758)&gt;0.005,ABS(W758)&gt;0.005),"Subledger arithmetic error","OK")</f>
        <v>OK</v>
      </c>
      <c r="Y758" s="22" t="str">
        <f aca="false">IF(X758="OK","","Priority 3")</f>
        <v/>
      </c>
    </row>
    <row r="759" customFormat="false" ht="15" hidden="false" customHeight="false" outlineLevel="0" collapsed="false">
      <c r="A759" s="22" t="s">
        <v>12921</v>
      </c>
      <c r="B759" s="23" t="n">
        <v>46235</v>
      </c>
      <c r="C759" s="22" t="s">
        <v>12922</v>
      </c>
      <c r="D759" s="22" t="s">
        <v>6273</v>
      </c>
      <c r="E759" s="22" t="s">
        <v>8147</v>
      </c>
      <c r="F759" s="22" t="s">
        <v>499</v>
      </c>
      <c r="G759" s="22" t="s">
        <v>8601</v>
      </c>
      <c r="H759" s="22" t="s">
        <v>11406</v>
      </c>
      <c r="I759" s="22" t="n">
        <v>60</v>
      </c>
      <c r="J759" s="22" t="n">
        <v>1</v>
      </c>
      <c r="K759" s="22" t="n">
        <v>60</v>
      </c>
      <c r="L759" s="25" t="n">
        <v>7.55</v>
      </c>
      <c r="M759" s="25" t="n">
        <v>453</v>
      </c>
      <c r="N759" s="25" t="n">
        <v>58.17</v>
      </c>
      <c r="O759" s="25" t="n">
        <v>511.17</v>
      </c>
      <c r="P759" s="22" t="s">
        <v>11407</v>
      </c>
      <c r="Q759" s="23" t="n">
        <v>46249</v>
      </c>
      <c r="R759" s="22" t="n">
        <f aca="false">I759*J759</f>
        <v>60</v>
      </c>
      <c r="S759" s="25" t="n">
        <f aca="false">K759-R759</f>
        <v>0</v>
      </c>
      <c r="T759" s="25" t="n">
        <f aca="false">K759*L759</f>
        <v>453</v>
      </c>
      <c r="U759" s="25" t="n">
        <f aca="false">M759-T759</f>
        <v>0</v>
      </c>
      <c r="V759" s="25" t="n">
        <f aca="false">M759+N759</f>
        <v>511.17</v>
      </c>
      <c r="W759" s="25" t="n">
        <f aca="false">O759-V759</f>
        <v>0</v>
      </c>
      <c r="X759" s="22" t="str">
        <f aca="false">IF(OR(ABS(S759)&gt;0.005,ABS(U759)&gt;0.005,ABS(W759)&gt;0.005),"Subledger arithmetic error","OK")</f>
        <v>OK</v>
      </c>
      <c r="Y759" s="22" t="str">
        <f aca="false">IF(X759="OK","","Priority 3")</f>
        <v/>
      </c>
    </row>
    <row r="760" customFormat="false" ht="15" hidden="false" customHeight="false" outlineLevel="0" collapsed="false">
      <c r="A760" s="22" t="s">
        <v>12923</v>
      </c>
      <c r="B760" s="23" t="n">
        <v>46235</v>
      </c>
      <c r="C760" s="22" t="s">
        <v>12924</v>
      </c>
      <c r="D760" s="22" t="s">
        <v>2361</v>
      </c>
      <c r="E760" s="22" t="s">
        <v>8148</v>
      </c>
      <c r="F760" s="22" t="s">
        <v>499</v>
      </c>
      <c r="G760" s="22" t="s">
        <v>8601</v>
      </c>
      <c r="H760" s="22" t="s">
        <v>11406</v>
      </c>
      <c r="I760" s="22" t="n">
        <v>45</v>
      </c>
      <c r="J760" s="22" t="n">
        <v>1</v>
      </c>
      <c r="K760" s="22" t="n">
        <v>45</v>
      </c>
      <c r="L760" s="25" t="n">
        <v>7.55</v>
      </c>
      <c r="M760" s="25" t="n">
        <v>339.75</v>
      </c>
      <c r="N760" s="25" t="n">
        <v>43.62</v>
      </c>
      <c r="O760" s="25" t="n">
        <v>383.37</v>
      </c>
      <c r="P760" s="22" t="s">
        <v>11407</v>
      </c>
      <c r="Q760" s="23" t="n">
        <v>46249</v>
      </c>
      <c r="R760" s="22" t="n">
        <f aca="false">I760*J760</f>
        <v>45</v>
      </c>
      <c r="S760" s="25" t="n">
        <f aca="false">K760-R760</f>
        <v>0</v>
      </c>
      <c r="T760" s="25" t="n">
        <f aca="false">K760*L760</f>
        <v>339.75</v>
      </c>
      <c r="U760" s="25" t="n">
        <f aca="false">M760-T760</f>
        <v>0</v>
      </c>
      <c r="V760" s="25" t="n">
        <f aca="false">M760+N760</f>
        <v>383.37</v>
      </c>
      <c r="W760" s="25" t="n">
        <f aca="false">O760-V760</f>
        <v>0</v>
      </c>
      <c r="X760" s="22" t="str">
        <f aca="false">IF(OR(ABS(S760)&gt;0.005,ABS(U760)&gt;0.005,ABS(W760)&gt;0.005),"Subledger arithmetic error","OK")</f>
        <v>OK</v>
      </c>
      <c r="Y760" s="22" t="str">
        <f aca="false">IF(X760="OK","","Priority 3")</f>
        <v/>
      </c>
    </row>
    <row r="761" customFormat="false" ht="15" hidden="false" customHeight="false" outlineLevel="0" collapsed="false">
      <c r="A761" s="22" t="s">
        <v>12925</v>
      </c>
      <c r="B761" s="23" t="n">
        <v>46235</v>
      </c>
      <c r="C761" s="22" t="s">
        <v>12926</v>
      </c>
      <c r="D761" s="22" t="s">
        <v>4668</v>
      </c>
      <c r="E761" s="22" t="s">
        <v>8149</v>
      </c>
      <c r="F761" s="22" t="s">
        <v>499</v>
      </c>
      <c r="G761" s="22" t="s">
        <v>8601</v>
      </c>
      <c r="H761" s="22" t="s">
        <v>11406</v>
      </c>
      <c r="I761" s="22" t="n">
        <v>48</v>
      </c>
      <c r="J761" s="22" t="n">
        <v>1</v>
      </c>
      <c r="K761" s="22" t="n">
        <v>48</v>
      </c>
      <c r="L761" s="25" t="n">
        <v>7.55</v>
      </c>
      <c r="M761" s="25" t="n">
        <v>362.4</v>
      </c>
      <c r="N761" s="25" t="n">
        <v>46.53</v>
      </c>
      <c r="O761" s="25" t="n">
        <v>408.93</v>
      </c>
      <c r="P761" s="22" t="s">
        <v>11407</v>
      </c>
      <c r="Q761" s="23" t="n">
        <v>46249</v>
      </c>
      <c r="R761" s="22" t="n">
        <f aca="false">I761*J761</f>
        <v>48</v>
      </c>
      <c r="S761" s="25" t="n">
        <f aca="false">K761-R761</f>
        <v>0</v>
      </c>
      <c r="T761" s="25" t="n">
        <f aca="false">K761*L761</f>
        <v>362.4</v>
      </c>
      <c r="U761" s="25" t="n">
        <f aca="false">M761-T761</f>
        <v>0</v>
      </c>
      <c r="V761" s="25" t="n">
        <f aca="false">M761+N761</f>
        <v>408.93</v>
      </c>
      <c r="W761" s="25" t="n">
        <f aca="false">O761-V761</f>
        <v>0</v>
      </c>
      <c r="X761" s="22" t="str">
        <f aca="false">IF(OR(ABS(S761)&gt;0.005,ABS(U761)&gt;0.005,ABS(W761)&gt;0.005),"Subledger arithmetic error","OK")</f>
        <v>OK</v>
      </c>
      <c r="Y761" s="22" t="str">
        <f aca="false">IF(X761="OK","","Priority 3")</f>
        <v/>
      </c>
    </row>
    <row r="762" customFormat="false" ht="15" hidden="false" customHeight="false" outlineLevel="0" collapsed="false">
      <c r="A762" s="22" t="s">
        <v>12927</v>
      </c>
      <c r="B762" s="23" t="n">
        <v>46235</v>
      </c>
      <c r="C762" s="22" t="s">
        <v>12928</v>
      </c>
      <c r="D762" s="22" t="s">
        <v>2006</v>
      </c>
      <c r="E762" s="22" t="s">
        <v>8151</v>
      </c>
      <c r="F762" s="22" t="s">
        <v>499</v>
      </c>
      <c r="G762" s="22" t="s">
        <v>8601</v>
      </c>
      <c r="H762" s="22" t="s">
        <v>11406</v>
      </c>
      <c r="I762" s="22" t="n">
        <v>32</v>
      </c>
      <c r="J762" s="22" t="n">
        <v>1</v>
      </c>
      <c r="K762" s="22" t="n">
        <v>32</v>
      </c>
      <c r="L762" s="25" t="n">
        <v>7.55</v>
      </c>
      <c r="M762" s="25" t="n">
        <v>241.6</v>
      </c>
      <c r="N762" s="25" t="n">
        <v>31.02</v>
      </c>
      <c r="O762" s="25" t="n">
        <v>272.62</v>
      </c>
      <c r="P762" s="22" t="s">
        <v>11407</v>
      </c>
      <c r="Q762" s="23" t="n">
        <v>46249</v>
      </c>
      <c r="R762" s="22" t="n">
        <f aca="false">I762*J762</f>
        <v>32</v>
      </c>
      <c r="S762" s="25" t="n">
        <f aca="false">K762-R762</f>
        <v>0</v>
      </c>
      <c r="T762" s="25" t="n">
        <f aca="false">K762*L762</f>
        <v>241.6</v>
      </c>
      <c r="U762" s="25" t="n">
        <f aca="false">M762-T762</f>
        <v>0</v>
      </c>
      <c r="V762" s="25" t="n">
        <f aca="false">M762+N762</f>
        <v>272.62</v>
      </c>
      <c r="W762" s="25" t="n">
        <f aca="false">O762-V762</f>
        <v>0</v>
      </c>
      <c r="X762" s="22" t="str">
        <f aca="false">IF(OR(ABS(S762)&gt;0.005,ABS(U762)&gt;0.005,ABS(W762)&gt;0.005),"Subledger arithmetic error","OK")</f>
        <v>OK</v>
      </c>
      <c r="Y762" s="22" t="str">
        <f aca="false">IF(X762="OK","","Priority 3")</f>
        <v/>
      </c>
    </row>
    <row r="763" customFormat="false" ht="15" hidden="false" customHeight="false" outlineLevel="0" collapsed="false">
      <c r="A763" s="22" t="s">
        <v>12929</v>
      </c>
      <c r="B763" s="23" t="n">
        <v>46235</v>
      </c>
      <c r="C763" s="22" t="s">
        <v>12930</v>
      </c>
      <c r="D763" s="22" t="s">
        <v>3551</v>
      </c>
      <c r="E763" s="22" t="s">
        <v>8152</v>
      </c>
      <c r="F763" s="22" t="s">
        <v>499</v>
      </c>
      <c r="G763" s="22" t="s">
        <v>8601</v>
      </c>
      <c r="H763" s="22" t="s">
        <v>11406</v>
      </c>
      <c r="I763" s="22" t="n">
        <v>53</v>
      </c>
      <c r="J763" s="22" t="n">
        <v>1</v>
      </c>
      <c r="K763" s="22" t="n">
        <v>53</v>
      </c>
      <c r="L763" s="25" t="n">
        <v>7.55</v>
      </c>
      <c r="M763" s="25" t="n">
        <v>400.15</v>
      </c>
      <c r="N763" s="25" t="n">
        <v>51.38</v>
      </c>
      <c r="O763" s="25" t="n">
        <v>451.53</v>
      </c>
      <c r="P763" s="22" t="s">
        <v>11407</v>
      </c>
      <c r="Q763" s="23" t="n">
        <v>46249</v>
      </c>
      <c r="R763" s="22" t="n">
        <f aca="false">I763*J763</f>
        <v>53</v>
      </c>
      <c r="S763" s="25" t="n">
        <f aca="false">K763-R763</f>
        <v>0</v>
      </c>
      <c r="T763" s="25" t="n">
        <f aca="false">K763*L763</f>
        <v>400.15</v>
      </c>
      <c r="U763" s="25" t="n">
        <f aca="false">M763-T763</f>
        <v>0</v>
      </c>
      <c r="V763" s="25" t="n">
        <f aca="false">M763+N763</f>
        <v>451.53</v>
      </c>
      <c r="W763" s="25" t="n">
        <f aca="false">O763-V763</f>
        <v>0</v>
      </c>
      <c r="X763" s="22" t="str">
        <f aca="false">IF(OR(ABS(S763)&gt;0.005,ABS(U763)&gt;0.005,ABS(W763)&gt;0.005),"Subledger arithmetic error","OK")</f>
        <v>OK</v>
      </c>
      <c r="Y763" s="22" t="str">
        <f aca="false">IF(X763="OK","","Priority 3")</f>
        <v/>
      </c>
    </row>
    <row r="764" customFormat="false" ht="15" hidden="false" customHeight="false" outlineLevel="0" collapsed="false">
      <c r="A764" s="22" t="s">
        <v>12931</v>
      </c>
      <c r="B764" s="23" t="n">
        <v>46235</v>
      </c>
      <c r="C764" s="22" t="s">
        <v>12932</v>
      </c>
      <c r="D764" s="22" t="s">
        <v>5024</v>
      </c>
      <c r="E764" s="22" t="s">
        <v>8154</v>
      </c>
      <c r="F764" s="22" t="s">
        <v>499</v>
      </c>
      <c r="G764" s="22" t="s">
        <v>8601</v>
      </c>
      <c r="H764" s="22" t="s">
        <v>11406</v>
      </c>
      <c r="I764" s="22" t="n">
        <v>29</v>
      </c>
      <c r="J764" s="22" t="n">
        <v>1</v>
      </c>
      <c r="K764" s="22" t="n">
        <v>29</v>
      </c>
      <c r="L764" s="25" t="n">
        <v>7.55</v>
      </c>
      <c r="M764" s="25" t="n">
        <v>218.95</v>
      </c>
      <c r="N764" s="25" t="n">
        <v>28.11</v>
      </c>
      <c r="O764" s="25" t="n">
        <v>247.06</v>
      </c>
      <c r="P764" s="22" t="s">
        <v>11407</v>
      </c>
      <c r="Q764" s="23" t="n">
        <v>46249</v>
      </c>
      <c r="R764" s="22" t="n">
        <f aca="false">I764*J764</f>
        <v>29</v>
      </c>
      <c r="S764" s="25" t="n">
        <f aca="false">K764-R764</f>
        <v>0</v>
      </c>
      <c r="T764" s="25" t="n">
        <f aca="false">K764*L764</f>
        <v>218.95</v>
      </c>
      <c r="U764" s="25" t="n">
        <f aca="false">M764-T764</f>
        <v>0</v>
      </c>
      <c r="V764" s="25" t="n">
        <f aca="false">M764+N764</f>
        <v>247.06</v>
      </c>
      <c r="W764" s="25" t="n">
        <f aca="false">O764-V764</f>
        <v>0</v>
      </c>
      <c r="X764" s="22" t="str">
        <f aca="false">IF(OR(ABS(S764)&gt;0.005,ABS(U764)&gt;0.005,ABS(W764)&gt;0.005),"Subledger arithmetic error","OK")</f>
        <v>OK</v>
      </c>
      <c r="Y764" s="22" t="str">
        <f aca="false">IF(X764="OK","","Priority 3")</f>
        <v/>
      </c>
    </row>
    <row r="765" customFormat="false" ht="15" hidden="false" customHeight="false" outlineLevel="0" collapsed="false">
      <c r="A765" s="22" t="s">
        <v>12933</v>
      </c>
      <c r="B765" s="23" t="n">
        <v>46235</v>
      </c>
      <c r="C765" s="22" t="s">
        <v>12934</v>
      </c>
      <c r="D765" s="22" t="s">
        <v>6329</v>
      </c>
      <c r="E765" s="22" t="s">
        <v>8155</v>
      </c>
      <c r="F765" s="22" t="s">
        <v>499</v>
      </c>
      <c r="G765" s="22" t="s">
        <v>8601</v>
      </c>
      <c r="H765" s="22" t="s">
        <v>11406</v>
      </c>
      <c r="I765" s="22" t="n">
        <v>32</v>
      </c>
      <c r="J765" s="22" t="n">
        <v>1</v>
      </c>
      <c r="K765" s="22" t="n">
        <v>32</v>
      </c>
      <c r="L765" s="25" t="n">
        <v>7.55</v>
      </c>
      <c r="M765" s="25" t="n">
        <v>241.6</v>
      </c>
      <c r="N765" s="25" t="n">
        <v>31.02</v>
      </c>
      <c r="O765" s="25" t="n">
        <v>272.62</v>
      </c>
      <c r="P765" s="22" t="s">
        <v>11407</v>
      </c>
      <c r="Q765" s="23" t="n">
        <v>46249</v>
      </c>
      <c r="R765" s="22" t="n">
        <f aca="false">I765*J765</f>
        <v>32</v>
      </c>
      <c r="S765" s="25" t="n">
        <f aca="false">K765-R765</f>
        <v>0</v>
      </c>
      <c r="T765" s="25" t="n">
        <f aca="false">K765*L765</f>
        <v>241.6</v>
      </c>
      <c r="U765" s="25" t="n">
        <f aca="false">M765-T765</f>
        <v>0</v>
      </c>
      <c r="V765" s="25" t="n">
        <f aca="false">M765+N765</f>
        <v>272.62</v>
      </c>
      <c r="W765" s="25" t="n">
        <f aca="false">O765-V765</f>
        <v>0</v>
      </c>
      <c r="X765" s="22" t="str">
        <f aca="false">IF(OR(ABS(S765)&gt;0.005,ABS(U765)&gt;0.005,ABS(W765)&gt;0.005),"Subledger arithmetic error","OK")</f>
        <v>OK</v>
      </c>
      <c r="Y765" s="22" t="str">
        <f aca="false">IF(X765="OK","","Priority 3")</f>
        <v/>
      </c>
    </row>
    <row r="766" customFormat="false" ht="15" hidden="false" customHeight="false" outlineLevel="0" collapsed="false">
      <c r="A766" s="22" t="s">
        <v>12935</v>
      </c>
      <c r="B766" s="23" t="n">
        <v>46235</v>
      </c>
      <c r="C766" s="22" t="s">
        <v>12936</v>
      </c>
      <c r="D766" s="22" t="s">
        <v>550</v>
      </c>
      <c r="E766" s="22" t="s">
        <v>8156</v>
      </c>
      <c r="F766" s="22" t="s">
        <v>499</v>
      </c>
      <c r="G766" s="22" t="s">
        <v>8601</v>
      </c>
      <c r="H766" s="22" t="s">
        <v>11406</v>
      </c>
      <c r="I766" s="22" t="n">
        <v>28</v>
      </c>
      <c r="J766" s="22" t="n">
        <v>1</v>
      </c>
      <c r="K766" s="22" t="n">
        <v>28</v>
      </c>
      <c r="L766" s="25" t="n">
        <v>7.55</v>
      </c>
      <c r="M766" s="25" t="n">
        <v>211.4</v>
      </c>
      <c r="N766" s="25" t="n">
        <v>27.14</v>
      </c>
      <c r="O766" s="25" t="n">
        <v>238.54</v>
      </c>
      <c r="P766" s="22" t="s">
        <v>11407</v>
      </c>
      <c r="Q766" s="23" t="n">
        <v>46249</v>
      </c>
      <c r="R766" s="22" t="n">
        <f aca="false">I766*J766</f>
        <v>28</v>
      </c>
      <c r="S766" s="25" t="n">
        <f aca="false">K766-R766</f>
        <v>0</v>
      </c>
      <c r="T766" s="25" t="n">
        <f aca="false">K766*L766</f>
        <v>211.4</v>
      </c>
      <c r="U766" s="25" t="n">
        <f aca="false">M766-T766</f>
        <v>0</v>
      </c>
      <c r="V766" s="25" t="n">
        <f aca="false">M766+N766</f>
        <v>238.54</v>
      </c>
      <c r="W766" s="25" t="n">
        <f aca="false">O766-V766</f>
        <v>0</v>
      </c>
      <c r="X766" s="22" t="str">
        <f aca="false">IF(OR(ABS(S766)&gt;0.005,ABS(U766)&gt;0.005,ABS(W766)&gt;0.005),"Subledger arithmetic error","OK")</f>
        <v>OK</v>
      </c>
      <c r="Y766" s="22" t="str">
        <f aca="false">IF(X766="OK","","Priority 3")</f>
        <v/>
      </c>
    </row>
    <row r="767" customFormat="false" ht="15" hidden="false" customHeight="false" outlineLevel="0" collapsed="false">
      <c r="A767" s="22" t="s">
        <v>12937</v>
      </c>
      <c r="B767" s="23" t="n">
        <v>46235</v>
      </c>
      <c r="C767" s="22" t="s">
        <v>12938</v>
      </c>
      <c r="D767" s="22" t="s">
        <v>748</v>
      </c>
      <c r="E767" s="22" t="s">
        <v>8157</v>
      </c>
      <c r="F767" s="22" t="s">
        <v>499</v>
      </c>
      <c r="G767" s="22" t="s">
        <v>8601</v>
      </c>
      <c r="H767" s="22" t="s">
        <v>11406</v>
      </c>
      <c r="I767" s="22" t="n">
        <v>80</v>
      </c>
      <c r="J767" s="22" t="n">
        <v>1</v>
      </c>
      <c r="K767" s="22" t="n">
        <v>80</v>
      </c>
      <c r="L767" s="25" t="n">
        <v>7.55</v>
      </c>
      <c r="M767" s="25" t="n">
        <v>604</v>
      </c>
      <c r="N767" s="25" t="n">
        <v>77.55</v>
      </c>
      <c r="O767" s="25" t="n">
        <v>681.55</v>
      </c>
      <c r="P767" s="22" t="s">
        <v>11407</v>
      </c>
      <c r="Q767" s="23" t="n">
        <v>46249</v>
      </c>
      <c r="R767" s="22" t="n">
        <f aca="false">I767*J767</f>
        <v>80</v>
      </c>
      <c r="S767" s="25" t="n">
        <f aca="false">K767-R767</f>
        <v>0</v>
      </c>
      <c r="T767" s="25" t="n">
        <f aca="false">K767*L767</f>
        <v>604</v>
      </c>
      <c r="U767" s="25" t="n">
        <f aca="false">M767-T767</f>
        <v>0</v>
      </c>
      <c r="V767" s="25" t="n">
        <f aca="false">M767+N767</f>
        <v>681.55</v>
      </c>
      <c r="W767" s="25" t="n">
        <f aca="false">O767-V767</f>
        <v>0</v>
      </c>
      <c r="X767" s="22" t="str">
        <f aca="false">IF(OR(ABS(S767)&gt;0.005,ABS(U767)&gt;0.005,ABS(W767)&gt;0.005),"Subledger arithmetic error","OK")</f>
        <v>OK</v>
      </c>
      <c r="Y767" s="22" t="str">
        <f aca="false">IF(X767="OK","","Priority 3")</f>
        <v/>
      </c>
    </row>
    <row r="768" customFormat="false" ht="15" hidden="false" customHeight="false" outlineLevel="0" collapsed="false">
      <c r="A768" s="22" t="s">
        <v>12939</v>
      </c>
      <c r="B768" s="23" t="n">
        <v>46235</v>
      </c>
      <c r="C768" s="22" t="s">
        <v>12940</v>
      </c>
      <c r="D768" s="22" t="s">
        <v>6337</v>
      </c>
      <c r="E768" s="22" t="s">
        <v>8158</v>
      </c>
      <c r="F768" s="22" t="s">
        <v>499</v>
      </c>
      <c r="G768" s="22" t="s">
        <v>8601</v>
      </c>
      <c r="H768" s="22" t="s">
        <v>11406</v>
      </c>
      <c r="I768" s="22" t="n">
        <v>80</v>
      </c>
      <c r="J768" s="22" t="n">
        <v>1</v>
      </c>
      <c r="K768" s="22" t="n">
        <v>80</v>
      </c>
      <c r="L768" s="25" t="n">
        <v>7.55</v>
      </c>
      <c r="M768" s="25" t="n">
        <v>604</v>
      </c>
      <c r="N768" s="25" t="n">
        <v>77.55</v>
      </c>
      <c r="O768" s="25" t="n">
        <v>681.55</v>
      </c>
      <c r="P768" s="22" t="s">
        <v>11407</v>
      </c>
      <c r="Q768" s="23" t="n">
        <v>46249</v>
      </c>
      <c r="R768" s="22" t="n">
        <f aca="false">I768*J768</f>
        <v>80</v>
      </c>
      <c r="S768" s="25" t="n">
        <f aca="false">K768-R768</f>
        <v>0</v>
      </c>
      <c r="T768" s="25" t="n">
        <f aca="false">K768*L768</f>
        <v>604</v>
      </c>
      <c r="U768" s="25" t="n">
        <f aca="false">M768-T768</f>
        <v>0</v>
      </c>
      <c r="V768" s="25" t="n">
        <f aca="false">M768+N768</f>
        <v>681.55</v>
      </c>
      <c r="W768" s="25" t="n">
        <f aca="false">O768-V768</f>
        <v>0</v>
      </c>
      <c r="X768" s="22" t="str">
        <f aca="false">IF(OR(ABS(S768)&gt;0.005,ABS(U768)&gt;0.005,ABS(W768)&gt;0.005),"Subledger arithmetic error","OK")</f>
        <v>OK</v>
      </c>
      <c r="Y768" s="22" t="str">
        <f aca="false">IF(X768="OK","","Priority 3")</f>
        <v/>
      </c>
    </row>
    <row r="769" customFormat="false" ht="15" hidden="false" customHeight="false" outlineLevel="0" collapsed="false">
      <c r="A769" s="22" t="s">
        <v>12941</v>
      </c>
      <c r="B769" s="23" t="n">
        <v>46235</v>
      </c>
      <c r="C769" s="22" t="s">
        <v>12942</v>
      </c>
      <c r="D769" s="22" t="s">
        <v>2760</v>
      </c>
      <c r="E769" s="22" t="s">
        <v>8159</v>
      </c>
      <c r="F769" s="22" t="s">
        <v>499</v>
      </c>
      <c r="G769" s="22" t="s">
        <v>8601</v>
      </c>
      <c r="H769" s="22" t="s">
        <v>11406</v>
      </c>
      <c r="I769" s="22" t="n">
        <v>42</v>
      </c>
      <c r="J769" s="22" t="n">
        <v>1</v>
      </c>
      <c r="K769" s="22" t="n">
        <v>42</v>
      </c>
      <c r="L769" s="25" t="n">
        <v>7.55</v>
      </c>
      <c r="M769" s="25" t="n">
        <v>317.1</v>
      </c>
      <c r="N769" s="25" t="n">
        <v>40.72</v>
      </c>
      <c r="O769" s="25" t="n">
        <v>357.82</v>
      </c>
      <c r="P769" s="22" t="s">
        <v>11407</v>
      </c>
      <c r="Q769" s="23" t="n">
        <v>46249</v>
      </c>
      <c r="R769" s="22" t="n">
        <f aca="false">I769*J769</f>
        <v>42</v>
      </c>
      <c r="S769" s="25" t="n">
        <f aca="false">K769-R769</f>
        <v>0</v>
      </c>
      <c r="T769" s="25" t="n">
        <f aca="false">K769*L769</f>
        <v>317.1</v>
      </c>
      <c r="U769" s="25" t="n">
        <f aca="false">M769-T769</f>
        <v>0</v>
      </c>
      <c r="V769" s="25" t="n">
        <f aca="false">M769+N769</f>
        <v>357.82</v>
      </c>
      <c r="W769" s="25" t="n">
        <f aca="false">O769-V769</f>
        <v>0</v>
      </c>
      <c r="X769" s="22" t="str">
        <f aca="false">IF(OR(ABS(S769)&gt;0.005,ABS(U769)&gt;0.005,ABS(W769)&gt;0.005),"Subledger arithmetic error","OK")</f>
        <v>OK</v>
      </c>
      <c r="Y769" s="22" t="str">
        <f aca="false">IF(X769="OK","","Priority 3")</f>
        <v/>
      </c>
    </row>
    <row r="770" customFormat="false" ht="15" hidden="false" customHeight="false" outlineLevel="0" collapsed="false">
      <c r="A770" s="22" t="s">
        <v>12943</v>
      </c>
      <c r="B770" s="23" t="n">
        <v>46235</v>
      </c>
      <c r="C770" s="22" t="s">
        <v>12944</v>
      </c>
      <c r="D770" s="22" t="s">
        <v>1377</v>
      </c>
      <c r="E770" s="22" t="s">
        <v>8160</v>
      </c>
      <c r="F770" s="22" t="s">
        <v>499</v>
      </c>
      <c r="G770" s="22" t="s">
        <v>8601</v>
      </c>
      <c r="H770" s="22" t="s">
        <v>11406</v>
      </c>
      <c r="I770" s="22" t="n">
        <v>40</v>
      </c>
      <c r="J770" s="22" t="n">
        <v>1</v>
      </c>
      <c r="K770" s="22" t="n">
        <v>40</v>
      </c>
      <c r="L770" s="25" t="n">
        <v>7.55</v>
      </c>
      <c r="M770" s="25" t="n">
        <v>302</v>
      </c>
      <c r="N770" s="25" t="n">
        <v>38.78</v>
      </c>
      <c r="O770" s="25" t="n">
        <v>340.78</v>
      </c>
      <c r="P770" s="22" t="s">
        <v>11407</v>
      </c>
      <c r="Q770" s="23" t="n">
        <v>46249</v>
      </c>
      <c r="R770" s="22" t="n">
        <f aca="false">I770*J770</f>
        <v>40</v>
      </c>
      <c r="S770" s="25" t="n">
        <f aca="false">K770-R770</f>
        <v>0</v>
      </c>
      <c r="T770" s="25" t="n">
        <f aca="false">K770*L770</f>
        <v>302</v>
      </c>
      <c r="U770" s="25" t="n">
        <f aca="false">M770-T770</f>
        <v>0</v>
      </c>
      <c r="V770" s="25" t="n">
        <f aca="false">M770+N770</f>
        <v>340.78</v>
      </c>
      <c r="W770" s="25" t="n">
        <f aca="false">O770-V770</f>
        <v>0</v>
      </c>
      <c r="X770" s="22" t="str">
        <f aca="false">IF(OR(ABS(S770)&gt;0.005,ABS(U770)&gt;0.005,ABS(W770)&gt;0.005),"Subledger arithmetic error","OK")</f>
        <v>OK</v>
      </c>
      <c r="Y770" s="22" t="str">
        <f aca="false">IF(X770="OK","","Priority 3")</f>
        <v/>
      </c>
    </row>
  </sheetData>
  <autoFilter ref="A1:Y770"/>
  <printOptions headings="false" gridLines="false" gridLinesSet="true" horizontalCentered="false" verticalCentered="false"/>
  <pageMargins left="0.25" right="0.25" top="0.45" bottom="0.45" header="0.511811023622047" footer="0.2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&amp;C&amp;7 Page &amp;P of &amp;N&amp;R&amp;7 Chaldale Harbor District | 2026-08-07</oddFooter>
  </headerFooter>
  <drawing r:id="rId1"/>
  <tableParts>
    <tablePart r:id="rId2"/>
  </tableParts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C7C86"/>
    <pageSetUpPr fitToPage="true"/>
  </sheetPr>
  <dimension ref="A1:S109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customHeight="true" zeroHeight="false" outlineLevelRow="0" outlineLevelCol="0"/>
  <cols>
    <col collapsed="false" customWidth="true" hidden="false" outlineLevel="0" max="1" min="1" style="0" width="13"/>
    <col collapsed="false" customWidth="true" hidden="false" outlineLevel="0" max="2" min="2" style="0" width="14"/>
    <col collapsed="false" customWidth="true" hidden="false" outlineLevel="0" max="3" min="3" style="0" width="12"/>
    <col collapsed="false" customWidth="true" hidden="false" outlineLevel="0" max="5" min="4" style="0" width="11"/>
    <col collapsed="false" customWidth="true" hidden="false" outlineLevel="0" max="6" min="6" style="0" width="12"/>
    <col collapsed="false" customWidth="true" hidden="false" outlineLevel="0" max="7" min="7" style="0" width="14"/>
    <col collapsed="false" customWidth="true" hidden="false" outlineLevel="0" max="8" min="8" style="0" width="23"/>
    <col collapsed="false" customWidth="true" hidden="false" outlineLevel="0" max="9" min="9" style="0" width="21"/>
    <col collapsed="false" customWidth="true" hidden="false" outlineLevel="0" max="11" min="10" style="0" width="11"/>
    <col collapsed="false" customWidth="true" hidden="false" outlineLevel="0" max="12" min="12" style="0" width="13"/>
    <col collapsed="false" customWidth="true" hidden="false" outlineLevel="0" max="13" min="13" style="0" width="12"/>
    <col collapsed="false" customWidth="true" hidden="false" outlineLevel="0" max="14" min="14" style="0" width="14"/>
    <col collapsed="false" customWidth="true" hidden="false" outlineLevel="0" max="15" min="15" style="0" width="12"/>
    <col collapsed="false" customWidth="true" hidden="false" outlineLevel="0" max="16" min="16" style="0" width="14"/>
    <col collapsed="false" customWidth="true" hidden="false" outlineLevel="0" max="17" min="17" style="0" width="17"/>
    <col collapsed="false" customWidth="true" hidden="false" outlineLevel="0" max="18" min="18" style="0" width="32"/>
    <col collapsed="false" customWidth="true" hidden="false" outlineLevel="0" max="19" min="19" style="0" width="36"/>
  </cols>
  <sheetData>
    <row r="1" customFormat="false" ht="33.75" hidden="false" customHeight="true" outlineLevel="0" collapsed="false">
      <c r="A1" s="1" t="s">
        <v>12945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 customFormat="false" ht="27.75" hidden="false" customHeight="true" outlineLevel="0" collapsed="false">
      <c r="A2" s="2" t="s">
        <v>12946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</row>
    <row r="3" customFormat="false" ht="30" hidden="false" customHeight="true" outlineLevel="0" collapsed="false">
      <c r="A3" s="24" t="s">
        <v>12947</v>
      </c>
      <c r="B3" s="24"/>
      <c r="C3" s="24"/>
      <c r="D3" s="24"/>
      <c r="E3" s="24"/>
      <c r="F3" s="24"/>
      <c r="G3" s="24"/>
      <c r="H3" s="24"/>
      <c r="I3" s="24"/>
      <c r="J3" s="24"/>
      <c r="K3" s="24"/>
      <c r="L3" s="24"/>
      <c r="M3" s="24"/>
      <c r="N3" s="24"/>
      <c r="O3" s="24"/>
      <c r="P3" s="24"/>
      <c r="Q3" s="24"/>
      <c r="R3" s="24"/>
      <c r="S3" s="24"/>
    </row>
    <row r="5" customFormat="false" ht="30" hidden="false" customHeight="true" outlineLevel="0" collapsed="false">
      <c r="A5" s="13" t="s">
        <v>6556</v>
      </c>
      <c r="B5" s="13" t="s">
        <v>6557</v>
      </c>
      <c r="C5" s="13" t="s">
        <v>6558</v>
      </c>
      <c r="D5" s="13" t="s">
        <v>6560</v>
      </c>
      <c r="E5" s="13" t="s">
        <v>6562</v>
      </c>
      <c r="F5" s="13" t="s">
        <v>151</v>
      </c>
      <c r="G5" s="13" t="s">
        <v>6566</v>
      </c>
      <c r="H5" s="13" t="s">
        <v>6567</v>
      </c>
      <c r="I5" s="13" t="s">
        <v>152</v>
      </c>
      <c r="J5" s="13" t="s">
        <v>12948</v>
      </c>
      <c r="K5" s="13" t="s">
        <v>12949</v>
      </c>
      <c r="L5" s="13" t="s">
        <v>12950</v>
      </c>
      <c r="M5" s="13" t="s">
        <v>12951</v>
      </c>
      <c r="N5" s="13" t="s">
        <v>12952</v>
      </c>
      <c r="O5" s="13" t="s">
        <v>12953</v>
      </c>
      <c r="P5" s="13" t="s">
        <v>12954</v>
      </c>
      <c r="Q5" s="13" t="s">
        <v>12955</v>
      </c>
      <c r="R5" s="13" t="s">
        <v>12956</v>
      </c>
      <c r="S5" s="13" t="s">
        <v>12957</v>
      </c>
    </row>
    <row r="6" customFormat="false" ht="15" hidden="false" customHeight="false" outlineLevel="0" collapsed="false">
      <c r="A6" s="22" t="s">
        <v>6572</v>
      </c>
      <c r="B6" s="22" t="s">
        <v>198</v>
      </c>
      <c r="C6" s="22" t="s">
        <v>6562</v>
      </c>
      <c r="D6" s="22" t="n">
        <v>24</v>
      </c>
      <c r="E6" s="22" t="s">
        <v>6575</v>
      </c>
      <c r="F6" s="22" t="s">
        <v>6577</v>
      </c>
      <c r="G6" s="22" t="s">
        <v>3591</v>
      </c>
      <c r="H6" s="22" t="s">
        <v>3592</v>
      </c>
      <c r="I6" s="22" t="s">
        <v>1210</v>
      </c>
      <c r="J6" s="22" t="n">
        <v>51</v>
      </c>
      <c r="K6" s="22" t="n">
        <f aca="false">ROUNDUP(J6,0)</f>
        <v>51</v>
      </c>
      <c r="L6" s="22" t="n">
        <f aca="false">MAX(D6,K6)</f>
        <v>51</v>
      </c>
      <c r="M6" s="25" t="n">
        <f aca="false">IF(E6="COVERED",'Controls &amp; Sources'!$B$5,'Controls &amp; Sources'!$B$6)</f>
        <v>10.4</v>
      </c>
      <c r="N6" s="25" t="n">
        <f aca="false">L6*M6</f>
        <v>530.4</v>
      </c>
      <c r="O6" s="22" t="n">
        <f aca="false">COUNTIFS('Billing Actual'!$E$2:$E$770,A6,'Billing Actual'!$B$2:$B$770,'Controls &amp; Sources'!$B$7)</f>
        <v>1</v>
      </c>
      <c r="P6" s="25" t="n">
        <f aca="false">SUMIFS('Billing Actual'!$M$2:$M$770,'Billing Actual'!$E$2:$E$770,A6,'Billing Actual'!$B$2:$B$770,'Controls &amp; Sources'!$B$7)</f>
        <v>530.4</v>
      </c>
      <c r="Q6" s="25" t="n">
        <f aca="false">P6-N6</f>
        <v>0</v>
      </c>
      <c r="R6" s="22" t="str">
        <f aca="false">IF(O6=0,"No August moorage transaction",IF(O6&gt;1,"Duplicate August transactions",IF(ABS(Q6)&gt;0.005,"Charge variance","OK")))</f>
        <v>OK</v>
      </c>
      <c r="S6" s="22" t="str">
        <f aca="false">IF(R6="OK","","Billing completeness/reconciliation")</f>
        <v/>
      </c>
    </row>
    <row r="7" customFormat="false" ht="15" hidden="false" customHeight="false" outlineLevel="0" collapsed="false">
      <c r="A7" s="22" t="s">
        <v>6580</v>
      </c>
      <c r="B7" s="22" t="s">
        <v>198</v>
      </c>
      <c r="C7" s="22" t="s">
        <v>6562</v>
      </c>
      <c r="D7" s="22" t="n">
        <v>40</v>
      </c>
      <c r="E7" s="22" t="s">
        <v>6575</v>
      </c>
      <c r="F7" s="22" t="s">
        <v>6577</v>
      </c>
      <c r="G7" s="22" t="s">
        <v>3531</v>
      </c>
      <c r="H7" s="22" t="s">
        <v>3532</v>
      </c>
      <c r="I7" s="22" t="s">
        <v>629</v>
      </c>
      <c r="J7" s="22" t="n">
        <v>21.9</v>
      </c>
      <c r="K7" s="22" t="n">
        <f aca="false">ROUNDUP(J7,0)</f>
        <v>22</v>
      </c>
      <c r="L7" s="22" t="n">
        <f aca="false">MAX(D7,K7)</f>
        <v>40</v>
      </c>
      <c r="M7" s="25" t="n">
        <f aca="false">IF(E7="COVERED",'Controls &amp; Sources'!$B$5,'Controls &amp; Sources'!$B$6)</f>
        <v>10.4</v>
      </c>
      <c r="N7" s="25" t="n">
        <f aca="false">L7*M7</f>
        <v>416</v>
      </c>
      <c r="O7" s="22" t="n">
        <f aca="false">COUNTIFS('Billing Actual'!$E$2:$E$770,A7,'Billing Actual'!$B$2:$B$770,'Controls &amp; Sources'!$B$7)</f>
        <v>1</v>
      </c>
      <c r="P7" s="25" t="n">
        <f aca="false">SUMIFS('Billing Actual'!$M$2:$M$770,'Billing Actual'!$E$2:$E$770,A7,'Billing Actual'!$B$2:$B$770,'Controls &amp; Sources'!$B$7)</f>
        <v>416</v>
      </c>
      <c r="Q7" s="25" t="n">
        <f aca="false">P7-N7</f>
        <v>0</v>
      </c>
      <c r="R7" s="22" t="str">
        <f aca="false">IF(O7=0,"No August moorage transaction",IF(O7&gt;1,"Duplicate August transactions",IF(ABS(Q7)&gt;0.005,"Charge variance","OK")))</f>
        <v>OK</v>
      </c>
      <c r="S7" s="22" t="str">
        <f aca="false">IF(R7="OK","","Billing completeness/reconciliation")</f>
        <v/>
      </c>
    </row>
    <row r="8" customFormat="false" ht="15" hidden="false" customHeight="false" outlineLevel="0" collapsed="false">
      <c r="A8" s="22" t="s">
        <v>6585</v>
      </c>
      <c r="B8" s="22" t="s">
        <v>198</v>
      </c>
      <c r="C8" s="22" t="s">
        <v>6562</v>
      </c>
      <c r="D8" s="22" t="n">
        <v>28</v>
      </c>
      <c r="E8" s="22" t="s">
        <v>6575</v>
      </c>
      <c r="F8" s="22" t="s">
        <v>6577</v>
      </c>
      <c r="G8" s="22" t="s">
        <v>1375</v>
      </c>
      <c r="H8" s="22" t="s">
        <v>1376</v>
      </c>
      <c r="I8" s="22" t="s">
        <v>1304</v>
      </c>
      <c r="J8" s="22" t="n">
        <v>32.7</v>
      </c>
      <c r="K8" s="22" t="n">
        <f aca="false">ROUNDUP(J8,0)</f>
        <v>33</v>
      </c>
      <c r="L8" s="22" t="n">
        <f aca="false">MAX(D8,K8)</f>
        <v>33</v>
      </c>
      <c r="M8" s="25" t="n">
        <f aca="false">IF(E8="COVERED",'Controls &amp; Sources'!$B$5,'Controls &amp; Sources'!$B$6)</f>
        <v>10.4</v>
      </c>
      <c r="N8" s="25" t="n">
        <f aca="false">L8*M8</f>
        <v>343.2</v>
      </c>
      <c r="O8" s="22" t="n">
        <f aca="false">COUNTIFS('Billing Actual'!$E$2:$E$770,A8,'Billing Actual'!$B$2:$B$770,'Controls &amp; Sources'!$B$7)</f>
        <v>1</v>
      </c>
      <c r="P8" s="25" t="n">
        <f aca="false">SUMIFS('Billing Actual'!$M$2:$M$770,'Billing Actual'!$E$2:$E$770,A8,'Billing Actual'!$B$2:$B$770,'Controls &amp; Sources'!$B$7)</f>
        <v>343.2</v>
      </c>
      <c r="Q8" s="25" t="n">
        <f aca="false">P8-N8</f>
        <v>0</v>
      </c>
      <c r="R8" s="22" t="str">
        <f aca="false">IF(O8=0,"No August moorage transaction",IF(O8&gt;1,"Duplicate August transactions",IF(ABS(Q8)&gt;0.005,"Charge variance","OK")))</f>
        <v>OK</v>
      </c>
      <c r="S8" s="22" t="str">
        <f aca="false">IF(R8="OK","","Billing completeness/reconciliation")</f>
        <v/>
      </c>
    </row>
    <row r="9" customFormat="false" ht="15" hidden="false" customHeight="false" outlineLevel="0" collapsed="false">
      <c r="A9" s="22" t="s">
        <v>6588</v>
      </c>
      <c r="B9" s="22" t="s">
        <v>198</v>
      </c>
      <c r="C9" s="22" t="s">
        <v>6562</v>
      </c>
      <c r="D9" s="22" t="n">
        <v>24</v>
      </c>
      <c r="E9" s="22" t="s">
        <v>6575</v>
      </c>
      <c r="F9" s="22" t="s">
        <v>6577</v>
      </c>
      <c r="G9" s="22" t="s">
        <v>5989</v>
      </c>
      <c r="H9" s="22" t="s">
        <v>5990</v>
      </c>
      <c r="I9" s="22" t="s">
        <v>5991</v>
      </c>
      <c r="J9" s="22" t="n">
        <v>42.8</v>
      </c>
      <c r="K9" s="22" t="n">
        <f aca="false">ROUNDUP(J9,0)</f>
        <v>43</v>
      </c>
      <c r="L9" s="22" t="n">
        <f aca="false">MAX(D9,K9)</f>
        <v>43</v>
      </c>
      <c r="M9" s="25" t="n">
        <f aca="false">IF(E9="COVERED",'Controls &amp; Sources'!$B$5,'Controls &amp; Sources'!$B$6)</f>
        <v>10.4</v>
      </c>
      <c r="N9" s="25" t="n">
        <f aca="false">L9*M9</f>
        <v>447.2</v>
      </c>
      <c r="O9" s="22" t="n">
        <f aca="false">COUNTIFS('Billing Actual'!$E$2:$E$770,A9,'Billing Actual'!$B$2:$B$770,'Controls &amp; Sources'!$B$7)</f>
        <v>1</v>
      </c>
      <c r="P9" s="25" t="n">
        <f aca="false">SUMIFS('Billing Actual'!$M$2:$M$770,'Billing Actual'!$E$2:$E$770,A9,'Billing Actual'!$B$2:$B$770,'Controls &amp; Sources'!$B$7)</f>
        <v>447.2</v>
      </c>
      <c r="Q9" s="25" t="n">
        <f aca="false">P9-N9</f>
        <v>0</v>
      </c>
      <c r="R9" s="22" t="str">
        <f aca="false">IF(O9=0,"No August moorage transaction",IF(O9&gt;1,"Duplicate August transactions",IF(ABS(Q9)&gt;0.005,"Charge variance","OK")))</f>
        <v>OK</v>
      </c>
      <c r="S9" s="22" t="str">
        <f aca="false">IF(R9="OK","","Billing completeness/reconciliation")</f>
        <v/>
      </c>
    </row>
    <row r="10" customFormat="false" ht="15" hidden="false" customHeight="false" outlineLevel="0" collapsed="false">
      <c r="A10" s="22" t="s">
        <v>6591</v>
      </c>
      <c r="B10" s="22" t="s">
        <v>198</v>
      </c>
      <c r="C10" s="22" t="s">
        <v>6562</v>
      </c>
      <c r="D10" s="22" t="n">
        <v>36</v>
      </c>
      <c r="E10" s="22" t="s">
        <v>6575</v>
      </c>
      <c r="F10" s="22" t="s">
        <v>6577</v>
      </c>
      <c r="G10" s="22" t="s">
        <v>6485</v>
      </c>
      <c r="H10" s="22" t="s">
        <v>6486</v>
      </c>
      <c r="I10" s="22" t="s">
        <v>543</v>
      </c>
      <c r="J10" s="22" t="n">
        <v>39</v>
      </c>
      <c r="K10" s="22" t="n">
        <f aca="false">ROUNDUP(J10,0)</f>
        <v>39</v>
      </c>
      <c r="L10" s="22" t="n">
        <f aca="false">MAX(D10,K10)</f>
        <v>39</v>
      </c>
      <c r="M10" s="25" t="n">
        <f aca="false">IF(E10="COVERED",'Controls &amp; Sources'!$B$5,'Controls &amp; Sources'!$B$6)</f>
        <v>10.4</v>
      </c>
      <c r="N10" s="25" t="n">
        <f aca="false">L10*M10</f>
        <v>405.6</v>
      </c>
      <c r="O10" s="22" t="n">
        <f aca="false">COUNTIFS('Billing Actual'!$E$2:$E$770,A10,'Billing Actual'!$B$2:$B$770,'Controls &amp; Sources'!$B$7)</f>
        <v>1</v>
      </c>
      <c r="P10" s="25" t="n">
        <f aca="false">SUMIFS('Billing Actual'!$M$2:$M$770,'Billing Actual'!$E$2:$E$770,A10,'Billing Actual'!$B$2:$B$770,'Controls &amp; Sources'!$B$7)</f>
        <v>405.6</v>
      </c>
      <c r="Q10" s="25" t="n">
        <f aca="false">P10-N10</f>
        <v>0</v>
      </c>
      <c r="R10" s="22" t="str">
        <f aca="false">IF(O10=0,"No August moorage transaction",IF(O10&gt;1,"Duplicate August transactions",IF(ABS(Q10)&gt;0.005,"Charge variance","OK")))</f>
        <v>OK</v>
      </c>
      <c r="S10" s="22" t="str">
        <f aca="false">IF(R10="OK","","Billing completeness/reconciliation")</f>
        <v/>
      </c>
    </row>
    <row r="11" customFormat="false" ht="15" hidden="false" customHeight="false" outlineLevel="0" collapsed="false">
      <c r="A11" s="22" t="s">
        <v>6594</v>
      </c>
      <c r="B11" s="22" t="s">
        <v>198</v>
      </c>
      <c r="C11" s="22" t="s">
        <v>6562</v>
      </c>
      <c r="D11" s="22" t="n">
        <v>24</v>
      </c>
      <c r="E11" s="22" t="s">
        <v>6575</v>
      </c>
      <c r="F11" s="22" t="s">
        <v>6577</v>
      </c>
      <c r="G11" s="22" t="s">
        <v>3331</v>
      </c>
      <c r="H11" s="22" t="s">
        <v>3332</v>
      </c>
      <c r="I11" s="22" t="s">
        <v>174</v>
      </c>
      <c r="J11" s="22" t="n">
        <v>39</v>
      </c>
      <c r="K11" s="22" t="n">
        <f aca="false">ROUNDUP(J11,0)</f>
        <v>39</v>
      </c>
      <c r="L11" s="22" t="n">
        <f aca="false">MAX(D11,K11)</f>
        <v>39</v>
      </c>
      <c r="M11" s="25" t="n">
        <f aca="false">IF(E11="COVERED",'Controls &amp; Sources'!$B$5,'Controls &amp; Sources'!$B$6)</f>
        <v>10.4</v>
      </c>
      <c r="N11" s="25" t="n">
        <f aca="false">L11*M11</f>
        <v>405.6</v>
      </c>
      <c r="O11" s="22" t="n">
        <f aca="false">COUNTIFS('Billing Actual'!$E$2:$E$770,A11,'Billing Actual'!$B$2:$B$770,'Controls &amp; Sources'!$B$7)</f>
        <v>1</v>
      </c>
      <c r="P11" s="25" t="n">
        <f aca="false">SUMIFS('Billing Actual'!$M$2:$M$770,'Billing Actual'!$E$2:$E$770,A11,'Billing Actual'!$B$2:$B$770,'Controls &amp; Sources'!$B$7)</f>
        <v>405.6</v>
      </c>
      <c r="Q11" s="25" t="n">
        <f aca="false">P11-N11</f>
        <v>0</v>
      </c>
      <c r="R11" s="22" t="str">
        <f aca="false">IF(O11=0,"No August moorage transaction",IF(O11&gt;1,"Duplicate August transactions",IF(ABS(Q11)&gt;0.005,"Charge variance","OK")))</f>
        <v>OK</v>
      </c>
      <c r="S11" s="22" t="str">
        <f aca="false">IF(R11="OK","","Billing completeness/reconciliation")</f>
        <v/>
      </c>
    </row>
    <row r="12" customFormat="false" ht="15" hidden="false" customHeight="false" outlineLevel="0" collapsed="false">
      <c r="A12" s="22" t="s">
        <v>6597</v>
      </c>
      <c r="B12" s="22" t="s">
        <v>198</v>
      </c>
      <c r="C12" s="22" t="s">
        <v>6562</v>
      </c>
      <c r="D12" s="22" t="n">
        <v>24</v>
      </c>
      <c r="E12" s="22" t="s">
        <v>6575</v>
      </c>
      <c r="F12" s="22" t="s">
        <v>6577</v>
      </c>
      <c r="G12" s="22" t="s">
        <v>3926</v>
      </c>
      <c r="H12" s="22" t="s">
        <v>3927</v>
      </c>
      <c r="I12" s="22" t="s">
        <v>184</v>
      </c>
      <c r="J12" s="22" t="n">
        <v>30.4</v>
      </c>
      <c r="K12" s="22" t="n">
        <f aca="false">ROUNDUP(J12,0)</f>
        <v>31</v>
      </c>
      <c r="L12" s="22" t="n">
        <f aca="false">MAX(D12,K12)</f>
        <v>31</v>
      </c>
      <c r="M12" s="25" t="n">
        <f aca="false">IF(E12="COVERED",'Controls &amp; Sources'!$B$5,'Controls &amp; Sources'!$B$6)</f>
        <v>10.4</v>
      </c>
      <c r="N12" s="25" t="n">
        <f aca="false">L12*M12</f>
        <v>322.4</v>
      </c>
      <c r="O12" s="22" t="n">
        <f aca="false">COUNTIFS('Billing Actual'!$E$2:$E$770,A12,'Billing Actual'!$B$2:$B$770,'Controls &amp; Sources'!$B$7)</f>
        <v>1</v>
      </c>
      <c r="P12" s="25" t="n">
        <f aca="false">SUMIFS('Billing Actual'!$M$2:$M$770,'Billing Actual'!$E$2:$E$770,A12,'Billing Actual'!$B$2:$B$770,'Controls &amp; Sources'!$B$7)</f>
        <v>322.4</v>
      </c>
      <c r="Q12" s="25" t="n">
        <f aca="false">P12-N12</f>
        <v>0</v>
      </c>
      <c r="R12" s="22" t="str">
        <f aca="false">IF(O12=0,"No August moorage transaction",IF(O12&gt;1,"Duplicate August transactions",IF(ABS(Q12)&gt;0.005,"Charge variance","OK")))</f>
        <v>OK</v>
      </c>
      <c r="S12" s="22" t="str">
        <f aca="false">IF(R12="OK","","Billing completeness/reconciliation")</f>
        <v/>
      </c>
    </row>
    <row r="13" customFormat="false" ht="15" hidden="false" customHeight="false" outlineLevel="0" collapsed="false">
      <c r="A13" s="22" t="s">
        <v>6600</v>
      </c>
      <c r="B13" s="22" t="s">
        <v>198</v>
      </c>
      <c r="C13" s="22" t="s">
        <v>6562</v>
      </c>
      <c r="D13" s="22" t="n">
        <v>32</v>
      </c>
      <c r="E13" s="22" t="s">
        <v>6575</v>
      </c>
      <c r="F13" s="22" t="s">
        <v>6577</v>
      </c>
      <c r="G13" s="22" t="s">
        <v>1654</v>
      </c>
      <c r="H13" s="22" t="s">
        <v>1655</v>
      </c>
      <c r="I13" s="22" t="s">
        <v>1656</v>
      </c>
      <c r="J13" s="22" t="n">
        <v>23.4</v>
      </c>
      <c r="K13" s="22" t="n">
        <f aca="false">ROUNDUP(J13,0)</f>
        <v>24</v>
      </c>
      <c r="L13" s="22" t="n">
        <f aca="false">MAX(D13,K13)</f>
        <v>32</v>
      </c>
      <c r="M13" s="25" t="n">
        <f aca="false">IF(E13="COVERED",'Controls &amp; Sources'!$B$5,'Controls &amp; Sources'!$B$6)</f>
        <v>10.4</v>
      </c>
      <c r="N13" s="25" t="n">
        <f aca="false">L13*M13</f>
        <v>332.8</v>
      </c>
      <c r="O13" s="22" t="n">
        <f aca="false">COUNTIFS('Billing Actual'!$E$2:$E$770,A13,'Billing Actual'!$B$2:$B$770,'Controls &amp; Sources'!$B$7)</f>
        <v>1</v>
      </c>
      <c r="P13" s="25" t="n">
        <f aca="false">SUMIFS('Billing Actual'!$M$2:$M$770,'Billing Actual'!$E$2:$E$770,A13,'Billing Actual'!$B$2:$B$770,'Controls &amp; Sources'!$B$7)</f>
        <v>332.8</v>
      </c>
      <c r="Q13" s="25" t="n">
        <f aca="false">P13-N13</f>
        <v>0</v>
      </c>
      <c r="R13" s="22" t="str">
        <f aca="false">IF(O13=0,"No August moorage transaction",IF(O13&gt;1,"Duplicate August transactions",IF(ABS(Q13)&gt;0.005,"Charge variance","OK")))</f>
        <v>OK</v>
      </c>
      <c r="S13" s="22" t="str">
        <f aca="false">IF(R13="OK","","Billing completeness/reconciliation")</f>
        <v/>
      </c>
    </row>
    <row r="14" customFormat="false" ht="15" hidden="false" customHeight="false" outlineLevel="0" collapsed="false">
      <c r="A14" s="22" t="s">
        <v>6603</v>
      </c>
      <c r="B14" s="22" t="s">
        <v>198</v>
      </c>
      <c r="C14" s="22" t="s">
        <v>6562</v>
      </c>
      <c r="D14" s="22" t="n">
        <v>32</v>
      </c>
      <c r="E14" s="22" t="s">
        <v>6575</v>
      </c>
      <c r="F14" s="22" t="s">
        <v>6577</v>
      </c>
      <c r="G14" s="22" t="s">
        <v>4256</v>
      </c>
      <c r="H14" s="22" t="s">
        <v>4257</v>
      </c>
      <c r="I14" s="22" t="s">
        <v>567</v>
      </c>
      <c r="J14" s="22" t="n">
        <v>20.8</v>
      </c>
      <c r="K14" s="22" t="n">
        <f aca="false">ROUNDUP(J14,0)</f>
        <v>21</v>
      </c>
      <c r="L14" s="22" t="n">
        <f aca="false">MAX(D14,K14)</f>
        <v>32</v>
      </c>
      <c r="M14" s="25" t="n">
        <f aca="false">IF(E14="COVERED",'Controls &amp; Sources'!$B$5,'Controls &amp; Sources'!$B$6)</f>
        <v>10.4</v>
      </c>
      <c r="N14" s="25" t="n">
        <f aca="false">L14*M14</f>
        <v>332.8</v>
      </c>
      <c r="O14" s="22" t="n">
        <f aca="false">COUNTIFS('Billing Actual'!$E$2:$E$770,A14,'Billing Actual'!$B$2:$B$770,'Controls &amp; Sources'!$B$7)</f>
        <v>1</v>
      </c>
      <c r="P14" s="25" t="n">
        <f aca="false">SUMIFS('Billing Actual'!$M$2:$M$770,'Billing Actual'!$E$2:$E$770,A14,'Billing Actual'!$B$2:$B$770,'Controls &amp; Sources'!$B$7)</f>
        <v>332.8</v>
      </c>
      <c r="Q14" s="25" t="n">
        <f aca="false">P14-N14</f>
        <v>0</v>
      </c>
      <c r="R14" s="22" t="str">
        <f aca="false">IF(O14=0,"No August moorage transaction",IF(O14&gt;1,"Duplicate August transactions",IF(ABS(Q14)&gt;0.005,"Charge variance","OK")))</f>
        <v>OK</v>
      </c>
      <c r="S14" s="22" t="str">
        <f aca="false">IF(R14="OK","","Billing completeness/reconciliation")</f>
        <v/>
      </c>
    </row>
    <row r="15" customFormat="false" ht="15" hidden="false" customHeight="false" outlineLevel="0" collapsed="false">
      <c r="A15" s="22" t="s">
        <v>6606</v>
      </c>
      <c r="B15" s="22" t="s">
        <v>198</v>
      </c>
      <c r="C15" s="22" t="s">
        <v>6562</v>
      </c>
      <c r="D15" s="22" t="n">
        <v>28</v>
      </c>
      <c r="E15" s="22" t="s">
        <v>6575</v>
      </c>
      <c r="F15" s="22" t="s">
        <v>6577</v>
      </c>
      <c r="G15" s="22" t="s">
        <v>5016</v>
      </c>
      <c r="H15" s="22" t="s">
        <v>5017</v>
      </c>
      <c r="I15" s="22" t="s">
        <v>307</v>
      </c>
      <c r="J15" s="22" t="n">
        <v>26</v>
      </c>
      <c r="K15" s="22" t="n">
        <f aca="false">ROUNDUP(J15,0)</f>
        <v>26</v>
      </c>
      <c r="L15" s="22" t="n">
        <f aca="false">MAX(D15,K15)</f>
        <v>28</v>
      </c>
      <c r="M15" s="25" t="n">
        <f aca="false">IF(E15="COVERED",'Controls &amp; Sources'!$B$5,'Controls &amp; Sources'!$B$6)</f>
        <v>10.4</v>
      </c>
      <c r="N15" s="25" t="n">
        <f aca="false">L15*M15</f>
        <v>291.2</v>
      </c>
      <c r="O15" s="22" t="n">
        <f aca="false">COUNTIFS('Billing Actual'!$E$2:$E$770,A15,'Billing Actual'!$B$2:$B$770,'Controls &amp; Sources'!$B$7)</f>
        <v>1</v>
      </c>
      <c r="P15" s="25" t="n">
        <f aca="false">SUMIFS('Billing Actual'!$M$2:$M$770,'Billing Actual'!$E$2:$E$770,A15,'Billing Actual'!$B$2:$B$770,'Controls &amp; Sources'!$B$7)</f>
        <v>291.2</v>
      </c>
      <c r="Q15" s="25" t="n">
        <f aca="false">P15-N15</f>
        <v>0</v>
      </c>
      <c r="R15" s="22" t="str">
        <f aca="false">IF(O15=0,"No August moorage transaction",IF(O15&gt;1,"Duplicate August transactions",IF(ABS(Q15)&gt;0.005,"Charge variance","OK")))</f>
        <v>OK</v>
      </c>
      <c r="S15" s="22" t="str">
        <f aca="false">IF(R15="OK","","Billing completeness/reconciliation")</f>
        <v/>
      </c>
    </row>
    <row r="16" customFormat="false" ht="15" hidden="false" customHeight="false" outlineLevel="0" collapsed="false">
      <c r="A16" s="22" t="s">
        <v>6609</v>
      </c>
      <c r="B16" s="22" t="s">
        <v>198</v>
      </c>
      <c r="C16" s="22" t="s">
        <v>6562</v>
      </c>
      <c r="D16" s="22" t="n">
        <v>40</v>
      </c>
      <c r="E16" s="22" t="s">
        <v>6575</v>
      </c>
      <c r="F16" s="22" t="s">
        <v>6577</v>
      </c>
      <c r="G16" s="22" t="s">
        <v>5981</v>
      </c>
      <c r="H16" s="22" t="s">
        <v>5982</v>
      </c>
      <c r="I16" s="22" t="s">
        <v>1006</v>
      </c>
      <c r="J16" s="22" t="n">
        <v>53.5</v>
      </c>
      <c r="K16" s="22" t="n">
        <f aca="false">ROUNDUP(J16,0)</f>
        <v>54</v>
      </c>
      <c r="L16" s="22" t="n">
        <f aca="false">MAX(D16,K16)</f>
        <v>54</v>
      </c>
      <c r="M16" s="25" t="n">
        <f aca="false">IF(E16="COVERED",'Controls &amp; Sources'!$B$5,'Controls &amp; Sources'!$B$6)</f>
        <v>10.4</v>
      </c>
      <c r="N16" s="25" t="n">
        <f aca="false">L16*M16</f>
        <v>561.6</v>
      </c>
      <c r="O16" s="22" t="n">
        <f aca="false">COUNTIFS('Billing Actual'!$E$2:$E$770,A16,'Billing Actual'!$B$2:$B$770,'Controls &amp; Sources'!$B$7)</f>
        <v>1</v>
      </c>
      <c r="P16" s="25" t="n">
        <f aca="false">SUMIFS('Billing Actual'!$M$2:$M$770,'Billing Actual'!$E$2:$E$770,A16,'Billing Actual'!$B$2:$B$770,'Controls &amp; Sources'!$B$7)</f>
        <v>561.6</v>
      </c>
      <c r="Q16" s="25" t="n">
        <f aca="false">P16-N16</f>
        <v>0</v>
      </c>
      <c r="R16" s="22" t="str">
        <f aca="false">IF(O16=0,"No August moorage transaction",IF(O16&gt;1,"Duplicate August transactions",IF(ABS(Q16)&gt;0.005,"Charge variance","OK")))</f>
        <v>OK</v>
      </c>
      <c r="S16" s="22" t="str">
        <f aca="false">IF(R16="OK","","Billing completeness/reconciliation")</f>
        <v/>
      </c>
    </row>
    <row r="17" customFormat="false" ht="15" hidden="false" customHeight="false" outlineLevel="0" collapsed="false">
      <c r="A17" s="22" t="s">
        <v>6615</v>
      </c>
      <c r="B17" s="22" t="s">
        <v>198</v>
      </c>
      <c r="C17" s="22" t="s">
        <v>6562</v>
      </c>
      <c r="D17" s="22" t="n">
        <v>36</v>
      </c>
      <c r="E17" s="22" t="s">
        <v>6575</v>
      </c>
      <c r="F17" s="22" t="s">
        <v>6577</v>
      </c>
      <c r="G17" s="22" t="s">
        <v>4245</v>
      </c>
      <c r="H17" s="22" t="s">
        <v>1479</v>
      </c>
      <c r="I17" s="22" t="s">
        <v>1045</v>
      </c>
      <c r="J17" s="22" t="n">
        <v>26</v>
      </c>
      <c r="K17" s="22" t="n">
        <f aca="false">ROUNDUP(J17,0)</f>
        <v>26</v>
      </c>
      <c r="L17" s="22" t="n">
        <f aca="false">MAX(D17,K17)</f>
        <v>36</v>
      </c>
      <c r="M17" s="25" t="n">
        <f aca="false">IF(E17="COVERED",'Controls &amp; Sources'!$B$5,'Controls &amp; Sources'!$B$6)</f>
        <v>10.4</v>
      </c>
      <c r="N17" s="25" t="n">
        <f aca="false">L17*M17</f>
        <v>374.4</v>
      </c>
      <c r="O17" s="22" t="n">
        <f aca="false">COUNTIFS('Billing Actual'!$E$2:$E$770,A17,'Billing Actual'!$B$2:$B$770,'Controls &amp; Sources'!$B$7)</f>
        <v>1</v>
      </c>
      <c r="P17" s="25" t="n">
        <f aca="false">SUMIFS('Billing Actual'!$M$2:$M$770,'Billing Actual'!$E$2:$E$770,A17,'Billing Actual'!$B$2:$B$770,'Controls &amp; Sources'!$B$7)</f>
        <v>374.4</v>
      </c>
      <c r="Q17" s="25" t="n">
        <f aca="false">P17-N17</f>
        <v>0</v>
      </c>
      <c r="R17" s="22" t="str">
        <f aca="false">IF(O17=0,"No August moorage transaction",IF(O17&gt;1,"Duplicate August transactions",IF(ABS(Q17)&gt;0.005,"Charge variance","OK")))</f>
        <v>OK</v>
      </c>
      <c r="S17" s="22" t="str">
        <f aca="false">IF(R17="OK","","Billing completeness/reconciliation")</f>
        <v/>
      </c>
    </row>
    <row r="18" customFormat="false" ht="15" hidden="false" customHeight="false" outlineLevel="0" collapsed="false">
      <c r="A18" s="22" t="s">
        <v>6618</v>
      </c>
      <c r="B18" s="22" t="s">
        <v>198</v>
      </c>
      <c r="C18" s="22" t="s">
        <v>6562</v>
      </c>
      <c r="D18" s="22" t="n">
        <v>24</v>
      </c>
      <c r="E18" s="22" t="s">
        <v>6575</v>
      </c>
      <c r="F18" s="22" t="s">
        <v>6577</v>
      </c>
      <c r="G18" s="22" t="s">
        <v>3161</v>
      </c>
      <c r="H18" s="22" t="s">
        <v>3162</v>
      </c>
      <c r="I18" s="22" t="s">
        <v>1262</v>
      </c>
      <c r="J18" s="22" t="n">
        <v>28.2</v>
      </c>
      <c r="K18" s="22" t="n">
        <f aca="false">ROUNDUP(J18,0)</f>
        <v>29</v>
      </c>
      <c r="L18" s="22" t="n">
        <f aca="false">MAX(D18,K18)</f>
        <v>29</v>
      </c>
      <c r="M18" s="25" t="n">
        <f aca="false">IF(E18="COVERED",'Controls &amp; Sources'!$B$5,'Controls &amp; Sources'!$B$6)</f>
        <v>10.4</v>
      </c>
      <c r="N18" s="25" t="n">
        <f aca="false">L18*M18</f>
        <v>301.6</v>
      </c>
      <c r="O18" s="22" t="n">
        <f aca="false">COUNTIFS('Billing Actual'!$E$2:$E$770,A18,'Billing Actual'!$B$2:$B$770,'Controls &amp; Sources'!$B$7)</f>
        <v>1</v>
      </c>
      <c r="P18" s="25" t="n">
        <f aca="false">SUMIFS('Billing Actual'!$M$2:$M$770,'Billing Actual'!$E$2:$E$770,A18,'Billing Actual'!$B$2:$B$770,'Controls &amp; Sources'!$B$7)</f>
        <v>301.6</v>
      </c>
      <c r="Q18" s="25" t="n">
        <f aca="false">P18-N18</f>
        <v>0</v>
      </c>
      <c r="R18" s="22" t="str">
        <f aca="false">IF(O18=0,"No August moorage transaction",IF(O18&gt;1,"Duplicate August transactions",IF(ABS(Q18)&gt;0.005,"Charge variance","OK")))</f>
        <v>OK</v>
      </c>
      <c r="S18" s="22" t="str">
        <f aca="false">IF(R18="OK","","Billing completeness/reconciliation")</f>
        <v/>
      </c>
    </row>
    <row r="19" customFormat="false" ht="15" hidden="false" customHeight="false" outlineLevel="0" collapsed="false">
      <c r="A19" s="22" t="s">
        <v>6621</v>
      </c>
      <c r="B19" s="22" t="s">
        <v>198</v>
      </c>
      <c r="C19" s="22" t="s">
        <v>6562</v>
      </c>
      <c r="D19" s="22" t="n">
        <v>28</v>
      </c>
      <c r="E19" s="22" t="s">
        <v>6575</v>
      </c>
      <c r="F19" s="22" t="s">
        <v>6577</v>
      </c>
      <c r="G19" s="22" t="s">
        <v>4614</v>
      </c>
      <c r="H19" s="22" t="s">
        <v>4615</v>
      </c>
      <c r="I19" s="22" t="s">
        <v>1229</v>
      </c>
      <c r="J19" s="22" t="n">
        <v>18.8</v>
      </c>
      <c r="K19" s="22" t="n">
        <f aca="false">ROUNDUP(J19,0)</f>
        <v>19</v>
      </c>
      <c r="L19" s="22" t="n">
        <f aca="false">MAX(D19,K19)</f>
        <v>28</v>
      </c>
      <c r="M19" s="25" t="n">
        <f aca="false">IF(E19="COVERED",'Controls &amp; Sources'!$B$5,'Controls &amp; Sources'!$B$6)</f>
        <v>10.4</v>
      </c>
      <c r="N19" s="25" t="n">
        <f aca="false">L19*M19</f>
        <v>291.2</v>
      </c>
      <c r="O19" s="22" t="n">
        <f aca="false">COUNTIFS('Billing Actual'!$E$2:$E$770,A19,'Billing Actual'!$B$2:$B$770,'Controls &amp; Sources'!$B$7)</f>
        <v>1</v>
      </c>
      <c r="P19" s="25" t="n">
        <f aca="false">SUMIFS('Billing Actual'!$M$2:$M$770,'Billing Actual'!$E$2:$E$770,A19,'Billing Actual'!$B$2:$B$770,'Controls &amp; Sources'!$B$7)</f>
        <v>291.2</v>
      </c>
      <c r="Q19" s="25" t="n">
        <f aca="false">P19-N19</f>
        <v>0</v>
      </c>
      <c r="R19" s="22" t="str">
        <f aca="false">IF(O19=0,"No August moorage transaction",IF(O19&gt;1,"Duplicate August transactions",IF(ABS(Q19)&gt;0.005,"Charge variance","OK")))</f>
        <v>OK</v>
      </c>
      <c r="S19" s="22" t="str">
        <f aca="false">IF(R19="OK","","Billing completeness/reconciliation")</f>
        <v/>
      </c>
    </row>
    <row r="20" customFormat="false" ht="15" hidden="false" customHeight="false" outlineLevel="0" collapsed="false">
      <c r="A20" s="22" t="s">
        <v>6624</v>
      </c>
      <c r="B20" s="22" t="s">
        <v>198</v>
      </c>
      <c r="C20" s="22" t="s">
        <v>6562</v>
      </c>
      <c r="D20" s="22" t="n">
        <v>28</v>
      </c>
      <c r="E20" s="22" t="s">
        <v>6575</v>
      </c>
      <c r="F20" s="22" t="s">
        <v>6577</v>
      </c>
      <c r="G20" s="22" t="s">
        <v>2708</v>
      </c>
      <c r="H20" s="22" t="s">
        <v>2709</v>
      </c>
      <c r="I20" s="22" t="s">
        <v>1758</v>
      </c>
      <c r="J20" s="22" t="n">
        <v>19.2</v>
      </c>
      <c r="K20" s="22" t="n">
        <f aca="false">ROUNDUP(J20,0)</f>
        <v>20</v>
      </c>
      <c r="L20" s="22" t="n">
        <f aca="false">MAX(D20,K20)</f>
        <v>28</v>
      </c>
      <c r="M20" s="25" t="n">
        <f aca="false">IF(E20="COVERED",'Controls &amp; Sources'!$B$5,'Controls &amp; Sources'!$B$6)</f>
        <v>10.4</v>
      </c>
      <c r="N20" s="25" t="n">
        <f aca="false">L20*M20</f>
        <v>291.2</v>
      </c>
      <c r="O20" s="22" t="n">
        <f aca="false">COUNTIFS('Billing Actual'!$E$2:$E$770,A20,'Billing Actual'!$B$2:$B$770,'Controls &amp; Sources'!$B$7)</f>
        <v>1</v>
      </c>
      <c r="P20" s="25" t="n">
        <f aca="false">SUMIFS('Billing Actual'!$M$2:$M$770,'Billing Actual'!$E$2:$E$770,A20,'Billing Actual'!$B$2:$B$770,'Controls &amp; Sources'!$B$7)</f>
        <v>291.2</v>
      </c>
      <c r="Q20" s="25" t="n">
        <f aca="false">P20-N20</f>
        <v>0</v>
      </c>
      <c r="R20" s="22" t="str">
        <f aca="false">IF(O20=0,"No August moorage transaction",IF(O20&gt;1,"Duplicate August transactions",IF(ABS(Q20)&gt;0.005,"Charge variance","OK")))</f>
        <v>OK</v>
      </c>
      <c r="S20" s="22" t="str">
        <f aca="false">IF(R20="OK","","Billing completeness/reconciliation")</f>
        <v/>
      </c>
    </row>
    <row r="21" customFormat="false" ht="15" hidden="false" customHeight="false" outlineLevel="0" collapsed="false">
      <c r="A21" s="22" t="s">
        <v>6627</v>
      </c>
      <c r="B21" s="22" t="s">
        <v>198</v>
      </c>
      <c r="C21" s="22" t="s">
        <v>6562</v>
      </c>
      <c r="D21" s="22" t="n">
        <v>32</v>
      </c>
      <c r="E21" s="22" t="s">
        <v>6575</v>
      </c>
      <c r="F21" s="22" t="s">
        <v>6577</v>
      </c>
      <c r="G21" s="22" t="s">
        <v>1159</v>
      </c>
      <c r="H21" s="22" t="s">
        <v>1160</v>
      </c>
      <c r="I21" s="22" t="s">
        <v>1054</v>
      </c>
      <c r="J21" s="22" t="n">
        <v>28.7</v>
      </c>
      <c r="K21" s="22" t="n">
        <f aca="false">ROUNDUP(J21,0)</f>
        <v>29</v>
      </c>
      <c r="L21" s="22" t="n">
        <f aca="false">MAX(D21,K21)</f>
        <v>32</v>
      </c>
      <c r="M21" s="25" t="n">
        <f aca="false">IF(E21="COVERED",'Controls &amp; Sources'!$B$5,'Controls &amp; Sources'!$B$6)</f>
        <v>10.4</v>
      </c>
      <c r="N21" s="25" t="n">
        <f aca="false">L21*M21</f>
        <v>332.8</v>
      </c>
      <c r="O21" s="22" t="n">
        <f aca="false">COUNTIFS('Billing Actual'!$E$2:$E$770,A21,'Billing Actual'!$B$2:$B$770,'Controls &amp; Sources'!$B$7)</f>
        <v>1</v>
      </c>
      <c r="P21" s="25" t="n">
        <f aca="false">SUMIFS('Billing Actual'!$M$2:$M$770,'Billing Actual'!$E$2:$E$770,A21,'Billing Actual'!$B$2:$B$770,'Controls &amp; Sources'!$B$7)</f>
        <v>332.8</v>
      </c>
      <c r="Q21" s="25" t="n">
        <f aca="false">P21-N21</f>
        <v>0</v>
      </c>
      <c r="R21" s="22" t="str">
        <f aca="false">IF(O21=0,"No August moorage transaction",IF(O21&gt;1,"Duplicate August transactions",IF(ABS(Q21)&gt;0.005,"Charge variance","OK")))</f>
        <v>OK</v>
      </c>
      <c r="S21" s="22" t="str">
        <f aca="false">IF(R21="OK","","Billing completeness/reconciliation")</f>
        <v/>
      </c>
    </row>
    <row r="22" customFormat="false" ht="15" hidden="false" customHeight="false" outlineLevel="0" collapsed="false">
      <c r="A22" s="22" t="s">
        <v>6630</v>
      </c>
      <c r="B22" s="22" t="s">
        <v>198</v>
      </c>
      <c r="C22" s="22" t="s">
        <v>6562</v>
      </c>
      <c r="D22" s="22" t="n">
        <v>24</v>
      </c>
      <c r="E22" s="22" t="s">
        <v>6575</v>
      </c>
      <c r="F22" s="22" t="s">
        <v>6577</v>
      </c>
      <c r="G22" s="22" t="s">
        <v>6005</v>
      </c>
      <c r="H22" s="22" t="s">
        <v>6006</v>
      </c>
      <c r="I22" s="22" t="s">
        <v>975</v>
      </c>
      <c r="J22" s="22" t="n">
        <v>22.1</v>
      </c>
      <c r="K22" s="22" t="n">
        <f aca="false">ROUNDUP(J22,0)</f>
        <v>23</v>
      </c>
      <c r="L22" s="22" t="n">
        <f aca="false">MAX(D22,K22)</f>
        <v>24</v>
      </c>
      <c r="M22" s="25" t="n">
        <f aca="false">IF(E22="COVERED",'Controls &amp; Sources'!$B$5,'Controls &amp; Sources'!$B$6)</f>
        <v>10.4</v>
      </c>
      <c r="N22" s="25" t="n">
        <f aca="false">L22*M22</f>
        <v>249.6</v>
      </c>
      <c r="O22" s="22" t="n">
        <f aca="false">COUNTIFS('Billing Actual'!$E$2:$E$770,A22,'Billing Actual'!$B$2:$B$770,'Controls &amp; Sources'!$B$7)</f>
        <v>1</v>
      </c>
      <c r="P22" s="25" t="n">
        <f aca="false">SUMIFS('Billing Actual'!$M$2:$M$770,'Billing Actual'!$E$2:$E$770,A22,'Billing Actual'!$B$2:$B$770,'Controls &amp; Sources'!$B$7)</f>
        <v>249.6</v>
      </c>
      <c r="Q22" s="25" t="n">
        <f aca="false">P22-N22</f>
        <v>0</v>
      </c>
      <c r="R22" s="22" t="str">
        <f aca="false">IF(O22=0,"No August moorage transaction",IF(O22&gt;1,"Duplicate August transactions",IF(ABS(Q22)&gt;0.005,"Charge variance","OK")))</f>
        <v>OK</v>
      </c>
      <c r="S22" s="22" t="str">
        <f aca="false">IF(R22="OK","","Billing completeness/reconciliation")</f>
        <v/>
      </c>
    </row>
    <row r="23" customFormat="false" ht="15" hidden="false" customHeight="false" outlineLevel="0" collapsed="false">
      <c r="A23" s="22" t="s">
        <v>6633</v>
      </c>
      <c r="B23" s="22" t="s">
        <v>198</v>
      </c>
      <c r="C23" s="22" t="s">
        <v>6562</v>
      </c>
      <c r="D23" s="22" t="n">
        <v>24</v>
      </c>
      <c r="E23" s="22" t="s">
        <v>6575</v>
      </c>
      <c r="F23" s="22" t="s">
        <v>6577</v>
      </c>
      <c r="G23" s="22" t="s">
        <v>2373</v>
      </c>
      <c r="H23" s="22" t="s">
        <v>2374</v>
      </c>
      <c r="I23" s="22" t="s">
        <v>1253</v>
      </c>
      <c r="J23" s="22" t="n">
        <v>43.5</v>
      </c>
      <c r="K23" s="22" t="n">
        <f aca="false">ROUNDUP(J23,0)</f>
        <v>44</v>
      </c>
      <c r="L23" s="22" t="n">
        <f aca="false">MAX(D23,K23)</f>
        <v>44</v>
      </c>
      <c r="M23" s="25" t="n">
        <f aca="false">IF(E23="COVERED",'Controls &amp; Sources'!$B$5,'Controls &amp; Sources'!$B$6)</f>
        <v>10.4</v>
      </c>
      <c r="N23" s="25" t="n">
        <f aca="false">L23*M23</f>
        <v>457.6</v>
      </c>
      <c r="O23" s="22" t="n">
        <f aca="false">COUNTIFS('Billing Actual'!$E$2:$E$770,A23,'Billing Actual'!$B$2:$B$770,'Controls &amp; Sources'!$B$7)</f>
        <v>1</v>
      </c>
      <c r="P23" s="25" t="n">
        <f aca="false">SUMIFS('Billing Actual'!$M$2:$M$770,'Billing Actual'!$E$2:$E$770,A23,'Billing Actual'!$B$2:$B$770,'Controls &amp; Sources'!$B$7)</f>
        <v>457.6</v>
      </c>
      <c r="Q23" s="25" t="n">
        <f aca="false">P23-N23</f>
        <v>0</v>
      </c>
      <c r="R23" s="22" t="str">
        <f aca="false">IF(O23=0,"No August moorage transaction",IF(O23&gt;1,"Duplicate August transactions",IF(ABS(Q23)&gt;0.005,"Charge variance","OK")))</f>
        <v>OK</v>
      </c>
      <c r="S23" s="22" t="str">
        <f aca="false">IF(R23="OK","","Billing completeness/reconciliation")</f>
        <v/>
      </c>
    </row>
    <row r="24" customFormat="false" ht="15" hidden="false" customHeight="false" outlineLevel="0" collapsed="false">
      <c r="A24" s="22" t="s">
        <v>6636</v>
      </c>
      <c r="B24" s="22" t="s">
        <v>198</v>
      </c>
      <c r="C24" s="22" t="s">
        <v>6562</v>
      </c>
      <c r="D24" s="22" t="n">
        <v>32</v>
      </c>
      <c r="E24" s="22" t="s">
        <v>6575</v>
      </c>
      <c r="F24" s="22" t="s">
        <v>6577</v>
      </c>
      <c r="G24" s="22" t="s">
        <v>4991</v>
      </c>
      <c r="H24" s="22" t="s">
        <v>4992</v>
      </c>
      <c r="I24" s="22" t="s">
        <v>4993</v>
      </c>
      <c r="J24" s="22" t="n">
        <v>30.8</v>
      </c>
      <c r="K24" s="22" t="n">
        <f aca="false">ROUNDUP(J24,0)</f>
        <v>31</v>
      </c>
      <c r="L24" s="22" t="n">
        <f aca="false">MAX(D24,K24)</f>
        <v>32</v>
      </c>
      <c r="M24" s="25" t="n">
        <f aca="false">IF(E24="COVERED",'Controls &amp; Sources'!$B$5,'Controls &amp; Sources'!$B$6)</f>
        <v>10.4</v>
      </c>
      <c r="N24" s="25" t="n">
        <f aca="false">L24*M24</f>
        <v>332.8</v>
      </c>
      <c r="O24" s="22" t="n">
        <f aca="false">COUNTIFS('Billing Actual'!$E$2:$E$770,A24,'Billing Actual'!$B$2:$B$770,'Controls &amp; Sources'!$B$7)</f>
        <v>1</v>
      </c>
      <c r="P24" s="25" t="n">
        <f aca="false">SUMIFS('Billing Actual'!$M$2:$M$770,'Billing Actual'!$E$2:$E$770,A24,'Billing Actual'!$B$2:$B$770,'Controls &amp; Sources'!$B$7)</f>
        <v>332.8</v>
      </c>
      <c r="Q24" s="25" t="n">
        <f aca="false">P24-N24</f>
        <v>0</v>
      </c>
      <c r="R24" s="22" t="str">
        <f aca="false">IF(O24=0,"No August moorage transaction",IF(O24&gt;1,"Duplicate August transactions",IF(ABS(Q24)&gt;0.005,"Charge variance","OK")))</f>
        <v>OK</v>
      </c>
      <c r="S24" s="22" t="str">
        <f aca="false">IF(R24="OK","","Billing completeness/reconciliation")</f>
        <v/>
      </c>
    </row>
    <row r="25" customFormat="false" ht="15" hidden="false" customHeight="false" outlineLevel="0" collapsed="false">
      <c r="A25" s="22" t="s">
        <v>6639</v>
      </c>
      <c r="B25" s="22" t="s">
        <v>198</v>
      </c>
      <c r="C25" s="22" t="s">
        <v>6562</v>
      </c>
      <c r="D25" s="22" t="n">
        <v>32</v>
      </c>
      <c r="E25" s="22" t="s">
        <v>6575</v>
      </c>
      <c r="F25" s="22" t="s">
        <v>6577</v>
      </c>
      <c r="G25" s="22" t="s">
        <v>5693</v>
      </c>
      <c r="H25" s="22" t="s">
        <v>5694</v>
      </c>
      <c r="I25" s="22" t="s">
        <v>1646</v>
      </c>
      <c r="J25" s="22" t="n">
        <v>51.3</v>
      </c>
      <c r="K25" s="22" t="n">
        <f aca="false">ROUNDUP(J25,0)</f>
        <v>52</v>
      </c>
      <c r="L25" s="22" t="n">
        <f aca="false">MAX(D25,K25)</f>
        <v>52</v>
      </c>
      <c r="M25" s="25" t="n">
        <f aca="false">IF(E25="COVERED",'Controls &amp; Sources'!$B$5,'Controls &amp; Sources'!$B$6)</f>
        <v>10.4</v>
      </c>
      <c r="N25" s="25" t="n">
        <f aca="false">L25*M25</f>
        <v>540.8</v>
      </c>
      <c r="O25" s="22" t="n">
        <f aca="false">COUNTIFS('Billing Actual'!$E$2:$E$770,A25,'Billing Actual'!$B$2:$B$770,'Controls &amp; Sources'!$B$7)</f>
        <v>1</v>
      </c>
      <c r="P25" s="25" t="n">
        <f aca="false">SUMIFS('Billing Actual'!$M$2:$M$770,'Billing Actual'!$E$2:$E$770,A25,'Billing Actual'!$B$2:$B$770,'Controls &amp; Sources'!$B$7)</f>
        <v>540.8</v>
      </c>
      <c r="Q25" s="25" t="n">
        <f aca="false">P25-N25</f>
        <v>0</v>
      </c>
      <c r="R25" s="22" t="str">
        <f aca="false">IF(O25=0,"No August moorage transaction",IF(O25&gt;1,"Duplicate August transactions",IF(ABS(Q25)&gt;0.005,"Charge variance","OK")))</f>
        <v>OK</v>
      </c>
      <c r="S25" s="22" t="str">
        <f aca="false">IF(R25="OK","","Billing completeness/reconciliation")</f>
        <v/>
      </c>
    </row>
    <row r="26" customFormat="false" ht="15" hidden="false" customHeight="false" outlineLevel="0" collapsed="false">
      <c r="A26" s="22" t="s">
        <v>6642</v>
      </c>
      <c r="B26" s="22" t="s">
        <v>198</v>
      </c>
      <c r="C26" s="22" t="s">
        <v>6562</v>
      </c>
      <c r="D26" s="22" t="n">
        <v>36</v>
      </c>
      <c r="E26" s="22" t="s">
        <v>6575</v>
      </c>
      <c r="F26" s="22" t="s">
        <v>6577</v>
      </c>
      <c r="G26" s="22" t="s">
        <v>2581</v>
      </c>
      <c r="H26" s="22" t="s">
        <v>2582</v>
      </c>
      <c r="I26" s="22" t="s">
        <v>2583</v>
      </c>
      <c r="J26" s="22" t="n">
        <v>48.2</v>
      </c>
      <c r="K26" s="22" t="n">
        <f aca="false">ROUNDUP(J26,0)</f>
        <v>49</v>
      </c>
      <c r="L26" s="22" t="n">
        <f aca="false">MAX(D26,K26)</f>
        <v>49</v>
      </c>
      <c r="M26" s="25" t="n">
        <f aca="false">IF(E26="COVERED",'Controls &amp; Sources'!$B$5,'Controls &amp; Sources'!$B$6)</f>
        <v>10.4</v>
      </c>
      <c r="N26" s="25" t="n">
        <f aca="false">L26*M26</f>
        <v>509.6</v>
      </c>
      <c r="O26" s="22" t="n">
        <f aca="false">COUNTIFS('Billing Actual'!$E$2:$E$770,A26,'Billing Actual'!$B$2:$B$770,'Controls &amp; Sources'!$B$7)</f>
        <v>1</v>
      </c>
      <c r="P26" s="25" t="n">
        <f aca="false">SUMIFS('Billing Actual'!$M$2:$M$770,'Billing Actual'!$E$2:$E$770,A26,'Billing Actual'!$B$2:$B$770,'Controls &amp; Sources'!$B$7)</f>
        <v>509.6</v>
      </c>
      <c r="Q26" s="25" t="n">
        <f aca="false">P26-N26</f>
        <v>0</v>
      </c>
      <c r="R26" s="22" t="str">
        <f aca="false">IF(O26=0,"No August moorage transaction",IF(O26&gt;1,"Duplicate August transactions",IF(ABS(Q26)&gt;0.005,"Charge variance","OK")))</f>
        <v>OK</v>
      </c>
      <c r="S26" s="22" t="str">
        <f aca="false">IF(R26="OK","","Billing completeness/reconciliation")</f>
        <v/>
      </c>
    </row>
    <row r="27" customFormat="false" ht="15" hidden="false" customHeight="false" outlineLevel="0" collapsed="false">
      <c r="A27" s="22" t="s">
        <v>6645</v>
      </c>
      <c r="B27" s="22" t="s">
        <v>198</v>
      </c>
      <c r="C27" s="22" t="s">
        <v>6562</v>
      </c>
      <c r="D27" s="22" t="n">
        <v>32</v>
      </c>
      <c r="E27" s="22" t="s">
        <v>6575</v>
      </c>
      <c r="F27" s="22" t="s">
        <v>6577</v>
      </c>
      <c r="G27" s="22" t="s">
        <v>5697</v>
      </c>
      <c r="H27" s="22" t="s">
        <v>5698</v>
      </c>
      <c r="I27" s="22" t="s">
        <v>3754</v>
      </c>
      <c r="J27" s="22" t="n">
        <v>25.3</v>
      </c>
      <c r="K27" s="22" t="n">
        <f aca="false">ROUNDUP(J27,0)</f>
        <v>26</v>
      </c>
      <c r="L27" s="22" t="n">
        <f aca="false">MAX(D27,K27)</f>
        <v>32</v>
      </c>
      <c r="M27" s="25" t="n">
        <f aca="false">IF(E27="COVERED",'Controls &amp; Sources'!$B$5,'Controls &amp; Sources'!$B$6)</f>
        <v>10.4</v>
      </c>
      <c r="N27" s="25" t="n">
        <f aca="false">L27*M27</f>
        <v>332.8</v>
      </c>
      <c r="O27" s="22" t="n">
        <f aca="false">COUNTIFS('Billing Actual'!$E$2:$E$770,A27,'Billing Actual'!$B$2:$B$770,'Controls &amp; Sources'!$B$7)</f>
        <v>1</v>
      </c>
      <c r="P27" s="25" t="n">
        <f aca="false">SUMIFS('Billing Actual'!$M$2:$M$770,'Billing Actual'!$E$2:$E$770,A27,'Billing Actual'!$B$2:$B$770,'Controls &amp; Sources'!$B$7)</f>
        <v>332.8</v>
      </c>
      <c r="Q27" s="25" t="n">
        <f aca="false">P27-N27</f>
        <v>0</v>
      </c>
      <c r="R27" s="22" t="str">
        <f aca="false">IF(O27=0,"No August moorage transaction",IF(O27&gt;1,"Duplicate August transactions",IF(ABS(Q27)&gt;0.005,"Charge variance","OK")))</f>
        <v>OK</v>
      </c>
      <c r="S27" s="22" t="str">
        <f aca="false">IF(R27="OK","","Billing completeness/reconciliation")</f>
        <v/>
      </c>
    </row>
    <row r="28" customFormat="false" ht="15" hidden="false" customHeight="false" outlineLevel="0" collapsed="false">
      <c r="A28" s="22" t="s">
        <v>6648</v>
      </c>
      <c r="B28" s="22" t="s">
        <v>198</v>
      </c>
      <c r="C28" s="22" t="s">
        <v>6562</v>
      </c>
      <c r="D28" s="22" t="n">
        <v>28</v>
      </c>
      <c r="E28" s="22" t="s">
        <v>6575</v>
      </c>
      <c r="F28" s="22" t="s">
        <v>6577</v>
      </c>
      <c r="G28" s="22" t="s">
        <v>2817</v>
      </c>
      <c r="H28" s="22" t="s">
        <v>2818</v>
      </c>
      <c r="I28" s="22" t="s">
        <v>275</v>
      </c>
      <c r="J28" s="22" t="n">
        <v>38.8</v>
      </c>
      <c r="K28" s="22" t="n">
        <f aca="false">ROUNDUP(J28,0)</f>
        <v>39</v>
      </c>
      <c r="L28" s="22" t="n">
        <f aca="false">MAX(D28,K28)</f>
        <v>39</v>
      </c>
      <c r="M28" s="25" t="n">
        <f aca="false">IF(E28="COVERED",'Controls &amp; Sources'!$B$5,'Controls &amp; Sources'!$B$6)</f>
        <v>10.4</v>
      </c>
      <c r="N28" s="25" t="n">
        <f aca="false">L28*M28</f>
        <v>405.6</v>
      </c>
      <c r="O28" s="22" t="n">
        <f aca="false">COUNTIFS('Billing Actual'!$E$2:$E$770,A28,'Billing Actual'!$B$2:$B$770,'Controls &amp; Sources'!$B$7)</f>
        <v>1</v>
      </c>
      <c r="P28" s="25" t="n">
        <f aca="false">SUMIFS('Billing Actual'!$M$2:$M$770,'Billing Actual'!$E$2:$E$770,A28,'Billing Actual'!$B$2:$B$770,'Controls &amp; Sources'!$B$7)</f>
        <v>405.6</v>
      </c>
      <c r="Q28" s="25" t="n">
        <f aca="false">P28-N28</f>
        <v>0</v>
      </c>
      <c r="R28" s="22" t="str">
        <f aca="false">IF(O28=0,"No August moorage transaction",IF(O28&gt;1,"Duplicate August transactions",IF(ABS(Q28)&gt;0.005,"Charge variance","OK")))</f>
        <v>OK</v>
      </c>
      <c r="S28" s="22" t="str">
        <f aca="false">IF(R28="OK","","Billing completeness/reconciliation")</f>
        <v/>
      </c>
    </row>
    <row r="29" customFormat="false" ht="15" hidden="false" customHeight="false" outlineLevel="0" collapsed="false">
      <c r="A29" s="22" t="s">
        <v>6651</v>
      </c>
      <c r="B29" s="22" t="s">
        <v>198</v>
      </c>
      <c r="C29" s="22" t="s">
        <v>6562</v>
      </c>
      <c r="D29" s="22" t="n">
        <v>36</v>
      </c>
      <c r="E29" s="22" t="s">
        <v>6575</v>
      </c>
      <c r="F29" s="22" t="s">
        <v>6577</v>
      </c>
      <c r="G29" s="22" t="s">
        <v>6054</v>
      </c>
      <c r="H29" s="22" t="s">
        <v>6055</v>
      </c>
      <c r="I29" s="22" t="s">
        <v>395</v>
      </c>
      <c r="J29" s="22" t="n">
        <v>51.3</v>
      </c>
      <c r="K29" s="22" t="n">
        <f aca="false">ROUNDUP(J29,0)</f>
        <v>52</v>
      </c>
      <c r="L29" s="22" t="n">
        <f aca="false">MAX(D29,K29)</f>
        <v>52</v>
      </c>
      <c r="M29" s="25" t="n">
        <f aca="false">IF(E29="COVERED",'Controls &amp; Sources'!$B$5,'Controls &amp; Sources'!$B$6)</f>
        <v>10.4</v>
      </c>
      <c r="N29" s="25" t="n">
        <f aca="false">L29*M29</f>
        <v>540.8</v>
      </c>
      <c r="O29" s="22" t="n">
        <f aca="false">COUNTIFS('Billing Actual'!$E$2:$E$770,A29,'Billing Actual'!$B$2:$B$770,'Controls &amp; Sources'!$B$7)</f>
        <v>1</v>
      </c>
      <c r="P29" s="25" t="n">
        <f aca="false">SUMIFS('Billing Actual'!$M$2:$M$770,'Billing Actual'!$E$2:$E$770,A29,'Billing Actual'!$B$2:$B$770,'Controls &amp; Sources'!$B$7)</f>
        <v>540.8</v>
      </c>
      <c r="Q29" s="25" t="n">
        <f aca="false">P29-N29</f>
        <v>0</v>
      </c>
      <c r="R29" s="22" t="str">
        <f aca="false">IF(O29=0,"No August moorage transaction",IF(O29&gt;1,"Duplicate August transactions",IF(ABS(Q29)&gt;0.005,"Charge variance","OK")))</f>
        <v>OK</v>
      </c>
      <c r="S29" s="22" t="str">
        <f aca="false">IF(R29="OK","","Billing completeness/reconciliation")</f>
        <v/>
      </c>
    </row>
    <row r="30" customFormat="false" ht="15" hidden="false" customHeight="false" outlineLevel="0" collapsed="false">
      <c r="A30" s="22" t="s">
        <v>6655</v>
      </c>
      <c r="B30" s="22" t="s">
        <v>198</v>
      </c>
      <c r="C30" s="22" t="s">
        <v>6562</v>
      </c>
      <c r="D30" s="22" t="n">
        <v>36</v>
      </c>
      <c r="E30" s="22" t="s">
        <v>6575</v>
      </c>
      <c r="F30" s="22" t="s">
        <v>6577</v>
      </c>
      <c r="G30" s="22" t="s">
        <v>4658</v>
      </c>
      <c r="H30" s="22" t="s">
        <v>4659</v>
      </c>
      <c r="I30" s="22" t="s">
        <v>1996</v>
      </c>
      <c r="J30" s="22" t="n">
        <v>37.5</v>
      </c>
      <c r="K30" s="22" t="n">
        <f aca="false">ROUNDUP(J30,0)</f>
        <v>38</v>
      </c>
      <c r="L30" s="22" t="n">
        <f aca="false">MAX(D30,K30)</f>
        <v>38</v>
      </c>
      <c r="M30" s="25" t="n">
        <f aca="false">IF(E30="COVERED",'Controls &amp; Sources'!$B$5,'Controls &amp; Sources'!$B$6)</f>
        <v>10.4</v>
      </c>
      <c r="N30" s="25" t="n">
        <f aca="false">L30*M30</f>
        <v>395.2</v>
      </c>
      <c r="O30" s="22" t="n">
        <f aca="false">COUNTIFS('Billing Actual'!$E$2:$E$770,A30,'Billing Actual'!$B$2:$B$770,'Controls &amp; Sources'!$B$7)</f>
        <v>1</v>
      </c>
      <c r="P30" s="25" t="n">
        <f aca="false">SUMIFS('Billing Actual'!$M$2:$M$770,'Billing Actual'!$E$2:$E$770,A30,'Billing Actual'!$B$2:$B$770,'Controls &amp; Sources'!$B$7)</f>
        <v>395.2</v>
      </c>
      <c r="Q30" s="25" t="n">
        <f aca="false">P30-N30</f>
        <v>0</v>
      </c>
      <c r="R30" s="22" t="str">
        <f aca="false">IF(O30=0,"No August moorage transaction",IF(O30&gt;1,"Duplicate August transactions",IF(ABS(Q30)&gt;0.005,"Charge variance","OK")))</f>
        <v>OK</v>
      </c>
      <c r="S30" s="22" t="str">
        <f aca="false">IF(R30="OK","","Billing completeness/reconciliation")</f>
        <v/>
      </c>
    </row>
    <row r="31" customFormat="false" ht="15" hidden="false" customHeight="false" outlineLevel="0" collapsed="false">
      <c r="A31" s="22" t="s">
        <v>6658</v>
      </c>
      <c r="B31" s="22" t="s">
        <v>198</v>
      </c>
      <c r="C31" s="22" t="s">
        <v>6562</v>
      </c>
      <c r="D31" s="22" t="n">
        <v>28</v>
      </c>
      <c r="E31" s="22" t="s">
        <v>6575</v>
      </c>
      <c r="F31" s="22" t="s">
        <v>6577</v>
      </c>
      <c r="G31" s="22" t="s">
        <v>2244</v>
      </c>
      <c r="H31" s="22" t="s">
        <v>2245</v>
      </c>
      <c r="I31" s="22" t="s">
        <v>885</v>
      </c>
      <c r="J31" s="22" t="n">
        <v>28.3</v>
      </c>
      <c r="K31" s="22" t="n">
        <f aca="false">ROUNDUP(J31,0)</f>
        <v>29</v>
      </c>
      <c r="L31" s="22" t="n">
        <f aca="false">MAX(D31,K31)</f>
        <v>29</v>
      </c>
      <c r="M31" s="25" t="n">
        <f aca="false">IF(E31="COVERED",'Controls &amp; Sources'!$B$5,'Controls &amp; Sources'!$B$6)</f>
        <v>10.4</v>
      </c>
      <c r="N31" s="25" t="n">
        <f aca="false">L31*M31</f>
        <v>301.6</v>
      </c>
      <c r="O31" s="22" t="n">
        <f aca="false">COUNTIFS('Billing Actual'!$E$2:$E$770,A31,'Billing Actual'!$B$2:$B$770,'Controls &amp; Sources'!$B$7)</f>
        <v>1</v>
      </c>
      <c r="P31" s="25" t="n">
        <f aca="false">SUMIFS('Billing Actual'!$M$2:$M$770,'Billing Actual'!$E$2:$E$770,A31,'Billing Actual'!$B$2:$B$770,'Controls &amp; Sources'!$B$7)</f>
        <v>301.6</v>
      </c>
      <c r="Q31" s="25" t="n">
        <f aca="false">P31-N31</f>
        <v>0</v>
      </c>
      <c r="R31" s="22" t="str">
        <f aca="false">IF(O31=0,"No August moorage transaction",IF(O31&gt;1,"Duplicate August transactions",IF(ABS(Q31)&gt;0.005,"Charge variance","OK")))</f>
        <v>OK</v>
      </c>
      <c r="S31" s="22" t="str">
        <f aca="false">IF(R31="OK","","Billing completeness/reconciliation")</f>
        <v/>
      </c>
    </row>
    <row r="32" customFormat="false" ht="15" hidden="false" customHeight="false" outlineLevel="0" collapsed="false">
      <c r="A32" s="22" t="s">
        <v>6661</v>
      </c>
      <c r="B32" s="22" t="s">
        <v>198</v>
      </c>
      <c r="C32" s="22" t="s">
        <v>6562</v>
      </c>
      <c r="D32" s="22" t="n">
        <v>28</v>
      </c>
      <c r="E32" s="22" t="s">
        <v>6575</v>
      </c>
      <c r="F32" s="22" t="s">
        <v>6577</v>
      </c>
      <c r="G32" s="22" t="s">
        <v>1703</v>
      </c>
      <c r="H32" s="22" t="s">
        <v>1704</v>
      </c>
      <c r="I32" s="22" t="s">
        <v>1705</v>
      </c>
      <c r="J32" s="22" t="n">
        <v>35.6</v>
      </c>
      <c r="K32" s="22" t="n">
        <f aca="false">ROUNDUP(J32,0)</f>
        <v>36</v>
      </c>
      <c r="L32" s="22" t="n">
        <f aca="false">MAX(D32,K32)</f>
        <v>36</v>
      </c>
      <c r="M32" s="25" t="n">
        <f aca="false">IF(E32="COVERED",'Controls &amp; Sources'!$B$5,'Controls &amp; Sources'!$B$6)</f>
        <v>10.4</v>
      </c>
      <c r="N32" s="25" t="n">
        <f aca="false">L32*M32</f>
        <v>374.4</v>
      </c>
      <c r="O32" s="22" t="n">
        <f aca="false">COUNTIFS('Billing Actual'!$E$2:$E$770,A32,'Billing Actual'!$B$2:$B$770,'Controls &amp; Sources'!$B$7)</f>
        <v>1</v>
      </c>
      <c r="P32" s="25" t="n">
        <f aca="false">SUMIFS('Billing Actual'!$M$2:$M$770,'Billing Actual'!$E$2:$E$770,A32,'Billing Actual'!$B$2:$B$770,'Controls &amp; Sources'!$B$7)</f>
        <v>374.4</v>
      </c>
      <c r="Q32" s="25" t="n">
        <f aca="false">P32-N32</f>
        <v>0</v>
      </c>
      <c r="R32" s="22" t="str">
        <f aca="false">IF(O32=0,"No August moorage transaction",IF(O32&gt;1,"Duplicate August transactions",IF(ABS(Q32)&gt;0.005,"Charge variance","OK")))</f>
        <v>OK</v>
      </c>
      <c r="S32" s="22" t="str">
        <f aca="false">IF(R32="OK","","Billing completeness/reconciliation")</f>
        <v/>
      </c>
    </row>
    <row r="33" customFormat="false" ht="15" hidden="false" customHeight="false" outlineLevel="0" collapsed="false">
      <c r="A33" s="22" t="s">
        <v>6664</v>
      </c>
      <c r="B33" s="22" t="s">
        <v>198</v>
      </c>
      <c r="C33" s="22" t="s">
        <v>6562</v>
      </c>
      <c r="D33" s="22" t="n">
        <v>40</v>
      </c>
      <c r="E33" s="22" t="s">
        <v>6575</v>
      </c>
      <c r="F33" s="22" t="s">
        <v>6577</v>
      </c>
      <c r="G33" s="22" t="s">
        <v>1530</v>
      </c>
      <c r="H33" s="22" t="s">
        <v>1531</v>
      </c>
      <c r="I33" s="22" t="s">
        <v>1532</v>
      </c>
      <c r="J33" s="22" t="n">
        <v>23</v>
      </c>
      <c r="K33" s="22" t="n">
        <f aca="false">ROUNDUP(J33,0)</f>
        <v>23</v>
      </c>
      <c r="L33" s="22" t="n">
        <f aca="false">MAX(D33,K33)</f>
        <v>40</v>
      </c>
      <c r="M33" s="25" t="n">
        <f aca="false">IF(E33="COVERED",'Controls &amp; Sources'!$B$5,'Controls &amp; Sources'!$B$6)</f>
        <v>10.4</v>
      </c>
      <c r="N33" s="25" t="n">
        <f aca="false">L33*M33</f>
        <v>416</v>
      </c>
      <c r="O33" s="22" t="n">
        <f aca="false">COUNTIFS('Billing Actual'!$E$2:$E$770,A33,'Billing Actual'!$B$2:$B$770,'Controls &amp; Sources'!$B$7)</f>
        <v>1</v>
      </c>
      <c r="P33" s="25" t="n">
        <f aca="false">SUMIFS('Billing Actual'!$M$2:$M$770,'Billing Actual'!$E$2:$E$770,A33,'Billing Actual'!$B$2:$B$770,'Controls &amp; Sources'!$B$7)</f>
        <v>416</v>
      </c>
      <c r="Q33" s="25" t="n">
        <f aca="false">P33-N33</f>
        <v>0</v>
      </c>
      <c r="R33" s="22" t="str">
        <f aca="false">IF(O33=0,"No August moorage transaction",IF(O33&gt;1,"Duplicate August transactions",IF(ABS(Q33)&gt;0.005,"Charge variance","OK")))</f>
        <v>OK</v>
      </c>
      <c r="S33" s="22" t="str">
        <f aca="false">IF(R33="OK","","Billing completeness/reconciliation")</f>
        <v/>
      </c>
    </row>
    <row r="34" customFormat="false" ht="15" hidden="false" customHeight="false" outlineLevel="0" collapsed="false">
      <c r="A34" s="22" t="s">
        <v>6667</v>
      </c>
      <c r="B34" s="22" t="s">
        <v>198</v>
      </c>
      <c r="C34" s="22" t="s">
        <v>6562</v>
      </c>
      <c r="D34" s="22" t="n">
        <v>24</v>
      </c>
      <c r="E34" s="22" t="s">
        <v>6575</v>
      </c>
      <c r="F34" s="22" t="s">
        <v>6577</v>
      </c>
      <c r="G34" s="22" t="s">
        <v>4893</v>
      </c>
      <c r="H34" s="22" t="s">
        <v>4894</v>
      </c>
      <c r="I34" s="22" t="s">
        <v>967</v>
      </c>
      <c r="J34" s="22" t="n">
        <v>41.4</v>
      </c>
      <c r="K34" s="22" t="n">
        <f aca="false">ROUNDUP(J34,0)</f>
        <v>42</v>
      </c>
      <c r="L34" s="22" t="n">
        <f aca="false">MAX(D34,K34)</f>
        <v>42</v>
      </c>
      <c r="M34" s="25" t="n">
        <f aca="false">IF(E34="COVERED",'Controls &amp; Sources'!$B$5,'Controls &amp; Sources'!$B$6)</f>
        <v>10.4</v>
      </c>
      <c r="N34" s="25" t="n">
        <f aca="false">L34*M34</f>
        <v>436.8</v>
      </c>
      <c r="O34" s="22" t="n">
        <f aca="false">COUNTIFS('Billing Actual'!$E$2:$E$770,A34,'Billing Actual'!$B$2:$B$770,'Controls &amp; Sources'!$B$7)</f>
        <v>1</v>
      </c>
      <c r="P34" s="25" t="n">
        <f aca="false">SUMIFS('Billing Actual'!$M$2:$M$770,'Billing Actual'!$E$2:$E$770,A34,'Billing Actual'!$B$2:$B$770,'Controls &amp; Sources'!$B$7)</f>
        <v>436.8</v>
      </c>
      <c r="Q34" s="25" t="n">
        <f aca="false">P34-N34</f>
        <v>0</v>
      </c>
      <c r="R34" s="22" t="str">
        <f aca="false">IF(O34=0,"No August moorage transaction",IF(O34&gt;1,"Duplicate August transactions",IF(ABS(Q34)&gt;0.005,"Charge variance","OK")))</f>
        <v>OK</v>
      </c>
      <c r="S34" s="22" t="str">
        <f aca="false">IF(R34="OK","","Billing completeness/reconciliation")</f>
        <v/>
      </c>
    </row>
    <row r="35" customFormat="false" ht="15" hidden="false" customHeight="false" outlineLevel="0" collapsed="false">
      <c r="A35" s="22" t="s">
        <v>6673</v>
      </c>
      <c r="B35" s="22" t="s">
        <v>198</v>
      </c>
      <c r="C35" s="22" t="s">
        <v>6562</v>
      </c>
      <c r="D35" s="22" t="n">
        <v>32</v>
      </c>
      <c r="E35" s="22" t="s">
        <v>6575</v>
      </c>
      <c r="F35" s="22" t="s">
        <v>6577</v>
      </c>
      <c r="G35" s="22" t="s">
        <v>3569</v>
      </c>
      <c r="H35" s="22" t="s">
        <v>3570</v>
      </c>
      <c r="I35" s="22" t="s">
        <v>239</v>
      </c>
      <c r="J35" s="22" t="n">
        <v>35.9</v>
      </c>
      <c r="K35" s="22" t="n">
        <f aca="false">ROUNDUP(J35,0)</f>
        <v>36</v>
      </c>
      <c r="L35" s="22" t="n">
        <f aca="false">MAX(D35,K35)</f>
        <v>36</v>
      </c>
      <c r="M35" s="25" t="n">
        <f aca="false">IF(E35="COVERED",'Controls &amp; Sources'!$B$5,'Controls &amp; Sources'!$B$6)</f>
        <v>10.4</v>
      </c>
      <c r="N35" s="25" t="n">
        <f aca="false">L35*M35</f>
        <v>374.4</v>
      </c>
      <c r="O35" s="22" t="n">
        <f aca="false">COUNTIFS('Billing Actual'!$E$2:$E$770,A35,'Billing Actual'!$B$2:$B$770,'Controls &amp; Sources'!$B$7)</f>
        <v>1</v>
      </c>
      <c r="P35" s="25" t="n">
        <f aca="false">SUMIFS('Billing Actual'!$M$2:$M$770,'Billing Actual'!$E$2:$E$770,A35,'Billing Actual'!$B$2:$B$770,'Controls &amp; Sources'!$B$7)</f>
        <v>374.4</v>
      </c>
      <c r="Q35" s="25" t="n">
        <f aca="false">P35-N35</f>
        <v>0</v>
      </c>
      <c r="R35" s="22" t="str">
        <f aca="false">IF(O35=0,"No August moorage transaction",IF(O35&gt;1,"Duplicate August transactions",IF(ABS(Q35)&gt;0.005,"Charge variance","OK")))</f>
        <v>OK</v>
      </c>
      <c r="S35" s="22" t="str">
        <f aca="false">IF(R35="OK","","Billing completeness/reconciliation")</f>
        <v/>
      </c>
    </row>
    <row r="36" customFormat="false" ht="15" hidden="false" customHeight="false" outlineLevel="0" collapsed="false">
      <c r="A36" s="22" t="s">
        <v>6676</v>
      </c>
      <c r="B36" s="22" t="s">
        <v>198</v>
      </c>
      <c r="C36" s="22" t="s">
        <v>6562</v>
      </c>
      <c r="D36" s="22" t="n">
        <v>32</v>
      </c>
      <c r="E36" s="22" t="s">
        <v>6575</v>
      </c>
      <c r="F36" s="22" t="s">
        <v>6577</v>
      </c>
      <c r="G36" s="22" t="s">
        <v>1539</v>
      </c>
      <c r="H36" s="22" t="s">
        <v>1540</v>
      </c>
      <c r="I36" s="22" t="s">
        <v>1175</v>
      </c>
      <c r="J36" s="22" t="n">
        <v>19.8</v>
      </c>
      <c r="K36" s="22" t="n">
        <f aca="false">ROUNDUP(J36,0)</f>
        <v>20</v>
      </c>
      <c r="L36" s="22" t="n">
        <f aca="false">MAX(D36,K36)</f>
        <v>32</v>
      </c>
      <c r="M36" s="25" t="n">
        <f aca="false">IF(E36="COVERED",'Controls &amp; Sources'!$B$5,'Controls &amp; Sources'!$B$6)</f>
        <v>10.4</v>
      </c>
      <c r="N36" s="25" t="n">
        <f aca="false">L36*M36</f>
        <v>332.8</v>
      </c>
      <c r="O36" s="22" t="n">
        <f aca="false">COUNTIFS('Billing Actual'!$E$2:$E$770,A36,'Billing Actual'!$B$2:$B$770,'Controls &amp; Sources'!$B$7)</f>
        <v>1</v>
      </c>
      <c r="P36" s="25" t="n">
        <f aca="false">SUMIFS('Billing Actual'!$M$2:$M$770,'Billing Actual'!$E$2:$E$770,A36,'Billing Actual'!$B$2:$B$770,'Controls &amp; Sources'!$B$7)</f>
        <v>332.8</v>
      </c>
      <c r="Q36" s="25" t="n">
        <f aca="false">P36-N36</f>
        <v>0</v>
      </c>
      <c r="R36" s="22" t="str">
        <f aca="false">IF(O36=0,"No August moorage transaction",IF(O36&gt;1,"Duplicate August transactions",IF(ABS(Q36)&gt;0.005,"Charge variance","OK")))</f>
        <v>OK</v>
      </c>
      <c r="S36" s="22" t="str">
        <f aca="false">IF(R36="OK","","Billing completeness/reconciliation")</f>
        <v/>
      </c>
    </row>
    <row r="37" customFormat="false" ht="15" hidden="false" customHeight="false" outlineLevel="0" collapsed="false">
      <c r="A37" s="22" t="s">
        <v>6679</v>
      </c>
      <c r="B37" s="22" t="s">
        <v>198</v>
      </c>
      <c r="C37" s="22" t="s">
        <v>6562</v>
      </c>
      <c r="D37" s="22" t="n">
        <v>40</v>
      </c>
      <c r="E37" s="22" t="s">
        <v>6575</v>
      </c>
      <c r="F37" s="22" t="s">
        <v>6577</v>
      </c>
      <c r="G37" s="22" t="s">
        <v>3034</v>
      </c>
      <c r="H37" s="22" t="s">
        <v>3035</v>
      </c>
      <c r="I37" s="22" t="s">
        <v>1702</v>
      </c>
      <c r="J37" s="22" t="n">
        <v>24.8</v>
      </c>
      <c r="K37" s="22" t="n">
        <f aca="false">ROUNDUP(J37,0)</f>
        <v>25</v>
      </c>
      <c r="L37" s="22" t="n">
        <f aca="false">MAX(D37,K37)</f>
        <v>40</v>
      </c>
      <c r="M37" s="25" t="n">
        <f aca="false">IF(E37="COVERED",'Controls &amp; Sources'!$B$5,'Controls &amp; Sources'!$B$6)</f>
        <v>10.4</v>
      </c>
      <c r="N37" s="25" t="n">
        <f aca="false">L37*M37</f>
        <v>416</v>
      </c>
      <c r="O37" s="22" t="n">
        <f aca="false">COUNTIFS('Billing Actual'!$E$2:$E$770,A37,'Billing Actual'!$B$2:$B$770,'Controls &amp; Sources'!$B$7)</f>
        <v>1</v>
      </c>
      <c r="P37" s="25" t="n">
        <f aca="false">SUMIFS('Billing Actual'!$M$2:$M$770,'Billing Actual'!$E$2:$E$770,A37,'Billing Actual'!$B$2:$B$770,'Controls &amp; Sources'!$B$7)</f>
        <v>416</v>
      </c>
      <c r="Q37" s="25" t="n">
        <f aca="false">P37-N37</f>
        <v>0</v>
      </c>
      <c r="R37" s="22" t="str">
        <f aca="false">IF(O37=0,"No August moorage transaction",IF(O37&gt;1,"Duplicate August transactions",IF(ABS(Q37)&gt;0.005,"Charge variance","OK")))</f>
        <v>OK</v>
      </c>
      <c r="S37" s="22" t="str">
        <f aca="false">IF(R37="OK","","Billing completeness/reconciliation")</f>
        <v/>
      </c>
    </row>
    <row r="38" customFormat="false" ht="15" hidden="false" customHeight="false" outlineLevel="0" collapsed="false">
      <c r="A38" s="22" t="s">
        <v>6684</v>
      </c>
      <c r="B38" s="22" t="s">
        <v>198</v>
      </c>
      <c r="C38" s="22" t="s">
        <v>6562</v>
      </c>
      <c r="D38" s="22" t="n">
        <v>24</v>
      </c>
      <c r="E38" s="22" t="s">
        <v>6575</v>
      </c>
      <c r="F38" s="22" t="s">
        <v>6577</v>
      </c>
      <c r="G38" s="22" t="s">
        <v>5433</v>
      </c>
      <c r="H38" s="22" t="s">
        <v>5434</v>
      </c>
      <c r="I38" s="22" t="s">
        <v>1017</v>
      </c>
      <c r="J38" s="22" t="n">
        <v>57.4</v>
      </c>
      <c r="K38" s="22" t="n">
        <f aca="false">ROUNDUP(J38,0)</f>
        <v>58</v>
      </c>
      <c r="L38" s="22" t="n">
        <f aca="false">MAX(D38,K38)</f>
        <v>58</v>
      </c>
      <c r="M38" s="25" t="n">
        <f aca="false">IF(E38="COVERED",'Controls &amp; Sources'!$B$5,'Controls &amp; Sources'!$B$6)</f>
        <v>10.4</v>
      </c>
      <c r="N38" s="25" t="n">
        <f aca="false">L38*M38</f>
        <v>603.2</v>
      </c>
      <c r="O38" s="22" t="n">
        <f aca="false">COUNTIFS('Billing Actual'!$E$2:$E$770,A38,'Billing Actual'!$B$2:$B$770,'Controls &amp; Sources'!$B$7)</f>
        <v>1</v>
      </c>
      <c r="P38" s="25" t="n">
        <f aca="false">SUMIFS('Billing Actual'!$M$2:$M$770,'Billing Actual'!$E$2:$E$770,A38,'Billing Actual'!$B$2:$B$770,'Controls &amp; Sources'!$B$7)</f>
        <v>603.2</v>
      </c>
      <c r="Q38" s="25" t="n">
        <f aca="false">P38-N38</f>
        <v>0</v>
      </c>
      <c r="R38" s="22" t="str">
        <f aca="false">IF(O38=0,"No August moorage transaction",IF(O38&gt;1,"Duplicate August transactions",IF(ABS(Q38)&gt;0.005,"Charge variance","OK")))</f>
        <v>OK</v>
      </c>
      <c r="S38" s="22" t="str">
        <f aca="false">IF(R38="OK","","Billing completeness/reconciliation")</f>
        <v/>
      </c>
    </row>
    <row r="39" customFormat="false" ht="15" hidden="false" customHeight="false" outlineLevel="0" collapsed="false">
      <c r="A39" s="22" t="s">
        <v>6687</v>
      </c>
      <c r="B39" s="22" t="s">
        <v>198</v>
      </c>
      <c r="C39" s="22" t="s">
        <v>6562</v>
      </c>
      <c r="D39" s="22" t="n">
        <v>40</v>
      </c>
      <c r="E39" s="22" t="s">
        <v>6575</v>
      </c>
      <c r="F39" s="22" t="s">
        <v>6577</v>
      </c>
      <c r="G39" s="22" t="s">
        <v>3479</v>
      </c>
      <c r="H39" s="22" t="s">
        <v>3480</v>
      </c>
      <c r="I39" s="22" t="s">
        <v>1761</v>
      </c>
      <c r="J39" s="22" t="n">
        <v>49.7</v>
      </c>
      <c r="K39" s="22" t="n">
        <f aca="false">ROUNDUP(J39,0)</f>
        <v>50</v>
      </c>
      <c r="L39" s="22" t="n">
        <f aca="false">MAX(D39,K39)</f>
        <v>50</v>
      </c>
      <c r="M39" s="25" t="n">
        <f aca="false">IF(E39="COVERED",'Controls &amp; Sources'!$B$5,'Controls &amp; Sources'!$B$6)</f>
        <v>10.4</v>
      </c>
      <c r="N39" s="25" t="n">
        <f aca="false">L39*M39</f>
        <v>520</v>
      </c>
      <c r="O39" s="22" t="n">
        <f aca="false">COUNTIFS('Billing Actual'!$E$2:$E$770,A39,'Billing Actual'!$B$2:$B$770,'Controls &amp; Sources'!$B$7)</f>
        <v>1</v>
      </c>
      <c r="P39" s="25" t="n">
        <f aca="false">SUMIFS('Billing Actual'!$M$2:$M$770,'Billing Actual'!$E$2:$E$770,A39,'Billing Actual'!$B$2:$B$770,'Controls &amp; Sources'!$B$7)</f>
        <v>520</v>
      </c>
      <c r="Q39" s="25" t="n">
        <f aca="false">P39-N39</f>
        <v>0</v>
      </c>
      <c r="R39" s="22" t="str">
        <f aca="false">IF(O39=0,"No August moorage transaction",IF(O39&gt;1,"Duplicate August transactions",IF(ABS(Q39)&gt;0.005,"Charge variance","OK")))</f>
        <v>OK</v>
      </c>
      <c r="S39" s="22" t="str">
        <f aca="false">IF(R39="OK","","Billing completeness/reconciliation")</f>
        <v/>
      </c>
    </row>
    <row r="40" customFormat="false" ht="15" hidden="false" customHeight="false" outlineLevel="0" collapsed="false">
      <c r="A40" s="22" t="s">
        <v>6690</v>
      </c>
      <c r="B40" s="22" t="s">
        <v>198</v>
      </c>
      <c r="C40" s="22" t="s">
        <v>6562</v>
      </c>
      <c r="D40" s="22" t="n">
        <v>28</v>
      </c>
      <c r="E40" s="22" t="s">
        <v>6575</v>
      </c>
      <c r="F40" s="22" t="s">
        <v>6577</v>
      </c>
      <c r="G40" s="22" t="s">
        <v>2234</v>
      </c>
      <c r="H40" s="22" t="s">
        <v>2235</v>
      </c>
      <c r="I40" s="22" t="s">
        <v>1753</v>
      </c>
      <c r="J40" s="22" t="n">
        <v>31</v>
      </c>
      <c r="K40" s="22" t="n">
        <f aca="false">ROUNDUP(J40,0)</f>
        <v>31</v>
      </c>
      <c r="L40" s="22" t="n">
        <f aca="false">MAX(D40,K40)</f>
        <v>31</v>
      </c>
      <c r="M40" s="25" t="n">
        <f aca="false">IF(E40="COVERED",'Controls &amp; Sources'!$B$5,'Controls &amp; Sources'!$B$6)</f>
        <v>10.4</v>
      </c>
      <c r="N40" s="25" t="n">
        <f aca="false">L40*M40</f>
        <v>322.4</v>
      </c>
      <c r="O40" s="22" t="n">
        <f aca="false">COUNTIFS('Billing Actual'!$E$2:$E$770,A40,'Billing Actual'!$B$2:$B$770,'Controls &amp; Sources'!$B$7)</f>
        <v>1</v>
      </c>
      <c r="P40" s="25" t="n">
        <f aca="false">SUMIFS('Billing Actual'!$M$2:$M$770,'Billing Actual'!$E$2:$E$770,A40,'Billing Actual'!$B$2:$B$770,'Controls &amp; Sources'!$B$7)</f>
        <v>322.4</v>
      </c>
      <c r="Q40" s="25" t="n">
        <f aca="false">P40-N40</f>
        <v>0</v>
      </c>
      <c r="R40" s="22" t="str">
        <f aca="false">IF(O40=0,"No August moorage transaction",IF(O40&gt;1,"Duplicate August transactions",IF(ABS(Q40)&gt;0.005,"Charge variance","OK")))</f>
        <v>OK</v>
      </c>
      <c r="S40" s="22" t="str">
        <f aca="false">IF(R40="OK","","Billing completeness/reconciliation")</f>
        <v/>
      </c>
    </row>
    <row r="41" customFormat="false" ht="15" hidden="false" customHeight="false" outlineLevel="0" collapsed="false">
      <c r="A41" s="22" t="s">
        <v>6693</v>
      </c>
      <c r="B41" s="22" t="s">
        <v>198</v>
      </c>
      <c r="C41" s="22" t="s">
        <v>6562</v>
      </c>
      <c r="D41" s="22" t="n">
        <v>28</v>
      </c>
      <c r="E41" s="22" t="s">
        <v>6575</v>
      </c>
      <c r="F41" s="22" t="s">
        <v>6577</v>
      </c>
      <c r="G41" s="22" t="s">
        <v>1098</v>
      </c>
      <c r="H41" s="22" t="s">
        <v>1099</v>
      </c>
      <c r="I41" s="22" t="s">
        <v>793</v>
      </c>
      <c r="J41" s="22" t="n">
        <v>26.3</v>
      </c>
      <c r="K41" s="22" t="n">
        <f aca="false">ROUNDUP(J41,0)</f>
        <v>27</v>
      </c>
      <c r="L41" s="22" t="n">
        <f aca="false">MAX(D41,K41)</f>
        <v>28</v>
      </c>
      <c r="M41" s="25" t="n">
        <f aca="false">IF(E41="COVERED",'Controls &amp; Sources'!$B$5,'Controls &amp; Sources'!$B$6)</f>
        <v>10.4</v>
      </c>
      <c r="N41" s="25" t="n">
        <f aca="false">L41*M41</f>
        <v>291.2</v>
      </c>
      <c r="O41" s="22" t="n">
        <f aca="false">COUNTIFS('Billing Actual'!$E$2:$E$770,A41,'Billing Actual'!$B$2:$B$770,'Controls &amp; Sources'!$B$7)</f>
        <v>1</v>
      </c>
      <c r="P41" s="25" t="n">
        <f aca="false">SUMIFS('Billing Actual'!$M$2:$M$770,'Billing Actual'!$E$2:$E$770,A41,'Billing Actual'!$B$2:$B$770,'Controls &amp; Sources'!$B$7)</f>
        <v>291.2</v>
      </c>
      <c r="Q41" s="25" t="n">
        <f aca="false">P41-N41</f>
        <v>0</v>
      </c>
      <c r="R41" s="22" t="str">
        <f aca="false">IF(O41=0,"No August moorage transaction",IF(O41&gt;1,"Duplicate August transactions",IF(ABS(Q41)&gt;0.005,"Charge variance","OK")))</f>
        <v>OK</v>
      </c>
      <c r="S41" s="22" t="str">
        <f aca="false">IF(R41="OK","","Billing completeness/reconciliation")</f>
        <v/>
      </c>
    </row>
    <row r="42" customFormat="false" ht="15" hidden="false" customHeight="false" outlineLevel="0" collapsed="false">
      <c r="A42" s="22" t="s">
        <v>6696</v>
      </c>
      <c r="B42" s="22" t="s">
        <v>198</v>
      </c>
      <c r="C42" s="22" t="s">
        <v>6562</v>
      </c>
      <c r="D42" s="22" t="n">
        <v>32</v>
      </c>
      <c r="E42" s="22" t="s">
        <v>6575</v>
      </c>
      <c r="F42" s="22" t="s">
        <v>6577</v>
      </c>
      <c r="G42" s="22" t="s">
        <v>1327</v>
      </c>
      <c r="H42" s="22" t="s">
        <v>1328</v>
      </c>
      <c r="I42" s="22" t="s">
        <v>315</v>
      </c>
      <c r="J42" s="22" t="n">
        <v>57</v>
      </c>
      <c r="K42" s="22" t="n">
        <f aca="false">ROUNDUP(J42,0)</f>
        <v>57</v>
      </c>
      <c r="L42" s="22" t="n">
        <f aca="false">MAX(D42,K42)</f>
        <v>57</v>
      </c>
      <c r="M42" s="25" t="n">
        <f aca="false">IF(E42="COVERED",'Controls &amp; Sources'!$B$5,'Controls &amp; Sources'!$B$6)</f>
        <v>10.4</v>
      </c>
      <c r="N42" s="25" t="n">
        <f aca="false">L42*M42</f>
        <v>592.8</v>
      </c>
      <c r="O42" s="22" t="n">
        <f aca="false">COUNTIFS('Billing Actual'!$E$2:$E$770,A42,'Billing Actual'!$B$2:$B$770,'Controls &amp; Sources'!$B$7)</f>
        <v>1</v>
      </c>
      <c r="P42" s="25" t="n">
        <f aca="false">SUMIFS('Billing Actual'!$M$2:$M$770,'Billing Actual'!$E$2:$E$770,A42,'Billing Actual'!$B$2:$B$770,'Controls &amp; Sources'!$B$7)</f>
        <v>592.8</v>
      </c>
      <c r="Q42" s="25" t="n">
        <f aca="false">P42-N42</f>
        <v>0</v>
      </c>
      <c r="R42" s="22" t="str">
        <f aca="false">IF(O42=0,"No August moorage transaction",IF(O42&gt;1,"Duplicate August transactions",IF(ABS(Q42)&gt;0.005,"Charge variance","OK")))</f>
        <v>OK</v>
      </c>
      <c r="S42" s="22" t="str">
        <f aca="false">IF(R42="OK","","Billing completeness/reconciliation")</f>
        <v/>
      </c>
    </row>
    <row r="43" customFormat="false" ht="15" hidden="false" customHeight="false" outlineLevel="0" collapsed="false">
      <c r="A43" s="22" t="s">
        <v>6699</v>
      </c>
      <c r="B43" s="22" t="s">
        <v>198</v>
      </c>
      <c r="C43" s="22" t="s">
        <v>6562</v>
      </c>
      <c r="D43" s="22" t="n">
        <v>40</v>
      </c>
      <c r="E43" s="22" t="s">
        <v>6575</v>
      </c>
      <c r="F43" s="22" t="s">
        <v>6577</v>
      </c>
      <c r="G43" s="22" t="s">
        <v>1490</v>
      </c>
      <c r="H43" s="22" t="s">
        <v>1491</v>
      </c>
      <c r="I43" s="22" t="s">
        <v>1034</v>
      </c>
      <c r="J43" s="22" t="n">
        <v>58.7</v>
      </c>
      <c r="K43" s="22" t="n">
        <f aca="false">ROUNDUP(J43,0)</f>
        <v>59</v>
      </c>
      <c r="L43" s="22" t="n">
        <f aca="false">MAX(D43,K43)</f>
        <v>59</v>
      </c>
      <c r="M43" s="25" t="n">
        <f aca="false">IF(E43="COVERED",'Controls &amp; Sources'!$B$5,'Controls &amp; Sources'!$B$6)</f>
        <v>10.4</v>
      </c>
      <c r="N43" s="25" t="n">
        <f aca="false">L43*M43</f>
        <v>613.6</v>
      </c>
      <c r="O43" s="22" t="n">
        <f aca="false">COUNTIFS('Billing Actual'!$E$2:$E$770,A43,'Billing Actual'!$B$2:$B$770,'Controls &amp; Sources'!$B$7)</f>
        <v>1</v>
      </c>
      <c r="P43" s="25" t="n">
        <f aca="false">SUMIFS('Billing Actual'!$M$2:$M$770,'Billing Actual'!$E$2:$E$770,A43,'Billing Actual'!$B$2:$B$770,'Controls &amp; Sources'!$B$7)</f>
        <v>613.6</v>
      </c>
      <c r="Q43" s="25" t="n">
        <f aca="false">P43-N43</f>
        <v>0</v>
      </c>
      <c r="R43" s="22" t="str">
        <f aca="false">IF(O43=0,"No August moorage transaction",IF(O43&gt;1,"Duplicate August transactions",IF(ABS(Q43)&gt;0.005,"Charge variance","OK")))</f>
        <v>OK</v>
      </c>
      <c r="S43" s="22" t="str">
        <f aca="false">IF(R43="OK","","Billing completeness/reconciliation")</f>
        <v/>
      </c>
    </row>
    <row r="44" customFormat="false" ht="15" hidden="false" customHeight="false" outlineLevel="0" collapsed="false">
      <c r="A44" s="22" t="s">
        <v>6702</v>
      </c>
      <c r="B44" s="22" t="s">
        <v>198</v>
      </c>
      <c r="C44" s="22" t="s">
        <v>6562</v>
      </c>
      <c r="D44" s="22" t="n">
        <v>24</v>
      </c>
      <c r="E44" s="22" t="s">
        <v>6575</v>
      </c>
      <c r="F44" s="22" t="s">
        <v>6577</v>
      </c>
      <c r="G44" s="22" t="s">
        <v>673</v>
      </c>
      <c r="H44" s="22" t="s">
        <v>674</v>
      </c>
      <c r="I44" s="22" t="s">
        <v>675</v>
      </c>
      <c r="J44" s="22" t="n">
        <v>41.6</v>
      </c>
      <c r="K44" s="22" t="n">
        <f aca="false">ROUNDUP(J44,0)</f>
        <v>42</v>
      </c>
      <c r="L44" s="22" t="n">
        <f aca="false">MAX(D44,K44)</f>
        <v>42</v>
      </c>
      <c r="M44" s="25" t="n">
        <f aca="false">IF(E44="COVERED",'Controls &amp; Sources'!$B$5,'Controls &amp; Sources'!$B$6)</f>
        <v>10.4</v>
      </c>
      <c r="N44" s="25" t="n">
        <f aca="false">L44*M44</f>
        <v>436.8</v>
      </c>
      <c r="O44" s="22" t="n">
        <f aca="false">COUNTIFS('Billing Actual'!$E$2:$E$770,A44,'Billing Actual'!$B$2:$B$770,'Controls &amp; Sources'!$B$7)</f>
        <v>1</v>
      </c>
      <c r="P44" s="25" t="n">
        <f aca="false">SUMIFS('Billing Actual'!$M$2:$M$770,'Billing Actual'!$E$2:$E$770,A44,'Billing Actual'!$B$2:$B$770,'Controls &amp; Sources'!$B$7)</f>
        <v>436.8</v>
      </c>
      <c r="Q44" s="25" t="n">
        <f aca="false">P44-N44</f>
        <v>0</v>
      </c>
      <c r="R44" s="22" t="str">
        <f aca="false">IF(O44=0,"No August moorage transaction",IF(O44&gt;1,"Duplicate August transactions",IF(ABS(Q44)&gt;0.005,"Charge variance","OK")))</f>
        <v>OK</v>
      </c>
      <c r="S44" s="22" t="str">
        <f aca="false">IF(R44="OK","","Billing completeness/reconciliation")</f>
        <v/>
      </c>
    </row>
    <row r="45" customFormat="false" ht="15" hidden="false" customHeight="false" outlineLevel="0" collapsed="false">
      <c r="A45" s="22" t="s">
        <v>6705</v>
      </c>
      <c r="B45" s="22" t="s">
        <v>198</v>
      </c>
      <c r="C45" s="22" t="s">
        <v>6562</v>
      </c>
      <c r="D45" s="22" t="n">
        <v>28</v>
      </c>
      <c r="E45" s="22" t="s">
        <v>6575</v>
      </c>
      <c r="F45" s="22" t="s">
        <v>6577</v>
      </c>
      <c r="G45" s="22" t="s">
        <v>1067</v>
      </c>
      <c r="H45" s="22" t="s">
        <v>1068</v>
      </c>
      <c r="I45" s="22" t="s">
        <v>1069</v>
      </c>
      <c r="J45" s="22" t="n">
        <v>46.9</v>
      </c>
      <c r="K45" s="22" t="n">
        <f aca="false">ROUNDUP(J45,0)</f>
        <v>47</v>
      </c>
      <c r="L45" s="22" t="n">
        <f aca="false">MAX(D45,K45)</f>
        <v>47</v>
      </c>
      <c r="M45" s="25" t="n">
        <f aca="false">IF(E45="COVERED",'Controls &amp; Sources'!$B$5,'Controls &amp; Sources'!$B$6)</f>
        <v>10.4</v>
      </c>
      <c r="N45" s="25" t="n">
        <f aca="false">L45*M45</f>
        <v>488.8</v>
      </c>
      <c r="O45" s="22" t="n">
        <f aca="false">COUNTIFS('Billing Actual'!$E$2:$E$770,A45,'Billing Actual'!$B$2:$B$770,'Controls &amp; Sources'!$B$7)</f>
        <v>1</v>
      </c>
      <c r="P45" s="25" t="n">
        <f aca="false">SUMIFS('Billing Actual'!$M$2:$M$770,'Billing Actual'!$E$2:$E$770,A45,'Billing Actual'!$B$2:$B$770,'Controls &amp; Sources'!$B$7)</f>
        <v>488.8</v>
      </c>
      <c r="Q45" s="25" t="n">
        <f aca="false">P45-N45</f>
        <v>0</v>
      </c>
      <c r="R45" s="22" t="str">
        <f aca="false">IF(O45=0,"No August moorage transaction",IF(O45&gt;1,"Duplicate August transactions",IF(ABS(Q45)&gt;0.005,"Charge variance","OK")))</f>
        <v>OK</v>
      </c>
      <c r="S45" s="22" t="str">
        <f aca="false">IF(R45="OK","","Billing completeness/reconciliation")</f>
        <v/>
      </c>
    </row>
    <row r="46" customFormat="false" ht="15" hidden="false" customHeight="false" outlineLevel="0" collapsed="false">
      <c r="A46" s="22" t="s">
        <v>6708</v>
      </c>
      <c r="B46" s="22" t="s">
        <v>198</v>
      </c>
      <c r="C46" s="22" t="s">
        <v>6562</v>
      </c>
      <c r="D46" s="22" t="n">
        <v>28</v>
      </c>
      <c r="E46" s="22" t="s">
        <v>6575</v>
      </c>
      <c r="F46" s="22" t="s">
        <v>6577</v>
      </c>
      <c r="G46" s="22" t="s">
        <v>4032</v>
      </c>
      <c r="H46" s="22" t="s">
        <v>4033</v>
      </c>
      <c r="I46" s="22" t="s">
        <v>239</v>
      </c>
      <c r="J46" s="22" t="n">
        <v>45.1</v>
      </c>
      <c r="K46" s="22" t="n">
        <f aca="false">ROUNDUP(J46,0)</f>
        <v>46</v>
      </c>
      <c r="L46" s="22" t="n">
        <f aca="false">MAX(D46,K46)</f>
        <v>46</v>
      </c>
      <c r="M46" s="25" t="n">
        <f aca="false">IF(E46="COVERED",'Controls &amp; Sources'!$B$5,'Controls &amp; Sources'!$B$6)</f>
        <v>10.4</v>
      </c>
      <c r="N46" s="25" t="n">
        <f aca="false">L46*M46</f>
        <v>478.4</v>
      </c>
      <c r="O46" s="22" t="n">
        <f aca="false">COUNTIFS('Billing Actual'!$E$2:$E$770,A46,'Billing Actual'!$B$2:$B$770,'Controls &amp; Sources'!$B$7)</f>
        <v>1</v>
      </c>
      <c r="P46" s="25" t="n">
        <f aca="false">SUMIFS('Billing Actual'!$M$2:$M$770,'Billing Actual'!$E$2:$E$770,A46,'Billing Actual'!$B$2:$B$770,'Controls &amp; Sources'!$B$7)</f>
        <v>478.4</v>
      </c>
      <c r="Q46" s="25" t="n">
        <f aca="false">P46-N46</f>
        <v>0</v>
      </c>
      <c r="R46" s="22" t="str">
        <f aca="false">IF(O46=0,"No August moorage transaction",IF(O46&gt;1,"Duplicate August transactions",IF(ABS(Q46)&gt;0.005,"Charge variance","OK")))</f>
        <v>OK</v>
      </c>
      <c r="S46" s="22" t="str">
        <f aca="false">IF(R46="OK","","Billing completeness/reconciliation")</f>
        <v/>
      </c>
    </row>
    <row r="47" customFormat="false" ht="15" hidden="false" customHeight="false" outlineLevel="0" collapsed="false">
      <c r="A47" s="22" t="s">
        <v>6711</v>
      </c>
      <c r="B47" s="22" t="s">
        <v>198</v>
      </c>
      <c r="C47" s="22" t="s">
        <v>6562</v>
      </c>
      <c r="D47" s="22" t="n">
        <v>24</v>
      </c>
      <c r="E47" s="22" t="s">
        <v>6575</v>
      </c>
      <c r="F47" s="22" t="s">
        <v>6577</v>
      </c>
      <c r="G47" s="22" t="s">
        <v>5552</v>
      </c>
      <c r="H47" s="22" t="s">
        <v>5553</v>
      </c>
      <c r="I47" s="22" t="s">
        <v>260</v>
      </c>
      <c r="J47" s="22" t="n">
        <v>57.8</v>
      </c>
      <c r="K47" s="22" t="n">
        <f aca="false">ROUNDUP(J47,0)</f>
        <v>58</v>
      </c>
      <c r="L47" s="22" t="n">
        <f aca="false">MAX(D47,K47)</f>
        <v>58</v>
      </c>
      <c r="M47" s="25" t="n">
        <f aca="false">IF(E47="COVERED",'Controls &amp; Sources'!$B$5,'Controls &amp; Sources'!$B$6)</f>
        <v>10.4</v>
      </c>
      <c r="N47" s="25" t="n">
        <f aca="false">L47*M47</f>
        <v>603.2</v>
      </c>
      <c r="O47" s="22" t="n">
        <f aca="false">COUNTIFS('Billing Actual'!$E$2:$E$770,A47,'Billing Actual'!$B$2:$B$770,'Controls &amp; Sources'!$B$7)</f>
        <v>1</v>
      </c>
      <c r="P47" s="25" t="n">
        <f aca="false">SUMIFS('Billing Actual'!$M$2:$M$770,'Billing Actual'!$E$2:$E$770,A47,'Billing Actual'!$B$2:$B$770,'Controls &amp; Sources'!$B$7)</f>
        <v>603.2</v>
      </c>
      <c r="Q47" s="25" t="n">
        <f aca="false">P47-N47</f>
        <v>0</v>
      </c>
      <c r="R47" s="22" t="str">
        <f aca="false">IF(O47=0,"No August moorage transaction",IF(O47&gt;1,"Duplicate August transactions",IF(ABS(Q47)&gt;0.005,"Charge variance","OK")))</f>
        <v>OK</v>
      </c>
      <c r="S47" s="22" t="str">
        <f aca="false">IF(R47="OK","","Billing completeness/reconciliation")</f>
        <v/>
      </c>
    </row>
    <row r="48" customFormat="false" ht="15" hidden="false" customHeight="false" outlineLevel="0" collapsed="false">
      <c r="A48" s="22" t="s">
        <v>6714</v>
      </c>
      <c r="B48" s="22" t="s">
        <v>198</v>
      </c>
      <c r="C48" s="22" t="s">
        <v>6562</v>
      </c>
      <c r="D48" s="22" t="n">
        <v>36</v>
      </c>
      <c r="E48" s="22" t="s">
        <v>6575</v>
      </c>
      <c r="F48" s="22" t="s">
        <v>6577</v>
      </c>
      <c r="G48" s="22" t="s">
        <v>696</v>
      </c>
      <c r="H48" s="22" t="s">
        <v>697</v>
      </c>
      <c r="I48" s="22" t="s">
        <v>698</v>
      </c>
      <c r="J48" s="22" t="n">
        <v>25.5</v>
      </c>
      <c r="K48" s="22" t="n">
        <f aca="false">ROUNDUP(J48,0)</f>
        <v>26</v>
      </c>
      <c r="L48" s="22" t="n">
        <f aca="false">MAX(D48,K48)</f>
        <v>36</v>
      </c>
      <c r="M48" s="25" t="n">
        <f aca="false">IF(E48="COVERED",'Controls &amp; Sources'!$B$5,'Controls &amp; Sources'!$B$6)</f>
        <v>10.4</v>
      </c>
      <c r="N48" s="25" t="n">
        <f aca="false">L48*M48</f>
        <v>374.4</v>
      </c>
      <c r="O48" s="22" t="n">
        <f aca="false">COUNTIFS('Billing Actual'!$E$2:$E$770,A48,'Billing Actual'!$B$2:$B$770,'Controls &amp; Sources'!$B$7)</f>
        <v>1</v>
      </c>
      <c r="P48" s="25" t="n">
        <f aca="false">SUMIFS('Billing Actual'!$M$2:$M$770,'Billing Actual'!$E$2:$E$770,A48,'Billing Actual'!$B$2:$B$770,'Controls &amp; Sources'!$B$7)</f>
        <v>374.4</v>
      </c>
      <c r="Q48" s="25" t="n">
        <f aca="false">P48-N48</f>
        <v>0</v>
      </c>
      <c r="R48" s="22" t="str">
        <f aca="false">IF(O48=0,"No August moorage transaction",IF(O48&gt;1,"Duplicate August transactions",IF(ABS(Q48)&gt;0.005,"Charge variance","OK")))</f>
        <v>OK</v>
      </c>
      <c r="S48" s="22" t="str">
        <f aca="false">IF(R48="OK","","Billing completeness/reconciliation")</f>
        <v/>
      </c>
    </row>
    <row r="49" customFormat="false" ht="15" hidden="false" customHeight="false" outlineLevel="0" collapsed="false">
      <c r="A49" s="22" t="s">
        <v>6717</v>
      </c>
      <c r="B49" s="22" t="s">
        <v>198</v>
      </c>
      <c r="C49" s="22" t="s">
        <v>6562</v>
      </c>
      <c r="D49" s="22" t="n">
        <v>24</v>
      </c>
      <c r="E49" s="22" t="s">
        <v>6575</v>
      </c>
      <c r="F49" s="22" t="s">
        <v>6577</v>
      </c>
      <c r="G49" s="22" t="s">
        <v>3697</v>
      </c>
      <c r="H49" s="22" t="s">
        <v>3698</v>
      </c>
      <c r="I49" s="22" t="s">
        <v>278</v>
      </c>
      <c r="J49" s="22" t="n">
        <v>49.8</v>
      </c>
      <c r="K49" s="22" t="n">
        <f aca="false">ROUNDUP(J49,0)</f>
        <v>50</v>
      </c>
      <c r="L49" s="22" t="n">
        <f aca="false">MAX(D49,K49)</f>
        <v>50</v>
      </c>
      <c r="M49" s="25" t="n">
        <f aca="false">IF(E49="COVERED",'Controls &amp; Sources'!$B$5,'Controls &amp; Sources'!$B$6)</f>
        <v>10.4</v>
      </c>
      <c r="N49" s="25" t="n">
        <f aca="false">L49*M49</f>
        <v>520</v>
      </c>
      <c r="O49" s="22" t="n">
        <f aca="false">COUNTIFS('Billing Actual'!$E$2:$E$770,A49,'Billing Actual'!$B$2:$B$770,'Controls &amp; Sources'!$B$7)</f>
        <v>1</v>
      </c>
      <c r="P49" s="25" t="n">
        <f aca="false">SUMIFS('Billing Actual'!$M$2:$M$770,'Billing Actual'!$E$2:$E$770,A49,'Billing Actual'!$B$2:$B$770,'Controls &amp; Sources'!$B$7)</f>
        <v>520</v>
      </c>
      <c r="Q49" s="25" t="n">
        <f aca="false">P49-N49</f>
        <v>0</v>
      </c>
      <c r="R49" s="22" t="str">
        <f aca="false">IF(O49=0,"No August moorage transaction",IF(O49&gt;1,"Duplicate August transactions",IF(ABS(Q49)&gt;0.005,"Charge variance","OK")))</f>
        <v>OK</v>
      </c>
      <c r="S49" s="22" t="str">
        <f aca="false">IF(R49="OK","","Billing completeness/reconciliation")</f>
        <v/>
      </c>
    </row>
    <row r="50" customFormat="false" ht="15" hidden="false" customHeight="false" outlineLevel="0" collapsed="false">
      <c r="A50" s="22" t="s">
        <v>6720</v>
      </c>
      <c r="B50" s="22" t="s">
        <v>198</v>
      </c>
      <c r="C50" s="22" t="s">
        <v>6562</v>
      </c>
      <c r="D50" s="22" t="n">
        <v>40</v>
      </c>
      <c r="E50" s="22" t="s">
        <v>6575</v>
      </c>
      <c r="F50" s="22" t="s">
        <v>6577</v>
      </c>
      <c r="G50" s="22" t="s">
        <v>897</v>
      </c>
      <c r="H50" s="22" t="s">
        <v>898</v>
      </c>
      <c r="I50" s="22" t="s">
        <v>899</v>
      </c>
      <c r="J50" s="22" t="n">
        <v>26.7</v>
      </c>
      <c r="K50" s="22" t="n">
        <f aca="false">ROUNDUP(J50,0)</f>
        <v>27</v>
      </c>
      <c r="L50" s="22" t="n">
        <f aca="false">MAX(D50,K50)</f>
        <v>40</v>
      </c>
      <c r="M50" s="25" t="n">
        <f aca="false">IF(E50="COVERED",'Controls &amp; Sources'!$B$5,'Controls &amp; Sources'!$B$6)</f>
        <v>10.4</v>
      </c>
      <c r="N50" s="25" t="n">
        <f aca="false">L50*M50</f>
        <v>416</v>
      </c>
      <c r="O50" s="22" t="n">
        <f aca="false">COUNTIFS('Billing Actual'!$E$2:$E$770,A50,'Billing Actual'!$B$2:$B$770,'Controls &amp; Sources'!$B$7)</f>
        <v>1</v>
      </c>
      <c r="P50" s="25" t="n">
        <f aca="false">SUMIFS('Billing Actual'!$M$2:$M$770,'Billing Actual'!$E$2:$E$770,A50,'Billing Actual'!$B$2:$B$770,'Controls &amp; Sources'!$B$7)</f>
        <v>416</v>
      </c>
      <c r="Q50" s="25" t="n">
        <f aca="false">P50-N50</f>
        <v>0</v>
      </c>
      <c r="R50" s="22" t="str">
        <f aca="false">IF(O50=0,"No August moorage transaction",IF(O50&gt;1,"Duplicate August transactions",IF(ABS(Q50)&gt;0.005,"Charge variance","OK")))</f>
        <v>OK</v>
      </c>
      <c r="S50" s="22" t="str">
        <f aca="false">IF(R50="OK","","Billing completeness/reconciliation")</f>
        <v/>
      </c>
    </row>
    <row r="51" customFormat="false" ht="15" hidden="false" customHeight="false" outlineLevel="0" collapsed="false">
      <c r="A51" s="22" t="s">
        <v>6723</v>
      </c>
      <c r="B51" s="22" t="s">
        <v>198</v>
      </c>
      <c r="C51" s="22" t="s">
        <v>6562</v>
      </c>
      <c r="D51" s="22" t="n">
        <v>28</v>
      </c>
      <c r="E51" s="22" t="s">
        <v>6575</v>
      </c>
      <c r="F51" s="22" t="s">
        <v>6577</v>
      </c>
      <c r="G51" s="22" t="s">
        <v>5588</v>
      </c>
      <c r="H51" s="22" t="s">
        <v>5589</v>
      </c>
      <c r="I51" s="22" t="s">
        <v>1840</v>
      </c>
      <c r="J51" s="22" t="n">
        <v>18.4</v>
      </c>
      <c r="K51" s="22" t="n">
        <f aca="false">ROUNDUP(J51,0)</f>
        <v>19</v>
      </c>
      <c r="L51" s="22" t="n">
        <f aca="false">MAX(D51,K51)</f>
        <v>28</v>
      </c>
      <c r="M51" s="25" t="n">
        <f aca="false">IF(E51="COVERED",'Controls &amp; Sources'!$B$5,'Controls &amp; Sources'!$B$6)</f>
        <v>10.4</v>
      </c>
      <c r="N51" s="25" t="n">
        <f aca="false">L51*M51</f>
        <v>291.2</v>
      </c>
      <c r="O51" s="22" t="n">
        <f aca="false">COUNTIFS('Billing Actual'!$E$2:$E$770,A51,'Billing Actual'!$B$2:$B$770,'Controls &amp; Sources'!$B$7)</f>
        <v>1</v>
      </c>
      <c r="P51" s="25" t="n">
        <f aca="false">SUMIFS('Billing Actual'!$M$2:$M$770,'Billing Actual'!$E$2:$E$770,A51,'Billing Actual'!$B$2:$B$770,'Controls &amp; Sources'!$B$7)</f>
        <v>291.2</v>
      </c>
      <c r="Q51" s="25" t="n">
        <f aca="false">P51-N51</f>
        <v>0</v>
      </c>
      <c r="R51" s="22" t="str">
        <f aca="false">IF(O51=0,"No August moorage transaction",IF(O51&gt;1,"Duplicate August transactions",IF(ABS(Q51)&gt;0.005,"Charge variance","OK")))</f>
        <v>OK</v>
      </c>
      <c r="S51" s="22" t="str">
        <f aca="false">IF(R51="OK","","Billing completeness/reconciliation")</f>
        <v/>
      </c>
    </row>
    <row r="52" customFormat="false" ht="15" hidden="false" customHeight="false" outlineLevel="0" collapsed="false">
      <c r="A52" s="22" t="s">
        <v>6727</v>
      </c>
      <c r="B52" s="22" t="s">
        <v>198</v>
      </c>
      <c r="C52" s="22" t="s">
        <v>6562</v>
      </c>
      <c r="D52" s="22" t="n">
        <v>32</v>
      </c>
      <c r="E52" s="22" t="s">
        <v>6575</v>
      </c>
      <c r="F52" s="22" t="s">
        <v>6577</v>
      </c>
      <c r="G52" s="22" t="s">
        <v>4830</v>
      </c>
      <c r="H52" s="22" t="s">
        <v>4831</v>
      </c>
      <c r="I52" s="22" t="s">
        <v>275</v>
      </c>
      <c r="J52" s="22" t="n">
        <v>37.3</v>
      </c>
      <c r="K52" s="22" t="n">
        <f aca="false">ROUNDUP(J52,0)</f>
        <v>38</v>
      </c>
      <c r="L52" s="22" t="n">
        <f aca="false">MAX(D52,K52)</f>
        <v>38</v>
      </c>
      <c r="M52" s="25" t="n">
        <f aca="false">IF(E52="COVERED",'Controls &amp; Sources'!$B$5,'Controls &amp; Sources'!$B$6)</f>
        <v>10.4</v>
      </c>
      <c r="N52" s="25" t="n">
        <f aca="false">L52*M52</f>
        <v>395.2</v>
      </c>
      <c r="O52" s="22" t="n">
        <f aca="false">COUNTIFS('Billing Actual'!$E$2:$E$770,A52,'Billing Actual'!$B$2:$B$770,'Controls &amp; Sources'!$B$7)</f>
        <v>1</v>
      </c>
      <c r="P52" s="25" t="n">
        <f aca="false">SUMIFS('Billing Actual'!$M$2:$M$770,'Billing Actual'!$E$2:$E$770,A52,'Billing Actual'!$B$2:$B$770,'Controls &amp; Sources'!$B$7)</f>
        <v>395.2</v>
      </c>
      <c r="Q52" s="25" t="n">
        <f aca="false">P52-N52</f>
        <v>0</v>
      </c>
      <c r="R52" s="22" t="str">
        <f aca="false">IF(O52=0,"No August moorage transaction",IF(O52&gt;1,"Duplicate August transactions",IF(ABS(Q52)&gt;0.005,"Charge variance","OK")))</f>
        <v>OK</v>
      </c>
      <c r="S52" s="22" t="str">
        <f aca="false">IF(R52="OK","","Billing completeness/reconciliation")</f>
        <v/>
      </c>
    </row>
    <row r="53" customFormat="false" ht="15" hidden="false" customHeight="false" outlineLevel="0" collapsed="false">
      <c r="A53" s="22" t="s">
        <v>6730</v>
      </c>
      <c r="B53" s="22" t="s">
        <v>198</v>
      </c>
      <c r="C53" s="22" t="s">
        <v>6562</v>
      </c>
      <c r="D53" s="22" t="n">
        <v>32</v>
      </c>
      <c r="E53" s="22" t="s">
        <v>6575</v>
      </c>
      <c r="F53" s="22" t="s">
        <v>6577</v>
      </c>
      <c r="G53" s="22" t="s">
        <v>4430</v>
      </c>
      <c r="H53" s="22" t="s">
        <v>4431</v>
      </c>
      <c r="I53" s="22" t="s">
        <v>552</v>
      </c>
      <c r="J53" s="22" t="n">
        <v>54</v>
      </c>
      <c r="K53" s="22" t="n">
        <f aca="false">ROUNDUP(J53,0)</f>
        <v>54</v>
      </c>
      <c r="L53" s="22" t="n">
        <f aca="false">MAX(D53,K53)</f>
        <v>54</v>
      </c>
      <c r="M53" s="25" t="n">
        <f aca="false">IF(E53="COVERED",'Controls &amp; Sources'!$B$5,'Controls &amp; Sources'!$B$6)</f>
        <v>10.4</v>
      </c>
      <c r="N53" s="25" t="n">
        <f aca="false">L53*M53</f>
        <v>561.6</v>
      </c>
      <c r="O53" s="22" t="n">
        <f aca="false">COUNTIFS('Billing Actual'!$E$2:$E$770,A53,'Billing Actual'!$B$2:$B$770,'Controls &amp; Sources'!$B$7)</f>
        <v>1</v>
      </c>
      <c r="P53" s="25" t="n">
        <f aca="false">SUMIFS('Billing Actual'!$M$2:$M$770,'Billing Actual'!$E$2:$E$770,A53,'Billing Actual'!$B$2:$B$770,'Controls &amp; Sources'!$B$7)</f>
        <v>561.6</v>
      </c>
      <c r="Q53" s="25" t="n">
        <f aca="false">P53-N53</f>
        <v>0</v>
      </c>
      <c r="R53" s="22" t="str">
        <f aca="false">IF(O53=0,"No August moorage transaction",IF(O53&gt;1,"Duplicate August transactions",IF(ABS(Q53)&gt;0.005,"Charge variance","OK")))</f>
        <v>OK</v>
      </c>
      <c r="S53" s="22" t="str">
        <f aca="false">IF(R53="OK","","Billing completeness/reconciliation")</f>
        <v/>
      </c>
    </row>
    <row r="54" customFormat="false" ht="15" hidden="false" customHeight="false" outlineLevel="0" collapsed="false">
      <c r="A54" s="22" t="s">
        <v>6736</v>
      </c>
      <c r="B54" s="22" t="s">
        <v>198</v>
      </c>
      <c r="C54" s="22" t="s">
        <v>6562</v>
      </c>
      <c r="D54" s="22" t="n">
        <v>32</v>
      </c>
      <c r="E54" s="22" t="s">
        <v>6575</v>
      </c>
      <c r="F54" s="22" t="s">
        <v>6577</v>
      </c>
      <c r="G54" s="22" t="s">
        <v>5679</v>
      </c>
      <c r="H54" s="22" t="s">
        <v>5680</v>
      </c>
      <c r="I54" s="22" t="s">
        <v>714</v>
      </c>
      <c r="J54" s="22" t="n">
        <v>19.4</v>
      </c>
      <c r="K54" s="22" t="n">
        <f aca="false">ROUNDUP(J54,0)</f>
        <v>20</v>
      </c>
      <c r="L54" s="22" t="n">
        <f aca="false">MAX(D54,K54)</f>
        <v>32</v>
      </c>
      <c r="M54" s="25" t="n">
        <f aca="false">IF(E54="COVERED",'Controls &amp; Sources'!$B$5,'Controls &amp; Sources'!$B$6)</f>
        <v>10.4</v>
      </c>
      <c r="N54" s="25" t="n">
        <f aca="false">L54*M54</f>
        <v>332.8</v>
      </c>
      <c r="O54" s="22" t="n">
        <f aca="false">COUNTIFS('Billing Actual'!$E$2:$E$770,A54,'Billing Actual'!$B$2:$B$770,'Controls &amp; Sources'!$B$7)</f>
        <v>1</v>
      </c>
      <c r="P54" s="25" t="n">
        <f aca="false">SUMIFS('Billing Actual'!$M$2:$M$770,'Billing Actual'!$E$2:$E$770,A54,'Billing Actual'!$B$2:$B$770,'Controls &amp; Sources'!$B$7)</f>
        <v>332.8</v>
      </c>
      <c r="Q54" s="25" t="n">
        <f aca="false">P54-N54</f>
        <v>0</v>
      </c>
      <c r="R54" s="22" t="str">
        <f aca="false">IF(O54=0,"No August moorage transaction",IF(O54&gt;1,"Duplicate August transactions",IF(ABS(Q54)&gt;0.005,"Charge variance","OK")))</f>
        <v>OK</v>
      </c>
      <c r="S54" s="22" t="str">
        <f aca="false">IF(R54="OK","","Billing completeness/reconciliation")</f>
        <v/>
      </c>
    </row>
    <row r="55" customFormat="false" ht="15" hidden="false" customHeight="false" outlineLevel="0" collapsed="false">
      <c r="A55" s="22" t="s">
        <v>6739</v>
      </c>
      <c r="B55" s="22" t="s">
        <v>198</v>
      </c>
      <c r="C55" s="22" t="s">
        <v>6562</v>
      </c>
      <c r="D55" s="22" t="n">
        <v>32</v>
      </c>
      <c r="E55" s="22" t="s">
        <v>6575</v>
      </c>
      <c r="F55" s="22" t="s">
        <v>6577</v>
      </c>
      <c r="G55" s="22" t="s">
        <v>3390</v>
      </c>
      <c r="H55" s="22" t="s">
        <v>3391</v>
      </c>
      <c r="I55" s="22" t="s">
        <v>599</v>
      </c>
      <c r="J55" s="22" t="n">
        <v>54.1</v>
      </c>
      <c r="K55" s="22" t="n">
        <f aca="false">ROUNDUP(J55,0)</f>
        <v>55</v>
      </c>
      <c r="L55" s="22" t="n">
        <f aca="false">MAX(D55,K55)</f>
        <v>55</v>
      </c>
      <c r="M55" s="25" t="n">
        <f aca="false">IF(E55="COVERED",'Controls &amp; Sources'!$B$5,'Controls &amp; Sources'!$B$6)</f>
        <v>10.4</v>
      </c>
      <c r="N55" s="25" t="n">
        <f aca="false">L55*M55</f>
        <v>572</v>
      </c>
      <c r="O55" s="22" t="n">
        <f aca="false">COUNTIFS('Billing Actual'!$E$2:$E$770,A55,'Billing Actual'!$B$2:$B$770,'Controls &amp; Sources'!$B$7)</f>
        <v>1</v>
      </c>
      <c r="P55" s="25" t="n">
        <f aca="false">SUMIFS('Billing Actual'!$M$2:$M$770,'Billing Actual'!$E$2:$E$770,A55,'Billing Actual'!$B$2:$B$770,'Controls &amp; Sources'!$B$7)</f>
        <v>572</v>
      </c>
      <c r="Q55" s="25" t="n">
        <f aca="false">P55-N55</f>
        <v>0</v>
      </c>
      <c r="R55" s="22" t="str">
        <f aca="false">IF(O55=0,"No August moorage transaction",IF(O55&gt;1,"Duplicate August transactions",IF(ABS(Q55)&gt;0.005,"Charge variance","OK")))</f>
        <v>OK</v>
      </c>
      <c r="S55" s="22" t="str">
        <f aca="false">IF(R55="OK","","Billing completeness/reconciliation")</f>
        <v/>
      </c>
    </row>
    <row r="56" customFormat="false" ht="15" hidden="false" customHeight="false" outlineLevel="0" collapsed="false">
      <c r="A56" s="22" t="s">
        <v>6742</v>
      </c>
      <c r="B56" s="22" t="s">
        <v>198</v>
      </c>
      <c r="C56" s="22" t="s">
        <v>6562</v>
      </c>
      <c r="D56" s="22" t="n">
        <v>36</v>
      </c>
      <c r="E56" s="22" t="s">
        <v>6575</v>
      </c>
      <c r="F56" s="22" t="s">
        <v>6577</v>
      </c>
      <c r="G56" s="22" t="s">
        <v>5198</v>
      </c>
      <c r="H56" s="22" t="s">
        <v>5199</v>
      </c>
      <c r="I56" s="22" t="s">
        <v>367</v>
      </c>
      <c r="J56" s="22" t="n">
        <v>60.7</v>
      </c>
      <c r="K56" s="22" t="n">
        <f aca="false">ROUNDUP(J56,0)</f>
        <v>61</v>
      </c>
      <c r="L56" s="22" t="n">
        <f aca="false">MAX(D56,K56)</f>
        <v>61</v>
      </c>
      <c r="M56" s="25" t="n">
        <f aca="false">IF(E56="COVERED",'Controls &amp; Sources'!$B$5,'Controls &amp; Sources'!$B$6)</f>
        <v>10.4</v>
      </c>
      <c r="N56" s="25" t="n">
        <f aca="false">L56*M56</f>
        <v>634.4</v>
      </c>
      <c r="O56" s="22" t="n">
        <f aca="false">COUNTIFS('Billing Actual'!$E$2:$E$770,A56,'Billing Actual'!$B$2:$B$770,'Controls &amp; Sources'!$B$7)</f>
        <v>1</v>
      </c>
      <c r="P56" s="25" t="n">
        <f aca="false">SUMIFS('Billing Actual'!$M$2:$M$770,'Billing Actual'!$E$2:$E$770,A56,'Billing Actual'!$B$2:$B$770,'Controls &amp; Sources'!$B$7)</f>
        <v>634.4</v>
      </c>
      <c r="Q56" s="25" t="n">
        <f aca="false">P56-N56</f>
        <v>0</v>
      </c>
      <c r="R56" s="22" t="str">
        <f aca="false">IF(O56=0,"No August moorage transaction",IF(O56&gt;1,"Duplicate August transactions",IF(ABS(Q56)&gt;0.005,"Charge variance","OK")))</f>
        <v>OK</v>
      </c>
      <c r="S56" s="22" t="str">
        <f aca="false">IF(R56="OK","","Billing completeness/reconciliation")</f>
        <v/>
      </c>
    </row>
    <row r="57" customFormat="false" ht="15" hidden="false" customHeight="false" outlineLevel="0" collapsed="false">
      <c r="A57" s="22" t="s">
        <v>6747</v>
      </c>
      <c r="B57" s="22" t="s">
        <v>198</v>
      </c>
      <c r="C57" s="22" t="s">
        <v>6562</v>
      </c>
      <c r="D57" s="22" t="n">
        <v>40</v>
      </c>
      <c r="E57" s="22" t="s">
        <v>6575</v>
      </c>
      <c r="F57" s="22" t="s">
        <v>6577</v>
      </c>
      <c r="G57" s="22" t="s">
        <v>4496</v>
      </c>
      <c r="H57" s="22" t="s">
        <v>4497</v>
      </c>
      <c r="I57" s="22" t="s">
        <v>838</v>
      </c>
      <c r="J57" s="22" t="n">
        <v>42.3</v>
      </c>
      <c r="K57" s="22" t="n">
        <f aca="false">ROUNDUP(J57,0)</f>
        <v>43</v>
      </c>
      <c r="L57" s="22" t="n">
        <f aca="false">MAX(D57,K57)</f>
        <v>43</v>
      </c>
      <c r="M57" s="25" t="n">
        <f aca="false">IF(E57="COVERED",'Controls &amp; Sources'!$B$5,'Controls &amp; Sources'!$B$6)</f>
        <v>10.4</v>
      </c>
      <c r="N57" s="25" t="n">
        <f aca="false">L57*M57</f>
        <v>447.2</v>
      </c>
      <c r="O57" s="22" t="n">
        <f aca="false">COUNTIFS('Billing Actual'!$E$2:$E$770,A57,'Billing Actual'!$B$2:$B$770,'Controls &amp; Sources'!$B$7)</f>
        <v>1</v>
      </c>
      <c r="P57" s="25" t="n">
        <f aca="false">SUMIFS('Billing Actual'!$M$2:$M$770,'Billing Actual'!$E$2:$E$770,A57,'Billing Actual'!$B$2:$B$770,'Controls &amp; Sources'!$B$7)</f>
        <v>447.2</v>
      </c>
      <c r="Q57" s="25" t="n">
        <f aca="false">P57-N57</f>
        <v>0</v>
      </c>
      <c r="R57" s="22" t="str">
        <f aca="false">IF(O57=0,"No August moorage transaction",IF(O57&gt;1,"Duplicate August transactions",IF(ABS(Q57)&gt;0.005,"Charge variance","OK")))</f>
        <v>OK</v>
      </c>
      <c r="S57" s="22" t="str">
        <f aca="false">IF(R57="OK","","Billing completeness/reconciliation")</f>
        <v/>
      </c>
    </row>
    <row r="58" customFormat="false" ht="15" hidden="false" customHeight="false" outlineLevel="0" collapsed="false">
      <c r="A58" s="22" t="s">
        <v>6751</v>
      </c>
      <c r="B58" s="22" t="s">
        <v>198</v>
      </c>
      <c r="C58" s="22" t="s">
        <v>6562</v>
      </c>
      <c r="D58" s="22" t="n">
        <v>24</v>
      </c>
      <c r="E58" s="22" t="s">
        <v>6575</v>
      </c>
      <c r="F58" s="22" t="s">
        <v>6577</v>
      </c>
      <c r="G58" s="22" t="s">
        <v>1748</v>
      </c>
      <c r="H58" s="22" t="s">
        <v>1749</v>
      </c>
      <c r="I58" s="22" t="s">
        <v>1750</v>
      </c>
      <c r="J58" s="22" t="n">
        <v>23.9</v>
      </c>
      <c r="K58" s="22" t="n">
        <f aca="false">ROUNDUP(J58,0)</f>
        <v>24</v>
      </c>
      <c r="L58" s="22" t="n">
        <f aca="false">MAX(D58,K58)</f>
        <v>24</v>
      </c>
      <c r="M58" s="25" t="n">
        <f aca="false">IF(E58="COVERED",'Controls &amp; Sources'!$B$5,'Controls &amp; Sources'!$B$6)</f>
        <v>10.4</v>
      </c>
      <c r="N58" s="25" t="n">
        <f aca="false">L58*M58</f>
        <v>249.6</v>
      </c>
      <c r="O58" s="22" t="n">
        <f aca="false">COUNTIFS('Billing Actual'!$E$2:$E$770,A58,'Billing Actual'!$B$2:$B$770,'Controls &amp; Sources'!$B$7)</f>
        <v>1</v>
      </c>
      <c r="P58" s="25" t="n">
        <f aca="false">SUMIFS('Billing Actual'!$M$2:$M$770,'Billing Actual'!$E$2:$E$770,A58,'Billing Actual'!$B$2:$B$770,'Controls &amp; Sources'!$B$7)</f>
        <v>249.6</v>
      </c>
      <c r="Q58" s="25" t="n">
        <f aca="false">P58-N58</f>
        <v>0</v>
      </c>
      <c r="R58" s="22" t="str">
        <f aca="false">IF(O58=0,"No August moorage transaction",IF(O58&gt;1,"Duplicate August transactions",IF(ABS(Q58)&gt;0.005,"Charge variance","OK")))</f>
        <v>OK</v>
      </c>
      <c r="S58" s="22" t="str">
        <f aca="false">IF(R58="OK","","Billing completeness/reconciliation")</f>
        <v/>
      </c>
    </row>
    <row r="59" customFormat="false" ht="15" hidden="false" customHeight="false" outlineLevel="0" collapsed="false">
      <c r="A59" s="22" t="s">
        <v>6754</v>
      </c>
      <c r="B59" s="22" t="s">
        <v>198</v>
      </c>
      <c r="C59" s="22" t="s">
        <v>6562</v>
      </c>
      <c r="D59" s="22" t="n">
        <v>24</v>
      </c>
      <c r="E59" s="22" t="s">
        <v>6575</v>
      </c>
      <c r="F59" s="22" t="s">
        <v>6577</v>
      </c>
      <c r="G59" s="22" t="s">
        <v>5405</v>
      </c>
      <c r="H59" s="22" t="s">
        <v>5406</v>
      </c>
      <c r="I59" s="22" t="s">
        <v>1220</v>
      </c>
      <c r="J59" s="22" t="n">
        <v>31.1</v>
      </c>
      <c r="K59" s="22" t="n">
        <f aca="false">ROUNDUP(J59,0)</f>
        <v>32</v>
      </c>
      <c r="L59" s="22" t="n">
        <f aca="false">MAX(D59,K59)</f>
        <v>32</v>
      </c>
      <c r="M59" s="25" t="n">
        <f aca="false">IF(E59="COVERED",'Controls &amp; Sources'!$B$5,'Controls &amp; Sources'!$B$6)</f>
        <v>10.4</v>
      </c>
      <c r="N59" s="25" t="n">
        <f aca="false">L59*M59</f>
        <v>332.8</v>
      </c>
      <c r="O59" s="22" t="n">
        <f aca="false">COUNTIFS('Billing Actual'!$E$2:$E$770,A59,'Billing Actual'!$B$2:$B$770,'Controls &amp; Sources'!$B$7)</f>
        <v>1</v>
      </c>
      <c r="P59" s="25" t="n">
        <f aca="false">SUMIFS('Billing Actual'!$M$2:$M$770,'Billing Actual'!$E$2:$E$770,A59,'Billing Actual'!$B$2:$B$770,'Controls &amp; Sources'!$B$7)</f>
        <v>332.8</v>
      </c>
      <c r="Q59" s="25" t="n">
        <f aca="false">P59-N59</f>
        <v>0</v>
      </c>
      <c r="R59" s="22" t="str">
        <f aca="false">IF(O59=0,"No August moorage transaction",IF(O59&gt;1,"Duplicate August transactions",IF(ABS(Q59)&gt;0.005,"Charge variance","OK")))</f>
        <v>OK</v>
      </c>
      <c r="S59" s="22" t="str">
        <f aca="false">IF(R59="OK","","Billing completeness/reconciliation")</f>
        <v/>
      </c>
    </row>
    <row r="60" customFormat="false" ht="15" hidden="false" customHeight="false" outlineLevel="0" collapsed="false">
      <c r="A60" s="22" t="s">
        <v>6757</v>
      </c>
      <c r="B60" s="22" t="s">
        <v>198</v>
      </c>
      <c r="C60" s="22" t="s">
        <v>6562</v>
      </c>
      <c r="D60" s="22" t="n">
        <v>32</v>
      </c>
      <c r="E60" s="22" t="s">
        <v>6575</v>
      </c>
      <c r="F60" s="22" t="s">
        <v>6577</v>
      </c>
      <c r="G60" s="22" t="s">
        <v>4066</v>
      </c>
      <c r="H60" s="22" t="s">
        <v>4067</v>
      </c>
      <c r="I60" s="22" t="s">
        <v>3754</v>
      </c>
      <c r="J60" s="22" t="n">
        <v>24.8</v>
      </c>
      <c r="K60" s="22" t="n">
        <f aca="false">ROUNDUP(J60,0)</f>
        <v>25</v>
      </c>
      <c r="L60" s="22" t="n">
        <f aca="false">MAX(D60,K60)</f>
        <v>32</v>
      </c>
      <c r="M60" s="25" t="n">
        <f aca="false">IF(E60="COVERED",'Controls &amp; Sources'!$B$5,'Controls &amp; Sources'!$B$6)</f>
        <v>10.4</v>
      </c>
      <c r="N60" s="25" t="n">
        <f aca="false">L60*M60</f>
        <v>332.8</v>
      </c>
      <c r="O60" s="22" t="n">
        <f aca="false">COUNTIFS('Billing Actual'!$E$2:$E$770,A60,'Billing Actual'!$B$2:$B$770,'Controls &amp; Sources'!$B$7)</f>
        <v>1</v>
      </c>
      <c r="P60" s="25" t="n">
        <f aca="false">SUMIFS('Billing Actual'!$M$2:$M$770,'Billing Actual'!$E$2:$E$770,A60,'Billing Actual'!$B$2:$B$770,'Controls &amp; Sources'!$B$7)</f>
        <v>332.8</v>
      </c>
      <c r="Q60" s="25" t="n">
        <f aca="false">P60-N60</f>
        <v>0</v>
      </c>
      <c r="R60" s="22" t="str">
        <f aca="false">IF(O60=0,"No August moorage transaction",IF(O60&gt;1,"Duplicate August transactions",IF(ABS(Q60)&gt;0.005,"Charge variance","OK")))</f>
        <v>OK</v>
      </c>
      <c r="S60" s="22" t="str">
        <f aca="false">IF(R60="OK","","Billing completeness/reconciliation")</f>
        <v/>
      </c>
    </row>
    <row r="61" customFormat="false" ht="15" hidden="false" customHeight="false" outlineLevel="0" collapsed="false">
      <c r="A61" s="22" t="s">
        <v>6760</v>
      </c>
      <c r="B61" s="22" t="s">
        <v>198</v>
      </c>
      <c r="C61" s="22" t="s">
        <v>6562</v>
      </c>
      <c r="D61" s="22" t="n">
        <v>32</v>
      </c>
      <c r="E61" s="22" t="s">
        <v>6575</v>
      </c>
      <c r="F61" s="22" t="s">
        <v>6577</v>
      </c>
      <c r="G61" s="22" t="s">
        <v>5288</v>
      </c>
      <c r="H61" s="22" t="s">
        <v>5289</v>
      </c>
      <c r="I61" s="22" t="s">
        <v>857</v>
      </c>
      <c r="J61" s="22" t="n">
        <v>26.3</v>
      </c>
      <c r="K61" s="22" t="n">
        <f aca="false">ROUNDUP(J61,0)</f>
        <v>27</v>
      </c>
      <c r="L61" s="22" t="n">
        <f aca="false">MAX(D61,K61)</f>
        <v>32</v>
      </c>
      <c r="M61" s="25" t="n">
        <f aca="false">IF(E61="COVERED",'Controls &amp; Sources'!$B$5,'Controls &amp; Sources'!$B$6)</f>
        <v>10.4</v>
      </c>
      <c r="N61" s="25" t="n">
        <f aca="false">L61*M61</f>
        <v>332.8</v>
      </c>
      <c r="O61" s="22" t="n">
        <f aca="false">COUNTIFS('Billing Actual'!$E$2:$E$770,A61,'Billing Actual'!$B$2:$B$770,'Controls &amp; Sources'!$B$7)</f>
        <v>1</v>
      </c>
      <c r="P61" s="25" t="n">
        <f aca="false">SUMIFS('Billing Actual'!$M$2:$M$770,'Billing Actual'!$E$2:$E$770,A61,'Billing Actual'!$B$2:$B$770,'Controls &amp; Sources'!$B$7)</f>
        <v>332.8</v>
      </c>
      <c r="Q61" s="25" t="n">
        <f aca="false">P61-N61</f>
        <v>0</v>
      </c>
      <c r="R61" s="22" t="str">
        <f aca="false">IF(O61=0,"No August moorage transaction",IF(O61&gt;1,"Duplicate August transactions",IF(ABS(Q61)&gt;0.005,"Charge variance","OK")))</f>
        <v>OK</v>
      </c>
      <c r="S61" s="22" t="str">
        <f aca="false">IF(R61="OK","","Billing completeness/reconciliation")</f>
        <v/>
      </c>
    </row>
    <row r="62" customFormat="false" ht="15" hidden="false" customHeight="false" outlineLevel="0" collapsed="false">
      <c r="A62" s="22" t="s">
        <v>6763</v>
      </c>
      <c r="B62" s="22" t="s">
        <v>198</v>
      </c>
      <c r="C62" s="22" t="s">
        <v>6562</v>
      </c>
      <c r="D62" s="22" t="n">
        <v>24</v>
      </c>
      <c r="E62" s="22" t="s">
        <v>6575</v>
      </c>
      <c r="F62" s="22" t="s">
        <v>6577</v>
      </c>
      <c r="G62" s="22" t="s">
        <v>4233</v>
      </c>
      <c r="H62" s="22" t="s">
        <v>4234</v>
      </c>
      <c r="I62" s="22" t="s">
        <v>1423</v>
      </c>
      <c r="J62" s="22" t="n">
        <v>31.6</v>
      </c>
      <c r="K62" s="22" t="n">
        <f aca="false">ROUNDUP(J62,0)</f>
        <v>32</v>
      </c>
      <c r="L62" s="22" t="n">
        <f aca="false">MAX(D62,K62)</f>
        <v>32</v>
      </c>
      <c r="M62" s="25" t="n">
        <f aca="false">IF(E62="COVERED",'Controls &amp; Sources'!$B$5,'Controls &amp; Sources'!$B$6)</f>
        <v>10.4</v>
      </c>
      <c r="N62" s="25" t="n">
        <f aca="false">L62*M62</f>
        <v>332.8</v>
      </c>
      <c r="O62" s="22" t="n">
        <f aca="false">COUNTIFS('Billing Actual'!$E$2:$E$770,A62,'Billing Actual'!$B$2:$B$770,'Controls &amp; Sources'!$B$7)</f>
        <v>1</v>
      </c>
      <c r="P62" s="25" t="n">
        <f aca="false">SUMIFS('Billing Actual'!$M$2:$M$770,'Billing Actual'!$E$2:$E$770,A62,'Billing Actual'!$B$2:$B$770,'Controls &amp; Sources'!$B$7)</f>
        <v>332.8</v>
      </c>
      <c r="Q62" s="25" t="n">
        <f aca="false">P62-N62</f>
        <v>0</v>
      </c>
      <c r="R62" s="22" t="str">
        <f aca="false">IF(O62=0,"No August moorage transaction",IF(O62&gt;1,"Duplicate August transactions",IF(ABS(Q62)&gt;0.005,"Charge variance","OK")))</f>
        <v>OK</v>
      </c>
      <c r="S62" s="22" t="str">
        <f aca="false">IF(R62="OK","","Billing completeness/reconciliation")</f>
        <v/>
      </c>
    </row>
    <row r="63" customFormat="false" ht="15" hidden="false" customHeight="false" outlineLevel="0" collapsed="false">
      <c r="A63" s="22" t="s">
        <v>6766</v>
      </c>
      <c r="B63" s="22" t="s">
        <v>198</v>
      </c>
      <c r="C63" s="22" t="s">
        <v>6562</v>
      </c>
      <c r="D63" s="22" t="n">
        <v>40</v>
      </c>
      <c r="E63" s="22" t="s">
        <v>6575</v>
      </c>
      <c r="F63" s="22" t="s">
        <v>6577</v>
      </c>
      <c r="G63" s="22" t="s">
        <v>6161</v>
      </c>
      <c r="H63" s="22" t="s">
        <v>6162</v>
      </c>
      <c r="I63" s="22" t="s">
        <v>1774</v>
      </c>
      <c r="J63" s="22" t="n">
        <v>53.5</v>
      </c>
      <c r="K63" s="22" t="n">
        <f aca="false">ROUNDUP(J63,0)</f>
        <v>54</v>
      </c>
      <c r="L63" s="22" t="n">
        <f aca="false">MAX(D63,K63)</f>
        <v>54</v>
      </c>
      <c r="M63" s="25" t="n">
        <f aca="false">IF(E63="COVERED",'Controls &amp; Sources'!$B$5,'Controls &amp; Sources'!$B$6)</f>
        <v>10.4</v>
      </c>
      <c r="N63" s="25" t="n">
        <f aca="false">L63*M63</f>
        <v>561.6</v>
      </c>
      <c r="O63" s="22" t="n">
        <f aca="false">COUNTIFS('Billing Actual'!$E$2:$E$770,A63,'Billing Actual'!$B$2:$B$770,'Controls &amp; Sources'!$B$7)</f>
        <v>1</v>
      </c>
      <c r="P63" s="25" t="n">
        <f aca="false">SUMIFS('Billing Actual'!$M$2:$M$770,'Billing Actual'!$E$2:$E$770,A63,'Billing Actual'!$B$2:$B$770,'Controls &amp; Sources'!$B$7)</f>
        <v>561.6</v>
      </c>
      <c r="Q63" s="25" t="n">
        <f aca="false">P63-N63</f>
        <v>0</v>
      </c>
      <c r="R63" s="22" t="str">
        <f aca="false">IF(O63=0,"No August moorage transaction",IF(O63&gt;1,"Duplicate August transactions",IF(ABS(Q63)&gt;0.005,"Charge variance","OK")))</f>
        <v>OK</v>
      </c>
      <c r="S63" s="22" t="str">
        <f aca="false">IF(R63="OK","","Billing completeness/reconciliation")</f>
        <v/>
      </c>
    </row>
    <row r="64" customFormat="false" ht="15" hidden="false" customHeight="false" outlineLevel="0" collapsed="false">
      <c r="A64" s="22" t="s">
        <v>6769</v>
      </c>
      <c r="B64" s="22" t="s">
        <v>198</v>
      </c>
      <c r="C64" s="22" t="s">
        <v>6562</v>
      </c>
      <c r="D64" s="22" t="n">
        <v>40</v>
      </c>
      <c r="E64" s="22" t="s">
        <v>6575</v>
      </c>
      <c r="F64" s="22" t="s">
        <v>6577</v>
      </c>
      <c r="G64" s="22" t="s">
        <v>4573</v>
      </c>
      <c r="H64" s="22" t="s">
        <v>4574</v>
      </c>
      <c r="I64" s="22" t="s">
        <v>233</v>
      </c>
      <c r="J64" s="22" t="n">
        <v>22.7</v>
      </c>
      <c r="K64" s="22" t="n">
        <f aca="false">ROUNDUP(J64,0)</f>
        <v>23</v>
      </c>
      <c r="L64" s="22" t="n">
        <f aca="false">MAX(D64,K64)</f>
        <v>40</v>
      </c>
      <c r="M64" s="25" t="n">
        <f aca="false">IF(E64="COVERED",'Controls &amp; Sources'!$B$5,'Controls &amp; Sources'!$B$6)</f>
        <v>10.4</v>
      </c>
      <c r="N64" s="25" t="n">
        <f aca="false">L64*M64</f>
        <v>416</v>
      </c>
      <c r="O64" s="22" t="n">
        <f aca="false">COUNTIFS('Billing Actual'!$E$2:$E$770,A64,'Billing Actual'!$B$2:$B$770,'Controls &amp; Sources'!$B$7)</f>
        <v>1</v>
      </c>
      <c r="P64" s="25" t="n">
        <f aca="false">SUMIFS('Billing Actual'!$M$2:$M$770,'Billing Actual'!$E$2:$E$770,A64,'Billing Actual'!$B$2:$B$770,'Controls &amp; Sources'!$B$7)</f>
        <v>416</v>
      </c>
      <c r="Q64" s="25" t="n">
        <f aca="false">P64-N64</f>
        <v>0</v>
      </c>
      <c r="R64" s="22" t="str">
        <f aca="false">IF(O64=0,"No August moorage transaction",IF(O64&gt;1,"Duplicate August transactions",IF(ABS(Q64)&gt;0.005,"Charge variance","OK")))</f>
        <v>OK</v>
      </c>
      <c r="S64" s="22" t="str">
        <f aca="false">IF(R64="OK","","Billing completeness/reconciliation")</f>
        <v/>
      </c>
    </row>
    <row r="65" customFormat="false" ht="15" hidden="false" customHeight="false" outlineLevel="0" collapsed="false">
      <c r="A65" s="22" t="s">
        <v>6772</v>
      </c>
      <c r="B65" s="22" t="s">
        <v>198</v>
      </c>
      <c r="C65" s="22" t="s">
        <v>6562</v>
      </c>
      <c r="D65" s="22" t="n">
        <v>32</v>
      </c>
      <c r="E65" s="22" t="s">
        <v>6575</v>
      </c>
      <c r="F65" s="22" t="s">
        <v>6577</v>
      </c>
      <c r="G65" s="22" t="s">
        <v>5716</v>
      </c>
      <c r="H65" s="22" t="s">
        <v>5717</v>
      </c>
      <c r="I65" s="22" t="s">
        <v>1435</v>
      </c>
      <c r="J65" s="22" t="n">
        <v>34.5</v>
      </c>
      <c r="K65" s="22" t="n">
        <f aca="false">ROUNDUP(J65,0)</f>
        <v>35</v>
      </c>
      <c r="L65" s="22" t="n">
        <f aca="false">MAX(D65,K65)</f>
        <v>35</v>
      </c>
      <c r="M65" s="25" t="n">
        <f aca="false">IF(E65="COVERED",'Controls &amp; Sources'!$B$5,'Controls &amp; Sources'!$B$6)</f>
        <v>10.4</v>
      </c>
      <c r="N65" s="25" t="n">
        <f aca="false">L65*M65</f>
        <v>364</v>
      </c>
      <c r="O65" s="22" t="n">
        <f aca="false">COUNTIFS('Billing Actual'!$E$2:$E$770,A65,'Billing Actual'!$B$2:$B$770,'Controls &amp; Sources'!$B$7)</f>
        <v>1</v>
      </c>
      <c r="P65" s="25" t="n">
        <f aca="false">SUMIFS('Billing Actual'!$M$2:$M$770,'Billing Actual'!$E$2:$E$770,A65,'Billing Actual'!$B$2:$B$770,'Controls &amp; Sources'!$B$7)</f>
        <v>364</v>
      </c>
      <c r="Q65" s="25" t="n">
        <f aca="false">P65-N65</f>
        <v>0</v>
      </c>
      <c r="R65" s="22" t="str">
        <f aca="false">IF(O65=0,"No August moorage transaction",IF(O65&gt;1,"Duplicate August transactions",IF(ABS(Q65)&gt;0.005,"Charge variance","OK")))</f>
        <v>OK</v>
      </c>
      <c r="S65" s="22" t="str">
        <f aca="false">IF(R65="OK","","Billing completeness/reconciliation")</f>
        <v/>
      </c>
    </row>
    <row r="66" customFormat="false" ht="15" hidden="false" customHeight="false" outlineLevel="0" collapsed="false">
      <c r="A66" s="22" t="s">
        <v>6776</v>
      </c>
      <c r="B66" s="22" t="s">
        <v>198</v>
      </c>
      <c r="C66" s="22" t="s">
        <v>6562</v>
      </c>
      <c r="D66" s="22" t="n">
        <v>24</v>
      </c>
      <c r="E66" s="22" t="s">
        <v>6575</v>
      </c>
      <c r="F66" s="22" t="s">
        <v>6577</v>
      </c>
      <c r="G66" s="22" t="s">
        <v>3759</v>
      </c>
      <c r="H66" s="22" t="s">
        <v>3760</v>
      </c>
      <c r="I66" s="22" t="s">
        <v>2034</v>
      </c>
      <c r="J66" s="22" t="n">
        <v>53.4</v>
      </c>
      <c r="K66" s="22" t="n">
        <f aca="false">ROUNDUP(J66,0)</f>
        <v>54</v>
      </c>
      <c r="L66" s="22" t="n">
        <f aca="false">MAX(D66,K66)</f>
        <v>54</v>
      </c>
      <c r="M66" s="25" t="n">
        <f aca="false">IF(E66="COVERED",'Controls &amp; Sources'!$B$5,'Controls &amp; Sources'!$B$6)</f>
        <v>10.4</v>
      </c>
      <c r="N66" s="25" t="n">
        <f aca="false">L66*M66</f>
        <v>561.6</v>
      </c>
      <c r="O66" s="22" t="n">
        <f aca="false">COUNTIFS('Billing Actual'!$E$2:$E$770,A66,'Billing Actual'!$B$2:$B$770,'Controls &amp; Sources'!$B$7)</f>
        <v>1</v>
      </c>
      <c r="P66" s="25" t="n">
        <f aca="false">SUMIFS('Billing Actual'!$M$2:$M$770,'Billing Actual'!$E$2:$E$770,A66,'Billing Actual'!$B$2:$B$770,'Controls &amp; Sources'!$B$7)</f>
        <v>561.6</v>
      </c>
      <c r="Q66" s="25" t="n">
        <f aca="false">P66-N66</f>
        <v>0</v>
      </c>
      <c r="R66" s="22" t="str">
        <f aca="false">IF(O66=0,"No August moorage transaction",IF(O66&gt;1,"Duplicate August transactions",IF(ABS(Q66)&gt;0.005,"Charge variance","OK")))</f>
        <v>OK</v>
      </c>
      <c r="S66" s="22" t="str">
        <f aca="false">IF(R66="OK","","Billing completeness/reconciliation")</f>
        <v/>
      </c>
    </row>
    <row r="67" customFormat="false" ht="15" hidden="false" customHeight="false" outlineLevel="0" collapsed="false">
      <c r="A67" s="22" t="s">
        <v>6779</v>
      </c>
      <c r="B67" s="22" t="s">
        <v>198</v>
      </c>
      <c r="C67" s="22" t="s">
        <v>6562</v>
      </c>
      <c r="D67" s="22" t="n">
        <v>28</v>
      </c>
      <c r="E67" s="22" t="s">
        <v>6575</v>
      </c>
      <c r="F67" s="22" t="s">
        <v>6577</v>
      </c>
      <c r="G67" s="22" t="s">
        <v>5568</v>
      </c>
      <c r="H67" s="22" t="s">
        <v>5569</v>
      </c>
      <c r="I67" s="22" t="s">
        <v>260</v>
      </c>
      <c r="J67" s="22" t="n">
        <v>34.2</v>
      </c>
      <c r="K67" s="22" t="n">
        <f aca="false">ROUNDUP(J67,0)</f>
        <v>35</v>
      </c>
      <c r="L67" s="22" t="n">
        <f aca="false">MAX(D67,K67)</f>
        <v>35</v>
      </c>
      <c r="M67" s="25" t="n">
        <f aca="false">IF(E67="COVERED",'Controls &amp; Sources'!$B$5,'Controls &amp; Sources'!$B$6)</f>
        <v>10.4</v>
      </c>
      <c r="N67" s="25" t="n">
        <f aca="false">L67*M67</f>
        <v>364</v>
      </c>
      <c r="O67" s="22" t="n">
        <f aca="false">COUNTIFS('Billing Actual'!$E$2:$E$770,A67,'Billing Actual'!$B$2:$B$770,'Controls &amp; Sources'!$B$7)</f>
        <v>1</v>
      </c>
      <c r="P67" s="25" t="n">
        <f aca="false">SUMIFS('Billing Actual'!$M$2:$M$770,'Billing Actual'!$E$2:$E$770,A67,'Billing Actual'!$B$2:$B$770,'Controls &amp; Sources'!$B$7)</f>
        <v>364</v>
      </c>
      <c r="Q67" s="25" t="n">
        <f aca="false">P67-N67</f>
        <v>0</v>
      </c>
      <c r="R67" s="22" t="str">
        <f aca="false">IF(O67=0,"No August moorage transaction",IF(O67&gt;1,"Duplicate August transactions",IF(ABS(Q67)&gt;0.005,"Charge variance","OK")))</f>
        <v>OK</v>
      </c>
      <c r="S67" s="22" t="str">
        <f aca="false">IF(R67="OK","","Billing completeness/reconciliation")</f>
        <v/>
      </c>
    </row>
    <row r="68" customFormat="false" ht="15" hidden="false" customHeight="false" outlineLevel="0" collapsed="false">
      <c r="A68" s="22" t="s">
        <v>6782</v>
      </c>
      <c r="B68" s="22" t="s">
        <v>198</v>
      </c>
      <c r="C68" s="22" t="s">
        <v>6562</v>
      </c>
      <c r="D68" s="22" t="n">
        <v>24</v>
      </c>
      <c r="E68" s="22" t="s">
        <v>6575</v>
      </c>
      <c r="F68" s="22" t="s">
        <v>6577</v>
      </c>
      <c r="G68" s="22" t="s">
        <v>1622</v>
      </c>
      <c r="H68" s="22" t="s">
        <v>1623</v>
      </c>
      <c r="I68" s="22" t="s">
        <v>522</v>
      </c>
      <c r="J68" s="22" t="n">
        <v>57.4</v>
      </c>
      <c r="K68" s="22" t="n">
        <f aca="false">ROUNDUP(J68,0)</f>
        <v>58</v>
      </c>
      <c r="L68" s="22" t="n">
        <f aca="false">MAX(D68,K68)</f>
        <v>58</v>
      </c>
      <c r="M68" s="25" t="n">
        <f aca="false">IF(E68="COVERED",'Controls &amp; Sources'!$B$5,'Controls &amp; Sources'!$B$6)</f>
        <v>10.4</v>
      </c>
      <c r="N68" s="25" t="n">
        <f aca="false">L68*M68</f>
        <v>603.2</v>
      </c>
      <c r="O68" s="22" t="n">
        <f aca="false">COUNTIFS('Billing Actual'!$E$2:$E$770,A68,'Billing Actual'!$B$2:$B$770,'Controls &amp; Sources'!$B$7)</f>
        <v>1</v>
      </c>
      <c r="P68" s="25" t="n">
        <f aca="false">SUMIFS('Billing Actual'!$M$2:$M$770,'Billing Actual'!$E$2:$E$770,A68,'Billing Actual'!$B$2:$B$770,'Controls &amp; Sources'!$B$7)</f>
        <v>603.2</v>
      </c>
      <c r="Q68" s="25" t="n">
        <f aca="false">P68-N68</f>
        <v>0</v>
      </c>
      <c r="R68" s="22" t="str">
        <f aca="false">IF(O68=0,"No August moorage transaction",IF(O68&gt;1,"Duplicate August transactions",IF(ABS(Q68)&gt;0.005,"Charge variance","OK")))</f>
        <v>OK</v>
      </c>
      <c r="S68" s="22" t="str">
        <f aca="false">IF(R68="OK","","Billing completeness/reconciliation")</f>
        <v/>
      </c>
    </row>
    <row r="69" customFormat="false" ht="15" hidden="false" customHeight="false" outlineLevel="0" collapsed="false">
      <c r="A69" s="22" t="s">
        <v>6785</v>
      </c>
      <c r="B69" s="22" t="s">
        <v>198</v>
      </c>
      <c r="C69" s="22" t="s">
        <v>6562</v>
      </c>
      <c r="D69" s="22" t="n">
        <v>24</v>
      </c>
      <c r="E69" s="22" t="s">
        <v>6575</v>
      </c>
      <c r="F69" s="22" t="s">
        <v>6577</v>
      </c>
      <c r="G69" s="22" t="s">
        <v>3630</v>
      </c>
      <c r="H69" s="22" t="s">
        <v>3631</v>
      </c>
      <c r="I69" s="22" t="s">
        <v>3632</v>
      </c>
      <c r="J69" s="22" t="n">
        <v>48.5</v>
      </c>
      <c r="K69" s="22" t="n">
        <f aca="false">ROUNDUP(J69,0)</f>
        <v>49</v>
      </c>
      <c r="L69" s="22" t="n">
        <f aca="false">MAX(D69,K69)</f>
        <v>49</v>
      </c>
      <c r="M69" s="25" t="n">
        <f aca="false">IF(E69="COVERED",'Controls &amp; Sources'!$B$5,'Controls &amp; Sources'!$B$6)</f>
        <v>10.4</v>
      </c>
      <c r="N69" s="25" t="n">
        <f aca="false">L69*M69</f>
        <v>509.6</v>
      </c>
      <c r="O69" s="22" t="n">
        <f aca="false">COUNTIFS('Billing Actual'!$E$2:$E$770,A69,'Billing Actual'!$B$2:$B$770,'Controls &amp; Sources'!$B$7)</f>
        <v>1</v>
      </c>
      <c r="P69" s="25" t="n">
        <f aca="false">SUMIFS('Billing Actual'!$M$2:$M$770,'Billing Actual'!$E$2:$E$770,A69,'Billing Actual'!$B$2:$B$770,'Controls &amp; Sources'!$B$7)</f>
        <v>509.6</v>
      </c>
      <c r="Q69" s="25" t="n">
        <f aca="false">P69-N69</f>
        <v>0</v>
      </c>
      <c r="R69" s="22" t="str">
        <f aca="false">IF(O69=0,"No August moorage transaction",IF(O69&gt;1,"Duplicate August transactions",IF(ABS(Q69)&gt;0.005,"Charge variance","OK")))</f>
        <v>OK</v>
      </c>
      <c r="S69" s="22" t="str">
        <f aca="false">IF(R69="OK","","Billing completeness/reconciliation")</f>
        <v/>
      </c>
    </row>
    <row r="70" customFormat="false" ht="15" hidden="false" customHeight="false" outlineLevel="0" collapsed="false">
      <c r="A70" s="22" t="s">
        <v>6787</v>
      </c>
      <c r="B70" s="22" t="s">
        <v>198</v>
      </c>
      <c r="C70" s="22" t="s">
        <v>6562</v>
      </c>
      <c r="D70" s="22" t="n">
        <v>32</v>
      </c>
      <c r="E70" s="22" t="s">
        <v>6575</v>
      </c>
      <c r="F70" s="22" t="s">
        <v>6577</v>
      </c>
      <c r="G70" s="22" t="s">
        <v>1406</v>
      </c>
      <c r="H70" s="22" t="s">
        <v>1407</v>
      </c>
      <c r="I70" s="22" t="s">
        <v>1408</v>
      </c>
      <c r="J70" s="22" t="n">
        <v>44.5</v>
      </c>
      <c r="K70" s="22" t="n">
        <f aca="false">ROUNDUP(J70,0)</f>
        <v>45</v>
      </c>
      <c r="L70" s="22" t="n">
        <f aca="false">MAX(D70,K70)</f>
        <v>45</v>
      </c>
      <c r="M70" s="25" t="n">
        <f aca="false">IF(E70="COVERED",'Controls &amp; Sources'!$B$5,'Controls &amp; Sources'!$B$6)</f>
        <v>10.4</v>
      </c>
      <c r="N70" s="25" t="n">
        <f aca="false">L70*M70</f>
        <v>468</v>
      </c>
      <c r="O70" s="22" t="n">
        <f aca="false">COUNTIFS('Billing Actual'!$E$2:$E$770,A70,'Billing Actual'!$B$2:$B$770,'Controls &amp; Sources'!$B$7)</f>
        <v>1</v>
      </c>
      <c r="P70" s="25" t="n">
        <f aca="false">SUMIFS('Billing Actual'!$M$2:$M$770,'Billing Actual'!$E$2:$E$770,A70,'Billing Actual'!$B$2:$B$770,'Controls &amp; Sources'!$B$7)</f>
        <v>468</v>
      </c>
      <c r="Q70" s="25" t="n">
        <f aca="false">P70-N70</f>
        <v>0</v>
      </c>
      <c r="R70" s="22" t="str">
        <f aca="false">IF(O70=0,"No August moorage transaction",IF(O70&gt;1,"Duplicate August transactions",IF(ABS(Q70)&gt;0.005,"Charge variance","OK")))</f>
        <v>OK</v>
      </c>
      <c r="S70" s="22" t="str">
        <f aca="false">IF(R70="OK","","Billing completeness/reconciliation")</f>
        <v/>
      </c>
    </row>
    <row r="71" customFormat="false" ht="15" hidden="false" customHeight="false" outlineLevel="0" collapsed="false">
      <c r="A71" s="22" t="s">
        <v>6793</v>
      </c>
      <c r="B71" s="22" t="s">
        <v>198</v>
      </c>
      <c r="C71" s="22" t="s">
        <v>6562</v>
      </c>
      <c r="D71" s="22" t="n">
        <v>28</v>
      </c>
      <c r="E71" s="22" t="s">
        <v>6575</v>
      </c>
      <c r="F71" s="22" t="s">
        <v>6577</v>
      </c>
      <c r="G71" s="22" t="s">
        <v>704</v>
      </c>
      <c r="H71" s="22" t="s">
        <v>705</v>
      </c>
      <c r="I71" s="22" t="s">
        <v>519</v>
      </c>
      <c r="J71" s="22" t="n">
        <v>36.5</v>
      </c>
      <c r="K71" s="22" t="n">
        <f aca="false">ROUNDUP(J71,0)</f>
        <v>37</v>
      </c>
      <c r="L71" s="22" t="n">
        <f aca="false">MAX(D71,K71)</f>
        <v>37</v>
      </c>
      <c r="M71" s="25" t="n">
        <f aca="false">IF(E71="COVERED",'Controls &amp; Sources'!$B$5,'Controls &amp; Sources'!$B$6)</f>
        <v>10.4</v>
      </c>
      <c r="N71" s="25" t="n">
        <f aca="false">L71*M71</f>
        <v>384.8</v>
      </c>
      <c r="O71" s="22" t="n">
        <f aca="false">COUNTIFS('Billing Actual'!$E$2:$E$770,A71,'Billing Actual'!$B$2:$B$770,'Controls &amp; Sources'!$B$7)</f>
        <v>1</v>
      </c>
      <c r="P71" s="25" t="n">
        <f aca="false">SUMIFS('Billing Actual'!$M$2:$M$770,'Billing Actual'!$E$2:$E$770,A71,'Billing Actual'!$B$2:$B$770,'Controls &amp; Sources'!$B$7)</f>
        <v>384.8</v>
      </c>
      <c r="Q71" s="25" t="n">
        <f aca="false">P71-N71</f>
        <v>0</v>
      </c>
      <c r="R71" s="22" t="str">
        <f aca="false">IF(O71=0,"No August moorage transaction",IF(O71&gt;1,"Duplicate August transactions",IF(ABS(Q71)&gt;0.005,"Charge variance","OK")))</f>
        <v>OK</v>
      </c>
      <c r="S71" s="22" t="str">
        <f aca="false">IF(R71="OK","","Billing completeness/reconciliation")</f>
        <v/>
      </c>
    </row>
    <row r="72" customFormat="false" ht="15" hidden="false" customHeight="false" outlineLevel="0" collapsed="false">
      <c r="A72" s="22" t="s">
        <v>6796</v>
      </c>
      <c r="B72" s="22" t="s">
        <v>198</v>
      </c>
      <c r="C72" s="22" t="s">
        <v>6562</v>
      </c>
      <c r="D72" s="22" t="n">
        <v>24</v>
      </c>
      <c r="E72" s="22" t="s">
        <v>6575</v>
      </c>
      <c r="F72" s="22" t="s">
        <v>6577</v>
      </c>
      <c r="G72" s="22" t="s">
        <v>347</v>
      </c>
      <c r="H72" s="22" t="s">
        <v>348</v>
      </c>
      <c r="I72" s="22" t="s">
        <v>349</v>
      </c>
      <c r="J72" s="22" t="n">
        <v>46.9</v>
      </c>
      <c r="K72" s="22" t="n">
        <f aca="false">ROUNDUP(J72,0)</f>
        <v>47</v>
      </c>
      <c r="L72" s="22" t="n">
        <f aca="false">MAX(D72,K72)</f>
        <v>47</v>
      </c>
      <c r="M72" s="25" t="n">
        <f aca="false">IF(E72="COVERED",'Controls &amp; Sources'!$B$5,'Controls &amp; Sources'!$B$6)</f>
        <v>10.4</v>
      </c>
      <c r="N72" s="25" t="n">
        <f aca="false">L72*M72</f>
        <v>488.8</v>
      </c>
      <c r="O72" s="22" t="n">
        <f aca="false">COUNTIFS('Billing Actual'!$E$2:$E$770,A72,'Billing Actual'!$B$2:$B$770,'Controls &amp; Sources'!$B$7)</f>
        <v>1</v>
      </c>
      <c r="P72" s="25" t="n">
        <f aca="false">SUMIFS('Billing Actual'!$M$2:$M$770,'Billing Actual'!$E$2:$E$770,A72,'Billing Actual'!$B$2:$B$770,'Controls &amp; Sources'!$B$7)</f>
        <v>488.8</v>
      </c>
      <c r="Q72" s="25" t="n">
        <f aca="false">P72-N72</f>
        <v>0</v>
      </c>
      <c r="R72" s="22" t="str">
        <f aca="false">IF(O72=0,"No August moorage transaction",IF(O72&gt;1,"Duplicate August transactions",IF(ABS(Q72)&gt;0.005,"Charge variance","OK")))</f>
        <v>OK</v>
      </c>
      <c r="S72" s="22" t="str">
        <f aca="false">IF(R72="OK","","Billing completeness/reconciliation")</f>
        <v/>
      </c>
    </row>
    <row r="73" customFormat="false" ht="15" hidden="false" customHeight="false" outlineLevel="0" collapsed="false">
      <c r="A73" s="22" t="s">
        <v>6799</v>
      </c>
      <c r="B73" s="22" t="s">
        <v>198</v>
      </c>
      <c r="C73" s="22" t="s">
        <v>6562</v>
      </c>
      <c r="D73" s="22" t="n">
        <v>24</v>
      </c>
      <c r="E73" s="22" t="s">
        <v>6575</v>
      </c>
      <c r="F73" s="22" t="s">
        <v>6577</v>
      </c>
      <c r="G73" s="22" t="s">
        <v>4651</v>
      </c>
      <c r="H73" s="22" t="s">
        <v>4652</v>
      </c>
      <c r="I73" s="22" t="s">
        <v>4653</v>
      </c>
      <c r="J73" s="22" t="n">
        <v>27.2</v>
      </c>
      <c r="K73" s="22" t="n">
        <f aca="false">ROUNDUP(J73,0)</f>
        <v>28</v>
      </c>
      <c r="L73" s="22" t="n">
        <f aca="false">MAX(D73,K73)</f>
        <v>28</v>
      </c>
      <c r="M73" s="25" t="n">
        <f aca="false">IF(E73="COVERED",'Controls &amp; Sources'!$B$5,'Controls &amp; Sources'!$B$6)</f>
        <v>10.4</v>
      </c>
      <c r="N73" s="25" t="n">
        <f aca="false">L73*M73</f>
        <v>291.2</v>
      </c>
      <c r="O73" s="22" t="n">
        <f aca="false">COUNTIFS('Billing Actual'!$E$2:$E$770,A73,'Billing Actual'!$B$2:$B$770,'Controls &amp; Sources'!$B$7)</f>
        <v>1</v>
      </c>
      <c r="P73" s="25" t="n">
        <f aca="false">SUMIFS('Billing Actual'!$M$2:$M$770,'Billing Actual'!$E$2:$E$770,A73,'Billing Actual'!$B$2:$B$770,'Controls &amp; Sources'!$B$7)</f>
        <v>291.2</v>
      </c>
      <c r="Q73" s="25" t="n">
        <f aca="false">P73-N73</f>
        <v>0</v>
      </c>
      <c r="R73" s="22" t="str">
        <f aca="false">IF(O73=0,"No August moorage transaction",IF(O73&gt;1,"Duplicate August transactions",IF(ABS(Q73)&gt;0.005,"Charge variance","OK")))</f>
        <v>OK</v>
      </c>
      <c r="S73" s="22" t="str">
        <f aca="false">IF(R73="OK","","Billing completeness/reconciliation")</f>
        <v/>
      </c>
    </row>
    <row r="74" customFormat="false" ht="15" hidden="false" customHeight="false" outlineLevel="0" collapsed="false">
      <c r="A74" s="22" t="s">
        <v>6802</v>
      </c>
      <c r="B74" s="22" t="s">
        <v>198</v>
      </c>
      <c r="C74" s="22" t="s">
        <v>6562</v>
      </c>
      <c r="D74" s="22" t="n">
        <v>24</v>
      </c>
      <c r="E74" s="22" t="s">
        <v>6575</v>
      </c>
      <c r="F74" s="22" t="s">
        <v>6577</v>
      </c>
      <c r="G74" s="22" t="s">
        <v>3771</v>
      </c>
      <c r="H74" s="22" t="s">
        <v>2795</v>
      </c>
      <c r="I74" s="22" t="s">
        <v>451</v>
      </c>
      <c r="J74" s="22" t="n">
        <v>34.5</v>
      </c>
      <c r="K74" s="22" t="n">
        <f aca="false">ROUNDUP(J74,0)</f>
        <v>35</v>
      </c>
      <c r="L74" s="22" t="n">
        <f aca="false">MAX(D74,K74)</f>
        <v>35</v>
      </c>
      <c r="M74" s="25" t="n">
        <f aca="false">IF(E74="COVERED",'Controls &amp; Sources'!$B$5,'Controls &amp; Sources'!$B$6)</f>
        <v>10.4</v>
      </c>
      <c r="N74" s="25" t="n">
        <f aca="false">L74*M74</f>
        <v>364</v>
      </c>
      <c r="O74" s="22" t="n">
        <f aca="false">COUNTIFS('Billing Actual'!$E$2:$E$770,A74,'Billing Actual'!$B$2:$B$770,'Controls &amp; Sources'!$B$7)</f>
        <v>1</v>
      </c>
      <c r="P74" s="25" t="n">
        <f aca="false">SUMIFS('Billing Actual'!$M$2:$M$770,'Billing Actual'!$E$2:$E$770,A74,'Billing Actual'!$B$2:$B$770,'Controls &amp; Sources'!$B$7)</f>
        <v>364</v>
      </c>
      <c r="Q74" s="25" t="n">
        <f aca="false">P74-N74</f>
        <v>0</v>
      </c>
      <c r="R74" s="22" t="str">
        <f aca="false">IF(O74=0,"No August moorage transaction",IF(O74&gt;1,"Duplicate August transactions",IF(ABS(Q74)&gt;0.005,"Charge variance","OK")))</f>
        <v>OK</v>
      </c>
      <c r="S74" s="22" t="str">
        <f aca="false">IF(R74="OK","","Billing completeness/reconciliation")</f>
        <v/>
      </c>
    </row>
    <row r="75" customFormat="false" ht="15" hidden="false" customHeight="false" outlineLevel="0" collapsed="false">
      <c r="A75" s="22" t="s">
        <v>6805</v>
      </c>
      <c r="B75" s="22" t="s">
        <v>198</v>
      </c>
      <c r="C75" s="22" t="s">
        <v>6562</v>
      </c>
      <c r="D75" s="22" t="n">
        <v>24</v>
      </c>
      <c r="E75" s="22" t="s">
        <v>6575</v>
      </c>
      <c r="F75" s="22" t="s">
        <v>6577</v>
      </c>
      <c r="G75" s="22" t="s">
        <v>3211</v>
      </c>
      <c r="H75" s="22" t="s">
        <v>3212</v>
      </c>
      <c r="I75" s="22" t="s">
        <v>3213</v>
      </c>
      <c r="J75" s="22" t="n">
        <v>59.6</v>
      </c>
      <c r="K75" s="22" t="n">
        <f aca="false">ROUNDUP(J75,0)</f>
        <v>60</v>
      </c>
      <c r="L75" s="22" t="n">
        <f aca="false">MAX(D75,K75)</f>
        <v>60</v>
      </c>
      <c r="M75" s="25" t="n">
        <f aca="false">IF(E75="COVERED",'Controls &amp; Sources'!$B$5,'Controls &amp; Sources'!$B$6)</f>
        <v>10.4</v>
      </c>
      <c r="N75" s="25" t="n">
        <f aca="false">L75*M75</f>
        <v>624</v>
      </c>
      <c r="O75" s="22" t="n">
        <f aca="false">COUNTIFS('Billing Actual'!$E$2:$E$770,A75,'Billing Actual'!$B$2:$B$770,'Controls &amp; Sources'!$B$7)</f>
        <v>1</v>
      </c>
      <c r="P75" s="25" t="n">
        <f aca="false">SUMIFS('Billing Actual'!$M$2:$M$770,'Billing Actual'!$E$2:$E$770,A75,'Billing Actual'!$B$2:$B$770,'Controls &amp; Sources'!$B$7)</f>
        <v>624</v>
      </c>
      <c r="Q75" s="25" t="n">
        <f aca="false">P75-N75</f>
        <v>0</v>
      </c>
      <c r="R75" s="22" t="str">
        <f aca="false">IF(O75=0,"No August moorage transaction",IF(O75&gt;1,"Duplicate August transactions",IF(ABS(Q75)&gt;0.005,"Charge variance","OK")))</f>
        <v>OK</v>
      </c>
      <c r="S75" s="22" t="str">
        <f aca="false">IF(R75="OK","","Billing completeness/reconciliation")</f>
        <v/>
      </c>
    </row>
    <row r="76" customFormat="false" ht="15" hidden="false" customHeight="false" outlineLevel="0" collapsed="false">
      <c r="A76" s="22" t="s">
        <v>6808</v>
      </c>
      <c r="B76" s="22" t="s">
        <v>198</v>
      </c>
      <c r="C76" s="22" t="s">
        <v>6562</v>
      </c>
      <c r="D76" s="22" t="n">
        <v>28</v>
      </c>
      <c r="E76" s="22" t="s">
        <v>6575</v>
      </c>
      <c r="F76" s="22" t="s">
        <v>6577</v>
      </c>
      <c r="G76" s="22" t="s">
        <v>3362</v>
      </c>
      <c r="H76" s="22" t="s">
        <v>3363</v>
      </c>
      <c r="I76" s="22" t="s">
        <v>2620</v>
      </c>
      <c r="J76" s="22" t="n">
        <v>38.4</v>
      </c>
      <c r="K76" s="22" t="n">
        <f aca="false">ROUNDUP(J76,0)</f>
        <v>39</v>
      </c>
      <c r="L76" s="22" t="n">
        <f aca="false">MAX(D76,K76)</f>
        <v>39</v>
      </c>
      <c r="M76" s="25" t="n">
        <f aca="false">IF(E76="COVERED",'Controls &amp; Sources'!$B$5,'Controls &amp; Sources'!$B$6)</f>
        <v>10.4</v>
      </c>
      <c r="N76" s="25" t="n">
        <f aca="false">L76*M76</f>
        <v>405.6</v>
      </c>
      <c r="O76" s="22" t="n">
        <f aca="false">COUNTIFS('Billing Actual'!$E$2:$E$770,A76,'Billing Actual'!$B$2:$B$770,'Controls &amp; Sources'!$B$7)</f>
        <v>1</v>
      </c>
      <c r="P76" s="25" t="n">
        <f aca="false">SUMIFS('Billing Actual'!$M$2:$M$770,'Billing Actual'!$E$2:$E$770,A76,'Billing Actual'!$B$2:$B$770,'Controls &amp; Sources'!$B$7)</f>
        <v>405.6</v>
      </c>
      <c r="Q76" s="25" t="n">
        <f aca="false">P76-N76</f>
        <v>0</v>
      </c>
      <c r="R76" s="22" t="str">
        <f aca="false">IF(O76=0,"No August moorage transaction",IF(O76&gt;1,"Duplicate August transactions",IF(ABS(Q76)&gt;0.005,"Charge variance","OK")))</f>
        <v>OK</v>
      </c>
      <c r="S76" s="22" t="str">
        <f aca="false">IF(R76="OK","","Billing completeness/reconciliation")</f>
        <v/>
      </c>
    </row>
    <row r="77" customFormat="false" ht="15" hidden="false" customHeight="false" outlineLevel="0" collapsed="false">
      <c r="A77" s="22" t="s">
        <v>6811</v>
      </c>
      <c r="B77" s="22" t="s">
        <v>198</v>
      </c>
      <c r="C77" s="22" t="s">
        <v>6562</v>
      </c>
      <c r="D77" s="22" t="n">
        <v>40</v>
      </c>
      <c r="E77" s="22" t="s">
        <v>6575</v>
      </c>
      <c r="F77" s="22" t="s">
        <v>6577</v>
      </c>
      <c r="G77" s="22" t="s">
        <v>5190</v>
      </c>
      <c r="H77" s="22" t="s">
        <v>5191</v>
      </c>
      <c r="I77" s="22" t="s">
        <v>4653</v>
      </c>
      <c r="J77" s="22" t="n">
        <v>23.9</v>
      </c>
      <c r="K77" s="22" t="n">
        <f aca="false">ROUNDUP(J77,0)</f>
        <v>24</v>
      </c>
      <c r="L77" s="22" t="n">
        <f aca="false">MAX(D77,K77)</f>
        <v>40</v>
      </c>
      <c r="M77" s="25" t="n">
        <f aca="false">IF(E77="COVERED",'Controls &amp; Sources'!$B$5,'Controls &amp; Sources'!$B$6)</f>
        <v>10.4</v>
      </c>
      <c r="N77" s="25" t="n">
        <f aca="false">L77*M77</f>
        <v>416</v>
      </c>
      <c r="O77" s="22" t="n">
        <f aca="false">COUNTIFS('Billing Actual'!$E$2:$E$770,A77,'Billing Actual'!$B$2:$B$770,'Controls &amp; Sources'!$B$7)</f>
        <v>1</v>
      </c>
      <c r="P77" s="25" t="n">
        <f aca="false">SUMIFS('Billing Actual'!$M$2:$M$770,'Billing Actual'!$E$2:$E$770,A77,'Billing Actual'!$B$2:$B$770,'Controls &amp; Sources'!$B$7)</f>
        <v>416</v>
      </c>
      <c r="Q77" s="25" t="n">
        <f aca="false">P77-N77</f>
        <v>0</v>
      </c>
      <c r="R77" s="22" t="str">
        <f aca="false">IF(O77=0,"No August moorage transaction",IF(O77&gt;1,"Duplicate August transactions",IF(ABS(Q77)&gt;0.005,"Charge variance","OK")))</f>
        <v>OK</v>
      </c>
      <c r="S77" s="22" t="str">
        <f aca="false">IF(R77="OK","","Billing completeness/reconciliation")</f>
        <v/>
      </c>
    </row>
    <row r="78" customFormat="false" ht="15" hidden="false" customHeight="false" outlineLevel="0" collapsed="false">
      <c r="A78" s="22" t="s">
        <v>6814</v>
      </c>
      <c r="B78" s="22" t="s">
        <v>198</v>
      </c>
      <c r="C78" s="22" t="s">
        <v>6562</v>
      </c>
      <c r="D78" s="22" t="n">
        <v>32</v>
      </c>
      <c r="E78" s="22" t="s">
        <v>6575</v>
      </c>
      <c r="F78" s="22" t="s">
        <v>6577</v>
      </c>
      <c r="G78" s="22" t="s">
        <v>4092</v>
      </c>
      <c r="H78" s="22" t="s">
        <v>4093</v>
      </c>
      <c r="I78" s="22" t="s">
        <v>4094</v>
      </c>
      <c r="J78" s="22" t="n">
        <v>48.1</v>
      </c>
      <c r="K78" s="22" t="n">
        <f aca="false">ROUNDUP(J78,0)</f>
        <v>49</v>
      </c>
      <c r="L78" s="22" t="n">
        <f aca="false">MAX(D78,K78)</f>
        <v>49</v>
      </c>
      <c r="M78" s="25" t="n">
        <f aca="false">IF(E78="COVERED",'Controls &amp; Sources'!$B$5,'Controls &amp; Sources'!$B$6)</f>
        <v>10.4</v>
      </c>
      <c r="N78" s="25" t="n">
        <f aca="false">L78*M78</f>
        <v>509.6</v>
      </c>
      <c r="O78" s="22" t="n">
        <f aca="false">COUNTIFS('Billing Actual'!$E$2:$E$770,A78,'Billing Actual'!$B$2:$B$770,'Controls &amp; Sources'!$B$7)</f>
        <v>1</v>
      </c>
      <c r="P78" s="25" t="n">
        <f aca="false">SUMIFS('Billing Actual'!$M$2:$M$770,'Billing Actual'!$E$2:$E$770,A78,'Billing Actual'!$B$2:$B$770,'Controls &amp; Sources'!$B$7)</f>
        <v>509.6</v>
      </c>
      <c r="Q78" s="25" t="n">
        <f aca="false">P78-N78</f>
        <v>0</v>
      </c>
      <c r="R78" s="22" t="str">
        <f aca="false">IF(O78=0,"No August moorage transaction",IF(O78&gt;1,"Duplicate August transactions",IF(ABS(Q78)&gt;0.005,"Charge variance","OK")))</f>
        <v>OK</v>
      </c>
      <c r="S78" s="22" t="str">
        <f aca="false">IF(R78="OK","","Billing completeness/reconciliation")</f>
        <v/>
      </c>
    </row>
    <row r="79" customFormat="false" ht="15" hidden="false" customHeight="false" outlineLevel="0" collapsed="false">
      <c r="A79" s="22" t="s">
        <v>6817</v>
      </c>
      <c r="B79" s="22" t="s">
        <v>198</v>
      </c>
      <c r="C79" s="22" t="s">
        <v>6562</v>
      </c>
      <c r="D79" s="22" t="n">
        <v>24</v>
      </c>
      <c r="E79" s="22" t="s">
        <v>6575</v>
      </c>
      <c r="F79" s="22" t="s">
        <v>6577</v>
      </c>
      <c r="G79" s="22" t="s">
        <v>3615</v>
      </c>
      <c r="H79" s="22" t="s">
        <v>3616</v>
      </c>
      <c r="I79" s="22" t="s">
        <v>1395</v>
      </c>
      <c r="J79" s="22" t="n">
        <v>39.7</v>
      </c>
      <c r="K79" s="22" t="n">
        <f aca="false">ROUNDUP(J79,0)</f>
        <v>40</v>
      </c>
      <c r="L79" s="22" t="n">
        <f aca="false">MAX(D79,K79)</f>
        <v>40</v>
      </c>
      <c r="M79" s="25" t="n">
        <f aca="false">IF(E79="COVERED",'Controls &amp; Sources'!$B$5,'Controls &amp; Sources'!$B$6)</f>
        <v>10.4</v>
      </c>
      <c r="N79" s="25" t="n">
        <f aca="false">L79*M79</f>
        <v>416</v>
      </c>
      <c r="O79" s="22" t="n">
        <f aca="false">COUNTIFS('Billing Actual'!$E$2:$E$770,A79,'Billing Actual'!$B$2:$B$770,'Controls &amp; Sources'!$B$7)</f>
        <v>1</v>
      </c>
      <c r="P79" s="25" t="n">
        <f aca="false">SUMIFS('Billing Actual'!$M$2:$M$770,'Billing Actual'!$E$2:$E$770,A79,'Billing Actual'!$B$2:$B$770,'Controls &amp; Sources'!$B$7)</f>
        <v>416</v>
      </c>
      <c r="Q79" s="25" t="n">
        <f aca="false">P79-N79</f>
        <v>0</v>
      </c>
      <c r="R79" s="22" t="str">
        <f aca="false">IF(O79=0,"No August moorage transaction",IF(O79&gt;1,"Duplicate August transactions",IF(ABS(Q79)&gt;0.005,"Charge variance","OK")))</f>
        <v>OK</v>
      </c>
      <c r="S79" s="22" t="str">
        <f aca="false">IF(R79="OK","","Billing completeness/reconciliation")</f>
        <v/>
      </c>
    </row>
    <row r="80" customFormat="false" ht="15" hidden="false" customHeight="false" outlineLevel="0" collapsed="false">
      <c r="A80" s="22" t="s">
        <v>6820</v>
      </c>
      <c r="B80" s="22" t="s">
        <v>198</v>
      </c>
      <c r="C80" s="22" t="s">
        <v>6562</v>
      </c>
      <c r="D80" s="22" t="n">
        <v>24</v>
      </c>
      <c r="E80" s="22" t="s">
        <v>6575</v>
      </c>
      <c r="F80" s="22" t="s">
        <v>6577</v>
      </c>
      <c r="G80" s="22" t="s">
        <v>2486</v>
      </c>
      <c r="H80" s="22" t="s">
        <v>2487</v>
      </c>
      <c r="I80" s="22" t="s">
        <v>522</v>
      </c>
      <c r="J80" s="22" t="n">
        <v>24.6</v>
      </c>
      <c r="K80" s="22" t="n">
        <f aca="false">ROUNDUP(J80,0)</f>
        <v>25</v>
      </c>
      <c r="L80" s="22" t="n">
        <f aca="false">MAX(D80,K80)</f>
        <v>25</v>
      </c>
      <c r="M80" s="25" t="n">
        <f aca="false">IF(E80="COVERED",'Controls &amp; Sources'!$B$5,'Controls &amp; Sources'!$B$6)</f>
        <v>10.4</v>
      </c>
      <c r="N80" s="25" t="n">
        <f aca="false">L80*M80</f>
        <v>260</v>
      </c>
      <c r="O80" s="22" t="n">
        <f aca="false">COUNTIFS('Billing Actual'!$E$2:$E$770,A80,'Billing Actual'!$B$2:$B$770,'Controls &amp; Sources'!$B$7)</f>
        <v>1</v>
      </c>
      <c r="P80" s="25" t="n">
        <f aca="false">SUMIFS('Billing Actual'!$M$2:$M$770,'Billing Actual'!$E$2:$E$770,A80,'Billing Actual'!$B$2:$B$770,'Controls &amp; Sources'!$B$7)</f>
        <v>260</v>
      </c>
      <c r="Q80" s="25" t="n">
        <f aca="false">P80-N80</f>
        <v>0</v>
      </c>
      <c r="R80" s="22" t="str">
        <f aca="false">IF(O80=0,"No August moorage transaction",IF(O80&gt;1,"Duplicate August transactions",IF(ABS(Q80)&gt;0.005,"Charge variance","OK")))</f>
        <v>OK</v>
      </c>
      <c r="S80" s="22" t="str">
        <f aca="false">IF(R80="OK","","Billing completeness/reconciliation")</f>
        <v/>
      </c>
    </row>
    <row r="81" customFormat="false" ht="15" hidden="false" customHeight="false" outlineLevel="0" collapsed="false">
      <c r="A81" s="22" t="s">
        <v>6823</v>
      </c>
      <c r="B81" s="22" t="s">
        <v>198</v>
      </c>
      <c r="C81" s="22" t="s">
        <v>6562</v>
      </c>
      <c r="D81" s="22" t="n">
        <v>32</v>
      </c>
      <c r="E81" s="22" t="s">
        <v>6575</v>
      </c>
      <c r="F81" s="22" t="s">
        <v>6577</v>
      </c>
      <c r="G81" s="22" t="s">
        <v>842</v>
      </c>
      <c r="H81" s="22" t="s">
        <v>843</v>
      </c>
      <c r="I81" s="22" t="s">
        <v>296</v>
      </c>
      <c r="J81" s="22" t="n">
        <v>41.2</v>
      </c>
      <c r="K81" s="22" t="n">
        <f aca="false">ROUNDUP(J81,0)</f>
        <v>42</v>
      </c>
      <c r="L81" s="22" t="n">
        <f aca="false">MAX(D81,K81)</f>
        <v>42</v>
      </c>
      <c r="M81" s="25" t="n">
        <f aca="false">IF(E81="COVERED",'Controls &amp; Sources'!$B$5,'Controls &amp; Sources'!$B$6)</f>
        <v>10.4</v>
      </c>
      <c r="N81" s="25" t="n">
        <f aca="false">L81*M81</f>
        <v>436.8</v>
      </c>
      <c r="O81" s="22" t="n">
        <f aca="false">COUNTIFS('Billing Actual'!$E$2:$E$770,A81,'Billing Actual'!$B$2:$B$770,'Controls &amp; Sources'!$B$7)</f>
        <v>1</v>
      </c>
      <c r="P81" s="25" t="n">
        <f aca="false">SUMIFS('Billing Actual'!$M$2:$M$770,'Billing Actual'!$E$2:$E$770,A81,'Billing Actual'!$B$2:$B$770,'Controls &amp; Sources'!$B$7)</f>
        <v>436.8</v>
      </c>
      <c r="Q81" s="25" t="n">
        <f aca="false">P81-N81</f>
        <v>0</v>
      </c>
      <c r="R81" s="22" t="str">
        <f aca="false">IF(O81=0,"No August moorage transaction",IF(O81&gt;1,"Duplicate August transactions",IF(ABS(Q81)&gt;0.005,"Charge variance","OK")))</f>
        <v>OK</v>
      </c>
      <c r="S81" s="22" t="str">
        <f aca="false">IF(R81="OK","","Billing completeness/reconciliation")</f>
        <v/>
      </c>
    </row>
    <row r="82" customFormat="false" ht="15" hidden="false" customHeight="false" outlineLevel="0" collapsed="false">
      <c r="A82" s="22" t="s">
        <v>6826</v>
      </c>
      <c r="B82" s="22" t="s">
        <v>198</v>
      </c>
      <c r="C82" s="22" t="s">
        <v>6562</v>
      </c>
      <c r="D82" s="22" t="n">
        <v>28</v>
      </c>
      <c r="E82" s="22" t="s">
        <v>6575</v>
      </c>
      <c r="F82" s="22" t="s">
        <v>6577</v>
      </c>
      <c r="G82" s="22" t="s">
        <v>3890</v>
      </c>
      <c r="H82" s="22" t="s">
        <v>3891</v>
      </c>
      <c r="I82" s="22" t="s">
        <v>254</v>
      </c>
      <c r="J82" s="22" t="n">
        <v>23.7</v>
      </c>
      <c r="K82" s="22" t="n">
        <f aca="false">ROUNDUP(J82,0)</f>
        <v>24</v>
      </c>
      <c r="L82" s="22" t="n">
        <f aca="false">MAX(D82,K82)</f>
        <v>28</v>
      </c>
      <c r="M82" s="25" t="n">
        <f aca="false">IF(E82="COVERED",'Controls &amp; Sources'!$B$5,'Controls &amp; Sources'!$B$6)</f>
        <v>10.4</v>
      </c>
      <c r="N82" s="25" t="n">
        <f aca="false">L82*M82</f>
        <v>291.2</v>
      </c>
      <c r="O82" s="22" t="n">
        <f aca="false">COUNTIFS('Billing Actual'!$E$2:$E$770,A82,'Billing Actual'!$B$2:$B$770,'Controls &amp; Sources'!$B$7)</f>
        <v>1</v>
      </c>
      <c r="P82" s="25" t="n">
        <f aca="false">SUMIFS('Billing Actual'!$M$2:$M$770,'Billing Actual'!$E$2:$E$770,A82,'Billing Actual'!$B$2:$B$770,'Controls &amp; Sources'!$B$7)</f>
        <v>291.2</v>
      </c>
      <c r="Q82" s="25" t="n">
        <f aca="false">P82-N82</f>
        <v>0</v>
      </c>
      <c r="R82" s="22" t="str">
        <f aca="false">IF(O82=0,"No August moorage transaction",IF(O82&gt;1,"Duplicate August transactions",IF(ABS(Q82)&gt;0.005,"Charge variance","OK")))</f>
        <v>OK</v>
      </c>
      <c r="S82" s="22" t="str">
        <f aca="false">IF(R82="OK","","Billing completeness/reconciliation")</f>
        <v/>
      </c>
    </row>
    <row r="83" customFormat="false" ht="15" hidden="false" customHeight="false" outlineLevel="0" collapsed="false">
      <c r="A83" s="22" t="s">
        <v>6831</v>
      </c>
      <c r="B83" s="22" t="s">
        <v>198</v>
      </c>
      <c r="C83" s="22" t="s">
        <v>6562</v>
      </c>
      <c r="D83" s="22" t="n">
        <v>24</v>
      </c>
      <c r="E83" s="22" t="s">
        <v>6575</v>
      </c>
      <c r="F83" s="22" t="s">
        <v>6577</v>
      </c>
      <c r="G83" s="22" t="s">
        <v>6548</v>
      </c>
      <c r="H83" s="22" t="s">
        <v>6549</v>
      </c>
      <c r="I83" s="22" t="s">
        <v>2610</v>
      </c>
      <c r="J83" s="22" t="n">
        <v>35.9</v>
      </c>
      <c r="K83" s="22" t="n">
        <f aca="false">ROUNDUP(J83,0)</f>
        <v>36</v>
      </c>
      <c r="L83" s="22" t="n">
        <f aca="false">MAX(D83,K83)</f>
        <v>36</v>
      </c>
      <c r="M83" s="25" t="n">
        <f aca="false">IF(E83="COVERED",'Controls &amp; Sources'!$B$5,'Controls &amp; Sources'!$B$6)</f>
        <v>10.4</v>
      </c>
      <c r="N83" s="25" t="n">
        <f aca="false">L83*M83</f>
        <v>374.4</v>
      </c>
      <c r="O83" s="22" t="n">
        <f aca="false">COUNTIFS('Billing Actual'!$E$2:$E$770,A83,'Billing Actual'!$B$2:$B$770,'Controls &amp; Sources'!$B$7)</f>
        <v>1</v>
      </c>
      <c r="P83" s="25" t="n">
        <f aca="false">SUMIFS('Billing Actual'!$M$2:$M$770,'Billing Actual'!$E$2:$E$770,A83,'Billing Actual'!$B$2:$B$770,'Controls &amp; Sources'!$B$7)</f>
        <v>374.4</v>
      </c>
      <c r="Q83" s="25" t="n">
        <f aca="false">P83-N83</f>
        <v>0</v>
      </c>
      <c r="R83" s="22" t="str">
        <f aca="false">IF(O83=0,"No August moorage transaction",IF(O83&gt;1,"Duplicate August transactions",IF(ABS(Q83)&gt;0.005,"Charge variance","OK")))</f>
        <v>OK</v>
      </c>
      <c r="S83" s="22" t="str">
        <f aca="false">IF(R83="OK","","Billing completeness/reconciliation")</f>
        <v/>
      </c>
    </row>
    <row r="84" customFormat="false" ht="15" hidden="false" customHeight="false" outlineLevel="0" collapsed="false">
      <c r="A84" s="22" t="s">
        <v>6834</v>
      </c>
      <c r="B84" s="22" t="s">
        <v>198</v>
      </c>
      <c r="C84" s="22" t="s">
        <v>6562</v>
      </c>
      <c r="D84" s="22" t="n">
        <v>24</v>
      </c>
      <c r="E84" s="22" t="s">
        <v>6575</v>
      </c>
      <c r="F84" s="22" t="s">
        <v>6577</v>
      </c>
      <c r="G84" s="22" t="s">
        <v>1969</v>
      </c>
      <c r="H84" s="22" t="s">
        <v>1970</v>
      </c>
      <c r="I84" s="22" t="s">
        <v>1971</v>
      </c>
      <c r="J84" s="22" t="n">
        <v>47.8</v>
      </c>
      <c r="K84" s="22" t="n">
        <f aca="false">ROUNDUP(J84,0)</f>
        <v>48</v>
      </c>
      <c r="L84" s="22" t="n">
        <f aca="false">MAX(D84,K84)</f>
        <v>48</v>
      </c>
      <c r="M84" s="25" t="n">
        <f aca="false">IF(E84="COVERED",'Controls &amp; Sources'!$B$5,'Controls &amp; Sources'!$B$6)</f>
        <v>10.4</v>
      </c>
      <c r="N84" s="25" t="n">
        <f aca="false">L84*M84</f>
        <v>499.2</v>
      </c>
      <c r="O84" s="22" t="n">
        <f aca="false">COUNTIFS('Billing Actual'!$E$2:$E$770,A84,'Billing Actual'!$B$2:$B$770,'Controls &amp; Sources'!$B$7)</f>
        <v>1</v>
      </c>
      <c r="P84" s="25" t="n">
        <f aca="false">SUMIFS('Billing Actual'!$M$2:$M$770,'Billing Actual'!$E$2:$E$770,A84,'Billing Actual'!$B$2:$B$770,'Controls &amp; Sources'!$B$7)</f>
        <v>499.2</v>
      </c>
      <c r="Q84" s="25" t="n">
        <f aca="false">P84-N84</f>
        <v>0</v>
      </c>
      <c r="R84" s="22" t="str">
        <f aca="false">IF(O84=0,"No August moorage transaction",IF(O84&gt;1,"Duplicate August transactions",IF(ABS(Q84)&gt;0.005,"Charge variance","OK")))</f>
        <v>OK</v>
      </c>
      <c r="S84" s="22" t="str">
        <f aca="false">IF(R84="OK","","Billing completeness/reconciliation")</f>
        <v/>
      </c>
    </row>
    <row r="85" customFormat="false" ht="15" hidden="false" customHeight="false" outlineLevel="0" collapsed="false">
      <c r="A85" s="22" t="s">
        <v>6837</v>
      </c>
      <c r="B85" s="22" t="s">
        <v>198</v>
      </c>
      <c r="C85" s="22" t="s">
        <v>6562</v>
      </c>
      <c r="D85" s="22" t="n">
        <v>40</v>
      </c>
      <c r="E85" s="22" t="s">
        <v>6575</v>
      </c>
      <c r="F85" s="22" t="s">
        <v>6577</v>
      </c>
      <c r="G85" s="22" t="s">
        <v>4095</v>
      </c>
      <c r="H85" s="22" t="s">
        <v>4096</v>
      </c>
      <c r="I85" s="22" t="s">
        <v>1743</v>
      </c>
      <c r="J85" s="22" t="n">
        <v>60.9</v>
      </c>
      <c r="K85" s="22" t="n">
        <f aca="false">ROUNDUP(J85,0)</f>
        <v>61</v>
      </c>
      <c r="L85" s="22" t="n">
        <f aca="false">MAX(D85,K85)</f>
        <v>61</v>
      </c>
      <c r="M85" s="25" t="n">
        <f aca="false">IF(E85="COVERED",'Controls &amp; Sources'!$B$5,'Controls &amp; Sources'!$B$6)</f>
        <v>10.4</v>
      </c>
      <c r="N85" s="25" t="n">
        <f aca="false">L85*M85</f>
        <v>634.4</v>
      </c>
      <c r="O85" s="22" t="n">
        <f aca="false">COUNTIFS('Billing Actual'!$E$2:$E$770,A85,'Billing Actual'!$B$2:$B$770,'Controls &amp; Sources'!$B$7)</f>
        <v>1</v>
      </c>
      <c r="P85" s="25" t="n">
        <f aca="false">SUMIFS('Billing Actual'!$M$2:$M$770,'Billing Actual'!$E$2:$E$770,A85,'Billing Actual'!$B$2:$B$770,'Controls &amp; Sources'!$B$7)</f>
        <v>634.4</v>
      </c>
      <c r="Q85" s="25" t="n">
        <f aca="false">P85-N85</f>
        <v>0</v>
      </c>
      <c r="R85" s="22" t="str">
        <f aca="false">IF(O85=0,"No August moorage transaction",IF(O85&gt;1,"Duplicate August transactions",IF(ABS(Q85)&gt;0.005,"Charge variance","OK")))</f>
        <v>OK</v>
      </c>
      <c r="S85" s="22" t="str">
        <f aca="false">IF(R85="OK","","Billing completeness/reconciliation")</f>
        <v/>
      </c>
    </row>
    <row r="86" customFormat="false" ht="15" hidden="false" customHeight="false" outlineLevel="0" collapsed="false">
      <c r="A86" s="22" t="s">
        <v>6840</v>
      </c>
      <c r="B86" s="22" t="s">
        <v>198</v>
      </c>
      <c r="C86" s="22" t="s">
        <v>6562</v>
      </c>
      <c r="D86" s="22" t="n">
        <v>24</v>
      </c>
      <c r="E86" s="22" t="s">
        <v>6575</v>
      </c>
      <c r="F86" s="22" t="s">
        <v>6577</v>
      </c>
      <c r="G86" s="22" t="s">
        <v>1980</v>
      </c>
      <c r="H86" s="22" t="s">
        <v>1981</v>
      </c>
      <c r="I86" s="22" t="s">
        <v>1579</v>
      </c>
      <c r="J86" s="22" t="n">
        <v>43.7</v>
      </c>
      <c r="K86" s="22" t="n">
        <f aca="false">ROUNDUP(J86,0)</f>
        <v>44</v>
      </c>
      <c r="L86" s="22" t="n">
        <f aca="false">MAX(D86,K86)</f>
        <v>44</v>
      </c>
      <c r="M86" s="25" t="n">
        <f aca="false">IF(E86="COVERED",'Controls &amp; Sources'!$B$5,'Controls &amp; Sources'!$B$6)</f>
        <v>10.4</v>
      </c>
      <c r="N86" s="25" t="n">
        <f aca="false">L86*M86</f>
        <v>457.6</v>
      </c>
      <c r="O86" s="22" t="n">
        <f aca="false">COUNTIFS('Billing Actual'!$E$2:$E$770,A86,'Billing Actual'!$B$2:$B$770,'Controls &amp; Sources'!$B$7)</f>
        <v>1</v>
      </c>
      <c r="P86" s="25" t="n">
        <f aca="false">SUMIFS('Billing Actual'!$M$2:$M$770,'Billing Actual'!$E$2:$E$770,A86,'Billing Actual'!$B$2:$B$770,'Controls &amp; Sources'!$B$7)</f>
        <v>457.6</v>
      </c>
      <c r="Q86" s="25" t="n">
        <f aca="false">P86-N86</f>
        <v>0</v>
      </c>
      <c r="R86" s="22" t="str">
        <f aca="false">IF(O86=0,"No August moorage transaction",IF(O86&gt;1,"Duplicate August transactions",IF(ABS(Q86)&gt;0.005,"Charge variance","OK")))</f>
        <v>OK</v>
      </c>
      <c r="S86" s="22" t="str">
        <f aca="false">IF(R86="OK","","Billing completeness/reconciliation")</f>
        <v/>
      </c>
    </row>
    <row r="87" customFormat="false" ht="15" hidden="false" customHeight="false" outlineLevel="0" collapsed="false">
      <c r="A87" s="22" t="s">
        <v>6843</v>
      </c>
      <c r="B87" s="22" t="s">
        <v>198</v>
      </c>
      <c r="C87" s="22" t="s">
        <v>6562</v>
      </c>
      <c r="D87" s="22" t="n">
        <v>24</v>
      </c>
      <c r="E87" s="22" t="s">
        <v>6575</v>
      </c>
      <c r="F87" s="22" t="s">
        <v>6577</v>
      </c>
      <c r="G87" s="22" t="s">
        <v>4579</v>
      </c>
      <c r="H87" s="22" t="s">
        <v>4580</v>
      </c>
      <c r="I87" s="22" t="s">
        <v>3754</v>
      </c>
      <c r="J87" s="22" t="n">
        <v>44.4</v>
      </c>
      <c r="K87" s="22" t="n">
        <f aca="false">ROUNDUP(J87,0)</f>
        <v>45</v>
      </c>
      <c r="L87" s="22" t="n">
        <f aca="false">MAX(D87,K87)</f>
        <v>45</v>
      </c>
      <c r="M87" s="25" t="n">
        <f aca="false">IF(E87="COVERED",'Controls &amp; Sources'!$B$5,'Controls &amp; Sources'!$B$6)</f>
        <v>10.4</v>
      </c>
      <c r="N87" s="25" t="n">
        <f aca="false">L87*M87</f>
        <v>468</v>
      </c>
      <c r="O87" s="22" t="n">
        <f aca="false">COUNTIFS('Billing Actual'!$E$2:$E$770,A87,'Billing Actual'!$B$2:$B$770,'Controls &amp; Sources'!$B$7)</f>
        <v>1</v>
      </c>
      <c r="P87" s="25" t="n">
        <f aca="false">SUMIFS('Billing Actual'!$M$2:$M$770,'Billing Actual'!$E$2:$E$770,A87,'Billing Actual'!$B$2:$B$770,'Controls &amp; Sources'!$B$7)</f>
        <v>468</v>
      </c>
      <c r="Q87" s="25" t="n">
        <f aca="false">P87-N87</f>
        <v>0</v>
      </c>
      <c r="R87" s="22" t="str">
        <f aca="false">IF(O87=0,"No August moorage transaction",IF(O87&gt;1,"Duplicate August transactions",IF(ABS(Q87)&gt;0.005,"Charge variance","OK")))</f>
        <v>OK</v>
      </c>
      <c r="S87" s="22" t="str">
        <f aca="false">IF(R87="OK","","Billing completeness/reconciliation")</f>
        <v/>
      </c>
    </row>
    <row r="88" customFormat="false" ht="15" hidden="false" customHeight="false" outlineLevel="0" collapsed="false">
      <c r="A88" s="22" t="s">
        <v>6846</v>
      </c>
      <c r="B88" s="22" t="s">
        <v>198</v>
      </c>
      <c r="C88" s="22" t="s">
        <v>6562</v>
      </c>
      <c r="D88" s="22" t="n">
        <v>36</v>
      </c>
      <c r="E88" s="22" t="s">
        <v>6575</v>
      </c>
      <c r="F88" s="22" t="s">
        <v>6577</v>
      </c>
      <c r="G88" s="22" t="s">
        <v>5327</v>
      </c>
      <c r="H88" s="22" t="s">
        <v>5328</v>
      </c>
      <c r="I88" s="22" t="s">
        <v>661</v>
      </c>
      <c r="J88" s="22" t="n">
        <v>28.9</v>
      </c>
      <c r="K88" s="22" t="n">
        <f aca="false">ROUNDUP(J88,0)</f>
        <v>29</v>
      </c>
      <c r="L88" s="22" t="n">
        <f aca="false">MAX(D88,K88)</f>
        <v>36</v>
      </c>
      <c r="M88" s="25" t="n">
        <f aca="false">IF(E88="COVERED",'Controls &amp; Sources'!$B$5,'Controls &amp; Sources'!$B$6)</f>
        <v>10.4</v>
      </c>
      <c r="N88" s="25" t="n">
        <f aca="false">L88*M88</f>
        <v>374.4</v>
      </c>
      <c r="O88" s="22" t="n">
        <f aca="false">COUNTIFS('Billing Actual'!$E$2:$E$770,A88,'Billing Actual'!$B$2:$B$770,'Controls &amp; Sources'!$B$7)</f>
        <v>1</v>
      </c>
      <c r="P88" s="25" t="n">
        <f aca="false">SUMIFS('Billing Actual'!$M$2:$M$770,'Billing Actual'!$E$2:$E$770,A88,'Billing Actual'!$B$2:$B$770,'Controls &amp; Sources'!$B$7)</f>
        <v>374.4</v>
      </c>
      <c r="Q88" s="25" t="n">
        <f aca="false">P88-N88</f>
        <v>0</v>
      </c>
      <c r="R88" s="22" t="str">
        <f aca="false">IF(O88=0,"No August moorage transaction",IF(O88&gt;1,"Duplicate August transactions",IF(ABS(Q88)&gt;0.005,"Charge variance","OK")))</f>
        <v>OK</v>
      </c>
      <c r="S88" s="22" t="str">
        <f aca="false">IF(R88="OK","","Billing completeness/reconciliation")</f>
        <v/>
      </c>
    </row>
    <row r="89" customFormat="false" ht="15" hidden="false" customHeight="false" outlineLevel="0" collapsed="false">
      <c r="A89" s="22" t="s">
        <v>6849</v>
      </c>
      <c r="B89" s="22" t="s">
        <v>198</v>
      </c>
      <c r="C89" s="22" t="s">
        <v>6562</v>
      </c>
      <c r="D89" s="22" t="n">
        <v>28</v>
      </c>
      <c r="E89" s="22" t="s">
        <v>6575</v>
      </c>
      <c r="F89" s="22" t="s">
        <v>6577</v>
      </c>
      <c r="G89" s="22" t="s">
        <v>5877</v>
      </c>
      <c r="H89" s="22" t="s">
        <v>5878</v>
      </c>
      <c r="I89" s="22" t="s">
        <v>516</v>
      </c>
      <c r="J89" s="22" t="n">
        <v>25.1</v>
      </c>
      <c r="K89" s="22" t="n">
        <f aca="false">ROUNDUP(J89,0)</f>
        <v>26</v>
      </c>
      <c r="L89" s="22" t="n">
        <f aca="false">MAX(D89,K89)</f>
        <v>28</v>
      </c>
      <c r="M89" s="25" t="n">
        <f aca="false">IF(E89="COVERED",'Controls &amp; Sources'!$B$5,'Controls &amp; Sources'!$B$6)</f>
        <v>10.4</v>
      </c>
      <c r="N89" s="25" t="n">
        <f aca="false">L89*M89</f>
        <v>291.2</v>
      </c>
      <c r="O89" s="22" t="n">
        <f aca="false">COUNTIFS('Billing Actual'!$E$2:$E$770,A89,'Billing Actual'!$B$2:$B$770,'Controls &amp; Sources'!$B$7)</f>
        <v>1</v>
      </c>
      <c r="P89" s="25" t="n">
        <f aca="false">SUMIFS('Billing Actual'!$M$2:$M$770,'Billing Actual'!$E$2:$E$770,A89,'Billing Actual'!$B$2:$B$770,'Controls &amp; Sources'!$B$7)</f>
        <v>291.2</v>
      </c>
      <c r="Q89" s="25" t="n">
        <f aca="false">P89-N89</f>
        <v>0</v>
      </c>
      <c r="R89" s="22" t="str">
        <f aca="false">IF(O89=0,"No August moorage transaction",IF(O89&gt;1,"Duplicate August transactions",IF(ABS(Q89)&gt;0.005,"Charge variance","OK")))</f>
        <v>OK</v>
      </c>
      <c r="S89" s="22" t="str">
        <f aca="false">IF(R89="OK","","Billing completeness/reconciliation")</f>
        <v/>
      </c>
    </row>
    <row r="90" customFormat="false" ht="15" hidden="false" customHeight="false" outlineLevel="0" collapsed="false">
      <c r="A90" s="22" t="s">
        <v>6851</v>
      </c>
      <c r="B90" s="22" t="s">
        <v>198</v>
      </c>
      <c r="C90" s="22" t="s">
        <v>6562</v>
      </c>
      <c r="D90" s="22" t="n">
        <v>32</v>
      </c>
      <c r="E90" s="22" t="s">
        <v>6575</v>
      </c>
      <c r="F90" s="22" t="s">
        <v>6577</v>
      </c>
      <c r="G90" s="22" t="s">
        <v>4474</v>
      </c>
      <c r="H90" s="22" t="s">
        <v>4475</v>
      </c>
      <c r="I90" s="22" t="s">
        <v>4476</v>
      </c>
      <c r="J90" s="22" t="n">
        <v>33.5</v>
      </c>
      <c r="K90" s="22" t="n">
        <f aca="false">ROUNDUP(J90,0)</f>
        <v>34</v>
      </c>
      <c r="L90" s="22" t="n">
        <f aca="false">MAX(D90,K90)</f>
        <v>34</v>
      </c>
      <c r="M90" s="25" t="n">
        <f aca="false">IF(E90="COVERED",'Controls &amp; Sources'!$B$5,'Controls &amp; Sources'!$B$6)</f>
        <v>10.4</v>
      </c>
      <c r="N90" s="25" t="n">
        <f aca="false">L90*M90</f>
        <v>353.6</v>
      </c>
      <c r="O90" s="22" t="n">
        <f aca="false">COUNTIFS('Billing Actual'!$E$2:$E$770,A90,'Billing Actual'!$B$2:$B$770,'Controls &amp; Sources'!$B$7)</f>
        <v>1</v>
      </c>
      <c r="P90" s="25" t="n">
        <f aca="false">SUMIFS('Billing Actual'!$M$2:$M$770,'Billing Actual'!$E$2:$E$770,A90,'Billing Actual'!$B$2:$B$770,'Controls &amp; Sources'!$B$7)</f>
        <v>353.6</v>
      </c>
      <c r="Q90" s="25" t="n">
        <f aca="false">P90-N90</f>
        <v>0</v>
      </c>
      <c r="R90" s="22" t="str">
        <f aca="false">IF(O90=0,"No August moorage transaction",IF(O90&gt;1,"Duplicate August transactions",IF(ABS(Q90)&gt;0.005,"Charge variance","OK")))</f>
        <v>OK</v>
      </c>
      <c r="S90" s="22" t="str">
        <f aca="false">IF(R90="OK","","Billing completeness/reconciliation")</f>
        <v/>
      </c>
    </row>
    <row r="91" customFormat="false" ht="15" hidden="false" customHeight="false" outlineLevel="0" collapsed="false">
      <c r="A91" s="22" t="s">
        <v>6854</v>
      </c>
      <c r="B91" s="22" t="s">
        <v>198</v>
      </c>
      <c r="C91" s="22" t="s">
        <v>6562</v>
      </c>
      <c r="D91" s="22" t="n">
        <v>40</v>
      </c>
      <c r="E91" s="22" t="s">
        <v>6575</v>
      </c>
      <c r="F91" s="22" t="s">
        <v>6577</v>
      </c>
      <c r="G91" s="22" t="s">
        <v>2148</v>
      </c>
      <c r="H91" s="22" t="s">
        <v>2149</v>
      </c>
      <c r="I91" s="22" t="s">
        <v>2150</v>
      </c>
      <c r="J91" s="22" t="n">
        <v>34.6</v>
      </c>
      <c r="K91" s="22" t="n">
        <f aca="false">ROUNDUP(J91,0)</f>
        <v>35</v>
      </c>
      <c r="L91" s="22" t="n">
        <f aca="false">MAX(D91,K91)</f>
        <v>40</v>
      </c>
      <c r="M91" s="25" t="n">
        <f aca="false">IF(E91="COVERED",'Controls &amp; Sources'!$B$5,'Controls &amp; Sources'!$B$6)</f>
        <v>10.4</v>
      </c>
      <c r="N91" s="25" t="n">
        <f aca="false">L91*M91</f>
        <v>416</v>
      </c>
      <c r="O91" s="22" t="n">
        <f aca="false">COUNTIFS('Billing Actual'!$E$2:$E$770,A91,'Billing Actual'!$B$2:$B$770,'Controls &amp; Sources'!$B$7)</f>
        <v>1</v>
      </c>
      <c r="P91" s="25" t="n">
        <f aca="false">SUMIFS('Billing Actual'!$M$2:$M$770,'Billing Actual'!$E$2:$E$770,A91,'Billing Actual'!$B$2:$B$770,'Controls &amp; Sources'!$B$7)</f>
        <v>416</v>
      </c>
      <c r="Q91" s="25" t="n">
        <f aca="false">P91-N91</f>
        <v>0</v>
      </c>
      <c r="R91" s="22" t="str">
        <f aca="false">IF(O91=0,"No August moorage transaction",IF(O91&gt;1,"Duplicate August transactions",IF(ABS(Q91)&gt;0.005,"Charge variance","OK")))</f>
        <v>OK</v>
      </c>
      <c r="S91" s="22" t="str">
        <f aca="false">IF(R91="OK","","Billing completeness/reconciliation")</f>
        <v/>
      </c>
    </row>
    <row r="92" customFormat="false" ht="15" hidden="false" customHeight="false" outlineLevel="0" collapsed="false">
      <c r="A92" s="22" t="s">
        <v>6857</v>
      </c>
      <c r="B92" s="22" t="s">
        <v>198</v>
      </c>
      <c r="C92" s="22" t="s">
        <v>6562</v>
      </c>
      <c r="D92" s="22" t="n">
        <v>28</v>
      </c>
      <c r="E92" s="22" t="s">
        <v>6575</v>
      </c>
      <c r="F92" s="22" t="s">
        <v>6577</v>
      </c>
      <c r="G92" s="22" t="s">
        <v>4637</v>
      </c>
      <c r="H92" s="22" t="s">
        <v>473</v>
      </c>
      <c r="I92" s="22" t="s">
        <v>236</v>
      </c>
      <c r="J92" s="22" t="n">
        <v>28.5</v>
      </c>
      <c r="K92" s="22" t="n">
        <f aca="false">ROUNDUP(J92,0)</f>
        <v>29</v>
      </c>
      <c r="L92" s="22" t="n">
        <f aca="false">MAX(D92,K92)</f>
        <v>29</v>
      </c>
      <c r="M92" s="25" t="n">
        <f aca="false">IF(E92="COVERED",'Controls &amp; Sources'!$B$5,'Controls &amp; Sources'!$B$6)</f>
        <v>10.4</v>
      </c>
      <c r="N92" s="25" t="n">
        <f aca="false">L92*M92</f>
        <v>301.6</v>
      </c>
      <c r="O92" s="22" t="n">
        <f aca="false">COUNTIFS('Billing Actual'!$E$2:$E$770,A92,'Billing Actual'!$B$2:$B$770,'Controls &amp; Sources'!$B$7)</f>
        <v>1</v>
      </c>
      <c r="P92" s="25" t="n">
        <f aca="false">SUMIFS('Billing Actual'!$M$2:$M$770,'Billing Actual'!$E$2:$E$770,A92,'Billing Actual'!$B$2:$B$770,'Controls &amp; Sources'!$B$7)</f>
        <v>301.6</v>
      </c>
      <c r="Q92" s="25" t="n">
        <f aca="false">P92-N92</f>
        <v>0</v>
      </c>
      <c r="R92" s="22" t="str">
        <f aca="false">IF(O92=0,"No August moorage transaction",IF(O92&gt;1,"Duplicate August transactions",IF(ABS(Q92)&gt;0.005,"Charge variance","OK")))</f>
        <v>OK</v>
      </c>
      <c r="S92" s="22" t="str">
        <f aca="false">IF(R92="OK","","Billing completeness/reconciliation")</f>
        <v/>
      </c>
    </row>
    <row r="93" customFormat="false" ht="15" hidden="false" customHeight="false" outlineLevel="0" collapsed="false">
      <c r="A93" s="22" t="s">
        <v>6863</v>
      </c>
      <c r="B93" s="22" t="s">
        <v>198</v>
      </c>
      <c r="C93" s="22" t="s">
        <v>6562</v>
      </c>
      <c r="D93" s="22" t="n">
        <v>32</v>
      </c>
      <c r="E93" s="22" t="s">
        <v>6575</v>
      </c>
      <c r="F93" s="22" t="s">
        <v>6577</v>
      </c>
      <c r="G93" s="22" t="s">
        <v>3981</v>
      </c>
      <c r="H93" s="22" t="s">
        <v>3982</v>
      </c>
      <c r="I93" s="22" t="s">
        <v>3983</v>
      </c>
      <c r="J93" s="22" t="n">
        <v>53.6</v>
      </c>
      <c r="K93" s="22" t="n">
        <f aca="false">ROUNDUP(J93,0)</f>
        <v>54</v>
      </c>
      <c r="L93" s="22" t="n">
        <f aca="false">MAX(D93,K93)</f>
        <v>54</v>
      </c>
      <c r="M93" s="25" t="n">
        <f aca="false">IF(E93="COVERED",'Controls &amp; Sources'!$B$5,'Controls &amp; Sources'!$B$6)</f>
        <v>10.4</v>
      </c>
      <c r="N93" s="25" t="n">
        <f aca="false">L93*M93</f>
        <v>561.6</v>
      </c>
      <c r="O93" s="22" t="n">
        <f aca="false">COUNTIFS('Billing Actual'!$E$2:$E$770,A93,'Billing Actual'!$B$2:$B$770,'Controls &amp; Sources'!$B$7)</f>
        <v>1</v>
      </c>
      <c r="P93" s="25" t="n">
        <f aca="false">SUMIFS('Billing Actual'!$M$2:$M$770,'Billing Actual'!$E$2:$E$770,A93,'Billing Actual'!$B$2:$B$770,'Controls &amp; Sources'!$B$7)</f>
        <v>561.6</v>
      </c>
      <c r="Q93" s="25" t="n">
        <f aca="false">P93-N93</f>
        <v>0</v>
      </c>
      <c r="R93" s="22" t="str">
        <f aca="false">IF(O93=0,"No August moorage transaction",IF(O93&gt;1,"Duplicate August transactions",IF(ABS(Q93)&gt;0.005,"Charge variance","OK")))</f>
        <v>OK</v>
      </c>
      <c r="S93" s="22" t="str">
        <f aca="false">IF(R93="OK","","Billing completeness/reconciliation")</f>
        <v/>
      </c>
    </row>
    <row r="94" customFormat="false" ht="15" hidden="false" customHeight="false" outlineLevel="0" collapsed="false">
      <c r="A94" s="22" t="s">
        <v>6866</v>
      </c>
      <c r="B94" s="22" t="s">
        <v>198</v>
      </c>
      <c r="C94" s="22" t="s">
        <v>6562</v>
      </c>
      <c r="D94" s="22" t="n">
        <v>24</v>
      </c>
      <c r="E94" s="22" t="s">
        <v>6575</v>
      </c>
      <c r="F94" s="22" t="s">
        <v>6577</v>
      </c>
      <c r="G94" s="22" t="s">
        <v>5944</v>
      </c>
      <c r="H94" s="22" t="s">
        <v>5945</v>
      </c>
      <c r="I94" s="22" t="s">
        <v>1866</v>
      </c>
      <c r="J94" s="22" t="n">
        <v>34</v>
      </c>
      <c r="K94" s="22" t="n">
        <f aca="false">ROUNDUP(J94,0)</f>
        <v>34</v>
      </c>
      <c r="L94" s="22" t="n">
        <f aca="false">MAX(D94,K94)</f>
        <v>34</v>
      </c>
      <c r="M94" s="25" t="n">
        <f aca="false">IF(E94="COVERED",'Controls &amp; Sources'!$B$5,'Controls &amp; Sources'!$B$6)</f>
        <v>10.4</v>
      </c>
      <c r="N94" s="25" t="n">
        <f aca="false">L94*M94</f>
        <v>353.6</v>
      </c>
      <c r="O94" s="22" t="n">
        <f aca="false">COUNTIFS('Billing Actual'!$E$2:$E$770,A94,'Billing Actual'!$B$2:$B$770,'Controls &amp; Sources'!$B$7)</f>
        <v>1</v>
      </c>
      <c r="P94" s="25" t="n">
        <f aca="false">SUMIFS('Billing Actual'!$M$2:$M$770,'Billing Actual'!$E$2:$E$770,A94,'Billing Actual'!$B$2:$B$770,'Controls &amp; Sources'!$B$7)</f>
        <v>353.6</v>
      </c>
      <c r="Q94" s="25" t="n">
        <f aca="false">P94-N94</f>
        <v>0</v>
      </c>
      <c r="R94" s="22" t="str">
        <f aca="false">IF(O94=0,"No August moorage transaction",IF(O94&gt;1,"Duplicate August transactions",IF(ABS(Q94)&gt;0.005,"Charge variance","OK")))</f>
        <v>OK</v>
      </c>
      <c r="S94" s="22" t="str">
        <f aca="false">IF(R94="OK","","Billing completeness/reconciliation")</f>
        <v/>
      </c>
    </row>
    <row r="95" customFormat="false" ht="15" hidden="false" customHeight="false" outlineLevel="0" collapsed="false">
      <c r="A95" s="22" t="s">
        <v>6869</v>
      </c>
      <c r="B95" s="22" t="s">
        <v>198</v>
      </c>
      <c r="C95" s="22" t="s">
        <v>6562</v>
      </c>
      <c r="D95" s="22" t="n">
        <v>28</v>
      </c>
      <c r="E95" s="22" t="s">
        <v>6575</v>
      </c>
      <c r="F95" s="22" t="s">
        <v>6577</v>
      </c>
      <c r="G95" s="22" t="s">
        <v>4679</v>
      </c>
      <c r="H95" s="22" t="s">
        <v>4680</v>
      </c>
      <c r="I95" s="22" t="s">
        <v>4681</v>
      </c>
      <c r="J95" s="22" t="n">
        <v>57.8</v>
      </c>
      <c r="K95" s="22" t="n">
        <f aca="false">ROUNDUP(J95,0)</f>
        <v>58</v>
      </c>
      <c r="L95" s="22" t="n">
        <f aca="false">MAX(D95,K95)</f>
        <v>58</v>
      </c>
      <c r="M95" s="25" t="n">
        <f aca="false">IF(E95="COVERED",'Controls &amp; Sources'!$B$5,'Controls &amp; Sources'!$B$6)</f>
        <v>10.4</v>
      </c>
      <c r="N95" s="25" t="n">
        <f aca="false">L95*M95</f>
        <v>603.2</v>
      </c>
      <c r="O95" s="22" t="n">
        <f aca="false">COUNTIFS('Billing Actual'!$E$2:$E$770,A95,'Billing Actual'!$B$2:$B$770,'Controls &amp; Sources'!$B$7)</f>
        <v>1</v>
      </c>
      <c r="P95" s="25" t="n">
        <f aca="false">SUMIFS('Billing Actual'!$M$2:$M$770,'Billing Actual'!$E$2:$E$770,A95,'Billing Actual'!$B$2:$B$770,'Controls &amp; Sources'!$B$7)</f>
        <v>603.2</v>
      </c>
      <c r="Q95" s="25" t="n">
        <f aca="false">P95-N95</f>
        <v>0</v>
      </c>
      <c r="R95" s="22" t="str">
        <f aca="false">IF(O95=0,"No August moorage transaction",IF(O95&gt;1,"Duplicate August transactions",IF(ABS(Q95)&gt;0.005,"Charge variance","OK")))</f>
        <v>OK</v>
      </c>
      <c r="S95" s="22" t="str">
        <f aca="false">IF(R95="OK","","Billing completeness/reconciliation")</f>
        <v/>
      </c>
    </row>
    <row r="96" customFormat="false" ht="15" hidden="false" customHeight="false" outlineLevel="0" collapsed="false">
      <c r="A96" s="22" t="s">
        <v>6872</v>
      </c>
      <c r="B96" s="22" t="s">
        <v>198</v>
      </c>
      <c r="C96" s="22" t="s">
        <v>6562</v>
      </c>
      <c r="D96" s="22" t="n">
        <v>28</v>
      </c>
      <c r="E96" s="22" t="s">
        <v>6575</v>
      </c>
      <c r="F96" s="22" t="s">
        <v>6577</v>
      </c>
      <c r="G96" s="22" t="s">
        <v>3571</v>
      </c>
      <c r="H96" s="22" t="s">
        <v>3572</v>
      </c>
      <c r="I96" s="22" t="s">
        <v>2563</v>
      </c>
      <c r="J96" s="22" t="n">
        <v>57.9</v>
      </c>
      <c r="K96" s="22" t="n">
        <f aca="false">ROUNDUP(J96,0)</f>
        <v>58</v>
      </c>
      <c r="L96" s="22" t="n">
        <f aca="false">MAX(D96,K96)</f>
        <v>58</v>
      </c>
      <c r="M96" s="25" t="n">
        <f aca="false">IF(E96="COVERED",'Controls &amp; Sources'!$B$5,'Controls &amp; Sources'!$B$6)</f>
        <v>10.4</v>
      </c>
      <c r="N96" s="25" t="n">
        <f aca="false">L96*M96</f>
        <v>603.2</v>
      </c>
      <c r="O96" s="22" t="n">
        <f aca="false">COUNTIFS('Billing Actual'!$E$2:$E$770,A96,'Billing Actual'!$B$2:$B$770,'Controls &amp; Sources'!$B$7)</f>
        <v>1</v>
      </c>
      <c r="P96" s="25" t="n">
        <f aca="false">SUMIFS('Billing Actual'!$M$2:$M$770,'Billing Actual'!$E$2:$E$770,A96,'Billing Actual'!$B$2:$B$770,'Controls &amp; Sources'!$B$7)</f>
        <v>603.2</v>
      </c>
      <c r="Q96" s="25" t="n">
        <f aca="false">P96-N96</f>
        <v>0</v>
      </c>
      <c r="R96" s="22" t="str">
        <f aca="false">IF(O96=0,"No August moorage transaction",IF(O96&gt;1,"Duplicate August transactions",IF(ABS(Q96)&gt;0.005,"Charge variance","OK")))</f>
        <v>OK</v>
      </c>
      <c r="S96" s="22" t="str">
        <f aca="false">IF(R96="OK","","Billing completeness/reconciliation")</f>
        <v/>
      </c>
    </row>
    <row r="97" customFormat="false" ht="15" hidden="false" customHeight="false" outlineLevel="0" collapsed="false">
      <c r="A97" s="22" t="s">
        <v>6875</v>
      </c>
      <c r="B97" s="22" t="s">
        <v>198</v>
      </c>
      <c r="C97" s="22" t="s">
        <v>6562</v>
      </c>
      <c r="D97" s="22" t="n">
        <v>24</v>
      </c>
      <c r="E97" s="22" t="s">
        <v>6575</v>
      </c>
      <c r="F97" s="22" t="s">
        <v>6577</v>
      </c>
      <c r="G97" s="22" t="s">
        <v>555</v>
      </c>
      <c r="H97" s="22" t="s">
        <v>556</v>
      </c>
      <c r="I97" s="22" t="s">
        <v>557</v>
      </c>
      <c r="J97" s="22" t="n">
        <v>46.7</v>
      </c>
      <c r="K97" s="22" t="n">
        <f aca="false">ROUNDUP(J97,0)</f>
        <v>47</v>
      </c>
      <c r="L97" s="22" t="n">
        <f aca="false">MAX(D97,K97)</f>
        <v>47</v>
      </c>
      <c r="M97" s="25" t="n">
        <f aca="false">IF(E97="COVERED",'Controls &amp; Sources'!$B$5,'Controls &amp; Sources'!$B$6)</f>
        <v>10.4</v>
      </c>
      <c r="N97" s="25" t="n">
        <f aca="false">L97*M97</f>
        <v>488.8</v>
      </c>
      <c r="O97" s="22" t="n">
        <f aca="false">COUNTIFS('Billing Actual'!$E$2:$E$770,A97,'Billing Actual'!$B$2:$B$770,'Controls &amp; Sources'!$B$7)</f>
        <v>1</v>
      </c>
      <c r="P97" s="25" t="n">
        <f aca="false">SUMIFS('Billing Actual'!$M$2:$M$770,'Billing Actual'!$E$2:$E$770,A97,'Billing Actual'!$B$2:$B$770,'Controls &amp; Sources'!$B$7)</f>
        <v>488.8</v>
      </c>
      <c r="Q97" s="25" t="n">
        <f aca="false">P97-N97</f>
        <v>0</v>
      </c>
      <c r="R97" s="22" t="str">
        <f aca="false">IF(O97=0,"No August moorage transaction",IF(O97&gt;1,"Duplicate August transactions",IF(ABS(Q97)&gt;0.005,"Charge variance","OK")))</f>
        <v>OK</v>
      </c>
      <c r="S97" s="22" t="str">
        <f aca="false">IF(R97="OK","","Billing completeness/reconciliation")</f>
        <v/>
      </c>
    </row>
    <row r="98" customFormat="false" ht="15" hidden="false" customHeight="false" outlineLevel="0" collapsed="false">
      <c r="A98" s="22" t="s">
        <v>6878</v>
      </c>
      <c r="B98" s="22" t="s">
        <v>198</v>
      </c>
      <c r="C98" s="22" t="s">
        <v>6562</v>
      </c>
      <c r="D98" s="22" t="n">
        <v>32</v>
      </c>
      <c r="E98" s="22" t="s">
        <v>6575</v>
      </c>
      <c r="F98" s="22" t="s">
        <v>6577</v>
      </c>
      <c r="G98" s="22" t="s">
        <v>5361</v>
      </c>
      <c r="H98" s="22" t="s">
        <v>5362</v>
      </c>
      <c r="I98" s="22" t="s">
        <v>208</v>
      </c>
      <c r="J98" s="22" t="n">
        <v>41</v>
      </c>
      <c r="K98" s="22" t="n">
        <f aca="false">ROUNDUP(J98,0)</f>
        <v>41</v>
      </c>
      <c r="L98" s="22" t="n">
        <f aca="false">MAX(D98,K98)</f>
        <v>41</v>
      </c>
      <c r="M98" s="25" t="n">
        <f aca="false">IF(E98="COVERED",'Controls &amp; Sources'!$B$5,'Controls &amp; Sources'!$B$6)</f>
        <v>10.4</v>
      </c>
      <c r="N98" s="25" t="n">
        <f aca="false">L98*M98</f>
        <v>426.4</v>
      </c>
      <c r="O98" s="22" t="n">
        <f aca="false">COUNTIFS('Billing Actual'!$E$2:$E$770,A98,'Billing Actual'!$B$2:$B$770,'Controls &amp; Sources'!$B$7)</f>
        <v>1</v>
      </c>
      <c r="P98" s="25" t="n">
        <f aca="false">SUMIFS('Billing Actual'!$M$2:$M$770,'Billing Actual'!$E$2:$E$770,A98,'Billing Actual'!$B$2:$B$770,'Controls &amp; Sources'!$B$7)</f>
        <v>426.4</v>
      </c>
      <c r="Q98" s="25" t="n">
        <f aca="false">P98-N98</f>
        <v>0</v>
      </c>
      <c r="R98" s="22" t="str">
        <f aca="false">IF(O98=0,"No August moorage transaction",IF(O98&gt;1,"Duplicate August transactions",IF(ABS(Q98)&gt;0.005,"Charge variance","OK")))</f>
        <v>OK</v>
      </c>
      <c r="S98" s="22" t="str">
        <f aca="false">IF(R98="OK","","Billing completeness/reconciliation")</f>
        <v/>
      </c>
    </row>
    <row r="99" customFormat="false" ht="15" hidden="false" customHeight="false" outlineLevel="0" collapsed="false">
      <c r="A99" s="22" t="s">
        <v>6880</v>
      </c>
      <c r="B99" s="22" t="s">
        <v>198</v>
      </c>
      <c r="C99" s="22" t="s">
        <v>6562</v>
      </c>
      <c r="D99" s="22" t="n">
        <v>24</v>
      </c>
      <c r="E99" s="22" t="s">
        <v>6575</v>
      </c>
      <c r="F99" s="22" t="s">
        <v>6577</v>
      </c>
      <c r="G99" s="22" t="s">
        <v>2320</v>
      </c>
      <c r="H99" s="22" t="s">
        <v>2321</v>
      </c>
      <c r="I99" s="22" t="s">
        <v>281</v>
      </c>
      <c r="J99" s="22" t="n">
        <v>56.6</v>
      </c>
      <c r="K99" s="22" t="n">
        <f aca="false">ROUNDUP(J99,0)</f>
        <v>57</v>
      </c>
      <c r="L99" s="22" t="n">
        <f aca="false">MAX(D99,K99)</f>
        <v>57</v>
      </c>
      <c r="M99" s="25" t="n">
        <f aca="false">IF(E99="COVERED",'Controls &amp; Sources'!$B$5,'Controls &amp; Sources'!$B$6)</f>
        <v>10.4</v>
      </c>
      <c r="N99" s="25" t="n">
        <f aca="false">L99*M99</f>
        <v>592.8</v>
      </c>
      <c r="O99" s="22" t="n">
        <f aca="false">COUNTIFS('Billing Actual'!$E$2:$E$770,A99,'Billing Actual'!$B$2:$B$770,'Controls &amp; Sources'!$B$7)</f>
        <v>1</v>
      </c>
      <c r="P99" s="25" t="n">
        <f aca="false">SUMIFS('Billing Actual'!$M$2:$M$770,'Billing Actual'!$E$2:$E$770,A99,'Billing Actual'!$B$2:$B$770,'Controls &amp; Sources'!$B$7)</f>
        <v>592.8</v>
      </c>
      <c r="Q99" s="25" t="n">
        <f aca="false">P99-N99</f>
        <v>0</v>
      </c>
      <c r="R99" s="22" t="str">
        <f aca="false">IF(O99=0,"No August moorage transaction",IF(O99&gt;1,"Duplicate August transactions",IF(ABS(Q99)&gt;0.005,"Charge variance","OK")))</f>
        <v>OK</v>
      </c>
      <c r="S99" s="22" t="str">
        <f aca="false">IF(R99="OK","","Billing completeness/reconciliation")</f>
        <v/>
      </c>
    </row>
    <row r="100" customFormat="false" ht="15" hidden="false" customHeight="false" outlineLevel="0" collapsed="false">
      <c r="A100" s="22" t="s">
        <v>6882</v>
      </c>
      <c r="B100" s="22" t="s">
        <v>198</v>
      </c>
      <c r="C100" s="22" t="s">
        <v>6562</v>
      </c>
      <c r="D100" s="22" t="n">
        <v>32</v>
      </c>
      <c r="E100" s="22" t="s">
        <v>6575</v>
      </c>
      <c r="F100" s="22" t="s">
        <v>6577</v>
      </c>
      <c r="G100" s="22" t="s">
        <v>2568</v>
      </c>
      <c r="H100" s="22" t="s">
        <v>2569</v>
      </c>
      <c r="I100" s="22" t="s">
        <v>648</v>
      </c>
      <c r="J100" s="22" t="n">
        <v>50</v>
      </c>
      <c r="K100" s="22" t="n">
        <f aca="false">ROUNDUP(J100,0)</f>
        <v>50</v>
      </c>
      <c r="L100" s="22" t="n">
        <f aca="false">MAX(D100,K100)</f>
        <v>50</v>
      </c>
      <c r="M100" s="25" t="n">
        <f aca="false">IF(E100="COVERED",'Controls &amp; Sources'!$B$5,'Controls &amp; Sources'!$B$6)</f>
        <v>10.4</v>
      </c>
      <c r="N100" s="25" t="n">
        <f aca="false">L100*M100</f>
        <v>520</v>
      </c>
      <c r="O100" s="22" t="n">
        <f aca="false">COUNTIFS('Billing Actual'!$E$2:$E$770,A100,'Billing Actual'!$B$2:$B$770,'Controls &amp; Sources'!$B$7)</f>
        <v>1</v>
      </c>
      <c r="P100" s="25" t="n">
        <f aca="false">SUMIFS('Billing Actual'!$M$2:$M$770,'Billing Actual'!$E$2:$E$770,A100,'Billing Actual'!$B$2:$B$770,'Controls &amp; Sources'!$B$7)</f>
        <v>520</v>
      </c>
      <c r="Q100" s="25" t="n">
        <f aca="false">P100-N100</f>
        <v>0</v>
      </c>
      <c r="R100" s="22" t="str">
        <f aca="false">IF(O100=0,"No August moorage transaction",IF(O100&gt;1,"Duplicate August transactions",IF(ABS(Q100)&gt;0.005,"Charge variance","OK")))</f>
        <v>OK</v>
      </c>
      <c r="S100" s="22" t="str">
        <f aca="false">IF(R100="OK","","Billing completeness/reconciliation")</f>
        <v/>
      </c>
    </row>
    <row r="101" customFormat="false" ht="15" hidden="false" customHeight="false" outlineLevel="0" collapsed="false">
      <c r="A101" s="22" t="s">
        <v>6885</v>
      </c>
      <c r="B101" s="22" t="s">
        <v>198</v>
      </c>
      <c r="C101" s="22" t="s">
        <v>6562</v>
      </c>
      <c r="D101" s="22" t="n">
        <v>36</v>
      </c>
      <c r="E101" s="22" t="s">
        <v>6575</v>
      </c>
      <c r="F101" s="22" t="s">
        <v>6577</v>
      </c>
      <c r="G101" s="22" t="s">
        <v>5315</v>
      </c>
      <c r="H101" s="22" t="s">
        <v>5316</v>
      </c>
      <c r="I101" s="22" t="s">
        <v>194</v>
      </c>
      <c r="J101" s="22" t="n">
        <v>58.7</v>
      </c>
      <c r="K101" s="22" t="n">
        <f aca="false">ROUNDUP(J101,0)</f>
        <v>59</v>
      </c>
      <c r="L101" s="22" t="n">
        <f aca="false">MAX(D101,K101)</f>
        <v>59</v>
      </c>
      <c r="M101" s="25" t="n">
        <f aca="false">IF(E101="COVERED",'Controls &amp; Sources'!$B$5,'Controls &amp; Sources'!$B$6)</f>
        <v>10.4</v>
      </c>
      <c r="N101" s="25" t="n">
        <f aca="false">L101*M101</f>
        <v>613.6</v>
      </c>
      <c r="O101" s="22" t="n">
        <f aca="false">COUNTIFS('Billing Actual'!$E$2:$E$770,A101,'Billing Actual'!$B$2:$B$770,'Controls &amp; Sources'!$B$7)</f>
        <v>1</v>
      </c>
      <c r="P101" s="25" t="n">
        <f aca="false">SUMIFS('Billing Actual'!$M$2:$M$770,'Billing Actual'!$E$2:$E$770,A101,'Billing Actual'!$B$2:$B$770,'Controls &amp; Sources'!$B$7)</f>
        <v>613.6</v>
      </c>
      <c r="Q101" s="25" t="n">
        <f aca="false">P101-N101</f>
        <v>0</v>
      </c>
      <c r="R101" s="22" t="str">
        <f aca="false">IF(O101=0,"No August moorage transaction",IF(O101&gt;1,"Duplicate August transactions",IF(ABS(Q101)&gt;0.005,"Charge variance","OK")))</f>
        <v>OK</v>
      </c>
      <c r="S101" s="22" t="str">
        <f aca="false">IF(R101="OK","","Billing completeness/reconciliation")</f>
        <v/>
      </c>
    </row>
    <row r="102" customFormat="false" ht="15" hidden="false" customHeight="false" outlineLevel="0" collapsed="false">
      <c r="A102" s="22" t="s">
        <v>6888</v>
      </c>
      <c r="B102" s="22" t="s">
        <v>198</v>
      </c>
      <c r="C102" s="22" t="s">
        <v>6562</v>
      </c>
      <c r="D102" s="22" t="n">
        <v>40</v>
      </c>
      <c r="E102" s="22" t="s">
        <v>6575</v>
      </c>
      <c r="F102" s="22" t="s">
        <v>6577</v>
      </c>
      <c r="G102" s="22" t="s">
        <v>339</v>
      </c>
      <c r="H102" s="22" t="s">
        <v>340</v>
      </c>
      <c r="I102" s="22" t="s">
        <v>341</v>
      </c>
      <c r="J102" s="22" t="n">
        <v>23.7</v>
      </c>
      <c r="K102" s="22" t="n">
        <f aca="false">ROUNDUP(J102,0)</f>
        <v>24</v>
      </c>
      <c r="L102" s="22" t="n">
        <f aca="false">MAX(D102,K102)</f>
        <v>40</v>
      </c>
      <c r="M102" s="25" t="n">
        <f aca="false">IF(E102="COVERED",'Controls &amp; Sources'!$B$5,'Controls &amp; Sources'!$B$6)</f>
        <v>10.4</v>
      </c>
      <c r="N102" s="25" t="n">
        <f aca="false">L102*M102</f>
        <v>416</v>
      </c>
      <c r="O102" s="22" t="n">
        <f aca="false">COUNTIFS('Billing Actual'!$E$2:$E$770,A102,'Billing Actual'!$B$2:$B$770,'Controls &amp; Sources'!$B$7)</f>
        <v>1</v>
      </c>
      <c r="P102" s="25" t="n">
        <f aca="false">SUMIFS('Billing Actual'!$M$2:$M$770,'Billing Actual'!$E$2:$E$770,A102,'Billing Actual'!$B$2:$B$770,'Controls &amp; Sources'!$B$7)</f>
        <v>416</v>
      </c>
      <c r="Q102" s="25" t="n">
        <f aca="false">P102-N102</f>
        <v>0</v>
      </c>
      <c r="R102" s="22" t="str">
        <f aca="false">IF(O102=0,"No August moorage transaction",IF(O102&gt;1,"Duplicate August transactions",IF(ABS(Q102)&gt;0.005,"Charge variance","OK")))</f>
        <v>OK</v>
      </c>
      <c r="S102" s="22" t="str">
        <f aca="false">IF(R102="OK","","Billing completeness/reconciliation")</f>
        <v/>
      </c>
    </row>
    <row r="103" customFormat="false" ht="15" hidden="false" customHeight="false" outlineLevel="0" collapsed="false">
      <c r="A103" s="22" t="s">
        <v>6891</v>
      </c>
      <c r="B103" s="22" t="s">
        <v>198</v>
      </c>
      <c r="C103" s="22" t="s">
        <v>6562</v>
      </c>
      <c r="D103" s="22" t="n">
        <v>40</v>
      </c>
      <c r="E103" s="22" t="s">
        <v>6575</v>
      </c>
      <c r="F103" s="22" t="s">
        <v>6577</v>
      </c>
      <c r="G103" s="22" t="s">
        <v>4603</v>
      </c>
      <c r="H103" s="22" t="s">
        <v>4604</v>
      </c>
      <c r="I103" s="22" t="s">
        <v>194</v>
      </c>
      <c r="J103" s="22" t="n">
        <v>19</v>
      </c>
      <c r="K103" s="22" t="n">
        <f aca="false">ROUNDUP(J103,0)</f>
        <v>19</v>
      </c>
      <c r="L103" s="22" t="n">
        <f aca="false">MAX(D103,K103)</f>
        <v>40</v>
      </c>
      <c r="M103" s="25" t="n">
        <f aca="false">IF(E103="COVERED",'Controls &amp; Sources'!$B$5,'Controls &amp; Sources'!$B$6)</f>
        <v>10.4</v>
      </c>
      <c r="N103" s="25" t="n">
        <f aca="false">L103*M103</f>
        <v>416</v>
      </c>
      <c r="O103" s="22" t="n">
        <f aca="false">COUNTIFS('Billing Actual'!$E$2:$E$770,A103,'Billing Actual'!$B$2:$B$770,'Controls &amp; Sources'!$B$7)</f>
        <v>1</v>
      </c>
      <c r="P103" s="25" t="n">
        <f aca="false">SUMIFS('Billing Actual'!$M$2:$M$770,'Billing Actual'!$E$2:$E$770,A103,'Billing Actual'!$B$2:$B$770,'Controls &amp; Sources'!$B$7)</f>
        <v>416</v>
      </c>
      <c r="Q103" s="25" t="n">
        <f aca="false">P103-N103</f>
        <v>0</v>
      </c>
      <c r="R103" s="22" t="str">
        <f aca="false">IF(O103=0,"No August moorage transaction",IF(O103&gt;1,"Duplicate August transactions",IF(ABS(Q103)&gt;0.005,"Charge variance","OK")))</f>
        <v>OK</v>
      </c>
      <c r="S103" s="22" t="str">
        <f aca="false">IF(R103="OK","","Billing completeness/reconciliation")</f>
        <v/>
      </c>
    </row>
    <row r="104" customFormat="false" ht="15" hidden="false" customHeight="false" outlineLevel="0" collapsed="false">
      <c r="A104" s="22" t="s">
        <v>6894</v>
      </c>
      <c r="B104" s="22" t="s">
        <v>198</v>
      </c>
      <c r="C104" s="22" t="s">
        <v>6562</v>
      </c>
      <c r="D104" s="22" t="n">
        <v>24</v>
      </c>
      <c r="E104" s="22" t="s">
        <v>6575</v>
      </c>
      <c r="F104" s="22" t="s">
        <v>6577</v>
      </c>
      <c r="G104" s="22" t="s">
        <v>1520</v>
      </c>
      <c r="H104" s="22" t="s">
        <v>1521</v>
      </c>
      <c r="I104" s="22" t="s">
        <v>466</v>
      </c>
      <c r="J104" s="22" t="n">
        <v>40.2</v>
      </c>
      <c r="K104" s="22" t="n">
        <f aca="false">ROUNDUP(J104,0)</f>
        <v>41</v>
      </c>
      <c r="L104" s="22" t="n">
        <f aca="false">MAX(D104,K104)</f>
        <v>41</v>
      </c>
      <c r="M104" s="25" t="n">
        <f aca="false">IF(E104="COVERED",'Controls &amp; Sources'!$B$5,'Controls &amp; Sources'!$B$6)</f>
        <v>10.4</v>
      </c>
      <c r="N104" s="25" t="n">
        <f aca="false">L104*M104</f>
        <v>426.4</v>
      </c>
      <c r="O104" s="22" t="n">
        <f aca="false">COUNTIFS('Billing Actual'!$E$2:$E$770,A104,'Billing Actual'!$B$2:$B$770,'Controls &amp; Sources'!$B$7)</f>
        <v>1</v>
      </c>
      <c r="P104" s="25" t="n">
        <f aca="false">SUMIFS('Billing Actual'!$M$2:$M$770,'Billing Actual'!$E$2:$E$770,A104,'Billing Actual'!$B$2:$B$770,'Controls &amp; Sources'!$B$7)</f>
        <v>426.4</v>
      </c>
      <c r="Q104" s="25" t="n">
        <f aca="false">P104-N104</f>
        <v>0</v>
      </c>
      <c r="R104" s="22" t="str">
        <f aca="false">IF(O104=0,"No August moorage transaction",IF(O104&gt;1,"Duplicate August transactions",IF(ABS(Q104)&gt;0.005,"Charge variance","OK")))</f>
        <v>OK</v>
      </c>
      <c r="S104" s="22" t="str">
        <f aca="false">IF(R104="OK","","Billing completeness/reconciliation")</f>
        <v/>
      </c>
    </row>
    <row r="105" customFormat="false" ht="15" hidden="false" customHeight="false" outlineLevel="0" collapsed="false">
      <c r="A105" s="22" t="s">
        <v>6897</v>
      </c>
      <c r="B105" s="22" t="s">
        <v>198</v>
      </c>
      <c r="C105" s="22" t="s">
        <v>6562</v>
      </c>
      <c r="D105" s="22" t="n">
        <v>28</v>
      </c>
      <c r="E105" s="22" t="s">
        <v>6575</v>
      </c>
      <c r="F105" s="22" t="s">
        <v>6577</v>
      </c>
      <c r="G105" s="22" t="s">
        <v>270</v>
      </c>
      <c r="H105" s="22" t="s">
        <v>271</v>
      </c>
      <c r="I105" s="22" t="s">
        <v>272</v>
      </c>
      <c r="J105" s="22" t="n">
        <v>23.3</v>
      </c>
      <c r="K105" s="22" t="n">
        <f aca="false">ROUNDUP(J105,0)</f>
        <v>24</v>
      </c>
      <c r="L105" s="22" t="n">
        <f aca="false">MAX(D105,K105)</f>
        <v>28</v>
      </c>
      <c r="M105" s="25" t="n">
        <f aca="false">IF(E105="COVERED",'Controls &amp; Sources'!$B$5,'Controls &amp; Sources'!$B$6)</f>
        <v>10.4</v>
      </c>
      <c r="N105" s="25" t="n">
        <f aca="false">L105*M105</f>
        <v>291.2</v>
      </c>
      <c r="O105" s="22" t="n">
        <f aca="false">COUNTIFS('Billing Actual'!$E$2:$E$770,A105,'Billing Actual'!$B$2:$B$770,'Controls &amp; Sources'!$B$7)</f>
        <v>1</v>
      </c>
      <c r="P105" s="25" t="n">
        <f aca="false">SUMIFS('Billing Actual'!$M$2:$M$770,'Billing Actual'!$E$2:$E$770,A105,'Billing Actual'!$B$2:$B$770,'Controls &amp; Sources'!$B$7)</f>
        <v>291.2</v>
      </c>
      <c r="Q105" s="25" t="n">
        <f aca="false">P105-N105</f>
        <v>0</v>
      </c>
      <c r="R105" s="22" t="str">
        <f aca="false">IF(O105=0,"No August moorage transaction",IF(O105&gt;1,"Duplicate August transactions",IF(ABS(Q105)&gt;0.005,"Charge variance","OK")))</f>
        <v>OK</v>
      </c>
      <c r="S105" s="22" t="str">
        <f aca="false">IF(R105="OK","","Billing completeness/reconciliation")</f>
        <v/>
      </c>
    </row>
    <row r="106" customFormat="false" ht="15" hidden="false" customHeight="false" outlineLevel="0" collapsed="false">
      <c r="A106" s="22" t="s">
        <v>6902</v>
      </c>
      <c r="B106" s="22" t="s">
        <v>198</v>
      </c>
      <c r="C106" s="22" t="s">
        <v>6562</v>
      </c>
      <c r="D106" s="22" t="n">
        <v>40</v>
      </c>
      <c r="E106" s="22" t="s">
        <v>6575</v>
      </c>
      <c r="F106" s="22" t="s">
        <v>6577</v>
      </c>
      <c r="G106" s="22" t="s">
        <v>5006</v>
      </c>
      <c r="H106" s="22" t="s">
        <v>5007</v>
      </c>
      <c r="I106" s="22" t="s">
        <v>251</v>
      </c>
      <c r="J106" s="22" t="n">
        <v>18.9</v>
      </c>
      <c r="K106" s="22" t="n">
        <f aca="false">ROUNDUP(J106,0)</f>
        <v>19</v>
      </c>
      <c r="L106" s="22" t="n">
        <f aca="false">MAX(D106,K106)</f>
        <v>40</v>
      </c>
      <c r="M106" s="25" t="n">
        <f aca="false">IF(E106="COVERED",'Controls &amp; Sources'!$B$5,'Controls &amp; Sources'!$B$6)</f>
        <v>10.4</v>
      </c>
      <c r="N106" s="25" t="n">
        <f aca="false">L106*M106</f>
        <v>416</v>
      </c>
      <c r="O106" s="22" t="n">
        <f aca="false">COUNTIFS('Billing Actual'!$E$2:$E$770,A106,'Billing Actual'!$B$2:$B$770,'Controls &amp; Sources'!$B$7)</f>
        <v>1</v>
      </c>
      <c r="P106" s="25" t="n">
        <f aca="false">SUMIFS('Billing Actual'!$M$2:$M$770,'Billing Actual'!$E$2:$E$770,A106,'Billing Actual'!$B$2:$B$770,'Controls &amp; Sources'!$B$7)</f>
        <v>416</v>
      </c>
      <c r="Q106" s="25" t="n">
        <f aca="false">P106-N106</f>
        <v>0</v>
      </c>
      <c r="R106" s="22" t="str">
        <f aca="false">IF(O106=0,"No August moorage transaction",IF(O106&gt;1,"Duplicate August transactions",IF(ABS(Q106)&gt;0.005,"Charge variance","OK")))</f>
        <v>OK</v>
      </c>
      <c r="S106" s="22" t="str">
        <f aca="false">IF(R106="OK","","Billing completeness/reconciliation")</f>
        <v/>
      </c>
    </row>
    <row r="107" customFormat="false" ht="15" hidden="false" customHeight="false" outlineLevel="0" collapsed="false">
      <c r="A107" s="22" t="s">
        <v>6905</v>
      </c>
      <c r="B107" s="22" t="s">
        <v>198</v>
      </c>
      <c r="C107" s="22" t="s">
        <v>6562</v>
      </c>
      <c r="D107" s="22" t="n">
        <v>36</v>
      </c>
      <c r="E107" s="22" t="s">
        <v>6575</v>
      </c>
      <c r="F107" s="22" t="s">
        <v>6577</v>
      </c>
      <c r="G107" s="22" t="s">
        <v>4150</v>
      </c>
      <c r="H107" s="22" t="s">
        <v>4151</v>
      </c>
      <c r="I107" s="22" t="s">
        <v>2468</v>
      </c>
      <c r="J107" s="22" t="n">
        <v>55</v>
      </c>
      <c r="K107" s="22" t="n">
        <f aca="false">ROUNDUP(J107,0)</f>
        <v>55</v>
      </c>
      <c r="L107" s="22" t="n">
        <f aca="false">MAX(D107,K107)</f>
        <v>55</v>
      </c>
      <c r="M107" s="25" t="n">
        <f aca="false">IF(E107="COVERED",'Controls &amp; Sources'!$B$5,'Controls &amp; Sources'!$B$6)</f>
        <v>10.4</v>
      </c>
      <c r="N107" s="25" t="n">
        <f aca="false">L107*M107</f>
        <v>572</v>
      </c>
      <c r="O107" s="22" t="n">
        <f aca="false">COUNTIFS('Billing Actual'!$E$2:$E$770,A107,'Billing Actual'!$B$2:$B$770,'Controls &amp; Sources'!$B$7)</f>
        <v>1</v>
      </c>
      <c r="P107" s="25" t="n">
        <f aca="false">SUMIFS('Billing Actual'!$M$2:$M$770,'Billing Actual'!$E$2:$E$770,A107,'Billing Actual'!$B$2:$B$770,'Controls &amp; Sources'!$B$7)</f>
        <v>572</v>
      </c>
      <c r="Q107" s="25" t="n">
        <f aca="false">P107-N107</f>
        <v>0</v>
      </c>
      <c r="R107" s="22" t="str">
        <f aca="false">IF(O107=0,"No August moorage transaction",IF(O107&gt;1,"Duplicate August transactions",IF(ABS(Q107)&gt;0.005,"Charge variance","OK")))</f>
        <v>OK</v>
      </c>
      <c r="S107" s="22" t="str">
        <f aca="false">IF(R107="OK","","Billing completeness/reconciliation")</f>
        <v/>
      </c>
    </row>
    <row r="108" customFormat="false" ht="15" hidden="false" customHeight="false" outlineLevel="0" collapsed="false">
      <c r="A108" s="22" t="s">
        <v>6908</v>
      </c>
      <c r="B108" s="22" t="s">
        <v>198</v>
      </c>
      <c r="C108" s="22" t="s">
        <v>6562</v>
      </c>
      <c r="D108" s="22" t="n">
        <v>36</v>
      </c>
      <c r="E108" s="22" t="s">
        <v>6575</v>
      </c>
      <c r="F108" s="22" t="s">
        <v>6577</v>
      </c>
      <c r="G108" s="22" t="s">
        <v>4656</v>
      </c>
      <c r="H108" s="22" t="s">
        <v>4657</v>
      </c>
      <c r="I108" s="22" t="s">
        <v>2656</v>
      </c>
      <c r="J108" s="22" t="n">
        <v>34.6</v>
      </c>
      <c r="K108" s="22" t="n">
        <f aca="false">ROUNDUP(J108,0)</f>
        <v>35</v>
      </c>
      <c r="L108" s="22" t="n">
        <f aca="false">MAX(D108,K108)</f>
        <v>36</v>
      </c>
      <c r="M108" s="25" t="n">
        <f aca="false">IF(E108="COVERED",'Controls &amp; Sources'!$B$5,'Controls &amp; Sources'!$B$6)</f>
        <v>10.4</v>
      </c>
      <c r="N108" s="25" t="n">
        <f aca="false">L108*M108</f>
        <v>374.4</v>
      </c>
      <c r="O108" s="22" t="n">
        <f aca="false">COUNTIFS('Billing Actual'!$E$2:$E$770,A108,'Billing Actual'!$B$2:$B$770,'Controls &amp; Sources'!$B$7)</f>
        <v>1</v>
      </c>
      <c r="P108" s="25" t="n">
        <f aca="false">SUMIFS('Billing Actual'!$M$2:$M$770,'Billing Actual'!$E$2:$E$770,A108,'Billing Actual'!$B$2:$B$770,'Controls &amp; Sources'!$B$7)</f>
        <v>374.4</v>
      </c>
      <c r="Q108" s="25" t="n">
        <f aca="false">P108-N108</f>
        <v>0</v>
      </c>
      <c r="R108" s="22" t="str">
        <f aca="false">IF(O108=0,"No August moorage transaction",IF(O108&gt;1,"Duplicate August transactions",IF(ABS(Q108)&gt;0.005,"Charge variance","OK")))</f>
        <v>OK</v>
      </c>
      <c r="S108" s="22" t="str">
        <f aca="false">IF(R108="OK","","Billing completeness/reconciliation")</f>
        <v/>
      </c>
    </row>
    <row r="109" customFormat="false" ht="15" hidden="false" customHeight="false" outlineLevel="0" collapsed="false">
      <c r="A109" s="22" t="s">
        <v>6911</v>
      </c>
      <c r="B109" s="22" t="s">
        <v>198</v>
      </c>
      <c r="C109" s="22" t="s">
        <v>6562</v>
      </c>
      <c r="D109" s="22" t="n">
        <v>32</v>
      </c>
      <c r="E109" s="22" t="s">
        <v>6575</v>
      </c>
      <c r="F109" s="22" t="s">
        <v>6577</v>
      </c>
      <c r="G109" s="22" t="s">
        <v>5100</v>
      </c>
      <c r="H109" s="22" t="s">
        <v>5101</v>
      </c>
      <c r="I109" s="22" t="s">
        <v>953</v>
      </c>
      <c r="J109" s="22" t="n">
        <v>36.5</v>
      </c>
      <c r="K109" s="22" t="n">
        <f aca="false">ROUNDUP(J109,0)</f>
        <v>37</v>
      </c>
      <c r="L109" s="22" t="n">
        <f aca="false">MAX(D109,K109)</f>
        <v>37</v>
      </c>
      <c r="M109" s="25" t="n">
        <f aca="false">IF(E109="COVERED",'Controls &amp; Sources'!$B$5,'Controls &amp; Sources'!$B$6)</f>
        <v>10.4</v>
      </c>
      <c r="N109" s="25" t="n">
        <f aca="false">L109*M109</f>
        <v>384.8</v>
      </c>
      <c r="O109" s="22" t="n">
        <f aca="false">COUNTIFS('Billing Actual'!$E$2:$E$770,A109,'Billing Actual'!$B$2:$B$770,'Controls &amp; Sources'!$B$7)</f>
        <v>1</v>
      </c>
      <c r="P109" s="25" t="n">
        <f aca="false">SUMIFS('Billing Actual'!$M$2:$M$770,'Billing Actual'!$E$2:$E$770,A109,'Billing Actual'!$B$2:$B$770,'Controls &amp; Sources'!$B$7)</f>
        <v>384.8</v>
      </c>
      <c r="Q109" s="25" t="n">
        <f aca="false">P109-N109</f>
        <v>0</v>
      </c>
      <c r="R109" s="22" t="str">
        <f aca="false">IF(O109=0,"No August moorage transaction",IF(O109&gt;1,"Duplicate August transactions",IF(ABS(Q109)&gt;0.005,"Charge variance","OK")))</f>
        <v>OK</v>
      </c>
      <c r="S109" s="22" t="str">
        <f aca="false">IF(R109="OK","","Billing completeness/reconciliation")</f>
        <v/>
      </c>
    </row>
    <row r="110" customFormat="false" ht="15" hidden="false" customHeight="false" outlineLevel="0" collapsed="false">
      <c r="A110" s="22" t="s">
        <v>6914</v>
      </c>
      <c r="B110" s="22" t="s">
        <v>198</v>
      </c>
      <c r="C110" s="22" t="s">
        <v>6562</v>
      </c>
      <c r="D110" s="22" t="n">
        <v>32</v>
      </c>
      <c r="E110" s="22" t="s">
        <v>6575</v>
      </c>
      <c r="F110" s="22" t="s">
        <v>6577</v>
      </c>
      <c r="G110" s="22" t="s">
        <v>2410</v>
      </c>
      <c r="H110" s="22" t="s">
        <v>2411</v>
      </c>
      <c r="I110" s="22" t="s">
        <v>1840</v>
      </c>
      <c r="J110" s="22" t="n">
        <v>38.5</v>
      </c>
      <c r="K110" s="22" t="n">
        <f aca="false">ROUNDUP(J110,0)</f>
        <v>39</v>
      </c>
      <c r="L110" s="22" t="n">
        <f aca="false">MAX(D110,K110)</f>
        <v>39</v>
      </c>
      <c r="M110" s="25" t="n">
        <f aca="false">IF(E110="COVERED",'Controls &amp; Sources'!$B$5,'Controls &amp; Sources'!$B$6)</f>
        <v>10.4</v>
      </c>
      <c r="N110" s="25" t="n">
        <f aca="false">L110*M110</f>
        <v>405.6</v>
      </c>
      <c r="O110" s="22" t="n">
        <f aca="false">COUNTIFS('Billing Actual'!$E$2:$E$770,A110,'Billing Actual'!$B$2:$B$770,'Controls &amp; Sources'!$B$7)</f>
        <v>1</v>
      </c>
      <c r="P110" s="25" t="n">
        <f aca="false">SUMIFS('Billing Actual'!$M$2:$M$770,'Billing Actual'!$E$2:$E$770,A110,'Billing Actual'!$B$2:$B$770,'Controls &amp; Sources'!$B$7)</f>
        <v>405.6</v>
      </c>
      <c r="Q110" s="25" t="n">
        <f aca="false">P110-N110</f>
        <v>0</v>
      </c>
      <c r="R110" s="22" t="str">
        <f aca="false">IF(O110=0,"No August moorage transaction",IF(O110&gt;1,"Duplicate August transactions",IF(ABS(Q110)&gt;0.005,"Charge variance","OK")))</f>
        <v>OK</v>
      </c>
      <c r="S110" s="22" t="str">
        <f aca="false">IF(R110="OK","","Billing completeness/reconciliation")</f>
        <v/>
      </c>
    </row>
    <row r="111" customFormat="false" ht="15" hidden="false" customHeight="false" outlineLevel="0" collapsed="false">
      <c r="A111" s="22" t="s">
        <v>6917</v>
      </c>
      <c r="B111" s="22" t="s">
        <v>198</v>
      </c>
      <c r="C111" s="22" t="s">
        <v>6562</v>
      </c>
      <c r="D111" s="22" t="n">
        <v>40</v>
      </c>
      <c r="E111" s="22" t="s">
        <v>6575</v>
      </c>
      <c r="F111" s="22" t="s">
        <v>6577</v>
      </c>
      <c r="G111" s="22" t="s">
        <v>5059</v>
      </c>
      <c r="H111" s="22" t="s">
        <v>5060</v>
      </c>
      <c r="I111" s="22" t="s">
        <v>661</v>
      </c>
      <c r="J111" s="22" t="n">
        <v>39.5</v>
      </c>
      <c r="K111" s="22" t="n">
        <f aca="false">ROUNDUP(J111,0)</f>
        <v>40</v>
      </c>
      <c r="L111" s="22" t="n">
        <f aca="false">MAX(D111,K111)</f>
        <v>40</v>
      </c>
      <c r="M111" s="25" t="n">
        <f aca="false">IF(E111="COVERED",'Controls &amp; Sources'!$B$5,'Controls &amp; Sources'!$B$6)</f>
        <v>10.4</v>
      </c>
      <c r="N111" s="25" t="n">
        <f aca="false">L111*M111</f>
        <v>416</v>
      </c>
      <c r="O111" s="22" t="n">
        <f aca="false">COUNTIFS('Billing Actual'!$E$2:$E$770,A111,'Billing Actual'!$B$2:$B$770,'Controls &amp; Sources'!$B$7)</f>
        <v>1</v>
      </c>
      <c r="P111" s="25" t="n">
        <f aca="false">SUMIFS('Billing Actual'!$M$2:$M$770,'Billing Actual'!$E$2:$E$770,A111,'Billing Actual'!$B$2:$B$770,'Controls &amp; Sources'!$B$7)</f>
        <v>416</v>
      </c>
      <c r="Q111" s="25" t="n">
        <f aca="false">P111-N111</f>
        <v>0</v>
      </c>
      <c r="R111" s="22" t="str">
        <f aca="false">IF(O111=0,"No August moorage transaction",IF(O111&gt;1,"Duplicate August transactions",IF(ABS(Q111)&gt;0.005,"Charge variance","OK")))</f>
        <v>OK</v>
      </c>
      <c r="S111" s="22" t="str">
        <f aca="false">IF(R111="OK","","Billing completeness/reconciliation")</f>
        <v/>
      </c>
    </row>
    <row r="112" customFormat="false" ht="15" hidden="false" customHeight="false" outlineLevel="0" collapsed="false">
      <c r="A112" s="22" t="s">
        <v>6920</v>
      </c>
      <c r="B112" s="22" t="s">
        <v>198</v>
      </c>
      <c r="C112" s="22" t="s">
        <v>6562</v>
      </c>
      <c r="D112" s="22" t="n">
        <v>40</v>
      </c>
      <c r="E112" s="22" t="s">
        <v>6575</v>
      </c>
      <c r="F112" s="22" t="s">
        <v>6577</v>
      </c>
      <c r="G112" s="22" t="s">
        <v>1744</v>
      </c>
      <c r="H112" s="22" t="s">
        <v>1745</v>
      </c>
      <c r="I112" s="22" t="s">
        <v>690</v>
      </c>
      <c r="J112" s="22" t="n">
        <v>60.6</v>
      </c>
      <c r="K112" s="22" t="n">
        <f aca="false">ROUNDUP(J112,0)</f>
        <v>61</v>
      </c>
      <c r="L112" s="22" t="n">
        <f aca="false">MAX(D112,K112)</f>
        <v>61</v>
      </c>
      <c r="M112" s="25" t="n">
        <f aca="false">IF(E112="COVERED",'Controls &amp; Sources'!$B$5,'Controls &amp; Sources'!$B$6)</f>
        <v>10.4</v>
      </c>
      <c r="N112" s="25" t="n">
        <f aca="false">L112*M112</f>
        <v>634.4</v>
      </c>
      <c r="O112" s="22" t="n">
        <f aca="false">COUNTIFS('Billing Actual'!$E$2:$E$770,A112,'Billing Actual'!$B$2:$B$770,'Controls &amp; Sources'!$B$7)</f>
        <v>1</v>
      </c>
      <c r="P112" s="25" t="n">
        <f aca="false">SUMIFS('Billing Actual'!$M$2:$M$770,'Billing Actual'!$E$2:$E$770,A112,'Billing Actual'!$B$2:$B$770,'Controls &amp; Sources'!$B$7)</f>
        <v>634.4</v>
      </c>
      <c r="Q112" s="25" t="n">
        <f aca="false">P112-N112</f>
        <v>0</v>
      </c>
      <c r="R112" s="22" t="str">
        <f aca="false">IF(O112=0,"No August moorage transaction",IF(O112&gt;1,"Duplicate August transactions",IF(ABS(Q112)&gt;0.005,"Charge variance","OK")))</f>
        <v>OK</v>
      </c>
      <c r="S112" s="22" t="str">
        <f aca="false">IF(R112="OK","","Billing completeness/reconciliation")</f>
        <v/>
      </c>
    </row>
    <row r="113" customFormat="false" ht="15" hidden="false" customHeight="false" outlineLevel="0" collapsed="false">
      <c r="A113" s="22" t="s">
        <v>6923</v>
      </c>
      <c r="B113" s="22" t="s">
        <v>198</v>
      </c>
      <c r="C113" s="22" t="s">
        <v>6562</v>
      </c>
      <c r="D113" s="22" t="n">
        <v>24</v>
      </c>
      <c r="E113" s="22" t="s">
        <v>6575</v>
      </c>
      <c r="F113" s="22" t="s">
        <v>6577</v>
      </c>
      <c r="G113" s="22" t="s">
        <v>5162</v>
      </c>
      <c r="H113" s="22" t="s">
        <v>5163</v>
      </c>
      <c r="I113" s="22" t="s">
        <v>1736</v>
      </c>
      <c r="J113" s="22" t="n">
        <v>24.2</v>
      </c>
      <c r="K113" s="22" t="n">
        <f aca="false">ROUNDUP(J113,0)</f>
        <v>25</v>
      </c>
      <c r="L113" s="22" t="n">
        <f aca="false">MAX(D113,K113)</f>
        <v>25</v>
      </c>
      <c r="M113" s="25" t="n">
        <f aca="false">IF(E113="COVERED",'Controls &amp; Sources'!$B$5,'Controls &amp; Sources'!$B$6)</f>
        <v>10.4</v>
      </c>
      <c r="N113" s="25" t="n">
        <f aca="false">L113*M113</f>
        <v>260</v>
      </c>
      <c r="O113" s="22" t="n">
        <f aca="false">COUNTIFS('Billing Actual'!$E$2:$E$770,A113,'Billing Actual'!$B$2:$B$770,'Controls &amp; Sources'!$B$7)</f>
        <v>1</v>
      </c>
      <c r="P113" s="25" t="n">
        <f aca="false">SUMIFS('Billing Actual'!$M$2:$M$770,'Billing Actual'!$E$2:$E$770,A113,'Billing Actual'!$B$2:$B$770,'Controls &amp; Sources'!$B$7)</f>
        <v>260</v>
      </c>
      <c r="Q113" s="25" t="n">
        <f aca="false">P113-N113</f>
        <v>0</v>
      </c>
      <c r="R113" s="22" t="str">
        <f aca="false">IF(O113=0,"No August moorage transaction",IF(O113&gt;1,"Duplicate August transactions",IF(ABS(Q113)&gt;0.005,"Charge variance","OK")))</f>
        <v>OK</v>
      </c>
      <c r="S113" s="22" t="str">
        <f aca="false">IF(R113="OK","","Billing completeness/reconciliation")</f>
        <v/>
      </c>
    </row>
    <row r="114" customFormat="false" ht="15" hidden="false" customHeight="false" outlineLevel="0" collapsed="false">
      <c r="A114" s="22" t="s">
        <v>6925</v>
      </c>
      <c r="B114" s="22" t="s">
        <v>198</v>
      </c>
      <c r="C114" s="22" t="s">
        <v>6562</v>
      </c>
      <c r="D114" s="22" t="n">
        <v>28</v>
      </c>
      <c r="E114" s="22" t="s">
        <v>6575</v>
      </c>
      <c r="F114" s="22" t="s">
        <v>6577</v>
      </c>
      <c r="G114" s="22" t="s">
        <v>4107</v>
      </c>
      <c r="H114" s="22" t="s">
        <v>4108</v>
      </c>
      <c r="I114" s="22" t="s">
        <v>2625</v>
      </c>
      <c r="J114" s="22" t="n">
        <v>24.6</v>
      </c>
      <c r="K114" s="22" t="n">
        <f aca="false">ROUNDUP(J114,0)</f>
        <v>25</v>
      </c>
      <c r="L114" s="22" t="n">
        <f aca="false">MAX(D114,K114)</f>
        <v>28</v>
      </c>
      <c r="M114" s="25" t="n">
        <f aca="false">IF(E114="COVERED",'Controls &amp; Sources'!$B$5,'Controls &amp; Sources'!$B$6)</f>
        <v>10.4</v>
      </c>
      <c r="N114" s="25" t="n">
        <f aca="false">L114*M114</f>
        <v>291.2</v>
      </c>
      <c r="O114" s="22" t="n">
        <f aca="false">COUNTIFS('Billing Actual'!$E$2:$E$770,A114,'Billing Actual'!$B$2:$B$770,'Controls &amp; Sources'!$B$7)</f>
        <v>1</v>
      </c>
      <c r="P114" s="25" t="n">
        <f aca="false">SUMIFS('Billing Actual'!$M$2:$M$770,'Billing Actual'!$E$2:$E$770,A114,'Billing Actual'!$B$2:$B$770,'Controls &amp; Sources'!$B$7)</f>
        <v>291.2</v>
      </c>
      <c r="Q114" s="25" t="n">
        <f aca="false">P114-N114</f>
        <v>0</v>
      </c>
      <c r="R114" s="22" t="str">
        <f aca="false">IF(O114=0,"No August moorage transaction",IF(O114&gt;1,"Duplicate August transactions",IF(ABS(Q114)&gt;0.005,"Charge variance","OK")))</f>
        <v>OK</v>
      </c>
      <c r="S114" s="22" t="str">
        <f aca="false">IF(R114="OK","","Billing completeness/reconciliation")</f>
        <v/>
      </c>
    </row>
    <row r="115" customFormat="false" ht="15" hidden="false" customHeight="false" outlineLevel="0" collapsed="false">
      <c r="A115" s="22" t="s">
        <v>6928</v>
      </c>
      <c r="B115" s="22" t="s">
        <v>198</v>
      </c>
      <c r="C115" s="22" t="s">
        <v>6562</v>
      </c>
      <c r="D115" s="22" t="n">
        <v>24</v>
      </c>
      <c r="E115" s="22" t="s">
        <v>6575</v>
      </c>
      <c r="F115" s="22" t="s">
        <v>6577</v>
      </c>
      <c r="G115" s="22" t="s">
        <v>3992</v>
      </c>
      <c r="H115" s="22" t="s">
        <v>3993</v>
      </c>
      <c r="I115" s="22" t="s">
        <v>1262</v>
      </c>
      <c r="J115" s="22" t="n">
        <v>29.3</v>
      </c>
      <c r="K115" s="22" t="n">
        <f aca="false">ROUNDUP(J115,0)</f>
        <v>30</v>
      </c>
      <c r="L115" s="22" t="n">
        <f aca="false">MAX(D115,K115)</f>
        <v>30</v>
      </c>
      <c r="M115" s="25" t="n">
        <f aca="false">IF(E115="COVERED",'Controls &amp; Sources'!$B$5,'Controls &amp; Sources'!$B$6)</f>
        <v>10.4</v>
      </c>
      <c r="N115" s="25" t="n">
        <f aca="false">L115*M115</f>
        <v>312</v>
      </c>
      <c r="O115" s="22" t="n">
        <f aca="false">COUNTIFS('Billing Actual'!$E$2:$E$770,A115,'Billing Actual'!$B$2:$B$770,'Controls &amp; Sources'!$B$7)</f>
        <v>1</v>
      </c>
      <c r="P115" s="25" t="n">
        <f aca="false">SUMIFS('Billing Actual'!$M$2:$M$770,'Billing Actual'!$E$2:$E$770,A115,'Billing Actual'!$B$2:$B$770,'Controls &amp; Sources'!$B$7)</f>
        <v>312</v>
      </c>
      <c r="Q115" s="25" t="n">
        <f aca="false">P115-N115</f>
        <v>0</v>
      </c>
      <c r="R115" s="22" t="str">
        <f aca="false">IF(O115=0,"No August moorage transaction",IF(O115&gt;1,"Duplicate August transactions",IF(ABS(Q115)&gt;0.005,"Charge variance","OK")))</f>
        <v>OK</v>
      </c>
      <c r="S115" s="22" t="str">
        <f aca="false">IF(R115="OK","","Billing completeness/reconciliation")</f>
        <v/>
      </c>
    </row>
    <row r="116" customFormat="false" ht="15" hidden="false" customHeight="false" outlineLevel="0" collapsed="false">
      <c r="A116" s="22" t="s">
        <v>6932</v>
      </c>
      <c r="B116" s="22" t="s">
        <v>198</v>
      </c>
      <c r="C116" s="22" t="s">
        <v>6562</v>
      </c>
      <c r="D116" s="22" t="n">
        <v>36</v>
      </c>
      <c r="E116" s="22" t="s">
        <v>6575</v>
      </c>
      <c r="F116" s="22" t="s">
        <v>6577</v>
      </c>
      <c r="G116" s="22" t="s">
        <v>1111</v>
      </c>
      <c r="H116" s="22" t="s">
        <v>1112</v>
      </c>
      <c r="I116" s="22" t="s">
        <v>687</v>
      </c>
      <c r="J116" s="22" t="n">
        <v>57.7</v>
      </c>
      <c r="K116" s="22" t="n">
        <f aca="false">ROUNDUP(J116,0)</f>
        <v>58</v>
      </c>
      <c r="L116" s="22" t="n">
        <f aca="false">MAX(D116,K116)</f>
        <v>58</v>
      </c>
      <c r="M116" s="25" t="n">
        <f aca="false">IF(E116="COVERED",'Controls &amp; Sources'!$B$5,'Controls &amp; Sources'!$B$6)</f>
        <v>10.4</v>
      </c>
      <c r="N116" s="25" t="n">
        <f aca="false">L116*M116</f>
        <v>603.2</v>
      </c>
      <c r="O116" s="22" t="n">
        <f aca="false">COUNTIFS('Billing Actual'!$E$2:$E$770,A116,'Billing Actual'!$B$2:$B$770,'Controls &amp; Sources'!$B$7)</f>
        <v>1</v>
      </c>
      <c r="P116" s="25" t="n">
        <f aca="false">SUMIFS('Billing Actual'!$M$2:$M$770,'Billing Actual'!$E$2:$E$770,A116,'Billing Actual'!$B$2:$B$770,'Controls &amp; Sources'!$B$7)</f>
        <v>603.2</v>
      </c>
      <c r="Q116" s="25" t="n">
        <f aca="false">P116-N116</f>
        <v>0</v>
      </c>
      <c r="R116" s="22" t="str">
        <f aca="false">IF(O116=0,"No August moorage transaction",IF(O116&gt;1,"Duplicate August transactions",IF(ABS(Q116)&gt;0.005,"Charge variance","OK")))</f>
        <v>OK</v>
      </c>
      <c r="S116" s="22" t="str">
        <f aca="false">IF(R116="OK","","Billing completeness/reconciliation")</f>
        <v/>
      </c>
    </row>
    <row r="117" customFormat="false" ht="15" hidden="false" customHeight="false" outlineLevel="0" collapsed="false">
      <c r="A117" s="22" t="s">
        <v>6935</v>
      </c>
      <c r="B117" s="22" t="s">
        <v>198</v>
      </c>
      <c r="C117" s="22" t="s">
        <v>6562</v>
      </c>
      <c r="D117" s="22" t="n">
        <v>28</v>
      </c>
      <c r="E117" s="22" t="s">
        <v>6575</v>
      </c>
      <c r="F117" s="22" t="s">
        <v>6577</v>
      </c>
      <c r="G117" s="22" t="s">
        <v>4569</v>
      </c>
      <c r="H117" s="22" t="s">
        <v>4570</v>
      </c>
      <c r="I117" s="22" t="s">
        <v>629</v>
      </c>
      <c r="J117" s="22" t="n">
        <v>32.2</v>
      </c>
      <c r="K117" s="22" t="n">
        <f aca="false">ROUNDUP(J117,0)</f>
        <v>33</v>
      </c>
      <c r="L117" s="22" t="n">
        <f aca="false">MAX(D117,K117)</f>
        <v>33</v>
      </c>
      <c r="M117" s="25" t="n">
        <f aca="false">IF(E117="COVERED",'Controls &amp; Sources'!$B$5,'Controls &amp; Sources'!$B$6)</f>
        <v>10.4</v>
      </c>
      <c r="N117" s="25" t="n">
        <f aca="false">L117*M117</f>
        <v>343.2</v>
      </c>
      <c r="O117" s="22" t="n">
        <f aca="false">COUNTIFS('Billing Actual'!$E$2:$E$770,A117,'Billing Actual'!$B$2:$B$770,'Controls &amp; Sources'!$B$7)</f>
        <v>1</v>
      </c>
      <c r="P117" s="25" t="n">
        <f aca="false">SUMIFS('Billing Actual'!$M$2:$M$770,'Billing Actual'!$E$2:$E$770,A117,'Billing Actual'!$B$2:$B$770,'Controls &amp; Sources'!$B$7)</f>
        <v>343.2</v>
      </c>
      <c r="Q117" s="25" t="n">
        <f aca="false">P117-N117</f>
        <v>0</v>
      </c>
      <c r="R117" s="22" t="str">
        <f aca="false">IF(O117=0,"No August moorage transaction",IF(O117&gt;1,"Duplicate August transactions",IF(ABS(Q117)&gt;0.005,"Charge variance","OK")))</f>
        <v>OK</v>
      </c>
      <c r="S117" s="22" t="str">
        <f aca="false">IF(R117="OK","","Billing completeness/reconciliation")</f>
        <v/>
      </c>
    </row>
    <row r="118" customFormat="false" ht="15" hidden="false" customHeight="false" outlineLevel="0" collapsed="false">
      <c r="A118" s="22" t="s">
        <v>6938</v>
      </c>
      <c r="B118" s="22" t="s">
        <v>198</v>
      </c>
      <c r="C118" s="22" t="s">
        <v>6562</v>
      </c>
      <c r="D118" s="22" t="n">
        <v>40</v>
      </c>
      <c r="E118" s="22" t="s">
        <v>6575</v>
      </c>
      <c r="F118" s="22" t="s">
        <v>6577</v>
      </c>
      <c r="G118" s="22" t="s">
        <v>3928</v>
      </c>
      <c r="H118" s="22" t="s">
        <v>3929</v>
      </c>
      <c r="I118" s="22" t="s">
        <v>1866</v>
      </c>
      <c r="J118" s="22" t="n">
        <v>51</v>
      </c>
      <c r="K118" s="22" t="n">
        <f aca="false">ROUNDUP(J118,0)</f>
        <v>51</v>
      </c>
      <c r="L118" s="22" t="n">
        <f aca="false">MAX(D118,K118)</f>
        <v>51</v>
      </c>
      <c r="M118" s="25" t="n">
        <f aca="false">IF(E118="COVERED",'Controls &amp; Sources'!$B$5,'Controls &amp; Sources'!$B$6)</f>
        <v>10.4</v>
      </c>
      <c r="N118" s="25" t="n">
        <f aca="false">L118*M118</f>
        <v>530.4</v>
      </c>
      <c r="O118" s="22" t="n">
        <f aca="false">COUNTIFS('Billing Actual'!$E$2:$E$770,A118,'Billing Actual'!$B$2:$B$770,'Controls &amp; Sources'!$B$7)</f>
        <v>1</v>
      </c>
      <c r="P118" s="25" t="n">
        <f aca="false">SUMIFS('Billing Actual'!$M$2:$M$770,'Billing Actual'!$E$2:$E$770,A118,'Billing Actual'!$B$2:$B$770,'Controls &amp; Sources'!$B$7)</f>
        <v>530.4</v>
      </c>
      <c r="Q118" s="25" t="n">
        <f aca="false">P118-N118</f>
        <v>0</v>
      </c>
      <c r="R118" s="22" t="str">
        <f aca="false">IF(O118=0,"No August moorage transaction",IF(O118&gt;1,"Duplicate August transactions",IF(ABS(Q118)&gt;0.005,"Charge variance","OK")))</f>
        <v>OK</v>
      </c>
      <c r="S118" s="22" t="str">
        <f aca="false">IF(R118="OK","","Billing completeness/reconciliation")</f>
        <v/>
      </c>
    </row>
    <row r="119" customFormat="false" ht="15" hidden="false" customHeight="false" outlineLevel="0" collapsed="false">
      <c r="A119" s="22" t="s">
        <v>6941</v>
      </c>
      <c r="B119" s="22" t="s">
        <v>198</v>
      </c>
      <c r="C119" s="22" t="s">
        <v>6562</v>
      </c>
      <c r="D119" s="22" t="n">
        <v>24</v>
      </c>
      <c r="E119" s="22" t="s">
        <v>6575</v>
      </c>
      <c r="F119" s="22" t="s">
        <v>6577</v>
      </c>
      <c r="G119" s="22" t="s">
        <v>2079</v>
      </c>
      <c r="H119" s="22" t="s">
        <v>2080</v>
      </c>
      <c r="I119" s="22" t="s">
        <v>2081</v>
      </c>
      <c r="J119" s="22" t="n">
        <v>50.9</v>
      </c>
      <c r="K119" s="22" t="n">
        <f aca="false">ROUNDUP(J119,0)</f>
        <v>51</v>
      </c>
      <c r="L119" s="22" t="n">
        <f aca="false">MAX(D119,K119)</f>
        <v>51</v>
      </c>
      <c r="M119" s="25" t="n">
        <f aca="false">IF(E119="COVERED",'Controls &amp; Sources'!$B$5,'Controls &amp; Sources'!$B$6)</f>
        <v>10.4</v>
      </c>
      <c r="N119" s="25" t="n">
        <f aca="false">L119*M119</f>
        <v>530.4</v>
      </c>
      <c r="O119" s="22" t="n">
        <f aca="false">COUNTIFS('Billing Actual'!$E$2:$E$770,A119,'Billing Actual'!$B$2:$B$770,'Controls &amp; Sources'!$B$7)</f>
        <v>1</v>
      </c>
      <c r="P119" s="25" t="n">
        <f aca="false">SUMIFS('Billing Actual'!$M$2:$M$770,'Billing Actual'!$E$2:$E$770,A119,'Billing Actual'!$B$2:$B$770,'Controls &amp; Sources'!$B$7)</f>
        <v>530.4</v>
      </c>
      <c r="Q119" s="25" t="n">
        <f aca="false">P119-N119</f>
        <v>0</v>
      </c>
      <c r="R119" s="22" t="str">
        <f aca="false">IF(O119=0,"No August moorage transaction",IF(O119&gt;1,"Duplicate August transactions",IF(ABS(Q119)&gt;0.005,"Charge variance","OK")))</f>
        <v>OK</v>
      </c>
      <c r="S119" s="22" t="str">
        <f aca="false">IF(R119="OK","","Billing completeness/reconciliation")</f>
        <v/>
      </c>
    </row>
    <row r="120" customFormat="false" ht="15" hidden="false" customHeight="false" outlineLevel="0" collapsed="false">
      <c r="A120" s="22" t="s">
        <v>6944</v>
      </c>
      <c r="B120" s="22" t="s">
        <v>198</v>
      </c>
      <c r="C120" s="22" t="s">
        <v>6562</v>
      </c>
      <c r="D120" s="22" t="n">
        <v>24</v>
      </c>
      <c r="E120" s="22" t="s">
        <v>6575</v>
      </c>
      <c r="F120" s="22" t="s">
        <v>6577</v>
      </c>
      <c r="G120" s="22" t="s">
        <v>6210</v>
      </c>
      <c r="H120" s="22" t="s">
        <v>6211</v>
      </c>
      <c r="I120" s="22" t="s">
        <v>457</v>
      </c>
      <c r="J120" s="22" t="n">
        <v>61.2</v>
      </c>
      <c r="K120" s="22" t="n">
        <f aca="false">ROUNDUP(J120,0)</f>
        <v>62</v>
      </c>
      <c r="L120" s="22" t="n">
        <f aca="false">MAX(D120,K120)</f>
        <v>62</v>
      </c>
      <c r="M120" s="25" t="n">
        <f aca="false">IF(E120="COVERED",'Controls &amp; Sources'!$B$5,'Controls &amp; Sources'!$B$6)</f>
        <v>10.4</v>
      </c>
      <c r="N120" s="25" t="n">
        <f aca="false">L120*M120</f>
        <v>644.8</v>
      </c>
      <c r="O120" s="22" t="n">
        <f aca="false">COUNTIFS('Billing Actual'!$E$2:$E$770,A120,'Billing Actual'!$B$2:$B$770,'Controls &amp; Sources'!$B$7)</f>
        <v>1</v>
      </c>
      <c r="P120" s="25" t="n">
        <f aca="false">SUMIFS('Billing Actual'!$M$2:$M$770,'Billing Actual'!$E$2:$E$770,A120,'Billing Actual'!$B$2:$B$770,'Controls &amp; Sources'!$B$7)</f>
        <v>644.8</v>
      </c>
      <c r="Q120" s="25" t="n">
        <f aca="false">P120-N120</f>
        <v>0</v>
      </c>
      <c r="R120" s="22" t="str">
        <f aca="false">IF(O120=0,"No August moorage transaction",IF(O120&gt;1,"Duplicate August transactions",IF(ABS(Q120)&gt;0.005,"Charge variance","OK")))</f>
        <v>OK</v>
      </c>
      <c r="S120" s="22" t="str">
        <f aca="false">IF(R120="OK","","Billing completeness/reconciliation")</f>
        <v/>
      </c>
    </row>
    <row r="121" customFormat="false" ht="15" hidden="false" customHeight="false" outlineLevel="0" collapsed="false">
      <c r="A121" s="22" t="s">
        <v>6947</v>
      </c>
      <c r="B121" s="22" t="s">
        <v>198</v>
      </c>
      <c r="C121" s="22" t="s">
        <v>6562</v>
      </c>
      <c r="D121" s="22" t="n">
        <v>40</v>
      </c>
      <c r="E121" s="22" t="s">
        <v>6575</v>
      </c>
      <c r="F121" s="22" t="s">
        <v>6577</v>
      </c>
      <c r="G121" s="22" t="s">
        <v>1205</v>
      </c>
      <c r="H121" s="22" t="s">
        <v>1206</v>
      </c>
      <c r="I121" s="22" t="s">
        <v>1207</v>
      </c>
      <c r="J121" s="22" t="n">
        <v>30.7</v>
      </c>
      <c r="K121" s="22" t="n">
        <f aca="false">ROUNDUP(J121,0)</f>
        <v>31</v>
      </c>
      <c r="L121" s="22" t="n">
        <f aca="false">MAX(D121,K121)</f>
        <v>40</v>
      </c>
      <c r="M121" s="25" t="n">
        <f aca="false">IF(E121="COVERED",'Controls &amp; Sources'!$B$5,'Controls &amp; Sources'!$B$6)</f>
        <v>10.4</v>
      </c>
      <c r="N121" s="25" t="n">
        <f aca="false">L121*M121</f>
        <v>416</v>
      </c>
      <c r="O121" s="22" t="n">
        <f aca="false">COUNTIFS('Billing Actual'!$E$2:$E$770,A121,'Billing Actual'!$B$2:$B$770,'Controls &amp; Sources'!$B$7)</f>
        <v>1</v>
      </c>
      <c r="P121" s="25" t="n">
        <f aca="false">SUMIFS('Billing Actual'!$M$2:$M$770,'Billing Actual'!$E$2:$E$770,A121,'Billing Actual'!$B$2:$B$770,'Controls &amp; Sources'!$B$7)</f>
        <v>416</v>
      </c>
      <c r="Q121" s="25" t="n">
        <f aca="false">P121-N121</f>
        <v>0</v>
      </c>
      <c r="R121" s="22" t="str">
        <f aca="false">IF(O121=0,"No August moorage transaction",IF(O121&gt;1,"Duplicate August transactions",IF(ABS(Q121)&gt;0.005,"Charge variance","OK")))</f>
        <v>OK</v>
      </c>
      <c r="S121" s="22" t="str">
        <f aca="false">IF(R121="OK","","Billing completeness/reconciliation")</f>
        <v/>
      </c>
    </row>
    <row r="122" customFormat="false" ht="15" hidden="false" customHeight="false" outlineLevel="0" collapsed="false">
      <c r="A122" s="22" t="s">
        <v>6950</v>
      </c>
      <c r="B122" s="22" t="s">
        <v>198</v>
      </c>
      <c r="C122" s="22" t="s">
        <v>6562</v>
      </c>
      <c r="D122" s="22" t="n">
        <v>28</v>
      </c>
      <c r="E122" s="22" t="s">
        <v>6575</v>
      </c>
      <c r="F122" s="22" t="s">
        <v>6577</v>
      </c>
      <c r="G122" s="22" t="s">
        <v>6544</v>
      </c>
      <c r="H122" s="22" t="s">
        <v>6545</v>
      </c>
      <c r="I122" s="22" t="s">
        <v>367</v>
      </c>
      <c r="J122" s="22" t="n">
        <v>22.6</v>
      </c>
      <c r="K122" s="22" t="n">
        <f aca="false">ROUNDUP(J122,0)</f>
        <v>23</v>
      </c>
      <c r="L122" s="22" t="n">
        <f aca="false">MAX(D122,K122)</f>
        <v>28</v>
      </c>
      <c r="M122" s="25" t="n">
        <f aca="false">IF(E122="COVERED",'Controls &amp; Sources'!$B$5,'Controls &amp; Sources'!$B$6)</f>
        <v>10.4</v>
      </c>
      <c r="N122" s="25" t="n">
        <f aca="false">L122*M122</f>
        <v>291.2</v>
      </c>
      <c r="O122" s="22" t="n">
        <f aca="false">COUNTIFS('Billing Actual'!$E$2:$E$770,A122,'Billing Actual'!$B$2:$B$770,'Controls &amp; Sources'!$B$7)</f>
        <v>1</v>
      </c>
      <c r="P122" s="25" t="n">
        <f aca="false">SUMIFS('Billing Actual'!$M$2:$M$770,'Billing Actual'!$E$2:$E$770,A122,'Billing Actual'!$B$2:$B$770,'Controls &amp; Sources'!$B$7)</f>
        <v>291.2</v>
      </c>
      <c r="Q122" s="25" t="n">
        <f aca="false">P122-N122</f>
        <v>0</v>
      </c>
      <c r="R122" s="22" t="str">
        <f aca="false">IF(O122=0,"No August moorage transaction",IF(O122&gt;1,"Duplicate August transactions",IF(ABS(Q122)&gt;0.005,"Charge variance","OK")))</f>
        <v>OK</v>
      </c>
      <c r="S122" s="22" t="str">
        <f aca="false">IF(R122="OK","","Billing completeness/reconciliation")</f>
        <v/>
      </c>
    </row>
    <row r="123" customFormat="false" ht="15" hidden="false" customHeight="false" outlineLevel="0" collapsed="false">
      <c r="A123" s="22" t="s">
        <v>6953</v>
      </c>
      <c r="B123" s="22" t="s">
        <v>198</v>
      </c>
      <c r="C123" s="22" t="s">
        <v>6562</v>
      </c>
      <c r="D123" s="22" t="n">
        <v>24</v>
      </c>
      <c r="E123" s="22" t="s">
        <v>6575</v>
      </c>
      <c r="F123" s="22" t="s">
        <v>6577</v>
      </c>
      <c r="G123" s="22" t="s">
        <v>1739</v>
      </c>
      <c r="H123" s="22" t="s">
        <v>1740</v>
      </c>
      <c r="I123" s="22" t="s">
        <v>1029</v>
      </c>
      <c r="J123" s="22" t="n">
        <v>37.3</v>
      </c>
      <c r="K123" s="22" t="n">
        <f aca="false">ROUNDUP(J123,0)</f>
        <v>38</v>
      </c>
      <c r="L123" s="22" t="n">
        <f aca="false">MAX(D123,K123)</f>
        <v>38</v>
      </c>
      <c r="M123" s="25" t="n">
        <f aca="false">IF(E123="COVERED",'Controls &amp; Sources'!$B$5,'Controls &amp; Sources'!$B$6)</f>
        <v>10.4</v>
      </c>
      <c r="N123" s="25" t="n">
        <f aca="false">L123*M123</f>
        <v>395.2</v>
      </c>
      <c r="O123" s="22" t="n">
        <f aca="false">COUNTIFS('Billing Actual'!$E$2:$E$770,A123,'Billing Actual'!$B$2:$B$770,'Controls &amp; Sources'!$B$7)</f>
        <v>1</v>
      </c>
      <c r="P123" s="25" t="n">
        <f aca="false">SUMIFS('Billing Actual'!$M$2:$M$770,'Billing Actual'!$E$2:$E$770,A123,'Billing Actual'!$B$2:$B$770,'Controls &amp; Sources'!$B$7)</f>
        <v>395.2</v>
      </c>
      <c r="Q123" s="25" t="n">
        <f aca="false">P123-N123</f>
        <v>0</v>
      </c>
      <c r="R123" s="22" t="str">
        <f aca="false">IF(O123=0,"No August moorage transaction",IF(O123&gt;1,"Duplicate August transactions",IF(ABS(Q123)&gt;0.005,"Charge variance","OK")))</f>
        <v>OK</v>
      </c>
      <c r="S123" s="22" t="str">
        <f aca="false">IF(R123="OK","","Billing completeness/reconciliation")</f>
        <v/>
      </c>
    </row>
    <row r="124" customFormat="false" ht="15" hidden="false" customHeight="false" outlineLevel="0" collapsed="false">
      <c r="A124" s="22" t="s">
        <v>6956</v>
      </c>
      <c r="B124" s="22" t="s">
        <v>198</v>
      </c>
      <c r="C124" s="22" t="s">
        <v>6562</v>
      </c>
      <c r="D124" s="22" t="n">
        <v>28</v>
      </c>
      <c r="E124" s="22" t="s">
        <v>6575</v>
      </c>
      <c r="F124" s="22" t="s">
        <v>6577</v>
      </c>
      <c r="G124" s="22" t="s">
        <v>4536</v>
      </c>
      <c r="H124" s="22" t="s">
        <v>4537</v>
      </c>
      <c r="I124" s="22" t="s">
        <v>287</v>
      </c>
      <c r="J124" s="22" t="n">
        <v>34.5</v>
      </c>
      <c r="K124" s="22" t="n">
        <f aca="false">ROUNDUP(J124,0)</f>
        <v>35</v>
      </c>
      <c r="L124" s="22" t="n">
        <f aca="false">MAX(D124,K124)</f>
        <v>35</v>
      </c>
      <c r="M124" s="25" t="n">
        <f aca="false">IF(E124="COVERED",'Controls &amp; Sources'!$B$5,'Controls &amp; Sources'!$B$6)</f>
        <v>10.4</v>
      </c>
      <c r="N124" s="25" t="n">
        <f aca="false">L124*M124</f>
        <v>364</v>
      </c>
      <c r="O124" s="22" t="n">
        <f aca="false">COUNTIFS('Billing Actual'!$E$2:$E$770,A124,'Billing Actual'!$B$2:$B$770,'Controls &amp; Sources'!$B$7)</f>
        <v>1</v>
      </c>
      <c r="P124" s="25" t="n">
        <f aca="false">SUMIFS('Billing Actual'!$M$2:$M$770,'Billing Actual'!$E$2:$E$770,A124,'Billing Actual'!$B$2:$B$770,'Controls &amp; Sources'!$B$7)</f>
        <v>364</v>
      </c>
      <c r="Q124" s="25" t="n">
        <f aca="false">P124-N124</f>
        <v>0</v>
      </c>
      <c r="R124" s="22" t="str">
        <f aca="false">IF(O124=0,"No August moorage transaction",IF(O124&gt;1,"Duplicate August transactions",IF(ABS(Q124)&gt;0.005,"Charge variance","OK")))</f>
        <v>OK</v>
      </c>
      <c r="S124" s="22" t="str">
        <f aca="false">IF(R124="OK","","Billing completeness/reconciliation")</f>
        <v/>
      </c>
    </row>
    <row r="125" customFormat="false" ht="15" hidden="false" customHeight="false" outlineLevel="0" collapsed="false">
      <c r="A125" s="22" t="s">
        <v>6959</v>
      </c>
      <c r="B125" s="22" t="s">
        <v>198</v>
      </c>
      <c r="C125" s="22" t="s">
        <v>6562</v>
      </c>
      <c r="D125" s="22" t="n">
        <v>24</v>
      </c>
      <c r="E125" s="22" t="s">
        <v>6575</v>
      </c>
      <c r="F125" s="22" t="s">
        <v>6577</v>
      </c>
      <c r="G125" s="22" t="s">
        <v>5851</v>
      </c>
      <c r="H125" s="22" t="s">
        <v>5852</v>
      </c>
      <c r="I125" s="22" t="s">
        <v>1069</v>
      </c>
      <c r="J125" s="22" t="n">
        <v>60.7</v>
      </c>
      <c r="K125" s="22" t="n">
        <f aca="false">ROUNDUP(J125,0)</f>
        <v>61</v>
      </c>
      <c r="L125" s="22" t="n">
        <f aca="false">MAX(D125,K125)</f>
        <v>61</v>
      </c>
      <c r="M125" s="25" t="n">
        <f aca="false">IF(E125="COVERED",'Controls &amp; Sources'!$B$5,'Controls &amp; Sources'!$B$6)</f>
        <v>10.4</v>
      </c>
      <c r="N125" s="25" t="n">
        <f aca="false">L125*M125</f>
        <v>634.4</v>
      </c>
      <c r="O125" s="22" t="n">
        <f aca="false">COUNTIFS('Billing Actual'!$E$2:$E$770,A125,'Billing Actual'!$B$2:$B$770,'Controls &amp; Sources'!$B$7)</f>
        <v>1</v>
      </c>
      <c r="P125" s="25" t="n">
        <f aca="false">SUMIFS('Billing Actual'!$M$2:$M$770,'Billing Actual'!$E$2:$E$770,A125,'Billing Actual'!$B$2:$B$770,'Controls &amp; Sources'!$B$7)</f>
        <v>634.4</v>
      </c>
      <c r="Q125" s="25" t="n">
        <f aca="false">P125-N125</f>
        <v>0</v>
      </c>
      <c r="R125" s="22" t="str">
        <f aca="false">IF(O125=0,"No August moorage transaction",IF(O125&gt;1,"Duplicate August transactions",IF(ABS(Q125)&gt;0.005,"Charge variance","OK")))</f>
        <v>OK</v>
      </c>
      <c r="S125" s="22" t="str">
        <f aca="false">IF(R125="OK","","Billing completeness/reconciliation")</f>
        <v/>
      </c>
    </row>
    <row r="126" customFormat="false" ht="15" hidden="false" customHeight="false" outlineLevel="0" collapsed="false">
      <c r="A126" s="22" t="s">
        <v>6962</v>
      </c>
      <c r="B126" s="22" t="s">
        <v>198</v>
      </c>
      <c r="C126" s="22" t="s">
        <v>6562</v>
      </c>
      <c r="D126" s="22" t="n">
        <v>32</v>
      </c>
      <c r="E126" s="22" t="s">
        <v>6575</v>
      </c>
      <c r="F126" s="22" t="s">
        <v>6577</v>
      </c>
      <c r="G126" s="22" t="s">
        <v>1800</v>
      </c>
      <c r="H126" s="22" t="s">
        <v>1801</v>
      </c>
      <c r="I126" s="22" t="s">
        <v>1802</v>
      </c>
      <c r="J126" s="22" t="n">
        <v>18.6</v>
      </c>
      <c r="K126" s="22" t="n">
        <f aca="false">ROUNDUP(J126,0)</f>
        <v>19</v>
      </c>
      <c r="L126" s="22" t="n">
        <f aca="false">MAX(D126,K126)</f>
        <v>32</v>
      </c>
      <c r="M126" s="25" t="n">
        <f aca="false">IF(E126="COVERED",'Controls &amp; Sources'!$B$5,'Controls &amp; Sources'!$B$6)</f>
        <v>10.4</v>
      </c>
      <c r="N126" s="25" t="n">
        <f aca="false">L126*M126</f>
        <v>332.8</v>
      </c>
      <c r="O126" s="22" t="n">
        <f aca="false">COUNTIFS('Billing Actual'!$E$2:$E$770,A126,'Billing Actual'!$B$2:$B$770,'Controls &amp; Sources'!$B$7)</f>
        <v>1</v>
      </c>
      <c r="P126" s="25" t="n">
        <f aca="false">SUMIFS('Billing Actual'!$M$2:$M$770,'Billing Actual'!$E$2:$E$770,A126,'Billing Actual'!$B$2:$B$770,'Controls &amp; Sources'!$B$7)</f>
        <v>332.8</v>
      </c>
      <c r="Q126" s="25" t="n">
        <f aca="false">P126-N126</f>
        <v>0</v>
      </c>
      <c r="R126" s="22" t="str">
        <f aca="false">IF(O126=0,"No August moorage transaction",IF(O126&gt;1,"Duplicate August transactions",IF(ABS(Q126)&gt;0.005,"Charge variance","OK")))</f>
        <v>OK</v>
      </c>
      <c r="S126" s="22" t="str">
        <f aca="false">IF(R126="OK","","Billing completeness/reconciliation")</f>
        <v/>
      </c>
    </row>
    <row r="127" customFormat="false" ht="15" hidden="false" customHeight="false" outlineLevel="0" collapsed="false">
      <c r="A127" s="22" t="s">
        <v>6965</v>
      </c>
      <c r="B127" s="22" t="s">
        <v>198</v>
      </c>
      <c r="C127" s="22" t="s">
        <v>6562</v>
      </c>
      <c r="D127" s="22" t="n">
        <v>24</v>
      </c>
      <c r="E127" s="22" t="s">
        <v>6575</v>
      </c>
      <c r="F127" s="22" t="s">
        <v>6577</v>
      </c>
      <c r="G127" s="22" t="s">
        <v>5633</v>
      </c>
      <c r="H127" s="22" t="s">
        <v>5634</v>
      </c>
      <c r="I127" s="22" t="s">
        <v>1824</v>
      </c>
      <c r="J127" s="22" t="n">
        <v>52.8</v>
      </c>
      <c r="K127" s="22" t="n">
        <f aca="false">ROUNDUP(J127,0)</f>
        <v>53</v>
      </c>
      <c r="L127" s="22" t="n">
        <f aca="false">MAX(D127,K127)</f>
        <v>53</v>
      </c>
      <c r="M127" s="25" t="n">
        <f aca="false">IF(E127="COVERED",'Controls &amp; Sources'!$B$5,'Controls &amp; Sources'!$B$6)</f>
        <v>10.4</v>
      </c>
      <c r="N127" s="25" t="n">
        <f aca="false">L127*M127</f>
        <v>551.2</v>
      </c>
      <c r="O127" s="22" t="n">
        <f aca="false">COUNTIFS('Billing Actual'!$E$2:$E$770,A127,'Billing Actual'!$B$2:$B$770,'Controls &amp; Sources'!$B$7)</f>
        <v>1</v>
      </c>
      <c r="P127" s="25" t="n">
        <f aca="false">SUMIFS('Billing Actual'!$M$2:$M$770,'Billing Actual'!$E$2:$E$770,A127,'Billing Actual'!$B$2:$B$770,'Controls &amp; Sources'!$B$7)</f>
        <v>551.2</v>
      </c>
      <c r="Q127" s="25" t="n">
        <f aca="false">P127-N127</f>
        <v>0</v>
      </c>
      <c r="R127" s="22" t="str">
        <f aca="false">IF(O127=0,"No August moorage transaction",IF(O127&gt;1,"Duplicate August transactions",IF(ABS(Q127)&gt;0.005,"Charge variance","OK")))</f>
        <v>OK</v>
      </c>
      <c r="S127" s="22" t="str">
        <f aca="false">IF(R127="OK","","Billing completeness/reconciliation")</f>
        <v/>
      </c>
    </row>
    <row r="128" customFormat="false" ht="15" hidden="false" customHeight="false" outlineLevel="0" collapsed="false">
      <c r="A128" s="22" t="s">
        <v>6968</v>
      </c>
      <c r="B128" s="22" t="s">
        <v>198</v>
      </c>
      <c r="C128" s="22" t="s">
        <v>6562</v>
      </c>
      <c r="D128" s="22" t="n">
        <v>28</v>
      </c>
      <c r="E128" s="22" t="s">
        <v>6575</v>
      </c>
      <c r="F128" s="22" t="s">
        <v>6577</v>
      </c>
      <c r="G128" s="22" t="s">
        <v>475</v>
      </c>
      <c r="H128" s="22" t="s">
        <v>476</v>
      </c>
      <c r="I128" s="22" t="s">
        <v>477</v>
      </c>
      <c r="J128" s="22" t="n">
        <v>18.7</v>
      </c>
      <c r="K128" s="22" t="n">
        <f aca="false">ROUNDUP(J128,0)</f>
        <v>19</v>
      </c>
      <c r="L128" s="22" t="n">
        <f aca="false">MAX(D128,K128)</f>
        <v>28</v>
      </c>
      <c r="M128" s="25" t="n">
        <f aca="false">IF(E128="COVERED",'Controls &amp; Sources'!$B$5,'Controls &amp; Sources'!$B$6)</f>
        <v>10.4</v>
      </c>
      <c r="N128" s="25" t="n">
        <f aca="false">L128*M128</f>
        <v>291.2</v>
      </c>
      <c r="O128" s="22" t="n">
        <f aca="false">COUNTIFS('Billing Actual'!$E$2:$E$770,A128,'Billing Actual'!$B$2:$B$770,'Controls &amp; Sources'!$B$7)</f>
        <v>1</v>
      </c>
      <c r="P128" s="25" t="n">
        <f aca="false">SUMIFS('Billing Actual'!$M$2:$M$770,'Billing Actual'!$E$2:$E$770,A128,'Billing Actual'!$B$2:$B$770,'Controls &amp; Sources'!$B$7)</f>
        <v>291.2</v>
      </c>
      <c r="Q128" s="25" t="n">
        <f aca="false">P128-N128</f>
        <v>0</v>
      </c>
      <c r="R128" s="22" t="str">
        <f aca="false">IF(O128=0,"No August moorage transaction",IF(O128&gt;1,"Duplicate August transactions",IF(ABS(Q128)&gt;0.005,"Charge variance","OK")))</f>
        <v>OK</v>
      </c>
      <c r="S128" s="22" t="str">
        <f aca="false">IF(R128="OK","","Billing completeness/reconciliation")</f>
        <v/>
      </c>
    </row>
    <row r="129" customFormat="false" ht="15" hidden="false" customHeight="false" outlineLevel="0" collapsed="false">
      <c r="A129" s="22" t="s">
        <v>6971</v>
      </c>
      <c r="B129" s="22" t="s">
        <v>198</v>
      </c>
      <c r="C129" s="22" t="s">
        <v>6562</v>
      </c>
      <c r="D129" s="22" t="n">
        <v>36</v>
      </c>
      <c r="E129" s="22" t="s">
        <v>6575</v>
      </c>
      <c r="F129" s="22" t="s">
        <v>6577</v>
      </c>
      <c r="G129" s="22" t="s">
        <v>6372</v>
      </c>
      <c r="H129" s="22" t="s">
        <v>6373</v>
      </c>
      <c r="I129" s="22" t="s">
        <v>312</v>
      </c>
      <c r="J129" s="22" t="n">
        <v>37.5</v>
      </c>
      <c r="K129" s="22" t="n">
        <f aca="false">ROUNDUP(J129,0)</f>
        <v>38</v>
      </c>
      <c r="L129" s="22" t="n">
        <f aca="false">MAX(D129,K129)</f>
        <v>38</v>
      </c>
      <c r="M129" s="25" t="n">
        <f aca="false">IF(E129="COVERED",'Controls &amp; Sources'!$B$5,'Controls &amp; Sources'!$B$6)</f>
        <v>10.4</v>
      </c>
      <c r="N129" s="25" t="n">
        <f aca="false">L129*M129</f>
        <v>395.2</v>
      </c>
      <c r="O129" s="22" t="n">
        <f aca="false">COUNTIFS('Billing Actual'!$E$2:$E$770,A129,'Billing Actual'!$B$2:$B$770,'Controls &amp; Sources'!$B$7)</f>
        <v>1</v>
      </c>
      <c r="P129" s="25" t="n">
        <f aca="false">SUMIFS('Billing Actual'!$M$2:$M$770,'Billing Actual'!$E$2:$E$770,A129,'Billing Actual'!$B$2:$B$770,'Controls &amp; Sources'!$B$7)</f>
        <v>395.2</v>
      </c>
      <c r="Q129" s="25" t="n">
        <f aca="false">P129-N129</f>
        <v>0</v>
      </c>
      <c r="R129" s="22" t="str">
        <f aca="false">IF(O129=0,"No August moorage transaction",IF(O129&gt;1,"Duplicate August transactions",IF(ABS(Q129)&gt;0.005,"Charge variance","OK")))</f>
        <v>OK</v>
      </c>
      <c r="S129" s="22" t="str">
        <f aca="false">IF(R129="OK","","Billing completeness/reconciliation")</f>
        <v/>
      </c>
    </row>
    <row r="130" customFormat="false" ht="15" hidden="false" customHeight="false" outlineLevel="0" collapsed="false">
      <c r="A130" s="22" t="s">
        <v>6974</v>
      </c>
      <c r="B130" s="22" t="s">
        <v>198</v>
      </c>
      <c r="C130" s="22" t="s">
        <v>6562</v>
      </c>
      <c r="D130" s="22" t="n">
        <v>24</v>
      </c>
      <c r="E130" s="22" t="s">
        <v>6575</v>
      </c>
      <c r="F130" s="22" t="s">
        <v>6577</v>
      </c>
      <c r="G130" s="22" t="s">
        <v>6441</v>
      </c>
      <c r="H130" s="22" t="s">
        <v>6442</v>
      </c>
      <c r="I130" s="22" t="s">
        <v>687</v>
      </c>
      <c r="J130" s="22" t="n">
        <v>51.4</v>
      </c>
      <c r="K130" s="22" t="n">
        <f aca="false">ROUNDUP(J130,0)</f>
        <v>52</v>
      </c>
      <c r="L130" s="22" t="n">
        <f aca="false">MAX(D130,K130)</f>
        <v>52</v>
      </c>
      <c r="M130" s="25" t="n">
        <f aca="false">IF(E130="COVERED",'Controls &amp; Sources'!$B$5,'Controls &amp; Sources'!$B$6)</f>
        <v>10.4</v>
      </c>
      <c r="N130" s="25" t="n">
        <f aca="false">L130*M130</f>
        <v>540.8</v>
      </c>
      <c r="O130" s="22" t="n">
        <f aca="false">COUNTIFS('Billing Actual'!$E$2:$E$770,A130,'Billing Actual'!$B$2:$B$770,'Controls &amp; Sources'!$B$7)</f>
        <v>1</v>
      </c>
      <c r="P130" s="25" t="n">
        <f aca="false">SUMIFS('Billing Actual'!$M$2:$M$770,'Billing Actual'!$E$2:$E$770,A130,'Billing Actual'!$B$2:$B$770,'Controls &amp; Sources'!$B$7)</f>
        <v>540.8</v>
      </c>
      <c r="Q130" s="25" t="n">
        <f aca="false">P130-N130</f>
        <v>0</v>
      </c>
      <c r="R130" s="22" t="str">
        <f aca="false">IF(O130=0,"No August moorage transaction",IF(O130&gt;1,"Duplicate August transactions",IF(ABS(Q130)&gt;0.005,"Charge variance","OK")))</f>
        <v>OK</v>
      </c>
      <c r="S130" s="22" t="str">
        <f aca="false">IF(R130="OK","","Billing completeness/reconciliation")</f>
        <v/>
      </c>
    </row>
    <row r="131" customFormat="false" ht="15" hidden="false" customHeight="false" outlineLevel="0" collapsed="false">
      <c r="A131" s="22" t="s">
        <v>6977</v>
      </c>
      <c r="B131" s="22" t="s">
        <v>198</v>
      </c>
      <c r="C131" s="22" t="s">
        <v>6562</v>
      </c>
      <c r="D131" s="22" t="n">
        <v>28</v>
      </c>
      <c r="E131" s="22" t="s">
        <v>6575</v>
      </c>
      <c r="F131" s="22" t="s">
        <v>6577</v>
      </c>
      <c r="G131" s="22" t="s">
        <v>2802</v>
      </c>
      <c r="H131" s="22" t="s">
        <v>2803</v>
      </c>
      <c r="I131" s="22" t="s">
        <v>1484</v>
      </c>
      <c r="J131" s="22" t="n">
        <v>35.6</v>
      </c>
      <c r="K131" s="22" t="n">
        <f aca="false">ROUNDUP(J131,0)</f>
        <v>36</v>
      </c>
      <c r="L131" s="22" t="n">
        <f aca="false">MAX(D131,K131)</f>
        <v>36</v>
      </c>
      <c r="M131" s="25" t="n">
        <f aca="false">IF(E131="COVERED",'Controls &amp; Sources'!$B$5,'Controls &amp; Sources'!$B$6)</f>
        <v>10.4</v>
      </c>
      <c r="N131" s="25" t="n">
        <f aca="false">L131*M131</f>
        <v>374.4</v>
      </c>
      <c r="O131" s="22" t="n">
        <f aca="false">COUNTIFS('Billing Actual'!$E$2:$E$770,A131,'Billing Actual'!$B$2:$B$770,'Controls &amp; Sources'!$B$7)</f>
        <v>1</v>
      </c>
      <c r="P131" s="25" t="n">
        <f aca="false">SUMIFS('Billing Actual'!$M$2:$M$770,'Billing Actual'!$E$2:$E$770,A131,'Billing Actual'!$B$2:$B$770,'Controls &amp; Sources'!$B$7)</f>
        <v>374.4</v>
      </c>
      <c r="Q131" s="25" t="n">
        <f aca="false">P131-N131</f>
        <v>0</v>
      </c>
      <c r="R131" s="22" t="str">
        <f aca="false">IF(O131=0,"No August moorage transaction",IF(O131&gt;1,"Duplicate August transactions",IF(ABS(Q131)&gt;0.005,"Charge variance","OK")))</f>
        <v>OK</v>
      </c>
      <c r="S131" s="22" t="str">
        <f aca="false">IF(R131="OK","","Billing completeness/reconciliation")</f>
        <v/>
      </c>
    </row>
    <row r="132" customFormat="false" ht="15" hidden="false" customHeight="false" outlineLevel="0" collapsed="false">
      <c r="A132" s="22" t="s">
        <v>6980</v>
      </c>
      <c r="B132" s="22" t="s">
        <v>198</v>
      </c>
      <c r="C132" s="22" t="s">
        <v>6562</v>
      </c>
      <c r="D132" s="22" t="n">
        <v>32</v>
      </c>
      <c r="E132" s="22" t="s">
        <v>6575</v>
      </c>
      <c r="F132" s="22" t="s">
        <v>6577</v>
      </c>
      <c r="G132" s="22" t="s">
        <v>2553</v>
      </c>
      <c r="H132" s="22" t="s">
        <v>2554</v>
      </c>
      <c r="I132" s="22" t="s">
        <v>2555</v>
      </c>
      <c r="J132" s="22" t="n">
        <v>30.1</v>
      </c>
      <c r="K132" s="22" t="n">
        <f aca="false">ROUNDUP(J132,0)</f>
        <v>31</v>
      </c>
      <c r="L132" s="22" t="n">
        <f aca="false">MAX(D132,K132)</f>
        <v>32</v>
      </c>
      <c r="M132" s="25" t="n">
        <f aca="false">IF(E132="COVERED",'Controls &amp; Sources'!$B$5,'Controls &amp; Sources'!$B$6)</f>
        <v>10.4</v>
      </c>
      <c r="N132" s="25" t="n">
        <f aca="false">L132*M132</f>
        <v>332.8</v>
      </c>
      <c r="O132" s="22" t="n">
        <f aca="false">COUNTIFS('Billing Actual'!$E$2:$E$770,A132,'Billing Actual'!$B$2:$B$770,'Controls &amp; Sources'!$B$7)</f>
        <v>1</v>
      </c>
      <c r="P132" s="25" t="n">
        <f aca="false">SUMIFS('Billing Actual'!$M$2:$M$770,'Billing Actual'!$E$2:$E$770,A132,'Billing Actual'!$B$2:$B$770,'Controls &amp; Sources'!$B$7)</f>
        <v>332.8</v>
      </c>
      <c r="Q132" s="25" t="n">
        <f aca="false">P132-N132</f>
        <v>0</v>
      </c>
      <c r="R132" s="22" t="str">
        <f aca="false">IF(O132=0,"No August moorage transaction",IF(O132&gt;1,"Duplicate August transactions",IF(ABS(Q132)&gt;0.005,"Charge variance","OK")))</f>
        <v>OK</v>
      </c>
      <c r="S132" s="22" t="str">
        <f aca="false">IF(R132="OK","","Billing completeness/reconciliation")</f>
        <v/>
      </c>
    </row>
    <row r="133" customFormat="false" ht="15" hidden="false" customHeight="false" outlineLevel="0" collapsed="false">
      <c r="A133" s="22" t="s">
        <v>6985</v>
      </c>
      <c r="B133" s="22" t="s">
        <v>198</v>
      </c>
      <c r="C133" s="22" t="s">
        <v>6562</v>
      </c>
      <c r="D133" s="22" t="n">
        <v>32</v>
      </c>
      <c r="E133" s="22" t="s">
        <v>6575</v>
      </c>
      <c r="F133" s="22" t="s">
        <v>6577</v>
      </c>
      <c r="G133" s="22" t="s">
        <v>3524</v>
      </c>
      <c r="H133" s="22" t="s">
        <v>3525</v>
      </c>
      <c r="I133" s="22" t="s">
        <v>2420</v>
      </c>
      <c r="J133" s="22" t="n">
        <v>40.5</v>
      </c>
      <c r="K133" s="22" t="n">
        <f aca="false">ROUNDUP(J133,0)</f>
        <v>41</v>
      </c>
      <c r="L133" s="22" t="n">
        <f aca="false">MAX(D133,K133)</f>
        <v>41</v>
      </c>
      <c r="M133" s="25" t="n">
        <f aca="false">IF(E133="COVERED",'Controls &amp; Sources'!$B$5,'Controls &amp; Sources'!$B$6)</f>
        <v>10.4</v>
      </c>
      <c r="N133" s="25" t="n">
        <f aca="false">L133*M133</f>
        <v>426.4</v>
      </c>
      <c r="O133" s="22" t="n">
        <f aca="false">COUNTIFS('Billing Actual'!$E$2:$E$770,A133,'Billing Actual'!$B$2:$B$770,'Controls &amp; Sources'!$B$7)</f>
        <v>1</v>
      </c>
      <c r="P133" s="25" t="n">
        <f aca="false">SUMIFS('Billing Actual'!$M$2:$M$770,'Billing Actual'!$E$2:$E$770,A133,'Billing Actual'!$B$2:$B$770,'Controls &amp; Sources'!$B$7)</f>
        <v>426.4</v>
      </c>
      <c r="Q133" s="25" t="n">
        <f aca="false">P133-N133</f>
        <v>0</v>
      </c>
      <c r="R133" s="22" t="str">
        <f aca="false">IF(O133=0,"No August moorage transaction",IF(O133&gt;1,"Duplicate August transactions",IF(ABS(Q133)&gt;0.005,"Charge variance","OK")))</f>
        <v>OK</v>
      </c>
      <c r="S133" s="22" t="str">
        <f aca="false">IF(R133="OK","","Billing completeness/reconciliation")</f>
        <v/>
      </c>
    </row>
    <row r="134" customFormat="false" ht="15" hidden="false" customHeight="false" outlineLevel="0" collapsed="false">
      <c r="A134" s="22" t="s">
        <v>6988</v>
      </c>
      <c r="B134" s="22" t="s">
        <v>198</v>
      </c>
      <c r="C134" s="22" t="s">
        <v>6562</v>
      </c>
      <c r="D134" s="22" t="n">
        <v>40</v>
      </c>
      <c r="E134" s="22" t="s">
        <v>6575</v>
      </c>
      <c r="F134" s="22" t="s">
        <v>6577</v>
      </c>
      <c r="G134" s="22" t="s">
        <v>3068</v>
      </c>
      <c r="H134" s="22" t="s">
        <v>3069</v>
      </c>
      <c r="I134" s="22" t="s">
        <v>508</v>
      </c>
      <c r="J134" s="22" t="n">
        <v>22</v>
      </c>
      <c r="K134" s="22" t="n">
        <f aca="false">ROUNDUP(J134,0)</f>
        <v>22</v>
      </c>
      <c r="L134" s="22" t="n">
        <f aca="false">MAX(D134,K134)</f>
        <v>40</v>
      </c>
      <c r="M134" s="25" t="n">
        <f aca="false">IF(E134="COVERED",'Controls &amp; Sources'!$B$5,'Controls &amp; Sources'!$B$6)</f>
        <v>10.4</v>
      </c>
      <c r="N134" s="25" t="n">
        <f aca="false">L134*M134</f>
        <v>416</v>
      </c>
      <c r="O134" s="22" t="n">
        <f aca="false">COUNTIFS('Billing Actual'!$E$2:$E$770,A134,'Billing Actual'!$B$2:$B$770,'Controls &amp; Sources'!$B$7)</f>
        <v>1</v>
      </c>
      <c r="P134" s="25" t="n">
        <f aca="false">SUMIFS('Billing Actual'!$M$2:$M$770,'Billing Actual'!$E$2:$E$770,A134,'Billing Actual'!$B$2:$B$770,'Controls &amp; Sources'!$B$7)</f>
        <v>416</v>
      </c>
      <c r="Q134" s="25" t="n">
        <f aca="false">P134-N134</f>
        <v>0</v>
      </c>
      <c r="R134" s="22" t="str">
        <f aca="false">IF(O134=0,"No August moorage transaction",IF(O134&gt;1,"Duplicate August transactions",IF(ABS(Q134)&gt;0.005,"Charge variance","OK")))</f>
        <v>OK</v>
      </c>
      <c r="S134" s="22" t="str">
        <f aca="false">IF(R134="OK","","Billing completeness/reconciliation")</f>
        <v/>
      </c>
    </row>
    <row r="135" customFormat="false" ht="15" hidden="false" customHeight="false" outlineLevel="0" collapsed="false">
      <c r="A135" s="22" t="s">
        <v>6991</v>
      </c>
      <c r="B135" s="22" t="s">
        <v>198</v>
      </c>
      <c r="C135" s="22" t="s">
        <v>6562</v>
      </c>
      <c r="D135" s="22" t="n">
        <v>32</v>
      </c>
      <c r="E135" s="22" t="s">
        <v>6575</v>
      </c>
      <c r="F135" s="22" t="s">
        <v>6577</v>
      </c>
      <c r="G135" s="22" t="s">
        <v>5952</v>
      </c>
      <c r="H135" s="22" t="s">
        <v>5953</v>
      </c>
      <c r="I135" s="22" t="s">
        <v>5954</v>
      </c>
      <c r="J135" s="22" t="n">
        <v>39.4</v>
      </c>
      <c r="K135" s="22" t="n">
        <f aca="false">ROUNDUP(J135,0)</f>
        <v>40</v>
      </c>
      <c r="L135" s="22" t="n">
        <f aca="false">MAX(D135,K135)</f>
        <v>40</v>
      </c>
      <c r="M135" s="25" t="n">
        <f aca="false">IF(E135="COVERED",'Controls &amp; Sources'!$B$5,'Controls &amp; Sources'!$B$6)</f>
        <v>10.4</v>
      </c>
      <c r="N135" s="25" t="n">
        <f aca="false">L135*M135</f>
        <v>416</v>
      </c>
      <c r="O135" s="22" t="n">
        <f aca="false">COUNTIFS('Billing Actual'!$E$2:$E$770,A135,'Billing Actual'!$B$2:$B$770,'Controls &amp; Sources'!$B$7)</f>
        <v>1</v>
      </c>
      <c r="P135" s="25" t="n">
        <f aca="false">SUMIFS('Billing Actual'!$M$2:$M$770,'Billing Actual'!$E$2:$E$770,A135,'Billing Actual'!$B$2:$B$770,'Controls &amp; Sources'!$B$7)</f>
        <v>416</v>
      </c>
      <c r="Q135" s="25" t="n">
        <f aca="false">P135-N135</f>
        <v>0</v>
      </c>
      <c r="R135" s="22" t="str">
        <f aca="false">IF(O135=0,"No August moorage transaction",IF(O135&gt;1,"Duplicate August transactions",IF(ABS(Q135)&gt;0.005,"Charge variance","OK")))</f>
        <v>OK</v>
      </c>
      <c r="S135" s="22" t="str">
        <f aca="false">IF(R135="OK","","Billing completeness/reconciliation")</f>
        <v/>
      </c>
    </row>
    <row r="136" customFormat="false" ht="15" hidden="false" customHeight="false" outlineLevel="0" collapsed="false">
      <c r="A136" s="22" t="s">
        <v>6994</v>
      </c>
      <c r="B136" s="22" t="s">
        <v>198</v>
      </c>
      <c r="C136" s="22" t="s">
        <v>6562</v>
      </c>
      <c r="D136" s="22" t="n">
        <v>32</v>
      </c>
      <c r="E136" s="22" t="s">
        <v>6575</v>
      </c>
      <c r="F136" s="22" t="s">
        <v>6577</v>
      </c>
      <c r="G136" s="22" t="s">
        <v>4926</v>
      </c>
      <c r="H136" s="22" t="s">
        <v>4927</v>
      </c>
      <c r="I136" s="22" t="s">
        <v>2910</v>
      </c>
      <c r="J136" s="22" t="n">
        <v>53.9</v>
      </c>
      <c r="K136" s="22" t="n">
        <f aca="false">ROUNDUP(J136,0)</f>
        <v>54</v>
      </c>
      <c r="L136" s="22" t="n">
        <f aca="false">MAX(D136,K136)</f>
        <v>54</v>
      </c>
      <c r="M136" s="25" t="n">
        <f aca="false">IF(E136="COVERED",'Controls &amp; Sources'!$B$5,'Controls &amp; Sources'!$B$6)</f>
        <v>10.4</v>
      </c>
      <c r="N136" s="25" t="n">
        <f aca="false">L136*M136</f>
        <v>561.6</v>
      </c>
      <c r="O136" s="22" t="n">
        <f aca="false">COUNTIFS('Billing Actual'!$E$2:$E$770,A136,'Billing Actual'!$B$2:$B$770,'Controls &amp; Sources'!$B$7)</f>
        <v>1</v>
      </c>
      <c r="P136" s="25" t="n">
        <f aca="false">SUMIFS('Billing Actual'!$M$2:$M$770,'Billing Actual'!$E$2:$E$770,A136,'Billing Actual'!$B$2:$B$770,'Controls &amp; Sources'!$B$7)</f>
        <v>561.6</v>
      </c>
      <c r="Q136" s="25" t="n">
        <f aca="false">P136-N136</f>
        <v>0</v>
      </c>
      <c r="R136" s="22" t="str">
        <f aca="false">IF(O136=0,"No August moorage transaction",IF(O136&gt;1,"Duplicate August transactions",IF(ABS(Q136)&gt;0.005,"Charge variance","OK")))</f>
        <v>OK</v>
      </c>
      <c r="S136" s="22" t="str">
        <f aca="false">IF(R136="OK","","Billing completeness/reconciliation")</f>
        <v/>
      </c>
    </row>
    <row r="137" customFormat="false" ht="15" hidden="false" customHeight="false" outlineLevel="0" collapsed="false">
      <c r="A137" s="22" t="s">
        <v>6996</v>
      </c>
      <c r="B137" s="22" t="s">
        <v>198</v>
      </c>
      <c r="C137" s="22" t="s">
        <v>6562</v>
      </c>
      <c r="D137" s="22" t="n">
        <v>40</v>
      </c>
      <c r="E137" s="22" t="s">
        <v>6575</v>
      </c>
      <c r="F137" s="22" t="s">
        <v>6577</v>
      </c>
      <c r="G137" s="22" t="s">
        <v>4631</v>
      </c>
      <c r="H137" s="22" t="s">
        <v>4632</v>
      </c>
      <c r="I137" s="22" t="s">
        <v>480</v>
      </c>
      <c r="J137" s="22" t="n">
        <v>49.8</v>
      </c>
      <c r="K137" s="22" t="n">
        <f aca="false">ROUNDUP(J137,0)</f>
        <v>50</v>
      </c>
      <c r="L137" s="22" t="n">
        <f aca="false">MAX(D137,K137)</f>
        <v>50</v>
      </c>
      <c r="M137" s="25" t="n">
        <f aca="false">IF(E137="COVERED",'Controls &amp; Sources'!$B$5,'Controls &amp; Sources'!$B$6)</f>
        <v>10.4</v>
      </c>
      <c r="N137" s="25" t="n">
        <f aca="false">L137*M137</f>
        <v>520</v>
      </c>
      <c r="O137" s="22" t="n">
        <f aca="false">COUNTIFS('Billing Actual'!$E$2:$E$770,A137,'Billing Actual'!$B$2:$B$770,'Controls &amp; Sources'!$B$7)</f>
        <v>1</v>
      </c>
      <c r="P137" s="25" t="n">
        <f aca="false">SUMIFS('Billing Actual'!$M$2:$M$770,'Billing Actual'!$E$2:$E$770,A137,'Billing Actual'!$B$2:$B$770,'Controls &amp; Sources'!$B$7)</f>
        <v>520</v>
      </c>
      <c r="Q137" s="25" t="n">
        <f aca="false">P137-N137</f>
        <v>0</v>
      </c>
      <c r="R137" s="22" t="str">
        <f aca="false">IF(O137=0,"No August moorage transaction",IF(O137&gt;1,"Duplicate August transactions",IF(ABS(Q137)&gt;0.005,"Charge variance","OK")))</f>
        <v>OK</v>
      </c>
      <c r="S137" s="22" t="str">
        <f aca="false">IF(R137="OK","","Billing completeness/reconciliation")</f>
        <v/>
      </c>
    </row>
    <row r="138" customFormat="false" ht="15" hidden="false" customHeight="false" outlineLevel="0" collapsed="false">
      <c r="A138" s="22" t="s">
        <v>6999</v>
      </c>
      <c r="B138" s="22" t="s">
        <v>198</v>
      </c>
      <c r="C138" s="22" t="s">
        <v>6562</v>
      </c>
      <c r="D138" s="22" t="n">
        <v>24</v>
      </c>
      <c r="E138" s="22" t="s">
        <v>6575</v>
      </c>
      <c r="F138" s="22" t="s">
        <v>6577</v>
      </c>
      <c r="G138" s="22" t="s">
        <v>3388</v>
      </c>
      <c r="H138" s="22" t="s">
        <v>3389</v>
      </c>
      <c r="I138" s="22" t="s">
        <v>1463</v>
      </c>
      <c r="J138" s="22" t="n">
        <v>43.4</v>
      </c>
      <c r="K138" s="22" t="n">
        <f aca="false">ROUNDUP(J138,0)</f>
        <v>44</v>
      </c>
      <c r="L138" s="22" t="n">
        <f aca="false">MAX(D138,K138)</f>
        <v>44</v>
      </c>
      <c r="M138" s="25" t="n">
        <f aca="false">IF(E138="COVERED",'Controls &amp; Sources'!$B$5,'Controls &amp; Sources'!$B$6)</f>
        <v>10.4</v>
      </c>
      <c r="N138" s="25" t="n">
        <f aca="false">L138*M138</f>
        <v>457.6</v>
      </c>
      <c r="O138" s="22" t="n">
        <f aca="false">COUNTIFS('Billing Actual'!$E$2:$E$770,A138,'Billing Actual'!$B$2:$B$770,'Controls &amp; Sources'!$B$7)</f>
        <v>1</v>
      </c>
      <c r="P138" s="25" t="n">
        <f aca="false">SUMIFS('Billing Actual'!$M$2:$M$770,'Billing Actual'!$E$2:$E$770,A138,'Billing Actual'!$B$2:$B$770,'Controls &amp; Sources'!$B$7)</f>
        <v>457.6</v>
      </c>
      <c r="Q138" s="25" t="n">
        <f aca="false">P138-N138</f>
        <v>0</v>
      </c>
      <c r="R138" s="22" t="str">
        <f aca="false">IF(O138=0,"No August moorage transaction",IF(O138&gt;1,"Duplicate August transactions",IF(ABS(Q138)&gt;0.005,"Charge variance","OK")))</f>
        <v>OK</v>
      </c>
      <c r="S138" s="22" t="str">
        <f aca="false">IF(R138="OK","","Billing completeness/reconciliation")</f>
        <v/>
      </c>
    </row>
    <row r="139" customFormat="false" ht="15" hidden="false" customHeight="false" outlineLevel="0" collapsed="false">
      <c r="A139" s="22" t="s">
        <v>7003</v>
      </c>
      <c r="B139" s="22" t="s">
        <v>198</v>
      </c>
      <c r="C139" s="22" t="s">
        <v>6562</v>
      </c>
      <c r="D139" s="22" t="n">
        <v>32</v>
      </c>
      <c r="E139" s="22" t="s">
        <v>6575</v>
      </c>
      <c r="F139" s="22" t="s">
        <v>6577</v>
      </c>
      <c r="G139" s="22" t="s">
        <v>1999</v>
      </c>
      <c r="H139" s="22" t="s">
        <v>2000</v>
      </c>
      <c r="I139" s="22" t="s">
        <v>2001</v>
      </c>
      <c r="J139" s="22" t="n">
        <v>51.4</v>
      </c>
      <c r="K139" s="22" t="n">
        <f aca="false">ROUNDUP(J139,0)</f>
        <v>52</v>
      </c>
      <c r="L139" s="22" t="n">
        <f aca="false">MAX(D139,K139)</f>
        <v>52</v>
      </c>
      <c r="M139" s="25" t="n">
        <f aca="false">IF(E139="COVERED",'Controls &amp; Sources'!$B$5,'Controls &amp; Sources'!$B$6)</f>
        <v>10.4</v>
      </c>
      <c r="N139" s="25" t="n">
        <f aca="false">L139*M139</f>
        <v>540.8</v>
      </c>
      <c r="O139" s="22" t="n">
        <f aca="false">COUNTIFS('Billing Actual'!$E$2:$E$770,A139,'Billing Actual'!$B$2:$B$770,'Controls &amp; Sources'!$B$7)</f>
        <v>1</v>
      </c>
      <c r="P139" s="25" t="n">
        <f aca="false">SUMIFS('Billing Actual'!$M$2:$M$770,'Billing Actual'!$E$2:$E$770,A139,'Billing Actual'!$B$2:$B$770,'Controls &amp; Sources'!$B$7)</f>
        <v>540.8</v>
      </c>
      <c r="Q139" s="25" t="n">
        <f aca="false">P139-N139</f>
        <v>0</v>
      </c>
      <c r="R139" s="22" t="str">
        <f aca="false">IF(O139=0,"No August moorage transaction",IF(O139&gt;1,"Duplicate August transactions",IF(ABS(Q139)&gt;0.005,"Charge variance","OK")))</f>
        <v>OK</v>
      </c>
      <c r="S139" s="22" t="str">
        <f aca="false">IF(R139="OK","","Billing completeness/reconciliation")</f>
        <v/>
      </c>
    </row>
    <row r="140" customFormat="false" ht="15" hidden="false" customHeight="false" outlineLevel="0" collapsed="false">
      <c r="A140" s="22" t="s">
        <v>7006</v>
      </c>
      <c r="B140" s="22" t="s">
        <v>198</v>
      </c>
      <c r="C140" s="22" t="s">
        <v>6562</v>
      </c>
      <c r="D140" s="22" t="n">
        <v>40</v>
      </c>
      <c r="E140" s="22" t="s">
        <v>6575</v>
      </c>
      <c r="F140" s="22" t="s">
        <v>6577</v>
      </c>
      <c r="G140" s="22" t="s">
        <v>5774</v>
      </c>
      <c r="H140" s="22" t="s">
        <v>5775</v>
      </c>
      <c r="I140" s="22" t="s">
        <v>2896</v>
      </c>
      <c r="J140" s="22" t="n">
        <v>58.9</v>
      </c>
      <c r="K140" s="22" t="n">
        <f aca="false">ROUNDUP(J140,0)</f>
        <v>59</v>
      </c>
      <c r="L140" s="22" t="n">
        <f aca="false">MAX(D140,K140)</f>
        <v>59</v>
      </c>
      <c r="M140" s="25" t="n">
        <f aca="false">IF(E140="COVERED",'Controls &amp; Sources'!$B$5,'Controls &amp; Sources'!$B$6)</f>
        <v>10.4</v>
      </c>
      <c r="N140" s="25" t="n">
        <f aca="false">L140*M140</f>
        <v>613.6</v>
      </c>
      <c r="O140" s="22" t="n">
        <f aca="false">COUNTIFS('Billing Actual'!$E$2:$E$770,A140,'Billing Actual'!$B$2:$B$770,'Controls &amp; Sources'!$B$7)</f>
        <v>1</v>
      </c>
      <c r="P140" s="25" t="n">
        <f aca="false">SUMIFS('Billing Actual'!$M$2:$M$770,'Billing Actual'!$E$2:$E$770,A140,'Billing Actual'!$B$2:$B$770,'Controls &amp; Sources'!$B$7)</f>
        <v>613.6</v>
      </c>
      <c r="Q140" s="25" t="n">
        <f aca="false">P140-N140</f>
        <v>0</v>
      </c>
      <c r="R140" s="22" t="str">
        <f aca="false">IF(O140=0,"No August moorage transaction",IF(O140&gt;1,"Duplicate August transactions",IF(ABS(Q140)&gt;0.005,"Charge variance","OK")))</f>
        <v>OK</v>
      </c>
      <c r="S140" s="22" t="str">
        <f aca="false">IF(R140="OK","","Billing completeness/reconciliation")</f>
        <v/>
      </c>
    </row>
    <row r="141" customFormat="false" ht="15" hidden="false" customHeight="false" outlineLevel="0" collapsed="false">
      <c r="A141" s="22" t="s">
        <v>7008</v>
      </c>
      <c r="B141" s="22" t="s">
        <v>198</v>
      </c>
      <c r="C141" s="22" t="s">
        <v>6562</v>
      </c>
      <c r="D141" s="22" t="n">
        <v>28</v>
      </c>
      <c r="E141" s="22" t="s">
        <v>6575</v>
      </c>
      <c r="F141" s="22" t="s">
        <v>6577</v>
      </c>
      <c r="G141" s="22" t="s">
        <v>2843</v>
      </c>
      <c r="H141" s="22" t="s">
        <v>2844</v>
      </c>
      <c r="I141" s="22" t="s">
        <v>454</v>
      </c>
      <c r="J141" s="22" t="n">
        <v>52.4</v>
      </c>
      <c r="K141" s="22" t="n">
        <f aca="false">ROUNDUP(J141,0)</f>
        <v>53</v>
      </c>
      <c r="L141" s="22" t="n">
        <f aca="false">MAX(D141,K141)</f>
        <v>53</v>
      </c>
      <c r="M141" s="25" t="n">
        <f aca="false">IF(E141="COVERED",'Controls &amp; Sources'!$B$5,'Controls &amp; Sources'!$B$6)</f>
        <v>10.4</v>
      </c>
      <c r="N141" s="25" t="n">
        <f aca="false">L141*M141</f>
        <v>551.2</v>
      </c>
      <c r="O141" s="22" t="n">
        <f aca="false">COUNTIFS('Billing Actual'!$E$2:$E$770,A141,'Billing Actual'!$B$2:$B$770,'Controls &amp; Sources'!$B$7)</f>
        <v>1</v>
      </c>
      <c r="P141" s="25" t="n">
        <f aca="false">SUMIFS('Billing Actual'!$M$2:$M$770,'Billing Actual'!$E$2:$E$770,A141,'Billing Actual'!$B$2:$B$770,'Controls &amp; Sources'!$B$7)</f>
        <v>551.2</v>
      </c>
      <c r="Q141" s="25" t="n">
        <f aca="false">P141-N141</f>
        <v>0</v>
      </c>
      <c r="R141" s="22" t="str">
        <f aca="false">IF(O141=0,"No August moorage transaction",IF(O141&gt;1,"Duplicate August transactions",IF(ABS(Q141)&gt;0.005,"Charge variance","OK")))</f>
        <v>OK</v>
      </c>
      <c r="S141" s="22" t="str">
        <f aca="false">IF(R141="OK","","Billing completeness/reconciliation")</f>
        <v/>
      </c>
    </row>
    <row r="142" customFormat="false" ht="15" hidden="false" customHeight="false" outlineLevel="0" collapsed="false">
      <c r="A142" s="22" t="s">
        <v>7011</v>
      </c>
      <c r="B142" s="22" t="s">
        <v>198</v>
      </c>
      <c r="C142" s="22" t="s">
        <v>6562</v>
      </c>
      <c r="D142" s="22" t="n">
        <v>24</v>
      </c>
      <c r="E142" s="22" t="s">
        <v>6575</v>
      </c>
      <c r="F142" s="22" t="s">
        <v>6577</v>
      </c>
      <c r="G142" s="22" t="s">
        <v>3352</v>
      </c>
      <c r="H142" s="22" t="s">
        <v>3353</v>
      </c>
      <c r="I142" s="22" t="s">
        <v>1369</v>
      </c>
      <c r="J142" s="22" t="n">
        <v>43.6</v>
      </c>
      <c r="K142" s="22" t="n">
        <f aca="false">ROUNDUP(J142,0)</f>
        <v>44</v>
      </c>
      <c r="L142" s="22" t="n">
        <f aca="false">MAX(D142,K142)</f>
        <v>44</v>
      </c>
      <c r="M142" s="25" t="n">
        <f aca="false">IF(E142="COVERED",'Controls &amp; Sources'!$B$5,'Controls &amp; Sources'!$B$6)</f>
        <v>10.4</v>
      </c>
      <c r="N142" s="25" t="n">
        <f aca="false">L142*M142</f>
        <v>457.6</v>
      </c>
      <c r="O142" s="22" t="n">
        <f aca="false">COUNTIFS('Billing Actual'!$E$2:$E$770,A142,'Billing Actual'!$B$2:$B$770,'Controls &amp; Sources'!$B$7)</f>
        <v>1</v>
      </c>
      <c r="P142" s="25" t="n">
        <f aca="false">SUMIFS('Billing Actual'!$M$2:$M$770,'Billing Actual'!$E$2:$E$770,A142,'Billing Actual'!$B$2:$B$770,'Controls &amp; Sources'!$B$7)</f>
        <v>457.6</v>
      </c>
      <c r="Q142" s="25" t="n">
        <f aca="false">P142-N142</f>
        <v>0</v>
      </c>
      <c r="R142" s="22" t="str">
        <f aca="false">IF(O142=0,"No August moorage transaction",IF(O142&gt;1,"Duplicate August transactions",IF(ABS(Q142)&gt;0.005,"Charge variance","OK")))</f>
        <v>OK</v>
      </c>
      <c r="S142" s="22" t="str">
        <f aca="false">IF(R142="OK","","Billing completeness/reconciliation")</f>
        <v/>
      </c>
    </row>
    <row r="143" customFormat="false" ht="15" hidden="false" customHeight="false" outlineLevel="0" collapsed="false">
      <c r="A143" s="22" t="s">
        <v>7013</v>
      </c>
      <c r="B143" s="22" t="s">
        <v>198</v>
      </c>
      <c r="C143" s="22" t="s">
        <v>6562</v>
      </c>
      <c r="D143" s="22" t="n">
        <v>28</v>
      </c>
      <c r="E143" s="22" t="s">
        <v>6575</v>
      </c>
      <c r="F143" s="22" t="s">
        <v>6577</v>
      </c>
      <c r="G143" s="22" t="s">
        <v>2325</v>
      </c>
      <c r="H143" s="22" t="s">
        <v>2326</v>
      </c>
      <c r="I143" s="22" t="s">
        <v>784</v>
      </c>
      <c r="J143" s="22" t="n">
        <v>43.6</v>
      </c>
      <c r="K143" s="22" t="n">
        <f aca="false">ROUNDUP(J143,0)</f>
        <v>44</v>
      </c>
      <c r="L143" s="22" t="n">
        <f aca="false">MAX(D143,K143)</f>
        <v>44</v>
      </c>
      <c r="M143" s="25" t="n">
        <f aca="false">IF(E143="COVERED",'Controls &amp; Sources'!$B$5,'Controls &amp; Sources'!$B$6)</f>
        <v>10.4</v>
      </c>
      <c r="N143" s="25" t="n">
        <f aca="false">L143*M143</f>
        <v>457.6</v>
      </c>
      <c r="O143" s="22" t="n">
        <f aca="false">COUNTIFS('Billing Actual'!$E$2:$E$770,A143,'Billing Actual'!$B$2:$B$770,'Controls &amp; Sources'!$B$7)</f>
        <v>1</v>
      </c>
      <c r="P143" s="25" t="n">
        <f aca="false">SUMIFS('Billing Actual'!$M$2:$M$770,'Billing Actual'!$E$2:$E$770,A143,'Billing Actual'!$B$2:$B$770,'Controls &amp; Sources'!$B$7)</f>
        <v>457.6</v>
      </c>
      <c r="Q143" s="25" t="n">
        <f aca="false">P143-N143</f>
        <v>0</v>
      </c>
      <c r="R143" s="22" t="str">
        <f aca="false">IF(O143=0,"No August moorage transaction",IF(O143&gt;1,"Duplicate August transactions",IF(ABS(Q143)&gt;0.005,"Charge variance","OK")))</f>
        <v>OK</v>
      </c>
      <c r="S143" s="22" t="str">
        <f aca="false">IF(R143="OK","","Billing completeness/reconciliation")</f>
        <v/>
      </c>
    </row>
    <row r="144" customFormat="false" ht="15" hidden="false" customHeight="false" outlineLevel="0" collapsed="false">
      <c r="A144" s="22" t="s">
        <v>7016</v>
      </c>
      <c r="B144" s="22" t="s">
        <v>198</v>
      </c>
      <c r="C144" s="22" t="s">
        <v>6562</v>
      </c>
      <c r="D144" s="22" t="n">
        <v>28</v>
      </c>
      <c r="E144" s="22" t="s">
        <v>6575</v>
      </c>
      <c r="F144" s="22" t="s">
        <v>6577</v>
      </c>
      <c r="G144" s="22" t="s">
        <v>3800</v>
      </c>
      <c r="H144" s="22" t="s">
        <v>3801</v>
      </c>
      <c r="I144" s="22" t="s">
        <v>770</v>
      </c>
      <c r="J144" s="22" t="n">
        <v>45.6</v>
      </c>
      <c r="K144" s="22" t="n">
        <f aca="false">ROUNDUP(J144,0)</f>
        <v>46</v>
      </c>
      <c r="L144" s="22" t="n">
        <f aca="false">MAX(D144,K144)</f>
        <v>46</v>
      </c>
      <c r="M144" s="25" t="n">
        <f aca="false">IF(E144="COVERED",'Controls &amp; Sources'!$B$5,'Controls &amp; Sources'!$B$6)</f>
        <v>10.4</v>
      </c>
      <c r="N144" s="25" t="n">
        <f aca="false">L144*M144</f>
        <v>478.4</v>
      </c>
      <c r="O144" s="22" t="n">
        <f aca="false">COUNTIFS('Billing Actual'!$E$2:$E$770,A144,'Billing Actual'!$B$2:$B$770,'Controls &amp; Sources'!$B$7)</f>
        <v>1</v>
      </c>
      <c r="P144" s="25" t="n">
        <f aca="false">SUMIFS('Billing Actual'!$M$2:$M$770,'Billing Actual'!$E$2:$E$770,A144,'Billing Actual'!$B$2:$B$770,'Controls &amp; Sources'!$B$7)</f>
        <v>478.4</v>
      </c>
      <c r="Q144" s="25" t="n">
        <f aca="false">P144-N144</f>
        <v>0</v>
      </c>
      <c r="R144" s="22" t="str">
        <f aca="false">IF(O144=0,"No August moorage transaction",IF(O144&gt;1,"Duplicate August transactions",IF(ABS(Q144)&gt;0.005,"Charge variance","OK")))</f>
        <v>OK</v>
      </c>
      <c r="S144" s="22" t="str">
        <f aca="false">IF(R144="OK","","Billing completeness/reconciliation")</f>
        <v/>
      </c>
    </row>
    <row r="145" customFormat="false" ht="15" hidden="false" customHeight="false" outlineLevel="0" collapsed="false">
      <c r="A145" s="22" t="s">
        <v>7019</v>
      </c>
      <c r="B145" s="22" t="s">
        <v>198</v>
      </c>
      <c r="C145" s="22" t="s">
        <v>6562</v>
      </c>
      <c r="D145" s="22" t="n">
        <v>32</v>
      </c>
      <c r="E145" s="22" t="s">
        <v>6575</v>
      </c>
      <c r="F145" s="22" t="s">
        <v>6577</v>
      </c>
      <c r="G145" s="22" t="s">
        <v>6344</v>
      </c>
      <c r="H145" s="22" t="s">
        <v>6345</v>
      </c>
      <c r="I145" s="22" t="s">
        <v>1603</v>
      </c>
      <c r="J145" s="22" t="n">
        <v>43.3</v>
      </c>
      <c r="K145" s="22" t="n">
        <f aca="false">ROUNDUP(J145,0)</f>
        <v>44</v>
      </c>
      <c r="L145" s="22" t="n">
        <f aca="false">MAX(D145,K145)</f>
        <v>44</v>
      </c>
      <c r="M145" s="25" t="n">
        <f aca="false">IF(E145="COVERED",'Controls &amp; Sources'!$B$5,'Controls &amp; Sources'!$B$6)</f>
        <v>10.4</v>
      </c>
      <c r="N145" s="25" t="n">
        <f aca="false">L145*M145</f>
        <v>457.6</v>
      </c>
      <c r="O145" s="22" t="n">
        <f aca="false">COUNTIFS('Billing Actual'!$E$2:$E$770,A145,'Billing Actual'!$B$2:$B$770,'Controls &amp; Sources'!$B$7)</f>
        <v>1</v>
      </c>
      <c r="P145" s="25" t="n">
        <f aca="false">SUMIFS('Billing Actual'!$M$2:$M$770,'Billing Actual'!$E$2:$E$770,A145,'Billing Actual'!$B$2:$B$770,'Controls &amp; Sources'!$B$7)</f>
        <v>457.6</v>
      </c>
      <c r="Q145" s="25" t="n">
        <f aca="false">P145-N145</f>
        <v>0</v>
      </c>
      <c r="R145" s="22" t="str">
        <f aca="false">IF(O145=0,"No August moorage transaction",IF(O145&gt;1,"Duplicate August transactions",IF(ABS(Q145)&gt;0.005,"Charge variance","OK")))</f>
        <v>OK</v>
      </c>
      <c r="S145" s="22" t="str">
        <f aca="false">IF(R145="OK","","Billing completeness/reconciliation")</f>
        <v/>
      </c>
    </row>
    <row r="146" customFormat="false" ht="15" hidden="false" customHeight="false" outlineLevel="0" collapsed="false">
      <c r="A146" s="22" t="s">
        <v>7022</v>
      </c>
      <c r="B146" s="22" t="s">
        <v>198</v>
      </c>
      <c r="C146" s="22" t="s">
        <v>6562</v>
      </c>
      <c r="D146" s="22" t="n">
        <v>28</v>
      </c>
      <c r="E146" s="22" t="s">
        <v>6575</v>
      </c>
      <c r="F146" s="22" t="s">
        <v>6577</v>
      </c>
      <c r="G146" s="22" t="s">
        <v>4103</v>
      </c>
      <c r="H146" s="22" t="s">
        <v>4104</v>
      </c>
      <c r="I146" s="22" t="s">
        <v>2998</v>
      </c>
      <c r="J146" s="22" t="n">
        <v>45.7</v>
      </c>
      <c r="K146" s="22" t="n">
        <f aca="false">ROUNDUP(J146,0)</f>
        <v>46</v>
      </c>
      <c r="L146" s="22" t="n">
        <f aca="false">MAX(D146,K146)</f>
        <v>46</v>
      </c>
      <c r="M146" s="25" t="n">
        <f aca="false">IF(E146="COVERED",'Controls &amp; Sources'!$B$5,'Controls &amp; Sources'!$B$6)</f>
        <v>10.4</v>
      </c>
      <c r="N146" s="25" t="n">
        <f aca="false">L146*M146</f>
        <v>478.4</v>
      </c>
      <c r="O146" s="22" t="n">
        <f aca="false">COUNTIFS('Billing Actual'!$E$2:$E$770,A146,'Billing Actual'!$B$2:$B$770,'Controls &amp; Sources'!$B$7)</f>
        <v>1</v>
      </c>
      <c r="P146" s="25" t="n">
        <f aca="false">SUMIFS('Billing Actual'!$M$2:$M$770,'Billing Actual'!$E$2:$E$770,A146,'Billing Actual'!$B$2:$B$770,'Controls &amp; Sources'!$B$7)</f>
        <v>478.4</v>
      </c>
      <c r="Q146" s="25" t="n">
        <f aca="false">P146-N146</f>
        <v>0</v>
      </c>
      <c r="R146" s="22" t="str">
        <f aca="false">IF(O146=0,"No August moorage transaction",IF(O146&gt;1,"Duplicate August transactions",IF(ABS(Q146)&gt;0.005,"Charge variance","OK")))</f>
        <v>OK</v>
      </c>
      <c r="S146" s="22" t="str">
        <f aca="false">IF(R146="OK","","Billing completeness/reconciliation")</f>
        <v/>
      </c>
    </row>
    <row r="147" customFormat="false" ht="15" hidden="false" customHeight="false" outlineLevel="0" collapsed="false">
      <c r="A147" s="22" t="s">
        <v>7025</v>
      </c>
      <c r="B147" s="22" t="s">
        <v>198</v>
      </c>
      <c r="C147" s="22" t="s">
        <v>6562</v>
      </c>
      <c r="D147" s="22" t="n">
        <v>28</v>
      </c>
      <c r="E147" s="22" t="s">
        <v>6575</v>
      </c>
      <c r="F147" s="22" t="s">
        <v>6577</v>
      </c>
      <c r="G147" s="22" t="s">
        <v>6542</v>
      </c>
      <c r="H147" s="22" t="s">
        <v>6543</v>
      </c>
      <c r="I147" s="22" t="s">
        <v>2265</v>
      </c>
      <c r="J147" s="22" t="n">
        <v>33.7</v>
      </c>
      <c r="K147" s="22" t="n">
        <f aca="false">ROUNDUP(J147,0)</f>
        <v>34</v>
      </c>
      <c r="L147" s="22" t="n">
        <f aca="false">MAX(D147,K147)</f>
        <v>34</v>
      </c>
      <c r="M147" s="25" t="n">
        <f aca="false">IF(E147="COVERED",'Controls &amp; Sources'!$B$5,'Controls &amp; Sources'!$B$6)</f>
        <v>10.4</v>
      </c>
      <c r="N147" s="25" t="n">
        <f aca="false">L147*M147</f>
        <v>353.6</v>
      </c>
      <c r="O147" s="22" t="n">
        <f aca="false">COUNTIFS('Billing Actual'!$E$2:$E$770,A147,'Billing Actual'!$B$2:$B$770,'Controls &amp; Sources'!$B$7)</f>
        <v>1</v>
      </c>
      <c r="P147" s="25" t="n">
        <f aca="false">SUMIFS('Billing Actual'!$M$2:$M$770,'Billing Actual'!$E$2:$E$770,A147,'Billing Actual'!$B$2:$B$770,'Controls &amp; Sources'!$B$7)</f>
        <v>353.6</v>
      </c>
      <c r="Q147" s="25" t="n">
        <f aca="false">P147-N147</f>
        <v>0</v>
      </c>
      <c r="R147" s="22" t="str">
        <f aca="false">IF(O147=0,"No August moorage transaction",IF(O147&gt;1,"Duplicate August transactions",IF(ABS(Q147)&gt;0.005,"Charge variance","OK")))</f>
        <v>OK</v>
      </c>
      <c r="S147" s="22" t="str">
        <f aca="false">IF(R147="OK","","Billing completeness/reconciliation")</f>
        <v/>
      </c>
    </row>
    <row r="148" customFormat="false" ht="15" hidden="false" customHeight="false" outlineLevel="0" collapsed="false">
      <c r="A148" s="22" t="s">
        <v>7028</v>
      </c>
      <c r="B148" s="22" t="s">
        <v>198</v>
      </c>
      <c r="C148" s="22" t="s">
        <v>6562</v>
      </c>
      <c r="D148" s="22" t="n">
        <v>36</v>
      </c>
      <c r="E148" s="22" t="s">
        <v>6575</v>
      </c>
      <c r="F148" s="22" t="s">
        <v>6577</v>
      </c>
      <c r="G148" s="22" t="s">
        <v>2064</v>
      </c>
      <c r="H148" s="22" t="s">
        <v>2065</v>
      </c>
      <c r="I148" s="22" t="s">
        <v>428</v>
      </c>
      <c r="J148" s="22" t="n">
        <v>43.4</v>
      </c>
      <c r="K148" s="22" t="n">
        <f aca="false">ROUNDUP(J148,0)</f>
        <v>44</v>
      </c>
      <c r="L148" s="22" t="n">
        <f aca="false">MAX(D148,K148)</f>
        <v>44</v>
      </c>
      <c r="M148" s="25" t="n">
        <f aca="false">IF(E148="COVERED",'Controls &amp; Sources'!$B$5,'Controls &amp; Sources'!$B$6)</f>
        <v>10.4</v>
      </c>
      <c r="N148" s="25" t="n">
        <f aca="false">L148*M148</f>
        <v>457.6</v>
      </c>
      <c r="O148" s="22" t="n">
        <f aca="false">COUNTIFS('Billing Actual'!$E$2:$E$770,A148,'Billing Actual'!$B$2:$B$770,'Controls &amp; Sources'!$B$7)</f>
        <v>1</v>
      </c>
      <c r="P148" s="25" t="n">
        <f aca="false">SUMIFS('Billing Actual'!$M$2:$M$770,'Billing Actual'!$E$2:$E$770,A148,'Billing Actual'!$B$2:$B$770,'Controls &amp; Sources'!$B$7)</f>
        <v>457.6</v>
      </c>
      <c r="Q148" s="25" t="n">
        <f aca="false">P148-N148</f>
        <v>0</v>
      </c>
      <c r="R148" s="22" t="str">
        <f aca="false">IF(O148=0,"No August moorage transaction",IF(O148&gt;1,"Duplicate August transactions",IF(ABS(Q148)&gt;0.005,"Charge variance","OK")))</f>
        <v>OK</v>
      </c>
      <c r="S148" s="22" t="str">
        <f aca="false">IF(R148="OK","","Billing completeness/reconciliation")</f>
        <v/>
      </c>
    </row>
    <row r="149" customFormat="false" ht="15" hidden="false" customHeight="false" outlineLevel="0" collapsed="false">
      <c r="A149" s="22" t="s">
        <v>7030</v>
      </c>
      <c r="B149" s="22" t="s">
        <v>198</v>
      </c>
      <c r="C149" s="22" t="s">
        <v>6562</v>
      </c>
      <c r="D149" s="22" t="n">
        <v>36</v>
      </c>
      <c r="E149" s="22" t="s">
        <v>6575</v>
      </c>
      <c r="F149" s="22" t="s">
        <v>6577</v>
      </c>
      <c r="G149" s="22" t="s">
        <v>4599</v>
      </c>
      <c r="H149" s="22" t="s">
        <v>4600</v>
      </c>
      <c r="I149" s="22" t="s">
        <v>1369</v>
      </c>
      <c r="J149" s="22" t="n">
        <v>36.1</v>
      </c>
      <c r="K149" s="22" t="n">
        <f aca="false">ROUNDUP(J149,0)</f>
        <v>37</v>
      </c>
      <c r="L149" s="22" t="n">
        <f aca="false">MAX(D149,K149)</f>
        <v>37</v>
      </c>
      <c r="M149" s="25" t="n">
        <f aca="false">IF(E149="COVERED",'Controls &amp; Sources'!$B$5,'Controls &amp; Sources'!$B$6)</f>
        <v>10.4</v>
      </c>
      <c r="N149" s="25" t="n">
        <f aca="false">L149*M149</f>
        <v>384.8</v>
      </c>
      <c r="O149" s="22" t="n">
        <f aca="false">COUNTIFS('Billing Actual'!$E$2:$E$770,A149,'Billing Actual'!$B$2:$B$770,'Controls &amp; Sources'!$B$7)</f>
        <v>1</v>
      </c>
      <c r="P149" s="25" t="n">
        <f aca="false">SUMIFS('Billing Actual'!$M$2:$M$770,'Billing Actual'!$E$2:$E$770,A149,'Billing Actual'!$B$2:$B$770,'Controls &amp; Sources'!$B$7)</f>
        <v>384.8</v>
      </c>
      <c r="Q149" s="25" t="n">
        <f aca="false">P149-N149</f>
        <v>0</v>
      </c>
      <c r="R149" s="22" t="str">
        <f aca="false">IF(O149=0,"No August moorage transaction",IF(O149&gt;1,"Duplicate August transactions",IF(ABS(Q149)&gt;0.005,"Charge variance","OK")))</f>
        <v>OK</v>
      </c>
      <c r="S149" s="22" t="str">
        <f aca="false">IF(R149="OK","","Billing completeness/reconciliation")</f>
        <v/>
      </c>
    </row>
    <row r="150" customFormat="false" ht="15" hidden="false" customHeight="false" outlineLevel="0" collapsed="false">
      <c r="A150" s="22" t="s">
        <v>7032</v>
      </c>
      <c r="B150" s="22" t="s">
        <v>198</v>
      </c>
      <c r="C150" s="22" t="s">
        <v>6562</v>
      </c>
      <c r="D150" s="22" t="n">
        <v>40</v>
      </c>
      <c r="E150" s="22" t="s">
        <v>6575</v>
      </c>
      <c r="F150" s="22" t="s">
        <v>6577</v>
      </c>
      <c r="G150" s="22" t="s">
        <v>5615</v>
      </c>
      <c r="H150" s="22" t="s">
        <v>5616</v>
      </c>
      <c r="I150" s="22" t="s">
        <v>1896</v>
      </c>
      <c r="J150" s="22" t="n">
        <v>39.1</v>
      </c>
      <c r="K150" s="22" t="n">
        <f aca="false">ROUNDUP(J150,0)</f>
        <v>40</v>
      </c>
      <c r="L150" s="22" t="n">
        <f aca="false">MAX(D150,K150)</f>
        <v>40</v>
      </c>
      <c r="M150" s="25" t="n">
        <f aca="false">IF(E150="COVERED",'Controls &amp; Sources'!$B$5,'Controls &amp; Sources'!$B$6)</f>
        <v>10.4</v>
      </c>
      <c r="N150" s="25" t="n">
        <f aca="false">L150*M150</f>
        <v>416</v>
      </c>
      <c r="O150" s="22" t="n">
        <f aca="false">COUNTIFS('Billing Actual'!$E$2:$E$770,A150,'Billing Actual'!$B$2:$B$770,'Controls &amp; Sources'!$B$7)</f>
        <v>1</v>
      </c>
      <c r="P150" s="25" t="n">
        <f aca="false">SUMIFS('Billing Actual'!$M$2:$M$770,'Billing Actual'!$E$2:$E$770,A150,'Billing Actual'!$B$2:$B$770,'Controls &amp; Sources'!$B$7)</f>
        <v>416</v>
      </c>
      <c r="Q150" s="25" t="n">
        <f aca="false">P150-N150</f>
        <v>0</v>
      </c>
      <c r="R150" s="22" t="str">
        <f aca="false">IF(O150=0,"No August moorage transaction",IF(O150&gt;1,"Duplicate August transactions",IF(ABS(Q150)&gt;0.005,"Charge variance","OK")))</f>
        <v>OK</v>
      </c>
      <c r="S150" s="22" t="str">
        <f aca="false">IF(R150="OK","","Billing completeness/reconciliation")</f>
        <v/>
      </c>
    </row>
    <row r="151" customFormat="false" ht="15" hidden="false" customHeight="false" outlineLevel="0" collapsed="false">
      <c r="A151" s="22" t="s">
        <v>7035</v>
      </c>
      <c r="B151" s="22" t="s">
        <v>198</v>
      </c>
      <c r="C151" s="22" t="s">
        <v>6562</v>
      </c>
      <c r="D151" s="22" t="n">
        <v>24</v>
      </c>
      <c r="E151" s="22" t="s">
        <v>6575</v>
      </c>
      <c r="F151" s="22" t="s">
        <v>6577</v>
      </c>
      <c r="G151" s="22" t="s">
        <v>1347</v>
      </c>
      <c r="H151" s="22" t="s">
        <v>1348</v>
      </c>
      <c r="I151" s="22" t="s">
        <v>1143</v>
      </c>
      <c r="J151" s="22" t="n">
        <v>31.9</v>
      </c>
      <c r="K151" s="22" t="n">
        <f aca="false">ROUNDUP(J151,0)</f>
        <v>32</v>
      </c>
      <c r="L151" s="22" t="n">
        <f aca="false">MAX(D151,K151)</f>
        <v>32</v>
      </c>
      <c r="M151" s="25" t="n">
        <f aca="false">IF(E151="COVERED",'Controls &amp; Sources'!$B$5,'Controls &amp; Sources'!$B$6)</f>
        <v>10.4</v>
      </c>
      <c r="N151" s="25" t="n">
        <f aca="false">L151*M151</f>
        <v>332.8</v>
      </c>
      <c r="O151" s="22" t="n">
        <f aca="false">COUNTIFS('Billing Actual'!$E$2:$E$770,A151,'Billing Actual'!$B$2:$B$770,'Controls &amp; Sources'!$B$7)</f>
        <v>1</v>
      </c>
      <c r="P151" s="25" t="n">
        <f aca="false">SUMIFS('Billing Actual'!$M$2:$M$770,'Billing Actual'!$E$2:$E$770,A151,'Billing Actual'!$B$2:$B$770,'Controls &amp; Sources'!$B$7)</f>
        <v>332.8</v>
      </c>
      <c r="Q151" s="25" t="n">
        <f aca="false">P151-N151</f>
        <v>0</v>
      </c>
      <c r="R151" s="22" t="str">
        <f aca="false">IF(O151=0,"No August moorage transaction",IF(O151&gt;1,"Duplicate August transactions",IF(ABS(Q151)&gt;0.005,"Charge variance","OK")))</f>
        <v>OK</v>
      </c>
      <c r="S151" s="22" t="str">
        <f aca="false">IF(R151="OK","","Billing completeness/reconciliation")</f>
        <v/>
      </c>
    </row>
    <row r="152" customFormat="false" ht="15" hidden="false" customHeight="false" outlineLevel="0" collapsed="false">
      <c r="A152" s="22" t="s">
        <v>7037</v>
      </c>
      <c r="B152" s="22" t="s">
        <v>198</v>
      </c>
      <c r="C152" s="22" t="s">
        <v>6562</v>
      </c>
      <c r="D152" s="22" t="n">
        <v>32</v>
      </c>
      <c r="E152" s="22" t="s">
        <v>6575</v>
      </c>
      <c r="F152" s="22" t="s">
        <v>6577</v>
      </c>
      <c r="G152" s="22" t="s">
        <v>5647</v>
      </c>
      <c r="H152" s="22" t="s">
        <v>5648</v>
      </c>
      <c r="I152" s="22" t="s">
        <v>2735</v>
      </c>
      <c r="J152" s="22" t="n">
        <v>55.9</v>
      </c>
      <c r="K152" s="22" t="n">
        <f aca="false">ROUNDUP(J152,0)</f>
        <v>56</v>
      </c>
      <c r="L152" s="22" t="n">
        <f aca="false">MAX(D152,K152)</f>
        <v>56</v>
      </c>
      <c r="M152" s="25" t="n">
        <f aca="false">IF(E152="COVERED",'Controls &amp; Sources'!$B$5,'Controls &amp; Sources'!$B$6)</f>
        <v>10.4</v>
      </c>
      <c r="N152" s="25" t="n">
        <f aca="false">L152*M152</f>
        <v>582.4</v>
      </c>
      <c r="O152" s="22" t="n">
        <f aca="false">COUNTIFS('Billing Actual'!$E$2:$E$770,A152,'Billing Actual'!$B$2:$B$770,'Controls &amp; Sources'!$B$7)</f>
        <v>1</v>
      </c>
      <c r="P152" s="25" t="n">
        <f aca="false">SUMIFS('Billing Actual'!$M$2:$M$770,'Billing Actual'!$E$2:$E$770,A152,'Billing Actual'!$B$2:$B$770,'Controls &amp; Sources'!$B$7)</f>
        <v>582.4</v>
      </c>
      <c r="Q152" s="25" t="n">
        <f aca="false">P152-N152</f>
        <v>0</v>
      </c>
      <c r="R152" s="22" t="str">
        <f aca="false">IF(O152=0,"No August moorage transaction",IF(O152&gt;1,"Duplicate August transactions",IF(ABS(Q152)&gt;0.005,"Charge variance","OK")))</f>
        <v>OK</v>
      </c>
      <c r="S152" s="22" t="str">
        <f aca="false">IF(R152="OK","","Billing completeness/reconciliation")</f>
        <v/>
      </c>
    </row>
    <row r="153" customFormat="false" ht="15" hidden="false" customHeight="false" outlineLevel="0" collapsed="false">
      <c r="A153" s="22" t="s">
        <v>7040</v>
      </c>
      <c r="B153" s="22" t="s">
        <v>198</v>
      </c>
      <c r="C153" s="22" t="s">
        <v>6562</v>
      </c>
      <c r="D153" s="22" t="n">
        <v>24</v>
      </c>
      <c r="E153" s="22" t="s">
        <v>6575</v>
      </c>
      <c r="F153" s="22" t="s">
        <v>6577</v>
      </c>
      <c r="G153" s="22" t="s">
        <v>5927</v>
      </c>
      <c r="H153" s="22" t="s">
        <v>5928</v>
      </c>
      <c r="I153" s="22" t="s">
        <v>2324</v>
      </c>
      <c r="J153" s="22" t="n">
        <v>40.5</v>
      </c>
      <c r="K153" s="22" t="n">
        <f aca="false">ROUNDUP(J153,0)</f>
        <v>41</v>
      </c>
      <c r="L153" s="22" t="n">
        <f aca="false">MAX(D153,K153)</f>
        <v>41</v>
      </c>
      <c r="M153" s="25" t="n">
        <f aca="false">IF(E153="COVERED",'Controls &amp; Sources'!$B$5,'Controls &amp; Sources'!$B$6)</f>
        <v>10.4</v>
      </c>
      <c r="N153" s="25" t="n">
        <f aca="false">L153*M153</f>
        <v>426.4</v>
      </c>
      <c r="O153" s="22" t="n">
        <f aca="false">COUNTIFS('Billing Actual'!$E$2:$E$770,A153,'Billing Actual'!$B$2:$B$770,'Controls &amp; Sources'!$B$7)</f>
        <v>1</v>
      </c>
      <c r="P153" s="25" t="n">
        <f aca="false">SUMIFS('Billing Actual'!$M$2:$M$770,'Billing Actual'!$E$2:$E$770,A153,'Billing Actual'!$B$2:$B$770,'Controls &amp; Sources'!$B$7)</f>
        <v>426.4</v>
      </c>
      <c r="Q153" s="25" t="n">
        <f aca="false">P153-N153</f>
        <v>0</v>
      </c>
      <c r="R153" s="22" t="str">
        <f aca="false">IF(O153=0,"No August moorage transaction",IF(O153&gt;1,"Duplicate August transactions",IF(ABS(Q153)&gt;0.005,"Charge variance","OK")))</f>
        <v>OK</v>
      </c>
      <c r="S153" s="22" t="str">
        <f aca="false">IF(R153="OK","","Billing completeness/reconciliation")</f>
        <v/>
      </c>
    </row>
    <row r="154" customFormat="false" ht="15" hidden="false" customHeight="false" outlineLevel="0" collapsed="false">
      <c r="A154" s="22" t="s">
        <v>7043</v>
      </c>
      <c r="B154" s="22" t="s">
        <v>198</v>
      </c>
      <c r="C154" s="22" t="s">
        <v>6562</v>
      </c>
      <c r="D154" s="22" t="n">
        <v>24</v>
      </c>
      <c r="E154" s="22" t="s">
        <v>6575</v>
      </c>
      <c r="F154" s="22" t="s">
        <v>6577</v>
      </c>
      <c r="G154" s="22" t="s">
        <v>1041</v>
      </c>
      <c r="H154" s="22" t="s">
        <v>1042</v>
      </c>
      <c r="I154" s="22" t="s">
        <v>163</v>
      </c>
      <c r="J154" s="22" t="n">
        <v>55.2</v>
      </c>
      <c r="K154" s="22" t="n">
        <f aca="false">ROUNDUP(J154,0)</f>
        <v>56</v>
      </c>
      <c r="L154" s="22" t="n">
        <f aca="false">MAX(D154,K154)</f>
        <v>56</v>
      </c>
      <c r="M154" s="25" t="n">
        <f aca="false">IF(E154="COVERED",'Controls &amp; Sources'!$B$5,'Controls &amp; Sources'!$B$6)</f>
        <v>10.4</v>
      </c>
      <c r="N154" s="25" t="n">
        <f aca="false">L154*M154</f>
        <v>582.4</v>
      </c>
      <c r="O154" s="22" t="n">
        <f aca="false">COUNTIFS('Billing Actual'!$E$2:$E$770,A154,'Billing Actual'!$B$2:$B$770,'Controls &amp; Sources'!$B$7)</f>
        <v>1</v>
      </c>
      <c r="P154" s="25" t="n">
        <f aca="false">SUMIFS('Billing Actual'!$M$2:$M$770,'Billing Actual'!$E$2:$E$770,A154,'Billing Actual'!$B$2:$B$770,'Controls &amp; Sources'!$B$7)</f>
        <v>582.4</v>
      </c>
      <c r="Q154" s="25" t="n">
        <f aca="false">P154-N154</f>
        <v>0</v>
      </c>
      <c r="R154" s="22" t="str">
        <f aca="false">IF(O154=0,"No August moorage transaction",IF(O154&gt;1,"Duplicate August transactions",IF(ABS(Q154)&gt;0.005,"Charge variance","OK")))</f>
        <v>OK</v>
      </c>
      <c r="S154" s="22" t="str">
        <f aca="false">IF(R154="OK","","Billing completeness/reconciliation")</f>
        <v/>
      </c>
    </row>
    <row r="155" customFormat="false" ht="15" hidden="false" customHeight="false" outlineLevel="0" collapsed="false">
      <c r="A155" s="22" t="s">
        <v>7045</v>
      </c>
      <c r="B155" s="22" t="s">
        <v>198</v>
      </c>
      <c r="C155" s="22" t="s">
        <v>6562</v>
      </c>
      <c r="D155" s="22" t="n">
        <v>32</v>
      </c>
      <c r="E155" s="22" t="s">
        <v>6575</v>
      </c>
      <c r="F155" s="22" t="s">
        <v>6577</v>
      </c>
      <c r="G155" s="22" t="s">
        <v>5536</v>
      </c>
      <c r="H155" s="22" t="s">
        <v>5537</v>
      </c>
      <c r="I155" s="22" t="s">
        <v>2324</v>
      </c>
      <c r="J155" s="22" t="n">
        <v>25.4</v>
      </c>
      <c r="K155" s="22" t="n">
        <f aca="false">ROUNDUP(J155,0)</f>
        <v>26</v>
      </c>
      <c r="L155" s="22" t="n">
        <f aca="false">MAX(D155,K155)</f>
        <v>32</v>
      </c>
      <c r="M155" s="25" t="n">
        <f aca="false">IF(E155="COVERED",'Controls &amp; Sources'!$B$5,'Controls &amp; Sources'!$B$6)</f>
        <v>10.4</v>
      </c>
      <c r="N155" s="25" t="n">
        <f aca="false">L155*M155</f>
        <v>332.8</v>
      </c>
      <c r="O155" s="22" t="n">
        <f aca="false">COUNTIFS('Billing Actual'!$E$2:$E$770,A155,'Billing Actual'!$B$2:$B$770,'Controls &amp; Sources'!$B$7)</f>
        <v>1</v>
      </c>
      <c r="P155" s="25" t="n">
        <f aca="false">SUMIFS('Billing Actual'!$M$2:$M$770,'Billing Actual'!$E$2:$E$770,A155,'Billing Actual'!$B$2:$B$770,'Controls &amp; Sources'!$B$7)</f>
        <v>332.8</v>
      </c>
      <c r="Q155" s="25" t="n">
        <f aca="false">P155-N155</f>
        <v>0</v>
      </c>
      <c r="R155" s="22" t="str">
        <f aca="false">IF(O155=0,"No August moorage transaction",IF(O155&gt;1,"Duplicate August transactions",IF(ABS(Q155)&gt;0.005,"Charge variance","OK")))</f>
        <v>OK</v>
      </c>
      <c r="S155" s="22" t="str">
        <f aca="false">IF(R155="OK","","Billing completeness/reconciliation")</f>
        <v/>
      </c>
    </row>
    <row r="156" customFormat="false" ht="15" hidden="false" customHeight="false" outlineLevel="0" collapsed="false">
      <c r="A156" s="22" t="s">
        <v>7047</v>
      </c>
      <c r="B156" s="22" t="s">
        <v>198</v>
      </c>
      <c r="C156" s="22" t="s">
        <v>6562</v>
      </c>
      <c r="D156" s="22" t="n">
        <v>32</v>
      </c>
      <c r="E156" s="22" t="s">
        <v>6575</v>
      </c>
      <c r="F156" s="22" t="s">
        <v>6577</v>
      </c>
      <c r="G156" s="22" t="s">
        <v>3735</v>
      </c>
      <c r="H156" s="22" t="s">
        <v>3736</v>
      </c>
      <c r="I156" s="22" t="s">
        <v>1896</v>
      </c>
      <c r="J156" s="22" t="n">
        <v>32.7</v>
      </c>
      <c r="K156" s="22" t="n">
        <f aca="false">ROUNDUP(J156,0)</f>
        <v>33</v>
      </c>
      <c r="L156" s="22" t="n">
        <f aca="false">MAX(D156,K156)</f>
        <v>33</v>
      </c>
      <c r="M156" s="25" t="n">
        <f aca="false">IF(E156="COVERED",'Controls &amp; Sources'!$B$5,'Controls &amp; Sources'!$B$6)</f>
        <v>10.4</v>
      </c>
      <c r="N156" s="25" t="n">
        <f aca="false">L156*M156</f>
        <v>343.2</v>
      </c>
      <c r="O156" s="22" t="n">
        <f aca="false">COUNTIFS('Billing Actual'!$E$2:$E$770,A156,'Billing Actual'!$B$2:$B$770,'Controls &amp; Sources'!$B$7)</f>
        <v>1</v>
      </c>
      <c r="P156" s="25" t="n">
        <f aca="false">SUMIFS('Billing Actual'!$M$2:$M$770,'Billing Actual'!$E$2:$E$770,A156,'Billing Actual'!$B$2:$B$770,'Controls &amp; Sources'!$B$7)</f>
        <v>343.2</v>
      </c>
      <c r="Q156" s="25" t="n">
        <f aca="false">P156-N156</f>
        <v>0</v>
      </c>
      <c r="R156" s="22" t="str">
        <f aca="false">IF(O156=0,"No August moorage transaction",IF(O156&gt;1,"Duplicate August transactions",IF(ABS(Q156)&gt;0.005,"Charge variance","OK")))</f>
        <v>OK</v>
      </c>
      <c r="S156" s="22" t="str">
        <f aca="false">IF(R156="OK","","Billing completeness/reconciliation")</f>
        <v/>
      </c>
    </row>
    <row r="157" customFormat="false" ht="15" hidden="false" customHeight="false" outlineLevel="0" collapsed="false">
      <c r="A157" s="22" t="s">
        <v>7050</v>
      </c>
      <c r="B157" s="22" t="s">
        <v>198</v>
      </c>
      <c r="C157" s="22" t="s">
        <v>6562</v>
      </c>
      <c r="D157" s="22" t="n">
        <v>32</v>
      </c>
      <c r="E157" s="22" t="s">
        <v>6575</v>
      </c>
      <c r="F157" s="22" t="s">
        <v>6577</v>
      </c>
      <c r="G157" s="22" t="s">
        <v>1994</v>
      </c>
      <c r="H157" s="22" t="s">
        <v>1995</v>
      </c>
      <c r="I157" s="22" t="s">
        <v>1996</v>
      </c>
      <c r="J157" s="22" t="n">
        <v>53.5</v>
      </c>
      <c r="K157" s="22" t="n">
        <f aca="false">ROUNDUP(J157,0)</f>
        <v>54</v>
      </c>
      <c r="L157" s="22" t="n">
        <f aca="false">MAX(D157,K157)</f>
        <v>54</v>
      </c>
      <c r="M157" s="25" t="n">
        <f aca="false">IF(E157="COVERED",'Controls &amp; Sources'!$B$5,'Controls &amp; Sources'!$B$6)</f>
        <v>10.4</v>
      </c>
      <c r="N157" s="25" t="n">
        <f aca="false">L157*M157</f>
        <v>561.6</v>
      </c>
      <c r="O157" s="22" t="n">
        <f aca="false">COUNTIFS('Billing Actual'!$E$2:$E$770,A157,'Billing Actual'!$B$2:$B$770,'Controls &amp; Sources'!$B$7)</f>
        <v>1</v>
      </c>
      <c r="P157" s="25" t="n">
        <f aca="false">SUMIFS('Billing Actual'!$M$2:$M$770,'Billing Actual'!$E$2:$E$770,A157,'Billing Actual'!$B$2:$B$770,'Controls &amp; Sources'!$B$7)</f>
        <v>561.6</v>
      </c>
      <c r="Q157" s="25" t="n">
        <f aca="false">P157-N157</f>
        <v>0</v>
      </c>
      <c r="R157" s="22" t="str">
        <f aca="false">IF(O157=0,"No August moorage transaction",IF(O157&gt;1,"Duplicate August transactions",IF(ABS(Q157)&gt;0.005,"Charge variance","OK")))</f>
        <v>OK</v>
      </c>
      <c r="S157" s="22" t="str">
        <f aca="false">IF(R157="OK","","Billing completeness/reconciliation")</f>
        <v/>
      </c>
    </row>
    <row r="158" customFormat="false" ht="15" hidden="false" customHeight="false" outlineLevel="0" collapsed="false">
      <c r="A158" s="22" t="s">
        <v>7055</v>
      </c>
      <c r="B158" s="22" t="s">
        <v>198</v>
      </c>
      <c r="C158" s="22" t="s">
        <v>6562</v>
      </c>
      <c r="D158" s="22" t="n">
        <v>24</v>
      </c>
      <c r="E158" s="22" t="s">
        <v>6575</v>
      </c>
      <c r="F158" s="22" t="s">
        <v>6577</v>
      </c>
      <c r="G158" s="22" t="s">
        <v>3761</v>
      </c>
      <c r="H158" s="22" t="s">
        <v>3762</v>
      </c>
      <c r="I158" s="22" t="s">
        <v>251</v>
      </c>
      <c r="J158" s="22" t="n">
        <v>59.7</v>
      </c>
      <c r="K158" s="22" t="n">
        <f aca="false">ROUNDUP(J158,0)</f>
        <v>60</v>
      </c>
      <c r="L158" s="22" t="n">
        <f aca="false">MAX(D158,K158)</f>
        <v>60</v>
      </c>
      <c r="M158" s="25" t="n">
        <f aca="false">IF(E158="COVERED",'Controls &amp; Sources'!$B$5,'Controls &amp; Sources'!$B$6)</f>
        <v>10.4</v>
      </c>
      <c r="N158" s="25" t="n">
        <f aca="false">L158*M158</f>
        <v>624</v>
      </c>
      <c r="O158" s="22" t="n">
        <f aca="false">COUNTIFS('Billing Actual'!$E$2:$E$770,A158,'Billing Actual'!$B$2:$B$770,'Controls &amp; Sources'!$B$7)</f>
        <v>1</v>
      </c>
      <c r="P158" s="25" t="n">
        <f aca="false">SUMIFS('Billing Actual'!$M$2:$M$770,'Billing Actual'!$E$2:$E$770,A158,'Billing Actual'!$B$2:$B$770,'Controls &amp; Sources'!$B$7)</f>
        <v>624</v>
      </c>
      <c r="Q158" s="25" t="n">
        <f aca="false">P158-N158</f>
        <v>0</v>
      </c>
      <c r="R158" s="22" t="str">
        <f aca="false">IF(O158=0,"No August moorage transaction",IF(O158&gt;1,"Duplicate August transactions",IF(ABS(Q158)&gt;0.005,"Charge variance","OK")))</f>
        <v>OK</v>
      </c>
      <c r="S158" s="22" t="str">
        <f aca="false">IF(R158="OK","","Billing completeness/reconciliation")</f>
        <v/>
      </c>
    </row>
    <row r="159" customFormat="false" ht="15" hidden="false" customHeight="false" outlineLevel="0" collapsed="false">
      <c r="A159" s="22" t="s">
        <v>7058</v>
      </c>
      <c r="B159" s="22" t="s">
        <v>198</v>
      </c>
      <c r="C159" s="22" t="s">
        <v>6562</v>
      </c>
      <c r="D159" s="22" t="n">
        <v>28</v>
      </c>
      <c r="E159" s="22" t="s">
        <v>6575</v>
      </c>
      <c r="F159" s="22" t="s">
        <v>6577</v>
      </c>
      <c r="G159" s="22" t="s">
        <v>472</v>
      </c>
      <c r="H159" s="22" t="s">
        <v>473</v>
      </c>
      <c r="I159" s="22" t="s">
        <v>474</v>
      </c>
      <c r="J159" s="22" t="n">
        <v>37.7</v>
      </c>
      <c r="K159" s="22" t="n">
        <f aca="false">ROUNDUP(J159,0)</f>
        <v>38</v>
      </c>
      <c r="L159" s="22" t="n">
        <f aca="false">MAX(D159,K159)</f>
        <v>38</v>
      </c>
      <c r="M159" s="25" t="n">
        <f aca="false">IF(E159="COVERED",'Controls &amp; Sources'!$B$5,'Controls &amp; Sources'!$B$6)</f>
        <v>10.4</v>
      </c>
      <c r="N159" s="25" t="n">
        <f aca="false">L159*M159</f>
        <v>395.2</v>
      </c>
      <c r="O159" s="22" t="n">
        <f aca="false">COUNTIFS('Billing Actual'!$E$2:$E$770,A159,'Billing Actual'!$B$2:$B$770,'Controls &amp; Sources'!$B$7)</f>
        <v>1</v>
      </c>
      <c r="P159" s="25" t="n">
        <f aca="false">SUMIFS('Billing Actual'!$M$2:$M$770,'Billing Actual'!$E$2:$E$770,A159,'Billing Actual'!$B$2:$B$770,'Controls &amp; Sources'!$B$7)</f>
        <v>395.2</v>
      </c>
      <c r="Q159" s="25" t="n">
        <f aca="false">P159-N159</f>
        <v>0</v>
      </c>
      <c r="R159" s="22" t="str">
        <f aca="false">IF(O159=0,"No August moorage transaction",IF(O159&gt;1,"Duplicate August transactions",IF(ABS(Q159)&gt;0.005,"Charge variance","OK")))</f>
        <v>OK</v>
      </c>
      <c r="S159" s="22" t="str">
        <f aca="false">IF(R159="OK","","Billing completeness/reconciliation")</f>
        <v/>
      </c>
    </row>
    <row r="160" customFormat="false" ht="15" hidden="false" customHeight="false" outlineLevel="0" collapsed="false">
      <c r="A160" s="22" t="s">
        <v>7060</v>
      </c>
      <c r="B160" s="22" t="s">
        <v>198</v>
      </c>
      <c r="C160" s="22" t="s">
        <v>6562</v>
      </c>
      <c r="D160" s="22" t="n">
        <v>28</v>
      </c>
      <c r="E160" s="22" t="s">
        <v>6575</v>
      </c>
      <c r="F160" s="22" t="s">
        <v>6577</v>
      </c>
      <c r="G160" s="22" t="s">
        <v>2060</v>
      </c>
      <c r="H160" s="22" t="s">
        <v>2061</v>
      </c>
      <c r="I160" s="22" t="s">
        <v>591</v>
      </c>
      <c r="J160" s="22" t="n">
        <v>56.3</v>
      </c>
      <c r="K160" s="22" t="n">
        <f aca="false">ROUNDUP(J160,0)</f>
        <v>57</v>
      </c>
      <c r="L160" s="22" t="n">
        <f aca="false">MAX(D160,K160)</f>
        <v>57</v>
      </c>
      <c r="M160" s="25" t="n">
        <f aca="false">IF(E160="COVERED",'Controls &amp; Sources'!$B$5,'Controls &amp; Sources'!$B$6)</f>
        <v>10.4</v>
      </c>
      <c r="N160" s="25" t="n">
        <f aca="false">L160*M160</f>
        <v>592.8</v>
      </c>
      <c r="O160" s="22" t="n">
        <f aca="false">COUNTIFS('Billing Actual'!$E$2:$E$770,A160,'Billing Actual'!$B$2:$B$770,'Controls &amp; Sources'!$B$7)</f>
        <v>1</v>
      </c>
      <c r="P160" s="25" t="n">
        <f aca="false">SUMIFS('Billing Actual'!$M$2:$M$770,'Billing Actual'!$E$2:$E$770,A160,'Billing Actual'!$B$2:$B$770,'Controls &amp; Sources'!$B$7)</f>
        <v>592.8</v>
      </c>
      <c r="Q160" s="25" t="n">
        <f aca="false">P160-N160</f>
        <v>0</v>
      </c>
      <c r="R160" s="22" t="str">
        <f aca="false">IF(O160=0,"No August moorage transaction",IF(O160&gt;1,"Duplicate August transactions",IF(ABS(Q160)&gt;0.005,"Charge variance","OK")))</f>
        <v>OK</v>
      </c>
      <c r="S160" s="22" t="str">
        <f aca="false">IF(R160="OK","","Billing completeness/reconciliation")</f>
        <v/>
      </c>
    </row>
    <row r="161" customFormat="false" ht="15" hidden="false" customHeight="false" outlineLevel="0" collapsed="false">
      <c r="A161" s="22" t="s">
        <v>7062</v>
      </c>
      <c r="B161" s="22" t="s">
        <v>198</v>
      </c>
      <c r="C161" s="22" t="s">
        <v>6562</v>
      </c>
      <c r="D161" s="22" t="n">
        <v>36</v>
      </c>
      <c r="E161" s="22" t="s">
        <v>6575</v>
      </c>
      <c r="F161" s="22" t="s">
        <v>6577</v>
      </c>
      <c r="G161" s="22" t="s">
        <v>3343</v>
      </c>
      <c r="H161" s="22" t="s">
        <v>3344</v>
      </c>
      <c r="I161" s="22" t="s">
        <v>805</v>
      </c>
      <c r="J161" s="22" t="n">
        <v>46.1</v>
      </c>
      <c r="K161" s="22" t="n">
        <f aca="false">ROUNDUP(J161,0)</f>
        <v>47</v>
      </c>
      <c r="L161" s="22" t="n">
        <f aca="false">MAX(D161,K161)</f>
        <v>47</v>
      </c>
      <c r="M161" s="25" t="n">
        <f aca="false">IF(E161="COVERED",'Controls &amp; Sources'!$B$5,'Controls &amp; Sources'!$B$6)</f>
        <v>10.4</v>
      </c>
      <c r="N161" s="25" t="n">
        <f aca="false">L161*M161</f>
        <v>488.8</v>
      </c>
      <c r="O161" s="22" t="n">
        <f aca="false">COUNTIFS('Billing Actual'!$E$2:$E$770,A161,'Billing Actual'!$B$2:$B$770,'Controls &amp; Sources'!$B$7)</f>
        <v>1</v>
      </c>
      <c r="P161" s="25" t="n">
        <f aca="false">SUMIFS('Billing Actual'!$M$2:$M$770,'Billing Actual'!$E$2:$E$770,A161,'Billing Actual'!$B$2:$B$770,'Controls &amp; Sources'!$B$7)</f>
        <v>488.8</v>
      </c>
      <c r="Q161" s="25" t="n">
        <f aca="false">P161-N161</f>
        <v>0</v>
      </c>
      <c r="R161" s="22" t="str">
        <f aca="false">IF(O161=0,"No August moorage transaction",IF(O161&gt;1,"Duplicate August transactions",IF(ABS(Q161)&gt;0.005,"Charge variance","OK")))</f>
        <v>OK</v>
      </c>
      <c r="S161" s="22" t="str">
        <f aca="false">IF(R161="OK","","Billing completeness/reconciliation")</f>
        <v/>
      </c>
    </row>
    <row r="162" customFormat="false" ht="15" hidden="false" customHeight="false" outlineLevel="0" collapsed="false">
      <c r="A162" s="22" t="s">
        <v>7066</v>
      </c>
      <c r="B162" s="22" t="s">
        <v>198</v>
      </c>
      <c r="C162" s="22" t="s">
        <v>6562</v>
      </c>
      <c r="D162" s="22" t="n">
        <v>40</v>
      </c>
      <c r="E162" s="22" t="s">
        <v>6575</v>
      </c>
      <c r="F162" s="22" t="s">
        <v>6577</v>
      </c>
      <c r="G162" s="22" t="s">
        <v>5792</v>
      </c>
      <c r="H162" s="22" t="s">
        <v>5793</v>
      </c>
      <c r="I162" s="22" t="s">
        <v>2610</v>
      </c>
      <c r="J162" s="22" t="n">
        <v>35.1</v>
      </c>
      <c r="K162" s="22" t="n">
        <f aca="false">ROUNDUP(J162,0)</f>
        <v>36</v>
      </c>
      <c r="L162" s="22" t="n">
        <f aca="false">MAX(D162,K162)</f>
        <v>40</v>
      </c>
      <c r="M162" s="25" t="n">
        <f aca="false">IF(E162="COVERED",'Controls &amp; Sources'!$B$5,'Controls &amp; Sources'!$B$6)</f>
        <v>10.4</v>
      </c>
      <c r="N162" s="25" t="n">
        <f aca="false">L162*M162</f>
        <v>416</v>
      </c>
      <c r="O162" s="22" t="n">
        <f aca="false">COUNTIFS('Billing Actual'!$E$2:$E$770,A162,'Billing Actual'!$B$2:$B$770,'Controls &amp; Sources'!$B$7)</f>
        <v>1</v>
      </c>
      <c r="P162" s="25" t="n">
        <f aca="false">SUMIFS('Billing Actual'!$M$2:$M$770,'Billing Actual'!$E$2:$E$770,A162,'Billing Actual'!$B$2:$B$770,'Controls &amp; Sources'!$B$7)</f>
        <v>416</v>
      </c>
      <c r="Q162" s="25" t="n">
        <f aca="false">P162-N162</f>
        <v>0</v>
      </c>
      <c r="R162" s="22" t="str">
        <f aca="false">IF(O162=0,"No August moorage transaction",IF(O162&gt;1,"Duplicate August transactions",IF(ABS(Q162)&gt;0.005,"Charge variance","OK")))</f>
        <v>OK</v>
      </c>
      <c r="S162" s="22" t="str">
        <f aca="false">IF(R162="OK","","Billing completeness/reconciliation")</f>
        <v/>
      </c>
    </row>
    <row r="163" customFormat="false" ht="15" hidden="false" customHeight="false" outlineLevel="0" collapsed="false">
      <c r="A163" s="22" t="s">
        <v>7069</v>
      </c>
      <c r="B163" s="22" t="s">
        <v>198</v>
      </c>
      <c r="C163" s="22" t="s">
        <v>6562</v>
      </c>
      <c r="D163" s="22" t="n">
        <v>28</v>
      </c>
      <c r="E163" s="22" t="s">
        <v>6575</v>
      </c>
      <c r="F163" s="22" t="s">
        <v>6577</v>
      </c>
      <c r="G163" s="22" t="s">
        <v>5471</v>
      </c>
      <c r="H163" s="22" t="s">
        <v>5472</v>
      </c>
      <c r="I163" s="22" t="s">
        <v>2650</v>
      </c>
      <c r="J163" s="22" t="n">
        <v>47.8</v>
      </c>
      <c r="K163" s="22" t="n">
        <f aca="false">ROUNDUP(J163,0)</f>
        <v>48</v>
      </c>
      <c r="L163" s="22" t="n">
        <f aca="false">MAX(D163,K163)</f>
        <v>48</v>
      </c>
      <c r="M163" s="25" t="n">
        <f aca="false">IF(E163="COVERED",'Controls &amp; Sources'!$B$5,'Controls &amp; Sources'!$B$6)</f>
        <v>10.4</v>
      </c>
      <c r="N163" s="25" t="n">
        <f aca="false">L163*M163</f>
        <v>499.2</v>
      </c>
      <c r="O163" s="22" t="n">
        <f aca="false">COUNTIFS('Billing Actual'!$E$2:$E$770,A163,'Billing Actual'!$B$2:$B$770,'Controls &amp; Sources'!$B$7)</f>
        <v>1</v>
      </c>
      <c r="P163" s="25" t="n">
        <f aca="false">SUMIFS('Billing Actual'!$M$2:$M$770,'Billing Actual'!$E$2:$E$770,A163,'Billing Actual'!$B$2:$B$770,'Controls &amp; Sources'!$B$7)</f>
        <v>499.2</v>
      </c>
      <c r="Q163" s="25" t="n">
        <f aca="false">P163-N163</f>
        <v>0</v>
      </c>
      <c r="R163" s="22" t="str">
        <f aca="false">IF(O163=0,"No August moorage transaction",IF(O163&gt;1,"Duplicate August transactions",IF(ABS(Q163)&gt;0.005,"Charge variance","OK")))</f>
        <v>OK</v>
      </c>
      <c r="S163" s="22" t="str">
        <f aca="false">IF(R163="OK","","Billing completeness/reconciliation")</f>
        <v/>
      </c>
    </row>
    <row r="164" customFormat="false" ht="15" hidden="false" customHeight="false" outlineLevel="0" collapsed="false">
      <c r="A164" s="22" t="s">
        <v>7073</v>
      </c>
      <c r="B164" s="22" t="s">
        <v>198</v>
      </c>
      <c r="C164" s="22" t="s">
        <v>6562</v>
      </c>
      <c r="D164" s="22" t="n">
        <v>36</v>
      </c>
      <c r="E164" s="22" t="s">
        <v>6575</v>
      </c>
      <c r="F164" s="22" t="s">
        <v>6577</v>
      </c>
      <c r="G164" s="22" t="s">
        <v>3178</v>
      </c>
      <c r="H164" s="22" t="s">
        <v>3179</v>
      </c>
      <c r="I164" s="22" t="s">
        <v>442</v>
      </c>
      <c r="J164" s="22" t="n">
        <v>39.6</v>
      </c>
      <c r="K164" s="22" t="n">
        <f aca="false">ROUNDUP(J164,0)</f>
        <v>40</v>
      </c>
      <c r="L164" s="22" t="n">
        <f aca="false">MAX(D164,K164)</f>
        <v>40</v>
      </c>
      <c r="M164" s="25" t="n">
        <f aca="false">IF(E164="COVERED",'Controls &amp; Sources'!$B$5,'Controls &amp; Sources'!$B$6)</f>
        <v>10.4</v>
      </c>
      <c r="N164" s="25" t="n">
        <f aca="false">L164*M164</f>
        <v>416</v>
      </c>
      <c r="O164" s="22" t="n">
        <f aca="false">COUNTIFS('Billing Actual'!$E$2:$E$770,A164,'Billing Actual'!$B$2:$B$770,'Controls &amp; Sources'!$B$7)</f>
        <v>1</v>
      </c>
      <c r="P164" s="25" t="n">
        <f aca="false">SUMIFS('Billing Actual'!$M$2:$M$770,'Billing Actual'!$E$2:$E$770,A164,'Billing Actual'!$B$2:$B$770,'Controls &amp; Sources'!$B$7)</f>
        <v>416</v>
      </c>
      <c r="Q164" s="25" t="n">
        <f aca="false">P164-N164</f>
        <v>0</v>
      </c>
      <c r="R164" s="22" t="str">
        <f aca="false">IF(O164=0,"No August moorage transaction",IF(O164&gt;1,"Duplicate August transactions",IF(ABS(Q164)&gt;0.005,"Charge variance","OK")))</f>
        <v>OK</v>
      </c>
      <c r="S164" s="22" t="str">
        <f aca="false">IF(R164="OK","","Billing completeness/reconciliation")</f>
        <v/>
      </c>
    </row>
    <row r="165" customFormat="false" ht="15" hidden="false" customHeight="false" outlineLevel="0" collapsed="false">
      <c r="A165" s="22" t="s">
        <v>7076</v>
      </c>
      <c r="B165" s="22" t="s">
        <v>198</v>
      </c>
      <c r="C165" s="22" t="s">
        <v>6562</v>
      </c>
      <c r="D165" s="22" t="n">
        <v>36</v>
      </c>
      <c r="E165" s="22" t="s">
        <v>6575</v>
      </c>
      <c r="F165" s="22" t="s">
        <v>6577</v>
      </c>
      <c r="G165" s="22" t="s">
        <v>4262</v>
      </c>
      <c r="H165" s="22" t="s">
        <v>4263</v>
      </c>
      <c r="I165" s="22" t="s">
        <v>4264</v>
      </c>
      <c r="J165" s="22" t="n">
        <v>55.1</v>
      </c>
      <c r="K165" s="22" t="n">
        <f aca="false">ROUNDUP(J165,0)</f>
        <v>56</v>
      </c>
      <c r="L165" s="22" t="n">
        <f aca="false">MAX(D165,K165)</f>
        <v>56</v>
      </c>
      <c r="M165" s="25" t="n">
        <f aca="false">IF(E165="COVERED",'Controls &amp; Sources'!$B$5,'Controls &amp; Sources'!$B$6)</f>
        <v>10.4</v>
      </c>
      <c r="N165" s="25" t="n">
        <f aca="false">L165*M165</f>
        <v>582.4</v>
      </c>
      <c r="O165" s="22" t="n">
        <f aca="false">COUNTIFS('Billing Actual'!$E$2:$E$770,A165,'Billing Actual'!$B$2:$B$770,'Controls &amp; Sources'!$B$7)</f>
        <v>1</v>
      </c>
      <c r="P165" s="25" t="n">
        <f aca="false">SUMIFS('Billing Actual'!$M$2:$M$770,'Billing Actual'!$E$2:$E$770,A165,'Billing Actual'!$B$2:$B$770,'Controls &amp; Sources'!$B$7)</f>
        <v>582.4</v>
      </c>
      <c r="Q165" s="25" t="n">
        <f aca="false">P165-N165</f>
        <v>0</v>
      </c>
      <c r="R165" s="22" t="str">
        <f aca="false">IF(O165=0,"No August moorage transaction",IF(O165&gt;1,"Duplicate August transactions",IF(ABS(Q165)&gt;0.005,"Charge variance","OK")))</f>
        <v>OK</v>
      </c>
      <c r="S165" s="22" t="str">
        <f aca="false">IF(R165="OK","","Billing completeness/reconciliation")</f>
        <v/>
      </c>
    </row>
    <row r="166" customFormat="false" ht="15" hidden="false" customHeight="false" outlineLevel="0" collapsed="false">
      <c r="A166" s="22" t="s">
        <v>7079</v>
      </c>
      <c r="B166" s="22" t="s">
        <v>198</v>
      </c>
      <c r="C166" s="22" t="s">
        <v>6562</v>
      </c>
      <c r="D166" s="22" t="n">
        <v>24</v>
      </c>
      <c r="E166" s="22" t="s">
        <v>6575</v>
      </c>
      <c r="F166" s="22" t="s">
        <v>6577</v>
      </c>
      <c r="G166" s="22" t="s">
        <v>4008</v>
      </c>
      <c r="H166" s="22" t="s">
        <v>4009</v>
      </c>
      <c r="I166" s="22" t="s">
        <v>3530</v>
      </c>
      <c r="J166" s="22" t="n">
        <v>40.6</v>
      </c>
      <c r="K166" s="22" t="n">
        <f aca="false">ROUNDUP(J166,0)</f>
        <v>41</v>
      </c>
      <c r="L166" s="22" t="n">
        <f aca="false">MAX(D166,K166)</f>
        <v>41</v>
      </c>
      <c r="M166" s="25" t="n">
        <f aca="false">IF(E166="COVERED",'Controls &amp; Sources'!$B$5,'Controls &amp; Sources'!$B$6)</f>
        <v>10.4</v>
      </c>
      <c r="N166" s="25" t="n">
        <f aca="false">L166*M166</f>
        <v>426.4</v>
      </c>
      <c r="O166" s="22" t="n">
        <f aca="false">COUNTIFS('Billing Actual'!$E$2:$E$770,A166,'Billing Actual'!$B$2:$B$770,'Controls &amp; Sources'!$B$7)</f>
        <v>1</v>
      </c>
      <c r="P166" s="25" t="n">
        <f aca="false">SUMIFS('Billing Actual'!$M$2:$M$770,'Billing Actual'!$E$2:$E$770,A166,'Billing Actual'!$B$2:$B$770,'Controls &amp; Sources'!$B$7)</f>
        <v>426.4</v>
      </c>
      <c r="Q166" s="25" t="n">
        <f aca="false">P166-N166</f>
        <v>0</v>
      </c>
      <c r="R166" s="22" t="str">
        <f aca="false">IF(O166=0,"No August moorage transaction",IF(O166&gt;1,"Duplicate August transactions",IF(ABS(Q166)&gt;0.005,"Charge variance","OK")))</f>
        <v>OK</v>
      </c>
      <c r="S166" s="22" t="str">
        <f aca="false">IF(R166="OK","","Billing completeness/reconciliation")</f>
        <v/>
      </c>
    </row>
    <row r="167" customFormat="false" ht="15" hidden="false" customHeight="false" outlineLevel="0" collapsed="false">
      <c r="A167" s="22" t="s">
        <v>7081</v>
      </c>
      <c r="B167" s="22" t="s">
        <v>198</v>
      </c>
      <c r="C167" s="22" t="s">
        <v>6562</v>
      </c>
      <c r="D167" s="22" t="n">
        <v>40</v>
      </c>
      <c r="E167" s="22" t="s">
        <v>6575</v>
      </c>
      <c r="F167" s="22" t="s">
        <v>6577</v>
      </c>
      <c r="G167" s="22" t="s">
        <v>5375</v>
      </c>
      <c r="H167" s="22" t="s">
        <v>5376</v>
      </c>
      <c r="I167" s="22" t="s">
        <v>899</v>
      </c>
      <c r="J167" s="22" t="n">
        <v>42.3</v>
      </c>
      <c r="K167" s="22" t="n">
        <f aca="false">ROUNDUP(J167,0)</f>
        <v>43</v>
      </c>
      <c r="L167" s="22" t="n">
        <f aca="false">MAX(D167,K167)</f>
        <v>43</v>
      </c>
      <c r="M167" s="25" t="n">
        <f aca="false">IF(E167="COVERED",'Controls &amp; Sources'!$B$5,'Controls &amp; Sources'!$B$6)</f>
        <v>10.4</v>
      </c>
      <c r="N167" s="25" t="n">
        <f aca="false">L167*M167</f>
        <v>447.2</v>
      </c>
      <c r="O167" s="22" t="n">
        <f aca="false">COUNTIFS('Billing Actual'!$E$2:$E$770,A167,'Billing Actual'!$B$2:$B$770,'Controls &amp; Sources'!$B$7)</f>
        <v>1</v>
      </c>
      <c r="P167" s="25" t="n">
        <f aca="false">SUMIFS('Billing Actual'!$M$2:$M$770,'Billing Actual'!$E$2:$E$770,A167,'Billing Actual'!$B$2:$B$770,'Controls &amp; Sources'!$B$7)</f>
        <v>447.2</v>
      </c>
      <c r="Q167" s="25" t="n">
        <f aca="false">P167-N167</f>
        <v>0</v>
      </c>
      <c r="R167" s="22" t="str">
        <f aca="false">IF(O167=0,"No August moorage transaction",IF(O167&gt;1,"Duplicate August transactions",IF(ABS(Q167)&gt;0.005,"Charge variance","OK")))</f>
        <v>OK</v>
      </c>
      <c r="S167" s="22" t="str">
        <f aca="false">IF(R167="OK","","Billing completeness/reconciliation")</f>
        <v/>
      </c>
    </row>
    <row r="168" customFormat="false" ht="15" hidden="false" customHeight="false" outlineLevel="0" collapsed="false">
      <c r="A168" s="22" t="s">
        <v>7083</v>
      </c>
      <c r="B168" s="22" t="s">
        <v>198</v>
      </c>
      <c r="C168" s="22" t="s">
        <v>6562</v>
      </c>
      <c r="D168" s="22" t="n">
        <v>28</v>
      </c>
      <c r="E168" s="22" t="s">
        <v>6575</v>
      </c>
      <c r="F168" s="22" t="s">
        <v>6577</v>
      </c>
      <c r="G168" s="22" t="s">
        <v>3093</v>
      </c>
      <c r="H168" s="22" t="s">
        <v>3094</v>
      </c>
      <c r="I168" s="22" t="s">
        <v>428</v>
      </c>
      <c r="J168" s="22" t="n">
        <v>34.3</v>
      </c>
      <c r="K168" s="22" t="n">
        <f aca="false">ROUNDUP(J168,0)</f>
        <v>35</v>
      </c>
      <c r="L168" s="22" t="n">
        <f aca="false">MAX(D168,K168)</f>
        <v>35</v>
      </c>
      <c r="M168" s="25" t="n">
        <f aca="false">IF(E168="COVERED",'Controls &amp; Sources'!$B$5,'Controls &amp; Sources'!$B$6)</f>
        <v>10.4</v>
      </c>
      <c r="N168" s="25" t="n">
        <f aca="false">L168*M168</f>
        <v>364</v>
      </c>
      <c r="O168" s="22" t="n">
        <f aca="false">COUNTIFS('Billing Actual'!$E$2:$E$770,A168,'Billing Actual'!$B$2:$B$770,'Controls &amp; Sources'!$B$7)</f>
        <v>1</v>
      </c>
      <c r="P168" s="25" t="n">
        <f aca="false">SUMIFS('Billing Actual'!$M$2:$M$770,'Billing Actual'!$E$2:$E$770,A168,'Billing Actual'!$B$2:$B$770,'Controls &amp; Sources'!$B$7)</f>
        <v>364</v>
      </c>
      <c r="Q168" s="25" t="n">
        <f aca="false">P168-N168</f>
        <v>0</v>
      </c>
      <c r="R168" s="22" t="str">
        <f aca="false">IF(O168=0,"No August moorage transaction",IF(O168&gt;1,"Duplicate August transactions",IF(ABS(Q168)&gt;0.005,"Charge variance","OK")))</f>
        <v>OK</v>
      </c>
      <c r="S168" s="22" t="str">
        <f aca="false">IF(R168="OK","","Billing completeness/reconciliation")</f>
        <v/>
      </c>
    </row>
    <row r="169" customFormat="false" ht="15" hidden="false" customHeight="false" outlineLevel="0" collapsed="false">
      <c r="A169" s="22" t="s">
        <v>7088</v>
      </c>
      <c r="B169" s="22" t="s">
        <v>198</v>
      </c>
      <c r="C169" s="22" t="s">
        <v>6562</v>
      </c>
      <c r="D169" s="22" t="n">
        <v>36</v>
      </c>
      <c r="E169" s="22" t="s">
        <v>6575</v>
      </c>
      <c r="F169" s="22" t="s">
        <v>6577</v>
      </c>
      <c r="G169" s="22" t="s">
        <v>2854</v>
      </c>
      <c r="H169" s="22" t="s">
        <v>2855</v>
      </c>
      <c r="I169" s="22" t="s">
        <v>2856</v>
      </c>
      <c r="J169" s="22" t="n">
        <v>51.3</v>
      </c>
      <c r="K169" s="22" t="n">
        <f aca="false">ROUNDUP(J169,0)</f>
        <v>52</v>
      </c>
      <c r="L169" s="22" t="n">
        <f aca="false">MAX(D169,K169)</f>
        <v>52</v>
      </c>
      <c r="M169" s="25" t="n">
        <f aca="false">IF(E169="COVERED",'Controls &amp; Sources'!$B$5,'Controls &amp; Sources'!$B$6)</f>
        <v>10.4</v>
      </c>
      <c r="N169" s="25" t="n">
        <f aca="false">L169*M169</f>
        <v>540.8</v>
      </c>
      <c r="O169" s="22" t="n">
        <f aca="false">COUNTIFS('Billing Actual'!$E$2:$E$770,A169,'Billing Actual'!$B$2:$B$770,'Controls &amp; Sources'!$B$7)</f>
        <v>1</v>
      </c>
      <c r="P169" s="25" t="n">
        <f aca="false">SUMIFS('Billing Actual'!$M$2:$M$770,'Billing Actual'!$E$2:$E$770,A169,'Billing Actual'!$B$2:$B$770,'Controls &amp; Sources'!$B$7)</f>
        <v>540.8</v>
      </c>
      <c r="Q169" s="25" t="n">
        <f aca="false">P169-N169</f>
        <v>0</v>
      </c>
      <c r="R169" s="22" t="str">
        <f aca="false">IF(O169=0,"No August moorage transaction",IF(O169&gt;1,"Duplicate August transactions",IF(ABS(Q169)&gt;0.005,"Charge variance","OK")))</f>
        <v>OK</v>
      </c>
      <c r="S169" s="22" t="str">
        <f aca="false">IF(R169="OK","","Billing completeness/reconciliation")</f>
        <v/>
      </c>
    </row>
    <row r="170" customFormat="false" ht="15" hidden="false" customHeight="false" outlineLevel="0" collapsed="false">
      <c r="A170" s="22" t="s">
        <v>7091</v>
      </c>
      <c r="B170" s="22" t="s">
        <v>198</v>
      </c>
      <c r="C170" s="22" t="s">
        <v>6562</v>
      </c>
      <c r="D170" s="22" t="n">
        <v>28</v>
      </c>
      <c r="E170" s="22" t="s">
        <v>6575</v>
      </c>
      <c r="F170" s="22" t="s">
        <v>6577</v>
      </c>
      <c r="G170" s="22" t="s">
        <v>3733</v>
      </c>
      <c r="H170" s="22" t="s">
        <v>3734</v>
      </c>
      <c r="I170" s="22" t="s">
        <v>242</v>
      </c>
      <c r="J170" s="22" t="n">
        <v>25.6</v>
      </c>
      <c r="K170" s="22" t="n">
        <f aca="false">ROUNDUP(J170,0)</f>
        <v>26</v>
      </c>
      <c r="L170" s="22" t="n">
        <f aca="false">MAX(D170,K170)</f>
        <v>28</v>
      </c>
      <c r="M170" s="25" t="n">
        <f aca="false">IF(E170="COVERED",'Controls &amp; Sources'!$B$5,'Controls &amp; Sources'!$B$6)</f>
        <v>10.4</v>
      </c>
      <c r="N170" s="25" t="n">
        <f aca="false">L170*M170</f>
        <v>291.2</v>
      </c>
      <c r="O170" s="22" t="n">
        <f aca="false">COUNTIFS('Billing Actual'!$E$2:$E$770,A170,'Billing Actual'!$B$2:$B$770,'Controls &amp; Sources'!$B$7)</f>
        <v>1</v>
      </c>
      <c r="P170" s="25" t="n">
        <f aca="false">SUMIFS('Billing Actual'!$M$2:$M$770,'Billing Actual'!$E$2:$E$770,A170,'Billing Actual'!$B$2:$B$770,'Controls &amp; Sources'!$B$7)</f>
        <v>291.2</v>
      </c>
      <c r="Q170" s="25" t="n">
        <f aca="false">P170-N170</f>
        <v>0</v>
      </c>
      <c r="R170" s="22" t="str">
        <f aca="false">IF(O170=0,"No August moorage transaction",IF(O170&gt;1,"Duplicate August transactions",IF(ABS(Q170)&gt;0.005,"Charge variance","OK")))</f>
        <v>OK</v>
      </c>
      <c r="S170" s="22" t="str">
        <f aca="false">IF(R170="OK","","Billing completeness/reconciliation")</f>
        <v/>
      </c>
    </row>
    <row r="171" customFormat="false" ht="15" hidden="false" customHeight="false" outlineLevel="0" collapsed="false">
      <c r="A171" s="22" t="s">
        <v>7093</v>
      </c>
      <c r="B171" s="22" t="s">
        <v>198</v>
      </c>
      <c r="C171" s="22" t="s">
        <v>6562</v>
      </c>
      <c r="D171" s="22" t="n">
        <v>32</v>
      </c>
      <c r="E171" s="22" t="s">
        <v>6575</v>
      </c>
      <c r="F171" s="22" t="s">
        <v>6577</v>
      </c>
      <c r="G171" s="22" t="s">
        <v>3600</v>
      </c>
      <c r="H171" s="22" t="s">
        <v>3601</v>
      </c>
      <c r="I171" s="22" t="s">
        <v>3602</v>
      </c>
      <c r="J171" s="22" t="n">
        <v>37.5</v>
      </c>
      <c r="K171" s="22" t="n">
        <f aca="false">ROUNDUP(J171,0)</f>
        <v>38</v>
      </c>
      <c r="L171" s="22" t="n">
        <f aca="false">MAX(D171,K171)</f>
        <v>38</v>
      </c>
      <c r="M171" s="25" t="n">
        <f aca="false">IF(E171="COVERED",'Controls &amp; Sources'!$B$5,'Controls &amp; Sources'!$B$6)</f>
        <v>10.4</v>
      </c>
      <c r="N171" s="25" t="n">
        <f aca="false">L171*M171</f>
        <v>395.2</v>
      </c>
      <c r="O171" s="22" t="n">
        <f aca="false">COUNTIFS('Billing Actual'!$E$2:$E$770,A171,'Billing Actual'!$B$2:$B$770,'Controls &amp; Sources'!$B$7)</f>
        <v>1</v>
      </c>
      <c r="P171" s="25" t="n">
        <f aca="false">SUMIFS('Billing Actual'!$M$2:$M$770,'Billing Actual'!$E$2:$E$770,A171,'Billing Actual'!$B$2:$B$770,'Controls &amp; Sources'!$B$7)</f>
        <v>395.2</v>
      </c>
      <c r="Q171" s="25" t="n">
        <f aca="false">P171-N171</f>
        <v>0</v>
      </c>
      <c r="R171" s="22" t="str">
        <f aca="false">IF(O171=0,"No August moorage transaction",IF(O171&gt;1,"Duplicate August transactions",IF(ABS(Q171)&gt;0.005,"Charge variance","OK")))</f>
        <v>OK</v>
      </c>
      <c r="S171" s="22" t="str">
        <f aca="false">IF(R171="OK","","Billing completeness/reconciliation")</f>
        <v/>
      </c>
    </row>
    <row r="172" customFormat="false" ht="15" hidden="false" customHeight="false" outlineLevel="0" collapsed="false">
      <c r="A172" s="22" t="s">
        <v>7096</v>
      </c>
      <c r="B172" s="22" t="s">
        <v>198</v>
      </c>
      <c r="C172" s="22" t="s">
        <v>6562</v>
      </c>
      <c r="D172" s="22" t="n">
        <v>32</v>
      </c>
      <c r="E172" s="22" t="s">
        <v>6575</v>
      </c>
      <c r="F172" s="22" t="s">
        <v>6577</v>
      </c>
      <c r="G172" s="22" t="s">
        <v>3522</v>
      </c>
      <c r="H172" s="22" t="s">
        <v>3523</v>
      </c>
      <c r="I172" s="22" t="s">
        <v>480</v>
      </c>
      <c r="J172" s="22" t="n">
        <v>34.5</v>
      </c>
      <c r="K172" s="22" t="n">
        <f aca="false">ROUNDUP(J172,0)</f>
        <v>35</v>
      </c>
      <c r="L172" s="22" t="n">
        <f aca="false">MAX(D172,K172)</f>
        <v>35</v>
      </c>
      <c r="M172" s="25" t="n">
        <f aca="false">IF(E172="COVERED",'Controls &amp; Sources'!$B$5,'Controls &amp; Sources'!$B$6)</f>
        <v>10.4</v>
      </c>
      <c r="N172" s="25" t="n">
        <f aca="false">L172*M172</f>
        <v>364</v>
      </c>
      <c r="O172" s="22" t="n">
        <f aca="false">COUNTIFS('Billing Actual'!$E$2:$E$770,A172,'Billing Actual'!$B$2:$B$770,'Controls &amp; Sources'!$B$7)</f>
        <v>1</v>
      </c>
      <c r="P172" s="25" t="n">
        <f aca="false">SUMIFS('Billing Actual'!$M$2:$M$770,'Billing Actual'!$E$2:$E$770,A172,'Billing Actual'!$B$2:$B$770,'Controls &amp; Sources'!$B$7)</f>
        <v>364</v>
      </c>
      <c r="Q172" s="25" t="n">
        <f aca="false">P172-N172</f>
        <v>0</v>
      </c>
      <c r="R172" s="22" t="str">
        <f aca="false">IF(O172=0,"No August moorage transaction",IF(O172&gt;1,"Duplicate August transactions",IF(ABS(Q172)&gt;0.005,"Charge variance","OK")))</f>
        <v>OK</v>
      </c>
      <c r="S172" s="22" t="str">
        <f aca="false">IF(R172="OK","","Billing completeness/reconciliation")</f>
        <v/>
      </c>
    </row>
    <row r="173" customFormat="false" ht="15" hidden="false" customHeight="false" outlineLevel="0" collapsed="false">
      <c r="A173" s="22" t="s">
        <v>7099</v>
      </c>
      <c r="B173" s="22" t="s">
        <v>198</v>
      </c>
      <c r="C173" s="22" t="s">
        <v>6562</v>
      </c>
      <c r="D173" s="22" t="n">
        <v>24</v>
      </c>
      <c r="E173" s="22" t="s">
        <v>6575</v>
      </c>
      <c r="F173" s="22" t="s">
        <v>6577</v>
      </c>
      <c r="G173" s="22" t="s">
        <v>2521</v>
      </c>
      <c r="H173" s="22" t="s">
        <v>2522</v>
      </c>
      <c r="I173" s="22" t="s">
        <v>573</v>
      </c>
      <c r="J173" s="22" t="n">
        <v>49.8</v>
      </c>
      <c r="K173" s="22" t="n">
        <f aca="false">ROUNDUP(J173,0)</f>
        <v>50</v>
      </c>
      <c r="L173" s="22" t="n">
        <f aca="false">MAX(D173,K173)</f>
        <v>50</v>
      </c>
      <c r="M173" s="25" t="n">
        <f aca="false">IF(E173="COVERED",'Controls &amp; Sources'!$B$5,'Controls &amp; Sources'!$B$6)</f>
        <v>10.4</v>
      </c>
      <c r="N173" s="25" t="n">
        <f aca="false">L173*M173</f>
        <v>520</v>
      </c>
      <c r="O173" s="22" t="n">
        <f aca="false">COUNTIFS('Billing Actual'!$E$2:$E$770,A173,'Billing Actual'!$B$2:$B$770,'Controls &amp; Sources'!$B$7)</f>
        <v>1</v>
      </c>
      <c r="P173" s="25" t="n">
        <f aca="false">SUMIFS('Billing Actual'!$M$2:$M$770,'Billing Actual'!$E$2:$E$770,A173,'Billing Actual'!$B$2:$B$770,'Controls &amp; Sources'!$B$7)</f>
        <v>520</v>
      </c>
      <c r="Q173" s="25" t="n">
        <f aca="false">P173-N173</f>
        <v>0</v>
      </c>
      <c r="R173" s="22" t="str">
        <f aca="false">IF(O173=0,"No August moorage transaction",IF(O173&gt;1,"Duplicate August transactions",IF(ABS(Q173)&gt;0.005,"Charge variance","OK")))</f>
        <v>OK</v>
      </c>
      <c r="S173" s="22" t="str">
        <f aca="false">IF(R173="OK","","Billing completeness/reconciliation")</f>
        <v/>
      </c>
    </row>
    <row r="174" customFormat="false" ht="15" hidden="false" customHeight="false" outlineLevel="0" collapsed="false">
      <c r="A174" s="22" t="s">
        <v>7101</v>
      </c>
      <c r="B174" s="22" t="s">
        <v>198</v>
      </c>
      <c r="C174" s="22" t="s">
        <v>6562</v>
      </c>
      <c r="D174" s="22" t="n">
        <v>28</v>
      </c>
      <c r="E174" s="22" t="s">
        <v>6575</v>
      </c>
      <c r="F174" s="22" t="s">
        <v>6577</v>
      </c>
      <c r="G174" s="22" t="s">
        <v>5225</v>
      </c>
      <c r="H174" s="22" t="s">
        <v>5226</v>
      </c>
      <c r="I174" s="22" t="s">
        <v>364</v>
      </c>
      <c r="J174" s="22" t="n">
        <v>47.4</v>
      </c>
      <c r="K174" s="22" t="n">
        <f aca="false">ROUNDUP(J174,0)</f>
        <v>48</v>
      </c>
      <c r="L174" s="22" t="n">
        <f aca="false">MAX(D174,K174)</f>
        <v>48</v>
      </c>
      <c r="M174" s="25" t="n">
        <f aca="false">IF(E174="COVERED",'Controls &amp; Sources'!$B$5,'Controls &amp; Sources'!$B$6)</f>
        <v>10.4</v>
      </c>
      <c r="N174" s="25" t="n">
        <f aca="false">L174*M174</f>
        <v>499.2</v>
      </c>
      <c r="O174" s="22" t="n">
        <f aca="false">COUNTIFS('Billing Actual'!$E$2:$E$770,A174,'Billing Actual'!$B$2:$B$770,'Controls &amp; Sources'!$B$7)</f>
        <v>1</v>
      </c>
      <c r="P174" s="25" t="n">
        <f aca="false">SUMIFS('Billing Actual'!$M$2:$M$770,'Billing Actual'!$E$2:$E$770,A174,'Billing Actual'!$B$2:$B$770,'Controls &amp; Sources'!$B$7)</f>
        <v>499.2</v>
      </c>
      <c r="Q174" s="25" t="n">
        <f aca="false">P174-N174</f>
        <v>0</v>
      </c>
      <c r="R174" s="22" t="str">
        <f aca="false">IF(O174=0,"No August moorage transaction",IF(O174&gt;1,"Duplicate August transactions",IF(ABS(Q174)&gt;0.005,"Charge variance","OK")))</f>
        <v>OK</v>
      </c>
      <c r="S174" s="22" t="str">
        <f aca="false">IF(R174="OK","","Billing completeness/reconciliation")</f>
        <v/>
      </c>
    </row>
    <row r="175" customFormat="false" ht="15" hidden="false" customHeight="false" outlineLevel="0" collapsed="false">
      <c r="A175" s="22" t="s">
        <v>7104</v>
      </c>
      <c r="B175" s="22" t="s">
        <v>198</v>
      </c>
      <c r="C175" s="22" t="s">
        <v>6562</v>
      </c>
      <c r="D175" s="22" t="n">
        <v>32</v>
      </c>
      <c r="E175" s="22" t="s">
        <v>6575</v>
      </c>
      <c r="F175" s="22" t="s">
        <v>6577</v>
      </c>
      <c r="G175" s="22" t="s">
        <v>5999</v>
      </c>
      <c r="H175" s="22" t="s">
        <v>6000</v>
      </c>
      <c r="I175" s="22" t="s">
        <v>1011</v>
      </c>
      <c r="J175" s="22" t="n">
        <v>22.2</v>
      </c>
      <c r="K175" s="22" t="n">
        <f aca="false">ROUNDUP(J175,0)</f>
        <v>23</v>
      </c>
      <c r="L175" s="22" t="n">
        <f aca="false">MAX(D175,K175)</f>
        <v>32</v>
      </c>
      <c r="M175" s="25" t="n">
        <f aca="false">IF(E175="COVERED",'Controls &amp; Sources'!$B$5,'Controls &amp; Sources'!$B$6)</f>
        <v>10.4</v>
      </c>
      <c r="N175" s="25" t="n">
        <f aca="false">L175*M175</f>
        <v>332.8</v>
      </c>
      <c r="O175" s="22" t="n">
        <f aca="false">COUNTIFS('Billing Actual'!$E$2:$E$770,A175,'Billing Actual'!$B$2:$B$770,'Controls &amp; Sources'!$B$7)</f>
        <v>1</v>
      </c>
      <c r="P175" s="25" t="n">
        <f aca="false">SUMIFS('Billing Actual'!$M$2:$M$770,'Billing Actual'!$E$2:$E$770,A175,'Billing Actual'!$B$2:$B$770,'Controls &amp; Sources'!$B$7)</f>
        <v>332.8</v>
      </c>
      <c r="Q175" s="25" t="n">
        <f aca="false">P175-N175</f>
        <v>0</v>
      </c>
      <c r="R175" s="22" t="str">
        <f aca="false">IF(O175=0,"No August moorage transaction",IF(O175&gt;1,"Duplicate August transactions",IF(ABS(Q175)&gt;0.005,"Charge variance","OK")))</f>
        <v>OK</v>
      </c>
      <c r="S175" s="22" t="str">
        <f aca="false">IF(R175="OK","","Billing completeness/reconciliation")</f>
        <v/>
      </c>
    </row>
    <row r="176" customFormat="false" ht="15" hidden="false" customHeight="false" outlineLevel="0" collapsed="false">
      <c r="A176" s="22" t="s">
        <v>7107</v>
      </c>
      <c r="B176" s="22" t="s">
        <v>198</v>
      </c>
      <c r="C176" s="22" t="s">
        <v>6562</v>
      </c>
      <c r="D176" s="22" t="n">
        <v>28</v>
      </c>
      <c r="E176" s="22" t="s">
        <v>6575</v>
      </c>
      <c r="F176" s="22" t="s">
        <v>6577</v>
      </c>
      <c r="G176" s="22" t="s">
        <v>4538</v>
      </c>
      <c r="H176" s="22" t="s">
        <v>4539</v>
      </c>
      <c r="I176" s="22" t="s">
        <v>543</v>
      </c>
      <c r="J176" s="22" t="n">
        <v>60.9</v>
      </c>
      <c r="K176" s="22" t="n">
        <f aca="false">ROUNDUP(J176,0)</f>
        <v>61</v>
      </c>
      <c r="L176" s="22" t="n">
        <f aca="false">MAX(D176,K176)</f>
        <v>61</v>
      </c>
      <c r="M176" s="25" t="n">
        <f aca="false">IF(E176="COVERED",'Controls &amp; Sources'!$B$5,'Controls &amp; Sources'!$B$6)</f>
        <v>10.4</v>
      </c>
      <c r="N176" s="25" t="n">
        <f aca="false">L176*M176</f>
        <v>634.4</v>
      </c>
      <c r="O176" s="22" t="n">
        <f aca="false">COUNTIFS('Billing Actual'!$E$2:$E$770,A176,'Billing Actual'!$B$2:$B$770,'Controls &amp; Sources'!$B$7)</f>
        <v>1</v>
      </c>
      <c r="P176" s="25" t="n">
        <f aca="false">SUMIFS('Billing Actual'!$M$2:$M$770,'Billing Actual'!$E$2:$E$770,A176,'Billing Actual'!$B$2:$B$770,'Controls &amp; Sources'!$B$7)</f>
        <v>634.4</v>
      </c>
      <c r="Q176" s="25" t="n">
        <f aca="false">P176-N176</f>
        <v>0</v>
      </c>
      <c r="R176" s="22" t="str">
        <f aca="false">IF(O176=0,"No August moorage transaction",IF(O176&gt;1,"Duplicate August transactions",IF(ABS(Q176)&gt;0.005,"Charge variance","OK")))</f>
        <v>OK</v>
      </c>
      <c r="S176" s="22" t="str">
        <f aca="false">IF(R176="OK","","Billing completeness/reconciliation")</f>
        <v/>
      </c>
    </row>
    <row r="177" customFormat="false" ht="15" hidden="false" customHeight="false" outlineLevel="0" collapsed="false">
      <c r="A177" s="22" t="s">
        <v>7109</v>
      </c>
      <c r="B177" s="22" t="s">
        <v>198</v>
      </c>
      <c r="C177" s="22" t="s">
        <v>6562</v>
      </c>
      <c r="D177" s="22" t="n">
        <v>32</v>
      </c>
      <c r="E177" s="22" t="s">
        <v>6575</v>
      </c>
      <c r="F177" s="22" t="s">
        <v>6577</v>
      </c>
      <c r="G177" s="22" t="s">
        <v>3003</v>
      </c>
      <c r="H177" s="22" t="s">
        <v>3004</v>
      </c>
      <c r="I177" s="22" t="s">
        <v>2563</v>
      </c>
      <c r="J177" s="22" t="n">
        <v>19.1</v>
      </c>
      <c r="K177" s="22" t="n">
        <f aca="false">ROUNDUP(J177,0)</f>
        <v>20</v>
      </c>
      <c r="L177" s="22" t="n">
        <f aca="false">MAX(D177,K177)</f>
        <v>32</v>
      </c>
      <c r="M177" s="25" t="n">
        <f aca="false">IF(E177="COVERED",'Controls &amp; Sources'!$B$5,'Controls &amp; Sources'!$B$6)</f>
        <v>10.4</v>
      </c>
      <c r="N177" s="25" t="n">
        <f aca="false">L177*M177</f>
        <v>332.8</v>
      </c>
      <c r="O177" s="22" t="n">
        <f aca="false">COUNTIFS('Billing Actual'!$E$2:$E$770,A177,'Billing Actual'!$B$2:$B$770,'Controls &amp; Sources'!$B$7)</f>
        <v>1</v>
      </c>
      <c r="P177" s="25" t="n">
        <f aca="false">SUMIFS('Billing Actual'!$M$2:$M$770,'Billing Actual'!$E$2:$E$770,A177,'Billing Actual'!$B$2:$B$770,'Controls &amp; Sources'!$B$7)</f>
        <v>332.8</v>
      </c>
      <c r="Q177" s="25" t="n">
        <f aca="false">P177-N177</f>
        <v>0</v>
      </c>
      <c r="R177" s="22" t="str">
        <f aca="false">IF(O177=0,"No August moorage transaction",IF(O177&gt;1,"Duplicate August transactions",IF(ABS(Q177)&gt;0.005,"Charge variance","OK")))</f>
        <v>OK</v>
      </c>
      <c r="S177" s="22" t="str">
        <f aca="false">IF(R177="OK","","Billing completeness/reconciliation")</f>
        <v/>
      </c>
    </row>
    <row r="178" customFormat="false" ht="15" hidden="false" customHeight="false" outlineLevel="0" collapsed="false">
      <c r="A178" s="22" t="s">
        <v>7112</v>
      </c>
      <c r="B178" s="22" t="s">
        <v>198</v>
      </c>
      <c r="C178" s="22" t="s">
        <v>6562</v>
      </c>
      <c r="D178" s="22" t="n">
        <v>32</v>
      </c>
      <c r="E178" s="22" t="s">
        <v>6575</v>
      </c>
      <c r="F178" s="22" t="s">
        <v>6577</v>
      </c>
      <c r="G178" s="22" t="s">
        <v>481</v>
      </c>
      <c r="H178" s="22" t="s">
        <v>482</v>
      </c>
      <c r="I178" s="22" t="s">
        <v>483</v>
      </c>
      <c r="J178" s="22" t="n">
        <v>43.9</v>
      </c>
      <c r="K178" s="22" t="n">
        <f aca="false">ROUNDUP(J178,0)</f>
        <v>44</v>
      </c>
      <c r="L178" s="22" t="n">
        <f aca="false">MAX(D178,K178)</f>
        <v>44</v>
      </c>
      <c r="M178" s="25" t="n">
        <f aca="false">IF(E178="COVERED",'Controls &amp; Sources'!$B$5,'Controls &amp; Sources'!$B$6)</f>
        <v>10.4</v>
      </c>
      <c r="N178" s="25" t="n">
        <f aca="false">L178*M178</f>
        <v>457.6</v>
      </c>
      <c r="O178" s="22" t="n">
        <f aca="false">COUNTIFS('Billing Actual'!$E$2:$E$770,A178,'Billing Actual'!$B$2:$B$770,'Controls &amp; Sources'!$B$7)</f>
        <v>1</v>
      </c>
      <c r="P178" s="25" t="n">
        <f aca="false">SUMIFS('Billing Actual'!$M$2:$M$770,'Billing Actual'!$E$2:$E$770,A178,'Billing Actual'!$B$2:$B$770,'Controls &amp; Sources'!$B$7)</f>
        <v>457.6</v>
      </c>
      <c r="Q178" s="25" t="n">
        <f aca="false">P178-N178</f>
        <v>0</v>
      </c>
      <c r="R178" s="22" t="str">
        <f aca="false">IF(O178=0,"No August moorage transaction",IF(O178&gt;1,"Duplicate August transactions",IF(ABS(Q178)&gt;0.005,"Charge variance","OK")))</f>
        <v>OK</v>
      </c>
      <c r="S178" s="22" t="str">
        <f aca="false">IF(R178="OK","","Billing completeness/reconciliation")</f>
        <v/>
      </c>
    </row>
    <row r="179" customFormat="false" ht="15" hidden="false" customHeight="false" outlineLevel="0" collapsed="false">
      <c r="A179" s="22" t="s">
        <v>7114</v>
      </c>
      <c r="B179" s="22" t="s">
        <v>198</v>
      </c>
      <c r="C179" s="22" t="s">
        <v>6562</v>
      </c>
      <c r="D179" s="22" t="n">
        <v>28</v>
      </c>
      <c r="E179" s="22" t="s">
        <v>6575</v>
      </c>
      <c r="F179" s="22" t="s">
        <v>6577</v>
      </c>
      <c r="G179" s="22" t="s">
        <v>5487</v>
      </c>
      <c r="H179" s="22" t="s">
        <v>5488</v>
      </c>
      <c r="I179" s="22" t="s">
        <v>953</v>
      </c>
      <c r="J179" s="22" t="n">
        <v>53.2</v>
      </c>
      <c r="K179" s="22" t="n">
        <f aca="false">ROUNDUP(J179,0)</f>
        <v>54</v>
      </c>
      <c r="L179" s="22" t="n">
        <f aca="false">MAX(D179,K179)</f>
        <v>54</v>
      </c>
      <c r="M179" s="25" t="n">
        <f aca="false">IF(E179="COVERED",'Controls &amp; Sources'!$B$5,'Controls &amp; Sources'!$B$6)</f>
        <v>10.4</v>
      </c>
      <c r="N179" s="25" t="n">
        <f aca="false">L179*M179</f>
        <v>561.6</v>
      </c>
      <c r="O179" s="22" t="n">
        <f aca="false">COUNTIFS('Billing Actual'!$E$2:$E$770,A179,'Billing Actual'!$B$2:$B$770,'Controls &amp; Sources'!$B$7)</f>
        <v>1</v>
      </c>
      <c r="P179" s="25" t="n">
        <f aca="false">SUMIFS('Billing Actual'!$M$2:$M$770,'Billing Actual'!$E$2:$E$770,A179,'Billing Actual'!$B$2:$B$770,'Controls &amp; Sources'!$B$7)</f>
        <v>561.6</v>
      </c>
      <c r="Q179" s="25" t="n">
        <f aca="false">P179-N179</f>
        <v>0</v>
      </c>
      <c r="R179" s="22" t="str">
        <f aca="false">IF(O179=0,"No August moorage transaction",IF(O179&gt;1,"Duplicate August transactions",IF(ABS(Q179)&gt;0.005,"Charge variance","OK")))</f>
        <v>OK</v>
      </c>
      <c r="S179" s="22" t="str">
        <f aca="false">IF(R179="OK","","Billing completeness/reconciliation")</f>
        <v/>
      </c>
    </row>
    <row r="180" customFormat="false" ht="15" hidden="false" customHeight="false" outlineLevel="0" collapsed="false">
      <c r="A180" s="22" t="s">
        <v>7117</v>
      </c>
      <c r="B180" s="22" t="s">
        <v>198</v>
      </c>
      <c r="C180" s="22" t="s">
        <v>6562</v>
      </c>
      <c r="D180" s="22" t="n">
        <v>36</v>
      </c>
      <c r="E180" s="22" t="s">
        <v>6575</v>
      </c>
      <c r="F180" s="22" t="s">
        <v>6577</v>
      </c>
      <c r="G180" s="22" t="s">
        <v>4175</v>
      </c>
      <c r="H180" s="22" t="s">
        <v>4176</v>
      </c>
      <c r="I180" s="22" t="s">
        <v>386</v>
      </c>
      <c r="J180" s="22" t="n">
        <v>60.7</v>
      </c>
      <c r="K180" s="22" t="n">
        <f aca="false">ROUNDUP(J180,0)</f>
        <v>61</v>
      </c>
      <c r="L180" s="22" t="n">
        <f aca="false">MAX(D180,K180)</f>
        <v>61</v>
      </c>
      <c r="M180" s="25" t="n">
        <f aca="false">IF(E180="COVERED",'Controls &amp; Sources'!$B$5,'Controls &amp; Sources'!$B$6)</f>
        <v>10.4</v>
      </c>
      <c r="N180" s="25" t="n">
        <f aca="false">L180*M180</f>
        <v>634.4</v>
      </c>
      <c r="O180" s="22" t="n">
        <f aca="false">COUNTIFS('Billing Actual'!$E$2:$E$770,A180,'Billing Actual'!$B$2:$B$770,'Controls &amp; Sources'!$B$7)</f>
        <v>1</v>
      </c>
      <c r="P180" s="25" t="n">
        <f aca="false">SUMIFS('Billing Actual'!$M$2:$M$770,'Billing Actual'!$E$2:$E$770,A180,'Billing Actual'!$B$2:$B$770,'Controls &amp; Sources'!$B$7)</f>
        <v>634.4</v>
      </c>
      <c r="Q180" s="25" t="n">
        <f aca="false">P180-N180</f>
        <v>0</v>
      </c>
      <c r="R180" s="22" t="str">
        <f aca="false">IF(O180=0,"No August moorage transaction",IF(O180&gt;1,"Duplicate August transactions",IF(ABS(Q180)&gt;0.005,"Charge variance","OK")))</f>
        <v>OK</v>
      </c>
      <c r="S180" s="22" t="str">
        <f aca="false">IF(R180="OK","","Billing completeness/reconciliation")</f>
        <v/>
      </c>
    </row>
    <row r="181" customFormat="false" ht="15" hidden="false" customHeight="false" outlineLevel="0" collapsed="false">
      <c r="A181" s="22" t="s">
        <v>7119</v>
      </c>
      <c r="B181" s="22" t="s">
        <v>198</v>
      </c>
      <c r="C181" s="22" t="s">
        <v>6562</v>
      </c>
      <c r="D181" s="22" t="n">
        <v>24</v>
      </c>
      <c r="E181" s="22" t="s">
        <v>6575</v>
      </c>
      <c r="F181" s="22" t="s">
        <v>6577</v>
      </c>
      <c r="G181" s="22" t="s">
        <v>5379</v>
      </c>
      <c r="H181" s="22" t="s">
        <v>5380</v>
      </c>
      <c r="I181" s="22" t="s">
        <v>2991</v>
      </c>
      <c r="J181" s="22" t="n">
        <v>42.5</v>
      </c>
      <c r="K181" s="22" t="n">
        <f aca="false">ROUNDUP(J181,0)</f>
        <v>43</v>
      </c>
      <c r="L181" s="22" t="n">
        <f aca="false">MAX(D181,K181)</f>
        <v>43</v>
      </c>
      <c r="M181" s="25" t="n">
        <f aca="false">IF(E181="COVERED",'Controls &amp; Sources'!$B$5,'Controls &amp; Sources'!$B$6)</f>
        <v>10.4</v>
      </c>
      <c r="N181" s="25" t="n">
        <f aca="false">L181*M181</f>
        <v>447.2</v>
      </c>
      <c r="O181" s="22" t="n">
        <f aca="false">COUNTIFS('Billing Actual'!$E$2:$E$770,A181,'Billing Actual'!$B$2:$B$770,'Controls &amp; Sources'!$B$7)</f>
        <v>1</v>
      </c>
      <c r="P181" s="25" t="n">
        <f aca="false">SUMIFS('Billing Actual'!$M$2:$M$770,'Billing Actual'!$E$2:$E$770,A181,'Billing Actual'!$B$2:$B$770,'Controls &amp; Sources'!$B$7)</f>
        <v>447.2</v>
      </c>
      <c r="Q181" s="25" t="n">
        <f aca="false">P181-N181</f>
        <v>0</v>
      </c>
      <c r="R181" s="22" t="str">
        <f aca="false">IF(O181=0,"No August moorage transaction",IF(O181&gt;1,"Duplicate August transactions",IF(ABS(Q181)&gt;0.005,"Charge variance","OK")))</f>
        <v>OK</v>
      </c>
      <c r="S181" s="22" t="str">
        <f aca="false">IF(R181="OK","","Billing completeness/reconciliation")</f>
        <v/>
      </c>
    </row>
    <row r="182" customFormat="false" ht="15" hidden="false" customHeight="false" outlineLevel="0" collapsed="false">
      <c r="A182" s="22" t="s">
        <v>7122</v>
      </c>
      <c r="B182" s="22" t="s">
        <v>198</v>
      </c>
      <c r="C182" s="22" t="s">
        <v>6562</v>
      </c>
      <c r="D182" s="22" t="n">
        <v>40</v>
      </c>
      <c r="E182" s="22" t="s">
        <v>6575</v>
      </c>
      <c r="F182" s="22" t="s">
        <v>6577</v>
      </c>
      <c r="G182" s="22" t="s">
        <v>234</v>
      </c>
      <c r="H182" s="22" t="s">
        <v>235</v>
      </c>
      <c r="I182" s="22" t="s">
        <v>236</v>
      </c>
      <c r="J182" s="22" t="n">
        <v>48.1</v>
      </c>
      <c r="K182" s="22" t="n">
        <f aca="false">ROUNDUP(J182,0)</f>
        <v>49</v>
      </c>
      <c r="L182" s="22" t="n">
        <f aca="false">MAX(D182,K182)</f>
        <v>49</v>
      </c>
      <c r="M182" s="25" t="n">
        <f aca="false">IF(E182="COVERED",'Controls &amp; Sources'!$B$5,'Controls &amp; Sources'!$B$6)</f>
        <v>10.4</v>
      </c>
      <c r="N182" s="25" t="n">
        <f aca="false">L182*M182</f>
        <v>509.6</v>
      </c>
      <c r="O182" s="22" t="n">
        <f aca="false">COUNTIFS('Billing Actual'!$E$2:$E$770,A182,'Billing Actual'!$B$2:$B$770,'Controls &amp; Sources'!$B$7)</f>
        <v>1</v>
      </c>
      <c r="P182" s="25" t="n">
        <f aca="false">SUMIFS('Billing Actual'!$M$2:$M$770,'Billing Actual'!$E$2:$E$770,A182,'Billing Actual'!$B$2:$B$770,'Controls &amp; Sources'!$B$7)</f>
        <v>509.6</v>
      </c>
      <c r="Q182" s="25" t="n">
        <f aca="false">P182-N182</f>
        <v>0</v>
      </c>
      <c r="R182" s="22" t="str">
        <f aca="false">IF(O182=0,"No August moorage transaction",IF(O182&gt;1,"Duplicate August transactions",IF(ABS(Q182)&gt;0.005,"Charge variance","OK")))</f>
        <v>OK</v>
      </c>
      <c r="S182" s="22" t="str">
        <f aca="false">IF(R182="OK","","Billing completeness/reconciliation")</f>
        <v/>
      </c>
    </row>
    <row r="183" customFormat="false" ht="15" hidden="false" customHeight="false" outlineLevel="0" collapsed="false">
      <c r="A183" s="22" t="s">
        <v>7125</v>
      </c>
      <c r="B183" s="22" t="s">
        <v>198</v>
      </c>
      <c r="C183" s="22" t="s">
        <v>6562</v>
      </c>
      <c r="D183" s="22" t="n">
        <v>40</v>
      </c>
      <c r="E183" s="22" t="s">
        <v>6575</v>
      </c>
      <c r="F183" s="22" t="s">
        <v>6577</v>
      </c>
      <c r="G183" s="22" t="s">
        <v>4036</v>
      </c>
      <c r="H183" s="22" t="s">
        <v>4037</v>
      </c>
      <c r="I183" s="22" t="s">
        <v>4038</v>
      </c>
      <c r="J183" s="22" t="n">
        <v>24.3</v>
      </c>
      <c r="K183" s="22" t="n">
        <f aca="false">ROUNDUP(J183,0)</f>
        <v>25</v>
      </c>
      <c r="L183" s="22" t="n">
        <f aca="false">MAX(D183,K183)</f>
        <v>40</v>
      </c>
      <c r="M183" s="25" t="n">
        <f aca="false">IF(E183="COVERED",'Controls &amp; Sources'!$B$5,'Controls &amp; Sources'!$B$6)</f>
        <v>10.4</v>
      </c>
      <c r="N183" s="25" t="n">
        <f aca="false">L183*M183</f>
        <v>416</v>
      </c>
      <c r="O183" s="22" t="n">
        <f aca="false">COUNTIFS('Billing Actual'!$E$2:$E$770,A183,'Billing Actual'!$B$2:$B$770,'Controls &amp; Sources'!$B$7)</f>
        <v>1</v>
      </c>
      <c r="P183" s="25" t="n">
        <f aca="false">SUMIFS('Billing Actual'!$M$2:$M$770,'Billing Actual'!$E$2:$E$770,A183,'Billing Actual'!$B$2:$B$770,'Controls &amp; Sources'!$B$7)</f>
        <v>416</v>
      </c>
      <c r="Q183" s="25" t="n">
        <f aca="false">P183-N183</f>
        <v>0</v>
      </c>
      <c r="R183" s="22" t="str">
        <f aca="false">IF(O183=0,"No August moorage transaction",IF(O183&gt;1,"Duplicate August transactions",IF(ABS(Q183)&gt;0.005,"Charge variance","OK")))</f>
        <v>OK</v>
      </c>
      <c r="S183" s="22" t="str">
        <f aca="false">IF(R183="OK","","Billing completeness/reconciliation")</f>
        <v/>
      </c>
    </row>
    <row r="184" customFormat="false" ht="15" hidden="false" customHeight="false" outlineLevel="0" collapsed="false">
      <c r="A184" s="22" t="s">
        <v>7129</v>
      </c>
      <c r="B184" s="22" t="s">
        <v>198</v>
      </c>
      <c r="C184" s="22" t="s">
        <v>6562</v>
      </c>
      <c r="D184" s="22" t="n">
        <v>32</v>
      </c>
      <c r="E184" s="22" t="s">
        <v>6575</v>
      </c>
      <c r="F184" s="22" t="s">
        <v>6577</v>
      </c>
      <c r="G184" s="22" t="s">
        <v>2355</v>
      </c>
      <c r="H184" s="22" t="s">
        <v>2356</v>
      </c>
      <c r="I184" s="22" t="s">
        <v>272</v>
      </c>
      <c r="J184" s="22" t="n">
        <v>57.6</v>
      </c>
      <c r="K184" s="22" t="n">
        <f aca="false">ROUNDUP(J184,0)</f>
        <v>58</v>
      </c>
      <c r="L184" s="22" t="n">
        <f aca="false">MAX(D184,K184)</f>
        <v>58</v>
      </c>
      <c r="M184" s="25" t="n">
        <f aca="false">IF(E184="COVERED",'Controls &amp; Sources'!$B$5,'Controls &amp; Sources'!$B$6)</f>
        <v>10.4</v>
      </c>
      <c r="N184" s="25" t="n">
        <f aca="false">L184*M184</f>
        <v>603.2</v>
      </c>
      <c r="O184" s="22" t="n">
        <f aca="false">COUNTIFS('Billing Actual'!$E$2:$E$770,A184,'Billing Actual'!$B$2:$B$770,'Controls &amp; Sources'!$B$7)</f>
        <v>1</v>
      </c>
      <c r="P184" s="25" t="n">
        <f aca="false">SUMIFS('Billing Actual'!$M$2:$M$770,'Billing Actual'!$E$2:$E$770,A184,'Billing Actual'!$B$2:$B$770,'Controls &amp; Sources'!$B$7)</f>
        <v>603.2</v>
      </c>
      <c r="Q184" s="25" t="n">
        <f aca="false">P184-N184</f>
        <v>0</v>
      </c>
      <c r="R184" s="22" t="str">
        <f aca="false">IF(O184=0,"No August moorage transaction",IF(O184&gt;1,"Duplicate August transactions",IF(ABS(Q184)&gt;0.005,"Charge variance","OK")))</f>
        <v>OK</v>
      </c>
      <c r="S184" s="22" t="str">
        <f aca="false">IF(R184="OK","","Billing completeness/reconciliation")</f>
        <v/>
      </c>
    </row>
    <row r="185" customFormat="false" ht="15" hidden="false" customHeight="false" outlineLevel="0" collapsed="false">
      <c r="A185" s="22" t="s">
        <v>7132</v>
      </c>
      <c r="B185" s="22" t="s">
        <v>198</v>
      </c>
      <c r="C185" s="22" t="s">
        <v>6562</v>
      </c>
      <c r="D185" s="22" t="n">
        <v>36</v>
      </c>
      <c r="E185" s="22" t="s">
        <v>6575</v>
      </c>
      <c r="F185" s="22" t="s">
        <v>6577</v>
      </c>
      <c r="G185" s="22" t="s">
        <v>718</v>
      </c>
      <c r="H185" s="22" t="s">
        <v>719</v>
      </c>
      <c r="I185" s="22" t="s">
        <v>720</v>
      </c>
      <c r="J185" s="22" t="n">
        <v>20.2</v>
      </c>
      <c r="K185" s="22" t="n">
        <f aca="false">ROUNDUP(J185,0)</f>
        <v>21</v>
      </c>
      <c r="L185" s="22" t="n">
        <f aca="false">MAX(D185,K185)</f>
        <v>36</v>
      </c>
      <c r="M185" s="25" t="n">
        <f aca="false">IF(E185="COVERED",'Controls &amp; Sources'!$B$5,'Controls &amp; Sources'!$B$6)</f>
        <v>10.4</v>
      </c>
      <c r="N185" s="25" t="n">
        <f aca="false">L185*M185</f>
        <v>374.4</v>
      </c>
      <c r="O185" s="22" t="n">
        <f aca="false">COUNTIFS('Billing Actual'!$E$2:$E$770,A185,'Billing Actual'!$B$2:$B$770,'Controls &amp; Sources'!$B$7)</f>
        <v>1</v>
      </c>
      <c r="P185" s="25" t="n">
        <f aca="false">SUMIFS('Billing Actual'!$M$2:$M$770,'Billing Actual'!$E$2:$E$770,A185,'Billing Actual'!$B$2:$B$770,'Controls &amp; Sources'!$B$7)</f>
        <v>374.4</v>
      </c>
      <c r="Q185" s="25" t="n">
        <f aca="false">P185-N185</f>
        <v>0</v>
      </c>
      <c r="R185" s="22" t="str">
        <f aca="false">IF(O185=0,"No August moorage transaction",IF(O185&gt;1,"Duplicate August transactions",IF(ABS(Q185)&gt;0.005,"Charge variance","OK")))</f>
        <v>OK</v>
      </c>
      <c r="S185" s="22" t="str">
        <f aca="false">IF(R185="OK","","Billing completeness/reconciliation")</f>
        <v/>
      </c>
    </row>
    <row r="186" customFormat="false" ht="15" hidden="false" customHeight="false" outlineLevel="0" collapsed="false">
      <c r="A186" s="22" t="s">
        <v>7134</v>
      </c>
      <c r="B186" s="22" t="s">
        <v>198</v>
      </c>
      <c r="C186" s="22" t="s">
        <v>6562</v>
      </c>
      <c r="D186" s="22" t="n">
        <v>32</v>
      </c>
      <c r="E186" s="22" t="s">
        <v>6575</v>
      </c>
      <c r="F186" s="22" t="s">
        <v>6577</v>
      </c>
      <c r="G186" s="22" t="s">
        <v>6281</v>
      </c>
      <c r="H186" s="22" t="s">
        <v>6282</v>
      </c>
      <c r="I186" s="22" t="s">
        <v>1727</v>
      </c>
      <c r="J186" s="22" t="n">
        <v>61.6</v>
      </c>
      <c r="K186" s="22" t="n">
        <f aca="false">ROUNDUP(J186,0)</f>
        <v>62</v>
      </c>
      <c r="L186" s="22" t="n">
        <f aca="false">MAX(D186,K186)</f>
        <v>62</v>
      </c>
      <c r="M186" s="25" t="n">
        <f aca="false">IF(E186="COVERED",'Controls &amp; Sources'!$B$5,'Controls &amp; Sources'!$B$6)</f>
        <v>10.4</v>
      </c>
      <c r="N186" s="25" t="n">
        <f aca="false">L186*M186</f>
        <v>644.8</v>
      </c>
      <c r="O186" s="22" t="n">
        <f aca="false">COUNTIFS('Billing Actual'!$E$2:$E$770,A186,'Billing Actual'!$B$2:$B$770,'Controls &amp; Sources'!$B$7)</f>
        <v>1</v>
      </c>
      <c r="P186" s="25" t="n">
        <f aca="false">SUMIFS('Billing Actual'!$M$2:$M$770,'Billing Actual'!$E$2:$E$770,A186,'Billing Actual'!$B$2:$B$770,'Controls &amp; Sources'!$B$7)</f>
        <v>644.8</v>
      </c>
      <c r="Q186" s="25" t="n">
        <f aca="false">P186-N186</f>
        <v>0</v>
      </c>
      <c r="R186" s="22" t="str">
        <f aca="false">IF(O186=0,"No August moorage transaction",IF(O186&gt;1,"Duplicate August transactions",IF(ABS(Q186)&gt;0.005,"Charge variance","OK")))</f>
        <v>OK</v>
      </c>
      <c r="S186" s="22" t="str">
        <f aca="false">IF(R186="OK","","Billing completeness/reconciliation")</f>
        <v/>
      </c>
    </row>
    <row r="187" customFormat="false" ht="15" hidden="false" customHeight="false" outlineLevel="0" collapsed="false">
      <c r="A187" s="22" t="s">
        <v>7137</v>
      </c>
      <c r="B187" s="22" t="s">
        <v>198</v>
      </c>
      <c r="C187" s="22" t="s">
        <v>6562</v>
      </c>
      <c r="D187" s="22" t="n">
        <v>36</v>
      </c>
      <c r="E187" s="22" t="s">
        <v>6575</v>
      </c>
      <c r="F187" s="22" t="s">
        <v>6577</v>
      </c>
      <c r="G187" s="22" t="s">
        <v>2187</v>
      </c>
      <c r="H187" s="22" t="s">
        <v>2188</v>
      </c>
      <c r="I187" s="22" t="s">
        <v>899</v>
      </c>
      <c r="J187" s="22" t="n">
        <v>53.6</v>
      </c>
      <c r="K187" s="22" t="n">
        <f aca="false">ROUNDUP(J187,0)</f>
        <v>54</v>
      </c>
      <c r="L187" s="22" t="n">
        <f aca="false">MAX(D187,K187)</f>
        <v>54</v>
      </c>
      <c r="M187" s="25" t="n">
        <f aca="false">IF(E187="COVERED",'Controls &amp; Sources'!$B$5,'Controls &amp; Sources'!$B$6)</f>
        <v>10.4</v>
      </c>
      <c r="N187" s="25" t="n">
        <f aca="false">L187*M187</f>
        <v>561.6</v>
      </c>
      <c r="O187" s="22" t="n">
        <f aca="false">COUNTIFS('Billing Actual'!$E$2:$E$770,A187,'Billing Actual'!$B$2:$B$770,'Controls &amp; Sources'!$B$7)</f>
        <v>1</v>
      </c>
      <c r="P187" s="25" t="n">
        <f aca="false">SUMIFS('Billing Actual'!$M$2:$M$770,'Billing Actual'!$E$2:$E$770,A187,'Billing Actual'!$B$2:$B$770,'Controls &amp; Sources'!$B$7)</f>
        <v>561.6</v>
      </c>
      <c r="Q187" s="25" t="n">
        <f aca="false">P187-N187</f>
        <v>0</v>
      </c>
      <c r="R187" s="22" t="str">
        <f aca="false">IF(O187=0,"No August moorage transaction",IF(O187&gt;1,"Duplicate August transactions",IF(ABS(Q187)&gt;0.005,"Charge variance","OK")))</f>
        <v>OK</v>
      </c>
      <c r="S187" s="22" t="str">
        <f aca="false">IF(R187="OK","","Billing completeness/reconciliation")</f>
        <v/>
      </c>
    </row>
    <row r="188" customFormat="false" ht="15" hidden="false" customHeight="false" outlineLevel="0" collapsed="false">
      <c r="A188" s="22" t="s">
        <v>7139</v>
      </c>
      <c r="B188" s="22" t="s">
        <v>198</v>
      </c>
      <c r="C188" s="22" t="s">
        <v>6562</v>
      </c>
      <c r="D188" s="22" t="n">
        <v>28</v>
      </c>
      <c r="E188" s="22" t="s">
        <v>6575</v>
      </c>
      <c r="F188" s="22" t="s">
        <v>6577</v>
      </c>
      <c r="G188" s="22" t="s">
        <v>4771</v>
      </c>
      <c r="H188" s="22" t="s">
        <v>4772</v>
      </c>
      <c r="I188" s="22" t="s">
        <v>1783</v>
      </c>
      <c r="J188" s="22" t="n">
        <v>57.3</v>
      </c>
      <c r="K188" s="22" t="n">
        <f aca="false">ROUNDUP(J188,0)</f>
        <v>58</v>
      </c>
      <c r="L188" s="22" t="n">
        <f aca="false">MAX(D188,K188)</f>
        <v>58</v>
      </c>
      <c r="M188" s="25" t="n">
        <f aca="false">IF(E188="COVERED",'Controls &amp; Sources'!$B$5,'Controls &amp; Sources'!$B$6)</f>
        <v>10.4</v>
      </c>
      <c r="N188" s="25" t="n">
        <f aca="false">L188*M188</f>
        <v>603.2</v>
      </c>
      <c r="O188" s="22" t="n">
        <f aca="false">COUNTIFS('Billing Actual'!$E$2:$E$770,A188,'Billing Actual'!$B$2:$B$770,'Controls &amp; Sources'!$B$7)</f>
        <v>1</v>
      </c>
      <c r="P188" s="25" t="n">
        <f aca="false">SUMIFS('Billing Actual'!$M$2:$M$770,'Billing Actual'!$E$2:$E$770,A188,'Billing Actual'!$B$2:$B$770,'Controls &amp; Sources'!$B$7)</f>
        <v>603.2</v>
      </c>
      <c r="Q188" s="25" t="n">
        <f aca="false">P188-N188</f>
        <v>0</v>
      </c>
      <c r="R188" s="22" t="str">
        <f aca="false">IF(O188=0,"No August moorage transaction",IF(O188&gt;1,"Duplicate August transactions",IF(ABS(Q188)&gt;0.005,"Charge variance","OK")))</f>
        <v>OK</v>
      </c>
      <c r="S188" s="22" t="str">
        <f aca="false">IF(R188="OK","","Billing completeness/reconciliation")</f>
        <v/>
      </c>
    </row>
    <row r="189" customFormat="false" ht="15" hidden="false" customHeight="false" outlineLevel="0" collapsed="false">
      <c r="A189" s="22" t="s">
        <v>7142</v>
      </c>
      <c r="B189" s="22" t="s">
        <v>198</v>
      </c>
      <c r="C189" s="22" t="s">
        <v>6562</v>
      </c>
      <c r="D189" s="22" t="n">
        <v>24</v>
      </c>
      <c r="E189" s="22" t="s">
        <v>6575</v>
      </c>
      <c r="F189" s="22" t="s">
        <v>6577</v>
      </c>
      <c r="G189" s="22" t="s">
        <v>4470</v>
      </c>
      <c r="H189" s="22" t="s">
        <v>4471</v>
      </c>
      <c r="I189" s="22" t="s">
        <v>422</v>
      </c>
      <c r="J189" s="22" t="n">
        <v>45.7</v>
      </c>
      <c r="K189" s="22" t="n">
        <f aca="false">ROUNDUP(J189,0)</f>
        <v>46</v>
      </c>
      <c r="L189" s="22" t="n">
        <f aca="false">MAX(D189,K189)</f>
        <v>46</v>
      </c>
      <c r="M189" s="25" t="n">
        <f aca="false">IF(E189="COVERED",'Controls &amp; Sources'!$B$5,'Controls &amp; Sources'!$B$6)</f>
        <v>10.4</v>
      </c>
      <c r="N189" s="25" t="n">
        <f aca="false">L189*M189</f>
        <v>478.4</v>
      </c>
      <c r="O189" s="22" t="n">
        <f aca="false">COUNTIFS('Billing Actual'!$E$2:$E$770,A189,'Billing Actual'!$B$2:$B$770,'Controls &amp; Sources'!$B$7)</f>
        <v>1</v>
      </c>
      <c r="P189" s="25" t="n">
        <f aca="false">SUMIFS('Billing Actual'!$M$2:$M$770,'Billing Actual'!$E$2:$E$770,A189,'Billing Actual'!$B$2:$B$770,'Controls &amp; Sources'!$B$7)</f>
        <v>478.4</v>
      </c>
      <c r="Q189" s="25" t="n">
        <f aca="false">P189-N189</f>
        <v>0</v>
      </c>
      <c r="R189" s="22" t="str">
        <f aca="false">IF(O189=0,"No August moorage transaction",IF(O189&gt;1,"Duplicate August transactions",IF(ABS(Q189)&gt;0.005,"Charge variance","OK")))</f>
        <v>OK</v>
      </c>
      <c r="S189" s="22" t="str">
        <f aca="false">IF(R189="OK","","Billing completeness/reconciliation")</f>
        <v/>
      </c>
    </row>
    <row r="190" customFormat="false" ht="15" hidden="false" customHeight="false" outlineLevel="0" collapsed="false">
      <c r="A190" s="22" t="s">
        <v>7145</v>
      </c>
      <c r="B190" s="22" t="s">
        <v>198</v>
      </c>
      <c r="C190" s="22" t="s">
        <v>6562</v>
      </c>
      <c r="D190" s="22" t="n">
        <v>28</v>
      </c>
      <c r="E190" s="22" t="s">
        <v>6575</v>
      </c>
      <c r="F190" s="22" t="s">
        <v>6577</v>
      </c>
      <c r="G190" s="22" t="s">
        <v>172</v>
      </c>
      <c r="H190" s="22" t="s">
        <v>173</v>
      </c>
      <c r="I190" s="22" t="s">
        <v>174</v>
      </c>
      <c r="J190" s="22" t="n">
        <v>49.9</v>
      </c>
      <c r="K190" s="22" t="n">
        <f aca="false">ROUNDUP(J190,0)</f>
        <v>50</v>
      </c>
      <c r="L190" s="22" t="n">
        <f aca="false">MAX(D190,K190)</f>
        <v>50</v>
      </c>
      <c r="M190" s="25" t="n">
        <f aca="false">IF(E190="COVERED",'Controls &amp; Sources'!$B$5,'Controls &amp; Sources'!$B$6)</f>
        <v>10.4</v>
      </c>
      <c r="N190" s="25" t="n">
        <f aca="false">L190*M190</f>
        <v>520</v>
      </c>
      <c r="O190" s="22" t="n">
        <f aca="false">COUNTIFS('Billing Actual'!$E$2:$E$770,A190,'Billing Actual'!$B$2:$B$770,'Controls &amp; Sources'!$B$7)</f>
        <v>1</v>
      </c>
      <c r="P190" s="25" t="n">
        <f aca="false">SUMIFS('Billing Actual'!$M$2:$M$770,'Billing Actual'!$E$2:$E$770,A190,'Billing Actual'!$B$2:$B$770,'Controls &amp; Sources'!$B$7)</f>
        <v>520</v>
      </c>
      <c r="Q190" s="25" t="n">
        <f aca="false">P190-N190</f>
        <v>0</v>
      </c>
      <c r="R190" s="22" t="str">
        <f aca="false">IF(O190=0,"No August moorage transaction",IF(O190&gt;1,"Duplicate August transactions",IF(ABS(Q190)&gt;0.005,"Charge variance","OK")))</f>
        <v>OK</v>
      </c>
      <c r="S190" s="22" t="str">
        <f aca="false">IF(R190="OK","","Billing completeness/reconciliation")</f>
        <v/>
      </c>
    </row>
    <row r="191" customFormat="false" ht="15" hidden="false" customHeight="false" outlineLevel="0" collapsed="false">
      <c r="A191" s="22" t="s">
        <v>7148</v>
      </c>
      <c r="B191" s="22" t="s">
        <v>198</v>
      </c>
      <c r="C191" s="22" t="s">
        <v>6562</v>
      </c>
      <c r="D191" s="22" t="n">
        <v>24</v>
      </c>
      <c r="E191" s="22" t="s">
        <v>6575</v>
      </c>
      <c r="F191" s="22" t="s">
        <v>6577</v>
      </c>
      <c r="G191" s="22" t="s">
        <v>2216</v>
      </c>
      <c r="H191" s="22" t="s">
        <v>2217</v>
      </c>
      <c r="I191" s="22" t="s">
        <v>1082</v>
      </c>
      <c r="J191" s="22" t="n">
        <v>46.7</v>
      </c>
      <c r="K191" s="22" t="n">
        <f aca="false">ROUNDUP(J191,0)</f>
        <v>47</v>
      </c>
      <c r="L191" s="22" t="n">
        <f aca="false">MAX(D191,K191)</f>
        <v>47</v>
      </c>
      <c r="M191" s="25" t="n">
        <f aca="false">IF(E191="COVERED",'Controls &amp; Sources'!$B$5,'Controls &amp; Sources'!$B$6)</f>
        <v>10.4</v>
      </c>
      <c r="N191" s="25" t="n">
        <f aca="false">L191*M191</f>
        <v>488.8</v>
      </c>
      <c r="O191" s="22" t="n">
        <f aca="false">COUNTIFS('Billing Actual'!$E$2:$E$770,A191,'Billing Actual'!$B$2:$B$770,'Controls &amp; Sources'!$B$7)</f>
        <v>1</v>
      </c>
      <c r="P191" s="25" t="n">
        <f aca="false">SUMIFS('Billing Actual'!$M$2:$M$770,'Billing Actual'!$E$2:$E$770,A191,'Billing Actual'!$B$2:$B$770,'Controls &amp; Sources'!$B$7)</f>
        <v>488.8</v>
      </c>
      <c r="Q191" s="25" t="n">
        <f aca="false">P191-N191</f>
        <v>0</v>
      </c>
      <c r="R191" s="22" t="str">
        <f aca="false">IF(O191=0,"No August moorage transaction",IF(O191&gt;1,"Duplicate August transactions",IF(ABS(Q191)&gt;0.005,"Charge variance","OK")))</f>
        <v>OK</v>
      </c>
      <c r="S191" s="22" t="str">
        <f aca="false">IF(R191="OK","","Billing completeness/reconciliation")</f>
        <v/>
      </c>
    </row>
    <row r="192" customFormat="false" ht="15" hidden="false" customHeight="false" outlineLevel="0" collapsed="false">
      <c r="A192" s="22" t="s">
        <v>7151</v>
      </c>
      <c r="B192" s="22" t="s">
        <v>198</v>
      </c>
      <c r="C192" s="22" t="s">
        <v>6562</v>
      </c>
      <c r="D192" s="22" t="n">
        <v>28</v>
      </c>
      <c r="E192" s="22" t="s">
        <v>6575</v>
      </c>
      <c r="F192" s="22" t="s">
        <v>6577</v>
      </c>
      <c r="G192" s="22" t="s">
        <v>2621</v>
      </c>
      <c r="H192" s="22" t="s">
        <v>2622</v>
      </c>
      <c r="I192" s="22" t="s">
        <v>191</v>
      </c>
      <c r="J192" s="22" t="n">
        <v>38</v>
      </c>
      <c r="K192" s="22" t="n">
        <f aca="false">ROUNDUP(J192,0)</f>
        <v>38</v>
      </c>
      <c r="L192" s="22" t="n">
        <f aca="false">MAX(D192,K192)</f>
        <v>38</v>
      </c>
      <c r="M192" s="25" t="n">
        <f aca="false">IF(E192="COVERED",'Controls &amp; Sources'!$B$5,'Controls &amp; Sources'!$B$6)</f>
        <v>10.4</v>
      </c>
      <c r="N192" s="25" t="n">
        <f aca="false">L192*M192</f>
        <v>395.2</v>
      </c>
      <c r="O192" s="22" t="n">
        <f aca="false">COUNTIFS('Billing Actual'!$E$2:$E$770,A192,'Billing Actual'!$B$2:$B$770,'Controls &amp; Sources'!$B$7)</f>
        <v>1</v>
      </c>
      <c r="P192" s="25" t="n">
        <f aca="false">SUMIFS('Billing Actual'!$M$2:$M$770,'Billing Actual'!$E$2:$E$770,A192,'Billing Actual'!$B$2:$B$770,'Controls &amp; Sources'!$B$7)</f>
        <v>395.2</v>
      </c>
      <c r="Q192" s="25" t="n">
        <f aca="false">P192-N192</f>
        <v>0</v>
      </c>
      <c r="R192" s="22" t="str">
        <f aca="false">IF(O192=0,"No August moorage transaction",IF(O192&gt;1,"Duplicate August transactions",IF(ABS(Q192)&gt;0.005,"Charge variance","OK")))</f>
        <v>OK</v>
      </c>
      <c r="S192" s="22" t="str">
        <f aca="false">IF(R192="OK","","Billing completeness/reconciliation")</f>
        <v/>
      </c>
    </row>
    <row r="193" customFormat="false" ht="15" hidden="false" customHeight="false" outlineLevel="0" collapsed="false">
      <c r="A193" s="22" t="s">
        <v>7154</v>
      </c>
      <c r="B193" s="22" t="s">
        <v>198</v>
      </c>
      <c r="C193" s="22" t="s">
        <v>6562</v>
      </c>
      <c r="D193" s="22" t="n">
        <v>24</v>
      </c>
      <c r="E193" s="22" t="s">
        <v>6575</v>
      </c>
      <c r="F193" s="22" t="s">
        <v>6577</v>
      </c>
      <c r="G193" s="22" t="s">
        <v>2635</v>
      </c>
      <c r="H193" s="22" t="s">
        <v>2636</v>
      </c>
      <c r="I193" s="22" t="s">
        <v>1125</v>
      </c>
      <c r="J193" s="22" t="n">
        <v>43.3</v>
      </c>
      <c r="K193" s="22" t="n">
        <f aca="false">ROUNDUP(J193,0)</f>
        <v>44</v>
      </c>
      <c r="L193" s="22" t="n">
        <f aca="false">MAX(D193,K193)</f>
        <v>44</v>
      </c>
      <c r="M193" s="25" t="n">
        <f aca="false">IF(E193="COVERED",'Controls &amp; Sources'!$B$5,'Controls &amp; Sources'!$B$6)</f>
        <v>10.4</v>
      </c>
      <c r="N193" s="25" t="n">
        <f aca="false">L193*M193</f>
        <v>457.6</v>
      </c>
      <c r="O193" s="22" t="n">
        <f aca="false">COUNTIFS('Billing Actual'!$E$2:$E$770,A193,'Billing Actual'!$B$2:$B$770,'Controls &amp; Sources'!$B$7)</f>
        <v>1</v>
      </c>
      <c r="P193" s="25" t="n">
        <f aca="false">SUMIFS('Billing Actual'!$M$2:$M$770,'Billing Actual'!$E$2:$E$770,A193,'Billing Actual'!$B$2:$B$770,'Controls &amp; Sources'!$B$7)</f>
        <v>457.6</v>
      </c>
      <c r="Q193" s="25" t="n">
        <f aca="false">P193-N193</f>
        <v>0</v>
      </c>
      <c r="R193" s="22" t="str">
        <f aca="false">IF(O193=0,"No August moorage transaction",IF(O193&gt;1,"Duplicate August transactions",IF(ABS(Q193)&gt;0.005,"Charge variance","OK")))</f>
        <v>OK</v>
      </c>
      <c r="S193" s="22" t="str">
        <f aca="false">IF(R193="OK","","Billing completeness/reconciliation")</f>
        <v/>
      </c>
    </row>
    <row r="194" customFormat="false" ht="15" hidden="false" customHeight="false" outlineLevel="0" collapsed="false">
      <c r="A194" s="22" t="s">
        <v>7156</v>
      </c>
      <c r="B194" s="22" t="s">
        <v>198</v>
      </c>
      <c r="C194" s="22" t="s">
        <v>6562</v>
      </c>
      <c r="D194" s="22" t="n">
        <v>32</v>
      </c>
      <c r="E194" s="22" t="s">
        <v>6575</v>
      </c>
      <c r="F194" s="22" t="s">
        <v>6577</v>
      </c>
      <c r="G194" s="22" t="s">
        <v>4660</v>
      </c>
      <c r="H194" s="22" t="s">
        <v>4661</v>
      </c>
      <c r="I194" s="22" t="s">
        <v>1743</v>
      </c>
      <c r="J194" s="22" t="n">
        <v>32.6</v>
      </c>
      <c r="K194" s="22" t="n">
        <f aca="false">ROUNDUP(J194,0)</f>
        <v>33</v>
      </c>
      <c r="L194" s="22" t="n">
        <f aca="false">MAX(D194,K194)</f>
        <v>33</v>
      </c>
      <c r="M194" s="25" t="n">
        <f aca="false">IF(E194="COVERED",'Controls &amp; Sources'!$B$5,'Controls &amp; Sources'!$B$6)</f>
        <v>10.4</v>
      </c>
      <c r="N194" s="25" t="n">
        <f aca="false">L194*M194</f>
        <v>343.2</v>
      </c>
      <c r="O194" s="22" t="n">
        <f aca="false">COUNTIFS('Billing Actual'!$E$2:$E$770,A194,'Billing Actual'!$B$2:$B$770,'Controls &amp; Sources'!$B$7)</f>
        <v>1</v>
      </c>
      <c r="P194" s="25" t="n">
        <f aca="false">SUMIFS('Billing Actual'!$M$2:$M$770,'Billing Actual'!$E$2:$E$770,A194,'Billing Actual'!$B$2:$B$770,'Controls &amp; Sources'!$B$7)</f>
        <v>343.2</v>
      </c>
      <c r="Q194" s="25" t="n">
        <f aca="false">P194-N194</f>
        <v>0</v>
      </c>
      <c r="R194" s="22" t="str">
        <f aca="false">IF(O194=0,"No August moorage transaction",IF(O194&gt;1,"Duplicate August transactions",IF(ABS(Q194)&gt;0.005,"Charge variance","OK")))</f>
        <v>OK</v>
      </c>
      <c r="S194" s="22" t="str">
        <f aca="false">IF(R194="OK","","Billing completeness/reconciliation")</f>
        <v/>
      </c>
    </row>
    <row r="195" customFormat="false" ht="15" hidden="false" customHeight="false" outlineLevel="0" collapsed="false">
      <c r="A195" s="22" t="s">
        <v>7158</v>
      </c>
      <c r="B195" s="22" t="s">
        <v>198</v>
      </c>
      <c r="C195" s="22" t="s">
        <v>6562</v>
      </c>
      <c r="D195" s="22" t="n">
        <v>32</v>
      </c>
      <c r="E195" s="22" t="s">
        <v>6575</v>
      </c>
      <c r="F195" s="22" t="s">
        <v>6577</v>
      </c>
      <c r="G195" s="22" t="s">
        <v>3303</v>
      </c>
      <c r="H195" s="22" t="s">
        <v>3304</v>
      </c>
      <c r="I195" s="22" t="s">
        <v>962</v>
      </c>
      <c r="J195" s="22" t="n">
        <v>43.1</v>
      </c>
      <c r="K195" s="22" t="n">
        <f aca="false">ROUNDUP(J195,0)</f>
        <v>44</v>
      </c>
      <c r="L195" s="22" t="n">
        <f aca="false">MAX(D195,K195)</f>
        <v>44</v>
      </c>
      <c r="M195" s="25" t="n">
        <f aca="false">IF(E195="COVERED",'Controls &amp; Sources'!$B$5,'Controls &amp; Sources'!$B$6)</f>
        <v>10.4</v>
      </c>
      <c r="N195" s="25" t="n">
        <f aca="false">L195*M195</f>
        <v>457.6</v>
      </c>
      <c r="O195" s="22" t="n">
        <f aca="false">COUNTIFS('Billing Actual'!$E$2:$E$770,A195,'Billing Actual'!$B$2:$B$770,'Controls &amp; Sources'!$B$7)</f>
        <v>1</v>
      </c>
      <c r="P195" s="25" t="n">
        <f aca="false">SUMIFS('Billing Actual'!$M$2:$M$770,'Billing Actual'!$E$2:$E$770,A195,'Billing Actual'!$B$2:$B$770,'Controls &amp; Sources'!$B$7)</f>
        <v>457.6</v>
      </c>
      <c r="Q195" s="25" t="n">
        <f aca="false">P195-N195</f>
        <v>0</v>
      </c>
      <c r="R195" s="22" t="str">
        <f aca="false">IF(O195=0,"No August moorage transaction",IF(O195&gt;1,"Duplicate August transactions",IF(ABS(Q195)&gt;0.005,"Charge variance","OK")))</f>
        <v>OK</v>
      </c>
      <c r="S195" s="22" t="str">
        <f aca="false">IF(R195="OK","","Billing completeness/reconciliation")</f>
        <v/>
      </c>
    </row>
    <row r="196" customFormat="false" ht="15" hidden="false" customHeight="false" outlineLevel="0" collapsed="false">
      <c r="A196" s="22" t="s">
        <v>7161</v>
      </c>
      <c r="B196" s="22" t="s">
        <v>198</v>
      </c>
      <c r="C196" s="22" t="s">
        <v>6562</v>
      </c>
      <c r="D196" s="22" t="n">
        <v>40</v>
      </c>
      <c r="E196" s="22" t="s">
        <v>6575</v>
      </c>
      <c r="F196" s="22" t="s">
        <v>6577</v>
      </c>
      <c r="G196" s="22" t="s">
        <v>1964</v>
      </c>
      <c r="H196" s="22" t="s">
        <v>1965</v>
      </c>
      <c r="I196" s="22" t="s">
        <v>781</v>
      </c>
      <c r="J196" s="22" t="n">
        <v>35.1</v>
      </c>
      <c r="K196" s="22" t="n">
        <f aca="false">ROUNDUP(J196,0)</f>
        <v>36</v>
      </c>
      <c r="L196" s="22" t="n">
        <f aca="false">MAX(D196,K196)</f>
        <v>40</v>
      </c>
      <c r="M196" s="25" t="n">
        <f aca="false">IF(E196="COVERED",'Controls &amp; Sources'!$B$5,'Controls &amp; Sources'!$B$6)</f>
        <v>10.4</v>
      </c>
      <c r="N196" s="25" t="n">
        <f aca="false">L196*M196</f>
        <v>416</v>
      </c>
      <c r="O196" s="22" t="n">
        <f aca="false">COUNTIFS('Billing Actual'!$E$2:$E$770,A196,'Billing Actual'!$B$2:$B$770,'Controls &amp; Sources'!$B$7)</f>
        <v>1</v>
      </c>
      <c r="P196" s="25" t="n">
        <f aca="false">SUMIFS('Billing Actual'!$M$2:$M$770,'Billing Actual'!$E$2:$E$770,A196,'Billing Actual'!$B$2:$B$770,'Controls &amp; Sources'!$B$7)</f>
        <v>416</v>
      </c>
      <c r="Q196" s="25" t="n">
        <f aca="false">P196-N196</f>
        <v>0</v>
      </c>
      <c r="R196" s="22" t="str">
        <f aca="false">IF(O196=0,"No August moorage transaction",IF(O196&gt;1,"Duplicate August transactions",IF(ABS(Q196)&gt;0.005,"Charge variance","OK")))</f>
        <v>OK</v>
      </c>
      <c r="S196" s="22" t="str">
        <f aca="false">IF(R196="OK","","Billing completeness/reconciliation")</f>
        <v/>
      </c>
    </row>
    <row r="197" customFormat="false" ht="15" hidden="false" customHeight="false" outlineLevel="0" collapsed="false">
      <c r="A197" s="22" t="s">
        <v>7163</v>
      </c>
      <c r="B197" s="22" t="s">
        <v>198</v>
      </c>
      <c r="C197" s="22" t="s">
        <v>6562</v>
      </c>
      <c r="D197" s="22" t="n">
        <v>32</v>
      </c>
      <c r="E197" s="22" t="s">
        <v>6575</v>
      </c>
      <c r="F197" s="22" t="s">
        <v>6577</v>
      </c>
      <c r="G197" s="22" t="s">
        <v>1297</v>
      </c>
      <c r="H197" s="22" t="s">
        <v>1298</v>
      </c>
      <c r="I197" s="22" t="s">
        <v>1299</v>
      </c>
      <c r="J197" s="22" t="n">
        <v>35.1</v>
      </c>
      <c r="K197" s="22" t="n">
        <f aca="false">ROUNDUP(J197,0)</f>
        <v>36</v>
      </c>
      <c r="L197" s="22" t="n">
        <f aca="false">MAX(D197,K197)</f>
        <v>36</v>
      </c>
      <c r="M197" s="25" t="n">
        <f aca="false">IF(E197="COVERED",'Controls &amp; Sources'!$B$5,'Controls &amp; Sources'!$B$6)</f>
        <v>10.4</v>
      </c>
      <c r="N197" s="25" t="n">
        <f aca="false">L197*M197</f>
        <v>374.4</v>
      </c>
      <c r="O197" s="22" t="n">
        <f aca="false">COUNTIFS('Billing Actual'!$E$2:$E$770,A197,'Billing Actual'!$B$2:$B$770,'Controls &amp; Sources'!$B$7)</f>
        <v>1</v>
      </c>
      <c r="P197" s="25" t="n">
        <f aca="false">SUMIFS('Billing Actual'!$M$2:$M$770,'Billing Actual'!$E$2:$E$770,A197,'Billing Actual'!$B$2:$B$770,'Controls &amp; Sources'!$B$7)</f>
        <v>374.4</v>
      </c>
      <c r="Q197" s="25" t="n">
        <f aca="false">P197-N197</f>
        <v>0</v>
      </c>
      <c r="R197" s="22" t="str">
        <f aca="false">IF(O197=0,"No August moorage transaction",IF(O197&gt;1,"Duplicate August transactions",IF(ABS(Q197)&gt;0.005,"Charge variance","OK")))</f>
        <v>OK</v>
      </c>
      <c r="S197" s="22" t="str">
        <f aca="false">IF(R197="OK","","Billing completeness/reconciliation")</f>
        <v/>
      </c>
    </row>
    <row r="198" customFormat="false" ht="15" hidden="false" customHeight="false" outlineLevel="0" collapsed="false">
      <c r="A198" s="22" t="s">
        <v>7167</v>
      </c>
      <c r="B198" s="22" t="s">
        <v>198</v>
      </c>
      <c r="C198" s="22" t="s">
        <v>6562</v>
      </c>
      <c r="D198" s="22" t="n">
        <v>36</v>
      </c>
      <c r="E198" s="22" t="s">
        <v>6575</v>
      </c>
      <c r="F198" s="22" t="s">
        <v>6577</v>
      </c>
      <c r="G198" s="22" t="s">
        <v>1240</v>
      </c>
      <c r="H198" s="22" t="s">
        <v>1241</v>
      </c>
      <c r="I198" s="22" t="s">
        <v>1242</v>
      </c>
      <c r="J198" s="22" t="n">
        <v>34.5</v>
      </c>
      <c r="K198" s="22" t="n">
        <f aca="false">ROUNDUP(J198,0)</f>
        <v>35</v>
      </c>
      <c r="L198" s="22" t="n">
        <f aca="false">MAX(D198,K198)</f>
        <v>36</v>
      </c>
      <c r="M198" s="25" t="n">
        <f aca="false">IF(E198="COVERED",'Controls &amp; Sources'!$B$5,'Controls &amp; Sources'!$B$6)</f>
        <v>10.4</v>
      </c>
      <c r="N198" s="25" t="n">
        <f aca="false">L198*M198</f>
        <v>374.4</v>
      </c>
      <c r="O198" s="22" t="n">
        <f aca="false">COUNTIFS('Billing Actual'!$E$2:$E$770,A198,'Billing Actual'!$B$2:$B$770,'Controls &amp; Sources'!$B$7)</f>
        <v>1</v>
      </c>
      <c r="P198" s="25" t="n">
        <f aca="false">SUMIFS('Billing Actual'!$M$2:$M$770,'Billing Actual'!$E$2:$E$770,A198,'Billing Actual'!$B$2:$B$770,'Controls &amp; Sources'!$B$7)</f>
        <v>374.4</v>
      </c>
      <c r="Q198" s="25" t="n">
        <f aca="false">P198-N198</f>
        <v>0</v>
      </c>
      <c r="R198" s="22" t="str">
        <f aca="false">IF(O198=0,"No August moorage transaction",IF(O198&gt;1,"Duplicate August transactions",IF(ABS(Q198)&gt;0.005,"Charge variance","OK")))</f>
        <v>OK</v>
      </c>
      <c r="S198" s="22" t="str">
        <f aca="false">IF(R198="OK","","Billing completeness/reconciliation")</f>
        <v/>
      </c>
    </row>
    <row r="199" customFormat="false" ht="15" hidden="false" customHeight="false" outlineLevel="0" collapsed="false">
      <c r="A199" s="22" t="s">
        <v>7170</v>
      </c>
      <c r="B199" s="22" t="s">
        <v>198</v>
      </c>
      <c r="C199" s="22" t="s">
        <v>6562</v>
      </c>
      <c r="D199" s="22" t="n">
        <v>36</v>
      </c>
      <c r="E199" s="22" t="s">
        <v>6575</v>
      </c>
      <c r="F199" s="22" t="s">
        <v>6577</v>
      </c>
      <c r="G199" s="22" t="s">
        <v>6419</v>
      </c>
      <c r="H199" s="22" t="s">
        <v>4065</v>
      </c>
      <c r="I199" s="22" t="s">
        <v>950</v>
      </c>
      <c r="J199" s="22" t="n">
        <v>58.2</v>
      </c>
      <c r="K199" s="22" t="n">
        <f aca="false">ROUNDUP(J199,0)</f>
        <v>59</v>
      </c>
      <c r="L199" s="22" t="n">
        <f aca="false">MAX(D199,K199)</f>
        <v>59</v>
      </c>
      <c r="M199" s="25" t="n">
        <f aca="false">IF(E199="COVERED",'Controls &amp; Sources'!$B$5,'Controls &amp; Sources'!$B$6)</f>
        <v>10.4</v>
      </c>
      <c r="N199" s="25" t="n">
        <f aca="false">L199*M199</f>
        <v>613.6</v>
      </c>
      <c r="O199" s="22" t="n">
        <f aca="false">COUNTIFS('Billing Actual'!$E$2:$E$770,A199,'Billing Actual'!$B$2:$B$770,'Controls &amp; Sources'!$B$7)</f>
        <v>1</v>
      </c>
      <c r="P199" s="25" t="n">
        <f aca="false">SUMIFS('Billing Actual'!$M$2:$M$770,'Billing Actual'!$E$2:$E$770,A199,'Billing Actual'!$B$2:$B$770,'Controls &amp; Sources'!$B$7)</f>
        <v>613.6</v>
      </c>
      <c r="Q199" s="25" t="n">
        <f aca="false">P199-N199</f>
        <v>0</v>
      </c>
      <c r="R199" s="22" t="str">
        <f aca="false">IF(O199=0,"No August moorage transaction",IF(O199&gt;1,"Duplicate August transactions",IF(ABS(Q199)&gt;0.005,"Charge variance","OK")))</f>
        <v>OK</v>
      </c>
      <c r="S199" s="22" t="str">
        <f aca="false">IF(R199="OK","","Billing completeness/reconciliation")</f>
        <v/>
      </c>
    </row>
    <row r="200" customFormat="false" ht="15" hidden="false" customHeight="false" outlineLevel="0" collapsed="false">
      <c r="A200" s="22" t="s">
        <v>7172</v>
      </c>
      <c r="B200" s="22" t="s">
        <v>198</v>
      </c>
      <c r="C200" s="22" t="s">
        <v>6562</v>
      </c>
      <c r="D200" s="22" t="n">
        <v>32</v>
      </c>
      <c r="E200" s="22" t="s">
        <v>6575</v>
      </c>
      <c r="F200" s="22" t="s">
        <v>6577</v>
      </c>
      <c r="G200" s="22" t="s">
        <v>4721</v>
      </c>
      <c r="H200" s="22" t="s">
        <v>4722</v>
      </c>
      <c r="I200" s="22" t="s">
        <v>1847</v>
      </c>
      <c r="J200" s="22" t="n">
        <v>24.5</v>
      </c>
      <c r="K200" s="22" t="n">
        <f aca="false">ROUNDUP(J200,0)</f>
        <v>25</v>
      </c>
      <c r="L200" s="22" t="n">
        <f aca="false">MAX(D200,K200)</f>
        <v>32</v>
      </c>
      <c r="M200" s="25" t="n">
        <f aca="false">IF(E200="COVERED",'Controls &amp; Sources'!$B$5,'Controls &amp; Sources'!$B$6)</f>
        <v>10.4</v>
      </c>
      <c r="N200" s="25" t="n">
        <f aca="false">L200*M200</f>
        <v>332.8</v>
      </c>
      <c r="O200" s="22" t="n">
        <f aca="false">COUNTIFS('Billing Actual'!$E$2:$E$770,A200,'Billing Actual'!$B$2:$B$770,'Controls &amp; Sources'!$B$7)</f>
        <v>1</v>
      </c>
      <c r="P200" s="25" t="n">
        <f aca="false">SUMIFS('Billing Actual'!$M$2:$M$770,'Billing Actual'!$E$2:$E$770,A200,'Billing Actual'!$B$2:$B$770,'Controls &amp; Sources'!$B$7)</f>
        <v>332.8</v>
      </c>
      <c r="Q200" s="25" t="n">
        <f aca="false">P200-N200</f>
        <v>0</v>
      </c>
      <c r="R200" s="22" t="str">
        <f aca="false">IF(O200=0,"No August moorage transaction",IF(O200&gt;1,"Duplicate August transactions",IF(ABS(Q200)&gt;0.005,"Charge variance","OK")))</f>
        <v>OK</v>
      </c>
      <c r="S200" s="22" t="str">
        <f aca="false">IF(R200="OK","","Billing completeness/reconciliation")</f>
        <v/>
      </c>
    </row>
    <row r="201" customFormat="false" ht="15" hidden="false" customHeight="false" outlineLevel="0" collapsed="false">
      <c r="A201" s="22" t="s">
        <v>7175</v>
      </c>
      <c r="B201" s="22" t="s">
        <v>198</v>
      </c>
      <c r="C201" s="22" t="s">
        <v>6562</v>
      </c>
      <c r="D201" s="22" t="n">
        <v>28</v>
      </c>
      <c r="E201" s="22" t="s">
        <v>6575</v>
      </c>
      <c r="F201" s="22" t="s">
        <v>6577</v>
      </c>
      <c r="G201" s="22" t="s">
        <v>665</v>
      </c>
      <c r="H201" s="22" t="s">
        <v>666</v>
      </c>
      <c r="I201" s="22" t="s">
        <v>486</v>
      </c>
      <c r="J201" s="22" t="n">
        <v>38.3</v>
      </c>
      <c r="K201" s="22" t="n">
        <f aca="false">ROUNDUP(J201,0)</f>
        <v>39</v>
      </c>
      <c r="L201" s="22" t="n">
        <f aca="false">MAX(D201,K201)</f>
        <v>39</v>
      </c>
      <c r="M201" s="25" t="n">
        <f aca="false">IF(E201="COVERED",'Controls &amp; Sources'!$B$5,'Controls &amp; Sources'!$B$6)</f>
        <v>10.4</v>
      </c>
      <c r="N201" s="25" t="n">
        <f aca="false">L201*M201</f>
        <v>405.6</v>
      </c>
      <c r="O201" s="22" t="n">
        <f aca="false">COUNTIFS('Billing Actual'!$E$2:$E$770,A201,'Billing Actual'!$B$2:$B$770,'Controls &amp; Sources'!$B$7)</f>
        <v>1</v>
      </c>
      <c r="P201" s="25" t="n">
        <f aca="false">SUMIFS('Billing Actual'!$M$2:$M$770,'Billing Actual'!$E$2:$E$770,A201,'Billing Actual'!$B$2:$B$770,'Controls &amp; Sources'!$B$7)</f>
        <v>405.6</v>
      </c>
      <c r="Q201" s="25" t="n">
        <f aca="false">P201-N201</f>
        <v>0</v>
      </c>
      <c r="R201" s="22" t="str">
        <f aca="false">IF(O201=0,"No August moorage transaction",IF(O201&gt;1,"Duplicate August transactions",IF(ABS(Q201)&gt;0.005,"Charge variance","OK")))</f>
        <v>OK</v>
      </c>
      <c r="S201" s="22" t="str">
        <f aca="false">IF(R201="OK","","Billing completeness/reconciliation")</f>
        <v/>
      </c>
    </row>
    <row r="202" customFormat="false" ht="15" hidden="false" customHeight="false" outlineLevel="0" collapsed="false">
      <c r="A202" s="22" t="s">
        <v>7178</v>
      </c>
      <c r="B202" s="22" t="s">
        <v>198</v>
      </c>
      <c r="C202" s="22" t="s">
        <v>6562</v>
      </c>
      <c r="D202" s="22" t="n">
        <v>28</v>
      </c>
      <c r="E202" s="22" t="s">
        <v>6575</v>
      </c>
      <c r="F202" s="22" t="s">
        <v>6577</v>
      </c>
      <c r="G202" s="22" t="s">
        <v>3437</v>
      </c>
      <c r="H202" s="22" t="s">
        <v>3438</v>
      </c>
      <c r="I202" s="22" t="s">
        <v>1477</v>
      </c>
      <c r="J202" s="22" t="n">
        <v>24.8</v>
      </c>
      <c r="K202" s="22" t="n">
        <f aca="false">ROUNDUP(J202,0)</f>
        <v>25</v>
      </c>
      <c r="L202" s="22" t="n">
        <f aca="false">MAX(D202,K202)</f>
        <v>28</v>
      </c>
      <c r="M202" s="25" t="n">
        <f aca="false">IF(E202="COVERED",'Controls &amp; Sources'!$B$5,'Controls &amp; Sources'!$B$6)</f>
        <v>10.4</v>
      </c>
      <c r="N202" s="25" t="n">
        <f aca="false">L202*M202</f>
        <v>291.2</v>
      </c>
      <c r="O202" s="22" t="n">
        <f aca="false">COUNTIFS('Billing Actual'!$E$2:$E$770,A202,'Billing Actual'!$B$2:$B$770,'Controls &amp; Sources'!$B$7)</f>
        <v>1</v>
      </c>
      <c r="P202" s="25" t="n">
        <f aca="false">SUMIFS('Billing Actual'!$M$2:$M$770,'Billing Actual'!$E$2:$E$770,A202,'Billing Actual'!$B$2:$B$770,'Controls &amp; Sources'!$B$7)</f>
        <v>291.2</v>
      </c>
      <c r="Q202" s="25" t="n">
        <f aca="false">P202-N202</f>
        <v>0</v>
      </c>
      <c r="R202" s="22" t="str">
        <f aca="false">IF(O202=0,"No August moorage transaction",IF(O202&gt;1,"Duplicate August transactions",IF(ABS(Q202)&gt;0.005,"Charge variance","OK")))</f>
        <v>OK</v>
      </c>
      <c r="S202" s="22" t="str">
        <f aca="false">IF(R202="OK","","Billing completeness/reconciliation")</f>
        <v/>
      </c>
    </row>
    <row r="203" customFormat="false" ht="15" hidden="false" customHeight="false" outlineLevel="0" collapsed="false">
      <c r="A203" s="22" t="s">
        <v>7180</v>
      </c>
      <c r="B203" s="22" t="s">
        <v>198</v>
      </c>
      <c r="C203" s="22" t="s">
        <v>6562</v>
      </c>
      <c r="D203" s="22" t="n">
        <v>24</v>
      </c>
      <c r="E203" s="22" t="s">
        <v>6575</v>
      </c>
      <c r="F203" s="22" t="s">
        <v>6577</v>
      </c>
      <c r="G203" s="22" t="s">
        <v>5260</v>
      </c>
      <c r="H203" s="22" t="s">
        <v>5261</v>
      </c>
      <c r="I203" s="22" t="s">
        <v>711</v>
      </c>
      <c r="J203" s="22" t="n">
        <v>58</v>
      </c>
      <c r="K203" s="22" t="n">
        <f aca="false">ROUNDUP(J203,0)</f>
        <v>58</v>
      </c>
      <c r="L203" s="22" t="n">
        <f aca="false">MAX(D203,K203)</f>
        <v>58</v>
      </c>
      <c r="M203" s="25" t="n">
        <f aca="false">IF(E203="COVERED",'Controls &amp; Sources'!$B$5,'Controls &amp; Sources'!$B$6)</f>
        <v>10.4</v>
      </c>
      <c r="N203" s="25" t="n">
        <f aca="false">L203*M203</f>
        <v>603.2</v>
      </c>
      <c r="O203" s="22" t="n">
        <f aca="false">COUNTIFS('Billing Actual'!$E$2:$E$770,A203,'Billing Actual'!$B$2:$B$770,'Controls &amp; Sources'!$B$7)</f>
        <v>1</v>
      </c>
      <c r="P203" s="25" t="n">
        <f aca="false">SUMIFS('Billing Actual'!$M$2:$M$770,'Billing Actual'!$E$2:$E$770,A203,'Billing Actual'!$B$2:$B$770,'Controls &amp; Sources'!$B$7)</f>
        <v>603.2</v>
      </c>
      <c r="Q203" s="25" t="n">
        <f aca="false">P203-N203</f>
        <v>0</v>
      </c>
      <c r="R203" s="22" t="str">
        <f aca="false">IF(O203=0,"No August moorage transaction",IF(O203&gt;1,"Duplicate August transactions",IF(ABS(Q203)&gt;0.005,"Charge variance","OK")))</f>
        <v>OK</v>
      </c>
      <c r="S203" s="22" t="str">
        <f aca="false">IF(R203="OK","","Billing completeness/reconciliation")</f>
        <v/>
      </c>
    </row>
    <row r="204" customFormat="false" ht="15" hidden="false" customHeight="false" outlineLevel="0" collapsed="false">
      <c r="A204" s="22" t="s">
        <v>7182</v>
      </c>
      <c r="B204" s="22" t="s">
        <v>198</v>
      </c>
      <c r="C204" s="22" t="s">
        <v>6562</v>
      </c>
      <c r="D204" s="22" t="n">
        <v>24</v>
      </c>
      <c r="E204" s="22" t="s">
        <v>6575</v>
      </c>
      <c r="F204" s="22" t="s">
        <v>6577</v>
      </c>
      <c r="G204" s="22" t="s">
        <v>4060</v>
      </c>
      <c r="H204" s="22" t="s">
        <v>4061</v>
      </c>
      <c r="I204" s="22" t="s">
        <v>1102</v>
      </c>
      <c r="J204" s="22" t="n">
        <v>21</v>
      </c>
      <c r="K204" s="22" t="n">
        <f aca="false">ROUNDUP(J204,0)</f>
        <v>21</v>
      </c>
      <c r="L204" s="22" t="n">
        <f aca="false">MAX(D204,K204)</f>
        <v>24</v>
      </c>
      <c r="M204" s="25" t="n">
        <f aca="false">IF(E204="COVERED",'Controls &amp; Sources'!$B$5,'Controls &amp; Sources'!$B$6)</f>
        <v>10.4</v>
      </c>
      <c r="N204" s="25" t="n">
        <f aca="false">L204*M204</f>
        <v>249.6</v>
      </c>
      <c r="O204" s="22" t="n">
        <f aca="false">COUNTIFS('Billing Actual'!$E$2:$E$770,A204,'Billing Actual'!$B$2:$B$770,'Controls &amp; Sources'!$B$7)</f>
        <v>1</v>
      </c>
      <c r="P204" s="25" t="n">
        <f aca="false">SUMIFS('Billing Actual'!$M$2:$M$770,'Billing Actual'!$E$2:$E$770,A204,'Billing Actual'!$B$2:$B$770,'Controls &amp; Sources'!$B$7)</f>
        <v>249.6</v>
      </c>
      <c r="Q204" s="25" t="n">
        <f aca="false">P204-N204</f>
        <v>0</v>
      </c>
      <c r="R204" s="22" t="str">
        <f aca="false">IF(O204=0,"No August moorage transaction",IF(O204&gt;1,"Duplicate August transactions",IF(ABS(Q204)&gt;0.005,"Charge variance","OK")))</f>
        <v>OK</v>
      </c>
      <c r="S204" s="22" t="str">
        <f aca="false">IF(R204="OK","","Billing completeness/reconciliation")</f>
        <v/>
      </c>
    </row>
    <row r="205" customFormat="false" ht="15" hidden="false" customHeight="false" outlineLevel="0" collapsed="false">
      <c r="A205" s="22" t="s">
        <v>7185</v>
      </c>
      <c r="B205" s="22" t="s">
        <v>198</v>
      </c>
      <c r="C205" s="22" t="s">
        <v>6562</v>
      </c>
      <c r="D205" s="22" t="n">
        <v>28</v>
      </c>
      <c r="E205" s="22" t="s">
        <v>6575</v>
      </c>
      <c r="F205" s="22" t="s">
        <v>6577</v>
      </c>
      <c r="G205" s="22" t="s">
        <v>1032</v>
      </c>
      <c r="H205" s="22" t="s">
        <v>1033</v>
      </c>
      <c r="I205" s="22" t="s">
        <v>1034</v>
      </c>
      <c r="J205" s="22" t="n">
        <v>59.9</v>
      </c>
      <c r="K205" s="22" t="n">
        <f aca="false">ROUNDUP(J205,0)</f>
        <v>60</v>
      </c>
      <c r="L205" s="22" t="n">
        <f aca="false">MAX(D205,K205)</f>
        <v>60</v>
      </c>
      <c r="M205" s="25" t="n">
        <f aca="false">IF(E205="COVERED",'Controls &amp; Sources'!$B$5,'Controls &amp; Sources'!$B$6)</f>
        <v>10.4</v>
      </c>
      <c r="N205" s="25" t="n">
        <f aca="false">L205*M205</f>
        <v>624</v>
      </c>
      <c r="O205" s="22" t="n">
        <f aca="false">COUNTIFS('Billing Actual'!$E$2:$E$770,A205,'Billing Actual'!$B$2:$B$770,'Controls &amp; Sources'!$B$7)</f>
        <v>1</v>
      </c>
      <c r="P205" s="25" t="n">
        <f aca="false">SUMIFS('Billing Actual'!$M$2:$M$770,'Billing Actual'!$E$2:$E$770,A205,'Billing Actual'!$B$2:$B$770,'Controls &amp; Sources'!$B$7)</f>
        <v>624</v>
      </c>
      <c r="Q205" s="25" t="n">
        <f aca="false">P205-N205</f>
        <v>0</v>
      </c>
      <c r="R205" s="22" t="str">
        <f aca="false">IF(O205=0,"No August moorage transaction",IF(O205&gt;1,"Duplicate August transactions",IF(ABS(Q205)&gt;0.005,"Charge variance","OK")))</f>
        <v>OK</v>
      </c>
      <c r="S205" s="22" t="str">
        <f aca="false">IF(R205="OK","","Billing completeness/reconciliation")</f>
        <v/>
      </c>
    </row>
    <row r="206" customFormat="false" ht="15" hidden="false" customHeight="false" outlineLevel="0" collapsed="false">
      <c r="A206" s="22" t="s">
        <v>7187</v>
      </c>
      <c r="B206" s="22" t="s">
        <v>198</v>
      </c>
      <c r="C206" s="22" t="s">
        <v>6562</v>
      </c>
      <c r="D206" s="22" t="n">
        <v>40</v>
      </c>
      <c r="E206" s="22" t="s">
        <v>6575</v>
      </c>
      <c r="F206" s="22" t="s">
        <v>6577</v>
      </c>
      <c r="G206" s="22" t="s">
        <v>5107</v>
      </c>
      <c r="H206" s="22" t="s">
        <v>5108</v>
      </c>
      <c r="I206" s="22" t="s">
        <v>2823</v>
      </c>
      <c r="J206" s="22" t="n">
        <v>54.4</v>
      </c>
      <c r="K206" s="22" t="n">
        <f aca="false">ROUNDUP(J206,0)</f>
        <v>55</v>
      </c>
      <c r="L206" s="22" t="n">
        <f aca="false">MAX(D206,K206)</f>
        <v>55</v>
      </c>
      <c r="M206" s="25" t="n">
        <f aca="false">IF(E206="COVERED",'Controls &amp; Sources'!$B$5,'Controls &amp; Sources'!$B$6)</f>
        <v>10.4</v>
      </c>
      <c r="N206" s="25" t="n">
        <f aca="false">L206*M206</f>
        <v>572</v>
      </c>
      <c r="O206" s="22" t="n">
        <f aca="false">COUNTIFS('Billing Actual'!$E$2:$E$770,A206,'Billing Actual'!$B$2:$B$770,'Controls &amp; Sources'!$B$7)</f>
        <v>1</v>
      </c>
      <c r="P206" s="25" t="n">
        <f aca="false">SUMIFS('Billing Actual'!$M$2:$M$770,'Billing Actual'!$E$2:$E$770,A206,'Billing Actual'!$B$2:$B$770,'Controls &amp; Sources'!$B$7)</f>
        <v>572</v>
      </c>
      <c r="Q206" s="25" t="n">
        <f aca="false">P206-N206</f>
        <v>0</v>
      </c>
      <c r="R206" s="22" t="str">
        <f aca="false">IF(O206=0,"No August moorage transaction",IF(O206&gt;1,"Duplicate August transactions",IF(ABS(Q206)&gt;0.005,"Charge variance","OK")))</f>
        <v>OK</v>
      </c>
      <c r="S206" s="22" t="str">
        <f aca="false">IF(R206="OK","","Billing completeness/reconciliation")</f>
        <v/>
      </c>
    </row>
    <row r="207" customFormat="false" ht="15" hidden="false" customHeight="false" outlineLevel="0" collapsed="false">
      <c r="A207" s="22" t="s">
        <v>7191</v>
      </c>
      <c r="B207" s="22" t="s">
        <v>198</v>
      </c>
      <c r="C207" s="22" t="s">
        <v>6562</v>
      </c>
      <c r="D207" s="22" t="n">
        <v>32</v>
      </c>
      <c r="E207" s="22" t="s">
        <v>6575</v>
      </c>
      <c r="F207" s="22" t="s">
        <v>6577</v>
      </c>
      <c r="G207" s="22" t="s">
        <v>5524</v>
      </c>
      <c r="H207" s="22" t="s">
        <v>5525</v>
      </c>
      <c r="I207" s="22" t="s">
        <v>4043</v>
      </c>
      <c r="J207" s="22" t="n">
        <v>62</v>
      </c>
      <c r="K207" s="22" t="n">
        <f aca="false">ROUNDUP(J207,0)</f>
        <v>62</v>
      </c>
      <c r="L207" s="22" t="n">
        <f aca="false">MAX(D207,K207)</f>
        <v>62</v>
      </c>
      <c r="M207" s="25" t="n">
        <f aca="false">IF(E207="COVERED",'Controls &amp; Sources'!$B$5,'Controls &amp; Sources'!$B$6)</f>
        <v>10.4</v>
      </c>
      <c r="N207" s="25" t="n">
        <f aca="false">L207*M207</f>
        <v>644.8</v>
      </c>
      <c r="O207" s="22" t="n">
        <f aca="false">COUNTIFS('Billing Actual'!$E$2:$E$770,A207,'Billing Actual'!$B$2:$B$770,'Controls &amp; Sources'!$B$7)</f>
        <v>1</v>
      </c>
      <c r="P207" s="25" t="n">
        <f aca="false">SUMIFS('Billing Actual'!$M$2:$M$770,'Billing Actual'!$E$2:$E$770,A207,'Billing Actual'!$B$2:$B$770,'Controls &amp; Sources'!$B$7)</f>
        <v>644.8</v>
      </c>
      <c r="Q207" s="25" t="n">
        <f aca="false">P207-N207</f>
        <v>0</v>
      </c>
      <c r="R207" s="22" t="str">
        <f aca="false">IF(O207=0,"No August moorage transaction",IF(O207&gt;1,"Duplicate August transactions",IF(ABS(Q207)&gt;0.005,"Charge variance","OK")))</f>
        <v>OK</v>
      </c>
      <c r="S207" s="22" t="str">
        <f aca="false">IF(R207="OK","","Billing completeness/reconciliation")</f>
        <v/>
      </c>
    </row>
    <row r="208" customFormat="false" ht="15" hidden="false" customHeight="false" outlineLevel="0" collapsed="false">
      <c r="A208" s="22" t="s">
        <v>7194</v>
      </c>
      <c r="B208" s="22" t="s">
        <v>198</v>
      </c>
      <c r="C208" s="22" t="s">
        <v>6562</v>
      </c>
      <c r="D208" s="22" t="n">
        <v>28</v>
      </c>
      <c r="E208" s="22" t="s">
        <v>6575</v>
      </c>
      <c r="F208" s="22" t="s">
        <v>6577</v>
      </c>
      <c r="G208" s="22" t="s">
        <v>1027</v>
      </c>
      <c r="H208" s="22" t="s">
        <v>1028</v>
      </c>
      <c r="I208" s="22" t="s">
        <v>1029</v>
      </c>
      <c r="J208" s="22" t="n">
        <v>56.2</v>
      </c>
      <c r="K208" s="22" t="n">
        <f aca="false">ROUNDUP(J208,0)</f>
        <v>57</v>
      </c>
      <c r="L208" s="22" t="n">
        <f aca="false">MAX(D208,K208)</f>
        <v>57</v>
      </c>
      <c r="M208" s="25" t="n">
        <f aca="false">IF(E208="COVERED",'Controls &amp; Sources'!$B$5,'Controls &amp; Sources'!$B$6)</f>
        <v>10.4</v>
      </c>
      <c r="N208" s="25" t="n">
        <f aca="false">L208*M208</f>
        <v>592.8</v>
      </c>
      <c r="O208" s="22" t="n">
        <f aca="false">COUNTIFS('Billing Actual'!$E$2:$E$770,A208,'Billing Actual'!$B$2:$B$770,'Controls &amp; Sources'!$B$7)</f>
        <v>1</v>
      </c>
      <c r="P208" s="25" t="n">
        <f aca="false">SUMIFS('Billing Actual'!$M$2:$M$770,'Billing Actual'!$E$2:$E$770,A208,'Billing Actual'!$B$2:$B$770,'Controls &amp; Sources'!$B$7)</f>
        <v>592.8</v>
      </c>
      <c r="Q208" s="25" t="n">
        <f aca="false">P208-N208</f>
        <v>0</v>
      </c>
      <c r="R208" s="22" t="str">
        <f aca="false">IF(O208=0,"No August moorage transaction",IF(O208&gt;1,"Duplicate August transactions",IF(ABS(Q208)&gt;0.005,"Charge variance","OK")))</f>
        <v>OK</v>
      </c>
      <c r="S208" s="22" t="str">
        <f aca="false">IF(R208="OK","","Billing completeness/reconciliation")</f>
        <v/>
      </c>
    </row>
    <row r="209" customFormat="false" ht="15" hidden="false" customHeight="false" outlineLevel="0" collapsed="false">
      <c r="A209" s="22" t="s">
        <v>7196</v>
      </c>
      <c r="B209" s="22" t="s">
        <v>198</v>
      </c>
      <c r="C209" s="22" t="s">
        <v>6562</v>
      </c>
      <c r="D209" s="22" t="n">
        <v>24</v>
      </c>
      <c r="E209" s="22" t="s">
        <v>6575</v>
      </c>
      <c r="F209" s="22" t="s">
        <v>6577</v>
      </c>
      <c r="G209" s="22" t="s">
        <v>5574</v>
      </c>
      <c r="H209" s="22" t="s">
        <v>5575</v>
      </c>
      <c r="I209" s="22" t="s">
        <v>4222</v>
      </c>
      <c r="J209" s="22" t="n">
        <v>33.9</v>
      </c>
      <c r="K209" s="22" t="n">
        <f aca="false">ROUNDUP(J209,0)</f>
        <v>34</v>
      </c>
      <c r="L209" s="22" t="n">
        <f aca="false">MAX(D209,K209)</f>
        <v>34</v>
      </c>
      <c r="M209" s="25" t="n">
        <f aca="false">IF(E209="COVERED",'Controls &amp; Sources'!$B$5,'Controls &amp; Sources'!$B$6)</f>
        <v>10.4</v>
      </c>
      <c r="N209" s="25" t="n">
        <f aca="false">L209*M209</f>
        <v>353.6</v>
      </c>
      <c r="O209" s="22" t="n">
        <f aca="false">COUNTIFS('Billing Actual'!$E$2:$E$770,A209,'Billing Actual'!$B$2:$B$770,'Controls &amp; Sources'!$B$7)</f>
        <v>1</v>
      </c>
      <c r="P209" s="25" t="n">
        <f aca="false">SUMIFS('Billing Actual'!$M$2:$M$770,'Billing Actual'!$E$2:$E$770,A209,'Billing Actual'!$B$2:$B$770,'Controls &amp; Sources'!$B$7)</f>
        <v>353.6</v>
      </c>
      <c r="Q209" s="25" t="n">
        <f aca="false">P209-N209</f>
        <v>0</v>
      </c>
      <c r="R209" s="22" t="str">
        <f aca="false">IF(O209=0,"No August moorage transaction",IF(O209&gt;1,"Duplicate August transactions",IF(ABS(Q209)&gt;0.005,"Charge variance","OK")))</f>
        <v>OK</v>
      </c>
      <c r="S209" s="22" t="str">
        <f aca="false">IF(R209="OK","","Billing completeness/reconciliation")</f>
        <v/>
      </c>
    </row>
    <row r="210" customFormat="false" ht="15" hidden="false" customHeight="false" outlineLevel="0" collapsed="false">
      <c r="A210" s="22" t="s">
        <v>7198</v>
      </c>
      <c r="B210" s="22" t="s">
        <v>198</v>
      </c>
      <c r="C210" s="22" t="s">
        <v>6562</v>
      </c>
      <c r="D210" s="22" t="n">
        <v>28</v>
      </c>
      <c r="E210" s="22" t="s">
        <v>6575</v>
      </c>
      <c r="F210" s="22" t="s">
        <v>6577</v>
      </c>
      <c r="G210" s="22" t="s">
        <v>6196</v>
      </c>
      <c r="H210" s="22" t="s">
        <v>6197</v>
      </c>
      <c r="I210" s="22" t="s">
        <v>793</v>
      </c>
      <c r="J210" s="22" t="n">
        <v>38</v>
      </c>
      <c r="K210" s="22" t="n">
        <f aca="false">ROUNDUP(J210,0)</f>
        <v>38</v>
      </c>
      <c r="L210" s="22" t="n">
        <f aca="false">MAX(D210,K210)</f>
        <v>38</v>
      </c>
      <c r="M210" s="25" t="n">
        <f aca="false">IF(E210="COVERED",'Controls &amp; Sources'!$B$5,'Controls &amp; Sources'!$B$6)</f>
        <v>10.4</v>
      </c>
      <c r="N210" s="25" t="n">
        <f aca="false">L210*M210</f>
        <v>395.2</v>
      </c>
      <c r="O210" s="22" t="n">
        <f aca="false">COUNTIFS('Billing Actual'!$E$2:$E$770,A210,'Billing Actual'!$B$2:$B$770,'Controls &amp; Sources'!$B$7)</f>
        <v>1</v>
      </c>
      <c r="P210" s="25" t="n">
        <f aca="false">SUMIFS('Billing Actual'!$M$2:$M$770,'Billing Actual'!$E$2:$E$770,A210,'Billing Actual'!$B$2:$B$770,'Controls &amp; Sources'!$B$7)</f>
        <v>395.2</v>
      </c>
      <c r="Q210" s="25" t="n">
        <f aca="false">P210-N210</f>
        <v>0</v>
      </c>
      <c r="R210" s="22" t="str">
        <f aca="false">IF(O210=0,"No August moorage transaction",IF(O210&gt;1,"Duplicate August transactions",IF(ABS(Q210)&gt;0.005,"Charge variance","OK")))</f>
        <v>OK</v>
      </c>
      <c r="S210" s="22" t="str">
        <f aca="false">IF(R210="OK","","Billing completeness/reconciliation")</f>
        <v/>
      </c>
    </row>
    <row r="211" customFormat="false" ht="15" hidden="false" customHeight="false" outlineLevel="0" collapsed="false">
      <c r="A211" s="22" t="s">
        <v>7201</v>
      </c>
      <c r="B211" s="22" t="s">
        <v>198</v>
      </c>
      <c r="C211" s="22" t="s">
        <v>6562</v>
      </c>
      <c r="D211" s="22" t="n">
        <v>36</v>
      </c>
      <c r="E211" s="22" t="s">
        <v>6575</v>
      </c>
      <c r="F211" s="22" t="s">
        <v>6577</v>
      </c>
      <c r="G211" s="22" t="s">
        <v>4160</v>
      </c>
      <c r="H211" s="22" t="s">
        <v>4161</v>
      </c>
      <c r="I211" s="22" t="s">
        <v>2177</v>
      </c>
      <c r="J211" s="22" t="n">
        <v>19.5</v>
      </c>
      <c r="K211" s="22" t="n">
        <f aca="false">ROUNDUP(J211,0)</f>
        <v>20</v>
      </c>
      <c r="L211" s="22" t="n">
        <f aca="false">MAX(D211,K211)</f>
        <v>36</v>
      </c>
      <c r="M211" s="25" t="n">
        <f aca="false">IF(E211="COVERED",'Controls &amp; Sources'!$B$5,'Controls &amp; Sources'!$B$6)</f>
        <v>10.4</v>
      </c>
      <c r="N211" s="25" t="n">
        <f aca="false">L211*M211</f>
        <v>374.4</v>
      </c>
      <c r="O211" s="22" t="n">
        <f aca="false">COUNTIFS('Billing Actual'!$E$2:$E$770,A211,'Billing Actual'!$B$2:$B$770,'Controls &amp; Sources'!$B$7)</f>
        <v>1</v>
      </c>
      <c r="P211" s="25" t="n">
        <f aca="false">SUMIFS('Billing Actual'!$M$2:$M$770,'Billing Actual'!$E$2:$E$770,A211,'Billing Actual'!$B$2:$B$770,'Controls &amp; Sources'!$B$7)</f>
        <v>374.4</v>
      </c>
      <c r="Q211" s="25" t="n">
        <f aca="false">P211-N211</f>
        <v>0</v>
      </c>
      <c r="R211" s="22" t="str">
        <f aca="false">IF(O211=0,"No August moorage transaction",IF(O211&gt;1,"Duplicate August transactions",IF(ABS(Q211)&gt;0.005,"Charge variance","OK")))</f>
        <v>OK</v>
      </c>
      <c r="S211" s="22" t="str">
        <f aca="false">IF(R211="OK","","Billing completeness/reconciliation")</f>
        <v/>
      </c>
    </row>
    <row r="212" customFormat="false" ht="15" hidden="false" customHeight="false" outlineLevel="0" collapsed="false">
      <c r="A212" s="22" t="s">
        <v>7204</v>
      </c>
      <c r="B212" s="22" t="s">
        <v>198</v>
      </c>
      <c r="C212" s="22" t="s">
        <v>6562</v>
      </c>
      <c r="D212" s="22" t="n">
        <v>32</v>
      </c>
      <c r="E212" s="22" t="s">
        <v>6575</v>
      </c>
      <c r="F212" s="22" t="s">
        <v>6577</v>
      </c>
      <c r="G212" s="22" t="s">
        <v>6107</v>
      </c>
      <c r="H212" s="22" t="s">
        <v>6108</v>
      </c>
      <c r="I212" s="22" t="s">
        <v>557</v>
      </c>
      <c r="J212" s="22" t="n">
        <v>57.9</v>
      </c>
      <c r="K212" s="22" t="n">
        <f aca="false">ROUNDUP(J212,0)</f>
        <v>58</v>
      </c>
      <c r="L212" s="22" t="n">
        <f aca="false">MAX(D212,K212)</f>
        <v>58</v>
      </c>
      <c r="M212" s="25" t="n">
        <f aca="false">IF(E212="COVERED",'Controls &amp; Sources'!$B$5,'Controls &amp; Sources'!$B$6)</f>
        <v>10.4</v>
      </c>
      <c r="N212" s="25" t="n">
        <f aca="false">L212*M212</f>
        <v>603.2</v>
      </c>
      <c r="O212" s="22" t="n">
        <f aca="false">COUNTIFS('Billing Actual'!$E$2:$E$770,A212,'Billing Actual'!$B$2:$B$770,'Controls &amp; Sources'!$B$7)</f>
        <v>1</v>
      </c>
      <c r="P212" s="25" t="n">
        <f aca="false">SUMIFS('Billing Actual'!$M$2:$M$770,'Billing Actual'!$E$2:$E$770,A212,'Billing Actual'!$B$2:$B$770,'Controls &amp; Sources'!$B$7)</f>
        <v>603.2</v>
      </c>
      <c r="Q212" s="25" t="n">
        <f aca="false">P212-N212</f>
        <v>0</v>
      </c>
      <c r="R212" s="22" t="str">
        <f aca="false">IF(O212=0,"No August moorage transaction",IF(O212&gt;1,"Duplicate August transactions",IF(ABS(Q212)&gt;0.005,"Charge variance","OK")))</f>
        <v>OK</v>
      </c>
      <c r="S212" s="22" t="str">
        <f aca="false">IF(R212="OK","","Billing completeness/reconciliation")</f>
        <v/>
      </c>
    </row>
    <row r="213" customFormat="false" ht="15" hidden="false" customHeight="false" outlineLevel="0" collapsed="false">
      <c r="A213" s="22" t="s">
        <v>7207</v>
      </c>
      <c r="B213" s="22" t="s">
        <v>198</v>
      </c>
      <c r="C213" s="22" t="s">
        <v>6562</v>
      </c>
      <c r="D213" s="22" t="n">
        <v>32</v>
      </c>
      <c r="E213" s="22" t="s">
        <v>6575</v>
      </c>
      <c r="F213" s="22" t="s">
        <v>6577</v>
      </c>
      <c r="G213" s="22" t="s">
        <v>4156</v>
      </c>
      <c r="H213" s="22" t="s">
        <v>4157</v>
      </c>
      <c r="I213" s="22" t="s">
        <v>2856</v>
      </c>
      <c r="J213" s="22" t="n">
        <v>58.9</v>
      </c>
      <c r="K213" s="22" t="n">
        <f aca="false">ROUNDUP(J213,0)</f>
        <v>59</v>
      </c>
      <c r="L213" s="22" t="n">
        <f aca="false">MAX(D213,K213)</f>
        <v>59</v>
      </c>
      <c r="M213" s="25" t="n">
        <f aca="false">IF(E213="COVERED",'Controls &amp; Sources'!$B$5,'Controls &amp; Sources'!$B$6)</f>
        <v>10.4</v>
      </c>
      <c r="N213" s="25" t="n">
        <f aca="false">L213*M213</f>
        <v>613.6</v>
      </c>
      <c r="O213" s="22" t="n">
        <f aca="false">COUNTIFS('Billing Actual'!$E$2:$E$770,A213,'Billing Actual'!$B$2:$B$770,'Controls &amp; Sources'!$B$7)</f>
        <v>1</v>
      </c>
      <c r="P213" s="25" t="n">
        <f aca="false">SUMIFS('Billing Actual'!$M$2:$M$770,'Billing Actual'!$E$2:$E$770,A213,'Billing Actual'!$B$2:$B$770,'Controls &amp; Sources'!$B$7)</f>
        <v>613.6</v>
      </c>
      <c r="Q213" s="25" t="n">
        <f aca="false">P213-N213</f>
        <v>0</v>
      </c>
      <c r="R213" s="22" t="str">
        <f aca="false">IF(O213=0,"No August moorage transaction",IF(O213&gt;1,"Duplicate August transactions",IF(ABS(Q213)&gt;0.005,"Charge variance","OK")))</f>
        <v>OK</v>
      </c>
      <c r="S213" s="22" t="str">
        <f aca="false">IF(R213="OK","","Billing completeness/reconciliation")</f>
        <v/>
      </c>
    </row>
    <row r="214" customFormat="false" ht="15" hidden="false" customHeight="false" outlineLevel="0" collapsed="false">
      <c r="A214" s="22" t="s">
        <v>7210</v>
      </c>
      <c r="B214" s="22" t="s">
        <v>198</v>
      </c>
      <c r="C214" s="22" t="s">
        <v>6562</v>
      </c>
      <c r="D214" s="22" t="n">
        <v>32</v>
      </c>
      <c r="E214" s="22" t="s">
        <v>6575</v>
      </c>
      <c r="F214" s="22" t="s">
        <v>6577</v>
      </c>
      <c r="G214" s="22" t="s">
        <v>2263</v>
      </c>
      <c r="H214" s="22" t="s">
        <v>2264</v>
      </c>
      <c r="I214" s="22" t="s">
        <v>2265</v>
      </c>
      <c r="J214" s="22" t="n">
        <v>19.3</v>
      </c>
      <c r="K214" s="22" t="n">
        <f aca="false">ROUNDUP(J214,0)</f>
        <v>20</v>
      </c>
      <c r="L214" s="22" t="n">
        <f aca="false">MAX(D214,K214)</f>
        <v>32</v>
      </c>
      <c r="M214" s="25" t="n">
        <f aca="false">IF(E214="COVERED",'Controls &amp; Sources'!$B$5,'Controls &amp; Sources'!$B$6)</f>
        <v>10.4</v>
      </c>
      <c r="N214" s="25" t="n">
        <f aca="false">L214*M214</f>
        <v>332.8</v>
      </c>
      <c r="O214" s="22" t="n">
        <f aca="false">COUNTIFS('Billing Actual'!$E$2:$E$770,A214,'Billing Actual'!$B$2:$B$770,'Controls &amp; Sources'!$B$7)</f>
        <v>1</v>
      </c>
      <c r="P214" s="25" t="n">
        <f aca="false">SUMIFS('Billing Actual'!$M$2:$M$770,'Billing Actual'!$E$2:$E$770,A214,'Billing Actual'!$B$2:$B$770,'Controls &amp; Sources'!$B$7)</f>
        <v>332.8</v>
      </c>
      <c r="Q214" s="25" t="n">
        <f aca="false">P214-N214</f>
        <v>0</v>
      </c>
      <c r="R214" s="22" t="str">
        <f aca="false">IF(O214=0,"No August moorage transaction",IF(O214&gt;1,"Duplicate August transactions",IF(ABS(Q214)&gt;0.005,"Charge variance","OK")))</f>
        <v>OK</v>
      </c>
      <c r="S214" s="22" t="str">
        <f aca="false">IF(R214="OK","","Billing completeness/reconciliation")</f>
        <v/>
      </c>
    </row>
    <row r="215" customFormat="false" ht="15" hidden="false" customHeight="false" outlineLevel="0" collapsed="false">
      <c r="A215" s="22" t="s">
        <v>7212</v>
      </c>
      <c r="B215" s="22" t="s">
        <v>198</v>
      </c>
      <c r="C215" s="22" t="s">
        <v>6562</v>
      </c>
      <c r="D215" s="22" t="n">
        <v>32</v>
      </c>
      <c r="E215" s="22" t="s">
        <v>6575</v>
      </c>
      <c r="F215" s="22" t="s">
        <v>6577</v>
      </c>
      <c r="G215" s="22" t="s">
        <v>1972</v>
      </c>
      <c r="H215" s="22" t="s">
        <v>1973</v>
      </c>
      <c r="I215" s="22" t="s">
        <v>1974</v>
      </c>
      <c r="J215" s="22" t="n">
        <v>61.8</v>
      </c>
      <c r="K215" s="22" t="n">
        <f aca="false">ROUNDUP(J215,0)</f>
        <v>62</v>
      </c>
      <c r="L215" s="22" t="n">
        <f aca="false">MAX(D215,K215)</f>
        <v>62</v>
      </c>
      <c r="M215" s="25" t="n">
        <f aca="false">IF(E215="COVERED",'Controls &amp; Sources'!$B$5,'Controls &amp; Sources'!$B$6)</f>
        <v>10.4</v>
      </c>
      <c r="N215" s="25" t="n">
        <f aca="false">L215*M215</f>
        <v>644.8</v>
      </c>
      <c r="O215" s="22" t="n">
        <f aca="false">COUNTIFS('Billing Actual'!$E$2:$E$770,A215,'Billing Actual'!$B$2:$B$770,'Controls &amp; Sources'!$B$7)</f>
        <v>1</v>
      </c>
      <c r="P215" s="25" t="n">
        <f aca="false">SUMIFS('Billing Actual'!$M$2:$M$770,'Billing Actual'!$E$2:$E$770,A215,'Billing Actual'!$B$2:$B$770,'Controls &amp; Sources'!$B$7)</f>
        <v>644.8</v>
      </c>
      <c r="Q215" s="25" t="n">
        <f aca="false">P215-N215</f>
        <v>0</v>
      </c>
      <c r="R215" s="22" t="str">
        <f aca="false">IF(O215=0,"No August moorage transaction",IF(O215&gt;1,"Duplicate August transactions",IF(ABS(Q215)&gt;0.005,"Charge variance","OK")))</f>
        <v>OK</v>
      </c>
      <c r="S215" s="22" t="str">
        <f aca="false">IF(R215="OK","","Billing completeness/reconciliation")</f>
        <v/>
      </c>
    </row>
    <row r="216" customFormat="false" ht="15" hidden="false" customHeight="false" outlineLevel="0" collapsed="false">
      <c r="A216" s="22" t="s">
        <v>7215</v>
      </c>
      <c r="B216" s="22" t="s">
        <v>198</v>
      </c>
      <c r="C216" s="22" t="s">
        <v>6562</v>
      </c>
      <c r="D216" s="22" t="n">
        <v>24</v>
      </c>
      <c r="E216" s="22" t="s">
        <v>6575</v>
      </c>
      <c r="F216" s="22" t="s">
        <v>6577</v>
      </c>
      <c r="G216" s="22" t="s">
        <v>4576</v>
      </c>
      <c r="H216" s="22" t="s">
        <v>4577</v>
      </c>
      <c r="I216" s="22" t="s">
        <v>770</v>
      </c>
      <c r="J216" s="22" t="n">
        <v>40.9</v>
      </c>
      <c r="K216" s="22" t="n">
        <f aca="false">ROUNDUP(J216,0)</f>
        <v>41</v>
      </c>
      <c r="L216" s="22" t="n">
        <f aca="false">MAX(D216,K216)</f>
        <v>41</v>
      </c>
      <c r="M216" s="25" t="n">
        <f aca="false">IF(E216="COVERED",'Controls &amp; Sources'!$B$5,'Controls &amp; Sources'!$B$6)</f>
        <v>10.4</v>
      </c>
      <c r="N216" s="25" t="n">
        <f aca="false">L216*M216</f>
        <v>426.4</v>
      </c>
      <c r="O216" s="22" t="n">
        <f aca="false">COUNTIFS('Billing Actual'!$E$2:$E$770,A216,'Billing Actual'!$B$2:$B$770,'Controls &amp; Sources'!$B$7)</f>
        <v>1</v>
      </c>
      <c r="P216" s="25" t="n">
        <f aca="false">SUMIFS('Billing Actual'!$M$2:$M$770,'Billing Actual'!$E$2:$E$770,A216,'Billing Actual'!$B$2:$B$770,'Controls &amp; Sources'!$B$7)</f>
        <v>426.4</v>
      </c>
      <c r="Q216" s="25" t="n">
        <f aca="false">P216-N216</f>
        <v>0</v>
      </c>
      <c r="R216" s="22" t="str">
        <f aca="false">IF(O216=0,"No August moorage transaction",IF(O216&gt;1,"Duplicate August transactions",IF(ABS(Q216)&gt;0.005,"Charge variance","OK")))</f>
        <v>OK</v>
      </c>
      <c r="S216" s="22" t="str">
        <f aca="false">IF(R216="OK","","Billing completeness/reconciliation")</f>
        <v/>
      </c>
    </row>
    <row r="217" customFormat="false" ht="15" hidden="false" customHeight="false" outlineLevel="0" collapsed="false">
      <c r="A217" s="22" t="s">
        <v>7218</v>
      </c>
      <c r="B217" s="22" t="s">
        <v>198</v>
      </c>
      <c r="C217" s="22" t="s">
        <v>6562</v>
      </c>
      <c r="D217" s="22" t="n">
        <v>28</v>
      </c>
      <c r="E217" s="22" t="s">
        <v>6575</v>
      </c>
      <c r="F217" s="22" t="s">
        <v>6577</v>
      </c>
      <c r="G217" s="22" t="s">
        <v>2834</v>
      </c>
      <c r="H217" s="22" t="s">
        <v>2835</v>
      </c>
      <c r="I217" s="22" t="s">
        <v>2836</v>
      </c>
      <c r="J217" s="22" t="n">
        <v>28.7</v>
      </c>
      <c r="K217" s="22" t="n">
        <f aca="false">ROUNDUP(J217,0)</f>
        <v>29</v>
      </c>
      <c r="L217" s="22" t="n">
        <f aca="false">MAX(D217,K217)</f>
        <v>29</v>
      </c>
      <c r="M217" s="25" t="n">
        <f aca="false">IF(E217="COVERED",'Controls &amp; Sources'!$B$5,'Controls &amp; Sources'!$B$6)</f>
        <v>10.4</v>
      </c>
      <c r="N217" s="25" t="n">
        <f aca="false">L217*M217</f>
        <v>301.6</v>
      </c>
      <c r="O217" s="22" t="n">
        <f aca="false">COUNTIFS('Billing Actual'!$E$2:$E$770,A217,'Billing Actual'!$B$2:$B$770,'Controls &amp; Sources'!$B$7)</f>
        <v>1</v>
      </c>
      <c r="P217" s="25" t="n">
        <f aca="false">SUMIFS('Billing Actual'!$M$2:$M$770,'Billing Actual'!$E$2:$E$770,A217,'Billing Actual'!$B$2:$B$770,'Controls &amp; Sources'!$B$7)</f>
        <v>301.6</v>
      </c>
      <c r="Q217" s="25" t="n">
        <f aca="false">P217-N217</f>
        <v>0</v>
      </c>
      <c r="R217" s="22" t="str">
        <f aca="false">IF(O217=0,"No August moorage transaction",IF(O217&gt;1,"Duplicate August transactions",IF(ABS(Q217)&gt;0.005,"Charge variance","OK")))</f>
        <v>OK</v>
      </c>
      <c r="S217" s="22" t="str">
        <f aca="false">IF(R217="OK","","Billing completeness/reconciliation")</f>
        <v/>
      </c>
    </row>
    <row r="218" customFormat="false" ht="15" hidden="false" customHeight="false" outlineLevel="0" collapsed="false">
      <c r="A218" s="22" t="s">
        <v>7221</v>
      </c>
      <c r="B218" s="22" t="s">
        <v>198</v>
      </c>
      <c r="C218" s="22" t="s">
        <v>6562</v>
      </c>
      <c r="D218" s="22" t="n">
        <v>28</v>
      </c>
      <c r="E218" s="22" t="s">
        <v>6575</v>
      </c>
      <c r="F218" s="22" t="s">
        <v>6577</v>
      </c>
      <c r="G218" s="22" t="s">
        <v>850</v>
      </c>
      <c r="H218" s="22" t="s">
        <v>851</v>
      </c>
      <c r="I218" s="22" t="s">
        <v>852</v>
      </c>
      <c r="J218" s="22" t="n">
        <v>19.5</v>
      </c>
      <c r="K218" s="22" t="n">
        <f aca="false">ROUNDUP(J218,0)</f>
        <v>20</v>
      </c>
      <c r="L218" s="22" t="n">
        <f aca="false">MAX(D218,K218)</f>
        <v>28</v>
      </c>
      <c r="M218" s="25" t="n">
        <f aca="false">IF(E218="COVERED",'Controls &amp; Sources'!$B$5,'Controls &amp; Sources'!$B$6)</f>
        <v>10.4</v>
      </c>
      <c r="N218" s="25" t="n">
        <f aca="false">L218*M218</f>
        <v>291.2</v>
      </c>
      <c r="O218" s="22" t="n">
        <f aca="false">COUNTIFS('Billing Actual'!$E$2:$E$770,A218,'Billing Actual'!$B$2:$B$770,'Controls &amp; Sources'!$B$7)</f>
        <v>1</v>
      </c>
      <c r="P218" s="25" t="n">
        <f aca="false">SUMIFS('Billing Actual'!$M$2:$M$770,'Billing Actual'!$E$2:$E$770,A218,'Billing Actual'!$B$2:$B$770,'Controls &amp; Sources'!$B$7)</f>
        <v>291.2</v>
      </c>
      <c r="Q218" s="25" t="n">
        <f aca="false">P218-N218</f>
        <v>0</v>
      </c>
      <c r="R218" s="22" t="str">
        <f aca="false">IF(O218=0,"No August moorage transaction",IF(O218&gt;1,"Duplicate August transactions",IF(ABS(Q218)&gt;0.005,"Charge variance","OK")))</f>
        <v>OK</v>
      </c>
      <c r="S218" s="22" t="str">
        <f aca="false">IF(R218="OK","","Billing completeness/reconciliation")</f>
        <v/>
      </c>
    </row>
    <row r="219" customFormat="false" ht="15" hidden="false" customHeight="false" outlineLevel="0" collapsed="false">
      <c r="A219" s="22" t="s">
        <v>7223</v>
      </c>
      <c r="B219" s="22" t="s">
        <v>198</v>
      </c>
      <c r="C219" s="22" t="s">
        <v>6562</v>
      </c>
      <c r="D219" s="22" t="n">
        <v>24</v>
      </c>
      <c r="E219" s="22" t="s">
        <v>6575</v>
      </c>
      <c r="F219" s="22" t="s">
        <v>6577</v>
      </c>
      <c r="G219" s="22" t="s">
        <v>3782</v>
      </c>
      <c r="H219" s="22" t="s">
        <v>3783</v>
      </c>
      <c r="I219" s="22" t="s">
        <v>2265</v>
      </c>
      <c r="J219" s="22" t="n">
        <v>19.4</v>
      </c>
      <c r="K219" s="22" t="n">
        <f aca="false">ROUNDUP(J219,0)</f>
        <v>20</v>
      </c>
      <c r="L219" s="22" t="n">
        <f aca="false">MAX(D219,K219)</f>
        <v>24</v>
      </c>
      <c r="M219" s="25" t="n">
        <f aca="false">IF(E219="COVERED",'Controls &amp; Sources'!$B$5,'Controls &amp; Sources'!$B$6)</f>
        <v>10.4</v>
      </c>
      <c r="N219" s="25" t="n">
        <f aca="false">L219*M219</f>
        <v>249.6</v>
      </c>
      <c r="O219" s="22" t="n">
        <f aca="false">COUNTIFS('Billing Actual'!$E$2:$E$770,A219,'Billing Actual'!$B$2:$B$770,'Controls &amp; Sources'!$B$7)</f>
        <v>1</v>
      </c>
      <c r="P219" s="25" t="n">
        <f aca="false">SUMIFS('Billing Actual'!$M$2:$M$770,'Billing Actual'!$E$2:$E$770,A219,'Billing Actual'!$B$2:$B$770,'Controls &amp; Sources'!$B$7)</f>
        <v>249.6</v>
      </c>
      <c r="Q219" s="25" t="n">
        <f aca="false">P219-N219</f>
        <v>0</v>
      </c>
      <c r="R219" s="22" t="str">
        <f aca="false">IF(O219=0,"No August moorage transaction",IF(O219&gt;1,"Duplicate August transactions",IF(ABS(Q219)&gt;0.005,"Charge variance","OK")))</f>
        <v>OK</v>
      </c>
      <c r="S219" s="22" t="str">
        <f aca="false">IF(R219="OK","","Billing completeness/reconciliation")</f>
        <v/>
      </c>
    </row>
    <row r="220" customFormat="false" ht="15" hidden="false" customHeight="false" outlineLevel="0" collapsed="false">
      <c r="A220" s="22" t="s">
        <v>7227</v>
      </c>
      <c r="B220" s="22" t="s">
        <v>198</v>
      </c>
      <c r="C220" s="22" t="s">
        <v>6562</v>
      </c>
      <c r="D220" s="22" t="n">
        <v>28</v>
      </c>
      <c r="E220" s="22" t="s">
        <v>6575</v>
      </c>
      <c r="F220" s="22" t="s">
        <v>6577</v>
      </c>
      <c r="G220" s="22" t="s">
        <v>4912</v>
      </c>
      <c r="H220" s="22" t="s">
        <v>4913</v>
      </c>
      <c r="I220" s="22" t="s">
        <v>2147</v>
      </c>
      <c r="J220" s="22" t="n">
        <v>25.9</v>
      </c>
      <c r="K220" s="22" t="n">
        <f aca="false">ROUNDUP(J220,0)</f>
        <v>26</v>
      </c>
      <c r="L220" s="22" t="n">
        <f aca="false">MAX(D220,K220)</f>
        <v>28</v>
      </c>
      <c r="M220" s="25" t="n">
        <f aca="false">IF(E220="COVERED",'Controls &amp; Sources'!$B$5,'Controls &amp; Sources'!$B$6)</f>
        <v>10.4</v>
      </c>
      <c r="N220" s="25" t="n">
        <f aca="false">L220*M220</f>
        <v>291.2</v>
      </c>
      <c r="O220" s="22" t="n">
        <f aca="false">COUNTIFS('Billing Actual'!$E$2:$E$770,A220,'Billing Actual'!$B$2:$B$770,'Controls &amp; Sources'!$B$7)</f>
        <v>1</v>
      </c>
      <c r="P220" s="25" t="n">
        <f aca="false">SUMIFS('Billing Actual'!$M$2:$M$770,'Billing Actual'!$E$2:$E$770,A220,'Billing Actual'!$B$2:$B$770,'Controls &amp; Sources'!$B$7)</f>
        <v>291.2</v>
      </c>
      <c r="Q220" s="25" t="n">
        <f aca="false">P220-N220</f>
        <v>0</v>
      </c>
      <c r="R220" s="22" t="str">
        <f aca="false">IF(O220=0,"No August moorage transaction",IF(O220&gt;1,"Duplicate August transactions",IF(ABS(Q220)&gt;0.005,"Charge variance","OK")))</f>
        <v>OK</v>
      </c>
      <c r="S220" s="22" t="str">
        <f aca="false">IF(R220="OK","","Billing completeness/reconciliation")</f>
        <v/>
      </c>
    </row>
    <row r="221" customFormat="false" ht="15" hidden="false" customHeight="false" outlineLevel="0" collapsed="false">
      <c r="A221" s="22" t="s">
        <v>7229</v>
      </c>
      <c r="B221" s="22" t="s">
        <v>198</v>
      </c>
      <c r="C221" s="22" t="s">
        <v>6562</v>
      </c>
      <c r="D221" s="22" t="n">
        <v>32</v>
      </c>
      <c r="E221" s="22" t="s">
        <v>6575</v>
      </c>
      <c r="F221" s="22" t="s">
        <v>6577</v>
      </c>
      <c r="G221" s="22" t="s">
        <v>2283</v>
      </c>
      <c r="H221" s="22" t="s">
        <v>2284</v>
      </c>
      <c r="I221" s="22" t="s">
        <v>664</v>
      </c>
      <c r="J221" s="22" t="n">
        <v>55.1</v>
      </c>
      <c r="K221" s="22" t="n">
        <f aca="false">ROUNDUP(J221,0)</f>
        <v>56</v>
      </c>
      <c r="L221" s="22" t="n">
        <f aca="false">MAX(D221,K221)</f>
        <v>56</v>
      </c>
      <c r="M221" s="25" t="n">
        <f aca="false">IF(E221="COVERED",'Controls &amp; Sources'!$B$5,'Controls &amp; Sources'!$B$6)</f>
        <v>10.4</v>
      </c>
      <c r="N221" s="25" t="n">
        <f aca="false">L221*M221</f>
        <v>582.4</v>
      </c>
      <c r="O221" s="22" t="n">
        <f aca="false">COUNTIFS('Billing Actual'!$E$2:$E$770,A221,'Billing Actual'!$B$2:$B$770,'Controls &amp; Sources'!$B$7)</f>
        <v>1</v>
      </c>
      <c r="P221" s="25" t="n">
        <f aca="false">SUMIFS('Billing Actual'!$M$2:$M$770,'Billing Actual'!$E$2:$E$770,A221,'Billing Actual'!$B$2:$B$770,'Controls &amp; Sources'!$B$7)</f>
        <v>582.4</v>
      </c>
      <c r="Q221" s="25" t="n">
        <f aca="false">P221-N221</f>
        <v>0</v>
      </c>
      <c r="R221" s="22" t="str">
        <f aca="false">IF(O221=0,"No August moorage transaction",IF(O221&gt;1,"Duplicate August transactions",IF(ABS(Q221)&gt;0.005,"Charge variance","OK")))</f>
        <v>OK</v>
      </c>
      <c r="S221" s="22" t="str">
        <f aca="false">IF(R221="OK","","Billing completeness/reconciliation")</f>
        <v/>
      </c>
    </row>
    <row r="222" customFormat="false" ht="15" hidden="false" customHeight="false" outlineLevel="0" collapsed="false">
      <c r="A222" s="22" t="s">
        <v>7232</v>
      </c>
      <c r="B222" s="22" t="s">
        <v>198</v>
      </c>
      <c r="C222" s="22" t="s">
        <v>6562</v>
      </c>
      <c r="D222" s="22" t="n">
        <v>32</v>
      </c>
      <c r="E222" s="22" t="s">
        <v>6575</v>
      </c>
      <c r="F222" s="22" t="s">
        <v>6577</v>
      </c>
      <c r="G222" s="22" t="s">
        <v>853</v>
      </c>
      <c r="H222" s="22" t="s">
        <v>854</v>
      </c>
      <c r="I222" s="22" t="s">
        <v>645</v>
      </c>
      <c r="J222" s="22" t="n">
        <v>53.2</v>
      </c>
      <c r="K222" s="22" t="n">
        <f aca="false">ROUNDUP(J222,0)</f>
        <v>54</v>
      </c>
      <c r="L222" s="22" t="n">
        <f aca="false">MAX(D222,K222)</f>
        <v>54</v>
      </c>
      <c r="M222" s="25" t="n">
        <f aca="false">IF(E222="COVERED",'Controls &amp; Sources'!$B$5,'Controls &amp; Sources'!$B$6)</f>
        <v>10.4</v>
      </c>
      <c r="N222" s="25" t="n">
        <f aca="false">L222*M222</f>
        <v>561.6</v>
      </c>
      <c r="O222" s="22" t="n">
        <f aca="false">COUNTIFS('Billing Actual'!$E$2:$E$770,A222,'Billing Actual'!$B$2:$B$770,'Controls &amp; Sources'!$B$7)</f>
        <v>1</v>
      </c>
      <c r="P222" s="25" t="n">
        <f aca="false">SUMIFS('Billing Actual'!$M$2:$M$770,'Billing Actual'!$E$2:$E$770,A222,'Billing Actual'!$B$2:$B$770,'Controls &amp; Sources'!$B$7)</f>
        <v>561.6</v>
      </c>
      <c r="Q222" s="25" t="n">
        <f aca="false">P222-N222</f>
        <v>0</v>
      </c>
      <c r="R222" s="22" t="str">
        <f aca="false">IF(O222=0,"No August moorage transaction",IF(O222&gt;1,"Duplicate August transactions",IF(ABS(Q222)&gt;0.005,"Charge variance","OK")))</f>
        <v>OK</v>
      </c>
      <c r="S222" s="22" t="str">
        <f aca="false">IF(R222="OK","","Billing completeness/reconciliation")</f>
        <v/>
      </c>
    </row>
    <row r="223" customFormat="false" ht="15" hidden="false" customHeight="false" outlineLevel="0" collapsed="false">
      <c r="A223" s="22" t="s">
        <v>7235</v>
      </c>
      <c r="B223" s="22" t="s">
        <v>198</v>
      </c>
      <c r="C223" s="22" t="s">
        <v>6562</v>
      </c>
      <c r="D223" s="22" t="n">
        <v>32</v>
      </c>
      <c r="E223" s="22" t="s">
        <v>6575</v>
      </c>
      <c r="F223" s="22" t="s">
        <v>6577</v>
      </c>
      <c r="G223" s="22" t="s">
        <v>2617</v>
      </c>
      <c r="H223" s="22" t="s">
        <v>2524</v>
      </c>
      <c r="I223" s="22" t="s">
        <v>742</v>
      </c>
      <c r="J223" s="22" t="n">
        <v>25.1</v>
      </c>
      <c r="K223" s="22" t="n">
        <f aca="false">ROUNDUP(J223,0)</f>
        <v>26</v>
      </c>
      <c r="L223" s="22" t="n">
        <f aca="false">MAX(D223,K223)</f>
        <v>32</v>
      </c>
      <c r="M223" s="25" t="n">
        <f aca="false">IF(E223="COVERED",'Controls &amp; Sources'!$B$5,'Controls &amp; Sources'!$B$6)</f>
        <v>10.4</v>
      </c>
      <c r="N223" s="25" t="n">
        <f aca="false">L223*M223</f>
        <v>332.8</v>
      </c>
      <c r="O223" s="22" t="n">
        <f aca="false">COUNTIFS('Billing Actual'!$E$2:$E$770,A223,'Billing Actual'!$B$2:$B$770,'Controls &amp; Sources'!$B$7)</f>
        <v>1</v>
      </c>
      <c r="P223" s="25" t="n">
        <f aca="false">SUMIFS('Billing Actual'!$M$2:$M$770,'Billing Actual'!$E$2:$E$770,A223,'Billing Actual'!$B$2:$B$770,'Controls &amp; Sources'!$B$7)</f>
        <v>332.8</v>
      </c>
      <c r="Q223" s="25" t="n">
        <f aca="false">P223-N223</f>
        <v>0</v>
      </c>
      <c r="R223" s="22" t="str">
        <f aca="false">IF(O223=0,"No August moorage transaction",IF(O223&gt;1,"Duplicate August transactions",IF(ABS(Q223)&gt;0.005,"Charge variance","OK")))</f>
        <v>OK</v>
      </c>
      <c r="S223" s="22" t="str">
        <f aca="false">IF(R223="OK","","Billing completeness/reconciliation")</f>
        <v/>
      </c>
    </row>
    <row r="224" customFormat="false" ht="15" hidden="false" customHeight="false" outlineLevel="0" collapsed="false">
      <c r="A224" s="22" t="s">
        <v>7237</v>
      </c>
      <c r="B224" s="22" t="s">
        <v>198</v>
      </c>
      <c r="C224" s="22" t="s">
        <v>6562</v>
      </c>
      <c r="D224" s="22" t="n">
        <v>24</v>
      </c>
      <c r="E224" s="22" t="s">
        <v>6575</v>
      </c>
      <c r="F224" s="22" t="s">
        <v>6577</v>
      </c>
      <c r="G224" s="22" t="s">
        <v>4378</v>
      </c>
      <c r="H224" s="22" t="s">
        <v>4379</v>
      </c>
      <c r="I224" s="22" t="s">
        <v>2113</v>
      </c>
      <c r="J224" s="22" t="n">
        <v>36.2</v>
      </c>
      <c r="K224" s="22" t="n">
        <f aca="false">ROUNDUP(J224,0)</f>
        <v>37</v>
      </c>
      <c r="L224" s="22" t="n">
        <f aca="false">MAX(D224,K224)</f>
        <v>37</v>
      </c>
      <c r="M224" s="25" t="n">
        <f aca="false">IF(E224="COVERED",'Controls &amp; Sources'!$B$5,'Controls &amp; Sources'!$B$6)</f>
        <v>10.4</v>
      </c>
      <c r="N224" s="25" t="n">
        <f aca="false">L224*M224</f>
        <v>384.8</v>
      </c>
      <c r="O224" s="22" t="n">
        <f aca="false">COUNTIFS('Billing Actual'!$E$2:$E$770,A224,'Billing Actual'!$B$2:$B$770,'Controls &amp; Sources'!$B$7)</f>
        <v>1</v>
      </c>
      <c r="P224" s="25" t="n">
        <f aca="false">SUMIFS('Billing Actual'!$M$2:$M$770,'Billing Actual'!$E$2:$E$770,A224,'Billing Actual'!$B$2:$B$770,'Controls &amp; Sources'!$B$7)</f>
        <v>384.8</v>
      </c>
      <c r="Q224" s="25" t="n">
        <f aca="false">P224-N224</f>
        <v>0</v>
      </c>
      <c r="R224" s="22" t="str">
        <f aca="false">IF(O224=0,"No August moorage transaction",IF(O224&gt;1,"Duplicate August transactions",IF(ABS(Q224)&gt;0.005,"Charge variance","OK")))</f>
        <v>OK</v>
      </c>
      <c r="S224" s="22" t="str">
        <f aca="false">IF(R224="OK","","Billing completeness/reconciliation")</f>
        <v/>
      </c>
    </row>
    <row r="225" customFormat="false" ht="15" hidden="false" customHeight="false" outlineLevel="0" collapsed="false">
      <c r="A225" s="22" t="s">
        <v>7239</v>
      </c>
      <c r="B225" s="22" t="s">
        <v>198</v>
      </c>
      <c r="C225" s="22" t="s">
        <v>6562</v>
      </c>
      <c r="D225" s="22" t="n">
        <v>24</v>
      </c>
      <c r="E225" s="22" t="s">
        <v>6575</v>
      </c>
      <c r="F225" s="22" t="s">
        <v>6577</v>
      </c>
      <c r="G225" s="22" t="s">
        <v>2214</v>
      </c>
      <c r="H225" s="22" t="s">
        <v>2215</v>
      </c>
      <c r="I225" s="22" t="s">
        <v>645</v>
      </c>
      <c r="J225" s="22" t="n">
        <v>28.7</v>
      </c>
      <c r="K225" s="22" t="n">
        <f aca="false">ROUNDUP(J225,0)</f>
        <v>29</v>
      </c>
      <c r="L225" s="22" t="n">
        <f aca="false">MAX(D225,K225)</f>
        <v>29</v>
      </c>
      <c r="M225" s="25" t="n">
        <f aca="false">IF(E225="COVERED",'Controls &amp; Sources'!$B$5,'Controls &amp; Sources'!$B$6)</f>
        <v>10.4</v>
      </c>
      <c r="N225" s="25" t="n">
        <f aca="false">L225*M225</f>
        <v>301.6</v>
      </c>
      <c r="O225" s="22" t="n">
        <f aca="false">COUNTIFS('Billing Actual'!$E$2:$E$770,A225,'Billing Actual'!$B$2:$B$770,'Controls &amp; Sources'!$B$7)</f>
        <v>1</v>
      </c>
      <c r="P225" s="25" t="n">
        <f aca="false">SUMIFS('Billing Actual'!$M$2:$M$770,'Billing Actual'!$E$2:$E$770,A225,'Billing Actual'!$B$2:$B$770,'Controls &amp; Sources'!$B$7)</f>
        <v>301.6</v>
      </c>
      <c r="Q225" s="25" t="n">
        <f aca="false">P225-N225</f>
        <v>0</v>
      </c>
      <c r="R225" s="22" t="str">
        <f aca="false">IF(O225=0,"No August moorage transaction",IF(O225&gt;1,"Duplicate August transactions",IF(ABS(Q225)&gt;0.005,"Charge variance","OK")))</f>
        <v>OK</v>
      </c>
      <c r="S225" s="22" t="str">
        <f aca="false">IF(R225="OK","","Billing completeness/reconciliation")</f>
        <v/>
      </c>
    </row>
    <row r="226" customFormat="false" ht="15" hidden="false" customHeight="false" outlineLevel="0" collapsed="false">
      <c r="A226" s="22" t="s">
        <v>7241</v>
      </c>
      <c r="B226" s="22" t="s">
        <v>198</v>
      </c>
      <c r="C226" s="22" t="s">
        <v>6562</v>
      </c>
      <c r="D226" s="22" t="n">
        <v>24</v>
      </c>
      <c r="E226" s="22" t="s">
        <v>6575</v>
      </c>
      <c r="F226" s="22" t="s">
        <v>6577</v>
      </c>
      <c r="G226" s="22" t="s">
        <v>1165</v>
      </c>
      <c r="H226" s="22" t="s">
        <v>1166</v>
      </c>
      <c r="I226" s="22" t="s">
        <v>480</v>
      </c>
      <c r="J226" s="22" t="n">
        <v>20</v>
      </c>
      <c r="K226" s="22" t="n">
        <f aca="false">ROUNDUP(J226,0)</f>
        <v>20</v>
      </c>
      <c r="L226" s="22" t="n">
        <f aca="false">MAX(D226,K226)</f>
        <v>24</v>
      </c>
      <c r="M226" s="25" t="n">
        <f aca="false">IF(E226="COVERED",'Controls &amp; Sources'!$B$5,'Controls &amp; Sources'!$B$6)</f>
        <v>10.4</v>
      </c>
      <c r="N226" s="25" t="n">
        <f aca="false">L226*M226</f>
        <v>249.6</v>
      </c>
      <c r="O226" s="22" t="n">
        <f aca="false">COUNTIFS('Billing Actual'!$E$2:$E$770,A226,'Billing Actual'!$B$2:$B$770,'Controls &amp; Sources'!$B$7)</f>
        <v>1</v>
      </c>
      <c r="P226" s="25" t="n">
        <f aca="false">SUMIFS('Billing Actual'!$M$2:$M$770,'Billing Actual'!$E$2:$E$770,A226,'Billing Actual'!$B$2:$B$770,'Controls &amp; Sources'!$B$7)</f>
        <v>249.6</v>
      </c>
      <c r="Q226" s="25" t="n">
        <f aca="false">P226-N226</f>
        <v>0</v>
      </c>
      <c r="R226" s="22" t="str">
        <f aca="false">IF(O226=0,"No August moorage transaction",IF(O226&gt;1,"Duplicate August transactions",IF(ABS(Q226)&gt;0.005,"Charge variance","OK")))</f>
        <v>OK</v>
      </c>
      <c r="S226" s="22" t="str">
        <f aca="false">IF(R226="OK","","Billing completeness/reconciliation")</f>
        <v/>
      </c>
    </row>
    <row r="227" customFormat="false" ht="15" hidden="false" customHeight="false" outlineLevel="0" collapsed="false">
      <c r="A227" s="22" t="s">
        <v>7243</v>
      </c>
      <c r="B227" s="22" t="s">
        <v>198</v>
      </c>
      <c r="C227" s="22" t="s">
        <v>6562</v>
      </c>
      <c r="D227" s="22" t="n">
        <v>32</v>
      </c>
      <c r="E227" s="22" t="s">
        <v>6575</v>
      </c>
      <c r="F227" s="22" t="s">
        <v>6577</v>
      </c>
      <c r="G227" s="22" t="s">
        <v>246</v>
      </c>
      <c r="H227" s="22" t="s">
        <v>247</v>
      </c>
      <c r="I227" s="22" t="s">
        <v>248</v>
      </c>
      <c r="J227" s="22" t="n">
        <v>53.7</v>
      </c>
      <c r="K227" s="22" t="n">
        <f aca="false">ROUNDUP(J227,0)</f>
        <v>54</v>
      </c>
      <c r="L227" s="22" t="n">
        <f aca="false">MAX(D227,K227)</f>
        <v>54</v>
      </c>
      <c r="M227" s="25" t="n">
        <f aca="false">IF(E227="COVERED",'Controls &amp; Sources'!$B$5,'Controls &amp; Sources'!$B$6)</f>
        <v>10.4</v>
      </c>
      <c r="N227" s="25" t="n">
        <f aca="false">L227*M227</f>
        <v>561.6</v>
      </c>
      <c r="O227" s="22" t="n">
        <f aca="false">COUNTIFS('Billing Actual'!$E$2:$E$770,A227,'Billing Actual'!$B$2:$B$770,'Controls &amp; Sources'!$B$7)</f>
        <v>1</v>
      </c>
      <c r="P227" s="25" t="n">
        <f aca="false">SUMIFS('Billing Actual'!$M$2:$M$770,'Billing Actual'!$E$2:$E$770,A227,'Billing Actual'!$B$2:$B$770,'Controls &amp; Sources'!$B$7)</f>
        <v>561.6</v>
      </c>
      <c r="Q227" s="25" t="n">
        <f aca="false">P227-N227</f>
        <v>0</v>
      </c>
      <c r="R227" s="22" t="str">
        <f aca="false">IF(O227=0,"No August moorage transaction",IF(O227&gt;1,"Duplicate August transactions",IF(ABS(Q227)&gt;0.005,"Charge variance","OK")))</f>
        <v>OK</v>
      </c>
      <c r="S227" s="22" t="str">
        <f aca="false">IF(R227="OK","","Billing completeness/reconciliation")</f>
        <v/>
      </c>
    </row>
    <row r="228" customFormat="false" ht="15" hidden="false" customHeight="false" outlineLevel="0" collapsed="false">
      <c r="A228" s="22" t="s">
        <v>7249</v>
      </c>
      <c r="B228" s="22" t="s">
        <v>198</v>
      </c>
      <c r="C228" s="22" t="s">
        <v>6562</v>
      </c>
      <c r="D228" s="22" t="n">
        <v>28</v>
      </c>
      <c r="E228" s="22" t="s">
        <v>6575</v>
      </c>
      <c r="F228" s="22" t="s">
        <v>6577</v>
      </c>
      <c r="G228" s="22" t="s">
        <v>6323</v>
      </c>
      <c r="H228" s="22" t="s">
        <v>6324</v>
      </c>
      <c r="I228" s="22" t="s">
        <v>1265</v>
      </c>
      <c r="J228" s="22" t="n">
        <v>54.9</v>
      </c>
      <c r="K228" s="22" t="n">
        <f aca="false">ROUNDUP(J228,0)</f>
        <v>55</v>
      </c>
      <c r="L228" s="22" t="n">
        <f aca="false">MAX(D228,K228)</f>
        <v>55</v>
      </c>
      <c r="M228" s="25" t="n">
        <f aca="false">IF(E228="COVERED",'Controls &amp; Sources'!$B$5,'Controls &amp; Sources'!$B$6)</f>
        <v>10.4</v>
      </c>
      <c r="N228" s="25" t="n">
        <f aca="false">L228*M228</f>
        <v>572</v>
      </c>
      <c r="O228" s="22" t="n">
        <f aca="false">COUNTIFS('Billing Actual'!$E$2:$E$770,A228,'Billing Actual'!$B$2:$B$770,'Controls &amp; Sources'!$B$7)</f>
        <v>1</v>
      </c>
      <c r="P228" s="25" t="n">
        <f aca="false">SUMIFS('Billing Actual'!$M$2:$M$770,'Billing Actual'!$E$2:$E$770,A228,'Billing Actual'!$B$2:$B$770,'Controls &amp; Sources'!$B$7)</f>
        <v>572</v>
      </c>
      <c r="Q228" s="25" t="n">
        <f aca="false">P228-N228</f>
        <v>0</v>
      </c>
      <c r="R228" s="22" t="str">
        <f aca="false">IF(O228=0,"No August moorage transaction",IF(O228&gt;1,"Duplicate August transactions",IF(ABS(Q228)&gt;0.005,"Charge variance","OK")))</f>
        <v>OK</v>
      </c>
      <c r="S228" s="22" t="str">
        <f aca="false">IF(R228="OK","","Billing completeness/reconciliation")</f>
        <v/>
      </c>
    </row>
    <row r="229" customFormat="false" ht="15" hidden="false" customHeight="false" outlineLevel="0" collapsed="false">
      <c r="A229" s="22" t="s">
        <v>7252</v>
      </c>
      <c r="B229" s="22" t="s">
        <v>198</v>
      </c>
      <c r="C229" s="22" t="s">
        <v>6562</v>
      </c>
      <c r="D229" s="22" t="n">
        <v>32</v>
      </c>
      <c r="E229" s="22" t="s">
        <v>6575</v>
      </c>
      <c r="F229" s="22" t="s">
        <v>6577</v>
      </c>
      <c r="G229" s="22" t="s">
        <v>4970</v>
      </c>
      <c r="H229" s="22" t="s">
        <v>4971</v>
      </c>
      <c r="I229" s="22" t="s">
        <v>2928</v>
      </c>
      <c r="J229" s="22" t="n">
        <v>23.2</v>
      </c>
      <c r="K229" s="22" t="n">
        <f aca="false">ROUNDUP(J229,0)</f>
        <v>24</v>
      </c>
      <c r="L229" s="22" t="n">
        <f aca="false">MAX(D229,K229)</f>
        <v>32</v>
      </c>
      <c r="M229" s="25" t="n">
        <f aca="false">IF(E229="COVERED",'Controls &amp; Sources'!$B$5,'Controls &amp; Sources'!$B$6)</f>
        <v>10.4</v>
      </c>
      <c r="N229" s="25" t="n">
        <f aca="false">L229*M229</f>
        <v>332.8</v>
      </c>
      <c r="O229" s="22" t="n">
        <f aca="false">COUNTIFS('Billing Actual'!$E$2:$E$770,A229,'Billing Actual'!$B$2:$B$770,'Controls &amp; Sources'!$B$7)</f>
        <v>1</v>
      </c>
      <c r="P229" s="25" t="n">
        <f aca="false">SUMIFS('Billing Actual'!$M$2:$M$770,'Billing Actual'!$E$2:$E$770,A229,'Billing Actual'!$B$2:$B$770,'Controls &amp; Sources'!$B$7)</f>
        <v>332.8</v>
      </c>
      <c r="Q229" s="25" t="n">
        <f aca="false">P229-N229</f>
        <v>0</v>
      </c>
      <c r="R229" s="22" t="str">
        <f aca="false">IF(O229=0,"No August moorage transaction",IF(O229&gt;1,"Duplicate August transactions",IF(ABS(Q229)&gt;0.005,"Charge variance","OK")))</f>
        <v>OK</v>
      </c>
      <c r="S229" s="22" t="str">
        <f aca="false">IF(R229="OK","","Billing completeness/reconciliation")</f>
        <v/>
      </c>
    </row>
    <row r="230" customFormat="false" ht="15" hidden="false" customHeight="false" outlineLevel="0" collapsed="false">
      <c r="A230" s="22" t="s">
        <v>7255</v>
      </c>
      <c r="B230" s="22" t="s">
        <v>198</v>
      </c>
      <c r="C230" s="22" t="s">
        <v>6562</v>
      </c>
      <c r="D230" s="22" t="n">
        <v>32</v>
      </c>
      <c r="E230" s="22" t="s">
        <v>6575</v>
      </c>
      <c r="F230" s="22" t="s">
        <v>6577</v>
      </c>
      <c r="G230" s="22" t="s">
        <v>4739</v>
      </c>
      <c r="H230" s="22" t="s">
        <v>4740</v>
      </c>
      <c r="I230" s="22" t="s">
        <v>576</v>
      </c>
      <c r="J230" s="22" t="n">
        <v>53.6</v>
      </c>
      <c r="K230" s="22" t="n">
        <f aca="false">ROUNDUP(J230,0)</f>
        <v>54</v>
      </c>
      <c r="L230" s="22" t="n">
        <f aca="false">MAX(D230,K230)</f>
        <v>54</v>
      </c>
      <c r="M230" s="25" t="n">
        <f aca="false">IF(E230="COVERED",'Controls &amp; Sources'!$B$5,'Controls &amp; Sources'!$B$6)</f>
        <v>10.4</v>
      </c>
      <c r="N230" s="25" t="n">
        <f aca="false">L230*M230</f>
        <v>561.6</v>
      </c>
      <c r="O230" s="22" t="n">
        <f aca="false">COUNTIFS('Billing Actual'!$E$2:$E$770,A230,'Billing Actual'!$B$2:$B$770,'Controls &amp; Sources'!$B$7)</f>
        <v>1</v>
      </c>
      <c r="P230" s="25" t="n">
        <f aca="false">SUMIFS('Billing Actual'!$M$2:$M$770,'Billing Actual'!$E$2:$E$770,A230,'Billing Actual'!$B$2:$B$770,'Controls &amp; Sources'!$B$7)</f>
        <v>561.6</v>
      </c>
      <c r="Q230" s="25" t="n">
        <f aca="false">P230-N230</f>
        <v>0</v>
      </c>
      <c r="R230" s="22" t="str">
        <f aca="false">IF(O230=0,"No August moorage transaction",IF(O230&gt;1,"Duplicate August transactions",IF(ABS(Q230)&gt;0.005,"Charge variance","OK")))</f>
        <v>OK</v>
      </c>
      <c r="S230" s="22" t="str">
        <f aca="false">IF(R230="OK","","Billing completeness/reconciliation")</f>
        <v/>
      </c>
    </row>
    <row r="231" customFormat="false" ht="15" hidden="false" customHeight="false" outlineLevel="0" collapsed="false">
      <c r="A231" s="22" t="s">
        <v>7257</v>
      </c>
      <c r="B231" s="22" t="s">
        <v>198</v>
      </c>
      <c r="C231" s="22" t="s">
        <v>6562</v>
      </c>
      <c r="D231" s="22" t="n">
        <v>36</v>
      </c>
      <c r="E231" s="22" t="s">
        <v>6575</v>
      </c>
      <c r="F231" s="22" t="s">
        <v>6577</v>
      </c>
      <c r="G231" s="22" t="s">
        <v>2674</v>
      </c>
      <c r="H231" s="22" t="s">
        <v>2675</v>
      </c>
      <c r="I231" s="22" t="s">
        <v>570</v>
      </c>
      <c r="J231" s="22" t="n">
        <v>48.9</v>
      </c>
      <c r="K231" s="22" t="n">
        <f aca="false">ROUNDUP(J231,0)</f>
        <v>49</v>
      </c>
      <c r="L231" s="22" t="n">
        <f aca="false">MAX(D231,K231)</f>
        <v>49</v>
      </c>
      <c r="M231" s="25" t="n">
        <f aca="false">IF(E231="COVERED",'Controls &amp; Sources'!$B$5,'Controls &amp; Sources'!$B$6)</f>
        <v>10.4</v>
      </c>
      <c r="N231" s="25" t="n">
        <f aca="false">L231*M231</f>
        <v>509.6</v>
      </c>
      <c r="O231" s="22" t="n">
        <f aca="false">COUNTIFS('Billing Actual'!$E$2:$E$770,A231,'Billing Actual'!$B$2:$B$770,'Controls &amp; Sources'!$B$7)</f>
        <v>1</v>
      </c>
      <c r="P231" s="25" t="n">
        <f aca="false">SUMIFS('Billing Actual'!$M$2:$M$770,'Billing Actual'!$E$2:$E$770,A231,'Billing Actual'!$B$2:$B$770,'Controls &amp; Sources'!$B$7)</f>
        <v>509.6</v>
      </c>
      <c r="Q231" s="25" t="n">
        <f aca="false">P231-N231</f>
        <v>0</v>
      </c>
      <c r="R231" s="22" t="str">
        <f aca="false">IF(O231=0,"No August moorage transaction",IF(O231&gt;1,"Duplicate August transactions",IF(ABS(Q231)&gt;0.005,"Charge variance","OK")))</f>
        <v>OK</v>
      </c>
      <c r="S231" s="22" t="str">
        <f aca="false">IF(R231="OK","","Billing completeness/reconciliation")</f>
        <v/>
      </c>
    </row>
    <row r="232" customFormat="false" ht="15" hidden="false" customHeight="false" outlineLevel="0" collapsed="false">
      <c r="A232" s="22" t="s">
        <v>7260</v>
      </c>
      <c r="B232" s="22" t="s">
        <v>198</v>
      </c>
      <c r="C232" s="22" t="s">
        <v>6562</v>
      </c>
      <c r="D232" s="22" t="n">
        <v>24</v>
      </c>
      <c r="E232" s="22" t="s">
        <v>6575</v>
      </c>
      <c r="F232" s="22" t="s">
        <v>6577</v>
      </c>
      <c r="G232" s="22" t="s">
        <v>1899</v>
      </c>
      <c r="H232" s="22" t="s">
        <v>1900</v>
      </c>
      <c r="I232" s="22" t="s">
        <v>221</v>
      </c>
      <c r="J232" s="22" t="n">
        <v>18.6</v>
      </c>
      <c r="K232" s="22" t="n">
        <f aca="false">ROUNDUP(J232,0)</f>
        <v>19</v>
      </c>
      <c r="L232" s="22" t="n">
        <f aca="false">MAX(D232,K232)</f>
        <v>24</v>
      </c>
      <c r="M232" s="25" t="n">
        <f aca="false">IF(E232="COVERED",'Controls &amp; Sources'!$B$5,'Controls &amp; Sources'!$B$6)</f>
        <v>10.4</v>
      </c>
      <c r="N232" s="25" t="n">
        <f aca="false">L232*M232</f>
        <v>249.6</v>
      </c>
      <c r="O232" s="22" t="n">
        <f aca="false">COUNTIFS('Billing Actual'!$E$2:$E$770,A232,'Billing Actual'!$B$2:$B$770,'Controls &amp; Sources'!$B$7)</f>
        <v>1</v>
      </c>
      <c r="P232" s="25" t="n">
        <f aca="false">SUMIFS('Billing Actual'!$M$2:$M$770,'Billing Actual'!$E$2:$E$770,A232,'Billing Actual'!$B$2:$B$770,'Controls &amp; Sources'!$B$7)</f>
        <v>249.6</v>
      </c>
      <c r="Q232" s="25" t="n">
        <f aca="false">P232-N232</f>
        <v>0</v>
      </c>
      <c r="R232" s="22" t="str">
        <f aca="false">IF(O232=0,"No August moorage transaction",IF(O232&gt;1,"Duplicate August transactions",IF(ABS(Q232)&gt;0.005,"Charge variance","OK")))</f>
        <v>OK</v>
      </c>
      <c r="S232" s="22" t="str">
        <f aca="false">IF(R232="OK","","Billing completeness/reconciliation")</f>
        <v/>
      </c>
    </row>
    <row r="233" customFormat="false" ht="15" hidden="false" customHeight="false" outlineLevel="0" collapsed="false">
      <c r="A233" s="22" t="s">
        <v>7263</v>
      </c>
      <c r="B233" s="22" t="s">
        <v>198</v>
      </c>
      <c r="C233" s="22" t="s">
        <v>6562</v>
      </c>
      <c r="D233" s="22" t="n">
        <v>28</v>
      </c>
      <c r="E233" s="22" t="s">
        <v>6575</v>
      </c>
      <c r="F233" s="22" t="s">
        <v>6577</v>
      </c>
      <c r="G233" s="22" t="s">
        <v>6275</v>
      </c>
      <c r="H233" s="22" t="s">
        <v>6276</v>
      </c>
      <c r="I233" s="22" t="s">
        <v>1713</v>
      </c>
      <c r="J233" s="22" t="n">
        <v>47.6</v>
      </c>
      <c r="K233" s="22" t="n">
        <f aca="false">ROUNDUP(J233,0)</f>
        <v>48</v>
      </c>
      <c r="L233" s="22" t="n">
        <f aca="false">MAX(D233,K233)</f>
        <v>48</v>
      </c>
      <c r="M233" s="25" t="n">
        <f aca="false">IF(E233="COVERED",'Controls &amp; Sources'!$B$5,'Controls &amp; Sources'!$B$6)</f>
        <v>10.4</v>
      </c>
      <c r="N233" s="25" t="n">
        <f aca="false">L233*M233</f>
        <v>499.2</v>
      </c>
      <c r="O233" s="22" t="n">
        <f aca="false">COUNTIFS('Billing Actual'!$E$2:$E$770,A233,'Billing Actual'!$B$2:$B$770,'Controls &amp; Sources'!$B$7)</f>
        <v>1</v>
      </c>
      <c r="P233" s="25" t="n">
        <f aca="false">SUMIFS('Billing Actual'!$M$2:$M$770,'Billing Actual'!$E$2:$E$770,A233,'Billing Actual'!$B$2:$B$770,'Controls &amp; Sources'!$B$7)</f>
        <v>499.2</v>
      </c>
      <c r="Q233" s="25" t="n">
        <f aca="false">P233-N233</f>
        <v>0</v>
      </c>
      <c r="R233" s="22" t="str">
        <f aca="false">IF(O233=0,"No August moorage transaction",IF(O233&gt;1,"Duplicate August transactions",IF(ABS(Q233)&gt;0.005,"Charge variance","OK")))</f>
        <v>OK</v>
      </c>
      <c r="S233" s="22" t="str">
        <f aca="false">IF(R233="OK","","Billing completeness/reconciliation")</f>
        <v/>
      </c>
    </row>
    <row r="234" customFormat="false" ht="15" hidden="false" customHeight="false" outlineLevel="0" collapsed="false">
      <c r="A234" s="22" t="s">
        <v>7266</v>
      </c>
      <c r="B234" s="22" t="s">
        <v>198</v>
      </c>
      <c r="C234" s="22" t="s">
        <v>6562</v>
      </c>
      <c r="D234" s="22" t="n">
        <v>32</v>
      </c>
      <c r="E234" s="22" t="s">
        <v>6575</v>
      </c>
      <c r="F234" s="22" t="s">
        <v>6577</v>
      </c>
      <c r="G234" s="22" t="s">
        <v>3861</v>
      </c>
      <c r="H234" s="22" t="s">
        <v>3862</v>
      </c>
      <c r="I234" s="22" t="s">
        <v>367</v>
      </c>
      <c r="J234" s="22" t="n">
        <v>30.9</v>
      </c>
      <c r="K234" s="22" t="n">
        <f aca="false">ROUNDUP(J234,0)</f>
        <v>31</v>
      </c>
      <c r="L234" s="22" t="n">
        <f aca="false">MAX(D234,K234)</f>
        <v>32</v>
      </c>
      <c r="M234" s="25" t="n">
        <f aca="false">IF(E234="COVERED",'Controls &amp; Sources'!$B$5,'Controls &amp; Sources'!$B$6)</f>
        <v>10.4</v>
      </c>
      <c r="N234" s="25" t="n">
        <f aca="false">L234*M234</f>
        <v>332.8</v>
      </c>
      <c r="O234" s="22" t="n">
        <f aca="false">COUNTIFS('Billing Actual'!$E$2:$E$770,A234,'Billing Actual'!$B$2:$B$770,'Controls &amp; Sources'!$B$7)</f>
        <v>1</v>
      </c>
      <c r="P234" s="25" t="n">
        <f aca="false">SUMIFS('Billing Actual'!$M$2:$M$770,'Billing Actual'!$E$2:$E$770,A234,'Billing Actual'!$B$2:$B$770,'Controls &amp; Sources'!$B$7)</f>
        <v>332.8</v>
      </c>
      <c r="Q234" s="25" t="n">
        <f aca="false">P234-N234</f>
        <v>0</v>
      </c>
      <c r="R234" s="22" t="str">
        <f aca="false">IF(O234=0,"No August moorage transaction",IF(O234&gt;1,"Duplicate August transactions",IF(ABS(Q234)&gt;0.005,"Charge variance","OK")))</f>
        <v>OK</v>
      </c>
      <c r="S234" s="22" t="str">
        <f aca="false">IF(R234="OK","","Billing completeness/reconciliation")</f>
        <v/>
      </c>
    </row>
    <row r="235" customFormat="false" ht="15" hidden="false" customHeight="false" outlineLevel="0" collapsed="false">
      <c r="A235" s="22" t="s">
        <v>7268</v>
      </c>
      <c r="B235" s="22" t="s">
        <v>198</v>
      </c>
      <c r="C235" s="22" t="s">
        <v>6562</v>
      </c>
      <c r="D235" s="22" t="n">
        <v>24</v>
      </c>
      <c r="E235" s="22" t="s">
        <v>6575</v>
      </c>
      <c r="F235" s="22" t="s">
        <v>6577</v>
      </c>
      <c r="G235" s="22" t="s">
        <v>4099</v>
      </c>
      <c r="H235" s="22" t="s">
        <v>4100</v>
      </c>
      <c r="I235" s="22" t="s">
        <v>275</v>
      </c>
      <c r="J235" s="22" t="n">
        <v>29.2</v>
      </c>
      <c r="K235" s="22" t="n">
        <f aca="false">ROUNDUP(J235,0)</f>
        <v>30</v>
      </c>
      <c r="L235" s="22" t="n">
        <f aca="false">MAX(D235,K235)</f>
        <v>30</v>
      </c>
      <c r="M235" s="25" t="n">
        <f aca="false">IF(E235="COVERED",'Controls &amp; Sources'!$B$5,'Controls &amp; Sources'!$B$6)</f>
        <v>10.4</v>
      </c>
      <c r="N235" s="25" t="n">
        <f aca="false">L235*M235</f>
        <v>312</v>
      </c>
      <c r="O235" s="22" t="n">
        <f aca="false">COUNTIFS('Billing Actual'!$E$2:$E$770,A235,'Billing Actual'!$B$2:$B$770,'Controls &amp; Sources'!$B$7)</f>
        <v>1</v>
      </c>
      <c r="P235" s="25" t="n">
        <f aca="false">SUMIFS('Billing Actual'!$M$2:$M$770,'Billing Actual'!$E$2:$E$770,A235,'Billing Actual'!$B$2:$B$770,'Controls &amp; Sources'!$B$7)</f>
        <v>312</v>
      </c>
      <c r="Q235" s="25" t="n">
        <f aca="false">P235-N235</f>
        <v>0</v>
      </c>
      <c r="R235" s="22" t="str">
        <f aca="false">IF(O235=0,"No August moorage transaction",IF(O235&gt;1,"Duplicate August transactions",IF(ABS(Q235)&gt;0.005,"Charge variance","OK")))</f>
        <v>OK</v>
      </c>
      <c r="S235" s="22" t="str">
        <f aca="false">IF(R235="OK","","Billing completeness/reconciliation")</f>
        <v/>
      </c>
    </row>
    <row r="236" customFormat="false" ht="15" hidden="false" customHeight="false" outlineLevel="0" collapsed="false">
      <c r="A236" s="22" t="s">
        <v>7271</v>
      </c>
      <c r="B236" s="22" t="s">
        <v>198</v>
      </c>
      <c r="C236" s="22" t="s">
        <v>6562</v>
      </c>
      <c r="D236" s="22" t="n">
        <v>24</v>
      </c>
      <c r="E236" s="22" t="s">
        <v>6575</v>
      </c>
      <c r="F236" s="22" t="s">
        <v>6577</v>
      </c>
      <c r="G236" s="22" t="s">
        <v>434</v>
      </c>
      <c r="H236" s="22" t="s">
        <v>435</v>
      </c>
      <c r="I236" s="22" t="s">
        <v>436</v>
      </c>
      <c r="J236" s="22" t="n">
        <v>34.1</v>
      </c>
      <c r="K236" s="22" t="n">
        <f aca="false">ROUNDUP(J236,0)</f>
        <v>35</v>
      </c>
      <c r="L236" s="22" t="n">
        <f aca="false">MAX(D236,K236)</f>
        <v>35</v>
      </c>
      <c r="M236" s="25" t="n">
        <f aca="false">IF(E236="COVERED",'Controls &amp; Sources'!$B$5,'Controls &amp; Sources'!$B$6)</f>
        <v>10.4</v>
      </c>
      <c r="N236" s="25" t="n">
        <f aca="false">L236*M236</f>
        <v>364</v>
      </c>
      <c r="O236" s="22" t="n">
        <f aca="false">COUNTIFS('Billing Actual'!$E$2:$E$770,A236,'Billing Actual'!$B$2:$B$770,'Controls &amp; Sources'!$B$7)</f>
        <v>1</v>
      </c>
      <c r="P236" s="25" t="n">
        <f aca="false">SUMIFS('Billing Actual'!$M$2:$M$770,'Billing Actual'!$E$2:$E$770,A236,'Billing Actual'!$B$2:$B$770,'Controls &amp; Sources'!$B$7)</f>
        <v>364</v>
      </c>
      <c r="Q236" s="25" t="n">
        <f aca="false">P236-N236</f>
        <v>0</v>
      </c>
      <c r="R236" s="22" t="str">
        <f aca="false">IF(O236=0,"No August moorage transaction",IF(O236&gt;1,"Duplicate August transactions",IF(ABS(Q236)&gt;0.005,"Charge variance","OK")))</f>
        <v>OK</v>
      </c>
      <c r="S236" s="22" t="str">
        <f aca="false">IF(R236="OK","","Billing completeness/reconciliation")</f>
        <v/>
      </c>
    </row>
    <row r="237" customFormat="false" ht="15" hidden="false" customHeight="false" outlineLevel="0" collapsed="false">
      <c r="A237" s="22" t="s">
        <v>7274</v>
      </c>
      <c r="B237" s="22" t="s">
        <v>198</v>
      </c>
      <c r="C237" s="22" t="s">
        <v>6562</v>
      </c>
      <c r="D237" s="22" t="n">
        <v>32</v>
      </c>
      <c r="E237" s="22" t="s">
        <v>6575</v>
      </c>
      <c r="F237" s="22" t="s">
        <v>6577</v>
      </c>
      <c r="G237" s="22" t="s">
        <v>4252</v>
      </c>
      <c r="H237" s="22" t="s">
        <v>4253</v>
      </c>
      <c r="I237" s="22" t="s">
        <v>1484</v>
      </c>
      <c r="J237" s="22" t="n">
        <v>54.5</v>
      </c>
      <c r="K237" s="22" t="n">
        <f aca="false">ROUNDUP(J237,0)</f>
        <v>55</v>
      </c>
      <c r="L237" s="22" t="n">
        <f aca="false">MAX(D237,K237)</f>
        <v>55</v>
      </c>
      <c r="M237" s="25" t="n">
        <f aca="false">IF(E237="COVERED",'Controls &amp; Sources'!$B$5,'Controls &amp; Sources'!$B$6)</f>
        <v>10.4</v>
      </c>
      <c r="N237" s="25" t="n">
        <f aca="false">L237*M237</f>
        <v>572</v>
      </c>
      <c r="O237" s="22" t="n">
        <f aca="false">COUNTIFS('Billing Actual'!$E$2:$E$770,A237,'Billing Actual'!$B$2:$B$770,'Controls &amp; Sources'!$B$7)</f>
        <v>1</v>
      </c>
      <c r="P237" s="25" t="n">
        <f aca="false">SUMIFS('Billing Actual'!$M$2:$M$770,'Billing Actual'!$E$2:$E$770,A237,'Billing Actual'!$B$2:$B$770,'Controls &amp; Sources'!$B$7)</f>
        <v>572</v>
      </c>
      <c r="Q237" s="25" t="n">
        <f aca="false">P237-N237</f>
        <v>0</v>
      </c>
      <c r="R237" s="22" t="str">
        <f aca="false">IF(O237=0,"No August moorage transaction",IF(O237&gt;1,"Duplicate August transactions",IF(ABS(Q237)&gt;0.005,"Charge variance","OK")))</f>
        <v>OK</v>
      </c>
      <c r="S237" s="22" t="str">
        <f aca="false">IF(R237="OK","","Billing completeness/reconciliation")</f>
        <v/>
      </c>
    </row>
    <row r="238" customFormat="false" ht="15" hidden="false" customHeight="false" outlineLevel="0" collapsed="false">
      <c r="A238" s="22" t="s">
        <v>7277</v>
      </c>
      <c r="B238" s="22" t="s">
        <v>198</v>
      </c>
      <c r="C238" s="22" t="s">
        <v>6562</v>
      </c>
      <c r="D238" s="22" t="n">
        <v>40</v>
      </c>
      <c r="E238" s="22" t="s">
        <v>6575</v>
      </c>
      <c r="F238" s="22" t="s">
        <v>6577</v>
      </c>
      <c r="G238" s="22" t="s">
        <v>6152</v>
      </c>
      <c r="H238" s="22" t="s">
        <v>6153</v>
      </c>
      <c r="I238" s="22" t="s">
        <v>2896</v>
      </c>
      <c r="J238" s="22" t="n">
        <v>34.5</v>
      </c>
      <c r="K238" s="22" t="n">
        <f aca="false">ROUNDUP(J238,0)</f>
        <v>35</v>
      </c>
      <c r="L238" s="22" t="n">
        <f aca="false">MAX(D238,K238)</f>
        <v>40</v>
      </c>
      <c r="M238" s="25" t="n">
        <f aca="false">IF(E238="COVERED",'Controls &amp; Sources'!$B$5,'Controls &amp; Sources'!$B$6)</f>
        <v>10.4</v>
      </c>
      <c r="N238" s="25" t="n">
        <f aca="false">L238*M238</f>
        <v>416</v>
      </c>
      <c r="O238" s="22" t="n">
        <f aca="false">COUNTIFS('Billing Actual'!$E$2:$E$770,A238,'Billing Actual'!$B$2:$B$770,'Controls &amp; Sources'!$B$7)</f>
        <v>1</v>
      </c>
      <c r="P238" s="25" t="n">
        <f aca="false">SUMIFS('Billing Actual'!$M$2:$M$770,'Billing Actual'!$E$2:$E$770,A238,'Billing Actual'!$B$2:$B$770,'Controls &amp; Sources'!$B$7)</f>
        <v>416</v>
      </c>
      <c r="Q238" s="25" t="n">
        <f aca="false">P238-N238</f>
        <v>0</v>
      </c>
      <c r="R238" s="22" t="str">
        <f aca="false">IF(O238=0,"No August moorage transaction",IF(O238&gt;1,"Duplicate August transactions",IF(ABS(Q238)&gt;0.005,"Charge variance","OK")))</f>
        <v>OK</v>
      </c>
      <c r="S238" s="22" t="str">
        <f aca="false">IF(R238="OK","","Billing completeness/reconciliation")</f>
        <v/>
      </c>
    </row>
    <row r="239" customFormat="false" ht="15" hidden="false" customHeight="false" outlineLevel="0" collapsed="false">
      <c r="A239" s="22" t="s">
        <v>7280</v>
      </c>
      <c r="B239" s="22" t="s">
        <v>198</v>
      </c>
      <c r="C239" s="22" t="s">
        <v>6562</v>
      </c>
      <c r="D239" s="22" t="n">
        <v>24</v>
      </c>
      <c r="E239" s="22" t="s">
        <v>6575</v>
      </c>
      <c r="F239" s="22" t="s">
        <v>6577</v>
      </c>
      <c r="G239" s="22" t="s">
        <v>2704</v>
      </c>
      <c r="H239" s="22" t="s">
        <v>2705</v>
      </c>
      <c r="I239" s="22" t="s">
        <v>1294</v>
      </c>
      <c r="J239" s="22" t="n">
        <v>18</v>
      </c>
      <c r="K239" s="22" t="n">
        <f aca="false">ROUNDUP(J239,0)</f>
        <v>18</v>
      </c>
      <c r="L239" s="22" t="n">
        <f aca="false">MAX(D239,K239)</f>
        <v>24</v>
      </c>
      <c r="M239" s="25" t="n">
        <f aca="false">IF(E239="COVERED",'Controls &amp; Sources'!$B$5,'Controls &amp; Sources'!$B$6)</f>
        <v>10.4</v>
      </c>
      <c r="N239" s="25" t="n">
        <f aca="false">L239*M239</f>
        <v>249.6</v>
      </c>
      <c r="O239" s="22" t="n">
        <f aca="false">COUNTIFS('Billing Actual'!$E$2:$E$770,A239,'Billing Actual'!$B$2:$B$770,'Controls &amp; Sources'!$B$7)</f>
        <v>1</v>
      </c>
      <c r="P239" s="25" t="n">
        <f aca="false">SUMIFS('Billing Actual'!$M$2:$M$770,'Billing Actual'!$E$2:$E$770,A239,'Billing Actual'!$B$2:$B$770,'Controls &amp; Sources'!$B$7)</f>
        <v>249.6</v>
      </c>
      <c r="Q239" s="25" t="n">
        <f aca="false">P239-N239</f>
        <v>0</v>
      </c>
      <c r="R239" s="22" t="str">
        <f aca="false">IF(O239=0,"No August moorage transaction",IF(O239&gt;1,"Duplicate August transactions",IF(ABS(Q239)&gt;0.005,"Charge variance","OK")))</f>
        <v>OK</v>
      </c>
      <c r="S239" s="22" t="str">
        <f aca="false">IF(R239="OK","","Billing completeness/reconciliation")</f>
        <v/>
      </c>
    </row>
    <row r="240" customFormat="false" ht="15" hidden="false" customHeight="false" outlineLevel="0" collapsed="false">
      <c r="A240" s="22" t="s">
        <v>7283</v>
      </c>
      <c r="B240" s="22" t="s">
        <v>198</v>
      </c>
      <c r="C240" s="22" t="s">
        <v>6562</v>
      </c>
      <c r="D240" s="22" t="n">
        <v>32</v>
      </c>
      <c r="E240" s="22" t="s">
        <v>6575</v>
      </c>
      <c r="F240" s="22" t="s">
        <v>6577</v>
      </c>
      <c r="G240" s="22" t="s">
        <v>1925</v>
      </c>
      <c r="H240" s="22" t="s">
        <v>1926</v>
      </c>
      <c r="I240" s="22" t="s">
        <v>492</v>
      </c>
      <c r="J240" s="22" t="n">
        <v>21.4</v>
      </c>
      <c r="K240" s="22" t="n">
        <f aca="false">ROUNDUP(J240,0)</f>
        <v>22</v>
      </c>
      <c r="L240" s="22" t="n">
        <f aca="false">MAX(D240,K240)</f>
        <v>32</v>
      </c>
      <c r="M240" s="25" t="n">
        <f aca="false">IF(E240="COVERED",'Controls &amp; Sources'!$B$5,'Controls &amp; Sources'!$B$6)</f>
        <v>10.4</v>
      </c>
      <c r="N240" s="25" t="n">
        <f aca="false">L240*M240</f>
        <v>332.8</v>
      </c>
      <c r="O240" s="22" t="n">
        <f aca="false">COUNTIFS('Billing Actual'!$E$2:$E$770,A240,'Billing Actual'!$B$2:$B$770,'Controls &amp; Sources'!$B$7)</f>
        <v>1</v>
      </c>
      <c r="P240" s="25" t="n">
        <f aca="false">SUMIFS('Billing Actual'!$M$2:$M$770,'Billing Actual'!$E$2:$E$770,A240,'Billing Actual'!$B$2:$B$770,'Controls &amp; Sources'!$B$7)</f>
        <v>332.8</v>
      </c>
      <c r="Q240" s="25" t="n">
        <f aca="false">P240-N240</f>
        <v>0</v>
      </c>
      <c r="R240" s="22" t="str">
        <f aca="false">IF(O240=0,"No August moorage transaction",IF(O240&gt;1,"Duplicate August transactions",IF(ABS(Q240)&gt;0.005,"Charge variance","OK")))</f>
        <v>OK</v>
      </c>
      <c r="S240" s="22" t="str">
        <f aca="false">IF(R240="OK","","Billing completeness/reconciliation")</f>
        <v/>
      </c>
    </row>
    <row r="241" customFormat="false" ht="15" hidden="false" customHeight="false" outlineLevel="0" collapsed="false">
      <c r="A241" s="22" t="s">
        <v>7286</v>
      </c>
      <c r="B241" s="22" t="s">
        <v>198</v>
      </c>
      <c r="C241" s="22" t="s">
        <v>6562</v>
      </c>
      <c r="D241" s="22" t="n">
        <v>28</v>
      </c>
      <c r="E241" s="22" t="s">
        <v>6575</v>
      </c>
      <c r="F241" s="22" t="s">
        <v>6577</v>
      </c>
      <c r="G241" s="22" t="s">
        <v>4306</v>
      </c>
      <c r="H241" s="22" t="s">
        <v>4307</v>
      </c>
      <c r="I241" s="22" t="s">
        <v>3174</v>
      </c>
      <c r="J241" s="22" t="n">
        <v>58.7</v>
      </c>
      <c r="K241" s="22" t="n">
        <f aca="false">ROUNDUP(J241,0)</f>
        <v>59</v>
      </c>
      <c r="L241" s="22" t="n">
        <f aca="false">MAX(D241,K241)</f>
        <v>59</v>
      </c>
      <c r="M241" s="25" t="n">
        <f aca="false">IF(E241="COVERED",'Controls &amp; Sources'!$B$5,'Controls &amp; Sources'!$B$6)</f>
        <v>10.4</v>
      </c>
      <c r="N241" s="25" t="n">
        <f aca="false">L241*M241</f>
        <v>613.6</v>
      </c>
      <c r="O241" s="22" t="n">
        <f aca="false">COUNTIFS('Billing Actual'!$E$2:$E$770,A241,'Billing Actual'!$B$2:$B$770,'Controls &amp; Sources'!$B$7)</f>
        <v>1</v>
      </c>
      <c r="P241" s="25" t="n">
        <f aca="false">SUMIFS('Billing Actual'!$M$2:$M$770,'Billing Actual'!$E$2:$E$770,A241,'Billing Actual'!$B$2:$B$770,'Controls &amp; Sources'!$B$7)</f>
        <v>613.6</v>
      </c>
      <c r="Q241" s="25" t="n">
        <f aca="false">P241-N241</f>
        <v>0</v>
      </c>
      <c r="R241" s="22" t="str">
        <f aca="false">IF(O241=0,"No August moorage transaction",IF(O241&gt;1,"Duplicate August transactions",IF(ABS(Q241)&gt;0.005,"Charge variance","OK")))</f>
        <v>OK</v>
      </c>
      <c r="S241" s="22" t="str">
        <f aca="false">IF(R241="OK","","Billing completeness/reconciliation")</f>
        <v/>
      </c>
    </row>
    <row r="242" customFormat="false" ht="15" hidden="false" customHeight="false" outlineLevel="0" collapsed="false">
      <c r="A242" s="22" t="s">
        <v>7289</v>
      </c>
      <c r="B242" s="22" t="s">
        <v>198</v>
      </c>
      <c r="C242" s="22" t="s">
        <v>6562</v>
      </c>
      <c r="D242" s="22" t="n">
        <v>28</v>
      </c>
      <c r="E242" s="22" t="s">
        <v>6575</v>
      </c>
      <c r="F242" s="22" t="s">
        <v>6577</v>
      </c>
      <c r="G242" s="22" t="s">
        <v>5645</v>
      </c>
      <c r="H242" s="22" t="s">
        <v>5646</v>
      </c>
      <c r="I242" s="22" t="s">
        <v>1198</v>
      </c>
      <c r="J242" s="22" t="n">
        <v>36.8</v>
      </c>
      <c r="K242" s="22" t="n">
        <f aca="false">ROUNDUP(J242,0)</f>
        <v>37</v>
      </c>
      <c r="L242" s="22" t="n">
        <f aca="false">MAX(D242,K242)</f>
        <v>37</v>
      </c>
      <c r="M242" s="25" t="n">
        <f aca="false">IF(E242="COVERED",'Controls &amp; Sources'!$B$5,'Controls &amp; Sources'!$B$6)</f>
        <v>10.4</v>
      </c>
      <c r="N242" s="25" t="n">
        <f aca="false">L242*M242</f>
        <v>384.8</v>
      </c>
      <c r="O242" s="22" t="n">
        <f aca="false">COUNTIFS('Billing Actual'!$E$2:$E$770,A242,'Billing Actual'!$B$2:$B$770,'Controls &amp; Sources'!$B$7)</f>
        <v>1</v>
      </c>
      <c r="P242" s="25" t="n">
        <f aca="false">SUMIFS('Billing Actual'!$M$2:$M$770,'Billing Actual'!$E$2:$E$770,A242,'Billing Actual'!$B$2:$B$770,'Controls &amp; Sources'!$B$7)</f>
        <v>384.8</v>
      </c>
      <c r="Q242" s="25" t="n">
        <f aca="false">P242-N242</f>
        <v>0</v>
      </c>
      <c r="R242" s="22" t="str">
        <f aca="false">IF(O242=0,"No August moorage transaction",IF(O242&gt;1,"Duplicate August transactions",IF(ABS(Q242)&gt;0.005,"Charge variance","OK")))</f>
        <v>OK</v>
      </c>
      <c r="S242" s="22" t="str">
        <f aca="false">IF(R242="OK","","Billing completeness/reconciliation")</f>
        <v/>
      </c>
    </row>
    <row r="243" customFormat="false" ht="15" hidden="false" customHeight="false" outlineLevel="0" collapsed="false">
      <c r="A243" s="22" t="s">
        <v>7292</v>
      </c>
      <c r="B243" s="22" t="s">
        <v>198</v>
      </c>
      <c r="C243" s="22" t="s">
        <v>6562</v>
      </c>
      <c r="D243" s="22" t="n">
        <v>24</v>
      </c>
      <c r="E243" s="22" t="s">
        <v>6575</v>
      </c>
      <c r="F243" s="22" t="s">
        <v>6577</v>
      </c>
      <c r="G243" s="22" t="s">
        <v>2515</v>
      </c>
      <c r="H243" s="22" t="s">
        <v>2516</v>
      </c>
      <c r="I243" s="22" t="s">
        <v>1786</v>
      </c>
      <c r="J243" s="22" t="n">
        <v>62</v>
      </c>
      <c r="K243" s="22" t="n">
        <f aca="false">ROUNDUP(J243,0)</f>
        <v>62</v>
      </c>
      <c r="L243" s="22" t="n">
        <f aca="false">MAX(D243,K243)</f>
        <v>62</v>
      </c>
      <c r="M243" s="25" t="n">
        <f aca="false">IF(E243="COVERED",'Controls &amp; Sources'!$B$5,'Controls &amp; Sources'!$B$6)</f>
        <v>10.4</v>
      </c>
      <c r="N243" s="25" t="n">
        <f aca="false">L243*M243</f>
        <v>644.8</v>
      </c>
      <c r="O243" s="22" t="n">
        <f aca="false">COUNTIFS('Billing Actual'!$E$2:$E$770,A243,'Billing Actual'!$B$2:$B$770,'Controls &amp; Sources'!$B$7)</f>
        <v>1</v>
      </c>
      <c r="P243" s="25" t="n">
        <f aca="false">SUMIFS('Billing Actual'!$M$2:$M$770,'Billing Actual'!$E$2:$E$770,A243,'Billing Actual'!$B$2:$B$770,'Controls &amp; Sources'!$B$7)</f>
        <v>644.8</v>
      </c>
      <c r="Q243" s="25" t="n">
        <f aca="false">P243-N243</f>
        <v>0</v>
      </c>
      <c r="R243" s="22" t="str">
        <f aca="false">IF(O243=0,"No August moorage transaction",IF(O243&gt;1,"Duplicate August transactions",IF(ABS(Q243)&gt;0.005,"Charge variance","OK")))</f>
        <v>OK</v>
      </c>
      <c r="S243" s="22" t="str">
        <f aca="false">IF(R243="OK","","Billing completeness/reconciliation")</f>
        <v/>
      </c>
    </row>
    <row r="244" customFormat="false" ht="15" hidden="false" customHeight="false" outlineLevel="0" collapsed="false">
      <c r="A244" s="22" t="s">
        <v>7295</v>
      </c>
      <c r="B244" s="22" t="s">
        <v>198</v>
      </c>
      <c r="C244" s="22" t="s">
        <v>6562</v>
      </c>
      <c r="D244" s="22" t="n">
        <v>24</v>
      </c>
      <c r="E244" s="22" t="s">
        <v>6575</v>
      </c>
      <c r="F244" s="22" t="s">
        <v>6577</v>
      </c>
      <c r="G244" s="22" t="s">
        <v>3687</v>
      </c>
      <c r="H244" s="22" t="s">
        <v>3688</v>
      </c>
      <c r="I244" s="22" t="s">
        <v>2896</v>
      </c>
      <c r="J244" s="22" t="n">
        <v>59.8</v>
      </c>
      <c r="K244" s="22" t="n">
        <f aca="false">ROUNDUP(J244,0)</f>
        <v>60</v>
      </c>
      <c r="L244" s="22" t="n">
        <f aca="false">MAX(D244,K244)</f>
        <v>60</v>
      </c>
      <c r="M244" s="25" t="n">
        <f aca="false">IF(E244="COVERED",'Controls &amp; Sources'!$B$5,'Controls &amp; Sources'!$B$6)</f>
        <v>10.4</v>
      </c>
      <c r="N244" s="25" t="n">
        <f aca="false">L244*M244</f>
        <v>624</v>
      </c>
      <c r="O244" s="22" t="n">
        <f aca="false">COUNTIFS('Billing Actual'!$E$2:$E$770,A244,'Billing Actual'!$B$2:$B$770,'Controls &amp; Sources'!$B$7)</f>
        <v>1</v>
      </c>
      <c r="P244" s="25" t="n">
        <f aca="false">SUMIFS('Billing Actual'!$M$2:$M$770,'Billing Actual'!$E$2:$E$770,A244,'Billing Actual'!$B$2:$B$770,'Controls &amp; Sources'!$B$7)</f>
        <v>624</v>
      </c>
      <c r="Q244" s="25" t="n">
        <f aca="false">P244-N244</f>
        <v>0</v>
      </c>
      <c r="R244" s="22" t="str">
        <f aca="false">IF(O244=0,"No August moorage transaction",IF(O244&gt;1,"Duplicate August transactions",IF(ABS(Q244)&gt;0.005,"Charge variance","OK")))</f>
        <v>OK</v>
      </c>
      <c r="S244" s="22" t="str">
        <f aca="false">IF(R244="OK","","Billing completeness/reconciliation")</f>
        <v/>
      </c>
    </row>
    <row r="245" customFormat="false" ht="15" hidden="false" customHeight="false" outlineLevel="0" collapsed="false">
      <c r="A245" s="22" t="s">
        <v>7298</v>
      </c>
      <c r="B245" s="22" t="s">
        <v>198</v>
      </c>
      <c r="C245" s="22" t="s">
        <v>6562</v>
      </c>
      <c r="D245" s="22" t="n">
        <v>32</v>
      </c>
      <c r="E245" s="22" t="s">
        <v>6575</v>
      </c>
      <c r="F245" s="22" t="s">
        <v>6577</v>
      </c>
      <c r="G245" s="22" t="s">
        <v>5243</v>
      </c>
      <c r="H245" s="22" t="s">
        <v>5244</v>
      </c>
      <c r="I245" s="22" t="s">
        <v>1428</v>
      </c>
      <c r="J245" s="22" t="n">
        <v>41.3</v>
      </c>
      <c r="K245" s="22" t="n">
        <f aca="false">ROUNDUP(J245,0)</f>
        <v>42</v>
      </c>
      <c r="L245" s="22" t="n">
        <f aca="false">MAX(D245,K245)</f>
        <v>42</v>
      </c>
      <c r="M245" s="25" t="n">
        <f aca="false">IF(E245="COVERED",'Controls &amp; Sources'!$B$5,'Controls &amp; Sources'!$B$6)</f>
        <v>10.4</v>
      </c>
      <c r="N245" s="25" t="n">
        <f aca="false">L245*M245</f>
        <v>436.8</v>
      </c>
      <c r="O245" s="22" t="n">
        <f aca="false">COUNTIFS('Billing Actual'!$E$2:$E$770,A245,'Billing Actual'!$B$2:$B$770,'Controls &amp; Sources'!$B$7)</f>
        <v>1</v>
      </c>
      <c r="P245" s="25" t="n">
        <f aca="false">SUMIFS('Billing Actual'!$M$2:$M$770,'Billing Actual'!$E$2:$E$770,A245,'Billing Actual'!$B$2:$B$770,'Controls &amp; Sources'!$B$7)</f>
        <v>436.8</v>
      </c>
      <c r="Q245" s="25" t="n">
        <f aca="false">P245-N245</f>
        <v>0</v>
      </c>
      <c r="R245" s="22" t="str">
        <f aca="false">IF(O245=0,"No August moorage transaction",IF(O245&gt;1,"Duplicate August transactions",IF(ABS(Q245)&gt;0.005,"Charge variance","OK")))</f>
        <v>OK</v>
      </c>
      <c r="S245" s="22" t="str">
        <f aca="false">IF(R245="OK","","Billing completeness/reconciliation")</f>
        <v/>
      </c>
    </row>
    <row r="246" customFormat="false" ht="15" hidden="false" customHeight="false" outlineLevel="0" collapsed="false">
      <c r="A246" s="22" t="s">
        <v>7301</v>
      </c>
      <c r="B246" s="22" t="s">
        <v>198</v>
      </c>
      <c r="C246" s="22" t="s">
        <v>6562</v>
      </c>
      <c r="D246" s="22" t="n">
        <v>32</v>
      </c>
      <c r="E246" s="22" t="s">
        <v>6575</v>
      </c>
      <c r="F246" s="22" t="s">
        <v>6577</v>
      </c>
      <c r="G246" s="22" t="s">
        <v>225</v>
      </c>
      <c r="H246" s="22" t="s">
        <v>226</v>
      </c>
      <c r="I246" s="22" t="s">
        <v>227</v>
      </c>
      <c r="J246" s="22" t="n">
        <v>24.1</v>
      </c>
      <c r="K246" s="22" t="n">
        <f aca="false">ROUNDUP(J246,0)</f>
        <v>25</v>
      </c>
      <c r="L246" s="22" t="n">
        <f aca="false">MAX(D246,K246)</f>
        <v>32</v>
      </c>
      <c r="M246" s="25" t="n">
        <f aca="false">IF(E246="COVERED",'Controls &amp; Sources'!$B$5,'Controls &amp; Sources'!$B$6)</f>
        <v>10.4</v>
      </c>
      <c r="N246" s="25" t="n">
        <f aca="false">L246*M246</f>
        <v>332.8</v>
      </c>
      <c r="O246" s="22" t="n">
        <f aca="false">COUNTIFS('Billing Actual'!$E$2:$E$770,A246,'Billing Actual'!$B$2:$B$770,'Controls &amp; Sources'!$B$7)</f>
        <v>1</v>
      </c>
      <c r="P246" s="25" t="n">
        <f aca="false">SUMIFS('Billing Actual'!$M$2:$M$770,'Billing Actual'!$E$2:$E$770,A246,'Billing Actual'!$B$2:$B$770,'Controls &amp; Sources'!$B$7)</f>
        <v>332.8</v>
      </c>
      <c r="Q246" s="25" t="n">
        <f aca="false">P246-N246</f>
        <v>0</v>
      </c>
      <c r="R246" s="22" t="str">
        <f aca="false">IF(O246=0,"No August moorage transaction",IF(O246&gt;1,"Duplicate August transactions",IF(ABS(Q246)&gt;0.005,"Charge variance","OK")))</f>
        <v>OK</v>
      </c>
      <c r="S246" s="22" t="str">
        <f aca="false">IF(R246="OK","","Billing completeness/reconciliation")</f>
        <v/>
      </c>
    </row>
    <row r="247" customFormat="false" ht="15" hidden="false" customHeight="false" outlineLevel="0" collapsed="false">
      <c r="A247" s="22" t="s">
        <v>7303</v>
      </c>
      <c r="B247" s="22" t="s">
        <v>159</v>
      </c>
      <c r="C247" s="22" t="s">
        <v>6562</v>
      </c>
      <c r="D247" s="22" t="n">
        <v>36</v>
      </c>
      <c r="E247" s="22" t="s">
        <v>6575</v>
      </c>
      <c r="F247" s="22" t="s">
        <v>6577</v>
      </c>
      <c r="G247" s="22" t="s">
        <v>5584</v>
      </c>
      <c r="H247" s="22" t="s">
        <v>5585</v>
      </c>
      <c r="I247" s="22" t="s">
        <v>346</v>
      </c>
      <c r="J247" s="22" t="n">
        <v>61</v>
      </c>
      <c r="K247" s="22" t="n">
        <f aca="false">ROUNDUP(J247,0)</f>
        <v>61</v>
      </c>
      <c r="L247" s="22" t="n">
        <f aca="false">MAX(D247,K247)</f>
        <v>61</v>
      </c>
      <c r="M247" s="25" t="n">
        <f aca="false">IF(E247="COVERED",'Controls &amp; Sources'!$B$5,'Controls &amp; Sources'!$B$6)</f>
        <v>10.4</v>
      </c>
      <c r="N247" s="25" t="n">
        <f aca="false">L247*M247</f>
        <v>634.4</v>
      </c>
      <c r="O247" s="22" t="n">
        <f aca="false">COUNTIFS('Billing Actual'!$E$2:$E$770,A247,'Billing Actual'!$B$2:$B$770,'Controls &amp; Sources'!$B$7)</f>
        <v>1</v>
      </c>
      <c r="P247" s="25" t="n">
        <f aca="false">SUMIFS('Billing Actual'!$M$2:$M$770,'Billing Actual'!$E$2:$E$770,A247,'Billing Actual'!$B$2:$B$770,'Controls &amp; Sources'!$B$7)</f>
        <v>634.4</v>
      </c>
      <c r="Q247" s="25" t="n">
        <f aca="false">P247-N247</f>
        <v>0</v>
      </c>
      <c r="R247" s="22" t="str">
        <f aca="false">IF(O247=0,"No August moorage transaction",IF(O247&gt;1,"Duplicate August transactions",IF(ABS(Q247)&gt;0.005,"Charge variance","OK")))</f>
        <v>OK</v>
      </c>
      <c r="S247" s="22" t="str">
        <f aca="false">IF(R247="OK","","Billing completeness/reconciliation")</f>
        <v/>
      </c>
    </row>
    <row r="248" customFormat="false" ht="15" hidden="false" customHeight="false" outlineLevel="0" collapsed="false">
      <c r="A248" s="22" t="s">
        <v>7304</v>
      </c>
      <c r="B248" s="22" t="s">
        <v>159</v>
      </c>
      <c r="C248" s="22" t="s">
        <v>6562</v>
      </c>
      <c r="D248" s="22" t="n">
        <v>24</v>
      </c>
      <c r="E248" s="22" t="s">
        <v>6575</v>
      </c>
      <c r="F248" s="22" t="s">
        <v>6577</v>
      </c>
      <c r="G248" s="22" t="s">
        <v>5449</v>
      </c>
      <c r="H248" s="22" t="s">
        <v>5450</v>
      </c>
      <c r="I248" s="22" t="s">
        <v>986</v>
      </c>
      <c r="J248" s="22" t="n">
        <v>33.2</v>
      </c>
      <c r="K248" s="22" t="n">
        <f aca="false">ROUNDUP(J248,0)</f>
        <v>34</v>
      </c>
      <c r="L248" s="22" t="n">
        <f aca="false">MAX(D248,K248)</f>
        <v>34</v>
      </c>
      <c r="M248" s="25" t="n">
        <f aca="false">IF(E248="COVERED",'Controls &amp; Sources'!$B$5,'Controls &amp; Sources'!$B$6)</f>
        <v>10.4</v>
      </c>
      <c r="N248" s="25" t="n">
        <f aca="false">L248*M248</f>
        <v>353.6</v>
      </c>
      <c r="O248" s="22" t="n">
        <f aca="false">COUNTIFS('Billing Actual'!$E$2:$E$770,A248,'Billing Actual'!$B$2:$B$770,'Controls &amp; Sources'!$B$7)</f>
        <v>1</v>
      </c>
      <c r="P248" s="25" t="n">
        <f aca="false">SUMIFS('Billing Actual'!$M$2:$M$770,'Billing Actual'!$E$2:$E$770,A248,'Billing Actual'!$B$2:$B$770,'Controls &amp; Sources'!$B$7)</f>
        <v>353.6</v>
      </c>
      <c r="Q248" s="25" t="n">
        <f aca="false">P248-N248</f>
        <v>0</v>
      </c>
      <c r="R248" s="22" t="str">
        <f aca="false">IF(O248=0,"No August moorage transaction",IF(O248&gt;1,"Duplicate August transactions",IF(ABS(Q248)&gt;0.005,"Charge variance","OK")))</f>
        <v>OK</v>
      </c>
      <c r="S248" s="22" t="str">
        <f aca="false">IF(R248="OK","","Billing completeness/reconciliation")</f>
        <v/>
      </c>
    </row>
    <row r="249" customFormat="false" ht="15" hidden="false" customHeight="false" outlineLevel="0" collapsed="false">
      <c r="A249" s="22" t="s">
        <v>7305</v>
      </c>
      <c r="B249" s="22" t="s">
        <v>159</v>
      </c>
      <c r="C249" s="22" t="s">
        <v>6562</v>
      </c>
      <c r="D249" s="22" t="n">
        <v>24</v>
      </c>
      <c r="E249" s="22" t="s">
        <v>6575</v>
      </c>
      <c r="F249" s="22" t="s">
        <v>6577</v>
      </c>
      <c r="G249" s="22" t="s">
        <v>5040</v>
      </c>
      <c r="H249" s="22" t="s">
        <v>5041</v>
      </c>
      <c r="I249" s="22" t="s">
        <v>1011</v>
      </c>
      <c r="J249" s="22" t="n">
        <v>38.9</v>
      </c>
      <c r="K249" s="22" t="n">
        <f aca="false">ROUNDUP(J249,0)</f>
        <v>39</v>
      </c>
      <c r="L249" s="22" t="n">
        <f aca="false">MAX(D249,K249)</f>
        <v>39</v>
      </c>
      <c r="M249" s="25" t="n">
        <f aca="false">IF(E249="COVERED",'Controls &amp; Sources'!$B$5,'Controls &amp; Sources'!$B$6)</f>
        <v>10.4</v>
      </c>
      <c r="N249" s="25" t="n">
        <f aca="false">L249*M249</f>
        <v>405.6</v>
      </c>
      <c r="O249" s="22" t="n">
        <f aca="false">COUNTIFS('Billing Actual'!$E$2:$E$770,A249,'Billing Actual'!$B$2:$B$770,'Controls &amp; Sources'!$B$7)</f>
        <v>1</v>
      </c>
      <c r="P249" s="25" t="n">
        <f aca="false">SUMIFS('Billing Actual'!$M$2:$M$770,'Billing Actual'!$E$2:$E$770,A249,'Billing Actual'!$B$2:$B$770,'Controls &amp; Sources'!$B$7)</f>
        <v>405.6</v>
      </c>
      <c r="Q249" s="25" t="n">
        <f aca="false">P249-N249</f>
        <v>0</v>
      </c>
      <c r="R249" s="22" t="str">
        <f aca="false">IF(O249=0,"No August moorage transaction",IF(O249&gt;1,"Duplicate August transactions",IF(ABS(Q249)&gt;0.005,"Charge variance","OK")))</f>
        <v>OK</v>
      </c>
      <c r="S249" s="22" t="str">
        <f aca="false">IF(R249="OK","","Billing completeness/reconciliation")</f>
        <v/>
      </c>
    </row>
    <row r="250" customFormat="false" ht="15" hidden="false" customHeight="false" outlineLevel="0" collapsed="false">
      <c r="A250" s="22" t="s">
        <v>7309</v>
      </c>
      <c r="B250" s="22" t="s">
        <v>159</v>
      </c>
      <c r="C250" s="22" t="s">
        <v>6562</v>
      </c>
      <c r="D250" s="22" t="n">
        <v>40</v>
      </c>
      <c r="E250" s="22" t="s">
        <v>6575</v>
      </c>
      <c r="F250" s="22" t="s">
        <v>6577</v>
      </c>
      <c r="G250" s="22" t="s">
        <v>6420</v>
      </c>
      <c r="H250" s="22" t="s">
        <v>6421</v>
      </c>
      <c r="I250" s="22" t="s">
        <v>1499</v>
      </c>
      <c r="J250" s="22" t="n">
        <v>53.9</v>
      </c>
      <c r="K250" s="22" t="n">
        <f aca="false">ROUNDUP(J250,0)</f>
        <v>54</v>
      </c>
      <c r="L250" s="22" t="n">
        <f aca="false">MAX(D250,K250)</f>
        <v>54</v>
      </c>
      <c r="M250" s="25" t="n">
        <f aca="false">IF(E250="COVERED",'Controls &amp; Sources'!$B$5,'Controls &amp; Sources'!$B$6)</f>
        <v>10.4</v>
      </c>
      <c r="N250" s="25" t="n">
        <f aca="false">L250*M250</f>
        <v>561.6</v>
      </c>
      <c r="O250" s="22" t="n">
        <f aca="false">COUNTIFS('Billing Actual'!$E$2:$E$770,A250,'Billing Actual'!$B$2:$B$770,'Controls &amp; Sources'!$B$7)</f>
        <v>1</v>
      </c>
      <c r="P250" s="25" t="n">
        <f aca="false">SUMIFS('Billing Actual'!$M$2:$M$770,'Billing Actual'!$E$2:$E$770,A250,'Billing Actual'!$B$2:$B$770,'Controls &amp; Sources'!$B$7)</f>
        <v>561.6</v>
      </c>
      <c r="Q250" s="25" t="n">
        <f aca="false">P250-N250</f>
        <v>0</v>
      </c>
      <c r="R250" s="22" t="str">
        <f aca="false">IF(O250=0,"No August moorage transaction",IF(O250&gt;1,"Duplicate August transactions",IF(ABS(Q250)&gt;0.005,"Charge variance","OK")))</f>
        <v>OK</v>
      </c>
      <c r="S250" s="22" t="str">
        <f aca="false">IF(R250="OK","","Billing completeness/reconciliation")</f>
        <v/>
      </c>
    </row>
    <row r="251" customFormat="false" ht="15" hidden="false" customHeight="false" outlineLevel="0" collapsed="false">
      <c r="A251" s="22" t="s">
        <v>7311</v>
      </c>
      <c r="B251" s="22" t="s">
        <v>159</v>
      </c>
      <c r="C251" s="22" t="s">
        <v>6562</v>
      </c>
      <c r="D251" s="22" t="n">
        <v>24</v>
      </c>
      <c r="E251" s="22" t="s">
        <v>6575</v>
      </c>
      <c r="F251" s="22" t="s">
        <v>6577</v>
      </c>
      <c r="G251" s="22" t="s">
        <v>874</v>
      </c>
      <c r="H251" s="22" t="s">
        <v>875</v>
      </c>
      <c r="I251" s="22" t="s">
        <v>519</v>
      </c>
      <c r="J251" s="22" t="n">
        <v>48.2</v>
      </c>
      <c r="K251" s="22" t="n">
        <f aca="false">ROUNDUP(J251,0)</f>
        <v>49</v>
      </c>
      <c r="L251" s="22" t="n">
        <f aca="false">MAX(D251,K251)</f>
        <v>49</v>
      </c>
      <c r="M251" s="25" t="n">
        <f aca="false">IF(E251="COVERED",'Controls &amp; Sources'!$B$5,'Controls &amp; Sources'!$B$6)</f>
        <v>10.4</v>
      </c>
      <c r="N251" s="25" t="n">
        <f aca="false">L251*M251</f>
        <v>509.6</v>
      </c>
      <c r="O251" s="22" t="n">
        <f aca="false">COUNTIFS('Billing Actual'!$E$2:$E$770,A251,'Billing Actual'!$B$2:$B$770,'Controls &amp; Sources'!$B$7)</f>
        <v>1</v>
      </c>
      <c r="P251" s="25" t="n">
        <f aca="false">SUMIFS('Billing Actual'!$M$2:$M$770,'Billing Actual'!$E$2:$E$770,A251,'Billing Actual'!$B$2:$B$770,'Controls &amp; Sources'!$B$7)</f>
        <v>509.6</v>
      </c>
      <c r="Q251" s="25" t="n">
        <f aca="false">P251-N251</f>
        <v>0</v>
      </c>
      <c r="R251" s="22" t="str">
        <f aca="false">IF(O251=0,"No August moorage transaction",IF(O251&gt;1,"Duplicate August transactions",IF(ABS(Q251)&gt;0.005,"Charge variance","OK")))</f>
        <v>OK</v>
      </c>
      <c r="S251" s="22" t="str">
        <f aca="false">IF(R251="OK","","Billing completeness/reconciliation")</f>
        <v/>
      </c>
    </row>
    <row r="252" customFormat="false" ht="15" hidden="false" customHeight="false" outlineLevel="0" collapsed="false">
      <c r="A252" s="22" t="s">
        <v>7312</v>
      </c>
      <c r="B252" s="22" t="s">
        <v>159</v>
      </c>
      <c r="C252" s="22" t="s">
        <v>6562</v>
      </c>
      <c r="D252" s="22" t="n">
        <v>24</v>
      </c>
      <c r="E252" s="22" t="s">
        <v>6575</v>
      </c>
      <c r="F252" s="22" t="s">
        <v>6577</v>
      </c>
      <c r="G252" s="22" t="s">
        <v>4414</v>
      </c>
      <c r="H252" s="22" t="s">
        <v>4415</v>
      </c>
      <c r="I252" s="22" t="s">
        <v>1210</v>
      </c>
      <c r="J252" s="22" t="n">
        <v>35.5</v>
      </c>
      <c r="K252" s="22" t="n">
        <f aca="false">ROUNDUP(J252,0)</f>
        <v>36</v>
      </c>
      <c r="L252" s="22" t="n">
        <f aca="false">MAX(D252,K252)</f>
        <v>36</v>
      </c>
      <c r="M252" s="25" t="n">
        <f aca="false">IF(E252="COVERED",'Controls &amp; Sources'!$B$5,'Controls &amp; Sources'!$B$6)</f>
        <v>10.4</v>
      </c>
      <c r="N252" s="25" t="n">
        <f aca="false">L252*M252</f>
        <v>374.4</v>
      </c>
      <c r="O252" s="22" t="n">
        <f aca="false">COUNTIFS('Billing Actual'!$E$2:$E$770,A252,'Billing Actual'!$B$2:$B$770,'Controls &amp; Sources'!$B$7)</f>
        <v>1</v>
      </c>
      <c r="P252" s="25" t="n">
        <f aca="false">SUMIFS('Billing Actual'!$M$2:$M$770,'Billing Actual'!$E$2:$E$770,A252,'Billing Actual'!$B$2:$B$770,'Controls &amp; Sources'!$B$7)</f>
        <v>374.4</v>
      </c>
      <c r="Q252" s="25" t="n">
        <f aca="false">P252-N252</f>
        <v>0</v>
      </c>
      <c r="R252" s="22" t="str">
        <f aca="false">IF(O252=0,"No August moorage transaction",IF(O252&gt;1,"Duplicate August transactions",IF(ABS(Q252)&gt;0.005,"Charge variance","OK")))</f>
        <v>OK</v>
      </c>
      <c r="S252" s="22" t="str">
        <f aca="false">IF(R252="OK","","Billing completeness/reconciliation")</f>
        <v/>
      </c>
    </row>
    <row r="253" customFormat="false" ht="15" hidden="false" customHeight="false" outlineLevel="0" collapsed="false">
      <c r="A253" s="22" t="s">
        <v>7314</v>
      </c>
      <c r="B253" s="22" t="s">
        <v>159</v>
      </c>
      <c r="C253" s="22" t="s">
        <v>6562</v>
      </c>
      <c r="D253" s="22" t="n">
        <v>32</v>
      </c>
      <c r="E253" s="22" t="s">
        <v>6575</v>
      </c>
      <c r="F253" s="22" t="s">
        <v>6577</v>
      </c>
      <c r="G253" s="22" t="s">
        <v>6488</v>
      </c>
      <c r="H253" s="22" t="s">
        <v>6489</v>
      </c>
      <c r="I253" s="22" t="s">
        <v>2034</v>
      </c>
      <c r="J253" s="22" t="n">
        <v>29.7</v>
      </c>
      <c r="K253" s="22" t="n">
        <f aca="false">ROUNDUP(J253,0)</f>
        <v>30</v>
      </c>
      <c r="L253" s="22" t="n">
        <f aca="false">MAX(D253,K253)</f>
        <v>32</v>
      </c>
      <c r="M253" s="25" t="n">
        <f aca="false">IF(E253="COVERED",'Controls &amp; Sources'!$B$5,'Controls &amp; Sources'!$B$6)</f>
        <v>10.4</v>
      </c>
      <c r="N253" s="25" t="n">
        <f aca="false">L253*M253</f>
        <v>332.8</v>
      </c>
      <c r="O253" s="22" t="n">
        <f aca="false">COUNTIFS('Billing Actual'!$E$2:$E$770,A253,'Billing Actual'!$B$2:$B$770,'Controls &amp; Sources'!$B$7)</f>
        <v>1</v>
      </c>
      <c r="P253" s="25" t="n">
        <f aca="false">SUMIFS('Billing Actual'!$M$2:$M$770,'Billing Actual'!$E$2:$E$770,A253,'Billing Actual'!$B$2:$B$770,'Controls &amp; Sources'!$B$7)</f>
        <v>332.8</v>
      </c>
      <c r="Q253" s="25" t="n">
        <f aca="false">P253-N253</f>
        <v>0</v>
      </c>
      <c r="R253" s="22" t="str">
        <f aca="false">IF(O253=0,"No August moorage transaction",IF(O253&gt;1,"Duplicate August transactions",IF(ABS(Q253)&gt;0.005,"Charge variance","OK")))</f>
        <v>OK</v>
      </c>
      <c r="S253" s="22" t="str">
        <f aca="false">IF(R253="OK","","Billing completeness/reconciliation")</f>
        <v/>
      </c>
    </row>
    <row r="254" customFormat="false" ht="15" hidden="false" customHeight="false" outlineLevel="0" collapsed="false">
      <c r="A254" s="22" t="s">
        <v>7316</v>
      </c>
      <c r="B254" s="22" t="s">
        <v>159</v>
      </c>
      <c r="C254" s="22" t="s">
        <v>6562</v>
      </c>
      <c r="D254" s="22" t="n">
        <v>28</v>
      </c>
      <c r="E254" s="22" t="s">
        <v>6575</v>
      </c>
      <c r="F254" s="22" t="s">
        <v>6577</v>
      </c>
      <c r="G254" s="22" t="s">
        <v>3813</v>
      </c>
      <c r="H254" s="22" t="s">
        <v>3814</v>
      </c>
      <c r="I254" s="22" t="s">
        <v>1060</v>
      </c>
      <c r="J254" s="22" t="n">
        <v>30.9</v>
      </c>
      <c r="K254" s="22" t="n">
        <f aca="false">ROUNDUP(J254,0)</f>
        <v>31</v>
      </c>
      <c r="L254" s="22" t="n">
        <f aca="false">MAX(D254,K254)</f>
        <v>31</v>
      </c>
      <c r="M254" s="25" t="n">
        <f aca="false">IF(E254="COVERED",'Controls &amp; Sources'!$B$5,'Controls &amp; Sources'!$B$6)</f>
        <v>10.4</v>
      </c>
      <c r="N254" s="25" t="n">
        <f aca="false">L254*M254</f>
        <v>322.4</v>
      </c>
      <c r="O254" s="22" t="n">
        <f aca="false">COUNTIFS('Billing Actual'!$E$2:$E$770,A254,'Billing Actual'!$B$2:$B$770,'Controls &amp; Sources'!$B$7)</f>
        <v>1</v>
      </c>
      <c r="P254" s="25" t="n">
        <f aca="false">SUMIFS('Billing Actual'!$M$2:$M$770,'Billing Actual'!$E$2:$E$770,A254,'Billing Actual'!$B$2:$B$770,'Controls &amp; Sources'!$B$7)</f>
        <v>322.4</v>
      </c>
      <c r="Q254" s="25" t="n">
        <f aca="false">P254-N254</f>
        <v>0</v>
      </c>
      <c r="R254" s="22" t="str">
        <f aca="false">IF(O254=0,"No August moorage transaction",IF(O254&gt;1,"Duplicate August transactions",IF(ABS(Q254)&gt;0.005,"Charge variance","OK")))</f>
        <v>OK</v>
      </c>
      <c r="S254" s="22" t="str">
        <f aca="false">IF(R254="OK","","Billing completeness/reconciliation")</f>
        <v/>
      </c>
    </row>
    <row r="255" customFormat="false" ht="15" hidden="false" customHeight="false" outlineLevel="0" collapsed="false">
      <c r="A255" s="22" t="s">
        <v>7318</v>
      </c>
      <c r="B255" s="22" t="s">
        <v>159</v>
      </c>
      <c r="C255" s="22" t="s">
        <v>6562</v>
      </c>
      <c r="D255" s="22" t="n">
        <v>24</v>
      </c>
      <c r="E255" s="22" t="s">
        <v>6575</v>
      </c>
      <c r="F255" s="22" t="s">
        <v>6577</v>
      </c>
      <c r="G255" s="22" t="s">
        <v>2408</v>
      </c>
      <c r="H255" s="22" t="s">
        <v>2409</v>
      </c>
      <c r="I255" s="22" t="s">
        <v>1774</v>
      </c>
      <c r="J255" s="22" t="n">
        <v>52</v>
      </c>
      <c r="K255" s="22" t="n">
        <f aca="false">ROUNDUP(J255,0)</f>
        <v>52</v>
      </c>
      <c r="L255" s="22" t="n">
        <f aca="false">MAX(D255,K255)</f>
        <v>52</v>
      </c>
      <c r="M255" s="25" t="n">
        <f aca="false">IF(E255="COVERED",'Controls &amp; Sources'!$B$5,'Controls &amp; Sources'!$B$6)</f>
        <v>10.4</v>
      </c>
      <c r="N255" s="25" t="n">
        <f aca="false">L255*M255</f>
        <v>540.8</v>
      </c>
      <c r="O255" s="22" t="n">
        <f aca="false">COUNTIFS('Billing Actual'!$E$2:$E$770,A255,'Billing Actual'!$B$2:$B$770,'Controls &amp; Sources'!$B$7)</f>
        <v>1</v>
      </c>
      <c r="P255" s="25" t="n">
        <f aca="false">SUMIFS('Billing Actual'!$M$2:$M$770,'Billing Actual'!$E$2:$E$770,A255,'Billing Actual'!$B$2:$B$770,'Controls &amp; Sources'!$B$7)</f>
        <v>540.8</v>
      </c>
      <c r="Q255" s="25" t="n">
        <f aca="false">P255-N255</f>
        <v>0</v>
      </c>
      <c r="R255" s="22" t="str">
        <f aca="false">IF(O255=0,"No August moorage transaction",IF(O255&gt;1,"Duplicate August transactions",IF(ABS(Q255)&gt;0.005,"Charge variance","OK")))</f>
        <v>OK</v>
      </c>
      <c r="S255" s="22" t="str">
        <f aca="false">IF(R255="OK","","Billing completeness/reconciliation")</f>
        <v/>
      </c>
    </row>
    <row r="256" customFormat="false" ht="15" hidden="false" customHeight="false" outlineLevel="0" collapsed="false">
      <c r="A256" s="22" t="s">
        <v>7320</v>
      </c>
      <c r="B256" s="22" t="s">
        <v>159</v>
      </c>
      <c r="C256" s="22" t="s">
        <v>6562</v>
      </c>
      <c r="D256" s="22" t="n">
        <v>32</v>
      </c>
      <c r="E256" s="22" t="s">
        <v>6575</v>
      </c>
      <c r="F256" s="22" t="s">
        <v>6577</v>
      </c>
      <c r="G256" s="22" t="s">
        <v>6017</v>
      </c>
      <c r="H256" s="22" t="s">
        <v>6018</v>
      </c>
      <c r="I256" s="22" t="s">
        <v>986</v>
      </c>
      <c r="J256" s="22" t="n">
        <v>39</v>
      </c>
      <c r="K256" s="22" t="n">
        <f aca="false">ROUNDUP(J256,0)</f>
        <v>39</v>
      </c>
      <c r="L256" s="22" t="n">
        <f aca="false">MAX(D256,K256)</f>
        <v>39</v>
      </c>
      <c r="M256" s="25" t="n">
        <f aca="false">IF(E256="COVERED",'Controls &amp; Sources'!$B$5,'Controls &amp; Sources'!$B$6)</f>
        <v>10.4</v>
      </c>
      <c r="N256" s="25" t="n">
        <f aca="false">L256*M256</f>
        <v>405.6</v>
      </c>
      <c r="O256" s="22" t="n">
        <f aca="false">COUNTIFS('Billing Actual'!$E$2:$E$770,A256,'Billing Actual'!$B$2:$B$770,'Controls &amp; Sources'!$B$7)</f>
        <v>1</v>
      </c>
      <c r="P256" s="25" t="n">
        <f aca="false">SUMIFS('Billing Actual'!$M$2:$M$770,'Billing Actual'!$E$2:$E$770,A256,'Billing Actual'!$B$2:$B$770,'Controls &amp; Sources'!$B$7)</f>
        <v>405.6</v>
      </c>
      <c r="Q256" s="25" t="n">
        <f aca="false">P256-N256</f>
        <v>0</v>
      </c>
      <c r="R256" s="22" t="str">
        <f aca="false">IF(O256=0,"No August moorage transaction",IF(O256&gt;1,"Duplicate August transactions",IF(ABS(Q256)&gt;0.005,"Charge variance","OK")))</f>
        <v>OK</v>
      </c>
      <c r="S256" s="22" t="str">
        <f aca="false">IF(R256="OK","","Billing completeness/reconciliation")</f>
        <v/>
      </c>
    </row>
    <row r="257" customFormat="false" ht="15" hidden="false" customHeight="false" outlineLevel="0" collapsed="false">
      <c r="A257" s="22" t="s">
        <v>7321</v>
      </c>
      <c r="B257" s="22" t="s">
        <v>159</v>
      </c>
      <c r="C257" s="22" t="s">
        <v>6562</v>
      </c>
      <c r="D257" s="22" t="n">
        <v>36</v>
      </c>
      <c r="E257" s="22" t="s">
        <v>6575</v>
      </c>
      <c r="F257" s="22" t="s">
        <v>6577</v>
      </c>
      <c r="G257" s="22" t="s">
        <v>726</v>
      </c>
      <c r="H257" s="22" t="s">
        <v>727</v>
      </c>
      <c r="I257" s="22" t="s">
        <v>728</v>
      </c>
      <c r="J257" s="22" t="n">
        <v>53</v>
      </c>
      <c r="K257" s="22" t="n">
        <f aca="false">ROUNDUP(J257,0)</f>
        <v>53</v>
      </c>
      <c r="L257" s="22" t="n">
        <f aca="false">MAX(D257,K257)</f>
        <v>53</v>
      </c>
      <c r="M257" s="25" t="n">
        <f aca="false">IF(E257="COVERED",'Controls &amp; Sources'!$B$5,'Controls &amp; Sources'!$B$6)</f>
        <v>10.4</v>
      </c>
      <c r="N257" s="25" t="n">
        <f aca="false">L257*M257</f>
        <v>551.2</v>
      </c>
      <c r="O257" s="22" t="n">
        <f aca="false">COUNTIFS('Billing Actual'!$E$2:$E$770,A257,'Billing Actual'!$B$2:$B$770,'Controls &amp; Sources'!$B$7)</f>
        <v>1</v>
      </c>
      <c r="P257" s="25" t="n">
        <f aca="false">SUMIFS('Billing Actual'!$M$2:$M$770,'Billing Actual'!$E$2:$E$770,A257,'Billing Actual'!$B$2:$B$770,'Controls &amp; Sources'!$B$7)</f>
        <v>551.2</v>
      </c>
      <c r="Q257" s="25" t="n">
        <f aca="false">P257-N257</f>
        <v>0</v>
      </c>
      <c r="R257" s="22" t="str">
        <f aca="false">IF(O257=0,"No August moorage transaction",IF(O257&gt;1,"Duplicate August transactions",IF(ABS(Q257)&gt;0.005,"Charge variance","OK")))</f>
        <v>OK</v>
      </c>
      <c r="S257" s="22" t="str">
        <f aca="false">IF(R257="OK","","Billing completeness/reconciliation")</f>
        <v/>
      </c>
    </row>
    <row r="258" customFormat="false" ht="15" hidden="false" customHeight="false" outlineLevel="0" collapsed="false">
      <c r="A258" s="22" t="s">
        <v>7323</v>
      </c>
      <c r="B258" s="22" t="s">
        <v>159</v>
      </c>
      <c r="C258" s="22" t="s">
        <v>6562</v>
      </c>
      <c r="D258" s="22" t="n">
        <v>28</v>
      </c>
      <c r="E258" s="22" t="s">
        <v>6575</v>
      </c>
      <c r="F258" s="22" t="s">
        <v>6577</v>
      </c>
      <c r="G258" s="22" t="s">
        <v>1734</v>
      </c>
      <c r="H258" s="22" t="s">
        <v>1735</v>
      </c>
      <c r="I258" s="22" t="s">
        <v>1736</v>
      </c>
      <c r="J258" s="22" t="n">
        <v>24.8</v>
      </c>
      <c r="K258" s="22" t="n">
        <f aca="false">ROUNDUP(J258,0)</f>
        <v>25</v>
      </c>
      <c r="L258" s="22" t="n">
        <f aca="false">MAX(D258,K258)</f>
        <v>28</v>
      </c>
      <c r="M258" s="25" t="n">
        <f aca="false">IF(E258="COVERED",'Controls &amp; Sources'!$B$5,'Controls &amp; Sources'!$B$6)</f>
        <v>10.4</v>
      </c>
      <c r="N258" s="25" t="n">
        <f aca="false">L258*M258</f>
        <v>291.2</v>
      </c>
      <c r="O258" s="22" t="n">
        <f aca="false">COUNTIFS('Billing Actual'!$E$2:$E$770,A258,'Billing Actual'!$B$2:$B$770,'Controls &amp; Sources'!$B$7)</f>
        <v>1</v>
      </c>
      <c r="P258" s="25" t="n">
        <f aca="false">SUMIFS('Billing Actual'!$M$2:$M$770,'Billing Actual'!$E$2:$E$770,A258,'Billing Actual'!$B$2:$B$770,'Controls &amp; Sources'!$B$7)</f>
        <v>291.2</v>
      </c>
      <c r="Q258" s="25" t="n">
        <f aca="false">P258-N258</f>
        <v>0</v>
      </c>
      <c r="R258" s="22" t="str">
        <f aca="false">IF(O258=0,"No August moorage transaction",IF(O258&gt;1,"Duplicate August transactions",IF(ABS(Q258)&gt;0.005,"Charge variance","OK")))</f>
        <v>OK</v>
      </c>
      <c r="S258" s="22" t="str">
        <f aca="false">IF(R258="OK","","Billing completeness/reconciliation")</f>
        <v/>
      </c>
    </row>
    <row r="259" customFormat="false" ht="15" hidden="false" customHeight="false" outlineLevel="0" collapsed="false">
      <c r="A259" s="22" t="s">
        <v>7325</v>
      </c>
      <c r="B259" s="22" t="s">
        <v>159</v>
      </c>
      <c r="C259" s="22" t="s">
        <v>6562</v>
      </c>
      <c r="D259" s="22" t="n">
        <v>28</v>
      </c>
      <c r="E259" s="22" t="s">
        <v>6575</v>
      </c>
      <c r="F259" s="22" t="s">
        <v>6577</v>
      </c>
      <c r="G259" s="22" t="s">
        <v>2984</v>
      </c>
      <c r="H259" s="22" t="s">
        <v>2985</v>
      </c>
      <c r="I259" s="22" t="s">
        <v>318</v>
      </c>
      <c r="J259" s="22" t="n">
        <v>40.2</v>
      </c>
      <c r="K259" s="22" t="n">
        <f aca="false">ROUNDUP(J259,0)</f>
        <v>41</v>
      </c>
      <c r="L259" s="22" t="n">
        <f aca="false">MAX(D259,K259)</f>
        <v>41</v>
      </c>
      <c r="M259" s="25" t="n">
        <f aca="false">IF(E259="COVERED",'Controls &amp; Sources'!$B$5,'Controls &amp; Sources'!$B$6)</f>
        <v>10.4</v>
      </c>
      <c r="N259" s="25" t="n">
        <f aca="false">L259*M259</f>
        <v>426.4</v>
      </c>
      <c r="O259" s="22" t="n">
        <f aca="false">COUNTIFS('Billing Actual'!$E$2:$E$770,A259,'Billing Actual'!$B$2:$B$770,'Controls &amp; Sources'!$B$7)</f>
        <v>1</v>
      </c>
      <c r="P259" s="25" t="n">
        <f aca="false">SUMIFS('Billing Actual'!$M$2:$M$770,'Billing Actual'!$E$2:$E$770,A259,'Billing Actual'!$B$2:$B$770,'Controls &amp; Sources'!$B$7)</f>
        <v>426.4</v>
      </c>
      <c r="Q259" s="25" t="n">
        <f aca="false">P259-N259</f>
        <v>0</v>
      </c>
      <c r="R259" s="22" t="str">
        <f aca="false">IF(O259=0,"No August moorage transaction",IF(O259&gt;1,"Duplicate August transactions",IF(ABS(Q259)&gt;0.005,"Charge variance","OK")))</f>
        <v>OK</v>
      </c>
      <c r="S259" s="22" t="str">
        <f aca="false">IF(R259="OK","","Billing completeness/reconciliation")</f>
        <v/>
      </c>
    </row>
    <row r="260" customFormat="false" ht="15" hidden="false" customHeight="false" outlineLevel="0" collapsed="false">
      <c r="A260" s="22" t="s">
        <v>7327</v>
      </c>
      <c r="B260" s="22" t="s">
        <v>159</v>
      </c>
      <c r="C260" s="22" t="s">
        <v>6562</v>
      </c>
      <c r="D260" s="22" t="n">
        <v>24</v>
      </c>
      <c r="E260" s="22" t="s">
        <v>6575</v>
      </c>
      <c r="F260" s="22" t="s">
        <v>6577</v>
      </c>
      <c r="G260" s="22" t="s">
        <v>6429</v>
      </c>
      <c r="H260" s="22" t="s">
        <v>6430</v>
      </c>
      <c r="I260" s="22" t="s">
        <v>327</v>
      </c>
      <c r="J260" s="22" t="n">
        <v>32</v>
      </c>
      <c r="K260" s="22" t="n">
        <f aca="false">ROUNDUP(J260,0)</f>
        <v>32</v>
      </c>
      <c r="L260" s="22" t="n">
        <f aca="false">MAX(D260,K260)</f>
        <v>32</v>
      </c>
      <c r="M260" s="25" t="n">
        <f aca="false">IF(E260="COVERED",'Controls &amp; Sources'!$B$5,'Controls &amp; Sources'!$B$6)</f>
        <v>10.4</v>
      </c>
      <c r="N260" s="25" t="n">
        <f aca="false">L260*M260</f>
        <v>332.8</v>
      </c>
      <c r="O260" s="22" t="n">
        <f aca="false">COUNTIFS('Billing Actual'!$E$2:$E$770,A260,'Billing Actual'!$B$2:$B$770,'Controls &amp; Sources'!$B$7)</f>
        <v>1</v>
      </c>
      <c r="P260" s="25" t="n">
        <f aca="false">SUMIFS('Billing Actual'!$M$2:$M$770,'Billing Actual'!$E$2:$E$770,A260,'Billing Actual'!$B$2:$B$770,'Controls &amp; Sources'!$B$7)</f>
        <v>332.8</v>
      </c>
      <c r="Q260" s="25" t="n">
        <f aca="false">P260-N260</f>
        <v>0</v>
      </c>
      <c r="R260" s="22" t="str">
        <f aca="false">IF(O260=0,"No August moorage transaction",IF(O260&gt;1,"Duplicate August transactions",IF(ABS(Q260)&gt;0.005,"Charge variance","OK")))</f>
        <v>OK</v>
      </c>
      <c r="S260" s="22" t="str">
        <f aca="false">IF(R260="OK","","Billing completeness/reconciliation")</f>
        <v/>
      </c>
    </row>
    <row r="261" customFormat="false" ht="15" hidden="false" customHeight="false" outlineLevel="0" collapsed="false">
      <c r="A261" s="22" t="s">
        <v>7329</v>
      </c>
      <c r="B261" s="22" t="s">
        <v>159</v>
      </c>
      <c r="C261" s="22" t="s">
        <v>6562</v>
      </c>
      <c r="D261" s="22" t="n">
        <v>36</v>
      </c>
      <c r="E261" s="22" t="s">
        <v>6575</v>
      </c>
      <c r="F261" s="22" t="s">
        <v>6577</v>
      </c>
      <c r="G261" s="22" t="s">
        <v>5590</v>
      </c>
      <c r="H261" s="22" t="s">
        <v>5591</v>
      </c>
      <c r="I261" s="22" t="s">
        <v>1130</v>
      </c>
      <c r="J261" s="22" t="n">
        <v>54.6</v>
      </c>
      <c r="K261" s="22" t="n">
        <f aca="false">ROUNDUP(J261,0)</f>
        <v>55</v>
      </c>
      <c r="L261" s="22" t="n">
        <f aca="false">MAX(D261,K261)</f>
        <v>55</v>
      </c>
      <c r="M261" s="25" t="n">
        <f aca="false">IF(E261="COVERED",'Controls &amp; Sources'!$B$5,'Controls &amp; Sources'!$B$6)</f>
        <v>10.4</v>
      </c>
      <c r="N261" s="25" t="n">
        <f aca="false">L261*M261</f>
        <v>572</v>
      </c>
      <c r="O261" s="22" t="n">
        <f aca="false">COUNTIFS('Billing Actual'!$E$2:$E$770,A261,'Billing Actual'!$B$2:$B$770,'Controls &amp; Sources'!$B$7)</f>
        <v>1</v>
      </c>
      <c r="P261" s="25" t="n">
        <f aca="false">SUMIFS('Billing Actual'!$M$2:$M$770,'Billing Actual'!$E$2:$E$770,A261,'Billing Actual'!$B$2:$B$770,'Controls &amp; Sources'!$B$7)</f>
        <v>572</v>
      </c>
      <c r="Q261" s="25" t="n">
        <f aca="false">P261-N261</f>
        <v>0</v>
      </c>
      <c r="R261" s="22" t="str">
        <f aca="false">IF(O261=0,"No August moorage transaction",IF(O261&gt;1,"Duplicate August transactions",IF(ABS(Q261)&gt;0.005,"Charge variance","OK")))</f>
        <v>OK</v>
      </c>
      <c r="S261" s="22" t="str">
        <f aca="false">IF(R261="OK","","Billing completeness/reconciliation")</f>
        <v/>
      </c>
    </row>
    <row r="262" customFormat="false" ht="15" hidden="false" customHeight="false" outlineLevel="0" collapsed="false">
      <c r="A262" s="22" t="s">
        <v>7331</v>
      </c>
      <c r="B262" s="22" t="s">
        <v>159</v>
      </c>
      <c r="C262" s="22" t="s">
        <v>6562</v>
      </c>
      <c r="D262" s="22" t="n">
        <v>32</v>
      </c>
      <c r="E262" s="22" t="s">
        <v>6575</v>
      </c>
      <c r="F262" s="22" t="s">
        <v>6577</v>
      </c>
      <c r="G262" s="22" t="s">
        <v>1987</v>
      </c>
      <c r="H262" s="22" t="s">
        <v>1988</v>
      </c>
      <c r="I262" s="22" t="s">
        <v>616</v>
      </c>
      <c r="J262" s="22" t="n">
        <v>53.2</v>
      </c>
      <c r="K262" s="22" t="n">
        <f aca="false">ROUNDUP(J262,0)</f>
        <v>54</v>
      </c>
      <c r="L262" s="22" t="n">
        <f aca="false">MAX(D262,K262)</f>
        <v>54</v>
      </c>
      <c r="M262" s="25" t="n">
        <f aca="false">IF(E262="COVERED",'Controls &amp; Sources'!$B$5,'Controls &amp; Sources'!$B$6)</f>
        <v>10.4</v>
      </c>
      <c r="N262" s="25" t="n">
        <f aca="false">L262*M262</f>
        <v>561.6</v>
      </c>
      <c r="O262" s="22" t="n">
        <f aca="false">COUNTIFS('Billing Actual'!$E$2:$E$770,A262,'Billing Actual'!$B$2:$B$770,'Controls &amp; Sources'!$B$7)</f>
        <v>1</v>
      </c>
      <c r="P262" s="25" t="n">
        <f aca="false">SUMIFS('Billing Actual'!$M$2:$M$770,'Billing Actual'!$E$2:$E$770,A262,'Billing Actual'!$B$2:$B$770,'Controls &amp; Sources'!$B$7)</f>
        <v>561.6</v>
      </c>
      <c r="Q262" s="25" t="n">
        <f aca="false">P262-N262</f>
        <v>0</v>
      </c>
      <c r="R262" s="22" t="str">
        <f aca="false">IF(O262=0,"No August moorage transaction",IF(O262&gt;1,"Duplicate August transactions",IF(ABS(Q262)&gt;0.005,"Charge variance","OK")))</f>
        <v>OK</v>
      </c>
      <c r="S262" s="22" t="str">
        <f aca="false">IF(R262="OK","","Billing completeness/reconciliation")</f>
        <v/>
      </c>
    </row>
    <row r="263" customFormat="false" ht="15" hidden="false" customHeight="false" outlineLevel="0" collapsed="false">
      <c r="A263" s="22" t="s">
        <v>7332</v>
      </c>
      <c r="B263" s="22" t="s">
        <v>159</v>
      </c>
      <c r="C263" s="22" t="s">
        <v>6562</v>
      </c>
      <c r="D263" s="22" t="n">
        <v>24</v>
      </c>
      <c r="E263" s="22" t="s">
        <v>6575</v>
      </c>
      <c r="F263" s="22" t="s">
        <v>6577</v>
      </c>
      <c r="G263" s="22" t="s">
        <v>994</v>
      </c>
      <c r="H263" s="22" t="s">
        <v>995</v>
      </c>
      <c r="I263" s="22" t="s">
        <v>204</v>
      </c>
      <c r="J263" s="22" t="n">
        <v>44</v>
      </c>
      <c r="K263" s="22" t="n">
        <f aca="false">ROUNDUP(J263,0)</f>
        <v>44</v>
      </c>
      <c r="L263" s="22" t="n">
        <f aca="false">MAX(D263,K263)</f>
        <v>44</v>
      </c>
      <c r="M263" s="25" t="n">
        <f aca="false">IF(E263="COVERED",'Controls &amp; Sources'!$B$5,'Controls &amp; Sources'!$B$6)</f>
        <v>10.4</v>
      </c>
      <c r="N263" s="25" t="n">
        <f aca="false">L263*M263</f>
        <v>457.6</v>
      </c>
      <c r="O263" s="22" t="n">
        <f aca="false">COUNTIFS('Billing Actual'!$E$2:$E$770,A263,'Billing Actual'!$B$2:$B$770,'Controls &amp; Sources'!$B$7)</f>
        <v>1</v>
      </c>
      <c r="P263" s="25" t="n">
        <f aca="false">SUMIFS('Billing Actual'!$M$2:$M$770,'Billing Actual'!$E$2:$E$770,A263,'Billing Actual'!$B$2:$B$770,'Controls &amp; Sources'!$B$7)</f>
        <v>457.6</v>
      </c>
      <c r="Q263" s="25" t="n">
        <f aca="false">P263-N263</f>
        <v>0</v>
      </c>
      <c r="R263" s="22" t="str">
        <f aca="false">IF(O263=0,"No August moorage transaction",IF(O263&gt;1,"Duplicate August transactions",IF(ABS(Q263)&gt;0.005,"Charge variance","OK")))</f>
        <v>OK</v>
      </c>
      <c r="S263" s="22" t="str">
        <f aca="false">IF(R263="OK","","Billing completeness/reconciliation")</f>
        <v/>
      </c>
    </row>
    <row r="264" customFormat="false" ht="15" hidden="false" customHeight="false" outlineLevel="0" collapsed="false">
      <c r="A264" s="22" t="s">
        <v>7333</v>
      </c>
      <c r="B264" s="22" t="s">
        <v>159</v>
      </c>
      <c r="C264" s="22" t="s">
        <v>6562</v>
      </c>
      <c r="D264" s="22" t="n">
        <v>32</v>
      </c>
      <c r="E264" s="22" t="s">
        <v>6575</v>
      </c>
      <c r="F264" s="22" t="s">
        <v>6577</v>
      </c>
      <c r="G264" s="22" t="s">
        <v>1834</v>
      </c>
      <c r="H264" s="22" t="s">
        <v>1835</v>
      </c>
      <c r="I264" s="22" t="s">
        <v>728</v>
      </c>
      <c r="J264" s="22" t="n">
        <v>61.3</v>
      </c>
      <c r="K264" s="22" t="n">
        <f aca="false">ROUNDUP(J264,0)</f>
        <v>62</v>
      </c>
      <c r="L264" s="22" t="n">
        <f aca="false">MAX(D264,K264)</f>
        <v>62</v>
      </c>
      <c r="M264" s="25" t="n">
        <f aca="false">IF(E264="COVERED",'Controls &amp; Sources'!$B$5,'Controls &amp; Sources'!$B$6)</f>
        <v>10.4</v>
      </c>
      <c r="N264" s="25" t="n">
        <f aca="false">L264*M264</f>
        <v>644.8</v>
      </c>
      <c r="O264" s="22" t="n">
        <f aca="false">COUNTIFS('Billing Actual'!$E$2:$E$770,A264,'Billing Actual'!$B$2:$B$770,'Controls &amp; Sources'!$B$7)</f>
        <v>1</v>
      </c>
      <c r="P264" s="25" t="n">
        <f aca="false">SUMIFS('Billing Actual'!$M$2:$M$770,'Billing Actual'!$E$2:$E$770,A264,'Billing Actual'!$B$2:$B$770,'Controls &amp; Sources'!$B$7)</f>
        <v>644.8</v>
      </c>
      <c r="Q264" s="25" t="n">
        <f aca="false">P264-N264</f>
        <v>0</v>
      </c>
      <c r="R264" s="22" t="str">
        <f aca="false">IF(O264=0,"No August moorage transaction",IF(O264&gt;1,"Duplicate August transactions",IF(ABS(Q264)&gt;0.005,"Charge variance","OK")))</f>
        <v>OK</v>
      </c>
      <c r="S264" s="22" t="str">
        <f aca="false">IF(R264="OK","","Billing completeness/reconciliation")</f>
        <v/>
      </c>
    </row>
    <row r="265" customFormat="false" ht="15" hidden="false" customHeight="false" outlineLevel="0" collapsed="false">
      <c r="A265" s="22" t="s">
        <v>7334</v>
      </c>
      <c r="B265" s="22" t="s">
        <v>159</v>
      </c>
      <c r="C265" s="22" t="s">
        <v>6562</v>
      </c>
      <c r="D265" s="22" t="n">
        <v>28</v>
      </c>
      <c r="E265" s="22" t="s">
        <v>6575</v>
      </c>
      <c r="F265" s="22" t="s">
        <v>6577</v>
      </c>
      <c r="G265" s="22" t="s">
        <v>2706</v>
      </c>
      <c r="H265" s="22" t="s">
        <v>2707</v>
      </c>
      <c r="I265" s="22" t="s">
        <v>1572</v>
      </c>
      <c r="J265" s="22" t="n">
        <v>47.6</v>
      </c>
      <c r="K265" s="22" t="n">
        <f aca="false">ROUNDUP(J265,0)</f>
        <v>48</v>
      </c>
      <c r="L265" s="22" t="n">
        <f aca="false">MAX(D265,K265)</f>
        <v>48</v>
      </c>
      <c r="M265" s="25" t="n">
        <f aca="false">IF(E265="COVERED",'Controls &amp; Sources'!$B$5,'Controls &amp; Sources'!$B$6)</f>
        <v>10.4</v>
      </c>
      <c r="N265" s="25" t="n">
        <f aca="false">L265*M265</f>
        <v>499.2</v>
      </c>
      <c r="O265" s="22" t="n">
        <f aca="false">COUNTIFS('Billing Actual'!$E$2:$E$770,A265,'Billing Actual'!$B$2:$B$770,'Controls &amp; Sources'!$B$7)</f>
        <v>1</v>
      </c>
      <c r="P265" s="25" t="n">
        <f aca="false">SUMIFS('Billing Actual'!$M$2:$M$770,'Billing Actual'!$E$2:$E$770,A265,'Billing Actual'!$B$2:$B$770,'Controls &amp; Sources'!$B$7)</f>
        <v>499.2</v>
      </c>
      <c r="Q265" s="25" t="n">
        <f aca="false">P265-N265</f>
        <v>0</v>
      </c>
      <c r="R265" s="22" t="str">
        <f aca="false">IF(O265=0,"No August moorage transaction",IF(O265&gt;1,"Duplicate August transactions",IF(ABS(Q265)&gt;0.005,"Charge variance","OK")))</f>
        <v>OK</v>
      </c>
      <c r="S265" s="22" t="str">
        <f aca="false">IF(R265="OK","","Billing completeness/reconciliation")</f>
        <v/>
      </c>
    </row>
    <row r="266" customFormat="false" ht="15" hidden="false" customHeight="false" outlineLevel="0" collapsed="false">
      <c r="A266" s="22" t="s">
        <v>7335</v>
      </c>
      <c r="B266" s="22" t="s">
        <v>159</v>
      </c>
      <c r="C266" s="22" t="s">
        <v>6562</v>
      </c>
      <c r="D266" s="22" t="n">
        <v>32</v>
      </c>
      <c r="E266" s="22" t="s">
        <v>6575</v>
      </c>
      <c r="F266" s="22" t="s">
        <v>6577</v>
      </c>
      <c r="G266" s="22" t="s">
        <v>4437</v>
      </c>
      <c r="H266" s="22" t="s">
        <v>4438</v>
      </c>
      <c r="I266" s="22" t="s">
        <v>1014</v>
      </c>
      <c r="J266" s="22" t="n">
        <v>56.3</v>
      </c>
      <c r="K266" s="22" t="n">
        <f aca="false">ROUNDUP(J266,0)</f>
        <v>57</v>
      </c>
      <c r="L266" s="22" t="n">
        <f aca="false">MAX(D266,K266)</f>
        <v>57</v>
      </c>
      <c r="M266" s="25" t="n">
        <f aca="false">IF(E266="COVERED",'Controls &amp; Sources'!$B$5,'Controls &amp; Sources'!$B$6)</f>
        <v>10.4</v>
      </c>
      <c r="N266" s="25" t="n">
        <f aca="false">L266*M266</f>
        <v>592.8</v>
      </c>
      <c r="O266" s="22" t="n">
        <f aca="false">COUNTIFS('Billing Actual'!$E$2:$E$770,A266,'Billing Actual'!$B$2:$B$770,'Controls &amp; Sources'!$B$7)</f>
        <v>1</v>
      </c>
      <c r="P266" s="25" t="n">
        <f aca="false">SUMIFS('Billing Actual'!$M$2:$M$770,'Billing Actual'!$E$2:$E$770,A266,'Billing Actual'!$B$2:$B$770,'Controls &amp; Sources'!$B$7)</f>
        <v>592.8</v>
      </c>
      <c r="Q266" s="25" t="n">
        <f aca="false">P266-N266</f>
        <v>0</v>
      </c>
      <c r="R266" s="22" t="str">
        <f aca="false">IF(O266=0,"No August moorage transaction",IF(O266&gt;1,"Duplicate August transactions",IF(ABS(Q266)&gt;0.005,"Charge variance","OK")))</f>
        <v>OK</v>
      </c>
      <c r="S266" s="22" t="str">
        <f aca="false">IF(R266="OK","","Billing completeness/reconciliation")</f>
        <v/>
      </c>
    </row>
    <row r="267" customFormat="false" ht="15" hidden="false" customHeight="false" outlineLevel="0" collapsed="false">
      <c r="A267" s="22" t="s">
        <v>7336</v>
      </c>
      <c r="B267" s="22" t="s">
        <v>159</v>
      </c>
      <c r="C267" s="22" t="s">
        <v>6562</v>
      </c>
      <c r="D267" s="22" t="n">
        <v>40</v>
      </c>
      <c r="E267" s="22" t="s">
        <v>6575</v>
      </c>
      <c r="F267" s="22" t="s">
        <v>6577</v>
      </c>
      <c r="G267" s="22" t="s">
        <v>1985</v>
      </c>
      <c r="H267" s="22" t="s">
        <v>1986</v>
      </c>
      <c r="I267" s="22" t="s">
        <v>445</v>
      </c>
      <c r="J267" s="22" t="n">
        <v>31.4</v>
      </c>
      <c r="K267" s="22" t="n">
        <f aca="false">ROUNDUP(J267,0)</f>
        <v>32</v>
      </c>
      <c r="L267" s="22" t="n">
        <f aca="false">MAX(D267,K267)</f>
        <v>40</v>
      </c>
      <c r="M267" s="25" t="n">
        <f aca="false">IF(E267="COVERED",'Controls &amp; Sources'!$B$5,'Controls &amp; Sources'!$B$6)</f>
        <v>10.4</v>
      </c>
      <c r="N267" s="25" t="n">
        <f aca="false">L267*M267</f>
        <v>416</v>
      </c>
      <c r="O267" s="22" t="n">
        <f aca="false">COUNTIFS('Billing Actual'!$E$2:$E$770,A267,'Billing Actual'!$B$2:$B$770,'Controls &amp; Sources'!$B$7)</f>
        <v>1</v>
      </c>
      <c r="P267" s="25" t="n">
        <f aca="false">SUMIFS('Billing Actual'!$M$2:$M$770,'Billing Actual'!$E$2:$E$770,A267,'Billing Actual'!$B$2:$B$770,'Controls &amp; Sources'!$B$7)</f>
        <v>416</v>
      </c>
      <c r="Q267" s="25" t="n">
        <f aca="false">P267-N267</f>
        <v>0</v>
      </c>
      <c r="R267" s="22" t="str">
        <f aca="false">IF(O267=0,"No August moorage transaction",IF(O267&gt;1,"Duplicate August transactions",IF(ABS(Q267)&gt;0.005,"Charge variance","OK")))</f>
        <v>OK</v>
      </c>
      <c r="S267" s="22" t="str">
        <f aca="false">IF(R267="OK","","Billing completeness/reconciliation")</f>
        <v/>
      </c>
    </row>
    <row r="268" customFormat="false" ht="15" hidden="false" customHeight="false" outlineLevel="0" collapsed="false">
      <c r="A268" s="22" t="s">
        <v>7338</v>
      </c>
      <c r="B268" s="22" t="s">
        <v>159</v>
      </c>
      <c r="C268" s="22" t="s">
        <v>6562</v>
      </c>
      <c r="D268" s="22" t="n">
        <v>36</v>
      </c>
      <c r="E268" s="22" t="s">
        <v>6575</v>
      </c>
      <c r="F268" s="22" t="s">
        <v>6577</v>
      </c>
      <c r="G268" s="22" t="s">
        <v>5079</v>
      </c>
      <c r="H268" s="22" t="s">
        <v>5080</v>
      </c>
      <c r="I268" s="22" t="s">
        <v>953</v>
      </c>
      <c r="J268" s="22" t="n">
        <v>58.8</v>
      </c>
      <c r="K268" s="22" t="n">
        <f aca="false">ROUNDUP(J268,0)</f>
        <v>59</v>
      </c>
      <c r="L268" s="22" t="n">
        <f aca="false">MAX(D268,K268)</f>
        <v>59</v>
      </c>
      <c r="M268" s="25" t="n">
        <f aca="false">IF(E268="COVERED",'Controls &amp; Sources'!$B$5,'Controls &amp; Sources'!$B$6)</f>
        <v>10.4</v>
      </c>
      <c r="N268" s="25" t="n">
        <f aca="false">L268*M268</f>
        <v>613.6</v>
      </c>
      <c r="O268" s="22" t="n">
        <f aca="false">COUNTIFS('Billing Actual'!$E$2:$E$770,A268,'Billing Actual'!$B$2:$B$770,'Controls &amp; Sources'!$B$7)</f>
        <v>1</v>
      </c>
      <c r="P268" s="25" t="n">
        <f aca="false">SUMIFS('Billing Actual'!$M$2:$M$770,'Billing Actual'!$E$2:$E$770,A268,'Billing Actual'!$B$2:$B$770,'Controls &amp; Sources'!$B$7)</f>
        <v>613.6</v>
      </c>
      <c r="Q268" s="25" t="n">
        <f aca="false">P268-N268</f>
        <v>0</v>
      </c>
      <c r="R268" s="22" t="str">
        <f aca="false">IF(O268=0,"No August moorage transaction",IF(O268&gt;1,"Duplicate August transactions",IF(ABS(Q268)&gt;0.005,"Charge variance","OK")))</f>
        <v>OK</v>
      </c>
      <c r="S268" s="22" t="str">
        <f aca="false">IF(R268="OK","","Billing completeness/reconciliation")</f>
        <v/>
      </c>
    </row>
    <row r="269" customFormat="false" ht="15" hidden="false" customHeight="false" outlineLevel="0" collapsed="false">
      <c r="A269" s="22" t="s">
        <v>7339</v>
      </c>
      <c r="B269" s="22" t="s">
        <v>159</v>
      </c>
      <c r="C269" s="22" t="s">
        <v>6562</v>
      </c>
      <c r="D269" s="22" t="n">
        <v>32</v>
      </c>
      <c r="E269" s="22" t="s">
        <v>6575</v>
      </c>
      <c r="F269" s="22" t="s">
        <v>6577</v>
      </c>
      <c r="G269" s="22" t="s">
        <v>5026</v>
      </c>
      <c r="H269" s="22" t="s">
        <v>5027</v>
      </c>
      <c r="I269" s="22" t="s">
        <v>3446</v>
      </c>
      <c r="J269" s="22" t="n">
        <v>46.9</v>
      </c>
      <c r="K269" s="22" t="n">
        <f aca="false">ROUNDUP(J269,0)</f>
        <v>47</v>
      </c>
      <c r="L269" s="22" t="n">
        <f aca="false">MAX(D269,K269)</f>
        <v>47</v>
      </c>
      <c r="M269" s="25" t="n">
        <f aca="false">IF(E269="COVERED",'Controls &amp; Sources'!$B$5,'Controls &amp; Sources'!$B$6)</f>
        <v>10.4</v>
      </c>
      <c r="N269" s="25" t="n">
        <f aca="false">L269*M269</f>
        <v>488.8</v>
      </c>
      <c r="O269" s="22" t="n">
        <f aca="false">COUNTIFS('Billing Actual'!$E$2:$E$770,A269,'Billing Actual'!$B$2:$B$770,'Controls &amp; Sources'!$B$7)</f>
        <v>1</v>
      </c>
      <c r="P269" s="25" t="n">
        <f aca="false">SUMIFS('Billing Actual'!$M$2:$M$770,'Billing Actual'!$E$2:$E$770,A269,'Billing Actual'!$B$2:$B$770,'Controls &amp; Sources'!$B$7)</f>
        <v>488.8</v>
      </c>
      <c r="Q269" s="25" t="n">
        <f aca="false">P269-N269</f>
        <v>0</v>
      </c>
      <c r="R269" s="22" t="str">
        <f aca="false">IF(O269=0,"No August moorage transaction",IF(O269&gt;1,"Duplicate August transactions",IF(ABS(Q269)&gt;0.005,"Charge variance","OK")))</f>
        <v>OK</v>
      </c>
      <c r="S269" s="22" t="str">
        <f aca="false">IF(R269="OK","","Billing completeness/reconciliation")</f>
        <v/>
      </c>
    </row>
    <row r="270" customFormat="false" ht="15" hidden="false" customHeight="false" outlineLevel="0" collapsed="false">
      <c r="A270" s="22" t="s">
        <v>7340</v>
      </c>
      <c r="B270" s="22" t="s">
        <v>159</v>
      </c>
      <c r="C270" s="22" t="s">
        <v>6562</v>
      </c>
      <c r="D270" s="22" t="n">
        <v>32</v>
      </c>
      <c r="E270" s="22" t="s">
        <v>6575</v>
      </c>
      <c r="F270" s="22" t="s">
        <v>6577</v>
      </c>
      <c r="G270" s="22" t="s">
        <v>1809</v>
      </c>
      <c r="H270" s="22" t="s">
        <v>1810</v>
      </c>
      <c r="I270" s="22" t="s">
        <v>787</v>
      </c>
      <c r="J270" s="22" t="n">
        <v>42.3</v>
      </c>
      <c r="K270" s="22" t="n">
        <f aca="false">ROUNDUP(J270,0)</f>
        <v>43</v>
      </c>
      <c r="L270" s="22" t="n">
        <f aca="false">MAX(D270,K270)</f>
        <v>43</v>
      </c>
      <c r="M270" s="25" t="n">
        <f aca="false">IF(E270="COVERED",'Controls &amp; Sources'!$B$5,'Controls &amp; Sources'!$B$6)</f>
        <v>10.4</v>
      </c>
      <c r="N270" s="25" t="n">
        <f aca="false">L270*M270</f>
        <v>447.2</v>
      </c>
      <c r="O270" s="22" t="n">
        <f aca="false">COUNTIFS('Billing Actual'!$E$2:$E$770,A270,'Billing Actual'!$B$2:$B$770,'Controls &amp; Sources'!$B$7)</f>
        <v>1</v>
      </c>
      <c r="P270" s="25" t="n">
        <f aca="false">SUMIFS('Billing Actual'!$M$2:$M$770,'Billing Actual'!$E$2:$E$770,A270,'Billing Actual'!$B$2:$B$770,'Controls &amp; Sources'!$B$7)</f>
        <v>447.2</v>
      </c>
      <c r="Q270" s="25" t="n">
        <f aca="false">P270-N270</f>
        <v>0</v>
      </c>
      <c r="R270" s="22" t="str">
        <f aca="false">IF(O270=0,"No August moorage transaction",IF(O270&gt;1,"Duplicate August transactions",IF(ABS(Q270)&gt;0.005,"Charge variance","OK")))</f>
        <v>OK</v>
      </c>
      <c r="S270" s="22" t="str">
        <f aca="false">IF(R270="OK","","Billing completeness/reconciliation")</f>
        <v/>
      </c>
    </row>
    <row r="271" customFormat="false" ht="15" hidden="false" customHeight="false" outlineLevel="0" collapsed="false">
      <c r="A271" s="22" t="s">
        <v>7342</v>
      </c>
      <c r="B271" s="22" t="s">
        <v>159</v>
      </c>
      <c r="C271" s="22" t="s">
        <v>6562</v>
      </c>
      <c r="D271" s="22" t="n">
        <v>40</v>
      </c>
      <c r="E271" s="22" t="s">
        <v>6575</v>
      </c>
      <c r="F271" s="22" t="s">
        <v>6577</v>
      </c>
      <c r="G271" s="22" t="s">
        <v>4070</v>
      </c>
      <c r="H271" s="22" t="s">
        <v>4071</v>
      </c>
      <c r="I271" s="22" t="s">
        <v>1383</v>
      </c>
      <c r="J271" s="22" t="n">
        <v>27.2</v>
      </c>
      <c r="K271" s="22" t="n">
        <f aca="false">ROUNDUP(J271,0)</f>
        <v>28</v>
      </c>
      <c r="L271" s="22" t="n">
        <f aca="false">MAX(D271,K271)</f>
        <v>40</v>
      </c>
      <c r="M271" s="25" t="n">
        <f aca="false">IF(E271="COVERED",'Controls &amp; Sources'!$B$5,'Controls &amp; Sources'!$B$6)</f>
        <v>10.4</v>
      </c>
      <c r="N271" s="25" t="n">
        <f aca="false">L271*M271</f>
        <v>416</v>
      </c>
      <c r="O271" s="22" t="n">
        <f aca="false">COUNTIFS('Billing Actual'!$E$2:$E$770,A271,'Billing Actual'!$B$2:$B$770,'Controls &amp; Sources'!$B$7)</f>
        <v>1</v>
      </c>
      <c r="P271" s="25" t="n">
        <f aca="false">SUMIFS('Billing Actual'!$M$2:$M$770,'Billing Actual'!$E$2:$E$770,A271,'Billing Actual'!$B$2:$B$770,'Controls &amp; Sources'!$B$7)</f>
        <v>416</v>
      </c>
      <c r="Q271" s="25" t="n">
        <f aca="false">P271-N271</f>
        <v>0</v>
      </c>
      <c r="R271" s="22" t="str">
        <f aca="false">IF(O271=0,"No August moorage transaction",IF(O271&gt;1,"Duplicate August transactions",IF(ABS(Q271)&gt;0.005,"Charge variance","OK")))</f>
        <v>OK</v>
      </c>
      <c r="S271" s="22" t="str">
        <f aca="false">IF(R271="OK","","Billing completeness/reconciliation")</f>
        <v/>
      </c>
    </row>
    <row r="272" customFormat="false" ht="15" hidden="false" customHeight="false" outlineLevel="0" collapsed="false">
      <c r="A272" s="22" t="s">
        <v>7344</v>
      </c>
      <c r="B272" s="22" t="s">
        <v>159</v>
      </c>
      <c r="C272" s="22" t="s">
        <v>6562</v>
      </c>
      <c r="D272" s="22" t="n">
        <v>32</v>
      </c>
      <c r="E272" s="22" t="s">
        <v>6575</v>
      </c>
      <c r="F272" s="22" t="s">
        <v>6577</v>
      </c>
      <c r="G272" s="22" t="s">
        <v>6150</v>
      </c>
      <c r="H272" s="22" t="s">
        <v>6151</v>
      </c>
      <c r="I272" s="22" t="s">
        <v>257</v>
      </c>
      <c r="J272" s="22" t="n">
        <v>36</v>
      </c>
      <c r="K272" s="22" t="n">
        <f aca="false">ROUNDUP(J272,0)</f>
        <v>36</v>
      </c>
      <c r="L272" s="22" t="n">
        <f aca="false">MAX(D272,K272)</f>
        <v>36</v>
      </c>
      <c r="M272" s="25" t="n">
        <f aca="false">IF(E272="COVERED",'Controls &amp; Sources'!$B$5,'Controls &amp; Sources'!$B$6)</f>
        <v>10.4</v>
      </c>
      <c r="N272" s="25" t="n">
        <f aca="false">L272*M272</f>
        <v>374.4</v>
      </c>
      <c r="O272" s="22" t="n">
        <f aca="false">COUNTIFS('Billing Actual'!$E$2:$E$770,A272,'Billing Actual'!$B$2:$B$770,'Controls &amp; Sources'!$B$7)</f>
        <v>1</v>
      </c>
      <c r="P272" s="25" t="n">
        <f aca="false">SUMIFS('Billing Actual'!$M$2:$M$770,'Billing Actual'!$E$2:$E$770,A272,'Billing Actual'!$B$2:$B$770,'Controls &amp; Sources'!$B$7)</f>
        <v>374.4</v>
      </c>
      <c r="Q272" s="25" t="n">
        <f aca="false">P272-N272</f>
        <v>0</v>
      </c>
      <c r="R272" s="22" t="str">
        <f aca="false">IF(O272=0,"No August moorage transaction",IF(O272&gt;1,"Duplicate August transactions",IF(ABS(Q272)&gt;0.005,"Charge variance","OK")))</f>
        <v>OK</v>
      </c>
      <c r="S272" s="22" t="str">
        <f aca="false">IF(R272="OK","","Billing completeness/reconciliation")</f>
        <v/>
      </c>
    </row>
    <row r="273" customFormat="false" ht="15" hidden="false" customHeight="false" outlineLevel="0" collapsed="false">
      <c r="A273" s="22" t="s">
        <v>7345</v>
      </c>
      <c r="B273" s="22" t="s">
        <v>159</v>
      </c>
      <c r="C273" s="22" t="s">
        <v>6562</v>
      </c>
      <c r="D273" s="22" t="n">
        <v>40</v>
      </c>
      <c r="E273" s="22" t="s">
        <v>6575</v>
      </c>
      <c r="F273" s="22" t="s">
        <v>6577</v>
      </c>
      <c r="G273" s="22" t="s">
        <v>4763</v>
      </c>
      <c r="H273" s="22" t="s">
        <v>4764</v>
      </c>
      <c r="I273" s="22" t="s">
        <v>2563</v>
      </c>
      <c r="J273" s="22" t="n">
        <v>41.7</v>
      </c>
      <c r="K273" s="22" t="n">
        <f aca="false">ROUNDUP(J273,0)</f>
        <v>42</v>
      </c>
      <c r="L273" s="22" t="n">
        <f aca="false">MAX(D273,K273)</f>
        <v>42</v>
      </c>
      <c r="M273" s="25" t="n">
        <f aca="false">IF(E273="COVERED",'Controls &amp; Sources'!$B$5,'Controls &amp; Sources'!$B$6)</f>
        <v>10.4</v>
      </c>
      <c r="N273" s="25" t="n">
        <f aca="false">L273*M273</f>
        <v>436.8</v>
      </c>
      <c r="O273" s="22" t="n">
        <f aca="false">COUNTIFS('Billing Actual'!$E$2:$E$770,A273,'Billing Actual'!$B$2:$B$770,'Controls &amp; Sources'!$B$7)</f>
        <v>1</v>
      </c>
      <c r="P273" s="25" t="n">
        <f aca="false">SUMIFS('Billing Actual'!$M$2:$M$770,'Billing Actual'!$E$2:$E$770,A273,'Billing Actual'!$B$2:$B$770,'Controls &amp; Sources'!$B$7)</f>
        <v>436.8</v>
      </c>
      <c r="Q273" s="25" t="n">
        <f aca="false">P273-N273</f>
        <v>0</v>
      </c>
      <c r="R273" s="22" t="str">
        <f aca="false">IF(O273=0,"No August moorage transaction",IF(O273&gt;1,"Duplicate August transactions",IF(ABS(Q273)&gt;0.005,"Charge variance","OK")))</f>
        <v>OK</v>
      </c>
      <c r="S273" s="22" t="str">
        <f aca="false">IF(R273="OK","","Billing completeness/reconciliation")</f>
        <v/>
      </c>
    </row>
    <row r="274" customFormat="false" ht="15" hidden="false" customHeight="false" outlineLevel="0" collapsed="false">
      <c r="A274" s="22" t="s">
        <v>7346</v>
      </c>
      <c r="B274" s="22" t="s">
        <v>159</v>
      </c>
      <c r="C274" s="22" t="s">
        <v>6562</v>
      </c>
      <c r="D274" s="22" t="n">
        <v>28</v>
      </c>
      <c r="E274" s="22" t="s">
        <v>6575</v>
      </c>
      <c r="F274" s="22" t="s">
        <v>6577</v>
      </c>
      <c r="G274" s="22" t="s">
        <v>3957</v>
      </c>
      <c r="H274" s="22" t="s">
        <v>3958</v>
      </c>
      <c r="I274" s="22" t="s">
        <v>248</v>
      </c>
      <c r="J274" s="22" t="n">
        <v>34.3</v>
      </c>
      <c r="K274" s="22" t="n">
        <f aca="false">ROUNDUP(J274,0)</f>
        <v>35</v>
      </c>
      <c r="L274" s="22" t="n">
        <f aca="false">MAX(D274,K274)</f>
        <v>35</v>
      </c>
      <c r="M274" s="25" t="n">
        <f aca="false">IF(E274="COVERED",'Controls &amp; Sources'!$B$5,'Controls &amp; Sources'!$B$6)</f>
        <v>10.4</v>
      </c>
      <c r="N274" s="25" t="n">
        <f aca="false">L274*M274</f>
        <v>364</v>
      </c>
      <c r="O274" s="22" t="n">
        <f aca="false">COUNTIFS('Billing Actual'!$E$2:$E$770,A274,'Billing Actual'!$B$2:$B$770,'Controls &amp; Sources'!$B$7)</f>
        <v>1</v>
      </c>
      <c r="P274" s="25" t="n">
        <f aca="false">SUMIFS('Billing Actual'!$M$2:$M$770,'Billing Actual'!$E$2:$E$770,A274,'Billing Actual'!$B$2:$B$770,'Controls &amp; Sources'!$B$7)</f>
        <v>364</v>
      </c>
      <c r="Q274" s="25" t="n">
        <f aca="false">P274-N274</f>
        <v>0</v>
      </c>
      <c r="R274" s="22" t="str">
        <f aca="false">IF(O274=0,"No August moorage transaction",IF(O274&gt;1,"Duplicate August transactions",IF(ABS(Q274)&gt;0.005,"Charge variance","OK")))</f>
        <v>OK</v>
      </c>
      <c r="S274" s="22" t="str">
        <f aca="false">IF(R274="OK","","Billing completeness/reconciliation")</f>
        <v/>
      </c>
    </row>
    <row r="275" customFormat="false" ht="15" hidden="false" customHeight="false" outlineLevel="0" collapsed="false">
      <c r="A275" s="22" t="s">
        <v>7347</v>
      </c>
      <c r="B275" s="22" t="s">
        <v>159</v>
      </c>
      <c r="C275" s="22" t="s">
        <v>6562</v>
      </c>
      <c r="D275" s="22" t="n">
        <v>28</v>
      </c>
      <c r="E275" s="22" t="s">
        <v>6575</v>
      </c>
      <c r="F275" s="22" t="s">
        <v>6577</v>
      </c>
      <c r="G275" s="22" t="s">
        <v>1202</v>
      </c>
      <c r="H275" s="22" t="s">
        <v>1203</v>
      </c>
      <c r="I275" s="22" t="s">
        <v>1204</v>
      </c>
      <c r="J275" s="22" t="n">
        <v>22.5</v>
      </c>
      <c r="K275" s="22" t="n">
        <f aca="false">ROUNDUP(J275,0)</f>
        <v>23</v>
      </c>
      <c r="L275" s="22" t="n">
        <f aca="false">MAX(D275,K275)</f>
        <v>28</v>
      </c>
      <c r="M275" s="25" t="n">
        <f aca="false">IF(E275="COVERED",'Controls &amp; Sources'!$B$5,'Controls &amp; Sources'!$B$6)</f>
        <v>10.4</v>
      </c>
      <c r="N275" s="25" t="n">
        <f aca="false">L275*M275</f>
        <v>291.2</v>
      </c>
      <c r="O275" s="22" t="n">
        <f aca="false">COUNTIFS('Billing Actual'!$E$2:$E$770,A275,'Billing Actual'!$B$2:$B$770,'Controls &amp; Sources'!$B$7)</f>
        <v>1</v>
      </c>
      <c r="P275" s="25" t="n">
        <f aca="false">SUMIFS('Billing Actual'!$M$2:$M$770,'Billing Actual'!$E$2:$E$770,A275,'Billing Actual'!$B$2:$B$770,'Controls &amp; Sources'!$B$7)</f>
        <v>291.2</v>
      </c>
      <c r="Q275" s="25" t="n">
        <f aca="false">P275-N275</f>
        <v>0</v>
      </c>
      <c r="R275" s="22" t="str">
        <f aca="false">IF(O275=0,"No August moorage transaction",IF(O275&gt;1,"Duplicate August transactions",IF(ABS(Q275)&gt;0.005,"Charge variance","OK")))</f>
        <v>OK</v>
      </c>
      <c r="S275" s="22" t="str">
        <f aca="false">IF(R275="OK","","Billing completeness/reconciliation")</f>
        <v/>
      </c>
    </row>
    <row r="276" customFormat="false" ht="15" hidden="false" customHeight="false" outlineLevel="0" collapsed="false">
      <c r="A276" s="22" t="s">
        <v>7349</v>
      </c>
      <c r="B276" s="22" t="s">
        <v>159</v>
      </c>
      <c r="C276" s="22" t="s">
        <v>6562</v>
      </c>
      <c r="D276" s="22" t="n">
        <v>24</v>
      </c>
      <c r="E276" s="22" t="s">
        <v>6575</v>
      </c>
      <c r="F276" s="22" t="s">
        <v>6577</v>
      </c>
      <c r="G276" s="22" t="s">
        <v>5899</v>
      </c>
      <c r="H276" s="22" t="s">
        <v>5900</v>
      </c>
      <c r="I276" s="22" t="s">
        <v>474</v>
      </c>
      <c r="J276" s="22" t="n">
        <v>49.1</v>
      </c>
      <c r="K276" s="22" t="n">
        <f aca="false">ROUNDUP(J276,0)</f>
        <v>50</v>
      </c>
      <c r="L276" s="22" t="n">
        <f aca="false">MAX(D276,K276)</f>
        <v>50</v>
      </c>
      <c r="M276" s="25" t="n">
        <f aca="false">IF(E276="COVERED",'Controls &amp; Sources'!$B$5,'Controls &amp; Sources'!$B$6)</f>
        <v>10.4</v>
      </c>
      <c r="N276" s="25" t="n">
        <f aca="false">L276*M276</f>
        <v>520</v>
      </c>
      <c r="O276" s="22" t="n">
        <f aca="false">COUNTIFS('Billing Actual'!$E$2:$E$770,A276,'Billing Actual'!$B$2:$B$770,'Controls &amp; Sources'!$B$7)</f>
        <v>1</v>
      </c>
      <c r="P276" s="25" t="n">
        <f aca="false">SUMIFS('Billing Actual'!$M$2:$M$770,'Billing Actual'!$E$2:$E$770,A276,'Billing Actual'!$B$2:$B$770,'Controls &amp; Sources'!$B$7)</f>
        <v>520</v>
      </c>
      <c r="Q276" s="25" t="n">
        <f aca="false">P276-N276</f>
        <v>0</v>
      </c>
      <c r="R276" s="22" t="str">
        <f aca="false">IF(O276=0,"No August moorage transaction",IF(O276&gt;1,"Duplicate August transactions",IF(ABS(Q276)&gt;0.005,"Charge variance","OK")))</f>
        <v>OK</v>
      </c>
      <c r="S276" s="22" t="str">
        <f aca="false">IF(R276="OK","","Billing completeness/reconciliation")</f>
        <v/>
      </c>
    </row>
    <row r="277" customFormat="false" ht="15" hidden="false" customHeight="false" outlineLevel="0" collapsed="false">
      <c r="A277" s="22" t="s">
        <v>7351</v>
      </c>
      <c r="B277" s="22" t="s">
        <v>159</v>
      </c>
      <c r="C277" s="22" t="s">
        <v>6562</v>
      </c>
      <c r="D277" s="22" t="n">
        <v>40</v>
      </c>
      <c r="E277" s="22" t="s">
        <v>6575</v>
      </c>
      <c r="F277" s="22" t="s">
        <v>6577</v>
      </c>
      <c r="G277" s="22" t="s">
        <v>5738</v>
      </c>
      <c r="H277" s="22" t="s">
        <v>5739</v>
      </c>
      <c r="I277" s="22" t="s">
        <v>728</v>
      </c>
      <c r="J277" s="22" t="n">
        <v>21.8</v>
      </c>
      <c r="K277" s="22" t="n">
        <f aca="false">ROUNDUP(J277,0)</f>
        <v>22</v>
      </c>
      <c r="L277" s="22" t="n">
        <f aca="false">MAX(D277,K277)</f>
        <v>40</v>
      </c>
      <c r="M277" s="25" t="n">
        <f aca="false">IF(E277="COVERED",'Controls &amp; Sources'!$B$5,'Controls &amp; Sources'!$B$6)</f>
        <v>10.4</v>
      </c>
      <c r="N277" s="25" t="n">
        <f aca="false">L277*M277</f>
        <v>416</v>
      </c>
      <c r="O277" s="22" t="n">
        <f aca="false">COUNTIFS('Billing Actual'!$E$2:$E$770,A277,'Billing Actual'!$B$2:$B$770,'Controls &amp; Sources'!$B$7)</f>
        <v>1</v>
      </c>
      <c r="P277" s="25" t="n">
        <f aca="false">SUMIFS('Billing Actual'!$M$2:$M$770,'Billing Actual'!$E$2:$E$770,A277,'Billing Actual'!$B$2:$B$770,'Controls &amp; Sources'!$B$7)</f>
        <v>416</v>
      </c>
      <c r="Q277" s="25" t="n">
        <f aca="false">P277-N277</f>
        <v>0</v>
      </c>
      <c r="R277" s="22" t="str">
        <f aca="false">IF(O277=0,"No August moorage transaction",IF(O277&gt;1,"Duplicate August transactions",IF(ABS(Q277)&gt;0.005,"Charge variance","OK")))</f>
        <v>OK</v>
      </c>
      <c r="S277" s="22" t="str">
        <f aca="false">IF(R277="OK","","Billing completeness/reconciliation")</f>
        <v/>
      </c>
    </row>
    <row r="278" customFormat="false" ht="15" hidden="false" customHeight="false" outlineLevel="0" collapsed="false">
      <c r="A278" s="22" t="s">
        <v>7352</v>
      </c>
      <c r="B278" s="22" t="s">
        <v>159</v>
      </c>
      <c r="C278" s="22" t="s">
        <v>6562</v>
      </c>
      <c r="D278" s="22" t="n">
        <v>32</v>
      </c>
      <c r="E278" s="22" t="s">
        <v>6575</v>
      </c>
      <c r="F278" s="22" t="s">
        <v>6577</v>
      </c>
      <c r="G278" s="22" t="s">
        <v>4187</v>
      </c>
      <c r="H278" s="22" t="s">
        <v>4188</v>
      </c>
      <c r="I278" s="22" t="s">
        <v>224</v>
      </c>
      <c r="J278" s="22" t="n">
        <v>38.1</v>
      </c>
      <c r="K278" s="22" t="n">
        <f aca="false">ROUNDUP(J278,0)</f>
        <v>39</v>
      </c>
      <c r="L278" s="22" t="n">
        <f aca="false">MAX(D278,K278)</f>
        <v>39</v>
      </c>
      <c r="M278" s="25" t="n">
        <f aca="false">IF(E278="COVERED",'Controls &amp; Sources'!$B$5,'Controls &amp; Sources'!$B$6)</f>
        <v>10.4</v>
      </c>
      <c r="N278" s="25" t="n">
        <f aca="false">L278*M278</f>
        <v>405.6</v>
      </c>
      <c r="O278" s="22" t="n">
        <f aca="false">COUNTIFS('Billing Actual'!$E$2:$E$770,A278,'Billing Actual'!$B$2:$B$770,'Controls &amp; Sources'!$B$7)</f>
        <v>1</v>
      </c>
      <c r="P278" s="25" t="n">
        <f aca="false">SUMIFS('Billing Actual'!$M$2:$M$770,'Billing Actual'!$E$2:$E$770,A278,'Billing Actual'!$B$2:$B$770,'Controls &amp; Sources'!$B$7)</f>
        <v>405.6</v>
      </c>
      <c r="Q278" s="25" t="n">
        <f aca="false">P278-N278</f>
        <v>0</v>
      </c>
      <c r="R278" s="22" t="str">
        <f aca="false">IF(O278=0,"No August moorage transaction",IF(O278&gt;1,"Duplicate August transactions",IF(ABS(Q278)&gt;0.005,"Charge variance","OK")))</f>
        <v>OK</v>
      </c>
      <c r="S278" s="22" t="str">
        <f aca="false">IF(R278="OK","","Billing completeness/reconciliation")</f>
        <v/>
      </c>
    </row>
    <row r="279" customFormat="false" ht="15" hidden="false" customHeight="false" outlineLevel="0" collapsed="false">
      <c r="A279" s="22" t="s">
        <v>7354</v>
      </c>
      <c r="B279" s="22" t="s">
        <v>159</v>
      </c>
      <c r="C279" s="22" t="s">
        <v>6562</v>
      </c>
      <c r="D279" s="22" t="n">
        <v>28</v>
      </c>
      <c r="E279" s="22" t="s">
        <v>6575</v>
      </c>
      <c r="F279" s="22" t="s">
        <v>6577</v>
      </c>
      <c r="G279" s="22" t="s">
        <v>4460</v>
      </c>
      <c r="H279" s="22" t="s">
        <v>4461</v>
      </c>
      <c r="I279" s="22" t="s">
        <v>3842</v>
      </c>
      <c r="J279" s="22" t="n">
        <v>20.9</v>
      </c>
      <c r="K279" s="22" t="n">
        <f aca="false">ROUNDUP(J279,0)</f>
        <v>21</v>
      </c>
      <c r="L279" s="22" t="n">
        <f aca="false">MAX(D279,K279)</f>
        <v>28</v>
      </c>
      <c r="M279" s="25" t="n">
        <f aca="false">IF(E279="COVERED",'Controls &amp; Sources'!$B$5,'Controls &amp; Sources'!$B$6)</f>
        <v>10.4</v>
      </c>
      <c r="N279" s="25" t="n">
        <f aca="false">L279*M279</f>
        <v>291.2</v>
      </c>
      <c r="O279" s="22" t="n">
        <f aca="false">COUNTIFS('Billing Actual'!$E$2:$E$770,A279,'Billing Actual'!$B$2:$B$770,'Controls &amp; Sources'!$B$7)</f>
        <v>1</v>
      </c>
      <c r="P279" s="25" t="n">
        <f aca="false">SUMIFS('Billing Actual'!$M$2:$M$770,'Billing Actual'!$E$2:$E$770,A279,'Billing Actual'!$B$2:$B$770,'Controls &amp; Sources'!$B$7)</f>
        <v>291.2</v>
      </c>
      <c r="Q279" s="25" t="n">
        <f aca="false">P279-N279</f>
        <v>0</v>
      </c>
      <c r="R279" s="22" t="str">
        <f aca="false">IF(O279=0,"No August moorage transaction",IF(O279&gt;1,"Duplicate August transactions",IF(ABS(Q279)&gt;0.005,"Charge variance","OK")))</f>
        <v>OK</v>
      </c>
      <c r="S279" s="22" t="str">
        <f aca="false">IF(R279="OK","","Billing completeness/reconciliation")</f>
        <v/>
      </c>
    </row>
    <row r="280" customFormat="false" ht="15" hidden="false" customHeight="false" outlineLevel="0" collapsed="false">
      <c r="A280" s="22" t="s">
        <v>7356</v>
      </c>
      <c r="B280" s="22" t="s">
        <v>159</v>
      </c>
      <c r="C280" s="22" t="s">
        <v>6562</v>
      </c>
      <c r="D280" s="22" t="n">
        <v>40</v>
      </c>
      <c r="E280" s="22" t="s">
        <v>6575</v>
      </c>
      <c r="F280" s="22" t="s">
        <v>6577</v>
      </c>
      <c r="G280" s="22" t="s">
        <v>3095</v>
      </c>
      <c r="H280" s="22" t="s">
        <v>3096</v>
      </c>
      <c r="I280" s="22" t="s">
        <v>2836</v>
      </c>
      <c r="J280" s="22" t="n">
        <v>38.3</v>
      </c>
      <c r="K280" s="22" t="n">
        <f aca="false">ROUNDUP(J280,0)</f>
        <v>39</v>
      </c>
      <c r="L280" s="22" t="n">
        <f aca="false">MAX(D280,K280)</f>
        <v>40</v>
      </c>
      <c r="M280" s="25" t="n">
        <f aca="false">IF(E280="COVERED",'Controls &amp; Sources'!$B$5,'Controls &amp; Sources'!$B$6)</f>
        <v>10.4</v>
      </c>
      <c r="N280" s="25" t="n">
        <f aca="false">L280*M280</f>
        <v>416</v>
      </c>
      <c r="O280" s="22" t="n">
        <f aca="false">COUNTIFS('Billing Actual'!$E$2:$E$770,A280,'Billing Actual'!$B$2:$B$770,'Controls &amp; Sources'!$B$7)</f>
        <v>1</v>
      </c>
      <c r="P280" s="25" t="n">
        <f aca="false">SUMIFS('Billing Actual'!$M$2:$M$770,'Billing Actual'!$E$2:$E$770,A280,'Billing Actual'!$B$2:$B$770,'Controls &amp; Sources'!$B$7)</f>
        <v>416</v>
      </c>
      <c r="Q280" s="25" t="n">
        <f aca="false">P280-N280</f>
        <v>0</v>
      </c>
      <c r="R280" s="22" t="str">
        <f aca="false">IF(O280=0,"No August moorage transaction",IF(O280&gt;1,"Duplicate August transactions",IF(ABS(Q280)&gt;0.005,"Charge variance","OK")))</f>
        <v>OK</v>
      </c>
      <c r="S280" s="22" t="str">
        <f aca="false">IF(R280="OK","","Billing completeness/reconciliation")</f>
        <v/>
      </c>
    </row>
    <row r="281" customFormat="false" ht="15" hidden="false" customHeight="false" outlineLevel="0" collapsed="false">
      <c r="A281" s="22" t="s">
        <v>7358</v>
      </c>
      <c r="B281" s="22" t="s">
        <v>159</v>
      </c>
      <c r="C281" s="22" t="s">
        <v>6562</v>
      </c>
      <c r="D281" s="22" t="n">
        <v>24</v>
      </c>
      <c r="E281" s="22" t="s">
        <v>6575</v>
      </c>
      <c r="F281" s="22" t="s">
        <v>6577</v>
      </c>
      <c r="G281" s="22" t="s">
        <v>4698</v>
      </c>
      <c r="H281" s="22" t="s">
        <v>4699</v>
      </c>
      <c r="I281" s="22" t="s">
        <v>170</v>
      </c>
      <c r="J281" s="22" t="n">
        <v>57.3</v>
      </c>
      <c r="K281" s="22" t="n">
        <f aca="false">ROUNDUP(J281,0)</f>
        <v>58</v>
      </c>
      <c r="L281" s="22" t="n">
        <f aca="false">MAX(D281,K281)</f>
        <v>58</v>
      </c>
      <c r="M281" s="25" t="n">
        <f aca="false">IF(E281="COVERED",'Controls &amp; Sources'!$B$5,'Controls &amp; Sources'!$B$6)</f>
        <v>10.4</v>
      </c>
      <c r="N281" s="25" t="n">
        <f aca="false">L281*M281</f>
        <v>603.2</v>
      </c>
      <c r="O281" s="22" t="n">
        <f aca="false">COUNTIFS('Billing Actual'!$E$2:$E$770,A281,'Billing Actual'!$B$2:$B$770,'Controls &amp; Sources'!$B$7)</f>
        <v>1</v>
      </c>
      <c r="P281" s="25" t="n">
        <f aca="false">SUMIFS('Billing Actual'!$M$2:$M$770,'Billing Actual'!$E$2:$E$770,A281,'Billing Actual'!$B$2:$B$770,'Controls &amp; Sources'!$B$7)</f>
        <v>603.2</v>
      </c>
      <c r="Q281" s="25" t="n">
        <f aca="false">P281-N281</f>
        <v>0</v>
      </c>
      <c r="R281" s="22" t="str">
        <f aca="false">IF(O281=0,"No August moorage transaction",IF(O281&gt;1,"Duplicate August transactions",IF(ABS(Q281)&gt;0.005,"Charge variance","OK")))</f>
        <v>OK</v>
      </c>
      <c r="S281" s="22" t="str">
        <f aca="false">IF(R281="OK","","Billing completeness/reconciliation")</f>
        <v/>
      </c>
    </row>
    <row r="282" customFormat="false" ht="15" hidden="false" customHeight="false" outlineLevel="0" collapsed="false">
      <c r="A282" s="22" t="s">
        <v>7360</v>
      </c>
      <c r="B282" s="22" t="s">
        <v>159</v>
      </c>
      <c r="C282" s="22" t="s">
        <v>6562</v>
      </c>
      <c r="D282" s="22" t="n">
        <v>24</v>
      </c>
      <c r="E282" s="22" t="s">
        <v>6575</v>
      </c>
      <c r="F282" s="22" t="s">
        <v>6577</v>
      </c>
      <c r="G282" s="22" t="s">
        <v>160</v>
      </c>
      <c r="H282" s="22" t="s">
        <v>161</v>
      </c>
      <c r="I282" s="22" t="s">
        <v>163</v>
      </c>
      <c r="J282" s="22" t="n">
        <v>38.2</v>
      </c>
      <c r="K282" s="22" t="n">
        <f aca="false">ROUNDUP(J282,0)</f>
        <v>39</v>
      </c>
      <c r="L282" s="22" t="n">
        <f aca="false">MAX(D282,K282)</f>
        <v>39</v>
      </c>
      <c r="M282" s="25" t="n">
        <f aca="false">IF(E282="COVERED",'Controls &amp; Sources'!$B$5,'Controls &amp; Sources'!$B$6)</f>
        <v>10.4</v>
      </c>
      <c r="N282" s="25" t="n">
        <f aca="false">L282*M282</f>
        <v>405.6</v>
      </c>
      <c r="O282" s="22" t="n">
        <f aca="false">COUNTIFS('Billing Actual'!$E$2:$E$770,A282,'Billing Actual'!$B$2:$B$770,'Controls &amp; Sources'!$B$7)</f>
        <v>1</v>
      </c>
      <c r="P282" s="25" t="n">
        <f aca="false">SUMIFS('Billing Actual'!$M$2:$M$770,'Billing Actual'!$E$2:$E$770,A282,'Billing Actual'!$B$2:$B$770,'Controls &amp; Sources'!$B$7)</f>
        <v>405.6</v>
      </c>
      <c r="Q282" s="25" t="n">
        <f aca="false">P282-N282</f>
        <v>0</v>
      </c>
      <c r="R282" s="22" t="str">
        <f aca="false">IF(O282=0,"No August moorage transaction",IF(O282&gt;1,"Duplicate August transactions",IF(ABS(Q282)&gt;0.005,"Charge variance","OK")))</f>
        <v>OK</v>
      </c>
      <c r="S282" s="22" t="str">
        <f aca="false">IF(R282="OK","","Billing completeness/reconciliation")</f>
        <v/>
      </c>
    </row>
    <row r="283" customFormat="false" ht="15" hidden="false" customHeight="false" outlineLevel="0" collapsed="false">
      <c r="A283" s="22" t="s">
        <v>7361</v>
      </c>
      <c r="B283" s="22" t="s">
        <v>159</v>
      </c>
      <c r="C283" s="22" t="s">
        <v>6562</v>
      </c>
      <c r="D283" s="22" t="n">
        <v>24</v>
      </c>
      <c r="E283" s="22" t="s">
        <v>6575</v>
      </c>
      <c r="F283" s="22" t="s">
        <v>6577</v>
      </c>
      <c r="G283" s="22" t="s">
        <v>2353</v>
      </c>
      <c r="H283" s="22" t="s">
        <v>2354</v>
      </c>
      <c r="I283" s="22" t="s">
        <v>1304</v>
      </c>
      <c r="J283" s="22" t="n">
        <v>60.4</v>
      </c>
      <c r="K283" s="22" t="n">
        <f aca="false">ROUNDUP(J283,0)</f>
        <v>61</v>
      </c>
      <c r="L283" s="22" t="n">
        <f aca="false">MAX(D283,K283)</f>
        <v>61</v>
      </c>
      <c r="M283" s="25" t="n">
        <f aca="false">IF(E283="COVERED",'Controls &amp; Sources'!$B$5,'Controls &amp; Sources'!$B$6)</f>
        <v>10.4</v>
      </c>
      <c r="N283" s="25" t="n">
        <f aca="false">L283*M283</f>
        <v>634.4</v>
      </c>
      <c r="O283" s="22" t="n">
        <f aca="false">COUNTIFS('Billing Actual'!$E$2:$E$770,A283,'Billing Actual'!$B$2:$B$770,'Controls &amp; Sources'!$B$7)</f>
        <v>1</v>
      </c>
      <c r="P283" s="25" t="n">
        <f aca="false">SUMIFS('Billing Actual'!$M$2:$M$770,'Billing Actual'!$E$2:$E$770,A283,'Billing Actual'!$B$2:$B$770,'Controls &amp; Sources'!$B$7)</f>
        <v>634.4</v>
      </c>
      <c r="Q283" s="25" t="n">
        <f aca="false">P283-N283</f>
        <v>0</v>
      </c>
      <c r="R283" s="22" t="str">
        <f aca="false">IF(O283=0,"No August moorage transaction",IF(O283&gt;1,"Duplicate August transactions",IF(ABS(Q283)&gt;0.005,"Charge variance","OK")))</f>
        <v>OK</v>
      </c>
      <c r="S283" s="22" t="str">
        <f aca="false">IF(R283="OK","","Billing completeness/reconciliation")</f>
        <v/>
      </c>
    </row>
    <row r="284" customFormat="false" ht="15" hidden="false" customHeight="false" outlineLevel="0" collapsed="false">
      <c r="A284" s="22" t="s">
        <v>7363</v>
      </c>
      <c r="B284" s="22" t="s">
        <v>159</v>
      </c>
      <c r="C284" s="22" t="s">
        <v>6562</v>
      </c>
      <c r="D284" s="22" t="n">
        <v>28</v>
      </c>
      <c r="E284" s="22" t="s">
        <v>6575</v>
      </c>
      <c r="F284" s="22" t="s">
        <v>6577</v>
      </c>
      <c r="G284" s="22" t="s">
        <v>5465</v>
      </c>
      <c r="H284" s="22" t="s">
        <v>5466</v>
      </c>
      <c r="I284" s="22" t="s">
        <v>594</v>
      </c>
      <c r="J284" s="22" t="n">
        <v>18.3</v>
      </c>
      <c r="K284" s="22" t="n">
        <f aca="false">ROUNDUP(J284,0)</f>
        <v>19</v>
      </c>
      <c r="L284" s="22" t="n">
        <f aca="false">MAX(D284,K284)</f>
        <v>28</v>
      </c>
      <c r="M284" s="25" t="n">
        <f aca="false">IF(E284="COVERED",'Controls &amp; Sources'!$B$5,'Controls &amp; Sources'!$B$6)</f>
        <v>10.4</v>
      </c>
      <c r="N284" s="25" t="n">
        <f aca="false">L284*M284</f>
        <v>291.2</v>
      </c>
      <c r="O284" s="22" t="n">
        <f aca="false">COUNTIFS('Billing Actual'!$E$2:$E$770,A284,'Billing Actual'!$B$2:$B$770,'Controls &amp; Sources'!$B$7)</f>
        <v>1</v>
      </c>
      <c r="P284" s="25" t="n">
        <f aca="false">SUMIFS('Billing Actual'!$M$2:$M$770,'Billing Actual'!$E$2:$E$770,A284,'Billing Actual'!$B$2:$B$770,'Controls &amp; Sources'!$B$7)</f>
        <v>291.2</v>
      </c>
      <c r="Q284" s="25" t="n">
        <f aca="false">P284-N284</f>
        <v>0</v>
      </c>
      <c r="R284" s="22" t="str">
        <f aca="false">IF(O284=0,"No August moorage transaction",IF(O284&gt;1,"Duplicate August transactions",IF(ABS(Q284)&gt;0.005,"Charge variance","OK")))</f>
        <v>OK</v>
      </c>
      <c r="S284" s="22" t="str">
        <f aca="false">IF(R284="OK","","Billing completeness/reconciliation")</f>
        <v/>
      </c>
    </row>
    <row r="285" customFormat="false" ht="15" hidden="false" customHeight="false" outlineLevel="0" collapsed="false">
      <c r="A285" s="22" t="s">
        <v>7364</v>
      </c>
      <c r="B285" s="22" t="s">
        <v>159</v>
      </c>
      <c r="C285" s="22" t="s">
        <v>6562</v>
      </c>
      <c r="D285" s="22" t="n">
        <v>40</v>
      </c>
      <c r="E285" s="22" t="s">
        <v>6575</v>
      </c>
      <c r="F285" s="22" t="s">
        <v>6577</v>
      </c>
      <c r="G285" s="22" t="s">
        <v>3197</v>
      </c>
      <c r="H285" s="22" t="s">
        <v>3198</v>
      </c>
      <c r="I285" s="22" t="s">
        <v>1968</v>
      </c>
      <c r="J285" s="22" t="n">
        <v>30.8</v>
      </c>
      <c r="K285" s="22" t="n">
        <f aca="false">ROUNDUP(J285,0)</f>
        <v>31</v>
      </c>
      <c r="L285" s="22" t="n">
        <f aca="false">MAX(D285,K285)</f>
        <v>40</v>
      </c>
      <c r="M285" s="25" t="n">
        <f aca="false">IF(E285="COVERED",'Controls &amp; Sources'!$B$5,'Controls &amp; Sources'!$B$6)</f>
        <v>10.4</v>
      </c>
      <c r="N285" s="25" t="n">
        <f aca="false">L285*M285</f>
        <v>416</v>
      </c>
      <c r="O285" s="22" t="n">
        <f aca="false">COUNTIFS('Billing Actual'!$E$2:$E$770,A285,'Billing Actual'!$B$2:$B$770,'Controls &amp; Sources'!$B$7)</f>
        <v>1</v>
      </c>
      <c r="P285" s="25" t="n">
        <f aca="false">SUMIFS('Billing Actual'!$M$2:$M$770,'Billing Actual'!$E$2:$E$770,A285,'Billing Actual'!$B$2:$B$770,'Controls &amp; Sources'!$B$7)</f>
        <v>416</v>
      </c>
      <c r="Q285" s="25" t="n">
        <f aca="false">P285-N285</f>
        <v>0</v>
      </c>
      <c r="R285" s="22" t="str">
        <f aca="false">IF(O285=0,"No August moorage transaction",IF(O285&gt;1,"Duplicate August transactions",IF(ABS(Q285)&gt;0.005,"Charge variance","OK")))</f>
        <v>OK</v>
      </c>
      <c r="S285" s="22" t="str">
        <f aca="false">IF(R285="OK","","Billing completeness/reconciliation")</f>
        <v/>
      </c>
    </row>
    <row r="286" customFormat="false" ht="15" hidden="false" customHeight="false" outlineLevel="0" collapsed="false">
      <c r="A286" s="22" t="s">
        <v>7366</v>
      </c>
      <c r="B286" s="22" t="s">
        <v>159</v>
      </c>
      <c r="C286" s="22" t="s">
        <v>6562</v>
      </c>
      <c r="D286" s="22" t="n">
        <v>24</v>
      </c>
      <c r="E286" s="22" t="s">
        <v>6575</v>
      </c>
      <c r="F286" s="22" t="s">
        <v>6577</v>
      </c>
      <c r="G286" s="22" t="s">
        <v>5503</v>
      </c>
      <c r="H286" s="22" t="s">
        <v>5504</v>
      </c>
      <c r="I286" s="22" t="s">
        <v>3566</v>
      </c>
      <c r="J286" s="22" t="n">
        <v>38.5</v>
      </c>
      <c r="K286" s="22" t="n">
        <f aca="false">ROUNDUP(J286,0)</f>
        <v>39</v>
      </c>
      <c r="L286" s="22" t="n">
        <f aca="false">MAX(D286,K286)</f>
        <v>39</v>
      </c>
      <c r="M286" s="25" t="n">
        <f aca="false">IF(E286="COVERED",'Controls &amp; Sources'!$B$5,'Controls &amp; Sources'!$B$6)</f>
        <v>10.4</v>
      </c>
      <c r="N286" s="25" t="n">
        <f aca="false">L286*M286</f>
        <v>405.6</v>
      </c>
      <c r="O286" s="22" t="n">
        <f aca="false">COUNTIFS('Billing Actual'!$E$2:$E$770,A286,'Billing Actual'!$B$2:$B$770,'Controls &amp; Sources'!$B$7)</f>
        <v>1</v>
      </c>
      <c r="P286" s="25" t="n">
        <f aca="false">SUMIFS('Billing Actual'!$M$2:$M$770,'Billing Actual'!$E$2:$E$770,A286,'Billing Actual'!$B$2:$B$770,'Controls &amp; Sources'!$B$7)</f>
        <v>405.6</v>
      </c>
      <c r="Q286" s="25" t="n">
        <f aca="false">P286-N286</f>
        <v>0</v>
      </c>
      <c r="R286" s="22" t="str">
        <f aca="false">IF(O286=0,"No August moorage transaction",IF(O286&gt;1,"Duplicate August transactions",IF(ABS(Q286)&gt;0.005,"Charge variance","OK")))</f>
        <v>OK</v>
      </c>
      <c r="S286" s="22" t="str">
        <f aca="false">IF(R286="OK","","Billing completeness/reconciliation")</f>
        <v/>
      </c>
    </row>
    <row r="287" customFormat="false" ht="15" hidden="false" customHeight="false" outlineLevel="0" collapsed="false">
      <c r="A287" s="22" t="s">
        <v>7367</v>
      </c>
      <c r="B287" s="22" t="s">
        <v>159</v>
      </c>
      <c r="C287" s="22" t="s">
        <v>6562</v>
      </c>
      <c r="D287" s="22" t="n">
        <v>24</v>
      </c>
      <c r="E287" s="22" t="s">
        <v>6575</v>
      </c>
      <c r="F287" s="22" t="s">
        <v>6577</v>
      </c>
      <c r="G287" s="22" t="s">
        <v>3780</v>
      </c>
      <c r="H287" s="22" t="s">
        <v>3781</v>
      </c>
      <c r="I287" s="22" t="s">
        <v>1545</v>
      </c>
      <c r="J287" s="22" t="n">
        <v>27</v>
      </c>
      <c r="K287" s="22" t="n">
        <f aca="false">ROUNDUP(J287,0)</f>
        <v>27</v>
      </c>
      <c r="L287" s="22" t="n">
        <f aca="false">MAX(D287,K287)</f>
        <v>27</v>
      </c>
      <c r="M287" s="25" t="n">
        <f aca="false">IF(E287="COVERED",'Controls &amp; Sources'!$B$5,'Controls &amp; Sources'!$B$6)</f>
        <v>10.4</v>
      </c>
      <c r="N287" s="25" t="n">
        <f aca="false">L287*M287</f>
        <v>280.8</v>
      </c>
      <c r="O287" s="22" t="n">
        <f aca="false">COUNTIFS('Billing Actual'!$E$2:$E$770,A287,'Billing Actual'!$B$2:$B$770,'Controls &amp; Sources'!$B$7)</f>
        <v>1</v>
      </c>
      <c r="P287" s="25" t="n">
        <f aca="false">SUMIFS('Billing Actual'!$M$2:$M$770,'Billing Actual'!$E$2:$E$770,A287,'Billing Actual'!$B$2:$B$770,'Controls &amp; Sources'!$B$7)</f>
        <v>280.8</v>
      </c>
      <c r="Q287" s="25" t="n">
        <f aca="false">P287-N287</f>
        <v>0</v>
      </c>
      <c r="R287" s="22" t="str">
        <f aca="false">IF(O287=0,"No August moorage transaction",IF(O287&gt;1,"Duplicate August transactions",IF(ABS(Q287)&gt;0.005,"Charge variance","OK")))</f>
        <v>OK</v>
      </c>
      <c r="S287" s="22" t="str">
        <f aca="false">IF(R287="OK","","Billing completeness/reconciliation")</f>
        <v/>
      </c>
    </row>
    <row r="288" customFormat="false" ht="15" hidden="false" customHeight="false" outlineLevel="0" collapsed="false">
      <c r="A288" s="22" t="s">
        <v>7368</v>
      </c>
      <c r="B288" s="22" t="s">
        <v>159</v>
      </c>
      <c r="C288" s="22" t="s">
        <v>6562</v>
      </c>
      <c r="D288" s="22" t="n">
        <v>28</v>
      </c>
      <c r="E288" s="22" t="s">
        <v>6575</v>
      </c>
      <c r="F288" s="22" t="s">
        <v>6577</v>
      </c>
      <c r="G288" s="22" t="s">
        <v>4692</v>
      </c>
      <c r="H288" s="22" t="s">
        <v>4693</v>
      </c>
      <c r="I288" s="22" t="s">
        <v>962</v>
      </c>
      <c r="J288" s="22" t="n">
        <v>47.7</v>
      </c>
      <c r="K288" s="22" t="n">
        <f aca="false">ROUNDUP(J288,0)</f>
        <v>48</v>
      </c>
      <c r="L288" s="22" t="n">
        <f aca="false">MAX(D288,K288)</f>
        <v>48</v>
      </c>
      <c r="M288" s="25" t="n">
        <f aca="false">IF(E288="COVERED",'Controls &amp; Sources'!$B$5,'Controls &amp; Sources'!$B$6)</f>
        <v>10.4</v>
      </c>
      <c r="N288" s="25" t="n">
        <f aca="false">L288*M288</f>
        <v>499.2</v>
      </c>
      <c r="O288" s="22" t="n">
        <f aca="false">COUNTIFS('Billing Actual'!$E$2:$E$770,A288,'Billing Actual'!$B$2:$B$770,'Controls &amp; Sources'!$B$7)</f>
        <v>1</v>
      </c>
      <c r="P288" s="25" t="n">
        <f aca="false">SUMIFS('Billing Actual'!$M$2:$M$770,'Billing Actual'!$E$2:$E$770,A288,'Billing Actual'!$B$2:$B$770,'Controls &amp; Sources'!$B$7)</f>
        <v>499.2</v>
      </c>
      <c r="Q288" s="25" t="n">
        <f aca="false">P288-N288</f>
        <v>0</v>
      </c>
      <c r="R288" s="22" t="str">
        <f aca="false">IF(O288=0,"No August moorage transaction",IF(O288&gt;1,"Duplicate August transactions",IF(ABS(Q288)&gt;0.005,"Charge variance","OK")))</f>
        <v>OK</v>
      </c>
      <c r="S288" s="22" t="str">
        <f aca="false">IF(R288="OK","","Billing completeness/reconciliation")</f>
        <v/>
      </c>
    </row>
    <row r="289" customFormat="false" ht="15" hidden="false" customHeight="false" outlineLevel="0" collapsed="false">
      <c r="A289" s="22" t="s">
        <v>7370</v>
      </c>
      <c r="B289" s="22" t="s">
        <v>159</v>
      </c>
      <c r="C289" s="22" t="s">
        <v>6562</v>
      </c>
      <c r="D289" s="22" t="n">
        <v>28</v>
      </c>
      <c r="E289" s="22" t="s">
        <v>6575</v>
      </c>
      <c r="F289" s="22" t="s">
        <v>6577</v>
      </c>
      <c r="G289" s="22" t="s">
        <v>3786</v>
      </c>
      <c r="H289" s="22" t="s">
        <v>3787</v>
      </c>
      <c r="I289" s="22" t="s">
        <v>1190</v>
      </c>
      <c r="J289" s="22" t="n">
        <v>24.4</v>
      </c>
      <c r="K289" s="22" t="n">
        <f aca="false">ROUNDUP(J289,0)</f>
        <v>25</v>
      </c>
      <c r="L289" s="22" t="n">
        <f aca="false">MAX(D289,K289)</f>
        <v>28</v>
      </c>
      <c r="M289" s="25" t="n">
        <f aca="false">IF(E289="COVERED",'Controls &amp; Sources'!$B$5,'Controls &amp; Sources'!$B$6)</f>
        <v>10.4</v>
      </c>
      <c r="N289" s="25" t="n">
        <f aca="false">L289*M289</f>
        <v>291.2</v>
      </c>
      <c r="O289" s="22" t="n">
        <f aca="false">COUNTIFS('Billing Actual'!$E$2:$E$770,A289,'Billing Actual'!$B$2:$B$770,'Controls &amp; Sources'!$B$7)</f>
        <v>1</v>
      </c>
      <c r="P289" s="25" t="n">
        <f aca="false">SUMIFS('Billing Actual'!$M$2:$M$770,'Billing Actual'!$E$2:$E$770,A289,'Billing Actual'!$B$2:$B$770,'Controls &amp; Sources'!$B$7)</f>
        <v>291.2</v>
      </c>
      <c r="Q289" s="25" t="n">
        <f aca="false">P289-N289</f>
        <v>0</v>
      </c>
      <c r="R289" s="22" t="str">
        <f aca="false">IF(O289=0,"No August moorage transaction",IF(O289&gt;1,"Duplicate August transactions",IF(ABS(Q289)&gt;0.005,"Charge variance","OK")))</f>
        <v>OK</v>
      </c>
      <c r="S289" s="22" t="str">
        <f aca="false">IF(R289="OK","","Billing completeness/reconciliation")</f>
        <v/>
      </c>
    </row>
    <row r="290" customFormat="false" ht="15" hidden="false" customHeight="false" outlineLevel="0" collapsed="false">
      <c r="A290" s="22" t="s">
        <v>7372</v>
      </c>
      <c r="B290" s="22" t="s">
        <v>159</v>
      </c>
      <c r="C290" s="22" t="s">
        <v>6562</v>
      </c>
      <c r="D290" s="22" t="n">
        <v>24</v>
      </c>
      <c r="E290" s="22" t="s">
        <v>6575</v>
      </c>
      <c r="F290" s="22" t="s">
        <v>6577</v>
      </c>
      <c r="G290" s="22" t="s">
        <v>541</v>
      </c>
      <c r="H290" s="22" t="s">
        <v>542</v>
      </c>
      <c r="I290" s="22" t="s">
        <v>543</v>
      </c>
      <c r="J290" s="22" t="n">
        <v>31.2</v>
      </c>
      <c r="K290" s="22" t="n">
        <f aca="false">ROUNDUP(J290,0)</f>
        <v>32</v>
      </c>
      <c r="L290" s="22" t="n">
        <f aca="false">MAX(D290,K290)</f>
        <v>32</v>
      </c>
      <c r="M290" s="25" t="n">
        <f aca="false">IF(E290="COVERED",'Controls &amp; Sources'!$B$5,'Controls &amp; Sources'!$B$6)</f>
        <v>10.4</v>
      </c>
      <c r="N290" s="25" t="n">
        <f aca="false">L290*M290</f>
        <v>332.8</v>
      </c>
      <c r="O290" s="22" t="n">
        <f aca="false">COUNTIFS('Billing Actual'!$E$2:$E$770,A290,'Billing Actual'!$B$2:$B$770,'Controls &amp; Sources'!$B$7)</f>
        <v>1</v>
      </c>
      <c r="P290" s="25" t="n">
        <f aca="false">SUMIFS('Billing Actual'!$M$2:$M$770,'Billing Actual'!$E$2:$E$770,A290,'Billing Actual'!$B$2:$B$770,'Controls &amp; Sources'!$B$7)</f>
        <v>332.8</v>
      </c>
      <c r="Q290" s="25" t="n">
        <f aca="false">P290-N290</f>
        <v>0</v>
      </c>
      <c r="R290" s="22" t="str">
        <f aca="false">IF(O290=0,"No August moorage transaction",IF(O290&gt;1,"Duplicate August transactions",IF(ABS(Q290)&gt;0.005,"Charge variance","OK")))</f>
        <v>OK</v>
      </c>
      <c r="S290" s="22" t="str">
        <f aca="false">IF(R290="OK","","Billing completeness/reconciliation")</f>
        <v/>
      </c>
    </row>
    <row r="291" customFormat="false" ht="15" hidden="false" customHeight="false" outlineLevel="0" collapsed="false">
      <c r="A291" s="22" t="s">
        <v>7373</v>
      </c>
      <c r="B291" s="22" t="s">
        <v>159</v>
      </c>
      <c r="C291" s="22" t="s">
        <v>6562</v>
      </c>
      <c r="D291" s="22" t="n">
        <v>28</v>
      </c>
      <c r="E291" s="22" t="s">
        <v>6575</v>
      </c>
      <c r="F291" s="22" t="s">
        <v>6577</v>
      </c>
      <c r="G291" s="22" t="s">
        <v>3360</v>
      </c>
      <c r="H291" s="22" t="s">
        <v>3361</v>
      </c>
      <c r="I291" s="22" t="s">
        <v>184</v>
      </c>
      <c r="J291" s="22" t="n">
        <v>61.3</v>
      </c>
      <c r="K291" s="22" t="n">
        <f aca="false">ROUNDUP(J291,0)</f>
        <v>62</v>
      </c>
      <c r="L291" s="22" t="n">
        <f aca="false">MAX(D291,K291)</f>
        <v>62</v>
      </c>
      <c r="M291" s="25" t="n">
        <f aca="false">IF(E291="COVERED",'Controls &amp; Sources'!$B$5,'Controls &amp; Sources'!$B$6)</f>
        <v>10.4</v>
      </c>
      <c r="N291" s="25" t="n">
        <f aca="false">L291*M291</f>
        <v>644.8</v>
      </c>
      <c r="O291" s="22" t="n">
        <f aca="false">COUNTIFS('Billing Actual'!$E$2:$E$770,A291,'Billing Actual'!$B$2:$B$770,'Controls &amp; Sources'!$B$7)</f>
        <v>1</v>
      </c>
      <c r="P291" s="25" t="n">
        <f aca="false">SUMIFS('Billing Actual'!$M$2:$M$770,'Billing Actual'!$E$2:$E$770,A291,'Billing Actual'!$B$2:$B$770,'Controls &amp; Sources'!$B$7)</f>
        <v>644.8</v>
      </c>
      <c r="Q291" s="25" t="n">
        <f aca="false">P291-N291</f>
        <v>0</v>
      </c>
      <c r="R291" s="22" t="str">
        <f aca="false">IF(O291=0,"No August moorage transaction",IF(O291&gt;1,"Duplicate August transactions",IF(ABS(Q291)&gt;0.005,"Charge variance","OK")))</f>
        <v>OK</v>
      </c>
      <c r="S291" s="22" t="str">
        <f aca="false">IF(R291="OK","","Billing completeness/reconciliation")</f>
        <v/>
      </c>
    </row>
    <row r="292" customFormat="false" ht="15" hidden="false" customHeight="false" outlineLevel="0" collapsed="false">
      <c r="A292" s="22" t="s">
        <v>7375</v>
      </c>
      <c r="B292" s="22" t="s">
        <v>159</v>
      </c>
      <c r="C292" s="22" t="s">
        <v>6562</v>
      </c>
      <c r="D292" s="22" t="n">
        <v>32</v>
      </c>
      <c r="E292" s="22" t="s">
        <v>6575</v>
      </c>
      <c r="F292" s="22" t="s">
        <v>6577</v>
      </c>
      <c r="G292" s="22" t="s">
        <v>2812</v>
      </c>
      <c r="H292" s="22" t="s">
        <v>2813</v>
      </c>
      <c r="I292" s="22" t="s">
        <v>2814</v>
      </c>
      <c r="J292" s="22" t="n">
        <v>31.4</v>
      </c>
      <c r="K292" s="22" t="n">
        <f aca="false">ROUNDUP(J292,0)</f>
        <v>32</v>
      </c>
      <c r="L292" s="22" t="n">
        <f aca="false">MAX(D292,K292)</f>
        <v>32</v>
      </c>
      <c r="M292" s="25" t="n">
        <f aca="false">IF(E292="COVERED",'Controls &amp; Sources'!$B$5,'Controls &amp; Sources'!$B$6)</f>
        <v>10.4</v>
      </c>
      <c r="N292" s="25" t="n">
        <f aca="false">L292*M292</f>
        <v>332.8</v>
      </c>
      <c r="O292" s="22" t="n">
        <f aca="false">COUNTIFS('Billing Actual'!$E$2:$E$770,A292,'Billing Actual'!$B$2:$B$770,'Controls &amp; Sources'!$B$7)</f>
        <v>1</v>
      </c>
      <c r="P292" s="25" t="n">
        <f aca="false">SUMIFS('Billing Actual'!$M$2:$M$770,'Billing Actual'!$E$2:$E$770,A292,'Billing Actual'!$B$2:$B$770,'Controls &amp; Sources'!$B$7)</f>
        <v>332.8</v>
      </c>
      <c r="Q292" s="25" t="n">
        <f aca="false">P292-N292</f>
        <v>0</v>
      </c>
      <c r="R292" s="22" t="str">
        <f aca="false">IF(O292=0,"No August moorage transaction",IF(O292&gt;1,"Duplicate August transactions",IF(ABS(Q292)&gt;0.005,"Charge variance","OK")))</f>
        <v>OK</v>
      </c>
      <c r="S292" s="22" t="str">
        <f aca="false">IF(R292="OK","","Billing completeness/reconciliation")</f>
        <v/>
      </c>
    </row>
    <row r="293" customFormat="false" ht="15" hidden="false" customHeight="false" outlineLevel="0" collapsed="false">
      <c r="A293" s="22" t="s">
        <v>7376</v>
      </c>
      <c r="B293" s="22" t="s">
        <v>159</v>
      </c>
      <c r="C293" s="22" t="s">
        <v>6562</v>
      </c>
      <c r="D293" s="22" t="n">
        <v>28</v>
      </c>
      <c r="E293" s="22" t="s">
        <v>6575</v>
      </c>
      <c r="F293" s="22" t="s">
        <v>6577</v>
      </c>
      <c r="G293" s="22" t="s">
        <v>902</v>
      </c>
      <c r="H293" s="22" t="s">
        <v>903</v>
      </c>
      <c r="I293" s="22" t="s">
        <v>904</v>
      </c>
      <c r="J293" s="22" t="n">
        <v>27</v>
      </c>
      <c r="K293" s="22" t="n">
        <f aca="false">ROUNDUP(J293,0)</f>
        <v>27</v>
      </c>
      <c r="L293" s="22" t="n">
        <f aca="false">MAX(D293,K293)</f>
        <v>28</v>
      </c>
      <c r="M293" s="25" t="n">
        <f aca="false">IF(E293="COVERED",'Controls &amp; Sources'!$B$5,'Controls &amp; Sources'!$B$6)</f>
        <v>10.4</v>
      </c>
      <c r="N293" s="25" t="n">
        <f aca="false">L293*M293</f>
        <v>291.2</v>
      </c>
      <c r="O293" s="22" t="n">
        <f aca="false">COUNTIFS('Billing Actual'!$E$2:$E$770,A293,'Billing Actual'!$B$2:$B$770,'Controls &amp; Sources'!$B$7)</f>
        <v>1</v>
      </c>
      <c r="P293" s="25" t="n">
        <f aca="false">SUMIFS('Billing Actual'!$M$2:$M$770,'Billing Actual'!$E$2:$E$770,A293,'Billing Actual'!$B$2:$B$770,'Controls &amp; Sources'!$B$7)</f>
        <v>291.2</v>
      </c>
      <c r="Q293" s="25" t="n">
        <f aca="false">P293-N293</f>
        <v>0</v>
      </c>
      <c r="R293" s="22" t="str">
        <f aca="false">IF(O293=0,"No August moorage transaction",IF(O293&gt;1,"Duplicate August transactions",IF(ABS(Q293)&gt;0.005,"Charge variance","OK")))</f>
        <v>OK</v>
      </c>
      <c r="S293" s="22" t="str">
        <f aca="false">IF(R293="OK","","Billing completeness/reconciliation")</f>
        <v/>
      </c>
    </row>
    <row r="294" customFormat="false" ht="15" hidden="false" customHeight="false" outlineLevel="0" collapsed="false">
      <c r="A294" s="22" t="s">
        <v>7379</v>
      </c>
      <c r="B294" s="22" t="s">
        <v>159</v>
      </c>
      <c r="C294" s="22" t="s">
        <v>6562</v>
      </c>
      <c r="D294" s="22" t="n">
        <v>28</v>
      </c>
      <c r="E294" s="22" t="s">
        <v>6575</v>
      </c>
      <c r="F294" s="22" t="s">
        <v>6577</v>
      </c>
      <c r="G294" s="22" t="s">
        <v>1370</v>
      </c>
      <c r="H294" s="22" t="s">
        <v>1371</v>
      </c>
      <c r="I294" s="22" t="s">
        <v>1130</v>
      </c>
      <c r="J294" s="22" t="n">
        <v>41.3</v>
      </c>
      <c r="K294" s="22" t="n">
        <f aca="false">ROUNDUP(J294,0)</f>
        <v>42</v>
      </c>
      <c r="L294" s="22" t="n">
        <f aca="false">MAX(D294,K294)</f>
        <v>42</v>
      </c>
      <c r="M294" s="25" t="n">
        <f aca="false">IF(E294="COVERED",'Controls &amp; Sources'!$B$5,'Controls &amp; Sources'!$B$6)</f>
        <v>10.4</v>
      </c>
      <c r="N294" s="25" t="n">
        <f aca="false">L294*M294</f>
        <v>436.8</v>
      </c>
      <c r="O294" s="22" t="n">
        <f aca="false">COUNTIFS('Billing Actual'!$E$2:$E$770,A294,'Billing Actual'!$B$2:$B$770,'Controls &amp; Sources'!$B$7)</f>
        <v>1</v>
      </c>
      <c r="P294" s="25" t="n">
        <f aca="false">SUMIFS('Billing Actual'!$M$2:$M$770,'Billing Actual'!$E$2:$E$770,A294,'Billing Actual'!$B$2:$B$770,'Controls &amp; Sources'!$B$7)</f>
        <v>436.8</v>
      </c>
      <c r="Q294" s="25" t="n">
        <f aca="false">P294-N294</f>
        <v>0</v>
      </c>
      <c r="R294" s="22" t="str">
        <f aca="false">IF(O294=0,"No August moorage transaction",IF(O294&gt;1,"Duplicate August transactions",IF(ABS(Q294)&gt;0.005,"Charge variance","OK")))</f>
        <v>OK</v>
      </c>
      <c r="S294" s="22" t="str">
        <f aca="false">IF(R294="OK","","Billing completeness/reconciliation")</f>
        <v/>
      </c>
    </row>
    <row r="295" customFormat="false" ht="15" hidden="false" customHeight="false" outlineLevel="0" collapsed="false">
      <c r="A295" s="22" t="s">
        <v>7380</v>
      </c>
      <c r="B295" s="22" t="s">
        <v>159</v>
      </c>
      <c r="C295" s="22" t="s">
        <v>6562</v>
      </c>
      <c r="D295" s="22" t="n">
        <v>32</v>
      </c>
      <c r="E295" s="22" t="s">
        <v>6575</v>
      </c>
      <c r="F295" s="22" t="s">
        <v>6577</v>
      </c>
      <c r="G295" s="22" t="s">
        <v>1103</v>
      </c>
      <c r="H295" s="22" t="s">
        <v>1104</v>
      </c>
      <c r="I295" s="22" t="s">
        <v>1105</v>
      </c>
      <c r="J295" s="22" t="n">
        <v>30.5</v>
      </c>
      <c r="K295" s="22" t="n">
        <f aca="false">ROUNDUP(J295,0)</f>
        <v>31</v>
      </c>
      <c r="L295" s="22" t="n">
        <f aca="false">MAX(D295,K295)</f>
        <v>32</v>
      </c>
      <c r="M295" s="25" t="n">
        <f aca="false">IF(E295="COVERED",'Controls &amp; Sources'!$B$5,'Controls &amp; Sources'!$B$6)</f>
        <v>10.4</v>
      </c>
      <c r="N295" s="25" t="n">
        <f aca="false">L295*M295</f>
        <v>332.8</v>
      </c>
      <c r="O295" s="22" t="n">
        <f aca="false">COUNTIFS('Billing Actual'!$E$2:$E$770,A295,'Billing Actual'!$B$2:$B$770,'Controls &amp; Sources'!$B$7)</f>
        <v>1</v>
      </c>
      <c r="P295" s="25" t="n">
        <f aca="false">SUMIFS('Billing Actual'!$M$2:$M$770,'Billing Actual'!$E$2:$E$770,A295,'Billing Actual'!$B$2:$B$770,'Controls &amp; Sources'!$B$7)</f>
        <v>332.8</v>
      </c>
      <c r="Q295" s="25" t="n">
        <f aca="false">P295-N295</f>
        <v>0</v>
      </c>
      <c r="R295" s="22" t="str">
        <f aca="false">IF(O295=0,"No August moorage transaction",IF(O295&gt;1,"Duplicate August transactions",IF(ABS(Q295)&gt;0.005,"Charge variance","OK")))</f>
        <v>OK</v>
      </c>
      <c r="S295" s="22" t="str">
        <f aca="false">IF(R295="OK","","Billing completeness/reconciliation")</f>
        <v/>
      </c>
    </row>
    <row r="296" customFormat="false" ht="15" hidden="false" customHeight="false" outlineLevel="0" collapsed="false">
      <c r="A296" s="22" t="s">
        <v>7382</v>
      </c>
      <c r="B296" s="22" t="s">
        <v>159</v>
      </c>
      <c r="C296" s="22" t="s">
        <v>6562</v>
      </c>
      <c r="D296" s="22" t="n">
        <v>32</v>
      </c>
      <c r="E296" s="22" t="s">
        <v>6575</v>
      </c>
      <c r="F296" s="22" t="s">
        <v>6577</v>
      </c>
      <c r="G296" s="22" t="s">
        <v>1009</v>
      </c>
      <c r="H296" s="22" t="s">
        <v>1010</v>
      </c>
      <c r="I296" s="22" t="s">
        <v>1011</v>
      </c>
      <c r="J296" s="22" t="n">
        <v>32.2</v>
      </c>
      <c r="K296" s="22" t="n">
        <f aca="false">ROUNDUP(J296,0)</f>
        <v>33</v>
      </c>
      <c r="L296" s="22" t="n">
        <f aca="false">MAX(D296,K296)</f>
        <v>33</v>
      </c>
      <c r="M296" s="25" t="n">
        <f aca="false">IF(E296="COVERED",'Controls &amp; Sources'!$B$5,'Controls &amp; Sources'!$B$6)</f>
        <v>10.4</v>
      </c>
      <c r="N296" s="25" t="n">
        <f aca="false">L296*M296</f>
        <v>343.2</v>
      </c>
      <c r="O296" s="22" t="n">
        <f aca="false">COUNTIFS('Billing Actual'!$E$2:$E$770,A296,'Billing Actual'!$B$2:$B$770,'Controls &amp; Sources'!$B$7)</f>
        <v>1</v>
      </c>
      <c r="P296" s="25" t="n">
        <f aca="false">SUMIFS('Billing Actual'!$M$2:$M$770,'Billing Actual'!$E$2:$E$770,A296,'Billing Actual'!$B$2:$B$770,'Controls &amp; Sources'!$B$7)</f>
        <v>343.2</v>
      </c>
      <c r="Q296" s="25" t="n">
        <f aca="false">P296-N296</f>
        <v>0</v>
      </c>
      <c r="R296" s="22" t="str">
        <f aca="false">IF(O296=0,"No August moorage transaction",IF(O296&gt;1,"Duplicate August transactions",IF(ABS(Q296)&gt;0.005,"Charge variance","OK")))</f>
        <v>OK</v>
      </c>
      <c r="S296" s="22" t="str">
        <f aca="false">IF(R296="OK","","Billing completeness/reconciliation")</f>
        <v/>
      </c>
    </row>
    <row r="297" customFormat="false" ht="15" hidden="false" customHeight="false" outlineLevel="0" collapsed="false">
      <c r="A297" s="22" t="s">
        <v>7385</v>
      </c>
      <c r="B297" s="22" t="s">
        <v>159</v>
      </c>
      <c r="C297" s="22" t="s">
        <v>6562</v>
      </c>
      <c r="D297" s="22" t="n">
        <v>24</v>
      </c>
      <c r="E297" s="22" t="s">
        <v>6575</v>
      </c>
      <c r="F297" s="22" t="s">
        <v>6577</v>
      </c>
      <c r="G297" s="22" t="s">
        <v>2929</v>
      </c>
      <c r="H297" s="22" t="s">
        <v>2930</v>
      </c>
      <c r="I297" s="22" t="s">
        <v>1082</v>
      </c>
      <c r="J297" s="22" t="n">
        <v>45.8</v>
      </c>
      <c r="K297" s="22" t="n">
        <f aca="false">ROUNDUP(J297,0)</f>
        <v>46</v>
      </c>
      <c r="L297" s="22" t="n">
        <f aca="false">MAX(D297,K297)</f>
        <v>46</v>
      </c>
      <c r="M297" s="25" t="n">
        <f aca="false">IF(E297="COVERED",'Controls &amp; Sources'!$B$5,'Controls &amp; Sources'!$B$6)</f>
        <v>10.4</v>
      </c>
      <c r="N297" s="25" t="n">
        <f aca="false">L297*M297</f>
        <v>478.4</v>
      </c>
      <c r="O297" s="22" t="n">
        <f aca="false">COUNTIFS('Billing Actual'!$E$2:$E$770,A297,'Billing Actual'!$B$2:$B$770,'Controls &amp; Sources'!$B$7)</f>
        <v>1</v>
      </c>
      <c r="P297" s="25" t="n">
        <f aca="false">SUMIFS('Billing Actual'!$M$2:$M$770,'Billing Actual'!$E$2:$E$770,A297,'Billing Actual'!$B$2:$B$770,'Controls &amp; Sources'!$B$7)</f>
        <v>478.4</v>
      </c>
      <c r="Q297" s="25" t="n">
        <f aca="false">P297-N297</f>
        <v>0</v>
      </c>
      <c r="R297" s="22" t="str">
        <f aca="false">IF(O297=0,"No August moorage transaction",IF(O297&gt;1,"Duplicate August transactions",IF(ABS(Q297)&gt;0.005,"Charge variance","OK")))</f>
        <v>OK</v>
      </c>
      <c r="S297" s="22" t="str">
        <f aca="false">IF(R297="OK","","Billing completeness/reconciliation")</f>
        <v/>
      </c>
    </row>
    <row r="298" customFormat="false" ht="15" hidden="false" customHeight="false" outlineLevel="0" collapsed="false">
      <c r="A298" s="22" t="s">
        <v>7386</v>
      </c>
      <c r="B298" s="22" t="s">
        <v>159</v>
      </c>
      <c r="C298" s="22" t="s">
        <v>6562</v>
      </c>
      <c r="D298" s="22" t="n">
        <v>28</v>
      </c>
      <c r="E298" s="22" t="s">
        <v>6575</v>
      </c>
      <c r="F298" s="22" t="s">
        <v>6577</v>
      </c>
      <c r="G298" s="22" t="s">
        <v>5532</v>
      </c>
      <c r="H298" s="22" t="s">
        <v>5533</v>
      </c>
      <c r="I298" s="22" t="s">
        <v>1896</v>
      </c>
      <c r="J298" s="22" t="n">
        <v>18.3</v>
      </c>
      <c r="K298" s="22" t="n">
        <f aca="false">ROUNDUP(J298,0)</f>
        <v>19</v>
      </c>
      <c r="L298" s="22" t="n">
        <f aca="false">MAX(D298,K298)</f>
        <v>28</v>
      </c>
      <c r="M298" s="25" t="n">
        <f aca="false">IF(E298="COVERED",'Controls &amp; Sources'!$B$5,'Controls &amp; Sources'!$B$6)</f>
        <v>10.4</v>
      </c>
      <c r="N298" s="25" t="n">
        <f aca="false">L298*M298</f>
        <v>291.2</v>
      </c>
      <c r="O298" s="22" t="n">
        <f aca="false">COUNTIFS('Billing Actual'!$E$2:$E$770,A298,'Billing Actual'!$B$2:$B$770,'Controls &amp; Sources'!$B$7)</f>
        <v>1</v>
      </c>
      <c r="P298" s="25" t="n">
        <f aca="false">SUMIFS('Billing Actual'!$M$2:$M$770,'Billing Actual'!$E$2:$E$770,A298,'Billing Actual'!$B$2:$B$770,'Controls &amp; Sources'!$B$7)</f>
        <v>291.2</v>
      </c>
      <c r="Q298" s="25" t="n">
        <f aca="false">P298-N298</f>
        <v>0</v>
      </c>
      <c r="R298" s="22" t="str">
        <f aca="false">IF(O298=0,"No August moorage transaction",IF(O298&gt;1,"Duplicate August transactions",IF(ABS(Q298)&gt;0.005,"Charge variance","OK")))</f>
        <v>OK</v>
      </c>
      <c r="S298" s="22" t="str">
        <f aca="false">IF(R298="OK","","Billing completeness/reconciliation")</f>
        <v/>
      </c>
    </row>
    <row r="299" customFormat="false" ht="15" hidden="false" customHeight="false" outlineLevel="0" collapsed="false">
      <c r="A299" s="22" t="s">
        <v>7388</v>
      </c>
      <c r="B299" s="22" t="s">
        <v>159</v>
      </c>
      <c r="C299" s="22" t="s">
        <v>6562</v>
      </c>
      <c r="D299" s="22" t="n">
        <v>24</v>
      </c>
      <c r="E299" s="22" t="s">
        <v>6575</v>
      </c>
      <c r="F299" s="22" t="s">
        <v>6577</v>
      </c>
      <c r="G299" s="22" t="s">
        <v>1208</v>
      </c>
      <c r="H299" s="22" t="s">
        <v>1209</v>
      </c>
      <c r="I299" s="22" t="s">
        <v>1210</v>
      </c>
      <c r="J299" s="22" t="n">
        <v>32</v>
      </c>
      <c r="K299" s="22" t="n">
        <f aca="false">ROUNDUP(J299,0)</f>
        <v>32</v>
      </c>
      <c r="L299" s="22" t="n">
        <f aca="false">MAX(D299,K299)</f>
        <v>32</v>
      </c>
      <c r="M299" s="25" t="n">
        <f aca="false">IF(E299="COVERED",'Controls &amp; Sources'!$B$5,'Controls &amp; Sources'!$B$6)</f>
        <v>10.4</v>
      </c>
      <c r="N299" s="25" t="n">
        <f aca="false">L299*M299</f>
        <v>332.8</v>
      </c>
      <c r="O299" s="22" t="n">
        <f aca="false">COUNTIFS('Billing Actual'!$E$2:$E$770,A299,'Billing Actual'!$B$2:$B$770,'Controls &amp; Sources'!$B$7)</f>
        <v>1</v>
      </c>
      <c r="P299" s="25" t="n">
        <f aca="false">SUMIFS('Billing Actual'!$M$2:$M$770,'Billing Actual'!$E$2:$E$770,A299,'Billing Actual'!$B$2:$B$770,'Controls &amp; Sources'!$B$7)</f>
        <v>332.8</v>
      </c>
      <c r="Q299" s="25" t="n">
        <f aca="false">P299-N299</f>
        <v>0</v>
      </c>
      <c r="R299" s="22" t="str">
        <f aca="false">IF(O299=0,"No August moorage transaction",IF(O299&gt;1,"Duplicate August transactions",IF(ABS(Q299)&gt;0.005,"Charge variance","OK")))</f>
        <v>OK</v>
      </c>
      <c r="S299" s="22" t="str">
        <f aca="false">IF(R299="OK","","Billing completeness/reconciliation")</f>
        <v/>
      </c>
    </row>
    <row r="300" customFormat="false" ht="15" hidden="false" customHeight="false" outlineLevel="0" collapsed="false">
      <c r="A300" s="22" t="s">
        <v>7390</v>
      </c>
      <c r="B300" s="22" t="s">
        <v>159</v>
      </c>
      <c r="C300" s="22" t="s">
        <v>6562</v>
      </c>
      <c r="D300" s="22" t="n">
        <v>24</v>
      </c>
      <c r="E300" s="22" t="s">
        <v>6575</v>
      </c>
      <c r="F300" s="22" t="s">
        <v>6577</v>
      </c>
      <c r="G300" s="22" t="s">
        <v>5867</v>
      </c>
      <c r="H300" s="22" t="s">
        <v>5868</v>
      </c>
      <c r="I300" s="22" t="s">
        <v>672</v>
      </c>
      <c r="J300" s="22" t="n">
        <v>41.8</v>
      </c>
      <c r="K300" s="22" t="n">
        <f aca="false">ROUNDUP(J300,0)</f>
        <v>42</v>
      </c>
      <c r="L300" s="22" t="n">
        <f aca="false">MAX(D300,K300)</f>
        <v>42</v>
      </c>
      <c r="M300" s="25" t="n">
        <f aca="false">IF(E300="COVERED",'Controls &amp; Sources'!$B$5,'Controls &amp; Sources'!$B$6)</f>
        <v>10.4</v>
      </c>
      <c r="N300" s="25" t="n">
        <f aca="false">L300*M300</f>
        <v>436.8</v>
      </c>
      <c r="O300" s="22" t="n">
        <f aca="false">COUNTIFS('Billing Actual'!$E$2:$E$770,A300,'Billing Actual'!$B$2:$B$770,'Controls &amp; Sources'!$B$7)</f>
        <v>1</v>
      </c>
      <c r="P300" s="25" t="n">
        <f aca="false">SUMIFS('Billing Actual'!$M$2:$M$770,'Billing Actual'!$E$2:$E$770,A300,'Billing Actual'!$B$2:$B$770,'Controls &amp; Sources'!$B$7)</f>
        <v>436.8</v>
      </c>
      <c r="Q300" s="25" t="n">
        <f aca="false">P300-N300</f>
        <v>0</v>
      </c>
      <c r="R300" s="22" t="str">
        <f aca="false">IF(O300=0,"No August moorage transaction",IF(O300&gt;1,"Duplicate August transactions",IF(ABS(Q300)&gt;0.005,"Charge variance","OK")))</f>
        <v>OK</v>
      </c>
      <c r="S300" s="22" t="str">
        <f aca="false">IF(R300="OK","","Billing completeness/reconciliation")</f>
        <v/>
      </c>
    </row>
    <row r="301" customFormat="false" ht="15" hidden="false" customHeight="false" outlineLevel="0" collapsed="false">
      <c r="A301" s="22" t="s">
        <v>7393</v>
      </c>
      <c r="B301" s="22" t="s">
        <v>159</v>
      </c>
      <c r="C301" s="22" t="s">
        <v>6562</v>
      </c>
      <c r="D301" s="22" t="n">
        <v>36</v>
      </c>
      <c r="E301" s="22" t="s">
        <v>6575</v>
      </c>
      <c r="F301" s="22" t="s">
        <v>6577</v>
      </c>
      <c r="G301" s="22" t="s">
        <v>4026</v>
      </c>
      <c r="H301" s="22" t="s">
        <v>4027</v>
      </c>
      <c r="I301" s="22" t="s">
        <v>3590</v>
      </c>
      <c r="J301" s="22" t="n">
        <v>20.6</v>
      </c>
      <c r="K301" s="22" t="n">
        <f aca="false">ROUNDUP(J301,0)</f>
        <v>21</v>
      </c>
      <c r="L301" s="22" t="n">
        <f aca="false">MAX(D301,K301)</f>
        <v>36</v>
      </c>
      <c r="M301" s="25" t="n">
        <f aca="false">IF(E301="COVERED",'Controls &amp; Sources'!$B$5,'Controls &amp; Sources'!$B$6)</f>
        <v>10.4</v>
      </c>
      <c r="N301" s="25" t="n">
        <f aca="false">L301*M301</f>
        <v>374.4</v>
      </c>
      <c r="O301" s="22" t="n">
        <f aca="false">COUNTIFS('Billing Actual'!$E$2:$E$770,A301,'Billing Actual'!$B$2:$B$770,'Controls &amp; Sources'!$B$7)</f>
        <v>1</v>
      </c>
      <c r="P301" s="25" t="n">
        <f aca="false">SUMIFS('Billing Actual'!$M$2:$M$770,'Billing Actual'!$E$2:$E$770,A301,'Billing Actual'!$B$2:$B$770,'Controls &amp; Sources'!$B$7)</f>
        <v>374.4</v>
      </c>
      <c r="Q301" s="25" t="n">
        <f aca="false">P301-N301</f>
        <v>0</v>
      </c>
      <c r="R301" s="22" t="str">
        <f aca="false">IF(O301=0,"No August moorage transaction",IF(O301&gt;1,"Duplicate August transactions",IF(ABS(Q301)&gt;0.005,"Charge variance","OK")))</f>
        <v>OK</v>
      </c>
      <c r="S301" s="22" t="str">
        <f aca="false">IF(R301="OK","","Billing completeness/reconciliation")</f>
        <v/>
      </c>
    </row>
    <row r="302" customFormat="false" ht="15" hidden="false" customHeight="false" outlineLevel="0" collapsed="false">
      <c r="A302" s="22" t="s">
        <v>7395</v>
      </c>
      <c r="B302" s="22" t="s">
        <v>159</v>
      </c>
      <c r="C302" s="22" t="s">
        <v>6562</v>
      </c>
      <c r="D302" s="22" t="n">
        <v>28</v>
      </c>
      <c r="E302" s="22" t="s">
        <v>6575</v>
      </c>
      <c r="F302" s="22" t="s">
        <v>6577</v>
      </c>
      <c r="G302" s="22" t="s">
        <v>5365</v>
      </c>
      <c r="H302" s="22" t="s">
        <v>5366</v>
      </c>
      <c r="I302" s="22" t="s">
        <v>980</v>
      </c>
      <c r="J302" s="22" t="n">
        <v>38.6</v>
      </c>
      <c r="K302" s="22" t="n">
        <f aca="false">ROUNDUP(J302,0)</f>
        <v>39</v>
      </c>
      <c r="L302" s="22" t="n">
        <f aca="false">MAX(D302,K302)</f>
        <v>39</v>
      </c>
      <c r="M302" s="25" t="n">
        <f aca="false">IF(E302="COVERED",'Controls &amp; Sources'!$B$5,'Controls &amp; Sources'!$B$6)</f>
        <v>10.4</v>
      </c>
      <c r="N302" s="25" t="n">
        <f aca="false">L302*M302</f>
        <v>405.6</v>
      </c>
      <c r="O302" s="22" t="n">
        <f aca="false">COUNTIFS('Billing Actual'!$E$2:$E$770,A302,'Billing Actual'!$B$2:$B$770,'Controls &amp; Sources'!$B$7)</f>
        <v>1</v>
      </c>
      <c r="P302" s="25" t="n">
        <f aca="false">SUMIFS('Billing Actual'!$M$2:$M$770,'Billing Actual'!$E$2:$E$770,A302,'Billing Actual'!$B$2:$B$770,'Controls &amp; Sources'!$B$7)</f>
        <v>405.6</v>
      </c>
      <c r="Q302" s="25" t="n">
        <f aca="false">P302-N302</f>
        <v>0</v>
      </c>
      <c r="R302" s="22" t="str">
        <f aca="false">IF(O302=0,"No August moorage transaction",IF(O302&gt;1,"Duplicate August transactions",IF(ABS(Q302)&gt;0.005,"Charge variance","OK")))</f>
        <v>OK</v>
      </c>
      <c r="S302" s="22" t="str">
        <f aca="false">IF(R302="OK","","Billing completeness/reconciliation")</f>
        <v/>
      </c>
    </row>
    <row r="303" customFormat="false" ht="15" hidden="false" customHeight="false" outlineLevel="0" collapsed="false">
      <c r="A303" s="22" t="s">
        <v>7397</v>
      </c>
      <c r="B303" s="22" t="s">
        <v>159</v>
      </c>
      <c r="C303" s="22" t="s">
        <v>6562</v>
      </c>
      <c r="D303" s="22" t="n">
        <v>32</v>
      </c>
      <c r="E303" s="22" t="s">
        <v>6575</v>
      </c>
      <c r="F303" s="22" t="s">
        <v>6577</v>
      </c>
      <c r="G303" s="22" t="s">
        <v>2106</v>
      </c>
      <c r="H303" s="22" t="s">
        <v>2107</v>
      </c>
      <c r="I303" s="22" t="s">
        <v>2108</v>
      </c>
      <c r="J303" s="22" t="n">
        <v>46.6</v>
      </c>
      <c r="K303" s="22" t="n">
        <f aca="false">ROUNDUP(J303,0)</f>
        <v>47</v>
      </c>
      <c r="L303" s="22" t="n">
        <f aca="false">MAX(D303,K303)</f>
        <v>47</v>
      </c>
      <c r="M303" s="25" t="n">
        <f aca="false">IF(E303="COVERED",'Controls &amp; Sources'!$B$5,'Controls &amp; Sources'!$B$6)</f>
        <v>10.4</v>
      </c>
      <c r="N303" s="25" t="n">
        <f aca="false">L303*M303</f>
        <v>488.8</v>
      </c>
      <c r="O303" s="22" t="n">
        <f aca="false">COUNTIFS('Billing Actual'!$E$2:$E$770,A303,'Billing Actual'!$B$2:$B$770,'Controls &amp; Sources'!$B$7)</f>
        <v>1</v>
      </c>
      <c r="P303" s="25" t="n">
        <f aca="false">SUMIFS('Billing Actual'!$M$2:$M$770,'Billing Actual'!$E$2:$E$770,A303,'Billing Actual'!$B$2:$B$770,'Controls &amp; Sources'!$B$7)</f>
        <v>488.8</v>
      </c>
      <c r="Q303" s="25" t="n">
        <f aca="false">P303-N303</f>
        <v>0</v>
      </c>
      <c r="R303" s="22" t="str">
        <f aca="false">IF(O303=0,"No August moorage transaction",IF(O303&gt;1,"Duplicate August transactions",IF(ABS(Q303)&gt;0.005,"Charge variance","OK")))</f>
        <v>OK</v>
      </c>
      <c r="S303" s="22" t="str">
        <f aca="false">IF(R303="OK","","Billing completeness/reconciliation")</f>
        <v/>
      </c>
    </row>
    <row r="304" customFormat="false" ht="15" hidden="false" customHeight="false" outlineLevel="0" collapsed="false">
      <c r="A304" s="22" t="s">
        <v>7399</v>
      </c>
      <c r="B304" s="22" t="s">
        <v>159</v>
      </c>
      <c r="C304" s="22" t="s">
        <v>6562</v>
      </c>
      <c r="D304" s="22" t="n">
        <v>24</v>
      </c>
      <c r="E304" s="22" t="s">
        <v>6575</v>
      </c>
      <c r="F304" s="22" t="s">
        <v>6577</v>
      </c>
      <c r="G304" s="22" t="s">
        <v>5186</v>
      </c>
      <c r="H304" s="22" t="s">
        <v>5187</v>
      </c>
      <c r="I304" s="22" t="s">
        <v>778</v>
      </c>
      <c r="J304" s="22" t="n">
        <v>56.6</v>
      </c>
      <c r="K304" s="22" t="n">
        <f aca="false">ROUNDUP(J304,0)</f>
        <v>57</v>
      </c>
      <c r="L304" s="22" t="n">
        <f aca="false">MAX(D304,K304)</f>
        <v>57</v>
      </c>
      <c r="M304" s="25" t="n">
        <f aca="false">IF(E304="COVERED",'Controls &amp; Sources'!$B$5,'Controls &amp; Sources'!$B$6)</f>
        <v>10.4</v>
      </c>
      <c r="N304" s="25" t="n">
        <f aca="false">L304*M304</f>
        <v>592.8</v>
      </c>
      <c r="O304" s="22" t="n">
        <f aca="false">COUNTIFS('Billing Actual'!$E$2:$E$770,A304,'Billing Actual'!$B$2:$B$770,'Controls &amp; Sources'!$B$7)</f>
        <v>1</v>
      </c>
      <c r="P304" s="25" t="n">
        <f aca="false">SUMIFS('Billing Actual'!$M$2:$M$770,'Billing Actual'!$E$2:$E$770,A304,'Billing Actual'!$B$2:$B$770,'Controls &amp; Sources'!$B$7)</f>
        <v>592.8</v>
      </c>
      <c r="Q304" s="25" t="n">
        <f aca="false">P304-N304</f>
        <v>0</v>
      </c>
      <c r="R304" s="22" t="str">
        <f aca="false">IF(O304=0,"No August moorage transaction",IF(O304&gt;1,"Duplicate August transactions",IF(ABS(Q304)&gt;0.005,"Charge variance","OK")))</f>
        <v>OK</v>
      </c>
      <c r="S304" s="22" t="str">
        <f aca="false">IF(R304="OK","","Billing completeness/reconciliation")</f>
        <v/>
      </c>
    </row>
    <row r="305" customFormat="false" ht="15" hidden="false" customHeight="false" outlineLevel="0" collapsed="false">
      <c r="A305" s="22" t="s">
        <v>7403</v>
      </c>
      <c r="B305" s="22" t="s">
        <v>159</v>
      </c>
      <c r="C305" s="22" t="s">
        <v>6562</v>
      </c>
      <c r="D305" s="22" t="n">
        <v>24</v>
      </c>
      <c r="E305" s="22" t="s">
        <v>6575</v>
      </c>
      <c r="F305" s="22" t="s">
        <v>6577</v>
      </c>
      <c r="G305" s="22" t="s">
        <v>3329</v>
      </c>
      <c r="H305" s="22" t="s">
        <v>3330</v>
      </c>
      <c r="I305" s="22" t="s">
        <v>1996</v>
      </c>
      <c r="J305" s="22" t="n">
        <v>61.1</v>
      </c>
      <c r="K305" s="22" t="n">
        <f aca="false">ROUNDUP(J305,0)</f>
        <v>62</v>
      </c>
      <c r="L305" s="22" t="n">
        <f aca="false">MAX(D305,K305)</f>
        <v>62</v>
      </c>
      <c r="M305" s="25" t="n">
        <f aca="false">IF(E305="COVERED",'Controls &amp; Sources'!$B$5,'Controls &amp; Sources'!$B$6)</f>
        <v>10.4</v>
      </c>
      <c r="N305" s="25" t="n">
        <f aca="false">L305*M305</f>
        <v>644.8</v>
      </c>
      <c r="O305" s="22" t="n">
        <f aca="false">COUNTIFS('Billing Actual'!$E$2:$E$770,A305,'Billing Actual'!$B$2:$B$770,'Controls &amp; Sources'!$B$7)</f>
        <v>1</v>
      </c>
      <c r="P305" s="25" t="n">
        <f aca="false">SUMIFS('Billing Actual'!$M$2:$M$770,'Billing Actual'!$E$2:$E$770,A305,'Billing Actual'!$B$2:$B$770,'Controls &amp; Sources'!$B$7)</f>
        <v>644.8</v>
      </c>
      <c r="Q305" s="25" t="n">
        <f aca="false">P305-N305</f>
        <v>0</v>
      </c>
      <c r="R305" s="22" t="str">
        <f aca="false">IF(O305=0,"No August moorage transaction",IF(O305&gt;1,"Duplicate August transactions",IF(ABS(Q305)&gt;0.005,"Charge variance","OK")))</f>
        <v>OK</v>
      </c>
      <c r="S305" s="22" t="str">
        <f aca="false">IF(R305="OK","","Billing completeness/reconciliation")</f>
        <v/>
      </c>
    </row>
    <row r="306" customFormat="false" ht="15" hidden="false" customHeight="false" outlineLevel="0" collapsed="false">
      <c r="A306" s="22" t="s">
        <v>7405</v>
      </c>
      <c r="B306" s="22" t="s">
        <v>159</v>
      </c>
      <c r="C306" s="22" t="s">
        <v>6562</v>
      </c>
      <c r="D306" s="22" t="n">
        <v>28</v>
      </c>
      <c r="E306" s="22" t="s">
        <v>6575</v>
      </c>
      <c r="F306" s="22" t="s">
        <v>6577</v>
      </c>
      <c r="G306" s="22" t="s">
        <v>5391</v>
      </c>
      <c r="H306" s="22" t="s">
        <v>5392</v>
      </c>
      <c r="I306" s="22" t="s">
        <v>3072</v>
      </c>
      <c r="J306" s="22" t="n">
        <v>40</v>
      </c>
      <c r="K306" s="22" t="n">
        <f aca="false">ROUNDUP(J306,0)</f>
        <v>40</v>
      </c>
      <c r="L306" s="22" t="n">
        <f aca="false">MAX(D306,K306)</f>
        <v>40</v>
      </c>
      <c r="M306" s="25" t="n">
        <f aca="false">IF(E306="COVERED",'Controls &amp; Sources'!$B$5,'Controls &amp; Sources'!$B$6)</f>
        <v>10.4</v>
      </c>
      <c r="N306" s="25" t="n">
        <f aca="false">L306*M306</f>
        <v>416</v>
      </c>
      <c r="O306" s="22" t="n">
        <f aca="false">COUNTIFS('Billing Actual'!$E$2:$E$770,A306,'Billing Actual'!$B$2:$B$770,'Controls &amp; Sources'!$B$7)</f>
        <v>1</v>
      </c>
      <c r="P306" s="25" t="n">
        <f aca="false">SUMIFS('Billing Actual'!$M$2:$M$770,'Billing Actual'!$E$2:$E$770,A306,'Billing Actual'!$B$2:$B$770,'Controls &amp; Sources'!$B$7)</f>
        <v>416</v>
      </c>
      <c r="Q306" s="25" t="n">
        <f aca="false">P306-N306</f>
        <v>0</v>
      </c>
      <c r="R306" s="22" t="str">
        <f aca="false">IF(O306=0,"No August moorage transaction",IF(O306&gt;1,"Duplicate August transactions",IF(ABS(Q306)&gt;0.005,"Charge variance","OK")))</f>
        <v>OK</v>
      </c>
      <c r="S306" s="22" t="str">
        <f aca="false">IF(R306="OK","","Billing completeness/reconciliation")</f>
        <v/>
      </c>
    </row>
    <row r="307" customFormat="false" ht="15" hidden="false" customHeight="false" outlineLevel="0" collapsed="false">
      <c r="A307" s="22" t="s">
        <v>7406</v>
      </c>
      <c r="B307" s="22" t="s">
        <v>159</v>
      </c>
      <c r="C307" s="22" t="s">
        <v>6562</v>
      </c>
      <c r="D307" s="22" t="n">
        <v>36</v>
      </c>
      <c r="E307" s="22" t="s">
        <v>6575</v>
      </c>
      <c r="F307" s="22" t="s">
        <v>6577</v>
      </c>
      <c r="G307" s="22" t="s">
        <v>5724</v>
      </c>
      <c r="H307" s="22" t="s">
        <v>5725</v>
      </c>
      <c r="I307" s="22" t="s">
        <v>474</v>
      </c>
      <c r="J307" s="22" t="n">
        <v>32.7</v>
      </c>
      <c r="K307" s="22" t="n">
        <f aca="false">ROUNDUP(J307,0)</f>
        <v>33</v>
      </c>
      <c r="L307" s="22" t="n">
        <f aca="false">MAX(D307,K307)</f>
        <v>36</v>
      </c>
      <c r="M307" s="25" t="n">
        <f aca="false">IF(E307="COVERED",'Controls &amp; Sources'!$B$5,'Controls &amp; Sources'!$B$6)</f>
        <v>10.4</v>
      </c>
      <c r="N307" s="25" t="n">
        <f aca="false">L307*M307</f>
        <v>374.4</v>
      </c>
      <c r="O307" s="22" t="n">
        <f aca="false">COUNTIFS('Billing Actual'!$E$2:$E$770,A307,'Billing Actual'!$B$2:$B$770,'Controls &amp; Sources'!$B$7)</f>
        <v>1</v>
      </c>
      <c r="P307" s="25" t="n">
        <f aca="false">SUMIFS('Billing Actual'!$M$2:$M$770,'Billing Actual'!$E$2:$E$770,A307,'Billing Actual'!$B$2:$B$770,'Controls &amp; Sources'!$B$7)</f>
        <v>374.4</v>
      </c>
      <c r="Q307" s="25" t="n">
        <f aca="false">P307-N307</f>
        <v>0</v>
      </c>
      <c r="R307" s="22" t="str">
        <f aca="false">IF(O307=0,"No August moorage transaction",IF(O307&gt;1,"Duplicate August transactions",IF(ABS(Q307)&gt;0.005,"Charge variance","OK")))</f>
        <v>OK</v>
      </c>
      <c r="S307" s="22" t="str">
        <f aca="false">IF(R307="OK","","Billing completeness/reconciliation")</f>
        <v/>
      </c>
    </row>
    <row r="308" customFormat="false" ht="15" hidden="false" customHeight="false" outlineLevel="0" collapsed="false">
      <c r="A308" s="22" t="s">
        <v>7408</v>
      </c>
      <c r="B308" s="22" t="s">
        <v>159</v>
      </c>
      <c r="C308" s="22" t="s">
        <v>6562</v>
      </c>
      <c r="D308" s="22" t="n">
        <v>24</v>
      </c>
      <c r="E308" s="22" t="s">
        <v>6575</v>
      </c>
      <c r="F308" s="22" t="s">
        <v>6577</v>
      </c>
      <c r="G308" s="22" t="s">
        <v>3023</v>
      </c>
      <c r="H308" s="22" t="s">
        <v>3024</v>
      </c>
      <c r="I308" s="22" t="s">
        <v>632</v>
      </c>
      <c r="J308" s="22" t="n">
        <v>38.4</v>
      </c>
      <c r="K308" s="22" t="n">
        <f aca="false">ROUNDUP(J308,0)</f>
        <v>39</v>
      </c>
      <c r="L308" s="22" t="n">
        <f aca="false">MAX(D308,K308)</f>
        <v>39</v>
      </c>
      <c r="M308" s="25" t="n">
        <f aca="false">IF(E308="COVERED",'Controls &amp; Sources'!$B$5,'Controls &amp; Sources'!$B$6)</f>
        <v>10.4</v>
      </c>
      <c r="N308" s="25" t="n">
        <f aca="false">L308*M308</f>
        <v>405.6</v>
      </c>
      <c r="O308" s="22" t="n">
        <f aca="false">COUNTIFS('Billing Actual'!$E$2:$E$770,A308,'Billing Actual'!$B$2:$B$770,'Controls &amp; Sources'!$B$7)</f>
        <v>1</v>
      </c>
      <c r="P308" s="25" t="n">
        <f aca="false">SUMIFS('Billing Actual'!$M$2:$M$770,'Billing Actual'!$E$2:$E$770,A308,'Billing Actual'!$B$2:$B$770,'Controls &amp; Sources'!$B$7)</f>
        <v>405.6</v>
      </c>
      <c r="Q308" s="25" t="n">
        <f aca="false">P308-N308</f>
        <v>0</v>
      </c>
      <c r="R308" s="22" t="str">
        <f aca="false">IF(O308=0,"No August moorage transaction",IF(O308&gt;1,"Duplicate August transactions",IF(ABS(Q308)&gt;0.005,"Charge variance","OK")))</f>
        <v>OK</v>
      </c>
      <c r="S308" s="22" t="str">
        <f aca="false">IF(R308="OK","","Billing completeness/reconciliation")</f>
        <v/>
      </c>
    </row>
    <row r="309" customFormat="false" ht="15" hidden="false" customHeight="false" outlineLevel="0" collapsed="false">
      <c r="A309" s="22" t="s">
        <v>7410</v>
      </c>
      <c r="B309" s="22" t="s">
        <v>159</v>
      </c>
      <c r="C309" s="22" t="s">
        <v>6562</v>
      </c>
      <c r="D309" s="22" t="n">
        <v>32</v>
      </c>
      <c r="E309" s="22" t="s">
        <v>6575</v>
      </c>
      <c r="F309" s="22" t="s">
        <v>6577</v>
      </c>
      <c r="G309" s="22" t="s">
        <v>3201</v>
      </c>
      <c r="H309" s="22" t="s">
        <v>3202</v>
      </c>
      <c r="I309" s="22" t="s">
        <v>269</v>
      </c>
      <c r="J309" s="22" t="n">
        <v>27.2</v>
      </c>
      <c r="K309" s="22" t="n">
        <f aca="false">ROUNDUP(J309,0)</f>
        <v>28</v>
      </c>
      <c r="L309" s="22" t="n">
        <f aca="false">MAX(D309,K309)</f>
        <v>32</v>
      </c>
      <c r="M309" s="25" t="n">
        <f aca="false">IF(E309="COVERED",'Controls &amp; Sources'!$B$5,'Controls &amp; Sources'!$B$6)</f>
        <v>10.4</v>
      </c>
      <c r="N309" s="25" t="n">
        <f aca="false">L309*M309</f>
        <v>332.8</v>
      </c>
      <c r="O309" s="22" t="n">
        <f aca="false">COUNTIFS('Billing Actual'!$E$2:$E$770,A309,'Billing Actual'!$B$2:$B$770,'Controls &amp; Sources'!$B$7)</f>
        <v>1</v>
      </c>
      <c r="P309" s="25" t="n">
        <f aca="false">SUMIFS('Billing Actual'!$M$2:$M$770,'Billing Actual'!$E$2:$E$770,A309,'Billing Actual'!$B$2:$B$770,'Controls &amp; Sources'!$B$7)</f>
        <v>332.8</v>
      </c>
      <c r="Q309" s="25" t="n">
        <f aca="false">P309-N309</f>
        <v>0</v>
      </c>
      <c r="R309" s="22" t="str">
        <f aca="false">IF(O309=0,"No August moorage transaction",IF(O309&gt;1,"Duplicate August transactions",IF(ABS(Q309)&gt;0.005,"Charge variance","OK")))</f>
        <v>OK</v>
      </c>
      <c r="S309" s="22" t="str">
        <f aca="false">IF(R309="OK","","Billing completeness/reconciliation")</f>
        <v/>
      </c>
    </row>
    <row r="310" customFormat="false" ht="15" hidden="false" customHeight="false" outlineLevel="0" collapsed="false">
      <c r="A310" s="22" t="s">
        <v>7412</v>
      </c>
      <c r="B310" s="22" t="s">
        <v>159</v>
      </c>
      <c r="C310" s="22" t="s">
        <v>6562</v>
      </c>
      <c r="D310" s="22" t="n">
        <v>28</v>
      </c>
      <c r="E310" s="22" t="s">
        <v>6575</v>
      </c>
      <c r="F310" s="22" t="s">
        <v>6577</v>
      </c>
      <c r="G310" s="22" t="s">
        <v>1213</v>
      </c>
      <c r="H310" s="22" t="s">
        <v>1214</v>
      </c>
      <c r="I310" s="22" t="s">
        <v>266</v>
      </c>
      <c r="J310" s="22" t="n">
        <v>25.8</v>
      </c>
      <c r="K310" s="22" t="n">
        <f aca="false">ROUNDUP(J310,0)</f>
        <v>26</v>
      </c>
      <c r="L310" s="22" t="n">
        <f aca="false">MAX(D310,K310)</f>
        <v>28</v>
      </c>
      <c r="M310" s="25" t="n">
        <f aca="false">IF(E310="COVERED",'Controls &amp; Sources'!$B$5,'Controls &amp; Sources'!$B$6)</f>
        <v>10.4</v>
      </c>
      <c r="N310" s="25" t="n">
        <f aca="false">L310*M310</f>
        <v>291.2</v>
      </c>
      <c r="O310" s="22" t="n">
        <f aca="false">COUNTIFS('Billing Actual'!$E$2:$E$770,A310,'Billing Actual'!$B$2:$B$770,'Controls &amp; Sources'!$B$7)</f>
        <v>1</v>
      </c>
      <c r="P310" s="25" t="n">
        <f aca="false">SUMIFS('Billing Actual'!$M$2:$M$770,'Billing Actual'!$E$2:$E$770,A310,'Billing Actual'!$B$2:$B$770,'Controls &amp; Sources'!$B$7)</f>
        <v>291.2</v>
      </c>
      <c r="Q310" s="25" t="n">
        <f aca="false">P310-N310</f>
        <v>0</v>
      </c>
      <c r="R310" s="22" t="str">
        <f aca="false">IF(O310=0,"No August moorage transaction",IF(O310&gt;1,"Duplicate August transactions",IF(ABS(Q310)&gt;0.005,"Charge variance","OK")))</f>
        <v>OK</v>
      </c>
      <c r="S310" s="22" t="str">
        <f aca="false">IF(R310="OK","","Billing completeness/reconciliation")</f>
        <v/>
      </c>
    </row>
    <row r="311" customFormat="false" ht="15" hidden="false" customHeight="false" outlineLevel="0" collapsed="false">
      <c r="A311" s="22" t="s">
        <v>7415</v>
      </c>
      <c r="B311" s="22" t="s">
        <v>159</v>
      </c>
      <c r="C311" s="22" t="s">
        <v>6562</v>
      </c>
      <c r="D311" s="22" t="n">
        <v>32</v>
      </c>
      <c r="E311" s="22" t="s">
        <v>6575</v>
      </c>
      <c r="F311" s="22" t="s">
        <v>6577</v>
      </c>
      <c r="G311" s="22" t="s">
        <v>878</v>
      </c>
      <c r="H311" s="22" t="s">
        <v>879</v>
      </c>
      <c r="I311" s="22" t="s">
        <v>880</v>
      </c>
      <c r="J311" s="22" t="n">
        <v>50</v>
      </c>
      <c r="K311" s="22" t="n">
        <f aca="false">ROUNDUP(J311,0)</f>
        <v>50</v>
      </c>
      <c r="L311" s="22" t="n">
        <f aca="false">MAX(D311,K311)</f>
        <v>50</v>
      </c>
      <c r="M311" s="25" t="n">
        <f aca="false">IF(E311="COVERED",'Controls &amp; Sources'!$B$5,'Controls &amp; Sources'!$B$6)</f>
        <v>10.4</v>
      </c>
      <c r="N311" s="25" t="n">
        <f aca="false">L311*M311</f>
        <v>520</v>
      </c>
      <c r="O311" s="22" t="n">
        <f aca="false">COUNTIFS('Billing Actual'!$E$2:$E$770,A311,'Billing Actual'!$B$2:$B$770,'Controls &amp; Sources'!$B$7)</f>
        <v>1</v>
      </c>
      <c r="P311" s="25" t="n">
        <f aca="false">SUMIFS('Billing Actual'!$M$2:$M$770,'Billing Actual'!$E$2:$E$770,A311,'Billing Actual'!$B$2:$B$770,'Controls &amp; Sources'!$B$7)</f>
        <v>520</v>
      </c>
      <c r="Q311" s="25" t="n">
        <f aca="false">P311-N311</f>
        <v>0</v>
      </c>
      <c r="R311" s="22" t="str">
        <f aca="false">IF(O311=0,"No August moorage transaction",IF(O311&gt;1,"Duplicate August transactions",IF(ABS(Q311)&gt;0.005,"Charge variance","OK")))</f>
        <v>OK</v>
      </c>
      <c r="S311" s="22" t="str">
        <f aca="false">IF(R311="OK","","Billing completeness/reconciliation")</f>
        <v/>
      </c>
    </row>
    <row r="312" customFormat="false" ht="15" hidden="false" customHeight="false" outlineLevel="0" collapsed="false">
      <c r="A312" s="22" t="s">
        <v>7417</v>
      </c>
      <c r="B312" s="22" t="s">
        <v>159</v>
      </c>
      <c r="C312" s="22" t="s">
        <v>6562</v>
      </c>
      <c r="D312" s="22" t="n">
        <v>28</v>
      </c>
      <c r="E312" s="22" t="s">
        <v>6575</v>
      </c>
      <c r="F312" s="22" t="s">
        <v>6577</v>
      </c>
      <c r="G312" s="22" t="s">
        <v>4922</v>
      </c>
      <c r="H312" s="22" t="s">
        <v>4923</v>
      </c>
      <c r="I312" s="22" t="s">
        <v>986</v>
      </c>
      <c r="J312" s="22" t="n">
        <v>26.2</v>
      </c>
      <c r="K312" s="22" t="n">
        <f aca="false">ROUNDUP(J312,0)</f>
        <v>27</v>
      </c>
      <c r="L312" s="22" t="n">
        <f aca="false">MAX(D312,K312)</f>
        <v>28</v>
      </c>
      <c r="M312" s="25" t="n">
        <f aca="false">IF(E312="COVERED",'Controls &amp; Sources'!$B$5,'Controls &amp; Sources'!$B$6)</f>
        <v>10.4</v>
      </c>
      <c r="N312" s="25" t="n">
        <f aca="false">L312*M312</f>
        <v>291.2</v>
      </c>
      <c r="O312" s="22" t="n">
        <f aca="false">COUNTIFS('Billing Actual'!$E$2:$E$770,A312,'Billing Actual'!$B$2:$B$770,'Controls &amp; Sources'!$B$7)</f>
        <v>1</v>
      </c>
      <c r="P312" s="25" t="n">
        <f aca="false">SUMIFS('Billing Actual'!$M$2:$M$770,'Billing Actual'!$E$2:$E$770,A312,'Billing Actual'!$B$2:$B$770,'Controls &amp; Sources'!$B$7)</f>
        <v>291.2</v>
      </c>
      <c r="Q312" s="25" t="n">
        <f aca="false">P312-N312</f>
        <v>0</v>
      </c>
      <c r="R312" s="22" t="str">
        <f aca="false">IF(O312=0,"No August moorage transaction",IF(O312&gt;1,"Duplicate August transactions",IF(ABS(Q312)&gt;0.005,"Charge variance","OK")))</f>
        <v>OK</v>
      </c>
      <c r="S312" s="22" t="str">
        <f aca="false">IF(R312="OK","","Billing completeness/reconciliation")</f>
        <v/>
      </c>
    </row>
    <row r="313" customFormat="false" ht="15" hidden="false" customHeight="false" outlineLevel="0" collapsed="false">
      <c r="A313" s="22" t="s">
        <v>7418</v>
      </c>
      <c r="B313" s="22" t="s">
        <v>159</v>
      </c>
      <c r="C313" s="22" t="s">
        <v>6562</v>
      </c>
      <c r="D313" s="22" t="n">
        <v>40</v>
      </c>
      <c r="E313" s="22" t="s">
        <v>6575</v>
      </c>
      <c r="F313" s="22" t="s">
        <v>6577</v>
      </c>
      <c r="G313" s="22" t="s">
        <v>3203</v>
      </c>
      <c r="H313" s="22" t="s">
        <v>3204</v>
      </c>
      <c r="I313" s="22" t="s">
        <v>410</v>
      </c>
      <c r="J313" s="22" t="n">
        <v>22.7</v>
      </c>
      <c r="K313" s="22" t="n">
        <f aca="false">ROUNDUP(J313,0)</f>
        <v>23</v>
      </c>
      <c r="L313" s="22" t="n">
        <f aca="false">MAX(D313,K313)</f>
        <v>40</v>
      </c>
      <c r="M313" s="25" t="n">
        <f aca="false">IF(E313="COVERED",'Controls &amp; Sources'!$B$5,'Controls &amp; Sources'!$B$6)</f>
        <v>10.4</v>
      </c>
      <c r="N313" s="25" t="n">
        <f aca="false">L313*M313</f>
        <v>416</v>
      </c>
      <c r="O313" s="22" t="n">
        <f aca="false">COUNTIFS('Billing Actual'!$E$2:$E$770,A313,'Billing Actual'!$B$2:$B$770,'Controls &amp; Sources'!$B$7)</f>
        <v>1</v>
      </c>
      <c r="P313" s="25" t="n">
        <f aca="false">SUMIFS('Billing Actual'!$M$2:$M$770,'Billing Actual'!$E$2:$E$770,A313,'Billing Actual'!$B$2:$B$770,'Controls &amp; Sources'!$B$7)</f>
        <v>416</v>
      </c>
      <c r="Q313" s="25" t="n">
        <f aca="false">P313-N313</f>
        <v>0</v>
      </c>
      <c r="R313" s="22" t="str">
        <f aca="false">IF(O313=0,"No August moorage transaction",IF(O313&gt;1,"Duplicate August transactions",IF(ABS(Q313)&gt;0.005,"Charge variance","OK")))</f>
        <v>OK</v>
      </c>
      <c r="S313" s="22" t="str">
        <f aca="false">IF(R313="OK","","Billing completeness/reconciliation")</f>
        <v/>
      </c>
    </row>
    <row r="314" customFormat="false" ht="15" hidden="false" customHeight="false" outlineLevel="0" collapsed="false">
      <c r="A314" s="22" t="s">
        <v>7420</v>
      </c>
      <c r="B314" s="22" t="s">
        <v>159</v>
      </c>
      <c r="C314" s="22" t="s">
        <v>6562</v>
      </c>
      <c r="D314" s="22" t="n">
        <v>40</v>
      </c>
      <c r="E314" s="22" t="s">
        <v>6575</v>
      </c>
      <c r="F314" s="22" t="s">
        <v>6577</v>
      </c>
      <c r="G314" s="22" t="s">
        <v>1468</v>
      </c>
      <c r="H314" s="22" t="s">
        <v>1469</v>
      </c>
      <c r="I314" s="22" t="s">
        <v>835</v>
      </c>
      <c r="J314" s="22" t="n">
        <v>43.8</v>
      </c>
      <c r="K314" s="22" t="n">
        <f aca="false">ROUNDUP(J314,0)</f>
        <v>44</v>
      </c>
      <c r="L314" s="22" t="n">
        <f aca="false">MAX(D314,K314)</f>
        <v>44</v>
      </c>
      <c r="M314" s="25" t="n">
        <f aca="false">IF(E314="COVERED",'Controls &amp; Sources'!$B$5,'Controls &amp; Sources'!$B$6)</f>
        <v>10.4</v>
      </c>
      <c r="N314" s="25" t="n">
        <f aca="false">L314*M314</f>
        <v>457.6</v>
      </c>
      <c r="O314" s="22" t="n">
        <f aca="false">COUNTIFS('Billing Actual'!$E$2:$E$770,A314,'Billing Actual'!$B$2:$B$770,'Controls &amp; Sources'!$B$7)</f>
        <v>1</v>
      </c>
      <c r="P314" s="25" t="n">
        <f aca="false">SUMIFS('Billing Actual'!$M$2:$M$770,'Billing Actual'!$E$2:$E$770,A314,'Billing Actual'!$B$2:$B$770,'Controls &amp; Sources'!$B$7)</f>
        <v>457.6</v>
      </c>
      <c r="Q314" s="25" t="n">
        <f aca="false">P314-N314</f>
        <v>0</v>
      </c>
      <c r="R314" s="22" t="str">
        <f aca="false">IF(O314=0,"No August moorage transaction",IF(O314&gt;1,"Duplicate August transactions",IF(ABS(Q314)&gt;0.005,"Charge variance","OK")))</f>
        <v>OK</v>
      </c>
      <c r="S314" s="22" t="str">
        <f aca="false">IF(R314="OK","","Billing completeness/reconciliation")</f>
        <v/>
      </c>
    </row>
    <row r="315" customFormat="false" ht="15" hidden="false" customHeight="false" outlineLevel="0" collapsed="false">
      <c r="A315" s="22" t="s">
        <v>7422</v>
      </c>
      <c r="B315" s="22" t="s">
        <v>159</v>
      </c>
      <c r="C315" s="22" t="s">
        <v>6562</v>
      </c>
      <c r="D315" s="22" t="n">
        <v>36</v>
      </c>
      <c r="E315" s="22" t="s">
        <v>6575</v>
      </c>
      <c r="F315" s="22" t="s">
        <v>6577</v>
      </c>
      <c r="G315" s="22" t="s">
        <v>1030</v>
      </c>
      <c r="H315" s="22" t="s">
        <v>1031</v>
      </c>
      <c r="I315" s="22" t="s">
        <v>386</v>
      </c>
      <c r="J315" s="22" t="n">
        <v>36.7</v>
      </c>
      <c r="K315" s="22" t="n">
        <f aca="false">ROUNDUP(J315,0)</f>
        <v>37</v>
      </c>
      <c r="L315" s="22" t="n">
        <f aca="false">MAX(D315,K315)</f>
        <v>37</v>
      </c>
      <c r="M315" s="25" t="n">
        <f aca="false">IF(E315="COVERED",'Controls &amp; Sources'!$B$5,'Controls &amp; Sources'!$B$6)</f>
        <v>10.4</v>
      </c>
      <c r="N315" s="25" t="n">
        <f aca="false">L315*M315</f>
        <v>384.8</v>
      </c>
      <c r="O315" s="22" t="n">
        <f aca="false">COUNTIFS('Billing Actual'!$E$2:$E$770,A315,'Billing Actual'!$B$2:$B$770,'Controls &amp; Sources'!$B$7)</f>
        <v>1</v>
      </c>
      <c r="P315" s="25" t="n">
        <f aca="false">SUMIFS('Billing Actual'!$M$2:$M$770,'Billing Actual'!$E$2:$E$770,A315,'Billing Actual'!$B$2:$B$770,'Controls &amp; Sources'!$B$7)</f>
        <v>384.8</v>
      </c>
      <c r="Q315" s="25" t="n">
        <f aca="false">P315-N315</f>
        <v>0</v>
      </c>
      <c r="R315" s="22" t="str">
        <f aca="false">IF(O315=0,"No August moorage transaction",IF(O315&gt;1,"Duplicate August transactions",IF(ABS(Q315)&gt;0.005,"Charge variance","OK")))</f>
        <v>OK</v>
      </c>
      <c r="S315" s="22" t="str">
        <f aca="false">IF(R315="OK","","Billing completeness/reconciliation")</f>
        <v/>
      </c>
    </row>
    <row r="316" customFormat="false" ht="15" hidden="false" customHeight="false" outlineLevel="0" collapsed="false">
      <c r="A316" s="22" t="s">
        <v>7424</v>
      </c>
      <c r="B316" s="22" t="s">
        <v>159</v>
      </c>
      <c r="C316" s="22" t="s">
        <v>6562</v>
      </c>
      <c r="D316" s="22" t="n">
        <v>24</v>
      </c>
      <c r="E316" s="22" t="s">
        <v>6575</v>
      </c>
      <c r="F316" s="22" t="s">
        <v>6577</v>
      </c>
      <c r="G316" s="22" t="s">
        <v>2195</v>
      </c>
      <c r="H316" s="22" t="s">
        <v>2196</v>
      </c>
      <c r="I316" s="22" t="s">
        <v>675</v>
      </c>
      <c r="J316" s="22" t="n">
        <v>41.1</v>
      </c>
      <c r="K316" s="22" t="n">
        <f aca="false">ROUNDUP(J316,0)</f>
        <v>42</v>
      </c>
      <c r="L316" s="22" t="n">
        <f aca="false">MAX(D316,K316)</f>
        <v>42</v>
      </c>
      <c r="M316" s="25" t="n">
        <f aca="false">IF(E316="COVERED",'Controls &amp; Sources'!$B$5,'Controls &amp; Sources'!$B$6)</f>
        <v>10.4</v>
      </c>
      <c r="N316" s="25" t="n">
        <f aca="false">L316*M316</f>
        <v>436.8</v>
      </c>
      <c r="O316" s="22" t="n">
        <f aca="false">COUNTIFS('Billing Actual'!$E$2:$E$770,A316,'Billing Actual'!$B$2:$B$770,'Controls &amp; Sources'!$B$7)</f>
        <v>1</v>
      </c>
      <c r="P316" s="25" t="n">
        <f aca="false">SUMIFS('Billing Actual'!$M$2:$M$770,'Billing Actual'!$E$2:$E$770,A316,'Billing Actual'!$B$2:$B$770,'Controls &amp; Sources'!$B$7)</f>
        <v>436.8</v>
      </c>
      <c r="Q316" s="25" t="n">
        <f aca="false">P316-N316</f>
        <v>0</v>
      </c>
      <c r="R316" s="22" t="str">
        <f aca="false">IF(O316=0,"No August moorage transaction",IF(O316&gt;1,"Duplicate August transactions",IF(ABS(Q316)&gt;0.005,"Charge variance","OK")))</f>
        <v>OK</v>
      </c>
      <c r="S316" s="22" t="str">
        <f aca="false">IF(R316="OK","","Billing completeness/reconciliation")</f>
        <v/>
      </c>
    </row>
    <row r="317" customFormat="false" ht="15" hidden="false" customHeight="false" outlineLevel="0" collapsed="false">
      <c r="A317" s="22" t="s">
        <v>7427</v>
      </c>
      <c r="B317" s="22" t="s">
        <v>159</v>
      </c>
      <c r="C317" s="22" t="s">
        <v>6562</v>
      </c>
      <c r="D317" s="22" t="n">
        <v>36</v>
      </c>
      <c r="E317" s="22" t="s">
        <v>6575</v>
      </c>
      <c r="F317" s="22" t="s">
        <v>6577</v>
      </c>
      <c r="G317" s="22" t="s">
        <v>2547</v>
      </c>
      <c r="H317" s="22" t="s">
        <v>2548</v>
      </c>
      <c r="I317" s="22" t="s">
        <v>838</v>
      </c>
      <c r="J317" s="22" t="n">
        <v>46.8</v>
      </c>
      <c r="K317" s="22" t="n">
        <f aca="false">ROUNDUP(J317,0)</f>
        <v>47</v>
      </c>
      <c r="L317" s="22" t="n">
        <f aca="false">MAX(D317,K317)</f>
        <v>47</v>
      </c>
      <c r="M317" s="25" t="n">
        <f aca="false">IF(E317="COVERED",'Controls &amp; Sources'!$B$5,'Controls &amp; Sources'!$B$6)</f>
        <v>10.4</v>
      </c>
      <c r="N317" s="25" t="n">
        <f aca="false">L317*M317</f>
        <v>488.8</v>
      </c>
      <c r="O317" s="22" t="n">
        <f aca="false">COUNTIFS('Billing Actual'!$E$2:$E$770,A317,'Billing Actual'!$B$2:$B$770,'Controls &amp; Sources'!$B$7)</f>
        <v>1</v>
      </c>
      <c r="P317" s="25" t="n">
        <f aca="false">SUMIFS('Billing Actual'!$M$2:$M$770,'Billing Actual'!$E$2:$E$770,A317,'Billing Actual'!$B$2:$B$770,'Controls &amp; Sources'!$B$7)</f>
        <v>488.8</v>
      </c>
      <c r="Q317" s="25" t="n">
        <f aca="false">P317-N317</f>
        <v>0</v>
      </c>
      <c r="R317" s="22" t="str">
        <f aca="false">IF(O317=0,"No August moorage transaction",IF(O317&gt;1,"Duplicate August transactions",IF(ABS(Q317)&gt;0.005,"Charge variance","OK")))</f>
        <v>OK</v>
      </c>
      <c r="S317" s="22" t="str">
        <f aca="false">IF(R317="OK","","Billing completeness/reconciliation")</f>
        <v/>
      </c>
    </row>
    <row r="318" customFormat="false" ht="15" hidden="false" customHeight="false" outlineLevel="0" collapsed="false">
      <c r="A318" s="22" t="s">
        <v>7428</v>
      </c>
      <c r="B318" s="22" t="s">
        <v>159</v>
      </c>
      <c r="C318" s="22" t="s">
        <v>6562</v>
      </c>
      <c r="D318" s="22" t="n">
        <v>28</v>
      </c>
      <c r="E318" s="22" t="s">
        <v>6575</v>
      </c>
      <c r="F318" s="22" t="s">
        <v>6577</v>
      </c>
      <c r="G318" s="22" t="s">
        <v>5835</v>
      </c>
      <c r="H318" s="22" t="s">
        <v>5836</v>
      </c>
      <c r="I318" s="22" t="s">
        <v>221</v>
      </c>
      <c r="J318" s="22" t="n">
        <v>37.4</v>
      </c>
      <c r="K318" s="22" t="n">
        <f aca="false">ROUNDUP(J318,0)</f>
        <v>38</v>
      </c>
      <c r="L318" s="22" t="n">
        <f aca="false">MAX(D318,K318)</f>
        <v>38</v>
      </c>
      <c r="M318" s="25" t="n">
        <f aca="false">IF(E318="COVERED",'Controls &amp; Sources'!$B$5,'Controls &amp; Sources'!$B$6)</f>
        <v>10.4</v>
      </c>
      <c r="N318" s="25" t="n">
        <f aca="false">L318*M318</f>
        <v>395.2</v>
      </c>
      <c r="O318" s="22" t="n">
        <f aca="false">COUNTIFS('Billing Actual'!$E$2:$E$770,A318,'Billing Actual'!$B$2:$B$770,'Controls &amp; Sources'!$B$7)</f>
        <v>1</v>
      </c>
      <c r="P318" s="25" t="n">
        <f aca="false">SUMIFS('Billing Actual'!$M$2:$M$770,'Billing Actual'!$E$2:$E$770,A318,'Billing Actual'!$B$2:$B$770,'Controls &amp; Sources'!$B$7)</f>
        <v>395.2</v>
      </c>
      <c r="Q318" s="25" t="n">
        <f aca="false">P318-N318</f>
        <v>0</v>
      </c>
      <c r="R318" s="22" t="str">
        <f aca="false">IF(O318=0,"No August moorage transaction",IF(O318&gt;1,"Duplicate August transactions",IF(ABS(Q318)&gt;0.005,"Charge variance","OK")))</f>
        <v>OK</v>
      </c>
      <c r="S318" s="22" t="str">
        <f aca="false">IF(R318="OK","","Billing completeness/reconciliation")</f>
        <v/>
      </c>
    </row>
    <row r="319" customFormat="false" ht="15" hidden="false" customHeight="false" outlineLevel="0" collapsed="false">
      <c r="A319" s="22" t="s">
        <v>7431</v>
      </c>
      <c r="B319" s="22" t="s">
        <v>159</v>
      </c>
      <c r="C319" s="22" t="s">
        <v>6562</v>
      </c>
      <c r="D319" s="22" t="n">
        <v>36</v>
      </c>
      <c r="E319" s="22" t="s">
        <v>6575</v>
      </c>
      <c r="F319" s="22" t="s">
        <v>6577</v>
      </c>
      <c r="G319" s="22" t="s">
        <v>2901</v>
      </c>
      <c r="H319" s="22" t="s">
        <v>2902</v>
      </c>
      <c r="I319" s="22" t="s">
        <v>2903</v>
      </c>
      <c r="J319" s="22" t="n">
        <v>55.4</v>
      </c>
      <c r="K319" s="22" t="n">
        <f aca="false">ROUNDUP(J319,0)</f>
        <v>56</v>
      </c>
      <c r="L319" s="22" t="n">
        <f aca="false">MAX(D319,K319)</f>
        <v>56</v>
      </c>
      <c r="M319" s="25" t="n">
        <f aca="false">IF(E319="COVERED",'Controls &amp; Sources'!$B$5,'Controls &amp; Sources'!$B$6)</f>
        <v>10.4</v>
      </c>
      <c r="N319" s="25" t="n">
        <f aca="false">L319*M319</f>
        <v>582.4</v>
      </c>
      <c r="O319" s="22" t="n">
        <f aca="false">COUNTIFS('Billing Actual'!$E$2:$E$770,A319,'Billing Actual'!$B$2:$B$770,'Controls &amp; Sources'!$B$7)</f>
        <v>1</v>
      </c>
      <c r="P319" s="25" t="n">
        <f aca="false">SUMIFS('Billing Actual'!$M$2:$M$770,'Billing Actual'!$E$2:$E$770,A319,'Billing Actual'!$B$2:$B$770,'Controls &amp; Sources'!$B$7)</f>
        <v>582.4</v>
      </c>
      <c r="Q319" s="25" t="n">
        <f aca="false">P319-N319</f>
        <v>0</v>
      </c>
      <c r="R319" s="22" t="str">
        <f aca="false">IF(O319=0,"No August moorage transaction",IF(O319&gt;1,"Duplicate August transactions",IF(ABS(Q319)&gt;0.005,"Charge variance","OK")))</f>
        <v>OK</v>
      </c>
      <c r="S319" s="22" t="str">
        <f aca="false">IF(R319="OK","","Billing completeness/reconciliation")</f>
        <v/>
      </c>
    </row>
    <row r="320" customFormat="false" ht="15" hidden="false" customHeight="false" outlineLevel="0" collapsed="false">
      <c r="A320" s="22" t="s">
        <v>7433</v>
      </c>
      <c r="B320" s="22" t="s">
        <v>159</v>
      </c>
      <c r="C320" s="22" t="s">
        <v>6562</v>
      </c>
      <c r="D320" s="22" t="n">
        <v>40</v>
      </c>
      <c r="E320" s="22" t="s">
        <v>6575</v>
      </c>
      <c r="F320" s="22" t="s">
        <v>6577</v>
      </c>
      <c r="G320" s="22" t="s">
        <v>1714</v>
      </c>
      <c r="H320" s="22" t="s">
        <v>1715</v>
      </c>
      <c r="I320" s="22" t="s">
        <v>642</v>
      </c>
      <c r="J320" s="22" t="n">
        <v>56.4</v>
      </c>
      <c r="K320" s="22" t="n">
        <f aca="false">ROUNDUP(J320,0)</f>
        <v>57</v>
      </c>
      <c r="L320" s="22" t="n">
        <f aca="false">MAX(D320,K320)</f>
        <v>57</v>
      </c>
      <c r="M320" s="25" t="n">
        <f aca="false">IF(E320="COVERED",'Controls &amp; Sources'!$B$5,'Controls &amp; Sources'!$B$6)</f>
        <v>10.4</v>
      </c>
      <c r="N320" s="25" t="n">
        <f aca="false">L320*M320</f>
        <v>592.8</v>
      </c>
      <c r="O320" s="22" t="n">
        <f aca="false">COUNTIFS('Billing Actual'!$E$2:$E$770,A320,'Billing Actual'!$B$2:$B$770,'Controls &amp; Sources'!$B$7)</f>
        <v>1</v>
      </c>
      <c r="P320" s="25" t="n">
        <f aca="false">SUMIFS('Billing Actual'!$M$2:$M$770,'Billing Actual'!$E$2:$E$770,A320,'Billing Actual'!$B$2:$B$770,'Controls &amp; Sources'!$B$7)</f>
        <v>592.8</v>
      </c>
      <c r="Q320" s="25" t="n">
        <f aca="false">P320-N320</f>
        <v>0</v>
      </c>
      <c r="R320" s="22" t="str">
        <f aca="false">IF(O320=0,"No August moorage transaction",IF(O320&gt;1,"Duplicate August transactions",IF(ABS(Q320)&gt;0.005,"Charge variance","OK")))</f>
        <v>OK</v>
      </c>
      <c r="S320" s="22" t="str">
        <f aca="false">IF(R320="OK","","Billing completeness/reconciliation")</f>
        <v/>
      </c>
    </row>
    <row r="321" customFormat="false" ht="15" hidden="false" customHeight="false" outlineLevel="0" collapsed="false">
      <c r="A321" s="22" t="s">
        <v>7435</v>
      </c>
      <c r="B321" s="22" t="s">
        <v>159</v>
      </c>
      <c r="C321" s="22" t="s">
        <v>6562</v>
      </c>
      <c r="D321" s="22" t="n">
        <v>24</v>
      </c>
      <c r="E321" s="22" t="s">
        <v>6575</v>
      </c>
      <c r="F321" s="22" t="s">
        <v>6577</v>
      </c>
      <c r="G321" s="22" t="s">
        <v>4181</v>
      </c>
      <c r="H321" s="22" t="s">
        <v>4182</v>
      </c>
      <c r="I321" s="22" t="s">
        <v>287</v>
      </c>
      <c r="J321" s="22" t="n">
        <v>30.6</v>
      </c>
      <c r="K321" s="22" t="n">
        <f aca="false">ROUNDUP(J321,0)</f>
        <v>31</v>
      </c>
      <c r="L321" s="22" t="n">
        <f aca="false">MAX(D321,K321)</f>
        <v>31</v>
      </c>
      <c r="M321" s="25" t="n">
        <f aca="false">IF(E321="COVERED",'Controls &amp; Sources'!$B$5,'Controls &amp; Sources'!$B$6)</f>
        <v>10.4</v>
      </c>
      <c r="N321" s="25" t="n">
        <f aca="false">L321*M321</f>
        <v>322.4</v>
      </c>
      <c r="O321" s="22" t="n">
        <f aca="false">COUNTIFS('Billing Actual'!$E$2:$E$770,A321,'Billing Actual'!$B$2:$B$770,'Controls &amp; Sources'!$B$7)</f>
        <v>1</v>
      </c>
      <c r="P321" s="25" t="n">
        <f aca="false">SUMIFS('Billing Actual'!$M$2:$M$770,'Billing Actual'!$E$2:$E$770,A321,'Billing Actual'!$B$2:$B$770,'Controls &amp; Sources'!$B$7)</f>
        <v>322.4</v>
      </c>
      <c r="Q321" s="25" t="n">
        <f aca="false">P321-N321</f>
        <v>0</v>
      </c>
      <c r="R321" s="22" t="str">
        <f aca="false">IF(O321=0,"No August moorage transaction",IF(O321&gt;1,"Duplicate August transactions",IF(ABS(Q321)&gt;0.005,"Charge variance","OK")))</f>
        <v>OK</v>
      </c>
      <c r="S321" s="22" t="str">
        <f aca="false">IF(R321="OK","","Billing completeness/reconciliation")</f>
        <v/>
      </c>
    </row>
    <row r="322" customFormat="false" ht="15" hidden="false" customHeight="false" outlineLevel="0" collapsed="false">
      <c r="A322" s="22" t="s">
        <v>7437</v>
      </c>
      <c r="B322" s="22" t="s">
        <v>159</v>
      </c>
      <c r="C322" s="22" t="s">
        <v>6562</v>
      </c>
      <c r="D322" s="22" t="n">
        <v>36</v>
      </c>
      <c r="E322" s="22" t="s">
        <v>6575</v>
      </c>
      <c r="F322" s="22" t="s">
        <v>6577</v>
      </c>
      <c r="G322" s="22" t="s">
        <v>342</v>
      </c>
      <c r="H322" s="22" t="s">
        <v>343</v>
      </c>
      <c r="I322" s="22" t="s">
        <v>296</v>
      </c>
      <c r="J322" s="22" t="n">
        <v>52.4</v>
      </c>
      <c r="K322" s="22" t="n">
        <f aca="false">ROUNDUP(J322,0)</f>
        <v>53</v>
      </c>
      <c r="L322" s="22" t="n">
        <f aca="false">MAX(D322,K322)</f>
        <v>53</v>
      </c>
      <c r="M322" s="25" t="n">
        <f aca="false">IF(E322="COVERED",'Controls &amp; Sources'!$B$5,'Controls &amp; Sources'!$B$6)</f>
        <v>10.4</v>
      </c>
      <c r="N322" s="25" t="n">
        <f aca="false">L322*M322</f>
        <v>551.2</v>
      </c>
      <c r="O322" s="22" t="n">
        <f aca="false">COUNTIFS('Billing Actual'!$E$2:$E$770,A322,'Billing Actual'!$B$2:$B$770,'Controls &amp; Sources'!$B$7)</f>
        <v>1</v>
      </c>
      <c r="P322" s="25" t="n">
        <f aca="false">SUMIFS('Billing Actual'!$M$2:$M$770,'Billing Actual'!$E$2:$E$770,A322,'Billing Actual'!$B$2:$B$770,'Controls &amp; Sources'!$B$7)</f>
        <v>551.2</v>
      </c>
      <c r="Q322" s="25" t="n">
        <f aca="false">P322-N322</f>
        <v>0</v>
      </c>
      <c r="R322" s="22" t="str">
        <f aca="false">IF(O322=0,"No August moorage transaction",IF(O322&gt;1,"Duplicate August transactions",IF(ABS(Q322)&gt;0.005,"Charge variance","OK")))</f>
        <v>OK</v>
      </c>
      <c r="S322" s="22" t="str">
        <f aca="false">IF(R322="OK","","Billing completeness/reconciliation")</f>
        <v/>
      </c>
    </row>
    <row r="323" customFormat="false" ht="15" hidden="false" customHeight="false" outlineLevel="0" collapsed="false">
      <c r="A323" s="22" t="s">
        <v>7439</v>
      </c>
      <c r="B323" s="22" t="s">
        <v>159</v>
      </c>
      <c r="C323" s="22" t="s">
        <v>6562</v>
      </c>
      <c r="D323" s="22" t="n">
        <v>32</v>
      </c>
      <c r="E323" s="22" t="s">
        <v>6575</v>
      </c>
      <c r="F323" s="22" t="s">
        <v>6577</v>
      </c>
      <c r="G323" s="22" t="s">
        <v>2270</v>
      </c>
      <c r="H323" s="22" t="s">
        <v>2271</v>
      </c>
      <c r="I323" s="22" t="s">
        <v>483</v>
      </c>
      <c r="J323" s="22" t="n">
        <v>57</v>
      </c>
      <c r="K323" s="22" t="n">
        <f aca="false">ROUNDUP(J323,0)</f>
        <v>57</v>
      </c>
      <c r="L323" s="22" t="n">
        <f aca="false">MAX(D323,K323)</f>
        <v>57</v>
      </c>
      <c r="M323" s="25" t="n">
        <f aca="false">IF(E323="COVERED",'Controls &amp; Sources'!$B$5,'Controls &amp; Sources'!$B$6)</f>
        <v>10.4</v>
      </c>
      <c r="N323" s="25" t="n">
        <f aca="false">L323*M323</f>
        <v>592.8</v>
      </c>
      <c r="O323" s="22" t="n">
        <f aca="false">COUNTIFS('Billing Actual'!$E$2:$E$770,A323,'Billing Actual'!$B$2:$B$770,'Controls &amp; Sources'!$B$7)</f>
        <v>1</v>
      </c>
      <c r="P323" s="25" t="n">
        <f aca="false">SUMIFS('Billing Actual'!$M$2:$M$770,'Billing Actual'!$E$2:$E$770,A323,'Billing Actual'!$B$2:$B$770,'Controls &amp; Sources'!$B$7)</f>
        <v>592.8</v>
      </c>
      <c r="Q323" s="25" t="n">
        <f aca="false">P323-N323</f>
        <v>0</v>
      </c>
      <c r="R323" s="22" t="str">
        <f aca="false">IF(O323=0,"No August moorage transaction",IF(O323&gt;1,"Duplicate August transactions",IF(ABS(Q323)&gt;0.005,"Charge variance","OK")))</f>
        <v>OK</v>
      </c>
      <c r="S323" s="22" t="str">
        <f aca="false">IF(R323="OK","","Billing completeness/reconciliation")</f>
        <v/>
      </c>
    </row>
    <row r="324" customFormat="false" ht="15" hidden="false" customHeight="false" outlineLevel="0" collapsed="false">
      <c r="A324" s="22" t="s">
        <v>7441</v>
      </c>
      <c r="B324" s="22" t="s">
        <v>159</v>
      </c>
      <c r="C324" s="22" t="s">
        <v>6562</v>
      </c>
      <c r="D324" s="22" t="n">
        <v>32</v>
      </c>
      <c r="E324" s="22" t="s">
        <v>6575</v>
      </c>
      <c r="F324" s="22" t="s">
        <v>6577</v>
      </c>
      <c r="G324" s="22" t="s">
        <v>4209</v>
      </c>
      <c r="H324" s="22" t="s">
        <v>4210</v>
      </c>
      <c r="I324" s="22" t="s">
        <v>787</v>
      </c>
      <c r="J324" s="22" t="n">
        <v>20.6</v>
      </c>
      <c r="K324" s="22" t="n">
        <f aca="false">ROUNDUP(J324,0)</f>
        <v>21</v>
      </c>
      <c r="L324" s="22" t="n">
        <f aca="false">MAX(D324,K324)</f>
        <v>32</v>
      </c>
      <c r="M324" s="25" t="n">
        <f aca="false">IF(E324="COVERED",'Controls &amp; Sources'!$B$5,'Controls &amp; Sources'!$B$6)</f>
        <v>10.4</v>
      </c>
      <c r="N324" s="25" t="n">
        <f aca="false">L324*M324</f>
        <v>332.8</v>
      </c>
      <c r="O324" s="22" t="n">
        <f aca="false">COUNTIFS('Billing Actual'!$E$2:$E$770,A324,'Billing Actual'!$B$2:$B$770,'Controls &amp; Sources'!$B$7)</f>
        <v>1</v>
      </c>
      <c r="P324" s="25" t="n">
        <f aca="false">SUMIFS('Billing Actual'!$M$2:$M$770,'Billing Actual'!$E$2:$E$770,A324,'Billing Actual'!$B$2:$B$770,'Controls &amp; Sources'!$B$7)</f>
        <v>332.8</v>
      </c>
      <c r="Q324" s="25" t="n">
        <f aca="false">P324-N324</f>
        <v>0</v>
      </c>
      <c r="R324" s="22" t="str">
        <f aca="false">IF(O324=0,"No August moorage transaction",IF(O324&gt;1,"Duplicate August transactions",IF(ABS(Q324)&gt;0.005,"Charge variance","OK")))</f>
        <v>OK</v>
      </c>
      <c r="S324" s="22" t="str">
        <f aca="false">IF(R324="OK","","Billing completeness/reconciliation")</f>
        <v/>
      </c>
    </row>
    <row r="325" customFormat="false" ht="15" hidden="false" customHeight="false" outlineLevel="0" collapsed="false">
      <c r="A325" s="22" t="s">
        <v>7442</v>
      </c>
      <c r="B325" s="22" t="s">
        <v>159</v>
      </c>
      <c r="C325" s="22" t="s">
        <v>6562</v>
      </c>
      <c r="D325" s="22" t="n">
        <v>24</v>
      </c>
      <c r="E325" s="22" t="s">
        <v>6575</v>
      </c>
      <c r="F325" s="22" t="s">
        <v>6577</v>
      </c>
      <c r="G325" s="22" t="s">
        <v>4705</v>
      </c>
      <c r="H325" s="22" t="s">
        <v>4706</v>
      </c>
      <c r="I325" s="22" t="s">
        <v>687</v>
      </c>
      <c r="J325" s="22" t="n">
        <v>37</v>
      </c>
      <c r="K325" s="22" t="n">
        <f aca="false">ROUNDUP(J325,0)</f>
        <v>37</v>
      </c>
      <c r="L325" s="22" t="n">
        <f aca="false">MAX(D325,K325)</f>
        <v>37</v>
      </c>
      <c r="M325" s="25" t="n">
        <f aca="false">IF(E325="COVERED",'Controls &amp; Sources'!$B$5,'Controls &amp; Sources'!$B$6)</f>
        <v>10.4</v>
      </c>
      <c r="N325" s="25" t="n">
        <f aca="false">L325*M325</f>
        <v>384.8</v>
      </c>
      <c r="O325" s="22" t="n">
        <f aca="false">COUNTIFS('Billing Actual'!$E$2:$E$770,A325,'Billing Actual'!$B$2:$B$770,'Controls &amp; Sources'!$B$7)</f>
        <v>1</v>
      </c>
      <c r="P325" s="25" t="n">
        <f aca="false">SUMIFS('Billing Actual'!$M$2:$M$770,'Billing Actual'!$E$2:$E$770,A325,'Billing Actual'!$B$2:$B$770,'Controls &amp; Sources'!$B$7)</f>
        <v>384.8</v>
      </c>
      <c r="Q325" s="25" t="n">
        <f aca="false">P325-N325</f>
        <v>0</v>
      </c>
      <c r="R325" s="22" t="str">
        <f aca="false">IF(O325=0,"No August moorage transaction",IF(O325&gt;1,"Duplicate August transactions",IF(ABS(Q325)&gt;0.005,"Charge variance","OK")))</f>
        <v>OK</v>
      </c>
      <c r="S325" s="22" t="str">
        <f aca="false">IF(R325="OK","","Billing completeness/reconciliation")</f>
        <v/>
      </c>
    </row>
    <row r="326" customFormat="false" ht="15" hidden="false" customHeight="false" outlineLevel="0" collapsed="false">
      <c r="A326" s="22" t="s">
        <v>7443</v>
      </c>
      <c r="B326" s="22" t="s">
        <v>159</v>
      </c>
      <c r="C326" s="22" t="s">
        <v>6562</v>
      </c>
      <c r="D326" s="22" t="n">
        <v>36</v>
      </c>
      <c r="E326" s="22" t="s">
        <v>6575</v>
      </c>
      <c r="F326" s="22" t="s">
        <v>6577</v>
      </c>
      <c r="G326" s="22" t="s">
        <v>3195</v>
      </c>
      <c r="H326" s="22" t="s">
        <v>3196</v>
      </c>
      <c r="I326" s="22" t="s">
        <v>454</v>
      </c>
      <c r="J326" s="22" t="n">
        <v>55.9</v>
      </c>
      <c r="K326" s="22" t="n">
        <f aca="false">ROUNDUP(J326,0)</f>
        <v>56</v>
      </c>
      <c r="L326" s="22" t="n">
        <f aca="false">MAX(D326,K326)</f>
        <v>56</v>
      </c>
      <c r="M326" s="25" t="n">
        <f aca="false">IF(E326="COVERED",'Controls &amp; Sources'!$B$5,'Controls &amp; Sources'!$B$6)</f>
        <v>10.4</v>
      </c>
      <c r="N326" s="25" t="n">
        <f aca="false">L326*M326</f>
        <v>582.4</v>
      </c>
      <c r="O326" s="22" t="n">
        <f aca="false">COUNTIFS('Billing Actual'!$E$2:$E$770,A326,'Billing Actual'!$B$2:$B$770,'Controls &amp; Sources'!$B$7)</f>
        <v>1</v>
      </c>
      <c r="P326" s="25" t="n">
        <f aca="false">SUMIFS('Billing Actual'!$M$2:$M$770,'Billing Actual'!$E$2:$E$770,A326,'Billing Actual'!$B$2:$B$770,'Controls &amp; Sources'!$B$7)</f>
        <v>582.4</v>
      </c>
      <c r="Q326" s="25" t="n">
        <f aca="false">P326-N326</f>
        <v>0</v>
      </c>
      <c r="R326" s="22" t="str">
        <f aca="false">IF(O326=0,"No August moorage transaction",IF(O326&gt;1,"Duplicate August transactions",IF(ABS(Q326)&gt;0.005,"Charge variance","OK")))</f>
        <v>OK</v>
      </c>
      <c r="S326" s="22" t="str">
        <f aca="false">IF(R326="OK","","Billing completeness/reconciliation")</f>
        <v/>
      </c>
    </row>
    <row r="327" customFormat="false" ht="15" hidden="false" customHeight="false" outlineLevel="0" collapsed="false">
      <c r="A327" s="22" t="s">
        <v>7445</v>
      </c>
      <c r="B327" s="22" t="s">
        <v>159</v>
      </c>
      <c r="C327" s="22" t="s">
        <v>6562</v>
      </c>
      <c r="D327" s="22" t="n">
        <v>32</v>
      </c>
      <c r="E327" s="22" t="s">
        <v>6575</v>
      </c>
      <c r="F327" s="22" t="s">
        <v>6577</v>
      </c>
      <c r="G327" s="22" t="s">
        <v>202</v>
      </c>
      <c r="H327" s="22" t="s">
        <v>203</v>
      </c>
      <c r="I327" s="22" t="s">
        <v>204</v>
      </c>
      <c r="J327" s="22" t="n">
        <v>43.6</v>
      </c>
      <c r="K327" s="22" t="n">
        <f aca="false">ROUNDUP(J327,0)</f>
        <v>44</v>
      </c>
      <c r="L327" s="22" t="n">
        <f aca="false">MAX(D327,K327)</f>
        <v>44</v>
      </c>
      <c r="M327" s="25" t="n">
        <f aca="false">IF(E327="COVERED",'Controls &amp; Sources'!$B$5,'Controls &amp; Sources'!$B$6)</f>
        <v>10.4</v>
      </c>
      <c r="N327" s="25" t="n">
        <f aca="false">L327*M327</f>
        <v>457.6</v>
      </c>
      <c r="O327" s="22" t="n">
        <f aca="false">COUNTIFS('Billing Actual'!$E$2:$E$770,A327,'Billing Actual'!$B$2:$B$770,'Controls &amp; Sources'!$B$7)</f>
        <v>1</v>
      </c>
      <c r="P327" s="25" t="n">
        <f aca="false">SUMIFS('Billing Actual'!$M$2:$M$770,'Billing Actual'!$E$2:$E$770,A327,'Billing Actual'!$B$2:$B$770,'Controls &amp; Sources'!$B$7)</f>
        <v>457.6</v>
      </c>
      <c r="Q327" s="25" t="n">
        <f aca="false">P327-N327</f>
        <v>0</v>
      </c>
      <c r="R327" s="22" t="str">
        <f aca="false">IF(O327=0,"No August moorage transaction",IF(O327&gt;1,"Duplicate August transactions",IF(ABS(Q327)&gt;0.005,"Charge variance","OK")))</f>
        <v>OK</v>
      </c>
      <c r="S327" s="22" t="str">
        <f aca="false">IF(R327="OK","","Billing completeness/reconciliation")</f>
        <v/>
      </c>
    </row>
    <row r="328" customFormat="false" ht="15" hidden="false" customHeight="false" outlineLevel="0" collapsed="false">
      <c r="A328" s="22" t="s">
        <v>7447</v>
      </c>
      <c r="B328" s="22" t="s">
        <v>159</v>
      </c>
      <c r="C328" s="22" t="s">
        <v>6562</v>
      </c>
      <c r="D328" s="22" t="n">
        <v>32</v>
      </c>
      <c r="E328" s="22" t="s">
        <v>6575</v>
      </c>
      <c r="F328" s="22" t="s">
        <v>6577</v>
      </c>
      <c r="G328" s="22" t="s">
        <v>6138</v>
      </c>
      <c r="H328" s="22" t="s">
        <v>6139</v>
      </c>
      <c r="I328" s="22" t="s">
        <v>962</v>
      </c>
      <c r="J328" s="22" t="n">
        <v>55.4</v>
      </c>
      <c r="K328" s="22" t="n">
        <f aca="false">ROUNDUP(J328,0)</f>
        <v>56</v>
      </c>
      <c r="L328" s="22" t="n">
        <f aca="false">MAX(D328,K328)</f>
        <v>56</v>
      </c>
      <c r="M328" s="25" t="n">
        <f aca="false">IF(E328="COVERED",'Controls &amp; Sources'!$B$5,'Controls &amp; Sources'!$B$6)</f>
        <v>10.4</v>
      </c>
      <c r="N328" s="25" t="n">
        <f aca="false">L328*M328</f>
        <v>582.4</v>
      </c>
      <c r="O328" s="22" t="n">
        <f aca="false">COUNTIFS('Billing Actual'!$E$2:$E$770,A328,'Billing Actual'!$B$2:$B$770,'Controls &amp; Sources'!$B$7)</f>
        <v>1</v>
      </c>
      <c r="P328" s="25" t="n">
        <f aca="false">SUMIFS('Billing Actual'!$M$2:$M$770,'Billing Actual'!$E$2:$E$770,A328,'Billing Actual'!$B$2:$B$770,'Controls &amp; Sources'!$B$7)</f>
        <v>582.4</v>
      </c>
      <c r="Q328" s="25" t="n">
        <f aca="false">P328-N328</f>
        <v>0</v>
      </c>
      <c r="R328" s="22" t="str">
        <f aca="false">IF(O328=0,"No August moorage transaction",IF(O328&gt;1,"Duplicate August transactions",IF(ABS(Q328)&gt;0.005,"Charge variance","OK")))</f>
        <v>OK</v>
      </c>
      <c r="S328" s="22" t="str">
        <f aca="false">IF(R328="OK","","Billing completeness/reconciliation")</f>
        <v/>
      </c>
    </row>
    <row r="329" customFormat="false" ht="15" hidden="false" customHeight="false" outlineLevel="0" collapsed="false">
      <c r="A329" s="22" t="s">
        <v>7449</v>
      </c>
      <c r="B329" s="22" t="s">
        <v>159</v>
      </c>
      <c r="C329" s="22" t="s">
        <v>6562</v>
      </c>
      <c r="D329" s="22" t="n">
        <v>24</v>
      </c>
      <c r="E329" s="22" t="s">
        <v>6575</v>
      </c>
      <c r="F329" s="22" t="s">
        <v>6577</v>
      </c>
      <c r="G329" s="22" t="s">
        <v>5754</v>
      </c>
      <c r="H329" s="22" t="s">
        <v>5755</v>
      </c>
      <c r="I329" s="22" t="s">
        <v>1945</v>
      </c>
      <c r="J329" s="22" t="n">
        <v>23.3</v>
      </c>
      <c r="K329" s="22" t="n">
        <f aca="false">ROUNDUP(J329,0)</f>
        <v>24</v>
      </c>
      <c r="L329" s="22" t="n">
        <f aca="false">MAX(D329,K329)</f>
        <v>24</v>
      </c>
      <c r="M329" s="25" t="n">
        <f aca="false">IF(E329="COVERED",'Controls &amp; Sources'!$B$5,'Controls &amp; Sources'!$B$6)</f>
        <v>10.4</v>
      </c>
      <c r="N329" s="25" t="n">
        <f aca="false">L329*M329</f>
        <v>249.6</v>
      </c>
      <c r="O329" s="22" t="n">
        <f aca="false">COUNTIFS('Billing Actual'!$E$2:$E$770,A329,'Billing Actual'!$B$2:$B$770,'Controls &amp; Sources'!$B$7)</f>
        <v>1</v>
      </c>
      <c r="P329" s="25" t="n">
        <f aca="false">SUMIFS('Billing Actual'!$M$2:$M$770,'Billing Actual'!$E$2:$E$770,A329,'Billing Actual'!$B$2:$B$770,'Controls &amp; Sources'!$B$7)</f>
        <v>249.6</v>
      </c>
      <c r="Q329" s="25" t="n">
        <f aca="false">P329-N329</f>
        <v>0</v>
      </c>
      <c r="R329" s="22" t="str">
        <f aca="false">IF(O329=0,"No August moorage transaction",IF(O329&gt;1,"Duplicate August transactions",IF(ABS(Q329)&gt;0.005,"Charge variance","OK")))</f>
        <v>OK</v>
      </c>
      <c r="S329" s="22" t="str">
        <f aca="false">IF(R329="OK","","Billing completeness/reconciliation")</f>
        <v/>
      </c>
    </row>
    <row r="330" customFormat="false" ht="15" hidden="false" customHeight="false" outlineLevel="0" collapsed="false">
      <c r="A330" s="22" t="s">
        <v>7450</v>
      </c>
      <c r="B330" s="22" t="s">
        <v>159</v>
      </c>
      <c r="C330" s="22" t="s">
        <v>6562</v>
      </c>
      <c r="D330" s="22" t="n">
        <v>36</v>
      </c>
      <c r="E330" s="22" t="s">
        <v>6575</v>
      </c>
      <c r="F330" s="22" t="s">
        <v>6577</v>
      </c>
      <c r="G330" s="22" t="s">
        <v>5942</v>
      </c>
      <c r="H330" s="22" t="s">
        <v>5943</v>
      </c>
      <c r="I330" s="22" t="s">
        <v>370</v>
      </c>
      <c r="J330" s="22" t="n">
        <v>19</v>
      </c>
      <c r="K330" s="22" t="n">
        <f aca="false">ROUNDUP(J330,0)</f>
        <v>19</v>
      </c>
      <c r="L330" s="22" t="n">
        <f aca="false">MAX(D330,K330)</f>
        <v>36</v>
      </c>
      <c r="M330" s="25" t="n">
        <f aca="false">IF(E330="COVERED",'Controls &amp; Sources'!$B$5,'Controls &amp; Sources'!$B$6)</f>
        <v>10.4</v>
      </c>
      <c r="N330" s="25" t="n">
        <f aca="false">L330*M330</f>
        <v>374.4</v>
      </c>
      <c r="O330" s="22" t="n">
        <f aca="false">COUNTIFS('Billing Actual'!$E$2:$E$770,A330,'Billing Actual'!$B$2:$B$770,'Controls &amp; Sources'!$B$7)</f>
        <v>1</v>
      </c>
      <c r="P330" s="25" t="n">
        <f aca="false">SUMIFS('Billing Actual'!$M$2:$M$770,'Billing Actual'!$E$2:$E$770,A330,'Billing Actual'!$B$2:$B$770,'Controls &amp; Sources'!$B$7)</f>
        <v>374.4</v>
      </c>
      <c r="Q330" s="25" t="n">
        <f aca="false">P330-N330</f>
        <v>0</v>
      </c>
      <c r="R330" s="22" t="str">
        <f aca="false">IF(O330=0,"No August moorage transaction",IF(O330&gt;1,"Duplicate August transactions",IF(ABS(Q330)&gt;0.005,"Charge variance","OK")))</f>
        <v>OK</v>
      </c>
      <c r="S330" s="22" t="str">
        <f aca="false">IF(R330="OK","","Billing completeness/reconciliation")</f>
        <v/>
      </c>
    </row>
    <row r="331" customFormat="false" ht="15" hidden="false" customHeight="false" outlineLevel="0" collapsed="false">
      <c r="A331" s="22" t="s">
        <v>7452</v>
      </c>
      <c r="B331" s="22" t="s">
        <v>159</v>
      </c>
      <c r="C331" s="22" t="s">
        <v>6562</v>
      </c>
      <c r="D331" s="22" t="n">
        <v>32</v>
      </c>
      <c r="E331" s="22" t="s">
        <v>6575</v>
      </c>
      <c r="F331" s="22" t="s">
        <v>6577</v>
      </c>
      <c r="G331" s="22" t="s">
        <v>5453</v>
      </c>
      <c r="H331" s="22" t="s">
        <v>5454</v>
      </c>
      <c r="I331" s="22" t="s">
        <v>413</v>
      </c>
      <c r="J331" s="22" t="n">
        <v>25.7</v>
      </c>
      <c r="K331" s="22" t="n">
        <f aca="false">ROUNDUP(J331,0)</f>
        <v>26</v>
      </c>
      <c r="L331" s="22" t="n">
        <f aca="false">MAX(D331,K331)</f>
        <v>32</v>
      </c>
      <c r="M331" s="25" t="n">
        <f aca="false">IF(E331="COVERED",'Controls &amp; Sources'!$B$5,'Controls &amp; Sources'!$B$6)</f>
        <v>10.4</v>
      </c>
      <c r="N331" s="25" t="n">
        <f aca="false">L331*M331</f>
        <v>332.8</v>
      </c>
      <c r="O331" s="22" t="n">
        <f aca="false">COUNTIFS('Billing Actual'!$E$2:$E$770,A331,'Billing Actual'!$B$2:$B$770,'Controls &amp; Sources'!$B$7)</f>
        <v>1</v>
      </c>
      <c r="P331" s="25" t="n">
        <f aca="false">SUMIFS('Billing Actual'!$M$2:$M$770,'Billing Actual'!$E$2:$E$770,A331,'Billing Actual'!$B$2:$B$770,'Controls &amp; Sources'!$B$7)</f>
        <v>332.8</v>
      </c>
      <c r="Q331" s="25" t="n">
        <f aca="false">P331-N331</f>
        <v>0</v>
      </c>
      <c r="R331" s="22" t="str">
        <f aca="false">IF(O331=0,"No August moorage transaction",IF(O331&gt;1,"Duplicate August transactions",IF(ABS(Q331)&gt;0.005,"Charge variance","OK")))</f>
        <v>OK</v>
      </c>
      <c r="S331" s="22" t="str">
        <f aca="false">IF(R331="OK","","Billing completeness/reconciliation")</f>
        <v/>
      </c>
    </row>
    <row r="332" customFormat="false" ht="15" hidden="false" customHeight="false" outlineLevel="0" collapsed="false">
      <c r="A332" s="22" t="s">
        <v>7453</v>
      </c>
      <c r="B332" s="22" t="s">
        <v>159</v>
      </c>
      <c r="C332" s="22" t="s">
        <v>6562</v>
      </c>
      <c r="D332" s="22" t="n">
        <v>32</v>
      </c>
      <c r="E332" s="22" t="s">
        <v>6575</v>
      </c>
      <c r="F332" s="22" t="s">
        <v>6577</v>
      </c>
      <c r="G332" s="22" t="s">
        <v>5158</v>
      </c>
      <c r="H332" s="22" t="s">
        <v>5159</v>
      </c>
      <c r="I332" s="22" t="s">
        <v>428</v>
      </c>
      <c r="J332" s="22" t="n">
        <v>33.8</v>
      </c>
      <c r="K332" s="22" t="n">
        <f aca="false">ROUNDUP(J332,0)</f>
        <v>34</v>
      </c>
      <c r="L332" s="22" t="n">
        <f aca="false">MAX(D332,K332)</f>
        <v>34</v>
      </c>
      <c r="M332" s="25" t="n">
        <f aca="false">IF(E332="COVERED",'Controls &amp; Sources'!$B$5,'Controls &amp; Sources'!$B$6)</f>
        <v>10.4</v>
      </c>
      <c r="N332" s="25" t="n">
        <f aca="false">L332*M332</f>
        <v>353.6</v>
      </c>
      <c r="O332" s="22" t="n">
        <f aca="false">COUNTIFS('Billing Actual'!$E$2:$E$770,A332,'Billing Actual'!$B$2:$B$770,'Controls &amp; Sources'!$B$7)</f>
        <v>1</v>
      </c>
      <c r="P332" s="25" t="n">
        <f aca="false">SUMIFS('Billing Actual'!$M$2:$M$770,'Billing Actual'!$E$2:$E$770,A332,'Billing Actual'!$B$2:$B$770,'Controls &amp; Sources'!$B$7)</f>
        <v>353.6</v>
      </c>
      <c r="Q332" s="25" t="n">
        <f aca="false">P332-N332</f>
        <v>0</v>
      </c>
      <c r="R332" s="22" t="str">
        <f aca="false">IF(O332=0,"No August moorage transaction",IF(O332&gt;1,"Duplicate August transactions",IF(ABS(Q332)&gt;0.005,"Charge variance","OK")))</f>
        <v>OK</v>
      </c>
      <c r="S332" s="22" t="str">
        <f aca="false">IF(R332="OK","","Billing completeness/reconciliation")</f>
        <v/>
      </c>
    </row>
    <row r="333" customFormat="false" ht="15" hidden="false" customHeight="false" outlineLevel="0" collapsed="false">
      <c r="A333" s="22" t="s">
        <v>7454</v>
      </c>
      <c r="B333" s="22" t="s">
        <v>159</v>
      </c>
      <c r="C333" s="22" t="s">
        <v>6562</v>
      </c>
      <c r="D333" s="22" t="n">
        <v>32</v>
      </c>
      <c r="E333" s="22" t="s">
        <v>6575</v>
      </c>
      <c r="F333" s="22" t="s">
        <v>6577</v>
      </c>
      <c r="G333" s="22" t="s">
        <v>6502</v>
      </c>
      <c r="H333" s="22" t="s">
        <v>6503</v>
      </c>
      <c r="I333" s="22" t="s">
        <v>395</v>
      </c>
      <c r="J333" s="22" t="n">
        <v>32.3</v>
      </c>
      <c r="K333" s="22" t="n">
        <f aca="false">ROUNDUP(J333,0)</f>
        <v>33</v>
      </c>
      <c r="L333" s="22" t="n">
        <f aca="false">MAX(D333,K333)</f>
        <v>33</v>
      </c>
      <c r="M333" s="25" t="n">
        <f aca="false">IF(E333="COVERED",'Controls &amp; Sources'!$B$5,'Controls &amp; Sources'!$B$6)</f>
        <v>10.4</v>
      </c>
      <c r="N333" s="25" t="n">
        <f aca="false">L333*M333</f>
        <v>343.2</v>
      </c>
      <c r="O333" s="22" t="n">
        <f aca="false">COUNTIFS('Billing Actual'!$E$2:$E$770,A333,'Billing Actual'!$B$2:$B$770,'Controls &amp; Sources'!$B$7)</f>
        <v>1</v>
      </c>
      <c r="P333" s="25" t="n">
        <f aca="false">SUMIFS('Billing Actual'!$M$2:$M$770,'Billing Actual'!$E$2:$E$770,A333,'Billing Actual'!$B$2:$B$770,'Controls &amp; Sources'!$B$7)</f>
        <v>343.2</v>
      </c>
      <c r="Q333" s="25" t="n">
        <f aca="false">P333-N333</f>
        <v>0</v>
      </c>
      <c r="R333" s="22" t="str">
        <f aca="false">IF(O333=0,"No August moorage transaction",IF(O333&gt;1,"Duplicate August transactions",IF(ABS(Q333)&gt;0.005,"Charge variance","OK")))</f>
        <v>OK</v>
      </c>
      <c r="S333" s="22" t="str">
        <f aca="false">IF(R333="OK","","Billing completeness/reconciliation")</f>
        <v/>
      </c>
    </row>
    <row r="334" customFormat="false" ht="15" hidden="false" customHeight="false" outlineLevel="0" collapsed="false">
      <c r="A334" s="22" t="s">
        <v>7456</v>
      </c>
      <c r="B334" s="22" t="s">
        <v>159</v>
      </c>
      <c r="C334" s="22" t="s">
        <v>6562</v>
      </c>
      <c r="D334" s="22" t="n">
        <v>24</v>
      </c>
      <c r="E334" s="22" t="s">
        <v>6575</v>
      </c>
      <c r="F334" s="22" t="s">
        <v>6577</v>
      </c>
      <c r="G334" s="22" t="s">
        <v>776</v>
      </c>
      <c r="H334" s="22" t="s">
        <v>777</v>
      </c>
      <c r="I334" s="22" t="s">
        <v>778</v>
      </c>
      <c r="J334" s="22" t="n">
        <v>27.2</v>
      </c>
      <c r="K334" s="22" t="n">
        <f aca="false">ROUNDUP(J334,0)</f>
        <v>28</v>
      </c>
      <c r="L334" s="22" t="n">
        <f aca="false">MAX(D334,K334)</f>
        <v>28</v>
      </c>
      <c r="M334" s="25" t="n">
        <f aca="false">IF(E334="COVERED",'Controls &amp; Sources'!$B$5,'Controls &amp; Sources'!$B$6)</f>
        <v>10.4</v>
      </c>
      <c r="N334" s="25" t="n">
        <f aca="false">L334*M334</f>
        <v>291.2</v>
      </c>
      <c r="O334" s="22" t="n">
        <f aca="false">COUNTIFS('Billing Actual'!$E$2:$E$770,A334,'Billing Actual'!$B$2:$B$770,'Controls &amp; Sources'!$B$7)</f>
        <v>1</v>
      </c>
      <c r="P334" s="25" t="n">
        <f aca="false">SUMIFS('Billing Actual'!$M$2:$M$770,'Billing Actual'!$E$2:$E$770,A334,'Billing Actual'!$B$2:$B$770,'Controls &amp; Sources'!$B$7)</f>
        <v>291.2</v>
      </c>
      <c r="Q334" s="25" t="n">
        <f aca="false">P334-N334</f>
        <v>0</v>
      </c>
      <c r="R334" s="22" t="str">
        <f aca="false">IF(O334=0,"No August moorage transaction",IF(O334&gt;1,"Duplicate August transactions",IF(ABS(Q334)&gt;0.005,"Charge variance","OK")))</f>
        <v>OK</v>
      </c>
      <c r="S334" s="22" t="str">
        <f aca="false">IF(R334="OK","","Billing completeness/reconciliation")</f>
        <v/>
      </c>
    </row>
    <row r="335" customFormat="false" ht="15" hidden="false" customHeight="false" outlineLevel="0" collapsed="false">
      <c r="A335" s="22" t="s">
        <v>7460</v>
      </c>
      <c r="B335" s="22" t="s">
        <v>159</v>
      </c>
      <c r="C335" s="22" t="s">
        <v>6562</v>
      </c>
      <c r="D335" s="22" t="n">
        <v>36</v>
      </c>
      <c r="E335" s="22" t="s">
        <v>6575</v>
      </c>
      <c r="F335" s="22" t="s">
        <v>6577</v>
      </c>
      <c r="G335" s="22" t="s">
        <v>6396</v>
      </c>
      <c r="H335" s="22" t="s">
        <v>6397</v>
      </c>
      <c r="I335" s="22" t="s">
        <v>4620</v>
      </c>
      <c r="J335" s="22" t="n">
        <v>31.6</v>
      </c>
      <c r="K335" s="22" t="n">
        <f aca="false">ROUNDUP(J335,0)</f>
        <v>32</v>
      </c>
      <c r="L335" s="22" t="n">
        <f aca="false">MAX(D335,K335)</f>
        <v>36</v>
      </c>
      <c r="M335" s="25" t="n">
        <f aca="false">IF(E335="COVERED",'Controls &amp; Sources'!$B$5,'Controls &amp; Sources'!$B$6)</f>
        <v>10.4</v>
      </c>
      <c r="N335" s="25" t="n">
        <f aca="false">L335*M335</f>
        <v>374.4</v>
      </c>
      <c r="O335" s="22" t="n">
        <f aca="false">COUNTIFS('Billing Actual'!$E$2:$E$770,A335,'Billing Actual'!$B$2:$B$770,'Controls &amp; Sources'!$B$7)</f>
        <v>1</v>
      </c>
      <c r="P335" s="25" t="n">
        <f aca="false">SUMIFS('Billing Actual'!$M$2:$M$770,'Billing Actual'!$E$2:$E$770,A335,'Billing Actual'!$B$2:$B$770,'Controls &amp; Sources'!$B$7)</f>
        <v>374.4</v>
      </c>
      <c r="Q335" s="25" t="n">
        <f aca="false">P335-N335</f>
        <v>0</v>
      </c>
      <c r="R335" s="22" t="str">
        <f aca="false">IF(O335=0,"No August moorage transaction",IF(O335&gt;1,"Duplicate August transactions",IF(ABS(Q335)&gt;0.005,"Charge variance","OK")))</f>
        <v>OK</v>
      </c>
      <c r="S335" s="22" t="str">
        <f aca="false">IF(R335="OK","","Billing completeness/reconciliation")</f>
        <v/>
      </c>
    </row>
    <row r="336" customFormat="false" ht="15" hidden="false" customHeight="false" outlineLevel="0" collapsed="false">
      <c r="A336" s="22" t="s">
        <v>7462</v>
      </c>
      <c r="B336" s="22" t="s">
        <v>159</v>
      </c>
      <c r="C336" s="22" t="s">
        <v>6562</v>
      </c>
      <c r="D336" s="22" t="n">
        <v>24</v>
      </c>
      <c r="E336" s="22" t="s">
        <v>6575</v>
      </c>
      <c r="F336" s="22" t="s">
        <v>6577</v>
      </c>
      <c r="G336" s="22" t="s">
        <v>4842</v>
      </c>
      <c r="H336" s="22" t="s">
        <v>4843</v>
      </c>
      <c r="I336" s="22" t="s">
        <v>2468</v>
      </c>
      <c r="J336" s="22" t="n">
        <v>30.1</v>
      </c>
      <c r="K336" s="22" t="n">
        <f aca="false">ROUNDUP(J336,0)</f>
        <v>31</v>
      </c>
      <c r="L336" s="22" t="n">
        <f aca="false">MAX(D336,K336)</f>
        <v>31</v>
      </c>
      <c r="M336" s="25" t="n">
        <f aca="false">IF(E336="COVERED",'Controls &amp; Sources'!$B$5,'Controls &amp; Sources'!$B$6)</f>
        <v>10.4</v>
      </c>
      <c r="N336" s="25" t="n">
        <f aca="false">L336*M336</f>
        <v>322.4</v>
      </c>
      <c r="O336" s="22" t="n">
        <f aca="false">COUNTIFS('Billing Actual'!$E$2:$E$770,A336,'Billing Actual'!$B$2:$B$770,'Controls &amp; Sources'!$B$7)</f>
        <v>1</v>
      </c>
      <c r="P336" s="25" t="n">
        <f aca="false">SUMIFS('Billing Actual'!$M$2:$M$770,'Billing Actual'!$E$2:$E$770,A336,'Billing Actual'!$B$2:$B$770,'Controls &amp; Sources'!$B$7)</f>
        <v>322.4</v>
      </c>
      <c r="Q336" s="25" t="n">
        <f aca="false">P336-N336</f>
        <v>0</v>
      </c>
      <c r="R336" s="22" t="str">
        <f aca="false">IF(O336=0,"No August moorage transaction",IF(O336&gt;1,"Duplicate August transactions",IF(ABS(Q336)&gt;0.005,"Charge variance","OK")))</f>
        <v>OK</v>
      </c>
      <c r="S336" s="22" t="str">
        <f aca="false">IF(R336="OK","","Billing completeness/reconciliation")</f>
        <v/>
      </c>
    </row>
    <row r="337" customFormat="false" ht="15" hidden="false" customHeight="false" outlineLevel="0" collapsed="false">
      <c r="A337" s="22" t="s">
        <v>7463</v>
      </c>
      <c r="B337" s="22" t="s">
        <v>159</v>
      </c>
      <c r="C337" s="22" t="s">
        <v>6562</v>
      </c>
      <c r="D337" s="22" t="n">
        <v>40</v>
      </c>
      <c r="E337" s="22" t="s">
        <v>6575</v>
      </c>
      <c r="F337" s="22" t="s">
        <v>6577</v>
      </c>
      <c r="G337" s="22" t="s">
        <v>4355</v>
      </c>
      <c r="H337" s="22" t="s">
        <v>4356</v>
      </c>
      <c r="I337" s="22" t="s">
        <v>802</v>
      </c>
      <c r="J337" s="22" t="n">
        <v>48.8</v>
      </c>
      <c r="K337" s="22" t="n">
        <f aca="false">ROUNDUP(J337,0)</f>
        <v>49</v>
      </c>
      <c r="L337" s="22" t="n">
        <f aca="false">MAX(D337,K337)</f>
        <v>49</v>
      </c>
      <c r="M337" s="25" t="n">
        <f aca="false">IF(E337="COVERED",'Controls &amp; Sources'!$B$5,'Controls &amp; Sources'!$B$6)</f>
        <v>10.4</v>
      </c>
      <c r="N337" s="25" t="n">
        <f aca="false">L337*M337</f>
        <v>509.6</v>
      </c>
      <c r="O337" s="22" t="n">
        <f aca="false">COUNTIFS('Billing Actual'!$E$2:$E$770,A337,'Billing Actual'!$B$2:$B$770,'Controls &amp; Sources'!$B$7)</f>
        <v>1</v>
      </c>
      <c r="P337" s="25" t="n">
        <f aca="false">SUMIFS('Billing Actual'!$M$2:$M$770,'Billing Actual'!$E$2:$E$770,A337,'Billing Actual'!$B$2:$B$770,'Controls &amp; Sources'!$B$7)</f>
        <v>509.6</v>
      </c>
      <c r="Q337" s="25" t="n">
        <f aca="false">P337-N337</f>
        <v>0</v>
      </c>
      <c r="R337" s="22" t="str">
        <f aca="false">IF(O337=0,"No August moorage transaction",IF(O337&gt;1,"Duplicate August transactions",IF(ABS(Q337)&gt;0.005,"Charge variance","OK")))</f>
        <v>OK</v>
      </c>
      <c r="S337" s="22" t="str">
        <f aca="false">IF(R337="OK","","Billing completeness/reconciliation")</f>
        <v/>
      </c>
    </row>
    <row r="338" customFormat="false" ht="15" hidden="false" customHeight="false" outlineLevel="0" collapsed="false">
      <c r="A338" s="22" t="s">
        <v>7465</v>
      </c>
      <c r="B338" s="22" t="s">
        <v>159</v>
      </c>
      <c r="C338" s="22" t="s">
        <v>6562</v>
      </c>
      <c r="D338" s="22" t="n">
        <v>28</v>
      </c>
      <c r="E338" s="22" t="s">
        <v>6575</v>
      </c>
      <c r="F338" s="22" t="s">
        <v>6577</v>
      </c>
      <c r="G338" s="22" t="s">
        <v>5891</v>
      </c>
      <c r="H338" s="22" t="s">
        <v>5892</v>
      </c>
      <c r="I338" s="22" t="s">
        <v>2177</v>
      </c>
      <c r="J338" s="22" t="n">
        <v>36.2</v>
      </c>
      <c r="K338" s="22" t="n">
        <f aca="false">ROUNDUP(J338,0)</f>
        <v>37</v>
      </c>
      <c r="L338" s="22" t="n">
        <f aca="false">MAX(D338,K338)</f>
        <v>37</v>
      </c>
      <c r="M338" s="25" t="n">
        <f aca="false">IF(E338="COVERED",'Controls &amp; Sources'!$B$5,'Controls &amp; Sources'!$B$6)</f>
        <v>10.4</v>
      </c>
      <c r="N338" s="25" t="n">
        <f aca="false">L338*M338</f>
        <v>384.8</v>
      </c>
      <c r="O338" s="22" t="n">
        <f aca="false">COUNTIFS('Billing Actual'!$E$2:$E$770,A338,'Billing Actual'!$B$2:$B$770,'Controls &amp; Sources'!$B$7)</f>
        <v>1</v>
      </c>
      <c r="P338" s="25" t="n">
        <f aca="false">SUMIFS('Billing Actual'!$M$2:$M$770,'Billing Actual'!$E$2:$E$770,A338,'Billing Actual'!$B$2:$B$770,'Controls &amp; Sources'!$B$7)</f>
        <v>384.8</v>
      </c>
      <c r="Q338" s="25" t="n">
        <f aca="false">P338-N338</f>
        <v>0</v>
      </c>
      <c r="R338" s="22" t="str">
        <f aca="false">IF(O338=0,"No August moorage transaction",IF(O338&gt;1,"Duplicate August transactions",IF(ABS(Q338)&gt;0.005,"Charge variance","OK")))</f>
        <v>OK</v>
      </c>
      <c r="S338" s="22" t="str">
        <f aca="false">IF(R338="OK","","Billing completeness/reconciliation")</f>
        <v/>
      </c>
    </row>
    <row r="339" customFormat="false" ht="15" hidden="false" customHeight="false" outlineLevel="0" collapsed="false">
      <c r="A339" s="22" t="s">
        <v>7467</v>
      </c>
      <c r="B339" s="22" t="s">
        <v>159</v>
      </c>
      <c r="C339" s="22" t="s">
        <v>6562</v>
      </c>
      <c r="D339" s="22" t="n">
        <v>32</v>
      </c>
      <c r="E339" s="22" t="s">
        <v>6575</v>
      </c>
      <c r="F339" s="22" t="s">
        <v>6577</v>
      </c>
      <c r="G339" s="22" t="s">
        <v>2923</v>
      </c>
      <c r="H339" s="22" t="s">
        <v>1005</v>
      </c>
      <c r="I339" s="22" t="s">
        <v>1974</v>
      </c>
      <c r="J339" s="22" t="n">
        <v>40.1</v>
      </c>
      <c r="K339" s="22" t="n">
        <f aca="false">ROUNDUP(J339,0)</f>
        <v>41</v>
      </c>
      <c r="L339" s="22" t="n">
        <f aca="false">MAX(D339,K339)</f>
        <v>41</v>
      </c>
      <c r="M339" s="25" t="n">
        <f aca="false">IF(E339="COVERED",'Controls &amp; Sources'!$B$5,'Controls &amp; Sources'!$B$6)</f>
        <v>10.4</v>
      </c>
      <c r="N339" s="25" t="n">
        <f aca="false">L339*M339</f>
        <v>426.4</v>
      </c>
      <c r="O339" s="22" t="n">
        <f aca="false">COUNTIFS('Billing Actual'!$E$2:$E$770,A339,'Billing Actual'!$B$2:$B$770,'Controls &amp; Sources'!$B$7)</f>
        <v>1</v>
      </c>
      <c r="P339" s="25" t="n">
        <f aca="false">SUMIFS('Billing Actual'!$M$2:$M$770,'Billing Actual'!$E$2:$E$770,A339,'Billing Actual'!$B$2:$B$770,'Controls &amp; Sources'!$B$7)</f>
        <v>426.4</v>
      </c>
      <c r="Q339" s="25" t="n">
        <f aca="false">P339-N339</f>
        <v>0</v>
      </c>
      <c r="R339" s="22" t="str">
        <f aca="false">IF(O339=0,"No August moorage transaction",IF(O339&gt;1,"Duplicate August transactions",IF(ABS(Q339)&gt;0.005,"Charge variance","OK")))</f>
        <v>OK</v>
      </c>
      <c r="S339" s="22" t="str">
        <f aca="false">IF(R339="OK","","Billing completeness/reconciliation")</f>
        <v/>
      </c>
    </row>
    <row r="340" customFormat="false" ht="15" hidden="false" customHeight="false" outlineLevel="0" collapsed="false">
      <c r="A340" s="22" t="s">
        <v>7471</v>
      </c>
      <c r="B340" s="22" t="s">
        <v>159</v>
      </c>
      <c r="C340" s="22" t="s">
        <v>6562</v>
      </c>
      <c r="D340" s="22" t="n">
        <v>36</v>
      </c>
      <c r="E340" s="22" t="s">
        <v>6575</v>
      </c>
      <c r="F340" s="22" t="s">
        <v>6577</v>
      </c>
      <c r="G340" s="22" t="s">
        <v>6208</v>
      </c>
      <c r="H340" s="22" t="s">
        <v>6209</v>
      </c>
      <c r="I340" s="22" t="s">
        <v>2201</v>
      </c>
      <c r="J340" s="22" t="n">
        <v>51.6</v>
      </c>
      <c r="K340" s="22" t="n">
        <f aca="false">ROUNDUP(J340,0)</f>
        <v>52</v>
      </c>
      <c r="L340" s="22" t="n">
        <f aca="false">MAX(D340,K340)</f>
        <v>52</v>
      </c>
      <c r="M340" s="25" t="n">
        <f aca="false">IF(E340="COVERED",'Controls &amp; Sources'!$B$5,'Controls &amp; Sources'!$B$6)</f>
        <v>10.4</v>
      </c>
      <c r="N340" s="25" t="n">
        <f aca="false">L340*M340</f>
        <v>540.8</v>
      </c>
      <c r="O340" s="22" t="n">
        <f aca="false">COUNTIFS('Billing Actual'!$E$2:$E$770,A340,'Billing Actual'!$B$2:$B$770,'Controls &amp; Sources'!$B$7)</f>
        <v>1</v>
      </c>
      <c r="P340" s="25" t="n">
        <f aca="false">SUMIFS('Billing Actual'!$M$2:$M$770,'Billing Actual'!$E$2:$E$770,A340,'Billing Actual'!$B$2:$B$770,'Controls &amp; Sources'!$B$7)</f>
        <v>540.8</v>
      </c>
      <c r="Q340" s="25" t="n">
        <f aca="false">P340-N340</f>
        <v>0</v>
      </c>
      <c r="R340" s="22" t="str">
        <f aca="false">IF(O340=0,"No August moorage transaction",IF(O340&gt;1,"Duplicate August transactions",IF(ABS(Q340)&gt;0.005,"Charge variance","OK")))</f>
        <v>OK</v>
      </c>
      <c r="S340" s="22" t="str">
        <f aca="false">IF(R340="OK","","Billing completeness/reconciliation")</f>
        <v/>
      </c>
    </row>
    <row r="341" customFormat="false" ht="15" hidden="false" customHeight="false" outlineLevel="0" collapsed="false">
      <c r="A341" s="22" t="s">
        <v>7472</v>
      </c>
      <c r="B341" s="22" t="s">
        <v>159</v>
      </c>
      <c r="C341" s="22" t="s">
        <v>6562</v>
      </c>
      <c r="D341" s="22" t="n">
        <v>36</v>
      </c>
      <c r="E341" s="22" t="s">
        <v>6575</v>
      </c>
      <c r="F341" s="22" t="s">
        <v>6577</v>
      </c>
      <c r="G341" s="22" t="s">
        <v>5424</v>
      </c>
      <c r="H341" s="22" t="s">
        <v>5425</v>
      </c>
      <c r="I341" s="22" t="s">
        <v>451</v>
      </c>
      <c r="J341" s="22" t="n">
        <v>54.4</v>
      </c>
      <c r="K341" s="22" t="n">
        <f aca="false">ROUNDUP(J341,0)</f>
        <v>55</v>
      </c>
      <c r="L341" s="22" t="n">
        <f aca="false">MAX(D341,K341)</f>
        <v>55</v>
      </c>
      <c r="M341" s="25" t="n">
        <f aca="false">IF(E341="COVERED",'Controls &amp; Sources'!$B$5,'Controls &amp; Sources'!$B$6)</f>
        <v>10.4</v>
      </c>
      <c r="N341" s="25" t="n">
        <f aca="false">L341*M341</f>
        <v>572</v>
      </c>
      <c r="O341" s="22" t="n">
        <f aca="false">COUNTIFS('Billing Actual'!$E$2:$E$770,A341,'Billing Actual'!$B$2:$B$770,'Controls &amp; Sources'!$B$7)</f>
        <v>1</v>
      </c>
      <c r="P341" s="25" t="n">
        <f aca="false">SUMIFS('Billing Actual'!$M$2:$M$770,'Billing Actual'!$E$2:$E$770,A341,'Billing Actual'!$B$2:$B$770,'Controls &amp; Sources'!$B$7)</f>
        <v>572</v>
      </c>
      <c r="Q341" s="25" t="n">
        <f aca="false">P341-N341</f>
        <v>0</v>
      </c>
      <c r="R341" s="22" t="str">
        <f aca="false">IF(O341=0,"No August moorage transaction",IF(O341&gt;1,"Duplicate August transactions",IF(ABS(Q341)&gt;0.005,"Charge variance","OK")))</f>
        <v>OK</v>
      </c>
      <c r="S341" s="22" t="str">
        <f aca="false">IF(R341="OK","","Billing completeness/reconciliation")</f>
        <v/>
      </c>
    </row>
    <row r="342" customFormat="false" ht="15" hidden="false" customHeight="false" outlineLevel="0" collapsed="false">
      <c r="A342" s="22" t="s">
        <v>7473</v>
      </c>
      <c r="B342" s="22" t="s">
        <v>159</v>
      </c>
      <c r="C342" s="22" t="s">
        <v>6562</v>
      </c>
      <c r="D342" s="22" t="n">
        <v>28</v>
      </c>
      <c r="E342" s="22" t="s">
        <v>6575</v>
      </c>
      <c r="F342" s="22" t="s">
        <v>6577</v>
      </c>
      <c r="G342" s="22" t="s">
        <v>5044</v>
      </c>
      <c r="H342" s="22" t="s">
        <v>5045</v>
      </c>
      <c r="I342" s="22" t="s">
        <v>194</v>
      </c>
      <c r="J342" s="22" t="n">
        <v>39.5</v>
      </c>
      <c r="K342" s="22" t="n">
        <f aca="false">ROUNDUP(J342,0)</f>
        <v>40</v>
      </c>
      <c r="L342" s="22" t="n">
        <f aca="false">MAX(D342,K342)</f>
        <v>40</v>
      </c>
      <c r="M342" s="25" t="n">
        <f aca="false">IF(E342="COVERED",'Controls &amp; Sources'!$B$5,'Controls &amp; Sources'!$B$6)</f>
        <v>10.4</v>
      </c>
      <c r="N342" s="25" t="n">
        <f aca="false">L342*M342</f>
        <v>416</v>
      </c>
      <c r="O342" s="22" t="n">
        <f aca="false">COUNTIFS('Billing Actual'!$E$2:$E$770,A342,'Billing Actual'!$B$2:$B$770,'Controls &amp; Sources'!$B$7)</f>
        <v>1</v>
      </c>
      <c r="P342" s="25" t="n">
        <f aca="false">SUMIFS('Billing Actual'!$M$2:$M$770,'Billing Actual'!$E$2:$E$770,A342,'Billing Actual'!$B$2:$B$770,'Controls &amp; Sources'!$B$7)</f>
        <v>416</v>
      </c>
      <c r="Q342" s="25" t="n">
        <f aca="false">P342-N342</f>
        <v>0</v>
      </c>
      <c r="R342" s="22" t="str">
        <f aca="false">IF(O342=0,"No August moorage transaction",IF(O342&gt;1,"Duplicate August transactions",IF(ABS(Q342)&gt;0.005,"Charge variance","OK")))</f>
        <v>OK</v>
      </c>
      <c r="S342" s="22" t="str">
        <f aca="false">IF(R342="OK","","Billing completeness/reconciliation")</f>
        <v/>
      </c>
    </row>
    <row r="343" customFormat="false" ht="15" hidden="false" customHeight="false" outlineLevel="0" collapsed="false">
      <c r="A343" s="22" t="s">
        <v>7475</v>
      </c>
      <c r="B343" s="22" t="s">
        <v>159</v>
      </c>
      <c r="C343" s="22" t="s">
        <v>6562</v>
      </c>
      <c r="D343" s="22" t="n">
        <v>40</v>
      </c>
      <c r="E343" s="22" t="s">
        <v>6575</v>
      </c>
      <c r="F343" s="22" t="s">
        <v>6577</v>
      </c>
      <c r="G343" s="22" t="s">
        <v>1595</v>
      </c>
      <c r="H343" s="22" t="s">
        <v>1596</v>
      </c>
      <c r="I343" s="22" t="s">
        <v>422</v>
      </c>
      <c r="J343" s="22" t="n">
        <v>29.8</v>
      </c>
      <c r="K343" s="22" t="n">
        <f aca="false">ROUNDUP(J343,0)</f>
        <v>30</v>
      </c>
      <c r="L343" s="22" t="n">
        <f aca="false">MAX(D343,K343)</f>
        <v>40</v>
      </c>
      <c r="M343" s="25" t="n">
        <f aca="false">IF(E343="COVERED",'Controls &amp; Sources'!$B$5,'Controls &amp; Sources'!$B$6)</f>
        <v>10.4</v>
      </c>
      <c r="N343" s="25" t="n">
        <f aca="false">L343*M343</f>
        <v>416</v>
      </c>
      <c r="O343" s="22" t="n">
        <f aca="false">COUNTIFS('Billing Actual'!$E$2:$E$770,A343,'Billing Actual'!$B$2:$B$770,'Controls &amp; Sources'!$B$7)</f>
        <v>1</v>
      </c>
      <c r="P343" s="25" t="n">
        <f aca="false">SUMIFS('Billing Actual'!$M$2:$M$770,'Billing Actual'!$E$2:$E$770,A343,'Billing Actual'!$B$2:$B$770,'Controls &amp; Sources'!$B$7)</f>
        <v>416</v>
      </c>
      <c r="Q343" s="25" t="n">
        <f aca="false">P343-N343</f>
        <v>0</v>
      </c>
      <c r="R343" s="22" t="str">
        <f aca="false">IF(O343=0,"No August moorage transaction",IF(O343&gt;1,"Duplicate August transactions",IF(ABS(Q343)&gt;0.005,"Charge variance","OK")))</f>
        <v>OK</v>
      </c>
      <c r="S343" s="22" t="str">
        <f aca="false">IF(R343="OK","","Billing completeness/reconciliation")</f>
        <v/>
      </c>
    </row>
    <row r="344" customFormat="false" ht="15" hidden="false" customHeight="false" outlineLevel="0" collapsed="false">
      <c r="A344" s="22" t="s">
        <v>7476</v>
      </c>
      <c r="B344" s="22" t="s">
        <v>159</v>
      </c>
      <c r="C344" s="22" t="s">
        <v>6562</v>
      </c>
      <c r="D344" s="22" t="n">
        <v>24</v>
      </c>
      <c r="E344" s="22" t="s">
        <v>6575</v>
      </c>
      <c r="F344" s="22" t="s">
        <v>6577</v>
      </c>
      <c r="G344" s="22" t="s">
        <v>2274</v>
      </c>
      <c r="H344" s="22" t="s">
        <v>2275</v>
      </c>
      <c r="I344" s="22" t="s">
        <v>1024</v>
      </c>
      <c r="J344" s="22" t="n">
        <v>53.2</v>
      </c>
      <c r="K344" s="22" t="n">
        <f aca="false">ROUNDUP(J344,0)</f>
        <v>54</v>
      </c>
      <c r="L344" s="22" t="n">
        <f aca="false">MAX(D344,K344)</f>
        <v>54</v>
      </c>
      <c r="M344" s="25" t="n">
        <f aca="false">IF(E344="COVERED",'Controls &amp; Sources'!$B$5,'Controls &amp; Sources'!$B$6)</f>
        <v>10.4</v>
      </c>
      <c r="N344" s="25" t="n">
        <f aca="false">L344*M344</f>
        <v>561.6</v>
      </c>
      <c r="O344" s="22" t="n">
        <f aca="false">COUNTIFS('Billing Actual'!$E$2:$E$770,A344,'Billing Actual'!$B$2:$B$770,'Controls &amp; Sources'!$B$7)</f>
        <v>1</v>
      </c>
      <c r="P344" s="25" t="n">
        <f aca="false">SUMIFS('Billing Actual'!$M$2:$M$770,'Billing Actual'!$E$2:$E$770,A344,'Billing Actual'!$B$2:$B$770,'Controls &amp; Sources'!$B$7)</f>
        <v>561.6</v>
      </c>
      <c r="Q344" s="25" t="n">
        <f aca="false">P344-N344</f>
        <v>0</v>
      </c>
      <c r="R344" s="22" t="str">
        <f aca="false">IF(O344=0,"No August moorage transaction",IF(O344&gt;1,"Duplicate August transactions",IF(ABS(Q344)&gt;0.005,"Charge variance","OK")))</f>
        <v>OK</v>
      </c>
      <c r="S344" s="22" t="str">
        <f aca="false">IF(R344="OK","","Billing completeness/reconciliation")</f>
        <v/>
      </c>
    </row>
    <row r="345" customFormat="false" ht="15" hidden="false" customHeight="false" outlineLevel="0" collapsed="false">
      <c r="A345" s="22" t="s">
        <v>7477</v>
      </c>
      <c r="B345" s="22" t="s">
        <v>159</v>
      </c>
      <c r="C345" s="22" t="s">
        <v>6562</v>
      </c>
      <c r="D345" s="22" t="n">
        <v>28</v>
      </c>
      <c r="E345" s="22" t="s">
        <v>6575</v>
      </c>
      <c r="F345" s="22" t="s">
        <v>6577</v>
      </c>
      <c r="G345" s="22" t="s">
        <v>3350</v>
      </c>
      <c r="H345" s="22" t="s">
        <v>3351</v>
      </c>
      <c r="I345" s="22" t="s">
        <v>1115</v>
      </c>
      <c r="J345" s="22" t="n">
        <v>33</v>
      </c>
      <c r="K345" s="22" t="n">
        <f aca="false">ROUNDUP(J345,0)</f>
        <v>33</v>
      </c>
      <c r="L345" s="22" t="n">
        <f aca="false">MAX(D345,K345)</f>
        <v>33</v>
      </c>
      <c r="M345" s="25" t="n">
        <f aca="false">IF(E345="COVERED",'Controls &amp; Sources'!$B$5,'Controls &amp; Sources'!$B$6)</f>
        <v>10.4</v>
      </c>
      <c r="N345" s="25" t="n">
        <f aca="false">L345*M345</f>
        <v>343.2</v>
      </c>
      <c r="O345" s="22" t="n">
        <f aca="false">COUNTIFS('Billing Actual'!$E$2:$E$770,A345,'Billing Actual'!$B$2:$B$770,'Controls &amp; Sources'!$B$7)</f>
        <v>1</v>
      </c>
      <c r="P345" s="25" t="n">
        <f aca="false">SUMIFS('Billing Actual'!$M$2:$M$770,'Billing Actual'!$E$2:$E$770,A345,'Billing Actual'!$B$2:$B$770,'Controls &amp; Sources'!$B$7)</f>
        <v>343.2</v>
      </c>
      <c r="Q345" s="25" t="n">
        <f aca="false">P345-N345</f>
        <v>0</v>
      </c>
      <c r="R345" s="22" t="str">
        <f aca="false">IF(O345=0,"No August moorage transaction",IF(O345&gt;1,"Duplicate August transactions",IF(ABS(Q345)&gt;0.005,"Charge variance","OK")))</f>
        <v>OK</v>
      </c>
      <c r="S345" s="22" t="str">
        <f aca="false">IF(R345="OK","","Billing completeness/reconciliation")</f>
        <v/>
      </c>
    </row>
    <row r="346" customFormat="false" ht="15" hidden="false" customHeight="false" outlineLevel="0" collapsed="false">
      <c r="A346" s="22" t="s">
        <v>7478</v>
      </c>
      <c r="B346" s="22" t="s">
        <v>159</v>
      </c>
      <c r="C346" s="22" t="s">
        <v>6562</v>
      </c>
      <c r="D346" s="22" t="n">
        <v>40</v>
      </c>
      <c r="E346" s="22" t="s">
        <v>6575</v>
      </c>
      <c r="F346" s="22" t="s">
        <v>6577</v>
      </c>
      <c r="G346" s="22" t="s">
        <v>6398</v>
      </c>
      <c r="H346" s="22" t="s">
        <v>4736</v>
      </c>
      <c r="I346" s="22" t="s">
        <v>1232</v>
      </c>
      <c r="J346" s="22" t="n">
        <v>21</v>
      </c>
      <c r="K346" s="22" t="n">
        <f aca="false">ROUNDUP(J346,0)</f>
        <v>21</v>
      </c>
      <c r="L346" s="22" t="n">
        <f aca="false">MAX(D346,K346)</f>
        <v>40</v>
      </c>
      <c r="M346" s="25" t="n">
        <f aca="false">IF(E346="COVERED",'Controls &amp; Sources'!$B$5,'Controls &amp; Sources'!$B$6)</f>
        <v>10.4</v>
      </c>
      <c r="N346" s="25" t="n">
        <f aca="false">L346*M346</f>
        <v>416</v>
      </c>
      <c r="O346" s="22" t="n">
        <f aca="false">COUNTIFS('Billing Actual'!$E$2:$E$770,A346,'Billing Actual'!$B$2:$B$770,'Controls &amp; Sources'!$B$7)</f>
        <v>1</v>
      </c>
      <c r="P346" s="25" t="n">
        <f aca="false">SUMIFS('Billing Actual'!$M$2:$M$770,'Billing Actual'!$E$2:$E$770,A346,'Billing Actual'!$B$2:$B$770,'Controls &amp; Sources'!$B$7)</f>
        <v>416</v>
      </c>
      <c r="Q346" s="25" t="n">
        <f aca="false">P346-N346</f>
        <v>0</v>
      </c>
      <c r="R346" s="22" t="str">
        <f aca="false">IF(O346=0,"No August moorage transaction",IF(O346&gt;1,"Duplicate August transactions",IF(ABS(Q346)&gt;0.005,"Charge variance","OK")))</f>
        <v>OK</v>
      </c>
      <c r="S346" s="22" t="str">
        <f aca="false">IF(R346="OK","","Billing completeness/reconciliation")</f>
        <v/>
      </c>
    </row>
    <row r="347" customFormat="false" ht="15" hidden="false" customHeight="false" outlineLevel="0" collapsed="false">
      <c r="A347" s="22" t="s">
        <v>7479</v>
      </c>
      <c r="B347" s="22" t="s">
        <v>159</v>
      </c>
      <c r="C347" s="22" t="s">
        <v>6562</v>
      </c>
      <c r="D347" s="22" t="n">
        <v>28</v>
      </c>
      <c r="E347" s="22" t="s">
        <v>6575</v>
      </c>
      <c r="F347" s="22" t="s">
        <v>6577</v>
      </c>
      <c r="G347" s="22" t="s">
        <v>2718</v>
      </c>
      <c r="H347" s="22" t="s">
        <v>2719</v>
      </c>
      <c r="I347" s="22" t="s">
        <v>2720</v>
      </c>
      <c r="J347" s="22" t="n">
        <v>46.2</v>
      </c>
      <c r="K347" s="22" t="n">
        <f aca="false">ROUNDUP(J347,0)</f>
        <v>47</v>
      </c>
      <c r="L347" s="22" t="n">
        <f aca="false">MAX(D347,K347)</f>
        <v>47</v>
      </c>
      <c r="M347" s="25" t="n">
        <f aca="false">IF(E347="COVERED",'Controls &amp; Sources'!$B$5,'Controls &amp; Sources'!$B$6)</f>
        <v>10.4</v>
      </c>
      <c r="N347" s="25" t="n">
        <f aca="false">L347*M347</f>
        <v>488.8</v>
      </c>
      <c r="O347" s="22" t="n">
        <f aca="false">COUNTIFS('Billing Actual'!$E$2:$E$770,A347,'Billing Actual'!$B$2:$B$770,'Controls &amp; Sources'!$B$7)</f>
        <v>1</v>
      </c>
      <c r="P347" s="25" t="n">
        <f aca="false">SUMIFS('Billing Actual'!$M$2:$M$770,'Billing Actual'!$E$2:$E$770,A347,'Billing Actual'!$B$2:$B$770,'Controls &amp; Sources'!$B$7)</f>
        <v>488.8</v>
      </c>
      <c r="Q347" s="25" t="n">
        <f aca="false">P347-N347</f>
        <v>0</v>
      </c>
      <c r="R347" s="22" t="str">
        <f aca="false">IF(O347=0,"No August moorage transaction",IF(O347&gt;1,"Duplicate August transactions",IF(ABS(Q347)&gt;0.005,"Charge variance","OK")))</f>
        <v>OK</v>
      </c>
      <c r="S347" s="22" t="str">
        <f aca="false">IF(R347="OK","","Billing completeness/reconciliation")</f>
        <v/>
      </c>
    </row>
    <row r="348" customFormat="false" ht="15" hidden="false" customHeight="false" outlineLevel="0" collapsed="false">
      <c r="A348" s="22" t="s">
        <v>7481</v>
      </c>
      <c r="B348" s="22" t="s">
        <v>159</v>
      </c>
      <c r="C348" s="22" t="s">
        <v>6562</v>
      </c>
      <c r="D348" s="22" t="n">
        <v>28</v>
      </c>
      <c r="E348" s="22" t="s">
        <v>6575</v>
      </c>
      <c r="F348" s="22" t="s">
        <v>6577</v>
      </c>
      <c r="G348" s="22" t="s">
        <v>3896</v>
      </c>
      <c r="H348" s="22" t="s">
        <v>3897</v>
      </c>
      <c r="I348" s="22" t="s">
        <v>1718</v>
      </c>
      <c r="J348" s="22" t="n">
        <v>21.8</v>
      </c>
      <c r="K348" s="22" t="n">
        <f aca="false">ROUNDUP(J348,0)</f>
        <v>22</v>
      </c>
      <c r="L348" s="22" t="n">
        <f aca="false">MAX(D348,K348)</f>
        <v>28</v>
      </c>
      <c r="M348" s="25" t="n">
        <f aca="false">IF(E348="COVERED",'Controls &amp; Sources'!$B$5,'Controls &amp; Sources'!$B$6)</f>
        <v>10.4</v>
      </c>
      <c r="N348" s="25" t="n">
        <f aca="false">L348*M348</f>
        <v>291.2</v>
      </c>
      <c r="O348" s="22" t="n">
        <f aca="false">COUNTIFS('Billing Actual'!$E$2:$E$770,A348,'Billing Actual'!$B$2:$B$770,'Controls &amp; Sources'!$B$7)</f>
        <v>1</v>
      </c>
      <c r="P348" s="25" t="n">
        <f aca="false">SUMIFS('Billing Actual'!$M$2:$M$770,'Billing Actual'!$E$2:$E$770,A348,'Billing Actual'!$B$2:$B$770,'Controls &amp; Sources'!$B$7)</f>
        <v>291.2</v>
      </c>
      <c r="Q348" s="25" t="n">
        <f aca="false">P348-N348</f>
        <v>0</v>
      </c>
      <c r="R348" s="22" t="str">
        <f aca="false">IF(O348=0,"No August moorage transaction",IF(O348&gt;1,"Duplicate August transactions",IF(ABS(Q348)&gt;0.005,"Charge variance","OK")))</f>
        <v>OK</v>
      </c>
      <c r="S348" s="22" t="str">
        <f aca="false">IF(R348="OK","","Billing completeness/reconciliation")</f>
        <v/>
      </c>
    </row>
    <row r="349" customFormat="false" ht="15" hidden="false" customHeight="false" outlineLevel="0" collapsed="false">
      <c r="A349" s="22" t="s">
        <v>7482</v>
      </c>
      <c r="B349" s="22" t="s">
        <v>159</v>
      </c>
      <c r="C349" s="22" t="s">
        <v>6562</v>
      </c>
      <c r="D349" s="22" t="n">
        <v>32</v>
      </c>
      <c r="E349" s="22" t="s">
        <v>6575</v>
      </c>
      <c r="F349" s="22" t="s">
        <v>6577</v>
      </c>
      <c r="G349" s="22" t="s">
        <v>652</v>
      </c>
      <c r="H349" s="22" t="s">
        <v>653</v>
      </c>
      <c r="I349" s="22" t="s">
        <v>654</v>
      </c>
      <c r="J349" s="22" t="n">
        <v>57.9</v>
      </c>
      <c r="K349" s="22" t="n">
        <f aca="false">ROUNDUP(J349,0)</f>
        <v>58</v>
      </c>
      <c r="L349" s="22" t="n">
        <f aca="false">MAX(D349,K349)</f>
        <v>58</v>
      </c>
      <c r="M349" s="25" t="n">
        <f aca="false">IF(E349="COVERED",'Controls &amp; Sources'!$B$5,'Controls &amp; Sources'!$B$6)</f>
        <v>10.4</v>
      </c>
      <c r="N349" s="25" t="n">
        <f aca="false">L349*M349</f>
        <v>603.2</v>
      </c>
      <c r="O349" s="22" t="n">
        <f aca="false">COUNTIFS('Billing Actual'!$E$2:$E$770,A349,'Billing Actual'!$B$2:$B$770,'Controls &amp; Sources'!$B$7)</f>
        <v>1</v>
      </c>
      <c r="P349" s="25" t="n">
        <f aca="false">SUMIFS('Billing Actual'!$M$2:$M$770,'Billing Actual'!$E$2:$E$770,A349,'Billing Actual'!$B$2:$B$770,'Controls &amp; Sources'!$B$7)</f>
        <v>603.2</v>
      </c>
      <c r="Q349" s="25" t="n">
        <f aca="false">P349-N349</f>
        <v>0</v>
      </c>
      <c r="R349" s="22" t="str">
        <f aca="false">IF(O349=0,"No August moorage transaction",IF(O349&gt;1,"Duplicate August transactions",IF(ABS(Q349)&gt;0.005,"Charge variance","OK")))</f>
        <v>OK</v>
      </c>
      <c r="S349" s="22" t="str">
        <f aca="false">IF(R349="OK","","Billing completeness/reconciliation")</f>
        <v/>
      </c>
    </row>
    <row r="350" customFormat="false" ht="15" hidden="false" customHeight="false" outlineLevel="0" collapsed="false">
      <c r="A350" s="22" t="s">
        <v>7483</v>
      </c>
      <c r="B350" s="22" t="s">
        <v>159</v>
      </c>
      <c r="C350" s="22" t="s">
        <v>6562</v>
      </c>
      <c r="D350" s="22" t="n">
        <v>24</v>
      </c>
      <c r="E350" s="22" t="s">
        <v>6575</v>
      </c>
      <c r="F350" s="22" t="s">
        <v>6577</v>
      </c>
      <c r="G350" s="22" t="s">
        <v>5264</v>
      </c>
      <c r="H350" s="22" t="s">
        <v>5265</v>
      </c>
      <c r="I350" s="22" t="s">
        <v>1690</v>
      </c>
      <c r="J350" s="22" t="n">
        <v>26</v>
      </c>
      <c r="K350" s="22" t="n">
        <f aca="false">ROUNDUP(J350,0)</f>
        <v>26</v>
      </c>
      <c r="L350" s="22" t="n">
        <f aca="false">MAX(D350,K350)</f>
        <v>26</v>
      </c>
      <c r="M350" s="25" t="n">
        <f aca="false">IF(E350="COVERED",'Controls &amp; Sources'!$B$5,'Controls &amp; Sources'!$B$6)</f>
        <v>10.4</v>
      </c>
      <c r="N350" s="25" t="n">
        <f aca="false">L350*M350</f>
        <v>270.4</v>
      </c>
      <c r="O350" s="22" t="n">
        <f aca="false">COUNTIFS('Billing Actual'!$E$2:$E$770,A350,'Billing Actual'!$B$2:$B$770,'Controls &amp; Sources'!$B$7)</f>
        <v>1</v>
      </c>
      <c r="P350" s="25" t="n">
        <f aca="false">SUMIFS('Billing Actual'!$M$2:$M$770,'Billing Actual'!$E$2:$E$770,A350,'Billing Actual'!$B$2:$B$770,'Controls &amp; Sources'!$B$7)</f>
        <v>270.4</v>
      </c>
      <c r="Q350" s="25" t="n">
        <f aca="false">P350-N350</f>
        <v>0</v>
      </c>
      <c r="R350" s="22" t="str">
        <f aca="false">IF(O350=0,"No August moorage transaction",IF(O350&gt;1,"Duplicate August transactions",IF(ABS(Q350)&gt;0.005,"Charge variance","OK")))</f>
        <v>OK</v>
      </c>
      <c r="S350" s="22" t="str">
        <f aca="false">IF(R350="OK","","Billing completeness/reconciliation")</f>
        <v/>
      </c>
    </row>
    <row r="351" customFormat="false" ht="15" hidden="false" customHeight="false" outlineLevel="0" collapsed="false">
      <c r="A351" s="22" t="s">
        <v>7484</v>
      </c>
      <c r="B351" s="22" t="s">
        <v>159</v>
      </c>
      <c r="C351" s="22" t="s">
        <v>6562</v>
      </c>
      <c r="D351" s="22" t="n">
        <v>24</v>
      </c>
      <c r="E351" s="22" t="s">
        <v>6575</v>
      </c>
      <c r="F351" s="22" t="s">
        <v>6577</v>
      </c>
      <c r="G351" s="22" t="s">
        <v>3892</v>
      </c>
      <c r="H351" s="22" t="s">
        <v>3893</v>
      </c>
      <c r="I351" s="22" t="s">
        <v>1484</v>
      </c>
      <c r="J351" s="22" t="n">
        <v>41.5</v>
      </c>
      <c r="K351" s="22" t="n">
        <f aca="false">ROUNDUP(J351,0)</f>
        <v>42</v>
      </c>
      <c r="L351" s="22" t="n">
        <f aca="false">MAX(D351,K351)</f>
        <v>42</v>
      </c>
      <c r="M351" s="25" t="n">
        <f aca="false">IF(E351="COVERED",'Controls &amp; Sources'!$B$5,'Controls &amp; Sources'!$B$6)</f>
        <v>10.4</v>
      </c>
      <c r="N351" s="25" t="n">
        <f aca="false">L351*M351</f>
        <v>436.8</v>
      </c>
      <c r="O351" s="22" t="n">
        <f aca="false">COUNTIFS('Billing Actual'!$E$2:$E$770,A351,'Billing Actual'!$B$2:$B$770,'Controls &amp; Sources'!$B$7)</f>
        <v>1</v>
      </c>
      <c r="P351" s="25" t="n">
        <f aca="false">SUMIFS('Billing Actual'!$M$2:$M$770,'Billing Actual'!$E$2:$E$770,A351,'Billing Actual'!$B$2:$B$770,'Controls &amp; Sources'!$B$7)</f>
        <v>436.8</v>
      </c>
      <c r="Q351" s="25" t="n">
        <f aca="false">P351-N351</f>
        <v>0</v>
      </c>
      <c r="R351" s="22" t="str">
        <f aca="false">IF(O351=0,"No August moorage transaction",IF(O351&gt;1,"Duplicate August transactions",IF(ABS(Q351)&gt;0.005,"Charge variance","OK")))</f>
        <v>OK</v>
      </c>
      <c r="S351" s="22" t="str">
        <f aca="false">IF(R351="OK","","Billing completeness/reconciliation")</f>
        <v/>
      </c>
    </row>
    <row r="352" customFormat="false" ht="15" hidden="false" customHeight="false" outlineLevel="0" collapsed="false">
      <c r="A352" s="22" t="s">
        <v>7489</v>
      </c>
      <c r="B352" s="22" t="s">
        <v>159</v>
      </c>
      <c r="C352" s="22" t="s">
        <v>6562</v>
      </c>
      <c r="D352" s="22" t="n">
        <v>28</v>
      </c>
      <c r="E352" s="22" t="s">
        <v>6575</v>
      </c>
      <c r="F352" s="22" t="s">
        <v>6577</v>
      </c>
      <c r="G352" s="22" t="s">
        <v>5718</v>
      </c>
      <c r="H352" s="22" t="s">
        <v>5719</v>
      </c>
      <c r="I352" s="22" t="s">
        <v>3316</v>
      </c>
      <c r="J352" s="22" t="n">
        <v>59.8</v>
      </c>
      <c r="K352" s="22" t="n">
        <f aca="false">ROUNDUP(J352,0)</f>
        <v>60</v>
      </c>
      <c r="L352" s="22" t="n">
        <f aca="false">MAX(D352,K352)</f>
        <v>60</v>
      </c>
      <c r="M352" s="25" t="n">
        <f aca="false">IF(E352="COVERED",'Controls &amp; Sources'!$B$5,'Controls &amp; Sources'!$B$6)</f>
        <v>10.4</v>
      </c>
      <c r="N352" s="25" t="n">
        <f aca="false">L352*M352</f>
        <v>624</v>
      </c>
      <c r="O352" s="22" t="n">
        <f aca="false">COUNTIFS('Billing Actual'!$E$2:$E$770,A352,'Billing Actual'!$B$2:$B$770,'Controls &amp; Sources'!$B$7)</f>
        <v>1</v>
      </c>
      <c r="P352" s="25" t="n">
        <f aca="false">SUMIFS('Billing Actual'!$M$2:$M$770,'Billing Actual'!$E$2:$E$770,A352,'Billing Actual'!$B$2:$B$770,'Controls &amp; Sources'!$B$7)</f>
        <v>624</v>
      </c>
      <c r="Q352" s="25" t="n">
        <f aca="false">P352-N352</f>
        <v>0</v>
      </c>
      <c r="R352" s="22" t="str">
        <f aca="false">IF(O352=0,"No August moorage transaction",IF(O352&gt;1,"Duplicate August transactions",IF(ABS(Q352)&gt;0.005,"Charge variance","OK")))</f>
        <v>OK</v>
      </c>
      <c r="S352" s="22" t="str">
        <f aca="false">IF(R352="OK","","Billing completeness/reconciliation")</f>
        <v/>
      </c>
    </row>
    <row r="353" customFormat="false" ht="15" hidden="false" customHeight="false" outlineLevel="0" collapsed="false">
      <c r="A353" s="22" t="s">
        <v>7491</v>
      </c>
      <c r="B353" s="22" t="s">
        <v>159</v>
      </c>
      <c r="C353" s="22" t="s">
        <v>6562</v>
      </c>
      <c r="D353" s="22" t="n">
        <v>28</v>
      </c>
      <c r="E353" s="22" t="s">
        <v>6575</v>
      </c>
      <c r="F353" s="22" t="s">
        <v>6577</v>
      </c>
      <c r="G353" s="22" t="s">
        <v>1640</v>
      </c>
      <c r="H353" s="22" t="s">
        <v>1641</v>
      </c>
      <c r="I353" s="22" t="s">
        <v>576</v>
      </c>
      <c r="J353" s="22" t="n">
        <v>56.9</v>
      </c>
      <c r="K353" s="22" t="n">
        <f aca="false">ROUNDUP(J353,0)</f>
        <v>57</v>
      </c>
      <c r="L353" s="22" t="n">
        <f aca="false">MAX(D353,K353)</f>
        <v>57</v>
      </c>
      <c r="M353" s="25" t="n">
        <f aca="false">IF(E353="COVERED",'Controls &amp; Sources'!$B$5,'Controls &amp; Sources'!$B$6)</f>
        <v>10.4</v>
      </c>
      <c r="N353" s="25" t="n">
        <f aca="false">L353*M353</f>
        <v>592.8</v>
      </c>
      <c r="O353" s="22" t="n">
        <f aca="false">COUNTIFS('Billing Actual'!$E$2:$E$770,A353,'Billing Actual'!$B$2:$B$770,'Controls &amp; Sources'!$B$7)</f>
        <v>1</v>
      </c>
      <c r="P353" s="25" t="n">
        <f aca="false">SUMIFS('Billing Actual'!$M$2:$M$770,'Billing Actual'!$E$2:$E$770,A353,'Billing Actual'!$B$2:$B$770,'Controls &amp; Sources'!$B$7)</f>
        <v>592.8</v>
      </c>
      <c r="Q353" s="25" t="n">
        <f aca="false">P353-N353</f>
        <v>0</v>
      </c>
      <c r="R353" s="22" t="str">
        <f aca="false">IF(O353=0,"No August moorage transaction",IF(O353&gt;1,"Duplicate August transactions",IF(ABS(Q353)&gt;0.005,"Charge variance","OK")))</f>
        <v>OK</v>
      </c>
      <c r="S353" s="22" t="str">
        <f aca="false">IF(R353="OK","","Billing completeness/reconciliation")</f>
        <v/>
      </c>
    </row>
    <row r="354" customFormat="false" ht="15" hidden="false" customHeight="false" outlineLevel="0" collapsed="false">
      <c r="A354" s="22" t="s">
        <v>7492</v>
      </c>
      <c r="B354" s="22" t="s">
        <v>159</v>
      </c>
      <c r="C354" s="22" t="s">
        <v>6562</v>
      </c>
      <c r="D354" s="22" t="n">
        <v>24</v>
      </c>
      <c r="E354" s="22" t="s">
        <v>6575</v>
      </c>
      <c r="F354" s="22" t="s">
        <v>6577</v>
      </c>
      <c r="G354" s="22" t="s">
        <v>4223</v>
      </c>
      <c r="H354" s="22" t="s">
        <v>4224</v>
      </c>
      <c r="I354" s="22" t="s">
        <v>2656</v>
      </c>
      <c r="J354" s="22" t="n">
        <v>48.2</v>
      </c>
      <c r="K354" s="22" t="n">
        <f aca="false">ROUNDUP(J354,0)</f>
        <v>49</v>
      </c>
      <c r="L354" s="22" t="n">
        <f aca="false">MAX(D354,K354)</f>
        <v>49</v>
      </c>
      <c r="M354" s="25" t="n">
        <f aca="false">IF(E354="COVERED",'Controls &amp; Sources'!$B$5,'Controls &amp; Sources'!$B$6)</f>
        <v>10.4</v>
      </c>
      <c r="N354" s="25" t="n">
        <f aca="false">L354*M354</f>
        <v>509.6</v>
      </c>
      <c r="O354" s="22" t="n">
        <f aca="false">COUNTIFS('Billing Actual'!$E$2:$E$770,A354,'Billing Actual'!$B$2:$B$770,'Controls &amp; Sources'!$B$7)</f>
        <v>1</v>
      </c>
      <c r="P354" s="25" t="n">
        <f aca="false">SUMIFS('Billing Actual'!$M$2:$M$770,'Billing Actual'!$E$2:$E$770,A354,'Billing Actual'!$B$2:$B$770,'Controls &amp; Sources'!$B$7)</f>
        <v>509.6</v>
      </c>
      <c r="Q354" s="25" t="n">
        <f aca="false">P354-N354</f>
        <v>0</v>
      </c>
      <c r="R354" s="22" t="str">
        <f aca="false">IF(O354=0,"No August moorage transaction",IF(O354&gt;1,"Duplicate August transactions",IF(ABS(Q354)&gt;0.005,"Charge variance","OK")))</f>
        <v>OK</v>
      </c>
      <c r="S354" s="22" t="str">
        <f aca="false">IF(R354="OK","","Billing completeness/reconciliation")</f>
        <v/>
      </c>
    </row>
    <row r="355" customFormat="false" ht="15" hidden="false" customHeight="false" outlineLevel="0" collapsed="false">
      <c r="A355" s="22" t="s">
        <v>7493</v>
      </c>
      <c r="B355" s="22" t="s">
        <v>159</v>
      </c>
      <c r="C355" s="22" t="s">
        <v>6562</v>
      </c>
      <c r="D355" s="22" t="n">
        <v>28</v>
      </c>
      <c r="E355" s="22" t="s">
        <v>6575</v>
      </c>
      <c r="F355" s="22" t="s">
        <v>6577</v>
      </c>
      <c r="G355" s="22" t="s">
        <v>4753</v>
      </c>
      <c r="H355" s="22" t="s">
        <v>4754</v>
      </c>
      <c r="I355" s="22" t="s">
        <v>1736</v>
      </c>
      <c r="J355" s="22" t="n">
        <v>36</v>
      </c>
      <c r="K355" s="22" t="n">
        <f aca="false">ROUNDUP(J355,0)</f>
        <v>36</v>
      </c>
      <c r="L355" s="22" t="n">
        <f aca="false">MAX(D355,K355)</f>
        <v>36</v>
      </c>
      <c r="M355" s="25" t="n">
        <f aca="false">IF(E355="COVERED",'Controls &amp; Sources'!$B$5,'Controls &amp; Sources'!$B$6)</f>
        <v>10.4</v>
      </c>
      <c r="N355" s="25" t="n">
        <f aca="false">L355*M355</f>
        <v>374.4</v>
      </c>
      <c r="O355" s="22" t="n">
        <f aca="false">COUNTIFS('Billing Actual'!$E$2:$E$770,A355,'Billing Actual'!$B$2:$B$770,'Controls &amp; Sources'!$B$7)</f>
        <v>1</v>
      </c>
      <c r="P355" s="25" t="n">
        <f aca="false">SUMIFS('Billing Actual'!$M$2:$M$770,'Billing Actual'!$E$2:$E$770,A355,'Billing Actual'!$B$2:$B$770,'Controls &amp; Sources'!$B$7)</f>
        <v>374.4</v>
      </c>
      <c r="Q355" s="25" t="n">
        <f aca="false">P355-N355</f>
        <v>0</v>
      </c>
      <c r="R355" s="22" t="str">
        <f aca="false">IF(O355=0,"No August moorage transaction",IF(O355&gt;1,"Duplicate August transactions",IF(ABS(Q355)&gt;0.005,"Charge variance","OK")))</f>
        <v>OK</v>
      </c>
      <c r="S355" s="22" t="str">
        <f aca="false">IF(R355="OK","","Billing completeness/reconciliation")</f>
        <v/>
      </c>
    </row>
    <row r="356" customFormat="false" ht="15" hidden="false" customHeight="false" outlineLevel="0" collapsed="false">
      <c r="A356" s="22" t="s">
        <v>7494</v>
      </c>
      <c r="B356" s="22" t="s">
        <v>159</v>
      </c>
      <c r="C356" s="22" t="s">
        <v>6562</v>
      </c>
      <c r="D356" s="22" t="n">
        <v>32</v>
      </c>
      <c r="E356" s="22" t="s">
        <v>6575</v>
      </c>
      <c r="F356" s="22" t="s">
        <v>6577</v>
      </c>
      <c r="G356" s="22" t="s">
        <v>4479</v>
      </c>
      <c r="H356" s="22" t="s">
        <v>4480</v>
      </c>
      <c r="I356" s="22" t="s">
        <v>4481</v>
      </c>
      <c r="J356" s="22" t="n">
        <v>33.2</v>
      </c>
      <c r="K356" s="22" t="n">
        <f aca="false">ROUNDUP(J356,0)</f>
        <v>34</v>
      </c>
      <c r="L356" s="22" t="n">
        <f aca="false">MAX(D356,K356)</f>
        <v>34</v>
      </c>
      <c r="M356" s="25" t="n">
        <f aca="false">IF(E356="COVERED",'Controls &amp; Sources'!$B$5,'Controls &amp; Sources'!$B$6)</f>
        <v>10.4</v>
      </c>
      <c r="N356" s="25" t="n">
        <f aca="false">L356*M356</f>
        <v>353.6</v>
      </c>
      <c r="O356" s="22" t="n">
        <f aca="false">COUNTIFS('Billing Actual'!$E$2:$E$770,A356,'Billing Actual'!$B$2:$B$770,'Controls &amp; Sources'!$B$7)</f>
        <v>1</v>
      </c>
      <c r="P356" s="25" t="n">
        <f aca="false">SUMIFS('Billing Actual'!$M$2:$M$770,'Billing Actual'!$E$2:$E$770,A356,'Billing Actual'!$B$2:$B$770,'Controls &amp; Sources'!$B$7)</f>
        <v>353.6</v>
      </c>
      <c r="Q356" s="25" t="n">
        <f aca="false">P356-N356</f>
        <v>0</v>
      </c>
      <c r="R356" s="22" t="str">
        <f aca="false">IF(O356=0,"No August moorage transaction",IF(O356&gt;1,"Duplicate August transactions",IF(ABS(Q356)&gt;0.005,"Charge variance","OK")))</f>
        <v>OK</v>
      </c>
      <c r="S356" s="22" t="str">
        <f aca="false">IF(R356="OK","","Billing completeness/reconciliation")</f>
        <v/>
      </c>
    </row>
    <row r="357" customFormat="false" ht="15" hidden="false" customHeight="false" outlineLevel="0" collapsed="false">
      <c r="A357" s="22" t="s">
        <v>7495</v>
      </c>
      <c r="B357" s="22" t="s">
        <v>159</v>
      </c>
      <c r="C357" s="22" t="s">
        <v>6562</v>
      </c>
      <c r="D357" s="22" t="n">
        <v>32</v>
      </c>
      <c r="E357" s="22" t="s">
        <v>6575</v>
      </c>
      <c r="F357" s="22" t="s">
        <v>6577</v>
      </c>
      <c r="G357" s="22" t="s">
        <v>5710</v>
      </c>
      <c r="H357" s="22" t="s">
        <v>5711</v>
      </c>
      <c r="I357" s="22" t="s">
        <v>4213</v>
      </c>
      <c r="J357" s="22" t="n">
        <v>42.5</v>
      </c>
      <c r="K357" s="22" t="n">
        <f aca="false">ROUNDUP(J357,0)</f>
        <v>43</v>
      </c>
      <c r="L357" s="22" t="n">
        <f aca="false">MAX(D357,K357)</f>
        <v>43</v>
      </c>
      <c r="M357" s="25" t="n">
        <f aca="false">IF(E357="COVERED",'Controls &amp; Sources'!$B$5,'Controls &amp; Sources'!$B$6)</f>
        <v>10.4</v>
      </c>
      <c r="N357" s="25" t="n">
        <f aca="false">L357*M357</f>
        <v>447.2</v>
      </c>
      <c r="O357" s="22" t="n">
        <f aca="false">COUNTIFS('Billing Actual'!$E$2:$E$770,A357,'Billing Actual'!$B$2:$B$770,'Controls &amp; Sources'!$B$7)</f>
        <v>1</v>
      </c>
      <c r="P357" s="25" t="n">
        <f aca="false">SUMIFS('Billing Actual'!$M$2:$M$770,'Billing Actual'!$E$2:$E$770,A357,'Billing Actual'!$B$2:$B$770,'Controls &amp; Sources'!$B$7)</f>
        <v>447.2</v>
      </c>
      <c r="Q357" s="25" t="n">
        <f aca="false">P357-N357</f>
        <v>0</v>
      </c>
      <c r="R357" s="22" t="str">
        <f aca="false">IF(O357=0,"No August moorage transaction",IF(O357&gt;1,"Duplicate August transactions",IF(ABS(Q357)&gt;0.005,"Charge variance","OK")))</f>
        <v>OK</v>
      </c>
      <c r="S357" s="22" t="str">
        <f aca="false">IF(R357="OK","","Billing completeness/reconciliation")</f>
        <v/>
      </c>
    </row>
    <row r="358" customFormat="false" ht="15" hidden="false" customHeight="false" outlineLevel="0" collapsed="false">
      <c r="A358" s="22" t="s">
        <v>7497</v>
      </c>
      <c r="B358" s="22" t="s">
        <v>159</v>
      </c>
      <c r="C358" s="22" t="s">
        <v>6562</v>
      </c>
      <c r="D358" s="22" t="n">
        <v>32</v>
      </c>
      <c r="E358" s="22" t="s">
        <v>6575</v>
      </c>
      <c r="F358" s="22" t="s">
        <v>6577</v>
      </c>
      <c r="G358" s="22" t="s">
        <v>2475</v>
      </c>
      <c r="H358" s="22" t="s">
        <v>2476</v>
      </c>
      <c r="I358" s="22" t="s">
        <v>573</v>
      </c>
      <c r="J358" s="22" t="n">
        <v>38.7</v>
      </c>
      <c r="K358" s="22" t="n">
        <f aca="false">ROUNDUP(J358,0)</f>
        <v>39</v>
      </c>
      <c r="L358" s="22" t="n">
        <f aca="false">MAX(D358,K358)</f>
        <v>39</v>
      </c>
      <c r="M358" s="25" t="n">
        <f aca="false">IF(E358="COVERED",'Controls &amp; Sources'!$B$5,'Controls &amp; Sources'!$B$6)</f>
        <v>10.4</v>
      </c>
      <c r="N358" s="25" t="n">
        <f aca="false">L358*M358</f>
        <v>405.6</v>
      </c>
      <c r="O358" s="22" t="n">
        <f aca="false">COUNTIFS('Billing Actual'!$E$2:$E$770,A358,'Billing Actual'!$B$2:$B$770,'Controls &amp; Sources'!$B$7)</f>
        <v>1</v>
      </c>
      <c r="P358" s="25" t="n">
        <f aca="false">SUMIFS('Billing Actual'!$M$2:$M$770,'Billing Actual'!$E$2:$E$770,A358,'Billing Actual'!$B$2:$B$770,'Controls &amp; Sources'!$B$7)</f>
        <v>405.6</v>
      </c>
      <c r="Q358" s="25" t="n">
        <f aca="false">P358-N358</f>
        <v>0</v>
      </c>
      <c r="R358" s="22" t="str">
        <f aca="false">IF(O358=0,"No August moorage transaction",IF(O358&gt;1,"Duplicate August transactions",IF(ABS(Q358)&gt;0.005,"Charge variance","OK")))</f>
        <v>OK</v>
      </c>
      <c r="S358" s="22" t="str">
        <f aca="false">IF(R358="OK","","Billing completeness/reconciliation")</f>
        <v/>
      </c>
    </row>
    <row r="359" customFormat="false" ht="15" hidden="false" customHeight="false" outlineLevel="0" collapsed="false">
      <c r="A359" s="22" t="s">
        <v>7499</v>
      </c>
      <c r="B359" s="22" t="s">
        <v>159</v>
      </c>
      <c r="C359" s="22" t="s">
        <v>6562</v>
      </c>
      <c r="D359" s="22" t="n">
        <v>28</v>
      </c>
      <c r="E359" s="22" t="s">
        <v>6575</v>
      </c>
      <c r="F359" s="22" t="s">
        <v>6577</v>
      </c>
      <c r="G359" s="22" t="s">
        <v>4296</v>
      </c>
      <c r="H359" s="22" t="s">
        <v>4297</v>
      </c>
      <c r="I359" s="22" t="s">
        <v>1294</v>
      </c>
      <c r="J359" s="22" t="n">
        <v>22.5</v>
      </c>
      <c r="K359" s="22" t="n">
        <f aca="false">ROUNDUP(J359,0)</f>
        <v>23</v>
      </c>
      <c r="L359" s="22" t="n">
        <f aca="false">MAX(D359,K359)</f>
        <v>28</v>
      </c>
      <c r="M359" s="25" t="n">
        <f aca="false">IF(E359="COVERED",'Controls &amp; Sources'!$B$5,'Controls &amp; Sources'!$B$6)</f>
        <v>10.4</v>
      </c>
      <c r="N359" s="25" t="n">
        <f aca="false">L359*M359</f>
        <v>291.2</v>
      </c>
      <c r="O359" s="22" t="n">
        <f aca="false">COUNTIFS('Billing Actual'!$E$2:$E$770,A359,'Billing Actual'!$B$2:$B$770,'Controls &amp; Sources'!$B$7)</f>
        <v>1</v>
      </c>
      <c r="P359" s="25" t="n">
        <f aca="false">SUMIFS('Billing Actual'!$M$2:$M$770,'Billing Actual'!$E$2:$E$770,A359,'Billing Actual'!$B$2:$B$770,'Controls &amp; Sources'!$B$7)</f>
        <v>291.2</v>
      </c>
      <c r="Q359" s="25" t="n">
        <f aca="false">P359-N359</f>
        <v>0</v>
      </c>
      <c r="R359" s="22" t="str">
        <f aca="false">IF(O359=0,"No August moorage transaction",IF(O359&gt;1,"Duplicate August transactions",IF(ABS(Q359)&gt;0.005,"Charge variance","OK")))</f>
        <v>OK</v>
      </c>
      <c r="S359" s="22" t="str">
        <f aca="false">IF(R359="OK","","Billing completeness/reconciliation")</f>
        <v/>
      </c>
    </row>
    <row r="360" customFormat="false" ht="15" hidden="false" customHeight="false" outlineLevel="0" collapsed="false">
      <c r="A360" s="22" t="s">
        <v>7500</v>
      </c>
      <c r="B360" s="22" t="s">
        <v>159</v>
      </c>
      <c r="C360" s="22" t="s">
        <v>6562</v>
      </c>
      <c r="D360" s="22" t="n">
        <v>24</v>
      </c>
      <c r="E360" s="22" t="s">
        <v>6575</v>
      </c>
      <c r="F360" s="22" t="s">
        <v>6577</v>
      </c>
      <c r="G360" s="22" t="s">
        <v>2043</v>
      </c>
      <c r="H360" s="22" t="s">
        <v>2044</v>
      </c>
      <c r="I360" s="22" t="s">
        <v>1288</v>
      </c>
      <c r="J360" s="22" t="n">
        <v>45.6</v>
      </c>
      <c r="K360" s="22" t="n">
        <f aca="false">ROUNDUP(J360,0)</f>
        <v>46</v>
      </c>
      <c r="L360" s="22" t="n">
        <f aca="false">MAX(D360,K360)</f>
        <v>46</v>
      </c>
      <c r="M360" s="25" t="n">
        <f aca="false">IF(E360="COVERED",'Controls &amp; Sources'!$B$5,'Controls &amp; Sources'!$B$6)</f>
        <v>10.4</v>
      </c>
      <c r="N360" s="25" t="n">
        <f aca="false">L360*M360</f>
        <v>478.4</v>
      </c>
      <c r="O360" s="22" t="n">
        <f aca="false">COUNTIFS('Billing Actual'!$E$2:$E$770,A360,'Billing Actual'!$B$2:$B$770,'Controls &amp; Sources'!$B$7)</f>
        <v>1</v>
      </c>
      <c r="P360" s="25" t="n">
        <f aca="false">SUMIFS('Billing Actual'!$M$2:$M$770,'Billing Actual'!$E$2:$E$770,A360,'Billing Actual'!$B$2:$B$770,'Controls &amp; Sources'!$B$7)</f>
        <v>478.4</v>
      </c>
      <c r="Q360" s="25" t="n">
        <f aca="false">P360-N360</f>
        <v>0</v>
      </c>
      <c r="R360" s="22" t="str">
        <f aca="false">IF(O360=0,"No August moorage transaction",IF(O360&gt;1,"Duplicate August transactions",IF(ABS(Q360)&gt;0.005,"Charge variance","OK")))</f>
        <v>OK</v>
      </c>
      <c r="S360" s="22" t="str">
        <f aca="false">IF(R360="OK","","Billing completeness/reconciliation")</f>
        <v/>
      </c>
    </row>
    <row r="361" customFormat="false" ht="15" hidden="false" customHeight="false" outlineLevel="0" collapsed="false">
      <c r="A361" s="22" t="s">
        <v>7502</v>
      </c>
      <c r="B361" s="22" t="s">
        <v>159</v>
      </c>
      <c r="C361" s="22" t="s">
        <v>6562</v>
      </c>
      <c r="D361" s="22" t="n">
        <v>24</v>
      </c>
      <c r="E361" s="22" t="s">
        <v>6575</v>
      </c>
      <c r="F361" s="22" t="s">
        <v>6577</v>
      </c>
      <c r="G361" s="22" t="s">
        <v>5221</v>
      </c>
      <c r="H361" s="22" t="s">
        <v>5222</v>
      </c>
      <c r="I361" s="22" t="s">
        <v>3105</v>
      </c>
      <c r="J361" s="22" t="n">
        <v>39.8</v>
      </c>
      <c r="K361" s="22" t="n">
        <f aca="false">ROUNDUP(J361,0)</f>
        <v>40</v>
      </c>
      <c r="L361" s="22" t="n">
        <f aca="false">MAX(D361,K361)</f>
        <v>40</v>
      </c>
      <c r="M361" s="25" t="n">
        <f aca="false">IF(E361="COVERED",'Controls &amp; Sources'!$B$5,'Controls &amp; Sources'!$B$6)</f>
        <v>10.4</v>
      </c>
      <c r="N361" s="25" t="n">
        <f aca="false">L361*M361</f>
        <v>416</v>
      </c>
      <c r="O361" s="22" t="n">
        <f aca="false">COUNTIFS('Billing Actual'!$E$2:$E$770,A361,'Billing Actual'!$B$2:$B$770,'Controls &amp; Sources'!$B$7)</f>
        <v>1</v>
      </c>
      <c r="P361" s="25" t="n">
        <f aca="false">SUMIFS('Billing Actual'!$M$2:$M$770,'Billing Actual'!$E$2:$E$770,A361,'Billing Actual'!$B$2:$B$770,'Controls &amp; Sources'!$B$7)</f>
        <v>416</v>
      </c>
      <c r="Q361" s="25" t="n">
        <f aca="false">P361-N361</f>
        <v>0</v>
      </c>
      <c r="R361" s="22" t="str">
        <f aca="false">IF(O361=0,"No August moorage transaction",IF(O361&gt;1,"Duplicate August transactions",IF(ABS(Q361)&gt;0.005,"Charge variance","OK")))</f>
        <v>OK</v>
      </c>
      <c r="S361" s="22" t="str">
        <f aca="false">IF(R361="OK","","Billing completeness/reconciliation")</f>
        <v/>
      </c>
    </row>
    <row r="362" customFormat="false" ht="15" hidden="false" customHeight="false" outlineLevel="0" collapsed="false">
      <c r="A362" s="22" t="s">
        <v>7504</v>
      </c>
      <c r="B362" s="22" t="s">
        <v>159</v>
      </c>
      <c r="C362" s="22" t="s">
        <v>6562</v>
      </c>
      <c r="D362" s="22" t="n">
        <v>28</v>
      </c>
      <c r="E362" s="22" t="s">
        <v>6575</v>
      </c>
      <c r="F362" s="22" t="s">
        <v>6577</v>
      </c>
      <c r="G362" s="22" t="s">
        <v>539</v>
      </c>
      <c r="H362" s="22" t="s">
        <v>540</v>
      </c>
      <c r="I362" s="22" t="s">
        <v>355</v>
      </c>
      <c r="J362" s="22" t="n">
        <v>27.8</v>
      </c>
      <c r="K362" s="22" t="n">
        <f aca="false">ROUNDUP(J362,0)</f>
        <v>28</v>
      </c>
      <c r="L362" s="22" t="n">
        <f aca="false">MAX(D362,K362)</f>
        <v>28</v>
      </c>
      <c r="M362" s="25" t="n">
        <f aca="false">IF(E362="COVERED",'Controls &amp; Sources'!$B$5,'Controls &amp; Sources'!$B$6)</f>
        <v>10.4</v>
      </c>
      <c r="N362" s="25" t="n">
        <f aca="false">L362*M362</f>
        <v>291.2</v>
      </c>
      <c r="O362" s="22" t="n">
        <f aca="false">COUNTIFS('Billing Actual'!$E$2:$E$770,A362,'Billing Actual'!$B$2:$B$770,'Controls &amp; Sources'!$B$7)</f>
        <v>1</v>
      </c>
      <c r="P362" s="25" t="n">
        <f aca="false">SUMIFS('Billing Actual'!$M$2:$M$770,'Billing Actual'!$E$2:$E$770,A362,'Billing Actual'!$B$2:$B$770,'Controls &amp; Sources'!$B$7)</f>
        <v>291.2</v>
      </c>
      <c r="Q362" s="25" t="n">
        <f aca="false">P362-N362</f>
        <v>0</v>
      </c>
      <c r="R362" s="22" t="str">
        <f aca="false">IF(O362=0,"No August moorage transaction",IF(O362&gt;1,"Duplicate August transactions",IF(ABS(Q362)&gt;0.005,"Charge variance","OK")))</f>
        <v>OK</v>
      </c>
      <c r="S362" s="22" t="str">
        <f aca="false">IF(R362="OK","","Billing completeness/reconciliation")</f>
        <v/>
      </c>
    </row>
    <row r="363" customFormat="false" ht="15" hidden="false" customHeight="false" outlineLevel="0" collapsed="false">
      <c r="A363" s="22" t="s">
        <v>7505</v>
      </c>
      <c r="B363" s="22" t="s">
        <v>159</v>
      </c>
      <c r="C363" s="22" t="s">
        <v>6562</v>
      </c>
      <c r="D363" s="22" t="n">
        <v>28</v>
      </c>
      <c r="E363" s="22" t="s">
        <v>6575</v>
      </c>
      <c r="F363" s="22" t="s">
        <v>6577</v>
      </c>
      <c r="G363" s="22" t="s">
        <v>2637</v>
      </c>
      <c r="H363" s="22" t="s">
        <v>2638</v>
      </c>
      <c r="I363" s="22" t="s">
        <v>911</v>
      </c>
      <c r="J363" s="22" t="n">
        <v>19.5</v>
      </c>
      <c r="K363" s="22" t="n">
        <f aca="false">ROUNDUP(J363,0)</f>
        <v>20</v>
      </c>
      <c r="L363" s="22" t="n">
        <f aca="false">MAX(D363,K363)</f>
        <v>28</v>
      </c>
      <c r="M363" s="25" t="n">
        <f aca="false">IF(E363="COVERED",'Controls &amp; Sources'!$B$5,'Controls &amp; Sources'!$B$6)</f>
        <v>10.4</v>
      </c>
      <c r="N363" s="25" t="n">
        <f aca="false">L363*M363</f>
        <v>291.2</v>
      </c>
      <c r="O363" s="22" t="n">
        <f aca="false">COUNTIFS('Billing Actual'!$E$2:$E$770,A363,'Billing Actual'!$B$2:$B$770,'Controls &amp; Sources'!$B$7)</f>
        <v>1</v>
      </c>
      <c r="P363" s="25" t="n">
        <f aca="false">SUMIFS('Billing Actual'!$M$2:$M$770,'Billing Actual'!$E$2:$E$770,A363,'Billing Actual'!$B$2:$B$770,'Controls &amp; Sources'!$B$7)</f>
        <v>291.2</v>
      </c>
      <c r="Q363" s="25" t="n">
        <f aca="false">P363-N363</f>
        <v>0</v>
      </c>
      <c r="R363" s="22" t="str">
        <f aca="false">IF(O363=0,"No August moorage transaction",IF(O363&gt;1,"Duplicate August transactions",IF(ABS(Q363)&gt;0.005,"Charge variance","OK")))</f>
        <v>OK</v>
      </c>
      <c r="S363" s="22" t="str">
        <f aca="false">IF(R363="OK","","Billing completeness/reconciliation")</f>
        <v/>
      </c>
    </row>
    <row r="364" customFormat="false" ht="15" hidden="false" customHeight="false" outlineLevel="0" collapsed="false">
      <c r="A364" s="22" t="s">
        <v>7506</v>
      </c>
      <c r="B364" s="22" t="s">
        <v>159</v>
      </c>
      <c r="C364" s="22" t="s">
        <v>6562</v>
      </c>
      <c r="D364" s="22" t="n">
        <v>24</v>
      </c>
      <c r="E364" s="22" t="s">
        <v>6575</v>
      </c>
      <c r="F364" s="22" t="s">
        <v>6577</v>
      </c>
      <c r="G364" s="22" t="s">
        <v>4506</v>
      </c>
      <c r="H364" s="22" t="s">
        <v>4507</v>
      </c>
      <c r="I364" s="22" t="s">
        <v>3865</v>
      </c>
      <c r="J364" s="22" t="n">
        <v>35.2</v>
      </c>
      <c r="K364" s="22" t="n">
        <f aca="false">ROUNDUP(J364,0)</f>
        <v>36</v>
      </c>
      <c r="L364" s="22" t="n">
        <f aca="false">MAX(D364,K364)</f>
        <v>36</v>
      </c>
      <c r="M364" s="25" t="n">
        <f aca="false">IF(E364="COVERED",'Controls &amp; Sources'!$B$5,'Controls &amp; Sources'!$B$6)</f>
        <v>10.4</v>
      </c>
      <c r="N364" s="25" t="n">
        <f aca="false">L364*M364</f>
        <v>374.4</v>
      </c>
      <c r="O364" s="22" t="n">
        <f aca="false">COUNTIFS('Billing Actual'!$E$2:$E$770,A364,'Billing Actual'!$B$2:$B$770,'Controls &amp; Sources'!$B$7)</f>
        <v>1</v>
      </c>
      <c r="P364" s="25" t="n">
        <f aca="false">SUMIFS('Billing Actual'!$M$2:$M$770,'Billing Actual'!$E$2:$E$770,A364,'Billing Actual'!$B$2:$B$770,'Controls &amp; Sources'!$B$7)</f>
        <v>374.4</v>
      </c>
      <c r="Q364" s="25" t="n">
        <f aca="false">P364-N364</f>
        <v>0</v>
      </c>
      <c r="R364" s="22" t="str">
        <f aca="false">IF(O364=0,"No August moorage transaction",IF(O364&gt;1,"Duplicate August transactions",IF(ABS(Q364)&gt;0.005,"Charge variance","OK")))</f>
        <v>OK</v>
      </c>
      <c r="S364" s="22" t="str">
        <f aca="false">IF(R364="OK","","Billing completeness/reconciliation")</f>
        <v/>
      </c>
    </row>
    <row r="365" customFormat="false" ht="15" hidden="false" customHeight="false" outlineLevel="0" collapsed="false">
      <c r="A365" s="22" t="s">
        <v>7507</v>
      </c>
      <c r="B365" s="22" t="s">
        <v>159</v>
      </c>
      <c r="C365" s="22" t="s">
        <v>6562</v>
      </c>
      <c r="D365" s="22" t="n">
        <v>28</v>
      </c>
      <c r="E365" s="22" t="s">
        <v>6575</v>
      </c>
      <c r="F365" s="22" t="s">
        <v>6577</v>
      </c>
      <c r="G365" s="22" t="s">
        <v>3512</v>
      </c>
      <c r="H365" s="22" t="s">
        <v>3513</v>
      </c>
      <c r="I365" s="22" t="s">
        <v>324</v>
      </c>
      <c r="J365" s="22" t="n">
        <v>44.8</v>
      </c>
      <c r="K365" s="22" t="n">
        <f aca="false">ROUNDUP(J365,0)</f>
        <v>45</v>
      </c>
      <c r="L365" s="22" t="n">
        <f aca="false">MAX(D365,K365)</f>
        <v>45</v>
      </c>
      <c r="M365" s="25" t="n">
        <f aca="false">IF(E365="COVERED",'Controls &amp; Sources'!$B$5,'Controls &amp; Sources'!$B$6)</f>
        <v>10.4</v>
      </c>
      <c r="N365" s="25" t="n">
        <f aca="false">L365*M365</f>
        <v>468</v>
      </c>
      <c r="O365" s="22" t="n">
        <f aca="false">COUNTIFS('Billing Actual'!$E$2:$E$770,A365,'Billing Actual'!$B$2:$B$770,'Controls &amp; Sources'!$B$7)</f>
        <v>1</v>
      </c>
      <c r="P365" s="25" t="n">
        <f aca="false">SUMIFS('Billing Actual'!$M$2:$M$770,'Billing Actual'!$E$2:$E$770,A365,'Billing Actual'!$B$2:$B$770,'Controls &amp; Sources'!$B$7)</f>
        <v>468</v>
      </c>
      <c r="Q365" s="25" t="n">
        <f aca="false">P365-N365</f>
        <v>0</v>
      </c>
      <c r="R365" s="22" t="str">
        <f aca="false">IF(O365=0,"No August moorage transaction",IF(O365&gt;1,"Duplicate August transactions",IF(ABS(Q365)&gt;0.005,"Charge variance","OK")))</f>
        <v>OK</v>
      </c>
      <c r="S365" s="22" t="str">
        <f aca="false">IF(R365="OK","","Billing completeness/reconciliation")</f>
        <v/>
      </c>
    </row>
    <row r="366" customFormat="false" ht="15" hidden="false" customHeight="false" outlineLevel="0" collapsed="false">
      <c r="A366" s="22" t="s">
        <v>7509</v>
      </c>
      <c r="B366" s="22" t="s">
        <v>159</v>
      </c>
      <c r="C366" s="22" t="s">
        <v>6562</v>
      </c>
      <c r="D366" s="22" t="n">
        <v>36</v>
      </c>
      <c r="E366" s="22" t="s">
        <v>6575</v>
      </c>
      <c r="F366" s="22" t="s">
        <v>6577</v>
      </c>
      <c r="G366" s="22" t="s">
        <v>1711</v>
      </c>
      <c r="H366" s="22" t="s">
        <v>1712</v>
      </c>
      <c r="I366" s="22" t="s">
        <v>1713</v>
      </c>
      <c r="J366" s="22" t="n">
        <v>29.2</v>
      </c>
      <c r="K366" s="22" t="n">
        <f aca="false">ROUNDUP(J366,0)</f>
        <v>30</v>
      </c>
      <c r="L366" s="22" t="n">
        <f aca="false">MAX(D366,K366)</f>
        <v>36</v>
      </c>
      <c r="M366" s="25" t="n">
        <f aca="false">IF(E366="COVERED",'Controls &amp; Sources'!$B$5,'Controls &amp; Sources'!$B$6)</f>
        <v>10.4</v>
      </c>
      <c r="N366" s="25" t="n">
        <f aca="false">L366*M366</f>
        <v>374.4</v>
      </c>
      <c r="O366" s="22" t="n">
        <f aca="false">COUNTIFS('Billing Actual'!$E$2:$E$770,A366,'Billing Actual'!$B$2:$B$770,'Controls &amp; Sources'!$B$7)</f>
        <v>1</v>
      </c>
      <c r="P366" s="25" t="n">
        <f aca="false">SUMIFS('Billing Actual'!$M$2:$M$770,'Billing Actual'!$E$2:$E$770,A366,'Billing Actual'!$B$2:$B$770,'Controls &amp; Sources'!$B$7)</f>
        <v>374.4</v>
      </c>
      <c r="Q366" s="25" t="n">
        <f aca="false">P366-N366</f>
        <v>0</v>
      </c>
      <c r="R366" s="22" t="str">
        <f aca="false">IF(O366=0,"No August moorage transaction",IF(O366&gt;1,"Duplicate August transactions",IF(ABS(Q366)&gt;0.005,"Charge variance","OK")))</f>
        <v>OK</v>
      </c>
      <c r="S366" s="22" t="str">
        <f aca="false">IF(R366="OK","","Billing completeness/reconciliation")</f>
        <v/>
      </c>
    </row>
    <row r="367" customFormat="false" ht="15" hidden="false" customHeight="false" outlineLevel="0" collapsed="false">
      <c r="A367" s="22" t="s">
        <v>7513</v>
      </c>
      <c r="B367" s="22" t="s">
        <v>159</v>
      </c>
      <c r="C367" s="22" t="s">
        <v>6562</v>
      </c>
      <c r="D367" s="22" t="n">
        <v>36</v>
      </c>
      <c r="E367" s="22" t="s">
        <v>6575</v>
      </c>
      <c r="F367" s="22" t="s">
        <v>6577</v>
      </c>
      <c r="G367" s="22" t="s">
        <v>1608</v>
      </c>
      <c r="H367" s="22" t="s">
        <v>1609</v>
      </c>
      <c r="I367" s="22" t="s">
        <v>355</v>
      </c>
      <c r="J367" s="22" t="n">
        <v>34.2</v>
      </c>
      <c r="K367" s="22" t="n">
        <f aca="false">ROUNDUP(J367,0)</f>
        <v>35</v>
      </c>
      <c r="L367" s="22" t="n">
        <f aca="false">MAX(D367,K367)</f>
        <v>36</v>
      </c>
      <c r="M367" s="25" t="n">
        <f aca="false">IF(E367="COVERED",'Controls &amp; Sources'!$B$5,'Controls &amp; Sources'!$B$6)</f>
        <v>10.4</v>
      </c>
      <c r="N367" s="25" t="n">
        <f aca="false">L367*M367</f>
        <v>374.4</v>
      </c>
      <c r="O367" s="22" t="n">
        <f aca="false">COUNTIFS('Billing Actual'!$E$2:$E$770,A367,'Billing Actual'!$B$2:$B$770,'Controls &amp; Sources'!$B$7)</f>
        <v>1</v>
      </c>
      <c r="P367" s="25" t="n">
        <f aca="false">SUMIFS('Billing Actual'!$M$2:$M$770,'Billing Actual'!$E$2:$E$770,A367,'Billing Actual'!$B$2:$B$770,'Controls &amp; Sources'!$B$7)</f>
        <v>374.4</v>
      </c>
      <c r="Q367" s="25" t="n">
        <f aca="false">P367-N367</f>
        <v>0</v>
      </c>
      <c r="R367" s="22" t="str">
        <f aca="false">IF(O367=0,"No August moorage transaction",IF(O367&gt;1,"Duplicate August transactions",IF(ABS(Q367)&gt;0.005,"Charge variance","OK")))</f>
        <v>OK</v>
      </c>
      <c r="S367" s="22" t="str">
        <f aca="false">IF(R367="OK","","Billing completeness/reconciliation")</f>
        <v/>
      </c>
    </row>
    <row r="368" customFormat="false" ht="15" hidden="false" customHeight="false" outlineLevel="0" collapsed="false">
      <c r="A368" s="22" t="s">
        <v>7515</v>
      </c>
      <c r="B368" s="22" t="s">
        <v>159</v>
      </c>
      <c r="C368" s="22" t="s">
        <v>6562</v>
      </c>
      <c r="D368" s="22" t="n">
        <v>32</v>
      </c>
      <c r="E368" s="22" t="s">
        <v>6575</v>
      </c>
      <c r="F368" s="22" t="s">
        <v>6577</v>
      </c>
      <c r="G368" s="22" t="s">
        <v>4851</v>
      </c>
      <c r="H368" s="22" t="s">
        <v>4852</v>
      </c>
      <c r="I368" s="22" t="s">
        <v>1750</v>
      </c>
      <c r="J368" s="22" t="n">
        <v>59.6</v>
      </c>
      <c r="K368" s="22" t="n">
        <f aca="false">ROUNDUP(J368,0)</f>
        <v>60</v>
      </c>
      <c r="L368" s="22" t="n">
        <f aca="false">MAX(D368,K368)</f>
        <v>60</v>
      </c>
      <c r="M368" s="25" t="n">
        <f aca="false">IF(E368="COVERED",'Controls &amp; Sources'!$B$5,'Controls &amp; Sources'!$B$6)</f>
        <v>10.4</v>
      </c>
      <c r="N368" s="25" t="n">
        <f aca="false">L368*M368</f>
        <v>624</v>
      </c>
      <c r="O368" s="22" t="n">
        <f aca="false">COUNTIFS('Billing Actual'!$E$2:$E$770,A368,'Billing Actual'!$B$2:$B$770,'Controls &amp; Sources'!$B$7)</f>
        <v>1</v>
      </c>
      <c r="P368" s="25" t="n">
        <f aca="false">SUMIFS('Billing Actual'!$M$2:$M$770,'Billing Actual'!$E$2:$E$770,A368,'Billing Actual'!$B$2:$B$770,'Controls &amp; Sources'!$B$7)</f>
        <v>624</v>
      </c>
      <c r="Q368" s="25" t="n">
        <f aca="false">P368-N368</f>
        <v>0</v>
      </c>
      <c r="R368" s="22" t="str">
        <f aca="false">IF(O368=0,"No August moorage transaction",IF(O368&gt;1,"Duplicate August transactions",IF(ABS(Q368)&gt;0.005,"Charge variance","OK")))</f>
        <v>OK</v>
      </c>
      <c r="S368" s="22" t="str">
        <f aca="false">IF(R368="OK","","Billing completeness/reconciliation")</f>
        <v/>
      </c>
    </row>
    <row r="369" customFormat="false" ht="15" hidden="false" customHeight="false" outlineLevel="0" collapsed="false">
      <c r="A369" s="22" t="s">
        <v>7517</v>
      </c>
      <c r="B369" s="22" t="s">
        <v>159</v>
      </c>
      <c r="C369" s="22" t="s">
        <v>6562</v>
      </c>
      <c r="D369" s="22" t="n">
        <v>32</v>
      </c>
      <c r="E369" s="22" t="s">
        <v>6575</v>
      </c>
      <c r="F369" s="22" t="s">
        <v>6577</v>
      </c>
      <c r="G369" s="22" t="s">
        <v>1083</v>
      </c>
      <c r="H369" s="22" t="s">
        <v>1084</v>
      </c>
      <c r="I369" s="22" t="s">
        <v>739</v>
      </c>
      <c r="J369" s="22" t="n">
        <v>18.3</v>
      </c>
      <c r="K369" s="22" t="n">
        <f aca="false">ROUNDUP(J369,0)</f>
        <v>19</v>
      </c>
      <c r="L369" s="22" t="n">
        <f aca="false">MAX(D369,K369)</f>
        <v>32</v>
      </c>
      <c r="M369" s="25" t="n">
        <f aca="false">IF(E369="COVERED",'Controls &amp; Sources'!$B$5,'Controls &amp; Sources'!$B$6)</f>
        <v>10.4</v>
      </c>
      <c r="N369" s="25" t="n">
        <f aca="false">L369*M369</f>
        <v>332.8</v>
      </c>
      <c r="O369" s="22" t="n">
        <f aca="false">COUNTIFS('Billing Actual'!$E$2:$E$770,A369,'Billing Actual'!$B$2:$B$770,'Controls &amp; Sources'!$B$7)</f>
        <v>1</v>
      </c>
      <c r="P369" s="25" t="n">
        <f aca="false">SUMIFS('Billing Actual'!$M$2:$M$770,'Billing Actual'!$E$2:$E$770,A369,'Billing Actual'!$B$2:$B$770,'Controls &amp; Sources'!$B$7)</f>
        <v>332.8</v>
      </c>
      <c r="Q369" s="25" t="n">
        <f aca="false">P369-N369</f>
        <v>0</v>
      </c>
      <c r="R369" s="22" t="str">
        <f aca="false">IF(O369=0,"No August moorage transaction",IF(O369&gt;1,"Duplicate August transactions",IF(ABS(Q369)&gt;0.005,"Charge variance","OK")))</f>
        <v>OK</v>
      </c>
      <c r="S369" s="22" t="str">
        <f aca="false">IF(R369="OK","","Billing completeness/reconciliation")</f>
        <v/>
      </c>
    </row>
    <row r="370" customFormat="false" ht="15" hidden="false" customHeight="false" outlineLevel="0" collapsed="false">
      <c r="A370" s="22" t="s">
        <v>7519</v>
      </c>
      <c r="B370" s="22" t="s">
        <v>159</v>
      </c>
      <c r="C370" s="22" t="s">
        <v>6562</v>
      </c>
      <c r="D370" s="22" t="n">
        <v>24</v>
      </c>
      <c r="E370" s="22" t="s">
        <v>6575</v>
      </c>
      <c r="F370" s="22" t="s">
        <v>6577</v>
      </c>
      <c r="G370" s="22" t="s">
        <v>6479</v>
      </c>
      <c r="H370" s="22" t="s">
        <v>6480</v>
      </c>
      <c r="I370" s="22" t="s">
        <v>778</v>
      </c>
      <c r="J370" s="22" t="n">
        <v>57</v>
      </c>
      <c r="K370" s="22" t="n">
        <f aca="false">ROUNDUP(J370,0)</f>
        <v>57</v>
      </c>
      <c r="L370" s="22" t="n">
        <f aca="false">MAX(D370,K370)</f>
        <v>57</v>
      </c>
      <c r="M370" s="25" t="n">
        <f aca="false">IF(E370="COVERED",'Controls &amp; Sources'!$B$5,'Controls &amp; Sources'!$B$6)</f>
        <v>10.4</v>
      </c>
      <c r="N370" s="25" t="n">
        <f aca="false">L370*M370</f>
        <v>592.8</v>
      </c>
      <c r="O370" s="22" t="n">
        <f aca="false">COUNTIFS('Billing Actual'!$E$2:$E$770,A370,'Billing Actual'!$B$2:$B$770,'Controls &amp; Sources'!$B$7)</f>
        <v>1</v>
      </c>
      <c r="P370" s="25" t="n">
        <f aca="false">SUMIFS('Billing Actual'!$M$2:$M$770,'Billing Actual'!$E$2:$E$770,A370,'Billing Actual'!$B$2:$B$770,'Controls &amp; Sources'!$B$7)</f>
        <v>592.8</v>
      </c>
      <c r="Q370" s="25" t="n">
        <f aca="false">P370-N370</f>
        <v>0</v>
      </c>
      <c r="R370" s="22" t="str">
        <f aca="false">IF(O370=0,"No August moorage transaction",IF(O370&gt;1,"Duplicate August transactions",IF(ABS(Q370)&gt;0.005,"Charge variance","OK")))</f>
        <v>OK</v>
      </c>
      <c r="S370" s="22" t="str">
        <f aca="false">IF(R370="OK","","Billing completeness/reconciliation")</f>
        <v/>
      </c>
    </row>
    <row r="371" customFormat="false" ht="15" hidden="false" customHeight="false" outlineLevel="0" collapsed="false">
      <c r="A371" s="22" t="s">
        <v>7520</v>
      </c>
      <c r="B371" s="22" t="s">
        <v>159</v>
      </c>
      <c r="C371" s="22" t="s">
        <v>6562</v>
      </c>
      <c r="D371" s="22" t="n">
        <v>24</v>
      </c>
      <c r="E371" s="22" t="s">
        <v>6575</v>
      </c>
      <c r="F371" s="22" t="s">
        <v>6577</v>
      </c>
      <c r="G371" s="22" t="s">
        <v>3643</v>
      </c>
      <c r="H371" s="22" t="s">
        <v>3644</v>
      </c>
      <c r="I371" s="22" t="s">
        <v>1502</v>
      </c>
      <c r="J371" s="22" t="n">
        <v>54.3</v>
      </c>
      <c r="K371" s="22" t="n">
        <f aca="false">ROUNDUP(J371,0)</f>
        <v>55</v>
      </c>
      <c r="L371" s="22" t="n">
        <f aca="false">MAX(D371,K371)</f>
        <v>55</v>
      </c>
      <c r="M371" s="25" t="n">
        <f aca="false">IF(E371="COVERED",'Controls &amp; Sources'!$B$5,'Controls &amp; Sources'!$B$6)</f>
        <v>10.4</v>
      </c>
      <c r="N371" s="25" t="n">
        <f aca="false">L371*M371</f>
        <v>572</v>
      </c>
      <c r="O371" s="22" t="n">
        <f aca="false">COUNTIFS('Billing Actual'!$E$2:$E$770,A371,'Billing Actual'!$B$2:$B$770,'Controls &amp; Sources'!$B$7)</f>
        <v>1</v>
      </c>
      <c r="P371" s="25" t="n">
        <f aca="false">SUMIFS('Billing Actual'!$M$2:$M$770,'Billing Actual'!$E$2:$E$770,A371,'Billing Actual'!$B$2:$B$770,'Controls &amp; Sources'!$B$7)</f>
        <v>572</v>
      </c>
      <c r="Q371" s="25" t="n">
        <f aca="false">P371-N371</f>
        <v>0</v>
      </c>
      <c r="R371" s="22" t="str">
        <f aca="false">IF(O371=0,"No August moorage transaction",IF(O371&gt;1,"Duplicate August transactions",IF(ABS(Q371)&gt;0.005,"Charge variance","OK")))</f>
        <v>OK</v>
      </c>
      <c r="S371" s="22" t="str">
        <f aca="false">IF(R371="OK","","Billing completeness/reconciliation")</f>
        <v/>
      </c>
    </row>
    <row r="372" customFormat="false" ht="15" hidden="false" customHeight="false" outlineLevel="0" collapsed="false">
      <c r="A372" s="22" t="s">
        <v>7521</v>
      </c>
      <c r="B372" s="22" t="s">
        <v>159</v>
      </c>
      <c r="C372" s="22" t="s">
        <v>6562</v>
      </c>
      <c r="D372" s="22" t="n">
        <v>32</v>
      </c>
      <c r="E372" s="22" t="s">
        <v>6575</v>
      </c>
      <c r="F372" s="22" t="s">
        <v>6577</v>
      </c>
      <c r="G372" s="22" t="s">
        <v>2295</v>
      </c>
      <c r="H372" s="22" t="s">
        <v>2296</v>
      </c>
      <c r="I372" s="22" t="s">
        <v>2297</v>
      </c>
      <c r="J372" s="22" t="n">
        <v>44.8</v>
      </c>
      <c r="K372" s="22" t="n">
        <f aca="false">ROUNDUP(J372,0)</f>
        <v>45</v>
      </c>
      <c r="L372" s="22" t="n">
        <f aca="false">MAX(D372,K372)</f>
        <v>45</v>
      </c>
      <c r="M372" s="25" t="n">
        <f aca="false">IF(E372="COVERED",'Controls &amp; Sources'!$B$5,'Controls &amp; Sources'!$B$6)</f>
        <v>10.4</v>
      </c>
      <c r="N372" s="25" t="n">
        <f aca="false">L372*M372</f>
        <v>468</v>
      </c>
      <c r="O372" s="22" t="n">
        <f aca="false">COUNTIFS('Billing Actual'!$E$2:$E$770,A372,'Billing Actual'!$B$2:$B$770,'Controls &amp; Sources'!$B$7)</f>
        <v>1</v>
      </c>
      <c r="P372" s="25" t="n">
        <f aca="false">SUMIFS('Billing Actual'!$M$2:$M$770,'Billing Actual'!$E$2:$E$770,A372,'Billing Actual'!$B$2:$B$770,'Controls &amp; Sources'!$B$7)</f>
        <v>468</v>
      </c>
      <c r="Q372" s="25" t="n">
        <f aca="false">P372-N372</f>
        <v>0</v>
      </c>
      <c r="R372" s="22" t="str">
        <f aca="false">IF(O372=0,"No August moorage transaction",IF(O372&gt;1,"Duplicate August transactions",IF(ABS(Q372)&gt;0.005,"Charge variance","OK")))</f>
        <v>OK</v>
      </c>
      <c r="S372" s="22" t="str">
        <f aca="false">IF(R372="OK","","Billing completeness/reconciliation")</f>
        <v/>
      </c>
    </row>
    <row r="373" customFormat="false" ht="15" hidden="false" customHeight="false" outlineLevel="0" collapsed="false">
      <c r="A373" s="22" t="s">
        <v>7522</v>
      </c>
      <c r="B373" s="22" t="s">
        <v>159</v>
      </c>
      <c r="C373" s="22" t="s">
        <v>6562</v>
      </c>
      <c r="D373" s="22" t="n">
        <v>40</v>
      </c>
      <c r="E373" s="22" t="s">
        <v>6575</v>
      </c>
      <c r="F373" s="22" t="s">
        <v>6577</v>
      </c>
      <c r="G373" s="22" t="s">
        <v>4115</v>
      </c>
      <c r="H373" s="22" t="s">
        <v>4116</v>
      </c>
      <c r="I373" s="22" t="s">
        <v>4094</v>
      </c>
      <c r="J373" s="22" t="n">
        <v>49.6</v>
      </c>
      <c r="K373" s="22" t="n">
        <f aca="false">ROUNDUP(J373,0)</f>
        <v>50</v>
      </c>
      <c r="L373" s="22" t="n">
        <f aca="false">MAX(D373,K373)</f>
        <v>50</v>
      </c>
      <c r="M373" s="25" t="n">
        <f aca="false">IF(E373="COVERED",'Controls &amp; Sources'!$B$5,'Controls &amp; Sources'!$B$6)</f>
        <v>10.4</v>
      </c>
      <c r="N373" s="25" t="n">
        <f aca="false">L373*M373</f>
        <v>520</v>
      </c>
      <c r="O373" s="22" t="n">
        <f aca="false">COUNTIFS('Billing Actual'!$E$2:$E$770,A373,'Billing Actual'!$B$2:$B$770,'Controls &amp; Sources'!$B$7)</f>
        <v>1</v>
      </c>
      <c r="P373" s="25" t="n">
        <f aca="false">SUMIFS('Billing Actual'!$M$2:$M$770,'Billing Actual'!$E$2:$E$770,A373,'Billing Actual'!$B$2:$B$770,'Controls &amp; Sources'!$B$7)</f>
        <v>520</v>
      </c>
      <c r="Q373" s="25" t="n">
        <f aca="false">P373-N373</f>
        <v>0</v>
      </c>
      <c r="R373" s="22" t="str">
        <f aca="false">IF(O373=0,"No August moorage transaction",IF(O373&gt;1,"Duplicate August transactions",IF(ABS(Q373)&gt;0.005,"Charge variance","OK")))</f>
        <v>OK</v>
      </c>
      <c r="S373" s="22" t="str">
        <f aca="false">IF(R373="OK","","Billing completeness/reconciliation")</f>
        <v/>
      </c>
    </row>
    <row r="374" customFormat="false" ht="15" hidden="false" customHeight="false" outlineLevel="0" collapsed="false">
      <c r="A374" s="22" t="s">
        <v>7524</v>
      </c>
      <c r="B374" s="22" t="s">
        <v>159</v>
      </c>
      <c r="C374" s="22" t="s">
        <v>6562</v>
      </c>
      <c r="D374" s="22" t="n">
        <v>24</v>
      </c>
      <c r="E374" s="22" t="s">
        <v>6575</v>
      </c>
      <c r="F374" s="22" t="s">
        <v>6577</v>
      </c>
      <c r="G374" s="22" t="s">
        <v>1805</v>
      </c>
      <c r="H374" s="22" t="s">
        <v>1806</v>
      </c>
      <c r="I374" s="22" t="s">
        <v>745</v>
      </c>
      <c r="J374" s="22" t="n">
        <v>32.5</v>
      </c>
      <c r="K374" s="22" t="n">
        <f aca="false">ROUNDUP(J374,0)</f>
        <v>33</v>
      </c>
      <c r="L374" s="22" t="n">
        <f aca="false">MAX(D374,K374)</f>
        <v>33</v>
      </c>
      <c r="M374" s="25" t="n">
        <f aca="false">IF(E374="COVERED",'Controls &amp; Sources'!$B$5,'Controls &amp; Sources'!$B$6)</f>
        <v>10.4</v>
      </c>
      <c r="N374" s="25" t="n">
        <f aca="false">L374*M374</f>
        <v>343.2</v>
      </c>
      <c r="O374" s="22" t="n">
        <f aca="false">COUNTIFS('Billing Actual'!$E$2:$E$770,A374,'Billing Actual'!$B$2:$B$770,'Controls &amp; Sources'!$B$7)</f>
        <v>1</v>
      </c>
      <c r="P374" s="25" t="n">
        <f aca="false">SUMIFS('Billing Actual'!$M$2:$M$770,'Billing Actual'!$E$2:$E$770,A374,'Billing Actual'!$B$2:$B$770,'Controls &amp; Sources'!$B$7)</f>
        <v>343.2</v>
      </c>
      <c r="Q374" s="25" t="n">
        <f aca="false">P374-N374</f>
        <v>0</v>
      </c>
      <c r="R374" s="22" t="str">
        <f aca="false">IF(O374=0,"No August moorage transaction",IF(O374&gt;1,"Duplicate August transactions",IF(ABS(Q374)&gt;0.005,"Charge variance","OK")))</f>
        <v>OK</v>
      </c>
      <c r="S374" s="22" t="str">
        <f aca="false">IF(R374="OK","","Billing completeness/reconciliation")</f>
        <v/>
      </c>
    </row>
    <row r="375" customFormat="false" ht="15" hidden="false" customHeight="false" outlineLevel="0" collapsed="false">
      <c r="A375" s="22" t="s">
        <v>7526</v>
      </c>
      <c r="B375" s="22" t="s">
        <v>159</v>
      </c>
      <c r="C375" s="22" t="s">
        <v>6562</v>
      </c>
      <c r="D375" s="22" t="n">
        <v>40</v>
      </c>
      <c r="E375" s="22" t="s">
        <v>6575</v>
      </c>
      <c r="F375" s="22" t="s">
        <v>6577</v>
      </c>
      <c r="G375" s="22" t="s">
        <v>4500</v>
      </c>
      <c r="H375" s="22" t="s">
        <v>4501</v>
      </c>
      <c r="I375" s="22" t="s">
        <v>871</v>
      </c>
      <c r="J375" s="22" t="n">
        <v>48.2</v>
      </c>
      <c r="K375" s="22" t="n">
        <f aca="false">ROUNDUP(J375,0)</f>
        <v>49</v>
      </c>
      <c r="L375" s="22" t="n">
        <f aca="false">MAX(D375,K375)</f>
        <v>49</v>
      </c>
      <c r="M375" s="25" t="n">
        <f aca="false">IF(E375="COVERED",'Controls &amp; Sources'!$B$5,'Controls &amp; Sources'!$B$6)</f>
        <v>10.4</v>
      </c>
      <c r="N375" s="25" t="n">
        <f aca="false">L375*M375</f>
        <v>509.6</v>
      </c>
      <c r="O375" s="22" t="n">
        <f aca="false">COUNTIFS('Billing Actual'!$E$2:$E$770,A375,'Billing Actual'!$B$2:$B$770,'Controls &amp; Sources'!$B$7)</f>
        <v>1</v>
      </c>
      <c r="P375" s="25" t="n">
        <f aca="false">SUMIFS('Billing Actual'!$M$2:$M$770,'Billing Actual'!$E$2:$E$770,A375,'Billing Actual'!$B$2:$B$770,'Controls &amp; Sources'!$B$7)</f>
        <v>509.6</v>
      </c>
      <c r="Q375" s="25" t="n">
        <f aca="false">P375-N375</f>
        <v>0</v>
      </c>
      <c r="R375" s="22" t="str">
        <f aca="false">IF(O375=0,"No August moorage transaction",IF(O375&gt;1,"Duplicate August transactions",IF(ABS(Q375)&gt;0.005,"Charge variance","OK")))</f>
        <v>OK</v>
      </c>
      <c r="S375" s="22" t="str">
        <f aca="false">IF(R375="OK","","Billing completeness/reconciliation")</f>
        <v/>
      </c>
    </row>
    <row r="376" customFormat="false" ht="15" hidden="false" customHeight="false" outlineLevel="0" collapsed="false">
      <c r="A376" s="22" t="s">
        <v>7528</v>
      </c>
      <c r="B376" s="22" t="s">
        <v>159</v>
      </c>
      <c r="C376" s="22" t="s">
        <v>6562</v>
      </c>
      <c r="D376" s="22" t="n">
        <v>24</v>
      </c>
      <c r="E376" s="22" t="s">
        <v>6575</v>
      </c>
      <c r="F376" s="22" t="s">
        <v>6577</v>
      </c>
      <c r="G376" s="22" t="s">
        <v>4380</v>
      </c>
      <c r="H376" s="22" t="s">
        <v>4381</v>
      </c>
      <c r="I376" s="22" t="s">
        <v>736</v>
      </c>
      <c r="J376" s="22" t="n">
        <v>59.7</v>
      </c>
      <c r="K376" s="22" t="n">
        <f aca="false">ROUNDUP(J376,0)</f>
        <v>60</v>
      </c>
      <c r="L376" s="22" t="n">
        <f aca="false">MAX(D376,K376)</f>
        <v>60</v>
      </c>
      <c r="M376" s="25" t="n">
        <f aca="false">IF(E376="COVERED",'Controls &amp; Sources'!$B$5,'Controls &amp; Sources'!$B$6)</f>
        <v>10.4</v>
      </c>
      <c r="N376" s="25" t="n">
        <f aca="false">L376*M376</f>
        <v>624</v>
      </c>
      <c r="O376" s="22" t="n">
        <f aca="false">COUNTIFS('Billing Actual'!$E$2:$E$770,A376,'Billing Actual'!$B$2:$B$770,'Controls &amp; Sources'!$B$7)</f>
        <v>1</v>
      </c>
      <c r="P376" s="25" t="n">
        <f aca="false">SUMIFS('Billing Actual'!$M$2:$M$770,'Billing Actual'!$E$2:$E$770,A376,'Billing Actual'!$B$2:$B$770,'Controls &amp; Sources'!$B$7)</f>
        <v>624</v>
      </c>
      <c r="Q376" s="25" t="n">
        <f aca="false">P376-N376</f>
        <v>0</v>
      </c>
      <c r="R376" s="22" t="str">
        <f aca="false">IF(O376=0,"No August moorage transaction",IF(O376&gt;1,"Duplicate August transactions",IF(ABS(Q376)&gt;0.005,"Charge variance","OK")))</f>
        <v>OK</v>
      </c>
      <c r="S376" s="22" t="str">
        <f aca="false">IF(R376="OK","","Billing completeness/reconciliation")</f>
        <v/>
      </c>
    </row>
    <row r="377" customFormat="false" ht="15" hidden="false" customHeight="false" outlineLevel="0" collapsed="false">
      <c r="A377" s="22" t="s">
        <v>7530</v>
      </c>
      <c r="B377" s="22" t="s">
        <v>159</v>
      </c>
      <c r="C377" s="22" t="s">
        <v>6562</v>
      </c>
      <c r="D377" s="22" t="n">
        <v>24</v>
      </c>
      <c r="E377" s="22" t="s">
        <v>6575</v>
      </c>
      <c r="F377" s="22" t="s">
        <v>6577</v>
      </c>
      <c r="G377" s="22" t="s">
        <v>2290</v>
      </c>
      <c r="H377" s="22" t="s">
        <v>2291</v>
      </c>
      <c r="I377" s="22" t="s">
        <v>661</v>
      </c>
      <c r="J377" s="22" t="n">
        <v>61.4</v>
      </c>
      <c r="K377" s="22" t="n">
        <f aca="false">ROUNDUP(J377,0)</f>
        <v>62</v>
      </c>
      <c r="L377" s="22" t="n">
        <f aca="false">MAX(D377,K377)</f>
        <v>62</v>
      </c>
      <c r="M377" s="25" t="n">
        <f aca="false">IF(E377="COVERED",'Controls &amp; Sources'!$B$5,'Controls &amp; Sources'!$B$6)</f>
        <v>10.4</v>
      </c>
      <c r="N377" s="25" t="n">
        <f aca="false">L377*M377</f>
        <v>644.8</v>
      </c>
      <c r="O377" s="22" t="n">
        <f aca="false">COUNTIFS('Billing Actual'!$E$2:$E$770,A377,'Billing Actual'!$B$2:$B$770,'Controls &amp; Sources'!$B$7)</f>
        <v>1</v>
      </c>
      <c r="P377" s="25" t="n">
        <f aca="false">SUMIFS('Billing Actual'!$M$2:$M$770,'Billing Actual'!$E$2:$E$770,A377,'Billing Actual'!$B$2:$B$770,'Controls &amp; Sources'!$B$7)</f>
        <v>644.8</v>
      </c>
      <c r="Q377" s="25" t="n">
        <f aca="false">P377-N377</f>
        <v>0</v>
      </c>
      <c r="R377" s="22" t="str">
        <f aca="false">IF(O377=0,"No August moorage transaction",IF(O377&gt;1,"Duplicate August transactions",IF(ABS(Q377)&gt;0.005,"Charge variance","OK")))</f>
        <v>OK</v>
      </c>
      <c r="S377" s="22" t="str">
        <f aca="false">IF(R377="OK","","Billing completeness/reconciliation")</f>
        <v/>
      </c>
    </row>
    <row r="378" customFormat="false" ht="15" hidden="false" customHeight="false" outlineLevel="0" collapsed="false">
      <c r="A378" s="22" t="s">
        <v>7532</v>
      </c>
      <c r="B378" s="22" t="s">
        <v>159</v>
      </c>
      <c r="C378" s="22" t="s">
        <v>6562</v>
      </c>
      <c r="D378" s="22" t="n">
        <v>40</v>
      </c>
      <c r="E378" s="22" t="s">
        <v>6575</v>
      </c>
      <c r="F378" s="22" t="s">
        <v>6577</v>
      </c>
      <c r="G378" s="22" t="s">
        <v>808</v>
      </c>
      <c r="H378" s="22" t="s">
        <v>809</v>
      </c>
      <c r="I378" s="22" t="s">
        <v>664</v>
      </c>
      <c r="J378" s="22" t="n">
        <v>48</v>
      </c>
      <c r="K378" s="22" t="n">
        <f aca="false">ROUNDUP(J378,0)</f>
        <v>48</v>
      </c>
      <c r="L378" s="22" t="n">
        <f aca="false">MAX(D378,K378)</f>
        <v>48</v>
      </c>
      <c r="M378" s="25" t="n">
        <f aca="false">IF(E378="COVERED",'Controls &amp; Sources'!$B$5,'Controls &amp; Sources'!$B$6)</f>
        <v>10.4</v>
      </c>
      <c r="N378" s="25" t="n">
        <f aca="false">L378*M378</f>
        <v>499.2</v>
      </c>
      <c r="O378" s="22" t="n">
        <f aca="false">COUNTIFS('Billing Actual'!$E$2:$E$770,A378,'Billing Actual'!$B$2:$B$770,'Controls &amp; Sources'!$B$7)</f>
        <v>1</v>
      </c>
      <c r="P378" s="25" t="n">
        <f aca="false">SUMIFS('Billing Actual'!$M$2:$M$770,'Billing Actual'!$E$2:$E$770,A378,'Billing Actual'!$B$2:$B$770,'Controls &amp; Sources'!$B$7)</f>
        <v>499.2</v>
      </c>
      <c r="Q378" s="25" t="n">
        <f aca="false">P378-N378</f>
        <v>0</v>
      </c>
      <c r="R378" s="22" t="str">
        <f aca="false">IF(O378=0,"No August moorage transaction",IF(O378&gt;1,"Duplicate August transactions",IF(ABS(Q378)&gt;0.005,"Charge variance","OK")))</f>
        <v>OK</v>
      </c>
      <c r="S378" s="22" t="str">
        <f aca="false">IF(R378="OK","","Billing completeness/reconciliation")</f>
        <v/>
      </c>
    </row>
    <row r="379" customFormat="false" ht="15" hidden="false" customHeight="false" outlineLevel="0" collapsed="false">
      <c r="A379" s="22" t="s">
        <v>7533</v>
      </c>
      <c r="B379" s="22" t="s">
        <v>159</v>
      </c>
      <c r="C379" s="22" t="s">
        <v>6562</v>
      </c>
      <c r="D379" s="22" t="n">
        <v>24</v>
      </c>
      <c r="E379" s="22" t="s">
        <v>6575</v>
      </c>
      <c r="F379" s="22" t="s">
        <v>6577</v>
      </c>
      <c r="G379" s="22" t="s">
        <v>934</v>
      </c>
      <c r="H379" s="22" t="s">
        <v>935</v>
      </c>
      <c r="I379" s="22" t="s">
        <v>163</v>
      </c>
      <c r="J379" s="22" t="n">
        <v>19.9</v>
      </c>
      <c r="K379" s="22" t="n">
        <f aca="false">ROUNDUP(J379,0)</f>
        <v>20</v>
      </c>
      <c r="L379" s="22" t="n">
        <f aca="false">MAX(D379,K379)</f>
        <v>24</v>
      </c>
      <c r="M379" s="25" t="n">
        <f aca="false">IF(E379="COVERED",'Controls &amp; Sources'!$B$5,'Controls &amp; Sources'!$B$6)</f>
        <v>10.4</v>
      </c>
      <c r="N379" s="25" t="n">
        <f aca="false">L379*M379</f>
        <v>249.6</v>
      </c>
      <c r="O379" s="22" t="n">
        <f aca="false">COUNTIFS('Billing Actual'!$E$2:$E$770,A379,'Billing Actual'!$B$2:$B$770,'Controls &amp; Sources'!$B$7)</f>
        <v>1</v>
      </c>
      <c r="P379" s="25" t="n">
        <f aca="false">SUMIFS('Billing Actual'!$M$2:$M$770,'Billing Actual'!$E$2:$E$770,A379,'Billing Actual'!$B$2:$B$770,'Controls &amp; Sources'!$B$7)</f>
        <v>249.6</v>
      </c>
      <c r="Q379" s="25" t="n">
        <f aca="false">P379-N379</f>
        <v>0</v>
      </c>
      <c r="R379" s="22" t="str">
        <f aca="false">IF(O379=0,"No August moorage transaction",IF(O379&gt;1,"Duplicate August transactions",IF(ABS(Q379)&gt;0.005,"Charge variance","OK")))</f>
        <v>OK</v>
      </c>
      <c r="S379" s="22" t="str">
        <f aca="false">IF(R379="OK","","Billing completeness/reconciliation")</f>
        <v/>
      </c>
    </row>
    <row r="380" customFormat="false" ht="15" hidden="false" customHeight="false" outlineLevel="0" collapsed="false">
      <c r="A380" s="22" t="s">
        <v>7535</v>
      </c>
      <c r="B380" s="22" t="s">
        <v>159</v>
      </c>
      <c r="C380" s="22" t="s">
        <v>6562</v>
      </c>
      <c r="D380" s="22" t="n">
        <v>32</v>
      </c>
      <c r="E380" s="22" t="s">
        <v>6575</v>
      </c>
      <c r="F380" s="22" t="s">
        <v>6577</v>
      </c>
      <c r="G380" s="22" t="s">
        <v>405</v>
      </c>
      <c r="H380" s="22" t="s">
        <v>406</v>
      </c>
      <c r="I380" s="22" t="s">
        <v>407</v>
      </c>
      <c r="J380" s="22" t="n">
        <v>19.6</v>
      </c>
      <c r="K380" s="22" t="n">
        <f aca="false">ROUNDUP(J380,0)</f>
        <v>20</v>
      </c>
      <c r="L380" s="22" t="n">
        <f aca="false">MAX(D380,K380)</f>
        <v>32</v>
      </c>
      <c r="M380" s="25" t="n">
        <f aca="false">IF(E380="COVERED",'Controls &amp; Sources'!$B$5,'Controls &amp; Sources'!$B$6)</f>
        <v>10.4</v>
      </c>
      <c r="N380" s="25" t="n">
        <f aca="false">L380*M380</f>
        <v>332.8</v>
      </c>
      <c r="O380" s="22" t="n">
        <f aca="false">COUNTIFS('Billing Actual'!$E$2:$E$770,A380,'Billing Actual'!$B$2:$B$770,'Controls &amp; Sources'!$B$7)</f>
        <v>1</v>
      </c>
      <c r="P380" s="25" t="n">
        <f aca="false">SUMIFS('Billing Actual'!$M$2:$M$770,'Billing Actual'!$E$2:$E$770,A380,'Billing Actual'!$B$2:$B$770,'Controls &amp; Sources'!$B$7)</f>
        <v>332.8</v>
      </c>
      <c r="Q380" s="25" t="n">
        <f aca="false">P380-N380</f>
        <v>0</v>
      </c>
      <c r="R380" s="22" t="str">
        <f aca="false">IF(O380=0,"No August moorage transaction",IF(O380&gt;1,"Duplicate August transactions",IF(ABS(Q380)&gt;0.005,"Charge variance","OK")))</f>
        <v>OK</v>
      </c>
      <c r="S380" s="22" t="str">
        <f aca="false">IF(R380="OK","","Billing completeness/reconciliation")</f>
        <v/>
      </c>
    </row>
    <row r="381" customFormat="false" ht="15" hidden="false" customHeight="false" outlineLevel="0" collapsed="false">
      <c r="A381" s="22" t="s">
        <v>7537</v>
      </c>
      <c r="B381" s="22" t="s">
        <v>159</v>
      </c>
      <c r="C381" s="22" t="s">
        <v>6562</v>
      </c>
      <c r="D381" s="22" t="n">
        <v>24</v>
      </c>
      <c r="E381" s="22" t="s">
        <v>6575</v>
      </c>
      <c r="F381" s="22" t="s">
        <v>6577</v>
      </c>
      <c r="G381" s="22" t="s">
        <v>4216</v>
      </c>
      <c r="H381" s="22" t="s">
        <v>4217</v>
      </c>
      <c r="I381" s="22" t="s">
        <v>2625</v>
      </c>
      <c r="J381" s="22" t="n">
        <v>42.6</v>
      </c>
      <c r="K381" s="22" t="n">
        <f aca="false">ROUNDUP(J381,0)</f>
        <v>43</v>
      </c>
      <c r="L381" s="22" t="n">
        <f aca="false">MAX(D381,K381)</f>
        <v>43</v>
      </c>
      <c r="M381" s="25" t="n">
        <f aca="false">IF(E381="COVERED",'Controls &amp; Sources'!$B$5,'Controls &amp; Sources'!$B$6)</f>
        <v>10.4</v>
      </c>
      <c r="N381" s="25" t="n">
        <f aca="false">L381*M381</f>
        <v>447.2</v>
      </c>
      <c r="O381" s="22" t="n">
        <f aca="false">COUNTIFS('Billing Actual'!$E$2:$E$770,A381,'Billing Actual'!$B$2:$B$770,'Controls &amp; Sources'!$B$7)</f>
        <v>1</v>
      </c>
      <c r="P381" s="25" t="n">
        <f aca="false">SUMIFS('Billing Actual'!$M$2:$M$770,'Billing Actual'!$E$2:$E$770,A381,'Billing Actual'!$B$2:$B$770,'Controls &amp; Sources'!$B$7)</f>
        <v>447.2</v>
      </c>
      <c r="Q381" s="25" t="n">
        <f aca="false">P381-N381</f>
        <v>0</v>
      </c>
      <c r="R381" s="22" t="str">
        <f aca="false">IF(O381=0,"No August moorage transaction",IF(O381&gt;1,"Duplicate August transactions",IF(ABS(Q381)&gt;0.005,"Charge variance","OK")))</f>
        <v>OK</v>
      </c>
      <c r="S381" s="22" t="str">
        <f aca="false">IF(R381="OK","","Billing completeness/reconciliation")</f>
        <v/>
      </c>
    </row>
    <row r="382" customFormat="false" ht="15" hidden="false" customHeight="false" outlineLevel="0" collapsed="false">
      <c r="A382" s="22" t="s">
        <v>7539</v>
      </c>
      <c r="B382" s="22" t="s">
        <v>159</v>
      </c>
      <c r="C382" s="22" t="s">
        <v>6562</v>
      </c>
      <c r="D382" s="22" t="n">
        <v>40</v>
      </c>
      <c r="E382" s="22" t="s">
        <v>6575</v>
      </c>
      <c r="F382" s="22" t="s">
        <v>6577</v>
      </c>
      <c r="G382" s="22" t="s">
        <v>5347</v>
      </c>
      <c r="H382" s="22" t="s">
        <v>5348</v>
      </c>
      <c r="I382" s="22" t="s">
        <v>2684</v>
      </c>
      <c r="J382" s="22" t="n">
        <v>19.5</v>
      </c>
      <c r="K382" s="22" t="n">
        <f aca="false">ROUNDUP(J382,0)</f>
        <v>20</v>
      </c>
      <c r="L382" s="22" t="n">
        <f aca="false">MAX(D382,K382)</f>
        <v>40</v>
      </c>
      <c r="M382" s="25" t="n">
        <f aca="false">IF(E382="COVERED",'Controls &amp; Sources'!$B$5,'Controls &amp; Sources'!$B$6)</f>
        <v>10.4</v>
      </c>
      <c r="N382" s="25" t="n">
        <f aca="false">L382*M382</f>
        <v>416</v>
      </c>
      <c r="O382" s="22" t="n">
        <f aca="false">COUNTIFS('Billing Actual'!$E$2:$E$770,A382,'Billing Actual'!$B$2:$B$770,'Controls &amp; Sources'!$B$7)</f>
        <v>1</v>
      </c>
      <c r="P382" s="25" t="n">
        <f aca="false">SUMIFS('Billing Actual'!$M$2:$M$770,'Billing Actual'!$E$2:$E$770,A382,'Billing Actual'!$B$2:$B$770,'Controls &amp; Sources'!$B$7)</f>
        <v>416</v>
      </c>
      <c r="Q382" s="25" t="n">
        <f aca="false">P382-N382</f>
        <v>0</v>
      </c>
      <c r="R382" s="22" t="str">
        <f aca="false">IF(O382=0,"No August moorage transaction",IF(O382&gt;1,"Duplicate August transactions",IF(ABS(Q382)&gt;0.005,"Charge variance","OK")))</f>
        <v>OK</v>
      </c>
      <c r="S382" s="22" t="str">
        <f aca="false">IF(R382="OK","","Billing completeness/reconciliation")</f>
        <v/>
      </c>
    </row>
    <row r="383" customFormat="false" ht="15" hidden="false" customHeight="false" outlineLevel="0" collapsed="false">
      <c r="A383" s="22" t="s">
        <v>7541</v>
      </c>
      <c r="B383" s="22" t="s">
        <v>159</v>
      </c>
      <c r="C383" s="22" t="s">
        <v>6562</v>
      </c>
      <c r="D383" s="22" t="n">
        <v>32</v>
      </c>
      <c r="E383" s="22" t="s">
        <v>6575</v>
      </c>
      <c r="F383" s="22" t="s">
        <v>6577</v>
      </c>
      <c r="G383" s="22" t="s">
        <v>3085</v>
      </c>
      <c r="H383" s="22" t="s">
        <v>3086</v>
      </c>
      <c r="I383" s="22" t="s">
        <v>1794</v>
      </c>
      <c r="J383" s="22" t="n">
        <v>38</v>
      </c>
      <c r="K383" s="22" t="n">
        <f aca="false">ROUNDUP(J383,0)</f>
        <v>38</v>
      </c>
      <c r="L383" s="22" t="n">
        <f aca="false">MAX(D383,K383)</f>
        <v>38</v>
      </c>
      <c r="M383" s="25" t="n">
        <f aca="false">IF(E383="COVERED",'Controls &amp; Sources'!$B$5,'Controls &amp; Sources'!$B$6)</f>
        <v>10.4</v>
      </c>
      <c r="N383" s="25" t="n">
        <f aca="false">L383*M383</f>
        <v>395.2</v>
      </c>
      <c r="O383" s="22" t="n">
        <f aca="false">COUNTIFS('Billing Actual'!$E$2:$E$770,A383,'Billing Actual'!$B$2:$B$770,'Controls &amp; Sources'!$B$7)</f>
        <v>1</v>
      </c>
      <c r="P383" s="25" t="n">
        <f aca="false">SUMIFS('Billing Actual'!$M$2:$M$770,'Billing Actual'!$E$2:$E$770,A383,'Billing Actual'!$B$2:$B$770,'Controls &amp; Sources'!$B$7)</f>
        <v>395.2</v>
      </c>
      <c r="Q383" s="25" t="n">
        <f aca="false">P383-N383</f>
        <v>0</v>
      </c>
      <c r="R383" s="22" t="str">
        <f aca="false">IF(O383=0,"No August moorage transaction",IF(O383&gt;1,"Duplicate August transactions",IF(ABS(Q383)&gt;0.005,"Charge variance","OK")))</f>
        <v>OK</v>
      </c>
      <c r="S383" s="22" t="str">
        <f aca="false">IF(R383="OK","","Billing completeness/reconciliation")</f>
        <v/>
      </c>
    </row>
    <row r="384" customFormat="false" ht="15" hidden="false" customHeight="false" outlineLevel="0" collapsed="false">
      <c r="A384" s="22" t="s">
        <v>7544</v>
      </c>
      <c r="B384" s="22" t="s">
        <v>159</v>
      </c>
      <c r="C384" s="22" t="s">
        <v>6562</v>
      </c>
      <c r="D384" s="22" t="n">
        <v>28</v>
      </c>
      <c r="E384" s="22" t="s">
        <v>6575</v>
      </c>
      <c r="F384" s="22" t="s">
        <v>6577</v>
      </c>
      <c r="G384" s="22" t="s">
        <v>2412</v>
      </c>
      <c r="H384" s="22" t="s">
        <v>2413</v>
      </c>
      <c r="I384" s="22" t="s">
        <v>642</v>
      </c>
      <c r="J384" s="22" t="n">
        <v>60.8</v>
      </c>
      <c r="K384" s="22" t="n">
        <f aca="false">ROUNDUP(J384,0)</f>
        <v>61</v>
      </c>
      <c r="L384" s="22" t="n">
        <f aca="false">MAX(D384,K384)</f>
        <v>61</v>
      </c>
      <c r="M384" s="25" t="n">
        <f aca="false">IF(E384="COVERED",'Controls &amp; Sources'!$B$5,'Controls &amp; Sources'!$B$6)</f>
        <v>10.4</v>
      </c>
      <c r="N384" s="25" t="n">
        <f aca="false">L384*M384</f>
        <v>634.4</v>
      </c>
      <c r="O384" s="22" t="n">
        <f aca="false">COUNTIFS('Billing Actual'!$E$2:$E$770,A384,'Billing Actual'!$B$2:$B$770,'Controls &amp; Sources'!$B$7)</f>
        <v>1</v>
      </c>
      <c r="P384" s="25" t="n">
        <f aca="false">SUMIFS('Billing Actual'!$M$2:$M$770,'Billing Actual'!$E$2:$E$770,A384,'Billing Actual'!$B$2:$B$770,'Controls &amp; Sources'!$B$7)</f>
        <v>634.4</v>
      </c>
      <c r="Q384" s="25" t="n">
        <f aca="false">P384-N384</f>
        <v>0</v>
      </c>
      <c r="R384" s="22" t="str">
        <f aca="false">IF(O384=0,"No August moorage transaction",IF(O384&gt;1,"Duplicate August transactions",IF(ABS(Q384)&gt;0.005,"Charge variance","OK")))</f>
        <v>OK</v>
      </c>
      <c r="S384" s="22" t="str">
        <f aca="false">IF(R384="OK","","Billing completeness/reconciliation")</f>
        <v/>
      </c>
    </row>
    <row r="385" customFormat="false" ht="15" hidden="false" customHeight="false" outlineLevel="0" collapsed="false">
      <c r="A385" s="22" t="s">
        <v>7545</v>
      </c>
      <c r="B385" s="22" t="s">
        <v>159</v>
      </c>
      <c r="C385" s="22" t="s">
        <v>6562</v>
      </c>
      <c r="D385" s="22" t="n">
        <v>40</v>
      </c>
      <c r="E385" s="22" t="s">
        <v>6575</v>
      </c>
      <c r="F385" s="22" t="s">
        <v>6577</v>
      </c>
      <c r="G385" s="22" t="s">
        <v>4193</v>
      </c>
      <c r="H385" s="22" t="s">
        <v>4194</v>
      </c>
      <c r="I385" s="22" t="s">
        <v>1438</v>
      </c>
      <c r="J385" s="22" t="n">
        <v>43.1</v>
      </c>
      <c r="K385" s="22" t="n">
        <f aca="false">ROUNDUP(J385,0)</f>
        <v>44</v>
      </c>
      <c r="L385" s="22" t="n">
        <f aca="false">MAX(D385,K385)</f>
        <v>44</v>
      </c>
      <c r="M385" s="25" t="n">
        <f aca="false">IF(E385="COVERED",'Controls &amp; Sources'!$B$5,'Controls &amp; Sources'!$B$6)</f>
        <v>10.4</v>
      </c>
      <c r="N385" s="25" t="n">
        <f aca="false">L385*M385</f>
        <v>457.6</v>
      </c>
      <c r="O385" s="22" t="n">
        <f aca="false">COUNTIFS('Billing Actual'!$E$2:$E$770,A385,'Billing Actual'!$B$2:$B$770,'Controls &amp; Sources'!$B$7)</f>
        <v>1</v>
      </c>
      <c r="P385" s="25" t="n">
        <f aca="false">SUMIFS('Billing Actual'!$M$2:$M$770,'Billing Actual'!$E$2:$E$770,A385,'Billing Actual'!$B$2:$B$770,'Controls &amp; Sources'!$B$7)</f>
        <v>457.6</v>
      </c>
      <c r="Q385" s="25" t="n">
        <f aca="false">P385-N385</f>
        <v>0</v>
      </c>
      <c r="R385" s="22" t="str">
        <f aca="false">IF(O385=0,"No August moorage transaction",IF(O385&gt;1,"Duplicate August transactions",IF(ABS(Q385)&gt;0.005,"Charge variance","OK")))</f>
        <v>OK</v>
      </c>
      <c r="S385" s="22" t="str">
        <f aca="false">IF(R385="OK","","Billing completeness/reconciliation")</f>
        <v/>
      </c>
    </row>
    <row r="386" customFormat="false" ht="15" hidden="false" customHeight="false" outlineLevel="0" collapsed="false">
      <c r="A386" s="22" t="s">
        <v>7547</v>
      </c>
      <c r="B386" s="22" t="s">
        <v>159</v>
      </c>
      <c r="C386" s="22" t="s">
        <v>6562</v>
      </c>
      <c r="D386" s="22" t="n">
        <v>28</v>
      </c>
      <c r="E386" s="22" t="s">
        <v>6575</v>
      </c>
      <c r="F386" s="22" t="s">
        <v>6577</v>
      </c>
      <c r="G386" s="22" t="s">
        <v>4729</v>
      </c>
      <c r="H386" s="22" t="s">
        <v>4730</v>
      </c>
      <c r="I386" s="22" t="s">
        <v>563</v>
      </c>
      <c r="J386" s="22" t="n">
        <v>45.4</v>
      </c>
      <c r="K386" s="22" t="n">
        <f aca="false">ROUNDUP(J386,0)</f>
        <v>46</v>
      </c>
      <c r="L386" s="22" t="n">
        <f aca="false">MAX(D386,K386)</f>
        <v>46</v>
      </c>
      <c r="M386" s="25" t="n">
        <f aca="false">IF(E386="COVERED",'Controls &amp; Sources'!$B$5,'Controls &amp; Sources'!$B$6)</f>
        <v>10.4</v>
      </c>
      <c r="N386" s="25" t="n">
        <f aca="false">L386*M386</f>
        <v>478.4</v>
      </c>
      <c r="O386" s="22" t="n">
        <f aca="false">COUNTIFS('Billing Actual'!$E$2:$E$770,A386,'Billing Actual'!$B$2:$B$770,'Controls &amp; Sources'!$B$7)</f>
        <v>1</v>
      </c>
      <c r="P386" s="25" t="n">
        <f aca="false">SUMIFS('Billing Actual'!$M$2:$M$770,'Billing Actual'!$E$2:$E$770,A386,'Billing Actual'!$B$2:$B$770,'Controls &amp; Sources'!$B$7)</f>
        <v>478.4</v>
      </c>
      <c r="Q386" s="25" t="n">
        <f aca="false">P386-N386</f>
        <v>0</v>
      </c>
      <c r="R386" s="22" t="str">
        <f aca="false">IF(O386=0,"No August moorage transaction",IF(O386&gt;1,"Duplicate August transactions",IF(ABS(Q386)&gt;0.005,"Charge variance","OK")))</f>
        <v>OK</v>
      </c>
      <c r="S386" s="22" t="str">
        <f aca="false">IF(R386="OK","","Billing completeness/reconciliation")</f>
        <v/>
      </c>
    </row>
    <row r="387" customFormat="false" ht="15" hidden="false" customHeight="false" outlineLevel="0" collapsed="false">
      <c r="A387" s="22" t="s">
        <v>7549</v>
      </c>
      <c r="B387" s="22" t="s">
        <v>159</v>
      </c>
      <c r="C387" s="22" t="s">
        <v>6562</v>
      </c>
      <c r="D387" s="22" t="n">
        <v>32</v>
      </c>
      <c r="E387" s="22" t="s">
        <v>6575</v>
      </c>
      <c r="F387" s="22" t="s">
        <v>6577</v>
      </c>
      <c r="G387" s="22" t="s">
        <v>3967</v>
      </c>
      <c r="H387" s="22" t="s">
        <v>3968</v>
      </c>
      <c r="I387" s="22" t="s">
        <v>321</v>
      </c>
      <c r="J387" s="22" t="n">
        <v>33.5</v>
      </c>
      <c r="K387" s="22" t="n">
        <f aca="false">ROUNDUP(J387,0)</f>
        <v>34</v>
      </c>
      <c r="L387" s="22" t="n">
        <f aca="false">MAX(D387,K387)</f>
        <v>34</v>
      </c>
      <c r="M387" s="25" t="n">
        <f aca="false">IF(E387="COVERED",'Controls &amp; Sources'!$B$5,'Controls &amp; Sources'!$B$6)</f>
        <v>10.4</v>
      </c>
      <c r="N387" s="25" t="n">
        <f aca="false">L387*M387</f>
        <v>353.6</v>
      </c>
      <c r="O387" s="22" t="n">
        <f aca="false">COUNTIFS('Billing Actual'!$E$2:$E$770,A387,'Billing Actual'!$B$2:$B$770,'Controls &amp; Sources'!$B$7)</f>
        <v>1</v>
      </c>
      <c r="P387" s="25" t="n">
        <f aca="false">SUMIFS('Billing Actual'!$M$2:$M$770,'Billing Actual'!$E$2:$E$770,A387,'Billing Actual'!$B$2:$B$770,'Controls &amp; Sources'!$B$7)</f>
        <v>353.6</v>
      </c>
      <c r="Q387" s="25" t="n">
        <f aca="false">P387-N387</f>
        <v>0</v>
      </c>
      <c r="R387" s="22" t="str">
        <f aca="false">IF(O387=0,"No August moorage transaction",IF(O387&gt;1,"Duplicate August transactions",IF(ABS(Q387)&gt;0.005,"Charge variance","OK")))</f>
        <v>OK</v>
      </c>
      <c r="S387" s="22" t="str">
        <f aca="false">IF(R387="OK","","Billing completeness/reconciliation")</f>
        <v/>
      </c>
    </row>
    <row r="388" customFormat="false" ht="15" hidden="false" customHeight="false" outlineLevel="0" collapsed="false">
      <c r="A388" s="22" t="s">
        <v>7550</v>
      </c>
      <c r="B388" s="22" t="s">
        <v>159</v>
      </c>
      <c r="C388" s="22" t="s">
        <v>6562</v>
      </c>
      <c r="D388" s="22" t="n">
        <v>28</v>
      </c>
      <c r="E388" s="22" t="s">
        <v>6575</v>
      </c>
      <c r="F388" s="22" t="s">
        <v>6577</v>
      </c>
      <c r="G388" s="22" t="s">
        <v>583</v>
      </c>
      <c r="H388" s="22" t="s">
        <v>584</v>
      </c>
      <c r="I388" s="22" t="s">
        <v>585</v>
      </c>
      <c r="J388" s="22" t="n">
        <v>19.6</v>
      </c>
      <c r="K388" s="22" t="n">
        <f aca="false">ROUNDUP(J388,0)</f>
        <v>20</v>
      </c>
      <c r="L388" s="22" t="n">
        <f aca="false">MAX(D388,K388)</f>
        <v>28</v>
      </c>
      <c r="M388" s="25" t="n">
        <f aca="false">IF(E388="COVERED",'Controls &amp; Sources'!$B$5,'Controls &amp; Sources'!$B$6)</f>
        <v>10.4</v>
      </c>
      <c r="N388" s="25" t="n">
        <f aca="false">L388*M388</f>
        <v>291.2</v>
      </c>
      <c r="O388" s="22" t="n">
        <f aca="false">COUNTIFS('Billing Actual'!$E$2:$E$770,A388,'Billing Actual'!$B$2:$B$770,'Controls &amp; Sources'!$B$7)</f>
        <v>1</v>
      </c>
      <c r="P388" s="25" t="n">
        <f aca="false">SUMIFS('Billing Actual'!$M$2:$M$770,'Billing Actual'!$E$2:$E$770,A388,'Billing Actual'!$B$2:$B$770,'Controls &amp; Sources'!$B$7)</f>
        <v>291.2</v>
      </c>
      <c r="Q388" s="25" t="n">
        <f aca="false">P388-N388</f>
        <v>0</v>
      </c>
      <c r="R388" s="22" t="str">
        <f aca="false">IF(O388=0,"No August moorage transaction",IF(O388&gt;1,"Duplicate August transactions",IF(ABS(Q388)&gt;0.005,"Charge variance","OK")))</f>
        <v>OK</v>
      </c>
      <c r="S388" s="22" t="str">
        <f aca="false">IF(R388="OK","","Billing completeness/reconciliation")</f>
        <v/>
      </c>
    </row>
    <row r="389" customFormat="false" ht="15" hidden="false" customHeight="false" outlineLevel="0" collapsed="false">
      <c r="A389" s="22" t="s">
        <v>7551</v>
      </c>
      <c r="B389" s="22" t="s">
        <v>159</v>
      </c>
      <c r="C389" s="22" t="s">
        <v>6562</v>
      </c>
      <c r="D389" s="22" t="n">
        <v>36</v>
      </c>
      <c r="E389" s="22" t="s">
        <v>6575</v>
      </c>
      <c r="F389" s="22" t="s">
        <v>6577</v>
      </c>
      <c r="G389" s="22" t="s">
        <v>1612</v>
      </c>
      <c r="H389" s="22" t="s">
        <v>1613</v>
      </c>
      <c r="I389" s="22" t="s">
        <v>1445</v>
      </c>
      <c r="J389" s="22" t="n">
        <v>21.4</v>
      </c>
      <c r="K389" s="22" t="n">
        <f aca="false">ROUNDUP(J389,0)</f>
        <v>22</v>
      </c>
      <c r="L389" s="22" t="n">
        <f aca="false">MAX(D389,K389)</f>
        <v>36</v>
      </c>
      <c r="M389" s="25" t="n">
        <f aca="false">IF(E389="COVERED",'Controls &amp; Sources'!$B$5,'Controls &amp; Sources'!$B$6)</f>
        <v>10.4</v>
      </c>
      <c r="N389" s="25" t="n">
        <f aca="false">L389*M389</f>
        <v>374.4</v>
      </c>
      <c r="O389" s="22" t="n">
        <f aca="false">COUNTIFS('Billing Actual'!$E$2:$E$770,A389,'Billing Actual'!$B$2:$B$770,'Controls &amp; Sources'!$B$7)</f>
        <v>1</v>
      </c>
      <c r="P389" s="25" t="n">
        <f aca="false">SUMIFS('Billing Actual'!$M$2:$M$770,'Billing Actual'!$E$2:$E$770,A389,'Billing Actual'!$B$2:$B$770,'Controls &amp; Sources'!$B$7)</f>
        <v>374.4</v>
      </c>
      <c r="Q389" s="25" t="n">
        <f aca="false">P389-N389</f>
        <v>0</v>
      </c>
      <c r="R389" s="22" t="str">
        <f aca="false">IF(O389=0,"No August moorage transaction",IF(O389&gt;1,"Duplicate August transactions",IF(ABS(Q389)&gt;0.005,"Charge variance","OK")))</f>
        <v>OK</v>
      </c>
      <c r="S389" s="22" t="str">
        <f aca="false">IF(R389="OK","","Billing completeness/reconciliation")</f>
        <v/>
      </c>
    </row>
    <row r="390" customFormat="false" ht="15" hidden="false" customHeight="false" outlineLevel="0" collapsed="false">
      <c r="A390" s="22" t="s">
        <v>7553</v>
      </c>
      <c r="B390" s="22" t="s">
        <v>159</v>
      </c>
      <c r="C390" s="22" t="s">
        <v>6562</v>
      </c>
      <c r="D390" s="22" t="n">
        <v>40</v>
      </c>
      <c r="E390" s="22" t="s">
        <v>6575</v>
      </c>
      <c r="F390" s="22" t="s">
        <v>6577</v>
      </c>
      <c r="G390" s="22" t="s">
        <v>4968</v>
      </c>
      <c r="H390" s="22" t="s">
        <v>4969</v>
      </c>
      <c r="I390" s="22" t="s">
        <v>1066</v>
      </c>
      <c r="J390" s="22" t="n">
        <v>43.5</v>
      </c>
      <c r="K390" s="22" t="n">
        <f aca="false">ROUNDUP(J390,0)</f>
        <v>44</v>
      </c>
      <c r="L390" s="22" t="n">
        <f aca="false">MAX(D390,K390)</f>
        <v>44</v>
      </c>
      <c r="M390" s="25" t="n">
        <f aca="false">IF(E390="COVERED",'Controls &amp; Sources'!$B$5,'Controls &amp; Sources'!$B$6)</f>
        <v>10.4</v>
      </c>
      <c r="N390" s="25" t="n">
        <f aca="false">L390*M390</f>
        <v>457.6</v>
      </c>
      <c r="O390" s="22" t="n">
        <f aca="false">COUNTIFS('Billing Actual'!$E$2:$E$770,A390,'Billing Actual'!$B$2:$B$770,'Controls &amp; Sources'!$B$7)</f>
        <v>1</v>
      </c>
      <c r="P390" s="25" t="n">
        <f aca="false">SUMIFS('Billing Actual'!$M$2:$M$770,'Billing Actual'!$E$2:$E$770,A390,'Billing Actual'!$B$2:$B$770,'Controls &amp; Sources'!$B$7)</f>
        <v>457.6</v>
      </c>
      <c r="Q390" s="25" t="n">
        <f aca="false">P390-N390</f>
        <v>0</v>
      </c>
      <c r="R390" s="22" t="str">
        <f aca="false">IF(O390=0,"No August moorage transaction",IF(O390&gt;1,"Duplicate August transactions",IF(ABS(Q390)&gt;0.005,"Charge variance","OK")))</f>
        <v>OK</v>
      </c>
      <c r="S390" s="22" t="str">
        <f aca="false">IF(R390="OK","","Billing completeness/reconciliation")</f>
        <v/>
      </c>
    </row>
    <row r="391" customFormat="false" ht="15" hidden="false" customHeight="false" outlineLevel="0" collapsed="false">
      <c r="A391" s="22" t="s">
        <v>7554</v>
      </c>
      <c r="B391" s="22" t="s">
        <v>159</v>
      </c>
      <c r="C391" s="22" t="s">
        <v>6562</v>
      </c>
      <c r="D391" s="22" t="n">
        <v>36</v>
      </c>
      <c r="E391" s="22" t="s">
        <v>6575</v>
      </c>
      <c r="F391" s="22" t="s">
        <v>6577</v>
      </c>
      <c r="G391" s="22" t="s">
        <v>589</v>
      </c>
      <c r="H391" s="22" t="s">
        <v>590</v>
      </c>
      <c r="I391" s="22" t="s">
        <v>591</v>
      </c>
      <c r="J391" s="22" t="n">
        <v>36.7</v>
      </c>
      <c r="K391" s="22" t="n">
        <f aca="false">ROUNDUP(J391,0)</f>
        <v>37</v>
      </c>
      <c r="L391" s="22" t="n">
        <f aca="false">MAX(D391,K391)</f>
        <v>37</v>
      </c>
      <c r="M391" s="25" t="n">
        <f aca="false">IF(E391="COVERED",'Controls &amp; Sources'!$B$5,'Controls &amp; Sources'!$B$6)</f>
        <v>10.4</v>
      </c>
      <c r="N391" s="25" t="n">
        <f aca="false">L391*M391</f>
        <v>384.8</v>
      </c>
      <c r="O391" s="22" t="n">
        <f aca="false">COUNTIFS('Billing Actual'!$E$2:$E$770,A391,'Billing Actual'!$B$2:$B$770,'Controls &amp; Sources'!$B$7)</f>
        <v>1</v>
      </c>
      <c r="P391" s="25" t="n">
        <f aca="false">SUMIFS('Billing Actual'!$M$2:$M$770,'Billing Actual'!$E$2:$E$770,A391,'Billing Actual'!$B$2:$B$770,'Controls &amp; Sources'!$B$7)</f>
        <v>384.8</v>
      </c>
      <c r="Q391" s="25" t="n">
        <f aca="false">P391-N391</f>
        <v>0</v>
      </c>
      <c r="R391" s="22" t="str">
        <f aca="false">IF(O391=0,"No August moorage transaction",IF(O391&gt;1,"Duplicate August transactions",IF(ABS(Q391)&gt;0.005,"Charge variance","OK")))</f>
        <v>OK</v>
      </c>
      <c r="S391" s="22" t="str">
        <f aca="false">IF(R391="OK","","Billing completeness/reconciliation")</f>
        <v/>
      </c>
    </row>
    <row r="392" customFormat="false" ht="15" hidden="false" customHeight="false" outlineLevel="0" collapsed="false">
      <c r="A392" s="22" t="s">
        <v>7556</v>
      </c>
      <c r="B392" s="22" t="s">
        <v>159</v>
      </c>
      <c r="C392" s="22" t="s">
        <v>6562</v>
      </c>
      <c r="D392" s="22" t="n">
        <v>36</v>
      </c>
      <c r="E392" s="22" t="s">
        <v>6575</v>
      </c>
      <c r="F392" s="22" t="s">
        <v>6577</v>
      </c>
      <c r="G392" s="22" t="s">
        <v>5048</v>
      </c>
      <c r="H392" s="22" t="s">
        <v>5049</v>
      </c>
      <c r="I392" s="22" t="s">
        <v>1288</v>
      </c>
      <c r="J392" s="22" t="n">
        <v>37.2</v>
      </c>
      <c r="K392" s="22" t="n">
        <f aca="false">ROUNDUP(J392,0)</f>
        <v>38</v>
      </c>
      <c r="L392" s="22" t="n">
        <f aca="false">MAX(D392,K392)</f>
        <v>38</v>
      </c>
      <c r="M392" s="25" t="n">
        <f aca="false">IF(E392="COVERED",'Controls &amp; Sources'!$B$5,'Controls &amp; Sources'!$B$6)</f>
        <v>10.4</v>
      </c>
      <c r="N392" s="25" t="n">
        <f aca="false">L392*M392</f>
        <v>395.2</v>
      </c>
      <c r="O392" s="22" t="n">
        <f aca="false">COUNTIFS('Billing Actual'!$E$2:$E$770,A392,'Billing Actual'!$B$2:$B$770,'Controls &amp; Sources'!$B$7)</f>
        <v>1</v>
      </c>
      <c r="P392" s="25" t="n">
        <f aca="false">SUMIFS('Billing Actual'!$M$2:$M$770,'Billing Actual'!$E$2:$E$770,A392,'Billing Actual'!$B$2:$B$770,'Controls &amp; Sources'!$B$7)</f>
        <v>395.2</v>
      </c>
      <c r="Q392" s="25" t="n">
        <f aca="false">P392-N392</f>
        <v>0</v>
      </c>
      <c r="R392" s="22" t="str">
        <f aca="false">IF(O392=0,"No August moorage transaction",IF(O392&gt;1,"Duplicate August transactions",IF(ABS(Q392)&gt;0.005,"Charge variance","OK")))</f>
        <v>OK</v>
      </c>
      <c r="S392" s="22" t="str">
        <f aca="false">IF(R392="OK","","Billing completeness/reconciliation")</f>
        <v/>
      </c>
    </row>
    <row r="393" customFormat="false" ht="15" hidden="false" customHeight="false" outlineLevel="0" collapsed="false">
      <c r="A393" s="22" t="s">
        <v>7558</v>
      </c>
      <c r="B393" s="22" t="s">
        <v>159</v>
      </c>
      <c r="C393" s="22" t="s">
        <v>6562</v>
      </c>
      <c r="D393" s="22" t="n">
        <v>28</v>
      </c>
      <c r="E393" s="22" t="s">
        <v>6575</v>
      </c>
      <c r="F393" s="22" t="s">
        <v>6577</v>
      </c>
      <c r="G393" s="22" t="s">
        <v>5800</v>
      </c>
      <c r="H393" s="22" t="s">
        <v>5801</v>
      </c>
      <c r="I393" s="22" t="s">
        <v>2468</v>
      </c>
      <c r="J393" s="22" t="n">
        <v>40.6</v>
      </c>
      <c r="K393" s="22" t="n">
        <f aca="false">ROUNDUP(J393,0)</f>
        <v>41</v>
      </c>
      <c r="L393" s="22" t="n">
        <f aca="false">MAX(D393,K393)</f>
        <v>41</v>
      </c>
      <c r="M393" s="25" t="n">
        <f aca="false">IF(E393="COVERED",'Controls &amp; Sources'!$B$5,'Controls &amp; Sources'!$B$6)</f>
        <v>10.4</v>
      </c>
      <c r="N393" s="25" t="n">
        <f aca="false">L393*M393</f>
        <v>426.4</v>
      </c>
      <c r="O393" s="22" t="n">
        <f aca="false">COUNTIFS('Billing Actual'!$E$2:$E$770,A393,'Billing Actual'!$B$2:$B$770,'Controls &amp; Sources'!$B$7)</f>
        <v>1</v>
      </c>
      <c r="P393" s="25" t="n">
        <f aca="false">SUMIFS('Billing Actual'!$M$2:$M$770,'Billing Actual'!$E$2:$E$770,A393,'Billing Actual'!$B$2:$B$770,'Controls &amp; Sources'!$B$7)</f>
        <v>426.4</v>
      </c>
      <c r="Q393" s="25" t="n">
        <f aca="false">P393-N393</f>
        <v>0</v>
      </c>
      <c r="R393" s="22" t="str">
        <f aca="false">IF(O393=0,"No August moorage transaction",IF(O393&gt;1,"Duplicate August transactions",IF(ABS(Q393)&gt;0.005,"Charge variance","OK")))</f>
        <v>OK</v>
      </c>
      <c r="S393" s="22" t="str">
        <f aca="false">IF(R393="OK","","Billing completeness/reconciliation")</f>
        <v/>
      </c>
    </row>
    <row r="394" customFormat="false" ht="15" hidden="false" customHeight="false" outlineLevel="0" collapsed="false">
      <c r="A394" s="22" t="s">
        <v>7560</v>
      </c>
      <c r="B394" s="22" t="s">
        <v>159</v>
      </c>
      <c r="C394" s="22" t="s">
        <v>6562</v>
      </c>
      <c r="D394" s="22" t="n">
        <v>32</v>
      </c>
      <c r="E394" s="22" t="s">
        <v>6575</v>
      </c>
      <c r="F394" s="22" t="s">
        <v>6577</v>
      </c>
      <c r="G394" s="22" t="s">
        <v>936</v>
      </c>
      <c r="H394" s="22" t="s">
        <v>937</v>
      </c>
      <c r="I394" s="22" t="s">
        <v>938</v>
      </c>
      <c r="J394" s="22" t="n">
        <v>33.8</v>
      </c>
      <c r="K394" s="22" t="n">
        <f aca="false">ROUNDUP(J394,0)</f>
        <v>34</v>
      </c>
      <c r="L394" s="22" t="n">
        <f aca="false">MAX(D394,K394)</f>
        <v>34</v>
      </c>
      <c r="M394" s="25" t="n">
        <f aca="false">IF(E394="COVERED",'Controls &amp; Sources'!$B$5,'Controls &amp; Sources'!$B$6)</f>
        <v>10.4</v>
      </c>
      <c r="N394" s="25" t="n">
        <f aca="false">L394*M394</f>
        <v>353.6</v>
      </c>
      <c r="O394" s="22" t="n">
        <f aca="false">COUNTIFS('Billing Actual'!$E$2:$E$770,A394,'Billing Actual'!$B$2:$B$770,'Controls &amp; Sources'!$B$7)</f>
        <v>1</v>
      </c>
      <c r="P394" s="25" t="n">
        <f aca="false">SUMIFS('Billing Actual'!$M$2:$M$770,'Billing Actual'!$E$2:$E$770,A394,'Billing Actual'!$B$2:$B$770,'Controls &amp; Sources'!$B$7)</f>
        <v>353.6</v>
      </c>
      <c r="Q394" s="25" t="n">
        <f aca="false">P394-N394</f>
        <v>0</v>
      </c>
      <c r="R394" s="22" t="str">
        <f aca="false">IF(O394=0,"No August moorage transaction",IF(O394&gt;1,"Duplicate August transactions",IF(ABS(Q394)&gt;0.005,"Charge variance","OK")))</f>
        <v>OK</v>
      </c>
      <c r="S394" s="22" t="str">
        <f aca="false">IF(R394="OK","","Billing completeness/reconciliation")</f>
        <v/>
      </c>
    </row>
    <row r="395" customFormat="false" ht="15" hidden="false" customHeight="false" outlineLevel="0" collapsed="false">
      <c r="A395" s="22" t="s">
        <v>7562</v>
      </c>
      <c r="B395" s="22" t="s">
        <v>159</v>
      </c>
      <c r="C395" s="22" t="s">
        <v>6562</v>
      </c>
      <c r="D395" s="22" t="n">
        <v>32</v>
      </c>
      <c r="E395" s="22" t="s">
        <v>6575</v>
      </c>
      <c r="F395" s="22" t="s">
        <v>6577</v>
      </c>
      <c r="G395" s="22" t="s">
        <v>3217</v>
      </c>
      <c r="H395" s="22" t="s">
        <v>2765</v>
      </c>
      <c r="I395" s="22" t="s">
        <v>921</v>
      </c>
      <c r="J395" s="22" t="n">
        <v>61.3</v>
      </c>
      <c r="K395" s="22" t="n">
        <f aca="false">ROUNDUP(J395,0)</f>
        <v>62</v>
      </c>
      <c r="L395" s="22" t="n">
        <f aca="false">MAX(D395,K395)</f>
        <v>62</v>
      </c>
      <c r="M395" s="25" t="n">
        <f aca="false">IF(E395="COVERED",'Controls &amp; Sources'!$B$5,'Controls &amp; Sources'!$B$6)</f>
        <v>10.4</v>
      </c>
      <c r="N395" s="25" t="n">
        <f aca="false">L395*M395</f>
        <v>644.8</v>
      </c>
      <c r="O395" s="22" t="n">
        <f aca="false">COUNTIFS('Billing Actual'!$E$2:$E$770,A395,'Billing Actual'!$B$2:$B$770,'Controls &amp; Sources'!$B$7)</f>
        <v>1</v>
      </c>
      <c r="P395" s="25" t="n">
        <f aca="false">SUMIFS('Billing Actual'!$M$2:$M$770,'Billing Actual'!$E$2:$E$770,A395,'Billing Actual'!$B$2:$B$770,'Controls &amp; Sources'!$B$7)</f>
        <v>644.8</v>
      </c>
      <c r="Q395" s="25" t="n">
        <f aca="false">P395-N395</f>
        <v>0</v>
      </c>
      <c r="R395" s="22" t="str">
        <f aca="false">IF(O395=0,"No August moorage transaction",IF(O395&gt;1,"Duplicate August transactions",IF(ABS(Q395)&gt;0.005,"Charge variance","OK")))</f>
        <v>OK</v>
      </c>
      <c r="S395" s="22" t="str">
        <f aca="false">IF(R395="OK","","Billing completeness/reconciliation")</f>
        <v/>
      </c>
    </row>
    <row r="396" customFormat="false" ht="15" hidden="false" customHeight="false" outlineLevel="0" collapsed="false">
      <c r="A396" s="22" t="s">
        <v>7564</v>
      </c>
      <c r="B396" s="22" t="s">
        <v>159</v>
      </c>
      <c r="C396" s="22" t="s">
        <v>6562</v>
      </c>
      <c r="D396" s="22" t="n">
        <v>24</v>
      </c>
      <c r="E396" s="22" t="s">
        <v>6575</v>
      </c>
      <c r="F396" s="22" t="s">
        <v>6577</v>
      </c>
      <c r="G396" s="22" t="s">
        <v>4424</v>
      </c>
      <c r="H396" s="22" t="s">
        <v>4425</v>
      </c>
      <c r="I396" s="22" t="s">
        <v>914</v>
      </c>
      <c r="J396" s="22" t="n">
        <v>48.7</v>
      </c>
      <c r="K396" s="22" t="n">
        <f aca="false">ROUNDUP(J396,0)</f>
        <v>49</v>
      </c>
      <c r="L396" s="22" t="n">
        <f aca="false">MAX(D396,K396)</f>
        <v>49</v>
      </c>
      <c r="M396" s="25" t="n">
        <f aca="false">IF(E396="COVERED",'Controls &amp; Sources'!$B$5,'Controls &amp; Sources'!$B$6)</f>
        <v>10.4</v>
      </c>
      <c r="N396" s="25" t="n">
        <f aca="false">L396*M396</f>
        <v>509.6</v>
      </c>
      <c r="O396" s="22" t="n">
        <f aca="false">COUNTIFS('Billing Actual'!$E$2:$E$770,A396,'Billing Actual'!$B$2:$B$770,'Controls &amp; Sources'!$B$7)</f>
        <v>1</v>
      </c>
      <c r="P396" s="25" t="n">
        <f aca="false">SUMIFS('Billing Actual'!$M$2:$M$770,'Billing Actual'!$E$2:$E$770,A396,'Billing Actual'!$B$2:$B$770,'Controls &amp; Sources'!$B$7)</f>
        <v>509.6</v>
      </c>
      <c r="Q396" s="25" t="n">
        <f aca="false">P396-N396</f>
        <v>0</v>
      </c>
      <c r="R396" s="22" t="str">
        <f aca="false">IF(O396=0,"No August moorage transaction",IF(O396&gt;1,"Duplicate August transactions",IF(ABS(Q396)&gt;0.005,"Charge variance","OK")))</f>
        <v>OK</v>
      </c>
      <c r="S396" s="22" t="str">
        <f aca="false">IF(R396="OK","","Billing completeness/reconciliation")</f>
        <v/>
      </c>
    </row>
    <row r="397" customFormat="false" ht="15" hidden="false" customHeight="false" outlineLevel="0" collapsed="false">
      <c r="A397" s="22" t="s">
        <v>7566</v>
      </c>
      <c r="B397" s="22" t="s">
        <v>159</v>
      </c>
      <c r="C397" s="22" t="s">
        <v>6562</v>
      </c>
      <c r="D397" s="22" t="n">
        <v>32</v>
      </c>
      <c r="E397" s="22" t="s">
        <v>6575</v>
      </c>
      <c r="F397" s="22" t="s">
        <v>6577</v>
      </c>
      <c r="G397" s="22" t="s">
        <v>3673</v>
      </c>
      <c r="H397" s="22" t="s">
        <v>3674</v>
      </c>
      <c r="I397" s="22" t="s">
        <v>1178</v>
      </c>
      <c r="J397" s="22" t="n">
        <v>57.3</v>
      </c>
      <c r="K397" s="22" t="n">
        <f aca="false">ROUNDUP(J397,0)</f>
        <v>58</v>
      </c>
      <c r="L397" s="22" t="n">
        <f aca="false">MAX(D397,K397)</f>
        <v>58</v>
      </c>
      <c r="M397" s="25" t="n">
        <f aca="false">IF(E397="COVERED",'Controls &amp; Sources'!$B$5,'Controls &amp; Sources'!$B$6)</f>
        <v>10.4</v>
      </c>
      <c r="N397" s="25" t="n">
        <f aca="false">L397*M397</f>
        <v>603.2</v>
      </c>
      <c r="O397" s="22" t="n">
        <f aca="false">COUNTIFS('Billing Actual'!$E$2:$E$770,A397,'Billing Actual'!$B$2:$B$770,'Controls &amp; Sources'!$B$7)</f>
        <v>1</v>
      </c>
      <c r="P397" s="25" t="n">
        <f aca="false">SUMIFS('Billing Actual'!$M$2:$M$770,'Billing Actual'!$E$2:$E$770,A397,'Billing Actual'!$B$2:$B$770,'Controls &amp; Sources'!$B$7)</f>
        <v>603.2</v>
      </c>
      <c r="Q397" s="25" t="n">
        <f aca="false">P397-N397</f>
        <v>0</v>
      </c>
      <c r="R397" s="22" t="str">
        <f aca="false">IF(O397=0,"No August moorage transaction",IF(O397&gt;1,"Duplicate August transactions",IF(ABS(Q397)&gt;0.005,"Charge variance","OK")))</f>
        <v>OK</v>
      </c>
      <c r="S397" s="22" t="str">
        <f aca="false">IF(R397="OK","","Billing completeness/reconciliation")</f>
        <v/>
      </c>
    </row>
    <row r="398" customFormat="false" ht="15" hidden="false" customHeight="false" outlineLevel="0" collapsed="false">
      <c r="A398" s="22" t="s">
        <v>7567</v>
      </c>
      <c r="B398" s="22" t="s">
        <v>159</v>
      </c>
      <c r="C398" s="22" t="s">
        <v>6562</v>
      </c>
      <c r="D398" s="22" t="n">
        <v>32</v>
      </c>
      <c r="E398" s="22" t="s">
        <v>6575</v>
      </c>
      <c r="F398" s="22" t="s">
        <v>6577</v>
      </c>
      <c r="G398" s="22" t="s">
        <v>1533</v>
      </c>
      <c r="H398" s="22" t="s">
        <v>1534</v>
      </c>
      <c r="I398" s="22" t="s">
        <v>1535</v>
      </c>
      <c r="J398" s="22" t="n">
        <v>50.3</v>
      </c>
      <c r="K398" s="22" t="n">
        <f aca="false">ROUNDUP(J398,0)</f>
        <v>51</v>
      </c>
      <c r="L398" s="22" t="n">
        <f aca="false">MAX(D398,K398)</f>
        <v>51</v>
      </c>
      <c r="M398" s="25" t="n">
        <f aca="false">IF(E398="COVERED",'Controls &amp; Sources'!$B$5,'Controls &amp; Sources'!$B$6)</f>
        <v>10.4</v>
      </c>
      <c r="N398" s="25" t="n">
        <f aca="false">L398*M398</f>
        <v>530.4</v>
      </c>
      <c r="O398" s="22" t="n">
        <f aca="false">COUNTIFS('Billing Actual'!$E$2:$E$770,A398,'Billing Actual'!$B$2:$B$770,'Controls &amp; Sources'!$B$7)</f>
        <v>1</v>
      </c>
      <c r="P398" s="25" t="n">
        <f aca="false">SUMIFS('Billing Actual'!$M$2:$M$770,'Billing Actual'!$E$2:$E$770,A398,'Billing Actual'!$B$2:$B$770,'Controls &amp; Sources'!$B$7)</f>
        <v>530.4</v>
      </c>
      <c r="Q398" s="25" t="n">
        <f aca="false">P398-N398</f>
        <v>0</v>
      </c>
      <c r="R398" s="22" t="str">
        <f aca="false">IF(O398=0,"No August moorage transaction",IF(O398&gt;1,"Duplicate August transactions",IF(ABS(Q398)&gt;0.005,"Charge variance","OK")))</f>
        <v>OK</v>
      </c>
      <c r="S398" s="22" t="str">
        <f aca="false">IF(R398="OK","","Billing completeness/reconciliation")</f>
        <v/>
      </c>
    </row>
    <row r="399" customFormat="false" ht="15" hidden="false" customHeight="false" outlineLevel="0" collapsed="false">
      <c r="A399" s="22" t="s">
        <v>7569</v>
      </c>
      <c r="B399" s="22" t="s">
        <v>159</v>
      </c>
      <c r="C399" s="22" t="s">
        <v>6562</v>
      </c>
      <c r="D399" s="22" t="n">
        <v>28</v>
      </c>
      <c r="E399" s="22" t="s">
        <v>6575</v>
      </c>
      <c r="F399" s="22" t="s">
        <v>6577</v>
      </c>
      <c r="G399" s="22" t="s">
        <v>4056</v>
      </c>
      <c r="H399" s="22" t="s">
        <v>4057</v>
      </c>
      <c r="I399" s="22" t="s">
        <v>495</v>
      </c>
      <c r="J399" s="22" t="n">
        <v>35.6</v>
      </c>
      <c r="K399" s="22" t="n">
        <f aca="false">ROUNDUP(J399,0)</f>
        <v>36</v>
      </c>
      <c r="L399" s="22" t="n">
        <f aca="false">MAX(D399,K399)</f>
        <v>36</v>
      </c>
      <c r="M399" s="25" t="n">
        <f aca="false">IF(E399="COVERED",'Controls &amp; Sources'!$B$5,'Controls &amp; Sources'!$B$6)</f>
        <v>10.4</v>
      </c>
      <c r="N399" s="25" t="n">
        <f aca="false">L399*M399</f>
        <v>374.4</v>
      </c>
      <c r="O399" s="22" t="n">
        <f aca="false">COUNTIFS('Billing Actual'!$E$2:$E$770,A399,'Billing Actual'!$B$2:$B$770,'Controls &amp; Sources'!$B$7)</f>
        <v>1</v>
      </c>
      <c r="P399" s="25" t="n">
        <f aca="false">SUMIFS('Billing Actual'!$M$2:$M$770,'Billing Actual'!$E$2:$E$770,A399,'Billing Actual'!$B$2:$B$770,'Controls &amp; Sources'!$B$7)</f>
        <v>374.4</v>
      </c>
      <c r="Q399" s="25" t="n">
        <f aca="false">P399-N399</f>
        <v>0</v>
      </c>
      <c r="R399" s="22" t="str">
        <f aca="false">IF(O399=0,"No August moorage transaction",IF(O399&gt;1,"Duplicate August transactions",IF(ABS(Q399)&gt;0.005,"Charge variance","OK")))</f>
        <v>OK</v>
      </c>
      <c r="S399" s="22" t="str">
        <f aca="false">IF(R399="OK","","Billing completeness/reconciliation")</f>
        <v/>
      </c>
    </row>
    <row r="400" customFormat="false" ht="15" hidden="false" customHeight="false" outlineLevel="0" collapsed="false">
      <c r="A400" s="22" t="s">
        <v>7571</v>
      </c>
      <c r="B400" s="22" t="s">
        <v>159</v>
      </c>
      <c r="C400" s="22" t="s">
        <v>6562</v>
      </c>
      <c r="D400" s="22" t="n">
        <v>32</v>
      </c>
      <c r="E400" s="22" t="s">
        <v>6575</v>
      </c>
      <c r="F400" s="22" t="s">
        <v>6577</v>
      </c>
      <c r="G400" s="22" t="s">
        <v>2082</v>
      </c>
      <c r="H400" s="22" t="s">
        <v>2083</v>
      </c>
      <c r="I400" s="22" t="s">
        <v>1977</v>
      </c>
      <c r="J400" s="22" t="n">
        <v>22.5</v>
      </c>
      <c r="K400" s="22" t="n">
        <f aca="false">ROUNDUP(J400,0)</f>
        <v>23</v>
      </c>
      <c r="L400" s="22" t="n">
        <f aca="false">MAX(D400,K400)</f>
        <v>32</v>
      </c>
      <c r="M400" s="25" t="n">
        <f aca="false">IF(E400="COVERED",'Controls &amp; Sources'!$B$5,'Controls &amp; Sources'!$B$6)</f>
        <v>10.4</v>
      </c>
      <c r="N400" s="25" t="n">
        <f aca="false">L400*M400</f>
        <v>332.8</v>
      </c>
      <c r="O400" s="22" t="n">
        <f aca="false">COUNTIFS('Billing Actual'!$E$2:$E$770,A400,'Billing Actual'!$B$2:$B$770,'Controls &amp; Sources'!$B$7)</f>
        <v>1</v>
      </c>
      <c r="P400" s="25" t="n">
        <f aca="false">SUMIFS('Billing Actual'!$M$2:$M$770,'Billing Actual'!$E$2:$E$770,A400,'Billing Actual'!$B$2:$B$770,'Controls &amp; Sources'!$B$7)</f>
        <v>332.8</v>
      </c>
      <c r="Q400" s="25" t="n">
        <f aca="false">P400-N400</f>
        <v>0</v>
      </c>
      <c r="R400" s="22" t="str">
        <f aca="false">IF(O400=0,"No August moorage transaction",IF(O400&gt;1,"Duplicate August transactions",IF(ABS(Q400)&gt;0.005,"Charge variance","OK")))</f>
        <v>OK</v>
      </c>
      <c r="S400" s="22" t="str">
        <f aca="false">IF(R400="OK","","Billing completeness/reconciliation")</f>
        <v/>
      </c>
    </row>
    <row r="401" customFormat="false" ht="15" hidden="false" customHeight="false" outlineLevel="0" collapsed="false">
      <c r="A401" s="22" t="s">
        <v>7572</v>
      </c>
      <c r="B401" s="22" t="s">
        <v>159</v>
      </c>
      <c r="C401" s="22" t="s">
        <v>6562</v>
      </c>
      <c r="D401" s="22" t="n">
        <v>40</v>
      </c>
      <c r="E401" s="22" t="s">
        <v>6575</v>
      </c>
      <c r="F401" s="22" t="s">
        <v>6577</v>
      </c>
      <c r="G401" s="22" t="s">
        <v>291</v>
      </c>
      <c r="H401" s="22" t="s">
        <v>292</v>
      </c>
      <c r="I401" s="22" t="s">
        <v>293</v>
      </c>
      <c r="J401" s="22" t="n">
        <v>61.5</v>
      </c>
      <c r="K401" s="22" t="n">
        <f aca="false">ROUNDUP(J401,0)</f>
        <v>62</v>
      </c>
      <c r="L401" s="22" t="n">
        <f aca="false">MAX(D401,K401)</f>
        <v>62</v>
      </c>
      <c r="M401" s="25" t="n">
        <f aca="false">IF(E401="COVERED",'Controls &amp; Sources'!$B$5,'Controls &amp; Sources'!$B$6)</f>
        <v>10.4</v>
      </c>
      <c r="N401" s="25" t="n">
        <f aca="false">L401*M401</f>
        <v>644.8</v>
      </c>
      <c r="O401" s="22" t="n">
        <f aca="false">COUNTIFS('Billing Actual'!$E$2:$E$770,A401,'Billing Actual'!$B$2:$B$770,'Controls &amp; Sources'!$B$7)</f>
        <v>1</v>
      </c>
      <c r="P401" s="25" t="n">
        <f aca="false">SUMIFS('Billing Actual'!$M$2:$M$770,'Billing Actual'!$E$2:$E$770,A401,'Billing Actual'!$B$2:$B$770,'Controls &amp; Sources'!$B$7)</f>
        <v>644.8</v>
      </c>
      <c r="Q401" s="25" t="n">
        <f aca="false">P401-N401</f>
        <v>0</v>
      </c>
      <c r="R401" s="22" t="str">
        <f aca="false">IF(O401=0,"No August moorage transaction",IF(O401&gt;1,"Duplicate August transactions",IF(ABS(Q401)&gt;0.005,"Charge variance","OK")))</f>
        <v>OK</v>
      </c>
      <c r="S401" s="22" t="str">
        <f aca="false">IF(R401="OK","","Billing completeness/reconciliation")</f>
        <v/>
      </c>
    </row>
    <row r="402" customFormat="false" ht="15" hidden="false" customHeight="false" outlineLevel="0" collapsed="false">
      <c r="A402" s="22" t="s">
        <v>7574</v>
      </c>
      <c r="B402" s="22" t="s">
        <v>159</v>
      </c>
      <c r="C402" s="22" t="s">
        <v>6562</v>
      </c>
      <c r="D402" s="22" t="n">
        <v>28</v>
      </c>
      <c r="E402" s="22" t="s">
        <v>6575</v>
      </c>
      <c r="F402" s="22" t="s">
        <v>6577</v>
      </c>
      <c r="G402" s="22" t="s">
        <v>925</v>
      </c>
      <c r="H402" s="22" t="s">
        <v>926</v>
      </c>
      <c r="I402" s="22" t="s">
        <v>927</v>
      </c>
      <c r="J402" s="22" t="n">
        <v>20.5</v>
      </c>
      <c r="K402" s="22" t="n">
        <f aca="false">ROUNDUP(J402,0)</f>
        <v>21</v>
      </c>
      <c r="L402" s="22" t="n">
        <f aca="false">MAX(D402,K402)</f>
        <v>28</v>
      </c>
      <c r="M402" s="25" t="n">
        <f aca="false">IF(E402="COVERED",'Controls &amp; Sources'!$B$5,'Controls &amp; Sources'!$B$6)</f>
        <v>10.4</v>
      </c>
      <c r="N402" s="25" t="n">
        <f aca="false">L402*M402</f>
        <v>291.2</v>
      </c>
      <c r="O402" s="22" t="n">
        <f aca="false">COUNTIFS('Billing Actual'!$E$2:$E$770,A402,'Billing Actual'!$B$2:$B$770,'Controls &amp; Sources'!$B$7)</f>
        <v>1</v>
      </c>
      <c r="P402" s="25" t="n">
        <f aca="false">SUMIFS('Billing Actual'!$M$2:$M$770,'Billing Actual'!$E$2:$E$770,A402,'Billing Actual'!$B$2:$B$770,'Controls &amp; Sources'!$B$7)</f>
        <v>291.2</v>
      </c>
      <c r="Q402" s="25" t="n">
        <f aca="false">P402-N402</f>
        <v>0</v>
      </c>
      <c r="R402" s="22" t="str">
        <f aca="false">IF(O402=0,"No August moorage transaction",IF(O402&gt;1,"Duplicate August transactions",IF(ABS(Q402)&gt;0.005,"Charge variance","OK")))</f>
        <v>OK</v>
      </c>
      <c r="S402" s="22" t="str">
        <f aca="false">IF(R402="OK","","Billing completeness/reconciliation")</f>
        <v/>
      </c>
    </row>
    <row r="403" customFormat="false" ht="15" hidden="false" customHeight="false" outlineLevel="0" collapsed="false">
      <c r="A403" s="22" t="s">
        <v>7577</v>
      </c>
      <c r="B403" s="22" t="s">
        <v>159</v>
      </c>
      <c r="C403" s="22" t="s">
        <v>6562</v>
      </c>
      <c r="D403" s="22" t="n">
        <v>32</v>
      </c>
      <c r="E403" s="22" t="s">
        <v>6575</v>
      </c>
      <c r="F403" s="22" t="s">
        <v>6577</v>
      </c>
      <c r="G403" s="22" t="s">
        <v>4867</v>
      </c>
      <c r="H403" s="22" t="s">
        <v>4868</v>
      </c>
      <c r="I403" s="22" t="s">
        <v>796</v>
      </c>
      <c r="J403" s="22" t="n">
        <v>53.8</v>
      </c>
      <c r="K403" s="22" t="n">
        <f aca="false">ROUNDUP(J403,0)</f>
        <v>54</v>
      </c>
      <c r="L403" s="22" t="n">
        <f aca="false">MAX(D403,K403)</f>
        <v>54</v>
      </c>
      <c r="M403" s="25" t="n">
        <f aca="false">IF(E403="COVERED",'Controls &amp; Sources'!$B$5,'Controls &amp; Sources'!$B$6)</f>
        <v>10.4</v>
      </c>
      <c r="N403" s="25" t="n">
        <f aca="false">L403*M403</f>
        <v>561.6</v>
      </c>
      <c r="O403" s="22" t="n">
        <f aca="false">COUNTIFS('Billing Actual'!$E$2:$E$770,A403,'Billing Actual'!$B$2:$B$770,'Controls &amp; Sources'!$B$7)</f>
        <v>1</v>
      </c>
      <c r="P403" s="25" t="n">
        <f aca="false">SUMIFS('Billing Actual'!$M$2:$M$770,'Billing Actual'!$E$2:$E$770,A403,'Billing Actual'!$B$2:$B$770,'Controls &amp; Sources'!$B$7)</f>
        <v>561.6</v>
      </c>
      <c r="Q403" s="25" t="n">
        <f aca="false">P403-N403</f>
        <v>0</v>
      </c>
      <c r="R403" s="22" t="str">
        <f aca="false">IF(O403=0,"No August moorage transaction",IF(O403&gt;1,"Duplicate August transactions",IF(ABS(Q403)&gt;0.005,"Charge variance","OK")))</f>
        <v>OK</v>
      </c>
      <c r="S403" s="22" t="str">
        <f aca="false">IF(R403="OK","","Billing completeness/reconciliation")</f>
        <v/>
      </c>
    </row>
    <row r="404" customFormat="false" ht="15" hidden="false" customHeight="false" outlineLevel="0" collapsed="false">
      <c r="A404" s="22" t="s">
        <v>7578</v>
      </c>
      <c r="B404" s="22" t="s">
        <v>159</v>
      </c>
      <c r="C404" s="22" t="s">
        <v>6562</v>
      </c>
      <c r="D404" s="22" t="n">
        <v>24</v>
      </c>
      <c r="E404" s="22" t="s">
        <v>6575</v>
      </c>
      <c r="F404" s="22" t="s">
        <v>6577</v>
      </c>
      <c r="G404" s="22" t="s">
        <v>5123</v>
      </c>
      <c r="H404" s="22" t="s">
        <v>5124</v>
      </c>
      <c r="I404" s="22" t="s">
        <v>1991</v>
      </c>
      <c r="J404" s="22" t="n">
        <v>55.2</v>
      </c>
      <c r="K404" s="22" t="n">
        <f aca="false">ROUNDUP(J404,0)</f>
        <v>56</v>
      </c>
      <c r="L404" s="22" t="n">
        <f aca="false">MAX(D404,K404)</f>
        <v>56</v>
      </c>
      <c r="M404" s="25" t="n">
        <f aca="false">IF(E404="COVERED",'Controls &amp; Sources'!$B$5,'Controls &amp; Sources'!$B$6)</f>
        <v>10.4</v>
      </c>
      <c r="N404" s="25" t="n">
        <f aca="false">L404*M404</f>
        <v>582.4</v>
      </c>
      <c r="O404" s="22" t="n">
        <f aca="false">COUNTIFS('Billing Actual'!$E$2:$E$770,A404,'Billing Actual'!$B$2:$B$770,'Controls &amp; Sources'!$B$7)</f>
        <v>1</v>
      </c>
      <c r="P404" s="25" t="n">
        <f aca="false">SUMIFS('Billing Actual'!$M$2:$M$770,'Billing Actual'!$E$2:$E$770,A404,'Billing Actual'!$B$2:$B$770,'Controls &amp; Sources'!$B$7)</f>
        <v>582.4</v>
      </c>
      <c r="Q404" s="25" t="n">
        <f aca="false">P404-N404</f>
        <v>0</v>
      </c>
      <c r="R404" s="22" t="str">
        <f aca="false">IF(O404=0,"No August moorage transaction",IF(O404&gt;1,"Duplicate August transactions",IF(ABS(Q404)&gt;0.005,"Charge variance","OK")))</f>
        <v>OK</v>
      </c>
      <c r="S404" s="22" t="str">
        <f aca="false">IF(R404="OK","","Billing completeness/reconciliation")</f>
        <v/>
      </c>
    </row>
    <row r="405" customFormat="false" ht="15" hidden="false" customHeight="false" outlineLevel="0" collapsed="false">
      <c r="A405" s="22" t="s">
        <v>7579</v>
      </c>
      <c r="B405" s="22" t="s">
        <v>159</v>
      </c>
      <c r="C405" s="22" t="s">
        <v>6562</v>
      </c>
      <c r="D405" s="22" t="n">
        <v>24</v>
      </c>
      <c r="E405" s="22" t="s">
        <v>6575</v>
      </c>
      <c r="F405" s="22" t="s">
        <v>6577</v>
      </c>
      <c r="G405" s="22" t="s">
        <v>4146</v>
      </c>
      <c r="H405" s="22" t="s">
        <v>4147</v>
      </c>
      <c r="I405" s="22" t="s">
        <v>698</v>
      </c>
      <c r="J405" s="22" t="n">
        <v>54.7</v>
      </c>
      <c r="K405" s="22" t="n">
        <f aca="false">ROUNDUP(J405,0)</f>
        <v>55</v>
      </c>
      <c r="L405" s="22" t="n">
        <f aca="false">MAX(D405,K405)</f>
        <v>55</v>
      </c>
      <c r="M405" s="25" t="n">
        <f aca="false">IF(E405="COVERED",'Controls &amp; Sources'!$B$5,'Controls &amp; Sources'!$B$6)</f>
        <v>10.4</v>
      </c>
      <c r="N405" s="25" t="n">
        <f aca="false">L405*M405</f>
        <v>572</v>
      </c>
      <c r="O405" s="22" t="n">
        <f aca="false">COUNTIFS('Billing Actual'!$E$2:$E$770,A405,'Billing Actual'!$B$2:$B$770,'Controls &amp; Sources'!$B$7)</f>
        <v>1</v>
      </c>
      <c r="P405" s="25" t="n">
        <f aca="false">SUMIFS('Billing Actual'!$M$2:$M$770,'Billing Actual'!$E$2:$E$770,A405,'Billing Actual'!$B$2:$B$770,'Controls &amp; Sources'!$B$7)</f>
        <v>572</v>
      </c>
      <c r="Q405" s="25" t="n">
        <f aca="false">P405-N405</f>
        <v>0</v>
      </c>
      <c r="R405" s="22" t="str">
        <f aca="false">IF(O405=0,"No August moorage transaction",IF(O405&gt;1,"Duplicate August transactions",IF(ABS(Q405)&gt;0.005,"Charge variance","OK")))</f>
        <v>OK</v>
      </c>
      <c r="S405" s="22" t="str">
        <f aca="false">IF(R405="OK","","Billing completeness/reconciliation")</f>
        <v/>
      </c>
    </row>
    <row r="406" customFormat="false" ht="15" hidden="false" customHeight="false" outlineLevel="0" collapsed="false">
      <c r="A406" s="22" t="s">
        <v>7580</v>
      </c>
      <c r="B406" s="22" t="s">
        <v>159</v>
      </c>
      <c r="C406" s="22" t="s">
        <v>6562</v>
      </c>
      <c r="D406" s="22" t="n">
        <v>40</v>
      </c>
      <c r="E406" s="22" t="s">
        <v>6575</v>
      </c>
      <c r="F406" s="22" t="s">
        <v>6577</v>
      </c>
      <c r="G406" s="22" t="s">
        <v>452</v>
      </c>
      <c r="H406" s="22" t="s">
        <v>453</v>
      </c>
      <c r="I406" s="22" t="s">
        <v>454</v>
      </c>
      <c r="J406" s="22" t="n">
        <v>37.8</v>
      </c>
      <c r="K406" s="22" t="n">
        <f aca="false">ROUNDUP(J406,0)</f>
        <v>38</v>
      </c>
      <c r="L406" s="22" t="n">
        <f aca="false">MAX(D406,K406)</f>
        <v>40</v>
      </c>
      <c r="M406" s="25" t="n">
        <f aca="false">IF(E406="COVERED",'Controls &amp; Sources'!$B$5,'Controls &amp; Sources'!$B$6)</f>
        <v>10.4</v>
      </c>
      <c r="N406" s="25" t="n">
        <f aca="false">L406*M406</f>
        <v>416</v>
      </c>
      <c r="O406" s="22" t="n">
        <f aca="false">COUNTIFS('Billing Actual'!$E$2:$E$770,A406,'Billing Actual'!$B$2:$B$770,'Controls &amp; Sources'!$B$7)</f>
        <v>1</v>
      </c>
      <c r="P406" s="25" t="n">
        <f aca="false">SUMIFS('Billing Actual'!$M$2:$M$770,'Billing Actual'!$E$2:$E$770,A406,'Billing Actual'!$B$2:$B$770,'Controls &amp; Sources'!$B$7)</f>
        <v>416</v>
      </c>
      <c r="Q406" s="25" t="n">
        <f aca="false">P406-N406</f>
        <v>0</v>
      </c>
      <c r="R406" s="22" t="str">
        <f aca="false">IF(O406=0,"No August moorage transaction",IF(O406&gt;1,"Duplicate August transactions",IF(ABS(Q406)&gt;0.005,"Charge variance","OK")))</f>
        <v>OK</v>
      </c>
      <c r="S406" s="22" t="str">
        <f aca="false">IF(R406="OK","","Billing completeness/reconciliation")</f>
        <v/>
      </c>
    </row>
    <row r="407" customFormat="false" ht="15" hidden="false" customHeight="false" outlineLevel="0" collapsed="false">
      <c r="A407" s="22" t="s">
        <v>7582</v>
      </c>
      <c r="B407" s="22" t="s">
        <v>159</v>
      </c>
      <c r="C407" s="22" t="s">
        <v>6562</v>
      </c>
      <c r="D407" s="22" t="n">
        <v>40</v>
      </c>
      <c r="E407" s="22" t="s">
        <v>6575</v>
      </c>
      <c r="F407" s="22" t="s">
        <v>6577</v>
      </c>
      <c r="G407" s="22" t="s">
        <v>4882</v>
      </c>
      <c r="H407" s="22" t="s">
        <v>4883</v>
      </c>
      <c r="I407" s="22" t="s">
        <v>1929</v>
      </c>
      <c r="J407" s="22" t="n">
        <v>49.8</v>
      </c>
      <c r="K407" s="22" t="n">
        <f aca="false">ROUNDUP(J407,0)</f>
        <v>50</v>
      </c>
      <c r="L407" s="22" t="n">
        <f aca="false">MAX(D407,K407)</f>
        <v>50</v>
      </c>
      <c r="M407" s="25" t="n">
        <f aca="false">IF(E407="COVERED",'Controls &amp; Sources'!$B$5,'Controls &amp; Sources'!$B$6)</f>
        <v>10.4</v>
      </c>
      <c r="N407" s="25" t="n">
        <f aca="false">L407*M407</f>
        <v>520</v>
      </c>
      <c r="O407" s="22" t="n">
        <f aca="false">COUNTIFS('Billing Actual'!$E$2:$E$770,A407,'Billing Actual'!$B$2:$B$770,'Controls &amp; Sources'!$B$7)</f>
        <v>1</v>
      </c>
      <c r="P407" s="25" t="n">
        <f aca="false">SUMIFS('Billing Actual'!$M$2:$M$770,'Billing Actual'!$E$2:$E$770,A407,'Billing Actual'!$B$2:$B$770,'Controls &amp; Sources'!$B$7)</f>
        <v>520</v>
      </c>
      <c r="Q407" s="25" t="n">
        <f aca="false">P407-N407</f>
        <v>0</v>
      </c>
      <c r="R407" s="22" t="str">
        <f aca="false">IF(O407=0,"No August moorage transaction",IF(O407&gt;1,"Duplicate August transactions",IF(ABS(Q407)&gt;0.005,"Charge variance","OK")))</f>
        <v>OK</v>
      </c>
      <c r="S407" s="22" t="str">
        <f aca="false">IF(R407="OK","","Billing completeness/reconciliation")</f>
        <v/>
      </c>
    </row>
    <row r="408" customFormat="false" ht="15" hidden="false" customHeight="false" outlineLevel="0" collapsed="false">
      <c r="A408" s="22" t="s">
        <v>7584</v>
      </c>
      <c r="B408" s="22" t="s">
        <v>159</v>
      </c>
      <c r="C408" s="22" t="s">
        <v>6562</v>
      </c>
      <c r="D408" s="22" t="n">
        <v>28</v>
      </c>
      <c r="E408" s="22" t="s">
        <v>6575</v>
      </c>
      <c r="F408" s="22" t="s">
        <v>6577</v>
      </c>
      <c r="G408" s="22" t="s">
        <v>2395</v>
      </c>
      <c r="H408" s="22" t="s">
        <v>2396</v>
      </c>
      <c r="I408" s="22" t="s">
        <v>871</v>
      </c>
      <c r="J408" s="22" t="n">
        <v>27.9</v>
      </c>
      <c r="K408" s="22" t="n">
        <f aca="false">ROUNDUP(J408,0)</f>
        <v>28</v>
      </c>
      <c r="L408" s="22" t="n">
        <f aca="false">MAX(D408,K408)</f>
        <v>28</v>
      </c>
      <c r="M408" s="25" t="n">
        <f aca="false">IF(E408="COVERED",'Controls &amp; Sources'!$B$5,'Controls &amp; Sources'!$B$6)</f>
        <v>10.4</v>
      </c>
      <c r="N408" s="25" t="n">
        <f aca="false">L408*M408</f>
        <v>291.2</v>
      </c>
      <c r="O408" s="22" t="n">
        <f aca="false">COUNTIFS('Billing Actual'!$E$2:$E$770,A408,'Billing Actual'!$B$2:$B$770,'Controls &amp; Sources'!$B$7)</f>
        <v>1</v>
      </c>
      <c r="P408" s="25" t="n">
        <f aca="false">SUMIFS('Billing Actual'!$M$2:$M$770,'Billing Actual'!$E$2:$E$770,A408,'Billing Actual'!$B$2:$B$770,'Controls &amp; Sources'!$B$7)</f>
        <v>291.2</v>
      </c>
      <c r="Q408" s="25" t="n">
        <f aca="false">P408-N408</f>
        <v>0</v>
      </c>
      <c r="R408" s="22" t="str">
        <f aca="false">IF(O408=0,"No August moorage transaction",IF(O408&gt;1,"Duplicate August transactions",IF(ABS(Q408)&gt;0.005,"Charge variance","OK")))</f>
        <v>OK</v>
      </c>
      <c r="S408" s="22" t="str">
        <f aca="false">IF(R408="OK","","Billing completeness/reconciliation")</f>
        <v/>
      </c>
    </row>
    <row r="409" customFormat="false" ht="15" hidden="false" customHeight="false" outlineLevel="0" collapsed="false">
      <c r="A409" s="22" t="s">
        <v>7585</v>
      </c>
      <c r="B409" s="22" t="s">
        <v>159</v>
      </c>
      <c r="C409" s="22" t="s">
        <v>6562</v>
      </c>
      <c r="D409" s="22" t="n">
        <v>24</v>
      </c>
      <c r="E409" s="22" t="s">
        <v>6575</v>
      </c>
      <c r="F409" s="22" t="s">
        <v>6577</v>
      </c>
      <c r="G409" s="22" t="s">
        <v>4398</v>
      </c>
      <c r="H409" s="22" t="s">
        <v>4399</v>
      </c>
      <c r="I409" s="22" t="s">
        <v>1374</v>
      </c>
      <c r="J409" s="22" t="n">
        <v>21.2</v>
      </c>
      <c r="K409" s="22" t="n">
        <f aca="false">ROUNDUP(J409,0)</f>
        <v>22</v>
      </c>
      <c r="L409" s="22" t="n">
        <f aca="false">MAX(D409,K409)</f>
        <v>24</v>
      </c>
      <c r="M409" s="25" t="n">
        <f aca="false">IF(E409="COVERED",'Controls &amp; Sources'!$B$5,'Controls &amp; Sources'!$B$6)</f>
        <v>10.4</v>
      </c>
      <c r="N409" s="25" t="n">
        <f aca="false">L409*M409</f>
        <v>249.6</v>
      </c>
      <c r="O409" s="22" t="n">
        <f aca="false">COUNTIFS('Billing Actual'!$E$2:$E$770,A409,'Billing Actual'!$B$2:$B$770,'Controls &amp; Sources'!$B$7)</f>
        <v>1</v>
      </c>
      <c r="P409" s="25" t="n">
        <f aca="false">SUMIFS('Billing Actual'!$M$2:$M$770,'Billing Actual'!$E$2:$E$770,A409,'Billing Actual'!$B$2:$B$770,'Controls &amp; Sources'!$B$7)</f>
        <v>249.6</v>
      </c>
      <c r="Q409" s="25" t="n">
        <f aca="false">P409-N409</f>
        <v>0</v>
      </c>
      <c r="R409" s="22" t="str">
        <f aca="false">IF(O409=0,"No August moorage transaction",IF(O409&gt;1,"Duplicate August transactions",IF(ABS(Q409)&gt;0.005,"Charge variance","OK")))</f>
        <v>OK</v>
      </c>
      <c r="S409" s="22" t="str">
        <f aca="false">IF(R409="OK","","Billing completeness/reconciliation")</f>
        <v/>
      </c>
    </row>
    <row r="410" customFormat="false" ht="15" hidden="false" customHeight="false" outlineLevel="0" collapsed="false">
      <c r="A410" s="22" t="s">
        <v>7587</v>
      </c>
      <c r="B410" s="22" t="s">
        <v>159</v>
      </c>
      <c r="C410" s="22" t="s">
        <v>6562</v>
      </c>
      <c r="D410" s="22" t="n">
        <v>32</v>
      </c>
      <c r="E410" s="22" t="s">
        <v>6575</v>
      </c>
      <c r="F410" s="22" t="s">
        <v>6577</v>
      </c>
      <c r="G410" s="22" t="s">
        <v>5325</v>
      </c>
      <c r="H410" s="22" t="s">
        <v>5326</v>
      </c>
      <c r="I410" s="22" t="s">
        <v>2180</v>
      </c>
      <c r="J410" s="22" t="n">
        <v>23.2</v>
      </c>
      <c r="K410" s="22" t="n">
        <f aca="false">ROUNDUP(J410,0)</f>
        <v>24</v>
      </c>
      <c r="L410" s="22" t="n">
        <f aca="false">MAX(D410,K410)</f>
        <v>32</v>
      </c>
      <c r="M410" s="25" t="n">
        <f aca="false">IF(E410="COVERED",'Controls &amp; Sources'!$B$5,'Controls &amp; Sources'!$B$6)</f>
        <v>10.4</v>
      </c>
      <c r="N410" s="25" t="n">
        <f aca="false">L410*M410</f>
        <v>332.8</v>
      </c>
      <c r="O410" s="22" t="n">
        <f aca="false">COUNTIFS('Billing Actual'!$E$2:$E$770,A410,'Billing Actual'!$B$2:$B$770,'Controls &amp; Sources'!$B$7)</f>
        <v>1</v>
      </c>
      <c r="P410" s="25" t="n">
        <f aca="false">SUMIFS('Billing Actual'!$M$2:$M$770,'Billing Actual'!$E$2:$E$770,A410,'Billing Actual'!$B$2:$B$770,'Controls &amp; Sources'!$B$7)</f>
        <v>332.8</v>
      </c>
      <c r="Q410" s="25" t="n">
        <f aca="false">P410-N410</f>
        <v>0</v>
      </c>
      <c r="R410" s="22" t="str">
        <f aca="false">IF(O410=0,"No August moorage transaction",IF(O410&gt;1,"Duplicate August transactions",IF(ABS(Q410)&gt;0.005,"Charge variance","OK")))</f>
        <v>OK</v>
      </c>
      <c r="S410" s="22" t="str">
        <f aca="false">IF(R410="OK","","Billing completeness/reconciliation")</f>
        <v/>
      </c>
    </row>
    <row r="411" customFormat="false" ht="15" hidden="false" customHeight="false" outlineLevel="0" collapsed="false">
      <c r="A411" s="22" t="s">
        <v>7589</v>
      </c>
      <c r="B411" s="22" t="s">
        <v>159</v>
      </c>
      <c r="C411" s="22" t="s">
        <v>6562</v>
      </c>
      <c r="D411" s="22" t="n">
        <v>32</v>
      </c>
      <c r="E411" s="22" t="s">
        <v>6575</v>
      </c>
      <c r="F411" s="22" t="s">
        <v>6577</v>
      </c>
      <c r="G411" s="22" t="s">
        <v>1480</v>
      </c>
      <c r="H411" s="22" t="s">
        <v>1481</v>
      </c>
      <c r="I411" s="22" t="s">
        <v>1181</v>
      </c>
      <c r="J411" s="22" t="n">
        <v>18.4</v>
      </c>
      <c r="K411" s="22" t="n">
        <f aca="false">ROUNDUP(J411,0)</f>
        <v>19</v>
      </c>
      <c r="L411" s="22" t="n">
        <f aca="false">MAX(D411,K411)</f>
        <v>32</v>
      </c>
      <c r="M411" s="25" t="n">
        <f aca="false">IF(E411="COVERED",'Controls &amp; Sources'!$B$5,'Controls &amp; Sources'!$B$6)</f>
        <v>10.4</v>
      </c>
      <c r="N411" s="25" t="n">
        <f aca="false">L411*M411</f>
        <v>332.8</v>
      </c>
      <c r="O411" s="22" t="n">
        <f aca="false">COUNTIFS('Billing Actual'!$E$2:$E$770,A411,'Billing Actual'!$B$2:$B$770,'Controls &amp; Sources'!$B$7)</f>
        <v>1</v>
      </c>
      <c r="P411" s="25" t="n">
        <f aca="false">SUMIFS('Billing Actual'!$M$2:$M$770,'Billing Actual'!$E$2:$E$770,A411,'Billing Actual'!$B$2:$B$770,'Controls &amp; Sources'!$B$7)</f>
        <v>332.8</v>
      </c>
      <c r="Q411" s="25" t="n">
        <f aca="false">P411-N411</f>
        <v>0</v>
      </c>
      <c r="R411" s="22" t="str">
        <f aca="false">IF(O411=0,"No August moorage transaction",IF(O411&gt;1,"Duplicate August transactions",IF(ABS(Q411)&gt;0.005,"Charge variance","OK")))</f>
        <v>OK</v>
      </c>
      <c r="S411" s="22" t="str">
        <f aca="false">IF(R411="OK","","Billing completeness/reconciliation")</f>
        <v/>
      </c>
    </row>
    <row r="412" customFormat="false" ht="15" hidden="false" customHeight="false" outlineLevel="0" collapsed="false">
      <c r="A412" s="22" t="s">
        <v>7591</v>
      </c>
      <c r="B412" s="22" t="s">
        <v>159</v>
      </c>
      <c r="C412" s="22" t="s">
        <v>6562</v>
      </c>
      <c r="D412" s="22" t="n">
        <v>36</v>
      </c>
      <c r="E412" s="22" t="s">
        <v>6575</v>
      </c>
      <c r="F412" s="22" t="s">
        <v>6577</v>
      </c>
      <c r="G412" s="22" t="s">
        <v>1478</v>
      </c>
      <c r="H412" s="22" t="s">
        <v>1479</v>
      </c>
      <c r="I412" s="22" t="s">
        <v>364</v>
      </c>
      <c r="J412" s="22" t="n">
        <v>58.2</v>
      </c>
      <c r="K412" s="22" t="n">
        <f aca="false">ROUNDUP(J412,0)</f>
        <v>59</v>
      </c>
      <c r="L412" s="22" t="n">
        <f aca="false">MAX(D412,K412)</f>
        <v>59</v>
      </c>
      <c r="M412" s="25" t="n">
        <f aca="false">IF(E412="COVERED",'Controls &amp; Sources'!$B$5,'Controls &amp; Sources'!$B$6)</f>
        <v>10.4</v>
      </c>
      <c r="N412" s="25" t="n">
        <f aca="false">L412*M412</f>
        <v>613.6</v>
      </c>
      <c r="O412" s="22" t="n">
        <f aca="false">COUNTIFS('Billing Actual'!$E$2:$E$770,A412,'Billing Actual'!$B$2:$B$770,'Controls &amp; Sources'!$B$7)</f>
        <v>1</v>
      </c>
      <c r="P412" s="25" t="n">
        <f aca="false">SUMIFS('Billing Actual'!$M$2:$M$770,'Billing Actual'!$E$2:$E$770,A412,'Billing Actual'!$B$2:$B$770,'Controls &amp; Sources'!$B$7)</f>
        <v>613.6</v>
      </c>
      <c r="Q412" s="25" t="n">
        <f aca="false">P412-N412</f>
        <v>0</v>
      </c>
      <c r="R412" s="22" t="str">
        <f aca="false">IF(O412=0,"No August moorage transaction",IF(O412&gt;1,"Duplicate August transactions",IF(ABS(Q412)&gt;0.005,"Charge variance","OK")))</f>
        <v>OK</v>
      </c>
      <c r="S412" s="22" t="str">
        <f aca="false">IF(R412="OK","","Billing completeness/reconciliation")</f>
        <v/>
      </c>
    </row>
    <row r="413" customFormat="false" ht="15" hidden="false" customHeight="false" outlineLevel="0" collapsed="false">
      <c r="A413" s="22" t="s">
        <v>7593</v>
      </c>
      <c r="B413" s="22" t="s">
        <v>159</v>
      </c>
      <c r="C413" s="22" t="s">
        <v>6562</v>
      </c>
      <c r="D413" s="22" t="n">
        <v>24</v>
      </c>
      <c r="E413" s="22" t="s">
        <v>6575</v>
      </c>
      <c r="F413" s="22" t="s">
        <v>6577</v>
      </c>
      <c r="G413" s="22" t="s">
        <v>6409</v>
      </c>
      <c r="H413" s="22" t="s">
        <v>6410</v>
      </c>
      <c r="I413" s="22" t="s">
        <v>2595</v>
      </c>
      <c r="J413" s="22" t="n">
        <v>18.2</v>
      </c>
      <c r="K413" s="22" t="n">
        <f aca="false">ROUNDUP(J413,0)</f>
        <v>19</v>
      </c>
      <c r="L413" s="22" t="n">
        <f aca="false">MAX(D413,K413)</f>
        <v>24</v>
      </c>
      <c r="M413" s="25" t="n">
        <f aca="false">IF(E413="COVERED",'Controls &amp; Sources'!$B$5,'Controls &amp; Sources'!$B$6)</f>
        <v>10.4</v>
      </c>
      <c r="N413" s="25" t="n">
        <f aca="false">L413*M413</f>
        <v>249.6</v>
      </c>
      <c r="O413" s="22" t="n">
        <f aca="false">COUNTIFS('Billing Actual'!$E$2:$E$770,A413,'Billing Actual'!$B$2:$B$770,'Controls &amp; Sources'!$B$7)</f>
        <v>1</v>
      </c>
      <c r="P413" s="25" t="n">
        <f aca="false">SUMIFS('Billing Actual'!$M$2:$M$770,'Billing Actual'!$E$2:$E$770,A413,'Billing Actual'!$B$2:$B$770,'Controls &amp; Sources'!$B$7)</f>
        <v>249.6</v>
      </c>
      <c r="Q413" s="25" t="n">
        <f aca="false">P413-N413</f>
        <v>0</v>
      </c>
      <c r="R413" s="22" t="str">
        <f aca="false">IF(O413=0,"No August moorage transaction",IF(O413&gt;1,"Duplicate August transactions",IF(ABS(Q413)&gt;0.005,"Charge variance","OK")))</f>
        <v>OK</v>
      </c>
      <c r="S413" s="22" t="str">
        <f aca="false">IF(R413="OK","","Billing completeness/reconciliation")</f>
        <v/>
      </c>
    </row>
    <row r="414" customFormat="false" ht="15" hidden="false" customHeight="false" outlineLevel="0" collapsed="false">
      <c r="A414" s="22" t="s">
        <v>7596</v>
      </c>
      <c r="B414" s="22" t="s">
        <v>159</v>
      </c>
      <c r="C414" s="22" t="s">
        <v>6562</v>
      </c>
      <c r="D414" s="22" t="n">
        <v>32</v>
      </c>
      <c r="E414" s="22" t="s">
        <v>6575</v>
      </c>
      <c r="F414" s="22" t="s">
        <v>6577</v>
      </c>
      <c r="G414" s="22" t="s">
        <v>5655</v>
      </c>
      <c r="H414" s="22" t="s">
        <v>5656</v>
      </c>
      <c r="I414" s="22" t="s">
        <v>181</v>
      </c>
      <c r="J414" s="22" t="n">
        <v>21.3</v>
      </c>
      <c r="K414" s="22" t="n">
        <f aca="false">ROUNDUP(J414,0)</f>
        <v>22</v>
      </c>
      <c r="L414" s="22" t="n">
        <f aca="false">MAX(D414,K414)</f>
        <v>32</v>
      </c>
      <c r="M414" s="25" t="n">
        <f aca="false">IF(E414="COVERED",'Controls &amp; Sources'!$B$5,'Controls &amp; Sources'!$B$6)</f>
        <v>10.4</v>
      </c>
      <c r="N414" s="25" t="n">
        <f aca="false">L414*M414</f>
        <v>332.8</v>
      </c>
      <c r="O414" s="22" t="n">
        <f aca="false">COUNTIFS('Billing Actual'!$E$2:$E$770,A414,'Billing Actual'!$B$2:$B$770,'Controls &amp; Sources'!$B$7)</f>
        <v>1</v>
      </c>
      <c r="P414" s="25" t="n">
        <f aca="false">SUMIFS('Billing Actual'!$M$2:$M$770,'Billing Actual'!$E$2:$E$770,A414,'Billing Actual'!$B$2:$B$770,'Controls &amp; Sources'!$B$7)</f>
        <v>332.8</v>
      </c>
      <c r="Q414" s="25" t="n">
        <f aca="false">P414-N414</f>
        <v>0</v>
      </c>
      <c r="R414" s="22" t="str">
        <f aca="false">IF(O414=0,"No August moorage transaction",IF(O414&gt;1,"Duplicate August transactions",IF(ABS(Q414)&gt;0.005,"Charge variance","OK")))</f>
        <v>OK</v>
      </c>
      <c r="S414" s="22" t="str">
        <f aca="false">IF(R414="OK","","Billing completeness/reconciliation")</f>
        <v/>
      </c>
    </row>
    <row r="415" customFormat="false" ht="15" hidden="false" customHeight="false" outlineLevel="0" collapsed="false">
      <c r="A415" s="22" t="s">
        <v>7599</v>
      </c>
      <c r="B415" s="22" t="s">
        <v>159</v>
      </c>
      <c r="C415" s="22" t="s">
        <v>6562</v>
      </c>
      <c r="D415" s="22" t="n">
        <v>40</v>
      </c>
      <c r="E415" s="22" t="s">
        <v>6575</v>
      </c>
      <c r="F415" s="22" t="s">
        <v>6577</v>
      </c>
      <c r="G415" s="22" t="s">
        <v>3543</v>
      </c>
      <c r="H415" s="22" t="s">
        <v>3544</v>
      </c>
      <c r="I415" s="22" t="s">
        <v>1857</v>
      </c>
      <c r="J415" s="22" t="n">
        <v>52.9</v>
      </c>
      <c r="K415" s="22" t="n">
        <f aca="false">ROUNDUP(J415,0)</f>
        <v>53</v>
      </c>
      <c r="L415" s="22" t="n">
        <f aca="false">MAX(D415,K415)</f>
        <v>53</v>
      </c>
      <c r="M415" s="25" t="n">
        <f aca="false">IF(E415="COVERED",'Controls &amp; Sources'!$B$5,'Controls &amp; Sources'!$B$6)</f>
        <v>10.4</v>
      </c>
      <c r="N415" s="25" t="n">
        <f aca="false">L415*M415</f>
        <v>551.2</v>
      </c>
      <c r="O415" s="22" t="n">
        <f aca="false">COUNTIFS('Billing Actual'!$E$2:$E$770,A415,'Billing Actual'!$B$2:$B$770,'Controls &amp; Sources'!$B$7)</f>
        <v>1</v>
      </c>
      <c r="P415" s="25" t="n">
        <f aca="false">SUMIFS('Billing Actual'!$M$2:$M$770,'Billing Actual'!$E$2:$E$770,A415,'Billing Actual'!$B$2:$B$770,'Controls &amp; Sources'!$B$7)</f>
        <v>551.2</v>
      </c>
      <c r="Q415" s="25" t="n">
        <f aca="false">P415-N415</f>
        <v>0</v>
      </c>
      <c r="R415" s="22" t="str">
        <f aca="false">IF(O415=0,"No August moorage transaction",IF(O415&gt;1,"Duplicate August transactions",IF(ABS(Q415)&gt;0.005,"Charge variance","OK")))</f>
        <v>OK</v>
      </c>
      <c r="S415" s="22" t="str">
        <f aca="false">IF(R415="OK","","Billing completeness/reconciliation")</f>
        <v/>
      </c>
    </row>
    <row r="416" customFormat="false" ht="15" hidden="false" customHeight="false" outlineLevel="0" collapsed="false">
      <c r="A416" s="22" t="s">
        <v>7601</v>
      </c>
      <c r="B416" s="22" t="s">
        <v>159</v>
      </c>
      <c r="C416" s="22" t="s">
        <v>6562</v>
      </c>
      <c r="D416" s="22" t="n">
        <v>32</v>
      </c>
      <c r="E416" s="22" t="s">
        <v>6575</v>
      </c>
      <c r="F416" s="22" t="s">
        <v>6577</v>
      </c>
      <c r="G416" s="22" t="s">
        <v>3986</v>
      </c>
      <c r="H416" s="22" t="s">
        <v>3987</v>
      </c>
      <c r="I416" s="22" t="s">
        <v>263</v>
      </c>
      <c r="J416" s="22" t="n">
        <v>33.4</v>
      </c>
      <c r="K416" s="22" t="n">
        <f aca="false">ROUNDUP(J416,0)</f>
        <v>34</v>
      </c>
      <c r="L416" s="22" t="n">
        <f aca="false">MAX(D416,K416)</f>
        <v>34</v>
      </c>
      <c r="M416" s="25" t="n">
        <f aca="false">IF(E416="COVERED",'Controls &amp; Sources'!$B$5,'Controls &amp; Sources'!$B$6)</f>
        <v>10.4</v>
      </c>
      <c r="N416" s="25" t="n">
        <f aca="false">L416*M416</f>
        <v>353.6</v>
      </c>
      <c r="O416" s="22" t="n">
        <f aca="false">COUNTIFS('Billing Actual'!$E$2:$E$770,A416,'Billing Actual'!$B$2:$B$770,'Controls &amp; Sources'!$B$7)</f>
        <v>1</v>
      </c>
      <c r="P416" s="25" t="n">
        <f aca="false">SUMIFS('Billing Actual'!$M$2:$M$770,'Billing Actual'!$E$2:$E$770,A416,'Billing Actual'!$B$2:$B$770,'Controls &amp; Sources'!$B$7)</f>
        <v>353.6</v>
      </c>
      <c r="Q416" s="25" t="n">
        <f aca="false">P416-N416</f>
        <v>0</v>
      </c>
      <c r="R416" s="22" t="str">
        <f aca="false">IF(O416=0,"No August moorage transaction",IF(O416&gt;1,"Duplicate August transactions",IF(ABS(Q416)&gt;0.005,"Charge variance","OK")))</f>
        <v>OK</v>
      </c>
      <c r="S416" s="22" t="str">
        <f aca="false">IF(R416="OK","","Billing completeness/reconciliation")</f>
        <v/>
      </c>
    </row>
    <row r="417" customFormat="false" ht="15" hidden="false" customHeight="false" outlineLevel="0" collapsed="false">
      <c r="A417" s="22" t="s">
        <v>7603</v>
      </c>
      <c r="B417" s="22" t="s">
        <v>159</v>
      </c>
      <c r="C417" s="22" t="s">
        <v>6562</v>
      </c>
      <c r="D417" s="22" t="n">
        <v>28</v>
      </c>
      <c r="E417" s="22" t="s">
        <v>6575</v>
      </c>
      <c r="F417" s="22" t="s">
        <v>6577</v>
      </c>
      <c r="G417" s="22" t="s">
        <v>5000</v>
      </c>
      <c r="H417" s="22" t="s">
        <v>5001</v>
      </c>
      <c r="I417" s="22" t="s">
        <v>4213</v>
      </c>
      <c r="J417" s="22" t="n">
        <v>56.2</v>
      </c>
      <c r="K417" s="22" t="n">
        <f aca="false">ROUNDUP(J417,0)</f>
        <v>57</v>
      </c>
      <c r="L417" s="22" t="n">
        <f aca="false">MAX(D417,K417)</f>
        <v>57</v>
      </c>
      <c r="M417" s="25" t="n">
        <f aca="false">IF(E417="COVERED",'Controls &amp; Sources'!$B$5,'Controls &amp; Sources'!$B$6)</f>
        <v>10.4</v>
      </c>
      <c r="N417" s="25" t="n">
        <f aca="false">L417*M417</f>
        <v>592.8</v>
      </c>
      <c r="O417" s="22" t="n">
        <f aca="false">COUNTIFS('Billing Actual'!$E$2:$E$770,A417,'Billing Actual'!$B$2:$B$770,'Controls &amp; Sources'!$B$7)</f>
        <v>1</v>
      </c>
      <c r="P417" s="25" t="n">
        <f aca="false">SUMIFS('Billing Actual'!$M$2:$M$770,'Billing Actual'!$E$2:$E$770,A417,'Billing Actual'!$B$2:$B$770,'Controls &amp; Sources'!$B$7)</f>
        <v>592.8</v>
      </c>
      <c r="Q417" s="25" t="n">
        <f aca="false">P417-N417</f>
        <v>0</v>
      </c>
      <c r="R417" s="22" t="str">
        <f aca="false">IF(O417=0,"No August moorage transaction",IF(O417&gt;1,"Duplicate August transactions",IF(ABS(Q417)&gt;0.005,"Charge variance","OK")))</f>
        <v>OK</v>
      </c>
      <c r="S417" s="22" t="str">
        <f aca="false">IF(R417="OK","","Billing completeness/reconciliation")</f>
        <v/>
      </c>
    </row>
    <row r="418" customFormat="false" ht="15" hidden="false" customHeight="false" outlineLevel="0" collapsed="false">
      <c r="A418" s="22" t="s">
        <v>7605</v>
      </c>
      <c r="B418" s="22" t="s">
        <v>159</v>
      </c>
      <c r="C418" s="22" t="s">
        <v>6562</v>
      </c>
      <c r="D418" s="22" t="n">
        <v>28</v>
      </c>
      <c r="E418" s="22" t="s">
        <v>6575</v>
      </c>
      <c r="F418" s="22" t="s">
        <v>6577</v>
      </c>
      <c r="G418" s="22" t="s">
        <v>5957</v>
      </c>
      <c r="H418" s="22" t="s">
        <v>5958</v>
      </c>
      <c r="I418" s="22" t="s">
        <v>1299</v>
      </c>
      <c r="J418" s="22" t="n">
        <v>59.7</v>
      </c>
      <c r="K418" s="22" t="n">
        <f aca="false">ROUNDUP(J418,0)</f>
        <v>60</v>
      </c>
      <c r="L418" s="22" t="n">
        <f aca="false">MAX(D418,K418)</f>
        <v>60</v>
      </c>
      <c r="M418" s="25" t="n">
        <f aca="false">IF(E418="COVERED",'Controls &amp; Sources'!$B$5,'Controls &amp; Sources'!$B$6)</f>
        <v>10.4</v>
      </c>
      <c r="N418" s="25" t="n">
        <f aca="false">L418*M418</f>
        <v>624</v>
      </c>
      <c r="O418" s="22" t="n">
        <f aca="false">COUNTIFS('Billing Actual'!$E$2:$E$770,A418,'Billing Actual'!$B$2:$B$770,'Controls &amp; Sources'!$B$7)</f>
        <v>1</v>
      </c>
      <c r="P418" s="25" t="n">
        <f aca="false">SUMIFS('Billing Actual'!$M$2:$M$770,'Billing Actual'!$E$2:$E$770,A418,'Billing Actual'!$B$2:$B$770,'Controls &amp; Sources'!$B$7)</f>
        <v>624</v>
      </c>
      <c r="Q418" s="25" t="n">
        <f aca="false">P418-N418</f>
        <v>0</v>
      </c>
      <c r="R418" s="22" t="str">
        <f aca="false">IF(O418=0,"No August moorage transaction",IF(O418&gt;1,"Duplicate August transactions",IF(ABS(Q418)&gt;0.005,"Charge variance","OK")))</f>
        <v>OK</v>
      </c>
      <c r="S418" s="22" t="str">
        <f aca="false">IF(R418="OK","","Billing completeness/reconciliation")</f>
        <v/>
      </c>
    </row>
    <row r="419" customFormat="false" ht="15" hidden="false" customHeight="false" outlineLevel="0" collapsed="false">
      <c r="A419" s="22" t="s">
        <v>7607</v>
      </c>
      <c r="B419" s="22" t="s">
        <v>159</v>
      </c>
      <c r="C419" s="22" t="s">
        <v>6562</v>
      </c>
      <c r="D419" s="22" t="n">
        <v>36</v>
      </c>
      <c r="E419" s="22" t="s">
        <v>6575</v>
      </c>
      <c r="F419" s="22" t="s">
        <v>6577</v>
      </c>
      <c r="G419" s="22" t="s">
        <v>2310</v>
      </c>
      <c r="H419" s="22" t="s">
        <v>2311</v>
      </c>
      <c r="I419" s="22" t="s">
        <v>1945</v>
      </c>
      <c r="J419" s="22" t="n">
        <v>22.4</v>
      </c>
      <c r="K419" s="22" t="n">
        <f aca="false">ROUNDUP(J419,0)</f>
        <v>23</v>
      </c>
      <c r="L419" s="22" t="n">
        <f aca="false">MAX(D419,K419)</f>
        <v>36</v>
      </c>
      <c r="M419" s="25" t="n">
        <f aca="false">IF(E419="COVERED",'Controls &amp; Sources'!$B$5,'Controls &amp; Sources'!$B$6)</f>
        <v>10.4</v>
      </c>
      <c r="N419" s="25" t="n">
        <f aca="false">L419*M419</f>
        <v>374.4</v>
      </c>
      <c r="O419" s="22" t="n">
        <f aca="false">COUNTIFS('Billing Actual'!$E$2:$E$770,A419,'Billing Actual'!$B$2:$B$770,'Controls &amp; Sources'!$B$7)</f>
        <v>1</v>
      </c>
      <c r="P419" s="25" t="n">
        <f aca="false">SUMIFS('Billing Actual'!$M$2:$M$770,'Billing Actual'!$E$2:$E$770,A419,'Billing Actual'!$B$2:$B$770,'Controls &amp; Sources'!$B$7)</f>
        <v>374.4</v>
      </c>
      <c r="Q419" s="25" t="n">
        <f aca="false">P419-N419</f>
        <v>0</v>
      </c>
      <c r="R419" s="22" t="str">
        <f aca="false">IF(O419=0,"No August moorage transaction",IF(O419&gt;1,"Duplicate August transactions",IF(ABS(Q419)&gt;0.005,"Charge variance","OK")))</f>
        <v>OK</v>
      </c>
      <c r="S419" s="22" t="str">
        <f aca="false">IF(R419="OK","","Billing completeness/reconciliation")</f>
        <v/>
      </c>
    </row>
    <row r="420" customFormat="false" ht="15" hidden="false" customHeight="false" outlineLevel="0" collapsed="false">
      <c r="A420" s="22" t="s">
        <v>7608</v>
      </c>
      <c r="B420" s="22" t="s">
        <v>159</v>
      </c>
      <c r="C420" s="22" t="s">
        <v>6562</v>
      </c>
      <c r="D420" s="22" t="n">
        <v>32</v>
      </c>
      <c r="E420" s="22" t="s">
        <v>6575</v>
      </c>
      <c r="F420" s="22" t="s">
        <v>6577</v>
      </c>
      <c r="G420" s="22" t="s">
        <v>4373</v>
      </c>
      <c r="H420" s="22" t="s">
        <v>4374</v>
      </c>
      <c r="I420" s="22" t="s">
        <v>3075</v>
      </c>
      <c r="J420" s="22" t="n">
        <v>58.6</v>
      </c>
      <c r="K420" s="22" t="n">
        <f aca="false">ROUNDUP(J420,0)</f>
        <v>59</v>
      </c>
      <c r="L420" s="22" t="n">
        <f aca="false">MAX(D420,K420)</f>
        <v>59</v>
      </c>
      <c r="M420" s="25" t="n">
        <f aca="false">IF(E420="COVERED",'Controls &amp; Sources'!$B$5,'Controls &amp; Sources'!$B$6)</f>
        <v>10.4</v>
      </c>
      <c r="N420" s="25" t="n">
        <f aca="false">L420*M420</f>
        <v>613.6</v>
      </c>
      <c r="O420" s="22" t="n">
        <f aca="false">COUNTIFS('Billing Actual'!$E$2:$E$770,A420,'Billing Actual'!$B$2:$B$770,'Controls &amp; Sources'!$B$7)</f>
        <v>1</v>
      </c>
      <c r="P420" s="25" t="n">
        <f aca="false">SUMIFS('Billing Actual'!$M$2:$M$770,'Billing Actual'!$E$2:$E$770,A420,'Billing Actual'!$B$2:$B$770,'Controls &amp; Sources'!$B$7)</f>
        <v>613.6</v>
      </c>
      <c r="Q420" s="25" t="n">
        <f aca="false">P420-N420</f>
        <v>0</v>
      </c>
      <c r="R420" s="22" t="str">
        <f aca="false">IF(O420=0,"No August moorage transaction",IF(O420&gt;1,"Duplicate August transactions",IF(ABS(Q420)&gt;0.005,"Charge variance","OK")))</f>
        <v>OK</v>
      </c>
      <c r="S420" s="22" t="str">
        <f aca="false">IF(R420="OK","","Billing completeness/reconciliation")</f>
        <v/>
      </c>
    </row>
    <row r="421" customFormat="false" ht="15" hidden="false" customHeight="false" outlineLevel="0" collapsed="false">
      <c r="A421" s="22" t="s">
        <v>7609</v>
      </c>
      <c r="B421" s="22" t="s">
        <v>159</v>
      </c>
      <c r="C421" s="22" t="s">
        <v>6562</v>
      </c>
      <c r="D421" s="22" t="n">
        <v>28</v>
      </c>
      <c r="E421" s="22" t="s">
        <v>6575</v>
      </c>
      <c r="F421" s="22" t="s">
        <v>6577</v>
      </c>
      <c r="G421" s="22" t="s">
        <v>2800</v>
      </c>
      <c r="H421" s="22" t="s">
        <v>2801</v>
      </c>
      <c r="I421" s="22" t="s">
        <v>1029</v>
      </c>
      <c r="J421" s="22" t="n">
        <v>54.9</v>
      </c>
      <c r="K421" s="22" t="n">
        <f aca="false">ROUNDUP(J421,0)</f>
        <v>55</v>
      </c>
      <c r="L421" s="22" t="n">
        <f aca="false">MAX(D421,K421)</f>
        <v>55</v>
      </c>
      <c r="M421" s="25" t="n">
        <f aca="false">IF(E421="COVERED",'Controls &amp; Sources'!$B$5,'Controls &amp; Sources'!$B$6)</f>
        <v>10.4</v>
      </c>
      <c r="N421" s="25" t="n">
        <f aca="false">L421*M421</f>
        <v>572</v>
      </c>
      <c r="O421" s="22" t="n">
        <f aca="false">COUNTIFS('Billing Actual'!$E$2:$E$770,A421,'Billing Actual'!$B$2:$B$770,'Controls &amp; Sources'!$B$7)</f>
        <v>1</v>
      </c>
      <c r="P421" s="25" t="n">
        <f aca="false">SUMIFS('Billing Actual'!$M$2:$M$770,'Billing Actual'!$E$2:$E$770,A421,'Billing Actual'!$B$2:$B$770,'Controls &amp; Sources'!$B$7)</f>
        <v>572</v>
      </c>
      <c r="Q421" s="25" t="n">
        <f aca="false">P421-N421</f>
        <v>0</v>
      </c>
      <c r="R421" s="22" t="str">
        <f aca="false">IF(O421=0,"No August moorage transaction",IF(O421&gt;1,"Duplicate August transactions",IF(ABS(Q421)&gt;0.005,"Charge variance","OK")))</f>
        <v>OK</v>
      </c>
      <c r="S421" s="22" t="str">
        <f aca="false">IF(R421="OK","","Billing completeness/reconciliation")</f>
        <v/>
      </c>
    </row>
    <row r="422" customFormat="false" ht="15" hidden="false" customHeight="false" outlineLevel="0" collapsed="false">
      <c r="A422" s="22" t="s">
        <v>7610</v>
      </c>
      <c r="B422" s="22" t="s">
        <v>159</v>
      </c>
      <c r="C422" s="22" t="s">
        <v>6562</v>
      </c>
      <c r="D422" s="22" t="n">
        <v>24</v>
      </c>
      <c r="E422" s="22" t="s">
        <v>6575</v>
      </c>
      <c r="F422" s="22" t="s">
        <v>6577</v>
      </c>
      <c r="G422" s="22" t="s">
        <v>1500</v>
      </c>
      <c r="H422" s="22" t="s">
        <v>1501</v>
      </c>
      <c r="I422" s="22" t="s">
        <v>1502</v>
      </c>
      <c r="J422" s="22" t="n">
        <v>47</v>
      </c>
      <c r="K422" s="22" t="n">
        <f aca="false">ROUNDUP(J422,0)</f>
        <v>47</v>
      </c>
      <c r="L422" s="22" t="n">
        <f aca="false">MAX(D422,K422)</f>
        <v>47</v>
      </c>
      <c r="M422" s="25" t="n">
        <f aca="false">IF(E422="COVERED",'Controls &amp; Sources'!$B$5,'Controls &amp; Sources'!$B$6)</f>
        <v>10.4</v>
      </c>
      <c r="N422" s="25" t="n">
        <f aca="false">L422*M422</f>
        <v>488.8</v>
      </c>
      <c r="O422" s="22" t="n">
        <f aca="false">COUNTIFS('Billing Actual'!$E$2:$E$770,A422,'Billing Actual'!$B$2:$B$770,'Controls &amp; Sources'!$B$7)</f>
        <v>1</v>
      </c>
      <c r="P422" s="25" t="n">
        <f aca="false">SUMIFS('Billing Actual'!$M$2:$M$770,'Billing Actual'!$E$2:$E$770,A422,'Billing Actual'!$B$2:$B$770,'Controls &amp; Sources'!$B$7)</f>
        <v>488.8</v>
      </c>
      <c r="Q422" s="25" t="n">
        <f aca="false">P422-N422</f>
        <v>0</v>
      </c>
      <c r="R422" s="22" t="str">
        <f aca="false">IF(O422=0,"No August moorage transaction",IF(O422&gt;1,"Duplicate August transactions",IF(ABS(Q422)&gt;0.005,"Charge variance","OK")))</f>
        <v>OK</v>
      </c>
      <c r="S422" s="22" t="str">
        <f aca="false">IF(R422="OK","","Billing completeness/reconciliation")</f>
        <v/>
      </c>
    </row>
    <row r="423" customFormat="false" ht="15" hidden="false" customHeight="false" outlineLevel="0" collapsed="false">
      <c r="A423" s="22" t="s">
        <v>7612</v>
      </c>
      <c r="B423" s="22" t="s">
        <v>159</v>
      </c>
      <c r="C423" s="22" t="s">
        <v>6562</v>
      </c>
      <c r="D423" s="22" t="n">
        <v>24</v>
      </c>
      <c r="E423" s="22" t="s">
        <v>6575</v>
      </c>
      <c r="F423" s="22" t="s">
        <v>6577</v>
      </c>
      <c r="G423" s="22" t="s">
        <v>5143</v>
      </c>
      <c r="H423" s="22" t="s">
        <v>3266</v>
      </c>
      <c r="I423" s="22" t="s">
        <v>802</v>
      </c>
      <c r="J423" s="22" t="n">
        <v>56.9</v>
      </c>
      <c r="K423" s="22" t="n">
        <f aca="false">ROUNDUP(J423,0)</f>
        <v>57</v>
      </c>
      <c r="L423" s="22" t="n">
        <f aca="false">MAX(D423,K423)</f>
        <v>57</v>
      </c>
      <c r="M423" s="25" t="n">
        <f aca="false">IF(E423="COVERED",'Controls &amp; Sources'!$B$5,'Controls &amp; Sources'!$B$6)</f>
        <v>10.4</v>
      </c>
      <c r="N423" s="25" t="n">
        <f aca="false">L423*M423</f>
        <v>592.8</v>
      </c>
      <c r="O423" s="22" t="n">
        <f aca="false">COUNTIFS('Billing Actual'!$E$2:$E$770,A423,'Billing Actual'!$B$2:$B$770,'Controls &amp; Sources'!$B$7)</f>
        <v>1</v>
      </c>
      <c r="P423" s="25" t="n">
        <f aca="false">SUMIFS('Billing Actual'!$M$2:$M$770,'Billing Actual'!$E$2:$E$770,A423,'Billing Actual'!$B$2:$B$770,'Controls &amp; Sources'!$B$7)</f>
        <v>592.8</v>
      </c>
      <c r="Q423" s="25" t="n">
        <f aca="false">P423-N423</f>
        <v>0</v>
      </c>
      <c r="R423" s="22" t="str">
        <f aca="false">IF(O423=0,"No August moorage transaction",IF(O423&gt;1,"Duplicate August transactions",IF(ABS(Q423)&gt;0.005,"Charge variance","OK")))</f>
        <v>OK</v>
      </c>
      <c r="S423" s="22" t="str">
        <f aca="false">IF(R423="OK","","Billing completeness/reconciliation")</f>
        <v/>
      </c>
    </row>
    <row r="424" customFormat="false" ht="15" hidden="false" customHeight="false" outlineLevel="0" collapsed="false">
      <c r="A424" s="22" t="s">
        <v>7614</v>
      </c>
      <c r="B424" s="22" t="s">
        <v>159</v>
      </c>
      <c r="C424" s="22" t="s">
        <v>6562</v>
      </c>
      <c r="D424" s="22" t="n">
        <v>36</v>
      </c>
      <c r="E424" s="22" t="s">
        <v>6575</v>
      </c>
      <c r="F424" s="22" t="s">
        <v>6577</v>
      </c>
      <c r="G424" s="22" t="s">
        <v>2293</v>
      </c>
      <c r="H424" s="22" t="s">
        <v>2294</v>
      </c>
      <c r="I424" s="22" t="s">
        <v>312</v>
      </c>
      <c r="J424" s="22" t="n">
        <v>39.8</v>
      </c>
      <c r="K424" s="22" t="n">
        <f aca="false">ROUNDUP(J424,0)</f>
        <v>40</v>
      </c>
      <c r="L424" s="22" t="n">
        <f aca="false">MAX(D424,K424)</f>
        <v>40</v>
      </c>
      <c r="M424" s="25" t="n">
        <f aca="false">IF(E424="COVERED",'Controls &amp; Sources'!$B$5,'Controls &amp; Sources'!$B$6)</f>
        <v>10.4</v>
      </c>
      <c r="N424" s="25" t="n">
        <f aca="false">L424*M424</f>
        <v>416</v>
      </c>
      <c r="O424" s="22" t="n">
        <f aca="false">COUNTIFS('Billing Actual'!$E$2:$E$770,A424,'Billing Actual'!$B$2:$B$770,'Controls &amp; Sources'!$B$7)</f>
        <v>1</v>
      </c>
      <c r="P424" s="25" t="n">
        <f aca="false">SUMIFS('Billing Actual'!$M$2:$M$770,'Billing Actual'!$E$2:$E$770,A424,'Billing Actual'!$B$2:$B$770,'Controls &amp; Sources'!$B$7)</f>
        <v>416</v>
      </c>
      <c r="Q424" s="25" t="n">
        <f aca="false">P424-N424</f>
        <v>0</v>
      </c>
      <c r="R424" s="22" t="str">
        <f aca="false">IF(O424=0,"No August moorage transaction",IF(O424&gt;1,"Duplicate August transactions",IF(ABS(Q424)&gt;0.005,"Charge variance","OK")))</f>
        <v>OK</v>
      </c>
      <c r="S424" s="22" t="str">
        <f aca="false">IF(R424="OK","","Billing completeness/reconciliation")</f>
        <v/>
      </c>
    </row>
    <row r="425" customFormat="false" ht="15" hidden="false" customHeight="false" outlineLevel="0" collapsed="false">
      <c r="A425" s="22" t="s">
        <v>7616</v>
      </c>
      <c r="B425" s="22" t="s">
        <v>159</v>
      </c>
      <c r="C425" s="22" t="s">
        <v>6562</v>
      </c>
      <c r="D425" s="22" t="n">
        <v>40</v>
      </c>
      <c r="E425" s="22" t="s">
        <v>6575</v>
      </c>
      <c r="F425" s="22" t="s">
        <v>6577</v>
      </c>
      <c r="G425" s="22" t="s">
        <v>3262</v>
      </c>
      <c r="H425" s="22" t="s">
        <v>3263</v>
      </c>
      <c r="I425" s="22" t="s">
        <v>1821</v>
      </c>
      <c r="J425" s="22" t="n">
        <v>57.6</v>
      </c>
      <c r="K425" s="22" t="n">
        <f aca="false">ROUNDUP(J425,0)</f>
        <v>58</v>
      </c>
      <c r="L425" s="22" t="n">
        <f aca="false">MAX(D425,K425)</f>
        <v>58</v>
      </c>
      <c r="M425" s="25" t="n">
        <f aca="false">IF(E425="COVERED",'Controls &amp; Sources'!$B$5,'Controls &amp; Sources'!$B$6)</f>
        <v>10.4</v>
      </c>
      <c r="N425" s="25" t="n">
        <f aca="false">L425*M425</f>
        <v>603.2</v>
      </c>
      <c r="O425" s="22" t="n">
        <f aca="false">COUNTIFS('Billing Actual'!$E$2:$E$770,A425,'Billing Actual'!$B$2:$B$770,'Controls &amp; Sources'!$B$7)</f>
        <v>1</v>
      </c>
      <c r="P425" s="25" t="n">
        <f aca="false">SUMIFS('Billing Actual'!$M$2:$M$770,'Billing Actual'!$E$2:$E$770,A425,'Billing Actual'!$B$2:$B$770,'Controls &amp; Sources'!$B$7)</f>
        <v>603.2</v>
      </c>
      <c r="Q425" s="25" t="n">
        <f aca="false">P425-N425</f>
        <v>0</v>
      </c>
      <c r="R425" s="22" t="str">
        <f aca="false">IF(O425=0,"No August moorage transaction",IF(O425&gt;1,"Duplicate August transactions",IF(ABS(Q425)&gt;0.005,"Charge variance","OK")))</f>
        <v>OK</v>
      </c>
      <c r="S425" s="22" t="str">
        <f aca="false">IF(R425="OK","","Billing completeness/reconciliation")</f>
        <v/>
      </c>
    </row>
    <row r="426" customFormat="false" ht="15" hidden="false" customHeight="false" outlineLevel="0" collapsed="false">
      <c r="A426" s="22" t="s">
        <v>7617</v>
      </c>
      <c r="B426" s="22" t="s">
        <v>159</v>
      </c>
      <c r="C426" s="22" t="s">
        <v>6562</v>
      </c>
      <c r="D426" s="22" t="n">
        <v>36</v>
      </c>
      <c r="E426" s="22" t="s">
        <v>6575</v>
      </c>
      <c r="F426" s="22" t="s">
        <v>6577</v>
      </c>
      <c r="G426" s="22" t="s">
        <v>1055</v>
      </c>
      <c r="H426" s="22" t="s">
        <v>1056</v>
      </c>
      <c r="I426" s="22" t="s">
        <v>1057</v>
      </c>
      <c r="J426" s="22" t="n">
        <v>50.8</v>
      </c>
      <c r="K426" s="22" t="n">
        <f aca="false">ROUNDUP(J426,0)</f>
        <v>51</v>
      </c>
      <c r="L426" s="22" t="n">
        <f aca="false">MAX(D426,K426)</f>
        <v>51</v>
      </c>
      <c r="M426" s="25" t="n">
        <f aca="false">IF(E426="COVERED",'Controls &amp; Sources'!$B$5,'Controls &amp; Sources'!$B$6)</f>
        <v>10.4</v>
      </c>
      <c r="N426" s="25" t="n">
        <f aca="false">L426*M426</f>
        <v>530.4</v>
      </c>
      <c r="O426" s="22" t="n">
        <f aca="false">COUNTIFS('Billing Actual'!$E$2:$E$770,A426,'Billing Actual'!$B$2:$B$770,'Controls &amp; Sources'!$B$7)</f>
        <v>1</v>
      </c>
      <c r="P426" s="25" t="n">
        <f aca="false">SUMIFS('Billing Actual'!$M$2:$M$770,'Billing Actual'!$E$2:$E$770,A426,'Billing Actual'!$B$2:$B$770,'Controls &amp; Sources'!$B$7)</f>
        <v>530.4</v>
      </c>
      <c r="Q426" s="25" t="n">
        <f aca="false">P426-N426</f>
        <v>0</v>
      </c>
      <c r="R426" s="22" t="str">
        <f aca="false">IF(O426=0,"No August moorage transaction",IF(O426&gt;1,"Duplicate August transactions",IF(ABS(Q426)&gt;0.005,"Charge variance","OK")))</f>
        <v>OK</v>
      </c>
      <c r="S426" s="22" t="str">
        <f aca="false">IF(R426="OK","","Billing completeness/reconciliation")</f>
        <v/>
      </c>
    </row>
    <row r="427" customFormat="false" ht="15" hidden="false" customHeight="false" outlineLevel="0" collapsed="false">
      <c r="A427" s="22" t="s">
        <v>7618</v>
      </c>
      <c r="B427" s="22" t="s">
        <v>159</v>
      </c>
      <c r="C427" s="22" t="s">
        <v>6562</v>
      </c>
      <c r="D427" s="22" t="n">
        <v>40</v>
      </c>
      <c r="E427" s="22" t="s">
        <v>6575</v>
      </c>
      <c r="F427" s="22" t="s">
        <v>6577</v>
      </c>
      <c r="G427" s="22" t="s">
        <v>2426</v>
      </c>
      <c r="H427" s="22" t="s">
        <v>2427</v>
      </c>
      <c r="I427" s="22" t="s">
        <v>890</v>
      </c>
      <c r="J427" s="22" t="n">
        <v>58.3</v>
      </c>
      <c r="K427" s="22" t="n">
        <f aca="false">ROUNDUP(J427,0)</f>
        <v>59</v>
      </c>
      <c r="L427" s="22" t="n">
        <f aca="false">MAX(D427,K427)</f>
        <v>59</v>
      </c>
      <c r="M427" s="25" t="n">
        <f aca="false">IF(E427="COVERED",'Controls &amp; Sources'!$B$5,'Controls &amp; Sources'!$B$6)</f>
        <v>10.4</v>
      </c>
      <c r="N427" s="25" t="n">
        <f aca="false">L427*M427</f>
        <v>613.6</v>
      </c>
      <c r="O427" s="22" t="n">
        <f aca="false">COUNTIFS('Billing Actual'!$E$2:$E$770,A427,'Billing Actual'!$B$2:$B$770,'Controls &amp; Sources'!$B$7)</f>
        <v>1</v>
      </c>
      <c r="P427" s="25" t="n">
        <f aca="false">SUMIFS('Billing Actual'!$M$2:$M$770,'Billing Actual'!$E$2:$E$770,A427,'Billing Actual'!$B$2:$B$770,'Controls &amp; Sources'!$B$7)</f>
        <v>613.6</v>
      </c>
      <c r="Q427" s="25" t="n">
        <f aca="false">P427-N427</f>
        <v>0</v>
      </c>
      <c r="R427" s="22" t="str">
        <f aca="false">IF(O427=0,"No August moorage transaction",IF(O427&gt;1,"Duplicate August transactions",IF(ABS(Q427)&gt;0.005,"Charge variance","OK")))</f>
        <v>OK</v>
      </c>
      <c r="S427" s="22" t="str">
        <f aca="false">IF(R427="OK","","Billing completeness/reconciliation")</f>
        <v/>
      </c>
    </row>
    <row r="428" customFormat="false" ht="15" hidden="false" customHeight="false" outlineLevel="0" collapsed="false">
      <c r="A428" s="22" t="s">
        <v>7621</v>
      </c>
      <c r="B428" s="22" t="s">
        <v>159</v>
      </c>
      <c r="C428" s="22" t="s">
        <v>6562</v>
      </c>
      <c r="D428" s="22" t="n">
        <v>36</v>
      </c>
      <c r="E428" s="22" t="s">
        <v>6575</v>
      </c>
      <c r="F428" s="22" t="s">
        <v>6577</v>
      </c>
      <c r="G428" s="22" t="s">
        <v>4014</v>
      </c>
      <c r="H428" s="22" t="s">
        <v>4015</v>
      </c>
      <c r="I428" s="22" t="s">
        <v>1665</v>
      </c>
      <c r="J428" s="22" t="n">
        <v>46.5</v>
      </c>
      <c r="K428" s="22" t="n">
        <f aca="false">ROUNDUP(J428,0)</f>
        <v>47</v>
      </c>
      <c r="L428" s="22" t="n">
        <f aca="false">MAX(D428,K428)</f>
        <v>47</v>
      </c>
      <c r="M428" s="25" t="n">
        <f aca="false">IF(E428="COVERED",'Controls &amp; Sources'!$B$5,'Controls &amp; Sources'!$B$6)</f>
        <v>10.4</v>
      </c>
      <c r="N428" s="25" t="n">
        <f aca="false">L428*M428</f>
        <v>488.8</v>
      </c>
      <c r="O428" s="22" t="n">
        <f aca="false">COUNTIFS('Billing Actual'!$E$2:$E$770,A428,'Billing Actual'!$B$2:$B$770,'Controls &amp; Sources'!$B$7)</f>
        <v>1</v>
      </c>
      <c r="P428" s="25" t="n">
        <f aca="false">SUMIFS('Billing Actual'!$M$2:$M$770,'Billing Actual'!$E$2:$E$770,A428,'Billing Actual'!$B$2:$B$770,'Controls &amp; Sources'!$B$7)</f>
        <v>488.8</v>
      </c>
      <c r="Q428" s="25" t="n">
        <f aca="false">P428-N428</f>
        <v>0</v>
      </c>
      <c r="R428" s="22" t="str">
        <f aca="false">IF(O428=0,"No August moorage transaction",IF(O428&gt;1,"Duplicate August transactions",IF(ABS(Q428)&gt;0.005,"Charge variance","OK")))</f>
        <v>OK</v>
      </c>
      <c r="S428" s="22" t="str">
        <f aca="false">IF(R428="OK","","Billing completeness/reconciliation")</f>
        <v/>
      </c>
    </row>
    <row r="429" customFormat="false" ht="15" hidden="false" customHeight="false" outlineLevel="0" collapsed="false">
      <c r="A429" s="22" t="s">
        <v>7622</v>
      </c>
      <c r="B429" s="22" t="s">
        <v>159</v>
      </c>
      <c r="C429" s="22" t="s">
        <v>6562</v>
      </c>
      <c r="D429" s="22" t="n">
        <v>28</v>
      </c>
      <c r="E429" s="22" t="s">
        <v>6575</v>
      </c>
      <c r="F429" s="22" t="s">
        <v>6577</v>
      </c>
      <c r="G429" s="22" t="s">
        <v>928</v>
      </c>
      <c r="H429" s="22" t="s">
        <v>929</v>
      </c>
      <c r="I429" s="22" t="s">
        <v>930</v>
      </c>
      <c r="J429" s="22" t="n">
        <v>58.1</v>
      </c>
      <c r="K429" s="22" t="n">
        <f aca="false">ROUNDUP(J429,0)</f>
        <v>59</v>
      </c>
      <c r="L429" s="22" t="n">
        <f aca="false">MAX(D429,K429)</f>
        <v>59</v>
      </c>
      <c r="M429" s="25" t="n">
        <f aca="false">IF(E429="COVERED",'Controls &amp; Sources'!$B$5,'Controls &amp; Sources'!$B$6)</f>
        <v>10.4</v>
      </c>
      <c r="N429" s="25" t="n">
        <f aca="false">L429*M429</f>
        <v>613.6</v>
      </c>
      <c r="O429" s="22" t="n">
        <f aca="false">COUNTIFS('Billing Actual'!$E$2:$E$770,A429,'Billing Actual'!$B$2:$B$770,'Controls &amp; Sources'!$B$7)</f>
        <v>1</v>
      </c>
      <c r="P429" s="25" t="n">
        <f aca="false">SUMIFS('Billing Actual'!$M$2:$M$770,'Billing Actual'!$E$2:$E$770,A429,'Billing Actual'!$B$2:$B$770,'Controls &amp; Sources'!$B$7)</f>
        <v>613.6</v>
      </c>
      <c r="Q429" s="25" t="n">
        <f aca="false">P429-N429</f>
        <v>0</v>
      </c>
      <c r="R429" s="22" t="str">
        <f aca="false">IF(O429=0,"No August moorage transaction",IF(O429&gt;1,"Duplicate August transactions",IF(ABS(Q429)&gt;0.005,"Charge variance","OK")))</f>
        <v>OK</v>
      </c>
      <c r="S429" s="22" t="str">
        <f aca="false">IF(R429="OK","","Billing completeness/reconciliation")</f>
        <v/>
      </c>
    </row>
    <row r="430" customFormat="false" ht="15" hidden="false" customHeight="false" outlineLevel="0" collapsed="false">
      <c r="A430" s="22" t="s">
        <v>7624</v>
      </c>
      <c r="B430" s="22" t="s">
        <v>159</v>
      </c>
      <c r="C430" s="22" t="s">
        <v>6562</v>
      </c>
      <c r="D430" s="22" t="n">
        <v>36</v>
      </c>
      <c r="E430" s="22" t="s">
        <v>6575</v>
      </c>
      <c r="F430" s="22" t="s">
        <v>6577</v>
      </c>
      <c r="G430" s="22" t="s">
        <v>3621</v>
      </c>
      <c r="H430" s="22" t="s">
        <v>3622</v>
      </c>
      <c r="I430" s="22" t="s">
        <v>2420</v>
      </c>
      <c r="J430" s="22" t="n">
        <v>56.6</v>
      </c>
      <c r="K430" s="22" t="n">
        <f aca="false">ROUNDUP(J430,0)</f>
        <v>57</v>
      </c>
      <c r="L430" s="22" t="n">
        <f aca="false">MAX(D430,K430)</f>
        <v>57</v>
      </c>
      <c r="M430" s="25" t="n">
        <f aca="false">IF(E430="COVERED",'Controls &amp; Sources'!$B$5,'Controls &amp; Sources'!$B$6)</f>
        <v>10.4</v>
      </c>
      <c r="N430" s="25" t="n">
        <f aca="false">L430*M430</f>
        <v>592.8</v>
      </c>
      <c r="O430" s="22" t="n">
        <f aca="false">COUNTIFS('Billing Actual'!$E$2:$E$770,A430,'Billing Actual'!$B$2:$B$770,'Controls &amp; Sources'!$B$7)</f>
        <v>1</v>
      </c>
      <c r="P430" s="25" t="n">
        <f aca="false">SUMIFS('Billing Actual'!$M$2:$M$770,'Billing Actual'!$E$2:$E$770,A430,'Billing Actual'!$B$2:$B$770,'Controls &amp; Sources'!$B$7)</f>
        <v>592.8</v>
      </c>
      <c r="Q430" s="25" t="n">
        <f aca="false">P430-N430</f>
        <v>0</v>
      </c>
      <c r="R430" s="22" t="str">
        <f aca="false">IF(O430=0,"No August moorage transaction",IF(O430&gt;1,"Duplicate August transactions",IF(ABS(Q430)&gt;0.005,"Charge variance","OK")))</f>
        <v>OK</v>
      </c>
      <c r="S430" s="22" t="str">
        <f aca="false">IF(R430="OK","","Billing completeness/reconciliation")</f>
        <v/>
      </c>
    </row>
    <row r="431" customFormat="false" ht="15" hidden="false" customHeight="false" outlineLevel="0" collapsed="false">
      <c r="A431" s="22" t="s">
        <v>7626</v>
      </c>
      <c r="B431" s="22" t="s">
        <v>159</v>
      </c>
      <c r="C431" s="22" t="s">
        <v>6562</v>
      </c>
      <c r="D431" s="22" t="n">
        <v>28</v>
      </c>
      <c r="E431" s="22" t="s">
        <v>6575</v>
      </c>
      <c r="F431" s="22" t="s">
        <v>6577</v>
      </c>
      <c r="G431" s="22" t="s">
        <v>3409</v>
      </c>
      <c r="H431" s="22" t="s">
        <v>3410</v>
      </c>
      <c r="I431" s="22" t="s">
        <v>1011</v>
      </c>
      <c r="J431" s="22" t="n">
        <v>56.5</v>
      </c>
      <c r="K431" s="22" t="n">
        <f aca="false">ROUNDUP(J431,0)</f>
        <v>57</v>
      </c>
      <c r="L431" s="22" t="n">
        <f aca="false">MAX(D431,K431)</f>
        <v>57</v>
      </c>
      <c r="M431" s="25" t="n">
        <f aca="false">IF(E431="COVERED",'Controls &amp; Sources'!$B$5,'Controls &amp; Sources'!$B$6)</f>
        <v>10.4</v>
      </c>
      <c r="N431" s="25" t="n">
        <f aca="false">L431*M431</f>
        <v>592.8</v>
      </c>
      <c r="O431" s="22" t="n">
        <f aca="false">COUNTIFS('Billing Actual'!$E$2:$E$770,A431,'Billing Actual'!$B$2:$B$770,'Controls &amp; Sources'!$B$7)</f>
        <v>1</v>
      </c>
      <c r="P431" s="25" t="n">
        <f aca="false">SUMIFS('Billing Actual'!$M$2:$M$770,'Billing Actual'!$E$2:$E$770,A431,'Billing Actual'!$B$2:$B$770,'Controls &amp; Sources'!$B$7)</f>
        <v>592.8</v>
      </c>
      <c r="Q431" s="25" t="n">
        <f aca="false">P431-N431</f>
        <v>0</v>
      </c>
      <c r="R431" s="22" t="str">
        <f aca="false">IF(O431=0,"No August moorage transaction",IF(O431&gt;1,"Duplicate August transactions",IF(ABS(Q431)&gt;0.005,"Charge variance","OK")))</f>
        <v>OK</v>
      </c>
      <c r="S431" s="22" t="str">
        <f aca="false">IF(R431="OK","","Billing completeness/reconciliation")</f>
        <v/>
      </c>
    </row>
    <row r="432" customFormat="false" ht="15" hidden="false" customHeight="false" outlineLevel="0" collapsed="false">
      <c r="A432" s="22" t="s">
        <v>7627</v>
      </c>
      <c r="B432" s="22" t="s">
        <v>159</v>
      </c>
      <c r="C432" s="22" t="s">
        <v>6562</v>
      </c>
      <c r="D432" s="22" t="n">
        <v>28</v>
      </c>
      <c r="E432" s="22" t="s">
        <v>6575</v>
      </c>
      <c r="F432" s="22" t="s">
        <v>6577</v>
      </c>
      <c r="G432" s="22" t="s">
        <v>4936</v>
      </c>
      <c r="H432" s="22" t="s">
        <v>4937</v>
      </c>
      <c r="I432" s="22" t="s">
        <v>1489</v>
      </c>
      <c r="J432" s="22" t="n">
        <v>24.5</v>
      </c>
      <c r="K432" s="22" t="n">
        <f aca="false">ROUNDUP(J432,0)</f>
        <v>25</v>
      </c>
      <c r="L432" s="22" t="n">
        <f aca="false">MAX(D432,K432)</f>
        <v>28</v>
      </c>
      <c r="M432" s="25" t="n">
        <f aca="false">IF(E432="COVERED",'Controls &amp; Sources'!$B$5,'Controls &amp; Sources'!$B$6)</f>
        <v>10.4</v>
      </c>
      <c r="N432" s="25" t="n">
        <f aca="false">L432*M432</f>
        <v>291.2</v>
      </c>
      <c r="O432" s="22" t="n">
        <f aca="false">COUNTIFS('Billing Actual'!$E$2:$E$770,A432,'Billing Actual'!$B$2:$B$770,'Controls &amp; Sources'!$B$7)</f>
        <v>1</v>
      </c>
      <c r="P432" s="25" t="n">
        <f aca="false">SUMIFS('Billing Actual'!$M$2:$M$770,'Billing Actual'!$E$2:$E$770,A432,'Billing Actual'!$B$2:$B$770,'Controls &amp; Sources'!$B$7)</f>
        <v>291.2</v>
      </c>
      <c r="Q432" s="25" t="n">
        <f aca="false">P432-N432</f>
        <v>0</v>
      </c>
      <c r="R432" s="22" t="str">
        <f aca="false">IF(O432=0,"No August moorage transaction",IF(O432&gt;1,"Duplicate August transactions",IF(ABS(Q432)&gt;0.005,"Charge variance","OK")))</f>
        <v>OK</v>
      </c>
      <c r="S432" s="22" t="str">
        <f aca="false">IF(R432="OK","","Billing completeness/reconciliation")</f>
        <v/>
      </c>
    </row>
    <row r="433" customFormat="false" ht="15" hidden="false" customHeight="false" outlineLevel="0" collapsed="false">
      <c r="A433" s="22" t="s">
        <v>7628</v>
      </c>
      <c r="B433" s="22" t="s">
        <v>159</v>
      </c>
      <c r="C433" s="22" t="s">
        <v>6562</v>
      </c>
      <c r="D433" s="22" t="n">
        <v>36</v>
      </c>
      <c r="E433" s="22" t="s">
        <v>6575</v>
      </c>
      <c r="F433" s="22" t="s">
        <v>6577</v>
      </c>
      <c r="G433" s="22" t="s">
        <v>4214</v>
      </c>
      <c r="H433" s="22" t="s">
        <v>4215</v>
      </c>
      <c r="I433" s="22" t="s">
        <v>422</v>
      </c>
      <c r="J433" s="22" t="n">
        <v>29.3</v>
      </c>
      <c r="K433" s="22" t="n">
        <f aca="false">ROUNDUP(J433,0)</f>
        <v>30</v>
      </c>
      <c r="L433" s="22" t="n">
        <f aca="false">MAX(D433,K433)</f>
        <v>36</v>
      </c>
      <c r="M433" s="25" t="n">
        <f aca="false">IF(E433="COVERED",'Controls &amp; Sources'!$B$5,'Controls &amp; Sources'!$B$6)</f>
        <v>10.4</v>
      </c>
      <c r="N433" s="25" t="n">
        <f aca="false">L433*M433</f>
        <v>374.4</v>
      </c>
      <c r="O433" s="22" t="n">
        <f aca="false">COUNTIFS('Billing Actual'!$E$2:$E$770,A433,'Billing Actual'!$B$2:$B$770,'Controls &amp; Sources'!$B$7)</f>
        <v>1</v>
      </c>
      <c r="P433" s="25" t="n">
        <f aca="false">SUMIFS('Billing Actual'!$M$2:$M$770,'Billing Actual'!$E$2:$E$770,A433,'Billing Actual'!$B$2:$B$770,'Controls &amp; Sources'!$B$7)</f>
        <v>374.4</v>
      </c>
      <c r="Q433" s="25" t="n">
        <f aca="false">P433-N433</f>
        <v>0</v>
      </c>
      <c r="R433" s="22" t="str">
        <f aca="false">IF(O433=0,"No August moorage transaction",IF(O433&gt;1,"Duplicate August transactions",IF(ABS(Q433)&gt;0.005,"Charge variance","OK")))</f>
        <v>OK</v>
      </c>
      <c r="S433" s="22" t="str">
        <f aca="false">IF(R433="OK","","Billing completeness/reconciliation")</f>
        <v/>
      </c>
    </row>
    <row r="434" customFormat="false" ht="15" hidden="false" customHeight="false" outlineLevel="0" collapsed="false">
      <c r="A434" s="22" t="s">
        <v>7630</v>
      </c>
      <c r="B434" s="22" t="s">
        <v>159</v>
      </c>
      <c r="C434" s="22" t="s">
        <v>6562</v>
      </c>
      <c r="D434" s="22" t="n">
        <v>28</v>
      </c>
      <c r="E434" s="22" t="s">
        <v>6575</v>
      </c>
      <c r="F434" s="22" t="s">
        <v>6577</v>
      </c>
      <c r="G434" s="22" t="s">
        <v>6443</v>
      </c>
      <c r="H434" s="22" t="s">
        <v>6444</v>
      </c>
      <c r="I434" s="22" t="s">
        <v>773</v>
      </c>
      <c r="J434" s="22" t="n">
        <v>35.8</v>
      </c>
      <c r="K434" s="22" t="n">
        <f aca="false">ROUNDUP(J434,0)</f>
        <v>36</v>
      </c>
      <c r="L434" s="22" t="n">
        <f aca="false">MAX(D434,K434)</f>
        <v>36</v>
      </c>
      <c r="M434" s="25" t="n">
        <f aca="false">IF(E434="COVERED",'Controls &amp; Sources'!$B$5,'Controls &amp; Sources'!$B$6)</f>
        <v>10.4</v>
      </c>
      <c r="N434" s="25" t="n">
        <f aca="false">L434*M434</f>
        <v>374.4</v>
      </c>
      <c r="O434" s="22" t="n">
        <f aca="false">COUNTIFS('Billing Actual'!$E$2:$E$770,A434,'Billing Actual'!$B$2:$B$770,'Controls &amp; Sources'!$B$7)</f>
        <v>1</v>
      </c>
      <c r="P434" s="25" t="n">
        <f aca="false">SUMIFS('Billing Actual'!$M$2:$M$770,'Billing Actual'!$E$2:$E$770,A434,'Billing Actual'!$B$2:$B$770,'Controls &amp; Sources'!$B$7)</f>
        <v>374.4</v>
      </c>
      <c r="Q434" s="25" t="n">
        <f aca="false">P434-N434</f>
        <v>0</v>
      </c>
      <c r="R434" s="22" t="str">
        <f aca="false">IF(O434=0,"No August moorage transaction",IF(O434&gt;1,"Duplicate August transactions",IF(ABS(Q434)&gt;0.005,"Charge variance","OK")))</f>
        <v>OK</v>
      </c>
      <c r="S434" s="22" t="str">
        <f aca="false">IF(R434="OK","","Billing completeness/reconciliation")</f>
        <v/>
      </c>
    </row>
    <row r="435" customFormat="false" ht="15" hidden="false" customHeight="false" outlineLevel="0" collapsed="false">
      <c r="A435" s="22" t="s">
        <v>7632</v>
      </c>
      <c r="B435" s="22" t="s">
        <v>159</v>
      </c>
      <c r="C435" s="22" t="s">
        <v>6562</v>
      </c>
      <c r="D435" s="22" t="n">
        <v>32</v>
      </c>
      <c r="E435" s="22" t="s">
        <v>6575</v>
      </c>
      <c r="F435" s="22" t="s">
        <v>6577</v>
      </c>
      <c r="G435" s="22" t="s">
        <v>4139</v>
      </c>
      <c r="H435" s="22" t="s">
        <v>4140</v>
      </c>
      <c r="I435" s="22" t="s">
        <v>4141</v>
      </c>
      <c r="J435" s="22" t="n">
        <v>55.4</v>
      </c>
      <c r="K435" s="22" t="n">
        <f aca="false">ROUNDUP(J435,0)</f>
        <v>56</v>
      </c>
      <c r="L435" s="22" t="n">
        <f aca="false">MAX(D435,K435)</f>
        <v>56</v>
      </c>
      <c r="M435" s="25" t="n">
        <f aca="false">IF(E435="COVERED",'Controls &amp; Sources'!$B$5,'Controls &amp; Sources'!$B$6)</f>
        <v>10.4</v>
      </c>
      <c r="N435" s="25" t="n">
        <f aca="false">L435*M435</f>
        <v>582.4</v>
      </c>
      <c r="O435" s="22" t="n">
        <f aca="false">COUNTIFS('Billing Actual'!$E$2:$E$770,A435,'Billing Actual'!$B$2:$B$770,'Controls &amp; Sources'!$B$7)</f>
        <v>1</v>
      </c>
      <c r="P435" s="25" t="n">
        <f aca="false">SUMIFS('Billing Actual'!$M$2:$M$770,'Billing Actual'!$E$2:$E$770,A435,'Billing Actual'!$B$2:$B$770,'Controls &amp; Sources'!$B$7)</f>
        <v>582.4</v>
      </c>
      <c r="Q435" s="25" t="n">
        <f aca="false">P435-N435</f>
        <v>0</v>
      </c>
      <c r="R435" s="22" t="str">
        <f aca="false">IF(O435=0,"No August moorage transaction",IF(O435&gt;1,"Duplicate August transactions",IF(ABS(Q435)&gt;0.005,"Charge variance","OK")))</f>
        <v>OK</v>
      </c>
      <c r="S435" s="22" t="str">
        <f aca="false">IF(R435="OK","","Billing completeness/reconciliation")</f>
        <v/>
      </c>
    </row>
    <row r="436" customFormat="false" ht="15" hidden="false" customHeight="false" outlineLevel="0" collapsed="false">
      <c r="A436" s="22" t="s">
        <v>7634</v>
      </c>
      <c r="B436" s="22" t="s">
        <v>159</v>
      </c>
      <c r="C436" s="22" t="s">
        <v>6562</v>
      </c>
      <c r="D436" s="22" t="n">
        <v>24</v>
      </c>
      <c r="E436" s="22" t="s">
        <v>6575</v>
      </c>
      <c r="F436" s="22" t="s">
        <v>6577</v>
      </c>
      <c r="G436" s="22" t="s">
        <v>3325</v>
      </c>
      <c r="H436" s="22" t="s">
        <v>3326</v>
      </c>
      <c r="I436" s="22" t="s">
        <v>341</v>
      </c>
      <c r="J436" s="22" t="n">
        <v>61.6</v>
      </c>
      <c r="K436" s="22" t="n">
        <f aca="false">ROUNDUP(J436,0)</f>
        <v>62</v>
      </c>
      <c r="L436" s="22" t="n">
        <f aca="false">MAX(D436,K436)</f>
        <v>62</v>
      </c>
      <c r="M436" s="25" t="n">
        <f aca="false">IF(E436="COVERED",'Controls &amp; Sources'!$B$5,'Controls &amp; Sources'!$B$6)</f>
        <v>10.4</v>
      </c>
      <c r="N436" s="25" t="n">
        <f aca="false">L436*M436</f>
        <v>644.8</v>
      </c>
      <c r="O436" s="22" t="n">
        <f aca="false">COUNTIFS('Billing Actual'!$E$2:$E$770,A436,'Billing Actual'!$B$2:$B$770,'Controls &amp; Sources'!$B$7)</f>
        <v>1</v>
      </c>
      <c r="P436" s="25" t="n">
        <f aca="false">SUMIFS('Billing Actual'!$M$2:$M$770,'Billing Actual'!$E$2:$E$770,A436,'Billing Actual'!$B$2:$B$770,'Controls &amp; Sources'!$B$7)</f>
        <v>644.8</v>
      </c>
      <c r="Q436" s="25" t="n">
        <f aca="false">P436-N436</f>
        <v>0</v>
      </c>
      <c r="R436" s="22" t="str">
        <f aca="false">IF(O436=0,"No August moorage transaction",IF(O436&gt;1,"Duplicate August transactions",IF(ABS(Q436)&gt;0.005,"Charge variance","OK")))</f>
        <v>OK</v>
      </c>
      <c r="S436" s="22" t="str">
        <f aca="false">IF(R436="OK","","Billing completeness/reconciliation")</f>
        <v/>
      </c>
    </row>
    <row r="437" customFormat="false" ht="15" hidden="false" customHeight="false" outlineLevel="0" collapsed="false">
      <c r="A437" s="22" t="s">
        <v>7636</v>
      </c>
      <c r="B437" s="22" t="s">
        <v>159</v>
      </c>
      <c r="C437" s="22" t="s">
        <v>6562</v>
      </c>
      <c r="D437" s="22" t="n">
        <v>36</v>
      </c>
      <c r="E437" s="22" t="s">
        <v>6575</v>
      </c>
      <c r="F437" s="22" t="s">
        <v>6577</v>
      </c>
      <c r="G437" s="22" t="s">
        <v>5355</v>
      </c>
      <c r="H437" s="22" t="s">
        <v>5356</v>
      </c>
      <c r="I437" s="22" t="s">
        <v>3777</v>
      </c>
      <c r="J437" s="22" t="n">
        <v>61</v>
      </c>
      <c r="K437" s="22" t="n">
        <f aca="false">ROUNDUP(J437,0)</f>
        <v>61</v>
      </c>
      <c r="L437" s="22" t="n">
        <f aca="false">MAX(D437,K437)</f>
        <v>61</v>
      </c>
      <c r="M437" s="25" t="n">
        <f aca="false">IF(E437="COVERED",'Controls &amp; Sources'!$B$5,'Controls &amp; Sources'!$B$6)</f>
        <v>10.4</v>
      </c>
      <c r="N437" s="25" t="n">
        <f aca="false">L437*M437</f>
        <v>634.4</v>
      </c>
      <c r="O437" s="22" t="n">
        <f aca="false">COUNTIFS('Billing Actual'!$E$2:$E$770,A437,'Billing Actual'!$B$2:$B$770,'Controls &amp; Sources'!$B$7)</f>
        <v>1</v>
      </c>
      <c r="P437" s="25" t="n">
        <f aca="false">SUMIFS('Billing Actual'!$M$2:$M$770,'Billing Actual'!$E$2:$E$770,A437,'Billing Actual'!$B$2:$B$770,'Controls &amp; Sources'!$B$7)</f>
        <v>634.4</v>
      </c>
      <c r="Q437" s="25" t="n">
        <f aca="false">P437-N437</f>
        <v>0</v>
      </c>
      <c r="R437" s="22" t="str">
        <f aca="false">IF(O437=0,"No August moorage transaction",IF(O437&gt;1,"Duplicate August transactions",IF(ABS(Q437)&gt;0.005,"Charge variance","OK")))</f>
        <v>OK</v>
      </c>
      <c r="S437" s="22" t="str">
        <f aca="false">IF(R437="OK","","Billing completeness/reconciliation")</f>
        <v/>
      </c>
    </row>
    <row r="438" customFormat="false" ht="15" hidden="false" customHeight="false" outlineLevel="0" collapsed="false">
      <c r="A438" s="22" t="s">
        <v>7637</v>
      </c>
      <c r="B438" s="22" t="s">
        <v>159</v>
      </c>
      <c r="C438" s="22" t="s">
        <v>6562</v>
      </c>
      <c r="D438" s="22" t="n">
        <v>40</v>
      </c>
      <c r="E438" s="22" t="s">
        <v>6575</v>
      </c>
      <c r="F438" s="22" t="s">
        <v>6577</v>
      </c>
      <c r="G438" s="22" t="s">
        <v>1528</v>
      </c>
      <c r="H438" s="22" t="s">
        <v>1529</v>
      </c>
      <c r="I438" s="22" t="s">
        <v>871</v>
      </c>
      <c r="J438" s="22" t="n">
        <v>47.3</v>
      </c>
      <c r="K438" s="22" t="n">
        <f aca="false">ROUNDUP(J438,0)</f>
        <v>48</v>
      </c>
      <c r="L438" s="22" t="n">
        <f aca="false">MAX(D438,K438)</f>
        <v>48</v>
      </c>
      <c r="M438" s="25" t="n">
        <f aca="false">IF(E438="COVERED",'Controls &amp; Sources'!$B$5,'Controls &amp; Sources'!$B$6)</f>
        <v>10.4</v>
      </c>
      <c r="N438" s="25" t="n">
        <f aca="false">L438*M438</f>
        <v>499.2</v>
      </c>
      <c r="O438" s="22" t="n">
        <f aca="false">COUNTIFS('Billing Actual'!$E$2:$E$770,A438,'Billing Actual'!$B$2:$B$770,'Controls &amp; Sources'!$B$7)</f>
        <v>1</v>
      </c>
      <c r="P438" s="25" t="n">
        <f aca="false">SUMIFS('Billing Actual'!$M$2:$M$770,'Billing Actual'!$E$2:$E$770,A438,'Billing Actual'!$B$2:$B$770,'Controls &amp; Sources'!$B$7)</f>
        <v>499.2</v>
      </c>
      <c r="Q438" s="25" t="n">
        <f aca="false">P438-N438</f>
        <v>0</v>
      </c>
      <c r="R438" s="22" t="str">
        <f aca="false">IF(O438=0,"No August moorage transaction",IF(O438&gt;1,"Duplicate August transactions",IF(ABS(Q438)&gt;0.005,"Charge variance","OK")))</f>
        <v>OK</v>
      </c>
      <c r="S438" s="22" t="str">
        <f aca="false">IF(R438="OK","","Billing completeness/reconciliation")</f>
        <v/>
      </c>
    </row>
    <row r="439" customFormat="false" ht="15" hidden="false" customHeight="false" outlineLevel="0" collapsed="false">
      <c r="A439" s="22" t="s">
        <v>7638</v>
      </c>
      <c r="B439" s="22" t="s">
        <v>159</v>
      </c>
      <c r="C439" s="22" t="s">
        <v>6562</v>
      </c>
      <c r="D439" s="22" t="n">
        <v>40</v>
      </c>
      <c r="E439" s="22" t="s">
        <v>6575</v>
      </c>
      <c r="F439" s="22" t="s">
        <v>6577</v>
      </c>
      <c r="G439" s="22" t="s">
        <v>243</v>
      </c>
      <c r="H439" s="22" t="s">
        <v>244</v>
      </c>
      <c r="I439" s="22" t="s">
        <v>245</v>
      </c>
      <c r="J439" s="22" t="n">
        <v>53.9</v>
      </c>
      <c r="K439" s="22" t="n">
        <f aca="false">ROUNDUP(J439,0)</f>
        <v>54</v>
      </c>
      <c r="L439" s="22" t="n">
        <f aca="false">MAX(D439,K439)</f>
        <v>54</v>
      </c>
      <c r="M439" s="25" t="n">
        <f aca="false">IF(E439="COVERED",'Controls &amp; Sources'!$B$5,'Controls &amp; Sources'!$B$6)</f>
        <v>10.4</v>
      </c>
      <c r="N439" s="25" t="n">
        <f aca="false">L439*M439</f>
        <v>561.6</v>
      </c>
      <c r="O439" s="22" t="n">
        <f aca="false">COUNTIFS('Billing Actual'!$E$2:$E$770,A439,'Billing Actual'!$B$2:$B$770,'Controls &amp; Sources'!$B$7)</f>
        <v>1</v>
      </c>
      <c r="P439" s="25" t="n">
        <f aca="false">SUMIFS('Billing Actual'!$M$2:$M$770,'Billing Actual'!$E$2:$E$770,A439,'Billing Actual'!$B$2:$B$770,'Controls &amp; Sources'!$B$7)</f>
        <v>561.6</v>
      </c>
      <c r="Q439" s="25" t="n">
        <f aca="false">P439-N439</f>
        <v>0</v>
      </c>
      <c r="R439" s="22" t="str">
        <f aca="false">IF(O439=0,"No August moorage transaction",IF(O439&gt;1,"Duplicate August transactions",IF(ABS(Q439)&gt;0.005,"Charge variance","OK")))</f>
        <v>OK</v>
      </c>
      <c r="S439" s="22" t="str">
        <f aca="false">IF(R439="OK","","Billing completeness/reconciliation")</f>
        <v/>
      </c>
    </row>
    <row r="440" customFormat="false" ht="15" hidden="false" customHeight="false" outlineLevel="0" collapsed="false">
      <c r="A440" s="22" t="s">
        <v>7640</v>
      </c>
      <c r="B440" s="22" t="s">
        <v>159</v>
      </c>
      <c r="C440" s="22" t="s">
        <v>6562</v>
      </c>
      <c r="D440" s="22" t="n">
        <v>24</v>
      </c>
      <c r="E440" s="22" t="s">
        <v>6575</v>
      </c>
      <c r="F440" s="22" t="s">
        <v>6577</v>
      </c>
      <c r="G440" s="22" t="s">
        <v>6411</v>
      </c>
      <c r="H440" s="22" t="s">
        <v>6412</v>
      </c>
      <c r="I440" s="22" t="s">
        <v>3075</v>
      </c>
      <c r="J440" s="22" t="n">
        <v>29.2</v>
      </c>
      <c r="K440" s="22" t="n">
        <f aca="false">ROUNDUP(J440,0)</f>
        <v>30</v>
      </c>
      <c r="L440" s="22" t="n">
        <f aca="false">MAX(D440,K440)</f>
        <v>30</v>
      </c>
      <c r="M440" s="25" t="n">
        <f aca="false">IF(E440="COVERED",'Controls &amp; Sources'!$B$5,'Controls &amp; Sources'!$B$6)</f>
        <v>10.4</v>
      </c>
      <c r="N440" s="25" t="n">
        <f aca="false">L440*M440</f>
        <v>312</v>
      </c>
      <c r="O440" s="22" t="n">
        <f aca="false">COUNTIFS('Billing Actual'!$E$2:$E$770,A440,'Billing Actual'!$B$2:$B$770,'Controls &amp; Sources'!$B$7)</f>
        <v>1</v>
      </c>
      <c r="P440" s="25" t="n">
        <f aca="false">SUMIFS('Billing Actual'!$M$2:$M$770,'Billing Actual'!$E$2:$E$770,A440,'Billing Actual'!$B$2:$B$770,'Controls &amp; Sources'!$B$7)</f>
        <v>312</v>
      </c>
      <c r="Q440" s="25" t="n">
        <f aca="false">P440-N440</f>
        <v>0</v>
      </c>
      <c r="R440" s="22" t="str">
        <f aca="false">IF(O440=0,"No August moorage transaction",IF(O440&gt;1,"Duplicate August transactions",IF(ABS(Q440)&gt;0.005,"Charge variance","OK")))</f>
        <v>OK</v>
      </c>
      <c r="S440" s="22" t="str">
        <f aca="false">IF(R440="OK","","Billing completeness/reconciliation")</f>
        <v/>
      </c>
    </row>
    <row r="441" customFormat="false" ht="15" hidden="false" customHeight="false" outlineLevel="0" collapsed="false">
      <c r="A441" s="22" t="s">
        <v>7642</v>
      </c>
      <c r="B441" s="22" t="s">
        <v>159</v>
      </c>
      <c r="C441" s="22" t="s">
        <v>6562</v>
      </c>
      <c r="D441" s="22" t="n">
        <v>28</v>
      </c>
      <c r="E441" s="22" t="s">
        <v>6575</v>
      </c>
      <c r="F441" s="22" t="s">
        <v>6577</v>
      </c>
      <c r="G441" s="22" t="s">
        <v>4629</v>
      </c>
      <c r="H441" s="22" t="s">
        <v>4630</v>
      </c>
      <c r="I441" s="22" t="s">
        <v>1323</v>
      </c>
      <c r="J441" s="22" t="n">
        <v>23.5</v>
      </c>
      <c r="K441" s="22" t="n">
        <f aca="false">ROUNDUP(J441,0)</f>
        <v>24</v>
      </c>
      <c r="L441" s="22" t="n">
        <f aca="false">MAX(D441,K441)</f>
        <v>28</v>
      </c>
      <c r="M441" s="25" t="n">
        <f aca="false">IF(E441="COVERED",'Controls &amp; Sources'!$B$5,'Controls &amp; Sources'!$B$6)</f>
        <v>10.4</v>
      </c>
      <c r="N441" s="25" t="n">
        <f aca="false">L441*M441</f>
        <v>291.2</v>
      </c>
      <c r="O441" s="22" t="n">
        <f aca="false">COUNTIFS('Billing Actual'!$E$2:$E$770,A441,'Billing Actual'!$B$2:$B$770,'Controls &amp; Sources'!$B$7)</f>
        <v>1</v>
      </c>
      <c r="P441" s="25" t="n">
        <f aca="false">SUMIFS('Billing Actual'!$M$2:$M$770,'Billing Actual'!$E$2:$E$770,A441,'Billing Actual'!$B$2:$B$770,'Controls &amp; Sources'!$B$7)</f>
        <v>291.2</v>
      </c>
      <c r="Q441" s="25" t="n">
        <f aca="false">P441-N441</f>
        <v>0</v>
      </c>
      <c r="R441" s="22" t="str">
        <f aca="false">IF(O441=0,"No August moorage transaction",IF(O441&gt;1,"Duplicate August transactions",IF(ABS(Q441)&gt;0.005,"Charge variance","OK")))</f>
        <v>OK</v>
      </c>
      <c r="S441" s="22" t="str">
        <f aca="false">IF(R441="OK","","Billing completeness/reconciliation")</f>
        <v/>
      </c>
    </row>
    <row r="442" customFormat="false" ht="15" hidden="false" customHeight="false" outlineLevel="0" collapsed="false">
      <c r="A442" s="22" t="s">
        <v>7643</v>
      </c>
      <c r="B442" s="22" t="s">
        <v>159</v>
      </c>
      <c r="C442" s="22" t="s">
        <v>6562</v>
      </c>
      <c r="D442" s="22" t="n">
        <v>28</v>
      </c>
      <c r="E442" s="22" t="s">
        <v>6575</v>
      </c>
      <c r="F442" s="22" t="s">
        <v>6577</v>
      </c>
      <c r="G442" s="22" t="s">
        <v>3552</v>
      </c>
      <c r="H442" s="22" t="s">
        <v>3553</v>
      </c>
      <c r="I442" s="22" t="s">
        <v>1014</v>
      </c>
      <c r="J442" s="22" t="n">
        <v>37</v>
      </c>
      <c r="K442" s="22" t="n">
        <f aca="false">ROUNDUP(J442,0)</f>
        <v>37</v>
      </c>
      <c r="L442" s="22" t="n">
        <f aca="false">MAX(D442,K442)</f>
        <v>37</v>
      </c>
      <c r="M442" s="25" t="n">
        <f aca="false">IF(E442="COVERED",'Controls &amp; Sources'!$B$5,'Controls &amp; Sources'!$B$6)</f>
        <v>10.4</v>
      </c>
      <c r="N442" s="25" t="n">
        <f aca="false">L442*M442</f>
        <v>384.8</v>
      </c>
      <c r="O442" s="22" t="n">
        <f aca="false">COUNTIFS('Billing Actual'!$E$2:$E$770,A442,'Billing Actual'!$B$2:$B$770,'Controls &amp; Sources'!$B$7)</f>
        <v>1</v>
      </c>
      <c r="P442" s="25" t="n">
        <f aca="false">SUMIFS('Billing Actual'!$M$2:$M$770,'Billing Actual'!$E$2:$E$770,A442,'Billing Actual'!$B$2:$B$770,'Controls &amp; Sources'!$B$7)</f>
        <v>384.8</v>
      </c>
      <c r="Q442" s="25" t="n">
        <f aca="false">P442-N442</f>
        <v>0</v>
      </c>
      <c r="R442" s="22" t="str">
        <f aca="false">IF(O442=0,"No August moorage transaction",IF(O442&gt;1,"Duplicate August transactions",IF(ABS(Q442)&gt;0.005,"Charge variance","OK")))</f>
        <v>OK</v>
      </c>
      <c r="S442" s="22" t="str">
        <f aca="false">IF(R442="OK","","Billing completeness/reconciliation")</f>
        <v/>
      </c>
    </row>
    <row r="443" customFormat="false" ht="15" hidden="false" customHeight="false" outlineLevel="0" collapsed="false">
      <c r="A443" s="22" t="s">
        <v>7644</v>
      </c>
      <c r="B443" s="22" t="s">
        <v>159</v>
      </c>
      <c r="C443" s="22" t="s">
        <v>6562</v>
      </c>
      <c r="D443" s="22" t="n">
        <v>24</v>
      </c>
      <c r="E443" s="22" t="s">
        <v>6575</v>
      </c>
      <c r="F443" s="22" t="s">
        <v>6577</v>
      </c>
      <c r="G443" s="22" t="s">
        <v>721</v>
      </c>
      <c r="H443" s="22" t="s">
        <v>722</v>
      </c>
      <c r="I443" s="22" t="s">
        <v>723</v>
      </c>
      <c r="J443" s="22" t="n">
        <v>26.9</v>
      </c>
      <c r="K443" s="22" t="n">
        <f aca="false">ROUNDUP(J443,0)</f>
        <v>27</v>
      </c>
      <c r="L443" s="22" t="n">
        <f aca="false">MAX(D443,K443)</f>
        <v>27</v>
      </c>
      <c r="M443" s="25" t="n">
        <f aca="false">IF(E443="COVERED",'Controls &amp; Sources'!$B$5,'Controls &amp; Sources'!$B$6)</f>
        <v>10.4</v>
      </c>
      <c r="N443" s="25" t="n">
        <f aca="false">L443*M443</f>
        <v>280.8</v>
      </c>
      <c r="O443" s="22" t="n">
        <f aca="false">COUNTIFS('Billing Actual'!$E$2:$E$770,A443,'Billing Actual'!$B$2:$B$770,'Controls &amp; Sources'!$B$7)</f>
        <v>1</v>
      </c>
      <c r="P443" s="25" t="n">
        <f aca="false">SUMIFS('Billing Actual'!$M$2:$M$770,'Billing Actual'!$E$2:$E$770,A443,'Billing Actual'!$B$2:$B$770,'Controls &amp; Sources'!$B$7)</f>
        <v>280.8</v>
      </c>
      <c r="Q443" s="25" t="n">
        <f aca="false">P443-N443</f>
        <v>0</v>
      </c>
      <c r="R443" s="22" t="str">
        <f aca="false">IF(O443=0,"No August moorage transaction",IF(O443&gt;1,"Duplicate August transactions",IF(ABS(Q443)&gt;0.005,"Charge variance","OK")))</f>
        <v>OK</v>
      </c>
      <c r="S443" s="22" t="str">
        <f aca="false">IF(R443="OK","","Billing completeness/reconciliation")</f>
        <v/>
      </c>
    </row>
    <row r="444" customFormat="false" ht="15" hidden="false" customHeight="false" outlineLevel="0" collapsed="false">
      <c r="A444" s="22" t="s">
        <v>7646</v>
      </c>
      <c r="B444" s="22" t="s">
        <v>159</v>
      </c>
      <c r="C444" s="22" t="s">
        <v>6562</v>
      </c>
      <c r="D444" s="22" t="n">
        <v>28</v>
      </c>
      <c r="E444" s="22" t="s">
        <v>6575</v>
      </c>
      <c r="F444" s="22" t="s">
        <v>6577</v>
      </c>
      <c r="G444" s="22" t="s">
        <v>5582</v>
      </c>
      <c r="H444" s="22" t="s">
        <v>5583</v>
      </c>
      <c r="I444" s="22" t="s">
        <v>1840</v>
      </c>
      <c r="J444" s="22" t="n">
        <v>54.5</v>
      </c>
      <c r="K444" s="22" t="n">
        <f aca="false">ROUNDUP(J444,0)</f>
        <v>55</v>
      </c>
      <c r="L444" s="22" t="n">
        <f aca="false">MAX(D444,K444)</f>
        <v>55</v>
      </c>
      <c r="M444" s="25" t="n">
        <f aca="false">IF(E444="COVERED",'Controls &amp; Sources'!$B$5,'Controls &amp; Sources'!$B$6)</f>
        <v>10.4</v>
      </c>
      <c r="N444" s="25" t="n">
        <f aca="false">L444*M444</f>
        <v>572</v>
      </c>
      <c r="O444" s="22" t="n">
        <f aca="false">COUNTIFS('Billing Actual'!$E$2:$E$770,A444,'Billing Actual'!$B$2:$B$770,'Controls &amp; Sources'!$B$7)</f>
        <v>1</v>
      </c>
      <c r="P444" s="25" t="n">
        <f aca="false">SUMIFS('Billing Actual'!$M$2:$M$770,'Billing Actual'!$E$2:$E$770,A444,'Billing Actual'!$B$2:$B$770,'Controls &amp; Sources'!$B$7)</f>
        <v>572</v>
      </c>
      <c r="Q444" s="25" t="n">
        <f aca="false">P444-N444</f>
        <v>0</v>
      </c>
      <c r="R444" s="22" t="str">
        <f aca="false">IF(O444=0,"No August moorage transaction",IF(O444&gt;1,"Duplicate August transactions",IF(ABS(Q444)&gt;0.005,"Charge variance","OK")))</f>
        <v>OK</v>
      </c>
      <c r="S444" s="22" t="str">
        <f aca="false">IF(R444="OK","","Billing completeness/reconciliation")</f>
        <v/>
      </c>
    </row>
    <row r="445" customFormat="false" ht="15" hidden="false" customHeight="false" outlineLevel="0" collapsed="false">
      <c r="A445" s="22" t="s">
        <v>7647</v>
      </c>
      <c r="B445" s="22" t="s">
        <v>159</v>
      </c>
      <c r="C445" s="22" t="s">
        <v>6562</v>
      </c>
      <c r="D445" s="22" t="n">
        <v>36</v>
      </c>
      <c r="E445" s="22" t="s">
        <v>6575</v>
      </c>
      <c r="F445" s="22" t="s">
        <v>6577</v>
      </c>
      <c r="G445" s="22" t="s">
        <v>4799</v>
      </c>
      <c r="H445" s="22" t="s">
        <v>4800</v>
      </c>
      <c r="I445" s="22" t="s">
        <v>904</v>
      </c>
      <c r="J445" s="22" t="n">
        <v>26.6</v>
      </c>
      <c r="K445" s="22" t="n">
        <f aca="false">ROUNDUP(J445,0)</f>
        <v>27</v>
      </c>
      <c r="L445" s="22" t="n">
        <f aca="false">MAX(D445,K445)</f>
        <v>36</v>
      </c>
      <c r="M445" s="25" t="n">
        <f aca="false">IF(E445="COVERED",'Controls &amp; Sources'!$B$5,'Controls &amp; Sources'!$B$6)</f>
        <v>10.4</v>
      </c>
      <c r="N445" s="25" t="n">
        <f aca="false">L445*M445</f>
        <v>374.4</v>
      </c>
      <c r="O445" s="22" t="n">
        <f aca="false">COUNTIFS('Billing Actual'!$E$2:$E$770,A445,'Billing Actual'!$B$2:$B$770,'Controls &amp; Sources'!$B$7)</f>
        <v>1</v>
      </c>
      <c r="P445" s="25" t="n">
        <f aca="false">SUMIFS('Billing Actual'!$M$2:$M$770,'Billing Actual'!$E$2:$E$770,A445,'Billing Actual'!$B$2:$B$770,'Controls &amp; Sources'!$B$7)</f>
        <v>374.4</v>
      </c>
      <c r="Q445" s="25" t="n">
        <f aca="false">P445-N445</f>
        <v>0</v>
      </c>
      <c r="R445" s="22" t="str">
        <f aca="false">IF(O445=0,"No August moorage transaction",IF(O445&gt;1,"Duplicate August transactions",IF(ABS(Q445)&gt;0.005,"Charge variance","OK")))</f>
        <v>OK</v>
      </c>
      <c r="S445" s="22" t="str">
        <f aca="false">IF(R445="OK","","Billing completeness/reconciliation")</f>
        <v/>
      </c>
    </row>
    <row r="446" customFormat="false" ht="15" hidden="false" customHeight="false" outlineLevel="0" collapsed="false">
      <c r="A446" s="22" t="s">
        <v>7649</v>
      </c>
      <c r="B446" s="22" t="s">
        <v>159</v>
      </c>
      <c r="C446" s="22" t="s">
        <v>6562</v>
      </c>
      <c r="D446" s="22" t="n">
        <v>24</v>
      </c>
      <c r="E446" s="22" t="s">
        <v>6575</v>
      </c>
      <c r="F446" s="22" t="s">
        <v>6577</v>
      </c>
      <c r="G446" s="22" t="s">
        <v>4916</v>
      </c>
      <c r="H446" s="22" t="s">
        <v>4917</v>
      </c>
      <c r="I446" s="22" t="s">
        <v>204</v>
      </c>
      <c r="J446" s="22" t="n">
        <v>61.6</v>
      </c>
      <c r="K446" s="22" t="n">
        <f aca="false">ROUNDUP(J446,0)</f>
        <v>62</v>
      </c>
      <c r="L446" s="22" t="n">
        <f aca="false">MAX(D446,K446)</f>
        <v>62</v>
      </c>
      <c r="M446" s="25" t="n">
        <f aca="false">IF(E446="COVERED",'Controls &amp; Sources'!$B$5,'Controls &amp; Sources'!$B$6)</f>
        <v>10.4</v>
      </c>
      <c r="N446" s="25" t="n">
        <f aca="false">L446*M446</f>
        <v>644.8</v>
      </c>
      <c r="O446" s="22" t="n">
        <f aca="false">COUNTIFS('Billing Actual'!$E$2:$E$770,A446,'Billing Actual'!$B$2:$B$770,'Controls &amp; Sources'!$B$7)</f>
        <v>1</v>
      </c>
      <c r="P446" s="25" t="n">
        <f aca="false">SUMIFS('Billing Actual'!$M$2:$M$770,'Billing Actual'!$E$2:$E$770,A446,'Billing Actual'!$B$2:$B$770,'Controls &amp; Sources'!$B$7)</f>
        <v>644.8</v>
      </c>
      <c r="Q446" s="25" t="n">
        <f aca="false">P446-N446</f>
        <v>0</v>
      </c>
      <c r="R446" s="22" t="str">
        <f aca="false">IF(O446=0,"No August moorage transaction",IF(O446&gt;1,"Duplicate August transactions",IF(ABS(Q446)&gt;0.005,"Charge variance","OK")))</f>
        <v>OK</v>
      </c>
      <c r="S446" s="22" t="str">
        <f aca="false">IF(R446="OK","","Billing completeness/reconciliation")</f>
        <v/>
      </c>
    </row>
    <row r="447" customFormat="false" ht="15" hidden="false" customHeight="false" outlineLevel="0" collapsed="false">
      <c r="A447" s="22" t="s">
        <v>7650</v>
      </c>
      <c r="B447" s="22" t="s">
        <v>159</v>
      </c>
      <c r="C447" s="22" t="s">
        <v>6562</v>
      </c>
      <c r="D447" s="22" t="n">
        <v>32</v>
      </c>
      <c r="E447" s="22" t="s">
        <v>6575</v>
      </c>
      <c r="F447" s="22" t="s">
        <v>6577</v>
      </c>
      <c r="G447" s="22" t="s">
        <v>3222</v>
      </c>
      <c r="H447" s="22" t="s">
        <v>3223</v>
      </c>
      <c r="I447" s="22" t="s">
        <v>233</v>
      </c>
      <c r="J447" s="22" t="n">
        <v>47.1</v>
      </c>
      <c r="K447" s="22" t="n">
        <f aca="false">ROUNDUP(J447,0)</f>
        <v>48</v>
      </c>
      <c r="L447" s="22" t="n">
        <f aca="false">MAX(D447,K447)</f>
        <v>48</v>
      </c>
      <c r="M447" s="25" t="n">
        <f aca="false">IF(E447="COVERED",'Controls &amp; Sources'!$B$5,'Controls &amp; Sources'!$B$6)</f>
        <v>10.4</v>
      </c>
      <c r="N447" s="25" t="n">
        <f aca="false">L447*M447</f>
        <v>499.2</v>
      </c>
      <c r="O447" s="22" t="n">
        <f aca="false">COUNTIFS('Billing Actual'!$E$2:$E$770,A447,'Billing Actual'!$B$2:$B$770,'Controls &amp; Sources'!$B$7)</f>
        <v>1</v>
      </c>
      <c r="P447" s="25" t="n">
        <f aca="false">SUMIFS('Billing Actual'!$M$2:$M$770,'Billing Actual'!$E$2:$E$770,A447,'Billing Actual'!$B$2:$B$770,'Controls &amp; Sources'!$B$7)</f>
        <v>499.2</v>
      </c>
      <c r="Q447" s="25" t="n">
        <f aca="false">P447-N447</f>
        <v>0</v>
      </c>
      <c r="R447" s="22" t="str">
        <f aca="false">IF(O447=0,"No August moorage transaction",IF(O447&gt;1,"Duplicate August transactions",IF(ABS(Q447)&gt;0.005,"Charge variance","OK")))</f>
        <v>OK</v>
      </c>
      <c r="S447" s="22" t="str">
        <f aca="false">IF(R447="OK","","Billing completeness/reconciliation")</f>
        <v/>
      </c>
    </row>
    <row r="448" customFormat="false" ht="15" hidden="false" customHeight="false" outlineLevel="0" collapsed="false">
      <c r="A448" s="22" t="s">
        <v>7652</v>
      </c>
      <c r="B448" s="22" t="s">
        <v>159</v>
      </c>
      <c r="C448" s="22" t="s">
        <v>6562</v>
      </c>
      <c r="D448" s="22" t="n">
        <v>28</v>
      </c>
      <c r="E448" s="22" t="s">
        <v>6575</v>
      </c>
      <c r="F448" s="22" t="s">
        <v>6577</v>
      </c>
      <c r="G448" s="22" t="s">
        <v>5828</v>
      </c>
      <c r="H448" s="22" t="s">
        <v>5585</v>
      </c>
      <c r="I448" s="22" t="s">
        <v>163</v>
      </c>
      <c r="J448" s="22" t="n">
        <v>19.3</v>
      </c>
      <c r="K448" s="22" t="n">
        <f aca="false">ROUNDUP(J448,0)</f>
        <v>20</v>
      </c>
      <c r="L448" s="22" t="n">
        <f aca="false">MAX(D448,K448)</f>
        <v>28</v>
      </c>
      <c r="M448" s="25" t="n">
        <f aca="false">IF(E448="COVERED",'Controls &amp; Sources'!$B$5,'Controls &amp; Sources'!$B$6)</f>
        <v>10.4</v>
      </c>
      <c r="N448" s="25" t="n">
        <f aca="false">L448*M448</f>
        <v>291.2</v>
      </c>
      <c r="O448" s="22" t="n">
        <f aca="false">COUNTIFS('Billing Actual'!$E$2:$E$770,A448,'Billing Actual'!$B$2:$B$770,'Controls &amp; Sources'!$B$7)</f>
        <v>1</v>
      </c>
      <c r="P448" s="25" t="n">
        <f aca="false">SUMIFS('Billing Actual'!$M$2:$M$770,'Billing Actual'!$E$2:$E$770,A448,'Billing Actual'!$B$2:$B$770,'Controls &amp; Sources'!$B$7)</f>
        <v>291.2</v>
      </c>
      <c r="Q448" s="25" t="n">
        <f aca="false">P448-N448</f>
        <v>0</v>
      </c>
      <c r="R448" s="22" t="str">
        <f aca="false">IF(O448=0,"No August moorage transaction",IF(O448&gt;1,"Duplicate August transactions",IF(ABS(Q448)&gt;0.005,"Charge variance","OK")))</f>
        <v>OK</v>
      </c>
      <c r="S448" s="22" t="str">
        <f aca="false">IF(R448="OK","","Billing completeness/reconciliation")</f>
        <v/>
      </c>
    </row>
    <row r="449" customFormat="false" ht="15" hidden="false" customHeight="false" outlineLevel="0" collapsed="false">
      <c r="A449" s="22" t="s">
        <v>7654</v>
      </c>
      <c r="B449" s="22" t="s">
        <v>159</v>
      </c>
      <c r="C449" s="22" t="s">
        <v>6562</v>
      </c>
      <c r="D449" s="22" t="n">
        <v>36</v>
      </c>
      <c r="E449" s="22" t="s">
        <v>6575</v>
      </c>
      <c r="F449" s="22" t="s">
        <v>6577</v>
      </c>
      <c r="G449" s="22" t="s">
        <v>4048</v>
      </c>
      <c r="H449" s="22" t="s">
        <v>4049</v>
      </c>
      <c r="I449" s="22" t="s">
        <v>1014</v>
      </c>
      <c r="J449" s="22" t="n">
        <v>40.3</v>
      </c>
      <c r="K449" s="22" t="n">
        <f aca="false">ROUNDUP(J449,0)</f>
        <v>41</v>
      </c>
      <c r="L449" s="22" t="n">
        <f aca="false">MAX(D449,K449)</f>
        <v>41</v>
      </c>
      <c r="M449" s="25" t="n">
        <f aca="false">IF(E449="COVERED",'Controls &amp; Sources'!$B$5,'Controls &amp; Sources'!$B$6)</f>
        <v>10.4</v>
      </c>
      <c r="N449" s="25" t="n">
        <f aca="false">L449*M449</f>
        <v>426.4</v>
      </c>
      <c r="O449" s="22" t="n">
        <f aca="false">COUNTIFS('Billing Actual'!$E$2:$E$770,A449,'Billing Actual'!$B$2:$B$770,'Controls &amp; Sources'!$B$7)</f>
        <v>1</v>
      </c>
      <c r="P449" s="25" t="n">
        <f aca="false">SUMIFS('Billing Actual'!$M$2:$M$770,'Billing Actual'!$E$2:$E$770,A449,'Billing Actual'!$B$2:$B$770,'Controls &amp; Sources'!$B$7)</f>
        <v>426.4</v>
      </c>
      <c r="Q449" s="25" t="n">
        <f aca="false">P449-N449</f>
        <v>0</v>
      </c>
      <c r="R449" s="22" t="str">
        <f aca="false">IF(O449=0,"No August moorage transaction",IF(O449&gt;1,"Duplicate August transactions",IF(ABS(Q449)&gt;0.005,"Charge variance","OK")))</f>
        <v>OK</v>
      </c>
      <c r="S449" s="22" t="str">
        <f aca="false">IF(R449="OK","","Billing completeness/reconciliation")</f>
        <v/>
      </c>
    </row>
    <row r="450" customFormat="false" ht="15" hidden="false" customHeight="false" outlineLevel="0" collapsed="false">
      <c r="A450" s="22" t="s">
        <v>7655</v>
      </c>
      <c r="B450" s="22" t="s">
        <v>159</v>
      </c>
      <c r="C450" s="22" t="s">
        <v>6562</v>
      </c>
      <c r="D450" s="22" t="n">
        <v>32</v>
      </c>
      <c r="E450" s="22" t="s">
        <v>6575</v>
      </c>
      <c r="F450" s="22" t="s">
        <v>6577</v>
      </c>
      <c r="G450" s="22" t="s">
        <v>5090</v>
      </c>
      <c r="H450" s="22" t="s">
        <v>5091</v>
      </c>
      <c r="I450" s="22" t="s">
        <v>1971</v>
      </c>
      <c r="J450" s="22" t="n">
        <v>27.6</v>
      </c>
      <c r="K450" s="22" t="n">
        <f aca="false">ROUNDUP(J450,0)</f>
        <v>28</v>
      </c>
      <c r="L450" s="22" t="n">
        <f aca="false">MAX(D450,K450)</f>
        <v>32</v>
      </c>
      <c r="M450" s="25" t="n">
        <f aca="false">IF(E450="COVERED",'Controls &amp; Sources'!$B$5,'Controls &amp; Sources'!$B$6)</f>
        <v>10.4</v>
      </c>
      <c r="N450" s="25" t="n">
        <f aca="false">L450*M450</f>
        <v>332.8</v>
      </c>
      <c r="O450" s="22" t="n">
        <f aca="false">COUNTIFS('Billing Actual'!$E$2:$E$770,A450,'Billing Actual'!$B$2:$B$770,'Controls &amp; Sources'!$B$7)</f>
        <v>1</v>
      </c>
      <c r="P450" s="25" t="n">
        <f aca="false">SUMIFS('Billing Actual'!$M$2:$M$770,'Billing Actual'!$E$2:$E$770,A450,'Billing Actual'!$B$2:$B$770,'Controls &amp; Sources'!$B$7)</f>
        <v>332.8</v>
      </c>
      <c r="Q450" s="25" t="n">
        <f aca="false">P450-N450</f>
        <v>0</v>
      </c>
      <c r="R450" s="22" t="str">
        <f aca="false">IF(O450=0,"No August moorage transaction",IF(O450&gt;1,"Duplicate August transactions",IF(ABS(Q450)&gt;0.005,"Charge variance","OK")))</f>
        <v>OK</v>
      </c>
      <c r="S450" s="22" t="str">
        <f aca="false">IF(R450="OK","","Billing completeness/reconciliation")</f>
        <v/>
      </c>
    </row>
    <row r="451" customFormat="false" ht="15" hidden="false" customHeight="false" outlineLevel="0" collapsed="false">
      <c r="A451" s="22" t="s">
        <v>7656</v>
      </c>
      <c r="B451" s="22" t="s">
        <v>159</v>
      </c>
      <c r="C451" s="22" t="s">
        <v>6562</v>
      </c>
      <c r="D451" s="22" t="n">
        <v>40</v>
      </c>
      <c r="E451" s="22" t="s">
        <v>6575</v>
      </c>
      <c r="F451" s="22" t="s">
        <v>6577</v>
      </c>
      <c r="G451" s="22" t="s">
        <v>6341</v>
      </c>
      <c r="H451" s="22" t="s">
        <v>2614</v>
      </c>
      <c r="I451" s="22" t="s">
        <v>257</v>
      </c>
      <c r="J451" s="22" t="n">
        <v>20.9</v>
      </c>
      <c r="K451" s="22" t="n">
        <f aca="false">ROUNDUP(J451,0)</f>
        <v>21</v>
      </c>
      <c r="L451" s="22" t="n">
        <f aca="false">MAX(D451,K451)</f>
        <v>40</v>
      </c>
      <c r="M451" s="25" t="n">
        <f aca="false">IF(E451="COVERED",'Controls &amp; Sources'!$B$5,'Controls &amp; Sources'!$B$6)</f>
        <v>10.4</v>
      </c>
      <c r="N451" s="25" t="n">
        <f aca="false">L451*M451</f>
        <v>416</v>
      </c>
      <c r="O451" s="22" t="n">
        <f aca="false">COUNTIFS('Billing Actual'!$E$2:$E$770,A451,'Billing Actual'!$B$2:$B$770,'Controls &amp; Sources'!$B$7)</f>
        <v>1</v>
      </c>
      <c r="P451" s="25" t="n">
        <f aca="false">SUMIFS('Billing Actual'!$M$2:$M$770,'Billing Actual'!$E$2:$E$770,A451,'Billing Actual'!$B$2:$B$770,'Controls &amp; Sources'!$B$7)</f>
        <v>416</v>
      </c>
      <c r="Q451" s="25" t="n">
        <f aca="false">P451-N451</f>
        <v>0</v>
      </c>
      <c r="R451" s="22" t="str">
        <f aca="false">IF(O451=0,"No August moorage transaction",IF(O451&gt;1,"Duplicate August transactions",IF(ABS(Q451)&gt;0.005,"Charge variance","OK")))</f>
        <v>OK</v>
      </c>
      <c r="S451" s="22" t="str">
        <f aca="false">IF(R451="OK","","Billing completeness/reconciliation")</f>
        <v/>
      </c>
    </row>
    <row r="452" customFormat="false" ht="15" hidden="false" customHeight="false" outlineLevel="0" collapsed="false">
      <c r="A452" s="22" t="s">
        <v>7658</v>
      </c>
      <c r="B452" s="22" t="s">
        <v>159</v>
      </c>
      <c r="C452" s="22" t="s">
        <v>6562</v>
      </c>
      <c r="D452" s="22" t="n">
        <v>28</v>
      </c>
      <c r="E452" s="22" t="s">
        <v>6575</v>
      </c>
      <c r="F452" s="22" t="s">
        <v>6577</v>
      </c>
      <c r="G452" s="22" t="s">
        <v>4529</v>
      </c>
      <c r="H452" s="22" t="s">
        <v>4530</v>
      </c>
      <c r="I452" s="22" t="s">
        <v>1940</v>
      </c>
      <c r="J452" s="22" t="n">
        <v>60</v>
      </c>
      <c r="K452" s="22" t="n">
        <f aca="false">ROUNDUP(J452,0)</f>
        <v>60</v>
      </c>
      <c r="L452" s="22" t="n">
        <f aca="false">MAX(D452,K452)</f>
        <v>60</v>
      </c>
      <c r="M452" s="25" t="n">
        <f aca="false">IF(E452="COVERED",'Controls &amp; Sources'!$B$5,'Controls &amp; Sources'!$B$6)</f>
        <v>10.4</v>
      </c>
      <c r="N452" s="25" t="n">
        <f aca="false">L452*M452</f>
        <v>624</v>
      </c>
      <c r="O452" s="22" t="n">
        <f aca="false">COUNTIFS('Billing Actual'!$E$2:$E$770,A452,'Billing Actual'!$B$2:$B$770,'Controls &amp; Sources'!$B$7)</f>
        <v>1</v>
      </c>
      <c r="P452" s="25" t="n">
        <f aca="false">SUMIFS('Billing Actual'!$M$2:$M$770,'Billing Actual'!$E$2:$E$770,A452,'Billing Actual'!$B$2:$B$770,'Controls &amp; Sources'!$B$7)</f>
        <v>624</v>
      </c>
      <c r="Q452" s="25" t="n">
        <f aca="false">P452-N452</f>
        <v>0</v>
      </c>
      <c r="R452" s="22" t="str">
        <f aca="false">IF(O452=0,"No August moorage transaction",IF(O452&gt;1,"Duplicate August transactions",IF(ABS(Q452)&gt;0.005,"Charge variance","OK")))</f>
        <v>OK</v>
      </c>
      <c r="S452" s="22" t="str">
        <f aca="false">IF(R452="OK","","Billing completeness/reconciliation")</f>
        <v/>
      </c>
    </row>
    <row r="453" customFormat="false" ht="15" hidden="false" customHeight="false" outlineLevel="0" collapsed="false">
      <c r="A453" s="22" t="s">
        <v>7660</v>
      </c>
      <c r="B453" s="22" t="s">
        <v>159</v>
      </c>
      <c r="C453" s="22" t="s">
        <v>6562</v>
      </c>
      <c r="D453" s="22" t="n">
        <v>28</v>
      </c>
      <c r="E453" s="22" t="s">
        <v>6575</v>
      </c>
      <c r="F453" s="22" t="s">
        <v>6577</v>
      </c>
      <c r="G453" s="22" t="s">
        <v>6269</v>
      </c>
      <c r="H453" s="22" t="s">
        <v>6270</v>
      </c>
      <c r="I453" s="22" t="s">
        <v>1198</v>
      </c>
      <c r="J453" s="22" t="n">
        <v>35.9</v>
      </c>
      <c r="K453" s="22" t="n">
        <f aca="false">ROUNDUP(J453,0)</f>
        <v>36</v>
      </c>
      <c r="L453" s="22" t="n">
        <f aca="false">MAX(D453,K453)</f>
        <v>36</v>
      </c>
      <c r="M453" s="25" t="n">
        <f aca="false">IF(E453="COVERED",'Controls &amp; Sources'!$B$5,'Controls &amp; Sources'!$B$6)</f>
        <v>10.4</v>
      </c>
      <c r="N453" s="25" t="n">
        <f aca="false">L453*M453</f>
        <v>374.4</v>
      </c>
      <c r="O453" s="22" t="n">
        <f aca="false">COUNTIFS('Billing Actual'!$E$2:$E$770,A453,'Billing Actual'!$B$2:$B$770,'Controls &amp; Sources'!$B$7)</f>
        <v>1</v>
      </c>
      <c r="P453" s="25" t="n">
        <f aca="false">SUMIFS('Billing Actual'!$M$2:$M$770,'Billing Actual'!$E$2:$E$770,A453,'Billing Actual'!$B$2:$B$770,'Controls &amp; Sources'!$B$7)</f>
        <v>374.4</v>
      </c>
      <c r="Q453" s="25" t="n">
        <f aca="false">P453-N453</f>
        <v>0</v>
      </c>
      <c r="R453" s="22" t="str">
        <f aca="false">IF(O453=0,"No August moorage transaction",IF(O453&gt;1,"Duplicate August transactions",IF(ABS(Q453)&gt;0.005,"Charge variance","OK")))</f>
        <v>OK</v>
      </c>
      <c r="S453" s="22" t="str">
        <f aca="false">IF(R453="OK","","Billing completeness/reconciliation")</f>
        <v/>
      </c>
    </row>
    <row r="454" customFormat="false" ht="15" hidden="false" customHeight="false" outlineLevel="0" collapsed="false">
      <c r="A454" s="22" t="s">
        <v>7661</v>
      </c>
      <c r="B454" s="22" t="s">
        <v>159</v>
      </c>
      <c r="C454" s="22" t="s">
        <v>6562</v>
      </c>
      <c r="D454" s="22" t="n">
        <v>28</v>
      </c>
      <c r="E454" s="22" t="s">
        <v>6575</v>
      </c>
      <c r="F454" s="22" t="s">
        <v>6577</v>
      </c>
      <c r="G454" s="22" t="s">
        <v>2359</v>
      </c>
      <c r="H454" s="22" t="s">
        <v>2360</v>
      </c>
      <c r="I454" s="22" t="s">
        <v>1438</v>
      </c>
      <c r="J454" s="22" t="n">
        <v>56.3</v>
      </c>
      <c r="K454" s="22" t="n">
        <f aca="false">ROUNDUP(J454,0)</f>
        <v>57</v>
      </c>
      <c r="L454" s="22" t="n">
        <f aca="false">MAX(D454,K454)</f>
        <v>57</v>
      </c>
      <c r="M454" s="25" t="n">
        <f aca="false">IF(E454="COVERED",'Controls &amp; Sources'!$B$5,'Controls &amp; Sources'!$B$6)</f>
        <v>10.4</v>
      </c>
      <c r="N454" s="25" t="n">
        <f aca="false">L454*M454</f>
        <v>592.8</v>
      </c>
      <c r="O454" s="22" t="n">
        <f aca="false">COUNTIFS('Billing Actual'!$E$2:$E$770,A454,'Billing Actual'!$B$2:$B$770,'Controls &amp; Sources'!$B$7)</f>
        <v>1</v>
      </c>
      <c r="P454" s="25" t="n">
        <f aca="false">SUMIFS('Billing Actual'!$M$2:$M$770,'Billing Actual'!$E$2:$E$770,A454,'Billing Actual'!$B$2:$B$770,'Controls &amp; Sources'!$B$7)</f>
        <v>592.8</v>
      </c>
      <c r="Q454" s="25" t="n">
        <f aca="false">P454-N454</f>
        <v>0</v>
      </c>
      <c r="R454" s="22" t="str">
        <f aca="false">IF(O454=0,"No August moorage transaction",IF(O454&gt;1,"Duplicate August transactions",IF(ABS(Q454)&gt;0.005,"Charge variance","OK")))</f>
        <v>OK</v>
      </c>
      <c r="S454" s="22" t="str">
        <f aca="false">IF(R454="OK","","Billing completeness/reconciliation")</f>
        <v/>
      </c>
    </row>
    <row r="455" customFormat="false" ht="15" hidden="false" customHeight="false" outlineLevel="0" collapsed="false">
      <c r="A455" s="22" t="s">
        <v>7662</v>
      </c>
      <c r="B455" s="22" t="s">
        <v>159</v>
      </c>
      <c r="C455" s="22" t="s">
        <v>6562</v>
      </c>
      <c r="D455" s="22" t="n">
        <v>24</v>
      </c>
      <c r="E455" s="22" t="s">
        <v>6575</v>
      </c>
      <c r="F455" s="22" t="s">
        <v>6577</v>
      </c>
      <c r="G455" s="22" t="s">
        <v>6186</v>
      </c>
      <c r="H455" s="22" t="s">
        <v>6187</v>
      </c>
      <c r="I455" s="22" t="s">
        <v>486</v>
      </c>
      <c r="J455" s="22" t="n">
        <v>28.1</v>
      </c>
      <c r="K455" s="22" t="n">
        <f aca="false">ROUNDUP(J455,0)</f>
        <v>29</v>
      </c>
      <c r="L455" s="22" t="n">
        <f aca="false">MAX(D455,K455)</f>
        <v>29</v>
      </c>
      <c r="M455" s="25" t="n">
        <f aca="false">IF(E455="COVERED",'Controls &amp; Sources'!$B$5,'Controls &amp; Sources'!$B$6)</f>
        <v>10.4</v>
      </c>
      <c r="N455" s="25" t="n">
        <f aca="false">L455*M455</f>
        <v>301.6</v>
      </c>
      <c r="O455" s="22" t="n">
        <f aca="false">COUNTIFS('Billing Actual'!$E$2:$E$770,A455,'Billing Actual'!$B$2:$B$770,'Controls &amp; Sources'!$B$7)</f>
        <v>1</v>
      </c>
      <c r="P455" s="25" t="n">
        <f aca="false">SUMIFS('Billing Actual'!$M$2:$M$770,'Billing Actual'!$E$2:$E$770,A455,'Billing Actual'!$B$2:$B$770,'Controls &amp; Sources'!$B$7)</f>
        <v>301.6</v>
      </c>
      <c r="Q455" s="25" t="n">
        <f aca="false">P455-N455</f>
        <v>0</v>
      </c>
      <c r="R455" s="22" t="str">
        <f aca="false">IF(O455=0,"No August moorage transaction",IF(O455&gt;1,"Duplicate August transactions",IF(ABS(Q455)&gt;0.005,"Charge variance","OK")))</f>
        <v>OK</v>
      </c>
      <c r="S455" s="22" t="str">
        <f aca="false">IF(R455="OK","","Billing completeness/reconciliation")</f>
        <v/>
      </c>
    </row>
    <row r="456" customFormat="false" ht="15" hidden="false" customHeight="false" outlineLevel="0" collapsed="false">
      <c r="A456" s="22" t="s">
        <v>7664</v>
      </c>
      <c r="B456" s="22" t="s">
        <v>159</v>
      </c>
      <c r="C456" s="22" t="s">
        <v>6562</v>
      </c>
      <c r="D456" s="22" t="n">
        <v>36</v>
      </c>
      <c r="E456" s="22" t="s">
        <v>6575</v>
      </c>
      <c r="F456" s="22" t="s">
        <v>6577</v>
      </c>
      <c r="G456" s="22" t="s">
        <v>4314</v>
      </c>
      <c r="H456" s="22" t="s">
        <v>4315</v>
      </c>
      <c r="I456" s="22" t="s">
        <v>3177</v>
      </c>
      <c r="J456" s="22" t="n">
        <v>46.3</v>
      </c>
      <c r="K456" s="22" t="n">
        <f aca="false">ROUNDUP(J456,0)</f>
        <v>47</v>
      </c>
      <c r="L456" s="22" t="n">
        <f aca="false">MAX(D456,K456)</f>
        <v>47</v>
      </c>
      <c r="M456" s="25" t="n">
        <f aca="false">IF(E456="COVERED",'Controls &amp; Sources'!$B$5,'Controls &amp; Sources'!$B$6)</f>
        <v>10.4</v>
      </c>
      <c r="N456" s="25" t="n">
        <f aca="false">L456*M456</f>
        <v>488.8</v>
      </c>
      <c r="O456" s="22" t="n">
        <f aca="false">COUNTIFS('Billing Actual'!$E$2:$E$770,A456,'Billing Actual'!$B$2:$B$770,'Controls &amp; Sources'!$B$7)</f>
        <v>1</v>
      </c>
      <c r="P456" s="25" t="n">
        <f aca="false">SUMIFS('Billing Actual'!$M$2:$M$770,'Billing Actual'!$E$2:$E$770,A456,'Billing Actual'!$B$2:$B$770,'Controls &amp; Sources'!$B$7)</f>
        <v>488.8</v>
      </c>
      <c r="Q456" s="25" t="n">
        <f aca="false">P456-N456</f>
        <v>0</v>
      </c>
      <c r="R456" s="22" t="str">
        <f aca="false">IF(O456=0,"No August moorage transaction",IF(O456&gt;1,"Duplicate August transactions",IF(ABS(Q456)&gt;0.005,"Charge variance","OK")))</f>
        <v>OK</v>
      </c>
      <c r="S456" s="22" t="str">
        <f aca="false">IF(R456="OK","","Billing completeness/reconciliation")</f>
        <v/>
      </c>
    </row>
    <row r="457" customFormat="false" ht="15" hidden="false" customHeight="false" outlineLevel="0" collapsed="false">
      <c r="A457" s="22" t="s">
        <v>7666</v>
      </c>
      <c r="B457" s="22" t="s">
        <v>159</v>
      </c>
      <c r="C457" s="22" t="s">
        <v>6562</v>
      </c>
      <c r="D457" s="22" t="n">
        <v>36</v>
      </c>
      <c r="E457" s="22" t="s">
        <v>6575</v>
      </c>
      <c r="F457" s="22" t="s">
        <v>6577</v>
      </c>
      <c r="G457" s="22" t="s">
        <v>3066</v>
      </c>
      <c r="H457" s="22" t="s">
        <v>3067</v>
      </c>
      <c r="I457" s="22" t="s">
        <v>1169</v>
      </c>
      <c r="J457" s="22" t="n">
        <v>49.2</v>
      </c>
      <c r="K457" s="22" t="n">
        <f aca="false">ROUNDUP(J457,0)</f>
        <v>50</v>
      </c>
      <c r="L457" s="22" t="n">
        <f aca="false">MAX(D457,K457)</f>
        <v>50</v>
      </c>
      <c r="M457" s="25" t="n">
        <f aca="false">IF(E457="COVERED",'Controls &amp; Sources'!$B$5,'Controls &amp; Sources'!$B$6)</f>
        <v>10.4</v>
      </c>
      <c r="N457" s="25" t="n">
        <f aca="false">L457*M457</f>
        <v>520</v>
      </c>
      <c r="O457" s="22" t="n">
        <f aca="false">COUNTIFS('Billing Actual'!$E$2:$E$770,A457,'Billing Actual'!$B$2:$B$770,'Controls &amp; Sources'!$B$7)</f>
        <v>1</v>
      </c>
      <c r="P457" s="25" t="n">
        <f aca="false">SUMIFS('Billing Actual'!$M$2:$M$770,'Billing Actual'!$E$2:$E$770,A457,'Billing Actual'!$B$2:$B$770,'Controls &amp; Sources'!$B$7)</f>
        <v>520</v>
      </c>
      <c r="Q457" s="25" t="n">
        <f aca="false">P457-N457</f>
        <v>0</v>
      </c>
      <c r="R457" s="22" t="str">
        <f aca="false">IF(O457=0,"No August moorage transaction",IF(O457&gt;1,"Duplicate August transactions",IF(ABS(Q457)&gt;0.005,"Charge variance","OK")))</f>
        <v>OK</v>
      </c>
      <c r="S457" s="22" t="str">
        <f aca="false">IF(R457="OK","","Billing completeness/reconciliation")</f>
        <v/>
      </c>
    </row>
    <row r="458" customFormat="false" ht="15" hidden="false" customHeight="false" outlineLevel="0" collapsed="false">
      <c r="A458" s="22" t="s">
        <v>7668</v>
      </c>
      <c r="B458" s="22" t="s">
        <v>159</v>
      </c>
      <c r="C458" s="22" t="s">
        <v>6562</v>
      </c>
      <c r="D458" s="22" t="n">
        <v>28</v>
      </c>
      <c r="E458" s="22" t="s">
        <v>6575</v>
      </c>
      <c r="F458" s="22" t="s">
        <v>6577</v>
      </c>
      <c r="G458" s="22" t="s">
        <v>4326</v>
      </c>
      <c r="H458" s="22" t="s">
        <v>4327</v>
      </c>
      <c r="I458" s="22" t="s">
        <v>1705</v>
      </c>
      <c r="J458" s="22" t="n">
        <v>43.3</v>
      </c>
      <c r="K458" s="22" t="n">
        <f aca="false">ROUNDUP(J458,0)</f>
        <v>44</v>
      </c>
      <c r="L458" s="22" t="n">
        <f aca="false">MAX(D458,K458)</f>
        <v>44</v>
      </c>
      <c r="M458" s="25" t="n">
        <f aca="false">IF(E458="COVERED",'Controls &amp; Sources'!$B$5,'Controls &amp; Sources'!$B$6)</f>
        <v>10.4</v>
      </c>
      <c r="N458" s="25" t="n">
        <f aca="false">L458*M458</f>
        <v>457.6</v>
      </c>
      <c r="O458" s="22" t="n">
        <f aca="false">COUNTIFS('Billing Actual'!$E$2:$E$770,A458,'Billing Actual'!$B$2:$B$770,'Controls &amp; Sources'!$B$7)</f>
        <v>1</v>
      </c>
      <c r="P458" s="25" t="n">
        <f aca="false">SUMIFS('Billing Actual'!$M$2:$M$770,'Billing Actual'!$E$2:$E$770,A458,'Billing Actual'!$B$2:$B$770,'Controls &amp; Sources'!$B$7)</f>
        <v>457.6</v>
      </c>
      <c r="Q458" s="25" t="n">
        <f aca="false">P458-N458</f>
        <v>0</v>
      </c>
      <c r="R458" s="22" t="str">
        <f aca="false">IF(O458=0,"No August moorage transaction",IF(O458&gt;1,"Duplicate August transactions",IF(ABS(Q458)&gt;0.005,"Charge variance","OK")))</f>
        <v>OK</v>
      </c>
      <c r="S458" s="22" t="str">
        <f aca="false">IF(R458="OK","","Billing completeness/reconciliation")</f>
        <v/>
      </c>
    </row>
    <row r="459" customFormat="false" ht="15" hidden="false" customHeight="false" outlineLevel="0" collapsed="false">
      <c r="A459" s="22" t="s">
        <v>7670</v>
      </c>
      <c r="B459" s="22" t="s">
        <v>159</v>
      </c>
      <c r="C459" s="22" t="s">
        <v>6562</v>
      </c>
      <c r="D459" s="22" t="n">
        <v>24</v>
      </c>
      <c r="E459" s="22" t="s">
        <v>6575</v>
      </c>
      <c r="F459" s="22" t="s">
        <v>6577</v>
      </c>
      <c r="G459" s="22" t="s">
        <v>4890</v>
      </c>
      <c r="H459" s="22" t="s">
        <v>2231</v>
      </c>
      <c r="I459" s="22" t="s">
        <v>525</v>
      </c>
      <c r="J459" s="22" t="n">
        <v>48.1</v>
      </c>
      <c r="K459" s="22" t="n">
        <f aca="false">ROUNDUP(J459,0)</f>
        <v>49</v>
      </c>
      <c r="L459" s="22" t="n">
        <f aca="false">MAX(D459,K459)</f>
        <v>49</v>
      </c>
      <c r="M459" s="25" t="n">
        <f aca="false">IF(E459="COVERED",'Controls &amp; Sources'!$B$5,'Controls &amp; Sources'!$B$6)</f>
        <v>10.4</v>
      </c>
      <c r="N459" s="25" t="n">
        <f aca="false">L459*M459</f>
        <v>509.6</v>
      </c>
      <c r="O459" s="22" t="n">
        <f aca="false">COUNTIFS('Billing Actual'!$E$2:$E$770,A459,'Billing Actual'!$B$2:$B$770,'Controls &amp; Sources'!$B$7)</f>
        <v>1</v>
      </c>
      <c r="P459" s="25" t="n">
        <f aca="false">SUMIFS('Billing Actual'!$M$2:$M$770,'Billing Actual'!$E$2:$E$770,A459,'Billing Actual'!$B$2:$B$770,'Controls &amp; Sources'!$B$7)</f>
        <v>509.6</v>
      </c>
      <c r="Q459" s="25" t="n">
        <f aca="false">P459-N459</f>
        <v>0</v>
      </c>
      <c r="R459" s="22" t="str">
        <f aca="false">IF(O459=0,"No August moorage transaction",IF(O459&gt;1,"Duplicate August transactions",IF(ABS(Q459)&gt;0.005,"Charge variance","OK")))</f>
        <v>OK</v>
      </c>
      <c r="S459" s="22" t="str">
        <f aca="false">IF(R459="OK","","Billing completeness/reconciliation")</f>
        <v/>
      </c>
    </row>
    <row r="460" customFormat="false" ht="15" hidden="false" customHeight="false" outlineLevel="0" collapsed="false">
      <c r="A460" s="22" t="s">
        <v>7671</v>
      </c>
      <c r="B460" s="22" t="s">
        <v>159</v>
      </c>
      <c r="C460" s="22" t="s">
        <v>6562</v>
      </c>
      <c r="D460" s="22" t="n">
        <v>40</v>
      </c>
      <c r="E460" s="22" t="s">
        <v>6575</v>
      </c>
      <c r="F460" s="22" t="s">
        <v>6577</v>
      </c>
      <c r="G460" s="22" t="s">
        <v>701</v>
      </c>
      <c r="H460" s="22" t="s">
        <v>702</v>
      </c>
      <c r="I460" s="22" t="s">
        <v>703</v>
      </c>
      <c r="J460" s="22" t="n">
        <v>28.3</v>
      </c>
      <c r="K460" s="22" t="n">
        <f aca="false">ROUNDUP(J460,0)</f>
        <v>29</v>
      </c>
      <c r="L460" s="22" t="n">
        <f aca="false">MAX(D460,K460)</f>
        <v>40</v>
      </c>
      <c r="M460" s="25" t="n">
        <f aca="false">IF(E460="COVERED",'Controls &amp; Sources'!$B$5,'Controls &amp; Sources'!$B$6)</f>
        <v>10.4</v>
      </c>
      <c r="N460" s="25" t="n">
        <f aca="false">L460*M460</f>
        <v>416</v>
      </c>
      <c r="O460" s="22" t="n">
        <f aca="false">COUNTIFS('Billing Actual'!$E$2:$E$770,A460,'Billing Actual'!$B$2:$B$770,'Controls &amp; Sources'!$B$7)</f>
        <v>1</v>
      </c>
      <c r="P460" s="25" t="n">
        <f aca="false">SUMIFS('Billing Actual'!$M$2:$M$770,'Billing Actual'!$E$2:$E$770,A460,'Billing Actual'!$B$2:$B$770,'Controls &amp; Sources'!$B$7)</f>
        <v>416</v>
      </c>
      <c r="Q460" s="25" t="n">
        <f aca="false">P460-N460</f>
        <v>0</v>
      </c>
      <c r="R460" s="22" t="str">
        <f aca="false">IF(O460=0,"No August moorage transaction",IF(O460&gt;1,"Duplicate August transactions",IF(ABS(Q460)&gt;0.005,"Charge variance","OK")))</f>
        <v>OK</v>
      </c>
      <c r="S460" s="22" t="str">
        <f aca="false">IF(R460="OK","","Billing completeness/reconciliation")</f>
        <v/>
      </c>
    </row>
    <row r="461" customFormat="false" ht="15" hidden="false" customHeight="false" outlineLevel="0" collapsed="false">
      <c r="A461" s="22" t="s">
        <v>7673</v>
      </c>
      <c r="B461" s="22" t="s">
        <v>159</v>
      </c>
      <c r="C461" s="22" t="s">
        <v>6562</v>
      </c>
      <c r="D461" s="22" t="n">
        <v>40</v>
      </c>
      <c r="E461" s="22" t="s">
        <v>6575</v>
      </c>
      <c r="F461" s="22" t="s">
        <v>6577</v>
      </c>
      <c r="G461" s="22" t="s">
        <v>1064</v>
      </c>
      <c r="H461" s="22" t="s">
        <v>1065</v>
      </c>
      <c r="I461" s="22" t="s">
        <v>1066</v>
      </c>
      <c r="J461" s="22" t="n">
        <v>57.4</v>
      </c>
      <c r="K461" s="22" t="n">
        <f aca="false">ROUNDUP(J461,0)</f>
        <v>58</v>
      </c>
      <c r="L461" s="22" t="n">
        <f aca="false">MAX(D461,K461)</f>
        <v>58</v>
      </c>
      <c r="M461" s="25" t="n">
        <f aca="false">IF(E461="COVERED",'Controls &amp; Sources'!$B$5,'Controls &amp; Sources'!$B$6)</f>
        <v>10.4</v>
      </c>
      <c r="N461" s="25" t="n">
        <f aca="false">L461*M461</f>
        <v>603.2</v>
      </c>
      <c r="O461" s="22" t="n">
        <f aca="false">COUNTIFS('Billing Actual'!$E$2:$E$770,A461,'Billing Actual'!$B$2:$B$770,'Controls &amp; Sources'!$B$7)</f>
        <v>1</v>
      </c>
      <c r="P461" s="25" t="n">
        <f aca="false">SUMIFS('Billing Actual'!$M$2:$M$770,'Billing Actual'!$E$2:$E$770,A461,'Billing Actual'!$B$2:$B$770,'Controls &amp; Sources'!$B$7)</f>
        <v>603.2</v>
      </c>
      <c r="Q461" s="25" t="n">
        <f aca="false">P461-N461</f>
        <v>0</v>
      </c>
      <c r="R461" s="22" t="str">
        <f aca="false">IF(O461=0,"No August moorage transaction",IF(O461&gt;1,"Duplicate August transactions",IF(ABS(Q461)&gt;0.005,"Charge variance","OK")))</f>
        <v>OK</v>
      </c>
      <c r="S461" s="22" t="str">
        <f aca="false">IF(R461="OK","","Billing completeness/reconciliation")</f>
        <v/>
      </c>
    </row>
    <row r="462" customFormat="false" ht="15" hidden="false" customHeight="false" outlineLevel="0" collapsed="false">
      <c r="A462" s="22" t="s">
        <v>7674</v>
      </c>
      <c r="B462" s="22" t="s">
        <v>159</v>
      </c>
      <c r="C462" s="22" t="s">
        <v>6562</v>
      </c>
      <c r="D462" s="22" t="n">
        <v>28</v>
      </c>
      <c r="E462" s="22" t="s">
        <v>6575</v>
      </c>
      <c r="F462" s="22" t="s">
        <v>6577</v>
      </c>
      <c r="G462" s="22" t="s">
        <v>2874</v>
      </c>
      <c r="H462" s="22" t="s">
        <v>2875</v>
      </c>
      <c r="I462" s="22" t="s">
        <v>594</v>
      </c>
      <c r="J462" s="22" t="n">
        <v>21</v>
      </c>
      <c r="K462" s="22" t="n">
        <f aca="false">ROUNDUP(J462,0)</f>
        <v>21</v>
      </c>
      <c r="L462" s="22" t="n">
        <f aca="false">MAX(D462,K462)</f>
        <v>28</v>
      </c>
      <c r="M462" s="25" t="n">
        <f aca="false">IF(E462="COVERED",'Controls &amp; Sources'!$B$5,'Controls &amp; Sources'!$B$6)</f>
        <v>10.4</v>
      </c>
      <c r="N462" s="25" t="n">
        <f aca="false">L462*M462</f>
        <v>291.2</v>
      </c>
      <c r="O462" s="22" t="n">
        <f aca="false">COUNTIFS('Billing Actual'!$E$2:$E$770,A462,'Billing Actual'!$B$2:$B$770,'Controls &amp; Sources'!$B$7)</f>
        <v>1</v>
      </c>
      <c r="P462" s="25" t="n">
        <f aca="false">SUMIFS('Billing Actual'!$M$2:$M$770,'Billing Actual'!$E$2:$E$770,A462,'Billing Actual'!$B$2:$B$770,'Controls &amp; Sources'!$B$7)</f>
        <v>291.2</v>
      </c>
      <c r="Q462" s="25" t="n">
        <f aca="false">P462-N462</f>
        <v>0</v>
      </c>
      <c r="R462" s="22" t="str">
        <f aca="false">IF(O462=0,"No August moorage transaction",IF(O462&gt;1,"Duplicate August transactions",IF(ABS(Q462)&gt;0.005,"Charge variance","OK")))</f>
        <v>OK</v>
      </c>
      <c r="S462" s="22" t="str">
        <f aca="false">IF(R462="OK","","Billing completeness/reconciliation")</f>
        <v/>
      </c>
    </row>
    <row r="463" customFormat="false" ht="15" hidden="false" customHeight="false" outlineLevel="0" collapsed="false">
      <c r="A463" s="22" t="s">
        <v>7676</v>
      </c>
      <c r="B463" s="22" t="s">
        <v>159</v>
      </c>
      <c r="C463" s="22" t="s">
        <v>6562</v>
      </c>
      <c r="D463" s="22" t="n">
        <v>36</v>
      </c>
      <c r="E463" s="22" t="s">
        <v>6575</v>
      </c>
      <c r="F463" s="22" t="s">
        <v>6577</v>
      </c>
      <c r="G463" s="22" t="s">
        <v>3056</v>
      </c>
      <c r="H463" s="22" t="s">
        <v>3057</v>
      </c>
      <c r="I463" s="22" t="s">
        <v>492</v>
      </c>
      <c r="J463" s="22" t="n">
        <v>32.3</v>
      </c>
      <c r="K463" s="22" t="n">
        <f aca="false">ROUNDUP(J463,0)</f>
        <v>33</v>
      </c>
      <c r="L463" s="22" t="n">
        <f aca="false">MAX(D463,K463)</f>
        <v>36</v>
      </c>
      <c r="M463" s="25" t="n">
        <f aca="false">IF(E463="COVERED",'Controls &amp; Sources'!$B$5,'Controls &amp; Sources'!$B$6)</f>
        <v>10.4</v>
      </c>
      <c r="N463" s="25" t="n">
        <f aca="false">L463*M463</f>
        <v>374.4</v>
      </c>
      <c r="O463" s="22" t="n">
        <f aca="false">COUNTIFS('Billing Actual'!$E$2:$E$770,A463,'Billing Actual'!$B$2:$B$770,'Controls &amp; Sources'!$B$7)</f>
        <v>1</v>
      </c>
      <c r="P463" s="25" t="n">
        <f aca="false">SUMIFS('Billing Actual'!$M$2:$M$770,'Billing Actual'!$E$2:$E$770,A463,'Billing Actual'!$B$2:$B$770,'Controls &amp; Sources'!$B$7)</f>
        <v>374.4</v>
      </c>
      <c r="Q463" s="25" t="n">
        <f aca="false">P463-N463</f>
        <v>0</v>
      </c>
      <c r="R463" s="22" t="str">
        <f aca="false">IF(O463=0,"No August moorage transaction",IF(O463&gt;1,"Duplicate August transactions",IF(ABS(Q463)&gt;0.005,"Charge variance","OK")))</f>
        <v>OK</v>
      </c>
      <c r="S463" s="22" t="str">
        <f aca="false">IF(R463="OK","","Billing completeness/reconciliation")</f>
        <v/>
      </c>
    </row>
    <row r="464" customFormat="false" ht="15" hidden="false" customHeight="false" outlineLevel="0" collapsed="false">
      <c r="A464" s="22" t="s">
        <v>7677</v>
      </c>
      <c r="B464" s="22" t="s">
        <v>159</v>
      </c>
      <c r="C464" s="22" t="s">
        <v>6562</v>
      </c>
      <c r="D464" s="22" t="n">
        <v>36</v>
      </c>
      <c r="E464" s="22" t="s">
        <v>6575</v>
      </c>
      <c r="F464" s="22" t="s">
        <v>6577</v>
      </c>
      <c r="G464" s="22" t="s">
        <v>1446</v>
      </c>
      <c r="H464" s="22" t="s">
        <v>1447</v>
      </c>
      <c r="I464" s="22" t="s">
        <v>1187</v>
      </c>
      <c r="J464" s="22" t="n">
        <v>38.1</v>
      </c>
      <c r="K464" s="22" t="n">
        <f aca="false">ROUNDUP(J464,0)</f>
        <v>39</v>
      </c>
      <c r="L464" s="22" t="n">
        <f aca="false">MAX(D464,K464)</f>
        <v>39</v>
      </c>
      <c r="M464" s="25" t="n">
        <f aca="false">IF(E464="COVERED",'Controls &amp; Sources'!$B$5,'Controls &amp; Sources'!$B$6)</f>
        <v>10.4</v>
      </c>
      <c r="N464" s="25" t="n">
        <f aca="false">L464*M464</f>
        <v>405.6</v>
      </c>
      <c r="O464" s="22" t="n">
        <f aca="false">COUNTIFS('Billing Actual'!$E$2:$E$770,A464,'Billing Actual'!$B$2:$B$770,'Controls &amp; Sources'!$B$7)</f>
        <v>1</v>
      </c>
      <c r="P464" s="25" t="n">
        <f aca="false">SUMIFS('Billing Actual'!$M$2:$M$770,'Billing Actual'!$E$2:$E$770,A464,'Billing Actual'!$B$2:$B$770,'Controls &amp; Sources'!$B$7)</f>
        <v>405.6</v>
      </c>
      <c r="Q464" s="25" t="n">
        <f aca="false">P464-N464</f>
        <v>0</v>
      </c>
      <c r="R464" s="22" t="str">
        <f aca="false">IF(O464=0,"No August moorage transaction",IF(O464&gt;1,"Duplicate August transactions",IF(ABS(Q464)&gt;0.005,"Charge variance","OK")))</f>
        <v>OK</v>
      </c>
      <c r="S464" s="22" t="str">
        <f aca="false">IF(R464="OK","","Billing completeness/reconciliation")</f>
        <v/>
      </c>
    </row>
    <row r="465" customFormat="false" ht="15" hidden="false" customHeight="false" outlineLevel="0" collapsed="false">
      <c r="A465" s="22" t="s">
        <v>7679</v>
      </c>
      <c r="B465" s="22" t="s">
        <v>159</v>
      </c>
      <c r="C465" s="22" t="s">
        <v>6562</v>
      </c>
      <c r="D465" s="22" t="n">
        <v>24</v>
      </c>
      <c r="E465" s="22" t="s">
        <v>6575</v>
      </c>
      <c r="F465" s="22" t="s">
        <v>6577</v>
      </c>
      <c r="G465" s="22" t="s">
        <v>4891</v>
      </c>
      <c r="H465" s="22" t="s">
        <v>4892</v>
      </c>
      <c r="I465" s="22" t="s">
        <v>260</v>
      </c>
      <c r="J465" s="22" t="n">
        <v>50</v>
      </c>
      <c r="K465" s="22" t="n">
        <f aca="false">ROUNDUP(J465,0)</f>
        <v>50</v>
      </c>
      <c r="L465" s="22" t="n">
        <f aca="false">MAX(D465,K465)</f>
        <v>50</v>
      </c>
      <c r="M465" s="25" t="n">
        <f aca="false">IF(E465="COVERED",'Controls &amp; Sources'!$B$5,'Controls &amp; Sources'!$B$6)</f>
        <v>10.4</v>
      </c>
      <c r="N465" s="25" t="n">
        <f aca="false">L465*M465</f>
        <v>520</v>
      </c>
      <c r="O465" s="22" t="n">
        <f aca="false">COUNTIFS('Billing Actual'!$E$2:$E$770,A465,'Billing Actual'!$B$2:$B$770,'Controls &amp; Sources'!$B$7)</f>
        <v>1</v>
      </c>
      <c r="P465" s="25" t="n">
        <f aca="false">SUMIFS('Billing Actual'!$M$2:$M$770,'Billing Actual'!$E$2:$E$770,A465,'Billing Actual'!$B$2:$B$770,'Controls &amp; Sources'!$B$7)</f>
        <v>520</v>
      </c>
      <c r="Q465" s="25" t="n">
        <f aca="false">P465-N465</f>
        <v>0</v>
      </c>
      <c r="R465" s="22" t="str">
        <f aca="false">IF(O465=0,"No August moorage transaction",IF(O465&gt;1,"Duplicate August transactions",IF(ABS(Q465)&gt;0.005,"Charge variance","OK")))</f>
        <v>OK</v>
      </c>
      <c r="S465" s="22" t="str">
        <f aca="false">IF(R465="OK","","Billing completeness/reconciliation")</f>
        <v/>
      </c>
    </row>
    <row r="466" customFormat="false" ht="15" hidden="false" customHeight="false" outlineLevel="0" collapsed="false">
      <c r="A466" s="22" t="s">
        <v>7681</v>
      </c>
      <c r="B466" s="22" t="s">
        <v>159</v>
      </c>
      <c r="C466" s="22" t="s">
        <v>6562</v>
      </c>
      <c r="D466" s="22" t="n">
        <v>24</v>
      </c>
      <c r="E466" s="22" t="s">
        <v>6575</v>
      </c>
      <c r="F466" s="22" t="s">
        <v>6577</v>
      </c>
      <c r="G466" s="22" t="s">
        <v>4942</v>
      </c>
      <c r="H466" s="22" t="s">
        <v>4943</v>
      </c>
      <c r="I466" s="22" t="s">
        <v>2081</v>
      </c>
      <c r="J466" s="22" t="n">
        <v>34.6</v>
      </c>
      <c r="K466" s="22" t="n">
        <f aca="false">ROUNDUP(J466,0)</f>
        <v>35</v>
      </c>
      <c r="L466" s="22" t="n">
        <f aca="false">MAX(D466,K466)</f>
        <v>35</v>
      </c>
      <c r="M466" s="25" t="n">
        <f aca="false">IF(E466="COVERED",'Controls &amp; Sources'!$B$5,'Controls &amp; Sources'!$B$6)</f>
        <v>10.4</v>
      </c>
      <c r="N466" s="25" t="n">
        <f aca="false">L466*M466</f>
        <v>364</v>
      </c>
      <c r="O466" s="22" t="n">
        <f aca="false">COUNTIFS('Billing Actual'!$E$2:$E$770,A466,'Billing Actual'!$B$2:$B$770,'Controls &amp; Sources'!$B$7)</f>
        <v>1</v>
      </c>
      <c r="P466" s="25" t="n">
        <f aca="false">SUMIFS('Billing Actual'!$M$2:$M$770,'Billing Actual'!$E$2:$E$770,A466,'Billing Actual'!$B$2:$B$770,'Controls &amp; Sources'!$B$7)</f>
        <v>364</v>
      </c>
      <c r="Q466" s="25" t="n">
        <f aca="false">P466-N466</f>
        <v>0</v>
      </c>
      <c r="R466" s="22" t="str">
        <f aca="false">IF(O466=0,"No August moorage transaction",IF(O466&gt;1,"Duplicate August transactions",IF(ABS(Q466)&gt;0.005,"Charge variance","OK")))</f>
        <v>OK</v>
      </c>
      <c r="S466" s="22" t="str">
        <f aca="false">IF(R466="OK","","Billing completeness/reconciliation")</f>
        <v/>
      </c>
    </row>
    <row r="467" customFormat="false" ht="15" hidden="false" customHeight="false" outlineLevel="0" collapsed="false">
      <c r="A467" s="22" t="s">
        <v>7682</v>
      </c>
      <c r="B467" s="22" t="s">
        <v>159</v>
      </c>
      <c r="C467" s="22" t="s">
        <v>6562</v>
      </c>
      <c r="D467" s="22" t="n">
        <v>36</v>
      </c>
      <c r="E467" s="22" t="s">
        <v>6575</v>
      </c>
      <c r="F467" s="22" t="s">
        <v>6577</v>
      </c>
      <c r="G467" s="22" t="s">
        <v>2861</v>
      </c>
      <c r="H467" s="22" t="s">
        <v>2862</v>
      </c>
      <c r="I467" s="22" t="s">
        <v>2730</v>
      </c>
      <c r="J467" s="22" t="n">
        <v>51.9</v>
      </c>
      <c r="K467" s="22" t="n">
        <f aca="false">ROUNDUP(J467,0)</f>
        <v>52</v>
      </c>
      <c r="L467" s="22" t="n">
        <f aca="false">MAX(D467,K467)</f>
        <v>52</v>
      </c>
      <c r="M467" s="25" t="n">
        <f aca="false">IF(E467="COVERED",'Controls &amp; Sources'!$B$5,'Controls &amp; Sources'!$B$6)</f>
        <v>10.4</v>
      </c>
      <c r="N467" s="25" t="n">
        <f aca="false">L467*M467</f>
        <v>540.8</v>
      </c>
      <c r="O467" s="22" t="n">
        <f aca="false">COUNTIFS('Billing Actual'!$E$2:$E$770,A467,'Billing Actual'!$B$2:$B$770,'Controls &amp; Sources'!$B$7)</f>
        <v>1</v>
      </c>
      <c r="P467" s="25" t="n">
        <f aca="false">SUMIFS('Billing Actual'!$M$2:$M$770,'Billing Actual'!$E$2:$E$770,A467,'Billing Actual'!$B$2:$B$770,'Controls &amp; Sources'!$B$7)</f>
        <v>540.8</v>
      </c>
      <c r="Q467" s="25" t="n">
        <f aca="false">P467-N467</f>
        <v>0</v>
      </c>
      <c r="R467" s="22" t="str">
        <f aca="false">IF(O467=0,"No August moorage transaction",IF(O467&gt;1,"Duplicate August transactions",IF(ABS(Q467)&gt;0.005,"Charge variance","OK")))</f>
        <v>OK</v>
      </c>
      <c r="S467" s="22" t="str">
        <f aca="false">IF(R467="OK","","Billing completeness/reconciliation")</f>
        <v/>
      </c>
    </row>
    <row r="468" customFormat="false" ht="15" hidden="false" customHeight="false" outlineLevel="0" collapsed="false">
      <c r="A468" s="22" t="s">
        <v>7684</v>
      </c>
      <c r="B468" s="22" t="s">
        <v>159</v>
      </c>
      <c r="C468" s="22" t="s">
        <v>6562</v>
      </c>
      <c r="D468" s="22" t="n">
        <v>24</v>
      </c>
      <c r="E468" s="22" t="s">
        <v>6575</v>
      </c>
      <c r="F468" s="22" t="s">
        <v>6577</v>
      </c>
      <c r="G468" s="22" t="s">
        <v>6087</v>
      </c>
      <c r="H468" s="22" t="s">
        <v>6088</v>
      </c>
      <c r="I468" s="22" t="s">
        <v>4094</v>
      </c>
      <c r="J468" s="22" t="n">
        <v>33.4</v>
      </c>
      <c r="K468" s="22" t="n">
        <f aca="false">ROUNDUP(J468,0)</f>
        <v>34</v>
      </c>
      <c r="L468" s="22" t="n">
        <f aca="false">MAX(D468,K468)</f>
        <v>34</v>
      </c>
      <c r="M468" s="25" t="n">
        <f aca="false">IF(E468="COVERED",'Controls &amp; Sources'!$B$5,'Controls &amp; Sources'!$B$6)</f>
        <v>10.4</v>
      </c>
      <c r="N468" s="25" t="n">
        <f aca="false">L468*M468</f>
        <v>353.6</v>
      </c>
      <c r="O468" s="22" t="n">
        <f aca="false">COUNTIFS('Billing Actual'!$E$2:$E$770,A468,'Billing Actual'!$B$2:$B$770,'Controls &amp; Sources'!$B$7)</f>
        <v>1</v>
      </c>
      <c r="P468" s="25" t="n">
        <f aca="false">SUMIFS('Billing Actual'!$M$2:$M$770,'Billing Actual'!$E$2:$E$770,A468,'Billing Actual'!$B$2:$B$770,'Controls &amp; Sources'!$B$7)</f>
        <v>353.6</v>
      </c>
      <c r="Q468" s="25" t="n">
        <f aca="false">P468-N468</f>
        <v>0</v>
      </c>
      <c r="R468" s="22" t="str">
        <f aca="false">IF(O468=0,"No August moorage transaction",IF(O468&gt;1,"Duplicate August transactions",IF(ABS(Q468)&gt;0.005,"Charge variance","OK")))</f>
        <v>OK</v>
      </c>
      <c r="S468" s="22" t="str">
        <f aca="false">IF(R468="OK","","Billing completeness/reconciliation")</f>
        <v/>
      </c>
    </row>
    <row r="469" customFormat="false" ht="15" hidden="false" customHeight="false" outlineLevel="0" collapsed="false">
      <c r="A469" s="22" t="s">
        <v>7687</v>
      </c>
      <c r="B469" s="22" t="s">
        <v>159</v>
      </c>
      <c r="C469" s="22" t="s">
        <v>6562</v>
      </c>
      <c r="D469" s="22" t="n">
        <v>40</v>
      </c>
      <c r="E469" s="22" t="s">
        <v>6575</v>
      </c>
      <c r="F469" s="22" t="s">
        <v>6577</v>
      </c>
      <c r="G469" s="22" t="s">
        <v>2888</v>
      </c>
      <c r="H469" s="22" t="s">
        <v>2889</v>
      </c>
      <c r="I469" s="22" t="s">
        <v>1037</v>
      </c>
      <c r="J469" s="22" t="n">
        <v>36.8</v>
      </c>
      <c r="K469" s="22" t="n">
        <f aca="false">ROUNDUP(J469,0)</f>
        <v>37</v>
      </c>
      <c r="L469" s="22" t="n">
        <f aca="false">MAX(D469,K469)</f>
        <v>40</v>
      </c>
      <c r="M469" s="25" t="n">
        <f aca="false">IF(E469="COVERED",'Controls &amp; Sources'!$B$5,'Controls &amp; Sources'!$B$6)</f>
        <v>10.4</v>
      </c>
      <c r="N469" s="25" t="n">
        <f aca="false">L469*M469</f>
        <v>416</v>
      </c>
      <c r="O469" s="22" t="n">
        <f aca="false">COUNTIFS('Billing Actual'!$E$2:$E$770,A469,'Billing Actual'!$B$2:$B$770,'Controls &amp; Sources'!$B$7)</f>
        <v>1</v>
      </c>
      <c r="P469" s="25" t="n">
        <f aca="false">SUMIFS('Billing Actual'!$M$2:$M$770,'Billing Actual'!$E$2:$E$770,A469,'Billing Actual'!$B$2:$B$770,'Controls &amp; Sources'!$B$7)</f>
        <v>416</v>
      </c>
      <c r="Q469" s="25" t="n">
        <f aca="false">P469-N469</f>
        <v>0</v>
      </c>
      <c r="R469" s="22" t="str">
        <f aca="false">IF(O469=0,"No August moorage transaction",IF(O469&gt;1,"Duplicate August transactions",IF(ABS(Q469)&gt;0.005,"Charge variance","OK")))</f>
        <v>OK</v>
      </c>
      <c r="S469" s="22" t="str">
        <f aca="false">IF(R469="OK","","Billing completeness/reconciliation")</f>
        <v/>
      </c>
    </row>
    <row r="470" customFormat="false" ht="15" hidden="false" customHeight="false" outlineLevel="0" collapsed="false">
      <c r="A470" s="22" t="s">
        <v>7688</v>
      </c>
      <c r="B470" s="22" t="s">
        <v>159</v>
      </c>
      <c r="C470" s="22" t="s">
        <v>6562</v>
      </c>
      <c r="D470" s="22" t="n">
        <v>40</v>
      </c>
      <c r="E470" s="22" t="s">
        <v>6575</v>
      </c>
      <c r="F470" s="22" t="s">
        <v>6577</v>
      </c>
      <c r="G470" s="22" t="s">
        <v>5020</v>
      </c>
      <c r="H470" s="22" t="s">
        <v>5021</v>
      </c>
      <c r="I470" s="22" t="s">
        <v>820</v>
      </c>
      <c r="J470" s="22" t="n">
        <v>40.5</v>
      </c>
      <c r="K470" s="22" t="n">
        <f aca="false">ROUNDUP(J470,0)</f>
        <v>41</v>
      </c>
      <c r="L470" s="22" t="n">
        <f aca="false">MAX(D470,K470)</f>
        <v>41</v>
      </c>
      <c r="M470" s="25" t="n">
        <f aca="false">IF(E470="COVERED",'Controls &amp; Sources'!$B$5,'Controls &amp; Sources'!$B$6)</f>
        <v>10.4</v>
      </c>
      <c r="N470" s="25" t="n">
        <f aca="false">L470*M470</f>
        <v>426.4</v>
      </c>
      <c r="O470" s="22" t="n">
        <f aca="false">COUNTIFS('Billing Actual'!$E$2:$E$770,A470,'Billing Actual'!$B$2:$B$770,'Controls &amp; Sources'!$B$7)</f>
        <v>1</v>
      </c>
      <c r="P470" s="25" t="n">
        <f aca="false">SUMIFS('Billing Actual'!$M$2:$M$770,'Billing Actual'!$E$2:$E$770,A470,'Billing Actual'!$B$2:$B$770,'Controls &amp; Sources'!$B$7)</f>
        <v>426.4</v>
      </c>
      <c r="Q470" s="25" t="n">
        <f aca="false">P470-N470</f>
        <v>0</v>
      </c>
      <c r="R470" s="22" t="str">
        <f aca="false">IF(O470=0,"No August moorage transaction",IF(O470&gt;1,"Duplicate August transactions",IF(ABS(Q470)&gt;0.005,"Charge variance","OK")))</f>
        <v>OK</v>
      </c>
      <c r="S470" s="22" t="str">
        <f aca="false">IF(R470="OK","","Billing completeness/reconciliation")</f>
        <v/>
      </c>
    </row>
    <row r="471" customFormat="false" ht="15" hidden="false" customHeight="false" outlineLevel="0" collapsed="false">
      <c r="A471" s="22" t="s">
        <v>7689</v>
      </c>
      <c r="B471" s="22" t="s">
        <v>159</v>
      </c>
      <c r="C471" s="22" t="s">
        <v>6562</v>
      </c>
      <c r="D471" s="22" t="n">
        <v>36</v>
      </c>
      <c r="E471" s="22" t="s">
        <v>6575</v>
      </c>
      <c r="F471" s="22" t="s">
        <v>6577</v>
      </c>
      <c r="G471" s="22" t="s">
        <v>2598</v>
      </c>
      <c r="H471" s="22" t="s">
        <v>2599</v>
      </c>
      <c r="I471" s="22" t="s">
        <v>1217</v>
      </c>
      <c r="J471" s="22" t="n">
        <v>56.3</v>
      </c>
      <c r="K471" s="22" t="n">
        <f aca="false">ROUNDUP(J471,0)</f>
        <v>57</v>
      </c>
      <c r="L471" s="22" t="n">
        <f aca="false">MAX(D471,K471)</f>
        <v>57</v>
      </c>
      <c r="M471" s="25" t="n">
        <f aca="false">IF(E471="COVERED",'Controls &amp; Sources'!$B$5,'Controls &amp; Sources'!$B$6)</f>
        <v>10.4</v>
      </c>
      <c r="N471" s="25" t="n">
        <f aca="false">L471*M471</f>
        <v>592.8</v>
      </c>
      <c r="O471" s="22" t="n">
        <f aca="false">COUNTIFS('Billing Actual'!$E$2:$E$770,A471,'Billing Actual'!$B$2:$B$770,'Controls &amp; Sources'!$B$7)</f>
        <v>1</v>
      </c>
      <c r="P471" s="25" t="n">
        <f aca="false">SUMIFS('Billing Actual'!$M$2:$M$770,'Billing Actual'!$E$2:$E$770,A471,'Billing Actual'!$B$2:$B$770,'Controls &amp; Sources'!$B$7)</f>
        <v>592.8</v>
      </c>
      <c r="Q471" s="25" t="n">
        <f aca="false">P471-N471</f>
        <v>0</v>
      </c>
      <c r="R471" s="22" t="str">
        <f aca="false">IF(O471=0,"No August moorage transaction",IF(O471&gt;1,"Duplicate August transactions",IF(ABS(Q471)&gt;0.005,"Charge variance","OK")))</f>
        <v>OK</v>
      </c>
      <c r="S471" s="22" t="str">
        <f aca="false">IF(R471="OK","","Billing completeness/reconciliation")</f>
        <v/>
      </c>
    </row>
    <row r="472" customFormat="false" ht="15" hidden="false" customHeight="false" outlineLevel="0" collapsed="false">
      <c r="A472" s="22" t="s">
        <v>7691</v>
      </c>
      <c r="B472" s="22" t="s">
        <v>159</v>
      </c>
      <c r="C472" s="22" t="s">
        <v>6562</v>
      </c>
      <c r="D472" s="22" t="n">
        <v>28</v>
      </c>
      <c r="E472" s="22" t="s">
        <v>6575</v>
      </c>
      <c r="F472" s="22" t="s">
        <v>6577</v>
      </c>
      <c r="G472" s="22" t="s">
        <v>1419</v>
      </c>
      <c r="H472" s="22" t="s">
        <v>1420</v>
      </c>
      <c r="I472" s="22" t="s">
        <v>1077</v>
      </c>
      <c r="J472" s="22" t="n">
        <v>29.6</v>
      </c>
      <c r="K472" s="22" t="n">
        <f aca="false">ROUNDUP(J472,0)</f>
        <v>30</v>
      </c>
      <c r="L472" s="22" t="n">
        <f aca="false">MAX(D472,K472)</f>
        <v>30</v>
      </c>
      <c r="M472" s="25" t="n">
        <f aca="false">IF(E472="COVERED",'Controls &amp; Sources'!$B$5,'Controls &amp; Sources'!$B$6)</f>
        <v>10.4</v>
      </c>
      <c r="N472" s="25" t="n">
        <f aca="false">L472*M472</f>
        <v>312</v>
      </c>
      <c r="O472" s="22" t="n">
        <f aca="false">COUNTIFS('Billing Actual'!$E$2:$E$770,A472,'Billing Actual'!$B$2:$B$770,'Controls &amp; Sources'!$B$7)</f>
        <v>1</v>
      </c>
      <c r="P472" s="25" t="n">
        <f aca="false">SUMIFS('Billing Actual'!$M$2:$M$770,'Billing Actual'!$E$2:$E$770,A472,'Billing Actual'!$B$2:$B$770,'Controls &amp; Sources'!$B$7)</f>
        <v>312</v>
      </c>
      <c r="Q472" s="25" t="n">
        <f aca="false">P472-N472</f>
        <v>0</v>
      </c>
      <c r="R472" s="22" t="str">
        <f aca="false">IF(O472=0,"No August moorage transaction",IF(O472&gt;1,"Duplicate August transactions",IF(ABS(Q472)&gt;0.005,"Charge variance","OK")))</f>
        <v>OK</v>
      </c>
      <c r="S472" s="22" t="str">
        <f aca="false">IF(R472="OK","","Billing completeness/reconciliation")</f>
        <v/>
      </c>
    </row>
    <row r="473" customFormat="false" ht="15" hidden="false" customHeight="false" outlineLevel="0" collapsed="false">
      <c r="A473" s="22" t="s">
        <v>7692</v>
      </c>
      <c r="B473" s="22" t="s">
        <v>159</v>
      </c>
      <c r="C473" s="22" t="s">
        <v>6562</v>
      </c>
      <c r="D473" s="22" t="n">
        <v>32</v>
      </c>
      <c r="E473" s="22" t="s">
        <v>6575</v>
      </c>
      <c r="F473" s="22" t="s">
        <v>6577</v>
      </c>
      <c r="G473" s="22" t="s">
        <v>3636</v>
      </c>
      <c r="H473" s="22" t="s">
        <v>3637</v>
      </c>
      <c r="I473" s="22" t="s">
        <v>428</v>
      </c>
      <c r="J473" s="22" t="n">
        <v>55.7</v>
      </c>
      <c r="K473" s="22" t="n">
        <f aca="false">ROUNDUP(J473,0)</f>
        <v>56</v>
      </c>
      <c r="L473" s="22" t="n">
        <f aca="false">MAX(D473,K473)</f>
        <v>56</v>
      </c>
      <c r="M473" s="25" t="n">
        <f aca="false">IF(E473="COVERED",'Controls &amp; Sources'!$B$5,'Controls &amp; Sources'!$B$6)</f>
        <v>10.4</v>
      </c>
      <c r="N473" s="25" t="n">
        <f aca="false">L473*M473</f>
        <v>582.4</v>
      </c>
      <c r="O473" s="22" t="n">
        <f aca="false">COUNTIFS('Billing Actual'!$E$2:$E$770,A473,'Billing Actual'!$B$2:$B$770,'Controls &amp; Sources'!$B$7)</f>
        <v>1</v>
      </c>
      <c r="P473" s="25" t="n">
        <f aca="false">SUMIFS('Billing Actual'!$M$2:$M$770,'Billing Actual'!$E$2:$E$770,A473,'Billing Actual'!$B$2:$B$770,'Controls &amp; Sources'!$B$7)</f>
        <v>582.4</v>
      </c>
      <c r="Q473" s="25" t="n">
        <f aca="false">P473-N473</f>
        <v>0</v>
      </c>
      <c r="R473" s="22" t="str">
        <f aca="false">IF(O473=0,"No August moorage transaction",IF(O473&gt;1,"Duplicate August transactions",IF(ABS(Q473)&gt;0.005,"Charge variance","OK")))</f>
        <v>OK</v>
      </c>
      <c r="S473" s="22" t="str">
        <f aca="false">IF(R473="OK","","Billing completeness/reconciliation")</f>
        <v/>
      </c>
    </row>
    <row r="474" customFormat="false" ht="15" hidden="false" customHeight="false" outlineLevel="0" collapsed="false">
      <c r="A474" s="22" t="s">
        <v>7693</v>
      </c>
      <c r="B474" s="22" t="s">
        <v>215</v>
      </c>
      <c r="C474" s="22" t="s">
        <v>7694</v>
      </c>
      <c r="D474" s="22" t="n">
        <v>80</v>
      </c>
      <c r="E474" s="22" t="s">
        <v>7696</v>
      </c>
      <c r="F474" s="22" t="s">
        <v>6577</v>
      </c>
      <c r="G474" s="22" t="s">
        <v>1292</v>
      </c>
      <c r="H474" s="22" t="s">
        <v>1293</v>
      </c>
      <c r="I474" s="22" t="s">
        <v>1294</v>
      </c>
      <c r="J474" s="22" t="n">
        <v>29.3</v>
      </c>
      <c r="K474" s="22" t="n">
        <f aca="false">ROUNDUP(J474,0)</f>
        <v>30</v>
      </c>
      <c r="L474" s="22" t="n">
        <f aca="false">MAX(D474,K474)</f>
        <v>80</v>
      </c>
      <c r="M474" s="25" t="n">
        <f aca="false">IF(E474="COVERED",'Controls &amp; Sources'!$B$5,'Controls &amp; Sources'!$B$6)</f>
        <v>7.55</v>
      </c>
      <c r="N474" s="25" t="n">
        <f aca="false">L474*M474</f>
        <v>604</v>
      </c>
      <c r="O474" s="22" t="n">
        <f aca="false">COUNTIFS('Billing Actual'!$E$2:$E$770,A474,'Billing Actual'!$B$2:$B$770,'Controls &amp; Sources'!$B$7)</f>
        <v>1</v>
      </c>
      <c r="P474" s="25" t="n">
        <f aca="false">SUMIFS('Billing Actual'!$M$2:$M$770,'Billing Actual'!$E$2:$E$770,A474,'Billing Actual'!$B$2:$B$770,'Controls &amp; Sources'!$B$7)</f>
        <v>604</v>
      </c>
      <c r="Q474" s="25" t="n">
        <f aca="false">P474-N474</f>
        <v>0</v>
      </c>
      <c r="R474" s="22" t="str">
        <f aca="false">IF(O474=0,"No August moorage transaction",IF(O474&gt;1,"Duplicate August transactions",IF(ABS(Q474)&gt;0.005,"Charge variance","OK")))</f>
        <v>OK</v>
      </c>
      <c r="S474" s="22" t="str">
        <f aca="false">IF(R474="OK","","Billing completeness/reconciliation")</f>
        <v/>
      </c>
    </row>
    <row r="475" customFormat="false" ht="15" hidden="false" customHeight="false" outlineLevel="0" collapsed="false">
      <c r="A475" s="22" t="s">
        <v>7698</v>
      </c>
      <c r="B475" s="22" t="s">
        <v>215</v>
      </c>
      <c r="C475" s="22" t="s">
        <v>7694</v>
      </c>
      <c r="D475" s="22" t="n">
        <v>24</v>
      </c>
      <c r="E475" s="22" t="s">
        <v>7696</v>
      </c>
      <c r="F475" s="22" t="s">
        <v>6577</v>
      </c>
      <c r="G475" s="22" t="s">
        <v>6073</v>
      </c>
      <c r="H475" s="22" t="s">
        <v>6074</v>
      </c>
      <c r="I475" s="22" t="s">
        <v>1517</v>
      </c>
      <c r="J475" s="22" t="n">
        <v>55.3</v>
      </c>
      <c r="K475" s="22" t="n">
        <f aca="false">ROUNDUP(J475,0)</f>
        <v>56</v>
      </c>
      <c r="L475" s="22" t="n">
        <f aca="false">MAX(D475,K475)</f>
        <v>56</v>
      </c>
      <c r="M475" s="25" t="n">
        <f aca="false">IF(E475="COVERED",'Controls &amp; Sources'!$B$5,'Controls &amp; Sources'!$B$6)</f>
        <v>7.55</v>
      </c>
      <c r="N475" s="25" t="n">
        <f aca="false">L475*M475</f>
        <v>422.8</v>
      </c>
      <c r="O475" s="22" t="n">
        <f aca="false">COUNTIFS('Billing Actual'!$E$2:$E$770,A475,'Billing Actual'!$B$2:$B$770,'Controls &amp; Sources'!$B$7)</f>
        <v>1</v>
      </c>
      <c r="P475" s="25" t="n">
        <f aca="false">SUMIFS('Billing Actual'!$M$2:$M$770,'Billing Actual'!$E$2:$E$770,A475,'Billing Actual'!$B$2:$B$770,'Controls &amp; Sources'!$B$7)</f>
        <v>422.8</v>
      </c>
      <c r="Q475" s="25" t="n">
        <f aca="false">P475-N475</f>
        <v>0</v>
      </c>
      <c r="R475" s="22" t="str">
        <f aca="false">IF(O475=0,"No August moorage transaction",IF(O475&gt;1,"Duplicate August transactions",IF(ABS(Q475)&gt;0.005,"Charge variance","OK")))</f>
        <v>OK</v>
      </c>
      <c r="S475" s="22" t="str">
        <f aca="false">IF(R475="OK","","Billing completeness/reconciliation")</f>
        <v/>
      </c>
    </row>
    <row r="476" customFormat="false" ht="15" hidden="false" customHeight="false" outlineLevel="0" collapsed="false">
      <c r="A476" s="22" t="s">
        <v>7699</v>
      </c>
      <c r="B476" s="22" t="s">
        <v>215</v>
      </c>
      <c r="C476" s="22" t="s">
        <v>7694</v>
      </c>
      <c r="D476" s="22" t="n">
        <v>36</v>
      </c>
      <c r="E476" s="22" t="s">
        <v>7696</v>
      </c>
      <c r="F476" s="22" t="s">
        <v>6577</v>
      </c>
      <c r="G476" s="22" t="s">
        <v>597</v>
      </c>
      <c r="H476" s="22" t="s">
        <v>598</v>
      </c>
      <c r="I476" s="22" t="s">
        <v>599</v>
      </c>
      <c r="J476" s="22" t="n">
        <v>42.6</v>
      </c>
      <c r="K476" s="22" t="n">
        <f aca="false">ROUNDUP(J476,0)</f>
        <v>43</v>
      </c>
      <c r="L476" s="22" t="n">
        <f aca="false">MAX(D476,K476)</f>
        <v>43</v>
      </c>
      <c r="M476" s="25" t="n">
        <f aca="false">IF(E476="COVERED",'Controls &amp; Sources'!$B$5,'Controls &amp; Sources'!$B$6)</f>
        <v>7.55</v>
      </c>
      <c r="N476" s="25" t="n">
        <f aca="false">L476*M476</f>
        <v>324.65</v>
      </c>
      <c r="O476" s="22" t="n">
        <f aca="false">COUNTIFS('Billing Actual'!$E$2:$E$770,A476,'Billing Actual'!$B$2:$B$770,'Controls &amp; Sources'!$B$7)</f>
        <v>1</v>
      </c>
      <c r="P476" s="25" t="n">
        <f aca="false">SUMIFS('Billing Actual'!$M$2:$M$770,'Billing Actual'!$E$2:$E$770,A476,'Billing Actual'!$B$2:$B$770,'Controls &amp; Sources'!$B$7)</f>
        <v>324.65</v>
      </c>
      <c r="Q476" s="25" t="n">
        <f aca="false">P476-N476</f>
        <v>0</v>
      </c>
      <c r="R476" s="22" t="str">
        <f aca="false">IF(O476=0,"No August moorage transaction",IF(O476&gt;1,"Duplicate August transactions",IF(ABS(Q476)&gt;0.005,"Charge variance","OK")))</f>
        <v>OK</v>
      </c>
      <c r="S476" s="22" t="str">
        <f aca="false">IF(R476="OK","","Billing completeness/reconciliation")</f>
        <v/>
      </c>
    </row>
    <row r="477" customFormat="false" ht="15" hidden="false" customHeight="false" outlineLevel="0" collapsed="false">
      <c r="A477" s="22" t="s">
        <v>7701</v>
      </c>
      <c r="B477" s="22" t="s">
        <v>215</v>
      </c>
      <c r="C477" s="22" t="s">
        <v>7694</v>
      </c>
      <c r="D477" s="22" t="n">
        <v>36</v>
      </c>
      <c r="E477" s="22" t="s">
        <v>7696</v>
      </c>
      <c r="F477" s="22" t="s">
        <v>6577</v>
      </c>
      <c r="G477" s="22" t="s">
        <v>5223</v>
      </c>
      <c r="H477" s="22" t="s">
        <v>5224</v>
      </c>
      <c r="I477" s="22" t="s">
        <v>4476</v>
      </c>
      <c r="J477" s="22" t="n">
        <v>60.2</v>
      </c>
      <c r="K477" s="22" t="n">
        <f aca="false">ROUNDUP(J477,0)</f>
        <v>61</v>
      </c>
      <c r="L477" s="22" t="n">
        <f aca="false">MAX(D477,K477)</f>
        <v>61</v>
      </c>
      <c r="M477" s="25" t="n">
        <f aca="false">IF(E477="COVERED",'Controls &amp; Sources'!$B$5,'Controls &amp; Sources'!$B$6)</f>
        <v>7.55</v>
      </c>
      <c r="N477" s="25" t="n">
        <f aca="false">L477*M477</f>
        <v>460.55</v>
      </c>
      <c r="O477" s="22" t="n">
        <f aca="false">COUNTIFS('Billing Actual'!$E$2:$E$770,A477,'Billing Actual'!$B$2:$B$770,'Controls &amp; Sources'!$B$7)</f>
        <v>1</v>
      </c>
      <c r="P477" s="25" t="n">
        <f aca="false">SUMIFS('Billing Actual'!$M$2:$M$770,'Billing Actual'!$E$2:$E$770,A477,'Billing Actual'!$B$2:$B$770,'Controls &amp; Sources'!$B$7)</f>
        <v>460.55</v>
      </c>
      <c r="Q477" s="25" t="n">
        <f aca="false">P477-N477</f>
        <v>0</v>
      </c>
      <c r="R477" s="22" t="str">
        <f aca="false">IF(O477=0,"No August moorage transaction",IF(O477&gt;1,"Duplicate August transactions",IF(ABS(Q477)&gt;0.005,"Charge variance","OK")))</f>
        <v>OK</v>
      </c>
      <c r="S477" s="22" t="str">
        <f aca="false">IF(R477="OK","","Billing completeness/reconciliation")</f>
        <v/>
      </c>
    </row>
    <row r="478" customFormat="false" ht="15" hidden="false" customHeight="false" outlineLevel="0" collapsed="false">
      <c r="A478" s="22" t="s">
        <v>7703</v>
      </c>
      <c r="B478" s="22" t="s">
        <v>215</v>
      </c>
      <c r="C478" s="22" t="s">
        <v>7694</v>
      </c>
      <c r="D478" s="22" t="n">
        <v>45</v>
      </c>
      <c r="E478" s="22" t="s">
        <v>7696</v>
      </c>
      <c r="F478" s="22" t="s">
        <v>6577</v>
      </c>
      <c r="G478" s="22" t="s">
        <v>5497</v>
      </c>
      <c r="H478" s="22" t="s">
        <v>5498</v>
      </c>
      <c r="I478" s="22" t="s">
        <v>1940</v>
      </c>
      <c r="J478" s="22" t="n">
        <v>47.5</v>
      </c>
      <c r="K478" s="22" t="n">
        <f aca="false">ROUNDUP(J478,0)</f>
        <v>48</v>
      </c>
      <c r="L478" s="22" t="n">
        <f aca="false">MAX(D478,K478)</f>
        <v>48</v>
      </c>
      <c r="M478" s="25" t="n">
        <f aca="false">IF(E478="COVERED",'Controls &amp; Sources'!$B$5,'Controls &amp; Sources'!$B$6)</f>
        <v>7.55</v>
      </c>
      <c r="N478" s="25" t="n">
        <f aca="false">L478*M478</f>
        <v>362.4</v>
      </c>
      <c r="O478" s="22" t="n">
        <f aca="false">COUNTIFS('Billing Actual'!$E$2:$E$770,A478,'Billing Actual'!$B$2:$B$770,'Controls &amp; Sources'!$B$7)</f>
        <v>1</v>
      </c>
      <c r="P478" s="25" t="n">
        <f aca="false">SUMIFS('Billing Actual'!$M$2:$M$770,'Billing Actual'!$E$2:$E$770,A478,'Billing Actual'!$B$2:$B$770,'Controls &amp; Sources'!$B$7)</f>
        <v>362.4</v>
      </c>
      <c r="Q478" s="25" t="n">
        <f aca="false">P478-N478</f>
        <v>0</v>
      </c>
      <c r="R478" s="22" t="str">
        <f aca="false">IF(O478=0,"No August moorage transaction",IF(O478&gt;1,"Duplicate August transactions",IF(ABS(Q478)&gt;0.005,"Charge variance","OK")))</f>
        <v>OK</v>
      </c>
      <c r="S478" s="22" t="str">
        <f aca="false">IF(R478="OK","","Billing completeness/reconciliation")</f>
        <v/>
      </c>
    </row>
    <row r="479" customFormat="false" ht="15" hidden="false" customHeight="false" outlineLevel="0" collapsed="false">
      <c r="A479" s="22" t="s">
        <v>7706</v>
      </c>
      <c r="B479" s="22" t="s">
        <v>215</v>
      </c>
      <c r="C479" s="22" t="s">
        <v>7694</v>
      </c>
      <c r="D479" s="22" t="n">
        <v>28</v>
      </c>
      <c r="E479" s="22" t="s">
        <v>7696</v>
      </c>
      <c r="F479" s="22" t="s">
        <v>6577</v>
      </c>
      <c r="G479" s="22" t="s">
        <v>1176</v>
      </c>
      <c r="H479" s="22" t="s">
        <v>1177</v>
      </c>
      <c r="I479" s="22" t="s">
        <v>1178</v>
      </c>
      <c r="J479" s="22" t="n">
        <v>23.7</v>
      </c>
      <c r="K479" s="22" t="n">
        <f aca="false">ROUNDUP(J479,0)</f>
        <v>24</v>
      </c>
      <c r="L479" s="22" t="n">
        <f aca="false">MAX(D479,K479)</f>
        <v>28</v>
      </c>
      <c r="M479" s="25" t="n">
        <f aca="false">IF(E479="COVERED",'Controls &amp; Sources'!$B$5,'Controls &amp; Sources'!$B$6)</f>
        <v>7.55</v>
      </c>
      <c r="N479" s="25" t="n">
        <f aca="false">L479*M479</f>
        <v>211.4</v>
      </c>
      <c r="O479" s="22" t="n">
        <f aca="false">COUNTIFS('Billing Actual'!$E$2:$E$770,A479,'Billing Actual'!$B$2:$B$770,'Controls &amp; Sources'!$B$7)</f>
        <v>1</v>
      </c>
      <c r="P479" s="25" t="n">
        <f aca="false">SUMIFS('Billing Actual'!$M$2:$M$770,'Billing Actual'!$E$2:$E$770,A479,'Billing Actual'!$B$2:$B$770,'Controls &amp; Sources'!$B$7)</f>
        <v>211.4</v>
      </c>
      <c r="Q479" s="25" t="n">
        <f aca="false">P479-N479</f>
        <v>0</v>
      </c>
      <c r="R479" s="22" t="str">
        <f aca="false">IF(O479=0,"No August moorage transaction",IF(O479&gt;1,"Duplicate August transactions",IF(ABS(Q479)&gt;0.005,"Charge variance","OK")))</f>
        <v>OK</v>
      </c>
      <c r="S479" s="22" t="str">
        <f aca="false">IF(R479="OK","","Billing completeness/reconciliation")</f>
        <v/>
      </c>
    </row>
    <row r="480" customFormat="false" ht="15" hidden="false" customHeight="false" outlineLevel="0" collapsed="false">
      <c r="A480" s="22" t="s">
        <v>7708</v>
      </c>
      <c r="B480" s="22" t="s">
        <v>215</v>
      </c>
      <c r="C480" s="22" t="s">
        <v>7694</v>
      </c>
      <c r="D480" s="22" t="n">
        <v>40</v>
      </c>
      <c r="E480" s="22" t="s">
        <v>7696</v>
      </c>
      <c r="F480" s="22" t="s">
        <v>6577</v>
      </c>
      <c r="G480" s="22" t="s">
        <v>2796</v>
      </c>
      <c r="H480" s="22" t="s">
        <v>2797</v>
      </c>
      <c r="I480" s="22" t="s">
        <v>1037</v>
      </c>
      <c r="J480" s="22" t="n">
        <v>59.3</v>
      </c>
      <c r="K480" s="22" t="n">
        <f aca="false">ROUNDUP(J480,0)</f>
        <v>60</v>
      </c>
      <c r="L480" s="22" t="n">
        <f aca="false">MAX(D480,K480)</f>
        <v>60</v>
      </c>
      <c r="M480" s="25" t="n">
        <f aca="false">IF(E480="COVERED",'Controls &amp; Sources'!$B$5,'Controls &amp; Sources'!$B$6)</f>
        <v>7.55</v>
      </c>
      <c r="N480" s="25" t="n">
        <f aca="false">L480*M480</f>
        <v>453</v>
      </c>
      <c r="O480" s="22" t="n">
        <f aca="false">COUNTIFS('Billing Actual'!$E$2:$E$770,A480,'Billing Actual'!$B$2:$B$770,'Controls &amp; Sources'!$B$7)</f>
        <v>1</v>
      </c>
      <c r="P480" s="25" t="n">
        <f aca="false">SUMIFS('Billing Actual'!$M$2:$M$770,'Billing Actual'!$E$2:$E$770,A480,'Billing Actual'!$B$2:$B$770,'Controls &amp; Sources'!$B$7)</f>
        <v>453</v>
      </c>
      <c r="Q480" s="25" t="n">
        <f aca="false">P480-N480</f>
        <v>0</v>
      </c>
      <c r="R480" s="22" t="str">
        <f aca="false">IF(O480=0,"No August moorage transaction",IF(O480&gt;1,"Duplicate August transactions",IF(ABS(Q480)&gt;0.005,"Charge variance","OK")))</f>
        <v>OK</v>
      </c>
      <c r="S480" s="22" t="str">
        <f aca="false">IF(R480="OK","","Billing completeness/reconciliation")</f>
        <v/>
      </c>
    </row>
    <row r="481" customFormat="false" ht="15" hidden="false" customHeight="false" outlineLevel="0" collapsed="false">
      <c r="A481" s="22" t="s">
        <v>7709</v>
      </c>
      <c r="B481" s="22" t="s">
        <v>215</v>
      </c>
      <c r="C481" s="22" t="s">
        <v>7694</v>
      </c>
      <c r="D481" s="22" t="n">
        <v>60</v>
      </c>
      <c r="E481" s="22" t="s">
        <v>7696</v>
      </c>
      <c r="F481" s="22" t="s">
        <v>6577</v>
      </c>
      <c r="G481" s="22" t="s">
        <v>5987</v>
      </c>
      <c r="H481" s="22" t="s">
        <v>5988</v>
      </c>
      <c r="I481" s="22" t="s">
        <v>2423</v>
      </c>
      <c r="J481" s="22" t="n">
        <v>30.9</v>
      </c>
      <c r="K481" s="22" t="n">
        <f aca="false">ROUNDUP(J481,0)</f>
        <v>31</v>
      </c>
      <c r="L481" s="22" t="n">
        <f aca="false">MAX(D481,K481)</f>
        <v>60</v>
      </c>
      <c r="M481" s="25" t="n">
        <f aca="false">IF(E481="COVERED",'Controls &amp; Sources'!$B$5,'Controls &amp; Sources'!$B$6)</f>
        <v>7.55</v>
      </c>
      <c r="N481" s="25" t="n">
        <f aca="false">L481*M481</f>
        <v>453</v>
      </c>
      <c r="O481" s="22" t="n">
        <f aca="false">COUNTIFS('Billing Actual'!$E$2:$E$770,A481,'Billing Actual'!$B$2:$B$770,'Controls &amp; Sources'!$B$7)</f>
        <v>1</v>
      </c>
      <c r="P481" s="25" t="n">
        <f aca="false">SUMIFS('Billing Actual'!$M$2:$M$770,'Billing Actual'!$E$2:$E$770,A481,'Billing Actual'!$B$2:$B$770,'Controls &amp; Sources'!$B$7)</f>
        <v>453</v>
      </c>
      <c r="Q481" s="25" t="n">
        <f aca="false">P481-N481</f>
        <v>0</v>
      </c>
      <c r="R481" s="22" t="str">
        <f aca="false">IF(O481=0,"No August moorage transaction",IF(O481&gt;1,"Duplicate August transactions",IF(ABS(Q481)&gt;0.005,"Charge variance","OK")))</f>
        <v>OK</v>
      </c>
      <c r="S481" s="22" t="str">
        <f aca="false">IF(R481="OK","","Billing completeness/reconciliation")</f>
        <v/>
      </c>
    </row>
    <row r="482" customFormat="false" ht="15" hidden="false" customHeight="false" outlineLevel="0" collapsed="false">
      <c r="A482" s="22" t="s">
        <v>7710</v>
      </c>
      <c r="B482" s="22" t="s">
        <v>215</v>
      </c>
      <c r="C482" s="22" t="s">
        <v>7694</v>
      </c>
      <c r="D482" s="22" t="n">
        <v>28</v>
      </c>
      <c r="E482" s="22" t="s">
        <v>7696</v>
      </c>
      <c r="F482" s="22" t="s">
        <v>6577</v>
      </c>
      <c r="G482" s="22" t="s">
        <v>2268</v>
      </c>
      <c r="H482" s="22" t="s">
        <v>2269</v>
      </c>
      <c r="I482" s="22" t="s">
        <v>1764</v>
      </c>
      <c r="J482" s="22" t="n">
        <v>36.3</v>
      </c>
      <c r="K482" s="22" t="n">
        <f aca="false">ROUNDUP(J482,0)</f>
        <v>37</v>
      </c>
      <c r="L482" s="22" t="n">
        <f aca="false">MAX(D482,K482)</f>
        <v>37</v>
      </c>
      <c r="M482" s="25" t="n">
        <f aca="false">IF(E482="COVERED",'Controls &amp; Sources'!$B$5,'Controls &amp; Sources'!$B$6)</f>
        <v>7.55</v>
      </c>
      <c r="N482" s="25" t="n">
        <f aca="false">L482*M482</f>
        <v>279.35</v>
      </c>
      <c r="O482" s="22" t="n">
        <f aca="false">COUNTIFS('Billing Actual'!$E$2:$E$770,A482,'Billing Actual'!$B$2:$B$770,'Controls &amp; Sources'!$B$7)</f>
        <v>1</v>
      </c>
      <c r="P482" s="25" t="n">
        <f aca="false">SUMIFS('Billing Actual'!$M$2:$M$770,'Billing Actual'!$E$2:$E$770,A482,'Billing Actual'!$B$2:$B$770,'Controls &amp; Sources'!$B$7)</f>
        <v>279.35</v>
      </c>
      <c r="Q482" s="25" t="n">
        <f aca="false">P482-N482</f>
        <v>0</v>
      </c>
      <c r="R482" s="22" t="str">
        <f aca="false">IF(O482=0,"No August moorage transaction",IF(O482&gt;1,"Duplicate August transactions",IF(ABS(Q482)&gt;0.005,"Charge variance","OK")))</f>
        <v>OK</v>
      </c>
      <c r="S482" s="22" t="str">
        <f aca="false">IF(R482="OK","","Billing completeness/reconciliation")</f>
        <v/>
      </c>
    </row>
    <row r="483" customFormat="false" ht="15" hidden="false" customHeight="false" outlineLevel="0" collapsed="false">
      <c r="A483" s="22" t="s">
        <v>7711</v>
      </c>
      <c r="B483" s="22" t="s">
        <v>215</v>
      </c>
      <c r="C483" s="22" t="s">
        <v>7694</v>
      </c>
      <c r="D483" s="22" t="n">
        <v>28</v>
      </c>
      <c r="E483" s="22" t="s">
        <v>7696</v>
      </c>
      <c r="F483" s="22" t="s">
        <v>6577</v>
      </c>
      <c r="G483" s="22" t="s">
        <v>1778</v>
      </c>
      <c r="H483" s="22" t="s">
        <v>1779</v>
      </c>
      <c r="I483" s="22" t="s">
        <v>1780</v>
      </c>
      <c r="J483" s="22" t="n">
        <v>43.9</v>
      </c>
      <c r="K483" s="22" t="n">
        <f aca="false">ROUNDUP(J483,0)</f>
        <v>44</v>
      </c>
      <c r="L483" s="22" t="n">
        <f aca="false">MAX(D483,K483)</f>
        <v>44</v>
      </c>
      <c r="M483" s="25" t="n">
        <f aca="false">IF(E483="COVERED",'Controls &amp; Sources'!$B$5,'Controls &amp; Sources'!$B$6)</f>
        <v>7.55</v>
      </c>
      <c r="N483" s="25" t="n">
        <f aca="false">L483*M483</f>
        <v>332.2</v>
      </c>
      <c r="O483" s="22" t="n">
        <f aca="false">COUNTIFS('Billing Actual'!$E$2:$E$770,A483,'Billing Actual'!$B$2:$B$770,'Controls &amp; Sources'!$B$7)</f>
        <v>1</v>
      </c>
      <c r="P483" s="25" t="n">
        <f aca="false">SUMIFS('Billing Actual'!$M$2:$M$770,'Billing Actual'!$E$2:$E$770,A483,'Billing Actual'!$B$2:$B$770,'Controls &amp; Sources'!$B$7)</f>
        <v>332.2</v>
      </c>
      <c r="Q483" s="25" t="n">
        <f aca="false">P483-N483</f>
        <v>0</v>
      </c>
      <c r="R483" s="22" t="str">
        <f aca="false">IF(O483=0,"No August moorage transaction",IF(O483&gt;1,"Duplicate August transactions",IF(ABS(Q483)&gt;0.005,"Charge variance","OK")))</f>
        <v>OK</v>
      </c>
      <c r="S483" s="22" t="str">
        <f aca="false">IF(R483="OK","","Billing completeness/reconciliation")</f>
        <v/>
      </c>
    </row>
    <row r="484" customFormat="false" ht="15" hidden="false" customHeight="false" outlineLevel="0" collapsed="false">
      <c r="A484" s="22" t="s">
        <v>7713</v>
      </c>
      <c r="B484" s="22" t="s">
        <v>215</v>
      </c>
      <c r="C484" s="22" t="s">
        <v>7694</v>
      </c>
      <c r="D484" s="22" t="n">
        <v>70</v>
      </c>
      <c r="E484" s="22" t="s">
        <v>7696</v>
      </c>
      <c r="F484" s="22" t="s">
        <v>6577</v>
      </c>
      <c r="G484" s="22" t="s">
        <v>1577</v>
      </c>
      <c r="H484" s="22" t="s">
        <v>1578</v>
      </c>
      <c r="I484" s="22" t="s">
        <v>1579</v>
      </c>
      <c r="J484" s="22" t="n">
        <v>38.7</v>
      </c>
      <c r="K484" s="22" t="n">
        <f aca="false">ROUNDUP(J484,0)</f>
        <v>39</v>
      </c>
      <c r="L484" s="22" t="n">
        <f aca="false">MAX(D484,K484)</f>
        <v>70</v>
      </c>
      <c r="M484" s="25" t="n">
        <f aca="false">IF(E484="COVERED",'Controls &amp; Sources'!$B$5,'Controls &amp; Sources'!$B$6)</f>
        <v>7.55</v>
      </c>
      <c r="N484" s="25" t="n">
        <f aca="false">L484*M484</f>
        <v>528.5</v>
      </c>
      <c r="O484" s="22" t="n">
        <f aca="false">COUNTIFS('Billing Actual'!$E$2:$E$770,A484,'Billing Actual'!$B$2:$B$770,'Controls &amp; Sources'!$B$7)</f>
        <v>1</v>
      </c>
      <c r="P484" s="25" t="n">
        <f aca="false">SUMIFS('Billing Actual'!$M$2:$M$770,'Billing Actual'!$E$2:$E$770,A484,'Billing Actual'!$B$2:$B$770,'Controls &amp; Sources'!$B$7)</f>
        <v>528.5</v>
      </c>
      <c r="Q484" s="25" t="n">
        <f aca="false">P484-N484</f>
        <v>0</v>
      </c>
      <c r="R484" s="22" t="str">
        <f aca="false">IF(O484=0,"No August moorage transaction",IF(O484&gt;1,"Duplicate August transactions",IF(ABS(Q484)&gt;0.005,"Charge variance","OK")))</f>
        <v>OK</v>
      </c>
      <c r="S484" s="22" t="str">
        <f aca="false">IF(R484="OK","","Billing completeness/reconciliation")</f>
        <v/>
      </c>
    </row>
    <row r="485" customFormat="false" ht="15" hidden="false" customHeight="false" outlineLevel="0" collapsed="false">
      <c r="A485" s="22" t="s">
        <v>7714</v>
      </c>
      <c r="B485" s="22" t="s">
        <v>215</v>
      </c>
      <c r="C485" s="22" t="s">
        <v>7694</v>
      </c>
      <c r="D485" s="22" t="n">
        <v>45</v>
      </c>
      <c r="E485" s="22" t="s">
        <v>7696</v>
      </c>
      <c r="F485" s="22" t="s">
        <v>6577</v>
      </c>
      <c r="G485" s="22" t="s">
        <v>1454</v>
      </c>
      <c r="H485" s="22" t="s">
        <v>1455</v>
      </c>
      <c r="I485" s="22" t="s">
        <v>1207</v>
      </c>
      <c r="J485" s="22" t="n">
        <v>61.3</v>
      </c>
      <c r="K485" s="22" t="n">
        <f aca="false">ROUNDUP(J485,0)</f>
        <v>62</v>
      </c>
      <c r="L485" s="22" t="n">
        <f aca="false">MAX(D485,K485)</f>
        <v>62</v>
      </c>
      <c r="M485" s="25" t="n">
        <f aca="false">IF(E485="COVERED",'Controls &amp; Sources'!$B$5,'Controls &amp; Sources'!$B$6)</f>
        <v>7.55</v>
      </c>
      <c r="N485" s="25" t="n">
        <f aca="false">L485*M485</f>
        <v>468.1</v>
      </c>
      <c r="O485" s="22" t="n">
        <f aca="false">COUNTIFS('Billing Actual'!$E$2:$E$770,A485,'Billing Actual'!$B$2:$B$770,'Controls &amp; Sources'!$B$7)</f>
        <v>1</v>
      </c>
      <c r="P485" s="25" t="n">
        <f aca="false">SUMIFS('Billing Actual'!$M$2:$M$770,'Billing Actual'!$E$2:$E$770,A485,'Billing Actual'!$B$2:$B$770,'Controls &amp; Sources'!$B$7)</f>
        <v>468.1</v>
      </c>
      <c r="Q485" s="25" t="n">
        <f aca="false">P485-N485</f>
        <v>0</v>
      </c>
      <c r="R485" s="22" t="str">
        <f aca="false">IF(O485=0,"No August moorage transaction",IF(O485&gt;1,"Duplicate August transactions",IF(ABS(Q485)&gt;0.005,"Charge variance","OK")))</f>
        <v>OK</v>
      </c>
      <c r="S485" s="22" t="str">
        <f aca="false">IF(R485="OK","","Billing completeness/reconciliation")</f>
        <v/>
      </c>
    </row>
    <row r="486" customFormat="false" ht="15" hidden="false" customHeight="false" outlineLevel="0" collapsed="false">
      <c r="A486" s="22" t="s">
        <v>7716</v>
      </c>
      <c r="B486" s="22" t="s">
        <v>215</v>
      </c>
      <c r="C486" s="22" t="s">
        <v>7694</v>
      </c>
      <c r="D486" s="22" t="n">
        <v>24</v>
      </c>
      <c r="E486" s="22" t="s">
        <v>7696</v>
      </c>
      <c r="F486" s="22" t="s">
        <v>6577</v>
      </c>
      <c r="G486" s="22" t="s">
        <v>5418</v>
      </c>
      <c r="H486" s="22" t="s">
        <v>5419</v>
      </c>
      <c r="I486" s="22" t="s">
        <v>885</v>
      </c>
      <c r="J486" s="22" t="n">
        <v>41.6</v>
      </c>
      <c r="K486" s="22" t="n">
        <f aca="false">ROUNDUP(J486,0)</f>
        <v>42</v>
      </c>
      <c r="L486" s="22" t="n">
        <f aca="false">MAX(D486,K486)</f>
        <v>42</v>
      </c>
      <c r="M486" s="25" t="n">
        <f aca="false">IF(E486="COVERED",'Controls &amp; Sources'!$B$5,'Controls &amp; Sources'!$B$6)</f>
        <v>7.55</v>
      </c>
      <c r="N486" s="25" t="n">
        <f aca="false">L486*M486</f>
        <v>317.1</v>
      </c>
      <c r="O486" s="22" t="n">
        <f aca="false">COUNTIFS('Billing Actual'!$E$2:$E$770,A486,'Billing Actual'!$B$2:$B$770,'Controls &amp; Sources'!$B$7)</f>
        <v>1</v>
      </c>
      <c r="P486" s="25" t="n">
        <f aca="false">SUMIFS('Billing Actual'!$M$2:$M$770,'Billing Actual'!$E$2:$E$770,A486,'Billing Actual'!$B$2:$B$770,'Controls &amp; Sources'!$B$7)</f>
        <v>317.1</v>
      </c>
      <c r="Q486" s="25" t="n">
        <f aca="false">P486-N486</f>
        <v>0</v>
      </c>
      <c r="R486" s="22" t="str">
        <f aca="false">IF(O486=0,"No August moorage transaction",IF(O486&gt;1,"Duplicate August transactions",IF(ABS(Q486)&gt;0.005,"Charge variance","OK")))</f>
        <v>OK</v>
      </c>
      <c r="S486" s="22" t="str">
        <f aca="false">IF(R486="OK","","Billing completeness/reconciliation")</f>
        <v/>
      </c>
    </row>
    <row r="487" customFormat="false" ht="15" hidden="false" customHeight="false" outlineLevel="0" collapsed="false">
      <c r="A487" s="22" t="s">
        <v>7718</v>
      </c>
      <c r="B487" s="22" t="s">
        <v>215</v>
      </c>
      <c r="C487" s="22" t="s">
        <v>7694</v>
      </c>
      <c r="D487" s="22" t="n">
        <v>32</v>
      </c>
      <c r="E487" s="22" t="s">
        <v>7696</v>
      </c>
      <c r="F487" s="22" t="s">
        <v>6577</v>
      </c>
      <c r="G487" s="22" t="s">
        <v>2218</v>
      </c>
      <c r="H487" s="22" t="s">
        <v>2219</v>
      </c>
      <c r="I487" s="22" t="s">
        <v>1423</v>
      </c>
      <c r="J487" s="22" t="n">
        <v>38.4</v>
      </c>
      <c r="K487" s="22" t="n">
        <f aca="false">ROUNDUP(J487,0)</f>
        <v>39</v>
      </c>
      <c r="L487" s="22" t="n">
        <f aca="false">MAX(D487,K487)</f>
        <v>39</v>
      </c>
      <c r="M487" s="25" t="n">
        <f aca="false">IF(E487="COVERED",'Controls &amp; Sources'!$B$5,'Controls &amp; Sources'!$B$6)</f>
        <v>7.55</v>
      </c>
      <c r="N487" s="25" t="n">
        <f aca="false">L487*M487</f>
        <v>294.45</v>
      </c>
      <c r="O487" s="22" t="n">
        <f aca="false">COUNTIFS('Billing Actual'!$E$2:$E$770,A487,'Billing Actual'!$B$2:$B$770,'Controls &amp; Sources'!$B$7)</f>
        <v>1</v>
      </c>
      <c r="P487" s="25" t="n">
        <f aca="false">SUMIFS('Billing Actual'!$M$2:$M$770,'Billing Actual'!$E$2:$E$770,A487,'Billing Actual'!$B$2:$B$770,'Controls &amp; Sources'!$B$7)</f>
        <v>294.45</v>
      </c>
      <c r="Q487" s="25" t="n">
        <f aca="false">P487-N487</f>
        <v>0</v>
      </c>
      <c r="R487" s="22" t="str">
        <f aca="false">IF(O487=0,"No August moorage transaction",IF(O487&gt;1,"Duplicate August transactions",IF(ABS(Q487)&gt;0.005,"Charge variance","OK")))</f>
        <v>OK</v>
      </c>
      <c r="S487" s="22" t="str">
        <f aca="false">IF(R487="OK","","Billing completeness/reconciliation")</f>
        <v/>
      </c>
    </row>
    <row r="488" customFormat="false" ht="15" hidden="false" customHeight="false" outlineLevel="0" collapsed="false">
      <c r="A488" s="22" t="s">
        <v>7719</v>
      </c>
      <c r="B488" s="22" t="s">
        <v>215</v>
      </c>
      <c r="C488" s="22" t="s">
        <v>7694</v>
      </c>
      <c r="D488" s="22" t="n">
        <v>32</v>
      </c>
      <c r="E488" s="22" t="s">
        <v>7696</v>
      </c>
      <c r="F488" s="22" t="s">
        <v>6577</v>
      </c>
      <c r="G488" s="22" t="s">
        <v>3827</v>
      </c>
      <c r="H488" s="22" t="s">
        <v>3828</v>
      </c>
      <c r="I488" s="22" t="s">
        <v>2201</v>
      </c>
      <c r="J488" s="22" t="n">
        <v>25.7</v>
      </c>
      <c r="K488" s="22" t="n">
        <f aca="false">ROUNDUP(J488,0)</f>
        <v>26</v>
      </c>
      <c r="L488" s="22" t="n">
        <f aca="false">MAX(D488,K488)</f>
        <v>32</v>
      </c>
      <c r="M488" s="25" t="n">
        <f aca="false">IF(E488="COVERED",'Controls &amp; Sources'!$B$5,'Controls &amp; Sources'!$B$6)</f>
        <v>7.55</v>
      </c>
      <c r="N488" s="25" t="n">
        <f aca="false">L488*M488</f>
        <v>241.6</v>
      </c>
      <c r="O488" s="22" t="n">
        <f aca="false">COUNTIFS('Billing Actual'!$E$2:$E$770,A488,'Billing Actual'!$B$2:$B$770,'Controls &amp; Sources'!$B$7)</f>
        <v>1</v>
      </c>
      <c r="P488" s="25" t="n">
        <f aca="false">SUMIFS('Billing Actual'!$M$2:$M$770,'Billing Actual'!$E$2:$E$770,A488,'Billing Actual'!$B$2:$B$770,'Controls &amp; Sources'!$B$7)</f>
        <v>241.6</v>
      </c>
      <c r="Q488" s="25" t="n">
        <f aca="false">P488-N488</f>
        <v>0</v>
      </c>
      <c r="R488" s="22" t="str">
        <f aca="false">IF(O488=0,"No August moorage transaction",IF(O488&gt;1,"Duplicate August transactions",IF(ABS(Q488)&gt;0.005,"Charge variance","OK")))</f>
        <v>OK</v>
      </c>
      <c r="S488" s="22" t="str">
        <f aca="false">IF(R488="OK","","Billing completeness/reconciliation")</f>
        <v/>
      </c>
    </row>
    <row r="489" customFormat="false" ht="15" hidden="false" customHeight="false" outlineLevel="0" collapsed="false">
      <c r="A489" s="22" t="s">
        <v>7723</v>
      </c>
      <c r="B489" s="22" t="s">
        <v>215</v>
      </c>
      <c r="C489" s="22" t="s">
        <v>7694</v>
      </c>
      <c r="D489" s="22" t="n">
        <v>45</v>
      </c>
      <c r="E489" s="22" t="s">
        <v>7696</v>
      </c>
      <c r="F489" s="22" t="s">
        <v>6577</v>
      </c>
      <c r="G489" s="22" t="s">
        <v>5683</v>
      </c>
      <c r="H489" s="22" t="s">
        <v>5684</v>
      </c>
      <c r="I489" s="22" t="s">
        <v>885</v>
      </c>
      <c r="J489" s="22" t="n">
        <v>48.3</v>
      </c>
      <c r="K489" s="22" t="n">
        <f aca="false">ROUNDUP(J489,0)</f>
        <v>49</v>
      </c>
      <c r="L489" s="22" t="n">
        <f aca="false">MAX(D489,K489)</f>
        <v>49</v>
      </c>
      <c r="M489" s="25" t="n">
        <f aca="false">IF(E489="COVERED",'Controls &amp; Sources'!$B$5,'Controls &amp; Sources'!$B$6)</f>
        <v>7.55</v>
      </c>
      <c r="N489" s="25" t="n">
        <f aca="false">L489*M489</f>
        <v>369.95</v>
      </c>
      <c r="O489" s="22" t="n">
        <f aca="false">COUNTIFS('Billing Actual'!$E$2:$E$770,A489,'Billing Actual'!$B$2:$B$770,'Controls &amp; Sources'!$B$7)</f>
        <v>1</v>
      </c>
      <c r="P489" s="25" t="n">
        <f aca="false">SUMIFS('Billing Actual'!$M$2:$M$770,'Billing Actual'!$E$2:$E$770,A489,'Billing Actual'!$B$2:$B$770,'Controls &amp; Sources'!$B$7)</f>
        <v>369.95</v>
      </c>
      <c r="Q489" s="25" t="n">
        <f aca="false">P489-N489</f>
        <v>0</v>
      </c>
      <c r="R489" s="22" t="str">
        <f aca="false">IF(O489=0,"No August moorage transaction",IF(O489&gt;1,"Duplicate August transactions",IF(ABS(Q489)&gt;0.005,"Charge variance","OK")))</f>
        <v>OK</v>
      </c>
      <c r="S489" s="22" t="str">
        <f aca="false">IF(R489="OK","","Billing completeness/reconciliation")</f>
        <v/>
      </c>
    </row>
    <row r="490" customFormat="false" ht="15" hidden="false" customHeight="false" outlineLevel="0" collapsed="false">
      <c r="A490" s="22" t="s">
        <v>7724</v>
      </c>
      <c r="B490" s="22" t="s">
        <v>215</v>
      </c>
      <c r="C490" s="22" t="s">
        <v>7694</v>
      </c>
      <c r="D490" s="22" t="n">
        <v>32</v>
      </c>
      <c r="E490" s="22" t="s">
        <v>7696</v>
      </c>
      <c r="F490" s="22" t="s">
        <v>6577</v>
      </c>
      <c r="G490" s="22" t="s">
        <v>3539</v>
      </c>
      <c r="H490" s="22" t="s">
        <v>3540</v>
      </c>
      <c r="I490" s="22" t="s">
        <v>752</v>
      </c>
      <c r="J490" s="22" t="n">
        <v>48.3</v>
      </c>
      <c r="K490" s="22" t="n">
        <f aca="false">ROUNDUP(J490,0)</f>
        <v>49</v>
      </c>
      <c r="L490" s="22" t="n">
        <f aca="false">MAX(D490,K490)</f>
        <v>49</v>
      </c>
      <c r="M490" s="25" t="n">
        <f aca="false">IF(E490="COVERED",'Controls &amp; Sources'!$B$5,'Controls &amp; Sources'!$B$6)</f>
        <v>7.55</v>
      </c>
      <c r="N490" s="25" t="n">
        <f aca="false">L490*M490</f>
        <v>369.95</v>
      </c>
      <c r="O490" s="22" t="n">
        <f aca="false">COUNTIFS('Billing Actual'!$E$2:$E$770,A490,'Billing Actual'!$B$2:$B$770,'Controls &amp; Sources'!$B$7)</f>
        <v>1</v>
      </c>
      <c r="P490" s="25" t="n">
        <f aca="false">SUMIFS('Billing Actual'!$M$2:$M$770,'Billing Actual'!$E$2:$E$770,A490,'Billing Actual'!$B$2:$B$770,'Controls &amp; Sources'!$B$7)</f>
        <v>369.95</v>
      </c>
      <c r="Q490" s="25" t="n">
        <f aca="false">P490-N490</f>
        <v>0</v>
      </c>
      <c r="R490" s="22" t="str">
        <f aca="false">IF(O490=0,"No August moorage transaction",IF(O490&gt;1,"Duplicate August transactions",IF(ABS(Q490)&gt;0.005,"Charge variance","OK")))</f>
        <v>OK</v>
      </c>
      <c r="S490" s="22" t="str">
        <f aca="false">IF(R490="OK","","Billing completeness/reconciliation")</f>
        <v/>
      </c>
    </row>
    <row r="491" customFormat="false" ht="15" hidden="false" customHeight="false" outlineLevel="0" collapsed="false">
      <c r="A491" s="22" t="s">
        <v>7725</v>
      </c>
      <c r="B491" s="22" t="s">
        <v>215</v>
      </c>
      <c r="C491" s="22" t="s">
        <v>7694</v>
      </c>
      <c r="D491" s="22" t="n">
        <v>80</v>
      </c>
      <c r="E491" s="22" t="s">
        <v>7696</v>
      </c>
      <c r="F491" s="22" t="s">
        <v>6577</v>
      </c>
      <c r="G491" s="22" t="s">
        <v>2968</v>
      </c>
      <c r="H491" s="22" t="s">
        <v>2969</v>
      </c>
      <c r="I491" s="22" t="s">
        <v>632</v>
      </c>
      <c r="J491" s="22" t="n">
        <v>59.3</v>
      </c>
      <c r="K491" s="22" t="n">
        <f aca="false">ROUNDUP(J491,0)</f>
        <v>60</v>
      </c>
      <c r="L491" s="22" t="n">
        <f aca="false">MAX(D491,K491)</f>
        <v>80</v>
      </c>
      <c r="M491" s="25" t="n">
        <f aca="false">IF(E491="COVERED",'Controls &amp; Sources'!$B$5,'Controls &amp; Sources'!$B$6)</f>
        <v>7.55</v>
      </c>
      <c r="N491" s="25" t="n">
        <f aca="false">L491*M491</f>
        <v>604</v>
      </c>
      <c r="O491" s="22" t="n">
        <f aca="false">COUNTIFS('Billing Actual'!$E$2:$E$770,A491,'Billing Actual'!$B$2:$B$770,'Controls &amp; Sources'!$B$7)</f>
        <v>1</v>
      </c>
      <c r="P491" s="25" t="n">
        <f aca="false">SUMIFS('Billing Actual'!$M$2:$M$770,'Billing Actual'!$E$2:$E$770,A491,'Billing Actual'!$B$2:$B$770,'Controls &amp; Sources'!$B$7)</f>
        <v>604</v>
      </c>
      <c r="Q491" s="25" t="n">
        <f aca="false">P491-N491</f>
        <v>0</v>
      </c>
      <c r="R491" s="22" t="str">
        <f aca="false">IF(O491=0,"No August moorage transaction",IF(O491&gt;1,"Duplicate August transactions",IF(ABS(Q491)&gt;0.005,"Charge variance","OK")))</f>
        <v>OK</v>
      </c>
      <c r="S491" s="22" t="str">
        <f aca="false">IF(R491="OK","","Billing completeness/reconciliation")</f>
        <v/>
      </c>
    </row>
    <row r="492" customFormat="false" ht="15" hidden="false" customHeight="false" outlineLevel="0" collapsed="false">
      <c r="A492" s="22" t="s">
        <v>7726</v>
      </c>
      <c r="B492" s="22" t="s">
        <v>215</v>
      </c>
      <c r="C492" s="22" t="s">
        <v>7694</v>
      </c>
      <c r="D492" s="22" t="n">
        <v>28</v>
      </c>
      <c r="E492" s="22" t="s">
        <v>7696</v>
      </c>
      <c r="F492" s="22" t="s">
        <v>6577</v>
      </c>
      <c r="G492" s="22" t="s">
        <v>529</v>
      </c>
      <c r="H492" s="22" t="s">
        <v>530</v>
      </c>
      <c r="I492" s="22" t="s">
        <v>204</v>
      </c>
      <c r="J492" s="22" t="n">
        <v>37.9</v>
      </c>
      <c r="K492" s="22" t="n">
        <f aca="false">ROUNDUP(J492,0)</f>
        <v>38</v>
      </c>
      <c r="L492" s="22" t="n">
        <f aca="false">MAX(D492,K492)</f>
        <v>38</v>
      </c>
      <c r="M492" s="25" t="n">
        <f aca="false">IF(E492="COVERED",'Controls &amp; Sources'!$B$5,'Controls &amp; Sources'!$B$6)</f>
        <v>7.55</v>
      </c>
      <c r="N492" s="25" t="n">
        <f aca="false">L492*M492</f>
        <v>286.9</v>
      </c>
      <c r="O492" s="22" t="n">
        <f aca="false">COUNTIFS('Billing Actual'!$E$2:$E$770,A492,'Billing Actual'!$B$2:$B$770,'Controls &amp; Sources'!$B$7)</f>
        <v>1</v>
      </c>
      <c r="P492" s="25" t="n">
        <f aca="false">SUMIFS('Billing Actual'!$M$2:$M$770,'Billing Actual'!$E$2:$E$770,A492,'Billing Actual'!$B$2:$B$770,'Controls &amp; Sources'!$B$7)</f>
        <v>286.9</v>
      </c>
      <c r="Q492" s="25" t="n">
        <f aca="false">P492-N492</f>
        <v>0</v>
      </c>
      <c r="R492" s="22" t="str">
        <f aca="false">IF(O492=0,"No August moorage transaction",IF(O492&gt;1,"Duplicate August transactions",IF(ABS(Q492)&gt;0.005,"Charge variance","OK")))</f>
        <v>OK</v>
      </c>
      <c r="S492" s="22" t="str">
        <f aca="false">IF(R492="OK","","Billing completeness/reconciliation")</f>
        <v/>
      </c>
    </row>
    <row r="493" customFormat="false" ht="15" hidden="false" customHeight="false" outlineLevel="0" collapsed="false">
      <c r="A493" s="22" t="s">
        <v>7728</v>
      </c>
      <c r="B493" s="22" t="s">
        <v>215</v>
      </c>
      <c r="C493" s="22" t="s">
        <v>7694</v>
      </c>
      <c r="D493" s="22" t="n">
        <v>70</v>
      </c>
      <c r="E493" s="22" t="s">
        <v>7696</v>
      </c>
      <c r="F493" s="22" t="s">
        <v>6577</v>
      </c>
      <c r="G493" s="22" t="s">
        <v>6368</v>
      </c>
      <c r="H493" s="22" t="s">
        <v>6369</v>
      </c>
      <c r="I493" s="22" t="s">
        <v>1204</v>
      </c>
      <c r="J493" s="22" t="n">
        <v>25.7</v>
      </c>
      <c r="K493" s="22" t="n">
        <f aca="false">ROUNDUP(J493,0)</f>
        <v>26</v>
      </c>
      <c r="L493" s="22" t="n">
        <f aca="false">MAX(D493,K493)</f>
        <v>70</v>
      </c>
      <c r="M493" s="25" t="n">
        <f aca="false">IF(E493="COVERED",'Controls &amp; Sources'!$B$5,'Controls &amp; Sources'!$B$6)</f>
        <v>7.55</v>
      </c>
      <c r="N493" s="25" t="n">
        <f aca="false">L493*M493</f>
        <v>528.5</v>
      </c>
      <c r="O493" s="22" t="n">
        <f aca="false">COUNTIFS('Billing Actual'!$E$2:$E$770,A493,'Billing Actual'!$B$2:$B$770,'Controls &amp; Sources'!$B$7)</f>
        <v>1</v>
      </c>
      <c r="P493" s="25" t="n">
        <f aca="false">SUMIFS('Billing Actual'!$M$2:$M$770,'Billing Actual'!$E$2:$E$770,A493,'Billing Actual'!$B$2:$B$770,'Controls &amp; Sources'!$B$7)</f>
        <v>528.5</v>
      </c>
      <c r="Q493" s="25" t="n">
        <f aca="false">P493-N493</f>
        <v>0</v>
      </c>
      <c r="R493" s="22" t="str">
        <f aca="false">IF(O493=0,"No August moorage transaction",IF(O493&gt;1,"Duplicate August transactions",IF(ABS(Q493)&gt;0.005,"Charge variance","OK")))</f>
        <v>OK</v>
      </c>
      <c r="S493" s="22" t="str">
        <f aca="false">IF(R493="OK","","Billing completeness/reconciliation")</f>
        <v/>
      </c>
    </row>
    <row r="494" customFormat="false" ht="15" hidden="false" customHeight="false" outlineLevel="0" collapsed="false">
      <c r="A494" s="22" t="s">
        <v>7730</v>
      </c>
      <c r="B494" s="22" t="s">
        <v>215</v>
      </c>
      <c r="C494" s="22" t="s">
        <v>7694</v>
      </c>
      <c r="D494" s="22" t="n">
        <v>28</v>
      </c>
      <c r="E494" s="22" t="s">
        <v>7696</v>
      </c>
      <c r="F494" s="22" t="s">
        <v>6577</v>
      </c>
      <c r="G494" s="22" t="s">
        <v>5144</v>
      </c>
      <c r="H494" s="22" t="s">
        <v>5145</v>
      </c>
      <c r="I494" s="22" t="s">
        <v>1235</v>
      </c>
      <c r="J494" s="22" t="n">
        <v>44.4</v>
      </c>
      <c r="K494" s="22" t="n">
        <f aca="false">ROUNDUP(J494,0)</f>
        <v>45</v>
      </c>
      <c r="L494" s="22" t="n">
        <f aca="false">MAX(D494,K494)</f>
        <v>45</v>
      </c>
      <c r="M494" s="25" t="n">
        <f aca="false">IF(E494="COVERED",'Controls &amp; Sources'!$B$5,'Controls &amp; Sources'!$B$6)</f>
        <v>7.55</v>
      </c>
      <c r="N494" s="25" t="n">
        <f aca="false">L494*M494</f>
        <v>339.75</v>
      </c>
      <c r="O494" s="22" t="n">
        <f aca="false">COUNTIFS('Billing Actual'!$E$2:$E$770,A494,'Billing Actual'!$B$2:$B$770,'Controls &amp; Sources'!$B$7)</f>
        <v>1</v>
      </c>
      <c r="P494" s="25" t="n">
        <f aca="false">SUMIFS('Billing Actual'!$M$2:$M$770,'Billing Actual'!$E$2:$E$770,A494,'Billing Actual'!$B$2:$B$770,'Controls &amp; Sources'!$B$7)</f>
        <v>339.75</v>
      </c>
      <c r="Q494" s="25" t="n">
        <f aca="false">P494-N494</f>
        <v>0</v>
      </c>
      <c r="R494" s="22" t="str">
        <f aca="false">IF(O494=0,"No August moorage transaction",IF(O494&gt;1,"Duplicate August transactions",IF(ABS(Q494)&gt;0.005,"Charge variance","OK")))</f>
        <v>OK</v>
      </c>
      <c r="S494" s="22" t="str">
        <f aca="false">IF(R494="OK","","Billing completeness/reconciliation")</f>
        <v/>
      </c>
    </row>
    <row r="495" customFormat="false" ht="15" hidden="false" customHeight="false" outlineLevel="0" collapsed="false">
      <c r="A495" s="22" t="s">
        <v>7731</v>
      </c>
      <c r="B495" s="22" t="s">
        <v>215</v>
      </c>
      <c r="C495" s="22" t="s">
        <v>7694</v>
      </c>
      <c r="D495" s="22" t="n">
        <v>32</v>
      </c>
      <c r="E495" s="22" t="s">
        <v>7696</v>
      </c>
      <c r="F495" s="22" t="s">
        <v>6577</v>
      </c>
      <c r="G495" s="22" t="s">
        <v>5459</v>
      </c>
      <c r="H495" s="22" t="s">
        <v>5460</v>
      </c>
      <c r="I495" s="22" t="s">
        <v>962</v>
      </c>
      <c r="J495" s="22" t="n">
        <v>55.7</v>
      </c>
      <c r="K495" s="22" t="n">
        <f aca="false">ROUNDUP(J495,0)</f>
        <v>56</v>
      </c>
      <c r="L495" s="22" t="n">
        <f aca="false">MAX(D495,K495)</f>
        <v>56</v>
      </c>
      <c r="M495" s="25" t="n">
        <f aca="false">IF(E495="COVERED",'Controls &amp; Sources'!$B$5,'Controls &amp; Sources'!$B$6)</f>
        <v>7.55</v>
      </c>
      <c r="N495" s="25" t="n">
        <f aca="false">L495*M495</f>
        <v>422.8</v>
      </c>
      <c r="O495" s="22" t="n">
        <f aca="false">COUNTIFS('Billing Actual'!$E$2:$E$770,A495,'Billing Actual'!$B$2:$B$770,'Controls &amp; Sources'!$B$7)</f>
        <v>1</v>
      </c>
      <c r="P495" s="25" t="n">
        <f aca="false">SUMIFS('Billing Actual'!$M$2:$M$770,'Billing Actual'!$E$2:$E$770,A495,'Billing Actual'!$B$2:$B$770,'Controls &amp; Sources'!$B$7)</f>
        <v>422.8</v>
      </c>
      <c r="Q495" s="25" t="n">
        <f aca="false">P495-N495</f>
        <v>0</v>
      </c>
      <c r="R495" s="22" t="str">
        <f aca="false">IF(O495=0,"No August moorage transaction",IF(O495&gt;1,"Duplicate August transactions",IF(ABS(Q495)&gt;0.005,"Charge variance","OK")))</f>
        <v>OK</v>
      </c>
      <c r="S495" s="22" t="str">
        <f aca="false">IF(R495="OK","","Billing completeness/reconciliation")</f>
        <v/>
      </c>
    </row>
    <row r="496" customFormat="false" ht="15" hidden="false" customHeight="false" outlineLevel="0" collapsed="false">
      <c r="A496" s="22" t="s">
        <v>7733</v>
      </c>
      <c r="B496" s="22" t="s">
        <v>215</v>
      </c>
      <c r="C496" s="22" t="s">
        <v>7694</v>
      </c>
      <c r="D496" s="22" t="n">
        <v>36</v>
      </c>
      <c r="E496" s="22" t="s">
        <v>7696</v>
      </c>
      <c r="F496" s="22" t="s">
        <v>6577</v>
      </c>
      <c r="G496" s="22" t="s">
        <v>4359</v>
      </c>
      <c r="H496" s="22" t="s">
        <v>4360</v>
      </c>
      <c r="I496" s="22" t="s">
        <v>312</v>
      </c>
      <c r="J496" s="22" t="n">
        <v>39.3</v>
      </c>
      <c r="K496" s="22" t="n">
        <f aca="false">ROUNDUP(J496,0)</f>
        <v>40</v>
      </c>
      <c r="L496" s="22" t="n">
        <f aca="false">MAX(D496,K496)</f>
        <v>40</v>
      </c>
      <c r="M496" s="25" t="n">
        <f aca="false">IF(E496="COVERED",'Controls &amp; Sources'!$B$5,'Controls &amp; Sources'!$B$6)</f>
        <v>7.55</v>
      </c>
      <c r="N496" s="25" t="n">
        <f aca="false">L496*M496</f>
        <v>302</v>
      </c>
      <c r="O496" s="22" t="n">
        <f aca="false">COUNTIFS('Billing Actual'!$E$2:$E$770,A496,'Billing Actual'!$B$2:$B$770,'Controls &amp; Sources'!$B$7)</f>
        <v>1</v>
      </c>
      <c r="P496" s="25" t="n">
        <f aca="false">SUMIFS('Billing Actual'!$M$2:$M$770,'Billing Actual'!$E$2:$E$770,A496,'Billing Actual'!$B$2:$B$770,'Controls &amp; Sources'!$B$7)</f>
        <v>302</v>
      </c>
      <c r="Q496" s="25" t="n">
        <f aca="false">P496-N496</f>
        <v>0</v>
      </c>
      <c r="R496" s="22" t="str">
        <f aca="false">IF(O496=0,"No August moorage transaction",IF(O496&gt;1,"Duplicate August transactions",IF(ABS(Q496)&gt;0.005,"Charge variance","OK")))</f>
        <v>OK</v>
      </c>
      <c r="S496" s="22" t="str">
        <f aca="false">IF(R496="OK","","Billing completeness/reconciliation")</f>
        <v/>
      </c>
    </row>
    <row r="497" customFormat="false" ht="15" hidden="false" customHeight="false" outlineLevel="0" collapsed="false">
      <c r="A497" s="22" t="s">
        <v>7735</v>
      </c>
      <c r="B497" s="22" t="s">
        <v>215</v>
      </c>
      <c r="C497" s="22" t="s">
        <v>7694</v>
      </c>
      <c r="D497" s="22" t="n">
        <v>32</v>
      </c>
      <c r="E497" s="22" t="s">
        <v>7696</v>
      </c>
      <c r="F497" s="22" t="s">
        <v>6577</v>
      </c>
      <c r="G497" s="22" t="s">
        <v>5403</v>
      </c>
      <c r="H497" s="22" t="s">
        <v>5404</v>
      </c>
      <c r="I497" s="22" t="s">
        <v>483</v>
      </c>
      <c r="J497" s="22" t="n">
        <v>49.2</v>
      </c>
      <c r="K497" s="22" t="n">
        <f aca="false">ROUNDUP(J497,0)</f>
        <v>50</v>
      </c>
      <c r="L497" s="22" t="n">
        <f aca="false">MAX(D497,K497)</f>
        <v>50</v>
      </c>
      <c r="M497" s="25" t="n">
        <f aca="false">IF(E497="COVERED",'Controls &amp; Sources'!$B$5,'Controls &amp; Sources'!$B$6)</f>
        <v>7.55</v>
      </c>
      <c r="N497" s="25" t="n">
        <f aca="false">L497*M497</f>
        <v>377.5</v>
      </c>
      <c r="O497" s="22" t="n">
        <f aca="false">COUNTIFS('Billing Actual'!$E$2:$E$770,A497,'Billing Actual'!$B$2:$B$770,'Controls &amp; Sources'!$B$7)</f>
        <v>1</v>
      </c>
      <c r="P497" s="25" t="n">
        <f aca="false">SUMIFS('Billing Actual'!$M$2:$M$770,'Billing Actual'!$E$2:$E$770,A497,'Billing Actual'!$B$2:$B$770,'Controls &amp; Sources'!$B$7)</f>
        <v>377.5</v>
      </c>
      <c r="Q497" s="25" t="n">
        <f aca="false">P497-N497</f>
        <v>0</v>
      </c>
      <c r="R497" s="22" t="str">
        <f aca="false">IF(O497=0,"No August moorage transaction",IF(O497&gt;1,"Duplicate August transactions",IF(ABS(Q497)&gt;0.005,"Charge variance","OK")))</f>
        <v>OK</v>
      </c>
      <c r="S497" s="22" t="str">
        <f aca="false">IF(R497="OK","","Billing completeness/reconciliation")</f>
        <v/>
      </c>
    </row>
    <row r="498" customFormat="false" ht="15" hidden="false" customHeight="false" outlineLevel="0" collapsed="false">
      <c r="A498" s="22" t="s">
        <v>7737</v>
      </c>
      <c r="B498" s="22" t="s">
        <v>215</v>
      </c>
      <c r="C498" s="22" t="s">
        <v>7694</v>
      </c>
      <c r="D498" s="22" t="n">
        <v>28</v>
      </c>
      <c r="E498" s="22" t="s">
        <v>7696</v>
      </c>
      <c r="F498" s="22" t="s">
        <v>6577</v>
      </c>
      <c r="G498" s="22" t="s">
        <v>4068</v>
      </c>
      <c r="H498" s="22" t="s">
        <v>4069</v>
      </c>
      <c r="I498" s="22" t="s">
        <v>871</v>
      </c>
      <c r="J498" s="22" t="n">
        <v>34.1</v>
      </c>
      <c r="K498" s="22" t="n">
        <f aca="false">ROUNDUP(J498,0)</f>
        <v>35</v>
      </c>
      <c r="L498" s="22" t="n">
        <f aca="false">MAX(D498,K498)</f>
        <v>35</v>
      </c>
      <c r="M498" s="25" t="n">
        <f aca="false">IF(E498="COVERED",'Controls &amp; Sources'!$B$5,'Controls &amp; Sources'!$B$6)</f>
        <v>7.55</v>
      </c>
      <c r="N498" s="25" t="n">
        <f aca="false">L498*M498</f>
        <v>264.25</v>
      </c>
      <c r="O498" s="22" t="n">
        <f aca="false">COUNTIFS('Billing Actual'!$E$2:$E$770,A498,'Billing Actual'!$B$2:$B$770,'Controls &amp; Sources'!$B$7)</f>
        <v>1</v>
      </c>
      <c r="P498" s="25" t="n">
        <f aca="false">SUMIFS('Billing Actual'!$M$2:$M$770,'Billing Actual'!$E$2:$E$770,A498,'Billing Actual'!$B$2:$B$770,'Controls &amp; Sources'!$B$7)</f>
        <v>264.25</v>
      </c>
      <c r="Q498" s="25" t="n">
        <f aca="false">P498-N498</f>
        <v>0</v>
      </c>
      <c r="R498" s="22" t="str">
        <f aca="false">IF(O498=0,"No August moorage transaction",IF(O498&gt;1,"Duplicate August transactions",IF(ABS(Q498)&gt;0.005,"Charge variance","OK")))</f>
        <v>OK</v>
      </c>
      <c r="S498" s="22" t="str">
        <f aca="false">IF(R498="OK","","Billing completeness/reconciliation")</f>
        <v/>
      </c>
    </row>
    <row r="499" customFormat="false" ht="15" hidden="false" customHeight="false" outlineLevel="0" collapsed="false">
      <c r="A499" s="22" t="s">
        <v>7738</v>
      </c>
      <c r="B499" s="22" t="s">
        <v>215</v>
      </c>
      <c r="C499" s="22" t="s">
        <v>7694</v>
      </c>
      <c r="D499" s="22" t="n">
        <v>40</v>
      </c>
      <c r="E499" s="22" t="s">
        <v>7696</v>
      </c>
      <c r="F499" s="22" t="s">
        <v>6577</v>
      </c>
      <c r="G499" s="22" t="s">
        <v>1604</v>
      </c>
      <c r="H499" s="22" t="s">
        <v>1605</v>
      </c>
      <c r="I499" s="22" t="s">
        <v>538</v>
      </c>
      <c r="J499" s="22" t="n">
        <v>21.1</v>
      </c>
      <c r="K499" s="22" t="n">
        <f aca="false">ROUNDUP(J499,0)</f>
        <v>22</v>
      </c>
      <c r="L499" s="22" t="n">
        <f aca="false">MAX(D499,K499)</f>
        <v>40</v>
      </c>
      <c r="M499" s="25" t="n">
        <f aca="false">IF(E499="COVERED",'Controls &amp; Sources'!$B$5,'Controls &amp; Sources'!$B$6)</f>
        <v>7.55</v>
      </c>
      <c r="N499" s="25" t="n">
        <f aca="false">L499*M499</f>
        <v>302</v>
      </c>
      <c r="O499" s="22" t="n">
        <f aca="false">COUNTIFS('Billing Actual'!$E$2:$E$770,A499,'Billing Actual'!$B$2:$B$770,'Controls &amp; Sources'!$B$7)</f>
        <v>1</v>
      </c>
      <c r="P499" s="25" t="n">
        <f aca="false">SUMIFS('Billing Actual'!$M$2:$M$770,'Billing Actual'!$E$2:$E$770,A499,'Billing Actual'!$B$2:$B$770,'Controls &amp; Sources'!$B$7)</f>
        <v>302</v>
      </c>
      <c r="Q499" s="25" t="n">
        <f aca="false">P499-N499</f>
        <v>0</v>
      </c>
      <c r="R499" s="22" t="str">
        <f aca="false">IF(O499=0,"No August moorage transaction",IF(O499&gt;1,"Duplicate August transactions",IF(ABS(Q499)&gt;0.005,"Charge variance","OK")))</f>
        <v>OK</v>
      </c>
      <c r="S499" s="22" t="str">
        <f aca="false">IF(R499="OK","","Billing completeness/reconciliation")</f>
        <v/>
      </c>
    </row>
    <row r="500" customFormat="false" ht="15" hidden="false" customHeight="false" outlineLevel="0" collapsed="false">
      <c r="A500" s="22" t="s">
        <v>7741</v>
      </c>
      <c r="B500" s="22" t="s">
        <v>215</v>
      </c>
      <c r="C500" s="22" t="s">
        <v>7694</v>
      </c>
      <c r="D500" s="22" t="n">
        <v>24</v>
      </c>
      <c r="E500" s="22" t="s">
        <v>7696</v>
      </c>
      <c r="F500" s="22" t="s">
        <v>6577</v>
      </c>
      <c r="G500" s="22" t="s">
        <v>965</v>
      </c>
      <c r="H500" s="22" t="s">
        <v>966</v>
      </c>
      <c r="I500" s="22" t="s">
        <v>967</v>
      </c>
      <c r="J500" s="22" t="n">
        <v>35.2</v>
      </c>
      <c r="K500" s="22" t="n">
        <f aca="false">ROUNDUP(J500,0)</f>
        <v>36</v>
      </c>
      <c r="L500" s="22" t="n">
        <f aca="false">MAX(D500,K500)</f>
        <v>36</v>
      </c>
      <c r="M500" s="25" t="n">
        <f aca="false">IF(E500="COVERED",'Controls &amp; Sources'!$B$5,'Controls &amp; Sources'!$B$6)</f>
        <v>7.55</v>
      </c>
      <c r="N500" s="25" t="n">
        <f aca="false">L500*M500</f>
        <v>271.8</v>
      </c>
      <c r="O500" s="22" t="n">
        <f aca="false">COUNTIFS('Billing Actual'!$E$2:$E$770,A500,'Billing Actual'!$B$2:$B$770,'Controls &amp; Sources'!$B$7)</f>
        <v>1</v>
      </c>
      <c r="P500" s="25" t="n">
        <f aca="false">SUMIFS('Billing Actual'!$M$2:$M$770,'Billing Actual'!$E$2:$E$770,A500,'Billing Actual'!$B$2:$B$770,'Controls &amp; Sources'!$B$7)</f>
        <v>271.8</v>
      </c>
      <c r="Q500" s="25" t="n">
        <f aca="false">P500-N500</f>
        <v>0</v>
      </c>
      <c r="R500" s="22" t="str">
        <f aca="false">IF(O500=0,"No August moorage transaction",IF(O500&gt;1,"Duplicate August transactions",IF(ABS(Q500)&gt;0.005,"Charge variance","OK")))</f>
        <v>OK</v>
      </c>
      <c r="S500" s="22" t="str">
        <f aca="false">IF(R500="OK","","Billing completeness/reconciliation")</f>
        <v/>
      </c>
    </row>
    <row r="501" customFormat="false" ht="15" hidden="false" customHeight="false" outlineLevel="0" collapsed="false">
      <c r="A501" s="22" t="s">
        <v>7743</v>
      </c>
      <c r="B501" s="22" t="s">
        <v>215</v>
      </c>
      <c r="C501" s="22" t="s">
        <v>7694</v>
      </c>
      <c r="D501" s="22" t="n">
        <v>45</v>
      </c>
      <c r="E501" s="22" t="s">
        <v>7696</v>
      </c>
      <c r="F501" s="22" t="s">
        <v>6577</v>
      </c>
      <c r="G501" s="22" t="s">
        <v>1464</v>
      </c>
      <c r="H501" s="22" t="s">
        <v>1465</v>
      </c>
      <c r="I501" s="22" t="s">
        <v>621</v>
      </c>
      <c r="J501" s="22" t="n">
        <v>42.1</v>
      </c>
      <c r="K501" s="22" t="n">
        <f aca="false">ROUNDUP(J501,0)</f>
        <v>43</v>
      </c>
      <c r="L501" s="22" t="n">
        <f aca="false">MAX(D501,K501)</f>
        <v>45</v>
      </c>
      <c r="M501" s="25" t="n">
        <f aca="false">IF(E501="COVERED",'Controls &amp; Sources'!$B$5,'Controls &amp; Sources'!$B$6)</f>
        <v>7.55</v>
      </c>
      <c r="N501" s="25" t="n">
        <f aca="false">L501*M501</f>
        <v>339.75</v>
      </c>
      <c r="O501" s="22" t="n">
        <f aca="false">COUNTIFS('Billing Actual'!$E$2:$E$770,A501,'Billing Actual'!$B$2:$B$770,'Controls &amp; Sources'!$B$7)</f>
        <v>1</v>
      </c>
      <c r="P501" s="25" t="n">
        <f aca="false">SUMIFS('Billing Actual'!$M$2:$M$770,'Billing Actual'!$E$2:$E$770,A501,'Billing Actual'!$B$2:$B$770,'Controls &amp; Sources'!$B$7)</f>
        <v>339.75</v>
      </c>
      <c r="Q501" s="25" t="n">
        <f aca="false">P501-N501</f>
        <v>0</v>
      </c>
      <c r="R501" s="22" t="str">
        <f aca="false">IF(O501=0,"No August moorage transaction",IF(O501&gt;1,"Duplicate August transactions",IF(ABS(Q501)&gt;0.005,"Charge variance","OK")))</f>
        <v>OK</v>
      </c>
      <c r="S501" s="22" t="str">
        <f aca="false">IF(R501="OK","","Billing completeness/reconciliation")</f>
        <v/>
      </c>
    </row>
    <row r="502" customFormat="false" ht="15" hidden="false" customHeight="false" outlineLevel="0" collapsed="false">
      <c r="A502" s="22" t="s">
        <v>7745</v>
      </c>
      <c r="B502" s="22" t="s">
        <v>215</v>
      </c>
      <c r="C502" s="22" t="s">
        <v>7694</v>
      </c>
      <c r="D502" s="22" t="n">
        <v>32</v>
      </c>
      <c r="E502" s="22" t="s">
        <v>7696</v>
      </c>
      <c r="F502" s="22" t="s">
        <v>6577</v>
      </c>
      <c r="G502" s="22" t="s">
        <v>4996</v>
      </c>
      <c r="H502" s="22" t="s">
        <v>4997</v>
      </c>
      <c r="I502" s="22" t="s">
        <v>1077</v>
      </c>
      <c r="J502" s="22" t="n">
        <v>24.5</v>
      </c>
      <c r="K502" s="22" t="n">
        <f aca="false">ROUNDUP(J502,0)</f>
        <v>25</v>
      </c>
      <c r="L502" s="22" t="n">
        <f aca="false">MAX(D502,K502)</f>
        <v>32</v>
      </c>
      <c r="M502" s="25" t="n">
        <f aca="false">IF(E502="COVERED",'Controls &amp; Sources'!$B$5,'Controls &amp; Sources'!$B$6)</f>
        <v>7.55</v>
      </c>
      <c r="N502" s="25" t="n">
        <f aca="false">L502*M502</f>
        <v>241.6</v>
      </c>
      <c r="O502" s="22" t="n">
        <f aca="false">COUNTIFS('Billing Actual'!$E$2:$E$770,A502,'Billing Actual'!$B$2:$B$770,'Controls &amp; Sources'!$B$7)</f>
        <v>1</v>
      </c>
      <c r="P502" s="25" t="n">
        <f aca="false">SUMIFS('Billing Actual'!$M$2:$M$770,'Billing Actual'!$E$2:$E$770,A502,'Billing Actual'!$B$2:$B$770,'Controls &amp; Sources'!$B$7)</f>
        <v>241.6</v>
      </c>
      <c r="Q502" s="25" t="n">
        <f aca="false">P502-N502</f>
        <v>0</v>
      </c>
      <c r="R502" s="22" t="str">
        <f aca="false">IF(O502=0,"No August moorage transaction",IF(O502&gt;1,"Duplicate August transactions",IF(ABS(Q502)&gt;0.005,"Charge variance","OK")))</f>
        <v>OK</v>
      </c>
      <c r="S502" s="22" t="str">
        <f aca="false">IF(R502="OK","","Billing completeness/reconciliation")</f>
        <v/>
      </c>
    </row>
    <row r="503" customFormat="false" ht="15" hidden="false" customHeight="false" outlineLevel="0" collapsed="false">
      <c r="A503" s="22" t="s">
        <v>7746</v>
      </c>
      <c r="B503" s="22" t="s">
        <v>215</v>
      </c>
      <c r="C503" s="22" t="s">
        <v>7694</v>
      </c>
      <c r="D503" s="22" t="n">
        <v>36</v>
      </c>
      <c r="E503" s="22" t="s">
        <v>7696</v>
      </c>
      <c r="F503" s="22" t="s">
        <v>6577</v>
      </c>
      <c r="G503" s="22" t="s">
        <v>4062</v>
      </c>
      <c r="H503" s="22" t="s">
        <v>4063</v>
      </c>
      <c r="I503" s="22" t="s">
        <v>364</v>
      </c>
      <c r="J503" s="22" t="n">
        <v>30.4</v>
      </c>
      <c r="K503" s="22" t="n">
        <f aca="false">ROUNDUP(J503,0)</f>
        <v>31</v>
      </c>
      <c r="L503" s="22" t="n">
        <f aca="false">MAX(D503,K503)</f>
        <v>36</v>
      </c>
      <c r="M503" s="25" t="n">
        <f aca="false">IF(E503="COVERED",'Controls &amp; Sources'!$B$5,'Controls &amp; Sources'!$B$6)</f>
        <v>7.55</v>
      </c>
      <c r="N503" s="25" t="n">
        <f aca="false">L503*M503</f>
        <v>271.8</v>
      </c>
      <c r="O503" s="22" t="n">
        <f aca="false">COUNTIFS('Billing Actual'!$E$2:$E$770,A503,'Billing Actual'!$B$2:$B$770,'Controls &amp; Sources'!$B$7)</f>
        <v>1</v>
      </c>
      <c r="P503" s="25" t="n">
        <f aca="false">SUMIFS('Billing Actual'!$M$2:$M$770,'Billing Actual'!$E$2:$E$770,A503,'Billing Actual'!$B$2:$B$770,'Controls &amp; Sources'!$B$7)</f>
        <v>271.8</v>
      </c>
      <c r="Q503" s="25" t="n">
        <f aca="false">P503-N503</f>
        <v>0</v>
      </c>
      <c r="R503" s="22" t="str">
        <f aca="false">IF(O503=0,"No August moorage transaction",IF(O503&gt;1,"Duplicate August transactions",IF(ABS(Q503)&gt;0.005,"Charge variance","OK")))</f>
        <v>OK</v>
      </c>
      <c r="S503" s="22" t="str">
        <f aca="false">IF(R503="OK","","Billing completeness/reconciliation")</f>
        <v/>
      </c>
    </row>
    <row r="504" customFormat="false" ht="15" hidden="false" customHeight="false" outlineLevel="0" collapsed="false">
      <c r="A504" s="22" t="s">
        <v>7748</v>
      </c>
      <c r="B504" s="22" t="s">
        <v>215</v>
      </c>
      <c r="C504" s="22" t="s">
        <v>7694</v>
      </c>
      <c r="D504" s="22" t="n">
        <v>24</v>
      </c>
      <c r="E504" s="22" t="s">
        <v>7696</v>
      </c>
      <c r="F504" s="22" t="s">
        <v>6577</v>
      </c>
      <c r="G504" s="22" t="s">
        <v>2041</v>
      </c>
      <c r="H504" s="22" t="s">
        <v>2042</v>
      </c>
      <c r="I504" s="22" t="s">
        <v>495</v>
      </c>
      <c r="J504" s="22" t="n">
        <v>39.6</v>
      </c>
      <c r="K504" s="22" t="n">
        <f aca="false">ROUNDUP(J504,0)</f>
        <v>40</v>
      </c>
      <c r="L504" s="22" t="n">
        <f aca="false">MAX(D504,K504)</f>
        <v>40</v>
      </c>
      <c r="M504" s="25" t="n">
        <f aca="false">IF(E504="COVERED",'Controls &amp; Sources'!$B$5,'Controls &amp; Sources'!$B$6)</f>
        <v>7.55</v>
      </c>
      <c r="N504" s="25" t="n">
        <f aca="false">L504*M504</f>
        <v>302</v>
      </c>
      <c r="O504" s="22" t="n">
        <f aca="false">COUNTIFS('Billing Actual'!$E$2:$E$770,A504,'Billing Actual'!$B$2:$B$770,'Controls &amp; Sources'!$B$7)</f>
        <v>1</v>
      </c>
      <c r="P504" s="25" t="n">
        <f aca="false">SUMIFS('Billing Actual'!$M$2:$M$770,'Billing Actual'!$E$2:$E$770,A504,'Billing Actual'!$B$2:$B$770,'Controls &amp; Sources'!$B$7)</f>
        <v>302</v>
      </c>
      <c r="Q504" s="25" t="n">
        <f aca="false">P504-N504</f>
        <v>0</v>
      </c>
      <c r="R504" s="22" t="str">
        <f aca="false">IF(O504=0,"No August moorage transaction",IF(O504&gt;1,"Duplicate August transactions",IF(ABS(Q504)&gt;0.005,"Charge variance","OK")))</f>
        <v>OK</v>
      </c>
      <c r="S504" s="22" t="str">
        <f aca="false">IF(R504="OK","","Billing completeness/reconciliation")</f>
        <v/>
      </c>
    </row>
    <row r="505" customFormat="false" ht="15" hidden="false" customHeight="false" outlineLevel="0" collapsed="false">
      <c r="A505" s="22" t="s">
        <v>7749</v>
      </c>
      <c r="B505" s="22" t="s">
        <v>215</v>
      </c>
      <c r="C505" s="22" t="s">
        <v>7694</v>
      </c>
      <c r="D505" s="22" t="n">
        <v>50</v>
      </c>
      <c r="E505" s="22" t="s">
        <v>7696</v>
      </c>
      <c r="F505" s="22" t="s">
        <v>6577</v>
      </c>
      <c r="G505" s="22" t="s">
        <v>3019</v>
      </c>
      <c r="H505" s="22" t="s">
        <v>3020</v>
      </c>
      <c r="I505" s="22" t="s">
        <v>1572</v>
      </c>
      <c r="J505" s="22" t="n">
        <v>41.5</v>
      </c>
      <c r="K505" s="22" t="n">
        <f aca="false">ROUNDUP(J505,0)</f>
        <v>42</v>
      </c>
      <c r="L505" s="22" t="n">
        <f aca="false">MAX(D505,K505)</f>
        <v>50</v>
      </c>
      <c r="M505" s="25" t="n">
        <f aca="false">IF(E505="COVERED",'Controls &amp; Sources'!$B$5,'Controls &amp; Sources'!$B$6)</f>
        <v>7.55</v>
      </c>
      <c r="N505" s="25" t="n">
        <f aca="false">L505*M505</f>
        <v>377.5</v>
      </c>
      <c r="O505" s="22" t="n">
        <f aca="false">COUNTIFS('Billing Actual'!$E$2:$E$770,A505,'Billing Actual'!$B$2:$B$770,'Controls &amp; Sources'!$B$7)</f>
        <v>1</v>
      </c>
      <c r="P505" s="25" t="n">
        <f aca="false">SUMIFS('Billing Actual'!$M$2:$M$770,'Billing Actual'!$E$2:$E$770,A505,'Billing Actual'!$B$2:$B$770,'Controls &amp; Sources'!$B$7)</f>
        <v>377.5</v>
      </c>
      <c r="Q505" s="25" t="n">
        <f aca="false">P505-N505</f>
        <v>0</v>
      </c>
      <c r="R505" s="22" t="str">
        <f aca="false">IF(O505=0,"No August moorage transaction",IF(O505&gt;1,"Duplicate August transactions",IF(ABS(Q505)&gt;0.005,"Charge variance","OK")))</f>
        <v>OK</v>
      </c>
      <c r="S505" s="22" t="str">
        <f aca="false">IF(R505="OK","","Billing completeness/reconciliation")</f>
        <v/>
      </c>
    </row>
    <row r="506" customFormat="false" ht="15" hidden="false" customHeight="false" outlineLevel="0" collapsed="false">
      <c r="A506" s="22" t="s">
        <v>7751</v>
      </c>
      <c r="B506" s="22" t="s">
        <v>215</v>
      </c>
      <c r="C506" s="22" t="s">
        <v>7694</v>
      </c>
      <c r="D506" s="22" t="n">
        <v>32</v>
      </c>
      <c r="E506" s="22" t="s">
        <v>7696</v>
      </c>
      <c r="F506" s="22" t="s">
        <v>6577</v>
      </c>
      <c r="G506" s="22" t="s">
        <v>1709</v>
      </c>
      <c r="H506" s="22" t="s">
        <v>1710</v>
      </c>
      <c r="I506" s="22" t="s">
        <v>841</v>
      </c>
      <c r="J506" s="22" t="n">
        <v>19.5</v>
      </c>
      <c r="K506" s="22" t="n">
        <f aca="false">ROUNDUP(J506,0)</f>
        <v>20</v>
      </c>
      <c r="L506" s="22" t="n">
        <f aca="false">MAX(D506,K506)</f>
        <v>32</v>
      </c>
      <c r="M506" s="25" t="n">
        <f aca="false">IF(E506="COVERED",'Controls &amp; Sources'!$B$5,'Controls &amp; Sources'!$B$6)</f>
        <v>7.55</v>
      </c>
      <c r="N506" s="25" t="n">
        <f aca="false">L506*M506</f>
        <v>241.6</v>
      </c>
      <c r="O506" s="22" t="n">
        <f aca="false">COUNTIFS('Billing Actual'!$E$2:$E$770,A506,'Billing Actual'!$B$2:$B$770,'Controls &amp; Sources'!$B$7)</f>
        <v>1</v>
      </c>
      <c r="P506" s="25" t="n">
        <f aca="false">SUMIFS('Billing Actual'!$M$2:$M$770,'Billing Actual'!$E$2:$E$770,A506,'Billing Actual'!$B$2:$B$770,'Controls &amp; Sources'!$B$7)</f>
        <v>241.6</v>
      </c>
      <c r="Q506" s="25" t="n">
        <f aca="false">P506-N506</f>
        <v>0</v>
      </c>
      <c r="R506" s="22" t="str">
        <f aca="false">IF(O506=0,"No August moorage transaction",IF(O506&gt;1,"Duplicate August transactions",IF(ABS(Q506)&gt;0.005,"Charge variance","OK")))</f>
        <v>OK</v>
      </c>
      <c r="S506" s="22" t="str">
        <f aca="false">IF(R506="OK","","Billing completeness/reconciliation")</f>
        <v/>
      </c>
    </row>
    <row r="507" customFormat="false" ht="15" hidden="false" customHeight="false" outlineLevel="0" collapsed="false">
      <c r="A507" s="22" t="s">
        <v>7754</v>
      </c>
      <c r="B507" s="22" t="s">
        <v>215</v>
      </c>
      <c r="C507" s="22" t="s">
        <v>7694</v>
      </c>
      <c r="D507" s="22" t="n">
        <v>60</v>
      </c>
      <c r="E507" s="22" t="s">
        <v>7696</v>
      </c>
      <c r="F507" s="22" t="s">
        <v>6577</v>
      </c>
      <c r="G507" s="22" t="s">
        <v>1860</v>
      </c>
      <c r="H507" s="22" t="s">
        <v>1861</v>
      </c>
      <c r="I507" s="22" t="s">
        <v>1857</v>
      </c>
      <c r="J507" s="22" t="n">
        <v>23.2</v>
      </c>
      <c r="K507" s="22" t="n">
        <f aca="false">ROUNDUP(J507,0)</f>
        <v>24</v>
      </c>
      <c r="L507" s="22" t="n">
        <f aca="false">MAX(D507,K507)</f>
        <v>60</v>
      </c>
      <c r="M507" s="25" t="n">
        <f aca="false">IF(E507="COVERED",'Controls &amp; Sources'!$B$5,'Controls &amp; Sources'!$B$6)</f>
        <v>7.55</v>
      </c>
      <c r="N507" s="25" t="n">
        <f aca="false">L507*M507</f>
        <v>453</v>
      </c>
      <c r="O507" s="22" t="n">
        <f aca="false">COUNTIFS('Billing Actual'!$E$2:$E$770,A507,'Billing Actual'!$B$2:$B$770,'Controls &amp; Sources'!$B$7)</f>
        <v>1</v>
      </c>
      <c r="P507" s="25" t="n">
        <f aca="false">SUMIFS('Billing Actual'!$M$2:$M$770,'Billing Actual'!$E$2:$E$770,A507,'Billing Actual'!$B$2:$B$770,'Controls &amp; Sources'!$B$7)</f>
        <v>453</v>
      </c>
      <c r="Q507" s="25" t="n">
        <f aca="false">P507-N507</f>
        <v>0</v>
      </c>
      <c r="R507" s="22" t="str">
        <f aca="false">IF(O507=0,"No August moorage transaction",IF(O507&gt;1,"Duplicate August transactions",IF(ABS(Q507)&gt;0.005,"Charge variance","OK")))</f>
        <v>OK</v>
      </c>
      <c r="S507" s="22" t="str">
        <f aca="false">IF(R507="OK","","Billing completeness/reconciliation")</f>
        <v/>
      </c>
    </row>
    <row r="508" customFormat="false" ht="15" hidden="false" customHeight="false" outlineLevel="0" collapsed="false">
      <c r="A508" s="22" t="s">
        <v>7756</v>
      </c>
      <c r="B508" s="22" t="s">
        <v>215</v>
      </c>
      <c r="C508" s="22" t="s">
        <v>7694</v>
      </c>
      <c r="D508" s="22" t="n">
        <v>32</v>
      </c>
      <c r="E508" s="22" t="s">
        <v>7696</v>
      </c>
      <c r="F508" s="22" t="s">
        <v>6577</v>
      </c>
      <c r="G508" s="22" t="s">
        <v>6079</v>
      </c>
      <c r="H508" s="22" t="s">
        <v>6080</v>
      </c>
      <c r="I508" s="22" t="s">
        <v>1695</v>
      </c>
      <c r="J508" s="22" t="n">
        <v>20.4</v>
      </c>
      <c r="K508" s="22" t="n">
        <f aca="false">ROUNDUP(J508,0)</f>
        <v>21</v>
      </c>
      <c r="L508" s="22" t="n">
        <f aca="false">MAX(D508,K508)</f>
        <v>32</v>
      </c>
      <c r="M508" s="25" t="n">
        <f aca="false">IF(E508="COVERED",'Controls &amp; Sources'!$B$5,'Controls &amp; Sources'!$B$6)</f>
        <v>7.55</v>
      </c>
      <c r="N508" s="25" t="n">
        <f aca="false">L508*M508</f>
        <v>241.6</v>
      </c>
      <c r="O508" s="22" t="n">
        <f aca="false">COUNTIFS('Billing Actual'!$E$2:$E$770,A508,'Billing Actual'!$B$2:$B$770,'Controls &amp; Sources'!$B$7)</f>
        <v>1</v>
      </c>
      <c r="P508" s="25" t="n">
        <f aca="false">SUMIFS('Billing Actual'!$M$2:$M$770,'Billing Actual'!$E$2:$E$770,A508,'Billing Actual'!$B$2:$B$770,'Controls &amp; Sources'!$B$7)</f>
        <v>241.6</v>
      </c>
      <c r="Q508" s="25" t="n">
        <f aca="false">P508-N508</f>
        <v>0</v>
      </c>
      <c r="R508" s="22" t="str">
        <f aca="false">IF(O508=0,"No August moorage transaction",IF(O508&gt;1,"Duplicate August transactions",IF(ABS(Q508)&gt;0.005,"Charge variance","OK")))</f>
        <v>OK</v>
      </c>
      <c r="S508" s="22" t="str">
        <f aca="false">IF(R508="OK","","Billing completeness/reconciliation")</f>
        <v/>
      </c>
    </row>
    <row r="509" customFormat="false" ht="15" hidden="false" customHeight="false" outlineLevel="0" collapsed="false">
      <c r="A509" s="22" t="s">
        <v>7757</v>
      </c>
      <c r="B509" s="22" t="s">
        <v>215</v>
      </c>
      <c r="C509" s="22" t="s">
        <v>7694</v>
      </c>
      <c r="D509" s="22" t="n">
        <v>50</v>
      </c>
      <c r="E509" s="22" t="s">
        <v>7696</v>
      </c>
      <c r="F509" s="22" t="s">
        <v>6577</v>
      </c>
      <c r="G509" s="22" t="s">
        <v>1136</v>
      </c>
      <c r="H509" s="22" t="s">
        <v>1137</v>
      </c>
      <c r="I509" s="22" t="s">
        <v>1138</v>
      </c>
      <c r="J509" s="22" t="n">
        <v>42.6</v>
      </c>
      <c r="K509" s="22" t="n">
        <f aca="false">ROUNDUP(J509,0)</f>
        <v>43</v>
      </c>
      <c r="L509" s="22" t="n">
        <f aca="false">MAX(D509,K509)</f>
        <v>50</v>
      </c>
      <c r="M509" s="25" t="n">
        <f aca="false">IF(E509="COVERED",'Controls &amp; Sources'!$B$5,'Controls &amp; Sources'!$B$6)</f>
        <v>7.55</v>
      </c>
      <c r="N509" s="25" t="n">
        <f aca="false">L509*M509</f>
        <v>377.5</v>
      </c>
      <c r="O509" s="22" t="n">
        <f aca="false">COUNTIFS('Billing Actual'!$E$2:$E$770,A509,'Billing Actual'!$B$2:$B$770,'Controls &amp; Sources'!$B$7)</f>
        <v>1</v>
      </c>
      <c r="P509" s="25" t="n">
        <f aca="false">SUMIFS('Billing Actual'!$M$2:$M$770,'Billing Actual'!$E$2:$E$770,A509,'Billing Actual'!$B$2:$B$770,'Controls &amp; Sources'!$B$7)</f>
        <v>377.5</v>
      </c>
      <c r="Q509" s="25" t="n">
        <f aca="false">P509-N509</f>
        <v>0</v>
      </c>
      <c r="R509" s="22" t="str">
        <f aca="false">IF(O509=0,"No August moorage transaction",IF(O509&gt;1,"Duplicate August transactions",IF(ABS(Q509)&gt;0.005,"Charge variance","OK")))</f>
        <v>OK</v>
      </c>
      <c r="S509" s="22" t="str">
        <f aca="false">IF(R509="OK","","Billing completeness/reconciliation")</f>
        <v/>
      </c>
    </row>
    <row r="510" customFormat="false" ht="15" hidden="false" customHeight="false" outlineLevel="0" collapsed="false">
      <c r="A510" s="22" t="s">
        <v>7758</v>
      </c>
      <c r="B510" s="22" t="s">
        <v>215</v>
      </c>
      <c r="C510" s="22" t="s">
        <v>7694</v>
      </c>
      <c r="D510" s="22" t="n">
        <v>32</v>
      </c>
      <c r="E510" s="22" t="s">
        <v>7696</v>
      </c>
      <c r="F510" s="22" t="s">
        <v>6577</v>
      </c>
      <c r="G510" s="22" t="s">
        <v>1652</v>
      </c>
      <c r="H510" s="22" t="s">
        <v>1653</v>
      </c>
      <c r="I510" s="22" t="s">
        <v>835</v>
      </c>
      <c r="J510" s="22" t="n">
        <v>32.9</v>
      </c>
      <c r="K510" s="22" t="n">
        <f aca="false">ROUNDUP(J510,0)</f>
        <v>33</v>
      </c>
      <c r="L510" s="22" t="n">
        <f aca="false">MAX(D510,K510)</f>
        <v>33</v>
      </c>
      <c r="M510" s="25" t="n">
        <f aca="false">IF(E510="COVERED",'Controls &amp; Sources'!$B$5,'Controls &amp; Sources'!$B$6)</f>
        <v>7.55</v>
      </c>
      <c r="N510" s="25" t="n">
        <f aca="false">L510*M510</f>
        <v>249.15</v>
      </c>
      <c r="O510" s="22" t="n">
        <f aca="false">COUNTIFS('Billing Actual'!$E$2:$E$770,A510,'Billing Actual'!$B$2:$B$770,'Controls &amp; Sources'!$B$7)</f>
        <v>1</v>
      </c>
      <c r="P510" s="25" t="n">
        <f aca="false">SUMIFS('Billing Actual'!$M$2:$M$770,'Billing Actual'!$E$2:$E$770,A510,'Billing Actual'!$B$2:$B$770,'Controls &amp; Sources'!$B$7)</f>
        <v>249.15</v>
      </c>
      <c r="Q510" s="25" t="n">
        <f aca="false">P510-N510</f>
        <v>0</v>
      </c>
      <c r="R510" s="22" t="str">
        <f aca="false">IF(O510=0,"No August moorage transaction",IF(O510&gt;1,"Duplicate August transactions",IF(ABS(Q510)&gt;0.005,"Charge variance","OK")))</f>
        <v>OK</v>
      </c>
      <c r="S510" s="22" t="str">
        <f aca="false">IF(R510="OK","","Billing completeness/reconciliation")</f>
        <v/>
      </c>
    </row>
    <row r="511" customFormat="false" ht="15" hidden="false" customHeight="false" outlineLevel="0" collapsed="false">
      <c r="A511" s="22" t="s">
        <v>7760</v>
      </c>
      <c r="B511" s="22" t="s">
        <v>215</v>
      </c>
      <c r="C511" s="22" t="s">
        <v>7694</v>
      </c>
      <c r="D511" s="22" t="n">
        <v>36</v>
      </c>
      <c r="E511" s="22" t="s">
        <v>7696</v>
      </c>
      <c r="F511" s="22" t="s">
        <v>6577</v>
      </c>
      <c r="G511" s="22" t="s">
        <v>195</v>
      </c>
      <c r="H511" s="22" t="s">
        <v>196</v>
      </c>
      <c r="I511" s="22" t="s">
        <v>197</v>
      </c>
      <c r="J511" s="22" t="n">
        <v>23</v>
      </c>
      <c r="K511" s="22" t="n">
        <f aca="false">ROUNDUP(J511,0)</f>
        <v>23</v>
      </c>
      <c r="L511" s="22" t="n">
        <f aca="false">MAX(D511,K511)</f>
        <v>36</v>
      </c>
      <c r="M511" s="25" t="n">
        <f aca="false">IF(E511="COVERED",'Controls &amp; Sources'!$B$5,'Controls &amp; Sources'!$B$6)</f>
        <v>7.55</v>
      </c>
      <c r="N511" s="25" t="n">
        <f aca="false">L511*M511</f>
        <v>271.8</v>
      </c>
      <c r="O511" s="22" t="n">
        <f aca="false">COUNTIFS('Billing Actual'!$E$2:$E$770,A511,'Billing Actual'!$B$2:$B$770,'Controls &amp; Sources'!$B$7)</f>
        <v>1</v>
      </c>
      <c r="P511" s="25" t="n">
        <f aca="false">SUMIFS('Billing Actual'!$M$2:$M$770,'Billing Actual'!$E$2:$E$770,A511,'Billing Actual'!$B$2:$B$770,'Controls &amp; Sources'!$B$7)</f>
        <v>271.8</v>
      </c>
      <c r="Q511" s="25" t="n">
        <f aca="false">P511-N511</f>
        <v>0</v>
      </c>
      <c r="R511" s="22" t="str">
        <f aca="false">IF(O511=0,"No August moorage transaction",IF(O511&gt;1,"Duplicate August transactions",IF(ABS(Q511)&gt;0.005,"Charge variance","OK")))</f>
        <v>OK</v>
      </c>
      <c r="S511" s="22" t="str">
        <f aca="false">IF(R511="OK","","Billing completeness/reconciliation")</f>
        <v/>
      </c>
    </row>
    <row r="512" customFormat="false" ht="15" hidden="false" customHeight="false" outlineLevel="0" collapsed="false">
      <c r="A512" s="22" t="s">
        <v>7761</v>
      </c>
      <c r="B512" s="22" t="s">
        <v>215</v>
      </c>
      <c r="C512" s="22" t="s">
        <v>7694</v>
      </c>
      <c r="D512" s="22" t="n">
        <v>70</v>
      </c>
      <c r="E512" s="22" t="s">
        <v>7696</v>
      </c>
      <c r="F512" s="22" t="s">
        <v>6577</v>
      </c>
      <c r="G512" s="22" t="s">
        <v>3175</v>
      </c>
      <c r="H512" s="22" t="s">
        <v>3176</v>
      </c>
      <c r="I512" s="22" t="s">
        <v>3177</v>
      </c>
      <c r="J512" s="22" t="n">
        <v>21.3</v>
      </c>
      <c r="K512" s="22" t="n">
        <f aca="false">ROUNDUP(J512,0)</f>
        <v>22</v>
      </c>
      <c r="L512" s="22" t="n">
        <f aca="false">MAX(D512,K512)</f>
        <v>70</v>
      </c>
      <c r="M512" s="25" t="n">
        <f aca="false">IF(E512="COVERED",'Controls &amp; Sources'!$B$5,'Controls &amp; Sources'!$B$6)</f>
        <v>7.55</v>
      </c>
      <c r="N512" s="25" t="n">
        <f aca="false">L512*M512</f>
        <v>528.5</v>
      </c>
      <c r="O512" s="22" t="n">
        <f aca="false">COUNTIFS('Billing Actual'!$E$2:$E$770,A512,'Billing Actual'!$B$2:$B$770,'Controls &amp; Sources'!$B$7)</f>
        <v>1</v>
      </c>
      <c r="P512" s="25" t="n">
        <f aca="false">SUMIFS('Billing Actual'!$M$2:$M$770,'Billing Actual'!$E$2:$E$770,A512,'Billing Actual'!$B$2:$B$770,'Controls &amp; Sources'!$B$7)</f>
        <v>528.5</v>
      </c>
      <c r="Q512" s="25" t="n">
        <f aca="false">P512-N512</f>
        <v>0</v>
      </c>
      <c r="R512" s="22" t="str">
        <f aca="false">IF(O512=0,"No August moorage transaction",IF(O512&gt;1,"Duplicate August transactions",IF(ABS(Q512)&gt;0.005,"Charge variance","OK")))</f>
        <v>OK</v>
      </c>
      <c r="S512" s="22" t="str">
        <f aca="false">IF(R512="OK","","Billing completeness/reconciliation")</f>
        <v/>
      </c>
    </row>
    <row r="513" customFormat="false" ht="15" hidden="false" customHeight="false" outlineLevel="0" collapsed="false">
      <c r="A513" s="22" t="s">
        <v>7763</v>
      </c>
      <c r="B513" s="22" t="s">
        <v>215</v>
      </c>
      <c r="C513" s="22" t="s">
        <v>7694</v>
      </c>
      <c r="D513" s="22" t="n">
        <v>40</v>
      </c>
      <c r="E513" s="22" t="s">
        <v>7696</v>
      </c>
      <c r="F513" s="22" t="s">
        <v>6577</v>
      </c>
      <c r="G513" s="22" t="s">
        <v>746</v>
      </c>
      <c r="H513" s="22" t="s">
        <v>747</v>
      </c>
      <c r="I513" s="22" t="s">
        <v>648</v>
      </c>
      <c r="J513" s="22" t="n">
        <v>22.1</v>
      </c>
      <c r="K513" s="22" t="n">
        <f aca="false">ROUNDUP(J513,0)</f>
        <v>23</v>
      </c>
      <c r="L513" s="22" t="n">
        <f aca="false">MAX(D513,K513)</f>
        <v>40</v>
      </c>
      <c r="M513" s="25" t="n">
        <f aca="false">IF(E513="COVERED",'Controls &amp; Sources'!$B$5,'Controls &amp; Sources'!$B$6)</f>
        <v>7.55</v>
      </c>
      <c r="N513" s="25" t="n">
        <f aca="false">L513*M513</f>
        <v>302</v>
      </c>
      <c r="O513" s="22" t="n">
        <f aca="false">COUNTIFS('Billing Actual'!$E$2:$E$770,A513,'Billing Actual'!$B$2:$B$770,'Controls &amp; Sources'!$B$7)</f>
        <v>1</v>
      </c>
      <c r="P513" s="25" t="n">
        <f aca="false">SUMIFS('Billing Actual'!$M$2:$M$770,'Billing Actual'!$E$2:$E$770,A513,'Billing Actual'!$B$2:$B$770,'Controls &amp; Sources'!$B$7)</f>
        <v>302</v>
      </c>
      <c r="Q513" s="25" t="n">
        <f aca="false">P513-N513</f>
        <v>0</v>
      </c>
      <c r="R513" s="22" t="str">
        <f aca="false">IF(O513=0,"No August moorage transaction",IF(O513&gt;1,"Duplicate August transactions",IF(ABS(Q513)&gt;0.005,"Charge variance","OK")))</f>
        <v>OK</v>
      </c>
      <c r="S513" s="22" t="str">
        <f aca="false">IF(R513="OK","","Billing completeness/reconciliation")</f>
        <v/>
      </c>
    </row>
    <row r="514" customFormat="false" ht="15" hidden="false" customHeight="false" outlineLevel="0" collapsed="false">
      <c r="A514" s="22" t="s">
        <v>7764</v>
      </c>
      <c r="B514" s="22" t="s">
        <v>215</v>
      </c>
      <c r="C514" s="22" t="s">
        <v>7694</v>
      </c>
      <c r="D514" s="22" t="n">
        <v>28</v>
      </c>
      <c r="E514" s="22" t="s">
        <v>7696</v>
      </c>
      <c r="F514" s="22" t="s">
        <v>6577</v>
      </c>
      <c r="G514" s="22" t="s">
        <v>4004</v>
      </c>
      <c r="H514" s="22" t="s">
        <v>4005</v>
      </c>
      <c r="I514" s="22" t="s">
        <v>1204</v>
      </c>
      <c r="J514" s="22" t="n">
        <v>57.1</v>
      </c>
      <c r="K514" s="22" t="n">
        <f aca="false">ROUNDUP(J514,0)</f>
        <v>58</v>
      </c>
      <c r="L514" s="22" t="n">
        <f aca="false">MAX(D514,K514)</f>
        <v>58</v>
      </c>
      <c r="M514" s="25" t="n">
        <f aca="false">IF(E514="COVERED",'Controls &amp; Sources'!$B$5,'Controls &amp; Sources'!$B$6)</f>
        <v>7.55</v>
      </c>
      <c r="N514" s="25" t="n">
        <f aca="false">L514*M514</f>
        <v>437.9</v>
      </c>
      <c r="O514" s="22" t="n">
        <f aca="false">COUNTIFS('Billing Actual'!$E$2:$E$770,A514,'Billing Actual'!$B$2:$B$770,'Controls &amp; Sources'!$B$7)</f>
        <v>1</v>
      </c>
      <c r="P514" s="25" t="n">
        <f aca="false">SUMIFS('Billing Actual'!$M$2:$M$770,'Billing Actual'!$E$2:$E$770,A514,'Billing Actual'!$B$2:$B$770,'Controls &amp; Sources'!$B$7)</f>
        <v>437.9</v>
      </c>
      <c r="Q514" s="25" t="n">
        <f aca="false">P514-N514</f>
        <v>0</v>
      </c>
      <c r="R514" s="22" t="str">
        <f aca="false">IF(O514=0,"No August moorage transaction",IF(O514&gt;1,"Duplicate August transactions",IF(ABS(Q514)&gt;0.005,"Charge variance","OK")))</f>
        <v>OK</v>
      </c>
      <c r="S514" s="22" t="str">
        <f aca="false">IF(R514="OK","","Billing completeness/reconciliation")</f>
        <v/>
      </c>
    </row>
    <row r="515" customFormat="false" ht="15" hidden="false" customHeight="false" outlineLevel="0" collapsed="false">
      <c r="A515" s="22" t="s">
        <v>7765</v>
      </c>
      <c r="B515" s="22" t="s">
        <v>215</v>
      </c>
      <c r="C515" s="22" t="s">
        <v>7694</v>
      </c>
      <c r="D515" s="22" t="n">
        <v>24</v>
      </c>
      <c r="E515" s="22" t="s">
        <v>7696</v>
      </c>
      <c r="F515" s="22" t="s">
        <v>6577</v>
      </c>
      <c r="G515" s="22" t="s">
        <v>4546</v>
      </c>
      <c r="H515" s="22" t="s">
        <v>4547</v>
      </c>
      <c r="I515" s="22" t="s">
        <v>275</v>
      </c>
      <c r="J515" s="22" t="n">
        <v>29.3</v>
      </c>
      <c r="K515" s="22" t="n">
        <f aca="false">ROUNDUP(J515,0)</f>
        <v>30</v>
      </c>
      <c r="L515" s="22" t="n">
        <f aca="false">MAX(D515,K515)</f>
        <v>30</v>
      </c>
      <c r="M515" s="25" t="n">
        <f aca="false">IF(E515="COVERED",'Controls &amp; Sources'!$B$5,'Controls &amp; Sources'!$B$6)</f>
        <v>7.55</v>
      </c>
      <c r="N515" s="25" t="n">
        <f aca="false">L515*M515</f>
        <v>226.5</v>
      </c>
      <c r="O515" s="22" t="n">
        <f aca="false">COUNTIFS('Billing Actual'!$E$2:$E$770,A515,'Billing Actual'!$B$2:$B$770,'Controls &amp; Sources'!$B$7)</f>
        <v>1</v>
      </c>
      <c r="P515" s="25" t="n">
        <f aca="false">SUMIFS('Billing Actual'!$M$2:$M$770,'Billing Actual'!$E$2:$E$770,A515,'Billing Actual'!$B$2:$B$770,'Controls &amp; Sources'!$B$7)</f>
        <v>226.5</v>
      </c>
      <c r="Q515" s="25" t="n">
        <f aca="false">P515-N515</f>
        <v>0</v>
      </c>
      <c r="R515" s="22" t="str">
        <f aca="false">IF(O515=0,"No August moorage transaction",IF(O515&gt;1,"Duplicate August transactions",IF(ABS(Q515)&gt;0.005,"Charge variance","OK")))</f>
        <v>OK</v>
      </c>
      <c r="S515" s="22" t="str">
        <f aca="false">IF(R515="OK","","Billing completeness/reconciliation")</f>
        <v/>
      </c>
    </row>
    <row r="516" customFormat="false" ht="15" hidden="false" customHeight="false" outlineLevel="0" collapsed="false">
      <c r="A516" s="22" t="s">
        <v>7767</v>
      </c>
      <c r="B516" s="22" t="s">
        <v>215</v>
      </c>
      <c r="C516" s="22" t="s">
        <v>7694</v>
      </c>
      <c r="D516" s="22" t="n">
        <v>36</v>
      </c>
      <c r="E516" s="22" t="s">
        <v>7696</v>
      </c>
      <c r="F516" s="22" t="s">
        <v>6577</v>
      </c>
      <c r="G516" s="22" t="s">
        <v>2517</v>
      </c>
      <c r="H516" s="22" t="s">
        <v>2518</v>
      </c>
      <c r="I516" s="22" t="s">
        <v>1956</v>
      </c>
      <c r="J516" s="22" t="n">
        <v>19</v>
      </c>
      <c r="K516" s="22" t="n">
        <f aca="false">ROUNDUP(J516,0)</f>
        <v>19</v>
      </c>
      <c r="L516" s="22" t="n">
        <f aca="false">MAX(D516,K516)</f>
        <v>36</v>
      </c>
      <c r="M516" s="25" t="n">
        <f aca="false">IF(E516="COVERED",'Controls &amp; Sources'!$B$5,'Controls &amp; Sources'!$B$6)</f>
        <v>7.55</v>
      </c>
      <c r="N516" s="25" t="n">
        <f aca="false">L516*M516</f>
        <v>271.8</v>
      </c>
      <c r="O516" s="22" t="n">
        <f aca="false">COUNTIFS('Billing Actual'!$E$2:$E$770,A516,'Billing Actual'!$B$2:$B$770,'Controls &amp; Sources'!$B$7)</f>
        <v>1</v>
      </c>
      <c r="P516" s="25" t="n">
        <f aca="false">SUMIFS('Billing Actual'!$M$2:$M$770,'Billing Actual'!$E$2:$E$770,A516,'Billing Actual'!$B$2:$B$770,'Controls &amp; Sources'!$B$7)</f>
        <v>271.8</v>
      </c>
      <c r="Q516" s="25" t="n">
        <f aca="false">P516-N516</f>
        <v>0</v>
      </c>
      <c r="R516" s="22" t="str">
        <f aca="false">IF(O516=0,"No August moorage transaction",IF(O516&gt;1,"Duplicate August transactions",IF(ABS(Q516)&gt;0.005,"Charge variance","OK")))</f>
        <v>OK</v>
      </c>
      <c r="S516" s="22" t="str">
        <f aca="false">IF(R516="OK","","Billing completeness/reconciliation")</f>
        <v/>
      </c>
    </row>
    <row r="517" customFormat="false" ht="15" hidden="false" customHeight="false" outlineLevel="0" collapsed="false">
      <c r="A517" s="22" t="s">
        <v>7768</v>
      </c>
      <c r="B517" s="22" t="s">
        <v>215</v>
      </c>
      <c r="C517" s="22" t="s">
        <v>7694</v>
      </c>
      <c r="D517" s="22" t="n">
        <v>24</v>
      </c>
      <c r="E517" s="22" t="s">
        <v>7696</v>
      </c>
      <c r="F517" s="22" t="s">
        <v>6577</v>
      </c>
      <c r="G517" s="22" t="s">
        <v>534</v>
      </c>
      <c r="H517" s="22" t="s">
        <v>535</v>
      </c>
      <c r="I517" s="22" t="s">
        <v>312</v>
      </c>
      <c r="J517" s="22" t="n">
        <v>49.6</v>
      </c>
      <c r="K517" s="22" t="n">
        <f aca="false">ROUNDUP(J517,0)</f>
        <v>50</v>
      </c>
      <c r="L517" s="22" t="n">
        <f aca="false">MAX(D517,K517)</f>
        <v>50</v>
      </c>
      <c r="M517" s="25" t="n">
        <f aca="false">IF(E517="COVERED",'Controls &amp; Sources'!$B$5,'Controls &amp; Sources'!$B$6)</f>
        <v>7.55</v>
      </c>
      <c r="N517" s="25" t="n">
        <f aca="false">L517*M517</f>
        <v>377.5</v>
      </c>
      <c r="O517" s="22" t="n">
        <f aca="false">COUNTIFS('Billing Actual'!$E$2:$E$770,A517,'Billing Actual'!$B$2:$B$770,'Controls &amp; Sources'!$B$7)</f>
        <v>1</v>
      </c>
      <c r="P517" s="25" t="n">
        <f aca="false">SUMIFS('Billing Actual'!$M$2:$M$770,'Billing Actual'!$E$2:$E$770,A517,'Billing Actual'!$B$2:$B$770,'Controls &amp; Sources'!$B$7)</f>
        <v>377.5</v>
      </c>
      <c r="Q517" s="25" t="n">
        <f aca="false">P517-N517</f>
        <v>0</v>
      </c>
      <c r="R517" s="22" t="str">
        <f aca="false">IF(O517=0,"No August moorage transaction",IF(O517&gt;1,"Duplicate August transactions",IF(ABS(Q517)&gt;0.005,"Charge variance","OK")))</f>
        <v>OK</v>
      </c>
      <c r="S517" s="22" t="str">
        <f aca="false">IF(R517="OK","","Billing completeness/reconciliation")</f>
        <v/>
      </c>
    </row>
    <row r="518" customFormat="false" ht="15" hidden="false" customHeight="false" outlineLevel="0" collapsed="false">
      <c r="A518" s="22" t="s">
        <v>7771</v>
      </c>
      <c r="B518" s="22" t="s">
        <v>215</v>
      </c>
      <c r="C518" s="22" t="s">
        <v>7694</v>
      </c>
      <c r="D518" s="22" t="n">
        <v>40</v>
      </c>
      <c r="E518" s="22" t="s">
        <v>7696</v>
      </c>
      <c r="F518" s="22" t="s">
        <v>6577</v>
      </c>
      <c r="G518" s="22" t="s">
        <v>2440</v>
      </c>
      <c r="H518" s="22" t="s">
        <v>2441</v>
      </c>
      <c r="I518" s="22" t="s">
        <v>2001</v>
      </c>
      <c r="J518" s="22" t="n">
        <v>49.2</v>
      </c>
      <c r="K518" s="22" t="n">
        <f aca="false">ROUNDUP(J518,0)</f>
        <v>50</v>
      </c>
      <c r="L518" s="22" t="n">
        <f aca="false">MAX(D518,K518)</f>
        <v>50</v>
      </c>
      <c r="M518" s="25" t="n">
        <f aca="false">IF(E518="COVERED",'Controls &amp; Sources'!$B$5,'Controls &amp; Sources'!$B$6)</f>
        <v>7.55</v>
      </c>
      <c r="N518" s="25" t="n">
        <f aca="false">L518*M518</f>
        <v>377.5</v>
      </c>
      <c r="O518" s="22" t="n">
        <f aca="false">COUNTIFS('Billing Actual'!$E$2:$E$770,A518,'Billing Actual'!$B$2:$B$770,'Controls &amp; Sources'!$B$7)</f>
        <v>1</v>
      </c>
      <c r="P518" s="25" t="n">
        <f aca="false">SUMIFS('Billing Actual'!$M$2:$M$770,'Billing Actual'!$E$2:$E$770,A518,'Billing Actual'!$B$2:$B$770,'Controls &amp; Sources'!$B$7)</f>
        <v>377.5</v>
      </c>
      <c r="Q518" s="25" t="n">
        <f aca="false">P518-N518</f>
        <v>0</v>
      </c>
      <c r="R518" s="22" t="str">
        <f aca="false">IF(O518=0,"No August moorage transaction",IF(O518&gt;1,"Duplicate August transactions",IF(ABS(Q518)&gt;0.005,"Charge variance","OK")))</f>
        <v>OK</v>
      </c>
      <c r="S518" s="22" t="str">
        <f aca="false">IF(R518="OK","","Billing completeness/reconciliation")</f>
        <v/>
      </c>
    </row>
    <row r="519" customFormat="false" ht="15" hidden="false" customHeight="false" outlineLevel="0" collapsed="false">
      <c r="A519" s="22" t="s">
        <v>7772</v>
      </c>
      <c r="B519" s="22" t="s">
        <v>215</v>
      </c>
      <c r="C519" s="22" t="s">
        <v>7694</v>
      </c>
      <c r="D519" s="22" t="n">
        <v>40</v>
      </c>
      <c r="E519" s="22" t="s">
        <v>7696</v>
      </c>
      <c r="F519" s="22" t="s">
        <v>6577</v>
      </c>
      <c r="G519" s="22" t="s">
        <v>437</v>
      </c>
      <c r="H519" s="22" t="s">
        <v>438</v>
      </c>
      <c r="I519" s="22" t="s">
        <v>439</v>
      </c>
      <c r="J519" s="22" t="n">
        <v>29.4</v>
      </c>
      <c r="K519" s="22" t="n">
        <f aca="false">ROUNDUP(J519,0)</f>
        <v>30</v>
      </c>
      <c r="L519" s="22" t="n">
        <f aca="false">MAX(D519,K519)</f>
        <v>40</v>
      </c>
      <c r="M519" s="25" t="n">
        <f aca="false">IF(E519="COVERED",'Controls &amp; Sources'!$B$5,'Controls &amp; Sources'!$B$6)</f>
        <v>7.55</v>
      </c>
      <c r="N519" s="25" t="n">
        <f aca="false">L519*M519</f>
        <v>302</v>
      </c>
      <c r="O519" s="22" t="n">
        <f aca="false">COUNTIFS('Billing Actual'!$E$2:$E$770,A519,'Billing Actual'!$B$2:$B$770,'Controls &amp; Sources'!$B$7)</f>
        <v>1</v>
      </c>
      <c r="P519" s="25" t="n">
        <f aca="false">SUMIFS('Billing Actual'!$M$2:$M$770,'Billing Actual'!$E$2:$E$770,A519,'Billing Actual'!$B$2:$B$770,'Controls &amp; Sources'!$B$7)</f>
        <v>302</v>
      </c>
      <c r="Q519" s="25" t="n">
        <f aca="false">P519-N519</f>
        <v>0</v>
      </c>
      <c r="R519" s="22" t="str">
        <f aca="false">IF(O519=0,"No August moorage transaction",IF(O519&gt;1,"Duplicate August transactions",IF(ABS(Q519)&gt;0.005,"Charge variance","OK")))</f>
        <v>OK</v>
      </c>
      <c r="S519" s="22" t="str">
        <f aca="false">IF(R519="OK","","Billing completeness/reconciliation")</f>
        <v/>
      </c>
    </row>
    <row r="520" customFormat="false" ht="15" hidden="false" customHeight="false" outlineLevel="0" collapsed="false">
      <c r="A520" s="22" t="s">
        <v>7774</v>
      </c>
      <c r="B520" s="22" t="s">
        <v>215</v>
      </c>
      <c r="C520" s="22" t="s">
        <v>7694</v>
      </c>
      <c r="D520" s="22" t="n">
        <v>36</v>
      </c>
      <c r="E520" s="22" t="s">
        <v>7696</v>
      </c>
      <c r="F520" s="22" t="s">
        <v>6577</v>
      </c>
      <c r="G520" s="22" t="s">
        <v>6182</v>
      </c>
      <c r="H520" s="22" t="s">
        <v>6183</v>
      </c>
      <c r="I520" s="22" t="s">
        <v>616</v>
      </c>
      <c r="J520" s="22" t="n">
        <v>39.1</v>
      </c>
      <c r="K520" s="22" t="n">
        <f aca="false">ROUNDUP(J520,0)</f>
        <v>40</v>
      </c>
      <c r="L520" s="22" t="n">
        <f aca="false">MAX(D520,K520)</f>
        <v>40</v>
      </c>
      <c r="M520" s="25" t="n">
        <f aca="false">IF(E520="COVERED",'Controls &amp; Sources'!$B$5,'Controls &amp; Sources'!$B$6)</f>
        <v>7.55</v>
      </c>
      <c r="N520" s="25" t="n">
        <f aca="false">L520*M520</f>
        <v>302</v>
      </c>
      <c r="O520" s="22" t="n">
        <f aca="false">COUNTIFS('Billing Actual'!$E$2:$E$770,A520,'Billing Actual'!$B$2:$B$770,'Controls &amp; Sources'!$B$7)</f>
        <v>1</v>
      </c>
      <c r="P520" s="25" t="n">
        <f aca="false">SUMIFS('Billing Actual'!$M$2:$M$770,'Billing Actual'!$E$2:$E$770,A520,'Billing Actual'!$B$2:$B$770,'Controls &amp; Sources'!$B$7)</f>
        <v>302</v>
      </c>
      <c r="Q520" s="25" t="n">
        <f aca="false">P520-N520</f>
        <v>0</v>
      </c>
      <c r="R520" s="22" t="str">
        <f aca="false">IF(O520=0,"No August moorage transaction",IF(O520&gt;1,"Duplicate August transactions",IF(ABS(Q520)&gt;0.005,"Charge variance","OK")))</f>
        <v>OK</v>
      </c>
      <c r="S520" s="22" t="str">
        <f aca="false">IF(R520="OK","","Billing completeness/reconciliation")</f>
        <v/>
      </c>
    </row>
    <row r="521" customFormat="false" ht="15" hidden="false" customHeight="false" outlineLevel="0" collapsed="false">
      <c r="A521" s="22" t="s">
        <v>7775</v>
      </c>
      <c r="B521" s="22" t="s">
        <v>215</v>
      </c>
      <c r="C521" s="22" t="s">
        <v>7694</v>
      </c>
      <c r="D521" s="22" t="n">
        <v>40</v>
      </c>
      <c r="E521" s="22" t="s">
        <v>7696</v>
      </c>
      <c r="F521" s="22" t="s">
        <v>6577</v>
      </c>
      <c r="G521" s="22" t="s">
        <v>3866</v>
      </c>
      <c r="H521" s="22" t="s">
        <v>3867</v>
      </c>
      <c r="I521" s="22" t="s">
        <v>2503</v>
      </c>
      <c r="J521" s="22" t="n">
        <v>61.9</v>
      </c>
      <c r="K521" s="22" t="n">
        <f aca="false">ROUNDUP(J521,0)</f>
        <v>62</v>
      </c>
      <c r="L521" s="22" t="n">
        <f aca="false">MAX(D521,K521)</f>
        <v>62</v>
      </c>
      <c r="M521" s="25" t="n">
        <f aca="false">IF(E521="COVERED",'Controls &amp; Sources'!$B$5,'Controls &amp; Sources'!$B$6)</f>
        <v>7.55</v>
      </c>
      <c r="N521" s="25" t="n">
        <f aca="false">L521*M521</f>
        <v>468.1</v>
      </c>
      <c r="O521" s="22" t="n">
        <f aca="false">COUNTIFS('Billing Actual'!$E$2:$E$770,A521,'Billing Actual'!$B$2:$B$770,'Controls &amp; Sources'!$B$7)</f>
        <v>1</v>
      </c>
      <c r="P521" s="25" t="n">
        <f aca="false">SUMIFS('Billing Actual'!$M$2:$M$770,'Billing Actual'!$E$2:$E$770,A521,'Billing Actual'!$B$2:$B$770,'Controls &amp; Sources'!$B$7)</f>
        <v>468.1</v>
      </c>
      <c r="Q521" s="25" t="n">
        <f aca="false">P521-N521</f>
        <v>0</v>
      </c>
      <c r="R521" s="22" t="str">
        <f aca="false">IF(O521=0,"No August moorage transaction",IF(O521&gt;1,"Duplicate August transactions",IF(ABS(Q521)&gt;0.005,"Charge variance","OK")))</f>
        <v>OK</v>
      </c>
      <c r="S521" s="22" t="str">
        <f aca="false">IF(R521="OK","","Billing completeness/reconciliation")</f>
        <v/>
      </c>
    </row>
    <row r="522" customFormat="false" ht="15" hidden="false" customHeight="false" outlineLevel="0" collapsed="false">
      <c r="A522" s="22" t="s">
        <v>7777</v>
      </c>
      <c r="B522" s="22" t="s">
        <v>215</v>
      </c>
      <c r="C522" s="22" t="s">
        <v>7694</v>
      </c>
      <c r="D522" s="22" t="n">
        <v>50</v>
      </c>
      <c r="E522" s="22" t="s">
        <v>7696</v>
      </c>
      <c r="F522" s="22" t="s">
        <v>6577</v>
      </c>
      <c r="G522" s="22" t="s">
        <v>2331</v>
      </c>
      <c r="H522" s="22" t="s">
        <v>2332</v>
      </c>
      <c r="I522" s="22" t="s">
        <v>632</v>
      </c>
      <c r="J522" s="22" t="n">
        <v>21</v>
      </c>
      <c r="K522" s="22" t="n">
        <f aca="false">ROUNDUP(J522,0)</f>
        <v>21</v>
      </c>
      <c r="L522" s="22" t="n">
        <f aca="false">MAX(D522,K522)</f>
        <v>50</v>
      </c>
      <c r="M522" s="25" t="n">
        <f aca="false">IF(E522="COVERED",'Controls &amp; Sources'!$B$5,'Controls &amp; Sources'!$B$6)</f>
        <v>7.55</v>
      </c>
      <c r="N522" s="25" t="n">
        <f aca="false">L522*M522</f>
        <v>377.5</v>
      </c>
      <c r="O522" s="22" t="n">
        <f aca="false">COUNTIFS('Billing Actual'!$E$2:$E$770,A522,'Billing Actual'!$B$2:$B$770,'Controls &amp; Sources'!$B$7)</f>
        <v>1</v>
      </c>
      <c r="P522" s="25" t="n">
        <f aca="false">SUMIFS('Billing Actual'!$M$2:$M$770,'Billing Actual'!$E$2:$E$770,A522,'Billing Actual'!$B$2:$B$770,'Controls &amp; Sources'!$B$7)</f>
        <v>377.5</v>
      </c>
      <c r="Q522" s="25" t="n">
        <f aca="false">P522-N522</f>
        <v>0</v>
      </c>
      <c r="R522" s="22" t="str">
        <f aca="false">IF(O522=0,"No August moorage transaction",IF(O522&gt;1,"Duplicate August transactions",IF(ABS(Q522)&gt;0.005,"Charge variance","OK")))</f>
        <v>OK</v>
      </c>
      <c r="S522" s="22" t="str">
        <f aca="false">IF(R522="OK","","Billing completeness/reconciliation")</f>
        <v/>
      </c>
    </row>
    <row r="523" customFormat="false" ht="15" hidden="false" customHeight="false" outlineLevel="0" collapsed="false">
      <c r="A523" s="22" t="s">
        <v>7778</v>
      </c>
      <c r="B523" s="22" t="s">
        <v>215</v>
      </c>
      <c r="C523" s="22" t="s">
        <v>7694</v>
      </c>
      <c r="D523" s="22" t="n">
        <v>70</v>
      </c>
      <c r="E523" s="22" t="s">
        <v>7696</v>
      </c>
      <c r="F523" s="22" t="s">
        <v>6577</v>
      </c>
      <c r="G523" s="22" t="s">
        <v>691</v>
      </c>
      <c r="H523" s="22" t="s">
        <v>692</v>
      </c>
      <c r="I523" s="22" t="s">
        <v>519</v>
      </c>
      <c r="J523" s="22" t="n">
        <v>19.3</v>
      </c>
      <c r="K523" s="22" t="n">
        <f aca="false">ROUNDUP(J523,0)</f>
        <v>20</v>
      </c>
      <c r="L523" s="22" t="n">
        <f aca="false">MAX(D523,K523)</f>
        <v>70</v>
      </c>
      <c r="M523" s="25" t="n">
        <f aca="false">IF(E523="COVERED",'Controls &amp; Sources'!$B$5,'Controls &amp; Sources'!$B$6)</f>
        <v>7.55</v>
      </c>
      <c r="N523" s="25" t="n">
        <f aca="false">L523*M523</f>
        <v>528.5</v>
      </c>
      <c r="O523" s="22" t="n">
        <f aca="false">COUNTIFS('Billing Actual'!$E$2:$E$770,A523,'Billing Actual'!$B$2:$B$770,'Controls &amp; Sources'!$B$7)</f>
        <v>1</v>
      </c>
      <c r="P523" s="25" t="n">
        <f aca="false">SUMIFS('Billing Actual'!$M$2:$M$770,'Billing Actual'!$E$2:$E$770,A523,'Billing Actual'!$B$2:$B$770,'Controls &amp; Sources'!$B$7)</f>
        <v>528.5</v>
      </c>
      <c r="Q523" s="25" t="n">
        <f aca="false">P523-N523</f>
        <v>0</v>
      </c>
      <c r="R523" s="22" t="str">
        <f aca="false">IF(O523=0,"No August moorage transaction",IF(O523&gt;1,"Duplicate August transactions",IF(ABS(Q523)&gt;0.005,"Charge variance","OK")))</f>
        <v>OK</v>
      </c>
      <c r="S523" s="22" t="str">
        <f aca="false">IF(R523="OK","","Billing completeness/reconciliation")</f>
        <v/>
      </c>
    </row>
    <row r="524" customFormat="false" ht="15" hidden="false" customHeight="false" outlineLevel="0" collapsed="false">
      <c r="A524" s="22" t="s">
        <v>7779</v>
      </c>
      <c r="B524" s="22" t="s">
        <v>215</v>
      </c>
      <c r="C524" s="22" t="s">
        <v>7694</v>
      </c>
      <c r="D524" s="22" t="n">
        <v>28</v>
      </c>
      <c r="E524" s="22" t="s">
        <v>7696</v>
      </c>
      <c r="F524" s="22" t="s">
        <v>6577</v>
      </c>
      <c r="G524" s="22" t="s">
        <v>2878</v>
      </c>
      <c r="H524" s="22" t="s">
        <v>2879</v>
      </c>
      <c r="I524" s="22" t="s">
        <v>278</v>
      </c>
      <c r="J524" s="22" t="n">
        <v>26.7</v>
      </c>
      <c r="K524" s="22" t="n">
        <f aca="false">ROUNDUP(J524,0)</f>
        <v>27</v>
      </c>
      <c r="L524" s="22" t="n">
        <f aca="false">MAX(D524,K524)</f>
        <v>28</v>
      </c>
      <c r="M524" s="25" t="n">
        <f aca="false">IF(E524="COVERED",'Controls &amp; Sources'!$B$5,'Controls &amp; Sources'!$B$6)</f>
        <v>7.55</v>
      </c>
      <c r="N524" s="25" t="n">
        <f aca="false">L524*M524</f>
        <v>211.4</v>
      </c>
      <c r="O524" s="22" t="n">
        <f aca="false">COUNTIFS('Billing Actual'!$E$2:$E$770,A524,'Billing Actual'!$B$2:$B$770,'Controls &amp; Sources'!$B$7)</f>
        <v>1</v>
      </c>
      <c r="P524" s="25" t="n">
        <f aca="false">SUMIFS('Billing Actual'!$M$2:$M$770,'Billing Actual'!$E$2:$E$770,A524,'Billing Actual'!$B$2:$B$770,'Controls &amp; Sources'!$B$7)</f>
        <v>211.4</v>
      </c>
      <c r="Q524" s="25" t="n">
        <f aca="false">P524-N524</f>
        <v>0</v>
      </c>
      <c r="R524" s="22" t="str">
        <f aca="false">IF(O524=0,"No August moorage transaction",IF(O524&gt;1,"Duplicate August transactions",IF(ABS(Q524)&gt;0.005,"Charge variance","OK")))</f>
        <v>OK</v>
      </c>
      <c r="S524" s="22" t="str">
        <f aca="false">IF(R524="OK","","Billing completeness/reconciliation")</f>
        <v/>
      </c>
    </row>
    <row r="525" customFormat="false" ht="15" hidden="false" customHeight="false" outlineLevel="0" collapsed="false">
      <c r="A525" s="22" t="s">
        <v>7781</v>
      </c>
      <c r="B525" s="22" t="s">
        <v>215</v>
      </c>
      <c r="C525" s="22" t="s">
        <v>7694</v>
      </c>
      <c r="D525" s="22" t="n">
        <v>50</v>
      </c>
      <c r="E525" s="22" t="s">
        <v>7696</v>
      </c>
      <c r="F525" s="22" t="s">
        <v>6577</v>
      </c>
      <c r="G525" s="22" t="s">
        <v>2556</v>
      </c>
      <c r="H525" s="22" t="s">
        <v>2557</v>
      </c>
      <c r="I525" s="22" t="s">
        <v>498</v>
      </c>
      <c r="J525" s="22" t="n">
        <v>43.4</v>
      </c>
      <c r="K525" s="22" t="n">
        <f aca="false">ROUNDUP(J525,0)</f>
        <v>44</v>
      </c>
      <c r="L525" s="22" t="n">
        <f aca="false">MAX(D525,K525)</f>
        <v>50</v>
      </c>
      <c r="M525" s="25" t="n">
        <f aca="false">IF(E525="COVERED",'Controls &amp; Sources'!$B$5,'Controls &amp; Sources'!$B$6)</f>
        <v>7.55</v>
      </c>
      <c r="N525" s="25" t="n">
        <f aca="false">L525*M525</f>
        <v>377.5</v>
      </c>
      <c r="O525" s="22" t="n">
        <f aca="false">COUNTIFS('Billing Actual'!$E$2:$E$770,A525,'Billing Actual'!$B$2:$B$770,'Controls &amp; Sources'!$B$7)</f>
        <v>1</v>
      </c>
      <c r="P525" s="25" t="n">
        <f aca="false">SUMIFS('Billing Actual'!$M$2:$M$770,'Billing Actual'!$E$2:$E$770,A525,'Billing Actual'!$B$2:$B$770,'Controls &amp; Sources'!$B$7)</f>
        <v>377.5</v>
      </c>
      <c r="Q525" s="25" t="n">
        <f aca="false">P525-N525</f>
        <v>0</v>
      </c>
      <c r="R525" s="22" t="str">
        <f aca="false">IF(O525=0,"No August moorage transaction",IF(O525&gt;1,"Duplicate August transactions",IF(ABS(Q525)&gt;0.005,"Charge variance","OK")))</f>
        <v>OK</v>
      </c>
      <c r="S525" s="22" t="str">
        <f aca="false">IF(R525="OK","","Billing completeness/reconciliation")</f>
        <v/>
      </c>
    </row>
    <row r="526" customFormat="false" ht="15" hidden="false" customHeight="false" outlineLevel="0" collapsed="false">
      <c r="A526" s="22" t="s">
        <v>7784</v>
      </c>
      <c r="B526" s="22" t="s">
        <v>215</v>
      </c>
      <c r="C526" s="22" t="s">
        <v>7694</v>
      </c>
      <c r="D526" s="22" t="n">
        <v>32</v>
      </c>
      <c r="E526" s="22" t="s">
        <v>7696</v>
      </c>
      <c r="F526" s="22" t="s">
        <v>6577</v>
      </c>
      <c r="G526" s="22" t="s">
        <v>3187</v>
      </c>
      <c r="H526" s="22" t="s">
        <v>3188</v>
      </c>
      <c r="I526" s="22" t="s">
        <v>2108</v>
      </c>
      <c r="J526" s="22" t="n">
        <v>22.3</v>
      </c>
      <c r="K526" s="22" t="n">
        <f aca="false">ROUNDUP(J526,0)</f>
        <v>23</v>
      </c>
      <c r="L526" s="22" t="n">
        <f aca="false">MAX(D526,K526)</f>
        <v>32</v>
      </c>
      <c r="M526" s="25" t="n">
        <f aca="false">IF(E526="COVERED",'Controls &amp; Sources'!$B$5,'Controls &amp; Sources'!$B$6)</f>
        <v>7.55</v>
      </c>
      <c r="N526" s="25" t="n">
        <f aca="false">L526*M526</f>
        <v>241.6</v>
      </c>
      <c r="O526" s="22" t="n">
        <f aca="false">COUNTIFS('Billing Actual'!$E$2:$E$770,A526,'Billing Actual'!$B$2:$B$770,'Controls &amp; Sources'!$B$7)</f>
        <v>1</v>
      </c>
      <c r="P526" s="25" t="n">
        <f aca="false">SUMIFS('Billing Actual'!$M$2:$M$770,'Billing Actual'!$E$2:$E$770,A526,'Billing Actual'!$B$2:$B$770,'Controls &amp; Sources'!$B$7)</f>
        <v>241.6</v>
      </c>
      <c r="Q526" s="25" t="n">
        <f aca="false">P526-N526</f>
        <v>0</v>
      </c>
      <c r="R526" s="22" t="str">
        <f aca="false">IF(O526=0,"No August moorage transaction",IF(O526&gt;1,"Duplicate August transactions",IF(ABS(Q526)&gt;0.005,"Charge variance","OK")))</f>
        <v>OK</v>
      </c>
      <c r="S526" s="22" t="str">
        <f aca="false">IF(R526="OK","","Billing completeness/reconciliation")</f>
        <v/>
      </c>
    </row>
    <row r="527" customFormat="false" ht="15" hidden="false" customHeight="false" outlineLevel="0" collapsed="false">
      <c r="A527" s="22" t="s">
        <v>7785</v>
      </c>
      <c r="B527" s="22" t="s">
        <v>215</v>
      </c>
      <c r="C527" s="22" t="s">
        <v>7694</v>
      </c>
      <c r="D527" s="22" t="n">
        <v>28</v>
      </c>
      <c r="E527" s="22" t="s">
        <v>7696</v>
      </c>
      <c r="F527" s="22" t="s">
        <v>6577</v>
      </c>
      <c r="G527" s="22" t="s">
        <v>6355</v>
      </c>
      <c r="H527" s="22" t="s">
        <v>6356</v>
      </c>
      <c r="I527" s="22" t="s">
        <v>269</v>
      </c>
      <c r="J527" s="22" t="n">
        <v>30.1</v>
      </c>
      <c r="K527" s="22" t="n">
        <f aca="false">ROUNDUP(J527,0)</f>
        <v>31</v>
      </c>
      <c r="L527" s="22" t="n">
        <f aca="false">MAX(D527,K527)</f>
        <v>31</v>
      </c>
      <c r="M527" s="25" t="n">
        <f aca="false">IF(E527="COVERED",'Controls &amp; Sources'!$B$5,'Controls &amp; Sources'!$B$6)</f>
        <v>7.55</v>
      </c>
      <c r="N527" s="25" t="n">
        <f aca="false">L527*M527</f>
        <v>234.05</v>
      </c>
      <c r="O527" s="22" t="n">
        <f aca="false">COUNTIFS('Billing Actual'!$E$2:$E$770,A527,'Billing Actual'!$B$2:$B$770,'Controls &amp; Sources'!$B$7)</f>
        <v>1</v>
      </c>
      <c r="P527" s="25" t="n">
        <f aca="false">SUMIFS('Billing Actual'!$M$2:$M$770,'Billing Actual'!$E$2:$E$770,A527,'Billing Actual'!$B$2:$B$770,'Controls &amp; Sources'!$B$7)</f>
        <v>234.05</v>
      </c>
      <c r="Q527" s="25" t="n">
        <f aca="false">P527-N527</f>
        <v>0</v>
      </c>
      <c r="R527" s="22" t="str">
        <f aca="false">IF(O527=0,"No August moorage transaction",IF(O527&gt;1,"Duplicate August transactions",IF(ABS(Q527)&gt;0.005,"Charge variance","OK")))</f>
        <v>OK</v>
      </c>
      <c r="S527" s="22" t="str">
        <f aca="false">IF(R527="OK","","Billing completeness/reconciliation")</f>
        <v/>
      </c>
    </row>
    <row r="528" customFormat="false" ht="15" hidden="false" customHeight="false" outlineLevel="0" collapsed="false">
      <c r="A528" s="22" t="s">
        <v>7786</v>
      </c>
      <c r="B528" s="22" t="s">
        <v>215</v>
      </c>
      <c r="C528" s="22" t="s">
        <v>7694</v>
      </c>
      <c r="D528" s="22" t="n">
        <v>50</v>
      </c>
      <c r="E528" s="22" t="s">
        <v>7696</v>
      </c>
      <c r="F528" s="22" t="s">
        <v>6577</v>
      </c>
      <c r="G528" s="22" t="s">
        <v>1329</v>
      </c>
      <c r="H528" s="22" t="s">
        <v>1330</v>
      </c>
      <c r="I528" s="22" t="s">
        <v>781</v>
      </c>
      <c r="J528" s="22" t="n">
        <v>21.8</v>
      </c>
      <c r="K528" s="22" t="n">
        <f aca="false">ROUNDUP(J528,0)</f>
        <v>22</v>
      </c>
      <c r="L528" s="22" t="n">
        <f aca="false">MAX(D528,K528)</f>
        <v>50</v>
      </c>
      <c r="M528" s="25" t="n">
        <f aca="false">IF(E528="COVERED",'Controls &amp; Sources'!$B$5,'Controls &amp; Sources'!$B$6)</f>
        <v>7.55</v>
      </c>
      <c r="N528" s="25" t="n">
        <f aca="false">L528*M528</f>
        <v>377.5</v>
      </c>
      <c r="O528" s="22" t="n">
        <f aca="false">COUNTIFS('Billing Actual'!$E$2:$E$770,A528,'Billing Actual'!$B$2:$B$770,'Controls &amp; Sources'!$B$7)</f>
        <v>1</v>
      </c>
      <c r="P528" s="25" t="n">
        <f aca="false">SUMIFS('Billing Actual'!$M$2:$M$770,'Billing Actual'!$E$2:$E$770,A528,'Billing Actual'!$B$2:$B$770,'Controls &amp; Sources'!$B$7)</f>
        <v>377.5</v>
      </c>
      <c r="Q528" s="25" t="n">
        <f aca="false">P528-N528</f>
        <v>0</v>
      </c>
      <c r="R528" s="22" t="str">
        <f aca="false">IF(O528=0,"No August moorage transaction",IF(O528&gt;1,"Duplicate August transactions",IF(ABS(Q528)&gt;0.005,"Charge variance","OK")))</f>
        <v>OK</v>
      </c>
      <c r="S528" s="22" t="str">
        <f aca="false">IF(R528="OK","","Billing completeness/reconciliation")</f>
        <v/>
      </c>
    </row>
    <row r="529" customFormat="false" ht="15" hidden="false" customHeight="false" outlineLevel="0" collapsed="false">
      <c r="A529" s="22" t="s">
        <v>7787</v>
      </c>
      <c r="B529" s="22" t="s">
        <v>215</v>
      </c>
      <c r="C529" s="22" t="s">
        <v>7694</v>
      </c>
      <c r="D529" s="22" t="n">
        <v>32</v>
      </c>
      <c r="E529" s="22" t="s">
        <v>7696</v>
      </c>
      <c r="F529" s="22" t="s">
        <v>6577</v>
      </c>
      <c r="G529" s="22" t="s">
        <v>2010</v>
      </c>
      <c r="H529" s="22" t="s">
        <v>2011</v>
      </c>
      <c r="I529" s="22" t="s">
        <v>2012</v>
      </c>
      <c r="J529" s="22" t="n">
        <v>32.5</v>
      </c>
      <c r="K529" s="22" t="n">
        <f aca="false">ROUNDUP(J529,0)</f>
        <v>33</v>
      </c>
      <c r="L529" s="22" t="n">
        <f aca="false">MAX(D529,K529)</f>
        <v>33</v>
      </c>
      <c r="M529" s="25" t="n">
        <f aca="false">IF(E529="COVERED",'Controls &amp; Sources'!$B$5,'Controls &amp; Sources'!$B$6)</f>
        <v>7.55</v>
      </c>
      <c r="N529" s="25" t="n">
        <f aca="false">L529*M529</f>
        <v>249.15</v>
      </c>
      <c r="O529" s="22" t="n">
        <f aca="false">COUNTIFS('Billing Actual'!$E$2:$E$770,A529,'Billing Actual'!$B$2:$B$770,'Controls &amp; Sources'!$B$7)</f>
        <v>1</v>
      </c>
      <c r="P529" s="25" t="n">
        <f aca="false">SUMIFS('Billing Actual'!$M$2:$M$770,'Billing Actual'!$E$2:$E$770,A529,'Billing Actual'!$B$2:$B$770,'Controls &amp; Sources'!$B$7)</f>
        <v>249.15</v>
      </c>
      <c r="Q529" s="25" t="n">
        <f aca="false">P529-N529</f>
        <v>0</v>
      </c>
      <c r="R529" s="22" t="str">
        <f aca="false">IF(O529=0,"No August moorage transaction",IF(O529&gt;1,"Duplicate August transactions",IF(ABS(Q529)&gt;0.005,"Charge variance","OK")))</f>
        <v>OK</v>
      </c>
      <c r="S529" s="22" t="str">
        <f aca="false">IF(R529="OK","","Billing completeness/reconciliation")</f>
        <v/>
      </c>
    </row>
    <row r="530" customFormat="false" ht="15" hidden="false" customHeight="false" outlineLevel="0" collapsed="false">
      <c r="A530" s="22" t="s">
        <v>7788</v>
      </c>
      <c r="B530" s="22" t="s">
        <v>215</v>
      </c>
      <c r="C530" s="22" t="s">
        <v>7694</v>
      </c>
      <c r="D530" s="22" t="n">
        <v>24</v>
      </c>
      <c r="E530" s="22" t="s">
        <v>7696</v>
      </c>
      <c r="F530" s="22" t="s">
        <v>6577</v>
      </c>
      <c r="G530" s="22" t="s">
        <v>1223</v>
      </c>
      <c r="H530" s="22" t="s">
        <v>1224</v>
      </c>
      <c r="I530" s="22" t="s">
        <v>611</v>
      </c>
      <c r="J530" s="22" t="n">
        <v>43.2</v>
      </c>
      <c r="K530" s="22" t="n">
        <f aca="false">ROUNDUP(J530,0)</f>
        <v>44</v>
      </c>
      <c r="L530" s="22" t="n">
        <f aca="false">MAX(D530,K530)</f>
        <v>44</v>
      </c>
      <c r="M530" s="25" t="n">
        <f aca="false">IF(E530="COVERED",'Controls &amp; Sources'!$B$5,'Controls &amp; Sources'!$B$6)</f>
        <v>7.55</v>
      </c>
      <c r="N530" s="25" t="n">
        <f aca="false">L530*M530</f>
        <v>332.2</v>
      </c>
      <c r="O530" s="22" t="n">
        <f aca="false">COUNTIFS('Billing Actual'!$E$2:$E$770,A530,'Billing Actual'!$B$2:$B$770,'Controls &amp; Sources'!$B$7)</f>
        <v>1</v>
      </c>
      <c r="P530" s="25" t="n">
        <f aca="false">SUMIFS('Billing Actual'!$M$2:$M$770,'Billing Actual'!$E$2:$E$770,A530,'Billing Actual'!$B$2:$B$770,'Controls &amp; Sources'!$B$7)</f>
        <v>332.2</v>
      </c>
      <c r="Q530" s="25" t="n">
        <f aca="false">P530-N530</f>
        <v>0</v>
      </c>
      <c r="R530" s="22" t="str">
        <f aca="false">IF(O530=0,"No August moorage transaction",IF(O530&gt;1,"Duplicate August transactions",IF(ABS(Q530)&gt;0.005,"Charge variance","OK")))</f>
        <v>OK</v>
      </c>
      <c r="S530" s="22" t="str">
        <f aca="false">IF(R530="OK","","Billing completeness/reconciliation")</f>
        <v/>
      </c>
    </row>
    <row r="531" customFormat="false" ht="15" hidden="false" customHeight="false" outlineLevel="0" collapsed="false">
      <c r="A531" s="22" t="s">
        <v>7790</v>
      </c>
      <c r="B531" s="22" t="s">
        <v>215</v>
      </c>
      <c r="C531" s="22" t="s">
        <v>7694</v>
      </c>
      <c r="D531" s="22" t="n">
        <v>36</v>
      </c>
      <c r="E531" s="22" t="s">
        <v>7696</v>
      </c>
      <c r="F531" s="22" t="s">
        <v>6577</v>
      </c>
      <c r="G531" s="22" t="s">
        <v>4607</v>
      </c>
      <c r="H531" s="22" t="s">
        <v>4608</v>
      </c>
      <c r="I531" s="22" t="s">
        <v>4609</v>
      </c>
      <c r="J531" s="22" t="n">
        <v>60.1</v>
      </c>
      <c r="K531" s="22" t="n">
        <f aca="false">ROUNDUP(J531,0)</f>
        <v>61</v>
      </c>
      <c r="L531" s="22" t="n">
        <f aca="false">MAX(D531,K531)</f>
        <v>61</v>
      </c>
      <c r="M531" s="25" t="n">
        <f aca="false">IF(E531="COVERED",'Controls &amp; Sources'!$B$5,'Controls &amp; Sources'!$B$6)</f>
        <v>7.55</v>
      </c>
      <c r="N531" s="25" t="n">
        <f aca="false">L531*M531</f>
        <v>460.55</v>
      </c>
      <c r="O531" s="22" t="n">
        <f aca="false">COUNTIFS('Billing Actual'!$E$2:$E$770,A531,'Billing Actual'!$B$2:$B$770,'Controls &amp; Sources'!$B$7)</f>
        <v>1</v>
      </c>
      <c r="P531" s="25" t="n">
        <f aca="false">SUMIFS('Billing Actual'!$M$2:$M$770,'Billing Actual'!$E$2:$E$770,A531,'Billing Actual'!$B$2:$B$770,'Controls &amp; Sources'!$B$7)</f>
        <v>460.55</v>
      </c>
      <c r="Q531" s="25" t="n">
        <f aca="false">P531-N531</f>
        <v>0</v>
      </c>
      <c r="R531" s="22" t="str">
        <f aca="false">IF(O531=0,"No August moorage transaction",IF(O531&gt;1,"Duplicate August transactions",IF(ABS(Q531)&gt;0.005,"Charge variance","OK")))</f>
        <v>OK</v>
      </c>
      <c r="S531" s="22" t="str">
        <f aca="false">IF(R531="OK","","Billing completeness/reconciliation")</f>
        <v/>
      </c>
    </row>
    <row r="532" customFormat="false" ht="15" hidden="false" customHeight="false" outlineLevel="0" collapsed="false">
      <c r="A532" s="22" t="s">
        <v>7792</v>
      </c>
      <c r="B532" s="22" t="s">
        <v>215</v>
      </c>
      <c r="C532" s="22" t="s">
        <v>7694</v>
      </c>
      <c r="D532" s="22" t="n">
        <v>36</v>
      </c>
      <c r="E532" s="22" t="s">
        <v>7696</v>
      </c>
      <c r="F532" s="22" t="s">
        <v>6577</v>
      </c>
      <c r="G532" s="22" t="s">
        <v>2678</v>
      </c>
      <c r="H532" s="22" t="s">
        <v>2679</v>
      </c>
      <c r="I532" s="22" t="s">
        <v>812</v>
      </c>
      <c r="J532" s="22" t="n">
        <v>44.2</v>
      </c>
      <c r="K532" s="22" t="n">
        <f aca="false">ROUNDUP(J532,0)</f>
        <v>45</v>
      </c>
      <c r="L532" s="22" t="n">
        <f aca="false">MAX(D532,K532)</f>
        <v>45</v>
      </c>
      <c r="M532" s="25" t="n">
        <f aca="false">IF(E532="COVERED",'Controls &amp; Sources'!$B$5,'Controls &amp; Sources'!$B$6)</f>
        <v>7.55</v>
      </c>
      <c r="N532" s="25" t="n">
        <f aca="false">L532*M532</f>
        <v>339.75</v>
      </c>
      <c r="O532" s="22" t="n">
        <f aca="false">COUNTIFS('Billing Actual'!$E$2:$E$770,A532,'Billing Actual'!$B$2:$B$770,'Controls &amp; Sources'!$B$7)</f>
        <v>1</v>
      </c>
      <c r="P532" s="25" t="n">
        <f aca="false">SUMIFS('Billing Actual'!$M$2:$M$770,'Billing Actual'!$E$2:$E$770,A532,'Billing Actual'!$B$2:$B$770,'Controls &amp; Sources'!$B$7)</f>
        <v>339.75</v>
      </c>
      <c r="Q532" s="25" t="n">
        <f aca="false">P532-N532</f>
        <v>0</v>
      </c>
      <c r="R532" s="22" t="str">
        <f aca="false">IF(O532=0,"No August moorage transaction",IF(O532&gt;1,"Duplicate August transactions",IF(ABS(Q532)&gt;0.005,"Charge variance","OK")))</f>
        <v>OK</v>
      </c>
      <c r="S532" s="22" t="str">
        <f aca="false">IF(R532="OK","","Billing completeness/reconciliation")</f>
        <v/>
      </c>
    </row>
    <row r="533" customFormat="false" ht="15" hidden="false" customHeight="false" outlineLevel="0" collapsed="false">
      <c r="A533" s="22" t="s">
        <v>7793</v>
      </c>
      <c r="B533" s="22" t="s">
        <v>215</v>
      </c>
      <c r="C533" s="22" t="s">
        <v>7694</v>
      </c>
      <c r="D533" s="22" t="n">
        <v>32</v>
      </c>
      <c r="E533" s="22" t="s">
        <v>7696</v>
      </c>
      <c r="F533" s="22" t="s">
        <v>6577</v>
      </c>
      <c r="G533" s="22" t="s">
        <v>5061</v>
      </c>
      <c r="H533" s="22" t="s">
        <v>5062</v>
      </c>
      <c r="I533" s="22" t="s">
        <v>498</v>
      </c>
      <c r="J533" s="22" t="n">
        <v>37</v>
      </c>
      <c r="K533" s="22" t="n">
        <f aca="false">ROUNDUP(J533,0)</f>
        <v>37</v>
      </c>
      <c r="L533" s="22" t="n">
        <f aca="false">MAX(D533,K533)</f>
        <v>37</v>
      </c>
      <c r="M533" s="25" t="n">
        <f aca="false">IF(E533="COVERED",'Controls &amp; Sources'!$B$5,'Controls &amp; Sources'!$B$6)</f>
        <v>7.55</v>
      </c>
      <c r="N533" s="25" t="n">
        <f aca="false">L533*M533</f>
        <v>279.35</v>
      </c>
      <c r="O533" s="22" t="n">
        <f aca="false">COUNTIFS('Billing Actual'!$E$2:$E$770,A533,'Billing Actual'!$B$2:$B$770,'Controls &amp; Sources'!$B$7)</f>
        <v>1</v>
      </c>
      <c r="P533" s="25" t="n">
        <f aca="false">SUMIFS('Billing Actual'!$M$2:$M$770,'Billing Actual'!$E$2:$E$770,A533,'Billing Actual'!$B$2:$B$770,'Controls &amp; Sources'!$B$7)</f>
        <v>279.35</v>
      </c>
      <c r="Q533" s="25" t="n">
        <f aca="false">P533-N533</f>
        <v>0</v>
      </c>
      <c r="R533" s="22" t="str">
        <f aca="false">IF(O533=0,"No August moorage transaction",IF(O533&gt;1,"Duplicate August transactions",IF(ABS(Q533)&gt;0.005,"Charge variance","OK")))</f>
        <v>OK</v>
      </c>
      <c r="S533" s="22" t="str">
        <f aca="false">IF(R533="OK","","Billing completeness/reconciliation")</f>
        <v/>
      </c>
    </row>
    <row r="534" customFormat="false" ht="15" hidden="false" customHeight="false" outlineLevel="0" collapsed="false">
      <c r="A534" s="22" t="s">
        <v>7794</v>
      </c>
      <c r="B534" s="22" t="s">
        <v>215</v>
      </c>
      <c r="C534" s="22" t="s">
        <v>7694</v>
      </c>
      <c r="D534" s="22" t="n">
        <v>70</v>
      </c>
      <c r="E534" s="22" t="s">
        <v>7696</v>
      </c>
      <c r="F534" s="22" t="s">
        <v>6577</v>
      </c>
      <c r="G534" s="22" t="s">
        <v>4111</v>
      </c>
      <c r="H534" s="22" t="s">
        <v>4112</v>
      </c>
      <c r="I534" s="22" t="s">
        <v>563</v>
      </c>
      <c r="J534" s="22" t="n">
        <v>56.8</v>
      </c>
      <c r="K534" s="22" t="n">
        <f aca="false">ROUNDUP(J534,0)</f>
        <v>57</v>
      </c>
      <c r="L534" s="22" t="n">
        <f aca="false">MAX(D534,K534)</f>
        <v>70</v>
      </c>
      <c r="M534" s="25" t="n">
        <f aca="false">IF(E534="COVERED",'Controls &amp; Sources'!$B$5,'Controls &amp; Sources'!$B$6)</f>
        <v>7.55</v>
      </c>
      <c r="N534" s="25" t="n">
        <f aca="false">L534*M534</f>
        <v>528.5</v>
      </c>
      <c r="O534" s="22" t="n">
        <f aca="false">COUNTIFS('Billing Actual'!$E$2:$E$770,A534,'Billing Actual'!$B$2:$B$770,'Controls &amp; Sources'!$B$7)</f>
        <v>1</v>
      </c>
      <c r="P534" s="25" t="n">
        <f aca="false">SUMIFS('Billing Actual'!$M$2:$M$770,'Billing Actual'!$E$2:$E$770,A534,'Billing Actual'!$B$2:$B$770,'Controls &amp; Sources'!$B$7)</f>
        <v>528.5</v>
      </c>
      <c r="Q534" s="25" t="n">
        <f aca="false">P534-N534</f>
        <v>0</v>
      </c>
      <c r="R534" s="22" t="str">
        <f aca="false">IF(O534=0,"No August moorage transaction",IF(O534&gt;1,"Duplicate August transactions",IF(ABS(Q534)&gt;0.005,"Charge variance","OK")))</f>
        <v>OK</v>
      </c>
      <c r="S534" s="22" t="str">
        <f aca="false">IF(R534="OK","","Billing completeness/reconciliation")</f>
        <v/>
      </c>
    </row>
    <row r="535" customFormat="false" ht="15" hidden="false" customHeight="false" outlineLevel="0" collapsed="false">
      <c r="A535" s="22" t="s">
        <v>7796</v>
      </c>
      <c r="B535" s="22" t="s">
        <v>215</v>
      </c>
      <c r="C535" s="22" t="s">
        <v>7694</v>
      </c>
      <c r="D535" s="22" t="n">
        <v>70</v>
      </c>
      <c r="E535" s="22" t="s">
        <v>7696</v>
      </c>
      <c r="F535" s="22" t="s">
        <v>6577</v>
      </c>
      <c r="G535" s="22" t="s">
        <v>4034</v>
      </c>
      <c r="H535" s="22" t="s">
        <v>4035</v>
      </c>
      <c r="I535" s="22" t="s">
        <v>416</v>
      </c>
      <c r="J535" s="22" t="n">
        <v>18.7</v>
      </c>
      <c r="K535" s="22" t="n">
        <f aca="false">ROUNDUP(J535,0)</f>
        <v>19</v>
      </c>
      <c r="L535" s="22" t="n">
        <f aca="false">MAX(D535,K535)</f>
        <v>70</v>
      </c>
      <c r="M535" s="25" t="n">
        <f aca="false">IF(E535="COVERED",'Controls &amp; Sources'!$B$5,'Controls &amp; Sources'!$B$6)</f>
        <v>7.55</v>
      </c>
      <c r="N535" s="25" t="n">
        <f aca="false">L535*M535</f>
        <v>528.5</v>
      </c>
      <c r="O535" s="22" t="n">
        <f aca="false">COUNTIFS('Billing Actual'!$E$2:$E$770,A535,'Billing Actual'!$B$2:$B$770,'Controls &amp; Sources'!$B$7)</f>
        <v>1</v>
      </c>
      <c r="P535" s="25" t="n">
        <f aca="false">SUMIFS('Billing Actual'!$M$2:$M$770,'Billing Actual'!$E$2:$E$770,A535,'Billing Actual'!$B$2:$B$770,'Controls &amp; Sources'!$B$7)</f>
        <v>528.5</v>
      </c>
      <c r="Q535" s="25" t="n">
        <f aca="false">P535-N535</f>
        <v>0</v>
      </c>
      <c r="R535" s="22" t="str">
        <f aca="false">IF(O535=0,"No August moorage transaction",IF(O535&gt;1,"Duplicate August transactions",IF(ABS(Q535)&gt;0.005,"Charge variance","OK")))</f>
        <v>OK</v>
      </c>
      <c r="S535" s="22" t="str">
        <f aca="false">IF(R535="OK","","Billing completeness/reconciliation")</f>
        <v/>
      </c>
    </row>
    <row r="536" customFormat="false" ht="15" hidden="false" customHeight="false" outlineLevel="0" collapsed="false">
      <c r="A536" s="22" t="s">
        <v>7797</v>
      </c>
      <c r="B536" s="22" t="s">
        <v>215</v>
      </c>
      <c r="C536" s="22" t="s">
        <v>7694</v>
      </c>
      <c r="D536" s="22" t="n">
        <v>28</v>
      </c>
      <c r="E536" s="22" t="s">
        <v>7696</v>
      </c>
      <c r="F536" s="22" t="s">
        <v>6577</v>
      </c>
      <c r="G536" s="22" t="s">
        <v>2664</v>
      </c>
      <c r="H536" s="22" t="s">
        <v>2665</v>
      </c>
      <c r="I536" s="22" t="s">
        <v>546</v>
      </c>
      <c r="J536" s="22" t="n">
        <v>56.7</v>
      </c>
      <c r="K536" s="22" t="n">
        <f aca="false">ROUNDUP(J536,0)</f>
        <v>57</v>
      </c>
      <c r="L536" s="22" t="n">
        <f aca="false">MAX(D536,K536)</f>
        <v>57</v>
      </c>
      <c r="M536" s="25" t="n">
        <f aca="false">IF(E536="COVERED",'Controls &amp; Sources'!$B$5,'Controls &amp; Sources'!$B$6)</f>
        <v>7.55</v>
      </c>
      <c r="N536" s="25" t="n">
        <f aca="false">L536*M536</f>
        <v>430.35</v>
      </c>
      <c r="O536" s="22" t="n">
        <f aca="false">COUNTIFS('Billing Actual'!$E$2:$E$770,A536,'Billing Actual'!$B$2:$B$770,'Controls &amp; Sources'!$B$7)</f>
        <v>1</v>
      </c>
      <c r="P536" s="25" t="n">
        <f aca="false">SUMIFS('Billing Actual'!$M$2:$M$770,'Billing Actual'!$E$2:$E$770,A536,'Billing Actual'!$B$2:$B$770,'Controls &amp; Sources'!$B$7)</f>
        <v>430.35</v>
      </c>
      <c r="Q536" s="25" t="n">
        <f aca="false">P536-N536</f>
        <v>0</v>
      </c>
      <c r="R536" s="22" t="str">
        <f aca="false">IF(O536=0,"No August moorage transaction",IF(O536&gt;1,"Duplicate August transactions",IF(ABS(Q536)&gt;0.005,"Charge variance","OK")))</f>
        <v>OK</v>
      </c>
      <c r="S536" s="22" t="str">
        <f aca="false">IF(R536="OK","","Billing completeness/reconciliation")</f>
        <v/>
      </c>
    </row>
    <row r="537" customFormat="false" ht="15" hidden="false" customHeight="false" outlineLevel="0" collapsed="false">
      <c r="A537" s="22" t="s">
        <v>7798</v>
      </c>
      <c r="B537" s="22" t="s">
        <v>215</v>
      </c>
      <c r="C537" s="22" t="s">
        <v>7694</v>
      </c>
      <c r="D537" s="22" t="n">
        <v>36</v>
      </c>
      <c r="E537" s="22" t="s">
        <v>7696</v>
      </c>
      <c r="F537" s="22" t="s">
        <v>6577</v>
      </c>
      <c r="G537" s="22" t="s">
        <v>4086</v>
      </c>
      <c r="H537" s="22" t="s">
        <v>4087</v>
      </c>
      <c r="I537" s="22" t="s">
        <v>1198</v>
      </c>
      <c r="J537" s="22" t="n">
        <v>50.2</v>
      </c>
      <c r="K537" s="22" t="n">
        <f aca="false">ROUNDUP(J537,0)</f>
        <v>51</v>
      </c>
      <c r="L537" s="22" t="n">
        <f aca="false">MAX(D537,K537)</f>
        <v>51</v>
      </c>
      <c r="M537" s="25" t="n">
        <f aca="false">IF(E537="COVERED",'Controls &amp; Sources'!$B$5,'Controls &amp; Sources'!$B$6)</f>
        <v>7.55</v>
      </c>
      <c r="N537" s="25" t="n">
        <f aca="false">L537*M537</f>
        <v>385.05</v>
      </c>
      <c r="O537" s="22" t="n">
        <f aca="false">COUNTIFS('Billing Actual'!$E$2:$E$770,A537,'Billing Actual'!$B$2:$B$770,'Controls &amp; Sources'!$B$7)</f>
        <v>1</v>
      </c>
      <c r="P537" s="25" t="n">
        <f aca="false">SUMIFS('Billing Actual'!$M$2:$M$770,'Billing Actual'!$E$2:$E$770,A537,'Billing Actual'!$B$2:$B$770,'Controls &amp; Sources'!$B$7)</f>
        <v>385.05</v>
      </c>
      <c r="Q537" s="25" t="n">
        <f aca="false">P537-N537</f>
        <v>0</v>
      </c>
      <c r="R537" s="22" t="str">
        <f aca="false">IF(O537=0,"No August moorage transaction",IF(O537&gt;1,"Duplicate August transactions",IF(ABS(Q537)&gt;0.005,"Charge variance","OK")))</f>
        <v>OK</v>
      </c>
      <c r="S537" s="22" t="str">
        <f aca="false">IF(R537="OK","","Billing completeness/reconciliation")</f>
        <v/>
      </c>
    </row>
    <row r="538" customFormat="false" ht="15" hidden="false" customHeight="false" outlineLevel="0" collapsed="false">
      <c r="A538" s="22" t="s">
        <v>7799</v>
      </c>
      <c r="B538" s="22" t="s">
        <v>215</v>
      </c>
      <c r="C538" s="22" t="s">
        <v>7694</v>
      </c>
      <c r="D538" s="22" t="n">
        <v>80</v>
      </c>
      <c r="E538" s="22" t="s">
        <v>7696</v>
      </c>
      <c r="F538" s="22" t="s">
        <v>6577</v>
      </c>
      <c r="G538" s="22" t="s">
        <v>3627</v>
      </c>
      <c r="H538" s="22" t="s">
        <v>1890</v>
      </c>
      <c r="I538" s="22" t="s">
        <v>2592</v>
      </c>
      <c r="J538" s="22" t="n">
        <v>19.3</v>
      </c>
      <c r="K538" s="22" t="n">
        <f aca="false">ROUNDUP(J538,0)</f>
        <v>20</v>
      </c>
      <c r="L538" s="22" t="n">
        <f aca="false">MAX(D538,K538)</f>
        <v>80</v>
      </c>
      <c r="M538" s="25" t="n">
        <f aca="false">IF(E538="COVERED",'Controls &amp; Sources'!$B$5,'Controls &amp; Sources'!$B$6)</f>
        <v>7.55</v>
      </c>
      <c r="N538" s="25" t="n">
        <f aca="false">L538*M538</f>
        <v>604</v>
      </c>
      <c r="O538" s="22" t="n">
        <f aca="false">COUNTIFS('Billing Actual'!$E$2:$E$770,A538,'Billing Actual'!$B$2:$B$770,'Controls &amp; Sources'!$B$7)</f>
        <v>1</v>
      </c>
      <c r="P538" s="25" t="n">
        <f aca="false">SUMIFS('Billing Actual'!$M$2:$M$770,'Billing Actual'!$E$2:$E$770,A538,'Billing Actual'!$B$2:$B$770,'Controls &amp; Sources'!$B$7)</f>
        <v>604</v>
      </c>
      <c r="Q538" s="25" t="n">
        <f aca="false">P538-N538</f>
        <v>0</v>
      </c>
      <c r="R538" s="22" t="str">
        <f aca="false">IF(O538=0,"No August moorage transaction",IF(O538&gt;1,"Duplicate August transactions",IF(ABS(Q538)&gt;0.005,"Charge variance","OK")))</f>
        <v>OK</v>
      </c>
      <c r="S538" s="22" t="str">
        <f aca="false">IF(R538="OK","","Billing completeness/reconciliation")</f>
        <v/>
      </c>
    </row>
    <row r="539" customFormat="false" ht="15" hidden="false" customHeight="false" outlineLevel="0" collapsed="false">
      <c r="A539" s="22" t="s">
        <v>7801</v>
      </c>
      <c r="B539" s="22" t="s">
        <v>215</v>
      </c>
      <c r="C539" s="22" t="s">
        <v>7694</v>
      </c>
      <c r="D539" s="22" t="n">
        <v>28</v>
      </c>
      <c r="E539" s="22" t="s">
        <v>7696</v>
      </c>
      <c r="F539" s="22" t="s">
        <v>6577</v>
      </c>
      <c r="G539" s="22" t="s">
        <v>3456</v>
      </c>
      <c r="H539" s="22" t="s">
        <v>3457</v>
      </c>
      <c r="I539" s="22" t="s">
        <v>991</v>
      </c>
      <c r="J539" s="22" t="n">
        <v>50.5</v>
      </c>
      <c r="K539" s="22" t="n">
        <f aca="false">ROUNDUP(J539,0)</f>
        <v>51</v>
      </c>
      <c r="L539" s="22" t="n">
        <f aca="false">MAX(D539,K539)</f>
        <v>51</v>
      </c>
      <c r="M539" s="25" t="n">
        <f aca="false">IF(E539="COVERED",'Controls &amp; Sources'!$B$5,'Controls &amp; Sources'!$B$6)</f>
        <v>7.55</v>
      </c>
      <c r="N539" s="25" t="n">
        <f aca="false">L539*M539</f>
        <v>385.05</v>
      </c>
      <c r="O539" s="22" t="n">
        <f aca="false">COUNTIFS('Billing Actual'!$E$2:$E$770,A539,'Billing Actual'!$B$2:$B$770,'Controls &amp; Sources'!$B$7)</f>
        <v>1</v>
      </c>
      <c r="P539" s="25" t="n">
        <f aca="false">SUMIFS('Billing Actual'!$M$2:$M$770,'Billing Actual'!$E$2:$E$770,A539,'Billing Actual'!$B$2:$B$770,'Controls &amp; Sources'!$B$7)</f>
        <v>385.05</v>
      </c>
      <c r="Q539" s="25" t="n">
        <f aca="false">P539-N539</f>
        <v>0</v>
      </c>
      <c r="R539" s="22" t="str">
        <f aca="false">IF(O539=0,"No August moorage transaction",IF(O539&gt;1,"Duplicate August transactions",IF(ABS(Q539)&gt;0.005,"Charge variance","OK")))</f>
        <v>OK</v>
      </c>
      <c r="S539" s="22" t="str">
        <f aca="false">IF(R539="OK","","Billing completeness/reconciliation")</f>
        <v/>
      </c>
    </row>
    <row r="540" customFormat="false" ht="15" hidden="false" customHeight="false" outlineLevel="0" collapsed="false">
      <c r="A540" s="22" t="s">
        <v>7803</v>
      </c>
      <c r="B540" s="22" t="s">
        <v>215</v>
      </c>
      <c r="C540" s="22" t="s">
        <v>7694</v>
      </c>
      <c r="D540" s="22" t="n">
        <v>40</v>
      </c>
      <c r="E540" s="22" t="s">
        <v>7696</v>
      </c>
      <c r="F540" s="22" t="s">
        <v>6577</v>
      </c>
      <c r="G540" s="22" t="s">
        <v>2066</v>
      </c>
      <c r="H540" s="22" t="s">
        <v>2067</v>
      </c>
      <c r="I540" s="22" t="s">
        <v>720</v>
      </c>
      <c r="J540" s="22" t="n">
        <v>31.6</v>
      </c>
      <c r="K540" s="22" t="n">
        <f aca="false">ROUNDUP(J540,0)</f>
        <v>32</v>
      </c>
      <c r="L540" s="22" t="n">
        <f aca="false">MAX(D540,K540)</f>
        <v>40</v>
      </c>
      <c r="M540" s="25" t="n">
        <f aca="false">IF(E540="COVERED",'Controls &amp; Sources'!$B$5,'Controls &amp; Sources'!$B$6)</f>
        <v>7.55</v>
      </c>
      <c r="N540" s="25" t="n">
        <f aca="false">L540*M540</f>
        <v>302</v>
      </c>
      <c r="O540" s="22" t="n">
        <f aca="false">COUNTIFS('Billing Actual'!$E$2:$E$770,A540,'Billing Actual'!$B$2:$B$770,'Controls &amp; Sources'!$B$7)</f>
        <v>1</v>
      </c>
      <c r="P540" s="25" t="n">
        <f aca="false">SUMIFS('Billing Actual'!$M$2:$M$770,'Billing Actual'!$E$2:$E$770,A540,'Billing Actual'!$B$2:$B$770,'Controls &amp; Sources'!$B$7)</f>
        <v>302</v>
      </c>
      <c r="Q540" s="25" t="n">
        <f aca="false">P540-N540</f>
        <v>0</v>
      </c>
      <c r="R540" s="22" t="str">
        <f aca="false">IF(O540=0,"No August moorage transaction",IF(O540&gt;1,"Duplicate August transactions",IF(ABS(Q540)&gt;0.005,"Charge variance","OK")))</f>
        <v>OK</v>
      </c>
      <c r="S540" s="22" t="str">
        <f aca="false">IF(R540="OK","","Billing completeness/reconciliation")</f>
        <v/>
      </c>
    </row>
    <row r="541" customFormat="false" ht="15" hidden="false" customHeight="false" outlineLevel="0" collapsed="false">
      <c r="A541" s="22" t="s">
        <v>7805</v>
      </c>
      <c r="B541" s="22" t="s">
        <v>215</v>
      </c>
      <c r="C541" s="22" t="s">
        <v>7694</v>
      </c>
      <c r="D541" s="22" t="n">
        <v>50</v>
      </c>
      <c r="E541" s="22" t="s">
        <v>7696</v>
      </c>
      <c r="F541" s="22" t="s">
        <v>6577</v>
      </c>
      <c r="G541" s="22" t="s">
        <v>760</v>
      </c>
      <c r="H541" s="22" t="s">
        <v>761</v>
      </c>
      <c r="I541" s="22" t="s">
        <v>762</v>
      </c>
      <c r="J541" s="22" t="n">
        <v>60</v>
      </c>
      <c r="K541" s="22" t="n">
        <f aca="false">ROUNDUP(J541,0)</f>
        <v>60</v>
      </c>
      <c r="L541" s="22" t="n">
        <f aca="false">MAX(D541,K541)</f>
        <v>60</v>
      </c>
      <c r="M541" s="25" t="n">
        <f aca="false">IF(E541="COVERED",'Controls &amp; Sources'!$B$5,'Controls &amp; Sources'!$B$6)</f>
        <v>7.55</v>
      </c>
      <c r="N541" s="25" t="n">
        <f aca="false">L541*M541</f>
        <v>453</v>
      </c>
      <c r="O541" s="22" t="n">
        <f aca="false">COUNTIFS('Billing Actual'!$E$2:$E$770,A541,'Billing Actual'!$B$2:$B$770,'Controls &amp; Sources'!$B$7)</f>
        <v>1</v>
      </c>
      <c r="P541" s="25" t="n">
        <f aca="false">SUMIFS('Billing Actual'!$M$2:$M$770,'Billing Actual'!$E$2:$E$770,A541,'Billing Actual'!$B$2:$B$770,'Controls &amp; Sources'!$B$7)</f>
        <v>453</v>
      </c>
      <c r="Q541" s="25" t="n">
        <f aca="false">P541-N541</f>
        <v>0</v>
      </c>
      <c r="R541" s="22" t="str">
        <f aca="false">IF(O541=0,"No August moorage transaction",IF(O541&gt;1,"Duplicate August transactions",IF(ABS(Q541)&gt;0.005,"Charge variance","OK")))</f>
        <v>OK</v>
      </c>
      <c r="S541" s="22" t="str">
        <f aca="false">IF(R541="OK","","Billing completeness/reconciliation")</f>
        <v/>
      </c>
    </row>
    <row r="542" customFormat="false" ht="15" hidden="false" customHeight="false" outlineLevel="0" collapsed="false">
      <c r="A542" s="22" t="s">
        <v>7807</v>
      </c>
      <c r="B542" s="22" t="s">
        <v>215</v>
      </c>
      <c r="C542" s="22" t="s">
        <v>7694</v>
      </c>
      <c r="D542" s="22" t="n">
        <v>70</v>
      </c>
      <c r="E542" s="22" t="s">
        <v>7696</v>
      </c>
      <c r="F542" s="22" t="s">
        <v>6577</v>
      </c>
      <c r="G542" s="22" t="s">
        <v>1182</v>
      </c>
      <c r="H542" s="22" t="s">
        <v>1183</v>
      </c>
      <c r="I542" s="22" t="s">
        <v>1184</v>
      </c>
      <c r="J542" s="22" t="n">
        <v>31.8</v>
      </c>
      <c r="K542" s="22" t="n">
        <f aca="false">ROUNDUP(J542,0)</f>
        <v>32</v>
      </c>
      <c r="L542" s="22" t="n">
        <f aca="false">MAX(D542,K542)</f>
        <v>70</v>
      </c>
      <c r="M542" s="25" t="n">
        <f aca="false">IF(E542="COVERED",'Controls &amp; Sources'!$B$5,'Controls &amp; Sources'!$B$6)</f>
        <v>7.55</v>
      </c>
      <c r="N542" s="25" t="n">
        <f aca="false">L542*M542</f>
        <v>528.5</v>
      </c>
      <c r="O542" s="22" t="n">
        <f aca="false">COUNTIFS('Billing Actual'!$E$2:$E$770,A542,'Billing Actual'!$B$2:$B$770,'Controls &amp; Sources'!$B$7)</f>
        <v>1</v>
      </c>
      <c r="P542" s="25" t="n">
        <f aca="false">SUMIFS('Billing Actual'!$M$2:$M$770,'Billing Actual'!$E$2:$E$770,A542,'Billing Actual'!$B$2:$B$770,'Controls &amp; Sources'!$B$7)</f>
        <v>528.5</v>
      </c>
      <c r="Q542" s="25" t="n">
        <f aca="false">P542-N542</f>
        <v>0</v>
      </c>
      <c r="R542" s="22" t="str">
        <f aca="false">IF(O542=0,"No August moorage transaction",IF(O542&gt;1,"Duplicate August transactions",IF(ABS(Q542)&gt;0.005,"Charge variance","OK")))</f>
        <v>OK</v>
      </c>
      <c r="S542" s="22" t="str">
        <f aca="false">IF(R542="OK","","Billing completeness/reconciliation")</f>
        <v/>
      </c>
    </row>
    <row r="543" customFormat="false" ht="15" hidden="false" customHeight="false" outlineLevel="0" collapsed="false">
      <c r="A543" s="22" t="s">
        <v>7808</v>
      </c>
      <c r="B543" s="22" t="s">
        <v>215</v>
      </c>
      <c r="C543" s="22" t="s">
        <v>7694</v>
      </c>
      <c r="D543" s="22" t="n">
        <v>24</v>
      </c>
      <c r="E543" s="22" t="s">
        <v>7696</v>
      </c>
      <c r="F543" s="22" t="s">
        <v>6577</v>
      </c>
      <c r="G543" s="22" t="s">
        <v>3669</v>
      </c>
      <c r="H543" s="22" t="s">
        <v>3670</v>
      </c>
      <c r="I543" s="22" t="s">
        <v>257</v>
      </c>
      <c r="J543" s="22" t="n">
        <v>46.9</v>
      </c>
      <c r="K543" s="22" t="n">
        <f aca="false">ROUNDUP(J543,0)</f>
        <v>47</v>
      </c>
      <c r="L543" s="22" t="n">
        <f aca="false">MAX(D543,K543)</f>
        <v>47</v>
      </c>
      <c r="M543" s="25" t="n">
        <f aca="false">IF(E543="COVERED",'Controls &amp; Sources'!$B$5,'Controls &amp; Sources'!$B$6)</f>
        <v>7.55</v>
      </c>
      <c r="N543" s="25" t="n">
        <f aca="false">L543*M543</f>
        <v>354.85</v>
      </c>
      <c r="O543" s="22" t="n">
        <f aca="false">COUNTIFS('Billing Actual'!$E$2:$E$770,A543,'Billing Actual'!$B$2:$B$770,'Controls &amp; Sources'!$B$7)</f>
        <v>1</v>
      </c>
      <c r="P543" s="25" t="n">
        <f aca="false">SUMIFS('Billing Actual'!$M$2:$M$770,'Billing Actual'!$E$2:$E$770,A543,'Billing Actual'!$B$2:$B$770,'Controls &amp; Sources'!$B$7)</f>
        <v>354.85</v>
      </c>
      <c r="Q543" s="25" t="n">
        <f aca="false">P543-N543</f>
        <v>0</v>
      </c>
      <c r="R543" s="22" t="str">
        <f aca="false">IF(O543=0,"No August moorage transaction",IF(O543&gt;1,"Duplicate August transactions",IF(ABS(Q543)&gt;0.005,"Charge variance","OK")))</f>
        <v>OK</v>
      </c>
      <c r="S543" s="22" t="str">
        <f aca="false">IF(R543="OK","","Billing completeness/reconciliation")</f>
        <v/>
      </c>
    </row>
    <row r="544" customFormat="false" ht="15" hidden="false" customHeight="false" outlineLevel="0" collapsed="false">
      <c r="A544" s="22" t="s">
        <v>7810</v>
      </c>
      <c r="B544" s="22" t="s">
        <v>215</v>
      </c>
      <c r="C544" s="22" t="s">
        <v>7694</v>
      </c>
      <c r="D544" s="22" t="n">
        <v>40</v>
      </c>
      <c r="E544" s="22" t="s">
        <v>7696</v>
      </c>
      <c r="F544" s="22" t="s">
        <v>6577</v>
      </c>
      <c r="G544" s="22" t="s">
        <v>4342</v>
      </c>
      <c r="H544" s="22" t="s">
        <v>4343</v>
      </c>
      <c r="I544" s="22" t="s">
        <v>2506</v>
      </c>
      <c r="J544" s="22" t="n">
        <v>29.4</v>
      </c>
      <c r="K544" s="22" t="n">
        <f aca="false">ROUNDUP(J544,0)</f>
        <v>30</v>
      </c>
      <c r="L544" s="22" t="n">
        <f aca="false">MAX(D544,K544)</f>
        <v>40</v>
      </c>
      <c r="M544" s="25" t="n">
        <f aca="false">IF(E544="COVERED",'Controls &amp; Sources'!$B$5,'Controls &amp; Sources'!$B$6)</f>
        <v>7.55</v>
      </c>
      <c r="N544" s="25" t="n">
        <f aca="false">L544*M544</f>
        <v>302</v>
      </c>
      <c r="O544" s="22" t="n">
        <f aca="false">COUNTIFS('Billing Actual'!$E$2:$E$770,A544,'Billing Actual'!$B$2:$B$770,'Controls &amp; Sources'!$B$7)</f>
        <v>1</v>
      </c>
      <c r="P544" s="25" t="n">
        <f aca="false">SUMIFS('Billing Actual'!$M$2:$M$770,'Billing Actual'!$E$2:$E$770,A544,'Billing Actual'!$B$2:$B$770,'Controls &amp; Sources'!$B$7)</f>
        <v>302</v>
      </c>
      <c r="Q544" s="25" t="n">
        <f aca="false">P544-N544</f>
        <v>0</v>
      </c>
      <c r="R544" s="22" t="str">
        <f aca="false">IF(O544=0,"No August moorage transaction",IF(O544&gt;1,"Duplicate August transactions",IF(ABS(Q544)&gt;0.005,"Charge variance","OK")))</f>
        <v>OK</v>
      </c>
      <c r="S544" s="22" t="str">
        <f aca="false">IF(R544="OK","","Billing completeness/reconciliation")</f>
        <v/>
      </c>
    </row>
    <row r="545" customFormat="false" ht="15" hidden="false" customHeight="false" outlineLevel="0" collapsed="false">
      <c r="A545" s="22" t="s">
        <v>7811</v>
      </c>
      <c r="B545" s="22" t="s">
        <v>215</v>
      </c>
      <c r="C545" s="22" t="s">
        <v>7694</v>
      </c>
      <c r="D545" s="22" t="n">
        <v>45</v>
      </c>
      <c r="E545" s="22" t="s">
        <v>7696</v>
      </c>
      <c r="F545" s="22" t="s">
        <v>6577</v>
      </c>
      <c r="G545" s="22" t="s">
        <v>3327</v>
      </c>
      <c r="H545" s="22" t="s">
        <v>3328</v>
      </c>
      <c r="I545" s="22" t="s">
        <v>1115</v>
      </c>
      <c r="J545" s="22" t="n">
        <v>31.1</v>
      </c>
      <c r="K545" s="22" t="n">
        <f aca="false">ROUNDUP(J545,0)</f>
        <v>32</v>
      </c>
      <c r="L545" s="22" t="n">
        <f aca="false">MAX(D545,K545)</f>
        <v>45</v>
      </c>
      <c r="M545" s="25" t="n">
        <f aca="false">IF(E545="COVERED",'Controls &amp; Sources'!$B$5,'Controls &amp; Sources'!$B$6)</f>
        <v>7.55</v>
      </c>
      <c r="N545" s="25" t="n">
        <f aca="false">L545*M545</f>
        <v>339.75</v>
      </c>
      <c r="O545" s="22" t="n">
        <f aca="false">COUNTIFS('Billing Actual'!$E$2:$E$770,A545,'Billing Actual'!$B$2:$B$770,'Controls &amp; Sources'!$B$7)</f>
        <v>1</v>
      </c>
      <c r="P545" s="25" t="n">
        <f aca="false">SUMIFS('Billing Actual'!$M$2:$M$770,'Billing Actual'!$E$2:$E$770,A545,'Billing Actual'!$B$2:$B$770,'Controls &amp; Sources'!$B$7)</f>
        <v>339.75</v>
      </c>
      <c r="Q545" s="25" t="n">
        <f aca="false">P545-N545</f>
        <v>0</v>
      </c>
      <c r="R545" s="22" t="str">
        <f aca="false">IF(O545=0,"No August moorage transaction",IF(O545&gt;1,"Duplicate August transactions",IF(ABS(Q545)&gt;0.005,"Charge variance","OK")))</f>
        <v>OK</v>
      </c>
      <c r="S545" s="22" t="str">
        <f aca="false">IF(R545="OK","","Billing completeness/reconciliation")</f>
        <v/>
      </c>
    </row>
    <row r="546" customFormat="false" ht="15" hidden="false" customHeight="false" outlineLevel="0" collapsed="false">
      <c r="A546" s="22" t="s">
        <v>7813</v>
      </c>
      <c r="B546" s="22" t="s">
        <v>215</v>
      </c>
      <c r="C546" s="22" t="s">
        <v>7694</v>
      </c>
      <c r="D546" s="22" t="n">
        <v>28</v>
      </c>
      <c r="E546" s="22" t="s">
        <v>7696</v>
      </c>
      <c r="F546" s="22" t="s">
        <v>6577</v>
      </c>
      <c r="G546" s="22" t="s">
        <v>4127</v>
      </c>
      <c r="H546" s="22" t="s">
        <v>4128</v>
      </c>
      <c r="I546" s="22" t="s">
        <v>492</v>
      </c>
      <c r="J546" s="22" t="n">
        <v>59.4</v>
      </c>
      <c r="K546" s="22" t="n">
        <f aca="false">ROUNDUP(J546,0)</f>
        <v>60</v>
      </c>
      <c r="L546" s="22" t="n">
        <f aca="false">MAX(D546,K546)</f>
        <v>60</v>
      </c>
      <c r="M546" s="25" t="n">
        <f aca="false">IF(E546="COVERED",'Controls &amp; Sources'!$B$5,'Controls &amp; Sources'!$B$6)</f>
        <v>7.55</v>
      </c>
      <c r="N546" s="25" t="n">
        <f aca="false">L546*M546</f>
        <v>453</v>
      </c>
      <c r="O546" s="22" t="n">
        <f aca="false">COUNTIFS('Billing Actual'!$E$2:$E$770,A546,'Billing Actual'!$B$2:$B$770,'Controls &amp; Sources'!$B$7)</f>
        <v>1</v>
      </c>
      <c r="P546" s="25" t="n">
        <f aca="false">SUMIFS('Billing Actual'!$M$2:$M$770,'Billing Actual'!$E$2:$E$770,A546,'Billing Actual'!$B$2:$B$770,'Controls &amp; Sources'!$B$7)</f>
        <v>453</v>
      </c>
      <c r="Q546" s="25" t="n">
        <f aca="false">P546-N546</f>
        <v>0</v>
      </c>
      <c r="R546" s="22" t="str">
        <f aca="false">IF(O546=0,"No August moorage transaction",IF(O546&gt;1,"Duplicate August transactions",IF(ABS(Q546)&gt;0.005,"Charge variance","OK")))</f>
        <v>OK</v>
      </c>
      <c r="S546" s="22" t="str">
        <f aca="false">IF(R546="OK","","Billing completeness/reconciliation")</f>
        <v/>
      </c>
    </row>
    <row r="547" customFormat="false" ht="15" hidden="false" customHeight="false" outlineLevel="0" collapsed="false">
      <c r="A547" s="22" t="s">
        <v>7815</v>
      </c>
      <c r="B547" s="22" t="s">
        <v>215</v>
      </c>
      <c r="C547" s="22" t="s">
        <v>7694</v>
      </c>
      <c r="D547" s="22" t="n">
        <v>70</v>
      </c>
      <c r="E547" s="22" t="s">
        <v>7696</v>
      </c>
      <c r="F547" s="22" t="s">
        <v>6577</v>
      </c>
      <c r="G547" s="22" t="s">
        <v>905</v>
      </c>
      <c r="H547" s="22" t="s">
        <v>906</v>
      </c>
      <c r="I547" s="22" t="s">
        <v>522</v>
      </c>
      <c r="J547" s="22" t="n">
        <v>51.6</v>
      </c>
      <c r="K547" s="22" t="n">
        <f aca="false">ROUNDUP(J547,0)</f>
        <v>52</v>
      </c>
      <c r="L547" s="22" t="n">
        <f aca="false">MAX(D547,K547)</f>
        <v>70</v>
      </c>
      <c r="M547" s="25" t="n">
        <f aca="false">IF(E547="COVERED",'Controls &amp; Sources'!$B$5,'Controls &amp; Sources'!$B$6)</f>
        <v>7.55</v>
      </c>
      <c r="N547" s="25" t="n">
        <f aca="false">L547*M547</f>
        <v>528.5</v>
      </c>
      <c r="O547" s="22" t="n">
        <f aca="false">COUNTIFS('Billing Actual'!$E$2:$E$770,A547,'Billing Actual'!$B$2:$B$770,'Controls &amp; Sources'!$B$7)</f>
        <v>1</v>
      </c>
      <c r="P547" s="25" t="n">
        <f aca="false">SUMIFS('Billing Actual'!$M$2:$M$770,'Billing Actual'!$E$2:$E$770,A547,'Billing Actual'!$B$2:$B$770,'Controls &amp; Sources'!$B$7)</f>
        <v>528.5</v>
      </c>
      <c r="Q547" s="25" t="n">
        <f aca="false">P547-N547</f>
        <v>0</v>
      </c>
      <c r="R547" s="22" t="str">
        <f aca="false">IF(O547=0,"No August moorage transaction",IF(O547&gt;1,"Duplicate August transactions",IF(ABS(Q547)&gt;0.005,"Charge variance","OK")))</f>
        <v>OK</v>
      </c>
      <c r="S547" s="22" t="str">
        <f aca="false">IF(R547="OK","","Billing completeness/reconciliation")</f>
        <v/>
      </c>
    </row>
    <row r="548" customFormat="false" ht="15" hidden="false" customHeight="false" outlineLevel="0" collapsed="false">
      <c r="A548" s="22" t="s">
        <v>7816</v>
      </c>
      <c r="B548" s="22" t="s">
        <v>215</v>
      </c>
      <c r="C548" s="22" t="s">
        <v>7694</v>
      </c>
      <c r="D548" s="22" t="n">
        <v>32</v>
      </c>
      <c r="E548" s="22" t="s">
        <v>7696</v>
      </c>
      <c r="F548" s="22" t="s">
        <v>6577</v>
      </c>
      <c r="G548" s="22" t="s">
        <v>3608</v>
      </c>
      <c r="H548" s="22" t="s">
        <v>3609</v>
      </c>
      <c r="I548" s="22" t="s">
        <v>278</v>
      </c>
      <c r="J548" s="22" t="n">
        <v>44.8</v>
      </c>
      <c r="K548" s="22" t="n">
        <f aca="false">ROUNDUP(J548,0)</f>
        <v>45</v>
      </c>
      <c r="L548" s="22" t="n">
        <f aca="false">MAX(D548,K548)</f>
        <v>45</v>
      </c>
      <c r="M548" s="25" t="n">
        <f aca="false">IF(E548="COVERED",'Controls &amp; Sources'!$B$5,'Controls &amp; Sources'!$B$6)</f>
        <v>7.55</v>
      </c>
      <c r="N548" s="25" t="n">
        <f aca="false">L548*M548</f>
        <v>339.75</v>
      </c>
      <c r="O548" s="22" t="n">
        <f aca="false">COUNTIFS('Billing Actual'!$E$2:$E$770,A548,'Billing Actual'!$B$2:$B$770,'Controls &amp; Sources'!$B$7)</f>
        <v>1</v>
      </c>
      <c r="P548" s="25" t="n">
        <f aca="false">SUMIFS('Billing Actual'!$M$2:$M$770,'Billing Actual'!$E$2:$E$770,A548,'Billing Actual'!$B$2:$B$770,'Controls &amp; Sources'!$B$7)</f>
        <v>339.75</v>
      </c>
      <c r="Q548" s="25" t="n">
        <f aca="false">P548-N548</f>
        <v>0</v>
      </c>
      <c r="R548" s="22" t="str">
        <f aca="false">IF(O548=0,"No August moorage transaction",IF(O548&gt;1,"Duplicate August transactions",IF(ABS(Q548)&gt;0.005,"Charge variance","OK")))</f>
        <v>OK</v>
      </c>
      <c r="S548" s="22" t="str">
        <f aca="false">IF(R548="OK","","Billing completeness/reconciliation")</f>
        <v/>
      </c>
    </row>
    <row r="549" customFormat="false" ht="15" hidden="false" customHeight="false" outlineLevel="0" collapsed="false">
      <c r="A549" s="22" t="s">
        <v>7817</v>
      </c>
      <c r="B549" s="22" t="s">
        <v>215</v>
      </c>
      <c r="C549" s="22" t="s">
        <v>7694</v>
      </c>
      <c r="D549" s="22" t="n">
        <v>70</v>
      </c>
      <c r="E549" s="22" t="s">
        <v>7696</v>
      </c>
      <c r="F549" s="22" t="s">
        <v>6577</v>
      </c>
      <c r="G549" s="22" t="s">
        <v>1470</v>
      </c>
      <c r="H549" s="22" t="s">
        <v>1471</v>
      </c>
      <c r="I549" s="22" t="s">
        <v>967</v>
      </c>
      <c r="J549" s="22" t="n">
        <v>26.8</v>
      </c>
      <c r="K549" s="22" t="n">
        <f aca="false">ROUNDUP(J549,0)</f>
        <v>27</v>
      </c>
      <c r="L549" s="22" t="n">
        <f aca="false">MAX(D549,K549)</f>
        <v>70</v>
      </c>
      <c r="M549" s="25" t="n">
        <f aca="false">IF(E549="COVERED",'Controls &amp; Sources'!$B$5,'Controls &amp; Sources'!$B$6)</f>
        <v>7.55</v>
      </c>
      <c r="N549" s="25" t="n">
        <f aca="false">L549*M549</f>
        <v>528.5</v>
      </c>
      <c r="O549" s="22" t="n">
        <f aca="false">COUNTIFS('Billing Actual'!$E$2:$E$770,A549,'Billing Actual'!$B$2:$B$770,'Controls &amp; Sources'!$B$7)</f>
        <v>1</v>
      </c>
      <c r="P549" s="25" t="n">
        <f aca="false">SUMIFS('Billing Actual'!$M$2:$M$770,'Billing Actual'!$E$2:$E$770,A549,'Billing Actual'!$B$2:$B$770,'Controls &amp; Sources'!$B$7)</f>
        <v>528.5</v>
      </c>
      <c r="Q549" s="25" t="n">
        <f aca="false">P549-N549</f>
        <v>0</v>
      </c>
      <c r="R549" s="22" t="str">
        <f aca="false">IF(O549=0,"No August moorage transaction",IF(O549&gt;1,"Duplicate August transactions",IF(ABS(Q549)&gt;0.005,"Charge variance","OK")))</f>
        <v>OK</v>
      </c>
      <c r="S549" s="22" t="str">
        <f aca="false">IF(R549="OK","","Billing completeness/reconciliation")</f>
        <v/>
      </c>
    </row>
    <row r="550" customFormat="false" ht="15" hidden="false" customHeight="false" outlineLevel="0" collapsed="false">
      <c r="A550" s="22" t="s">
        <v>7818</v>
      </c>
      <c r="B550" s="22" t="s">
        <v>215</v>
      </c>
      <c r="C550" s="22" t="s">
        <v>7694</v>
      </c>
      <c r="D550" s="22" t="n">
        <v>70</v>
      </c>
      <c r="E550" s="22" t="s">
        <v>7696</v>
      </c>
      <c r="F550" s="22" t="s">
        <v>6577</v>
      </c>
      <c r="G550" s="22" t="s">
        <v>2318</v>
      </c>
      <c r="H550" s="22" t="s">
        <v>2319</v>
      </c>
      <c r="I550" s="22" t="s">
        <v>543</v>
      </c>
      <c r="J550" s="22" t="n">
        <v>42.5</v>
      </c>
      <c r="K550" s="22" t="n">
        <f aca="false">ROUNDUP(J550,0)</f>
        <v>43</v>
      </c>
      <c r="L550" s="22" t="n">
        <f aca="false">MAX(D550,K550)</f>
        <v>70</v>
      </c>
      <c r="M550" s="25" t="n">
        <f aca="false">IF(E550="COVERED",'Controls &amp; Sources'!$B$5,'Controls &amp; Sources'!$B$6)</f>
        <v>7.55</v>
      </c>
      <c r="N550" s="25" t="n">
        <f aca="false">L550*M550</f>
        <v>528.5</v>
      </c>
      <c r="O550" s="22" t="n">
        <f aca="false">COUNTIFS('Billing Actual'!$E$2:$E$770,A550,'Billing Actual'!$B$2:$B$770,'Controls &amp; Sources'!$B$7)</f>
        <v>1</v>
      </c>
      <c r="P550" s="25" t="n">
        <f aca="false">SUMIFS('Billing Actual'!$M$2:$M$770,'Billing Actual'!$E$2:$E$770,A550,'Billing Actual'!$B$2:$B$770,'Controls &amp; Sources'!$B$7)</f>
        <v>528.5</v>
      </c>
      <c r="Q550" s="25" t="n">
        <f aca="false">P550-N550</f>
        <v>0</v>
      </c>
      <c r="R550" s="22" t="str">
        <f aca="false">IF(O550=0,"No August moorage transaction",IF(O550&gt;1,"Duplicate August transactions",IF(ABS(Q550)&gt;0.005,"Charge variance","OK")))</f>
        <v>OK</v>
      </c>
      <c r="S550" s="22" t="str">
        <f aca="false">IF(R550="OK","","Billing completeness/reconciliation")</f>
        <v/>
      </c>
    </row>
    <row r="551" customFormat="false" ht="15" hidden="false" customHeight="false" outlineLevel="0" collapsed="false">
      <c r="A551" s="22" t="s">
        <v>7820</v>
      </c>
      <c r="B551" s="22" t="s">
        <v>215</v>
      </c>
      <c r="C551" s="22" t="s">
        <v>7694</v>
      </c>
      <c r="D551" s="22" t="n">
        <v>70</v>
      </c>
      <c r="E551" s="22" t="s">
        <v>7696</v>
      </c>
      <c r="F551" s="22" t="s">
        <v>6577</v>
      </c>
      <c r="G551" s="22" t="s">
        <v>3014</v>
      </c>
      <c r="H551" s="22" t="s">
        <v>3015</v>
      </c>
      <c r="I551" s="22" t="s">
        <v>3016</v>
      </c>
      <c r="J551" s="22" t="n">
        <v>58.8</v>
      </c>
      <c r="K551" s="22" t="n">
        <f aca="false">ROUNDUP(J551,0)</f>
        <v>59</v>
      </c>
      <c r="L551" s="22" t="n">
        <f aca="false">MAX(D551,K551)</f>
        <v>70</v>
      </c>
      <c r="M551" s="25" t="n">
        <f aca="false">IF(E551="COVERED",'Controls &amp; Sources'!$B$5,'Controls &amp; Sources'!$B$6)</f>
        <v>7.55</v>
      </c>
      <c r="N551" s="25" t="n">
        <f aca="false">L551*M551</f>
        <v>528.5</v>
      </c>
      <c r="O551" s="22" t="n">
        <f aca="false">COUNTIFS('Billing Actual'!$E$2:$E$770,A551,'Billing Actual'!$B$2:$B$770,'Controls &amp; Sources'!$B$7)</f>
        <v>1</v>
      </c>
      <c r="P551" s="25" t="n">
        <f aca="false">SUMIFS('Billing Actual'!$M$2:$M$770,'Billing Actual'!$E$2:$E$770,A551,'Billing Actual'!$B$2:$B$770,'Controls &amp; Sources'!$B$7)</f>
        <v>528.5</v>
      </c>
      <c r="Q551" s="25" t="n">
        <f aca="false">P551-N551</f>
        <v>0</v>
      </c>
      <c r="R551" s="22" t="str">
        <f aca="false">IF(O551=0,"No August moorage transaction",IF(O551&gt;1,"Duplicate August transactions",IF(ABS(Q551)&gt;0.005,"Charge variance","OK")))</f>
        <v>OK</v>
      </c>
      <c r="S551" s="22" t="str">
        <f aca="false">IF(R551="OK","","Billing completeness/reconciliation")</f>
        <v/>
      </c>
    </row>
    <row r="552" customFormat="false" ht="15" hidden="false" customHeight="false" outlineLevel="0" collapsed="false">
      <c r="A552" s="22" t="s">
        <v>7822</v>
      </c>
      <c r="B552" s="22" t="s">
        <v>215</v>
      </c>
      <c r="C552" s="22" t="s">
        <v>7694</v>
      </c>
      <c r="D552" s="22" t="n">
        <v>40</v>
      </c>
      <c r="E552" s="22" t="s">
        <v>7696</v>
      </c>
      <c r="F552" s="22" t="s">
        <v>6577</v>
      </c>
      <c r="G552" s="22" t="s">
        <v>3128</v>
      </c>
      <c r="H552" s="22" t="s">
        <v>3129</v>
      </c>
      <c r="I552" s="22" t="s">
        <v>549</v>
      </c>
      <c r="J552" s="22" t="n">
        <v>20.6</v>
      </c>
      <c r="K552" s="22" t="n">
        <f aca="false">ROUNDUP(J552,0)</f>
        <v>21</v>
      </c>
      <c r="L552" s="22" t="n">
        <f aca="false">MAX(D552,K552)</f>
        <v>40</v>
      </c>
      <c r="M552" s="25" t="n">
        <f aca="false">IF(E552="COVERED",'Controls &amp; Sources'!$B$5,'Controls &amp; Sources'!$B$6)</f>
        <v>7.55</v>
      </c>
      <c r="N552" s="25" t="n">
        <f aca="false">L552*M552</f>
        <v>302</v>
      </c>
      <c r="O552" s="22" t="n">
        <f aca="false">COUNTIFS('Billing Actual'!$E$2:$E$770,A552,'Billing Actual'!$B$2:$B$770,'Controls &amp; Sources'!$B$7)</f>
        <v>1</v>
      </c>
      <c r="P552" s="25" t="n">
        <f aca="false">SUMIFS('Billing Actual'!$M$2:$M$770,'Billing Actual'!$E$2:$E$770,A552,'Billing Actual'!$B$2:$B$770,'Controls &amp; Sources'!$B$7)</f>
        <v>302</v>
      </c>
      <c r="Q552" s="25" t="n">
        <f aca="false">P552-N552</f>
        <v>0</v>
      </c>
      <c r="R552" s="22" t="str">
        <f aca="false">IF(O552=0,"No August moorage transaction",IF(O552&gt;1,"Duplicate August transactions",IF(ABS(Q552)&gt;0.005,"Charge variance","OK")))</f>
        <v>OK</v>
      </c>
      <c r="S552" s="22" t="str">
        <f aca="false">IF(R552="OK","","Billing completeness/reconciliation")</f>
        <v/>
      </c>
    </row>
    <row r="553" customFormat="false" ht="15" hidden="false" customHeight="false" outlineLevel="0" collapsed="false">
      <c r="A553" s="22" t="s">
        <v>7823</v>
      </c>
      <c r="B553" s="22" t="s">
        <v>215</v>
      </c>
      <c r="C553" s="22" t="s">
        <v>7694</v>
      </c>
      <c r="D553" s="22" t="n">
        <v>24</v>
      </c>
      <c r="E553" s="22" t="s">
        <v>7696</v>
      </c>
      <c r="F553" s="22" t="s">
        <v>6577</v>
      </c>
      <c r="G553" s="22" t="s">
        <v>3784</v>
      </c>
      <c r="H553" s="22" t="s">
        <v>3785</v>
      </c>
      <c r="I553" s="22" t="s">
        <v>793</v>
      </c>
      <c r="J553" s="22" t="n">
        <v>42.4</v>
      </c>
      <c r="K553" s="22" t="n">
        <f aca="false">ROUNDUP(J553,0)</f>
        <v>43</v>
      </c>
      <c r="L553" s="22" t="n">
        <f aca="false">MAX(D553,K553)</f>
        <v>43</v>
      </c>
      <c r="M553" s="25" t="n">
        <f aca="false">IF(E553="COVERED",'Controls &amp; Sources'!$B$5,'Controls &amp; Sources'!$B$6)</f>
        <v>7.55</v>
      </c>
      <c r="N553" s="25" t="n">
        <f aca="false">L553*M553</f>
        <v>324.65</v>
      </c>
      <c r="O553" s="22" t="n">
        <f aca="false">COUNTIFS('Billing Actual'!$E$2:$E$770,A553,'Billing Actual'!$B$2:$B$770,'Controls &amp; Sources'!$B$7)</f>
        <v>1</v>
      </c>
      <c r="P553" s="25" t="n">
        <f aca="false">SUMIFS('Billing Actual'!$M$2:$M$770,'Billing Actual'!$E$2:$E$770,A553,'Billing Actual'!$B$2:$B$770,'Controls &amp; Sources'!$B$7)</f>
        <v>324.65</v>
      </c>
      <c r="Q553" s="25" t="n">
        <f aca="false">P553-N553</f>
        <v>0</v>
      </c>
      <c r="R553" s="22" t="str">
        <f aca="false">IF(O553=0,"No August moorage transaction",IF(O553&gt;1,"Duplicate August transactions",IF(ABS(Q553)&gt;0.005,"Charge variance","OK")))</f>
        <v>OK</v>
      </c>
      <c r="S553" s="22" t="str">
        <f aca="false">IF(R553="OK","","Billing completeness/reconciliation")</f>
        <v/>
      </c>
    </row>
    <row r="554" customFormat="false" ht="15" hidden="false" customHeight="false" outlineLevel="0" collapsed="false">
      <c r="A554" s="22" t="s">
        <v>7825</v>
      </c>
      <c r="B554" s="22" t="s">
        <v>215</v>
      </c>
      <c r="C554" s="22" t="s">
        <v>7694</v>
      </c>
      <c r="D554" s="22" t="n">
        <v>24</v>
      </c>
      <c r="E554" s="22" t="s">
        <v>7696</v>
      </c>
      <c r="F554" s="22" t="s">
        <v>6577</v>
      </c>
      <c r="G554" s="22" t="s">
        <v>4709</v>
      </c>
      <c r="H554" s="22" t="s">
        <v>4710</v>
      </c>
      <c r="I554" s="22" t="s">
        <v>1786</v>
      </c>
      <c r="J554" s="22" t="n">
        <v>33.7</v>
      </c>
      <c r="K554" s="22" t="n">
        <f aca="false">ROUNDUP(J554,0)</f>
        <v>34</v>
      </c>
      <c r="L554" s="22" t="n">
        <f aca="false">MAX(D554,K554)</f>
        <v>34</v>
      </c>
      <c r="M554" s="25" t="n">
        <f aca="false">IF(E554="COVERED",'Controls &amp; Sources'!$B$5,'Controls &amp; Sources'!$B$6)</f>
        <v>7.55</v>
      </c>
      <c r="N554" s="25" t="n">
        <f aca="false">L554*M554</f>
        <v>256.7</v>
      </c>
      <c r="O554" s="22" t="n">
        <f aca="false">COUNTIFS('Billing Actual'!$E$2:$E$770,A554,'Billing Actual'!$B$2:$B$770,'Controls &amp; Sources'!$B$7)</f>
        <v>1</v>
      </c>
      <c r="P554" s="25" t="n">
        <f aca="false">SUMIFS('Billing Actual'!$M$2:$M$770,'Billing Actual'!$E$2:$E$770,A554,'Billing Actual'!$B$2:$B$770,'Controls &amp; Sources'!$B$7)</f>
        <v>256.7</v>
      </c>
      <c r="Q554" s="25" t="n">
        <f aca="false">P554-N554</f>
        <v>0</v>
      </c>
      <c r="R554" s="22" t="str">
        <f aca="false">IF(O554=0,"No August moorage transaction",IF(O554&gt;1,"Duplicate August transactions",IF(ABS(Q554)&gt;0.005,"Charge variance","OK")))</f>
        <v>OK</v>
      </c>
      <c r="S554" s="22" t="str">
        <f aca="false">IF(R554="OK","","Billing completeness/reconciliation")</f>
        <v/>
      </c>
    </row>
    <row r="555" customFormat="false" ht="15" hidden="false" customHeight="false" outlineLevel="0" collapsed="false">
      <c r="A555" s="22" t="s">
        <v>7827</v>
      </c>
      <c r="B555" s="22" t="s">
        <v>215</v>
      </c>
      <c r="C555" s="22" t="s">
        <v>7694</v>
      </c>
      <c r="D555" s="22" t="n">
        <v>28</v>
      </c>
      <c r="E555" s="22" t="s">
        <v>7696</v>
      </c>
      <c r="F555" s="22" t="s">
        <v>6577</v>
      </c>
      <c r="G555" s="22" t="s">
        <v>2633</v>
      </c>
      <c r="H555" s="22" t="s">
        <v>2634</v>
      </c>
      <c r="I555" s="22" t="s">
        <v>233</v>
      </c>
      <c r="J555" s="22" t="n">
        <v>56.9</v>
      </c>
      <c r="K555" s="22" t="n">
        <f aca="false">ROUNDUP(J555,0)</f>
        <v>57</v>
      </c>
      <c r="L555" s="22" t="n">
        <f aca="false">MAX(D555,K555)</f>
        <v>57</v>
      </c>
      <c r="M555" s="25" t="n">
        <f aca="false">IF(E555="COVERED",'Controls &amp; Sources'!$B$5,'Controls &amp; Sources'!$B$6)</f>
        <v>7.55</v>
      </c>
      <c r="N555" s="25" t="n">
        <f aca="false">L555*M555</f>
        <v>430.35</v>
      </c>
      <c r="O555" s="22" t="n">
        <f aca="false">COUNTIFS('Billing Actual'!$E$2:$E$770,A555,'Billing Actual'!$B$2:$B$770,'Controls &amp; Sources'!$B$7)</f>
        <v>1</v>
      </c>
      <c r="P555" s="25" t="n">
        <f aca="false">SUMIFS('Billing Actual'!$M$2:$M$770,'Billing Actual'!$E$2:$E$770,A555,'Billing Actual'!$B$2:$B$770,'Controls &amp; Sources'!$B$7)</f>
        <v>430.35</v>
      </c>
      <c r="Q555" s="25" t="n">
        <f aca="false">P555-N555</f>
        <v>0</v>
      </c>
      <c r="R555" s="22" t="str">
        <f aca="false">IF(O555=0,"No August moorage transaction",IF(O555&gt;1,"Duplicate August transactions",IF(ABS(Q555)&gt;0.005,"Charge variance","OK")))</f>
        <v>OK</v>
      </c>
      <c r="S555" s="22" t="str">
        <f aca="false">IF(R555="OK","","Billing completeness/reconciliation")</f>
        <v/>
      </c>
    </row>
    <row r="556" customFormat="false" ht="15" hidden="false" customHeight="false" outlineLevel="0" collapsed="false">
      <c r="A556" s="22" t="s">
        <v>7828</v>
      </c>
      <c r="B556" s="22" t="s">
        <v>215</v>
      </c>
      <c r="C556" s="22" t="s">
        <v>7694</v>
      </c>
      <c r="D556" s="22" t="n">
        <v>24</v>
      </c>
      <c r="E556" s="22" t="s">
        <v>7696</v>
      </c>
      <c r="F556" s="22" t="s">
        <v>6577</v>
      </c>
      <c r="G556" s="22" t="s">
        <v>4265</v>
      </c>
      <c r="H556" s="22" t="s">
        <v>4266</v>
      </c>
      <c r="I556" s="22" t="s">
        <v>3216</v>
      </c>
      <c r="J556" s="22" t="n">
        <v>58</v>
      </c>
      <c r="K556" s="22" t="n">
        <f aca="false">ROUNDUP(J556,0)</f>
        <v>58</v>
      </c>
      <c r="L556" s="22" t="n">
        <f aca="false">MAX(D556,K556)</f>
        <v>58</v>
      </c>
      <c r="M556" s="25" t="n">
        <f aca="false">IF(E556="COVERED",'Controls &amp; Sources'!$B$5,'Controls &amp; Sources'!$B$6)</f>
        <v>7.55</v>
      </c>
      <c r="N556" s="25" t="n">
        <f aca="false">L556*M556</f>
        <v>437.9</v>
      </c>
      <c r="O556" s="22" t="n">
        <f aca="false">COUNTIFS('Billing Actual'!$E$2:$E$770,A556,'Billing Actual'!$B$2:$B$770,'Controls &amp; Sources'!$B$7)</f>
        <v>1</v>
      </c>
      <c r="P556" s="25" t="n">
        <f aca="false">SUMIFS('Billing Actual'!$M$2:$M$770,'Billing Actual'!$E$2:$E$770,A556,'Billing Actual'!$B$2:$B$770,'Controls &amp; Sources'!$B$7)</f>
        <v>437.9</v>
      </c>
      <c r="Q556" s="25" t="n">
        <f aca="false">P556-N556</f>
        <v>0</v>
      </c>
      <c r="R556" s="22" t="str">
        <f aca="false">IF(O556=0,"No August moorage transaction",IF(O556&gt;1,"Duplicate August transactions",IF(ABS(Q556)&gt;0.005,"Charge variance","OK")))</f>
        <v>OK</v>
      </c>
      <c r="S556" s="22" t="str">
        <f aca="false">IF(R556="OK","","Billing completeness/reconciliation")</f>
        <v/>
      </c>
    </row>
    <row r="557" customFormat="false" ht="15" hidden="false" customHeight="false" outlineLevel="0" collapsed="false">
      <c r="A557" s="22" t="s">
        <v>7829</v>
      </c>
      <c r="B557" s="22" t="s">
        <v>215</v>
      </c>
      <c r="C557" s="22" t="s">
        <v>7694</v>
      </c>
      <c r="D557" s="22" t="n">
        <v>45</v>
      </c>
      <c r="E557" s="22" t="s">
        <v>7696</v>
      </c>
      <c r="F557" s="22" t="s">
        <v>6577</v>
      </c>
      <c r="G557" s="22" t="s">
        <v>6240</v>
      </c>
      <c r="H557" s="22" t="s">
        <v>2190</v>
      </c>
      <c r="I557" s="22" t="s">
        <v>333</v>
      </c>
      <c r="J557" s="22" t="n">
        <v>36.5</v>
      </c>
      <c r="K557" s="22" t="n">
        <f aca="false">ROUNDUP(J557,0)</f>
        <v>37</v>
      </c>
      <c r="L557" s="22" t="n">
        <f aca="false">MAX(D557,K557)</f>
        <v>45</v>
      </c>
      <c r="M557" s="25" t="n">
        <f aca="false">IF(E557="COVERED",'Controls &amp; Sources'!$B$5,'Controls &amp; Sources'!$B$6)</f>
        <v>7.55</v>
      </c>
      <c r="N557" s="25" t="n">
        <f aca="false">L557*M557</f>
        <v>339.75</v>
      </c>
      <c r="O557" s="22" t="n">
        <f aca="false">COUNTIFS('Billing Actual'!$E$2:$E$770,A557,'Billing Actual'!$B$2:$B$770,'Controls &amp; Sources'!$B$7)</f>
        <v>1</v>
      </c>
      <c r="P557" s="25" t="n">
        <f aca="false">SUMIFS('Billing Actual'!$M$2:$M$770,'Billing Actual'!$E$2:$E$770,A557,'Billing Actual'!$B$2:$B$770,'Controls &amp; Sources'!$B$7)</f>
        <v>339.75</v>
      </c>
      <c r="Q557" s="25" t="n">
        <f aca="false">P557-N557</f>
        <v>0</v>
      </c>
      <c r="R557" s="22" t="str">
        <f aca="false">IF(O557=0,"No August moorage transaction",IF(O557&gt;1,"Duplicate August transactions",IF(ABS(Q557)&gt;0.005,"Charge variance","OK")))</f>
        <v>OK</v>
      </c>
      <c r="S557" s="22" t="str">
        <f aca="false">IF(R557="OK","","Billing completeness/reconciliation")</f>
        <v/>
      </c>
    </row>
    <row r="558" customFormat="false" ht="15" hidden="false" customHeight="false" outlineLevel="0" collapsed="false">
      <c r="A558" s="22" t="s">
        <v>7830</v>
      </c>
      <c r="B558" s="22" t="s">
        <v>215</v>
      </c>
      <c r="C558" s="22" t="s">
        <v>7694</v>
      </c>
      <c r="D558" s="22" t="n">
        <v>32</v>
      </c>
      <c r="E558" s="22" t="s">
        <v>7696</v>
      </c>
      <c r="F558" s="22" t="s">
        <v>6577</v>
      </c>
      <c r="G558" s="22" t="s">
        <v>4834</v>
      </c>
      <c r="H558" s="22" t="s">
        <v>4835</v>
      </c>
      <c r="I558" s="22" t="s">
        <v>585</v>
      </c>
      <c r="J558" s="22" t="n">
        <v>21.8</v>
      </c>
      <c r="K558" s="22" t="n">
        <f aca="false">ROUNDUP(J558,0)</f>
        <v>22</v>
      </c>
      <c r="L558" s="22" t="n">
        <f aca="false">MAX(D558,K558)</f>
        <v>32</v>
      </c>
      <c r="M558" s="25" t="n">
        <f aca="false">IF(E558="COVERED",'Controls &amp; Sources'!$B$5,'Controls &amp; Sources'!$B$6)</f>
        <v>7.55</v>
      </c>
      <c r="N558" s="25" t="n">
        <f aca="false">L558*M558</f>
        <v>241.6</v>
      </c>
      <c r="O558" s="22" t="n">
        <f aca="false">COUNTIFS('Billing Actual'!$E$2:$E$770,A558,'Billing Actual'!$B$2:$B$770,'Controls &amp; Sources'!$B$7)</f>
        <v>1</v>
      </c>
      <c r="P558" s="25" t="n">
        <f aca="false">SUMIFS('Billing Actual'!$M$2:$M$770,'Billing Actual'!$E$2:$E$770,A558,'Billing Actual'!$B$2:$B$770,'Controls &amp; Sources'!$B$7)</f>
        <v>241.6</v>
      </c>
      <c r="Q558" s="25" t="n">
        <f aca="false">P558-N558</f>
        <v>0</v>
      </c>
      <c r="R558" s="22" t="str">
        <f aca="false">IF(O558=0,"No August moorage transaction",IF(O558&gt;1,"Duplicate August transactions",IF(ABS(Q558)&gt;0.005,"Charge variance","OK")))</f>
        <v>OK</v>
      </c>
      <c r="S558" s="22" t="str">
        <f aca="false">IF(R558="OK","","Billing completeness/reconciliation")</f>
        <v/>
      </c>
    </row>
    <row r="559" customFormat="false" ht="15" hidden="false" customHeight="false" outlineLevel="0" collapsed="false">
      <c r="A559" s="22" t="s">
        <v>7832</v>
      </c>
      <c r="B559" s="22" t="s">
        <v>215</v>
      </c>
      <c r="C559" s="22" t="s">
        <v>7694</v>
      </c>
      <c r="D559" s="22" t="n">
        <v>36</v>
      </c>
      <c r="E559" s="22" t="s">
        <v>7696</v>
      </c>
      <c r="F559" s="22" t="s">
        <v>6577</v>
      </c>
      <c r="G559" s="22" t="s">
        <v>1308</v>
      </c>
      <c r="H559" s="22" t="s">
        <v>1309</v>
      </c>
      <c r="I559" s="22" t="s">
        <v>1204</v>
      </c>
      <c r="J559" s="22" t="n">
        <v>26.2</v>
      </c>
      <c r="K559" s="22" t="n">
        <f aca="false">ROUNDUP(J559,0)</f>
        <v>27</v>
      </c>
      <c r="L559" s="22" t="n">
        <f aca="false">MAX(D559,K559)</f>
        <v>36</v>
      </c>
      <c r="M559" s="25" t="n">
        <f aca="false">IF(E559="COVERED",'Controls &amp; Sources'!$B$5,'Controls &amp; Sources'!$B$6)</f>
        <v>7.55</v>
      </c>
      <c r="N559" s="25" t="n">
        <f aca="false">L559*M559</f>
        <v>271.8</v>
      </c>
      <c r="O559" s="22" t="n">
        <f aca="false">COUNTIFS('Billing Actual'!$E$2:$E$770,A559,'Billing Actual'!$B$2:$B$770,'Controls &amp; Sources'!$B$7)</f>
        <v>1</v>
      </c>
      <c r="P559" s="25" t="n">
        <f aca="false">SUMIFS('Billing Actual'!$M$2:$M$770,'Billing Actual'!$E$2:$E$770,A559,'Billing Actual'!$B$2:$B$770,'Controls &amp; Sources'!$B$7)</f>
        <v>271.8</v>
      </c>
      <c r="Q559" s="25" t="n">
        <f aca="false">P559-N559</f>
        <v>0</v>
      </c>
      <c r="R559" s="22" t="str">
        <f aca="false">IF(O559=0,"No August moorage transaction",IF(O559&gt;1,"Duplicate August transactions",IF(ABS(Q559)&gt;0.005,"Charge variance","OK")))</f>
        <v>OK</v>
      </c>
      <c r="S559" s="22" t="str">
        <f aca="false">IF(R559="OK","","Billing completeness/reconciliation")</f>
        <v/>
      </c>
    </row>
    <row r="560" customFormat="false" ht="15" hidden="false" customHeight="false" outlineLevel="0" collapsed="false">
      <c r="A560" s="22" t="s">
        <v>7835</v>
      </c>
      <c r="B560" s="22" t="s">
        <v>215</v>
      </c>
      <c r="C560" s="22" t="s">
        <v>7694</v>
      </c>
      <c r="D560" s="22" t="n">
        <v>70</v>
      </c>
      <c r="E560" s="22" t="s">
        <v>7696</v>
      </c>
      <c r="F560" s="22" t="s">
        <v>6577</v>
      </c>
      <c r="G560" s="22" t="s">
        <v>2432</v>
      </c>
      <c r="H560" s="22" t="s">
        <v>2433</v>
      </c>
      <c r="I560" s="22" t="s">
        <v>346</v>
      </c>
      <c r="J560" s="22" t="n">
        <v>37.2</v>
      </c>
      <c r="K560" s="22" t="n">
        <f aca="false">ROUNDUP(J560,0)</f>
        <v>38</v>
      </c>
      <c r="L560" s="22" t="n">
        <f aca="false">MAX(D560,K560)</f>
        <v>70</v>
      </c>
      <c r="M560" s="25" t="n">
        <f aca="false">IF(E560="COVERED",'Controls &amp; Sources'!$B$5,'Controls &amp; Sources'!$B$6)</f>
        <v>7.55</v>
      </c>
      <c r="N560" s="25" t="n">
        <f aca="false">L560*M560</f>
        <v>528.5</v>
      </c>
      <c r="O560" s="22" t="n">
        <f aca="false">COUNTIFS('Billing Actual'!$E$2:$E$770,A560,'Billing Actual'!$B$2:$B$770,'Controls &amp; Sources'!$B$7)</f>
        <v>1</v>
      </c>
      <c r="P560" s="25" t="n">
        <f aca="false">SUMIFS('Billing Actual'!$M$2:$M$770,'Billing Actual'!$E$2:$E$770,A560,'Billing Actual'!$B$2:$B$770,'Controls &amp; Sources'!$B$7)</f>
        <v>528.5</v>
      </c>
      <c r="Q560" s="25" t="n">
        <f aca="false">P560-N560</f>
        <v>0</v>
      </c>
      <c r="R560" s="22" t="str">
        <f aca="false">IF(O560=0,"No August moorage transaction",IF(O560&gt;1,"Duplicate August transactions",IF(ABS(Q560)&gt;0.005,"Charge variance","OK")))</f>
        <v>OK</v>
      </c>
      <c r="S560" s="22" t="str">
        <f aca="false">IF(R560="OK","","Billing completeness/reconciliation")</f>
        <v/>
      </c>
    </row>
    <row r="561" customFormat="false" ht="15" hidden="false" customHeight="false" outlineLevel="0" collapsed="false">
      <c r="A561" s="22" t="s">
        <v>7836</v>
      </c>
      <c r="B561" s="22" t="s">
        <v>215</v>
      </c>
      <c r="C561" s="22" t="s">
        <v>7694</v>
      </c>
      <c r="D561" s="22" t="n">
        <v>45</v>
      </c>
      <c r="E561" s="22" t="s">
        <v>7696</v>
      </c>
      <c r="F561" s="22" t="s">
        <v>6577</v>
      </c>
      <c r="G561" s="22" t="s">
        <v>6319</v>
      </c>
      <c r="H561" s="22" t="s">
        <v>6320</v>
      </c>
      <c r="I561" s="22" t="s">
        <v>4264</v>
      </c>
      <c r="J561" s="22" t="n">
        <v>51.9</v>
      </c>
      <c r="K561" s="22" t="n">
        <f aca="false">ROUNDUP(J561,0)</f>
        <v>52</v>
      </c>
      <c r="L561" s="22" t="n">
        <f aca="false">MAX(D561,K561)</f>
        <v>52</v>
      </c>
      <c r="M561" s="25" t="n">
        <f aca="false">IF(E561="COVERED",'Controls &amp; Sources'!$B$5,'Controls &amp; Sources'!$B$6)</f>
        <v>7.55</v>
      </c>
      <c r="N561" s="25" t="n">
        <f aca="false">L561*M561</f>
        <v>392.6</v>
      </c>
      <c r="O561" s="22" t="n">
        <f aca="false">COUNTIFS('Billing Actual'!$E$2:$E$770,A561,'Billing Actual'!$B$2:$B$770,'Controls &amp; Sources'!$B$7)</f>
        <v>1</v>
      </c>
      <c r="P561" s="25" t="n">
        <f aca="false">SUMIFS('Billing Actual'!$M$2:$M$770,'Billing Actual'!$E$2:$E$770,A561,'Billing Actual'!$B$2:$B$770,'Controls &amp; Sources'!$B$7)</f>
        <v>392.6</v>
      </c>
      <c r="Q561" s="25" t="n">
        <f aca="false">P561-N561</f>
        <v>0</v>
      </c>
      <c r="R561" s="22" t="str">
        <f aca="false">IF(O561=0,"No August moorage transaction",IF(O561&gt;1,"Duplicate August transactions",IF(ABS(Q561)&gt;0.005,"Charge variance","OK")))</f>
        <v>OK</v>
      </c>
      <c r="S561" s="22" t="str">
        <f aca="false">IF(R561="OK","","Billing completeness/reconciliation")</f>
        <v/>
      </c>
    </row>
    <row r="562" customFormat="false" ht="15" hidden="false" customHeight="false" outlineLevel="0" collapsed="false">
      <c r="A562" s="22" t="s">
        <v>7838</v>
      </c>
      <c r="B562" s="22" t="s">
        <v>215</v>
      </c>
      <c r="C562" s="22" t="s">
        <v>7694</v>
      </c>
      <c r="D562" s="22" t="n">
        <v>32</v>
      </c>
      <c r="E562" s="22" t="s">
        <v>7696</v>
      </c>
      <c r="F562" s="22" t="s">
        <v>6577</v>
      </c>
      <c r="G562" s="22" t="s">
        <v>3829</v>
      </c>
      <c r="H562" s="22" t="s">
        <v>3830</v>
      </c>
      <c r="I562" s="22" t="s">
        <v>2222</v>
      </c>
      <c r="J562" s="22" t="n">
        <v>46.4</v>
      </c>
      <c r="K562" s="22" t="n">
        <f aca="false">ROUNDUP(J562,0)</f>
        <v>47</v>
      </c>
      <c r="L562" s="22" t="n">
        <f aca="false">MAX(D562,K562)</f>
        <v>47</v>
      </c>
      <c r="M562" s="25" t="n">
        <f aca="false">IF(E562="COVERED",'Controls &amp; Sources'!$B$5,'Controls &amp; Sources'!$B$6)</f>
        <v>7.55</v>
      </c>
      <c r="N562" s="25" t="n">
        <f aca="false">L562*M562</f>
        <v>354.85</v>
      </c>
      <c r="O562" s="22" t="n">
        <f aca="false">COUNTIFS('Billing Actual'!$E$2:$E$770,A562,'Billing Actual'!$B$2:$B$770,'Controls &amp; Sources'!$B$7)</f>
        <v>1</v>
      </c>
      <c r="P562" s="25" t="n">
        <f aca="false">SUMIFS('Billing Actual'!$M$2:$M$770,'Billing Actual'!$E$2:$E$770,A562,'Billing Actual'!$B$2:$B$770,'Controls &amp; Sources'!$B$7)</f>
        <v>354.85</v>
      </c>
      <c r="Q562" s="25" t="n">
        <f aca="false">P562-N562</f>
        <v>0</v>
      </c>
      <c r="R562" s="22" t="str">
        <f aca="false">IF(O562=0,"No August moorage transaction",IF(O562&gt;1,"Duplicate August transactions",IF(ABS(Q562)&gt;0.005,"Charge variance","OK")))</f>
        <v>OK</v>
      </c>
      <c r="S562" s="22" t="str">
        <f aca="false">IF(R562="OK","","Billing completeness/reconciliation")</f>
        <v/>
      </c>
    </row>
    <row r="563" customFormat="false" ht="15" hidden="false" customHeight="false" outlineLevel="0" collapsed="false">
      <c r="A563" s="22" t="s">
        <v>7840</v>
      </c>
      <c r="B563" s="22" t="s">
        <v>215</v>
      </c>
      <c r="C563" s="22" t="s">
        <v>7694</v>
      </c>
      <c r="D563" s="22" t="n">
        <v>36</v>
      </c>
      <c r="E563" s="22" t="s">
        <v>7696</v>
      </c>
      <c r="F563" s="22" t="s">
        <v>6577</v>
      </c>
      <c r="G563" s="22" t="s">
        <v>2098</v>
      </c>
      <c r="H563" s="22" t="s">
        <v>2099</v>
      </c>
      <c r="I563" s="22" t="s">
        <v>1649</v>
      </c>
      <c r="J563" s="22" t="n">
        <v>58.9</v>
      </c>
      <c r="K563" s="22" t="n">
        <f aca="false">ROUNDUP(J563,0)</f>
        <v>59</v>
      </c>
      <c r="L563" s="22" t="n">
        <f aca="false">MAX(D563,K563)</f>
        <v>59</v>
      </c>
      <c r="M563" s="25" t="n">
        <f aca="false">IF(E563="COVERED",'Controls &amp; Sources'!$B$5,'Controls &amp; Sources'!$B$6)</f>
        <v>7.55</v>
      </c>
      <c r="N563" s="25" t="n">
        <f aca="false">L563*M563</f>
        <v>445.45</v>
      </c>
      <c r="O563" s="22" t="n">
        <f aca="false">COUNTIFS('Billing Actual'!$E$2:$E$770,A563,'Billing Actual'!$B$2:$B$770,'Controls &amp; Sources'!$B$7)</f>
        <v>1</v>
      </c>
      <c r="P563" s="25" t="n">
        <f aca="false">SUMIFS('Billing Actual'!$M$2:$M$770,'Billing Actual'!$E$2:$E$770,A563,'Billing Actual'!$B$2:$B$770,'Controls &amp; Sources'!$B$7)</f>
        <v>445.45</v>
      </c>
      <c r="Q563" s="25" t="n">
        <f aca="false">P563-N563</f>
        <v>0</v>
      </c>
      <c r="R563" s="22" t="str">
        <f aca="false">IF(O563=0,"No August moorage transaction",IF(O563&gt;1,"Duplicate August transactions",IF(ABS(Q563)&gt;0.005,"Charge variance","OK")))</f>
        <v>OK</v>
      </c>
      <c r="S563" s="22" t="str">
        <f aca="false">IF(R563="OK","","Billing completeness/reconciliation")</f>
        <v/>
      </c>
    </row>
    <row r="564" customFormat="false" ht="15" hidden="false" customHeight="false" outlineLevel="0" collapsed="false">
      <c r="A564" s="22" t="s">
        <v>7841</v>
      </c>
      <c r="B564" s="22" t="s">
        <v>215</v>
      </c>
      <c r="C564" s="22" t="s">
        <v>7694</v>
      </c>
      <c r="D564" s="22" t="n">
        <v>28</v>
      </c>
      <c r="E564" s="22" t="s">
        <v>7696</v>
      </c>
      <c r="F564" s="22" t="s">
        <v>6577</v>
      </c>
      <c r="G564" s="22" t="s">
        <v>3122</v>
      </c>
      <c r="H564" s="22" t="s">
        <v>3123</v>
      </c>
      <c r="I564" s="22" t="s">
        <v>181</v>
      </c>
      <c r="J564" s="22" t="n">
        <v>54.2</v>
      </c>
      <c r="K564" s="22" t="n">
        <f aca="false">ROUNDUP(J564,0)</f>
        <v>55</v>
      </c>
      <c r="L564" s="22" t="n">
        <f aca="false">MAX(D564,K564)</f>
        <v>55</v>
      </c>
      <c r="M564" s="25" t="n">
        <f aca="false">IF(E564="COVERED",'Controls &amp; Sources'!$B$5,'Controls &amp; Sources'!$B$6)</f>
        <v>7.55</v>
      </c>
      <c r="N564" s="25" t="n">
        <f aca="false">L564*M564</f>
        <v>415.25</v>
      </c>
      <c r="O564" s="22" t="n">
        <f aca="false">COUNTIFS('Billing Actual'!$E$2:$E$770,A564,'Billing Actual'!$B$2:$B$770,'Controls &amp; Sources'!$B$7)</f>
        <v>1</v>
      </c>
      <c r="P564" s="25" t="n">
        <f aca="false">SUMIFS('Billing Actual'!$M$2:$M$770,'Billing Actual'!$E$2:$E$770,A564,'Billing Actual'!$B$2:$B$770,'Controls &amp; Sources'!$B$7)</f>
        <v>415.25</v>
      </c>
      <c r="Q564" s="25" t="n">
        <f aca="false">P564-N564</f>
        <v>0</v>
      </c>
      <c r="R564" s="22" t="str">
        <f aca="false">IF(O564=0,"No August moorage transaction",IF(O564&gt;1,"Duplicate August transactions",IF(ABS(Q564)&gt;0.005,"Charge variance","OK")))</f>
        <v>OK</v>
      </c>
      <c r="S564" s="22" t="str">
        <f aca="false">IF(R564="OK","","Billing completeness/reconciliation")</f>
        <v/>
      </c>
    </row>
    <row r="565" customFormat="false" ht="15" hidden="false" customHeight="false" outlineLevel="0" collapsed="false">
      <c r="A565" s="22" t="s">
        <v>7842</v>
      </c>
      <c r="B565" s="22" t="s">
        <v>215</v>
      </c>
      <c r="C565" s="22" t="s">
        <v>7694</v>
      </c>
      <c r="D565" s="22" t="n">
        <v>32</v>
      </c>
      <c r="E565" s="22" t="s">
        <v>7696</v>
      </c>
      <c r="F565" s="22" t="s">
        <v>6577</v>
      </c>
      <c r="G565" s="22" t="s">
        <v>3638</v>
      </c>
      <c r="H565" s="22" t="s">
        <v>2135</v>
      </c>
      <c r="I565" s="22" t="s">
        <v>849</v>
      </c>
      <c r="J565" s="22" t="n">
        <v>26.2</v>
      </c>
      <c r="K565" s="22" t="n">
        <f aca="false">ROUNDUP(J565,0)</f>
        <v>27</v>
      </c>
      <c r="L565" s="22" t="n">
        <f aca="false">MAX(D565,K565)</f>
        <v>32</v>
      </c>
      <c r="M565" s="25" t="n">
        <f aca="false">IF(E565="COVERED",'Controls &amp; Sources'!$B$5,'Controls &amp; Sources'!$B$6)</f>
        <v>7.55</v>
      </c>
      <c r="N565" s="25" t="n">
        <f aca="false">L565*M565</f>
        <v>241.6</v>
      </c>
      <c r="O565" s="22" t="n">
        <f aca="false">COUNTIFS('Billing Actual'!$E$2:$E$770,A565,'Billing Actual'!$B$2:$B$770,'Controls &amp; Sources'!$B$7)</f>
        <v>1</v>
      </c>
      <c r="P565" s="25" t="n">
        <f aca="false">SUMIFS('Billing Actual'!$M$2:$M$770,'Billing Actual'!$E$2:$E$770,A565,'Billing Actual'!$B$2:$B$770,'Controls &amp; Sources'!$B$7)</f>
        <v>241.6</v>
      </c>
      <c r="Q565" s="25" t="n">
        <f aca="false">P565-N565</f>
        <v>0</v>
      </c>
      <c r="R565" s="22" t="str">
        <f aca="false">IF(O565=0,"No August moorage transaction",IF(O565&gt;1,"Duplicate August transactions",IF(ABS(Q565)&gt;0.005,"Charge variance","OK")))</f>
        <v>OK</v>
      </c>
      <c r="S565" s="22" t="str">
        <f aca="false">IF(R565="OK","","Billing completeness/reconciliation")</f>
        <v/>
      </c>
    </row>
    <row r="566" customFormat="false" ht="15" hidden="false" customHeight="false" outlineLevel="0" collapsed="false">
      <c r="A566" s="22" t="s">
        <v>7843</v>
      </c>
      <c r="B566" s="22" t="s">
        <v>215</v>
      </c>
      <c r="C566" s="22" t="s">
        <v>7694</v>
      </c>
      <c r="D566" s="22" t="n">
        <v>60</v>
      </c>
      <c r="E566" s="22" t="s">
        <v>7696</v>
      </c>
      <c r="F566" s="22" t="s">
        <v>6577</v>
      </c>
      <c r="G566" s="22" t="s">
        <v>1754</v>
      </c>
      <c r="H566" s="22" t="s">
        <v>1755</v>
      </c>
      <c r="I566" s="22" t="s">
        <v>1353</v>
      </c>
      <c r="J566" s="22" t="n">
        <v>37.4</v>
      </c>
      <c r="K566" s="22" t="n">
        <f aca="false">ROUNDUP(J566,0)</f>
        <v>38</v>
      </c>
      <c r="L566" s="22" t="n">
        <f aca="false">MAX(D566,K566)</f>
        <v>60</v>
      </c>
      <c r="M566" s="25" t="n">
        <f aca="false">IF(E566="COVERED",'Controls &amp; Sources'!$B$5,'Controls &amp; Sources'!$B$6)</f>
        <v>7.55</v>
      </c>
      <c r="N566" s="25" t="n">
        <f aca="false">L566*M566</f>
        <v>453</v>
      </c>
      <c r="O566" s="22" t="n">
        <f aca="false">COUNTIFS('Billing Actual'!$E$2:$E$770,A566,'Billing Actual'!$B$2:$B$770,'Controls &amp; Sources'!$B$7)</f>
        <v>1</v>
      </c>
      <c r="P566" s="25" t="n">
        <f aca="false">SUMIFS('Billing Actual'!$M$2:$M$770,'Billing Actual'!$E$2:$E$770,A566,'Billing Actual'!$B$2:$B$770,'Controls &amp; Sources'!$B$7)</f>
        <v>453</v>
      </c>
      <c r="Q566" s="25" t="n">
        <f aca="false">P566-N566</f>
        <v>0</v>
      </c>
      <c r="R566" s="22" t="str">
        <f aca="false">IF(O566=0,"No August moorage transaction",IF(O566&gt;1,"Duplicate August transactions",IF(ABS(Q566)&gt;0.005,"Charge variance","OK")))</f>
        <v>OK</v>
      </c>
      <c r="S566" s="22" t="str">
        <f aca="false">IF(R566="OK","","Billing completeness/reconciliation")</f>
        <v/>
      </c>
    </row>
    <row r="567" customFormat="false" ht="15" hidden="false" customHeight="false" outlineLevel="0" collapsed="false">
      <c r="A567" s="22" t="s">
        <v>7845</v>
      </c>
      <c r="B567" s="22" t="s">
        <v>215</v>
      </c>
      <c r="C567" s="22" t="s">
        <v>7694</v>
      </c>
      <c r="D567" s="22" t="n">
        <v>70</v>
      </c>
      <c r="E567" s="22" t="s">
        <v>7696</v>
      </c>
      <c r="F567" s="22" t="s">
        <v>6577</v>
      </c>
      <c r="G567" s="22" t="s">
        <v>4462</v>
      </c>
      <c r="H567" s="22" t="s">
        <v>4463</v>
      </c>
      <c r="I567" s="22" t="s">
        <v>1956</v>
      </c>
      <c r="J567" s="22" t="n">
        <v>55.2</v>
      </c>
      <c r="K567" s="22" t="n">
        <f aca="false">ROUNDUP(J567,0)</f>
        <v>56</v>
      </c>
      <c r="L567" s="22" t="n">
        <f aca="false">MAX(D567,K567)</f>
        <v>70</v>
      </c>
      <c r="M567" s="25" t="n">
        <f aca="false">IF(E567="COVERED",'Controls &amp; Sources'!$B$5,'Controls &amp; Sources'!$B$6)</f>
        <v>7.55</v>
      </c>
      <c r="N567" s="25" t="n">
        <f aca="false">L567*M567</f>
        <v>528.5</v>
      </c>
      <c r="O567" s="22" t="n">
        <f aca="false">COUNTIFS('Billing Actual'!$E$2:$E$770,A567,'Billing Actual'!$B$2:$B$770,'Controls &amp; Sources'!$B$7)</f>
        <v>1</v>
      </c>
      <c r="P567" s="25" t="n">
        <f aca="false">SUMIFS('Billing Actual'!$M$2:$M$770,'Billing Actual'!$E$2:$E$770,A567,'Billing Actual'!$B$2:$B$770,'Controls &amp; Sources'!$B$7)</f>
        <v>528.5</v>
      </c>
      <c r="Q567" s="25" t="n">
        <f aca="false">P567-N567</f>
        <v>0</v>
      </c>
      <c r="R567" s="22" t="str">
        <f aca="false">IF(O567=0,"No August moorage transaction",IF(O567&gt;1,"Duplicate August transactions",IF(ABS(Q567)&gt;0.005,"Charge variance","OK")))</f>
        <v>OK</v>
      </c>
      <c r="S567" s="22" t="str">
        <f aca="false">IF(R567="OK","","Billing completeness/reconciliation")</f>
        <v/>
      </c>
    </row>
    <row r="568" customFormat="false" ht="15" hidden="false" customHeight="false" outlineLevel="0" collapsed="false">
      <c r="A568" s="22" t="s">
        <v>7847</v>
      </c>
      <c r="B568" s="22" t="s">
        <v>215</v>
      </c>
      <c r="C568" s="22" t="s">
        <v>7694</v>
      </c>
      <c r="D568" s="22" t="n">
        <v>36</v>
      </c>
      <c r="E568" s="22" t="s">
        <v>7696</v>
      </c>
      <c r="F568" s="22" t="s">
        <v>6577</v>
      </c>
      <c r="G568" s="22" t="s">
        <v>5808</v>
      </c>
      <c r="H568" s="22" t="s">
        <v>5809</v>
      </c>
      <c r="I568" s="22" t="s">
        <v>1840</v>
      </c>
      <c r="J568" s="22" t="n">
        <v>59.7</v>
      </c>
      <c r="K568" s="22" t="n">
        <f aca="false">ROUNDUP(J568,0)</f>
        <v>60</v>
      </c>
      <c r="L568" s="22" t="n">
        <f aca="false">MAX(D568,K568)</f>
        <v>60</v>
      </c>
      <c r="M568" s="25" t="n">
        <f aca="false">IF(E568="COVERED",'Controls &amp; Sources'!$B$5,'Controls &amp; Sources'!$B$6)</f>
        <v>7.55</v>
      </c>
      <c r="N568" s="25" t="n">
        <f aca="false">L568*M568</f>
        <v>453</v>
      </c>
      <c r="O568" s="22" t="n">
        <f aca="false">COUNTIFS('Billing Actual'!$E$2:$E$770,A568,'Billing Actual'!$B$2:$B$770,'Controls &amp; Sources'!$B$7)</f>
        <v>1</v>
      </c>
      <c r="P568" s="25" t="n">
        <f aca="false">SUMIFS('Billing Actual'!$M$2:$M$770,'Billing Actual'!$E$2:$E$770,A568,'Billing Actual'!$B$2:$B$770,'Controls &amp; Sources'!$B$7)</f>
        <v>453</v>
      </c>
      <c r="Q568" s="25" t="n">
        <f aca="false">P568-N568</f>
        <v>0</v>
      </c>
      <c r="R568" s="22" t="str">
        <f aca="false">IF(O568=0,"No August moorage transaction",IF(O568&gt;1,"Duplicate August transactions",IF(ABS(Q568)&gt;0.005,"Charge variance","OK")))</f>
        <v>OK</v>
      </c>
      <c r="S568" s="22" t="str">
        <f aca="false">IF(R568="OK","","Billing completeness/reconciliation")</f>
        <v/>
      </c>
    </row>
    <row r="569" customFormat="false" ht="15" hidden="false" customHeight="false" outlineLevel="0" collapsed="false">
      <c r="A569" s="22" t="s">
        <v>7849</v>
      </c>
      <c r="B569" s="22" t="s">
        <v>215</v>
      </c>
      <c r="C569" s="22" t="s">
        <v>7694</v>
      </c>
      <c r="D569" s="22" t="n">
        <v>28</v>
      </c>
      <c r="E569" s="22" t="s">
        <v>7696</v>
      </c>
      <c r="F569" s="22" t="s">
        <v>6577</v>
      </c>
      <c r="G569" s="22" t="s">
        <v>5430</v>
      </c>
      <c r="H569" s="22" t="s">
        <v>3176</v>
      </c>
      <c r="I569" s="22" t="s">
        <v>2868</v>
      </c>
      <c r="J569" s="22" t="n">
        <v>52.5</v>
      </c>
      <c r="K569" s="22" t="n">
        <f aca="false">ROUNDUP(J569,0)</f>
        <v>53</v>
      </c>
      <c r="L569" s="22" t="n">
        <f aca="false">MAX(D569,K569)</f>
        <v>53</v>
      </c>
      <c r="M569" s="25" t="n">
        <f aca="false">IF(E569="COVERED",'Controls &amp; Sources'!$B$5,'Controls &amp; Sources'!$B$6)</f>
        <v>7.55</v>
      </c>
      <c r="N569" s="25" t="n">
        <f aca="false">L569*M569</f>
        <v>400.15</v>
      </c>
      <c r="O569" s="22" t="n">
        <f aca="false">COUNTIFS('Billing Actual'!$E$2:$E$770,A569,'Billing Actual'!$B$2:$B$770,'Controls &amp; Sources'!$B$7)</f>
        <v>1</v>
      </c>
      <c r="P569" s="25" t="n">
        <f aca="false">SUMIFS('Billing Actual'!$M$2:$M$770,'Billing Actual'!$E$2:$E$770,A569,'Billing Actual'!$B$2:$B$770,'Controls &amp; Sources'!$B$7)</f>
        <v>400.15</v>
      </c>
      <c r="Q569" s="25" t="n">
        <f aca="false">P569-N569</f>
        <v>0</v>
      </c>
      <c r="R569" s="22" t="str">
        <f aca="false">IF(O569=0,"No August moorage transaction",IF(O569&gt;1,"Duplicate August transactions",IF(ABS(Q569)&gt;0.005,"Charge variance","OK")))</f>
        <v>OK</v>
      </c>
      <c r="S569" s="22" t="str">
        <f aca="false">IF(R569="OK","","Billing completeness/reconciliation")</f>
        <v/>
      </c>
    </row>
    <row r="570" customFormat="false" ht="15" hidden="false" customHeight="false" outlineLevel="0" collapsed="false">
      <c r="A570" s="22" t="s">
        <v>7850</v>
      </c>
      <c r="B570" s="22" t="s">
        <v>215</v>
      </c>
      <c r="C570" s="22" t="s">
        <v>7694</v>
      </c>
      <c r="D570" s="22" t="n">
        <v>28</v>
      </c>
      <c r="E570" s="22" t="s">
        <v>7696</v>
      </c>
      <c r="F570" s="22" t="s">
        <v>6577</v>
      </c>
      <c r="G570" s="22" t="s">
        <v>5313</v>
      </c>
      <c r="H570" s="22" t="s">
        <v>5314</v>
      </c>
      <c r="I570" s="22" t="s">
        <v>321</v>
      </c>
      <c r="J570" s="22" t="n">
        <v>35.3</v>
      </c>
      <c r="K570" s="22" t="n">
        <f aca="false">ROUNDUP(J570,0)</f>
        <v>36</v>
      </c>
      <c r="L570" s="22" t="n">
        <f aca="false">MAX(D570,K570)</f>
        <v>36</v>
      </c>
      <c r="M570" s="25" t="n">
        <f aca="false">IF(E570="COVERED",'Controls &amp; Sources'!$B$5,'Controls &amp; Sources'!$B$6)</f>
        <v>7.55</v>
      </c>
      <c r="N570" s="25" t="n">
        <f aca="false">L570*M570</f>
        <v>271.8</v>
      </c>
      <c r="O570" s="22" t="n">
        <f aca="false">COUNTIFS('Billing Actual'!$E$2:$E$770,A570,'Billing Actual'!$B$2:$B$770,'Controls &amp; Sources'!$B$7)</f>
        <v>1</v>
      </c>
      <c r="P570" s="25" t="n">
        <f aca="false">SUMIFS('Billing Actual'!$M$2:$M$770,'Billing Actual'!$E$2:$E$770,A570,'Billing Actual'!$B$2:$B$770,'Controls &amp; Sources'!$B$7)</f>
        <v>271.8</v>
      </c>
      <c r="Q570" s="25" t="n">
        <f aca="false">P570-N570</f>
        <v>0</v>
      </c>
      <c r="R570" s="22" t="str">
        <f aca="false">IF(O570=0,"No August moorage transaction",IF(O570&gt;1,"Duplicate August transactions",IF(ABS(Q570)&gt;0.005,"Charge variance","OK")))</f>
        <v>OK</v>
      </c>
      <c r="S570" s="22" t="str">
        <f aca="false">IF(R570="OK","","Billing completeness/reconciliation")</f>
        <v/>
      </c>
    </row>
    <row r="571" customFormat="false" ht="15" hidden="false" customHeight="false" outlineLevel="0" collapsed="false">
      <c r="A571" s="22" t="s">
        <v>7851</v>
      </c>
      <c r="B571" s="22" t="s">
        <v>215</v>
      </c>
      <c r="C571" s="22" t="s">
        <v>7694</v>
      </c>
      <c r="D571" s="22" t="n">
        <v>60</v>
      </c>
      <c r="E571" s="22" t="s">
        <v>7696</v>
      </c>
      <c r="F571" s="22" t="s">
        <v>6577</v>
      </c>
      <c r="G571" s="22" t="s">
        <v>4484</v>
      </c>
      <c r="H571" s="22" t="s">
        <v>4485</v>
      </c>
      <c r="I571" s="22" t="s">
        <v>1767</v>
      </c>
      <c r="J571" s="22" t="n">
        <v>43.8</v>
      </c>
      <c r="K571" s="22" t="n">
        <f aca="false">ROUNDUP(J571,0)</f>
        <v>44</v>
      </c>
      <c r="L571" s="22" t="n">
        <f aca="false">MAX(D571,K571)</f>
        <v>60</v>
      </c>
      <c r="M571" s="25" t="n">
        <f aca="false">IF(E571="COVERED",'Controls &amp; Sources'!$B$5,'Controls &amp; Sources'!$B$6)</f>
        <v>7.55</v>
      </c>
      <c r="N571" s="25" t="n">
        <f aca="false">L571*M571</f>
        <v>453</v>
      </c>
      <c r="O571" s="22" t="n">
        <f aca="false">COUNTIFS('Billing Actual'!$E$2:$E$770,A571,'Billing Actual'!$B$2:$B$770,'Controls &amp; Sources'!$B$7)</f>
        <v>1</v>
      </c>
      <c r="P571" s="25" t="n">
        <f aca="false">SUMIFS('Billing Actual'!$M$2:$M$770,'Billing Actual'!$E$2:$E$770,A571,'Billing Actual'!$B$2:$B$770,'Controls &amp; Sources'!$B$7)</f>
        <v>453</v>
      </c>
      <c r="Q571" s="25" t="n">
        <f aca="false">P571-N571</f>
        <v>0</v>
      </c>
      <c r="R571" s="22" t="str">
        <f aca="false">IF(O571=0,"No August moorage transaction",IF(O571&gt;1,"Duplicate August transactions",IF(ABS(Q571)&gt;0.005,"Charge variance","OK")))</f>
        <v>OK</v>
      </c>
      <c r="S571" s="22" t="str">
        <f aca="false">IF(R571="OK","","Billing completeness/reconciliation")</f>
        <v/>
      </c>
    </row>
    <row r="572" customFormat="false" ht="15" hidden="false" customHeight="false" outlineLevel="0" collapsed="false">
      <c r="A572" s="22" t="s">
        <v>7852</v>
      </c>
      <c r="B572" s="22" t="s">
        <v>215</v>
      </c>
      <c r="C572" s="22" t="s">
        <v>7694</v>
      </c>
      <c r="D572" s="22" t="n">
        <v>24</v>
      </c>
      <c r="E572" s="22" t="s">
        <v>7696</v>
      </c>
      <c r="F572" s="22" t="s">
        <v>6577</v>
      </c>
      <c r="G572" s="22" t="s">
        <v>1957</v>
      </c>
      <c r="H572" s="22" t="s">
        <v>1958</v>
      </c>
      <c r="I572" s="22" t="s">
        <v>1959</v>
      </c>
      <c r="J572" s="22" t="n">
        <v>40.1</v>
      </c>
      <c r="K572" s="22" t="n">
        <f aca="false">ROUNDUP(J572,0)</f>
        <v>41</v>
      </c>
      <c r="L572" s="22" t="n">
        <f aca="false">MAX(D572,K572)</f>
        <v>41</v>
      </c>
      <c r="M572" s="25" t="n">
        <f aca="false">IF(E572="COVERED",'Controls &amp; Sources'!$B$5,'Controls &amp; Sources'!$B$6)</f>
        <v>7.55</v>
      </c>
      <c r="N572" s="25" t="n">
        <f aca="false">L572*M572</f>
        <v>309.55</v>
      </c>
      <c r="O572" s="22" t="n">
        <f aca="false">COUNTIFS('Billing Actual'!$E$2:$E$770,A572,'Billing Actual'!$B$2:$B$770,'Controls &amp; Sources'!$B$7)</f>
        <v>1</v>
      </c>
      <c r="P572" s="25" t="n">
        <f aca="false">SUMIFS('Billing Actual'!$M$2:$M$770,'Billing Actual'!$E$2:$E$770,A572,'Billing Actual'!$B$2:$B$770,'Controls &amp; Sources'!$B$7)</f>
        <v>309.55</v>
      </c>
      <c r="Q572" s="25" t="n">
        <f aca="false">P572-N572</f>
        <v>0</v>
      </c>
      <c r="R572" s="22" t="str">
        <f aca="false">IF(O572=0,"No August moorage transaction",IF(O572&gt;1,"Duplicate August transactions",IF(ABS(Q572)&gt;0.005,"Charge variance","OK")))</f>
        <v>OK</v>
      </c>
      <c r="S572" s="22" t="str">
        <f aca="false">IF(R572="OK","","Billing completeness/reconciliation")</f>
        <v/>
      </c>
    </row>
    <row r="573" customFormat="false" ht="15" hidden="false" customHeight="false" outlineLevel="0" collapsed="false">
      <c r="A573" s="22" t="s">
        <v>7854</v>
      </c>
      <c r="B573" s="22" t="s">
        <v>215</v>
      </c>
      <c r="C573" s="22" t="s">
        <v>7694</v>
      </c>
      <c r="D573" s="22" t="n">
        <v>24</v>
      </c>
      <c r="E573" s="22" t="s">
        <v>7696</v>
      </c>
      <c r="F573" s="22" t="s">
        <v>6577</v>
      </c>
      <c r="G573" s="22" t="s">
        <v>4101</v>
      </c>
      <c r="H573" s="22" t="s">
        <v>4102</v>
      </c>
      <c r="I573" s="22" t="s">
        <v>3602</v>
      </c>
      <c r="J573" s="22" t="n">
        <v>50.2</v>
      </c>
      <c r="K573" s="22" t="n">
        <f aca="false">ROUNDUP(J573,0)</f>
        <v>51</v>
      </c>
      <c r="L573" s="22" t="n">
        <f aca="false">MAX(D573,K573)</f>
        <v>51</v>
      </c>
      <c r="M573" s="25" t="n">
        <f aca="false">IF(E573="COVERED",'Controls &amp; Sources'!$B$5,'Controls &amp; Sources'!$B$6)</f>
        <v>7.55</v>
      </c>
      <c r="N573" s="25" t="n">
        <f aca="false">L573*M573</f>
        <v>385.05</v>
      </c>
      <c r="O573" s="22" t="n">
        <f aca="false">COUNTIFS('Billing Actual'!$E$2:$E$770,A573,'Billing Actual'!$B$2:$B$770,'Controls &amp; Sources'!$B$7)</f>
        <v>1</v>
      </c>
      <c r="P573" s="25" t="n">
        <f aca="false">SUMIFS('Billing Actual'!$M$2:$M$770,'Billing Actual'!$E$2:$E$770,A573,'Billing Actual'!$B$2:$B$770,'Controls &amp; Sources'!$B$7)</f>
        <v>385.05</v>
      </c>
      <c r="Q573" s="25" t="n">
        <f aca="false">P573-N573</f>
        <v>0</v>
      </c>
      <c r="R573" s="22" t="str">
        <f aca="false">IF(O573=0,"No August moorage transaction",IF(O573&gt;1,"Duplicate August transactions",IF(ABS(Q573)&gt;0.005,"Charge variance","OK")))</f>
        <v>OK</v>
      </c>
      <c r="S573" s="22" t="str">
        <f aca="false">IF(R573="OK","","Billing completeness/reconciliation")</f>
        <v/>
      </c>
    </row>
    <row r="574" customFormat="false" ht="15" hidden="false" customHeight="false" outlineLevel="0" collapsed="false">
      <c r="A574" s="22" t="s">
        <v>7855</v>
      </c>
      <c r="B574" s="22" t="s">
        <v>215</v>
      </c>
      <c r="C574" s="22" t="s">
        <v>7694</v>
      </c>
      <c r="D574" s="22" t="n">
        <v>24</v>
      </c>
      <c r="E574" s="22" t="s">
        <v>7696</v>
      </c>
      <c r="F574" s="22" t="s">
        <v>6577</v>
      </c>
      <c r="G574" s="22" t="s">
        <v>2495</v>
      </c>
      <c r="H574" s="22" t="s">
        <v>2496</v>
      </c>
      <c r="I574" s="22" t="s">
        <v>1060</v>
      </c>
      <c r="J574" s="22" t="n">
        <v>61</v>
      </c>
      <c r="K574" s="22" t="n">
        <f aca="false">ROUNDUP(J574,0)</f>
        <v>61</v>
      </c>
      <c r="L574" s="22" t="n">
        <f aca="false">MAX(D574,K574)</f>
        <v>61</v>
      </c>
      <c r="M574" s="25" t="n">
        <f aca="false">IF(E574="COVERED",'Controls &amp; Sources'!$B$5,'Controls &amp; Sources'!$B$6)</f>
        <v>7.55</v>
      </c>
      <c r="N574" s="25" t="n">
        <f aca="false">L574*M574</f>
        <v>460.55</v>
      </c>
      <c r="O574" s="22" t="n">
        <f aca="false">COUNTIFS('Billing Actual'!$E$2:$E$770,A574,'Billing Actual'!$B$2:$B$770,'Controls &amp; Sources'!$B$7)</f>
        <v>1</v>
      </c>
      <c r="P574" s="25" t="n">
        <f aca="false">SUMIFS('Billing Actual'!$M$2:$M$770,'Billing Actual'!$E$2:$E$770,A574,'Billing Actual'!$B$2:$B$770,'Controls &amp; Sources'!$B$7)</f>
        <v>460.55</v>
      </c>
      <c r="Q574" s="25" t="n">
        <f aca="false">P574-N574</f>
        <v>0</v>
      </c>
      <c r="R574" s="22" t="str">
        <f aca="false">IF(O574=0,"No August moorage transaction",IF(O574&gt;1,"Duplicate August transactions",IF(ABS(Q574)&gt;0.005,"Charge variance","OK")))</f>
        <v>OK</v>
      </c>
      <c r="S574" s="22" t="str">
        <f aca="false">IF(R574="OK","","Billing completeness/reconciliation")</f>
        <v/>
      </c>
    </row>
    <row r="575" customFormat="false" ht="15" hidden="false" customHeight="false" outlineLevel="0" collapsed="false">
      <c r="A575" s="22" t="s">
        <v>7856</v>
      </c>
      <c r="B575" s="22" t="s">
        <v>215</v>
      </c>
      <c r="C575" s="22" t="s">
        <v>7694</v>
      </c>
      <c r="D575" s="22" t="n">
        <v>40</v>
      </c>
      <c r="E575" s="22" t="s">
        <v>7696</v>
      </c>
      <c r="F575" s="22" t="s">
        <v>6577</v>
      </c>
      <c r="G575" s="22" t="s">
        <v>6552</v>
      </c>
      <c r="H575" s="22" t="s">
        <v>6553</v>
      </c>
      <c r="I575" s="22" t="s">
        <v>2297</v>
      </c>
      <c r="J575" s="22" t="n">
        <v>30.5</v>
      </c>
      <c r="K575" s="22" t="n">
        <f aca="false">ROUNDUP(J575,0)</f>
        <v>31</v>
      </c>
      <c r="L575" s="22" t="n">
        <f aca="false">MAX(D575,K575)</f>
        <v>40</v>
      </c>
      <c r="M575" s="25" t="n">
        <f aca="false">IF(E575="COVERED",'Controls &amp; Sources'!$B$5,'Controls &amp; Sources'!$B$6)</f>
        <v>7.55</v>
      </c>
      <c r="N575" s="25" t="n">
        <f aca="false">L575*M575</f>
        <v>302</v>
      </c>
      <c r="O575" s="22" t="n">
        <f aca="false">COUNTIFS('Billing Actual'!$E$2:$E$770,A575,'Billing Actual'!$B$2:$B$770,'Controls &amp; Sources'!$B$7)</f>
        <v>1</v>
      </c>
      <c r="P575" s="25" t="n">
        <f aca="false">SUMIFS('Billing Actual'!$M$2:$M$770,'Billing Actual'!$E$2:$E$770,A575,'Billing Actual'!$B$2:$B$770,'Controls &amp; Sources'!$B$7)</f>
        <v>302</v>
      </c>
      <c r="Q575" s="25" t="n">
        <f aca="false">P575-N575</f>
        <v>0</v>
      </c>
      <c r="R575" s="22" t="str">
        <f aca="false">IF(O575=0,"No August moorage transaction",IF(O575&gt;1,"Duplicate August transactions",IF(ABS(Q575)&gt;0.005,"Charge variance","OK")))</f>
        <v>OK</v>
      </c>
      <c r="S575" s="22" t="str">
        <f aca="false">IF(R575="OK","","Billing completeness/reconciliation")</f>
        <v/>
      </c>
    </row>
    <row r="576" customFormat="false" ht="15" hidden="false" customHeight="false" outlineLevel="0" collapsed="false">
      <c r="A576" s="22" t="s">
        <v>7857</v>
      </c>
      <c r="B576" s="22" t="s">
        <v>215</v>
      </c>
      <c r="C576" s="22" t="s">
        <v>7694</v>
      </c>
      <c r="D576" s="22" t="n">
        <v>24</v>
      </c>
      <c r="E576" s="22" t="s">
        <v>7696</v>
      </c>
      <c r="F576" s="22" t="s">
        <v>6577</v>
      </c>
      <c r="G576" s="22" t="s">
        <v>1909</v>
      </c>
      <c r="H576" s="22" t="s">
        <v>1910</v>
      </c>
      <c r="I576" s="22" t="s">
        <v>1911</v>
      </c>
      <c r="J576" s="22" t="n">
        <v>38.6</v>
      </c>
      <c r="K576" s="22" t="n">
        <f aca="false">ROUNDUP(J576,0)</f>
        <v>39</v>
      </c>
      <c r="L576" s="22" t="n">
        <f aca="false">MAX(D576,K576)</f>
        <v>39</v>
      </c>
      <c r="M576" s="25" t="n">
        <f aca="false">IF(E576="COVERED",'Controls &amp; Sources'!$B$5,'Controls &amp; Sources'!$B$6)</f>
        <v>7.55</v>
      </c>
      <c r="N576" s="25" t="n">
        <f aca="false">L576*M576</f>
        <v>294.45</v>
      </c>
      <c r="O576" s="22" t="n">
        <f aca="false">COUNTIFS('Billing Actual'!$E$2:$E$770,A576,'Billing Actual'!$B$2:$B$770,'Controls &amp; Sources'!$B$7)</f>
        <v>1</v>
      </c>
      <c r="P576" s="25" t="n">
        <f aca="false">SUMIFS('Billing Actual'!$M$2:$M$770,'Billing Actual'!$E$2:$E$770,A576,'Billing Actual'!$B$2:$B$770,'Controls &amp; Sources'!$B$7)</f>
        <v>294.45</v>
      </c>
      <c r="Q576" s="25" t="n">
        <f aca="false">P576-N576</f>
        <v>0</v>
      </c>
      <c r="R576" s="22" t="str">
        <f aca="false">IF(O576=0,"No August moorage transaction",IF(O576&gt;1,"Duplicate August transactions",IF(ABS(Q576)&gt;0.005,"Charge variance","OK")))</f>
        <v>OK</v>
      </c>
      <c r="S576" s="22" t="str">
        <f aca="false">IF(R576="OK","","Billing completeness/reconciliation")</f>
        <v/>
      </c>
    </row>
    <row r="577" customFormat="false" ht="15" hidden="false" customHeight="false" outlineLevel="0" collapsed="false">
      <c r="A577" s="22" t="s">
        <v>7859</v>
      </c>
      <c r="B577" s="22" t="s">
        <v>215</v>
      </c>
      <c r="C577" s="22" t="s">
        <v>7694</v>
      </c>
      <c r="D577" s="22" t="n">
        <v>50</v>
      </c>
      <c r="E577" s="22" t="s">
        <v>7696</v>
      </c>
      <c r="F577" s="22" t="s">
        <v>6577</v>
      </c>
      <c r="G577" s="22" t="s">
        <v>1337</v>
      </c>
      <c r="H577" s="22" t="s">
        <v>1338</v>
      </c>
      <c r="I577" s="22" t="s">
        <v>1339</v>
      </c>
      <c r="J577" s="22" t="n">
        <v>36.8</v>
      </c>
      <c r="K577" s="22" t="n">
        <f aca="false">ROUNDUP(J577,0)</f>
        <v>37</v>
      </c>
      <c r="L577" s="22" t="n">
        <f aca="false">MAX(D577,K577)</f>
        <v>50</v>
      </c>
      <c r="M577" s="25" t="n">
        <f aca="false">IF(E577="COVERED",'Controls &amp; Sources'!$B$5,'Controls &amp; Sources'!$B$6)</f>
        <v>7.55</v>
      </c>
      <c r="N577" s="25" t="n">
        <f aca="false">L577*M577</f>
        <v>377.5</v>
      </c>
      <c r="O577" s="22" t="n">
        <f aca="false">COUNTIFS('Billing Actual'!$E$2:$E$770,A577,'Billing Actual'!$B$2:$B$770,'Controls &amp; Sources'!$B$7)</f>
        <v>1</v>
      </c>
      <c r="P577" s="25" t="n">
        <f aca="false">SUMIFS('Billing Actual'!$M$2:$M$770,'Billing Actual'!$E$2:$E$770,A577,'Billing Actual'!$B$2:$B$770,'Controls &amp; Sources'!$B$7)</f>
        <v>377.5</v>
      </c>
      <c r="Q577" s="25" t="n">
        <f aca="false">P577-N577</f>
        <v>0</v>
      </c>
      <c r="R577" s="22" t="str">
        <f aca="false">IF(O577=0,"No August moorage transaction",IF(O577&gt;1,"Duplicate August transactions",IF(ABS(Q577)&gt;0.005,"Charge variance","OK")))</f>
        <v>OK</v>
      </c>
      <c r="S577" s="22" t="str">
        <f aca="false">IF(R577="OK","","Billing completeness/reconciliation")</f>
        <v/>
      </c>
    </row>
    <row r="578" customFormat="false" ht="15" hidden="false" customHeight="false" outlineLevel="0" collapsed="false">
      <c r="A578" s="22" t="s">
        <v>7860</v>
      </c>
      <c r="B578" s="22" t="s">
        <v>215</v>
      </c>
      <c r="C578" s="22" t="s">
        <v>7694</v>
      </c>
      <c r="D578" s="22" t="n">
        <v>32</v>
      </c>
      <c r="E578" s="22" t="s">
        <v>7696</v>
      </c>
      <c r="F578" s="22" t="s">
        <v>6577</v>
      </c>
      <c r="G578" s="22" t="s">
        <v>2119</v>
      </c>
      <c r="H578" s="22" t="s">
        <v>2120</v>
      </c>
      <c r="I578" s="22" t="s">
        <v>230</v>
      </c>
      <c r="J578" s="22" t="n">
        <v>53.2</v>
      </c>
      <c r="K578" s="22" t="n">
        <f aca="false">ROUNDUP(J578,0)</f>
        <v>54</v>
      </c>
      <c r="L578" s="22" t="n">
        <f aca="false">MAX(D578,K578)</f>
        <v>54</v>
      </c>
      <c r="M578" s="25" t="n">
        <f aca="false">IF(E578="COVERED",'Controls &amp; Sources'!$B$5,'Controls &amp; Sources'!$B$6)</f>
        <v>7.55</v>
      </c>
      <c r="N578" s="25" t="n">
        <f aca="false">L578*M578</f>
        <v>407.7</v>
      </c>
      <c r="O578" s="22" t="n">
        <f aca="false">COUNTIFS('Billing Actual'!$E$2:$E$770,A578,'Billing Actual'!$B$2:$B$770,'Controls &amp; Sources'!$B$7)</f>
        <v>1</v>
      </c>
      <c r="P578" s="25" t="n">
        <f aca="false">SUMIFS('Billing Actual'!$M$2:$M$770,'Billing Actual'!$E$2:$E$770,A578,'Billing Actual'!$B$2:$B$770,'Controls &amp; Sources'!$B$7)</f>
        <v>407.7</v>
      </c>
      <c r="Q578" s="25" t="n">
        <f aca="false">P578-N578</f>
        <v>0</v>
      </c>
      <c r="R578" s="22" t="str">
        <f aca="false">IF(O578=0,"No August moorage transaction",IF(O578&gt;1,"Duplicate August transactions",IF(ABS(Q578)&gt;0.005,"Charge variance","OK")))</f>
        <v>OK</v>
      </c>
      <c r="S578" s="22" t="str">
        <f aca="false">IF(R578="OK","","Billing completeness/reconciliation")</f>
        <v/>
      </c>
    </row>
    <row r="579" customFormat="false" ht="15" hidden="false" customHeight="false" outlineLevel="0" collapsed="false">
      <c r="A579" s="22" t="s">
        <v>7861</v>
      </c>
      <c r="B579" s="22" t="s">
        <v>215</v>
      </c>
      <c r="C579" s="22" t="s">
        <v>7694</v>
      </c>
      <c r="D579" s="22" t="n">
        <v>24</v>
      </c>
      <c r="E579" s="22" t="s">
        <v>7696</v>
      </c>
      <c r="F579" s="22" t="s">
        <v>6577</v>
      </c>
      <c r="G579" s="22" t="s">
        <v>4109</v>
      </c>
      <c r="H579" s="22" t="s">
        <v>4110</v>
      </c>
      <c r="I579" s="22" t="s">
        <v>1553</v>
      </c>
      <c r="J579" s="22" t="n">
        <v>26.9</v>
      </c>
      <c r="K579" s="22" t="n">
        <f aca="false">ROUNDUP(J579,0)</f>
        <v>27</v>
      </c>
      <c r="L579" s="22" t="n">
        <f aca="false">MAX(D579,K579)</f>
        <v>27</v>
      </c>
      <c r="M579" s="25" t="n">
        <f aca="false">IF(E579="COVERED",'Controls &amp; Sources'!$B$5,'Controls &amp; Sources'!$B$6)</f>
        <v>7.55</v>
      </c>
      <c r="N579" s="25" t="n">
        <f aca="false">L579*M579</f>
        <v>203.85</v>
      </c>
      <c r="O579" s="22" t="n">
        <f aca="false">COUNTIFS('Billing Actual'!$E$2:$E$770,A579,'Billing Actual'!$B$2:$B$770,'Controls &amp; Sources'!$B$7)</f>
        <v>1</v>
      </c>
      <c r="P579" s="25" t="n">
        <f aca="false">SUMIFS('Billing Actual'!$M$2:$M$770,'Billing Actual'!$E$2:$E$770,A579,'Billing Actual'!$B$2:$B$770,'Controls &amp; Sources'!$B$7)</f>
        <v>203.85</v>
      </c>
      <c r="Q579" s="25" t="n">
        <f aca="false">P579-N579</f>
        <v>0</v>
      </c>
      <c r="R579" s="22" t="str">
        <f aca="false">IF(O579=0,"No August moorage transaction",IF(O579&gt;1,"Duplicate August transactions",IF(ABS(Q579)&gt;0.005,"Charge variance","OK")))</f>
        <v>OK</v>
      </c>
      <c r="S579" s="22" t="str">
        <f aca="false">IF(R579="OK","","Billing completeness/reconciliation")</f>
        <v/>
      </c>
    </row>
    <row r="580" customFormat="false" ht="15" hidden="false" customHeight="false" outlineLevel="0" collapsed="false">
      <c r="A580" s="22" t="s">
        <v>7863</v>
      </c>
      <c r="B580" s="22" t="s">
        <v>215</v>
      </c>
      <c r="C580" s="22" t="s">
        <v>7694</v>
      </c>
      <c r="D580" s="22" t="n">
        <v>50</v>
      </c>
      <c r="E580" s="22" t="s">
        <v>7696</v>
      </c>
      <c r="F580" s="22" t="s">
        <v>6577</v>
      </c>
      <c r="G580" s="22" t="s">
        <v>4717</v>
      </c>
      <c r="H580" s="22" t="s">
        <v>4718</v>
      </c>
      <c r="I580" s="22" t="s">
        <v>269</v>
      </c>
      <c r="J580" s="22" t="n">
        <v>38.3</v>
      </c>
      <c r="K580" s="22" t="n">
        <f aca="false">ROUNDUP(J580,0)</f>
        <v>39</v>
      </c>
      <c r="L580" s="22" t="n">
        <f aca="false">MAX(D580,K580)</f>
        <v>50</v>
      </c>
      <c r="M580" s="25" t="n">
        <f aca="false">IF(E580="COVERED",'Controls &amp; Sources'!$B$5,'Controls &amp; Sources'!$B$6)</f>
        <v>7.55</v>
      </c>
      <c r="N580" s="25" t="n">
        <f aca="false">L580*M580</f>
        <v>377.5</v>
      </c>
      <c r="O580" s="22" t="n">
        <f aca="false">COUNTIFS('Billing Actual'!$E$2:$E$770,A580,'Billing Actual'!$B$2:$B$770,'Controls &amp; Sources'!$B$7)</f>
        <v>1</v>
      </c>
      <c r="P580" s="25" t="n">
        <f aca="false">SUMIFS('Billing Actual'!$M$2:$M$770,'Billing Actual'!$E$2:$E$770,A580,'Billing Actual'!$B$2:$B$770,'Controls &amp; Sources'!$B$7)</f>
        <v>377.5</v>
      </c>
      <c r="Q580" s="25" t="n">
        <f aca="false">P580-N580</f>
        <v>0</v>
      </c>
      <c r="R580" s="22" t="str">
        <f aca="false">IF(O580=0,"No August moorage transaction",IF(O580&gt;1,"Duplicate August transactions",IF(ABS(Q580)&gt;0.005,"Charge variance","OK")))</f>
        <v>OK</v>
      </c>
      <c r="S580" s="22" t="str">
        <f aca="false">IF(R580="OK","","Billing completeness/reconciliation")</f>
        <v/>
      </c>
    </row>
    <row r="581" customFormat="false" ht="15" hidden="false" customHeight="false" outlineLevel="0" collapsed="false">
      <c r="A581" s="22" t="s">
        <v>7865</v>
      </c>
      <c r="B581" s="22" t="s">
        <v>215</v>
      </c>
      <c r="C581" s="22" t="s">
        <v>7694</v>
      </c>
      <c r="D581" s="22" t="n">
        <v>36</v>
      </c>
      <c r="E581" s="22" t="s">
        <v>7696</v>
      </c>
      <c r="F581" s="22" t="s">
        <v>6577</v>
      </c>
      <c r="G581" s="22" t="s">
        <v>5997</v>
      </c>
      <c r="H581" s="22" t="s">
        <v>5998</v>
      </c>
      <c r="I581" s="22" t="s">
        <v>3213</v>
      </c>
      <c r="J581" s="22" t="n">
        <v>26.5</v>
      </c>
      <c r="K581" s="22" t="n">
        <f aca="false">ROUNDUP(J581,0)</f>
        <v>27</v>
      </c>
      <c r="L581" s="22" t="n">
        <f aca="false">MAX(D581,K581)</f>
        <v>36</v>
      </c>
      <c r="M581" s="25" t="n">
        <f aca="false">IF(E581="COVERED",'Controls &amp; Sources'!$B$5,'Controls &amp; Sources'!$B$6)</f>
        <v>7.55</v>
      </c>
      <c r="N581" s="25" t="n">
        <f aca="false">L581*M581</f>
        <v>271.8</v>
      </c>
      <c r="O581" s="22" t="n">
        <f aca="false">COUNTIFS('Billing Actual'!$E$2:$E$770,A581,'Billing Actual'!$B$2:$B$770,'Controls &amp; Sources'!$B$7)</f>
        <v>1</v>
      </c>
      <c r="P581" s="25" t="n">
        <f aca="false">SUMIFS('Billing Actual'!$M$2:$M$770,'Billing Actual'!$E$2:$E$770,A581,'Billing Actual'!$B$2:$B$770,'Controls &amp; Sources'!$B$7)</f>
        <v>271.8</v>
      </c>
      <c r="Q581" s="25" t="n">
        <f aca="false">P581-N581</f>
        <v>0</v>
      </c>
      <c r="R581" s="22" t="str">
        <f aca="false">IF(O581=0,"No August moorage transaction",IF(O581&gt;1,"Duplicate August transactions",IF(ABS(Q581)&gt;0.005,"Charge variance","OK")))</f>
        <v>OK</v>
      </c>
      <c r="S581" s="22" t="str">
        <f aca="false">IF(R581="OK","","Billing completeness/reconciliation")</f>
        <v/>
      </c>
    </row>
    <row r="582" customFormat="false" ht="15" hidden="false" customHeight="false" outlineLevel="0" collapsed="false">
      <c r="A582" s="22" t="s">
        <v>7866</v>
      </c>
      <c r="B582" s="22" t="s">
        <v>215</v>
      </c>
      <c r="C582" s="22" t="s">
        <v>7694</v>
      </c>
      <c r="D582" s="22" t="n">
        <v>24</v>
      </c>
      <c r="E582" s="22" t="s">
        <v>7696</v>
      </c>
      <c r="F582" s="22" t="s">
        <v>6577</v>
      </c>
      <c r="G582" s="22" t="s">
        <v>2577</v>
      </c>
      <c r="H582" s="22" t="s">
        <v>2578</v>
      </c>
      <c r="I582" s="22" t="s">
        <v>871</v>
      </c>
      <c r="J582" s="22" t="n">
        <v>57.9</v>
      </c>
      <c r="K582" s="22" t="n">
        <f aca="false">ROUNDUP(J582,0)</f>
        <v>58</v>
      </c>
      <c r="L582" s="22" t="n">
        <f aca="false">MAX(D582,K582)</f>
        <v>58</v>
      </c>
      <c r="M582" s="25" t="n">
        <f aca="false">IF(E582="COVERED",'Controls &amp; Sources'!$B$5,'Controls &amp; Sources'!$B$6)</f>
        <v>7.55</v>
      </c>
      <c r="N582" s="25" t="n">
        <f aca="false">L582*M582</f>
        <v>437.9</v>
      </c>
      <c r="O582" s="22" t="n">
        <f aca="false">COUNTIFS('Billing Actual'!$E$2:$E$770,A582,'Billing Actual'!$B$2:$B$770,'Controls &amp; Sources'!$B$7)</f>
        <v>1</v>
      </c>
      <c r="P582" s="25" t="n">
        <f aca="false">SUMIFS('Billing Actual'!$M$2:$M$770,'Billing Actual'!$E$2:$E$770,A582,'Billing Actual'!$B$2:$B$770,'Controls &amp; Sources'!$B$7)</f>
        <v>437.9</v>
      </c>
      <c r="Q582" s="25" t="n">
        <f aca="false">P582-N582</f>
        <v>0</v>
      </c>
      <c r="R582" s="22" t="str">
        <f aca="false">IF(O582=0,"No August moorage transaction",IF(O582&gt;1,"Duplicate August transactions",IF(ABS(Q582)&gt;0.005,"Charge variance","OK")))</f>
        <v>OK</v>
      </c>
      <c r="S582" s="22" t="str">
        <f aca="false">IF(R582="OK","","Billing completeness/reconciliation")</f>
        <v/>
      </c>
    </row>
    <row r="583" customFormat="false" ht="15" hidden="false" customHeight="false" outlineLevel="0" collapsed="false">
      <c r="A583" s="22" t="s">
        <v>7867</v>
      </c>
      <c r="B583" s="22" t="s">
        <v>215</v>
      </c>
      <c r="C583" s="22" t="s">
        <v>7694</v>
      </c>
      <c r="D583" s="22" t="n">
        <v>32</v>
      </c>
      <c r="E583" s="22" t="s">
        <v>7696</v>
      </c>
      <c r="F583" s="22" t="s">
        <v>6577</v>
      </c>
      <c r="G583" s="22" t="s">
        <v>996</v>
      </c>
      <c r="H583" s="22" t="s">
        <v>997</v>
      </c>
      <c r="I583" s="22" t="s">
        <v>7868</v>
      </c>
      <c r="J583" s="22" t="n">
        <v>19.2</v>
      </c>
      <c r="K583" s="22" t="n">
        <f aca="false">ROUNDUP(J583,0)</f>
        <v>20</v>
      </c>
      <c r="L583" s="22" t="n">
        <f aca="false">MAX(D583,K583)</f>
        <v>32</v>
      </c>
      <c r="M583" s="25" t="n">
        <f aca="false">IF(E583="COVERED",'Controls &amp; Sources'!$B$5,'Controls &amp; Sources'!$B$6)</f>
        <v>7.55</v>
      </c>
      <c r="N583" s="25" t="n">
        <f aca="false">L583*M583</f>
        <v>241.6</v>
      </c>
      <c r="O583" s="22" t="n">
        <f aca="false">COUNTIFS('Billing Actual'!$E$2:$E$770,A583,'Billing Actual'!$B$2:$B$770,'Controls &amp; Sources'!$B$7)</f>
        <v>1</v>
      </c>
      <c r="P583" s="25" t="n">
        <f aca="false">SUMIFS('Billing Actual'!$M$2:$M$770,'Billing Actual'!$E$2:$E$770,A583,'Billing Actual'!$B$2:$B$770,'Controls &amp; Sources'!$B$7)</f>
        <v>241.6</v>
      </c>
      <c r="Q583" s="25" t="n">
        <f aca="false">P583-N583</f>
        <v>0</v>
      </c>
      <c r="R583" s="22" t="str">
        <f aca="false">IF(O583=0,"No August moorage transaction",IF(O583&gt;1,"Duplicate August transactions",IF(ABS(Q583)&gt;0.005,"Charge variance","OK")))</f>
        <v>OK</v>
      </c>
      <c r="S583" s="22" t="str">
        <f aca="false">IF(R583="OK","","Billing completeness/reconciliation")</f>
        <v/>
      </c>
    </row>
    <row r="584" customFormat="false" ht="15" hidden="false" customHeight="false" outlineLevel="0" collapsed="false">
      <c r="A584" s="22" t="s">
        <v>7870</v>
      </c>
      <c r="B584" s="22" t="s">
        <v>215</v>
      </c>
      <c r="C584" s="22" t="s">
        <v>7694</v>
      </c>
      <c r="D584" s="22" t="n">
        <v>24</v>
      </c>
      <c r="E584" s="22" t="s">
        <v>7696</v>
      </c>
      <c r="F584" s="22" t="s">
        <v>6577</v>
      </c>
      <c r="G584" s="22" t="s">
        <v>4285</v>
      </c>
      <c r="H584" s="22" t="s">
        <v>4286</v>
      </c>
      <c r="I584" s="22" t="s">
        <v>4287</v>
      </c>
      <c r="J584" s="22" t="n">
        <v>22.8</v>
      </c>
      <c r="K584" s="22" t="n">
        <f aca="false">ROUNDUP(J584,0)</f>
        <v>23</v>
      </c>
      <c r="L584" s="22" t="n">
        <f aca="false">MAX(D584,K584)</f>
        <v>24</v>
      </c>
      <c r="M584" s="25" t="n">
        <f aca="false">IF(E584="COVERED",'Controls &amp; Sources'!$B$5,'Controls &amp; Sources'!$B$6)</f>
        <v>7.55</v>
      </c>
      <c r="N584" s="25" t="n">
        <f aca="false">L584*M584</f>
        <v>181.2</v>
      </c>
      <c r="O584" s="22" t="n">
        <f aca="false">COUNTIFS('Billing Actual'!$E$2:$E$770,A584,'Billing Actual'!$B$2:$B$770,'Controls &amp; Sources'!$B$7)</f>
        <v>1</v>
      </c>
      <c r="P584" s="25" t="n">
        <f aca="false">SUMIFS('Billing Actual'!$M$2:$M$770,'Billing Actual'!$E$2:$E$770,A584,'Billing Actual'!$B$2:$B$770,'Controls &amp; Sources'!$B$7)</f>
        <v>181.2</v>
      </c>
      <c r="Q584" s="25" t="n">
        <f aca="false">P584-N584</f>
        <v>0</v>
      </c>
      <c r="R584" s="22" t="str">
        <f aca="false">IF(O584=0,"No August moorage transaction",IF(O584&gt;1,"Duplicate August transactions",IF(ABS(Q584)&gt;0.005,"Charge variance","OK")))</f>
        <v>OK</v>
      </c>
      <c r="S584" s="22" t="str">
        <f aca="false">IF(R584="OK","","Billing completeness/reconciliation")</f>
        <v/>
      </c>
    </row>
    <row r="585" customFormat="false" ht="15" hidden="false" customHeight="false" outlineLevel="0" collapsed="false">
      <c r="A585" s="22" t="s">
        <v>7872</v>
      </c>
      <c r="B585" s="22" t="s">
        <v>215</v>
      </c>
      <c r="C585" s="22" t="s">
        <v>7694</v>
      </c>
      <c r="D585" s="22" t="n">
        <v>50</v>
      </c>
      <c r="E585" s="22" t="s">
        <v>7696</v>
      </c>
      <c r="F585" s="22" t="s">
        <v>6577</v>
      </c>
      <c r="G585" s="22" t="s">
        <v>3855</v>
      </c>
      <c r="H585" s="22" t="s">
        <v>3856</v>
      </c>
      <c r="I585" s="22" t="s">
        <v>2533</v>
      </c>
      <c r="J585" s="22" t="n">
        <v>26.9</v>
      </c>
      <c r="K585" s="22" t="n">
        <f aca="false">ROUNDUP(J585,0)</f>
        <v>27</v>
      </c>
      <c r="L585" s="22" t="n">
        <f aca="false">MAX(D585,K585)</f>
        <v>50</v>
      </c>
      <c r="M585" s="25" t="n">
        <f aca="false">IF(E585="COVERED",'Controls &amp; Sources'!$B$5,'Controls &amp; Sources'!$B$6)</f>
        <v>7.55</v>
      </c>
      <c r="N585" s="25" t="n">
        <f aca="false">L585*M585</f>
        <v>377.5</v>
      </c>
      <c r="O585" s="22" t="n">
        <f aca="false">COUNTIFS('Billing Actual'!$E$2:$E$770,A585,'Billing Actual'!$B$2:$B$770,'Controls &amp; Sources'!$B$7)</f>
        <v>1</v>
      </c>
      <c r="P585" s="25" t="n">
        <f aca="false">SUMIFS('Billing Actual'!$M$2:$M$770,'Billing Actual'!$E$2:$E$770,A585,'Billing Actual'!$B$2:$B$770,'Controls &amp; Sources'!$B$7)</f>
        <v>377.5</v>
      </c>
      <c r="Q585" s="25" t="n">
        <f aca="false">P585-N585</f>
        <v>0</v>
      </c>
      <c r="R585" s="22" t="str">
        <f aca="false">IF(O585=0,"No August moorage transaction",IF(O585&gt;1,"Duplicate August transactions",IF(ABS(Q585)&gt;0.005,"Charge variance","OK")))</f>
        <v>OK</v>
      </c>
      <c r="S585" s="22" t="str">
        <f aca="false">IF(R585="OK","","Billing completeness/reconciliation")</f>
        <v/>
      </c>
    </row>
    <row r="586" customFormat="false" ht="15" hidden="false" customHeight="false" outlineLevel="0" collapsed="false">
      <c r="A586" s="22" t="s">
        <v>7874</v>
      </c>
      <c r="B586" s="22" t="s">
        <v>215</v>
      </c>
      <c r="C586" s="22" t="s">
        <v>7694</v>
      </c>
      <c r="D586" s="22" t="n">
        <v>24</v>
      </c>
      <c r="E586" s="22" t="s">
        <v>7696</v>
      </c>
      <c r="F586" s="22" t="s">
        <v>6577</v>
      </c>
      <c r="G586" s="22" t="s">
        <v>6071</v>
      </c>
      <c r="H586" s="22" t="s">
        <v>6072</v>
      </c>
      <c r="I586" s="22" t="s">
        <v>1548</v>
      </c>
      <c r="J586" s="22" t="n">
        <v>22</v>
      </c>
      <c r="K586" s="22" t="n">
        <f aca="false">ROUNDUP(J586,0)</f>
        <v>22</v>
      </c>
      <c r="L586" s="22" t="n">
        <f aca="false">MAX(D586,K586)</f>
        <v>24</v>
      </c>
      <c r="M586" s="25" t="n">
        <f aca="false">IF(E586="COVERED",'Controls &amp; Sources'!$B$5,'Controls &amp; Sources'!$B$6)</f>
        <v>7.55</v>
      </c>
      <c r="N586" s="25" t="n">
        <f aca="false">L586*M586</f>
        <v>181.2</v>
      </c>
      <c r="O586" s="22" t="n">
        <f aca="false">COUNTIFS('Billing Actual'!$E$2:$E$770,A586,'Billing Actual'!$B$2:$B$770,'Controls &amp; Sources'!$B$7)</f>
        <v>1</v>
      </c>
      <c r="P586" s="25" t="n">
        <f aca="false">SUMIFS('Billing Actual'!$M$2:$M$770,'Billing Actual'!$E$2:$E$770,A586,'Billing Actual'!$B$2:$B$770,'Controls &amp; Sources'!$B$7)</f>
        <v>181.2</v>
      </c>
      <c r="Q586" s="25" t="n">
        <f aca="false">P586-N586</f>
        <v>0</v>
      </c>
      <c r="R586" s="22" t="str">
        <f aca="false">IF(O586=0,"No August moorage transaction",IF(O586&gt;1,"Duplicate August transactions",IF(ABS(Q586)&gt;0.005,"Charge variance","OK")))</f>
        <v>OK</v>
      </c>
      <c r="S586" s="22" t="str">
        <f aca="false">IF(R586="OK","","Billing completeness/reconciliation")</f>
        <v/>
      </c>
    </row>
    <row r="587" customFormat="false" ht="15" hidden="false" customHeight="false" outlineLevel="0" collapsed="false">
      <c r="A587" s="22" t="s">
        <v>7876</v>
      </c>
      <c r="B587" s="22" t="s">
        <v>215</v>
      </c>
      <c r="C587" s="22" t="s">
        <v>7694</v>
      </c>
      <c r="D587" s="22" t="n">
        <v>60</v>
      </c>
      <c r="E587" s="22" t="s">
        <v>7696</v>
      </c>
      <c r="F587" s="22" t="s">
        <v>6577</v>
      </c>
      <c r="G587" s="22" t="s">
        <v>3282</v>
      </c>
      <c r="H587" s="22" t="s">
        <v>3283</v>
      </c>
      <c r="I587" s="22" t="s">
        <v>2643</v>
      </c>
      <c r="J587" s="22" t="n">
        <v>35</v>
      </c>
      <c r="K587" s="22" t="n">
        <f aca="false">ROUNDUP(J587,0)</f>
        <v>35</v>
      </c>
      <c r="L587" s="22" t="n">
        <f aca="false">MAX(D587,K587)</f>
        <v>60</v>
      </c>
      <c r="M587" s="25" t="n">
        <f aca="false">IF(E587="COVERED",'Controls &amp; Sources'!$B$5,'Controls &amp; Sources'!$B$6)</f>
        <v>7.55</v>
      </c>
      <c r="N587" s="25" t="n">
        <f aca="false">L587*M587</f>
        <v>453</v>
      </c>
      <c r="O587" s="22" t="n">
        <f aca="false">COUNTIFS('Billing Actual'!$E$2:$E$770,A587,'Billing Actual'!$B$2:$B$770,'Controls &amp; Sources'!$B$7)</f>
        <v>1</v>
      </c>
      <c r="P587" s="25" t="n">
        <f aca="false">SUMIFS('Billing Actual'!$M$2:$M$770,'Billing Actual'!$E$2:$E$770,A587,'Billing Actual'!$B$2:$B$770,'Controls &amp; Sources'!$B$7)</f>
        <v>453</v>
      </c>
      <c r="Q587" s="25" t="n">
        <f aca="false">P587-N587</f>
        <v>0</v>
      </c>
      <c r="R587" s="22" t="str">
        <f aca="false">IF(O587=0,"No August moorage transaction",IF(O587&gt;1,"Duplicate August transactions",IF(ABS(Q587)&gt;0.005,"Charge variance","OK")))</f>
        <v>OK</v>
      </c>
      <c r="S587" s="22" t="str">
        <f aca="false">IF(R587="OK","","Billing completeness/reconciliation")</f>
        <v/>
      </c>
    </row>
    <row r="588" customFormat="false" ht="15" hidden="false" customHeight="false" outlineLevel="0" collapsed="false">
      <c r="A588" s="22" t="s">
        <v>7878</v>
      </c>
      <c r="B588" s="22" t="s">
        <v>215</v>
      </c>
      <c r="C588" s="22" t="s">
        <v>7694</v>
      </c>
      <c r="D588" s="22" t="n">
        <v>40</v>
      </c>
      <c r="E588" s="22" t="s">
        <v>7696</v>
      </c>
      <c r="F588" s="22" t="s">
        <v>6577</v>
      </c>
      <c r="G588" s="22" t="s">
        <v>2676</v>
      </c>
      <c r="H588" s="22" t="s">
        <v>2677</v>
      </c>
      <c r="I588" s="22" t="s">
        <v>1198</v>
      </c>
      <c r="J588" s="22" t="n">
        <v>54.9</v>
      </c>
      <c r="K588" s="22" t="n">
        <f aca="false">ROUNDUP(J588,0)</f>
        <v>55</v>
      </c>
      <c r="L588" s="22" t="n">
        <f aca="false">MAX(D588,K588)</f>
        <v>55</v>
      </c>
      <c r="M588" s="25" t="n">
        <f aca="false">IF(E588="COVERED",'Controls &amp; Sources'!$B$5,'Controls &amp; Sources'!$B$6)</f>
        <v>7.55</v>
      </c>
      <c r="N588" s="25" t="n">
        <f aca="false">L588*M588</f>
        <v>415.25</v>
      </c>
      <c r="O588" s="22" t="n">
        <f aca="false">COUNTIFS('Billing Actual'!$E$2:$E$770,A588,'Billing Actual'!$B$2:$B$770,'Controls &amp; Sources'!$B$7)</f>
        <v>1</v>
      </c>
      <c r="P588" s="25" t="n">
        <f aca="false">SUMIFS('Billing Actual'!$M$2:$M$770,'Billing Actual'!$E$2:$E$770,A588,'Billing Actual'!$B$2:$B$770,'Controls &amp; Sources'!$B$7)</f>
        <v>415.25</v>
      </c>
      <c r="Q588" s="25" t="n">
        <f aca="false">P588-N588</f>
        <v>0</v>
      </c>
      <c r="R588" s="22" t="str">
        <f aca="false">IF(O588=0,"No August moorage transaction",IF(O588&gt;1,"Duplicate August transactions",IF(ABS(Q588)&gt;0.005,"Charge variance","OK")))</f>
        <v>OK</v>
      </c>
      <c r="S588" s="22" t="str">
        <f aca="false">IF(R588="OK","","Billing completeness/reconciliation")</f>
        <v/>
      </c>
    </row>
    <row r="589" customFormat="false" ht="15" hidden="false" customHeight="false" outlineLevel="0" collapsed="false">
      <c r="A589" s="22" t="s">
        <v>7879</v>
      </c>
      <c r="B589" s="22" t="s">
        <v>215</v>
      </c>
      <c r="C589" s="22" t="s">
        <v>7694</v>
      </c>
      <c r="D589" s="22" t="n">
        <v>45</v>
      </c>
      <c r="E589" s="22" t="s">
        <v>7696</v>
      </c>
      <c r="F589" s="22" t="s">
        <v>6577</v>
      </c>
      <c r="G589" s="22" t="s">
        <v>5601</v>
      </c>
      <c r="H589" s="22" t="s">
        <v>5602</v>
      </c>
      <c r="I589" s="22" t="s">
        <v>576</v>
      </c>
      <c r="J589" s="22" t="n">
        <v>53.8</v>
      </c>
      <c r="K589" s="22" t="n">
        <f aca="false">ROUNDUP(J589,0)</f>
        <v>54</v>
      </c>
      <c r="L589" s="22" t="n">
        <f aca="false">MAX(D589,K589)</f>
        <v>54</v>
      </c>
      <c r="M589" s="25" t="n">
        <f aca="false">IF(E589="COVERED",'Controls &amp; Sources'!$B$5,'Controls &amp; Sources'!$B$6)</f>
        <v>7.55</v>
      </c>
      <c r="N589" s="25" t="n">
        <f aca="false">L589*M589</f>
        <v>407.7</v>
      </c>
      <c r="O589" s="22" t="n">
        <f aca="false">COUNTIFS('Billing Actual'!$E$2:$E$770,A589,'Billing Actual'!$B$2:$B$770,'Controls &amp; Sources'!$B$7)</f>
        <v>1</v>
      </c>
      <c r="P589" s="25" t="n">
        <f aca="false">SUMIFS('Billing Actual'!$M$2:$M$770,'Billing Actual'!$E$2:$E$770,A589,'Billing Actual'!$B$2:$B$770,'Controls &amp; Sources'!$B$7)</f>
        <v>407.7</v>
      </c>
      <c r="Q589" s="25" t="n">
        <f aca="false">P589-N589</f>
        <v>0</v>
      </c>
      <c r="R589" s="22" t="str">
        <f aca="false">IF(O589=0,"No August moorage transaction",IF(O589&gt;1,"Duplicate August transactions",IF(ABS(Q589)&gt;0.005,"Charge variance","OK")))</f>
        <v>OK</v>
      </c>
      <c r="S589" s="22" t="str">
        <f aca="false">IF(R589="OK","","Billing completeness/reconciliation")</f>
        <v/>
      </c>
    </row>
    <row r="590" customFormat="false" ht="15" hidden="false" customHeight="false" outlineLevel="0" collapsed="false">
      <c r="A590" s="22" t="s">
        <v>7880</v>
      </c>
      <c r="B590" s="22" t="s">
        <v>215</v>
      </c>
      <c r="C590" s="22" t="s">
        <v>7694</v>
      </c>
      <c r="D590" s="22" t="n">
        <v>24</v>
      </c>
      <c r="E590" s="22" t="s">
        <v>7696</v>
      </c>
      <c r="F590" s="22" t="s">
        <v>6577</v>
      </c>
      <c r="G590" s="22" t="s">
        <v>3103</v>
      </c>
      <c r="H590" s="22" t="s">
        <v>3104</v>
      </c>
      <c r="I590" s="22" t="s">
        <v>3105</v>
      </c>
      <c r="J590" s="22" t="n">
        <v>40</v>
      </c>
      <c r="K590" s="22" t="n">
        <f aca="false">ROUNDUP(J590,0)</f>
        <v>40</v>
      </c>
      <c r="L590" s="22" t="n">
        <f aca="false">MAX(D590,K590)</f>
        <v>40</v>
      </c>
      <c r="M590" s="25" t="n">
        <f aca="false">IF(E590="COVERED",'Controls &amp; Sources'!$B$5,'Controls &amp; Sources'!$B$6)</f>
        <v>7.55</v>
      </c>
      <c r="N590" s="25" t="n">
        <f aca="false">L590*M590</f>
        <v>302</v>
      </c>
      <c r="O590" s="22" t="n">
        <f aca="false">COUNTIFS('Billing Actual'!$E$2:$E$770,A590,'Billing Actual'!$B$2:$B$770,'Controls &amp; Sources'!$B$7)</f>
        <v>1</v>
      </c>
      <c r="P590" s="25" t="n">
        <f aca="false">SUMIFS('Billing Actual'!$M$2:$M$770,'Billing Actual'!$E$2:$E$770,A590,'Billing Actual'!$B$2:$B$770,'Controls &amp; Sources'!$B$7)</f>
        <v>302</v>
      </c>
      <c r="Q590" s="25" t="n">
        <f aca="false">P590-N590</f>
        <v>0</v>
      </c>
      <c r="R590" s="22" t="str">
        <f aca="false">IF(O590=0,"No August moorage transaction",IF(O590&gt;1,"Duplicate August transactions",IF(ABS(Q590)&gt;0.005,"Charge variance","OK")))</f>
        <v>OK</v>
      </c>
      <c r="S590" s="22" t="str">
        <f aca="false">IF(R590="OK","","Billing completeness/reconciliation")</f>
        <v/>
      </c>
    </row>
    <row r="591" customFormat="false" ht="15" hidden="false" customHeight="false" outlineLevel="0" collapsed="false">
      <c r="A591" s="22" t="s">
        <v>7881</v>
      </c>
      <c r="B591" s="22" t="s">
        <v>215</v>
      </c>
      <c r="C591" s="22" t="s">
        <v>7694</v>
      </c>
      <c r="D591" s="22" t="n">
        <v>28</v>
      </c>
      <c r="E591" s="22" t="s">
        <v>7696</v>
      </c>
      <c r="F591" s="22" t="s">
        <v>6577</v>
      </c>
      <c r="G591" s="22" t="s">
        <v>3705</v>
      </c>
      <c r="H591" s="22" t="s">
        <v>3706</v>
      </c>
      <c r="I591" s="22" t="s">
        <v>1896</v>
      </c>
      <c r="J591" s="22" t="n">
        <v>42.7</v>
      </c>
      <c r="K591" s="22" t="n">
        <f aca="false">ROUNDUP(J591,0)</f>
        <v>43</v>
      </c>
      <c r="L591" s="22" t="n">
        <f aca="false">MAX(D591,K591)</f>
        <v>43</v>
      </c>
      <c r="M591" s="25" t="n">
        <f aca="false">IF(E591="COVERED",'Controls &amp; Sources'!$B$5,'Controls &amp; Sources'!$B$6)</f>
        <v>7.55</v>
      </c>
      <c r="N591" s="25" t="n">
        <f aca="false">L591*M591</f>
        <v>324.65</v>
      </c>
      <c r="O591" s="22" t="n">
        <f aca="false">COUNTIFS('Billing Actual'!$E$2:$E$770,A591,'Billing Actual'!$B$2:$B$770,'Controls &amp; Sources'!$B$7)</f>
        <v>1</v>
      </c>
      <c r="P591" s="25" t="n">
        <f aca="false">SUMIFS('Billing Actual'!$M$2:$M$770,'Billing Actual'!$E$2:$E$770,A591,'Billing Actual'!$B$2:$B$770,'Controls &amp; Sources'!$B$7)</f>
        <v>324.65</v>
      </c>
      <c r="Q591" s="25" t="n">
        <f aca="false">P591-N591</f>
        <v>0</v>
      </c>
      <c r="R591" s="22" t="str">
        <f aca="false">IF(O591=0,"No August moorage transaction",IF(O591&gt;1,"Duplicate August transactions",IF(ABS(Q591)&gt;0.005,"Charge variance","OK")))</f>
        <v>OK</v>
      </c>
      <c r="S591" s="22" t="str">
        <f aca="false">IF(R591="OK","","Billing completeness/reconciliation")</f>
        <v/>
      </c>
    </row>
    <row r="592" customFormat="false" ht="15" hidden="false" customHeight="false" outlineLevel="0" collapsed="false">
      <c r="A592" s="22" t="s">
        <v>7883</v>
      </c>
      <c r="B592" s="22" t="s">
        <v>215</v>
      </c>
      <c r="C592" s="22" t="s">
        <v>7694</v>
      </c>
      <c r="D592" s="22" t="n">
        <v>28</v>
      </c>
      <c r="E592" s="22" t="s">
        <v>7696</v>
      </c>
      <c r="F592" s="22" t="s">
        <v>6577</v>
      </c>
      <c r="G592" s="22" t="s">
        <v>1524</v>
      </c>
      <c r="H592" s="22" t="s">
        <v>1525</v>
      </c>
      <c r="I592" s="22" t="s">
        <v>352</v>
      </c>
      <c r="J592" s="22" t="n">
        <v>51.6</v>
      </c>
      <c r="K592" s="22" t="n">
        <f aca="false">ROUNDUP(J592,0)</f>
        <v>52</v>
      </c>
      <c r="L592" s="22" t="n">
        <f aca="false">MAX(D592,K592)</f>
        <v>52</v>
      </c>
      <c r="M592" s="25" t="n">
        <f aca="false">IF(E592="COVERED",'Controls &amp; Sources'!$B$5,'Controls &amp; Sources'!$B$6)</f>
        <v>7.55</v>
      </c>
      <c r="N592" s="25" t="n">
        <f aca="false">L592*M592</f>
        <v>392.6</v>
      </c>
      <c r="O592" s="22" t="n">
        <f aca="false">COUNTIFS('Billing Actual'!$E$2:$E$770,A592,'Billing Actual'!$B$2:$B$770,'Controls &amp; Sources'!$B$7)</f>
        <v>1</v>
      </c>
      <c r="P592" s="25" t="n">
        <f aca="false">SUMIFS('Billing Actual'!$M$2:$M$770,'Billing Actual'!$E$2:$E$770,A592,'Billing Actual'!$B$2:$B$770,'Controls &amp; Sources'!$B$7)</f>
        <v>392.6</v>
      </c>
      <c r="Q592" s="25" t="n">
        <f aca="false">P592-N592</f>
        <v>0</v>
      </c>
      <c r="R592" s="22" t="str">
        <f aca="false">IF(O592=0,"No August moorage transaction",IF(O592&gt;1,"Duplicate August transactions",IF(ABS(Q592)&gt;0.005,"Charge variance","OK")))</f>
        <v>OK</v>
      </c>
      <c r="S592" s="22" t="str">
        <f aca="false">IF(R592="OK","","Billing completeness/reconciliation")</f>
        <v/>
      </c>
    </row>
    <row r="593" customFormat="false" ht="15" hidden="false" customHeight="false" outlineLevel="0" collapsed="false">
      <c r="A593" s="22" t="s">
        <v>7884</v>
      </c>
      <c r="B593" s="22" t="s">
        <v>215</v>
      </c>
      <c r="C593" s="22" t="s">
        <v>7694</v>
      </c>
      <c r="D593" s="22" t="n">
        <v>28</v>
      </c>
      <c r="E593" s="22" t="s">
        <v>7696</v>
      </c>
      <c r="F593" s="22" t="s">
        <v>6577</v>
      </c>
      <c r="G593" s="22" t="s">
        <v>3833</v>
      </c>
      <c r="H593" s="22" t="s">
        <v>3834</v>
      </c>
      <c r="I593" s="22" t="s">
        <v>1649</v>
      </c>
      <c r="J593" s="22" t="n">
        <v>50.3</v>
      </c>
      <c r="K593" s="22" t="n">
        <f aca="false">ROUNDUP(J593,0)</f>
        <v>51</v>
      </c>
      <c r="L593" s="22" t="n">
        <f aca="false">MAX(D593,K593)</f>
        <v>51</v>
      </c>
      <c r="M593" s="25" t="n">
        <f aca="false">IF(E593="COVERED",'Controls &amp; Sources'!$B$5,'Controls &amp; Sources'!$B$6)</f>
        <v>7.55</v>
      </c>
      <c r="N593" s="25" t="n">
        <f aca="false">L593*M593</f>
        <v>385.05</v>
      </c>
      <c r="O593" s="22" t="n">
        <f aca="false">COUNTIFS('Billing Actual'!$E$2:$E$770,A593,'Billing Actual'!$B$2:$B$770,'Controls &amp; Sources'!$B$7)</f>
        <v>1</v>
      </c>
      <c r="P593" s="25" t="n">
        <f aca="false">SUMIFS('Billing Actual'!$M$2:$M$770,'Billing Actual'!$E$2:$E$770,A593,'Billing Actual'!$B$2:$B$770,'Controls &amp; Sources'!$B$7)</f>
        <v>385.05</v>
      </c>
      <c r="Q593" s="25" t="n">
        <f aca="false">P593-N593</f>
        <v>0</v>
      </c>
      <c r="R593" s="22" t="str">
        <f aca="false">IF(O593=0,"No August moorage transaction",IF(O593&gt;1,"Duplicate August transactions",IF(ABS(Q593)&gt;0.005,"Charge variance","OK")))</f>
        <v>OK</v>
      </c>
      <c r="S593" s="22" t="str">
        <f aca="false">IF(R593="OK","","Billing completeness/reconciliation")</f>
        <v/>
      </c>
    </row>
    <row r="594" customFormat="false" ht="15" hidden="false" customHeight="false" outlineLevel="0" collapsed="false">
      <c r="A594" s="22" t="s">
        <v>7885</v>
      </c>
      <c r="B594" s="22" t="s">
        <v>215</v>
      </c>
      <c r="C594" s="22" t="s">
        <v>7694</v>
      </c>
      <c r="D594" s="22" t="n">
        <v>24</v>
      </c>
      <c r="E594" s="22" t="s">
        <v>7696</v>
      </c>
      <c r="F594" s="22" t="s">
        <v>6577</v>
      </c>
      <c r="G594" s="22" t="s">
        <v>2189</v>
      </c>
      <c r="H594" s="22" t="s">
        <v>2190</v>
      </c>
      <c r="I594" s="22" t="s">
        <v>1968</v>
      </c>
      <c r="J594" s="22" t="n">
        <v>47</v>
      </c>
      <c r="K594" s="22" t="n">
        <f aca="false">ROUNDUP(J594,0)</f>
        <v>47</v>
      </c>
      <c r="L594" s="22" t="n">
        <f aca="false">MAX(D594,K594)</f>
        <v>47</v>
      </c>
      <c r="M594" s="25" t="n">
        <f aca="false">IF(E594="COVERED",'Controls &amp; Sources'!$B$5,'Controls &amp; Sources'!$B$6)</f>
        <v>7.55</v>
      </c>
      <c r="N594" s="25" t="n">
        <f aca="false">L594*M594</f>
        <v>354.85</v>
      </c>
      <c r="O594" s="22" t="n">
        <f aca="false">COUNTIFS('Billing Actual'!$E$2:$E$770,A594,'Billing Actual'!$B$2:$B$770,'Controls &amp; Sources'!$B$7)</f>
        <v>1</v>
      </c>
      <c r="P594" s="25" t="n">
        <f aca="false">SUMIFS('Billing Actual'!$M$2:$M$770,'Billing Actual'!$E$2:$E$770,A594,'Billing Actual'!$B$2:$B$770,'Controls &amp; Sources'!$B$7)</f>
        <v>354.85</v>
      </c>
      <c r="Q594" s="25" t="n">
        <f aca="false">P594-N594</f>
        <v>0</v>
      </c>
      <c r="R594" s="22" t="str">
        <f aca="false">IF(O594=0,"No August moorage transaction",IF(O594&gt;1,"Duplicate August transactions",IF(ABS(Q594)&gt;0.005,"Charge variance","OK")))</f>
        <v>OK</v>
      </c>
      <c r="S594" s="22" t="str">
        <f aca="false">IF(R594="OK","","Billing completeness/reconciliation")</f>
        <v/>
      </c>
    </row>
    <row r="595" customFormat="false" ht="15" hidden="false" customHeight="false" outlineLevel="0" collapsed="false">
      <c r="A595" s="22" t="s">
        <v>7889</v>
      </c>
      <c r="B595" s="22" t="s">
        <v>215</v>
      </c>
      <c r="C595" s="22" t="s">
        <v>7694</v>
      </c>
      <c r="D595" s="22" t="n">
        <v>45</v>
      </c>
      <c r="E595" s="22" t="s">
        <v>7696</v>
      </c>
      <c r="F595" s="22" t="s">
        <v>6577</v>
      </c>
      <c r="G595" s="22" t="s">
        <v>3319</v>
      </c>
      <c r="H595" s="22" t="s">
        <v>3320</v>
      </c>
      <c r="I595" s="22" t="s">
        <v>933</v>
      </c>
      <c r="J595" s="22" t="n">
        <v>53</v>
      </c>
      <c r="K595" s="22" t="n">
        <f aca="false">ROUNDUP(J595,0)</f>
        <v>53</v>
      </c>
      <c r="L595" s="22" t="n">
        <f aca="false">MAX(D595,K595)</f>
        <v>53</v>
      </c>
      <c r="M595" s="25" t="n">
        <f aca="false">IF(E595="COVERED",'Controls &amp; Sources'!$B$5,'Controls &amp; Sources'!$B$6)</f>
        <v>7.55</v>
      </c>
      <c r="N595" s="25" t="n">
        <f aca="false">L595*M595</f>
        <v>400.15</v>
      </c>
      <c r="O595" s="22" t="n">
        <f aca="false">COUNTIFS('Billing Actual'!$E$2:$E$770,A595,'Billing Actual'!$B$2:$B$770,'Controls &amp; Sources'!$B$7)</f>
        <v>1</v>
      </c>
      <c r="P595" s="25" t="n">
        <f aca="false">SUMIFS('Billing Actual'!$M$2:$M$770,'Billing Actual'!$E$2:$E$770,A595,'Billing Actual'!$B$2:$B$770,'Controls &amp; Sources'!$B$7)</f>
        <v>400.15</v>
      </c>
      <c r="Q595" s="25" t="n">
        <f aca="false">P595-N595</f>
        <v>0</v>
      </c>
      <c r="R595" s="22" t="str">
        <f aca="false">IF(O595=0,"No August moorage transaction",IF(O595&gt;1,"Duplicate August transactions",IF(ABS(Q595)&gt;0.005,"Charge variance","OK")))</f>
        <v>OK</v>
      </c>
      <c r="S595" s="22" t="str">
        <f aca="false">IF(R595="OK","","Billing completeness/reconciliation")</f>
        <v/>
      </c>
    </row>
    <row r="596" customFormat="false" ht="15" hidden="false" customHeight="false" outlineLevel="0" collapsed="false">
      <c r="A596" s="22" t="s">
        <v>7890</v>
      </c>
      <c r="B596" s="22" t="s">
        <v>215</v>
      </c>
      <c r="C596" s="22" t="s">
        <v>7694</v>
      </c>
      <c r="D596" s="22" t="n">
        <v>45</v>
      </c>
      <c r="E596" s="22" t="s">
        <v>7696</v>
      </c>
      <c r="F596" s="22" t="s">
        <v>6577</v>
      </c>
      <c r="G596" s="22" t="s">
        <v>5861</v>
      </c>
      <c r="H596" s="22" t="s">
        <v>5862</v>
      </c>
      <c r="I596" s="22" t="s">
        <v>1051</v>
      </c>
      <c r="J596" s="22" t="n">
        <v>23.5</v>
      </c>
      <c r="K596" s="22" t="n">
        <f aca="false">ROUNDUP(J596,0)</f>
        <v>24</v>
      </c>
      <c r="L596" s="22" t="n">
        <f aca="false">MAX(D596,K596)</f>
        <v>45</v>
      </c>
      <c r="M596" s="25" t="n">
        <f aca="false">IF(E596="COVERED",'Controls &amp; Sources'!$B$5,'Controls &amp; Sources'!$B$6)</f>
        <v>7.55</v>
      </c>
      <c r="N596" s="25" t="n">
        <f aca="false">L596*M596</f>
        <v>339.75</v>
      </c>
      <c r="O596" s="22" t="n">
        <f aca="false">COUNTIFS('Billing Actual'!$E$2:$E$770,A596,'Billing Actual'!$B$2:$B$770,'Controls &amp; Sources'!$B$7)</f>
        <v>1</v>
      </c>
      <c r="P596" s="25" t="n">
        <f aca="false">SUMIFS('Billing Actual'!$M$2:$M$770,'Billing Actual'!$E$2:$E$770,A596,'Billing Actual'!$B$2:$B$770,'Controls &amp; Sources'!$B$7)</f>
        <v>339.75</v>
      </c>
      <c r="Q596" s="25" t="n">
        <f aca="false">P596-N596</f>
        <v>0</v>
      </c>
      <c r="R596" s="22" t="str">
        <f aca="false">IF(O596=0,"No August moorage transaction",IF(O596&gt;1,"Duplicate August transactions",IF(ABS(Q596)&gt;0.005,"Charge variance","OK")))</f>
        <v>OK</v>
      </c>
      <c r="S596" s="22" t="str">
        <f aca="false">IF(R596="OK","","Billing completeness/reconciliation")</f>
        <v/>
      </c>
    </row>
    <row r="597" customFormat="false" ht="15" hidden="false" customHeight="false" outlineLevel="0" collapsed="false">
      <c r="A597" s="22" t="s">
        <v>7891</v>
      </c>
      <c r="B597" s="22" t="s">
        <v>215</v>
      </c>
      <c r="C597" s="22" t="s">
        <v>7694</v>
      </c>
      <c r="D597" s="22" t="n">
        <v>36</v>
      </c>
      <c r="E597" s="22" t="s">
        <v>7696</v>
      </c>
      <c r="F597" s="22" t="s">
        <v>6577</v>
      </c>
      <c r="G597" s="22" t="s">
        <v>973</v>
      </c>
      <c r="H597" s="22" t="s">
        <v>974</v>
      </c>
      <c r="I597" s="22" t="s">
        <v>975</v>
      </c>
      <c r="J597" s="22" t="n">
        <v>42.6</v>
      </c>
      <c r="K597" s="22" t="n">
        <f aca="false">ROUNDUP(J597,0)</f>
        <v>43</v>
      </c>
      <c r="L597" s="22" t="n">
        <f aca="false">MAX(D597,K597)</f>
        <v>43</v>
      </c>
      <c r="M597" s="25" t="n">
        <f aca="false">IF(E597="COVERED",'Controls &amp; Sources'!$B$5,'Controls &amp; Sources'!$B$6)</f>
        <v>7.55</v>
      </c>
      <c r="N597" s="25" t="n">
        <f aca="false">L597*M597</f>
        <v>324.65</v>
      </c>
      <c r="O597" s="22" t="n">
        <f aca="false">COUNTIFS('Billing Actual'!$E$2:$E$770,A597,'Billing Actual'!$B$2:$B$770,'Controls &amp; Sources'!$B$7)</f>
        <v>1</v>
      </c>
      <c r="P597" s="25" t="n">
        <f aca="false">SUMIFS('Billing Actual'!$M$2:$M$770,'Billing Actual'!$E$2:$E$770,A597,'Billing Actual'!$B$2:$B$770,'Controls &amp; Sources'!$B$7)</f>
        <v>324.65</v>
      </c>
      <c r="Q597" s="25" t="n">
        <f aca="false">P597-N597</f>
        <v>0</v>
      </c>
      <c r="R597" s="22" t="str">
        <f aca="false">IF(O597=0,"No August moorage transaction",IF(O597&gt;1,"Duplicate August transactions",IF(ABS(Q597)&gt;0.005,"Charge variance","OK")))</f>
        <v>OK</v>
      </c>
      <c r="S597" s="22" t="str">
        <f aca="false">IF(R597="OK","","Billing completeness/reconciliation")</f>
        <v/>
      </c>
    </row>
    <row r="598" customFormat="false" ht="15" hidden="false" customHeight="false" outlineLevel="0" collapsed="false">
      <c r="A598" s="22" t="s">
        <v>7893</v>
      </c>
      <c r="B598" s="22" t="s">
        <v>215</v>
      </c>
      <c r="C598" s="22" t="s">
        <v>7694</v>
      </c>
      <c r="D598" s="22" t="n">
        <v>70</v>
      </c>
      <c r="E598" s="22" t="s">
        <v>7696</v>
      </c>
      <c r="F598" s="22" t="s">
        <v>6577</v>
      </c>
      <c r="G598" s="22" t="s">
        <v>2239</v>
      </c>
      <c r="H598" s="22" t="s">
        <v>2240</v>
      </c>
      <c r="I598" s="22" t="s">
        <v>2241</v>
      </c>
      <c r="J598" s="22" t="n">
        <v>27</v>
      </c>
      <c r="K598" s="22" t="n">
        <f aca="false">ROUNDUP(J598,0)</f>
        <v>27</v>
      </c>
      <c r="L598" s="22" t="n">
        <f aca="false">MAX(D598,K598)</f>
        <v>70</v>
      </c>
      <c r="M598" s="25" t="n">
        <f aca="false">IF(E598="COVERED",'Controls &amp; Sources'!$B$5,'Controls &amp; Sources'!$B$6)</f>
        <v>7.55</v>
      </c>
      <c r="N598" s="25" t="n">
        <f aca="false">L598*M598</f>
        <v>528.5</v>
      </c>
      <c r="O598" s="22" t="n">
        <f aca="false">COUNTIFS('Billing Actual'!$E$2:$E$770,A598,'Billing Actual'!$B$2:$B$770,'Controls &amp; Sources'!$B$7)</f>
        <v>1</v>
      </c>
      <c r="P598" s="25" t="n">
        <f aca="false">SUMIFS('Billing Actual'!$M$2:$M$770,'Billing Actual'!$E$2:$E$770,A598,'Billing Actual'!$B$2:$B$770,'Controls &amp; Sources'!$B$7)</f>
        <v>528.5</v>
      </c>
      <c r="Q598" s="25" t="n">
        <f aca="false">P598-N598</f>
        <v>0</v>
      </c>
      <c r="R598" s="22" t="str">
        <f aca="false">IF(O598=0,"No August moorage transaction",IF(O598&gt;1,"Duplicate August transactions",IF(ABS(Q598)&gt;0.005,"Charge variance","OK")))</f>
        <v>OK</v>
      </c>
      <c r="S598" s="22" t="str">
        <f aca="false">IF(R598="OK","","Billing completeness/reconciliation")</f>
        <v/>
      </c>
    </row>
    <row r="599" customFormat="false" ht="15" hidden="false" customHeight="false" outlineLevel="0" collapsed="false">
      <c r="A599" s="22" t="s">
        <v>7894</v>
      </c>
      <c r="B599" s="22" t="s">
        <v>215</v>
      </c>
      <c r="C599" s="22" t="s">
        <v>7694</v>
      </c>
      <c r="D599" s="22" t="n">
        <v>28</v>
      </c>
      <c r="E599" s="22" t="s">
        <v>7696</v>
      </c>
      <c r="F599" s="22" t="s">
        <v>6577</v>
      </c>
      <c r="G599" s="22" t="s">
        <v>2381</v>
      </c>
      <c r="H599" s="22" t="s">
        <v>2382</v>
      </c>
      <c r="I599" s="22" t="s">
        <v>538</v>
      </c>
      <c r="J599" s="22" t="n">
        <v>27.3</v>
      </c>
      <c r="K599" s="22" t="n">
        <f aca="false">ROUNDUP(J599,0)</f>
        <v>28</v>
      </c>
      <c r="L599" s="22" t="n">
        <f aca="false">MAX(D599,K599)</f>
        <v>28</v>
      </c>
      <c r="M599" s="25" t="n">
        <f aca="false">IF(E599="COVERED",'Controls &amp; Sources'!$B$5,'Controls &amp; Sources'!$B$6)</f>
        <v>7.55</v>
      </c>
      <c r="N599" s="25" t="n">
        <f aca="false">L599*M599</f>
        <v>211.4</v>
      </c>
      <c r="O599" s="22" t="n">
        <f aca="false">COUNTIFS('Billing Actual'!$E$2:$E$770,A599,'Billing Actual'!$B$2:$B$770,'Controls &amp; Sources'!$B$7)</f>
        <v>1</v>
      </c>
      <c r="P599" s="25" t="n">
        <f aca="false">SUMIFS('Billing Actual'!$M$2:$M$770,'Billing Actual'!$E$2:$E$770,A599,'Billing Actual'!$B$2:$B$770,'Controls &amp; Sources'!$B$7)</f>
        <v>211.4</v>
      </c>
      <c r="Q599" s="25" t="n">
        <f aca="false">P599-N599</f>
        <v>0</v>
      </c>
      <c r="R599" s="22" t="str">
        <f aca="false">IF(O599=0,"No August moorage transaction",IF(O599&gt;1,"Duplicate August transactions",IF(ABS(Q599)&gt;0.005,"Charge variance","OK")))</f>
        <v>OK</v>
      </c>
      <c r="S599" s="22" t="str">
        <f aca="false">IF(R599="OK","","Billing completeness/reconciliation")</f>
        <v/>
      </c>
    </row>
    <row r="600" customFormat="false" ht="15" hidden="false" customHeight="false" outlineLevel="0" collapsed="false">
      <c r="A600" s="22" t="s">
        <v>7897</v>
      </c>
      <c r="B600" s="22" t="s">
        <v>215</v>
      </c>
      <c r="C600" s="22" t="s">
        <v>7694</v>
      </c>
      <c r="D600" s="22" t="n">
        <v>80</v>
      </c>
      <c r="E600" s="22" t="s">
        <v>7696</v>
      </c>
      <c r="F600" s="22" t="s">
        <v>6577</v>
      </c>
      <c r="G600" s="22" t="s">
        <v>168</v>
      </c>
      <c r="H600" s="22" t="s">
        <v>169</v>
      </c>
      <c r="I600" s="22" t="s">
        <v>170</v>
      </c>
      <c r="J600" s="22" t="n">
        <v>61.6</v>
      </c>
      <c r="K600" s="22" t="n">
        <f aca="false">ROUNDUP(J600,0)</f>
        <v>62</v>
      </c>
      <c r="L600" s="22" t="n">
        <f aca="false">MAX(D600,K600)</f>
        <v>80</v>
      </c>
      <c r="M600" s="25" t="n">
        <f aca="false">IF(E600="COVERED",'Controls &amp; Sources'!$B$5,'Controls &amp; Sources'!$B$6)</f>
        <v>7.55</v>
      </c>
      <c r="N600" s="25" t="n">
        <f aca="false">L600*M600</f>
        <v>604</v>
      </c>
      <c r="O600" s="22" t="n">
        <f aca="false">COUNTIFS('Billing Actual'!$E$2:$E$770,A600,'Billing Actual'!$B$2:$B$770,'Controls &amp; Sources'!$B$7)</f>
        <v>1</v>
      </c>
      <c r="P600" s="25" t="n">
        <f aca="false">SUMIFS('Billing Actual'!$M$2:$M$770,'Billing Actual'!$E$2:$E$770,A600,'Billing Actual'!$B$2:$B$770,'Controls &amp; Sources'!$B$7)</f>
        <v>604</v>
      </c>
      <c r="Q600" s="25" t="n">
        <f aca="false">P600-N600</f>
        <v>0</v>
      </c>
      <c r="R600" s="22" t="str">
        <f aca="false">IF(O600=0,"No August moorage transaction",IF(O600&gt;1,"Duplicate August transactions",IF(ABS(Q600)&gt;0.005,"Charge variance","OK")))</f>
        <v>OK</v>
      </c>
      <c r="S600" s="22" t="str">
        <f aca="false">IF(R600="OK","","Billing completeness/reconciliation")</f>
        <v/>
      </c>
    </row>
    <row r="601" customFormat="false" ht="15" hidden="false" customHeight="false" outlineLevel="0" collapsed="false">
      <c r="A601" s="22" t="s">
        <v>7900</v>
      </c>
      <c r="B601" s="22" t="s">
        <v>215</v>
      </c>
      <c r="C601" s="22" t="s">
        <v>7694</v>
      </c>
      <c r="D601" s="22" t="n">
        <v>32</v>
      </c>
      <c r="E601" s="22" t="s">
        <v>7696</v>
      </c>
      <c r="F601" s="22" t="s">
        <v>6577</v>
      </c>
      <c r="G601" s="22" t="s">
        <v>4498</v>
      </c>
      <c r="H601" s="22" t="s">
        <v>4499</v>
      </c>
      <c r="I601" s="22" t="s">
        <v>2720</v>
      </c>
      <c r="J601" s="22" t="n">
        <v>61.8</v>
      </c>
      <c r="K601" s="22" t="n">
        <f aca="false">ROUNDUP(J601,0)</f>
        <v>62</v>
      </c>
      <c r="L601" s="22" t="n">
        <f aca="false">MAX(D601,K601)</f>
        <v>62</v>
      </c>
      <c r="M601" s="25" t="n">
        <f aca="false">IF(E601="COVERED",'Controls &amp; Sources'!$B$5,'Controls &amp; Sources'!$B$6)</f>
        <v>7.55</v>
      </c>
      <c r="N601" s="25" t="n">
        <f aca="false">L601*M601</f>
        <v>468.1</v>
      </c>
      <c r="O601" s="22" t="n">
        <f aca="false">COUNTIFS('Billing Actual'!$E$2:$E$770,A601,'Billing Actual'!$B$2:$B$770,'Controls &amp; Sources'!$B$7)</f>
        <v>1</v>
      </c>
      <c r="P601" s="25" t="n">
        <f aca="false">SUMIFS('Billing Actual'!$M$2:$M$770,'Billing Actual'!$E$2:$E$770,A601,'Billing Actual'!$B$2:$B$770,'Controls &amp; Sources'!$B$7)</f>
        <v>468.1</v>
      </c>
      <c r="Q601" s="25" t="n">
        <f aca="false">P601-N601</f>
        <v>0</v>
      </c>
      <c r="R601" s="22" t="str">
        <f aca="false">IF(O601=0,"No August moorage transaction",IF(O601&gt;1,"Duplicate August transactions",IF(ABS(Q601)&gt;0.005,"Charge variance","OK")))</f>
        <v>OK</v>
      </c>
      <c r="S601" s="22" t="str">
        <f aca="false">IF(R601="OK","","Billing completeness/reconciliation")</f>
        <v/>
      </c>
    </row>
    <row r="602" customFormat="false" ht="15" hidden="false" customHeight="false" outlineLevel="0" collapsed="false">
      <c r="A602" s="22" t="s">
        <v>7901</v>
      </c>
      <c r="B602" s="22" t="s">
        <v>215</v>
      </c>
      <c r="C602" s="22" t="s">
        <v>7694</v>
      </c>
      <c r="D602" s="22" t="n">
        <v>60</v>
      </c>
      <c r="E602" s="22" t="s">
        <v>7696</v>
      </c>
      <c r="F602" s="22" t="s">
        <v>6577</v>
      </c>
      <c r="G602" s="22" t="s">
        <v>886</v>
      </c>
      <c r="H602" s="22" t="s">
        <v>887</v>
      </c>
      <c r="I602" s="22" t="s">
        <v>799</v>
      </c>
      <c r="J602" s="22" t="n">
        <v>47.3</v>
      </c>
      <c r="K602" s="22" t="n">
        <f aca="false">ROUNDUP(J602,0)</f>
        <v>48</v>
      </c>
      <c r="L602" s="22" t="n">
        <f aca="false">MAX(D602,K602)</f>
        <v>60</v>
      </c>
      <c r="M602" s="25" t="n">
        <f aca="false">IF(E602="COVERED",'Controls &amp; Sources'!$B$5,'Controls &amp; Sources'!$B$6)</f>
        <v>7.55</v>
      </c>
      <c r="N602" s="25" t="n">
        <f aca="false">L602*M602</f>
        <v>453</v>
      </c>
      <c r="O602" s="22" t="n">
        <f aca="false">COUNTIFS('Billing Actual'!$E$2:$E$770,A602,'Billing Actual'!$B$2:$B$770,'Controls &amp; Sources'!$B$7)</f>
        <v>1</v>
      </c>
      <c r="P602" s="25" t="n">
        <f aca="false">SUMIFS('Billing Actual'!$M$2:$M$770,'Billing Actual'!$E$2:$E$770,A602,'Billing Actual'!$B$2:$B$770,'Controls &amp; Sources'!$B$7)</f>
        <v>453</v>
      </c>
      <c r="Q602" s="25" t="n">
        <f aca="false">P602-N602</f>
        <v>0</v>
      </c>
      <c r="R602" s="22" t="str">
        <f aca="false">IF(O602=0,"No August moorage transaction",IF(O602&gt;1,"Duplicate August transactions",IF(ABS(Q602)&gt;0.005,"Charge variance","OK")))</f>
        <v>OK</v>
      </c>
      <c r="S602" s="22" t="str">
        <f aca="false">IF(R602="OK","","Billing completeness/reconciliation")</f>
        <v/>
      </c>
    </row>
    <row r="603" customFormat="false" ht="15" hidden="false" customHeight="false" outlineLevel="0" collapsed="false">
      <c r="A603" s="22" t="s">
        <v>7904</v>
      </c>
      <c r="B603" s="22" t="s">
        <v>215</v>
      </c>
      <c r="C603" s="22" t="s">
        <v>7694</v>
      </c>
      <c r="D603" s="22" t="n">
        <v>45</v>
      </c>
      <c r="E603" s="22" t="s">
        <v>7696</v>
      </c>
      <c r="F603" s="22" t="s">
        <v>6577</v>
      </c>
      <c r="G603" s="22" t="s">
        <v>3386</v>
      </c>
      <c r="H603" s="22" t="s">
        <v>3387</v>
      </c>
      <c r="I603" s="22" t="s">
        <v>361</v>
      </c>
      <c r="J603" s="22" t="n">
        <v>24</v>
      </c>
      <c r="K603" s="22" t="n">
        <f aca="false">ROUNDUP(J603,0)</f>
        <v>24</v>
      </c>
      <c r="L603" s="22" t="n">
        <f aca="false">MAX(D603,K603)</f>
        <v>45</v>
      </c>
      <c r="M603" s="25" t="n">
        <f aca="false">IF(E603="COVERED",'Controls &amp; Sources'!$B$5,'Controls &amp; Sources'!$B$6)</f>
        <v>7.55</v>
      </c>
      <c r="N603" s="25" t="n">
        <f aca="false">L603*M603</f>
        <v>339.75</v>
      </c>
      <c r="O603" s="22" t="n">
        <f aca="false">COUNTIFS('Billing Actual'!$E$2:$E$770,A603,'Billing Actual'!$B$2:$B$770,'Controls &amp; Sources'!$B$7)</f>
        <v>1</v>
      </c>
      <c r="P603" s="25" t="n">
        <f aca="false">SUMIFS('Billing Actual'!$M$2:$M$770,'Billing Actual'!$E$2:$E$770,A603,'Billing Actual'!$B$2:$B$770,'Controls &amp; Sources'!$B$7)</f>
        <v>339.75</v>
      </c>
      <c r="Q603" s="25" t="n">
        <f aca="false">P603-N603</f>
        <v>0</v>
      </c>
      <c r="R603" s="22" t="str">
        <f aca="false">IF(O603=0,"No August moorage transaction",IF(O603&gt;1,"Duplicate August transactions",IF(ABS(Q603)&gt;0.005,"Charge variance","OK")))</f>
        <v>OK</v>
      </c>
      <c r="S603" s="22" t="str">
        <f aca="false">IF(R603="OK","","Billing completeness/reconciliation")</f>
        <v/>
      </c>
    </row>
    <row r="604" customFormat="false" ht="15" hidden="false" customHeight="false" outlineLevel="0" collapsed="false">
      <c r="A604" s="22" t="s">
        <v>7905</v>
      </c>
      <c r="B604" s="22" t="s">
        <v>215</v>
      </c>
      <c r="C604" s="22" t="s">
        <v>7694</v>
      </c>
      <c r="D604" s="22" t="n">
        <v>32</v>
      </c>
      <c r="E604" s="22" t="s">
        <v>7696</v>
      </c>
      <c r="F604" s="22" t="s">
        <v>6577</v>
      </c>
      <c r="G604" s="22" t="s">
        <v>622</v>
      </c>
      <c r="H604" s="22" t="s">
        <v>623</v>
      </c>
      <c r="I604" s="22" t="s">
        <v>333</v>
      </c>
      <c r="J604" s="22" t="n">
        <v>51.2</v>
      </c>
      <c r="K604" s="22" t="n">
        <f aca="false">ROUNDUP(J604,0)</f>
        <v>52</v>
      </c>
      <c r="L604" s="22" t="n">
        <f aca="false">MAX(D604,K604)</f>
        <v>52</v>
      </c>
      <c r="M604" s="25" t="n">
        <f aca="false">IF(E604="COVERED",'Controls &amp; Sources'!$B$5,'Controls &amp; Sources'!$B$6)</f>
        <v>7.55</v>
      </c>
      <c r="N604" s="25" t="n">
        <f aca="false">L604*M604</f>
        <v>392.6</v>
      </c>
      <c r="O604" s="22" t="n">
        <f aca="false">COUNTIFS('Billing Actual'!$E$2:$E$770,A604,'Billing Actual'!$B$2:$B$770,'Controls &amp; Sources'!$B$7)</f>
        <v>1</v>
      </c>
      <c r="P604" s="25" t="n">
        <f aca="false">SUMIFS('Billing Actual'!$M$2:$M$770,'Billing Actual'!$E$2:$E$770,A604,'Billing Actual'!$B$2:$B$770,'Controls &amp; Sources'!$B$7)</f>
        <v>392.6</v>
      </c>
      <c r="Q604" s="25" t="n">
        <f aca="false">P604-N604</f>
        <v>0</v>
      </c>
      <c r="R604" s="22" t="str">
        <f aca="false">IF(O604=0,"No August moorage transaction",IF(O604&gt;1,"Duplicate August transactions",IF(ABS(Q604)&gt;0.005,"Charge variance","OK")))</f>
        <v>OK</v>
      </c>
      <c r="S604" s="22" t="str">
        <f aca="false">IF(R604="OK","","Billing completeness/reconciliation")</f>
        <v/>
      </c>
    </row>
    <row r="605" customFormat="false" ht="15" hidden="false" customHeight="false" outlineLevel="0" collapsed="false">
      <c r="A605" s="22" t="s">
        <v>7906</v>
      </c>
      <c r="B605" s="22" t="s">
        <v>215</v>
      </c>
      <c r="C605" s="22" t="s">
        <v>7694</v>
      </c>
      <c r="D605" s="22" t="n">
        <v>32</v>
      </c>
      <c r="E605" s="22" t="s">
        <v>7696</v>
      </c>
      <c r="F605" s="22" t="s">
        <v>6577</v>
      </c>
      <c r="G605" s="22" t="s">
        <v>6173</v>
      </c>
      <c r="H605" s="22" t="s">
        <v>6174</v>
      </c>
      <c r="I605" s="22" t="s">
        <v>3632</v>
      </c>
      <c r="J605" s="22" t="n">
        <v>44.2</v>
      </c>
      <c r="K605" s="22" t="n">
        <f aca="false">ROUNDUP(J605,0)</f>
        <v>45</v>
      </c>
      <c r="L605" s="22" t="n">
        <f aca="false">MAX(D605,K605)</f>
        <v>45</v>
      </c>
      <c r="M605" s="25" t="n">
        <f aca="false">IF(E605="COVERED",'Controls &amp; Sources'!$B$5,'Controls &amp; Sources'!$B$6)</f>
        <v>7.55</v>
      </c>
      <c r="N605" s="25" t="n">
        <f aca="false">L605*M605</f>
        <v>339.75</v>
      </c>
      <c r="O605" s="22" t="n">
        <f aca="false">COUNTIFS('Billing Actual'!$E$2:$E$770,A605,'Billing Actual'!$B$2:$B$770,'Controls &amp; Sources'!$B$7)</f>
        <v>1</v>
      </c>
      <c r="P605" s="25" t="n">
        <f aca="false">SUMIFS('Billing Actual'!$M$2:$M$770,'Billing Actual'!$E$2:$E$770,A605,'Billing Actual'!$B$2:$B$770,'Controls &amp; Sources'!$B$7)</f>
        <v>339.75</v>
      </c>
      <c r="Q605" s="25" t="n">
        <f aca="false">P605-N605</f>
        <v>0</v>
      </c>
      <c r="R605" s="22" t="str">
        <f aca="false">IF(O605=0,"No August moorage transaction",IF(O605&gt;1,"Duplicate August transactions",IF(ABS(Q605)&gt;0.005,"Charge variance","OK")))</f>
        <v>OK</v>
      </c>
      <c r="S605" s="22" t="str">
        <f aca="false">IF(R605="OK","","Billing completeness/reconciliation")</f>
        <v/>
      </c>
    </row>
    <row r="606" customFormat="false" ht="15" hidden="false" customHeight="false" outlineLevel="0" collapsed="false">
      <c r="A606" s="22" t="s">
        <v>7908</v>
      </c>
      <c r="B606" s="22" t="s">
        <v>215</v>
      </c>
      <c r="C606" s="22" t="s">
        <v>7694</v>
      </c>
      <c r="D606" s="22" t="n">
        <v>40</v>
      </c>
      <c r="E606" s="22" t="s">
        <v>7696</v>
      </c>
      <c r="F606" s="22" t="s">
        <v>6577</v>
      </c>
      <c r="G606" s="22" t="s">
        <v>1927</v>
      </c>
      <c r="H606" s="22" t="s">
        <v>1928</v>
      </c>
      <c r="I606" s="22" t="s">
        <v>1929</v>
      </c>
      <c r="J606" s="22" t="n">
        <v>50.3</v>
      </c>
      <c r="K606" s="22" t="n">
        <f aca="false">ROUNDUP(J606,0)</f>
        <v>51</v>
      </c>
      <c r="L606" s="22" t="n">
        <f aca="false">MAX(D606,K606)</f>
        <v>51</v>
      </c>
      <c r="M606" s="25" t="n">
        <f aca="false">IF(E606="COVERED",'Controls &amp; Sources'!$B$5,'Controls &amp; Sources'!$B$6)</f>
        <v>7.55</v>
      </c>
      <c r="N606" s="25" t="n">
        <f aca="false">L606*M606</f>
        <v>385.05</v>
      </c>
      <c r="O606" s="22" t="n">
        <f aca="false">COUNTIFS('Billing Actual'!$E$2:$E$770,A606,'Billing Actual'!$B$2:$B$770,'Controls &amp; Sources'!$B$7)</f>
        <v>1</v>
      </c>
      <c r="P606" s="25" t="n">
        <f aca="false">SUMIFS('Billing Actual'!$M$2:$M$770,'Billing Actual'!$E$2:$E$770,A606,'Billing Actual'!$B$2:$B$770,'Controls &amp; Sources'!$B$7)</f>
        <v>385.05</v>
      </c>
      <c r="Q606" s="25" t="n">
        <f aca="false">P606-N606</f>
        <v>0</v>
      </c>
      <c r="R606" s="22" t="str">
        <f aca="false">IF(O606=0,"No August moorage transaction",IF(O606&gt;1,"Duplicate August transactions",IF(ABS(Q606)&gt;0.005,"Charge variance","OK")))</f>
        <v>OK</v>
      </c>
      <c r="S606" s="22" t="str">
        <f aca="false">IF(R606="OK","","Billing completeness/reconciliation")</f>
        <v/>
      </c>
    </row>
    <row r="607" customFormat="false" ht="15" hidden="false" customHeight="false" outlineLevel="0" collapsed="false">
      <c r="A607" s="22" t="s">
        <v>7909</v>
      </c>
      <c r="B607" s="22" t="s">
        <v>215</v>
      </c>
      <c r="C607" s="22" t="s">
        <v>7694</v>
      </c>
      <c r="D607" s="22" t="n">
        <v>36</v>
      </c>
      <c r="E607" s="22" t="s">
        <v>7696</v>
      </c>
      <c r="F607" s="22" t="s">
        <v>6577</v>
      </c>
      <c r="G607" s="22" t="s">
        <v>5744</v>
      </c>
      <c r="H607" s="22" t="s">
        <v>5745</v>
      </c>
      <c r="I607" s="22" t="s">
        <v>651</v>
      </c>
      <c r="J607" s="22" t="n">
        <v>42.5</v>
      </c>
      <c r="K607" s="22" t="n">
        <f aca="false">ROUNDUP(J607,0)</f>
        <v>43</v>
      </c>
      <c r="L607" s="22" t="n">
        <f aca="false">MAX(D607,K607)</f>
        <v>43</v>
      </c>
      <c r="M607" s="25" t="n">
        <f aca="false">IF(E607="COVERED",'Controls &amp; Sources'!$B$5,'Controls &amp; Sources'!$B$6)</f>
        <v>7.55</v>
      </c>
      <c r="N607" s="25" t="n">
        <f aca="false">L607*M607</f>
        <v>324.65</v>
      </c>
      <c r="O607" s="22" t="n">
        <f aca="false">COUNTIFS('Billing Actual'!$E$2:$E$770,A607,'Billing Actual'!$B$2:$B$770,'Controls &amp; Sources'!$B$7)</f>
        <v>1</v>
      </c>
      <c r="P607" s="25" t="n">
        <f aca="false">SUMIFS('Billing Actual'!$M$2:$M$770,'Billing Actual'!$E$2:$E$770,A607,'Billing Actual'!$B$2:$B$770,'Controls &amp; Sources'!$B$7)</f>
        <v>324.65</v>
      </c>
      <c r="Q607" s="25" t="n">
        <f aca="false">P607-N607</f>
        <v>0</v>
      </c>
      <c r="R607" s="22" t="str">
        <f aca="false">IF(O607=0,"No August moorage transaction",IF(O607&gt;1,"Duplicate August transactions",IF(ABS(Q607)&gt;0.005,"Charge variance","OK")))</f>
        <v>OK</v>
      </c>
      <c r="S607" s="22" t="str">
        <f aca="false">IF(R607="OK","","Billing completeness/reconciliation")</f>
        <v/>
      </c>
    </row>
    <row r="608" customFormat="false" ht="15" hidden="false" customHeight="false" outlineLevel="0" collapsed="false">
      <c r="A608" s="22" t="s">
        <v>7912</v>
      </c>
      <c r="B608" s="22" t="s">
        <v>215</v>
      </c>
      <c r="C608" s="22" t="s">
        <v>7694</v>
      </c>
      <c r="D608" s="22" t="n">
        <v>50</v>
      </c>
      <c r="E608" s="22" t="s">
        <v>7696</v>
      </c>
      <c r="F608" s="22" t="s">
        <v>6577</v>
      </c>
      <c r="G608" s="22" t="s">
        <v>4468</v>
      </c>
      <c r="H608" s="22" t="s">
        <v>4469</v>
      </c>
      <c r="I608" s="22" t="s">
        <v>695</v>
      </c>
      <c r="J608" s="22" t="n">
        <v>44.2</v>
      </c>
      <c r="K608" s="22" t="n">
        <f aca="false">ROUNDUP(J608,0)</f>
        <v>45</v>
      </c>
      <c r="L608" s="22" t="n">
        <f aca="false">MAX(D608,K608)</f>
        <v>50</v>
      </c>
      <c r="M608" s="25" t="n">
        <f aca="false">IF(E608="COVERED",'Controls &amp; Sources'!$B$5,'Controls &amp; Sources'!$B$6)</f>
        <v>7.55</v>
      </c>
      <c r="N608" s="25" t="n">
        <f aca="false">L608*M608</f>
        <v>377.5</v>
      </c>
      <c r="O608" s="22" t="n">
        <f aca="false">COUNTIFS('Billing Actual'!$E$2:$E$770,A608,'Billing Actual'!$B$2:$B$770,'Controls &amp; Sources'!$B$7)</f>
        <v>1</v>
      </c>
      <c r="P608" s="25" t="n">
        <f aca="false">SUMIFS('Billing Actual'!$M$2:$M$770,'Billing Actual'!$E$2:$E$770,A608,'Billing Actual'!$B$2:$B$770,'Controls &amp; Sources'!$B$7)</f>
        <v>377.5</v>
      </c>
      <c r="Q608" s="25" t="n">
        <f aca="false">P608-N608</f>
        <v>0</v>
      </c>
      <c r="R608" s="22" t="str">
        <f aca="false">IF(O608=0,"No August moorage transaction",IF(O608&gt;1,"Duplicate August transactions",IF(ABS(Q608)&gt;0.005,"Charge variance","OK")))</f>
        <v>OK</v>
      </c>
      <c r="S608" s="22" t="str">
        <f aca="false">IF(R608="OK","","Billing completeness/reconciliation")</f>
        <v/>
      </c>
    </row>
    <row r="609" customFormat="false" ht="15" hidden="false" customHeight="false" outlineLevel="0" collapsed="false">
      <c r="A609" s="22" t="s">
        <v>7913</v>
      </c>
      <c r="B609" s="22" t="s">
        <v>215</v>
      </c>
      <c r="C609" s="22" t="s">
        <v>7694</v>
      </c>
      <c r="D609" s="22" t="n">
        <v>28</v>
      </c>
      <c r="E609" s="22" t="s">
        <v>7696</v>
      </c>
      <c r="F609" s="22" t="s">
        <v>6577</v>
      </c>
      <c r="G609" s="22" t="s">
        <v>881</v>
      </c>
      <c r="H609" s="22" t="s">
        <v>882</v>
      </c>
      <c r="I609" s="22" t="s">
        <v>742</v>
      </c>
      <c r="J609" s="22" t="n">
        <v>23.6</v>
      </c>
      <c r="K609" s="22" t="n">
        <f aca="false">ROUNDUP(J609,0)</f>
        <v>24</v>
      </c>
      <c r="L609" s="22" t="n">
        <f aca="false">MAX(D609,K609)</f>
        <v>28</v>
      </c>
      <c r="M609" s="25" t="n">
        <f aca="false">IF(E609="COVERED",'Controls &amp; Sources'!$B$5,'Controls &amp; Sources'!$B$6)</f>
        <v>7.55</v>
      </c>
      <c r="N609" s="25" t="n">
        <f aca="false">L609*M609</f>
        <v>211.4</v>
      </c>
      <c r="O609" s="22" t="n">
        <f aca="false">COUNTIFS('Billing Actual'!$E$2:$E$770,A609,'Billing Actual'!$B$2:$B$770,'Controls &amp; Sources'!$B$7)</f>
        <v>1</v>
      </c>
      <c r="P609" s="25" t="n">
        <f aca="false">SUMIFS('Billing Actual'!$M$2:$M$770,'Billing Actual'!$E$2:$E$770,A609,'Billing Actual'!$B$2:$B$770,'Controls &amp; Sources'!$B$7)</f>
        <v>211.4</v>
      </c>
      <c r="Q609" s="25" t="n">
        <f aca="false">P609-N609</f>
        <v>0</v>
      </c>
      <c r="R609" s="22" t="str">
        <f aca="false">IF(O609=0,"No August moorage transaction",IF(O609&gt;1,"Duplicate August transactions",IF(ABS(Q609)&gt;0.005,"Charge variance","OK")))</f>
        <v>OK</v>
      </c>
      <c r="S609" s="22" t="str">
        <f aca="false">IF(R609="OK","","Billing completeness/reconciliation")</f>
        <v/>
      </c>
    </row>
    <row r="610" customFormat="false" ht="15" hidden="false" customHeight="false" outlineLevel="0" collapsed="false">
      <c r="A610" s="22" t="s">
        <v>7914</v>
      </c>
      <c r="B610" s="22" t="s">
        <v>215</v>
      </c>
      <c r="C610" s="22" t="s">
        <v>7694</v>
      </c>
      <c r="D610" s="22" t="n">
        <v>24</v>
      </c>
      <c r="E610" s="22" t="s">
        <v>7696</v>
      </c>
      <c r="F610" s="22" t="s">
        <v>6577</v>
      </c>
      <c r="G610" s="22" t="s">
        <v>976</v>
      </c>
      <c r="H610" s="22" t="s">
        <v>977</v>
      </c>
      <c r="I610" s="22" t="s">
        <v>201</v>
      </c>
      <c r="J610" s="22" t="n">
        <v>27.6</v>
      </c>
      <c r="K610" s="22" t="n">
        <f aca="false">ROUNDUP(J610,0)</f>
        <v>28</v>
      </c>
      <c r="L610" s="22" t="n">
        <f aca="false">MAX(D610,K610)</f>
        <v>28</v>
      </c>
      <c r="M610" s="25" t="n">
        <f aca="false">IF(E610="COVERED",'Controls &amp; Sources'!$B$5,'Controls &amp; Sources'!$B$6)</f>
        <v>7.55</v>
      </c>
      <c r="N610" s="25" t="n">
        <f aca="false">L610*M610</f>
        <v>211.4</v>
      </c>
      <c r="O610" s="22" t="n">
        <f aca="false">COUNTIFS('Billing Actual'!$E$2:$E$770,A610,'Billing Actual'!$B$2:$B$770,'Controls &amp; Sources'!$B$7)</f>
        <v>1</v>
      </c>
      <c r="P610" s="25" t="n">
        <f aca="false">SUMIFS('Billing Actual'!$M$2:$M$770,'Billing Actual'!$E$2:$E$770,A610,'Billing Actual'!$B$2:$B$770,'Controls &amp; Sources'!$B$7)</f>
        <v>211.4</v>
      </c>
      <c r="Q610" s="25" t="n">
        <f aca="false">P610-N610</f>
        <v>0</v>
      </c>
      <c r="R610" s="22" t="str">
        <f aca="false">IF(O610=0,"No August moorage transaction",IF(O610&gt;1,"Duplicate August transactions",IF(ABS(Q610)&gt;0.005,"Charge variance","OK")))</f>
        <v>OK</v>
      </c>
      <c r="S610" s="22" t="str">
        <f aca="false">IF(R610="OK","","Billing completeness/reconciliation")</f>
        <v/>
      </c>
    </row>
    <row r="611" customFormat="false" ht="15" hidden="false" customHeight="false" outlineLevel="0" collapsed="false">
      <c r="A611" s="22" t="s">
        <v>7916</v>
      </c>
      <c r="B611" s="22" t="s">
        <v>215</v>
      </c>
      <c r="C611" s="22" t="s">
        <v>7694</v>
      </c>
      <c r="D611" s="22" t="n">
        <v>32</v>
      </c>
      <c r="E611" s="22" t="s">
        <v>7696</v>
      </c>
      <c r="F611" s="22" t="s">
        <v>6577</v>
      </c>
      <c r="G611" s="22" t="s">
        <v>3526</v>
      </c>
      <c r="H611" s="22" t="s">
        <v>3527</v>
      </c>
      <c r="I611" s="22" t="s">
        <v>2741</v>
      </c>
      <c r="J611" s="22" t="n">
        <v>50.6</v>
      </c>
      <c r="K611" s="22" t="n">
        <f aca="false">ROUNDUP(J611,0)</f>
        <v>51</v>
      </c>
      <c r="L611" s="22" t="n">
        <f aca="false">MAX(D611,K611)</f>
        <v>51</v>
      </c>
      <c r="M611" s="25" t="n">
        <f aca="false">IF(E611="COVERED",'Controls &amp; Sources'!$B$5,'Controls &amp; Sources'!$B$6)</f>
        <v>7.55</v>
      </c>
      <c r="N611" s="25" t="n">
        <f aca="false">L611*M611</f>
        <v>385.05</v>
      </c>
      <c r="O611" s="22" t="n">
        <f aca="false">COUNTIFS('Billing Actual'!$E$2:$E$770,A611,'Billing Actual'!$B$2:$B$770,'Controls &amp; Sources'!$B$7)</f>
        <v>1</v>
      </c>
      <c r="P611" s="25" t="n">
        <f aca="false">SUMIFS('Billing Actual'!$M$2:$M$770,'Billing Actual'!$E$2:$E$770,A611,'Billing Actual'!$B$2:$B$770,'Controls &amp; Sources'!$B$7)</f>
        <v>385.05</v>
      </c>
      <c r="Q611" s="25" t="n">
        <f aca="false">P611-N611</f>
        <v>0</v>
      </c>
      <c r="R611" s="22" t="str">
        <f aca="false">IF(O611=0,"No August moorage transaction",IF(O611&gt;1,"Duplicate August transactions",IF(ABS(Q611)&gt;0.005,"Charge variance","OK")))</f>
        <v>OK</v>
      </c>
      <c r="S611" s="22" t="str">
        <f aca="false">IF(R611="OK","","Billing completeness/reconciliation")</f>
        <v/>
      </c>
    </row>
    <row r="612" customFormat="false" ht="15" hidden="false" customHeight="false" outlineLevel="0" collapsed="false">
      <c r="A612" s="22" t="s">
        <v>7917</v>
      </c>
      <c r="B612" s="22" t="s">
        <v>215</v>
      </c>
      <c r="C612" s="22" t="s">
        <v>7694</v>
      </c>
      <c r="D612" s="22" t="n">
        <v>32</v>
      </c>
      <c r="E612" s="22" t="s">
        <v>7696</v>
      </c>
      <c r="F612" s="22" t="s">
        <v>6577</v>
      </c>
      <c r="G612" s="22" t="s">
        <v>6192</v>
      </c>
      <c r="H612" s="22" t="s">
        <v>6193</v>
      </c>
      <c r="I612" s="22" t="s">
        <v>263</v>
      </c>
      <c r="J612" s="22" t="n">
        <v>32.3</v>
      </c>
      <c r="K612" s="22" t="n">
        <f aca="false">ROUNDUP(J612,0)</f>
        <v>33</v>
      </c>
      <c r="L612" s="22" t="n">
        <f aca="false">MAX(D612,K612)</f>
        <v>33</v>
      </c>
      <c r="M612" s="25" t="n">
        <f aca="false">IF(E612="COVERED",'Controls &amp; Sources'!$B$5,'Controls &amp; Sources'!$B$6)</f>
        <v>7.55</v>
      </c>
      <c r="N612" s="25" t="n">
        <f aca="false">L612*M612</f>
        <v>249.15</v>
      </c>
      <c r="O612" s="22" t="n">
        <f aca="false">COUNTIFS('Billing Actual'!$E$2:$E$770,A612,'Billing Actual'!$B$2:$B$770,'Controls &amp; Sources'!$B$7)</f>
        <v>1</v>
      </c>
      <c r="P612" s="25" t="n">
        <f aca="false">SUMIFS('Billing Actual'!$M$2:$M$770,'Billing Actual'!$E$2:$E$770,A612,'Billing Actual'!$B$2:$B$770,'Controls &amp; Sources'!$B$7)</f>
        <v>249.15</v>
      </c>
      <c r="Q612" s="25" t="n">
        <f aca="false">P612-N612</f>
        <v>0</v>
      </c>
      <c r="R612" s="22" t="str">
        <f aca="false">IF(O612=0,"No August moorage transaction",IF(O612&gt;1,"Duplicate August transactions",IF(ABS(Q612)&gt;0.005,"Charge variance","OK")))</f>
        <v>OK</v>
      </c>
      <c r="S612" s="22" t="str">
        <f aca="false">IF(R612="OK","","Billing completeness/reconciliation")</f>
        <v/>
      </c>
    </row>
    <row r="613" customFormat="false" ht="15" hidden="false" customHeight="false" outlineLevel="0" collapsed="false">
      <c r="A613" s="22" t="s">
        <v>7918</v>
      </c>
      <c r="B613" s="22" t="s">
        <v>215</v>
      </c>
      <c r="C613" s="22" t="s">
        <v>7694</v>
      </c>
      <c r="D613" s="22" t="n">
        <v>50</v>
      </c>
      <c r="E613" s="22" t="s">
        <v>7696</v>
      </c>
      <c r="F613" s="22" t="s">
        <v>6577</v>
      </c>
      <c r="G613" s="22" t="s">
        <v>6459</v>
      </c>
      <c r="H613" s="22" t="s">
        <v>6460</v>
      </c>
      <c r="I613" s="22" t="s">
        <v>1265</v>
      </c>
      <c r="J613" s="22" t="n">
        <v>59.1</v>
      </c>
      <c r="K613" s="22" t="n">
        <f aca="false">ROUNDUP(J613,0)</f>
        <v>60</v>
      </c>
      <c r="L613" s="22" t="n">
        <f aca="false">MAX(D613,K613)</f>
        <v>60</v>
      </c>
      <c r="M613" s="25" t="n">
        <f aca="false">IF(E613="COVERED",'Controls &amp; Sources'!$B$5,'Controls &amp; Sources'!$B$6)</f>
        <v>7.55</v>
      </c>
      <c r="N613" s="25" t="n">
        <f aca="false">L613*M613</f>
        <v>453</v>
      </c>
      <c r="O613" s="22" t="n">
        <f aca="false">COUNTIFS('Billing Actual'!$E$2:$E$770,A613,'Billing Actual'!$B$2:$B$770,'Controls &amp; Sources'!$B$7)</f>
        <v>1</v>
      </c>
      <c r="P613" s="25" t="n">
        <f aca="false">SUMIFS('Billing Actual'!$M$2:$M$770,'Billing Actual'!$E$2:$E$770,A613,'Billing Actual'!$B$2:$B$770,'Controls &amp; Sources'!$B$7)</f>
        <v>453</v>
      </c>
      <c r="Q613" s="25" t="n">
        <f aca="false">P613-N613</f>
        <v>0</v>
      </c>
      <c r="R613" s="22" t="str">
        <f aca="false">IF(O613=0,"No August moorage transaction",IF(O613&gt;1,"Duplicate August transactions",IF(ABS(Q613)&gt;0.005,"Charge variance","OK")))</f>
        <v>OK</v>
      </c>
      <c r="S613" s="22" t="str">
        <f aca="false">IF(R613="OK","","Billing completeness/reconciliation")</f>
        <v/>
      </c>
    </row>
    <row r="614" customFormat="false" ht="15" hidden="false" customHeight="false" outlineLevel="0" collapsed="false">
      <c r="A614" s="22" t="s">
        <v>7919</v>
      </c>
      <c r="B614" s="22" t="s">
        <v>215</v>
      </c>
      <c r="C614" s="22" t="s">
        <v>7694</v>
      </c>
      <c r="D614" s="22" t="n">
        <v>45</v>
      </c>
      <c r="E614" s="22" t="s">
        <v>7696</v>
      </c>
      <c r="F614" s="22" t="s">
        <v>6577</v>
      </c>
      <c r="G614" s="22" t="s">
        <v>2982</v>
      </c>
      <c r="H614" s="22" t="s">
        <v>2983</v>
      </c>
      <c r="I614" s="22" t="s">
        <v>2389</v>
      </c>
      <c r="J614" s="22" t="n">
        <v>49.1</v>
      </c>
      <c r="K614" s="22" t="n">
        <f aca="false">ROUNDUP(J614,0)</f>
        <v>50</v>
      </c>
      <c r="L614" s="22" t="n">
        <f aca="false">MAX(D614,K614)</f>
        <v>50</v>
      </c>
      <c r="M614" s="25" t="n">
        <f aca="false">IF(E614="COVERED",'Controls &amp; Sources'!$B$5,'Controls &amp; Sources'!$B$6)</f>
        <v>7.55</v>
      </c>
      <c r="N614" s="25" t="n">
        <f aca="false">L614*M614</f>
        <v>377.5</v>
      </c>
      <c r="O614" s="22" t="n">
        <f aca="false">COUNTIFS('Billing Actual'!$E$2:$E$770,A614,'Billing Actual'!$B$2:$B$770,'Controls &amp; Sources'!$B$7)</f>
        <v>1</v>
      </c>
      <c r="P614" s="25" t="n">
        <f aca="false">SUMIFS('Billing Actual'!$M$2:$M$770,'Billing Actual'!$E$2:$E$770,A614,'Billing Actual'!$B$2:$B$770,'Controls &amp; Sources'!$B$7)</f>
        <v>377.5</v>
      </c>
      <c r="Q614" s="25" t="n">
        <f aca="false">P614-N614</f>
        <v>0</v>
      </c>
      <c r="R614" s="22" t="str">
        <f aca="false">IF(O614=0,"No August moorage transaction",IF(O614&gt;1,"Duplicate August transactions",IF(ABS(Q614)&gt;0.005,"Charge variance","OK")))</f>
        <v>OK</v>
      </c>
      <c r="S614" s="22" t="str">
        <f aca="false">IF(R614="OK","","Billing completeness/reconciliation")</f>
        <v/>
      </c>
    </row>
    <row r="615" customFormat="false" ht="15" hidden="false" customHeight="false" outlineLevel="0" collapsed="false">
      <c r="A615" s="22" t="s">
        <v>7921</v>
      </c>
      <c r="B615" s="22" t="s">
        <v>215</v>
      </c>
      <c r="C615" s="22" t="s">
        <v>7694</v>
      </c>
      <c r="D615" s="22" t="n">
        <v>28</v>
      </c>
      <c r="E615" s="22" t="s">
        <v>7696</v>
      </c>
      <c r="F615" s="22" t="s">
        <v>6577</v>
      </c>
      <c r="G615" s="22" t="s">
        <v>3253</v>
      </c>
      <c r="H615" s="22" t="s">
        <v>3254</v>
      </c>
      <c r="I615" s="22" t="s">
        <v>2116</v>
      </c>
      <c r="J615" s="22" t="n">
        <v>21.9</v>
      </c>
      <c r="K615" s="22" t="n">
        <f aca="false">ROUNDUP(J615,0)</f>
        <v>22</v>
      </c>
      <c r="L615" s="22" t="n">
        <f aca="false">MAX(D615,K615)</f>
        <v>28</v>
      </c>
      <c r="M615" s="25" t="n">
        <f aca="false">IF(E615="COVERED",'Controls &amp; Sources'!$B$5,'Controls &amp; Sources'!$B$6)</f>
        <v>7.55</v>
      </c>
      <c r="N615" s="25" t="n">
        <f aca="false">L615*M615</f>
        <v>211.4</v>
      </c>
      <c r="O615" s="22" t="n">
        <f aca="false">COUNTIFS('Billing Actual'!$E$2:$E$770,A615,'Billing Actual'!$B$2:$B$770,'Controls &amp; Sources'!$B$7)</f>
        <v>1</v>
      </c>
      <c r="P615" s="25" t="n">
        <f aca="false">SUMIFS('Billing Actual'!$M$2:$M$770,'Billing Actual'!$E$2:$E$770,A615,'Billing Actual'!$B$2:$B$770,'Controls &amp; Sources'!$B$7)</f>
        <v>211.4</v>
      </c>
      <c r="Q615" s="25" t="n">
        <f aca="false">P615-N615</f>
        <v>0</v>
      </c>
      <c r="R615" s="22" t="str">
        <f aca="false">IF(O615=0,"No August moorage transaction",IF(O615&gt;1,"Duplicate August transactions",IF(ABS(Q615)&gt;0.005,"Charge variance","OK")))</f>
        <v>OK</v>
      </c>
      <c r="S615" s="22" t="str">
        <f aca="false">IF(R615="OK","","Billing completeness/reconciliation")</f>
        <v/>
      </c>
    </row>
    <row r="616" customFormat="false" ht="15" hidden="false" customHeight="false" outlineLevel="0" collapsed="false">
      <c r="A616" s="22" t="s">
        <v>7922</v>
      </c>
      <c r="B616" s="22" t="s">
        <v>215</v>
      </c>
      <c r="C616" s="22" t="s">
        <v>7694</v>
      </c>
      <c r="D616" s="22" t="n">
        <v>36</v>
      </c>
      <c r="E616" s="22" t="s">
        <v>7696</v>
      </c>
      <c r="F616" s="22" t="s">
        <v>6577</v>
      </c>
      <c r="G616" s="22" t="s">
        <v>3510</v>
      </c>
      <c r="H616" s="22" t="s">
        <v>3511</v>
      </c>
      <c r="I616" s="22" t="s">
        <v>681</v>
      </c>
      <c r="J616" s="22" t="n">
        <v>39.5</v>
      </c>
      <c r="K616" s="22" t="n">
        <f aca="false">ROUNDUP(J616,0)</f>
        <v>40</v>
      </c>
      <c r="L616" s="22" t="n">
        <f aca="false">MAX(D616,K616)</f>
        <v>40</v>
      </c>
      <c r="M616" s="25" t="n">
        <f aca="false">IF(E616="COVERED",'Controls &amp; Sources'!$B$5,'Controls &amp; Sources'!$B$6)</f>
        <v>7.55</v>
      </c>
      <c r="N616" s="25" t="n">
        <f aca="false">L616*M616</f>
        <v>302</v>
      </c>
      <c r="O616" s="22" t="n">
        <f aca="false">COUNTIFS('Billing Actual'!$E$2:$E$770,A616,'Billing Actual'!$B$2:$B$770,'Controls &amp; Sources'!$B$7)</f>
        <v>1</v>
      </c>
      <c r="P616" s="25" t="n">
        <f aca="false">SUMIFS('Billing Actual'!$M$2:$M$770,'Billing Actual'!$E$2:$E$770,A616,'Billing Actual'!$B$2:$B$770,'Controls &amp; Sources'!$B$7)</f>
        <v>302</v>
      </c>
      <c r="Q616" s="25" t="n">
        <f aca="false">P616-N616</f>
        <v>0</v>
      </c>
      <c r="R616" s="22" t="str">
        <f aca="false">IF(O616=0,"No August moorage transaction",IF(O616&gt;1,"Duplicate August transactions",IF(ABS(Q616)&gt;0.005,"Charge variance","OK")))</f>
        <v>OK</v>
      </c>
      <c r="S616" s="22" t="str">
        <f aca="false">IF(R616="OK","","Billing completeness/reconciliation")</f>
        <v/>
      </c>
    </row>
    <row r="617" customFormat="false" ht="15" hidden="false" customHeight="false" outlineLevel="0" collapsed="false">
      <c r="A617" s="22" t="s">
        <v>7924</v>
      </c>
      <c r="B617" s="22" t="s">
        <v>215</v>
      </c>
      <c r="C617" s="22" t="s">
        <v>7694</v>
      </c>
      <c r="D617" s="22" t="n">
        <v>60</v>
      </c>
      <c r="E617" s="22" t="s">
        <v>7696</v>
      </c>
      <c r="F617" s="22" t="s">
        <v>6577</v>
      </c>
      <c r="G617" s="22" t="s">
        <v>624</v>
      </c>
      <c r="H617" s="22" t="s">
        <v>625</v>
      </c>
      <c r="I617" s="22" t="s">
        <v>626</v>
      </c>
      <c r="J617" s="22" t="n">
        <v>35.8</v>
      </c>
      <c r="K617" s="22" t="n">
        <f aca="false">ROUNDUP(J617,0)</f>
        <v>36</v>
      </c>
      <c r="L617" s="22" t="n">
        <f aca="false">MAX(D617,K617)</f>
        <v>60</v>
      </c>
      <c r="M617" s="25" t="n">
        <f aca="false">IF(E617="COVERED",'Controls &amp; Sources'!$B$5,'Controls &amp; Sources'!$B$6)</f>
        <v>7.55</v>
      </c>
      <c r="N617" s="25" t="n">
        <f aca="false">L617*M617</f>
        <v>453</v>
      </c>
      <c r="O617" s="22" t="n">
        <f aca="false">COUNTIFS('Billing Actual'!$E$2:$E$770,A617,'Billing Actual'!$B$2:$B$770,'Controls &amp; Sources'!$B$7)</f>
        <v>1</v>
      </c>
      <c r="P617" s="25" t="n">
        <f aca="false">SUMIFS('Billing Actual'!$M$2:$M$770,'Billing Actual'!$E$2:$E$770,A617,'Billing Actual'!$B$2:$B$770,'Controls &amp; Sources'!$B$7)</f>
        <v>453</v>
      </c>
      <c r="Q617" s="25" t="n">
        <f aca="false">P617-N617</f>
        <v>0</v>
      </c>
      <c r="R617" s="22" t="str">
        <f aca="false">IF(O617=0,"No August moorage transaction",IF(O617&gt;1,"Duplicate August transactions",IF(ABS(Q617)&gt;0.005,"Charge variance","OK")))</f>
        <v>OK</v>
      </c>
      <c r="S617" s="22" t="str">
        <f aca="false">IF(R617="OK","","Billing completeness/reconciliation")</f>
        <v/>
      </c>
    </row>
    <row r="618" customFormat="false" ht="15" hidden="false" customHeight="false" outlineLevel="0" collapsed="false">
      <c r="A618" s="22" t="s">
        <v>7925</v>
      </c>
      <c r="B618" s="22" t="s">
        <v>215</v>
      </c>
      <c r="C618" s="22" t="s">
        <v>7694</v>
      </c>
      <c r="D618" s="22" t="n">
        <v>36</v>
      </c>
      <c r="E618" s="22" t="s">
        <v>7696</v>
      </c>
      <c r="F618" s="22" t="s">
        <v>6577</v>
      </c>
      <c r="G618" s="22" t="s">
        <v>4320</v>
      </c>
      <c r="H618" s="22" t="s">
        <v>4321</v>
      </c>
      <c r="I618" s="22" t="s">
        <v>1029</v>
      </c>
      <c r="J618" s="22" t="n">
        <v>51.1</v>
      </c>
      <c r="K618" s="22" t="n">
        <f aca="false">ROUNDUP(J618,0)</f>
        <v>52</v>
      </c>
      <c r="L618" s="22" t="n">
        <f aca="false">MAX(D618,K618)</f>
        <v>52</v>
      </c>
      <c r="M618" s="25" t="n">
        <f aca="false">IF(E618="COVERED",'Controls &amp; Sources'!$B$5,'Controls &amp; Sources'!$B$6)</f>
        <v>7.55</v>
      </c>
      <c r="N618" s="25" t="n">
        <f aca="false">L618*M618</f>
        <v>392.6</v>
      </c>
      <c r="O618" s="22" t="n">
        <f aca="false">COUNTIFS('Billing Actual'!$E$2:$E$770,A618,'Billing Actual'!$B$2:$B$770,'Controls &amp; Sources'!$B$7)</f>
        <v>1</v>
      </c>
      <c r="P618" s="25" t="n">
        <f aca="false">SUMIFS('Billing Actual'!$M$2:$M$770,'Billing Actual'!$E$2:$E$770,A618,'Billing Actual'!$B$2:$B$770,'Controls &amp; Sources'!$B$7)</f>
        <v>392.6</v>
      </c>
      <c r="Q618" s="25" t="n">
        <f aca="false">P618-N618</f>
        <v>0</v>
      </c>
      <c r="R618" s="22" t="str">
        <f aca="false">IF(O618=0,"No August moorage transaction",IF(O618&gt;1,"Duplicate August transactions",IF(ABS(Q618)&gt;0.005,"Charge variance","OK")))</f>
        <v>OK</v>
      </c>
      <c r="S618" s="22" t="str">
        <f aca="false">IF(R618="OK","","Billing completeness/reconciliation")</f>
        <v/>
      </c>
    </row>
    <row r="619" customFormat="false" ht="15" hidden="false" customHeight="false" outlineLevel="0" collapsed="false">
      <c r="A619" s="22" t="s">
        <v>7926</v>
      </c>
      <c r="B619" s="22" t="s">
        <v>215</v>
      </c>
      <c r="C619" s="22" t="s">
        <v>7694</v>
      </c>
      <c r="D619" s="22" t="n">
        <v>40</v>
      </c>
      <c r="E619" s="22" t="s">
        <v>7696</v>
      </c>
      <c r="F619" s="22" t="s">
        <v>6577</v>
      </c>
      <c r="G619" s="22" t="s">
        <v>6011</v>
      </c>
      <c r="H619" s="22" t="s">
        <v>6012</v>
      </c>
      <c r="I619" s="22" t="s">
        <v>972</v>
      </c>
      <c r="J619" s="22" t="n">
        <v>29.3</v>
      </c>
      <c r="K619" s="22" t="n">
        <f aca="false">ROUNDUP(J619,0)</f>
        <v>30</v>
      </c>
      <c r="L619" s="22" t="n">
        <f aca="false">MAX(D619,K619)</f>
        <v>40</v>
      </c>
      <c r="M619" s="25" t="n">
        <f aca="false">IF(E619="COVERED",'Controls &amp; Sources'!$B$5,'Controls &amp; Sources'!$B$6)</f>
        <v>7.55</v>
      </c>
      <c r="N619" s="25" t="n">
        <f aca="false">L619*M619</f>
        <v>302</v>
      </c>
      <c r="O619" s="22" t="n">
        <f aca="false">COUNTIFS('Billing Actual'!$E$2:$E$770,A619,'Billing Actual'!$B$2:$B$770,'Controls &amp; Sources'!$B$7)</f>
        <v>1</v>
      </c>
      <c r="P619" s="25" t="n">
        <f aca="false">SUMIFS('Billing Actual'!$M$2:$M$770,'Billing Actual'!$E$2:$E$770,A619,'Billing Actual'!$B$2:$B$770,'Controls &amp; Sources'!$B$7)</f>
        <v>302</v>
      </c>
      <c r="Q619" s="25" t="n">
        <f aca="false">P619-N619</f>
        <v>0</v>
      </c>
      <c r="R619" s="22" t="str">
        <f aca="false">IF(O619=0,"No August moorage transaction",IF(O619&gt;1,"Duplicate August transactions",IF(ABS(Q619)&gt;0.005,"Charge variance","OK")))</f>
        <v>OK</v>
      </c>
      <c r="S619" s="22" t="str">
        <f aca="false">IF(R619="OK","","Billing completeness/reconciliation")</f>
        <v/>
      </c>
    </row>
    <row r="620" customFormat="false" ht="15" hidden="false" customHeight="false" outlineLevel="0" collapsed="false">
      <c r="A620" s="22" t="s">
        <v>7927</v>
      </c>
      <c r="B620" s="22" t="s">
        <v>215</v>
      </c>
      <c r="C620" s="22" t="s">
        <v>7694</v>
      </c>
      <c r="D620" s="22" t="n">
        <v>24</v>
      </c>
      <c r="E620" s="22" t="s">
        <v>7696</v>
      </c>
      <c r="F620" s="22" t="s">
        <v>6577</v>
      </c>
      <c r="G620" s="22" t="s">
        <v>1874</v>
      </c>
      <c r="H620" s="22" t="s">
        <v>1875</v>
      </c>
      <c r="I620" s="22" t="s">
        <v>330</v>
      </c>
      <c r="J620" s="22" t="n">
        <v>46.9</v>
      </c>
      <c r="K620" s="22" t="n">
        <f aca="false">ROUNDUP(J620,0)</f>
        <v>47</v>
      </c>
      <c r="L620" s="22" t="n">
        <f aca="false">MAX(D620,K620)</f>
        <v>47</v>
      </c>
      <c r="M620" s="25" t="n">
        <f aca="false">IF(E620="COVERED",'Controls &amp; Sources'!$B$5,'Controls &amp; Sources'!$B$6)</f>
        <v>7.55</v>
      </c>
      <c r="N620" s="25" t="n">
        <f aca="false">L620*M620</f>
        <v>354.85</v>
      </c>
      <c r="O620" s="22" t="n">
        <f aca="false">COUNTIFS('Billing Actual'!$E$2:$E$770,A620,'Billing Actual'!$B$2:$B$770,'Controls &amp; Sources'!$B$7)</f>
        <v>1</v>
      </c>
      <c r="P620" s="25" t="n">
        <f aca="false">SUMIFS('Billing Actual'!$M$2:$M$770,'Billing Actual'!$E$2:$E$770,A620,'Billing Actual'!$B$2:$B$770,'Controls &amp; Sources'!$B$7)</f>
        <v>354.85</v>
      </c>
      <c r="Q620" s="25" t="n">
        <f aca="false">P620-N620</f>
        <v>0</v>
      </c>
      <c r="R620" s="22" t="str">
        <f aca="false">IF(O620=0,"No August moorage transaction",IF(O620&gt;1,"Duplicate August transactions",IF(ABS(Q620)&gt;0.005,"Charge variance","OK")))</f>
        <v>OK</v>
      </c>
      <c r="S620" s="22" t="str">
        <f aca="false">IF(R620="OK","","Billing completeness/reconciliation")</f>
        <v/>
      </c>
    </row>
    <row r="621" customFormat="false" ht="15" hidden="false" customHeight="false" outlineLevel="0" collapsed="false">
      <c r="A621" s="22" t="s">
        <v>7928</v>
      </c>
      <c r="B621" s="22" t="s">
        <v>215</v>
      </c>
      <c r="C621" s="22" t="s">
        <v>7694</v>
      </c>
      <c r="D621" s="22" t="n">
        <v>32</v>
      </c>
      <c r="E621" s="22" t="s">
        <v>7696</v>
      </c>
      <c r="F621" s="22" t="s">
        <v>6577</v>
      </c>
      <c r="G621" s="22" t="s">
        <v>4633</v>
      </c>
      <c r="H621" s="22" t="s">
        <v>4634</v>
      </c>
      <c r="I621" s="22" t="s">
        <v>508</v>
      </c>
      <c r="J621" s="22" t="n">
        <v>54.4</v>
      </c>
      <c r="K621" s="22" t="n">
        <f aca="false">ROUNDUP(J621,0)</f>
        <v>55</v>
      </c>
      <c r="L621" s="22" t="n">
        <f aca="false">MAX(D621,K621)</f>
        <v>55</v>
      </c>
      <c r="M621" s="25" t="n">
        <f aca="false">IF(E621="COVERED",'Controls &amp; Sources'!$B$5,'Controls &amp; Sources'!$B$6)</f>
        <v>7.55</v>
      </c>
      <c r="N621" s="25" t="n">
        <f aca="false">L621*M621</f>
        <v>415.25</v>
      </c>
      <c r="O621" s="22" t="n">
        <f aca="false">COUNTIFS('Billing Actual'!$E$2:$E$770,A621,'Billing Actual'!$B$2:$B$770,'Controls &amp; Sources'!$B$7)</f>
        <v>1</v>
      </c>
      <c r="P621" s="25" t="n">
        <f aca="false">SUMIFS('Billing Actual'!$M$2:$M$770,'Billing Actual'!$E$2:$E$770,A621,'Billing Actual'!$B$2:$B$770,'Controls &amp; Sources'!$B$7)</f>
        <v>415.25</v>
      </c>
      <c r="Q621" s="25" t="n">
        <f aca="false">P621-N621</f>
        <v>0</v>
      </c>
      <c r="R621" s="22" t="str">
        <f aca="false">IF(O621=0,"No August moorage transaction",IF(O621&gt;1,"Duplicate August transactions",IF(ABS(Q621)&gt;0.005,"Charge variance","OK")))</f>
        <v>OK</v>
      </c>
      <c r="S621" s="22" t="str">
        <f aca="false">IF(R621="OK","","Billing completeness/reconciliation")</f>
        <v/>
      </c>
    </row>
    <row r="622" customFormat="false" ht="15" hidden="false" customHeight="false" outlineLevel="0" collapsed="false">
      <c r="A622" s="22" t="s">
        <v>7929</v>
      </c>
      <c r="B622" s="22" t="s">
        <v>215</v>
      </c>
      <c r="C622" s="22" t="s">
        <v>7694</v>
      </c>
      <c r="D622" s="22" t="n">
        <v>50</v>
      </c>
      <c r="E622" s="22" t="s">
        <v>7696</v>
      </c>
      <c r="F622" s="22" t="s">
        <v>6577</v>
      </c>
      <c r="G622" s="22" t="s">
        <v>5393</v>
      </c>
      <c r="H622" s="22" t="s">
        <v>5394</v>
      </c>
      <c r="I622" s="22" t="s">
        <v>962</v>
      </c>
      <c r="J622" s="22" t="n">
        <v>53.3</v>
      </c>
      <c r="K622" s="22" t="n">
        <f aca="false">ROUNDUP(J622,0)</f>
        <v>54</v>
      </c>
      <c r="L622" s="22" t="n">
        <f aca="false">MAX(D622,K622)</f>
        <v>54</v>
      </c>
      <c r="M622" s="25" t="n">
        <f aca="false">IF(E622="COVERED",'Controls &amp; Sources'!$B$5,'Controls &amp; Sources'!$B$6)</f>
        <v>7.55</v>
      </c>
      <c r="N622" s="25" t="n">
        <f aca="false">L622*M622</f>
        <v>407.7</v>
      </c>
      <c r="O622" s="22" t="n">
        <f aca="false">COUNTIFS('Billing Actual'!$E$2:$E$770,A622,'Billing Actual'!$B$2:$B$770,'Controls &amp; Sources'!$B$7)</f>
        <v>1</v>
      </c>
      <c r="P622" s="25" t="n">
        <f aca="false">SUMIFS('Billing Actual'!$M$2:$M$770,'Billing Actual'!$E$2:$E$770,A622,'Billing Actual'!$B$2:$B$770,'Controls &amp; Sources'!$B$7)</f>
        <v>407.7</v>
      </c>
      <c r="Q622" s="25" t="n">
        <f aca="false">P622-N622</f>
        <v>0</v>
      </c>
      <c r="R622" s="22" t="str">
        <f aca="false">IF(O622=0,"No August moorage transaction",IF(O622&gt;1,"Duplicate August transactions",IF(ABS(Q622)&gt;0.005,"Charge variance","OK")))</f>
        <v>OK</v>
      </c>
      <c r="S622" s="22" t="str">
        <f aca="false">IF(R622="OK","","Billing completeness/reconciliation")</f>
        <v/>
      </c>
    </row>
    <row r="623" customFormat="false" ht="15" hidden="false" customHeight="false" outlineLevel="0" collapsed="false">
      <c r="A623" s="22" t="s">
        <v>7930</v>
      </c>
      <c r="B623" s="22" t="s">
        <v>215</v>
      </c>
      <c r="C623" s="22" t="s">
        <v>7694</v>
      </c>
      <c r="D623" s="22" t="n">
        <v>70</v>
      </c>
      <c r="E623" s="22" t="s">
        <v>7696</v>
      </c>
      <c r="F623" s="22" t="s">
        <v>6577</v>
      </c>
      <c r="G623" s="22" t="s">
        <v>2651</v>
      </c>
      <c r="H623" s="22" t="s">
        <v>2652</v>
      </c>
      <c r="I623" s="22" t="s">
        <v>2653</v>
      </c>
      <c r="J623" s="22" t="n">
        <v>35.8</v>
      </c>
      <c r="K623" s="22" t="n">
        <f aca="false">ROUNDUP(J623,0)</f>
        <v>36</v>
      </c>
      <c r="L623" s="22" t="n">
        <f aca="false">MAX(D623,K623)</f>
        <v>70</v>
      </c>
      <c r="M623" s="25" t="n">
        <f aca="false">IF(E623="COVERED",'Controls &amp; Sources'!$B$5,'Controls &amp; Sources'!$B$6)</f>
        <v>7.55</v>
      </c>
      <c r="N623" s="25" t="n">
        <f aca="false">L623*M623</f>
        <v>528.5</v>
      </c>
      <c r="O623" s="22" t="n">
        <f aca="false">COUNTIFS('Billing Actual'!$E$2:$E$770,A623,'Billing Actual'!$B$2:$B$770,'Controls &amp; Sources'!$B$7)</f>
        <v>1</v>
      </c>
      <c r="P623" s="25" t="n">
        <f aca="false">SUMIFS('Billing Actual'!$M$2:$M$770,'Billing Actual'!$E$2:$E$770,A623,'Billing Actual'!$B$2:$B$770,'Controls &amp; Sources'!$B$7)</f>
        <v>528.5</v>
      </c>
      <c r="Q623" s="25" t="n">
        <f aca="false">P623-N623</f>
        <v>0</v>
      </c>
      <c r="R623" s="22" t="str">
        <f aca="false">IF(O623=0,"No August moorage transaction",IF(O623&gt;1,"Duplicate August transactions",IF(ABS(Q623)&gt;0.005,"Charge variance","OK")))</f>
        <v>OK</v>
      </c>
      <c r="S623" s="22" t="str">
        <f aca="false">IF(R623="OK","","Billing completeness/reconciliation")</f>
        <v/>
      </c>
    </row>
    <row r="624" customFormat="false" ht="15" hidden="false" customHeight="false" outlineLevel="0" collapsed="false">
      <c r="A624" s="22" t="s">
        <v>7932</v>
      </c>
      <c r="B624" s="22" t="s">
        <v>215</v>
      </c>
      <c r="C624" s="22" t="s">
        <v>7694</v>
      </c>
      <c r="D624" s="22" t="n">
        <v>45</v>
      </c>
      <c r="E624" s="22" t="s">
        <v>7696</v>
      </c>
      <c r="F624" s="22" t="s">
        <v>6577</v>
      </c>
      <c r="G624" s="22" t="s">
        <v>2682</v>
      </c>
      <c r="H624" s="22" t="s">
        <v>2683</v>
      </c>
      <c r="I624" s="22" t="s">
        <v>2684</v>
      </c>
      <c r="J624" s="22" t="n">
        <v>22.3</v>
      </c>
      <c r="K624" s="22" t="n">
        <f aca="false">ROUNDUP(J624,0)</f>
        <v>23</v>
      </c>
      <c r="L624" s="22" t="n">
        <f aca="false">MAX(D624,K624)</f>
        <v>45</v>
      </c>
      <c r="M624" s="25" t="n">
        <f aca="false">IF(E624="COVERED",'Controls &amp; Sources'!$B$5,'Controls &amp; Sources'!$B$6)</f>
        <v>7.55</v>
      </c>
      <c r="N624" s="25" t="n">
        <f aca="false">L624*M624</f>
        <v>339.75</v>
      </c>
      <c r="O624" s="22" t="n">
        <f aca="false">COUNTIFS('Billing Actual'!$E$2:$E$770,A624,'Billing Actual'!$B$2:$B$770,'Controls &amp; Sources'!$B$7)</f>
        <v>1</v>
      </c>
      <c r="P624" s="25" t="n">
        <f aca="false">SUMIFS('Billing Actual'!$M$2:$M$770,'Billing Actual'!$E$2:$E$770,A624,'Billing Actual'!$B$2:$B$770,'Controls &amp; Sources'!$B$7)</f>
        <v>339.75</v>
      </c>
      <c r="Q624" s="25" t="n">
        <f aca="false">P624-N624</f>
        <v>0</v>
      </c>
      <c r="R624" s="22" t="str">
        <f aca="false">IF(O624=0,"No August moorage transaction",IF(O624&gt;1,"Duplicate August transactions",IF(ABS(Q624)&gt;0.005,"Charge variance","OK")))</f>
        <v>OK</v>
      </c>
      <c r="S624" s="22" t="str">
        <f aca="false">IF(R624="OK","","Billing completeness/reconciliation")</f>
        <v/>
      </c>
    </row>
    <row r="625" customFormat="false" ht="15" hidden="false" customHeight="false" outlineLevel="0" collapsed="false">
      <c r="A625" s="22" t="s">
        <v>7934</v>
      </c>
      <c r="B625" s="22" t="s">
        <v>215</v>
      </c>
      <c r="C625" s="22" t="s">
        <v>7694</v>
      </c>
      <c r="D625" s="22" t="n">
        <v>70</v>
      </c>
      <c r="E625" s="22" t="s">
        <v>7696</v>
      </c>
      <c r="F625" s="22" t="s">
        <v>6577</v>
      </c>
      <c r="G625" s="22" t="s">
        <v>6299</v>
      </c>
      <c r="H625" s="22" t="s">
        <v>6300</v>
      </c>
      <c r="I625" s="22" t="s">
        <v>1339</v>
      </c>
      <c r="J625" s="22" t="n">
        <v>53.3</v>
      </c>
      <c r="K625" s="22" t="n">
        <f aca="false">ROUNDUP(J625,0)</f>
        <v>54</v>
      </c>
      <c r="L625" s="22" t="n">
        <f aca="false">MAX(D625,K625)</f>
        <v>70</v>
      </c>
      <c r="M625" s="25" t="n">
        <f aca="false">IF(E625="COVERED",'Controls &amp; Sources'!$B$5,'Controls &amp; Sources'!$B$6)</f>
        <v>7.55</v>
      </c>
      <c r="N625" s="25" t="n">
        <f aca="false">L625*M625</f>
        <v>528.5</v>
      </c>
      <c r="O625" s="22" t="n">
        <f aca="false">COUNTIFS('Billing Actual'!$E$2:$E$770,A625,'Billing Actual'!$B$2:$B$770,'Controls &amp; Sources'!$B$7)</f>
        <v>1</v>
      </c>
      <c r="P625" s="25" t="n">
        <f aca="false">SUMIFS('Billing Actual'!$M$2:$M$770,'Billing Actual'!$E$2:$E$770,A625,'Billing Actual'!$B$2:$B$770,'Controls &amp; Sources'!$B$7)</f>
        <v>528.5</v>
      </c>
      <c r="Q625" s="25" t="n">
        <f aca="false">P625-N625</f>
        <v>0</v>
      </c>
      <c r="R625" s="22" t="str">
        <f aca="false">IF(O625=0,"No August moorage transaction",IF(O625&gt;1,"Duplicate August transactions",IF(ABS(Q625)&gt;0.005,"Charge variance","OK")))</f>
        <v>OK</v>
      </c>
      <c r="S625" s="22" t="str">
        <f aca="false">IF(R625="OK","","Billing completeness/reconciliation")</f>
        <v/>
      </c>
    </row>
    <row r="626" customFormat="false" ht="15" hidden="false" customHeight="false" outlineLevel="0" collapsed="false">
      <c r="A626" s="22" t="s">
        <v>7935</v>
      </c>
      <c r="B626" s="22" t="s">
        <v>215</v>
      </c>
      <c r="C626" s="22" t="s">
        <v>7694</v>
      </c>
      <c r="D626" s="22" t="n">
        <v>28</v>
      </c>
      <c r="E626" s="22" t="s">
        <v>7696</v>
      </c>
      <c r="F626" s="22" t="s">
        <v>6577</v>
      </c>
      <c r="G626" s="22" t="s">
        <v>5457</v>
      </c>
      <c r="H626" s="22" t="s">
        <v>5458</v>
      </c>
      <c r="I626" s="22" t="s">
        <v>495</v>
      </c>
      <c r="J626" s="22" t="n">
        <v>56.4</v>
      </c>
      <c r="K626" s="22" t="n">
        <f aca="false">ROUNDUP(J626,0)</f>
        <v>57</v>
      </c>
      <c r="L626" s="22" t="n">
        <f aca="false">MAX(D626,K626)</f>
        <v>57</v>
      </c>
      <c r="M626" s="25" t="n">
        <f aca="false">IF(E626="COVERED",'Controls &amp; Sources'!$B$5,'Controls &amp; Sources'!$B$6)</f>
        <v>7.55</v>
      </c>
      <c r="N626" s="25" t="n">
        <f aca="false">L626*M626</f>
        <v>430.35</v>
      </c>
      <c r="O626" s="22" t="n">
        <f aca="false">COUNTIFS('Billing Actual'!$E$2:$E$770,A626,'Billing Actual'!$B$2:$B$770,'Controls &amp; Sources'!$B$7)</f>
        <v>1</v>
      </c>
      <c r="P626" s="25" t="n">
        <f aca="false">SUMIFS('Billing Actual'!$M$2:$M$770,'Billing Actual'!$E$2:$E$770,A626,'Billing Actual'!$B$2:$B$770,'Controls &amp; Sources'!$B$7)</f>
        <v>430.35</v>
      </c>
      <c r="Q626" s="25" t="n">
        <f aca="false">P626-N626</f>
        <v>0</v>
      </c>
      <c r="R626" s="22" t="str">
        <f aca="false">IF(O626=0,"No August moorage transaction",IF(O626&gt;1,"Duplicate August transactions",IF(ABS(Q626)&gt;0.005,"Charge variance","OK")))</f>
        <v>OK</v>
      </c>
      <c r="S626" s="22" t="str">
        <f aca="false">IF(R626="OK","","Billing completeness/reconciliation")</f>
        <v/>
      </c>
    </row>
    <row r="627" customFormat="false" ht="15" hidden="false" customHeight="false" outlineLevel="0" collapsed="false">
      <c r="A627" s="22" t="s">
        <v>7936</v>
      </c>
      <c r="B627" s="22" t="s">
        <v>215</v>
      </c>
      <c r="C627" s="22" t="s">
        <v>7694</v>
      </c>
      <c r="D627" s="22" t="n">
        <v>32</v>
      </c>
      <c r="E627" s="22" t="s">
        <v>7696</v>
      </c>
      <c r="F627" s="22" t="s">
        <v>6577</v>
      </c>
      <c r="G627" s="22" t="s">
        <v>6184</v>
      </c>
      <c r="H627" s="22" t="s">
        <v>6185</v>
      </c>
      <c r="I627" s="22" t="s">
        <v>352</v>
      </c>
      <c r="J627" s="22" t="n">
        <v>22.4</v>
      </c>
      <c r="K627" s="22" t="n">
        <f aca="false">ROUNDUP(J627,0)</f>
        <v>23</v>
      </c>
      <c r="L627" s="22" t="n">
        <f aca="false">MAX(D627,K627)</f>
        <v>32</v>
      </c>
      <c r="M627" s="25" t="n">
        <f aca="false">IF(E627="COVERED",'Controls &amp; Sources'!$B$5,'Controls &amp; Sources'!$B$6)</f>
        <v>7.55</v>
      </c>
      <c r="N627" s="25" t="n">
        <f aca="false">L627*M627</f>
        <v>241.6</v>
      </c>
      <c r="O627" s="22" t="n">
        <f aca="false">COUNTIFS('Billing Actual'!$E$2:$E$770,A627,'Billing Actual'!$B$2:$B$770,'Controls &amp; Sources'!$B$7)</f>
        <v>1</v>
      </c>
      <c r="P627" s="25" t="n">
        <f aca="false">SUMIFS('Billing Actual'!$M$2:$M$770,'Billing Actual'!$E$2:$E$770,A627,'Billing Actual'!$B$2:$B$770,'Controls &amp; Sources'!$B$7)</f>
        <v>241.6</v>
      </c>
      <c r="Q627" s="25" t="n">
        <f aca="false">P627-N627</f>
        <v>0</v>
      </c>
      <c r="R627" s="22" t="str">
        <f aca="false">IF(O627=0,"No August moorage transaction",IF(O627&gt;1,"Duplicate August transactions",IF(ABS(Q627)&gt;0.005,"Charge variance","OK")))</f>
        <v>OK</v>
      </c>
      <c r="S627" s="22" t="str">
        <f aca="false">IF(R627="OK","","Billing completeness/reconciliation")</f>
        <v/>
      </c>
    </row>
    <row r="628" customFormat="false" ht="15" hidden="false" customHeight="false" outlineLevel="0" collapsed="false">
      <c r="A628" s="22" t="s">
        <v>7938</v>
      </c>
      <c r="B628" s="22" t="s">
        <v>215</v>
      </c>
      <c r="C628" s="22" t="s">
        <v>7694</v>
      </c>
      <c r="D628" s="22" t="n">
        <v>28</v>
      </c>
      <c r="E628" s="22" t="s">
        <v>7696</v>
      </c>
      <c r="F628" s="22" t="s">
        <v>6577</v>
      </c>
      <c r="G628" s="22" t="s">
        <v>1660</v>
      </c>
      <c r="H628" s="22" t="s">
        <v>1661</v>
      </c>
      <c r="I628" s="22" t="s">
        <v>1662</v>
      </c>
      <c r="J628" s="22" t="n">
        <v>59</v>
      </c>
      <c r="K628" s="22" t="n">
        <f aca="false">ROUNDUP(J628,0)</f>
        <v>59</v>
      </c>
      <c r="L628" s="22" t="n">
        <f aca="false">MAX(D628,K628)</f>
        <v>59</v>
      </c>
      <c r="M628" s="25" t="n">
        <f aca="false">IF(E628="COVERED",'Controls &amp; Sources'!$B$5,'Controls &amp; Sources'!$B$6)</f>
        <v>7.55</v>
      </c>
      <c r="N628" s="25" t="n">
        <f aca="false">L628*M628</f>
        <v>445.45</v>
      </c>
      <c r="O628" s="22" t="n">
        <f aca="false">COUNTIFS('Billing Actual'!$E$2:$E$770,A628,'Billing Actual'!$B$2:$B$770,'Controls &amp; Sources'!$B$7)</f>
        <v>1</v>
      </c>
      <c r="P628" s="25" t="n">
        <f aca="false">SUMIFS('Billing Actual'!$M$2:$M$770,'Billing Actual'!$E$2:$E$770,A628,'Billing Actual'!$B$2:$B$770,'Controls &amp; Sources'!$B$7)</f>
        <v>445.45</v>
      </c>
      <c r="Q628" s="25" t="n">
        <f aca="false">P628-N628</f>
        <v>0</v>
      </c>
      <c r="R628" s="22" t="str">
        <f aca="false">IF(O628=0,"No August moorage transaction",IF(O628&gt;1,"Duplicate August transactions",IF(ABS(Q628)&gt;0.005,"Charge variance","OK")))</f>
        <v>OK</v>
      </c>
      <c r="S628" s="22" t="str">
        <f aca="false">IF(R628="OK","","Billing completeness/reconciliation")</f>
        <v/>
      </c>
    </row>
    <row r="629" customFormat="false" ht="15" hidden="false" customHeight="false" outlineLevel="0" collapsed="false">
      <c r="A629" s="22" t="s">
        <v>7939</v>
      </c>
      <c r="B629" s="22" t="s">
        <v>215</v>
      </c>
      <c r="C629" s="22" t="s">
        <v>7694</v>
      </c>
      <c r="D629" s="22" t="n">
        <v>36</v>
      </c>
      <c r="E629" s="22" t="s">
        <v>7696</v>
      </c>
      <c r="F629" s="22" t="s">
        <v>6577</v>
      </c>
      <c r="G629" s="22" t="s">
        <v>1196</v>
      </c>
      <c r="H629" s="22" t="s">
        <v>1197</v>
      </c>
      <c r="I629" s="22" t="s">
        <v>1198</v>
      </c>
      <c r="J629" s="22" t="n">
        <v>33.5</v>
      </c>
      <c r="K629" s="22" t="n">
        <f aca="false">ROUNDUP(J629,0)</f>
        <v>34</v>
      </c>
      <c r="L629" s="22" t="n">
        <f aca="false">MAX(D629,K629)</f>
        <v>36</v>
      </c>
      <c r="M629" s="25" t="n">
        <f aca="false">IF(E629="COVERED",'Controls &amp; Sources'!$B$5,'Controls &amp; Sources'!$B$6)</f>
        <v>7.55</v>
      </c>
      <c r="N629" s="25" t="n">
        <f aca="false">L629*M629</f>
        <v>271.8</v>
      </c>
      <c r="O629" s="22" t="n">
        <f aca="false">COUNTIFS('Billing Actual'!$E$2:$E$770,A629,'Billing Actual'!$B$2:$B$770,'Controls &amp; Sources'!$B$7)</f>
        <v>1</v>
      </c>
      <c r="P629" s="25" t="n">
        <f aca="false">SUMIFS('Billing Actual'!$M$2:$M$770,'Billing Actual'!$E$2:$E$770,A629,'Billing Actual'!$B$2:$B$770,'Controls &amp; Sources'!$B$7)</f>
        <v>271.8</v>
      </c>
      <c r="Q629" s="25" t="n">
        <f aca="false">P629-N629</f>
        <v>0</v>
      </c>
      <c r="R629" s="22" t="str">
        <f aca="false">IF(O629=0,"No August moorage transaction",IF(O629&gt;1,"Duplicate August transactions",IF(ABS(Q629)&gt;0.005,"Charge variance","OK")))</f>
        <v>OK</v>
      </c>
      <c r="S629" s="22" t="str">
        <f aca="false">IF(R629="OK","","Billing completeness/reconciliation")</f>
        <v/>
      </c>
    </row>
    <row r="630" customFormat="false" ht="15" hidden="false" customHeight="false" outlineLevel="0" collapsed="false">
      <c r="A630" s="22" t="s">
        <v>7941</v>
      </c>
      <c r="B630" s="22" t="s">
        <v>215</v>
      </c>
      <c r="C630" s="22" t="s">
        <v>7694</v>
      </c>
      <c r="D630" s="22" t="n">
        <v>28</v>
      </c>
      <c r="E630" s="22" t="s">
        <v>7696</v>
      </c>
      <c r="F630" s="22" t="s">
        <v>6577</v>
      </c>
      <c r="G630" s="22" t="s">
        <v>5102</v>
      </c>
      <c r="H630" s="22" t="s">
        <v>5103</v>
      </c>
      <c r="I630" s="22" t="s">
        <v>5104</v>
      </c>
      <c r="J630" s="22" t="n">
        <v>29.3</v>
      </c>
      <c r="K630" s="22" t="n">
        <f aca="false">ROUNDUP(J630,0)</f>
        <v>30</v>
      </c>
      <c r="L630" s="22" t="n">
        <f aca="false">MAX(D630,K630)</f>
        <v>30</v>
      </c>
      <c r="M630" s="25" t="n">
        <f aca="false">IF(E630="COVERED",'Controls &amp; Sources'!$B$5,'Controls &amp; Sources'!$B$6)</f>
        <v>7.55</v>
      </c>
      <c r="N630" s="25" t="n">
        <f aca="false">L630*M630</f>
        <v>226.5</v>
      </c>
      <c r="O630" s="22" t="n">
        <f aca="false">COUNTIFS('Billing Actual'!$E$2:$E$770,A630,'Billing Actual'!$B$2:$B$770,'Controls &amp; Sources'!$B$7)</f>
        <v>1</v>
      </c>
      <c r="P630" s="25" t="n">
        <f aca="false">SUMIFS('Billing Actual'!$M$2:$M$770,'Billing Actual'!$E$2:$E$770,A630,'Billing Actual'!$B$2:$B$770,'Controls &amp; Sources'!$B$7)</f>
        <v>226.5</v>
      </c>
      <c r="Q630" s="25" t="n">
        <f aca="false">P630-N630</f>
        <v>0</v>
      </c>
      <c r="R630" s="22" t="str">
        <f aca="false">IF(O630=0,"No August moorage transaction",IF(O630&gt;1,"Duplicate August transactions",IF(ABS(Q630)&gt;0.005,"Charge variance","OK")))</f>
        <v>OK</v>
      </c>
      <c r="S630" s="22" t="str">
        <f aca="false">IF(R630="OK","","Billing completeness/reconciliation")</f>
        <v/>
      </c>
    </row>
    <row r="631" customFormat="false" ht="15" hidden="false" customHeight="false" outlineLevel="0" collapsed="false">
      <c r="A631" s="22" t="s">
        <v>7943</v>
      </c>
      <c r="B631" s="22" t="s">
        <v>215</v>
      </c>
      <c r="C631" s="22" t="s">
        <v>7694</v>
      </c>
      <c r="D631" s="22" t="n">
        <v>80</v>
      </c>
      <c r="E631" s="22" t="s">
        <v>7696</v>
      </c>
      <c r="F631" s="22" t="s">
        <v>6577</v>
      </c>
      <c r="G631" s="22" t="s">
        <v>3321</v>
      </c>
      <c r="H631" s="22" t="s">
        <v>3322</v>
      </c>
      <c r="I631" s="22" t="s">
        <v>621</v>
      </c>
      <c r="J631" s="22" t="n">
        <v>49.7</v>
      </c>
      <c r="K631" s="22" t="n">
        <f aca="false">ROUNDUP(J631,0)</f>
        <v>50</v>
      </c>
      <c r="L631" s="22" t="n">
        <f aca="false">MAX(D631,K631)</f>
        <v>80</v>
      </c>
      <c r="M631" s="25" t="n">
        <f aca="false">IF(E631="COVERED",'Controls &amp; Sources'!$B$5,'Controls &amp; Sources'!$B$6)</f>
        <v>7.55</v>
      </c>
      <c r="N631" s="25" t="n">
        <f aca="false">L631*M631</f>
        <v>604</v>
      </c>
      <c r="O631" s="22" t="n">
        <f aca="false">COUNTIFS('Billing Actual'!$E$2:$E$770,A631,'Billing Actual'!$B$2:$B$770,'Controls &amp; Sources'!$B$7)</f>
        <v>1</v>
      </c>
      <c r="P631" s="25" t="n">
        <f aca="false">SUMIFS('Billing Actual'!$M$2:$M$770,'Billing Actual'!$E$2:$E$770,A631,'Billing Actual'!$B$2:$B$770,'Controls &amp; Sources'!$B$7)</f>
        <v>604</v>
      </c>
      <c r="Q631" s="25" t="n">
        <f aca="false">P631-N631</f>
        <v>0</v>
      </c>
      <c r="R631" s="22" t="str">
        <f aca="false">IF(O631=0,"No August moorage transaction",IF(O631&gt;1,"Duplicate August transactions",IF(ABS(Q631)&gt;0.005,"Charge variance","OK")))</f>
        <v>OK</v>
      </c>
      <c r="S631" s="22" t="str">
        <f aca="false">IF(R631="OK","","Billing completeness/reconciliation")</f>
        <v/>
      </c>
    </row>
    <row r="632" customFormat="false" ht="15" hidden="false" customHeight="false" outlineLevel="0" collapsed="false">
      <c r="A632" s="22" t="s">
        <v>7944</v>
      </c>
      <c r="B632" s="22" t="s">
        <v>215</v>
      </c>
      <c r="C632" s="22" t="s">
        <v>7694</v>
      </c>
      <c r="D632" s="22" t="n">
        <v>70</v>
      </c>
      <c r="E632" s="22" t="s">
        <v>7696</v>
      </c>
      <c r="F632" s="22" t="s">
        <v>6577</v>
      </c>
      <c r="G632" s="22" t="s">
        <v>3902</v>
      </c>
      <c r="H632" s="22" t="s">
        <v>3903</v>
      </c>
      <c r="I632" s="22" t="s">
        <v>1138</v>
      </c>
      <c r="J632" s="22" t="n">
        <v>58.3</v>
      </c>
      <c r="K632" s="22" t="n">
        <f aca="false">ROUNDUP(J632,0)</f>
        <v>59</v>
      </c>
      <c r="L632" s="22" t="n">
        <f aca="false">MAX(D632,K632)</f>
        <v>70</v>
      </c>
      <c r="M632" s="25" t="n">
        <f aca="false">IF(E632="COVERED",'Controls &amp; Sources'!$B$5,'Controls &amp; Sources'!$B$6)</f>
        <v>7.55</v>
      </c>
      <c r="N632" s="25" t="n">
        <f aca="false">L632*M632</f>
        <v>528.5</v>
      </c>
      <c r="O632" s="22" t="n">
        <f aca="false">COUNTIFS('Billing Actual'!$E$2:$E$770,A632,'Billing Actual'!$B$2:$B$770,'Controls &amp; Sources'!$B$7)</f>
        <v>1</v>
      </c>
      <c r="P632" s="25" t="n">
        <f aca="false">SUMIFS('Billing Actual'!$M$2:$M$770,'Billing Actual'!$E$2:$E$770,A632,'Billing Actual'!$B$2:$B$770,'Controls &amp; Sources'!$B$7)</f>
        <v>528.5</v>
      </c>
      <c r="Q632" s="25" t="n">
        <f aca="false">P632-N632</f>
        <v>0</v>
      </c>
      <c r="R632" s="22" t="str">
        <f aca="false">IF(O632=0,"No August moorage transaction",IF(O632&gt;1,"Duplicate August transactions",IF(ABS(Q632)&gt;0.005,"Charge variance","OK")))</f>
        <v>OK</v>
      </c>
      <c r="S632" s="22" t="str">
        <f aca="false">IF(R632="OK","","Billing completeness/reconciliation")</f>
        <v/>
      </c>
    </row>
    <row r="633" customFormat="false" ht="15" hidden="false" customHeight="false" outlineLevel="0" collapsed="false">
      <c r="A633" s="22" t="s">
        <v>7945</v>
      </c>
      <c r="B633" s="22" t="s">
        <v>215</v>
      </c>
      <c r="C633" s="22" t="s">
        <v>7694</v>
      </c>
      <c r="D633" s="22" t="n">
        <v>28</v>
      </c>
      <c r="E633" s="22" t="s">
        <v>7696</v>
      </c>
      <c r="F633" s="22" t="s">
        <v>6577</v>
      </c>
      <c r="G633" s="22" t="s">
        <v>5776</v>
      </c>
      <c r="H633" s="22" t="s">
        <v>5777</v>
      </c>
      <c r="I633" s="22" t="s">
        <v>1204</v>
      </c>
      <c r="J633" s="22" t="n">
        <v>26.3</v>
      </c>
      <c r="K633" s="22" t="n">
        <f aca="false">ROUNDUP(J633,0)</f>
        <v>27</v>
      </c>
      <c r="L633" s="22" t="n">
        <f aca="false">MAX(D633,K633)</f>
        <v>28</v>
      </c>
      <c r="M633" s="25" t="n">
        <f aca="false">IF(E633="COVERED",'Controls &amp; Sources'!$B$5,'Controls &amp; Sources'!$B$6)</f>
        <v>7.55</v>
      </c>
      <c r="N633" s="25" t="n">
        <f aca="false">L633*M633</f>
        <v>211.4</v>
      </c>
      <c r="O633" s="22" t="n">
        <f aca="false">COUNTIFS('Billing Actual'!$E$2:$E$770,A633,'Billing Actual'!$B$2:$B$770,'Controls &amp; Sources'!$B$7)</f>
        <v>1</v>
      </c>
      <c r="P633" s="25" t="n">
        <f aca="false">SUMIFS('Billing Actual'!$M$2:$M$770,'Billing Actual'!$E$2:$E$770,A633,'Billing Actual'!$B$2:$B$770,'Controls &amp; Sources'!$B$7)</f>
        <v>211.4</v>
      </c>
      <c r="Q633" s="25" t="n">
        <f aca="false">P633-N633</f>
        <v>0</v>
      </c>
      <c r="R633" s="22" t="str">
        <f aca="false">IF(O633=0,"No August moorage transaction",IF(O633&gt;1,"Duplicate August transactions",IF(ABS(Q633)&gt;0.005,"Charge variance","OK")))</f>
        <v>OK</v>
      </c>
      <c r="S633" s="22" t="str">
        <f aca="false">IF(R633="OK","","Billing completeness/reconciliation")</f>
        <v/>
      </c>
    </row>
    <row r="634" customFormat="false" ht="15" hidden="false" customHeight="false" outlineLevel="0" collapsed="false">
      <c r="A634" s="22" t="s">
        <v>7946</v>
      </c>
      <c r="B634" s="22" t="s">
        <v>215</v>
      </c>
      <c r="C634" s="22" t="s">
        <v>7694</v>
      </c>
      <c r="D634" s="22" t="n">
        <v>70</v>
      </c>
      <c r="E634" s="22" t="s">
        <v>7696</v>
      </c>
      <c r="F634" s="22" t="s">
        <v>6577</v>
      </c>
      <c r="G634" s="22" t="s">
        <v>6155</v>
      </c>
      <c r="H634" s="22" t="s">
        <v>6156</v>
      </c>
      <c r="I634" s="22" t="s">
        <v>2868</v>
      </c>
      <c r="J634" s="22" t="n">
        <v>61</v>
      </c>
      <c r="K634" s="22" t="n">
        <f aca="false">ROUNDUP(J634,0)</f>
        <v>61</v>
      </c>
      <c r="L634" s="22" t="n">
        <f aca="false">MAX(D634,K634)</f>
        <v>70</v>
      </c>
      <c r="M634" s="25" t="n">
        <f aca="false">IF(E634="COVERED",'Controls &amp; Sources'!$B$5,'Controls &amp; Sources'!$B$6)</f>
        <v>7.55</v>
      </c>
      <c r="N634" s="25" t="n">
        <f aca="false">L634*M634</f>
        <v>528.5</v>
      </c>
      <c r="O634" s="22" t="n">
        <f aca="false">COUNTIFS('Billing Actual'!$E$2:$E$770,A634,'Billing Actual'!$B$2:$B$770,'Controls &amp; Sources'!$B$7)</f>
        <v>1</v>
      </c>
      <c r="P634" s="25" t="n">
        <f aca="false">SUMIFS('Billing Actual'!$M$2:$M$770,'Billing Actual'!$E$2:$E$770,A634,'Billing Actual'!$B$2:$B$770,'Controls &amp; Sources'!$B$7)</f>
        <v>528.5</v>
      </c>
      <c r="Q634" s="25" t="n">
        <f aca="false">P634-N634</f>
        <v>0</v>
      </c>
      <c r="R634" s="22" t="str">
        <f aca="false">IF(O634=0,"No August moorage transaction",IF(O634&gt;1,"Duplicate August transactions",IF(ABS(Q634)&gt;0.005,"Charge variance","OK")))</f>
        <v>OK</v>
      </c>
      <c r="S634" s="22" t="str">
        <f aca="false">IF(R634="OK","","Billing completeness/reconciliation")</f>
        <v/>
      </c>
    </row>
    <row r="635" customFormat="false" ht="15" hidden="false" customHeight="false" outlineLevel="0" collapsed="false">
      <c r="A635" s="22" t="s">
        <v>7947</v>
      </c>
      <c r="B635" s="22" t="s">
        <v>215</v>
      </c>
      <c r="C635" s="22" t="s">
        <v>7694</v>
      </c>
      <c r="D635" s="22" t="n">
        <v>28</v>
      </c>
      <c r="E635" s="22" t="s">
        <v>7696</v>
      </c>
      <c r="F635" s="22" t="s">
        <v>6577</v>
      </c>
      <c r="G635" s="22" t="s">
        <v>6099</v>
      </c>
      <c r="H635" s="22" t="s">
        <v>6100</v>
      </c>
      <c r="I635" s="22" t="s">
        <v>477</v>
      </c>
      <c r="J635" s="22" t="n">
        <v>26.4</v>
      </c>
      <c r="K635" s="22" t="n">
        <f aca="false">ROUNDUP(J635,0)</f>
        <v>27</v>
      </c>
      <c r="L635" s="22" t="n">
        <f aca="false">MAX(D635,K635)</f>
        <v>28</v>
      </c>
      <c r="M635" s="25" t="n">
        <f aca="false">IF(E635="COVERED",'Controls &amp; Sources'!$B$5,'Controls &amp; Sources'!$B$6)</f>
        <v>7.55</v>
      </c>
      <c r="N635" s="25" t="n">
        <f aca="false">L635*M635</f>
        <v>211.4</v>
      </c>
      <c r="O635" s="22" t="n">
        <f aca="false">COUNTIFS('Billing Actual'!$E$2:$E$770,A635,'Billing Actual'!$B$2:$B$770,'Controls &amp; Sources'!$B$7)</f>
        <v>1</v>
      </c>
      <c r="P635" s="25" t="n">
        <f aca="false">SUMIFS('Billing Actual'!$M$2:$M$770,'Billing Actual'!$E$2:$E$770,A635,'Billing Actual'!$B$2:$B$770,'Controls &amp; Sources'!$B$7)</f>
        <v>211.4</v>
      </c>
      <c r="Q635" s="25" t="n">
        <f aca="false">P635-N635</f>
        <v>0</v>
      </c>
      <c r="R635" s="22" t="str">
        <f aca="false">IF(O635=0,"No August moorage transaction",IF(O635&gt;1,"Duplicate August transactions",IF(ABS(Q635)&gt;0.005,"Charge variance","OK")))</f>
        <v>OK</v>
      </c>
      <c r="S635" s="22" t="str">
        <f aca="false">IF(R635="OK","","Billing completeness/reconciliation")</f>
        <v/>
      </c>
    </row>
    <row r="636" customFormat="false" ht="15" hidden="false" customHeight="false" outlineLevel="0" collapsed="false">
      <c r="A636" s="22" t="s">
        <v>7948</v>
      </c>
      <c r="B636" s="22" t="s">
        <v>215</v>
      </c>
      <c r="C636" s="22" t="s">
        <v>7694</v>
      </c>
      <c r="D636" s="22" t="n">
        <v>45</v>
      </c>
      <c r="E636" s="22" t="s">
        <v>7696</v>
      </c>
      <c r="F636" s="22" t="s">
        <v>6577</v>
      </c>
      <c r="G636" s="22" t="s">
        <v>3078</v>
      </c>
      <c r="H636" s="22" t="s">
        <v>3079</v>
      </c>
      <c r="I636" s="22" t="s">
        <v>1435</v>
      </c>
      <c r="J636" s="22" t="n">
        <v>54.3</v>
      </c>
      <c r="K636" s="22" t="n">
        <f aca="false">ROUNDUP(J636,0)</f>
        <v>55</v>
      </c>
      <c r="L636" s="22" t="n">
        <f aca="false">MAX(D636,K636)</f>
        <v>55</v>
      </c>
      <c r="M636" s="25" t="n">
        <f aca="false">IF(E636="COVERED",'Controls &amp; Sources'!$B$5,'Controls &amp; Sources'!$B$6)</f>
        <v>7.55</v>
      </c>
      <c r="N636" s="25" t="n">
        <f aca="false">L636*M636</f>
        <v>415.25</v>
      </c>
      <c r="O636" s="22" t="n">
        <f aca="false">COUNTIFS('Billing Actual'!$E$2:$E$770,A636,'Billing Actual'!$B$2:$B$770,'Controls &amp; Sources'!$B$7)</f>
        <v>1</v>
      </c>
      <c r="P636" s="25" t="n">
        <f aca="false">SUMIFS('Billing Actual'!$M$2:$M$770,'Billing Actual'!$E$2:$E$770,A636,'Billing Actual'!$B$2:$B$770,'Controls &amp; Sources'!$B$7)</f>
        <v>415.25</v>
      </c>
      <c r="Q636" s="25" t="n">
        <f aca="false">P636-N636</f>
        <v>0</v>
      </c>
      <c r="R636" s="22" t="str">
        <f aca="false">IF(O636=0,"No August moorage transaction",IF(O636&gt;1,"Duplicate August transactions",IF(ABS(Q636)&gt;0.005,"Charge variance","OK")))</f>
        <v>OK</v>
      </c>
      <c r="S636" s="22" t="str">
        <f aca="false">IF(R636="OK","","Billing completeness/reconciliation")</f>
        <v/>
      </c>
    </row>
    <row r="637" customFormat="false" ht="15" hidden="false" customHeight="false" outlineLevel="0" collapsed="false">
      <c r="A637" s="22" t="s">
        <v>7949</v>
      </c>
      <c r="B637" s="22" t="s">
        <v>215</v>
      </c>
      <c r="C637" s="22" t="s">
        <v>7694</v>
      </c>
      <c r="D637" s="22" t="n">
        <v>40</v>
      </c>
      <c r="E637" s="22" t="s">
        <v>7696</v>
      </c>
      <c r="F637" s="22" t="s">
        <v>6577</v>
      </c>
      <c r="G637" s="22" t="s">
        <v>2314</v>
      </c>
      <c r="H637" s="22" t="s">
        <v>2315</v>
      </c>
      <c r="I637" s="22" t="s">
        <v>1408</v>
      </c>
      <c r="J637" s="22" t="n">
        <v>30.1</v>
      </c>
      <c r="K637" s="22" t="n">
        <f aca="false">ROUNDUP(J637,0)</f>
        <v>31</v>
      </c>
      <c r="L637" s="22" t="n">
        <f aca="false">MAX(D637,K637)</f>
        <v>40</v>
      </c>
      <c r="M637" s="25" t="n">
        <f aca="false">IF(E637="COVERED",'Controls &amp; Sources'!$B$5,'Controls &amp; Sources'!$B$6)</f>
        <v>7.55</v>
      </c>
      <c r="N637" s="25" t="n">
        <f aca="false">L637*M637</f>
        <v>302</v>
      </c>
      <c r="O637" s="22" t="n">
        <f aca="false">COUNTIFS('Billing Actual'!$E$2:$E$770,A637,'Billing Actual'!$B$2:$B$770,'Controls &amp; Sources'!$B$7)</f>
        <v>1</v>
      </c>
      <c r="P637" s="25" t="n">
        <f aca="false">SUMIFS('Billing Actual'!$M$2:$M$770,'Billing Actual'!$E$2:$E$770,A637,'Billing Actual'!$B$2:$B$770,'Controls &amp; Sources'!$B$7)</f>
        <v>302</v>
      </c>
      <c r="Q637" s="25" t="n">
        <f aca="false">P637-N637</f>
        <v>0</v>
      </c>
      <c r="R637" s="22" t="str">
        <f aca="false">IF(O637=0,"No August moorage transaction",IF(O637&gt;1,"Duplicate August transactions",IF(ABS(Q637)&gt;0.005,"Charge variance","OK")))</f>
        <v>OK</v>
      </c>
      <c r="S637" s="22" t="str">
        <f aca="false">IF(R637="OK","","Billing completeness/reconciliation")</f>
        <v/>
      </c>
    </row>
    <row r="638" customFormat="false" ht="15" hidden="false" customHeight="false" outlineLevel="0" collapsed="false">
      <c r="A638" s="22" t="s">
        <v>7950</v>
      </c>
      <c r="B638" s="22" t="s">
        <v>215</v>
      </c>
      <c r="C638" s="22" t="s">
        <v>7694</v>
      </c>
      <c r="D638" s="22" t="n">
        <v>50</v>
      </c>
      <c r="E638" s="22" t="s">
        <v>7696</v>
      </c>
      <c r="F638" s="22" t="s">
        <v>6577</v>
      </c>
      <c r="G638" s="22" t="s">
        <v>5473</v>
      </c>
      <c r="H638" s="22" t="s">
        <v>5474</v>
      </c>
      <c r="I638" s="22" t="s">
        <v>1974</v>
      </c>
      <c r="J638" s="22" t="n">
        <v>41.7</v>
      </c>
      <c r="K638" s="22" t="n">
        <f aca="false">ROUNDUP(J638,0)</f>
        <v>42</v>
      </c>
      <c r="L638" s="22" t="n">
        <f aca="false">MAX(D638,K638)</f>
        <v>50</v>
      </c>
      <c r="M638" s="25" t="n">
        <f aca="false">IF(E638="COVERED",'Controls &amp; Sources'!$B$5,'Controls &amp; Sources'!$B$6)</f>
        <v>7.55</v>
      </c>
      <c r="N638" s="25" t="n">
        <f aca="false">L638*M638</f>
        <v>377.5</v>
      </c>
      <c r="O638" s="22" t="n">
        <f aca="false">COUNTIFS('Billing Actual'!$E$2:$E$770,A638,'Billing Actual'!$B$2:$B$770,'Controls &amp; Sources'!$B$7)</f>
        <v>1</v>
      </c>
      <c r="P638" s="25" t="n">
        <f aca="false">SUMIFS('Billing Actual'!$M$2:$M$770,'Billing Actual'!$E$2:$E$770,A638,'Billing Actual'!$B$2:$B$770,'Controls &amp; Sources'!$B$7)</f>
        <v>377.5</v>
      </c>
      <c r="Q638" s="25" t="n">
        <f aca="false">P638-N638</f>
        <v>0</v>
      </c>
      <c r="R638" s="22" t="str">
        <f aca="false">IF(O638=0,"No August moorage transaction",IF(O638&gt;1,"Duplicate August transactions",IF(ABS(Q638)&gt;0.005,"Charge variance","OK")))</f>
        <v>OK</v>
      </c>
      <c r="S638" s="22" t="str">
        <f aca="false">IF(R638="OK","","Billing completeness/reconciliation")</f>
        <v/>
      </c>
    </row>
    <row r="639" customFormat="false" ht="15" hidden="false" customHeight="false" outlineLevel="0" collapsed="false">
      <c r="A639" s="22" t="s">
        <v>7951</v>
      </c>
      <c r="B639" s="22" t="s">
        <v>215</v>
      </c>
      <c r="C639" s="22" t="s">
        <v>7694</v>
      </c>
      <c r="D639" s="22" t="n">
        <v>80</v>
      </c>
      <c r="E639" s="22" t="s">
        <v>7696</v>
      </c>
      <c r="F639" s="22" t="s">
        <v>6577</v>
      </c>
      <c r="G639" s="22" t="s">
        <v>3597</v>
      </c>
      <c r="H639" s="22" t="s">
        <v>3598</v>
      </c>
      <c r="I639" s="22" t="s">
        <v>3599</v>
      </c>
      <c r="J639" s="22" t="n">
        <v>39.4</v>
      </c>
      <c r="K639" s="22" t="n">
        <f aca="false">ROUNDUP(J639,0)</f>
        <v>40</v>
      </c>
      <c r="L639" s="22" t="n">
        <f aca="false">MAX(D639,K639)</f>
        <v>80</v>
      </c>
      <c r="M639" s="25" t="n">
        <f aca="false">IF(E639="COVERED",'Controls &amp; Sources'!$B$5,'Controls &amp; Sources'!$B$6)</f>
        <v>7.55</v>
      </c>
      <c r="N639" s="25" t="n">
        <f aca="false">L639*M639</f>
        <v>604</v>
      </c>
      <c r="O639" s="22" t="n">
        <f aca="false">COUNTIFS('Billing Actual'!$E$2:$E$770,A639,'Billing Actual'!$B$2:$B$770,'Controls &amp; Sources'!$B$7)</f>
        <v>1</v>
      </c>
      <c r="P639" s="25" t="n">
        <f aca="false">SUMIFS('Billing Actual'!$M$2:$M$770,'Billing Actual'!$E$2:$E$770,A639,'Billing Actual'!$B$2:$B$770,'Controls &amp; Sources'!$B$7)</f>
        <v>604</v>
      </c>
      <c r="Q639" s="25" t="n">
        <f aca="false">P639-N639</f>
        <v>0</v>
      </c>
      <c r="R639" s="22" t="str">
        <f aca="false">IF(O639=0,"No August moorage transaction",IF(O639&gt;1,"Duplicate August transactions",IF(ABS(Q639)&gt;0.005,"Charge variance","OK")))</f>
        <v>OK</v>
      </c>
      <c r="S639" s="22" t="str">
        <f aca="false">IF(R639="OK","","Billing completeness/reconciliation")</f>
        <v/>
      </c>
    </row>
    <row r="640" customFormat="false" ht="15" hidden="false" customHeight="false" outlineLevel="0" collapsed="false">
      <c r="A640" s="22" t="s">
        <v>7953</v>
      </c>
      <c r="B640" s="22" t="s">
        <v>215</v>
      </c>
      <c r="C640" s="22" t="s">
        <v>7694</v>
      </c>
      <c r="D640" s="22" t="n">
        <v>24</v>
      </c>
      <c r="E640" s="22" t="s">
        <v>7696</v>
      </c>
      <c r="F640" s="22" t="s">
        <v>6577</v>
      </c>
      <c r="G640" s="22" t="s">
        <v>5607</v>
      </c>
      <c r="H640" s="22" t="s">
        <v>5608</v>
      </c>
      <c r="I640" s="22" t="s">
        <v>1668</v>
      </c>
      <c r="J640" s="22" t="n">
        <v>35.5</v>
      </c>
      <c r="K640" s="22" t="n">
        <f aca="false">ROUNDUP(J640,0)</f>
        <v>36</v>
      </c>
      <c r="L640" s="22" t="n">
        <f aca="false">MAX(D640,K640)</f>
        <v>36</v>
      </c>
      <c r="M640" s="25" t="n">
        <f aca="false">IF(E640="COVERED",'Controls &amp; Sources'!$B$5,'Controls &amp; Sources'!$B$6)</f>
        <v>7.55</v>
      </c>
      <c r="N640" s="25" t="n">
        <f aca="false">L640*M640</f>
        <v>271.8</v>
      </c>
      <c r="O640" s="22" t="n">
        <f aca="false">COUNTIFS('Billing Actual'!$E$2:$E$770,A640,'Billing Actual'!$B$2:$B$770,'Controls &amp; Sources'!$B$7)</f>
        <v>1</v>
      </c>
      <c r="P640" s="25" t="n">
        <f aca="false">SUMIFS('Billing Actual'!$M$2:$M$770,'Billing Actual'!$E$2:$E$770,A640,'Billing Actual'!$B$2:$B$770,'Controls &amp; Sources'!$B$7)</f>
        <v>271.8</v>
      </c>
      <c r="Q640" s="25" t="n">
        <f aca="false">P640-N640</f>
        <v>0</v>
      </c>
      <c r="R640" s="22" t="str">
        <f aca="false">IF(O640=0,"No August moorage transaction",IF(O640&gt;1,"Duplicate August transactions",IF(ABS(Q640)&gt;0.005,"Charge variance","OK")))</f>
        <v>OK</v>
      </c>
      <c r="S640" s="22" t="str">
        <f aca="false">IF(R640="OK","","Billing completeness/reconciliation")</f>
        <v/>
      </c>
    </row>
    <row r="641" customFormat="false" ht="15" hidden="false" customHeight="false" outlineLevel="0" collapsed="false">
      <c r="A641" s="22" t="s">
        <v>7955</v>
      </c>
      <c r="B641" s="22" t="s">
        <v>215</v>
      </c>
      <c r="C641" s="22" t="s">
        <v>7694</v>
      </c>
      <c r="D641" s="22" t="n">
        <v>32</v>
      </c>
      <c r="E641" s="22" t="s">
        <v>7696</v>
      </c>
      <c r="F641" s="22" t="s">
        <v>6577</v>
      </c>
      <c r="G641" s="22" t="s">
        <v>6157</v>
      </c>
      <c r="H641" s="22" t="s">
        <v>6158</v>
      </c>
      <c r="I641" s="22" t="s">
        <v>395</v>
      </c>
      <c r="J641" s="22" t="n">
        <v>54.1</v>
      </c>
      <c r="K641" s="22" t="n">
        <f aca="false">ROUNDUP(J641,0)</f>
        <v>55</v>
      </c>
      <c r="L641" s="22" t="n">
        <f aca="false">MAX(D641,K641)</f>
        <v>55</v>
      </c>
      <c r="M641" s="25" t="n">
        <f aca="false">IF(E641="COVERED",'Controls &amp; Sources'!$B$5,'Controls &amp; Sources'!$B$6)</f>
        <v>7.55</v>
      </c>
      <c r="N641" s="25" t="n">
        <f aca="false">L641*M641</f>
        <v>415.25</v>
      </c>
      <c r="O641" s="22" t="n">
        <f aca="false">COUNTIFS('Billing Actual'!$E$2:$E$770,A641,'Billing Actual'!$B$2:$B$770,'Controls &amp; Sources'!$B$7)</f>
        <v>1</v>
      </c>
      <c r="P641" s="25" t="n">
        <f aca="false">SUMIFS('Billing Actual'!$M$2:$M$770,'Billing Actual'!$E$2:$E$770,A641,'Billing Actual'!$B$2:$B$770,'Controls &amp; Sources'!$B$7)</f>
        <v>415.25</v>
      </c>
      <c r="Q641" s="25" t="n">
        <f aca="false">P641-N641</f>
        <v>0</v>
      </c>
      <c r="R641" s="22" t="str">
        <f aca="false">IF(O641=0,"No August moorage transaction",IF(O641&gt;1,"Duplicate August transactions",IF(ABS(Q641)&gt;0.005,"Charge variance","OK")))</f>
        <v>OK</v>
      </c>
      <c r="S641" s="22" t="str">
        <f aca="false">IF(R641="OK","","Billing completeness/reconciliation")</f>
        <v/>
      </c>
    </row>
    <row r="642" customFormat="false" ht="15" hidden="false" customHeight="false" outlineLevel="0" collapsed="false">
      <c r="A642" s="22" t="s">
        <v>7957</v>
      </c>
      <c r="B642" s="22" t="s">
        <v>215</v>
      </c>
      <c r="C642" s="22" t="s">
        <v>7694</v>
      </c>
      <c r="D642" s="22" t="n">
        <v>24</v>
      </c>
      <c r="E642" s="22" t="s">
        <v>7696</v>
      </c>
      <c r="F642" s="22" t="s">
        <v>6577</v>
      </c>
      <c r="G642" s="22" t="s">
        <v>3886</v>
      </c>
      <c r="H642" s="22" t="s">
        <v>3887</v>
      </c>
      <c r="I642" s="22" t="s">
        <v>436</v>
      </c>
      <c r="J642" s="22" t="n">
        <v>35</v>
      </c>
      <c r="K642" s="22" t="n">
        <f aca="false">ROUNDUP(J642,0)</f>
        <v>35</v>
      </c>
      <c r="L642" s="22" t="n">
        <f aca="false">MAX(D642,K642)</f>
        <v>35</v>
      </c>
      <c r="M642" s="25" t="n">
        <f aca="false">IF(E642="COVERED",'Controls &amp; Sources'!$B$5,'Controls &amp; Sources'!$B$6)</f>
        <v>7.55</v>
      </c>
      <c r="N642" s="25" t="n">
        <f aca="false">L642*M642</f>
        <v>264.25</v>
      </c>
      <c r="O642" s="22" t="n">
        <f aca="false">COUNTIFS('Billing Actual'!$E$2:$E$770,A642,'Billing Actual'!$B$2:$B$770,'Controls &amp; Sources'!$B$7)</f>
        <v>1</v>
      </c>
      <c r="P642" s="25" t="n">
        <f aca="false">SUMIFS('Billing Actual'!$M$2:$M$770,'Billing Actual'!$E$2:$E$770,A642,'Billing Actual'!$B$2:$B$770,'Controls &amp; Sources'!$B$7)</f>
        <v>264.25</v>
      </c>
      <c r="Q642" s="25" t="n">
        <f aca="false">P642-N642</f>
        <v>0</v>
      </c>
      <c r="R642" s="22" t="str">
        <f aca="false">IF(O642=0,"No August moorage transaction",IF(O642&gt;1,"Duplicate August transactions",IF(ABS(Q642)&gt;0.005,"Charge variance","OK")))</f>
        <v>OK</v>
      </c>
      <c r="S642" s="22" t="str">
        <f aca="false">IF(R642="OK","","Billing completeness/reconciliation")</f>
        <v/>
      </c>
    </row>
    <row r="643" customFormat="false" ht="15" hidden="false" customHeight="false" outlineLevel="0" collapsed="false">
      <c r="A643" s="22" t="s">
        <v>7961</v>
      </c>
      <c r="B643" s="22" t="s">
        <v>215</v>
      </c>
      <c r="C643" s="22" t="s">
        <v>7694</v>
      </c>
      <c r="D643" s="22" t="n">
        <v>40</v>
      </c>
      <c r="E643" s="22" t="s">
        <v>7696</v>
      </c>
      <c r="F643" s="22" t="s">
        <v>6577</v>
      </c>
      <c r="G643" s="22" t="s">
        <v>3120</v>
      </c>
      <c r="H643" s="22" t="s">
        <v>3121</v>
      </c>
      <c r="I643" s="22" t="s">
        <v>341</v>
      </c>
      <c r="J643" s="22" t="n">
        <v>28.5</v>
      </c>
      <c r="K643" s="22" t="n">
        <f aca="false">ROUNDUP(J643,0)</f>
        <v>29</v>
      </c>
      <c r="L643" s="22" t="n">
        <f aca="false">MAX(D643,K643)</f>
        <v>40</v>
      </c>
      <c r="M643" s="25" t="n">
        <f aca="false">IF(E643="COVERED",'Controls &amp; Sources'!$B$5,'Controls &amp; Sources'!$B$6)</f>
        <v>7.55</v>
      </c>
      <c r="N643" s="25" t="n">
        <f aca="false">L643*M643</f>
        <v>302</v>
      </c>
      <c r="O643" s="22" t="n">
        <f aca="false">COUNTIFS('Billing Actual'!$E$2:$E$770,A643,'Billing Actual'!$B$2:$B$770,'Controls &amp; Sources'!$B$7)</f>
        <v>1</v>
      </c>
      <c r="P643" s="25" t="n">
        <f aca="false">SUMIFS('Billing Actual'!$M$2:$M$770,'Billing Actual'!$E$2:$E$770,A643,'Billing Actual'!$B$2:$B$770,'Controls &amp; Sources'!$B$7)</f>
        <v>302</v>
      </c>
      <c r="Q643" s="25" t="n">
        <f aca="false">P643-N643</f>
        <v>0</v>
      </c>
      <c r="R643" s="22" t="str">
        <f aca="false">IF(O643=0,"No August moorage transaction",IF(O643&gt;1,"Duplicate August transactions",IF(ABS(Q643)&gt;0.005,"Charge variance","OK")))</f>
        <v>OK</v>
      </c>
      <c r="S643" s="22" t="str">
        <f aca="false">IF(R643="OK","","Billing completeness/reconciliation")</f>
        <v/>
      </c>
    </row>
    <row r="644" customFormat="false" ht="15" hidden="false" customHeight="false" outlineLevel="0" collapsed="false">
      <c r="A644" s="22" t="s">
        <v>7963</v>
      </c>
      <c r="B644" s="22" t="s">
        <v>215</v>
      </c>
      <c r="C644" s="22" t="s">
        <v>7694</v>
      </c>
      <c r="D644" s="22" t="n">
        <v>60</v>
      </c>
      <c r="E644" s="22" t="s">
        <v>7696</v>
      </c>
      <c r="F644" s="22" t="s">
        <v>6577</v>
      </c>
      <c r="G644" s="22" t="s">
        <v>384</v>
      </c>
      <c r="H644" s="22" t="s">
        <v>385</v>
      </c>
      <c r="I644" s="22" t="s">
        <v>386</v>
      </c>
      <c r="J644" s="22" t="n">
        <v>49.9</v>
      </c>
      <c r="K644" s="22" t="n">
        <f aca="false">ROUNDUP(J644,0)</f>
        <v>50</v>
      </c>
      <c r="L644" s="22" t="n">
        <f aca="false">MAX(D644,K644)</f>
        <v>60</v>
      </c>
      <c r="M644" s="25" t="n">
        <f aca="false">IF(E644="COVERED",'Controls &amp; Sources'!$B$5,'Controls &amp; Sources'!$B$6)</f>
        <v>7.55</v>
      </c>
      <c r="N644" s="25" t="n">
        <f aca="false">L644*M644</f>
        <v>453</v>
      </c>
      <c r="O644" s="22" t="n">
        <f aca="false">COUNTIFS('Billing Actual'!$E$2:$E$770,A644,'Billing Actual'!$B$2:$B$770,'Controls &amp; Sources'!$B$7)</f>
        <v>1</v>
      </c>
      <c r="P644" s="25" t="n">
        <f aca="false">SUMIFS('Billing Actual'!$M$2:$M$770,'Billing Actual'!$E$2:$E$770,A644,'Billing Actual'!$B$2:$B$770,'Controls &amp; Sources'!$B$7)</f>
        <v>453</v>
      </c>
      <c r="Q644" s="25" t="n">
        <f aca="false">P644-N644</f>
        <v>0</v>
      </c>
      <c r="R644" s="22" t="str">
        <f aca="false">IF(O644=0,"No August moorage transaction",IF(O644&gt;1,"Duplicate August transactions",IF(ABS(Q644)&gt;0.005,"Charge variance","OK")))</f>
        <v>OK</v>
      </c>
      <c r="S644" s="22" t="str">
        <f aca="false">IF(R644="OK","","Billing completeness/reconciliation")</f>
        <v/>
      </c>
    </row>
    <row r="645" customFormat="false" ht="15" hidden="false" customHeight="false" outlineLevel="0" collapsed="false">
      <c r="A645" s="22" t="s">
        <v>7964</v>
      </c>
      <c r="B645" s="22" t="s">
        <v>215</v>
      </c>
      <c r="C645" s="22" t="s">
        <v>7694</v>
      </c>
      <c r="D645" s="22" t="n">
        <v>32</v>
      </c>
      <c r="E645" s="22" t="s">
        <v>7696</v>
      </c>
      <c r="F645" s="22" t="s">
        <v>6577</v>
      </c>
      <c r="G645" s="22" t="s">
        <v>5141</v>
      </c>
      <c r="H645" s="22" t="s">
        <v>5142</v>
      </c>
      <c r="I645" s="22" t="s">
        <v>2147</v>
      </c>
      <c r="J645" s="22" t="n">
        <v>54.2</v>
      </c>
      <c r="K645" s="22" t="n">
        <f aca="false">ROUNDUP(J645,0)</f>
        <v>55</v>
      </c>
      <c r="L645" s="22" t="n">
        <f aca="false">MAX(D645,K645)</f>
        <v>55</v>
      </c>
      <c r="M645" s="25" t="n">
        <f aca="false">IF(E645="COVERED",'Controls &amp; Sources'!$B$5,'Controls &amp; Sources'!$B$6)</f>
        <v>7.55</v>
      </c>
      <c r="N645" s="25" t="n">
        <f aca="false">L645*M645</f>
        <v>415.25</v>
      </c>
      <c r="O645" s="22" t="n">
        <f aca="false">COUNTIFS('Billing Actual'!$E$2:$E$770,A645,'Billing Actual'!$B$2:$B$770,'Controls &amp; Sources'!$B$7)</f>
        <v>1</v>
      </c>
      <c r="P645" s="25" t="n">
        <f aca="false">SUMIFS('Billing Actual'!$M$2:$M$770,'Billing Actual'!$E$2:$E$770,A645,'Billing Actual'!$B$2:$B$770,'Controls &amp; Sources'!$B$7)</f>
        <v>415.25</v>
      </c>
      <c r="Q645" s="25" t="n">
        <f aca="false">P645-N645</f>
        <v>0</v>
      </c>
      <c r="R645" s="22" t="str">
        <f aca="false">IF(O645=0,"No August moorage transaction",IF(O645&gt;1,"Duplicate August transactions",IF(ABS(Q645)&gt;0.005,"Charge variance","OK")))</f>
        <v>OK</v>
      </c>
      <c r="S645" s="22" t="str">
        <f aca="false">IF(R645="OK","","Billing completeness/reconciliation")</f>
        <v/>
      </c>
    </row>
    <row r="646" customFormat="false" ht="15" hidden="false" customHeight="false" outlineLevel="0" collapsed="false">
      <c r="A646" s="22" t="s">
        <v>7967</v>
      </c>
      <c r="B646" s="22" t="s">
        <v>215</v>
      </c>
      <c r="C646" s="22" t="s">
        <v>7694</v>
      </c>
      <c r="D646" s="22" t="n">
        <v>28</v>
      </c>
      <c r="E646" s="22" t="s">
        <v>7696</v>
      </c>
      <c r="F646" s="22" t="s">
        <v>6577</v>
      </c>
      <c r="G646" s="22" t="s">
        <v>3874</v>
      </c>
      <c r="H646" s="22" t="s">
        <v>3875</v>
      </c>
      <c r="I646" s="22" t="s">
        <v>2034</v>
      </c>
      <c r="J646" s="22" t="n">
        <v>37.9</v>
      </c>
      <c r="K646" s="22" t="n">
        <f aca="false">ROUNDUP(J646,0)</f>
        <v>38</v>
      </c>
      <c r="L646" s="22" t="n">
        <f aca="false">MAX(D646,K646)</f>
        <v>38</v>
      </c>
      <c r="M646" s="25" t="n">
        <f aca="false">IF(E646="COVERED",'Controls &amp; Sources'!$B$5,'Controls &amp; Sources'!$B$6)</f>
        <v>7.55</v>
      </c>
      <c r="N646" s="25" t="n">
        <f aca="false">L646*M646</f>
        <v>286.9</v>
      </c>
      <c r="O646" s="22" t="n">
        <f aca="false">COUNTIFS('Billing Actual'!$E$2:$E$770,A646,'Billing Actual'!$B$2:$B$770,'Controls &amp; Sources'!$B$7)</f>
        <v>1</v>
      </c>
      <c r="P646" s="25" t="n">
        <f aca="false">SUMIFS('Billing Actual'!$M$2:$M$770,'Billing Actual'!$E$2:$E$770,A646,'Billing Actual'!$B$2:$B$770,'Controls &amp; Sources'!$B$7)</f>
        <v>286.9</v>
      </c>
      <c r="Q646" s="25" t="n">
        <f aca="false">P646-N646</f>
        <v>0</v>
      </c>
      <c r="R646" s="22" t="str">
        <f aca="false">IF(O646=0,"No August moorage transaction",IF(O646&gt;1,"Duplicate August transactions",IF(ABS(Q646)&gt;0.005,"Charge variance","OK")))</f>
        <v>OK</v>
      </c>
      <c r="S646" s="22" t="str">
        <f aca="false">IF(R646="OK","","Billing completeness/reconciliation")</f>
        <v/>
      </c>
    </row>
    <row r="647" customFormat="false" ht="15" hidden="false" customHeight="false" outlineLevel="0" collapsed="false">
      <c r="A647" s="22" t="s">
        <v>7968</v>
      </c>
      <c r="B647" s="22" t="s">
        <v>215</v>
      </c>
      <c r="C647" s="22" t="s">
        <v>7694</v>
      </c>
      <c r="D647" s="22" t="n">
        <v>80</v>
      </c>
      <c r="E647" s="22" t="s">
        <v>7696</v>
      </c>
      <c r="F647" s="22" t="s">
        <v>6577</v>
      </c>
      <c r="G647" s="22" t="s">
        <v>6121</v>
      </c>
      <c r="H647" s="22" t="s">
        <v>3308</v>
      </c>
      <c r="I647" s="22" t="s">
        <v>349</v>
      </c>
      <c r="J647" s="22" t="n">
        <v>46.8</v>
      </c>
      <c r="K647" s="22" t="n">
        <f aca="false">ROUNDUP(J647,0)</f>
        <v>47</v>
      </c>
      <c r="L647" s="22" t="n">
        <f aca="false">MAX(D647,K647)</f>
        <v>80</v>
      </c>
      <c r="M647" s="25" t="n">
        <f aca="false">IF(E647="COVERED",'Controls &amp; Sources'!$B$5,'Controls &amp; Sources'!$B$6)</f>
        <v>7.55</v>
      </c>
      <c r="N647" s="25" t="n">
        <f aca="false">L647*M647</f>
        <v>604</v>
      </c>
      <c r="O647" s="22" t="n">
        <f aca="false">COUNTIFS('Billing Actual'!$E$2:$E$770,A647,'Billing Actual'!$B$2:$B$770,'Controls &amp; Sources'!$B$7)</f>
        <v>1</v>
      </c>
      <c r="P647" s="25" t="n">
        <f aca="false">SUMIFS('Billing Actual'!$M$2:$M$770,'Billing Actual'!$E$2:$E$770,A647,'Billing Actual'!$B$2:$B$770,'Controls &amp; Sources'!$B$7)</f>
        <v>604</v>
      </c>
      <c r="Q647" s="25" t="n">
        <f aca="false">P647-N647</f>
        <v>0</v>
      </c>
      <c r="R647" s="22" t="str">
        <f aca="false">IF(O647=0,"No August moorage transaction",IF(O647&gt;1,"Duplicate August transactions",IF(ABS(Q647)&gt;0.005,"Charge variance","OK")))</f>
        <v>OK</v>
      </c>
      <c r="S647" s="22" t="str">
        <f aca="false">IF(R647="OK","","Billing completeness/reconciliation")</f>
        <v/>
      </c>
    </row>
    <row r="648" customFormat="false" ht="15" hidden="false" customHeight="false" outlineLevel="0" collapsed="false">
      <c r="A648" s="22" t="s">
        <v>7970</v>
      </c>
      <c r="B648" s="22" t="s">
        <v>215</v>
      </c>
      <c r="C648" s="22" t="s">
        <v>7694</v>
      </c>
      <c r="D648" s="22" t="n">
        <v>24</v>
      </c>
      <c r="E648" s="22" t="s">
        <v>7696</v>
      </c>
      <c r="F648" s="22" t="s">
        <v>6577</v>
      </c>
      <c r="G648" s="22" t="s">
        <v>2399</v>
      </c>
      <c r="H648" s="22" t="s">
        <v>2400</v>
      </c>
      <c r="I648" s="22" t="s">
        <v>284</v>
      </c>
      <c r="J648" s="22" t="n">
        <v>26.2</v>
      </c>
      <c r="K648" s="22" t="n">
        <f aca="false">ROUNDUP(J648,0)</f>
        <v>27</v>
      </c>
      <c r="L648" s="22" t="n">
        <f aca="false">MAX(D648,K648)</f>
        <v>27</v>
      </c>
      <c r="M648" s="25" t="n">
        <f aca="false">IF(E648="COVERED",'Controls &amp; Sources'!$B$5,'Controls &amp; Sources'!$B$6)</f>
        <v>7.55</v>
      </c>
      <c r="N648" s="25" t="n">
        <f aca="false">L648*M648</f>
        <v>203.85</v>
      </c>
      <c r="O648" s="22" t="n">
        <f aca="false">COUNTIFS('Billing Actual'!$E$2:$E$770,A648,'Billing Actual'!$B$2:$B$770,'Controls &amp; Sources'!$B$7)</f>
        <v>1</v>
      </c>
      <c r="P648" s="25" t="n">
        <f aca="false">SUMIFS('Billing Actual'!$M$2:$M$770,'Billing Actual'!$E$2:$E$770,A648,'Billing Actual'!$B$2:$B$770,'Controls &amp; Sources'!$B$7)</f>
        <v>203.85</v>
      </c>
      <c r="Q648" s="25" t="n">
        <f aca="false">P648-N648</f>
        <v>0</v>
      </c>
      <c r="R648" s="22" t="str">
        <f aca="false">IF(O648=0,"No August moorage transaction",IF(O648&gt;1,"Duplicate August transactions",IF(ABS(Q648)&gt;0.005,"Charge variance","OK")))</f>
        <v>OK</v>
      </c>
      <c r="S648" s="22" t="str">
        <f aca="false">IF(R648="OK","","Billing completeness/reconciliation")</f>
        <v/>
      </c>
    </row>
    <row r="649" customFormat="false" ht="15" hidden="false" customHeight="false" outlineLevel="0" collapsed="false">
      <c r="A649" s="22" t="s">
        <v>7971</v>
      </c>
      <c r="B649" s="22" t="s">
        <v>215</v>
      </c>
      <c r="C649" s="22" t="s">
        <v>7694</v>
      </c>
      <c r="D649" s="22" t="n">
        <v>45</v>
      </c>
      <c r="E649" s="22" t="s">
        <v>7696</v>
      </c>
      <c r="F649" s="22" t="s">
        <v>6577</v>
      </c>
      <c r="G649" s="22" t="s">
        <v>5562</v>
      </c>
      <c r="H649" s="22" t="s">
        <v>5563</v>
      </c>
      <c r="I649" s="22" t="s">
        <v>191</v>
      </c>
      <c r="J649" s="22" t="n">
        <v>38.3</v>
      </c>
      <c r="K649" s="22" t="n">
        <f aca="false">ROUNDUP(J649,0)</f>
        <v>39</v>
      </c>
      <c r="L649" s="22" t="n">
        <f aca="false">MAX(D649,K649)</f>
        <v>45</v>
      </c>
      <c r="M649" s="25" t="n">
        <f aca="false">IF(E649="COVERED",'Controls &amp; Sources'!$B$5,'Controls &amp; Sources'!$B$6)</f>
        <v>7.55</v>
      </c>
      <c r="N649" s="25" t="n">
        <f aca="false">L649*M649</f>
        <v>339.75</v>
      </c>
      <c r="O649" s="22" t="n">
        <f aca="false">COUNTIFS('Billing Actual'!$E$2:$E$770,A649,'Billing Actual'!$B$2:$B$770,'Controls &amp; Sources'!$B$7)</f>
        <v>1</v>
      </c>
      <c r="P649" s="25" t="n">
        <f aca="false">SUMIFS('Billing Actual'!$M$2:$M$770,'Billing Actual'!$E$2:$E$770,A649,'Billing Actual'!$B$2:$B$770,'Controls &amp; Sources'!$B$7)</f>
        <v>339.75</v>
      </c>
      <c r="Q649" s="25" t="n">
        <f aca="false">P649-N649</f>
        <v>0</v>
      </c>
      <c r="R649" s="22" t="str">
        <f aca="false">IF(O649=0,"No August moorage transaction",IF(O649&gt;1,"Duplicate August transactions",IF(ABS(Q649)&gt;0.005,"Charge variance","OK")))</f>
        <v>OK</v>
      </c>
      <c r="S649" s="22" t="str">
        <f aca="false">IF(R649="OK","","Billing completeness/reconciliation")</f>
        <v/>
      </c>
    </row>
    <row r="650" customFormat="false" ht="15" hidden="false" customHeight="false" outlineLevel="0" collapsed="false">
      <c r="A650" s="22" t="s">
        <v>7973</v>
      </c>
      <c r="B650" s="22" t="s">
        <v>215</v>
      </c>
      <c r="C650" s="22" t="s">
        <v>7694</v>
      </c>
      <c r="D650" s="22" t="n">
        <v>45</v>
      </c>
      <c r="E650" s="22" t="s">
        <v>7696</v>
      </c>
      <c r="F650" s="22" t="s">
        <v>6577</v>
      </c>
      <c r="G650" s="22" t="s">
        <v>1243</v>
      </c>
      <c r="H650" s="22" t="s">
        <v>1244</v>
      </c>
      <c r="I650" s="22" t="s">
        <v>1245</v>
      </c>
      <c r="J650" s="22" t="n">
        <v>47</v>
      </c>
      <c r="K650" s="22" t="n">
        <f aca="false">ROUNDUP(J650,0)</f>
        <v>47</v>
      </c>
      <c r="L650" s="22" t="n">
        <f aca="false">MAX(D650,K650)</f>
        <v>47</v>
      </c>
      <c r="M650" s="25" t="n">
        <f aca="false">IF(E650="COVERED",'Controls &amp; Sources'!$B$5,'Controls &amp; Sources'!$B$6)</f>
        <v>7.55</v>
      </c>
      <c r="N650" s="25" t="n">
        <f aca="false">L650*M650</f>
        <v>354.85</v>
      </c>
      <c r="O650" s="22" t="n">
        <f aca="false">COUNTIFS('Billing Actual'!$E$2:$E$770,A650,'Billing Actual'!$B$2:$B$770,'Controls &amp; Sources'!$B$7)</f>
        <v>1</v>
      </c>
      <c r="P650" s="25" t="n">
        <f aca="false">SUMIFS('Billing Actual'!$M$2:$M$770,'Billing Actual'!$E$2:$E$770,A650,'Billing Actual'!$B$2:$B$770,'Controls &amp; Sources'!$B$7)</f>
        <v>354.85</v>
      </c>
      <c r="Q650" s="25" t="n">
        <f aca="false">P650-N650</f>
        <v>0</v>
      </c>
      <c r="R650" s="22" t="str">
        <f aca="false">IF(O650=0,"No August moorage transaction",IF(O650&gt;1,"Duplicate August transactions",IF(ABS(Q650)&gt;0.005,"Charge variance","OK")))</f>
        <v>OK</v>
      </c>
      <c r="S650" s="22" t="str">
        <f aca="false">IF(R650="OK","","Billing completeness/reconciliation")</f>
        <v/>
      </c>
    </row>
    <row r="651" customFormat="false" ht="15" hidden="false" customHeight="false" outlineLevel="0" collapsed="false">
      <c r="A651" s="22" t="s">
        <v>7975</v>
      </c>
      <c r="B651" s="22" t="s">
        <v>215</v>
      </c>
      <c r="C651" s="22" t="s">
        <v>7694</v>
      </c>
      <c r="D651" s="22" t="n">
        <v>80</v>
      </c>
      <c r="E651" s="22" t="s">
        <v>7696</v>
      </c>
      <c r="F651" s="22" t="s">
        <v>6577</v>
      </c>
      <c r="G651" s="22" t="s">
        <v>267</v>
      </c>
      <c r="H651" s="22" t="s">
        <v>268</v>
      </c>
      <c r="I651" s="22" t="s">
        <v>269</v>
      </c>
      <c r="J651" s="22" t="n">
        <v>58.9</v>
      </c>
      <c r="K651" s="22" t="n">
        <f aca="false">ROUNDUP(J651,0)</f>
        <v>59</v>
      </c>
      <c r="L651" s="22" t="n">
        <f aca="false">MAX(D651,K651)</f>
        <v>80</v>
      </c>
      <c r="M651" s="25" t="n">
        <f aca="false">IF(E651="COVERED",'Controls &amp; Sources'!$B$5,'Controls &amp; Sources'!$B$6)</f>
        <v>7.55</v>
      </c>
      <c r="N651" s="25" t="n">
        <f aca="false">L651*M651</f>
        <v>604</v>
      </c>
      <c r="O651" s="22" t="n">
        <f aca="false">COUNTIFS('Billing Actual'!$E$2:$E$770,A651,'Billing Actual'!$B$2:$B$770,'Controls &amp; Sources'!$B$7)</f>
        <v>1</v>
      </c>
      <c r="P651" s="25" t="n">
        <f aca="false">SUMIFS('Billing Actual'!$M$2:$M$770,'Billing Actual'!$E$2:$E$770,A651,'Billing Actual'!$B$2:$B$770,'Controls &amp; Sources'!$B$7)</f>
        <v>604</v>
      </c>
      <c r="Q651" s="25" t="n">
        <f aca="false">P651-N651</f>
        <v>0</v>
      </c>
      <c r="R651" s="22" t="str">
        <f aca="false">IF(O651=0,"No August moorage transaction",IF(O651&gt;1,"Duplicate August transactions",IF(ABS(Q651)&gt;0.005,"Charge variance","OK")))</f>
        <v>OK</v>
      </c>
      <c r="S651" s="22" t="str">
        <f aca="false">IF(R651="OK","","Billing completeness/reconciliation")</f>
        <v/>
      </c>
    </row>
    <row r="652" customFormat="false" ht="15" hidden="false" customHeight="false" outlineLevel="0" collapsed="false">
      <c r="A652" s="22" t="s">
        <v>7977</v>
      </c>
      <c r="B652" s="22" t="s">
        <v>215</v>
      </c>
      <c r="C652" s="22" t="s">
        <v>7694</v>
      </c>
      <c r="D652" s="22" t="n">
        <v>40</v>
      </c>
      <c r="E652" s="22" t="s">
        <v>7696</v>
      </c>
      <c r="F652" s="22" t="s">
        <v>6577</v>
      </c>
      <c r="G652" s="22" t="s">
        <v>4488</v>
      </c>
      <c r="H652" s="22" t="s">
        <v>4489</v>
      </c>
      <c r="I652" s="22" t="s">
        <v>419</v>
      </c>
      <c r="J652" s="22" t="n">
        <v>52</v>
      </c>
      <c r="K652" s="22" t="n">
        <f aca="false">ROUNDUP(J652,0)</f>
        <v>52</v>
      </c>
      <c r="L652" s="22" t="n">
        <f aca="false">MAX(D652,K652)</f>
        <v>52</v>
      </c>
      <c r="M652" s="25" t="n">
        <f aca="false">IF(E652="COVERED",'Controls &amp; Sources'!$B$5,'Controls &amp; Sources'!$B$6)</f>
        <v>7.55</v>
      </c>
      <c r="N652" s="25" t="n">
        <f aca="false">L652*M652</f>
        <v>392.6</v>
      </c>
      <c r="O652" s="22" t="n">
        <f aca="false">COUNTIFS('Billing Actual'!$E$2:$E$770,A652,'Billing Actual'!$B$2:$B$770,'Controls &amp; Sources'!$B$7)</f>
        <v>1</v>
      </c>
      <c r="P652" s="25" t="n">
        <f aca="false">SUMIFS('Billing Actual'!$M$2:$M$770,'Billing Actual'!$E$2:$E$770,A652,'Billing Actual'!$B$2:$B$770,'Controls &amp; Sources'!$B$7)</f>
        <v>392.6</v>
      </c>
      <c r="Q652" s="25" t="n">
        <f aca="false">P652-N652</f>
        <v>0</v>
      </c>
      <c r="R652" s="22" t="str">
        <f aca="false">IF(O652=0,"No August moorage transaction",IF(O652&gt;1,"Duplicate August transactions",IF(ABS(Q652)&gt;0.005,"Charge variance","OK")))</f>
        <v>OK</v>
      </c>
      <c r="S652" s="22" t="str">
        <f aca="false">IF(R652="OK","","Billing completeness/reconciliation")</f>
        <v/>
      </c>
    </row>
    <row r="653" customFormat="false" ht="15" hidden="false" customHeight="false" outlineLevel="0" collapsed="false">
      <c r="A653" s="22" t="s">
        <v>7978</v>
      </c>
      <c r="B653" s="22" t="s">
        <v>215</v>
      </c>
      <c r="C653" s="22" t="s">
        <v>7694</v>
      </c>
      <c r="D653" s="22" t="n">
        <v>40</v>
      </c>
      <c r="E653" s="22" t="s">
        <v>7696</v>
      </c>
      <c r="F653" s="22" t="s">
        <v>6577</v>
      </c>
      <c r="G653" s="22" t="s">
        <v>3665</v>
      </c>
      <c r="H653" s="22" t="s">
        <v>3666</v>
      </c>
      <c r="I653" s="22" t="s">
        <v>793</v>
      </c>
      <c r="J653" s="22" t="n">
        <v>34.8</v>
      </c>
      <c r="K653" s="22" t="n">
        <f aca="false">ROUNDUP(J653,0)</f>
        <v>35</v>
      </c>
      <c r="L653" s="22" t="n">
        <f aca="false">MAX(D653,K653)</f>
        <v>40</v>
      </c>
      <c r="M653" s="25" t="n">
        <f aca="false">IF(E653="COVERED",'Controls &amp; Sources'!$B$5,'Controls &amp; Sources'!$B$6)</f>
        <v>7.55</v>
      </c>
      <c r="N653" s="25" t="n">
        <f aca="false">L653*M653</f>
        <v>302</v>
      </c>
      <c r="O653" s="22" t="n">
        <f aca="false">COUNTIFS('Billing Actual'!$E$2:$E$770,A653,'Billing Actual'!$B$2:$B$770,'Controls &amp; Sources'!$B$7)</f>
        <v>1</v>
      </c>
      <c r="P653" s="25" t="n">
        <f aca="false">SUMIFS('Billing Actual'!$M$2:$M$770,'Billing Actual'!$E$2:$E$770,A653,'Billing Actual'!$B$2:$B$770,'Controls &amp; Sources'!$B$7)</f>
        <v>302</v>
      </c>
      <c r="Q653" s="25" t="n">
        <f aca="false">P653-N653</f>
        <v>0</v>
      </c>
      <c r="R653" s="22" t="str">
        <f aca="false">IF(O653=0,"No August moorage transaction",IF(O653&gt;1,"Duplicate August transactions",IF(ABS(Q653)&gt;0.005,"Charge variance","OK")))</f>
        <v>OK</v>
      </c>
      <c r="S653" s="22" t="str">
        <f aca="false">IF(R653="OK","","Billing completeness/reconciliation")</f>
        <v/>
      </c>
    </row>
    <row r="654" customFormat="false" ht="15" hidden="false" customHeight="false" outlineLevel="0" collapsed="false">
      <c r="A654" s="22" t="s">
        <v>7980</v>
      </c>
      <c r="B654" s="22" t="s">
        <v>215</v>
      </c>
      <c r="C654" s="22" t="s">
        <v>7694</v>
      </c>
      <c r="D654" s="22" t="n">
        <v>45</v>
      </c>
      <c r="E654" s="22" t="s">
        <v>7696</v>
      </c>
      <c r="F654" s="22" t="s">
        <v>6577</v>
      </c>
      <c r="G654" s="22" t="s">
        <v>5530</v>
      </c>
      <c r="H654" s="22" t="s">
        <v>5531</v>
      </c>
      <c r="I654" s="22" t="s">
        <v>1060</v>
      </c>
      <c r="J654" s="22" t="n">
        <v>24.6</v>
      </c>
      <c r="K654" s="22" t="n">
        <f aca="false">ROUNDUP(J654,0)</f>
        <v>25</v>
      </c>
      <c r="L654" s="22" t="n">
        <f aca="false">MAX(D654,K654)</f>
        <v>45</v>
      </c>
      <c r="M654" s="25" t="n">
        <f aca="false">IF(E654="COVERED",'Controls &amp; Sources'!$B$5,'Controls &amp; Sources'!$B$6)</f>
        <v>7.55</v>
      </c>
      <c r="N654" s="25" t="n">
        <f aca="false">L654*M654</f>
        <v>339.75</v>
      </c>
      <c r="O654" s="22" t="n">
        <f aca="false">COUNTIFS('Billing Actual'!$E$2:$E$770,A654,'Billing Actual'!$B$2:$B$770,'Controls &amp; Sources'!$B$7)</f>
        <v>1</v>
      </c>
      <c r="P654" s="25" t="n">
        <f aca="false">SUMIFS('Billing Actual'!$M$2:$M$770,'Billing Actual'!$E$2:$E$770,A654,'Billing Actual'!$B$2:$B$770,'Controls &amp; Sources'!$B$7)</f>
        <v>339.75</v>
      </c>
      <c r="Q654" s="25" t="n">
        <f aca="false">P654-N654</f>
        <v>0</v>
      </c>
      <c r="R654" s="22" t="str">
        <f aca="false">IF(O654=0,"No August moorage transaction",IF(O654&gt;1,"Duplicate August transactions",IF(ABS(Q654)&gt;0.005,"Charge variance","OK")))</f>
        <v>OK</v>
      </c>
      <c r="S654" s="22" t="str">
        <f aca="false">IF(R654="OK","","Billing completeness/reconciliation")</f>
        <v/>
      </c>
    </row>
    <row r="655" customFormat="false" ht="15" hidden="false" customHeight="false" outlineLevel="0" collapsed="false">
      <c r="A655" s="22" t="s">
        <v>7981</v>
      </c>
      <c r="B655" s="22" t="s">
        <v>215</v>
      </c>
      <c r="C655" s="22" t="s">
        <v>7694</v>
      </c>
      <c r="D655" s="22" t="n">
        <v>70</v>
      </c>
      <c r="E655" s="22" t="s">
        <v>7696</v>
      </c>
      <c r="F655" s="22" t="s">
        <v>6577</v>
      </c>
      <c r="G655" s="22" t="s">
        <v>5377</v>
      </c>
      <c r="H655" s="22" t="s">
        <v>5378</v>
      </c>
      <c r="I655" s="22" t="s">
        <v>1245</v>
      </c>
      <c r="J655" s="22" t="n">
        <v>53.7</v>
      </c>
      <c r="K655" s="22" t="n">
        <f aca="false">ROUNDUP(J655,0)</f>
        <v>54</v>
      </c>
      <c r="L655" s="22" t="n">
        <f aca="false">MAX(D655,K655)</f>
        <v>70</v>
      </c>
      <c r="M655" s="25" t="n">
        <f aca="false">IF(E655="COVERED",'Controls &amp; Sources'!$B$5,'Controls &amp; Sources'!$B$6)</f>
        <v>7.55</v>
      </c>
      <c r="N655" s="25" t="n">
        <f aca="false">L655*M655</f>
        <v>528.5</v>
      </c>
      <c r="O655" s="22" t="n">
        <f aca="false">COUNTIFS('Billing Actual'!$E$2:$E$770,A655,'Billing Actual'!$B$2:$B$770,'Controls &amp; Sources'!$B$7)</f>
        <v>1</v>
      </c>
      <c r="P655" s="25" t="n">
        <f aca="false">SUMIFS('Billing Actual'!$M$2:$M$770,'Billing Actual'!$E$2:$E$770,A655,'Billing Actual'!$B$2:$B$770,'Controls &amp; Sources'!$B$7)</f>
        <v>528.5</v>
      </c>
      <c r="Q655" s="25" t="n">
        <f aca="false">P655-N655</f>
        <v>0</v>
      </c>
      <c r="R655" s="22" t="str">
        <f aca="false">IF(O655=0,"No August moorage transaction",IF(O655&gt;1,"Duplicate August transactions",IF(ABS(Q655)&gt;0.005,"Charge variance","OK")))</f>
        <v>OK</v>
      </c>
      <c r="S655" s="22" t="str">
        <f aca="false">IF(R655="OK","","Billing completeness/reconciliation")</f>
        <v/>
      </c>
    </row>
    <row r="656" customFormat="false" ht="15" hidden="false" customHeight="false" outlineLevel="0" collapsed="false">
      <c r="A656" s="22" t="s">
        <v>7982</v>
      </c>
      <c r="B656" s="22" t="s">
        <v>215</v>
      </c>
      <c r="C656" s="22" t="s">
        <v>7694</v>
      </c>
      <c r="D656" s="22" t="n">
        <v>60</v>
      </c>
      <c r="E656" s="22" t="s">
        <v>7696</v>
      </c>
      <c r="F656" s="22" t="s">
        <v>6577</v>
      </c>
      <c r="G656" s="22" t="s">
        <v>4466</v>
      </c>
      <c r="H656" s="22" t="s">
        <v>4467</v>
      </c>
      <c r="I656" s="22" t="s">
        <v>933</v>
      </c>
      <c r="J656" s="22" t="n">
        <v>24</v>
      </c>
      <c r="K656" s="22" t="n">
        <f aca="false">ROUNDUP(J656,0)</f>
        <v>24</v>
      </c>
      <c r="L656" s="22" t="n">
        <f aca="false">MAX(D656,K656)</f>
        <v>60</v>
      </c>
      <c r="M656" s="25" t="n">
        <f aca="false">IF(E656="COVERED",'Controls &amp; Sources'!$B$5,'Controls &amp; Sources'!$B$6)</f>
        <v>7.55</v>
      </c>
      <c r="N656" s="25" t="n">
        <f aca="false">L656*M656</f>
        <v>453</v>
      </c>
      <c r="O656" s="22" t="n">
        <f aca="false">COUNTIFS('Billing Actual'!$E$2:$E$770,A656,'Billing Actual'!$B$2:$B$770,'Controls &amp; Sources'!$B$7)</f>
        <v>1</v>
      </c>
      <c r="P656" s="25" t="n">
        <f aca="false">SUMIFS('Billing Actual'!$M$2:$M$770,'Billing Actual'!$E$2:$E$770,A656,'Billing Actual'!$B$2:$B$770,'Controls &amp; Sources'!$B$7)</f>
        <v>453</v>
      </c>
      <c r="Q656" s="25" t="n">
        <f aca="false">P656-N656</f>
        <v>0</v>
      </c>
      <c r="R656" s="22" t="str">
        <f aca="false">IF(O656=0,"No August moorage transaction",IF(O656&gt;1,"Duplicate August transactions",IF(ABS(Q656)&gt;0.005,"Charge variance","OK")))</f>
        <v>OK</v>
      </c>
      <c r="S656" s="22" t="str">
        <f aca="false">IF(R656="OK","","Billing completeness/reconciliation")</f>
        <v/>
      </c>
    </row>
    <row r="657" customFormat="false" ht="15" hidden="false" customHeight="false" outlineLevel="0" collapsed="false">
      <c r="A657" s="22" t="s">
        <v>7984</v>
      </c>
      <c r="B657" s="22" t="s">
        <v>215</v>
      </c>
      <c r="C657" s="22" t="s">
        <v>7694</v>
      </c>
      <c r="D657" s="22" t="n">
        <v>70</v>
      </c>
      <c r="E657" s="22" t="s">
        <v>7696</v>
      </c>
      <c r="F657" s="22" t="s">
        <v>6577</v>
      </c>
      <c r="G657" s="22" t="s">
        <v>5863</v>
      </c>
      <c r="H657" s="22" t="s">
        <v>5864</v>
      </c>
      <c r="I657" s="22" t="s">
        <v>4681</v>
      </c>
      <c r="J657" s="22" t="n">
        <v>47.4</v>
      </c>
      <c r="K657" s="22" t="n">
        <f aca="false">ROUNDUP(J657,0)</f>
        <v>48</v>
      </c>
      <c r="L657" s="22" t="n">
        <f aca="false">MAX(D657,K657)</f>
        <v>70</v>
      </c>
      <c r="M657" s="25" t="n">
        <f aca="false">IF(E657="COVERED",'Controls &amp; Sources'!$B$5,'Controls &amp; Sources'!$B$6)</f>
        <v>7.55</v>
      </c>
      <c r="N657" s="25" t="n">
        <f aca="false">L657*M657</f>
        <v>528.5</v>
      </c>
      <c r="O657" s="22" t="n">
        <f aca="false">COUNTIFS('Billing Actual'!$E$2:$E$770,A657,'Billing Actual'!$B$2:$B$770,'Controls &amp; Sources'!$B$7)</f>
        <v>1</v>
      </c>
      <c r="P657" s="25" t="n">
        <f aca="false">SUMIFS('Billing Actual'!$M$2:$M$770,'Billing Actual'!$E$2:$E$770,A657,'Billing Actual'!$B$2:$B$770,'Controls &amp; Sources'!$B$7)</f>
        <v>528.5</v>
      </c>
      <c r="Q657" s="25" t="n">
        <f aca="false">P657-N657</f>
        <v>0</v>
      </c>
      <c r="R657" s="22" t="str">
        <f aca="false">IF(O657=0,"No August moorage transaction",IF(O657&gt;1,"Duplicate August transactions",IF(ABS(Q657)&gt;0.005,"Charge variance","OK")))</f>
        <v>OK</v>
      </c>
      <c r="S657" s="22" t="str">
        <f aca="false">IF(R657="OK","","Billing completeness/reconciliation")</f>
        <v/>
      </c>
    </row>
    <row r="658" customFormat="false" ht="15" hidden="false" customHeight="false" outlineLevel="0" collapsed="false">
      <c r="A658" s="22" t="s">
        <v>7985</v>
      </c>
      <c r="B658" s="22" t="s">
        <v>215</v>
      </c>
      <c r="C658" s="22" t="s">
        <v>7694</v>
      </c>
      <c r="D658" s="22" t="n">
        <v>32</v>
      </c>
      <c r="E658" s="22" t="s">
        <v>7696</v>
      </c>
      <c r="F658" s="22" t="s">
        <v>6577</v>
      </c>
      <c r="G658" s="22" t="s">
        <v>3467</v>
      </c>
      <c r="H658" s="22" t="s">
        <v>3468</v>
      </c>
      <c r="I658" s="22" t="s">
        <v>281</v>
      </c>
      <c r="J658" s="22" t="n">
        <v>47.2</v>
      </c>
      <c r="K658" s="22" t="n">
        <f aca="false">ROUNDUP(J658,0)</f>
        <v>48</v>
      </c>
      <c r="L658" s="22" t="n">
        <f aca="false">MAX(D658,K658)</f>
        <v>48</v>
      </c>
      <c r="M658" s="25" t="n">
        <f aca="false">IF(E658="COVERED",'Controls &amp; Sources'!$B$5,'Controls &amp; Sources'!$B$6)</f>
        <v>7.55</v>
      </c>
      <c r="N658" s="25" t="n">
        <f aca="false">L658*M658</f>
        <v>362.4</v>
      </c>
      <c r="O658" s="22" t="n">
        <f aca="false">COUNTIFS('Billing Actual'!$E$2:$E$770,A658,'Billing Actual'!$B$2:$B$770,'Controls &amp; Sources'!$B$7)</f>
        <v>1</v>
      </c>
      <c r="P658" s="25" t="n">
        <f aca="false">SUMIFS('Billing Actual'!$M$2:$M$770,'Billing Actual'!$E$2:$E$770,A658,'Billing Actual'!$B$2:$B$770,'Controls &amp; Sources'!$B$7)</f>
        <v>362.4</v>
      </c>
      <c r="Q658" s="25" t="n">
        <f aca="false">P658-N658</f>
        <v>0</v>
      </c>
      <c r="R658" s="22" t="str">
        <f aca="false">IF(O658=0,"No August moorage transaction",IF(O658&gt;1,"Duplicate August transactions",IF(ABS(Q658)&gt;0.005,"Charge variance","OK")))</f>
        <v>OK</v>
      </c>
      <c r="S658" s="22" t="str">
        <f aca="false">IF(R658="OK","","Billing completeness/reconciliation")</f>
        <v/>
      </c>
    </row>
    <row r="659" customFormat="false" ht="15" hidden="false" customHeight="false" outlineLevel="0" collapsed="false">
      <c r="A659" s="22" t="s">
        <v>7986</v>
      </c>
      <c r="B659" s="22" t="s">
        <v>215</v>
      </c>
      <c r="C659" s="22" t="s">
        <v>7694</v>
      </c>
      <c r="D659" s="22" t="n">
        <v>28</v>
      </c>
      <c r="E659" s="22" t="s">
        <v>7696</v>
      </c>
      <c r="F659" s="22" t="s">
        <v>6577</v>
      </c>
      <c r="G659" s="22" t="s">
        <v>2745</v>
      </c>
      <c r="H659" s="22" t="s">
        <v>2746</v>
      </c>
      <c r="I659" s="22" t="s">
        <v>1538</v>
      </c>
      <c r="J659" s="22" t="n">
        <v>25.3</v>
      </c>
      <c r="K659" s="22" t="n">
        <f aca="false">ROUNDUP(J659,0)</f>
        <v>26</v>
      </c>
      <c r="L659" s="22" t="n">
        <f aca="false">MAX(D659,K659)</f>
        <v>28</v>
      </c>
      <c r="M659" s="25" t="n">
        <f aca="false">IF(E659="COVERED",'Controls &amp; Sources'!$B$5,'Controls &amp; Sources'!$B$6)</f>
        <v>7.55</v>
      </c>
      <c r="N659" s="25" t="n">
        <f aca="false">L659*M659</f>
        <v>211.4</v>
      </c>
      <c r="O659" s="22" t="n">
        <f aca="false">COUNTIFS('Billing Actual'!$E$2:$E$770,A659,'Billing Actual'!$B$2:$B$770,'Controls &amp; Sources'!$B$7)</f>
        <v>1</v>
      </c>
      <c r="P659" s="25" t="n">
        <f aca="false">SUMIFS('Billing Actual'!$M$2:$M$770,'Billing Actual'!$E$2:$E$770,A659,'Billing Actual'!$B$2:$B$770,'Controls &amp; Sources'!$B$7)</f>
        <v>211.4</v>
      </c>
      <c r="Q659" s="25" t="n">
        <f aca="false">P659-N659</f>
        <v>0</v>
      </c>
      <c r="R659" s="22" t="str">
        <f aca="false">IF(O659=0,"No August moorage transaction",IF(O659&gt;1,"Duplicate August transactions",IF(ABS(Q659)&gt;0.005,"Charge variance","OK")))</f>
        <v>OK</v>
      </c>
      <c r="S659" s="22" t="str">
        <f aca="false">IF(R659="OK","","Billing completeness/reconciliation")</f>
        <v/>
      </c>
    </row>
    <row r="660" customFormat="false" ht="15" hidden="false" customHeight="false" outlineLevel="0" collapsed="false">
      <c r="A660" s="22" t="s">
        <v>7987</v>
      </c>
      <c r="B660" s="22" t="s">
        <v>215</v>
      </c>
      <c r="C660" s="22" t="s">
        <v>7694</v>
      </c>
      <c r="D660" s="22" t="n">
        <v>50</v>
      </c>
      <c r="E660" s="22" t="s">
        <v>7696</v>
      </c>
      <c r="F660" s="22" t="s">
        <v>6577</v>
      </c>
      <c r="G660" s="22" t="s">
        <v>5077</v>
      </c>
      <c r="H660" s="22" t="s">
        <v>5078</v>
      </c>
      <c r="I660" s="22" t="s">
        <v>708</v>
      </c>
      <c r="J660" s="22" t="n">
        <v>49.5</v>
      </c>
      <c r="K660" s="22" t="n">
        <f aca="false">ROUNDUP(J660,0)</f>
        <v>50</v>
      </c>
      <c r="L660" s="22" t="n">
        <f aca="false">MAX(D660,K660)</f>
        <v>50</v>
      </c>
      <c r="M660" s="25" t="n">
        <f aca="false">IF(E660="COVERED",'Controls &amp; Sources'!$B$5,'Controls &amp; Sources'!$B$6)</f>
        <v>7.55</v>
      </c>
      <c r="N660" s="25" t="n">
        <f aca="false">L660*M660</f>
        <v>377.5</v>
      </c>
      <c r="O660" s="22" t="n">
        <f aca="false">COUNTIFS('Billing Actual'!$E$2:$E$770,A660,'Billing Actual'!$B$2:$B$770,'Controls &amp; Sources'!$B$7)</f>
        <v>1</v>
      </c>
      <c r="P660" s="25" t="n">
        <f aca="false">SUMIFS('Billing Actual'!$M$2:$M$770,'Billing Actual'!$E$2:$E$770,A660,'Billing Actual'!$B$2:$B$770,'Controls &amp; Sources'!$B$7)</f>
        <v>377.5</v>
      </c>
      <c r="Q660" s="25" t="n">
        <f aca="false">P660-N660</f>
        <v>0</v>
      </c>
      <c r="R660" s="22" t="str">
        <f aca="false">IF(O660=0,"No August moorage transaction",IF(O660&gt;1,"Duplicate August transactions",IF(ABS(Q660)&gt;0.005,"Charge variance","OK")))</f>
        <v>OK</v>
      </c>
      <c r="S660" s="22" t="str">
        <f aca="false">IF(R660="OK","","Billing completeness/reconciliation")</f>
        <v/>
      </c>
    </row>
    <row r="661" customFormat="false" ht="15" hidden="false" customHeight="false" outlineLevel="0" collapsed="false">
      <c r="A661" s="22" t="s">
        <v>7988</v>
      </c>
      <c r="B661" s="22" t="s">
        <v>215</v>
      </c>
      <c r="C661" s="22" t="s">
        <v>7694</v>
      </c>
      <c r="D661" s="22" t="n">
        <v>24</v>
      </c>
      <c r="E661" s="22" t="s">
        <v>7696</v>
      </c>
      <c r="F661" s="22" t="s">
        <v>6577</v>
      </c>
      <c r="G661" s="22" t="s">
        <v>5276</v>
      </c>
      <c r="H661" s="22" t="s">
        <v>5277</v>
      </c>
      <c r="I661" s="22" t="s">
        <v>2147</v>
      </c>
      <c r="J661" s="22" t="n">
        <v>53.1</v>
      </c>
      <c r="K661" s="22" t="n">
        <f aca="false">ROUNDUP(J661,0)</f>
        <v>54</v>
      </c>
      <c r="L661" s="22" t="n">
        <f aca="false">MAX(D661,K661)</f>
        <v>54</v>
      </c>
      <c r="M661" s="25" t="n">
        <f aca="false">IF(E661="COVERED",'Controls &amp; Sources'!$B$5,'Controls &amp; Sources'!$B$6)</f>
        <v>7.55</v>
      </c>
      <c r="N661" s="25" t="n">
        <f aca="false">L661*M661</f>
        <v>407.7</v>
      </c>
      <c r="O661" s="22" t="n">
        <f aca="false">COUNTIFS('Billing Actual'!$E$2:$E$770,A661,'Billing Actual'!$B$2:$B$770,'Controls &amp; Sources'!$B$7)</f>
        <v>1</v>
      </c>
      <c r="P661" s="25" t="n">
        <f aca="false">SUMIFS('Billing Actual'!$M$2:$M$770,'Billing Actual'!$E$2:$E$770,A661,'Billing Actual'!$B$2:$B$770,'Controls &amp; Sources'!$B$7)</f>
        <v>407.7</v>
      </c>
      <c r="Q661" s="25" t="n">
        <f aca="false">P661-N661</f>
        <v>0</v>
      </c>
      <c r="R661" s="22" t="str">
        <f aca="false">IF(O661=0,"No August moorage transaction",IF(O661&gt;1,"Duplicate August transactions",IF(ABS(Q661)&gt;0.005,"Charge variance","OK")))</f>
        <v>OK</v>
      </c>
      <c r="S661" s="22" t="str">
        <f aca="false">IF(R661="OK","","Billing completeness/reconciliation")</f>
        <v/>
      </c>
    </row>
    <row r="662" customFormat="false" ht="15" hidden="false" customHeight="false" outlineLevel="0" collapsed="false">
      <c r="A662" s="22" t="s">
        <v>7989</v>
      </c>
      <c r="B662" s="22" t="s">
        <v>215</v>
      </c>
      <c r="C662" s="22" t="s">
        <v>7694</v>
      </c>
      <c r="D662" s="22" t="n">
        <v>24</v>
      </c>
      <c r="E662" s="22" t="s">
        <v>7696</v>
      </c>
      <c r="F662" s="22" t="s">
        <v>6577</v>
      </c>
      <c r="G662" s="22" t="s">
        <v>5485</v>
      </c>
      <c r="H662" s="22" t="s">
        <v>5486</v>
      </c>
      <c r="I662" s="22" t="s">
        <v>1057</v>
      </c>
      <c r="J662" s="22" t="n">
        <v>48.6</v>
      </c>
      <c r="K662" s="22" t="n">
        <f aca="false">ROUNDUP(J662,0)</f>
        <v>49</v>
      </c>
      <c r="L662" s="22" t="n">
        <f aca="false">MAX(D662,K662)</f>
        <v>49</v>
      </c>
      <c r="M662" s="25" t="n">
        <f aca="false">IF(E662="COVERED",'Controls &amp; Sources'!$B$5,'Controls &amp; Sources'!$B$6)</f>
        <v>7.55</v>
      </c>
      <c r="N662" s="25" t="n">
        <f aca="false">L662*M662</f>
        <v>369.95</v>
      </c>
      <c r="O662" s="22" t="n">
        <f aca="false">COUNTIFS('Billing Actual'!$E$2:$E$770,A662,'Billing Actual'!$B$2:$B$770,'Controls &amp; Sources'!$B$7)</f>
        <v>1</v>
      </c>
      <c r="P662" s="25" t="n">
        <f aca="false">SUMIFS('Billing Actual'!$M$2:$M$770,'Billing Actual'!$E$2:$E$770,A662,'Billing Actual'!$B$2:$B$770,'Controls &amp; Sources'!$B$7)</f>
        <v>369.95</v>
      </c>
      <c r="Q662" s="25" t="n">
        <f aca="false">P662-N662</f>
        <v>0</v>
      </c>
      <c r="R662" s="22" t="str">
        <f aca="false">IF(O662=0,"No August moorage transaction",IF(O662&gt;1,"Duplicate August transactions",IF(ABS(Q662)&gt;0.005,"Charge variance","OK")))</f>
        <v>OK</v>
      </c>
      <c r="S662" s="22" t="str">
        <f aca="false">IF(R662="OK","","Billing completeness/reconciliation")</f>
        <v/>
      </c>
    </row>
    <row r="663" customFormat="false" ht="15" hidden="false" customHeight="false" outlineLevel="0" collapsed="false">
      <c r="A663" s="22" t="s">
        <v>7990</v>
      </c>
      <c r="B663" s="22" t="s">
        <v>215</v>
      </c>
      <c r="C663" s="22" t="s">
        <v>7694</v>
      </c>
      <c r="D663" s="22" t="n">
        <v>24</v>
      </c>
      <c r="E663" s="22" t="s">
        <v>7696</v>
      </c>
      <c r="F663" s="22" t="s">
        <v>6577</v>
      </c>
      <c r="G663" s="22" t="s">
        <v>3714</v>
      </c>
      <c r="H663" s="22" t="s">
        <v>3715</v>
      </c>
      <c r="I663" s="22" t="s">
        <v>731</v>
      </c>
      <c r="J663" s="22" t="n">
        <v>29.8</v>
      </c>
      <c r="K663" s="22" t="n">
        <f aca="false">ROUNDUP(J663,0)</f>
        <v>30</v>
      </c>
      <c r="L663" s="22" t="n">
        <f aca="false">MAX(D663,K663)</f>
        <v>30</v>
      </c>
      <c r="M663" s="25" t="n">
        <f aca="false">IF(E663="COVERED",'Controls &amp; Sources'!$B$5,'Controls &amp; Sources'!$B$6)</f>
        <v>7.55</v>
      </c>
      <c r="N663" s="25" t="n">
        <f aca="false">L663*M663</f>
        <v>226.5</v>
      </c>
      <c r="O663" s="22" t="n">
        <f aca="false">COUNTIFS('Billing Actual'!$E$2:$E$770,A663,'Billing Actual'!$B$2:$B$770,'Controls &amp; Sources'!$B$7)</f>
        <v>1</v>
      </c>
      <c r="P663" s="25" t="n">
        <f aca="false">SUMIFS('Billing Actual'!$M$2:$M$770,'Billing Actual'!$E$2:$E$770,A663,'Billing Actual'!$B$2:$B$770,'Controls &amp; Sources'!$B$7)</f>
        <v>226.5</v>
      </c>
      <c r="Q663" s="25" t="n">
        <f aca="false">P663-N663</f>
        <v>0</v>
      </c>
      <c r="R663" s="22" t="str">
        <f aca="false">IF(O663=0,"No August moorage transaction",IF(O663&gt;1,"Duplicate August transactions",IF(ABS(Q663)&gt;0.005,"Charge variance","OK")))</f>
        <v>OK</v>
      </c>
      <c r="S663" s="22" t="str">
        <f aca="false">IF(R663="OK","","Billing completeness/reconciliation")</f>
        <v/>
      </c>
    </row>
    <row r="664" customFormat="false" ht="15" hidden="false" customHeight="false" outlineLevel="0" collapsed="false">
      <c r="A664" s="22" t="s">
        <v>7992</v>
      </c>
      <c r="B664" s="22" t="s">
        <v>215</v>
      </c>
      <c r="C664" s="22" t="s">
        <v>7694</v>
      </c>
      <c r="D664" s="22" t="n">
        <v>28</v>
      </c>
      <c r="E664" s="22" t="s">
        <v>7696</v>
      </c>
      <c r="F664" s="22" t="s">
        <v>6577</v>
      </c>
      <c r="G664" s="22" t="s">
        <v>4757</v>
      </c>
      <c r="H664" s="22" t="s">
        <v>4758</v>
      </c>
      <c r="I664" s="22" t="s">
        <v>1383</v>
      </c>
      <c r="J664" s="22" t="n">
        <v>61.3</v>
      </c>
      <c r="K664" s="22" t="n">
        <f aca="false">ROUNDUP(J664,0)</f>
        <v>62</v>
      </c>
      <c r="L664" s="22" t="n">
        <f aca="false">MAX(D664,K664)</f>
        <v>62</v>
      </c>
      <c r="M664" s="25" t="n">
        <f aca="false">IF(E664="COVERED",'Controls &amp; Sources'!$B$5,'Controls &amp; Sources'!$B$6)</f>
        <v>7.55</v>
      </c>
      <c r="N664" s="25" t="n">
        <f aca="false">L664*M664</f>
        <v>468.1</v>
      </c>
      <c r="O664" s="22" t="n">
        <f aca="false">COUNTIFS('Billing Actual'!$E$2:$E$770,A664,'Billing Actual'!$B$2:$B$770,'Controls &amp; Sources'!$B$7)</f>
        <v>1</v>
      </c>
      <c r="P664" s="25" t="n">
        <f aca="false">SUMIFS('Billing Actual'!$M$2:$M$770,'Billing Actual'!$E$2:$E$770,A664,'Billing Actual'!$B$2:$B$770,'Controls &amp; Sources'!$B$7)</f>
        <v>468.1</v>
      </c>
      <c r="Q664" s="25" t="n">
        <f aca="false">P664-N664</f>
        <v>0</v>
      </c>
      <c r="R664" s="22" t="str">
        <f aca="false">IF(O664=0,"No August moorage transaction",IF(O664&gt;1,"Duplicate August transactions",IF(ABS(Q664)&gt;0.005,"Charge variance","OK")))</f>
        <v>OK</v>
      </c>
      <c r="S664" s="22" t="str">
        <f aca="false">IF(R664="OK","","Billing completeness/reconciliation")</f>
        <v/>
      </c>
    </row>
    <row r="665" customFormat="false" ht="15" hidden="false" customHeight="false" outlineLevel="0" collapsed="false">
      <c r="A665" s="22" t="s">
        <v>7993</v>
      </c>
      <c r="B665" s="22" t="s">
        <v>215</v>
      </c>
      <c r="C665" s="22" t="s">
        <v>7694</v>
      </c>
      <c r="D665" s="22" t="n">
        <v>40</v>
      </c>
      <c r="E665" s="22" t="s">
        <v>7696</v>
      </c>
      <c r="F665" s="22" t="s">
        <v>6577</v>
      </c>
      <c r="G665" s="22" t="s">
        <v>3612</v>
      </c>
      <c r="H665" s="22" t="s">
        <v>3613</v>
      </c>
      <c r="I665" s="22" t="s">
        <v>1656</v>
      </c>
      <c r="J665" s="22" t="n">
        <v>51.4</v>
      </c>
      <c r="K665" s="22" t="n">
        <f aca="false">ROUNDUP(J665,0)</f>
        <v>52</v>
      </c>
      <c r="L665" s="22" t="n">
        <f aca="false">MAX(D665,K665)</f>
        <v>52</v>
      </c>
      <c r="M665" s="25" t="n">
        <f aca="false">IF(E665="COVERED",'Controls &amp; Sources'!$B$5,'Controls &amp; Sources'!$B$6)</f>
        <v>7.55</v>
      </c>
      <c r="N665" s="25" t="n">
        <f aca="false">L665*M665</f>
        <v>392.6</v>
      </c>
      <c r="O665" s="22" t="n">
        <f aca="false">COUNTIFS('Billing Actual'!$E$2:$E$770,A665,'Billing Actual'!$B$2:$B$770,'Controls &amp; Sources'!$B$7)</f>
        <v>1</v>
      </c>
      <c r="P665" s="25" t="n">
        <f aca="false">SUMIFS('Billing Actual'!$M$2:$M$770,'Billing Actual'!$E$2:$E$770,A665,'Billing Actual'!$B$2:$B$770,'Controls &amp; Sources'!$B$7)</f>
        <v>392.6</v>
      </c>
      <c r="Q665" s="25" t="n">
        <f aca="false">P665-N665</f>
        <v>0</v>
      </c>
      <c r="R665" s="22" t="str">
        <f aca="false">IF(O665=0,"No August moorage transaction",IF(O665&gt;1,"Duplicate August transactions",IF(ABS(Q665)&gt;0.005,"Charge variance","OK")))</f>
        <v>OK</v>
      </c>
      <c r="S665" s="22" t="str">
        <f aca="false">IF(R665="OK","","Billing completeness/reconciliation")</f>
        <v/>
      </c>
    </row>
    <row r="666" customFormat="false" ht="15" hidden="false" customHeight="false" outlineLevel="0" collapsed="false">
      <c r="A666" s="22" t="s">
        <v>7995</v>
      </c>
      <c r="B666" s="22" t="s">
        <v>215</v>
      </c>
      <c r="C666" s="22" t="s">
        <v>7694</v>
      </c>
      <c r="D666" s="22" t="n">
        <v>32</v>
      </c>
      <c r="E666" s="22" t="s">
        <v>7696</v>
      </c>
      <c r="F666" s="22" t="s">
        <v>6577</v>
      </c>
      <c r="G666" s="22" t="s">
        <v>1494</v>
      </c>
      <c r="H666" s="22" t="s">
        <v>1495</v>
      </c>
      <c r="I666" s="22" t="s">
        <v>1496</v>
      </c>
      <c r="J666" s="22" t="n">
        <v>61.9</v>
      </c>
      <c r="K666" s="22" t="n">
        <f aca="false">ROUNDUP(J666,0)</f>
        <v>62</v>
      </c>
      <c r="L666" s="22" t="n">
        <f aca="false">MAX(D666,K666)</f>
        <v>62</v>
      </c>
      <c r="M666" s="25" t="n">
        <f aca="false">IF(E666="COVERED",'Controls &amp; Sources'!$B$5,'Controls &amp; Sources'!$B$6)</f>
        <v>7.55</v>
      </c>
      <c r="N666" s="25" t="n">
        <f aca="false">L666*M666</f>
        <v>468.1</v>
      </c>
      <c r="O666" s="22" t="n">
        <f aca="false">COUNTIFS('Billing Actual'!$E$2:$E$770,A666,'Billing Actual'!$B$2:$B$770,'Controls &amp; Sources'!$B$7)</f>
        <v>1</v>
      </c>
      <c r="P666" s="25" t="n">
        <f aca="false">SUMIFS('Billing Actual'!$M$2:$M$770,'Billing Actual'!$E$2:$E$770,A666,'Billing Actual'!$B$2:$B$770,'Controls &amp; Sources'!$B$7)</f>
        <v>468.1</v>
      </c>
      <c r="Q666" s="25" t="n">
        <f aca="false">P666-N666</f>
        <v>0</v>
      </c>
      <c r="R666" s="22" t="str">
        <f aca="false">IF(O666=0,"No August moorage transaction",IF(O666&gt;1,"Duplicate August transactions",IF(ABS(Q666)&gt;0.005,"Charge variance","OK")))</f>
        <v>OK</v>
      </c>
      <c r="S666" s="22" t="str">
        <f aca="false">IF(R666="OK","","Billing completeness/reconciliation")</f>
        <v/>
      </c>
    </row>
    <row r="667" customFormat="false" ht="15" hidden="false" customHeight="false" outlineLevel="0" collapsed="false">
      <c r="A667" s="22" t="s">
        <v>7996</v>
      </c>
      <c r="B667" s="22" t="s">
        <v>215</v>
      </c>
      <c r="C667" s="22" t="s">
        <v>7694</v>
      </c>
      <c r="D667" s="22" t="n">
        <v>28</v>
      </c>
      <c r="E667" s="22" t="s">
        <v>7696</v>
      </c>
      <c r="F667" s="22" t="s">
        <v>6577</v>
      </c>
      <c r="G667" s="22" t="s">
        <v>5875</v>
      </c>
      <c r="H667" s="22" t="s">
        <v>5876</v>
      </c>
      <c r="I667" s="22" t="s">
        <v>2780</v>
      </c>
      <c r="J667" s="22" t="n">
        <v>26.2</v>
      </c>
      <c r="K667" s="22" t="n">
        <f aca="false">ROUNDUP(J667,0)</f>
        <v>27</v>
      </c>
      <c r="L667" s="22" t="n">
        <f aca="false">MAX(D667,K667)</f>
        <v>28</v>
      </c>
      <c r="M667" s="25" t="n">
        <f aca="false">IF(E667="COVERED",'Controls &amp; Sources'!$B$5,'Controls &amp; Sources'!$B$6)</f>
        <v>7.55</v>
      </c>
      <c r="N667" s="25" t="n">
        <f aca="false">L667*M667</f>
        <v>211.4</v>
      </c>
      <c r="O667" s="22" t="n">
        <f aca="false">COUNTIFS('Billing Actual'!$E$2:$E$770,A667,'Billing Actual'!$B$2:$B$770,'Controls &amp; Sources'!$B$7)</f>
        <v>1</v>
      </c>
      <c r="P667" s="25" t="n">
        <f aca="false">SUMIFS('Billing Actual'!$M$2:$M$770,'Billing Actual'!$E$2:$E$770,A667,'Billing Actual'!$B$2:$B$770,'Controls &amp; Sources'!$B$7)</f>
        <v>211.4</v>
      </c>
      <c r="Q667" s="25" t="n">
        <f aca="false">P667-N667</f>
        <v>0</v>
      </c>
      <c r="R667" s="22" t="str">
        <f aca="false">IF(O667=0,"No August moorage transaction",IF(O667&gt;1,"Duplicate August transactions",IF(ABS(Q667)&gt;0.005,"Charge variance","OK")))</f>
        <v>OK</v>
      </c>
      <c r="S667" s="22" t="str">
        <f aca="false">IF(R667="OK","","Billing completeness/reconciliation")</f>
        <v/>
      </c>
    </row>
    <row r="668" customFormat="false" ht="15" hidden="false" customHeight="false" outlineLevel="0" collapsed="false">
      <c r="A668" s="22" t="s">
        <v>7998</v>
      </c>
      <c r="B668" s="22" t="s">
        <v>215</v>
      </c>
      <c r="C668" s="22" t="s">
        <v>7694</v>
      </c>
      <c r="D668" s="22" t="n">
        <v>32</v>
      </c>
      <c r="E668" s="22" t="s">
        <v>7696</v>
      </c>
      <c r="F668" s="22" t="s">
        <v>6577</v>
      </c>
      <c r="G668" s="22" t="s">
        <v>5439</v>
      </c>
      <c r="H668" s="22" t="s">
        <v>5440</v>
      </c>
      <c r="I668" s="22" t="s">
        <v>373</v>
      </c>
      <c r="J668" s="22" t="n">
        <v>40.6</v>
      </c>
      <c r="K668" s="22" t="n">
        <f aca="false">ROUNDUP(J668,0)</f>
        <v>41</v>
      </c>
      <c r="L668" s="22" t="n">
        <f aca="false">MAX(D668,K668)</f>
        <v>41</v>
      </c>
      <c r="M668" s="25" t="n">
        <f aca="false">IF(E668="COVERED",'Controls &amp; Sources'!$B$5,'Controls &amp; Sources'!$B$6)</f>
        <v>7.55</v>
      </c>
      <c r="N668" s="25" t="n">
        <f aca="false">L668*M668</f>
        <v>309.55</v>
      </c>
      <c r="O668" s="22" t="n">
        <f aca="false">COUNTIFS('Billing Actual'!$E$2:$E$770,A668,'Billing Actual'!$B$2:$B$770,'Controls &amp; Sources'!$B$7)</f>
        <v>1</v>
      </c>
      <c r="P668" s="25" t="n">
        <f aca="false">SUMIFS('Billing Actual'!$M$2:$M$770,'Billing Actual'!$E$2:$E$770,A668,'Billing Actual'!$B$2:$B$770,'Controls &amp; Sources'!$B$7)</f>
        <v>309.55</v>
      </c>
      <c r="Q668" s="25" t="n">
        <f aca="false">P668-N668</f>
        <v>0</v>
      </c>
      <c r="R668" s="22" t="str">
        <f aca="false">IF(O668=0,"No August moorage transaction",IF(O668&gt;1,"Duplicate August transactions",IF(ABS(Q668)&gt;0.005,"Charge variance","OK")))</f>
        <v>OK</v>
      </c>
      <c r="S668" s="22" t="str">
        <f aca="false">IF(R668="OK","","Billing completeness/reconciliation")</f>
        <v/>
      </c>
    </row>
    <row r="669" customFormat="false" ht="15" hidden="false" customHeight="false" outlineLevel="0" collapsed="false">
      <c r="A669" s="22" t="s">
        <v>8001</v>
      </c>
      <c r="B669" s="22" t="s">
        <v>215</v>
      </c>
      <c r="C669" s="22" t="s">
        <v>7694</v>
      </c>
      <c r="D669" s="22" t="n">
        <v>45</v>
      </c>
      <c r="E669" s="22" t="s">
        <v>7696</v>
      </c>
      <c r="F669" s="22" t="s">
        <v>6577</v>
      </c>
      <c r="G669" s="22" t="s">
        <v>6378</v>
      </c>
      <c r="H669" s="22" t="s">
        <v>6379</v>
      </c>
      <c r="I669" s="22" t="s">
        <v>290</v>
      </c>
      <c r="J669" s="22" t="n">
        <v>59.5</v>
      </c>
      <c r="K669" s="22" t="n">
        <f aca="false">ROUNDUP(J669,0)</f>
        <v>60</v>
      </c>
      <c r="L669" s="22" t="n">
        <f aca="false">MAX(D669,K669)</f>
        <v>60</v>
      </c>
      <c r="M669" s="25" t="n">
        <f aca="false">IF(E669="COVERED",'Controls &amp; Sources'!$B$5,'Controls &amp; Sources'!$B$6)</f>
        <v>7.55</v>
      </c>
      <c r="N669" s="25" t="n">
        <f aca="false">L669*M669</f>
        <v>453</v>
      </c>
      <c r="O669" s="22" t="n">
        <f aca="false">COUNTIFS('Billing Actual'!$E$2:$E$770,A669,'Billing Actual'!$B$2:$B$770,'Controls &amp; Sources'!$B$7)</f>
        <v>1</v>
      </c>
      <c r="P669" s="25" t="n">
        <f aca="false">SUMIFS('Billing Actual'!$M$2:$M$770,'Billing Actual'!$E$2:$E$770,A669,'Billing Actual'!$B$2:$B$770,'Controls &amp; Sources'!$B$7)</f>
        <v>453</v>
      </c>
      <c r="Q669" s="25" t="n">
        <f aca="false">P669-N669</f>
        <v>0</v>
      </c>
      <c r="R669" s="22" t="str">
        <f aca="false">IF(O669=0,"No August moorage transaction",IF(O669&gt;1,"Duplicate August transactions",IF(ABS(Q669)&gt;0.005,"Charge variance","OK")))</f>
        <v>OK</v>
      </c>
      <c r="S669" s="22" t="str">
        <f aca="false">IF(R669="OK","","Billing completeness/reconciliation")</f>
        <v/>
      </c>
    </row>
    <row r="670" customFormat="false" ht="15" hidden="false" customHeight="false" outlineLevel="0" collapsed="false">
      <c r="A670" s="22" t="s">
        <v>8002</v>
      </c>
      <c r="B670" s="22" t="s">
        <v>215</v>
      </c>
      <c r="C670" s="22" t="s">
        <v>7694</v>
      </c>
      <c r="D670" s="22" t="n">
        <v>28</v>
      </c>
      <c r="E670" s="22" t="s">
        <v>7696</v>
      </c>
      <c r="F670" s="22" t="s">
        <v>6577</v>
      </c>
      <c r="G670" s="22" t="s">
        <v>2906</v>
      </c>
      <c r="H670" s="22" t="s">
        <v>2907</v>
      </c>
      <c r="I670" s="22" t="s">
        <v>605</v>
      </c>
      <c r="J670" s="22" t="n">
        <v>26.7</v>
      </c>
      <c r="K670" s="22" t="n">
        <f aca="false">ROUNDUP(J670,0)</f>
        <v>27</v>
      </c>
      <c r="L670" s="22" t="n">
        <f aca="false">MAX(D670,K670)</f>
        <v>28</v>
      </c>
      <c r="M670" s="25" t="n">
        <f aca="false">IF(E670="COVERED",'Controls &amp; Sources'!$B$5,'Controls &amp; Sources'!$B$6)</f>
        <v>7.55</v>
      </c>
      <c r="N670" s="25" t="n">
        <f aca="false">L670*M670</f>
        <v>211.4</v>
      </c>
      <c r="O670" s="22" t="n">
        <f aca="false">COUNTIFS('Billing Actual'!$E$2:$E$770,A670,'Billing Actual'!$B$2:$B$770,'Controls &amp; Sources'!$B$7)</f>
        <v>1</v>
      </c>
      <c r="P670" s="25" t="n">
        <f aca="false">SUMIFS('Billing Actual'!$M$2:$M$770,'Billing Actual'!$E$2:$E$770,A670,'Billing Actual'!$B$2:$B$770,'Controls &amp; Sources'!$B$7)</f>
        <v>211.4</v>
      </c>
      <c r="Q670" s="25" t="n">
        <f aca="false">P670-N670</f>
        <v>0</v>
      </c>
      <c r="R670" s="22" t="str">
        <f aca="false">IF(O670=0,"No August moorage transaction",IF(O670&gt;1,"Duplicate August transactions",IF(ABS(Q670)&gt;0.005,"Charge variance","OK")))</f>
        <v>OK</v>
      </c>
      <c r="S670" s="22" t="str">
        <f aca="false">IF(R670="OK","","Billing completeness/reconciliation")</f>
        <v/>
      </c>
    </row>
    <row r="671" customFormat="false" ht="15" hidden="false" customHeight="false" outlineLevel="0" collapsed="false">
      <c r="A671" s="22" t="s">
        <v>8003</v>
      </c>
      <c r="B671" s="22" t="s">
        <v>215</v>
      </c>
      <c r="C671" s="22" t="s">
        <v>7694</v>
      </c>
      <c r="D671" s="22" t="n">
        <v>40</v>
      </c>
      <c r="E671" s="22" t="s">
        <v>7696</v>
      </c>
      <c r="F671" s="22" t="s">
        <v>6577</v>
      </c>
      <c r="G671" s="22" t="s">
        <v>1723</v>
      </c>
      <c r="H671" s="22" t="s">
        <v>1724</v>
      </c>
      <c r="I671" s="22" t="s">
        <v>1665</v>
      </c>
      <c r="J671" s="22" t="n">
        <v>34.4</v>
      </c>
      <c r="K671" s="22" t="n">
        <f aca="false">ROUNDUP(J671,0)</f>
        <v>35</v>
      </c>
      <c r="L671" s="22" t="n">
        <f aca="false">MAX(D671,K671)</f>
        <v>40</v>
      </c>
      <c r="M671" s="25" t="n">
        <f aca="false">IF(E671="COVERED",'Controls &amp; Sources'!$B$5,'Controls &amp; Sources'!$B$6)</f>
        <v>7.55</v>
      </c>
      <c r="N671" s="25" t="n">
        <f aca="false">L671*M671</f>
        <v>302</v>
      </c>
      <c r="O671" s="22" t="n">
        <f aca="false">COUNTIFS('Billing Actual'!$E$2:$E$770,A671,'Billing Actual'!$B$2:$B$770,'Controls &amp; Sources'!$B$7)</f>
        <v>1</v>
      </c>
      <c r="P671" s="25" t="n">
        <f aca="false">SUMIFS('Billing Actual'!$M$2:$M$770,'Billing Actual'!$E$2:$E$770,A671,'Billing Actual'!$B$2:$B$770,'Controls &amp; Sources'!$B$7)</f>
        <v>302</v>
      </c>
      <c r="Q671" s="25" t="n">
        <f aca="false">P671-N671</f>
        <v>0</v>
      </c>
      <c r="R671" s="22" t="str">
        <f aca="false">IF(O671=0,"No August moorage transaction",IF(O671&gt;1,"Duplicate August transactions",IF(ABS(Q671)&gt;0.005,"Charge variance","OK")))</f>
        <v>OK</v>
      </c>
      <c r="S671" s="22" t="str">
        <f aca="false">IF(R671="OK","","Billing completeness/reconciliation")</f>
        <v/>
      </c>
    </row>
    <row r="672" customFormat="false" ht="15" hidden="false" customHeight="false" outlineLevel="0" collapsed="false">
      <c r="A672" s="22" t="s">
        <v>8006</v>
      </c>
      <c r="B672" s="22" t="s">
        <v>215</v>
      </c>
      <c r="C672" s="22" t="s">
        <v>7694</v>
      </c>
      <c r="D672" s="22" t="n">
        <v>32</v>
      </c>
      <c r="E672" s="22" t="s">
        <v>7696</v>
      </c>
      <c r="F672" s="22" t="s">
        <v>6577</v>
      </c>
      <c r="G672" s="22" t="s">
        <v>189</v>
      </c>
      <c r="H672" s="22" t="s">
        <v>190</v>
      </c>
      <c r="I672" s="22" t="s">
        <v>191</v>
      </c>
      <c r="J672" s="22" t="n">
        <v>26.5</v>
      </c>
      <c r="K672" s="22" t="n">
        <f aca="false">ROUNDUP(J672,0)</f>
        <v>27</v>
      </c>
      <c r="L672" s="22" t="n">
        <f aca="false">MAX(D672,K672)</f>
        <v>32</v>
      </c>
      <c r="M672" s="25" t="n">
        <f aca="false">IF(E672="COVERED",'Controls &amp; Sources'!$B$5,'Controls &amp; Sources'!$B$6)</f>
        <v>7.55</v>
      </c>
      <c r="N672" s="25" t="n">
        <f aca="false">L672*M672</f>
        <v>241.6</v>
      </c>
      <c r="O672" s="22" t="n">
        <f aca="false">COUNTIFS('Billing Actual'!$E$2:$E$770,A672,'Billing Actual'!$B$2:$B$770,'Controls &amp; Sources'!$B$7)</f>
        <v>1</v>
      </c>
      <c r="P672" s="25" t="n">
        <f aca="false">SUMIFS('Billing Actual'!$M$2:$M$770,'Billing Actual'!$E$2:$E$770,A672,'Billing Actual'!$B$2:$B$770,'Controls &amp; Sources'!$B$7)</f>
        <v>241.6</v>
      </c>
      <c r="Q672" s="25" t="n">
        <f aca="false">P672-N672</f>
        <v>0</v>
      </c>
      <c r="R672" s="22" t="str">
        <f aca="false">IF(O672=0,"No August moorage transaction",IF(O672&gt;1,"Duplicate August transactions",IF(ABS(Q672)&gt;0.005,"Charge variance","OK")))</f>
        <v>OK</v>
      </c>
      <c r="S672" s="22" t="str">
        <f aca="false">IF(R672="OK","","Billing completeness/reconciliation")</f>
        <v/>
      </c>
    </row>
    <row r="673" customFormat="false" ht="15" hidden="false" customHeight="false" outlineLevel="0" collapsed="false">
      <c r="A673" s="22" t="s">
        <v>8009</v>
      </c>
      <c r="B673" s="22" t="s">
        <v>215</v>
      </c>
      <c r="C673" s="22" t="s">
        <v>7694</v>
      </c>
      <c r="D673" s="22" t="n">
        <v>32</v>
      </c>
      <c r="E673" s="22" t="s">
        <v>7696</v>
      </c>
      <c r="F673" s="22" t="s">
        <v>6577</v>
      </c>
      <c r="G673" s="22" t="s">
        <v>3581</v>
      </c>
      <c r="H673" s="22" t="s">
        <v>3582</v>
      </c>
      <c r="I673" s="22" t="s">
        <v>266</v>
      </c>
      <c r="J673" s="22" t="n">
        <v>53.6</v>
      </c>
      <c r="K673" s="22" t="n">
        <f aca="false">ROUNDUP(J673,0)</f>
        <v>54</v>
      </c>
      <c r="L673" s="22" t="n">
        <f aca="false">MAX(D673,K673)</f>
        <v>54</v>
      </c>
      <c r="M673" s="25" t="n">
        <f aca="false">IF(E673="COVERED",'Controls &amp; Sources'!$B$5,'Controls &amp; Sources'!$B$6)</f>
        <v>7.55</v>
      </c>
      <c r="N673" s="25" t="n">
        <f aca="false">L673*M673</f>
        <v>407.7</v>
      </c>
      <c r="O673" s="22" t="n">
        <f aca="false">COUNTIFS('Billing Actual'!$E$2:$E$770,A673,'Billing Actual'!$B$2:$B$770,'Controls &amp; Sources'!$B$7)</f>
        <v>1</v>
      </c>
      <c r="P673" s="25" t="n">
        <f aca="false">SUMIFS('Billing Actual'!$M$2:$M$770,'Billing Actual'!$E$2:$E$770,A673,'Billing Actual'!$B$2:$B$770,'Controls &amp; Sources'!$B$7)</f>
        <v>407.7</v>
      </c>
      <c r="Q673" s="25" t="n">
        <f aca="false">P673-N673</f>
        <v>0</v>
      </c>
      <c r="R673" s="22" t="str">
        <f aca="false">IF(O673=0,"No August moorage transaction",IF(O673&gt;1,"Duplicate August transactions",IF(ABS(Q673)&gt;0.005,"Charge variance","OK")))</f>
        <v>OK</v>
      </c>
      <c r="S673" s="22" t="str">
        <f aca="false">IF(R673="OK","","Billing completeness/reconciliation")</f>
        <v/>
      </c>
    </row>
    <row r="674" customFormat="false" ht="15" hidden="false" customHeight="false" outlineLevel="0" collapsed="false">
      <c r="A674" s="22" t="s">
        <v>8010</v>
      </c>
      <c r="B674" s="22" t="s">
        <v>215</v>
      </c>
      <c r="C674" s="22" t="s">
        <v>7694</v>
      </c>
      <c r="D674" s="22" t="n">
        <v>50</v>
      </c>
      <c r="E674" s="22" t="s">
        <v>7696</v>
      </c>
      <c r="F674" s="22" t="s">
        <v>6577</v>
      </c>
      <c r="G674" s="22" t="s">
        <v>3124</v>
      </c>
      <c r="H674" s="22" t="s">
        <v>3125</v>
      </c>
      <c r="I674" s="22" t="s">
        <v>1821</v>
      </c>
      <c r="J674" s="22" t="n">
        <v>19.8</v>
      </c>
      <c r="K674" s="22" t="n">
        <f aca="false">ROUNDUP(J674,0)</f>
        <v>20</v>
      </c>
      <c r="L674" s="22" t="n">
        <f aca="false">MAX(D674,K674)</f>
        <v>50</v>
      </c>
      <c r="M674" s="25" t="n">
        <f aca="false">IF(E674="COVERED",'Controls &amp; Sources'!$B$5,'Controls &amp; Sources'!$B$6)</f>
        <v>7.55</v>
      </c>
      <c r="N674" s="25" t="n">
        <f aca="false">L674*M674</f>
        <v>377.5</v>
      </c>
      <c r="O674" s="22" t="n">
        <f aca="false">COUNTIFS('Billing Actual'!$E$2:$E$770,A674,'Billing Actual'!$B$2:$B$770,'Controls &amp; Sources'!$B$7)</f>
        <v>1</v>
      </c>
      <c r="P674" s="25" t="n">
        <f aca="false">SUMIFS('Billing Actual'!$M$2:$M$770,'Billing Actual'!$E$2:$E$770,A674,'Billing Actual'!$B$2:$B$770,'Controls &amp; Sources'!$B$7)</f>
        <v>377.5</v>
      </c>
      <c r="Q674" s="25" t="n">
        <f aca="false">P674-N674</f>
        <v>0</v>
      </c>
      <c r="R674" s="22" t="str">
        <f aca="false">IF(O674=0,"No August moorage transaction",IF(O674&gt;1,"Duplicate August transactions",IF(ABS(Q674)&gt;0.005,"Charge variance","OK")))</f>
        <v>OK</v>
      </c>
      <c r="S674" s="22" t="str">
        <f aca="false">IF(R674="OK","","Billing completeness/reconciliation")</f>
        <v/>
      </c>
    </row>
    <row r="675" customFormat="false" ht="15" hidden="false" customHeight="false" outlineLevel="0" collapsed="false">
      <c r="A675" s="22" t="s">
        <v>8013</v>
      </c>
      <c r="B675" s="22" t="s">
        <v>215</v>
      </c>
      <c r="C675" s="22" t="s">
        <v>7694</v>
      </c>
      <c r="D675" s="22" t="n">
        <v>32</v>
      </c>
      <c r="E675" s="22" t="s">
        <v>7696</v>
      </c>
      <c r="F675" s="22" t="s">
        <v>6577</v>
      </c>
      <c r="G675" s="22" t="s">
        <v>2781</v>
      </c>
      <c r="H675" s="22" t="s">
        <v>2782</v>
      </c>
      <c r="I675" s="22" t="s">
        <v>2533</v>
      </c>
      <c r="J675" s="22" t="n">
        <v>44.2</v>
      </c>
      <c r="K675" s="22" t="n">
        <f aca="false">ROUNDUP(J675,0)</f>
        <v>45</v>
      </c>
      <c r="L675" s="22" t="n">
        <f aca="false">MAX(D675,K675)</f>
        <v>45</v>
      </c>
      <c r="M675" s="25" t="n">
        <f aca="false">IF(E675="COVERED",'Controls &amp; Sources'!$B$5,'Controls &amp; Sources'!$B$6)</f>
        <v>7.55</v>
      </c>
      <c r="N675" s="25" t="n">
        <f aca="false">L675*M675</f>
        <v>339.75</v>
      </c>
      <c r="O675" s="22" t="n">
        <f aca="false">COUNTIFS('Billing Actual'!$E$2:$E$770,A675,'Billing Actual'!$B$2:$B$770,'Controls &amp; Sources'!$B$7)</f>
        <v>1</v>
      </c>
      <c r="P675" s="25" t="n">
        <f aca="false">SUMIFS('Billing Actual'!$M$2:$M$770,'Billing Actual'!$E$2:$E$770,A675,'Billing Actual'!$B$2:$B$770,'Controls &amp; Sources'!$B$7)</f>
        <v>339.75</v>
      </c>
      <c r="Q675" s="25" t="n">
        <f aca="false">P675-N675</f>
        <v>0</v>
      </c>
      <c r="R675" s="22" t="str">
        <f aca="false">IF(O675=0,"No August moorage transaction",IF(O675&gt;1,"Duplicate August transactions",IF(ABS(Q675)&gt;0.005,"Charge variance","OK")))</f>
        <v>OK</v>
      </c>
      <c r="S675" s="22" t="str">
        <f aca="false">IF(R675="OK","","Billing completeness/reconciliation")</f>
        <v/>
      </c>
    </row>
    <row r="676" customFormat="false" ht="15" hidden="false" customHeight="false" outlineLevel="0" collapsed="false">
      <c r="A676" s="22" t="s">
        <v>8015</v>
      </c>
      <c r="B676" s="22" t="s">
        <v>215</v>
      </c>
      <c r="C676" s="22" t="s">
        <v>7694</v>
      </c>
      <c r="D676" s="22" t="n">
        <v>32</v>
      </c>
      <c r="E676" s="22" t="s">
        <v>7696</v>
      </c>
      <c r="F676" s="22" t="s">
        <v>6577</v>
      </c>
      <c r="G676" s="22" t="s">
        <v>5669</v>
      </c>
      <c r="H676" s="22" t="s">
        <v>5670</v>
      </c>
      <c r="I676" s="22" t="s">
        <v>422</v>
      </c>
      <c r="J676" s="22" t="n">
        <v>40.1</v>
      </c>
      <c r="K676" s="22" t="n">
        <f aca="false">ROUNDUP(J676,0)</f>
        <v>41</v>
      </c>
      <c r="L676" s="22" t="n">
        <f aca="false">MAX(D676,K676)</f>
        <v>41</v>
      </c>
      <c r="M676" s="25" t="n">
        <f aca="false">IF(E676="COVERED",'Controls &amp; Sources'!$B$5,'Controls &amp; Sources'!$B$6)</f>
        <v>7.55</v>
      </c>
      <c r="N676" s="25" t="n">
        <f aca="false">L676*M676</f>
        <v>309.55</v>
      </c>
      <c r="O676" s="22" t="n">
        <f aca="false">COUNTIFS('Billing Actual'!$E$2:$E$770,A676,'Billing Actual'!$B$2:$B$770,'Controls &amp; Sources'!$B$7)</f>
        <v>1</v>
      </c>
      <c r="P676" s="25" t="n">
        <f aca="false">SUMIFS('Billing Actual'!$M$2:$M$770,'Billing Actual'!$E$2:$E$770,A676,'Billing Actual'!$B$2:$B$770,'Controls &amp; Sources'!$B$7)</f>
        <v>309.55</v>
      </c>
      <c r="Q676" s="25" t="n">
        <f aca="false">P676-N676</f>
        <v>0</v>
      </c>
      <c r="R676" s="22" t="str">
        <f aca="false">IF(O676=0,"No August moorage transaction",IF(O676&gt;1,"Duplicate August transactions",IF(ABS(Q676)&gt;0.005,"Charge variance","OK")))</f>
        <v>OK</v>
      </c>
      <c r="S676" s="22" t="str">
        <f aca="false">IF(R676="OK","","Billing completeness/reconciliation")</f>
        <v/>
      </c>
    </row>
    <row r="677" customFormat="false" ht="15" hidden="false" customHeight="false" outlineLevel="0" collapsed="false">
      <c r="A677" s="22" t="s">
        <v>8016</v>
      </c>
      <c r="B677" s="22" t="s">
        <v>215</v>
      </c>
      <c r="C677" s="22" t="s">
        <v>7694</v>
      </c>
      <c r="D677" s="22" t="n">
        <v>45</v>
      </c>
      <c r="E677" s="22" t="s">
        <v>7696</v>
      </c>
      <c r="F677" s="22" t="s">
        <v>6577</v>
      </c>
      <c r="G677" s="22" t="s">
        <v>3516</v>
      </c>
      <c r="H677" s="22" t="s">
        <v>3517</v>
      </c>
      <c r="I677" s="22" t="s">
        <v>3174</v>
      </c>
      <c r="J677" s="22" t="n">
        <v>53</v>
      </c>
      <c r="K677" s="22" t="n">
        <f aca="false">ROUNDUP(J677,0)</f>
        <v>53</v>
      </c>
      <c r="L677" s="22" t="n">
        <f aca="false">MAX(D677,K677)</f>
        <v>53</v>
      </c>
      <c r="M677" s="25" t="n">
        <f aca="false">IF(E677="COVERED",'Controls &amp; Sources'!$B$5,'Controls &amp; Sources'!$B$6)</f>
        <v>7.55</v>
      </c>
      <c r="N677" s="25" t="n">
        <f aca="false">L677*M677</f>
        <v>400.15</v>
      </c>
      <c r="O677" s="22" t="n">
        <f aca="false">COUNTIFS('Billing Actual'!$E$2:$E$770,A677,'Billing Actual'!$B$2:$B$770,'Controls &amp; Sources'!$B$7)</f>
        <v>1</v>
      </c>
      <c r="P677" s="25" t="n">
        <f aca="false">SUMIFS('Billing Actual'!$M$2:$M$770,'Billing Actual'!$E$2:$E$770,A677,'Billing Actual'!$B$2:$B$770,'Controls &amp; Sources'!$B$7)</f>
        <v>400.15</v>
      </c>
      <c r="Q677" s="25" t="n">
        <f aca="false">P677-N677</f>
        <v>0</v>
      </c>
      <c r="R677" s="22" t="str">
        <f aca="false">IF(O677=0,"No August moorage transaction",IF(O677&gt;1,"Duplicate August transactions",IF(ABS(Q677)&gt;0.005,"Charge variance","OK")))</f>
        <v>OK</v>
      </c>
      <c r="S677" s="22" t="str">
        <f aca="false">IF(R677="OK","","Billing completeness/reconciliation")</f>
        <v/>
      </c>
    </row>
    <row r="678" customFormat="false" ht="15" hidden="false" customHeight="false" outlineLevel="0" collapsed="false">
      <c r="A678" s="22" t="s">
        <v>8018</v>
      </c>
      <c r="B678" s="22" t="s">
        <v>215</v>
      </c>
      <c r="C678" s="22" t="s">
        <v>7694</v>
      </c>
      <c r="D678" s="22" t="n">
        <v>40</v>
      </c>
      <c r="E678" s="22" t="s">
        <v>7696</v>
      </c>
      <c r="F678" s="22" t="s">
        <v>6577</v>
      </c>
      <c r="G678" s="22" t="s">
        <v>2659</v>
      </c>
      <c r="H678" s="22" t="s">
        <v>2660</v>
      </c>
      <c r="I678" s="22" t="s">
        <v>1945</v>
      </c>
      <c r="J678" s="22" t="n">
        <v>21.2</v>
      </c>
      <c r="K678" s="22" t="n">
        <f aca="false">ROUNDUP(J678,0)</f>
        <v>22</v>
      </c>
      <c r="L678" s="22" t="n">
        <f aca="false">MAX(D678,K678)</f>
        <v>40</v>
      </c>
      <c r="M678" s="25" t="n">
        <f aca="false">IF(E678="COVERED",'Controls &amp; Sources'!$B$5,'Controls &amp; Sources'!$B$6)</f>
        <v>7.55</v>
      </c>
      <c r="N678" s="25" t="n">
        <f aca="false">L678*M678</f>
        <v>302</v>
      </c>
      <c r="O678" s="22" t="n">
        <f aca="false">COUNTIFS('Billing Actual'!$E$2:$E$770,A678,'Billing Actual'!$B$2:$B$770,'Controls &amp; Sources'!$B$7)</f>
        <v>1</v>
      </c>
      <c r="P678" s="25" t="n">
        <f aca="false">SUMIFS('Billing Actual'!$M$2:$M$770,'Billing Actual'!$E$2:$E$770,A678,'Billing Actual'!$B$2:$B$770,'Controls &amp; Sources'!$B$7)</f>
        <v>302</v>
      </c>
      <c r="Q678" s="25" t="n">
        <f aca="false">P678-N678</f>
        <v>0</v>
      </c>
      <c r="R678" s="22" t="str">
        <f aca="false">IF(O678=0,"No August moorage transaction",IF(O678&gt;1,"Duplicate August transactions",IF(ABS(Q678)&gt;0.005,"Charge variance","OK")))</f>
        <v>OK</v>
      </c>
      <c r="S678" s="22" t="str">
        <f aca="false">IF(R678="OK","","Billing completeness/reconciliation")</f>
        <v/>
      </c>
    </row>
    <row r="679" customFormat="false" ht="15" hidden="false" customHeight="false" outlineLevel="0" collapsed="false">
      <c r="A679" s="22" t="s">
        <v>8019</v>
      </c>
      <c r="B679" s="22" t="s">
        <v>215</v>
      </c>
      <c r="C679" s="22" t="s">
        <v>7694</v>
      </c>
      <c r="D679" s="22" t="n">
        <v>40</v>
      </c>
      <c r="E679" s="22" t="s">
        <v>7696</v>
      </c>
      <c r="F679" s="22" t="s">
        <v>6577</v>
      </c>
      <c r="G679" s="22" t="s">
        <v>4076</v>
      </c>
      <c r="H679" s="22" t="s">
        <v>4077</v>
      </c>
      <c r="I679" s="22" t="s">
        <v>841</v>
      </c>
      <c r="J679" s="22" t="n">
        <v>34.4</v>
      </c>
      <c r="K679" s="22" t="n">
        <f aca="false">ROUNDUP(J679,0)</f>
        <v>35</v>
      </c>
      <c r="L679" s="22" t="n">
        <f aca="false">MAX(D679,K679)</f>
        <v>40</v>
      </c>
      <c r="M679" s="25" t="n">
        <f aca="false">IF(E679="COVERED",'Controls &amp; Sources'!$B$5,'Controls &amp; Sources'!$B$6)</f>
        <v>7.55</v>
      </c>
      <c r="N679" s="25" t="n">
        <f aca="false">L679*M679</f>
        <v>302</v>
      </c>
      <c r="O679" s="22" t="n">
        <f aca="false">COUNTIFS('Billing Actual'!$E$2:$E$770,A679,'Billing Actual'!$B$2:$B$770,'Controls &amp; Sources'!$B$7)</f>
        <v>1</v>
      </c>
      <c r="P679" s="25" t="n">
        <f aca="false">SUMIFS('Billing Actual'!$M$2:$M$770,'Billing Actual'!$E$2:$E$770,A679,'Billing Actual'!$B$2:$B$770,'Controls &amp; Sources'!$B$7)</f>
        <v>302</v>
      </c>
      <c r="Q679" s="25" t="n">
        <f aca="false">P679-N679</f>
        <v>0</v>
      </c>
      <c r="R679" s="22" t="str">
        <f aca="false">IF(O679=0,"No August moorage transaction",IF(O679&gt;1,"Duplicate August transactions",IF(ABS(Q679)&gt;0.005,"Charge variance","OK")))</f>
        <v>OK</v>
      </c>
      <c r="S679" s="22" t="str">
        <f aca="false">IF(R679="OK","","Billing completeness/reconciliation")</f>
        <v/>
      </c>
    </row>
    <row r="680" customFormat="false" ht="15" hidden="false" customHeight="false" outlineLevel="0" collapsed="false">
      <c r="A680" s="22" t="s">
        <v>8020</v>
      </c>
      <c r="B680" s="22" t="s">
        <v>215</v>
      </c>
      <c r="C680" s="22" t="s">
        <v>7694</v>
      </c>
      <c r="D680" s="22" t="n">
        <v>24</v>
      </c>
      <c r="E680" s="22" t="s">
        <v>7696</v>
      </c>
      <c r="F680" s="22" t="s">
        <v>6577</v>
      </c>
      <c r="G680" s="22" t="s">
        <v>5443</v>
      </c>
      <c r="H680" s="22" t="s">
        <v>5444</v>
      </c>
      <c r="I680" s="22" t="s">
        <v>2871</v>
      </c>
      <c r="J680" s="22" t="n">
        <v>20.7</v>
      </c>
      <c r="K680" s="22" t="n">
        <f aca="false">ROUNDUP(J680,0)</f>
        <v>21</v>
      </c>
      <c r="L680" s="22" t="n">
        <f aca="false">MAX(D680,K680)</f>
        <v>24</v>
      </c>
      <c r="M680" s="25" t="n">
        <f aca="false">IF(E680="COVERED",'Controls &amp; Sources'!$B$5,'Controls &amp; Sources'!$B$6)</f>
        <v>7.55</v>
      </c>
      <c r="N680" s="25" t="n">
        <f aca="false">L680*M680</f>
        <v>181.2</v>
      </c>
      <c r="O680" s="22" t="n">
        <f aca="false">COUNTIFS('Billing Actual'!$E$2:$E$770,A680,'Billing Actual'!$B$2:$B$770,'Controls &amp; Sources'!$B$7)</f>
        <v>1</v>
      </c>
      <c r="P680" s="25" t="n">
        <f aca="false">SUMIFS('Billing Actual'!$M$2:$M$770,'Billing Actual'!$E$2:$E$770,A680,'Billing Actual'!$B$2:$B$770,'Controls &amp; Sources'!$B$7)</f>
        <v>181.2</v>
      </c>
      <c r="Q680" s="25" t="n">
        <f aca="false">P680-N680</f>
        <v>0</v>
      </c>
      <c r="R680" s="22" t="str">
        <f aca="false">IF(O680=0,"No August moorage transaction",IF(O680&gt;1,"Duplicate August transactions",IF(ABS(Q680)&gt;0.005,"Charge variance","OK")))</f>
        <v>OK</v>
      </c>
      <c r="S680" s="22" t="str">
        <f aca="false">IF(R680="OK","","Billing completeness/reconciliation")</f>
        <v/>
      </c>
    </row>
    <row r="681" customFormat="false" ht="15" hidden="false" customHeight="false" outlineLevel="0" collapsed="false">
      <c r="A681" s="22" t="s">
        <v>8021</v>
      </c>
      <c r="B681" s="22" t="s">
        <v>215</v>
      </c>
      <c r="C681" s="22" t="s">
        <v>7694</v>
      </c>
      <c r="D681" s="22" t="n">
        <v>28</v>
      </c>
      <c r="E681" s="22" t="s">
        <v>7696</v>
      </c>
      <c r="F681" s="22" t="s">
        <v>6577</v>
      </c>
      <c r="G681" s="22" t="s">
        <v>2076</v>
      </c>
      <c r="H681" s="22" t="s">
        <v>2077</v>
      </c>
      <c r="I681" s="22" t="s">
        <v>2078</v>
      </c>
      <c r="J681" s="22" t="n">
        <v>55.1</v>
      </c>
      <c r="K681" s="22" t="n">
        <f aca="false">ROUNDUP(J681,0)</f>
        <v>56</v>
      </c>
      <c r="L681" s="22" t="n">
        <f aca="false">MAX(D681,K681)</f>
        <v>56</v>
      </c>
      <c r="M681" s="25" t="n">
        <f aca="false">IF(E681="COVERED",'Controls &amp; Sources'!$B$5,'Controls &amp; Sources'!$B$6)</f>
        <v>7.55</v>
      </c>
      <c r="N681" s="25" t="n">
        <f aca="false">L681*M681</f>
        <v>422.8</v>
      </c>
      <c r="O681" s="22" t="n">
        <f aca="false">COUNTIFS('Billing Actual'!$E$2:$E$770,A681,'Billing Actual'!$B$2:$B$770,'Controls &amp; Sources'!$B$7)</f>
        <v>1</v>
      </c>
      <c r="P681" s="25" t="n">
        <f aca="false">SUMIFS('Billing Actual'!$M$2:$M$770,'Billing Actual'!$E$2:$E$770,A681,'Billing Actual'!$B$2:$B$770,'Controls &amp; Sources'!$B$7)</f>
        <v>422.8</v>
      </c>
      <c r="Q681" s="25" t="n">
        <f aca="false">P681-N681</f>
        <v>0</v>
      </c>
      <c r="R681" s="22" t="str">
        <f aca="false">IF(O681=0,"No August moorage transaction",IF(O681&gt;1,"Duplicate August transactions",IF(ABS(Q681)&gt;0.005,"Charge variance","OK")))</f>
        <v>OK</v>
      </c>
      <c r="S681" s="22" t="str">
        <f aca="false">IF(R681="OK","","Billing completeness/reconciliation")</f>
        <v/>
      </c>
    </row>
    <row r="682" customFormat="false" ht="15" hidden="false" customHeight="false" outlineLevel="0" collapsed="false">
      <c r="A682" s="22" t="s">
        <v>8022</v>
      </c>
      <c r="B682" s="22" t="s">
        <v>215</v>
      </c>
      <c r="C682" s="22" t="s">
        <v>7694</v>
      </c>
      <c r="D682" s="22" t="n">
        <v>32</v>
      </c>
      <c r="E682" s="22" t="s">
        <v>7696</v>
      </c>
      <c r="F682" s="22" t="s">
        <v>6577</v>
      </c>
      <c r="G682" s="22" t="s">
        <v>4152</v>
      </c>
      <c r="H682" s="22" t="s">
        <v>4153</v>
      </c>
      <c r="I682" s="22" t="s">
        <v>318</v>
      </c>
      <c r="J682" s="22" t="n">
        <v>61.8</v>
      </c>
      <c r="K682" s="22" t="n">
        <f aca="false">ROUNDUP(J682,0)</f>
        <v>62</v>
      </c>
      <c r="L682" s="22" t="n">
        <f aca="false">MAX(D682,K682)</f>
        <v>62</v>
      </c>
      <c r="M682" s="25" t="n">
        <f aca="false">IF(E682="COVERED",'Controls &amp; Sources'!$B$5,'Controls &amp; Sources'!$B$6)</f>
        <v>7.55</v>
      </c>
      <c r="N682" s="25" t="n">
        <f aca="false">L682*M682</f>
        <v>468.1</v>
      </c>
      <c r="O682" s="22" t="n">
        <f aca="false">COUNTIFS('Billing Actual'!$E$2:$E$770,A682,'Billing Actual'!$B$2:$B$770,'Controls &amp; Sources'!$B$7)</f>
        <v>1</v>
      </c>
      <c r="P682" s="25" t="n">
        <f aca="false">SUMIFS('Billing Actual'!$M$2:$M$770,'Billing Actual'!$E$2:$E$770,A682,'Billing Actual'!$B$2:$B$770,'Controls &amp; Sources'!$B$7)</f>
        <v>468.1</v>
      </c>
      <c r="Q682" s="25" t="n">
        <f aca="false">P682-N682</f>
        <v>0</v>
      </c>
      <c r="R682" s="22" t="str">
        <f aca="false">IF(O682=0,"No August moorage transaction",IF(O682&gt;1,"Duplicate August transactions",IF(ABS(Q682)&gt;0.005,"Charge variance","OK")))</f>
        <v>OK</v>
      </c>
      <c r="S682" s="22" t="str">
        <f aca="false">IF(R682="OK","","Billing completeness/reconciliation")</f>
        <v/>
      </c>
    </row>
    <row r="683" customFormat="false" ht="15" hidden="false" customHeight="false" outlineLevel="0" collapsed="false">
      <c r="A683" s="22" t="s">
        <v>8023</v>
      </c>
      <c r="B683" s="22" t="s">
        <v>215</v>
      </c>
      <c r="C683" s="22" t="s">
        <v>7694</v>
      </c>
      <c r="D683" s="22" t="n">
        <v>28</v>
      </c>
      <c r="E683" s="22" t="s">
        <v>7696</v>
      </c>
      <c r="F683" s="22" t="s">
        <v>6577</v>
      </c>
      <c r="G683" s="22" t="s">
        <v>1593</v>
      </c>
      <c r="H683" s="22" t="s">
        <v>1594</v>
      </c>
      <c r="I683" s="22" t="s">
        <v>1383</v>
      </c>
      <c r="J683" s="22" t="n">
        <v>60.8</v>
      </c>
      <c r="K683" s="22" t="n">
        <f aca="false">ROUNDUP(J683,0)</f>
        <v>61</v>
      </c>
      <c r="L683" s="22" t="n">
        <f aca="false">MAX(D683,K683)</f>
        <v>61</v>
      </c>
      <c r="M683" s="25" t="n">
        <f aca="false">IF(E683="COVERED",'Controls &amp; Sources'!$B$5,'Controls &amp; Sources'!$B$6)</f>
        <v>7.55</v>
      </c>
      <c r="N683" s="25" t="n">
        <f aca="false">L683*M683</f>
        <v>460.55</v>
      </c>
      <c r="O683" s="22" t="n">
        <f aca="false">COUNTIFS('Billing Actual'!$E$2:$E$770,A683,'Billing Actual'!$B$2:$B$770,'Controls &amp; Sources'!$B$7)</f>
        <v>1</v>
      </c>
      <c r="P683" s="25" t="n">
        <f aca="false">SUMIFS('Billing Actual'!$M$2:$M$770,'Billing Actual'!$E$2:$E$770,A683,'Billing Actual'!$B$2:$B$770,'Controls &amp; Sources'!$B$7)</f>
        <v>460.55</v>
      </c>
      <c r="Q683" s="25" t="n">
        <f aca="false">P683-N683</f>
        <v>0</v>
      </c>
      <c r="R683" s="22" t="str">
        <f aca="false">IF(O683=0,"No August moorage transaction",IF(O683&gt;1,"Duplicate August transactions",IF(ABS(Q683)&gt;0.005,"Charge variance","OK")))</f>
        <v>OK</v>
      </c>
      <c r="S683" s="22" t="str">
        <f aca="false">IF(R683="OK","","Billing completeness/reconciliation")</f>
        <v/>
      </c>
    </row>
    <row r="684" customFormat="false" ht="15" hidden="false" customHeight="false" outlineLevel="0" collapsed="false">
      <c r="A684" s="22" t="s">
        <v>8024</v>
      </c>
      <c r="B684" s="22" t="s">
        <v>215</v>
      </c>
      <c r="C684" s="22" t="s">
        <v>7694</v>
      </c>
      <c r="D684" s="22" t="n">
        <v>45</v>
      </c>
      <c r="E684" s="22" t="s">
        <v>7696</v>
      </c>
      <c r="F684" s="22" t="s">
        <v>6577</v>
      </c>
      <c r="G684" s="22" t="s">
        <v>5905</v>
      </c>
      <c r="H684" s="22" t="s">
        <v>5906</v>
      </c>
      <c r="I684" s="22" t="s">
        <v>1553</v>
      </c>
      <c r="J684" s="22" t="n">
        <v>50.6</v>
      </c>
      <c r="K684" s="22" t="n">
        <f aca="false">ROUNDUP(J684,0)</f>
        <v>51</v>
      </c>
      <c r="L684" s="22" t="n">
        <f aca="false">MAX(D684,K684)</f>
        <v>51</v>
      </c>
      <c r="M684" s="25" t="n">
        <f aca="false">IF(E684="COVERED",'Controls &amp; Sources'!$B$5,'Controls &amp; Sources'!$B$6)</f>
        <v>7.55</v>
      </c>
      <c r="N684" s="25" t="n">
        <f aca="false">L684*M684</f>
        <v>385.05</v>
      </c>
      <c r="O684" s="22" t="n">
        <f aca="false">COUNTIFS('Billing Actual'!$E$2:$E$770,A684,'Billing Actual'!$B$2:$B$770,'Controls &amp; Sources'!$B$7)</f>
        <v>1</v>
      </c>
      <c r="P684" s="25" t="n">
        <f aca="false">SUMIFS('Billing Actual'!$M$2:$M$770,'Billing Actual'!$E$2:$E$770,A684,'Billing Actual'!$B$2:$B$770,'Controls &amp; Sources'!$B$7)</f>
        <v>385.05</v>
      </c>
      <c r="Q684" s="25" t="n">
        <f aca="false">P684-N684</f>
        <v>0</v>
      </c>
      <c r="R684" s="22" t="str">
        <f aca="false">IF(O684=0,"No August moorage transaction",IF(O684&gt;1,"Duplicate August transactions",IF(ABS(Q684)&gt;0.005,"Charge variance","OK")))</f>
        <v>OK</v>
      </c>
      <c r="S684" s="22" t="str">
        <f aca="false">IF(R684="OK","","Billing completeness/reconciliation")</f>
        <v/>
      </c>
    </row>
    <row r="685" customFormat="false" ht="15" hidden="false" customHeight="false" outlineLevel="0" collapsed="false">
      <c r="A685" s="22" t="s">
        <v>8026</v>
      </c>
      <c r="B685" s="22" t="s">
        <v>215</v>
      </c>
      <c r="C685" s="22" t="s">
        <v>7694</v>
      </c>
      <c r="D685" s="22" t="n">
        <v>70</v>
      </c>
      <c r="E685" s="22" t="s">
        <v>7696</v>
      </c>
      <c r="F685" s="22" t="s">
        <v>6577</v>
      </c>
      <c r="G685" s="22" t="s">
        <v>6510</v>
      </c>
      <c r="H685" s="22" t="s">
        <v>6511</v>
      </c>
      <c r="I685" s="22" t="s">
        <v>991</v>
      </c>
      <c r="J685" s="22" t="n">
        <v>57.5</v>
      </c>
      <c r="K685" s="22" t="n">
        <f aca="false">ROUNDUP(J685,0)</f>
        <v>58</v>
      </c>
      <c r="L685" s="22" t="n">
        <f aca="false">MAX(D685,K685)</f>
        <v>70</v>
      </c>
      <c r="M685" s="25" t="n">
        <f aca="false">IF(E685="COVERED",'Controls &amp; Sources'!$B$5,'Controls &amp; Sources'!$B$6)</f>
        <v>7.55</v>
      </c>
      <c r="N685" s="25" t="n">
        <f aca="false">L685*M685</f>
        <v>528.5</v>
      </c>
      <c r="O685" s="22" t="n">
        <f aca="false">COUNTIFS('Billing Actual'!$E$2:$E$770,A685,'Billing Actual'!$B$2:$B$770,'Controls &amp; Sources'!$B$7)</f>
        <v>1</v>
      </c>
      <c r="P685" s="25" t="n">
        <f aca="false">SUMIFS('Billing Actual'!$M$2:$M$770,'Billing Actual'!$E$2:$E$770,A685,'Billing Actual'!$B$2:$B$770,'Controls &amp; Sources'!$B$7)</f>
        <v>528.5</v>
      </c>
      <c r="Q685" s="25" t="n">
        <f aca="false">P685-N685</f>
        <v>0</v>
      </c>
      <c r="R685" s="22" t="str">
        <f aca="false">IF(O685=0,"No August moorage transaction",IF(O685&gt;1,"Duplicate August transactions",IF(ABS(Q685)&gt;0.005,"Charge variance","OK")))</f>
        <v>OK</v>
      </c>
      <c r="S685" s="22" t="str">
        <f aca="false">IF(R685="OK","","Billing completeness/reconciliation")</f>
        <v/>
      </c>
    </row>
    <row r="686" customFormat="false" ht="15" hidden="false" customHeight="false" outlineLevel="0" collapsed="false">
      <c r="A686" s="22" t="s">
        <v>8028</v>
      </c>
      <c r="B686" s="22" t="s">
        <v>215</v>
      </c>
      <c r="C686" s="22" t="s">
        <v>7694</v>
      </c>
      <c r="D686" s="22" t="n">
        <v>32</v>
      </c>
      <c r="E686" s="22" t="s">
        <v>7696</v>
      </c>
      <c r="F686" s="22" t="s">
        <v>6577</v>
      </c>
      <c r="G686" s="22" t="s">
        <v>2170</v>
      </c>
      <c r="H686" s="22" t="s">
        <v>2171</v>
      </c>
      <c r="I686" s="22" t="s">
        <v>2172</v>
      </c>
      <c r="J686" s="22" t="n">
        <v>39</v>
      </c>
      <c r="K686" s="22" t="n">
        <f aca="false">ROUNDUP(J686,0)</f>
        <v>39</v>
      </c>
      <c r="L686" s="22" t="n">
        <f aca="false">MAX(D686,K686)</f>
        <v>39</v>
      </c>
      <c r="M686" s="25" t="n">
        <f aca="false">IF(E686="COVERED",'Controls &amp; Sources'!$B$5,'Controls &amp; Sources'!$B$6)</f>
        <v>7.55</v>
      </c>
      <c r="N686" s="25" t="n">
        <f aca="false">L686*M686</f>
        <v>294.45</v>
      </c>
      <c r="O686" s="22" t="n">
        <f aca="false">COUNTIFS('Billing Actual'!$E$2:$E$770,A686,'Billing Actual'!$B$2:$B$770,'Controls &amp; Sources'!$B$7)</f>
        <v>1</v>
      </c>
      <c r="P686" s="25" t="n">
        <f aca="false">SUMIFS('Billing Actual'!$M$2:$M$770,'Billing Actual'!$E$2:$E$770,A686,'Billing Actual'!$B$2:$B$770,'Controls &amp; Sources'!$B$7)</f>
        <v>294.45</v>
      </c>
      <c r="Q686" s="25" t="n">
        <f aca="false">P686-N686</f>
        <v>0</v>
      </c>
      <c r="R686" s="22" t="str">
        <f aca="false">IF(O686=0,"No August moorage transaction",IF(O686&gt;1,"Duplicate August transactions",IF(ABS(Q686)&gt;0.005,"Charge variance","OK")))</f>
        <v>OK</v>
      </c>
      <c r="S686" s="22" t="str">
        <f aca="false">IF(R686="OK","","Billing completeness/reconciliation")</f>
        <v/>
      </c>
    </row>
    <row r="687" customFormat="false" ht="15" hidden="false" customHeight="false" outlineLevel="0" collapsed="false">
      <c r="A687" s="22" t="s">
        <v>8030</v>
      </c>
      <c r="B687" s="22" t="s">
        <v>215</v>
      </c>
      <c r="C687" s="22" t="s">
        <v>7694</v>
      </c>
      <c r="D687" s="22" t="n">
        <v>60</v>
      </c>
      <c r="E687" s="22" t="s">
        <v>7696</v>
      </c>
      <c r="F687" s="22" t="s">
        <v>6577</v>
      </c>
      <c r="G687" s="22" t="s">
        <v>2252</v>
      </c>
      <c r="H687" s="22" t="s">
        <v>2253</v>
      </c>
      <c r="I687" s="22" t="s">
        <v>1626</v>
      </c>
      <c r="J687" s="22" t="n">
        <v>26.5</v>
      </c>
      <c r="K687" s="22" t="n">
        <f aca="false">ROUNDUP(J687,0)</f>
        <v>27</v>
      </c>
      <c r="L687" s="22" t="n">
        <f aca="false">MAX(D687,K687)</f>
        <v>60</v>
      </c>
      <c r="M687" s="25" t="n">
        <f aca="false">IF(E687="COVERED",'Controls &amp; Sources'!$B$5,'Controls &amp; Sources'!$B$6)</f>
        <v>7.55</v>
      </c>
      <c r="N687" s="25" t="n">
        <f aca="false">L687*M687</f>
        <v>453</v>
      </c>
      <c r="O687" s="22" t="n">
        <f aca="false">COUNTIFS('Billing Actual'!$E$2:$E$770,A687,'Billing Actual'!$B$2:$B$770,'Controls &amp; Sources'!$B$7)</f>
        <v>1</v>
      </c>
      <c r="P687" s="25" t="n">
        <f aca="false">SUMIFS('Billing Actual'!$M$2:$M$770,'Billing Actual'!$E$2:$E$770,A687,'Billing Actual'!$B$2:$B$770,'Controls &amp; Sources'!$B$7)</f>
        <v>453</v>
      </c>
      <c r="Q687" s="25" t="n">
        <f aca="false">P687-N687</f>
        <v>0</v>
      </c>
      <c r="R687" s="22" t="str">
        <f aca="false">IF(O687=0,"No August moorage transaction",IF(O687&gt;1,"Duplicate August transactions",IF(ABS(Q687)&gt;0.005,"Charge variance","OK")))</f>
        <v>OK</v>
      </c>
      <c r="S687" s="22" t="str">
        <f aca="false">IF(R687="OK","","Billing completeness/reconciliation")</f>
        <v/>
      </c>
    </row>
    <row r="688" customFormat="false" ht="15" hidden="false" customHeight="false" outlineLevel="0" collapsed="false">
      <c r="A688" s="22" t="s">
        <v>8032</v>
      </c>
      <c r="B688" s="22" t="s">
        <v>215</v>
      </c>
      <c r="C688" s="22" t="s">
        <v>7694</v>
      </c>
      <c r="D688" s="22" t="n">
        <v>24</v>
      </c>
      <c r="E688" s="22" t="s">
        <v>7696</v>
      </c>
      <c r="F688" s="22" t="s">
        <v>6577</v>
      </c>
      <c r="G688" s="22" t="s">
        <v>5098</v>
      </c>
      <c r="H688" s="22" t="s">
        <v>5099</v>
      </c>
      <c r="I688" s="22" t="s">
        <v>208</v>
      </c>
      <c r="J688" s="22" t="n">
        <v>33.7</v>
      </c>
      <c r="K688" s="22" t="n">
        <f aca="false">ROUNDUP(J688,0)</f>
        <v>34</v>
      </c>
      <c r="L688" s="22" t="n">
        <f aca="false">MAX(D688,K688)</f>
        <v>34</v>
      </c>
      <c r="M688" s="25" t="n">
        <f aca="false">IF(E688="COVERED",'Controls &amp; Sources'!$B$5,'Controls &amp; Sources'!$B$6)</f>
        <v>7.55</v>
      </c>
      <c r="N688" s="25" t="n">
        <f aca="false">L688*M688</f>
        <v>256.7</v>
      </c>
      <c r="O688" s="22" t="n">
        <f aca="false">COUNTIFS('Billing Actual'!$E$2:$E$770,A688,'Billing Actual'!$B$2:$B$770,'Controls &amp; Sources'!$B$7)</f>
        <v>1</v>
      </c>
      <c r="P688" s="25" t="n">
        <f aca="false">SUMIFS('Billing Actual'!$M$2:$M$770,'Billing Actual'!$E$2:$E$770,A688,'Billing Actual'!$B$2:$B$770,'Controls &amp; Sources'!$B$7)</f>
        <v>256.7</v>
      </c>
      <c r="Q688" s="25" t="n">
        <f aca="false">P688-N688</f>
        <v>0</v>
      </c>
      <c r="R688" s="22" t="str">
        <f aca="false">IF(O688=0,"No August moorage transaction",IF(O688&gt;1,"Duplicate August transactions",IF(ABS(Q688)&gt;0.005,"Charge variance","OK")))</f>
        <v>OK</v>
      </c>
      <c r="S688" s="22" t="str">
        <f aca="false">IF(R688="OK","","Billing completeness/reconciliation")</f>
        <v/>
      </c>
    </row>
    <row r="689" customFormat="false" ht="15" hidden="false" customHeight="false" outlineLevel="0" collapsed="false">
      <c r="A689" s="22" t="s">
        <v>8035</v>
      </c>
      <c r="B689" s="22" t="s">
        <v>499</v>
      </c>
      <c r="C689" s="22" t="s">
        <v>7694</v>
      </c>
      <c r="D689" s="22" t="n">
        <v>40</v>
      </c>
      <c r="E689" s="22" t="s">
        <v>7696</v>
      </c>
      <c r="F689" s="22" t="s">
        <v>6577</v>
      </c>
      <c r="G689" s="22" t="s">
        <v>558</v>
      </c>
      <c r="H689" s="22" t="s">
        <v>559</v>
      </c>
      <c r="I689" s="22" t="s">
        <v>560</v>
      </c>
      <c r="J689" s="22" t="n">
        <v>43.8</v>
      </c>
      <c r="K689" s="22" t="n">
        <f aca="false">ROUNDUP(J689,0)</f>
        <v>44</v>
      </c>
      <c r="L689" s="22" t="n">
        <f aca="false">MAX(D689,K689)</f>
        <v>44</v>
      </c>
      <c r="M689" s="25" t="n">
        <f aca="false">IF(E689="COVERED",'Controls &amp; Sources'!$B$5,'Controls &amp; Sources'!$B$6)</f>
        <v>7.55</v>
      </c>
      <c r="N689" s="25" t="n">
        <f aca="false">L689*M689</f>
        <v>332.2</v>
      </c>
      <c r="O689" s="22" t="n">
        <f aca="false">COUNTIFS('Billing Actual'!$E$2:$E$770,A689,'Billing Actual'!$B$2:$B$770,'Controls &amp; Sources'!$B$7)</f>
        <v>1</v>
      </c>
      <c r="P689" s="25" t="n">
        <f aca="false">SUMIFS('Billing Actual'!$M$2:$M$770,'Billing Actual'!$E$2:$E$770,A689,'Billing Actual'!$B$2:$B$770,'Controls &amp; Sources'!$B$7)</f>
        <v>332.2</v>
      </c>
      <c r="Q689" s="25" t="n">
        <f aca="false">P689-N689</f>
        <v>0</v>
      </c>
      <c r="R689" s="22" t="str">
        <f aca="false">IF(O689=0,"No August moorage transaction",IF(O689&gt;1,"Duplicate August transactions",IF(ABS(Q689)&gt;0.005,"Charge variance","OK")))</f>
        <v>OK</v>
      </c>
      <c r="S689" s="22" t="str">
        <f aca="false">IF(R689="OK","","Billing completeness/reconciliation")</f>
        <v/>
      </c>
    </row>
    <row r="690" customFormat="false" ht="15" hidden="false" customHeight="false" outlineLevel="0" collapsed="false">
      <c r="A690" s="22" t="s">
        <v>8037</v>
      </c>
      <c r="B690" s="22" t="s">
        <v>499</v>
      </c>
      <c r="C690" s="22" t="s">
        <v>7694</v>
      </c>
      <c r="D690" s="22" t="n">
        <v>45</v>
      </c>
      <c r="E690" s="22" t="s">
        <v>7696</v>
      </c>
      <c r="F690" s="22" t="s">
        <v>6577</v>
      </c>
      <c r="G690" s="22" t="s">
        <v>3152</v>
      </c>
      <c r="H690" s="22" t="s">
        <v>3153</v>
      </c>
      <c r="I690" s="22" t="s">
        <v>448</v>
      </c>
      <c r="J690" s="22" t="n">
        <v>21.9</v>
      </c>
      <c r="K690" s="22" t="n">
        <f aca="false">ROUNDUP(J690,0)</f>
        <v>22</v>
      </c>
      <c r="L690" s="22" t="n">
        <f aca="false">MAX(D690,K690)</f>
        <v>45</v>
      </c>
      <c r="M690" s="25" t="n">
        <f aca="false">IF(E690="COVERED",'Controls &amp; Sources'!$B$5,'Controls &amp; Sources'!$B$6)</f>
        <v>7.55</v>
      </c>
      <c r="N690" s="25" t="n">
        <f aca="false">L690*M690</f>
        <v>339.75</v>
      </c>
      <c r="O690" s="22" t="n">
        <f aca="false">COUNTIFS('Billing Actual'!$E$2:$E$770,A690,'Billing Actual'!$B$2:$B$770,'Controls &amp; Sources'!$B$7)</f>
        <v>1</v>
      </c>
      <c r="P690" s="25" t="n">
        <f aca="false">SUMIFS('Billing Actual'!$M$2:$M$770,'Billing Actual'!$E$2:$E$770,A690,'Billing Actual'!$B$2:$B$770,'Controls &amp; Sources'!$B$7)</f>
        <v>339.75</v>
      </c>
      <c r="Q690" s="25" t="n">
        <f aca="false">P690-N690</f>
        <v>0</v>
      </c>
      <c r="R690" s="22" t="str">
        <f aca="false">IF(O690=0,"No August moorage transaction",IF(O690&gt;1,"Duplicate August transactions",IF(ABS(Q690)&gt;0.005,"Charge variance","OK")))</f>
        <v>OK</v>
      </c>
      <c r="S690" s="22" t="str">
        <f aca="false">IF(R690="OK","","Billing completeness/reconciliation")</f>
        <v/>
      </c>
    </row>
    <row r="691" customFormat="false" ht="15" hidden="false" customHeight="false" outlineLevel="0" collapsed="false">
      <c r="A691" s="22" t="s">
        <v>8038</v>
      </c>
      <c r="B691" s="22" t="s">
        <v>499</v>
      </c>
      <c r="C691" s="22" t="s">
        <v>7694</v>
      </c>
      <c r="D691" s="22" t="n">
        <v>40</v>
      </c>
      <c r="E691" s="22" t="s">
        <v>7696</v>
      </c>
      <c r="F691" s="22" t="s">
        <v>6577</v>
      </c>
      <c r="G691" s="22" t="s">
        <v>2596</v>
      </c>
      <c r="H691" s="22" t="s">
        <v>2597</v>
      </c>
      <c r="I691" s="22" t="s">
        <v>1603</v>
      </c>
      <c r="J691" s="22" t="n">
        <v>49.6</v>
      </c>
      <c r="K691" s="22" t="n">
        <f aca="false">ROUNDUP(J691,0)</f>
        <v>50</v>
      </c>
      <c r="L691" s="22" t="n">
        <f aca="false">MAX(D691,K691)</f>
        <v>50</v>
      </c>
      <c r="M691" s="25" t="n">
        <f aca="false">IF(E691="COVERED",'Controls &amp; Sources'!$B$5,'Controls &amp; Sources'!$B$6)</f>
        <v>7.55</v>
      </c>
      <c r="N691" s="25" t="n">
        <f aca="false">L691*M691</f>
        <v>377.5</v>
      </c>
      <c r="O691" s="22" t="n">
        <f aca="false">COUNTIFS('Billing Actual'!$E$2:$E$770,A691,'Billing Actual'!$B$2:$B$770,'Controls &amp; Sources'!$B$7)</f>
        <v>1</v>
      </c>
      <c r="P691" s="25" t="n">
        <f aca="false">SUMIFS('Billing Actual'!$M$2:$M$770,'Billing Actual'!$E$2:$E$770,A691,'Billing Actual'!$B$2:$B$770,'Controls &amp; Sources'!$B$7)</f>
        <v>377.5</v>
      </c>
      <c r="Q691" s="25" t="n">
        <f aca="false">P691-N691</f>
        <v>0</v>
      </c>
      <c r="R691" s="22" t="str">
        <f aca="false">IF(O691=0,"No August moorage transaction",IF(O691&gt;1,"Duplicate August transactions",IF(ABS(Q691)&gt;0.005,"Charge variance","OK")))</f>
        <v>OK</v>
      </c>
      <c r="S691" s="22" t="str">
        <f aca="false">IF(R691="OK","","Billing completeness/reconciliation")</f>
        <v/>
      </c>
    </row>
    <row r="692" customFormat="false" ht="15" hidden="false" customHeight="false" outlineLevel="0" collapsed="false">
      <c r="A692" s="22" t="s">
        <v>8039</v>
      </c>
      <c r="B692" s="22" t="s">
        <v>499</v>
      </c>
      <c r="C692" s="22" t="s">
        <v>7694</v>
      </c>
      <c r="D692" s="22" t="n">
        <v>60</v>
      </c>
      <c r="E692" s="22" t="s">
        <v>7696</v>
      </c>
      <c r="F692" s="22" t="s">
        <v>6577</v>
      </c>
      <c r="G692" s="22" t="s">
        <v>5556</v>
      </c>
      <c r="H692" s="22" t="s">
        <v>5557</v>
      </c>
      <c r="I692" s="22" t="s">
        <v>4873</v>
      </c>
      <c r="J692" s="22" t="n">
        <v>35.5</v>
      </c>
      <c r="K692" s="22" t="n">
        <f aca="false">ROUNDUP(J692,0)</f>
        <v>36</v>
      </c>
      <c r="L692" s="22" t="n">
        <f aca="false">MAX(D692,K692)</f>
        <v>60</v>
      </c>
      <c r="M692" s="25" t="n">
        <f aca="false">IF(E692="COVERED",'Controls &amp; Sources'!$B$5,'Controls &amp; Sources'!$B$6)</f>
        <v>7.55</v>
      </c>
      <c r="N692" s="25" t="n">
        <f aca="false">L692*M692</f>
        <v>453</v>
      </c>
      <c r="O692" s="22" t="n">
        <f aca="false">COUNTIFS('Billing Actual'!$E$2:$E$770,A692,'Billing Actual'!$B$2:$B$770,'Controls &amp; Sources'!$B$7)</f>
        <v>1</v>
      </c>
      <c r="P692" s="25" t="n">
        <f aca="false">SUMIFS('Billing Actual'!$M$2:$M$770,'Billing Actual'!$E$2:$E$770,A692,'Billing Actual'!$B$2:$B$770,'Controls &amp; Sources'!$B$7)</f>
        <v>453</v>
      </c>
      <c r="Q692" s="25" t="n">
        <f aca="false">P692-N692</f>
        <v>0</v>
      </c>
      <c r="R692" s="22" t="str">
        <f aca="false">IF(O692=0,"No August moorage transaction",IF(O692&gt;1,"Duplicate August transactions",IF(ABS(Q692)&gt;0.005,"Charge variance","OK")))</f>
        <v>OK</v>
      </c>
      <c r="S692" s="22" t="str">
        <f aca="false">IF(R692="OK","","Billing completeness/reconciliation")</f>
        <v/>
      </c>
    </row>
    <row r="693" customFormat="false" ht="15" hidden="false" customHeight="false" outlineLevel="0" collapsed="false">
      <c r="A693" s="22" t="s">
        <v>8040</v>
      </c>
      <c r="B693" s="22" t="s">
        <v>499</v>
      </c>
      <c r="C693" s="22" t="s">
        <v>7694</v>
      </c>
      <c r="D693" s="22" t="n">
        <v>80</v>
      </c>
      <c r="E693" s="22" t="s">
        <v>7696</v>
      </c>
      <c r="F693" s="22" t="s">
        <v>6577</v>
      </c>
      <c r="G693" s="22" t="s">
        <v>2136</v>
      </c>
      <c r="H693" s="22" t="s">
        <v>2137</v>
      </c>
      <c r="I693" s="22" t="s">
        <v>2138</v>
      </c>
      <c r="J693" s="22" t="n">
        <v>40.5</v>
      </c>
      <c r="K693" s="22" t="n">
        <f aca="false">ROUNDUP(J693,0)</f>
        <v>41</v>
      </c>
      <c r="L693" s="22" t="n">
        <f aca="false">MAX(D693,K693)</f>
        <v>80</v>
      </c>
      <c r="M693" s="25" t="n">
        <f aca="false">IF(E693="COVERED",'Controls &amp; Sources'!$B$5,'Controls &amp; Sources'!$B$6)</f>
        <v>7.55</v>
      </c>
      <c r="N693" s="25" t="n">
        <f aca="false">L693*M693</f>
        <v>604</v>
      </c>
      <c r="O693" s="22" t="n">
        <f aca="false">COUNTIFS('Billing Actual'!$E$2:$E$770,A693,'Billing Actual'!$B$2:$B$770,'Controls &amp; Sources'!$B$7)</f>
        <v>1</v>
      </c>
      <c r="P693" s="25" t="n">
        <f aca="false">SUMIFS('Billing Actual'!$M$2:$M$770,'Billing Actual'!$E$2:$E$770,A693,'Billing Actual'!$B$2:$B$770,'Controls &amp; Sources'!$B$7)</f>
        <v>604</v>
      </c>
      <c r="Q693" s="25" t="n">
        <f aca="false">P693-N693</f>
        <v>0</v>
      </c>
      <c r="R693" s="22" t="str">
        <f aca="false">IF(O693=0,"No August moorage transaction",IF(O693&gt;1,"Duplicate August transactions",IF(ABS(Q693)&gt;0.005,"Charge variance","OK")))</f>
        <v>OK</v>
      </c>
      <c r="S693" s="22" t="str">
        <f aca="false">IF(R693="OK","","Billing completeness/reconciliation")</f>
        <v/>
      </c>
    </row>
    <row r="694" customFormat="false" ht="15" hidden="false" customHeight="false" outlineLevel="0" collapsed="false">
      <c r="A694" s="22" t="s">
        <v>8043</v>
      </c>
      <c r="B694" s="22" t="s">
        <v>499</v>
      </c>
      <c r="C694" s="22" t="s">
        <v>7694</v>
      </c>
      <c r="D694" s="22" t="n">
        <v>32</v>
      </c>
      <c r="E694" s="22" t="s">
        <v>7696</v>
      </c>
      <c r="F694" s="22" t="s">
        <v>6577</v>
      </c>
      <c r="G694" s="22" t="s">
        <v>4581</v>
      </c>
      <c r="H694" s="22" t="s">
        <v>4582</v>
      </c>
      <c r="I694" s="22" t="s">
        <v>938</v>
      </c>
      <c r="J694" s="22" t="n">
        <v>46.9</v>
      </c>
      <c r="K694" s="22" t="n">
        <f aca="false">ROUNDUP(J694,0)</f>
        <v>47</v>
      </c>
      <c r="L694" s="22" t="n">
        <f aca="false">MAX(D694,K694)</f>
        <v>47</v>
      </c>
      <c r="M694" s="25" t="n">
        <f aca="false">IF(E694="COVERED",'Controls &amp; Sources'!$B$5,'Controls &amp; Sources'!$B$6)</f>
        <v>7.55</v>
      </c>
      <c r="N694" s="25" t="n">
        <f aca="false">L694*M694</f>
        <v>354.85</v>
      </c>
      <c r="O694" s="22" t="n">
        <f aca="false">COUNTIFS('Billing Actual'!$E$2:$E$770,A694,'Billing Actual'!$B$2:$B$770,'Controls &amp; Sources'!$B$7)</f>
        <v>1</v>
      </c>
      <c r="P694" s="25" t="n">
        <f aca="false">SUMIFS('Billing Actual'!$M$2:$M$770,'Billing Actual'!$E$2:$E$770,A694,'Billing Actual'!$B$2:$B$770,'Controls &amp; Sources'!$B$7)</f>
        <v>354.85</v>
      </c>
      <c r="Q694" s="25" t="n">
        <f aca="false">P694-N694</f>
        <v>0</v>
      </c>
      <c r="R694" s="22" t="str">
        <f aca="false">IF(O694=0,"No August moorage transaction",IF(O694&gt;1,"Duplicate August transactions",IF(ABS(Q694)&gt;0.005,"Charge variance","OK")))</f>
        <v>OK</v>
      </c>
      <c r="S694" s="22" t="str">
        <f aca="false">IF(R694="OK","","Billing completeness/reconciliation")</f>
        <v/>
      </c>
    </row>
    <row r="695" customFormat="false" ht="15" hidden="false" customHeight="false" outlineLevel="0" collapsed="false">
      <c r="A695" s="22" t="s">
        <v>8045</v>
      </c>
      <c r="B695" s="22" t="s">
        <v>499</v>
      </c>
      <c r="C695" s="22" t="s">
        <v>7694</v>
      </c>
      <c r="D695" s="22" t="n">
        <v>28</v>
      </c>
      <c r="E695" s="22" t="s">
        <v>7696</v>
      </c>
      <c r="F695" s="22" t="s">
        <v>6577</v>
      </c>
      <c r="G695" s="22" t="s">
        <v>4690</v>
      </c>
      <c r="H695" s="22" t="s">
        <v>4691</v>
      </c>
      <c r="I695" s="22" t="s">
        <v>2653</v>
      </c>
      <c r="J695" s="22" t="n">
        <v>55</v>
      </c>
      <c r="K695" s="22" t="n">
        <f aca="false">ROUNDUP(J695,0)</f>
        <v>55</v>
      </c>
      <c r="L695" s="22" t="n">
        <f aca="false">MAX(D695,K695)</f>
        <v>55</v>
      </c>
      <c r="M695" s="25" t="n">
        <f aca="false">IF(E695="COVERED",'Controls &amp; Sources'!$B$5,'Controls &amp; Sources'!$B$6)</f>
        <v>7.55</v>
      </c>
      <c r="N695" s="25" t="n">
        <f aca="false">L695*M695</f>
        <v>415.25</v>
      </c>
      <c r="O695" s="22" t="n">
        <f aca="false">COUNTIFS('Billing Actual'!$E$2:$E$770,A695,'Billing Actual'!$B$2:$B$770,'Controls &amp; Sources'!$B$7)</f>
        <v>1</v>
      </c>
      <c r="P695" s="25" t="n">
        <f aca="false">SUMIFS('Billing Actual'!$M$2:$M$770,'Billing Actual'!$E$2:$E$770,A695,'Billing Actual'!$B$2:$B$770,'Controls &amp; Sources'!$B$7)</f>
        <v>415.25</v>
      </c>
      <c r="Q695" s="25" t="n">
        <f aca="false">P695-N695</f>
        <v>0</v>
      </c>
      <c r="R695" s="22" t="str">
        <f aca="false">IF(O695=0,"No August moorage transaction",IF(O695&gt;1,"Duplicate August transactions",IF(ABS(Q695)&gt;0.005,"Charge variance","OK")))</f>
        <v>OK</v>
      </c>
      <c r="S695" s="22" t="str">
        <f aca="false">IF(R695="OK","","Billing completeness/reconciliation")</f>
        <v/>
      </c>
    </row>
    <row r="696" customFormat="false" ht="15" hidden="false" customHeight="false" outlineLevel="0" collapsed="false">
      <c r="A696" s="22" t="s">
        <v>8047</v>
      </c>
      <c r="B696" s="22" t="s">
        <v>499</v>
      </c>
      <c r="C696" s="22" t="s">
        <v>7694</v>
      </c>
      <c r="D696" s="22" t="n">
        <v>80</v>
      </c>
      <c r="E696" s="22" t="s">
        <v>7696</v>
      </c>
      <c r="F696" s="22" t="s">
        <v>6577</v>
      </c>
      <c r="G696" s="22" t="s">
        <v>3667</v>
      </c>
      <c r="H696" s="22" t="s">
        <v>3668</v>
      </c>
      <c r="I696" s="22" t="s">
        <v>645</v>
      </c>
      <c r="J696" s="22" t="n">
        <v>42.1</v>
      </c>
      <c r="K696" s="22" t="n">
        <f aca="false">ROUNDUP(J696,0)</f>
        <v>43</v>
      </c>
      <c r="L696" s="22" t="n">
        <f aca="false">MAX(D696,K696)</f>
        <v>80</v>
      </c>
      <c r="M696" s="25" t="n">
        <f aca="false">IF(E696="COVERED",'Controls &amp; Sources'!$B$5,'Controls &amp; Sources'!$B$6)</f>
        <v>7.55</v>
      </c>
      <c r="N696" s="25" t="n">
        <f aca="false">L696*M696</f>
        <v>604</v>
      </c>
      <c r="O696" s="22" t="n">
        <f aca="false">COUNTIFS('Billing Actual'!$E$2:$E$770,A696,'Billing Actual'!$B$2:$B$770,'Controls &amp; Sources'!$B$7)</f>
        <v>1</v>
      </c>
      <c r="P696" s="25" t="n">
        <f aca="false">SUMIFS('Billing Actual'!$M$2:$M$770,'Billing Actual'!$E$2:$E$770,A696,'Billing Actual'!$B$2:$B$770,'Controls &amp; Sources'!$B$7)</f>
        <v>604</v>
      </c>
      <c r="Q696" s="25" t="n">
        <f aca="false">P696-N696</f>
        <v>0</v>
      </c>
      <c r="R696" s="22" t="str">
        <f aca="false">IF(O696=0,"No August moorage transaction",IF(O696&gt;1,"Duplicate August transactions",IF(ABS(Q696)&gt;0.005,"Charge variance","OK")))</f>
        <v>OK</v>
      </c>
      <c r="S696" s="22" t="str">
        <f aca="false">IF(R696="OK","","Billing completeness/reconciliation")</f>
        <v/>
      </c>
    </row>
    <row r="697" customFormat="false" ht="15" hidden="false" customHeight="false" outlineLevel="0" collapsed="false">
      <c r="A697" s="22" t="s">
        <v>8048</v>
      </c>
      <c r="B697" s="22" t="s">
        <v>499</v>
      </c>
      <c r="C697" s="22" t="s">
        <v>7694</v>
      </c>
      <c r="D697" s="22" t="n">
        <v>28</v>
      </c>
      <c r="E697" s="22" t="s">
        <v>7696</v>
      </c>
      <c r="F697" s="22" t="s">
        <v>6577</v>
      </c>
      <c r="G697" s="22" t="s">
        <v>5196</v>
      </c>
      <c r="H697" s="22" t="s">
        <v>5197</v>
      </c>
      <c r="I697" s="22" t="s">
        <v>621</v>
      </c>
      <c r="J697" s="22" t="n">
        <v>59.8</v>
      </c>
      <c r="K697" s="22" t="n">
        <f aca="false">ROUNDUP(J697,0)</f>
        <v>60</v>
      </c>
      <c r="L697" s="22" t="n">
        <f aca="false">MAX(D697,K697)</f>
        <v>60</v>
      </c>
      <c r="M697" s="25" t="n">
        <f aca="false">IF(E697="COVERED",'Controls &amp; Sources'!$B$5,'Controls &amp; Sources'!$B$6)</f>
        <v>7.55</v>
      </c>
      <c r="N697" s="25" t="n">
        <f aca="false">L697*M697</f>
        <v>453</v>
      </c>
      <c r="O697" s="22" t="n">
        <f aca="false">COUNTIFS('Billing Actual'!$E$2:$E$770,A697,'Billing Actual'!$B$2:$B$770,'Controls &amp; Sources'!$B$7)</f>
        <v>1</v>
      </c>
      <c r="P697" s="25" t="n">
        <f aca="false">SUMIFS('Billing Actual'!$M$2:$M$770,'Billing Actual'!$E$2:$E$770,A697,'Billing Actual'!$B$2:$B$770,'Controls &amp; Sources'!$B$7)</f>
        <v>453</v>
      </c>
      <c r="Q697" s="25" t="n">
        <f aca="false">P697-N697</f>
        <v>0</v>
      </c>
      <c r="R697" s="22" t="str">
        <f aca="false">IF(O697=0,"No August moorage transaction",IF(O697&gt;1,"Duplicate August transactions",IF(ABS(Q697)&gt;0.005,"Charge variance","OK")))</f>
        <v>OK</v>
      </c>
      <c r="S697" s="22" t="str">
        <f aca="false">IF(R697="OK","","Billing completeness/reconciliation")</f>
        <v/>
      </c>
    </row>
    <row r="698" customFormat="false" ht="15" hidden="false" customHeight="false" outlineLevel="0" collapsed="false">
      <c r="A698" s="22" t="s">
        <v>8049</v>
      </c>
      <c r="B698" s="22" t="s">
        <v>499</v>
      </c>
      <c r="C698" s="22" t="s">
        <v>7694</v>
      </c>
      <c r="D698" s="22" t="n">
        <v>32</v>
      </c>
      <c r="E698" s="22" t="s">
        <v>7696</v>
      </c>
      <c r="F698" s="22" t="s">
        <v>6577</v>
      </c>
      <c r="G698" s="22" t="s">
        <v>758</v>
      </c>
      <c r="H698" s="22" t="s">
        <v>759</v>
      </c>
      <c r="I698" s="22" t="s">
        <v>404</v>
      </c>
      <c r="J698" s="22" t="n">
        <v>19.8</v>
      </c>
      <c r="K698" s="22" t="n">
        <f aca="false">ROUNDUP(J698,0)</f>
        <v>20</v>
      </c>
      <c r="L698" s="22" t="n">
        <f aca="false">MAX(D698,K698)</f>
        <v>32</v>
      </c>
      <c r="M698" s="25" t="n">
        <f aca="false">IF(E698="COVERED",'Controls &amp; Sources'!$B$5,'Controls &amp; Sources'!$B$6)</f>
        <v>7.55</v>
      </c>
      <c r="N698" s="25" t="n">
        <f aca="false">L698*M698</f>
        <v>241.6</v>
      </c>
      <c r="O698" s="22" t="n">
        <f aca="false">COUNTIFS('Billing Actual'!$E$2:$E$770,A698,'Billing Actual'!$B$2:$B$770,'Controls &amp; Sources'!$B$7)</f>
        <v>1</v>
      </c>
      <c r="P698" s="25" t="n">
        <f aca="false">SUMIFS('Billing Actual'!$M$2:$M$770,'Billing Actual'!$E$2:$E$770,A698,'Billing Actual'!$B$2:$B$770,'Controls &amp; Sources'!$B$7)</f>
        <v>241.6</v>
      </c>
      <c r="Q698" s="25" t="n">
        <f aca="false">P698-N698</f>
        <v>0</v>
      </c>
      <c r="R698" s="22" t="str">
        <f aca="false">IF(O698=0,"No August moorage transaction",IF(O698&gt;1,"Duplicate August transactions",IF(ABS(Q698)&gt;0.005,"Charge variance","OK")))</f>
        <v>OK</v>
      </c>
      <c r="S698" s="22" t="str">
        <f aca="false">IF(R698="OK","","Billing completeness/reconciliation")</f>
        <v/>
      </c>
    </row>
    <row r="699" customFormat="false" ht="15" hidden="false" customHeight="false" outlineLevel="0" collapsed="false">
      <c r="A699" s="22" t="s">
        <v>8050</v>
      </c>
      <c r="B699" s="22" t="s">
        <v>499</v>
      </c>
      <c r="C699" s="22" t="s">
        <v>7694</v>
      </c>
      <c r="D699" s="22" t="n">
        <v>45</v>
      </c>
      <c r="E699" s="22" t="s">
        <v>7696</v>
      </c>
      <c r="F699" s="22" t="s">
        <v>6577</v>
      </c>
      <c r="G699" s="22" t="s">
        <v>891</v>
      </c>
      <c r="H699" s="22" t="s">
        <v>892</v>
      </c>
      <c r="I699" s="22" t="s">
        <v>893</v>
      </c>
      <c r="J699" s="22" t="n">
        <v>45.1</v>
      </c>
      <c r="K699" s="22" t="n">
        <f aca="false">ROUNDUP(J699,0)</f>
        <v>46</v>
      </c>
      <c r="L699" s="22" t="n">
        <f aca="false">MAX(D699,K699)</f>
        <v>46</v>
      </c>
      <c r="M699" s="25" t="n">
        <f aca="false">IF(E699="COVERED",'Controls &amp; Sources'!$B$5,'Controls &amp; Sources'!$B$6)</f>
        <v>7.55</v>
      </c>
      <c r="N699" s="25" t="n">
        <f aca="false">L699*M699</f>
        <v>347.3</v>
      </c>
      <c r="O699" s="22" t="n">
        <f aca="false">COUNTIFS('Billing Actual'!$E$2:$E$770,A699,'Billing Actual'!$B$2:$B$770,'Controls &amp; Sources'!$B$7)</f>
        <v>1</v>
      </c>
      <c r="P699" s="25" t="n">
        <f aca="false">SUMIFS('Billing Actual'!$M$2:$M$770,'Billing Actual'!$E$2:$E$770,A699,'Billing Actual'!$B$2:$B$770,'Controls &amp; Sources'!$B$7)</f>
        <v>347.3</v>
      </c>
      <c r="Q699" s="25" t="n">
        <f aca="false">P699-N699</f>
        <v>0</v>
      </c>
      <c r="R699" s="22" t="str">
        <f aca="false">IF(O699=0,"No August moorage transaction",IF(O699&gt;1,"Duplicate August transactions",IF(ABS(Q699)&gt;0.005,"Charge variance","OK")))</f>
        <v>OK</v>
      </c>
      <c r="S699" s="22" t="str">
        <f aca="false">IF(R699="OK","","Billing completeness/reconciliation")</f>
        <v/>
      </c>
    </row>
    <row r="700" customFormat="false" ht="15" hidden="false" customHeight="false" outlineLevel="0" collapsed="false">
      <c r="A700" s="22" t="s">
        <v>8052</v>
      </c>
      <c r="B700" s="22" t="s">
        <v>499</v>
      </c>
      <c r="C700" s="22" t="s">
        <v>7694</v>
      </c>
      <c r="D700" s="22" t="n">
        <v>24</v>
      </c>
      <c r="E700" s="22" t="s">
        <v>7696</v>
      </c>
      <c r="F700" s="22" t="s">
        <v>6577</v>
      </c>
      <c r="G700" s="22" t="s">
        <v>4702</v>
      </c>
      <c r="H700" s="22" t="s">
        <v>4703</v>
      </c>
      <c r="I700" s="22" t="s">
        <v>4704</v>
      </c>
      <c r="J700" s="22" t="n">
        <v>36.6</v>
      </c>
      <c r="K700" s="22" t="n">
        <f aca="false">ROUNDUP(J700,0)</f>
        <v>37</v>
      </c>
      <c r="L700" s="22" t="n">
        <f aca="false">MAX(D700,K700)</f>
        <v>37</v>
      </c>
      <c r="M700" s="25" t="n">
        <f aca="false">IF(E700="COVERED",'Controls &amp; Sources'!$B$5,'Controls &amp; Sources'!$B$6)</f>
        <v>7.55</v>
      </c>
      <c r="N700" s="25" t="n">
        <f aca="false">L700*M700</f>
        <v>279.35</v>
      </c>
      <c r="O700" s="22" t="n">
        <f aca="false">COUNTIFS('Billing Actual'!$E$2:$E$770,A700,'Billing Actual'!$B$2:$B$770,'Controls &amp; Sources'!$B$7)</f>
        <v>1</v>
      </c>
      <c r="P700" s="25" t="n">
        <f aca="false">SUMIFS('Billing Actual'!$M$2:$M$770,'Billing Actual'!$E$2:$E$770,A700,'Billing Actual'!$B$2:$B$770,'Controls &amp; Sources'!$B$7)</f>
        <v>279.35</v>
      </c>
      <c r="Q700" s="25" t="n">
        <f aca="false">P700-N700</f>
        <v>0</v>
      </c>
      <c r="R700" s="22" t="str">
        <f aca="false">IF(O700=0,"No August moorage transaction",IF(O700&gt;1,"Duplicate August transactions",IF(ABS(Q700)&gt;0.005,"Charge variance","OK")))</f>
        <v>OK</v>
      </c>
      <c r="S700" s="22" t="str">
        <f aca="false">IF(R700="OK","","Billing completeness/reconciliation")</f>
        <v/>
      </c>
    </row>
    <row r="701" customFormat="false" ht="15" hidden="false" customHeight="false" outlineLevel="0" collapsed="false">
      <c r="A701" s="22" t="s">
        <v>8053</v>
      </c>
      <c r="B701" s="22" t="s">
        <v>499</v>
      </c>
      <c r="C701" s="22" t="s">
        <v>7694</v>
      </c>
      <c r="D701" s="22" t="n">
        <v>50</v>
      </c>
      <c r="E701" s="22" t="s">
        <v>7696</v>
      </c>
      <c r="F701" s="22" t="s">
        <v>6577</v>
      </c>
      <c r="G701" s="22" t="s">
        <v>1759</v>
      </c>
      <c r="H701" s="22" t="s">
        <v>1760</v>
      </c>
      <c r="I701" s="22" t="s">
        <v>1761</v>
      </c>
      <c r="J701" s="22" t="n">
        <v>26.4</v>
      </c>
      <c r="K701" s="22" t="n">
        <f aca="false">ROUNDUP(J701,0)</f>
        <v>27</v>
      </c>
      <c r="L701" s="22" t="n">
        <f aca="false">MAX(D701,K701)</f>
        <v>50</v>
      </c>
      <c r="M701" s="25" t="n">
        <f aca="false">IF(E701="COVERED",'Controls &amp; Sources'!$B$5,'Controls &amp; Sources'!$B$6)</f>
        <v>7.55</v>
      </c>
      <c r="N701" s="25" t="n">
        <f aca="false">L701*M701</f>
        <v>377.5</v>
      </c>
      <c r="O701" s="22" t="n">
        <f aca="false">COUNTIFS('Billing Actual'!$E$2:$E$770,A701,'Billing Actual'!$B$2:$B$770,'Controls &amp; Sources'!$B$7)</f>
        <v>1</v>
      </c>
      <c r="P701" s="25" t="n">
        <f aca="false">SUMIFS('Billing Actual'!$M$2:$M$770,'Billing Actual'!$E$2:$E$770,A701,'Billing Actual'!$B$2:$B$770,'Controls &amp; Sources'!$B$7)</f>
        <v>377.5</v>
      </c>
      <c r="Q701" s="25" t="n">
        <f aca="false">P701-N701</f>
        <v>0</v>
      </c>
      <c r="R701" s="22" t="str">
        <f aca="false">IF(O701=0,"No August moorage transaction",IF(O701&gt;1,"Duplicate August transactions",IF(ABS(Q701)&gt;0.005,"Charge variance","OK")))</f>
        <v>OK</v>
      </c>
      <c r="S701" s="22" t="str">
        <f aca="false">IF(R701="OK","","Billing completeness/reconciliation")</f>
        <v/>
      </c>
    </row>
    <row r="702" customFormat="false" ht="15" hidden="false" customHeight="false" outlineLevel="0" collapsed="false">
      <c r="A702" s="22" t="s">
        <v>8054</v>
      </c>
      <c r="B702" s="22" t="s">
        <v>499</v>
      </c>
      <c r="C702" s="22" t="s">
        <v>7694</v>
      </c>
      <c r="D702" s="22" t="n">
        <v>32</v>
      </c>
      <c r="E702" s="22" t="s">
        <v>7696</v>
      </c>
      <c r="F702" s="22" t="s">
        <v>6577</v>
      </c>
      <c r="G702" s="22" t="s">
        <v>4166</v>
      </c>
      <c r="H702" s="22" t="s">
        <v>4167</v>
      </c>
      <c r="I702" s="22" t="s">
        <v>664</v>
      </c>
      <c r="J702" s="22" t="n">
        <v>49.4</v>
      </c>
      <c r="K702" s="22" t="n">
        <f aca="false">ROUNDUP(J702,0)</f>
        <v>50</v>
      </c>
      <c r="L702" s="22" t="n">
        <f aca="false">MAX(D702,K702)</f>
        <v>50</v>
      </c>
      <c r="M702" s="25" t="n">
        <f aca="false">IF(E702="COVERED",'Controls &amp; Sources'!$B$5,'Controls &amp; Sources'!$B$6)</f>
        <v>7.55</v>
      </c>
      <c r="N702" s="25" t="n">
        <f aca="false">L702*M702</f>
        <v>377.5</v>
      </c>
      <c r="O702" s="22" t="n">
        <f aca="false">COUNTIFS('Billing Actual'!$E$2:$E$770,A702,'Billing Actual'!$B$2:$B$770,'Controls &amp; Sources'!$B$7)</f>
        <v>1</v>
      </c>
      <c r="P702" s="25" t="n">
        <f aca="false">SUMIFS('Billing Actual'!$M$2:$M$770,'Billing Actual'!$E$2:$E$770,A702,'Billing Actual'!$B$2:$B$770,'Controls &amp; Sources'!$B$7)</f>
        <v>377.5</v>
      </c>
      <c r="Q702" s="25" t="n">
        <f aca="false">P702-N702</f>
        <v>0</v>
      </c>
      <c r="R702" s="22" t="str">
        <f aca="false">IF(O702=0,"No August moorage transaction",IF(O702&gt;1,"Duplicate August transactions",IF(ABS(Q702)&gt;0.005,"Charge variance","OK")))</f>
        <v>OK</v>
      </c>
      <c r="S702" s="22" t="str">
        <f aca="false">IF(R702="OK","","Billing completeness/reconciliation")</f>
        <v/>
      </c>
    </row>
    <row r="703" customFormat="false" ht="15" hidden="false" customHeight="false" outlineLevel="0" collapsed="false">
      <c r="A703" s="22" t="s">
        <v>8055</v>
      </c>
      <c r="B703" s="22" t="s">
        <v>499</v>
      </c>
      <c r="C703" s="22" t="s">
        <v>7694</v>
      </c>
      <c r="D703" s="22" t="n">
        <v>50</v>
      </c>
      <c r="E703" s="22" t="s">
        <v>7696</v>
      </c>
      <c r="F703" s="22" t="s">
        <v>6577</v>
      </c>
      <c r="G703" s="22" t="s">
        <v>3888</v>
      </c>
      <c r="H703" s="22" t="s">
        <v>3889</v>
      </c>
      <c r="I703" s="22" t="s">
        <v>324</v>
      </c>
      <c r="J703" s="22" t="n">
        <v>50</v>
      </c>
      <c r="K703" s="22" t="n">
        <f aca="false">ROUNDUP(J703,0)</f>
        <v>50</v>
      </c>
      <c r="L703" s="22" t="n">
        <f aca="false">MAX(D703,K703)</f>
        <v>50</v>
      </c>
      <c r="M703" s="25" t="n">
        <f aca="false">IF(E703="COVERED",'Controls &amp; Sources'!$B$5,'Controls &amp; Sources'!$B$6)</f>
        <v>7.55</v>
      </c>
      <c r="N703" s="25" t="n">
        <f aca="false">L703*M703</f>
        <v>377.5</v>
      </c>
      <c r="O703" s="22" t="n">
        <f aca="false">COUNTIFS('Billing Actual'!$E$2:$E$770,A703,'Billing Actual'!$B$2:$B$770,'Controls &amp; Sources'!$B$7)</f>
        <v>1</v>
      </c>
      <c r="P703" s="25" t="n">
        <f aca="false">SUMIFS('Billing Actual'!$M$2:$M$770,'Billing Actual'!$E$2:$E$770,A703,'Billing Actual'!$B$2:$B$770,'Controls &amp; Sources'!$B$7)</f>
        <v>377.5</v>
      </c>
      <c r="Q703" s="25" t="n">
        <f aca="false">P703-N703</f>
        <v>0</v>
      </c>
      <c r="R703" s="22" t="str">
        <f aca="false">IF(O703=0,"No August moorage transaction",IF(O703&gt;1,"Duplicate August transactions",IF(ABS(Q703)&gt;0.005,"Charge variance","OK")))</f>
        <v>OK</v>
      </c>
      <c r="S703" s="22" t="str">
        <f aca="false">IF(R703="OK","","Billing completeness/reconciliation")</f>
        <v/>
      </c>
    </row>
    <row r="704" customFormat="false" ht="15" hidden="false" customHeight="false" outlineLevel="0" collapsed="false">
      <c r="A704" s="22" t="s">
        <v>8057</v>
      </c>
      <c r="B704" s="22" t="s">
        <v>499</v>
      </c>
      <c r="C704" s="22" t="s">
        <v>7694</v>
      </c>
      <c r="D704" s="22" t="n">
        <v>60</v>
      </c>
      <c r="E704" s="22" t="s">
        <v>7696</v>
      </c>
      <c r="F704" s="22" t="s">
        <v>6577</v>
      </c>
      <c r="G704" s="22" t="s">
        <v>4404</v>
      </c>
      <c r="H704" s="22" t="s">
        <v>4405</v>
      </c>
      <c r="I704" s="22" t="s">
        <v>2720</v>
      </c>
      <c r="J704" s="22" t="n">
        <v>53.9</v>
      </c>
      <c r="K704" s="22" t="n">
        <f aca="false">ROUNDUP(J704,0)</f>
        <v>54</v>
      </c>
      <c r="L704" s="22" t="n">
        <f aca="false">MAX(D704,K704)</f>
        <v>60</v>
      </c>
      <c r="M704" s="25" t="n">
        <f aca="false">IF(E704="COVERED",'Controls &amp; Sources'!$B$5,'Controls &amp; Sources'!$B$6)</f>
        <v>7.55</v>
      </c>
      <c r="N704" s="25" t="n">
        <f aca="false">L704*M704</f>
        <v>453</v>
      </c>
      <c r="O704" s="22" t="n">
        <f aca="false">COUNTIFS('Billing Actual'!$E$2:$E$770,A704,'Billing Actual'!$B$2:$B$770,'Controls &amp; Sources'!$B$7)</f>
        <v>1</v>
      </c>
      <c r="P704" s="25" t="n">
        <f aca="false">SUMIFS('Billing Actual'!$M$2:$M$770,'Billing Actual'!$E$2:$E$770,A704,'Billing Actual'!$B$2:$B$770,'Controls &amp; Sources'!$B$7)</f>
        <v>453</v>
      </c>
      <c r="Q704" s="25" t="n">
        <f aca="false">P704-N704</f>
        <v>0</v>
      </c>
      <c r="R704" s="22" t="str">
        <f aca="false">IF(O704=0,"No August moorage transaction",IF(O704&gt;1,"Duplicate August transactions",IF(ABS(Q704)&gt;0.005,"Charge variance","OK")))</f>
        <v>OK</v>
      </c>
      <c r="S704" s="22" t="str">
        <f aca="false">IF(R704="OK","","Billing completeness/reconciliation")</f>
        <v/>
      </c>
    </row>
    <row r="705" customFormat="false" ht="15" hidden="false" customHeight="false" outlineLevel="0" collapsed="false">
      <c r="A705" s="22" t="s">
        <v>8059</v>
      </c>
      <c r="B705" s="22" t="s">
        <v>499</v>
      </c>
      <c r="C705" s="22" t="s">
        <v>7694</v>
      </c>
      <c r="D705" s="22" t="n">
        <v>28</v>
      </c>
      <c r="E705" s="22" t="s">
        <v>7696</v>
      </c>
      <c r="F705" s="22" t="s">
        <v>6577</v>
      </c>
      <c r="G705" s="22" t="s">
        <v>1798</v>
      </c>
      <c r="H705" s="22" t="s">
        <v>1799</v>
      </c>
      <c r="I705" s="22" t="s">
        <v>871</v>
      </c>
      <c r="J705" s="22" t="n">
        <v>37.9</v>
      </c>
      <c r="K705" s="22" t="n">
        <f aca="false">ROUNDUP(J705,0)</f>
        <v>38</v>
      </c>
      <c r="L705" s="22" t="n">
        <f aca="false">MAX(D705,K705)</f>
        <v>38</v>
      </c>
      <c r="M705" s="25" t="n">
        <f aca="false">IF(E705="COVERED",'Controls &amp; Sources'!$B$5,'Controls &amp; Sources'!$B$6)</f>
        <v>7.55</v>
      </c>
      <c r="N705" s="25" t="n">
        <f aca="false">L705*M705</f>
        <v>286.9</v>
      </c>
      <c r="O705" s="22" t="n">
        <f aca="false">COUNTIFS('Billing Actual'!$E$2:$E$770,A705,'Billing Actual'!$B$2:$B$770,'Controls &amp; Sources'!$B$7)</f>
        <v>1</v>
      </c>
      <c r="P705" s="25" t="n">
        <f aca="false">SUMIFS('Billing Actual'!$M$2:$M$770,'Billing Actual'!$E$2:$E$770,A705,'Billing Actual'!$B$2:$B$770,'Controls &amp; Sources'!$B$7)</f>
        <v>286.9</v>
      </c>
      <c r="Q705" s="25" t="n">
        <f aca="false">P705-N705</f>
        <v>0</v>
      </c>
      <c r="R705" s="22" t="str">
        <f aca="false">IF(O705=0,"No August moorage transaction",IF(O705&gt;1,"Duplicate August transactions",IF(ABS(Q705)&gt;0.005,"Charge variance","OK")))</f>
        <v>OK</v>
      </c>
      <c r="S705" s="22" t="str">
        <f aca="false">IF(R705="OK","","Billing completeness/reconciliation")</f>
        <v/>
      </c>
    </row>
    <row r="706" customFormat="false" ht="15" hidden="false" customHeight="false" outlineLevel="0" collapsed="false">
      <c r="A706" s="22" t="s">
        <v>8061</v>
      </c>
      <c r="B706" s="22" t="s">
        <v>499</v>
      </c>
      <c r="C706" s="22" t="s">
        <v>7694</v>
      </c>
      <c r="D706" s="22" t="n">
        <v>32</v>
      </c>
      <c r="E706" s="22" t="s">
        <v>7696</v>
      </c>
      <c r="F706" s="22" t="s">
        <v>6577</v>
      </c>
      <c r="G706" s="22" t="s">
        <v>803</v>
      </c>
      <c r="H706" s="22" t="s">
        <v>804</v>
      </c>
      <c r="I706" s="22" t="s">
        <v>805</v>
      </c>
      <c r="J706" s="22" t="n">
        <v>49.8</v>
      </c>
      <c r="K706" s="22" t="n">
        <f aca="false">ROUNDUP(J706,0)</f>
        <v>50</v>
      </c>
      <c r="L706" s="22" t="n">
        <f aca="false">MAX(D706,K706)</f>
        <v>50</v>
      </c>
      <c r="M706" s="25" t="n">
        <f aca="false">IF(E706="COVERED",'Controls &amp; Sources'!$B$5,'Controls &amp; Sources'!$B$6)</f>
        <v>7.55</v>
      </c>
      <c r="N706" s="25" t="n">
        <f aca="false">L706*M706</f>
        <v>377.5</v>
      </c>
      <c r="O706" s="22" t="n">
        <f aca="false">COUNTIFS('Billing Actual'!$E$2:$E$770,A706,'Billing Actual'!$B$2:$B$770,'Controls &amp; Sources'!$B$7)</f>
        <v>1</v>
      </c>
      <c r="P706" s="25" t="n">
        <f aca="false">SUMIFS('Billing Actual'!$M$2:$M$770,'Billing Actual'!$E$2:$E$770,A706,'Billing Actual'!$B$2:$B$770,'Controls &amp; Sources'!$B$7)</f>
        <v>377.5</v>
      </c>
      <c r="Q706" s="25" t="n">
        <f aca="false">P706-N706</f>
        <v>0</v>
      </c>
      <c r="R706" s="22" t="str">
        <f aca="false">IF(O706=0,"No August moorage transaction",IF(O706&gt;1,"Duplicate August transactions",IF(ABS(Q706)&gt;0.005,"Charge variance","OK")))</f>
        <v>OK</v>
      </c>
      <c r="S706" s="22" t="str">
        <f aca="false">IF(R706="OK","","Billing completeness/reconciliation")</f>
        <v/>
      </c>
    </row>
    <row r="707" customFormat="false" ht="15" hidden="false" customHeight="false" outlineLevel="0" collapsed="false">
      <c r="A707" s="22" t="s">
        <v>8062</v>
      </c>
      <c r="B707" s="22" t="s">
        <v>499</v>
      </c>
      <c r="C707" s="22" t="s">
        <v>7694</v>
      </c>
      <c r="D707" s="22" t="n">
        <v>32</v>
      </c>
      <c r="E707" s="22" t="s">
        <v>7696</v>
      </c>
      <c r="F707" s="22" t="s">
        <v>6577</v>
      </c>
      <c r="G707" s="22" t="s">
        <v>2114</v>
      </c>
      <c r="H707" s="22" t="s">
        <v>2115</v>
      </c>
      <c r="I707" s="22" t="s">
        <v>2116</v>
      </c>
      <c r="J707" s="22" t="n">
        <v>40.7</v>
      </c>
      <c r="K707" s="22" t="n">
        <f aca="false">ROUNDUP(J707,0)</f>
        <v>41</v>
      </c>
      <c r="L707" s="22" t="n">
        <f aca="false">MAX(D707,K707)</f>
        <v>41</v>
      </c>
      <c r="M707" s="25" t="n">
        <f aca="false">IF(E707="COVERED",'Controls &amp; Sources'!$B$5,'Controls &amp; Sources'!$B$6)</f>
        <v>7.55</v>
      </c>
      <c r="N707" s="25" t="n">
        <f aca="false">L707*M707</f>
        <v>309.55</v>
      </c>
      <c r="O707" s="22" t="n">
        <f aca="false">COUNTIFS('Billing Actual'!$E$2:$E$770,A707,'Billing Actual'!$B$2:$B$770,'Controls &amp; Sources'!$B$7)</f>
        <v>1</v>
      </c>
      <c r="P707" s="25" t="n">
        <f aca="false">SUMIFS('Billing Actual'!$M$2:$M$770,'Billing Actual'!$E$2:$E$770,A707,'Billing Actual'!$B$2:$B$770,'Controls &amp; Sources'!$B$7)</f>
        <v>309.55</v>
      </c>
      <c r="Q707" s="25" t="n">
        <f aca="false">P707-N707</f>
        <v>0</v>
      </c>
      <c r="R707" s="22" t="str">
        <f aca="false">IF(O707=0,"No August moorage transaction",IF(O707&gt;1,"Duplicate August transactions",IF(ABS(Q707)&gt;0.005,"Charge variance","OK")))</f>
        <v>OK</v>
      </c>
      <c r="S707" s="22" t="str">
        <f aca="false">IF(R707="OK","","Billing completeness/reconciliation")</f>
        <v/>
      </c>
    </row>
    <row r="708" customFormat="false" ht="15" hidden="false" customHeight="false" outlineLevel="0" collapsed="false">
      <c r="A708" s="22" t="s">
        <v>8063</v>
      </c>
      <c r="B708" s="22" t="s">
        <v>499</v>
      </c>
      <c r="C708" s="22" t="s">
        <v>7694</v>
      </c>
      <c r="D708" s="22" t="n">
        <v>32</v>
      </c>
      <c r="E708" s="22" t="s">
        <v>7696</v>
      </c>
      <c r="F708" s="22" t="s">
        <v>6577</v>
      </c>
      <c r="G708" s="22" t="s">
        <v>1932</v>
      </c>
      <c r="H708" s="22" t="s">
        <v>1933</v>
      </c>
      <c r="I708" s="22" t="s">
        <v>315</v>
      </c>
      <c r="J708" s="22" t="n">
        <v>26.5</v>
      </c>
      <c r="K708" s="22" t="n">
        <f aca="false">ROUNDUP(J708,0)</f>
        <v>27</v>
      </c>
      <c r="L708" s="22" t="n">
        <f aca="false">MAX(D708,K708)</f>
        <v>32</v>
      </c>
      <c r="M708" s="25" t="n">
        <f aca="false">IF(E708="COVERED",'Controls &amp; Sources'!$B$5,'Controls &amp; Sources'!$B$6)</f>
        <v>7.55</v>
      </c>
      <c r="N708" s="25" t="n">
        <f aca="false">L708*M708</f>
        <v>241.6</v>
      </c>
      <c r="O708" s="22" t="n">
        <f aca="false">COUNTIFS('Billing Actual'!$E$2:$E$770,A708,'Billing Actual'!$B$2:$B$770,'Controls &amp; Sources'!$B$7)</f>
        <v>1</v>
      </c>
      <c r="P708" s="25" t="n">
        <f aca="false">SUMIFS('Billing Actual'!$M$2:$M$770,'Billing Actual'!$E$2:$E$770,A708,'Billing Actual'!$B$2:$B$770,'Controls &amp; Sources'!$B$7)</f>
        <v>241.6</v>
      </c>
      <c r="Q708" s="25" t="n">
        <f aca="false">P708-N708</f>
        <v>0</v>
      </c>
      <c r="R708" s="22" t="str">
        <f aca="false">IF(O708=0,"No August moorage transaction",IF(O708&gt;1,"Duplicate August transactions",IF(ABS(Q708)&gt;0.005,"Charge variance","OK")))</f>
        <v>OK</v>
      </c>
      <c r="S708" s="22" t="str">
        <f aca="false">IF(R708="OK","","Billing completeness/reconciliation")</f>
        <v/>
      </c>
    </row>
    <row r="709" customFormat="false" ht="15" hidden="false" customHeight="false" outlineLevel="0" collapsed="false">
      <c r="A709" s="22" t="s">
        <v>8064</v>
      </c>
      <c r="B709" s="22" t="s">
        <v>499</v>
      </c>
      <c r="C709" s="22" t="s">
        <v>7694</v>
      </c>
      <c r="D709" s="22" t="n">
        <v>80</v>
      </c>
      <c r="E709" s="22" t="s">
        <v>7696</v>
      </c>
      <c r="F709" s="22" t="s">
        <v>6577</v>
      </c>
      <c r="G709" s="22" t="s">
        <v>5961</v>
      </c>
      <c r="H709" s="22" t="s">
        <v>5962</v>
      </c>
      <c r="I709" s="22" t="s">
        <v>2610</v>
      </c>
      <c r="J709" s="22" t="n">
        <v>40.2</v>
      </c>
      <c r="K709" s="22" t="n">
        <f aca="false">ROUNDUP(J709,0)</f>
        <v>41</v>
      </c>
      <c r="L709" s="22" t="n">
        <f aca="false">MAX(D709,K709)</f>
        <v>80</v>
      </c>
      <c r="M709" s="25" t="n">
        <f aca="false">IF(E709="COVERED",'Controls &amp; Sources'!$B$5,'Controls &amp; Sources'!$B$6)</f>
        <v>7.55</v>
      </c>
      <c r="N709" s="25" t="n">
        <f aca="false">L709*M709</f>
        <v>604</v>
      </c>
      <c r="O709" s="22" t="n">
        <f aca="false">COUNTIFS('Billing Actual'!$E$2:$E$770,A709,'Billing Actual'!$B$2:$B$770,'Controls &amp; Sources'!$B$7)</f>
        <v>1</v>
      </c>
      <c r="P709" s="25" t="n">
        <f aca="false">SUMIFS('Billing Actual'!$M$2:$M$770,'Billing Actual'!$E$2:$E$770,A709,'Billing Actual'!$B$2:$B$770,'Controls &amp; Sources'!$B$7)</f>
        <v>604</v>
      </c>
      <c r="Q709" s="25" t="n">
        <f aca="false">P709-N709</f>
        <v>0</v>
      </c>
      <c r="R709" s="22" t="str">
        <f aca="false">IF(O709=0,"No August moorage transaction",IF(O709&gt;1,"Duplicate August transactions",IF(ABS(Q709)&gt;0.005,"Charge variance","OK")))</f>
        <v>OK</v>
      </c>
      <c r="S709" s="22" t="str">
        <f aca="false">IF(R709="OK","","Billing completeness/reconciliation")</f>
        <v/>
      </c>
    </row>
    <row r="710" customFormat="false" ht="15" hidden="false" customHeight="false" outlineLevel="0" collapsed="false">
      <c r="A710" s="22" t="s">
        <v>8066</v>
      </c>
      <c r="B710" s="22" t="s">
        <v>499</v>
      </c>
      <c r="C710" s="22" t="s">
        <v>7694</v>
      </c>
      <c r="D710" s="22" t="n">
        <v>32</v>
      </c>
      <c r="E710" s="22" t="s">
        <v>7696</v>
      </c>
      <c r="F710" s="22" t="s">
        <v>6577</v>
      </c>
      <c r="G710" s="22" t="s">
        <v>2157</v>
      </c>
      <c r="H710" s="22" t="s">
        <v>2158</v>
      </c>
      <c r="I710" s="22" t="s">
        <v>1063</v>
      </c>
      <c r="J710" s="22" t="n">
        <v>36.5</v>
      </c>
      <c r="K710" s="22" t="n">
        <f aca="false">ROUNDUP(J710,0)</f>
        <v>37</v>
      </c>
      <c r="L710" s="22" t="n">
        <f aca="false">MAX(D710,K710)</f>
        <v>37</v>
      </c>
      <c r="M710" s="25" t="n">
        <f aca="false">IF(E710="COVERED",'Controls &amp; Sources'!$B$5,'Controls &amp; Sources'!$B$6)</f>
        <v>7.55</v>
      </c>
      <c r="N710" s="25" t="n">
        <f aca="false">L710*M710</f>
        <v>279.35</v>
      </c>
      <c r="O710" s="22" t="n">
        <f aca="false">COUNTIFS('Billing Actual'!$E$2:$E$770,A710,'Billing Actual'!$B$2:$B$770,'Controls &amp; Sources'!$B$7)</f>
        <v>1</v>
      </c>
      <c r="P710" s="25" t="n">
        <f aca="false">SUMIFS('Billing Actual'!$M$2:$M$770,'Billing Actual'!$E$2:$E$770,A710,'Billing Actual'!$B$2:$B$770,'Controls &amp; Sources'!$B$7)</f>
        <v>279.35</v>
      </c>
      <c r="Q710" s="25" t="n">
        <f aca="false">P710-N710</f>
        <v>0</v>
      </c>
      <c r="R710" s="22" t="str">
        <f aca="false">IF(O710=0,"No August moorage transaction",IF(O710&gt;1,"Duplicate August transactions",IF(ABS(Q710)&gt;0.005,"Charge variance","OK")))</f>
        <v>OK</v>
      </c>
      <c r="S710" s="22" t="str">
        <f aca="false">IF(R710="OK","","Billing completeness/reconciliation")</f>
        <v/>
      </c>
    </row>
    <row r="711" customFormat="false" ht="15" hidden="false" customHeight="false" outlineLevel="0" collapsed="false">
      <c r="A711" s="22" t="s">
        <v>8068</v>
      </c>
      <c r="B711" s="22" t="s">
        <v>499</v>
      </c>
      <c r="C711" s="22" t="s">
        <v>7694</v>
      </c>
      <c r="D711" s="22" t="n">
        <v>80</v>
      </c>
      <c r="E711" s="22" t="s">
        <v>7696</v>
      </c>
      <c r="F711" s="22" t="s">
        <v>6577</v>
      </c>
      <c r="G711" s="22" t="s">
        <v>4905</v>
      </c>
      <c r="H711" s="22" t="s">
        <v>4906</v>
      </c>
      <c r="I711" s="22" t="s">
        <v>582</v>
      </c>
      <c r="J711" s="22" t="n">
        <v>58.2</v>
      </c>
      <c r="K711" s="22" t="n">
        <f aca="false">ROUNDUP(J711,0)</f>
        <v>59</v>
      </c>
      <c r="L711" s="22" t="n">
        <f aca="false">MAX(D711,K711)</f>
        <v>80</v>
      </c>
      <c r="M711" s="25" t="n">
        <f aca="false">IF(E711="COVERED",'Controls &amp; Sources'!$B$5,'Controls &amp; Sources'!$B$6)</f>
        <v>7.55</v>
      </c>
      <c r="N711" s="25" t="n">
        <f aca="false">L711*M711</f>
        <v>604</v>
      </c>
      <c r="O711" s="22" t="n">
        <f aca="false">COUNTIFS('Billing Actual'!$E$2:$E$770,A711,'Billing Actual'!$B$2:$B$770,'Controls &amp; Sources'!$B$7)</f>
        <v>1</v>
      </c>
      <c r="P711" s="25" t="n">
        <f aca="false">SUMIFS('Billing Actual'!$M$2:$M$770,'Billing Actual'!$E$2:$E$770,A711,'Billing Actual'!$B$2:$B$770,'Controls &amp; Sources'!$B$7)</f>
        <v>604</v>
      </c>
      <c r="Q711" s="25" t="n">
        <f aca="false">P711-N711</f>
        <v>0</v>
      </c>
      <c r="R711" s="22" t="str">
        <f aca="false">IF(O711=0,"No August moorage transaction",IF(O711&gt;1,"Duplicate August transactions",IF(ABS(Q711)&gt;0.005,"Charge variance","OK")))</f>
        <v>OK</v>
      </c>
      <c r="S711" s="22" t="str">
        <f aca="false">IF(R711="OK","","Billing completeness/reconciliation")</f>
        <v/>
      </c>
    </row>
    <row r="712" customFormat="false" ht="15" hidden="false" customHeight="false" outlineLevel="0" collapsed="false">
      <c r="A712" s="22" t="s">
        <v>8071</v>
      </c>
      <c r="B712" s="22" t="s">
        <v>499</v>
      </c>
      <c r="C712" s="22" t="s">
        <v>7694</v>
      </c>
      <c r="D712" s="22" t="n">
        <v>32</v>
      </c>
      <c r="E712" s="22" t="s">
        <v>7696</v>
      </c>
      <c r="F712" s="22" t="s">
        <v>6577</v>
      </c>
      <c r="G712" s="22" t="s">
        <v>2794</v>
      </c>
      <c r="H712" s="22" t="s">
        <v>2795</v>
      </c>
      <c r="I712" s="22" t="s">
        <v>260</v>
      </c>
      <c r="J712" s="22" t="n">
        <v>25.1</v>
      </c>
      <c r="K712" s="22" t="n">
        <f aca="false">ROUNDUP(J712,0)</f>
        <v>26</v>
      </c>
      <c r="L712" s="22" t="n">
        <f aca="false">MAX(D712,K712)</f>
        <v>32</v>
      </c>
      <c r="M712" s="25" t="n">
        <f aca="false">IF(E712="COVERED",'Controls &amp; Sources'!$B$5,'Controls &amp; Sources'!$B$6)</f>
        <v>7.55</v>
      </c>
      <c r="N712" s="25" t="n">
        <f aca="false">L712*M712</f>
        <v>241.6</v>
      </c>
      <c r="O712" s="22" t="n">
        <f aca="false">COUNTIFS('Billing Actual'!$E$2:$E$770,A712,'Billing Actual'!$B$2:$B$770,'Controls &amp; Sources'!$B$7)</f>
        <v>1</v>
      </c>
      <c r="P712" s="25" t="n">
        <f aca="false">SUMIFS('Billing Actual'!$M$2:$M$770,'Billing Actual'!$E$2:$E$770,A712,'Billing Actual'!$B$2:$B$770,'Controls &amp; Sources'!$B$7)</f>
        <v>241.6</v>
      </c>
      <c r="Q712" s="25" t="n">
        <f aca="false">P712-N712</f>
        <v>0</v>
      </c>
      <c r="R712" s="22" t="str">
        <f aca="false">IF(O712=0,"No August moorage transaction",IF(O712&gt;1,"Duplicate August transactions",IF(ABS(Q712)&gt;0.005,"Charge variance","OK")))</f>
        <v>OK</v>
      </c>
      <c r="S712" s="22" t="str">
        <f aca="false">IF(R712="OK","","Billing completeness/reconciliation")</f>
        <v/>
      </c>
    </row>
    <row r="713" customFormat="false" ht="15" hidden="false" customHeight="false" outlineLevel="0" collapsed="false">
      <c r="A713" s="22" t="s">
        <v>8073</v>
      </c>
      <c r="B713" s="22" t="s">
        <v>499</v>
      </c>
      <c r="C713" s="22" t="s">
        <v>7694</v>
      </c>
      <c r="D713" s="22" t="n">
        <v>50</v>
      </c>
      <c r="E713" s="22" t="s">
        <v>7696</v>
      </c>
      <c r="F713" s="22" t="s">
        <v>6577</v>
      </c>
      <c r="G713" s="22" t="s">
        <v>2341</v>
      </c>
      <c r="H713" s="22" t="s">
        <v>2342</v>
      </c>
      <c r="I713" s="22" t="s">
        <v>477</v>
      </c>
      <c r="J713" s="22" t="n">
        <v>43.1</v>
      </c>
      <c r="K713" s="22" t="n">
        <f aca="false">ROUNDUP(J713,0)</f>
        <v>44</v>
      </c>
      <c r="L713" s="22" t="n">
        <f aca="false">MAX(D713,K713)</f>
        <v>50</v>
      </c>
      <c r="M713" s="25" t="n">
        <f aca="false">IF(E713="COVERED",'Controls &amp; Sources'!$B$5,'Controls &amp; Sources'!$B$6)</f>
        <v>7.55</v>
      </c>
      <c r="N713" s="25" t="n">
        <f aca="false">L713*M713</f>
        <v>377.5</v>
      </c>
      <c r="O713" s="22" t="n">
        <f aca="false">COUNTIFS('Billing Actual'!$E$2:$E$770,A713,'Billing Actual'!$B$2:$B$770,'Controls &amp; Sources'!$B$7)</f>
        <v>1</v>
      </c>
      <c r="P713" s="25" t="n">
        <f aca="false">SUMIFS('Billing Actual'!$M$2:$M$770,'Billing Actual'!$E$2:$E$770,A713,'Billing Actual'!$B$2:$B$770,'Controls &amp; Sources'!$B$7)</f>
        <v>377.5</v>
      </c>
      <c r="Q713" s="25" t="n">
        <f aca="false">P713-N713</f>
        <v>0</v>
      </c>
      <c r="R713" s="22" t="str">
        <f aca="false">IF(O713=0,"No August moorage transaction",IF(O713&gt;1,"Duplicate August transactions",IF(ABS(Q713)&gt;0.005,"Charge variance","OK")))</f>
        <v>OK</v>
      </c>
      <c r="S713" s="22" t="str">
        <f aca="false">IF(R713="OK","","Billing completeness/reconciliation")</f>
        <v/>
      </c>
    </row>
    <row r="714" customFormat="false" ht="15" hidden="false" customHeight="false" outlineLevel="0" collapsed="false">
      <c r="A714" s="22" t="s">
        <v>8074</v>
      </c>
      <c r="B714" s="22" t="s">
        <v>499</v>
      </c>
      <c r="C714" s="22" t="s">
        <v>7694</v>
      </c>
      <c r="D714" s="22" t="n">
        <v>24</v>
      </c>
      <c r="E714" s="22" t="s">
        <v>7696</v>
      </c>
      <c r="F714" s="22" t="s">
        <v>6577</v>
      </c>
      <c r="G714" s="22" t="s">
        <v>5441</v>
      </c>
      <c r="H714" s="22" t="s">
        <v>5442</v>
      </c>
      <c r="I714" s="22" t="s">
        <v>980</v>
      </c>
      <c r="J714" s="22" t="n">
        <v>55.9</v>
      </c>
      <c r="K714" s="22" t="n">
        <f aca="false">ROUNDUP(J714,0)</f>
        <v>56</v>
      </c>
      <c r="L714" s="22" t="n">
        <f aca="false">MAX(D714,K714)</f>
        <v>56</v>
      </c>
      <c r="M714" s="25" t="n">
        <f aca="false">IF(E714="COVERED",'Controls &amp; Sources'!$B$5,'Controls &amp; Sources'!$B$6)</f>
        <v>7.55</v>
      </c>
      <c r="N714" s="25" t="n">
        <f aca="false">L714*M714</f>
        <v>422.8</v>
      </c>
      <c r="O714" s="22" t="n">
        <f aca="false">COUNTIFS('Billing Actual'!$E$2:$E$770,A714,'Billing Actual'!$B$2:$B$770,'Controls &amp; Sources'!$B$7)</f>
        <v>1</v>
      </c>
      <c r="P714" s="25" t="n">
        <f aca="false">SUMIFS('Billing Actual'!$M$2:$M$770,'Billing Actual'!$E$2:$E$770,A714,'Billing Actual'!$B$2:$B$770,'Controls &amp; Sources'!$B$7)</f>
        <v>422.8</v>
      </c>
      <c r="Q714" s="25" t="n">
        <f aca="false">P714-N714</f>
        <v>0</v>
      </c>
      <c r="R714" s="22" t="str">
        <f aca="false">IF(O714=0,"No August moorage transaction",IF(O714&gt;1,"Duplicate August transactions",IF(ABS(Q714)&gt;0.005,"Charge variance","OK")))</f>
        <v>OK</v>
      </c>
      <c r="S714" s="22" t="str">
        <f aca="false">IF(R714="OK","","Billing completeness/reconciliation")</f>
        <v/>
      </c>
    </row>
    <row r="715" customFormat="false" ht="15" hidden="false" customHeight="false" outlineLevel="0" collapsed="false">
      <c r="A715" s="22" t="s">
        <v>8075</v>
      </c>
      <c r="B715" s="22" t="s">
        <v>499</v>
      </c>
      <c r="C715" s="22" t="s">
        <v>7694</v>
      </c>
      <c r="D715" s="22" t="n">
        <v>24</v>
      </c>
      <c r="E715" s="22" t="s">
        <v>7696</v>
      </c>
      <c r="F715" s="22" t="s">
        <v>6577</v>
      </c>
      <c r="G715" s="22" t="s">
        <v>978</v>
      </c>
      <c r="H715" s="22" t="s">
        <v>979</v>
      </c>
      <c r="I715" s="22" t="s">
        <v>980</v>
      </c>
      <c r="J715" s="22" t="n">
        <v>52.2</v>
      </c>
      <c r="K715" s="22" t="n">
        <f aca="false">ROUNDUP(J715,0)</f>
        <v>53</v>
      </c>
      <c r="L715" s="22" t="n">
        <f aca="false">MAX(D715,K715)</f>
        <v>53</v>
      </c>
      <c r="M715" s="25" t="n">
        <f aca="false">IF(E715="COVERED",'Controls &amp; Sources'!$B$5,'Controls &amp; Sources'!$B$6)</f>
        <v>7.55</v>
      </c>
      <c r="N715" s="25" t="n">
        <f aca="false">L715*M715</f>
        <v>400.15</v>
      </c>
      <c r="O715" s="22" t="n">
        <f aca="false">COUNTIFS('Billing Actual'!$E$2:$E$770,A715,'Billing Actual'!$B$2:$B$770,'Controls &amp; Sources'!$B$7)</f>
        <v>1</v>
      </c>
      <c r="P715" s="25" t="n">
        <f aca="false">SUMIFS('Billing Actual'!$M$2:$M$770,'Billing Actual'!$E$2:$E$770,A715,'Billing Actual'!$B$2:$B$770,'Controls &amp; Sources'!$B$7)</f>
        <v>400.15</v>
      </c>
      <c r="Q715" s="25" t="n">
        <f aca="false">P715-N715</f>
        <v>0</v>
      </c>
      <c r="R715" s="22" t="str">
        <f aca="false">IF(O715=0,"No August moorage transaction",IF(O715&gt;1,"Duplicate August transactions",IF(ABS(Q715)&gt;0.005,"Charge variance","OK")))</f>
        <v>OK</v>
      </c>
      <c r="S715" s="22" t="str">
        <f aca="false">IF(R715="OK","","Billing completeness/reconciliation")</f>
        <v/>
      </c>
    </row>
    <row r="716" customFormat="false" ht="15" hidden="false" customHeight="false" outlineLevel="0" collapsed="false">
      <c r="A716" s="22" t="s">
        <v>8076</v>
      </c>
      <c r="B716" s="22" t="s">
        <v>499</v>
      </c>
      <c r="C716" s="22" t="s">
        <v>7694</v>
      </c>
      <c r="D716" s="22" t="n">
        <v>24</v>
      </c>
      <c r="E716" s="22" t="s">
        <v>7696</v>
      </c>
      <c r="F716" s="22" t="s">
        <v>6577</v>
      </c>
      <c r="G716" s="22" t="s">
        <v>3720</v>
      </c>
      <c r="H716" s="22" t="s">
        <v>3721</v>
      </c>
      <c r="I716" s="22" t="s">
        <v>2723</v>
      </c>
      <c r="J716" s="22" t="n">
        <v>57.6</v>
      </c>
      <c r="K716" s="22" t="n">
        <f aca="false">ROUNDUP(J716,0)</f>
        <v>58</v>
      </c>
      <c r="L716" s="22" t="n">
        <f aca="false">MAX(D716,K716)</f>
        <v>58</v>
      </c>
      <c r="M716" s="25" t="n">
        <f aca="false">IF(E716="COVERED",'Controls &amp; Sources'!$B$5,'Controls &amp; Sources'!$B$6)</f>
        <v>7.55</v>
      </c>
      <c r="N716" s="25" t="n">
        <f aca="false">L716*M716</f>
        <v>437.9</v>
      </c>
      <c r="O716" s="22" t="n">
        <f aca="false">COUNTIFS('Billing Actual'!$E$2:$E$770,A716,'Billing Actual'!$B$2:$B$770,'Controls &amp; Sources'!$B$7)</f>
        <v>1</v>
      </c>
      <c r="P716" s="25" t="n">
        <f aca="false">SUMIFS('Billing Actual'!$M$2:$M$770,'Billing Actual'!$E$2:$E$770,A716,'Billing Actual'!$B$2:$B$770,'Controls &amp; Sources'!$B$7)</f>
        <v>437.9</v>
      </c>
      <c r="Q716" s="25" t="n">
        <f aca="false">P716-N716</f>
        <v>0</v>
      </c>
      <c r="R716" s="22" t="str">
        <f aca="false">IF(O716=0,"No August moorage transaction",IF(O716&gt;1,"Duplicate August transactions",IF(ABS(Q716)&gt;0.005,"Charge variance","OK")))</f>
        <v>OK</v>
      </c>
      <c r="S716" s="22" t="str">
        <f aca="false">IF(R716="OK","","Billing completeness/reconciliation")</f>
        <v/>
      </c>
    </row>
    <row r="717" customFormat="false" ht="15" hidden="false" customHeight="false" outlineLevel="0" collapsed="false">
      <c r="A717" s="22" t="s">
        <v>8077</v>
      </c>
      <c r="B717" s="22" t="s">
        <v>499</v>
      </c>
      <c r="C717" s="22" t="s">
        <v>7694</v>
      </c>
      <c r="D717" s="22" t="n">
        <v>40</v>
      </c>
      <c r="E717" s="22" t="s">
        <v>7696</v>
      </c>
      <c r="F717" s="22" t="s">
        <v>6577</v>
      </c>
      <c r="G717" s="22" t="s">
        <v>1310</v>
      </c>
      <c r="H717" s="22" t="s">
        <v>1311</v>
      </c>
      <c r="I717" s="22" t="s">
        <v>463</v>
      </c>
      <c r="J717" s="22" t="n">
        <v>36</v>
      </c>
      <c r="K717" s="22" t="n">
        <f aca="false">ROUNDUP(J717,0)</f>
        <v>36</v>
      </c>
      <c r="L717" s="22" t="n">
        <f aca="false">MAX(D717,K717)</f>
        <v>40</v>
      </c>
      <c r="M717" s="25" t="n">
        <f aca="false">IF(E717="COVERED",'Controls &amp; Sources'!$B$5,'Controls &amp; Sources'!$B$6)</f>
        <v>7.55</v>
      </c>
      <c r="N717" s="25" t="n">
        <f aca="false">L717*M717</f>
        <v>302</v>
      </c>
      <c r="O717" s="22" t="n">
        <f aca="false">COUNTIFS('Billing Actual'!$E$2:$E$770,A717,'Billing Actual'!$B$2:$B$770,'Controls &amp; Sources'!$B$7)</f>
        <v>1</v>
      </c>
      <c r="P717" s="25" t="n">
        <f aca="false">SUMIFS('Billing Actual'!$M$2:$M$770,'Billing Actual'!$E$2:$E$770,A717,'Billing Actual'!$B$2:$B$770,'Controls &amp; Sources'!$B$7)</f>
        <v>302</v>
      </c>
      <c r="Q717" s="25" t="n">
        <f aca="false">P717-N717</f>
        <v>0</v>
      </c>
      <c r="R717" s="22" t="str">
        <f aca="false">IF(O717=0,"No August moorage transaction",IF(O717&gt;1,"Duplicate August transactions",IF(ABS(Q717)&gt;0.005,"Charge variance","OK")))</f>
        <v>OK</v>
      </c>
      <c r="S717" s="22" t="str">
        <f aca="false">IF(R717="OK","","Billing completeness/reconciliation")</f>
        <v/>
      </c>
    </row>
    <row r="718" customFormat="false" ht="15" hidden="false" customHeight="false" outlineLevel="0" collapsed="false">
      <c r="A718" s="22" t="s">
        <v>8079</v>
      </c>
      <c r="B718" s="22" t="s">
        <v>499</v>
      </c>
      <c r="C718" s="22" t="s">
        <v>7694</v>
      </c>
      <c r="D718" s="22" t="n">
        <v>40</v>
      </c>
      <c r="E718" s="22" t="s">
        <v>7696</v>
      </c>
      <c r="F718" s="22" t="s">
        <v>6577</v>
      </c>
      <c r="G718" s="22" t="s">
        <v>6399</v>
      </c>
      <c r="H718" s="22" t="s">
        <v>6400</v>
      </c>
      <c r="I718" s="22" t="s">
        <v>1761</v>
      </c>
      <c r="J718" s="22" t="n">
        <v>30.9</v>
      </c>
      <c r="K718" s="22" t="n">
        <f aca="false">ROUNDUP(J718,0)</f>
        <v>31</v>
      </c>
      <c r="L718" s="22" t="n">
        <f aca="false">MAX(D718,K718)</f>
        <v>40</v>
      </c>
      <c r="M718" s="25" t="n">
        <f aca="false">IF(E718="COVERED",'Controls &amp; Sources'!$B$5,'Controls &amp; Sources'!$B$6)</f>
        <v>7.55</v>
      </c>
      <c r="N718" s="25" t="n">
        <f aca="false">L718*M718</f>
        <v>302</v>
      </c>
      <c r="O718" s="22" t="n">
        <f aca="false">COUNTIFS('Billing Actual'!$E$2:$E$770,A718,'Billing Actual'!$B$2:$B$770,'Controls &amp; Sources'!$B$7)</f>
        <v>1</v>
      </c>
      <c r="P718" s="25" t="n">
        <f aca="false">SUMIFS('Billing Actual'!$M$2:$M$770,'Billing Actual'!$E$2:$E$770,A718,'Billing Actual'!$B$2:$B$770,'Controls &amp; Sources'!$B$7)</f>
        <v>302</v>
      </c>
      <c r="Q718" s="25" t="n">
        <f aca="false">P718-N718</f>
        <v>0</v>
      </c>
      <c r="R718" s="22" t="str">
        <f aca="false">IF(O718=0,"No August moorage transaction",IF(O718&gt;1,"Duplicate August transactions",IF(ABS(Q718)&gt;0.005,"Charge variance","OK")))</f>
        <v>OK</v>
      </c>
      <c r="S718" s="22" t="str">
        <f aca="false">IF(R718="OK","","Billing completeness/reconciliation")</f>
        <v/>
      </c>
    </row>
    <row r="719" customFormat="false" ht="15" hidden="false" customHeight="false" outlineLevel="0" collapsed="false">
      <c r="A719" s="22" t="s">
        <v>8080</v>
      </c>
      <c r="B719" s="22" t="s">
        <v>499</v>
      </c>
      <c r="C719" s="22" t="s">
        <v>7694</v>
      </c>
      <c r="D719" s="22" t="n">
        <v>28</v>
      </c>
      <c r="E719" s="22" t="s">
        <v>7696</v>
      </c>
      <c r="F719" s="22" t="s">
        <v>6577</v>
      </c>
      <c r="G719" s="22" t="s">
        <v>5014</v>
      </c>
      <c r="H719" s="22" t="s">
        <v>5015</v>
      </c>
      <c r="I719" s="22" t="s">
        <v>1115</v>
      </c>
      <c r="J719" s="22" t="n">
        <v>22.7</v>
      </c>
      <c r="K719" s="22" t="n">
        <f aca="false">ROUNDUP(J719,0)</f>
        <v>23</v>
      </c>
      <c r="L719" s="22" t="n">
        <f aca="false">MAX(D719,K719)</f>
        <v>28</v>
      </c>
      <c r="M719" s="25" t="n">
        <f aca="false">IF(E719="COVERED",'Controls &amp; Sources'!$B$5,'Controls &amp; Sources'!$B$6)</f>
        <v>7.55</v>
      </c>
      <c r="N719" s="25" t="n">
        <f aca="false">L719*M719</f>
        <v>211.4</v>
      </c>
      <c r="O719" s="22" t="n">
        <f aca="false">COUNTIFS('Billing Actual'!$E$2:$E$770,A719,'Billing Actual'!$B$2:$B$770,'Controls &amp; Sources'!$B$7)</f>
        <v>1</v>
      </c>
      <c r="P719" s="25" t="n">
        <f aca="false">SUMIFS('Billing Actual'!$M$2:$M$770,'Billing Actual'!$E$2:$E$770,A719,'Billing Actual'!$B$2:$B$770,'Controls &amp; Sources'!$B$7)</f>
        <v>211.4</v>
      </c>
      <c r="Q719" s="25" t="n">
        <f aca="false">P719-N719</f>
        <v>0</v>
      </c>
      <c r="R719" s="22" t="str">
        <f aca="false">IF(O719=0,"No August moorage transaction",IF(O719&gt;1,"Duplicate August transactions",IF(ABS(Q719)&gt;0.005,"Charge variance","OK")))</f>
        <v>OK</v>
      </c>
      <c r="S719" s="22" t="str">
        <f aca="false">IF(R719="OK","","Billing completeness/reconciliation")</f>
        <v/>
      </c>
    </row>
    <row r="720" customFormat="false" ht="15" hidden="false" customHeight="false" outlineLevel="0" collapsed="false">
      <c r="A720" s="22" t="s">
        <v>8081</v>
      </c>
      <c r="B720" s="22" t="s">
        <v>499</v>
      </c>
      <c r="C720" s="22" t="s">
        <v>7694</v>
      </c>
      <c r="D720" s="22" t="n">
        <v>60</v>
      </c>
      <c r="E720" s="22" t="s">
        <v>7696</v>
      </c>
      <c r="F720" s="22" t="s">
        <v>6577</v>
      </c>
      <c r="G720" s="22" t="s">
        <v>3048</v>
      </c>
      <c r="H720" s="22" t="s">
        <v>3049</v>
      </c>
      <c r="I720" s="22" t="s">
        <v>1791</v>
      </c>
      <c r="J720" s="22" t="n">
        <v>31.8</v>
      </c>
      <c r="K720" s="22" t="n">
        <f aca="false">ROUNDUP(J720,0)</f>
        <v>32</v>
      </c>
      <c r="L720" s="22" t="n">
        <f aca="false">MAX(D720,K720)</f>
        <v>60</v>
      </c>
      <c r="M720" s="25" t="n">
        <f aca="false">IF(E720="COVERED",'Controls &amp; Sources'!$B$5,'Controls &amp; Sources'!$B$6)</f>
        <v>7.55</v>
      </c>
      <c r="N720" s="25" t="n">
        <f aca="false">L720*M720</f>
        <v>453</v>
      </c>
      <c r="O720" s="22" t="n">
        <f aca="false">COUNTIFS('Billing Actual'!$E$2:$E$770,A720,'Billing Actual'!$B$2:$B$770,'Controls &amp; Sources'!$B$7)</f>
        <v>1</v>
      </c>
      <c r="P720" s="25" t="n">
        <f aca="false">SUMIFS('Billing Actual'!$M$2:$M$770,'Billing Actual'!$E$2:$E$770,A720,'Billing Actual'!$B$2:$B$770,'Controls &amp; Sources'!$B$7)</f>
        <v>453</v>
      </c>
      <c r="Q720" s="25" t="n">
        <f aca="false">P720-N720</f>
        <v>0</v>
      </c>
      <c r="R720" s="22" t="str">
        <f aca="false">IF(O720=0,"No August moorage transaction",IF(O720&gt;1,"Duplicate August transactions",IF(ABS(Q720)&gt;0.005,"Charge variance","OK")))</f>
        <v>OK</v>
      </c>
      <c r="S720" s="22" t="str">
        <f aca="false">IF(R720="OK","","Billing completeness/reconciliation")</f>
        <v/>
      </c>
    </row>
    <row r="721" customFormat="false" ht="15" hidden="false" customHeight="false" outlineLevel="0" collapsed="false">
      <c r="A721" s="22" t="s">
        <v>8083</v>
      </c>
      <c r="B721" s="22" t="s">
        <v>499</v>
      </c>
      <c r="C721" s="22" t="s">
        <v>7694</v>
      </c>
      <c r="D721" s="22" t="n">
        <v>28</v>
      </c>
      <c r="E721" s="22" t="s">
        <v>7696</v>
      </c>
      <c r="F721" s="22" t="s">
        <v>6577</v>
      </c>
      <c r="G721" s="22" t="s">
        <v>3427</v>
      </c>
      <c r="H721" s="22" t="s">
        <v>3428</v>
      </c>
      <c r="I721" s="22" t="s">
        <v>2394</v>
      </c>
      <c r="J721" s="22" t="n">
        <v>28.3</v>
      </c>
      <c r="K721" s="22" t="n">
        <f aca="false">ROUNDUP(J721,0)</f>
        <v>29</v>
      </c>
      <c r="L721" s="22" t="n">
        <f aca="false">MAX(D721,K721)</f>
        <v>29</v>
      </c>
      <c r="M721" s="25" t="n">
        <f aca="false">IF(E721="COVERED",'Controls &amp; Sources'!$B$5,'Controls &amp; Sources'!$B$6)</f>
        <v>7.55</v>
      </c>
      <c r="N721" s="25" t="n">
        <f aca="false">L721*M721</f>
        <v>218.95</v>
      </c>
      <c r="O721" s="22" t="n">
        <f aca="false">COUNTIFS('Billing Actual'!$E$2:$E$770,A721,'Billing Actual'!$B$2:$B$770,'Controls &amp; Sources'!$B$7)</f>
        <v>1</v>
      </c>
      <c r="P721" s="25" t="n">
        <f aca="false">SUMIFS('Billing Actual'!$M$2:$M$770,'Billing Actual'!$E$2:$E$770,A721,'Billing Actual'!$B$2:$B$770,'Controls &amp; Sources'!$B$7)</f>
        <v>218.95</v>
      </c>
      <c r="Q721" s="25" t="n">
        <f aca="false">P721-N721</f>
        <v>0</v>
      </c>
      <c r="R721" s="22" t="str">
        <f aca="false">IF(O721=0,"No August moorage transaction",IF(O721&gt;1,"Duplicate August transactions",IF(ABS(Q721)&gt;0.005,"Charge variance","OK")))</f>
        <v>OK</v>
      </c>
      <c r="S721" s="22" t="str">
        <f aca="false">IF(R721="OK","","Billing completeness/reconciliation")</f>
        <v/>
      </c>
    </row>
    <row r="722" customFormat="false" ht="15" hidden="false" customHeight="false" outlineLevel="0" collapsed="false">
      <c r="A722" s="22" t="s">
        <v>8085</v>
      </c>
      <c r="B722" s="22" t="s">
        <v>499</v>
      </c>
      <c r="C722" s="22" t="s">
        <v>7694</v>
      </c>
      <c r="D722" s="22" t="n">
        <v>24</v>
      </c>
      <c r="E722" s="22" t="s">
        <v>7696</v>
      </c>
      <c r="F722" s="22" t="s">
        <v>6577</v>
      </c>
      <c r="G722" s="22" t="s">
        <v>6180</v>
      </c>
      <c r="H722" s="22" t="s">
        <v>6181</v>
      </c>
      <c r="I722" s="22" t="s">
        <v>1204</v>
      </c>
      <c r="J722" s="22" t="n">
        <v>25.2</v>
      </c>
      <c r="K722" s="22" t="n">
        <f aca="false">ROUNDUP(J722,0)</f>
        <v>26</v>
      </c>
      <c r="L722" s="22" t="n">
        <f aca="false">MAX(D722,K722)</f>
        <v>26</v>
      </c>
      <c r="M722" s="25" t="n">
        <f aca="false">IF(E722="COVERED",'Controls &amp; Sources'!$B$5,'Controls &amp; Sources'!$B$6)</f>
        <v>7.55</v>
      </c>
      <c r="N722" s="25" t="n">
        <f aca="false">L722*M722</f>
        <v>196.3</v>
      </c>
      <c r="O722" s="22" t="n">
        <f aca="false">COUNTIFS('Billing Actual'!$E$2:$E$770,A722,'Billing Actual'!$B$2:$B$770,'Controls &amp; Sources'!$B$7)</f>
        <v>1</v>
      </c>
      <c r="P722" s="25" t="n">
        <f aca="false">SUMIFS('Billing Actual'!$M$2:$M$770,'Billing Actual'!$E$2:$E$770,A722,'Billing Actual'!$B$2:$B$770,'Controls &amp; Sources'!$B$7)</f>
        <v>196.3</v>
      </c>
      <c r="Q722" s="25" t="n">
        <f aca="false">P722-N722</f>
        <v>0</v>
      </c>
      <c r="R722" s="22" t="str">
        <f aca="false">IF(O722=0,"No August moorage transaction",IF(O722&gt;1,"Duplicate August transactions",IF(ABS(Q722)&gt;0.005,"Charge variance","OK")))</f>
        <v>OK</v>
      </c>
      <c r="S722" s="22" t="str">
        <f aca="false">IF(R722="OK","","Billing completeness/reconciliation")</f>
        <v/>
      </c>
    </row>
    <row r="723" customFormat="false" ht="15" hidden="false" customHeight="false" outlineLevel="0" collapsed="false">
      <c r="A723" s="22" t="s">
        <v>8086</v>
      </c>
      <c r="B723" s="22" t="s">
        <v>499</v>
      </c>
      <c r="C723" s="22" t="s">
        <v>7694</v>
      </c>
      <c r="D723" s="22" t="n">
        <v>28</v>
      </c>
      <c r="E723" s="22" t="s">
        <v>7696</v>
      </c>
      <c r="F723" s="22" t="s">
        <v>6577</v>
      </c>
      <c r="G723" s="22" t="s">
        <v>1345</v>
      </c>
      <c r="H723" s="22" t="s">
        <v>1346</v>
      </c>
      <c r="I723" s="22" t="s">
        <v>651</v>
      </c>
      <c r="J723" s="22" t="n">
        <v>33.7</v>
      </c>
      <c r="K723" s="22" t="n">
        <f aca="false">ROUNDUP(J723,0)</f>
        <v>34</v>
      </c>
      <c r="L723" s="22" t="n">
        <f aca="false">MAX(D723,K723)</f>
        <v>34</v>
      </c>
      <c r="M723" s="25" t="n">
        <f aca="false">IF(E723="COVERED",'Controls &amp; Sources'!$B$5,'Controls &amp; Sources'!$B$6)</f>
        <v>7.55</v>
      </c>
      <c r="N723" s="25" t="n">
        <f aca="false">L723*M723</f>
        <v>256.7</v>
      </c>
      <c r="O723" s="22" t="n">
        <f aca="false">COUNTIFS('Billing Actual'!$E$2:$E$770,A723,'Billing Actual'!$B$2:$B$770,'Controls &amp; Sources'!$B$7)</f>
        <v>1</v>
      </c>
      <c r="P723" s="25" t="n">
        <f aca="false">SUMIFS('Billing Actual'!$M$2:$M$770,'Billing Actual'!$E$2:$E$770,A723,'Billing Actual'!$B$2:$B$770,'Controls &amp; Sources'!$B$7)</f>
        <v>256.7</v>
      </c>
      <c r="Q723" s="25" t="n">
        <f aca="false">P723-N723</f>
        <v>0</v>
      </c>
      <c r="R723" s="22" t="str">
        <f aca="false">IF(O723=0,"No August moorage transaction",IF(O723&gt;1,"Duplicate August transactions",IF(ABS(Q723)&gt;0.005,"Charge variance","OK")))</f>
        <v>OK</v>
      </c>
      <c r="S723" s="22" t="str">
        <f aca="false">IF(R723="OK","","Billing completeness/reconciliation")</f>
        <v/>
      </c>
    </row>
    <row r="724" customFormat="false" ht="15" hidden="false" customHeight="false" outlineLevel="0" collapsed="false">
      <c r="A724" s="22" t="s">
        <v>8087</v>
      </c>
      <c r="B724" s="22" t="s">
        <v>499</v>
      </c>
      <c r="C724" s="22" t="s">
        <v>7694</v>
      </c>
      <c r="D724" s="22" t="n">
        <v>80</v>
      </c>
      <c r="E724" s="22" t="s">
        <v>7696</v>
      </c>
      <c r="F724" s="22" t="s">
        <v>6577</v>
      </c>
      <c r="G724" s="22" t="s">
        <v>5967</v>
      </c>
      <c r="H724" s="22" t="s">
        <v>5968</v>
      </c>
      <c r="I724" s="22" t="s">
        <v>2238</v>
      </c>
      <c r="J724" s="22" t="n">
        <v>42.5</v>
      </c>
      <c r="K724" s="22" t="n">
        <f aca="false">ROUNDUP(J724,0)</f>
        <v>43</v>
      </c>
      <c r="L724" s="22" t="n">
        <f aca="false">MAX(D724,K724)</f>
        <v>80</v>
      </c>
      <c r="M724" s="25" t="n">
        <f aca="false">IF(E724="COVERED",'Controls &amp; Sources'!$B$5,'Controls &amp; Sources'!$B$6)</f>
        <v>7.55</v>
      </c>
      <c r="N724" s="25" t="n">
        <f aca="false">L724*M724</f>
        <v>604</v>
      </c>
      <c r="O724" s="22" t="n">
        <f aca="false">COUNTIFS('Billing Actual'!$E$2:$E$770,A724,'Billing Actual'!$B$2:$B$770,'Controls &amp; Sources'!$B$7)</f>
        <v>1</v>
      </c>
      <c r="P724" s="25" t="n">
        <f aca="false">SUMIFS('Billing Actual'!$M$2:$M$770,'Billing Actual'!$E$2:$E$770,A724,'Billing Actual'!$B$2:$B$770,'Controls &amp; Sources'!$B$7)</f>
        <v>604</v>
      </c>
      <c r="Q724" s="25" t="n">
        <f aca="false">P724-N724</f>
        <v>0</v>
      </c>
      <c r="R724" s="22" t="str">
        <f aca="false">IF(O724=0,"No August moorage transaction",IF(O724&gt;1,"Duplicate August transactions",IF(ABS(Q724)&gt;0.005,"Charge variance","OK")))</f>
        <v>OK</v>
      </c>
      <c r="S724" s="22" t="str">
        <f aca="false">IF(R724="OK","","Billing completeness/reconciliation")</f>
        <v/>
      </c>
    </row>
    <row r="725" customFormat="false" ht="15" hidden="false" customHeight="false" outlineLevel="0" collapsed="false">
      <c r="A725" s="22" t="s">
        <v>8088</v>
      </c>
      <c r="B725" s="22" t="s">
        <v>499</v>
      </c>
      <c r="C725" s="22" t="s">
        <v>7694</v>
      </c>
      <c r="D725" s="22" t="n">
        <v>80</v>
      </c>
      <c r="E725" s="22" t="s">
        <v>7696</v>
      </c>
      <c r="F725" s="22" t="s">
        <v>6577</v>
      </c>
      <c r="G725" s="22" t="s">
        <v>4700</v>
      </c>
      <c r="H725" s="22" t="s">
        <v>4701</v>
      </c>
      <c r="I725" s="22" t="s">
        <v>361</v>
      </c>
      <c r="J725" s="22" t="n">
        <v>58.7</v>
      </c>
      <c r="K725" s="22" t="n">
        <f aca="false">ROUNDUP(J725,0)</f>
        <v>59</v>
      </c>
      <c r="L725" s="22" t="n">
        <f aca="false">MAX(D725,K725)</f>
        <v>80</v>
      </c>
      <c r="M725" s="25" t="n">
        <f aca="false">IF(E725="COVERED",'Controls &amp; Sources'!$B$5,'Controls &amp; Sources'!$B$6)</f>
        <v>7.55</v>
      </c>
      <c r="N725" s="25" t="n">
        <f aca="false">L725*M725</f>
        <v>604</v>
      </c>
      <c r="O725" s="22" t="n">
        <f aca="false">COUNTIFS('Billing Actual'!$E$2:$E$770,A725,'Billing Actual'!$B$2:$B$770,'Controls &amp; Sources'!$B$7)</f>
        <v>1</v>
      </c>
      <c r="P725" s="25" t="n">
        <f aca="false">SUMIFS('Billing Actual'!$M$2:$M$770,'Billing Actual'!$E$2:$E$770,A725,'Billing Actual'!$B$2:$B$770,'Controls &amp; Sources'!$B$7)</f>
        <v>604</v>
      </c>
      <c r="Q725" s="25" t="n">
        <f aca="false">P725-N725</f>
        <v>0</v>
      </c>
      <c r="R725" s="22" t="str">
        <f aca="false">IF(O725=0,"No August moorage transaction",IF(O725&gt;1,"Duplicate August transactions",IF(ABS(Q725)&gt;0.005,"Charge variance","OK")))</f>
        <v>OK</v>
      </c>
      <c r="S725" s="22" t="str">
        <f aca="false">IF(R725="OK","","Billing completeness/reconciliation")</f>
        <v/>
      </c>
    </row>
    <row r="726" customFormat="false" ht="15" hidden="false" customHeight="false" outlineLevel="0" collapsed="false">
      <c r="A726" s="22" t="s">
        <v>8090</v>
      </c>
      <c r="B726" s="22" t="s">
        <v>499</v>
      </c>
      <c r="C726" s="22" t="s">
        <v>7694</v>
      </c>
      <c r="D726" s="22" t="n">
        <v>60</v>
      </c>
      <c r="E726" s="22" t="s">
        <v>7696</v>
      </c>
      <c r="F726" s="22" t="s">
        <v>6577</v>
      </c>
      <c r="G726" s="22" t="s">
        <v>1627</v>
      </c>
      <c r="H726" s="22" t="s">
        <v>1628</v>
      </c>
      <c r="I726" s="22" t="s">
        <v>1629</v>
      </c>
      <c r="J726" s="22" t="n">
        <v>56.1</v>
      </c>
      <c r="K726" s="22" t="n">
        <f aca="false">ROUNDUP(J726,0)</f>
        <v>57</v>
      </c>
      <c r="L726" s="22" t="n">
        <f aca="false">MAX(D726,K726)</f>
        <v>60</v>
      </c>
      <c r="M726" s="25" t="n">
        <f aca="false">IF(E726="COVERED",'Controls &amp; Sources'!$B$5,'Controls &amp; Sources'!$B$6)</f>
        <v>7.55</v>
      </c>
      <c r="N726" s="25" t="n">
        <f aca="false">L726*M726</f>
        <v>453</v>
      </c>
      <c r="O726" s="22" t="n">
        <f aca="false">COUNTIFS('Billing Actual'!$E$2:$E$770,A726,'Billing Actual'!$B$2:$B$770,'Controls &amp; Sources'!$B$7)</f>
        <v>1</v>
      </c>
      <c r="P726" s="25" t="n">
        <f aca="false">SUMIFS('Billing Actual'!$M$2:$M$770,'Billing Actual'!$E$2:$E$770,A726,'Billing Actual'!$B$2:$B$770,'Controls &amp; Sources'!$B$7)</f>
        <v>453</v>
      </c>
      <c r="Q726" s="25" t="n">
        <f aca="false">P726-N726</f>
        <v>0</v>
      </c>
      <c r="R726" s="22" t="str">
        <f aca="false">IF(O726=0,"No August moorage transaction",IF(O726&gt;1,"Duplicate August transactions",IF(ABS(Q726)&gt;0.005,"Charge variance","OK")))</f>
        <v>OK</v>
      </c>
      <c r="S726" s="22" t="str">
        <f aca="false">IF(R726="OK","","Billing completeness/reconciliation")</f>
        <v/>
      </c>
    </row>
    <row r="727" customFormat="false" ht="15" hidden="false" customHeight="false" outlineLevel="0" collapsed="false">
      <c r="A727" s="22" t="s">
        <v>8093</v>
      </c>
      <c r="B727" s="22" t="s">
        <v>499</v>
      </c>
      <c r="C727" s="22" t="s">
        <v>7694</v>
      </c>
      <c r="D727" s="22" t="n">
        <v>60</v>
      </c>
      <c r="E727" s="22" t="s">
        <v>7696</v>
      </c>
      <c r="F727" s="22" t="s">
        <v>6577</v>
      </c>
      <c r="G727" s="22" t="s">
        <v>3577</v>
      </c>
      <c r="H727" s="22" t="s">
        <v>3578</v>
      </c>
      <c r="I727" s="22" t="s">
        <v>1869</v>
      </c>
      <c r="J727" s="22" t="n">
        <v>54.9</v>
      </c>
      <c r="K727" s="22" t="n">
        <f aca="false">ROUNDUP(J727,0)</f>
        <v>55</v>
      </c>
      <c r="L727" s="22" t="n">
        <f aca="false">MAX(D727,K727)</f>
        <v>60</v>
      </c>
      <c r="M727" s="25" t="n">
        <f aca="false">IF(E727="COVERED",'Controls &amp; Sources'!$B$5,'Controls &amp; Sources'!$B$6)</f>
        <v>7.55</v>
      </c>
      <c r="N727" s="25" t="n">
        <f aca="false">L727*M727</f>
        <v>453</v>
      </c>
      <c r="O727" s="22" t="n">
        <f aca="false">COUNTIFS('Billing Actual'!$E$2:$E$770,A727,'Billing Actual'!$B$2:$B$770,'Controls &amp; Sources'!$B$7)</f>
        <v>1</v>
      </c>
      <c r="P727" s="25" t="n">
        <f aca="false">SUMIFS('Billing Actual'!$M$2:$M$770,'Billing Actual'!$E$2:$E$770,A727,'Billing Actual'!$B$2:$B$770,'Controls &amp; Sources'!$B$7)</f>
        <v>453</v>
      </c>
      <c r="Q727" s="25" t="n">
        <f aca="false">P727-N727</f>
        <v>0</v>
      </c>
      <c r="R727" s="22" t="str">
        <f aca="false">IF(O727=0,"No August moorage transaction",IF(O727&gt;1,"Duplicate August transactions",IF(ABS(Q727)&gt;0.005,"Charge variance","OK")))</f>
        <v>OK</v>
      </c>
      <c r="S727" s="22" t="str">
        <f aca="false">IF(R727="OK","","Billing completeness/reconciliation")</f>
        <v/>
      </c>
    </row>
    <row r="728" customFormat="false" ht="15" hidden="false" customHeight="false" outlineLevel="0" collapsed="false">
      <c r="A728" s="22" t="s">
        <v>8094</v>
      </c>
      <c r="B728" s="22" t="s">
        <v>499</v>
      </c>
      <c r="C728" s="22" t="s">
        <v>7694</v>
      </c>
      <c r="D728" s="22" t="n">
        <v>80</v>
      </c>
      <c r="E728" s="22" t="s">
        <v>7696</v>
      </c>
      <c r="F728" s="22" t="s">
        <v>6577</v>
      </c>
      <c r="G728" s="22" t="s">
        <v>3337</v>
      </c>
      <c r="H728" s="22" t="s">
        <v>3338</v>
      </c>
      <c r="I728" s="22" t="s">
        <v>1110</v>
      </c>
      <c r="J728" s="22" t="n">
        <v>31.6</v>
      </c>
      <c r="K728" s="22" t="n">
        <f aca="false">ROUNDUP(J728,0)</f>
        <v>32</v>
      </c>
      <c r="L728" s="22" t="n">
        <f aca="false">MAX(D728,K728)</f>
        <v>80</v>
      </c>
      <c r="M728" s="25" t="n">
        <f aca="false">IF(E728="COVERED",'Controls &amp; Sources'!$B$5,'Controls &amp; Sources'!$B$6)</f>
        <v>7.55</v>
      </c>
      <c r="N728" s="25" t="n">
        <f aca="false">L728*M728</f>
        <v>604</v>
      </c>
      <c r="O728" s="22" t="n">
        <f aca="false">COUNTIFS('Billing Actual'!$E$2:$E$770,A728,'Billing Actual'!$B$2:$B$770,'Controls &amp; Sources'!$B$7)</f>
        <v>1</v>
      </c>
      <c r="P728" s="25" t="n">
        <f aca="false">SUMIFS('Billing Actual'!$M$2:$M$770,'Billing Actual'!$E$2:$E$770,A728,'Billing Actual'!$B$2:$B$770,'Controls &amp; Sources'!$B$7)</f>
        <v>604</v>
      </c>
      <c r="Q728" s="25" t="n">
        <f aca="false">P728-N728</f>
        <v>0</v>
      </c>
      <c r="R728" s="22" t="str">
        <f aca="false">IF(O728=0,"No August moorage transaction",IF(O728&gt;1,"Duplicate August transactions",IF(ABS(Q728)&gt;0.005,"Charge variance","OK")))</f>
        <v>OK</v>
      </c>
      <c r="S728" s="22" t="str">
        <f aca="false">IF(R728="OK","","Billing completeness/reconciliation")</f>
        <v/>
      </c>
    </row>
    <row r="729" customFormat="false" ht="15" hidden="false" customHeight="false" outlineLevel="0" collapsed="false">
      <c r="A729" s="22" t="s">
        <v>8096</v>
      </c>
      <c r="B729" s="22" t="s">
        <v>499</v>
      </c>
      <c r="C729" s="22" t="s">
        <v>7694</v>
      </c>
      <c r="D729" s="22" t="n">
        <v>60</v>
      </c>
      <c r="E729" s="22" t="s">
        <v>7696</v>
      </c>
      <c r="F729" s="22" t="s">
        <v>6577</v>
      </c>
      <c r="G729" s="22" t="s">
        <v>1167</v>
      </c>
      <c r="H729" s="22" t="s">
        <v>1168</v>
      </c>
      <c r="I729" s="22" t="s">
        <v>1169</v>
      </c>
      <c r="J729" s="22" t="n">
        <v>29.9</v>
      </c>
      <c r="K729" s="22" t="n">
        <f aca="false">ROUNDUP(J729,0)</f>
        <v>30</v>
      </c>
      <c r="L729" s="22" t="n">
        <f aca="false">MAX(D729,K729)</f>
        <v>60</v>
      </c>
      <c r="M729" s="25" t="n">
        <f aca="false">IF(E729="COVERED",'Controls &amp; Sources'!$B$5,'Controls &amp; Sources'!$B$6)</f>
        <v>7.55</v>
      </c>
      <c r="N729" s="25" t="n">
        <f aca="false">L729*M729</f>
        <v>453</v>
      </c>
      <c r="O729" s="22" t="n">
        <f aca="false">COUNTIFS('Billing Actual'!$E$2:$E$770,A729,'Billing Actual'!$B$2:$B$770,'Controls &amp; Sources'!$B$7)</f>
        <v>1</v>
      </c>
      <c r="P729" s="25" t="n">
        <f aca="false">SUMIFS('Billing Actual'!$M$2:$M$770,'Billing Actual'!$E$2:$E$770,A729,'Billing Actual'!$B$2:$B$770,'Controls &amp; Sources'!$B$7)</f>
        <v>453</v>
      </c>
      <c r="Q729" s="25" t="n">
        <f aca="false">P729-N729</f>
        <v>0</v>
      </c>
      <c r="R729" s="22" t="str">
        <f aca="false">IF(O729=0,"No August moorage transaction",IF(O729&gt;1,"Duplicate August transactions",IF(ABS(Q729)&gt;0.005,"Charge variance","OK")))</f>
        <v>OK</v>
      </c>
      <c r="S729" s="22" t="str">
        <f aca="false">IF(R729="OK","","Billing completeness/reconciliation")</f>
        <v/>
      </c>
    </row>
    <row r="730" customFormat="false" ht="15" hidden="false" customHeight="false" outlineLevel="0" collapsed="false">
      <c r="A730" s="22" t="s">
        <v>8097</v>
      </c>
      <c r="B730" s="22" t="s">
        <v>499</v>
      </c>
      <c r="C730" s="22" t="s">
        <v>7694</v>
      </c>
      <c r="D730" s="22" t="n">
        <v>28</v>
      </c>
      <c r="E730" s="22" t="s">
        <v>7696</v>
      </c>
      <c r="F730" s="22" t="s">
        <v>6577</v>
      </c>
      <c r="G730" s="22" t="s">
        <v>2584</v>
      </c>
      <c r="H730" s="22" t="s">
        <v>2585</v>
      </c>
      <c r="I730" s="22" t="s">
        <v>1850</v>
      </c>
      <c r="J730" s="22" t="n">
        <v>45.5</v>
      </c>
      <c r="K730" s="22" t="n">
        <f aca="false">ROUNDUP(J730,0)</f>
        <v>46</v>
      </c>
      <c r="L730" s="22" t="n">
        <f aca="false">MAX(D730,K730)</f>
        <v>46</v>
      </c>
      <c r="M730" s="25" t="n">
        <f aca="false">IF(E730="COVERED",'Controls &amp; Sources'!$B$5,'Controls &amp; Sources'!$B$6)</f>
        <v>7.55</v>
      </c>
      <c r="N730" s="25" t="n">
        <f aca="false">L730*M730</f>
        <v>347.3</v>
      </c>
      <c r="O730" s="22" t="n">
        <f aca="false">COUNTIFS('Billing Actual'!$E$2:$E$770,A730,'Billing Actual'!$B$2:$B$770,'Controls &amp; Sources'!$B$7)</f>
        <v>1</v>
      </c>
      <c r="P730" s="25" t="n">
        <f aca="false">SUMIFS('Billing Actual'!$M$2:$M$770,'Billing Actual'!$E$2:$E$770,A730,'Billing Actual'!$B$2:$B$770,'Controls &amp; Sources'!$B$7)</f>
        <v>347.3</v>
      </c>
      <c r="Q730" s="25" t="n">
        <f aca="false">P730-N730</f>
        <v>0</v>
      </c>
      <c r="R730" s="22" t="str">
        <f aca="false">IF(O730=0,"No August moorage transaction",IF(O730&gt;1,"Duplicate August transactions",IF(ABS(Q730)&gt;0.005,"Charge variance","OK")))</f>
        <v>OK</v>
      </c>
      <c r="S730" s="22" t="str">
        <f aca="false">IF(R730="OK","","Billing completeness/reconciliation")</f>
        <v/>
      </c>
    </row>
    <row r="731" customFormat="false" ht="15" hidden="false" customHeight="false" outlineLevel="0" collapsed="false">
      <c r="A731" s="22" t="s">
        <v>8099</v>
      </c>
      <c r="B731" s="22" t="s">
        <v>499</v>
      </c>
      <c r="C731" s="22" t="s">
        <v>7694</v>
      </c>
      <c r="D731" s="22" t="n">
        <v>24</v>
      </c>
      <c r="E731" s="22" t="s">
        <v>7696</v>
      </c>
      <c r="F731" s="22" t="s">
        <v>6577</v>
      </c>
      <c r="G731" s="22" t="s">
        <v>2558</v>
      </c>
      <c r="H731" s="22" t="s">
        <v>2559</v>
      </c>
      <c r="I731" s="22" t="s">
        <v>2560</v>
      </c>
      <c r="J731" s="22" t="n">
        <v>32.4</v>
      </c>
      <c r="K731" s="22" t="n">
        <f aca="false">ROUNDUP(J731,0)</f>
        <v>33</v>
      </c>
      <c r="L731" s="22" t="n">
        <f aca="false">MAX(D731,K731)</f>
        <v>33</v>
      </c>
      <c r="M731" s="25" t="n">
        <f aca="false">IF(E731="COVERED",'Controls &amp; Sources'!$B$5,'Controls &amp; Sources'!$B$6)</f>
        <v>7.55</v>
      </c>
      <c r="N731" s="25" t="n">
        <f aca="false">L731*M731</f>
        <v>249.15</v>
      </c>
      <c r="O731" s="22" t="n">
        <f aca="false">COUNTIFS('Billing Actual'!$E$2:$E$770,A731,'Billing Actual'!$B$2:$B$770,'Controls &amp; Sources'!$B$7)</f>
        <v>1</v>
      </c>
      <c r="P731" s="25" t="n">
        <f aca="false">SUMIFS('Billing Actual'!$M$2:$M$770,'Billing Actual'!$E$2:$E$770,A731,'Billing Actual'!$B$2:$B$770,'Controls &amp; Sources'!$B$7)</f>
        <v>249.15</v>
      </c>
      <c r="Q731" s="25" t="n">
        <f aca="false">P731-N731</f>
        <v>0</v>
      </c>
      <c r="R731" s="22" t="str">
        <f aca="false">IF(O731=0,"No August moorage transaction",IF(O731&gt;1,"Duplicate August transactions",IF(ABS(Q731)&gt;0.005,"Charge variance","OK")))</f>
        <v>OK</v>
      </c>
      <c r="S731" s="22" t="str">
        <f aca="false">IF(R731="OK","","Billing completeness/reconciliation")</f>
        <v/>
      </c>
    </row>
    <row r="732" customFormat="false" ht="15" hidden="false" customHeight="false" outlineLevel="0" collapsed="false">
      <c r="A732" s="22" t="s">
        <v>8101</v>
      </c>
      <c r="B732" s="22" t="s">
        <v>499</v>
      </c>
      <c r="C732" s="22" t="s">
        <v>7694</v>
      </c>
      <c r="D732" s="22" t="n">
        <v>28</v>
      </c>
      <c r="E732" s="22" t="s">
        <v>7696</v>
      </c>
      <c r="F732" s="22" t="s">
        <v>6577</v>
      </c>
      <c r="G732" s="22" t="s">
        <v>2053</v>
      </c>
      <c r="H732" s="22" t="s">
        <v>2054</v>
      </c>
      <c r="I732" s="22" t="s">
        <v>690</v>
      </c>
      <c r="J732" s="22" t="n">
        <v>55.3</v>
      </c>
      <c r="K732" s="22" t="n">
        <f aca="false">ROUNDUP(J732,0)</f>
        <v>56</v>
      </c>
      <c r="L732" s="22" t="n">
        <f aca="false">MAX(D732,K732)</f>
        <v>56</v>
      </c>
      <c r="M732" s="25" t="n">
        <f aca="false">IF(E732="COVERED",'Controls &amp; Sources'!$B$5,'Controls &amp; Sources'!$B$6)</f>
        <v>7.55</v>
      </c>
      <c r="N732" s="25" t="n">
        <f aca="false">L732*M732</f>
        <v>422.8</v>
      </c>
      <c r="O732" s="22" t="n">
        <f aca="false">COUNTIFS('Billing Actual'!$E$2:$E$770,A732,'Billing Actual'!$B$2:$B$770,'Controls &amp; Sources'!$B$7)</f>
        <v>1</v>
      </c>
      <c r="P732" s="25" t="n">
        <f aca="false">SUMIFS('Billing Actual'!$M$2:$M$770,'Billing Actual'!$E$2:$E$770,A732,'Billing Actual'!$B$2:$B$770,'Controls &amp; Sources'!$B$7)</f>
        <v>422.8</v>
      </c>
      <c r="Q732" s="25" t="n">
        <f aca="false">P732-N732</f>
        <v>0</v>
      </c>
      <c r="R732" s="22" t="str">
        <f aca="false">IF(O732=0,"No August moorage transaction",IF(O732&gt;1,"Duplicate August transactions",IF(ABS(Q732)&gt;0.005,"Charge variance","OK")))</f>
        <v>OK</v>
      </c>
      <c r="S732" s="22" t="str">
        <f aca="false">IF(R732="OK","","Billing completeness/reconciliation")</f>
        <v/>
      </c>
    </row>
    <row r="733" customFormat="false" ht="15" hidden="false" customHeight="false" outlineLevel="0" collapsed="false">
      <c r="A733" s="22" t="s">
        <v>8103</v>
      </c>
      <c r="B733" s="22" t="s">
        <v>499</v>
      </c>
      <c r="C733" s="22" t="s">
        <v>7694</v>
      </c>
      <c r="D733" s="22" t="n">
        <v>28</v>
      </c>
      <c r="E733" s="22" t="s">
        <v>7696</v>
      </c>
      <c r="F733" s="22" t="s">
        <v>6577</v>
      </c>
      <c r="G733" s="22" t="s">
        <v>2841</v>
      </c>
      <c r="H733" s="22" t="s">
        <v>2842</v>
      </c>
      <c r="I733" s="22" t="s">
        <v>170</v>
      </c>
      <c r="J733" s="22" t="n">
        <v>29.9</v>
      </c>
      <c r="K733" s="22" t="n">
        <f aca="false">ROUNDUP(J733,0)</f>
        <v>30</v>
      </c>
      <c r="L733" s="22" t="n">
        <f aca="false">MAX(D733,K733)</f>
        <v>30</v>
      </c>
      <c r="M733" s="25" t="n">
        <f aca="false">IF(E733="COVERED",'Controls &amp; Sources'!$B$5,'Controls &amp; Sources'!$B$6)</f>
        <v>7.55</v>
      </c>
      <c r="N733" s="25" t="n">
        <f aca="false">L733*M733</f>
        <v>226.5</v>
      </c>
      <c r="O733" s="22" t="n">
        <f aca="false">COUNTIFS('Billing Actual'!$E$2:$E$770,A733,'Billing Actual'!$B$2:$B$770,'Controls &amp; Sources'!$B$7)</f>
        <v>1</v>
      </c>
      <c r="P733" s="25" t="n">
        <f aca="false">SUMIFS('Billing Actual'!$M$2:$M$770,'Billing Actual'!$E$2:$E$770,A733,'Billing Actual'!$B$2:$B$770,'Controls &amp; Sources'!$B$7)</f>
        <v>226.5</v>
      </c>
      <c r="Q733" s="25" t="n">
        <f aca="false">P733-N733</f>
        <v>0</v>
      </c>
      <c r="R733" s="22" t="str">
        <f aca="false">IF(O733=0,"No August moorage transaction",IF(O733&gt;1,"Duplicate August transactions",IF(ABS(Q733)&gt;0.005,"Charge variance","OK")))</f>
        <v>OK</v>
      </c>
      <c r="S733" s="22" t="str">
        <f aca="false">IF(R733="OK","","Billing completeness/reconciliation")</f>
        <v/>
      </c>
    </row>
    <row r="734" customFormat="false" ht="15" hidden="false" customHeight="false" outlineLevel="0" collapsed="false">
      <c r="A734" s="22" t="s">
        <v>8105</v>
      </c>
      <c r="B734" s="22" t="s">
        <v>499</v>
      </c>
      <c r="C734" s="22" t="s">
        <v>7694</v>
      </c>
      <c r="D734" s="22" t="n">
        <v>32</v>
      </c>
      <c r="E734" s="22" t="s">
        <v>7696</v>
      </c>
      <c r="F734" s="22" t="s">
        <v>6577</v>
      </c>
      <c r="G734" s="22" t="s">
        <v>282</v>
      </c>
      <c r="H734" s="22" t="s">
        <v>283</v>
      </c>
      <c r="I734" s="22" t="s">
        <v>284</v>
      </c>
      <c r="J734" s="22" t="n">
        <v>35.3</v>
      </c>
      <c r="K734" s="22" t="n">
        <f aca="false">ROUNDUP(J734,0)</f>
        <v>36</v>
      </c>
      <c r="L734" s="22" t="n">
        <f aca="false">MAX(D734,K734)</f>
        <v>36</v>
      </c>
      <c r="M734" s="25" t="n">
        <f aca="false">IF(E734="COVERED",'Controls &amp; Sources'!$B$5,'Controls &amp; Sources'!$B$6)</f>
        <v>7.55</v>
      </c>
      <c r="N734" s="25" t="n">
        <f aca="false">L734*M734</f>
        <v>271.8</v>
      </c>
      <c r="O734" s="22" t="n">
        <f aca="false">COUNTIFS('Billing Actual'!$E$2:$E$770,A734,'Billing Actual'!$B$2:$B$770,'Controls &amp; Sources'!$B$7)</f>
        <v>1</v>
      </c>
      <c r="P734" s="25" t="n">
        <f aca="false">SUMIFS('Billing Actual'!$M$2:$M$770,'Billing Actual'!$E$2:$E$770,A734,'Billing Actual'!$B$2:$B$770,'Controls &amp; Sources'!$B$7)</f>
        <v>271.8</v>
      </c>
      <c r="Q734" s="25" t="n">
        <f aca="false">P734-N734</f>
        <v>0</v>
      </c>
      <c r="R734" s="22" t="str">
        <f aca="false">IF(O734=0,"No August moorage transaction",IF(O734&gt;1,"Duplicate August transactions",IF(ABS(Q734)&gt;0.005,"Charge variance","OK")))</f>
        <v>OK</v>
      </c>
      <c r="S734" s="22" t="str">
        <f aca="false">IF(R734="OK","","Billing completeness/reconciliation")</f>
        <v/>
      </c>
    </row>
    <row r="735" customFormat="false" ht="15" hidden="false" customHeight="false" outlineLevel="0" collapsed="false">
      <c r="A735" s="22" t="s">
        <v>8107</v>
      </c>
      <c r="B735" s="22" t="s">
        <v>499</v>
      </c>
      <c r="C735" s="22" t="s">
        <v>7694</v>
      </c>
      <c r="D735" s="22" t="n">
        <v>80</v>
      </c>
      <c r="E735" s="22" t="s">
        <v>7696</v>
      </c>
      <c r="F735" s="22" t="s">
        <v>6577</v>
      </c>
      <c r="G735" s="22" t="s">
        <v>3767</v>
      </c>
      <c r="H735" s="22" t="s">
        <v>3768</v>
      </c>
      <c r="I735" s="22" t="s">
        <v>2238</v>
      </c>
      <c r="J735" s="22" t="n">
        <v>60</v>
      </c>
      <c r="K735" s="22" t="n">
        <f aca="false">ROUNDUP(J735,0)</f>
        <v>60</v>
      </c>
      <c r="L735" s="22" t="n">
        <f aca="false">MAX(D735,K735)</f>
        <v>80</v>
      </c>
      <c r="M735" s="25" t="n">
        <f aca="false">IF(E735="COVERED",'Controls &amp; Sources'!$B$5,'Controls &amp; Sources'!$B$6)</f>
        <v>7.55</v>
      </c>
      <c r="N735" s="25" t="n">
        <f aca="false">L735*M735</f>
        <v>604</v>
      </c>
      <c r="O735" s="22" t="n">
        <f aca="false">COUNTIFS('Billing Actual'!$E$2:$E$770,A735,'Billing Actual'!$B$2:$B$770,'Controls &amp; Sources'!$B$7)</f>
        <v>1</v>
      </c>
      <c r="P735" s="25" t="n">
        <f aca="false">SUMIFS('Billing Actual'!$M$2:$M$770,'Billing Actual'!$E$2:$E$770,A735,'Billing Actual'!$B$2:$B$770,'Controls &amp; Sources'!$B$7)</f>
        <v>604</v>
      </c>
      <c r="Q735" s="25" t="n">
        <f aca="false">P735-N735</f>
        <v>0</v>
      </c>
      <c r="R735" s="22" t="str">
        <f aca="false">IF(O735=0,"No August moorage transaction",IF(O735&gt;1,"Duplicate August transactions",IF(ABS(Q735)&gt;0.005,"Charge variance","OK")))</f>
        <v>OK</v>
      </c>
      <c r="S735" s="22" t="str">
        <f aca="false">IF(R735="OK","","Billing completeness/reconciliation")</f>
        <v/>
      </c>
    </row>
    <row r="736" customFormat="false" ht="15" hidden="false" customHeight="false" outlineLevel="0" collapsed="false">
      <c r="A736" s="22" t="s">
        <v>8108</v>
      </c>
      <c r="B736" s="22" t="s">
        <v>499</v>
      </c>
      <c r="C736" s="22" t="s">
        <v>7694</v>
      </c>
      <c r="D736" s="22" t="n">
        <v>32</v>
      </c>
      <c r="E736" s="22" t="s">
        <v>7696</v>
      </c>
      <c r="F736" s="22" t="s">
        <v>6577</v>
      </c>
      <c r="G736" s="22" t="s">
        <v>4164</v>
      </c>
      <c r="H736" s="22" t="s">
        <v>4165</v>
      </c>
      <c r="I736" s="22" t="s">
        <v>588</v>
      </c>
      <c r="J736" s="22" t="n">
        <v>46.9</v>
      </c>
      <c r="K736" s="22" t="n">
        <f aca="false">ROUNDUP(J736,0)</f>
        <v>47</v>
      </c>
      <c r="L736" s="22" t="n">
        <f aca="false">MAX(D736,K736)</f>
        <v>47</v>
      </c>
      <c r="M736" s="25" t="n">
        <f aca="false">IF(E736="COVERED",'Controls &amp; Sources'!$B$5,'Controls &amp; Sources'!$B$6)</f>
        <v>7.55</v>
      </c>
      <c r="N736" s="25" t="n">
        <f aca="false">L736*M736</f>
        <v>354.85</v>
      </c>
      <c r="O736" s="22" t="n">
        <f aca="false">COUNTIFS('Billing Actual'!$E$2:$E$770,A736,'Billing Actual'!$B$2:$B$770,'Controls &amp; Sources'!$B$7)</f>
        <v>1</v>
      </c>
      <c r="P736" s="25" t="n">
        <f aca="false">SUMIFS('Billing Actual'!$M$2:$M$770,'Billing Actual'!$E$2:$E$770,A736,'Billing Actual'!$B$2:$B$770,'Controls &amp; Sources'!$B$7)</f>
        <v>354.85</v>
      </c>
      <c r="Q736" s="25" t="n">
        <f aca="false">P736-N736</f>
        <v>0</v>
      </c>
      <c r="R736" s="22" t="str">
        <f aca="false">IF(O736=0,"No August moorage transaction",IF(O736&gt;1,"Duplicate August transactions",IF(ABS(Q736)&gt;0.005,"Charge variance","OK")))</f>
        <v>OK</v>
      </c>
      <c r="S736" s="22" t="str">
        <f aca="false">IF(R736="OK","","Billing completeness/reconciliation")</f>
        <v/>
      </c>
    </row>
    <row r="737" customFormat="false" ht="15" hidden="false" customHeight="false" outlineLevel="0" collapsed="false">
      <c r="A737" s="22" t="s">
        <v>8109</v>
      </c>
      <c r="B737" s="22" t="s">
        <v>499</v>
      </c>
      <c r="C737" s="22" t="s">
        <v>7694</v>
      </c>
      <c r="D737" s="22" t="n">
        <v>32</v>
      </c>
      <c r="E737" s="22" t="s">
        <v>7696</v>
      </c>
      <c r="F737" s="22" t="s">
        <v>6577</v>
      </c>
      <c r="G737" s="22" t="s">
        <v>3579</v>
      </c>
      <c r="H737" s="22" t="s">
        <v>3580</v>
      </c>
      <c r="I737" s="22" t="s">
        <v>841</v>
      </c>
      <c r="J737" s="22" t="n">
        <v>41.2</v>
      </c>
      <c r="K737" s="22" t="n">
        <f aca="false">ROUNDUP(J737,0)</f>
        <v>42</v>
      </c>
      <c r="L737" s="22" t="n">
        <f aca="false">MAX(D737,K737)</f>
        <v>42</v>
      </c>
      <c r="M737" s="25" t="n">
        <f aca="false">IF(E737="COVERED",'Controls &amp; Sources'!$B$5,'Controls &amp; Sources'!$B$6)</f>
        <v>7.55</v>
      </c>
      <c r="N737" s="25" t="n">
        <f aca="false">L737*M737</f>
        <v>317.1</v>
      </c>
      <c r="O737" s="22" t="n">
        <f aca="false">COUNTIFS('Billing Actual'!$E$2:$E$770,A737,'Billing Actual'!$B$2:$B$770,'Controls &amp; Sources'!$B$7)</f>
        <v>1</v>
      </c>
      <c r="P737" s="25" t="n">
        <f aca="false">SUMIFS('Billing Actual'!$M$2:$M$770,'Billing Actual'!$E$2:$E$770,A737,'Billing Actual'!$B$2:$B$770,'Controls &amp; Sources'!$B$7)</f>
        <v>317.1</v>
      </c>
      <c r="Q737" s="25" t="n">
        <f aca="false">P737-N737</f>
        <v>0</v>
      </c>
      <c r="R737" s="22" t="str">
        <f aca="false">IF(O737=0,"No August moorage transaction",IF(O737&gt;1,"Duplicate August transactions",IF(ABS(Q737)&gt;0.005,"Charge variance","OK")))</f>
        <v>OK</v>
      </c>
      <c r="S737" s="22" t="str">
        <f aca="false">IF(R737="OK","","Billing completeness/reconciliation")</f>
        <v/>
      </c>
    </row>
    <row r="738" customFormat="false" ht="15" hidden="false" customHeight="false" outlineLevel="0" collapsed="false">
      <c r="A738" s="22" t="s">
        <v>8110</v>
      </c>
      <c r="B738" s="22" t="s">
        <v>499</v>
      </c>
      <c r="C738" s="22" t="s">
        <v>7694</v>
      </c>
      <c r="D738" s="22" t="n">
        <v>60</v>
      </c>
      <c r="E738" s="22" t="s">
        <v>7696</v>
      </c>
      <c r="F738" s="22" t="s">
        <v>6577</v>
      </c>
      <c r="G738" s="22" t="s">
        <v>640</v>
      </c>
      <c r="H738" s="22" t="s">
        <v>641</v>
      </c>
      <c r="I738" s="22" t="s">
        <v>642</v>
      </c>
      <c r="J738" s="22" t="n">
        <v>51.5</v>
      </c>
      <c r="K738" s="22" t="n">
        <f aca="false">ROUNDUP(J738,0)</f>
        <v>52</v>
      </c>
      <c r="L738" s="22" t="n">
        <f aca="false">MAX(D738,K738)</f>
        <v>60</v>
      </c>
      <c r="M738" s="25" t="n">
        <f aca="false">IF(E738="COVERED",'Controls &amp; Sources'!$B$5,'Controls &amp; Sources'!$B$6)</f>
        <v>7.55</v>
      </c>
      <c r="N738" s="25" t="n">
        <f aca="false">L738*M738</f>
        <v>453</v>
      </c>
      <c r="O738" s="22" t="n">
        <f aca="false">COUNTIFS('Billing Actual'!$E$2:$E$770,A738,'Billing Actual'!$B$2:$B$770,'Controls &amp; Sources'!$B$7)</f>
        <v>1</v>
      </c>
      <c r="P738" s="25" t="n">
        <f aca="false">SUMIFS('Billing Actual'!$M$2:$M$770,'Billing Actual'!$E$2:$E$770,A738,'Billing Actual'!$B$2:$B$770,'Controls &amp; Sources'!$B$7)</f>
        <v>453</v>
      </c>
      <c r="Q738" s="25" t="n">
        <f aca="false">P738-N738</f>
        <v>0</v>
      </c>
      <c r="R738" s="22" t="str">
        <f aca="false">IF(O738=0,"No August moorage transaction",IF(O738&gt;1,"Duplicate August transactions",IF(ABS(Q738)&gt;0.005,"Charge variance","OK")))</f>
        <v>OK</v>
      </c>
      <c r="S738" s="22" t="str">
        <f aca="false">IF(R738="OK","","Billing completeness/reconciliation")</f>
        <v/>
      </c>
    </row>
    <row r="739" customFormat="false" ht="15" hidden="false" customHeight="false" outlineLevel="0" collapsed="false">
      <c r="A739" s="22" t="s">
        <v>8112</v>
      </c>
      <c r="B739" s="22" t="s">
        <v>499</v>
      </c>
      <c r="C739" s="22" t="s">
        <v>7694</v>
      </c>
      <c r="D739" s="22" t="n">
        <v>40</v>
      </c>
      <c r="E739" s="22" t="s">
        <v>7696</v>
      </c>
      <c r="F739" s="22" t="s">
        <v>6577</v>
      </c>
      <c r="G739" s="22" t="s">
        <v>5319</v>
      </c>
      <c r="H739" s="22" t="s">
        <v>5320</v>
      </c>
      <c r="I739" s="22" t="s">
        <v>599</v>
      </c>
      <c r="J739" s="22" t="n">
        <v>48.5</v>
      </c>
      <c r="K739" s="22" t="n">
        <f aca="false">ROUNDUP(J739,0)</f>
        <v>49</v>
      </c>
      <c r="L739" s="22" t="n">
        <f aca="false">MAX(D739,K739)</f>
        <v>49</v>
      </c>
      <c r="M739" s="25" t="n">
        <f aca="false">IF(E739="COVERED",'Controls &amp; Sources'!$B$5,'Controls &amp; Sources'!$B$6)</f>
        <v>7.55</v>
      </c>
      <c r="N739" s="25" t="n">
        <f aca="false">L739*M739</f>
        <v>369.95</v>
      </c>
      <c r="O739" s="22" t="n">
        <f aca="false">COUNTIFS('Billing Actual'!$E$2:$E$770,A739,'Billing Actual'!$B$2:$B$770,'Controls &amp; Sources'!$B$7)</f>
        <v>1</v>
      </c>
      <c r="P739" s="25" t="n">
        <f aca="false">SUMIFS('Billing Actual'!$M$2:$M$770,'Billing Actual'!$E$2:$E$770,A739,'Billing Actual'!$B$2:$B$770,'Controls &amp; Sources'!$B$7)</f>
        <v>369.95</v>
      </c>
      <c r="Q739" s="25" t="n">
        <f aca="false">P739-N739</f>
        <v>0</v>
      </c>
      <c r="R739" s="22" t="str">
        <f aca="false">IF(O739=0,"No August moorage transaction",IF(O739&gt;1,"Duplicate August transactions",IF(ABS(Q739)&gt;0.005,"Charge variance","OK")))</f>
        <v>OK</v>
      </c>
      <c r="S739" s="22" t="str">
        <f aca="false">IF(R739="OK","","Billing completeness/reconciliation")</f>
        <v/>
      </c>
    </row>
    <row r="740" customFormat="false" ht="15" hidden="false" customHeight="false" outlineLevel="0" collapsed="false">
      <c r="A740" s="22" t="s">
        <v>8113</v>
      </c>
      <c r="B740" s="22" t="s">
        <v>499</v>
      </c>
      <c r="C740" s="22" t="s">
        <v>7694</v>
      </c>
      <c r="D740" s="22" t="n">
        <v>36</v>
      </c>
      <c r="E740" s="22" t="s">
        <v>7696</v>
      </c>
      <c r="F740" s="22" t="s">
        <v>6577</v>
      </c>
      <c r="G740" s="22" t="s">
        <v>5369</v>
      </c>
      <c r="H740" s="22" t="s">
        <v>5370</v>
      </c>
      <c r="I740" s="22" t="s">
        <v>582</v>
      </c>
      <c r="J740" s="22" t="n">
        <v>20.4</v>
      </c>
      <c r="K740" s="22" t="n">
        <f aca="false">ROUNDUP(J740,0)</f>
        <v>21</v>
      </c>
      <c r="L740" s="22" t="n">
        <f aca="false">MAX(D740,K740)</f>
        <v>36</v>
      </c>
      <c r="M740" s="25" t="n">
        <f aca="false">IF(E740="COVERED",'Controls &amp; Sources'!$B$5,'Controls &amp; Sources'!$B$6)</f>
        <v>7.55</v>
      </c>
      <c r="N740" s="25" t="n">
        <f aca="false">L740*M740</f>
        <v>271.8</v>
      </c>
      <c r="O740" s="22" t="n">
        <f aca="false">COUNTIFS('Billing Actual'!$E$2:$E$770,A740,'Billing Actual'!$B$2:$B$770,'Controls &amp; Sources'!$B$7)</f>
        <v>1</v>
      </c>
      <c r="P740" s="25" t="n">
        <f aca="false">SUMIFS('Billing Actual'!$M$2:$M$770,'Billing Actual'!$E$2:$E$770,A740,'Billing Actual'!$B$2:$B$770,'Controls &amp; Sources'!$B$7)</f>
        <v>271.8</v>
      </c>
      <c r="Q740" s="25" t="n">
        <f aca="false">P740-N740</f>
        <v>0</v>
      </c>
      <c r="R740" s="22" t="str">
        <f aca="false">IF(O740=0,"No August moorage transaction",IF(O740&gt;1,"Duplicate August transactions",IF(ABS(Q740)&gt;0.005,"Charge variance","OK")))</f>
        <v>OK</v>
      </c>
      <c r="S740" s="22" t="str">
        <f aca="false">IF(R740="OK","","Billing completeness/reconciliation")</f>
        <v/>
      </c>
    </row>
    <row r="741" customFormat="false" ht="15" hidden="false" customHeight="false" outlineLevel="0" collapsed="false">
      <c r="A741" s="22" t="s">
        <v>8115</v>
      </c>
      <c r="B741" s="22" t="s">
        <v>499</v>
      </c>
      <c r="C741" s="22" t="s">
        <v>7694</v>
      </c>
      <c r="D741" s="22" t="n">
        <v>70</v>
      </c>
      <c r="E741" s="22" t="s">
        <v>7696</v>
      </c>
      <c r="F741" s="22" t="s">
        <v>6577</v>
      </c>
      <c r="G741" s="22" t="s">
        <v>2538</v>
      </c>
      <c r="H741" s="22" t="s">
        <v>2539</v>
      </c>
      <c r="I741" s="22" t="s">
        <v>755</v>
      </c>
      <c r="J741" s="22" t="n">
        <v>51.7</v>
      </c>
      <c r="K741" s="22" t="n">
        <f aca="false">ROUNDUP(J741,0)</f>
        <v>52</v>
      </c>
      <c r="L741" s="22" t="n">
        <f aca="false">MAX(D741,K741)</f>
        <v>70</v>
      </c>
      <c r="M741" s="25" t="n">
        <f aca="false">IF(E741="COVERED",'Controls &amp; Sources'!$B$5,'Controls &amp; Sources'!$B$6)</f>
        <v>7.55</v>
      </c>
      <c r="N741" s="25" t="n">
        <f aca="false">L741*M741</f>
        <v>528.5</v>
      </c>
      <c r="O741" s="22" t="n">
        <f aca="false">COUNTIFS('Billing Actual'!$E$2:$E$770,A741,'Billing Actual'!$B$2:$B$770,'Controls &amp; Sources'!$B$7)</f>
        <v>1</v>
      </c>
      <c r="P741" s="25" t="n">
        <f aca="false">SUMIFS('Billing Actual'!$M$2:$M$770,'Billing Actual'!$E$2:$E$770,A741,'Billing Actual'!$B$2:$B$770,'Controls &amp; Sources'!$B$7)</f>
        <v>528.5</v>
      </c>
      <c r="Q741" s="25" t="n">
        <f aca="false">P741-N741</f>
        <v>0</v>
      </c>
      <c r="R741" s="22" t="str">
        <f aca="false">IF(O741=0,"No August moorage transaction",IF(O741&gt;1,"Duplicate August transactions",IF(ABS(Q741)&gt;0.005,"Charge variance","OK")))</f>
        <v>OK</v>
      </c>
      <c r="S741" s="22" t="str">
        <f aca="false">IF(R741="OK","","Billing completeness/reconciliation")</f>
        <v/>
      </c>
    </row>
    <row r="742" customFormat="false" ht="15" hidden="false" customHeight="false" outlineLevel="0" collapsed="false">
      <c r="A742" s="22" t="s">
        <v>8117</v>
      </c>
      <c r="B742" s="22" t="s">
        <v>499</v>
      </c>
      <c r="C742" s="22" t="s">
        <v>7694</v>
      </c>
      <c r="D742" s="22" t="n">
        <v>32</v>
      </c>
      <c r="E742" s="22" t="s">
        <v>7696</v>
      </c>
      <c r="F742" s="22" t="s">
        <v>6577</v>
      </c>
      <c r="G742" s="22" t="s">
        <v>5649</v>
      </c>
      <c r="H742" s="22" t="s">
        <v>5650</v>
      </c>
      <c r="I742" s="22" t="s">
        <v>3774</v>
      </c>
      <c r="J742" s="22" t="n">
        <v>60.7</v>
      </c>
      <c r="K742" s="22" t="n">
        <f aca="false">ROUNDUP(J742,0)</f>
        <v>61</v>
      </c>
      <c r="L742" s="22" t="n">
        <f aca="false">MAX(D742,K742)</f>
        <v>61</v>
      </c>
      <c r="M742" s="25" t="n">
        <f aca="false">IF(E742="COVERED",'Controls &amp; Sources'!$B$5,'Controls &amp; Sources'!$B$6)</f>
        <v>7.55</v>
      </c>
      <c r="N742" s="25" t="n">
        <f aca="false">L742*M742</f>
        <v>460.55</v>
      </c>
      <c r="O742" s="22" t="n">
        <f aca="false">COUNTIFS('Billing Actual'!$E$2:$E$770,A742,'Billing Actual'!$B$2:$B$770,'Controls &amp; Sources'!$B$7)</f>
        <v>1</v>
      </c>
      <c r="P742" s="25" t="n">
        <f aca="false">SUMIFS('Billing Actual'!$M$2:$M$770,'Billing Actual'!$E$2:$E$770,A742,'Billing Actual'!$B$2:$B$770,'Controls &amp; Sources'!$B$7)</f>
        <v>460.55</v>
      </c>
      <c r="Q742" s="25" t="n">
        <f aca="false">P742-N742</f>
        <v>0</v>
      </c>
      <c r="R742" s="22" t="str">
        <f aca="false">IF(O742=0,"No August moorage transaction",IF(O742&gt;1,"Duplicate August transactions",IF(ABS(Q742)&gt;0.005,"Charge variance","OK")))</f>
        <v>OK</v>
      </c>
      <c r="S742" s="22" t="str">
        <f aca="false">IF(R742="OK","","Billing completeness/reconciliation")</f>
        <v/>
      </c>
    </row>
    <row r="743" customFormat="false" ht="15" hidden="false" customHeight="false" outlineLevel="0" collapsed="false">
      <c r="A743" s="22" t="s">
        <v>8120</v>
      </c>
      <c r="B743" s="22" t="s">
        <v>499</v>
      </c>
      <c r="C743" s="22" t="s">
        <v>7694</v>
      </c>
      <c r="D743" s="22" t="n">
        <v>32</v>
      </c>
      <c r="E743" s="22" t="s">
        <v>7696</v>
      </c>
      <c r="F743" s="22" t="s">
        <v>6577</v>
      </c>
      <c r="G743" s="22" t="s">
        <v>5351</v>
      </c>
      <c r="H743" s="22" t="s">
        <v>5352</v>
      </c>
      <c r="I743" s="22" t="s">
        <v>260</v>
      </c>
      <c r="J743" s="22" t="n">
        <v>58.4</v>
      </c>
      <c r="K743" s="22" t="n">
        <f aca="false">ROUNDUP(J743,0)</f>
        <v>59</v>
      </c>
      <c r="L743" s="22" t="n">
        <f aca="false">MAX(D743,K743)</f>
        <v>59</v>
      </c>
      <c r="M743" s="25" t="n">
        <f aca="false">IF(E743="COVERED",'Controls &amp; Sources'!$B$5,'Controls &amp; Sources'!$B$6)</f>
        <v>7.55</v>
      </c>
      <c r="N743" s="25" t="n">
        <f aca="false">L743*M743</f>
        <v>445.45</v>
      </c>
      <c r="O743" s="22" t="n">
        <f aca="false">COUNTIFS('Billing Actual'!$E$2:$E$770,A743,'Billing Actual'!$B$2:$B$770,'Controls &amp; Sources'!$B$7)</f>
        <v>1</v>
      </c>
      <c r="P743" s="25" t="n">
        <f aca="false">SUMIFS('Billing Actual'!$M$2:$M$770,'Billing Actual'!$E$2:$E$770,A743,'Billing Actual'!$B$2:$B$770,'Controls &amp; Sources'!$B$7)</f>
        <v>445.45</v>
      </c>
      <c r="Q743" s="25" t="n">
        <f aca="false">P743-N743</f>
        <v>0</v>
      </c>
      <c r="R743" s="22" t="str">
        <f aca="false">IF(O743=0,"No August moorage transaction",IF(O743&gt;1,"Duplicate August transactions",IF(ABS(Q743)&gt;0.005,"Charge variance","OK")))</f>
        <v>OK</v>
      </c>
      <c r="S743" s="22" t="str">
        <f aca="false">IF(R743="OK","","Billing completeness/reconciliation")</f>
        <v/>
      </c>
    </row>
    <row r="744" customFormat="false" ht="15" hidden="false" customHeight="false" outlineLevel="0" collapsed="false">
      <c r="A744" s="22" t="s">
        <v>8122</v>
      </c>
      <c r="B744" s="22" t="s">
        <v>499</v>
      </c>
      <c r="C744" s="22" t="s">
        <v>7694</v>
      </c>
      <c r="D744" s="22" t="n">
        <v>32</v>
      </c>
      <c r="E744" s="22" t="s">
        <v>7696</v>
      </c>
      <c r="F744" s="22" t="s">
        <v>6577</v>
      </c>
      <c r="G744" s="22" t="s">
        <v>1853</v>
      </c>
      <c r="H744" s="22" t="s">
        <v>1854</v>
      </c>
      <c r="I744" s="22" t="s">
        <v>1786</v>
      </c>
      <c r="J744" s="22" t="n">
        <v>25.6</v>
      </c>
      <c r="K744" s="22" t="n">
        <f aca="false">ROUNDUP(J744,0)</f>
        <v>26</v>
      </c>
      <c r="L744" s="22" t="n">
        <f aca="false">MAX(D744,K744)</f>
        <v>32</v>
      </c>
      <c r="M744" s="25" t="n">
        <f aca="false">IF(E744="COVERED",'Controls &amp; Sources'!$B$5,'Controls &amp; Sources'!$B$6)</f>
        <v>7.55</v>
      </c>
      <c r="N744" s="25" t="n">
        <f aca="false">L744*M744</f>
        <v>241.6</v>
      </c>
      <c r="O744" s="22" t="n">
        <f aca="false">COUNTIFS('Billing Actual'!$E$2:$E$770,A744,'Billing Actual'!$B$2:$B$770,'Controls &amp; Sources'!$B$7)</f>
        <v>1</v>
      </c>
      <c r="P744" s="25" t="n">
        <f aca="false">SUMIFS('Billing Actual'!$M$2:$M$770,'Billing Actual'!$E$2:$E$770,A744,'Billing Actual'!$B$2:$B$770,'Controls &amp; Sources'!$B$7)</f>
        <v>241.6</v>
      </c>
      <c r="Q744" s="25" t="n">
        <f aca="false">P744-N744</f>
        <v>0</v>
      </c>
      <c r="R744" s="22" t="str">
        <f aca="false">IF(O744=0,"No August moorage transaction",IF(O744&gt;1,"Duplicate August transactions",IF(ABS(Q744)&gt;0.005,"Charge variance","OK")))</f>
        <v>OK</v>
      </c>
      <c r="S744" s="22" t="str">
        <f aca="false">IF(R744="OK","","Billing completeness/reconciliation")</f>
        <v/>
      </c>
    </row>
    <row r="745" customFormat="false" ht="15" hidden="false" customHeight="false" outlineLevel="0" collapsed="false">
      <c r="A745" s="22" t="s">
        <v>8124</v>
      </c>
      <c r="B745" s="22" t="s">
        <v>499</v>
      </c>
      <c r="C745" s="22" t="s">
        <v>7694</v>
      </c>
      <c r="D745" s="22" t="n">
        <v>32</v>
      </c>
      <c r="E745" s="22" t="s">
        <v>7696</v>
      </c>
      <c r="F745" s="22" t="s">
        <v>6577</v>
      </c>
      <c r="G745" s="22" t="s">
        <v>3233</v>
      </c>
      <c r="H745" s="22" t="s">
        <v>3234</v>
      </c>
      <c r="I745" s="22" t="s">
        <v>1207</v>
      </c>
      <c r="J745" s="22" t="n">
        <v>58.8</v>
      </c>
      <c r="K745" s="22" t="n">
        <f aca="false">ROUNDUP(J745,0)</f>
        <v>59</v>
      </c>
      <c r="L745" s="22" t="n">
        <f aca="false">MAX(D745,K745)</f>
        <v>59</v>
      </c>
      <c r="M745" s="25" t="n">
        <f aca="false">IF(E745="COVERED",'Controls &amp; Sources'!$B$5,'Controls &amp; Sources'!$B$6)</f>
        <v>7.55</v>
      </c>
      <c r="N745" s="25" t="n">
        <f aca="false">L745*M745</f>
        <v>445.45</v>
      </c>
      <c r="O745" s="22" t="n">
        <f aca="false">COUNTIFS('Billing Actual'!$E$2:$E$770,A745,'Billing Actual'!$B$2:$B$770,'Controls &amp; Sources'!$B$7)</f>
        <v>1</v>
      </c>
      <c r="P745" s="25" t="n">
        <f aca="false">SUMIFS('Billing Actual'!$M$2:$M$770,'Billing Actual'!$E$2:$E$770,A745,'Billing Actual'!$B$2:$B$770,'Controls &amp; Sources'!$B$7)</f>
        <v>445.45</v>
      </c>
      <c r="Q745" s="25" t="n">
        <f aca="false">P745-N745</f>
        <v>0</v>
      </c>
      <c r="R745" s="22" t="str">
        <f aca="false">IF(O745=0,"No August moorage transaction",IF(O745&gt;1,"Duplicate August transactions",IF(ABS(Q745)&gt;0.005,"Charge variance","OK")))</f>
        <v>OK</v>
      </c>
      <c r="S745" s="22" t="str">
        <f aca="false">IF(R745="OK","","Billing completeness/reconciliation")</f>
        <v/>
      </c>
    </row>
    <row r="746" customFormat="false" ht="15" hidden="false" customHeight="false" outlineLevel="0" collapsed="false">
      <c r="A746" s="22" t="s">
        <v>8125</v>
      </c>
      <c r="B746" s="22" t="s">
        <v>499</v>
      </c>
      <c r="C746" s="22" t="s">
        <v>7694</v>
      </c>
      <c r="D746" s="22" t="n">
        <v>28</v>
      </c>
      <c r="E746" s="22" t="s">
        <v>7696</v>
      </c>
      <c r="F746" s="22" t="s">
        <v>6577</v>
      </c>
      <c r="G746" s="22" t="s">
        <v>520</v>
      </c>
      <c r="H746" s="22" t="s">
        <v>521</v>
      </c>
      <c r="I746" s="22" t="s">
        <v>522</v>
      </c>
      <c r="J746" s="22" t="n">
        <v>32.1</v>
      </c>
      <c r="K746" s="22" t="n">
        <f aca="false">ROUNDUP(J746,0)</f>
        <v>33</v>
      </c>
      <c r="L746" s="22" t="n">
        <f aca="false">MAX(D746,K746)</f>
        <v>33</v>
      </c>
      <c r="M746" s="25" t="n">
        <f aca="false">IF(E746="COVERED",'Controls &amp; Sources'!$B$5,'Controls &amp; Sources'!$B$6)</f>
        <v>7.55</v>
      </c>
      <c r="N746" s="25" t="n">
        <f aca="false">L746*M746</f>
        <v>249.15</v>
      </c>
      <c r="O746" s="22" t="n">
        <f aca="false">COUNTIFS('Billing Actual'!$E$2:$E$770,A746,'Billing Actual'!$B$2:$B$770,'Controls &amp; Sources'!$B$7)</f>
        <v>1</v>
      </c>
      <c r="P746" s="25" t="n">
        <f aca="false">SUMIFS('Billing Actual'!$M$2:$M$770,'Billing Actual'!$E$2:$E$770,A746,'Billing Actual'!$B$2:$B$770,'Controls &amp; Sources'!$B$7)</f>
        <v>249.15</v>
      </c>
      <c r="Q746" s="25" t="n">
        <f aca="false">P746-N746</f>
        <v>0</v>
      </c>
      <c r="R746" s="22" t="str">
        <f aca="false">IF(O746=0,"No August moorage transaction",IF(O746&gt;1,"Duplicate August transactions",IF(ABS(Q746)&gt;0.005,"Charge variance","OK")))</f>
        <v>OK</v>
      </c>
      <c r="S746" s="22" t="str">
        <f aca="false">IF(R746="OK","","Billing completeness/reconciliation")</f>
        <v/>
      </c>
    </row>
    <row r="747" customFormat="false" ht="15" hidden="false" customHeight="false" outlineLevel="0" collapsed="false">
      <c r="A747" s="22" t="s">
        <v>8128</v>
      </c>
      <c r="B747" s="22" t="s">
        <v>499</v>
      </c>
      <c r="C747" s="22" t="s">
        <v>7694</v>
      </c>
      <c r="D747" s="22" t="n">
        <v>36</v>
      </c>
      <c r="E747" s="22" t="s">
        <v>7696</v>
      </c>
      <c r="F747" s="22" t="s">
        <v>6577</v>
      </c>
      <c r="G747" s="22" t="s">
        <v>1466</v>
      </c>
      <c r="H747" s="22" t="s">
        <v>1467</v>
      </c>
      <c r="I747" s="22" t="s">
        <v>784</v>
      </c>
      <c r="J747" s="22" t="n">
        <v>42.3</v>
      </c>
      <c r="K747" s="22" t="n">
        <f aca="false">ROUNDUP(J747,0)</f>
        <v>43</v>
      </c>
      <c r="L747" s="22" t="n">
        <f aca="false">MAX(D747,K747)</f>
        <v>43</v>
      </c>
      <c r="M747" s="25" t="n">
        <f aca="false">IF(E747="COVERED",'Controls &amp; Sources'!$B$5,'Controls &amp; Sources'!$B$6)</f>
        <v>7.55</v>
      </c>
      <c r="N747" s="25" t="n">
        <f aca="false">L747*M747</f>
        <v>324.65</v>
      </c>
      <c r="O747" s="22" t="n">
        <f aca="false">COUNTIFS('Billing Actual'!$E$2:$E$770,A747,'Billing Actual'!$B$2:$B$770,'Controls &amp; Sources'!$B$7)</f>
        <v>1</v>
      </c>
      <c r="P747" s="25" t="n">
        <f aca="false">SUMIFS('Billing Actual'!$M$2:$M$770,'Billing Actual'!$E$2:$E$770,A747,'Billing Actual'!$B$2:$B$770,'Controls &amp; Sources'!$B$7)</f>
        <v>324.65</v>
      </c>
      <c r="Q747" s="25" t="n">
        <f aca="false">P747-N747</f>
        <v>0</v>
      </c>
      <c r="R747" s="22" t="str">
        <f aca="false">IF(O747=0,"No August moorage transaction",IF(O747&gt;1,"Duplicate August transactions",IF(ABS(Q747)&gt;0.005,"Charge variance","OK")))</f>
        <v>OK</v>
      </c>
      <c r="S747" s="22" t="str">
        <f aca="false">IF(R747="OK","","Billing completeness/reconciliation")</f>
        <v/>
      </c>
    </row>
    <row r="748" customFormat="false" ht="15" hidden="false" customHeight="false" outlineLevel="0" collapsed="false">
      <c r="A748" s="22" t="s">
        <v>8129</v>
      </c>
      <c r="B748" s="22" t="s">
        <v>499</v>
      </c>
      <c r="C748" s="22" t="s">
        <v>7694</v>
      </c>
      <c r="D748" s="22" t="n">
        <v>45</v>
      </c>
      <c r="E748" s="22" t="s">
        <v>7696</v>
      </c>
      <c r="F748" s="22" t="s">
        <v>6577</v>
      </c>
      <c r="G748" s="22" t="s">
        <v>4571</v>
      </c>
      <c r="H748" s="22" t="s">
        <v>4572</v>
      </c>
      <c r="I748" s="22" t="s">
        <v>2165</v>
      </c>
      <c r="J748" s="22" t="n">
        <v>58</v>
      </c>
      <c r="K748" s="22" t="n">
        <f aca="false">ROUNDUP(J748,0)</f>
        <v>58</v>
      </c>
      <c r="L748" s="22" t="n">
        <f aca="false">MAX(D748,K748)</f>
        <v>58</v>
      </c>
      <c r="M748" s="25" t="n">
        <f aca="false">IF(E748="COVERED",'Controls &amp; Sources'!$B$5,'Controls &amp; Sources'!$B$6)</f>
        <v>7.55</v>
      </c>
      <c r="N748" s="25" t="n">
        <f aca="false">L748*M748</f>
        <v>437.9</v>
      </c>
      <c r="O748" s="22" t="n">
        <f aca="false">COUNTIFS('Billing Actual'!$E$2:$E$770,A748,'Billing Actual'!$B$2:$B$770,'Controls &amp; Sources'!$B$7)</f>
        <v>1</v>
      </c>
      <c r="P748" s="25" t="n">
        <f aca="false">SUMIFS('Billing Actual'!$M$2:$M$770,'Billing Actual'!$E$2:$E$770,A748,'Billing Actual'!$B$2:$B$770,'Controls &amp; Sources'!$B$7)</f>
        <v>437.9</v>
      </c>
      <c r="Q748" s="25" t="n">
        <f aca="false">P748-N748</f>
        <v>0</v>
      </c>
      <c r="R748" s="22" t="str">
        <f aca="false">IF(O748=0,"No August moorage transaction",IF(O748&gt;1,"Duplicate August transactions",IF(ABS(Q748)&gt;0.005,"Charge variance","OK")))</f>
        <v>OK</v>
      </c>
      <c r="S748" s="22" t="str">
        <f aca="false">IF(R748="OK","","Billing completeness/reconciliation")</f>
        <v/>
      </c>
    </row>
    <row r="749" customFormat="false" ht="15" hidden="false" customHeight="false" outlineLevel="0" collapsed="false">
      <c r="A749" s="22" t="s">
        <v>8131</v>
      </c>
      <c r="B749" s="22" t="s">
        <v>499</v>
      </c>
      <c r="C749" s="22" t="s">
        <v>7694</v>
      </c>
      <c r="D749" s="22" t="n">
        <v>45</v>
      </c>
      <c r="E749" s="22" t="s">
        <v>7696</v>
      </c>
      <c r="F749" s="22" t="s">
        <v>6577</v>
      </c>
      <c r="G749" s="22" t="s">
        <v>2232</v>
      </c>
      <c r="H749" s="22" t="s">
        <v>2233</v>
      </c>
      <c r="I749" s="22" t="s">
        <v>361</v>
      </c>
      <c r="J749" s="22" t="n">
        <v>30.1</v>
      </c>
      <c r="K749" s="22" t="n">
        <f aca="false">ROUNDUP(J749,0)</f>
        <v>31</v>
      </c>
      <c r="L749" s="22" t="n">
        <f aca="false">MAX(D749,K749)</f>
        <v>45</v>
      </c>
      <c r="M749" s="25" t="n">
        <f aca="false">IF(E749="COVERED",'Controls &amp; Sources'!$B$5,'Controls &amp; Sources'!$B$6)</f>
        <v>7.55</v>
      </c>
      <c r="N749" s="25" t="n">
        <f aca="false">L749*M749</f>
        <v>339.75</v>
      </c>
      <c r="O749" s="22" t="n">
        <f aca="false">COUNTIFS('Billing Actual'!$E$2:$E$770,A749,'Billing Actual'!$B$2:$B$770,'Controls &amp; Sources'!$B$7)</f>
        <v>1</v>
      </c>
      <c r="P749" s="25" t="n">
        <f aca="false">SUMIFS('Billing Actual'!$M$2:$M$770,'Billing Actual'!$E$2:$E$770,A749,'Billing Actual'!$B$2:$B$770,'Controls &amp; Sources'!$B$7)</f>
        <v>339.75</v>
      </c>
      <c r="Q749" s="25" t="n">
        <f aca="false">P749-N749</f>
        <v>0</v>
      </c>
      <c r="R749" s="22" t="str">
        <f aca="false">IF(O749=0,"No August moorage transaction",IF(O749&gt;1,"Duplicate August transactions",IF(ABS(Q749)&gt;0.005,"Charge variance","OK")))</f>
        <v>OK</v>
      </c>
      <c r="S749" s="22" t="str">
        <f aca="false">IF(R749="OK","","Billing completeness/reconciliation")</f>
        <v/>
      </c>
    </row>
    <row r="750" customFormat="false" ht="15" hidden="false" customHeight="false" outlineLevel="0" collapsed="false">
      <c r="A750" s="22" t="s">
        <v>8133</v>
      </c>
      <c r="B750" s="22" t="s">
        <v>499</v>
      </c>
      <c r="C750" s="22" t="s">
        <v>7694</v>
      </c>
      <c r="D750" s="22" t="n">
        <v>80</v>
      </c>
      <c r="E750" s="22" t="s">
        <v>7696</v>
      </c>
      <c r="F750" s="22" t="s">
        <v>6577</v>
      </c>
      <c r="G750" s="22" t="s">
        <v>4189</v>
      </c>
      <c r="H750" s="22" t="s">
        <v>4190</v>
      </c>
      <c r="I750" s="22" t="s">
        <v>1786</v>
      </c>
      <c r="J750" s="22" t="n">
        <v>54.2</v>
      </c>
      <c r="K750" s="22" t="n">
        <f aca="false">ROUNDUP(J750,0)</f>
        <v>55</v>
      </c>
      <c r="L750" s="22" t="n">
        <f aca="false">MAX(D750,K750)</f>
        <v>80</v>
      </c>
      <c r="M750" s="25" t="n">
        <f aca="false">IF(E750="COVERED",'Controls &amp; Sources'!$B$5,'Controls &amp; Sources'!$B$6)</f>
        <v>7.55</v>
      </c>
      <c r="N750" s="25" t="n">
        <f aca="false">L750*M750</f>
        <v>604</v>
      </c>
      <c r="O750" s="22" t="n">
        <f aca="false">COUNTIFS('Billing Actual'!$E$2:$E$770,A750,'Billing Actual'!$B$2:$B$770,'Controls &amp; Sources'!$B$7)</f>
        <v>1</v>
      </c>
      <c r="P750" s="25" t="n">
        <f aca="false">SUMIFS('Billing Actual'!$M$2:$M$770,'Billing Actual'!$E$2:$E$770,A750,'Billing Actual'!$B$2:$B$770,'Controls &amp; Sources'!$B$7)</f>
        <v>604</v>
      </c>
      <c r="Q750" s="25" t="n">
        <f aca="false">P750-N750</f>
        <v>0</v>
      </c>
      <c r="R750" s="22" t="str">
        <f aca="false">IF(O750=0,"No August moorage transaction",IF(O750&gt;1,"Duplicate August transactions",IF(ABS(Q750)&gt;0.005,"Charge variance","OK")))</f>
        <v>OK</v>
      </c>
      <c r="S750" s="22" t="str">
        <f aca="false">IF(R750="OK","","Billing completeness/reconciliation")</f>
        <v/>
      </c>
    </row>
    <row r="751" customFormat="false" ht="15" hidden="false" customHeight="false" outlineLevel="0" collapsed="false">
      <c r="A751" s="22" t="s">
        <v>8134</v>
      </c>
      <c r="B751" s="22" t="s">
        <v>499</v>
      </c>
      <c r="C751" s="22" t="s">
        <v>7694</v>
      </c>
      <c r="D751" s="22" t="n">
        <v>45</v>
      </c>
      <c r="E751" s="22" t="s">
        <v>7696</v>
      </c>
      <c r="F751" s="22" t="s">
        <v>6577</v>
      </c>
      <c r="G751" s="22" t="s">
        <v>4863</v>
      </c>
      <c r="H751" s="22" t="s">
        <v>4864</v>
      </c>
      <c r="I751" s="22" t="s">
        <v>1291</v>
      </c>
      <c r="J751" s="22" t="n">
        <v>40.3</v>
      </c>
      <c r="K751" s="22" t="n">
        <f aca="false">ROUNDUP(J751,0)</f>
        <v>41</v>
      </c>
      <c r="L751" s="22" t="n">
        <f aca="false">MAX(D751,K751)</f>
        <v>45</v>
      </c>
      <c r="M751" s="25" t="n">
        <f aca="false">IF(E751="COVERED",'Controls &amp; Sources'!$B$5,'Controls &amp; Sources'!$B$6)</f>
        <v>7.55</v>
      </c>
      <c r="N751" s="25" t="n">
        <f aca="false">L751*M751</f>
        <v>339.75</v>
      </c>
      <c r="O751" s="22" t="n">
        <f aca="false">COUNTIFS('Billing Actual'!$E$2:$E$770,A751,'Billing Actual'!$B$2:$B$770,'Controls &amp; Sources'!$B$7)</f>
        <v>1</v>
      </c>
      <c r="P751" s="25" t="n">
        <f aca="false">SUMIFS('Billing Actual'!$M$2:$M$770,'Billing Actual'!$E$2:$E$770,A751,'Billing Actual'!$B$2:$B$770,'Controls &amp; Sources'!$B$7)</f>
        <v>339.75</v>
      </c>
      <c r="Q751" s="25" t="n">
        <f aca="false">P751-N751</f>
        <v>0</v>
      </c>
      <c r="R751" s="22" t="str">
        <f aca="false">IF(O751=0,"No August moorage transaction",IF(O751&gt;1,"Duplicate August transactions",IF(ABS(Q751)&gt;0.005,"Charge variance","OK")))</f>
        <v>OK</v>
      </c>
      <c r="S751" s="22" t="str">
        <f aca="false">IF(R751="OK","","Billing completeness/reconciliation")</f>
        <v/>
      </c>
    </row>
    <row r="752" customFormat="false" ht="15" hidden="false" customHeight="false" outlineLevel="0" collapsed="false">
      <c r="A752" s="22" t="s">
        <v>8136</v>
      </c>
      <c r="B752" s="22" t="s">
        <v>499</v>
      </c>
      <c r="C752" s="22" t="s">
        <v>7694</v>
      </c>
      <c r="D752" s="22" t="n">
        <v>24</v>
      </c>
      <c r="E752" s="22" t="s">
        <v>7696</v>
      </c>
      <c r="F752" s="22" t="s">
        <v>6577</v>
      </c>
      <c r="G752" s="22" t="s">
        <v>3984</v>
      </c>
      <c r="H752" s="22" t="s">
        <v>3985</v>
      </c>
      <c r="I752" s="22" t="s">
        <v>1105</v>
      </c>
      <c r="J752" s="22" t="n">
        <v>33.6</v>
      </c>
      <c r="K752" s="22" t="n">
        <f aca="false">ROUNDUP(J752,0)</f>
        <v>34</v>
      </c>
      <c r="L752" s="22" t="n">
        <f aca="false">MAX(D752,K752)</f>
        <v>34</v>
      </c>
      <c r="M752" s="25" t="n">
        <f aca="false">IF(E752="COVERED",'Controls &amp; Sources'!$B$5,'Controls &amp; Sources'!$B$6)</f>
        <v>7.55</v>
      </c>
      <c r="N752" s="25" t="n">
        <f aca="false">L752*M752</f>
        <v>256.7</v>
      </c>
      <c r="O752" s="22" t="n">
        <f aca="false">COUNTIFS('Billing Actual'!$E$2:$E$770,A752,'Billing Actual'!$B$2:$B$770,'Controls &amp; Sources'!$B$7)</f>
        <v>1</v>
      </c>
      <c r="P752" s="25" t="n">
        <f aca="false">SUMIFS('Billing Actual'!$M$2:$M$770,'Billing Actual'!$E$2:$E$770,A752,'Billing Actual'!$B$2:$B$770,'Controls &amp; Sources'!$B$7)</f>
        <v>256.7</v>
      </c>
      <c r="Q752" s="25" t="n">
        <f aca="false">P752-N752</f>
        <v>0</v>
      </c>
      <c r="R752" s="22" t="str">
        <f aca="false">IF(O752=0,"No August moorage transaction",IF(O752&gt;1,"Duplicate August transactions",IF(ABS(Q752)&gt;0.005,"Charge variance","OK")))</f>
        <v>OK</v>
      </c>
      <c r="S752" s="22" t="str">
        <f aca="false">IF(R752="OK","","Billing completeness/reconciliation")</f>
        <v/>
      </c>
    </row>
    <row r="753" customFormat="false" ht="15" hidden="false" customHeight="false" outlineLevel="0" collapsed="false">
      <c r="A753" s="22" t="s">
        <v>8137</v>
      </c>
      <c r="B753" s="22" t="s">
        <v>499</v>
      </c>
      <c r="C753" s="22" t="s">
        <v>7694</v>
      </c>
      <c r="D753" s="22" t="n">
        <v>32</v>
      </c>
      <c r="E753" s="22" t="s">
        <v>7696</v>
      </c>
      <c r="F753" s="22" t="s">
        <v>6577</v>
      </c>
      <c r="G753" s="22" t="s">
        <v>3501</v>
      </c>
      <c r="H753" s="22" t="s">
        <v>3502</v>
      </c>
      <c r="I753" s="22" t="s">
        <v>296</v>
      </c>
      <c r="J753" s="22" t="n">
        <v>26.3</v>
      </c>
      <c r="K753" s="22" t="n">
        <f aca="false">ROUNDUP(J753,0)</f>
        <v>27</v>
      </c>
      <c r="L753" s="22" t="n">
        <f aca="false">MAX(D753,K753)</f>
        <v>32</v>
      </c>
      <c r="M753" s="25" t="n">
        <f aca="false">IF(E753="COVERED",'Controls &amp; Sources'!$B$5,'Controls &amp; Sources'!$B$6)</f>
        <v>7.55</v>
      </c>
      <c r="N753" s="25" t="n">
        <f aca="false">L753*M753</f>
        <v>241.6</v>
      </c>
      <c r="O753" s="22" t="n">
        <f aca="false">COUNTIFS('Billing Actual'!$E$2:$E$770,A753,'Billing Actual'!$B$2:$B$770,'Controls &amp; Sources'!$B$7)</f>
        <v>1</v>
      </c>
      <c r="P753" s="25" t="n">
        <f aca="false">SUMIFS('Billing Actual'!$M$2:$M$770,'Billing Actual'!$E$2:$E$770,A753,'Billing Actual'!$B$2:$B$770,'Controls &amp; Sources'!$B$7)</f>
        <v>241.6</v>
      </c>
      <c r="Q753" s="25" t="n">
        <f aca="false">P753-N753</f>
        <v>0</v>
      </c>
      <c r="R753" s="22" t="str">
        <f aca="false">IF(O753=0,"No August moorage transaction",IF(O753&gt;1,"Duplicate August transactions",IF(ABS(Q753)&gt;0.005,"Charge variance","OK")))</f>
        <v>OK</v>
      </c>
      <c r="S753" s="22" t="str">
        <f aca="false">IF(R753="OK","","Billing completeness/reconciliation")</f>
        <v/>
      </c>
    </row>
    <row r="754" customFormat="false" ht="15" hidden="false" customHeight="false" outlineLevel="0" collapsed="false">
      <c r="A754" s="22" t="s">
        <v>8138</v>
      </c>
      <c r="B754" s="22" t="s">
        <v>499</v>
      </c>
      <c r="C754" s="22" t="s">
        <v>7694</v>
      </c>
      <c r="D754" s="22" t="n">
        <v>60</v>
      </c>
      <c r="E754" s="22" t="s">
        <v>7696</v>
      </c>
      <c r="F754" s="22" t="s">
        <v>6577</v>
      </c>
      <c r="G754" s="22" t="s">
        <v>6082</v>
      </c>
      <c r="H754" s="22" t="s">
        <v>2200</v>
      </c>
      <c r="I754" s="22" t="s">
        <v>1408</v>
      </c>
      <c r="J754" s="22" t="n">
        <v>38.1</v>
      </c>
      <c r="K754" s="22" t="n">
        <f aca="false">ROUNDUP(J754,0)</f>
        <v>39</v>
      </c>
      <c r="L754" s="22" t="n">
        <f aca="false">MAX(D754,K754)</f>
        <v>60</v>
      </c>
      <c r="M754" s="25" t="n">
        <f aca="false">IF(E754="COVERED",'Controls &amp; Sources'!$B$5,'Controls &amp; Sources'!$B$6)</f>
        <v>7.55</v>
      </c>
      <c r="N754" s="25" t="n">
        <f aca="false">L754*M754</f>
        <v>453</v>
      </c>
      <c r="O754" s="22" t="n">
        <f aca="false">COUNTIFS('Billing Actual'!$E$2:$E$770,A754,'Billing Actual'!$B$2:$B$770,'Controls &amp; Sources'!$B$7)</f>
        <v>1</v>
      </c>
      <c r="P754" s="25" t="n">
        <f aca="false">SUMIFS('Billing Actual'!$M$2:$M$770,'Billing Actual'!$E$2:$E$770,A754,'Billing Actual'!$B$2:$B$770,'Controls &amp; Sources'!$B$7)</f>
        <v>453</v>
      </c>
      <c r="Q754" s="25" t="n">
        <f aca="false">P754-N754</f>
        <v>0</v>
      </c>
      <c r="R754" s="22" t="str">
        <f aca="false">IF(O754=0,"No August moorage transaction",IF(O754&gt;1,"Duplicate August transactions",IF(ABS(Q754)&gt;0.005,"Charge variance","OK")))</f>
        <v>OK</v>
      </c>
      <c r="S754" s="22" t="str">
        <f aca="false">IF(R754="OK","","Billing completeness/reconciliation")</f>
        <v/>
      </c>
    </row>
    <row r="755" customFormat="false" ht="15" hidden="false" customHeight="false" outlineLevel="0" collapsed="false">
      <c r="A755" s="22" t="s">
        <v>8139</v>
      </c>
      <c r="B755" s="22" t="s">
        <v>499</v>
      </c>
      <c r="C755" s="22" t="s">
        <v>7694</v>
      </c>
      <c r="D755" s="22" t="n">
        <v>45</v>
      </c>
      <c r="E755" s="22" t="s">
        <v>7696</v>
      </c>
      <c r="F755" s="22" t="s">
        <v>6577</v>
      </c>
      <c r="G755" s="22" t="s">
        <v>984</v>
      </c>
      <c r="H755" s="22" t="s">
        <v>985</v>
      </c>
      <c r="I755" s="22" t="s">
        <v>986</v>
      </c>
      <c r="J755" s="22" t="n">
        <v>31.8</v>
      </c>
      <c r="K755" s="22" t="n">
        <f aca="false">ROUNDUP(J755,0)</f>
        <v>32</v>
      </c>
      <c r="L755" s="22" t="n">
        <f aca="false">MAX(D755,K755)</f>
        <v>45</v>
      </c>
      <c r="M755" s="25" t="n">
        <f aca="false">IF(E755="COVERED",'Controls &amp; Sources'!$B$5,'Controls &amp; Sources'!$B$6)</f>
        <v>7.55</v>
      </c>
      <c r="N755" s="25" t="n">
        <f aca="false">L755*M755</f>
        <v>339.75</v>
      </c>
      <c r="O755" s="22" t="n">
        <f aca="false">COUNTIFS('Billing Actual'!$E$2:$E$770,A755,'Billing Actual'!$B$2:$B$770,'Controls &amp; Sources'!$B$7)</f>
        <v>1</v>
      </c>
      <c r="P755" s="25" t="n">
        <f aca="false">SUMIFS('Billing Actual'!$M$2:$M$770,'Billing Actual'!$E$2:$E$770,A755,'Billing Actual'!$B$2:$B$770,'Controls &amp; Sources'!$B$7)</f>
        <v>339.75</v>
      </c>
      <c r="Q755" s="25" t="n">
        <f aca="false">P755-N755</f>
        <v>0</v>
      </c>
      <c r="R755" s="22" t="str">
        <f aca="false">IF(O755=0,"No August moorage transaction",IF(O755&gt;1,"Duplicate August transactions",IF(ABS(Q755)&gt;0.005,"Charge variance","OK")))</f>
        <v>OK</v>
      </c>
      <c r="S755" s="22" t="str">
        <f aca="false">IF(R755="OK","","Billing completeness/reconciliation")</f>
        <v/>
      </c>
    </row>
    <row r="756" customFormat="false" ht="15" hidden="false" customHeight="false" outlineLevel="0" collapsed="false">
      <c r="A756" s="22" t="s">
        <v>8140</v>
      </c>
      <c r="B756" s="22" t="s">
        <v>499</v>
      </c>
      <c r="C756" s="22" t="s">
        <v>7694</v>
      </c>
      <c r="D756" s="22" t="n">
        <v>28</v>
      </c>
      <c r="E756" s="22" t="s">
        <v>7696</v>
      </c>
      <c r="F756" s="22" t="s">
        <v>6577</v>
      </c>
      <c r="G756" s="22" t="s">
        <v>2810</v>
      </c>
      <c r="H756" s="22" t="s">
        <v>2811</v>
      </c>
      <c r="I756" s="22" t="s">
        <v>1138</v>
      </c>
      <c r="J756" s="22" t="n">
        <v>61.4</v>
      </c>
      <c r="K756" s="22" t="n">
        <f aca="false">ROUNDUP(J756,0)</f>
        <v>62</v>
      </c>
      <c r="L756" s="22" t="n">
        <f aca="false">MAX(D756,K756)</f>
        <v>62</v>
      </c>
      <c r="M756" s="25" t="n">
        <f aca="false">IF(E756="COVERED",'Controls &amp; Sources'!$B$5,'Controls &amp; Sources'!$B$6)</f>
        <v>7.55</v>
      </c>
      <c r="N756" s="25" t="n">
        <f aca="false">L756*M756</f>
        <v>468.1</v>
      </c>
      <c r="O756" s="22" t="n">
        <f aca="false">COUNTIFS('Billing Actual'!$E$2:$E$770,A756,'Billing Actual'!$B$2:$B$770,'Controls &amp; Sources'!$B$7)</f>
        <v>1</v>
      </c>
      <c r="P756" s="25" t="n">
        <f aca="false">SUMIFS('Billing Actual'!$M$2:$M$770,'Billing Actual'!$E$2:$E$770,A756,'Billing Actual'!$B$2:$B$770,'Controls &amp; Sources'!$B$7)</f>
        <v>468.1</v>
      </c>
      <c r="Q756" s="25" t="n">
        <f aca="false">P756-N756</f>
        <v>0</v>
      </c>
      <c r="R756" s="22" t="str">
        <f aca="false">IF(O756=0,"No August moorage transaction",IF(O756&gt;1,"Duplicate August transactions",IF(ABS(Q756)&gt;0.005,"Charge variance","OK")))</f>
        <v>OK</v>
      </c>
      <c r="S756" s="22" t="str">
        <f aca="false">IF(R756="OK","","Billing completeness/reconciliation")</f>
        <v/>
      </c>
    </row>
    <row r="757" customFormat="false" ht="15" hidden="false" customHeight="false" outlineLevel="0" collapsed="false">
      <c r="A757" s="22" t="s">
        <v>8141</v>
      </c>
      <c r="B757" s="22" t="s">
        <v>499</v>
      </c>
      <c r="C757" s="22" t="s">
        <v>7694</v>
      </c>
      <c r="D757" s="22" t="n">
        <v>45</v>
      </c>
      <c r="E757" s="22" t="s">
        <v>7696</v>
      </c>
      <c r="F757" s="22" t="s">
        <v>6577</v>
      </c>
      <c r="G757" s="22" t="s">
        <v>6105</v>
      </c>
      <c r="H757" s="22" t="s">
        <v>6106</v>
      </c>
      <c r="I757" s="22" t="s">
        <v>2563</v>
      </c>
      <c r="J757" s="22" t="n">
        <v>23.5</v>
      </c>
      <c r="K757" s="22" t="n">
        <f aca="false">ROUNDUP(J757,0)</f>
        <v>24</v>
      </c>
      <c r="L757" s="22" t="n">
        <f aca="false">MAX(D757,K757)</f>
        <v>45</v>
      </c>
      <c r="M757" s="25" t="n">
        <f aca="false">IF(E757="COVERED",'Controls &amp; Sources'!$B$5,'Controls &amp; Sources'!$B$6)</f>
        <v>7.55</v>
      </c>
      <c r="N757" s="25" t="n">
        <f aca="false">L757*M757</f>
        <v>339.75</v>
      </c>
      <c r="O757" s="22" t="n">
        <f aca="false">COUNTIFS('Billing Actual'!$E$2:$E$770,A757,'Billing Actual'!$B$2:$B$770,'Controls &amp; Sources'!$B$7)</f>
        <v>1</v>
      </c>
      <c r="P757" s="25" t="n">
        <f aca="false">SUMIFS('Billing Actual'!$M$2:$M$770,'Billing Actual'!$E$2:$E$770,A757,'Billing Actual'!$B$2:$B$770,'Controls &amp; Sources'!$B$7)</f>
        <v>339.75</v>
      </c>
      <c r="Q757" s="25" t="n">
        <f aca="false">P757-N757</f>
        <v>0</v>
      </c>
      <c r="R757" s="22" t="str">
        <f aca="false">IF(O757=0,"No August moorage transaction",IF(O757&gt;1,"Duplicate August transactions",IF(ABS(Q757)&gt;0.005,"Charge variance","OK")))</f>
        <v>OK</v>
      </c>
      <c r="S757" s="22" t="str">
        <f aca="false">IF(R757="OK","","Billing completeness/reconciliation")</f>
        <v/>
      </c>
    </row>
    <row r="758" customFormat="false" ht="15" hidden="false" customHeight="false" outlineLevel="0" collapsed="false">
      <c r="A758" s="22" t="s">
        <v>8142</v>
      </c>
      <c r="B758" s="22" t="s">
        <v>499</v>
      </c>
      <c r="C758" s="22" t="s">
        <v>7694</v>
      </c>
      <c r="D758" s="22" t="n">
        <v>28</v>
      </c>
      <c r="E758" s="22" t="s">
        <v>7696</v>
      </c>
      <c r="F758" s="22" t="s">
        <v>6577</v>
      </c>
      <c r="G758" s="22" t="s">
        <v>1616</v>
      </c>
      <c r="H758" s="22" t="s">
        <v>1617</v>
      </c>
      <c r="I758" s="22" t="s">
        <v>525</v>
      </c>
      <c r="J758" s="22" t="n">
        <v>21</v>
      </c>
      <c r="K758" s="22" t="n">
        <f aca="false">ROUNDUP(J758,0)</f>
        <v>21</v>
      </c>
      <c r="L758" s="22" t="n">
        <f aca="false">MAX(D758,K758)</f>
        <v>28</v>
      </c>
      <c r="M758" s="25" t="n">
        <f aca="false">IF(E758="COVERED",'Controls &amp; Sources'!$B$5,'Controls &amp; Sources'!$B$6)</f>
        <v>7.55</v>
      </c>
      <c r="N758" s="25" t="n">
        <f aca="false">L758*M758</f>
        <v>211.4</v>
      </c>
      <c r="O758" s="22" t="n">
        <f aca="false">COUNTIFS('Billing Actual'!$E$2:$E$770,A758,'Billing Actual'!$B$2:$B$770,'Controls &amp; Sources'!$B$7)</f>
        <v>1</v>
      </c>
      <c r="P758" s="25" t="n">
        <f aca="false">SUMIFS('Billing Actual'!$M$2:$M$770,'Billing Actual'!$E$2:$E$770,A758,'Billing Actual'!$B$2:$B$770,'Controls &amp; Sources'!$B$7)</f>
        <v>211.4</v>
      </c>
      <c r="Q758" s="25" t="n">
        <f aca="false">P758-N758</f>
        <v>0</v>
      </c>
      <c r="R758" s="22" t="str">
        <f aca="false">IF(O758=0,"No August moorage transaction",IF(O758&gt;1,"Duplicate August transactions",IF(ABS(Q758)&gt;0.005,"Charge variance","OK")))</f>
        <v>OK</v>
      </c>
      <c r="S758" s="22" t="str">
        <f aca="false">IF(R758="OK","","Billing completeness/reconciliation")</f>
        <v/>
      </c>
    </row>
    <row r="759" customFormat="false" ht="15" hidden="false" customHeight="false" outlineLevel="0" collapsed="false">
      <c r="A759" s="22" t="s">
        <v>8143</v>
      </c>
      <c r="B759" s="22" t="s">
        <v>499</v>
      </c>
      <c r="C759" s="22" t="s">
        <v>7694</v>
      </c>
      <c r="D759" s="22" t="n">
        <v>45</v>
      </c>
      <c r="E759" s="22" t="s">
        <v>7696</v>
      </c>
      <c r="F759" s="22" t="s">
        <v>6577</v>
      </c>
      <c r="G759" s="22" t="s">
        <v>3354</v>
      </c>
      <c r="H759" s="22" t="s">
        <v>3355</v>
      </c>
      <c r="I759" s="22" t="s">
        <v>272</v>
      </c>
      <c r="J759" s="22" t="n">
        <v>55.5</v>
      </c>
      <c r="K759" s="22" t="n">
        <f aca="false">ROUNDUP(J759,0)</f>
        <v>56</v>
      </c>
      <c r="L759" s="22" t="n">
        <f aca="false">MAX(D759,K759)</f>
        <v>56</v>
      </c>
      <c r="M759" s="25" t="n">
        <f aca="false">IF(E759="COVERED",'Controls &amp; Sources'!$B$5,'Controls &amp; Sources'!$B$6)</f>
        <v>7.55</v>
      </c>
      <c r="N759" s="25" t="n">
        <f aca="false">L759*M759</f>
        <v>422.8</v>
      </c>
      <c r="O759" s="22" t="n">
        <f aca="false">COUNTIFS('Billing Actual'!$E$2:$E$770,A759,'Billing Actual'!$B$2:$B$770,'Controls &amp; Sources'!$B$7)</f>
        <v>1</v>
      </c>
      <c r="P759" s="25" t="n">
        <f aca="false">SUMIFS('Billing Actual'!$M$2:$M$770,'Billing Actual'!$E$2:$E$770,A759,'Billing Actual'!$B$2:$B$770,'Controls &amp; Sources'!$B$7)</f>
        <v>422.8</v>
      </c>
      <c r="Q759" s="25" t="n">
        <f aca="false">P759-N759</f>
        <v>0</v>
      </c>
      <c r="R759" s="22" t="str">
        <f aca="false">IF(O759=0,"No August moorage transaction",IF(O759&gt;1,"Duplicate August transactions",IF(ABS(Q759)&gt;0.005,"Charge variance","OK")))</f>
        <v>OK</v>
      </c>
      <c r="S759" s="22" t="str">
        <f aca="false">IF(R759="OK","","Billing completeness/reconciliation")</f>
        <v/>
      </c>
    </row>
    <row r="760" customFormat="false" ht="15" hidden="false" customHeight="false" outlineLevel="0" collapsed="false">
      <c r="A760" s="22" t="s">
        <v>8144</v>
      </c>
      <c r="B760" s="22" t="s">
        <v>499</v>
      </c>
      <c r="C760" s="22" t="s">
        <v>7694</v>
      </c>
      <c r="D760" s="22" t="n">
        <v>70</v>
      </c>
      <c r="E760" s="22" t="s">
        <v>7696</v>
      </c>
      <c r="F760" s="22" t="s">
        <v>6577</v>
      </c>
      <c r="G760" s="22" t="s">
        <v>2804</v>
      </c>
      <c r="H760" s="22" t="s">
        <v>2805</v>
      </c>
      <c r="I760" s="22" t="s">
        <v>703</v>
      </c>
      <c r="J760" s="22" t="n">
        <v>40.2</v>
      </c>
      <c r="K760" s="22" t="n">
        <f aca="false">ROUNDUP(J760,0)</f>
        <v>41</v>
      </c>
      <c r="L760" s="22" t="n">
        <f aca="false">MAX(D760,K760)</f>
        <v>70</v>
      </c>
      <c r="M760" s="25" t="n">
        <f aca="false">IF(E760="COVERED",'Controls &amp; Sources'!$B$5,'Controls &amp; Sources'!$B$6)</f>
        <v>7.55</v>
      </c>
      <c r="N760" s="25" t="n">
        <f aca="false">L760*M760</f>
        <v>528.5</v>
      </c>
      <c r="O760" s="22" t="n">
        <f aca="false">COUNTIFS('Billing Actual'!$E$2:$E$770,A760,'Billing Actual'!$B$2:$B$770,'Controls &amp; Sources'!$B$7)</f>
        <v>1</v>
      </c>
      <c r="P760" s="25" t="n">
        <f aca="false">SUMIFS('Billing Actual'!$M$2:$M$770,'Billing Actual'!$E$2:$E$770,A760,'Billing Actual'!$B$2:$B$770,'Controls &amp; Sources'!$B$7)</f>
        <v>528.5</v>
      </c>
      <c r="Q760" s="25" t="n">
        <f aca="false">P760-N760</f>
        <v>0</v>
      </c>
      <c r="R760" s="22" t="str">
        <f aca="false">IF(O760=0,"No August moorage transaction",IF(O760&gt;1,"Duplicate August transactions",IF(ABS(Q760)&gt;0.005,"Charge variance","OK")))</f>
        <v>OK</v>
      </c>
      <c r="S760" s="22" t="str">
        <f aca="false">IF(R760="OK","","Billing completeness/reconciliation")</f>
        <v/>
      </c>
    </row>
    <row r="761" customFormat="false" ht="15" hidden="false" customHeight="false" outlineLevel="0" collapsed="false">
      <c r="A761" s="22" t="s">
        <v>8145</v>
      </c>
      <c r="B761" s="22" t="s">
        <v>499</v>
      </c>
      <c r="C761" s="22" t="s">
        <v>7694</v>
      </c>
      <c r="D761" s="22" t="n">
        <v>32</v>
      </c>
      <c r="E761" s="22" t="s">
        <v>7696</v>
      </c>
      <c r="F761" s="22" t="s">
        <v>6577</v>
      </c>
      <c r="G761" s="22" t="s">
        <v>2329</v>
      </c>
      <c r="H761" s="22" t="s">
        <v>2330</v>
      </c>
      <c r="I761" s="22" t="s">
        <v>1089</v>
      </c>
      <c r="J761" s="22" t="n">
        <v>48.1</v>
      </c>
      <c r="K761" s="22" t="n">
        <f aca="false">ROUNDUP(J761,0)</f>
        <v>49</v>
      </c>
      <c r="L761" s="22" t="n">
        <f aca="false">MAX(D761,K761)</f>
        <v>49</v>
      </c>
      <c r="M761" s="25" t="n">
        <f aca="false">IF(E761="COVERED",'Controls &amp; Sources'!$B$5,'Controls &amp; Sources'!$B$6)</f>
        <v>7.55</v>
      </c>
      <c r="N761" s="25" t="n">
        <f aca="false">L761*M761</f>
        <v>369.95</v>
      </c>
      <c r="O761" s="22" t="n">
        <f aca="false">COUNTIFS('Billing Actual'!$E$2:$E$770,A761,'Billing Actual'!$B$2:$B$770,'Controls &amp; Sources'!$B$7)</f>
        <v>1</v>
      </c>
      <c r="P761" s="25" t="n">
        <f aca="false">SUMIFS('Billing Actual'!$M$2:$M$770,'Billing Actual'!$E$2:$E$770,A761,'Billing Actual'!$B$2:$B$770,'Controls &amp; Sources'!$B$7)</f>
        <v>369.95</v>
      </c>
      <c r="Q761" s="25" t="n">
        <f aca="false">P761-N761</f>
        <v>0</v>
      </c>
      <c r="R761" s="22" t="str">
        <f aca="false">IF(O761=0,"No August moorage transaction",IF(O761&gt;1,"Duplicate August transactions",IF(ABS(Q761)&gt;0.005,"Charge variance","OK")))</f>
        <v>OK</v>
      </c>
      <c r="S761" s="22" t="str">
        <f aca="false">IF(R761="OK","","Billing completeness/reconciliation")</f>
        <v/>
      </c>
    </row>
    <row r="762" customFormat="false" ht="15" hidden="false" customHeight="false" outlineLevel="0" collapsed="false">
      <c r="A762" s="22" t="s">
        <v>8146</v>
      </c>
      <c r="B762" s="22" t="s">
        <v>499</v>
      </c>
      <c r="C762" s="22" t="s">
        <v>7694</v>
      </c>
      <c r="D762" s="22" t="n">
        <v>24</v>
      </c>
      <c r="E762" s="22" t="s">
        <v>7696</v>
      </c>
      <c r="F762" s="22" t="s">
        <v>6577</v>
      </c>
      <c r="G762" s="22" t="s">
        <v>954</v>
      </c>
      <c r="H762" s="22" t="s">
        <v>955</v>
      </c>
      <c r="I762" s="22" t="s">
        <v>956</v>
      </c>
      <c r="J762" s="22" t="n">
        <v>35.1</v>
      </c>
      <c r="K762" s="22" t="n">
        <f aca="false">ROUNDUP(J762,0)</f>
        <v>36</v>
      </c>
      <c r="L762" s="22" t="n">
        <f aca="false">MAX(D762,K762)</f>
        <v>36</v>
      </c>
      <c r="M762" s="25" t="n">
        <f aca="false">IF(E762="COVERED",'Controls &amp; Sources'!$B$5,'Controls &amp; Sources'!$B$6)</f>
        <v>7.55</v>
      </c>
      <c r="N762" s="25" t="n">
        <f aca="false">L762*M762</f>
        <v>271.8</v>
      </c>
      <c r="O762" s="22" t="n">
        <f aca="false">COUNTIFS('Billing Actual'!$E$2:$E$770,A762,'Billing Actual'!$B$2:$B$770,'Controls &amp; Sources'!$B$7)</f>
        <v>1</v>
      </c>
      <c r="P762" s="25" t="n">
        <f aca="false">SUMIFS('Billing Actual'!$M$2:$M$770,'Billing Actual'!$E$2:$E$770,A762,'Billing Actual'!$B$2:$B$770,'Controls &amp; Sources'!$B$7)</f>
        <v>271.8</v>
      </c>
      <c r="Q762" s="25" t="n">
        <f aca="false">P762-N762</f>
        <v>0</v>
      </c>
      <c r="R762" s="22" t="str">
        <f aca="false">IF(O762=0,"No August moorage transaction",IF(O762&gt;1,"Duplicate August transactions",IF(ABS(Q762)&gt;0.005,"Charge variance","OK")))</f>
        <v>OK</v>
      </c>
      <c r="S762" s="22" t="str">
        <f aca="false">IF(R762="OK","","Billing completeness/reconciliation")</f>
        <v/>
      </c>
    </row>
    <row r="763" customFormat="false" ht="15" hidden="false" customHeight="false" outlineLevel="0" collapsed="false">
      <c r="A763" s="22" t="s">
        <v>8147</v>
      </c>
      <c r="B763" s="22" t="s">
        <v>499</v>
      </c>
      <c r="C763" s="22" t="s">
        <v>7694</v>
      </c>
      <c r="D763" s="22" t="n">
        <v>60</v>
      </c>
      <c r="E763" s="22" t="s">
        <v>7696</v>
      </c>
      <c r="F763" s="22" t="s">
        <v>6577</v>
      </c>
      <c r="G763" s="22" t="s">
        <v>6273</v>
      </c>
      <c r="H763" s="22" t="s">
        <v>6274</v>
      </c>
      <c r="I763" s="22" t="s">
        <v>661</v>
      </c>
      <c r="J763" s="22" t="n">
        <v>24.7</v>
      </c>
      <c r="K763" s="22" t="n">
        <f aca="false">ROUNDUP(J763,0)</f>
        <v>25</v>
      </c>
      <c r="L763" s="22" t="n">
        <f aca="false">MAX(D763,K763)</f>
        <v>60</v>
      </c>
      <c r="M763" s="25" t="n">
        <f aca="false">IF(E763="COVERED",'Controls &amp; Sources'!$B$5,'Controls &amp; Sources'!$B$6)</f>
        <v>7.55</v>
      </c>
      <c r="N763" s="25" t="n">
        <f aca="false">L763*M763</f>
        <v>453</v>
      </c>
      <c r="O763" s="22" t="n">
        <f aca="false">COUNTIFS('Billing Actual'!$E$2:$E$770,A763,'Billing Actual'!$B$2:$B$770,'Controls &amp; Sources'!$B$7)</f>
        <v>1</v>
      </c>
      <c r="P763" s="25" t="n">
        <f aca="false">SUMIFS('Billing Actual'!$M$2:$M$770,'Billing Actual'!$E$2:$E$770,A763,'Billing Actual'!$B$2:$B$770,'Controls &amp; Sources'!$B$7)</f>
        <v>453</v>
      </c>
      <c r="Q763" s="25" t="n">
        <f aca="false">P763-N763</f>
        <v>0</v>
      </c>
      <c r="R763" s="22" t="str">
        <f aca="false">IF(O763=0,"No August moorage transaction",IF(O763&gt;1,"Duplicate August transactions",IF(ABS(Q763)&gt;0.005,"Charge variance","OK")))</f>
        <v>OK</v>
      </c>
      <c r="S763" s="22" t="str">
        <f aca="false">IF(R763="OK","","Billing completeness/reconciliation")</f>
        <v/>
      </c>
    </row>
    <row r="764" customFormat="false" ht="15" hidden="false" customHeight="false" outlineLevel="0" collapsed="false">
      <c r="A764" s="22" t="s">
        <v>8148</v>
      </c>
      <c r="B764" s="22" t="s">
        <v>499</v>
      </c>
      <c r="C764" s="22" t="s">
        <v>7694</v>
      </c>
      <c r="D764" s="22" t="n">
        <v>45</v>
      </c>
      <c r="E764" s="22" t="s">
        <v>7696</v>
      </c>
      <c r="F764" s="22" t="s">
        <v>6577</v>
      </c>
      <c r="G764" s="22" t="s">
        <v>2361</v>
      </c>
      <c r="H764" s="22" t="s">
        <v>2362</v>
      </c>
      <c r="I764" s="22" t="s">
        <v>1193</v>
      </c>
      <c r="J764" s="22" t="n">
        <v>31.7</v>
      </c>
      <c r="K764" s="22" t="n">
        <f aca="false">ROUNDUP(J764,0)</f>
        <v>32</v>
      </c>
      <c r="L764" s="22" t="n">
        <f aca="false">MAX(D764,K764)</f>
        <v>45</v>
      </c>
      <c r="M764" s="25" t="n">
        <f aca="false">IF(E764="COVERED",'Controls &amp; Sources'!$B$5,'Controls &amp; Sources'!$B$6)</f>
        <v>7.55</v>
      </c>
      <c r="N764" s="25" t="n">
        <f aca="false">L764*M764</f>
        <v>339.75</v>
      </c>
      <c r="O764" s="22" t="n">
        <f aca="false">COUNTIFS('Billing Actual'!$E$2:$E$770,A764,'Billing Actual'!$B$2:$B$770,'Controls &amp; Sources'!$B$7)</f>
        <v>1</v>
      </c>
      <c r="P764" s="25" t="n">
        <f aca="false">SUMIFS('Billing Actual'!$M$2:$M$770,'Billing Actual'!$E$2:$E$770,A764,'Billing Actual'!$B$2:$B$770,'Controls &amp; Sources'!$B$7)</f>
        <v>339.75</v>
      </c>
      <c r="Q764" s="25" t="n">
        <f aca="false">P764-N764</f>
        <v>0</v>
      </c>
      <c r="R764" s="22" t="str">
        <f aca="false">IF(O764=0,"No August moorage transaction",IF(O764&gt;1,"Duplicate August transactions",IF(ABS(Q764)&gt;0.005,"Charge variance","OK")))</f>
        <v>OK</v>
      </c>
      <c r="S764" s="22" t="str">
        <f aca="false">IF(R764="OK","","Billing completeness/reconciliation")</f>
        <v/>
      </c>
    </row>
    <row r="765" customFormat="false" ht="15" hidden="false" customHeight="false" outlineLevel="0" collapsed="false">
      <c r="A765" s="22" t="s">
        <v>8149</v>
      </c>
      <c r="B765" s="22" t="s">
        <v>499</v>
      </c>
      <c r="C765" s="22" t="s">
        <v>7694</v>
      </c>
      <c r="D765" s="22" t="n">
        <v>24</v>
      </c>
      <c r="E765" s="22" t="s">
        <v>7696</v>
      </c>
      <c r="F765" s="22" t="s">
        <v>6577</v>
      </c>
      <c r="G765" s="22" t="s">
        <v>4668</v>
      </c>
      <c r="H765" s="22" t="s">
        <v>4669</v>
      </c>
      <c r="I765" s="22" t="s">
        <v>4670</v>
      </c>
      <c r="J765" s="22" t="n">
        <v>47.9</v>
      </c>
      <c r="K765" s="22" t="n">
        <f aca="false">ROUNDUP(J765,0)</f>
        <v>48</v>
      </c>
      <c r="L765" s="22" t="n">
        <f aca="false">MAX(D765,K765)</f>
        <v>48</v>
      </c>
      <c r="M765" s="25" t="n">
        <f aca="false">IF(E765="COVERED",'Controls &amp; Sources'!$B$5,'Controls &amp; Sources'!$B$6)</f>
        <v>7.55</v>
      </c>
      <c r="N765" s="25" t="n">
        <f aca="false">L765*M765</f>
        <v>362.4</v>
      </c>
      <c r="O765" s="22" t="n">
        <f aca="false">COUNTIFS('Billing Actual'!$E$2:$E$770,A765,'Billing Actual'!$B$2:$B$770,'Controls &amp; Sources'!$B$7)</f>
        <v>1</v>
      </c>
      <c r="P765" s="25" t="n">
        <f aca="false">SUMIFS('Billing Actual'!$M$2:$M$770,'Billing Actual'!$E$2:$E$770,A765,'Billing Actual'!$B$2:$B$770,'Controls &amp; Sources'!$B$7)</f>
        <v>362.4</v>
      </c>
      <c r="Q765" s="25" t="n">
        <f aca="false">P765-N765</f>
        <v>0</v>
      </c>
      <c r="R765" s="22" t="str">
        <f aca="false">IF(O765=0,"No August moorage transaction",IF(O765&gt;1,"Duplicate August transactions",IF(ABS(Q765)&gt;0.005,"Charge variance","OK")))</f>
        <v>OK</v>
      </c>
      <c r="S765" s="22" t="str">
        <f aca="false">IF(R765="OK","","Billing completeness/reconciliation")</f>
        <v/>
      </c>
    </row>
    <row r="766" customFormat="false" ht="15" hidden="false" customHeight="false" outlineLevel="0" collapsed="false">
      <c r="A766" s="22" t="s">
        <v>8151</v>
      </c>
      <c r="B766" s="22" t="s">
        <v>499</v>
      </c>
      <c r="C766" s="22" t="s">
        <v>7694</v>
      </c>
      <c r="D766" s="22" t="n">
        <v>32</v>
      </c>
      <c r="E766" s="22" t="s">
        <v>7696</v>
      </c>
      <c r="F766" s="22" t="s">
        <v>6577</v>
      </c>
      <c r="G766" s="22" t="s">
        <v>2006</v>
      </c>
      <c r="H766" s="22" t="s">
        <v>2007</v>
      </c>
      <c r="I766" s="22" t="s">
        <v>812</v>
      </c>
      <c r="J766" s="22" t="n">
        <v>23.7</v>
      </c>
      <c r="K766" s="22" t="n">
        <f aca="false">ROUNDUP(J766,0)</f>
        <v>24</v>
      </c>
      <c r="L766" s="22" t="n">
        <f aca="false">MAX(D766,K766)</f>
        <v>32</v>
      </c>
      <c r="M766" s="25" t="n">
        <f aca="false">IF(E766="COVERED",'Controls &amp; Sources'!$B$5,'Controls &amp; Sources'!$B$6)</f>
        <v>7.55</v>
      </c>
      <c r="N766" s="25" t="n">
        <f aca="false">L766*M766</f>
        <v>241.6</v>
      </c>
      <c r="O766" s="22" t="n">
        <f aca="false">COUNTIFS('Billing Actual'!$E$2:$E$770,A766,'Billing Actual'!$B$2:$B$770,'Controls &amp; Sources'!$B$7)</f>
        <v>1</v>
      </c>
      <c r="P766" s="25" t="n">
        <f aca="false">SUMIFS('Billing Actual'!$M$2:$M$770,'Billing Actual'!$E$2:$E$770,A766,'Billing Actual'!$B$2:$B$770,'Controls &amp; Sources'!$B$7)</f>
        <v>241.6</v>
      </c>
      <c r="Q766" s="25" t="n">
        <f aca="false">P766-N766</f>
        <v>0</v>
      </c>
      <c r="R766" s="22" t="str">
        <f aca="false">IF(O766=0,"No August moorage transaction",IF(O766&gt;1,"Duplicate August transactions",IF(ABS(Q766)&gt;0.005,"Charge variance","OK")))</f>
        <v>OK</v>
      </c>
      <c r="S766" s="22" t="str">
        <f aca="false">IF(R766="OK","","Billing completeness/reconciliation")</f>
        <v/>
      </c>
    </row>
    <row r="767" customFormat="false" ht="15" hidden="false" customHeight="false" outlineLevel="0" collapsed="false">
      <c r="A767" s="22" t="s">
        <v>8152</v>
      </c>
      <c r="B767" s="22" t="s">
        <v>499</v>
      </c>
      <c r="C767" s="22" t="s">
        <v>7694</v>
      </c>
      <c r="D767" s="22" t="n">
        <v>32</v>
      </c>
      <c r="E767" s="22" t="s">
        <v>7696</v>
      </c>
      <c r="F767" s="22" t="s">
        <v>6577</v>
      </c>
      <c r="G767" s="22" t="s">
        <v>3551</v>
      </c>
      <c r="H767" s="22" t="s">
        <v>1863</v>
      </c>
      <c r="I767" s="22" t="s">
        <v>1138</v>
      </c>
      <c r="J767" s="22" t="n">
        <v>52.8</v>
      </c>
      <c r="K767" s="22" t="n">
        <f aca="false">ROUNDUP(J767,0)</f>
        <v>53</v>
      </c>
      <c r="L767" s="22" t="n">
        <f aca="false">MAX(D767,K767)</f>
        <v>53</v>
      </c>
      <c r="M767" s="25" t="n">
        <f aca="false">IF(E767="COVERED",'Controls &amp; Sources'!$B$5,'Controls &amp; Sources'!$B$6)</f>
        <v>7.55</v>
      </c>
      <c r="N767" s="25" t="n">
        <f aca="false">L767*M767</f>
        <v>400.15</v>
      </c>
      <c r="O767" s="22" t="n">
        <f aca="false">COUNTIFS('Billing Actual'!$E$2:$E$770,A767,'Billing Actual'!$B$2:$B$770,'Controls &amp; Sources'!$B$7)</f>
        <v>1</v>
      </c>
      <c r="P767" s="25" t="n">
        <f aca="false">SUMIFS('Billing Actual'!$M$2:$M$770,'Billing Actual'!$E$2:$E$770,A767,'Billing Actual'!$B$2:$B$770,'Controls &amp; Sources'!$B$7)</f>
        <v>400.15</v>
      </c>
      <c r="Q767" s="25" t="n">
        <f aca="false">P767-N767</f>
        <v>0</v>
      </c>
      <c r="R767" s="22" t="str">
        <f aca="false">IF(O767=0,"No August moorage transaction",IF(O767&gt;1,"Duplicate August transactions",IF(ABS(Q767)&gt;0.005,"Charge variance","OK")))</f>
        <v>OK</v>
      </c>
      <c r="S767" s="22" t="str">
        <f aca="false">IF(R767="OK","","Billing completeness/reconciliation")</f>
        <v/>
      </c>
    </row>
    <row r="768" customFormat="false" ht="15" hidden="false" customHeight="false" outlineLevel="0" collapsed="false">
      <c r="A768" s="22" t="s">
        <v>8154</v>
      </c>
      <c r="B768" s="22" t="s">
        <v>499</v>
      </c>
      <c r="C768" s="22" t="s">
        <v>7694</v>
      </c>
      <c r="D768" s="22" t="n">
        <v>24</v>
      </c>
      <c r="E768" s="22" t="s">
        <v>7696</v>
      </c>
      <c r="F768" s="22" t="s">
        <v>6577</v>
      </c>
      <c r="G768" s="22" t="s">
        <v>5024</v>
      </c>
      <c r="H768" s="22" t="s">
        <v>5025</v>
      </c>
      <c r="I768" s="22" t="s">
        <v>248</v>
      </c>
      <c r="J768" s="22" t="n">
        <v>28.3</v>
      </c>
      <c r="K768" s="22" t="n">
        <f aca="false">ROUNDUP(J768,0)</f>
        <v>29</v>
      </c>
      <c r="L768" s="22" t="n">
        <f aca="false">MAX(D768,K768)</f>
        <v>29</v>
      </c>
      <c r="M768" s="25" t="n">
        <f aca="false">IF(E768="COVERED",'Controls &amp; Sources'!$B$5,'Controls &amp; Sources'!$B$6)</f>
        <v>7.55</v>
      </c>
      <c r="N768" s="25" t="n">
        <f aca="false">L768*M768</f>
        <v>218.95</v>
      </c>
      <c r="O768" s="22" t="n">
        <f aca="false">COUNTIFS('Billing Actual'!$E$2:$E$770,A768,'Billing Actual'!$B$2:$B$770,'Controls &amp; Sources'!$B$7)</f>
        <v>1</v>
      </c>
      <c r="P768" s="25" t="n">
        <f aca="false">SUMIFS('Billing Actual'!$M$2:$M$770,'Billing Actual'!$E$2:$E$770,A768,'Billing Actual'!$B$2:$B$770,'Controls &amp; Sources'!$B$7)</f>
        <v>218.95</v>
      </c>
      <c r="Q768" s="25" t="n">
        <f aca="false">P768-N768</f>
        <v>0</v>
      </c>
      <c r="R768" s="22" t="str">
        <f aca="false">IF(O768=0,"No August moorage transaction",IF(O768&gt;1,"Duplicate August transactions",IF(ABS(Q768)&gt;0.005,"Charge variance","OK")))</f>
        <v>OK</v>
      </c>
      <c r="S768" s="22" t="str">
        <f aca="false">IF(R768="OK","","Billing completeness/reconciliation")</f>
        <v/>
      </c>
    </row>
    <row r="769" customFormat="false" ht="15" hidden="false" customHeight="false" outlineLevel="0" collapsed="false">
      <c r="A769" s="22" t="s">
        <v>8155</v>
      </c>
      <c r="B769" s="22" t="s">
        <v>499</v>
      </c>
      <c r="C769" s="22" t="s">
        <v>7694</v>
      </c>
      <c r="D769" s="22" t="n">
        <v>32</v>
      </c>
      <c r="E769" s="22" t="s">
        <v>7696</v>
      </c>
      <c r="F769" s="22" t="s">
        <v>6577</v>
      </c>
      <c r="G769" s="22" t="s">
        <v>6329</v>
      </c>
      <c r="H769" s="22" t="s">
        <v>6330</v>
      </c>
      <c r="I769" s="22" t="s">
        <v>2595</v>
      </c>
      <c r="J769" s="22" t="n">
        <v>27</v>
      </c>
      <c r="K769" s="22" t="n">
        <f aca="false">ROUNDUP(J769,0)</f>
        <v>27</v>
      </c>
      <c r="L769" s="22" t="n">
        <f aca="false">MAX(D769,K769)</f>
        <v>32</v>
      </c>
      <c r="M769" s="25" t="n">
        <f aca="false">IF(E769="COVERED",'Controls &amp; Sources'!$B$5,'Controls &amp; Sources'!$B$6)</f>
        <v>7.55</v>
      </c>
      <c r="N769" s="25" t="n">
        <f aca="false">L769*M769</f>
        <v>241.6</v>
      </c>
      <c r="O769" s="22" t="n">
        <f aca="false">COUNTIFS('Billing Actual'!$E$2:$E$770,A769,'Billing Actual'!$B$2:$B$770,'Controls &amp; Sources'!$B$7)</f>
        <v>1</v>
      </c>
      <c r="P769" s="25" t="n">
        <f aca="false">SUMIFS('Billing Actual'!$M$2:$M$770,'Billing Actual'!$E$2:$E$770,A769,'Billing Actual'!$B$2:$B$770,'Controls &amp; Sources'!$B$7)</f>
        <v>241.6</v>
      </c>
      <c r="Q769" s="25" t="n">
        <f aca="false">P769-N769</f>
        <v>0</v>
      </c>
      <c r="R769" s="22" t="str">
        <f aca="false">IF(O769=0,"No August moorage transaction",IF(O769&gt;1,"Duplicate August transactions",IF(ABS(Q769)&gt;0.005,"Charge variance","OK")))</f>
        <v>OK</v>
      </c>
      <c r="S769" s="22" t="str">
        <f aca="false">IF(R769="OK","","Billing completeness/reconciliation")</f>
        <v/>
      </c>
    </row>
    <row r="770" customFormat="false" ht="15" hidden="false" customHeight="false" outlineLevel="0" collapsed="false">
      <c r="A770" s="22" t="s">
        <v>8156</v>
      </c>
      <c r="B770" s="22" t="s">
        <v>499</v>
      </c>
      <c r="C770" s="22" t="s">
        <v>7694</v>
      </c>
      <c r="D770" s="22" t="n">
        <v>28</v>
      </c>
      <c r="E770" s="22" t="s">
        <v>7696</v>
      </c>
      <c r="F770" s="22" t="s">
        <v>6577</v>
      </c>
      <c r="G770" s="22" t="s">
        <v>550</v>
      </c>
      <c r="H770" s="22" t="s">
        <v>551</v>
      </c>
      <c r="I770" s="22" t="s">
        <v>552</v>
      </c>
      <c r="J770" s="22" t="n">
        <v>18.5</v>
      </c>
      <c r="K770" s="22" t="n">
        <f aca="false">ROUNDUP(J770,0)</f>
        <v>19</v>
      </c>
      <c r="L770" s="22" t="n">
        <f aca="false">MAX(D770,K770)</f>
        <v>28</v>
      </c>
      <c r="M770" s="25" t="n">
        <f aca="false">IF(E770="COVERED",'Controls &amp; Sources'!$B$5,'Controls &amp; Sources'!$B$6)</f>
        <v>7.55</v>
      </c>
      <c r="N770" s="25" t="n">
        <f aca="false">L770*M770</f>
        <v>211.4</v>
      </c>
      <c r="O770" s="22" t="n">
        <f aca="false">COUNTIFS('Billing Actual'!$E$2:$E$770,A770,'Billing Actual'!$B$2:$B$770,'Controls &amp; Sources'!$B$7)</f>
        <v>1</v>
      </c>
      <c r="P770" s="25" t="n">
        <f aca="false">SUMIFS('Billing Actual'!$M$2:$M$770,'Billing Actual'!$E$2:$E$770,A770,'Billing Actual'!$B$2:$B$770,'Controls &amp; Sources'!$B$7)</f>
        <v>211.4</v>
      </c>
      <c r="Q770" s="25" t="n">
        <f aca="false">P770-N770</f>
        <v>0</v>
      </c>
      <c r="R770" s="22" t="str">
        <f aca="false">IF(O770=0,"No August moorage transaction",IF(O770&gt;1,"Duplicate August transactions",IF(ABS(Q770)&gt;0.005,"Charge variance","OK")))</f>
        <v>OK</v>
      </c>
      <c r="S770" s="22" t="str">
        <f aca="false">IF(R770="OK","","Billing completeness/reconciliation")</f>
        <v/>
      </c>
    </row>
    <row r="771" customFormat="false" ht="15" hidden="false" customHeight="false" outlineLevel="0" collapsed="false">
      <c r="A771" s="22" t="s">
        <v>8157</v>
      </c>
      <c r="B771" s="22" t="s">
        <v>499</v>
      </c>
      <c r="C771" s="22" t="s">
        <v>7694</v>
      </c>
      <c r="D771" s="22" t="n">
        <v>80</v>
      </c>
      <c r="E771" s="22" t="s">
        <v>7696</v>
      </c>
      <c r="F771" s="22" t="s">
        <v>6577</v>
      </c>
      <c r="G771" s="22" t="s">
        <v>748</v>
      </c>
      <c r="H771" s="22" t="s">
        <v>749</v>
      </c>
      <c r="I771" s="22" t="s">
        <v>567</v>
      </c>
      <c r="J771" s="22" t="n">
        <v>46.6</v>
      </c>
      <c r="K771" s="22" t="n">
        <f aca="false">ROUNDUP(J771,0)</f>
        <v>47</v>
      </c>
      <c r="L771" s="22" t="n">
        <f aca="false">MAX(D771,K771)</f>
        <v>80</v>
      </c>
      <c r="M771" s="25" t="n">
        <f aca="false">IF(E771="COVERED",'Controls &amp; Sources'!$B$5,'Controls &amp; Sources'!$B$6)</f>
        <v>7.55</v>
      </c>
      <c r="N771" s="25" t="n">
        <f aca="false">L771*M771</f>
        <v>604</v>
      </c>
      <c r="O771" s="22" t="n">
        <f aca="false">COUNTIFS('Billing Actual'!$E$2:$E$770,A771,'Billing Actual'!$B$2:$B$770,'Controls &amp; Sources'!$B$7)</f>
        <v>1</v>
      </c>
      <c r="P771" s="25" t="n">
        <f aca="false">SUMIFS('Billing Actual'!$M$2:$M$770,'Billing Actual'!$E$2:$E$770,A771,'Billing Actual'!$B$2:$B$770,'Controls &amp; Sources'!$B$7)</f>
        <v>604</v>
      </c>
      <c r="Q771" s="25" t="n">
        <f aca="false">P771-N771</f>
        <v>0</v>
      </c>
      <c r="R771" s="22" t="str">
        <f aca="false">IF(O771=0,"No August moorage transaction",IF(O771&gt;1,"Duplicate August transactions",IF(ABS(Q771)&gt;0.005,"Charge variance","OK")))</f>
        <v>OK</v>
      </c>
      <c r="S771" s="22" t="str">
        <f aca="false">IF(R771="OK","","Billing completeness/reconciliation")</f>
        <v/>
      </c>
    </row>
    <row r="772" customFormat="false" ht="15" hidden="false" customHeight="false" outlineLevel="0" collapsed="false">
      <c r="A772" s="22" t="s">
        <v>8158</v>
      </c>
      <c r="B772" s="22" t="s">
        <v>499</v>
      </c>
      <c r="C772" s="22" t="s">
        <v>7694</v>
      </c>
      <c r="D772" s="22" t="n">
        <v>80</v>
      </c>
      <c r="E772" s="22" t="s">
        <v>7696</v>
      </c>
      <c r="F772" s="22" t="s">
        <v>6577</v>
      </c>
      <c r="G772" s="22" t="s">
        <v>6337</v>
      </c>
      <c r="H772" s="22" t="s">
        <v>6338</v>
      </c>
      <c r="I772" s="22" t="s">
        <v>1690</v>
      </c>
      <c r="J772" s="22" t="n">
        <v>40.9</v>
      </c>
      <c r="K772" s="22" t="n">
        <f aca="false">ROUNDUP(J772,0)</f>
        <v>41</v>
      </c>
      <c r="L772" s="22" t="n">
        <f aca="false">MAX(D772,K772)</f>
        <v>80</v>
      </c>
      <c r="M772" s="25" t="n">
        <f aca="false">IF(E772="COVERED",'Controls &amp; Sources'!$B$5,'Controls &amp; Sources'!$B$6)</f>
        <v>7.55</v>
      </c>
      <c r="N772" s="25" t="n">
        <f aca="false">L772*M772</f>
        <v>604</v>
      </c>
      <c r="O772" s="22" t="n">
        <f aca="false">COUNTIFS('Billing Actual'!$E$2:$E$770,A772,'Billing Actual'!$B$2:$B$770,'Controls &amp; Sources'!$B$7)</f>
        <v>1</v>
      </c>
      <c r="P772" s="25" t="n">
        <f aca="false">SUMIFS('Billing Actual'!$M$2:$M$770,'Billing Actual'!$E$2:$E$770,A772,'Billing Actual'!$B$2:$B$770,'Controls &amp; Sources'!$B$7)</f>
        <v>604</v>
      </c>
      <c r="Q772" s="25" t="n">
        <f aca="false">P772-N772</f>
        <v>0</v>
      </c>
      <c r="R772" s="22" t="str">
        <f aca="false">IF(O772=0,"No August moorage transaction",IF(O772&gt;1,"Duplicate August transactions",IF(ABS(Q772)&gt;0.005,"Charge variance","OK")))</f>
        <v>OK</v>
      </c>
      <c r="S772" s="22" t="str">
        <f aca="false">IF(R772="OK","","Billing completeness/reconciliation")</f>
        <v/>
      </c>
    </row>
    <row r="773" customFormat="false" ht="15" hidden="false" customHeight="false" outlineLevel="0" collapsed="false">
      <c r="A773" s="22" t="s">
        <v>8159</v>
      </c>
      <c r="B773" s="22" t="s">
        <v>499</v>
      </c>
      <c r="C773" s="22" t="s">
        <v>7694</v>
      </c>
      <c r="D773" s="22" t="n">
        <v>32</v>
      </c>
      <c r="E773" s="22" t="s">
        <v>7696</v>
      </c>
      <c r="F773" s="22" t="s">
        <v>6577</v>
      </c>
      <c r="G773" s="22" t="s">
        <v>2760</v>
      </c>
      <c r="H773" s="22" t="s">
        <v>2761</v>
      </c>
      <c r="I773" s="22" t="s">
        <v>857</v>
      </c>
      <c r="J773" s="22" t="n">
        <v>42</v>
      </c>
      <c r="K773" s="22" t="n">
        <f aca="false">ROUNDUP(J773,0)</f>
        <v>42</v>
      </c>
      <c r="L773" s="22" t="n">
        <f aca="false">MAX(D773,K773)</f>
        <v>42</v>
      </c>
      <c r="M773" s="25" t="n">
        <f aca="false">IF(E773="COVERED",'Controls &amp; Sources'!$B$5,'Controls &amp; Sources'!$B$6)</f>
        <v>7.55</v>
      </c>
      <c r="N773" s="25" t="n">
        <f aca="false">L773*M773</f>
        <v>317.1</v>
      </c>
      <c r="O773" s="22" t="n">
        <f aca="false">COUNTIFS('Billing Actual'!$E$2:$E$770,A773,'Billing Actual'!$B$2:$B$770,'Controls &amp; Sources'!$B$7)</f>
        <v>1</v>
      </c>
      <c r="P773" s="25" t="n">
        <f aca="false">SUMIFS('Billing Actual'!$M$2:$M$770,'Billing Actual'!$E$2:$E$770,A773,'Billing Actual'!$B$2:$B$770,'Controls &amp; Sources'!$B$7)</f>
        <v>317.1</v>
      </c>
      <c r="Q773" s="25" t="n">
        <f aca="false">P773-N773</f>
        <v>0</v>
      </c>
      <c r="R773" s="22" t="str">
        <f aca="false">IF(O773=0,"No August moorage transaction",IF(O773&gt;1,"Duplicate August transactions",IF(ABS(Q773)&gt;0.005,"Charge variance","OK")))</f>
        <v>OK</v>
      </c>
      <c r="S773" s="22" t="str">
        <f aca="false">IF(R773="OK","","Billing completeness/reconciliation")</f>
        <v/>
      </c>
    </row>
    <row r="774" customFormat="false" ht="15" hidden="false" customHeight="false" outlineLevel="0" collapsed="false">
      <c r="A774" s="22" t="s">
        <v>8160</v>
      </c>
      <c r="B774" s="22" t="s">
        <v>499</v>
      </c>
      <c r="C774" s="22" t="s">
        <v>7694</v>
      </c>
      <c r="D774" s="22" t="n">
        <v>40</v>
      </c>
      <c r="E774" s="22" t="s">
        <v>7696</v>
      </c>
      <c r="F774" s="22" t="s">
        <v>6577</v>
      </c>
      <c r="G774" s="22" t="s">
        <v>1377</v>
      </c>
      <c r="H774" s="22" t="s">
        <v>1378</v>
      </c>
      <c r="I774" s="22" t="s">
        <v>389</v>
      </c>
      <c r="J774" s="22" t="n">
        <v>22.6</v>
      </c>
      <c r="K774" s="22" t="n">
        <f aca="false">ROUNDUP(J774,0)</f>
        <v>23</v>
      </c>
      <c r="L774" s="22" t="n">
        <f aca="false">MAX(D774,K774)</f>
        <v>40</v>
      </c>
      <c r="M774" s="25" t="n">
        <f aca="false">IF(E774="COVERED",'Controls &amp; Sources'!$B$5,'Controls &amp; Sources'!$B$6)</f>
        <v>7.55</v>
      </c>
      <c r="N774" s="25" t="n">
        <f aca="false">L774*M774</f>
        <v>302</v>
      </c>
      <c r="O774" s="22" t="n">
        <f aca="false">COUNTIFS('Billing Actual'!$E$2:$E$770,A774,'Billing Actual'!$B$2:$B$770,'Controls &amp; Sources'!$B$7)</f>
        <v>1</v>
      </c>
      <c r="P774" s="25" t="n">
        <f aca="false">SUMIFS('Billing Actual'!$M$2:$M$770,'Billing Actual'!$E$2:$E$770,A774,'Billing Actual'!$B$2:$B$770,'Controls &amp; Sources'!$B$7)</f>
        <v>302</v>
      </c>
      <c r="Q774" s="25" t="n">
        <f aca="false">P774-N774</f>
        <v>0</v>
      </c>
      <c r="R774" s="22" t="str">
        <f aca="false">IF(O774=0,"No August moorage transaction",IF(O774&gt;1,"Duplicate August transactions",IF(ABS(Q774)&gt;0.005,"Charge variance","OK")))</f>
        <v>OK</v>
      </c>
      <c r="S774" s="22" t="str">
        <f aca="false">IF(R774="OK","","Billing completeness/reconciliation")</f>
        <v/>
      </c>
    </row>
    <row r="775" customFormat="false" ht="15" hidden="false" customHeight="false" outlineLevel="0" collapsed="false">
      <c r="A775" s="22" t="s">
        <v>8161</v>
      </c>
      <c r="B775" s="22" t="s">
        <v>499</v>
      </c>
      <c r="C775" s="22" t="s">
        <v>7694</v>
      </c>
      <c r="D775" s="22" t="n">
        <v>60</v>
      </c>
      <c r="E775" s="22" t="s">
        <v>7696</v>
      </c>
      <c r="F775" s="22" t="s">
        <v>6577</v>
      </c>
      <c r="G775" s="22" t="s">
        <v>5857</v>
      </c>
      <c r="H775" s="22" t="s">
        <v>5858</v>
      </c>
      <c r="I775" s="22" t="s">
        <v>1824</v>
      </c>
      <c r="J775" s="22" t="n">
        <v>36.5</v>
      </c>
      <c r="K775" s="22" t="n">
        <f aca="false">ROUNDUP(J775,0)</f>
        <v>37</v>
      </c>
      <c r="L775" s="22" t="n">
        <f aca="false">MAX(D775,K775)</f>
        <v>60</v>
      </c>
      <c r="M775" s="25" t="n">
        <f aca="false">IF(E775="COVERED",'Controls &amp; Sources'!$B$5,'Controls &amp; Sources'!$B$6)</f>
        <v>7.55</v>
      </c>
      <c r="N775" s="25" t="n">
        <f aca="false">L775*M775</f>
        <v>453</v>
      </c>
      <c r="O775" s="22" t="n">
        <f aca="false">COUNTIFS('Billing Actual'!$E$2:$E$770,A775,'Billing Actual'!$B$2:$B$770,'Controls &amp; Sources'!$B$7)</f>
        <v>0</v>
      </c>
      <c r="P775" s="25" t="n">
        <f aca="false">SUMIFS('Billing Actual'!$M$2:$M$770,'Billing Actual'!$E$2:$E$770,A775,'Billing Actual'!$B$2:$B$770,'Controls &amp; Sources'!$B$7)</f>
        <v>0</v>
      </c>
      <c r="Q775" s="25" t="n">
        <f aca="false">P775-N775</f>
        <v>-453</v>
      </c>
      <c r="R775" s="22" t="str">
        <f aca="false">IF(O775=0,"No August moorage transaction",IF(O775&gt;1,"Duplicate August transactions",IF(ABS(Q775)&gt;0.005,"Charge variance","OK")))</f>
        <v>No August moorage transaction</v>
      </c>
      <c r="S775" s="22" t="str">
        <f aca="false">IF(R775="OK","","Billing completeness/reconciliation")</f>
        <v>Billing completeness/reconciliation</v>
      </c>
    </row>
    <row r="776" customFormat="false" ht="15" hidden="false" customHeight="false" outlineLevel="0" collapsed="false">
      <c r="A776" s="22" t="s">
        <v>8163</v>
      </c>
      <c r="B776" s="22" t="s">
        <v>499</v>
      </c>
      <c r="C776" s="22" t="s">
        <v>7694</v>
      </c>
      <c r="D776" s="22" t="n">
        <v>32</v>
      </c>
      <c r="E776" s="22" t="s">
        <v>7696</v>
      </c>
      <c r="F776" s="22" t="s">
        <v>6577</v>
      </c>
      <c r="G776" s="22" t="s">
        <v>1482</v>
      </c>
      <c r="H776" s="22" t="s">
        <v>1483</v>
      </c>
      <c r="I776" s="22" t="s">
        <v>1484</v>
      </c>
      <c r="J776" s="22" t="n">
        <v>43.9</v>
      </c>
      <c r="K776" s="22" t="n">
        <f aca="false">ROUNDUP(J776,0)</f>
        <v>44</v>
      </c>
      <c r="L776" s="22" t="n">
        <f aca="false">MAX(D776,K776)</f>
        <v>44</v>
      </c>
      <c r="M776" s="25" t="n">
        <f aca="false">IF(E776="COVERED",'Controls &amp; Sources'!$B$5,'Controls &amp; Sources'!$B$6)</f>
        <v>7.55</v>
      </c>
      <c r="N776" s="25" t="n">
        <f aca="false">L776*M776</f>
        <v>332.2</v>
      </c>
      <c r="O776" s="22" t="n">
        <f aca="false">COUNTIFS('Billing Actual'!$E$2:$E$770,A776,'Billing Actual'!$B$2:$B$770,'Controls &amp; Sources'!$B$7)</f>
        <v>0</v>
      </c>
      <c r="P776" s="25" t="n">
        <f aca="false">SUMIFS('Billing Actual'!$M$2:$M$770,'Billing Actual'!$E$2:$E$770,A776,'Billing Actual'!$B$2:$B$770,'Controls &amp; Sources'!$B$7)</f>
        <v>0</v>
      </c>
      <c r="Q776" s="25" t="n">
        <f aca="false">P776-N776</f>
        <v>-332.2</v>
      </c>
      <c r="R776" s="22" t="str">
        <f aca="false">IF(O776=0,"No August moorage transaction",IF(O776&gt;1,"Duplicate August transactions",IF(ABS(Q776)&gt;0.005,"Charge variance","OK")))</f>
        <v>No August moorage transaction</v>
      </c>
      <c r="S776" s="22" t="str">
        <f aca="false">IF(R776="OK","","Billing completeness/reconciliation")</f>
        <v>Billing completeness/reconciliation</v>
      </c>
    </row>
    <row r="777" customFormat="false" ht="15" hidden="false" customHeight="false" outlineLevel="0" collapsed="false">
      <c r="A777" s="22" t="s">
        <v>8165</v>
      </c>
      <c r="B777" s="22" t="s">
        <v>499</v>
      </c>
      <c r="C777" s="22" t="s">
        <v>7694</v>
      </c>
      <c r="D777" s="22" t="n">
        <v>50</v>
      </c>
      <c r="E777" s="22" t="s">
        <v>7696</v>
      </c>
      <c r="F777" s="22" t="s">
        <v>6577</v>
      </c>
      <c r="G777" s="22" t="s">
        <v>1497</v>
      </c>
      <c r="H777" s="22" t="s">
        <v>1498</v>
      </c>
      <c r="I777" s="22" t="s">
        <v>1499</v>
      </c>
      <c r="J777" s="22" t="n">
        <v>25.2</v>
      </c>
      <c r="K777" s="22" t="n">
        <f aca="false">ROUNDUP(J777,0)</f>
        <v>26</v>
      </c>
      <c r="L777" s="22" t="n">
        <f aca="false">MAX(D777,K777)</f>
        <v>50</v>
      </c>
      <c r="M777" s="25" t="n">
        <f aca="false">IF(E777="COVERED",'Controls &amp; Sources'!$B$5,'Controls &amp; Sources'!$B$6)</f>
        <v>7.55</v>
      </c>
      <c r="N777" s="25" t="n">
        <f aca="false">L777*M777</f>
        <v>377.5</v>
      </c>
      <c r="O777" s="22" t="n">
        <f aca="false">COUNTIFS('Billing Actual'!$E$2:$E$770,A777,'Billing Actual'!$B$2:$B$770,'Controls &amp; Sources'!$B$7)</f>
        <v>0</v>
      </c>
      <c r="P777" s="25" t="n">
        <f aca="false">SUMIFS('Billing Actual'!$M$2:$M$770,'Billing Actual'!$E$2:$E$770,A777,'Billing Actual'!$B$2:$B$770,'Controls &amp; Sources'!$B$7)</f>
        <v>0</v>
      </c>
      <c r="Q777" s="25" t="n">
        <f aca="false">P777-N777</f>
        <v>-377.5</v>
      </c>
      <c r="R777" s="22" t="str">
        <f aca="false">IF(O777=0,"No August moorage transaction",IF(O777&gt;1,"Duplicate August transactions",IF(ABS(Q777)&gt;0.005,"Charge variance","OK")))</f>
        <v>No August moorage transaction</v>
      </c>
      <c r="S777" s="22" t="str">
        <f aca="false">IF(R777="OK","","Billing completeness/reconciliation")</f>
        <v>Billing completeness/reconciliation</v>
      </c>
    </row>
    <row r="778" customFormat="false" ht="15" hidden="false" customHeight="false" outlineLevel="0" collapsed="false">
      <c r="A778" s="22" t="s">
        <v>8167</v>
      </c>
      <c r="B778" s="22" t="s">
        <v>499</v>
      </c>
      <c r="C778" s="22" t="s">
        <v>7694</v>
      </c>
      <c r="D778" s="22" t="n">
        <v>60</v>
      </c>
      <c r="E778" s="22" t="s">
        <v>7696</v>
      </c>
      <c r="F778" s="22" t="s">
        <v>6577</v>
      </c>
      <c r="G778" s="22" t="s">
        <v>423</v>
      </c>
      <c r="H778" s="22" t="s">
        <v>424</v>
      </c>
      <c r="I778" s="22" t="s">
        <v>425</v>
      </c>
      <c r="J778" s="22" t="n">
        <v>54.3</v>
      </c>
      <c r="K778" s="22" t="n">
        <f aca="false">ROUNDUP(J778,0)</f>
        <v>55</v>
      </c>
      <c r="L778" s="22" t="n">
        <f aca="false">MAX(D778,K778)</f>
        <v>60</v>
      </c>
      <c r="M778" s="25" t="n">
        <f aca="false">IF(E778="COVERED",'Controls &amp; Sources'!$B$5,'Controls &amp; Sources'!$B$6)</f>
        <v>7.55</v>
      </c>
      <c r="N778" s="25" t="n">
        <f aca="false">L778*M778</f>
        <v>453</v>
      </c>
      <c r="O778" s="22" t="n">
        <f aca="false">COUNTIFS('Billing Actual'!$E$2:$E$770,A778,'Billing Actual'!$B$2:$B$770,'Controls &amp; Sources'!$B$7)</f>
        <v>0</v>
      </c>
      <c r="P778" s="25" t="n">
        <f aca="false">SUMIFS('Billing Actual'!$M$2:$M$770,'Billing Actual'!$E$2:$E$770,A778,'Billing Actual'!$B$2:$B$770,'Controls &amp; Sources'!$B$7)</f>
        <v>0</v>
      </c>
      <c r="Q778" s="25" t="n">
        <f aca="false">P778-N778</f>
        <v>-453</v>
      </c>
      <c r="R778" s="22" t="str">
        <f aca="false">IF(O778=0,"No August moorage transaction",IF(O778&gt;1,"Duplicate August transactions",IF(ABS(Q778)&gt;0.005,"Charge variance","OK")))</f>
        <v>No August moorage transaction</v>
      </c>
      <c r="S778" s="22" t="str">
        <f aca="false">IF(R778="OK","","Billing completeness/reconciliation")</f>
        <v>Billing completeness/reconciliation</v>
      </c>
    </row>
    <row r="779" customFormat="false" ht="15" hidden="false" customHeight="false" outlineLevel="0" collapsed="false">
      <c r="A779" s="22" t="s">
        <v>8169</v>
      </c>
      <c r="B779" s="22" t="s">
        <v>499</v>
      </c>
      <c r="C779" s="22" t="s">
        <v>7694</v>
      </c>
      <c r="D779" s="22" t="n">
        <v>45</v>
      </c>
      <c r="E779" s="22" t="s">
        <v>7696</v>
      </c>
      <c r="F779" s="22" t="s">
        <v>6577</v>
      </c>
      <c r="G779" s="22" t="s">
        <v>5969</v>
      </c>
      <c r="H779" s="22" t="s">
        <v>5970</v>
      </c>
      <c r="I779" s="22" t="s">
        <v>410</v>
      </c>
      <c r="J779" s="22" t="n">
        <v>25.2</v>
      </c>
      <c r="K779" s="22" t="n">
        <f aca="false">ROUNDUP(J779,0)</f>
        <v>26</v>
      </c>
      <c r="L779" s="22" t="n">
        <f aca="false">MAX(D779,K779)</f>
        <v>45</v>
      </c>
      <c r="M779" s="25" t="n">
        <f aca="false">IF(E779="COVERED",'Controls &amp; Sources'!$B$5,'Controls &amp; Sources'!$B$6)</f>
        <v>7.55</v>
      </c>
      <c r="N779" s="25" t="n">
        <f aca="false">L779*M779</f>
        <v>339.75</v>
      </c>
      <c r="O779" s="22" t="n">
        <f aca="false">COUNTIFS('Billing Actual'!$E$2:$E$770,A779,'Billing Actual'!$B$2:$B$770,'Controls &amp; Sources'!$B$7)</f>
        <v>0</v>
      </c>
      <c r="P779" s="25" t="n">
        <f aca="false">SUMIFS('Billing Actual'!$M$2:$M$770,'Billing Actual'!$E$2:$E$770,A779,'Billing Actual'!$B$2:$B$770,'Controls &amp; Sources'!$B$7)</f>
        <v>0</v>
      </c>
      <c r="Q779" s="25" t="n">
        <f aca="false">P779-N779</f>
        <v>-339.75</v>
      </c>
      <c r="R779" s="22" t="str">
        <f aca="false">IF(O779=0,"No August moorage transaction",IF(O779&gt;1,"Duplicate August transactions",IF(ABS(Q779)&gt;0.005,"Charge variance","OK")))</f>
        <v>No August moorage transaction</v>
      </c>
      <c r="S779" s="22" t="str">
        <f aca="false">IF(R779="OK","","Billing completeness/reconciliation")</f>
        <v>Billing completeness/reconciliation</v>
      </c>
    </row>
    <row r="780" customFormat="false" ht="15" hidden="false" customHeight="false" outlineLevel="0" collapsed="false">
      <c r="A780" s="22" t="s">
        <v>8170</v>
      </c>
      <c r="B780" s="22" t="s">
        <v>499</v>
      </c>
      <c r="C780" s="22" t="s">
        <v>7694</v>
      </c>
      <c r="D780" s="22" t="n">
        <v>24</v>
      </c>
      <c r="E780" s="22" t="s">
        <v>7696</v>
      </c>
      <c r="F780" s="22" t="s">
        <v>6577</v>
      </c>
      <c r="G780" s="22" t="s">
        <v>4848</v>
      </c>
      <c r="H780" s="22" t="s">
        <v>4849</v>
      </c>
      <c r="I780" s="22" t="s">
        <v>3038</v>
      </c>
      <c r="J780" s="22" t="n">
        <v>38.3</v>
      </c>
      <c r="K780" s="22" t="n">
        <f aca="false">ROUNDUP(J780,0)</f>
        <v>39</v>
      </c>
      <c r="L780" s="22" t="n">
        <f aca="false">MAX(D780,K780)</f>
        <v>39</v>
      </c>
      <c r="M780" s="25" t="n">
        <f aca="false">IF(E780="COVERED",'Controls &amp; Sources'!$B$5,'Controls &amp; Sources'!$B$6)</f>
        <v>7.55</v>
      </c>
      <c r="N780" s="25" t="n">
        <f aca="false">L780*M780</f>
        <v>294.45</v>
      </c>
      <c r="O780" s="22" t="n">
        <f aca="false">COUNTIFS('Billing Actual'!$E$2:$E$770,A780,'Billing Actual'!$B$2:$B$770,'Controls &amp; Sources'!$B$7)</f>
        <v>0</v>
      </c>
      <c r="P780" s="25" t="n">
        <f aca="false">SUMIFS('Billing Actual'!$M$2:$M$770,'Billing Actual'!$E$2:$E$770,A780,'Billing Actual'!$B$2:$B$770,'Controls &amp; Sources'!$B$7)</f>
        <v>0</v>
      </c>
      <c r="Q780" s="25" t="n">
        <f aca="false">P780-N780</f>
        <v>-294.45</v>
      </c>
      <c r="R780" s="22" t="str">
        <f aca="false">IF(O780=0,"No August moorage transaction",IF(O780&gt;1,"Duplicate August transactions",IF(ABS(Q780)&gt;0.005,"Charge variance","OK")))</f>
        <v>No August moorage transaction</v>
      </c>
      <c r="S780" s="22" t="str">
        <f aca="false">IF(R780="OK","","Billing completeness/reconciliation")</f>
        <v>Billing completeness/reconciliation</v>
      </c>
    </row>
    <row r="781" customFormat="false" ht="15" hidden="false" customHeight="false" outlineLevel="0" collapsed="false">
      <c r="A781" s="22" t="s">
        <v>8172</v>
      </c>
      <c r="B781" s="22" t="s">
        <v>499</v>
      </c>
      <c r="C781" s="22" t="s">
        <v>7694</v>
      </c>
      <c r="D781" s="22" t="n">
        <v>70</v>
      </c>
      <c r="E781" s="22" t="s">
        <v>7696</v>
      </c>
      <c r="F781" s="22" t="s">
        <v>6577</v>
      </c>
      <c r="G781" s="22" t="s">
        <v>6124</v>
      </c>
      <c r="H781" s="22" t="s">
        <v>6125</v>
      </c>
      <c r="I781" s="22" t="s">
        <v>2258</v>
      </c>
      <c r="J781" s="22" t="n">
        <v>25.9</v>
      </c>
      <c r="K781" s="22" t="n">
        <f aca="false">ROUNDUP(J781,0)</f>
        <v>26</v>
      </c>
      <c r="L781" s="22" t="n">
        <f aca="false">MAX(D781,K781)</f>
        <v>70</v>
      </c>
      <c r="M781" s="25" t="n">
        <f aca="false">IF(E781="COVERED",'Controls &amp; Sources'!$B$5,'Controls &amp; Sources'!$B$6)</f>
        <v>7.55</v>
      </c>
      <c r="N781" s="25" t="n">
        <f aca="false">L781*M781</f>
        <v>528.5</v>
      </c>
      <c r="O781" s="22" t="n">
        <f aca="false">COUNTIFS('Billing Actual'!$E$2:$E$770,A781,'Billing Actual'!$B$2:$B$770,'Controls &amp; Sources'!$B$7)</f>
        <v>0</v>
      </c>
      <c r="P781" s="25" t="n">
        <f aca="false">SUMIFS('Billing Actual'!$M$2:$M$770,'Billing Actual'!$E$2:$E$770,A781,'Billing Actual'!$B$2:$B$770,'Controls &amp; Sources'!$B$7)</f>
        <v>0</v>
      </c>
      <c r="Q781" s="25" t="n">
        <f aca="false">P781-N781</f>
        <v>-528.5</v>
      </c>
      <c r="R781" s="22" t="str">
        <f aca="false">IF(O781=0,"No August moorage transaction",IF(O781&gt;1,"Duplicate August transactions",IF(ABS(Q781)&gt;0.005,"Charge variance","OK")))</f>
        <v>No August moorage transaction</v>
      </c>
      <c r="S781" s="22" t="str">
        <f aca="false">IF(R781="OK","","Billing completeness/reconciliation")</f>
        <v>Billing completeness/reconciliation</v>
      </c>
    </row>
    <row r="782" customFormat="false" ht="15" hidden="false" customHeight="false" outlineLevel="0" collapsed="false">
      <c r="A782" s="22" t="s">
        <v>8173</v>
      </c>
      <c r="B782" s="22" t="s">
        <v>499</v>
      </c>
      <c r="C782" s="22" t="s">
        <v>7694</v>
      </c>
      <c r="D782" s="22" t="n">
        <v>45</v>
      </c>
      <c r="E782" s="22" t="s">
        <v>7696</v>
      </c>
      <c r="F782" s="22" t="s">
        <v>6577</v>
      </c>
      <c r="G782" s="22" t="s">
        <v>6433</v>
      </c>
      <c r="H782" s="22" t="s">
        <v>6434</v>
      </c>
      <c r="I782" s="22" t="s">
        <v>361</v>
      </c>
      <c r="J782" s="22" t="n">
        <v>35.6</v>
      </c>
      <c r="K782" s="22" t="n">
        <f aca="false">ROUNDUP(J782,0)</f>
        <v>36</v>
      </c>
      <c r="L782" s="22" t="n">
        <f aca="false">MAX(D782,K782)</f>
        <v>45</v>
      </c>
      <c r="M782" s="25" t="n">
        <f aca="false">IF(E782="COVERED",'Controls &amp; Sources'!$B$5,'Controls &amp; Sources'!$B$6)</f>
        <v>7.55</v>
      </c>
      <c r="N782" s="25" t="n">
        <f aca="false">L782*M782</f>
        <v>339.75</v>
      </c>
      <c r="O782" s="22" t="n">
        <f aca="false">COUNTIFS('Billing Actual'!$E$2:$E$770,A782,'Billing Actual'!$B$2:$B$770,'Controls &amp; Sources'!$B$7)</f>
        <v>0</v>
      </c>
      <c r="P782" s="25" t="n">
        <f aca="false">SUMIFS('Billing Actual'!$M$2:$M$770,'Billing Actual'!$E$2:$E$770,A782,'Billing Actual'!$B$2:$B$770,'Controls &amp; Sources'!$B$7)</f>
        <v>0</v>
      </c>
      <c r="Q782" s="25" t="n">
        <f aca="false">P782-N782</f>
        <v>-339.75</v>
      </c>
      <c r="R782" s="22" t="str">
        <f aca="false">IF(O782=0,"No August moorage transaction",IF(O782&gt;1,"Duplicate August transactions",IF(ABS(Q782)&gt;0.005,"Charge variance","OK")))</f>
        <v>No August moorage transaction</v>
      </c>
      <c r="S782" s="22" t="str">
        <f aca="false">IF(R782="OK","","Billing completeness/reconciliation")</f>
        <v>Billing completeness/reconciliation</v>
      </c>
    </row>
    <row r="783" customFormat="false" ht="15" hidden="false" customHeight="false" outlineLevel="0" collapsed="false">
      <c r="A783" s="22" t="s">
        <v>8176</v>
      </c>
      <c r="B783" s="22" t="s">
        <v>499</v>
      </c>
      <c r="C783" s="22" t="s">
        <v>7694</v>
      </c>
      <c r="D783" s="22" t="n">
        <v>70</v>
      </c>
      <c r="E783" s="22" t="s">
        <v>7696</v>
      </c>
      <c r="F783" s="22" t="s">
        <v>6577</v>
      </c>
      <c r="G783" s="22" t="s">
        <v>4330</v>
      </c>
      <c r="H783" s="22" t="s">
        <v>4331</v>
      </c>
      <c r="I783" s="22" t="s">
        <v>266</v>
      </c>
      <c r="J783" s="22" t="n">
        <v>28.7</v>
      </c>
      <c r="K783" s="22" t="n">
        <f aca="false">ROUNDUP(J783,0)</f>
        <v>29</v>
      </c>
      <c r="L783" s="22" t="n">
        <f aca="false">MAX(D783,K783)</f>
        <v>70</v>
      </c>
      <c r="M783" s="25" t="n">
        <f aca="false">IF(E783="COVERED",'Controls &amp; Sources'!$B$5,'Controls &amp; Sources'!$B$6)</f>
        <v>7.55</v>
      </c>
      <c r="N783" s="25" t="n">
        <f aca="false">L783*M783</f>
        <v>528.5</v>
      </c>
      <c r="O783" s="22" t="n">
        <f aca="false">COUNTIFS('Billing Actual'!$E$2:$E$770,A783,'Billing Actual'!$B$2:$B$770,'Controls &amp; Sources'!$B$7)</f>
        <v>0</v>
      </c>
      <c r="P783" s="25" t="n">
        <f aca="false">SUMIFS('Billing Actual'!$M$2:$M$770,'Billing Actual'!$E$2:$E$770,A783,'Billing Actual'!$B$2:$B$770,'Controls &amp; Sources'!$B$7)</f>
        <v>0</v>
      </c>
      <c r="Q783" s="25" t="n">
        <f aca="false">P783-N783</f>
        <v>-528.5</v>
      </c>
      <c r="R783" s="22" t="str">
        <f aca="false">IF(O783=0,"No August moorage transaction",IF(O783&gt;1,"Duplicate August transactions",IF(ABS(Q783)&gt;0.005,"Charge variance","OK")))</f>
        <v>No August moorage transaction</v>
      </c>
      <c r="S783" s="22" t="str">
        <f aca="false">IF(R783="OK","","Billing completeness/reconciliation")</f>
        <v>Billing completeness/reconciliation</v>
      </c>
    </row>
    <row r="784" customFormat="false" ht="15" hidden="false" customHeight="false" outlineLevel="0" collapsed="false">
      <c r="A784" s="22" t="s">
        <v>8177</v>
      </c>
      <c r="B784" s="22" t="s">
        <v>499</v>
      </c>
      <c r="C784" s="22" t="s">
        <v>7694</v>
      </c>
      <c r="D784" s="22" t="n">
        <v>32</v>
      </c>
      <c r="E784" s="22" t="s">
        <v>7696</v>
      </c>
      <c r="F784" s="22" t="s">
        <v>6577</v>
      </c>
      <c r="G784" s="22" t="s">
        <v>6471</v>
      </c>
      <c r="H784" s="22" t="s">
        <v>6472</v>
      </c>
      <c r="I784" s="22" t="s">
        <v>1821</v>
      </c>
      <c r="J784" s="22" t="n">
        <v>37</v>
      </c>
      <c r="K784" s="22" t="n">
        <f aca="false">ROUNDUP(J784,0)</f>
        <v>37</v>
      </c>
      <c r="L784" s="22" t="n">
        <f aca="false">MAX(D784,K784)</f>
        <v>37</v>
      </c>
      <c r="M784" s="25" t="n">
        <f aca="false">IF(E784="COVERED",'Controls &amp; Sources'!$B$5,'Controls &amp; Sources'!$B$6)</f>
        <v>7.55</v>
      </c>
      <c r="N784" s="25" t="n">
        <f aca="false">L784*M784</f>
        <v>279.35</v>
      </c>
      <c r="O784" s="22" t="n">
        <f aca="false">COUNTIFS('Billing Actual'!$E$2:$E$770,A784,'Billing Actual'!$B$2:$B$770,'Controls &amp; Sources'!$B$7)</f>
        <v>0</v>
      </c>
      <c r="P784" s="25" t="n">
        <f aca="false">SUMIFS('Billing Actual'!$M$2:$M$770,'Billing Actual'!$E$2:$E$770,A784,'Billing Actual'!$B$2:$B$770,'Controls &amp; Sources'!$B$7)</f>
        <v>0</v>
      </c>
      <c r="Q784" s="25" t="n">
        <f aca="false">P784-N784</f>
        <v>-279.35</v>
      </c>
      <c r="R784" s="22" t="str">
        <f aca="false">IF(O784=0,"No August moorage transaction",IF(O784&gt;1,"Duplicate August transactions",IF(ABS(Q784)&gt;0.005,"Charge variance","OK")))</f>
        <v>No August moorage transaction</v>
      </c>
      <c r="S784" s="22" t="str">
        <f aca="false">IF(R784="OK","","Billing completeness/reconciliation")</f>
        <v>Billing completeness/reconciliation</v>
      </c>
    </row>
    <row r="785" customFormat="false" ht="15" hidden="false" customHeight="false" outlineLevel="0" collapsed="false">
      <c r="A785" s="22" t="s">
        <v>8178</v>
      </c>
      <c r="B785" s="22" t="s">
        <v>499</v>
      </c>
      <c r="C785" s="22" t="s">
        <v>7694</v>
      </c>
      <c r="D785" s="22" t="n">
        <v>32</v>
      </c>
      <c r="E785" s="22" t="s">
        <v>7696</v>
      </c>
      <c r="F785" s="22" t="s">
        <v>6577</v>
      </c>
      <c r="G785" s="22" t="s">
        <v>4824</v>
      </c>
      <c r="H785" s="22" t="s">
        <v>4825</v>
      </c>
      <c r="I785" s="22" t="s">
        <v>1390</v>
      </c>
      <c r="J785" s="22" t="n">
        <v>51.6</v>
      </c>
      <c r="K785" s="22" t="n">
        <f aca="false">ROUNDUP(J785,0)</f>
        <v>52</v>
      </c>
      <c r="L785" s="22" t="n">
        <f aca="false">MAX(D785,K785)</f>
        <v>52</v>
      </c>
      <c r="M785" s="25" t="n">
        <f aca="false">IF(E785="COVERED",'Controls &amp; Sources'!$B$5,'Controls &amp; Sources'!$B$6)</f>
        <v>7.55</v>
      </c>
      <c r="N785" s="25" t="n">
        <f aca="false">L785*M785</f>
        <v>392.6</v>
      </c>
      <c r="O785" s="22" t="n">
        <f aca="false">COUNTIFS('Billing Actual'!$E$2:$E$770,A785,'Billing Actual'!$B$2:$B$770,'Controls &amp; Sources'!$B$7)</f>
        <v>0</v>
      </c>
      <c r="P785" s="25" t="n">
        <f aca="false">SUMIFS('Billing Actual'!$M$2:$M$770,'Billing Actual'!$E$2:$E$770,A785,'Billing Actual'!$B$2:$B$770,'Controls &amp; Sources'!$B$7)</f>
        <v>0</v>
      </c>
      <c r="Q785" s="25" t="n">
        <f aca="false">P785-N785</f>
        <v>-392.6</v>
      </c>
      <c r="R785" s="22" t="str">
        <f aca="false">IF(O785=0,"No August moorage transaction",IF(O785&gt;1,"Duplicate August transactions",IF(ABS(Q785)&gt;0.005,"Charge variance","OK")))</f>
        <v>No August moorage transaction</v>
      </c>
      <c r="S785" s="22" t="str">
        <f aca="false">IF(R785="OK","","Billing completeness/reconciliation")</f>
        <v>Billing completeness/reconciliation</v>
      </c>
    </row>
    <row r="786" customFormat="false" ht="15" hidden="false" customHeight="false" outlineLevel="0" collapsed="false">
      <c r="A786" s="22" t="s">
        <v>8180</v>
      </c>
      <c r="B786" s="22" t="s">
        <v>499</v>
      </c>
      <c r="C786" s="22" t="s">
        <v>7694</v>
      </c>
      <c r="D786" s="22" t="n">
        <v>40</v>
      </c>
      <c r="E786" s="22" t="s">
        <v>7696</v>
      </c>
      <c r="F786" s="22" t="s">
        <v>6577</v>
      </c>
      <c r="G786" s="22" t="s">
        <v>5022</v>
      </c>
      <c r="H786" s="22" t="s">
        <v>5023</v>
      </c>
      <c r="I786" s="22" t="s">
        <v>457</v>
      </c>
      <c r="J786" s="22" t="n">
        <v>32.5</v>
      </c>
      <c r="K786" s="22" t="n">
        <f aca="false">ROUNDUP(J786,0)</f>
        <v>33</v>
      </c>
      <c r="L786" s="22" t="n">
        <f aca="false">MAX(D786,K786)</f>
        <v>40</v>
      </c>
      <c r="M786" s="25" t="n">
        <f aca="false">IF(E786="COVERED",'Controls &amp; Sources'!$B$5,'Controls &amp; Sources'!$B$6)</f>
        <v>7.55</v>
      </c>
      <c r="N786" s="25" t="n">
        <f aca="false">L786*M786</f>
        <v>302</v>
      </c>
      <c r="O786" s="22" t="n">
        <f aca="false">COUNTIFS('Billing Actual'!$E$2:$E$770,A786,'Billing Actual'!$B$2:$B$770,'Controls &amp; Sources'!$B$7)</f>
        <v>0</v>
      </c>
      <c r="P786" s="25" t="n">
        <f aca="false">SUMIFS('Billing Actual'!$M$2:$M$770,'Billing Actual'!$E$2:$E$770,A786,'Billing Actual'!$B$2:$B$770,'Controls &amp; Sources'!$B$7)</f>
        <v>0</v>
      </c>
      <c r="Q786" s="25" t="n">
        <f aca="false">P786-N786</f>
        <v>-302</v>
      </c>
      <c r="R786" s="22" t="str">
        <f aca="false">IF(O786=0,"No August moorage transaction",IF(O786&gt;1,"Duplicate August transactions",IF(ABS(Q786)&gt;0.005,"Charge variance","OK")))</f>
        <v>No August moorage transaction</v>
      </c>
      <c r="S786" s="22" t="str">
        <f aca="false">IF(R786="OK","","Billing completeness/reconciliation")</f>
        <v>Billing completeness/reconciliation</v>
      </c>
    </row>
    <row r="787" customFormat="false" ht="15" hidden="false" customHeight="false" outlineLevel="0" collapsed="false">
      <c r="A787" s="22" t="s">
        <v>8181</v>
      </c>
      <c r="B787" s="22" t="s">
        <v>499</v>
      </c>
      <c r="C787" s="22" t="s">
        <v>7694</v>
      </c>
      <c r="D787" s="22" t="n">
        <v>32</v>
      </c>
      <c r="E787" s="22" t="s">
        <v>7696</v>
      </c>
      <c r="F787" s="22" t="s">
        <v>6577</v>
      </c>
      <c r="G787" s="22" t="s">
        <v>2696</v>
      </c>
      <c r="H787" s="22" t="s">
        <v>2697</v>
      </c>
      <c r="I787" s="22" t="s">
        <v>538</v>
      </c>
      <c r="J787" s="22" t="n">
        <v>18.1</v>
      </c>
      <c r="K787" s="22" t="n">
        <f aca="false">ROUNDUP(J787,0)</f>
        <v>19</v>
      </c>
      <c r="L787" s="22" t="n">
        <f aca="false">MAX(D787,K787)</f>
        <v>32</v>
      </c>
      <c r="M787" s="25" t="n">
        <f aca="false">IF(E787="COVERED",'Controls &amp; Sources'!$B$5,'Controls &amp; Sources'!$B$6)</f>
        <v>7.55</v>
      </c>
      <c r="N787" s="25" t="n">
        <f aca="false">L787*M787</f>
        <v>241.6</v>
      </c>
      <c r="O787" s="22" t="n">
        <f aca="false">COUNTIFS('Billing Actual'!$E$2:$E$770,A787,'Billing Actual'!$B$2:$B$770,'Controls &amp; Sources'!$B$7)</f>
        <v>0</v>
      </c>
      <c r="P787" s="25" t="n">
        <f aca="false">SUMIFS('Billing Actual'!$M$2:$M$770,'Billing Actual'!$E$2:$E$770,A787,'Billing Actual'!$B$2:$B$770,'Controls &amp; Sources'!$B$7)</f>
        <v>0</v>
      </c>
      <c r="Q787" s="25" t="n">
        <f aca="false">P787-N787</f>
        <v>-241.6</v>
      </c>
      <c r="R787" s="22" t="str">
        <f aca="false">IF(O787=0,"No August moorage transaction",IF(O787&gt;1,"Duplicate August transactions",IF(ABS(Q787)&gt;0.005,"Charge variance","OK")))</f>
        <v>No August moorage transaction</v>
      </c>
      <c r="S787" s="22" t="str">
        <f aca="false">IF(R787="OK","","Billing completeness/reconciliation")</f>
        <v>Billing completeness/reconciliation</v>
      </c>
    </row>
    <row r="788" customFormat="false" ht="15" hidden="false" customHeight="false" outlineLevel="0" collapsed="false">
      <c r="A788" s="22" t="s">
        <v>8182</v>
      </c>
      <c r="B788" s="22" t="s">
        <v>499</v>
      </c>
      <c r="C788" s="22" t="s">
        <v>7694</v>
      </c>
      <c r="D788" s="22" t="n">
        <v>70</v>
      </c>
      <c r="E788" s="22" t="s">
        <v>7696</v>
      </c>
      <c r="F788" s="22" t="s">
        <v>6577</v>
      </c>
      <c r="G788" s="22" t="s">
        <v>374</v>
      </c>
      <c r="H788" s="22" t="s">
        <v>375</v>
      </c>
      <c r="I788" s="22" t="s">
        <v>376</v>
      </c>
      <c r="J788" s="22" t="n">
        <v>52.3</v>
      </c>
      <c r="K788" s="22" t="n">
        <f aca="false">ROUNDUP(J788,0)</f>
        <v>53</v>
      </c>
      <c r="L788" s="22" t="n">
        <f aca="false">MAX(D788,K788)</f>
        <v>70</v>
      </c>
      <c r="M788" s="25" t="n">
        <f aca="false">IF(E788="COVERED",'Controls &amp; Sources'!$B$5,'Controls &amp; Sources'!$B$6)</f>
        <v>7.55</v>
      </c>
      <c r="N788" s="25" t="n">
        <f aca="false">L788*M788</f>
        <v>528.5</v>
      </c>
      <c r="O788" s="22" t="n">
        <f aca="false">COUNTIFS('Billing Actual'!$E$2:$E$770,A788,'Billing Actual'!$B$2:$B$770,'Controls &amp; Sources'!$B$7)</f>
        <v>0</v>
      </c>
      <c r="P788" s="25" t="n">
        <f aca="false">SUMIFS('Billing Actual'!$M$2:$M$770,'Billing Actual'!$E$2:$E$770,A788,'Billing Actual'!$B$2:$B$770,'Controls &amp; Sources'!$B$7)</f>
        <v>0</v>
      </c>
      <c r="Q788" s="25" t="n">
        <f aca="false">P788-N788</f>
        <v>-528.5</v>
      </c>
      <c r="R788" s="22" t="str">
        <f aca="false">IF(O788=0,"No August moorage transaction",IF(O788&gt;1,"Duplicate August transactions",IF(ABS(Q788)&gt;0.005,"Charge variance","OK")))</f>
        <v>No August moorage transaction</v>
      </c>
      <c r="S788" s="22" t="str">
        <f aca="false">IF(R788="OK","","Billing completeness/reconciliation")</f>
        <v>Billing completeness/reconciliation</v>
      </c>
    </row>
    <row r="789" customFormat="false" ht="15" hidden="false" customHeight="false" outlineLevel="0" collapsed="false">
      <c r="A789" s="22" t="s">
        <v>8183</v>
      </c>
      <c r="B789" s="22" t="s">
        <v>499</v>
      </c>
      <c r="C789" s="22" t="s">
        <v>7694</v>
      </c>
      <c r="D789" s="22" t="n">
        <v>24</v>
      </c>
      <c r="E789" s="22" t="s">
        <v>7696</v>
      </c>
      <c r="F789" s="22" t="s">
        <v>6577</v>
      </c>
      <c r="G789" s="22" t="s">
        <v>2608</v>
      </c>
      <c r="H789" s="22" t="s">
        <v>2609</v>
      </c>
      <c r="I789" s="22" t="s">
        <v>2610</v>
      </c>
      <c r="J789" s="22" t="n">
        <v>46.9</v>
      </c>
      <c r="K789" s="22" t="n">
        <f aca="false">ROUNDUP(J789,0)</f>
        <v>47</v>
      </c>
      <c r="L789" s="22" t="n">
        <f aca="false">MAX(D789,K789)</f>
        <v>47</v>
      </c>
      <c r="M789" s="25" t="n">
        <f aca="false">IF(E789="COVERED",'Controls &amp; Sources'!$B$5,'Controls &amp; Sources'!$B$6)</f>
        <v>7.55</v>
      </c>
      <c r="N789" s="25" t="n">
        <f aca="false">L789*M789</f>
        <v>354.85</v>
      </c>
      <c r="O789" s="22" t="n">
        <f aca="false">COUNTIFS('Billing Actual'!$E$2:$E$770,A789,'Billing Actual'!$B$2:$B$770,'Controls &amp; Sources'!$B$7)</f>
        <v>0</v>
      </c>
      <c r="P789" s="25" t="n">
        <f aca="false">SUMIFS('Billing Actual'!$M$2:$M$770,'Billing Actual'!$E$2:$E$770,A789,'Billing Actual'!$B$2:$B$770,'Controls &amp; Sources'!$B$7)</f>
        <v>0</v>
      </c>
      <c r="Q789" s="25" t="n">
        <f aca="false">P789-N789</f>
        <v>-354.85</v>
      </c>
      <c r="R789" s="22" t="str">
        <f aca="false">IF(O789=0,"No August moorage transaction",IF(O789&gt;1,"Duplicate August transactions",IF(ABS(Q789)&gt;0.005,"Charge variance","OK")))</f>
        <v>No August moorage transaction</v>
      </c>
      <c r="S789" s="22" t="str">
        <f aca="false">IF(R789="OK","","Billing completeness/reconciliation")</f>
        <v>Billing completeness/reconciliation</v>
      </c>
    </row>
    <row r="790" customFormat="false" ht="15" hidden="false" customHeight="false" outlineLevel="0" collapsed="false">
      <c r="A790" s="22" t="s">
        <v>8184</v>
      </c>
      <c r="B790" s="22" t="s">
        <v>499</v>
      </c>
      <c r="C790" s="22" t="s">
        <v>7694</v>
      </c>
      <c r="D790" s="22" t="n">
        <v>80</v>
      </c>
      <c r="E790" s="22" t="s">
        <v>7696</v>
      </c>
      <c r="F790" s="22" t="s">
        <v>6577</v>
      </c>
      <c r="G790" s="22" t="s">
        <v>3109</v>
      </c>
      <c r="H790" s="22" t="s">
        <v>3110</v>
      </c>
      <c r="I790" s="22" t="s">
        <v>2394</v>
      </c>
      <c r="J790" s="22" t="n">
        <v>54.3</v>
      </c>
      <c r="K790" s="22" t="n">
        <f aca="false">ROUNDUP(J790,0)</f>
        <v>55</v>
      </c>
      <c r="L790" s="22" t="n">
        <f aca="false">MAX(D790,K790)</f>
        <v>80</v>
      </c>
      <c r="M790" s="25" t="n">
        <f aca="false">IF(E790="COVERED",'Controls &amp; Sources'!$B$5,'Controls &amp; Sources'!$B$6)</f>
        <v>7.55</v>
      </c>
      <c r="N790" s="25" t="n">
        <f aca="false">L790*M790</f>
        <v>604</v>
      </c>
      <c r="O790" s="22" t="n">
        <f aca="false">COUNTIFS('Billing Actual'!$E$2:$E$770,A790,'Billing Actual'!$B$2:$B$770,'Controls &amp; Sources'!$B$7)</f>
        <v>0</v>
      </c>
      <c r="P790" s="25" t="n">
        <f aca="false">SUMIFS('Billing Actual'!$M$2:$M$770,'Billing Actual'!$E$2:$E$770,A790,'Billing Actual'!$B$2:$B$770,'Controls &amp; Sources'!$B$7)</f>
        <v>0</v>
      </c>
      <c r="Q790" s="25" t="n">
        <f aca="false">P790-N790</f>
        <v>-604</v>
      </c>
      <c r="R790" s="22" t="str">
        <f aca="false">IF(O790=0,"No August moorage transaction",IF(O790&gt;1,"Duplicate August transactions",IF(ABS(Q790)&gt;0.005,"Charge variance","OK")))</f>
        <v>No August moorage transaction</v>
      </c>
      <c r="S790" s="22" t="str">
        <f aca="false">IF(R790="OK","","Billing completeness/reconciliation")</f>
        <v>Billing completeness/reconciliation</v>
      </c>
    </row>
    <row r="791" customFormat="false" ht="15" hidden="false" customHeight="false" outlineLevel="0" collapsed="false">
      <c r="A791" s="22" t="s">
        <v>8186</v>
      </c>
      <c r="B791" s="22" t="s">
        <v>499</v>
      </c>
      <c r="C791" s="22" t="s">
        <v>7694</v>
      </c>
      <c r="D791" s="22" t="n">
        <v>40</v>
      </c>
      <c r="E791" s="22" t="s">
        <v>7696</v>
      </c>
      <c r="F791" s="22" t="s">
        <v>6577</v>
      </c>
      <c r="G791" s="22" t="s">
        <v>5278</v>
      </c>
      <c r="H791" s="22" t="s">
        <v>5279</v>
      </c>
      <c r="I791" s="22" t="s">
        <v>672</v>
      </c>
      <c r="J791" s="22" t="n">
        <v>33.7</v>
      </c>
      <c r="K791" s="22" t="n">
        <f aca="false">ROUNDUP(J791,0)</f>
        <v>34</v>
      </c>
      <c r="L791" s="22" t="n">
        <f aca="false">MAX(D791,K791)</f>
        <v>40</v>
      </c>
      <c r="M791" s="25" t="n">
        <f aca="false">IF(E791="COVERED",'Controls &amp; Sources'!$B$5,'Controls &amp; Sources'!$B$6)</f>
        <v>7.55</v>
      </c>
      <c r="N791" s="25" t="n">
        <f aca="false">L791*M791</f>
        <v>302</v>
      </c>
      <c r="O791" s="22" t="n">
        <f aca="false">COUNTIFS('Billing Actual'!$E$2:$E$770,A791,'Billing Actual'!$B$2:$B$770,'Controls &amp; Sources'!$B$7)</f>
        <v>0</v>
      </c>
      <c r="P791" s="25" t="n">
        <f aca="false">SUMIFS('Billing Actual'!$M$2:$M$770,'Billing Actual'!$E$2:$E$770,A791,'Billing Actual'!$B$2:$B$770,'Controls &amp; Sources'!$B$7)</f>
        <v>0</v>
      </c>
      <c r="Q791" s="25" t="n">
        <f aca="false">P791-N791</f>
        <v>-302</v>
      </c>
      <c r="R791" s="22" t="str">
        <f aca="false">IF(O791=0,"No August moorage transaction",IF(O791&gt;1,"Duplicate August transactions",IF(ABS(Q791)&gt;0.005,"Charge variance","OK")))</f>
        <v>No August moorage transaction</v>
      </c>
      <c r="S791" s="22" t="str">
        <f aca="false">IF(R791="OK","","Billing completeness/reconciliation")</f>
        <v>Billing completeness/reconciliation</v>
      </c>
    </row>
    <row r="792" customFormat="false" ht="15" hidden="false" customHeight="false" outlineLevel="0" collapsed="false">
      <c r="A792" s="22" t="s">
        <v>8187</v>
      </c>
      <c r="B792" s="22" t="s">
        <v>499</v>
      </c>
      <c r="C792" s="22" t="s">
        <v>7694</v>
      </c>
      <c r="D792" s="22" t="n">
        <v>70</v>
      </c>
      <c r="E792" s="22" t="s">
        <v>7696</v>
      </c>
      <c r="F792" s="22" t="s">
        <v>6577</v>
      </c>
      <c r="G792" s="22" t="s">
        <v>909</v>
      </c>
      <c r="H792" s="22" t="s">
        <v>910</v>
      </c>
      <c r="I792" s="22" t="s">
        <v>911</v>
      </c>
      <c r="J792" s="22" t="n">
        <v>61.4</v>
      </c>
      <c r="K792" s="22" t="n">
        <f aca="false">ROUNDUP(J792,0)</f>
        <v>62</v>
      </c>
      <c r="L792" s="22" t="n">
        <f aca="false">MAX(D792,K792)</f>
        <v>70</v>
      </c>
      <c r="M792" s="25" t="n">
        <f aca="false">IF(E792="COVERED",'Controls &amp; Sources'!$B$5,'Controls &amp; Sources'!$B$6)</f>
        <v>7.55</v>
      </c>
      <c r="N792" s="25" t="n">
        <f aca="false">L792*M792</f>
        <v>528.5</v>
      </c>
      <c r="O792" s="22" t="n">
        <f aca="false">COUNTIFS('Billing Actual'!$E$2:$E$770,A792,'Billing Actual'!$B$2:$B$770,'Controls &amp; Sources'!$B$7)</f>
        <v>0</v>
      </c>
      <c r="P792" s="25" t="n">
        <f aca="false">SUMIFS('Billing Actual'!$M$2:$M$770,'Billing Actual'!$E$2:$E$770,A792,'Billing Actual'!$B$2:$B$770,'Controls &amp; Sources'!$B$7)</f>
        <v>0</v>
      </c>
      <c r="Q792" s="25" t="n">
        <f aca="false">P792-N792</f>
        <v>-528.5</v>
      </c>
      <c r="R792" s="22" t="str">
        <f aca="false">IF(O792=0,"No August moorage transaction",IF(O792&gt;1,"Duplicate August transactions",IF(ABS(Q792)&gt;0.005,"Charge variance","OK")))</f>
        <v>No August moorage transaction</v>
      </c>
      <c r="S792" s="22" t="str">
        <f aca="false">IF(R792="OK","","Billing completeness/reconciliation")</f>
        <v>Billing completeness/reconciliation</v>
      </c>
    </row>
    <row r="793" customFormat="false" ht="15" hidden="false" customHeight="false" outlineLevel="0" collapsed="false">
      <c r="A793" s="22" t="s">
        <v>8188</v>
      </c>
      <c r="B793" s="22" t="s">
        <v>499</v>
      </c>
      <c r="C793" s="22" t="s">
        <v>7694</v>
      </c>
      <c r="D793" s="22" t="n">
        <v>80</v>
      </c>
      <c r="E793" s="22" t="s">
        <v>7696</v>
      </c>
      <c r="F793" s="22" t="s">
        <v>6577</v>
      </c>
      <c r="G793" s="22" t="s">
        <v>1610</v>
      </c>
      <c r="H793" s="22" t="s">
        <v>1341</v>
      </c>
      <c r="I793" s="22" t="s">
        <v>1611</v>
      </c>
      <c r="J793" s="22" t="n">
        <v>19.9</v>
      </c>
      <c r="K793" s="22" t="n">
        <f aca="false">ROUNDUP(J793,0)</f>
        <v>20</v>
      </c>
      <c r="L793" s="22" t="n">
        <f aca="false">MAX(D793,K793)</f>
        <v>80</v>
      </c>
      <c r="M793" s="25" t="n">
        <f aca="false">IF(E793="COVERED",'Controls &amp; Sources'!$B$5,'Controls &amp; Sources'!$B$6)</f>
        <v>7.55</v>
      </c>
      <c r="N793" s="25" t="n">
        <f aca="false">L793*M793</f>
        <v>604</v>
      </c>
      <c r="O793" s="22" t="n">
        <f aca="false">COUNTIFS('Billing Actual'!$E$2:$E$770,A793,'Billing Actual'!$B$2:$B$770,'Controls &amp; Sources'!$B$7)</f>
        <v>0</v>
      </c>
      <c r="P793" s="25" t="n">
        <f aca="false">SUMIFS('Billing Actual'!$M$2:$M$770,'Billing Actual'!$E$2:$E$770,A793,'Billing Actual'!$B$2:$B$770,'Controls &amp; Sources'!$B$7)</f>
        <v>0</v>
      </c>
      <c r="Q793" s="25" t="n">
        <f aca="false">P793-N793</f>
        <v>-604</v>
      </c>
      <c r="R793" s="22" t="str">
        <f aca="false">IF(O793=0,"No August moorage transaction",IF(O793&gt;1,"Duplicate August transactions",IF(ABS(Q793)&gt;0.005,"Charge variance","OK")))</f>
        <v>No August moorage transaction</v>
      </c>
      <c r="S793" s="22" t="str">
        <f aca="false">IF(R793="OK","","Billing completeness/reconciliation")</f>
        <v>Billing completeness/reconciliation</v>
      </c>
    </row>
    <row r="794" customFormat="false" ht="15" hidden="false" customHeight="false" outlineLevel="0" collapsed="false">
      <c r="A794" s="22" t="s">
        <v>8189</v>
      </c>
      <c r="B794" s="22" t="s">
        <v>499</v>
      </c>
      <c r="C794" s="22" t="s">
        <v>7694</v>
      </c>
      <c r="D794" s="22" t="n">
        <v>28</v>
      </c>
      <c r="E794" s="22" t="s">
        <v>7696</v>
      </c>
      <c r="F794" s="22" t="s">
        <v>6577</v>
      </c>
      <c r="G794" s="22" t="s">
        <v>5105</v>
      </c>
      <c r="H794" s="22" t="s">
        <v>5106</v>
      </c>
      <c r="I794" s="22" t="s">
        <v>1220</v>
      </c>
      <c r="J794" s="22" t="n">
        <v>46.7</v>
      </c>
      <c r="K794" s="22" t="n">
        <f aca="false">ROUNDUP(J794,0)</f>
        <v>47</v>
      </c>
      <c r="L794" s="22" t="n">
        <f aca="false">MAX(D794,K794)</f>
        <v>47</v>
      </c>
      <c r="M794" s="25" t="n">
        <f aca="false">IF(E794="COVERED",'Controls &amp; Sources'!$B$5,'Controls &amp; Sources'!$B$6)</f>
        <v>7.55</v>
      </c>
      <c r="N794" s="25" t="n">
        <f aca="false">L794*M794</f>
        <v>354.85</v>
      </c>
      <c r="O794" s="22" t="n">
        <f aca="false">COUNTIFS('Billing Actual'!$E$2:$E$770,A794,'Billing Actual'!$B$2:$B$770,'Controls &amp; Sources'!$B$7)</f>
        <v>0</v>
      </c>
      <c r="P794" s="25" t="n">
        <f aca="false">SUMIFS('Billing Actual'!$M$2:$M$770,'Billing Actual'!$E$2:$E$770,A794,'Billing Actual'!$B$2:$B$770,'Controls &amp; Sources'!$B$7)</f>
        <v>0</v>
      </c>
      <c r="Q794" s="25" t="n">
        <f aca="false">P794-N794</f>
        <v>-354.85</v>
      </c>
      <c r="R794" s="22" t="str">
        <f aca="false">IF(O794=0,"No August moorage transaction",IF(O794&gt;1,"Duplicate August transactions",IF(ABS(Q794)&gt;0.005,"Charge variance","OK")))</f>
        <v>No August moorage transaction</v>
      </c>
      <c r="S794" s="22" t="str">
        <f aca="false">IF(R794="OK","","Billing completeness/reconciliation")</f>
        <v>Billing completeness/reconciliation</v>
      </c>
    </row>
    <row r="795" customFormat="false" ht="15" hidden="false" customHeight="false" outlineLevel="0" collapsed="false">
      <c r="A795" s="22" t="s">
        <v>8191</v>
      </c>
      <c r="B795" s="22" t="s">
        <v>499</v>
      </c>
      <c r="C795" s="22" t="s">
        <v>7694</v>
      </c>
      <c r="D795" s="22" t="n">
        <v>28</v>
      </c>
      <c r="E795" s="22" t="s">
        <v>7696</v>
      </c>
      <c r="F795" s="22" t="s">
        <v>6577</v>
      </c>
      <c r="G795" s="22" t="s">
        <v>2916</v>
      </c>
      <c r="H795" s="22" t="s">
        <v>2917</v>
      </c>
      <c r="I795" s="22" t="s">
        <v>2918</v>
      </c>
      <c r="J795" s="22" t="n">
        <v>41.9</v>
      </c>
      <c r="K795" s="22" t="n">
        <f aca="false">ROUNDUP(J795,0)</f>
        <v>42</v>
      </c>
      <c r="L795" s="22" t="n">
        <f aca="false">MAX(D795,K795)</f>
        <v>42</v>
      </c>
      <c r="M795" s="25" t="n">
        <f aca="false">IF(E795="COVERED",'Controls &amp; Sources'!$B$5,'Controls &amp; Sources'!$B$6)</f>
        <v>7.55</v>
      </c>
      <c r="N795" s="25" t="n">
        <f aca="false">L795*M795</f>
        <v>317.1</v>
      </c>
      <c r="O795" s="22" t="n">
        <f aca="false">COUNTIFS('Billing Actual'!$E$2:$E$770,A795,'Billing Actual'!$B$2:$B$770,'Controls &amp; Sources'!$B$7)</f>
        <v>0</v>
      </c>
      <c r="P795" s="25" t="n">
        <f aca="false">SUMIFS('Billing Actual'!$M$2:$M$770,'Billing Actual'!$E$2:$E$770,A795,'Billing Actual'!$B$2:$B$770,'Controls &amp; Sources'!$B$7)</f>
        <v>0</v>
      </c>
      <c r="Q795" s="25" t="n">
        <f aca="false">P795-N795</f>
        <v>-317.1</v>
      </c>
      <c r="R795" s="22" t="str">
        <f aca="false">IF(O795=0,"No August moorage transaction",IF(O795&gt;1,"Duplicate August transactions",IF(ABS(Q795)&gt;0.005,"Charge variance","OK")))</f>
        <v>No August moorage transaction</v>
      </c>
      <c r="S795" s="22" t="str">
        <f aca="false">IF(R795="OK","","Billing completeness/reconciliation")</f>
        <v>Billing completeness/reconciliation</v>
      </c>
    </row>
    <row r="796" customFormat="false" ht="15" hidden="false" customHeight="false" outlineLevel="0" collapsed="false">
      <c r="A796" s="22" t="s">
        <v>8193</v>
      </c>
      <c r="B796" s="22" t="s">
        <v>499</v>
      </c>
      <c r="C796" s="22" t="s">
        <v>7694</v>
      </c>
      <c r="D796" s="22" t="n">
        <v>32</v>
      </c>
      <c r="E796" s="22" t="s">
        <v>7696</v>
      </c>
      <c r="F796" s="22" t="s">
        <v>6577</v>
      </c>
      <c r="G796" s="22" t="s">
        <v>446</v>
      </c>
      <c r="H796" s="22" t="s">
        <v>447</v>
      </c>
      <c r="I796" s="22" t="s">
        <v>448</v>
      </c>
      <c r="J796" s="22" t="n">
        <v>19.1</v>
      </c>
      <c r="K796" s="22" t="n">
        <f aca="false">ROUNDUP(J796,0)</f>
        <v>20</v>
      </c>
      <c r="L796" s="22" t="n">
        <f aca="false">MAX(D796,K796)</f>
        <v>32</v>
      </c>
      <c r="M796" s="25" t="n">
        <f aca="false">IF(E796="COVERED",'Controls &amp; Sources'!$B$5,'Controls &amp; Sources'!$B$6)</f>
        <v>7.55</v>
      </c>
      <c r="N796" s="25" t="n">
        <f aca="false">L796*M796</f>
        <v>241.6</v>
      </c>
      <c r="O796" s="22" t="n">
        <f aca="false">COUNTIFS('Billing Actual'!$E$2:$E$770,A796,'Billing Actual'!$B$2:$B$770,'Controls &amp; Sources'!$B$7)</f>
        <v>0</v>
      </c>
      <c r="P796" s="25" t="n">
        <f aca="false">SUMIFS('Billing Actual'!$M$2:$M$770,'Billing Actual'!$E$2:$E$770,A796,'Billing Actual'!$B$2:$B$770,'Controls &amp; Sources'!$B$7)</f>
        <v>0</v>
      </c>
      <c r="Q796" s="25" t="n">
        <f aca="false">P796-N796</f>
        <v>-241.6</v>
      </c>
      <c r="R796" s="22" t="str">
        <f aca="false">IF(O796=0,"No August moorage transaction",IF(O796&gt;1,"Duplicate August transactions",IF(ABS(Q796)&gt;0.005,"Charge variance","OK")))</f>
        <v>No August moorage transaction</v>
      </c>
      <c r="S796" s="22" t="str">
        <f aca="false">IF(R796="OK","","Billing completeness/reconciliation")</f>
        <v>Billing completeness/reconciliation</v>
      </c>
    </row>
    <row r="797" customFormat="false" ht="15" hidden="false" customHeight="false" outlineLevel="0" collapsed="false">
      <c r="A797" s="22" t="s">
        <v>8196</v>
      </c>
      <c r="B797" s="22" t="s">
        <v>499</v>
      </c>
      <c r="C797" s="22" t="s">
        <v>7694</v>
      </c>
      <c r="D797" s="22" t="n">
        <v>70</v>
      </c>
      <c r="E797" s="22" t="s">
        <v>7696</v>
      </c>
      <c r="F797" s="22" t="s">
        <v>6577</v>
      </c>
      <c r="G797" s="22" t="s">
        <v>2837</v>
      </c>
      <c r="H797" s="22" t="s">
        <v>2838</v>
      </c>
      <c r="I797" s="22" t="s">
        <v>2116</v>
      </c>
      <c r="J797" s="22" t="n">
        <v>30.9</v>
      </c>
      <c r="K797" s="22" t="n">
        <f aca="false">ROUNDUP(J797,0)</f>
        <v>31</v>
      </c>
      <c r="L797" s="22" t="n">
        <f aca="false">MAX(D797,K797)</f>
        <v>70</v>
      </c>
      <c r="M797" s="25" t="n">
        <f aca="false">IF(E797="COVERED",'Controls &amp; Sources'!$B$5,'Controls &amp; Sources'!$B$6)</f>
        <v>7.55</v>
      </c>
      <c r="N797" s="25" t="n">
        <f aca="false">L797*M797</f>
        <v>528.5</v>
      </c>
      <c r="O797" s="22" t="n">
        <f aca="false">COUNTIFS('Billing Actual'!$E$2:$E$770,A797,'Billing Actual'!$B$2:$B$770,'Controls &amp; Sources'!$B$7)</f>
        <v>0</v>
      </c>
      <c r="P797" s="25" t="n">
        <f aca="false">SUMIFS('Billing Actual'!$M$2:$M$770,'Billing Actual'!$E$2:$E$770,A797,'Billing Actual'!$B$2:$B$770,'Controls &amp; Sources'!$B$7)</f>
        <v>0</v>
      </c>
      <c r="Q797" s="25" t="n">
        <f aca="false">P797-N797</f>
        <v>-528.5</v>
      </c>
      <c r="R797" s="22" t="str">
        <f aca="false">IF(O797=0,"No August moorage transaction",IF(O797&gt;1,"Duplicate August transactions",IF(ABS(Q797)&gt;0.005,"Charge variance","OK")))</f>
        <v>No August moorage transaction</v>
      </c>
      <c r="S797" s="22" t="str">
        <f aca="false">IF(R797="OK","","Billing completeness/reconciliation")</f>
        <v>Billing completeness/reconciliation</v>
      </c>
    </row>
    <row r="798" customFormat="false" ht="15" hidden="false" customHeight="false" outlineLevel="0" collapsed="false">
      <c r="A798" s="22" t="s">
        <v>8197</v>
      </c>
      <c r="B798" s="22" t="s">
        <v>499</v>
      </c>
      <c r="C798" s="22" t="s">
        <v>7694</v>
      </c>
      <c r="D798" s="22" t="n">
        <v>70</v>
      </c>
      <c r="E798" s="22" t="s">
        <v>7696</v>
      </c>
      <c r="F798" s="22" t="s">
        <v>6577</v>
      </c>
      <c r="G798" s="22" t="s">
        <v>4260</v>
      </c>
      <c r="H798" s="22" t="s">
        <v>4261</v>
      </c>
      <c r="I798" s="22" t="s">
        <v>463</v>
      </c>
      <c r="J798" s="22" t="n">
        <v>41.2</v>
      </c>
      <c r="K798" s="22" t="n">
        <f aca="false">ROUNDUP(J798,0)</f>
        <v>42</v>
      </c>
      <c r="L798" s="22" t="n">
        <f aca="false">MAX(D798,K798)</f>
        <v>70</v>
      </c>
      <c r="M798" s="25" t="n">
        <f aca="false">IF(E798="COVERED",'Controls &amp; Sources'!$B$5,'Controls &amp; Sources'!$B$6)</f>
        <v>7.55</v>
      </c>
      <c r="N798" s="25" t="n">
        <f aca="false">L798*M798</f>
        <v>528.5</v>
      </c>
      <c r="O798" s="22" t="n">
        <f aca="false">COUNTIFS('Billing Actual'!$E$2:$E$770,A798,'Billing Actual'!$B$2:$B$770,'Controls &amp; Sources'!$B$7)</f>
        <v>0</v>
      </c>
      <c r="P798" s="25" t="n">
        <f aca="false">SUMIFS('Billing Actual'!$M$2:$M$770,'Billing Actual'!$E$2:$E$770,A798,'Billing Actual'!$B$2:$B$770,'Controls &amp; Sources'!$B$7)</f>
        <v>0</v>
      </c>
      <c r="Q798" s="25" t="n">
        <f aca="false">P798-N798</f>
        <v>-528.5</v>
      </c>
      <c r="R798" s="22" t="str">
        <f aca="false">IF(O798=0,"No August moorage transaction",IF(O798&gt;1,"Duplicate August transactions",IF(ABS(Q798)&gt;0.005,"Charge variance","OK")))</f>
        <v>No August moorage transaction</v>
      </c>
      <c r="S798" s="22" t="str">
        <f aca="false">IF(R798="OK","","Billing completeness/reconciliation")</f>
        <v>Billing completeness/reconciliation</v>
      </c>
    </row>
    <row r="799" customFormat="false" ht="15" hidden="false" customHeight="false" outlineLevel="0" collapsed="false">
      <c r="A799" s="22" t="s">
        <v>8199</v>
      </c>
      <c r="B799" s="22" t="s">
        <v>499</v>
      </c>
      <c r="C799" s="22" t="s">
        <v>7694</v>
      </c>
      <c r="D799" s="22" t="n">
        <v>24</v>
      </c>
      <c r="E799" s="22" t="s">
        <v>7696</v>
      </c>
      <c r="F799" s="22" t="s">
        <v>6577</v>
      </c>
      <c r="G799" s="22" t="s">
        <v>5469</v>
      </c>
      <c r="H799" s="22" t="s">
        <v>5470</v>
      </c>
      <c r="I799" s="22" t="s">
        <v>835</v>
      </c>
      <c r="J799" s="22" t="n">
        <v>60.9</v>
      </c>
      <c r="K799" s="22" t="n">
        <f aca="false">ROUNDUP(J799,0)</f>
        <v>61</v>
      </c>
      <c r="L799" s="22" t="n">
        <f aca="false">MAX(D799,K799)</f>
        <v>61</v>
      </c>
      <c r="M799" s="25" t="n">
        <f aca="false">IF(E799="COVERED",'Controls &amp; Sources'!$B$5,'Controls &amp; Sources'!$B$6)</f>
        <v>7.55</v>
      </c>
      <c r="N799" s="25" t="n">
        <f aca="false">L799*M799</f>
        <v>460.55</v>
      </c>
      <c r="O799" s="22" t="n">
        <f aca="false">COUNTIFS('Billing Actual'!$E$2:$E$770,A799,'Billing Actual'!$B$2:$B$770,'Controls &amp; Sources'!$B$7)</f>
        <v>0</v>
      </c>
      <c r="P799" s="25" t="n">
        <f aca="false">SUMIFS('Billing Actual'!$M$2:$M$770,'Billing Actual'!$E$2:$E$770,A799,'Billing Actual'!$B$2:$B$770,'Controls &amp; Sources'!$B$7)</f>
        <v>0</v>
      </c>
      <c r="Q799" s="25" t="n">
        <f aca="false">P799-N799</f>
        <v>-460.55</v>
      </c>
      <c r="R799" s="22" t="str">
        <f aca="false">IF(O799=0,"No August moorage transaction",IF(O799&gt;1,"Duplicate August transactions",IF(ABS(Q799)&gt;0.005,"Charge variance","OK")))</f>
        <v>No August moorage transaction</v>
      </c>
      <c r="S799" s="22" t="str">
        <f aca="false">IF(R799="OK","","Billing completeness/reconciliation")</f>
        <v>Billing completeness/reconciliation</v>
      </c>
    </row>
    <row r="800" customFormat="false" ht="15" hidden="false" customHeight="false" outlineLevel="0" collapsed="false">
      <c r="A800" s="22" t="s">
        <v>8201</v>
      </c>
      <c r="B800" s="22" t="s">
        <v>499</v>
      </c>
      <c r="C800" s="22" t="s">
        <v>7694</v>
      </c>
      <c r="D800" s="22" t="n">
        <v>60</v>
      </c>
      <c r="E800" s="22" t="s">
        <v>7696</v>
      </c>
      <c r="F800" s="22" t="s">
        <v>6577</v>
      </c>
      <c r="G800" s="22" t="s">
        <v>894</v>
      </c>
      <c r="H800" s="22" t="s">
        <v>895</v>
      </c>
      <c r="I800" s="22" t="s">
        <v>896</v>
      </c>
      <c r="J800" s="22" t="n">
        <v>31.3</v>
      </c>
      <c r="K800" s="22" t="n">
        <f aca="false">ROUNDUP(J800,0)</f>
        <v>32</v>
      </c>
      <c r="L800" s="22" t="n">
        <f aca="false">MAX(D800,K800)</f>
        <v>60</v>
      </c>
      <c r="M800" s="25" t="n">
        <f aca="false">IF(E800="COVERED",'Controls &amp; Sources'!$B$5,'Controls &amp; Sources'!$B$6)</f>
        <v>7.55</v>
      </c>
      <c r="N800" s="25" t="n">
        <f aca="false">L800*M800</f>
        <v>453</v>
      </c>
      <c r="O800" s="22" t="n">
        <f aca="false">COUNTIFS('Billing Actual'!$E$2:$E$770,A800,'Billing Actual'!$B$2:$B$770,'Controls &amp; Sources'!$B$7)</f>
        <v>0</v>
      </c>
      <c r="P800" s="25" t="n">
        <f aca="false">SUMIFS('Billing Actual'!$M$2:$M$770,'Billing Actual'!$E$2:$E$770,A800,'Billing Actual'!$B$2:$B$770,'Controls &amp; Sources'!$B$7)</f>
        <v>0</v>
      </c>
      <c r="Q800" s="25" t="n">
        <f aca="false">P800-N800</f>
        <v>-453</v>
      </c>
      <c r="R800" s="22" t="str">
        <f aca="false">IF(O800=0,"No August moorage transaction",IF(O800&gt;1,"Duplicate August transactions",IF(ABS(Q800)&gt;0.005,"Charge variance","OK")))</f>
        <v>No August moorage transaction</v>
      </c>
      <c r="S800" s="22" t="str">
        <f aca="false">IF(R800="OK","","Billing completeness/reconciliation")</f>
        <v>Billing completeness/reconciliation</v>
      </c>
    </row>
    <row r="801" customFormat="false" ht="15" hidden="false" customHeight="false" outlineLevel="0" collapsed="false">
      <c r="A801" s="22" t="s">
        <v>8202</v>
      </c>
      <c r="B801" s="22" t="s">
        <v>499</v>
      </c>
      <c r="C801" s="22" t="s">
        <v>7694</v>
      </c>
      <c r="D801" s="22" t="n">
        <v>60</v>
      </c>
      <c r="E801" s="22" t="s">
        <v>7696</v>
      </c>
      <c r="F801" s="22" t="s">
        <v>6577</v>
      </c>
      <c r="G801" s="22" t="s">
        <v>2375</v>
      </c>
      <c r="H801" s="22" t="s">
        <v>2376</v>
      </c>
      <c r="I801" s="22" t="s">
        <v>2001</v>
      </c>
      <c r="J801" s="22" t="n">
        <v>29.8</v>
      </c>
      <c r="K801" s="22" t="n">
        <f aca="false">ROUNDUP(J801,0)</f>
        <v>30</v>
      </c>
      <c r="L801" s="22" t="n">
        <f aca="false">MAX(D801,K801)</f>
        <v>60</v>
      </c>
      <c r="M801" s="25" t="n">
        <f aca="false">IF(E801="COVERED",'Controls &amp; Sources'!$B$5,'Controls &amp; Sources'!$B$6)</f>
        <v>7.55</v>
      </c>
      <c r="N801" s="25" t="n">
        <f aca="false">L801*M801</f>
        <v>453</v>
      </c>
      <c r="O801" s="22" t="n">
        <f aca="false">COUNTIFS('Billing Actual'!$E$2:$E$770,A801,'Billing Actual'!$B$2:$B$770,'Controls &amp; Sources'!$B$7)</f>
        <v>0</v>
      </c>
      <c r="P801" s="25" t="n">
        <f aca="false">SUMIFS('Billing Actual'!$M$2:$M$770,'Billing Actual'!$E$2:$E$770,A801,'Billing Actual'!$B$2:$B$770,'Controls &amp; Sources'!$B$7)</f>
        <v>0</v>
      </c>
      <c r="Q801" s="25" t="n">
        <f aca="false">P801-N801</f>
        <v>-453</v>
      </c>
      <c r="R801" s="22" t="str">
        <f aca="false">IF(O801=0,"No August moorage transaction",IF(O801&gt;1,"Duplicate August transactions",IF(ABS(Q801)&gt;0.005,"Charge variance","OK")))</f>
        <v>No August moorage transaction</v>
      </c>
      <c r="S801" s="22" t="str">
        <f aca="false">IF(R801="OK","","Billing completeness/reconciliation")</f>
        <v>Billing completeness/reconciliation</v>
      </c>
    </row>
    <row r="802" customFormat="false" ht="15" hidden="false" customHeight="false" outlineLevel="0" collapsed="false">
      <c r="A802" s="22" t="s">
        <v>8203</v>
      </c>
      <c r="B802" s="22" t="s">
        <v>499</v>
      </c>
      <c r="C802" s="22" t="s">
        <v>7694</v>
      </c>
      <c r="D802" s="22" t="n">
        <v>70</v>
      </c>
      <c r="E802" s="22" t="s">
        <v>7696</v>
      </c>
      <c r="F802" s="22" t="s">
        <v>6577</v>
      </c>
      <c r="G802" s="22" t="s">
        <v>3288</v>
      </c>
      <c r="H802" s="22" t="s">
        <v>3289</v>
      </c>
      <c r="I802" s="22" t="s">
        <v>1833</v>
      </c>
      <c r="J802" s="22" t="n">
        <v>53.7</v>
      </c>
      <c r="K802" s="22" t="n">
        <f aca="false">ROUNDUP(J802,0)</f>
        <v>54</v>
      </c>
      <c r="L802" s="22" t="n">
        <f aca="false">MAX(D802,K802)</f>
        <v>70</v>
      </c>
      <c r="M802" s="25" t="n">
        <f aca="false">IF(E802="COVERED",'Controls &amp; Sources'!$B$5,'Controls &amp; Sources'!$B$6)</f>
        <v>7.55</v>
      </c>
      <c r="N802" s="25" t="n">
        <f aca="false">L802*M802</f>
        <v>528.5</v>
      </c>
      <c r="O802" s="22" t="n">
        <f aca="false">COUNTIFS('Billing Actual'!$E$2:$E$770,A802,'Billing Actual'!$B$2:$B$770,'Controls &amp; Sources'!$B$7)</f>
        <v>0</v>
      </c>
      <c r="P802" s="25" t="n">
        <f aca="false">SUMIFS('Billing Actual'!$M$2:$M$770,'Billing Actual'!$E$2:$E$770,A802,'Billing Actual'!$B$2:$B$770,'Controls &amp; Sources'!$B$7)</f>
        <v>0</v>
      </c>
      <c r="Q802" s="25" t="n">
        <f aca="false">P802-N802</f>
        <v>-528.5</v>
      </c>
      <c r="R802" s="22" t="str">
        <f aca="false">IF(O802=0,"No August moorage transaction",IF(O802&gt;1,"Duplicate August transactions",IF(ABS(Q802)&gt;0.005,"Charge variance","OK")))</f>
        <v>No August moorage transaction</v>
      </c>
      <c r="S802" s="22" t="str">
        <f aca="false">IF(R802="OK","","Billing completeness/reconciliation")</f>
        <v>Billing completeness/reconciliation</v>
      </c>
    </row>
    <row r="803" customFormat="false" ht="15" hidden="false" customHeight="false" outlineLevel="0" collapsed="false">
      <c r="A803" s="22" t="s">
        <v>8204</v>
      </c>
      <c r="B803" s="22" t="s">
        <v>499</v>
      </c>
      <c r="C803" s="22" t="s">
        <v>7694</v>
      </c>
      <c r="D803" s="22" t="n">
        <v>24</v>
      </c>
      <c r="E803" s="22" t="s">
        <v>7696</v>
      </c>
      <c r="F803" s="22" t="s">
        <v>6577</v>
      </c>
      <c r="G803" s="22" t="s">
        <v>4556</v>
      </c>
      <c r="H803" s="22" t="s">
        <v>4557</v>
      </c>
      <c r="I803" s="22" t="s">
        <v>546</v>
      </c>
      <c r="J803" s="22" t="n">
        <v>28.3</v>
      </c>
      <c r="K803" s="22" t="n">
        <f aca="false">ROUNDUP(J803,0)</f>
        <v>29</v>
      </c>
      <c r="L803" s="22" t="n">
        <f aca="false">MAX(D803,K803)</f>
        <v>29</v>
      </c>
      <c r="M803" s="25" t="n">
        <f aca="false">IF(E803="COVERED",'Controls &amp; Sources'!$B$5,'Controls &amp; Sources'!$B$6)</f>
        <v>7.55</v>
      </c>
      <c r="N803" s="25" t="n">
        <f aca="false">L803*M803</f>
        <v>218.95</v>
      </c>
      <c r="O803" s="22" t="n">
        <f aca="false">COUNTIFS('Billing Actual'!$E$2:$E$770,A803,'Billing Actual'!$B$2:$B$770,'Controls &amp; Sources'!$B$7)</f>
        <v>0</v>
      </c>
      <c r="P803" s="25" t="n">
        <f aca="false">SUMIFS('Billing Actual'!$M$2:$M$770,'Billing Actual'!$E$2:$E$770,A803,'Billing Actual'!$B$2:$B$770,'Controls &amp; Sources'!$B$7)</f>
        <v>0</v>
      </c>
      <c r="Q803" s="25" t="n">
        <f aca="false">P803-N803</f>
        <v>-218.95</v>
      </c>
      <c r="R803" s="22" t="str">
        <f aca="false">IF(O803=0,"No August moorage transaction",IF(O803&gt;1,"Duplicate August transactions",IF(ABS(Q803)&gt;0.005,"Charge variance","OK")))</f>
        <v>No August moorage transaction</v>
      </c>
      <c r="S803" s="22" t="str">
        <f aca="false">IF(R803="OK","","Billing completeness/reconciliation")</f>
        <v>Billing completeness/reconciliation</v>
      </c>
    </row>
    <row r="804" customFormat="false" ht="15" hidden="false" customHeight="false" outlineLevel="0" collapsed="false">
      <c r="A804" s="22" t="s">
        <v>8205</v>
      </c>
      <c r="B804" s="22" t="s">
        <v>499</v>
      </c>
      <c r="C804" s="22" t="s">
        <v>7694</v>
      </c>
      <c r="D804" s="22" t="n">
        <v>32</v>
      </c>
      <c r="E804" s="22" t="s">
        <v>7696</v>
      </c>
      <c r="F804" s="22" t="s">
        <v>6577</v>
      </c>
      <c r="G804" s="22" t="s">
        <v>753</v>
      </c>
      <c r="H804" s="22" t="s">
        <v>754</v>
      </c>
      <c r="I804" s="22" t="s">
        <v>755</v>
      </c>
      <c r="J804" s="22" t="n">
        <v>41.9</v>
      </c>
      <c r="K804" s="22" t="n">
        <f aca="false">ROUNDUP(J804,0)</f>
        <v>42</v>
      </c>
      <c r="L804" s="22" t="n">
        <f aca="false">MAX(D804,K804)</f>
        <v>42</v>
      </c>
      <c r="M804" s="25" t="n">
        <f aca="false">IF(E804="COVERED",'Controls &amp; Sources'!$B$5,'Controls &amp; Sources'!$B$6)</f>
        <v>7.55</v>
      </c>
      <c r="N804" s="25" t="n">
        <f aca="false">L804*M804</f>
        <v>317.1</v>
      </c>
      <c r="O804" s="22" t="n">
        <f aca="false">COUNTIFS('Billing Actual'!$E$2:$E$770,A804,'Billing Actual'!$B$2:$B$770,'Controls &amp; Sources'!$B$7)</f>
        <v>0</v>
      </c>
      <c r="P804" s="25" t="n">
        <f aca="false">SUMIFS('Billing Actual'!$M$2:$M$770,'Billing Actual'!$E$2:$E$770,A804,'Billing Actual'!$B$2:$B$770,'Controls &amp; Sources'!$B$7)</f>
        <v>0</v>
      </c>
      <c r="Q804" s="25" t="n">
        <f aca="false">P804-N804</f>
        <v>-317.1</v>
      </c>
      <c r="R804" s="22" t="str">
        <f aca="false">IF(O804=0,"No August moorage transaction",IF(O804&gt;1,"Duplicate August transactions",IF(ABS(Q804)&gt;0.005,"Charge variance","OK")))</f>
        <v>No August moorage transaction</v>
      </c>
      <c r="S804" s="22" t="str">
        <f aca="false">IF(R804="OK","","Billing completeness/reconciliation")</f>
        <v>Billing completeness/reconciliation</v>
      </c>
    </row>
    <row r="805" customFormat="false" ht="15" hidden="false" customHeight="false" outlineLevel="0" collapsed="false">
      <c r="A805" s="22" t="s">
        <v>8207</v>
      </c>
      <c r="B805" s="22" t="s">
        <v>499</v>
      </c>
      <c r="C805" s="22" t="s">
        <v>7694</v>
      </c>
      <c r="D805" s="22" t="n">
        <v>32</v>
      </c>
      <c r="E805" s="22" t="s">
        <v>7696</v>
      </c>
      <c r="F805" s="22" t="s">
        <v>6577</v>
      </c>
      <c r="G805" s="22" t="s">
        <v>4671</v>
      </c>
      <c r="H805" s="22" t="s">
        <v>4672</v>
      </c>
      <c r="I805" s="22" t="s">
        <v>1548</v>
      </c>
      <c r="J805" s="22" t="n">
        <v>21</v>
      </c>
      <c r="K805" s="22" t="n">
        <f aca="false">ROUNDUP(J805,0)</f>
        <v>21</v>
      </c>
      <c r="L805" s="22" t="n">
        <f aca="false">MAX(D805,K805)</f>
        <v>32</v>
      </c>
      <c r="M805" s="25" t="n">
        <f aca="false">IF(E805="COVERED",'Controls &amp; Sources'!$B$5,'Controls &amp; Sources'!$B$6)</f>
        <v>7.55</v>
      </c>
      <c r="N805" s="25" t="n">
        <f aca="false">L805*M805</f>
        <v>241.6</v>
      </c>
      <c r="O805" s="22" t="n">
        <f aca="false">COUNTIFS('Billing Actual'!$E$2:$E$770,A805,'Billing Actual'!$B$2:$B$770,'Controls &amp; Sources'!$B$7)</f>
        <v>0</v>
      </c>
      <c r="P805" s="25" t="n">
        <f aca="false">SUMIFS('Billing Actual'!$M$2:$M$770,'Billing Actual'!$E$2:$E$770,A805,'Billing Actual'!$B$2:$B$770,'Controls &amp; Sources'!$B$7)</f>
        <v>0</v>
      </c>
      <c r="Q805" s="25" t="n">
        <f aca="false">P805-N805</f>
        <v>-241.6</v>
      </c>
      <c r="R805" s="22" t="str">
        <f aca="false">IF(O805=0,"No August moorage transaction",IF(O805&gt;1,"Duplicate August transactions",IF(ABS(Q805)&gt;0.005,"Charge variance","OK")))</f>
        <v>No August moorage transaction</v>
      </c>
      <c r="S805" s="22" t="str">
        <f aca="false">IF(R805="OK","","Billing completeness/reconciliation")</f>
        <v>Billing completeness/reconciliation</v>
      </c>
    </row>
    <row r="806" customFormat="false" ht="15" hidden="false" customHeight="false" outlineLevel="0" collapsed="false">
      <c r="A806" s="22" t="s">
        <v>8209</v>
      </c>
      <c r="B806" s="22" t="s">
        <v>499</v>
      </c>
      <c r="C806" s="22" t="s">
        <v>7694</v>
      </c>
      <c r="D806" s="22" t="n">
        <v>28</v>
      </c>
      <c r="E806" s="22" t="s">
        <v>7696</v>
      </c>
      <c r="F806" s="22" t="s">
        <v>6577</v>
      </c>
      <c r="G806" s="22" t="s">
        <v>3556</v>
      </c>
      <c r="H806" s="22" t="s">
        <v>3557</v>
      </c>
      <c r="I806" s="22" t="s">
        <v>333</v>
      </c>
      <c r="J806" s="22" t="n">
        <v>30.7</v>
      </c>
      <c r="K806" s="22" t="n">
        <f aca="false">ROUNDUP(J806,0)</f>
        <v>31</v>
      </c>
      <c r="L806" s="22" t="n">
        <f aca="false">MAX(D806,K806)</f>
        <v>31</v>
      </c>
      <c r="M806" s="25" t="n">
        <f aca="false">IF(E806="COVERED",'Controls &amp; Sources'!$B$5,'Controls &amp; Sources'!$B$6)</f>
        <v>7.55</v>
      </c>
      <c r="N806" s="25" t="n">
        <f aca="false">L806*M806</f>
        <v>234.05</v>
      </c>
      <c r="O806" s="22" t="n">
        <f aca="false">COUNTIFS('Billing Actual'!$E$2:$E$770,A806,'Billing Actual'!$B$2:$B$770,'Controls &amp; Sources'!$B$7)</f>
        <v>0</v>
      </c>
      <c r="P806" s="25" t="n">
        <f aca="false">SUMIFS('Billing Actual'!$M$2:$M$770,'Billing Actual'!$E$2:$E$770,A806,'Billing Actual'!$B$2:$B$770,'Controls &amp; Sources'!$B$7)</f>
        <v>0</v>
      </c>
      <c r="Q806" s="25" t="n">
        <f aca="false">P806-N806</f>
        <v>-234.05</v>
      </c>
      <c r="R806" s="22" t="str">
        <f aca="false">IF(O806=0,"No August moorage transaction",IF(O806&gt;1,"Duplicate August transactions",IF(ABS(Q806)&gt;0.005,"Charge variance","OK")))</f>
        <v>No August moorage transaction</v>
      </c>
      <c r="S806" s="22" t="str">
        <f aca="false">IF(R806="OK","","Billing completeness/reconciliation")</f>
        <v>Billing completeness/reconciliation</v>
      </c>
    </row>
    <row r="807" customFormat="false" ht="15" hidden="false" customHeight="false" outlineLevel="0" collapsed="false">
      <c r="A807" s="22" t="s">
        <v>8210</v>
      </c>
      <c r="B807" s="22" t="s">
        <v>499</v>
      </c>
      <c r="C807" s="22" t="s">
        <v>7694</v>
      </c>
      <c r="D807" s="22" t="n">
        <v>32</v>
      </c>
      <c r="E807" s="22" t="s">
        <v>7696</v>
      </c>
      <c r="F807" s="22" t="s">
        <v>6577</v>
      </c>
      <c r="G807" s="22" t="s">
        <v>2629</v>
      </c>
      <c r="H807" s="22" t="s">
        <v>2630</v>
      </c>
      <c r="I807" s="22" t="s">
        <v>890</v>
      </c>
      <c r="J807" s="22" t="n">
        <v>55.7</v>
      </c>
      <c r="K807" s="22" t="n">
        <f aca="false">ROUNDUP(J807,0)</f>
        <v>56</v>
      </c>
      <c r="L807" s="22" t="n">
        <f aca="false">MAX(D807,K807)</f>
        <v>56</v>
      </c>
      <c r="M807" s="25" t="n">
        <f aca="false">IF(E807="COVERED",'Controls &amp; Sources'!$B$5,'Controls &amp; Sources'!$B$6)</f>
        <v>7.55</v>
      </c>
      <c r="N807" s="25" t="n">
        <f aca="false">L807*M807</f>
        <v>422.8</v>
      </c>
      <c r="O807" s="22" t="n">
        <f aca="false">COUNTIFS('Billing Actual'!$E$2:$E$770,A807,'Billing Actual'!$B$2:$B$770,'Controls &amp; Sources'!$B$7)</f>
        <v>0</v>
      </c>
      <c r="P807" s="25" t="n">
        <f aca="false">SUMIFS('Billing Actual'!$M$2:$M$770,'Billing Actual'!$E$2:$E$770,A807,'Billing Actual'!$B$2:$B$770,'Controls &amp; Sources'!$B$7)</f>
        <v>0</v>
      </c>
      <c r="Q807" s="25" t="n">
        <f aca="false">P807-N807</f>
        <v>-422.8</v>
      </c>
      <c r="R807" s="22" t="str">
        <f aca="false">IF(O807=0,"No August moorage transaction",IF(O807&gt;1,"Duplicate August transactions",IF(ABS(Q807)&gt;0.005,"Charge variance","OK")))</f>
        <v>No August moorage transaction</v>
      </c>
      <c r="S807" s="22" t="str">
        <f aca="false">IF(R807="OK","","Billing completeness/reconciliation")</f>
        <v>Billing completeness/reconciliation</v>
      </c>
    </row>
    <row r="808" customFormat="false" ht="15" hidden="false" customHeight="false" outlineLevel="0" collapsed="false">
      <c r="A808" s="22" t="s">
        <v>8211</v>
      </c>
      <c r="B808" s="22" t="s">
        <v>499</v>
      </c>
      <c r="C808" s="22" t="s">
        <v>7694</v>
      </c>
      <c r="D808" s="22" t="n">
        <v>24</v>
      </c>
      <c r="E808" s="22" t="s">
        <v>7696</v>
      </c>
      <c r="F808" s="22" t="s">
        <v>6577</v>
      </c>
      <c r="G808" s="22" t="s">
        <v>1978</v>
      </c>
      <c r="H808" s="22" t="s">
        <v>1979</v>
      </c>
      <c r="I808" s="22" t="s">
        <v>799</v>
      </c>
      <c r="J808" s="22" t="n">
        <v>58.3</v>
      </c>
      <c r="K808" s="22" t="n">
        <f aca="false">ROUNDUP(J808,0)</f>
        <v>59</v>
      </c>
      <c r="L808" s="22" t="n">
        <f aca="false">MAX(D808,K808)</f>
        <v>59</v>
      </c>
      <c r="M808" s="25" t="n">
        <f aca="false">IF(E808="COVERED",'Controls &amp; Sources'!$B$5,'Controls &amp; Sources'!$B$6)</f>
        <v>7.55</v>
      </c>
      <c r="N808" s="25" t="n">
        <f aca="false">L808*M808</f>
        <v>445.45</v>
      </c>
      <c r="O808" s="22" t="n">
        <f aca="false">COUNTIFS('Billing Actual'!$E$2:$E$770,A808,'Billing Actual'!$B$2:$B$770,'Controls &amp; Sources'!$B$7)</f>
        <v>0</v>
      </c>
      <c r="P808" s="25" t="n">
        <f aca="false">SUMIFS('Billing Actual'!$M$2:$M$770,'Billing Actual'!$E$2:$E$770,A808,'Billing Actual'!$B$2:$B$770,'Controls &amp; Sources'!$B$7)</f>
        <v>0</v>
      </c>
      <c r="Q808" s="25" t="n">
        <f aca="false">P808-N808</f>
        <v>-445.45</v>
      </c>
      <c r="R808" s="22" t="str">
        <f aca="false">IF(O808=0,"No August moorage transaction",IF(O808&gt;1,"Duplicate August transactions",IF(ABS(Q808)&gt;0.005,"Charge variance","OK")))</f>
        <v>No August moorage transaction</v>
      </c>
      <c r="S808" s="22" t="str">
        <f aca="false">IF(R808="OK","","Billing completeness/reconciliation")</f>
        <v>Billing completeness/reconciliation</v>
      </c>
    </row>
    <row r="809" customFormat="false" ht="15" hidden="false" customHeight="false" outlineLevel="0" collapsed="false">
      <c r="A809" s="22" t="s">
        <v>8214</v>
      </c>
      <c r="B809" s="22" t="s">
        <v>499</v>
      </c>
      <c r="C809" s="22" t="s">
        <v>7694</v>
      </c>
      <c r="D809" s="22" t="n">
        <v>32</v>
      </c>
      <c r="E809" s="22" t="s">
        <v>7696</v>
      </c>
      <c r="F809" s="22" t="s">
        <v>6577</v>
      </c>
      <c r="G809" s="22" t="s">
        <v>3503</v>
      </c>
      <c r="H809" s="22" t="s">
        <v>3504</v>
      </c>
      <c r="I809" s="22" t="s">
        <v>2389</v>
      </c>
      <c r="J809" s="22" t="n">
        <v>50.2</v>
      </c>
      <c r="K809" s="22" t="n">
        <f aca="false">ROUNDUP(J809,0)</f>
        <v>51</v>
      </c>
      <c r="L809" s="22" t="n">
        <f aca="false">MAX(D809,K809)</f>
        <v>51</v>
      </c>
      <c r="M809" s="25" t="n">
        <f aca="false">IF(E809="COVERED",'Controls &amp; Sources'!$B$5,'Controls &amp; Sources'!$B$6)</f>
        <v>7.55</v>
      </c>
      <c r="N809" s="25" t="n">
        <f aca="false">L809*M809</f>
        <v>385.05</v>
      </c>
      <c r="O809" s="22" t="n">
        <f aca="false">COUNTIFS('Billing Actual'!$E$2:$E$770,A809,'Billing Actual'!$B$2:$B$770,'Controls &amp; Sources'!$B$7)</f>
        <v>0</v>
      </c>
      <c r="P809" s="25" t="n">
        <f aca="false">SUMIFS('Billing Actual'!$M$2:$M$770,'Billing Actual'!$E$2:$E$770,A809,'Billing Actual'!$B$2:$B$770,'Controls &amp; Sources'!$B$7)</f>
        <v>0</v>
      </c>
      <c r="Q809" s="25" t="n">
        <f aca="false">P809-N809</f>
        <v>-385.05</v>
      </c>
      <c r="R809" s="22" t="str">
        <f aca="false">IF(O809=0,"No August moorage transaction",IF(O809&gt;1,"Duplicate August transactions",IF(ABS(Q809)&gt;0.005,"Charge variance","OK")))</f>
        <v>No August moorage transaction</v>
      </c>
      <c r="S809" s="22" t="str">
        <f aca="false">IF(R809="OK","","Billing completeness/reconciliation")</f>
        <v>Billing completeness/reconciliation</v>
      </c>
    </row>
    <row r="810" customFormat="false" ht="15" hidden="false" customHeight="false" outlineLevel="0" collapsed="false">
      <c r="A810" s="22" t="s">
        <v>8216</v>
      </c>
      <c r="B810" s="22" t="s">
        <v>499</v>
      </c>
      <c r="C810" s="22" t="s">
        <v>7694</v>
      </c>
      <c r="D810" s="22" t="n">
        <v>24</v>
      </c>
      <c r="E810" s="22" t="s">
        <v>7696</v>
      </c>
      <c r="F810" s="22" t="s">
        <v>6577</v>
      </c>
      <c r="G810" s="22" t="s">
        <v>5673</v>
      </c>
      <c r="H810" s="22" t="s">
        <v>5674</v>
      </c>
      <c r="I810" s="22" t="s">
        <v>1847</v>
      </c>
      <c r="J810" s="22" t="n">
        <v>30.5</v>
      </c>
      <c r="K810" s="22" t="n">
        <f aca="false">ROUNDUP(J810,0)</f>
        <v>31</v>
      </c>
      <c r="L810" s="22" t="n">
        <f aca="false">MAX(D810,K810)</f>
        <v>31</v>
      </c>
      <c r="M810" s="25" t="n">
        <f aca="false">IF(E810="COVERED",'Controls &amp; Sources'!$B$5,'Controls &amp; Sources'!$B$6)</f>
        <v>7.55</v>
      </c>
      <c r="N810" s="25" t="n">
        <f aca="false">L810*M810</f>
        <v>234.05</v>
      </c>
      <c r="O810" s="22" t="n">
        <f aca="false">COUNTIFS('Billing Actual'!$E$2:$E$770,A810,'Billing Actual'!$B$2:$B$770,'Controls &amp; Sources'!$B$7)</f>
        <v>0</v>
      </c>
      <c r="P810" s="25" t="n">
        <f aca="false">SUMIFS('Billing Actual'!$M$2:$M$770,'Billing Actual'!$E$2:$E$770,A810,'Billing Actual'!$B$2:$B$770,'Controls &amp; Sources'!$B$7)</f>
        <v>0</v>
      </c>
      <c r="Q810" s="25" t="n">
        <f aca="false">P810-N810</f>
        <v>-234.05</v>
      </c>
      <c r="R810" s="22" t="str">
        <f aca="false">IF(O810=0,"No August moorage transaction",IF(O810&gt;1,"Duplicate August transactions",IF(ABS(Q810)&gt;0.005,"Charge variance","OK")))</f>
        <v>No August moorage transaction</v>
      </c>
      <c r="S810" s="22" t="str">
        <f aca="false">IF(R810="OK","","Billing completeness/reconciliation")</f>
        <v>Billing completeness/reconciliation</v>
      </c>
    </row>
    <row r="811" customFormat="false" ht="15" hidden="false" customHeight="false" outlineLevel="0" collapsed="false">
      <c r="A811" s="22" t="s">
        <v>8217</v>
      </c>
      <c r="B811" s="22" t="s">
        <v>499</v>
      </c>
      <c r="C811" s="22" t="s">
        <v>7694</v>
      </c>
      <c r="D811" s="22" t="n">
        <v>45</v>
      </c>
      <c r="E811" s="22" t="s">
        <v>7696</v>
      </c>
      <c r="F811" s="22" t="s">
        <v>6577</v>
      </c>
      <c r="G811" s="22" t="s">
        <v>4953</v>
      </c>
      <c r="H811" s="22" t="s">
        <v>4954</v>
      </c>
      <c r="I811" s="22" t="s">
        <v>1675</v>
      </c>
      <c r="J811" s="22" t="n">
        <v>28.6</v>
      </c>
      <c r="K811" s="22" t="n">
        <f aca="false">ROUNDUP(J811,0)</f>
        <v>29</v>
      </c>
      <c r="L811" s="22" t="n">
        <f aca="false">MAX(D811,K811)</f>
        <v>45</v>
      </c>
      <c r="M811" s="25" t="n">
        <f aca="false">IF(E811="COVERED",'Controls &amp; Sources'!$B$5,'Controls &amp; Sources'!$B$6)</f>
        <v>7.55</v>
      </c>
      <c r="N811" s="25" t="n">
        <f aca="false">L811*M811</f>
        <v>339.75</v>
      </c>
      <c r="O811" s="22" t="n">
        <f aca="false">COUNTIFS('Billing Actual'!$E$2:$E$770,A811,'Billing Actual'!$B$2:$B$770,'Controls &amp; Sources'!$B$7)</f>
        <v>0</v>
      </c>
      <c r="P811" s="25" t="n">
        <f aca="false">SUMIFS('Billing Actual'!$M$2:$M$770,'Billing Actual'!$E$2:$E$770,A811,'Billing Actual'!$B$2:$B$770,'Controls &amp; Sources'!$B$7)</f>
        <v>0</v>
      </c>
      <c r="Q811" s="25" t="n">
        <f aca="false">P811-N811</f>
        <v>-339.75</v>
      </c>
      <c r="R811" s="22" t="str">
        <f aca="false">IF(O811=0,"No August moorage transaction",IF(O811&gt;1,"Duplicate August transactions",IF(ABS(Q811)&gt;0.005,"Charge variance","OK")))</f>
        <v>No August moorage transaction</v>
      </c>
      <c r="S811" s="22" t="str">
        <f aca="false">IF(R811="OK","","Billing completeness/reconciliation")</f>
        <v>Billing completeness/reconciliation</v>
      </c>
    </row>
    <row r="812" customFormat="false" ht="15" hidden="false" customHeight="false" outlineLevel="0" collapsed="false">
      <c r="A812" s="22" t="s">
        <v>8218</v>
      </c>
      <c r="B812" s="22" t="s">
        <v>499</v>
      </c>
      <c r="C812" s="22" t="s">
        <v>7694</v>
      </c>
      <c r="D812" s="22" t="n">
        <v>70</v>
      </c>
      <c r="E812" s="22" t="s">
        <v>7696</v>
      </c>
      <c r="F812" s="22" t="s">
        <v>6577</v>
      </c>
      <c r="G812" s="22" t="s">
        <v>1149</v>
      </c>
      <c r="H812" s="22" t="s">
        <v>1150</v>
      </c>
      <c r="I812" s="22" t="s">
        <v>230</v>
      </c>
      <c r="J812" s="22" t="n">
        <v>39.9</v>
      </c>
      <c r="K812" s="22" t="n">
        <f aca="false">ROUNDUP(J812,0)</f>
        <v>40</v>
      </c>
      <c r="L812" s="22" t="n">
        <f aca="false">MAX(D812,K812)</f>
        <v>70</v>
      </c>
      <c r="M812" s="25" t="n">
        <f aca="false">IF(E812="COVERED",'Controls &amp; Sources'!$B$5,'Controls &amp; Sources'!$B$6)</f>
        <v>7.55</v>
      </c>
      <c r="N812" s="25" t="n">
        <f aca="false">L812*M812</f>
        <v>528.5</v>
      </c>
      <c r="O812" s="22" t="n">
        <f aca="false">COUNTIFS('Billing Actual'!$E$2:$E$770,A812,'Billing Actual'!$B$2:$B$770,'Controls &amp; Sources'!$B$7)</f>
        <v>0</v>
      </c>
      <c r="P812" s="25" t="n">
        <f aca="false">SUMIFS('Billing Actual'!$M$2:$M$770,'Billing Actual'!$E$2:$E$770,A812,'Billing Actual'!$B$2:$B$770,'Controls &amp; Sources'!$B$7)</f>
        <v>0</v>
      </c>
      <c r="Q812" s="25" t="n">
        <f aca="false">P812-N812</f>
        <v>-528.5</v>
      </c>
      <c r="R812" s="22" t="str">
        <f aca="false">IF(O812=0,"No August moorage transaction",IF(O812&gt;1,"Duplicate August transactions",IF(ABS(Q812)&gt;0.005,"Charge variance","OK")))</f>
        <v>No August moorage transaction</v>
      </c>
      <c r="S812" s="22" t="str">
        <f aca="false">IF(R812="OK","","Billing completeness/reconciliation")</f>
        <v>Billing completeness/reconciliation</v>
      </c>
    </row>
    <row r="813" customFormat="false" ht="15" hidden="false" customHeight="false" outlineLevel="0" collapsed="false">
      <c r="A813" s="22" t="s">
        <v>8219</v>
      </c>
      <c r="B813" s="22" t="s">
        <v>499</v>
      </c>
      <c r="C813" s="22" t="s">
        <v>7694</v>
      </c>
      <c r="D813" s="22" t="n">
        <v>28</v>
      </c>
      <c r="E813" s="22" t="s">
        <v>7696</v>
      </c>
      <c r="F813" s="22" t="s">
        <v>6577</v>
      </c>
      <c r="G813" s="22" t="s">
        <v>5929</v>
      </c>
      <c r="H813" s="22" t="s">
        <v>5930</v>
      </c>
      <c r="I813" s="22" t="s">
        <v>1637</v>
      </c>
      <c r="J813" s="22" t="n">
        <v>36.1</v>
      </c>
      <c r="K813" s="22" t="n">
        <f aca="false">ROUNDUP(J813,0)</f>
        <v>37</v>
      </c>
      <c r="L813" s="22" t="n">
        <f aca="false">MAX(D813,K813)</f>
        <v>37</v>
      </c>
      <c r="M813" s="25" t="n">
        <f aca="false">IF(E813="COVERED",'Controls &amp; Sources'!$B$5,'Controls &amp; Sources'!$B$6)</f>
        <v>7.55</v>
      </c>
      <c r="N813" s="25" t="n">
        <f aca="false">L813*M813</f>
        <v>279.35</v>
      </c>
      <c r="O813" s="22" t="n">
        <f aca="false">COUNTIFS('Billing Actual'!$E$2:$E$770,A813,'Billing Actual'!$B$2:$B$770,'Controls &amp; Sources'!$B$7)</f>
        <v>0</v>
      </c>
      <c r="P813" s="25" t="n">
        <f aca="false">SUMIFS('Billing Actual'!$M$2:$M$770,'Billing Actual'!$E$2:$E$770,A813,'Billing Actual'!$B$2:$B$770,'Controls &amp; Sources'!$B$7)</f>
        <v>0</v>
      </c>
      <c r="Q813" s="25" t="n">
        <f aca="false">P813-N813</f>
        <v>-279.35</v>
      </c>
      <c r="R813" s="22" t="str">
        <f aca="false">IF(O813=0,"No August moorage transaction",IF(O813&gt;1,"Duplicate August transactions",IF(ABS(Q813)&gt;0.005,"Charge variance","OK")))</f>
        <v>No August moorage transaction</v>
      </c>
      <c r="S813" s="22" t="str">
        <f aca="false">IF(R813="OK","","Billing completeness/reconciliation")</f>
        <v>Billing completeness/reconciliation</v>
      </c>
    </row>
    <row r="814" customFormat="false" ht="15" hidden="false" customHeight="false" outlineLevel="0" collapsed="false">
      <c r="A814" s="22" t="s">
        <v>8220</v>
      </c>
      <c r="B814" s="22" t="s">
        <v>499</v>
      </c>
      <c r="C814" s="22" t="s">
        <v>7694</v>
      </c>
      <c r="D814" s="22" t="n">
        <v>60</v>
      </c>
      <c r="E814" s="22" t="s">
        <v>7696</v>
      </c>
      <c r="F814" s="22" t="s">
        <v>6577</v>
      </c>
      <c r="G814" s="22" t="s">
        <v>382</v>
      </c>
      <c r="H814" s="22" t="s">
        <v>383</v>
      </c>
      <c r="I814" s="22" t="s">
        <v>269</v>
      </c>
      <c r="J814" s="22" t="n">
        <v>53.2</v>
      </c>
      <c r="K814" s="22" t="n">
        <f aca="false">ROUNDUP(J814,0)</f>
        <v>54</v>
      </c>
      <c r="L814" s="22" t="n">
        <f aca="false">MAX(D814,K814)</f>
        <v>60</v>
      </c>
      <c r="M814" s="25" t="n">
        <f aca="false">IF(E814="COVERED",'Controls &amp; Sources'!$B$5,'Controls &amp; Sources'!$B$6)</f>
        <v>7.55</v>
      </c>
      <c r="N814" s="25" t="n">
        <f aca="false">L814*M814</f>
        <v>453</v>
      </c>
      <c r="O814" s="22" t="n">
        <f aca="false">COUNTIFS('Billing Actual'!$E$2:$E$770,A814,'Billing Actual'!$B$2:$B$770,'Controls &amp; Sources'!$B$7)</f>
        <v>0</v>
      </c>
      <c r="P814" s="25" t="n">
        <f aca="false">SUMIFS('Billing Actual'!$M$2:$M$770,'Billing Actual'!$E$2:$E$770,A814,'Billing Actual'!$B$2:$B$770,'Controls &amp; Sources'!$B$7)</f>
        <v>0</v>
      </c>
      <c r="Q814" s="25" t="n">
        <f aca="false">P814-N814</f>
        <v>-453</v>
      </c>
      <c r="R814" s="22" t="str">
        <f aca="false">IF(O814=0,"No August moorage transaction",IF(O814&gt;1,"Duplicate August transactions",IF(ABS(Q814)&gt;0.005,"Charge variance","OK")))</f>
        <v>No August moorage transaction</v>
      </c>
      <c r="S814" s="22" t="str">
        <f aca="false">IF(R814="OK","","Billing completeness/reconciliation")</f>
        <v>Billing completeness/reconciliation</v>
      </c>
    </row>
    <row r="815" customFormat="false" ht="15" hidden="false" customHeight="false" outlineLevel="0" collapsed="false">
      <c r="A815" s="22" t="s">
        <v>8221</v>
      </c>
      <c r="B815" s="22" t="s">
        <v>499</v>
      </c>
      <c r="C815" s="22" t="s">
        <v>7694</v>
      </c>
      <c r="D815" s="22" t="n">
        <v>70</v>
      </c>
      <c r="E815" s="22" t="s">
        <v>7696</v>
      </c>
      <c r="F815" s="22" t="s">
        <v>6577</v>
      </c>
      <c r="G815" s="22" t="s">
        <v>6374</v>
      </c>
      <c r="H815" s="22" t="s">
        <v>6375</v>
      </c>
      <c r="I815" s="22" t="s">
        <v>3038</v>
      </c>
      <c r="J815" s="22" t="n">
        <v>34.2</v>
      </c>
      <c r="K815" s="22" t="n">
        <f aca="false">ROUNDUP(J815,0)</f>
        <v>35</v>
      </c>
      <c r="L815" s="22" t="n">
        <f aca="false">MAX(D815,K815)</f>
        <v>70</v>
      </c>
      <c r="M815" s="25" t="n">
        <f aca="false">IF(E815="COVERED",'Controls &amp; Sources'!$B$5,'Controls &amp; Sources'!$B$6)</f>
        <v>7.55</v>
      </c>
      <c r="N815" s="25" t="n">
        <f aca="false">L815*M815</f>
        <v>528.5</v>
      </c>
      <c r="O815" s="22" t="n">
        <f aca="false">COUNTIFS('Billing Actual'!$E$2:$E$770,A815,'Billing Actual'!$B$2:$B$770,'Controls &amp; Sources'!$B$7)</f>
        <v>0</v>
      </c>
      <c r="P815" s="25" t="n">
        <f aca="false">SUMIFS('Billing Actual'!$M$2:$M$770,'Billing Actual'!$E$2:$E$770,A815,'Billing Actual'!$B$2:$B$770,'Controls &amp; Sources'!$B$7)</f>
        <v>0</v>
      </c>
      <c r="Q815" s="25" t="n">
        <f aca="false">P815-N815</f>
        <v>-528.5</v>
      </c>
      <c r="R815" s="22" t="str">
        <f aca="false">IF(O815=0,"No August moorage transaction",IF(O815&gt;1,"Duplicate August transactions",IF(ABS(Q815)&gt;0.005,"Charge variance","OK")))</f>
        <v>No August moorage transaction</v>
      </c>
      <c r="S815" s="22" t="str">
        <f aca="false">IF(R815="OK","","Billing completeness/reconciliation")</f>
        <v>Billing completeness/reconciliation</v>
      </c>
    </row>
    <row r="816" customFormat="false" ht="15" hidden="false" customHeight="false" outlineLevel="0" collapsed="false">
      <c r="A816" s="22" t="s">
        <v>8225</v>
      </c>
      <c r="B816" s="22" t="s">
        <v>499</v>
      </c>
      <c r="C816" s="22" t="s">
        <v>7694</v>
      </c>
      <c r="D816" s="22" t="n">
        <v>32</v>
      </c>
      <c r="E816" s="22" t="s">
        <v>7696</v>
      </c>
      <c r="F816" s="22" t="s">
        <v>6577</v>
      </c>
      <c r="G816" s="22" t="s">
        <v>2753</v>
      </c>
      <c r="H816" s="22" t="s">
        <v>2754</v>
      </c>
      <c r="I816" s="22" t="s">
        <v>2755</v>
      </c>
      <c r="J816" s="22" t="n">
        <v>36.4</v>
      </c>
      <c r="K816" s="22" t="n">
        <f aca="false">ROUNDUP(J816,0)</f>
        <v>37</v>
      </c>
      <c r="L816" s="22" t="n">
        <f aca="false">MAX(D816,K816)</f>
        <v>37</v>
      </c>
      <c r="M816" s="25" t="n">
        <f aca="false">IF(E816="COVERED",'Controls &amp; Sources'!$B$5,'Controls &amp; Sources'!$B$6)</f>
        <v>7.55</v>
      </c>
      <c r="N816" s="25" t="n">
        <f aca="false">L816*M816</f>
        <v>279.35</v>
      </c>
      <c r="O816" s="22" t="n">
        <f aca="false">COUNTIFS('Billing Actual'!$E$2:$E$770,A816,'Billing Actual'!$B$2:$B$770,'Controls &amp; Sources'!$B$7)</f>
        <v>0</v>
      </c>
      <c r="P816" s="25" t="n">
        <f aca="false">SUMIFS('Billing Actual'!$M$2:$M$770,'Billing Actual'!$E$2:$E$770,A816,'Billing Actual'!$B$2:$B$770,'Controls &amp; Sources'!$B$7)</f>
        <v>0</v>
      </c>
      <c r="Q816" s="25" t="n">
        <f aca="false">P816-N816</f>
        <v>-279.35</v>
      </c>
      <c r="R816" s="22" t="str">
        <f aca="false">IF(O816=0,"No August moorage transaction",IF(O816&gt;1,"Duplicate August transactions",IF(ABS(Q816)&gt;0.005,"Charge variance","OK")))</f>
        <v>No August moorage transaction</v>
      </c>
      <c r="S816" s="22" t="str">
        <f aca="false">IF(R816="OK","","Billing completeness/reconciliation")</f>
        <v>Billing completeness/reconciliation</v>
      </c>
    </row>
    <row r="817" customFormat="false" ht="15" hidden="false" customHeight="false" outlineLevel="0" collapsed="false">
      <c r="A817" s="22" t="s">
        <v>8226</v>
      </c>
      <c r="B817" s="22" t="s">
        <v>499</v>
      </c>
      <c r="C817" s="22" t="s">
        <v>7694</v>
      </c>
      <c r="D817" s="22" t="n">
        <v>32</v>
      </c>
      <c r="E817" s="22" t="s">
        <v>7696</v>
      </c>
      <c r="F817" s="22" t="s">
        <v>6577</v>
      </c>
      <c r="G817" s="22" t="s">
        <v>3535</v>
      </c>
      <c r="H817" s="22" t="s">
        <v>3536</v>
      </c>
      <c r="I817" s="22" t="s">
        <v>1603</v>
      </c>
      <c r="J817" s="22" t="n">
        <v>53.6</v>
      </c>
      <c r="K817" s="22" t="n">
        <f aca="false">ROUNDUP(J817,0)</f>
        <v>54</v>
      </c>
      <c r="L817" s="22" t="n">
        <f aca="false">MAX(D817,K817)</f>
        <v>54</v>
      </c>
      <c r="M817" s="25" t="n">
        <f aca="false">IF(E817="COVERED",'Controls &amp; Sources'!$B$5,'Controls &amp; Sources'!$B$6)</f>
        <v>7.55</v>
      </c>
      <c r="N817" s="25" t="n">
        <f aca="false">L817*M817</f>
        <v>407.7</v>
      </c>
      <c r="O817" s="22" t="n">
        <f aca="false">COUNTIFS('Billing Actual'!$E$2:$E$770,A817,'Billing Actual'!$B$2:$B$770,'Controls &amp; Sources'!$B$7)</f>
        <v>0</v>
      </c>
      <c r="P817" s="25" t="n">
        <f aca="false">SUMIFS('Billing Actual'!$M$2:$M$770,'Billing Actual'!$E$2:$E$770,A817,'Billing Actual'!$B$2:$B$770,'Controls &amp; Sources'!$B$7)</f>
        <v>0</v>
      </c>
      <c r="Q817" s="25" t="n">
        <f aca="false">P817-N817</f>
        <v>-407.7</v>
      </c>
      <c r="R817" s="22" t="str">
        <f aca="false">IF(O817=0,"No August moorage transaction",IF(O817&gt;1,"Duplicate August transactions",IF(ABS(Q817)&gt;0.005,"Charge variance","OK")))</f>
        <v>No August moorage transaction</v>
      </c>
      <c r="S817" s="22" t="str">
        <f aca="false">IF(R817="OK","","Billing completeness/reconciliation")</f>
        <v>Billing completeness/reconciliation</v>
      </c>
    </row>
    <row r="818" customFormat="false" ht="15" hidden="false" customHeight="false" outlineLevel="0" collapsed="false">
      <c r="A818" s="22" t="s">
        <v>8227</v>
      </c>
      <c r="B818" s="22" t="s">
        <v>499</v>
      </c>
      <c r="C818" s="22" t="s">
        <v>7694</v>
      </c>
      <c r="D818" s="22" t="n">
        <v>50</v>
      </c>
      <c r="E818" s="22" t="s">
        <v>7696</v>
      </c>
      <c r="F818" s="22" t="s">
        <v>6577</v>
      </c>
      <c r="G818" s="22" t="s">
        <v>209</v>
      </c>
      <c r="H818" s="22" t="s">
        <v>210</v>
      </c>
      <c r="I818" s="22" t="s">
        <v>651</v>
      </c>
      <c r="J818" s="22" t="n">
        <v>43.6</v>
      </c>
      <c r="K818" s="22" t="n">
        <f aca="false">ROUNDUP(J818,0)</f>
        <v>44</v>
      </c>
      <c r="L818" s="22" t="n">
        <f aca="false">MAX(D818,K818)</f>
        <v>50</v>
      </c>
      <c r="M818" s="25" t="n">
        <f aca="false">IF(E818="COVERED",'Controls &amp; Sources'!$B$5,'Controls &amp; Sources'!$B$6)</f>
        <v>7.55</v>
      </c>
      <c r="N818" s="25" t="n">
        <f aca="false">L818*M818</f>
        <v>377.5</v>
      </c>
      <c r="O818" s="22" t="n">
        <f aca="false">COUNTIFS('Billing Actual'!$E$2:$E$770,A818,'Billing Actual'!$B$2:$B$770,'Controls &amp; Sources'!$B$7)</f>
        <v>0</v>
      </c>
      <c r="P818" s="25" t="n">
        <f aca="false">SUMIFS('Billing Actual'!$M$2:$M$770,'Billing Actual'!$E$2:$E$770,A818,'Billing Actual'!$B$2:$B$770,'Controls &amp; Sources'!$B$7)</f>
        <v>0</v>
      </c>
      <c r="Q818" s="25" t="n">
        <f aca="false">P818-N818</f>
        <v>-377.5</v>
      </c>
      <c r="R818" s="22" t="str">
        <f aca="false">IF(O818=0,"No August moorage transaction",IF(O818&gt;1,"Duplicate August transactions",IF(ABS(Q818)&gt;0.005,"Charge variance","OK")))</f>
        <v>No August moorage transaction</v>
      </c>
      <c r="S818" s="22" t="str">
        <f aca="false">IF(R818="OK","","Billing completeness/reconciliation")</f>
        <v>Billing completeness/reconciliation</v>
      </c>
    </row>
    <row r="819" customFormat="false" ht="15" hidden="false" customHeight="false" outlineLevel="0" collapsed="false">
      <c r="A819" s="22" t="s">
        <v>8228</v>
      </c>
      <c r="B819" s="22" t="s">
        <v>499</v>
      </c>
      <c r="C819" s="22" t="s">
        <v>7694</v>
      </c>
      <c r="D819" s="22" t="n">
        <v>24</v>
      </c>
      <c r="E819" s="22" t="s">
        <v>7696</v>
      </c>
      <c r="F819" s="22" t="s">
        <v>6577</v>
      </c>
      <c r="G819" s="22" t="s">
        <v>5073</v>
      </c>
      <c r="H819" s="22" t="s">
        <v>5074</v>
      </c>
      <c r="I819" s="22" t="s">
        <v>723</v>
      </c>
      <c r="J819" s="22" t="n">
        <v>58.6</v>
      </c>
      <c r="K819" s="22" t="n">
        <f aca="false">ROUNDUP(J819,0)</f>
        <v>59</v>
      </c>
      <c r="L819" s="22" t="n">
        <f aca="false">MAX(D819,K819)</f>
        <v>59</v>
      </c>
      <c r="M819" s="25" t="n">
        <f aca="false">IF(E819="COVERED",'Controls &amp; Sources'!$B$5,'Controls &amp; Sources'!$B$6)</f>
        <v>7.55</v>
      </c>
      <c r="N819" s="25" t="n">
        <f aca="false">L819*M819</f>
        <v>445.45</v>
      </c>
      <c r="O819" s="22" t="n">
        <f aca="false">COUNTIFS('Billing Actual'!$E$2:$E$770,A819,'Billing Actual'!$B$2:$B$770,'Controls &amp; Sources'!$B$7)</f>
        <v>0</v>
      </c>
      <c r="P819" s="25" t="n">
        <f aca="false">SUMIFS('Billing Actual'!$M$2:$M$770,'Billing Actual'!$E$2:$E$770,A819,'Billing Actual'!$B$2:$B$770,'Controls &amp; Sources'!$B$7)</f>
        <v>0</v>
      </c>
      <c r="Q819" s="25" t="n">
        <f aca="false">P819-N819</f>
        <v>-445.45</v>
      </c>
      <c r="R819" s="22" t="str">
        <f aca="false">IF(O819=0,"No August moorage transaction",IF(O819&gt;1,"Duplicate August transactions",IF(ABS(Q819)&gt;0.005,"Charge variance","OK")))</f>
        <v>No August moorage transaction</v>
      </c>
      <c r="S819" s="22" t="str">
        <f aca="false">IF(R819="OK","","Billing completeness/reconciliation")</f>
        <v>Billing completeness/reconciliation</v>
      </c>
    </row>
    <row r="820" customFormat="false" ht="15" hidden="false" customHeight="false" outlineLevel="0" collapsed="false">
      <c r="A820" s="22" t="s">
        <v>8230</v>
      </c>
      <c r="B820" s="22" t="s">
        <v>499</v>
      </c>
      <c r="C820" s="22" t="s">
        <v>7694</v>
      </c>
      <c r="D820" s="22" t="n">
        <v>80</v>
      </c>
      <c r="E820" s="22" t="s">
        <v>7696</v>
      </c>
      <c r="F820" s="22" t="s">
        <v>6577</v>
      </c>
      <c r="G820" s="22" t="s">
        <v>3716</v>
      </c>
      <c r="H820" s="22" t="s">
        <v>3717</v>
      </c>
      <c r="I820" s="22" t="s">
        <v>1882</v>
      </c>
      <c r="J820" s="22" t="n">
        <v>33.4</v>
      </c>
      <c r="K820" s="22" t="n">
        <f aca="false">ROUNDUP(J820,0)</f>
        <v>34</v>
      </c>
      <c r="L820" s="22" t="n">
        <f aca="false">MAX(D820,K820)</f>
        <v>80</v>
      </c>
      <c r="M820" s="25" t="n">
        <f aca="false">IF(E820="COVERED",'Controls &amp; Sources'!$B$5,'Controls &amp; Sources'!$B$6)</f>
        <v>7.55</v>
      </c>
      <c r="N820" s="25" t="n">
        <f aca="false">L820*M820</f>
        <v>604</v>
      </c>
      <c r="O820" s="22" t="n">
        <f aca="false">COUNTIFS('Billing Actual'!$E$2:$E$770,A820,'Billing Actual'!$B$2:$B$770,'Controls &amp; Sources'!$B$7)</f>
        <v>0</v>
      </c>
      <c r="P820" s="25" t="n">
        <f aca="false">SUMIFS('Billing Actual'!$M$2:$M$770,'Billing Actual'!$E$2:$E$770,A820,'Billing Actual'!$B$2:$B$770,'Controls &amp; Sources'!$B$7)</f>
        <v>0</v>
      </c>
      <c r="Q820" s="25" t="n">
        <f aca="false">P820-N820</f>
        <v>-604</v>
      </c>
      <c r="R820" s="22" t="str">
        <f aca="false">IF(O820=0,"No August moorage transaction",IF(O820&gt;1,"Duplicate August transactions",IF(ABS(Q820)&gt;0.005,"Charge variance","OK")))</f>
        <v>No August moorage transaction</v>
      </c>
      <c r="S820" s="22" t="str">
        <f aca="false">IF(R820="OK","","Billing completeness/reconciliation")</f>
        <v>Billing completeness/reconciliation</v>
      </c>
    </row>
    <row r="821" customFormat="false" ht="15" hidden="false" customHeight="false" outlineLevel="0" collapsed="false">
      <c r="A821" s="22" t="s">
        <v>8231</v>
      </c>
      <c r="B821" s="22" t="s">
        <v>499</v>
      </c>
      <c r="C821" s="22" t="s">
        <v>7694</v>
      </c>
      <c r="D821" s="22" t="n">
        <v>24</v>
      </c>
      <c r="E821" s="22" t="s">
        <v>7696</v>
      </c>
      <c r="F821" s="22" t="s">
        <v>6577</v>
      </c>
      <c r="G821" s="22" t="s">
        <v>1943</v>
      </c>
      <c r="H821" s="22" t="s">
        <v>1944</v>
      </c>
      <c r="I821" s="22" t="s">
        <v>1945</v>
      </c>
      <c r="J821" s="22" t="n">
        <v>39.3</v>
      </c>
      <c r="K821" s="22" t="n">
        <f aca="false">ROUNDUP(J821,0)</f>
        <v>40</v>
      </c>
      <c r="L821" s="22" t="n">
        <f aca="false">MAX(D821,K821)</f>
        <v>40</v>
      </c>
      <c r="M821" s="25" t="n">
        <f aca="false">IF(E821="COVERED",'Controls &amp; Sources'!$B$5,'Controls &amp; Sources'!$B$6)</f>
        <v>7.55</v>
      </c>
      <c r="N821" s="25" t="n">
        <f aca="false">L821*M821</f>
        <v>302</v>
      </c>
      <c r="O821" s="22" t="n">
        <f aca="false">COUNTIFS('Billing Actual'!$E$2:$E$770,A821,'Billing Actual'!$B$2:$B$770,'Controls &amp; Sources'!$B$7)</f>
        <v>0</v>
      </c>
      <c r="P821" s="25" t="n">
        <f aca="false">SUMIFS('Billing Actual'!$M$2:$M$770,'Billing Actual'!$E$2:$E$770,A821,'Billing Actual'!$B$2:$B$770,'Controls &amp; Sources'!$B$7)</f>
        <v>0</v>
      </c>
      <c r="Q821" s="25" t="n">
        <f aca="false">P821-N821</f>
        <v>-302</v>
      </c>
      <c r="R821" s="22" t="str">
        <f aca="false">IF(O821=0,"No August moorage transaction",IF(O821&gt;1,"Duplicate August transactions",IF(ABS(Q821)&gt;0.005,"Charge variance","OK")))</f>
        <v>No August moorage transaction</v>
      </c>
      <c r="S821" s="22" t="str">
        <f aca="false">IF(R821="OK","","Billing completeness/reconciliation")</f>
        <v>Billing completeness/reconciliation</v>
      </c>
    </row>
    <row r="822" customFormat="false" ht="15" hidden="false" customHeight="false" outlineLevel="0" collapsed="false">
      <c r="A822" s="22" t="s">
        <v>8232</v>
      </c>
      <c r="B822" s="22" t="s">
        <v>499</v>
      </c>
      <c r="C822" s="22" t="s">
        <v>7694</v>
      </c>
      <c r="D822" s="22" t="n">
        <v>70</v>
      </c>
      <c r="E822" s="22" t="s">
        <v>7696</v>
      </c>
      <c r="F822" s="22" t="s">
        <v>6577</v>
      </c>
      <c r="G822" s="22" t="s">
        <v>1349</v>
      </c>
      <c r="H822" s="22" t="s">
        <v>1350</v>
      </c>
      <c r="I822" s="22" t="s">
        <v>770</v>
      </c>
      <c r="J822" s="22" t="n">
        <v>28.7</v>
      </c>
      <c r="K822" s="22" t="n">
        <f aca="false">ROUNDUP(J822,0)</f>
        <v>29</v>
      </c>
      <c r="L822" s="22" t="n">
        <f aca="false">MAX(D822,K822)</f>
        <v>70</v>
      </c>
      <c r="M822" s="25" t="n">
        <f aca="false">IF(E822="COVERED",'Controls &amp; Sources'!$B$5,'Controls &amp; Sources'!$B$6)</f>
        <v>7.55</v>
      </c>
      <c r="N822" s="25" t="n">
        <f aca="false">L822*M822</f>
        <v>528.5</v>
      </c>
      <c r="O822" s="22" t="n">
        <f aca="false">COUNTIFS('Billing Actual'!$E$2:$E$770,A822,'Billing Actual'!$B$2:$B$770,'Controls &amp; Sources'!$B$7)</f>
        <v>0</v>
      </c>
      <c r="P822" s="25" t="n">
        <f aca="false">SUMIFS('Billing Actual'!$M$2:$M$770,'Billing Actual'!$E$2:$E$770,A822,'Billing Actual'!$B$2:$B$770,'Controls &amp; Sources'!$B$7)</f>
        <v>0</v>
      </c>
      <c r="Q822" s="25" t="n">
        <f aca="false">P822-N822</f>
        <v>-528.5</v>
      </c>
      <c r="R822" s="22" t="str">
        <f aca="false">IF(O822=0,"No August moorage transaction",IF(O822&gt;1,"Duplicate August transactions",IF(ABS(Q822)&gt;0.005,"Charge variance","OK")))</f>
        <v>No August moorage transaction</v>
      </c>
      <c r="S822" s="22" t="str">
        <f aca="false">IF(R822="OK","","Billing completeness/reconciliation")</f>
        <v>Billing completeness/reconciliation</v>
      </c>
    </row>
    <row r="823" customFormat="false" ht="15" hidden="false" customHeight="false" outlineLevel="0" collapsed="false">
      <c r="A823" s="22" t="s">
        <v>8234</v>
      </c>
      <c r="B823" s="22" t="s">
        <v>499</v>
      </c>
      <c r="C823" s="22" t="s">
        <v>7694</v>
      </c>
      <c r="D823" s="22" t="n">
        <v>36</v>
      </c>
      <c r="E823" s="22" t="s">
        <v>7696</v>
      </c>
      <c r="F823" s="22" t="s">
        <v>6577</v>
      </c>
      <c r="G823" s="22" t="s">
        <v>1365</v>
      </c>
      <c r="H823" s="22" t="s">
        <v>1366</v>
      </c>
      <c r="I823" s="22" t="s">
        <v>1262</v>
      </c>
      <c r="J823" s="22" t="n">
        <v>43.8</v>
      </c>
      <c r="K823" s="22" t="n">
        <f aca="false">ROUNDUP(J823,0)</f>
        <v>44</v>
      </c>
      <c r="L823" s="22" t="n">
        <f aca="false">MAX(D823,K823)</f>
        <v>44</v>
      </c>
      <c r="M823" s="25" t="n">
        <f aca="false">IF(E823="COVERED",'Controls &amp; Sources'!$B$5,'Controls &amp; Sources'!$B$6)</f>
        <v>7.55</v>
      </c>
      <c r="N823" s="25" t="n">
        <f aca="false">L823*M823</f>
        <v>332.2</v>
      </c>
      <c r="O823" s="22" t="n">
        <f aca="false">COUNTIFS('Billing Actual'!$E$2:$E$770,A823,'Billing Actual'!$B$2:$B$770,'Controls &amp; Sources'!$B$7)</f>
        <v>0</v>
      </c>
      <c r="P823" s="25" t="n">
        <f aca="false">SUMIFS('Billing Actual'!$M$2:$M$770,'Billing Actual'!$E$2:$E$770,A823,'Billing Actual'!$B$2:$B$770,'Controls &amp; Sources'!$B$7)</f>
        <v>0</v>
      </c>
      <c r="Q823" s="25" t="n">
        <f aca="false">P823-N823</f>
        <v>-332.2</v>
      </c>
      <c r="R823" s="22" t="str">
        <f aca="false">IF(O823=0,"No August moorage transaction",IF(O823&gt;1,"Duplicate August transactions",IF(ABS(Q823)&gt;0.005,"Charge variance","OK")))</f>
        <v>No August moorage transaction</v>
      </c>
      <c r="S823" s="22" t="str">
        <f aca="false">IF(R823="OK","","Billing completeness/reconciliation")</f>
        <v>Billing completeness/reconciliation</v>
      </c>
    </row>
    <row r="824" customFormat="false" ht="15" hidden="false" customHeight="false" outlineLevel="0" collapsed="false">
      <c r="A824" s="22" t="s">
        <v>8235</v>
      </c>
      <c r="B824" s="22" t="s">
        <v>499</v>
      </c>
      <c r="C824" s="22" t="s">
        <v>7694</v>
      </c>
      <c r="D824" s="22" t="n">
        <v>45</v>
      </c>
      <c r="E824" s="22" t="s">
        <v>7696</v>
      </c>
      <c r="F824" s="22" t="s">
        <v>6577</v>
      </c>
      <c r="G824" s="22" t="s">
        <v>511</v>
      </c>
      <c r="H824" s="22" t="s">
        <v>512</v>
      </c>
      <c r="I824" s="22" t="s">
        <v>513</v>
      </c>
      <c r="J824" s="22" t="n">
        <v>40.5</v>
      </c>
      <c r="K824" s="22" t="n">
        <f aca="false">ROUNDUP(J824,0)</f>
        <v>41</v>
      </c>
      <c r="L824" s="22" t="n">
        <f aca="false">MAX(D824,K824)</f>
        <v>45</v>
      </c>
      <c r="M824" s="25" t="n">
        <f aca="false">IF(E824="COVERED",'Controls &amp; Sources'!$B$5,'Controls &amp; Sources'!$B$6)</f>
        <v>7.55</v>
      </c>
      <c r="N824" s="25" t="n">
        <f aca="false">L824*M824</f>
        <v>339.75</v>
      </c>
      <c r="O824" s="22" t="n">
        <f aca="false">COUNTIFS('Billing Actual'!$E$2:$E$770,A824,'Billing Actual'!$B$2:$B$770,'Controls &amp; Sources'!$B$7)</f>
        <v>0</v>
      </c>
      <c r="P824" s="25" t="n">
        <f aca="false">SUMIFS('Billing Actual'!$M$2:$M$770,'Billing Actual'!$E$2:$E$770,A824,'Billing Actual'!$B$2:$B$770,'Controls &amp; Sources'!$B$7)</f>
        <v>0</v>
      </c>
      <c r="Q824" s="25" t="n">
        <f aca="false">P824-N824</f>
        <v>-339.75</v>
      </c>
      <c r="R824" s="22" t="str">
        <f aca="false">IF(O824=0,"No August moorage transaction",IF(O824&gt;1,"Duplicate August transactions",IF(ABS(Q824)&gt;0.005,"Charge variance","OK")))</f>
        <v>No August moorage transaction</v>
      </c>
      <c r="S824" s="22" t="str">
        <f aca="false">IF(R824="OK","","Billing completeness/reconciliation")</f>
        <v>Billing completeness/reconciliation</v>
      </c>
    </row>
    <row r="825" customFormat="false" ht="15" hidden="false" customHeight="false" outlineLevel="0" collapsed="false">
      <c r="A825" s="22" t="s">
        <v>8236</v>
      </c>
      <c r="B825" s="22" t="s">
        <v>499</v>
      </c>
      <c r="C825" s="22" t="s">
        <v>7694</v>
      </c>
      <c r="D825" s="22" t="n">
        <v>45</v>
      </c>
      <c r="E825" s="22" t="s">
        <v>7696</v>
      </c>
      <c r="F825" s="22" t="s">
        <v>6577</v>
      </c>
      <c r="G825" s="22" t="s">
        <v>1682</v>
      </c>
      <c r="H825" s="22" t="s">
        <v>814</v>
      </c>
      <c r="I825" s="22" t="s">
        <v>1045</v>
      </c>
      <c r="J825" s="22" t="n">
        <v>48.3</v>
      </c>
      <c r="K825" s="22" t="n">
        <f aca="false">ROUNDUP(J825,0)</f>
        <v>49</v>
      </c>
      <c r="L825" s="22" t="n">
        <f aca="false">MAX(D825,K825)</f>
        <v>49</v>
      </c>
      <c r="M825" s="25" t="n">
        <f aca="false">IF(E825="COVERED",'Controls &amp; Sources'!$B$5,'Controls &amp; Sources'!$B$6)</f>
        <v>7.55</v>
      </c>
      <c r="N825" s="25" t="n">
        <f aca="false">L825*M825</f>
        <v>369.95</v>
      </c>
      <c r="O825" s="22" t="n">
        <f aca="false">COUNTIFS('Billing Actual'!$E$2:$E$770,A825,'Billing Actual'!$B$2:$B$770,'Controls &amp; Sources'!$B$7)</f>
        <v>0</v>
      </c>
      <c r="P825" s="25" t="n">
        <f aca="false">SUMIFS('Billing Actual'!$M$2:$M$770,'Billing Actual'!$E$2:$E$770,A825,'Billing Actual'!$B$2:$B$770,'Controls &amp; Sources'!$B$7)</f>
        <v>0</v>
      </c>
      <c r="Q825" s="25" t="n">
        <f aca="false">P825-N825</f>
        <v>-369.95</v>
      </c>
      <c r="R825" s="22" t="str">
        <f aca="false">IF(O825=0,"No August moorage transaction",IF(O825&gt;1,"Duplicate August transactions",IF(ABS(Q825)&gt;0.005,"Charge variance","OK")))</f>
        <v>No August moorage transaction</v>
      </c>
      <c r="S825" s="22" t="str">
        <f aca="false">IF(R825="OK","","Billing completeness/reconciliation")</f>
        <v>Billing completeness/reconciliation</v>
      </c>
    </row>
    <row r="826" customFormat="false" ht="15" hidden="false" customHeight="false" outlineLevel="0" collapsed="false">
      <c r="A826" s="22" t="s">
        <v>8237</v>
      </c>
      <c r="B826" s="22" t="s">
        <v>499</v>
      </c>
      <c r="C826" s="22" t="s">
        <v>7694</v>
      </c>
      <c r="D826" s="22" t="n">
        <v>80</v>
      </c>
      <c r="E826" s="22" t="s">
        <v>7696</v>
      </c>
      <c r="F826" s="22" t="s">
        <v>6577</v>
      </c>
      <c r="G826" s="22" t="s">
        <v>3661</v>
      </c>
      <c r="H826" s="22" t="s">
        <v>3662</v>
      </c>
      <c r="I826" s="22" t="s">
        <v>1971</v>
      </c>
      <c r="J826" s="22" t="n">
        <v>45</v>
      </c>
      <c r="K826" s="22" t="n">
        <f aca="false">ROUNDUP(J826,0)</f>
        <v>45</v>
      </c>
      <c r="L826" s="22" t="n">
        <f aca="false">MAX(D826,K826)</f>
        <v>80</v>
      </c>
      <c r="M826" s="25" t="n">
        <f aca="false">IF(E826="COVERED",'Controls &amp; Sources'!$B$5,'Controls &amp; Sources'!$B$6)</f>
        <v>7.55</v>
      </c>
      <c r="N826" s="25" t="n">
        <f aca="false">L826*M826</f>
        <v>604</v>
      </c>
      <c r="O826" s="22" t="n">
        <f aca="false">COUNTIFS('Billing Actual'!$E$2:$E$770,A826,'Billing Actual'!$B$2:$B$770,'Controls &amp; Sources'!$B$7)</f>
        <v>0</v>
      </c>
      <c r="P826" s="25" t="n">
        <f aca="false">SUMIFS('Billing Actual'!$M$2:$M$770,'Billing Actual'!$E$2:$E$770,A826,'Billing Actual'!$B$2:$B$770,'Controls &amp; Sources'!$B$7)</f>
        <v>0</v>
      </c>
      <c r="Q826" s="25" t="n">
        <f aca="false">P826-N826</f>
        <v>-604</v>
      </c>
      <c r="R826" s="22" t="str">
        <f aca="false">IF(O826=0,"No August moorage transaction",IF(O826&gt;1,"Duplicate August transactions",IF(ABS(Q826)&gt;0.005,"Charge variance","OK")))</f>
        <v>No August moorage transaction</v>
      </c>
      <c r="S826" s="22" t="str">
        <f aca="false">IF(R826="OK","","Billing completeness/reconciliation")</f>
        <v>Billing completeness/reconciliation</v>
      </c>
    </row>
    <row r="827" customFormat="false" ht="15" hidden="false" customHeight="false" outlineLevel="0" collapsed="false">
      <c r="A827" s="22" t="s">
        <v>8239</v>
      </c>
      <c r="B827" s="22" t="s">
        <v>499</v>
      </c>
      <c r="C827" s="22" t="s">
        <v>7694</v>
      </c>
      <c r="D827" s="22" t="n">
        <v>28</v>
      </c>
      <c r="E827" s="22" t="s">
        <v>7696</v>
      </c>
      <c r="F827" s="22" t="s">
        <v>6577</v>
      </c>
      <c r="G827" s="22" t="s">
        <v>1398</v>
      </c>
      <c r="H827" s="22" t="s">
        <v>1399</v>
      </c>
      <c r="I827" s="22" t="s">
        <v>1400</v>
      </c>
      <c r="J827" s="22" t="n">
        <v>40.5</v>
      </c>
      <c r="K827" s="22" t="n">
        <f aca="false">ROUNDUP(J827,0)</f>
        <v>41</v>
      </c>
      <c r="L827" s="22" t="n">
        <f aca="false">MAX(D827,K827)</f>
        <v>41</v>
      </c>
      <c r="M827" s="25" t="n">
        <f aca="false">IF(E827="COVERED",'Controls &amp; Sources'!$B$5,'Controls &amp; Sources'!$B$6)</f>
        <v>7.55</v>
      </c>
      <c r="N827" s="25" t="n">
        <f aca="false">L827*M827</f>
        <v>309.55</v>
      </c>
      <c r="O827" s="22" t="n">
        <f aca="false">COUNTIFS('Billing Actual'!$E$2:$E$770,A827,'Billing Actual'!$B$2:$B$770,'Controls &amp; Sources'!$B$7)</f>
        <v>0</v>
      </c>
      <c r="P827" s="25" t="n">
        <f aca="false">SUMIFS('Billing Actual'!$M$2:$M$770,'Billing Actual'!$E$2:$E$770,A827,'Billing Actual'!$B$2:$B$770,'Controls &amp; Sources'!$B$7)</f>
        <v>0</v>
      </c>
      <c r="Q827" s="25" t="n">
        <f aca="false">P827-N827</f>
        <v>-309.55</v>
      </c>
      <c r="R827" s="22" t="str">
        <f aca="false">IF(O827=0,"No August moorage transaction",IF(O827&gt;1,"Duplicate August transactions",IF(ABS(Q827)&gt;0.005,"Charge variance","OK")))</f>
        <v>No August moorage transaction</v>
      </c>
      <c r="S827" s="22" t="str">
        <f aca="false">IF(R827="OK","","Billing completeness/reconciliation")</f>
        <v>Billing completeness/reconciliation</v>
      </c>
    </row>
    <row r="828" customFormat="false" ht="15" hidden="false" customHeight="false" outlineLevel="0" collapsed="false">
      <c r="A828" s="22" t="s">
        <v>8240</v>
      </c>
      <c r="B828" s="22" t="s">
        <v>499</v>
      </c>
      <c r="C828" s="22" t="s">
        <v>7694</v>
      </c>
      <c r="D828" s="22" t="n">
        <v>24</v>
      </c>
      <c r="E828" s="22" t="s">
        <v>7696</v>
      </c>
      <c r="F828" s="22" t="s">
        <v>6577</v>
      </c>
      <c r="G828" s="22" t="s">
        <v>6243</v>
      </c>
      <c r="H828" s="22" t="s">
        <v>6244</v>
      </c>
      <c r="I828" s="22" t="s">
        <v>820</v>
      </c>
      <c r="J828" s="22" t="n">
        <v>34.6</v>
      </c>
      <c r="K828" s="22" t="n">
        <f aca="false">ROUNDUP(J828,0)</f>
        <v>35</v>
      </c>
      <c r="L828" s="22" t="n">
        <f aca="false">MAX(D828,K828)</f>
        <v>35</v>
      </c>
      <c r="M828" s="25" t="n">
        <f aca="false">IF(E828="COVERED",'Controls &amp; Sources'!$B$5,'Controls &amp; Sources'!$B$6)</f>
        <v>7.55</v>
      </c>
      <c r="N828" s="25" t="n">
        <f aca="false">L828*M828</f>
        <v>264.25</v>
      </c>
      <c r="O828" s="22" t="n">
        <f aca="false">COUNTIFS('Billing Actual'!$E$2:$E$770,A828,'Billing Actual'!$B$2:$B$770,'Controls &amp; Sources'!$B$7)</f>
        <v>0</v>
      </c>
      <c r="P828" s="25" t="n">
        <f aca="false">SUMIFS('Billing Actual'!$M$2:$M$770,'Billing Actual'!$E$2:$E$770,A828,'Billing Actual'!$B$2:$B$770,'Controls &amp; Sources'!$B$7)</f>
        <v>0</v>
      </c>
      <c r="Q828" s="25" t="n">
        <f aca="false">P828-N828</f>
        <v>-264.25</v>
      </c>
      <c r="R828" s="22" t="str">
        <f aca="false">IF(O828=0,"No August moorage transaction",IF(O828&gt;1,"Duplicate August transactions",IF(ABS(Q828)&gt;0.005,"Charge variance","OK")))</f>
        <v>No August moorage transaction</v>
      </c>
      <c r="S828" s="22" t="str">
        <f aca="false">IF(R828="OK","","Billing completeness/reconciliation")</f>
        <v>Billing completeness/reconciliation</v>
      </c>
    </row>
    <row r="829" customFormat="false" ht="15" hidden="false" customHeight="false" outlineLevel="0" collapsed="false">
      <c r="A829" s="22" t="s">
        <v>8242</v>
      </c>
      <c r="B829" s="22" t="s">
        <v>499</v>
      </c>
      <c r="C829" s="22" t="s">
        <v>7694</v>
      </c>
      <c r="D829" s="22" t="n">
        <v>24</v>
      </c>
      <c r="E829" s="22" t="s">
        <v>7696</v>
      </c>
      <c r="F829" s="22" t="s">
        <v>6577</v>
      </c>
      <c r="G829" s="22" t="s">
        <v>4351</v>
      </c>
      <c r="H829" s="22" t="s">
        <v>4352</v>
      </c>
      <c r="I829" s="22" t="s">
        <v>549</v>
      </c>
      <c r="J829" s="22" t="n">
        <v>27.9</v>
      </c>
      <c r="K829" s="22" t="n">
        <f aca="false">ROUNDUP(J829,0)</f>
        <v>28</v>
      </c>
      <c r="L829" s="22" t="n">
        <f aca="false">MAX(D829,K829)</f>
        <v>28</v>
      </c>
      <c r="M829" s="25" t="n">
        <f aca="false">IF(E829="COVERED",'Controls &amp; Sources'!$B$5,'Controls &amp; Sources'!$B$6)</f>
        <v>7.55</v>
      </c>
      <c r="N829" s="25" t="n">
        <f aca="false">L829*M829</f>
        <v>211.4</v>
      </c>
      <c r="O829" s="22" t="n">
        <f aca="false">COUNTIFS('Billing Actual'!$E$2:$E$770,A829,'Billing Actual'!$B$2:$B$770,'Controls &amp; Sources'!$B$7)</f>
        <v>0</v>
      </c>
      <c r="P829" s="25" t="n">
        <f aca="false">SUMIFS('Billing Actual'!$M$2:$M$770,'Billing Actual'!$E$2:$E$770,A829,'Billing Actual'!$B$2:$B$770,'Controls &amp; Sources'!$B$7)</f>
        <v>0</v>
      </c>
      <c r="Q829" s="25" t="n">
        <f aca="false">P829-N829</f>
        <v>-211.4</v>
      </c>
      <c r="R829" s="22" t="str">
        <f aca="false">IF(O829=0,"No August moorage transaction",IF(O829&gt;1,"Duplicate August transactions",IF(ABS(Q829)&gt;0.005,"Charge variance","OK")))</f>
        <v>No August moorage transaction</v>
      </c>
      <c r="S829" s="22" t="str">
        <f aca="false">IF(R829="OK","","Billing completeness/reconciliation")</f>
        <v>Billing completeness/reconciliation</v>
      </c>
    </row>
    <row r="830" customFormat="false" ht="15" hidden="false" customHeight="false" outlineLevel="0" collapsed="false">
      <c r="A830" s="22" t="s">
        <v>8243</v>
      </c>
      <c r="B830" s="22" t="s">
        <v>499</v>
      </c>
      <c r="C830" s="22" t="s">
        <v>7694</v>
      </c>
      <c r="D830" s="22" t="n">
        <v>60</v>
      </c>
      <c r="E830" s="22" t="s">
        <v>7696</v>
      </c>
      <c r="F830" s="22" t="s">
        <v>6577</v>
      </c>
      <c r="G830" s="22" t="s">
        <v>2377</v>
      </c>
      <c r="H830" s="22" t="s">
        <v>2378</v>
      </c>
      <c r="I830" s="22" t="s">
        <v>2081</v>
      </c>
      <c r="J830" s="22" t="n">
        <v>49.7</v>
      </c>
      <c r="K830" s="22" t="n">
        <f aca="false">ROUNDUP(J830,0)</f>
        <v>50</v>
      </c>
      <c r="L830" s="22" t="n">
        <f aca="false">MAX(D830,K830)</f>
        <v>60</v>
      </c>
      <c r="M830" s="25" t="n">
        <f aca="false">IF(E830="COVERED",'Controls &amp; Sources'!$B$5,'Controls &amp; Sources'!$B$6)</f>
        <v>7.55</v>
      </c>
      <c r="N830" s="25" t="n">
        <f aca="false">L830*M830</f>
        <v>453</v>
      </c>
      <c r="O830" s="22" t="n">
        <f aca="false">COUNTIFS('Billing Actual'!$E$2:$E$770,A830,'Billing Actual'!$B$2:$B$770,'Controls &amp; Sources'!$B$7)</f>
        <v>0</v>
      </c>
      <c r="P830" s="25" t="n">
        <f aca="false">SUMIFS('Billing Actual'!$M$2:$M$770,'Billing Actual'!$E$2:$E$770,A830,'Billing Actual'!$B$2:$B$770,'Controls &amp; Sources'!$B$7)</f>
        <v>0</v>
      </c>
      <c r="Q830" s="25" t="n">
        <f aca="false">P830-N830</f>
        <v>-453</v>
      </c>
      <c r="R830" s="22" t="str">
        <f aca="false">IF(O830=0,"No August moorage transaction",IF(O830&gt;1,"Duplicate August transactions",IF(ABS(Q830)&gt;0.005,"Charge variance","OK")))</f>
        <v>No August moorage transaction</v>
      </c>
      <c r="S830" s="22" t="str">
        <f aca="false">IF(R830="OK","","Billing completeness/reconciliation")</f>
        <v>Billing completeness/reconciliation</v>
      </c>
    </row>
    <row r="831" customFormat="false" ht="15" hidden="false" customHeight="false" outlineLevel="0" collapsed="false">
      <c r="A831" s="22" t="s">
        <v>8246</v>
      </c>
      <c r="B831" s="22" t="s">
        <v>499</v>
      </c>
      <c r="C831" s="22" t="s">
        <v>7694</v>
      </c>
      <c r="D831" s="22" t="n">
        <v>50</v>
      </c>
      <c r="E831" s="22" t="s">
        <v>7696</v>
      </c>
      <c r="F831" s="22" t="s">
        <v>6577</v>
      </c>
      <c r="G831" s="22" t="s">
        <v>5748</v>
      </c>
      <c r="H831" s="22" t="s">
        <v>5749</v>
      </c>
      <c r="I831" s="22" t="s">
        <v>513</v>
      </c>
      <c r="J831" s="22" t="n">
        <v>42</v>
      </c>
      <c r="K831" s="22" t="n">
        <f aca="false">ROUNDUP(J831,0)</f>
        <v>42</v>
      </c>
      <c r="L831" s="22" t="n">
        <f aca="false">MAX(D831,K831)</f>
        <v>50</v>
      </c>
      <c r="M831" s="25" t="n">
        <f aca="false">IF(E831="COVERED",'Controls &amp; Sources'!$B$5,'Controls &amp; Sources'!$B$6)</f>
        <v>7.55</v>
      </c>
      <c r="N831" s="25" t="n">
        <f aca="false">L831*M831</f>
        <v>377.5</v>
      </c>
      <c r="O831" s="22" t="n">
        <f aca="false">COUNTIFS('Billing Actual'!$E$2:$E$770,A831,'Billing Actual'!$B$2:$B$770,'Controls &amp; Sources'!$B$7)</f>
        <v>0</v>
      </c>
      <c r="P831" s="25" t="n">
        <f aca="false">SUMIFS('Billing Actual'!$M$2:$M$770,'Billing Actual'!$E$2:$E$770,A831,'Billing Actual'!$B$2:$B$770,'Controls &amp; Sources'!$B$7)</f>
        <v>0</v>
      </c>
      <c r="Q831" s="25" t="n">
        <f aca="false">P831-N831</f>
        <v>-377.5</v>
      </c>
      <c r="R831" s="22" t="str">
        <f aca="false">IF(O831=0,"No August moorage transaction",IF(O831&gt;1,"Duplicate August transactions",IF(ABS(Q831)&gt;0.005,"Charge variance","OK")))</f>
        <v>No August moorage transaction</v>
      </c>
      <c r="S831" s="22" t="str">
        <f aca="false">IF(R831="OK","","Billing completeness/reconciliation")</f>
        <v>Billing completeness/reconciliation</v>
      </c>
    </row>
    <row r="832" customFormat="false" ht="15" hidden="false" customHeight="false" outlineLevel="0" collapsed="false">
      <c r="A832" s="22" t="s">
        <v>8248</v>
      </c>
      <c r="B832" s="22" t="s">
        <v>499</v>
      </c>
      <c r="C832" s="22" t="s">
        <v>7694</v>
      </c>
      <c r="D832" s="22" t="n">
        <v>50</v>
      </c>
      <c r="E832" s="22" t="s">
        <v>7696</v>
      </c>
      <c r="F832" s="22" t="s">
        <v>6577</v>
      </c>
      <c r="G832" s="22" t="s">
        <v>5363</v>
      </c>
      <c r="H832" s="22" t="s">
        <v>5364</v>
      </c>
      <c r="I832" s="22" t="s">
        <v>793</v>
      </c>
      <c r="J832" s="22" t="n">
        <v>37.4</v>
      </c>
      <c r="K832" s="22" t="n">
        <f aca="false">ROUNDUP(J832,0)</f>
        <v>38</v>
      </c>
      <c r="L832" s="22" t="n">
        <f aca="false">MAX(D832,K832)</f>
        <v>50</v>
      </c>
      <c r="M832" s="25" t="n">
        <f aca="false">IF(E832="COVERED",'Controls &amp; Sources'!$B$5,'Controls &amp; Sources'!$B$6)</f>
        <v>7.55</v>
      </c>
      <c r="N832" s="25" t="n">
        <f aca="false">L832*M832</f>
        <v>377.5</v>
      </c>
      <c r="O832" s="22" t="n">
        <f aca="false">COUNTIFS('Billing Actual'!$E$2:$E$770,A832,'Billing Actual'!$B$2:$B$770,'Controls &amp; Sources'!$B$7)</f>
        <v>0</v>
      </c>
      <c r="P832" s="25" t="n">
        <f aca="false">SUMIFS('Billing Actual'!$M$2:$M$770,'Billing Actual'!$E$2:$E$770,A832,'Billing Actual'!$B$2:$B$770,'Controls &amp; Sources'!$B$7)</f>
        <v>0</v>
      </c>
      <c r="Q832" s="25" t="n">
        <f aca="false">P832-N832</f>
        <v>-377.5</v>
      </c>
      <c r="R832" s="22" t="str">
        <f aca="false">IF(O832=0,"No August moorage transaction",IF(O832&gt;1,"Duplicate August transactions",IF(ABS(Q832)&gt;0.005,"Charge variance","OK")))</f>
        <v>No August moorage transaction</v>
      </c>
      <c r="S832" s="22" t="str">
        <f aca="false">IF(R832="OK","","Billing completeness/reconciliation")</f>
        <v>Billing completeness/reconciliation</v>
      </c>
    </row>
    <row r="833" customFormat="false" ht="15" hidden="false" customHeight="false" outlineLevel="0" collapsed="false">
      <c r="A833" s="22" t="s">
        <v>8249</v>
      </c>
      <c r="B833" s="22" t="s">
        <v>499</v>
      </c>
      <c r="C833" s="22" t="s">
        <v>7694</v>
      </c>
      <c r="D833" s="22" t="n">
        <v>50</v>
      </c>
      <c r="E833" s="22" t="s">
        <v>7696</v>
      </c>
      <c r="F833" s="22" t="s">
        <v>6577</v>
      </c>
      <c r="G833" s="22" t="s">
        <v>5168</v>
      </c>
      <c r="H833" s="22" t="s">
        <v>5169</v>
      </c>
      <c r="I833" s="22" t="s">
        <v>3259</v>
      </c>
      <c r="J833" s="22" t="n">
        <v>59.7</v>
      </c>
      <c r="K833" s="22" t="n">
        <f aca="false">ROUNDUP(J833,0)</f>
        <v>60</v>
      </c>
      <c r="L833" s="22" t="n">
        <f aca="false">MAX(D833,K833)</f>
        <v>60</v>
      </c>
      <c r="M833" s="25" t="n">
        <f aca="false">IF(E833="COVERED",'Controls &amp; Sources'!$B$5,'Controls &amp; Sources'!$B$6)</f>
        <v>7.55</v>
      </c>
      <c r="N833" s="25" t="n">
        <f aca="false">L833*M833</f>
        <v>453</v>
      </c>
      <c r="O833" s="22" t="n">
        <f aca="false">COUNTIFS('Billing Actual'!$E$2:$E$770,A833,'Billing Actual'!$B$2:$B$770,'Controls &amp; Sources'!$B$7)</f>
        <v>0</v>
      </c>
      <c r="P833" s="25" t="n">
        <f aca="false">SUMIFS('Billing Actual'!$M$2:$M$770,'Billing Actual'!$E$2:$E$770,A833,'Billing Actual'!$B$2:$B$770,'Controls &amp; Sources'!$B$7)</f>
        <v>0</v>
      </c>
      <c r="Q833" s="25" t="n">
        <f aca="false">P833-N833</f>
        <v>-453</v>
      </c>
      <c r="R833" s="22" t="str">
        <f aca="false">IF(O833=0,"No August moorage transaction",IF(O833&gt;1,"Duplicate August transactions",IF(ABS(Q833)&gt;0.005,"Charge variance","OK")))</f>
        <v>No August moorage transaction</v>
      </c>
      <c r="S833" s="22" t="str">
        <f aca="false">IF(R833="OK","","Billing completeness/reconciliation")</f>
        <v>Billing completeness/reconciliation</v>
      </c>
    </row>
    <row r="834" customFormat="false" ht="15" hidden="false" customHeight="false" outlineLevel="0" collapsed="false">
      <c r="A834" s="22" t="s">
        <v>8250</v>
      </c>
      <c r="B834" s="22" t="s">
        <v>499</v>
      </c>
      <c r="C834" s="22" t="s">
        <v>7694</v>
      </c>
      <c r="D834" s="22" t="n">
        <v>32</v>
      </c>
      <c r="E834" s="22" t="s">
        <v>7696</v>
      </c>
      <c r="F834" s="22" t="s">
        <v>6577</v>
      </c>
      <c r="G834" s="22" t="s">
        <v>682</v>
      </c>
      <c r="H834" s="22" t="s">
        <v>683</v>
      </c>
      <c r="I834" s="22" t="s">
        <v>684</v>
      </c>
      <c r="J834" s="22" t="n">
        <v>39.4</v>
      </c>
      <c r="K834" s="22" t="n">
        <f aca="false">ROUNDUP(J834,0)</f>
        <v>40</v>
      </c>
      <c r="L834" s="22" t="n">
        <f aca="false">MAX(D834,K834)</f>
        <v>40</v>
      </c>
      <c r="M834" s="25" t="n">
        <f aca="false">IF(E834="COVERED",'Controls &amp; Sources'!$B$5,'Controls &amp; Sources'!$B$6)</f>
        <v>7.55</v>
      </c>
      <c r="N834" s="25" t="n">
        <f aca="false">L834*M834</f>
        <v>302</v>
      </c>
      <c r="O834" s="22" t="n">
        <f aca="false">COUNTIFS('Billing Actual'!$E$2:$E$770,A834,'Billing Actual'!$B$2:$B$770,'Controls &amp; Sources'!$B$7)</f>
        <v>0</v>
      </c>
      <c r="P834" s="25" t="n">
        <f aca="false">SUMIFS('Billing Actual'!$M$2:$M$770,'Billing Actual'!$E$2:$E$770,A834,'Billing Actual'!$B$2:$B$770,'Controls &amp; Sources'!$B$7)</f>
        <v>0</v>
      </c>
      <c r="Q834" s="25" t="n">
        <f aca="false">P834-N834</f>
        <v>-302</v>
      </c>
      <c r="R834" s="22" t="str">
        <f aca="false">IF(O834=0,"No August moorage transaction",IF(O834&gt;1,"Duplicate August transactions",IF(ABS(Q834)&gt;0.005,"Charge variance","OK")))</f>
        <v>No August moorage transaction</v>
      </c>
      <c r="S834" s="22" t="str">
        <f aca="false">IF(R834="OK","","Billing completeness/reconciliation")</f>
        <v>Billing completeness/reconciliation</v>
      </c>
    </row>
    <row r="835" customFormat="false" ht="15" hidden="false" customHeight="false" outlineLevel="0" collapsed="false">
      <c r="A835" s="22" t="s">
        <v>8251</v>
      </c>
      <c r="B835" s="22" t="s">
        <v>499</v>
      </c>
      <c r="C835" s="22" t="s">
        <v>7694</v>
      </c>
      <c r="D835" s="22" t="n">
        <v>45</v>
      </c>
      <c r="E835" s="22" t="s">
        <v>7696</v>
      </c>
      <c r="F835" s="22" t="s">
        <v>6577</v>
      </c>
      <c r="G835" s="22" t="s">
        <v>1233</v>
      </c>
      <c r="H835" s="22" t="s">
        <v>1234</v>
      </c>
      <c r="I835" s="22" t="s">
        <v>1235</v>
      </c>
      <c r="J835" s="22" t="n">
        <v>37</v>
      </c>
      <c r="K835" s="22" t="n">
        <f aca="false">ROUNDUP(J835,0)</f>
        <v>37</v>
      </c>
      <c r="L835" s="22" t="n">
        <f aca="false">MAX(D835,K835)</f>
        <v>45</v>
      </c>
      <c r="M835" s="25" t="n">
        <f aca="false">IF(E835="COVERED",'Controls &amp; Sources'!$B$5,'Controls &amp; Sources'!$B$6)</f>
        <v>7.55</v>
      </c>
      <c r="N835" s="25" t="n">
        <f aca="false">L835*M835</f>
        <v>339.75</v>
      </c>
      <c r="O835" s="22" t="n">
        <f aca="false">COUNTIFS('Billing Actual'!$E$2:$E$770,A835,'Billing Actual'!$B$2:$B$770,'Controls &amp; Sources'!$B$7)</f>
        <v>0</v>
      </c>
      <c r="P835" s="25" t="n">
        <f aca="false">SUMIFS('Billing Actual'!$M$2:$M$770,'Billing Actual'!$E$2:$E$770,A835,'Billing Actual'!$B$2:$B$770,'Controls &amp; Sources'!$B$7)</f>
        <v>0</v>
      </c>
      <c r="Q835" s="25" t="n">
        <f aca="false">P835-N835</f>
        <v>-339.75</v>
      </c>
      <c r="R835" s="22" t="str">
        <f aca="false">IF(O835=0,"No August moorage transaction",IF(O835&gt;1,"Duplicate August transactions",IF(ABS(Q835)&gt;0.005,"Charge variance","OK")))</f>
        <v>No August moorage transaction</v>
      </c>
      <c r="S835" s="22" t="str">
        <f aca="false">IF(R835="OK","","Billing completeness/reconciliation")</f>
        <v>Billing completeness/reconciliation</v>
      </c>
    </row>
    <row r="836" customFormat="false" ht="15" hidden="false" customHeight="false" outlineLevel="0" collapsed="false">
      <c r="A836" s="22" t="s">
        <v>8255</v>
      </c>
      <c r="B836" s="22" t="s">
        <v>499</v>
      </c>
      <c r="C836" s="22" t="s">
        <v>7694</v>
      </c>
      <c r="D836" s="22" t="n">
        <v>45</v>
      </c>
      <c r="E836" s="22" t="s">
        <v>7696</v>
      </c>
      <c r="F836" s="22" t="s">
        <v>6577</v>
      </c>
      <c r="G836" s="22" t="s">
        <v>1038</v>
      </c>
      <c r="H836" s="22" t="s">
        <v>1039</v>
      </c>
      <c r="I836" s="22" t="s">
        <v>1040</v>
      </c>
      <c r="J836" s="22" t="n">
        <v>46.2</v>
      </c>
      <c r="K836" s="22" t="n">
        <f aca="false">ROUNDUP(J836,0)</f>
        <v>47</v>
      </c>
      <c r="L836" s="22" t="n">
        <f aca="false">MAX(D836,K836)</f>
        <v>47</v>
      </c>
      <c r="M836" s="25" t="n">
        <f aca="false">IF(E836="COVERED",'Controls &amp; Sources'!$B$5,'Controls &amp; Sources'!$B$6)</f>
        <v>7.55</v>
      </c>
      <c r="N836" s="25" t="n">
        <f aca="false">L836*M836</f>
        <v>354.85</v>
      </c>
      <c r="O836" s="22" t="n">
        <f aca="false">COUNTIFS('Billing Actual'!$E$2:$E$770,A836,'Billing Actual'!$B$2:$B$770,'Controls &amp; Sources'!$B$7)</f>
        <v>0</v>
      </c>
      <c r="P836" s="25" t="n">
        <f aca="false">SUMIFS('Billing Actual'!$M$2:$M$770,'Billing Actual'!$E$2:$E$770,A836,'Billing Actual'!$B$2:$B$770,'Controls &amp; Sources'!$B$7)</f>
        <v>0</v>
      </c>
      <c r="Q836" s="25" t="n">
        <f aca="false">P836-N836</f>
        <v>-354.85</v>
      </c>
      <c r="R836" s="22" t="str">
        <f aca="false">IF(O836=0,"No August moorage transaction",IF(O836&gt;1,"Duplicate August transactions",IF(ABS(Q836)&gt;0.005,"Charge variance","OK")))</f>
        <v>No August moorage transaction</v>
      </c>
      <c r="S836" s="22" t="str">
        <f aca="false">IF(R836="OK","","Billing completeness/reconciliation")</f>
        <v>Billing completeness/reconciliation</v>
      </c>
    </row>
    <row r="837" customFormat="false" ht="15" hidden="false" customHeight="false" outlineLevel="0" collapsed="false">
      <c r="A837" s="22" t="s">
        <v>8257</v>
      </c>
      <c r="B837" s="22" t="s">
        <v>499</v>
      </c>
      <c r="C837" s="22" t="s">
        <v>7694</v>
      </c>
      <c r="D837" s="22" t="n">
        <v>45</v>
      </c>
      <c r="E837" s="22" t="s">
        <v>7696</v>
      </c>
      <c r="F837" s="22" t="s">
        <v>6577</v>
      </c>
      <c r="G837" s="22" t="s">
        <v>830</v>
      </c>
      <c r="H837" s="22" t="s">
        <v>831</v>
      </c>
      <c r="I837" s="22" t="s">
        <v>832</v>
      </c>
      <c r="J837" s="22" t="n">
        <v>59.8</v>
      </c>
      <c r="K837" s="22" t="n">
        <f aca="false">ROUNDUP(J837,0)</f>
        <v>60</v>
      </c>
      <c r="L837" s="22" t="n">
        <f aca="false">MAX(D837,K837)</f>
        <v>60</v>
      </c>
      <c r="M837" s="25" t="n">
        <f aca="false">IF(E837="COVERED",'Controls &amp; Sources'!$B$5,'Controls &amp; Sources'!$B$6)</f>
        <v>7.55</v>
      </c>
      <c r="N837" s="25" t="n">
        <f aca="false">L837*M837</f>
        <v>453</v>
      </c>
      <c r="O837" s="22" t="n">
        <f aca="false">COUNTIFS('Billing Actual'!$E$2:$E$770,A837,'Billing Actual'!$B$2:$B$770,'Controls &amp; Sources'!$B$7)</f>
        <v>0</v>
      </c>
      <c r="P837" s="25" t="n">
        <f aca="false">SUMIFS('Billing Actual'!$M$2:$M$770,'Billing Actual'!$E$2:$E$770,A837,'Billing Actual'!$B$2:$B$770,'Controls &amp; Sources'!$B$7)</f>
        <v>0</v>
      </c>
      <c r="Q837" s="25" t="n">
        <f aca="false">P837-N837</f>
        <v>-453</v>
      </c>
      <c r="R837" s="22" t="str">
        <f aca="false">IF(O837=0,"No August moorage transaction",IF(O837&gt;1,"Duplicate August transactions",IF(ABS(Q837)&gt;0.005,"Charge variance","OK")))</f>
        <v>No August moorage transaction</v>
      </c>
      <c r="S837" s="22" t="str">
        <f aca="false">IF(R837="OK","","Billing completeness/reconciliation")</f>
        <v>Billing completeness/reconciliation</v>
      </c>
    </row>
    <row r="838" customFormat="false" ht="15" hidden="false" customHeight="false" outlineLevel="0" collapsed="false">
      <c r="A838" s="22" t="s">
        <v>8258</v>
      </c>
      <c r="B838" s="22" t="s">
        <v>499</v>
      </c>
      <c r="C838" s="22" t="s">
        <v>7694</v>
      </c>
      <c r="D838" s="22" t="n">
        <v>40</v>
      </c>
      <c r="E838" s="22" t="s">
        <v>7696</v>
      </c>
      <c r="F838" s="22" t="s">
        <v>6577</v>
      </c>
      <c r="G838" s="22" t="s">
        <v>2450</v>
      </c>
      <c r="H838" s="22" t="s">
        <v>2451</v>
      </c>
      <c r="I838" s="22" t="s">
        <v>728</v>
      </c>
      <c r="J838" s="22" t="n">
        <v>31.6</v>
      </c>
      <c r="K838" s="22" t="n">
        <f aca="false">ROUNDUP(J838,0)</f>
        <v>32</v>
      </c>
      <c r="L838" s="22" t="n">
        <f aca="false">MAX(D838,K838)</f>
        <v>40</v>
      </c>
      <c r="M838" s="25" t="n">
        <f aca="false">IF(E838="COVERED",'Controls &amp; Sources'!$B$5,'Controls &amp; Sources'!$B$6)</f>
        <v>7.55</v>
      </c>
      <c r="N838" s="25" t="n">
        <f aca="false">L838*M838</f>
        <v>302</v>
      </c>
      <c r="O838" s="22" t="n">
        <f aca="false">COUNTIFS('Billing Actual'!$E$2:$E$770,A838,'Billing Actual'!$B$2:$B$770,'Controls &amp; Sources'!$B$7)</f>
        <v>0</v>
      </c>
      <c r="P838" s="25" t="n">
        <f aca="false">SUMIFS('Billing Actual'!$M$2:$M$770,'Billing Actual'!$E$2:$E$770,A838,'Billing Actual'!$B$2:$B$770,'Controls &amp; Sources'!$B$7)</f>
        <v>0</v>
      </c>
      <c r="Q838" s="25" t="n">
        <f aca="false">P838-N838</f>
        <v>-302</v>
      </c>
      <c r="R838" s="22" t="str">
        <f aca="false">IF(O838=0,"No August moorage transaction",IF(O838&gt;1,"Duplicate August transactions",IF(ABS(Q838)&gt;0.005,"Charge variance","OK")))</f>
        <v>No August moorage transaction</v>
      </c>
      <c r="S838" s="22" t="str">
        <f aca="false">IF(R838="OK","","Billing completeness/reconciliation")</f>
        <v>Billing completeness/reconciliation</v>
      </c>
    </row>
    <row r="839" customFormat="false" ht="15" hidden="false" customHeight="false" outlineLevel="0" collapsed="false">
      <c r="A839" s="22" t="s">
        <v>8259</v>
      </c>
      <c r="B839" s="22" t="s">
        <v>499</v>
      </c>
      <c r="C839" s="22" t="s">
        <v>7694</v>
      </c>
      <c r="D839" s="22" t="n">
        <v>28</v>
      </c>
      <c r="E839" s="22" t="s">
        <v>7696</v>
      </c>
      <c r="F839" s="22" t="s">
        <v>6577</v>
      </c>
      <c r="G839" s="22" t="s">
        <v>6392</v>
      </c>
      <c r="H839" s="22" t="s">
        <v>6393</v>
      </c>
      <c r="I839" s="22" t="s">
        <v>327</v>
      </c>
      <c r="J839" s="22" t="n">
        <v>38.3</v>
      </c>
      <c r="K839" s="22" t="n">
        <f aca="false">ROUNDUP(J839,0)</f>
        <v>39</v>
      </c>
      <c r="L839" s="22" t="n">
        <f aca="false">MAX(D839,K839)</f>
        <v>39</v>
      </c>
      <c r="M839" s="25" t="n">
        <f aca="false">IF(E839="COVERED",'Controls &amp; Sources'!$B$5,'Controls &amp; Sources'!$B$6)</f>
        <v>7.55</v>
      </c>
      <c r="N839" s="25" t="n">
        <f aca="false">L839*M839</f>
        <v>294.45</v>
      </c>
      <c r="O839" s="22" t="n">
        <f aca="false">COUNTIFS('Billing Actual'!$E$2:$E$770,A839,'Billing Actual'!$B$2:$B$770,'Controls &amp; Sources'!$B$7)</f>
        <v>0</v>
      </c>
      <c r="P839" s="25" t="n">
        <f aca="false">SUMIFS('Billing Actual'!$M$2:$M$770,'Billing Actual'!$E$2:$E$770,A839,'Billing Actual'!$B$2:$B$770,'Controls &amp; Sources'!$B$7)</f>
        <v>0</v>
      </c>
      <c r="Q839" s="25" t="n">
        <f aca="false">P839-N839</f>
        <v>-294.45</v>
      </c>
      <c r="R839" s="22" t="str">
        <f aca="false">IF(O839=0,"No August moorage transaction",IF(O839&gt;1,"Duplicate August transactions",IF(ABS(Q839)&gt;0.005,"Charge variance","OK")))</f>
        <v>No August moorage transaction</v>
      </c>
      <c r="S839" s="22" t="str">
        <f aca="false">IF(R839="OK","","Billing completeness/reconciliation")</f>
        <v>Billing completeness/reconciliation</v>
      </c>
    </row>
    <row r="840" customFormat="false" ht="15" hidden="false" customHeight="false" outlineLevel="0" collapsed="false">
      <c r="A840" s="22" t="s">
        <v>8261</v>
      </c>
      <c r="B840" s="22" t="s">
        <v>499</v>
      </c>
      <c r="C840" s="22" t="s">
        <v>7694</v>
      </c>
      <c r="D840" s="22" t="n">
        <v>36</v>
      </c>
      <c r="E840" s="22" t="s">
        <v>7696</v>
      </c>
      <c r="F840" s="22" t="s">
        <v>6577</v>
      </c>
      <c r="G840" s="22" t="s">
        <v>4960</v>
      </c>
      <c r="H840" s="22" t="s">
        <v>4961</v>
      </c>
      <c r="I840" s="22" t="s">
        <v>2238</v>
      </c>
      <c r="J840" s="22" t="n">
        <v>55.4</v>
      </c>
      <c r="K840" s="22" t="n">
        <f aca="false">ROUNDUP(J840,0)</f>
        <v>56</v>
      </c>
      <c r="L840" s="22" t="n">
        <f aca="false">MAX(D840,K840)</f>
        <v>56</v>
      </c>
      <c r="M840" s="25" t="n">
        <f aca="false">IF(E840="COVERED",'Controls &amp; Sources'!$B$5,'Controls &amp; Sources'!$B$6)</f>
        <v>7.55</v>
      </c>
      <c r="N840" s="25" t="n">
        <f aca="false">L840*M840</f>
        <v>422.8</v>
      </c>
      <c r="O840" s="22" t="n">
        <f aca="false">COUNTIFS('Billing Actual'!$E$2:$E$770,A840,'Billing Actual'!$B$2:$B$770,'Controls &amp; Sources'!$B$7)</f>
        <v>0</v>
      </c>
      <c r="P840" s="25" t="n">
        <f aca="false">SUMIFS('Billing Actual'!$M$2:$M$770,'Billing Actual'!$E$2:$E$770,A840,'Billing Actual'!$B$2:$B$770,'Controls &amp; Sources'!$B$7)</f>
        <v>0</v>
      </c>
      <c r="Q840" s="25" t="n">
        <f aca="false">P840-N840</f>
        <v>-422.8</v>
      </c>
      <c r="R840" s="22" t="str">
        <f aca="false">IF(O840=0,"No August moorage transaction",IF(O840&gt;1,"Duplicate August transactions",IF(ABS(Q840)&gt;0.005,"Charge variance","OK")))</f>
        <v>No August moorage transaction</v>
      </c>
      <c r="S840" s="22" t="str">
        <f aca="false">IF(R840="OK","","Billing completeness/reconciliation")</f>
        <v>Billing completeness/reconciliation</v>
      </c>
    </row>
    <row r="841" customFormat="false" ht="15" hidden="false" customHeight="false" outlineLevel="0" collapsed="false">
      <c r="A841" s="22" t="s">
        <v>8262</v>
      </c>
      <c r="B841" s="22" t="s">
        <v>499</v>
      </c>
      <c r="C841" s="22" t="s">
        <v>7694</v>
      </c>
      <c r="D841" s="22" t="n">
        <v>45</v>
      </c>
      <c r="E841" s="22" t="s">
        <v>7696</v>
      </c>
      <c r="F841" s="22" t="s">
        <v>6577</v>
      </c>
      <c r="G841" s="22" t="s">
        <v>484</v>
      </c>
      <c r="H841" s="22" t="s">
        <v>485</v>
      </c>
      <c r="I841" s="22" t="s">
        <v>486</v>
      </c>
      <c r="J841" s="22" t="n">
        <v>57.4</v>
      </c>
      <c r="K841" s="22" t="n">
        <f aca="false">ROUNDUP(J841,0)</f>
        <v>58</v>
      </c>
      <c r="L841" s="22" t="n">
        <f aca="false">MAX(D841,K841)</f>
        <v>58</v>
      </c>
      <c r="M841" s="25" t="n">
        <f aca="false">IF(E841="COVERED",'Controls &amp; Sources'!$B$5,'Controls &amp; Sources'!$B$6)</f>
        <v>7.55</v>
      </c>
      <c r="N841" s="25" t="n">
        <f aca="false">L841*M841</f>
        <v>437.9</v>
      </c>
      <c r="O841" s="22" t="n">
        <f aca="false">COUNTIFS('Billing Actual'!$E$2:$E$770,A841,'Billing Actual'!$B$2:$B$770,'Controls &amp; Sources'!$B$7)</f>
        <v>0</v>
      </c>
      <c r="P841" s="25" t="n">
        <f aca="false">SUMIFS('Billing Actual'!$M$2:$M$770,'Billing Actual'!$E$2:$E$770,A841,'Billing Actual'!$B$2:$B$770,'Controls &amp; Sources'!$B$7)</f>
        <v>0</v>
      </c>
      <c r="Q841" s="25" t="n">
        <f aca="false">P841-N841</f>
        <v>-437.9</v>
      </c>
      <c r="R841" s="22" t="str">
        <f aca="false">IF(O841=0,"No August moorage transaction",IF(O841&gt;1,"Duplicate August transactions",IF(ABS(Q841)&gt;0.005,"Charge variance","OK")))</f>
        <v>No August moorage transaction</v>
      </c>
      <c r="S841" s="22" t="str">
        <f aca="false">IF(R841="OK","","Billing completeness/reconciliation")</f>
        <v>Billing completeness/reconciliation</v>
      </c>
    </row>
    <row r="842" customFormat="false" ht="15" hidden="false" customHeight="false" outlineLevel="0" collapsed="false">
      <c r="A842" s="22" t="s">
        <v>8263</v>
      </c>
      <c r="B842" s="22" t="s">
        <v>499</v>
      </c>
      <c r="C842" s="22" t="s">
        <v>7694</v>
      </c>
      <c r="D842" s="22" t="n">
        <v>28</v>
      </c>
      <c r="E842" s="22" t="s">
        <v>7696</v>
      </c>
      <c r="F842" s="22" t="s">
        <v>6577</v>
      </c>
      <c r="G842" s="22" t="s">
        <v>2919</v>
      </c>
      <c r="H842" s="22" t="s">
        <v>2920</v>
      </c>
      <c r="I842" s="22" t="s">
        <v>1374</v>
      </c>
      <c r="J842" s="22" t="n">
        <v>43.1</v>
      </c>
      <c r="K842" s="22" t="n">
        <f aca="false">ROUNDUP(J842,0)</f>
        <v>44</v>
      </c>
      <c r="L842" s="22" t="n">
        <f aca="false">MAX(D842,K842)</f>
        <v>44</v>
      </c>
      <c r="M842" s="25" t="n">
        <f aca="false">IF(E842="COVERED",'Controls &amp; Sources'!$B$5,'Controls &amp; Sources'!$B$6)</f>
        <v>7.55</v>
      </c>
      <c r="N842" s="25" t="n">
        <f aca="false">L842*M842</f>
        <v>332.2</v>
      </c>
      <c r="O842" s="22" t="n">
        <f aca="false">COUNTIFS('Billing Actual'!$E$2:$E$770,A842,'Billing Actual'!$B$2:$B$770,'Controls &amp; Sources'!$B$7)</f>
        <v>0</v>
      </c>
      <c r="P842" s="25" t="n">
        <f aca="false">SUMIFS('Billing Actual'!$M$2:$M$770,'Billing Actual'!$E$2:$E$770,A842,'Billing Actual'!$B$2:$B$770,'Controls &amp; Sources'!$B$7)</f>
        <v>0</v>
      </c>
      <c r="Q842" s="25" t="n">
        <f aca="false">P842-N842</f>
        <v>-332.2</v>
      </c>
      <c r="R842" s="22" t="str">
        <f aca="false">IF(O842=0,"No August moorage transaction",IF(O842&gt;1,"Duplicate August transactions",IF(ABS(Q842)&gt;0.005,"Charge variance","OK")))</f>
        <v>No August moorage transaction</v>
      </c>
      <c r="S842" s="22" t="str">
        <f aca="false">IF(R842="OK","","Billing completeness/reconciliation")</f>
        <v>Billing completeness/reconciliation</v>
      </c>
    </row>
    <row r="843" customFormat="false" ht="15" hidden="false" customHeight="false" outlineLevel="0" collapsed="false">
      <c r="A843" s="22" t="s">
        <v>8264</v>
      </c>
      <c r="B843" s="22" t="s">
        <v>499</v>
      </c>
      <c r="C843" s="22" t="s">
        <v>7694</v>
      </c>
      <c r="D843" s="22" t="n">
        <v>70</v>
      </c>
      <c r="E843" s="22" t="s">
        <v>7696</v>
      </c>
      <c r="F843" s="22" t="s">
        <v>6577</v>
      </c>
      <c r="G843" s="22" t="s">
        <v>2702</v>
      </c>
      <c r="H843" s="22" t="s">
        <v>2703</v>
      </c>
      <c r="I843" s="22" t="s">
        <v>1929</v>
      </c>
      <c r="J843" s="22" t="n">
        <v>29.2</v>
      </c>
      <c r="K843" s="22" t="n">
        <f aca="false">ROUNDUP(J843,0)</f>
        <v>30</v>
      </c>
      <c r="L843" s="22" t="n">
        <f aca="false">MAX(D843,K843)</f>
        <v>70</v>
      </c>
      <c r="M843" s="25" t="n">
        <f aca="false">IF(E843="COVERED",'Controls &amp; Sources'!$B$5,'Controls &amp; Sources'!$B$6)</f>
        <v>7.55</v>
      </c>
      <c r="N843" s="25" t="n">
        <f aca="false">L843*M843</f>
        <v>528.5</v>
      </c>
      <c r="O843" s="22" t="n">
        <f aca="false">COUNTIFS('Billing Actual'!$E$2:$E$770,A843,'Billing Actual'!$B$2:$B$770,'Controls &amp; Sources'!$B$7)</f>
        <v>0</v>
      </c>
      <c r="P843" s="25" t="n">
        <f aca="false">SUMIFS('Billing Actual'!$M$2:$M$770,'Billing Actual'!$E$2:$E$770,A843,'Billing Actual'!$B$2:$B$770,'Controls &amp; Sources'!$B$7)</f>
        <v>0</v>
      </c>
      <c r="Q843" s="25" t="n">
        <f aca="false">P843-N843</f>
        <v>-528.5</v>
      </c>
      <c r="R843" s="22" t="str">
        <f aca="false">IF(O843=0,"No August moorage transaction",IF(O843&gt;1,"Duplicate August transactions",IF(ABS(Q843)&gt;0.005,"Charge variance","OK")))</f>
        <v>No August moorage transaction</v>
      </c>
      <c r="S843" s="22" t="str">
        <f aca="false">IF(R843="OK","","Billing completeness/reconciliation")</f>
        <v>Billing completeness/reconciliation</v>
      </c>
    </row>
    <row r="844" customFormat="false" ht="15" hidden="false" customHeight="false" outlineLevel="0" collapsed="false">
      <c r="A844" s="22" t="s">
        <v>8265</v>
      </c>
      <c r="B844" s="22" t="s">
        <v>499</v>
      </c>
      <c r="C844" s="22" t="s">
        <v>7694</v>
      </c>
      <c r="D844" s="22" t="n">
        <v>70</v>
      </c>
      <c r="E844" s="22" t="s">
        <v>7696</v>
      </c>
      <c r="F844" s="22" t="s">
        <v>6577</v>
      </c>
      <c r="G844" s="22" t="s">
        <v>5794</v>
      </c>
      <c r="H844" s="22" t="s">
        <v>5795</v>
      </c>
      <c r="I844" s="22" t="s">
        <v>784</v>
      </c>
      <c r="J844" s="22" t="n">
        <v>30.5</v>
      </c>
      <c r="K844" s="22" t="n">
        <f aca="false">ROUNDUP(J844,0)</f>
        <v>31</v>
      </c>
      <c r="L844" s="22" t="n">
        <f aca="false">MAX(D844,K844)</f>
        <v>70</v>
      </c>
      <c r="M844" s="25" t="n">
        <f aca="false">IF(E844="COVERED",'Controls &amp; Sources'!$B$5,'Controls &amp; Sources'!$B$6)</f>
        <v>7.55</v>
      </c>
      <c r="N844" s="25" t="n">
        <f aca="false">L844*M844</f>
        <v>528.5</v>
      </c>
      <c r="O844" s="22" t="n">
        <f aca="false">COUNTIFS('Billing Actual'!$E$2:$E$770,A844,'Billing Actual'!$B$2:$B$770,'Controls &amp; Sources'!$B$7)</f>
        <v>0</v>
      </c>
      <c r="P844" s="25" t="n">
        <f aca="false">SUMIFS('Billing Actual'!$M$2:$M$770,'Billing Actual'!$E$2:$E$770,A844,'Billing Actual'!$B$2:$B$770,'Controls &amp; Sources'!$B$7)</f>
        <v>0</v>
      </c>
      <c r="Q844" s="25" t="n">
        <f aca="false">P844-N844</f>
        <v>-528.5</v>
      </c>
      <c r="R844" s="22" t="str">
        <f aca="false">IF(O844=0,"No August moorage transaction",IF(O844&gt;1,"Duplicate August transactions",IF(ABS(Q844)&gt;0.005,"Charge variance","OK")))</f>
        <v>No August moorage transaction</v>
      </c>
      <c r="S844" s="22" t="str">
        <f aca="false">IF(R844="OK","","Billing completeness/reconciliation")</f>
        <v>Billing completeness/reconciliation</v>
      </c>
    </row>
    <row r="845" customFormat="false" ht="15" hidden="false" customHeight="false" outlineLevel="0" collapsed="false">
      <c r="A845" s="22" t="s">
        <v>8266</v>
      </c>
      <c r="B845" s="22" t="s">
        <v>499</v>
      </c>
      <c r="C845" s="22" t="s">
        <v>7694</v>
      </c>
      <c r="D845" s="22" t="n">
        <v>45</v>
      </c>
      <c r="E845" s="22" t="s">
        <v>7696</v>
      </c>
      <c r="F845" s="22" t="s">
        <v>6577</v>
      </c>
      <c r="G845" s="22" t="s">
        <v>3349</v>
      </c>
      <c r="H845" s="22" t="s">
        <v>2409</v>
      </c>
      <c r="I845" s="22" t="s">
        <v>1956</v>
      </c>
      <c r="J845" s="22" t="n">
        <v>34.6</v>
      </c>
      <c r="K845" s="22" t="n">
        <f aca="false">ROUNDUP(J845,0)</f>
        <v>35</v>
      </c>
      <c r="L845" s="22" t="n">
        <f aca="false">MAX(D845,K845)</f>
        <v>45</v>
      </c>
      <c r="M845" s="25" t="n">
        <f aca="false">IF(E845="COVERED",'Controls &amp; Sources'!$B$5,'Controls &amp; Sources'!$B$6)</f>
        <v>7.55</v>
      </c>
      <c r="N845" s="25" t="n">
        <f aca="false">L845*M845</f>
        <v>339.75</v>
      </c>
      <c r="O845" s="22" t="n">
        <f aca="false">COUNTIFS('Billing Actual'!$E$2:$E$770,A845,'Billing Actual'!$B$2:$B$770,'Controls &amp; Sources'!$B$7)</f>
        <v>0</v>
      </c>
      <c r="P845" s="25" t="n">
        <f aca="false">SUMIFS('Billing Actual'!$M$2:$M$770,'Billing Actual'!$E$2:$E$770,A845,'Billing Actual'!$B$2:$B$770,'Controls &amp; Sources'!$B$7)</f>
        <v>0</v>
      </c>
      <c r="Q845" s="25" t="n">
        <f aca="false">P845-N845</f>
        <v>-339.75</v>
      </c>
      <c r="R845" s="22" t="str">
        <f aca="false">IF(O845=0,"No August moorage transaction",IF(O845&gt;1,"Duplicate August transactions",IF(ABS(Q845)&gt;0.005,"Charge variance","OK")))</f>
        <v>No August moorage transaction</v>
      </c>
      <c r="S845" s="22" t="str">
        <f aca="false">IF(R845="OK","","Billing completeness/reconciliation")</f>
        <v>Billing completeness/reconciliation</v>
      </c>
    </row>
    <row r="846" customFormat="false" ht="15" hidden="false" customHeight="false" outlineLevel="0" collapsed="false">
      <c r="A846" s="22" t="s">
        <v>8267</v>
      </c>
      <c r="B846" s="22" t="s">
        <v>499</v>
      </c>
      <c r="C846" s="22" t="s">
        <v>7694</v>
      </c>
      <c r="D846" s="22" t="n">
        <v>28</v>
      </c>
      <c r="E846" s="22" t="s">
        <v>7696</v>
      </c>
      <c r="F846" s="22" t="s">
        <v>6577</v>
      </c>
      <c r="G846" s="22" t="s">
        <v>4170</v>
      </c>
      <c r="H846" s="22" t="s">
        <v>4171</v>
      </c>
      <c r="I846" s="22" t="s">
        <v>4172</v>
      </c>
      <c r="J846" s="22" t="n">
        <v>48.3</v>
      </c>
      <c r="K846" s="22" t="n">
        <f aca="false">ROUNDUP(J846,0)</f>
        <v>49</v>
      </c>
      <c r="L846" s="22" t="n">
        <f aca="false">MAX(D846,K846)</f>
        <v>49</v>
      </c>
      <c r="M846" s="25" t="n">
        <f aca="false">IF(E846="COVERED",'Controls &amp; Sources'!$B$5,'Controls &amp; Sources'!$B$6)</f>
        <v>7.55</v>
      </c>
      <c r="N846" s="25" t="n">
        <f aca="false">L846*M846</f>
        <v>369.95</v>
      </c>
      <c r="O846" s="22" t="n">
        <f aca="false">COUNTIFS('Billing Actual'!$E$2:$E$770,A846,'Billing Actual'!$B$2:$B$770,'Controls &amp; Sources'!$B$7)</f>
        <v>0</v>
      </c>
      <c r="P846" s="25" t="n">
        <f aca="false">SUMIFS('Billing Actual'!$M$2:$M$770,'Billing Actual'!$E$2:$E$770,A846,'Billing Actual'!$B$2:$B$770,'Controls &amp; Sources'!$B$7)</f>
        <v>0</v>
      </c>
      <c r="Q846" s="25" t="n">
        <f aca="false">P846-N846</f>
        <v>-369.95</v>
      </c>
      <c r="R846" s="22" t="str">
        <f aca="false">IF(O846=0,"No August moorage transaction",IF(O846&gt;1,"Duplicate August transactions",IF(ABS(Q846)&gt;0.005,"Charge variance","OK")))</f>
        <v>No August moorage transaction</v>
      </c>
      <c r="S846" s="22" t="str">
        <f aca="false">IF(R846="OK","","Billing completeness/reconciliation")</f>
        <v>Billing completeness/reconciliation</v>
      </c>
    </row>
    <row r="847" customFormat="false" ht="15" hidden="false" customHeight="false" outlineLevel="0" collapsed="false">
      <c r="A847" s="22" t="s">
        <v>8268</v>
      </c>
      <c r="B847" s="22" t="s">
        <v>499</v>
      </c>
      <c r="C847" s="22" t="s">
        <v>7694</v>
      </c>
      <c r="D847" s="22" t="n">
        <v>28</v>
      </c>
      <c r="E847" s="22" t="s">
        <v>7696</v>
      </c>
      <c r="F847" s="22" t="s">
        <v>6577</v>
      </c>
      <c r="G847" s="22" t="s">
        <v>592</v>
      </c>
      <c r="H847" s="22" t="s">
        <v>593</v>
      </c>
      <c r="I847" s="22" t="s">
        <v>594</v>
      </c>
      <c r="J847" s="22" t="n">
        <v>48.7</v>
      </c>
      <c r="K847" s="22" t="n">
        <f aca="false">ROUNDUP(J847,0)</f>
        <v>49</v>
      </c>
      <c r="L847" s="22" t="n">
        <f aca="false">MAX(D847,K847)</f>
        <v>49</v>
      </c>
      <c r="M847" s="25" t="n">
        <f aca="false">IF(E847="COVERED",'Controls &amp; Sources'!$B$5,'Controls &amp; Sources'!$B$6)</f>
        <v>7.55</v>
      </c>
      <c r="N847" s="25" t="n">
        <f aca="false">L847*M847</f>
        <v>369.95</v>
      </c>
      <c r="O847" s="22" t="n">
        <f aca="false">COUNTIFS('Billing Actual'!$E$2:$E$770,A847,'Billing Actual'!$B$2:$B$770,'Controls &amp; Sources'!$B$7)</f>
        <v>0</v>
      </c>
      <c r="P847" s="25" t="n">
        <f aca="false">SUMIFS('Billing Actual'!$M$2:$M$770,'Billing Actual'!$E$2:$E$770,A847,'Billing Actual'!$B$2:$B$770,'Controls &amp; Sources'!$B$7)</f>
        <v>0</v>
      </c>
      <c r="Q847" s="25" t="n">
        <f aca="false">P847-N847</f>
        <v>-369.95</v>
      </c>
      <c r="R847" s="22" t="str">
        <f aca="false">IF(O847=0,"No August moorage transaction",IF(O847&gt;1,"Duplicate August transactions",IF(ABS(Q847)&gt;0.005,"Charge variance","OK")))</f>
        <v>No August moorage transaction</v>
      </c>
      <c r="S847" s="22" t="str">
        <f aca="false">IF(R847="OK","","Billing completeness/reconciliation")</f>
        <v>Billing completeness/reconciliation</v>
      </c>
    </row>
    <row r="848" customFormat="false" ht="15" hidden="false" customHeight="false" outlineLevel="0" collapsed="false">
      <c r="A848" s="22" t="s">
        <v>8270</v>
      </c>
      <c r="B848" s="22" t="s">
        <v>499</v>
      </c>
      <c r="C848" s="22" t="s">
        <v>7694</v>
      </c>
      <c r="D848" s="22" t="n">
        <v>70</v>
      </c>
      <c r="E848" s="22" t="s">
        <v>7696</v>
      </c>
      <c r="F848" s="22" t="s">
        <v>6577</v>
      </c>
      <c r="G848" s="22" t="s">
        <v>5885</v>
      </c>
      <c r="H848" s="22" t="s">
        <v>5886</v>
      </c>
      <c r="I848" s="22" t="s">
        <v>3590</v>
      </c>
      <c r="J848" s="22" t="n">
        <v>33.1</v>
      </c>
      <c r="K848" s="22" t="n">
        <f aca="false">ROUNDUP(J848,0)</f>
        <v>34</v>
      </c>
      <c r="L848" s="22" t="n">
        <f aca="false">MAX(D848,K848)</f>
        <v>70</v>
      </c>
      <c r="M848" s="25" t="n">
        <f aca="false">IF(E848="COVERED",'Controls &amp; Sources'!$B$5,'Controls &amp; Sources'!$B$6)</f>
        <v>7.55</v>
      </c>
      <c r="N848" s="25" t="n">
        <f aca="false">L848*M848</f>
        <v>528.5</v>
      </c>
      <c r="O848" s="22" t="n">
        <f aca="false">COUNTIFS('Billing Actual'!$E$2:$E$770,A848,'Billing Actual'!$B$2:$B$770,'Controls &amp; Sources'!$B$7)</f>
        <v>0</v>
      </c>
      <c r="P848" s="25" t="n">
        <f aca="false">SUMIFS('Billing Actual'!$M$2:$M$770,'Billing Actual'!$E$2:$E$770,A848,'Billing Actual'!$B$2:$B$770,'Controls &amp; Sources'!$B$7)</f>
        <v>0</v>
      </c>
      <c r="Q848" s="25" t="n">
        <f aca="false">P848-N848</f>
        <v>-528.5</v>
      </c>
      <c r="R848" s="22" t="str">
        <f aca="false">IF(O848=0,"No August moorage transaction",IF(O848&gt;1,"Duplicate August transactions",IF(ABS(Q848)&gt;0.005,"Charge variance","OK")))</f>
        <v>No August moorage transaction</v>
      </c>
      <c r="S848" s="22" t="str">
        <f aca="false">IF(R848="OK","","Billing completeness/reconciliation")</f>
        <v>Billing completeness/reconciliation</v>
      </c>
    </row>
    <row r="849" customFormat="false" ht="15" hidden="false" customHeight="false" outlineLevel="0" collapsed="false">
      <c r="A849" s="22" t="s">
        <v>8272</v>
      </c>
      <c r="B849" s="22" t="s">
        <v>499</v>
      </c>
      <c r="C849" s="22" t="s">
        <v>7694</v>
      </c>
      <c r="D849" s="22" t="n">
        <v>70</v>
      </c>
      <c r="E849" s="22" t="s">
        <v>7696</v>
      </c>
      <c r="F849" s="22" t="s">
        <v>6577</v>
      </c>
      <c r="G849" s="22" t="s">
        <v>294</v>
      </c>
      <c r="H849" s="22" t="s">
        <v>295</v>
      </c>
      <c r="I849" s="22" t="s">
        <v>296</v>
      </c>
      <c r="J849" s="22" t="n">
        <v>55.9</v>
      </c>
      <c r="K849" s="22" t="n">
        <f aca="false">ROUNDUP(J849,0)</f>
        <v>56</v>
      </c>
      <c r="L849" s="22" t="n">
        <f aca="false">MAX(D849,K849)</f>
        <v>70</v>
      </c>
      <c r="M849" s="25" t="n">
        <f aca="false">IF(E849="COVERED",'Controls &amp; Sources'!$B$5,'Controls &amp; Sources'!$B$6)</f>
        <v>7.55</v>
      </c>
      <c r="N849" s="25" t="n">
        <f aca="false">L849*M849</f>
        <v>528.5</v>
      </c>
      <c r="O849" s="22" t="n">
        <f aca="false">COUNTIFS('Billing Actual'!$E$2:$E$770,A849,'Billing Actual'!$B$2:$B$770,'Controls &amp; Sources'!$B$7)</f>
        <v>0</v>
      </c>
      <c r="P849" s="25" t="n">
        <f aca="false">SUMIFS('Billing Actual'!$M$2:$M$770,'Billing Actual'!$E$2:$E$770,A849,'Billing Actual'!$B$2:$B$770,'Controls &amp; Sources'!$B$7)</f>
        <v>0</v>
      </c>
      <c r="Q849" s="25" t="n">
        <f aca="false">P849-N849</f>
        <v>-528.5</v>
      </c>
      <c r="R849" s="22" t="str">
        <f aca="false">IF(O849=0,"No August moorage transaction",IF(O849&gt;1,"Duplicate August transactions",IF(ABS(Q849)&gt;0.005,"Charge variance","OK")))</f>
        <v>No August moorage transaction</v>
      </c>
      <c r="S849" s="22" t="str">
        <f aca="false">IF(R849="OK","","Billing completeness/reconciliation")</f>
        <v>Billing completeness/reconciliation</v>
      </c>
    </row>
    <row r="850" customFormat="false" ht="15" hidden="false" customHeight="false" outlineLevel="0" collapsed="false">
      <c r="A850" s="22" t="s">
        <v>8273</v>
      </c>
      <c r="B850" s="22" t="s">
        <v>499</v>
      </c>
      <c r="C850" s="22" t="s">
        <v>7694</v>
      </c>
      <c r="D850" s="22" t="n">
        <v>60</v>
      </c>
      <c r="E850" s="22" t="s">
        <v>7696</v>
      </c>
      <c r="F850" s="22" t="s">
        <v>6577</v>
      </c>
      <c r="G850" s="22" t="s">
        <v>5554</v>
      </c>
      <c r="H850" s="22" t="s">
        <v>5555</v>
      </c>
      <c r="I850" s="22" t="s">
        <v>896</v>
      </c>
      <c r="J850" s="22" t="n">
        <v>56.6</v>
      </c>
      <c r="K850" s="22" t="n">
        <f aca="false">ROUNDUP(J850,0)</f>
        <v>57</v>
      </c>
      <c r="L850" s="22" t="n">
        <f aca="false">MAX(D850,K850)</f>
        <v>60</v>
      </c>
      <c r="M850" s="25" t="n">
        <f aca="false">IF(E850="COVERED",'Controls &amp; Sources'!$B$5,'Controls &amp; Sources'!$B$6)</f>
        <v>7.55</v>
      </c>
      <c r="N850" s="25" t="n">
        <f aca="false">L850*M850</f>
        <v>453</v>
      </c>
      <c r="O850" s="22" t="n">
        <f aca="false">COUNTIFS('Billing Actual'!$E$2:$E$770,A850,'Billing Actual'!$B$2:$B$770,'Controls &amp; Sources'!$B$7)</f>
        <v>0</v>
      </c>
      <c r="P850" s="25" t="n">
        <f aca="false">SUMIFS('Billing Actual'!$M$2:$M$770,'Billing Actual'!$E$2:$E$770,A850,'Billing Actual'!$B$2:$B$770,'Controls &amp; Sources'!$B$7)</f>
        <v>0</v>
      </c>
      <c r="Q850" s="25" t="n">
        <f aca="false">P850-N850</f>
        <v>-453</v>
      </c>
      <c r="R850" s="22" t="str">
        <f aca="false">IF(O850=0,"No August moorage transaction",IF(O850&gt;1,"Duplicate August transactions",IF(ABS(Q850)&gt;0.005,"Charge variance","OK")))</f>
        <v>No August moorage transaction</v>
      </c>
      <c r="S850" s="22" t="str">
        <f aca="false">IF(R850="OK","","Billing completeness/reconciliation")</f>
        <v>Billing completeness/reconciliation</v>
      </c>
    </row>
    <row r="851" customFormat="false" ht="15" hidden="false" customHeight="false" outlineLevel="0" collapsed="false">
      <c r="A851" s="22" t="s">
        <v>8274</v>
      </c>
      <c r="B851" s="22" t="s">
        <v>499</v>
      </c>
      <c r="C851" s="22" t="s">
        <v>7694</v>
      </c>
      <c r="D851" s="22" t="n">
        <v>70</v>
      </c>
      <c r="E851" s="22" t="s">
        <v>7696</v>
      </c>
      <c r="F851" s="22" t="s">
        <v>6577</v>
      </c>
      <c r="G851" s="22" t="s">
        <v>4897</v>
      </c>
      <c r="H851" s="22" t="s">
        <v>4898</v>
      </c>
      <c r="I851" s="22" t="s">
        <v>2222</v>
      </c>
      <c r="J851" s="22" t="n">
        <v>56</v>
      </c>
      <c r="K851" s="22" t="n">
        <f aca="false">ROUNDUP(J851,0)</f>
        <v>56</v>
      </c>
      <c r="L851" s="22" t="n">
        <f aca="false">MAX(D851,K851)</f>
        <v>70</v>
      </c>
      <c r="M851" s="25" t="n">
        <f aca="false">IF(E851="COVERED",'Controls &amp; Sources'!$B$5,'Controls &amp; Sources'!$B$6)</f>
        <v>7.55</v>
      </c>
      <c r="N851" s="25" t="n">
        <f aca="false">L851*M851</f>
        <v>528.5</v>
      </c>
      <c r="O851" s="22" t="n">
        <f aca="false">COUNTIFS('Billing Actual'!$E$2:$E$770,A851,'Billing Actual'!$B$2:$B$770,'Controls &amp; Sources'!$B$7)</f>
        <v>0</v>
      </c>
      <c r="P851" s="25" t="n">
        <f aca="false">SUMIFS('Billing Actual'!$M$2:$M$770,'Billing Actual'!$E$2:$E$770,A851,'Billing Actual'!$B$2:$B$770,'Controls &amp; Sources'!$B$7)</f>
        <v>0</v>
      </c>
      <c r="Q851" s="25" t="n">
        <f aca="false">P851-N851</f>
        <v>-528.5</v>
      </c>
      <c r="R851" s="22" t="str">
        <f aca="false">IF(O851=0,"No August moorage transaction",IF(O851&gt;1,"Duplicate August transactions",IF(ABS(Q851)&gt;0.005,"Charge variance","OK")))</f>
        <v>No August moorage transaction</v>
      </c>
      <c r="S851" s="22" t="str">
        <f aca="false">IF(R851="OK","","Billing completeness/reconciliation")</f>
        <v>Billing completeness/reconciliation</v>
      </c>
    </row>
    <row r="852" customFormat="false" ht="15" hidden="false" customHeight="false" outlineLevel="0" collapsed="false">
      <c r="A852" s="22" t="s">
        <v>8275</v>
      </c>
      <c r="B852" s="22" t="s">
        <v>499</v>
      </c>
      <c r="C852" s="22" t="s">
        <v>7694</v>
      </c>
      <c r="D852" s="22" t="n">
        <v>24</v>
      </c>
      <c r="E852" s="22" t="s">
        <v>7696</v>
      </c>
      <c r="F852" s="22" t="s">
        <v>6577</v>
      </c>
      <c r="G852" s="22" t="s">
        <v>228</v>
      </c>
      <c r="H852" s="22" t="s">
        <v>229</v>
      </c>
      <c r="I852" s="22" t="s">
        <v>230</v>
      </c>
      <c r="J852" s="22" t="n">
        <v>43.9</v>
      </c>
      <c r="K852" s="22" t="n">
        <f aca="false">ROUNDUP(J852,0)</f>
        <v>44</v>
      </c>
      <c r="L852" s="22" t="n">
        <f aca="false">MAX(D852,K852)</f>
        <v>44</v>
      </c>
      <c r="M852" s="25" t="n">
        <f aca="false">IF(E852="COVERED",'Controls &amp; Sources'!$B$5,'Controls &amp; Sources'!$B$6)</f>
        <v>7.55</v>
      </c>
      <c r="N852" s="25" t="n">
        <f aca="false">L852*M852</f>
        <v>332.2</v>
      </c>
      <c r="O852" s="22" t="n">
        <f aca="false">COUNTIFS('Billing Actual'!$E$2:$E$770,A852,'Billing Actual'!$B$2:$B$770,'Controls &amp; Sources'!$B$7)</f>
        <v>0</v>
      </c>
      <c r="P852" s="25" t="n">
        <f aca="false">SUMIFS('Billing Actual'!$M$2:$M$770,'Billing Actual'!$E$2:$E$770,A852,'Billing Actual'!$B$2:$B$770,'Controls &amp; Sources'!$B$7)</f>
        <v>0</v>
      </c>
      <c r="Q852" s="25" t="n">
        <f aca="false">P852-N852</f>
        <v>-332.2</v>
      </c>
      <c r="R852" s="22" t="str">
        <f aca="false">IF(O852=0,"No August moorage transaction",IF(O852&gt;1,"Duplicate August transactions",IF(ABS(Q852)&gt;0.005,"Charge variance","OK")))</f>
        <v>No August moorage transaction</v>
      </c>
      <c r="S852" s="22" t="str">
        <f aca="false">IF(R852="OK","","Billing completeness/reconciliation")</f>
        <v>Billing completeness/reconciliation</v>
      </c>
    </row>
    <row r="853" customFormat="false" ht="15" hidden="false" customHeight="false" outlineLevel="0" collapsed="false">
      <c r="A853" s="22" t="s">
        <v>8277</v>
      </c>
      <c r="B853" s="22" t="s">
        <v>499</v>
      </c>
      <c r="C853" s="22" t="s">
        <v>7694</v>
      </c>
      <c r="D853" s="22" t="n">
        <v>28</v>
      </c>
      <c r="E853" s="22" t="s">
        <v>7696</v>
      </c>
      <c r="F853" s="22" t="s">
        <v>6577</v>
      </c>
      <c r="G853" s="22" t="s">
        <v>6259</v>
      </c>
      <c r="H853" s="22" t="s">
        <v>6260</v>
      </c>
      <c r="I853" s="22" t="s">
        <v>516</v>
      </c>
      <c r="J853" s="22" t="n">
        <v>57.9</v>
      </c>
      <c r="K853" s="22" t="n">
        <f aca="false">ROUNDUP(J853,0)</f>
        <v>58</v>
      </c>
      <c r="L853" s="22" t="n">
        <f aca="false">MAX(D853,K853)</f>
        <v>58</v>
      </c>
      <c r="M853" s="25" t="n">
        <f aca="false">IF(E853="COVERED",'Controls &amp; Sources'!$B$5,'Controls &amp; Sources'!$B$6)</f>
        <v>7.55</v>
      </c>
      <c r="N853" s="25" t="n">
        <f aca="false">L853*M853</f>
        <v>437.9</v>
      </c>
      <c r="O853" s="22" t="n">
        <f aca="false">COUNTIFS('Billing Actual'!$E$2:$E$770,A853,'Billing Actual'!$B$2:$B$770,'Controls &amp; Sources'!$B$7)</f>
        <v>0</v>
      </c>
      <c r="P853" s="25" t="n">
        <f aca="false">SUMIFS('Billing Actual'!$M$2:$M$770,'Billing Actual'!$E$2:$E$770,A853,'Billing Actual'!$B$2:$B$770,'Controls &amp; Sources'!$B$7)</f>
        <v>0</v>
      </c>
      <c r="Q853" s="25" t="n">
        <f aca="false">P853-N853</f>
        <v>-437.9</v>
      </c>
      <c r="R853" s="22" t="str">
        <f aca="false">IF(O853=0,"No August moorage transaction",IF(O853&gt;1,"Duplicate August transactions",IF(ABS(Q853)&gt;0.005,"Charge variance","OK")))</f>
        <v>No August moorage transaction</v>
      </c>
      <c r="S853" s="22" t="str">
        <f aca="false">IF(R853="OK","","Billing completeness/reconciliation")</f>
        <v>Billing completeness/reconciliation</v>
      </c>
    </row>
    <row r="854" customFormat="false" ht="15" hidden="false" customHeight="false" outlineLevel="0" collapsed="false">
      <c r="A854" s="22" t="s">
        <v>8279</v>
      </c>
      <c r="B854" s="22" t="s">
        <v>499</v>
      </c>
      <c r="C854" s="22" t="s">
        <v>7694</v>
      </c>
      <c r="D854" s="22" t="n">
        <v>24</v>
      </c>
      <c r="E854" s="22" t="s">
        <v>7696</v>
      </c>
      <c r="F854" s="22" t="s">
        <v>6577</v>
      </c>
      <c r="G854" s="22" t="s">
        <v>3639</v>
      </c>
      <c r="H854" s="22" t="s">
        <v>3640</v>
      </c>
      <c r="I854" s="22" t="s">
        <v>236</v>
      </c>
      <c r="J854" s="22" t="n">
        <v>48.4</v>
      </c>
      <c r="K854" s="22" t="n">
        <f aca="false">ROUNDUP(J854,0)</f>
        <v>49</v>
      </c>
      <c r="L854" s="22" t="n">
        <f aca="false">MAX(D854,K854)</f>
        <v>49</v>
      </c>
      <c r="M854" s="25" t="n">
        <f aca="false">IF(E854="COVERED",'Controls &amp; Sources'!$B$5,'Controls &amp; Sources'!$B$6)</f>
        <v>7.55</v>
      </c>
      <c r="N854" s="25" t="n">
        <f aca="false">L854*M854</f>
        <v>369.95</v>
      </c>
      <c r="O854" s="22" t="n">
        <f aca="false">COUNTIFS('Billing Actual'!$E$2:$E$770,A854,'Billing Actual'!$B$2:$B$770,'Controls &amp; Sources'!$B$7)</f>
        <v>0</v>
      </c>
      <c r="P854" s="25" t="n">
        <f aca="false">SUMIFS('Billing Actual'!$M$2:$M$770,'Billing Actual'!$E$2:$E$770,A854,'Billing Actual'!$B$2:$B$770,'Controls &amp; Sources'!$B$7)</f>
        <v>0</v>
      </c>
      <c r="Q854" s="25" t="n">
        <f aca="false">P854-N854</f>
        <v>-369.95</v>
      </c>
      <c r="R854" s="22" t="str">
        <f aca="false">IF(O854=0,"No August moorage transaction",IF(O854&gt;1,"Duplicate August transactions",IF(ABS(Q854)&gt;0.005,"Charge variance","OK")))</f>
        <v>No August moorage transaction</v>
      </c>
      <c r="S854" s="22" t="str">
        <f aca="false">IF(R854="OK","","Billing completeness/reconciliation")</f>
        <v>Billing completeness/reconciliation</v>
      </c>
    </row>
    <row r="855" customFormat="false" ht="15" hidden="false" customHeight="false" outlineLevel="0" collapsed="false">
      <c r="A855" s="22" t="s">
        <v>8280</v>
      </c>
      <c r="B855" s="22" t="s">
        <v>499</v>
      </c>
      <c r="C855" s="22" t="s">
        <v>7694</v>
      </c>
      <c r="D855" s="22" t="n">
        <v>24</v>
      </c>
      <c r="E855" s="22" t="s">
        <v>7696</v>
      </c>
      <c r="F855" s="22" t="s">
        <v>6577</v>
      </c>
      <c r="G855" s="22" t="s">
        <v>3973</v>
      </c>
      <c r="H855" s="22" t="s">
        <v>3974</v>
      </c>
      <c r="I855" s="22" t="s">
        <v>1802</v>
      </c>
      <c r="J855" s="22" t="n">
        <v>27.3</v>
      </c>
      <c r="K855" s="22" t="n">
        <f aca="false">ROUNDUP(J855,0)</f>
        <v>28</v>
      </c>
      <c r="L855" s="22" t="n">
        <f aca="false">MAX(D855,K855)</f>
        <v>28</v>
      </c>
      <c r="M855" s="25" t="n">
        <f aca="false">IF(E855="COVERED",'Controls &amp; Sources'!$B$5,'Controls &amp; Sources'!$B$6)</f>
        <v>7.55</v>
      </c>
      <c r="N855" s="25" t="n">
        <f aca="false">L855*M855</f>
        <v>211.4</v>
      </c>
      <c r="O855" s="22" t="n">
        <f aca="false">COUNTIFS('Billing Actual'!$E$2:$E$770,A855,'Billing Actual'!$B$2:$B$770,'Controls &amp; Sources'!$B$7)</f>
        <v>0</v>
      </c>
      <c r="P855" s="25" t="n">
        <f aca="false">SUMIFS('Billing Actual'!$M$2:$M$770,'Billing Actual'!$E$2:$E$770,A855,'Billing Actual'!$B$2:$B$770,'Controls &amp; Sources'!$B$7)</f>
        <v>0</v>
      </c>
      <c r="Q855" s="25" t="n">
        <f aca="false">P855-N855</f>
        <v>-211.4</v>
      </c>
      <c r="R855" s="22" t="str">
        <f aca="false">IF(O855=0,"No August moorage transaction",IF(O855&gt;1,"Duplicate August transactions",IF(ABS(Q855)&gt;0.005,"Charge variance","OK")))</f>
        <v>No August moorage transaction</v>
      </c>
      <c r="S855" s="22" t="str">
        <f aca="false">IF(R855="OK","","Billing completeness/reconciliation")</f>
        <v>Billing completeness/reconciliation</v>
      </c>
    </row>
    <row r="856" customFormat="false" ht="15" hidden="false" customHeight="false" outlineLevel="0" collapsed="false">
      <c r="A856" s="22" t="s">
        <v>8281</v>
      </c>
      <c r="B856" s="22" t="s">
        <v>499</v>
      </c>
      <c r="C856" s="22" t="s">
        <v>7694</v>
      </c>
      <c r="D856" s="22" t="n">
        <v>60</v>
      </c>
      <c r="E856" s="22" t="s">
        <v>7696</v>
      </c>
      <c r="F856" s="22" t="s">
        <v>6577</v>
      </c>
      <c r="G856" s="22" t="s">
        <v>2254</v>
      </c>
      <c r="H856" s="22" t="s">
        <v>2255</v>
      </c>
      <c r="I856" s="22" t="s">
        <v>1971</v>
      </c>
      <c r="J856" s="22" t="n">
        <v>29.8</v>
      </c>
      <c r="K856" s="22" t="n">
        <f aca="false">ROUNDUP(J856,0)</f>
        <v>30</v>
      </c>
      <c r="L856" s="22" t="n">
        <f aca="false">MAX(D856,K856)</f>
        <v>60</v>
      </c>
      <c r="M856" s="25" t="n">
        <f aca="false">IF(E856="COVERED",'Controls &amp; Sources'!$B$5,'Controls &amp; Sources'!$B$6)</f>
        <v>7.55</v>
      </c>
      <c r="N856" s="25" t="n">
        <f aca="false">L856*M856</f>
        <v>453</v>
      </c>
      <c r="O856" s="22" t="n">
        <f aca="false">COUNTIFS('Billing Actual'!$E$2:$E$770,A856,'Billing Actual'!$B$2:$B$770,'Controls &amp; Sources'!$B$7)</f>
        <v>0</v>
      </c>
      <c r="P856" s="25" t="n">
        <f aca="false">SUMIFS('Billing Actual'!$M$2:$M$770,'Billing Actual'!$E$2:$E$770,A856,'Billing Actual'!$B$2:$B$770,'Controls &amp; Sources'!$B$7)</f>
        <v>0</v>
      </c>
      <c r="Q856" s="25" t="n">
        <f aca="false">P856-N856</f>
        <v>-453</v>
      </c>
      <c r="R856" s="22" t="str">
        <f aca="false">IF(O856=0,"No August moorage transaction",IF(O856&gt;1,"Duplicate August transactions",IF(ABS(Q856)&gt;0.005,"Charge variance","OK")))</f>
        <v>No August moorage transaction</v>
      </c>
      <c r="S856" s="22" t="str">
        <f aca="false">IF(R856="OK","","Billing completeness/reconciliation")</f>
        <v>Billing completeness/reconciliation</v>
      </c>
    </row>
    <row r="857" customFormat="false" ht="15" hidden="false" customHeight="false" outlineLevel="0" collapsed="false">
      <c r="A857" s="22" t="s">
        <v>8282</v>
      </c>
      <c r="B857" s="22" t="s">
        <v>499</v>
      </c>
      <c r="C857" s="22" t="s">
        <v>7694</v>
      </c>
      <c r="D857" s="22" t="n">
        <v>24</v>
      </c>
      <c r="E857" s="22" t="s">
        <v>7696</v>
      </c>
      <c r="F857" s="22" t="s">
        <v>6577</v>
      </c>
      <c r="G857" s="22" t="s">
        <v>6253</v>
      </c>
      <c r="H857" s="22" t="s">
        <v>6254</v>
      </c>
      <c r="I857" s="22" t="s">
        <v>2744</v>
      </c>
      <c r="J857" s="22" t="n">
        <v>45.8</v>
      </c>
      <c r="K857" s="22" t="n">
        <f aca="false">ROUNDUP(J857,0)</f>
        <v>46</v>
      </c>
      <c r="L857" s="22" t="n">
        <f aca="false">MAX(D857,K857)</f>
        <v>46</v>
      </c>
      <c r="M857" s="25" t="n">
        <f aca="false">IF(E857="COVERED",'Controls &amp; Sources'!$B$5,'Controls &amp; Sources'!$B$6)</f>
        <v>7.55</v>
      </c>
      <c r="N857" s="25" t="n">
        <f aca="false">L857*M857</f>
        <v>347.3</v>
      </c>
      <c r="O857" s="22" t="n">
        <f aca="false">COUNTIFS('Billing Actual'!$E$2:$E$770,A857,'Billing Actual'!$B$2:$B$770,'Controls &amp; Sources'!$B$7)</f>
        <v>0</v>
      </c>
      <c r="P857" s="25" t="n">
        <f aca="false">SUMIFS('Billing Actual'!$M$2:$M$770,'Billing Actual'!$E$2:$E$770,A857,'Billing Actual'!$B$2:$B$770,'Controls &amp; Sources'!$B$7)</f>
        <v>0</v>
      </c>
      <c r="Q857" s="25" t="n">
        <f aca="false">P857-N857</f>
        <v>-347.3</v>
      </c>
      <c r="R857" s="22" t="str">
        <f aca="false">IF(O857=0,"No August moorage transaction",IF(O857&gt;1,"Duplicate August transactions",IF(ABS(Q857)&gt;0.005,"Charge variance","OK")))</f>
        <v>No August moorage transaction</v>
      </c>
      <c r="S857" s="22" t="str">
        <f aca="false">IF(R857="OK","","Billing completeness/reconciliation")</f>
        <v>Billing completeness/reconciliation</v>
      </c>
    </row>
    <row r="858" customFormat="false" ht="15" hidden="false" customHeight="false" outlineLevel="0" collapsed="false">
      <c r="A858" s="22" t="s">
        <v>8283</v>
      </c>
      <c r="B858" s="22" t="s">
        <v>499</v>
      </c>
      <c r="C858" s="22" t="s">
        <v>7694</v>
      </c>
      <c r="D858" s="22" t="n">
        <v>36</v>
      </c>
      <c r="E858" s="22" t="s">
        <v>7696</v>
      </c>
      <c r="F858" s="22" t="s">
        <v>6577</v>
      </c>
      <c r="G858" s="22" t="s">
        <v>2931</v>
      </c>
      <c r="H858" s="22" t="s">
        <v>2932</v>
      </c>
      <c r="I858" s="22" t="s">
        <v>1705</v>
      </c>
      <c r="J858" s="22" t="n">
        <v>59.7</v>
      </c>
      <c r="K858" s="22" t="n">
        <f aca="false">ROUNDUP(J858,0)</f>
        <v>60</v>
      </c>
      <c r="L858" s="22" t="n">
        <f aca="false">MAX(D858,K858)</f>
        <v>60</v>
      </c>
      <c r="M858" s="25" t="n">
        <f aca="false">IF(E858="COVERED",'Controls &amp; Sources'!$B$5,'Controls &amp; Sources'!$B$6)</f>
        <v>7.55</v>
      </c>
      <c r="N858" s="25" t="n">
        <f aca="false">L858*M858</f>
        <v>453</v>
      </c>
      <c r="O858" s="22" t="n">
        <f aca="false">COUNTIFS('Billing Actual'!$E$2:$E$770,A858,'Billing Actual'!$B$2:$B$770,'Controls &amp; Sources'!$B$7)</f>
        <v>0</v>
      </c>
      <c r="P858" s="25" t="n">
        <f aca="false">SUMIFS('Billing Actual'!$M$2:$M$770,'Billing Actual'!$E$2:$E$770,A858,'Billing Actual'!$B$2:$B$770,'Controls &amp; Sources'!$B$7)</f>
        <v>0</v>
      </c>
      <c r="Q858" s="25" t="n">
        <f aca="false">P858-N858</f>
        <v>-453</v>
      </c>
      <c r="R858" s="22" t="str">
        <f aca="false">IF(O858=0,"No August moorage transaction",IF(O858&gt;1,"Duplicate August transactions",IF(ABS(Q858)&gt;0.005,"Charge variance","OK")))</f>
        <v>No August moorage transaction</v>
      </c>
      <c r="S858" s="22" t="str">
        <f aca="false">IF(R858="OK","","Billing completeness/reconciliation")</f>
        <v>Billing completeness/reconciliation</v>
      </c>
    </row>
    <row r="859" customFormat="false" ht="15" hidden="false" customHeight="false" outlineLevel="0" collapsed="false">
      <c r="A859" s="22" t="s">
        <v>8284</v>
      </c>
      <c r="B859" s="22" t="s">
        <v>499</v>
      </c>
      <c r="C859" s="22" t="s">
        <v>7694</v>
      </c>
      <c r="D859" s="22" t="n">
        <v>36</v>
      </c>
      <c r="E859" s="22" t="s">
        <v>7696</v>
      </c>
      <c r="F859" s="22" t="s">
        <v>6577</v>
      </c>
      <c r="G859" s="22" t="s">
        <v>5597</v>
      </c>
      <c r="H859" s="22" t="s">
        <v>5598</v>
      </c>
      <c r="I859" s="22" t="s">
        <v>1193</v>
      </c>
      <c r="J859" s="22" t="n">
        <v>59.9</v>
      </c>
      <c r="K859" s="22" t="n">
        <f aca="false">ROUNDUP(J859,0)</f>
        <v>60</v>
      </c>
      <c r="L859" s="22" t="n">
        <f aca="false">MAX(D859,K859)</f>
        <v>60</v>
      </c>
      <c r="M859" s="25" t="n">
        <f aca="false">IF(E859="COVERED",'Controls &amp; Sources'!$B$5,'Controls &amp; Sources'!$B$6)</f>
        <v>7.55</v>
      </c>
      <c r="N859" s="25" t="n">
        <f aca="false">L859*M859</f>
        <v>453</v>
      </c>
      <c r="O859" s="22" t="n">
        <f aca="false">COUNTIFS('Billing Actual'!$E$2:$E$770,A859,'Billing Actual'!$B$2:$B$770,'Controls &amp; Sources'!$B$7)</f>
        <v>0</v>
      </c>
      <c r="P859" s="25" t="n">
        <f aca="false">SUMIFS('Billing Actual'!$M$2:$M$770,'Billing Actual'!$E$2:$E$770,A859,'Billing Actual'!$B$2:$B$770,'Controls &amp; Sources'!$B$7)</f>
        <v>0</v>
      </c>
      <c r="Q859" s="25" t="n">
        <f aca="false">P859-N859</f>
        <v>-453</v>
      </c>
      <c r="R859" s="22" t="str">
        <f aca="false">IF(O859=0,"No August moorage transaction",IF(O859&gt;1,"Duplicate August transactions",IF(ABS(Q859)&gt;0.005,"Charge variance","OK")))</f>
        <v>No August moorage transaction</v>
      </c>
      <c r="S859" s="22" t="str">
        <f aca="false">IF(R859="OK","","Billing completeness/reconciliation")</f>
        <v>Billing completeness/reconciliation</v>
      </c>
    </row>
    <row r="860" customFormat="false" ht="15" hidden="false" customHeight="false" outlineLevel="0" collapsed="false">
      <c r="A860" s="22" t="s">
        <v>8285</v>
      </c>
      <c r="B860" s="22" t="s">
        <v>499</v>
      </c>
      <c r="C860" s="22" t="s">
        <v>7694</v>
      </c>
      <c r="D860" s="22" t="n">
        <v>32</v>
      </c>
      <c r="E860" s="22" t="s">
        <v>7696</v>
      </c>
      <c r="F860" s="22" t="s">
        <v>6577</v>
      </c>
      <c r="G860" s="22" t="s">
        <v>2687</v>
      </c>
      <c r="H860" s="22" t="s">
        <v>2688</v>
      </c>
      <c r="I860" s="22" t="s">
        <v>1395</v>
      </c>
      <c r="J860" s="22" t="n">
        <v>49.7</v>
      </c>
      <c r="K860" s="22" t="n">
        <f aca="false">ROUNDUP(J860,0)</f>
        <v>50</v>
      </c>
      <c r="L860" s="22" t="n">
        <f aca="false">MAX(D860,K860)</f>
        <v>50</v>
      </c>
      <c r="M860" s="25" t="n">
        <f aca="false">IF(E860="COVERED",'Controls &amp; Sources'!$B$5,'Controls &amp; Sources'!$B$6)</f>
        <v>7.55</v>
      </c>
      <c r="N860" s="25" t="n">
        <f aca="false">L860*M860</f>
        <v>377.5</v>
      </c>
      <c r="O860" s="22" t="n">
        <f aca="false">COUNTIFS('Billing Actual'!$E$2:$E$770,A860,'Billing Actual'!$B$2:$B$770,'Controls &amp; Sources'!$B$7)</f>
        <v>0</v>
      </c>
      <c r="P860" s="25" t="n">
        <f aca="false">SUMIFS('Billing Actual'!$M$2:$M$770,'Billing Actual'!$E$2:$E$770,A860,'Billing Actual'!$B$2:$B$770,'Controls &amp; Sources'!$B$7)</f>
        <v>0</v>
      </c>
      <c r="Q860" s="25" t="n">
        <f aca="false">P860-N860</f>
        <v>-377.5</v>
      </c>
      <c r="R860" s="22" t="str">
        <f aca="false">IF(O860=0,"No August moorage transaction",IF(O860&gt;1,"Duplicate August transactions",IF(ABS(Q860)&gt;0.005,"Charge variance","OK")))</f>
        <v>No August moorage transaction</v>
      </c>
      <c r="S860" s="22" t="str">
        <f aca="false">IF(R860="OK","","Billing completeness/reconciliation")</f>
        <v>Billing completeness/reconciliation</v>
      </c>
    </row>
    <row r="861" customFormat="false" ht="15" hidden="false" customHeight="false" outlineLevel="0" collapsed="false">
      <c r="A861" s="22" t="s">
        <v>8286</v>
      </c>
      <c r="B861" s="22" t="s">
        <v>499</v>
      </c>
      <c r="C861" s="22" t="s">
        <v>7694</v>
      </c>
      <c r="D861" s="22" t="n">
        <v>50</v>
      </c>
      <c r="E861" s="22" t="s">
        <v>7696</v>
      </c>
      <c r="F861" s="22" t="s">
        <v>6577</v>
      </c>
      <c r="G861" s="22" t="s">
        <v>2863</v>
      </c>
      <c r="H861" s="22" t="s">
        <v>2864</v>
      </c>
      <c r="I861" s="22" t="s">
        <v>2865</v>
      </c>
      <c r="J861" s="22" t="n">
        <v>38.9</v>
      </c>
      <c r="K861" s="22" t="n">
        <f aca="false">ROUNDUP(J861,0)</f>
        <v>39</v>
      </c>
      <c r="L861" s="22" t="n">
        <f aca="false">MAX(D861,K861)</f>
        <v>50</v>
      </c>
      <c r="M861" s="25" t="n">
        <f aca="false">IF(E861="COVERED",'Controls &amp; Sources'!$B$5,'Controls &amp; Sources'!$B$6)</f>
        <v>7.55</v>
      </c>
      <c r="N861" s="25" t="n">
        <f aca="false">L861*M861</f>
        <v>377.5</v>
      </c>
      <c r="O861" s="22" t="n">
        <f aca="false">COUNTIFS('Billing Actual'!$E$2:$E$770,A861,'Billing Actual'!$B$2:$B$770,'Controls &amp; Sources'!$B$7)</f>
        <v>0</v>
      </c>
      <c r="P861" s="25" t="n">
        <f aca="false">SUMIFS('Billing Actual'!$M$2:$M$770,'Billing Actual'!$E$2:$E$770,A861,'Billing Actual'!$B$2:$B$770,'Controls &amp; Sources'!$B$7)</f>
        <v>0</v>
      </c>
      <c r="Q861" s="25" t="n">
        <f aca="false">P861-N861</f>
        <v>-377.5</v>
      </c>
      <c r="R861" s="22" t="str">
        <f aca="false">IF(O861=0,"No August moorage transaction",IF(O861&gt;1,"Duplicate August transactions",IF(ABS(Q861)&gt;0.005,"Charge variance","OK")))</f>
        <v>No August moorage transaction</v>
      </c>
      <c r="S861" s="22" t="str">
        <f aca="false">IF(R861="OK","","Billing completeness/reconciliation")</f>
        <v>Billing completeness/reconciliation</v>
      </c>
    </row>
    <row r="862" customFormat="false" ht="15" hidden="false" customHeight="false" outlineLevel="0" collapsed="false">
      <c r="A862" s="22" t="s">
        <v>8287</v>
      </c>
      <c r="B862" s="22" t="s">
        <v>499</v>
      </c>
      <c r="C862" s="22" t="s">
        <v>7694</v>
      </c>
      <c r="D862" s="22" t="n">
        <v>45</v>
      </c>
      <c r="E862" s="22" t="s">
        <v>7696</v>
      </c>
      <c r="F862" s="22" t="s">
        <v>6577</v>
      </c>
      <c r="G862" s="22" t="s">
        <v>2185</v>
      </c>
      <c r="H862" s="22" t="s">
        <v>2186</v>
      </c>
      <c r="I862" s="22" t="s">
        <v>364</v>
      </c>
      <c r="J862" s="22" t="n">
        <v>53.3</v>
      </c>
      <c r="K862" s="22" t="n">
        <f aca="false">ROUNDUP(J862,0)</f>
        <v>54</v>
      </c>
      <c r="L862" s="22" t="n">
        <f aca="false">MAX(D862,K862)</f>
        <v>54</v>
      </c>
      <c r="M862" s="25" t="n">
        <f aca="false">IF(E862="COVERED",'Controls &amp; Sources'!$B$5,'Controls &amp; Sources'!$B$6)</f>
        <v>7.55</v>
      </c>
      <c r="N862" s="25" t="n">
        <f aca="false">L862*M862</f>
        <v>407.7</v>
      </c>
      <c r="O862" s="22" t="n">
        <f aca="false">COUNTIFS('Billing Actual'!$E$2:$E$770,A862,'Billing Actual'!$B$2:$B$770,'Controls &amp; Sources'!$B$7)</f>
        <v>0</v>
      </c>
      <c r="P862" s="25" t="n">
        <f aca="false">SUMIFS('Billing Actual'!$M$2:$M$770,'Billing Actual'!$E$2:$E$770,A862,'Billing Actual'!$B$2:$B$770,'Controls &amp; Sources'!$B$7)</f>
        <v>0</v>
      </c>
      <c r="Q862" s="25" t="n">
        <f aca="false">P862-N862</f>
        <v>-407.7</v>
      </c>
      <c r="R862" s="22" t="str">
        <f aca="false">IF(O862=0,"No August moorage transaction",IF(O862&gt;1,"Duplicate August transactions",IF(ABS(Q862)&gt;0.005,"Charge variance","OK")))</f>
        <v>No August moorage transaction</v>
      </c>
      <c r="S862" s="22" t="str">
        <f aca="false">IF(R862="OK","","Billing completeness/reconciliation")</f>
        <v>Billing completeness/reconciliation</v>
      </c>
    </row>
    <row r="863" customFormat="false" ht="15" hidden="false" customHeight="false" outlineLevel="0" collapsed="false">
      <c r="A863" s="22" t="s">
        <v>8288</v>
      </c>
      <c r="B863" s="22" t="s">
        <v>499</v>
      </c>
      <c r="C863" s="22" t="s">
        <v>7694</v>
      </c>
      <c r="D863" s="22" t="n">
        <v>45</v>
      </c>
      <c r="E863" s="22" t="s">
        <v>7696</v>
      </c>
      <c r="F863" s="22" t="s">
        <v>6577</v>
      </c>
      <c r="G863" s="22" t="s">
        <v>3431</v>
      </c>
      <c r="H863" s="22" t="s">
        <v>3432</v>
      </c>
      <c r="I863" s="22" t="s">
        <v>178</v>
      </c>
      <c r="J863" s="22" t="n">
        <v>25.5</v>
      </c>
      <c r="K863" s="22" t="n">
        <f aca="false">ROUNDUP(J863,0)</f>
        <v>26</v>
      </c>
      <c r="L863" s="22" t="n">
        <f aca="false">MAX(D863,K863)</f>
        <v>45</v>
      </c>
      <c r="M863" s="25" t="n">
        <f aca="false">IF(E863="COVERED",'Controls &amp; Sources'!$B$5,'Controls &amp; Sources'!$B$6)</f>
        <v>7.55</v>
      </c>
      <c r="N863" s="25" t="n">
        <f aca="false">L863*M863</f>
        <v>339.75</v>
      </c>
      <c r="O863" s="22" t="n">
        <f aca="false">COUNTIFS('Billing Actual'!$E$2:$E$770,A863,'Billing Actual'!$B$2:$B$770,'Controls &amp; Sources'!$B$7)</f>
        <v>0</v>
      </c>
      <c r="P863" s="25" t="n">
        <f aca="false">SUMIFS('Billing Actual'!$M$2:$M$770,'Billing Actual'!$E$2:$E$770,A863,'Billing Actual'!$B$2:$B$770,'Controls &amp; Sources'!$B$7)</f>
        <v>0</v>
      </c>
      <c r="Q863" s="25" t="n">
        <f aca="false">P863-N863</f>
        <v>-339.75</v>
      </c>
      <c r="R863" s="22" t="str">
        <f aca="false">IF(O863=0,"No August moorage transaction",IF(O863&gt;1,"Duplicate August transactions",IF(ABS(Q863)&gt;0.005,"Charge variance","OK")))</f>
        <v>No August moorage transaction</v>
      </c>
      <c r="S863" s="22" t="str">
        <f aca="false">IF(R863="OK","","Billing completeness/reconciliation")</f>
        <v>Billing completeness/reconciliation</v>
      </c>
    </row>
    <row r="864" customFormat="false" ht="15" hidden="false" customHeight="false" outlineLevel="0" collapsed="false">
      <c r="A864" s="22" t="s">
        <v>8290</v>
      </c>
      <c r="B864" s="22" t="s">
        <v>499</v>
      </c>
      <c r="C864" s="22" t="s">
        <v>7694</v>
      </c>
      <c r="D864" s="22" t="n">
        <v>24</v>
      </c>
      <c r="E864" s="22" t="s">
        <v>7696</v>
      </c>
      <c r="F864" s="22" t="s">
        <v>6577</v>
      </c>
      <c r="G864" s="22" t="s">
        <v>1772</v>
      </c>
      <c r="H864" s="22" t="s">
        <v>1773</v>
      </c>
      <c r="I864" s="22" t="s">
        <v>1774</v>
      </c>
      <c r="J864" s="22" t="n">
        <v>50.9</v>
      </c>
      <c r="K864" s="22" t="n">
        <f aca="false">ROUNDUP(J864,0)</f>
        <v>51</v>
      </c>
      <c r="L864" s="22" t="n">
        <f aca="false">MAX(D864,K864)</f>
        <v>51</v>
      </c>
      <c r="M864" s="25" t="n">
        <f aca="false">IF(E864="COVERED",'Controls &amp; Sources'!$B$5,'Controls &amp; Sources'!$B$6)</f>
        <v>7.55</v>
      </c>
      <c r="N864" s="25" t="n">
        <f aca="false">L864*M864</f>
        <v>385.05</v>
      </c>
      <c r="O864" s="22" t="n">
        <f aca="false">COUNTIFS('Billing Actual'!$E$2:$E$770,A864,'Billing Actual'!$B$2:$B$770,'Controls &amp; Sources'!$B$7)</f>
        <v>0</v>
      </c>
      <c r="P864" s="25" t="n">
        <f aca="false">SUMIFS('Billing Actual'!$M$2:$M$770,'Billing Actual'!$E$2:$E$770,A864,'Billing Actual'!$B$2:$B$770,'Controls &amp; Sources'!$B$7)</f>
        <v>0</v>
      </c>
      <c r="Q864" s="25" t="n">
        <f aca="false">P864-N864</f>
        <v>-385.05</v>
      </c>
      <c r="R864" s="22" t="str">
        <f aca="false">IF(O864=0,"No August moorage transaction",IF(O864&gt;1,"Duplicate August transactions",IF(ABS(Q864)&gt;0.005,"Charge variance","OK")))</f>
        <v>No August moorage transaction</v>
      </c>
      <c r="S864" s="22" t="str">
        <f aca="false">IF(R864="OK","","Billing completeness/reconciliation")</f>
        <v>Billing completeness/reconciliation</v>
      </c>
    </row>
    <row r="865" customFormat="false" ht="15" hidden="false" customHeight="false" outlineLevel="0" collapsed="false">
      <c r="A865" s="22" t="s">
        <v>8291</v>
      </c>
      <c r="B865" s="22" t="s">
        <v>499</v>
      </c>
      <c r="C865" s="22" t="s">
        <v>7694</v>
      </c>
      <c r="D865" s="22" t="n">
        <v>40</v>
      </c>
      <c r="E865" s="22" t="s">
        <v>7696</v>
      </c>
      <c r="F865" s="22" t="s">
        <v>6577</v>
      </c>
      <c r="G865" s="22" t="s">
        <v>261</v>
      </c>
      <c r="H865" s="22" t="s">
        <v>262</v>
      </c>
      <c r="I865" s="22" t="s">
        <v>263</v>
      </c>
      <c r="J865" s="22" t="n">
        <v>29</v>
      </c>
      <c r="K865" s="22" t="n">
        <f aca="false">ROUNDUP(J865,0)</f>
        <v>29</v>
      </c>
      <c r="L865" s="22" t="n">
        <f aca="false">MAX(D865,K865)</f>
        <v>40</v>
      </c>
      <c r="M865" s="25" t="n">
        <f aca="false">IF(E865="COVERED",'Controls &amp; Sources'!$B$5,'Controls &amp; Sources'!$B$6)</f>
        <v>7.55</v>
      </c>
      <c r="N865" s="25" t="n">
        <f aca="false">L865*M865</f>
        <v>302</v>
      </c>
      <c r="O865" s="22" t="n">
        <f aca="false">COUNTIFS('Billing Actual'!$E$2:$E$770,A865,'Billing Actual'!$B$2:$B$770,'Controls &amp; Sources'!$B$7)</f>
        <v>0</v>
      </c>
      <c r="P865" s="25" t="n">
        <f aca="false">SUMIFS('Billing Actual'!$M$2:$M$770,'Billing Actual'!$E$2:$E$770,A865,'Billing Actual'!$B$2:$B$770,'Controls &amp; Sources'!$B$7)</f>
        <v>0</v>
      </c>
      <c r="Q865" s="25" t="n">
        <f aca="false">P865-N865</f>
        <v>-302</v>
      </c>
      <c r="R865" s="22" t="str">
        <f aca="false">IF(O865=0,"No August moorage transaction",IF(O865&gt;1,"Duplicate August transactions",IF(ABS(Q865)&gt;0.005,"Charge variance","OK")))</f>
        <v>No August moorage transaction</v>
      </c>
      <c r="S865" s="22" t="str">
        <f aca="false">IF(R865="OK","","Billing completeness/reconciliation")</f>
        <v>Billing completeness/reconciliation</v>
      </c>
    </row>
    <row r="866" customFormat="false" ht="15" hidden="false" customHeight="false" outlineLevel="0" collapsed="false">
      <c r="A866" s="22" t="s">
        <v>8292</v>
      </c>
      <c r="B866" s="22" t="s">
        <v>499</v>
      </c>
      <c r="C866" s="22" t="s">
        <v>7694</v>
      </c>
      <c r="D866" s="22" t="n">
        <v>50</v>
      </c>
      <c r="E866" s="22" t="s">
        <v>7696</v>
      </c>
      <c r="F866" s="22" t="s">
        <v>6577</v>
      </c>
      <c r="G866" s="22" t="s">
        <v>1575</v>
      </c>
      <c r="H866" s="22" t="s">
        <v>1576</v>
      </c>
      <c r="I866" s="22" t="s">
        <v>477</v>
      </c>
      <c r="J866" s="22" t="n">
        <v>25.9</v>
      </c>
      <c r="K866" s="22" t="n">
        <f aca="false">ROUNDUP(J866,0)</f>
        <v>26</v>
      </c>
      <c r="L866" s="22" t="n">
        <f aca="false">MAX(D866,K866)</f>
        <v>50</v>
      </c>
      <c r="M866" s="25" t="n">
        <f aca="false">IF(E866="COVERED",'Controls &amp; Sources'!$B$5,'Controls &amp; Sources'!$B$6)</f>
        <v>7.55</v>
      </c>
      <c r="N866" s="25" t="n">
        <f aca="false">L866*M866</f>
        <v>377.5</v>
      </c>
      <c r="O866" s="22" t="n">
        <f aca="false">COUNTIFS('Billing Actual'!$E$2:$E$770,A866,'Billing Actual'!$B$2:$B$770,'Controls &amp; Sources'!$B$7)</f>
        <v>0</v>
      </c>
      <c r="P866" s="25" t="n">
        <f aca="false">SUMIFS('Billing Actual'!$M$2:$M$770,'Billing Actual'!$E$2:$E$770,A866,'Billing Actual'!$B$2:$B$770,'Controls &amp; Sources'!$B$7)</f>
        <v>0</v>
      </c>
      <c r="Q866" s="25" t="n">
        <f aca="false">P866-N866</f>
        <v>-377.5</v>
      </c>
      <c r="R866" s="22" t="str">
        <f aca="false">IF(O866=0,"No August moorage transaction",IF(O866&gt;1,"Duplicate August transactions",IF(ABS(Q866)&gt;0.005,"Charge variance","OK")))</f>
        <v>No August moorage transaction</v>
      </c>
      <c r="S866" s="22" t="str">
        <f aca="false">IF(R866="OK","","Billing completeness/reconciliation")</f>
        <v>Billing completeness/reconciliation</v>
      </c>
    </row>
    <row r="867" customFormat="false" ht="15" hidden="false" customHeight="false" outlineLevel="0" collapsed="false">
      <c r="A867" s="22" t="s">
        <v>8293</v>
      </c>
      <c r="B867" s="22" t="s">
        <v>499</v>
      </c>
      <c r="C867" s="22" t="s">
        <v>7694</v>
      </c>
      <c r="D867" s="22" t="n">
        <v>32</v>
      </c>
      <c r="E867" s="22" t="s">
        <v>7696</v>
      </c>
      <c r="F867" s="22" t="s">
        <v>6577</v>
      </c>
      <c r="G867" s="22" t="s">
        <v>6003</v>
      </c>
      <c r="H867" s="22" t="s">
        <v>6004</v>
      </c>
      <c r="I867" s="22" t="s">
        <v>1508</v>
      </c>
      <c r="J867" s="22" t="n">
        <v>36.5</v>
      </c>
      <c r="K867" s="22" t="n">
        <f aca="false">ROUNDUP(J867,0)</f>
        <v>37</v>
      </c>
      <c r="L867" s="22" t="n">
        <f aca="false">MAX(D867,K867)</f>
        <v>37</v>
      </c>
      <c r="M867" s="25" t="n">
        <f aca="false">IF(E867="COVERED",'Controls &amp; Sources'!$B$5,'Controls &amp; Sources'!$B$6)</f>
        <v>7.55</v>
      </c>
      <c r="N867" s="25" t="n">
        <f aca="false">L867*M867</f>
        <v>279.35</v>
      </c>
      <c r="O867" s="22" t="n">
        <f aca="false">COUNTIFS('Billing Actual'!$E$2:$E$770,A867,'Billing Actual'!$B$2:$B$770,'Controls &amp; Sources'!$B$7)</f>
        <v>0</v>
      </c>
      <c r="P867" s="25" t="n">
        <f aca="false">SUMIFS('Billing Actual'!$M$2:$M$770,'Billing Actual'!$E$2:$E$770,A867,'Billing Actual'!$B$2:$B$770,'Controls &amp; Sources'!$B$7)</f>
        <v>0</v>
      </c>
      <c r="Q867" s="25" t="n">
        <f aca="false">P867-N867</f>
        <v>-279.35</v>
      </c>
      <c r="R867" s="22" t="str">
        <f aca="false">IF(O867=0,"No August moorage transaction",IF(O867&gt;1,"Duplicate August transactions",IF(ABS(Q867)&gt;0.005,"Charge variance","OK")))</f>
        <v>No August moorage transaction</v>
      </c>
      <c r="S867" s="22" t="str">
        <f aca="false">IF(R867="OK","","Billing completeness/reconciliation")</f>
        <v>Billing completeness/reconciliation</v>
      </c>
    </row>
    <row r="868" customFormat="false" ht="15" hidden="false" customHeight="false" outlineLevel="0" collapsed="false">
      <c r="A868" s="22" t="s">
        <v>8295</v>
      </c>
      <c r="B868" s="22" t="s">
        <v>499</v>
      </c>
      <c r="C868" s="22" t="s">
        <v>7694</v>
      </c>
      <c r="D868" s="22" t="n">
        <v>32</v>
      </c>
      <c r="E868" s="22" t="s">
        <v>7696</v>
      </c>
      <c r="F868" s="22" t="s">
        <v>6577</v>
      </c>
      <c r="G868" s="22" t="s">
        <v>3381</v>
      </c>
      <c r="H868" s="22" t="s">
        <v>3382</v>
      </c>
      <c r="I868" s="22" t="s">
        <v>2207</v>
      </c>
      <c r="J868" s="22" t="n">
        <v>59</v>
      </c>
      <c r="K868" s="22" t="n">
        <f aca="false">ROUNDUP(J868,0)</f>
        <v>59</v>
      </c>
      <c r="L868" s="22" t="n">
        <f aca="false">MAX(D868,K868)</f>
        <v>59</v>
      </c>
      <c r="M868" s="25" t="n">
        <f aca="false">IF(E868="COVERED",'Controls &amp; Sources'!$B$5,'Controls &amp; Sources'!$B$6)</f>
        <v>7.55</v>
      </c>
      <c r="N868" s="25" t="n">
        <f aca="false">L868*M868</f>
        <v>445.45</v>
      </c>
      <c r="O868" s="22" t="n">
        <f aca="false">COUNTIFS('Billing Actual'!$E$2:$E$770,A868,'Billing Actual'!$B$2:$B$770,'Controls &amp; Sources'!$B$7)</f>
        <v>0</v>
      </c>
      <c r="P868" s="25" t="n">
        <f aca="false">SUMIFS('Billing Actual'!$M$2:$M$770,'Billing Actual'!$E$2:$E$770,A868,'Billing Actual'!$B$2:$B$770,'Controls &amp; Sources'!$B$7)</f>
        <v>0</v>
      </c>
      <c r="Q868" s="25" t="n">
        <f aca="false">P868-N868</f>
        <v>-445.45</v>
      </c>
      <c r="R868" s="22" t="str">
        <f aca="false">IF(O868=0,"No August moorage transaction",IF(O868&gt;1,"Duplicate August transactions",IF(ABS(Q868)&gt;0.005,"Charge variance","OK")))</f>
        <v>No August moorage transaction</v>
      </c>
      <c r="S868" s="22" t="str">
        <f aca="false">IF(R868="OK","","Billing completeness/reconciliation")</f>
        <v>Billing completeness/reconciliation</v>
      </c>
    </row>
    <row r="869" customFormat="false" ht="15" hidden="false" customHeight="false" outlineLevel="0" collapsed="false">
      <c r="A869" s="22" t="s">
        <v>8296</v>
      </c>
      <c r="B869" s="22" t="s">
        <v>499</v>
      </c>
      <c r="C869" s="22" t="s">
        <v>7694</v>
      </c>
      <c r="D869" s="22" t="n">
        <v>28</v>
      </c>
      <c r="E869" s="22" t="s">
        <v>7696</v>
      </c>
      <c r="F869" s="22" t="s">
        <v>6577</v>
      </c>
      <c r="G869" s="22" t="s">
        <v>5786</v>
      </c>
      <c r="H869" s="22" t="s">
        <v>5787</v>
      </c>
      <c r="I869" s="22" t="s">
        <v>2394</v>
      </c>
      <c r="J869" s="22" t="n">
        <v>53.1</v>
      </c>
      <c r="K869" s="22" t="n">
        <f aca="false">ROUNDUP(J869,0)</f>
        <v>54</v>
      </c>
      <c r="L869" s="22" t="n">
        <f aca="false">MAX(D869,K869)</f>
        <v>54</v>
      </c>
      <c r="M869" s="25" t="n">
        <f aca="false">IF(E869="COVERED",'Controls &amp; Sources'!$B$5,'Controls &amp; Sources'!$B$6)</f>
        <v>7.55</v>
      </c>
      <c r="N869" s="25" t="n">
        <f aca="false">L869*M869</f>
        <v>407.7</v>
      </c>
      <c r="O869" s="22" t="n">
        <f aca="false">COUNTIFS('Billing Actual'!$E$2:$E$770,A869,'Billing Actual'!$B$2:$B$770,'Controls &amp; Sources'!$B$7)</f>
        <v>0</v>
      </c>
      <c r="P869" s="25" t="n">
        <f aca="false">SUMIFS('Billing Actual'!$M$2:$M$770,'Billing Actual'!$E$2:$E$770,A869,'Billing Actual'!$B$2:$B$770,'Controls &amp; Sources'!$B$7)</f>
        <v>0</v>
      </c>
      <c r="Q869" s="25" t="n">
        <f aca="false">P869-N869</f>
        <v>-407.7</v>
      </c>
      <c r="R869" s="22" t="str">
        <f aca="false">IF(O869=0,"No August moorage transaction",IF(O869&gt;1,"Duplicate August transactions",IF(ABS(Q869)&gt;0.005,"Charge variance","OK")))</f>
        <v>No August moorage transaction</v>
      </c>
      <c r="S869" s="22" t="str">
        <f aca="false">IF(R869="OK","","Billing completeness/reconciliation")</f>
        <v>Billing completeness/reconciliation</v>
      </c>
    </row>
    <row r="870" customFormat="false" ht="15" hidden="false" customHeight="false" outlineLevel="0" collapsed="false">
      <c r="A870" s="22" t="s">
        <v>8297</v>
      </c>
      <c r="B870" s="22" t="s">
        <v>499</v>
      </c>
      <c r="C870" s="22" t="s">
        <v>7694</v>
      </c>
      <c r="D870" s="22" t="n">
        <v>24</v>
      </c>
      <c r="E870" s="22" t="s">
        <v>7696</v>
      </c>
      <c r="F870" s="22" t="s">
        <v>6577</v>
      </c>
      <c r="G870" s="22" t="s">
        <v>1401</v>
      </c>
      <c r="H870" s="22" t="s">
        <v>1402</v>
      </c>
      <c r="I870" s="22" t="s">
        <v>1403</v>
      </c>
      <c r="J870" s="22" t="n">
        <v>45.4</v>
      </c>
      <c r="K870" s="22" t="n">
        <f aca="false">ROUNDUP(J870,0)</f>
        <v>46</v>
      </c>
      <c r="L870" s="22" t="n">
        <f aca="false">MAX(D870,K870)</f>
        <v>46</v>
      </c>
      <c r="M870" s="25" t="n">
        <f aca="false">IF(E870="COVERED",'Controls &amp; Sources'!$B$5,'Controls &amp; Sources'!$B$6)</f>
        <v>7.55</v>
      </c>
      <c r="N870" s="25" t="n">
        <f aca="false">L870*M870</f>
        <v>347.3</v>
      </c>
      <c r="O870" s="22" t="n">
        <f aca="false">COUNTIFS('Billing Actual'!$E$2:$E$770,A870,'Billing Actual'!$B$2:$B$770,'Controls &amp; Sources'!$B$7)</f>
        <v>0</v>
      </c>
      <c r="P870" s="25" t="n">
        <f aca="false">SUMIFS('Billing Actual'!$M$2:$M$770,'Billing Actual'!$E$2:$E$770,A870,'Billing Actual'!$B$2:$B$770,'Controls &amp; Sources'!$B$7)</f>
        <v>0</v>
      </c>
      <c r="Q870" s="25" t="n">
        <f aca="false">P870-N870</f>
        <v>-347.3</v>
      </c>
      <c r="R870" s="22" t="str">
        <f aca="false">IF(O870=0,"No August moorage transaction",IF(O870&gt;1,"Duplicate August transactions",IF(ABS(Q870)&gt;0.005,"Charge variance","OK")))</f>
        <v>No August moorage transaction</v>
      </c>
      <c r="S870" s="22" t="str">
        <f aca="false">IF(R870="OK","","Billing completeness/reconciliation")</f>
        <v>Billing completeness/reconciliation</v>
      </c>
    </row>
    <row r="871" customFormat="false" ht="15" hidden="false" customHeight="false" outlineLevel="0" collapsed="false">
      <c r="A871" s="22" t="s">
        <v>8299</v>
      </c>
      <c r="B871" s="22" t="s">
        <v>499</v>
      </c>
      <c r="C871" s="22" t="s">
        <v>7694</v>
      </c>
      <c r="D871" s="22" t="n">
        <v>32</v>
      </c>
      <c r="E871" s="22" t="s">
        <v>7696</v>
      </c>
      <c r="F871" s="22" t="s">
        <v>6577</v>
      </c>
      <c r="G871" s="22" t="s">
        <v>6465</v>
      </c>
      <c r="H871" s="22" t="s">
        <v>6466</v>
      </c>
      <c r="I871" s="22" t="s">
        <v>254</v>
      </c>
      <c r="J871" s="22" t="n">
        <v>55.2</v>
      </c>
      <c r="K871" s="22" t="n">
        <f aca="false">ROUNDUP(J871,0)</f>
        <v>56</v>
      </c>
      <c r="L871" s="22" t="n">
        <f aca="false">MAX(D871,K871)</f>
        <v>56</v>
      </c>
      <c r="M871" s="25" t="n">
        <f aca="false">IF(E871="COVERED",'Controls &amp; Sources'!$B$5,'Controls &amp; Sources'!$B$6)</f>
        <v>7.55</v>
      </c>
      <c r="N871" s="25" t="n">
        <f aca="false">L871*M871</f>
        <v>422.8</v>
      </c>
      <c r="O871" s="22" t="n">
        <f aca="false">COUNTIFS('Billing Actual'!$E$2:$E$770,A871,'Billing Actual'!$B$2:$B$770,'Controls &amp; Sources'!$B$7)</f>
        <v>0</v>
      </c>
      <c r="P871" s="25" t="n">
        <f aca="false">SUMIFS('Billing Actual'!$M$2:$M$770,'Billing Actual'!$E$2:$E$770,A871,'Billing Actual'!$B$2:$B$770,'Controls &amp; Sources'!$B$7)</f>
        <v>0</v>
      </c>
      <c r="Q871" s="25" t="n">
        <f aca="false">P871-N871</f>
        <v>-422.8</v>
      </c>
      <c r="R871" s="22" t="str">
        <f aca="false">IF(O871=0,"No August moorage transaction",IF(O871&gt;1,"Duplicate August transactions",IF(ABS(Q871)&gt;0.005,"Charge variance","OK")))</f>
        <v>No August moorage transaction</v>
      </c>
      <c r="S871" s="22" t="str">
        <f aca="false">IF(R871="OK","","Billing completeness/reconciliation")</f>
        <v>Billing completeness/reconciliation</v>
      </c>
    </row>
    <row r="872" customFormat="false" ht="15" hidden="false" customHeight="false" outlineLevel="0" collapsed="false">
      <c r="A872" s="22" t="s">
        <v>8301</v>
      </c>
      <c r="B872" s="22" t="s">
        <v>499</v>
      </c>
      <c r="C872" s="22" t="s">
        <v>7694</v>
      </c>
      <c r="D872" s="22" t="n">
        <v>24</v>
      </c>
      <c r="E872" s="22" t="s">
        <v>7696</v>
      </c>
      <c r="F872" s="22" t="s">
        <v>6577</v>
      </c>
      <c r="G872" s="22" t="s">
        <v>2448</v>
      </c>
      <c r="H872" s="22" t="s">
        <v>2449</v>
      </c>
      <c r="I872" s="22" t="s">
        <v>1040</v>
      </c>
      <c r="J872" s="22" t="n">
        <v>61.5</v>
      </c>
      <c r="K872" s="22" t="n">
        <f aca="false">ROUNDUP(J872,0)</f>
        <v>62</v>
      </c>
      <c r="L872" s="22" t="n">
        <f aca="false">MAX(D872,K872)</f>
        <v>62</v>
      </c>
      <c r="M872" s="25" t="n">
        <f aca="false">IF(E872="COVERED",'Controls &amp; Sources'!$B$5,'Controls &amp; Sources'!$B$6)</f>
        <v>7.55</v>
      </c>
      <c r="N872" s="25" t="n">
        <f aca="false">L872*M872</f>
        <v>468.1</v>
      </c>
      <c r="O872" s="22" t="n">
        <f aca="false">COUNTIFS('Billing Actual'!$E$2:$E$770,A872,'Billing Actual'!$B$2:$B$770,'Controls &amp; Sources'!$B$7)</f>
        <v>0</v>
      </c>
      <c r="P872" s="25" t="n">
        <f aca="false">SUMIFS('Billing Actual'!$M$2:$M$770,'Billing Actual'!$E$2:$E$770,A872,'Billing Actual'!$B$2:$B$770,'Controls &amp; Sources'!$B$7)</f>
        <v>0</v>
      </c>
      <c r="Q872" s="25" t="n">
        <f aca="false">P872-N872</f>
        <v>-468.1</v>
      </c>
      <c r="R872" s="22" t="str">
        <f aca="false">IF(O872=0,"No August moorage transaction",IF(O872&gt;1,"Duplicate August transactions",IF(ABS(Q872)&gt;0.005,"Charge variance","OK")))</f>
        <v>No August moorage transaction</v>
      </c>
      <c r="S872" s="22" t="str">
        <f aca="false">IF(R872="OK","","Billing completeness/reconciliation")</f>
        <v>Billing completeness/reconciliation</v>
      </c>
    </row>
    <row r="873" customFormat="false" ht="15" hidden="false" customHeight="false" outlineLevel="0" collapsed="false">
      <c r="A873" s="22" t="s">
        <v>8303</v>
      </c>
      <c r="B873" s="22" t="s">
        <v>499</v>
      </c>
      <c r="C873" s="22" t="s">
        <v>7694</v>
      </c>
      <c r="D873" s="22" t="n">
        <v>24</v>
      </c>
      <c r="E873" s="22" t="s">
        <v>7696</v>
      </c>
      <c r="F873" s="22" t="s">
        <v>6577</v>
      </c>
      <c r="G873" s="22" t="s">
        <v>3918</v>
      </c>
      <c r="H873" s="22" t="s">
        <v>3919</v>
      </c>
      <c r="I873" s="22" t="s">
        <v>585</v>
      </c>
      <c r="J873" s="22" t="n">
        <v>56.4</v>
      </c>
      <c r="K873" s="22" t="n">
        <f aca="false">ROUNDUP(J873,0)</f>
        <v>57</v>
      </c>
      <c r="L873" s="22" t="n">
        <f aca="false">MAX(D873,K873)</f>
        <v>57</v>
      </c>
      <c r="M873" s="25" t="n">
        <f aca="false">IF(E873="COVERED",'Controls &amp; Sources'!$B$5,'Controls &amp; Sources'!$B$6)</f>
        <v>7.55</v>
      </c>
      <c r="N873" s="25" t="n">
        <f aca="false">L873*M873</f>
        <v>430.35</v>
      </c>
      <c r="O873" s="22" t="n">
        <f aca="false">COUNTIFS('Billing Actual'!$E$2:$E$770,A873,'Billing Actual'!$B$2:$B$770,'Controls &amp; Sources'!$B$7)</f>
        <v>0</v>
      </c>
      <c r="P873" s="25" t="n">
        <f aca="false">SUMIFS('Billing Actual'!$M$2:$M$770,'Billing Actual'!$E$2:$E$770,A873,'Billing Actual'!$B$2:$B$770,'Controls &amp; Sources'!$B$7)</f>
        <v>0</v>
      </c>
      <c r="Q873" s="25" t="n">
        <f aca="false">P873-N873</f>
        <v>-430.35</v>
      </c>
      <c r="R873" s="22" t="str">
        <f aca="false">IF(O873=0,"No August moorage transaction",IF(O873&gt;1,"Duplicate August transactions",IF(ABS(Q873)&gt;0.005,"Charge variance","OK")))</f>
        <v>No August moorage transaction</v>
      </c>
      <c r="S873" s="22" t="str">
        <f aca="false">IF(R873="OK","","Billing completeness/reconciliation")</f>
        <v>Billing completeness/reconciliation</v>
      </c>
    </row>
    <row r="874" customFormat="false" ht="15" hidden="false" customHeight="false" outlineLevel="0" collapsed="false">
      <c r="A874" s="22" t="s">
        <v>8305</v>
      </c>
      <c r="B874" s="22" t="s">
        <v>499</v>
      </c>
      <c r="C874" s="22" t="s">
        <v>7694</v>
      </c>
      <c r="D874" s="22" t="n">
        <v>50</v>
      </c>
      <c r="E874" s="22" t="s">
        <v>7696</v>
      </c>
      <c r="F874" s="22" t="s">
        <v>6577</v>
      </c>
      <c r="G874" s="22" t="s">
        <v>5081</v>
      </c>
      <c r="H874" s="22" t="s">
        <v>5082</v>
      </c>
      <c r="I874" s="22" t="s">
        <v>1232</v>
      </c>
      <c r="J874" s="22" t="n">
        <v>61.6</v>
      </c>
      <c r="K874" s="22" t="n">
        <f aca="false">ROUNDUP(J874,0)</f>
        <v>62</v>
      </c>
      <c r="L874" s="22" t="n">
        <f aca="false">MAX(D874,K874)</f>
        <v>62</v>
      </c>
      <c r="M874" s="25" t="n">
        <f aca="false">IF(E874="COVERED",'Controls &amp; Sources'!$B$5,'Controls &amp; Sources'!$B$6)</f>
        <v>7.55</v>
      </c>
      <c r="N874" s="25" t="n">
        <f aca="false">L874*M874</f>
        <v>468.1</v>
      </c>
      <c r="O874" s="22" t="n">
        <f aca="false">COUNTIFS('Billing Actual'!$E$2:$E$770,A874,'Billing Actual'!$B$2:$B$770,'Controls &amp; Sources'!$B$7)</f>
        <v>0</v>
      </c>
      <c r="P874" s="25" t="n">
        <f aca="false">SUMIFS('Billing Actual'!$M$2:$M$770,'Billing Actual'!$E$2:$E$770,A874,'Billing Actual'!$B$2:$B$770,'Controls &amp; Sources'!$B$7)</f>
        <v>0</v>
      </c>
      <c r="Q874" s="25" t="n">
        <f aca="false">P874-N874</f>
        <v>-468.1</v>
      </c>
      <c r="R874" s="22" t="str">
        <f aca="false">IF(O874=0,"No August moorage transaction",IF(O874&gt;1,"Duplicate August transactions",IF(ABS(Q874)&gt;0.005,"Charge variance","OK")))</f>
        <v>No August moorage transaction</v>
      </c>
      <c r="S874" s="22" t="str">
        <f aca="false">IF(R874="OK","","Billing completeness/reconciliation")</f>
        <v>Billing completeness/reconciliation</v>
      </c>
    </row>
    <row r="875" customFormat="false" ht="15" hidden="false" customHeight="false" outlineLevel="0" collapsed="false">
      <c r="A875" s="22" t="s">
        <v>8307</v>
      </c>
      <c r="B875" s="22" t="s">
        <v>499</v>
      </c>
      <c r="C875" s="22" t="s">
        <v>7694</v>
      </c>
      <c r="D875" s="22" t="n">
        <v>36</v>
      </c>
      <c r="E875" s="22" t="s">
        <v>7696</v>
      </c>
      <c r="F875" s="22" t="s">
        <v>6577</v>
      </c>
      <c r="G875" s="22" t="s">
        <v>2504</v>
      </c>
      <c r="H875" s="22" t="s">
        <v>2505</v>
      </c>
      <c r="I875" s="22" t="s">
        <v>2506</v>
      </c>
      <c r="J875" s="22" t="n">
        <v>53.5</v>
      </c>
      <c r="K875" s="22" t="n">
        <f aca="false">ROUNDUP(J875,0)</f>
        <v>54</v>
      </c>
      <c r="L875" s="22" t="n">
        <f aca="false">MAX(D875,K875)</f>
        <v>54</v>
      </c>
      <c r="M875" s="25" t="n">
        <f aca="false">IF(E875="COVERED",'Controls &amp; Sources'!$B$5,'Controls &amp; Sources'!$B$6)</f>
        <v>7.55</v>
      </c>
      <c r="N875" s="25" t="n">
        <f aca="false">L875*M875</f>
        <v>407.7</v>
      </c>
      <c r="O875" s="22" t="n">
        <f aca="false">COUNTIFS('Billing Actual'!$E$2:$E$770,A875,'Billing Actual'!$B$2:$B$770,'Controls &amp; Sources'!$B$7)</f>
        <v>0</v>
      </c>
      <c r="P875" s="25" t="n">
        <f aca="false">SUMIFS('Billing Actual'!$M$2:$M$770,'Billing Actual'!$E$2:$E$770,A875,'Billing Actual'!$B$2:$B$770,'Controls &amp; Sources'!$B$7)</f>
        <v>0</v>
      </c>
      <c r="Q875" s="25" t="n">
        <f aca="false">P875-N875</f>
        <v>-407.7</v>
      </c>
      <c r="R875" s="22" t="str">
        <f aca="false">IF(O875=0,"No August moorage transaction",IF(O875&gt;1,"Duplicate August transactions",IF(ABS(Q875)&gt;0.005,"Charge variance","OK")))</f>
        <v>No August moorage transaction</v>
      </c>
      <c r="S875" s="22" t="str">
        <f aca="false">IF(R875="OK","","Billing completeness/reconciliation")</f>
        <v>Billing completeness/reconciliation</v>
      </c>
    </row>
    <row r="876" customFormat="false" ht="15" hidden="false" customHeight="false" outlineLevel="0" collapsed="false">
      <c r="A876" s="22" t="s">
        <v>8308</v>
      </c>
      <c r="B876" s="22" t="s">
        <v>499</v>
      </c>
      <c r="C876" s="22" t="s">
        <v>7694</v>
      </c>
      <c r="D876" s="22" t="n">
        <v>28</v>
      </c>
      <c r="E876" s="22" t="s">
        <v>7696</v>
      </c>
      <c r="F876" s="22" t="s">
        <v>6577</v>
      </c>
      <c r="G876" s="22" t="s">
        <v>1100</v>
      </c>
      <c r="H876" s="22" t="s">
        <v>1101</v>
      </c>
      <c r="I876" s="22" t="s">
        <v>1102</v>
      </c>
      <c r="J876" s="22" t="n">
        <v>35.7</v>
      </c>
      <c r="K876" s="22" t="n">
        <f aca="false">ROUNDUP(J876,0)</f>
        <v>36</v>
      </c>
      <c r="L876" s="22" t="n">
        <f aca="false">MAX(D876,K876)</f>
        <v>36</v>
      </c>
      <c r="M876" s="25" t="n">
        <f aca="false">IF(E876="COVERED",'Controls &amp; Sources'!$B$5,'Controls &amp; Sources'!$B$6)</f>
        <v>7.55</v>
      </c>
      <c r="N876" s="25" t="n">
        <f aca="false">L876*M876</f>
        <v>271.8</v>
      </c>
      <c r="O876" s="22" t="n">
        <f aca="false">COUNTIFS('Billing Actual'!$E$2:$E$770,A876,'Billing Actual'!$B$2:$B$770,'Controls &amp; Sources'!$B$7)</f>
        <v>0</v>
      </c>
      <c r="P876" s="25" t="n">
        <f aca="false">SUMIFS('Billing Actual'!$M$2:$M$770,'Billing Actual'!$E$2:$E$770,A876,'Billing Actual'!$B$2:$B$770,'Controls &amp; Sources'!$B$7)</f>
        <v>0</v>
      </c>
      <c r="Q876" s="25" t="n">
        <f aca="false">P876-N876</f>
        <v>-271.8</v>
      </c>
      <c r="R876" s="22" t="str">
        <f aca="false">IF(O876=0,"No August moorage transaction",IF(O876&gt;1,"Duplicate August transactions",IF(ABS(Q876)&gt;0.005,"Charge variance","OK")))</f>
        <v>No August moorage transaction</v>
      </c>
      <c r="S876" s="22" t="str">
        <f aca="false">IF(R876="OK","","Billing completeness/reconciliation")</f>
        <v>Billing completeness/reconciliation</v>
      </c>
    </row>
    <row r="877" customFormat="false" ht="15" hidden="false" customHeight="false" outlineLevel="0" collapsed="false">
      <c r="A877" s="22" t="s">
        <v>8309</v>
      </c>
      <c r="B877" s="22" t="s">
        <v>499</v>
      </c>
      <c r="C877" s="22" t="s">
        <v>7694</v>
      </c>
      <c r="D877" s="22" t="n">
        <v>32</v>
      </c>
      <c r="E877" s="22" t="s">
        <v>7696</v>
      </c>
      <c r="F877" s="22" t="s">
        <v>6577</v>
      </c>
      <c r="G877" s="22" t="s">
        <v>4028</v>
      </c>
      <c r="H877" s="22" t="s">
        <v>4029</v>
      </c>
      <c r="I877" s="22" t="s">
        <v>1374</v>
      </c>
      <c r="J877" s="22" t="n">
        <v>46.7</v>
      </c>
      <c r="K877" s="22" t="n">
        <f aca="false">ROUNDUP(J877,0)</f>
        <v>47</v>
      </c>
      <c r="L877" s="22" t="n">
        <f aca="false">MAX(D877,K877)</f>
        <v>47</v>
      </c>
      <c r="M877" s="25" t="n">
        <f aca="false">IF(E877="COVERED",'Controls &amp; Sources'!$B$5,'Controls &amp; Sources'!$B$6)</f>
        <v>7.55</v>
      </c>
      <c r="N877" s="25" t="n">
        <f aca="false">L877*M877</f>
        <v>354.85</v>
      </c>
      <c r="O877" s="22" t="n">
        <f aca="false">COUNTIFS('Billing Actual'!$E$2:$E$770,A877,'Billing Actual'!$B$2:$B$770,'Controls &amp; Sources'!$B$7)</f>
        <v>0</v>
      </c>
      <c r="P877" s="25" t="n">
        <f aca="false">SUMIFS('Billing Actual'!$M$2:$M$770,'Billing Actual'!$E$2:$E$770,A877,'Billing Actual'!$B$2:$B$770,'Controls &amp; Sources'!$B$7)</f>
        <v>0</v>
      </c>
      <c r="Q877" s="25" t="n">
        <f aca="false">P877-N877</f>
        <v>-354.85</v>
      </c>
      <c r="R877" s="22" t="str">
        <f aca="false">IF(O877=0,"No August moorage transaction",IF(O877&gt;1,"Duplicate August transactions",IF(ABS(Q877)&gt;0.005,"Charge variance","OK")))</f>
        <v>No August moorage transaction</v>
      </c>
      <c r="S877" s="22" t="str">
        <f aca="false">IF(R877="OK","","Billing completeness/reconciliation")</f>
        <v>Billing completeness/reconciliation</v>
      </c>
    </row>
    <row r="878" customFormat="false" ht="15" hidden="false" customHeight="false" outlineLevel="0" collapsed="false">
      <c r="A878" s="22" t="s">
        <v>8310</v>
      </c>
      <c r="B878" s="22" t="s">
        <v>499</v>
      </c>
      <c r="C878" s="22" t="s">
        <v>7694</v>
      </c>
      <c r="D878" s="22" t="n">
        <v>70</v>
      </c>
      <c r="E878" s="22" t="s">
        <v>7696</v>
      </c>
      <c r="F878" s="22" t="s">
        <v>6577</v>
      </c>
      <c r="G878" s="22" t="s">
        <v>5802</v>
      </c>
      <c r="H878" s="22" t="s">
        <v>5803</v>
      </c>
      <c r="I878" s="22" t="s">
        <v>1786</v>
      </c>
      <c r="J878" s="22" t="n">
        <v>47.4</v>
      </c>
      <c r="K878" s="22" t="n">
        <f aca="false">ROUNDUP(J878,0)</f>
        <v>48</v>
      </c>
      <c r="L878" s="22" t="n">
        <f aca="false">MAX(D878,K878)</f>
        <v>70</v>
      </c>
      <c r="M878" s="25" t="n">
        <f aca="false">IF(E878="COVERED",'Controls &amp; Sources'!$B$5,'Controls &amp; Sources'!$B$6)</f>
        <v>7.55</v>
      </c>
      <c r="N878" s="25" t="n">
        <f aca="false">L878*M878</f>
        <v>528.5</v>
      </c>
      <c r="O878" s="22" t="n">
        <f aca="false">COUNTIFS('Billing Actual'!$E$2:$E$770,A878,'Billing Actual'!$B$2:$B$770,'Controls &amp; Sources'!$B$7)</f>
        <v>0</v>
      </c>
      <c r="P878" s="25" t="n">
        <f aca="false">SUMIFS('Billing Actual'!$M$2:$M$770,'Billing Actual'!$E$2:$E$770,A878,'Billing Actual'!$B$2:$B$770,'Controls &amp; Sources'!$B$7)</f>
        <v>0</v>
      </c>
      <c r="Q878" s="25" t="n">
        <f aca="false">P878-N878</f>
        <v>-528.5</v>
      </c>
      <c r="R878" s="22" t="str">
        <f aca="false">IF(O878=0,"No August moorage transaction",IF(O878&gt;1,"Duplicate August transactions",IF(ABS(Q878)&gt;0.005,"Charge variance","OK")))</f>
        <v>No August moorage transaction</v>
      </c>
      <c r="S878" s="22" t="str">
        <f aca="false">IF(R878="OK","","Billing completeness/reconciliation")</f>
        <v>Billing completeness/reconciliation</v>
      </c>
    </row>
    <row r="879" customFormat="false" ht="15" hidden="false" customHeight="false" outlineLevel="0" collapsed="false">
      <c r="A879" s="22" t="s">
        <v>8311</v>
      </c>
      <c r="B879" s="22" t="s">
        <v>499</v>
      </c>
      <c r="C879" s="22" t="s">
        <v>7694</v>
      </c>
      <c r="D879" s="22" t="n">
        <v>70</v>
      </c>
      <c r="E879" s="22" t="s">
        <v>7696</v>
      </c>
      <c r="F879" s="22" t="s">
        <v>6577</v>
      </c>
      <c r="G879" s="22" t="s">
        <v>3859</v>
      </c>
      <c r="H879" s="22" t="s">
        <v>3860</v>
      </c>
      <c r="I879" s="22" t="s">
        <v>431</v>
      </c>
      <c r="J879" s="22" t="n">
        <v>26.3</v>
      </c>
      <c r="K879" s="22" t="n">
        <f aca="false">ROUNDUP(J879,0)</f>
        <v>27</v>
      </c>
      <c r="L879" s="22" t="n">
        <f aca="false">MAX(D879,K879)</f>
        <v>70</v>
      </c>
      <c r="M879" s="25" t="n">
        <f aca="false">IF(E879="COVERED",'Controls &amp; Sources'!$B$5,'Controls &amp; Sources'!$B$6)</f>
        <v>7.55</v>
      </c>
      <c r="N879" s="25" t="n">
        <f aca="false">L879*M879</f>
        <v>528.5</v>
      </c>
      <c r="O879" s="22" t="n">
        <f aca="false">COUNTIFS('Billing Actual'!$E$2:$E$770,A879,'Billing Actual'!$B$2:$B$770,'Controls &amp; Sources'!$B$7)</f>
        <v>0</v>
      </c>
      <c r="P879" s="25" t="n">
        <f aca="false">SUMIFS('Billing Actual'!$M$2:$M$770,'Billing Actual'!$E$2:$E$770,A879,'Billing Actual'!$B$2:$B$770,'Controls &amp; Sources'!$B$7)</f>
        <v>0</v>
      </c>
      <c r="Q879" s="25" t="n">
        <f aca="false">P879-N879</f>
        <v>-528.5</v>
      </c>
      <c r="R879" s="22" t="str">
        <f aca="false">IF(O879=0,"No August moorage transaction",IF(O879&gt;1,"Duplicate August transactions",IF(ABS(Q879)&gt;0.005,"Charge variance","OK")))</f>
        <v>No August moorage transaction</v>
      </c>
      <c r="S879" s="22" t="str">
        <f aca="false">IF(R879="OK","","Billing completeness/reconciliation")</f>
        <v>Billing completeness/reconciliation</v>
      </c>
    </row>
    <row r="880" customFormat="false" ht="15" hidden="false" customHeight="false" outlineLevel="0" collapsed="false">
      <c r="A880" s="22" t="s">
        <v>8312</v>
      </c>
      <c r="B880" s="22" t="s">
        <v>499</v>
      </c>
      <c r="C880" s="22" t="s">
        <v>7694</v>
      </c>
      <c r="D880" s="22" t="n">
        <v>32</v>
      </c>
      <c r="E880" s="22" t="s">
        <v>7696</v>
      </c>
      <c r="F880" s="22" t="s">
        <v>6577</v>
      </c>
      <c r="G880" s="22" t="s">
        <v>2824</v>
      </c>
      <c r="H880" s="22" t="s">
        <v>2825</v>
      </c>
      <c r="I880" s="22" t="s">
        <v>1840</v>
      </c>
      <c r="J880" s="22" t="n">
        <v>47.2</v>
      </c>
      <c r="K880" s="22" t="n">
        <f aca="false">ROUNDUP(J880,0)</f>
        <v>48</v>
      </c>
      <c r="L880" s="22" t="n">
        <f aca="false">MAX(D880,K880)</f>
        <v>48</v>
      </c>
      <c r="M880" s="25" t="n">
        <f aca="false">IF(E880="COVERED",'Controls &amp; Sources'!$B$5,'Controls &amp; Sources'!$B$6)</f>
        <v>7.55</v>
      </c>
      <c r="N880" s="25" t="n">
        <f aca="false">L880*M880</f>
        <v>362.4</v>
      </c>
      <c r="O880" s="22" t="n">
        <f aca="false">COUNTIFS('Billing Actual'!$E$2:$E$770,A880,'Billing Actual'!$B$2:$B$770,'Controls &amp; Sources'!$B$7)</f>
        <v>0</v>
      </c>
      <c r="P880" s="25" t="n">
        <f aca="false">SUMIFS('Billing Actual'!$M$2:$M$770,'Billing Actual'!$E$2:$E$770,A880,'Billing Actual'!$B$2:$B$770,'Controls &amp; Sources'!$B$7)</f>
        <v>0</v>
      </c>
      <c r="Q880" s="25" t="n">
        <f aca="false">P880-N880</f>
        <v>-362.4</v>
      </c>
      <c r="R880" s="22" t="str">
        <f aca="false">IF(O880=0,"No August moorage transaction",IF(O880&gt;1,"Duplicate August transactions",IF(ABS(Q880)&gt;0.005,"Charge variance","OK")))</f>
        <v>No August moorage transaction</v>
      </c>
      <c r="S880" s="22" t="str">
        <f aca="false">IF(R880="OK","","Billing completeness/reconciliation")</f>
        <v>Billing completeness/reconciliation</v>
      </c>
    </row>
    <row r="881" customFormat="false" ht="15" hidden="false" customHeight="false" outlineLevel="0" collapsed="false">
      <c r="A881" s="22" t="s">
        <v>8313</v>
      </c>
      <c r="B881" s="22" t="s">
        <v>499</v>
      </c>
      <c r="C881" s="22" t="s">
        <v>7694</v>
      </c>
      <c r="D881" s="22" t="n">
        <v>60</v>
      </c>
      <c r="E881" s="22" t="s">
        <v>7696</v>
      </c>
      <c r="F881" s="22" t="s">
        <v>6577</v>
      </c>
      <c r="G881" s="22" t="s">
        <v>478</v>
      </c>
      <c r="H881" s="22" t="s">
        <v>479</v>
      </c>
      <c r="I881" s="22" t="s">
        <v>480</v>
      </c>
      <c r="J881" s="22" t="n">
        <v>36.7</v>
      </c>
      <c r="K881" s="22" t="n">
        <f aca="false">ROUNDUP(J881,0)</f>
        <v>37</v>
      </c>
      <c r="L881" s="22" t="n">
        <f aca="false">MAX(D881,K881)</f>
        <v>60</v>
      </c>
      <c r="M881" s="25" t="n">
        <f aca="false">IF(E881="COVERED",'Controls &amp; Sources'!$B$5,'Controls &amp; Sources'!$B$6)</f>
        <v>7.55</v>
      </c>
      <c r="N881" s="25" t="n">
        <f aca="false">L881*M881</f>
        <v>453</v>
      </c>
      <c r="O881" s="22" t="n">
        <f aca="false">COUNTIFS('Billing Actual'!$E$2:$E$770,A881,'Billing Actual'!$B$2:$B$770,'Controls &amp; Sources'!$B$7)</f>
        <v>0</v>
      </c>
      <c r="P881" s="25" t="n">
        <f aca="false">SUMIFS('Billing Actual'!$M$2:$M$770,'Billing Actual'!$E$2:$E$770,A881,'Billing Actual'!$B$2:$B$770,'Controls &amp; Sources'!$B$7)</f>
        <v>0</v>
      </c>
      <c r="Q881" s="25" t="n">
        <f aca="false">P881-N881</f>
        <v>-453</v>
      </c>
      <c r="R881" s="22" t="str">
        <f aca="false">IF(O881=0,"No August moorage transaction",IF(O881&gt;1,"Duplicate August transactions",IF(ABS(Q881)&gt;0.005,"Charge variance","OK")))</f>
        <v>No August moorage transaction</v>
      </c>
      <c r="S881" s="22" t="str">
        <f aca="false">IF(R881="OK","","Billing completeness/reconciliation")</f>
        <v>Billing completeness/reconciliation</v>
      </c>
    </row>
    <row r="882" customFormat="false" ht="15" hidden="false" customHeight="false" outlineLevel="0" collapsed="false">
      <c r="A882" s="22" t="s">
        <v>8314</v>
      </c>
      <c r="B882" s="22" t="s">
        <v>499</v>
      </c>
      <c r="C882" s="22" t="s">
        <v>7694</v>
      </c>
      <c r="D882" s="22" t="n">
        <v>24</v>
      </c>
      <c r="E882" s="22" t="s">
        <v>7696</v>
      </c>
      <c r="F882" s="22" t="s">
        <v>6577</v>
      </c>
      <c r="G882" s="22" t="s">
        <v>4838</v>
      </c>
      <c r="H882" s="22" t="s">
        <v>4839</v>
      </c>
      <c r="I882" s="22" t="s">
        <v>290</v>
      </c>
      <c r="J882" s="22" t="n">
        <v>19</v>
      </c>
      <c r="K882" s="22" t="n">
        <f aca="false">ROUNDUP(J882,0)</f>
        <v>19</v>
      </c>
      <c r="L882" s="22" t="n">
        <f aca="false">MAX(D882,K882)</f>
        <v>24</v>
      </c>
      <c r="M882" s="25" t="n">
        <f aca="false">IF(E882="COVERED",'Controls &amp; Sources'!$B$5,'Controls &amp; Sources'!$B$6)</f>
        <v>7.55</v>
      </c>
      <c r="N882" s="25" t="n">
        <f aca="false">L882*M882</f>
        <v>181.2</v>
      </c>
      <c r="O882" s="22" t="n">
        <f aca="false">COUNTIFS('Billing Actual'!$E$2:$E$770,A882,'Billing Actual'!$B$2:$B$770,'Controls &amp; Sources'!$B$7)</f>
        <v>0</v>
      </c>
      <c r="P882" s="25" t="n">
        <f aca="false">SUMIFS('Billing Actual'!$M$2:$M$770,'Billing Actual'!$E$2:$E$770,A882,'Billing Actual'!$B$2:$B$770,'Controls &amp; Sources'!$B$7)</f>
        <v>0</v>
      </c>
      <c r="Q882" s="25" t="n">
        <f aca="false">P882-N882</f>
        <v>-181.2</v>
      </c>
      <c r="R882" s="22" t="str">
        <f aca="false">IF(O882=0,"No August moorage transaction",IF(O882&gt;1,"Duplicate August transactions",IF(ABS(Q882)&gt;0.005,"Charge variance","OK")))</f>
        <v>No August moorage transaction</v>
      </c>
      <c r="S882" s="22" t="str">
        <f aca="false">IF(R882="OK","","Billing completeness/reconciliation")</f>
        <v>Billing completeness/reconciliation</v>
      </c>
    </row>
    <row r="883" customFormat="false" ht="15" hidden="false" customHeight="false" outlineLevel="0" collapsed="false">
      <c r="A883" s="22" t="s">
        <v>8315</v>
      </c>
      <c r="B883" s="22" t="s">
        <v>499</v>
      </c>
      <c r="C883" s="22" t="s">
        <v>7694</v>
      </c>
      <c r="D883" s="22" t="n">
        <v>36</v>
      </c>
      <c r="E883" s="22" t="s">
        <v>7696</v>
      </c>
      <c r="F883" s="22" t="s">
        <v>6577</v>
      </c>
      <c r="G883" s="22" t="s">
        <v>5034</v>
      </c>
      <c r="H883" s="22" t="s">
        <v>5035</v>
      </c>
      <c r="I883" s="22" t="s">
        <v>616</v>
      </c>
      <c r="J883" s="22" t="n">
        <v>25.8</v>
      </c>
      <c r="K883" s="22" t="n">
        <f aca="false">ROUNDUP(J883,0)</f>
        <v>26</v>
      </c>
      <c r="L883" s="22" t="n">
        <f aca="false">MAX(D883,K883)</f>
        <v>36</v>
      </c>
      <c r="M883" s="25" t="n">
        <f aca="false">IF(E883="COVERED",'Controls &amp; Sources'!$B$5,'Controls &amp; Sources'!$B$6)</f>
        <v>7.55</v>
      </c>
      <c r="N883" s="25" t="n">
        <f aca="false">L883*M883</f>
        <v>271.8</v>
      </c>
      <c r="O883" s="22" t="n">
        <f aca="false">COUNTIFS('Billing Actual'!$E$2:$E$770,A883,'Billing Actual'!$B$2:$B$770,'Controls &amp; Sources'!$B$7)</f>
        <v>0</v>
      </c>
      <c r="P883" s="25" t="n">
        <f aca="false">SUMIFS('Billing Actual'!$M$2:$M$770,'Billing Actual'!$E$2:$E$770,A883,'Billing Actual'!$B$2:$B$770,'Controls &amp; Sources'!$B$7)</f>
        <v>0</v>
      </c>
      <c r="Q883" s="25" t="n">
        <f aca="false">P883-N883</f>
        <v>-271.8</v>
      </c>
      <c r="R883" s="22" t="str">
        <f aca="false">IF(O883=0,"No August moorage transaction",IF(O883&gt;1,"Duplicate August transactions",IF(ABS(Q883)&gt;0.005,"Charge variance","OK")))</f>
        <v>No August moorage transaction</v>
      </c>
      <c r="S883" s="22" t="str">
        <f aca="false">IF(R883="OK","","Billing completeness/reconciliation")</f>
        <v>Billing completeness/reconciliation</v>
      </c>
    </row>
    <row r="884" customFormat="false" ht="15" hidden="false" customHeight="false" outlineLevel="0" collapsed="false">
      <c r="A884" s="22" t="s">
        <v>8316</v>
      </c>
      <c r="B884" s="22" t="s">
        <v>499</v>
      </c>
      <c r="C884" s="22" t="s">
        <v>7694</v>
      </c>
      <c r="D884" s="22" t="n">
        <v>32</v>
      </c>
      <c r="E884" s="22" t="s">
        <v>7696</v>
      </c>
      <c r="F884" s="22" t="s">
        <v>6577</v>
      </c>
      <c r="G884" s="22" t="s">
        <v>5121</v>
      </c>
      <c r="H884" s="22" t="s">
        <v>5122</v>
      </c>
      <c r="I884" s="22" t="s">
        <v>469</v>
      </c>
      <c r="J884" s="22" t="n">
        <v>58.4</v>
      </c>
      <c r="K884" s="22" t="n">
        <f aca="false">ROUNDUP(J884,0)</f>
        <v>59</v>
      </c>
      <c r="L884" s="22" t="n">
        <f aca="false">MAX(D884,K884)</f>
        <v>59</v>
      </c>
      <c r="M884" s="25" t="n">
        <f aca="false">IF(E884="COVERED",'Controls &amp; Sources'!$B$5,'Controls &amp; Sources'!$B$6)</f>
        <v>7.55</v>
      </c>
      <c r="N884" s="25" t="n">
        <f aca="false">L884*M884</f>
        <v>445.45</v>
      </c>
      <c r="O884" s="22" t="n">
        <f aca="false">COUNTIFS('Billing Actual'!$E$2:$E$770,A884,'Billing Actual'!$B$2:$B$770,'Controls &amp; Sources'!$B$7)</f>
        <v>0</v>
      </c>
      <c r="P884" s="25" t="n">
        <f aca="false">SUMIFS('Billing Actual'!$M$2:$M$770,'Billing Actual'!$E$2:$E$770,A884,'Billing Actual'!$B$2:$B$770,'Controls &amp; Sources'!$B$7)</f>
        <v>0</v>
      </c>
      <c r="Q884" s="25" t="n">
        <f aca="false">P884-N884</f>
        <v>-445.45</v>
      </c>
      <c r="R884" s="22" t="str">
        <f aca="false">IF(O884=0,"No August moorage transaction",IF(O884&gt;1,"Duplicate August transactions",IF(ABS(Q884)&gt;0.005,"Charge variance","OK")))</f>
        <v>No August moorage transaction</v>
      </c>
      <c r="S884" s="22" t="str">
        <f aca="false">IF(R884="OK","","Billing completeness/reconciliation")</f>
        <v>Billing completeness/reconciliation</v>
      </c>
    </row>
    <row r="885" customFormat="false" ht="15" hidden="false" customHeight="false" outlineLevel="0" collapsed="false">
      <c r="A885" s="22" t="s">
        <v>8317</v>
      </c>
      <c r="B885" s="22" t="s">
        <v>499</v>
      </c>
      <c r="C885" s="22" t="s">
        <v>7694</v>
      </c>
      <c r="D885" s="22" t="n">
        <v>32</v>
      </c>
      <c r="E885" s="22" t="s">
        <v>7696</v>
      </c>
      <c r="F885" s="22" t="s">
        <v>6577</v>
      </c>
      <c r="G885" s="22" t="s">
        <v>3017</v>
      </c>
      <c r="H885" s="22" t="s">
        <v>3018</v>
      </c>
      <c r="I885" s="22" t="s">
        <v>684</v>
      </c>
      <c r="J885" s="22" t="n">
        <v>31.4</v>
      </c>
      <c r="K885" s="22" t="n">
        <f aca="false">ROUNDUP(J885,0)</f>
        <v>32</v>
      </c>
      <c r="L885" s="22" t="n">
        <f aca="false">MAX(D885,K885)</f>
        <v>32</v>
      </c>
      <c r="M885" s="25" t="n">
        <f aca="false">IF(E885="COVERED",'Controls &amp; Sources'!$B$5,'Controls &amp; Sources'!$B$6)</f>
        <v>7.55</v>
      </c>
      <c r="N885" s="25" t="n">
        <f aca="false">L885*M885</f>
        <v>241.6</v>
      </c>
      <c r="O885" s="22" t="n">
        <f aca="false">COUNTIFS('Billing Actual'!$E$2:$E$770,A885,'Billing Actual'!$B$2:$B$770,'Controls &amp; Sources'!$B$7)</f>
        <v>0</v>
      </c>
      <c r="P885" s="25" t="n">
        <f aca="false">SUMIFS('Billing Actual'!$M$2:$M$770,'Billing Actual'!$E$2:$E$770,A885,'Billing Actual'!$B$2:$B$770,'Controls &amp; Sources'!$B$7)</f>
        <v>0</v>
      </c>
      <c r="Q885" s="25" t="n">
        <f aca="false">P885-N885</f>
        <v>-241.6</v>
      </c>
      <c r="R885" s="22" t="str">
        <f aca="false">IF(O885=0,"No August moorage transaction",IF(O885&gt;1,"Duplicate August transactions",IF(ABS(Q885)&gt;0.005,"Charge variance","OK")))</f>
        <v>No August moorage transaction</v>
      </c>
      <c r="S885" s="22" t="str">
        <f aca="false">IF(R885="OK","","Billing completeness/reconciliation")</f>
        <v>Billing completeness/reconciliation</v>
      </c>
    </row>
    <row r="886" customFormat="false" ht="15" hidden="false" customHeight="false" outlineLevel="0" collapsed="false">
      <c r="A886" s="22" t="s">
        <v>8318</v>
      </c>
      <c r="B886" s="22" t="s">
        <v>499</v>
      </c>
      <c r="C886" s="22" t="s">
        <v>7694</v>
      </c>
      <c r="D886" s="22" t="n">
        <v>60</v>
      </c>
      <c r="E886" s="22" t="s">
        <v>7696</v>
      </c>
      <c r="F886" s="22" t="s">
        <v>6577</v>
      </c>
      <c r="G886" s="22" t="s">
        <v>2068</v>
      </c>
      <c r="H886" s="22" t="s">
        <v>2069</v>
      </c>
      <c r="I886" s="22" t="s">
        <v>956</v>
      </c>
      <c r="J886" s="22" t="n">
        <v>29.1</v>
      </c>
      <c r="K886" s="22" t="n">
        <f aca="false">ROUNDUP(J886,0)</f>
        <v>30</v>
      </c>
      <c r="L886" s="22" t="n">
        <f aca="false">MAX(D886,K886)</f>
        <v>60</v>
      </c>
      <c r="M886" s="25" t="n">
        <f aca="false">IF(E886="COVERED",'Controls &amp; Sources'!$B$5,'Controls &amp; Sources'!$B$6)</f>
        <v>7.55</v>
      </c>
      <c r="N886" s="25" t="n">
        <f aca="false">L886*M886</f>
        <v>453</v>
      </c>
      <c r="O886" s="22" t="n">
        <f aca="false">COUNTIFS('Billing Actual'!$E$2:$E$770,A886,'Billing Actual'!$B$2:$B$770,'Controls &amp; Sources'!$B$7)</f>
        <v>0</v>
      </c>
      <c r="P886" s="25" t="n">
        <f aca="false">SUMIFS('Billing Actual'!$M$2:$M$770,'Billing Actual'!$E$2:$E$770,A886,'Billing Actual'!$B$2:$B$770,'Controls &amp; Sources'!$B$7)</f>
        <v>0</v>
      </c>
      <c r="Q886" s="25" t="n">
        <f aca="false">P886-N886</f>
        <v>-453</v>
      </c>
      <c r="R886" s="22" t="str">
        <f aca="false">IF(O886=0,"No August moorage transaction",IF(O886&gt;1,"Duplicate August transactions",IF(ABS(Q886)&gt;0.005,"Charge variance","OK")))</f>
        <v>No August moorage transaction</v>
      </c>
      <c r="S886" s="22" t="str">
        <f aca="false">IF(R886="OK","","Billing completeness/reconciliation")</f>
        <v>Billing completeness/reconciliation</v>
      </c>
    </row>
    <row r="887" customFormat="false" ht="15" hidden="false" customHeight="false" outlineLevel="0" collapsed="false">
      <c r="A887" s="22" t="s">
        <v>8319</v>
      </c>
      <c r="B887" s="22" t="s">
        <v>499</v>
      </c>
      <c r="C887" s="22" t="s">
        <v>7694</v>
      </c>
      <c r="D887" s="22" t="n">
        <v>60</v>
      </c>
      <c r="E887" s="22" t="s">
        <v>7696</v>
      </c>
      <c r="F887" s="22" t="s">
        <v>6577</v>
      </c>
      <c r="G887" s="22" t="s">
        <v>5170</v>
      </c>
      <c r="H887" s="22" t="s">
        <v>5171</v>
      </c>
      <c r="I887" s="22" t="s">
        <v>1253</v>
      </c>
      <c r="J887" s="22" t="n">
        <v>58.3</v>
      </c>
      <c r="K887" s="22" t="n">
        <f aca="false">ROUNDUP(J887,0)</f>
        <v>59</v>
      </c>
      <c r="L887" s="22" t="n">
        <f aca="false">MAX(D887,K887)</f>
        <v>60</v>
      </c>
      <c r="M887" s="25" t="n">
        <f aca="false">IF(E887="COVERED",'Controls &amp; Sources'!$B$5,'Controls &amp; Sources'!$B$6)</f>
        <v>7.55</v>
      </c>
      <c r="N887" s="25" t="n">
        <f aca="false">L887*M887</f>
        <v>453</v>
      </c>
      <c r="O887" s="22" t="n">
        <f aca="false">COUNTIFS('Billing Actual'!$E$2:$E$770,A887,'Billing Actual'!$B$2:$B$770,'Controls &amp; Sources'!$B$7)</f>
        <v>0</v>
      </c>
      <c r="P887" s="25" t="n">
        <f aca="false">SUMIFS('Billing Actual'!$M$2:$M$770,'Billing Actual'!$E$2:$E$770,A887,'Billing Actual'!$B$2:$B$770,'Controls &amp; Sources'!$B$7)</f>
        <v>0</v>
      </c>
      <c r="Q887" s="25" t="n">
        <f aca="false">P887-N887</f>
        <v>-453</v>
      </c>
      <c r="R887" s="22" t="str">
        <f aca="false">IF(O887=0,"No August moorage transaction",IF(O887&gt;1,"Duplicate August transactions",IF(ABS(Q887)&gt;0.005,"Charge variance","OK")))</f>
        <v>No August moorage transaction</v>
      </c>
      <c r="S887" s="22" t="str">
        <f aca="false">IF(R887="OK","","Billing completeness/reconciliation")</f>
        <v>Billing completeness/reconciliation</v>
      </c>
    </row>
    <row r="888" customFormat="false" ht="15" hidden="false" customHeight="false" outlineLevel="0" collapsed="false">
      <c r="A888" s="22" t="s">
        <v>8321</v>
      </c>
      <c r="B888" s="22" t="s">
        <v>499</v>
      </c>
      <c r="C888" s="22" t="s">
        <v>7694</v>
      </c>
      <c r="D888" s="22" t="n">
        <v>45</v>
      </c>
      <c r="E888" s="22" t="s">
        <v>7696</v>
      </c>
      <c r="F888" s="22" t="s">
        <v>6577</v>
      </c>
      <c r="G888" s="22" t="s">
        <v>5194</v>
      </c>
      <c r="H888" s="22" t="s">
        <v>5195</v>
      </c>
      <c r="I888" s="22" t="s">
        <v>2468</v>
      </c>
      <c r="J888" s="22" t="n">
        <v>47.5</v>
      </c>
      <c r="K888" s="22" t="n">
        <f aca="false">ROUNDUP(J888,0)</f>
        <v>48</v>
      </c>
      <c r="L888" s="22" t="n">
        <f aca="false">MAX(D888,K888)</f>
        <v>48</v>
      </c>
      <c r="M888" s="25" t="n">
        <f aca="false">IF(E888="COVERED",'Controls &amp; Sources'!$B$5,'Controls &amp; Sources'!$B$6)</f>
        <v>7.55</v>
      </c>
      <c r="N888" s="25" t="n">
        <f aca="false">L888*M888</f>
        <v>362.4</v>
      </c>
      <c r="O888" s="22" t="n">
        <f aca="false">COUNTIFS('Billing Actual'!$E$2:$E$770,A888,'Billing Actual'!$B$2:$B$770,'Controls &amp; Sources'!$B$7)</f>
        <v>0</v>
      </c>
      <c r="P888" s="25" t="n">
        <f aca="false">SUMIFS('Billing Actual'!$M$2:$M$770,'Billing Actual'!$E$2:$E$770,A888,'Billing Actual'!$B$2:$B$770,'Controls &amp; Sources'!$B$7)</f>
        <v>0</v>
      </c>
      <c r="Q888" s="25" t="n">
        <f aca="false">P888-N888</f>
        <v>-362.4</v>
      </c>
      <c r="R888" s="22" t="str">
        <f aca="false">IF(O888=0,"No August moorage transaction",IF(O888&gt;1,"Duplicate August transactions",IF(ABS(Q888)&gt;0.005,"Charge variance","OK")))</f>
        <v>No August moorage transaction</v>
      </c>
      <c r="S888" s="22" t="str">
        <f aca="false">IF(R888="OK","","Billing completeness/reconciliation")</f>
        <v>Billing completeness/reconciliation</v>
      </c>
    </row>
    <row r="889" customFormat="false" ht="15" hidden="false" customHeight="false" outlineLevel="0" collapsed="false">
      <c r="A889" s="22" t="s">
        <v>8322</v>
      </c>
      <c r="B889" s="22" t="s">
        <v>499</v>
      </c>
      <c r="C889" s="22" t="s">
        <v>7694</v>
      </c>
      <c r="D889" s="22" t="n">
        <v>45</v>
      </c>
      <c r="E889" s="22" t="s">
        <v>7696</v>
      </c>
      <c r="F889" s="22" t="s">
        <v>6577</v>
      </c>
      <c r="G889" s="22" t="s">
        <v>1599</v>
      </c>
      <c r="H889" s="22" t="s">
        <v>1600</v>
      </c>
      <c r="I889" s="22" t="s">
        <v>1307</v>
      </c>
      <c r="J889" s="22" t="n">
        <v>27.2</v>
      </c>
      <c r="K889" s="22" t="n">
        <f aca="false">ROUNDUP(J889,0)</f>
        <v>28</v>
      </c>
      <c r="L889" s="22" t="n">
        <f aca="false">MAX(D889,K889)</f>
        <v>45</v>
      </c>
      <c r="M889" s="25" t="n">
        <f aca="false">IF(E889="COVERED",'Controls &amp; Sources'!$B$5,'Controls &amp; Sources'!$B$6)</f>
        <v>7.55</v>
      </c>
      <c r="N889" s="25" t="n">
        <f aca="false">L889*M889</f>
        <v>339.75</v>
      </c>
      <c r="O889" s="22" t="n">
        <f aca="false">COUNTIFS('Billing Actual'!$E$2:$E$770,A889,'Billing Actual'!$B$2:$B$770,'Controls &amp; Sources'!$B$7)</f>
        <v>0</v>
      </c>
      <c r="P889" s="25" t="n">
        <f aca="false">SUMIFS('Billing Actual'!$M$2:$M$770,'Billing Actual'!$E$2:$E$770,A889,'Billing Actual'!$B$2:$B$770,'Controls &amp; Sources'!$B$7)</f>
        <v>0</v>
      </c>
      <c r="Q889" s="25" t="n">
        <f aca="false">P889-N889</f>
        <v>-339.75</v>
      </c>
      <c r="R889" s="22" t="str">
        <f aca="false">IF(O889=0,"No August moorage transaction",IF(O889&gt;1,"Duplicate August transactions",IF(ABS(Q889)&gt;0.005,"Charge variance","OK")))</f>
        <v>No August moorage transaction</v>
      </c>
      <c r="S889" s="22" t="str">
        <f aca="false">IF(R889="OK","","Billing completeness/reconciliation")</f>
        <v>Billing completeness/reconciliation</v>
      </c>
    </row>
    <row r="890" customFormat="false" ht="15" hidden="false" customHeight="false" outlineLevel="0" collapsed="false">
      <c r="A890" s="22" t="s">
        <v>8324</v>
      </c>
      <c r="B890" s="22" t="s">
        <v>499</v>
      </c>
      <c r="C890" s="22" t="s">
        <v>7694</v>
      </c>
      <c r="D890" s="22" t="n">
        <v>80</v>
      </c>
      <c r="E890" s="22" t="s">
        <v>7696</v>
      </c>
      <c r="F890" s="22" t="s">
        <v>6577</v>
      </c>
      <c r="G890" s="22" t="s">
        <v>3207</v>
      </c>
      <c r="H890" s="22" t="s">
        <v>3208</v>
      </c>
      <c r="I890" s="22" t="s">
        <v>938</v>
      </c>
      <c r="J890" s="22" t="n">
        <v>51.7</v>
      </c>
      <c r="K890" s="22" t="n">
        <f aca="false">ROUNDUP(J890,0)</f>
        <v>52</v>
      </c>
      <c r="L890" s="22" t="n">
        <f aca="false">MAX(D890,K890)</f>
        <v>80</v>
      </c>
      <c r="M890" s="25" t="n">
        <f aca="false">IF(E890="COVERED",'Controls &amp; Sources'!$B$5,'Controls &amp; Sources'!$B$6)</f>
        <v>7.55</v>
      </c>
      <c r="N890" s="25" t="n">
        <f aca="false">L890*M890</f>
        <v>604</v>
      </c>
      <c r="O890" s="22" t="n">
        <f aca="false">COUNTIFS('Billing Actual'!$E$2:$E$770,A890,'Billing Actual'!$B$2:$B$770,'Controls &amp; Sources'!$B$7)</f>
        <v>0</v>
      </c>
      <c r="P890" s="25" t="n">
        <f aca="false">SUMIFS('Billing Actual'!$M$2:$M$770,'Billing Actual'!$E$2:$E$770,A890,'Billing Actual'!$B$2:$B$770,'Controls &amp; Sources'!$B$7)</f>
        <v>0</v>
      </c>
      <c r="Q890" s="25" t="n">
        <f aca="false">P890-N890</f>
        <v>-604</v>
      </c>
      <c r="R890" s="22" t="str">
        <f aca="false">IF(O890=0,"No August moorage transaction",IF(O890&gt;1,"Duplicate August transactions",IF(ABS(Q890)&gt;0.005,"Charge variance","OK")))</f>
        <v>No August moorage transaction</v>
      </c>
      <c r="S890" s="22" t="str">
        <f aca="false">IF(R890="OK","","Billing completeness/reconciliation")</f>
        <v>Billing completeness/reconciliation</v>
      </c>
    </row>
    <row r="891" customFormat="false" ht="15" hidden="false" customHeight="false" outlineLevel="0" collapsed="false">
      <c r="A891" s="22" t="s">
        <v>8325</v>
      </c>
      <c r="B891" s="22" t="s">
        <v>499</v>
      </c>
      <c r="C891" s="22" t="s">
        <v>7694</v>
      </c>
      <c r="D891" s="22" t="n">
        <v>80</v>
      </c>
      <c r="E891" s="22" t="s">
        <v>7696</v>
      </c>
      <c r="F891" s="22" t="s">
        <v>6577</v>
      </c>
      <c r="G891" s="22" t="s">
        <v>1450</v>
      </c>
      <c r="H891" s="22" t="s">
        <v>1451</v>
      </c>
      <c r="I891" s="22" t="s">
        <v>1175</v>
      </c>
      <c r="J891" s="22" t="n">
        <v>48</v>
      </c>
      <c r="K891" s="22" t="n">
        <f aca="false">ROUNDUP(J891,0)</f>
        <v>48</v>
      </c>
      <c r="L891" s="22" t="n">
        <f aca="false">MAX(D891,K891)</f>
        <v>80</v>
      </c>
      <c r="M891" s="25" t="n">
        <f aca="false">IF(E891="COVERED",'Controls &amp; Sources'!$B$5,'Controls &amp; Sources'!$B$6)</f>
        <v>7.55</v>
      </c>
      <c r="N891" s="25" t="n">
        <f aca="false">L891*M891</f>
        <v>604</v>
      </c>
      <c r="O891" s="22" t="n">
        <f aca="false">COUNTIFS('Billing Actual'!$E$2:$E$770,A891,'Billing Actual'!$B$2:$B$770,'Controls &amp; Sources'!$B$7)</f>
        <v>0</v>
      </c>
      <c r="P891" s="25" t="n">
        <f aca="false">SUMIFS('Billing Actual'!$M$2:$M$770,'Billing Actual'!$E$2:$E$770,A891,'Billing Actual'!$B$2:$B$770,'Controls &amp; Sources'!$B$7)</f>
        <v>0</v>
      </c>
      <c r="Q891" s="25" t="n">
        <f aca="false">P891-N891</f>
        <v>-604</v>
      </c>
      <c r="R891" s="22" t="str">
        <f aca="false">IF(O891=0,"No August moorage transaction",IF(O891&gt;1,"Duplicate August transactions",IF(ABS(Q891)&gt;0.005,"Charge variance","OK")))</f>
        <v>No August moorage transaction</v>
      </c>
      <c r="S891" s="22" t="str">
        <f aca="false">IF(R891="OK","","Billing completeness/reconciliation")</f>
        <v>Billing completeness/reconciliation</v>
      </c>
    </row>
    <row r="892" customFormat="false" ht="15" hidden="false" customHeight="false" outlineLevel="0" collapsed="false">
      <c r="A892" s="22" t="s">
        <v>8326</v>
      </c>
      <c r="B892" s="22" t="s">
        <v>499</v>
      </c>
      <c r="C892" s="22" t="s">
        <v>7694</v>
      </c>
      <c r="D892" s="22" t="n">
        <v>60</v>
      </c>
      <c r="E892" s="22" t="s">
        <v>7696</v>
      </c>
      <c r="F892" s="22" t="s">
        <v>6577</v>
      </c>
      <c r="G892" s="22" t="s">
        <v>2724</v>
      </c>
      <c r="H892" s="22" t="s">
        <v>2725</v>
      </c>
      <c r="I892" s="22" t="s">
        <v>1690</v>
      </c>
      <c r="J892" s="22" t="n">
        <v>27.1</v>
      </c>
      <c r="K892" s="22" t="n">
        <f aca="false">ROUNDUP(J892,0)</f>
        <v>28</v>
      </c>
      <c r="L892" s="22" t="n">
        <f aca="false">MAX(D892,K892)</f>
        <v>60</v>
      </c>
      <c r="M892" s="25" t="n">
        <f aca="false">IF(E892="COVERED",'Controls &amp; Sources'!$B$5,'Controls &amp; Sources'!$B$6)</f>
        <v>7.55</v>
      </c>
      <c r="N892" s="25" t="n">
        <f aca="false">L892*M892</f>
        <v>453</v>
      </c>
      <c r="O892" s="22" t="n">
        <f aca="false">COUNTIFS('Billing Actual'!$E$2:$E$770,A892,'Billing Actual'!$B$2:$B$770,'Controls &amp; Sources'!$B$7)</f>
        <v>0</v>
      </c>
      <c r="P892" s="25" t="n">
        <f aca="false">SUMIFS('Billing Actual'!$M$2:$M$770,'Billing Actual'!$E$2:$E$770,A892,'Billing Actual'!$B$2:$B$770,'Controls &amp; Sources'!$B$7)</f>
        <v>0</v>
      </c>
      <c r="Q892" s="25" t="n">
        <f aca="false">P892-N892</f>
        <v>-453</v>
      </c>
      <c r="R892" s="22" t="str">
        <f aca="false">IF(O892=0,"No August moorage transaction",IF(O892&gt;1,"Duplicate August transactions",IF(ABS(Q892)&gt;0.005,"Charge variance","OK")))</f>
        <v>No August moorage transaction</v>
      </c>
      <c r="S892" s="22" t="str">
        <f aca="false">IF(R892="OK","","Billing completeness/reconciliation")</f>
        <v>Billing completeness/reconciliation</v>
      </c>
    </row>
    <row r="893" customFormat="false" ht="15" hidden="false" customHeight="false" outlineLevel="0" collapsed="false">
      <c r="A893" s="22" t="s">
        <v>8327</v>
      </c>
      <c r="B893" s="22" t="s">
        <v>499</v>
      </c>
      <c r="C893" s="22" t="s">
        <v>7694</v>
      </c>
      <c r="D893" s="22" t="n">
        <v>32</v>
      </c>
      <c r="E893" s="22" t="s">
        <v>7696</v>
      </c>
      <c r="F893" s="22" t="s">
        <v>6577</v>
      </c>
      <c r="G893" s="22" t="s">
        <v>4869</v>
      </c>
      <c r="H893" s="22" t="s">
        <v>4870</v>
      </c>
      <c r="I893" s="22" t="s">
        <v>717</v>
      </c>
      <c r="J893" s="22" t="n">
        <v>30.6</v>
      </c>
      <c r="K893" s="22" t="n">
        <f aca="false">ROUNDUP(J893,0)</f>
        <v>31</v>
      </c>
      <c r="L893" s="22" t="n">
        <f aca="false">MAX(D893,K893)</f>
        <v>32</v>
      </c>
      <c r="M893" s="25" t="n">
        <f aca="false">IF(E893="COVERED",'Controls &amp; Sources'!$B$5,'Controls &amp; Sources'!$B$6)</f>
        <v>7.55</v>
      </c>
      <c r="N893" s="25" t="n">
        <f aca="false">L893*M893</f>
        <v>241.6</v>
      </c>
      <c r="O893" s="22" t="n">
        <f aca="false">COUNTIFS('Billing Actual'!$E$2:$E$770,A893,'Billing Actual'!$B$2:$B$770,'Controls &amp; Sources'!$B$7)</f>
        <v>0</v>
      </c>
      <c r="P893" s="25" t="n">
        <f aca="false">SUMIFS('Billing Actual'!$M$2:$M$770,'Billing Actual'!$E$2:$E$770,A893,'Billing Actual'!$B$2:$B$770,'Controls &amp; Sources'!$B$7)</f>
        <v>0</v>
      </c>
      <c r="Q893" s="25" t="n">
        <f aca="false">P893-N893</f>
        <v>-241.6</v>
      </c>
      <c r="R893" s="22" t="str">
        <f aca="false">IF(O893=0,"No August moorage transaction",IF(O893&gt;1,"Duplicate August transactions",IF(ABS(Q893)&gt;0.005,"Charge variance","OK")))</f>
        <v>No August moorage transaction</v>
      </c>
      <c r="S893" s="22" t="str">
        <f aca="false">IF(R893="OK","","Billing completeness/reconciliation")</f>
        <v>Billing completeness/reconciliation</v>
      </c>
    </row>
    <row r="894" customFormat="false" ht="15" hidden="false" customHeight="false" outlineLevel="0" collapsed="false">
      <c r="A894" s="22" t="s">
        <v>8328</v>
      </c>
      <c r="B894" s="22" t="s">
        <v>499</v>
      </c>
      <c r="C894" s="22" t="s">
        <v>7694</v>
      </c>
      <c r="D894" s="22" t="n">
        <v>70</v>
      </c>
      <c r="E894" s="22" t="s">
        <v>7696</v>
      </c>
      <c r="F894" s="22" t="s">
        <v>6577</v>
      </c>
      <c r="G894" s="22" t="s">
        <v>2956</v>
      </c>
      <c r="H894" s="22" t="s">
        <v>2957</v>
      </c>
      <c r="I894" s="22" t="s">
        <v>588</v>
      </c>
      <c r="J894" s="22" t="n">
        <v>50.8</v>
      </c>
      <c r="K894" s="22" t="n">
        <f aca="false">ROUNDUP(J894,0)</f>
        <v>51</v>
      </c>
      <c r="L894" s="22" t="n">
        <f aca="false">MAX(D894,K894)</f>
        <v>70</v>
      </c>
      <c r="M894" s="25" t="n">
        <f aca="false">IF(E894="COVERED",'Controls &amp; Sources'!$B$5,'Controls &amp; Sources'!$B$6)</f>
        <v>7.55</v>
      </c>
      <c r="N894" s="25" t="n">
        <f aca="false">L894*M894</f>
        <v>528.5</v>
      </c>
      <c r="O894" s="22" t="n">
        <f aca="false">COUNTIFS('Billing Actual'!$E$2:$E$770,A894,'Billing Actual'!$B$2:$B$770,'Controls &amp; Sources'!$B$7)</f>
        <v>0</v>
      </c>
      <c r="P894" s="25" t="n">
        <f aca="false">SUMIFS('Billing Actual'!$M$2:$M$770,'Billing Actual'!$E$2:$E$770,A894,'Billing Actual'!$B$2:$B$770,'Controls &amp; Sources'!$B$7)</f>
        <v>0</v>
      </c>
      <c r="Q894" s="25" t="n">
        <f aca="false">P894-N894</f>
        <v>-528.5</v>
      </c>
      <c r="R894" s="22" t="str">
        <f aca="false">IF(O894=0,"No August moorage transaction",IF(O894&gt;1,"Duplicate August transactions",IF(ABS(Q894)&gt;0.005,"Charge variance","OK")))</f>
        <v>No August moorage transaction</v>
      </c>
      <c r="S894" s="22" t="str">
        <f aca="false">IF(R894="OK","","Billing completeness/reconciliation")</f>
        <v>Billing completeness/reconciliation</v>
      </c>
    </row>
    <row r="895" customFormat="false" ht="15" hidden="false" customHeight="false" outlineLevel="0" collapsed="false">
      <c r="A895" s="22" t="s">
        <v>8329</v>
      </c>
      <c r="B895" s="22" t="s">
        <v>499</v>
      </c>
      <c r="C895" s="22" t="s">
        <v>7694</v>
      </c>
      <c r="D895" s="22" t="n">
        <v>24</v>
      </c>
      <c r="E895" s="22" t="s">
        <v>7696</v>
      </c>
      <c r="F895" s="22" t="s">
        <v>6577</v>
      </c>
      <c r="G895" s="22" t="s">
        <v>3593</v>
      </c>
      <c r="H895" s="22" t="s">
        <v>3594</v>
      </c>
      <c r="I895" s="22" t="s">
        <v>2663</v>
      </c>
      <c r="J895" s="22" t="n">
        <v>31.6</v>
      </c>
      <c r="K895" s="22" t="n">
        <f aca="false">ROUNDUP(J895,0)</f>
        <v>32</v>
      </c>
      <c r="L895" s="22" t="n">
        <f aca="false">MAX(D895,K895)</f>
        <v>32</v>
      </c>
      <c r="M895" s="25" t="n">
        <f aca="false">IF(E895="COVERED",'Controls &amp; Sources'!$B$5,'Controls &amp; Sources'!$B$6)</f>
        <v>7.55</v>
      </c>
      <c r="N895" s="25" t="n">
        <f aca="false">L895*M895</f>
        <v>241.6</v>
      </c>
      <c r="O895" s="22" t="n">
        <f aca="false">COUNTIFS('Billing Actual'!$E$2:$E$770,A895,'Billing Actual'!$B$2:$B$770,'Controls &amp; Sources'!$B$7)</f>
        <v>0</v>
      </c>
      <c r="P895" s="25" t="n">
        <f aca="false">SUMIFS('Billing Actual'!$M$2:$M$770,'Billing Actual'!$E$2:$E$770,A895,'Billing Actual'!$B$2:$B$770,'Controls &amp; Sources'!$B$7)</f>
        <v>0</v>
      </c>
      <c r="Q895" s="25" t="n">
        <f aca="false">P895-N895</f>
        <v>-241.6</v>
      </c>
      <c r="R895" s="22" t="str">
        <f aca="false">IF(O895=0,"No August moorage transaction",IF(O895&gt;1,"Duplicate August transactions",IF(ABS(Q895)&gt;0.005,"Charge variance","OK")))</f>
        <v>No August moorage transaction</v>
      </c>
      <c r="S895" s="22" t="str">
        <f aca="false">IF(R895="OK","","Billing completeness/reconciliation")</f>
        <v>Billing completeness/reconciliation</v>
      </c>
    </row>
    <row r="896" customFormat="false" ht="15" hidden="false" customHeight="false" outlineLevel="0" collapsed="false">
      <c r="A896" s="22" t="s">
        <v>8330</v>
      </c>
      <c r="B896" s="22" t="s">
        <v>499</v>
      </c>
      <c r="C896" s="22" t="s">
        <v>7694</v>
      </c>
      <c r="D896" s="22" t="n">
        <v>32</v>
      </c>
      <c r="E896" s="22" t="s">
        <v>7696</v>
      </c>
      <c r="F896" s="22" t="s">
        <v>6577</v>
      </c>
      <c r="G896" s="22" t="s">
        <v>1131</v>
      </c>
      <c r="H896" s="22" t="s">
        <v>1132</v>
      </c>
      <c r="I896" s="22" t="s">
        <v>616</v>
      </c>
      <c r="J896" s="22" t="n">
        <v>22.5</v>
      </c>
      <c r="K896" s="22" t="n">
        <f aca="false">ROUNDUP(J896,0)</f>
        <v>23</v>
      </c>
      <c r="L896" s="22" t="n">
        <f aca="false">MAX(D896,K896)</f>
        <v>32</v>
      </c>
      <c r="M896" s="25" t="n">
        <f aca="false">IF(E896="COVERED",'Controls &amp; Sources'!$B$5,'Controls &amp; Sources'!$B$6)</f>
        <v>7.55</v>
      </c>
      <c r="N896" s="25" t="n">
        <f aca="false">L896*M896</f>
        <v>241.6</v>
      </c>
      <c r="O896" s="22" t="n">
        <f aca="false">COUNTIFS('Billing Actual'!$E$2:$E$770,A896,'Billing Actual'!$B$2:$B$770,'Controls &amp; Sources'!$B$7)</f>
        <v>0</v>
      </c>
      <c r="P896" s="25" t="n">
        <f aca="false">SUMIFS('Billing Actual'!$M$2:$M$770,'Billing Actual'!$E$2:$E$770,A896,'Billing Actual'!$B$2:$B$770,'Controls &amp; Sources'!$B$7)</f>
        <v>0</v>
      </c>
      <c r="Q896" s="25" t="n">
        <f aca="false">P896-N896</f>
        <v>-241.6</v>
      </c>
      <c r="R896" s="22" t="str">
        <f aca="false">IF(O896=0,"No August moorage transaction",IF(O896&gt;1,"Duplicate August transactions",IF(ABS(Q896)&gt;0.005,"Charge variance","OK")))</f>
        <v>No August moorage transaction</v>
      </c>
      <c r="S896" s="22" t="str">
        <f aca="false">IF(R896="OK","","Billing completeness/reconciliation")</f>
        <v>Billing completeness/reconciliation</v>
      </c>
    </row>
    <row r="897" customFormat="false" ht="15" hidden="false" customHeight="false" outlineLevel="0" collapsed="false">
      <c r="A897" s="22" t="s">
        <v>8331</v>
      </c>
      <c r="B897" s="22" t="s">
        <v>499</v>
      </c>
      <c r="C897" s="22" t="s">
        <v>7694</v>
      </c>
      <c r="D897" s="22" t="n">
        <v>24</v>
      </c>
      <c r="E897" s="22" t="s">
        <v>7696</v>
      </c>
      <c r="F897" s="22" t="s">
        <v>6577</v>
      </c>
      <c r="G897" s="22" t="s">
        <v>4610</v>
      </c>
      <c r="H897" s="22" t="s">
        <v>4611</v>
      </c>
      <c r="I897" s="22" t="s">
        <v>1968</v>
      </c>
      <c r="J897" s="22" t="n">
        <v>51</v>
      </c>
      <c r="K897" s="22" t="n">
        <f aca="false">ROUNDUP(J897,0)</f>
        <v>51</v>
      </c>
      <c r="L897" s="22" t="n">
        <f aca="false">MAX(D897,K897)</f>
        <v>51</v>
      </c>
      <c r="M897" s="25" t="n">
        <f aca="false">IF(E897="COVERED",'Controls &amp; Sources'!$B$5,'Controls &amp; Sources'!$B$6)</f>
        <v>7.55</v>
      </c>
      <c r="N897" s="25" t="n">
        <f aca="false">L897*M897</f>
        <v>385.05</v>
      </c>
      <c r="O897" s="22" t="n">
        <f aca="false">COUNTIFS('Billing Actual'!$E$2:$E$770,A897,'Billing Actual'!$B$2:$B$770,'Controls &amp; Sources'!$B$7)</f>
        <v>0</v>
      </c>
      <c r="P897" s="25" t="n">
        <f aca="false">SUMIFS('Billing Actual'!$M$2:$M$770,'Billing Actual'!$E$2:$E$770,A897,'Billing Actual'!$B$2:$B$770,'Controls &amp; Sources'!$B$7)</f>
        <v>0</v>
      </c>
      <c r="Q897" s="25" t="n">
        <f aca="false">P897-N897</f>
        <v>-385.05</v>
      </c>
      <c r="R897" s="22" t="str">
        <f aca="false">IF(O897=0,"No August moorage transaction",IF(O897&gt;1,"Duplicate August transactions",IF(ABS(Q897)&gt;0.005,"Charge variance","OK")))</f>
        <v>No August moorage transaction</v>
      </c>
      <c r="S897" s="22" t="str">
        <f aca="false">IF(R897="OK","","Billing completeness/reconciliation")</f>
        <v>Billing completeness/reconciliation</v>
      </c>
    </row>
    <row r="898" customFormat="false" ht="15" hidden="false" customHeight="false" outlineLevel="0" collapsed="false">
      <c r="A898" s="22" t="s">
        <v>8332</v>
      </c>
      <c r="B898" s="22" t="s">
        <v>499</v>
      </c>
      <c r="C898" s="22" t="s">
        <v>7694</v>
      </c>
      <c r="D898" s="22" t="n">
        <v>45</v>
      </c>
      <c r="E898" s="22" t="s">
        <v>7696</v>
      </c>
      <c r="F898" s="22" t="s">
        <v>6577</v>
      </c>
      <c r="G898" s="22" t="s">
        <v>3154</v>
      </c>
      <c r="H898" s="22" t="s">
        <v>3155</v>
      </c>
      <c r="I898" s="22" t="s">
        <v>1629</v>
      </c>
      <c r="J898" s="22" t="n">
        <v>42.1</v>
      </c>
      <c r="K898" s="22" t="n">
        <f aca="false">ROUNDUP(J898,0)</f>
        <v>43</v>
      </c>
      <c r="L898" s="22" t="n">
        <f aca="false">MAX(D898,K898)</f>
        <v>45</v>
      </c>
      <c r="M898" s="25" t="n">
        <f aca="false">IF(E898="COVERED",'Controls &amp; Sources'!$B$5,'Controls &amp; Sources'!$B$6)</f>
        <v>7.55</v>
      </c>
      <c r="N898" s="25" t="n">
        <f aca="false">L898*M898</f>
        <v>339.75</v>
      </c>
      <c r="O898" s="22" t="n">
        <f aca="false">COUNTIFS('Billing Actual'!$E$2:$E$770,A898,'Billing Actual'!$B$2:$B$770,'Controls &amp; Sources'!$B$7)</f>
        <v>0</v>
      </c>
      <c r="P898" s="25" t="n">
        <f aca="false">SUMIFS('Billing Actual'!$M$2:$M$770,'Billing Actual'!$E$2:$E$770,A898,'Billing Actual'!$B$2:$B$770,'Controls &amp; Sources'!$B$7)</f>
        <v>0</v>
      </c>
      <c r="Q898" s="25" t="n">
        <f aca="false">P898-N898</f>
        <v>-339.75</v>
      </c>
      <c r="R898" s="22" t="str">
        <f aca="false">IF(O898=0,"No August moorage transaction",IF(O898&gt;1,"Duplicate August transactions",IF(ABS(Q898)&gt;0.005,"Charge variance","OK")))</f>
        <v>No August moorage transaction</v>
      </c>
      <c r="S898" s="22" t="str">
        <f aca="false">IF(R898="OK","","Billing completeness/reconciliation")</f>
        <v>Billing completeness/reconciliation</v>
      </c>
    </row>
    <row r="899" customFormat="false" ht="15" hidden="false" customHeight="false" outlineLevel="0" collapsed="false">
      <c r="A899" s="22" t="s">
        <v>8333</v>
      </c>
      <c r="B899" s="22" t="s">
        <v>499</v>
      </c>
      <c r="C899" s="22" t="s">
        <v>7694</v>
      </c>
      <c r="D899" s="22" t="n">
        <v>32</v>
      </c>
      <c r="E899" s="22" t="s">
        <v>7696</v>
      </c>
      <c r="F899" s="22" t="s">
        <v>6577</v>
      </c>
      <c r="G899" s="22" t="s">
        <v>6291</v>
      </c>
      <c r="H899" s="22" t="s">
        <v>6292</v>
      </c>
      <c r="I899" s="22" t="s">
        <v>852</v>
      </c>
      <c r="J899" s="22" t="n">
        <v>19.8</v>
      </c>
      <c r="K899" s="22" t="n">
        <f aca="false">ROUNDUP(J899,0)</f>
        <v>20</v>
      </c>
      <c r="L899" s="22" t="n">
        <f aca="false">MAX(D899,K899)</f>
        <v>32</v>
      </c>
      <c r="M899" s="25" t="n">
        <f aca="false">IF(E899="COVERED",'Controls &amp; Sources'!$B$5,'Controls &amp; Sources'!$B$6)</f>
        <v>7.55</v>
      </c>
      <c r="N899" s="25" t="n">
        <f aca="false">L899*M899</f>
        <v>241.6</v>
      </c>
      <c r="O899" s="22" t="n">
        <f aca="false">COUNTIFS('Billing Actual'!$E$2:$E$770,A899,'Billing Actual'!$B$2:$B$770,'Controls &amp; Sources'!$B$7)</f>
        <v>0</v>
      </c>
      <c r="P899" s="25" t="n">
        <f aca="false">SUMIFS('Billing Actual'!$M$2:$M$770,'Billing Actual'!$E$2:$E$770,A899,'Billing Actual'!$B$2:$B$770,'Controls &amp; Sources'!$B$7)</f>
        <v>0</v>
      </c>
      <c r="Q899" s="25" t="n">
        <f aca="false">P899-N899</f>
        <v>-241.6</v>
      </c>
      <c r="R899" s="22" t="str">
        <f aca="false">IF(O899=0,"No August moorage transaction",IF(O899&gt;1,"Duplicate August transactions",IF(ABS(Q899)&gt;0.005,"Charge variance","OK")))</f>
        <v>No August moorage transaction</v>
      </c>
      <c r="S899" s="22" t="str">
        <f aca="false">IF(R899="OK","","Billing completeness/reconciliation")</f>
        <v>Billing completeness/reconciliation</v>
      </c>
    </row>
    <row r="900" customFormat="false" ht="15" hidden="false" customHeight="false" outlineLevel="0" collapsed="false">
      <c r="A900" s="22" t="s">
        <v>8334</v>
      </c>
      <c r="B900" s="22" t="s">
        <v>499</v>
      </c>
      <c r="C900" s="22" t="s">
        <v>7694</v>
      </c>
      <c r="D900" s="22" t="n">
        <v>45</v>
      </c>
      <c r="E900" s="22" t="s">
        <v>7696</v>
      </c>
      <c r="F900" s="22" t="s">
        <v>6577</v>
      </c>
      <c r="G900" s="22" t="s">
        <v>5526</v>
      </c>
      <c r="H900" s="22" t="s">
        <v>5527</v>
      </c>
      <c r="I900" s="22" t="s">
        <v>591</v>
      </c>
      <c r="J900" s="22" t="n">
        <v>28.5</v>
      </c>
      <c r="K900" s="22" t="n">
        <f aca="false">ROUNDUP(J900,0)</f>
        <v>29</v>
      </c>
      <c r="L900" s="22" t="n">
        <f aca="false">MAX(D900,K900)</f>
        <v>45</v>
      </c>
      <c r="M900" s="25" t="n">
        <f aca="false">IF(E900="COVERED",'Controls &amp; Sources'!$B$5,'Controls &amp; Sources'!$B$6)</f>
        <v>7.55</v>
      </c>
      <c r="N900" s="25" t="n">
        <f aca="false">L900*M900</f>
        <v>339.75</v>
      </c>
      <c r="O900" s="22" t="n">
        <f aca="false">COUNTIFS('Billing Actual'!$E$2:$E$770,A900,'Billing Actual'!$B$2:$B$770,'Controls &amp; Sources'!$B$7)</f>
        <v>0</v>
      </c>
      <c r="P900" s="25" t="n">
        <f aca="false">SUMIFS('Billing Actual'!$M$2:$M$770,'Billing Actual'!$E$2:$E$770,A900,'Billing Actual'!$B$2:$B$770,'Controls &amp; Sources'!$B$7)</f>
        <v>0</v>
      </c>
      <c r="Q900" s="25" t="n">
        <f aca="false">P900-N900</f>
        <v>-339.75</v>
      </c>
      <c r="R900" s="22" t="str">
        <f aca="false">IF(O900=0,"No August moorage transaction",IF(O900&gt;1,"Duplicate August transactions",IF(ABS(Q900)&gt;0.005,"Charge variance","OK")))</f>
        <v>No August moorage transaction</v>
      </c>
      <c r="S900" s="22" t="str">
        <f aca="false">IF(R900="OK","","Billing completeness/reconciliation")</f>
        <v>Billing completeness/reconciliation</v>
      </c>
    </row>
    <row r="901" customFormat="false" ht="15" hidden="false" customHeight="false" outlineLevel="0" collapsed="false">
      <c r="A901" s="22" t="s">
        <v>8337</v>
      </c>
      <c r="B901" s="22" t="s">
        <v>499</v>
      </c>
      <c r="C901" s="22" t="s">
        <v>7694</v>
      </c>
      <c r="D901" s="22" t="n">
        <v>28</v>
      </c>
      <c r="E901" s="22" t="s">
        <v>7696</v>
      </c>
      <c r="F901" s="22" t="s">
        <v>6577</v>
      </c>
      <c r="G901" s="22" t="s">
        <v>4388</v>
      </c>
      <c r="H901" s="22" t="s">
        <v>4389</v>
      </c>
      <c r="I901" s="22" t="s">
        <v>2001</v>
      </c>
      <c r="J901" s="22" t="n">
        <v>35</v>
      </c>
      <c r="K901" s="22" t="n">
        <f aca="false">ROUNDUP(J901,0)</f>
        <v>35</v>
      </c>
      <c r="L901" s="22" t="n">
        <f aca="false">MAX(D901,K901)</f>
        <v>35</v>
      </c>
      <c r="M901" s="25" t="n">
        <f aca="false">IF(E901="COVERED",'Controls &amp; Sources'!$B$5,'Controls &amp; Sources'!$B$6)</f>
        <v>7.55</v>
      </c>
      <c r="N901" s="25" t="n">
        <f aca="false">L901*M901</f>
        <v>264.25</v>
      </c>
      <c r="O901" s="22" t="n">
        <f aca="false">COUNTIFS('Billing Actual'!$E$2:$E$770,A901,'Billing Actual'!$B$2:$B$770,'Controls &amp; Sources'!$B$7)</f>
        <v>0</v>
      </c>
      <c r="P901" s="25" t="n">
        <f aca="false">SUMIFS('Billing Actual'!$M$2:$M$770,'Billing Actual'!$E$2:$E$770,A901,'Billing Actual'!$B$2:$B$770,'Controls &amp; Sources'!$B$7)</f>
        <v>0</v>
      </c>
      <c r="Q901" s="25" t="n">
        <f aca="false">P901-N901</f>
        <v>-264.25</v>
      </c>
      <c r="R901" s="22" t="str">
        <f aca="false">IF(O901=0,"No August moorage transaction",IF(O901&gt;1,"Duplicate August transactions",IF(ABS(Q901)&gt;0.005,"Charge variance","OK")))</f>
        <v>No August moorage transaction</v>
      </c>
      <c r="S901" s="22" t="str">
        <f aca="false">IF(R901="OK","","Billing completeness/reconciliation")</f>
        <v>Billing completeness/reconciliation</v>
      </c>
    </row>
    <row r="902" customFormat="false" ht="15" hidden="false" customHeight="false" outlineLevel="0" collapsed="false">
      <c r="A902" s="22" t="s">
        <v>8338</v>
      </c>
      <c r="B902" s="22" t="s">
        <v>188</v>
      </c>
      <c r="C902" s="22" t="s">
        <v>7694</v>
      </c>
      <c r="D902" s="22" t="n">
        <v>70</v>
      </c>
      <c r="E902" s="22" t="s">
        <v>7696</v>
      </c>
      <c r="F902" s="22" t="s">
        <v>6577</v>
      </c>
      <c r="G902" s="22" t="s">
        <v>4855</v>
      </c>
      <c r="H902" s="22" t="s">
        <v>4856</v>
      </c>
      <c r="I902" s="22" t="s">
        <v>1074</v>
      </c>
      <c r="J902" s="22" t="n">
        <v>27.6</v>
      </c>
      <c r="K902" s="22" t="n">
        <f aca="false">ROUNDUP(J902,0)</f>
        <v>28</v>
      </c>
      <c r="L902" s="22" t="n">
        <f aca="false">MAX(D902,K902)</f>
        <v>70</v>
      </c>
      <c r="M902" s="25" t="n">
        <f aca="false">IF(E902="COVERED",'Controls &amp; Sources'!$B$5,'Controls &amp; Sources'!$B$6)</f>
        <v>7.55</v>
      </c>
      <c r="N902" s="25" t="n">
        <f aca="false">L902*M902</f>
        <v>528.5</v>
      </c>
      <c r="O902" s="22" t="n">
        <f aca="false">COUNTIFS('Billing Actual'!$E$2:$E$770,A902,'Billing Actual'!$B$2:$B$770,'Controls &amp; Sources'!$B$7)</f>
        <v>0</v>
      </c>
      <c r="P902" s="25" t="n">
        <f aca="false">SUMIFS('Billing Actual'!$M$2:$M$770,'Billing Actual'!$E$2:$E$770,A902,'Billing Actual'!$B$2:$B$770,'Controls &amp; Sources'!$B$7)</f>
        <v>0</v>
      </c>
      <c r="Q902" s="25" t="n">
        <f aca="false">P902-N902</f>
        <v>-528.5</v>
      </c>
      <c r="R902" s="22" t="str">
        <f aca="false">IF(O902=0,"No August moorage transaction",IF(O902&gt;1,"Duplicate August transactions",IF(ABS(Q902)&gt;0.005,"Charge variance","OK")))</f>
        <v>No August moorage transaction</v>
      </c>
      <c r="S902" s="22" t="str">
        <f aca="false">IF(R902="OK","","Billing completeness/reconciliation")</f>
        <v>Billing completeness/reconciliation</v>
      </c>
    </row>
    <row r="903" customFormat="false" ht="15" hidden="false" customHeight="false" outlineLevel="0" collapsed="false">
      <c r="A903" s="22" t="s">
        <v>8339</v>
      </c>
      <c r="B903" s="22" t="s">
        <v>188</v>
      </c>
      <c r="C903" s="22" t="s">
        <v>7694</v>
      </c>
      <c r="D903" s="22" t="n">
        <v>32</v>
      </c>
      <c r="E903" s="22" t="s">
        <v>7696</v>
      </c>
      <c r="F903" s="22" t="s">
        <v>6577</v>
      </c>
      <c r="G903" s="22" t="s">
        <v>4426</v>
      </c>
      <c r="H903" s="22" t="s">
        <v>4427</v>
      </c>
      <c r="I903" s="22" t="s">
        <v>959</v>
      </c>
      <c r="J903" s="22" t="n">
        <v>44.3</v>
      </c>
      <c r="K903" s="22" t="n">
        <f aca="false">ROUNDUP(J903,0)</f>
        <v>45</v>
      </c>
      <c r="L903" s="22" t="n">
        <f aca="false">MAX(D903,K903)</f>
        <v>45</v>
      </c>
      <c r="M903" s="25" t="n">
        <f aca="false">IF(E903="COVERED",'Controls &amp; Sources'!$B$5,'Controls &amp; Sources'!$B$6)</f>
        <v>7.55</v>
      </c>
      <c r="N903" s="25" t="n">
        <f aca="false">L903*M903</f>
        <v>339.75</v>
      </c>
      <c r="O903" s="22" t="n">
        <f aca="false">COUNTIFS('Billing Actual'!$E$2:$E$770,A903,'Billing Actual'!$B$2:$B$770,'Controls &amp; Sources'!$B$7)</f>
        <v>0</v>
      </c>
      <c r="P903" s="25" t="n">
        <f aca="false">SUMIFS('Billing Actual'!$M$2:$M$770,'Billing Actual'!$E$2:$E$770,A903,'Billing Actual'!$B$2:$B$770,'Controls &amp; Sources'!$B$7)</f>
        <v>0</v>
      </c>
      <c r="Q903" s="25" t="n">
        <f aca="false">P903-N903</f>
        <v>-339.75</v>
      </c>
      <c r="R903" s="22" t="str">
        <f aca="false">IF(O903=0,"No August moorage transaction",IF(O903&gt;1,"Duplicate August transactions",IF(ABS(Q903)&gt;0.005,"Charge variance","OK")))</f>
        <v>No August moorage transaction</v>
      </c>
      <c r="S903" s="22" t="str">
        <f aca="false">IF(R903="OK","","Billing completeness/reconciliation")</f>
        <v>Billing completeness/reconciliation</v>
      </c>
    </row>
    <row r="904" customFormat="false" ht="15" hidden="false" customHeight="false" outlineLevel="0" collapsed="false">
      <c r="A904" s="22" t="s">
        <v>8340</v>
      </c>
      <c r="B904" s="22" t="s">
        <v>188</v>
      </c>
      <c r="C904" s="22" t="s">
        <v>7694</v>
      </c>
      <c r="D904" s="22" t="n">
        <v>36</v>
      </c>
      <c r="E904" s="22" t="s">
        <v>7696</v>
      </c>
      <c r="F904" s="22" t="s">
        <v>6577</v>
      </c>
      <c r="G904" s="22" t="s">
        <v>5046</v>
      </c>
      <c r="H904" s="22" t="s">
        <v>5047</v>
      </c>
      <c r="I904" s="22" t="s">
        <v>1187</v>
      </c>
      <c r="J904" s="22" t="n">
        <v>55.5</v>
      </c>
      <c r="K904" s="22" t="n">
        <f aca="false">ROUNDUP(J904,0)</f>
        <v>56</v>
      </c>
      <c r="L904" s="22" t="n">
        <f aca="false">MAX(D904,K904)</f>
        <v>56</v>
      </c>
      <c r="M904" s="25" t="n">
        <f aca="false">IF(E904="COVERED",'Controls &amp; Sources'!$B$5,'Controls &amp; Sources'!$B$6)</f>
        <v>7.55</v>
      </c>
      <c r="N904" s="25" t="n">
        <f aca="false">L904*M904</f>
        <v>422.8</v>
      </c>
      <c r="O904" s="22" t="n">
        <f aca="false">COUNTIFS('Billing Actual'!$E$2:$E$770,A904,'Billing Actual'!$B$2:$B$770,'Controls &amp; Sources'!$B$7)</f>
        <v>0</v>
      </c>
      <c r="P904" s="25" t="n">
        <f aca="false">SUMIFS('Billing Actual'!$M$2:$M$770,'Billing Actual'!$E$2:$E$770,A904,'Billing Actual'!$B$2:$B$770,'Controls &amp; Sources'!$B$7)</f>
        <v>0</v>
      </c>
      <c r="Q904" s="25" t="n">
        <f aca="false">P904-N904</f>
        <v>-422.8</v>
      </c>
      <c r="R904" s="22" t="str">
        <f aca="false">IF(O904=0,"No August moorage transaction",IF(O904&gt;1,"Duplicate August transactions",IF(ABS(Q904)&gt;0.005,"Charge variance","OK")))</f>
        <v>No August moorage transaction</v>
      </c>
      <c r="S904" s="22" t="str">
        <f aca="false">IF(R904="OK","","Billing completeness/reconciliation")</f>
        <v>Billing completeness/reconciliation</v>
      </c>
    </row>
    <row r="905" customFormat="false" ht="15" hidden="false" customHeight="false" outlineLevel="0" collapsed="false">
      <c r="A905" s="22" t="s">
        <v>8342</v>
      </c>
      <c r="B905" s="22" t="s">
        <v>188</v>
      </c>
      <c r="C905" s="22" t="s">
        <v>7694</v>
      </c>
      <c r="D905" s="22" t="n">
        <v>50</v>
      </c>
      <c r="E905" s="22" t="s">
        <v>7696</v>
      </c>
      <c r="F905" s="22" t="s">
        <v>6577</v>
      </c>
      <c r="G905" s="22" t="s">
        <v>2815</v>
      </c>
      <c r="H905" s="22" t="s">
        <v>2816</v>
      </c>
      <c r="I905" s="22" t="s">
        <v>516</v>
      </c>
      <c r="J905" s="22" t="n">
        <v>52.4</v>
      </c>
      <c r="K905" s="22" t="n">
        <f aca="false">ROUNDUP(J905,0)</f>
        <v>53</v>
      </c>
      <c r="L905" s="22" t="n">
        <f aca="false">MAX(D905,K905)</f>
        <v>53</v>
      </c>
      <c r="M905" s="25" t="n">
        <f aca="false">IF(E905="COVERED",'Controls &amp; Sources'!$B$5,'Controls &amp; Sources'!$B$6)</f>
        <v>7.55</v>
      </c>
      <c r="N905" s="25" t="n">
        <f aca="false">L905*M905</f>
        <v>400.15</v>
      </c>
      <c r="O905" s="22" t="n">
        <f aca="false">COUNTIFS('Billing Actual'!$E$2:$E$770,A905,'Billing Actual'!$B$2:$B$770,'Controls &amp; Sources'!$B$7)</f>
        <v>0</v>
      </c>
      <c r="P905" s="25" t="n">
        <f aca="false">SUMIFS('Billing Actual'!$M$2:$M$770,'Billing Actual'!$E$2:$E$770,A905,'Billing Actual'!$B$2:$B$770,'Controls &amp; Sources'!$B$7)</f>
        <v>0</v>
      </c>
      <c r="Q905" s="25" t="n">
        <f aca="false">P905-N905</f>
        <v>-400.15</v>
      </c>
      <c r="R905" s="22" t="str">
        <f aca="false">IF(O905=0,"No August moorage transaction",IF(O905&gt;1,"Duplicate August transactions",IF(ABS(Q905)&gt;0.005,"Charge variance","OK")))</f>
        <v>No August moorage transaction</v>
      </c>
      <c r="S905" s="22" t="str">
        <f aca="false">IF(R905="OK","","Billing completeness/reconciliation")</f>
        <v>Billing completeness/reconciliation</v>
      </c>
    </row>
    <row r="906" customFormat="false" ht="15" hidden="false" customHeight="false" outlineLevel="0" collapsed="false">
      <c r="A906" s="22" t="s">
        <v>8345</v>
      </c>
      <c r="B906" s="22" t="s">
        <v>188</v>
      </c>
      <c r="C906" s="22" t="s">
        <v>7694</v>
      </c>
      <c r="D906" s="22" t="n">
        <v>28</v>
      </c>
      <c r="E906" s="22" t="s">
        <v>7696</v>
      </c>
      <c r="F906" s="22" t="s">
        <v>6577</v>
      </c>
      <c r="G906" s="22" t="s">
        <v>6212</v>
      </c>
      <c r="H906" s="22" t="s">
        <v>6213</v>
      </c>
      <c r="I906" s="22" t="s">
        <v>4653</v>
      </c>
      <c r="J906" s="22" t="n">
        <v>36.9</v>
      </c>
      <c r="K906" s="22" t="n">
        <f aca="false">ROUNDUP(J906,0)</f>
        <v>37</v>
      </c>
      <c r="L906" s="22" t="n">
        <f aca="false">MAX(D906,K906)</f>
        <v>37</v>
      </c>
      <c r="M906" s="25" t="n">
        <f aca="false">IF(E906="COVERED",'Controls &amp; Sources'!$B$5,'Controls &amp; Sources'!$B$6)</f>
        <v>7.55</v>
      </c>
      <c r="N906" s="25" t="n">
        <f aca="false">L906*M906</f>
        <v>279.35</v>
      </c>
      <c r="O906" s="22" t="n">
        <f aca="false">COUNTIFS('Billing Actual'!$E$2:$E$770,A906,'Billing Actual'!$B$2:$B$770,'Controls &amp; Sources'!$B$7)</f>
        <v>0</v>
      </c>
      <c r="P906" s="25" t="n">
        <f aca="false">SUMIFS('Billing Actual'!$M$2:$M$770,'Billing Actual'!$E$2:$E$770,A906,'Billing Actual'!$B$2:$B$770,'Controls &amp; Sources'!$B$7)</f>
        <v>0</v>
      </c>
      <c r="Q906" s="25" t="n">
        <f aca="false">P906-N906</f>
        <v>-279.35</v>
      </c>
      <c r="R906" s="22" t="str">
        <f aca="false">IF(O906=0,"No August moorage transaction",IF(O906&gt;1,"Duplicate August transactions",IF(ABS(Q906)&gt;0.005,"Charge variance","OK")))</f>
        <v>No August moorage transaction</v>
      </c>
      <c r="S906" s="22" t="str">
        <f aca="false">IF(R906="OK","","Billing completeness/reconciliation")</f>
        <v>Billing completeness/reconciliation</v>
      </c>
    </row>
    <row r="907" customFormat="false" ht="15" hidden="false" customHeight="false" outlineLevel="0" collapsed="false">
      <c r="A907" s="22" t="s">
        <v>8347</v>
      </c>
      <c r="B907" s="22" t="s">
        <v>188</v>
      </c>
      <c r="C907" s="22" t="s">
        <v>7694</v>
      </c>
      <c r="D907" s="22" t="n">
        <v>40</v>
      </c>
      <c r="E907" s="22" t="s">
        <v>7696</v>
      </c>
      <c r="F907" s="22" t="s">
        <v>6577</v>
      </c>
      <c r="G907" s="22" t="s">
        <v>2798</v>
      </c>
      <c r="H907" s="22" t="s">
        <v>2799</v>
      </c>
      <c r="I907" s="22" t="s">
        <v>1545</v>
      </c>
      <c r="J907" s="22" t="n">
        <v>47.8</v>
      </c>
      <c r="K907" s="22" t="n">
        <f aca="false">ROUNDUP(J907,0)</f>
        <v>48</v>
      </c>
      <c r="L907" s="22" t="n">
        <f aca="false">MAX(D907,K907)</f>
        <v>48</v>
      </c>
      <c r="M907" s="25" t="n">
        <f aca="false">IF(E907="COVERED",'Controls &amp; Sources'!$B$5,'Controls &amp; Sources'!$B$6)</f>
        <v>7.55</v>
      </c>
      <c r="N907" s="25" t="n">
        <f aca="false">L907*M907</f>
        <v>362.4</v>
      </c>
      <c r="O907" s="22" t="n">
        <f aca="false">COUNTIFS('Billing Actual'!$E$2:$E$770,A907,'Billing Actual'!$B$2:$B$770,'Controls &amp; Sources'!$B$7)</f>
        <v>0</v>
      </c>
      <c r="P907" s="25" t="n">
        <f aca="false">SUMIFS('Billing Actual'!$M$2:$M$770,'Billing Actual'!$E$2:$E$770,A907,'Billing Actual'!$B$2:$B$770,'Controls &amp; Sources'!$B$7)</f>
        <v>0</v>
      </c>
      <c r="Q907" s="25" t="n">
        <f aca="false">P907-N907</f>
        <v>-362.4</v>
      </c>
      <c r="R907" s="22" t="str">
        <f aca="false">IF(O907=0,"No August moorage transaction",IF(O907&gt;1,"Duplicate August transactions",IF(ABS(Q907)&gt;0.005,"Charge variance","OK")))</f>
        <v>No August moorage transaction</v>
      </c>
      <c r="S907" s="22" t="str">
        <f aca="false">IF(R907="OK","","Billing completeness/reconciliation")</f>
        <v>Billing completeness/reconciliation</v>
      </c>
    </row>
    <row r="908" customFormat="false" ht="15" hidden="false" customHeight="false" outlineLevel="0" collapsed="false">
      <c r="A908" s="22" t="s">
        <v>8348</v>
      </c>
      <c r="B908" s="22" t="s">
        <v>188</v>
      </c>
      <c r="C908" s="22" t="s">
        <v>7694</v>
      </c>
      <c r="D908" s="22" t="n">
        <v>28</v>
      </c>
      <c r="E908" s="22" t="s">
        <v>7696</v>
      </c>
      <c r="F908" s="22" t="s">
        <v>6577</v>
      </c>
      <c r="G908" s="22" t="s">
        <v>5643</v>
      </c>
      <c r="H908" s="22" t="s">
        <v>5644</v>
      </c>
      <c r="I908" s="22" t="s">
        <v>364</v>
      </c>
      <c r="J908" s="22" t="n">
        <v>34</v>
      </c>
      <c r="K908" s="22" t="n">
        <f aca="false">ROUNDUP(J908,0)</f>
        <v>34</v>
      </c>
      <c r="L908" s="22" t="n">
        <f aca="false">MAX(D908,K908)</f>
        <v>34</v>
      </c>
      <c r="M908" s="25" t="n">
        <f aca="false">IF(E908="COVERED",'Controls &amp; Sources'!$B$5,'Controls &amp; Sources'!$B$6)</f>
        <v>7.55</v>
      </c>
      <c r="N908" s="25" t="n">
        <f aca="false">L908*M908</f>
        <v>256.7</v>
      </c>
      <c r="O908" s="22" t="n">
        <f aca="false">COUNTIFS('Billing Actual'!$E$2:$E$770,A908,'Billing Actual'!$B$2:$B$770,'Controls &amp; Sources'!$B$7)</f>
        <v>0</v>
      </c>
      <c r="P908" s="25" t="n">
        <f aca="false">SUMIFS('Billing Actual'!$M$2:$M$770,'Billing Actual'!$E$2:$E$770,A908,'Billing Actual'!$B$2:$B$770,'Controls &amp; Sources'!$B$7)</f>
        <v>0</v>
      </c>
      <c r="Q908" s="25" t="n">
        <f aca="false">P908-N908</f>
        <v>-256.7</v>
      </c>
      <c r="R908" s="22" t="str">
        <f aca="false">IF(O908=0,"No August moorage transaction",IF(O908&gt;1,"Duplicate August transactions",IF(ABS(Q908)&gt;0.005,"Charge variance","OK")))</f>
        <v>No August moorage transaction</v>
      </c>
      <c r="S908" s="22" t="str">
        <f aca="false">IF(R908="OK","","Billing completeness/reconciliation")</f>
        <v>Billing completeness/reconciliation</v>
      </c>
    </row>
    <row r="909" customFormat="false" ht="15" hidden="false" customHeight="false" outlineLevel="0" collapsed="false">
      <c r="A909" s="22" t="s">
        <v>8350</v>
      </c>
      <c r="B909" s="22" t="s">
        <v>188</v>
      </c>
      <c r="C909" s="22" t="s">
        <v>7694</v>
      </c>
      <c r="D909" s="22" t="n">
        <v>32</v>
      </c>
      <c r="E909" s="22" t="s">
        <v>7696</v>
      </c>
      <c r="F909" s="22" t="s">
        <v>6577</v>
      </c>
      <c r="G909" s="22" t="s">
        <v>4747</v>
      </c>
      <c r="H909" s="22" t="s">
        <v>4748</v>
      </c>
      <c r="I909" s="22" t="s">
        <v>170</v>
      </c>
      <c r="J909" s="22" t="n">
        <v>24.7</v>
      </c>
      <c r="K909" s="22" t="n">
        <f aca="false">ROUNDUP(J909,0)</f>
        <v>25</v>
      </c>
      <c r="L909" s="22" t="n">
        <f aca="false">MAX(D909,K909)</f>
        <v>32</v>
      </c>
      <c r="M909" s="25" t="n">
        <f aca="false">IF(E909="COVERED",'Controls &amp; Sources'!$B$5,'Controls &amp; Sources'!$B$6)</f>
        <v>7.55</v>
      </c>
      <c r="N909" s="25" t="n">
        <f aca="false">L909*M909</f>
        <v>241.6</v>
      </c>
      <c r="O909" s="22" t="n">
        <f aca="false">COUNTIFS('Billing Actual'!$E$2:$E$770,A909,'Billing Actual'!$B$2:$B$770,'Controls &amp; Sources'!$B$7)</f>
        <v>0</v>
      </c>
      <c r="P909" s="25" t="n">
        <f aca="false">SUMIFS('Billing Actual'!$M$2:$M$770,'Billing Actual'!$E$2:$E$770,A909,'Billing Actual'!$B$2:$B$770,'Controls &amp; Sources'!$B$7)</f>
        <v>0</v>
      </c>
      <c r="Q909" s="25" t="n">
        <f aca="false">P909-N909</f>
        <v>-241.6</v>
      </c>
      <c r="R909" s="22" t="str">
        <f aca="false">IF(O909=0,"No August moorage transaction",IF(O909&gt;1,"Duplicate August transactions",IF(ABS(Q909)&gt;0.005,"Charge variance","OK")))</f>
        <v>No August moorage transaction</v>
      </c>
      <c r="S909" s="22" t="str">
        <f aca="false">IF(R909="OK","","Billing completeness/reconciliation")</f>
        <v>Billing completeness/reconciliation</v>
      </c>
    </row>
    <row r="910" customFormat="false" ht="15" hidden="false" customHeight="false" outlineLevel="0" collapsed="false">
      <c r="A910" s="22" t="s">
        <v>8352</v>
      </c>
      <c r="B910" s="22" t="s">
        <v>188</v>
      </c>
      <c r="C910" s="22" t="s">
        <v>7694</v>
      </c>
      <c r="D910" s="22" t="n">
        <v>28</v>
      </c>
      <c r="E910" s="22" t="s">
        <v>7696</v>
      </c>
      <c r="F910" s="22" t="s">
        <v>6577</v>
      </c>
      <c r="G910" s="22" t="s">
        <v>3996</v>
      </c>
      <c r="H910" s="22" t="s">
        <v>3997</v>
      </c>
      <c r="I910" s="22" t="s">
        <v>2868</v>
      </c>
      <c r="J910" s="22" t="n">
        <v>34.6</v>
      </c>
      <c r="K910" s="22" t="n">
        <f aca="false">ROUNDUP(J910,0)</f>
        <v>35</v>
      </c>
      <c r="L910" s="22" t="n">
        <f aca="false">MAX(D910,K910)</f>
        <v>35</v>
      </c>
      <c r="M910" s="25" t="n">
        <f aca="false">IF(E910="COVERED",'Controls &amp; Sources'!$B$5,'Controls &amp; Sources'!$B$6)</f>
        <v>7.55</v>
      </c>
      <c r="N910" s="25" t="n">
        <f aca="false">L910*M910</f>
        <v>264.25</v>
      </c>
      <c r="O910" s="22" t="n">
        <f aca="false">COUNTIFS('Billing Actual'!$E$2:$E$770,A910,'Billing Actual'!$B$2:$B$770,'Controls &amp; Sources'!$B$7)</f>
        <v>0</v>
      </c>
      <c r="P910" s="25" t="n">
        <f aca="false">SUMIFS('Billing Actual'!$M$2:$M$770,'Billing Actual'!$E$2:$E$770,A910,'Billing Actual'!$B$2:$B$770,'Controls &amp; Sources'!$B$7)</f>
        <v>0</v>
      </c>
      <c r="Q910" s="25" t="n">
        <f aca="false">P910-N910</f>
        <v>-264.25</v>
      </c>
      <c r="R910" s="22" t="str">
        <f aca="false">IF(O910=0,"No August moorage transaction",IF(O910&gt;1,"Duplicate August transactions",IF(ABS(Q910)&gt;0.005,"Charge variance","OK")))</f>
        <v>No August moorage transaction</v>
      </c>
      <c r="S910" s="22" t="str">
        <f aca="false">IF(R910="OK","","Billing completeness/reconciliation")</f>
        <v>Billing completeness/reconciliation</v>
      </c>
    </row>
    <row r="911" customFormat="false" ht="15" hidden="false" customHeight="false" outlineLevel="0" collapsed="false">
      <c r="A911" s="22" t="s">
        <v>8353</v>
      </c>
      <c r="B911" s="22" t="s">
        <v>188</v>
      </c>
      <c r="C911" s="22" t="s">
        <v>7694</v>
      </c>
      <c r="D911" s="22" t="n">
        <v>45</v>
      </c>
      <c r="E911" s="22" t="s">
        <v>7696</v>
      </c>
      <c r="F911" s="22" t="s">
        <v>6577</v>
      </c>
      <c r="G911" s="22" t="s">
        <v>5959</v>
      </c>
      <c r="H911" s="22" t="s">
        <v>5960</v>
      </c>
      <c r="I911" s="22" t="s">
        <v>1971</v>
      </c>
      <c r="J911" s="22" t="n">
        <v>30.5</v>
      </c>
      <c r="K911" s="22" t="n">
        <f aca="false">ROUNDUP(J911,0)</f>
        <v>31</v>
      </c>
      <c r="L911" s="22" t="n">
        <f aca="false">MAX(D911,K911)</f>
        <v>45</v>
      </c>
      <c r="M911" s="25" t="n">
        <f aca="false">IF(E911="COVERED",'Controls &amp; Sources'!$B$5,'Controls &amp; Sources'!$B$6)</f>
        <v>7.55</v>
      </c>
      <c r="N911" s="25" t="n">
        <f aca="false">L911*M911</f>
        <v>339.75</v>
      </c>
      <c r="O911" s="22" t="n">
        <f aca="false">COUNTIFS('Billing Actual'!$E$2:$E$770,A911,'Billing Actual'!$B$2:$B$770,'Controls &amp; Sources'!$B$7)</f>
        <v>0</v>
      </c>
      <c r="P911" s="25" t="n">
        <f aca="false">SUMIFS('Billing Actual'!$M$2:$M$770,'Billing Actual'!$E$2:$E$770,A911,'Billing Actual'!$B$2:$B$770,'Controls &amp; Sources'!$B$7)</f>
        <v>0</v>
      </c>
      <c r="Q911" s="25" t="n">
        <f aca="false">P911-N911</f>
        <v>-339.75</v>
      </c>
      <c r="R911" s="22" t="str">
        <f aca="false">IF(O911=0,"No August moorage transaction",IF(O911&gt;1,"Duplicate August transactions",IF(ABS(Q911)&gt;0.005,"Charge variance","OK")))</f>
        <v>No August moorage transaction</v>
      </c>
      <c r="S911" s="22" t="str">
        <f aca="false">IF(R911="OK","","Billing completeness/reconciliation")</f>
        <v>Billing completeness/reconciliation</v>
      </c>
    </row>
    <row r="912" customFormat="false" ht="15" hidden="false" customHeight="false" outlineLevel="0" collapsed="false">
      <c r="A912" s="22" t="s">
        <v>8355</v>
      </c>
      <c r="B912" s="22" t="s">
        <v>188</v>
      </c>
      <c r="C912" s="22" t="s">
        <v>7694</v>
      </c>
      <c r="D912" s="22" t="n">
        <v>32</v>
      </c>
      <c r="E912" s="22" t="s">
        <v>7696</v>
      </c>
      <c r="F912" s="22" t="s">
        <v>6577</v>
      </c>
      <c r="G912" s="22" t="s">
        <v>4819</v>
      </c>
      <c r="H912" s="22" t="s">
        <v>4820</v>
      </c>
      <c r="I912" s="22" t="s">
        <v>1668</v>
      </c>
      <c r="J912" s="22" t="n">
        <v>49.9</v>
      </c>
      <c r="K912" s="22" t="n">
        <f aca="false">ROUNDUP(J912,0)</f>
        <v>50</v>
      </c>
      <c r="L912" s="22" t="n">
        <f aca="false">MAX(D912,K912)</f>
        <v>50</v>
      </c>
      <c r="M912" s="25" t="n">
        <f aca="false">IF(E912="COVERED",'Controls &amp; Sources'!$B$5,'Controls &amp; Sources'!$B$6)</f>
        <v>7.55</v>
      </c>
      <c r="N912" s="25" t="n">
        <f aca="false">L912*M912</f>
        <v>377.5</v>
      </c>
      <c r="O912" s="22" t="n">
        <f aca="false">COUNTIFS('Billing Actual'!$E$2:$E$770,A912,'Billing Actual'!$B$2:$B$770,'Controls &amp; Sources'!$B$7)</f>
        <v>0</v>
      </c>
      <c r="P912" s="25" t="n">
        <f aca="false">SUMIFS('Billing Actual'!$M$2:$M$770,'Billing Actual'!$E$2:$E$770,A912,'Billing Actual'!$B$2:$B$770,'Controls &amp; Sources'!$B$7)</f>
        <v>0</v>
      </c>
      <c r="Q912" s="25" t="n">
        <f aca="false">P912-N912</f>
        <v>-377.5</v>
      </c>
      <c r="R912" s="22" t="str">
        <f aca="false">IF(O912=0,"No August moorage transaction",IF(O912&gt;1,"Duplicate August transactions",IF(ABS(Q912)&gt;0.005,"Charge variance","OK")))</f>
        <v>No August moorage transaction</v>
      </c>
      <c r="S912" s="22" t="str">
        <f aca="false">IF(R912="OK","","Billing completeness/reconciliation")</f>
        <v>Billing completeness/reconciliation</v>
      </c>
    </row>
    <row r="913" customFormat="false" ht="15" hidden="false" customHeight="false" outlineLevel="0" collapsed="false">
      <c r="A913" s="22" t="s">
        <v>8356</v>
      </c>
      <c r="B913" s="22" t="s">
        <v>188</v>
      </c>
      <c r="C913" s="22" t="s">
        <v>7694</v>
      </c>
      <c r="D913" s="22" t="n">
        <v>36</v>
      </c>
      <c r="E913" s="22" t="s">
        <v>7696</v>
      </c>
      <c r="F913" s="22" t="s">
        <v>6577</v>
      </c>
      <c r="G913" s="22" t="s">
        <v>5720</v>
      </c>
      <c r="H913" s="22" t="s">
        <v>5721</v>
      </c>
      <c r="I913" s="22" t="s">
        <v>672</v>
      </c>
      <c r="J913" s="22" t="n">
        <v>50.7</v>
      </c>
      <c r="K913" s="22" t="n">
        <f aca="false">ROUNDUP(J913,0)</f>
        <v>51</v>
      </c>
      <c r="L913" s="22" t="n">
        <f aca="false">MAX(D913,K913)</f>
        <v>51</v>
      </c>
      <c r="M913" s="25" t="n">
        <f aca="false">IF(E913="COVERED",'Controls &amp; Sources'!$B$5,'Controls &amp; Sources'!$B$6)</f>
        <v>7.55</v>
      </c>
      <c r="N913" s="25" t="n">
        <f aca="false">L913*M913</f>
        <v>385.05</v>
      </c>
      <c r="O913" s="22" t="n">
        <f aca="false">COUNTIFS('Billing Actual'!$E$2:$E$770,A913,'Billing Actual'!$B$2:$B$770,'Controls &amp; Sources'!$B$7)</f>
        <v>0</v>
      </c>
      <c r="P913" s="25" t="n">
        <f aca="false">SUMIFS('Billing Actual'!$M$2:$M$770,'Billing Actual'!$E$2:$E$770,A913,'Billing Actual'!$B$2:$B$770,'Controls &amp; Sources'!$B$7)</f>
        <v>0</v>
      </c>
      <c r="Q913" s="25" t="n">
        <f aca="false">P913-N913</f>
        <v>-385.05</v>
      </c>
      <c r="R913" s="22" t="str">
        <f aca="false">IF(O913=0,"No August moorage transaction",IF(O913&gt;1,"Duplicate August transactions",IF(ABS(Q913)&gt;0.005,"Charge variance","OK")))</f>
        <v>No August moorage transaction</v>
      </c>
      <c r="S913" s="22" t="str">
        <f aca="false">IF(R913="OK","","Billing completeness/reconciliation")</f>
        <v>Billing completeness/reconciliation</v>
      </c>
    </row>
    <row r="914" customFormat="false" ht="15" hidden="false" customHeight="false" outlineLevel="0" collapsed="false">
      <c r="A914" s="22" t="s">
        <v>8357</v>
      </c>
      <c r="B914" s="22" t="s">
        <v>188</v>
      </c>
      <c r="C914" s="22" t="s">
        <v>7694</v>
      </c>
      <c r="D914" s="22" t="n">
        <v>32</v>
      </c>
      <c r="E914" s="22" t="s">
        <v>7696</v>
      </c>
      <c r="F914" s="22" t="s">
        <v>6577</v>
      </c>
      <c r="G914" s="22" t="s">
        <v>5461</v>
      </c>
      <c r="H914" s="22" t="s">
        <v>5462</v>
      </c>
      <c r="I914" s="22" t="s">
        <v>1833</v>
      </c>
      <c r="J914" s="22" t="n">
        <v>21</v>
      </c>
      <c r="K914" s="22" t="n">
        <f aca="false">ROUNDUP(J914,0)</f>
        <v>21</v>
      </c>
      <c r="L914" s="22" t="n">
        <f aca="false">MAX(D914,K914)</f>
        <v>32</v>
      </c>
      <c r="M914" s="25" t="n">
        <f aca="false">IF(E914="COVERED",'Controls &amp; Sources'!$B$5,'Controls &amp; Sources'!$B$6)</f>
        <v>7.55</v>
      </c>
      <c r="N914" s="25" t="n">
        <f aca="false">L914*M914</f>
        <v>241.6</v>
      </c>
      <c r="O914" s="22" t="n">
        <f aca="false">COUNTIFS('Billing Actual'!$E$2:$E$770,A914,'Billing Actual'!$B$2:$B$770,'Controls &amp; Sources'!$B$7)</f>
        <v>0</v>
      </c>
      <c r="P914" s="25" t="n">
        <f aca="false">SUMIFS('Billing Actual'!$M$2:$M$770,'Billing Actual'!$E$2:$E$770,A914,'Billing Actual'!$B$2:$B$770,'Controls &amp; Sources'!$B$7)</f>
        <v>0</v>
      </c>
      <c r="Q914" s="25" t="n">
        <f aca="false">P914-N914</f>
        <v>-241.6</v>
      </c>
      <c r="R914" s="22" t="str">
        <f aca="false">IF(O914=0,"No August moorage transaction",IF(O914&gt;1,"Duplicate August transactions",IF(ABS(Q914)&gt;0.005,"Charge variance","OK")))</f>
        <v>No August moorage transaction</v>
      </c>
      <c r="S914" s="22" t="str">
        <f aca="false">IF(R914="OK","","Billing completeness/reconciliation")</f>
        <v>Billing completeness/reconciliation</v>
      </c>
    </row>
    <row r="915" customFormat="false" ht="15" hidden="false" customHeight="false" outlineLevel="0" collapsed="false">
      <c r="A915" s="22" t="s">
        <v>8358</v>
      </c>
      <c r="B915" s="22" t="s">
        <v>188</v>
      </c>
      <c r="C915" s="22" t="s">
        <v>7694</v>
      </c>
      <c r="D915" s="22" t="n">
        <v>24</v>
      </c>
      <c r="E915" s="22" t="s">
        <v>7696</v>
      </c>
      <c r="F915" s="22" t="s">
        <v>6577</v>
      </c>
      <c r="G915" s="22" t="s">
        <v>4769</v>
      </c>
      <c r="H915" s="22" t="s">
        <v>4770</v>
      </c>
      <c r="I915" s="22" t="s">
        <v>1869</v>
      </c>
      <c r="J915" s="22" t="n">
        <v>19.8</v>
      </c>
      <c r="K915" s="22" t="n">
        <f aca="false">ROUNDUP(J915,0)</f>
        <v>20</v>
      </c>
      <c r="L915" s="22" t="n">
        <f aca="false">MAX(D915,K915)</f>
        <v>24</v>
      </c>
      <c r="M915" s="25" t="n">
        <f aca="false">IF(E915="COVERED",'Controls &amp; Sources'!$B$5,'Controls &amp; Sources'!$B$6)</f>
        <v>7.55</v>
      </c>
      <c r="N915" s="25" t="n">
        <f aca="false">L915*M915</f>
        <v>181.2</v>
      </c>
      <c r="O915" s="22" t="n">
        <f aca="false">COUNTIFS('Billing Actual'!$E$2:$E$770,A915,'Billing Actual'!$B$2:$B$770,'Controls &amp; Sources'!$B$7)</f>
        <v>0</v>
      </c>
      <c r="P915" s="25" t="n">
        <f aca="false">SUMIFS('Billing Actual'!$M$2:$M$770,'Billing Actual'!$E$2:$E$770,A915,'Billing Actual'!$B$2:$B$770,'Controls &amp; Sources'!$B$7)</f>
        <v>0</v>
      </c>
      <c r="Q915" s="25" t="n">
        <f aca="false">P915-N915</f>
        <v>-181.2</v>
      </c>
      <c r="R915" s="22" t="str">
        <f aca="false">IF(O915=0,"No August moorage transaction",IF(O915&gt;1,"Duplicate August transactions",IF(ABS(Q915)&gt;0.005,"Charge variance","OK")))</f>
        <v>No August moorage transaction</v>
      </c>
      <c r="S915" s="22" t="str">
        <f aca="false">IF(R915="OK","","Billing completeness/reconciliation")</f>
        <v>Billing completeness/reconciliation</v>
      </c>
    </row>
    <row r="916" customFormat="false" ht="15" hidden="false" customHeight="false" outlineLevel="0" collapsed="false">
      <c r="A916" s="22" t="s">
        <v>8359</v>
      </c>
      <c r="B916" s="22" t="s">
        <v>188</v>
      </c>
      <c r="C916" s="22" t="s">
        <v>7694</v>
      </c>
      <c r="D916" s="22" t="n">
        <v>70</v>
      </c>
      <c r="E916" s="22" t="s">
        <v>7696</v>
      </c>
      <c r="F916" s="22" t="s">
        <v>6577</v>
      </c>
      <c r="G916" s="22" t="s">
        <v>6413</v>
      </c>
      <c r="H916" s="22" t="s">
        <v>6414</v>
      </c>
      <c r="I916" s="22" t="s">
        <v>233</v>
      </c>
      <c r="J916" s="22" t="n">
        <v>43.2</v>
      </c>
      <c r="K916" s="22" t="n">
        <f aca="false">ROUNDUP(J916,0)</f>
        <v>44</v>
      </c>
      <c r="L916" s="22" t="n">
        <f aca="false">MAX(D916,K916)</f>
        <v>70</v>
      </c>
      <c r="M916" s="25" t="n">
        <f aca="false">IF(E916="COVERED",'Controls &amp; Sources'!$B$5,'Controls &amp; Sources'!$B$6)</f>
        <v>7.55</v>
      </c>
      <c r="N916" s="25" t="n">
        <f aca="false">L916*M916</f>
        <v>528.5</v>
      </c>
      <c r="O916" s="22" t="n">
        <f aca="false">COUNTIFS('Billing Actual'!$E$2:$E$770,A916,'Billing Actual'!$B$2:$B$770,'Controls &amp; Sources'!$B$7)</f>
        <v>0</v>
      </c>
      <c r="P916" s="25" t="n">
        <f aca="false">SUMIFS('Billing Actual'!$M$2:$M$770,'Billing Actual'!$E$2:$E$770,A916,'Billing Actual'!$B$2:$B$770,'Controls &amp; Sources'!$B$7)</f>
        <v>0</v>
      </c>
      <c r="Q916" s="25" t="n">
        <f aca="false">P916-N916</f>
        <v>-528.5</v>
      </c>
      <c r="R916" s="22" t="str">
        <f aca="false">IF(O916=0,"No August moorage transaction",IF(O916&gt;1,"Duplicate August transactions",IF(ABS(Q916)&gt;0.005,"Charge variance","OK")))</f>
        <v>No August moorage transaction</v>
      </c>
      <c r="S916" s="22" t="str">
        <f aca="false">IF(R916="OK","","Billing completeness/reconciliation")</f>
        <v>Billing completeness/reconciliation</v>
      </c>
    </row>
    <row r="917" customFormat="false" ht="15" hidden="false" customHeight="false" outlineLevel="0" collapsed="false">
      <c r="A917" s="22" t="s">
        <v>8360</v>
      </c>
      <c r="B917" s="22" t="s">
        <v>188</v>
      </c>
      <c r="C917" s="22" t="s">
        <v>7694</v>
      </c>
      <c r="D917" s="22" t="n">
        <v>24</v>
      </c>
      <c r="E917" s="22" t="s">
        <v>7696</v>
      </c>
      <c r="F917" s="22" t="s">
        <v>6577</v>
      </c>
      <c r="G917" s="22" t="s">
        <v>4647</v>
      </c>
      <c r="H917" s="22" t="s">
        <v>4648</v>
      </c>
      <c r="I917" s="22" t="s">
        <v>492</v>
      </c>
      <c r="J917" s="22" t="n">
        <v>31.6</v>
      </c>
      <c r="K917" s="22" t="n">
        <f aca="false">ROUNDUP(J917,0)</f>
        <v>32</v>
      </c>
      <c r="L917" s="22" t="n">
        <f aca="false">MAX(D917,K917)</f>
        <v>32</v>
      </c>
      <c r="M917" s="25" t="n">
        <f aca="false">IF(E917="COVERED",'Controls &amp; Sources'!$B$5,'Controls &amp; Sources'!$B$6)</f>
        <v>7.55</v>
      </c>
      <c r="N917" s="25" t="n">
        <f aca="false">L917*M917</f>
        <v>241.6</v>
      </c>
      <c r="O917" s="22" t="n">
        <f aca="false">COUNTIFS('Billing Actual'!$E$2:$E$770,A917,'Billing Actual'!$B$2:$B$770,'Controls &amp; Sources'!$B$7)</f>
        <v>0</v>
      </c>
      <c r="P917" s="25" t="n">
        <f aca="false">SUMIFS('Billing Actual'!$M$2:$M$770,'Billing Actual'!$E$2:$E$770,A917,'Billing Actual'!$B$2:$B$770,'Controls &amp; Sources'!$B$7)</f>
        <v>0</v>
      </c>
      <c r="Q917" s="25" t="n">
        <f aca="false">P917-N917</f>
        <v>-241.6</v>
      </c>
      <c r="R917" s="22" t="str">
        <f aca="false">IF(O917=0,"No August moorage transaction",IF(O917&gt;1,"Duplicate August transactions",IF(ABS(Q917)&gt;0.005,"Charge variance","OK")))</f>
        <v>No August moorage transaction</v>
      </c>
      <c r="S917" s="22" t="str">
        <f aca="false">IF(R917="OK","","Billing completeness/reconciliation")</f>
        <v>Billing completeness/reconciliation</v>
      </c>
    </row>
    <row r="918" customFormat="false" ht="15" hidden="false" customHeight="false" outlineLevel="0" collapsed="false">
      <c r="A918" s="22" t="s">
        <v>8361</v>
      </c>
      <c r="B918" s="22" t="s">
        <v>188</v>
      </c>
      <c r="C918" s="22" t="s">
        <v>7694</v>
      </c>
      <c r="D918" s="22" t="n">
        <v>60</v>
      </c>
      <c r="E918" s="22" t="s">
        <v>7696</v>
      </c>
      <c r="F918" s="22" t="s">
        <v>6577</v>
      </c>
      <c r="G918" s="22" t="s">
        <v>3462</v>
      </c>
      <c r="H918" s="22" t="s">
        <v>3463</v>
      </c>
      <c r="I918" s="22" t="s">
        <v>3464</v>
      </c>
      <c r="J918" s="22" t="n">
        <v>52.3</v>
      </c>
      <c r="K918" s="22" t="n">
        <f aca="false">ROUNDUP(J918,0)</f>
        <v>53</v>
      </c>
      <c r="L918" s="22" t="n">
        <f aca="false">MAX(D918,K918)</f>
        <v>60</v>
      </c>
      <c r="M918" s="25" t="n">
        <f aca="false">IF(E918="COVERED",'Controls &amp; Sources'!$B$5,'Controls &amp; Sources'!$B$6)</f>
        <v>7.55</v>
      </c>
      <c r="N918" s="25" t="n">
        <f aca="false">L918*M918</f>
        <v>453</v>
      </c>
      <c r="O918" s="22" t="n">
        <f aca="false">COUNTIFS('Billing Actual'!$E$2:$E$770,A918,'Billing Actual'!$B$2:$B$770,'Controls &amp; Sources'!$B$7)</f>
        <v>0</v>
      </c>
      <c r="P918" s="25" t="n">
        <f aca="false">SUMIFS('Billing Actual'!$M$2:$M$770,'Billing Actual'!$E$2:$E$770,A918,'Billing Actual'!$B$2:$B$770,'Controls &amp; Sources'!$B$7)</f>
        <v>0</v>
      </c>
      <c r="Q918" s="25" t="n">
        <f aca="false">P918-N918</f>
        <v>-453</v>
      </c>
      <c r="R918" s="22" t="str">
        <f aca="false">IF(O918=0,"No August moorage transaction",IF(O918&gt;1,"Duplicate August transactions",IF(ABS(Q918)&gt;0.005,"Charge variance","OK")))</f>
        <v>No August moorage transaction</v>
      </c>
      <c r="S918" s="22" t="str">
        <f aca="false">IF(R918="OK","","Billing completeness/reconciliation")</f>
        <v>Billing completeness/reconciliation</v>
      </c>
    </row>
    <row r="919" customFormat="false" ht="15" hidden="false" customHeight="false" outlineLevel="0" collapsed="false">
      <c r="A919" s="22" t="s">
        <v>8362</v>
      </c>
      <c r="B919" s="22" t="s">
        <v>188</v>
      </c>
      <c r="C919" s="22" t="s">
        <v>7694</v>
      </c>
      <c r="D919" s="22" t="n">
        <v>32</v>
      </c>
      <c r="E919" s="22" t="s">
        <v>7696</v>
      </c>
      <c r="F919" s="22" t="s">
        <v>6577</v>
      </c>
      <c r="G919" s="22" t="s">
        <v>3533</v>
      </c>
      <c r="H919" s="22" t="s">
        <v>3534</v>
      </c>
      <c r="I919" s="22" t="s">
        <v>1767</v>
      </c>
      <c r="J919" s="22" t="n">
        <v>27.8</v>
      </c>
      <c r="K919" s="22" t="n">
        <f aca="false">ROUNDUP(J919,0)</f>
        <v>28</v>
      </c>
      <c r="L919" s="22" t="n">
        <f aca="false">MAX(D919,K919)</f>
        <v>32</v>
      </c>
      <c r="M919" s="25" t="n">
        <f aca="false">IF(E919="COVERED",'Controls &amp; Sources'!$B$5,'Controls &amp; Sources'!$B$6)</f>
        <v>7.55</v>
      </c>
      <c r="N919" s="25" t="n">
        <f aca="false">L919*M919</f>
        <v>241.6</v>
      </c>
      <c r="O919" s="22" t="n">
        <f aca="false">COUNTIFS('Billing Actual'!$E$2:$E$770,A919,'Billing Actual'!$B$2:$B$770,'Controls &amp; Sources'!$B$7)</f>
        <v>0</v>
      </c>
      <c r="P919" s="25" t="n">
        <f aca="false">SUMIFS('Billing Actual'!$M$2:$M$770,'Billing Actual'!$E$2:$E$770,A919,'Billing Actual'!$B$2:$B$770,'Controls &amp; Sources'!$B$7)</f>
        <v>0</v>
      </c>
      <c r="Q919" s="25" t="n">
        <f aca="false">P919-N919</f>
        <v>-241.6</v>
      </c>
      <c r="R919" s="22" t="str">
        <f aca="false">IF(O919=0,"No August moorage transaction",IF(O919&gt;1,"Duplicate August transactions",IF(ABS(Q919)&gt;0.005,"Charge variance","OK")))</f>
        <v>No August moorage transaction</v>
      </c>
      <c r="S919" s="22" t="str">
        <f aca="false">IF(R919="OK","","Billing completeness/reconciliation")</f>
        <v>Billing completeness/reconciliation</v>
      </c>
    </row>
    <row r="920" customFormat="false" ht="15" hidden="false" customHeight="false" outlineLevel="0" collapsed="false">
      <c r="A920" s="22" t="s">
        <v>8364</v>
      </c>
      <c r="B920" s="22" t="s">
        <v>188</v>
      </c>
      <c r="C920" s="22" t="s">
        <v>7694</v>
      </c>
      <c r="D920" s="22" t="n">
        <v>40</v>
      </c>
      <c r="E920" s="22" t="s">
        <v>7696</v>
      </c>
      <c r="F920" s="22" t="s">
        <v>6577</v>
      </c>
      <c r="G920" s="22" t="s">
        <v>6401</v>
      </c>
      <c r="H920" s="22" t="s">
        <v>6402</v>
      </c>
      <c r="I920" s="22" t="s">
        <v>1172</v>
      </c>
      <c r="J920" s="22" t="n">
        <v>57.3</v>
      </c>
      <c r="K920" s="22" t="n">
        <f aca="false">ROUNDUP(J920,0)</f>
        <v>58</v>
      </c>
      <c r="L920" s="22" t="n">
        <f aca="false">MAX(D920,K920)</f>
        <v>58</v>
      </c>
      <c r="M920" s="25" t="n">
        <f aca="false">IF(E920="COVERED",'Controls &amp; Sources'!$B$5,'Controls &amp; Sources'!$B$6)</f>
        <v>7.55</v>
      </c>
      <c r="N920" s="25" t="n">
        <f aca="false">L920*M920</f>
        <v>437.9</v>
      </c>
      <c r="O920" s="22" t="n">
        <f aca="false">COUNTIFS('Billing Actual'!$E$2:$E$770,A920,'Billing Actual'!$B$2:$B$770,'Controls &amp; Sources'!$B$7)</f>
        <v>0</v>
      </c>
      <c r="P920" s="25" t="n">
        <f aca="false">SUMIFS('Billing Actual'!$M$2:$M$770,'Billing Actual'!$E$2:$E$770,A920,'Billing Actual'!$B$2:$B$770,'Controls &amp; Sources'!$B$7)</f>
        <v>0</v>
      </c>
      <c r="Q920" s="25" t="n">
        <f aca="false">P920-N920</f>
        <v>-437.9</v>
      </c>
      <c r="R920" s="22" t="str">
        <f aca="false">IF(O920=0,"No August moorage transaction",IF(O920&gt;1,"Duplicate August transactions",IF(ABS(Q920)&gt;0.005,"Charge variance","OK")))</f>
        <v>No August moorage transaction</v>
      </c>
      <c r="S920" s="22" t="str">
        <f aca="false">IF(R920="OK","","Billing completeness/reconciliation")</f>
        <v>Billing completeness/reconciliation</v>
      </c>
    </row>
    <row r="921" customFormat="false" ht="15" hidden="false" customHeight="false" outlineLevel="0" collapsed="false">
      <c r="A921" s="22" t="s">
        <v>8365</v>
      </c>
      <c r="B921" s="22" t="s">
        <v>188</v>
      </c>
      <c r="C921" s="22" t="s">
        <v>7694</v>
      </c>
      <c r="D921" s="22" t="n">
        <v>80</v>
      </c>
      <c r="E921" s="22" t="s">
        <v>7696</v>
      </c>
      <c r="F921" s="22" t="s">
        <v>6577</v>
      </c>
      <c r="G921" s="22" t="s">
        <v>3488</v>
      </c>
      <c r="H921" s="22" t="s">
        <v>908</v>
      </c>
      <c r="I921" s="22" t="s">
        <v>181</v>
      </c>
      <c r="J921" s="22" t="n">
        <v>53.4</v>
      </c>
      <c r="K921" s="22" t="n">
        <f aca="false">ROUNDUP(J921,0)</f>
        <v>54</v>
      </c>
      <c r="L921" s="22" t="n">
        <f aca="false">MAX(D921,K921)</f>
        <v>80</v>
      </c>
      <c r="M921" s="25" t="n">
        <f aca="false">IF(E921="COVERED",'Controls &amp; Sources'!$B$5,'Controls &amp; Sources'!$B$6)</f>
        <v>7.55</v>
      </c>
      <c r="N921" s="25" t="n">
        <f aca="false">L921*M921</f>
        <v>604</v>
      </c>
      <c r="O921" s="22" t="n">
        <f aca="false">COUNTIFS('Billing Actual'!$E$2:$E$770,A921,'Billing Actual'!$B$2:$B$770,'Controls &amp; Sources'!$B$7)</f>
        <v>0</v>
      </c>
      <c r="P921" s="25" t="n">
        <f aca="false">SUMIFS('Billing Actual'!$M$2:$M$770,'Billing Actual'!$E$2:$E$770,A921,'Billing Actual'!$B$2:$B$770,'Controls &amp; Sources'!$B$7)</f>
        <v>0</v>
      </c>
      <c r="Q921" s="25" t="n">
        <f aca="false">P921-N921</f>
        <v>-604</v>
      </c>
      <c r="R921" s="22" t="str">
        <f aca="false">IF(O921=0,"No August moorage transaction",IF(O921&gt;1,"Duplicate August transactions",IF(ABS(Q921)&gt;0.005,"Charge variance","OK")))</f>
        <v>No August moorage transaction</v>
      </c>
      <c r="S921" s="22" t="str">
        <f aca="false">IF(R921="OK","","Billing completeness/reconciliation")</f>
        <v>Billing completeness/reconciliation</v>
      </c>
    </row>
    <row r="922" customFormat="false" ht="15" hidden="false" customHeight="false" outlineLevel="0" collapsed="false">
      <c r="A922" s="22" t="s">
        <v>8366</v>
      </c>
      <c r="B922" s="22" t="s">
        <v>188</v>
      </c>
      <c r="C922" s="22" t="s">
        <v>7694</v>
      </c>
      <c r="D922" s="22" t="n">
        <v>24</v>
      </c>
      <c r="E922" s="22" t="s">
        <v>7696</v>
      </c>
      <c r="F922" s="22" t="s">
        <v>6577</v>
      </c>
      <c r="G922" s="22" t="s">
        <v>6445</v>
      </c>
      <c r="H922" s="22" t="s">
        <v>6446</v>
      </c>
      <c r="I922" s="22" t="s">
        <v>290</v>
      </c>
      <c r="J922" s="22" t="n">
        <v>23.5</v>
      </c>
      <c r="K922" s="22" t="n">
        <f aca="false">ROUNDUP(J922,0)</f>
        <v>24</v>
      </c>
      <c r="L922" s="22" t="n">
        <f aca="false">MAX(D922,K922)</f>
        <v>24</v>
      </c>
      <c r="M922" s="25" t="n">
        <f aca="false">IF(E922="COVERED",'Controls &amp; Sources'!$B$5,'Controls &amp; Sources'!$B$6)</f>
        <v>7.55</v>
      </c>
      <c r="N922" s="25" t="n">
        <f aca="false">L922*M922</f>
        <v>181.2</v>
      </c>
      <c r="O922" s="22" t="n">
        <f aca="false">COUNTIFS('Billing Actual'!$E$2:$E$770,A922,'Billing Actual'!$B$2:$B$770,'Controls &amp; Sources'!$B$7)</f>
        <v>0</v>
      </c>
      <c r="P922" s="25" t="n">
        <f aca="false">SUMIFS('Billing Actual'!$M$2:$M$770,'Billing Actual'!$E$2:$E$770,A922,'Billing Actual'!$B$2:$B$770,'Controls &amp; Sources'!$B$7)</f>
        <v>0</v>
      </c>
      <c r="Q922" s="25" t="n">
        <f aca="false">P922-N922</f>
        <v>-181.2</v>
      </c>
      <c r="R922" s="22" t="str">
        <f aca="false">IF(O922=0,"No August moorage transaction",IF(O922&gt;1,"Duplicate August transactions",IF(ABS(Q922)&gt;0.005,"Charge variance","OK")))</f>
        <v>No August moorage transaction</v>
      </c>
      <c r="S922" s="22" t="str">
        <f aca="false">IF(R922="OK","","Billing completeness/reconciliation")</f>
        <v>Billing completeness/reconciliation</v>
      </c>
    </row>
    <row r="923" customFormat="false" ht="15" hidden="false" customHeight="false" outlineLevel="0" collapsed="false">
      <c r="A923" s="22" t="s">
        <v>8369</v>
      </c>
      <c r="B923" s="22" t="s">
        <v>188</v>
      </c>
      <c r="C923" s="22" t="s">
        <v>7694</v>
      </c>
      <c r="D923" s="22" t="n">
        <v>32</v>
      </c>
      <c r="E923" s="22" t="s">
        <v>7696</v>
      </c>
      <c r="F923" s="22" t="s">
        <v>6577</v>
      </c>
      <c r="G923" s="22" t="s">
        <v>1260</v>
      </c>
      <c r="H923" s="22" t="s">
        <v>1261</v>
      </c>
      <c r="I923" s="22" t="s">
        <v>1262</v>
      </c>
      <c r="J923" s="22" t="n">
        <v>39.8</v>
      </c>
      <c r="K923" s="22" t="n">
        <f aca="false">ROUNDUP(J923,0)</f>
        <v>40</v>
      </c>
      <c r="L923" s="22" t="n">
        <f aca="false">MAX(D923,K923)</f>
        <v>40</v>
      </c>
      <c r="M923" s="25" t="n">
        <f aca="false">IF(E923="COVERED",'Controls &amp; Sources'!$B$5,'Controls &amp; Sources'!$B$6)</f>
        <v>7.55</v>
      </c>
      <c r="N923" s="25" t="n">
        <f aca="false">L923*M923</f>
        <v>302</v>
      </c>
      <c r="O923" s="22" t="n">
        <f aca="false">COUNTIFS('Billing Actual'!$E$2:$E$770,A923,'Billing Actual'!$B$2:$B$770,'Controls &amp; Sources'!$B$7)</f>
        <v>0</v>
      </c>
      <c r="P923" s="25" t="n">
        <f aca="false">SUMIFS('Billing Actual'!$M$2:$M$770,'Billing Actual'!$E$2:$E$770,A923,'Billing Actual'!$B$2:$B$770,'Controls &amp; Sources'!$B$7)</f>
        <v>0</v>
      </c>
      <c r="Q923" s="25" t="n">
        <f aca="false">P923-N923</f>
        <v>-302</v>
      </c>
      <c r="R923" s="22" t="str">
        <f aca="false">IF(O923=0,"No August moorage transaction",IF(O923&gt;1,"Duplicate August transactions",IF(ABS(Q923)&gt;0.005,"Charge variance","OK")))</f>
        <v>No August moorage transaction</v>
      </c>
      <c r="S923" s="22" t="str">
        <f aca="false">IF(R923="OK","","Billing completeness/reconciliation")</f>
        <v>Billing completeness/reconciliation</v>
      </c>
    </row>
    <row r="924" customFormat="false" ht="15" hidden="false" customHeight="false" outlineLevel="0" collapsed="false">
      <c r="A924" s="22" t="s">
        <v>8370</v>
      </c>
      <c r="B924" s="22" t="s">
        <v>188</v>
      </c>
      <c r="C924" s="22" t="s">
        <v>7694</v>
      </c>
      <c r="D924" s="22" t="n">
        <v>80</v>
      </c>
      <c r="E924" s="22" t="s">
        <v>7696</v>
      </c>
      <c r="F924" s="22" t="s">
        <v>6577</v>
      </c>
      <c r="G924" s="22" t="s">
        <v>5053</v>
      </c>
      <c r="H924" s="22" t="s">
        <v>5054</v>
      </c>
      <c r="I924" s="22" t="s">
        <v>299</v>
      </c>
      <c r="J924" s="22" t="n">
        <v>57.9</v>
      </c>
      <c r="K924" s="22" t="n">
        <f aca="false">ROUNDUP(J924,0)</f>
        <v>58</v>
      </c>
      <c r="L924" s="22" t="n">
        <f aca="false">MAX(D924,K924)</f>
        <v>80</v>
      </c>
      <c r="M924" s="25" t="n">
        <f aca="false">IF(E924="COVERED",'Controls &amp; Sources'!$B$5,'Controls &amp; Sources'!$B$6)</f>
        <v>7.55</v>
      </c>
      <c r="N924" s="25" t="n">
        <f aca="false">L924*M924</f>
        <v>604</v>
      </c>
      <c r="O924" s="22" t="n">
        <f aca="false">COUNTIFS('Billing Actual'!$E$2:$E$770,A924,'Billing Actual'!$B$2:$B$770,'Controls &amp; Sources'!$B$7)</f>
        <v>0</v>
      </c>
      <c r="P924" s="25" t="n">
        <f aca="false">SUMIFS('Billing Actual'!$M$2:$M$770,'Billing Actual'!$E$2:$E$770,A924,'Billing Actual'!$B$2:$B$770,'Controls &amp; Sources'!$B$7)</f>
        <v>0</v>
      </c>
      <c r="Q924" s="25" t="n">
        <f aca="false">P924-N924</f>
        <v>-604</v>
      </c>
      <c r="R924" s="22" t="str">
        <f aca="false">IF(O924=0,"No August moorage transaction",IF(O924&gt;1,"Duplicate August transactions",IF(ABS(Q924)&gt;0.005,"Charge variance","OK")))</f>
        <v>No August moorage transaction</v>
      </c>
      <c r="S924" s="22" t="str">
        <f aca="false">IF(R924="OK","","Billing completeness/reconciliation")</f>
        <v>Billing completeness/reconciliation</v>
      </c>
    </row>
    <row r="925" customFormat="false" ht="15" hidden="false" customHeight="false" outlineLevel="0" collapsed="false">
      <c r="A925" s="22" t="s">
        <v>8373</v>
      </c>
      <c r="B925" s="22" t="s">
        <v>188</v>
      </c>
      <c r="C925" s="22" t="s">
        <v>7694</v>
      </c>
      <c r="D925" s="22" t="n">
        <v>32</v>
      </c>
      <c r="E925" s="22" t="s">
        <v>7696</v>
      </c>
      <c r="F925" s="22" t="s">
        <v>6577</v>
      </c>
      <c r="G925" s="22" t="s">
        <v>1983</v>
      </c>
      <c r="H925" s="22" t="s">
        <v>1984</v>
      </c>
      <c r="I925" s="22" t="s">
        <v>1051</v>
      </c>
      <c r="J925" s="22" t="n">
        <v>24.6</v>
      </c>
      <c r="K925" s="22" t="n">
        <f aca="false">ROUNDUP(J925,0)</f>
        <v>25</v>
      </c>
      <c r="L925" s="22" t="n">
        <f aca="false">MAX(D925,K925)</f>
        <v>32</v>
      </c>
      <c r="M925" s="25" t="n">
        <f aca="false">IF(E925="COVERED",'Controls &amp; Sources'!$B$5,'Controls &amp; Sources'!$B$6)</f>
        <v>7.55</v>
      </c>
      <c r="N925" s="25" t="n">
        <f aca="false">L925*M925</f>
        <v>241.6</v>
      </c>
      <c r="O925" s="22" t="n">
        <f aca="false">COUNTIFS('Billing Actual'!$E$2:$E$770,A925,'Billing Actual'!$B$2:$B$770,'Controls &amp; Sources'!$B$7)</f>
        <v>0</v>
      </c>
      <c r="P925" s="25" t="n">
        <f aca="false">SUMIFS('Billing Actual'!$M$2:$M$770,'Billing Actual'!$E$2:$E$770,A925,'Billing Actual'!$B$2:$B$770,'Controls &amp; Sources'!$B$7)</f>
        <v>0</v>
      </c>
      <c r="Q925" s="25" t="n">
        <f aca="false">P925-N925</f>
        <v>-241.6</v>
      </c>
      <c r="R925" s="22" t="str">
        <f aca="false">IF(O925=0,"No August moorage transaction",IF(O925&gt;1,"Duplicate August transactions",IF(ABS(Q925)&gt;0.005,"Charge variance","OK")))</f>
        <v>No August moorage transaction</v>
      </c>
      <c r="S925" s="22" t="str">
        <f aca="false">IF(R925="OK","","Billing completeness/reconciliation")</f>
        <v>Billing completeness/reconciliation</v>
      </c>
    </row>
    <row r="926" customFormat="false" ht="15" hidden="false" customHeight="false" outlineLevel="0" collapsed="false">
      <c r="A926" s="22" t="s">
        <v>8375</v>
      </c>
      <c r="B926" s="22" t="s">
        <v>188</v>
      </c>
      <c r="C926" s="22" t="s">
        <v>7694</v>
      </c>
      <c r="D926" s="22" t="n">
        <v>45</v>
      </c>
      <c r="E926" s="22" t="s">
        <v>7696</v>
      </c>
      <c r="F926" s="22" t="s">
        <v>6577</v>
      </c>
      <c r="G926" s="22" t="s">
        <v>6415</v>
      </c>
      <c r="H926" s="22" t="s">
        <v>6416</v>
      </c>
      <c r="I926" s="22" t="s">
        <v>2720</v>
      </c>
      <c r="J926" s="22" t="n">
        <v>48.4</v>
      </c>
      <c r="K926" s="22" t="n">
        <f aca="false">ROUNDUP(J926,0)</f>
        <v>49</v>
      </c>
      <c r="L926" s="22" t="n">
        <f aca="false">MAX(D926,K926)</f>
        <v>49</v>
      </c>
      <c r="M926" s="25" t="n">
        <f aca="false">IF(E926="COVERED",'Controls &amp; Sources'!$B$5,'Controls &amp; Sources'!$B$6)</f>
        <v>7.55</v>
      </c>
      <c r="N926" s="25" t="n">
        <f aca="false">L926*M926</f>
        <v>369.95</v>
      </c>
      <c r="O926" s="22" t="n">
        <f aca="false">COUNTIFS('Billing Actual'!$E$2:$E$770,A926,'Billing Actual'!$B$2:$B$770,'Controls &amp; Sources'!$B$7)</f>
        <v>0</v>
      </c>
      <c r="P926" s="25" t="n">
        <f aca="false">SUMIFS('Billing Actual'!$M$2:$M$770,'Billing Actual'!$E$2:$E$770,A926,'Billing Actual'!$B$2:$B$770,'Controls &amp; Sources'!$B$7)</f>
        <v>0</v>
      </c>
      <c r="Q926" s="25" t="n">
        <f aca="false">P926-N926</f>
        <v>-369.95</v>
      </c>
      <c r="R926" s="22" t="str">
        <f aca="false">IF(O926=0,"No August moorage transaction",IF(O926&gt;1,"Duplicate August transactions",IF(ABS(Q926)&gt;0.005,"Charge variance","OK")))</f>
        <v>No August moorage transaction</v>
      </c>
      <c r="S926" s="22" t="str">
        <f aca="false">IF(R926="OK","","Billing completeness/reconciliation")</f>
        <v>Billing completeness/reconciliation</v>
      </c>
    </row>
    <row r="927" customFormat="false" ht="15" hidden="false" customHeight="false" outlineLevel="0" collapsed="false">
      <c r="A927" s="22" t="s">
        <v>8376</v>
      </c>
      <c r="B927" s="22" t="s">
        <v>188</v>
      </c>
      <c r="C927" s="22" t="s">
        <v>7694</v>
      </c>
      <c r="D927" s="22" t="n">
        <v>32</v>
      </c>
      <c r="E927" s="22" t="s">
        <v>7696</v>
      </c>
      <c r="F927" s="22" t="s">
        <v>6577</v>
      </c>
      <c r="G927" s="22" t="s">
        <v>3297</v>
      </c>
      <c r="H927" s="22" t="s">
        <v>3298</v>
      </c>
      <c r="I927" s="22" t="s">
        <v>2592</v>
      </c>
      <c r="J927" s="22" t="n">
        <v>27.3</v>
      </c>
      <c r="K927" s="22" t="n">
        <f aca="false">ROUNDUP(J927,0)</f>
        <v>28</v>
      </c>
      <c r="L927" s="22" t="n">
        <f aca="false">MAX(D927,K927)</f>
        <v>32</v>
      </c>
      <c r="M927" s="25" t="n">
        <f aca="false">IF(E927="COVERED",'Controls &amp; Sources'!$B$5,'Controls &amp; Sources'!$B$6)</f>
        <v>7.55</v>
      </c>
      <c r="N927" s="25" t="n">
        <f aca="false">L927*M927</f>
        <v>241.6</v>
      </c>
      <c r="O927" s="22" t="n">
        <f aca="false">COUNTIFS('Billing Actual'!$E$2:$E$770,A927,'Billing Actual'!$B$2:$B$770,'Controls &amp; Sources'!$B$7)</f>
        <v>0</v>
      </c>
      <c r="P927" s="25" t="n">
        <f aca="false">SUMIFS('Billing Actual'!$M$2:$M$770,'Billing Actual'!$E$2:$E$770,A927,'Billing Actual'!$B$2:$B$770,'Controls &amp; Sources'!$B$7)</f>
        <v>0</v>
      </c>
      <c r="Q927" s="25" t="n">
        <f aca="false">P927-N927</f>
        <v>-241.6</v>
      </c>
      <c r="R927" s="22" t="str">
        <f aca="false">IF(O927=0,"No August moorage transaction",IF(O927&gt;1,"Duplicate August transactions",IF(ABS(Q927)&gt;0.005,"Charge variance","OK")))</f>
        <v>No August moorage transaction</v>
      </c>
      <c r="S927" s="22" t="str">
        <f aca="false">IF(R927="OK","","Billing completeness/reconciliation")</f>
        <v>Billing completeness/reconciliation</v>
      </c>
    </row>
    <row r="928" customFormat="false" ht="15" hidden="false" customHeight="false" outlineLevel="0" collapsed="false">
      <c r="A928" s="22" t="s">
        <v>8377</v>
      </c>
      <c r="B928" s="22" t="s">
        <v>188</v>
      </c>
      <c r="C928" s="22" t="s">
        <v>7694</v>
      </c>
      <c r="D928" s="22" t="n">
        <v>24</v>
      </c>
      <c r="E928" s="22" t="s">
        <v>7696</v>
      </c>
      <c r="F928" s="22" t="s">
        <v>6577</v>
      </c>
      <c r="G928" s="22" t="s">
        <v>3265</v>
      </c>
      <c r="H928" s="22" t="s">
        <v>3266</v>
      </c>
      <c r="I928" s="22" t="s">
        <v>257</v>
      </c>
      <c r="J928" s="22" t="n">
        <v>46</v>
      </c>
      <c r="K928" s="22" t="n">
        <f aca="false">ROUNDUP(J928,0)</f>
        <v>46</v>
      </c>
      <c r="L928" s="22" t="n">
        <f aca="false">MAX(D928,K928)</f>
        <v>46</v>
      </c>
      <c r="M928" s="25" t="n">
        <f aca="false">IF(E928="COVERED",'Controls &amp; Sources'!$B$5,'Controls &amp; Sources'!$B$6)</f>
        <v>7.55</v>
      </c>
      <c r="N928" s="25" t="n">
        <f aca="false">L928*M928</f>
        <v>347.3</v>
      </c>
      <c r="O928" s="22" t="n">
        <f aca="false">COUNTIFS('Billing Actual'!$E$2:$E$770,A928,'Billing Actual'!$B$2:$B$770,'Controls &amp; Sources'!$B$7)</f>
        <v>0</v>
      </c>
      <c r="P928" s="25" t="n">
        <f aca="false">SUMIFS('Billing Actual'!$M$2:$M$770,'Billing Actual'!$E$2:$E$770,A928,'Billing Actual'!$B$2:$B$770,'Controls &amp; Sources'!$B$7)</f>
        <v>0</v>
      </c>
      <c r="Q928" s="25" t="n">
        <f aca="false">P928-N928</f>
        <v>-347.3</v>
      </c>
      <c r="R928" s="22" t="str">
        <f aca="false">IF(O928=0,"No August moorage transaction",IF(O928&gt;1,"Duplicate August transactions",IF(ABS(Q928)&gt;0.005,"Charge variance","OK")))</f>
        <v>No August moorage transaction</v>
      </c>
      <c r="S928" s="22" t="str">
        <f aca="false">IF(R928="OK","","Billing completeness/reconciliation")</f>
        <v>Billing completeness/reconciliation</v>
      </c>
    </row>
    <row r="929" customFormat="false" ht="15" hidden="false" customHeight="false" outlineLevel="0" collapsed="false">
      <c r="A929" s="22" t="s">
        <v>8378</v>
      </c>
      <c r="B929" s="22" t="s">
        <v>188</v>
      </c>
      <c r="C929" s="22" t="s">
        <v>7694</v>
      </c>
      <c r="D929" s="22" t="n">
        <v>24</v>
      </c>
      <c r="E929" s="22" t="s">
        <v>7696</v>
      </c>
      <c r="F929" s="22" t="s">
        <v>6577</v>
      </c>
      <c r="G929" s="22" t="s">
        <v>1218</v>
      </c>
      <c r="H929" s="22" t="s">
        <v>1219</v>
      </c>
      <c r="I929" s="22" t="s">
        <v>1220</v>
      </c>
      <c r="J929" s="22" t="n">
        <v>27.6</v>
      </c>
      <c r="K929" s="22" t="n">
        <f aca="false">ROUNDUP(J929,0)</f>
        <v>28</v>
      </c>
      <c r="L929" s="22" t="n">
        <f aca="false">MAX(D929,K929)</f>
        <v>28</v>
      </c>
      <c r="M929" s="25" t="n">
        <f aca="false">IF(E929="COVERED",'Controls &amp; Sources'!$B$5,'Controls &amp; Sources'!$B$6)</f>
        <v>7.55</v>
      </c>
      <c r="N929" s="25" t="n">
        <f aca="false">L929*M929</f>
        <v>211.4</v>
      </c>
      <c r="O929" s="22" t="n">
        <f aca="false">COUNTIFS('Billing Actual'!$E$2:$E$770,A929,'Billing Actual'!$B$2:$B$770,'Controls &amp; Sources'!$B$7)</f>
        <v>0</v>
      </c>
      <c r="P929" s="25" t="n">
        <f aca="false">SUMIFS('Billing Actual'!$M$2:$M$770,'Billing Actual'!$E$2:$E$770,A929,'Billing Actual'!$B$2:$B$770,'Controls &amp; Sources'!$B$7)</f>
        <v>0</v>
      </c>
      <c r="Q929" s="25" t="n">
        <f aca="false">P929-N929</f>
        <v>-211.4</v>
      </c>
      <c r="R929" s="22" t="str">
        <f aca="false">IF(O929=0,"No August moorage transaction",IF(O929&gt;1,"Duplicate August transactions",IF(ABS(Q929)&gt;0.005,"Charge variance","OK")))</f>
        <v>No August moorage transaction</v>
      </c>
      <c r="S929" s="22" t="str">
        <f aca="false">IF(R929="OK","","Billing completeness/reconciliation")</f>
        <v>Billing completeness/reconciliation</v>
      </c>
    </row>
    <row r="930" customFormat="false" ht="15" hidden="false" customHeight="false" outlineLevel="0" collapsed="false">
      <c r="A930" s="22" t="s">
        <v>8379</v>
      </c>
      <c r="B930" s="22" t="s">
        <v>188</v>
      </c>
      <c r="C930" s="22" t="s">
        <v>7694</v>
      </c>
      <c r="D930" s="22" t="n">
        <v>24</v>
      </c>
      <c r="E930" s="22" t="s">
        <v>7696</v>
      </c>
      <c r="F930" s="22" t="s">
        <v>6577</v>
      </c>
      <c r="G930" s="22" t="s">
        <v>496</v>
      </c>
      <c r="H930" s="22" t="s">
        <v>497</v>
      </c>
      <c r="I930" s="22" t="s">
        <v>498</v>
      </c>
      <c r="J930" s="22" t="n">
        <v>46.5</v>
      </c>
      <c r="K930" s="22" t="n">
        <f aca="false">ROUNDUP(J930,0)</f>
        <v>47</v>
      </c>
      <c r="L930" s="22" t="n">
        <f aca="false">MAX(D930,K930)</f>
        <v>47</v>
      </c>
      <c r="M930" s="25" t="n">
        <f aca="false">IF(E930="COVERED",'Controls &amp; Sources'!$B$5,'Controls &amp; Sources'!$B$6)</f>
        <v>7.55</v>
      </c>
      <c r="N930" s="25" t="n">
        <f aca="false">L930*M930</f>
        <v>354.85</v>
      </c>
      <c r="O930" s="22" t="n">
        <f aca="false">COUNTIFS('Billing Actual'!$E$2:$E$770,A930,'Billing Actual'!$B$2:$B$770,'Controls &amp; Sources'!$B$7)</f>
        <v>0</v>
      </c>
      <c r="P930" s="25" t="n">
        <f aca="false">SUMIFS('Billing Actual'!$M$2:$M$770,'Billing Actual'!$E$2:$E$770,A930,'Billing Actual'!$B$2:$B$770,'Controls &amp; Sources'!$B$7)</f>
        <v>0</v>
      </c>
      <c r="Q930" s="25" t="n">
        <f aca="false">P930-N930</f>
        <v>-354.85</v>
      </c>
      <c r="R930" s="22" t="str">
        <f aca="false">IF(O930=0,"No August moorage transaction",IF(O930&gt;1,"Duplicate August transactions",IF(ABS(Q930)&gt;0.005,"Charge variance","OK")))</f>
        <v>No August moorage transaction</v>
      </c>
      <c r="S930" s="22" t="str">
        <f aca="false">IF(R930="OK","","Billing completeness/reconciliation")</f>
        <v>Billing completeness/reconciliation</v>
      </c>
    </row>
    <row r="931" customFormat="false" ht="15" hidden="false" customHeight="false" outlineLevel="0" collapsed="false">
      <c r="A931" s="22" t="s">
        <v>8381</v>
      </c>
      <c r="B931" s="22" t="s">
        <v>188</v>
      </c>
      <c r="C931" s="22" t="s">
        <v>7694</v>
      </c>
      <c r="D931" s="22" t="n">
        <v>24</v>
      </c>
      <c r="E931" s="22" t="s">
        <v>7696</v>
      </c>
      <c r="F931" s="22" t="s">
        <v>6577</v>
      </c>
      <c r="G931" s="22" t="s">
        <v>5665</v>
      </c>
      <c r="H931" s="22" t="s">
        <v>5666</v>
      </c>
      <c r="I931" s="22" t="s">
        <v>355</v>
      </c>
      <c r="J931" s="22" t="n">
        <v>39.1</v>
      </c>
      <c r="K931" s="22" t="n">
        <f aca="false">ROUNDUP(J931,0)</f>
        <v>40</v>
      </c>
      <c r="L931" s="22" t="n">
        <f aca="false">MAX(D931,K931)</f>
        <v>40</v>
      </c>
      <c r="M931" s="25" t="n">
        <f aca="false">IF(E931="COVERED",'Controls &amp; Sources'!$B$5,'Controls &amp; Sources'!$B$6)</f>
        <v>7.55</v>
      </c>
      <c r="N931" s="25" t="n">
        <f aca="false">L931*M931</f>
        <v>302</v>
      </c>
      <c r="O931" s="22" t="n">
        <f aca="false">COUNTIFS('Billing Actual'!$E$2:$E$770,A931,'Billing Actual'!$B$2:$B$770,'Controls &amp; Sources'!$B$7)</f>
        <v>0</v>
      </c>
      <c r="P931" s="25" t="n">
        <f aca="false">SUMIFS('Billing Actual'!$M$2:$M$770,'Billing Actual'!$E$2:$E$770,A931,'Billing Actual'!$B$2:$B$770,'Controls &amp; Sources'!$B$7)</f>
        <v>0</v>
      </c>
      <c r="Q931" s="25" t="n">
        <f aca="false">P931-N931</f>
        <v>-302</v>
      </c>
      <c r="R931" s="22" t="str">
        <f aca="false">IF(O931=0,"No August moorage transaction",IF(O931&gt;1,"Duplicate August transactions",IF(ABS(Q931)&gt;0.005,"Charge variance","OK")))</f>
        <v>No August moorage transaction</v>
      </c>
      <c r="S931" s="22" t="str">
        <f aca="false">IF(R931="OK","","Billing completeness/reconciliation")</f>
        <v>Billing completeness/reconciliation</v>
      </c>
    </row>
    <row r="932" customFormat="false" ht="15" hidden="false" customHeight="false" outlineLevel="0" collapsed="false">
      <c r="A932" s="22" t="s">
        <v>8383</v>
      </c>
      <c r="B932" s="22" t="s">
        <v>188</v>
      </c>
      <c r="C932" s="22" t="s">
        <v>7694</v>
      </c>
      <c r="D932" s="22" t="n">
        <v>45</v>
      </c>
      <c r="E932" s="22" t="s">
        <v>7696</v>
      </c>
      <c r="F932" s="22" t="s">
        <v>6577</v>
      </c>
      <c r="G932" s="22" t="s">
        <v>192</v>
      </c>
      <c r="H932" s="22" t="s">
        <v>193</v>
      </c>
      <c r="I932" s="22" t="s">
        <v>194</v>
      </c>
      <c r="J932" s="22" t="n">
        <v>60.3</v>
      </c>
      <c r="K932" s="22" t="n">
        <f aca="false">ROUNDUP(J932,0)</f>
        <v>61</v>
      </c>
      <c r="L932" s="22" t="n">
        <f aca="false">MAX(D932,K932)</f>
        <v>61</v>
      </c>
      <c r="M932" s="25" t="n">
        <f aca="false">IF(E932="COVERED",'Controls &amp; Sources'!$B$5,'Controls &amp; Sources'!$B$6)</f>
        <v>7.55</v>
      </c>
      <c r="N932" s="25" t="n">
        <f aca="false">L932*M932</f>
        <v>460.55</v>
      </c>
      <c r="O932" s="22" t="n">
        <f aca="false">COUNTIFS('Billing Actual'!$E$2:$E$770,A932,'Billing Actual'!$B$2:$B$770,'Controls &amp; Sources'!$B$7)</f>
        <v>0</v>
      </c>
      <c r="P932" s="25" t="n">
        <f aca="false">SUMIFS('Billing Actual'!$M$2:$M$770,'Billing Actual'!$E$2:$E$770,A932,'Billing Actual'!$B$2:$B$770,'Controls &amp; Sources'!$B$7)</f>
        <v>0</v>
      </c>
      <c r="Q932" s="25" t="n">
        <f aca="false">P932-N932</f>
        <v>-460.55</v>
      </c>
      <c r="R932" s="22" t="str">
        <f aca="false">IF(O932=0,"No August moorage transaction",IF(O932&gt;1,"Duplicate August transactions",IF(ABS(Q932)&gt;0.005,"Charge variance","OK")))</f>
        <v>No August moorage transaction</v>
      </c>
      <c r="S932" s="22" t="str">
        <f aca="false">IF(R932="OK","","Billing completeness/reconciliation")</f>
        <v>Billing completeness/reconciliation</v>
      </c>
    </row>
    <row r="933" customFormat="false" ht="15" hidden="false" customHeight="false" outlineLevel="0" collapsed="false">
      <c r="A933" s="22" t="s">
        <v>8384</v>
      </c>
      <c r="B933" s="22" t="s">
        <v>188</v>
      </c>
      <c r="C933" s="22" t="s">
        <v>7694</v>
      </c>
      <c r="D933" s="22" t="n">
        <v>32</v>
      </c>
      <c r="E933" s="22" t="s">
        <v>7696</v>
      </c>
      <c r="F933" s="22" t="s">
        <v>6577</v>
      </c>
      <c r="G933" s="22" t="s">
        <v>3091</v>
      </c>
      <c r="H933" s="22" t="s">
        <v>3092</v>
      </c>
      <c r="I933" s="22" t="s">
        <v>1395</v>
      </c>
      <c r="J933" s="22" t="n">
        <v>58.9</v>
      </c>
      <c r="K933" s="22" t="n">
        <f aca="false">ROUNDUP(J933,0)</f>
        <v>59</v>
      </c>
      <c r="L933" s="22" t="n">
        <f aca="false">MAX(D933,K933)</f>
        <v>59</v>
      </c>
      <c r="M933" s="25" t="n">
        <f aca="false">IF(E933="COVERED",'Controls &amp; Sources'!$B$5,'Controls &amp; Sources'!$B$6)</f>
        <v>7.55</v>
      </c>
      <c r="N933" s="25" t="n">
        <f aca="false">L933*M933</f>
        <v>445.45</v>
      </c>
      <c r="O933" s="22" t="n">
        <f aca="false">COUNTIFS('Billing Actual'!$E$2:$E$770,A933,'Billing Actual'!$B$2:$B$770,'Controls &amp; Sources'!$B$7)</f>
        <v>0</v>
      </c>
      <c r="P933" s="25" t="n">
        <f aca="false">SUMIFS('Billing Actual'!$M$2:$M$770,'Billing Actual'!$E$2:$E$770,A933,'Billing Actual'!$B$2:$B$770,'Controls &amp; Sources'!$B$7)</f>
        <v>0</v>
      </c>
      <c r="Q933" s="25" t="n">
        <f aca="false">P933-N933</f>
        <v>-445.45</v>
      </c>
      <c r="R933" s="22" t="str">
        <f aca="false">IF(O933=0,"No August moorage transaction",IF(O933&gt;1,"Duplicate August transactions",IF(ABS(Q933)&gt;0.005,"Charge variance","OK")))</f>
        <v>No August moorage transaction</v>
      </c>
      <c r="S933" s="22" t="str">
        <f aca="false">IF(R933="OK","","Billing completeness/reconciliation")</f>
        <v>Billing completeness/reconciliation</v>
      </c>
    </row>
    <row r="934" customFormat="false" ht="15" hidden="false" customHeight="false" outlineLevel="0" collapsed="false">
      <c r="A934" s="22" t="s">
        <v>8385</v>
      </c>
      <c r="B934" s="22" t="s">
        <v>188</v>
      </c>
      <c r="C934" s="22" t="s">
        <v>7694</v>
      </c>
      <c r="D934" s="22" t="n">
        <v>40</v>
      </c>
      <c r="E934" s="22" t="s">
        <v>7696</v>
      </c>
      <c r="F934" s="22" t="s">
        <v>6577</v>
      </c>
      <c r="G934" s="22" t="s">
        <v>1671</v>
      </c>
      <c r="H934" s="22" t="s">
        <v>1672</v>
      </c>
      <c r="I934" s="22" t="s">
        <v>1390</v>
      </c>
      <c r="J934" s="22" t="n">
        <v>22.7</v>
      </c>
      <c r="K934" s="22" t="n">
        <f aca="false">ROUNDUP(J934,0)</f>
        <v>23</v>
      </c>
      <c r="L934" s="22" t="n">
        <f aca="false">MAX(D934,K934)</f>
        <v>40</v>
      </c>
      <c r="M934" s="25" t="n">
        <f aca="false">IF(E934="COVERED",'Controls &amp; Sources'!$B$5,'Controls &amp; Sources'!$B$6)</f>
        <v>7.55</v>
      </c>
      <c r="N934" s="25" t="n">
        <f aca="false">L934*M934</f>
        <v>302</v>
      </c>
      <c r="O934" s="22" t="n">
        <f aca="false">COUNTIFS('Billing Actual'!$E$2:$E$770,A934,'Billing Actual'!$B$2:$B$770,'Controls &amp; Sources'!$B$7)</f>
        <v>0</v>
      </c>
      <c r="P934" s="25" t="n">
        <f aca="false">SUMIFS('Billing Actual'!$M$2:$M$770,'Billing Actual'!$E$2:$E$770,A934,'Billing Actual'!$B$2:$B$770,'Controls &amp; Sources'!$B$7)</f>
        <v>0</v>
      </c>
      <c r="Q934" s="25" t="n">
        <f aca="false">P934-N934</f>
        <v>-302</v>
      </c>
      <c r="R934" s="22" t="str">
        <f aca="false">IF(O934=0,"No August moorage transaction",IF(O934&gt;1,"Duplicate August transactions",IF(ABS(Q934)&gt;0.005,"Charge variance","OK")))</f>
        <v>No August moorage transaction</v>
      </c>
      <c r="S934" s="22" t="str">
        <f aca="false">IF(R934="OK","","Billing completeness/reconciliation")</f>
        <v>Billing completeness/reconciliation</v>
      </c>
    </row>
    <row r="935" customFormat="false" ht="15" hidden="false" customHeight="false" outlineLevel="0" collapsed="false">
      <c r="A935" s="22" t="s">
        <v>8386</v>
      </c>
      <c r="B935" s="22" t="s">
        <v>188</v>
      </c>
      <c r="C935" s="22" t="s">
        <v>7694</v>
      </c>
      <c r="D935" s="22" t="n">
        <v>28</v>
      </c>
      <c r="E935" s="22" t="s">
        <v>7696</v>
      </c>
      <c r="F935" s="22" t="s">
        <v>6577</v>
      </c>
      <c r="G935" s="22" t="s">
        <v>1762</v>
      </c>
      <c r="H935" s="22" t="s">
        <v>1763</v>
      </c>
      <c r="I935" s="22" t="s">
        <v>1764</v>
      </c>
      <c r="J935" s="22" t="n">
        <v>58.1</v>
      </c>
      <c r="K935" s="22" t="n">
        <f aca="false">ROUNDUP(J935,0)</f>
        <v>59</v>
      </c>
      <c r="L935" s="22" t="n">
        <f aca="false">MAX(D935,K935)</f>
        <v>59</v>
      </c>
      <c r="M935" s="25" t="n">
        <f aca="false">IF(E935="COVERED",'Controls &amp; Sources'!$B$5,'Controls &amp; Sources'!$B$6)</f>
        <v>7.55</v>
      </c>
      <c r="N935" s="25" t="n">
        <f aca="false">L935*M935</f>
        <v>445.45</v>
      </c>
      <c r="O935" s="22" t="n">
        <f aca="false">COUNTIFS('Billing Actual'!$E$2:$E$770,A935,'Billing Actual'!$B$2:$B$770,'Controls &amp; Sources'!$B$7)</f>
        <v>0</v>
      </c>
      <c r="P935" s="25" t="n">
        <f aca="false">SUMIFS('Billing Actual'!$M$2:$M$770,'Billing Actual'!$E$2:$E$770,A935,'Billing Actual'!$B$2:$B$770,'Controls &amp; Sources'!$B$7)</f>
        <v>0</v>
      </c>
      <c r="Q935" s="25" t="n">
        <f aca="false">P935-N935</f>
        <v>-445.45</v>
      </c>
      <c r="R935" s="22" t="str">
        <f aca="false">IF(O935=0,"No August moorage transaction",IF(O935&gt;1,"Duplicate August transactions",IF(ABS(Q935)&gt;0.005,"Charge variance","OK")))</f>
        <v>No August moorage transaction</v>
      </c>
      <c r="S935" s="22" t="str">
        <f aca="false">IF(R935="OK","","Billing completeness/reconciliation")</f>
        <v>Billing completeness/reconciliation</v>
      </c>
    </row>
    <row r="936" customFormat="false" ht="15" hidden="false" customHeight="false" outlineLevel="0" collapsed="false">
      <c r="A936" s="22" t="s">
        <v>8387</v>
      </c>
      <c r="B936" s="22" t="s">
        <v>188</v>
      </c>
      <c r="C936" s="22" t="s">
        <v>7694</v>
      </c>
      <c r="D936" s="22" t="n">
        <v>70</v>
      </c>
      <c r="E936" s="22" t="s">
        <v>7696</v>
      </c>
      <c r="F936" s="22" t="s">
        <v>6577</v>
      </c>
      <c r="G936" s="22" t="s">
        <v>5766</v>
      </c>
      <c r="H936" s="22" t="s">
        <v>5767</v>
      </c>
      <c r="I936" s="22" t="s">
        <v>1400</v>
      </c>
      <c r="J936" s="22" t="n">
        <v>47.1</v>
      </c>
      <c r="K936" s="22" t="n">
        <f aca="false">ROUNDUP(J936,0)</f>
        <v>48</v>
      </c>
      <c r="L936" s="22" t="n">
        <f aca="false">MAX(D936,K936)</f>
        <v>70</v>
      </c>
      <c r="M936" s="25" t="n">
        <f aca="false">IF(E936="COVERED",'Controls &amp; Sources'!$B$5,'Controls &amp; Sources'!$B$6)</f>
        <v>7.55</v>
      </c>
      <c r="N936" s="25" t="n">
        <f aca="false">L936*M936</f>
        <v>528.5</v>
      </c>
      <c r="O936" s="22" t="n">
        <f aca="false">COUNTIFS('Billing Actual'!$E$2:$E$770,A936,'Billing Actual'!$B$2:$B$770,'Controls &amp; Sources'!$B$7)</f>
        <v>0</v>
      </c>
      <c r="P936" s="25" t="n">
        <f aca="false">SUMIFS('Billing Actual'!$M$2:$M$770,'Billing Actual'!$E$2:$E$770,A936,'Billing Actual'!$B$2:$B$770,'Controls &amp; Sources'!$B$7)</f>
        <v>0</v>
      </c>
      <c r="Q936" s="25" t="n">
        <f aca="false">P936-N936</f>
        <v>-528.5</v>
      </c>
      <c r="R936" s="22" t="str">
        <f aca="false">IF(O936=0,"No August moorage transaction",IF(O936&gt;1,"Duplicate August transactions",IF(ABS(Q936)&gt;0.005,"Charge variance","OK")))</f>
        <v>No August moorage transaction</v>
      </c>
      <c r="S936" s="22" t="str">
        <f aca="false">IF(R936="OK","","Billing completeness/reconciliation")</f>
        <v>Billing completeness/reconciliation</v>
      </c>
    </row>
    <row r="937" customFormat="false" ht="15" hidden="false" customHeight="false" outlineLevel="0" collapsed="false">
      <c r="A937" s="22" t="s">
        <v>8388</v>
      </c>
      <c r="B937" s="22" t="s">
        <v>188</v>
      </c>
      <c r="C937" s="22" t="s">
        <v>7694</v>
      </c>
      <c r="D937" s="22" t="n">
        <v>28</v>
      </c>
      <c r="E937" s="22" t="s">
        <v>7696</v>
      </c>
      <c r="F937" s="22" t="s">
        <v>6577</v>
      </c>
      <c r="G937" s="22" t="s">
        <v>2418</v>
      </c>
      <c r="H937" s="22" t="s">
        <v>2419</v>
      </c>
      <c r="I937" s="22" t="s">
        <v>2420</v>
      </c>
      <c r="J937" s="22" t="n">
        <v>37.5</v>
      </c>
      <c r="K937" s="22" t="n">
        <f aca="false">ROUNDUP(J937,0)</f>
        <v>38</v>
      </c>
      <c r="L937" s="22" t="n">
        <f aca="false">MAX(D937,K937)</f>
        <v>38</v>
      </c>
      <c r="M937" s="25" t="n">
        <f aca="false">IF(E937="COVERED",'Controls &amp; Sources'!$B$5,'Controls &amp; Sources'!$B$6)</f>
        <v>7.55</v>
      </c>
      <c r="N937" s="25" t="n">
        <f aca="false">L937*M937</f>
        <v>286.9</v>
      </c>
      <c r="O937" s="22" t="n">
        <f aca="false">COUNTIFS('Billing Actual'!$E$2:$E$770,A937,'Billing Actual'!$B$2:$B$770,'Controls &amp; Sources'!$B$7)</f>
        <v>0</v>
      </c>
      <c r="P937" s="25" t="n">
        <f aca="false">SUMIFS('Billing Actual'!$M$2:$M$770,'Billing Actual'!$E$2:$E$770,A937,'Billing Actual'!$B$2:$B$770,'Controls &amp; Sources'!$B$7)</f>
        <v>0</v>
      </c>
      <c r="Q937" s="25" t="n">
        <f aca="false">P937-N937</f>
        <v>-286.9</v>
      </c>
      <c r="R937" s="22" t="str">
        <f aca="false">IF(O937=0,"No August moorage transaction",IF(O937&gt;1,"Duplicate August transactions",IF(ABS(Q937)&gt;0.005,"Charge variance","OK")))</f>
        <v>No August moorage transaction</v>
      </c>
      <c r="S937" s="22" t="str">
        <f aca="false">IF(R937="OK","","Billing completeness/reconciliation")</f>
        <v>Billing completeness/reconciliation</v>
      </c>
    </row>
    <row r="938" customFormat="false" ht="15" hidden="false" customHeight="false" outlineLevel="0" collapsed="false">
      <c r="A938" s="22" t="s">
        <v>8389</v>
      </c>
      <c r="B938" s="22" t="s">
        <v>188</v>
      </c>
      <c r="C938" s="22" t="s">
        <v>7694</v>
      </c>
      <c r="D938" s="22" t="n">
        <v>50</v>
      </c>
      <c r="E938" s="22" t="s">
        <v>7696</v>
      </c>
      <c r="F938" s="22" t="s">
        <v>6577</v>
      </c>
      <c r="G938" s="22" t="s">
        <v>6188</v>
      </c>
      <c r="H938" s="22" t="s">
        <v>6189</v>
      </c>
      <c r="I938" s="22" t="s">
        <v>4213</v>
      </c>
      <c r="J938" s="22" t="n">
        <v>44.2</v>
      </c>
      <c r="K938" s="22" t="n">
        <f aca="false">ROUNDUP(J938,0)</f>
        <v>45</v>
      </c>
      <c r="L938" s="22" t="n">
        <f aca="false">MAX(D938,K938)</f>
        <v>50</v>
      </c>
      <c r="M938" s="25" t="n">
        <f aca="false">IF(E938="COVERED",'Controls &amp; Sources'!$B$5,'Controls &amp; Sources'!$B$6)</f>
        <v>7.55</v>
      </c>
      <c r="N938" s="25" t="n">
        <f aca="false">L938*M938</f>
        <v>377.5</v>
      </c>
      <c r="O938" s="22" t="n">
        <f aca="false">COUNTIFS('Billing Actual'!$E$2:$E$770,A938,'Billing Actual'!$B$2:$B$770,'Controls &amp; Sources'!$B$7)</f>
        <v>0</v>
      </c>
      <c r="P938" s="25" t="n">
        <f aca="false">SUMIFS('Billing Actual'!$M$2:$M$770,'Billing Actual'!$E$2:$E$770,A938,'Billing Actual'!$B$2:$B$770,'Controls &amp; Sources'!$B$7)</f>
        <v>0</v>
      </c>
      <c r="Q938" s="25" t="n">
        <f aca="false">P938-N938</f>
        <v>-377.5</v>
      </c>
      <c r="R938" s="22" t="str">
        <f aca="false">IF(O938=0,"No August moorage transaction",IF(O938&gt;1,"Duplicate August transactions",IF(ABS(Q938)&gt;0.005,"Charge variance","OK")))</f>
        <v>No August moorage transaction</v>
      </c>
      <c r="S938" s="22" t="str">
        <f aca="false">IF(R938="OK","","Billing completeness/reconciliation")</f>
        <v>Billing completeness/reconciliation</v>
      </c>
    </row>
    <row r="939" customFormat="false" ht="15" hidden="false" customHeight="false" outlineLevel="0" collapsed="false">
      <c r="A939" s="22" t="s">
        <v>8390</v>
      </c>
      <c r="B939" s="22" t="s">
        <v>188</v>
      </c>
      <c r="C939" s="22" t="s">
        <v>7694</v>
      </c>
      <c r="D939" s="22" t="n">
        <v>50</v>
      </c>
      <c r="E939" s="22" t="s">
        <v>7696</v>
      </c>
      <c r="F939" s="22" t="s">
        <v>6577</v>
      </c>
      <c r="G939" s="22" t="s">
        <v>4940</v>
      </c>
      <c r="H939" s="22" t="s">
        <v>4941</v>
      </c>
      <c r="I939" s="22" t="s">
        <v>1896</v>
      </c>
      <c r="J939" s="22" t="n">
        <v>48.8</v>
      </c>
      <c r="K939" s="22" t="n">
        <f aca="false">ROUNDUP(J939,0)</f>
        <v>49</v>
      </c>
      <c r="L939" s="22" t="n">
        <f aca="false">MAX(D939,K939)</f>
        <v>50</v>
      </c>
      <c r="M939" s="25" t="n">
        <f aca="false">IF(E939="COVERED",'Controls &amp; Sources'!$B$5,'Controls &amp; Sources'!$B$6)</f>
        <v>7.55</v>
      </c>
      <c r="N939" s="25" t="n">
        <f aca="false">L939*M939</f>
        <v>377.5</v>
      </c>
      <c r="O939" s="22" t="n">
        <f aca="false">COUNTIFS('Billing Actual'!$E$2:$E$770,A939,'Billing Actual'!$B$2:$B$770,'Controls &amp; Sources'!$B$7)</f>
        <v>0</v>
      </c>
      <c r="P939" s="25" t="n">
        <f aca="false">SUMIFS('Billing Actual'!$M$2:$M$770,'Billing Actual'!$E$2:$E$770,A939,'Billing Actual'!$B$2:$B$770,'Controls &amp; Sources'!$B$7)</f>
        <v>0</v>
      </c>
      <c r="Q939" s="25" t="n">
        <f aca="false">P939-N939</f>
        <v>-377.5</v>
      </c>
      <c r="R939" s="22" t="str">
        <f aca="false">IF(O939=0,"No August moorage transaction",IF(O939&gt;1,"Duplicate August transactions",IF(ABS(Q939)&gt;0.005,"Charge variance","OK")))</f>
        <v>No August moorage transaction</v>
      </c>
      <c r="S939" s="22" t="str">
        <f aca="false">IF(R939="OK","","Billing completeness/reconciliation")</f>
        <v>Billing completeness/reconciliation</v>
      </c>
    </row>
    <row r="940" customFormat="false" ht="15" hidden="false" customHeight="false" outlineLevel="0" collapsed="false">
      <c r="A940" s="22" t="s">
        <v>8391</v>
      </c>
      <c r="B940" s="22" t="s">
        <v>188</v>
      </c>
      <c r="C940" s="22" t="s">
        <v>7694</v>
      </c>
      <c r="D940" s="22" t="n">
        <v>28</v>
      </c>
      <c r="E940" s="22" t="s">
        <v>7696</v>
      </c>
      <c r="F940" s="22" t="s">
        <v>6577</v>
      </c>
      <c r="G940" s="22" t="s">
        <v>5915</v>
      </c>
      <c r="H940" s="22" t="s">
        <v>5916</v>
      </c>
      <c r="I940" s="22" t="s">
        <v>941</v>
      </c>
      <c r="J940" s="22" t="n">
        <v>51.5</v>
      </c>
      <c r="K940" s="22" t="n">
        <f aca="false">ROUNDUP(J940,0)</f>
        <v>52</v>
      </c>
      <c r="L940" s="22" t="n">
        <f aca="false">MAX(D940,K940)</f>
        <v>52</v>
      </c>
      <c r="M940" s="25" t="n">
        <f aca="false">IF(E940="COVERED",'Controls &amp; Sources'!$B$5,'Controls &amp; Sources'!$B$6)</f>
        <v>7.55</v>
      </c>
      <c r="N940" s="25" t="n">
        <f aca="false">L940*M940</f>
        <v>392.6</v>
      </c>
      <c r="O940" s="22" t="n">
        <f aca="false">COUNTIFS('Billing Actual'!$E$2:$E$770,A940,'Billing Actual'!$B$2:$B$770,'Controls &amp; Sources'!$B$7)</f>
        <v>0</v>
      </c>
      <c r="P940" s="25" t="n">
        <f aca="false">SUMIFS('Billing Actual'!$M$2:$M$770,'Billing Actual'!$E$2:$E$770,A940,'Billing Actual'!$B$2:$B$770,'Controls &amp; Sources'!$B$7)</f>
        <v>0</v>
      </c>
      <c r="Q940" s="25" t="n">
        <f aca="false">P940-N940</f>
        <v>-392.6</v>
      </c>
      <c r="R940" s="22" t="str">
        <f aca="false">IF(O940=0,"No August moorage transaction",IF(O940&gt;1,"Duplicate August transactions",IF(ABS(Q940)&gt;0.005,"Charge variance","OK")))</f>
        <v>No August moorage transaction</v>
      </c>
      <c r="S940" s="22" t="str">
        <f aca="false">IF(R940="OK","","Billing completeness/reconciliation")</f>
        <v>Billing completeness/reconciliation</v>
      </c>
    </row>
    <row r="941" customFormat="false" ht="15" hidden="false" customHeight="false" outlineLevel="0" collapsed="false">
      <c r="A941" s="22" t="s">
        <v>8392</v>
      </c>
      <c r="B941" s="22" t="s">
        <v>188</v>
      </c>
      <c r="C941" s="22" t="s">
        <v>7694</v>
      </c>
      <c r="D941" s="22" t="n">
        <v>40</v>
      </c>
      <c r="E941" s="22" t="s">
        <v>7696</v>
      </c>
      <c r="F941" s="22" t="s">
        <v>6577</v>
      </c>
      <c r="G941" s="22" t="s">
        <v>3946</v>
      </c>
      <c r="H941" s="22" t="s">
        <v>3947</v>
      </c>
      <c r="I941" s="22" t="s">
        <v>684</v>
      </c>
      <c r="J941" s="22" t="n">
        <v>26.4</v>
      </c>
      <c r="K941" s="22" t="n">
        <f aca="false">ROUNDUP(J941,0)</f>
        <v>27</v>
      </c>
      <c r="L941" s="22" t="n">
        <f aca="false">MAX(D941,K941)</f>
        <v>40</v>
      </c>
      <c r="M941" s="25" t="n">
        <f aca="false">IF(E941="COVERED",'Controls &amp; Sources'!$B$5,'Controls &amp; Sources'!$B$6)</f>
        <v>7.55</v>
      </c>
      <c r="N941" s="25" t="n">
        <f aca="false">L941*M941</f>
        <v>302</v>
      </c>
      <c r="O941" s="22" t="n">
        <f aca="false">COUNTIFS('Billing Actual'!$E$2:$E$770,A941,'Billing Actual'!$B$2:$B$770,'Controls &amp; Sources'!$B$7)</f>
        <v>0</v>
      </c>
      <c r="P941" s="25" t="n">
        <f aca="false">SUMIFS('Billing Actual'!$M$2:$M$770,'Billing Actual'!$E$2:$E$770,A941,'Billing Actual'!$B$2:$B$770,'Controls &amp; Sources'!$B$7)</f>
        <v>0</v>
      </c>
      <c r="Q941" s="25" t="n">
        <f aca="false">P941-N941</f>
        <v>-302</v>
      </c>
      <c r="R941" s="22" t="str">
        <f aca="false">IF(O941=0,"No August moorage transaction",IF(O941&gt;1,"Duplicate August transactions",IF(ABS(Q941)&gt;0.005,"Charge variance","OK")))</f>
        <v>No August moorage transaction</v>
      </c>
      <c r="S941" s="22" t="str">
        <f aca="false">IF(R941="OK","","Billing completeness/reconciliation")</f>
        <v>Billing completeness/reconciliation</v>
      </c>
    </row>
    <row r="942" customFormat="false" ht="15" hidden="false" customHeight="false" outlineLevel="0" collapsed="false">
      <c r="A942" s="22" t="s">
        <v>8394</v>
      </c>
      <c r="B942" s="22" t="s">
        <v>188</v>
      </c>
      <c r="C942" s="22" t="s">
        <v>7694</v>
      </c>
      <c r="D942" s="22" t="n">
        <v>32</v>
      </c>
      <c r="E942" s="22" t="s">
        <v>7696</v>
      </c>
      <c r="F942" s="22" t="s">
        <v>6577</v>
      </c>
      <c r="G942" s="22" t="s">
        <v>3675</v>
      </c>
      <c r="H942" s="22" t="s">
        <v>3676</v>
      </c>
      <c r="I942" s="22" t="s">
        <v>3464</v>
      </c>
      <c r="J942" s="22" t="n">
        <v>23.2</v>
      </c>
      <c r="K942" s="22" t="n">
        <f aca="false">ROUNDUP(J942,0)</f>
        <v>24</v>
      </c>
      <c r="L942" s="22" t="n">
        <f aca="false">MAX(D942,K942)</f>
        <v>32</v>
      </c>
      <c r="M942" s="25" t="n">
        <f aca="false">IF(E942="COVERED",'Controls &amp; Sources'!$B$5,'Controls &amp; Sources'!$B$6)</f>
        <v>7.55</v>
      </c>
      <c r="N942" s="25" t="n">
        <f aca="false">L942*M942</f>
        <v>241.6</v>
      </c>
      <c r="O942" s="22" t="n">
        <f aca="false">COUNTIFS('Billing Actual'!$E$2:$E$770,A942,'Billing Actual'!$B$2:$B$770,'Controls &amp; Sources'!$B$7)</f>
        <v>0</v>
      </c>
      <c r="P942" s="25" t="n">
        <f aca="false">SUMIFS('Billing Actual'!$M$2:$M$770,'Billing Actual'!$E$2:$E$770,A942,'Billing Actual'!$B$2:$B$770,'Controls &amp; Sources'!$B$7)</f>
        <v>0</v>
      </c>
      <c r="Q942" s="25" t="n">
        <f aca="false">P942-N942</f>
        <v>-241.6</v>
      </c>
      <c r="R942" s="22" t="str">
        <f aca="false">IF(O942=0,"No August moorage transaction",IF(O942&gt;1,"Duplicate August transactions",IF(ABS(Q942)&gt;0.005,"Charge variance","OK")))</f>
        <v>No August moorage transaction</v>
      </c>
      <c r="S942" s="22" t="str">
        <f aca="false">IF(R942="OK","","Billing completeness/reconciliation")</f>
        <v>Billing completeness/reconciliation</v>
      </c>
    </row>
    <row r="943" customFormat="false" ht="15" hidden="false" customHeight="false" outlineLevel="0" collapsed="false">
      <c r="A943" s="22" t="s">
        <v>8395</v>
      </c>
      <c r="B943" s="22" t="s">
        <v>188</v>
      </c>
      <c r="C943" s="22" t="s">
        <v>7694</v>
      </c>
      <c r="D943" s="22" t="n">
        <v>80</v>
      </c>
      <c r="E943" s="22" t="s">
        <v>7696</v>
      </c>
      <c r="F943" s="22" t="s">
        <v>6577</v>
      </c>
      <c r="G943" s="22" t="s">
        <v>4966</v>
      </c>
      <c r="H943" s="22" t="s">
        <v>4967</v>
      </c>
      <c r="I943" s="22" t="s">
        <v>275</v>
      </c>
      <c r="J943" s="22" t="n">
        <v>48.6</v>
      </c>
      <c r="K943" s="22" t="n">
        <f aca="false">ROUNDUP(J943,0)</f>
        <v>49</v>
      </c>
      <c r="L943" s="22" t="n">
        <f aca="false">MAX(D943,K943)</f>
        <v>80</v>
      </c>
      <c r="M943" s="25" t="n">
        <f aca="false">IF(E943="COVERED",'Controls &amp; Sources'!$B$5,'Controls &amp; Sources'!$B$6)</f>
        <v>7.55</v>
      </c>
      <c r="N943" s="25" t="n">
        <f aca="false">L943*M943</f>
        <v>604</v>
      </c>
      <c r="O943" s="22" t="n">
        <f aca="false">COUNTIFS('Billing Actual'!$E$2:$E$770,A943,'Billing Actual'!$B$2:$B$770,'Controls &amp; Sources'!$B$7)</f>
        <v>0</v>
      </c>
      <c r="P943" s="25" t="n">
        <f aca="false">SUMIFS('Billing Actual'!$M$2:$M$770,'Billing Actual'!$E$2:$E$770,A943,'Billing Actual'!$B$2:$B$770,'Controls &amp; Sources'!$B$7)</f>
        <v>0</v>
      </c>
      <c r="Q943" s="25" t="n">
        <f aca="false">P943-N943</f>
        <v>-604</v>
      </c>
      <c r="R943" s="22" t="str">
        <f aca="false">IF(O943=0,"No August moorage transaction",IF(O943&gt;1,"Duplicate August transactions",IF(ABS(Q943)&gt;0.005,"Charge variance","OK")))</f>
        <v>No August moorage transaction</v>
      </c>
      <c r="S943" s="22" t="str">
        <f aca="false">IF(R943="OK","","Billing completeness/reconciliation")</f>
        <v>Billing completeness/reconciliation</v>
      </c>
    </row>
    <row r="944" customFormat="false" ht="15" hidden="false" customHeight="false" outlineLevel="0" collapsed="false">
      <c r="A944" s="22" t="s">
        <v>8397</v>
      </c>
      <c r="B944" s="22" t="s">
        <v>188</v>
      </c>
      <c r="C944" s="22" t="s">
        <v>7694</v>
      </c>
      <c r="D944" s="22" t="n">
        <v>32</v>
      </c>
      <c r="E944" s="22" t="s">
        <v>7696</v>
      </c>
      <c r="F944" s="22" t="s">
        <v>6577</v>
      </c>
      <c r="G944" s="22" t="s">
        <v>2549</v>
      </c>
      <c r="H944" s="22" t="s">
        <v>2550</v>
      </c>
      <c r="I944" s="22" t="s">
        <v>1135</v>
      </c>
      <c r="J944" s="22" t="n">
        <v>30.9</v>
      </c>
      <c r="K944" s="22" t="n">
        <f aca="false">ROUNDUP(J944,0)</f>
        <v>31</v>
      </c>
      <c r="L944" s="22" t="n">
        <f aca="false">MAX(D944,K944)</f>
        <v>32</v>
      </c>
      <c r="M944" s="25" t="n">
        <f aca="false">IF(E944="COVERED",'Controls &amp; Sources'!$B$5,'Controls &amp; Sources'!$B$6)</f>
        <v>7.55</v>
      </c>
      <c r="N944" s="25" t="n">
        <f aca="false">L944*M944</f>
        <v>241.6</v>
      </c>
      <c r="O944" s="22" t="n">
        <f aca="false">COUNTIFS('Billing Actual'!$E$2:$E$770,A944,'Billing Actual'!$B$2:$B$770,'Controls &amp; Sources'!$B$7)</f>
        <v>0</v>
      </c>
      <c r="P944" s="25" t="n">
        <f aca="false">SUMIFS('Billing Actual'!$M$2:$M$770,'Billing Actual'!$E$2:$E$770,A944,'Billing Actual'!$B$2:$B$770,'Controls &amp; Sources'!$B$7)</f>
        <v>0</v>
      </c>
      <c r="Q944" s="25" t="n">
        <f aca="false">P944-N944</f>
        <v>-241.6</v>
      </c>
      <c r="R944" s="22" t="str">
        <f aca="false">IF(O944=0,"No August moorage transaction",IF(O944&gt;1,"Duplicate August transactions",IF(ABS(Q944)&gt;0.005,"Charge variance","OK")))</f>
        <v>No August moorage transaction</v>
      </c>
      <c r="S944" s="22" t="str">
        <f aca="false">IF(R944="OK","","Billing completeness/reconciliation")</f>
        <v>Billing completeness/reconciliation</v>
      </c>
    </row>
    <row r="945" customFormat="false" ht="15" hidden="false" customHeight="false" outlineLevel="0" collapsed="false">
      <c r="A945" s="22" t="s">
        <v>8398</v>
      </c>
      <c r="B945" s="22" t="s">
        <v>188</v>
      </c>
      <c r="C945" s="22" t="s">
        <v>7694</v>
      </c>
      <c r="D945" s="22" t="n">
        <v>70</v>
      </c>
      <c r="E945" s="22" t="s">
        <v>7696</v>
      </c>
      <c r="F945" s="22" t="s">
        <v>6577</v>
      </c>
      <c r="G945" s="22" t="s">
        <v>5447</v>
      </c>
      <c r="H945" s="22" t="s">
        <v>5448</v>
      </c>
      <c r="I945" s="22" t="s">
        <v>1929</v>
      </c>
      <c r="J945" s="22" t="n">
        <v>57.4</v>
      </c>
      <c r="K945" s="22" t="n">
        <f aca="false">ROUNDUP(J945,0)</f>
        <v>58</v>
      </c>
      <c r="L945" s="22" t="n">
        <f aca="false">MAX(D945,K945)</f>
        <v>70</v>
      </c>
      <c r="M945" s="25" t="n">
        <f aca="false">IF(E945="COVERED",'Controls &amp; Sources'!$B$5,'Controls &amp; Sources'!$B$6)</f>
        <v>7.55</v>
      </c>
      <c r="N945" s="25" t="n">
        <f aca="false">L945*M945</f>
        <v>528.5</v>
      </c>
      <c r="O945" s="22" t="n">
        <f aca="false">COUNTIFS('Billing Actual'!$E$2:$E$770,A945,'Billing Actual'!$B$2:$B$770,'Controls &amp; Sources'!$B$7)</f>
        <v>0</v>
      </c>
      <c r="P945" s="25" t="n">
        <f aca="false">SUMIFS('Billing Actual'!$M$2:$M$770,'Billing Actual'!$E$2:$E$770,A945,'Billing Actual'!$B$2:$B$770,'Controls &amp; Sources'!$B$7)</f>
        <v>0</v>
      </c>
      <c r="Q945" s="25" t="n">
        <f aca="false">P945-N945</f>
        <v>-528.5</v>
      </c>
      <c r="R945" s="22" t="str">
        <f aca="false">IF(O945=0,"No August moorage transaction",IF(O945&gt;1,"Duplicate August transactions",IF(ABS(Q945)&gt;0.005,"Charge variance","OK")))</f>
        <v>No August moorage transaction</v>
      </c>
      <c r="S945" s="22" t="str">
        <f aca="false">IF(R945="OK","","Billing completeness/reconciliation")</f>
        <v>Billing completeness/reconciliation</v>
      </c>
    </row>
    <row r="946" customFormat="false" ht="15" hidden="false" customHeight="false" outlineLevel="0" collapsed="false">
      <c r="A946" s="22" t="s">
        <v>8399</v>
      </c>
      <c r="B946" s="22" t="s">
        <v>188</v>
      </c>
      <c r="C946" s="22" t="s">
        <v>7694</v>
      </c>
      <c r="D946" s="22" t="n">
        <v>28</v>
      </c>
      <c r="E946" s="22" t="s">
        <v>7696</v>
      </c>
      <c r="F946" s="22" t="s">
        <v>6577</v>
      </c>
      <c r="G946" s="22" t="s">
        <v>362</v>
      </c>
      <c r="H946" s="22" t="s">
        <v>363</v>
      </c>
      <c r="I946" s="22" t="s">
        <v>364</v>
      </c>
      <c r="J946" s="22" t="n">
        <v>20.7</v>
      </c>
      <c r="K946" s="22" t="n">
        <f aca="false">ROUNDUP(J946,0)</f>
        <v>21</v>
      </c>
      <c r="L946" s="22" t="n">
        <f aca="false">MAX(D946,K946)</f>
        <v>28</v>
      </c>
      <c r="M946" s="25" t="n">
        <f aca="false">IF(E946="COVERED",'Controls &amp; Sources'!$B$5,'Controls &amp; Sources'!$B$6)</f>
        <v>7.55</v>
      </c>
      <c r="N946" s="25" t="n">
        <f aca="false">L946*M946</f>
        <v>211.4</v>
      </c>
      <c r="O946" s="22" t="n">
        <f aca="false">COUNTIFS('Billing Actual'!$E$2:$E$770,A946,'Billing Actual'!$B$2:$B$770,'Controls &amp; Sources'!$B$7)</f>
        <v>0</v>
      </c>
      <c r="P946" s="25" t="n">
        <f aca="false">SUMIFS('Billing Actual'!$M$2:$M$770,'Billing Actual'!$E$2:$E$770,A946,'Billing Actual'!$B$2:$B$770,'Controls &amp; Sources'!$B$7)</f>
        <v>0</v>
      </c>
      <c r="Q946" s="25" t="n">
        <f aca="false">P946-N946</f>
        <v>-211.4</v>
      </c>
      <c r="R946" s="22" t="str">
        <f aca="false">IF(O946=0,"No August moorage transaction",IF(O946&gt;1,"Duplicate August transactions",IF(ABS(Q946)&gt;0.005,"Charge variance","OK")))</f>
        <v>No August moorage transaction</v>
      </c>
      <c r="S946" s="22" t="str">
        <f aca="false">IF(R946="OK","","Billing completeness/reconciliation")</f>
        <v>Billing completeness/reconciliation</v>
      </c>
    </row>
    <row r="947" customFormat="false" ht="15" hidden="false" customHeight="false" outlineLevel="0" collapsed="false">
      <c r="A947" s="22" t="s">
        <v>8400</v>
      </c>
      <c r="B947" s="22" t="s">
        <v>188</v>
      </c>
      <c r="C947" s="22" t="s">
        <v>7694</v>
      </c>
      <c r="D947" s="22" t="n">
        <v>24</v>
      </c>
      <c r="E947" s="22" t="s">
        <v>7696</v>
      </c>
      <c r="F947" s="22" t="s">
        <v>6577</v>
      </c>
      <c r="G947" s="22" t="s">
        <v>6394</v>
      </c>
      <c r="H947" s="22" t="s">
        <v>6395</v>
      </c>
      <c r="I947" s="22" t="s">
        <v>675</v>
      </c>
      <c r="J947" s="22" t="n">
        <v>30</v>
      </c>
      <c r="K947" s="22" t="n">
        <f aca="false">ROUNDUP(J947,0)</f>
        <v>30</v>
      </c>
      <c r="L947" s="22" t="n">
        <f aca="false">MAX(D947,K947)</f>
        <v>30</v>
      </c>
      <c r="M947" s="25" t="n">
        <f aca="false">IF(E947="COVERED",'Controls &amp; Sources'!$B$5,'Controls &amp; Sources'!$B$6)</f>
        <v>7.55</v>
      </c>
      <c r="N947" s="25" t="n">
        <f aca="false">L947*M947</f>
        <v>226.5</v>
      </c>
      <c r="O947" s="22" t="n">
        <f aca="false">COUNTIFS('Billing Actual'!$E$2:$E$770,A947,'Billing Actual'!$B$2:$B$770,'Controls &amp; Sources'!$B$7)</f>
        <v>0</v>
      </c>
      <c r="P947" s="25" t="n">
        <f aca="false">SUMIFS('Billing Actual'!$M$2:$M$770,'Billing Actual'!$E$2:$E$770,A947,'Billing Actual'!$B$2:$B$770,'Controls &amp; Sources'!$B$7)</f>
        <v>0</v>
      </c>
      <c r="Q947" s="25" t="n">
        <f aca="false">P947-N947</f>
        <v>-226.5</v>
      </c>
      <c r="R947" s="22" t="str">
        <f aca="false">IF(O947=0,"No August moorage transaction",IF(O947&gt;1,"Duplicate August transactions",IF(ABS(Q947)&gt;0.005,"Charge variance","OK")))</f>
        <v>No August moorage transaction</v>
      </c>
      <c r="S947" s="22" t="str">
        <f aca="false">IF(R947="OK","","Billing completeness/reconciliation")</f>
        <v>Billing completeness/reconciliation</v>
      </c>
    </row>
    <row r="948" customFormat="false" ht="15" hidden="false" customHeight="false" outlineLevel="0" collapsed="false">
      <c r="A948" s="22" t="s">
        <v>8402</v>
      </c>
      <c r="B948" s="22" t="s">
        <v>188</v>
      </c>
      <c r="C948" s="22" t="s">
        <v>7694</v>
      </c>
      <c r="D948" s="22" t="n">
        <v>24</v>
      </c>
      <c r="E948" s="22" t="s">
        <v>7696</v>
      </c>
      <c r="F948" s="22" t="s">
        <v>6577</v>
      </c>
      <c r="G948" s="22" t="s">
        <v>6198</v>
      </c>
      <c r="H948" s="22" t="s">
        <v>6199</v>
      </c>
      <c r="I948" s="22" t="s">
        <v>1499</v>
      </c>
      <c r="J948" s="22" t="n">
        <v>58.1</v>
      </c>
      <c r="K948" s="22" t="n">
        <f aca="false">ROUNDUP(J948,0)</f>
        <v>59</v>
      </c>
      <c r="L948" s="22" t="n">
        <f aca="false">MAX(D948,K948)</f>
        <v>59</v>
      </c>
      <c r="M948" s="25" t="n">
        <f aca="false">IF(E948="COVERED",'Controls &amp; Sources'!$B$5,'Controls &amp; Sources'!$B$6)</f>
        <v>7.55</v>
      </c>
      <c r="N948" s="25" t="n">
        <f aca="false">L948*M948</f>
        <v>445.45</v>
      </c>
      <c r="O948" s="22" t="n">
        <f aca="false">COUNTIFS('Billing Actual'!$E$2:$E$770,A948,'Billing Actual'!$B$2:$B$770,'Controls &amp; Sources'!$B$7)</f>
        <v>0</v>
      </c>
      <c r="P948" s="25" t="n">
        <f aca="false">SUMIFS('Billing Actual'!$M$2:$M$770,'Billing Actual'!$E$2:$E$770,A948,'Billing Actual'!$B$2:$B$770,'Controls &amp; Sources'!$B$7)</f>
        <v>0</v>
      </c>
      <c r="Q948" s="25" t="n">
        <f aca="false">P948-N948</f>
        <v>-445.45</v>
      </c>
      <c r="R948" s="22" t="str">
        <f aca="false">IF(O948=0,"No August moorage transaction",IF(O948&gt;1,"Duplicate August transactions",IF(ABS(Q948)&gt;0.005,"Charge variance","OK")))</f>
        <v>No August moorage transaction</v>
      </c>
      <c r="S948" s="22" t="str">
        <f aca="false">IF(R948="OK","","Billing completeness/reconciliation")</f>
        <v>Billing completeness/reconciliation</v>
      </c>
    </row>
    <row r="949" customFormat="false" ht="15" hidden="false" customHeight="false" outlineLevel="0" collapsed="false">
      <c r="A949" s="22" t="s">
        <v>8403</v>
      </c>
      <c r="B949" s="22" t="s">
        <v>188</v>
      </c>
      <c r="C949" s="22" t="s">
        <v>7694</v>
      </c>
      <c r="D949" s="22" t="n">
        <v>70</v>
      </c>
      <c r="E949" s="22" t="s">
        <v>7696</v>
      </c>
      <c r="F949" s="22" t="s">
        <v>6577</v>
      </c>
      <c r="G949" s="22" t="s">
        <v>6061</v>
      </c>
      <c r="H949" s="22" t="s">
        <v>6062</v>
      </c>
      <c r="I949" s="22" t="s">
        <v>567</v>
      </c>
      <c r="J949" s="22" t="n">
        <v>58.3</v>
      </c>
      <c r="K949" s="22" t="n">
        <f aca="false">ROUNDUP(J949,0)</f>
        <v>59</v>
      </c>
      <c r="L949" s="22" t="n">
        <f aca="false">MAX(D949,K949)</f>
        <v>70</v>
      </c>
      <c r="M949" s="25" t="n">
        <f aca="false">IF(E949="COVERED",'Controls &amp; Sources'!$B$5,'Controls &amp; Sources'!$B$6)</f>
        <v>7.55</v>
      </c>
      <c r="N949" s="25" t="n">
        <f aca="false">L949*M949</f>
        <v>528.5</v>
      </c>
      <c r="O949" s="22" t="n">
        <f aca="false">COUNTIFS('Billing Actual'!$E$2:$E$770,A949,'Billing Actual'!$B$2:$B$770,'Controls &amp; Sources'!$B$7)</f>
        <v>0</v>
      </c>
      <c r="P949" s="25" t="n">
        <f aca="false">SUMIFS('Billing Actual'!$M$2:$M$770,'Billing Actual'!$E$2:$E$770,A949,'Billing Actual'!$B$2:$B$770,'Controls &amp; Sources'!$B$7)</f>
        <v>0</v>
      </c>
      <c r="Q949" s="25" t="n">
        <f aca="false">P949-N949</f>
        <v>-528.5</v>
      </c>
      <c r="R949" s="22" t="str">
        <f aca="false">IF(O949=0,"No August moorage transaction",IF(O949&gt;1,"Duplicate August transactions",IF(ABS(Q949)&gt;0.005,"Charge variance","OK")))</f>
        <v>No August moorage transaction</v>
      </c>
      <c r="S949" s="22" t="str">
        <f aca="false">IF(R949="OK","","Billing completeness/reconciliation")</f>
        <v>Billing completeness/reconciliation</v>
      </c>
    </row>
    <row r="950" customFormat="false" ht="15" hidden="false" customHeight="false" outlineLevel="0" collapsed="false">
      <c r="A950" s="22" t="s">
        <v>8404</v>
      </c>
      <c r="B950" s="22" t="s">
        <v>188</v>
      </c>
      <c r="C950" s="22" t="s">
        <v>7694</v>
      </c>
      <c r="D950" s="22" t="n">
        <v>70</v>
      </c>
      <c r="E950" s="22" t="s">
        <v>7696</v>
      </c>
      <c r="F950" s="22" t="s">
        <v>6577</v>
      </c>
      <c r="G950" s="22" t="s">
        <v>6057</v>
      </c>
      <c r="H950" s="22" t="s">
        <v>6058</v>
      </c>
      <c r="I950" s="22" t="s">
        <v>1102</v>
      </c>
      <c r="J950" s="22" t="n">
        <v>35.4</v>
      </c>
      <c r="K950" s="22" t="n">
        <f aca="false">ROUNDUP(J950,0)</f>
        <v>36</v>
      </c>
      <c r="L950" s="22" t="n">
        <f aca="false">MAX(D950,K950)</f>
        <v>70</v>
      </c>
      <c r="M950" s="25" t="n">
        <f aca="false">IF(E950="COVERED",'Controls &amp; Sources'!$B$5,'Controls &amp; Sources'!$B$6)</f>
        <v>7.55</v>
      </c>
      <c r="N950" s="25" t="n">
        <f aca="false">L950*M950</f>
        <v>528.5</v>
      </c>
      <c r="O950" s="22" t="n">
        <f aca="false">COUNTIFS('Billing Actual'!$E$2:$E$770,A950,'Billing Actual'!$B$2:$B$770,'Controls &amp; Sources'!$B$7)</f>
        <v>0</v>
      </c>
      <c r="P950" s="25" t="n">
        <f aca="false">SUMIFS('Billing Actual'!$M$2:$M$770,'Billing Actual'!$E$2:$E$770,A950,'Billing Actual'!$B$2:$B$770,'Controls &amp; Sources'!$B$7)</f>
        <v>0</v>
      </c>
      <c r="Q950" s="25" t="n">
        <f aca="false">P950-N950</f>
        <v>-528.5</v>
      </c>
      <c r="R950" s="22" t="str">
        <f aca="false">IF(O950=0,"No August moorage transaction",IF(O950&gt;1,"Duplicate August transactions",IF(ABS(Q950)&gt;0.005,"Charge variance","OK")))</f>
        <v>No August moorage transaction</v>
      </c>
      <c r="S950" s="22" t="str">
        <f aca="false">IF(R950="OK","","Billing completeness/reconciliation")</f>
        <v>Billing completeness/reconciliation</v>
      </c>
    </row>
    <row r="951" customFormat="false" ht="15" hidden="false" customHeight="false" outlineLevel="0" collapsed="false">
      <c r="A951" s="22" t="s">
        <v>8405</v>
      </c>
      <c r="B951" s="22" t="s">
        <v>188</v>
      </c>
      <c r="C951" s="22" t="s">
        <v>7694</v>
      </c>
      <c r="D951" s="22" t="n">
        <v>32</v>
      </c>
      <c r="E951" s="22" t="s">
        <v>7696</v>
      </c>
      <c r="F951" s="22" t="s">
        <v>6577</v>
      </c>
      <c r="G951" s="22" t="s">
        <v>3118</v>
      </c>
      <c r="H951" s="22" t="s">
        <v>3119</v>
      </c>
      <c r="I951" s="22" t="s">
        <v>1082</v>
      </c>
      <c r="J951" s="22" t="n">
        <v>60.3</v>
      </c>
      <c r="K951" s="22" t="n">
        <f aca="false">ROUNDUP(J951,0)</f>
        <v>61</v>
      </c>
      <c r="L951" s="22" t="n">
        <f aca="false">MAX(D951,K951)</f>
        <v>61</v>
      </c>
      <c r="M951" s="25" t="n">
        <f aca="false">IF(E951="COVERED",'Controls &amp; Sources'!$B$5,'Controls &amp; Sources'!$B$6)</f>
        <v>7.55</v>
      </c>
      <c r="N951" s="25" t="n">
        <f aca="false">L951*M951</f>
        <v>460.55</v>
      </c>
      <c r="O951" s="22" t="n">
        <f aca="false">COUNTIFS('Billing Actual'!$E$2:$E$770,A951,'Billing Actual'!$B$2:$B$770,'Controls &amp; Sources'!$B$7)</f>
        <v>0</v>
      </c>
      <c r="P951" s="25" t="n">
        <f aca="false">SUMIFS('Billing Actual'!$M$2:$M$770,'Billing Actual'!$E$2:$E$770,A951,'Billing Actual'!$B$2:$B$770,'Controls &amp; Sources'!$B$7)</f>
        <v>0</v>
      </c>
      <c r="Q951" s="25" t="n">
        <f aca="false">P951-N951</f>
        <v>-460.55</v>
      </c>
      <c r="R951" s="22" t="str">
        <f aca="false">IF(O951=0,"No August moorage transaction",IF(O951&gt;1,"Duplicate August transactions",IF(ABS(Q951)&gt;0.005,"Charge variance","OK")))</f>
        <v>No August moorage transaction</v>
      </c>
      <c r="S951" s="22" t="str">
        <f aca="false">IF(R951="OK","","Billing completeness/reconciliation")</f>
        <v>Billing completeness/reconciliation</v>
      </c>
    </row>
    <row r="952" customFormat="false" ht="15" hidden="false" customHeight="false" outlineLevel="0" collapsed="false">
      <c r="A952" s="22" t="s">
        <v>8406</v>
      </c>
      <c r="B952" s="22" t="s">
        <v>188</v>
      </c>
      <c r="C952" s="22" t="s">
        <v>7694</v>
      </c>
      <c r="D952" s="22" t="n">
        <v>50</v>
      </c>
      <c r="E952" s="22" t="s">
        <v>7696</v>
      </c>
      <c r="F952" s="22" t="s">
        <v>6577</v>
      </c>
      <c r="G952" s="22" t="s">
        <v>4422</v>
      </c>
      <c r="H952" s="22" t="s">
        <v>4423</v>
      </c>
      <c r="I952" s="22" t="s">
        <v>1489</v>
      </c>
      <c r="J952" s="22" t="n">
        <v>20.9</v>
      </c>
      <c r="K952" s="22" t="n">
        <f aca="false">ROUNDUP(J952,0)</f>
        <v>21</v>
      </c>
      <c r="L952" s="22" t="n">
        <f aca="false">MAX(D952,K952)</f>
        <v>50</v>
      </c>
      <c r="M952" s="25" t="n">
        <f aca="false">IF(E952="COVERED",'Controls &amp; Sources'!$B$5,'Controls &amp; Sources'!$B$6)</f>
        <v>7.55</v>
      </c>
      <c r="N952" s="25" t="n">
        <f aca="false">L952*M952</f>
        <v>377.5</v>
      </c>
      <c r="O952" s="22" t="n">
        <f aca="false">COUNTIFS('Billing Actual'!$E$2:$E$770,A952,'Billing Actual'!$B$2:$B$770,'Controls &amp; Sources'!$B$7)</f>
        <v>0</v>
      </c>
      <c r="P952" s="25" t="n">
        <f aca="false">SUMIFS('Billing Actual'!$M$2:$M$770,'Billing Actual'!$E$2:$E$770,A952,'Billing Actual'!$B$2:$B$770,'Controls &amp; Sources'!$B$7)</f>
        <v>0</v>
      </c>
      <c r="Q952" s="25" t="n">
        <f aca="false">P952-N952</f>
        <v>-377.5</v>
      </c>
      <c r="R952" s="22" t="str">
        <f aca="false">IF(O952=0,"No August moorage transaction",IF(O952&gt;1,"Duplicate August transactions",IF(ABS(Q952)&gt;0.005,"Charge variance","OK")))</f>
        <v>No August moorage transaction</v>
      </c>
      <c r="S952" s="22" t="str">
        <f aca="false">IF(R952="OK","","Billing completeness/reconciliation")</f>
        <v>Billing completeness/reconciliation</v>
      </c>
    </row>
    <row r="953" customFormat="false" ht="15" hidden="false" customHeight="false" outlineLevel="0" collapsed="false">
      <c r="A953" s="22" t="s">
        <v>8408</v>
      </c>
      <c r="B953" s="22" t="s">
        <v>188</v>
      </c>
      <c r="C953" s="22" t="s">
        <v>7694</v>
      </c>
      <c r="D953" s="22" t="n">
        <v>40</v>
      </c>
      <c r="E953" s="22" t="s">
        <v>7696</v>
      </c>
      <c r="F953" s="22" t="s">
        <v>6577</v>
      </c>
      <c r="G953" s="22" t="s">
        <v>5853</v>
      </c>
      <c r="H953" s="22" t="s">
        <v>5854</v>
      </c>
      <c r="I953" s="22" t="s">
        <v>248</v>
      </c>
      <c r="J953" s="22" t="n">
        <v>26.6</v>
      </c>
      <c r="K953" s="22" t="n">
        <f aca="false">ROUNDUP(J953,0)</f>
        <v>27</v>
      </c>
      <c r="L953" s="22" t="n">
        <f aca="false">MAX(D953,K953)</f>
        <v>40</v>
      </c>
      <c r="M953" s="25" t="n">
        <f aca="false">IF(E953="COVERED",'Controls &amp; Sources'!$B$5,'Controls &amp; Sources'!$B$6)</f>
        <v>7.55</v>
      </c>
      <c r="N953" s="25" t="n">
        <f aca="false">L953*M953</f>
        <v>302</v>
      </c>
      <c r="O953" s="22" t="n">
        <f aca="false">COUNTIFS('Billing Actual'!$E$2:$E$770,A953,'Billing Actual'!$B$2:$B$770,'Controls &amp; Sources'!$B$7)</f>
        <v>0</v>
      </c>
      <c r="P953" s="25" t="n">
        <f aca="false">SUMIFS('Billing Actual'!$M$2:$M$770,'Billing Actual'!$E$2:$E$770,A953,'Billing Actual'!$B$2:$B$770,'Controls &amp; Sources'!$B$7)</f>
        <v>0</v>
      </c>
      <c r="Q953" s="25" t="n">
        <f aca="false">P953-N953</f>
        <v>-302</v>
      </c>
      <c r="R953" s="22" t="str">
        <f aca="false">IF(O953=0,"No August moorage transaction",IF(O953&gt;1,"Duplicate August transactions",IF(ABS(Q953)&gt;0.005,"Charge variance","OK")))</f>
        <v>No August moorage transaction</v>
      </c>
      <c r="S953" s="22" t="str">
        <f aca="false">IF(R953="OK","","Billing completeness/reconciliation")</f>
        <v>Billing completeness/reconciliation</v>
      </c>
    </row>
    <row r="954" customFormat="false" ht="15" hidden="false" customHeight="false" outlineLevel="0" collapsed="false">
      <c r="A954" s="22" t="s">
        <v>8410</v>
      </c>
      <c r="B954" s="22" t="s">
        <v>188</v>
      </c>
      <c r="C954" s="22" t="s">
        <v>7694</v>
      </c>
      <c r="D954" s="22" t="n">
        <v>28</v>
      </c>
      <c r="E954" s="22" t="s">
        <v>7696</v>
      </c>
      <c r="F954" s="22" t="s">
        <v>6577</v>
      </c>
      <c r="G954" s="22" t="s">
        <v>5304</v>
      </c>
      <c r="H954" s="22" t="s">
        <v>5305</v>
      </c>
      <c r="I954" s="22" t="s">
        <v>1474</v>
      </c>
      <c r="J954" s="22" t="n">
        <v>43.8</v>
      </c>
      <c r="K954" s="22" t="n">
        <f aca="false">ROUNDUP(J954,0)</f>
        <v>44</v>
      </c>
      <c r="L954" s="22" t="n">
        <f aca="false">MAX(D954,K954)</f>
        <v>44</v>
      </c>
      <c r="M954" s="25" t="n">
        <f aca="false">IF(E954="COVERED",'Controls &amp; Sources'!$B$5,'Controls &amp; Sources'!$B$6)</f>
        <v>7.55</v>
      </c>
      <c r="N954" s="25" t="n">
        <f aca="false">L954*M954</f>
        <v>332.2</v>
      </c>
      <c r="O954" s="22" t="n">
        <f aca="false">COUNTIFS('Billing Actual'!$E$2:$E$770,A954,'Billing Actual'!$B$2:$B$770,'Controls &amp; Sources'!$B$7)</f>
        <v>0</v>
      </c>
      <c r="P954" s="25" t="n">
        <f aca="false">SUMIFS('Billing Actual'!$M$2:$M$770,'Billing Actual'!$E$2:$E$770,A954,'Billing Actual'!$B$2:$B$770,'Controls &amp; Sources'!$B$7)</f>
        <v>0</v>
      </c>
      <c r="Q954" s="25" t="n">
        <f aca="false">P954-N954</f>
        <v>-332.2</v>
      </c>
      <c r="R954" s="22" t="str">
        <f aca="false">IF(O954=0,"No August moorage transaction",IF(O954&gt;1,"Duplicate August transactions",IF(ABS(Q954)&gt;0.005,"Charge variance","OK")))</f>
        <v>No August moorage transaction</v>
      </c>
      <c r="S954" s="22" t="str">
        <f aca="false">IF(R954="OK","","Billing completeness/reconciliation")</f>
        <v>Billing completeness/reconciliation</v>
      </c>
    </row>
    <row r="955" customFormat="false" ht="15" hidden="false" customHeight="false" outlineLevel="0" collapsed="false">
      <c r="A955" s="22" t="s">
        <v>8411</v>
      </c>
      <c r="B955" s="22" t="s">
        <v>188</v>
      </c>
      <c r="C955" s="22" t="s">
        <v>7694</v>
      </c>
      <c r="D955" s="22" t="n">
        <v>50</v>
      </c>
      <c r="E955" s="22" t="s">
        <v>7696</v>
      </c>
      <c r="F955" s="22" t="s">
        <v>6577</v>
      </c>
      <c r="G955" s="22" t="s">
        <v>3724</v>
      </c>
      <c r="H955" s="22" t="s">
        <v>3725</v>
      </c>
      <c r="I955" s="22" t="s">
        <v>885</v>
      </c>
      <c r="J955" s="22" t="n">
        <v>37.7</v>
      </c>
      <c r="K955" s="22" t="n">
        <f aca="false">ROUNDUP(J955,0)</f>
        <v>38</v>
      </c>
      <c r="L955" s="22" t="n">
        <f aca="false">MAX(D955,K955)</f>
        <v>50</v>
      </c>
      <c r="M955" s="25" t="n">
        <f aca="false">IF(E955="COVERED",'Controls &amp; Sources'!$B$5,'Controls &amp; Sources'!$B$6)</f>
        <v>7.55</v>
      </c>
      <c r="N955" s="25" t="n">
        <f aca="false">L955*M955</f>
        <v>377.5</v>
      </c>
      <c r="O955" s="22" t="n">
        <f aca="false">COUNTIFS('Billing Actual'!$E$2:$E$770,A955,'Billing Actual'!$B$2:$B$770,'Controls &amp; Sources'!$B$7)</f>
        <v>0</v>
      </c>
      <c r="P955" s="25" t="n">
        <f aca="false">SUMIFS('Billing Actual'!$M$2:$M$770,'Billing Actual'!$E$2:$E$770,A955,'Billing Actual'!$B$2:$B$770,'Controls &amp; Sources'!$B$7)</f>
        <v>0</v>
      </c>
      <c r="Q955" s="25" t="n">
        <f aca="false">P955-N955</f>
        <v>-377.5</v>
      </c>
      <c r="R955" s="22" t="str">
        <f aca="false">IF(O955=0,"No August moorage transaction",IF(O955&gt;1,"Duplicate August transactions",IF(ABS(Q955)&gt;0.005,"Charge variance","OK")))</f>
        <v>No August moorage transaction</v>
      </c>
      <c r="S955" s="22" t="str">
        <f aca="false">IF(R955="OK","","Billing completeness/reconciliation")</f>
        <v>Billing completeness/reconciliation</v>
      </c>
    </row>
    <row r="956" customFormat="false" ht="15" hidden="false" customHeight="false" outlineLevel="0" collapsed="false">
      <c r="A956" s="22" t="s">
        <v>8413</v>
      </c>
      <c r="B956" s="22" t="s">
        <v>188</v>
      </c>
      <c r="C956" s="22" t="s">
        <v>7694</v>
      </c>
      <c r="D956" s="22" t="n">
        <v>24</v>
      </c>
      <c r="E956" s="22" t="s">
        <v>7696</v>
      </c>
      <c r="F956" s="22" t="s">
        <v>6577</v>
      </c>
      <c r="G956" s="22" t="s">
        <v>2926</v>
      </c>
      <c r="H956" s="22" t="s">
        <v>2927</v>
      </c>
      <c r="I956" s="22" t="s">
        <v>2928</v>
      </c>
      <c r="J956" s="22" t="n">
        <v>52.1</v>
      </c>
      <c r="K956" s="22" t="n">
        <f aca="false">ROUNDUP(J956,0)</f>
        <v>53</v>
      </c>
      <c r="L956" s="22" t="n">
        <f aca="false">MAX(D956,K956)</f>
        <v>53</v>
      </c>
      <c r="M956" s="25" t="n">
        <f aca="false">IF(E956="COVERED",'Controls &amp; Sources'!$B$5,'Controls &amp; Sources'!$B$6)</f>
        <v>7.55</v>
      </c>
      <c r="N956" s="25" t="n">
        <f aca="false">L956*M956</f>
        <v>400.15</v>
      </c>
      <c r="O956" s="22" t="n">
        <f aca="false">COUNTIFS('Billing Actual'!$E$2:$E$770,A956,'Billing Actual'!$B$2:$B$770,'Controls &amp; Sources'!$B$7)</f>
        <v>0</v>
      </c>
      <c r="P956" s="25" t="n">
        <f aca="false">SUMIFS('Billing Actual'!$M$2:$M$770,'Billing Actual'!$E$2:$E$770,A956,'Billing Actual'!$B$2:$B$770,'Controls &amp; Sources'!$B$7)</f>
        <v>0</v>
      </c>
      <c r="Q956" s="25" t="n">
        <f aca="false">P956-N956</f>
        <v>-400.15</v>
      </c>
      <c r="R956" s="22" t="str">
        <f aca="false">IF(O956=0,"No August moorage transaction",IF(O956&gt;1,"Duplicate August transactions",IF(ABS(Q956)&gt;0.005,"Charge variance","OK")))</f>
        <v>No August moorage transaction</v>
      </c>
      <c r="S956" s="22" t="str">
        <f aca="false">IF(R956="OK","","Billing completeness/reconciliation")</f>
        <v>Billing completeness/reconciliation</v>
      </c>
    </row>
    <row r="957" customFormat="false" ht="15" hidden="false" customHeight="false" outlineLevel="0" collapsed="false">
      <c r="A957" s="22" t="s">
        <v>8414</v>
      </c>
      <c r="B957" s="22" t="s">
        <v>188</v>
      </c>
      <c r="C957" s="22" t="s">
        <v>7694</v>
      </c>
      <c r="D957" s="22" t="n">
        <v>70</v>
      </c>
      <c r="E957" s="22" t="s">
        <v>7696</v>
      </c>
      <c r="F957" s="22" t="s">
        <v>6577</v>
      </c>
      <c r="G957" s="22" t="s">
        <v>5345</v>
      </c>
      <c r="H957" s="22" t="s">
        <v>5346</v>
      </c>
      <c r="I957" s="22" t="s">
        <v>495</v>
      </c>
      <c r="J957" s="22" t="n">
        <v>59.9</v>
      </c>
      <c r="K957" s="22" t="n">
        <f aca="false">ROUNDUP(J957,0)</f>
        <v>60</v>
      </c>
      <c r="L957" s="22" t="n">
        <f aca="false">MAX(D957,K957)</f>
        <v>70</v>
      </c>
      <c r="M957" s="25" t="n">
        <f aca="false">IF(E957="COVERED",'Controls &amp; Sources'!$B$5,'Controls &amp; Sources'!$B$6)</f>
        <v>7.55</v>
      </c>
      <c r="N957" s="25" t="n">
        <f aca="false">L957*M957</f>
        <v>528.5</v>
      </c>
      <c r="O957" s="22" t="n">
        <f aca="false">COUNTIFS('Billing Actual'!$E$2:$E$770,A957,'Billing Actual'!$B$2:$B$770,'Controls &amp; Sources'!$B$7)</f>
        <v>0</v>
      </c>
      <c r="P957" s="25" t="n">
        <f aca="false">SUMIFS('Billing Actual'!$M$2:$M$770,'Billing Actual'!$E$2:$E$770,A957,'Billing Actual'!$B$2:$B$770,'Controls &amp; Sources'!$B$7)</f>
        <v>0</v>
      </c>
      <c r="Q957" s="25" t="n">
        <f aca="false">P957-N957</f>
        <v>-528.5</v>
      </c>
      <c r="R957" s="22" t="str">
        <f aca="false">IF(O957=0,"No August moorage transaction",IF(O957&gt;1,"Duplicate August transactions",IF(ABS(Q957)&gt;0.005,"Charge variance","OK")))</f>
        <v>No August moorage transaction</v>
      </c>
      <c r="S957" s="22" t="str">
        <f aca="false">IF(R957="OK","","Billing completeness/reconciliation")</f>
        <v>Billing completeness/reconciliation</v>
      </c>
    </row>
    <row r="958" customFormat="false" ht="15" hidden="false" customHeight="false" outlineLevel="0" collapsed="false">
      <c r="A958" s="22" t="s">
        <v>8415</v>
      </c>
      <c r="B958" s="22" t="s">
        <v>188</v>
      </c>
      <c r="C958" s="22" t="s">
        <v>7694</v>
      </c>
      <c r="D958" s="22" t="n">
        <v>24</v>
      </c>
      <c r="E958" s="22" t="s">
        <v>7696</v>
      </c>
      <c r="F958" s="22" t="s">
        <v>6577</v>
      </c>
      <c r="G958" s="22" t="s">
        <v>3373</v>
      </c>
      <c r="H958" s="22" t="s">
        <v>3374</v>
      </c>
      <c r="I958" s="22" t="s">
        <v>1496</v>
      </c>
      <c r="J958" s="22" t="n">
        <v>55.5</v>
      </c>
      <c r="K958" s="22" t="n">
        <f aca="false">ROUNDUP(J958,0)</f>
        <v>56</v>
      </c>
      <c r="L958" s="22" t="n">
        <f aca="false">MAX(D958,K958)</f>
        <v>56</v>
      </c>
      <c r="M958" s="25" t="n">
        <f aca="false">IF(E958="COVERED",'Controls &amp; Sources'!$B$5,'Controls &amp; Sources'!$B$6)</f>
        <v>7.55</v>
      </c>
      <c r="N958" s="25" t="n">
        <f aca="false">L958*M958</f>
        <v>422.8</v>
      </c>
      <c r="O958" s="22" t="n">
        <f aca="false">COUNTIFS('Billing Actual'!$E$2:$E$770,A958,'Billing Actual'!$B$2:$B$770,'Controls &amp; Sources'!$B$7)</f>
        <v>0</v>
      </c>
      <c r="P958" s="25" t="n">
        <f aca="false">SUMIFS('Billing Actual'!$M$2:$M$770,'Billing Actual'!$E$2:$E$770,A958,'Billing Actual'!$B$2:$B$770,'Controls &amp; Sources'!$B$7)</f>
        <v>0</v>
      </c>
      <c r="Q958" s="25" t="n">
        <f aca="false">P958-N958</f>
        <v>-422.8</v>
      </c>
      <c r="R958" s="22" t="str">
        <f aca="false">IF(O958=0,"No August moorage transaction",IF(O958&gt;1,"Duplicate August transactions",IF(ABS(Q958)&gt;0.005,"Charge variance","OK")))</f>
        <v>No August moorage transaction</v>
      </c>
      <c r="S958" s="22" t="str">
        <f aca="false">IF(R958="OK","","Billing completeness/reconciliation")</f>
        <v>Billing completeness/reconciliation</v>
      </c>
    </row>
    <row r="959" customFormat="false" ht="15" hidden="false" customHeight="false" outlineLevel="0" collapsed="false">
      <c r="A959" s="22" t="s">
        <v>8416</v>
      </c>
      <c r="B959" s="22" t="s">
        <v>188</v>
      </c>
      <c r="C959" s="22" t="s">
        <v>7694</v>
      </c>
      <c r="D959" s="22" t="n">
        <v>24</v>
      </c>
      <c r="E959" s="22" t="s">
        <v>7696</v>
      </c>
      <c r="F959" s="22" t="s">
        <v>6577</v>
      </c>
      <c r="G959" s="22" t="s">
        <v>2685</v>
      </c>
      <c r="H959" s="22" t="s">
        <v>2686</v>
      </c>
      <c r="I959" s="22" t="s">
        <v>398</v>
      </c>
      <c r="J959" s="22" t="n">
        <v>32.9</v>
      </c>
      <c r="K959" s="22" t="n">
        <f aca="false">ROUNDUP(J959,0)</f>
        <v>33</v>
      </c>
      <c r="L959" s="22" t="n">
        <f aca="false">MAX(D959,K959)</f>
        <v>33</v>
      </c>
      <c r="M959" s="25" t="n">
        <f aca="false">IF(E959="COVERED",'Controls &amp; Sources'!$B$5,'Controls &amp; Sources'!$B$6)</f>
        <v>7.55</v>
      </c>
      <c r="N959" s="25" t="n">
        <f aca="false">L959*M959</f>
        <v>249.15</v>
      </c>
      <c r="O959" s="22" t="n">
        <f aca="false">COUNTIFS('Billing Actual'!$E$2:$E$770,A959,'Billing Actual'!$B$2:$B$770,'Controls &amp; Sources'!$B$7)</f>
        <v>0</v>
      </c>
      <c r="P959" s="25" t="n">
        <f aca="false">SUMIFS('Billing Actual'!$M$2:$M$770,'Billing Actual'!$E$2:$E$770,A959,'Billing Actual'!$B$2:$B$770,'Controls &amp; Sources'!$B$7)</f>
        <v>0</v>
      </c>
      <c r="Q959" s="25" t="n">
        <f aca="false">P959-N959</f>
        <v>-249.15</v>
      </c>
      <c r="R959" s="22" t="str">
        <f aca="false">IF(O959=0,"No August moorage transaction",IF(O959&gt;1,"Duplicate August transactions",IF(ABS(Q959)&gt;0.005,"Charge variance","OK")))</f>
        <v>No August moorage transaction</v>
      </c>
      <c r="S959" s="22" t="str">
        <f aca="false">IF(R959="OK","","Billing completeness/reconciliation")</f>
        <v>Billing completeness/reconciliation</v>
      </c>
    </row>
    <row r="960" customFormat="false" ht="15" hidden="false" customHeight="false" outlineLevel="0" collapsed="false">
      <c r="A960" s="22" t="s">
        <v>8417</v>
      </c>
      <c r="B960" s="22" t="s">
        <v>188</v>
      </c>
      <c r="C960" s="22" t="s">
        <v>7694</v>
      </c>
      <c r="D960" s="22" t="n">
        <v>28</v>
      </c>
      <c r="E960" s="22" t="s">
        <v>7696</v>
      </c>
      <c r="F960" s="22" t="s">
        <v>6577</v>
      </c>
      <c r="G960" s="22" t="s">
        <v>1666</v>
      </c>
      <c r="H960" s="22" t="s">
        <v>1667</v>
      </c>
      <c r="I960" s="22" t="s">
        <v>1668</v>
      </c>
      <c r="J960" s="22" t="n">
        <v>45.8</v>
      </c>
      <c r="K960" s="22" t="n">
        <f aca="false">ROUNDUP(J960,0)</f>
        <v>46</v>
      </c>
      <c r="L960" s="22" t="n">
        <f aca="false">MAX(D960,K960)</f>
        <v>46</v>
      </c>
      <c r="M960" s="25" t="n">
        <f aca="false">IF(E960="COVERED",'Controls &amp; Sources'!$B$5,'Controls &amp; Sources'!$B$6)</f>
        <v>7.55</v>
      </c>
      <c r="N960" s="25" t="n">
        <f aca="false">L960*M960</f>
        <v>347.3</v>
      </c>
      <c r="O960" s="22" t="n">
        <f aca="false">COUNTIFS('Billing Actual'!$E$2:$E$770,A960,'Billing Actual'!$B$2:$B$770,'Controls &amp; Sources'!$B$7)</f>
        <v>0</v>
      </c>
      <c r="P960" s="25" t="n">
        <f aca="false">SUMIFS('Billing Actual'!$M$2:$M$770,'Billing Actual'!$E$2:$E$770,A960,'Billing Actual'!$B$2:$B$770,'Controls &amp; Sources'!$B$7)</f>
        <v>0</v>
      </c>
      <c r="Q960" s="25" t="n">
        <f aca="false">P960-N960</f>
        <v>-347.3</v>
      </c>
      <c r="R960" s="22" t="str">
        <f aca="false">IF(O960=0,"No August moorage transaction",IF(O960&gt;1,"Duplicate August transactions",IF(ABS(Q960)&gt;0.005,"Charge variance","OK")))</f>
        <v>No August moorage transaction</v>
      </c>
      <c r="S960" s="22" t="str">
        <f aca="false">IF(R960="OK","","Billing completeness/reconciliation")</f>
        <v>Billing completeness/reconciliation</v>
      </c>
    </row>
    <row r="961" customFormat="false" ht="15" hidden="false" customHeight="false" outlineLevel="0" collapsed="false">
      <c r="A961" s="22" t="s">
        <v>8418</v>
      </c>
      <c r="B961" s="22" t="s">
        <v>188</v>
      </c>
      <c r="C961" s="22" t="s">
        <v>7694</v>
      </c>
      <c r="D961" s="22" t="n">
        <v>28</v>
      </c>
      <c r="E961" s="22" t="s">
        <v>7696</v>
      </c>
      <c r="F961" s="22" t="s">
        <v>6577</v>
      </c>
      <c r="G961" s="22" t="s">
        <v>5083</v>
      </c>
      <c r="H961" s="22" t="s">
        <v>5084</v>
      </c>
      <c r="I961" s="22" t="s">
        <v>4476</v>
      </c>
      <c r="J961" s="22" t="n">
        <v>27.1</v>
      </c>
      <c r="K961" s="22" t="n">
        <f aca="false">ROUNDUP(J961,0)</f>
        <v>28</v>
      </c>
      <c r="L961" s="22" t="n">
        <f aca="false">MAX(D961,K961)</f>
        <v>28</v>
      </c>
      <c r="M961" s="25" t="n">
        <f aca="false">IF(E961="COVERED",'Controls &amp; Sources'!$B$5,'Controls &amp; Sources'!$B$6)</f>
        <v>7.55</v>
      </c>
      <c r="N961" s="25" t="n">
        <f aca="false">L961*M961</f>
        <v>211.4</v>
      </c>
      <c r="O961" s="22" t="n">
        <f aca="false">COUNTIFS('Billing Actual'!$E$2:$E$770,A961,'Billing Actual'!$B$2:$B$770,'Controls &amp; Sources'!$B$7)</f>
        <v>0</v>
      </c>
      <c r="P961" s="25" t="n">
        <f aca="false">SUMIFS('Billing Actual'!$M$2:$M$770,'Billing Actual'!$E$2:$E$770,A961,'Billing Actual'!$B$2:$B$770,'Controls &amp; Sources'!$B$7)</f>
        <v>0</v>
      </c>
      <c r="Q961" s="25" t="n">
        <f aca="false">P961-N961</f>
        <v>-211.4</v>
      </c>
      <c r="R961" s="22" t="str">
        <f aca="false">IF(O961=0,"No August moorage transaction",IF(O961&gt;1,"Duplicate August transactions",IF(ABS(Q961)&gt;0.005,"Charge variance","OK")))</f>
        <v>No August moorage transaction</v>
      </c>
      <c r="S961" s="22" t="str">
        <f aca="false">IF(R961="OK","","Billing completeness/reconciliation")</f>
        <v>Billing completeness/reconciliation</v>
      </c>
    </row>
    <row r="962" customFormat="false" ht="15" hidden="false" customHeight="false" outlineLevel="0" collapsed="false">
      <c r="A962" s="22" t="s">
        <v>8419</v>
      </c>
      <c r="B962" s="22" t="s">
        <v>188</v>
      </c>
      <c r="C962" s="22" t="s">
        <v>7694</v>
      </c>
      <c r="D962" s="22" t="n">
        <v>32</v>
      </c>
      <c r="E962" s="22" t="s">
        <v>7696</v>
      </c>
      <c r="F962" s="22" t="s">
        <v>6577</v>
      </c>
      <c r="G962" s="22" t="s">
        <v>3021</v>
      </c>
      <c r="H962" s="22" t="s">
        <v>3022</v>
      </c>
      <c r="I962" s="22" t="s">
        <v>2823</v>
      </c>
      <c r="J962" s="22" t="n">
        <v>53.4</v>
      </c>
      <c r="K962" s="22" t="n">
        <f aca="false">ROUNDUP(J962,0)</f>
        <v>54</v>
      </c>
      <c r="L962" s="22" t="n">
        <f aca="false">MAX(D962,K962)</f>
        <v>54</v>
      </c>
      <c r="M962" s="25" t="n">
        <f aca="false">IF(E962="COVERED",'Controls &amp; Sources'!$B$5,'Controls &amp; Sources'!$B$6)</f>
        <v>7.55</v>
      </c>
      <c r="N962" s="25" t="n">
        <f aca="false">L962*M962</f>
        <v>407.7</v>
      </c>
      <c r="O962" s="22" t="n">
        <f aca="false">COUNTIFS('Billing Actual'!$E$2:$E$770,A962,'Billing Actual'!$B$2:$B$770,'Controls &amp; Sources'!$B$7)</f>
        <v>0</v>
      </c>
      <c r="P962" s="25" t="n">
        <f aca="false">SUMIFS('Billing Actual'!$M$2:$M$770,'Billing Actual'!$E$2:$E$770,A962,'Billing Actual'!$B$2:$B$770,'Controls &amp; Sources'!$B$7)</f>
        <v>0</v>
      </c>
      <c r="Q962" s="25" t="n">
        <f aca="false">P962-N962</f>
        <v>-407.7</v>
      </c>
      <c r="R962" s="22" t="str">
        <f aca="false">IF(O962=0,"No August moorage transaction",IF(O962&gt;1,"Duplicate August transactions",IF(ABS(Q962)&gt;0.005,"Charge variance","OK")))</f>
        <v>No August moorage transaction</v>
      </c>
      <c r="S962" s="22" t="str">
        <f aca="false">IF(R962="OK","","Billing completeness/reconciliation")</f>
        <v>Billing completeness/reconciliation</v>
      </c>
    </row>
    <row r="963" customFormat="false" ht="15" hidden="false" customHeight="false" outlineLevel="0" collapsed="false">
      <c r="A963" s="22" t="s">
        <v>8420</v>
      </c>
      <c r="B963" s="22" t="s">
        <v>188</v>
      </c>
      <c r="C963" s="22" t="s">
        <v>7694</v>
      </c>
      <c r="D963" s="22" t="n">
        <v>36</v>
      </c>
      <c r="E963" s="22" t="s">
        <v>7696</v>
      </c>
      <c r="F963" s="22" t="s">
        <v>6577</v>
      </c>
      <c r="G963" s="22" t="s">
        <v>2266</v>
      </c>
      <c r="H963" s="22" t="s">
        <v>2267</v>
      </c>
      <c r="I963" s="22" t="s">
        <v>1220</v>
      </c>
      <c r="J963" s="22" t="n">
        <v>28.9</v>
      </c>
      <c r="K963" s="22" t="n">
        <f aca="false">ROUNDUP(J963,0)</f>
        <v>29</v>
      </c>
      <c r="L963" s="22" t="n">
        <f aca="false">MAX(D963,K963)</f>
        <v>36</v>
      </c>
      <c r="M963" s="25" t="n">
        <f aca="false">IF(E963="COVERED",'Controls &amp; Sources'!$B$5,'Controls &amp; Sources'!$B$6)</f>
        <v>7.55</v>
      </c>
      <c r="N963" s="25" t="n">
        <f aca="false">L963*M963</f>
        <v>271.8</v>
      </c>
      <c r="O963" s="22" t="n">
        <f aca="false">COUNTIFS('Billing Actual'!$E$2:$E$770,A963,'Billing Actual'!$B$2:$B$770,'Controls &amp; Sources'!$B$7)</f>
        <v>0</v>
      </c>
      <c r="P963" s="25" t="n">
        <f aca="false">SUMIFS('Billing Actual'!$M$2:$M$770,'Billing Actual'!$E$2:$E$770,A963,'Billing Actual'!$B$2:$B$770,'Controls &amp; Sources'!$B$7)</f>
        <v>0</v>
      </c>
      <c r="Q963" s="25" t="n">
        <f aca="false">P963-N963</f>
        <v>-271.8</v>
      </c>
      <c r="R963" s="22" t="str">
        <f aca="false">IF(O963=0,"No August moorage transaction",IF(O963&gt;1,"Duplicate August transactions",IF(ABS(Q963)&gt;0.005,"Charge variance","OK")))</f>
        <v>No August moorage transaction</v>
      </c>
      <c r="S963" s="22" t="str">
        <f aca="false">IF(R963="OK","","Billing completeness/reconciliation")</f>
        <v>Billing completeness/reconciliation</v>
      </c>
    </row>
    <row r="964" customFormat="false" ht="15" hidden="false" customHeight="false" outlineLevel="0" collapsed="false">
      <c r="A964" s="22" t="s">
        <v>8421</v>
      </c>
      <c r="B964" s="22" t="s">
        <v>188</v>
      </c>
      <c r="C964" s="22" t="s">
        <v>7694</v>
      </c>
      <c r="D964" s="22" t="n">
        <v>45</v>
      </c>
      <c r="E964" s="22" t="s">
        <v>7696</v>
      </c>
      <c r="F964" s="22" t="s">
        <v>6577</v>
      </c>
      <c r="G964" s="22" t="s">
        <v>3653</v>
      </c>
      <c r="H964" s="22" t="s">
        <v>3654</v>
      </c>
      <c r="I964" s="22" t="s">
        <v>1463</v>
      </c>
      <c r="J964" s="22" t="n">
        <v>24</v>
      </c>
      <c r="K964" s="22" t="n">
        <f aca="false">ROUNDUP(J964,0)</f>
        <v>24</v>
      </c>
      <c r="L964" s="22" t="n">
        <f aca="false">MAX(D964,K964)</f>
        <v>45</v>
      </c>
      <c r="M964" s="25" t="n">
        <f aca="false">IF(E964="COVERED",'Controls &amp; Sources'!$B$5,'Controls &amp; Sources'!$B$6)</f>
        <v>7.55</v>
      </c>
      <c r="N964" s="25" t="n">
        <f aca="false">L964*M964</f>
        <v>339.75</v>
      </c>
      <c r="O964" s="22" t="n">
        <f aca="false">COUNTIFS('Billing Actual'!$E$2:$E$770,A964,'Billing Actual'!$B$2:$B$770,'Controls &amp; Sources'!$B$7)</f>
        <v>0</v>
      </c>
      <c r="P964" s="25" t="n">
        <f aca="false">SUMIFS('Billing Actual'!$M$2:$M$770,'Billing Actual'!$E$2:$E$770,A964,'Billing Actual'!$B$2:$B$770,'Controls &amp; Sources'!$B$7)</f>
        <v>0</v>
      </c>
      <c r="Q964" s="25" t="n">
        <f aca="false">P964-N964</f>
        <v>-339.75</v>
      </c>
      <c r="R964" s="22" t="str">
        <f aca="false">IF(O964=0,"No August moorage transaction",IF(O964&gt;1,"Duplicate August transactions",IF(ABS(Q964)&gt;0.005,"Charge variance","OK")))</f>
        <v>No August moorage transaction</v>
      </c>
      <c r="S964" s="22" t="str">
        <f aca="false">IF(R964="OK","","Billing completeness/reconciliation")</f>
        <v>Billing completeness/reconciliation</v>
      </c>
    </row>
    <row r="965" customFormat="false" ht="15" hidden="false" customHeight="false" outlineLevel="0" collapsed="false">
      <c r="A965" s="22" t="s">
        <v>8422</v>
      </c>
      <c r="B965" s="22" t="s">
        <v>188</v>
      </c>
      <c r="C965" s="22" t="s">
        <v>7694</v>
      </c>
      <c r="D965" s="22" t="n">
        <v>24</v>
      </c>
      <c r="E965" s="22" t="s">
        <v>7696</v>
      </c>
      <c r="F965" s="22" t="s">
        <v>6577</v>
      </c>
      <c r="G965" s="22" t="s">
        <v>3454</v>
      </c>
      <c r="H965" s="22" t="s">
        <v>3455</v>
      </c>
      <c r="I965" s="22" t="s">
        <v>1063</v>
      </c>
      <c r="J965" s="22" t="n">
        <v>35.5</v>
      </c>
      <c r="K965" s="22" t="n">
        <f aca="false">ROUNDUP(J965,0)</f>
        <v>36</v>
      </c>
      <c r="L965" s="22" t="n">
        <f aca="false">MAX(D965,K965)</f>
        <v>36</v>
      </c>
      <c r="M965" s="25" t="n">
        <f aca="false">IF(E965="COVERED",'Controls &amp; Sources'!$B$5,'Controls &amp; Sources'!$B$6)</f>
        <v>7.55</v>
      </c>
      <c r="N965" s="25" t="n">
        <f aca="false">L965*M965</f>
        <v>271.8</v>
      </c>
      <c r="O965" s="22" t="n">
        <f aca="false">COUNTIFS('Billing Actual'!$E$2:$E$770,A965,'Billing Actual'!$B$2:$B$770,'Controls &amp; Sources'!$B$7)</f>
        <v>0</v>
      </c>
      <c r="P965" s="25" t="n">
        <f aca="false">SUMIFS('Billing Actual'!$M$2:$M$770,'Billing Actual'!$E$2:$E$770,A965,'Billing Actual'!$B$2:$B$770,'Controls &amp; Sources'!$B$7)</f>
        <v>0</v>
      </c>
      <c r="Q965" s="25" t="n">
        <f aca="false">P965-N965</f>
        <v>-271.8</v>
      </c>
      <c r="R965" s="22" t="str">
        <f aca="false">IF(O965=0,"No August moorage transaction",IF(O965&gt;1,"Duplicate August transactions",IF(ABS(Q965)&gt;0.005,"Charge variance","OK")))</f>
        <v>No August moorage transaction</v>
      </c>
      <c r="S965" s="22" t="str">
        <f aca="false">IF(R965="OK","","Billing completeness/reconciliation")</f>
        <v>Billing completeness/reconciliation</v>
      </c>
    </row>
    <row r="966" customFormat="false" ht="15" hidden="false" customHeight="false" outlineLevel="0" collapsed="false">
      <c r="A966" s="22" t="s">
        <v>8423</v>
      </c>
      <c r="B966" s="22" t="s">
        <v>188</v>
      </c>
      <c r="C966" s="22" t="s">
        <v>7694</v>
      </c>
      <c r="D966" s="22" t="n">
        <v>70</v>
      </c>
      <c r="E966" s="22" t="s">
        <v>7696</v>
      </c>
      <c r="F966" s="22" t="s">
        <v>6577</v>
      </c>
      <c r="G966" s="22" t="s">
        <v>6376</v>
      </c>
      <c r="H966" s="22" t="s">
        <v>6377</v>
      </c>
      <c r="I966" s="22" t="s">
        <v>2583</v>
      </c>
      <c r="J966" s="22" t="n">
        <v>47.1</v>
      </c>
      <c r="K966" s="22" t="n">
        <f aca="false">ROUNDUP(J966,0)</f>
        <v>48</v>
      </c>
      <c r="L966" s="22" t="n">
        <f aca="false">MAX(D966,K966)</f>
        <v>70</v>
      </c>
      <c r="M966" s="25" t="n">
        <f aca="false">IF(E966="COVERED",'Controls &amp; Sources'!$B$5,'Controls &amp; Sources'!$B$6)</f>
        <v>7.55</v>
      </c>
      <c r="N966" s="25" t="n">
        <f aca="false">L966*M966</f>
        <v>528.5</v>
      </c>
      <c r="O966" s="22" t="n">
        <f aca="false">COUNTIFS('Billing Actual'!$E$2:$E$770,A966,'Billing Actual'!$B$2:$B$770,'Controls &amp; Sources'!$B$7)</f>
        <v>0</v>
      </c>
      <c r="P966" s="25" t="n">
        <f aca="false">SUMIFS('Billing Actual'!$M$2:$M$770,'Billing Actual'!$E$2:$E$770,A966,'Billing Actual'!$B$2:$B$770,'Controls &amp; Sources'!$B$7)</f>
        <v>0</v>
      </c>
      <c r="Q966" s="25" t="n">
        <f aca="false">P966-N966</f>
        <v>-528.5</v>
      </c>
      <c r="R966" s="22" t="str">
        <f aca="false">IF(O966=0,"No August moorage transaction",IF(O966&gt;1,"Duplicate August transactions",IF(ABS(Q966)&gt;0.005,"Charge variance","OK")))</f>
        <v>No August moorage transaction</v>
      </c>
      <c r="S966" s="22" t="str">
        <f aca="false">IF(R966="OK","","Billing completeness/reconciliation")</f>
        <v>Billing completeness/reconciliation</v>
      </c>
    </row>
    <row r="967" customFormat="false" ht="15" hidden="false" customHeight="false" outlineLevel="0" collapsed="false">
      <c r="A967" s="22" t="s">
        <v>8424</v>
      </c>
      <c r="B967" s="22" t="s">
        <v>188</v>
      </c>
      <c r="C967" s="22" t="s">
        <v>7694</v>
      </c>
      <c r="D967" s="22" t="n">
        <v>32</v>
      </c>
      <c r="E967" s="22" t="s">
        <v>7696</v>
      </c>
      <c r="F967" s="22" t="s">
        <v>6577</v>
      </c>
      <c r="G967" s="22" t="s">
        <v>2454</v>
      </c>
      <c r="H967" s="22" t="s">
        <v>2455</v>
      </c>
      <c r="I967" s="22" t="s">
        <v>972</v>
      </c>
      <c r="J967" s="22" t="n">
        <v>48.1</v>
      </c>
      <c r="K967" s="22" t="n">
        <f aca="false">ROUNDUP(J967,0)</f>
        <v>49</v>
      </c>
      <c r="L967" s="22" t="n">
        <f aca="false">MAX(D967,K967)</f>
        <v>49</v>
      </c>
      <c r="M967" s="25" t="n">
        <f aca="false">IF(E967="COVERED",'Controls &amp; Sources'!$B$5,'Controls &amp; Sources'!$B$6)</f>
        <v>7.55</v>
      </c>
      <c r="N967" s="25" t="n">
        <f aca="false">L967*M967</f>
        <v>369.95</v>
      </c>
      <c r="O967" s="22" t="n">
        <f aca="false">COUNTIFS('Billing Actual'!$E$2:$E$770,A967,'Billing Actual'!$B$2:$B$770,'Controls &amp; Sources'!$B$7)</f>
        <v>0</v>
      </c>
      <c r="P967" s="25" t="n">
        <f aca="false">SUMIFS('Billing Actual'!$M$2:$M$770,'Billing Actual'!$E$2:$E$770,A967,'Billing Actual'!$B$2:$B$770,'Controls &amp; Sources'!$B$7)</f>
        <v>0</v>
      </c>
      <c r="Q967" s="25" t="n">
        <f aca="false">P967-N967</f>
        <v>-369.95</v>
      </c>
      <c r="R967" s="22" t="str">
        <f aca="false">IF(O967=0,"No August moorage transaction",IF(O967&gt;1,"Duplicate August transactions",IF(ABS(Q967)&gt;0.005,"Charge variance","OK")))</f>
        <v>No August moorage transaction</v>
      </c>
      <c r="S967" s="22" t="str">
        <f aca="false">IF(R967="OK","","Billing completeness/reconciliation")</f>
        <v>Billing completeness/reconciliation</v>
      </c>
    </row>
    <row r="968" customFormat="false" ht="15" hidden="false" customHeight="false" outlineLevel="0" collapsed="false">
      <c r="A968" s="22" t="s">
        <v>8425</v>
      </c>
      <c r="B968" s="22" t="s">
        <v>188</v>
      </c>
      <c r="C968" s="22" t="s">
        <v>7694</v>
      </c>
      <c r="D968" s="22" t="n">
        <v>60</v>
      </c>
      <c r="E968" s="22" t="s">
        <v>7696</v>
      </c>
      <c r="F968" s="22" t="s">
        <v>6577</v>
      </c>
      <c r="G968" s="22" t="s">
        <v>1248</v>
      </c>
      <c r="H968" s="22" t="s">
        <v>1249</v>
      </c>
      <c r="I968" s="22" t="s">
        <v>1143</v>
      </c>
      <c r="J968" s="22" t="n">
        <v>23.8</v>
      </c>
      <c r="K968" s="22" t="n">
        <f aca="false">ROUNDUP(J968,0)</f>
        <v>24</v>
      </c>
      <c r="L968" s="22" t="n">
        <f aca="false">MAX(D968,K968)</f>
        <v>60</v>
      </c>
      <c r="M968" s="25" t="n">
        <f aca="false">IF(E968="COVERED",'Controls &amp; Sources'!$B$5,'Controls &amp; Sources'!$B$6)</f>
        <v>7.55</v>
      </c>
      <c r="N968" s="25" t="n">
        <f aca="false">L968*M968</f>
        <v>453</v>
      </c>
      <c r="O968" s="22" t="n">
        <f aca="false">COUNTIFS('Billing Actual'!$E$2:$E$770,A968,'Billing Actual'!$B$2:$B$770,'Controls &amp; Sources'!$B$7)</f>
        <v>0</v>
      </c>
      <c r="P968" s="25" t="n">
        <f aca="false">SUMIFS('Billing Actual'!$M$2:$M$770,'Billing Actual'!$E$2:$E$770,A968,'Billing Actual'!$B$2:$B$770,'Controls &amp; Sources'!$B$7)</f>
        <v>0</v>
      </c>
      <c r="Q968" s="25" t="n">
        <f aca="false">P968-N968</f>
        <v>-453</v>
      </c>
      <c r="R968" s="22" t="str">
        <f aca="false">IF(O968=0,"No August moorage transaction",IF(O968&gt;1,"Duplicate August transactions",IF(ABS(Q968)&gt;0.005,"Charge variance","OK")))</f>
        <v>No August moorage transaction</v>
      </c>
      <c r="S968" s="22" t="str">
        <f aca="false">IF(R968="OK","","Billing completeness/reconciliation")</f>
        <v>Billing completeness/reconciliation</v>
      </c>
    </row>
    <row r="969" customFormat="false" ht="15" hidden="false" customHeight="false" outlineLevel="0" collapsed="false">
      <c r="A969" s="22" t="s">
        <v>8426</v>
      </c>
      <c r="B969" s="22" t="s">
        <v>188</v>
      </c>
      <c r="C969" s="22" t="s">
        <v>7694</v>
      </c>
      <c r="D969" s="22" t="n">
        <v>32</v>
      </c>
      <c r="E969" s="22" t="s">
        <v>7696</v>
      </c>
      <c r="F969" s="22" t="s">
        <v>6577</v>
      </c>
      <c r="G969" s="22" t="s">
        <v>5869</v>
      </c>
      <c r="H969" s="22" t="s">
        <v>5870</v>
      </c>
      <c r="I969" s="22" t="s">
        <v>1217</v>
      </c>
      <c r="J969" s="22" t="n">
        <v>53.9</v>
      </c>
      <c r="K969" s="22" t="n">
        <f aca="false">ROUNDUP(J969,0)</f>
        <v>54</v>
      </c>
      <c r="L969" s="22" t="n">
        <f aca="false">MAX(D969,K969)</f>
        <v>54</v>
      </c>
      <c r="M969" s="25" t="n">
        <f aca="false">IF(E969="COVERED",'Controls &amp; Sources'!$B$5,'Controls &amp; Sources'!$B$6)</f>
        <v>7.55</v>
      </c>
      <c r="N969" s="25" t="n">
        <f aca="false">L969*M969</f>
        <v>407.7</v>
      </c>
      <c r="O969" s="22" t="n">
        <f aca="false">COUNTIFS('Billing Actual'!$E$2:$E$770,A969,'Billing Actual'!$B$2:$B$770,'Controls &amp; Sources'!$B$7)</f>
        <v>0</v>
      </c>
      <c r="P969" s="25" t="n">
        <f aca="false">SUMIFS('Billing Actual'!$M$2:$M$770,'Billing Actual'!$E$2:$E$770,A969,'Billing Actual'!$B$2:$B$770,'Controls &amp; Sources'!$B$7)</f>
        <v>0</v>
      </c>
      <c r="Q969" s="25" t="n">
        <f aca="false">P969-N969</f>
        <v>-407.7</v>
      </c>
      <c r="R969" s="22" t="str">
        <f aca="false">IF(O969=0,"No August moorage transaction",IF(O969&gt;1,"Duplicate August transactions",IF(ABS(Q969)&gt;0.005,"Charge variance","OK")))</f>
        <v>No August moorage transaction</v>
      </c>
      <c r="S969" s="22" t="str">
        <f aca="false">IF(R969="OK","","Billing completeness/reconciliation")</f>
        <v>Billing completeness/reconciliation</v>
      </c>
    </row>
    <row r="970" customFormat="false" ht="15" hidden="false" customHeight="false" outlineLevel="0" collapsed="false">
      <c r="A970" s="22" t="s">
        <v>8427</v>
      </c>
      <c r="B970" s="22" t="s">
        <v>188</v>
      </c>
      <c r="C970" s="22" t="s">
        <v>7694</v>
      </c>
      <c r="D970" s="22" t="n">
        <v>24</v>
      </c>
      <c r="E970" s="22" t="s">
        <v>7696</v>
      </c>
      <c r="F970" s="22" t="s">
        <v>6577</v>
      </c>
      <c r="G970" s="22" t="s">
        <v>4510</v>
      </c>
      <c r="H970" s="22" t="s">
        <v>4511</v>
      </c>
      <c r="I970" s="22" t="s">
        <v>815</v>
      </c>
      <c r="J970" s="22" t="n">
        <v>47.7</v>
      </c>
      <c r="K970" s="22" t="n">
        <f aca="false">ROUNDUP(J970,0)</f>
        <v>48</v>
      </c>
      <c r="L970" s="22" t="n">
        <f aca="false">MAX(D970,K970)</f>
        <v>48</v>
      </c>
      <c r="M970" s="25" t="n">
        <f aca="false">IF(E970="COVERED",'Controls &amp; Sources'!$B$5,'Controls &amp; Sources'!$B$6)</f>
        <v>7.55</v>
      </c>
      <c r="N970" s="25" t="n">
        <f aca="false">L970*M970</f>
        <v>362.4</v>
      </c>
      <c r="O970" s="22" t="n">
        <f aca="false">COUNTIFS('Billing Actual'!$E$2:$E$770,A970,'Billing Actual'!$B$2:$B$770,'Controls &amp; Sources'!$B$7)</f>
        <v>0</v>
      </c>
      <c r="P970" s="25" t="n">
        <f aca="false">SUMIFS('Billing Actual'!$M$2:$M$770,'Billing Actual'!$E$2:$E$770,A970,'Billing Actual'!$B$2:$B$770,'Controls &amp; Sources'!$B$7)</f>
        <v>0</v>
      </c>
      <c r="Q970" s="25" t="n">
        <f aca="false">P970-N970</f>
        <v>-362.4</v>
      </c>
      <c r="R970" s="22" t="str">
        <f aca="false">IF(O970=0,"No August moorage transaction",IF(O970&gt;1,"Duplicate August transactions",IF(ABS(Q970)&gt;0.005,"Charge variance","OK")))</f>
        <v>No August moorage transaction</v>
      </c>
      <c r="S970" s="22" t="str">
        <f aca="false">IF(R970="OK","","Billing completeness/reconciliation")</f>
        <v>Billing completeness/reconciliation</v>
      </c>
    </row>
    <row r="971" customFormat="false" ht="15" hidden="false" customHeight="false" outlineLevel="0" collapsed="false">
      <c r="A971" s="22" t="s">
        <v>8428</v>
      </c>
      <c r="B971" s="22" t="s">
        <v>188</v>
      </c>
      <c r="C971" s="22" t="s">
        <v>7694</v>
      </c>
      <c r="D971" s="22" t="n">
        <v>40</v>
      </c>
      <c r="E971" s="22" t="s">
        <v>7696</v>
      </c>
      <c r="F971" s="22" t="s">
        <v>6577</v>
      </c>
      <c r="G971" s="22" t="s">
        <v>2994</v>
      </c>
      <c r="H971" s="22" t="s">
        <v>2995</v>
      </c>
      <c r="I971" s="22" t="s">
        <v>346</v>
      </c>
      <c r="J971" s="22" t="n">
        <v>54.9</v>
      </c>
      <c r="K971" s="22" t="n">
        <f aca="false">ROUNDUP(J971,0)</f>
        <v>55</v>
      </c>
      <c r="L971" s="22" t="n">
        <f aca="false">MAX(D971,K971)</f>
        <v>55</v>
      </c>
      <c r="M971" s="25" t="n">
        <f aca="false">IF(E971="COVERED",'Controls &amp; Sources'!$B$5,'Controls &amp; Sources'!$B$6)</f>
        <v>7.55</v>
      </c>
      <c r="N971" s="25" t="n">
        <f aca="false">L971*M971</f>
        <v>415.25</v>
      </c>
      <c r="O971" s="22" t="n">
        <f aca="false">COUNTIFS('Billing Actual'!$E$2:$E$770,A971,'Billing Actual'!$B$2:$B$770,'Controls &amp; Sources'!$B$7)</f>
        <v>0</v>
      </c>
      <c r="P971" s="25" t="n">
        <f aca="false">SUMIFS('Billing Actual'!$M$2:$M$770,'Billing Actual'!$E$2:$E$770,A971,'Billing Actual'!$B$2:$B$770,'Controls &amp; Sources'!$B$7)</f>
        <v>0</v>
      </c>
      <c r="Q971" s="25" t="n">
        <f aca="false">P971-N971</f>
        <v>-415.25</v>
      </c>
      <c r="R971" s="22" t="str">
        <f aca="false">IF(O971=0,"No August moorage transaction",IF(O971&gt;1,"Duplicate August transactions",IF(ABS(Q971)&gt;0.005,"Charge variance","OK")))</f>
        <v>No August moorage transaction</v>
      </c>
      <c r="S971" s="22" t="str">
        <f aca="false">IF(R971="OK","","Billing completeness/reconciliation")</f>
        <v>Billing completeness/reconciliation</v>
      </c>
    </row>
    <row r="972" customFormat="false" ht="15" hidden="false" customHeight="false" outlineLevel="0" collapsed="false">
      <c r="A972" s="22" t="s">
        <v>8429</v>
      </c>
      <c r="B972" s="22" t="s">
        <v>188</v>
      </c>
      <c r="C972" s="22" t="s">
        <v>7694</v>
      </c>
      <c r="D972" s="22" t="n">
        <v>45</v>
      </c>
      <c r="E972" s="22" t="s">
        <v>7696</v>
      </c>
      <c r="F972" s="22" t="s">
        <v>6577</v>
      </c>
      <c r="G972" s="22" t="s">
        <v>3132</v>
      </c>
      <c r="H972" s="22" t="s">
        <v>3133</v>
      </c>
      <c r="I972" s="22" t="s">
        <v>2572</v>
      </c>
      <c r="J972" s="22" t="n">
        <v>57.3</v>
      </c>
      <c r="K972" s="22" t="n">
        <f aca="false">ROUNDUP(J972,0)</f>
        <v>58</v>
      </c>
      <c r="L972" s="22" t="n">
        <f aca="false">MAX(D972,K972)</f>
        <v>58</v>
      </c>
      <c r="M972" s="25" t="n">
        <f aca="false">IF(E972="COVERED",'Controls &amp; Sources'!$B$5,'Controls &amp; Sources'!$B$6)</f>
        <v>7.55</v>
      </c>
      <c r="N972" s="25" t="n">
        <f aca="false">L972*M972</f>
        <v>437.9</v>
      </c>
      <c r="O972" s="22" t="n">
        <f aca="false">COUNTIFS('Billing Actual'!$E$2:$E$770,A972,'Billing Actual'!$B$2:$B$770,'Controls &amp; Sources'!$B$7)</f>
        <v>0</v>
      </c>
      <c r="P972" s="25" t="n">
        <f aca="false">SUMIFS('Billing Actual'!$M$2:$M$770,'Billing Actual'!$E$2:$E$770,A972,'Billing Actual'!$B$2:$B$770,'Controls &amp; Sources'!$B$7)</f>
        <v>0</v>
      </c>
      <c r="Q972" s="25" t="n">
        <f aca="false">P972-N972</f>
        <v>-437.9</v>
      </c>
      <c r="R972" s="22" t="str">
        <f aca="false">IF(O972=0,"No August moorage transaction",IF(O972&gt;1,"Duplicate August transactions",IF(ABS(Q972)&gt;0.005,"Charge variance","OK")))</f>
        <v>No August moorage transaction</v>
      </c>
      <c r="S972" s="22" t="str">
        <f aca="false">IF(R972="OK","","Billing completeness/reconciliation")</f>
        <v>Billing completeness/reconciliation</v>
      </c>
    </row>
    <row r="973" customFormat="false" ht="15" hidden="false" customHeight="false" outlineLevel="0" collapsed="false">
      <c r="A973" s="22" t="s">
        <v>8430</v>
      </c>
      <c r="B973" s="22" t="s">
        <v>188</v>
      </c>
      <c r="C973" s="22" t="s">
        <v>7694</v>
      </c>
      <c r="D973" s="22" t="n">
        <v>40</v>
      </c>
      <c r="E973" s="22" t="s">
        <v>7696</v>
      </c>
      <c r="F973" s="22" t="s">
        <v>6577</v>
      </c>
      <c r="G973" s="22" t="s">
        <v>4508</v>
      </c>
      <c r="H973" s="22" t="s">
        <v>4509</v>
      </c>
      <c r="I973" s="22" t="s">
        <v>519</v>
      </c>
      <c r="J973" s="22" t="n">
        <v>55.3</v>
      </c>
      <c r="K973" s="22" t="n">
        <f aca="false">ROUNDUP(J973,0)</f>
        <v>56</v>
      </c>
      <c r="L973" s="22" t="n">
        <f aca="false">MAX(D973,K973)</f>
        <v>56</v>
      </c>
      <c r="M973" s="25" t="n">
        <f aca="false">IF(E973="COVERED",'Controls &amp; Sources'!$B$5,'Controls &amp; Sources'!$B$6)</f>
        <v>7.55</v>
      </c>
      <c r="N973" s="25" t="n">
        <f aca="false">L973*M973</f>
        <v>422.8</v>
      </c>
      <c r="O973" s="22" t="n">
        <f aca="false">COUNTIFS('Billing Actual'!$E$2:$E$770,A973,'Billing Actual'!$B$2:$B$770,'Controls &amp; Sources'!$B$7)</f>
        <v>0</v>
      </c>
      <c r="P973" s="25" t="n">
        <f aca="false">SUMIFS('Billing Actual'!$M$2:$M$770,'Billing Actual'!$E$2:$E$770,A973,'Billing Actual'!$B$2:$B$770,'Controls &amp; Sources'!$B$7)</f>
        <v>0</v>
      </c>
      <c r="Q973" s="25" t="n">
        <f aca="false">P973-N973</f>
        <v>-422.8</v>
      </c>
      <c r="R973" s="22" t="str">
        <f aca="false">IF(O973=0,"No August moorage transaction",IF(O973&gt;1,"Duplicate August transactions",IF(ABS(Q973)&gt;0.005,"Charge variance","OK")))</f>
        <v>No August moorage transaction</v>
      </c>
      <c r="S973" s="22" t="str">
        <f aca="false">IF(R973="OK","","Billing completeness/reconciliation")</f>
        <v>Billing completeness/reconciliation</v>
      </c>
    </row>
    <row r="974" customFormat="false" ht="15" hidden="false" customHeight="false" outlineLevel="0" collapsed="false">
      <c r="A974" s="22" t="s">
        <v>8431</v>
      </c>
      <c r="B974" s="22" t="s">
        <v>188</v>
      </c>
      <c r="C974" s="22" t="s">
        <v>7694</v>
      </c>
      <c r="D974" s="22" t="n">
        <v>24</v>
      </c>
      <c r="E974" s="22" t="s">
        <v>7696</v>
      </c>
      <c r="F974" s="22" t="s">
        <v>6577</v>
      </c>
      <c r="G974" s="22" t="s">
        <v>4477</v>
      </c>
      <c r="H974" s="22" t="s">
        <v>4478</v>
      </c>
      <c r="I974" s="22" t="s">
        <v>1048</v>
      </c>
      <c r="J974" s="22" t="n">
        <v>32.7</v>
      </c>
      <c r="K974" s="22" t="n">
        <f aca="false">ROUNDUP(J974,0)</f>
        <v>33</v>
      </c>
      <c r="L974" s="22" t="n">
        <f aca="false">MAX(D974,K974)</f>
        <v>33</v>
      </c>
      <c r="M974" s="25" t="n">
        <f aca="false">IF(E974="COVERED",'Controls &amp; Sources'!$B$5,'Controls &amp; Sources'!$B$6)</f>
        <v>7.55</v>
      </c>
      <c r="N974" s="25" t="n">
        <f aca="false">L974*M974</f>
        <v>249.15</v>
      </c>
      <c r="O974" s="22" t="n">
        <f aca="false">COUNTIFS('Billing Actual'!$E$2:$E$770,A974,'Billing Actual'!$B$2:$B$770,'Controls &amp; Sources'!$B$7)</f>
        <v>0</v>
      </c>
      <c r="P974" s="25" t="n">
        <f aca="false">SUMIFS('Billing Actual'!$M$2:$M$770,'Billing Actual'!$E$2:$E$770,A974,'Billing Actual'!$B$2:$B$770,'Controls &amp; Sources'!$B$7)</f>
        <v>0</v>
      </c>
      <c r="Q974" s="25" t="n">
        <f aca="false">P974-N974</f>
        <v>-249.15</v>
      </c>
      <c r="R974" s="22" t="str">
        <f aca="false">IF(O974=0,"No August moorage transaction",IF(O974&gt;1,"Duplicate August transactions",IF(ABS(Q974)&gt;0.005,"Charge variance","OK")))</f>
        <v>No August moorage transaction</v>
      </c>
      <c r="S974" s="22" t="str">
        <f aca="false">IF(R974="OK","","Billing completeness/reconciliation")</f>
        <v>Billing completeness/reconciliation</v>
      </c>
    </row>
    <row r="975" customFormat="false" ht="15" hidden="false" customHeight="false" outlineLevel="0" collapsed="false">
      <c r="A975" s="22" t="s">
        <v>8432</v>
      </c>
      <c r="B975" s="22" t="s">
        <v>188</v>
      </c>
      <c r="C975" s="22" t="s">
        <v>7694</v>
      </c>
      <c r="D975" s="22" t="n">
        <v>28</v>
      </c>
      <c r="E975" s="22" t="s">
        <v>7696</v>
      </c>
      <c r="F975" s="22" t="s">
        <v>6577</v>
      </c>
      <c r="G975" s="22" t="s">
        <v>951</v>
      </c>
      <c r="H975" s="22" t="s">
        <v>952</v>
      </c>
      <c r="I975" s="22" t="s">
        <v>953</v>
      </c>
      <c r="J975" s="22" t="n">
        <v>50.7</v>
      </c>
      <c r="K975" s="22" t="n">
        <f aca="false">ROUNDUP(J975,0)</f>
        <v>51</v>
      </c>
      <c r="L975" s="22" t="n">
        <f aca="false">MAX(D975,K975)</f>
        <v>51</v>
      </c>
      <c r="M975" s="25" t="n">
        <f aca="false">IF(E975="COVERED",'Controls &amp; Sources'!$B$5,'Controls &amp; Sources'!$B$6)</f>
        <v>7.55</v>
      </c>
      <c r="N975" s="25" t="n">
        <f aca="false">L975*M975</f>
        <v>385.05</v>
      </c>
      <c r="O975" s="22" t="n">
        <f aca="false">COUNTIFS('Billing Actual'!$E$2:$E$770,A975,'Billing Actual'!$B$2:$B$770,'Controls &amp; Sources'!$B$7)</f>
        <v>0</v>
      </c>
      <c r="P975" s="25" t="n">
        <f aca="false">SUMIFS('Billing Actual'!$M$2:$M$770,'Billing Actual'!$E$2:$E$770,A975,'Billing Actual'!$B$2:$B$770,'Controls &amp; Sources'!$B$7)</f>
        <v>0</v>
      </c>
      <c r="Q975" s="25" t="n">
        <f aca="false">P975-N975</f>
        <v>-385.05</v>
      </c>
      <c r="R975" s="22" t="str">
        <f aca="false">IF(O975=0,"No August moorage transaction",IF(O975&gt;1,"Duplicate August transactions",IF(ABS(Q975)&gt;0.005,"Charge variance","OK")))</f>
        <v>No August moorage transaction</v>
      </c>
      <c r="S975" s="22" t="str">
        <f aca="false">IF(R975="OK","","Billing completeness/reconciliation")</f>
        <v>Billing completeness/reconciliation</v>
      </c>
    </row>
    <row r="976" customFormat="false" ht="15" hidden="false" customHeight="false" outlineLevel="0" collapsed="false">
      <c r="A976" s="22" t="s">
        <v>8433</v>
      </c>
      <c r="B976" s="22" t="s">
        <v>188</v>
      </c>
      <c r="C976" s="22" t="s">
        <v>7694</v>
      </c>
      <c r="D976" s="22" t="n">
        <v>40</v>
      </c>
      <c r="E976" s="22" t="s">
        <v>7696</v>
      </c>
      <c r="F976" s="22" t="s">
        <v>6577</v>
      </c>
      <c r="G976" s="22" t="s">
        <v>2111</v>
      </c>
      <c r="H976" s="22" t="s">
        <v>2112</v>
      </c>
      <c r="I976" s="22" t="s">
        <v>2113</v>
      </c>
      <c r="J976" s="22" t="n">
        <v>28.6</v>
      </c>
      <c r="K976" s="22" t="n">
        <f aca="false">ROUNDUP(J976,0)</f>
        <v>29</v>
      </c>
      <c r="L976" s="22" t="n">
        <f aca="false">MAX(D976,K976)</f>
        <v>40</v>
      </c>
      <c r="M976" s="25" t="n">
        <f aca="false">IF(E976="COVERED",'Controls &amp; Sources'!$B$5,'Controls &amp; Sources'!$B$6)</f>
        <v>7.55</v>
      </c>
      <c r="N976" s="25" t="n">
        <f aca="false">L976*M976</f>
        <v>302</v>
      </c>
      <c r="O976" s="22" t="n">
        <f aca="false">COUNTIFS('Billing Actual'!$E$2:$E$770,A976,'Billing Actual'!$B$2:$B$770,'Controls &amp; Sources'!$B$7)</f>
        <v>0</v>
      </c>
      <c r="P976" s="25" t="n">
        <f aca="false">SUMIFS('Billing Actual'!$M$2:$M$770,'Billing Actual'!$E$2:$E$770,A976,'Billing Actual'!$B$2:$B$770,'Controls &amp; Sources'!$B$7)</f>
        <v>0</v>
      </c>
      <c r="Q976" s="25" t="n">
        <f aca="false">P976-N976</f>
        <v>-302</v>
      </c>
      <c r="R976" s="22" t="str">
        <f aca="false">IF(O976=0,"No August moorage transaction",IF(O976&gt;1,"Duplicate August transactions",IF(ABS(Q976)&gt;0.005,"Charge variance","OK")))</f>
        <v>No August moorage transaction</v>
      </c>
      <c r="S976" s="22" t="str">
        <f aca="false">IF(R976="OK","","Billing completeness/reconciliation")</f>
        <v>Billing completeness/reconciliation</v>
      </c>
    </row>
    <row r="977" customFormat="false" ht="15" hidden="false" customHeight="false" outlineLevel="0" collapsed="false">
      <c r="A977" s="22" t="s">
        <v>8435</v>
      </c>
      <c r="B977" s="22" t="s">
        <v>188</v>
      </c>
      <c r="C977" s="22" t="s">
        <v>7694</v>
      </c>
      <c r="D977" s="22" t="n">
        <v>24</v>
      </c>
      <c r="E977" s="22" t="s">
        <v>7696</v>
      </c>
      <c r="F977" s="22" t="s">
        <v>6577</v>
      </c>
      <c r="G977" s="22" t="s">
        <v>2130</v>
      </c>
      <c r="H977" s="22" t="s">
        <v>2131</v>
      </c>
      <c r="I977" s="22" t="s">
        <v>257</v>
      </c>
      <c r="J977" s="22" t="n">
        <v>31.4</v>
      </c>
      <c r="K977" s="22" t="n">
        <f aca="false">ROUNDUP(J977,0)</f>
        <v>32</v>
      </c>
      <c r="L977" s="22" t="n">
        <f aca="false">MAX(D977,K977)</f>
        <v>32</v>
      </c>
      <c r="M977" s="25" t="n">
        <f aca="false">IF(E977="COVERED",'Controls &amp; Sources'!$B$5,'Controls &amp; Sources'!$B$6)</f>
        <v>7.55</v>
      </c>
      <c r="N977" s="25" t="n">
        <f aca="false">L977*M977</f>
        <v>241.6</v>
      </c>
      <c r="O977" s="22" t="n">
        <f aca="false">COUNTIFS('Billing Actual'!$E$2:$E$770,A977,'Billing Actual'!$B$2:$B$770,'Controls &amp; Sources'!$B$7)</f>
        <v>0</v>
      </c>
      <c r="P977" s="25" t="n">
        <f aca="false">SUMIFS('Billing Actual'!$M$2:$M$770,'Billing Actual'!$E$2:$E$770,A977,'Billing Actual'!$B$2:$B$770,'Controls &amp; Sources'!$B$7)</f>
        <v>0</v>
      </c>
      <c r="Q977" s="25" t="n">
        <f aca="false">P977-N977</f>
        <v>-241.6</v>
      </c>
      <c r="R977" s="22" t="str">
        <f aca="false">IF(O977=0,"No August moorage transaction",IF(O977&gt;1,"Duplicate August transactions",IF(ABS(Q977)&gt;0.005,"Charge variance","OK")))</f>
        <v>No August moorage transaction</v>
      </c>
      <c r="S977" s="22" t="str">
        <f aca="false">IF(R977="OK","","Billing completeness/reconciliation")</f>
        <v>Billing completeness/reconciliation</v>
      </c>
    </row>
    <row r="978" customFormat="false" ht="15" hidden="false" customHeight="false" outlineLevel="0" collapsed="false">
      <c r="A978" s="22" t="s">
        <v>8436</v>
      </c>
      <c r="B978" s="22" t="s">
        <v>188</v>
      </c>
      <c r="C978" s="22" t="s">
        <v>7694</v>
      </c>
      <c r="D978" s="22" t="n">
        <v>24</v>
      </c>
      <c r="E978" s="22" t="s">
        <v>7696</v>
      </c>
      <c r="F978" s="22" t="s">
        <v>6577</v>
      </c>
      <c r="G978" s="22" t="s">
        <v>3796</v>
      </c>
      <c r="H978" s="22" t="s">
        <v>3797</v>
      </c>
      <c r="I978" s="22" t="s">
        <v>752</v>
      </c>
      <c r="J978" s="22" t="n">
        <v>28.3</v>
      </c>
      <c r="K978" s="22" t="n">
        <f aca="false">ROUNDUP(J978,0)</f>
        <v>29</v>
      </c>
      <c r="L978" s="22" t="n">
        <f aca="false">MAX(D978,K978)</f>
        <v>29</v>
      </c>
      <c r="M978" s="25" t="n">
        <f aca="false">IF(E978="COVERED",'Controls &amp; Sources'!$B$5,'Controls &amp; Sources'!$B$6)</f>
        <v>7.55</v>
      </c>
      <c r="N978" s="25" t="n">
        <f aca="false">L978*M978</f>
        <v>218.95</v>
      </c>
      <c r="O978" s="22" t="n">
        <f aca="false">COUNTIFS('Billing Actual'!$E$2:$E$770,A978,'Billing Actual'!$B$2:$B$770,'Controls &amp; Sources'!$B$7)</f>
        <v>0</v>
      </c>
      <c r="P978" s="25" t="n">
        <f aca="false">SUMIFS('Billing Actual'!$M$2:$M$770,'Billing Actual'!$E$2:$E$770,A978,'Billing Actual'!$B$2:$B$770,'Controls &amp; Sources'!$B$7)</f>
        <v>0</v>
      </c>
      <c r="Q978" s="25" t="n">
        <f aca="false">P978-N978</f>
        <v>-218.95</v>
      </c>
      <c r="R978" s="22" t="str">
        <f aca="false">IF(O978=0,"No August moorage transaction",IF(O978&gt;1,"Duplicate August transactions",IF(ABS(Q978)&gt;0.005,"Charge variance","OK")))</f>
        <v>No August moorage transaction</v>
      </c>
      <c r="S978" s="22" t="str">
        <f aca="false">IF(R978="OK","","Billing completeness/reconciliation")</f>
        <v>Billing completeness/reconciliation</v>
      </c>
    </row>
    <row r="979" customFormat="false" ht="15" hidden="false" customHeight="false" outlineLevel="0" collapsed="false">
      <c r="A979" s="22" t="s">
        <v>8438</v>
      </c>
      <c r="B979" s="22" t="s">
        <v>188</v>
      </c>
      <c r="C979" s="22" t="s">
        <v>7694</v>
      </c>
      <c r="D979" s="22" t="n">
        <v>70</v>
      </c>
      <c r="E979" s="22" t="s">
        <v>7696</v>
      </c>
      <c r="F979" s="22" t="s">
        <v>6577</v>
      </c>
      <c r="G979" s="22" t="s">
        <v>5428</v>
      </c>
      <c r="H979" s="22" t="s">
        <v>5429</v>
      </c>
      <c r="I979" s="22" t="s">
        <v>930</v>
      </c>
      <c r="J979" s="22" t="n">
        <v>53.3</v>
      </c>
      <c r="K979" s="22" t="n">
        <f aca="false">ROUNDUP(J979,0)</f>
        <v>54</v>
      </c>
      <c r="L979" s="22" t="n">
        <f aca="false">MAX(D979,K979)</f>
        <v>70</v>
      </c>
      <c r="M979" s="25" t="n">
        <f aca="false">IF(E979="COVERED",'Controls &amp; Sources'!$B$5,'Controls &amp; Sources'!$B$6)</f>
        <v>7.55</v>
      </c>
      <c r="N979" s="25" t="n">
        <f aca="false">L979*M979</f>
        <v>528.5</v>
      </c>
      <c r="O979" s="22" t="n">
        <f aca="false">COUNTIFS('Billing Actual'!$E$2:$E$770,A979,'Billing Actual'!$B$2:$B$770,'Controls &amp; Sources'!$B$7)</f>
        <v>0</v>
      </c>
      <c r="P979" s="25" t="n">
        <f aca="false">SUMIFS('Billing Actual'!$M$2:$M$770,'Billing Actual'!$E$2:$E$770,A979,'Billing Actual'!$B$2:$B$770,'Controls &amp; Sources'!$B$7)</f>
        <v>0</v>
      </c>
      <c r="Q979" s="25" t="n">
        <f aca="false">P979-N979</f>
        <v>-528.5</v>
      </c>
      <c r="R979" s="22" t="str">
        <f aca="false">IF(O979=0,"No August moorage transaction",IF(O979&gt;1,"Duplicate August transactions",IF(ABS(Q979)&gt;0.005,"Charge variance","OK")))</f>
        <v>No August moorage transaction</v>
      </c>
      <c r="S979" s="22" t="str">
        <f aca="false">IF(R979="OK","","Billing completeness/reconciliation")</f>
        <v>Billing completeness/reconciliation</v>
      </c>
    </row>
    <row r="980" customFormat="false" ht="15" hidden="false" customHeight="false" outlineLevel="0" collapsed="false">
      <c r="A980" s="22" t="s">
        <v>8439</v>
      </c>
      <c r="B980" s="22" t="s">
        <v>188</v>
      </c>
      <c r="C980" s="22" t="s">
        <v>7694</v>
      </c>
      <c r="D980" s="22" t="n">
        <v>45</v>
      </c>
      <c r="E980" s="22" t="s">
        <v>7696</v>
      </c>
      <c r="F980" s="22" t="s">
        <v>6577</v>
      </c>
      <c r="G980" s="22" t="s">
        <v>862</v>
      </c>
      <c r="H980" s="22" t="s">
        <v>863</v>
      </c>
      <c r="I980" s="22" t="s">
        <v>698</v>
      </c>
      <c r="J980" s="22" t="n">
        <v>27.8</v>
      </c>
      <c r="K980" s="22" t="n">
        <f aca="false">ROUNDUP(J980,0)</f>
        <v>28</v>
      </c>
      <c r="L980" s="22" t="n">
        <f aca="false">MAX(D980,K980)</f>
        <v>45</v>
      </c>
      <c r="M980" s="25" t="n">
        <f aca="false">IF(E980="COVERED",'Controls &amp; Sources'!$B$5,'Controls &amp; Sources'!$B$6)</f>
        <v>7.55</v>
      </c>
      <c r="N980" s="25" t="n">
        <f aca="false">L980*M980</f>
        <v>339.75</v>
      </c>
      <c r="O980" s="22" t="n">
        <f aca="false">COUNTIFS('Billing Actual'!$E$2:$E$770,A980,'Billing Actual'!$B$2:$B$770,'Controls &amp; Sources'!$B$7)</f>
        <v>0</v>
      </c>
      <c r="P980" s="25" t="n">
        <f aca="false">SUMIFS('Billing Actual'!$M$2:$M$770,'Billing Actual'!$E$2:$E$770,A980,'Billing Actual'!$B$2:$B$770,'Controls &amp; Sources'!$B$7)</f>
        <v>0</v>
      </c>
      <c r="Q980" s="25" t="n">
        <f aca="false">P980-N980</f>
        <v>-339.75</v>
      </c>
      <c r="R980" s="22" t="str">
        <f aca="false">IF(O980=0,"No August moorage transaction",IF(O980&gt;1,"Duplicate August transactions",IF(ABS(Q980)&gt;0.005,"Charge variance","OK")))</f>
        <v>No August moorage transaction</v>
      </c>
      <c r="S980" s="22" t="str">
        <f aca="false">IF(R980="OK","","Billing completeness/reconciliation")</f>
        <v>Billing completeness/reconciliation</v>
      </c>
    </row>
    <row r="981" customFormat="false" ht="15" hidden="false" customHeight="false" outlineLevel="0" collapsed="false">
      <c r="A981" s="22" t="s">
        <v>8440</v>
      </c>
      <c r="B981" s="22" t="s">
        <v>188</v>
      </c>
      <c r="C981" s="22" t="s">
        <v>7694</v>
      </c>
      <c r="D981" s="22" t="n">
        <v>32</v>
      </c>
      <c r="E981" s="22" t="s">
        <v>7696</v>
      </c>
      <c r="F981" s="22" t="s">
        <v>6577</v>
      </c>
      <c r="G981" s="22" t="s">
        <v>2128</v>
      </c>
      <c r="H981" s="22" t="s">
        <v>2129</v>
      </c>
      <c r="I981" s="22" t="s">
        <v>1780</v>
      </c>
      <c r="J981" s="22" t="n">
        <v>59.1</v>
      </c>
      <c r="K981" s="22" t="n">
        <f aca="false">ROUNDUP(J981,0)</f>
        <v>60</v>
      </c>
      <c r="L981" s="22" t="n">
        <f aca="false">MAX(D981,K981)</f>
        <v>60</v>
      </c>
      <c r="M981" s="25" t="n">
        <f aca="false">IF(E981="COVERED",'Controls &amp; Sources'!$B$5,'Controls &amp; Sources'!$B$6)</f>
        <v>7.55</v>
      </c>
      <c r="N981" s="25" t="n">
        <f aca="false">L981*M981</f>
        <v>453</v>
      </c>
      <c r="O981" s="22" t="n">
        <f aca="false">COUNTIFS('Billing Actual'!$E$2:$E$770,A981,'Billing Actual'!$B$2:$B$770,'Controls &amp; Sources'!$B$7)</f>
        <v>0</v>
      </c>
      <c r="P981" s="25" t="n">
        <f aca="false">SUMIFS('Billing Actual'!$M$2:$M$770,'Billing Actual'!$E$2:$E$770,A981,'Billing Actual'!$B$2:$B$770,'Controls &amp; Sources'!$B$7)</f>
        <v>0</v>
      </c>
      <c r="Q981" s="25" t="n">
        <f aca="false">P981-N981</f>
        <v>-453</v>
      </c>
      <c r="R981" s="22" t="str">
        <f aca="false">IF(O981=0,"No August moorage transaction",IF(O981&gt;1,"Duplicate August transactions",IF(ABS(Q981)&gt;0.005,"Charge variance","OK")))</f>
        <v>No August moorage transaction</v>
      </c>
      <c r="S981" s="22" t="str">
        <f aca="false">IF(R981="OK","","Billing completeness/reconciliation")</f>
        <v>Billing completeness/reconciliation</v>
      </c>
    </row>
    <row r="982" customFormat="false" ht="15" hidden="false" customHeight="false" outlineLevel="0" collapsed="false">
      <c r="A982" s="22" t="s">
        <v>8441</v>
      </c>
      <c r="B982" s="22" t="s">
        <v>188</v>
      </c>
      <c r="C982" s="22" t="s">
        <v>7694</v>
      </c>
      <c r="D982" s="22" t="n">
        <v>28</v>
      </c>
      <c r="E982" s="22" t="s">
        <v>7696</v>
      </c>
      <c r="F982" s="22" t="s">
        <v>6577</v>
      </c>
      <c r="G982" s="22" t="s">
        <v>5820</v>
      </c>
      <c r="H982" s="22" t="s">
        <v>5821</v>
      </c>
      <c r="I982" s="22" t="s">
        <v>871</v>
      </c>
      <c r="J982" s="22" t="n">
        <v>41.5</v>
      </c>
      <c r="K982" s="22" t="n">
        <f aca="false">ROUNDUP(J982,0)</f>
        <v>42</v>
      </c>
      <c r="L982" s="22" t="n">
        <f aca="false">MAX(D982,K982)</f>
        <v>42</v>
      </c>
      <c r="M982" s="25" t="n">
        <f aca="false">IF(E982="COVERED",'Controls &amp; Sources'!$B$5,'Controls &amp; Sources'!$B$6)</f>
        <v>7.55</v>
      </c>
      <c r="N982" s="25" t="n">
        <f aca="false">L982*M982</f>
        <v>317.1</v>
      </c>
      <c r="O982" s="22" t="n">
        <f aca="false">COUNTIFS('Billing Actual'!$E$2:$E$770,A982,'Billing Actual'!$B$2:$B$770,'Controls &amp; Sources'!$B$7)</f>
        <v>0</v>
      </c>
      <c r="P982" s="25" t="n">
        <f aca="false">SUMIFS('Billing Actual'!$M$2:$M$770,'Billing Actual'!$E$2:$E$770,A982,'Billing Actual'!$B$2:$B$770,'Controls &amp; Sources'!$B$7)</f>
        <v>0</v>
      </c>
      <c r="Q982" s="25" t="n">
        <f aca="false">P982-N982</f>
        <v>-317.1</v>
      </c>
      <c r="R982" s="22" t="str">
        <f aca="false">IF(O982=0,"No August moorage transaction",IF(O982&gt;1,"Duplicate August transactions",IF(ABS(Q982)&gt;0.005,"Charge variance","OK")))</f>
        <v>No August moorage transaction</v>
      </c>
      <c r="S982" s="22" t="str">
        <f aca="false">IF(R982="OK","","Billing completeness/reconciliation")</f>
        <v>Billing completeness/reconciliation</v>
      </c>
    </row>
    <row r="983" customFormat="false" ht="15" hidden="false" customHeight="false" outlineLevel="0" collapsed="false">
      <c r="A983" s="22" t="s">
        <v>8442</v>
      </c>
      <c r="B983" s="22" t="s">
        <v>188</v>
      </c>
      <c r="C983" s="22" t="s">
        <v>7694</v>
      </c>
      <c r="D983" s="22" t="n">
        <v>28</v>
      </c>
      <c r="E983" s="22" t="s">
        <v>7696</v>
      </c>
      <c r="F983" s="22" t="s">
        <v>6577</v>
      </c>
      <c r="G983" s="22" t="s">
        <v>5387</v>
      </c>
      <c r="H983" s="22" t="s">
        <v>5388</v>
      </c>
      <c r="I983" s="22" t="s">
        <v>2723</v>
      </c>
      <c r="J983" s="22" t="n">
        <v>41.9</v>
      </c>
      <c r="K983" s="22" t="n">
        <f aca="false">ROUNDUP(J983,0)</f>
        <v>42</v>
      </c>
      <c r="L983" s="22" t="n">
        <f aca="false">MAX(D983,K983)</f>
        <v>42</v>
      </c>
      <c r="M983" s="25" t="n">
        <f aca="false">IF(E983="COVERED",'Controls &amp; Sources'!$B$5,'Controls &amp; Sources'!$B$6)</f>
        <v>7.55</v>
      </c>
      <c r="N983" s="25" t="n">
        <f aca="false">L983*M983</f>
        <v>317.1</v>
      </c>
      <c r="O983" s="22" t="n">
        <f aca="false">COUNTIFS('Billing Actual'!$E$2:$E$770,A983,'Billing Actual'!$B$2:$B$770,'Controls &amp; Sources'!$B$7)</f>
        <v>0</v>
      </c>
      <c r="P983" s="25" t="n">
        <f aca="false">SUMIFS('Billing Actual'!$M$2:$M$770,'Billing Actual'!$E$2:$E$770,A983,'Billing Actual'!$B$2:$B$770,'Controls &amp; Sources'!$B$7)</f>
        <v>0</v>
      </c>
      <c r="Q983" s="25" t="n">
        <f aca="false">P983-N983</f>
        <v>-317.1</v>
      </c>
      <c r="R983" s="22" t="str">
        <f aca="false">IF(O983=0,"No August moorage transaction",IF(O983&gt;1,"Duplicate August transactions",IF(ABS(Q983)&gt;0.005,"Charge variance","OK")))</f>
        <v>No August moorage transaction</v>
      </c>
      <c r="S983" s="22" t="str">
        <f aca="false">IF(R983="OK","","Billing completeness/reconciliation")</f>
        <v>Billing completeness/reconciliation</v>
      </c>
    </row>
    <row r="984" customFormat="false" ht="15" hidden="false" customHeight="false" outlineLevel="0" collapsed="false">
      <c r="A984" s="22" t="s">
        <v>8444</v>
      </c>
      <c r="B984" s="22" t="s">
        <v>188</v>
      </c>
      <c r="C984" s="22" t="s">
        <v>7694</v>
      </c>
      <c r="D984" s="22" t="n">
        <v>45</v>
      </c>
      <c r="E984" s="22" t="s">
        <v>7696</v>
      </c>
      <c r="F984" s="22" t="s">
        <v>6577</v>
      </c>
      <c r="G984" s="22" t="s">
        <v>5881</v>
      </c>
      <c r="H984" s="22" t="s">
        <v>5882</v>
      </c>
      <c r="I984" s="22" t="s">
        <v>642</v>
      </c>
      <c r="J984" s="22" t="n">
        <v>38.2</v>
      </c>
      <c r="K984" s="22" t="n">
        <f aca="false">ROUNDUP(J984,0)</f>
        <v>39</v>
      </c>
      <c r="L984" s="22" t="n">
        <f aca="false">MAX(D984,K984)</f>
        <v>45</v>
      </c>
      <c r="M984" s="25" t="n">
        <f aca="false">IF(E984="COVERED",'Controls &amp; Sources'!$B$5,'Controls &amp; Sources'!$B$6)</f>
        <v>7.55</v>
      </c>
      <c r="N984" s="25" t="n">
        <f aca="false">L984*M984</f>
        <v>339.75</v>
      </c>
      <c r="O984" s="22" t="n">
        <f aca="false">COUNTIFS('Billing Actual'!$E$2:$E$770,A984,'Billing Actual'!$B$2:$B$770,'Controls &amp; Sources'!$B$7)</f>
        <v>0</v>
      </c>
      <c r="P984" s="25" t="n">
        <f aca="false">SUMIFS('Billing Actual'!$M$2:$M$770,'Billing Actual'!$E$2:$E$770,A984,'Billing Actual'!$B$2:$B$770,'Controls &amp; Sources'!$B$7)</f>
        <v>0</v>
      </c>
      <c r="Q984" s="25" t="n">
        <f aca="false">P984-N984</f>
        <v>-339.75</v>
      </c>
      <c r="R984" s="22" t="str">
        <f aca="false">IF(O984=0,"No August moorage transaction",IF(O984&gt;1,"Duplicate August transactions",IF(ABS(Q984)&gt;0.005,"Charge variance","OK")))</f>
        <v>No August moorage transaction</v>
      </c>
      <c r="S984" s="22" t="str">
        <f aca="false">IF(R984="OK","","Billing completeness/reconciliation")</f>
        <v>Billing completeness/reconciliation</v>
      </c>
    </row>
    <row r="985" customFormat="false" ht="15" hidden="false" customHeight="false" outlineLevel="0" collapsed="false">
      <c r="A985" s="22" t="s">
        <v>8445</v>
      </c>
      <c r="B985" s="22" t="s">
        <v>188</v>
      </c>
      <c r="C985" s="22" t="s">
        <v>7694</v>
      </c>
      <c r="D985" s="22" t="n">
        <v>32</v>
      </c>
      <c r="E985" s="22" t="s">
        <v>7696</v>
      </c>
      <c r="F985" s="22" t="s">
        <v>6577</v>
      </c>
      <c r="G985" s="22" t="s">
        <v>4888</v>
      </c>
      <c r="H985" s="22" t="s">
        <v>4889</v>
      </c>
      <c r="I985" s="22" t="s">
        <v>2972</v>
      </c>
      <c r="J985" s="22" t="n">
        <v>48.2</v>
      </c>
      <c r="K985" s="22" t="n">
        <f aca="false">ROUNDUP(J985,0)</f>
        <v>49</v>
      </c>
      <c r="L985" s="22" t="n">
        <f aca="false">MAX(D985,K985)</f>
        <v>49</v>
      </c>
      <c r="M985" s="25" t="n">
        <f aca="false">IF(E985="COVERED",'Controls &amp; Sources'!$B$5,'Controls &amp; Sources'!$B$6)</f>
        <v>7.55</v>
      </c>
      <c r="N985" s="25" t="n">
        <f aca="false">L985*M985</f>
        <v>369.95</v>
      </c>
      <c r="O985" s="22" t="n">
        <f aca="false">COUNTIFS('Billing Actual'!$E$2:$E$770,A985,'Billing Actual'!$B$2:$B$770,'Controls &amp; Sources'!$B$7)</f>
        <v>0</v>
      </c>
      <c r="P985" s="25" t="n">
        <f aca="false">SUMIFS('Billing Actual'!$M$2:$M$770,'Billing Actual'!$E$2:$E$770,A985,'Billing Actual'!$B$2:$B$770,'Controls &amp; Sources'!$B$7)</f>
        <v>0</v>
      </c>
      <c r="Q985" s="25" t="n">
        <f aca="false">P985-N985</f>
        <v>-369.95</v>
      </c>
      <c r="R985" s="22" t="str">
        <f aca="false">IF(O985=0,"No August moorage transaction",IF(O985&gt;1,"Duplicate August transactions",IF(ABS(Q985)&gt;0.005,"Charge variance","OK")))</f>
        <v>No August moorage transaction</v>
      </c>
      <c r="S985" s="22" t="str">
        <f aca="false">IF(R985="OK","","Billing completeness/reconciliation")</f>
        <v>Billing completeness/reconciliation</v>
      </c>
    </row>
    <row r="986" customFormat="false" ht="15" hidden="false" customHeight="false" outlineLevel="0" collapsed="false">
      <c r="A986" s="22" t="s">
        <v>8447</v>
      </c>
      <c r="B986" s="22" t="s">
        <v>188</v>
      </c>
      <c r="C986" s="22" t="s">
        <v>7694</v>
      </c>
      <c r="D986" s="22" t="n">
        <v>32</v>
      </c>
      <c r="E986" s="22" t="s">
        <v>7696</v>
      </c>
      <c r="F986" s="22" t="s">
        <v>6577</v>
      </c>
      <c r="G986" s="22" t="s">
        <v>5685</v>
      </c>
      <c r="H986" s="22" t="s">
        <v>5686</v>
      </c>
      <c r="I986" s="22" t="s">
        <v>4141</v>
      </c>
      <c r="J986" s="22" t="n">
        <v>61.2</v>
      </c>
      <c r="K986" s="22" t="n">
        <f aca="false">ROUNDUP(J986,0)</f>
        <v>62</v>
      </c>
      <c r="L986" s="22" t="n">
        <f aca="false">MAX(D986,K986)</f>
        <v>62</v>
      </c>
      <c r="M986" s="25" t="n">
        <f aca="false">IF(E986="COVERED",'Controls &amp; Sources'!$B$5,'Controls &amp; Sources'!$B$6)</f>
        <v>7.55</v>
      </c>
      <c r="N986" s="25" t="n">
        <f aca="false">L986*M986</f>
        <v>468.1</v>
      </c>
      <c r="O986" s="22" t="n">
        <f aca="false">COUNTIFS('Billing Actual'!$E$2:$E$770,A986,'Billing Actual'!$B$2:$B$770,'Controls &amp; Sources'!$B$7)</f>
        <v>0</v>
      </c>
      <c r="P986" s="25" t="n">
        <f aca="false">SUMIFS('Billing Actual'!$M$2:$M$770,'Billing Actual'!$E$2:$E$770,A986,'Billing Actual'!$B$2:$B$770,'Controls &amp; Sources'!$B$7)</f>
        <v>0</v>
      </c>
      <c r="Q986" s="25" t="n">
        <f aca="false">P986-N986</f>
        <v>-468.1</v>
      </c>
      <c r="R986" s="22" t="str">
        <f aca="false">IF(O986=0,"No August moorage transaction",IF(O986&gt;1,"Duplicate August transactions",IF(ABS(Q986)&gt;0.005,"Charge variance","OK")))</f>
        <v>No August moorage transaction</v>
      </c>
      <c r="S986" s="22" t="str">
        <f aca="false">IF(R986="OK","","Billing completeness/reconciliation")</f>
        <v>Billing completeness/reconciliation</v>
      </c>
    </row>
    <row r="987" customFormat="false" ht="15" hidden="false" customHeight="false" outlineLevel="0" collapsed="false">
      <c r="A987" s="22" t="s">
        <v>8448</v>
      </c>
      <c r="B987" s="22" t="s">
        <v>188</v>
      </c>
      <c r="C987" s="22" t="s">
        <v>7694</v>
      </c>
      <c r="D987" s="22" t="n">
        <v>60</v>
      </c>
      <c r="E987" s="22" t="s">
        <v>7696</v>
      </c>
      <c r="F987" s="22" t="s">
        <v>6577</v>
      </c>
      <c r="G987" s="22" t="s">
        <v>3815</v>
      </c>
      <c r="H987" s="22" t="s">
        <v>3816</v>
      </c>
      <c r="I987" s="22" t="s">
        <v>2972</v>
      </c>
      <c r="J987" s="22" t="n">
        <v>48.4</v>
      </c>
      <c r="K987" s="22" t="n">
        <f aca="false">ROUNDUP(J987,0)</f>
        <v>49</v>
      </c>
      <c r="L987" s="22" t="n">
        <f aca="false">MAX(D987,K987)</f>
        <v>60</v>
      </c>
      <c r="M987" s="25" t="n">
        <f aca="false">IF(E987="COVERED",'Controls &amp; Sources'!$B$5,'Controls &amp; Sources'!$B$6)</f>
        <v>7.55</v>
      </c>
      <c r="N987" s="25" t="n">
        <f aca="false">L987*M987</f>
        <v>453</v>
      </c>
      <c r="O987" s="22" t="n">
        <f aca="false">COUNTIFS('Billing Actual'!$E$2:$E$770,A987,'Billing Actual'!$B$2:$B$770,'Controls &amp; Sources'!$B$7)</f>
        <v>0</v>
      </c>
      <c r="P987" s="25" t="n">
        <f aca="false">SUMIFS('Billing Actual'!$M$2:$M$770,'Billing Actual'!$E$2:$E$770,A987,'Billing Actual'!$B$2:$B$770,'Controls &amp; Sources'!$B$7)</f>
        <v>0</v>
      </c>
      <c r="Q987" s="25" t="n">
        <f aca="false">P987-N987</f>
        <v>-453</v>
      </c>
      <c r="R987" s="22" t="str">
        <f aca="false">IF(O987=0,"No August moorage transaction",IF(O987&gt;1,"Duplicate August transactions",IF(ABS(Q987)&gt;0.005,"Charge variance","OK")))</f>
        <v>No August moorage transaction</v>
      </c>
      <c r="S987" s="22" t="str">
        <f aca="false">IF(R987="OK","","Billing completeness/reconciliation")</f>
        <v>Billing completeness/reconciliation</v>
      </c>
    </row>
    <row r="988" customFormat="false" ht="15" hidden="false" customHeight="false" outlineLevel="0" collapsed="false">
      <c r="A988" s="22" t="s">
        <v>8449</v>
      </c>
      <c r="B988" s="22" t="s">
        <v>188</v>
      </c>
      <c r="C988" s="22" t="s">
        <v>7694</v>
      </c>
      <c r="D988" s="22" t="n">
        <v>24</v>
      </c>
      <c r="E988" s="22" t="s">
        <v>7696</v>
      </c>
      <c r="F988" s="22" t="s">
        <v>6577</v>
      </c>
      <c r="G988" s="22" t="s">
        <v>3403</v>
      </c>
      <c r="H988" s="22" t="s">
        <v>3404</v>
      </c>
      <c r="I988" s="22" t="s">
        <v>227</v>
      </c>
      <c r="J988" s="22" t="n">
        <v>26.5</v>
      </c>
      <c r="K988" s="22" t="n">
        <f aca="false">ROUNDUP(J988,0)</f>
        <v>27</v>
      </c>
      <c r="L988" s="22" t="n">
        <f aca="false">MAX(D988,K988)</f>
        <v>27</v>
      </c>
      <c r="M988" s="25" t="n">
        <f aca="false">IF(E988="COVERED",'Controls &amp; Sources'!$B$5,'Controls &amp; Sources'!$B$6)</f>
        <v>7.55</v>
      </c>
      <c r="N988" s="25" t="n">
        <f aca="false">L988*M988</f>
        <v>203.85</v>
      </c>
      <c r="O988" s="22" t="n">
        <f aca="false">COUNTIFS('Billing Actual'!$E$2:$E$770,A988,'Billing Actual'!$B$2:$B$770,'Controls &amp; Sources'!$B$7)</f>
        <v>0</v>
      </c>
      <c r="P988" s="25" t="n">
        <f aca="false">SUMIFS('Billing Actual'!$M$2:$M$770,'Billing Actual'!$E$2:$E$770,A988,'Billing Actual'!$B$2:$B$770,'Controls &amp; Sources'!$B$7)</f>
        <v>0</v>
      </c>
      <c r="Q988" s="25" t="n">
        <f aca="false">P988-N988</f>
        <v>-203.85</v>
      </c>
      <c r="R988" s="22" t="str">
        <f aca="false">IF(O988=0,"No August moorage transaction",IF(O988&gt;1,"Duplicate August transactions",IF(ABS(Q988)&gt;0.005,"Charge variance","OK")))</f>
        <v>No August moorage transaction</v>
      </c>
      <c r="S988" s="22" t="str">
        <f aca="false">IF(R988="OK","","Billing completeness/reconciliation")</f>
        <v>Billing completeness/reconciliation</v>
      </c>
    </row>
    <row r="989" customFormat="false" ht="15" hidden="false" customHeight="false" outlineLevel="0" collapsed="false">
      <c r="A989" s="22" t="s">
        <v>8450</v>
      </c>
      <c r="B989" s="22" t="s">
        <v>188</v>
      </c>
      <c r="C989" s="22" t="s">
        <v>7694</v>
      </c>
      <c r="D989" s="22" t="n">
        <v>80</v>
      </c>
      <c r="E989" s="22" t="s">
        <v>7696</v>
      </c>
      <c r="F989" s="22" t="s">
        <v>6577</v>
      </c>
      <c r="G989" s="22" t="s">
        <v>5950</v>
      </c>
      <c r="H989" s="22" t="s">
        <v>5951</v>
      </c>
      <c r="I989" s="22" t="s">
        <v>257</v>
      </c>
      <c r="J989" s="22" t="n">
        <v>53.2</v>
      </c>
      <c r="K989" s="22" t="n">
        <f aca="false">ROUNDUP(J989,0)</f>
        <v>54</v>
      </c>
      <c r="L989" s="22" t="n">
        <f aca="false">MAX(D989,K989)</f>
        <v>80</v>
      </c>
      <c r="M989" s="25" t="n">
        <f aca="false">IF(E989="COVERED",'Controls &amp; Sources'!$B$5,'Controls &amp; Sources'!$B$6)</f>
        <v>7.55</v>
      </c>
      <c r="N989" s="25" t="n">
        <f aca="false">L989*M989</f>
        <v>604</v>
      </c>
      <c r="O989" s="22" t="n">
        <f aca="false">COUNTIFS('Billing Actual'!$E$2:$E$770,A989,'Billing Actual'!$B$2:$B$770,'Controls &amp; Sources'!$B$7)</f>
        <v>0</v>
      </c>
      <c r="P989" s="25" t="n">
        <f aca="false">SUMIFS('Billing Actual'!$M$2:$M$770,'Billing Actual'!$E$2:$E$770,A989,'Billing Actual'!$B$2:$B$770,'Controls &amp; Sources'!$B$7)</f>
        <v>0</v>
      </c>
      <c r="Q989" s="25" t="n">
        <f aca="false">P989-N989</f>
        <v>-604</v>
      </c>
      <c r="R989" s="22" t="str">
        <f aca="false">IF(O989=0,"No August moorage transaction",IF(O989&gt;1,"Duplicate August transactions",IF(ABS(Q989)&gt;0.005,"Charge variance","OK")))</f>
        <v>No August moorage transaction</v>
      </c>
      <c r="S989" s="22" t="str">
        <f aca="false">IF(R989="OK","","Billing completeness/reconciliation")</f>
        <v>Billing completeness/reconciliation</v>
      </c>
    </row>
    <row r="990" customFormat="false" ht="15" hidden="false" customHeight="false" outlineLevel="0" collapsed="false">
      <c r="A990" s="22" t="s">
        <v>8452</v>
      </c>
      <c r="B990" s="22" t="s">
        <v>188</v>
      </c>
      <c r="C990" s="22" t="s">
        <v>7694</v>
      </c>
      <c r="D990" s="22" t="n">
        <v>24</v>
      </c>
      <c r="E990" s="22" t="s">
        <v>7696</v>
      </c>
      <c r="F990" s="22" t="s">
        <v>6577</v>
      </c>
      <c r="G990" s="22" t="s">
        <v>3286</v>
      </c>
      <c r="H990" s="22" t="s">
        <v>3287</v>
      </c>
      <c r="I990" s="22" t="s">
        <v>1304</v>
      </c>
      <c r="J990" s="22" t="n">
        <v>52.5</v>
      </c>
      <c r="K990" s="22" t="n">
        <f aca="false">ROUNDUP(J990,0)</f>
        <v>53</v>
      </c>
      <c r="L990" s="22" t="n">
        <f aca="false">MAX(D990,K990)</f>
        <v>53</v>
      </c>
      <c r="M990" s="25" t="n">
        <f aca="false">IF(E990="COVERED",'Controls &amp; Sources'!$B$5,'Controls &amp; Sources'!$B$6)</f>
        <v>7.55</v>
      </c>
      <c r="N990" s="25" t="n">
        <f aca="false">L990*M990</f>
        <v>400.15</v>
      </c>
      <c r="O990" s="22" t="n">
        <f aca="false">COUNTIFS('Billing Actual'!$E$2:$E$770,A990,'Billing Actual'!$B$2:$B$770,'Controls &amp; Sources'!$B$7)</f>
        <v>0</v>
      </c>
      <c r="P990" s="25" t="n">
        <f aca="false">SUMIFS('Billing Actual'!$M$2:$M$770,'Billing Actual'!$E$2:$E$770,A990,'Billing Actual'!$B$2:$B$770,'Controls &amp; Sources'!$B$7)</f>
        <v>0</v>
      </c>
      <c r="Q990" s="25" t="n">
        <f aca="false">P990-N990</f>
        <v>-400.15</v>
      </c>
      <c r="R990" s="22" t="str">
        <f aca="false">IF(O990=0,"No August moorage transaction",IF(O990&gt;1,"Duplicate August transactions",IF(ABS(Q990)&gt;0.005,"Charge variance","OK")))</f>
        <v>No August moorage transaction</v>
      </c>
      <c r="S990" s="22" t="str">
        <f aca="false">IF(R990="OK","","Billing completeness/reconciliation")</f>
        <v>Billing completeness/reconciliation</v>
      </c>
    </row>
    <row r="991" customFormat="false" ht="15" hidden="false" customHeight="false" outlineLevel="0" collapsed="false">
      <c r="A991" s="22" t="s">
        <v>8455</v>
      </c>
      <c r="B991" s="22" t="s">
        <v>188</v>
      </c>
      <c r="C991" s="22" t="s">
        <v>7694</v>
      </c>
      <c r="D991" s="22" t="n">
        <v>80</v>
      </c>
      <c r="E991" s="22" t="s">
        <v>7696</v>
      </c>
      <c r="F991" s="22" t="s">
        <v>6577</v>
      </c>
      <c r="G991" s="22" t="s">
        <v>1384</v>
      </c>
      <c r="H991" s="22" t="s">
        <v>1385</v>
      </c>
      <c r="I991" s="22" t="s">
        <v>980</v>
      </c>
      <c r="J991" s="22" t="n">
        <v>40.6</v>
      </c>
      <c r="K991" s="22" t="n">
        <f aca="false">ROUNDUP(J991,0)</f>
        <v>41</v>
      </c>
      <c r="L991" s="22" t="n">
        <f aca="false">MAX(D991,K991)</f>
        <v>80</v>
      </c>
      <c r="M991" s="25" t="n">
        <f aca="false">IF(E991="COVERED",'Controls &amp; Sources'!$B$5,'Controls &amp; Sources'!$B$6)</f>
        <v>7.55</v>
      </c>
      <c r="N991" s="25" t="n">
        <f aca="false">L991*M991</f>
        <v>604</v>
      </c>
      <c r="O991" s="22" t="n">
        <f aca="false">COUNTIFS('Billing Actual'!$E$2:$E$770,A991,'Billing Actual'!$B$2:$B$770,'Controls &amp; Sources'!$B$7)</f>
        <v>0</v>
      </c>
      <c r="P991" s="25" t="n">
        <f aca="false">SUMIFS('Billing Actual'!$M$2:$M$770,'Billing Actual'!$E$2:$E$770,A991,'Billing Actual'!$B$2:$B$770,'Controls &amp; Sources'!$B$7)</f>
        <v>0</v>
      </c>
      <c r="Q991" s="25" t="n">
        <f aca="false">P991-N991</f>
        <v>-604</v>
      </c>
      <c r="R991" s="22" t="str">
        <f aca="false">IF(O991=0,"No August moorage transaction",IF(O991&gt;1,"Duplicate August transactions",IF(ABS(Q991)&gt;0.005,"Charge variance","OK")))</f>
        <v>No August moorage transaction</v>
      </c>
      <c r="S991" s="22" t="str">
        <f aca="false">IF(R991="OK","","Billing completeness/reconciliation")</f>
        <v>Billing completeness/reconciliation</v>
      </c>
    </row>
    <row r="992" customFormat="false" ht="15" hidden="false" customHeight="false" outlineLevel="0" collapsed="false">
      <c r="A992" s="22" t="s">
        <v>8456</v>
      </c>
      <c r="B992" s="22" t="s">
        <v>188</v>
      </c>
      <c r="C992" s="22" t="s">
        <v>7694</v>
      </c>
      <c r="D992" s="22" t="n">
        <v>45</v>
      </c>
      <c r="E992" s="22" t="s">
        <v>7696</v>
      </c>
      <c r="F992" s="22" t="s">
        <v>6577</v>
      </c>
      <c r="G992" s="22" t="s">
        <v>4332</v>
      </c>
      <c r="H992" s="22" t="s">
        <v>4333</v>
      </c>
      <c r="I992" s="22" t="s">
        <v>278</v>
      </c>
      <c r="J992" s="22" t="n">
        <v>37.5</v>
      </c>
      <c r="K992" s="22" t="n">
        <f aca="false">ROUNDUP(J992,0)</f>
        <v>38</v>
      </c>
      <c r="L992" s="22" t="n">
        <f aca="false">MAX(D992,K992)</f>
        <v>45</v>
      </c>
      <c r="M992" s="25" t="n">
        <f aca="false">IF(E992="COVERED",'Controls &amp; Sources'!$B$5,'Controls &amp; Sources'!$B$6)</f>
        <v>7.55</v>
      </c>
      <c r="N992" s="25" t="n">
        <f aca="false">L992*M992</f>
        <v>339.75</v>
      </c>
      <c r="O992" s="22" t="n">
        <f aca="false">COUNTIFS('Billing Actual'!$E$2:$E$770,A992,'Billing Actual'!$B$2:$B$770,'Controls &amp; Sources'!$B$7)</f>
        <v>0</v>
      </c>
      <c r="P992" s="25" t="n">
        <f aca="false">SUMIFS('Billing Actual'!$M$2:$M$770,'Billing Actual'!$E$2:$E$770,A992,'Billing Actual'!$B$2:$B$770,'Controls &amp; Sources'!$B$7)</f>
        <v>0</v>
      </c>
      <c r="Q992" s="25" t="n">
        <f aca="false">P992-N992</f>
        <v>-339.75</v>
      </c>
      <c r="R992" s="22" t="str">
        <f aca="false">IF(O992=0,"No August moorage transaction",IF(O992&gt;1,"Duplicate August transactions",IF(ABS(Q992)&gt;0.005,"Charge variance","OK")))</f>
        <v>No August moorage transaction</v>
      </c>
      <c r="S992" s="22" t="str">
        <f aca="false">IF(R992="OK","","Billing completeness/reconciliation")</f>
        <v>Billing completeness/reconciliation</v>
      </c>
    </row>
    <row r="993" customFormat="false" ht="15" hidden="false" customHeight="false" outlineLevel="0" collapsed="false">
      <c r="A993" s="22" t="s">
        <v>8458</v>
      </c>
      <c r="B993" s="22" t="s">
        <v>188</v>
      </c>
      <c r="C993" s="22" t="s">
        <v>7694</v>
      </c>
      <c r="D993" s="22" t="n">
        <v>70</v>
      </c>
      <c r="E993" s="22" t="s">
        <v>7696</v>
      </c>
      <c r="F993" s="22" t="s">
        <v>6577</v>
      </c>
      <c r="G993" s="22" t="s">
        <v>4751</v>
      </c>
      <c r="H993" s="22" t="s">
        <v>4752</v>
      </c>
      <c r="I993" s="22" t="s">
        <v>849</v>
      </c>
      <c r="J993" s="22" t="n">
        <v>54.6</v>
      </c>
      <c r="K993" s="22" t="n">
        <f aca="false">ROUNDUP(J993,0)</f>
        <v>55</v>
      </c>
      <c r="L993" s="22" t="n">
        <f aca="false">MAX(D993,K993)</f>
        <v>70</v>
      </c>
      <c r="M993" s="25" t="n">
        <f aca="false">IF(E993="COVERED",'Controls &amp; Sources'!$B$5,'Controls &amp; Sources'!$B$6)</f>
        <v>7.55</v>
      </c>
      <c r="N993" s="25" t="n">
        <f aca="false">L993*M993</f>
        <v>528.5</v>
      </c>
      <c r="O993" s="22" t="n">
        <f aca="false">COUNTIFS('Billing Actual'!$E$2:$E$770,A993,'Billing Actual'!$B$2:$B$770,'Controls &amp; Sources'!$B$7)</f>
        <v>0</v>
      </c>
      <c r="P993" s="25" t="n">
        <f aca="false">SUMIFS('Billing Actual'!$M$2:$M$770,'Billing Actual'!$E$2:$E$770,A993,'Billing Actual'!$B$2:$B$770,'Controls &amp; Sources'!$B$7)</f>
        <v>0</v>
      </c>
      <c r="Q993" s="25" t="n">
        <f aca="false">P993-N993</f>
        <v>-528.5</v>
      </c>
      <c r="R993" s="22" t="str">
        <f aca="false">IF(O993=0,"No August moorage transaction",IF(O993&gt;1,"Duplicate August transactions",IF(ABS(Q993)&gt;0.005,"Charge variance","OK")))</f>
        <v>No August moorage transaction</v>
      </c>
      <c r="S993" s="22" t="str">
        <f aca="false">IF(R993="OK","","Billing completeness/reconciliation")</f>
        <v>Billing completeness/reconciliation</v>
      </c>
    </row>
    <row r="994" customFormat="false" ht="15" hidden="false" customHeight="false" outlineLevel="0" collapsed="false">
      <c r="A994" s="22" t="s">
        <v>8459</v>
      </c>
      <c r="B994" s="22" t="s">
        <v>188</v>
      </c>
      <c r="C994" s="22" t="s">
        <v>7694</v>
      </c>
      <c r="D994" s="22" t="n">
        <v>80</v>
      </c>
      <c r="E994" s="22" t="s">
        <v>7696</v>
      </c>
      <c r="F994" s="22" t="s">
        <v>6577</v>
      </c>
      <c r="G994" s="22" t="s">
        <v>5784</v>
      </c>
      <c r="H994" s="22" t="s">
        <v>5785</v>
      </c>
      <c r="I994" s="22" t="s">
        <v>4094</v>
      </c>
      <c r="J994" s="22" t="n">
        <v>46.1</v>
      </c>
      <c r="K994" s="22" t="n">
        <f aca="false">ROUNDUP(J994,0)</f>
        <v>47</v>
      </c>
      <c r="L994" s="22" t="n">
        <f aca="false">MAX(D994,K994)</f>
        <v>80</v>
      </c>
      <c r="M994" s="25" t="n">
        <f aca="false">IF(E994="COVERED",'Controls &amp; Sources'!$B$5,'Controls &amp; Sources'!$B$6)</f>
        <v>7.55</v>
      </c>
      <c r="N994" s="25" t="n">
        <f aca="false">L994*M994</f>
        <v>604</v>
      </c>
      <c r="O994" s="22" t="n">
        <f aca="false">COUNTIFS('Billing Actual'!$E$2:$E$770,A994,'Billing Actual'!$B$2:$B$770,'Controls &amp; Sources'!$B$7)</f>
        <v>0</v>
      </c>
      <c r="P994" s="25" t="n">
        <f aca="false">SUMIFS('Billing Actual'!$M$2:$M$770,'Billing Actual'!$E$2:$E$770,A994,'Billing Actual'!$B$2:$B$770,'Controls &amp; Sources'!$B$7)</f>
        <v>0</v>
      </c>
      <c r="Q994" s="25" t="n">
        <f aca="false">P994-N994</f>
        <v>-604</v>
      </c>
      <c r="R994" s="22" t="str">
        <f aca="false">IF(O994=0,"No August moorage transaction",IF(O994&gt;1,"Duplicate August transactions",IF(ABS(Q994)&gt;0.005,"Charge variance","OK")))</f>
        <v>No August moorage transaction</v>
      </c>
      <c r="S994" s="22" t="str">
        <f aca="false">IF(R994="OK","","Billing completeness/reconciliation")</f>
        <v>Billing completeness/reconciliation</v>
      </c>
    </row>
    <row r="995" customFormat="false" ht="15" hidden="false" customHeight="false" outlineLevel="0" collapsed="false">
      <c r="A995" s="22" t="s">
        <v>8461</v>
      </c>
      <c r="B995" s="22" t="s">
        <v>188</v>
      </c>
      <c r="C995" s="22" t="s">
        <v>7694</v>
      </c>
      <c r="D995" s="22" t="n">
        <v>32</v>
      </c>
      <c r="E995" s="22" t="s">
        <v>7696</v>
      </c>
      <c r="F995" s="22" t="s">
        <v>6577</v>
      </c>
      <c r="G995" s="22" t="s">
        <v>2789</v>
      </c>
      <c r="H995" s="22" t="s">
        <v>2790</v>
      </c>
      <c r="I995" s="22" t="s">
        <v>1634</v>
      </c>
      <c r="J995" s="22" t="n">
        <v>47.8</v>
      </c>
      <c r="K995" s="22" t="n">
        <f aca="false">ROUNDUP(J995,0)</f>
        <v>48</v>
      </c>
      <c r="L995" s="22" t="n">
        <f aca="false">MAX(D995,K995)</f>
        <v>48</v>
      </c>
      <c r="M995" s="25" t="n">
        <f aca="false">IF(E995="COVERED",'Controls &amp; Sources'!$B$5,'Controls &amp; Sources'!$B$6)</f>
        <v>7.55</v>
      </c>
      <c r="N995" s="25" t="n">
        <f aca="false">L995*M995</f>
        <v>362.4</v>
      </c>
      <c r="O995" s="22" t="n">
        <f aca="false">COUNTIFS('Billing Actual'!$E$2:$E$770,A995,'Billing Actual'!$B$2:$B$770,'Controls &amp; Sources'!$B$7)</f>
        <v>0</v>
      </c>
      <c r="P995" s="25" t="n">
        <f aca="false">SUMIFS('Billing Actual'!$M$2:$M$770,'Billing Actual'!$E$2:$E$770,A995,'Billing Actual'!$B$2:$B$770,'Controls &amp; Sources'!$B$7)</f>
        <v>0</v>
      </c>
      <c r="Q995" s="25" t="n">
        <f aca="false">P995-N995</f>
        <v>-362.4</v>
      </c>
      <c r="R995" s="22" t="str">
        <f aca="false">IF(O995=0,"No August moorage transaction",IF(O995&gt;1,"Duplicate August transactions",IF(ABS(Q995)&gt;0.005,"Charge variance","OK")))</f>
        <v>No August moorage transaction</v>
      </c>
      <c r="S995" s="22" t="str">
        <f aca="false">IF(R995="OK","","Billing completeness/reconciliation")</f>
        <v>Billing completeness/reconciliation</v>
      </c>
    </row>
    <row r="996" customFormat="false" ht="15" hidden="false" customHeight="false" outlineLevel="0" collapsed="false">
      <c r="A996" s="22" t="s">
        <v>8462</v>
      </c>
      <c r="B996" s="22" t="s">
        <v>188</v>
      </c>
      <c r="C996" s="22" t="s">
        <v>7694</v>
      </c>
      <c r="D996" s="22" t="n">
        <v>24</v>
      </c>
      <c r="E996" s="22" t="s">
        <v>7696</v>
      </c>
      <c r="F996" s="22" t="s">
        <v>6577</v>
      </c>
      <c r="G996" s="22" t="s">
        <v>5919</v>
      </c>
      <c r="H996" s="22" t="s">
        <v>5920</v>
      </c>
      <c r="I996" s="22" t="s">
        <v>4653</v>
      </c>
      <c r="J996" s="22" t="n">
        <v>27.5</v>
      </c>
      <c r="K996" s="22" t="n">
        <f aca="false">ROUNDUP(J996,0)</f>
        <v>28</v>
      </c>
      <c r="L996" s="22" t="n">
        <f aca="false">MAX(D996,K996)</f>
        <v>28</v>
      </c>
      <c r="M996" s="25" t="n">
        <f aca="false">IF(E996="COVERED",'Controls &amp; Sources'!$B$5,'Controls &amp; Sources'!$B$6)</f>
        <v>7.55</v>
      </c>
      <c r="N996" s="25" t="n">
        <f aca="false">L996*M996</f>
        <v>211.4</v>
      </c>
      <c r="O996" s="22" t="n">
        <f aca="false">COUNTIFS('Billing Actual'!$E$2:$E$770,A996,'Billing Actual'!$B$2:$B$770,'Controls &amp; Sources'!$B$7)</f>
        <v>0</v>
      </c>
      <c r="P996" s="25" t="n">
        <f aca="false">SUMIFS('Billing Actual'!$M$2:$M$770,'Billing Actual'!$E$2:$E$770,A996,'Billing Actual'!$B$2:$B$770,'Controls &amp; Sources'!$B$7)</f>
        <v>0</v>
      </c>
      <c r="Q996" s="25" t="n">
        <f aca="false">P996-N996</f>
        <v>-211.4</v>
      </c>
      <c r="R996" s="22" t="str">
        <f aca="false">IF(O996=0,"No August moorage transaction",IF(O996&gt;1,"Duplicate August transactions",IF(ABS(Q996)&gt;0.005,"Charge variance","OK")))</f>
        <v>No August moorage transaction</v>
      </c>
      <c r="S996" s="22" t="str">
        <f aca="false">IF(R996="OK","","Billing completeness/reconciliation")</f>
        <v>Billing completeness/reconciliation</v>
      </c>
    </row>
    <row r="997" customFormat="false" ht="15" hidden="false" customHeight="false" outlineLevel="0" collapsed="false">
      <c r="A997" s="22" t="s">
        <v>8465</v>
      </c>
      <c r="B997" s="22" t="s">
        <v>188</v>
      </c>
      <c r="C997" s="22" t="s">
        <v>7694</v>
      </c>
      <c r="D997" s="22" t="n">
        <v>32</v>
      </c>
      <c r="E997" s="22" t="s">
        <v>7696</v>
      </c>
      <c r="F997" s="22" t="s">
        <v>6577</v>
      </c>
      <c r="G997" s="22" t="s">
        <v>3752</v>
      </c>
      <c r="H997" s="22" t="s">
        <v>3753</v>
      </c>
      <c r="I997" s="22" t="s">
        <v>3754</v>
      </c>
      <c r="J997" s="22" t="n">
        <v>35.6</v>
      </c>
      <c r="K997" s="22" t="n">
        <f aca="false">ROUNDUP(J997,0)</f>
        <v>36</v>
      </c>
      <c r="L997" s="22" t="n">
        <f aca="false">MAX(D997,K997)</f>
        <v>36</v>
      </c>
      <c r="M997" s="25" t="n">
        <f aca="false">IF(E997="COVERED",'Controls &amp; Sources'!$B$5,'Controls &amp; Sources'!$B$6)</f>
        <v>7.55</v>
      </c>
      <c r="N997" s="25" t="n">
        <f aca="false">L997*M997</f>
        <v>271.8</v>
      </c>
      <c r="O997" s="22" t="n">
        <f aca="false">COUNTIFS('Billing Actual'!$E$2:$E$770,A997,'Billing Actual'!$B$2:$B$770,'Controls &amp; Sources'!$B$7)</f>
        <v>0</v>
      </c>
      <c r="P997" s="25" t="n">
        <f aca="false">SUMIFS('Billing Actual'!$M$2:$M$770,'Billing Actual'!$E$2:$E$770,A997,'Billing Actual'!$B$2:$B$770,'Controls &amp; Sources'!$B$7)</f>
        <v>0</v>
      </c>
      <c r="Q997" s="25" t="n">
        <f aca="false">P997-N997</f>
        <v>-271.8</v>
      </c>
      <c r="R997" s="22" t="str">
        <f aca="false">IF(O997=0,"No August moorage transaction",IF(O997&gt;1,"Duplicate August transactions",IF(ABS(Q997)&gt;0.005,"Charge variance","OK")))</f>
        <v>No August moorage transaction</v>
      </c>
      <c r="S997" s="22" t="str">
        <f aca="false">IF(R997="OK","","Billing completeness/reconciliation")</f>
        <v>Billing completeness/reconciliation</v>
      </c>
    </row>
    <row r="998" customFormat="false" ht="15" hidden="false" customHeight="false" outlineLevel="0" collapsed="false">
      <c r="A998" s="22" t="s">
        <v>8466</v>
      </c>
      <c r="B998" s="22" t="s">
        <v>188</v>
      </c>
      <c r="C998" s="22" t="s">
        <v>7694</v>
      </c>
      <c r="D998" s="22" t="n">
        <v>32</v>
      </c>
      <c r="E998" s="22" t="s">
        <v>7696</v>
      </c>
      <c r="F998" s="22" t="s">
        <v>6577</v>
      </c>
      <c r="G998" s="22" t="s">
        <v>3335</v>
      </c>
      <c r="H998" s="22" t="s">
        <v>3336</v>
      </c>
      <c r="I998" s="22" t="s">
        <v>1891</v>
      </c>
      <c r="J998" s="22" t="n">
        <v>19.9</v>
      </c>
      <c r="K998" s="22" t="n">
        <f aca="false">ROUNDUP(J998,0)</f>
        <v>20</v>
      </c>
      <c r="L998" s="22" t="n">
        <f aca="false">MAX(D998,K998)</f>
        <v>32</v>
      </c>
      <c r="M998" s="25" t="n">
        <f aca="false">IF(E998="COVERED",'Controls &amp; Sources'!$B$5,'Controls &amp; Sources'!$B$6)</f>
        <v>7.55</v>
      </c>
      <c r="N998" s="25" t="n">
        <f aca="false">L998*M998</f>
        <v>241.6</v>
      </c>
      <c r="O998" s="22" t="n">
        <f aca="false">COUNTIFS('Billing Actual'!$E$2:$E$770,A998,'Billing Actual'!$B$2:$B$770,'Controls &amp; Sources'!$B$7)</f>
        <v>0</v>
      </c>
      <c r="P998" s="25" t="n">
        <f aca="false">SUMIFS('Billing Actual'!$M$2:$M$770,'Billing Actual'!$E$2:$E$770,A998,'Billing Actual'!$B$2:$B$770,'Controls &amp; Sources'!$B$7)</f>
        <v>0</v>
      </c>
      <c r="Q998" s="25" t="n">
        <f aca="false">P998-N998</f>
        <v>-241.6</v>
      </c>
      <c r="R998" s="22" t="str">
        <f aca="false">IF(O998=0,"No August moorage transaction",IF(O998&gt;1,"Duplicate August transactions",IF(ABS(Q998)&gt;0.005,"Charge variance","OK")))</f>
        <v>No August moorage transaction</v>
      </c>
      <c r="S998" s="22" t="str">
        <f aca="false">IF(R998="OK","","Billing completeness/reconciliation")</f>
        <v>Billing completeness/reconciliation</v>
      </c>
    </row>
    <row r="999" customFormat="false" ht="15" hidden="false" customHeight="false" outlineLevel="0" collapsed="false">
      <c r="A999" s="22" t="s">
        <v>8468</v>
      </c>
      <c r="B999" s="22" t="s">
        <v>188</v>
      </c>
      <c r="C999" s="22" t="s">
        <v>7694</v>
      </c>
      <c r="D999" s="22" t="n">
        <v>36</v>
      </c>
      <c r="E999" s="22" t="s">
        <v>7696</v>
      </c>
      <c r="F999" s="22" t="s">
        <v>6577</v>
      </c>
      <c r="G999" s="22" t="s">
        <v>2298</v>
      </c>
      <c r="H999" s="22" t="s">
        <v>2299</v>
      </c>
      <c r="I999" s="22" t="s">
        <v>1797</v>
      </c>
      <c r="J999" s="22" t="n">
        <v>55.4</v>
      </c>
      <c r="K999" s="22" t="n">
        <f aca="false">ROUNDUP(J999,0)</f>
        <v>56</v>
      </c>
      <c r="L999" s="22" t="n">
        <f aca="false">MAX(D999,K999)</f>
        <v>56</v>
      </c>
      <c r="M999" s="25" t="n">
        <f aca="false">IF(E999="COVERED",'Controls &amp; Sources'!$B$5,'Controls &amp; Sources'!$B$6)</f>
        <v>7.55</v>
      </c>
      <c r="N999" s="25" t="n">
        <f aca="false">L999*M999</f>
        <v>422.8</v>
      </c>
      <c r="O999" s="22" t="n">
        <f aca="false">COUNTIFS('Billing Actual'!$E$2:$E$770,A999,'Billing Actual'!$B$2:$B$770,'Controls &amp; Sources'!$B$7)</f>
        <v>0</v>
      </c>
      <c r="P999" s="25" t="n">
        <f aca="false">SUMIFS('Billing Actual'!$M$2:$M$770,'Billing Actual'!$E$2:$E$770,A999,'Billing Actual'!$B$2:$B$770,'Controls &amp; Sources'!$B$7)</f>
        <v>0</v>
      </c>
      <c r="Q999" s="25" t="n">
        <f aca="false">P999-N999</f>
        <v>-422.8</v>
      </c>
      <c r="R999" s="22" t="str">
        <f aca="false">IF(O999=0,"No August moorage transaction",IF(O999&gt;1,"Duplicate August transactions",IF(ABS(Q999)&gt;0.005,"Charge variance","OK")))</f>
        <v>No August moorage transaction</v>
      </c>
      <c r="S999" s="22" t="str">
        <f aca="false">IF(R999="OK","","Billing completeness/reconciliation")</f>
        <v>Billing completeness/reconciliation</v>
      </c>
    </row>
    <row r="1000" customFormat="false" ht="15" hidden="false" customHeight="false" outlineLevel="0" collapsed="false">
      <c r="A1000" s="22" t="s">
        <v>8469</v>
      </c>
      <c r="B1000" s="22" t="s">
        <v>188</v>
      </c>
      <c r="C1000" s="22" t="s">
        <v>7694</v>
      </c>
      <c r="D1000" s="22" t="n">
        <v>45</v>
      </c>
      <c r="E1000" s="22" t="s">
        <v>7696</v>
      </c>
      <c r="F1000" s="22" t="s">
        <v>6577</v>
      </c>
      <c r="G1000" s="22" t="s">
        <v>876</v>
      </c>
      <c r="H1000" s="22" t="s">
        <v>877</v>
      </c>
      <c r="I1000" s="22" t="s">
        <v>251</v>
      </c>
      <c r="J1000" s="22" t="n">
        <v>52.6</v>
      </c>
      <c r="K1000" s="22" t="n">
        <f aca="false">ROUNDUP(J1000,0)</f>
        <v>53</v>
      </c>
      <c r="L1000" s="22" t="n">
        <f aca="false">MAX(D1000,K1000)</f>
        <v>53</v>
      </c>
      <c r="M1000" s="25" t="n">
        <f aca="false">IF(E1000="COVERED",'Controls &amp; Sources'!$B$5,'Controls &amp; Sources'!$B$6)</f>
        <v>7.55</v>
      </c>
      <c r="N1000" s="25" t="n">
        <f aca="false">L1000*M1000</f>
        <v>400.15</v>
      </c>
      <c r="O1000" s="22" t="n">
        <f aca="false">COUNTIFS('Billing Actual'!$E$2:$E$770,A1000,'Billing Actual'!$B$2:$B$770,'Controls &amp; Sources'!$B$7)</f>
        <v>0</v>
      </c>
      <c r="P1000" s="25" t="n">
        <f aca="false">SUMIFS('Billing Actual'!$M$2:$M$770,'Billing Actual'!$E$2:$E$770,A1000,'Billing Actual'!$B$2:$B$770,'Controls &amp; Sources'!$B$7)</f>
        <v>0</v>
      </c>
      <c r="Q1000" s="25" t="n">
        <f aca="false">P1000-N1000</f>
        <v>-400.15</v>
      </c>
      <c r="R1000" s="22" t="str">
        <f aca="false">IF(O1000=0,"No August moorage transaction",IF(O1000&gt;1,"Duplicate August transactions",IF(ABS(Q1000)&gt;0.005,"Charge variance","OK")))</f>
        <v>No August moorage transaction</v>
      </c>
      <c r="S1000" s="22" t="str">
        <f aca="false">IF(R1000="OK","","Billing completeness/reconciliation")</f>
        <v>Billing completeness/reconciliation</v>
      </c>
    </row>
    <row r="1001" customFormat="false" ht="15" hidden="false" customHeight="false" outlineLevel="0" collapsed="false">
      <c r="A1001" s="22" t="s">
        <v>8472</v>
      </c>
      <c r="B1001" s="22" t="s">
        <v>188</v>
      </c>
      <c r="C1001" s="22" t="s">
        <v>7694</v>
      </c>
      <c r="D1001" s="22" t="n">
        <v>45</v>
      </c>
      <c r="E1001" s="22" t="s">
        <v>7696</v>
      </c>
      <c r="F1001" s="22" t="s">
        <v>6577</v>
      </c>
      <c r="G1001" s="22" t="s">
        <v>709</v>
      </c>
      <c r="H1001" s="22" t="s">
        <v>710</v>
      </c>
      <c r="I1001" s="22" t="s">
        <v>711</v>
      </c>
      <c r="J1001" s="22" t="n">
        <v>20.1</v>
      </c>
      <c r="K1001" s="22" t="n">
        <f aca="false">ROUNDUP(J1001,0)</f>
        <v>21</v>
      </c>
      <c r="L1001" s="22" t="n">
        <f aca="false">MAX(D1001,K1001)</f>
        <v>45</v>
      </c>
      <c r="M1001" s="25" t="n">
        <f aca="false">IF(E1001="COVERED",'Controls &amp; Sources'!$B$5,'Controls &amp; Sources'!$B$6)</f>
        <v>7.55</v>
      </c>
      <c r="N1001" s="25" t="n">
        <f aca="false">L1001*M1001</f>
        <v>339.75</v>
      </c>
      <c r="O1001" s="22" t="n">
        <f aca="false">COUNTIFS('Billing Actual'!$E$2:$E$770,A1001,'Billing Actual'!$B$2:$B$770,'Controls &amp; Sources'!$B$7)</f>
        <v>0</v>
      </c>
      <c r="P1001" s="25" t="n">
        <f aca="false">SUMIFS('Billing Actual'!$M$2:$M$770,'Billing Actual'!$E$2:$E$770,A1001,'Billing Actual'!$B$2:$B$770,'Controls &amp; Sources'!$B$7)</f>
        <v>0</v>
      </c>
      <c r="Q1001" s="25" t="n">
        <f aca="false">P1001-N1001</f>
        <v>-339.75</v>
      </c>
      <c r="R1001" s="22" t="str">
        <f aca="false">IF(O1001=0,"No August moorage transaction",IF(O1001&gt;1,"Duplicate August transactions",IF(ABS(Q1001)&gt;0.005,"Charge variance","OK")))</f>
        <v>No August moorage transaction</v>
      </c>
      <c r="S1001" s="22" t="str">
        <f aca="false">IF(R1001="OK","","Billing completeness/reconciliation")</f>
        <v>Billing completeness/reconciliation</v>
      </c>
    </row>
    <row r="1002" customFormat="false" ht="15" hidden="false" customHeight="false" outlineLevel="0" collapsed="false">
      <c r="A1002" s="22" t="s">
        <v>8474</v>
      </c>
      <c r="B1002" s="22" t="s">
        <v>188</v>
      </c>
      <c r="C1002" s="22" t="s">
        <v>7694</v>
      </c>
      <c r="D1002" s="22" t="n">
        <v>40</v>
      </c>
      <c r="E1002" s="22" t="s">
        <v>7696</v>
      </c>
      <c r="F1002" s="22" t="s">
        <v>6577</v>
      </c>
      <c r="G1002" s="22" t="s">
        <v>1396</v>
      </c>
      <c r="H1002" s="22" t="s">
        <v>1397</v>
      </c>
      <c r="I1002" s="22" t="s">
        <v>376</v>
      </c>
      <c r="J1002" s="22" t="n">
        <v>22.8</v>
      </c>
      <c r="K1002" s="22" t="n">
        <f aca="false">ROUNDUP(J1002,0)</f>
        <v>23</v>
      </c>
      <c r="L1002" s="22" t="n">
        <f aca="false">MAX(D1002,K1002)</f>
        <v>40</v>
      </c>
      <c r="M1002" s="25" t="n">
        <f aca="false">IF(E1002="COVERED",'Controls &amp; Sources'!$B$5,'Controls &amp; Sources'!$B$6)</f>
        <v>7.55</v>
      </c>
      <c r="N1002" s="25" t="n">
        <f aca="false">L1002*M1002</f>
        <v>302</v>
      </c>
      <c r="O1002" s="22" t="n">
        <f aca="false">COUNTIFS('Billing Actual'!$E$2:$E$770,A1002,'Billing Actual'!$B$2:$B$770,'Controls &amp; Sources'!$B$7)</f>
        <v>0</v>
      </c>
      <c r="P1002" s="25" t="n">
        <f aca="false">SUMIFS('Billing Actual'!$M$2:$M$770,'Billing Actual'!$E$2:$E$770,A1002,'Billing Actual'!$B$2:$B$770,'Controls &amp; Sources'!$B$7)</f>
        <v>0</v>
      </c>
      <c r="Q1002" s="25" t="n">
        <f aca="false">P1002-N1002</f>
        <v>-302</v>
      </c>
      <c r="R1002" s="22" t="str">
        <f aca="false">IF(O1002=0,"No August moorage transaction",IF(O1002&gt;1,"Duplicate August transactions",IF(ABS(Q1002)&gt;0.005,"Charge variance","OK")))</f>
        <v>No August moorage transaction</v>
      </c>
      <c r="S1002" s="22" t="str">
        <f aca="false">IF(R1002="OK","","Billing completeness/reconciliation")</f>
        <v>Billing completeness/reconciliation</v>
      </c>
    </row>
    <row r="1003" customFormat="false" ht="15" hidden="false" customHeight="false" outlineLevel="0" collapsed="false">
      <c r="A1003" s="22" t="s">
        <v>8475</v>
      </c>
      <c r="B1003" s="22" t="s">
        <v>188</v>
      </c>
      <c r="C1003" s="22" t="s">
        <v>7694</v>
      </c>
      <c r="D1003" s="22" t="n">
        <v>60</v>
      </c>
      <c r="E1003" s="22" t="s">
        <v>7696</v>
      </c>
      <c r="F1003" s="22" t="s">
        <v>6577</v>
      </c>
      <c r="G1003" s="22" t="s">
        <v>4010</v>
      </c>
      <c r="H1003" s="22" t="s">
        <v>4011</v>
      </c>
      <c r="I1003" s="22" t="s">
        <v>2423</v>
      </c>
      <c r="J1003" s="22" t="n">
        <v>36.4</v>
      </c>
      <c r="K1003" s="22" t="n">
        <f aca="false">ROUNDUP(J1003,0)</f>
        <v>37</v>
      </c>
      <c r="L1003" s="22" t="n">
        <f aca="false">MAX(D1003,K1003)</f>
        <v>60</v>
      </c>
      <c r="M1003" s="25" t="n">
        <f aca="false">IF(E1003="COVERED",'Controls &amp; Sources'!$B$5,'Controls &amp; Sources'!$B$6)</f>
        <v>7.55</v>
      </c>
      <c r="N1003" s="25" t="n">
        <f aca="false">L1003*M1003</f>
        <v>453</v>
      </c>
      <c r="O1003" s="22" t="n">
        <f aca="false">COUNTIFS('Billing Actual'!$E$2:$E$770,A1003,'Billing Actual'!$B$2:$B$770,'Controls &amp; Sources'!$B$7)</f>
        <v>0</v>
      </c>
      <c r="P1003" s="25" t="n">
        <f aca="false">SUMIFS('Billing Actual'!$M$2:$M$770,'Billing Actual'!$E$2:$E$770,A1003,'Billing Actual'!$B$2:$B$770,'Controls &amp; Sources'!$B$7)</f>
        <v>0</v>
      </c>
      <c r="Q1003" s="25" t="n">
        <f aca="false">P1003-N1003</f>
        <v>-453</v>
      </c>
      <c r="R1003" s="22" t="str">
        <f aca="false">IF(O1003=0,"No August moorage transaction",IF(O1003&gt;1,"Duplicate August transactions",IF(ABS(Q1003)&gt;0.005,"Charge variance","OK")))</f>
        <v>No August moorage transaction</v>
      </c>
      <c r="S1003" s="22" t="str">
        <f aca="false">IF(R1003="OK","","Billing completeness/reconciliation")</f>
        <v>Billing completeness/reconciliation</v>
      </c>
    </row>
    <row r="1004" customFormat="false" ht="15" hidden="false" customHeight="false" outlineLevel="0" collapsed="false">
      <c r="A1004" s="22" t="s">
        <v>8477</v>
      </c>
      <c r="B1004" s="22" t="s">
        <v>188</v>
      </c>
      <c r="C1004" s="22" t="s">
        <v>7694</v>
      </c>
      <c r="D1004" s="22" t="n">
        <v>45</v>
      </c>
      <c r="E1004" s="22" t="s">
        <v>7696</v>
      </c>
      <c r="F1004" s="22" t="s">
        <v>6577</v>
      </c>
      <c r="G1004" s="22" t="s">
        <v>3493</v>
      </c>
      <c r="H1004" s="22" t="s">
        <v>3494</v>
      </c>
      <c r="I1004" s="22" t="s">
        <v>1323</v>
      </c>
      <c r="J1004" s="22" t="n">
        <v>24.9</v>
      </c>
      <c r="K1004" s="22" t="n">
        <f aca="false">ROUNDUP(J1004,0)</f>
        <v>25</v>
      </c>
      <c r="L1004" s="22" t="n">
        <f aca="false">MAX(D1004,K1004)</f>
        <v>45</v>
      </c>
      <c r="M1004" s="25" t="n">
        <f aca="false">IF(E1004="COVERED",'Controls &amp; Sources'!$B$5,'Controls &amp; Sources'!$B$6)</f>
        <v>7.55</v>
      </c>
      <c r="N1004" s="25" t="n">
        <f aca="false">L1004*M1004</f>
        <v>339.75</v>
      </c>
      <c r="O1004" s="22" t="n">
        <f aca="false">COUNTIFS('Billing Actual'!$E$2:$E$770,A1004,'Billing Actual'!$B$2:$B$770,'Controls &amp; Sources'!$B$7)</f>
        <v>0</v>
      </c>
      <c r="P1004" s="25" t="n">
        <f aca="false">SUMIFS('Billing Actual'!$M$2:$M$770,'Billing Actual'!$E$2:$E$770,A1004,'Billing Actual'!$B$2:$B$770,'Controls &amp; Sources'!$B$7)</f>
        <v>0</v>
      </c>
      <c r="Q1004" s="25" t="n">
        <f aca="false">P1004-N1004</f>
        <v>-339.75</v>
      </c>
      <c r="R1004" s="22" t="str">
        <f aca="false">IF(O1004=0,"No August moorage transaction",IF(O1004&gt;1,"Duplicate August transactions",IF(ABS(Q1004)&gt;0.005,"Charge variance","OK")))</f>
        <v>No August moorage transaction</v>
      </c>
      <c r="S1004" s="22" t="str">
        <f aca="false">IF(R1004="OK","","Billing completeness/reconciliation")</f>
        <v>Billing completeness/reconciliation</v>
      </c>
    </row>
    <row r="1005" customFormat="false" ht="15" hidden="false" customHeight="false" outlineLevel="0" collapsed="false">
      <c r="A1005" s="22" t="s">
        <v>8479</v>
      </c>
      <c r="B1005" s="22" t="s">
        <v>188</v>
      </c>
      <c r="C1005" s="22" t="s">
        <v>7694</v>
      </c>
      <c r="D1005" s="22" t="n">
        <v>45</v>
      </c>
      <c r="E1005" s="22" t="s">
        <v>7696</v>
      </c>
      <c r="F1005" s="22" t="s">
        <v>6577</v>
      </c>
      <c r="G1005" s="22" t="s">
        <v>4418</v>
      </c>
      <c r="H1005" s="22" t="s">
        <v>4419</v>
      </c>
      <c r="I1005" s="22" t="s">
        <v>967</v>
      </c>
      <c r="J1005" s="22" t="n">
        <v>25.7</v>
      </c>
      <c r="K1005" s="22" t="n">
        <f aca="false">ROUNDUP(J1005,0)</f>
        <v>26</v>
      </c>
      <c r="L1005" s="22" t="n">
        <f aca="false">MAX(D1005,K1005)</f>
        <v>45</v>
      </c>
      <c r="M1005" s="25" t="n">
        <f aca="false">IF(E1005="COVERED",'Controls &amp; Sources'!$B$5,'Controls &amp; Sources'!$B$6)</f>
        <v>7.55</v>
      </c>
      <c r="N1005" s="25" t="n">
        <f aca="false">L1005*M1005</f>
        <v>339.75</v>
      </c>
      <c r="O1005" s="22" t="n">
        <f aca="false">COUNTIFS('Billing Actual'!$E$2:$E$770,A1005,'Billing Actual'!$B$2:$B$770,'Controls &amp; Sources'!$B$7)</f>
        <v>0</v>
      </c>
      <c r="P1005" s="25" t="n">
        <f aca="false">SUMIFS('Billing Actual'!$M$2:$M$770,'Billing Actual'!$E$2:$E$770,A1005,'Billing Actual'!$B$2:$B$770,'Controls &amp; Sources'!$B$7)</f>
        <v>0</v>
      </c>
      <c r="Q1005" s="25" t="n">
        <f aca="false">P1005-N1005</f>
        <v>-339.75</v>
      </c>
      <c r="R1005" s="22" t="str">
        <f aca="false">IF(O1005=0,"No August moorage transaction",IF(O1005&gt;1,"Duplicate August transactions",IF(ABS(Q1005)&gt;0.005,"Charge variance","OK")))</f>
        <v>No August moorage transaction</v>
      </c>
      <c r="S1005" s="22" t="str">
        <f aca="false">IF(R1005="OK","","Billing completeness/reconciliation")</f>
        <v>Billing completeness/reconciliation</v>
      </c>
    </row>
    <row r="1006" customFormat="false" ht="15" hidden="false" customHeight="false" outlineLevel="0" collapsed="false">
      <c r="A1006" s="22" t="s">
        <v>8480</v>
      </c>
      <c r="B1006" s="22" t="s">
        <v>188</v>
      </c>
      <c r="C1006" s="22" t="s">
        <v>7694</v>
      </c>
      <c r="D1006" s="22" t="n">
        <v>28</v>
      </c>
      <c r="E1006" s="22" t="s">
        <v>7696</v>
      </c>
      <c r="F1006" s="22" t="s">
        <v>6577</v>
      </c>
      <c r="G1006" s="22" t="s">
        <v>6067</v>
      </c>
      <c r="H1006" s="22" t="s">
        <v>6068</v>
      </c>
      <c r="I1006" s="22" t="s">
        <v>1235</v>
      </c>
      <c r="J1006" s="22" t="n">
        <v>54.6</v>
      </c>
      <c r="K1006" s="22" t="n">
        <f aca="false">ROUNDUP(J1006,0)</f>
        <v>55</v>
      </c>
      <c r="L1006" s="22" t="n">
        <f aca="false">MAX(D1006,K1006)</f>
        <v>55</v>
      </c>
      <c r="M1006" s="25" t="n">
        <f aca="false">IF(E1006="COVERED",'Controls &amp; Sources'!$B$5,'Controls &amp; Sources'!$B$6)</f>
        <v>7.55</v>
      </c>
      <c r="N1006" s="25" t="n">
        <f aca="false">L1006*M1006</f>
        <v>415.25</v>
      </c>
      <c r="O1006" s="22" t="n">
        <f aca="false">COUNTIFS('Billing Actual'!$E$2:$E$770,A1006,'Billing Actual'!$B$2:$B$770,'Controls &amp; Sources'!$B$7)</f>
        <v>0</v>
      </c>
      <c r="P1006" s="25" t="n">
        <f aca="false">SUMIFS('Billing Actual'!$M$2:$M$770,'Billing Actual'!$E$2:$E$770,A1006,'Billing Actual'!$B$2:$B$770,'Controls &amp; Sources'!$B$7)</f>
        <v>0</v>
      </c>
      <c r="Q1006" s="25" t="n">
        <f aca="false">P1006-N1006</f>
        <v>-415.25</v>
      </c>
      <c r="R1006" s="22" t="str">
        <f aca="false">IF(O1006=0,"No August moorage transaction",IF(O1006&gt;1,"Duplicate August transactions",IF(ABS(Q1006)&gt;0.005,"Charge variance","OK")))</f>
        <v>No August moorage transaction</v>
      </c>
      <c r="S1006" s="22" t="str">
        <f aca="false">IF(R1006="OK","","Billing completeness/reconciliation")</f>
        <v>Billing completeness/reconciliation</v>
      </c>
    </row>
    <row r="1007" customFormat="false" ht="15" hidden="false" customHeight="false" outlineLevel="0" collapsed="false">
      <c r="A1007" s="22" t="s">
        <v>8482</v>
      </c>
      <c r="B1007" s="22" t="s">
        <v>188</v>
      </c>
      <c r="C1007" s="22" t="s">
        <v>7694</v>
      </c>
      <c r="D1007" s="22" t="n">
        <v>40</v>
      </c>
      <c r="E1007" s="22" t="s">
        <v>7696</v>
      </c>
      <c r="F1007" s="22" t="s">
        <v>6577</v>
      </c>
      <c r="G1007" s="22" t="s">
        <v>4861</v>
      </c>
      <c r="H1007" s="22" t="s">
        <v>4862</v>
      </c>
      <c r="I1007" s="22" t="s">
        <v>2836</v>
      </c>
      <c r="J1007" s="22" t="n">
        <v>31.6</v>
      </c>
      <c r="K1007" s="22" t="n">
        <f aca="false">ROUNDUP(J1007,0)</f>
        <v>32</v>
      </c>
      <c r="L1007" s="22" t="n">
        <f aca="false">MAX(D1007,K1007)</f>
        <v>40</v>
      </c>
      <c r="M1007" s="25" t="n">
        <f aca="false">IF(E1007="COVERED",'Controls &amp; Sources'!$B$5,'Controls &amp; Sources'!$B$6)</f>
        <v>7.55</v>
      </c>
      <c r="N1007" s="25" t="n">
        <f aca="false">L1007*M1007</f>
        <v>302</v>
      </c>
      <c r="O1007" s="22" t="n">
        <f aca="false">COUNTIFS('Billing Actual'!$E$2:$E$770,A1007,'Billing Actual'!$B$2:$B$770,'Controls &amp; Sources'!$B$7)</f>
        <v>0</v>
      </c>
      <c r="P1007" s="25" t="n">
        <f aca="false">SUMIFS('Billing Actual'!$M$2:$M$770,'Billing Actual'!$E$2:$E$770,A1007,'Billing Actual'!$B$2:$B$770,'Controls &amp; Sources'!$B$7)</f>
        <v>0</v>
      </c>
      <c r="Q1007" s="25" t="n">
        <f aca="false">P1007-N1007</f>
        <v>-302</v>
      </c>
      <c r="R1007" s="22" t="str">
        <f aca="false">IF(O1007=0,"No August moorage transaction",IF(O1007&gt;1,"Duplicate August transactions",IF(ABS(Q1007)&gt;0.005,"Charge variance","OK")))</f>
        <v>No August moorage transaction</v>
      </c>
      <c r="S1007" s="22" t="str">
        <f aca="false">IF(R1007="OK","","Billing completeness/reconciliation")</f>
        <v>Billing completeness/reconciliation</v>
      </c>
    </row>
    <row r="1008" customFormat="false" ht="15" hidden="false" customHeight="false" outlineLevel="0" collapsed="false">
      <c r="A1008" s="22" t="s">
        <v>8483</v>
      </c>
      <c r="B1008" s="22" t="s">
        <v>188</v>
      </c>
      <c r="C1008" s="22" t="s">
        <v>7694</v>
      </c>
      <c r="D1008" s="22" t="n">
        <v>32</v>
      </c>
      <c r="E1008" s="22" t="s">
        <v>7696</v>
      </c>
      <c r="F1008" s="22" t="s">
        <v>6577</v>
      </c>
      <c r="G1008" s="22" t="s">
        <v>5611</v>
      </c>
      <c r="H1008" s="22" t="s">
        <v>5612</v>
      </c>
      <c r="I1008" s="22" t="s">
        <v>793</v>
      </c>
      <c r="J1008" s="22" t="n">
        <v>47.2</v>
      </c>
      <c r="K1008" s="22" t="n">
        <f aca="false">ROUNDUP(J1008,0)</f>
        <v>48</v>
      </c>
      <c r="L1008" s="22" t="n">
        <f aca="false">MAX(D1008,K1008)</f>
        <v>48</v>
      </c>
      <c r="M1008" s="25" t="n">
        <f aca="false">IF(E1008="COVERED",'Controls &amp; Sources'!$B$5,'Controls &amp; Sources'!$B$6)</f>
        <v>7.55</v>
      </c>
      <c r="N1008" s="25" t="n">
        <f aca="false">L1008*M1008</f>
        <v>362.4</v>
      </c>
      <c r="O1008" s="22" t="n">
        <f aca="false">COUNTIFS('Billing Actual'!$E$2:$E$770,A1008,'Billing Actual'!$B$2:$B$770,'Controls &amp; Sources'!$B$7)</f>
        <v>0</v>
      </c>
      <c r="P1008" s="25" t="n">
        <f aca="false">SUMIFS('Billing Actual'!$M$2:$M$770,'Billing Actual'!$E$2:$E$770,A1008,'Billing Actual'!$B$2:$B$770,'Controls &amp; Sources'!$B$7)</f>
        <v>0</v>
      </c>
      <c r="Q1008" s="25" t="n">
        <f aca="false">P1008-N1008</f>
        <v>-362.4</v>
      </c>
      <c r="R1008" s="22" t="str">
        <f aca="false">IF(O1008=0,"No August moorage transaction",IF(O1008&gt;1,"Duplicate August transactions",IF(ABS(Q1008)&gt;0.005,"Charge variance","OK")))</f>
        <v>No August moorage transaction</v>
      </c>
      <c r="S1008" s="22" t="str">
        <f aca="false">IF(R1008="OK","","Billing completeness/reconciliation")</f>
        <v>Billing completeness/reconciliation</v>
      </c>
    </row>
    <row r="1009" customFormat="false" ht="15" hidden="false" customHeight="false" outlineLevel="0" collapsed="false">
      <c r="A1009" s="22" t="s">
        <v>8484</v>
      </c>
      <c r="B1009" s="22" t="s">
        <v>188</v>
      </c>
      <c r="C1009" s="22" t="s">
        <v>7694</v>
      </c>
      <c r="D1009" s="22" t="n">
        <v>24</v>
      </c>
      <c r="E1009" s="22" t="s">
        <v>7696</v>
      </c>
      <c r="F1009" s="22" t="s">
        <v>6577</v>
      </c>
      <c r="G1009" s="22" t="s">
        <v>5762</v>
      </c>
      <c r="H1009" s="22" t="s">
        <v>5763</v>
      </c>
      <c r="I1009" s="22" t="s">
        <v>197</v>
      </c>
      <c r="J1009" s="22" t="n">
        <v>40.4</v>
      </c>
      <c r="K1009" s="22" t="n">
        <f aca="false">ROUNDUP(J1009,0)</f>
        <v>41</v>
      </c>
      <c r="L1009" s="22" t="n">
        <f aca="false">MAX(D1009,K1009)</f>
        <v>41</v>
      </c>
      <c r="M1009" s="25" t="n">
        <f aca="false">IF(E1009="COVERED",'Controls &amp; Sources'!$B$5,'Controls &amp; Sources'!$B$6)</f>
        <v>7.55</v>
      </c>
      <c r="N1009" s="25" t="n">
        <f aca="false">L1009*M1009</f>
        <v>309.55</v>
      </c>
      <c r="O1009" s="22" t="n">
        <f aca="false">COUNTIFS('Billing Actual'!$E$2:$E$770,A1009,'Billing Actual'!$B$2:$B$770,'Controls &amp; Sources'!$B$7)</f>
        <v>0</v>
      </c>
      <c r="P1009" s="25" t="n">
        <f aca="false">SUMIFS('Billing Actual'!$M$2:$M$770,'Billing Actual'!$E$2:$E$770,A1009,'Billing Actual'!$B$2:$B$770,'Controls &amp; Sources'!$B$7)</f>
        <v>0</v>
      </c>
      <c r="Q1009" s="25" t="n">
        <f aca="false">P1009-N1009</f>
        <v>-309.55</v>
      </c>
      <c r="R1009" s="22" t="str">
        <f aca="false">IF(O1009=0,"No August moorage transaction",IF(O1009&gt;1,"Duplicate August transactions",IF(ABS(Q1009)&gt;0.005,"Charge variance","OK")))</f>
        <v>No August moorage transaction</v>
      </c>
      <c r="S1009" s="22" t="str">
        <f aca="false">IF(R1009="OK","","Billing completeness/reconciliation")</f>
        <v>Billing completeness/reconciliation</v>
      </c>
    </row>
    <row r="1010" customFormat="false" ht="15" hidden="false" customHeight="false" outlineLevel="0" collapsed="false">
      <c r="A1010" s="22" t="s">
        <v>8486</v>
      </c>
      <c r="B1010" s="22" t="s">
        <v>188</v>
      </c>
      <c r="C1010" s="22" t="s">
        <v>7694</v>
      </c>
      <c r="D1010" s="22" t="n">
        <v>24</v>
      </c>
      <c r="E1010" s="22" t="s">
        <v>7696</v>
      </c>
      <c r="F1010" s="22" t="s">
        <v>6577</v>
      </c>
      <c r="G1010" s="22" t="s">
        <v>4434</v>
      </c>
      <c r="H1010" s="22" t="s">
        <v>4435</v>
      </c>
      <c r="I1010" s="22" t="s">
        <v>358</v>
      </c>
      <c r="J1010" s="22" t="n">
        <v>34.5</v>
      </c>
      <c r="K1010" s="22" t="n">
        <f aca="false">ROUNDUP(J1010,0)</f>
        <v>35</v>
      </c>
      <c r="L1010" s="22" t="n">
        <f aca="false">MAX(D1010,K1010)</f>
        <v>35</v>
      </c>
      <c r="M1010" s="25" t="n">
        <f aca="false">IF(E1010="COVERED",'Controls &amp; Sources'!$B$5,'Controls &amp; Sources'!$B$6)</f>
        <v>7.55</v>
      </c>
      <c r="N1010" s="25" t="n">
        <f aca="false">L1010*M1010</f>
        <v>264.25</v>
      </c>
      <c r="O1010" s="22" t="n">
        <f aca="false">COUNTIFS('Billing Actual'!$E$2:$E$770,A1010,'Billing Actual'!$B$2:$B$770,'Controls &amp; Sources'!$B$7)</f>
        <v>0</v>
      </c>
      <c r="P1010" s="25" t="n">
        <f aca="false">SUMIFS('Billing Actual'!$M$2:$M$770,'Billing Actual'!$E$2:$E$770,A1010,'Billing Actual'!$B$2:$B$770,'Controls &amp; Sources'!$B$7)</f>
        <v>0</v>
      </c>
      <c r="Q1010" s="25" t="n">
        <f aca="false">P1010-N1010</f>
        <v>-264.25</v>
      </c>
      <c r="R1010" s="22" t="str">
        <f aca="false">IF(O1010=0,"No August moorage transaction",IF(O1010&gt;1,"Duplicate August transactions",IF(ABS(Q1010)&gt;0.005,"Charge variance","OK")))</f>
        <v>No August moorage transaction</v>
      </c>
      <c r="S1010" s="22" t="str">
        <f aca="false">IF(R1010="OK","","Billing completeness/reconciliation")</f>
        <v>Billing completeness/reconciliation</v>
      </c>
    </row>
    <row r="1011" customFormat="false" ht="15" hidden="false" customHeight="false" outlineLevel="0" collapsed="false">
      <c r="A1011" s="22" t="s">
        <v>8487</v>
      </c>
      <c r="B1011" s="22" t="s">
        <v>188</v>
      </c>
      <c r="C1011" s="22" t="s">
        <v>7694</v>
      </c>
      <c r="D1011" s="22" t="n">
        <v>40</v>
      </c>
      <c r="E1011" s="22" t="s">
        <v>7696</v>
      </c>
      <c r="F1011" s="22" t="s">
        <v>6577</v>
      </c>
      <c r="G1011" s="22" t="s">
        <v>6132</v>
      </c>
      <c r="H1011" s="22" t="s">
        <v>6133</v>
      </c>
      <c r="I1011" s="22" t="s">
        <v>714</v>
      </c>
      <c r="J1011" s="22" t="n">
        <v>52.7</v>
      </c>
      <c r="K1011" s="22" t="n">
        <f aca="false">ROUNDUP(J1011,0)</f>
        <v>53</v>
      </c>
      <c r="L1011" s="22" t="n">
        <f aca="false">MAX(D1011,K1011)</f>
        <v>53</v>
      </c>
      <c r="M1011" s="25" t="n">
        <f aca="false">IF(E1011="COVERED",'Controls &amp; Sources'!$B$5,'Controls &amp; Sources'!$B$6)</f>
        <v>7.55</v>
      </c>
      <c r="N1011" s="25" t="n">
        <f aca="false">L1011*M1011</f>
        <v>400.15</v>
      </c>
      <c r="O1011" s="22" t="n">
        <f aca="false">COUNTIFS('Billing Actual'!$E$2:$E$770,A1011,'Billing Actual'!$B$2:$B$770,'Controls &amp; Sources'!$B$7)</f>
        <v>0</v>
      </c>
      <c r="P1011" s="25" t="n">
        <f aca="false">SUMIFS('Billing Actual'!$M$2:$M$770,'Billing Actual'!$E$2:$E$770,A1011,'Billing Actual'!$B$2:$B$770,'Controls &amp; Sources'!$B$7)</f>
        <v>0</v>
      </c>
      <c r="Q1011" s="25" t="n">
        <f aca="false">P1011-N1011</f>
        <v>-400.15</v>
      </c>
      <c r="R1011" s="22" t="str">
        <f aca="false">IF(O1011=0,"No August moorage transaction",IF(O1011&gt;1,"Duplicate August transactions",IF(ABS(Q1011)&gt;0.005,"Charge variance","OK")))</f>
        <v>No August moorage transaction</v>
      </c>
      <c r="S1011" s="22" t="str">
        <f aca="false">IF(R1011="OK","","Billing completeness/reconciliation")</f>
        <v>Billing completeness/reconciliation</v>
      </c>
    </row>
    <row r="1012" customFormat="false" ht="15" hidden="false" customHeight="false" outlineLevel="0" collapsed="false">
      <c r="A1012" s="22" t="s">
        <v>8488</v>
      </c>
      <c r="B1012" s="22" t="s">
        <v>188</v>
      </c>
      <c r="C1012" s="22" t="s">
        <v>7694</v>
      </c>
      <c r="D1012" s="22" t="n">
        <v>32</v>
      </c>
      <c r="E1012" s="22" t="s">
        <v>7696</v>
      </c>
      <c r="F1012" s="22" t="s">
        <v>6577</v>
      </c>
      <c r="G1012" s="22" t="s">
        <v>1072</v>
      </c>
      <c r="H1012" s="22" t="s">
        <v>1073</v>
      </c>
      <c r="I1012" s="22" t="s">
        <v>1074</v>
      </c>
      <c r="J1012" s="22" t="n">
        <v>33.2</v>
      </c>
      <c r="K1012" s="22" t="n">
        <f aca="false">ROUNDUP(J1012,0)</f>
        <v>34</v>
      </c>
      <c r="L1012" s="22" t="n">
        <f aca="false">MAX(D1012,K1012)</f>
        <v>34</v>
      </c>
      <c r="M1012" s="25" t="n">
        <f aca="false">IF(E1012="COVERED",'Controls &amp; Sources'!$B$5,'Controls &amp; Sources'!$B$6)</f>
        <v>7.55</v>
      </c>
      <c r="N1012" s="25" t="n">
        <f aca="false">L1012*M1012</f>
        <v>256.7</v>
      </c>
      <c r="O1012" s="22" t="n">
        <f aca="false">COUNTIFS('Billing Actual'!$E$2:$E$770,A1012,'Billing Actual'!$B$2:$B$770,'Controls &amp; Sources'!$B$7)</f>
        <v>0</v>
      </c>
      <c r="P1012" s="25" t="n">
        <f aca="false">SUMIFS('Billing Actual'!$M$2:$M$770,'Billing Actual'!$E$2:$E$770,A1012,'Billing Actual'!$B$2:$B$770,'Controls &amp; Sources'!$B$7)</f>
        <v>0</v>
      </c>
      <c r="Q1012" s="25" t="n">
        <f aca="false">P1012-N1012</f>
        <v>-256.7</v>
      </c>
      <c r="R1012" s="22" t="str">
        <f aca="false">IF(O1012=0,"No August moorage transaction",IF(O1012&gt;1,"Duplicate August transactions",IF(ABS(Q1012)&gt;0.005,"Charge variance","OK")))</f>
        <v>No August moorage transaction</v>
      </c>
      <c r="S1012" s="22" t="str">
        <f aca="false">IF(R1012="OK","","Billing completeness/reconciliation")</f>
        <v>Billing completeness/reconciliation</v>
      </c>
    </row>
    <row r="1013" customFormat="false" ht="15" hidden="false" customHeight="false" outlineLevel="0" collapsed="false">
      <c r="A1013" s="22" t="s">
        <v>8489</v>
      </c>
      <c r="B1013" s="22" t="s">
        <v>188</v>
      </c>
      <c r="C1013" s="22" t="s">
        <v>7694</v>
      </c>
      <c r="D1013" s="22" t="n">
        <v>80</v>
      </c>
      <c r="E1013" s="22" t="s">
        <v>7696</v>
      </c>
      <c r="F1013" s="22" t="s">
        <v>6577</v>
      </c>
      <c r="G1013" s="22" t="s">
        <v>4878</v>
      </c>
      <c r="H1013" s="22" t="s">
        <v>4879</v>
      </c>
      <c r="I1013" s="22" t="s">
        <v>796</v>
      </c>
      <c r="J1013" s="22" t="n">
        <v>21</v>
      </c>
      <c r="K1013" s="22" t="n">
        <f aca="false">ROUNDUP(J1013,0)</f>
        <v>21</v>
      </c>
      <c r="L1013" s="22" t="n">
        <f aca="false">MAX(D1013,K1013)</f>
        <v>80</v>
      </c>
      <c r="M1013" s="25" t="n">
        <f aca="false">IF(E1013="COVERED",'Controls &amp; Sources'!$B$5,'Controls &amp; Sources'!$B$6)</f>
        <v>7.55</v>
      </c>
      <c r="N1013" s="25" t="n">
        <f aca="false">L1013*M1013</f>
        <v>604</v>
      </c>
      <c r="O1013" s="22" t="n">
        <f aca="false">COUNTIFS('Billing Actual'!$E$2:$E$770,A1013,'Billing Actual'!$B$2:$B$770,'Controls &amp; Sources'!$B$7)</f>
        <v>0</v>
      </c>
      <c r="P1013" s="25" t="n">
        <f aca="false">SUMIFS('Billing Actual'!$M$2:$M$770,'Billing Actual'!$E$2:$E$770,A1013,'Billing Actual'!$B$2:$B$770,'Controls &amp; Sources'!$B$7)</f>
        <v>0</v>
      </c>
      <c r="Q1013" s="25" t="n">
        <f aca="false">P1013-N1013</f>
        <v>-604</v>
      </c>
      <c r="R1013" s="22" t="str">
        <f aca="false">IF(O1013=0,"No August moorage transaction",IF(O1013&gt;1,"Duplicate August transactions",IF(ABS(Q1013)&gt;0.005,"Charge variance","OK")))</f>
        <v>No August moorage transaction</v>
      </c>
      <c r="S1013" s="22" t="str">
        <f aca="false">IF(R1013="OK","","Billing completeness/reconciliation")</f>
        <v>Billing completeness/reconciliation</v>
      </c>
    </row>
    <row r="1014" customFormat="false" ht="15" hidden="false" customHeight="false" outlineLevel="0" collapsed="false">
      <c r="A1014" s="22" t="s">
        <v>8490</v>
      </c>
      <c r="B1014" s="22" t="s">
        <v>188</v>
      </c>
      <c r="C1014" s="22" t="s">
        <v>7694</v>
      </c>
      <c r="D1014" s="22" t="n">
        <v>24</v>
      </c>
      <c r="E1014" s="22" t="s">
        <v>7696</v>
      </c>
      <c r="F1014" s="22" t="s">
        <v>6577</v>
      </c>
      <c r="G1014" s="22" t="s">
        <v>3477</v>
      </c>
      <c r="H1014" s="22" t="s">
        <v>3478</v>
      </c>
      <c r="I1014" s="22" t="s">
        <v>1045</v>
      </c>
      <c r="J1014" s="22" t="n">
        <v>41.9</v>
      </c>
      <c r="K1014" s="22" t="n">
        <f aca="false">ROUNDUP(J1014,0)</f>
        <v>42</v>
      </c>
      <c r="L1014" s="22" t="n">
        <f aca="false">MAX(D1014,K1014)</f>
        <v>42</v>
      </c>
      <c r="M1014" s="25" t="n">
        <f aca="false">IF(E1014="COVERED",'Controls &amp; Sources'!$B$5,'Controls &amp; Sources'!$B$6)</f>
        <v>7.55</v>
      </c>
      <c r="N1014" s="25" t="n">
        <f aca="false">L1014*M1014</f>
        <v>317.1</v>
      </c>
      <c r="O1014" s="22" t="n">
        <f aca="false">COUNTIFS('Billing Actual'!$E$2:$E$770,A1014,'Billing Actual'!$B$2:$B$770,'Controls &amp; Sources'!$B$7)</f>
        <v>0</v>
      </c>
      <c r="P1014" s="25" t="n">
        <f aca="false">SUMIFS('Billing Actual'!$M$2:$M$770,'Billing Actual'!$E$2:$E$770,A1014,'Billing Actual'!$B$2:$B$770,'Controls &amp; Sources'!$B$7)</f>
        <v>0</v>
      </c>
      <c r="Q1014" s="25" t="n">
        <f aca="false">P1014-N1014</f>
        <v>-317.1</v>
      </c>
      <c r="R1014" s="22" t="str">
        <f aca="false">IF(O1014=0,"No August moorage transaction",IF(O1014&gt;1,"Duplicate August transactions",IF(ABS(Q1014)&gt;0.005,"Charge variance","OK")))</f>
        <v>No August moorage transaction</v>
      </c>
      <c r="S1014" s="22" t="str">
        <f aca="false">IF(R1014="OK","","Billing completeness/reconciliation")</f>
        <v>Billing completeness/reconciliation</v>
      </c>
    </row>
    <row r="1015" customFormat="false" ht="15" hidden="false" customHeight="false" outlineLevel="0" collapsed="false">
      <c r="A1015" s="22" t="s">
        <v>8491</v>
      </c>
      <c r="B1015" s="22" t="s">
        <v>188</v>
      </c>
      <c r="C1015" s="22" t="s">
        <v>7694</v>
      </c>
      <c r="D1015" s="22" t="n">
        <v>80</v>
      </c>
      <c r="E1015" s="22" t="s">
        <v>7696</v>
      </c>
      <c r="F1015" s="22" t="s">
        <v>6577</v>
      </c>
      <c r="G1015" s="22" t="s">
        <v>3473</v>
      </c>
      <c r="H1015" s="22" t="s">
        <v>3474</v>
      </c>
      <c r="I1015" s="22" t="s">
        <v>1395</v>
      </c>
      <c r="J1015" s="22" t="n">
        <v>47.1</v>
      </c>
      <c r="K1015" s="22" t="n">
        <f aca="false">ROUNDUP(J1015,0)</f>
        <v>48</v>
      </c>
      <c r="L1015" s="22" t="n">
        <f aca="false">MAX(D1015,K1015)</f>
        <v>80</v>
      </c>
      <c r="M1015" s="25" t="n">
        <f aca="false">IF(E1015="COVERED",'Controls &amp; Sources'!$B$5,'Controls &amp; Sources'!$B$6)</f>
        <v>7.55</v>
      </c>
      <c r="N1015" s="25" t="n">
        <f aca="false">L1015*M1015</f>
        <v>604</v>
      </c>
      <c r="O1015" s="22" t="n">
        <f aca="false">COUNTIFS('Billing Actual'!$E$2:$E$770,A1015,'Billing Actual'!$B$2:$B$770,'Controls &amp; Sources'!$B$7)</f>
        <v>0</v>
      </c>
      <c r="P1015" s="25" t="n">
        <f aca="false">SUMIFS('Billing Actual'!$M$2:$M$770,'Billing Actual'!$E$2:$E$770,A1015,'Billing Actual'!$B$2:$B$770,'Controls &amp; Sources'!$B$7)</f>
        <v>0</v>
      </c>
      <c r="Q1015" s="25" t="n">
        <f aca="false">P1015-N1015</f>
        <v>-604</v>
      </c>
      <c r="R1015" s="22" t="str">
        <f aca="false">IF(O1015=0,"No August moorage transaction",IF(O1015&gt;1,"Duplicate August transactions",IF(ABS(Q1015)&gt;0.005,"Charge variance","OK")))</f>
        <v>No August moorage transaction</v>
      </c>
      <c r="S1015" s="22" t="str">
        <f aca="false">IF(R1015="OK","","Billing completeness/reconciliation")</f>
        <v>Billing completeness/reconciliation</v>
      </c>
    </row>
    <row r="1016" customFormat="false" ht="15" hidden="false" customHeight="false" outlineLevel="0" collapsed="false">
      <c r="A1016" s="22" t="s">
        <v>8492</v>
      </c>
      <c r="B1016" s="22" t="s">
        <v>188</v>
      </c>
      <c r="C1016" s="22" t="s">
        <v>7694</v>
      </c>
      <c r="D1016" s="22" t="n">
        <v>40</v>
      </c>
      <c r="E1016" s="22" t="s">
        <v>7696</v>
      </c>
      <c r="F1016" s="22" t="s">
        <v>6577</v>
      </c>
      <c r="G1016" s="22" t="s">
        <v>5940</v>
      </c>
      <c r="H1016" s="22" t="s">
        <v>5941</v>
      </c>
      <c r="I1016" s="22" t="s">
        <v>2034</v>
      </c>
      <c r="J1016" s="22" t="n">
        <v>30.9</v>
      </c>
      <c r="K1016" s="22" t="n">
        <f aca="false">ROUNDUP(J1016,0)</f>
        <v>31</v>
      </c>
      <c r="L1016" s="22" t="n">
        <f aca="false">MAX(D1016,K1016)</f>
        <v>40</v>
      </c>
      <c r="M1016" s="25" t="n">
        <f aca="false">IF(E1016="COVERED",'Controls &amp; Sources'!$B$5,'Controls &amp; Sources'!$B$6)</f>
        <v>7.55</v>
      </c>
      <c r="N1016" s="25" t="n">
        <f aca="false">L1016*M1016</f>
        <v>302</v>
      </c>
      <c r="O1016" s="22" t="n">
        <f aca="false">COUNTIFS('Billing Actual'!$E$2:$E$770,A1016,'Billing Actual'!$B$2:$B$770,'Controls &amp; Sources'!$B$7)</f>
        <v>0</v>
      </c>
      <c r="P1016" s="25" t="n">
        <f aca="false">SUMIFS('Billing Actual'!$M$2:$M$770,'Billing Actual'!$E$2:$E$770,A1016,'Billing Actual'!$B$2:$B$770,'Controls &amp; Sources'!$B$7)</f>
        <v>0</v>
      </c>
      <c r="Q1016" s="25" t="n">
        <f aca="false">P1016-N1016</f>
        <v>-302</v>
      </c>
      <c r="R1016" s="22" t="str">
        <f aca="false">IF(O1016=0,"No August moorage transaction",IF(O1016&gt;1,"Duplicate August transactions",IF(ABS(Q1016)&gt;0.005,"Charge variance","OK")))</f>
        <v>No August moorage transaction</v>
      </c>
      <c r="S1016" s="22" t="str">
        <f aca="false">IF(R1016="OK","","Billing completeness/reconciliation")</f>
        <v>Billing completeness/reconciliation</v>
      </c>
    </row>
    <row r="1017" customFormat="false" ht="15" hidden="false" customHeight="false" outlineLevel="0" collapsed="false">
      <c r="A1017" s="22" t="s">
        <v>8494</v>
      </c>
      <c r="B1017" s="22" t="s">
        <v>188</v>
      </c>
      <c r="C1017" s="22" t="s">
        <v>7694</v>
      </c>
      <c r="D1017" s="22" t="n">
        <v>36</v>
      </c>
      <c r="E1017" s="22" t="s">
        <v>7696</v>
      </c>
      <c r="F1017" s="22" t="s">
        <v>6577</v>
      </c>
      <c r="G1017" s="22" t="s">
        <v>1817</v>
      </c>
      <c r="H1017" s="22" t="s">
        <v>1818</v>
      </c>
      <c r="I1017" s="22" t="s">
        <v>980</v>
      </c>
      <c r="J1017" s="22" t="n">
        <v>37</v>
      </c>
      <c r="K1017" s="22" t="n">
        <f aca="false">ROUNDUP(J1017,0)</f>
        <v>37</v>
      </c>
      <c r="L1017" s="22" t="n">
        <f aca="false">MAX(D1017,K1017)</f>
        <v>37</v>
      </c>
      <c r="M1017" s="25" t="n">
        <f aca="false">IF(E1017="COVERED",'Controls &amp; Sources'!$B$5,'Controls &amp; Sources'!$B$6)</f>
        <v>7.55</v>
      </c>
      <c r="N1017" s="25" t="n">
        <f aca="false">L1017*M1017</f>
        <v>279.35</v>
      </c>
      <c r="O1017" s="22" t="n">
        <f aca="false">COUNTIFS('Billing Actual'!$E$2:$E$770,A1017,'Billing Actual'!$B$2:$B$770,'Controls &amp; Sources'!$B$7)</f>
        <v>0</v>
      </c>
      <c r="P1017" s="25" t="n">
        <f aca="false">SUMIFS('Billing Actual'!$M$2:$M$770,'Billing Actual'!$E$2:$E$770,A1017,'Billing Actual'!$B$2:$B$770,'Controls &amp; Sources'!$B$7)</f>
        <v>0</v>
      </c>
      <c r="Q1017" s="25" t="n">
        <f aca="false">P1017-N1017</f>
        <v>-279.35</v>
      </c>
      <c r="R1017" s="22" t="str">
        <f aca="false">IF(O1017=0,"No August moorage transaction",IF(O1017&gt;1,"Duplicate August transactions",IF(ABS(Q1017)&gt;0.005,"Charge variance","OK")))</f>
        <v>No August moorage transaction</v>
      </c>
      <c r="S1017" s="22" t="str">
        <f aca="false">IF(R1017="OK","","Billing completeness/reconciliation")</f>
        <v>Billing completeness/reconciliation</v>
      </c>
    </row>
    <row r="1018" customFormat="false" ht="15" hidden="false" customHeight="false" outlineLevel="0" collapsed="false">
      <c r="A1018" s="22" t="s">
        <v>8495</v>
      </c>
      <c r="B1018" s="22" t="s">
        <v>188</v>
      </c>
      <c r="C1018" s="22" t="s">
        <v>7694</v>
      </c>
      <c r="D1018" s="22" t="n">
        <v>60</v>
      </c>
      <c r="E1018" s="22" t="s">
        <v>7696</v>
      </c>
      <c r="F1018" s="22" t="s">
        <v>6577</v>
      </c>
      <c r="G1018" s="22" t="s">
        <v>4432</v>
      </c>
      <c r="H1018" s="22" t="s">
        <v>4433</v>
      </c>
      <c r="I1018" s="22" t="s">
        <v>3385</v>
      </c>
      <c r="J1018" s="22" t="n">
        <v>31.7</v>
      </c>
      <c r="K1018" s="22" t="n">
        <f aca="false">ROUNDUP(J1018,0)</f>
        <v>32</v>
      </c>
      <c r="L1018" s="22" t="n">
        <f aca="false">MAX(D1018,K1018)</f>
        <v>60</v>
      </c>
      <c r="M1018" s="25" t="n">
        <f aca="false">IF(E1018="COVERED",'Controls &amp; Sources'!$B$5,'Controls &amp; Sources'!$B$6)</f>
        <v>7.55</v>
      </c>
      <c r="N1018" s="25" t="n">
        <f aca="false">L1018*M1018</f>
        <v>453</v>
      </c>
      <c r="O1018" s="22" t="n">
        <f aca="false">COUNTIFS('Billing Actual'!$E$2:$E$770,A1018,'Billing Actual'!$B$2:$B$770,'Controls &amp; Sources'!$B$7)</f>
        <v>0</v>
      </c>
      <c r="P1018" s="25" t="n">
        <f aca="false">SUMIFS('Billing Actual'!$M$2:$M$770,'Billing Actual'!$E$2:$E$770,A1018,'Billing Actual'!$B$2:$B$770,'Controls &amp; Sources'!$B$7)</f>
        <v>0</v>
      </c>
      <c r="Q1018" s="25" t="n">
        <f aca="false">P1018-N1018</f>
        <v>-453</v>
      </c>
      <c r="R1018" s="22" t="str">
        <f aca="false">IF(O1018=0,"No August moorage transaction",IF(O1018&gt;1,"Duplicate August transactions",IF(ABS(Q1018)&gt;0.005,"Charge variance","OK")))</f>
        <v>No August moorage transaction</v>
      </c>
      <c r="S1018" s="22" t="str">
        <f aca="false">IF(R1018="OK","","Billing completeness/reconciliation")</f>
        <v>Billing completeness/reconciliation</v>
      </c>
    </row>
    <row r="1019" customFormat="false" ht="15" hidden="false" customHeight="false" outlineLevel="0" collapsed="false">
      <c r="A1019" s="22" t="s">
        <v>8497</v>
      </c>
      <c r="B1019" s="22" t="s">
        <v>188</v>
      </c>
      <c r="C1019" s="22" t="s">
        <v>7694</v>
      </c>
      <c r="D1019" s="22" t="n">
        <v>36</v>
      </c>
      <c r="E1019" s="22" t="s">
        <v>7696</v>
      </c>
      <c r="F1019" s="22" t="s">
        <v>6577</v>
      </c>
      <c r="G1019" s="22" t="s">
        <v>3465</v>
      </c>
      <c r="H1019" s="22" t="s">
        <v>3466</v>
      </c>
      <c r="I1019" s="22" t="s">
        <v>1896</v>
      </c>
      <c r="J1019" s="22" t="n">
        <v>24.7</v>
      </c>
      <c r="K1019" s="22" t="n">
        <f aca="false">ROUNDUP(J1019,0)</f>
        <v>25</v>
      </c>
      <c r="L1019" s="22" t="n">
        <f aca="false">MAX(D1019,K1019)</f>
        <v>36</v>
      </c>
      <c r="M1019" s="25" t="n">
        <f aca="false">IF(E1019="COVERED",'Controls &amp; Sources'!$B$5,'Controls &amp; Sources'!$B$6)</f>
        <v>7.55</v>
      </c>
      <c r="N1019" s="25" t="n">
        <f aca="false">L1019*M1019</f>
        <v>271.8</v>
      </c>
      <c r="O1019" s="22" t="n">
        <f aca="false">COUNTIFS('Billing Actual'!$E$2:$E$770,A1019,'Billing Actual'!$B$2:$B$770,'Controls &amp; Sources'!$B$7)</f>
        <v>0</v>
      </c>
      <c r="P1019" s="25" t="n">
        <f aca="false">SUMIFS('Billing Actual'!$M$2:$M$770,'Billing Actual'!$E$2:$E$770,A1019,'Billing Actual'!$B$2:$B$770,'Controls &amp; Sources'!$B$7)</f>
        <v>0</v>
      </c>
      <c r="Q1019" s="25" t="n">
        <f aca="false">P1019-N1019</f>
        <v>-271.8</v>
      </c>
      <c r="R1019" s="22" t="str">
        <f aca="false">IF(O1019=0,"No August moorage transaction",IF(O1019&gt;1,"Duplicate August transactions",IF(ABS(Q1019)&gt;0.005,"Charge variance","OK")))</f>
        <v>No August moorage transaction</v>
      </c>
      <c r="S1019" s="22" t="str">
        <f aca="false">IF(R1019="OK","","Billing completeness/reconciliation")</f>
        <v>Billing completeness/reconciliation</v>
      </c>
    </row>
    <row r="1020" customFormat="false" ht="15" hidden="false" customHeight="false" outlineLevel="0" collapsed="false">
      <c r="A1020" s="22" t="s">
        <v>8498</v>
      </c>
      <c r="B1020" s="22" t="s">
        <v>188</v>
      </c>
      <c r="C1020" s="22" t="s">
        <v>7694</v>
      </c>
      <c r="D1020" s="22" t="n">
        <v>24</v>
      </c>
      <c r="E1020" s="22" t="s">
        <v>7696</v>
      </c>
      <c r="F1020" s="22" t="s">
        <v>6577</v>
      </c>
      <c r="G1020" s="22" t="s">
        <v>5768</v>
      </c>
      <c r="H1020" s="22" t="s">
        <v>5769</v>
      </c>
      <c r="I1020" s="22" t="s">
        <v>787</v>
      </c>
      <c r="J1020" s="22" t="n">
        <v>45</v>
      </c>
      <c r="K1020" s="22" t="n">
        <f aca="false">ROUNDUP(J1020,0)</f>
        <v>45</v>
      </c>
      <c r="L1020" s="22" t="n">
        <f aca="false">MAX(D1020,K1020)</f>
        <v>45</v>
      </c>
      <c r="M1020" s="25" t="n">
        <f aca="false">IF(E1020="COVERED",'Controls &amp; Sources'!$B$5,'Controls &amp; Sources'!$B$6)</f>
        <v>7.55</v>
      </c>
      <c r="N1020" s="25" t="n">
        <f aca="false">L1020*M1020</f>
        <v>339.75</v>
      </c>
      <c r="O1020" s="22" t="n">
        <f aca="false">COUNTIFS('Billing Actual'!$E$2:$E$770,A1020,'Billing Actual'!$B$2:$B$770,'Controls &amp; Sources'!$B$7)</f>
        <v>0</v>
      </c>
      <c r="P1020" s="25" t="n">
        <f aca="false">SUMIFS('Billing Actual'!$M$2:$M$770,'Billing Actual'!$E$2:$E$770,A1020,'Billing Actual'!$B$2:$B$770,'Controls &amp; Sources'!$B$7)</f>
        <v>0</v>
      </c>
      <c r="Q1020" s="25" t="n">
        <f aca="false">P1020-N1020</f>
        <v>-339.75</v>
      </c>
      <c r="R1020" s="22" t="str">
        <f aca="false">IF(O1020=0,"No August moorage transaction",IF(O1020&gt;1,"Duplicate August transactions",IF(ABS(Q1020)&gt;0.005,"Charge variance","OK")))</f>
        <v>No August moorage transaction</v>
      </c>
      <c r="S1020" s="22" t="str">
        <f aca="false">IF(R1020="OK","","Billing completeness/reconciliation")</f>
        <v>Billing completeness/reconciliation</v>
      </c>
    </row>
    <row r="1021" customFormat="false" ht="15" hidden="false" customHeight="false" outlineLevel="0" collapsed="false">
      <c r="A1021" s="22" t="s">
        <v>8499</v>
      </c>
      <c r="B1021" s="22" t="s">
        <v>188</v>
      </c>
      <c r="C1021" s="22" t="s">
        <v>7694</v>
      </c>
      <c r="D1021" s="22" t="n">
        <v>28</v>
      </c>
      <c r="E1021" s="22" t="s">
        <v>7696</v>
      </c>
      <c r="F1021" s="22" t="s">
        <v>6577</v>
      </c>
      <c r="G1021" s="22" t="s">
        <v>5971</v>
      </c>
      <c r="H1021" s="22" t="s">
        <v>5972</v>
      </c>
      <c r="I1021" s="22" t="s">
        <v>793</v>
      </c>
      <c r="J1021" s="22" t="n">
        <v>53.6</v>
      </c>
      <c r="K1021" s="22" t="n">
        <f aca="false">ROUNDUP(J1021,0)</f>
        <v>54</v>
      </c>
      <c r="L1021" s="22" t="n">
        <f aca="false">MAX(D1021,K1021)</f>
        <v>54</v>
      </c>
      <c r="M1021" s="25" t="n">
        <f aca="false">IF(E1021="COVERED",'Controls &amp; Sources'!$B$5,'Controls &amp; Sources'!$B$6)</f>
        <v>7.55</v>
      </c>
      <c r="N1021" s="25" t="n">
        <f aca="false">L1021*M1021</f>
        <v>407.7</v>
      </c>
      <c r="O1021" s="22" t="n">
        <f aca="false">COUNTIFS('Billing Actual'!$E$2:$E$770,A1021,'Billing Actual'!$B$2:$B$770,'Controls &amp; Sources'!$B$7)</f>
        <v>0</v>
      </c>
      <c r="P1021" s="25" t="n">
        <f aca="false">SUMIFS('Billing Actual'!$M$2:$M$770,'Billing Actual'!$E$2:$E$770,A1021,'Billing Actual'!$B$2:$B$770,'Controls &amp; Sources'!$B$7)</f>
        <v>0</v>
      </c>
      <c r="Q1021" s="25" t="n">
        <f aca="false">P1021-N1021</f>
        <v>-407.7</v>
      </c>
      <c r="R1021" s="22" t="str">
        <f aca="false">IF(O1021=0,"No August moorage transaction",IF(O1021&gt;1,"Duplicate August transactions",IF(ABS(Q1021)&gt;0.005,"Charge variance","OK")))</f>
        <v>No August moorage transaction</v>
      </c>
      <c r="S1021" s="22" t="str">
        <f aca="false">IF(R1021="OK","","Billing completeness/reconciliation")</f>
        <v>Billing completeness/reconciliation</v>
      </c>
    </row>
    <row r="1022" customFormat="false" ht="15" hidden="false" customHeight="false" outlineLevel="0" collapsed="false">
      <c r="A1022" s="22" t="s">
        <v>8500</v>
      </c>
      <c r="B1022" s="22" t="s">
        <v>188</v>
      </c>
      <c r="C1022" s="22" t="s">
        <v>7694</v>
      </c>
      <c r="D1022" s="22" t="n">
        <v>80</v>
      </c>
      <c r="E1022" s="22" t="s">
        <v>7696</v>
      </c>
      <c r="F1022" s="22" t="s">
        <v>6577</v>
      </c>
      <c r="G1022" s="22" t="s">
        <v>2096</v>
      </c>
      <c r="H1022" s="22" t="s">
        <v>2097</v>
      </c>
      <c r="I1022" s="22" t="s">
        <v>1118</v>
      </c>
      <c r="J1022" s="22" t="n">
        <v>49.5</v>
      </c>
      <c r="K1022" s="22" t="n">
        <f aca="false">ROUNDUP(J1022,0)</f>
        <v>50</v>
      </c>
      <c r="L1022" s="22" t="n">
        <f aca="false">MAX(D1022,K1022)</f>
        <v>80</v>
      </c>
      <c r="M1022" s="25" t="n">
        <f aca="false">IF(E1022="COVERED",'Controls &amp; Sources'!$B$5,'Controls &amp; Sources'!$B$6)</f>
        <v>7.55</v>
      </c>
      <c r="N1022" s="25" t="n">
        <f aca="false">L1022*M1022</f>
        <v>604</v>
      </c>
      <c r="O1022" s="22" t="n">
        <f aca="false">COUNTIFS('Billing Actual'!$E$2:$E$770,A1022,'Billing Actual'!$B$2:$B$770,'Controls &amp; Sources'!$B$7)</f>
        <v>0</v>
      </c>
      <c r="P1022" s="25" t="n">
        <f aca="false">SUMIFS('Billing Actual'!$M$2:$M$770,'Billing Actual'!$E$2:$E$770,A1022,'Billing Actual'!$B$2:$B$770,'Controls &amp; Sources'!$B$7)</f>
        <v>0</v>
      </c>
      <c r="Q1022" s="25" t="n">
        <f aca="false">P1022-N1022</f>
        <v>-604</v>
      </c>
      <c r="R1022" s="22" t="str">
        <f aca="false">IF(O1022=0,"No August moorage transaction",IF(O1022&gt;1,"Duplicate August transactions",IF(ABS(Q1022)&gt;0.005,"Charge variance","OK")))</f>
        <v>No August moorage transaction</v>
      </c>
      <c r="S1022" s="22" t="str">
        <f aca="false">IF(R1022="OK","","Billing completeness/reconciliation")</f>
        <v>Billing completeness/reconciliation</v>
      </c>
    </row>
    <row r="1023" customFormat="false" ht="15" hidden="false" customHeight="false" outlineLevel="0" collapsed="false">
      <c r="A1023" s="22" t="s">
        <v>8501</v>
      </c>
      <c r="B1023" s="22" t="s">
        <v>188</v>
      </c>
      <c r="C1023" s="22" t="s">
        <v>7694</v>
      </c>
      <c r="D1023" s="22" t="n">
        <v>45</v>
      </c>
      <c r="E1023" s="22" t="s">
        <v>7696</v>
      </c>
      <c r="F1023" s="22" t="s">
        <v>6577</v>
      </c>
      <c r="G1023" s="22" t="s">
        <v>1316</v>
      </c>
      <c r="H1023" s="22" t="s">
        <v>1317</v>
      </c>
      <c r="I1023" s="22" t="s">
        <v>1318</v>
      </c>
      <c r="J1023" s="22" t="n">
        <v>27.7</v>
      </c>
      <c r="K1023" s="22" t="n">
        <f aca="false">ROUNDUP(J1023,0)</f>
        <v>28</v>
      </c>
      <c r="L1023" s="22" t="n">
        <f aca="false">MAX(D1023,K1023)</f>
        <v>45</v>
      </c>
      <c r="M1023" s="25" t="n">
        <f aca="false">IF(E1023="COVERED",'Controls &amp; Sources'!$B$5,'Controls &amp; Sources'!$B$6)</f>
        <v>7.55</v>
      </c>
      <c r="N1023" s="25" t="n">
        <f aca="false">L1023*M1023</f>
        <v>339.75</v>
      </c>
      <c r="O1023" s="22" t="n">
        <f aca="false">COUNTIFS('Billing Actual'!$E$2:$E$770,A1023,'Billing Actual'!$B$2:$B$770,'Controls &amp; Sources'!$B$7)</f>
        <v>0</v>
      </c>
      <c r="P1023" s="25" t="n">
        <f aca="false">SUMIFS('Billing Actual'!$M$2:$M$770,'Billing Actual'!$E$2:$E$770,A1023,'Billing Actual'!$B$2:$B$770,'Controls &amp; Sources'!$B$7)</f>
        <v>0</v>
      </c>
      <c r="Q1023" s="25" t="n">
        <f aca="false">P1023-N1023</f>
        <v>-339.75</v>
      </c>
      <c r="R1023" s="22" t="str">
        <f aca="false">IF(O1023=0,"No August moorage transaction",IF(O1023&gt;1,"Duplicate August transactions",IF(ABS(Q1023)&gt;0.005,"Charge variance","OK")))</f>
        <v>No August moorage transaction</v>
      </c>
      <c r="S1023" s="22" t="str">
        <f aca="false">IF(R1023="OK","","Billing completeness/reconciliation")</f>
        <v>Billing completeness/reconciliation</v>
      </c>
    </row>
    <row r="1024" customFormat="false" ht="15" hidden="false" customHeight="false" outlineLevel="0" collapsed="false">
      <c r="A1024" s="22" t="s">
        <v>8502</v>
      </c>
      <c r="B1024" s="22" t="s">
        <v>188</v>
      </c>
      <c r="C1024" s="22" t="s">
        <v>7694</v>
      </c>
      <c r="D1024" s="22" t="n">
        <v>24</v>
      </c>
      <c r="E1024" s="22" t="s">
        <v>7696</v>
      </c>
      <c r="F1024" s="22" t="s">
        <v>6577</v>
      </c>
      <c r="G1024" s="22" t="s">
        <v>6317</v>
      </c>
      <c r="H1024" s="22" t="s">
        <v>6318</v>
      </c>
      <c r="I1024" s="22" t="s">
        <v>904</v>
      </c>
      <c r="J1024" s="22" t="n">
        <v>41.8</v>
      </c>
      <c r="K1024" s="22" t="n">
        <f aca="false">ROUNDUP(J1024,0)</f>
        <v>42</v>
      </c>
      <c r="L1024" s="22" t="n">
        <f aca="false">MAX(D1024,K1024)</f>
        <v>42</v>
      </c>
      <c r="M1024" s="25" t="n">
        <f aca="false">IF(E1024="COVERED",'Controls &amp; Sources'!$B$5,'Controls &amp; Sources'!$B$6)</f>
        <v>7.55</v>
      </c>
      <c r="N1024" s="25" t="n">
        <f aca="false">L1024*M1024</f>
        <v>317.1</v>
      </c>
      <c r="O1024" s="22" t="n">
        <f aca="false">COUNTIFS('Billing Actual'!$E$2:$E$770,A1024,'Billing Actual'!$B$2:$B$770,'Controls &amp; Sources'!$B$7)</f>
        <v>0</v>
      </c>
      <c r="P1024" s="25" t="n">
        <f aca="false">SUMIFS('Billing Actual'!$M$2:$M$770,'Billing Actual'!$E$2:$E$770,A1024,'Billing Actual'!$B$2:$B$770,'Controls &amp; Sources'!$B$7)</f>
        <v>0</v>
      </c>
      <c r="Q1024" s="25" t="n">
        <f aca="false">P1024-N1024</f>
        <v>-317.1</v>
      </c>
      <c r="R1024" s="22" t="str">
        <f aca="false">IF(O1024=0,"No August moorage transaction",IF(O1024&gt;1,"Duplicate August transactions",IF(ABS(Q1024)&gt;0.005,"Charge variance","OK")))</f>
        <v>No August moorage transaction</v>
      </c>
      <c r="S1024" s="22" t="str">
        <f aca="false">IF(R1024="OK","","Billing completeness/reconciliation")</f>
        <v>Billing completeness/reconciliation</v>
      </c>
    </row>
    <row r="1025" customFormat="false" ht="15" hidden="false" customHeight="false" outlineLevel="0" collapsed="false">
      <c r="A1025" s="22" t="s">
        <v>8503</v>
      </c>
      <c r="B1025" s="22" t="s">
        <v>188</v>
      </c>
      <c r="C1025" s="22" t="s">
        <v>7694</v>
      </c>
      <c r="D1025" s="22" t="n">
        <v>36</v>
      </c>
      <c r="E1025" s="22" t="s">
        <v>7696</v>
      </c>
      <c r="F1025" s="22" t="s">
        <v>6577</v>
      </c>
      <c r="G1025" s="22" t="s">
        <v>2406</v>
      </c>
      <c r="H1025" s="22" t="s">
        <v>2407</v>
      </c>
      <c r="I1025" s="22" t="s">
        <v>1383</v>
      </c>
      <c r="J1025" s="22" t="n">
        <v>26.3</v>
      </c>
      <c r="K1025" s="22" t="n">
        <f aca="false">ROUNDUP(J1025,0)</f>
        <v>27</v>
      </c>
      <c r="L1025" s="22" t="n">
        <f aca="false">MAX(D1025,K1025)</f>
        <v>36</v>
      </c>
      <c r="M1025" s="25" t="n">
        <f aca="false">IF(E1025="COVERED",'Controls &amp; Sources'!$B$5,'Controls &amp; Sources'!$B$6)</f>
        <v>7.55</v>
      </c>
      <c r="N1025" s="25" t="n">
        <f aca="false">L1025*M1025</f>
        <v>271.8</v>
      </c>
      <c r="O1025" s="22" t="n">
        <f aca="false">COUNTIFS('Billing Actual'!$E$2:$E$770,A1025,'Billing Actual'!$B$2:$B$770,'Controls &amp; Sources'!$B$7)</f>
        <v>0</v>
      </c>
      <c r="P1025" s="25" t="n">
        <f aca="false">SUMIFS('Billing Actual'!$M$2:$M$770,'Billing Actual'!$E$2:$E$770,A1025,'Billing Actual'!$B$2:$B$770,'Controls &amp; Sources'!$B$7)</f>
        <v>0</v>
      </c>
      <c r="Q1025" s="25" t="n">
        <f aca="false">P1025-N1025</f>
        <v>-271.8</v>
      </c>
      <c r="R1025" s="22" t="str">
        <f aca="false">IF(O1025=0,"No August moorage transaction",IF(O1025&gt;1,"Duplicate August transactions",IF(ABS(Q1025)&gt;0.005,"Charge variance","OK")))</f>
        <v>No August moorage transaction</v>
      </c>
      <c r="S1025" s="22" t="str">
        <f aca="false">IF(R1025="OK","","Billing completeness/reconciliation")</f>
        <v>Billing completeness/reconciliation</v>
      </c>
    </row>
    <row r="1026" customFormat="false" ht="15" hidden="false" customHeight="false" outlineLevel="0" collapsed="false">
      <c r="A1026" s="22" t="s">
        <v>8505</v>
      </c>
      <c r="B1026" s="22" t="s">
        <v>188</v>
      </c>
      <c r="C1026" s="22" t="s">
        <v>7694</v>
      </c>
      <c r="D1026" s="22" t="n">
        <v>24</v>
      </c>
      <c r="E1026" s="22" t="s">
        <v>7696</v>
      </c>
      <c r="F1026" s="22" t="s">
        <v>6577</v>
      </c>
      <c r="G1026" s="22" t="s">
        <v>2588</v>
      </c>
      <c r="H1026" s="22" t="s">
        <v>2589</v>
      </c>
      <c r="I1026" s="22" t="s">
        <v>684</v>
      </c>
      <c r="J1026" s="22" t="n">
        <v>26.3</v>
      </c>
      <c r="K1026" s="22" t="n">
        <f aca="false">ROUNDUP(J1026,0)</f>
        <v>27</v>
      </c>
      <c r="L1026" s="22" t="n">
        <f aca="false">MAX(D1026,K1026)</f>
        <v>27</v>
      </c>
      <c r="M1026" s="25" t="n">
        <f aca="false">IF(E1026="COVERED",'Controls &amp; Sources'!$B$5,'Controls &amp; Sources'!$B$6)</f>
        <v>7.55</v>
      </c>
      <c r="N1026" s="25" t="n">
        <f aca="false">L1026*M1026</f>
        <v>203.85</v>
      </c>
      <c r="O1026" s="22" t="n">
        <f aca="false">COUNTIFS('Billing Actual'!$E$2:$E$770,A1026,'Billing Actual'!$B$2:$B$770,'Controls &amp; Sources'!$B$7)</f>
        <v>0</v>
      </c>
      <c r="P1026" s="25" t="n">
        <f aca="false">SUMIFS('Billing Actual'!$M$2:$M$770,'Billing Actual'!$E$2:$E$770,A1026,'Billing Actual'!$B$2:$B$770,'Controls &amp; Sources'!$B$7)</f>
        <v>0</v>
      </c>
      <c r="Q1026" s="25" t="n">
        <f aca="false">P1026-N1026</f>
        <v>-203.85</v>
      </c>
      <c r="R1026" s="22" t="str">
        <f aca="false">IF(O1026=0,"No August moorage transaction",IF(O1026&gt;1,"Duplicate August transactions",IF(ABS(Q1026)&gt;0.005,"Charge variance","OK")))</f>
        <v>No August moorage transaction</v>
      </c>
      <c r="S1026" s="22" t="str">
        <f aca="false">IF(R1026="OK","","Billing completeness/reconciliation")</f>
        <v>Billing completeness/reconciliation</v>
      </c>
    </row>
    <row r="1027" customFormat="false" ht="15" hidden="false" customHeight="false" outlineLevel="0" collapsed="false">
      <c r="A1027" s="22" t="s">
        <v>8506</v>
      </c>
      <c r="B1027" s="22" t="s">
        <v>188</v>
      </c>
      <c r="C1027" s="22" t="s">
        <v>7694</v>
      </c>
      <c r="D1027" s="22" t="n">
        <v>60</v>
      </c>
      <c r="E1027" s="22" t="s">
        <v>7696</v>
      </c>
      <c r="F1027" s="22" t="s">
        <v>6577</v>
      </c>
      <c r="G1027" s="22" t="s">
        <v>1321</v>
      </c>
      <c r="H1027" s="22" t="s">
        <v>1322</v>
      </c>
      <c r="I1027" s="22" t="s">
        <v>1323</v>
      </c>
      <c r="J1027" s="22" t="n">
        <v>61.4</v>
      </c>
      <c r="K1027" s="22" t="n">
        <f aca="false">ROUNDUP(J1027,0)</f>
        <v>62</v>
      </c>
      <c r="L1027" s="22" t="n">
        <f aca="false">MAX(D1027,K1027)</f>
        <v>62</v>
      </c>
      <c r="M1027" s="25" t="n">
        <f aca="false">IF(E1027="COVERED",'Controls &amp; Sources'!$B$5,'Controls &amp; Sources'!$B$6)</f>
        <v>7.55</v>
      </c>
      <c r="N1027" s="25" t="n">
        <f aca="false">L1027*M1027</f>
        <v>468.1</v>
      </c>
      <c r="O1027" s="22" t="n">
        <f aca="false">COUNTIFS('Billing Actual'!$E$2:$E$770,A1027,'Billing Actual'!$B$2:$B$770,'Controls &amp; Sources'!$B$7)</f>
        <v>0</v>
      </c>
      <c r="P1027" s="25" t="n">
        <f aca="false">SUMIFS('Billing Actual'!$M$2:$M$770,'Billing Actual'!$E$2:$E$770,A1027,'Billing Actual'!$B$2:$B$770,'Controls &amp; Sources'!$B$7)</f>
        <v>0</v>
      </c>
      <c r="Q1027" s="25" t="n">
        <f aca="false">P1027-N1027</f>
        <v>-468.1</v>
      </c>
      <c r="R1027" s="22" t="str">
        <f aca="false">IF(O1027=0,"No August moorage transaction",IF(O1027&gt;1,"Duplicate August transactions",IF(ABS(Q1027)&gt;0.005,"Charge variance","OK")))</f>
        <v>No August moorage transaction</v>
      </c>
      <c r="S1027" s="22" t="str">
        <f aca="false">IF(R1027="OK","","Billing completeness/reconciliation")</f>
        <v>Billing completeness/reconciliation</v>
      </c>
    </row>
    <row r="1028" customFormat="false" ht="15" hidden="false" customHeight="false" outlineLevel="0" collapsed="false">
      <c r="A1028" s="22" t="s">
        <v>8508</v>
      </c>
      <c r="B1028" s="22" t="s">
        <v>188</v>
      </c>
      <c r="C1028" s="22" t="s">
        <v>7694</v>
      </c>
      <c r="D1028" s="22" t="n">
        <v>32</v>
      </c>
      <c r="E1028" s="22" t="s">
        <v>7696</v>
      </c>
      <c r="F1028" s="22" t="s">
        <v>6577</v>
      </c>
      <c r="G1028" s="22" t="s">
        <v>1295</v>
      </c>
      <c r="H1028" s="22" t="s">
        <v>1296</v>
      </c>
      <c r="I1028" s="22" t="s">
        <v>208</v>
      </c>
      <c r="J1028" s="22" t="n">
        <v>25.8</v>
      </c>
      <c r="K1028" s="22" t="n">
        <f aca="false">ROUNDUP(J1028,0)</f>
        <v>26</v>
      </c>
      <c r="L1028" s="22" t="n">
        <f aca="false">MAX(D1028,K1028)</f>
        <v>32</v>
      </c>
      <c r="M1028" s="25" t="n">
        <f aca="false">IF(E1028="COVERED",'Controls &amp; Sources'!$B$5,'Controls &amp; Sources'!$B$6)</f>
        <v>7.55</v>
      </c>
      <c r="N1028" s="25" t="n">
        <f aca="false">L1028*M1028</f>
        <v>241.6</v>
      </c>
      <c r="O1028" s="22" t="n">
        <f aca="false">COUNTIFS('Billing Actual'!$E$2:$E$770,A1028,'Billing Actual'!$B$2:$B$770,'Controls &amp; Sources'!$B$7)</f>
        <v>0</v>
      </c>
      <c r="P1028" s="25" t="n">
        <f aca="false">SUMIFS('Billing Actual'!$M$2:$M$770,'Billing Actual'!$E$2:$E$770,A1028,'Billing Actual'!$B$2:$B$770,'Controls &amp; Sources'!$B$7)</f>
        <v>0</v>
      </c>
      <c r="Q1028" s="25" t="n">
        <f aca="false">P1028-N1028</f>
        <v>-241.6</v>
      </c>
      <c r="R1028" s="22" t="str">
        <f aca="false">IF(O1028=0,"No August moorage transaction",IF(O1028&gt;1,"Duplicate August transactions",IF(ABS(Q1028)&gt;0.005,"Charge variance","OK")))</f>
        <v>No August moorage transaction</v>
      </c>
      <c r="S1028" s="22" t="str">
        <f aca="false">IF(R1028="OK","","Billing completeness/reconciliation")</f>
        <v>Billing completeness/reconciliation</v>
      </c>
    </row>
    <row r="1029" customFormat="false" ht="15" hidden="false" customHeight="false" outlineLevel="0" collapsed="false">
      <c r="A1029" s="22" t="s">
        <v>8509</v>
      </c>
      <c r="B1029" s="22" t="s">
        <v>188</v>
      </c>
      <c r="C1029" s="22" t="s">
        <v>7694</v>
      </c>
      <c r="D1029" s="22" t="n">
        <v>32</v>
      </c>
      <c r="E1029" s="22" t="s">
        <v>7696</v>
      </c>
      <c r="F1029" s="22" t="s">
        <v>6577</v>
      </c>
      <c r="G1029" s="22" t="s">
        <v>6077</v>
      </c>
      <c r="H1029" s="22" t="s">
        <v>6078</v>
      </c>
      <c r="I1029" s="22" t="s">
        <v>2150</v>
      </c>
      <c r="J1029" s="22" t="n">
        <v>34.1</v>
      </c>
      <c r="K1029" s="22" t="n">
        <f aca="false">ROUNDUP(J1029,0)</f>
        <v>35</v>
      </c>
      <c r="L1029" s="22" t="n">
        <f aca="false">MAX(D1029,K1029)</f>
        <v>35</v>
      </c>
      <c r="M1029" s="25" t="n">
        <f aca="false">IF(E1029="COVERED",'Controls &amp; Sources'!$B$5,'Controls &amp; Sources'!$B$6)</f>
        <v>7.55</v>
      </c>
      <c r="N1029" s="25" t="n">
        <f aca="false">L1029*M1029</f>
        <v>264.25</v>
      </c>
      <c r="O1029" s="22" t="n">
        <f aca="false">COUNTIFS('Billing Actual'!$E$2:$E$770,A1029,'Billing Actual'!$B$2:$B$770,'Controls &amp; Sources'!$B$7)</f>
        <v>0</v>
      </c>
      <c r="P1029" s="25" t="n">
        <f aca="false">SUMIFS('Billing Actual'!$M$2:$M$770,'Billing Actual'!$E$2:$E$770,A1029,'Billing Actual'!$B$2:$B$770,'Controls &amp; Sources'!$B$7)</f>
        <v>0</v>
      </c>
      <c r="Q1029" s="25" t="n">
        <f aca="false">P1029-N1029</f>
        <v>-264.25</v>
      </c>
      <c r="R1029" s="22" t="str">
        <f aca="false">IF(O1029=0,"No August moorage transaction",IF(O1029&gt;1,"Duplicate August transactions",IF(ABS(Q1029)&gt;0.005,"Charge variance","OK")))</f>
        <v>No August moorage transaction</v>
      </c>
      <c r="S1029" s="22" t="str">
        <f aca="false">IF(R1029="OK","","Billing completeness/reconciliation")</f>
        <v>Billing completeness/reconciliation</v>
      </c>
    </row>
    <row r="1030" customFormat="false" ht="15" hidden="false" customHeight="false" outlineLevel="0" collapsed="false">
      <c r="A1030" s="22" t="s">
        <v>8511</v>
      </c>
      <c r="B1030" s="22" t="s">
        <v>188</v>
      </c>
      <c r="C1030" s="22" t="s">
        <v>7694</v>
      </c>
      <c r="D1030" s="22" t="n">
        <v>28</v>
      </c>
      <c r="E1030" s="22" t="s">
        <v>7696</v>
      </c>
      <c r="F1030" s="22" t="s">
        <v>6577</v>
      </c>
      <c r="G1030" s="22" t="s">
        <v>2499</v>
      </c>
      <c r="H1030" s="22" t="s">
        <v>2500</v>
      </c>
      <c r="I1030" s="22" t="s">
        <v>218</v>
      </c>
      <c r="J1030" s="22" t="n">
        <v>41.8</v>
      </c>
      <c r="K1030" s="22" t="n">
        <f aca="false">ROUNDUP(J1030,0)</f>
        <v>42</v>
      </c>
      <c r="L1030" s="22" t="n">
        <f aca="false">MAX(D1030,K1030)</f>
        <v>42</v>
      </c>
      <c r="M1030" s="25" t="n">
        <f aca="false">IF(E1030="COVERED",'Controls &amp; Sources'!$B$5,'Controls &amp; Sources'!$B$6)</f>
        <v>7.55</v>
      </c>
      <c r="N1030" s="25" t="n">
        <f aca="false">L1030*M1030</f>
        <v>317.1</v>
      </c>
      <c r="O1030" s="22" t="n">
        <f aca="false">COUNTIFS('Billing Actual'!$E$2:$E$770,A1030,'Billing Actual'!$B$2:$B$770,'Controls &amp; Sources'!$B$7)</f>
        <v>0</v>
      </c>
      <c r="P1030" s="25" t="n">
        <f aca="false">SUMIFS('Billing Actual'!$M$2:$M$770,'Billing Actual'!$E$2:$E$770,A1030,'Billing Actual'!$B$2:$B$770,'Controls &amp; Sources'!$B$7)</f>
        <v>0</v>
      </c>
      <c r="Q1030" s="25" t="n">
        <f aca="false">P1030-N1030</f>
        <v>-317.1</v>
      </c>
      <c r="R1030" s="22" t="str">
        <f aca="false">IF(O1030=0,"No August moorage transaction",IF(O1030&gt;1,"Duplicate August transactions",IF(ABS(Q1030)&gt;0.005,"Charge variance","OK")))</f>
        <v>No August moorage transaction</v>
      </c>
      <c r="S1030" s="22" t="str">
        <f aca="false">IF(R1030="OK","","Billing completeness/reconciliation")</f>
        <v>Billing completeness/reconciliation</v>
      </c>
    </row>
    <row r="1031" customFormat="false" ht="15" hidden="false" customHeight="false" outlineLevel="0" collapsed="false">
      <c r="A1031" s="22" t="s">
        <v>8512</v>
      </c>
      <c r="B1031" s="22" t="s">
        <v>188</v>
      </c>
      <c r="C1031" s="22" t="s">
        <v>7694</v>
      </c>
      <c r="D1031" s="22" t="n">
        <v>24</v>
      </c>
      <c r="E1031" s="22" t="s">
        <v>7696</v>
      </c>
      <c r="F1031" s="22" t="s">
        <v>6577</v>
      </c>
      <c r="G1031" s="22" t="s">
        <v>1570</v>
      </c>
      <c r="H1031" s="22" t="s">
        <v>1571</v>
      </c>
      <c r="I1031" s="22" t="s">
        <v>1572</v>
      </c>
      <c r="J1031" s="22" t="n">
        <v>32.4</v>
      </c>
      <c r="K1031" s="22" t="n">
        <f aca="false">ROUNDUP(J1031,0)</f>
        <v>33</v>
      </c>
      <c r="L1031" s="22" t="n">
        <f aca="false">MAX(D1031,K1031)</f>
        <v>33</v>
      </c>
      <c r="M1031" s="25" t="n">
        <f aca="false">IF(E1031="COVERED",'Controls &amp; Sources'!$B$5,'Controls &amp; Sources'!$B$6)</f>
        <v>7.55</v>
      </c>
      <c r="N1031" s="25" t="n">
        <f aca="false">L1031*M1031</f>
        <v>249.15</v>
      </c>
      <c r="O1031" s="22" t="n">
        <f aca="false">COUNTIFS('Billing Actual'!$E$2:$E$770,A1031,'Billing Actual'!$B$2:$B$770,'Controls &amp; Sources'!$B$7)</f>
        <v>0</v>
      </c>
      <c r="P1031" s="25" t="n">
        <f aca="false">SUMIFS('Billing Actual'!$M$2:$M$770,'Billing Actual'!$E$2:$E$770,A1031,'Billing Actual'!$B$2:$B$770,'Controls &amp; Sources'!$B$7)</f>
        <v>0</v>
      </c>
      <c r="Q1031" s="25" t="n">
        <f aca="false">P1031-N1031</f>
        <v>-249.15</v>
      </c>
      <c r="R1031" s="22" t="str">
        <f aca="false">IF(O1031=0,"No August moorage transaction",IF(O1031&gt;1,"Duplicate August transactions",IF(ABS(Q1031)&gt;0.005,"Charge variance","OK")))</f>
        <v>No August moorage transaction</v>
      </c>
      <c r="S1031" s="22" t="str">
        <f aca="false">IF(R1031="OK","","Billing completeness/reconciliation")</f>
        <v>Billing completeness/reconciliation</v>
      </c>
    </row>
    <row r="1032" customFormat="false" ht="15" hidden="false" customHeight="false" outlineLevel="0" collapsed="false">
      <c r="A1032" s="22" t="s">
        <v>8513</v>
      </c>
      <c r="B1032" s="22" t="s">
        <v>188</v>
      </c>
      <c r="C1032" s="22" t="s">
        <v>7694</v>
      </c>
      <c r="D1032" s="22" t="n">
        <v>28</v>
      </c>
      <c r="E1032" s="22" t="s">
        <v>7696</v>
      </c>
      <c r="F1032" s="22" t="s">
        <v>6577</v>
      </c>
      <c r="G1032" s="22" t="s">
        <v>4243</v>
      </c>
      <c r="H1032" s="22" t="s">
        <v>4244</v>
      </c>
      <c r="I1032" s="22" t="s">
        <v>1307</v>
      </c>
      <c r="J1032" s="22" t="n">
        <v>37.3</v>
      </c>
      <c r="K1032" s="22" t="n">
        <f aca="false">ROUNDUP(J1032,0)</f>
        <v>38</v>
      </c>
      <c r="L1032" s="22" t="n">
        <f aca="false">MAX(D1032,K1032)</f>
        <v>38</v>
      </c>
      <c r="M1032" s="25" t="n">
        <f aca="false">IF(E1032="COVERED",'Controls &amp; Sources'!$B$5,'Controls &amp; Sources'!$B$6)</f>
        <v>7.55</v>
      </c>
      <c r="N1032" s="25" t="n">
        <f aca="false">L1032*M1032</f>
        <v>286.9</v>
      </c>
      <c r="O1032" s="22" t="n">
        <f aca="false">COUNTIFS('Billing Actual'!$E$2:$E$770,A1032,'Billing Actual'!$B$2:$B$770,'Controls &amp; Sources'!$B$7)</f>
        <v>0</v>
      </c>
      <c r="P1032" s="25" t="n">
        <f aca="false">SUMIFS('Billing Actual'!$M$2:$M$770,'Billing Actual'!$E$2:$E$770,A1032,'Billing Actual'!$B$2:$B$770,'Controls &amp; Sources'!$B$7)</f>
        <v>0</v>
      </c>
      <c r="Q1032" s="25" t="n">
        <f aca="false">P1032-N1032</f>
        <v>-286.9</v>
      </c>
      <c r="R1032" s="22" t="str">
        <f aca="false">IF(O1032=0,"No August moorage transaction",IF(O1032&gt;1,"Duplicate August transactions",IF(ABS(Q1032)&gt;0.005,"Charge variance","OK")))</f>
        <v>No August moorage transaction</v>
      </c>
      <c r="S1032" s="22" t="str">
        <f aca="false">IF(R1032="OK","","Billing completeness/reconciliation")</f>
        <v>Billing completeness/reconciliation</v>
      </c>
    </row>
    <row r="1033" customFormat="false" ht="15" hidden="false" customHeight="false" outlineLevel="0" collapsed="false">
      <c r="A1033" s="22" t="s">
        <v>8514</v>
      </c>
      <c r="B1033" s="22" t="s">
        <v>188</v>
      </c>
      <c r="C1033" s="22" t="s">
        <v>7694</v>
      </c>
      <c r="D1033" s="22" t="n">
        <v>50</v>
      </c>
      <c r="E1033" s="22" t="s">
        <v>7696</v>
      </c>
      <c r="F1033" s="22" t="s">
        <v>6577</v>
      </c>
      <c r="G1033" s="22" t="s">
        <v>5204</v>
      </c>
      <c r="H1033" s="22" t="s">
        <v>5205</v>
      </c>
      <c r="I1033" s="22" t="s">
        <v>626</v>
      </c>
      <c r="J1033" s="22" t="n">
        <v>19.2</v>
      </c>
      <c r="K1033" s="22" t="n">
        <f aca="false">ROUNDUP(J1033,0)</f>
        <v>20</v>
      </c>
      <c r="L1033" s="22" t="n">
        <f aca="false">MAX(D1033,K1033)</f>
        <v>50</v>
      </c>
      <c r="M1033" s="25" t="n">
        <f aca="false">IF(E1033="COVERED",'Controls &amp; Sources'!$B$5,'Controls &amp; Sources'!$B$6)</f>
        <v>7.55</v>
      </c>
      <c r="N1033" s="25" t="n">
        <f aca="false">L1033*M1033</f>
        <v>377.5</v>
      </c>
      <c r="O1033" s="22" t="n">
        <f aca="false">COUNTIFS('Billing Actual'!$E$2:$E$770,A1033,'Billing Actual'!$B$2:$B$770,'Controls &amp; Sources'!$B$7)</f>
        <v>0</v>
      </c>
      <c r="P1033" s="25" t="n">
        <f aca="false">SUMIFS('Billing Actual'!$M$2:$M$770,'Billing Actual'!$E$2:$E$770,A1033,'Billing Actual'!$B$2:$B$770,'Controls &amp; Sources'!$B$7)</f>
        <v>0</v>
      </c>
      <c r="Q1033" s="25" t="n">
        <f aca="false">P1033-N1033</f>
        <v>-377.5</v>
      </c>
      <c r="R1033" s="22" t="str">
        <f aca="false">IF(O1033=0,"No August moorage transaction",IF(O1033&gt;1,"Duplicate August transactions",IF(ABS(Q1033)&gt;0.005,"Charge variance","OK")))</f>
        <v>No August moorage transaction</v>
      </c>
      <c r="S1033" s="22" t="str">
        <f aca="false">IF(R1033="OK","","Billing completeness/reconciliation")</f>
        <v>Billing completeness/reconciliation</v>
      </c>
    </row>
    <row r="1034" customFormat="false" ht="15" hidden="false" customHeight="false" outlineLevel="0" collapsed="false">
      <c r="A1034" s="22" t="s">
        <v>8515</v>
      </c>
      <c r="B1034" s="22" t="s">
        <v>188</v>
      </c>
      <c r="C1034" s="22" t="s">
        <v>7694</v>
      </c>
      <c r="D1034" s="22" t="n">
        <v>32</v>
      </c>
      <c r="E1034" s="22" t="s">
        <v>7696</v>
      </c>
      <c r="F1034" s="22" t="s">
        <v>6577</v>
      </c>
      <c r="G1034" s="22" t="s">
        <v>4821</v>
      </c>
      <c r="H1034" s="22" t="s">
        <v>4822</v>
      </c>
      <c r="I1034" s="22" t="s">
        <v>4823</v>
      </c>
      <c r="J1034" s="22" t="n">
        <v>23.6</v>
      </c>
      <c r="K1034" s="22" t="n">
        <f aca="false">ROUNDUP(J1034,0)</f>
        <v>24</v>
      </c>
      <c r="L1034" s="22" t="n">
        <f aca="false">MAX(D1034,K1034)</f>
        <v>32</v>
      </c>
      <c r="M1034" s="25" t="n">
        <f aca="false">IF(E1034="COVERED",'Controls &amp; Sources'!$B$5,'Controls &amp; Sources'!$B$6)</f>
        <v>7.55</v>
      </c>
      <c r="N1034" s="25" t="n">
        <f aca="false">L1034*M1034</f>
        <v>241.6</v>
      </c>
      <c r="O1034" s="22" t="n">
        <f aca="false">COUNTIFS('Billing Actual'!$E$2:$E$770,A1034,'Billing Actual'!$B$2:$B$770,'Controls &amp; Sources'!$B$7)</f>
        <v>0</v>
      </c>
      <c r="P1034" s="25" t="n">
        <f aca="false">SUMIFS('Billing Actual'!$M$2:$M$770,'Billing Actual'!$E$2:$E$770,A1034,'Billing Actual'!$B$2:$B$770,'Controls &amp; Sources'!$B$7)</f>
        <v>0</v>
      </c>
      <c r="Q1034" s="25" t="n">
        <f aca="false">P1034-N1034</f>
        <v>-241.6</v>
      </c>
      <c r="R1034" s="22" t="str">
        <f aca="false">IF(O1034=0,"No August moorage transaction",IF(O1034&gt;1,"Duplicate August transactions",IF(ABS(Q1034)&gt;0.005,"Charge variance","OK")))</f>
        <v>No August moorage transaction</v>
      </c>
      <c r="S1034" s="22" t="str">
        <f aca="false">IF(R1034="OK","","Billing completeness/reconciliation")</f>
        <v>Billing completeness/reconciliation</v>
      </c>
    </row>
    <row r="1035" customFormat="false" ht="15" hidden="false" customHeight="false" outlineLevel="0" collapsed="false">
      <c r="A1035" s="22" t="s">
        <v>8516</v>
      </c>
      <c r="B1035" s="22" t="s">
        <v>188</v>
      </c>
      <c r="C1035" s="22" t="s">
        <v>7694</v>
      </c>
      <c r="D1035" s="22" t="n">
        <v>70</v>
      </c>
      <c r="E1035" s="22" t="s">
        <v>7696</v>
      </c>
      <c r="F1035" s="22" t="s">
        <v>6577</v>
      </c>
      <c r="G1035" s="22" t="s">
        <v>3375</v>
      </c>
      <c r="H1035" s="22" t="s">
        <v>3376</v>
      </c>
      <c r="I1035" s="22" t="s">
        <v>1718</v>
      </c>
      <c r="J1035" s="22" t="n">
        <v>25.3</v>
      </c>
      <c r="K1035" s="22" t="n">
        <f aca="false">ROUNDUP(J1035,0)</f>
        <v>26</v>
      </c>
      <c r="L1035" s="22" t="n">
        <f aca="false">MAX(D1035,K1035)</f>
        <v>70</v>
      </c>
      <c r="M1035" s="25" t="n">
        <f aca="false">IF(E1035="COVERED",'Controls &amp; Sources'!$B$5,'Controls &amp; Sources'!$B$6)</f>
        <v>7.55</v>
      </c>
      <c r="N1035" s="25" t="n">
        <f aca="false">L1035*M1035</f>
        <v>528.5</v>
      </c>
      <c r="O1035" s="22" t="n">
        <f aca="false">COUNTIFS('Billing Actual'!$E$2:$E$770,A1035,'Billing Actual'!$B$2:$B$770,'Controls &amp; Sources'!$B$7)</f>
        <v>0</v>
      </c>
      <c r="P1035" s="25" t="n">
        <f aca="false">SUMIFS('Billing Actual'!$M$2:$M$770,'Billing Actual'!$E$2:$E$770,A1035,'Billing Actual'!$B$2:$B$770,'Controls &amp; Sources'!$B$7)</f>
        <v>0</v>
      </c>
      <c r="Q1035" s="25" t="n">
        <f aca="false">P1035-N1035</f>
        <v>-528.5</v>
      </c>
      <c r="R1035" s="22" t="str">
        <f aca="false">IF(O1035=0,"No August moorage transaction",IF(O1035&gt;1,"Duplicate August transactions",IF(ABS(Q1035)&gt;0.005,"Charge variance","OK")))</f>
        <v>No August moorage transaction</v>
      </c>
      <c r="S1035" s="22" t="str">
        <f aca="false">IF(R1035="OK","","Billing completeness/reconciliation")</f>
        <v>Billing completeness/reconciliation</v>
      </c>
    </row>
    <row r="1036" customFormat="false" ht="15" hidden="false" customHeight="false" outlineLevel="0" collapsed="false">
      <c r="A1036" s="22" t="s">
        <v>8518</v>
      </c>
      <c r="B1036" s="22" t="s">
        <v>188</v>
      </c>
      <c r="C1036" s="22" t="s">
        <v>7694</v>
      </c>
      <c r="D1036" s="22" t="n">
        <v>28</v>
      </c>
      <c r="E1036" s="22" t="s">
        <v>7696</v>
      </c>
      <c r="F1036" s="22" t="s">
        <v>6577</v>
      </c>
      <c r="G1036" s="22" t="s">
        <v>2464</v>
      </c>
      <c r="H1036" s="22" t="s">
        <v>2465</v>
      </c>
      <c r="I1036" s="22" t="s">
        <v>579</v>
      </c>
      <c r="J1036" s="22" t="n">
        <v>48.9</v>
      </c>
      <c r="K1036" s="22" t="n">
        <f aca="false">ROUNDUP(J1036,0)</f>
        <v>49</v>
      </c>
      <c r="L1036" s="22" t="n">
        <f aca="false">MAX(D1036,K1036)</f>
        <v>49</v>
      </c>
      <c r="M1036" s="25" t="n">
        <f aca="false">IF(E1036="COVERED",'Controls &amp; Sources'!$B$5,'Controls &amp; Sources'!$B$6)</f>
        <v>7.55</v>
      </c>
      <c r="N1036" s="25" t="n">
        <f aca="false">L1036*M1036</f>
        <v>369.95</v>
      </c>
      <c r="O1036" s="22" t="n">
        <f aca="false">COUNTIFS('Billing Actual'!$E$2:$E$770,A1036,'Billing Actual'!$B$2:$B$770,'Controls &amp; Sources'!$B$7)</f>
        <v>0</v>
      </c>
      <c r="P1036" s="25" t="n">
        <f aca="false">SUMIFS('Billing Actual'!$M$2:$M$770,'Billing Actual'!$E$2:$E$770,A1036,'Billing Actual'!$B$2:$B$770,'Controls &amp; Sources'!$B$7)</f>
        <v>0</v>
      </c>
      <c r="Q1036" s="25" t="n">
        <f aca="false">P1036-N1036</f>
        <v>-369.95</v>
      </c>
      <c r="R1036" s="22" t="str">
        <f aca="false">IF(O1036=0,"No August moorage transaction",IF(O1036&gt;1,"Duplicate August transactions",IF(ABS(Q1036)&gt;0.005,"Charge variance","OK")))</f>
        <v>No August moorage transaction</v>
      </c>
      <c r="S1036" s="22" t="str">
        <f aca="false">IF(R1036="OK","","Billing completeness/reconciliation")</f>
        <v>Billing completeness/reconciliation</v>
      </c>
    </row>
    <row r="1037" customFormat="false" ht="15" hidden="false" customHeight="false" outlineLevel="0" collapsed="false">
      <c r="A1037" s="22" t="s">
        <v>8519</v>
      </c>
      <c r="B1037" s="22" t="s">
        <v>188</v>
      </c>
      <c r="C1037" s="22" t="s">
        <v>7694</v>
      </c>
      <c r="D1037" s="22" t="n">
        <v>28</v>
      </c>
      <c r="E1037" s="22" t="s">
        <v>7696</v>
      </c>
      <c r="F1037" s="22" t="s">
        <v>6577</v>
      </c>
      <c r="G1037" s="22" t="s">
        <v>3392</v>
      </c>
      <c r="H1037" s="22" t="s">
        <v>3393</v>
      </c>
      <c r="I1037" s="22" t="s">
        <v>3394</v>
      </c>
      <c r="J1037" s="22" t="n">
        <v>44.5</v>
      </c>
      <c r="K1037" s="22" t="n">
        <f aca="false">ROUNDUP(J1037,0)</f>
        <v>45</v>
      </c>
      <c r="L1037" s="22" t="n">
        <f aca="false">MAX(D1037,K1037)</f>
        <v>45</v>
      </c>
      <c r="M1037" s="25" t="n">
        <f aca="false">IF(E1037="COVERED",'Controls &amp; Sources'!$B$5,'Controls &amp; Sources'!$B$6)</f>
        <v>7.55</v>
      </c>
      <c r="N1037" s="25" t="n">
        <f aca="false">L1037*M1037</f>
        <v>339.75</v>
      </c>
      <c r="O1037" s="22" t="n">
        <f aca="false">COUNTIFS('Billing Actual'!$E$2:$E$770,A1037,'Billing Actual'!$B$2:$B$770,'Controls &amp; Sources'!$B$7)</f>
        <v>0</v>
      </c>
      <c r="P1037" s="25" t="n">
        <f aca="false">SUMIFS('Billing Actual'!$M$2:$M$770,'Billing Actual'!$E$2:$E$770,A1037,'Billing Actual'!$B$2:$B$770,'Controls &amp; Sources'!$B$7)</f>
        <v>0</v>
      </c>
      <c r="Q1037" s="25" t="n">
        <f aca="false">P1037-N1037</f>
        <v>-339.75</v>
      </c>
      <c r="R1037" s="22" t="str">
        <f aca="false">IF(O1037=0,"No August moorage transaction",IF(O1037&gt;1,"Duplicate August transactions",IF(ABS(Q1037)&gt;0.005,"Charge variance","OK")))</f>
        <v>No August moorage transaction</v>
      </c>
      <c r="S1037" s="22" t="str">
        <f aca="false">IF(R1037="OK","","Billing completeness/reconciliation")</f>
        <v>Billing completeness/reconciliation</v>
      </c>
    </row>
    <row r="1038" customFormat="false" ht="15" hidden="false" customHeight="false" outlineLevel="0" collapsed="false">
      <c r="A1038" s="22" t="s">
        <v>8521</v>
      </c>
      <c r="B1038" s="22" t="s">
        <v>188</v>
      </c>
      <c r="C1038" s="22" t="s">
        <v>7694</v>
      </c>
      <c r="D1038" s="22" t="n">
        <v>45</v>
      </c>
      <c r="E1038" s="22" t="s">
        <v>7696</v>
      </c>
      <c r="F1038" s="22" t="s">
        <v>6577</v>
      </c>
      <c r="G1038" s="22" t="s">
        <v>2519</v>
      </c>
      <c r="H1038" s="22" t="s">
        <v>2520</v>
      </c>
      <c r="I1038" s="22" t="s">
        <v>1172</v>
      </c>
      <c r="J1038" s="22" t="n">
        <v>38.7</v>
      </c>
      <c r="K1038" s="22" t="n">
        <f aca="false">ROUNDUP(J1038,0)</f>
        <v>39</v>
      </c>
      <c r="L1038" s="22" t="n">
        <f aca="false">MAX(D1038,K1038)</f>
        <v>45</v>
      </c>
      <c r="M1038" s="25" t="n">
        <f aca="false">IF(E1038="COVERED",'Controls &amp; Sources'!$B$5,'Controls &amp; Sources'!$B$6)</f>
        <v>7.55</v>
      </c>
      <c r="N1038" s="25" t="n">
        <f aca="false">L1038*M1038</f>
        <v>339.75</v>
      </c>
      <c r="O1038" s="22" t="n">
        <f aca="false">COUNTIFS('Billing Actual'!$E$2:$E$770,A1038,'Billing Actual'!$B$2:$B$770,'Controls &amp; Sources'!$B$7)</f>
        <v>0</v>
      </c>
      <c r="P1038" s="25" t="n">
        <f aca="false">SUMIFS('Billing Actual'!$M$2:$M$770,'Billing Actual'!$E$2:$E$770,A1038,'Billing Actual'!$B$2:$B$770,'Controls &amp; Sources'!$B$7)</f>
        <v>0</v>
      </c>
      <c r="Q1038" s="25" t="n">
        <f aca="false">P1038-N1038</f>
        <v>-339.75</v>
      </c>
      <c r="R1038" s="22" t="str">
        <f aca="false">IF(O1038=0,"No August moorage transaction",IF(O1038&gt;1,"Duplicate August transactions",IF(ABS(Q1038)&gt;0.005,"Charge variance","OK")))</f>
        <v>No August moorage transaction</v>
      </c>
      <c r="S1038" s="22" t="str">
        <f aca="false">IF(R1038="OK","","Billing completeness/reconciliation")</f>
        <v>Billing completeness/reconciliation</v>
      </c>
    </row>
    <row r="1039" customFormat="false" ht="15" hidden="false" customHeight="false" outlineLevel="0" collapsed="false">
      <c r="A1039" s="22" t="s">
        <v>8522</v>
      </c>
      <c r="B1039" s="22" t="s">
        <v>188</v>
      </c>
      <c r="C1039" s="22" t="s">
        <v>7694</v>
      </c>
      <c r="D1039" s="22" t="n">
        <v>24</v>
      </c>
      <c r="E1039" s="22" t="s">
        <v>7696</v>
      </c>
      <c r="F1039" s="22" t="s">
        <v>6577</v>
      </c>
      <c r="G1039" s="22" t="s">
        <v>2785</v>
      </c>
      <c r="H1039" s="22" t="s">
        <v>2786</v>
      </c>
      <c r="I1039" s="22" t="s">
        <v>321</v>
      </c>
      <c r="J1039" s="22" t="n">
        <v>25.7</v>
      </c>
      <c r="K1039" s="22" t="n">
        <f aca="false">ROUNDUP(J1039,0)</f>
        <v>26</v>
      </c>
      <c r="L1039" s="22" t="n">
        <f aca="false">MAX(D1039,K1039)</f>
        <v>26</v>
      </c>
      <c r="M1039" s="25" t="n">
        <f aca="false">IF(E1039="COVERED",'Controls &amp; Sources'!$B$5,'Controls &amp; Sources'!$B$6)</f>
        <v>7.55</v>
      </c>
      <c r="N1039" s="25" t="n">
        <f aca="false">L1039*M1039</f>
        <v>196.3</v>
      </c>
      <c r="O1039" s="22" t="n">
        <f aca="false">COUNTIFS('Billing Actual'!$E$2:$E$770,A1039,'Billing Actual'!$B$2:$B$770,'Controls &amp; Sources'!$B$7)</f>
        <v>0</v>
      </c>
      <c r="P1039" s="25" t="n">
        <f aca="false">SUMIFS('Billing Actual'!$M$2:$M$770,'Billing Actual'!$E$2:$E$770,A1039,'Billing Actual'!$B$2:$B$770,'Controls &amp; Sources'!$B$7)</f>
        <v>0</v>
      </c>
      <c r="Q1039" s="25" t="n">
        <f aca="false">P1039-N1039</f>
        <v>-196.3</v>
      </c>
      <c r="R1039" s="22" t="str">
        <f aca="false">IF(O1039=0,"No August moorage transaction",IF(O1039&gt;1,"Duplicate August transactions",IF(ABS(Q1039)&gt;0.005,"Charge variance","OK")))</f>
        <v>No August moorage transaction</v>
      </c>
      <c r="S1039" s="22" t="str">
        <f aca="false">IF(R1039="OK","","Billing completeness/reconciliation")</f>
        <v>Billing completeness/reconciliation</v>
      </c>
    </row>
    <row r="1040" customFormat="false" ht="15" hidden="false" customHeight="false" outlineLevel="0" collapsed="false">
      <c r="A1040" s="22" t="s">
        <v>8523</v>
      </c>
      <c r="B1040" s="22" t="s">
        <v>188</v>
      </c>
      <c r="C1040" s="22" t="s">
        <v>7694</v>
      </c>
      <c r="D1040" s="22" t="n">
        <v>28</v>
      </c>
      <c r="E1040" s="22" t="s">
        <v>7696</v>
      </c>
      <c r="F1040" s="22" t="s">
        <v>6577</v>
      </c>
      <c r="G1040" s="22" t="s">
        <v>5893</v>
      </c>
      <c r="H1040" s="22" t="s">
        <v>5894</v>
      </c>
      <c r="I1040" s="22" t="s">
        <v>723</v>
      </c>
      <c r="J1040" s="22" t="n">
        <v>27.1</v>
      </c>
      <c r="K1040" s="22" t="n">
        <f aca="false">ROUNDUP(J1040,0)</f>
        <v>28</v>
      </c>
      <c r="L1040" s="22" t="n">
        <f aca="false">MAX(D1040,K1040)</f>
        <v>28</v>
      </c>
      <c r="M1040" s="25" t="n">
        <f aca="false">IF(E1040="COVERED",'Controls &amp; Sources'!$B$5,'Controls &amp; Sources'!$B$6)</f>
        <v>7.55</v>
      </c>
      <c r="N1040" s="25" t="n">
        <f aca="false">L1040*M1040</f>
        <v>211.4</v>
      </c>
      <c r="O1040" s="22" t="n">
        <f aca="false">COUNTIFS('Billing Actual'!$E$2:$E$770,A1040,'Billing Actual'!$B$2:$B$770,'Controls &amp; Sources'!$B$7)</f>
        <v>0</v>
      </c>
      <c r="P1040" s="25" t="n">
        <f aca="false">SUMIFS('Billing Actual'!$M$2:$M$770,'Billing Actual'!$E$2:$E$770,A1040,'Billing Actual'!$B$2:$B$770,'Controls &amp; Sources'!$B$7)</f>
        <v>0</v>
      </c>
      <c r="Q1040" s="25" t="n">
        <f aca="false">P1040-N1040</f>
        <v>-211.4</v>
      </c>
      <c r="R1040" s="22" t="str">
        <f aca="false">IF(O1040=0,"No August moorage transaction",IF(O1040&gt;1,"Duplicate August transactions",IF(ABS(Q1040)&gt;0.005,"Charge variance","OK")))</f>
        <v>No August moorage transaction</v>
      </c>
      <c r="S1040" s="22" t="str">
        <f aca="false">IF(R1040="OK","","Billing completeness/reconciliation")</f>
        <v>Billing completeness/reconciliation</v>
      </c>
    </row>
    <row r="1041" customFormat="false" ht="15" hidden="false" customHeight="false" outlineLevel="0" collapsed="false">
      <c r="A1041" s="22" t="s">
        <v>8524</v>
      </c>
      <c r="B1041" s="22" t="s">
        <v>188</v>
      </c>
      <c r="C1041" s="22" t="s">
        <v>7694</v>
      </c>
      <c r="D1041" s="22" t="n">
        <v>50</v>
      </c>
      <c r="E1041" s="22" t="s">
        <v>7696</v>
      </c>
      <c r="F1041" s="22" t="s">
        <v>6577</v>
      </c>
      <c r="G1041" s="22" t="s">
        <v>1559</v>
      </c>
      <c r="H1041" s="22" t="s">
        <v>1560</v>
      </c>
      <c r="I1041" s="22" t="s">
        <v>266</v>
      </c>
      <c r="J1041" s="22" t="n">
        <v>36.7</v>
      </c>
      <c r="K1041" s="22" t="n">
        <f aca="false">ROUNDUP(J1041,0)</f>
        <v>37</v>
      </c>
      <c r="L1041" s="22" t="n">
        <f aca="false">MAX(D1041,K1041)</f>
        <v>50</v>
      </c>
      <c r="M1041" s="25" t="n">
        <f aca="false">IF(E1041="COVERED",'Controls &amp; Sources'!$B$5,'Controls &amp; Sources'!$B$6)</f>
        <v>7.55</v>
      </c>
      <c r="N1041" s="25" t="n">
        <f aca="false">L1041*M1041</f>
        <v>377.5</v>
      </c>
      <c r="O1041" s="22" t="n">
        <f aca="false">COUNTIFS('Billing Actual'!$E$2:$E$770,A1041,'Billing Actual'!$B$2:$B$770,'Controls &amp; Sources'!$B$7)</f>
        <v>0</v>
      </c>
      <c r="P1041" s="25" t="n">
        <f aca="false">SUMIFS('Billing Actual'!$M$2:$M$770,'Billing Actual'!$E$2:$E$770,A1041,'Billing Actual'!$B$2:$B$770,'Controls &amp; Sources'!$B$7)</f>
        <v>0</v>
      </c>
      <c r="Q1041" s="25" t="n">
        <f aca="false">P1041-N1041</f>
        <v>-377.5</v>
      </c>
      <c r="R1041" s="22" t="str">
        <f aca="false">IF(O1041=0,"No August moorage transaction",IF(O1041&gt;1,"Duplicate August transactions",IF(ABS(Q1041)&gt;0.005,"Charge variance","OK")))</f>
        <v>No August moorage transaction</v>
      </c>
      <c r="S1041" s="22" t="str">
        <f aca="false">IF(R1041="OK","","Billing completeness/reconciliation")</f>
        <v>Billing completeness/reconciliation</v>
      </c>
    </row>
    <row r="1042" customFormat="false" ht="15" hidden="false" customHeight="false" outlineLevel="0" collapsed="false">
      <c r="A1042" s="22" t="s">
        <v>8525</v>
      </c>
      <c r="B1042" s="22" t="s">
        <v>188</v>
      </c>
      <c r="C1042" s="22" t="s">
        <v>7694</v>
      </c>
      <c r="D1042" s="22" t="n">
        <v>24</v>
      </c>
      <c r="E1042" s="22" t="s">
        <v>7696</v>
      </c>
      <c r="F1042" s="22" t="s">
        <v>6577</v>
      </c>
      <c r="G1042" s="22" t="s">
        <v>6455</v>
      </c>
      <c r="H1042" s="22" t="s">
        <v>6456</v>
      </c>
      <c r="I1042" s="22" t="s">
        <v>885</v>
      </c>
      <c r="J1042" s="22" t="n">
        <v>49.2</v>
      </c>
      <c r="K1042" s="22" t="n">
        <f aca="false">ROUNDUP(J1042,0)</f>
        <v>50</v>
      </c>
      <c r="L1042" s="22" t="n">
        <f aca="false">MAX(D1042,K1042)</f>
        <v>50</v>
      </c>
      <c r="M1042" s="25" t="n">
        <f aca="false">IF(E1042="COVERED",'Controls &amp; Sources'!$B$5,'Controls &amp; Sources'!$B$6)</f>
        <v>7.55</v>
      </c>
      <c r="N1042" s="25" t="n">
        <f aca="false">L1042*M1042</f>
        <v>377.5</v>
      </c>
      <c r="O1042" s="22" t="n">
        <f aca="false">COUNTIFS('Billing Actual'!$E$2:$E$770,A1042,'Billing Actual'!$B$2:$B$770,'Controls &amp; Sources'!$B$7)</f>
        <v>0</v>
      </c>
      <c r="P1042" s="25" t="n">
        <f aca="false">SUMIFS('Billing Actual'!$M$2:$M$770,'Billing Actual'!$E$2:$E$770,A1042,'Billing Actual'!$B$2:$B$770,'Controls &amp; Sources'!$B$7)</f>
        <v>0</v>
      </c>
      <c r="Q1042" s="25" t="n">
        <f aca="false">P1042-N1042</f>
        <v>-377.5</v>
      </c>
      <c r="R1042" s="22" t="str">
        <f aca="false">IF(O1042=0,"No August moorage transaction",IF(O1042&gt;1,"Duplicate August transactions",IF(ABS(Q1042)&gt;0.005,"Charge variance","OK")))</f>
        <v>No August moorage transaction</v>
      </c>
      <c r="S1042" s="22" t="str">
        <f aca="false">IF(R1042="OK","","Billing completeness/reconciliation")</f>
        <v>Billing completeness/reconciliation</v>
      </c>
    </row>
    <row r="1043" customFormat="false" ht="15" hidden="false" customHeight="false" outlineLevel="0" collapsed="false">
      <c r="A1043" s="22" t="s">
        <v>8526</v>
      </c>
      <c r="B1043" s="22" t="s">
        <v>188</v>
      </c>
      <c r="C1043" s="22" t="s">
        <v>7694</v>
      </c>
      <c r="D1043" s="22" t="n">
        <v>70</v>
      </c>
      <c r="E1043" s="22" t="s">
        <v>7696</v>
      </c>
      <c r="F1043" s="22" t="s">
        <v>6577</v>
      </c>
      <c r="G1043" s="22" t="s">
        <v>5235</v>
      </c>
      <c r="H1043" s="22" t="s">
        <v>5236</v>
      </c>
      <c r="I1043" s="22" t="s">
        <v>588</v>
      </c>
      <c r="J1043" s="22" t="n">
        <v>20.5</v>
      </c>
      <c r="K1043" s="22" t="n">
        <f aca="false">ROUNDUP(J1043,0)</f>
        <v>21</v>
      </c>
      <c r="L1043" s="22" t="n">
        <f aca="false">MAX(D1043,K1043)</f>
        <v>70</v>
      </c>
      <c r="M1043" s="25" t="n">
        <f aca="false">IF(E1043="COVERED",'Controls &amp; Sources'!$B$5,'Controls &amp; Sources'!$B$6)</f>
        <v>7.55</v>
      </c>
      <c r="N1043" s="25" t="n">
        <f aca="false">L1043*M1043</f>
        <v>528.5</v>
      </c>
      <c r="O1043" s="22" t="n">
        <f aca="false">COUNTIFS('Billing Actual'!$E$2:$E$770,A1043,'Billing Actual'!$B$2:$B$770,'Controls &amp; Sources'!$B$7)</f>
        <v>0</v>
      </c>
      <c r="P1043" s="25" t="n">
        <f aca="false">SUMIFS('Billing Actual'!$M$2:$M$770,'Billing Actual'!$E$2:$E$770,A1043,'Billing Actual'!$B$2:$B$770,'Controls &amp; Sources'!$B$7)</f>
        <v>0</v>
      </c>
      <c r="Q1043" s="25" t="n">
        <f aca="false">P1043-N1043</f>
        <v>-528.5</v>
      </c>
      <c r="R1043" s="22" t="str">
        <f aca="false">IF(O1043=0,"No August moorage transaction",IF(O1043&gt;1,"Duplicate August transactions",IF(ABS(Q1043)&gt;0.005,"Charge variance","OK")))</f>
        <v>No August moorage transaction</v>
      </c>
      <c r="S1043" s="22" t="str">
        <f aca="false">IF(R1043="OK","","Billing completeness/reconciliation")</f>
        <v>Billing completeness/reconciliation</v>
      </c>
    </row>
    <row r="1044" customFormat="false" ht="15" hidden="false" customHeight="false" outlineLevel="0" collapsed="false">
      <c r="A1044" s="22" t="s">
        <v>8527</v>
      </c>
      <c r="B1044" s="22" t="s">
        <v>188</v>
      </c>
      <c r="C1044" s="22" t="s">
        <v>7694</v>
      </c>
      <c r="D1044" s="22" t="n">
        <v>60</v>
      </c>
      <c r="E1044" s="22" t="s">
        <v>7696</v>
      </c>
      <c r="F1044" s="22" t="s">
        <v>6577</v>
      </c>
      <c r="G1044" s="22" t="s">
        <v>5760</v>
      </c>
      <c r="H1044" s="22" t="s">
        <v>5761</v>
      </c>
      <c r="I1044" s="22" t="s">
        <v>364</v>
      </c>
      <c r="J1044" s="22" t="n">
        <v>42</v>
      </c>
      <c r="K1044" s="22" t="n">
        <f aca="false">ROUNDUP(J1044,0)</f>
        <v>42</v>
      </c>
      <c r="L1044" s="22" t="n">
        <f aca="false">MAX(D1044,K1044)</f>
        <v>60</v>
      </c>
      <c r="M1044" s="25" t="n">
        <f aca="false">IF(E1044="COVERED",'Controls &amp; Sources'!$B$5,'Controls &amp; Sources'!$B$6)</f>
        <v>7.55</v>
      </c>
      <c r="N1044" s="25" t="n">
        <f aca="false">L1044*M1044</f>
        <v>453</v>
      </c>
      <c r="O1044" s="22" t="n">
        <f aca="false">COUNTIFS('Billing Actual'!$E$2:$E$770,A1044,'Billing Actual'!$B$2:$B$770,'Controls &amp; Sources'!$B$7)</f>
        <v>0</v>
      </c>
      <c r="P1044" s="25" t="n">
        <f aca="false">SUMIFS('Billing Actual'!$M$2:$M$770,'Billing Actual'!$E$2:$E$770,A1044,'Billing Actual'!$B$2:$B$770,'Controls &amp; Sources'!$B$7)</f>
        <v>0</v>
      </c>
      <c r="Q1044" s="25" t="n">
        <f aca="false">P1044-N1044</f>
        <v>-453</v>
      </c>
      <c r="R1044" s="22" t="str">
        <f aca="false">IF(O1044=0,"No August moorage transaction",IF(O1044&gt;1,"Duplicate August transactions",IF(ABS(Q1044)&gt;0.005,"Charge variance","OK")))</f>
        <v>No August moorage transaction</v>
      </c>
      <c r="S1044" s="22" t="str">
        <f aca="false">IF(R1044="OK","","Billing completeness/reconciliation")</f>
        <v>Billing completeness/reconciliation</v>
      </c>
    </row>
    <row r="1045" customFormat="false" ht="15" hidden="false" customHeight="false" outlineLevel="0" collapsed="false">
      <c r="A1045" s="22" t="s">
        <v>8528</v>
      </c>
      <c r="B1045" s="22" t="s">
        <v>188</v>
      </c>
      <c r="C1045" s="22" t="s">
        <v>7694</v>
      </c>
      <c r="D1045" s="22" t="n">
        <v>70</v>
      </c>
      <c r="E1045" s="22" t="s">
        <v>7696</v>
      </c>
      <c r="F1045" s="22" t="s">
        <v>6577</v>
      </c>
      <c r="G1045" s="22" t="s">
        <v>5067</v>
      </c>
      <c r="H1045" s="22" t="s">
        <v>5068</v>
      </c>
      <c r="I1045" s="22" t="s">
        <v>654</v>
      </c>
      <c r="J1045" s="22" t="n">
        <v>24.4</v>
      </c>
      <c r="K1045" s="22" t="n">
        <f aca="false">ROUNDUP(J1045,0)</f>
        <v>25</v>
      </c>
      <c r="L1045" s="22" t="n">
        <f aca="false">MAX(D1045,K1045)</f>
        <v>70</v>
      </c>
      <c r="M1045" s="25" t="n">
        <f aca="false">IF(E1045="COVERED",'Controls &amp; Sources'!$B$5,'Controls &amp; Sources'!$B$6)</f>
        <v>7.55</v>
      </c>
      <c r="N1045" s="25" t="n">
        <f aca="false">L1045*M1045</f>
        <v>528.5</v>
      </c>
      <c r="O1045" s="22" t="n">
        <f aca="false">COUNTIFS('Billing Actual'!$E$2:$E$770,A1045,'Billing Actual'!$B$2:$B$770,'Controls &amp; Sources'!$B$7)</f>
        <v>0</v>
      </c>
      <c r="P1045" s="25" t="n">
        <f aca="false">SUMIFS('Billing Actual'!$M$2:$M$770,'Billing Actual'!$E$2:$E$770,A1045,'Billing Actual'!$B$2:$B$770,'Controls &amp; Sources'!$B$7)</f>
        <v>0</v>
      </c>
      <c r="Q1045" s="25" t="n">
        <f aca="false">P1045-N1045</f>
        <v>-528.5</v>
      </c>
      <c r="R1045" s="22" t="str">
        <f aca="false">IF(O1045=0,"No August moorage transaction",IF(O1045&gt;1,"Duplicate August transactions",IF(ABS(Q1045)&gt;0.005,"Charge variance","OK")))</f>
        <v>No August moorage transaction</v>
      </c>
      <c r="S1045" s="22" t="str">
        <f aca="false">IF(R1045="OK","","Billing completeness/reconciliation")</f>
        <v>Billing completeness/reconciliation</v>
      </c>
    </row>
    <row r="1046" customFormat="false" ht="15" hidden="false" customHeight="false" outlineLevel="0" collapsed="false">
      <c r="A1046" s="22" t="s">
        <v>8529</v>
      </c>
      <c r="B1046" s="22" t="s">
        <v>188</v>
      </c>
      <c r="C1046" s="22" t="s">
        <v>7694</v>
      </c>
      <c r="D1046" s="22" t="n">
        <v>28</v>
      </c>
      <c r="E1046" s="22" t="s">
        <v>7696</v>
      </c>
      <c r="F1046" s="22" t="s">
        <v>6577</v>
      </c>
      <c r="G1046" s="22" t="s">
        <v>5399</v>
      </c>
      <c r="H1046" s="22" t="s">
        <v>5400</v>
      </c>
      <c r="I1046" s="22" t="s">
        <v>1201</v>
      </c>
      <c r="J1046" s="22" t="n">
        <v>56.7</v>
      </c>
      <c r="K1046" s="22" t="n">
        <f aca="false">ROUNDUP(J1046,0)</f>
        <v>57</v>
      </c>
      <c r="L1046" s="22" t="n">
        <f aca="false">MAX(D1046,K1046)</f>
        <v>57</v>
      </c>
      <c r="M1046" s="25" t="n">
        <f aca="false">IF(E1046="COVERED",'Controls &amp; Sources'!$B$5,'Controls &amp; Sources'!$B$6)</f>
        <v>7.55</v>
      </c>
      <c r="N1046" s="25" t="n">
        <f aca="false">L1046*M1046</f>
        <v>430.35</v>
      </c>
      <c r="O1046" s="22" t="n">
        <f aca="false">COUNTIFS('Billing Actual'!$E$2:$E$770,A1046,'Billing Actual'!$B$2:$B$770,'Controls &amp; Sources'!$B$7)</f>
        <v>0</v>
      </c>
      <c r="P1046" s="25" t="n">
        <f aca="false">SUMIFS('Billing Actual'!$M$2:$M$770,'Billing Actual'!$E$2:$E$770,A1046,'Billing Actual'!$B$2:$B$770,'Controls &amp; Sources'!$B$7)</f>
        <v>0</v>
      </c>
      <c r="Q1046" s="25" t="n">
        <f aca="false">P1046-N1046</f>
        <v>-430.35</v>
      </c>
      <c r="R1046" s="22" t="str">
        <f aca="false">IF(O1046=0,"No August moorage transaction",IF(O1046&gt;1,"Duplicate August transactions",IF(ABS(Q1046)&gt;0.005,"Charge variance","OK")))</f>
        <v>No August moorage transaction</v>
      </c>
      <c r="S1046" s="22" t="str">
        <f aca="false">IF(R1046="OK","","Billing completeness/reconciliation")</f>
        <v>Billing completeness/reconciliation</v>
      </c>
    </row>
    <row r="1047" customFormat="false" ht="15" hidden="false" customHeight="false" outlineLevel="0" collapsed="false">
      <c r="A1047" s="22" t="s">
        <v>8530</v>
      </c>
      <c r="B1047" s="22" t="s">
        <v>188</v>
      </c>
      <c r="C1047" s="22" t="s">
        <v>7694</v>
      </c>
      <c r="D1047" s="22" t="n">
        <v>24</v>
      </c>
      <c r="E1047" s="22" t="s">
        <v>7696</v>
      </c>
      <c r="F1047" s="22" t="s">
        <v>6577</v>
      </c>
      <c r="G1047" s="22" t="s">
        <v>4523</v>
      </c>
      <c r="H1047" s="22" t="s">
        <v>4524</v>
      </c>
      <c r="I1047" s="22" t="s">
        <v>599</v>
      </c>
      <c r="J1047" s="22" t="n">
        <v>61.6</v>
      </c>
      <c r="K1047" s="22" t="n">
        <f aca="false">ROUNDUP(J1047,0)</f>
        <v>62</v>
      </c>
      <c r="L1047" s="22" t="n">
        <f aca="false">MAX(D1047,K1047)</f>
        <v>62</v>
      </c>
      <c r="M1047" s="25" t="n">
        <f aca="false">IF(E1047="COVERED",'Controls &amp; Sources'!$B$5,'Controls &amp; Sources'!$B$6)</f>
        <v>7.55</v>
      </c>
      <c r="N1047" s="25" t="n">
        <f aca="false">L1047*M1047</f>
        <v>468.1</v>
      </c>
      <c r="O1047" s="22" t="n">
        <f aca="false">COUNTIFS('Billing Actual'!$E$2:$E$770,A1047,'Billing Actual'!$B$2:$B$770,'Controls &amp; Sources'!$B$7)</f>
        <v>0</v>
      </c>
      <c r="P1047" s="25" t="n">
        <f aca="false">SUMIFS('Billing Actual'!$M$2:$M$770,'Billing Actual'!$E$2:$E$770,A1047,'Billing Actual'!$B$2:$B$770,'Controls &amp; Sources'!$B$7)</f>
        <v>0</v>
      </c>
      <c r="Q1047" s="25" t="n">
        <f aca="false">P1047-N1047</f>
        <v>-468.1</v>
      </c>
      <c r="R1047" s="22" t="str">
        <f aca="false">IF(O1047=0,"No August moorage transaction",IF(O1047&gt;1,"Duplicate August transactions",IF(ABS(Q1047)&gt;0.005,"Charge variance","OK")))</f>
        <v>No August moorage transaction</v>
      </c>
      <c r="S1047" s="22" t="str">
        <f aca="false">IF(R1047="OK","","Billing completeness/reconciliation")</f>
        <v>Billing completeness/reconciliation</v>
      </c>
    </row>
    <row r="1048" customFormat="false" ht="15" hidden="false" customHeight="false" outlineLevel="0" collapsed="false">
      <c r="A1048" s="22" t="s">
        <v>8531</v>
      </c>
      <c r="B1048" s="22" t="s">
        <v>188</v>
      </c>
      <c r="C1048" s="22" t="s">
        <v>7694</v>
      </c>
      <c r="D1048" s="22" t="n">
        <v>60</v>
      </c>
      <c r="E1048" s="22" t="s">
        <v>7696</v>
      </c>
      <c r="F1048" s="22" t="s">
        <v>6577</v>
      </c>
      <c r="G1048" s="22" t="s">
        <v>6063</v>
      </c>
      <c r="H1048" s="22" t="s">
        <v>6064</v>
      </c>
      <c r="I1048" s="22" t="s">
        <v>2241</v>
      </c>
      <c r="J1048" s="22" t="n">
        <v>54.8</v>
      </c>
      <c r="K1048" s="22" t="n">
        <f aca="false">ROUNDUP(J1048,0)</f>
        <v>55</v>
      </c>
      <c r="L1048" s="22" t="n">
        <f aca="false">MAX(D1048,K1048)</f>
        <v>60</v>
      </c>
      <c r="M1048" s="25" t="n">
        <f aca="false">IF(E1048="COVERED",'Controls &amp; Sources'!$B$5,'Controls &amp; Sources'!$B$6)</f>
        <v>7.55</v>
      </c>
      <c r="N1048" s="25" t="n">
        <f aca="false">L1048*M1048</f>
        <v>453</v>
      </c>
      <c r="O1048" s="22" t="n">
        <f aca="false">COUNTIFS('Billing Actual'!$E$2:$E$770,A1048,'Billing Actual'!$B$2:$B$770,'Controls &amp; Sources'!$B$7)</f>
        <v>0</v>
      </c>
      <c r="P1048" s="25" t="n">
        <f aca="false">SUMIFS('Billing Actual'!$M$2:$M$770,'Billing Actual'!$E$2:$E$770,A1048,'Billing Actual'!$B$2:$B$770,'Controls &amp; Sources'!$B$7)</f>
        <v>0</v>
      </c>
      <c r="Q1048" s="25" t="n">
        <f aca="false">P1048-N1048</f>
        <v>-453</v>
      </c>
      <c r="R1048" s="22" t="str">
        <f aca="false">IF(O1048=0,"No August moorage transaction",IF(O1048&gt;1,"Duplicate August transactions",IF(ABS(Q1048)&gt;0.005,"Charge variance","OK")))</f>
        <v>No August moorage transaction</v>
      </c>
      <c r="S1048" s="22" t="str">
        <f aca="false">IF(R1048="OK","","Billing completeness/reconciliation")</f>
        <v>Billing completeness/reconciliation</v>
      </c>
    </row>
    <row r="1049" customFormat="false" ht="15" hidden="false" customHeight="false" outlineLevel="0" collapsed="false">
      <c r="A1049" s="22" t="s">
        <v>8532</v>
      </c>
      <c r="B1049" s="22" t="s">
        <v>188</v>
      </c>
      <c r="C1049" s="22" t="s">
        <v>7694</v>
      </c>
      <c r="D1049" s="22" t="n">
        <v>80</v>
      </c>
      <c r="E1049" s="22" t="s">
        <v>7696</v>
      </c>
      <c r="F1049" s="22" t="s">
        <v>6577</v>
      </c>
      <c r="G1049" s="22" t="s">
        <v>487</v>
      </c>
      <c r="H1049" s="22" t="s">
        <v>488</v>
      </c>
      <c r="I1049" s="22" t="s">
        <v>489</v>
      </c>
      <c r="J1049" s="22" t="n">
        <v>20.2</v>
      </c>
      <c r="K1049" s="22" t="n">
        <f aca="false">ROUNDUP(J1049,0)</f>
        <v>21</v>
      </c>
      <c r="L1049" s="22" t="n">
        <f aca="false">MAX(D1049,K1049)</f>
        <v>80</v>
      </c>
      <c r="M1049" s="25" t="n">
        <f aca="false">IF(E1049="COVERED",'Controls &amp; Sources'!$B$5,'Controls &amp; Sources'!$B$6)</f>
        <v>7.55</v>
      </c>
      <c r="N1049" s="25" t="n">
        <f aca="false">L1049*M1049</f>
        <v>604</v>
      </c>
      <c r="O1049" s="22" t="n">
        <f aca="false">COUNTIFS('Billing Actual'!$E$2:$E$770,A1049,'Billing Actual'!$B$2:$B$770,'Controls &amp; Sources'!$B$7)</f>
        <v>0</v>
      </c>
      <c r="P1049" s="25" t="n">
        <f aca="false">SUMIFS('Billing Actual'!$M$2:$M$770,'Billing Actual'!$E$2:$E$770,A1049,'Billing Actual'!$B$2:$B$770,'Controls &amp; Sources'!$B$7)</f>
        <v>0</v>
      </c>
      <c r="Q1049" s="25" t="n">
        <f aca="false">P1049-N1049</f>
        <v>-604</v>
      </c>
      <c r="R1049" s="22" t="str">
        <f aca="false">IF(O1049=0,"No August moorage transaction",IF(O1049&gt;1,"Duplicate August transactions",IF(ABS(Q1049)&gt;0.005,"Charge variance","OK")))</f>
        <v>No August moorage transaction</v>
      </c>
      <c r="S1049" s="22" t="str">
        <f aca="false">IF(R1049="OK","","Billing completeness/reconciliation")</f>
        <v>Billing completeness/reconciliation</v>
      </c>
    </row>
    <row r="1050" customFormat="false" ht="15" hidden="false" customHeight="false" outlineLevel="0" collapsed="false">
      <c r="A1050" s="22" t="s">
        <v>8533</v>
      </c>
      <c r="B1050" s="22" t="s">
        <v>188</v>
      </c>
      <c r="C1050" s="22" t="s">
        <v>7694</v>
      </c>
      <c r="D1050" s="22" t="n">
        <v>28</v>
      </c>
      <c r="E1050" s="22" t="s">
        <v>7696</v>
      </c>
      <c r="F1050" s="22" t="s">
        <v>6577</v>
      </c>
      <c r="G1050" s="22" t="s">
        <v>5137</v>
      </c>
      <c r="H1050" s="22" t="s">
        <v>5138</v>
      </c>
      <c r="I1050" s="22" t="s">
        <v>1066</v>
      </c>
      <c r="J1050" s="22" t="n">
        <v>59</v>
      </c>
      <c r="K1050" s="22" t="n">
        <f aca="false">ROUNDUP(J1050,0)</f>
        <v>59</v>
      </c>
      <c r="L1050" s="22" t="n">
        <f aca="false">MAX(D1050,K1050)</f>
        <v>59</v>
      </c>
      <c r="M1050" s="25" t="n">
        <f aca="false">IF(E1050="COVERED",'Controls &amp; Sources'!$B$5,'Controls &amp; Sources'!$B$6)</f>
        <v>7.55</v>
      </c>
      <c r="N1050" s="25" t="n">
        <f aca="false">L1050*M1050</f>
        <v>445.45</v>
      </c>
      <c r="O1050" s="22" t="n">
        <f aca="false">COUNTIFS('Billing Actual'!$E$2:$E$770,A1050,'Billing Actual'!$B$2:$B$770,'Controls &amp; Sources'!$B$7)</f>
        <v>0</v>
      </c>
      <c r="P1050" s="25" t="n">
        <f aca="false">SUMIFS('Billing Actual'!$M$2:$M$770,'Billing Actual'!$E$2:$E$770,A1050,'Billing Actual'!$B$2:$B$770,'Controls &amp; Sources'!$B$7)</f>
        <v>0</v>
      </c>
      <c r="Q1050" s="25" t="n">
        <f aca="false">P1050-N1050</f>
        <v>-445.45</v>
      </c>
      <c r="R1050" s="22" t="str">
        <f aca="false">IF(O1050=0,"No August moorage transaction",IF(O1050&gt;1,"Duplicate August transactions",IF(ABS(Q1050)&gt;0.005,"Charge variance","OK")))</f>
        <v>No August moorage transaction</v>
      </c>
      <c r="S1050" s="22" t="str">
        <f aca="false">IF(R1050="OK","","Billing completeness/reconciliation")</f>
        <v>Billing completeness/reconciliation</v>
      </c>
    </row>
    <row r="1051" customFormat="false" ht="15" hidden="false" customHeight="false" outlineLevel="0" collapsed="false">
      <c r="A1051" s="22" t="s">
        <v>8534</v>
      </c>
      <c r="B1051" s="22" t="s">
        <v>188</v>
      </c>
      <c r="C1051" s="22" t="s">
        <v>7694</v>
      </c>
      <c r="D1051" s="22" t="n">
        <v>28</v>
      </c>
      <c r="E1051" s="22" t="s">
        <v>7696</v>
      </c>
      <c r="F1051" s="22" t="s">
        <v>6577</v>
      </c>
      <c r="G1051" s="22" t="s">
        <v>4022</v>
      </c>
      <c r="H1051" s="22" t="s">
        <v>4023</v>
      </c>
      <c r="I1051" s="22" t="s">
        <v>983</v>
      </c>
      <c r="J1051" s="22" t="n">
        <v>31.5</v>
      </c>
      <c r="K1051" s="22" t="n">
        <f aca="false">ROUNDUP(J1051,0)</f>
        <v>32</v>
      </c>
      <c r="L1051" s="22" t="n">
        <f aca="false">MAX(D1051,K1051)</f>
        <v>32</v>
      </c>
      <c r="M1051" s="25" t="n">
        <f aca="false">IF(E1051="COVERED",'Controls &amp; Sources'!$B$5,'Controls &amp; Sources'!$B$6)</f>
        <v>7.55</v>
      </c>
      <c r="N1051" s="25" t="n">
        <f aca="false">L1051*M1051</f>
        <v>241.6</v>
      </c>
      <c r="O1051" s="22" t="n">
        <f aca="false">COUNTIFS('Billing Actual'!$E$2:$E$770,A1051,'Billing Actual'!$B$2:$B$770,'Controls &amp; Sources'!$B$7)</f>
        <v>0</v>
      </c>
      <c r="P1051" s="25" t="n">
        <f aca="false">SUMIFS('Billing Actual'!$M$2:$M$770,'Billing Actual'!$E$2:$E$770,A1051,'Billing Actual'!$B$2:$B$770,'Controls &amp; Sources'!$B$7)</f>
        <v>0</v>
      </c>
      <c r="Q1051" s="25" t="n">
        <f aca="false">P1051-N1051</f>
        <v>-241.6</v>
      </c>
      <c r="R1051" s="22" t="str">
        <f aca="false">IF(O1051=0,"No August moorage transaction",IF(O1051&gt;1,"Duplicate August transactions",IF(ABS(Q1051)&gt;0.005,"Charge variance","OK")))</f>
        <v>No August moorage transaction</v>
      </c>
      <c r="S1051" s="22" t="str">
        <f aca="false">IF(R1051="OK","","Billing completeness/reconciliation")</f>
        <v>Billing completeness/reconciliation</v>
      </c>
    </row>
    <row r="1052" customFormat="false" ht="15" hidden="false" customHeight="false" outlineLevel="0" collapsed="false">
      <c r="A1052" s="22" t="s">
        <v>8535</v>
      </c>
      <c r="B1052" s="22" t="s">
        <v>188</v>
      </c>
      <c r="C1052" s="22" t="s">
        <v>7694</v>
      </c>
      <c r="D1052" s="22" t="n">
        <v>28</v>
      </c>
      <c r="E1052" s="22" t="s">
        <v>7696</v>
      </c>
      <c r="F1052" s="22" t="s">
        <v>6577</v>
      </c>
      <c r="G1052" s="22" t="s">
        <v>3237</v>
      </c>
      <c r="H1052" s="22" t="s">
        <v>3238</v>
      </c>
      <c r="I1052" s="22" t="s">
        <v>463</v>
      </c>
      <c r="J1052" s="22" t="n">
        <v>29.7</v>
      </c>
      <c r="K1052" s="22" t="n">
        <f aca="false">ROUNDUP(J1052,0)</f>
        <v>30</v>
      </c>
      <c r="L1052" s="22" t="n">
        <f aca="false">MAX(D1052,K1052)</f>
        <v>30</v>
      </c>
      <c r="M1052" s="25" t="n">
        <f aca="false">IF(E1052="COVERED",'Controls &amp; Sources'!$B$5,'Controls &amp; Sources'!$B$6)</f>
        <v>7.55</v>
      </c>
      <c r="N1052" s="25" t="n">
        <f aca="false">L1052*M1052</f>
        <v>226.5</v>
      </c>
      <c r="O1052" s="22" t="n">
        <f aca="false">COUNTIFS('Billing Actual'!$E$2:$E$770,A1052,'Billing Actual'!$B$2:$B$770,'Controls &amp; Sources'!$B$7)</f>
        <v>0</v>
      </c>
      <c r="P1052" s="25" t="n">
        <f aca="false">SUMIFS('Billing Actual'!$M$2:$M$770,'Billing Actual'!$E$2:$E$770,A1052,'Billing Actual'!$B$2:$B$770,'Controls &amp; Sources'!$B$7)</f>
        <v>0</v>
      </c>
      <c r="Q1052" s="25" t="n">
        <f aca="false">P1052-N1052</f>
        <v>-226.5</v>
      </c>
      <c r="R1052" s="22" t="str">
        <f aca="false">IF(O1052=0,"No August moorage transaction",IF(O1052&gt;1,"Duplicate August transactions",IF(ABS(Q1052)&gt;0.005,"Charge variance","OK")))</f>
        <v>No August moorage transaction</v>
      </c>
      <c r="S1052" s="22" t="str">
        <f aca="false">IF(R1052="OK","","Billing completeness/reconciliation")</f>
        <v>Billing completeness/reconciliation</v>
      </c>
    </row>
    <row r="1053" customFormat="false" ht="15" hidden="false" customHeight="false" outlineLevel="0" collapsed="false">
      <c r="A1053" s="22" t="s">
        <v>8536</v>
      </c>
      <c r="B1053" s="22" t="s">
        <v>188</v>
      </c>
      <c r="C1053" s="22" t="s">
        <v>7694</v>
      </c>
      <c r="D1053" s="22" t="n">
        <v>24</v>
      </c>
      <c r="E1053" s="22" t="s">
        <v>7696</v>
      </c>
      <c r="F1053" s="22" t="s">
        <v>6577</v>
      </c>
      <c r="G1053" s="22" t="s">
        <v>5401</v>
      </c>
      <c r="H1053" s="22" t="s">
        <v>5402</v>
      </c>
      <c r="I1053" s="22" t="s">
        <v>967</v>
      </c>
      <c r="J1053" s="22" t="n">
        <v>54</v>
      </c>
      <c r="K1053" s="22" t="n">
        <f aca="false">ROUNDUP(J1053,0)</f>
        <v>54</v>
      </c>
      <c r="L1053" s="22" t="n">
        <f aca="false">MAX(D1053,K1053)</f>
        <v>54</v>
      </c>
      <c r="M1053" s="25" t="n">
        <f aca="false">IF(E1053="COVERED",'Controls &amp; Sources'!$B$5,'Controls &amp; Sources'!$B$6)</f>
        <v>7.55</v>
      </c>
      <c r="N1053" s="25" t="n">
        <f aca="false">L1053*M1053</f>
        <v>407.7</v>
      </c>
      <c r="O1053" s="22" t="n">
        <f aca="false">COUNTIFS('Billing Actual'!$E$2:$E$770,A1053,'Billing Actual'!$B$2:$B$770,'Controls &amp; Sources'!$B$7)</f>
        <v>0</v>
      </c>
      <c r="P1053" s="25" t="n">
        <f aca="false">SUMIFS('Billing Actual'!$M$2:$M$770,'Billing Actual'!$E$2:$E$770,A1053,'Billing Actual'!$B$2:$B$770,'Controls &amp; Sources'!$B$7)</f>
        <v>0</v>
      </c>
      <c r="Q1053" s="25" t="n">
        <f aca="false">P1053-N1053</f>
        <v>-407.7</v>
      </c>
      <c r="R1053" s="22" t="str">
        <f aca="false">IF(O1053=0,"No August moorage transaction",IF(O1053&gt;1,"Duplicate August transactions",IF(ABS(Q1053)&gt;0.005,"Charge variance","OK")))</f>
        <v>No August moorage transaction</v>
      </c>
      <c r="S1053" s="22" t="str">
        <f aca="false">IF(R1053="OK","","Billing completeness/reconciliation")</f>
        <v>Billing completeness/reconciliation</v>
      </c>
    </row>
    <row r="1054" customFormat="false" ht="15" hidden="false" customHeight="false" outlineLevel="0" collapsed="false">
      <c r="A1054" s="22" t="s">
        <v>8538</v>
      </c>
      <c r="B1054" s="22" t="s">
        <v>188</v>
      </c>
      <c r="C1054" s="22" t="s">
        <v>7694</v>
      </c>
      <c r="D1054" s="22" t="n">
        <v>24</v>
      </c>
      <c r="E1054" s="22" t="s">
        <v>7696</v>
      </c>
      <c r="F1054" s="22" t="s">
        <v>6577</v>
      </c>
      <c r="G1054" s="22" t="s">
        <v>3558</v>
      </c>
      <c r="H1054" s="22" t="s">
        <v>3559</v>
      </c>
      <c r="I1054" s="22" t="s">
        <v>778</v>
      </c>
      <c r="J1054" s="22" t="n">
        <v>40.1</v>
      </c>
      <c r="K1054" s="22" t="n">
        <f aca="false">ROUNDUP(J1054,0)</f>
        <v>41</v>
      </c>
      <c r="L1054" s="22" t="n">
        <f aca="false">MAX(D1054,K1054)</f>
        <v>41</v>
      </c>
      <c r="M1054" s="25" t="n">
        <f aca="false">IF(E1054="COVERED",'Controls &amp; Sources'!$B$5,'Controls &amp; Sources'!$B$6)</f>
        <v>7.55</v>
      </c>
      <c r="N1054" s="25" t="n">
        <f aca="false">L1054*M1054</f>
        <v>309.55</v>
      </c>
      <c r="O1054" s="22" t="n">
        <f aca="false">COUNTIFS('Billing Actual'!$E$2:$E$770,A1054,'Billing Actual'!$B$2:$B$770,'Controls &amp; Sources'!$B$7)</f>
        <v>0</v>
      </c>
      <c r="P1054" s="25" t="n">
        <f aca="false">SUMIFS('Billing Actual'!$M$2:$M$770,'Billing Actual'!$E$2:$E$770,A1054,'Billing Actual'!$B$2:$B$770,'Controls &amp; Sources'!$B$7)</f>
        <v>0</v>
      </c>
      <c r="Q1054" s="25" t="n">
        <f aca="false">P1054-N1054</f>
        <v>-309.55</v>
      </c>
      <c r="R1054" s="22" t="str">
        <f aca="false">IF(O1054=0,"No August moorage transaction",IF(O1054&gt;1,"Duplicate August transactions",IF(ABS(Q1054)&gt;0.005,"Charge variance","OK")))</f>
        <v>No August moorage transaction</v>
      </c>
      <c r="S1054" s="22" t="str">
        <f aca="false">IF(R1054="OK","","Billing completeness/reconciliation")</f>
        <v>Billing completeness/reconciliation</v>
      </c>
    </row>
    <row r="1055" customFormat="false" ht="15" hidden="false" customHeight="false" outlineLevel="0" collapsed="false">
      <c r="A1055" s="22" t="s">
        <v>8539</v>
      </c>
      <c r="B1055" s="22" t="s">
        <v>188</v>
      </c>
      <c r="C1055" s="22" t="s">
        <v>7694</v>
      </c>
      <c r="D1055" s="22" t="n">
        <v>40</v>
      </c>
      <c r="E1055" s="22" t="s">
        <v>7696</v>
      </c>
      <c r="F1055" s="22" t="s">
        <v>6577</v>
      </c>
      <c r="G1055" s="22" t="s">
        <v>5843</v>
      </c>
      <c r="H1055" s="22" t="s">
        <v>5844</v>
      </c>
      <c r="I1055" s="22" t="s">
        <v>4911</v>
      </c>
      <c r="J1055" s="22" t="n">
        <v>58.8</v>
      </c>
      <c r="K1055" s="22" t="n">
        <f aca="false">ROUNDUP(J1055,0)</f>
        <v>59</v>
      </c>
      <c r="L1055" s="22" t="n">
        <f aca="false">MAX(D1055,K1055)</f>
        <v>59</v>
      </c>
      <c r="M1055" s="25" t="n">
        <f aca="false">IF(E1055="COVERED",'Controls &amp; Sources'!$B$5,'Controls &amp; Sources'!$B$6)</f>
        <v>7.55</v>
      </c>
      <c r="N1055" s="25" t="n">
        <f aca="false">L1055*M1055</f>
        <v>445.45</v>
      </c>
      <c r="O1055" s="22" t="n">
        <f aca="false">COUNTIFS('Billing Actual'!$E$2:$E$770,A1055,'Billing Actual'!$B$2:$B$770,'Controls &amp; Sources'!$B$7)</f>
        <v>0</v>
      </c>
      <c r="P1055" s="25" t="n">
        <f aca="false">SUMIFS('Billing Actual'!$M$2:$M$770,'Billing Actual'!$E$2:$E$770,A1055,'Billing Actual'!$B$2:$B$770,'Controls &amp; Sources'!$B$7)</f>
        <v>0</v>
      </c>
      <c r="Q1055" s="25" t="n">
        <f aca="false">P1055-N1055</f>
        <v>-445.45</v>
      </c>
      <c r="R1055" s="22" t="str">
        <f aca="false">IF(O1055=0,"No August moorage transaction",IF(O1055&gt;1,"Duplicate August transactions",IF(ABS(Q1055)&gt;0.005,"Charge variance","OK")))</f>
        <v>No August moorage transaction</v>
      </c>
      <c r="S1055" s="22" t="str">
        <f aca="false">IF(R1055="OK","","Billing completeness/reconciliation")</f>
        <v>Billing completeness/reconciliation</v>
      </c>
    </row>
    <row r="1056" customFormat="false" ht="15" hidden="false" customHeight="false" outlineLevel="0" collapsed="false">
      <c r="A1056" s="22" t="s">
        <v>8540</v>
      </c>
      <c r="B1056" s="22" t="s">
        <v>188</v>
      </c>
      <c r="C1056" s="22" t="s">
        <v>7694</v>
      </c>
      <c r="D1056" s="22" t="n">
        <v>32</v>
      </c>
      <c r="E1056" s="22" t="s">
        <v>7696</v>
      </c>
      <c r="F1056" s="22" t="s">
        <v>6577</v>
      </c>
      <c r="G1056" s="22" t="s">
        <v>531</v>
      </c>
      <c r="H1056" s="22" t="s">
        <v>532</v>
      </c>
      <c r="I1056" s="22" t="s">
        <v>533</v>
      </c>
      <c r="J1056" s="22" t="n">
        <v>44.8</v>
      </c>
      <c r="K1056" s="22" t="n">
        <f aca="false">ROUNDUP(J1056,0)</f>
        <v>45</v>
      </c>
      <c r="L1056" s="22" t="n">
        <f aca="false">MAX(D1056,K1056)</f>
        <v>45</v>
      </c>
      <c r="M1056" s="25" t="n">
        <f aca="false">IF(E1056="COVERED",'Controls &amp; Sources'!$B$5,'Controls &amp; Sources'!$B$6)</f>
        <v>7.55</v>
      </c>
      <c r="N1056" s="25" t="n">
        <f aca="false">L1056*M1056</f>
        <v>339.75</v>
      </c>
      <c r="O1056" s="22" t="n">
        <f aca="false">COUNTIFS('Billing Actual'!$E$2:$E$770,A1056,'Billing Actual'!$B$2:$B$770,'Controls &amp; Sources'!$B$7)</f>
        <v>0</v>
      </c>
      <c r="P1056" s="25" t="n">
        <f aca="false">SUMIFS('Billing Actual'!$M$2:$M$770,'Billing Actual'!$E$2:$E$770,A1056,'Billing Actual'!$B$2:$B$770,'Controls &amp; Sources'!$B$7)</f>
        <v>0</v>
      </c>
      <c r="Q1056" s="25" t="n">
        <f aca="false">P1056-N1056</f>
        <v>-339.75</v>
      </c>
      <c r="R1056" s="22" t="str">
        <f aca="false">IF(O1056=0,"No August moorage transaction",IF(O1056&gt;1,"Duplicate August transactions",IF(ABS(Q1056)&gt;0.005,"Charge variance","OK")))</f>
        <v>No August moorage transaction</v>
      </c>
      <c r="S1056" s="22" t="str">
        <f aca="false">IF(R1056="OK","","Billing completeness/reconciliation")</f>
        <v>Billing completeness/reconciliation</v>
      </c>
    </row>
    <row r="1057" customFormat="false" ht="15" hidden="false" customHeight="false" outlineLevel="0" collapsed="false">
      <c r="A1057" s="22" t="s">
        <v>8541</v>
      </c>
      <c r="B1057" s="22" t="s">
        <v>188</v>
      </c>
      <c r="C1057" s="22" t="s">
        <v>7694</v>
      </c>
      <c r="D1057" s="22" t="n">
        <v>45</v>
      </c>
      <c r="E1057" s="22" t="s">
        <v>7696</v>
      </c>
      <c r="F1057" s="22" t="s">
        <v>6577</v>
      </c>
      <c r="G1057" s="22" t="s">
        <v>6285</v>
      </c>
      <c r="H1057" s="22" t="s">
        <v>6286</v>
      </c>
      <c r="I1057" s="22" t="s">
        <v>1245</v>
      </c>
      <c r="J1057" s="22" t="n">
        <v>34.3</v>
      </c>
      <c r="K1057" s="22" t="n">
        <f aca="false">ROUNDUP(J1057,0)</f>
        <v>35</v>
      </c>
      <c r="L1057" s="22" t="n">
        <f aca="false">MAX(D1057,K1057)</f>
        <v>45</v>
      </c>
      <c r="M1057" s="25" t="n">
        <f aca="false">IF(E1057="COVERED",'Controls &amp; Sources'!$B$5,'Controls &amp; Sources'!$B$6)</f>
        <v>7.55</v>
      </c>
      <c r="N1057" s="25" t="n">
        <f aca="false">L1057*M1057</f>
        <v>339.75</v>
      </c>
      <c r="O1057" s="22" t="n">
        <f aca="false">COUNTIFS('Billing Actual'!$E$2:$E$770,A1057,'Billing Actual'!$B$2:$B$770,'Controls &amp; Sources'!$B$7)</f>
        <v>0</v>
      </c>
      <c r="P1057" s="25" t="n">
        <f aca="false">SUMIFS('Billing Actual'!$M$2:$M$770,'Billing Actual'!$E$2:$E$770,A1057,'Billing Actual'!$B$2:$B$770,'Controls &amp; Sources'!$B$7)</f>
        <v>0</v>
      </c>
      <c r="Q1057" s="25" t="n">
        <f aca="false">P1057-N1057</f>
        <v>-339.75</v>
      </c>
      <c r="R1057" s="22" t="str">
        <f aca="false">IF(O1057=0,"No August moorage transaction",IF(O1057&gt;1,"Duplicate August transactions",IF(ABS(Q1057)&gt;0.005,"Charge variance","OK")))</f>
        <v>No August moorage transaction</v>
      </c>
      <c r="S1057" s="22" t="str">
        <f aca="false">IF(R1057="OK","","Billing completeness/reconciliation")</f>
        <v>Billing completeness/reconciliation</v>
      </c>
    </row>
    <row r="1058" customFormat="false" ht="15" hidden="false" customHeight="false" outlineLevel="0" collapsed="false">
      <c r="A1058" s="22" t="s">
        <v>8542</v>
      </c>
      <c r="B1058" s="22" t="s">
        <v>188</v>
      </c>
      <c r="C1058" s="22" t="s">
        <v>7694</v>
      </c>
      <c r="D1058" s="22" t="n">
        <v>32</v>
      </c>
      <c r="E1058" s="22" t="s">
        <v>7696</v>
      </c>
      <c r="F1058" s="22" t="s">
        <v>6577</v>
      </c>
      <c r="G1058" s="22" t="s">
        <v>5367</v>
      </c>
      <c r="H1058" s="22" t="s">
        <v>5368</v>
      </c>
      <c r="I1058" s="22" t="s">
        <v>1198</v>
      </c>
      <c r="J1058" s="22" t="n">
        <v>57</v>
      </c>
      <c r="K1058" s="22" t="n">
        <f aca="false">ROUNDUP(J1058,0)</f>
        <v>57</v>
      </c>
      <c r="L1058" s="22" t="n">
        <f aca="false">MAX(D1058,K1058)</f>
        <v>57</v>
      </c>
      <c r="M1058" s="25" t="n">
        <f aca="false">IF(E1058="COVERED",'Controls &amp; Sources'!$B$5,'Controls &amp; Sources'!$B$6)</f>
        <v>7.55</v>
      </c>
      <c r="N1058" s="25" t="n">
        <f aca="false">L1058*M1058</f>
        <v>430.35</v>
      </c>
      <c r="O1058" s="22" t="n">
        <f aca="false">COUNTIFS('Billing Actual'!$E$2:$E$770,A1058,'Billing Actual'!$B$2:$B$770,'Controls &amp; Sources'!$B$7)</f>
        <v>0</v>
      </c>
      <c r="P1058" s="25" t="n">
        <f aca="false">SUMIFS('Billing Actual'!$M$2:$M$770,'Billing Actual'!$E$2:$E$770,A1058,'Billing Actual'!$B$2:$B$770,'Controls &amp; Sources'!$B$7)</f>
        <v>0</v>
      </c>
      <c r="Q1058" s="25" t="n">
        <f aca="false">P1058-N1058</f>
        <v>-430.35</v>
      </c>
      <c r="R1058" s="22" t="str">
        <f aca="false">IF(O1058=0,"No August moorage transaction",IF(O1058&gt;1,"Duplicate August transactions",IF(ABS(Q1058)&gt;0.005,"Charge variance","OK")))</f>
        <v>No August moorage transaction</v>
      </c>
      <c r="S1058" s="22" t="str">
        <f aca="false">IF(R1058="OK","","Billing completeness/reconciliation")</f>
        <v>Billing completeness/reconciliation</v>
      </c>
    </row>
    <row r="1059" customFormat="false" ht="15" hidden="false" customHeight="false" outlineLevel="0" collapsed="false">
      <c r="A1059" s="22" t="s">
        <v>8543</v>
      </c>
      <c r="B1059" s="22" t="s">
        <v>188</v>
      </c>
      <c r="C1059" s="22" t="s">
        <v>7694</v>
      </c>
      <c r="D1059" s="22" t="n">
        <v>24</v>
      </c>
      <c r="E1059" s="22" t="s">
        <v>7696</v>
      </c>
      <c r="F1059" s="22" t="s">
        <v>6577</v>
      </c>
      <c r="G1059" s="22" t="s">
        <v>1128</v>
      </c>
      <c r="H1059" s="22" t="s">
        <v>1129</v>
      </c>
      <c r="I1059" s="22" t="s">
        <v>1130</v>
      </c>
      <c r="J1059" s="22" t="n">
        <v>44.8</v>
      </c>
      <c r="K1059" s="22" t="n">
        <f aca="false">ROUNDUP(J1059,0)</f>
        <v>45</v>
      </c>
      <c r="L1059" s="22" t="n">
        <f aca="false">MAX(D1059,K1059)</f>
        <v>45</v>
      </c>
      <c r="M1059" s="25" t="n">
        <f aca="false">IF(E1059="COVERED",'Controls &amp; Sources'!$B$5,'Controls &amp; Sources'!$B$6)</f>
        <v>7.55</v>
      </c>
      <c r="N1059" s="25" t="n">
        <f aca="false">L1059*M1059</f>
        <v>339.75</v>
      </c>
      <c r="O1059" s="22" t="n">
        <f aca="false">COUNTIFS('Billing Actual'!$E$2:$E$770,A1059,'Billing Actual'!$B$2:$B$770,'Controls &amp; Sources'!$B$7)</f>
        <v>0</v>
      </c>
      <c r="P1059" s="25" t="n">
        <f aca="false">SUMIFS('Billing Actual'!$M$2:$M$770,'Billing Actual'!$E$2:$E$770,A1059,'Billing Actual'!$B$2:$B$770,'Controls &amp; Sources'!$B$7)</f>
        <v>0</v>
      </c>
      <c r="Q1059" s="25" t="n">
        <f aca="false">P1059-N1059</f>
        <v>-339.75</v>
      </c>
      <c r="R1059" s="22" t="str">
        <f aca="false">IF(O1059=0,"No August moorage transaction",IF(O1059&gt;1,"Duplicate August transactions",IF(ABS(Q1059)&gt;0.005,"Charge variance","OK")))</f>
        <v>No August moorage transaction</v>
      </c>
      <c r="S1059" s="22" t="str">
        <f aca="false">IF(R1059="OK","","Billing completeness/reconciliation")</f>
        <v>Billing completeness/reconciliation</v>
      </c>
    </row>
    <row r="1060" customFormat="false" ht="15" hidden="false" customHeight="false" outlineLevel="0" collapsed="false">
      <c r="A1060" s="22" t="s">
        <v>8544</v>
      </c>
      <c r="B1060" s="22" t="s">
        <v>188</v>
      </c>
      <c r="C1060" s="22" t="s">
        <v>7694</v>
      </c>
      <c r="D1060" s="22" t="n">
        <v>24</v>
      </c>
      <c r="E1060" s="22" t="s">
        <v>7696</v>
      </c>
      <c r="F1060" s="22" t="s">
        <v>6577</v>
      </c>
      <c r="G1060" s="22" t="s">
        <v>3001</v>
      </c>
      <c r="H1060" s="22" t="s">
        <v>3002</v>
      </c>
      <c r="I1060" s="22" t="s">
        <v>2238</v>
      </c>
      <c r="J1060" s="22" t="n">
        <v>21.9</v>
      </c>
      <c r="K1060" s="22" t="n">
        <f aca="false">ROUNDUP(J1060,0)</f>
        <v>22</v>
      </c>
      <c r="L1060" s="22" t="n">
        <f aca="false">MAX(D1060,K1060)</f>
        <v>24</v>
      </c>
      <c r="M1060" s="25" t="n">
        <f aca="false">IF(E1060="COVERED",'Controls &amp; Sources'!$B$5,'Controls &amp; Sources'!$B$6)</f>
        <v>7.55</v>
      </c>
      <c r="N1060" s="25" t="n">
        <f aca="false">L1060*M1060</f>
        <v>181.2</v>
      </c>
      <c r="O1060" s="22" t="n">
        <f aca="false">COUNTIFS('Billing Actual'!$E$2:$E$770,A1060,'Billing Actual'!$B$2:$B$770,'Controls &amp; Sources'!$B$7)</f>
        <v>0</v>
      </c>
      <c r="P1060" s="25" t="n">
        <f aca="false">SUMIFS('Billing Actual'!$M$2:$M$770,'Billing Actual'!$E$2:$E$770,A1060,'Billing Actual'!$B$2:$B$770,'Controls &amp; Sources'!$B$7)</f>
        <v>0</v>
      </c>
      <c r="Q1060" s="25" t="n">
        <f aca="false">P1060-N1060</f>
        <v>-181.2</v>
      </c>
      <c r="R1060" s="22" t="str">
        <f aca="false">IF(O1060=0,"No August moorage transaction",IF(O1060&gt;1,"Duplicate August transactions",IF(ABS(Q1060)&gt;0.005,"Charge variance","OK")))</f>
        <v>No August moorage transaction</v>
      </c>
      <c r="S1060" s="22" t="str">
        <f aca="false">IF(R1060="OK","","Billing completeness/reconciliation")</f>
        <v>Billing completeness/reconciliation</v>
      </c>
    </row>
    <row r="1061" customFormat="false" ht="15" hidden="false" customHeight="false" outlineLevel="0" collapsed="false">
      <c r="A1061" s="22" t="s">
        <v>8546</v>
      </c>
      <c r="B1061" s="22" t="s">
        <v>188</v>
      </c>
      <c r="C1061" s="22" t="s">
        <v>7694</v>
      </c>
      <c r="D1061" s="22" t="n">
        <v>28</v>
      </c>
      <c r="E1061" s="22" t="s">
        <v>7696</v>
      </c>
      <c r="F1061" s="22" t="s">
        <v>6577</v>
      </c>
      <c r="G1061" s="22" t="s">
        <v>5782</v>
      </c>
      <c r="H1061" s="22" t="s">
        <v>5783</v>
      </c>
      <c r="I1061" s="22" t="s">
        <v>3273</v>
      </c>
      <c r="J1061" s="22" t="n">
        <v>61.1</v>
      </c>
      <c r="K1061" s="22" t="n">
        <f aca="false">ROUNDUP(J1061,0)</f>
        <v>62</v>
      </c>
      <c r="L1061" s="22" t="n">
        <f aca="false">MAX(D1061,K1061)</f>
        <v>62</v>
      </c>
      <c r="M1061" s="25" t="n">
        <f aca="false">IF(E1061="COVERED",'Controls &amp; Sources'!$B$5,'Controls &amp; Sources'!$B$6)</f>
        <v>7.55</v>
      </c>
      <c r="N1061" s="25" t="n">
        <f aca="false">L1061*M1061</f>
        <v>468.1</v>
      </c>
      <c r="O1061" s="22" t="n">
        <f aca="false">COUNTIFS('Billing Actual'!$E$2:$E$770,A1061,'Billing Actual'!$B$2:$B$770,'Controls &amp; Sources'!$B$7)</f>
        <v>0</v>
      </c>
      <c r="P1061" s="25" t="n">
        <f aca="false">SUMIFS('Billing Actual'!$M$2:$M$770,'Billing Actual'!$E$2:$E$770,A1061,'Billing Actual'!$B$2:$B$770,'Controls &amp; Sources'!$B$7)</f>
        <v>0</v>
      </c>
      <c r="Q1061" s="25" t="n">
        <f aca="false">P1061-N1061</f>
        <v>-468.1</v>
      </c>
      <c r="R1061" s="22" t="str">
        <f aca="false">IF(O1061=0,"No August moorage transaction",IF(O1061&gt;1,"Duplicate August transactions",IF(ABS(Q1061)&gt;0.005,"Charge variance","OK")))</f>
        <v>No August moorage transaction</v>
      </c>
      <c r="S1061" s="22" t="str">
        <f aca="false">IF(R1061="OK","","Billing completeness/reconciliation")</f>
        <v>Billing completeness/reconciliation</v>
      </c>
    </row>
    <row r="1062" customFormat="false" ht="15" hidden="false" customHeight="false" outlineLevel="0" collapsed="false">
      <c r="A1062" s="22" t="s">
        <v>8549</v>
      </c>
      <c r="B1062" s="22" t="s">
        <v>188</v>
      </c>
      <c r="C1062" s="22" t="s">
        <v>7694</v>
      </c>
      <c r="D1062" s="22" t="n">
        <v>28</v>
      </c>
      <c r="E1062" s="22" t="s">
        <v>7696</v>
      </c>
      <c r="F1062" s="22" t="s">
        <v>6577</v>
      </c>
      <c r="G1062" s="22" t="s">
        <v>4575</v>
      </c>
      <c r="H1062" s="22" t="s">
        <v>4073</v>
      </c>
      <c r="I1062" s="22" t="s">
        <v>3368</v>
      </c>
      <c r="J1062" s="22" t="n">
        <v>22.2</v>
      </c>
      <c r="K1062" s="22" t="n">
        <f aca="false">ROUNDUP(J1062,0)</f>
        <v>23</v>
      </c>
      <c r="L1062" s="22" t="n">
        <f aca="false">MAX(D1062,K1062)</f>
        <v>28</v>
      </c>
      <c r="M1062" s="25" t="n">
        <f aca="false">IF(E1062="COVERED",'Controls &amp; Sources'!$B$5,'Controls &amp; Sources'!$B$6)</f>
        <v>7.55</v>
      </c>
      <c r="N1062" s="25" t="n">
        <f aca="false">L1062*M1062</f>
        <v>211.4</v>
      </c>
      <c r="O1062" s="22" t="n">
        <f aca="false">COUNTIFS('Billing Actual'!$E$2:$E$770,A1062,'Billing Actual'!$B$2:$B$770,'Controls &amp; Sources'!$B$7)</f>
        <v>0</v>
      </c>
      <c r="P1062" s="25" t="n">
        <f aca="false">SUMIFS('Billing Actual'!$M$2:$M$770,'Billing Actual'!$E$2:$E$770,A1062,'Billing Actual'!$B$2:$B$770,'Controls &amp; Sources'!$B$7)</f>
        <v>0</v>
      </c>
      <c r="Q1062" s="25" t="n">
        <f aca="false">P1062-N1062</f>
        <v>-211.4</v>
      </c>
      <c r="R1062" s="22" t="str">
        <f aca="false">IF(O1062=0,"No August moorage transaction",IF(O1062&gt;1,"Duplicate August transactions",IF(ABS(Q1062)&gt;0.005,"Charge variance","OK")))</f>
        <v>No August moorage transaction</v>
      </c>
      <c r="S1062" s="22" t="str">
        <f aca="false">IF(R1062="OK","","Billing completeness/reconciliation")</f>
        <v>Billing completeness/reconciliation</v>
      </c>
    </row>
    <row r="1063" customFormat="false" ht="15" hidden="false" customHeight="false" outlineLevel="0" collapsed="false">
      <c r="A1063" s="22" t="s">
        <v>8550</v>
      </c>
      <c r="B1063" s="22" t="s">
        <v>188</v>
      </c>
      <c r="C1063" s="22" t="s">
        <v>7694</v>
      </c>
      <c r="D1063" s="22" t="n">
        <v>45</v>
      </c>
      <c r="E1063" s="22" t="s">
        <v>7696</v>
      </c>
      <c r="F1063" s="22" t="s">
        <v>6577</v>
      </c>
      <c r="G1063" s="22" t="s">
        <v>5176</v>
      </c>
      <c r="H1063" s="22" t="s">
        <v>5177</v>
      </c>
      <c r="I1063" s="22" t="s">
        <v>416</v>
      </c>
      <c r="J1063" s="22" t="n">
        <v>21.2</v>
      </c>
      <c r="K1063" s="22" t="n">
        <f aca="false">ROUNDUP(J1063,0)</f>
        <v>22</v>
      </c>
      <c r="L1063" s="22" t="n">
        <f aca="false">MAX(D1063,K1063)</f>
        <v>45</v>
      </c>
      <c r="M1063" s="25" t="n">
        <f aca="false">IF(E1063="COVERED",'Controls &amp; Sources'!$B$5,'Controls &amp; Sources'!$B$6)</f>
        <v>7.55</v>
      </c>
      <c r="N1063" s="25" t="n">
        <f aca="false">L1063*M1063</f>
        <v>339.75</v>
      </c>
      <c r="O1063" s="22" t="n">
        <f aca="false">COUNTIFS('Billing Actual'!$E$2:$E$770,A1063,'Billing Actual'!$B$2:$B$770,'Controls &amp; Sources'!$B$7)</f>
        <v>0</v>
      </c>
      <c r="P1063" s="25" t="n">
        <f aca="false">SUMIFS('Billing Actual'!$M$2:$M$770,'Billing Actual'!$E$2:$E$770,A1063,'Billing Actual'!$B$2:$B$770,'Controls &amp; Sources'!$B$7)</f>
        <v>0</v>
      </c>
      <c r="Q1063" s="25" t="n">
        <f aca="false">P1063-N1063</f>
        <v>-339.75</v>
      </c>
      <c r="R1063" s="22" t="str">
        <f aca="false">IF(O1063=0,"No August moorage transaction",IF(O1063&gt;1,"Duplicate August transactions",IF(ABS(Q1063)&gt;0.005,"Charge variance","OK")))</f>
        <v>No August moorage transaction</v>
      </c>
      <c r="S1063" s="22" t="str">
        <f aca="false">IF(R1063="OK","","Billing completeness/reconciliation")</f>
        <v>Billing completeness/reconciliation</v>
      </c>
    </row>
    <row r="1064" customFormat="false" ht="15" hidden="false" customHeight="false" outlineLevel="0" collapsed="false">
      <c r="A1064" s="22" t="s">
        <v>8551</v>
      </c>
      <c r="B1064" s="22" t="s">
        <v>188</v>
      </c>
      <c r="C1064" s="22" t="s">
        <v>7694</v>
      </c>
      <c r="D1064" s="22" t="n">
        <v>40</v>
      </c>
      <c r="E1064" s="22" t="s">
        <v>7696</v>
      </c>
      <c r="F1064" s="22" t="s">
        <v>6577</v>
      </c>
      <c r="G1064" s="22" t="s">
        <v>4353</v>
      </c>
      <c r="H1064" s="22" t="s">
        <v>4354</v>
      </c>
      <c r="I1064" s="22" t="s">
        <v>1294</v>
      </c>
      <c r="J1064" s="22" t="n">
        <v>34.1</v>
      </c>
      <c r="K1064" s="22" t="n">
        <f aca="false">ROUNDUP(J1064,0)</f>
        <v>35</v>
      </c>
      <c r="L1064" s="22" t="n">
        <f aca="false">MAX(D1064,K1064)</f>
        <v>40</v>
      </c>
      <c r="M1064" s="25" t="n">
        <f aca="false">IF(E1064="COVERED",'Controls &amp; Sources'!$B$5,'Controls &amp; Sources'!$B$6)</f>
        <v>7.55</v>
      </c>
      <c r="N1064" s="25" t="n">
        <f aca="false">L1064*M1064</f>
        <v>302</v>
      </c>
      <c r="O1064" s="22" t="n">
        <f aca="false">COUNTIFS('Billing Actual'!$E$2:$E$770,A1064,'Billing Actual'!$B$2:$B$770,'Controls &amp; Sources'!$B$7)</f>
        <v>0</v>
      </c>
      <c r="P1064" s="25" t="n">
        <f aca="false">SUMIFS('Billing Actual'!$M$2:$M$770,'Billing Actual'!$E$2:$E$770,A1064,'Billing Actual'!$B$2:$B$770,'Controls &amp; Sources'!$B$7)</f>
        <v>0</v>
      </c>
      <c r="Q1064" s="25" t="n">
        <f aca="false">P1064-N1064</f>
        <v>-302</v>
      </c>
      <c r="R1064" s="22" t="str">
        <f aca="false">IF(O1064=0,"No August moorage transaction",IF(O1064&gt;1,"Duplicate August transactions",IF(ABS(Q1064)&gt;0.005,"Charge variance","OK")))</f>
        <v>No August moorage transaction</v>
      </c>
      <c r="S1064" s="22" t="str">
        <f aca="false">IF(R1064="OK","","Billing completeness/reconciliation")</f>
        <v>Billing completeness/reconciliation</v>
      </c>
    </row>
    <row r="1065" customFormat="false" ht="15" hidden="false" customHeight="false" outlineLevel="0" collapsed="false">
      <c r="A1065" s="22" t="s">
        <v>8553</v>
      </c>
      <c r="B1065" s="22" t="s">
        <v>188</v>
      </c>
      <c r="C1065" s="22" t="s">
        <v>7694</v>
      </c>
      <c r="D1065" s="22" t="n">
        <v>32</v>
      </c>
      <c r="E1065" s="22" t="s">
        <v>7696</v>
      </c>
      <c r="F1065" s="22" t="s">
        <v>6577</v>
      </c>
      <c r="G1065" s="22" t="s">
        <v>2977</v>
      </c>
      <c r="H1065" s="22" t="s">
        <v>2978</v>
      </c>
      <c r="I1065" s="22" t="s">
        <v>1232</v>
      </c>
      <c r="J1065" s="22" t="n">
        <v>22.1</v>
      </c>
      <c r="K1065" s="22" t="n">
        <f aca="false">ROUNDUP(J1065,0)</f>
        <v>23</v>
      </c>
      <c r="L1065" s="22" t="n">
        <f aca="false">MAX(D1065,K1065)</f>
        <v>32</v>
      </c>
      <c r="M1065" s="25" t="n">
        <f aca="false">IF(E1065="COVERED",'Controls &amp; Sources'!$B$5,'Controls &amp; Sources'!$B$6)</f>
        <v>7.55</v>
      </c>
      <c r="N1065" s="25" t="n">
        <f aca="false">L1065*M1065</f>
        <v>241.6</v>
      </c>
      <c r="O1065" s="22" t="n">
        <f aca="false">COUNTIFS('Billing Actual'!$E$2:$E$770,A1065,'Billing Actual'!$B$2:$B$770,'Controls &amp; Sources'!$B$7)</f>
        <v>0</v>
      </c>
      <c r="P1065" s="25" t="n">
        <f aca="false">SUMIFS('Billing Actual'!$M$2:$M$770,'Billing Actual'!$E$2:$E$770,A1065,'Billing Actual'!$B$2:$B$770,'Controls &amp; Sources'!$B$7)</f>
        <v>0</v>
      </c>
      <c r="Q1065" s="25" t="n">
        <f aca="false">P1065-N1065</f>
        <v>-241.6</v>
      </c>
      <c r="R1065" s="22" t="str">
        <f aca="false">IF(O1065=0,"No August moorage transaction",IF(O1065&gt;1,"Duplicate August transactions",IF(ABS(Q1065)&gt;0.005,"Charge variance","OK")))</f>
        <v>No August moorage transaction</v>
      </c>
      <c r="S1065" s="22" t="str">
        <f aca="false">IF(R1065="OK","","Billing completeness/reconciliation")</f>
        <v>Billing completeness/reconciliation</v>
      </c>
    </row>
    <row r="1066" customFormat="false" ht="15" hidden="false" customHeight="false" outlineLevel="0" collapsed="false">
      <c r="A1066" s="22" t="s">
        <v>8554</v>
      </c>
      <c r="B1066" s="22" t="s">
        <v>188</v>
      </c>
      <c r="C1066" s="22" t="s">
        <v>7694</v>
      </c>
      <c r="D1066" s="22" t="n">
        <v>24</v>
      </c>
      <c r="E1066" s="22" t="s">
        <v>7696</v>
      </c>
      <c r="F1066" s="22" t="s">
        <v>6577</v>
      </c>
      <c r="G1066" s="22" t="s">
        <v>1851</v>
      </c>
      <c r="H1066" s="22" t="s">
        <v>1852</v>
      </c>
      <c r="I1066" s="22" t="s">
        <v>1229</v>
      </c>
      <c r="J1066" s="22" t="n">
        <v>24.6</v>
      </c>
      <c r="K1066" s="22" t="n">
        <f aca="false">ROUNDUP(J1066,0)</f>
        <v>25</v>
      </c>
      <c r="L1066" s="22" t="n">
        <f aca="false">MAX(D1066,K1066)</f>
        <v>25</v>
      </c>
      <c r="M1066" s="25" t="n">
        <f aca="false">IF(E1066="COVERED",'Controls &amp; Sources'!$B$5,'Controls &amp; Sources'!$B$6)</f>
        <v>7.55</v>
      </c>
      <c r="N1066" s="25" t="n">
        <f aca="false">L1066*M1066</f>
        <v>188.75</v>
      </c>
      <c r="O1066" s="22" t="n">
        <f aca="false">COUNTIFS('Billing Actual'!$E$2:$E$770,A1066,'Billing Actual'!$B$2:$B$770,'Controls &amp; Sources'!$B$7)</f>
        <v>0</v>
      </c>
      <c r="P1066" s="25" t="n">
        <f aca="false">SUMIFS('Billing Actual'!$M$2:$M$770,'Billing Actual'!$E$2:$E$770,A1066,'Billing Actual'!$B$2:$B$770,'Controls &amp; Sources'!$B$7)</f>
        <v>0</v>
      </c>
      <c r="Q1066" s="25" t="n">
        <f aca="false">P1066-N1066</f>
        <v>-188.75</v>
      </c>
      <c r="R1066" s="22" t="str">
        <f aca="false">IF(O1066=0,"No August moorage transaction",IF(O1066&gt;1,"Duplicate August transactions",IF(ABS(Q1066)&gt;0.005,"Charge variance","OK")))</f>
        <v>No August moorage transaction</v>
      </c>
      <c r="S1066" s="22" t="str">
        <f aca="false">IF(R1066="OK","","Billing completeness/reconciliation")</f>
        <v>Billing completeness/reconciliation</v>
      </c>
    </row>
    <row r="1067" customFormat="false" ht="15" hidden="false" customHeight="false" outlineLevel="0" collapsed="false">
      <c r="A1067" s="22" t="s">
        <v>8555</v>
      </c>
      <c r="B1067" s="22" t="s">
        <v>188</v>
      </c>
      <c r="C1067" s="22" t="s">
        <v>7694</v>
      </c>
      <c r="D1067" s="22" t="n">
        <v>28</v>
      </c>
      <c r="E1067" s="22" t="s">
        <v>7696</v>
      </c>
      <c r="F1067" s="22" t="s">
        <v>6577</v>
      </c>
      <c r="G1067" s="22" t="s">
        <v>1751</v>
      </c>
      <c r="H1067" s="22" t="s">
        <v>1752</v>
      </c>
      <c r="I1067" s="22" t="s">
        <v>1753</v>
      </c>
      <c r="J1067" s="22" t="n">
        <v>52.3</v>
      </c>
      <c r="K1067" s="22" t="n">
        <f aca="false">ROUNDUP(J1067,0)</f>
        <v>53</v>
      </c>
      <c r="L1067" s="22" t="n">
        <f aca="false">MAX(D1067,K1067)</f>
        <v>53</v>
      </c>
      <c r="M1067" s="25" t="n">
        <f aca="false">IF(E1067="COVERED",'Controls &amp; Sources'!$B$5,'Controls &amp; Sources'!$B$6)</f>
        <v>7.55</v>
      </c>
      <c r="N1067" s="25" t="n">
        <f aca="false">L1067*M1067</f>
        <v>400.15</v>
      </c>
      <c r="O1067" s="22" t="n">
        <f aca="false">COUNTIFS('Billing Actual'!$E$2:$E$770,A1067,'Billing Actual'!$B$2:$B$770,'Controls &amp; Sources'!$B$7)</f>
        <v>0</v>
      </c>
      <c r="P1067" s="25" t="n">
        <f aca="false">SUMIFS('Billing Actual'!$M$2:$M$770,'Billing Actual'!$E$2:$E$770,A1067,'Billing Actual'!$B$2:$B$770,'Controls &amp; Sources'!$B$7)</f>
        <v>0</v>
      </c>
      <c r="Q1067" s="25" t="n">
        <f aca="false">P1067-N1067</f>
        <v>-400.15</v>
      </c>
      <c r="R1067" s="22" t="str">
        <f aca="false">IF(O1067=0,"No August moorage transaction",IF(O1067&gt;1,"Duplicate August transactions",IF(ABS(Q1067)&gt;0.005,"Charge variance","OK")))</f>
        <v>No August moorage transaction</v>
      </c>
      <c r="S1067" s="22" t="str">
        <f aca="false">IF(R1067="OK","","Billing completeness/reconciliation")</f>
        <v>Billing completeness/reconciliation</v>
      </c>
    </row>
    <row r="1068" customFormat="false" ht="15" hidden="false" customHeight="false" outlineLevel="0" collapsed="false">
      <c r="A1068" s="22" t="s">
        <v>8556</v>
      </c>
      <c r="B1068" s="22" t="s">
        <v>188</v>
      </c>
      <c r="C1068" s="22" t="s">
        <v>7694</v>
      </c>
      <c r="D1068" s="22" t="n">
        <v>70</v>
      </c>
      <c r="E1068" s="22" t="s">
        <v>7696</v>
      </c>
      <c r="F1068" s="22" t="s">
        <v>6577</v>
      </c>
      <c r="G1068" s="22" t="s">
        <v>836</v>
      </c>
      <c r="H1068" s="22" t="s">
        <v>837</v>
      </c>
      <c r="I1068" s="22" t="s">
        <v>838</v>
      </c>
      <c r="J1068" s="22" t="n">
        <v>25.9</v>
      </c>
      <c r="K1068" s="22" t="n">
        <f aca="false">ROUNDUP(J1068,0)</f>
        <v>26</v>
      </c>
      <c r="L1068" s="22" t="n">
        <f aca="false">MAX(D1068,K1068)</f>
        <v>70</v>
      </c>
      <c r="M1068" s="25" t="n">
        <f aca="false">IF(E1068="COVERED",'Controls &amp; Sources'!$B$5,'Controls &amp; Sources'!$B$6)</f>
        <v>7.55</v>
      </c>
      <c r="N1068" s="25" t="n">
        <f aca="false">L1068*M1068</f>
        <v>528.5</v>
      </c>
      <c r="O1068" s="22" t="n">
        <f aca="false">COUNTIFS('Billing Actual'!$E$2:$E$770,A1068,'Billing Actual'!$B$2:$B$770,'Controls &amp; Sources'!$B$7)</f>
        <v>0</v>
      </c>
      <c r="P1068" s="25" t="n">
        <f aca="false">SUMIFS('Billing Actual'!$M$2:$M$770,'Billing Actual'!$E$2:$E$770,A1068,'Billing Actual'!$B$2:$B$770,'Controls &amp; Sources'!$B$7)</f>
        <v>0</v>
      </c>
      <c r="Q1068" s="25" t="n">
        <f aca="false">P1068-N1068</f>
        <v>-528.5</v>
      </c>
      <c r="R1068" s="22" t="str">
        <f aca="false">IF(O1068=0,"No August moorage transaction",IF(O1068&gt;1,"Duplicate August transactions",IF(ABS(Q1068)&gt;0.005,"Charge variance","OK")))</f>
        <v>No August moorage transaction</v>
      </c>
      <c r="S1068" s="22" t="str">
        <f aca="false">IF(R1068="OK","","Billing completeness/reconciliation")</f>
        <v>Billing completeness/reconciliation</v>
      </c>
    </row>
    <row r="1069" customFormat="false" ht="15" hidden="false" customHeight="false" outlineLevel="0" collapsed="false">
      <c r="A1069" s="22" t="s">
        <v>8557</v>
      </c>
      <c r="B1069" s="22" t="s">
        <v>188</v>
      </c>
      <c r="C1069" s="22" t="s">
        <v>7694</v>
      </c>
      <c r="D1069" s="22" t="n">
        <v>28</v>
      </c>
      <c r="E1069" s="22" t="s">
        <v>7696</v>
      </c>
      <c r="F1069" s="22" t="s">
        <v>6577</v>
      </c>
      <c r="G1069" s="22" t="s">
        <v>5631</v>
      </c>
      <c r="H1069" s="22" t="s">
        <v>5632</v>
      </c>
      <c r="I1069" s="22" t="s">
        <v>1204</v>
      </c>
      <c r="J1069" s="22" t="n">
        <v>46.5</v>
      </c>
      <c r="K1069" s="22" t="n">
        <f aca="false">ROUNDUP(J1069,0)</f>
        <v>47</v>
      </c>
      <c r="L1069" s="22" t="n">
        <f aca="false">MAX(D1069,K1069)</f>
        <v>47</v>
      </c>
      <c r="M1069" s="25" t="n">
        <f aca="false">IF(E1069="COVERED",'Controls &amp; Sources'!$B$5,'Controls &amp; Sources'!$B$6)</f>
        <v>7.55</v>
      </c>
      <c r="N1069" s="25" t="n">
        <f aca="false">L1069*M1069</f>
        <v>354.85</v>
      </c>
      <c r="O1069" s="22" t="n">
        <f aca="false">COUNTIFS('Billing Actual'!$E$2:$E$770,A1069,'Billing Actual'!$B$2:$B$770,'Controls &amp; Sources'!$B$7)</f>
        <v>0</v>
      </c>
      <c r="P1069" s="25" t="n">
        <f aca="false">SUMIFS('Billing Actual'!$M$2:$M$770,'Billing Actual'!$E$2:$E$770,A1069,'Billing Actual'!$B$2:$B$770,'Controls &amp; Sources'!$B$7)</f>
        <v>0</v>
      </c>
      <c r="Q1069" s="25" t="n">
        <f aca="false">P1069-N1069</f>
        <v>-354.85</v>
      </c>
      <c r="R1069" s="22" t="str">
        <f aca="false">IF(O1069=0,"No August moorage transaction",IF(O1069&gt;1,"Duplicate August transactions",IF(ABS(Q1069)&gt;0.005,"Charge variance","OK")))</f>
        <v>No August moorage transaction</v>
      </c>
      <c r="S1069" s="22" t="str">
        <f aca="false">IF(R1069="OK","","Billing completeness/reconciliation")</f>
        <v>Billing completeness/reconciliation</v>
      </c>
    </row>
    <row r="1070" customFormat="false" ht="15" hidden="false" customHeight="false" outlineLevel="0" collapsed="false">
      <c r="A1070" s="22" t="s">
        <v>8559</v>
      </c>
      <c r="B1070" s="22" t="s">
        <v>188</v>
      </c>
      <c r="C1070" s="22" t="s">
        <v>7694</v>
      </c>
      <c r="D1070" s="22" t="n">
        <v>70</v>
      </c>
      <c r="E1070" s="22" t="s">
        <v>7696</v>
      </c>
      <c r="F1070" s="22" t="s">
        <v>6577</v>
      </c>
      <c r="G1070" s="22" t="s">
        <v>5712</v>
      </c>
      <c r="H1070" s="22" t="s">
        <v>5713</v>
      </c>
      <c r="I1070" s="22" t="s">
        <v>1281</v>
      </c>
      <c r="J1070" s="22" t="n">
        <v>28</v>
      </c>
      <c r="K1070" s="22" t="n">
        <f aca="false">ROUNDUP(J1070,0)</f>
        <v>28</v>
      </c>
      <c r="L1070" s="22" t="n">
        <f aca="false">MAX(D1070,K1070)</f>
        <v>70</v>
      </c>
      <c r="M1070" s="25" t="n">
        <f aca="false">IF(E1070="COVERED",'Controls &amp; Sources'!$B$5,'Controls &amp; Sources'!$B$6)</f>
        <v>7.55</v>
      </c>
      <c r="N1070" s="25" t="n">
        <f aca="false">L1070*M1070</f>
        <v>528.5</v>
      </c>
      <c r="O1070" s="22" t="n">
        <f aca="false">COUNTIFS('Billing Actual'!$E$2:$E$770,A1070,'Billing Actual'!$B$2:$B$770,'Controls &amp; Sources'!$B$7)</f>
        <v>0</v>
      </c>
      <c r="P1070" s="25" t="n">
        <f aca="false">SUMIFS('Billing Actual'!$M$2:$M$770,'Billing Actual'!$E$2:$E$770,A1070,'Billing Actual'!$B$2:$B$770,'Controls &amp; Sources'!$B$7)</f>
        <v>0</v>
      </c>
      <c r="Q1070" s="25" t="n">
        <f aca="false">P1070-N1070</f>
        <v>-528.5</v>
      </c>
      <c r="R1070" s="22" t="str">
        <f aca="false">IF(O1070=0,"No August moorage transaction",IF(O1070&gt;1,"Duplicate August transactions",IF(ABS(Q1070)&gt;0.005,"Charge variance","OK")))</f>
        <v>No August moorage transaction</v>
      </c>
      <c r="S1070" s="22" t="str">
        <f aca="false">IF(R1070="OK","","Billing completeness/reconciliation")</f>
        <v>Billing completeness/reconciliation</v>
      </c>
    </row>
    <row r="1071" customFormat="false" ht="15" hidden="false" customHeight="false" outlineLevel="0" collapsed="false">
      <c r="A1071" s="22" t="s">
        <v>8560</v>
      </c>
      <c r="B1071" s="22" t="s">
        <v>188</v>
      </c>
      <c r="C1071" s="22" t="s">
        <v>7694</v>
      </c>
      <c r="D1071" s="22" t="n">
        <v>24</v>
      </c>
      <c r="E1071" s="22" t="s">
        <v>7696</v>
      </c>
      <c r="F1071" s="22" t="s">
        <v>6577</v>
      </c>
      <c r="G1071" s="22" t="s">
        <v>4248</v>
      </c>
      <c r="H1071" s="22" t="s">
        <v>4249</v>
      </c>
      <c r="I1071" s="22" t="s">
        <v>793</v>
      </c>
      <c r="J1071" s="22" t="n">
        <v>25.9</v>
      </c>
      <c r="K1071" s="22" t="n">
        <f aca="false">ROUNDUP(J1071,0)</f>
        <v>26</v>
      </c>
      <c r="L1071" s="22" t="n">
        <f aca="false">MAX(D1071,K1071)</f>
        <v>26</v>
      </c>
      <c r="M1071" s="25" t="n">
        <f aca="false">IF(E1071="COVERED",'Controls &amp; Sources'!$B$5,'Controls &amp; Sources'!$B$6)</f>
        <v>7.55</v>
      </c>
      <c r="N1071" s="25" t="n">
        <f aca="false">L1071*M1071</f>
        <v>196.3</v>
      </c>
      <c r="O1071" s="22" t="n">
        <f aca="false">COUNTIFS('Billing Actual'!$E$2:$E$770,A1071,'Billing Actual'!$B$2:$B$770,'Controls &amp; Sources'!$B$7)</f>
        <v>0</v>
      </c>
      <c r="P1071" s="25" t="n">
        <f aca="false">SUMIFS('Billing Actual'!$M$2:$M$770,'Billing Actual'!$E$2:$E$770,A1071,'Billing Actual'!$B$2:$B$770,'Controls &amp; Sources'!$B$7)</f>
        <v>0</v>
      </c>
      <c r="Q1071" s="25" t="n">
        <f aca="false">P1071-N1071</f>
        <v>-196.3</v>
      </c>
      <c r="R1071" s="22" t="str">
        <f aca="false">IF(O1071=0,"No August moorage transaction",IF(O1071&gt;1,"Duplicate August transactions",IF(ABS(Q1071)&gt;0.005,"Charge variance","OK")))</f>
        <v>No August moorage transaction</v>
      </c>
      <c r="S1071" s="22" t="str">
        <f aca="false">IF(R1071="OK","","Billing completeness/reconciliation")</f>
        <v>Billing completeness/reconciliation</v>
      </c>
    </row>
    <row r="1072" customFormat="false" ht="15" hidden="false" customHeight="false" outlineLevel="0" collapsed="false">
      <c r="A1072" s="22" t="s">
        <v>8561</v>
      </c>
      <c r="B1072" s="22" t="s">
        <v>188</v>
      </c>
      <c r="C1072" s="22" t="s">
        <v>7694</v>
      </c>
      <c r="D1072" s="22" t="n">
        <v>40</v>
      </c>
      <c r="E1072" s="22" t="s">
        <v>7696</v>
      </c>
      <c r="F1072" s="22" t="s">
        <v>6577</v>
      </c>
      <c r="G1072" s="22" t="s">
        <v>2892</v>
      </c>
      <c r="H1072" s="22" t="s">
        <v>2893</v>
      </c>
      <c r="I1072" s="22" t="s">
        <v>533</v>
      </c>
      <c r="J1072" s="22" t="n">
        <v>47.3</v>
      </c>
      <c r="K1072" s="22" t="n">
        <f aca="false">ROUNDUP(J1072,0)</f>
        <v>48</v>
      </c>
      <c r="L1072" s="22" t="n">
        <f aca="false">MAX(D1072,K1072)</f>
        <v>48</v>
      </c>
      <c r="M1072" s="25" t="n">
        <f aca="false">IF(E1072="COVERED",'Controls &amp; Sources'!$B$5,'Controls &amp; Sources'!$B$6)</f>
        <v>7.55</v>
      </c>
      <c r="N1072" s="25" t="n">
        <f aca="false">L1072*M1072</f>
        <v>362.4</v>
      </c>
      <c r="O1072" s="22" t="n">
        <f aca="false">COUNTIFS('Billing Actual'!$E$2:$E$770,A1072,'Billing Actual'!$B$2:$B$770,'Controls &amp; Sources'!$B$7)</f>
        <v>0</v>
      </c>
      <c r="P1072" s="25" t="n">
        <f aca="false">SUMIFS('Billing Actual'!$M$2:$M$770,'Billing Actual'!$E$2:$E$770,A1072,'Billing Actual'!$B$2:$B$770,'Controls &amp; Sources'!$B$7)</f>
        <v>0</v>
      </c>
      <c r="Q1072" s="25" t="n">
        <f aca="false">P1072-N1072</f>
        <v>-362.4</v>
      </c>
      <c r="R1072" s="22" t="str">
        <f aca="false">IF(O1072=0,"No August moorage transaction",IF(O1072&gt;1,"Duplicate August transactions",IF(ABS(Q1072)&gt;0.005,"Charge variance","OK")))</f>
        <v>No August moorage transaction</v>
      </c>
      <c r="S1072" s="22" t="str">
        <f aca="false">IF(R1072="OK","","Billing completeness/reconciliation")</f>
        <v>Billing completeness/reconciliation</v>
      </c>
    </row>
    <row r="1073" customFormat="false" ht="15" hidden="false" customHeight="false" outlineLevel="0" collapsed="false">
      <c r="A1073" s="22" t="s">
        <v>8563</v>
      </c>
      <c r="B1073" s="22" t="s">
        <v>188</v>
      </c>
      <c r="C1073" s="22" t="s">
        <v>7694</v>
      </c>
      <c r="D1073" s="22" t="n">
        <v>36</v>
      </c>
      <c r="E1073" s="22" t="s">
        <v>7696</v>
      </c>
      <c r="F1073" s="22" t="s">
        <v>6577</v>
      </c>
      <c r="G1073" s="22" t="s">
        <v>1954</v>
      </c>
      <c r="H1073" s="22" t="s">
        <v>1955</v>
      </c>
      <c r="I1073" s="22" t="s">
        <v>1956</v>
      </c>
      <c r="J1073" s="22" t="n">
        <v>26.8</v>
      </c>
      <c r="K1073" s="22" t="n">
        <f aca="false">ROUNDUP(J1073,0)</f>
        <v>27</v>
      </c>
      <c r="L1073" s="22" t="n">
        <f aca="false">MAX(D1073,K1073)</f>
        <v>36</v>
      </c>
      <c r="M1073" s="25" t="n">
        <f aca="false">IF(E1073="COVERED",'Controls &amp; Sources'!$B$5,'Controls &amp; Sources'!$B$6)</f>
        <v>7.55</v>
      </c>
      <c r="N1073" s="25" t="n">
        <f aca="false">L1073*M1073</f>
        <v>271.8</v>
      </c>
      <c r="O1073" s="22" t="n">
        <f aca="false">COUNTIFS('Billing Actual'!$E$2:$E$770,A1073,'Billing Actual'!$B$2:$B$770,'Controls &amp; Sources'!$B$7)</f>
        <v>0</v>
      </c>
      <c r="P1073" s="25" t="n">
        <f aca="false">SUMIFS('Billing Actual'!$M$2:$M$770,'Billing Actual'!$E$2:$E$770,A1073,'Billing Actual'!$B$2:$B$770,'Controls &amp; Sources'!$B$7)</f>
        <v>0</v>
      </c>
      <c r="Q1073" s="25" t="n">
        <f aca="false">P1073-N1073</f>
        <v>-271.8</v>
      </c>
      <c r="R1073" s="22" t="str">
        <f aca="false">IF(O1073=0,"No August moorage transaction",IF(O1073&gt;1,"Duplicate August transactions",IF(ABS(Q1073)&gt;0.005,"Charge variance","OK")))</f>
        <v>No August moorage transaction</v>
      </c>
      <c r="S1073" s="22" t="str">
        <f aca="false">IF(R1073="OK","","Billing completeness/reconciliation")</f>
        <v>Billing completeness/reconciliation</v>
      </c>
    </row>
    <row r="1074" customFormat="false" ht="15" hidden="false" customHeight="false" outlineLevel="0" collapsed="false">
      <c r="A1074" s="22" t="s">
        <v>8564</v>
      </c>
      <c r="B1074" s="22" t="s">
        <v>188</v>
      </c>
      <c r="C1074" s="22" t="s">
        <v>7694</v>
      </c>
      <c r="D1074" s="22" t="n">
        <v>32</v>
      </c>
      <c r="E1074" s="22" t="s">
        <v>7696</v>
      </c>
      <c r="F1074" s="22" t="s">
        <v>6577</v>
      </c>
      <c r="G1074" s="22" t="s">
        <v>5420</v>
      </c>
      <c r="H1074" s="22" t="s">
        <v>5421</v>
      </c>
      <c r="I1074" s="22" t="s">
        <v>2572</v>
      </c>
      <c r="J1074" s="22" t="n">
        <v>34.6</v>
      </c>
      <c r="K1074" s="22" t="n">
        <f aca="false">ROUNDUP(J1074,0)</f>
        <v>35</v>
      </c>
      <c r="L1074" s="22" t="n">
        <f aca="false">MAX(D1074,K1074)</f>
        <v>35</v>
      </c>
      <c r="M1074" s="25" t="n">
        <f aca="false">IF(E1074="COVERED",'Controls &amp; Sources'!$B$5,'Controls &amp; Sources'!$B$6)</f>
        <v>7.55</v>
      </c>
      <c r="N1074" s="25" t="n">
        <f aca="false">L1074*M1074</f>
        <v>264.25</v>
      </c>
      <c r="O1074" s="22" t="n">
        <f aca="false">COUNTIFS('Billing Actual'!$E$2:$E$770,A1074,'Billing Actual'!$B$2:$B$770,'Controls &amp; Sources'!$B$7)</f>
        <v>0</v>
      </c>
      <c r="P1074" s="25" t="n">
        <f aca="false">SUMIFS('Billing Actual'!$M$2:$M$770,'Billing Actual'!$E$2:$E$770,A1074,'Billing Actual'!$B$2:$B$770,'Controls &amp; Sources'!$B$7)</f>
        <v>0</v>
      </c>
      <c r="Q1074" s="25" t="n">
        <f aca="false">P1074-N1074</f>
        <v>-264.25</v>
      </c>
      <c r="R1074" s="22" t="str">
        <f aca="false">IF(O1074=0,"No August moorage transaction",IF(O1074&gt;1,"Duplicate August transactions",IF(ABS(Q1074)&gt;0.005,"Charge variance","OK")))</f>
        <v>No August moorage transaction</v>
      </c>
      <c r="S1074" s="22" t="str">
        <f aca="false">IF(R1074="OK","","Billing completeness/reconciliation")</f>
        <v>Billing completeness/reconciliation</v>
      </c>
    </row>
    <row r="1075" customFormat="false" ht="15" hidden="false" customHeight="false" outlineLevel="0" collapsed="false">
      <c r="A1075" s="22" t="s">
        <v>8566</v>
      </c>
      <c r="B1075" s="22" t="s">
        <v>188</v>
      </c>
      <c r="C1075" s="22" t="s">
        <v>7694</v>
      </c>
      <c r="D1075" s="22" t="n">
        <v>24</v>
      </c>
      <c r="E1075" s="22" t="s">
        <v>7696</v>
      </c>
      <c r="F1075" s="22" t="s">
        <v>6577</v>
      </c>
      <c r="G1075" s="22" t="s">
        <v>2575</v>
      </c>
      <c r="H1075" s="22" t="s">
        <v>2576</v>
      </c>
      <c r="I1075" s="22" t="s">
        <v>1408</v>
      </c>
      <c r="J1075" s="22" t="n">
        <v>43.8</v>
      </c>
      <c r="K1075" s="22" t="n">
        <f aca="false">ROUNDUP(J1075,0)</f>
        <v>44</v>
      </c>
      <c r="L1075" s="22" t="n">
        <f aca="false">MAX(D1075,K1075)</f>
        <v>44</v>
      </c>
      <c r="M1075" s="25" t="n">
        <f aca="false">IF(E1075="COVERED",'Controls &amp; Sources'!$B$5,'Controls &amp; Sources'!$B$6)</f>
        <v>7.55</v>
      </c>
      <c r="N1075" s="25" t="n">
        <f aca="false">L1075*M1075</f>
        <v>332.2</v>
      </c>
      <c r="O1075" s="22" t="n">
        <f aca="false">COUNTIFS('Billing Actual'!$E$2:$E$770,A1075,'Billing Actual'!$B$2:$B$770,'Controls &amp; Sources'!$B$7)</f>
        <v>0</v>
      </c>
      <c r="P1075" s="25" t="n">
        <f aca="false">SUMIFS('Billing Actual'!$M$2:$M$770,'Billing Actual'!$E$2:$E$770,A1075,'Billing Actual'!$B$2:$B$770,'Controls &amp; Sources'!$B$7)</f>
        <v>0</v>
      </c>
      <c r="Q1075" s="25" t="n">
        <f aca="false">P1075-N1075</f>
        <v>-332.2</v>
      </c>
      <c r="R1075" s="22" t="str">
        <f aca="false">IF(O1075=0,"No August moorage transaction",IF(O1075&gt;1,"Duplicate August transactions",IF(ABS(Q1075)&gt;0.005,"Charge variance","OK")))</f>
        <v>No August moorage transaction</v>
      </c>
      <c r="S1075" s="22" t="str">
        <f aca="false">IF(R1075="OK","","Billing completeness/reconciliation")</f>
        <v>Billing completeness/reconciliation</v>
      </c>
    </row>
    <row r="1076" customFormat="false" ht="15" hidden="false" customHeight="false" outlineLevel="0" collapsed="false">
      <c r="A1076" s="22" t="s">
        <v>8567</v>
      </c>
      <c r="B1076" s="22" t="s">
        <v>188</v>
      </c>
      <c r="C1076" s="22" t="s">
        <v>7694</v>
      </c>
      <c r="D1076" s="22" t="n">
        <v>45</v>
      </c>
      <c r="E1076" s="22" t="s">
        <v>7696</v>
      </c>
      <c r="F1076" s="22" t="s">
        <v>6577</v>
      </c>
      <c r="G1076" s="22" t="s">
        <v>6117</v>
      </c>
      <c r="H1076" s="22" t="s">
        <v>6118</v>
      </c>
      <c r="I1076" s="22" t="s">
        <v>2147</v>
      </c>
      <c r="J1076" s="22" t="n">
        <v>44.7</v>
      </c>
      <c r="K1076" s="22" t="n">
        <f aca="false">ROUNDUP(J1076,0)</f>
        <v>45</v>
      </c>
      <c r="L1076" s="22" t="n">
        <f aca="false">MAX(D1076,K1076)</f>
        <v>45</v>
      </c>
      <c r="M1076" s="25" t="n">
        <f aca="false">IF(E1076="COVERED",'Controls &amp; Sources'!$B$5,'Controls &amp; Sources'!$B$6)</f>
        <v>7.55</v>
      </c>
      <c r="N1076" s="25" t="n">
        <f aca="false">L1076*M1076</f>
        <v>339.75</v>
      </c>
      <c r="O1076" s="22" t="n">
        <f aca="false">COUNTIFS('Billing Actual'!$E$2:$E$770,A1076,'Billing Actual'!$B$2:$B$770,'Controls &amp; Sources'!$B$7)</f>
        <v>0</v>
      </c>
      <c r="P1076" s="25" t="n">
        <f aca="false">SUMIFS('Billing Actual'!$M$2:$M$770,'Billing Actual'!$E$2:$E$770,A1076,'Billing Actual'!$B$2:$B$770,'Controls &amp; Sources'!$B$7)</f>
        <v>0</v>
      </c>
      <c r="Q1076" s="25" t="n">
        <f aca="false">P1076-N1076</f>
        <v>-339.75</v>
      </c>
      <c r="R1076" s="22" t="str">
        <f aca="false">IF(O1076=0,"No August moorage transaction",IF(O1076&gt;1,"Duplicate August transactions",IF(ABS(Q1076)&gt;0.005,"Charge variance","OK")))</f>
        <v>No August moorage transaction</v>
      </c>
      <c r="S1076" s="22" t="str">
        <f aca="false">IF(R1076="OK","","Billing completeness/reconciliation")</f>
        <v>Billing completeness/reconciliation</v>
      </c>
    </row>
    <row r="1077" customFormat="false" ht="15" hidden="false" customHeight="false" outlineLevel="0" collapsed="false">
      <c r="A1077" s="22" t="s">
        <v>8569</v>
      </c>
      <c r="B1077" s="22" t="s">
        <v>188</v>
      </c>
      <c r="C1077" s="22" t="s">
        <v>7694</v>
      </c>
      <c r="D1077" s="22" t="n">
        <v>80</v>
      </c>
      <c r="E1077" s="22" t="s">
        <v>7696</v>
      </c>
      <c r="F1077" s="22" t="s">
        <v>6577</v>
      </c>
      <c r="G1077" s="22" t="s">
        <v>5778</v>
      </c>
      <c r="H1077" s="22" t="s">
        <v>5779</v>
      </c>
      <c r="I1077" s="22" t="s">
        <v>745</v>
      </c>
      <c r="J1077" s="22" t="n">
        <v>31.9</v>
      </c>
      <c r="K1077" s="22" t="n">
        <f aca="false">ROUNDUP(J1077,0)</f>
        <v>32</v>
      </c>
      <c r="L1077" s="22" t="n">
        <f aca="false">MAX(D1077,K1077)</f>
        <v>80</v>
      </c>
      <c r="M1077" s="25" t="n">
        <f aca="false">IF(E1077="COVERED",'Controls &amp; Sources'!$B$5,'Controls &amp; Sources'!$B$6)</f>
        <v>7.55</v>
      </c>
      <c r="N1077" s="25" t="n">
        <f aca="false">L1077*M1077</f>
        <v>604</v>
      </c>
      <c r="O1077" s="22" t="n">
        <f aca="false">COUNTIFS('Billing Actual'!$E$2:$E$770,A1077,'Billing Actual'!$B$2:$B$770,'Controls &amp; Sources'!$B$7)</f>
        <v>0</v>
      </c>
      <c r="P1077" s="25" t="n">
        <f aca="false">SUMIFS('Billing Actual'!$M$2:$M$770,'Billing Actual'!$E$2:$E$770,A1077,'Billing Actual'!$B$2:$B$770,'Controls &amp; Sources'!$B$7)</f>
        <v>0</v>
      </c>
      <c r="Q1077" s="25" t="n">
        <f aca="false">P1077-N1077</f>
        <v>-604</v>
      </c>
      <c r="R1077" s="22" t="str">
        <f aca="false">IF(O1077=0,"No August moorage transaction",IF(O1077&gt;1,"Duplicate August transactions",IF(ABS(Q1077)&gt;0.005,"Charge variance","OK")))</f>
        <v>No August moorage transaction</v>
      </c>
      <c r="S1077" s="22" t="str">
        <f aca="false">IF(R1077="OK","","Billing completeness/reconciliation")</f>
        <v>Billing completeness/reconciliation</v>
      </c>
    </row>
    <row r="1078" customFormat="false" ht="15" hidden="false" customHeight="false" outlineLevel="0" collapsed="false">
      <c r="A1078" s="22" t="s">
        <v>8570</v>
      </c>
      <c r="B1078" s="22" t="s">
        <v>188</v>
      </c>
      <c r="C1078" s="22" t="s">
        <v>7694</v>
      </c>
      <c r="D1078" s="22" t="n">
        <v>80</v>
      </c>
      <c r="E1078" s="22" t="s">
        <v>7696</v>
      </c>
      <c r="F1078" s="22" t="s">
        <v>6577</v>
      </c>
      <c r="G1078" s="22" t="s">
        <v>3039</v>
      </c>
      <c r="H1078" s="22" t="s">
        <v>3040</v>
      </c>
      <c r="I1078" s="22" t="s">
        <v>3041</v>
      </c>
      <c r="J1078" s="22" t="n">
        <v>59.4</v>
      </c>
      <c r="K1078" s="22" t="n">
        <f aca="false">ROUNDUP(J1078,0)</f>
        <v>60</v>
      </c>
      <c r="L1078" s="22" t="n">
        <f aca="false">MAX(D1078,K1078)</f>
        <v>80</v>
      </c>
      <c r="M1078" s="25" t="n">
        <f aca="false">IF(E1078="COVERED",'Controls &amp; Sources'!$B$5,'Controls &amp; Sources'!$B$6)</f>
        <v>7.55</v>
      </c>
      <c r="N1078" s="25" t="n">
        <f aca="false">L1078*M1078</f>
        <v>604</v>
      </c>
      <c r="O1078" s="22" t="n">
        <f aca="false">COUNTIFS('Billing Actual'!$E$2:$E$770,A1078,'Billing Actual'!$B$2:$B$770,'Controls &amp; Sources'!$B$7)</f>
        <v>0</v>
      </c>
      <c r="P1078" s="25" t="n">
        <f aca="false">SUMIFS('Billing Actual'!$M$2:$M$770,'Billing Actual'!$E$2:$E$770,A1078,'Billing Actual'!$B$2:$B$770,'Controls &amp; Sources'!$B$7)</f>
        <v>0</v>
      </c>
      <c r="Q1078" s="25" t="n">
        <f aca="false">P1078-N1078</f>
        <v>-604</v>
      </c>
      <c r="R1078" s="22" t="str">
        <f aca="false">IF(O1078=0,"No August moorage transaction",IF(O1078&gt;1,"Duplicate August transactions",IF(ABS(Q1078)&gt;0.005,"Charge variance","OK")))</f>
        <v>No August moorage transaction</v>
      </c>
      <c r="S1078" s="22" t="str">
        <f aca="false">IF(R1078="OK","","Billing completeness/reconciliation")</f>
        <v>Billing completeness/reconciliation</v>
      </c>
    </row>
    <row r="1079" customFormat="false" ht="15" hidden="false" customHeight="false" outlineLevel="0" collapsed="false">
      <c r="A1079" s="22" t="s">
        <v>8571</v>
      </c>
      <c r="B1079" s="22" t="s">
        <v>188</v>
      </c>
      <c r="C1079" s="22" t="s">
        <v>7694</v>
      </c>
      <c r="D1079" s="22" t="n">
        <v>32</v>
      </c>
      <c r="E1079" s="22" t="s">
        <v>7696</v>
      </c>
      <c r="F1079" s="22" t="s">
        <v>6577</v>
      </c>
      <c r="G1079" s="22" t="s">
        <v>6167</v>
      </c>
      <c r="H1079" s="22" t="s">
        <v>6168</v>
      </c>
      <c r="I1079" s="22" t="s">
        <v>675</v>
      </c>
      <c r="J1079" s="22" t="n">
        <v>42.9</v>
      </c>
      <c r="K1079" s="22" t="n">
        <f aca="false">ROUNDUP(J1079,0)</f>
        <v>43</v>
      </c>
      <c r="L1079" s="22" t="n">
        <f aca="false">MAX(D1079,K1079)</f>
        <v>43</v>
      </c>
      <c r="M1079" s="25" t="n">
        <f aca="false">IF(E1079="COVERED",'Controls &amp; Sources'!$B$5,'Controls &amp; Sources'!$B$6)</f>
        <v>7.55</v>
      </c>
      <c r="N1079" s="25" t="n">
        <f aca="false">L1079*M1079</f>
        <v>324.65</v>
      </c>
      <c r="O1079" s="22" t="n">
        <f aca="false">COUNTIFS('Billing Actual'!$E$2:$E$770,A1079,'Billing Actual'!$B$2:$B$770,'Controls &amp; Sources'!$B$7)</f>
        <v>0</v>
      </c>
      <c r="P1079" s="25" t="n">
        <f aca="false">SUMIFS('Billing Actual'!$M$2:$M$770,'Billing Actual'!$E$2:$E$770,A1079,'Billing Actual'!$B$2:$B$770,'Controls &amp; Sources'!$B$7)</f>
        <v>0</v>
      </c>
      <c r="Q1079" s="25" t="n">
        <f aca="false">P1079-N1079</f>
        <v>-324.65</v>
      </c>
      <c r="R1079" s="22" t="str">
        <f aca="false">IF(O1079=0,"No August moorage transaction",IF(O1079&gt;1,"Duplicate August transactions",IF(ABS(Q1079)&gt;0.005,"Charge variance","OK")))</f>
        <v>No August moorage transaction</v>
      </c>
      <c r="S1079" s="22" t="str">
        <f aca="false">IF(R1079="OK","","Billing completeness/reconciliation")</f>
        <v>Billing completeness/reconciliation</v>
      </c>
    </row>
    <row r="1080" customFormat="false" ht="15" hidden="false" customHeight="false" outlineLevel="0" collapsed="false">
      <c r="A1080" s="22" t="s">
        <v>8572</v>
      </c>
      <c r="B1080" s="22" t="s">
        <v>188</v>
      </c>
      <c r="C1080" s="22" t="s">
        <v>7694</v>
      </c>
      <c r="D1080" s="22" t="n">
        <v>36</v>
      </c>
      <c r="E1080" s="22" t="s">
        <v>7696</v>
      </c>
      <c r="F1080" s="22" t="s">
        <v>6577</v>
      </c>
      <c r="G1080" s="22" t="s">
        <v>743</v>
      </c>
      <c r="H1080" s="22" t="s">
        <v>744</v>
      </c>
      <c r="I1080" s="22" t="s">
        <v>745</v>
      </c>
      <c r="J1080" s="22" t="n">
        <v>44</v>
      </c>
      <c r="K1080" s="22" t="n">
        <f aca="false">ROUNDUP(J1080,0)</f>
        <v>44</v>
      </c>
      <c r="L1080" s="22" t="n">
        <f aca="false">MAX(D1080,K1080)</f>
        <v>44</v>
      </c>
      <c r="M1080" s="25" t="n">
        <f aca="false">IF(E1080="COVERED",'Controls &amp; Sources'!$B$5,'Controls &amp; Sources'!$B$6)</f>
        <v>7.55</v>
      </c>
      <c r="N1080" s="25" t="n">
        <f aca="false">L1080*M1080</f>
        <v>332.2</v>
      </c>
      <c r="O1080" s="22" t="n">
        <f aca="false">COUNTIFS('Billing Actual'!$E$2:$E$770,A1080,'Billing Actual'!$B$2:$B$770,'Controls &amp; Sources'!$B$7)</f>
        <v>0</v>
      </c>
      <c r="P1080" s="25" t="n">
        <f aca="false">SUMIFS('Billing Actual'!$M$2:$M$770,'Billing Actual'!$E$2:$E$770,A1080,'Billing Actual'!$B$2:$B$770,'Controls &amp; Sources'!$B$7)</f>
        <v>0</v>
      </c>
      <c r="Q1080" s="25" t="n">
        <f aca="false">P1080-N1080</f>
        <v>-332.2</v>
      </c>
      <c r="R1080" s="22" t="str">
        <f aca="false">IF(O1080=0,"No August moorage transaction",IF(O1080&gt;1,"Duplicate August transactions",IF(ABS(Q1080)&gt;0.005,"Charge variance","OK")))</f>
        <v>No August moorage transaction</v>
      </c>
      <c r="S1080" s="22" t="str">
        <f aca="false">IF(R1080="OK","","Billing completeness/reconciliation")</f>
        <v>Billing completeness/reconciliation</v>
      </c>
    </row>
    <row r="1081" customFormat="false" ht="15" hidden="false" customHeight="false" outlineLevel="0" collapsed="false">
      <c r="A1081" s="22" t="s">
        <v>8574</v>
      </c>
      <c r="B1081" s="22" t="s">
        <v>188</v>
      </c>
      <c r="C1081" s="22" t="s">
        <v>7694</v>
      </c>
      <c r="D1081" s="22" t="n">
        <v>36</v>
      </c>
      <c r="E1081" s="22" t="s">
        <v>7696</v>
      </c>
      <c r="F1081" s="22" t="s">
        <v>6577</v>
      </c>
      <c r="G1081" s="22" t="s">
        <v>6331</v>
      </c>
      <c r="H1081" s="22" t="s">
        <v>6332</v>
      </c>
      <c r="I1081" s="22" t="s">
        <v>1646</v>
      </c>
      <c r="J1081" s="22" t="n">
        <v>53.6</v>
      </c>
      <c r="K1081" s="22" t="n">
        <f aca="false">ROUNDUP(J1081,0)</f>
        <v>54</v>
      </c>
      <c r="L1081" s="22" t="n">
        <f aca="false">MAX(D1081,K1081)</f>
        <v>54</v>
      </c>
      <c r="M1081" s="25" t="n">
        <f aca="false">IF(E1081="COVERED",'Controls &amp; Sources'!$B$5,'Controls &amp; Sources'!$B$6)</f>
        <v>7.55</v>
      </c>
      <c r="N1081" s="25" t="n">
        <f aca="false">L1081*M1081</f>
        <v>407.7</v>
      </c>
      <c r="O1081" s="22" t="n">
        <f aca="false">COUNTIFS('Billing Actual'!$E$2:$E$770,A1081,'Billing Actual'!$B$2:$B$770,'Controls &amp; Sources'!$B$7)</f>
        <v>0</v>
      </c>
      <c r="P1081" s="25" t="n">
        <f aca="false">SUMIFS('Billing Actual'!$M$2:$M$770,'Billing Actual'!$E$2:$E$770,A1081,'Billing Actual'!$B$2:$B$770,'Controls &amp; Sources'!$B$7)</f>
        <v>0</v>
      </c>
      <c r="Q1081" s="25" t="n">
        <f aca="false">P1081-N1081</f>
        <v>-407.7</v>
      </c>
      <c r="R1081" s="22" t="str">
        <f aca="false">IF(O1081=0,"No August moorage transaction",IF(O1081&gt;1,"Duplicate August transactions",IF(ABS(Q1081)&gt;0.005,"Charge variance","OK")))</f>
        <v>No August moorage transaction</v>
      </c>
      <c r="S1081" s="22" t="str">
        <f aca="false">IF(R1081="OK","","Billing completeness/reconciliation")</f>
        <v>Billing completeness/reconciliation</v>
      </c>
    </row>
    <row r="1082" customFormat="false" ht="15" hidden="false" customHeight="false" outlineLevel="0" collapsed="false">
      <c r="A1082" s="22" t="s">
        <v>8576</v>
      </c>
      <c r="B1082" s="22" t="s">
        <v>188</v>
      </c>
      <c r="C1082" s="22" t="s">
        <v>7694</v>
      </c>
      <c r="D1082" s="22" t="n">
        <v>24</v>
      </c>
      <c r="E1082" s="22" t="s">
        <v>7696</v>
      </c>
      <c r="F1082" s="22" t="s">
        <v>6577</v>
      </c>
      <c r="G1082" s="22" t="s">
        <v>2458</v>
      </c>
      <c r="H1082" s="22" t="s">
        <v>2459</v>
      </c>
      <c r="I1082" s="22" t="s">
        <v>1786</v>
      </c>
      <c r="J1082" s="22" t="n">
        <v>52.9</v>
      </c>
      <c r="K1082" s="22" t="n">
        <f aca="false">ROUNDUP(J1082,0)</f>
        <v>53</v>
      </c>
      <c r="L1082" s="22" t="n">
        <f aca="false">MAX(D1082,K1082)</f>
        <v>53</v>
      </c>
      <c r="M1082" s="25" t="n">
        <f aca="false">IF(E1082="COVERED",'Controls &amp; Sources'!$B$5,'Controls &amp; Sources'!$B$6)</f>
        <v>7.55</v>
      </c>
      <c r="N1082" s="25" t="n">
        <f aca="false">L1082*M1082</f>
        <v>400.15</v>
      </c>
      <c r="O1082" s="22" t="n">
        <f aca="false">COUNTIFS('Billing Actual'!$E$2:$E$770,A1082,'Billing Actual'!$B$2:$B$770,'Controls &amp; Sources'!$B$7)</f>
        <v>0</v>
      </c>
      <c r="P1082" s="25" t="n">
        <f aca="false">SUMIFS('Billing Actual'!$M$2:$M$770,'Billing Actual'!$E$2:$E$770,A1082,'Billing Actual'!$B$2:$B$770,'Controls &amp; Sources'!$B$7)</f>
        <v>0</v>
      </c>
      <c r="Q1082" s="25" t="n">
        <f aca="false">P1082-N1082</f>
        <v>-400.15</v>
      </c>
      <c r="R1082" s="22" t="str">
        <f aca="false">IF(O1082=0,"No August moorage transaction",IF(O1082&gt;1,"Duplicate August transactions",IF(ABS(Q1082)&gt;0.005,"Charge variance","OK")))</f>
        <v>No August moorage transaction</v>
      </c>
      <c r="S1082" s="22" t="str">
        <f aca="false">IF(R1082="OK","","Billing completeness/reconciliation")</f>
        <v>Billing completeness/reconciliation</v>
      </c>
    </row>
    <row r="1083" customFormat="false" ht="15" hidden="false" customHeight="false" outlineLevel="0" collapsed="false">
      <c r="A1083" s="22" t="s">
        <v>8577</v>
      </c>
      <c r="B1083" s="22" t="s">
        <v>188</v>
      </c>
      <c r="C1083" s="22" t="s">
        <v>7694</v>
      </c>
      <c r="D1083" s="22" t="n">
        <v>28</v>
      </c>
      <c r="E1083" s="22" t="s">
        <v>7696</v>
      </c>
      <c r="F1083" s="22" t="s">
        <v>6577</v>
      </c>
      <c r="G1083" s="22" t="s">
        <v>1506</v>
      </c>
      <c r="H1083" s="22" t="s">
        <v>1507</v>
      </c>
      <c r="I1083" s="22" t="s">
        <v>1508</v>
      </c>
      <c r="J1083" s="22" t="n">
        <v>61.1</v>
      </c>
      <c r="K1083" s="22" t="n">
        <f aca="false">ROUNDUP(J1083,0)</f>
        <v>62</v>
      </c>
      <c r="L1083" s="22" t="n">
        <f aca="false">MAX(D1083,K1083)</f>
        <v>62</v>
      </c>
      <c r="M1083" s="25" t="n">
        <f aca="false">IF(E1083="COVERED",'Controls &amp; Sources'!$B$5,'Controls &amp; Sources'!$B$6)</f>
        <v>7.55</v>
      </c>
      <c r="N1083" s="25" t="n">
        <f aca="false">L1083*M1083</f>
        <v>468.1</v>
      </c>
      <c r="O1083" s="22" t="n">
        <f aca="false">COUNTIFS('Billing Actual'!$E$2:$E$770,A1083,'Billing Actual'!$B$2:$B$770,'Controls &amp; Sources'!$B$7)</f>
        <v>0</v>
      </c>
      <c r="P1083" s="25" t="n">
        <f aca="false">SUMIFS('Billing Actual'!$M$2:$M$770,'Billing Actual'!$E$2:$E$770,A1083,'Billing Actual'!$B$2:$B$770,'Controls &amp; Sources'!$B$7)</f>
        <v>0</v>
      </c>
      <c r="Q1083" s="25" t="n">
        <f aca="false">P1083-N1083</f>
        <v>-468.1</v>
      </c>
      <c r="R1083" s="22" t="str">
        <f aca="false">IF(O1083=0,"No August moorage transaction",IF(O1083&gt;1,"Duplicate August transactions",IF(ABS(Q1083)&gt;0.005,"Charge variance","OK")))</f>
        <v>No August moorage transaction</v>
      </c>
      <c r="S1083" s="22" t="str">
        <f aca="false">IF(R1083="OK","","Billing completeness/reconciliation")</f>
        <v>Billing completeness/reconciliation</v>
      </c>
    </row>
    <row r="1084" customFormat="false" ht="15" hidden="false" customHeight="false" outlineLevel="0" collapsed="false">
      <c r="A1084" s="22" t="s">
        <v>8578</v>
      </c>
      <c r="B1084" s="22" t="s">
        <v>188</v>
      </c>
      <c r="C1084" s="22" t="s">
        <v>7694</v>
      </c>
      <c r="D1084" s="22" t="n">
        <v>28</v>
      </c>
      <c r="E1084" s="22" t="s">
        <v>7696</v>
      </c>
      <c r="F1084" s="22" t="s">
        <v>6577</v>
      </c>
      <c r="G1084" s="22" t="s">
        <v>4550</v>
      </c>
      <c r="H1084" s="22" t="s">
        <v>4551</v>
      </c>
      <c r="I1084" s="22" t="s">
        <v>413</v>
      </c>
      <c r="J1084" s="22" t="n">
        <v>52.6</v>
      </c>
      <c r="K1084" s="22" t="n">
        <f aca="false">ROUNDUP(J1084,0)</f>
        <v>53</v>
      </c>
      <c r="L1084" s="22" t="n">
        <f aca="false">MAX(D1084,K1084)</f>
        <v>53</v>
      </c>
      <c r="M1084" s="25" t="n">
        <f aca="false">IF(E1084="COVERED",'Controls &amp; Sources'!$B$5,'Controls &amp; Sources'!$B$6)</f>
        <v>7.55</v>
      </c>
      <c r="N1084" s="25" t="n">
        <f aca="false">L1084*M1084</f>
        <v>400.15</v>
      </c>
      <c r="O1084" s="22" t="n">
        <f aca="false">COUNTIFS('Billing Actual'!$E$2:$E$770,A1084,'Billing Actual'!$B$2:$B$770,'Controls &amp; Sources'!$B$7)</f>
        <v>0</v>
      </c>
      <c r="P1084" s="25" t="n">
        <f aca="false">SUMIFS('Billing Actual'!$M$2:$M$770,'Billing Actual'!$E$2:$E$770,A1084,'Billing Actual'!$B$2:$B$770,'Controls &amp; Sources'!$B$7)</f>
        <v>0</v>
      </c>
      <c r="Q1084" s="25" t="n">
        <f aca="false">P1084-N1084</f>
        <v>-400.15</v>
      </c>
      <c r="R1084" s="22" t="str">
        <f aca="false">IF(O1084=0,"No August moorage transaction",IF(O1084&gt;1,"Duplicate August transactions",IF(ABS(Q1084)&gt;0.005,"Charge variance","OK")))</f>
        <v>No August moorage transaction</v>
      </c>
      <c r="S1084" s="22" t="str">
        <f aca="false">IF(R1084="OK","","Billing completeness/reconciliation")</f>
        <v>Billing completeness/reconciliation</v>
      </c>
    </row>
    <row r="1085" customFormat="false" ht="15" hidden="false" customHeight="false" outlineLevel="0" collapsed="false">
      <c r="A1085" s="22" t="s">
        <v>8579</v>
      </c>
      <c r="B1085" s="22" t="s">
        <v>188</v>
      </c>
      <c r="C1085" s="22" t="s">
        <v>7694</v>
      </c>
      <c r="D1085" s="22" t="n">
        <v>32</v>
      </c>
      <c r="E1085" s="22" t="s">
        <v>7696</v>
      </c>
      <c r="F1085" s="22" t="s">
        <v>6577</v>
      </c>
      <c r="G1085" s="22" t="s">
        <v>3401</v>
      </c>
      <c r="H1085" s="22" t="s">
        <v>3402</v>
      </c>
      <c r="I1085" s="22" t="s">
        <v>2468</v>
      </c>
      <c r="J1085" s="22" t="n">
        <v>58.2</v>
      </c>
      <c r="K1085" s="22" t="n">
        <f aca="false">ROUNDUP(J1085,0)</f>
        <v>59</v>
      </c>
      <c r="L1085" s="22" t="n">
        <f aca="false">MAX(D1085,K1085)</f>
        <v>59</v>
      </c>
      <c r="M1085" s="25" t="n">
        <f aca="false">IF(E1085="COVERED",'Controls &amp; Sources'!$B$5,'Controls &amp; Sources'!$B$6)</f>
        <v>7.55</v>
      </c>
      <c r="N1085" s="25" t="n">
        <f aca="false">L1085*M1085</f>
        <v>445.45</v>
      </c>
      <c r="O1085" s="22" t="n">
        <f aca="false">COUNTIFS('Billing Actual'!$E$2:$E$770,A1085,'Billing Actual'!$B$2:$B$770,'Controls &amp; Sources'!$B$7)</f>
        <v>0</v>
      </c>
      <c r="P1085" s="25" t="n">
        <f aca="false">SUMIFS('Billing Actual'!$M$2:$M$770,'Billing Actual'!$E$2:$E$770,A1085,'Billing Actual'!$B$2:$B$770,'Controls &amp; Sources'!$B$7)</f>
        <v>0</v>
      </c>
      <c r="Q1085" s="25" t="n">
        <f aca="false">P1085-N1085</f>
        <v>-445.45</v>
      </c>
      <c r="R1085" s="22" t="str">
        <f aca="false">IF(O1085=0,"No August moorage transaction",IF(O1085&gt;1,"Duplicate August transactions",IF(ABS(Q1085)&gt;0.005,"Charge variance","OK")))</f>
        <v>No August moorage transaction</v>
      </c>
      <c r="S1085" s="22" t="str">
        <f aca="false">IF(R1085="OK","","Billing completeness/reconciliation")</f>
        <v>Billing completeness/reconciliation</v>
      </c>
    </row>
    <row r="1086" customFormat="false" ht="15" hidden="false" customHeight="false" outlineLevel="0" collapsed="false">
      <c r="A1086" s="22" t="s">
        <v>8580</v>
      </c>
      <c r="B1086" s="22" t="s">
        <v>188</v>
      </c>
      <c r="C1086" s="22" t="s">
        <v>7694</v>
      </c>
      <c r="D1086" s="22" t="n">
        <v>28</v>
      </c>
      <c r="E1086" s="22" t="s">
        <v>7696</v>
      </c>
      <c r="F1086" s="22" t="s">
        <v>6577</v>
      </c>
      <c r="G1086" s="22" t="s">
        <v>2904</v>
      </c>
      <c r="H1086" s="22" t="s">
        <v>2905</v>
      </c>
      <c r="I1086" s="22" t="s">
        <v>1532</v>
      </c>
      <c r="J1086" s="22" t="n">
        <v>57.3</v>
      </c>
      <c r="K1086" s="22" t="n">
        <f aca="false">ROUNDUP(J1086,0)</f>
        <v>58</v>
      </c>
      <c r="L1086" s="22" t="n">
        <f aca="false">MAX(D1086,K1086)</f>
        <v>58</v>
      </c>
      <c r="M1086" s="25" t="n">
        <f aca="false">IF(E1086="COVERED",'Controls &amp; Sources'!$B$5,'Controls &amp; Sources'!$B$6)</f>
        <v>7.55</v>
      </c>
      <c r="N1086" s="25" t="n">
        <f aca="false">L1086*M1086</f>
        <v>437.9</v>
      </c>
      <c r="O1086" s="22" t="n">
        <f aca="false">COUNTIFS('Billing Actual'!$E$2:$E$770,A1086,'Billing Actual'!$B$2:$B$770,'Controls &amp; Sources'!$B$7)</f>
        <v>0</v>
      </c>
      <c r="P1086" s="25" t="n">
        <f aca="false">SUMIFS('Billing Actual'!$M$2:$M$770,'Billing Actual'!$E$2:$E$770,A1086,'Billing Actual'!$B$2:$B$770,'Controls &amp; Sources'!$B$7)</f>
        <v>0</v>
      </c>
      <c r="Q1086" s="25" t="n">
        <f aca="false">P1086-N1086</f>
        <v>-437.9</v>
      </c>
      <c r="R1086" s="22" t="str">
        <f aca="false">IF(O1086=0,"No August moorage transaction",IF(O1086&gt;1,"Duplicate August transactions",IF(ABS(Q1086)&gt;0.005,"Charge variance","OK")))</f>
        <v>No August moorage transaction</v>
      </c>
      <c r="S1086" s="22" t="str">
        <f aca="false">IF(R1086="OK","","Billing completeness/reconciliation")</f>
        <v>Billing completeness/reconciliation</v>
      </c>
    </row>
    <row r="1087" customFormat="false" ht="15" hidden="false" customHeight="false" outlineLevel="0" collapsed="false">
      <c r="A1087" s="22" t="s">
        <v>8582</v>
      </c>
      <c r="B1087" s="22" t="s">
        <v>188</v>
      </c>
      <c r="C1087" s="22" t="s">
        <v>7694</v>
      </c>
      <c r="D1087" s="22" t="n">
        <v>50</v>
      </c>
      <c r="E1087" s="22" t="s">
        <v>7696</v>
      </c>
      <c r="F1087" s="22" t="s">
        <v>6577</v>
      </c>
      <c r="G1087" s="22" t="s">
        <v>3916</v>
      </c>
      <c r="H1087" s="22" t="s">
        <v>3917</v>
      </c>
      <c r="I1087" s="22" t="s">
        <v>2287</v>
      </c>
      <c r="J1087" s="22" t="n">
        <v>27.7</v>
      </c>
      <c r="K1087" s="22" t="n">
        <f aca="false">ROUNDUP(J1087,0)</f>
        <v>28</v>
      </c>
      <c r="L1087" s="22" t="n">
        <f aca="false">MAX(D1087,K1087)</f>
        <v>50</v>
      </c>
      <c r="M1087" s="25" t="n">
        <f aca="false">IF(E1087="COVERED",'Controls &amp; Sources'!$B$5,'Controls &amp; Sources'!$B$6)</f>
        <v>7.55</v>
      </c>
      <c r="N1087" s="25" t="n">
        <f aca="false">L1087*M1087</f>
        <v>377.5</v>
      </c>
      <c r="O1087" s="22" t="n">
        <f aca="false">COUNTIFS('Billing Actual'!$E$2:$E$770,A1087,'Billing Actual'!$B$2:$B$770,'Controls &amp; Sources'!$B$7)</f>
        <v>0</v>
      </c>
      <c r="P1087" s="25" t="n">
        <f aca="false">SUMIFS('Billing Actual'!$M$2:$M$770,'Billing Actual'!$E$2:$E$770,A1087,'Billing Actual'!$B$2:$B$770,'Controls &amp; Sources'!$B$7)</f>
        <v>0</v>
      </c>
      <c r="Q1087" s="25" t="n">
        <f aca="false">P1087-N1087</f>
        <v>-377.5</v>
      </c>
      <c r="R1087" s="22" t="str">
        <f aca="false">IF(O1087=0,"No August moorage transaction",IF(O1087&gt;1,"Duplicate August transactions",IF(ABS(Q1087)&gt;0.005,"Charge variance","OK")))</f>
        <v>No August moorage transaction</v>
      </c>
      <c r="S1087" s="22" t="str">
        <f aca="false">IF(R1087="OK","","Billing completeness/reconciliation")</f>
        <v>Billing completeness/reconciliation</v>
      </c>
    </row>
    <row r="1088" customFormat="false" ht="15" hidden="false" customHeight="false" outlineLevel="0" collapsed="false">
      <c r="A1088" s="22" t="s">
        <v>8584</v>
      </c>
      <c r="B1088" s="22" t="s">
        <v>188</v>
      </c>
      <c r="C1088" s="22" t="s">
        <v>7694</v>
      </c>
      <c r="D1088" s="22" t="n">
        <v>32</v>
      </c>
      <c r="E1088" s="22" t="s">
        <v>7696</v>
      </c>
      <c r="F1088" s="22" t="s">
        <v>6577</v>
      </c>
      <c r="G1088" s="22" t="s">
        <v>4902</v>
      </c>
      <c r="H1088" s="22" t="s">
        <v>3428</v>
      </c>
      <c r="I1088" s="22" t="s">
        <v>3632</v>
      </c>
      <c r="J1088" s="22" t="n">
        <v>58.9</v>
      </c>
      <c r="K1088" s="22" t="n">
        <f aca="false">ROUNDUP(J1088,0)</f>
        <v>59</v>
      </c>
      <c r="L1088" s="22" t="n">
        <f aca="false">MAX(D1088,K1088)</f>
        <v>59</v>
      </c>
      <c r="M1088" s="25" t="n">
        <f aca="false">IF(E1088="COVERED",'Controls &amp; Sources'!$B$5,'Controls &amp; Sources'!$B$6)</f>
        <v>7.55</v>
      </c>
      <c r="N1088" s="25" t="n">
        <f aca="false">L1088*M1088</f>
        <v>445.45</v>
      </c>
      <c r="O1088" s="22" t="n">
        <f aca="false">COUNTIFS('Billing Actual'!$E$2:$E$770,A1088,'Billing Actual'!$B$2:$B$770,'Controls &amp; Sources'!$B$7)</f>
        <v>0</v>
      </c>
      <c r="P1088" s="25" t="n">
        <f aca="false">SUMIFS('Billing Actual'!$M$2:$M$770,'Billing Actual'!$E$2:$E$770,A1088,'Billing Actual'!$B$2:$B$770,'Controls &amp; Sources'!$B$7)</f>
        <v>0</v>
      </c>
      <c r="Q1088" s="25" t="n">
        <f aca="false">P1088-N1088</f>
        <v>-445.45</v>
      </c>
      <c r="R1088" s="22" t="str">
        <f aca="false">IF(O1088=0,"No August moorage transaction",IF(O1088&gt;1,"Duplicate August transactions",IF(ABS(Q1088)&gt;0.005,"Charge variance","OK")))</f>
        <v>No August moorage transaction</v>
      </c>
      <c r="S1088" s="22" t="str">
        <f aca="false">IF(R1088="OK","","Billing completeness/reconciliation")</f>
        <v>Billing completeness/reconciliation</v>
      </c>
    </row>
    <row r="1089" customFormat="false" ht="15" hidden="false" customHeight="false" outlineLevel="0" collapsed="false">
      <c r="A1089" s="22" t="s">
        <v>8585</v>
      </c>
      <c r="B1089" s="22" t="s">
        <v>188</v>
      </c>
      <c r="C1089" s="22" t="s">
        <v>7694</v>
      </c>
      <c r="D1089" s="22" t="n">
        <v>60</v>
      </c>
      <c r="E1089" s="22" t="s">
        <v>7696</v>
      </c>
      <c r="F1089" s="22" t="s">
        <v>6577</v>
      </c>
      <c r="G1089" s="22" t="s">
        <v>5796</v>
      </c>
      <c r="H1089" s="22" t="s">
        <v>5797</v>
      </c>
      <c r="I1089" s="22" t="s">
        <v>448</v>
      </c>
      <c r="J1089" s="22" t="n">
        <v>43.1</v>
      </c>
      <c r="K1089" s="22" t="n">
        <f aca="false">ROUNDUP(J1089,0)</f>
        <v>44</v>
      </c>
      <c r="L1089" s="22" t="n">
        <f aca="false">MAX(D1089,K1089)</f>
        <v>60</v>
      </c>
      <c r="M1089" s="25" t="n">
        <f aca="false">IF(E1089="COVERED",'Controls &amp; Sources'!$B$5,'Controls &amp; Sources'!$B$6)</f>
        <v>7.55</v>
      </c>
      <c r="N1089" s="25" t="n">
        <f aca="false">L1089*M1089</f>
        <v>453</v>
      </c>
      <c r="O1089" s="22" t="n">
        <f aca="false">COUNTIFS('Billing Actual'!$E$2:$E$770,A1089,'Billing Actual'!$B$2:$B$770,'Controls &amp; Sources'!$B$7)</f>
        <v>0</v>
      </c>
      <c r="P1089" s="25" t="n">
        <f aca="false">SUMIFS('Billing Actual'!$M$2:$M$770,'Billing Actual'!$E$2:$E$770,A1089,'Billing Actual'!$B$2:$B$770,'Controls &amp; Sources'!$B$7)</f>
        <v>0</v>
      </c>
      <c r="Q1089" s="25" t="n">
        <f aca="false">P1089-N1089</f>
        <v>-453</v>
      </c>
      <c r="R1089" s="22" t="str">
        <f aca="false">IF(O1089=0,"No August moorage transaction",IF(O1089&gt;1,"Duplicate August transactions",IF(ABS(Q1089)&gt;0.005,"Charge variance","OK")))</f>
        <v>No August moorage transaction</v>
      </c>
      <c r="S1089" s="22" t="str">
        <f aca="false">IF(R1089="OK","","Billing completeness/reconciliation")</f>
        <v>Billing completeness/reconciliation</v>
      </c>
    </row>
    <row r="1090" customFormat="false" ht="15" hidden="false" customHeight="false" outlineLevel="0" collapsed="false">
      <c r="A1090" s="22" t="s">
        <v>8586</v>
      </c>
      <c r="B1090" s="22" t="s">
        <v>188</v>
      </c>
      <c r="C1090" s="22" t="s">
        <v>7694</v>
      </c>
      <c r="D1090" s="22" t="n">
        <v>45</v>
      </c>
      <c r="E1090" s="22" t="s">
        <v>7696</v>
      </c>
      <c r="F1090" s="22" t="s">
        <v>6577</v>
      </c>
      <c r="G1090" s="22" t="s">
        <v>987</v>
      </c>
      <c r="H1090" s="22" t="s">
        <v>988</v>
      </c>
      <c r="I1090" s="22" t="s">
        <v>805</v>
      </c>
      <c r="J1090" s="22" t="n">
        <v>48.2</v>
      </c>
      <c r="K1090" s="22" t="n">
        <f aca="false">ROUNDUP(J1090,0)</f>
        <v>49</v>
      </c>
      <c r="L1090" s="22" t="n">
        <f aca="false">MAX(D1090,K1090)</f>
        <v>49</v>
      </c>
      <c r="M1090" s="25" t="n">
        <f aca="false">IF(E1090="COVERED",'Controls &amp; Sources'!$B$5,'Controls &amp; Sources'!$B$6)</f>
        <v>7.55</v>
      </c>
      <c r="N1090" s="25" t="n">
        <f aca="false">L1090*M1090</f>
        <v>369.95</v>
      </c>
      <c r="O1090" s="22" t="n">
        <f aca="false">COUNTIFS('Billing Actual'!$E$2:$E$770,A1090,'Billing Actual'!$B$2:$B$770,'Controls &amp; Sources'!$B$7)</f>
        <v>0</v>
      </c>
      <c r="P1090" s="25" t="n">
        <f aca="false">SUMIFS('Billing Actual'!$M$2:$M$770,'Billing Actual'!$E$2:$E$770,A1090,'Billing Actual'!$B$2:$B$770,'Controls &amp; Sources'!$B$7)</f>
        <v>0</v>
      </c>
      <c r="Q1090" s="25" t="n">
        <f aca="false">P1090-N1090</f>
        <v>-369.95</v>
      </c>
      <c r="R1090" s="22" t="str">
        <f aca="false">IF(O1090=0,"No August moorage transaction",IF(O1090&gt;1,"Duplicate August transactions",IF(ABS(Q1090)&gt;0.005,"Charge variance","OK")))</f>
        <v>No August moorage transaction</v>
      </c>
      <c r="S1090" s="22" t="str">
        <f aca="false">IF(R1090="OK","","Billing completeness/reconciliation")</f>
        <v>Billing completeness/reconciliation</v>
      </c>
    </row>
    <row r="1091" customFormat="false" ht="15" hidden="false" customHeight="false" outlineLevel="0" collapsed="false">
      <c r="A1091" s="22" t="s">
        <v>8588</v>
      </c>
      <c r="B1091" s="22" t="s">
        <v>188</v>
      </c>
      <c r="C1091" s="22" t="s">
        <v>7694</v>
      </c>
      <c r="D1091" s="22" t="n">
        <v>80</v>
      </c>
      <c r="E1091" s="22" t="s">
        <v>7696</v>
      </c>
      <c r="F1091" s="22" t="s">
        <v>6577</v>
      </c>
      <c r="G1091" s="22" t="s">
        <v>5578</v>
      </c>
      <c r="H1091" s="22" t="s">
        <v>5579</v>
      </c>
      <c r="I1091" s="22" t="s">
        <v>642</v>
      </c>
      <c r="J1091" s="22" t="n">
        <v>56.6</v>
      </c>
      <c r="K1091" s="22" t="n">
        <f aca="false">ROUNDUP(J1091,0)</f>
        <v>57</v>
      </c>
      <c r="L1091" s="22" t="n">
        <f aca="false">MAX(D1091,K1091)</f>
        <v>80</v>
      </c>
      <c r="M1091" s="25" t="n">
        <f aca="false">IF(E1091="COVERED",'Controls &amp; Sources'!$B$5,'Controls &amp; Sources'!$B$6)</f>
        <v>7.55</v>
      </c>
      <c r="N1091" s="25" t="n">
        <f aca="false">L1091*M1091</f>
        <v>604</v>
      </c>
      <c r="O1091" s="22" t="n">
        <f aca="false">COUNTIFS('Billing Actual'!$E$2:$E$770,A1091,'Billing Actual'!$B$2:$B$770,'Controls &amp; Sources'!$B$7)</f>
        <v>0</v>
      </c>
      <c r="P1091" s="25" t="n">
        <f aca="false">SUMIFS('Billing Actual'!$M$2:$M$770,'Billing Actual'!$E$2:$E$770,A1091,'Billing Actual'!$B$2:$B$770,'Controls &amp; Sources'!$B$7)</f>
        <v>0</v>
      </c>
      <c r="Q1091" s="25" t="n">
        <f aca="false">P1091-N1091</f>
        <v>-604</v>
      </c>
      <c r="R1091" s="22" t="str">
        <f aca="false">IF(O1091=0,"No August moorage transaction",IF(O1091&gt;1,"Duplicate August transactions",IF(ABS(Q1091)&gt;0.005,"Charge variance","OK")))</f>
        <v>No August moorage transaction</v>
      </c>
      <c r="S1091" s="22" t="str">
        <f aca="false">IF(R1091="OK","","Billing completeness/reconciliation")</f>
        <v>Billing completeness/reconciliation</v>
      </c>
    </row>
  </sheetData>
  <autoFilter ref="A5:S1091"/>
  <mergeCells count="3">
    <mergeCell ref="A1:S1"/>
    <mergeCell ref="A2:S2"/>
    <mergeCell ref="A3:S3"/>
  </mergeCells>
  <conditionalFormatting sqref="Q6:Q1091">
    <cfRule type="cellIs" priority="2" operator="notEqual" aboveAverage="0" equalAverage="0" bottom="0" percent="0" rank="0" text="" dxfId="5">
      <formula>0</formula>
    </cfRule>
  </conditionalFormatting>
  <printOptions headings="false" gridLines="false" gridLinesSet="true" horizontalCentered="false" verticalCentered="false"/>
  <pageMargins left="0.25" right="0.25" top="0.45" bottom="0.45" header="0.2" footer="0.2"/>
  <pageSetup paperSize="1" scale="100" fitToWidth="2" fitToHeight="0" pageOrder="downThenOver" orientation="landscape" blackAndWhite="false" draft="false" cellComments="none" horizontalDpi="300" verticalDpi="300" copies="1"/>
  <headerFooter differentFirst="false" differentOddEven="false">
    <oddHeader>&amp;LBilling Reconciliation | August 2026</oddHeader>
    <oddFooter>&amp;C&amp;7 Page &amp;P of &amp;N&amp;R&amp;7 Chaldale Harbor District | 2026-08-07</oddFooter>
  </headerFooter>
  <drawing r:id="rId1"/>
  <tableParts>
    <tablePart r:id="rId2"/>
  </tableParts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C7C86"/>
    <pageSetUpPr fitToPage="true"/>
  </sheetPr>
  <dimension ref="A1:Y26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customHeight="true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23"/>
    <col collapsed="false" customWidth="true" hidden="false" outlineLevel="0" max="4" min="3" style="0" width="14"/>
    <col collapsed="false" customWidth="true" hidden="false" outlineLevel="0" max="5" min="5" style="0" width="20"/>
    <col collapsed="false" customWidth="true" hidden="false" outlineLevel="0" max="10" min="6" style="0" width="12"/>
    <col collapsed="false" customWidth="true" hidden="false" outlineLevel="0" max="11" min="11" style="0" width="15"/>
    <col collapsed="false" customWidth="true" hidden="false" outlineLevel="0" max="12" min="12" style="0" width="16"/>
    <col collapsed="false" customWidth="true" hidden="false" outlineLevel="0" max="14" min="13" style="0" width="14"/>
    <col collapsed="false" customWidth="true" hidden="false" outlineLevel="0" max="15" min="15" style="0" width="13"/>
    <col collapsed="false" customWidth="true" hidden="false" outlineLevel="0" max="16" min="16" style="0" width="16"/>
    <col collapsed="false" customWidth="true" hidden="false" outlineLevel="0" max="17" min="17" style="0" width="14"/>
    <col collapsed="false" customWidth="true" hidden="false" outlineLevel="0" max="18" min="18" style="0" width="16"/>
    <col collapsed="false" customWidth="true" hidden="false" outlineLevel="0" max="20" min="19" style="0" width="15"/>
    <col collapsed="false" customWidth="true" hidden="false" outlineLevel="0" max="22" min="21" style="0" width="13"/>
    <col collapsed="false" customWidth="true" hidden="false" outlineLevel="0" max="23" min="23" style="0" width="20"/>
    <col collapsed="false" customWidth="true" hidden="false" outlineLevel="0" max="24" min="24" style="0" width="39"/>
    <col collapsed="false" customWidth="true" hidden="false" outlineLevel="0" max="25" min="25" style="0" width="12"/>
  </cols>
  <sheetData>
    <row r="1" customFormat="false" ht="33.75" hidden="false" customHeight="true" outlineLevel="0" collapsed="false">
      <c r="A1" s="1" t="s">
        <v>12958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</row>
    <row r="2" customFormat="false" ht="27.75" hidden="false" customHeight="true" outlineLevel="0" collapsed="false">
      <c r="A2" s="2" t="s">
        <v>12959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</row>
    <row r="3" customFormat="false" ht="30" hidden="false" customHeight="true" outlineLevel="0" collapsed="false">
      <c r="A3" s="24" t="s">
        <v>12960</v>
      </c>
      <c r="B3" s="24"/>
      <c r="C3" s="24"/>
      <c r="D3" s="24"/>
      <c r="E3" s="24"/>
      <c r="F3" s="24"/>
      <c r="G3" s="24"/>
      <c r="H3" s="24"/>
      <c r="I3" s="24"/>
      <c r="J3" s="24"/>
      <c r="K3" s="24"/>
      <c r="L3" s="24"/>
      <c r="M3" s="24"/>
      <c r="N3" s="24"/>
      <c r="O3" s="24"/>
      <c r="P3" s="24"/>
      <c r="Q3" s="24"/>
      <c r="R3" s="24"/>
      <c r="S3" s="24"/>
      <c r="T3" s="24"/>
      <c r="U3" s="24"/>
      <c r="V3" s="24"/>
      <c r="W3" s="24"/>
      <c r="X3" s="24"/>
      <c r="Y3" s="24"/>
    </row>
    <row r="5" customFormat="false" ht="30" hidden="false" customHeight="true" outlineLevel="0" collapsed="false">
      <c r="A5" s="13" t="s">
        <v>11387</v>
      </c>
      <c r="B5" s="13" t="s">
        <v>12961</v>
      </c>
      <c r="C5" s="13" t="s">
        <v>12962</v>
      </c>
      <c r="D5" s="13" t="s">
        <v>6557</v>
      </c>
      <c r="E5" s="13" t="s">
        <v>8592</v>
      </c>
      <c r="F5" s="13" t="s">
        <v>12963</v>
      </c>
      <c r="G5" s="13" t="s">
        <v>12964</v>
      </c>
      <c r="H5" s="13" t="s">
        <v>12965</v>
      </c>
      <c r="I5" s="13" t="s">
        <v>56</v>
      </c>
      <c r="J5" s="13" t="s">
        <v>57</v>
      </c>
      <c r="K5" s="13" t="s">
        <v>12966</v>
      </c>
      <c r="L5" s="13" t="s">
        <v>12967</v>
      </c>
      <c r="M5" s="13" t="s">
        <v>11403</v>
      </c>
      <c r="N5" s="13" t="s">
        <v>12968</v>
      </c>
      <c r="O5" s="13" t="s">
        <v>12969</v>
      </c>
      <c r="P5" s="13" t="s">
        <v>10980</v>
      </c>
      <c r="Q5" s="13" t="s">
        <v>12970</v>
      </c>
      <c r="R5" s="13" t="s">
        <v>12971</v>
      </c>
      <c r="S5" s="13" t="s">
        <v>12972</v>
      </c>
      <c r="T5" s="13" t="s">
        <v>11396</v>
      </c>
      <c r="U5" s="13" t="s">
        <v>12973</v>
      </c>
      <c r="V5" s="13" t="s">
        <v>12974</v>
      </c>
      <c r="W5" s="13" t="s">
        <v>6571</v>
      </c>
      <c r="X5" s="13" t="s">
        <v>10965</v>
      </c>
      <c r="Y5" s="13" t="s">
        <v>10966</v>
      </c>
    </row>
    <row r="6" customFormat="false" ht="15" hidden="false" customHeight="false" outlineLevel="0" collapsed="false">
      <c r="A6" s="22" t="s">
        <v>11405</v>
      </c>
      <c r="B6" s="22" t="s">
        <v>3592</v>
      </c>
      <c r="C6" s="22" t="s">
        <v>6572</v>
      </c>
      <c r="D6" s="22" t="s">
        <v>198</v>
      </c>
      <c r="E6" s="22" t="s">
        <v>8601</v>
      </c>
      <c r="F6" s="25" t="n">
        <v>530.4</v>
      </c>
      <c r="G6" s="25" t="n">
        <v>0</v>
      </c>
      <c r="H6" s="25" t="n">
        <v>0</v>
      </c>
      <c r="I6" s="25" t="n">
        <v>0</v>
      </c>
      <c r="J6" s="25" t="n">
        <v>0</v>
      </c>
      <c r="K6" s="25" t="n">
        <v>530.4</v>
      </c>
      <c r="L6" s="25" t="n">
        <f aca="false">SUM(F6:J6)</f>
        <v>530.4</v>
      </c>
      <c r="M6" s="25" t="n">
        <f aca="false">K6-L6</f>
        <v>0</v>
      </c>
      <c r="N6" s="22" t="str">
        <f aca="false">RIGHT(A6,LEN(A6)-3)</f>
        <v>LP-0101</v>
      </c>
      <c r="O6" s="22" t="str">
        <f aca="false">IF(C6=N6,"Y","N")</f>
        <v>Y</v>
      </c>
      <c r="P6" s="22" t="str">
        <f aca="false">IFERROR(VLOOKUP(N6,'Slip Inventory'!$A$2:$R$1181,10,FALSE()),"NOT FOUND")</f>
        <v>OCCUPIED</v>
      </c>
      <c r="Q6" s="22" t="str">
        <f aca="false">IF(P6="OCCUPIED","Y","N")</f>
        <v>Y</v>
      </c>
      <c r="R6" s="25" t="n">
        <f aca="false">SUM(I6:J6)</f>
        <v>0</v>
      </c>
      <c r="S6" s="22" t="str">
        <f aca="false">IF(AND(R6&gt;0,Q6="Y"),"YES","NO")</f>
        <v>NO</v>
      </c>
      <c r="T6" s="22" t="s">
        <v>12975</v>
      </c>
      <c r="U6" s="23" t="n">
        <v>46158</v>
      </c>
      <c r="V6" s="23" t="n">
        <v>46229</v>
      </c>
      <c r="W6" s="22"/>
      <c r="X6" s="22" t="str">
        <f aca="false">IF(ABS(M6)&gt;0.005,"Reported total_due does not equal buckets",IF(O6&lt;&gt;"Y","Account/slip ID mismatch",IF(P6&lt;&gt;"OCCUPIED","Slip not occupied","OK")))</f>
        <v>OK</v>
      </c>
      <c r="Y6" s="22" t="str">
        <f aca="false">IF(ABS(M6)&gt;0.005,"Priority 3","")</f>
        <v/>
      </c>
    </row>
    <row r="7" customFormat="false" ht="15" hidden="false" customHeight="false" outlineLevel="0" collapsed="false">
      <c r="A7" s="22" t="s">
        <v>11409</v>
      </c>
      <c r="B7" s="22" t="s">
        <v>3532</v>
      </c>
      <c r="C7" s="22" t="s">
        <v>6580</v>
      </c>
      <c r="D7" s="22" t="s">
        <v>198</v>
      </c>
      <c r="E7" s="22" t="s">
        <v>8601</v>
      </c>
      <c r="F7" s="25" t="n">
        <v>416</v>
      </c>
      <c r="G7" s="25" t="n">
        <v>0</v>
      </c>
      <c r="H7" s="25" t="n">
        <v>0</v>
      </c>
      <c r="I7" s="25" t="n">
        <v>0</v>
      </c>
      <c r="J7" s="25" t="n">
        <v>0</v>
      </c>
      <c r="K7" s="25" t="n">
        <v>0</v>
      </c>
      <c r="L7" s="25" t="n">
        <f aca="false">SUM(F7:J7)</f>
        <v>416</v>
      </c>
      <c r="M7" s="25" t="n">
        <f aca="false">K7-L7</f>
        <v>-416</v>
      </c>
      <c r="N7" s="22" t="str">
        <f aca="false">RIGHT(A7,LEN(A7)-3)</f>
        <v>LP-0102</v>
      </c>
      <c r="O7" s="22" t="str">
        <f aca="false">IF(C7=N7,"Y","N")</f>
        <v>Y</v>
      </c>
      <c r="P7" s="22" t="str">
        <f aca="false">IFERROR(VLOOKUP(N7,'Slip Inventory'!$A$2:$R$1181,10,FALSE()),"NOT FOUND")</f>
        <v>OCCUPIED</v>
      </c>
      <c r="Q7" s="22" t="str">
        <f aca="false">IF(P7="OCCUPIED","Y","N")</f>
        <v>Y</v>
      </c>
      <c r="R7" s="25" t="n">
        <f aca="false">SUM(I7:J7)</f>
        <v>0</v>
      </c>
      <c r="S7" s="22" t="str">
        <f aca="false">IF(AND(R7&gt;0,Q7="Y"),"YES","NO")</f>
        <v>NO</v>
      </c>
      <c r="T7" s="22" t="s">
        <v>12975</v>
      </c>
      <c r="U7" s="23" t="n">
        <v>46175</v>
      </c>
      <c r="V7" s="23" t="n">
        <v>46188</v>
      </c>
      <c r="W7" s="22"/>
      <c r="X7" s="22" t="str">
        <f aca="false">IF(ABS(M7)&gt;0.005,"Reported total_due does not equal buckets",IF(O7&lt;&gt;"Y","Account/slip ID mismatch",IF(P7&lt;&gt;"OCCUPIED","Slip not occupied","OK")))</f>
        <v>Reported total_due does not equal buckets</v>
      </c>
      <c r="Y7" s="22" t="str">
        <f aca="false">IF(ABS(M7)&gt;0.005,"Priority 3","")</f>
        <v>Priority 3</v>
      </c>
    </row>
    <row r="8" customFormat="false" ht="15" hidden="false" customHeight="false" outlineLevel="0" collapsed="false">
      <c r="A8" s="22" t="s">
        <v>11412</v>
      </c>
      <c r="B8" s="22" t="s">
        <v>1376</v>
      </c>
      <c r="C8" s="22" t="s">
        <v>6585</v>
      </c>
      <c r="D8" s="22" t="s">
        <v>198</v>
      </c>
      <c r="E8" s="22" t="s">
        <v>8601</v>
      </c>
      <c r="F8" s="25" t="n">
        <v>343.2</v>
      </c>
      <c r="G8" s="25" t="n">
        <v>0</v>
      </c>
      <c r="H8" s="25" t="n">
        <v>0</v>
      </c>
      <c r="I8" s="25" t="n">
        <v>0</v>
      </c>
      <c r="J8" s="25" t="n">
        <v>0</v>
      </c>
      <c r="K8" s="25" t="n">
        <v>343.2</v>
      </c>
      <c r="L8" s="25" t="n">
        <f aca="false">SUM(F8:J8)</f>
        <v>343.2</v>
      </c>
      <c r="M8" s="25" t="n">
        <f aca="false">K8-L8</f>
        <v>0</v>
      </c>
      <c r="N8" s="22" t="str">
        <f aca="false">RIGHT(A8,LEN(A8)-3)</f>
        <v>LP-0103</v>
      </c>
      <c r="O8" s="22" t="str">
        <f aca="false">IF(C8=N8,"Y","N")</f>
        <v>Y</v>
      </c>
      <c r="P8" s="22" t="str">
        <f aca="false">IFERROR(VLOOKUP(N8,'Slip Inventory'!$A$2:$R$1181,10,FALSE()),"NOT FOUND")</f>
        <v>OCCUPIED</v>
      </c>
      <c r="Q8" s="22" t="str">
        <f aca="false">IF(P8="OCCUPIED","Y","N")</f>
        <v>Y</v>
      </c>
      <c r="R8" s="25" t="n">
        <f aca="false">SUM(I8:J8)</f>
        <v>0</v>
      </c>
      <c r="S8" s="22" t="str">
        <f aca="false">IF(AND(R8&gt;0,Q8="Y"),"YES","NO")</f>
        <v>NO</v>
      </c>
      <c r="T8" s="22" t="s">
        <v>12975</v>
      </c>
      <c r="U8" s="23" t="n">
        <v>46182</v>
      </c>
      <c r="V8" s="23" t="n">
        <v>46194</v>
      </c>
      <c r="W8" s="22"/>
      <c r="X8" s="22" t="str">
        <f aca="false">IF(ABS(M8)&gt;0.005,"Reported total_due does not equal buckets",IF(O8&lt;&gt;"Y","Account/slip ID mismatch",IF(P8&lt;&gt;"OCCUPIED","Slip not occupied","OK")))</f>
        <v>OK</v>
      </c>
      <c r="Y8" s="22" t="str">
        <f aca="false">IF(ABS(M8)&gt;0.005,"Priority 3","")</f>
        <v/>
      </c>
    </row>
    <row r="9" customFormat="false" ht="15" hidden="false" customHeight="false" outlineLevel="0" collapsed="false">
      <c r="A9" s="22" t="s">
        <v>11414</v>
      </c>
      <c r="B9" s="22" t="s">
        <v>5990</v>
      </c>
      <c r="C9" s="22" t="s">
        <v>6588</v>
      </c>
      <c r="D9" s="22" t="s">
        <v>198</v>
      </c>
      <c r="E9" s="22" t="s">
        <v>8601</v>
      </c>
      <c r="F9" s="25" t="n">
        <v>447.2</v>
      </c>
      <c r="G9" s="25" t="n">
        <v>0</v>
      </c>
      <c r="H9" s="25" t="n">
        <v>0</v>
      </c>
      <c r="I9" s="25" t="n">
        <v>0</v>
      </c>
      <c r="J9" s="25" t="n">
        <v>0</v>
      </c>
      <c r="K9" s="25" t="n">
        <v>447.2</v>
      </c>
      <c r="L9" s="25" t="n">
        <f aca="false">SUM(F9:J9)</f>
        <v>447.2</v>
      </c>
      <c r="M9" s="25" t="n">
        <f aca="false">K9-L9</f>
        <v>0</v>
      </c>
      <c r="N9" s="22" t="str">
        <f aca="false">RIGHT(A9,LEN(A9)-3)</f>
        <v>LP-0104</v>
      </c>
      <c r="O9" s="22" t="str">
        <f aca="false">IF(C9=N9,"Y","N")</f>
        <v>Y</v>
      </c>
      <c r="P9" s="22" t="str">
        <f aca="false">IFERROR(VLOOKUP(N9,'Slip Inventory'!$A$2:$R$1181,10,FALSE()),"NOT FOUND")</f>
        <v>OCCUPIED</v>
      </c>
      <c r="Q9" s="22" t="str">
        <f aca="false">IF(P9="OCCUPIED","Y","N")</f>
        <v>Y</v>
      </c>
      <c r="R9" s="25" t="n">
        <f aca="false">SUM(I9:J9)</f>
        <v>0</v>
      </c>
      <c r="S9" s="22" t="str">
        <f aca="false">IF(AND(R9&gt;0,Q9="Y"),"YES","NO")</f>
        <v>NO</v>
      </c>
      <c r="T9" s="22" t="s">
        <v>12975</v>
      </c>
      <c r="U9" s="23" t="n">
        <v>46144</v>
      </c>
      <c r="V9" s="23" t="n">
        <v>46188</v>
      </c>
      <c r="W9" s="22"/>
      <c r="X9" s="22" t="str">
        <f aca="false">IF(ABS(M9)&gt;0.005,"Reported total_due does not equal buckets",IF(O9&lt;&gt;"Y","Account/slip ID mismatch",IF(P9&lt;&gt;"OCCUPIED","Slip not occupied","OK")))</f>
        <v>OK</v>
      </c>
      <c r="Y9" s="22" t="str">
        <f aca="false">IF(ABS(M9)&gt;0.005,"Priority 3","")</f>
        <v/>
      </c>
    </row>
    <row r="10" customFormat="false" ht="15" hidden="false" customHeight="false" outlineLevel="0" collapsed="false">
      <c r="A10" s="22" t="s">
        <v>11416</v>
      </c>
      <c r="B10" s="22" t="s">
        <v>6486</v>
      </c>
      <c r="C10" s="22" t="s">
        <v>6591</v>
      </c>
      <c r="D10" s="22" t="s">
        <v>198</v>
      </c>
      <c r="E10" s="22" t="s">
        <v>8601</v>
      </c>
      <c r="F10" s="25" t="n">
        <v>405.6</v>
      </c>
      <c r="G10" s="25" t="n">
        <v>0</v>
      </c>
      <c r="H10" s="25" t="n">
        <v>0</v>
      </c>
      <c r="I10" s="25" t="n">
        <v>0</v>
      </c>
      <c r="J10" s="25" t="n">
        <v>0</v>
      </c>
      <c r="K10" s="25" t="n">
        <v>405.6</v>
      </c>
      <c r="L10" s="25" t="n">
        <f aca="false">SUM(F10:J10)</f>
        <v>405.6</v>
      </c>
      <c r="M10" s="25" t="n">
        <f aca="false">K10-L10</f>
        <v>0</v>
      </c>
      <c r="N10" s="22" t="str">
        <f aca="false">RIGHT(A10,LEN(A10)-3)</f>
        <v>LP-0105</v>
      </c>
      <c r="O10" s="22" t="str">
        <f aca="false">IF(C10=N10,"Y","N")</f>
        <v>Y</v>
      </c>
      <c r="P10" s="22" t="str">
        <f aca="false">IFERROR(VLOOKUP(N10,'Slip Inventory'!$A$2:$R$1181,10,FALSE()),"NOT FOUND")</f>
        <v>OCCUPIED</v>
      </c>
      <c r="Q10" s="22" t="str">
        <f aca="false">IF(P10="OCCUPIED","Y","N")</f>
        <v>Y</v>
      </c>
      <c r="R10" s="25" t="n">
        <f aca="false">SUM(I10:J10)</f>
        <v>0</v>
      </c>
      <c r="S10" s="22" t="str">
        <f aca="false">IF(AND(R10&gt;0,Q10="Y"),"YES","NO")</f>
        <v>NO</v>
      </c>
      <c r="T10" s="22" t="s">
        <v>12975</v>
      </c>
      <c r="U10" s="23" t="n">
        <v>46222</v>
      </c>
      <c r="V10" s="23" t="n">
        <v>46224</v>
      </c>
      <c r="W10" s="22"/>
      <c r="X10" s="22" t="str">
        <f aca="false">IF(ABS(M10)&gt;0.005,"Reported total_due does not equal buckets",IF(O10&lt;&gt;"Y","Account/slip ID mismatch",IF(P10&lt;&gt;"OCCUPIED","Slip not occupied","OK")))</f>
        <v>OK</v>
      </c>
      <c r="Y10" s="22" t="str">
        <f aca="false">IF(ABS(M10)&gt;0.005,"Priority 3","")</f>
        <v/>
      </c>
    </row>
    <row r="11" customFormat="false" ht="15" hidden="false" customHeight="false" outlineLevel="0" collapsed="false">
      <c r="A11" s="22" t="s">
        <v>11418</v>
      </c>
      <c r="B11" s="22" t="s">
        <v>3332</v>
      </c>
      <c r="C11" s="22" t="s">
        <v>6594</v>
      </c>
      <c r="D11" s="22" t="s">
        <v>198</v>
      </c>
      <c r="E11" s="22" t="s">
        <v>8601</v>
      </c>
      <c r="F11" s="25" t="n">
        <v>405.6</v>
      </c>
      <c r="G11" s="25" t="n">
        <v>0</v>
      </c>
      <c r="H11" s="25" t="n">
        <v>0</v>
      </c>
      <c r="I11" s="25" t="n">
        <v>0</v>
      </c>
      <c r="J11" s="25" t="n">
        <v>0</v>
      </c>
      <c r="K11" s="25" t="n">
        <v>405.6</v>
      </c>
      <c r="L11" s="25" t="n">
        <f aca="false">SUM(F11:J11)</f>
        <v>405.6</v>
      </c>
      <c r="M11" s="25" t="n">
        <f aca="false">K11-L11</f>
        <v>0</v>
      </c>
      <c r="N11" s="22" t="str">
        <f aca="false">RIGHT(A11,LEN(A11)-3)</f>
        <v>LP-0106</v>
      </c>
      <c r="O11" s="22" t="str">
        <f aca="false">IF(C11=N11,"Y","N")</f>
        <v>Y</v>
      </c>
      <c r="P11" s="22" t="str">
        <f aca="false">IFERROR(VLOOKUP(N11,'Slip Inventory'!$A$2:$R$1181,10,FALSE()),"NOT FOUND")</f>
        <v>OCCUPIED</v>
      </c>
      <c r="Q11" s="22" t="str">
        <f aca="false">IF(P11="OCCUPIED","Y","N")</f>
        <v>Y</v>
      </c>
      <c r="R11" s="25" t="n">
        <f aca="false">SUM(I11:J11)</f>
        <v>0</v>
      </c>
      <c r="S11" s="22" t="str">
        <f aca="false">IF(AND(R11&gt;0,Q11="Y"),"YES","NO")</f>
        <v>NO</v>
      </c>
      <c r="T11" s="22" t="s">
        <v>12975</v>
      </c>
      <c r="U11" s="23" t="n">
        <v>46229</v>
      </c>
      <c r="V11" s="23" t="n">
        <v>46231</v>
      </c>
      <c r="W11" s="22" t="s">
        <v>12976</v>
      </c>
      <c r="X11" s="22" t="str">
        <f aca="false">IF(ABS(M11)&gt;0.005,"Reported total_due does not equal buckets",IF(O11&lt;&gt;"Y","Account/slip ID mismatch",IF(P11&lt;&gt;"OCCUPIED","Slip not occupied","OK")))</f>
        <v>OK</v>
      </c>
      <c r="Y11" s="22" t="str">
        <f aca="false">IF(ABS(M11)&gt;0.005,"Priority 3","")</f>
        <v/>
      </c>
    </row>
    <row r="12" customFormat="false" ht="15" hidden="false" customHeight="false" outlineLevel="0" collapsed="false">
      <c r="A12" s="22" t="s">
        <v>11420</v>
      </c>
      <c r="B12" s="22" t="s">
        <v>3927</v>
      </c>
      <c r="C12" s="22" t="s">
        <v>6597</v>
      </c>
      <c r="D12" s="22" t="s">
        <v>198</v>
      </c>
      <c r="E12" s="22" t="s">
        <v>8601</v>
      </c>
      <c r="F12" s="25" t="n">
        <v>322.4</v>
      </c>
      <c r="G12" s="25" t="n">
        <v>322.4</v>
      </c>
      <c r="H12" s="25" t="n">
        <v>0</v>
      </c>
      <c r="I12" s="25" t="n">
        <v>0</v>
      </c>
      <c r="J12" s="25" t="n">
        <v>0</v>
      </c>
      <c r="K12" s="25" t="n">
        <v>644.8</v>
      </c>
      <c r="L12" s="25" t="n">
        <f aca="false">SUM(F12:J12)</f>
        <v>644.8</v>
      </c>
      <c r="M12" s="25" t="n">
        <f aca="false">K12-L12</f>
        <v>0</v>
      </c>
      <c r="N12" s="22" t="str">
        <f aca="false">RIGHT(A12,LEN(A12)-3)</f>
        <v>LP-0107</v>
      </c>
      <c r="O12" s="22" t="str">
        <f aca="false">IF(C12=N12,"Y","N")</f>
        <v>Y</v>
      </c>
      <c r="P12" s="22" t="str">
        <f aca="false">IFERROR(VLOOKUP(N12,'Slip Inventory'!$A$2:$R$1181,10,FALSE()),"NOT FOUND")</f>
        <v>OCCUPIED</v>
      </c>
      <c r="Q12" s="22" t="str">
        <f aca="false">IF(P12="OCCUPIED","Y","N")</f>
        <v>Y</v>
      </c>
      <c r="R12" s="25" t="n">
        <f aca="false">SUM(I12:J12)</f>
        <v>0</v>
      </c>
      <c r="S12" s="22" t="str">
        <f aca="false">IF(AND(R12&gt;0,Q12="Y"),"YES","NO")</f>
        <v>NO</v>
      </c>
      <c r="T12" s="22" t="s">
        <v>12977</v>
      </c>
      <c r="U12" s="23" t="n">
        <v>46200</v>
      </c>
      <c r="V12" s="23" t="n">
        <v>46201</v>
      </c>
      <c r="W12" s="22"/>
      <c r="X12" s="22" t="str">
        <f aca="false">IF(ABS(M12)&gt;0.005,"Reported total_due does not equal buckets",IF(O12&lt;&gt;"Y","Account/slip ID mismatch",IF(P12&lt;&gt;"OCCUPIED","Slip not occupied","OK")))</f>
        <v>OK</v>
      </c>
      <c r="Y12" s="22" t="str">
        <f aca="false">IF(ABS(M12)&gt;0.005,"Priority 3","")</f>
        <v/>
      </c>
    </row>
    <row r="13" customFormat="false" ht="15" hidden="false" customHeight="false" outlineLevel="0" collapsed="false">
      <c r="A13" s="22" t="s">
        <v>11422</v>
      </c>
      <c r="B13" s="22" t="s">
        <v>1655</v>
      </c>
      <c r="C13" s="22" t="s">
        <v>6600</v>
      </c>
      <c r="D13" s="22" t="s">
        <v>198</v>
      </c>
      <c r="E13" s="22" t="s">
        <v>8601</v>
      </c>
      <c r="F13" s="25" t="n">
        <v>332.8</v>
      </c>
      <c r="G13" s="25" t="n">
        <v>0</v>
      </c>
      <c r="H13" s="25" t="n">
        <v>0</v>
      </c>
      <c r="I13" s="25" t="n">
        <v>0</v>
      </c>
      <c r="J13" s="25" t="n">
        <v>0</v>
      </c>
      <c r="K13" s="25" t="n">
        <v>332.8</v>
      </c>
      <c r="L13" s="25" t="n">
        <f aca="false">SUM(F13:J13)</f>
        <v>332.8</v>
      </c>
      <c r="M13" s="25" t="n">
        <f aca="false">K13-L13</f>
        <v>0</v>
      </c>
      <c r="N13" s="22" t="str">
        <f aca="false">RIGHT(A13,LEN(A13)-3)</f>
        <v>LP-0108</v>
      </c>
      <c r="O13" s="22" t="str">
        <f aca="false">IF(C13=N13,"Y","N")</f>
        <v>Y</v>
      </c>
      <c r="P13" s="22" t="str">
        <f aca="false">IFERROR(VLOOKUP(N13,'Slip Inventory'!$A$2:$R$1181,10,FALSE()),"NOT FOUND")</f>
        <v>OCCUPIED</v>
      </c>
      <c r="Q13" s="22" t="str">
        <f aca="false">IF(P13="OCCUPIED","Y","N")</f>
        <v>Y</v>
      </c>
      <c r="R13" s="25" t="n">
        <f aca="false">SUM(I13:J13)</f>
        <v>0</v>
      </c>
      <c r="S13" s="22" t="str">
        <f aca="false">IF(AND(R13&gt;0,Q13="Y"),"YES","NO")</f>
        <v>NO</v>
      </c>
      <c r="T13" s="22" t="s">
        <v>12975</v>
      </c>
      <c r="U13" s="23" t="n">
        <v>46181</v>
      </c>
      <c r="V13" s="23" t="n">
        <v>46188</v>
      </c>
      <c r="W13" s="22"/>
      <c r="X13" s="22" t="str">
        <f aca="false">IF(ABS(M13)&gt;0.005,"Reported total_due does not equal buckets",IF(O13&lt;&gt;"Y","Account/slip ID mismatch",IF(P13&lt;&gt;"OCCUPIED","Slip not occupied","OK")))</f>
        <v>OK</v>
      </c>
      <c r="Y13" s="22" t="str">
        <f aca="false">IF(ABS(M13)&gt;0.005,"Priority 3","")</f>
        <v/>
      </c>
    </row>
    <row r="14" customFormat="false" ht="15" hidden="false" customHeight="false" outlineLevel="0" collapsed="false">
      <c r="A14" s="22" t="s">
        <v>11424</v>
      </c>
      <c r="B14" s="22" t="s">
        <v>4257</v>
      </c>
      <c r="C14" s="22" t="s">
        <v>6603</v>
      </c>
      <c r="D14" s="22" t="s">
        <v>198</v>
      </c>
      <c r="E14" s="22" t="s">
        <v>8601</v>
      </c>
      <c r="F14" s="25" t="n">
        <v>332.8</v>
      </c>
      <c r="G14" s="25" t="n">
        <v>332.8</v>
      </c>
      <c r="H14" s="25" t="n">
        <v>0</v>
      </c>
      <c r="I14" s="25" t="n">
        <v>0</v>
      </c>
      <c r="J14" s="25" t="n">
        <v>0</v>
      </c>
      <c r="K14" s="25" t="n">
        <v>665.6</v>
      </c>
      <c r="L14" s="25" t="n">
        <f aca="false">SUM(F14:J14)</f>
        <v>665.6</v>
      </c>
      <c r="M14" s="25" t="n">
        <f aca="false">K14-L14</f>
        <v>0</v>
      </c>
      <c r="N14" s="22" t="str">
        <f aca="false">RIGHT(A14,LEN(A14)-3)</f>
        <v>LP-0109</v>
      </c>
      <c r="O14" s="22" t="str">
        <f aca="false">IF(C14=N14,"Y","N")</f>
        <v>Y</v>
      </c>
      <c r="P14" s="22" t="str">
        <f aca="false">IFERROR(VLOOKUP(N14,'Slip Inventory'!$A$2:$R$1181,10,FALSE()),"NOT FOUND")</f>
        <v>OCCUPIED</v>
      </c>
      <c r="Q14" s="22" t="str">
        <f aca="false">IF(P14="OCCUPIED","Y","N")</f>
        <v>Y</v>
      </c>
      <c r="R14" s="25" t="n">
        <f aca="false">SUM(I14:J14)</f>
        <v>0</v>
      </c>
      <c r="S14" s="22" t="str">
        <f aca="false">IF(AND(R14&gt;0,Q14="Y"),"YES","NO")</f>
        <v>NO</v>
      </c>
      <c r="T14" s="22" t="s">
        <v>12977</v>
      </c>
      <c r="U14" s="23" t="n">
        <v>46149</v>
      </c>
      <c r="V14" s="23" t="n">
        <v>46181</v>
      </c>
      <c r="W14" s="22"/>
      <c r="X14" s="22" t="str">
        <f aca="false">IF(ABS(M14)&gt;0.005,"Reported total_due does not equal buckets",IF(O14&lt;&gt;"Y","Account/slip ID mismatch",IF(P14&lt;&gt;"OCCUPIED","Slip not occupied","OK")))</f>
        <v>OK</v>
      </c>
      <c r="Y14" s="22" t="str">
        <f aca="false">IF(ABS(M14)&gt;0.005,"Priority 3","")</f>
        <v/>
      </c>
    </row>
    <row r="15" customFormat="false" ht="15" hidden="false" customHeight="false" outlineLevel="0" collapsed="false">
      <c r="A15" s="22" t="s">
        <v>11426</v>
      </c>
      <c r="B15" s="22" t="s">
        <v>5017</v>
      </c>
      <c r="C15" s="22" t="s">
        <v>6606</v>
      </c>
      <c r="D15" s="22" t="s">
        <v>198</v>
      </c>
      <c r="E15" s="22" t="s">
        <v>8601</v>
      </c>
      <c r="F15" s="25" t="n">
        <v>291.2</v>
      </c>
      <c r="G15" s="25" t="n">
        <v>0</v>
      </c>
      <c r="H15" s="25" t="n">
        <v>0</v>
      </c>
      <c r="I15" s="25" t="n">
        <v>0</v>
      </c>
      <c r="J15" s="25" t="n">
        <v>0</v>
      </c>
      <c r="K15" s="25" t="n">
        <v>291.2</v>
      </c>
      <c r="L15" s="25" t="n">
        <f aca="false">SUM(F15:J15)</f>
        <v>291.2</v>
      </c>
      <c r="M15" s="25" t="n">
        <f aca="false">K15-L15</f>
        <v>0</v>
      </c>
      <c r="N15" s="22" t="str">
        <f aca="false">RIGHT(A15,LEN(A15)-3)</f>
        <v>LP-0110</v>
      </c>
      <c r="O15" s="22" t="str">
        <f aca="false">IF(C15=N15,"Y","N")</f>
        <v>Y</v>
      </c>
      <c r="P15" s="22" t="str">
        <f aca="false">IFERROR(VLOOKUP(N15,'Slip Inventory'!$A$2:$R$1181,10,FALSE()),"NOT FOUND")</f>
        <v>OCCUPIED</v>
      </c>
      <c r="Q15" s="22" t="str">
        <f aca="false">IF(P15="OCCUPIED","Y","N")</f>
        <v>Y</v>
      </c>
      <c r="R15" s="25" t="n">
        <f aca="false">SUM(I15:J15)</f>
        <v>0</v>
      </c>
      <c r="S15" s="22" t="str">
        <f aca="false">IF(AND(R15&gt;0,Q15="Y"),"YES","NO")</f>
        <v>NO</v>
      </c>
      <c r="T15" s="22" t="s">
        <v>12975</v>
      </c>
      <c r="U15" s="23" t="n">
        <v>46203</v>
      </c>
      <c r="V15" s="23" t="n">
        <v>46187</v>
      </c>
      <c r="W15" s="22"/>
      <c r="X15" s="22" t="str">
        <f aca="false">IF(ABS(M15)&gt;0.005,"Reported total_due does not equal buckets",IF(O15&lt;&gt;"Y","Account/slip ID mismatch",IF(P15&lt;&gt;"OCCUPIED","Slip not occupied","OK")))</f>
        <v>OK</v>
      </c>
      <c r="Y15" s="22" t="str">
        <f aca="false">IF(ABS(M15)&gt;0.005,"Priority 3","")</f>
        <v/>
      </c>
    </row>
    <row r="16" customFormat="false" ht="15" hidden="false" customHeight="false" outlineLevel="0" collapsed="false">
      <c r="A16" s="22" t="s">
        <v>11428</v>
      </c>
      <c r="B16" s="22" t="s">
        <v>5982</v>
      </c>
      <c r="C16" s="22" t="s">
        <v>6609</v>
      </c>
      <c r="D16" s="22" t="s">
        <v>198</v>
      </c>
      <c r="E16" s="22" t="s">
        <v>8601</v>
      </c>
      <c r="F16" s="25" t="n">
        <v>561.6</v>
      </c>
      <c r="G16" s="25" t="n">
        <v>561.6</v>
      </c>
      <c r="H16" s="25" t="n">
        <v>0</v>
      </c>
      <c r="I16" s="25" t="n">
        <v>0</v>
      </c>
      <c r="J16" s="25" t="n">
        <v>0</v>
      </c>
      <c r="K16" s="25" t="n">
        <v>1123.2</v>
      </c>
      <c r="L16" s="25" t="n">
        <f aca="false">SUM(F16:J16)</f>
        <v>1123.2</v>
      </c>
      <c r="M16" s="25" t="n">
        <f aca="false">K16-L16</f>
        <v>0</v>
      </c>
      <c r="N16" s="22" t="str">
        <f aca="false">RIGHT(A16,LEN(A16)-3)</f>
        <v>LP-0111</v>
      </c>
      <c r="O16" s="22" t="str">
        <f aca="false">IF(C16=N16,"Y","N")</f>
        <v>Y</v>
      </c>
      <c r="P16" s="22" t="str">
        <f aca="false">IFERROR(VLOOKUP(N16,'Slip Inventory'!$A$2:$R$1181,10,FALSE()),"NOT FOUND")</f>
        <v>OCCUPIED</v>
      </c>
      <c r="Q16" s="22" t="str">
        <f aca="false">IF(P16="OCCUPIED","Y","N")</f>
        <v>Y</v>
      </c>
      <c r="R16" s="25" t="n">
        <f aca="false">SUM(I16:J16)</f>
        <v>0</v>
      </c>
      <c r="S16" s="22" t="str">
        <f aca="false">IF(AND(R16&gt;0,Q16="Y"),"YES","NO")</f>
        <v>NO</v>
      </c>
      <c r="T16" s="22" t="s">
        <v>12977</v>
      </c>
      <c r="U16" s="23" t="n">
        <v>46230</v>
      </c>
      <c r="V16" s="23" t="n">
        <v>46181</v>
      </c>
      <c r="W16" s="22"/>
      <c r="X16" s="22" t="str">
        <f aca="false">IF(ABS(M16)&gt;0.005,"Reported total_due does not equal buckets",IF(O16&lt;&gt;"Y","Account/slip ID mismatch",IF(P16&lt;&gt;"OCCUPIED","Slip not occupied","OK")))</f>
        <v>OK</v>
      </c>
      <c r="Y16" s="22" t="str">
        <f aca="false">IF(ABS(M16)&gt;0.005,"Priority 3","")</f>
        <v/>
      </c>
    </row>
    <row r="17" customFormat="false" ht="15" hidden="false" customHeight="false" outlineLevel="0" collapsed="false">
      <c r="A17" s="22" t="s">
        <v>11430</v>
      </c>
      <c r="B17" s="22" t="s">
        <v>1479</v>
      </c>
      <c r="C17" s="22" t="s">
        <v>6615</v>
      </c>
      <c r="D17" s="22" t="s">
        <v>198</v>
      </c>
      <c r="E17" s="22" t="s">
        <v>8601</v>
      </c>
      <c r="F17" s="25" t="n">
        <v>374.4</v>
      </c>
      <c r="G17" s="25" t="n">
        <v>0</v>
      </c>
      <c r="H17" s="25" t="n">
        <v>0</v>
      </c>
      <c r="I17" s="25" t="n">
        <v>0</v>
      </c>
      <c r="J17" s="25" t="n">
        <v>0</v>
      </c>
      <c r="K17" s="25" t="n">
        <v>374.4</v>
      </c>
      <c r="L17" s="25" t="n">
        <f aca="false">SUM(F17:J17)</f>
        <v>374.4</v>
      </c>
      <c r="M17" s="25" t="n">
        <f aca="false">K17-L17</f>
        <v>0</v>
      </c>
      <c r="N17" s="22" t="str">
        <f aca="false">RIGHT(A17,LEN(A17)-3)</f>
        <v>LP-0113</v>
      </c>
      <c r="O17" s="22" t="str">
        <f aca="false">IF(C17=N17,"Y","N")</f>
        <v>Y</v>
      </c>
      <c r="P17" s="22" t="str">
        <f aca="false">IFERROR(VLOOKUP(N17,'Slip Inventory'!$A$2:$R$1181,10,FALSE()),"NOT FOUND")</f>
        <v>OCCUPIED</v>
      </c>
      <c r="Q17" s="22" t="str">
        <f aca="false">IF(P17="OCCUPIED","Y","N")</f>
        <v>Y</v>
      </c>
      <c r="R17" s="25" t="n">
        <f aca="false">SUM(I17:J17)</f>
        <v>0</v>
      </c>
      <c r="S17" s="22" t="str">
        <f aca="false">IF(AND(R17&gt;0,Q17="Y"),"YES","NO")</f>
        <v>NO</v>
      </c>
      <c r="T17" s="22" t="s">
        <v>12975</v>
      </c>
      <c r="U17" s="23" t="n">
        <v>46192</v>
      </c>
      <c r="V17" s="23" t="n">
        <v>46214</v>
      </c>
      <c r="W17" s="22"/>
      <c r="X17" s="22" t="str">
        <f aca="false">IF(ABS(M17)&gt;0.005,"Reported total_due does not equal buckets",IF(O17&lt;&gt;"Y","Account/slip ID mismatch",IF(P17&lt;&gt;"OCCUPIED","Slip not occupied","OK")))</f>
        <v>OK</v>
      </c>
      <c r="Y17" s="22" t="str">
        <f aca="false">IF(ABS(M17)&gt;0.005,"Priority 3","")</f>
        <v/>
      </c>
    </row>
    <row r="18" customFormat="false" ht="15" hidden="false" customHeight="false" outlineLevel="0" collapsed="false">
      <c r="A18" s="22" t="s">
        <v>11432</v>
      </c>
      <c r="B18" s="22" t="s">
        <v>3162</v>
      </c>
      <c r="C18" s="22" t="s">
        <v>6618</v>
      </c>
      <c r="D18" s="22" t="s">
        <v>198</v>
      </c>
      <c r="E18" s="22" t="s">
        <v>8601</v>
      </c>
      <c r="F18" s="25" t="n">
        <v>301.6</v>
      </c>
      <c r="G18" s="25" t="n">
        <v>0</v>
      </c>
      <c r="H18" s="25" t="n">
        <v>0</v>
      </c>
      <c r="I18" s="25" t="n">
        <v>0</v>
      </c>
      <c r="J18" s="25" t="n">
        <v>0</v>
      </c>
      <c r="K18" s="25" t="n">
        <v>301.6</v>
      </c>
      <c r="L18" s="25" t="n">
        <f aca="false">SUM(F18:J18)</f>
        <v>301.6</v>
      </c>
      <c r="M18" s="25" t="n">
        <f aca="false">K18-L18</f>
        <v>0</v>
      </c>
      <c r="N18" s="22" t="str">
        <f aca="false">RIGHT(A18,LEN(A18)-3)</f>
        <v>LP-0114</v>
      </c>
      <c r="O18" s="22" t="str">
        <f aca="false">IF(C18=N18,"Y","N")</f>
        <v>Y</v>
      </c>
      <c r="P18" s="22" t="str">
        <f aca="false">IFERROR(VLOOKUP(N18,'Slip Inventory'!$A$2:$R$1181,10,FALSE()),"NOT FOUND")</f>
        <v>OCCUPIED</v>
      </c>
      <c r="Q18" s="22" t="str">
        <f aca="false">IF(P18="OCCUPIED","Y","N")</f>
        <v>Y</v>
      </c>
      <c r="R18" s="25" t="n">
        <f aca="false">SUM(I18:J18)</f>
        <v>0</v>
      </c>
      <c r="S18" s="22" t="str">
        <f aca="false">IF(AND(R18&gt;0,Q18="Y"),"YES","NO")</f>
        <v>NO</v>
      </c>
      <c r="T18" s="22" t="s">
        <v>12975</v>
      </c>
      <c r="U18" s="23" t="n">
        <v>46180</v>
      </c>
      <c r="V18" s="23" t="n">
        <v>46206</v>
      </c>
      <c r="W18" s="22"/>
      <c r="X18" s="22" t="str">
        <f aca="false">IF(ABS(M18)&gt;0.005,"Reported total_due does not equal buckets",IF(O18&lt;&gt;"Y","Account/slip ID mismatch",IF(P18&lt;&gt;"OCCUPIED","Slip not occupied","OK")))</f>
        <v>OK</v>
      </c>
      <c r="Y18" s="22" t="str">
        <f aca="false">IF(ABS(M18)&gt;0.005,"Priority 3","")</f>
        <v/>
      </c>
    </row>
    <row r="19" customFormat="false" ht="15" hidden="false" customHeight="false" outlineLevel="0" collapsed="false">
      <c r="A19" s="22" t="s">
        <v>11434</v>
      </c>
      <c r="B19" s="22" t="s">
        <v>4615</v>
      </c>
      <c r="C19" s="22" t="s">
        <v>6621</v>
      </c>
      <c r="D19" s="22" t="s">
        <v>198</v>
      </c>
      <c r="E19" s="22" t="s">
        <v>8601</v>
      </c>
      <c r="F19" s="25" t="n">
        <v>291.2</v>
      </c>
      <c r="G19" s="25" t="n">
        <v>291.2</v>
      </c>
      <c r="H19" s="25" t="n">
        <v>0</v>
      </c>
      <c r="I19" s="25" t="n">
        <v>0</v>
      </c>
      <c r="J19" s="25" t="n">
        <v>0</v>
      </c>
      <c r="K19" s="25" t="n">
        <v>582.4</v>
      </c>
      <c r="L19" s="25" t="n">
        <f aca="false">SUM(F19:J19)</f>
        <v>582.4</v>
      </c>
      <c r="M19" s="25" t="n">
        <f aca="false">K19-L19</f>
        <v>0</v>
      </c>
      <c r="N19" s="22" t="str">
        <f aca="false">RIGHT(A19,LEN(A19)-3)</f>
        <v>LP-0115</v>
      </c>
      <c r="O19" s="22" t="str">
        <f aca="false">IF(C19=N19,"Y","N")</f>
        <v>Y</v>
      </c>
      <c r="P19" s="22" t="str">
        <f aca="false">IFERROR(VLOOKUP(N19,'Slip Inventory'!$A$2:$R$1181,10,FALSE()),"NOT FOUND")</f>
        <v>OCCUPIED</v>
      </c>
      <c r="Q19" s="22" t="str">
        <f aca="false">IF(P19="OCCUPIED","Y","N")</f>
        <v>Y</v>
      </c>
      <c r="R19" s="25" t="n">
        <f aca="false">SUM(I19:J19)</f>
        <v>0</v>
      </c>
      <c r="S19" s="22" t="str">
        <f aca="false">IF(AND(R19&gt;0,Q19="Y"),"YES","NO")</f>
        <v>NO</v>
      </c>
      <c r="T19" s="22" t="s">
        <v>12977</v>
      </c>
      <c r="U19" s="23" t="n">
        <v>46181</v>
      </c>
      <c r="V19" s="23" t="n">
        <v>46226</v>
      </c>
      <c r="W19" s="22"/>
      <c r="X19" s="22" t="str">
        <f aca="false">IF(ABS(M19)&gt;0.005,"Reported total_due does not equal buckets",IF(O19&lt;&gt;"Y","Account/slip ID mismatch",IF(P19&lt;&gt;"OCCUPIED","Slip not occupied","OK")))</f>
        <v>OK</v>
      </c>
      <c r="Y19" s="22" t="str">
        <f aca="false">IF(ABS(M19)&gt;0.005,"Priority 3","")</f>
        <v/>
      </c>
    </row>
    <row r="20" customFormat="false" ht="15" hidden="false" customHeight="false" outlineLevel="0" collapsed="false">
      <c r="A20" s="22" t="s">
        <v>11436</v>
      </c>
      <c r="B20" s="22" t="s">
        <v>2709</v>
      </c>
      <c r="C20" s="22" t="s">
        <v>6624</v>
      </c>
      <c r="D20" s="22" t="s">
        <v>198</v>
      </c>
      <c r="E20" s="22" t="s">
        <v>8601</v>
      </c>
      <c r="F20" s="25" t="n">
        <v>291.2</v>
      </c>
      <c r="G20" s="25" t="n">
        <v>0</v>
      </c>
      <c r="H20" s="25" t="n">
        <v>0</v>
      </c>
      <c r="I20" s="25" t="n">
        <v>0</v>
      </c>
      <c r="J20" s="25" t="n">
        <v>0</v>
      </c>
      <c r="K20" s="25" t="n">
        <v>291.2</v>
      </c>
      <c r="L20" s="25" t="n">
        <f aca="false">SUM(F20:J20)</f>
        <v>291.2</v>
      </c>
      <c r="M20" s="25" t="n">
        <f aca="false">K20-L20</f>
        <v>0</v>
      </c>
      <c r="N20" s="22" t="str">
        <f aca="false">RIGHT(A20,LEN(A20)-3)</f>
        <v>LP-0116</v>
      </c>
      <c r="O20" s="22" t="str">
        <f aca="false">IF(C20=N20,"Y","N")</f>
        <v>Y</v>
      </c>
      <c r="P20" s="22" t="str">
        <f aca="false">IFERROR(VLOOKUP(N20,'Slip Inventory'!$A$2:$R$1181,10,FALSE()),"NOT FOUND")</f>
        <v>OCCUPIED</v>
      </c>
      <c r="Q20" s="22" t="str">
        <f aca="false">IF(P20="OCCUPIED","Y","N")</f>
        <v>Y</v>
      </c>
      <c r="R20" s="25" t="n">
        <f aca="false">SUM(I20:J20)</f>
        <v>0</v>
      </c>
      <c r="S20" s="22" t="str">
        <f aca="false">IF(AND(R20&gt;0,Q20="Y"),"YES","NO")</f>
        <v>NO</v>
      </c>
      <c r="T20" s="22" t="s">
        <v>12975</v>
      </c>
      <c r="U20" s="23" t="n">
        <v>46197</v>
      </c>
      <c r="V20" s="23" t="n">
        <v>46196</v>
      </c>
      <c r="W20" s="22"/>
      <c r="X20" s="22" t="str">
        <f aca="false">IF(ABS(M20)&gt;0.005,"Reported total_due does not equal buckets",IF(O20&lt;&gt;"Y","Account/slip ID mismatch",IF(P20&lt;&gt;"OCCUPIED","Slip not occupied","OK")))</f>
        <v>OK</v>
      </c>
      <c r="Y20" s="22" t="str">
        <f aca="false">IF(ABS(M20)&gt;0.005,"Priority 3","")</f>
        <v/>
      </c>
    </row>
    <row r="21" customFormat="false" ht="15" hidden="false" customHeight="false" outlineLevel="0" collapsed="false">
      <c r="A21" s="22" t="s">
        <v>11438</v>
      </c>
      <c r="B21" s="22" t="s">
        <v>1160</v>
      </c>
      <c r="C21" s="22" t="s">
        <v>6627</v>
      </c>
      <c r="D21" s="22" t="s">
        <v>198</v>
      </c>
      <c r="E21" s="22" t="s">
        <v>8601</v>
      </c>
      <c r="F21" s="25" t="n">
        <v>332.8</v>
      </c>
      <c r="G21" s="25" t="n">
        <v>0</v>
      </c>
      <c r="H21" s="25" t="n">
        <v>0</v>
      </c>
      <c r="I21" s="25" t="n">
        <v>0</v>
      </c>
      <c r="J21" s="25" t="n">
        <v>0</v>
      </c>
      <c r="K21" s="25" t="n">
        <v>332.8</v>
      </c>
      <c r="L21" s="25" t="n">
        <f aca="false">SUM(F21:J21)</f>
        <v>332.8</v>
      </c>
      <c r="M21" s="25" t="n">
        <f aca="false">K21-L21</f>
        <v>0</v>
      </c>
      <c r="N21" s="22" t="str">
        <f aca="false">RIGHT(A21,LEN(A21)-3)</f>
        <v>LP-0117</v>
      </c>
      <c r="O21" s="22" t="str">
        <f aca="false">IF(C21=N21,"Y","N")</f>
        <v>Y</v>
      </c>
      <c r="P21" s="22" t="str">
        <f aca="false">IFERROR(VLOOKUP(N21,'Slip Inventory'!$A$2:$R$1181,10,FALSE()),"NOT FOUND")</f>
        <v>OCCUPIED</v>
      </c>
      <c r="Q21" s="22" t="str">
        <f aca="false">IF(P21="OCCUPIED","Y","N")</f>
        <v>Y</v>
      </c>
      <c r="R21" s="25" t="n">
        <f aca="false">SUM(I21:J21)</f>
        <v>0</v>
      </c>
      <c r="S21" s="22" t="str">
        <f aca="false">IF(AND(R21&gt;0,Q21="Y"),"YES","NO")</f>
        <v>NO</v>
      </c>
      <c r="T21" s="22" t="s">
        <v>12975</v>
      </c>
      <c r="U21" s="23" t="n">
        <v>46171</v>
      </c>
      <c r="V21" s="23" t="n">
        <v>46175</v>
      </c>
      <c r="W21" s="22"/>
      <c r="X21" s="22" t="str">
        <f aca="false">IF(ABS(M21)&gt;0.005,"Reported total_due does not equal buckets",IF(O21&lt;&gt;"Y","Account/slip ID mismatch",IF(P21&lt;&gt;"OCCUPIED","Slip not occupied","OK")))</f>
        <v>OK</v>
      </c>
      <c r="Y21" s="22" t="str">
        <f aca="false">IF(ABS(M21)&gt;0.005,"Priority 3","")</f>
        <v/>
      </c>
    </row>
    <row r="22" customFormat="false" ht="15" hidden="false" customHeight="false" outlineLevel="0" collapsed="false">
      <c r="A22" s="22" t="s">
        <v>11440</v>
      </c>
      <c r="B22" s="22" t="s">
        <v>6006</v>
      </c>
      <c r="C22" s="22" t="s">
        <v>6630</v>
      </c>
      <c r="D22" s="22" t="s">
        <v>198</v>
      </c>
      <c r="E22" s="22" t="s">
        <v>8601</v>
      </c>
      <c r="F22" s="25" t="n">
        <v>249.6</v>
      </c>
      <c r="G22" s="25" t="n">
        <v>0</v>
      </c>
      <c r="H22" s="25" t="n">
        <v>0</v>
      </c>
      <c r="I22" s="25" t="n">
        <v>0</v>
      </c>
      <c r="J22" s="25" t="n">
        <v>0</v>
      </c>
      <c r="K22" s="25" t="n">
        <v>249.6</v>
      </c>
      <c r="L22" s="25" t="n">
        <f aca="false">SUM(F22:J22)</f>
        <v>249.6</v>
      </c>
      <c r="M22" s="25" t="n">
        <f aca="false">K22-L22</f>
        <v>0</v>
      </c>
      <c r="N22" s="22" t="str">
        <f aca="false">RIGHT(A22,LEN(A22)-3)</f>
        <v>LP-0118</v>
      </c>
      <c r="O22" s="22" t="str">
        <f aca="false">IF(C22=N22,"Y","N")</f>
        <v>Y</v>
      </c>
      <c r="P22" s="22" t="str">
        <f aca="false">IFERROR(VLOOKUP(N22,'Slip Inventory'!$A$2:$R$1181,10,FALSE()),"NOT FOUND")</f>
        <v>OCCUPIED</v>
      </c>
      <c r="Q22" s="22" t="str">
        <f aca="false">IF(P22="OCCUPIED","Y","N")</f>
        <v>Y</v>
      </c>
      <c r="R22" s="25" t="n">
        <f aca="false">SUM(I22:J22)</f>
        <v>0</v>
      </c>
      <c r="S22" s="22" t="str">
        <f aca="false">IF(AND(R22&gt;0,Q22="Y"),"YES","NO")</f>
        <v>NO</v>
      </c>
      <c r="T22" s="22" t="s">
        <v>12975</v>
      </c>
      <c r="U22" s="23" t="n">
        <v>46165</v>
      </c>
      <c r="V22" s="23" t="n">
        <v>46217</v>
      </c>
      <c r="W22" s="22"/>
      <c r="X22" s="22" t="str">
        <f aca="false">IF(ABS(M22)&gt;0.005,"Reported total_due does not equal buckets",IF(O22&lt;&gt;"Y","Account/slip ID mismatch",IF(P22&lt;&gt;"OCCUPIED","Slip not occupied","OK")))</f>
        <v>OK</v>
      </c>
      <c r="Y22" s="22" t="str">
        <f aca="false">IF(ABS(M22)&gt;0.005,"Priority 3","")</f>
        <v/>
      </c>
    </row>
    <row r="23" customFormat="false" ht="15" hidden="false" customHeight="false" outlineLevel="0" collapsed="false">
      <c r="A23" s="22" t="s">
        <v>11442</v>
      </c>
      <c r="B23" s="22" t="s">
        <v>2374</v>
      </c>
      <c r="C23" s="22" t="s">
        <v>6633</v>
      </c>
      <c r="D23" s="22" t="s">
        <v>198</v>
      </c>
      <c r="E23" s="22" t="s">
        <v>8601</v>
      </c>
      <c r="F23" s="25" t="n">
        <v>457.6</v>
      </c>
      <c r="G23" s="25" t="n">
        <v>0</v>
      </c>
      <c r="H23" s="25" t="n">
        <v>0</v>
      </c>
      <c r="I23" s="25" t="n">
        <v>0</v>
      </c>
      <c r="J23" s="25" t="n">
        <v>0</v>
      </c>
      <c r="K23" s="25" t="n">
        <v>457.6</v>
      </c>
      <c r="L23" s="25" t="n">
        <f aca="false">SUM(F23:J23)</f>
        <v>457.6</v>
      </c>
      <c r="M23" s="25" t="n">
        <f aca="false">K23-L23</f>
        <v>0</v>
      </c>
      <c r="N23" s="22" t="str">
        <f aca="false">RIGHT(A23,LEN(A23)-3)</f>
        <v>LP-0119</v>
      </c>
      <c r="O23" s="22" t="str">
        <f aca="false">IF(C23=N23,"Y","N")</f>
        <v>Y</v>
      </c>
      <c r="P23" s="22" t="str">
        <f aca="false">IFERROR(VLOOKUP(N23,'Slip Inventory'!$A$2:$R$1181,10,FALSE()),"NOT FOUND")</f>
        <v>OCCUPIED</v>
      </c>
      <c r="Q23" s="22" t="str">
        <f aca="false">IF(P23="OCCUPIED","Y","N")</f>
        <v>Y</v>
      </c>
      <c r="R23" s="25" t="n">
        <f aca="false">SUM(I23:J23)</f>
        <v>0</v>
      </c>
      <c r="S23" s="22" t="str">
        <f aca="false">IF(AND(R23&gt;0,Q23="Y"),"YES","NO")</f>
        <v>NO</v>
      </c>
      <c r="T23" s="22" t="s">
        <v>12975</v>
      </c>
      <c r="U23" s="23" t="n">
        <v>46145</v>
      </c>
      <c r="V23" s="23" t="n">
        <v>46184</v>
      </c>
      <c r="W23" s="22"/>
      <c r="X23" s="22" t="str">
        <f aca="false">IF(ABS(M23)&gt;0.005,"Reported total_due does not equal buckets",IF(O23&lt;&gt;"Y","Account/slip ID mismatch",IF(P23&lt;&gt;"OCCUPIED","Slip not occupied","OK")))</f>
        <v>OK</v>
      </c>
      <c r="Y23" s="22" t="str">
        <f aca="false">IF(ABS(M23)&gt;0.005,"Priority 3","")</f>
        <v/>
      </c>
    </row>
    <row r="24" customFormat="false" ht="15" hidden="false" customHeight="false" outlineLevel="0" collapsed="false">
      <c r="A24" s="22" t="s">
        <v>11444</v>
      </c>
      <c r="B24" s="22" t="s">
        <v>4992</v>
      </c>
      <c r="C24" s="22" t="s">
        <v>6636</v>
      </c>
      <c r="D24" s="22" t="s">
        <v>198</v>
      </c>
      <c r="E24" s="22" t="s">
        <v>8601</v>
      </c>
      <c r="F24" s="25" t="n">
        <v>332.8</v>
      </c>
      <c r="G24" s="25" t="n">
        <v>0</v>
      </c>
      <c r="H24" s="25" t="n">
        <v>0</v>
      </c>
      <c r="I24" s="25" t="n">
        <v>0</v>
      </c>
      <c r="J24" s="25" t="n">
        <v>0</v>
      </c>
      <c r="K24" s="25" t="n">
        <v>332.8</v>
      </c>
      <c r="L24" s="25" t="n">
        <f aca="false">SUM(F24:J24)</f>
        <v>332.8</v>
      </c>
      <c r="M24" s="25" t="n">
        <f aca="false">K24-L24</f>
        <v>0</v>
      </c>
      <c r="N24" s="22" t="str">
        <f aca="false">RIGHT(A24,LEN(A24)-3)</f>
        <v>LP-0120</v>
      </c>
      <c r="O24" s="22" t="str">
        <f aca="false">IF(C24=N24,"Y","N")</f>
        <v>Y</v>
      </c>
      <c r="P24" s="22" t="str">
        <f aca="false">IFERROR(VLOOKUP(N24,'Slip Inventory'!$A$2:$R$1181,10,FALSE()),"NOT FOUND")</f>
        <v>OCCUPIED</v>
      </c>
      <c r="Q24" s="22" t="str">
        <f aca="false">IF(P24="OCCUPIED","Y","N")</f>
        <v>Y</v>
      </c>
      <c r="R24" s="25" t="n">
        <f aca="false">SUM(I24:J24)</f>
        <v>0</v>
      </c>
      <c r="S24" s="22" t="str">
        <f aca="false">IF(AND(R24&gt;0,Q24="Y"),"YES","NO")</f>
        <v>NO</v>
      </c>
      <c r="T24" s="22" t="s">
        <v>12975</v>
      </c>
      <c r="U24" s="23" t="n">
        <v>46225</v>
      </c>
      <c r="V24" s="23" t="n">
        <v>46178</v>
      </c>
      <c r="W24" s="22"/>
      <c r="X24" s="22" t="str">
        <f aca="false">IF(ABS(M24)&gt;0.005,"Reported total_due does not equal buckets",IF(O24&lt;&gt;"Y","Account/slip ID mismatch",IF(P24&lt;&gt;"OCCUPIED","Slip not occupied","OK")))</f>
        <v>OK</v>
      </c>
      <c r="Y24" s="22" t="str">
        <f aca="false">IF(ABS(M24)&gt;0.005,"Priority 3","")</f>
        <v/>
      </c>
    </row>
    <row r="25" customFormat="false" ht="15" hidden="false" customHeight="false" outlineLevel="0" collapsed="false">
      <c r="A25" s="22" t="s">
        <v>11446</v>
      </c>
      <c r="B25" s="22" t="s">
        <v>5694</v>
      </c>
      <c r="C25" s="22" t="s">
        <v>6639</v>
      </c>
      <c r="D25" s="22" t="s">
        <v>198</v>
      </c>
      <c r="E25" s="22" t="s">
        <v>8601</v>
      </c>
      <c r="F25" s="25" t="n">
        <v>540.8</v>
      </c>
      <c r="G25" s="25" t="n">
        <v>0</v>
      </c>
      <c r="H25" s="25" t="n">
        <v>0</v>
      </c>
      <c r="I25" s="25" t="n">
        <v>0</v>
      </c>
      <c r="J25" s="25" t="n">
        <v>0</v>
      </c>
      <c r="K25" s="25" t="n">
        <v>540.8</v>
      </c>
      <c r="L25" s="25" t="n">
        <f aca="false">SUM(F25:J25)</f>
        <v>540.8</v>
      </c>
      <c r="M25" s="25" t="n">
        <f aca="false">K25-L25</f>
        <v>0</v>
      </c>
      <c r="N25" s="22" t="str">
        <f aca="false">RIGHT(A25,LEN(A25)-3)</f>
        <v>LP-0121</v>
      </c>
      <c r="O25" s="22" t="str">
        <f aca="false">IF(C25=N25,"Y","N")</f>
        <v>Y</v>
      </c>
      <c r="P25" s="22" t="str">
        <f aca="false">IFERROR(VLOOKUP(N25,'Slip Inventory'!$A$2:$R$1181,10,FALSE()),"NOT FOUND")</f>
        <v>OCCUPIED</v>
      </c>
      <c r="Q25" s="22" t="str">
        <f aca="false">IF(P25="OCCUPIED","Y","N")</f>
        <v>Y</v>
      </c>
      <c r="R25" s="25" t="n">
        <f aca="false">SUM(I25:J25)</f>
        <v>0</v>
      </c>
      <c r="S25" s="22" t="str">
        <f aca="false">IF(AND(R25&gt;0,Q25="Y"),"YES","NO")</f>
        <v>NO</v>
      </c>
      <c r="T25" s="22" t="s">
        <v>12975</v>
      </c>
      <c r="U25" s="23" t="n">
        <v>46226</v>
      </c>
      <c r="V25" s="23" t="n">
        <v>46187</v>
      </c>
      <c r="W25" s="22" t="s">
        <v>12976</v>
      </c>
      <c r="X25" s="22" t="str">
        <f aca="false">IF(ABS(M25)&gt;0.005,"Reported total_due does not equal buckets",IF(O25&lt;&gt;"Y","Account/slip ID mismatch",IF(P25&lt;&gt;"OCCUPIED","Slip not occupied","OK")))</f>
        <v>OK</v>
      </c>
      <c r="Y25" s="22" t="str">
        <f aca="false">IF(ABS(M25)&gt;0.005,"Priority 3","")</f>
        <v/>
      </c>
    </row>
    <row r="26" customFormat="false" ht="15" hidden="false" customHeight="false" outlineLevel="0" collapsed="false">
      <c r="A26" s="22" t="s">
        <v>11448</v>
      </c>
      <c r="B26" s="22" t="s">
        <v>2582</v>
      </c>
      <c r="C26" s="22" t="s">
        <v>6642</v>
      </c>
      <c r="D26" s="22" t="s">
        <v>198</v>
      </c>
      <c r="E26" s="22" t="s">
        <v>8601</v>
      </c>
      <c r="F26" s="25" t="n">
        <v>509.6</v>
      </c>
      <c r="G26" s="25" t="n">
        <v>509.6</v>
      </c>
      <c r="H26" s="25" t="n">
        <v>509.6</v>
      </c>
      <c r="I26" s="25" t="n">
        <v>509.6</v>
      </c>
      <c r="J26" s="25" t="n">
        <v>0</v>
      </c>
      <c r="K26" s="25" t="n">
        <v>2038.4</v>
      </c>
      <c r="L26" s="25" t="n">
        <f aca="false">SUM(F26:J26)</f>
        <v>2038.4</v>
      </c>
      <c r="M26" s="25" t="n">
        <f aca="false">K26-L26</f>
        <v>0</v>
      </c>
      <c r="N26" s="22" t="str">
        <f aca="false">RIGHT(A26,LEN(A26)-3)</f>
        <v>LP-0122</v>
      </c>
      <c r="O26" s="22" t="str">
        <f aca="false">IF(C26=N26,"Y","N")</f>
        <v>Y</v>
      </c>
      <c r="P26" s="22" t="str">
        <f aca="false">IFERROR(VLOOKUP(N26,'Slip Inventory'!$A$2:$R$1181,10,FALSE()),"NOT FOUND")</f>
        <v>OCCUPIED</v>
      </c>
      <c r="Q26" s="22" t="str">
        <f aca="false">IF(P26="OCCUPIED","Y","N")</f>
        <v>Y</v>
      </c>
      <c r="R26" s="25" t="n">
        <f aca="false">SUM(I26:J26)</f>
        <v>509.6</v>
      </c>
      <c r="S26" s="22" t="str">
        <f aca="false">IF(AND(R26&gt;0,Q26="Y"),"YES","NO")</f>
        <v>YES</v>
      </c>
      <c r="T26" s="22" t="s">
        <v>12978</v>
      </c>
      <c r="U26" s="23" t="n">
        <v>46171</v>
      </c>
      <c r="V26" s="23" t="n">
        <v>46198</v>
      </c>
      <c r="W26" s="22"/>
      <c r="X26" s="22" t="str">
        <f aca="false">IF(ABS(M26)&gt;0.005,"Reported total_due does not equal buckets",IF(O26&lt;&gt;"Y","Account/slip ID mismatch",IF(P26&lt;&gt;"OCCUPIED","Slip not occupied","OK")))</f>
        <v>OK</v>
      </c>
      <c r="Y26" s="22" t="str">
        <f aca="false">IF(ABS(M26)&gt;0.005,"Priority 3","")</f>
        <v/>
      </c>
    </row>
    <row r="27" customFormat="false" ht="15" hidden="false" customHeight="false" outlineLevel="0" collapsed="false">
      <c r="A27" s="22" t="s">
        <v>11450</v>
      </c>
      <c r="B27" s="22" t="s">
        <v>5698</v>
      </c>
      <c r="C27" s="22" t="s">
        <v>6645</v>
      </c>
      <c r="D27" s="22" t="s">
        <v>198</v>
      </c>
      <c r="E27" s="22" t="s">
        <v>8601</v>
      </c>
      <c r="F27" s="25" t="n">
        <v>332.8</v>
      </c>
      <c r="G27" s="25" t="n">
        <v>0</v>
      </c>
      <c r="H27" s="25" t="n">
        <v>0</v>
      </c>
      <c r="I27" s="25" t="n">
        <v>0</v>
      </c>
      <c r="J27" s="25" t="n">
        <v>0</v>
      </c>
      <c r="K27" s="25" t="n">
        <v>332.8</v>
      </c>
      <c r="L27" s="25" t="n">
        <f aca="false">SUM(F27:J27)</f>
        <v>332.8</v>
      </c>
      <c r="M27" s="25" t="n">
        <f aca="false">K27-L27</f>
        <v>0</v>
      </c>
      <c r="N27" s="22" t="str">
        <f aca="false">RIGHT(A27,LEN(A27)-3)</f>
        <v>LP-0123</v>
      </c>
      <c r="O27" s="22" t="str">
        <f aca="false">IF(C27=N27,"Y","N")</f>
        <v>Y</v>
      </c>
      <c r="P27" s="22" t="str">
        <f aca="false">IFERROR(VLOOKUP(N27,'Slip Inventory'!$A$2:$R$1181,10,FALSE()),"NOT FOUND")</f>
        <v>OCCUPIED</v>
      </c>
      <c r="Q27" s="22" t="str">
        <f aca="false">IF(P27="OCCUPIED","Y","N")</f>
        <v>Y</v>
      </c>
      <c r="R27" s="25" t="n">
        <f aca="false">SUM(I27:J27)</f>
        <v>0</v>
      </c>
      <c r="S27" s="22" t="str">
        <f aca="false">IF(AND(R27&gt;0,Q27="Y"),"YES","NO")</f>
        <v>NO</v>
      </c>
      <c r="T27" s="22" t="s">
        <v>12975</v>
      </c>
      <c r="U27" s="23" t="n">
        <v>46174</v>
      </c>
      <c r="V27" s="23" t="n">
        <v>46194</v>
      </c>
      <c r="W27" s="22"/>
      <c r="X27" s="22" t="str">
        <f aca="false">IF(ABS(M27)&gt;0.005,"Reported total_due does not equal buckets",IF(O27&lt;&gt;"Y","Account/slip ID mismatch",IF(P27&lt;&gt;"OCCUPIED","Slip not occupied","OK")))</f>
        <v>OK</v>
      </c>
      <c r="Y27" s="22" t="str">
        <f aca="false">IF(ABS(M27)&gt;0.005,"Priority 3","")</f>
        <v/>
      </c>
    </row>
    <row r="28" customFormat="false" ht="15" hidden="false" customHeight="false" outlineLevel="0" collapsed="false">
      <c r="A28" s="22" t="s">
        <v>11452</v>
      </c>
      <c r="B28" s="22" t="s">
        <v>2818</v>
      </c>
      <c r="C28" s="22" t="s">
        <v>6648</v>
      </c>
      <c r="D28" s="22" t="s">
        <v>198</v>
      </c>
      <c r="E28" s="22" t="s">
        <v>8601</v>
      </c>
      <c r="F28" s="25" t="n">
        <v>405.6</v>
      </c>
      <c r="G28" s="25" t="n">
        <v>0</v>
      </c>
      <c r="H28" s="25" t="n">
        <v>0</v>
      </c>
      <c r="I28" s="25" t="n">
        <v>0</v>
      </c>
      <c r="J28" s="25" t="n">
        <v>0</v>
      </c>
      <c r="K28" s="25" t="n">
        <v>405.6</v>
      </c>
      <c r="L28" s="25" t="n">
        <f aca="false">SUM(F28:J28)</f>
        <v>405.6</v>
      </c>
      <c r="M28" s="25" t="n">
        <f aca="false">K28-L28</f>
        <v>0</v>
      </c>
      <c r="N28" s="22" t="str">
        <f aca="false">RIGHT(A28,LEN(A28)-3)</f>
        <v>LP-0124</v>
      </c>
      <c r="O28" s="22" t="str">
        <f aca="false">IF(C28=N28,"Y","N")</f>
        <v>Y</v>
      </c>
      <c r="P28" s="22" t="str">
        <f aca="false">IFERROR(VLOOKUP(N28,'Slip Inventory'!$A$2:$R$1181,10,FALSE()),"NOT FOUND")</f>
        <v>OCCUPIED</v>
      </c>
      <c r="Q28" s="22" t="str">
        <f aca="false">IF(P28="OCCUPIED","Y","N")</f>
        <v>Y</v>
      </c>
      <c r="R28" s="25" t="n">
        <f aca="false">SUM(I28:J28)</f>
        <v>0</v>
      </c>
      <c r="S28" s="22" t="str">
        <f aca="false">IF(AND(R28&gt;0,Q28="Y"),"YES","NO")</f>
        <v>NO</v>
      </c>
      <c r="T28" s="22" t="s">
        <v>12975</v>
      </c>
      <c r="U28" s="23" t="n">
        <v>46200</v>
      </c>
      <c r="V28" s="23" t="n">
        <v>46227</v>
      </c>
      <c r="W28" s="22"/>
      <c r="X28" s="22" t="str">
        <f aca="false">IF(ABS(M28)&gt;0.005,"Reported total_due does not equal buckets",IF(O28&lt;&gt;"Y","Account/slip ID mismatch",IF(P28&lt;&gt;"OCCUPIED","Slip not occupied","OK")))</f>
        <v>OK</v>
      </c>
      <c r="Y28" s="22" t="str">
        <f aca="false">IF(ABS(M28)&gt;0.005,"Priority 3","")</f>
        <v/>
      </c>
    </row>
    <row r="29" customFormat="false" ht="15" hidden="false" customHeight="false" outlineLevel="0" collapsed="false">
      <c r="A29" s="22" t="s">
        <v>11454</v>
      </c>
      <c r="B29" s="22" t="s">
        <v>6055</v>
      </c>
      <c r="C29" s="22" t="s">
        <v>6651</v>
      </c>
      <c r="D29" s="22" t="s">
        <v>198</v>
      </c>
      <c r="E29" s="22" t="s">
        <v>8601</v>
      </c>
      <c r="F29" s="25" t="n">
        <v>540.8</v>
      </c>
      <c r="G29" s="25" t="n">
        <v>0</v>
      </c>
      <c r="H29" s="25" t="n">
        <v>0</v>
      </c>
      <c r="I29" s="25" t="n">
        <v>0</v>
      </c>
      <c r="J29" s="25" t="n">
        <v>0</v>
      </c>
      <c r="K29" s="25" t="n">
        <v>540.8</v>
      </c>
      <c r="L29" s="25" t="n">
        <f aca="false">SUM(F29:J29)</f>
        <v>540.8</v>
      </c>
      <c r="M29" s="25" t="n">
        <f aca="false">K29-L29</f>
        <v>0</v>
      </c>
      <c r="N29" s="22" t="str">
        <f aca="false">RIGHT(A29,LEN(A29)-3)</f>
        <v>LP-0201</v>
      </c>
      <c r="O29" s="22" t="str">
        <f aca="false">IF(C29=N29,"Y","N")</f>
        <v>Y</v>
      </c>
      <c r="P29" s="22" t="str">
        <f aca="false">IFERROR(VLOOKUP(N29,'Slip Inventory'!$A$2:$R$1181,10,FALSE()),"NOT FOUND")</f>
        <v>OCCUPIED</v>
      </c>
      <c r="Q29" s="22" t="str">
        <f aca="false">IF(P29="OCCUPIED","Y","N")</f>
        <v>Y</v>
      </c>
      <c r="R29" s="25" t="n">
        <f aca="false">SUM(I29:J29)</f>
        <v>0</v>
      </c>
      <c r="S29" s="22" t="str">
        <f aca="false">IF(AND(R29&gt;0,Q29="Y"),"YES","NO")</f>
        <v>NO</v>
      </c>
      <c r="T29" s="22" t="s">
        <v>12975</v>
      </c>
      <c r="U29" s="23" t="n">
        <v>46204</v>
      </c>
      <c r="V29" s="23" t="n">
        <v>46181</v>
      </c>
      <c r="W29" s="22" t="s">
        <v>12976</v>
      </c>
      <c r="X29" s="22" t="str">
        <f aca="false">IF(ABS(M29)&gt;0.005,"Reported total_due does not equal buckets",IF(O29&lt;&gt;"Y","Account/slip ID mismatch",IF(P29&lt;&gt;"OCCUPIED","Slip not occupied","OK")))</f>
        <v>OK</v>
      </c>
      <c r="Y29" s="22" t="str">
        <f aca="false">IF(ABS(M29)&gt;0.005,"Priority 3","")</f>
        <v/>
      </c>
    </row>
    <row r="30" customFormat="false" ht="15" hidden="false" customHeight="false" outlineLevel="0" collapsed="false">
      <c r="A30" s="22" t="s">
        <v>11456</v>
      </c>
      <c r="B30" s="22" t="s">
        <v>4659</v>
      </c>
      <c r="C30" s="22" t="s">
        <v>6655</v>
      </c>
      <c r="D30" s="22" t="s">
        <v>198</v>
      </c>
      <c r="E30" s="22" t="s">
        <v>8601</v>
      </c>
      <c r="F30" s="25" t="n">
        <v>395.2</v>
      </c>
      <c r="G30" s="25" t="n">
        <v>0</v>
      </c>
      <c r="H30" s="25" t="n">
        <v>0</v>
      </c>
      <c r="I30" s="25" t="n">
        <v>0</v>
      </c>
      <c r="J30" s="25" t="n">
        <v>0</v>
      </c>
      <c r="K30" s="25" t="n">
        <v>395.2</v>
      </c>
      <c r="L30" s="25" t="n">
        <f aca="false">SUM(F30:J30)</f>
        <v>395.2</v>
      </c>
      <c r="M30" s="25" t="n">
        <f aca="false">K30-L30</f>
        <v>0</v>
      </c>
      <c r="N30" s="22" t="str">
        <f aca="false">RIGHT(A30,LEN(A30)-3)</f>
        <v>LP-0202</v>
      </c>
      <c r="O30" s="22" t="str">
        <f aca="false">IF(C30=N30,"Y","N")</f>
        <v>Y</v>
      </c>
      <c r="P30" s="22" t="str">
        <f aca="false">IFERROR(VLOOKUP(N30,'Slip Inventory'!$A$2:$R$1181,10,FALSE()),"NOT FOUND")</f>
        <v>OCCUPIED</v>
      </c>
      <c r="Q30" s="22" t="str">
        <f aca="false">IF(P30="OCCUPIED","Y","N")</f>
        <v>Y</v>
      </c>
      <c r="R30" s="25" t="n">
        <f aca="false">SUM(I30:J30)</f>
        <v>0</v>
      </c>
      <c r="S30" s="22" t="str">
        <f aca="false">IF(AND(R30&gt;0,Q30="Y"),"YES","NO")</f>
        <v>NO</v>
      </c>
      <c r="T30" s="22" t="s">
        <v>12975</v>
      </c>
      <c r="U30" s="23" t="n">
        <v>46186</v>
      </c>
      <c r="V30" s="23" t="n">
        <v>46217</v>
      </c>
      <c r="W30" s="22"/>
      <c r="X30" s="22" t="str">
        <f aca="false">IF(ABS(M30)&gt;0.005,"Reported total_due does not equal buckets",IF(O30&lt;&gt;"Y","Account/slip ID mismatch",IF(P30&lt;&gt;"OCCUPIED","Slip not occupied","OK")))</f>
        <v>OK</v>
      </c>
      <c r="Y30" s="22" t="str">
        <f aca="false">IF(ABS(M30)&gt;0.005,"Priority 3","")</f>
        <v/>
      </c>
    </row>
    <row r="31" customFormat="false" ht="15" hidden="false" customHeight="false" outlineLevel="0" collapsed="false">
      <c r="A31" s="22" t="s">
        <v>11458</v>
      </c>
      <c r="B31" s="22" t="s">
        <v>2245</v>
      </c>
      <c r="C31" s="22" t="s">
        <v>6658</v>
      </c>
      <c r="D31" s="22" t="s">
        <v>198</v>
      </c>
      <c r="E31" s="22" t="s">
        <v>8601</v>
      </c>
      <c r="F31" s="25" t="n">
        <v>301.6</v>
      </c>
      <c r="G31" s="25" t="n">
        <v>301.6</v>
      </c>
      <c r="H31" s="25" t="n">
        <v>0</v>
      </c>
      <c r="I31" s="25" t="n">
        <v>0</v>
      </c>
      <c r="J31" s="25" t="n">
        <v>0</v>
      </c>
      <c r="K31" s="25" t="n">
        <v>603.2</v>
      </c>
      <c r="L31" s="25" t="n">
        <f aca="false">SUM(F31:J31)</f>
        <v>603.2</v>
      </c>
      <c r="M31" s="25" t="n">
        <f aca="false">K31-L31</f>
        <v>0</v>
      </c>
      <c r="N31" s="22" t="str">
        <f aca="false">RIGHT(A31,LEN(A31)-3)</f>
        <v>LP-0203</v>
      </c>
      <c r="O31" s="22" t="str">
        <f aca="false">IF(C31=N31,"Y","N")</f>
        <v>Y</v>
      </c>
      <c r="P31" s="22" t="str">
        <f aca="false">IFERROR(VLOOKUP(N31,'Slip Inventory'!$A$2:$R$1181,10,FALSE()),"NOT FOUND")</f>
        <v>OCCUPIED</v>
      </c>
      <c r="Q31" s="22" t="str">
        <f aca="false">IF(P31="OCCUPIED","Y","N")</f>
        <v>Y</v>
      </c>
      <c r="R31" s="25" t="n">
        <f aca="false">SUM(I31:J31)</f>
        <v>0</v>
      </c>
      <c r="S31" s="22" t="str">
        <f aca="false">IF(AND(R31&gt;0,Q31="Y"),"YES","NO")</f>
        <v>NO</v>
      </c>
      <c r="T31" s="22" t="s">
        <v>12977</v>
      </c>
      <c r="U31" s="23" t="n">
        <v>46205</v>
      </c>
      <c r="V31" s="23" t="n">
        <v>46203</v>
      </c>
      <c r="W31" s="22"/>
      <c r="X31" s="22" t="str">
        <f aca="false">IF(ABS(M31)&gt;0.005,"Reported total_due does not equal buckets",IF(O31&lt;&gt;"Y","Account/slip ID mismatch",IF(P31&lt;&gt;"OCCUPIED","Slip not occupied","OK")))</f>
        <v>OK</v>
      </c>
      <c r="Y31" s="22" t="str">
        <f aca="false">IF(ABS(M31)&gt;0.005,"Priority 3","")</f>
        <v/>
      </c>
    </row>
    <row r="32" customFormat="false" ht="15" hidden="false" customHeight="false" outlineLevel="0" collapsed="false">
      <c r="A32" s="22" t="s">
        <v>11460</v>
      </c>
      <c r="B32" s="22" t="s">
        <v>1704</v>
      </c>
      <c r="C32" s="22" t="s">
        <v>6661</v>
      </c>
      <c r="D32" s="22" t="s">
        <v>198</v>
      </c>
      <c r="E32" s="22" t="s">
        <v>8601</v>
      </c>
      <c r="F32" s="25" t="n">
        <v>374.4</v>
      </c>
      <c r="G32" s="25" t="n">
        <v>0</v>
      </c>
      <c r="H32" s="25" t="n">
        <v>0</v>
      </c>
      <c r="I32" s="25" t="n">
        <v>0</v>
      </c>
      <c r="J32" s="25" t="n">
        <v>0</v>
      </c>
      <c r="K32" s="25" t="n">
        <v>374.4</v>
      </c>
      <c r="L32" s="25" t="n">
        <f aca="false">SUM(F32:J32)</f>
        <v>374.4</v>
      </c>
      <c r="M32" s="25" t="n">
        <f aca="false">K32-L32</f>
        <v>0</v>
      </c>
      <c r="N32" s="22" t="str">
        <f aca="false">RIGHT(A32,LEN(A32)-3)</f>
        <v>LP-0204</v>
      </c>
      <c r="O32" s="22" t="str">
        <f aca="false">IF(C32=N32,"Y","N")</f>
        <v>Y</v>
      </c>
      <c r="P32" s="22" t="str">
        <f aca="false">IFERROR(VLOOKUP(N32,'Slip Inventory'!$A$2:$R$1181,10,FALSE()),"NOT FOUND")</f>
        <v>OCCUPIED</v>
      </c>
      <c r="Q32" s="22" t="str">
        <f aca="false">IF(P32="OCCUPIED","Y","N")</f>
        <v>Y</v>
      </c>
      <c r="R32" s="25" t="n">
        <f aca="false">SUM(I32:J32)</f>
        <v>0</v>
      </c>
      <c r="S32" s="22" t="str">
        <f aca="false">IF(AND(R32&gt;0,Q32="Y"),"YES","NO")</f>
        <v>NO</v>
      </c>
      <c r="T32" s="22" t="s">
        <v>12975</v>
      </c>
      <c r="U32" s="23" t="n">
        <v>46182</v>
      </c>
      <c r="V32" s="23" t="n">
        <v>46186</v>
      </c>
      <c r="W32" s="22"/>
      <c r="X32" s="22" t="str">
        <f aca="false">IF(ABS(M32)&gt;0.005,"Reported total_due does not equal buckets",IF(O32&lt;&gt;"Y","Account/slip ID mismatch",IF(P32&lt;&gt;"OCCUPIED","Slip not occupied","OK")))</f>
        <v>OK</v>
      </c>
      <c r="Y32" s="22" t="str">
        <f aca="false">IF(ABS(M32)&gt;0.005,"Priority 3","")</f>
        <v/>
      </c>
    </row>
    <row r="33" customFormat="false" ht="15" hidden="false" customHeight="false" outlineLevel="0" collapsed="false">
      <c r="A33" s="22" t="s">
        <v>11462</v>
      </c>
      <c r="B33" s="22" t="s">
        <v>1531</v>
      </c>
      <c r="C33" s="22" t="s">
        <v>6664</v>
      </c>
      <c r="D33" s="22" t="s">
        <v>198</v>
      </c>
      <c r="E33" s="22" t="s">
        <v>8601</v>
      </c>
      <c r="F33" s="25" t="n">
        <v>416</v>
      </c>
      <c r="G33" s="25" t="n">
        <v>0</v>
      </c>
      <c r="H33" s="25" t="n">
        <v>0</v>
      </c>
      <c r="I33" s="25" t="n">
        <v>0</v>
      </c>
      <c r="J33" s="25" t="n">
        <v>0</v>
      </c>
      <c r="K33" s="25" t="n">
        <v>416</v>
      </c>
      <c r="L33" s="25" t="n">
        <f aca="false">SUM(F33:J33)</f>
        <v>416</v>
      </c>
      <c r="M33" s="25" t="n">
        <f aca="false">K33-L33</f>
        <v>0</v>
      </c>
      <c r="N33" s="22" t="str">
        <f aca="false">RIGHT(A33,LEN(A33)-3)</f>
        <v>LP-0205</v>
      </c>
      <c r="O33" s="22" t="str">
        <f aca="false">IF(C33=N33,"Y","N")</f>
        <v>Y</v>
      </c>
      <c r="P33" s="22" t="str">
        <f aca="false">IFERROR(VLOOKUP(N33,'Slip Inventory'!$A$2:$R$1181,10,FALSE()),"NOT FOUND")</f>
        <v>OCCUPIED</v>
      </c>
      <c r="Q33" s="22" t="str">
        <f aca="false">IF(P33="OCCUPIED","Y","N")</f>
        <v>Y</v>
      </c>
      <c r="R33" s="25" t="n">
        <f aca="false">SUM(I33:J33)</f>
        <v>0</v>
      </c>
      <c r="S33" s="22" t="str">
        <f aca="false">IF(AND(R33&gt;0,Q33="Y"),"YES","NO")</f>
        <v>NO</v>
      </c>
      <c r="T33" s="22" t="s">
        <v>12975</v>
      </c>
      <c r="U33" s="23" t="n">
        <v>46149</v>
      </c>
      <c r="V33" s="23" t="n">
        <v>46230</v>
      </c>
      <c r="W33" s="22"/>
      <c r="X33" s="22" t="str">
        <f aca="false">IF(ABS(M33)&gt;0.005,"Reported total_due does not equal buckets",IF(O33&lt;&gt;"Y","Account/slip ID mismatch",IF(P33&lt;&gt;"OCCUPIED","Slip not occupied","OK")))</f>
        <v>OK</v>
      </c>
      <c r="Y33" s="22" t="str">
        <f aca="false">IF(ABS(M33)&gt;0.005,"Priority 3","")</f>
        <v/>
      </c>
    </row>
    <row r="34" customFormat="false" ht="15" hidden="false" customHeight="false" outlineLevel="0" collapsed="false">
      <c r="A34" s="22" t="s">
        <v>11464</v>
      </c>
      <c r="B34" s="22" t="s">
        <v>4894</v>
      </c>
      <c r="C34" s="22" t="s">
        <v>6667</v>
      </c>
      <c r="D34" s="22" t="s">
        <v>198</v>
      </c>
      <c r="E34" s="22" t="s">
        <v>8601</v>
      </c>
      <c r="F34" s="25" t="n">
        <v>436.8</v>
      </c>
      <c r="G34" s="25" t="n">
        <v>0</v>
      </c>
      <c r="H34" s="25" t="n">
        <v>0</v>
      </c>
      <c r="I34" s="25" t="n">
        <v>0</v>
      </c>
      <c r="J34" s="25" t="n">
        <v>0</v>
      </c>
      <c r="K34" s="25" t="n">
        <v>436.8</v>
      </c>
      <c r="L34" s="25" t="n">
        <f aca="false">SUM(F34:J34)</f>
        <v>436.8</v>
      </c>
      <c r="M34" s="25" t="n">
        <f aca="false">K34-L34</f>
        <v>0</v>
      </c>
      <c r="N34" s="22" t="str">
        <f aca="false">RIGHT(A34,LEN(A34)-3)</f>
        <v>LP-0206</v>
      </c>
      <c r="O34" s="22" t="str">
        <f aca="false">IF(C34=N34,"Y","N")</f>
        <v>Y</v>
      </c>
      <c r="P34" s="22" t="str">
        <f aca="false">IFERROR(VLOOKUP(N34,'Slip Inventory'!$A$2:$R$1181,10,FALSE()),"NOT FOUND")</f>
        <v>OCCUPIED</v>
      </c>
      <c r="Q34" s="22" t="str">
        <f aca="false">IF(P34="OCCUPIED","Y","N")</f>
        <v>Y</v>
      </c>
      <c r="R34" s="25" t="n">
        <f aca="false">SUM(I34:J34)</f>
        <v>0</v>
      </c>
      <c r="S34" s="22" t="str">
        <f aca="false">IF(AND(R34&gt;0,Q34="Y"),"YES","NO")</f>
        <v>NO</v>
      </c>
      <c r="T34" s="22" t="s">
        <v>12975</v>
      </c>
      <c r="U34" s="23" t="n">
        <v>46224</v>
      </c>
      <c r="V34" s="23" t="n">
        <v>46223</v>
      </c>
      <c r="W34" s="22"/>
      <c r="X34" s="22" t="str">
        <f aca="false">IF(ABS(M34)&gt;0.005,"Reported total_due does not equal buckets",IF(O34&lt;&gt;"Y","Account/slip ID mismatch",IF(P34&lt;&gt;"OCCUPIED","Slip not occupied","OK")))</f>
        <v>OK</v>
      </c>
      <c r="Y34" s="22" t="str">
        <f aca="false">IF(ABS(M34)&gt;0.005,"Priority 3","")</f>
        <v/>
      </c>
    </row>
    <row r="35" customFormat="false" ht="15" hidden="false" customHeight="false" outlineLevel="0" collapsed="false">
      <c r="A35" s="22" t="s">
        <v>11466</v>
      </c>
      <c r="B35" s="22" t="s">
        <v>3570</v>
      </c>
      <c r="C35" s="22" t="s">
        <v>6673</v>
      </c>
      <c r="D35" s="22" t="s">
        <v>198</v>
      </c>
      <c r="E35" s="22" t="s">
        <v>8601</v>
      </c>
      <c r="F35" s="25" t="n">
        <v>374.4</v>
      </c>
      <c r="G35" s="25" t="n">
        <v>374.4</v>
      </c>
      <c r="H35" s="25" t="n">
        <v>374.4</v>
      </c>
      <c r="I35" s="25" t="n">
        <v>0</v>
      </c>
      <c r="J35" s="25" t="n">
        <v>0</v>
      </c>
      <c r="K35" s="25" t="n">
        <v>1123.2</v>
      </c>
      <c r="L35" s="25" t="n">
        <f aca="false">SUM(F35:J35)</f>
        <v>1123.2</v>
      </c>
      <c r="M35" s="25" t="n">
        <f aca="false">K35-L35</f>
        <v>0</v>
      </c>
      <c r="N35" s="22" t="str">
        <f aca="false">RIGHT(A35,LEN(A35)-3)</f>
        <v>LP-0208</v>
      </c>
      <c r="O35" s="22" t="str">
        <f aca="false">IF(C35=N35,"Y","N")</f>
        <v>Y</v>
      </c>
      <c r="P35" s="22" t="str">
        <f aca="false">IFERROR(VLOOKUP(N35,'Slip Inventory'!$A$2:$R$1181,10,FALSE()),"NOT FOUND")</f>
        <v>OCCUPIED</v>
      </c>
      <c r="Q35" s="22" t="str">
        <f aca="false">IF(P35="OCCUPIED","Y","N")</f>
        <v>Y</v>
      </c>
      <c r="R35" s="25" t="n">
        <f aca="false">SUM(I35:J35)</f>
        <v>0</v>
      </c>
      <c r="S35" s="22" t="str">
        <f aca="false">IF(AND(R35&gt;0,Q35="Y"),"YES","NO")</f>
        <v>NO</v>
      </c>
      <c r="T35" s="22" t="s">
        <v>12978</v>
      </c>
      <c r="U35" s="23" t="n">
        <v>46192</v>
      </c>
      <c r="V35" s="23" t="n">
        <v>46202</v>
      </c>
      <c r="W35" s="22"/>
      <c r="X35" s="22" t="str">
        <f aca="false">IF(ABS(M35)&gt;0.005,"Reported total_due does not equal buckets",IF(O35&lt;&gt;"Y","Account/slip ID mismatch",IF(P35&lt;&gt;"OCCUPIED","Slip not occupied","OK")))</f>
        <v>OK</v>
      </c>
      <c r="Y35" s="22" t="str">
        <f aca="false">IF(ABS(M35)&gt;0.005,"Priority 3","")</f>
        <v/>
      </c>
    </row>
    <row r="36" customFormat="false" ht="15" hidden="false" customHeight="false" outlineLevel="0" collapsed="false">
      <c r="A36" s="22" t="s">
        <v>11468</v>
      </c>
      <c r="B36" s="22" t="s">
        <v>1540</v>
      </c>
      <c r="C36" s="22" t="s">
        <v>6676</v>
      </c>
      <c r="D36" s="22" t="s">
        <v>198</v>
      </c>
      <c r="E36" s="22" t="s">
        <v>8601</v>
      </c>
      <c r="F36" s="25" t="n">
        <v>332.8</v>
      </c>
      <c r="G36" s="25" t="n">
        <v>332.8</v>
      </c>
      <c r="H36" s="25" t="n">
        <v>0</v>
      </c>
      <c r="I36" s="25" t="n">
        <v>0</v>
      </c>
      <c r="J36" s="25" t="n">
        <v>0</v>
      </c>
      <c r="K36" s="25" t="n">
        <v>665.6</v>
      </c>
      <c r="L36" s="25" t="n">
        <f aca="false">SUM(F36:J36)</f>
        <v>665.6</v>
      </c>
      <c r="M36" s="25" t="n">
        <f aca="false">K36-L36</f>
        <v>0</v>
      </c>
      <c r="N36" s="22" t="str">
        <f aca="false">RIGHT(A36,LEN(A36)-3)</f>
        <v>LP-0209</v>
      </c>
      <c r="O36" s="22" t="str">
        <f aca="false">IF(C36=N36,"Y","N")</f>
        <v>Y</v>
      </c>
      <c r="P36" s="22" t="str">
        <f aca="false">IFERROR(VLOOKUP(N36,'Slip Inventory'!$A$2:$R$1181,10,FALSE()),"NOT FOUND")</f>
        <v>OCCUPIED</v>
      </c>
      <c r="Q36" s="22" t="str">
        <f aca="false">IF(P36="OCCUPIED","Y","N")</f>
        <v>Y</v>
      </c>
      <c r="R36" s="25" t="n">
        <f aca="false">SUM(I36:J36)</f>
        <v>0</v>
      </c>
      <c r="S36" s="22" t="str">
        <f aca="false">IF(AND(R36&gt;0,Q36="Y"),"YES","NO")</f>
        <v>NO</v>
      </c>
      <c r="T36" s="22" t="s">
        <v>12977</v>
      </c>
      <c r="U36" s="23" t="n">
        <v>46173</v>
      </c>
      <c r="V36" s="23" t="n">
        <v>46190</v>
      </c>
      <c r="W36" s="22"/>
      <c r="X36" s="22" t="str">
        <f aca="false">IF(ABS(M36)&gt;0.005,"Reported total_due does not equal buckets",IF(O36&lt;&gt;"Y","Account/slip ID mismatch",IF(P36&lt;&gt;"OCCUPIED","Slip not occupied","OK")))</f>
        <v>OK</v>
      </c>
      <c r="Y36" s="22" t="str">
        <f aca="false">IF(ABS(M36)&gt;0.005,"Priority 3","")</f>
        <v/>
      </c>
    </row>
    <row r="37" customFormat="false" ht="15" hidden="false" customHeight="false" outlineLevel="0" collapsed="false">
      <c r="A37" s="22" t="s">
        <v>11470</v>
      </c>
      <c r="B37" s="22" t="s">
        <v>3035</v>
      </c>
      <c r="C37" s="22" t="s">
        <v>6679</v>
      </c>
      <c r="D37" s="22" t="s">
        <v>198</v>
      </c>
      <c r="E37" s="22" t="s">
        <v>8601</v>
      </c>
      <c r="F37" s="25" t="n">
        <v>416</v>
      </c>
      <c r="G37" s="25" t="n">
        <v>416</v>
      </c>
      <c r="H37" s="25" t="n">
        <v>416</v>
      </c>
      <c r="I37" s="25" t="n">
        <v>0</v>
      </c>
      <c r="J37" s="25" t="n">
        <v>0</v>
      </c>
      <c r="K37" s="25" t="n">
        <v>1248</v>
      </c>
      <c r="L37" s="25" t="n">
        <f aca="false">SUM(F37:J37)</f>
        <v>1248</v>
      </c>
      <c r="M37" s="25" t="n">
        <f aca="false">K37-L37</f>
        <v>0</v>
      </c>
      <c r="N37" s="22" t="str">
        <f aca="false">RIGHT(A37,LEN(A37)-3)</f>
        <v>LP-0210</v>
      </c>
      <c r="O37" s="22" t="str">
        <f aca="false">IF(C37=N37,"Y","N")</f>
        <v>Y</v>
      </c>
      <c r="P37" s="22" t="str">
        <f aca="false">IFERROR(VLOOKUP(N37,'Slip Inventory'!$A$2:$R$1181,10,FALSE()),"NOT FOUND")</f>
        <v>OCCUPIED</v>
      </c>
      <c r="Q37" s="22" t="str">
        <f aca="false">IF(P37="OCCUPIED","Y","N")</f>
        <v>Y</v>
      </c>
      <c r="R37" s="25" t="n">
        <f aca="false">SUM(I37:J37)</f>
        <v>0</v>
      </c>
      <c r="S37" s="22" t="str">
        <f aca="false">IF(AND(R37&gt;0,Q37="Y"),"YES","NO")</f>
        <v>NO</v>
      </c>
      <c r="T37" s="22" t="s">
        <v>12978</v>
      </c>
      <c r="U37" s="23" t="n">
        <v>46150</v>
      </c>
      <c r="V37" s="23" t="n">
        <v>46224</v>
      </c>
      <c r="W37" s="22"/>
      <c r="X37" s="22" t="str">
        <f aca="false">IF(ABS(M37)&gt;0.005,"Reported total_due does not equal buckets",IF(O37&lt;&gt;"Y","Account/slip ID mismatch",IF(P37&lt;&gt;"OCCUPIED","Slip not occupied","OK")))</f>
        <v>OK</v>
      </c>
      <c r="Y37" s="22" t="str">
        <f aca="false">IF(ABS(M37)&gt;0.005,"Priority 3","")</f>
        <v/>
      </c>
    </row>
    <row r="38" customFormat="false" ht="15" hidden="false" customHeight="false" outlineLevel="0" collapsed="false">
      <c r="A38" s="22" t="s">
        <v>11472</v>
      </c>
      <c r="B38" s="22" t="s">
        <v>5434</v>
      </c>
      <c r="C38" s="22" t="s">
        <v>6684</v>
      </c>
      <c r="D38" s="22" t="s">
        <v>198</v>
      </c>
      <c r="E38" s="22" t="s">
        <v>8601</v>
      </c>
      <c r="F38" s="25" t="n">
        <v>603.2</v>
      </c>
      <c r="G38" s="25" t="n">
        <v>603.2</v>
      </c>
      <c r="H38" s="25" t="n">
        <v>0</v>
      </c>
      <c r="I38" s="25" t="n">
        <v>0</v>
      </c>
      <c r="J38" s="25" t="n">
        <v>0</v>
      </c>
      <c r="K38" s="25" t="n">
        <v>603.2</v>
      </c>
      <c r="L38" s="25" t="n">
        <f aca="false">SUM(F38:J38)</f>
        <v>1206.4</v>
      </c>
      <c r="M38" s="25" t="n">
        <f aca="false">K38-L38</f>
        <v>-603.2</v>
      </c>
      <c r="N38" s="22" t="str">
        <f aca="false">RIGHT(A38,LEN(A38)-3)</f>
        <v>LP-0212</v>
      </c>
      <c r="O38" s="22" t="str">
        <f aca="false">IF(C38=N38,"Y","N")</f>
        <v>Y</v>
      </c>
      <c r="P38" s="22" t="str">
        <f aca="false">IFERROR(VLOOKUP(N38,'Slip Inventory'!$A$2:$R$1181,10,FALSE()),"NOT FOUND")</f>
        <v>OCCUPIED</v>
      </c>
      <c r="Q38" s="22" t="str">
        <f aca="false">IF(P38="OCCUPIED","Y","N")</f>
        <v>Y</v>
      </c>
      <c r="R38" s="25" t="n">
        <f aca="false">SUM(I38:J38)</f>
        <v>0</v>
      </c>
      <c r="S38" s="22" t="str">
        <f aca="false">IF(AND(R38&gt;0,Q38="Y"),"YES","NO")</f>
        <v>NO</v>
      </c>
      <c r="T38" s="22" t="s">
        <v>12975</v>
      </c>
      <c r="U38" s="23" t="n">
        <v>46165</v>
      </c>
      <c r="V38" s="23" t="n">
        <v>46175</v>
      </c>
      <c r="W38" s="22" t="s">
        <v>12976</v>
      </c>
      <c r="X38" s="22" t="str">
        <f aca="false">IF(ABS(M38)&gt;0.005,"Reported total_due does not equal buckets",IF(O38&lt;&gt;"Y","Account/slip ID mismatch",IF(P38&lt;&gt;"OCCUPIED","Slip not occupied","OK")))</f>
        <v>Reported total_due does not equal buckets</v>
      </c>
      <c r="Y38" s="22" t="str">
        <f aca="false">IF(ABS(M38)&gt;0.005,"Priority 3","")</f>
        <v>Priority 3</v>
      </c>
    </row>
    <row r="39" customFormat="false" ht="15" hidden="false" customHeight="false" outlineLevel="0" collapsed="false">
      <c r="A39" s="22" t="s">
        <v>11474</v>
      </c>
      <c r="B39" s="22" t="s">
        <v>3480</v>
      </c>
      <c r="C39" s="22" t="s">
        <v>6687</v>
      </c>
      <c r="D39" s="22" t="s">
        <v>198</v>
      </c>
      <c r="E39" s="22" t="s">
        <v>8601</v>
      </c>
      <c r="F39" s="25" t="n">
        <v>520</v>
      </c>
      <c r="G39" s="25" t="n">
        <v>0</v>
      </c>
      <c r="H39" s="25" t="n">
        <v>0</v>
      </c>
      <c r="I39" s="25" t="n">
        <v>0</v>
      </c>
      <c r="J39" s="25" t="n">
        <v>0</v>
      </c>
      <c r="K39" s="25" t="n">
        <v>0</v>
      </c>
      <c r="L39" s="25" t="n">
        <f aca="false">SUM(F39:J39)</f>
        <v>520</v>
      </c>
      <c r="M39" s="25" t="n">
        <f aca="false">K39-L39</f>
        <v>-520</v>
      </c>
      <c r="N39" s="22" t="str">
        <f aca="false">RIGHT(A39,LEN(A39)-3)</f>
        <v>LP-0213</v>
      </c>
      <c r="O39" s="22" t="str">
        <f aca="false">IF(C39=N39,"Y","N")</f>
        <v>Y</v>
      </c>
      <c r="P39" s="22" t="str">
        <f aca="false">IFERROR(VLOOKUP(N39,'Slip Inventory'!$A$2:$R$1181,10,FALSE()),"NOT FOUND")</f>
        <v>OCCUPIED</v>
      </c>
      <c r="Q39" s="22" t="str">
        <f aca="false">IF(P39="OCCUPIED","Y","N")</f>
        <v>Y</v>
      </c>
      <c r="R39" s="25" t="n">
        <f aca="false">SUM(I39:J39)</f>
        <v>0</v>
      </c>
      <c r="S39" s="22" t="str">
        <f aca="false">IF(AND(R39&gt;0,Q39="Y"),"YES","NO")</f>
        <v>NO</v>
      </c>
      <c r="T39" s="22" t="s">
        <v>12975</v>
      </c>
      <c r="U39" s="23" t="n">
        <v>46189</v>
      </c>
      <c r="V39" s="23" t="n">
        <v>46176</v>
      </c>
      <c r="W39" s="22"/>
      <c r="X39" s="22" t="str">
        <f aca="false">IF(ABS(M39)&gt;0.005,"Reported total_due does not equal buckets",IF(O39&lt;&gt;"Y","Account/slip ID mismatch",IF(P39&lt;&gt;"OCCUPIED","Slip not occupied","OK")))</f>
        <v>Reported total_due does not equal buckets</v>
      </c>
      <c r="Y39" s="22" t="str">
        <f aca="false">IF(ABS(M39)&gt;0.005,"Priority 3","")</f>
        <v>Priority 3</v>
      </c>
    </row>
    <row r="40" customFormat="false" ht="15" hidden="false" customHeight="false" outlineLevel="0" collapsed="false">
      <c r="A40" s="22" t="s">
        <v>11476</v>
      </c>
      <c r="B40" s="22" t="s">
        <v>2235</v>
      </c>
      <c r="C40" s="22" t="s">
        <v>6690</v>
      </c>
      <c r="D40" s="22" t="s">
        <v>198</v>
      </c>
      <c r="E40" s="22" t="s">
        <v>8601</v>
      </c>
      <c r="F40" s="25" t="n">
        <v>322.4</v>
      </c>
      <c r="G40" s="25" t="n">
        <v>0</v>
      </c>
      <c r="H40" s="25" t="n">
        <v>0</v>
      </c>
      <c r="I40" s="25" t="n">
        <v>0</v>
      </c>
      <c r="J40" s="25" t="n">
        <v>0</v>
      </c>
      <c r="K40" s="25" t="n">
        <v>322.4</v>
      </c>
      <c r="L40" s="25" t="n">
        <f aca="false">SUM(F40:J40)</f>
        <v>322.4</v>
      </c>
      <c r="M40" s="25" t="n">
        <f aca="false">K40-L40</f>
        <v>0</v>
      </c>
      <c r="N40" s="22" t="str">
        <f aca="false">RIGHT(A40,LEN(A40)-3)</f>
        <v>LP-0214</v>
      </c>
      <c r="O40" s="22" t="str">
        <f aca="false">IF(C40=N40,"Y","N")</f>
        <v>Y</v>
      </c>
      <c r="P40" s="22" t="str">
        <f aca="false">IFERROR(VLOOKUP(N40,'Slip Inventory'!$A$2:$R$1181,10,FALSE()),"NOT FOUND")</f>
        <v>OCCUPIED</v>
      </c>
      <c r="Q40" s="22" t="str">
        <f aca="false">IF(P40="OCCUPIED","Y","N")</f>
        <v>Y</v>
      </c>
      <c r="R40" s="25" t="n">
        <f aca="false">SUM(I40:J40)</f>
        <v>0</v>
      </c>
      <c r="S40" s="22" t="str">
        <f aca="false">IF(AND(R40&gt;0,Q40="Y"),"YES","NO")</f>
        <v>NO</v>
      </c>
      <c r="T40" s="22" t="s">
        <v>12975</v>
      </c>
      <c r="U40" s="23" t="n">
        <v>46213</v>
      </c>
      <c r="V40" s="23" t="n">
        <v>46209</v>
      </c>
      <c r="W40" s="22"/>
      <c r="X40" s="22" t="str">
        <f aca="false">IF(ABS(M40)&gt;0.005,"Reported total_due does not equal buckets",IF(O40&lt;&gt;"Y","Account/slip ID mismatch",IF(P40&lt;&gt;"OCCUPIED","Slip not occupied","OK")))</f>
        <v>OK</v>
      </c>
      <c r="Y40" s="22" t="str">
        <f aca="false">IF(ABS(M40)&gt;0.005,"Priority 3","")</f>
        <v/>
      </c>
    </row>
    <row r="41" customFormat="false" ht="15" hidden="false" customHeight="false" outlineLevel="0" collapsed="false">
      <c r="A41" s="22" t="s">
        <v>11478</v>
      </c>
      <c r="B41" s="22" t="s">
        <v>1099</v>
      </c>
      <c r="C41" s="22" t="s">
        <v>6693</v>
      </c>
      <c r="D41" s="22" t="s">
        <v>198</v>
      </c>
      <c r="E41" s="22" t="s">
        <v>8601</v>
      </c>
      <c r="F41" s="25" t="n">
        <v>291.2</v>
      </c>
      <c r="G41" s="25" t="n">
        <v>0</v>
      </c>
      <c r="H41" s="25" t="n">
        <v>0</v>
      </c>
      <c r="I41" s="25" t="n">
        <v>0</v>
      </c>
      <c r="J41" s="25" t="n">
        <v>0</v>
      </c>
      <c r="K41" s="25" t="n">
        <v>291.2</v>
      </c>
      <c r="L41" s="25" t="n">
        <f aca="false">SUM(F41:J41)</f>
        <v>291.2</v>
      </c>
      <c r="M41" s="25" t="n">
        <f aca="false">K41-L41</f>
        <v>0</v>
      </c>
      <c r="N41" s="22" t="str">
        <f aca="false">RIGHT(A41,LEN(A41)-3)</f>
        <v>LP-0215</v>
      </c>
      <c r="O41" s="22" t="str">
        <f aca="false">IF(C41=N41,"Y","N")</f>
        <v>Y</v>
      </c>
      <c r="P41" s="22" t="str">
        <f aca="false">IFERROR(VLOOKUP(N41,'Slip Inventory'!$A$2:$R$1181,10,FALSE()),"NOT FOUND")</f>
        <v>OCCUPIED</v>
      </c>
      <c r="Q41" s="22" t="str">
        <f aca="false">IF(P41="OCCUPIED","Y","N")</f>
        <v>Y</v>
      </c>
      <c r="R41" s="25" t="n">
        <f aca="false">SUM(I41:J41)</f>
        <v>0</v>
      </c>
      <c r="S41" s="22" t="str">
        <f aca="false">IF(AND(R41&gt;0,Q41="Y"),"YES","NO")</f>
        <v>NO</v>
      </c>
      <c r="T41" s="22" t="s">
        <v>12975</v>
      </c>
      <c r="U41" s="23" t="n">
        <v>46164</v>
      </c>
      <c r="V41" s="23" t="n">
        <v>46174</v>
      </c>
      <c r="W41" s="22"/>
      <c r="X41" s="22" t="str">
        <f aca="false">IF(ABS(M41)&gt;0.005,"Reported total_due does not equal buckets",IF(O41&lt;&gt;"Y","Account/slip ID mismatch",IF(P41&lt;&gt;"OCCUPIED","Slip not occupied","OK")))</f>
        <v>OK</v>
      </c>
      <c r="Y41" s="22" t="str">
        <f aca="false">IF(ABS(M41)&gt;0.005,"Priority 3","")</f>
        <v/>
      </c>
    </row>
    <row r="42" customFormat="false" ht="15" hidden="false" customHeight="false" outlineLevel="0" collapsed="false">
      <c r="A42" s="22" t="s">
        <v>11480</v>
      </c>
      <c r="B42" s="22" t="s">
        <v>1328</v>
      </c>
      <c r="C42" s="22" t="s">
        <v>6696</v>
      </c>
      <c r="D42" s="22" t="s">
        <v>198</v>
      </c>
      <c r="E42" s="22" t="s">
        <v>8601</v>
      </c>
      <c r="F42" s="25" t="n">
        <v>592.8</v>
      </c>
      <c r="G42" s="25" t="n">
        <v>0</v>
      </c>
      <c r="H42" s="25" t="n">
        <v>0</v>
      </c>
      <c r="I42" s="25" t="n">
        <v>0</v>
      </c>
      <c r="J42" s="25" t="n">
        <v>0</v>
      </c>
      <c r="K42" s="25" t="n">
        <v>592.8</v>
      </c>
      <c r="L42" s="25" t="n">
        <f aca="false">SUM(F42:J42)</f>
        <v>592.8</v>
      </c>
      <c r="M42" s="25" t="n">
        <f aca="false">K42-L42</f>
        <v>0</v>
      </c>
      <c r="N42" s="22" t="str">
        <f aca="false">RIGHT(A42,LEN(A42)-3)</f>
        <v>LP-0216</v>
      </c>
      <c r="O42" s="22" t="str">
        <f aca="false">IF(C42=N42,"Y","N")</f>
        <v>Y</v>
      </c>
      <c r="P42" s="22" t="str">
        <f aca="false">IFERROR(VLOOKUP(N42,'Slip Inventory'!$A$2:$R$1181,10,FALSE()),"NOT FOUND")</f>
        <v>OCCUPIED</v>
      </c>
      <c r="Q42" s="22" t="str">
        <f aca="false">IF(P42="OCCUPIED","Y","N")</f>
        <v>Y</v>
      </c>
      <c r="R42" s="25" t="n">
        <f aca="false">SUM(I42:J42)</f>
        <v>0</v>
      </c>
      <c r="S42" s="22" t="str">
        <f aca="false">IF(AND(R42&gt;0,Q42="Y"),"YES","NO")</f>
        <v>NO</v>
      </c>
      <c r="T42" s="22" t="s">
        <v>12975</v>
      </c>
      <c r="U42" s="23" t="n">
        <v>46222</v>
      </c>
      <c r="V42" s="23" t="n">
        <v>46190</v>
      </c>
      <c r="W42" s="22"/>
      <c r="X42" s="22" t="str">
        <f aca="false">IF(ABS(M42)&gt;0.005,"Reported total_due does not equal buckets",IF(O42&lt;&gt;"Y","Account/slip ID mismatch",IF(P42&lt;&gt;"OCCUPIED","Slip not occupied","OK")))</f>
        <v>OK</v>
      </c>
      <c r="Y42" s="22" t="str">
        <f aca="false">IF(ABS(M42)&gt;0.005,"Priority 3","")</f>
        <v/>
      </c>
    </row>
    <row r="43" customFormat="false" ht="15" hidden="false" customHeight="false" outlineLevel="0" collapsed="false">
      <c r="A43" s="22" t="s">
        <v>11482</v>
      </c>
      <c r="B43" s="22" t="s">
        <v>1491</v>
      </c>
      <c r="C43" s="22" t="s">
        <v>6699</v>
      </c>
      <c r="D43" s="22" t="s">
        <v>198</v>
      </c>
      <c r="E43" s="22" t="s">
        <v>8601</v>
      </c>
      <c r="F43" s="25" t="n">
        <v>613.6</v>
      </c>
      <c r="G43" s="25" t="n">
        <v>0</v>
      </c>
      <c r="H43" s="25" t="n">
        <v>0</v>
      </c>
      <c r="I43" s="25" t="n">
        <v>0</v>
      </c>
      <c r="J43" s="25" t="n">
        <v>0</v>
      </c>
      <c r="K43" s="25" t="n">
        <v>613.6</v>
      </c>
      <c r="L43" s="25" t="n">
        <f aca="false">SUM(F43:J43)</f>
        <v>613.6</v>
      </c>
      <c r="M43" s="25" t="n">
        <f aca="false">K43-L43</f>
        <v>0</v>
      </c>
      <c r="N43" s="22" t="str">
        <f aca="false">RIGHT(A43,LEN(A43)-3)</f>
        <v>LP-0217</v>
      </c>
      <c r="O43" s="22" t="str">
        <f aca="false">IF(C43=N43,"Y","N")</f>
        <v>Y</v>
      </c>
      <c r="P43" s="22" t="str">
        <f aca="false">IFERROR(VLOOKUP(N43,'Slip Inventory'!$A$2:$R$1181,10,FALSE()),"NOT FOUND")</f>
        <v>OCCUPIED</v>
      </c>
      <c r="Q43" s="22" t="str">
        <f aca="false">IF(P43="OCCUPIED","Y","N")</f>
        <v>Y</v>
      </c>
      <c r="R43" s="25" t="n">
        <f aca="false">SUM(I43:J43)</f>
        <v>0</v>
      </c>
      <c r="S43" s="22" t="str">
        <f aca="false">IF(AND(R43&gt;0,Q43="Y"),"YES","NO")</f>
        <v>NO</v>
      </c>
      <c r="T43" s="22" t="s">
        <v>12975</v>
      </c>
      <c r="U43" s="23" t="n">
        <v>46145</v>
      </c>
      <c r="V43" s="23" t="n">
        <v>46201</v>
      </c>
      <c r="W43" s="22"/>
      <c r="X43" s="22" t="str">
        <f aca="false">IF(ABS(M43)&gt;0.005,"Reported total_due does not equal buckets",IF(O43&lt;&gt;"Y","Account/slip ID mismatch",IF(P43&lt;&gt;"OCCUPIED","Slip not occupied","OK")))</f>
        <v>OK</v>
      </c>
      <c r="Y43" s="22" t="str">
        <f aca="false">IF(ABS(M43)&gt;0.005,"Priority 3","")</f>
        <v/>
      </c>
    </row>
    <row r="44" customFormat="false" ht="15" hidden="false" customHeight="false" outlineLevel="0" collapsed="false">
      <c r="A44" s="22" t="s">
        <v>11484</v>
      </c>
      <c r="B44" s="22" t="s">
        <v>674</v>
      </c>
      <c r="C44" s="22" t="s">
        <v>6702</v>
      </c>
      <c r="D44" s="22" t="s">
        <v>198</v>
      </c>
      <c r="E44" s="22" t="s">
        <v>8601</v>
      </c>
      <c r="F44" s="25" t="n">
        <v>436.8</v>
      </c>
      <c r="G44" s="25" t="n">
        <v>0</v>
      </c>
      <c r="H44" s="25" t="n">
        <v>0</v>
      </c>
      <c r="I44" s="25" t="n">
        <v>0</v>
      </c>
      <c r="J44" s="25" t="n">
        <v>0</v>
      </c>
      <c r="K44" s="25" t="n">
        <v>436.8</v>
      </c>
      <c r="L44" s="25" t="n">
        <f aca="false">SUM(F44:J44)</f>
        <v>436.8</v>
      </c>
      <c r="M44" s="25" t="n">
        <f aca="false">K44-L44</f>
        <v>0</v>
      </c>
      <c r="N44" s="22" t="str">
        <f aca="false">RIGHT(A44,LEN(A44)-3)</f>
        <v>LP-0218</v>
      </c>
      <c r="O44" s="22" t="str">
        <f aca="false">IF(C44=N44,"Y","N")</f>
        <v>Y</v>
      </c>
      <c r="P44" s="22" t="str">
        <f aca="false">IFERROR(VLOOKUP(N44,'Slip Inventory'!$A$2:$R$1181,10,FALSE()),"NOT FOUND")</f>
        <v>OCCUPIED</v>
      </c>
      <c r="Q44" s="22" t="str">
        <f aca="false">IF(P44="OCCUPIED","Y","N")</f>
        <v>Y</v>
      </c>
      <c r="R44" s="25" t="n">
        <f aca="false">SUM(I44:J44)</f>
        <v>0</v>
      </c>
      <c r="S44" s="22" t="str">
        <f aca="false">IF(AND(R44&gt;0,Q44="Y"),"YES","NO")</f>
        <v>NO</v>
      </c>
      <c r="T44" s="22" t="s">
        <v>12975</v>
      </c>
      <c r="U44" s="23" t="n">
        <v>46160</v>
      </c>
      <c r="V44" s="23" t="n">
        <v>46175</v>
      </c>
      <c r="W44" s="22"/>
      <c r="X44" s="22" t="str">
        <f aca="false">IF(ABS(M44)&gt;0.005,"Reported total_due does not equal buckets",IF(O44&lt;&gt;"Y","Account/slip ID mismatch",IF(P44&lt;&gt;"OCCUPIED","Slip not occupied","OK")))</f>
        <v>OK</v>
      </c>
      <c r="Y44" s="22" t="str">
        <f aca="false">IF(ABS(M44)&gt;0.005,"Priority 3","")</f>
        <v/>
      </c>
    </row>
    <row r="45" customFormat="false" ht="15" hidden="false" customHeight="false" outlineLevel="0" collapsed="false">
      <c r="A45" s="22" t="s">
        <v>11486</v>
      </c>
      <c r="B45" s="22" t="s">
        <v>1068</v>
      </c>
      <c r="C45" s="22" t="s">
        <v>6705</v>
      </c>
      <c r="D45" s="22" t="s">
        <v>198</v>
      </c>
      <c r="E45" s="22" t="s">
        <v>8601</v>
      </c>
      <c r="F45" s="25" t="n">
        <v>488.8</v>
      </c>
      <c r="G45" s="25" t="n">
        <v>0</v>
      </c>
      <c r="H45" s="25" t="n">
        <v>0</v>
      </c>
      <c r="I45" s="25" t="n">
        <v>0</v>
      </c>
      <c r="J45" s="25" t="n">
        <v>0</v>
      </c>
      <c r="K45" s="25" t="n">
        <v>488.8</v>
      </c>
      <c r="L45" s="25" t="n">
        <f aca="false">SUM(F45:J45)</f>
        <v>488.8</v>
      </c>
      <c r="M45" s="25" t="n">
        <f aca="false">K45-L45</f>
        <v>0</v>
      </c>
      <c r="N45" s="22" t="str">
        <f aca="false">RIGHT(A45,LEN(A45)-3)</f>
        <v>LP-0219</v>
      </c>
      <c r="O45" s="22" t="str">
        <f aca="false">IF(C45=N45,"Y","N")</f>
        <v>Y</v>
      </c>
      <c r="P45" s="22" t="str">
        <f aca="false">IFERROR(VLOOKUP(N45,'Slip Inventory'!$A$2:$R$1181,10,FALSE()),"NOT FOUND")</f>
        <v>OCCUPIED</v>
      </c>
      <c r="Q45" s="22" t="str">
        <f aca="false">IF(P45="OCCUPIED","Y","N")</f>
        <v>Y</v>
      </c>
      <c r="R45" s="25" t="n">
        <f aca="false">SUM(I45:J45)</f>
        <v>0</v>
      </c>
      <c r="S45" s="22" t="str">
        <f aca="false">IF(AND(R45&gt;0,Q45="Y"),"YES","NO")</f>
        <v>NO</v>
      </c>
      <c r="T45" s="22" t="s">
        <v>12975</v>
      </c>
      <c r="U45" s="23" t="n">
        <v>46219</v>
      </c>
      <c r="V45" s="23" t="n">
        <v>46188</v>
      </c>
      <c r="W45" s="22"/>
      <c r="X45" s="22" t="str">
        <f aca="false">IF(ABS(M45)&gt;0.005,"Reported total_due does not equal buckets",IF(O45&lt;&gt;"Y","Account/slip ID mismatch",IF(P45&lt;&gt;"OCCUPIED","Slip not occupied","OK")))</f>
        <v>OK</v>
      </c>
      <c r="Y45" s="22" t="str">
        <f aca="false">IF(ABS(M45)&gt;0.005,"Priority 3","")</f>
        <v/>
      </c>
    </row>
    <row r="46" customFormat="false" ht="15" hidden="false" customHeight="false" outlineLevel="0" collapsed="false">
      <c r="A46" s="22" t="s">
        <v>11488</v>
      </c>
      <c r="B46" s="22" t="s">
        <v>4033</v>
      </c>
      <c r="C46" s="22" t="s">
        <v>6708</v>
      </c>
      <c r="D46" s="22" t="s">
        <v>198</v>
      </c>
      <c r="E46" s="22" t="s">
        <v>8601</v>
      </c>
      <c r="F46" s="25" t="n">
        <v>478.4</v>
      </c>
      <c r="G46" s="25" t="n">
        <v>0</v>
      </c>
      <c r="H46" s="25" t="n">
        <v>0</v>
      </c>
      <c r="I46" s="25" t="n">
        <v>0</v>
      </c>
      <c r="J46" s="25" t="n">
        <v>0</v>
      </c>
      <c r="K46" s="25" t="n">
        <v>0</v>
      </c>
      <c r="L46" s="25" t="n">
        <f aca="false">SUM(F46:J46)</f>
        <v>478.4</v>
      </c>
      <c r="M46" s="25" t="n">
        <f aca="false">K46-L46</f>
        <v>-478.4</v>
      </c>
      <c r="N46" s="22" t="str">
        <f aca="false">RIGHT(A46,LEN(A46)-3)</f>
        <v>LP-0220</v>
      </c>
      <c r="O46" s="22" t="str">
        <f aca="false">IF(C46=N46,"Y","N")</f>
        <v>Y</v>
      </c>
      <c r="P46" s="22" t="str">
        <f aca="false">IFERROR(VLOOKUP(N46,'Slip Inventory'!$A$2:$R$1181,10,FALSE()),"NOT FOUND")</f>
        <v>OCCUPIED</v>
      </c>
      <c r="Q46" s="22" t="str">
        <f aca="false">IF(P46="OCCUPIED","Y","N")</f>
        <v>Y</v>
      </c>
      <c r="R46" s="25" t="n">
        <f aca="false">SUM(I46:J46)</f>
        <v>0</v>
      </c>
      <c r="S46" s="22" t="str">
        <f aca="false">IF(AND(R46&gt;0,Q46="Y"),"YES","NO")</f>
        <v>NO</v>
      </c>
      <c r="T46" s="22" t="s">
        <v>12975</v>
      </c>
      <c r="U46" s="23" t="n">
        <v>46153</v>
      </c>
      <c r="V46" s="23" t="n">
        <v>46209</v>
      </c>
      <c r="W46" s="22"/>
      <c r="X46" s="22" t="str">
        <f aca="false">IF(ABS(M46)&gt;0.005,"Reported total_due does not equal buckets",IF(O46&lt;&gt;"Y","Account/slip ID mismatch",IF(P46&lt;&gt;"OCCUPIED","Slip not occupied","OK")))</f>
        <v>Reported total_due does not equal buckets</v>
      </c>
      <c r="Y46" s="22" t="str">
        <f aca="false">IF(ABS(M46)&gt;0.005,"Priority 3","")</f>
        <v>Priority 3</v>
      </c>
    </row>
    <row r="47" customFormat="false" ht="15" hidden="false" customHeight="false" outlineLevel="0" collapsed="false">
      <c r="A47" s="22" t="s">
        <v>11490</v>
      </c>
      <c r="B47" s="22" t="s">
        <v>5553</v>
      </c>
      <c r="C47" s="22" t="s">
        <v>6711</v>
      </c>
      <c r="D47" s="22" t="s">
        <v>198</v>
      </c>
      <c r="E47" s="22" t="s">
        <v>8601</v>
      </c>
      <c r="F47" s="25" t="n">
        <v>603.2</v>
      </c>
      <c r="G47" s="25" t="n">
        <v>0</v>
      </c>
      <c r="H47" s="25" t="n">
        <v>0</v>
      </c>
      <c r="I47" s="25" t="n">
        <v>0</v>
      </c>
      <c r="J47" s="25" t="n">
        <v>0</v>
      </c>
      <c r="K47" s="25" t="n">
        <v>603.2</v>
      </c>
      <c r="L47" s="25" t="n">
        <f aca="false">SUM(F47:J47)</f>
        <v>603.2</v>
      </c>
      <c r="M47" s="25" t="n">
        <f aca="false">K47-L47</f>
        <v>0</v>
      </c>
      <c r="N47" s="22" t="str">
        <f aca="false">RIGHT(A47,LEN(A47)-3)</f>
        <v>LP-0221</v>
      </c>
      <c r="O47" s="22" t="str">
        <f aca="false">IF(C47=N47,"Y","N")</f>
        <v>Y</v>
      </c>
      <c r="P47" s="22" t="str">
        <f aca="false">IFERROR(VLOOKUP(N47,'Slip Inventory'!$A$2:$R$1181,10,FALSE()),"NOT FOUND")</f>
        <v>OCCUPIED</v>
      </c>
      <c r="Q47" s="22" t="str">
        <f aca="false">IF(P47="OCCUPIED","Y","N")</f>
        <v>Y</v>
      </c>
      <c r="R47" s="25" t="n">
        <f aca="false">SUM(I47:J47)</f>
        <v>0</v>
      </c>
      <c r="S47" s="22" t="str">
        <f aca="false">IF(AND(R47&gt;0,Q47="Y"),"YES","NO")</f>
        <v>NO</v>
      </c>
      <c r="T47" s="22" t="s">
        <v>12975</v>
      </c>
      <c r="U47" s="23" t="n">
        <v>46168</v>
      </c>
      <c r="V47" s="23" t="n">
        <v>46218</v>
      </c>
      <c r="W47" s="22"/>
      <c r="X47" s="22" t="str">
        <f aca="false">IF(ABS(M47)&gt;0.005,"Reported total_due does not equal buckets",IF(O47&lt;&gt;"Y","Account/slip ID mismatch",IF(P47&lt;&gt;"OCCUPIED","Slip not occupied","OK")))</f>
        <v>OK</v>
      </c>
      <c r="Y47" s="22" t="str">
        <f aca="false">IF(ABS(M47)&gt;0.005,"Priority 3","")</f>
        <v/>
      </c>
    </row>
    <row r="48" customFormat="false" ht="15" hidden="false" customHeight="false" outlineLevel="0" collapsed="false">
      <c r="A48" s="22" t="s">
        <v>11492</v>
      </c>
      <c r="B48" s="22" t="s">
        <v>697</v>
      </c>
      <c r="C48" s="22" t="s">
        <v>6714</v>
      </c>
      <c r="D48" s="22" t="s">
        <v>198</v>
      </c>
      <c r="E48" s="22" t="s">
        <v>8601</v>
      </c>
      <c r="F48" s="25" t="n">
        <v>374.4</v>
      </c>
      <c r="G48" s="25" t="n">
        <v>0</v>
      </c>
      <c r="H48" s="25" t="n">
        <v>0</v>
      </c>
      <c r="I48" s="25" t="n">
        <v>0</v>
      </c>
      <c r="J48" s="25" t="n">
        <v>0</v>
      </c>
      <c r="K48" s="25" t="n">
        <v>0</v>
      </c>
      <c r="L48" s="25" t="n">
        <f aca="false">SUM(F48:J48)</f>
        <v>374.4</v>
      </c>
      <c r="M48" s="25" t="n">
        <f aca="false">K48-L48</f>
        <v>-374.4</v>
      </c>
      <c r="N48" s="22" t="str">
        <f aca="false">RIGHT(A48,LEN(A48)-3)</f>
        <v>LP-0222</v>
      </c>
      <c r="O48" s="22" t="str">
        <f aca="false">IF(C48=N48,"Y","N")</f>
        <v>Y</v>
      </c>
      <c r="P48" s="22" t="str">
        <f aca="false">IFERROR(VLOOKUP(N48,'Slip Inventory'!$A$2:$R$1181,10,FALSE()),"NOT FOUND")</f>
        <v>OCCUPIED</v>
      </c>
      <c r="Q48" s="22" t="str">
        <f aca="false">IF(P48="OCCUPIED","Y","N")</f>
        <v>Y</v>
      </c>
      <c r="R48" s="25" t="n">
        <f aca="false">SUM(I48:J48)</f>
        <v>0</v>
      </c>
      <c r="S48" s="22" t="str">
        <f aca="false">IF(AND(R48&gt;0,Q48="Y"),"YES","NO")</f>
        <v>NO</v>
      </c>
      <c r="T48" s="22" t="s">
        <v>12975</v>
      </c>
      <c r="U48" s="23" t="n">
        <v>46192</v>
      </c>
      <c r="V48" s="23" t="n">
        <v>46180</v>
      </c>
      <c r="W48" s="22"/>
      <c r="X48" s="22" t="str">
        <f aca="false">IF(ABS(M48)&gt;0.005,"Reported total_due does not equal buckets",IF(O48&lt;&gt;"Y","Account/slip ID mismatch",IF(P48&lt;&gt;"OCCUPIED","Slip not occupied","OK")))</f>
        <v>Reported total_due does not equal buckets</v>
      </c>
      <c r="Y48" s="22" t="str">
        <f aca="false">IF(ABS(M48)&gt;0.005,"Priority 3","")</f>
        <v>Priority 3</v>
      </c>
    </row>
    <row r="49" customFormat="false" ht="15" hidden="false" customHeight="false" outlineLevel="0" collapsed="false">
      <c r="A49" s="22" t="s">
        <v>11494</v>
      </c>
      <c r="B49" s="22" t="s">
        <v>3698</v>
      </c>
      <c r="C49" s="22" t="s">
        <v>6717</v>
      </c>
      <c r="D49" s="22" t="s">
        <v>198</v>
      </c>
      <c r="E49" s="22" t="s">
        <v>8601</v>
      </c>
      <c r="F49" s="25" t="n">
        <v>520</v>
      </c>
      <c r="G49" s="25" t="n">
        <v>0</v>
      </c>
      <c r="H49" s="25" t="n">
        <v>0</v>
      </c>
      <c r="I49" s="25" t="n">
        <v>0</v>
      </c>
      <c r="J49" s="25" t="n">
        <v>0</v>
      </c>
      <c r="K49" s="25" t="n">
        <v>520</v>
      </c>
      <c r="L49" s="25" t="n">
        <f aca="false">SUM(F49:J49)</f>
        <v>520</v>
      </c>
      <c r="M49" s="25" t="n">
        <f aca="false">K49-L49</f>
        <v>0</v>
      </c>
      <c r="N49" s="22" t="str">
        <f aca="false">RIGHT(A49,LEN(A49)-3)</f>
        <v>LP-0223</v>
      </c>
      <c r="O49" s="22" t="str">
        <f aca="false">IF(C49=N49,"Y","N")</f>
        <v>Y</v>
      </c>
      <c r="P49" s="22" t="str">
        <f aca="false">IFERROR(VLOOKUP(N49,'Slip Inventory'!$A$2:$R$1181,10,FALSE()),"NOT FOUND")</f>
        <v>OCCUPIED</v>
      </c>
      <c r="Q49" s="22" t="str">
        <f aca="false">IF(P49="OCCUPIED","Y","N")</f>
        <v>Y</v>
      </c>
      <c r="R49" s="25" t="n">
        <f aca="false">SUM(I49:J49)</f>
        <v>0</v>
      </c>
      <c r="S49" s="22" t="str">
        <f aca="false">IF(AND(R49&gt;0,Q49="Y"),"YES","NO")</f>
        <v>NO</v>
      </c>
      <c r="T49" s="22" t="s">
        <v>12975</v>
      </c>
      <c r="U49" s="23" t="n">
        <v>46224</v>
      </c>
      <c r="V49" s="23" t="n">
        <v>46191</v>
      </c>
      <c r="W49" s="22"/>
      <c r="X49" s="22" t="str">
        <f aca="false">IF(ABS(M49)&gt;0.005,"Reported total_due does not equal buckets",IF(O49&lt;&gt;"Y","Account/slip ID mismatch",IF(P49&lt;&gt;"OCCUPIED","Slip not occupied","OK")))</f>
        <v>OK</v>
      </c>
      <c r="Y49" s="22" t="str">
        <f aca="false">IF(ABS(M49)&gt;0.005,"Priority 3","")</f>
        <v/>
      </c>
    </row>
    <row r="50" customFormat="false" ht="15" hidden="false" customHeight="false" outlineLevel="0" collapsed="false">
      <c r="A50" s="22" t="s">
        <v>11496</v>
      </c>
      <c r="B50" s="22" t="s">
        <v>898</v>
      </c>
      <c r="C50" s="22" t="s">
        <v>6720</v>
      </c>
      <c r="D50" s="22" t="s">
        <v>198</v>
      </c>
      <c r="E50" s="22" t="s">
        <v>8601</v>
      </c>
      <c r="F50" s="25" t="n">
        <v>416</v>
      </c>
      <c r="G50" s="25" t="n">
        <v>0</v>
      </c>
      <c r="H50" s="25" t="n">
        <v>0</v>
      </c>
      <c r="I50" s="25" t="n">
        <v>0</v>
      </c>
      <c r="J50" s="25" t="n">
        <v>0</v>
      </c>
      <c r="K50" s="25" t="n">
        <v>416</v>
      </c>
      <c r="L50" s="25" t="n">
        <f aca="false">SUM(F50:J50)</f>
        <v>416</v>
      </c>
      <c r="M50" s="25" t="n">
        <f aca="false">K50-L50</f>
        <v>0</v>
      </c>
      <c r="N50" s="22" t="str">
        <f aca="false">RIGHT(A50,LEN(A50)-3)</f>
        <v>LP-0224</v>
      </c>
      <c r="O50" s="22" t="str">
        <f aca="false">IF(C50=N50,"Y","N")</f>
        <v>Y</v>
      </c>
      <c r="P50" s="22" t="str">
        <f aca="false">IFERROR(VLOOKUP(N50,'Slip Inventory'!$A$2:$R$1181,10,FALSE()),"NOT FOUND")</f>
        <v>OCCUPIED</v>
      </c>
      <c r="Q50" s="22" t="str">
        <f aca="false">IF(P50="OCCUPIED","Y","N")</f>
        <v>Y</v>
      </c>
      <c r="R50" s="25" t="n">
        <f aca="false">SUM(I50:J50)</f>
        <v>0</v>
      </c>
      <c r="S50" s="22" t="str">
        <f aca="false">IF(AND(R50&gt;0,Q50="Y"),"YES","NO")</f>
        <v>NO</v>
      </c>
      <c r="T50" s="22" t="s">
        <v>12975</v>
      </c>
      <c r="U50" s="23" t="n">
        <v>46232</v>
      </c>
      <c r="V50" s="23" t="n">
        <v>46214</v>
      </c>
      <c r="W50" s="22"/>
      <c r="X50" s="22" t="str">
        <f aca="false">IF(ABS(M50)&gt;0.005,"Reported total_due does not equal buckets",IF(O50&lt;&gt;"Y","Account/slip ID mismatch",IF(P50&lt;&gt;"OCCUPIED","Slip not occupied","OK")))</f>
        <v>OK</v>
      </c>
      <c r="Y50" s="22" t="str">
        <f aca="false">IF(ABS(M50)&gt;0.005,"Priority 3","")</f>
        <v/>
      </c>
    </row>
    <row r="51" customFormat="false" ht="15" hidden="false" customHeight="false" outlineLevel="0" collapsed="false">
      <c r="A51" s="22" t="s">
        <v>11498</v>
      </c>
      <c r="B51" s="22" t="s">
        <v>5589</v>
      </c>
      <c r="C51" s="22" t="s">
        <v>6723</v>
      </c>
      <c r="D51" s="22" t="s">
        <v>198</v>
      </c>
      <c r="E51" s="22" t="s">
        <v>8601</v>
      </c>
      <c r="F51" s="25" t="n">
        <v>291.2</v>
      </c>
      <c r="G51" s="25" t="n">
        <v>0</v>
      </c>
      <c r="H51" s="25" t="n">
        <v>0</v>
      </c>
      <c r="I51" s="25" t="n">
        <v>0</v>
      </c>
      <c r="J51" s="25" t="n">
        <v>0</v>
      </c>
      <c r="K51" s="25" t="n">
        <v>0</v>
      </c>
      <c r="L51" s="25" t="n">
        <f aca="false">SUM(F51:J51)</f>
        <v>291.2</v>
      </c>
      <c r="M51" s="25" t="n">
        <f aca="false">K51-L51</f>
        <v>-291.2</v>
      </c>
      <c r="N51" s="22" t="str">
        <f aca="false">RIGHT(A51,LEN(A51)-3)</f>
        <v>LP-0301</v>
      </c>
      <c r="O51" s="22" t="str">
        <f aca="false">IF(C51=N51,"Y","N")</f>
        <v>Y</v>
      </c>
      <c r="P51" s="22" t="str">
        <f aca="false">IFERROR(VLOOKUP(N51,'Slip Inventory'!$A$2:$R$1181,10,FALSE()),"NOT FOUND")</f>
        <v>OCCUPIED</v>
      </c>
      <c r="Q51" s="22" t="str">
        <f aca="false">IF(P51="OCCUPIED","Y","N")</f>
        <v>Y</v>
      </c>
      <c r="R51" s="25" t="n">
        <f aca="false">SUM(I51:J51)</f>
        <v>0</v>
      </c>
      <c r="S51" s="22" t="str">
        <f aca="false">IF(AND(R51&gt;0,Q51="Y"),"YES","NO")</f>
        <v>NO</v>
      </c>
      <c r="T51" s="22" t="s">
        <v>12975</v>
      </c>
      <c r="U51" s="23" t="n">
        <v>46198</v>
      </c>
      <c r="V51" s="23" t="n">
        <v>46223</v>
      </c>
      <c r="W51" s="22" t="s">
        <v>12976</v>
      </c>
      <c r="X51" s="22" t="str">
        <f aca="false">IF(ABS(M51)&gt;0.005,"Reported total_due does not equal buckets",IF(O51&lt;&gt;"Y","Account/slip ID mismatch",IF(P51&lt;&gt;"OCCUPIED","Slip not occupied","OK")))</f>
        <v>Reported total_due does not equal buckets</v>
      </c>
      <c r="Y51" s="22" t="str">
        <f aca="false">IF(ABS(M51)&gt;0.005,"Priority 3","")</f>
        <v>Priority 3</v>
      </c>
    </row>
    <row r="52" customFormat="false" ht="15" hidden="false" customHeight="false" outlineLevel="0" collapsed="false">
      <c r="A52" s="22" t="s">
        <v>11500</v>
      </c>
      <c r="B52" s="22" t="s">
        <v>4831</v>
      </c>
      <c r="C52" s="22" t="s">
        <v>6727</v>
      </c>
      <c r="D52" s="22" t="s">
        <v>198</v>
      </c>
      <c r="E52" s="22" t="s">
        <v>8601</v>
      </c>
      <c r="F52" s="25" t="n">
        <v>395.2</v>
      </c>
      <c r="G52" s="25" t="n">
        <v>0</v>
      </c>
      <c r="H52" s="25" t="n">
        <v>0</v>
      </c>
      <c r="I52" s="25" t="n">
        <v>0</v>
      </c>
      <c r="J52" s="25" t="n">
        <v>0</v>
      </c>
      <c r="K52" s="25" t="n">
        <v>395.2</v>
      </c>
      <c r="L52" s="25" t="n">
        <f aca="false">SUM(F52:J52)</f>
        <v>395.2</v>
      </c>
      <c r="M52" s="25" t="n">
        <f aca="false">K52-L52</f>
        <v>0</v>
      </c>
      <c r="N52" s="22" t="str">
        <f aca="false">RIGHT(A52,LEN(A52)-3)</f>
        <v>LP-0302</v>
      </c>
      <c r="O52" s="22" t="str">
        <f aca="false">IF(C52=N52,"Y","N")</f>
        <v>Y</v>
      </c>
      <c r="P52" s="22" t="str">
        <f aca="false">IFERROR(VLOOKUP(N52,'Slip Inventory'!$A$2:$R$1181,10,FALSE()),"NOT FOUND")</f>
        <v>OCCUPIED</v>
      </c>
      <c r="Q52" s="22" t="str">
        <f aca="false">IF(P52="OCCUPIED","Y","N")</f>
        <v>Y</v>
      </c>
      <c r="R52" s="25" t="n">
        <f aca="false">SUM(I52:J52)</f>
        <v>0</v>
      </c>
      <c r="S52" s="22" t="str">
        <f aca="false">IF(AND(R52&gt;0,Q52="Y"),"YES","NO")</f>
        <v>NO</v>
      </c>
      <c r="T52" s="22" t="s">
        <v>12975</v>
      </c>
      <c r="U52" s="23" t="n">
        <v>46166</v>
      </c>
      <c r="V52" s="23" t="n">
        <v>46221</v>
      </c>
      <c r="W52" s="22"/>
      <c r="X52" s="22" t="str">
        <f aca="false">IF(ABS(M52)&gt;0.005,"Reported total_due does not equal buckets",IF(O52&lt;&gt;"Y","Account/slip ID mismatch",IF(P52&lt;&gt;"OCCUPIED","Slip not occupied","OK")))</f>
        <v>OK</v>
      </c>
      <c r="Y52" s="22" t="str">
        <f aca="false">IF(ABS(M52)&gt;0.005,"Priority 3","")</f>
        <v/>
      </c>
    </row>
    <row r="53" customFormat="false" ht="15" hidden="false" customHeight="false" outlineLevel="0" collapsed="false">
      <c r="A53" s="22" t="s">
        <v>11502</v>
      </c>
      <c r="B53" s="22" t="s">
        <v>4431</v>
      </c>
      <c r="C53" s="22" t="s">
        <v>6730</v>
      </c>
      <c r="D53" s="22" t="s">
        <v>198</v>
      </c>
      <c r="E53" s="22" t="s">
        <v>8601</v>
      </c>
      <c r="F53" s="25" t="n">
        <v>561.6</v>
      </c>
      <c r="G53" s="25" t="n">
        <v>0</v>
      </c>
      <c r="H53" s="25" t="n">
        <v>0</v>
      </c>
      <c r="I53" s="25" t="n">
        <v>0</v>
      </c>
      <c r="J53" s="25" t="n">
        <v>0</v>
      </c>
      <c r="K53" s="25" t="n">
        <v>561.6</v>
      </c>
      <c r="L53" s="25" t="n">
        <f aca="false">SUM(F53:J53)</f>
        <v>561.6</v>
      </c>
      <c r="M53" s="25" t="n">
        <f aca="false">K53-L53</f>
        <v>0</v>
      </c>
      <c r="N53" s="22" t="str">
        <f aca="false">RIGHT(A53,LEN(A53)-3)</f>
        <v>LP-0303</v>
      </c>
      <c r="O53" s="22" t="str">
        <f aca="false">IF(C53=N53,"Y","N")</f>
        <v>Y</v>
      </c>
      <c r="P53" s="22" t="str">
        <f aca="false">IFERROR(VLOOKUP(N53,'Slip Inventory'!$A$2:$R$1181,10,FALSE()),"NOT FOUND")</f>
        <v>OCCUPIED</v>
      </c>
      <c r="Q53" s="22" t="str">
        <f aca="false">IF(P53="OCCUPIED","Y","N")</f>
        <v>Y</v>
      </c>
      <c r="R53" s="25" t="n">
        <f aca="false">SUM(I53:J53)</f>
        <v>0</v>
      </c>
      <c r="S53" s="22" t="str">
        <f aca="false">IF(AND(R53&gt;0,Q53="Y"),"YES","NO")</f>
        <v>NO</v>
      </c>
      <c r="T53" s="22" t="s">
        <v>12975</v>
      </c>
      <c r="U53" s="23" t="n">
        <v>46146</v>
      </c>
      <c r="V53" s="23" t="n">
        <v>46214</v>
      </c>
      <c r="W53" s="22"/>
      <c r="X53" s="22" t="str">
        <f aca="false">IF(ABS(M53)&gt;0.005,"Reported total_due does not equal buckets",IF(O53&lt;&gt;"Y","Account/slip ID mismatch",IF(P53&lt;&gt;"OCCUPIED","Slip not occupied","OK")))</f>
        <v>OK</v>
      </c>
      <c r="Y53" s="22" t="str">
        <f aca="false">IF(ABS(M53)&gt;0.005,"Priority 3","")</f>
        <v/>
      </c>
    </row>
    <row r="54" customFormat="false" ht="15" hidden="false" customHeight="false" outlineLevel="0" collapsed="false">
      <c r="A54" s="22" t="s">
        <v>11504</v>
      </c>
      <c r="B54" s="22" t="s">
        <v>5680</v>
      </c>
      <c r="C54" s="22" t="s">
        <v>6736</v>
      </c>
      <c r="D54" s="22" t="s">
        <v>198</v>
      </c>
      <c r="E54" s="22" t="s">
        <v>8601</v>
      </c>
      <c r="F54" s="25" t="n">
        <v>332.8</v>
      </c>
      <c r="G54" s="25" t="n">
        <v>0</v>
      </c>
      <c r="H54" s="25" t="n">
        <v>0</v>
      </c>
      <c r="I54" s="25" t="n">
        <v>0</v>
      </c>
      <c r="J54" s="25" t="n">
        <v>0</v>
      </c>
      <c r="K54" s="25" t="n">
        <v>0</v>
      </c>
      <c r="L54" s="25" t="n">
        <f aca="false">SUM(F54:J54)</f>
        <v>332.8</v>
      </c>
      <c r="M54" s="25" t="n">
        <f aca="false">K54-L54</f>
        <v>-332.8</v>
      </c>
      <c r="N54" s="22" t="str">
        <f aca="false">RIGHT(A54,LEN(A54)-3)</f>
        <v>LP-0305</v>
      </c>
      <c r="O54" s="22" t="str">
        <f aca="false">IF(C54=N54,"Y","N")</f>
        <v>Y</v>
      </c>
      <c r="P54" s="22" t="str">
        <f aca="false">IFERROR(VLOOKUP(N54,'Slip Inventory'!$A$2:$R$1181,10,FALSE()),"NOT FOUND")</f>
        <v>OCCUPIED</v>
      </c>
      <c r="Q54" s="22" t="str">
        <f aca="false">IF(P54="OCCUPIED","Y","N")</f>
        <v>Y</v>
      </c>
      <c r="R54" s="25" t="n">
        <f aca="false">SUM(I54:J54)</f>
        <v>0</v>
      </c>
      <c r="S54" s="22" t="str">
        <f aca="false">IF(AND(R54&gt;0,Q54="Y"),"YES","NO")</f>
        <v>NO</v>
      </c>
      <c r="T54" s="22" t="s">
        <v>12975</v>
      </c>
      <c r="U54" s="23" t="n">
        <v>46169</v>
      </c>
      <c r="V54" s="23" t="n">
        <v>46214</v>
      </c>
      <c r="W54" s="22"/>
      <c r="X54" s="22" t="str">
        <f aca="false">IF(ABS(M54)&gt;0.005,"Reported total_due does not equal buckets",IF(O54&lt;&gt;"Y","Account/slip ID mismatch",IF(P54&lt;&gt;"OCCUPIED","Slip not occupied","OK")))</f>
        <v>Reported total_due does not equal buckets</v>
      </c>
      <c r="Y54" s="22" t="str">
        <f aca="false">IF(ABS(M54)&gt;0.005,"Priority 3","")</f>
        <v>Priority 3</v>
      </c>
    </row>
    <row r="55" customFormat="false" ht="15" hidden="false" customHeight="false" outlineLevel="0" collapsed="false">
      <c r="A55" s="22" t="s">
        <v>11506</v>
      </c>
      <c r="B55" s="22" t="s">
        <v>3391</v>
      </c>
      <c r="C55" s="22" t="s">
        <v>6739</v>
      </c>
      <c r="D55" s="22" t="s">
        <v>198</v>
      </c>
      <c r="E55" s="22" t="s">
        <v>8601</v>
      </c>
      <c r="F55" s="25" t="n">
        <v>572</v>
      </c>
      <c r="G55" s="25" t="n">
        <v>0</v>
      </c>
      <c r="H55" s="25" t="n">
        <v>0</v>
      </c>
      <c r="I55" s="25" t="n">
        <v>0</v>
      </c>
      <c r="J55" s="25" t="n">
        <v>0</v>
      </c>
      <c r="K55" s="25" t="n">
        <v>572</v>
      </c>
      <c r="L55" s="25" t="n">
        <f aca="false">SUM(F55:J55)</f>
        <v>572</v>
      </c>
      <c r="M55" s="25" t="n">
        <f aca="false">K55-L55</f>
        <v>0</v>
      </c>
      <c r="N55" s="22" t="str">
        <f aca="false">RIGHT(A55,LEN(A55)-3)</f>
        <v>LP-0306</v>
      </c>
      <c r="O55" s="22" t="str">
        <f aca="false">IF(C55=N55,"Y","N")</f>
        <v>Y</v>
      </c>
      <c r="P55" s="22" t="str">
        <f aca="false">IFERROR(VLOOKUP(N55,'Slip Inventory'!$A$2:$R$1181,10,FALSE()),"NOT FOUND")</f>
        <v>OCCUPIED</v>
      </c>
      <c r="Q55" s="22" t="str">
        <f aca="false">IF(P55="OCCUPIED","Y","N")</f>
        <v>Y</v>
      </c>
      <c r="R55" s="25" t="n">
        <f aca="false">SUM(I55:J55)</f>
        <v>0</v>
      </c>
      <c r="S55" s="22" t="str">
        <f aca="false">IF(AND(R55&gt;0,Q55="Y"),"YES","NO")</f>
        <v>NO</v>
      </c>
      <c r="T55" s="22" t="s">
        <v>12975</v>
      </c>
      <c r="U55" s="23" t="n">
        <v>46169</v>
      </c>
      <c r="V55" s="23" t="n">
        <v>46182</v>
      </c>
      <c r="W55" s="22"/>
      <c r="X55" s="22" t="str">
        <f aca="false">IF(ABS(M55)&gt;0.005,"Reported total_due does not equal buckets",IF(O55&lt;&gt;"Y","Account/slip ID mismatch",IF(P55&lt;&gt;"OCCUPIED","Slip not occupied","OK")))</f>
        <v>OK</v>
      </c>
      <c r="Y55" s="22" t="str">
        <f aca="false">IF(ABS(M55)&gt;0.005,"Priority 3","")</f>
        <v/>
      </c>
    </row>
    <row r="56" customFormat="false" ht="15" hidden="false" customHeight="false" outlineLevel="0" collapsed="false">
      <c r="A56" s="22" t="s">
        <v>11508</v>
      </c>
      <c r="B56" s="22" t="s">
        <v>5199</v>
      </c>
      <c r="C56" s="22" t="s">
        <v>6742</v>
      </c>
      <c r="D56" s="22" t="s">
        <v>198</v>
      </c>
      <c r="E56" s="22" t="s">
        <v>8601</v>
      </c>
      <c r="F56" s="25" t="n">
        <v>634.4</v>
      </c>
      <c r="G56" s="25" t="n">
        <v>0</v>
      </c>
      <c r="H56" s="25" t="n">
        <v>0</v>
      </c>
      <c r="I56" s="25" t="n">
        <v>0</v>
      </c>
      <c r="J56" s="25" t="n">
        <v>0</v>
      </c>
      <c r="K56" s="25" t="n">
        <v>634.4</v>
      </c>
      <c r="L56" s="25" t="n">
        <f aca="false">SUM(F56:J56)</f>
        <v>634.4</v>
      </c>
      <c r="M56" s="25" t="n">
        <f aca="false">K56-L56</f>
        <v>0</v>
      </c>
      <c r="N56" s="22" t="str">
        <f aca="false">RIGHT(A56,LEN(A56)-3)</f>
        <v>LP-0307</v>
      </c>
      <c r="O56" s="22" t="str">
        <f aca="false">IF(C56=N56,"Y","N")</f>
        <v>Y</v>
      </c>
      <c r="P56" s="22" t="str">
        <f aca="false">IFERROR(VLOOKUP(N56,'Slip Inventory'!$A$2:$R$1181,10,FALSE()),"NOT FOUND")</f>
        <v>OCCUPIED</v>
      </c>
      <c r="Q56" s="22" t="str">
        <f aca="false">IF(P56="OCCUPIED","Y","N")</f>
        <v>Y</v>
      </c>
      <c r="R56" s="25" t="n">
        <f aca="false">SUM(I56:J56)</f>
        <v>0</v>
      </c>
      <c r="S56" s="22" t="str">
        <f aca="false">IF(AND(R56&gt;0,Q56="Y"),"YES","NO")</f>
        <v>NO</v>
      </c>
      <c r="T56" s="22" t="s">
        <v>12975</v>
      </c>
      <c r="U56" s="23" t="n">
        <v>46219</v>
      </c>
      <c r="V56" s="23" t="n">
        <v>46210</v>
      </c>
      <c r="W56" s="22"/>
      <c r="X56" s="22" t="str">
        <f aca="false">IF(ABS(M56)&gt;0.005,"Reported total_due does not equal buckets",IF(O56&lt;&gt;"Y","Account/slip ID mismatch",IF(P56&lt;&gt;"OCCUPIED","Slip not occupied","OK")))</f>
        <v>OK</v>
      </c>
      <c r="Y56" s="22" t="str">
        <f aca="false">IF(ABS(M56)&gt;0.005,"Priority 3","")</f>
        <v/>
      </c>
    </row>
    <row r="57" customFormat="false" ht="15" hidden="false" customHeight="false" outlineLevel="0" collapsed="false">
      <c r="A57" s="22" t="s">
        <v>11510</v>
      </c>
      <c r="B57" s="22" t="s">
        <v>4497</v>
      </c>
      <c r="C57" s="22" t="s">
        <v>6747</v>
      </c>
      <c r="D57" s="22" t="s">
        <v>198</v>
      </c>
      <c r="E57" s="22" t="s">
        <v>8601</v>
      </c>
      <c r="F57" s="25" t="n">
        <v>447.2</v>
      </c>
      <c r="G57" s="25" t="n">
        <v>447.2</v>
      </c>
      <c r="H57" s="25" t="n">
        <v>0</v>
      </c>
      <c r="I57" s="25" t="n">
        <v>0</v>
      </c>
      <c r="J57" s="25" t="n">
        <v>0</v>
      </c>
      <c r="K57" s="25" t="n">
        <v>894.4</v>
      </c>
      <c r="L57" s="25" t="n">
        <f aca="false">SUM(F57:J57)</f>
        <v>894.4</v>
      </c>
      <c r="M57" s="25" t="n">
        <f aca="false">K57-L57</f>
        <v>0</v>
      </c>
      <c r="N57" s="22" t="str">
        <f aca="false">RIGHT(A57,LEN(A57)-3)</f>
        <v>LP-0309</v>
      </c>
      <c r="O57" s="22" t="str">
        <f aca="false">IF(C57=N57,"Y","N")</f>
        <v>Y</v>
      </c>
      <c r="P57" s="22" t="str">
        <f aca="false">IFERROR(VLOOKUP(N57,'Slip Inventory'!$A$2:$R$1181,10,FALSE()),"NOT FOUND")</f>
        <v>OCCUPIED</v>
      </c>
      <c r="Q57" s="22" t="str">
        <f aca="false">IF(P57="OCCUPIED","Y","N")</f>
        <v>Y</v>
      </c>
      <c r="R57" s="25" t="n">
        <f aca="false">SUM(I57:J57)</f>
        <v>0</v>
      </c>
      <c r="S57" s="22" t="str">
        <f aca="false">IF(AND(R57&gt;0,Q57="Y"),"YES","NO")</f>
        <v>NO</v>
      </c>
      <c r="T57" s="22" t="s">
        <v>12977</v>
      </c>
      <c r="U57" s="23" t="n">
        <v>46182</v>
      </c>
      <c r="V57" s="23" t="n">
        <v>46183</v>
      </c>
      <c r="W57" s="22"/>
      <c r="X57" s="22" t="str">
        <f aca="false">IF(ABS(M57)&gt;0.005,"Reported total_due does not equal buckets",IF(O57&lt;&gt;"Y","Account/slip ID mismatch",IF(P57&lt;&gt;"OCCUPIED","Slip not occupied","OK")))</f>
        <v>OK</v>
      </c>
      <c r="Y57" s="22" t="str">
        <f aca="false">IF(ABS(M57)&gt;0.005,"Priority 3","")</f>
        <v/>
      </c>
    </row>
    <row r="58" customFormat="false" ht="15" hidden="false" customHeight="false" outlineLevel="0" collapsed="false">
      <c r="A58" s="22" t="s">
        <v>11512</v>
      </c>
      <c r="B58" s="22" t="s">
        <v>1749</v>
      </c>
      <c r="C58" s="22" t="s">
        <v>6751</v>
      </c>
      <c r="D58" s="22" t="s">
        <v>198</v>
      </c>
      <c r="E58" s="22" t="s">
        <v>8601</v>
      </c>
      <c r="F58" s="25" t="n">
        <v>249.6</v>
      </c>
      <c r="G58" s="25" t="n">
        <v>0</v>
      </c>
      <c r="H58" s="25" t="n">
        <v>0</v>
      </c>
      <c r="I58" s="25" t="n">
        <v>0</v>
      </c>
      <c r="J58" s="25" t="n">
        <v>0</v>
      </c>
      <c r="K58" s="25" t="n">
        <v>249.6</v>
      </c>
      <c r="L58" s="25" t="n">
        <f aca="false">SUM(F58:J58)</f>
        <v>249.6</v>
      </c>
      <c r="M58" s="25" t="n">
        <f aca="false">K58-L58</f>
        <v>0</v>
      </c>
      <c r="N58" s="22" t="str">
        <f aca="false">RIGHT(A58,LEN(A58)-3)</f>
        <v>LP-0311</v>
      </c>
      <c r="O58" s="22" t="str">
        <f aca="false">IF(C58=N58,"Y","N")</f>
        <v>Y</v>
      </c>
      <c r="P58" s="22" t="str">
        <f aca="false">IFERROR(VLOOKUP(N58,'Slip Inventory'!$A$2:$R$1181,10,FALSE()),"NOT FOUND")</f>
        <v>OCCUPIED</v>
      </c>
      <c r="Q58" s="22" t="str">
        <f aca="false">IF(P58="OCCUPIED","Y","N")</f>
        <v>Y</v>
      </c>
      <c r="R58" s="25" t="n">
        <f aca="false">SUM(I58:J58)</f>
        <v>0</v>
      </c>
      <c r="S58" s="22" t="str">
        <f aca="false">IF(AND(R58&gt;0,Q58="Y"),"YES","NO")</f>
        <v>NO</v>
      </c>
      <c r="T58" s="22" t="s">
        <v>12975</v>
      </c>
      <c r="U58" s="23" t="n">
        <v>46211</v>
      </c>
      <c r="V58" s="23" t="n">
        <v>46179</v>
      </c>
      <c r="W58" s="22"/>
      <c r="X58" s="22" t="str">
        <f aca="false">IF(ABS(M58)&gt;0.005,"Reported total_due does not equal buckets",IF(O58&lt;&gt;"Y","Account/slip ID mismatch",IF(P58&lt;&gt;"OCCUPIED","Slip not occupied","OK")))</f>
        <v>OK</v>
      </c>
      <c r="Y58" s="22" t="str">
        <f aca="false">IF(ABS(M58)&gt;0.005,"Priority 3","")</f>
        <v/>
      </c>
    </row>
    <row r="59" customFormat="false" ht="15" hidden="false" customHeight="false" outlineLevel="0" collapsed="false">
      <c r="A59" s="22" t="s">
        <v>11514</v>
      </c>
      <c r="B59" s="22" t="s">
        <v>5406</v>
      </c>
      <c r="C59" s="22" t="s">
        <v>6754</v>
      </c>
      <c r="D59" s="22" t="s">
        <v>198</v>
      </c>
      <c r="E59" s="22" t="s">
        <v>8601</v>
      </c>
      <c r="F59" s="25" t="n">
        <v>332.8</v>
      </c>
      <c r="G59" s="25" t="n">
        <v>0</v>
      </c>
      <c r="H59" s="25" t="n">
        <v>0</v>
      </c>
      <c r="I59" s="25" t="n">
        <v>0</v>
      </c>
      <c r="J59" s="25" t="n">
        <v>0</v>
      </c>
      <c r="K59" s="25" t="n">
        <v>332.8</v>
      </c>
      <c r="L59" s="25" t="n">
        <f aca="false">SUM(F59:J59)</f>
        <v>332.8</v>
      </c>
      <c r="M59" s="25" t="n">
        <f aca="false">K59-L59</f>
        <v>0</v>
      </c>
      <c r="N59" s="22" t="str">
        <f aca="false">RIGHT(A59,LEN(A59)-3)</f>
        <v>LP-0312</v>
      </c>
      <c r="O59" s="22" t="str">
        <f aca="false">IF(C59=N59,"Y","N")</f>
        <v>Y</v>
      </c>
      <c r="P59" s="22" t="str">
        <f aca="false">IFERROR(VLOOKUP(N59,'Slip Inventory'!$A$2:$R$1181,10,FALSE()),"NOT FOUND")</f>
        <v>OCCUPIED</v>
      </c>
      <c r="Q59" s="22" t="str">
        <f aca="false">IF(P59="OCCUPIED","Y","N")</f>
        <v>Y</v>
      </c>
      <c r="R59" s="25" t="n">
        <f aca="false">SUM(I59:J59)</f>
        <v>0</v>
      </c>
      <c r="S59" s="22" t="str">
        <f aca="false">IF(AND(R59&gt;0,Q59="Y"),"YES","NO")</f>
        <v>NO</v>
      </c>
      <c r="T59" s="22" t="s">
        <v>12975</v>
      </c>
      <c r="U59" s="23" t="n">
        <v>46151</v>
      </c>
      <c r="V59" s="23" t="n">
        <v>46229</v>
      </c>
      <c r="W59" s="22"/>
      <c r="X59" s="22" t="str">
        <f aca="false">IF(ABS(M59)&gt;0.005,"Reported total_due does not equal buckets",IF(O59&lt;&gt;"Y","Account/slip ID mismatch",IF(P59&lt;&gt;"OCCUPIED","Slip not occupied","OK")))</f>
        <v>OK</v>
      </c>
      <c r="Y59" s="22" t="str">
        <f aca="false">IF(ABS(M59)&gt;0.005,"Priority 3","")</f>
        <v/>
      </c>
    </row>
    <row r="60" customFormat="false" ht="15" hidden="false" customHeight="false" outlineLevel="0" collapsed="false">
      <c r="A60" s="22" t="s">
        <v>11516</v>
      </c>
      <c r="B60" s="22" t="s">
        <v>4067</v>
      </c>
      <c r="C60" s="22" t="s">
        <v>6757</v>
      </c>
      <c r="D60" s="22" t="s">
        <v>198</v>
      </c>
      <c r="E60" s="22" t="s">
        <v>8601</v>
      </c>
      <c r="F60" s="25" t="n">
        <v>332.8</v>
      </c>
      <c r="G60" s="25" t="n">
        <v>0</v>
      </c>
      <c r="H60" s="25" t="n">
        <v>0</v>
      </c>
      <c r="I60" s="25" t="n">
        <v>0</v>
      </c>
      <c r="J60" s="25" t="n">
        <v>0</v>
      </c>
      <c r="K60" s="25" t="n">
        <v>332.8</v>
      </c>
      <c r="L60" s="25" t="n">
        <f aca="false">SUM(F60:J60)</f>
        <v>332.8</v>
      </c>
      <c r="M60" s="25" t="n">
        <f aca="false">K60-L60</f>
        <v>0</v>
      </c>
      <c r="N60" s="22" t="str">
        <f aca="false">RIGHT(A60,LEN(A60)-3)</f>
        <v>LP-0313</v>
      </c>
      <c r="O60" s="22" t="str">
        <f aca="false">IF(C60=N60,"Y","N")</f>
        <v>Y</v>
      </c>
      <c r="P60" s="22" t="str">
        <f aca="false">IFERROR(VLOOKUP(N60,'Slip Inventory'!$A$2:$R$1181,10,FALSE()),"NOT FOUND")</f>
        <v>OCCUPIED</v>
      </c>
      <c r="Q60" s="22" t="str">
        <f aca="false">IF(P60="OCCUPIED","Y","N")</f>
        <v>Y</v>
      </c>
      <c r="R60" s="25" t="n">
        <f aca="false">SUM(I60:J60)</f>
        <v>0</v>
      </c>
      <c r="S60" s="22" t="str">
        <f aca="false">IF(AND(R60&gt;0,Q60="Y"),"YES","NO")</f>
        <v>NO</v>
      </c>
      <c r="T60" s="22" t="s">
        <v>12975</v>
      </c>
      <c r="U60" s="23" t="n">
        <v>46167</v>
      </c>
      <c r="V60" s="23" t="n">
        <v>46233</v>
      </c>
      <c r="W60" s="22"/>
      <c r="X60" s="22" t="str">
        <f aca="false">IF(ABS(M60)&gt;0.005,"Reported total_due does not equal buckets",IF(O60&lt;&gt;"Y","Account/slip ID mismatch",IF(P60&lt;&gt;"OCCUPIED","Slip not occupied","OK")))</f>
        <v>OK</v>
      </c>
      <c r="Y60" s="22" t="str">
        <f aca="false">IF(ABS(M60)&gt;0.005,"Priority 3","")</f>
        <v/>
      </c>
    </row>
    <row r="61" customFormat="false" ht="15" hidden="false" customHeight="false" outlineLevel="0" collapsed="false">
      <c r="A61" s="22" t="s">
        <v>11518</v>
      </c>
      <c r="B61" s="22" t="s">
        <v>5289</v>
      </c>
      <c r="C61" s="22" t="s">
        <v>6760</v>
      </c>
      <c r="D61" s="22" t="s">
        <v>198</v>
      </c>
      <c r="E61" s="22" t="s">
        <v>8601</v>
      </c>
      <c r="F61" s="25" t="n">
        <v>332.8</v>
      </c>
      <c r="G61" s="25" t="n">
        <v>0</v>
      </c>
      <c r="H61" s="25" t="n">
        <v>0</v>
      </c>
      <c r="I61" s="25" t="n">
        <v>0</v>
      </c>
      <c r="J61" s="25" t="n">
        <v>0</v>
      </c>
      <c r="K61" s="25" t="n">
        <v>332.8</v>
      </c>
      <c r="L61" s="25" t="n">
        <f aca="false">SUM(F61:J61)</f>
        <v>332.8</v>
      </c>
      <c r="M61" s="25" t="n">
        <f aca="false">K61-L61</f>
        <v>0</v>
      </c>
      <c r="N61" s="22" t="str">
        <f aca="false">RIGHT(A61,LEN(A61)-3)</f>
        <v>LP-0314</v>
      </c>
      <c r="O61" s="22" t="str">
        <f aca="false">IF(C61=N61,"Y","N")</f>
        <v>Y</v>
      </c>
      <c r="P61" s="22" t="str">
        <f aca="false">IFERROR(VLOOKUP(N61,'Slip Inventory'!$A$2:$R$1181,10,FALSE()),"NOT FOUND")</f>
        <v>OCCUPIED</v>
      </c>
      <c r="Q61" s="22" t="str">
        <f aca="false">IF(P61="OCCUPIED","Y","N")</f>
        <v>Y</v>
      </c>
      <c r="R61" s="25" t="n">
        <f aca="false">SUM(I61:J61)</f>
        <v>0</v>
      </c>
      <c r="S61" s="22" t="str">
        <f aca="false">IF(AND(R61&gt;0,Q61="Y"),"YES","NO")</f>
        <v>NO</v>
      </c>
      <c r="T61" s="22" t="s">
        <v>12975</v>
      </c>
      <c r="U61" s="23" t="n">
        <v>46164</v>
      </c>
      <c r="V61" s="23" t="n">
        <v>46188</v>
      </c>
      <c r="W61" s="22"/>
      <c r="X61" s="22" t="str">
        <f aca="false">IF(ABS(M61)&gt;0.005,"Reported total_due does not equal buckets",IF(O61&lt;&gt;"Y","Account/slip ID mismatch",IF(P61&lt;&gt;"OCCUPIED","Slip not occupied","OK")))</f>
        <v>OK</v>
      </c>
      <c r="Y61" s="22" t="str">
        <f aca="false">IF(ABS(M61)&gt;0.005,"Priority 3","")</f>
        <v/>
      </c>
    </row>
    <row r="62" customFormat="false" ht="15" hidden="false" customHeight="false" outlineLevel="0" collapsed="false">
      <c r="A62" s="22" t="s">
        <v>11520</v>
      </c>
      <c r="B62" s="22" t="s">
        <v>4234</v>
      </c>
      <c r="C62" s="22" t="s">
        <v>6763</v>
      </c>
      <c r="D62" s="22" t="s">
        <v>198</v>
      </c>
      <c r="E62" s="22" t="s">
        <v>8601</v>
      </c>
      <c r="F62" s="25" t="n">
        <v>332.8</v>
      </c>
      <c r="G62" s="25" t="n">
        <v>0</v>
      </c>
      <c r="H62" s="25" t="n">
        <v>0</v>
      </c>
      <c r="I62" s="25" t="n">
        <v>0</v>
      </c>
      <c r="J62" s="25" t="n">
        <v>0</v>
      </c>
      <c r="K62" s="25" t="n">
        <v>0</v>
      </c>
      <c r="L62" s="25" t="n">
        <f aca="false">SUM(F62:J62)</f>
        <v>332.8</v>
      </c>
      <c r="M62" s="25" t="n">
        <f aca="false">K62-L62</f>
        <v>-332.8</v>
      </c>
      <c r="N62" s="22" t="str">
        <f aca="false">RIGHT(A62,LEN(A62)-3)</f>
        <v>LP-0315</v>
      </c>
      <c r="O62" s="22" t="str">
        <f aca="false">IF(C62=N62,"Y","N")</f>
        <v>Y</v>
      </c>
      <c r="P62" s="22" t="str">
        <f aca="false">IFERROR(VLOOKUP(N62,'Slip Inventory'!$A$2:$R$1181,10,FALSE()),"NOT FOUND")</f>
        <v>OCCUPIED</v>
      </c>
      <c r="Q62" s="22" t="str">
        <f aca="false">IF(P62="OCCUPIED","Y","N")</f>
        <v>Y</v>
      </c>
      <c r="R62" s="25" t="n">
        <f aca="false">SUM(I62:J62)</f>
        <v>0</v>
      </c>
      <c r="S62" s="22" t="str">
        <f aca="false">IF(AND(R62&gt;0,Q62="Y"),"YES","NO")</f>
        <v>NO</v>
      </c>
      <c r="T62" s="22" t="s">
        <v>12975</v>
      </c>
      <c r="U62" s="23" t="n">
        <v>46162</v>
      </c>
      <c r="V62" s="23" t="n">
        <v>46229</v>
      </c>
      <c r="W62" s="22"/>
      <c r="X62" s="22" t="str">
        <f aca="false">IF(ABS(M62)&gt;0.005,"Reported total_due does not equal buckets",IF(O62&lt;&gt;"Y","Account/slip ID mismatch",IF(P62&lt;&gt;"OCCUPIED","Slip not occupied","OK")))</f>
        <v>Reported total_due does not equal buckets</v>
      </c>
      <c r="Y62" s="22" t="str">
        <f aca="false">IF(ABS(M62)&gt;0.005,"Priority 3","")</f>
        <v>Priority 3</v>
      </c>
    </row>
    <row r="63" customFormat="false" ht="15" hidden="false" customHeight="false" outlineLevel="0" collapsed="false">
      <c r="A63" s="22" t="s">
        <v>11522</v>
      </c>
      <c r="B63" s="22" t="s">
        <v>6162</v>
      </c>
      <c r="C63" s="22" t="s">
        <v>6766</v>
      </c>
      <c r="D63" s="22" t="s">
        <v>198</v>
      </c>
      <c r="E63" s="22" t="s">
        <v>8601</v>
      </c>
      <c r="F63" s="25" t="n">
        <v>561.6</v>
      </c>
      <c r="G63" s="25" t="n">
        <v>0</v>
      </c>
      <c r="H63" s="25" t="n">
        <v>0</v>
      </c>
      <c r="I63" s="25" t="n">
        <v>0</v>
      </c>
      <c r="J63" s="25" t="n">
        <v>0</v>
      </c>
      <c r="K63" s="25" t="n">
        <v>561.6</v>
      </c>
      <c r="L63" s="25" t="n">
        <f aca="false">SUM(F63:J63)</f>
        <v>561.6</v>
      </c>
      <c r="M63" s="25" t="n">
        <f aca="false">K63-L63</f>
        <v>0</v>
      </c>
      <c r="N63" s="22" t="str">
        <f aca="false">RIGHT(A63,LEN(A63)-3)</f>
        <v>LP-0316</v>
      </c>
      <c r="O63" s="22" t="str">
        <f aca="false">IF(C63=N63,"Y","N")</f>
        <v>Y</v>
      </c>
      <c r="P63" s="22" t="str">
        <f aca="false">IFERROR(VLOOKUP(N63,'Slip Inventory'!$A$2:$R$1181,10,FALSE()),"NOT FOUND")</f>
        <v>OCCUPIED</v>
      </c>
      <c r="Q63" s="22" t="str">
        <f aca="false">IF(P63="OCCUPIED","Y","N")</f>
        <v>Y</v>
      </c>
      <c r="R63" s="25" t="n">
        <f aca="false">SUM(I63:J63)</f>
        <v>0</v>
      </c>
      <c r="S63" s="22" t="str">
        <f aca="false">IF(AND(R63&gt;0,Q63="Y"),"YES","NO")</f>
        <v>NO</v>
      </c>
      <c r="T63" s="22" t="s">
        <v>12975</v>
      </c>
      <c r="U63" s="23" t="n">
        <v>46203</v>
      </c>
      <c r="V63" s="23" t="n">
        <v>46202</v>
      </c>
      <c r="W63" s="22"/>
      <c r="X63" s="22" t="str">
        <f aca="false">IF(ABS(M63)&gt;0.005,"Reported total_due does not equal buckets",IF(O63&lt;&gt;"Y","Account/slip ID mismatch",IF(P63&lt;&gt;"OCCUPIED","Slip not occupied","OK")))</f>
        <v>OK</v>
      </c>
      <c r="Y63" s="22" t="str">
        <f aca="false">IF(ABS(M63)&gt;0.005,"Priority 3","")</f>
        <v/>
      </c>
    </row>
    <row r="64" customFormat="false" ht="15" hidden="false" customHeight="false" outlineLevel="0" collapsed="false">
      <c r="A64" s="22" t="s">
        <v>11524</v>
      </c>
      <c r="B64" s="22" t="s">
        <v>4574</v>
      </c>
      <c r="C64" s="22" t="s">
        <v>6769</v>
      </c>
      <c r="D64" s="22" t="s">
        <v>198</v>
      </c>
      <c r="E64" s="22" t="s">
        <v>8601</v>
      </c>
      <c r="F64" s="25" t="n">
        <v>416</v>
      </c>
      <c r="G64" s="25" t="n">
        <v>0</v>
      </c>
      <c r="H64" s="25" t="n">
        <v>0</v>
      </c>
      <c r="I64" s="25" t="n">
        <v>0</v>
      </c>
      <c r="J64" s="25" t="n">
        <v>0</v>
      </c>
      <c r="K64" s="25" t="n">
        <v>416</v>
      </c>
      <c r="L64" s="25" t="n">
        <f aca="false">SUM(F64:J64)</f>
        <v>416</v>
      </c>
      <c r="M64" s="25" t="n">
        <f aca="false">K64-L64</f>
        <v>0</v>
      </c>
      <c r="N64" s="22" t="str">
        <f aca="false">RIGHT(A64,LEN(A64)-3)</f>
        <v>LP-0317</v>
      </c>
      <c r="O64" s="22" t="str">
        <f aca="false">IF(C64=N64,"Y","N")</f>
        <v>Y</v>
      </c>
      <c r="P64" s="22" t="str">
        <f aca="false">IFERROR(VLOOKUP(N64,'Slip Inventory'!$A$2:$R$1181,10,FALSE()),"NOT FOUND")</f>
        <v>OCCUPIED</v>
      </c>
      <c r="Q64" s="22" t="str">
        <f aca="false">IF(P64="OCCUPIED","Y","N")</f>
        <v>Y</v>
      </c>
      <c r="R64" s="25" t="n">
        <f aca="false">SUM(I64:J64)</f>
        <v>0</v>
      </c>
      <c r="S64" s="22" t="str">
        <f aca="false">IF(AND(R64&gt;0,Q64="Y"),"YES","NO")</f>
        <v>NO</v>
      </c>
      <c r="T64" s="22" t="s">
        <v>12975</v>
      </c>
      <c r="U64" s="23" t="n">
        <v>46187</v>
      </c>
      <c r="V64" s="23" t="n">
        <v>46223</v>
      </c>
      <c r="W64" s="22"/>
      <c r="X64" s="22" t="str">
        <f aca="false">IF(ABS(M64)&gt;0.005,"Reported total_due does not equal buckets",IF(O64&lt;&gt;"Y","Account/slip ID mismatch",IF(P64&lt;&gt;"OCCUPIED","Slip not occupied","OK")))</f>
        <v>OK</v>
      </c>
      <c r="Y64" s="22" t="str">
        <f aca="false">IF(ABS(M64)&gt;0.005,"Priority 3","")</f>
        <v/>
      </c>
    </row>
    <row r="65" customFormat="false" ht="15" hidden="false" customHeight="false" outlineLevel="0" collapsed="false">
      <c r="A65" s="22" t="s">
        <v>11526</v>
      </c>
      <c r="B65" s="22" t="s">
        <v>5717</v>
      </c>
      <c r="C65" s="22" t="s">
        <v>6772</v>
      </c>
      <c r="D65" s="22" t="s">
        <v>198</v>
      </c>
      <c r="E65" s="22" t="s">
        <v>8601</v>
      </c>
      <c r="F65" s="25" t="n">
        <v>364</v>
      </c>
      <c r="G65" s="25" t="n">
        <v>0</v>
      </c>
      <c r="H65" s="25" t="n">
        <v>0</v>
      </c>
      <c r="I65" s="25" t="n">
        <v>0</v>
      </c>
      <c r="J65" s="25" t="n">
        <v>0</v>
      </c>
      <c r="K65" s="25" t="n">
        <v>364</v>
      </c>
      <c r="L65" s="25" t="n">
        <f aca="false">SUM(F65:J65)</f>
        <v>364</v>
      </c>
      <c r="M65" s="25" t="n">
        <f aca="false">K65-L65</f>
        <v>0</v>
      </c>
      <c r="N65" s="22" t="str">
        <f aca="false">RIGHT(A65,LEN(A65)-3)</f>
        <v>LP-0318</v>
      </c>
      <c r="O65" s="22" t="str">
        <f aca="false">IF(C65=N65,"Y","N")</f>
        <v>Y</v>
      </c>
      <c r="P65" s="22" t="str">
        <f aca="false">IFERROR(VLOOKUP(N65,'Slip Inventory'!$A$2:$R$1181,10,FALSE()),"NOT FOUND")</f>
        <v>OCCUPIED</v>
      </c>
      <c r="Q65" s="22" t="str">
        <f aca="false">IF(P65="OCCUPIED","Y","N")</f>
        <v>Y</v>
      </c>
      <c r="R65" s="25" t="n">
        <f aca="false">SUM(I65:J65)</f>
        <v>0</v>
      </c>
      <c r="S65" s="22" t="str">
        <f aca="false">IF(AND(R65&gt;0,Q65="Y"),"YES","NO")</f>
        <v>NO</v>
      </c>
      <c r="T65" s="22" t="s">
        <v>12975</v>
      </c>
      <c r="U65" s="23" t="n">
        <v>46206</v>
      </c>
      <c r="V65" s="23" t="n">
        <v>46182</v>
      </c>
      <c r="W65" s="22"/>
      <c r="X65" s="22" t="str">
        <f aca="false">IF(ABS(M65)&gt;0.005,"Reported total_due does not equal buckets",IF(O65&lt;&gt;"Y","Account/slip ID mismatch",IF(P65&lt;&gt;"OCCUPIED","Slip not occupied","OK")))</f>
        <v>OK</v>
      </c>
      <c r="Y65" s="22" t="str">
        <f aca="false">IF(ABS(M65)&gt;0.005,"Priority 3","")</f>
        <v/>
      </c>
    </row>
    <row r="66" customFormat="false" ht="15" hidden="false" customHeight="false" outlineLevel="0" collapsed="false">
      <c r="A66" s="22" t="s">
        <v>11528</v>
      </c>
      <c r="B66" s="22" t="s">
        <v>3760</v>
      </c>
      <c r="C66" s="22" t="s">
        <v>6776</v>
      </c>
      <c r="D66" s="22" t="s">
        <v>198</v>
      </c>
      <c r="E66" s="22" t="s">
        <v>8601</v>
      </c>
      <c r="F66" s="25" t="n">
        <v>561.6</v>
      </c>
      <c r="G66" s="25" t="n">
        <v>0</v>
      </c>
      <c r="H66" s="25" t="n">
        <v>0</v>
      </c>
      <c r="I66" s="25" t="n">
        <v>0</v>
      </c>
      <c r="J66" s="25" t="n">
        <v>0</v>
      </c>
      <c r="K66" s="25" t="n">
        <v>561.6</v>
      </c>
      <c r="L66" s="25" t="n">
        <f aca="false">SUM(F66:J66)</f>
        <v>561.6</v>
      </c>
      <c r="M66" s="25" t="n">
        <f aca="false">K66-L66</f>
        <v>0</v>
      </c>
      <c r="N66" s="22" t="str">
        <f aca="false">RIGHT(A66,LEN(A66)-3)</f>
        <v>LP-0320</v>
      </c>
      <c r="O66" s="22" t="str">
        <f aca="false">IF(C66=N66,"Y","N")</f>
        <v>Y</v>
      </c>
      <c r="P66" s="22" t="str">
        <f aca="false">IFERROR(VLOOKUP(N66,'Slip Inventory'!$A$2:$R$1181,10,FALSE()),"NOT FOUND")</f>
        <v>OCCUPIED</v>
      </c>
      <c r="Q66" s="22" t="str">
        <f aca="false">IF(P66="OCCUPIED","Y","N")</f>
        <v>Y</v>
      </c>
      <c r="R66" s="25" t="n">
        <f aca="false">SUM(I66:J66)</f>
        <v>0</v>
      </c>
      <c r="S66" s="22" t="str">
        <f aca="false">IF(AND(R66&gt;0,Q66="Y"),"YES","NO")</f>
        <v>NO</v>
      </c>
      <c r="T66" s="22" t="s">
        <v>12975</v>
      </c>
      <c r="U66" s="23" t="n">
        <v>46214</v>
      </c>
      <c r="V66" s="23" t="n">
        <v>46204</v>
      </c>
      <c r="W66" s="22"/>
      <c r="X66" s="22" t="str">
        <f aca="false">IF(ABS(M66)&gt;0.005,"Reported total_due does not equal buckets",IF(O66&lt;&gt;"Y","Account/slip ID mismatch",IF(P66&lt;&gt;"OCCUPIED","Slip not occupied","OK")))</f>
        <v>OK</v>
      </c>
      <c r="Y66" s="22" t="str">
        <f aca="false">IF(ABS(M66)&gt;0.005,"Priority 3","")</f>
        <v/>
      </c>
    </row>
    <row r="67" customFormat="false" ht="15" hidden="false" customHeight="false" outlineLevel="0" collapsed="false">
      <c r="A67" s="22" t="s">
        <v>11530</v>
      </c>
      <c r="B67" s="22" t="s">
        <v>5569</v>
      </c>
      <c r="C67" s="22" t="s">
        <v>6779</v>
      </c>
      <c r="D67" s="22" t="s">
        <v>198</v>
      </c>
      <c r="E67" s="22" t="s">
        <v>8601</v>
      </c>
      <c r="F67" s="25" t="n">
        <v>364</v>
      </c>
      <c r="G67" s="25" t="n">
        <v>0</v>
      </c>
      <c r="H67" s="25" t="n">
        <v>0</v>
      </c>
      <c r="I67" s="25" t="n">
        <v>0</v>
      </c>
      <c r="J67" s="25" t="n">
        <v>0</v>
      </c>
      <c r="K67" s="25" t="n">
        <v>364</v>
      </c>
      <c r="L67" s="25" t="n">
        <f aca="false">SUM(F67:J67)</f>
        <v>364</v>
      </c>
      <c r="M67" s="25" t="n">
        <f aca="false">K67-L67</f>
        <v>0</v>
      </c>
      <c r="N67" s="22" t="str">
        <f aca="false">RIGHT(A67,LEN(A67)-3)</f>
        <v>LP-0321</v>
      </c>
      <c r="O67" s="22" t="str">
        <f aca="false">IF(C67=N67,"Y","N")</f>
        <v>Y</v>
      </c>
      <c r="P67" s="22" t="str">
        <f aca="false">IFERROR(VLOOKUP(N67,'Slip Inventory'!$A$2:$R$1181,10,FALSE()),"NOT FOUND")</f>
        <v>OCCUPIED</v>
      </c>
      <c r="Q67" s="22" t="str">
        <f aca="false">IF(P67="OCCUPIED","Y","N")</f>
        <v>Y</v>
      </c>
      <c r="R67" s="25" t="n">
        <f aca="false">SUM(I67:J67)</f>
        <v>0</v>
      </c>
      <c r="S67" s="22" t="str">
        <f aca="false">IF(AND(R67&gt;0,Q67="Y"),"YES","NO")</f>
        <v>NO</v>
      </c>
      <c r="T67" s="22" t="s">
        <v>12975</v>
      </c>
      <c r="U67" s="23" t="n">
        <v>46174</v>
      </c>
      <c r="V67" s="23" t="n">
        <v>46209</v>
      </c>
      <c r="W67" s="22"/>
      <c r="X67" s="22" t="str">
        <f aca="false">IF(ABS(M67)&gt;0.005,"Reported total_due does not equal buckets",IF(O67&lt;&gt;"Y","Account/slip ID mismatch",IF(P67&lt;&gt;"OCCUPIED","Slip not occupied","OK")))</f>
        <v>OK</v>
      </c>
      <c r="Y67" s="22" t="str">
        <f aca="false">IF(ABS(M67)&gt;0.005,"Priority 3","")</f>
        <v/>
      </c>
    </row>
    <row r="68" customFormat="false" ht="15" hidden="false" customHeight="false" outlineLevel="0" collapsed="false">
      <c r="A68" s="22" t="s">
        <v>11532</v>
      </c>
      <c r="B68" s="22" t="s">
        <v>1623</v>
      </c>
      <c r="C68" s="22" t="s">
        <v>6782</v>
      </c>
      <c r="D68" s="22" t="s">
        <v>198</v>
      </c>
      <c r="E68" s="22" t="s">
        <v>8601</v>
      </c>
      <c r="F68" s="25" t="n">
        <v>603.2</v>
      </c>
      <c r="G68" s="25" t="n">
        <v>603.2</v>
      </c>
      <c r="H68" s="25" t="n">
        <v>603.2</v>
      </c>
      <c r="I68" s="25" t="n">
        <v>0</v>
      </c>
      <c r="J68" s="25" t="n">
        <v>0</v>
      </c>
      <c r="K68" s="25" t="n">
        <v>1809.6</v>
      </c>
      <c r="L68" s="25" t="n">
        <f aca="false">SUM(F68:J68)</f>
        <v>1809.6</v>
      </c>
      <c r="M68" s="25" t="n">
        <f aca="false">K68-L68</f>
        <v>0</v>
      </c>
      <c r="N68" s="22" t="str">
        <f aca="false">RIGHT(A68,LEN(A68)-3)</f>
        <v>LP-0322</v>
      </c>
      <c r="O68" s="22" t="str">
        <f aca="false">IF(C68=N68,"Y","N")</f>
        <v>Y</v>
      </c>
      <c r="P68" s="22" t="str">
        <f aca="false">IFERROR(VLOOKUP(N68,'Slip Inventory'!$A$2:$R$1181,10,FALSE()),"NOT FOUND")</f>
        <v>OCCUPIED</v>
      </c>
      <c r="Q68" s="22" t="str">
        <f aca="false">IF(P68="OCCUPIED","Y","N")</f>
        <v>Y</v>
      </c>
      <c r="R68" s="25" t="n">
        <f aca="false">SUM(I68:J68)</f>
        <v>0</v>
      </c>
      <c r="S68" s="22" t="str">
        <f aca="false">IF(AND(R68&gt;0,Q68="Y"),"YES","NO")</f>
        <v>NO</v>
      </c>
      <c r="T68" s="22" t="s">
        <v>12977</v>
      </c>
      <c r="U68" s="23" t="n">
        <v>46202</v>
      </c>
      <c r="V68" s="23" t="n">
        <v>46224</v>
      </c>
      <c r="W68" s="22"/>
      <c r="X68" s="22" t="str">
        <f aca="false">IF(ABS(M68)&gt;0.005,"Reported total_due does not equal buckets",IF(O68&lt;&gt;"Y","Account/slip ID mismatch",IF(P68&lt;&gt;"OCCUPIED","Slip not occupied","OK")))</f>
        <v>OK</v>
      </c>
      <c r="Y68" s="22" t="str">
        <f aca="false">IF(ABS(M68)&gt;0.005,"Priority 3","")</f>
        <v/>
      </c>
    </row>
    <row r="69" customFormat="false" ht="15" hidden="false" customHeight="false" outlineLevel="0" collapsed="false">
      <c r="A69" s="22" t="s">
        <v>11534</v>
      </c>
      <c r="B69" s="22" t="s">
        <v>3631</v>
      </c>
      <c r="C69" s="22" t="s">
        <v>6785</v>
      </c>
      <c r="D69" s="22" t="s">
        <v>198</v>
      </c>
      <c r="E69" s="22" t="s">
        <v>8601</v>
      </c>
      <c r="F69" s="25" t="n">
        <v>509.6</v>
      </c>
      <c r="G69" s="25" t="n">
        <v>0</v>
      </c>
      <c r="H69" s="25" t="n">
        <v>0</v>
      </c>
      <c r="I69" s="25" t="n">
        <v>0</v>
      </c>
      <c r="J69" s="25" t="n">
        <v>0</v>
      </c>
      <c r="K69" s="25" t="n">
        <v>509.6</v>
      </c>
      <c r="L69" s="25" t="n">
        <f aca="false">SUM(F69:J69)</f>
        <v>509.6</v>
      </c>
      <c r="M69" s="25" t="n">
        <f aca="false">K69-L69</f>
        <v>0</v>
      </c>
      <c r="N69" s="22" t="str">
        <f aca="false">RIGHT(A69,LEN(A69)-3)</f>
        <v>LP-0323</v>
      </c>
      <c r="O69" s="22" t="str">
        <f aca="false">IF(C69=N69,"Y","N")</f>
        <v>Y</v>
      </c>
      <c r="P69" s="22" t="str">
        <f aca="false">IFERROR(VLOOKUP(N69,'Slip Inventory'!$A$2:$R$1181,10,FALSE()),"NOT FOUND")</f>
        <v>OCCUPIED</v>
      </c>
      <c r="Q69" s="22" t="str">
        <f aca="false">IF(P69="OCCUPIED","Y","N")</f>
        <v>Y</v>
      </c>
      <c r="R69" s="25" t="n">
        <f aca="false">SUM(I69:J69)</f>
        <v>0</v>
      </c>
      <c r="S69" s="22" t="str">
        <f aca="false">IF(AND(R69&gt;0,Q69="Y"),"YES","NO")</f>
        <v>NO</v>
      </c>
      <c r="T69" s="22" t="s">
        <v>12975</v>
      </c>
      <c r="U69" s="23" t="n">
        <v>46190</v>
      </c>
      <c r="V69" s="23" t="n">
        <v>46203</v>
      </c>
      <c r="W69" s="22"/>
      <c r="X69" s="22" t="str">
        <f aca="false">IF(ABS(M69)&gt;0.005,"Reported total_due does not equal buckets",IF(O69&lt;&gt;"Y","Account/slip ID mismatch",IF(P69&lt;&gt;"OCCUPIED","Slip not occupied","OK")))</f>
        <v>OK</v>
      </c>
      <c r="Y69" s="22" t="str">
        <f aca="false">IF(ABS(M69)&gt;0.005,"Priority 3","")</f>
        <v/>
      </c>
    </row>
    <row r="70" customFormat="false" ht="15" hidden="false" customHeight="false" outlineLevel="0" collapsed="false">
      <c r="A70" s="22" t="s">
        <v>11536</v>
      </c>
      <c r="B70" s="22" t="s">
        <v>1407</v>
      </c>
      <c r="C70" s="22" t="s">
        <v>6787</v>
      </c>
      <c r="D70" s="22" t="s">
        <v>198</v>
      </c>
      <c r="E70" s="22" t="s">
        <v>8601</v>
      </c>
      <c r="F70" s="25" t="n">
        <v>468</v>
      </c>
      <c r="G70" s="25" t="n">
        <v>0</v>
      </c>
      <c r="H70" s="25" t="n">
        <v>0</v>
      </c>
      <c r="I70" s="25" t="n">
        <v>0</v>
      </c>
      <c r="J70" s="25" t="n">
        <v>0</v>
      </c>
      <c r="K70" s="25" t="n">
        <v>0</v>
      </c>
      <c r="L70" s="25" t="n">
        <f aca="false">SUM(F70:J70)</f>
        <v>468</v>
      </c>
      <c r="M70" s="25" t="n">
        <f aca="false">K70-L70</f>
        <v>-468</v>
      </c>
      <c r="N70" s="22" t="str">
        <f aca="false">RIGHT(A70,LEN(A70)-3)</f>
        <v>LP-0324</v>
      </c>
      <c r="O70" s="22" t="str">
        <f aca="false">IF(C70=N70,"Y","N")</f>
        <v>Y</v>
      </c>
      <c r="P70" s="22" t="str">
        <f aca="false">IFERROR(VLOOKUP(N70,'Slip Inventory'!$A$2:$R$1181,10,FALSE()),"NOT FOUND")</f>
        <v>OCCUPIED</v>
      </c>
      <c r="Q70" s="22" t="str">
        <f aca="false">IF(P70="OCCUPIED","Y","N")</f>
        <v>Y</v>
      </c>
      <c r="R70" s="25" t="n">
        <f aca="false">SUM(I70:J70)</f>
        <v>0</v>
      </c>
      <c r="S70" s="22" t="str">
        <f aca="false">IF(AND(R70&gt;0,Q70="Y"),"YES","NO")</f>
        <v>NO</v>
      </c>
      <c r="T70" s="22" t="s">
        <v>12975</v>
      </c>
      <c r="U70" s="23" t="n">
        <v>46220</v>
      </c>
      <c r="V70" s="23" t="n">
        <v>46191</v>
      </c>
      <c r="W70" s="22"/>
      <c r="X70" s="22" t="str">
        <f aca="false">IF(ABS(M70)&gt;0.005,"Reported total_due does not equal buckets",IF(O70&lt;&gt;"Y","Account/slip ID mismatch",IF(P70&lt;&gt;"OCCUPIED","Slip not occupied","OK")))</f>
        <v>Reported total_due does not equal buckets</v>
      </c>
      <c r="Y70" s="22" t="str">
        <f aca="false">IF(ABS(M70)&gt;0.005,"Priority 3","")</f>
        <v>Priority 3</v>
      </c>
    </row>
    <row r="71" customFormat="false" ht="15" hidden="false" customHeight="false" outlineLevel="0" collapsed="false">
      <c r="A71" s="22" t="s">
        <v>11538</v>
      </c>
      <c r="B71" s="22" t="s">
        <v>705</v>
      </c>
      <c r="C71" s="22" t="s">
        <v>6793</v>
      </c>
      <c r="D71" s="22" t="s">
        <v>198</v>
      </c>
      <c r="E71" s="22" t="s">
        <v>8601</v>
      </c>
      <c r="F71" s="25" t="n">
        <v>384.8</v>
      </c>
      <c r="G71" s="25" t="n">
        <v>384.8</v>
      </c>
      <c r="H71" s="25" t="n">
        <v>384.8</v>
      </c>
      <c r="I71" s="25" t="n">
        <v>384.8</v>
      </c>
      <c r="J71" s="25" t="n">
        <v>0</v>
      </c>
      <c r="K71" s="25" t="n">
        <v>1539.2</v>
      </c>
      <c r="L71" s="25" t="n">
        <f aca="false">SUM(F71:J71)</f>
        <v>1539.2</v>
      </c>
      <c r="M71" s="25" t="n">
        <f aca="false">K71-L71</f>
        <v>0</v>
      </c>
      <c r="N71" s="22" t="str">
        <f aca="false">RIGHT(A71,LEN(A71)-3)</f>
        <v>LP-0402</v>
      </c>
      <c r="O71" s="22" t="str">
        <f aca="false">IF(C71=N71,"Y","N")</f>
        <v>Y</v>
      </c>
      <c r="P71" s="22" t="str">
        <f aca="false">IFERROR(VLOOKUP(N71,'Slip Inventory'!$A$2:$R$1181,10,FALSE()),"NOT FOUND")</f>
        <v>OCCUPIED</v>
      </c>
      <c r="Q71" s="22" t="str">
        <f aca="false">IF(P71="OCCUPIED","Y","N")</f>
        <v>Y</v>
      </c>
      <c r="R71" s="25" t="n">
        <f aca="false">SUM(I71:J71)</f>
        <v>384.8</v>
      </c>
      <c r="S71" s="22" t="str">
        <f aca="false">IF(AND(R71&gt;0,Q71="Y"),"YES","NO")</f>
        <v>YES</v>
      </c>
      <c r="T71" s="22" t="s">
        <v>12978</v>
      </c>
      <c r="U71" s="23" t="n">
        <v>46214</v>
      </c>
      <c r="V71" s="23" t="n">
        <v>46191</v>
      </c>
      <c r="W71" s="22"/>
      <c r="X71" s="22" t="str">
        <f aca="false">IF(ABS(M71)&gt;0.005,"Reported total_due does not equal buckets",IF(O71&lt;&gt;"Y","Account/slip ID mismatch",IF(P71&lt;&gt;"OCCUPIED","Slip not occupied","OK")))</f>
        <v>OK</v>
      </c>
      <c r="Y71" s="22" t="str">
        <f aca="false">IF(ABS(M71)&gt;0.005,"Priority 3","")</f>
        <v/>
      </c>
    </row>
    <row r="72" customFormat="false" ht="15" hidden="false" customHeight="false" outlineLevel="0" collapsed="false">
      <c r="A72" s="22" t="s">
        <v>11540</v>
      </c>
      <c r="B72" s="22" t="s">
        <v>348</v>
      </c>
      <c r="C72" s="22" t="s">
        <v>6796</v>
      </c>
      <c r="D72" s="22" t="s">
        <v>198</v>
      </c>
      <c r="E72" s="22" t="s">
        <v>8601</v>
      </c>
      <c r="F72" s="25" t="n">
        <v>488.8</v>
      </c>
      <c r="G72" s="25" t="n">
        <v>0</v>
      </c>
      <c r="H72" s="25" t="n">
        <v>0</v>
      </c>
      <c r="I72" s="25" t="n">
        <v>0</v>
      </c>
      <c r="J72" s="25" t="n">
        <v>0</v>
      </c>
      <c r="K72" s="25" t="n">
        <v>488.8</v>
      </c>
      <c r="L72" s="25" t="n">
        <f aca="false">SUM(F72:J72)</f>
        <v>488.8</v>
      </c>
      <c r="M72" s="25" t="n">
        <f aca="false">K72-L72</f>
        <v>0</v>
      </c>
      <c r="N72" s="22" t="str">
        <f aca="false">RIGHT(A72,LEN(A72)-3)</f>
        <v>LP-0403</v>
      </c>
      <c r="O72" s="22" t="str">
        <f aca="false">IF(C72=N72,"Y","N")</f>
        <v>Y</v>
      </c>
      <c r="P72" s="22" t="str">
        <f aca="false">IFERROR(VLOOKUP(N72,'Slip Inventory'!$A$2:$R$1181,10,FALSE()),"NOT FOUND")</f>
        <v>OCCUPIED</v>
      </c>
      <c r="Q72" s="22" t="str">
        <f aca="false">IF(P72="OCCUPIED","Y","N")</f>
        <v>Y</v>
      </c>
      <c r="R72" s="25" t="n">
        <f aca="false">SUM(I72:J72)</f>
        <v>0</v>
      </c>
      <c r="S72" s="22" t="str">
        <f aca="false">IF(AND(R72&gt;0,Q72="Y"),"YES","NO")</f>
        <v>NO</v>
      </c>
      <c r="T72" s="22" t="s">
        <v>12975</v>
      </c>
      <c r="U72" s="23" t="n">
        <v>46191</v>
      </c>
      <c r="V72" s="23" t="n">
        <v>46218</v>
      </c>
      <c r="W72" s="22"/>
      <c r="X72" s="22" t="str">
        <f aca="false">IF(ABS(M72)&gt;0.005,"Reported total_due does not equal buckets",IF(O72&lt;&gt;"Y","Account/slip ID mismatch",IF(P72&lt;&gt;"OCCUPIED","Slip not occupied","OK")))</f>
        <v>OK</v>
      </c>
      <c r="Y72" s="22" t="str">
        <f aca="false">IF(ABS(M72)&gt;0.005,"Priority 3","")</f>
        <v/>
      </c>
    </row>
    <row r="73" customFormat="false" ht="15" hidden="false" customHeight="false" outlineLevel="0" collapsed="false">
      <c r="A73" s="22" t="s">
        <v>11542</v>
      </c>
      <c r="B73" s="22" t="s">
        <v>4652</v>
      </c>
      <c r="C73" s="22" t="s">
        <v>6799</v>
      </c>
      <c r="D73" s="22" t="s">
        <v>198</v>
      </c>
      <c r="E73" s="22" t="s">
        <v>8601</v>
      </c>
      <c r="F73" s="25" t="n">
        <v>291.2</v>
      </c>
      <c r="G73" s="25" t="n">
        <v>0</v>
      </c>
      <c r="H73" s="25" t="n">
        <v>0</v>
      </c>
      <c r="I73" s="25" t="n">
        <v>0</v>
      </c>
      <c r="J73" s="25" t="n">
        <v>0</v>
      </c>
      <c r="K73" s="25" t="n">
        <v>291.2</v>
      </c>
      <c r="L73" s="25" t="n">
        <f aca="false">SUM(F73:J73)</f>
        <v>291.2</v>
      </c>
      <c r="M73" s="25" t="n">
        <f aca="false">K73-L73</f>
        <v>0</v>
      </c>
      <c r="N73" s="22" t="str">
        <f aca="false">RIGHT(A73,LEN(A73)-3)</f>
        <v>LP-0404</v>
      </c>
      <c r="O73" s="22" t="str">
        <f aca="false">IF(C73=N73,"Y","N")</f>
        <v>Y</v>
      </c>
      <c r="P73" s="22" t="str">
        <f aca="false">IFERROR(VLOOKUP(N73,'Slip Inventory'!$A$2:$R$1181,10,FALSE()),"NOT FOUND")</f>
        <v>OCCUPIED</v>
      </c>
      <c r="Q73" s="22" t="str">
        <f aca="false">IF(P73="OCCUPIED","Y","N")</f>
        <v>Y</v>
      </c>
      <c r="R73" s="25" t="n">
        <f aca="false">SUM(I73:J73)</f>
        <v>0</v>
      </c>
      <c r="S73" s="22" t="str">
        <f aca="false">IF(AND(R73&gt;0,Q73="Y"),"YES","NO")</f>
        <v>NO</v>
      </c>
      <c r="T73" s="22" t="s">
        <v>12975</v>
      </c>
      <c r="U73" s="23" t="n">
        <v>46219</v>
      </c>
      <c r="V73" s="23" t="n">
        <v>46186</v>
      </c>
      <c r="W73" s="22"/>
      <c r="X73" s="22" t="str">
        <f aca="false">IF(ABS(M73)&gt;0.005,"Reported total_due does not equal buckets",IF(O73&lt;&gt;"Y","Account/slip ID mismatch",IF(P73&lt;&gt;"OCCUPIED","Slip not occupied","OK")))</f>
        <v>OK</v>
      </c>
      <c r="Y73" s="22" t="str">
        <f aca="false">IF(ABS(M73)&gt;0.005,"Priority 3","")</f>
        <v/>
      </c>
    </row>
    <row r="74" customFormat="false" ht="15" hidden="false" customHeight="false" outlineLevel="0" collapsed="false">
      <c r="A74" s="22" t="s">
        <v>11544</v>
      </c>
      <c r="B74" s="22" t="s">
        <v>2795</v>
      </c>
      <c r="C74" s="22" t="s">
        <v>6802</v>
      </c>
      <c r="D74" s="22" t="s">
        <v>198</v>
      </c>
      <c r="E74" s="22" t="s">
        <v>8601</v>
      </c>
      <c r="F74" s="25" t="n">
        <v>364</v>
      </c>
      <c r="G74" s="25" t="n">
        <v>0</v>
      </c>
      <c r="H74" s="25" t="n">
        <v>0</v>
      </c>
      <c r="I74" s="25" t="n">
        <v>0</v>
      </c>
      <c r="J74" s="25" t="n">
        <v>0</v>
      </c>
      <c r="K74" s="25" t="n">
        <v>364</v>
      </c>
      <c r="L74" s="25" t="n">
        <f aca="false">SUM(F74:J74)</f>
        <v>364</v>
      </c>
      <c r="M74" s="25" t="n">
        <f aca="false">K74-L74</f>
        <v>0</v>
      </c>
      <c r="N74" s="22" t="str">
        <f aca="false">RIGHT(A74,LEN(A74)-3)</f>
        <v>LP-0405</v>
      </c>
      <c r="O74" s="22" t="str">
        <f aca="false">IF(C74=N74,"Y","N")</f>
        <v>Y</v>
      </c>
      <c r="P74" s="22" t="str">
        <f aca="false">IFERROR(VLOOKUP(N74,'Slip Inventory'!$A$2:$R$1181,10,FALSE()),"NOT FOUND")</f>
        <v>OCCUPIED</v>
      </c>
      <c r="Q74" s="22" t="str">
        <f aca="false">IF(P74="OCCUPIED","Y","N")</f>
        <v>Y</v>
      </c>
      <c r="R74" s="25" t="n">
        <f aca="false">SUM(I74:J74)</f>
        <v>0</v>
      </c>
      <c r="S74" s="22" t="str">
        <f aca="false">IF(AND(R74&gt;0,Q74="Y"),"YES","NO")</f>
        <v>NO</v>
      </c>
      <c r="T74" s="22" t="s">
        <v>12975</v>
      </c>
      <c r="U74" s="23" t="n">
        <v>46167</v>
      </c>
      <c r="V74" s="23" t="n">
        <v>46202</v>
      </c>
      <c r="W74" s="22"/>
      <c r="X74" s="22" t="str">
        <f aca="false">IF(ABS(M74)&gt;0.005,"Reported total_due does not equal buckets",IF(O74&lt;&gt;"Y","Account/slip ID mismatch",IF(P74&lt;&gt;"OCCUPIED","Slip not occupied","OK")))</f>
        <v>OK</v>
      </c>
      <c r="Y74" s="22" t="str">
        <f aca="false">IF(ABS(M74)&gt;0.005,"Priority 3","")</f>
        <v/>
      </c>
    </row>
    <row r="75" customFormat="false" ht="15" hidden="false" customHeight="false" outlineLevel="0" collapsed="false">
      <c r="A75" s="22" t="s">
        <v>11546</v>
      </c>
      <c r="B75" s="22" t="s">
        <v>3212</v>
      </c>
      <c r="C75" s="22" t="s">
        <v>6805</v>
      </c>
      <c r="D75" s="22" t="s">
        <v>198</v>
      </c>
      <c r="E75" s="22" t="s">
        <v>8601</v>
      </c>
      <c r="F75" s="25" t="n">
        <v>624</v>
      </c>
      <c r="G75" s="25" t="n">
        <v>0</v>
      </c>
      <c r="H75" s="25" t="n">
        <v>0</v>
      </c>
      <c r="I75" s="25" t="n">
        <v>0</v>
      </c>
      <c r="J75" s="25" t="n">
        <v>0</v>
      </c>
      <c r="K75" s="25" t="n">
        <v>624</v>
      </c>
      <c r="L75" s="25" t="n">
        <f aca="false">SUM(F75:J75)</f>
        <v>624</v>
      </c>
      <c r="M75" s="25" t="n">
        <f aca="false">K75-L75</f>
        <v>0</v>
      </c>
      <c r="N75" s="22" t="str">
        <f aca="false">RIGHT(A75,LEN(A75)-3)</f>
        <v>LP-0406</v>
      </c>
      <c r="O75" s="22" t="str">
        <f aca="false">IF(C75=N75,"Y","N")</f>
        <v>Y</v>
      </c>
      <c r="P75" s="22" t="str">
        <f aca="false">IFERROR(VLOOKUP(N75,'Slip Inventory'!$A$2:$R$1181,10,FALSE()),"NOT FOUND")</f>
        <v>OCCUPIED</v>
      </c>
      <c r="Q75" s="22" t="str">
        <f aca="false">IF(P75="OCCUPIED","Y","N")</f>
        <v>Y</v>
      </c>
      <c r="R75" s="25" t="n">
        <f aca="false">SUM(I75:J75)</f>
        <v>0</v>
      </c>
      <c r="S75" s="22" t="str">
        <f aca="false">IF(AND(R75&gt;0,Q75="Y"),"YES","NO")</f>
        <v>NO</v>
      </c>
      <c r="T75" s="22" t="s">
        <v>12975</v>
      </c>
      <c r="U75" s="23" t="n">
        <v>46222</v>
      </c>
      <c r="V75" s="23" t="n">
        <v>46195</v>
      </c>
      <c r="W75" s="22"/>
      <c r="X75" s="22" t="str">
        <f aca="false">IF(ABS(M75)&gt;0.005,"Reported total_due does not equal buckets",IF(O75&lt;&gt;"Y","Account/slip ID mismatch",IF(P75&lt;&gt;"OCCUPIED","Slip not occupied","OK")))</f>
        <v>OK</v>
      </c>
      <c r="Y75" s="22" t="str">
        <f aca="false">IF(ABS(M75)&gt;0.005,"Priority 3","")</f>
        <v/>
      </c>
    </row>
    <row r="76" customFormat="false" ht="15" hidden="false" customHeight="false" outlineLevel="0" collapsed="false">
      <c r="A76" s="22" t="s">
        <v>11548</v>
      </c>
      <c r="B76" s="22" t="s">
        <v>3363</v>
      </c>
      <c r="C76" s="22" t="s">
        <v>6808</v>
      </c>
      <c r="D76" s="22" t="s">
        <v>198</v>
      </c>
      <c r="E76" s="22" t="s">
        <v>8601</v>
      </c>
      <c r="F76" s="25" t="n">
        <v>405.6</v>
      </c>
      <c r="G76" s="25" t="n">
        <v>0</v>
      </c>
      <c r="H76" s="25" t="n">
        <v>0</v>
      </c>
      <c r="I76" s="25" t="n">
        <v>0</v>
      </c>
      <c r="J76" s="25" t="n">
        <v>0</v>
      </c>
      <c r="K76" s="25" t="n">
        <v>405.6</v>
      </c>
      <c r="L76" s="25" t="n">
        <f aca="false">SUM(F76:J76)</f>
        <v>405.6</v>
      </c>
      <c r="M76" s="25" t="n">
        <f aca="false">K76-L76</f>
        <v>0</v>
      </c>
      <c r="N76" s="22" t="str">
        <f aca="false">RIGHT(A76,LEN(A76)-3)</f>
        <v>LP-0407</v>
      </c>
      <c r="O76" s="22" t="str">
        <f aca="false">IF(C76=N76,"Y","N")</f>
        <v>Y</v>
      </c>
      <c r="P76" s="22" t="str">
        <f aca="false">IFERROR(VLOOKUP(N76,'Slip Inventory'!$A$2:$R$1181,10,FALSE()),"NOT FOUND")</f>
        <v>OCCUPIED</v>
      </c>
      <c r="Q76" s="22" t="str">
        <f aca="false">IF(P76="OCCUPIED","Y","N")</f>
        <v>Y</v>
      </c>
      <c r="R76" s="25" t="n">
        <f aca="false">SUM(I76:J76)</f>
        <v>0</v>
      </c>
      <c r="S76" s="22" t="str">
        <f aca="false">IF(AND(R76&gt;0,Q76="Y"),"YES","NO")</f>
        <v>NO</v>
      </c>
      <c r="T76" s="22" t="s">
        <v>12975</v>
      </c>
      <c r="U76" s="23" t="n">
        <v>46189</v>
      </c>
      <c r="V76" s="23" t="n">
        <v>46206</v>
      </c>
      <c r="W76" s="22"/>
      <c r="X76" s="22" t="str">
        <f aca="false">IF(ABS(M76)&gt;0.005,"Reported total_due does not equal buckets",IF(O76&lt;&gt;"Y","Account/slip ID mismatch",IF(P76&lt;&gt;"OCCUPIED","Slip not occupied","OK")))</f>
        <v>OK</v>
      </c>
      <c r="Y76" s="22" t="str">
        <f aca="false">IF(ABS(M76)&gt;0.005,"Priority 3","")</f>
        <v/>
      </c>
    </row>
    <row r="77" customFormat="false" ht="15" hidden="false" customHeight="false" outlineLevel="0" collapsed="false">
      <c r="A77" s="22" t="s">
        <v>11550</v>
      </c>
      <c r="B77" s="22" t="s">
        <v>5191</v>
      </c>
      <c r="C77" s="22" t="s">
        <v>6811</v>
      </c>
      <c r="D77" s="22" t="s">
        <v>198</v>
      </c>
      <c r="E77" s="22" t="s">
        <v>8601</v>
      </c>
      <c r="F77" s="25" t="n">
        <v>416</v>
      </c>
      <c r="G77" s="25" t="n">
        <v>0</v>
      </c>
      <c r="H77" s="25" t="n">
        <v>0</v>
      </c>
      <c r="I77" s="25" t="n">
        <v>0</v>
      </c>
      <c r="J77" s="25" t="n">
        <v>0</v>
      </c>
      <c r="K77" s="25" t="n">
        <v>416</v>
      </c>
      <c r="L77" s="25" t="n">
        <f aca="false">SUM(F77:J77)</f>
        <v>416</v>
      </c>
      <c r="M77" s="25" t="n">
        <f aca="false">K77-L77</f>
        <v>0</v>
      </c>
      <c r="N77" s="22" t="str">
        <f aca="false">RIGHT(A77,LEN(A77)-3)</f>
        <v>LP-0408</v>
      </c>
      <c r="O77" s="22" t="str">
        <f aca="false">IF(C77=N77,"Y","N")</f>
        <v>Y</v>
      </c>
      <c r="P77" s="22" t="str">
        <f aca="false">IFERROR(VLOOKUP(N77,'Slip Inventory'!$A$2:$R$1181,10,FALSE()),"NOT FOUND")</f>
        <v>OCCUPIED</v>
      </c>
      <c r="Q77" s="22" t="str">
        <f aca="false">IF(P77="OCCUPIED","Y","N")</f>
        <v>Y</v>
      </c>
      <c r="R77" s="25" t="n">
        <f aca="false">SUM(I77:J77)</f>
        <v>0</v>
      </c>
      <c r="S77" s="22" t="str">
        <f aca="false">IF(AND(R77&gt;0,Q77="Y"),"YES","NO")</f>
        <v>NO</v>
      </c>
      <c r="T77" s="22" t="s">
        <v>12975</v>
      </c>
      <c r="U77" s="23" t="n">
        <v>46184</v>
      </c>
      <c r="V77" s="23" t="n">
        <v>46193</v>
      </c>
      <c r="W77" s="22"/>
      <c r="X77" s="22" t="str">
        <f aca="false">IF(ABS(M77)&gt;0.005,"Reported total_due does not equal buckets",IF(O77&lt;&gt;"Y","Account/slip ID mismatch",IF(P77&lt;&gt;"OCCUPIED","Slip not occupied","OK")))</f>
        <v>OK</v>
      </c>
      <c r="Y77" s="22" t="str">
        <f aca="false">IF(ABS(M77)&gt;0.005,"Priority 3","")</f>
        <v/>
      </c>
    </row>
    <row r="78" customFormat="false" ht="15" hidden="false" customHeight="false" outlineLevel="0" collapsed="false">
      <c r="A78" s="22" t="s">
        <v>11552</v>
      </c>
      <c r="B78" s="22" t="s">
        <v>4093</v>
      </c>
      <c r="C78" s="22" t="s">
        <v>6814</v>
      </c>
      <c r="D78" s="22" t="s">
        <v>198</v>
      </c>
      <c r="E78" s="22" t="s">
        <v>8601</v>
      </c>
      <c r="F78" s="25" t="n">
        <v>509.6</v>
      </c>
      <c r="G78" s="25" t="n">
        <v>0</v>
      </c>
      <c r="H78" s="25" t="n">
        <v>0</v>
      </c>
      <c r="I78" s="25" t="n">
        <v>0</v>
      </c>
      <c r="J78" s="25" t="n">
        <v>0</v>
      </c>
      <c r="K78" s="25" t="n">
        <v>0</v>
      </c>
      <c r="L78" s="25" t="n">
        <f aca="false">SUM(F78:J78)</f>
        <v>509.6</v>
      </c>
      <c r="M78" s="25" t="n">
        <f aca="false">K78-L78</f>
        <v>-509.6</v>
      </c>
      <c r="N78" s="22" t="str">
        <f aca="false">RIGHT(A78,LEN(A78)-3)</f>
        <v>LP-0409</v>
      </c>
      <c r="O78" s="22" t="str">
        <f aca="false">IF(C78=N78,"Y","N")</f>
        <v>Y</v>
      </c>
      <c r="P78" s="22" t="str">
        <f aca="false">IFERROR(VLOOKUP(N78,'Slip Inventory'!$A$2:$R$1181,10,FALSE()),"NOT FOUND")</f>
        <v>OCCUPIED</v>
      </c>
      <c r="Q78" s="22" t="str">
        <f aca="false">IF(P78="OCCUPIED","Y","N")</f>
        <v>Y</v>
      </c>
      <c r="R78" s="25" t="n">
        <f aca="false">SUM(I78:J78)</f>
        <v>0</v>
      </c>
      <c r="S78" s="22" t="str">
        <f aca="false">IF(AND(R78&gt;0,Q78="Y"),"YES","NO")</f>
        <v>NO</v>
      </c>
      <c r="T78" s="22" t="s">
        <v>12975</v>
      </c>
      <c r="U78" s="23" t="n">
        <v>46155</v>
      </c>
      <c r="V78" s="23" t="n">
        <v>46228</v>
      </c>
      <c r="W78" s="22"/>
      <c r="X78" s="22" t="str">
        <f aca="false">IF(ABS(M78)&gt;0.005,"Reported total_due does not equal buckets",IF(O78&lt;&gt;"Y","Account/slip ID mismatch",IF(P78&lt;&gt;"OCCUPIED","Slip not occupied","OK")))</f>
        <v>Reported total_due does not equal buckets</v>
      </c>
      <c r="Y78" s="22" t="str">
        <f aca="false">IF(ABS(M78)&gt;0.005,"Priority 3","")</f>
        <v>Priority 3</v>
      </c>
    </row>
    <row r="79" customFormat="false" ht="15" hidden="false" customHeight="false" outlineLevel="0" collapsed="false">
      <c r="A79" s="22" t="s">
        <v>11554</v>
      </c>
      <c r="B79" s="22" t="s">
        <v>3616</v>
      </c>
      <c r="C79" s="22" t="s">
        <v>6817</v>
      </c>
      <c r="D79" s="22" t="s">
        <v>198</v>
      </c>
      <c r="E79" s="22" t="s">
        <v>8601</v>
      </c>
      <c r="F79" s="25" t="n">
        <v>416</v>
      </c>
      <c r="G79" s="25" t="n">
        <v>0</v>
      </c>
      <c r="H79" s="25" t="n">
        <v>0</v>
      </c>
      <c r="I79" s="25" t="n">
        <v>0</v>
      </c>
      <c r="J79" s="25" t="n">
        <v>0</v>
      </c>
      <c r="K79" s="25" t="n">
        <v>416</v>
      </c>
      <c r="L79" s="25" t="n">
        <f aca="false">SUM(F79:J79)</f>
        <v>416</v>
      </c>
      <c r="M79" s="25" t="n">
        <f aca="false">K79-L79</f>
        <v>0</v>
      </c>
      <c r="N79" s="22" t="str">
        <f aca="false">RIGHT(A79,LEN(A79)-3)</f>
        <v>LP-0410</v>
      </c>
      <c r="O79" s="22" t="str">
        <f aca="false">IF(C79=N79,"Y","N")</f>
        <v>Y</v>
      </c>
      <c r="P79" s="22" t="str">
        <f aca="false">IFERROR(VLOOKUP(N79,'Slip Inventory'!$A$2:$R$1181,10,FALSE()),"NOT FOUND")</f>
        <v>OCCUPIED</v>
      </c>
      <c r="Q79" s="22" t="str">
        <f aca="false">IF(P79="OCCUPIED","Y","N")</f>
        <v>Y</v>
      </c>
      <c r="R79" s="25" t="n">
        <f aca="false">SUM(I79:J79)</f>
        <v>0</v>
      </c>
      <c r="S79" s="22" t="str">
        <f aca="false">IF(AND(R79&gt;0,Q79="Y"),"YES","NO")</f>
        <v>NO</v>
      </c>
      <c r="T79" s="22" t="s">
        <v>12975</v>
      </c>
      <c r="U79" s="23" t="n">
        <v>46200</v>
      </c>
      <c r="V79" s="23" t="n">
        <v>46185</v>
      </c>
      <c r="W79" s="22"/>
      <c r="X79" s="22" t="str">
        <f aca="false">IF(ABS(M79)&gt;0.005,"Reported total_due does not equal buckets",IF(O79&lt;&gt;"Y","Account/slip ID mismatch",IF(P79&lt;&gt;"OCCUPIED","Slip not occupied","OK")))</f>
        <v>OK</v>
      </c>
      <c r="Y79" s="22" t="str">
        <f aca="false">IF(ABS(M79)&gt;0.005,"Priority 3","")</f>
        <v/>
      </c>
    </row>
    <row r="80" customFormat="false" ht="15" hidden="false" customHeight="false" outlineLevel="0" collapsed="false">
      <c r="A80" s="22" t="s">
        <v>11556</v>
      </c>
      <c r="B80" s="22" t="s">
        <v>2487</v>
      </c>
      <c r="C80" s="22" t="s">
        <v>6820</v>
      </c>
      <c r="D80" s="22" t="s">
        <v>198</v>
      </c>
      <c r="E80" s="22" t="s">
        <v>8601</v>
      </c>
      <c r="F80" s="25" t="n">
        <v>260</v>
      </c>
      <c r="G80" s="25" t="n">
        <v>0</v>
      </c>
      <c r="H80" s="25" t="n">
        <v>0</v>
      </c>
      <c r="I80" s="25" t="n">
        <v>0</v>
      </c>
      <c r="J80" s="25" t="n">
        <v>0</v>
      </c>
      <c r="K80" s="25" t="n">
        <v>260</v>
      </c>
      <c r="L80" s="25" t="n">
        <f aca="false">SUM(F80:J80)</f>
        <v>260</v>
      </c>
      <c r="M80" s="25" t="n">
        <f aca="false">K80-L80</f>
        <v>0</v>
      </c>
      <c r="N80" s="22" t="str">
        <f aca="false">RIGHT(A80,LEN(A80)-3)</f>
        <v>LP-0411</v>
      </c>
      <c r="O80" s="22" t="str">
        <f aca="false">IF(C80=N80,"Y","N")</f>
        <v>Y</v>
      </c>
      <c r="P80" s="22" t="str">
        <f aca="false">IFERROR(VLOOKUP(N80,'Slip Inventory'!$A$2:$R$1181,10,FALSE()),"NOT FOUND")</f>
        <v>OCCUPIED</v>
      </c>
      <c r="Q80" s="22" t="str">
        <f aca="false">IF(P80="OCCUPIED","Y","N")</f>
        <v>Y</v>
      </c>
      <c r="R80" s="25" t="n">
        <f aca="false">SUM(I80:J80)</f>
        <v>0</v>
      </c>
      <c r="S80" s="22" t="str">
        <f aca="false">IF(AND(R80&gt;0,Q80="Y"),"YES","NO")</f>
        <v>NO</v>
      </c>
      <c r="T80" s="22" t="s">
        <v>12975</v>
      </c>
      <c r="U80" s="23" t="n">
        <v>46195</v>
      </c>
      <c r="V80" s="23" t="n">
        <v>46190</v>
      </c>
      <c r="W80" s="22"/>
      <c r="X80" s="22" t="str">
        <f aca="false">IF(ABS(M80)&gt;0.005,"Reported total_due does not equal buckets",IF(O80&lt;&gt;"Y","Account/slip ID mismatch",IF(P80&lt;&gt;"OCCUPIED","Slip not occupied","OK")))</f>
        <v>OK</v>
      </c>
      <c r="Y80" s="22" t="str">
        <f aca="false">IF(ABS(M80)&gt;0.005,"Priority 3","")</f>
        <v/>
      </c>
    </row>
    <row r="81" customFormat="false" ht="15" hidden="false" customHeight="false" outlineLevel="0" collapsed="false">
      <c r="A81" s="22" t="s">
        <v>11558</v>
      </c>
      <c r="B81" s="22" t="s">
        <v>843</v>
      </c>
      <c r="C81" s="22" t="s">
        <v>6823</v>
      </c>
      <c r="D81" s="22" t="s">
        <v>198</v>
      </c>
      <c r="E81" s="22" t="s">
        <v>8601</v>
      </c>
      <c r="F81" s="25" t="n">
        <v>436.8</v>
      </c>
      <c r="G81" s="25" t="n">
        <v>0</v>
      </c>
      <c r="H81" s="25" t="n">
        <v>0</v>
      </c>
      <c r="I81" s="25" t="n">
        <v>0</v>
      </c>
      <c r="J81" s="25" t="n">
        <v>0</v>
      </c>
      <c r="K81" s="25" t="n">
        <v>436.8</v>
      </c>
      <c r="L81" s="25" t="n">
        <f aca="false">SUM(F81:J81)</f>
        <v>436.8</v>
      </c>
      <c r="M81" s="25" t="n">
        <f aca="false">K81-L81</f>
        <v>0</v>
      </c>
      <c r="N81" s="22" t="str">
        <f aca="false">RIGHT(A81,LEN(A81)-3)</f>
        <v>LP-0412</v>
      </c>
      <c r="O81" s="22" t="str">
        <f aca="false">IF(C81=N81,"Y","N")</f>
        <v>Y</v>
      </c>
      <c r="P81" s="22" t="str">
        <f aca="false">IFERROR(VLOOKUP(N81,'Slip Inventory'!$A$2:$R$1181,10,FALSE()),"NOT FOUND")</f>
        <v>OCCUPIED</v>
      </c>
      <c r="Q81" s="22" t="str">
        <f aca="false">IF(P81="OCCUPIED","Y","N")</f>
        <v>Y</v>
      </c>
      <c r="R81" s="25" t="n">
        <f aca="false">SUM(I81:J81)</f>
        <v>0</v>
      </c>
      <c r="S81" s="22" t="str">
        <f aca="false">IF(AND(R81&gt;0,Q81="Y"),"YES","NO")</f>
        <v>NO</v>
      </c>
      <c r="T81" s="22" t="s">
        <v>12975</v>
      </c>
      <c r="U81" s="23" t="n">
        <v>46205</v>
      </c>
      <c r="V81" s="23" t="n">
        <v>46189</v>
      </c>
      <c r="W81" s="22"/>
      <c r="X81" s="22" t="str">
        <f aca="false">IF(ABS(M81)&gt;0.005,"Reported total_due does not equal buckets",IF(O81&lt;&gt;"Y","Account/slip ID mismatch",IF(P81&lt;&gt;"OCCUPIED","Slip not occupied","OK")))</f>
        <v>OK</v>
      </c>
      <c r="Y81" s="22" t="str">
        <f aca="false">IF(ABS(M81)&gt;0.005,"Priority 3","")</f>
        <v/>
      </c>
    </row>
    <row r="82" customFormat="false" ht="15" hidden="false" customHeight="false" outlineLevel="0" collapsed="false">
      <c r="A82" s="22" t="s">
        <v>11560</v>
      </c>
      <c r="B82" s="22" t="s">
        <v>3891</v>
      </c>
      <c r="C82" s="22" t="s">
        <v>6826</v>
      </c>
      <c r="D82" s="22" t="s">
        <v>198</v>
      </c>
      <c r="E82" s="22" t="s">
        <v>8601</v>
      </c>
      <c r="F82" s="25" t="n">
        <v>291.2</v>
      </c>
      <c r="G82" s="25" t="n">
        <v>0</v>
      </c>
      <c r="H82" s="25" t="n">
        <v>0</v>
      </c>
      <c r="I82" s="25" t="n">
        <v>0</v>
      </c>
      <c r="J82" s="25" t="n">
        <v>0</v>
      </c>
      <c r="K82" s="25" t="n">
        <v>291.2</v>
      </c>
      <c r="L82" s="25" t="n">
        <f aca="false">SUM(F82:J82)</f>
        <v>291.2</v>
      </c>
      <c r="M82" s="25" t="n">
        <f aca="false">K82-L82</f>
        <v>0</v>
      </c>
      <c r="N82" s="22" t="str">
        <f aca="false">RIGHT(A82,LEN(A82)-3)</f>
        <v>LP-0413</v>
      </c>
      <c r="O82" s="22" t="str">
        <f aca="false">IF(C82=N82,"Y","N")</f>
        <v>Y</v>
      </c>
      <c r="P82" s="22" t="str">
        <f aca="false">IFERROR(VLOOKUP(N82,'Slip Inventory'!$A$2:$R$1181,10,FALSE()),"NOT FOUND")</f>
        <v>OCCUPIED</v>
      </c>
      <c r="Q82" s="22" t="str">
        <f aca="false">IF(P82="OCCUPIED","Y","N")</f>
        <v>Y</v>
      </c>
      <c r="R82" s="25" t="n">
        <f aca="false">SUM(I82:J82)</f>
        <v>0</v>
      </c>
      <c r="S82" s="22" t="str">
        <f aca="false">IF(AND(R82&gt;0,Q82="Y"),"YES","NO")</f>
        <v>NO</v>
      </c>
      <c r="T82" s="22" t="s">
        <v>12975</v>
      </c>
      <c r="U82" s="23" t="n">
        <v>46213</v>
      </c>
      <c r="V82" s="23" t="n">
        <v>46185</v>
      </c>
      <c r="W82" s="22"/>
      <c r="X82" s="22" t="str">
        <f aca="false">IF(ABS(M82)&gt;0.005,"Reported total_due does not equal buckets",IF(O82&lt;&gt;"Y","Account/slip ID mismatch",IF(P82&lt;&gt;"OCCUPIED","Slip not occupied","OK")))</f>
        <v>OK</v>
      </c>
      <c r="Y82" s="22" t="str">
        <f aca="false">IF(ABS(M82)&gt;0.005,"Priority 3","")</f>
        <v/>
      </c>
    </row>
    <row r="83" customFormat="false" ht="15" hidden="false" customHeight="false" outlineLevel="0" collapsed="false">
      <c r="A83" s="22" t="s">
        <v>11562</v>
      </c>
      <c r="B83" s="22" t="s">
        <v>6549</v>
      </c>
      <c r="C83" s="22" t="s">
        <v>6831</v>
      </c>
      <c r="D83" s="22" t="s">
        <v>198</v>
      </c>
      <c r="E83" s="22" t="s">
        <v>8601</v>
      </c>
      <c r="F83" s="25" t="n">
        <v>374.4</v>
      </c>
      <c r="G83" s="25" t="n">
        <v>0</v>
      </c>
      <c r="H83" s="25" t="n">
        <v>0</v>
      </c>
      <c r="I83" s="25" t="n">
        <v>0</v>
      </c>
      <c r="J83" s="25" t="n">
        <v>0</v>
      </c>
      <c r="K83" s="25" t="n">
        <v>374.4</v>
      </c>
      <c r="L83" s="25" t="n">
        <f aca="false">SUM(F83:J83)</f>
        <v>374.4</v>
      </c>
      <c r="M83" s="25" t="n">
        <f aca="false">K83-L83</f>
        <v>0</v>
      </c>
      <c r="N83" s="22" t="str">
        <f aca="false">RIGHT(A83,LEN(A83)-3)</f>
        <v>LP-0415</v>
      </c>
      <c r="O83" s="22" t="str">
        <f aca="false">IF(C83=N83,"Y","N")</f>
        <v>Y</v>
      </c>
      <c r="P83" s="22" t="str">
        <f aca="false">IFERROR(VLOOKUP(N83,'Slip Inventory'!$A$2:$R$1181,10,FALSE()),"NOT FOUND")</f>
        <v>OCCUPIED</v>
      </c>
      <c r="Q83" s="22" t="str">
        <f aca="false">IF(P83="OCCUPIED","Y","N")</f>
        <v>Y</v>
      </c>
      <c r="R83" s="25" t="n">
        <f aca="false">SUM(I83:J83)</f>
        <v>0</v>
      </c>
      <c r="S83" s="22" t="str">
        <f aca="false">IF(AND(R83&gt;0,Q83="Y"),"YES","NO")</f>
        <v>NO</v>
      </c>
      <c r="T83" s="22" t="s">
        <v>12975</v>
      </c>
      <c r="U83" s="23" t="n">
        <v>46153</v>
      </c>
      <c r="V83" s="23" t="n">
        <v>46197</v>
      </c>
      <c r="W83" s="22"/>
      <c r="X83" s="22" t="str">
        <f aca="false">IF(ABS(M83)&gt;0.005,"Reported total_due does not equal buckets",IF(O83&lt;&gt;"Y","Account/slip ID mismatch",IF(P83&lt;&gt;"OCCUPIED","Slip not occupied","OK")))</f>
        <v>OK</v>
      </c>
      <c r="Y83" s="22" t="str">
        <f aca="false">IF(ABS(M83)&gt;0.005,"Priority 3","")</f>
        <v/>
      </c>
    </row>
    <row r="84" customFormat="false" ht="15" hidden="false" customHeight="false" outlineLevel="0" collapsed="false">
      <c r="A84" s="22" t="s">
        <v>11564</v>
      </c>
      <c r="B84" s="22" t="s">
        <v>1970</v>
      </c>
      <c r="C84" s="22" t="s">
        <v>6834</v>
      </c>
      <c r="D84" s="22" t="s">
        <v>198</v>
      </c>
      <c r="E84" s="22" t="s">
        <v>8601</v>
      </c>
      <c r="F84" s="25" t="n">
        <v>499.2</v>
      </c>
      <c r="G84" s="25" t="n">
        <v>0</v>
      </c>
      <c r="H84" s="25" t="n">
        <v>0</v>
      </c>
      <c r="I84" s="25" t="n">
        <v>0</v>
      </c>
      <c r="J84" s="25" t="n">
        <v>0</v>
      </c>
      <c r="K84" s="25" t="n">
        <v>0</v>
      </c>
      <c r="L84" s="25" t="n">
        <f aca="false">SUM(F84:J84)</f>
        <v>499.2</v>
      </c>
      <c r="M84" s="25" t="n">
        <f aca="false">K84-L84</f>
        <v>-499.2</v>
      </c>
      <c r="N84" s="22" t="str">
        <f aca="false">RIGHT(A84,LEN(A84)-3)</f>
        <v>LP-0416</v>
      </c>
      <c r="O84" s="22" t="str">
        <f aca="false">IF(C84=N84,"Y","N")</f>
        <v>Y</v>
      </c>
      <c r="P84" s="22" t="str">
        <f aca="false">IFERROR(VLOOKUP(N84,'Slip Inventory'!$A$2:$R$1181,10,FALSE()),"NOT FOUND")</f>
        <v>OCCUPIED</v>
      </c>
      <c r="Q84" s="22" t="str">
        <f aca="false">IF(P84="OCCUPIED","Y","N")</f>
        <v>Y</v>
      </c>
      <c r="R84" s="25" t="n">
        <f aca="false">SUM(I84:J84)</f>
        <v>0</v>
      </c>
      <c r="S84" s="22" t="str">
        <f aca="false">IF(AND(R84&gt;0,Q84="Y"),"YES","NO")</f>
        <v>NO</v>
      </c>
      <c r="T84" s="22" t="s">
        <v>12975</v>
      </c>
      <c r="U84" s="23" t="n">
        <v>46184</v>
      </c>
      <c r="V84" s="23" t="n">
        <v>46187</v>
      </c>
      <c r="W84" s="22"/>
      <c r="X84" s="22" t="str">
        <f aca="false">IF(ABS(M84)&gt;0.005,"Reported total_due does not equal buckets",IF(O84&lt;&gt;"Y","Account/slip ID mismatch",IF(P84&lt;&gt;"OCCUPIED","Slip not occupied","OK")))</f>
        <v>Reported total_due does not equal buckets</v>
      </c>
      <c r="Y84" s="22" t="str">
        <f aca="false">IF(ABS(M84)&gt;0.005,"Priority 3","")</f>
        <v>Priority 3</v>
      </c>
    </row>
    <row r="85" customFormat="false" ht="15" hidden="false" customHeight="false" outlineLevel="0" collapsed="false">
      <c r="A85" s="22" t="s">
        <v>11566</v>
      </c>
      <c r="B85" s="22" t="s">
        <v>4096</v>
      </c>
      <c r="C85" s="22" t="s">
        <v>6837</v>
      </c>
      <c r="D85" s="22" t="s">
        <v>198</v>
      </c>
      <c r="E85" s="22" t="s">
        <v>8601</v>
      </c>
      <c r="F85" s="25" t="n">
        <v>634.4</v>
      </c>
      <c r="G85" s="25" t="n">
        <v>0</v>
      </c>
      <c r="H85" s="25" t="n">
        <v>0</v>
      </c>
      <c r="I85" s="25" t="n">
        <v>0</v>
      </c>
      <c r="J85" s="25" t="n">
        <v>0</v>
      </c>
      <c r="K85" s="25" t="n">
        <v>634.4</v>
      </c>
      <c r="L85" s="25" t="n">
        <f aca="false">SUM(F85:J85)</f>
        <v>634.4</v>
      </c>
      <c r="M85" s="25" t="n">
        <f aca="false">K85-L85</f>
        <v>0</v>
      </c>
      <c r="N85" s="22" t="str">
        <f aca="false">RIGHT(A85,LEN(A85)-3)</f>
        <v>LP-0417</v>
      </c>
      <c r="O85" s="22" t="str">
        <f aca="false">IF(C85=N85,"Y","N")</f>
        <v>Y</v>
      </c>
      <c r="P85" s="22" t="str">
        <f aca="false">IFERROR(VLOOKUP(N85,'Slip Inventory'!$A$2:$R$1181,10,FALSE()),"NOT FOUND")</f>
        <v>OCCUPIED</v>
      </c>
      <c r="Q85" s="22" t="str">
        <f aca="false">IF(P85="OCCUPIED","Y","N")</f>
        <v>Y</v>
      </c>
      <c r="R85" s="25" t="n">
        <f aca="false">SUM(I85:J85)</f>
        <v>0</v>
      </c>
      <c r="S85" s="22" t="str">
        <f aca="false">IF(AND(R85&gt;0,Q85="Y"),"YES","NO")</f>
        <v>NO</v>
      </c>
      <c r="T85" s="22" t="s">
        <v>12975</v>
      </c>
      <c r="U85" s="23" t="n">
        <v>46230</v>
      </c>
      <c r="V85" s="23" t="n">
        <v>46179</v>
      </c>
      <c r="W85" s="22"/>
      <c r="X85" s="22" t="str">
        <f aca="false">IF(ABS(M85)&gt;0.005,"Reported total_due does not equal buckets",IF(O85&lt;&gt;"Y","Account/slip ID mismatch",IF(P85&lt;&gt;"OCCUPIED","Slip not occupied","OK")))</f>
        <v>OK</v>
      </c>
      <c r="Y85" s="22" t="str">
        <f aca="false">IF(ABS(M85)&gt;0.005,"Priority 3","")</f>
        <v/>
      </c>
    </row>
    <row r="86" customFormat="false" ht="15" hidden="false" customHeight="false" outlineLevel="0" collapsed="false">
      <c r="A86" s="22" t="s">
        <v>11568</v>
      </c>
      <c r="B86" s="22" t="s">
        <v>1981</v>
      </c>
      <c r="C86" s="22" t="s">
        <v>6840</v>
      </c>
      <c r="D86" s="22" t="s">
        <v>198</v>
      </c>
      <c r="E86" s="22" t="s">
        <v>8601</v>
      </c>
      <c r="F86" s="25" t="n">
        <v>457.6</v>
      </c>
      <c r="G86" s="25" t="n">
        <v>0</v>
      </c>
      <c r="H86" s="25" t="n">
        <v>0</v>
      </c>
      <c r="I86" s="25" t="n">
        <v>0</v>
      </c>
      <c r="J86" s="25" t="n">
        <v>0</v>
      </c>
      <c r="K86" s="25" t="n">
        <v>457.6</v>
      </c>
      <c r="L86" s="25" t="n">
        <f aca="false">SUM(F86:J86)</f>
        <v>457.6</v>
      </c>
      <c r="M86" s="25" t="n">
        <f aca="false">K86-L86</f>
        <v>0</v>
      </c>
      <c r="N86" s="22" t="str">
        <f aca="false">RIGHT(A86,LEN(A86)-3)</f>
        <v>LP-0418</v>
      </c>
      <c r="O86" s="22" t="str">
        <f aca="false">IF(C86=N86,"Y","N")</f>
        <v>Y</v>
      </c>
      <c r="P86" s="22" t="str">
        <f aca="false">IFERROR(VLOOKUP(N86,'Slip Inventory'!$A$2:$R$1181,10,FALSE()),"NOT FOUND")</f>
        <v>OCCUPIED</v>
      </c>
      <c r="Q86" s="22" t="str">
        <f aca="false">IF(P86="OCCUPIED","Y","N")</f>
        <v>Y</v>
      </c>
      <c r="R86" s="25" t="n">
        <f aca="false">SUM(I86:J86)</f>
        <v>0</v>
      </c>
      <c r="S86" s="22" t="str">
        <f aca="false">IF(AND(R86&gt;0,Q86="Y"),"YES","NO")</f>
        <v>NO</v>
      </c>
      <c r="T86" s="22" t="s">
        <v>12975</v>
      </c>
      <c r="U86" s="23" t="n">
        <v>46215</v>
      </c>
      <c r="V86" s="23" t="n">
        <v>46195</v>
      </c>
      <c r="W86" s="22"/>
      <c r="X86" s="22" t="str">
        <f aca="false">IF(ABS(M86)&gt;0.005,"Reported total_due does not equal buckets",IF(O86&lt;&gt;"Y","Account/slip ID mismatch",IF(P86&lt;&gt;"OCCUPIED","Slip not occupied","OK")))</f>
        <v>OK</v>
      </c>
      <c r="Y86" s="22" t="str">
        <f aca="false">IF(ABS(M86)&gt;0.005,"Priority 3","")</f>
        <v/>
      </c>
    </row>
    <row r="87" customFormat="false" ht="15" hidden="false" customHeight="false" outlineLevel="0" collapsed="false">
      <c r="A87" s="22" t="s">
        <v>11570</v>
      </c>
      <c r="B87" s="22" t="s">
        <v>4580</v>
      </c>
      <c r="C87" s="22" t="s">
        <v>6843</v>
      </c>
      <c r="D87" s="22" t="s">
        <v>198</v>
      </c>
      <c r="E87" s="22" t="s">
        <v>8601</v>
      </c>
      <c r="F87" s="25" t="n">
        <v>468</v>
      </c>
      <c r="G87" s="25" t="n">
        <v>468</v>
      </c>
      <c r="H87" s="25" t="n">
        <v>0</v>
      </c>
      <c r="I87" s="25" t="n">
        <v>0</v>
      </c>
      <c r="J87" s="25" t="n">
        <v>0</v>
      </c>
      <c r="K87" s="25" t="n">
        <v>936</v>
      </c>
      <c r="L87" s="25" t="n">
        <f aca="false">SUM(F87:J87)</f>
        <v>936</v>
      </c>
      <c r="M87" s="25" t="n">
        <f aca="false">K87-L87</f>
        <v>0</v>
      </c>
      <c r="N87" s="22" t="str">
        <f aca="false">RIGHT(A87,LEN(A87)-3)</f>
        <v>LP-0419</v>
      </c>
      <c r="O87" s="22" t="str">
        <f aca="false">IF(C87=N87,"Y","N")</f>
        <v>Y</v>
      </c>
      <c r="P87" s="22" t="str">
        <f aca="false">IFERROR(VLOOKUP(N87,'Slip Inventory'!$A$2:$R$1181,10,FALSE()),"NOT FOUND")</f>
        <v>OCCUPIED</v>
      </c>
      <c r="Q87" s="22" t="str">
        <f aca="false">IF(P87="OCCUPIED","Y","N")</f>
        <v>Y</v>
      </c>
      <c r="R87" s="25" t="n">
        <f aca="false">SUM(I87:J87)</f>
        <v>0</v>
      </c>
      <c r="S87" s="22" t="str">
        <f aca="false">IF(AND(R87&gt;0,Q87="Y"),"YES","NO")</f>
        <v>NO</v>
      </c>
      <c r="T87" s="22" t="s">
        <v>12977</v>
      </c>
      <c r="U87" s="23" t="n">
        <v>46203</v>
      </c>
      <c r="V87" s="23" t="n">
        <v>46214</v>
      </c>
      <c r="W87" s="22"/>
      <c r="X87" s="22" t="str">
        <f aca="false">IF(ABS(M87)&gt;0.005,"Reported total_due does not equal buckets",IF(O87&lt;&gt;"Y","Account/slip ID mismatch",IF(P87&lt;&gt;"OCCUPIED","Slip not occupied","OK")))</f>
        <v>OK</v>
      </c>
      <c r="Y87" s="22" t="str">
        <f aca="false">IF(ABS(M87)&gt;0.005,"Priority 3","")</f>
        <v/>
      </c>
    </row>
    <row r="88" customFormat="false" ht="15" hidden="false" customHeight="false" outlineLevel="0" collapsed="false">
      <c r="A88" s="22" t="s">
        <v>11572</v>
      </c>
      <c r="B88" s="22" t="s">
        <v>5328</v>
      </c>
      <c r="C88" s="22" t="s">
        <v>6846</v>
      </c>
      <c r="D88" s="22" t="s">
        <v>198</v>
      </c>
      <c r="E88" s="22" t="s">
        <v>8601</v>
      </c>
      <c r="F88" s="25" t="n">
        <v>374.4</v>
      </c>
      <c r="G88" s="25" t="n">
        <v>0</v>
      </c>
      <c r="H88" s="25" t="n">
        <v>0</v>
      </c>
      <c r="I88" s="25" t="n">
        <v>0</v>
      </c>
      <c r="J88" s="25" t="n">
        <v>0</v>
      </c>
      <c r="K88" s="25" t="n">
        <v>374.4</v>
      </c>
      <c r="L88" s="25" t="n">
        <f aca="false">SUM(F88:J88)</f>
        <v>374.4</v>
      </c>
      <c r="M88" s="25" t="n">
        <f aca="false">K88-L88</f>
        <v>0</v>
      </c>
      <c r="N88" s="22" t="str">
        <f aca="false">RIGHT(A88,LEN(A88)-3)</f>
        <v>LP-0420</v>
      </c>
      <c r="O88" s="22" t="str">
        <f aca="false">IF(C88=N88,"Y","N")</f>
        <v>Y</v>
      </c>
      <c r="P88" s="22" t="str">
        <f aca="false">IFERROR(VLOOKUP(N88,'Slip Inventory'!$A$2:$R$1181,10,FALSE()),"NOT FOUND")</f>
        <v>OCCUPIED</v>
      </c>
      <c r="Q88" s="22" t="str">
        <f aca="false">IF(P88="OCCUPIED","Y","N")</f>
        <v>Y</v>
      </c>
      <c r="R88" s="25" t="n">
        <f aca="false">SUM(I88:J88)</f>
        <v>0</v>
      </c>
      <c r="S88" s="22" t="str">
        <f aca="false">IF(AND(R88&gt;0,Q88="Y"),"YES","NO")</f>
        <v>NO</v>
      </c>
      <c r="T88" s="22" t="s">
        <v>12975</v>
      </c>
      <c r="U88" s="23" t="n">
        <v>46217</v>
      </c>
      <c r="V88" s="23" t="n">
        <v>46186</v>
      </c>
      <c r="W88" s="22"/>
      <c r="X88" s="22" t="str">
        <f aca="false">IF(ABS(M88)&gt;0.005,"Reported total_due does not equal buckets",IF(O88&lt;&gt;"Y","Account/slip ID mismatch",IF(P88&lt;&gt;"OCCUPIED","Slip not occupied","OK")))</f>
        <v>OK</v>
      </c>
      <c r="Y88" s="22" t="str">
        <f aca="false">IF(ABS(M88)&gt;0.005,"Priority 3","")</f>
        <v/>
      </c>
    </row>
    <row r="89" customFormat="false" ht="15" hidden="false" customHeight="false" outlineLevel="0" collapsed="false">
      <c r="A89" s="22" t="s">
        <v>11574</v>
      </c>
      <c r="B89" s="22" t="s">
        <v>5878</v>
      </c>
      <c r="C89" s="22" t="s">
        <v>6849</v>
      </c>
      <c r="D89" s="22" t="s">
        <v>198</v>
      </c>
      <c r="E89" s="22" t="s">
        <v>8601</v>
      </c>
      <c r="F89" s="25" t="n">
        <v>291.2</v>
      </c>
      <c r="G89" s="25" t="n">
        <v>0</v>
      </c>
      <c r="H89" s="25" t="n">
        <v>0</v>
      </c>
      <c r="I89" s="25" t="n">
        <v>0</v>
      </c>
      <c r="J89" s="25" t="n">
        <v>0</v>
      </c>
      <c r="K89" s="25" t="n">
        <v>0</v>
      </c>
      <c r="L89" s="25" t="n">
        <f aca="false">SUM(F89:J89)</f>
        <v>291.2</v>
      </c>
      <c r="M89" s="25" t="n">
        <f aca="false">K89-L89</f>
        <v>-291.2</v>
      </c>
      <c r="N89" s="22" t="str">
        <f aca="false">RIGHT(A89,LEN(A89)-3)</f>
        <v>LP-0421</v>
      </c>
      <c r="O89" s="22" t="str">
        <f aca="false">IF(C89=N89,"Y","N")</f>
        <v>Y</v>
      </c>
      <c r="P89" s="22" t="str">
        <f aca="false">IFERROR(VLOOKUP(N89,'Slip Inventory'!$A$2:$R$1181,10,FALSE()),"NOT FOUND")</f>
        <v>OCCUPIED</v>
      </c>
      <c r="Q89" s="22" t="str">
        <f aca="false">IF(P89="OCCUPIED","Y","N")</f>
        <v>Y</v>
      </c>
      <c r="R89" s="25" t="n">
        <f aca="false">SUM(I89:J89)</f>
        <v>0</v>
      </c>
      <c r="S89" s="22" t="str">
        <f aca="false">IF(AND(R89&gt;0,Q89="Y"),"YES","NO")</f>
        <v>NO</v>
      </c>
      <c r="T89" s="22" t="s">
        <v>12975</v>
      </c>
      <c r="U89" s="23" t="n">
        <v>46202</v>
      </c>
      <c r="V89" s="23" t="n">
        <v>46192</v>
      </c>
      <c r="W89" s="22"/>
      <c r="X89" s="22" t="str">
        <f aca="false">IF(ABS(M89)&gt;0.005,"Reported total_due does not equal buckets",IF(O89&lt;&gt;"Y","Account/slip ID mismatch",IF(P89&lt;&gt;"OCCUPIED","Slip not occupied","OK")))</f>
        <v>Reported total_due does not equal buckets</v>
      </c>
      <c r="Y89" s="22" t="str">
        <f aca="false">IF(ABS(M89)&gt;0.005,"Priority 3","")</f>
        <v>Priority 3</v>
      </c>
    </row>
    <row r="90" customFormat="false" ht="15" hidden="false" customHeight="false" outlineLevel="0" collapsed="false">
      <c r="A90" s="22" t="s">
        <v>11576</v>
      </c>
      <c r="B90" s="22" t="s">
        <v>4475</v>
      </c>
      <c r="C90" s="22" t="s">
        <v>6851</v>
      </c>
      <c r="D90" s="22" t="s">
        <v>198</v>
      </c>
      <c r="E90" s="22" t="s">
        <v>8601</v>
      </c>
      <c r="F90" s="25" t="n">
        <v>353.6</v>
      </c>
      <c r="G90" s="25" t="n">
        <v>0</v>
      </c>
      <c r="H90" s="25" t="n">
        <v>0</v>
      </c>
      <c r="I90" s="25" t="n">
        <v>0</v>
      </c>
      <c r="J90" s="25" t="n">
        <v>0</v>
      </c>
      <c r="K90" s="25" t="n">
        <v>353.6</v>
      </c>
      <c r="L90" s="25" t="n">
        <f aca="false">SUM(F90:J90)</f>
        <v>353.6</v>
      </c>
      <c r="M90" s="25" t="n">
        <f aca="false">K90-L90</f>
        <v>0</v>
      </c>
      <c r="N90" s="22" t="str">
        <f aca="false">RIGHT(A90,LEN(A90)-3)</f>
        <v>LP-0422</v>
      </c>
      <c r="O90" s="22" t="str">
        <f aca="false">IF(C90=N90,"Y","N")</f>
        <v>Y</v>
      </c>
      <c r="P90" s="22" t="str">
        <f aca="false">IFERROR(VLOOKUP(N90,'Slip Inventory'!$A$2:$R$1181,10,FALSE()),"NOT FOUND")</f>
        <v>OCCUPIED</v>
      </c>
      <c r="Q90" s="22" t="str">
        <f aca="false">IF(P90="OCCUPIED","Y","N")</f>
        <v>Y</v>
      </c>
      <c r="R90" s="25" t="n">
        <f aca="false">SUM(I90:J90)</f>
        <v>0</v>
      </c>
      <c r="S90" s="22" t="str">
        <f aca="false">IF(AND(R90&gt;0,Q90="Y"),"YES","NO")</f>
        <v>NO</v>
      </c>
      <c r="T90" s="22" t="s">
        <v>12975</v>
      </c>
      <c r="U90" s="23" t="n">
        <v>46208</v>
      </c>
      <c r="V90" s="23" t="n">
        <v>46179</v>
      </c>
      <c r="W90" s="22"/>
      <c r="X90" s="22" t="str">
        <f aca="false">IF(ABS(M90)&gt;0.005,"Reported total_due does not equal buckets",IF(O90&lt;&gt;"Y","Account/slip ID mismatch",IF(P90&lt;&gt;"OCCUPIED","Slip not occupied","OK")))</f>
        <v>OK</v>
      </c>
      <c r="Y90" s="22" t="str">
        <f aca="false">IF(ABS(M90)&gt;0.005,"Priority 3","")</f>
        <v/>
      </c>
    </row>
    <row r="91" customFormat="false" ht="15" hidden="false" customHeight="false" outlineLevel="0" collapsed="false">
      <c r="A91" s="22" t="s">
        <v>11578</v>
      </c>
      <c r="B91" s="22" t="s">
        <v>2149</v>
      </c>
      <c r="C91" s="22" t="s">
        <v>6854</v>
      </c>
      <c r="D91" s="22" t="s">
        <v>198</v>
      </c>
      <c r="E91" s="22" t="s">
        <v>8601</v>
      </c>
      <c r="F91" s="25" t="n">
        <v>416</v>
      </c>
      <c r="G91" s="25" t="n">
        <v>0</v>
      </c>
      <c r="H91" s="25" t="n">
        <v>0</v>
      </c>
      <c r="I91" s="25" t="n">
        <v>0</v>
      </c>
      <c r="J91" s="25" t="n">
        <v>0</v>
      </c>
      <c r="K91" s="25" t="n">
        <v>416</v>
      </c>
      <c r="L91" s="25" t="n">
        <f aca="false">SUM(F91:J91)</f>
        <v>416</v>
      </c>
      <c r="M91" s="25" t="n">
        <f aca="false">K91-L91</f>
        <v>0</v>
      </c>
      <c r="N91" s="22" t="str">
        <f aca="false">RIGHT(A91,LEN(A91)-3)</f>
        <v>LP-0423</v>
      </c>
      <c r="O91" s="22" t="str">
        <f aca="false">IF(C91=N91,"Y","N")</f>
        <v>Y</v>
      </c>
      <c r="P91" s="22" t="str">
        <f aca="false">IFERROR(VLOOKUP(N91,'Slip Inventory'!$A$2:$R$1181,10,FALSE()),"NOT FOUND")</f>
        <v>OCCUPIED</v>
      </c>
      <c r="Q91" s="22" t="str">
        <f aca="false">IF(P91="OCCUPIED","Y","N")</f>
        <v>Y</v>
      </c>
      <c r="R91" s="25" t="n">
        <f aca="false">SUM(I91:J91)</f>
        <v>0</v>
      </c>
      <c r="S91" s="22" t="str">
        <f aca="false">IF(AND(R91&gt;0,Q91="Y"),"YES","NO")</f>
        <v>NO</v>
      </c>
      <c r="T91" s="22" t="s">
        <v>12975</v>
      </c>
      <c r="U91" s="23" t="n">
        <v>46156</v>
      </c>
      <c r="V91" s="23" t="n">
        <v>46187</v>
      </c>
      <c r="W91" s="22"/>
      <c r="X91" s="22" t="str">
        <f aca="false">IF(ABS(M91)&gt;0.005,"Reported total_due does not equal buckets",IF(O91&lt;&gt;"Y","Account/slip ID mismatch",IF(P91&lt;&gt;"OCCUPIED","Slip not occupied","OK")))</f>
        <v>OK</v>
      </c>
      <c r="Y91" s="22" t="str">
        <f aca="false">IF(ABS(M91)&gt;0.005,"Priority 3","")</f>
        <v/>
      </c>
    </row>
    <row r="92" customFormat="false" ht="15" hidden="false" customHeight="false" outlineLevel="0" collapsed="false">
      <c r="A92" s="22" t="s">
        <v>11580</v>
      </c>
      <c r="B92" s="22" t="s">
        <v>473</v>
      </c>
      <c r="C92" s="22" t="s">
        <v>6857</v>
      </c>
      <c r="D92" s="22" t="s">
        <v>198</v>
      </c>
      <c r="E92" s="22" t="s">
        <v>8601</v>
      </c>
      <c r="F92" s="25" t="n">
        <v>301.6</v>
      </c>
      <c r="G92" s="25" t="n">
        <v>0</v>
      </c>
      <c r="H92" s="25" t="n">
        <v>0</v>
      </c>
      <c r="I92" s="25" t="n">
        <v>0</v>
      </c>
      <c r="J92" s="25" t="n">
        <v>0</v>
      </c>
      <c r="K92" s="25" t="n">
        <v>301.6</v>
      </c>
      <c r="L92" s="25" t="n">
        <f aca="false">SUM(F92:J92)</f>
        <v>301.6</v>
      </c>
      <c r="M92" s="25" t="n">
        <f aca="false">K92-L92</f>
        <v>0</v>
      </c>
      <c r="N92" s="22" t="str">
        <f aca="false">RIGHT(A92,LEN(A92)-3)</f>
        <v>LP-0424</v>
      </c>
      <c r="O92" s="22" t="str">
        <f aca="false">IF(C92=N92,"Y","N")</f>
        <v>Y</v>
      </c>
      <c r="P92" s="22" t="str">
        <f aca="false">IFERROR(VLOOKUP(N92,'Slip Inventory'!$A$2:$R$1181,10,FALSE()),"NOT FOUND")</f>
        <v>OCCUPIED</v>
      </c>
      <c r="Q92" s="22" t="str">
        <f aca="false">IF(P92="OCCUPIED","Y","N")</f>
        <v>Y</v>
      </c>
      <c r="R92" s="25" t="n">
        <f aca="false">SUM(I92:J92)</f>
        <v>0</v>
      </c>
      <c r="S92" s="22" t="str">
        <f aca="false">IF(AND(R92&gt;0,Q92="Y"),"YES","NO")</f>
        <v>NO</v>
      </c>
      <c r="T92" s="22" t="s">
        <v>12975</v>
      </c>
      <c r="U92" s="23" t="n">
        <v>46225</v>
      </c>
      <c r="V92" s="23" t="n">
        <v>46231</v>
      </c>
      <c r="W92" s="22"/>
      <c r="X92" s="22" t="str">
        <f aca="false">IF(ABS(M92)&gt;0.005,"Reported total_due does not equal buckets",IF(O92&lt;&gt;"Y","Account/slip ID mismatch",IF(P92&lt;&gt;"OCCUPIED","Slip not occupied","OK")))</f>
        <v>OK</v>
      </c>
      <c r="Y92" s="22" t="str">
        <f aca="false">IF(ABS(M92)&gt;0.005,"Priority 3","")</f>
        <v/>
      </c>
    </row>
    <row r="93" customFormat="false" ht="15" hidden="false" customHeight="false" outlineLevel="0" collapsed="false">
      <c r="A93" s="22" t="s">
        <v>11582</v>
      </c>
      <c r="B93" s="22" t="s">
        <v>3982</v>
      </c>
      <c r="C93" s="22" t="s">
        <v>6863</v>
      </c>
      <c r="D93" s="22" t="s">
        <v>198</v>
      </c>
      <c r="E93" s="22" t="s">
        <v>8601</v>
      </c>
      <c r="F93" s="25" t="n">
        <v>561.6</v>
      </c>
      <c r="G93" s="25" t="n">
        <v>0</v>
      </c>
      <c r="H93" s="25" t="n">
        <v>0</v>
      </c>
      <c r="I93" s="25" t="n">
        <v>0</v>
      </c>
      <c r="J93" s="25" t="n">
        <v>0</v>
      </c>
      <c r="K93" s="25" t="n">
        <v>561.6</v>
      </c>
      <c r="L93" s="25" t="n">
        <f aca="false">SUM(F93:J93)</f>
        <v>561.6</v>
      </c>
      <c r="M93" s="25" t="n">
        <f aca="false">K93-L93</f>
        <v>0</v>
      </c>
      <c r="N93" s="22" t="str">
        <f aca="false">RIGHT(A93,LEN(A93)-3)</f>
        <v>LP-0502</v>
      </c>
      <c r="O93" s="22" t="str">
        <f aca="false">IF(C93=N93,"Y","N")</f>
        <v>Y</v>
      </c>
      <c r="P93" s="22" t="str">
        <f aca="false">IFERROR(VLOOKUP(N93,'Slip Inventory'!$A$2:$R$1181,10,FALSE()),"NOT FOUND")</f>
        <v>OCCUPIED</v>
      </c>
      <c r="Q93" s="22" t="str">
        <f aca="false">IF(P93="OCCUPIED","Y","N")</f>
        <v>Y</v>
      </c>
      <c r="R93" s="25" t="n">
        <f aca="false">SUM(I93:J93)</f>
        <v>0</v>
      </c>
      <c r="S93" s="22" t="str">
        <f aca="false">IF(AND(R93&gt;0,Q93="Y"),"YES","NO")</f>
        <v>NO</v>
      </c>
      <c r="T93" s="22" t="s">
        <v>12975</v>
      </c>
      <c r="U93" s="23" t="n">
        <v>46180</v>
      </c>
      <c r="V93" s="23" t="n">
        <v>46186</v>
      </c>
      <c r="W93" s="22"/>
      <c r="X93" s="22" t="str">
        <f aca="false">IF(ABS(M93)&gt;0.005,"Reported total_due does not equal buckets",IF(O93&lt;&gt;"Y","Account/slip ID mismatch",IF(P93&lt;&gt;"OCCUPIED","Slip not occupied","OK")))</f>
        <v>OK</v>
      </c>
      <c r="Y93" s="22" t="str">
        <f aca="false">IF(ABS(M93)&gt;0.005,"Priority 3","")</f>
        <v/>
      </c>
    </row>
    <row r="94" customFormat="false" ht="15" hidden="false" customHeight="false" outlineLevel="0" collapsed="false">
      <c r="A94" s="22" t="s">
        <v>11584</v>
      </c>
      <c r="B94" s="22" t="s">
        <v>5945</v>
      </c>
      <c r="C94" s="22" t="s">
        <v>6866</v>
      </c>
      <c r="D94" s="22" t="s">
        <v>198</v>
      </c>
      <c r="E94" s="22" t="s">
        <v>8601</v>
      </c>
      <c r="F94" s="25" t="n">
        <v>353.6</v>
      </c>
      <c r="G94" s="25" t="n">
        <v>353.6</v>
      </c>
      <c r="H94" s="25" t="n">
        <v>353.6</v>
      </c>
      <c r="I94" s="25" t="n">
        <v>0</v>
      </c>
      <c r="J94" s="25" t="n">
        <v>0</v>
      </c>
      <c r="K94" s="25" t="n">
        <v>1060.8</v>
      </c>
      <c r="L94" s="25" t="n">
        <f aca="false">SUM(F94:J94)</f>
        <v>1060.8</v>
      </c>
      <c r="M94" s="25" t="n">
        <f aca="false">K94-L94</f>
        <v>0</v>
      </c>
      <c r="N94" s="22" t="str">
        <f aca="false">RIGHT(A94,LEN(A94)-3)</f>
        <v>LP-0503</v>
      </c>
      <c r="O94" s="22" t="str">
        <f aca="false">IF(C94=N94,"Y","N")</f>
        <v>Y</v>
      </c>
      <c r="P94" s="22" t="str">
        <f aca="false">IFERROR(VLOOKUP(N94,'Slip Inventory'!$A$2:$R$1181,10,FALSE()),"NOT FOUND")</f>
        <v>OCCUPIED</v>
      </c>
      <c r="Q94" s="22" t="str">
        <f aca="false">IF(P94="OCCUPIED","Y","N")</f>
        <v>Y</v>
      </c>
      <c r="R94" s="25" t="n">
        <f aca="false">SUM(I94:J94)</f>
        <v>0</v>
      </c>
      <c r="S94" s="22" t="str">
        <f aca="false">IF(AND(R94&gt;0,Q94="Y"),"YES","NO")</f>
        <v>NO</v>
      </c>
      <c r="T94" s="22" t="s">
        <v>12977</v>
      </c>
      <c r="U94" s="23" t="n">
        <v>46200</v>
      </c>
      <c r="V94" s="23" t="n">
        <v>46228</v>
      </c>
      <c r="W94" s="22"/>
      <c r="X94" s="22" t="str">
        <f aca="false">IF(ABS(M94)&gt;0.005,"Reported total_due does not equal buckets",IF(O94&lt;&gt;"Y","Account/slip ID mismatch",IF(P94&lt;&gt;"OCCUPIED","Slip not occupied","OK")))</f>
        <v>OK</v>
      </c>
      <c r="Y94" s="22" t="str">
        <f aca="false">IF(ABS(M94)&gt;0.005,"Priority 3","")</f>
        <v/>
      </c>
    </row>
    <row r="95" customFormat="false" ht="15" hidden="false" customHeight="false" outlineLevel="0" collapsed="false">
      <c r="A95" s="22" t="s">
        <v>11586</v>
      </c>
      <c r="B95" s="22" t="s">
        <v>4680</v>
      </c>
      <c r="C95" s="22" t="s">
        <v>6869</v>
      </c>
      <c r="D95" s="22" t="s">
        <v>198</v>
      </c>
      <c r="E95" s="22" t="s">
        <v>8601</v>
      </c>
      <c r="F95" s="25" t="n">
        <v>603.2</v>
      </c>
      <c r="G95" s="25" t="n">
        <v>0</v>
      </c>
      <c r="H95" s="25" t="n">
        <v>0</v>
      </c>
      <c r="I95" s="25" t="n">
        <v>0</v>
      </c>
      <c r="J95" s="25" t="n">
        <v>0</v>
      </c>
      <c r="K95" s="25" t="n">
        <v>603.2</v>
      </c>
      <c r="L95" s="25" t="n">
        <f aca="false">SUM(F95:J95)</f>
        <v>603.2</v>
      </c>
      <c r="M95" s="25" t="n">
        <f aca="false">K95-L95</f>
        <v>0</v>
      </c>
      <c r="N95" s="22" t="str">
        <f aca="false">RIGHT(A95,LEN(A95)-3)</f>
        <v>LP-0504</v>
      </c>
      <c r="O95" s="22" t="str">
        <f aca="false">IF(C95=N95,"Y","N")</f>
        <v>Y</v>
      </c>
      <c r="P95" s="22" t="str">
        <f aca="false">IFERROR(VLOOKUP(N95,'Slip Inventory'!$A$2:$R$1181,10,FALSE()),"NOT FOUND")</f>
        <v>OCCUPIED</v>
      </c>
      <c r="Q95" s="22" t="str">
        <f aca="false">IF(P95="OCCUPIED","Y","N")</f>
        <v>Y</v>
      </c>
      <c r="R95" s="25" t="n">
        <f aca="false">SUM(I95:J95)</f>
        <v>0</v>
      </c>
      <c r="S95" s="22" t="str">
        <f aca="false">IF(AND(R95&gt;0,Q95="Y"),"YES","NO")</f>
        <v>NO</v>
      </c>
      <c r="T95" s="22" t="s">
        <v>12975</v>
      </c>
      <c r="U95" s="23" t="n">
        <v>46211</v>
      </c>
      <c r="V95" s="23" t="n">
        <v>46200</v>
      </c>
      <c r="W95" s="22"/>
      <c r="X95" s="22" t="str">
        <f aca="false">IF(ABS(M95)&gt;0.005,"Reported total_due does not equal buckets",IF(O95&lt;&gt;"Y","Account/slip ID mismatch",IF(P95&lt;&gt;"OCCUPIED","Slip not occupied","OK")))</f>
        <v>OK</v>
      </c>
      <c r="Y95" s="22" t="str">
        <f aca="false">IF(ABS(M95)&gt;0.005,"Priority 3","")</f>
        <v/>
      </c>
    </row>
    <row r="96" customFormat="false" ht="15" hidden="false" customHeight="false" outlineLevel="0" collapsed="false">
      <c r="A96" s="22" t="s">
        <v>11588</v>
      </c>
      <c r="B96" s="22" t="s">
        <v>3572</v>
      </c>
      <c r="C96" s="22" t="s">
        <v>6872</v>
      </c>
      <c r="D96" s="22" t="s">
        <v>198</v>
      </c>
      <c r="E96" s="22" t="s">
        <v>8601</v>
      </c>
      <c r="F96" s="25" t="n">
        <v>603.2</v>
      </c>
      <c r="G96" s="25" t="n">
        <v>603.2</v>
      </c>
      <c r="H96" s="25" t="n">
        <v>0</v>
      </c>
      <c r="I96" s="25" t="n">
        <v>0</v>
      </c>
      <c r="J96" s="25" t="n">
        <v>0</v>
      </c>
      <c r="K96" s="25" t="n">
        <v>1206.4</v>
      </c>
      <c r="L96" s="25" t="n">
        <f aca="false">SUM(F96:J96)</f>
        <v>1206.4</v>
      </c>
      <c r="M96" s="25" t="n">
        <f aca="false">K96-L96</f>
        <v>0</v>
      </c>
      <c r="N96" s="22" t="str">
        <f aca="false">RIGHT(A96,LEN(A96)-3)</f>
        <v>LP-0505</v>
      </c>
      <c r="O96" s="22" t="str">
        <f aca="false">IF(C96=N96,"Y","N")</f>
        <v>Y</v>
      </c>
      <c r="P96" s="22" t="str">
        <f aca="false">IFERROR(VLOOKUP(N96,'Slip Inventory'!$A$2:$R$1181,10,FALSE()),"NOT FOUND")</f>
        <v>OCCUPIED</v>
      </c>
      <c r="Q96" s="22" t="str">
        <f aca="false">IF(P96="OCCUPIED","Y","N")</f>
        <v>Y</v>
      </c>
      <c r="R96" s="25" t="n">
        <f aca="false">SUM(I96:J96)</f>
        <v>0</v>
      </c>
      <c r="S96" s="22" t="str">
        <f aca="false">IF(AND(R96&gt;0,Q96="Y"),"YES","NO")</f>
        <v>NO</v>
      </c>
      <c r="T96" s="22" t="s">
        <v>12977</v>
      </c>
      <c r="U96" s="23" t="n">
        <v>46215</v>
      </c>
      <c r="V96" s="23" t="n">
        <v>46194</v>
      </c>
      <c r="W96" s="22" t="s">
        <v>12976</v>
      </c>
      <c r="X96" s="22" t="str">
        <f aca="false">IF(ABS(M96)&gt;0.005,"Reported total_due does not equal buckets",IF(O96&lt;&gt;"Y","Account/slip ID mismatch",IF(P96&lt;&gt;"OCCUPIED","Slip not occupied","OK")))</f>
        <v>OK</v>
      </c>
      <c r="Y96" s="22" t="str">
        <f aca="false">IF(ABS(M96)&gt;0.005,"Priority 3","")</f>
        <v/>
      </c>
    </row>
    <row r="97" customFormat="false" ht="15" hidden="false" customHeight="false" outlineLevel="0" collapsed="false">
      <c r="A97" s="22" t="s">
        <v>11590</v>
      </c>
      <c r="B97" s="22" t="s">
        <v>556</v>
      </c>
      <c r="C97" s="22" t="s">
        <v>6875</v>
      </c>
      <c r="D97" s="22" t="s">
        <v>198</v>
      </c>
      <c r="E97" s="22" t="s">
        <v>8601</v>
      </c>
      <c r="F97" s="25" t="n">
        <v>488.8</v>
      </c>
      <c r="G97" s="25" t="n">
        <v>0</v>
      </c>
      <c r="H97" s="25" t="n">
        <v>0</v>
      </c>
      <c r="I97" s="25" t="n">
        <v>0</v>
      </c>
      <c r="J97" s="25" t="n">
        <v>0</v>
      </c>
      <c r="K97" s="25" t="n">
        <v>488.8</v>
      </c>
      <c r="L97" s="25" t="n">
        <f aca="false">SUM(F97:J97)</f>
        <v>488.8</v>
      </c>
      <c r="M97" s="25" t="n">
        <f aca="false">K97-L97</f>
        <v>0</v>
      </c>
      <c r="N97" s="22" t="str">
        <f aca="false">RIGHT(A97,LEN(A97)-3)</f>
        <v>LP-0506</v>
      </c>
      <c r="O97" s="22" t="str">
        <f aca="false">IF(C97=N97,"Y","N")</f>
        <v>Y</v>
      </c>
      <c r="P97" s="22" t="str">
        <f aca="false">IFERROR(VLOOKUP(N97,'Slip Inventory'!$A$2:$R$1181,10,FALSE()),"NOT FOUND")</f>
        <v>OCCUPIED</v>
      </c>
      <c r="Q97" s="22" t="str">
        <f aca="false">IF(P97="OCCUPIED","Y","N")</f>
        <v>Y</v>
      </c>
      <c r="R97" s="25" t="n">
        <f aca="false">SUM(I97:J97)</f>
        <v>0</v>
      </c>
      <c r="S97" s="22" t="str">
        <f aca="false">IF(AND(R97&gt;0,Q97="Y"),"YES","NO")</f>
        <v>NO</v>
      </c>
      <c r="T97" s="22" t="s">
        <v>12975</v>
      </c>
      <c r="U97" s="23" t="n">
        <v>46151</v>
      </c>
      <c r="V97" s="23" t="n">
        <v>46225</v>
      </c>
      <c r="W97" s="22"/>
      <c r="X97" s="22" t="str">
        <f aca="false">IF(ABS(M97)&gt;0.005,"Reported total_due does not equal buckets",IF(O97&lt;&gt;"Y","Account/slip ID mismatch",IF(P97&lt;&gt;"OCCUPIED","Slip not occupied","OK")))</f>
        <v>OK</v>
      </c>
      <c r="Y97" s="22" t="str">
        <f aca="false">IF(ABS(M97)&gt;0.005,"Priority 3","")</f>
        <v/>
      </c>
    </row>
    <row r="98" customFormat="false" ht="15" hidden="false" customHeight="false" outlineLevel="0" collapsed="false">
      <c r="A98" s="22" t="s">
        <v>11592</v>
      </c>
      <c r="B98" s="22" t="s">
        <v>5362</v>
      </c>
      <c r="C98" s="22" t="s">
        <v>6878</v>
      </c>
      <c r="D98" s="22" t="s">
        <v>198</v>
      </c>
      <c r="E98" s="22" t="s">
        <v>8601</v>
      </c>
      <c r="F98" s="25" t="n">
        <v>426.4</v>
      </c>
      <c r="G98" s="25" t="n">
        <v>0</v>
      </c>
      <c r="H98" s="25" t="n">
        <v>0</v>
      </c>
      <c r="I98" s="25" t="n">
        <v>0</v>
      </c>
      <c r="J98" s="25" t="n">
        <v>0</v>
      </c>
      <c r="K98" s="25" t="n">
        <v>426.4</v>
      </c>
      <c r="L98" s="25" t="n">
        <f aca="false">SUM(F98:J98)</f>
        <v>426.4</v>
      </c>
      <c r="M98" s="25" t="n">
        <f aca="false">K98-L98</f>
        <v>0</v>
      </c>
      <c r="N98" s="22" t="str">
        <f aca="false">RIGHT(A98,LEN(A98)-3)</f>
        <v>LP-0507</v>
      </c>
      <c r="O98" s="22" t="str">
        <f aca="false">IF(C98=N98,"Y","N")</f>
        <v>Y</v>
      </c>
      <c r="P98" s="22" t="str">
        <f aca="false">IFERROR(VLOOKUP(N98,'Slip Inventory'!$A$2:$R$1181,10,FALSE()),"NOT FOUND")</f>
        <v>OCCUPIED</v>
      </c>
      <c r="Q98" s="22" t="str">
        <f aca="false">IF(P98="OCCUPIED","Y","N")</f>
        <v>Y</v>
      </c>
      <c r="R98" s="25" t="n">
        <f aca="false">SUM(I98:J98)</f>
        <v>0</v>
      </c>
      <c r="S98" s="22" t="str">
        <f aca="false">IF(AND(R98&gt;0,Q98="Y"),"YES","NO")</f>
        <v>NO</v>
      </c>
      <c r="T98" s="22" t="s">
        <v>12975</v>
      </c>
      <c r="U98" s="23" t="n">
        <v>46189</v>
      </c>
      <c r="V98" s="23" t="n">
        <v>46231</v>
      </c>
      <c r="W98" s="22"/>
      <c r="X98" s="22" t="str">
        <f aca="false">IF(ABS(M98)&gt;0.005,"Reported total_due does not equal buckets",IF(O98&lt;&gt;"Y","Account/slip ID mismatch",IF(P98&lt;&gt;"OCCUPIED","Slip not occupied","OK")))</f>
        <v>OK</v>
      </c>
      <c r="Y98" s="22" t="str">
        <f aca="false">IF(ABS(M98)&gt;0.005,"Priority 3","")</f>
        <v/>
      </c>
    </row>
    <row r="99" customFormat="false" ht="15" hidden="false" customHeight="false" outlineLevel="0" collapsed="false">
      <c r="A99" s="22" t="s">
        <v>11594</v>
      </c>
      <c r="B99" s="22" t="s">
        <v>2321</v>
      </c>
      <c r="C99" s="22" t="s">
        <v>6880</v>
      </c>
      <c r="D99" s="22" t="s">
        <v>198</v>
      </c>
      <c r="E99" s="22" t="s">
        <v>8601</v>
      </c>
      <c r="F99" s="25" t="n">
        <v>592.8</v>
      </c>
      <c r="G99" s="25" t="n">
        <v>0</v>
      </c>
      <c r="H99" s="25" t="n">
        <v>0</v>
      </c>
      <c r="I99" s="25" t="n">
        <v>0</v>
      </c>
      <c r="J99" s="25" t="n">
        <v>0</v>
      </c>
      <c r="K99" s="25" t="n">
        <v>592.8</v>
      </c>
      <c r="L99" s="25" t="n">
        <f aca="false">SUM(F99:J99)</f>
        <v>592.8</v>
      </c>
      <c r="M99" s="25" t="n">
        <f aca="false">K99-L99</f>
        <v>0</v>
      </c>
      <c r="N99" s="22" t="str">
        <f aca="false">RIGHT(A99,LEN(A99)-3)</f>
        <v>LP-0508</v>
      </c>
      <c r="O99" s="22" t="str">
        <f aca="false">IF(C99=N99,"Y","N")</f>
        <v>Y</v>
      </c>
      <c r="P99" s="22" t="str">
        <f aca="false">IFERROR(VLOOKUP(N99,'Slip Inventory'!$A$2:$R$1181,10,FALSE()),"NOT FOUND")</f>
        <v>OCCUPIED</v>
      </c>
      <c r="Q99" s="22" t="str">
        <f aca="false">IF(P99="OCCUPIED","Y","N")</f>
        <v>Y</v>
      </c>
      <c r="R99" s="25" t="n">
        <f aca="false">SUM(I99:J99)</f>
        <v>0</v>
      </c>
      <c r="S99" s="22" t="str">
        <f aca="false">IF(AND(R99&gt;0,Q99="Y"),"YES","NO")</f>
        <v>NO</v>
      </c>
      <c r="T99" s="22" t="s">
        <v>12975</v>
      </c>
      <c r="U99" s="23" t="n">
        <v>46222</v>
      </c>
      <c r="V99" s="23" t="n">
        <v>46223</v>
      </c>
      <c r="W99" s="22"/>
      <c r="X99" s="22" t="str">
        <f aca="false">IF(ABS(M99)&gt;0.005,"Reported total_due does not equal buckets",IF(O99&lt;&gt;"Y","Account/slip ID mismatch",IF(P99&lt;&gt;"OCCUPIED","Slip not occupied","OK")))</f>
        <v>OK</v>
      </c>
      <c r="Y99" s="22" t="str">
        <f aca="false">IF(ABS(M99)&gt;0.005,"Priority 3","")</f>
        <v/>
      </c>
    </row>
    <row r="100" customFormat="false" ht="15" hidden="false" customHeight="false" outlineLevel="0" collapsed="false">
      <c r="A100" s="22" t="s">
        <v>11596</v>
      </c>
      <c r="B100" s="22" t="s">
        <v>2569</v>
      </c>
      <c r="C100" s="22" t="s">
        <v>6882</v>
      </c>
      <c r="D100" s="22" t="s">
        <v>198</v>
      </c>
      <c r="E100" s="22" t="s">
        <v>8601</v>
      </c>
      <c r="F100" s="25" t="n">
        <v>520</v>
      </c>
      <c r="G100" s="25" t="n">
        <v>520</v>
      </c>
      <c r="H100" s="25" t="n">
        <v>0</v>
      </c>
      <c r="I100" s="25" t="n">
        <v>0</v>
      </c>
      <c r="J100" s="25" t="n">
        <v>0</v>
      </c>
      <c r="K100" s="25" t="n">
        <v>1040</v>
      </c>
      <c r="L100" s="25" t="n">
        <f aca="false">SUM(F100:J100)</f>
        <v>1040</v>
      </c>
      <c r="M100" s="25" t="n">
        <f aca="false">K100-L100</f>
        <v>0</v>
      </c>
      <c r="N100" s="22" t="str">
        <f aca="false">RIGHT(A100,LEN(A100)-3)</f>
        <v>LP-0509</v>
      </c>
      <c r="O100" s="22" t="str">
        <f aca="false">IF(C100=N100,"Y","N")</f>
        <v>Y</v>
      </c>
      <c r="P100" s="22" t="str">
        <f aca="false">IFERROR(VLOOKUP(N100,'Slip Inventory'!$A$2:$R$1181,10,FALSE()),"NOT FOUND")</f>
        <v>OCCUPIED</v>
      </c>
      <c r="Q100" s="22" t="str">
        <f aca="false">IF(P100="OCCUPIED","Y","N")</f>
        <v>Y</v>
      </c>
      <c r="R100" s="25" t="n">
        <f aca="false">SUM(I100:J100)</f>
        <v>0</v>
      </c>
      <c r="S100" s="22" t="str">
        <f aca="false">IF(AND(R100&gt;0,Q100="Y"),"YES","NO")</f>
        <v>NO</v>
      </c>
      <c r="T100" s="22" t="s">
        <v>12977</v>
      </c>
      <c r="U100" s="23" t="n">
        <v>46196</v>
      </c>
      <c r="V100" s="23" t="n">
        <v>46202</v>
      </c>
      <c r="W100" s="22"/>
      <c r="X100" s="22" t="str">
        <f aca="false">IF(ABS(M100)&gt;0.005,"Reported total_due does not equal buckets",IF(O100&lt;&gt;"Y","Account/slip ID mismatch",IF(P100&lt;&gt;"OCCUPIED","Slip not occupied","OK")))</f>
        <v>OK</v>
      </c>
      <c r="Y100" s="22" t="str">
        <f aca="false">IF(ABS(M100)&gt;0.005,"Priority 3","")</f>
        <v/>
      </c>
    </row>
    <row r="101" customFormat="false" ht="15" hidden="false" customHeight="false" outlineLevel="0" collapsed="false">
      <c r="A101" s="22" t="s">
        <v>11598</v>
      </c>
      <c r="B101" s="22" t="s">
        <v>5316</v>
      </c>
      <c r="C101" s="22" t="s">
        <v>6885</v>
      </c>
      <c r="D101" s="22" t="s">
        <v>198</v>
      </c>
      <c r="E101" s="22" t="s">
        <v>8601</v>
      </c>
      <c r="F101" s="25" t="n">
        <v>613.6</v>
      </c>
      <c r="G101" s="25" t="n">
        <v>0</v>
      </c>
      <c r="H101" s="25" t="n">
        <v>0</v>
      </c>
      <c r="I101" s="25" t="n">
        <v>0</v>
      </c>
      <c r="J101" s="25" t="n">
        <v>0</v>
      </c>
      <c r="K101" s="25" t="n">
        <v>613.6</v>
      </c>
      <c r="L101" s="25" t="n">
        <f aca="false">SUM(F101:J101)</f>
        <v>613.6</v>
      </c>
      <c r="M101" s="25" t="n">
        <f aca="false">K101-L101</f>
        <v>0</v>
      </c>
      <c r="N101" s="22" t="str">
        <f aca="false">RIGHT(A101,LEN(A101)-3)</f>
        <v>LP-0510</v>
      </c>
      <c r="O101" s="22" t="str">
        <f aca="false">IF(C101=N101,"Y","N")</f>
        <v>Y</v>
      </c>
      <c r="P101" s="22" t="str">
        <f aca="false">IFERROR(VLOOKUP(N101,'Slip Inventory'!$A$2:$R$1181,10,FALSE()),"NOT FOUND")</f>
        <v>OCCUPIED</v>
      </c>
      <c r="Q101" s="22" t="str">
        <f aca="false">IF(P101="OCCUPIED","Y","N")</f>
        <v>Y</v>
      </c>
      <c r="R101" s="25" t="n">
        <f aca="false">SUM(I101:J101)</f>
        <v>0</v>
      </c>
      <c r="S101" s="22" t="str">
        <f aca="false">IF(AND(R101&gt;0,Q101="Y"),"YES","NO")</f>
        <v>NO</v>
      </c>
      <c r="T101" s="22" t="s">
        <v>12975</v>
      </c>
      <c r="U101" s="23" t="n">
        <v>46228</v>
      </c>
      <c r="V101" s="23" t="n">
        <v>46220</v>
      </c>
      <c r="W101" s="22"/>
      <c r="X101" s="22" t="str">
        <f aca="false">IF(ABS(M101)&gt;0.005,"Reported total_due does not equal buckets",IF(O101&lt;&gt;"Y","Account/slip ID mismatch",IF(P101&lt;&gt;"OCCUPIED","Slip not occupied","OK")))</f>
        <v>OK</v>
      </c>
      <c r="Y101" s="22" t="str">
        <f aca="false">IF(ABS(M101)&gt;0.005,"Priority 3","")</f>
        <v/>
      </c>
    </row>
    <row r="102" customFormat="false" ht="15" hidden="false" customHeight="false" outlineLevel="0" collapsed="false">
      <c r="A102" s="22" t="s">
        <v>11600</v>
      </c>
      <c r="B102" s="22" t="s">
        <v>340</v>
      </c>
      <c r="C102" s="22" t="s">
        <v>6888</v>
      </c>
      <c r="D102" s="22" t="s">
        <v>198</v>
      </c>
      <c r="E102" s="22" t="s">
        <v>8601</v>
      </c>
      <c r="F102" s="25" t="n">
        <v>416</v>
      </c>
      <c r="G102" s="25" t="n">
        <v>0</v>
      </c>
      <c r="H102" s="25" t="n">
        <v>0</v>
      </c>
      <c r="I102" s="25" t="n">
        <v>0</v>
      </c>
      <c r="J102" s="25" t="n">
        <v>0</v>
      </c>
      <c r="K102" s="25" t="n">
        <v>416</v>
      </c>
      <c r="L102" s="25" t="n">
        <f aca="false">SUM(F102:J102)</f>
        <v>416</v>
      </c>
      <c r="M102" s="25" t="n">
        <f aca="false">K102-L102</f>
        <v>0</v>
      </c>
      <c r="N102" s="22" t="str">
        <f aca="false">RIGHT(A102,LEN(A102)-3)</f>
        <v>LP-0511</v>
      </c>
      <c r="O102" s="22" t="str">
        <f aca="false">IF(C102=N102,"Y","N")</f>
        <v>Y</v>
      </c>
      <c r="P102" s="22" t="str">
        <f aca="false">IFERROR(VLOOKUP(N102,'Slip Inventory'!$A$2:$R$1181,10,FALSE()),"NOT FOUND")</f>
        <v>OCCUPIED</v>
      </c>
      <c r="Q102" s="22" t="str">
        <f aca="false">IF(P102="OCCUPIED","Y","N")</f>
        <v>Y</v>
      </c>
      <c r="R102" s="25" t="n">
        <f aca="false">SUM(I102:J102)</f>
        <v>0</v>
      </c>
      <c r="S102" s="22" t="str">
        <f aca="false">IF(AND(R102&gt;0,Q102="Y"),"YES","NO")</f>
        <v>NO</v>
      </c>
      <c r="T102" s="22" t="s">
        <v>12975</v>
      </c>
      <c r="U102" s="23" t="n">
        <v>46220</v>
      </c>
      <c r="V102" s="23" t="n">
        <v>46220</v>
      </c>
      <c r="W102" s="22"/>
      <c r="X102" s="22" t="str">
        <f aca="false">IF(ABS(M102)&gt;0.005,"Reported total_due does not equal buckets",IF(O102&lt;&gt;"Y","Account/slip ID mismatch",IF(P102&lt;&gt;"OCCUPIED","Slip not occupied","OK")))</f>
        <v>OK</v>
      </c>
      <c r="Y102" s="22" t="str">
        <f aca="false">IF(ABS(M102)&gt;0.005,"Priority 3","")</f>
        <v/>
      </c>
    </row>
    <row r="103" customFormat="false" ht="15" hidden="false" customHeight="false" outlineLevel="0" collapsed="false">
      <c r="A103" s="22" t="s">
        <v>11602</v>
      </c>
      <c r="B103" s="22" t="s">
        <v>4604</v>
      </c>
      <c r="C103" s="22" t="s">
        <v>6891</v>
      </c>
      <c r="D103" s="22" t="s">
        <v>198</v>
      </c>
      <c r="E103" s="22" t="s">
        <v>8601</v>
      </c>
      <c r="F103" s="25" t="n">
        <v>416</v>
      </c>
      <c r="G103" s="25" t="n">
        <v>0</v>
      </c>
      <c r="H103" s="25" t="n">
        <v>0</v>
      </c>
      <c r="I103" s="25" t="n">
        <v>0</v>
      </c>
      <c r="J103" s="25" t="n">
        <v>0</v>
      </c>
      <c r="K103" s="25" t="n">
        <v>416</v>
      </c>
      <c r="L103" s="25" t="n">
        <f aca="false">SUM(F103:J103)</f>
        <v>416</v>
      </c>
      <c r="M103" s="25" t="n">
        <f aca="false">K103-L103</f>
        <v>0</v>
      </c>
      <c r="N103" s="22" t="str">
        <f aca="false">RIGHT(A103,LEN(A103)-3)</f>
        <v>LP-0512</v>
      </c>
      <c r="O103" s="22" t="str">
        <f aca="false">IF(C103=N103,"Y","N")</f>
        <v>Y</v>
      </c>
      <c r="P103" s="22" t="str">
        <f aca="false">IFERROR(VLOOKUP(N103,'Slip Inventory'!$A$2:$R$1181,10,FALSE()),"NOT FOUND")</f>
        <v>OCCUPIED</v>
      </c>
      <c r="Q103" s="22" t="str">
        <f aca="false">IF(P103="OCCUPIED","Y","N")</f>
        <v>Y</v>
      </c>
      <c r="R103" s="25" t="n">
        <f aca="false">SUM(I103:J103)</f>
        <v>0</v>
      </c>
      <c r="S103" s="22" t="str">
        <f aca="false">IF(AND(R103&gt;0,Q103="Y"),"YES","NO")</f>
        <v>NO</v>
      </c>
      <c r="T103" s="22" t="s">
        <v>12975</v>
      </c>
      <c r="U103" s="23" t="n">
        <v>46232</v>
      </c>
      <c r="V103" s="23" t="n">
        <v>46185</v>
      </c>
      <c r="W103" s="22"/>
      <c r="X103" s="22" t="str">
        <f aca="false">IF(ABS(M103)&gt;0.005,"Reported total_due does not equal buckets",IF(O103&lt;&gt;"Y","Account/slip ID mismatch",IF(P103&lt;&gt;"OCCUPIED","Slip not occupied","OK")))</f>
        <v>OK</v>
      </c>
      <c r="Y103" s="22" t="str">
        <f aca="false">IF(ABS(M103)&gt;0.005,"Priority 3","")</f>
        <v/>
      </c>
    </row>
    <row r="104" customFormat="false" ht="15" hidden="false" customHeight="false" outlineLevel="0" collapsed="false">
      <c r="A104" s="22" t="s">
        <v>11604</v>
      </c>
      <c r="B104" s="22" t="s">
        <v>1521</v>
      </c>
      <c r="C104" s="22" t="s">
        <v>6894</v>
      </c>
      <c r="D104" s="22" t="s">
        <v>198</v>
      </c>
      <c r="E104" s="22" t="s">
        <v>8601</v>
      </c>
      <c r="F104" s="25" t="n">
        <v>426.4</v>
      </c>
      <c r="G104" s="25" t="n">
        <v>0</v>
      </c>
      <c r="H104" s="25" t="n">
        <v>0</v>
      </c>
      <c r="I104" s="25" t="n">
        <v>0</v>
      </c>
      <c r="J104" s="25" t="n">
        <v>0</v>
      </c>
      <c r="K104" s="25" t="n">
        <v>426.4</v>
      </c>
      <c r="L104" s="25" t="n">
        <f aca="false">SUM(F104:J104)</f>
        <v>426.4</v>
      </c>
      <c r="M104" s="25" t="n">
        <f aca="false">K104-L104</f>
        <v>0</v>
      </c>
      <c r="N104" s="22" t="str">
        <f aca="false">RIGHT(A104,LEN(A104)-3)</f>
        <v>LP-0513</v>
      </c>
      <c r="O104" s="22" t="str">
        <f aca="false">IF(C104=N104,"Y","N")</f>
        <v>Y</v>
      </c>
      <c r="P104" s="22" t="str">
        <f aca="false">IFERROR(VLOOKUP(N104,'Slip Inventory'!$A$2:$R$1181,10,FALSE()),"NOT FOUND")</f>
        <v>OCCUPIED</v>
      </c>
      <c r="Q104" s="22" t="str">
        <f aca="false">IF(P104="OCCUPIED","Y","N")</f>
        <v>Y</v>
      </c>
      <c r="R104" s="25" t="n">
        <f aca="false">SUM(I104:J104)</f>
        <v>0</v>
      </c>
      <c r="S104" s="22" t="str">
        <f aca="false">IF(AND(R104&gt;0,Q104="Y"),"YES","NO")</f>
        <v>NO</v>
      </c>
      <c r="T104" s="22" t="s">
        <v>12975</v>
      </c>
      <c r="U104" s="23" t="n">
        <v>46158</v>
      </c>
      <c r="V104" s="23" t="n">
        <v>46215</v>
      </c>
      <c r="W104" s="22"/>
      <c r="X104" s="22" t="str">
        <f aca="false">IF(ABS(M104)&gt;0.005,"Reported total_due does not equal buckets",IF(O104&lt;&gt;"Y","Account/slip ID mismatch",IF(P104&lt;&gt;"OCCUPIED","Slip not occupied","OK")))</f>
        <v>OK</v>
      </c>
      <c r="Y104" s="22" t="str">
        <f aca="false">IF(ABS(M104)&gt;0.005,"Priority 3","")</f>
        <v/>
      </c>
    </row>
    <row r="105" customFormat="false" ht="15" hidden="false" customHeight="false" outlineLevel="0" collapsed="false">
      <c r="A105" s="22" t="s">
        <v>11606</v>
      </c>
      <c r="B105" s="22" t="s">
        <v>271</v>
      </c>
      <c r="C105" s="22" t="s">
        <v>6897</v>
      </c>
      <c r="D105" s="22" t="s">
        <v>198</v>
      </c>
      <c r="E105" s="22" t="s">
        <v>8601</v>
      </c>
      <c r="F105" s="25" t="n">
        <v>291.2</v>
      </c>
      <c r="G105" s="25" t="n">
        <v>291.2</v>
      </c>
      <c r="H105" s="25" t="n">
        <v>291.2</v>
      </c>
      <c r="I105" s="25" t="n">
        <v>0</v>
      </c>
      <c r="J105" s="25" t="n">
        <v>0</v>
      </c>
      <c r="K105" s="25" t="n">
        <v>873.6</v>
      </c>
      <c r="L105" s="25" t="n">
        <f aca="false">SUM(F105:J105)</f>
        <v>873.6</v>
      </c>
      <c r="M105" s="25" t="n">
        <f aca="false">K105-L105</f>
        <v>0</v>
      </c>
      <c r="N105" s="22" t="str">
        <f aca="false">RIGHT(A105,LEN(A105)-3)</f>
        <v>LP-0514</v>
      </c>
      <c r="O105" s="22" t="str">
        <f aca="false">IF(C105=N105,"Y","N")</f>
        <v>Y</v>
      </c>
      <c r="P105" s="22" t="str">
        <f aca="false">IFERROR(VLOOKUP(N105,'Slip Inventory'!$A$2:$R$1181,10,FALSE()),"NOT FOUND")</f>
        <v>OCCUPIED</v>
      </c>
      <c r="Q105" s="22" t="str">
        <f aca="false">IF(P105="OCCUPIED","Y","N")</f>
        <v>Y</v>
      </c>
      <c r="R105" s="25" t="n">
        <f aca="false">SUM(I105:J105)</f>
        <v>0</v>
      </c>
      <c r="S105" s="22" t="str">
        <f aca="false">IF(AND(R105&gt;0,Q105="Y"),"YES","NO")</f>
        <v>NO</v>
      </c>
      <c r="T105" s="22" t="s">
        <v>12978</v>
      </c>
      <c r="U105" s="23" t="n">
        <v>46148</v>
      </c>
      <c r="V105" s="23" t="n">
        <v>46214</v>
      </c>
      <c r="W105" s="22"/>
      <c r="X105" s="22" t="str">
        <f aca="false">IF(ABS(M105)&gt;0.005,"Reported total_due does not equal buckets",IF(O105&lt;&gt;"Y","Account/slip ID mismatch",IF(P105&lt;&gt;"OCCUPIED","Slip not occupied","OK")))</f>
        <v>OK</v>
      </c>
      <c r="Y105" s="22" t="str">
        <f aca="false">IF(ABS(M105)&gt;0.005,"Priority 3","")</f>
        <v/>
      </c>
    </row>
    <row r="106" customFormat="false" ht="15" hidden="false" customHeight="false" outlineLevel="0" collapsed="false">
      <c r="A106" s="22" t="s">
        <v>11608</v>
      </c>
      <c r="B106" s="22" t="s">
        <v>5007</v>
      </c>
      <c r="C106" s="22" t="s">
        <v>6902</v>
      </c>
      <c r="D106" s="22" t="s">
        <v>198</v>
      </c>
      <c r="E106" s="22" t="s">
        <v>8601</v>
      </c>
      <c r="F106" s="25" t="n">
        <v>416</v>
      </c>
      <c r="G106" s="25" t="n">
        <v>416</v>
      </c>
      <c r="H106" s="25" t="n">
        <v>416</v>
      </c>
      <c r="I106" s="25" t="n">
        <v>0</v>
      </c>
      <c r="J106" s="25" t="n">
        <v>0</v>
      </c>
      <c r="K106" s="25" t="n">
        <v>1248</v>
      </c>
      <c r="L106" s="25" t="n">
        <f aca="false">SUM(F106:J106)</f>
        <v>1248</v>
      </c>
      <c r="M106" s="25" t="n">
        <f aca="false">K106-L106</f>
        <v>0</v>
      </c>
      <c r="N106" s="22" t="str">
        <f aca="false">RIGHT(A106,LEN(A106)-3)</f>
        <v>LP-0516</v>
      </c>
      <c r="O106" s="22" t="str">
        <f aca="false">IF(C106=N106,"Y","N")</f>
        <v>Y</v>
      </c>
      <c r="P106" s="22" t="str">
        <f aca="false">IFERROR(VLOOKUP(N106,'Slip Inventory'!$A$2:$R$1181,10,FALSE()),"NOT FOUND")</f>
        <v>OCCUPIED</v>
      </c>
      <c r="Q106" s="22" t="str">
        <f aca="false">IF(P106="OCCUPIED","Y","N")</f>
        <v>Y</v>
      </c>
      <c r="R106" s="25" t="n">
        <f aca="false">SUM(I106:J106)</f>
        <v>0</v>
      </c>
      <c r="S106" s="22" t="str">
        <f aca="false">IF(AND(R106&gt;0,Q106="Y"),"YES","NO")</f>
        <v>NO</v>
      </c>
      <c r="T106" s="22" t="s">
        <v>12978</v>
      </c>
      <c r="U106" s="23" t="n">
        <v>46219</v>
      </c>
      <c r="V106" s="23" t="n">
        <v>46177</v>
      </c>
      <c r="W106" s="22"/>
      <c r="X106" s="22" t="str">
        <f aca="false">IF(ABS(M106)&gt;0.005,"Reported total_due does not equal buckets",IF(O106&lt;&gt;"Y","Account/slip ID mismatch",IF(P106&lt;&gt;"OCCUPIED","Slip not occupied","OK")))</f>
        <v>OK</v>
      </c>
      <c r="Y106" s="22" t="str">
        <f aca="false">IF(ABS(M106)&gt;0.005,"Priority 3","")</f>
        <v/>
      </c>
    </row>
    <row r="107" customFormat="false" ht="15" hidden="false" customHeight="false" outlineLevel="0" collapsed="false">
      <c r="A107" s="22" t="s">
        <v>11610</v>
      </c>
      <c r="B107" s="22" t="s">
        <v>4151</v>
      </c>
      <c r="C107" s="22" t="s">
        <v>6905</v>
      </c>
      <c r="D107" s="22" t="s">
        <v>198</v>
      </c>
      <c r="E107" s="22" t="s">
        <v>8601</v>
      </c>
      <c r="F107" s="25" t="n">
        <v>572</v>
      </c>
      <c r="G107" s="25" t="n">
        <v>0</v>
      </c>
      <c r="H107" s="25" t="n">
        <v>0</v>
      </c>
      <c r="I107" s="25" t="n">
        <v>0</v>
      </c>
      <c r="J107" s="25" t="n">
        <v>0</v>
      </c>
      <c r="K107" s="25" t="n">
        <v>0</v>
      </c>
      <c r="L107" s="25" t="n">
        <f aca="false">SUM(F107:J107)</f>
        <v>572</v>
      </c>
      <c r="M107" s="25" t="n">
        <f aca="false">K107-L107</f>
        <v>-572</v>
      </c>
      <c r="N107" s="22" t="str">
        <f aca="false">RIGHT(A107,LEN(A107)-3)</f>
        <v>LP-0517</v>
      </c>
      <c r="O107" s="22" t="str">
        <f aca="false">IF(C107=N107,"Y","N")</f>
        <v>Y</v>
      </c>
      <c r="P107" s="22" t="str">
        <f aca="false">IFERROR(VLOOKUP(N107,'Slip Inventory'!$A$2:$R$1181,10,FALSE()),"NOT FOUND")</f>
        <v>OCCUPIED</v>
      </c>
      <c r="Q107" s="22" t="str">
        <f aca="false">IF(P107="OCCUPIED","Y","N")</f>
        <v>Y</v>
      </c>
      <c r="R107" s="25" t="n">
        <f aca="false">SUM(I107:J107)</f>
        <v>0</v>
      </c>
      <c r="S107" s="22" t="str">
        <f aca="false">IF(AND(R107&gt;0,Q107="Y"),"YES","NO")</f>
        <v>NO</v>
      </c>
      <c r="T107" s="22" t="s">
        <v>12975</v>
      </c>
      <c r="U107" s="23" t="n">
        <v>46229</v>
      </c>
      <c r="V107" s="23" t="n">
        <v>46183</v>
      </c>
      <c r="W107" s="22"/>
      <c r="X107" s="22" t="str">
        <f aca="false">IF(ABS(M107)&gt;0.005,"Reported total_due does not equal buckets",IF(O107&lt;&gt;"Y","Account/slip ID mismatch",IF(P107&lt;&gt;"OCCUPIED","Slip not occupied","OK")))</f>
        <v>Reported total_due does not equal buckets</v>
      </c>
      <c r="Y107" s="22" t="str">
        <f aca="false">IF(ABS(M107)&gt;0.005,"Priority 3","")</f>
        <v>Priority 3</v>
      </c>
    </row>
    <row r="108" customFormat="false" ht="15" hidden="false" customHeight="false" outlineLevel="0" collapsed="false">
      <c r="A108" s="22" t="s">
        <v>11612</v>
      </c>
      <c r="B108" s="22" t="s">
        <v>4657</v>
      </c>
      <c r="C108" s="22" t="s">
        <v>6908</v>
      </c>
      <c r="D108" s="22" t="s">
        <v>198</v>
      </c>
      <c r="E108" s="22" t="s">
        <v>8601</v>
      </c>
      <c r="F108" s="25" t="n">
        <v>374.4</v>
      </c>
      <c r="G108" s="25" t="n">
        <v>0</v>
      </c>
      <c r="H108" s="25" t="n">
        <v>0</v>
      </c>
      <c r="I108" s="25" t="n">
        <v>0</v>
      </c>
      <c r="J108" s="25" t="n">
        <v>0</v>
      </c>
      <c r="K108" s="25" t="n">
        <v>374.4</v>
      </c>
      <c r="L108" s="25" t="n">
        <f aca="false">SUM(F108:J108)</f>
        <v>374.4</v>
      </c>
      <c r="M108" s="25" t="n">
        <f aca="false">K108-L108</f>
        <v>0</v>
      </c>
      <c r="N108" s="22" t="str">
        <f aca="false">RIGHT(A108,LEN(A108)-3)</f>
        <v>LP-0518</v>
      </c>
      <c r="O108" s="22" t="str">
        <f aca="false">IF(C108=N108,"Y","N")</f>
        <v>Y</v>
      </c>
      <c r="P108" s="22" t="str">
        <f aca="false">IFERROR(VLOOKUP(N108,'Slip Inventory'!$A$2:$R$1181,10,FALSE()),"NOT FOUND")</f>
        <v>OCCUPIED</v>
      </c>
      <c r="Q108" s="22" t="str">
        <f aca="false">IF(P108="OCCUPIED","Y","N")</f>
        <v>Y</v>
      </c>
      <c r="R108" s="25" t="n">
        <f aca="false">SUM(I108:J108)</f>
        <v>0</v>
      </c>
      <c r="S108" s="22" t="str">
        <f aca="false">IF(AND(R108&gt;0,Q108="Y"),"YES","NO")</f>
        <v>NO</v>
      </c>
      <c r="T108" s="22" t="s">
        <v>12975</v>
      </c>
      <c r="U108" s="23" t="n">
        <v>46183</v>
      </c>
      <c r="V108" s="23" t="n">
        <v>46228</v>
      </c>
      <c r="W108" s="22"/>
      <c r="X108" s="22" t="str">
        <f aca="false">IF(ABS(M108)&gt;0.005,"Reported total_due does not equal buckets",IF(O108&lt;&gt;"Y","Account/slip ID mismatch",IF(P108&lt;&gt;"OCCUPIED","Slip not occupied","OK")))</f>
        <v>OK</v>
      </c>
      <c r="Y108" s="22" t="str">
        <f aca="false">IF(ABS(M108)&gt;0.005,"Priority 3","")</f>
        <v/>
      </c>
    </row>
    <row r="109" customFormat="false" ht="15" hidden="false" customHeight="false" outlineLevel="0" collapsed="false">
      <c r="A109" s="22" t="s">
        <v>11614</v>
      </c>
      <c r="B109" s="22" t="s">
        <v>5101</v>
      </c>
      <c r="C109" s="22" t="s">
        <v>6911</v>
      </c>
      <c r="D109" s="22" t="s">
        <v>198</v>
      </c>
      <c r="E109" s="22" t="s">
        <v>8601</v>
      </c>
      <c r="F109" s="25" t="n">
        <v>384.8</v>
      </c>
      <c r="G109" s="25" t="n">
        <v>384.8</v>
      </c>
      <c r="H109" s="25" t="n">
        <v>0</v>
      </c>
      <c r="I109" s="25" t="n">
        <v>0</v>
      </c>
      <c r="J109" s="25" t="n">
        <v>0</v>
      </c>
      <c r="K109" s="25" t="n">
        <v>769.6</v>
      </c>
      <c r="L109" s="25" t="n">
        <f aca="false">SUM(F109:J109)</f>
        <v>769.6</v>
      </c>
      <c r="M109" s="25" t="n">
        <f aca="false">K109-L109</f>
        <v>0</v>
      </c>
      <c r="N109" s="22" t="str">
        <f aca="false">RIGHT(A109,LEN(A109)-3)</f>
        <v>LP-0519</v>
      </c>
      <c r="O109" s="22" t="str">
        <f aca="false">IF(C109=N109,"Y","N")</f>
        <v>Y</v>
      </c>
      <c r="P109" s="22" t="str">
        <f aca="false">IFERROR(VLOOKUP(N109,'Slip Inventory'!$A$2:$R$1181,10,FALSE()),"NOT FOUND")</f>
        <v>OCCUPIED</v>
      </c>
      <c r="Q109" s="22" t="str">
        <f aca="false">IF(P109="OCCUPIED","Y","N")</f>
        <v>Y</v>
      </c>
      <c r="R109" s="25" t="n">
        <f aca="false">SUM(I109:J109)</f>
        <v>0</v>
      </c>
      <c r="S109" s="22" t="str">
        <f aca="false">IF(AND(R109&gt;0,Q109="Y"),"YES","NO")</f>
        <v>NO</v>
      </c>
      <c r="T109" s="22" t="s">
        <v>12977</v>
      </c>
      <c r="U109" s="23" t="n">
        <v>46216</v>
      </c>
      <c r="V109" s="23" t="n">
        <v>46227</v>
      </c>
      <c r="W109" s="22"/>
      <c r="X109" s="22" t="str">
        <f aca="false">IF(ABS(M109)&gt;0.005,"Reported total_due does not equal buckets",IF(O109&lt;&gt;"Y","Account/slip ID mismatch",IF(P109&lt;&gt;"OCCUPIED","Slip not occupied","OK")))</f>
        <v>OK</v>
      </c>
      <c r="Y109" s="22" t="str">
        <f aca="false">IF(ABS(M109)&gt;0.005,"Priority 3","")</f>
        <v/>
      </c>
    </row>
    <row r="110" customFormat="false" ht="15" hidden="false" customHeight="false" outlineLevel="0" collapsed="false">
      <c r="A110" s="22" t="s">
        <v>11616</v>
      </c>
      <c r="B110" s="22" t="s">
        <v>2411</v>
      </c>
      <c r="C110" s="22" t="s">
        <v>6914</v>
      </c>
      <c r="D110" s="22" t="s">
        <v>198</v>
      </c>
      <c r="E110" s="22" t="s">
        <v>8601</v>
      </c>
      <c r="F110" s="25" t="n">
        <v>405.6</v>
      </c>
      <c r="G110" s="25" t="n">
        <v>0</v>
      </c>
      <c r="H110" s="25" t="n">
        <v>0</v>
      </c>
      <c r="I110" s="25" t="n">
        <v>0</v>
      </c>
      <c r="J110" s="25" t="n">
        <v>0</v>
      </c>
      <c r="K110" s="25" t="n">
        <v>0</v>
      </c>
      <c r="L110" s="25" t="n">
        <f aca="false">SUM(F110:J110)</f>
        <v>405.6</v>
      </c>
      <c r="M110" s="25" t="n">
        <f aca="false">K110-L110</f>
        <v>-405.6</v>
      </c>
      <c r="N110" s="22" t="str">
        <f aca="false">RIGHT(A110,LEN(A110)-3)</f>
        <v>LP-0520</v>
      </c>
      <c r="O110" s="22" t="str">
        <f aca="false">IF(C110=N110,"Y","N")</f>
        <v>Y</v>
      </c>
      <c r="P110" s="22" t="str">
        <f aca="false">IFERROR(VLOOKUP(N110,'Slip Inventory'!$A$2:$R$1181,10,FALSE()),"NOT FOUND")</f>
        <v>OCCUPIED</v>
      </c>
      <c r="Q110" s="22" t="str">
        <f aca="false">IF(P110="OCCUPIED","Y","N")</f>
        <v>Y</v>
      </c>
      <c r="R110" s="25" t="n">
        <f aca="false">SUM(I110:J110)</f>
        <v>0</v>
      </c>
      <c r="S110" s="22" t="str">
        <f aca="false">IF(AND(R110&gt;0,Q110="Y"),"YES","NO")</f>
        <v>NO</v>
      </c>
      <c r="T110" s="22" t="s">
        <v>12975</v>
      </c>
      <c r="U110" s="23" t="n">
        <v>46232</v>
      </c>
      <c r="V110" s="23" t="n">
        <v>46192</v>
      </c>
      <c r="W110" s="22"/>
      <c r="X110" s="22" t="str">
        <f aca="false">IF(ABS(M110)&gt;0.005,"Reported total_due does not equal buckets",IF(O110&lt;&gt;"Y","Account/slip ID mismatch",IF(P110&lt;&gt;"OCCUPIED","Slip not occupied","OK")))</f>
        <v>Reported total_due does not equal buckets</v>
      </c>
      <c r="Y110" s="22" t="str">
        <f aca="false">IF(ABS(M110)&gt;0.005,"Priority 3","")</f>
        <v>Priority 3</v>
      </c>
    </row>
    <row r="111" customFormat="false" ht="15" hidden="false" customHeight="false" outlineLevel="0" collapsed="false">
      <c r="A111" s="22" t="s">
        <v>11618</v>
      </c>
      <c r="B111" s="22" t="s">
        <v>5060</v>
      </c>
      <c r="C111" s="22" t="s">
        <v>6917</v>
      </c>
      <c r="D111" s="22" t="s">
        <v>198</v>
      </c>
      <c r="E111" s="22" t="s">
        <v>8601</v>
      </c>
      <c r="F111" s="25" t="n">
        <v>416</v>
      </c>
      <c r="G111" s="25" t="n">
        <v>0</v>
      </c>
      <c r="H111" s="25" t="n">
        <v>0</v>
      </c>
      <c r="I111" s="25" t="n">
        <v>0</v>
      </c>
      <c r="J111" s="25" t="n">
        <v>0</v>
      </c>
      <c r="K111" s="25" t="n">
        <v>416</v>
      </c>
      <c r="L111" s="25" t="n">
        <f aca="false">SUM(F111:J111)</f>
        <v>416</v>
      </c>
      <c r="M111" s="25" t="n">
        <f aca="false">K111-L111</f>
        <v>0</v>
      </c>
      <c r="N111" s="22" t="str">
        <f aca="false">RIGHT(A111,LEN(A111)-3)</f>
        <v>LP-0521</v>
      </c>
      <c r="O111" s="22" t="str">
        <f aca="false">IF(C111=N111,"Y","N")</f>
        <v>Y</v>
      </c>
      <c r="P111" s="22" t="str">
        <f aca="false">IFERROR(VLOOKUP(N111,'Slip Inventory'!$A$2:$R$1181,10,FALSE()),"NOT FOUND")</f>
        <v>OCCUPIED</v>
      </c>
      <c r="Q111" s="22" t="str">
        <f aca="false">IF(P111="OCCUPIED","Y","N")</f>
        <v>Y</v>
      </c>
      <c r="R111" s="25" t="n">
        <f aca="false">SUM(I111:J111)</f>
        <v>0</v>
      </c>
      <c r="S111" s="22" t="str">
        <f aca="false">IF(AND(R111&gt;0,Q111="Y"),"YES","NO")</f>
        <v>NO</v>
      </c>
      <c r="T111" s="22" t="s">
        <v>12975</v>
      </c>
      <c r="U111" s="23" t="n">
        <v>46177</v>
      </c>
      <c r="V111" s="23" t="n">
        <v>46233</v>
      </c>
      <c r="W111" s="22"/>
      <c r="X111" s="22" t="str">
        <f aca="false">IF(ABS(M111)&gt;0.005,"Reported total_due does not equal buckets",IF(O111&lt;&gt;"Y","Account/slip ID mismatch",IF(P111&lt;&gt;"OCCUPIED","Slip not occupied","OK")))</f>
        <v>OK</v>
      </c>
      <c r="Y111" s="22" t="str">
        <f aca="false">IF(ABS(M111)&gt;0.005,"Priority 3","")</f>
        <v/>
      </c>
    </row>
    <row r="112" customFormat="false" ht="15" hidden="false" customHeight="false" outlineLevel="0" collapsed="false">
      <c r="A112" s="22" t="s">
        <v>11620</v>
      </c>
      <c r="B112" s="22" t="s">
        <v>1745</v>
      </c>
      <c r="C112" s="22" t="s">
        <v>6920</v>
      </c>
      <c r="D112" s="22" t="s">
        <v>198</v>
      </c>
      <c r="E112" s="22" t="s">
        <v>8601</v>
      </c>
      <c r="F112" s="25" t="n">
        <v>634.4</v>
      </c>
      <c r="G112" s="25" t="n">
        <v>634.4</v>
      </c>
      <c r="H112" s="25" t="n">
        <v>0</v>
      </c>
      <c r="I112" s="25" t="n">
        <v>0</v>
      </c>
      <c r="J112" s="25" t="n">
        <v>0</v>
      </c>
      <c r="K112" s="25" t="n">
        <v>1268.8</v>
      </c>
      <c r="L112" s="25" t="n">
        <f aca="false">SUM(F112:J112)</f>
        <v>1268.8</v>
      </c>
      <c r="M112" s="25" t="n">
        <f aca="false">K112-L112</f>
        <v>0</v>
      </c>
      <c r="N112" s="22" t="str">
        <f aca="false">RIGHT(A112,LEN(A112)-3)</f>
        <v>LP-0522</v>
      </c>
      <c r="O112" s="22" t="str">
        <f aca="false">IF(C112=N112,"Y","N")</f>
        <v>Y</v>
      </c>
      <c r="P112" s="22" t="str">
        <f aca="false">IFERROR(VLOOKUP(N112,'Slip Inventory'!$A$2:$R$1181,10,FALSE()),"NOT FOUND")</f>
        <v>OCCUPIED</v>
      </c>
      <c r="Q112" s="22" t="str">
        <f aca="false">IF(P112="OCCUPIED","Y","N")</f>
        <v>Y</v>
      </c>
      <c r="R112" s="25" t="n">
        <f aca="false">SUM(I112:J112)</f>
        <v>0</v>
      </c>
      <c r="S112" s="22" t="str">
        <f aca="false">IF(AND(R112&gt;0,Q112="Y"),"YES","NO")</f>
        <v>NO</v>
      </c>
      <c r="T112" s="22" t="s">
        <v>12977</v>
      </c>
      <c r="U112" s="23" t="n">
        <v>46156</v>
      </c>
      <c r="V112" s="23" t="n">
        <v>46216</v>
      </c>
      <c r="W112" s="22"/>
      <c r="X112" s="22" t="str">
        <f aca="false">IF(ABS(M112)&gt;0.005,"Reported total_due does not equal buckets",IF(O112&lt;&gt;"Y","Account/slip ID mismatch",IF(P112&lt;&gt;"OCCUPIED","Slip not occupied","OK")))</f>
        <v>OK</v>
      </c>
      <c r="Y112" s="22" t="str">
        <f aca="false">IF(ABS(M112)&gt;0.005,"Priority 3","")</f>
        <v/>
      </c>
    </row>
    <row r="113" customFormat="false" ht="15" hidden="false" customHeight="false" outlineLevel="0" collapsed="false">
      <c r="A113" s="22" t="s">
        <v>11622</v>
      </c>
      <c r="B113" s="22" t="s">
        <v>5163</v>
      </c>
      <c r="C113" s="22" t="s">
        <v>6923</v>
      </c>
      <c r="D113" s="22" t="s">
        <v>198</v>
      </c>
      <c r="E113" s="22" t="s">
        <v>8601</v>
      </c>
      <c r="F113" s="25" t="n">
        <v>260</v>
      </c>
      <c r="G113" s="25" t="n">
        <v>0</v>
      </c>
      <c r="H113" s="25" t="n">
        <v>0</v>
      </c>
      <c r="I113" s="25" t="n">
        <v>0</v>
      </c>
      <c r="J113" s="25" t="n">
        <v>0</v>
      </c>
      <c r="K113" s="25" t="n">
        <v>260</v>
      </c>
      <c r="L113" s="25" t="n">
        <f aca="false">SUM(F113:J113)</f>
        <v>260</v>
      </c>
      <c r="M113" s="25" t="n">
        <f aca="false">K113-L113</f>
        <v>0</v>
      </c>
      <c r="N113" s="22" t="str">
        <f aca="false">RIGHT(A113,LEN(A113)-3)</f>
        <v>LP-0523</v>
      </c>
      <c r="O113" s="22" t="str">
        <f aca="false">IF(C113=N113,"Y","N")</f>
        <v>Y</v>
      </c>
      <c r="P113" s="22" t="str">
        <f aca="false">IFERROR(VLOOKUP(N113,'Slip Inventory'!$A$2:$R$1181,10,FALSE()),"NOT FOUND")</f>
        <v>OCCUPIED</v>
      </c>
      <c r="Q113" s="22" t="str">
        <f aca="false">IF(P113="OCCUPIED","Y","N")</f>
        <v>Y</v>
      </c>
      <c r="R113" s="25" t="n">
        <f aca="false">SUM(I113:J113)</f>
        <v>0</v>
      </c>
      <c r="S113" s="22" t="str">
        <f aca="false">IF(AND(R113&gt;0,Q113="Y"),"YES","NO")</f>
        <v>NO</v>
      </c>
      <c r="T113" s="22" t="s">
        <v>12975</v>
      </c>
      <c r="U113" s="23" t="n">
        <v>46152</v>
      </c>
      <c r="V113" s="23" t="n">
        <v>46212</v>
      </c>
      <c r="W113" s="22" t="s">
        <v>12976</v>
      </c>
      <c r="X113" s="22" t="str">
        <f aca="false">IF(ABS(M113)&gt;0.005,"Reported total_due does not equal buckets",IF(O113&lt;&gt;"Y","Account/slip ID mismatch",IF(P113&lt;&gt;"OCCUPIED","Slip not occupied","OK")))</f>
        <v>OK</v>
      </c>
      <c r="Y113" s="22" t="str">
        <f aca="false">IF(ABS(M113)&gt;0.005,"Priority 3","")</f>
        <v/>
      </c>
    </row>
    <row r="114" customFormat="false" ht="15" hidden="false" customHeight="false" outlineLevel="0" collapsed="false">
      <c r="A114" s="22" t="s">
        <v>11624</v>
      </c>
      <c r="B114" s="22" t="s">
        <v>4108</v>
      </c>
      <c r="C114" s="22" t="s">
        <v>6925</v>
      </c>
      <c r="D114" s="22" t="s">
        <v>198</v>
      </c>
      <c r="E114" s="22" t="s">
        <v>8601</v>
      </c>
      <c r="F114" s="25" t="n">
        <v>291.2</v>
      </c>
      <c r="G114" s="25" t="n">
        <v>0</v>
      </c>
      <c r="H114" s="25" t="n">
        <v>0</v>
      </c>
      <c r="I114" s="25" t="n">
        <v>0</v>
      </c>
      <c r="J114" s="25" t="n">
        <v>0</v>
      </c>
      <c r="K114" s="25" t="n">
        <v>291.2</v>
      </c>
      <c r="L114" s="25" t="n">
        <f aca="false">SUM(F114:J114)</f>
        <v>291.2</v>
      </c>
      <c r="M114" s="25" t="n">
        <f aca="false">K114-L114</f>
        <v>0</v>
      </c>
      <c r="N114" s="22" t="str">
        <f aca="false">RIGHT(A114,LEN(A114)-3)</f>
        <v>LP-0524</v>
      </c>
      <c r="O114" s="22" t="str">
        <f aca="false">IF(C114=N114,"Y","N")</f>
        <v>Y</v>
      </c>
      <c r="P114" s="22" t="str">
        <f aca="false">IFERROR(VLOOKUP(N114,'Slip Inventory'!$A$2:$R$1181,10,FALSE()),"NOT FOUND")</f>
        <v>OCCUPIED</v>
      </c>
      <c r="Q114" s="22" t="str">
        <f aca="false">IF(P114="OCCUPIED","Y","N")</f>
        <v>Y</v>
      </c>
      <c r="R114" s="25" t="n">
        <f aca="false">SUM(I114:J114)</f>
        <v>0</v>
      </c>
      <c r="S114" s="22" t="str">
        <f aca="false">IF(AND(R114&gt;0,Q114="Y"),"YES","NO")</f>
        <v>NO</v>
      </c>
      <c r="T114" s="22" t="s">
        <v>12975</v>
      </c>
      <c r="U114" s="23" t="n">
        <v>46203</v>
      </c>
      <c r="V114" s="23" t="n">
        <v>46212</v>
      </c>
      <c r="W114" s="22"/>
      <c r="X114" s="22" t="str">
        <f aca="false">IF(ABS(M114)&gt;0.005,"Reported total_due does not equal buckets",IF(O114&lt;&gt;"Y","Account/slip ID mismatch",IF(P114&lt;&gt;"OCCUPIED","Slip not occupied","OK")))</f>
        <v>OK</v>
      </c>
      <c r="Y114" s="22" t="str">
        <f aca="false">IF(ABS(M114)&gt;0.005,"Priority 3","")</f>
        <v/>
      </c>
    </row>
    <row r="115" customFormat="false" ht="15" hidden="false" customHeight="false" outlineLevel="0" collapsed="false">
      <c r="A115" s="22" t="s">
        <v>11626</v>
      </c>
      <c r="B115" s="22" t="s">
        <v>3993</v>
      </c>
      <c r="C115" s="22" t="s">
        <v>6928</v>
      </c>
      <c r="D115" s="22" t="s">
        <v>198</v>
      </c>
      <c r="E115" s="22" t="s">
        <v>8601</v>
      </c>
      <c r="F115" s="25" t="n">
        <v>312</v>
      </c>
      <c r="G115" s="25" t="n">
        <v>0</v>
      </c>
      <c r="H115" s="25" t="n">
        <v>0</v>
      </c>
      <c r="I115" s="25" t="n">
        <v>0</v>
      </c>
      <c r="J115" s="25" t="n">
        <v>0</v>
      </c>
      <c r="K115" s="25" t="n">
        <v>0</v>
      </c>
      <c r="L115" s="25" t="n">
        <f aca="false">SUM(F115:J115)</f>
        <v>312</v>
      </c>
      <c r="M115" s="25" t="n">
        <f aca="false">K115-L115</f>
        <v>-312</v>
      </c>
      <c r="N115" s="22" t="str">
        <f aca="false">RIGHT(A115,LEN(A115)-3)</f>
        <v>LP-0601</v>
      </c>
      <c r="O115" s="22" t="str">
        <f aca="false">IF(C115=N115,"Y","N")</f>
        <v>Y</v>
      </c>
      <c r="P115" s="22" t="str">
        <f aca="false">IFERROR(VLOOKUP(N115,'Slip Inventory'!$A$2:$R$1181,10,FALSE()),"NOT FOUND")</f>
        <v>OCCUPIED</v>
      </c>
      <c r="Q115" s="22" t="str">
        <f aca="false">IF(P115="OCCUPIED","Y","N")</f>
        <v>Y</v>
      </c>
      <c r="R115" s="25" t="n">
        <f aca="false">SUM(I115:J115)</f>
        <v>0</v>
      </c>
      <c r="S115" s="22" t="str">
        <f aca="false">IF(AND(R115&gt;0,Q115="Y"),"YES","NO")</f>
        <v>NO</v>
      </c>
      <c r="T115" s="22" t="s">
        <v>12975</v>
      </c>
      <c r="U115" s="23" t="n">
        <v>46188</v>
      </c>
      <c r="V115" s="23" t="n">
        <v>46175</v>
      </c>
      <c r="W115" s="22"/>
      <c r="X115" s="22" t="str">
        <f aca="false">IF(ABS(M115)&gt;0.005,"Reported total_due does not equal buckets",IF(O115&lt;&gt;"Y","Account/slip ID mismatch",IF(P115&lt;&gt;"OCCUPIED","Slip not occupied","OK")))</f>
        <v>Reported total_due does not equal buckets</v>
      </c>
      <c r="Y115" s="22" t="str">
        <f aca="false">IF(ABS(M115)&gt;0.005,"Priority 3","")</f>
        <v>Priority 3</v>
      </c>
    </row>
    <row r="116" customFormat="false" ht="15" hidden="false" customHeight="false" outlineLevel="0" collapsed="false">
      <c r="A116" s="22" t="s">
        <v>11628</v>
      </c>
      <c r="B116" s="22" t="s">
        <v>1112</v>
      </c>
      <c r="C116" s="22" t="s">
        <v>6932</v>
      </c>
      <c r="D116" s="22" t="s">
        <v>198</v>
      </c>
      <c r="E116" s="22" t="s">
        <v>8601</v>
      </c>
      <c r="F116" s="25" t="n">
        <v>603.2</v>
      </c>
      <c r="G116" s="25" t="n">
        <v>603.2</v>
      </c>
      <c r="H116" s="25" t="n">
        <v>603.2</v>
      </c>
      <c r="I116" s="25" t="n">
        <v>603.2</v>
      </c>
      <c r="J116" s="25" t="n">
        <v>603.2</v>
      </c>
      <c r="K116" s="25" t="n">
        <v>3016</v>
      </c>
      <c r="L116" s="25" t="n">
        <f aca="false">SUM(F116:J116)</f>
        <v>3016</v>
      </c>
      <c r="M116" s="25" t="n">
        <f aca="false">K116-L116</f>
        <v>0</v>
      </c>
      <c r="N116" s="22" t="str">
        <f aca="false">RIGHT(A116,LEN(A116)-3)</f>
        <v>LP-0602</v>
      </c>
      <c r="O116" s="22" t="str">
        <f aca="false">IF(C116=N116,"Y","N")</f>
        <v>Y</v>
      </c>
      <c r="P116" s="22" t="str">
        <f aca="false">IFERROR(VLOOKUP(N116,'Slip Inventory'!$A$2:$R$1181,10,FALSE()),"NOT FOUND")</f>
        <v>OCCUPIED</v>
      </c>
      <c r="Q116" s="22" t="str">
        <f aca="false">IF(P116="OCCUPIED","Y","N")</f>
        <v>Y</v>
      </c>
      <c r="R116" s="25" t="n">
        <f aca="false">SUM(I116:J116)</f>
        <v>1206.4</v>
      </c>
      <c r="S116" s="22" t="str">
        <f aca="false">IF(AND(R116&gt;0,Q116="Y"),"YES","NO")</f>
        <v>YES</v>
      </c>
      <c r="T116" s="22" t="s">
        <v>12978</v>
      </c>
      <c r="U116" s="23" t="n">
        <v>46221</v>
      </c>
      <c r="V116" s="23" t="n">
        <v>46195</v>
      </c>
      <c r="W116" s="22"/>
      <c r="X116" s="22" t="str">
        <f aca="false">IF(ABS(M116)&gt;0.005,"Reported total_due does not equal buckets",IF(O116&lt;&gt;"Y","Account/slip ID mismatch",IF(P116&lt;&gt;"OCCUPIED","Slip not occupied","OK")))</f>
        <v>OK</v>
      </c>
      <c r="Y116" s="22" t="str">
        <f aca="false">IF(ABS(M116)&gt;0.005,"Priority 3","")</f>
        <v/>
      </c>
    </row>
    <row r="117" customFormat="false" ht="15" hidden="false" customHeight="false" outlineLevel="0" collapsed="false">
      <c r="A117" s="22" t="s">
        <v>11630</v>
      </c>
      <c r="B117" s="22" t="s">
        <v>4570</v>
      </c>
      <c r="C117" s="22" t="s">
        <v>6935</v>
      </c>
      <c r="D117" s="22" t="s">
        <v>198</v>
      </c>
      <c r="E117" s="22" t="s">
        <v>8601</v>
      </c>
      <c r="F117" s="25" t="n">
        <v>343.2</v>
      </c>
      <c r="G117" s="25" t="n">
        <v>0</v>
      </c>
      <c r="H117" s="25" t="n">
        <v>0</v>
      </c>
      <c r="I117" s="25" t="n">
        <v>0</v>
      </c>
      <c r="J117" s="25" t="n">
        <v>0</v>
      </c>
      <c r="K117" s="25" t="n">
        <v>343.2</v>
      </c>
      <c r="L117" s="25" t="n">
        <f aca="false">SUM(F117:J117)</f>
        <v>343.2</v>
      </c>
      <c r="M117" s="25" t="n">
        <f aca="false">K117-L117</f>
        <v>0</v>
      </c>
      <c r="N117" s="22" t="str">
        <f aca="false">RIGHT(A117,LEN(A117)-3)</f>
        <v>LP-0603</v>
      </c>
      <c r="O117" s="22" t="str">
        <f aca="false">IF(C117=N117,"Y","N")</f>
        <v>Y</v>
      </c>
      <c r="P117" s="22" t="str">
        <f aca="false">IFERROR(VLOOKUP(N117,'Slip Inventory'!$A$2:$R$1181,10,FALSE()),"NOT FOUND")</f>
        <v>OCCUPIED</v>
      </c>
      <c r="Q117" s="22" t="str">
        <f aca="false">IF(P117="OCCUPIED","Y","N")</f>
        <v>Y</v>
      </c>
      <c r="R117" s="25" t="n">
        <f aca="false">SUM(I117:J117)</f>
        <v>0</v>
      </c>
      <c r="S117" s="22" t="str">
        <f aca="false">IF(AND(R117&gt;0,Q117="Y"),"YES","NO")</f>
        <v>NO</v>
      </c>
      <c r="T117" s="22" t="s">
        <v>12975</v>
      </c>
      <c r="U117" s="23" t="n">
        <v>46144</v>
      </c>
      <c r="V117" s="23" t="n">
        <v>46211</v>
      </c>
      <c r="W117" s="22"/>
      <c r="X117" s="22" t="str">
        <f aca="false">IF(ABS(M117)&gt;0.005,"Reported total_due does not equal buckets",IF(O117&lt;&gt;"Y","Account/slip ID mismatch",IF(P117&lt;&gt;"OCCUPIED","Slip not occupied","OK")))</f>
        <v>OK</v>
      </c>
      <c r="Y117" s="22" t="str">
        <f aca="false">IF(ABS(M117)&gt;0.005,"Priority 3","")</f>
        <v/>
      </c>
    </row>
    <row r="118" customFormat="false" ht="15" hidden="false" customHeight="false" outlineLevel="0" collapsed="false">
      <c r="A118" s="22" t="s">
        <v>11632</v>
      </c>
      <c r="B118" s="22" t="s">
        <v>3929</v>
      </c>
      <c r="C118" s="22" t="s">
        <v>6938</v>
      </c>
      <c r="D118" s="22" t="s">
        <v>198</v>
      </c>
      <c r="E118" s="22" t="s">
        <v>8601</v>
      </c>
      <c r="F118" s="25" t="n">
        <v>530.4</v>
      </c>
      <c r="G118" s="25" t="n">
        <v>0</v>
      </c>
      <c r="H118" s="25" t="n">
        <v>0</v>
      </c>
      <c r="I118" s="25" t="n">
        <v>0</v>
      </c>
      <c r="J118" s="25" t="n">
        <v>0</v>
      </c>
      <c r="K118" s="25" t="n">
        <v>530.4</v>
      </c>
      <c r="L118" s="25" t="n">
        <f aca="false">SUM(F118:J118)</f>
        <v>530.4</v>
      </c>
      <c r="M118" s="25" t="n">
        <f aca="false">K118-L118</f>
        <v>0</v>
      </c>
      <c r="N118" s="22" t="str">
        <f aca="false">RIGHT(A118,LEN(A118)-3)</f>
        <v>LP-0604</v>
      </c>
      <c r="O118" s="22" t="str">
        <f aca="false">IF(C118=N118,"Y","N")</f>
        <v>Y</v>
      </c>
      <c r="P118" s="22" t="str">
        <f aca="false">IFERROR(VLOOKUP(N118,'Slip Inventory'!$A$2:$R$1181,10,FALSE()),"NOT FOUND")</f>
        <v>OCCUPIED</v>
      </c>
      <c r="Q118" s="22" t="str">
        <f aca="false">IF(P118="OCCUPIED","Y","N")</f>
        <v>Y</v>
      </c>
      <c r="R118" s="25" t="n">
        <f aca="false">SUM(I118:J118)</f>
        <v>0</v>
      </c>
      <c r="S118" s="22" t="str">
        <f aca="false">IF(AND(R118&gt;0,Q118="Y"),"YES","NO")</f>
        <v>NO</v>
      </c>
      <c r="T118" s="22" t="s">
        <v>12975</v>
      </c>
      <c r="U118" s="23" t="n">
        <v>46166</v>
      </c>
      <c r="V118" s="23" t="n">
        <v>46207</v>
      </c>
      <c r="W118" s="22"/>
      <c r="X118" s="22" t="str">
        <f aca="false">IF(ABS(M118)&gt;0.005,"Reported total_due does not equal buckets",IF(O118&lt;&gt;"Y","Account/slip ID mismatch",IF(P118&lt;&gt;"OCCUPIED","Slip not occupied","OK")))</f>
        <v>OK</v>
      </c>
      <c r="Y118" s="22" t="str">
        <f aca="false">IF(ABS(M118)&gt;0.005,"Priority 3","")</f>
        <v/>
      </c>
    </row>
    <row r="119" customFormat="false" ht="15" hidden="false" customHeight="false" outlineLevel="0" collapsed="false">
      <c r="A119" s="22" t="s">
        <v>11634</v>
      </c>
      <c r="B119" s="22" t="s">
        <v>2080</v>
      </c>
      <c r="C119" s="22" t="s">
        <v>6941</v>
      </c>
      <c r="D119" s="22" t="s">
        <v>198</v>
      </c>
      <c r="E119" s="22" t="s">
        <v>8601</v>
      </c>
      <c r="F119" s="25" t="n">
        <v>530.4</v>
      </c>
      <c r="G119" s="25" t="n">
        <v>530.4</v>
      </c>
      <c r="H119" s="25" t="n">
        <v>530.4</v>
      </c>
      <c r="I119" s="25" t="n">
        <v>530.4</v>
      </c>
      <c r="J119" s="25" t="n">
        <v>0</v>
      </c>
      <c r="K119" s="25" t="n">
        <v>2121.6</v>
      </c>
      <c r="L119" s="25" t="n">
        <f aca="false">SUM(F119:J119)</f>
        <v>2121.6</v>
      </c>
      <c r="M119" s="25" t="n">
        <f aca="false">K119-L119</f>
        <v>0</v>
      </c>
      <c r="N119" s="22" t="str">
        <f aca="false">RIGHT(A119,LEN(A119)-3)</f>
        <v>LP-0605</v>
      </c>
      <c r="O119" s="22" t="str">
        <f aca="false">IF(C119=N119,"Y","N")</f>
        <v>Y</v>
      </c>
      <c r="P119" s="22" t="str">
        <f aca="false">IFERROR(VLOOKUP(N119,'Slip Inventory'!$A$2:$R$1181,10,FALSE()),"NOT FOUND")</f>
        <v>OCCUPIED</v>
      </c>
      <c r="Q119" s="22" t="str">
        <f aca="false">IF(P119="OCCUPIED","Y","N")</f>
        <v>Y</v>
      </c>
      <c r="R119" s="25" t="n">
        <f aca="false">SUM(I119:J119)</f>
        <v>530.4</v>
      </c>
      <c r="S119" s="22" t="str">
        <f aca="false">IF(AND(R119&gt;0,Q119="Y"),"YES","NO")</f>
        <v>YES</v>
      </c>
      <c r="T119" s="22" t="s">
        <v>12978</v>
      </c>
      <c r="U119" s="23" t="n">
        <v>46148</v>
      </c>
      <c r="V119" s="23" t="n">
        <v>46217</v>
      </c>
      <c r="W119" s="22"/>
      <c r="X119" s="22" t="str">
        <f aca="false">IF(ABS(M119)&gt;0.005,"Reported total_due does not equal buckets",IF(O119&lt;&gt;"Y","Account/slip ID mismatch",IF(P119&lt;&gt;"OCCUPIED","Slip not occupied","OK")))</f>
        <v>OK</v>
      </c>
      <c r="Y119" s="22" t="str">
        <f aca="false">IF(ABS(M119)&gt;0.005,"Priority 3","")</f>
        <v/>
      </c>
    </row>
    <row r="120" customFormat="false" ht="15" hidden="false" customHeight="false" outlineLevel="0" collapsed="false">
      <c r="A120" s="22" t="s">
        <v>11636</v>
      </c>
      <c r="B120" s="22" t="s">
        <v>6211</v>
      </c>
      <c r="C120" s="22" t="s">
        <v>6944</v>
      </c>
      <c r="D120" s="22" t="s">
        <v>198</v>
      </c>
      <c r="E120" s="22" t="s">
        <v>8601</v>
      </c>
      <c r="F120" s="25" t="n">
        <v>644.8</v>
      </c>
      <c r="G120" s="25" t="n">
        <v>0</v>
      </c>
      <c r="H120" s="25" t="n">
        <v>0</v>
      </c>
      <c r="I120" s="25" t="n">
        <v>0</v>
      </c>
      <c r="J120" s="25" t="n">
        <v>0</v>
      </c>
      <c r="K120" s="25" t="n">
        <v>644.8</v>
      </c>
      <c r="L120" s="25" t="n">
        <f aca="false">SUM(F120:J120)</f>
        <v>644.8</v>
      </c>
      <c r="M120" s="25" t="n">
        <f aca="false">K120-L120</f>
        <v>0</v>
      </c>
      <c r="N120" s="22" t="str">
        <f aca="false">RIGHT(A120,LEN(A120)-3)</f>
        <v>LP-0606</v>
      </c>
      <c r="O120" s="22" t="str">
        <f aca="false">IF(C120=N120,"Y","N")</f>
        <v>Y</v>
      </c>
      <c r="P120" s="22" t="str">
        <f aca="false">IFERROR(VLOOKUP(N120,'Slip Inventory'!$A$2:$R$1181,10,FALSE()),"NOT FOUND")</f>
        <v>OCCUPIED</v>
      </c>
      <c r="Q120" s="22" t="str">
        <f aca="false">IF(P120="OCCUPIED","Y","N")</f>
        <v>Y</v>
      </c>
      <c r="R120" s="25" t="n">
        <f aca="false">SUM(I120:J120)</f>
        <v>0</v>
      </c>
      <c r="S120" s="22" t="str">
        <f aca="false">IF(AND(R120&gt;0,Q120="Y"),"YES","NO")</f>
        <v>NO</v>
      </c>
      <c r="T120" s="22" t="s">
        <v>12975</v>
      </c>
      <c r="U120" s="23" t="n">
        <v>46143</v>
      </c>
      <c r="V120" s="23" t="n">
        <v>46201</v>
      </c>
      <c r="W120" s="22"/>
      <c r="X120" s="22" t="str">
        <f aca="false">IF(ABS(M120)&gt;0.005,"Reported total_due does not equal buckets",IF(O120&lt;&gt;"Y","Account/slip ID mismatch",IF(P120&lt;&gt;"OCCUPIED","Slip not occupied","OK")))</f>
        <v>OK</v>
      </c>
      <c r="Y120" s="22" t="str">
        <f aca="false">IF(ABS(M120)&gt;0.005,"Priority 3","")</f>
        <v/>
      </c>
    </row>
    <row r="121" customFormat="false" ht="15" hidden="false" customHeight="false" outlineLevel="0" collapsed="false">
      <c r="A121" s="22" t="s">
        <v>11638</v>
      </c>
      <c r="B121" s="22" t="s">
        <v>1206</v>
      </c>
      <c r="C121" s="22" t="s">
        <v>6947</v>
      </c>
      <c r="D121" s="22" t="s">
        <v>198</v>
      </c>
      <c r="E121" s="22" t="s">
        <v>8601</v>
      </c>
      <c r="F121" s="25" t="n">
        <v>416</v>
      </c>
      <c r="G121" s="25" t="n">
        <v>0</v>
      </c>
      <c r="H121" s="25" t="n">
        <v>0</v>
      </c>
      <c r="I121" s="25" t="n">
        <v>0</v>
      </c>
      <c r="J121" s="25" t="n">
        <v>0</v>
      </c>
      <c r="K121" s="25" t="n">
        <v>0</v>
      </c>
      <c r="L121" s="25" t="n">
        <f aca="false">SUM(F121:J121)</f>
        <v>416</v>
      </c>
      <c r="M121" s="25" t="n">
        <f aca="false">K121-L121</f>
        <v>-416</v>
      </c>
      <c r="N121" s="22" t="str">
        <f aca="false">RIGHT(A121,LEN(A121)-3)</f>
        <v>LP-0607</v>
      </c>
      <c r="O121" s="22" t="str">
        <f aca="false">IF(C121=N121,"Y","N")</f>
        <v>Y</v>
      </c>
      <c r="P121" s="22" t="str">
        <f aca="false">IFERROR(VLOOKUP(N121,'Slip Inventory'!$A$2:$R$1181,10,FALSE()),"NOT FOUND")</f>
        <v>OCCUPIED</v>
      </c>
      <c r="Q121" s="22" t="str">
        <f aca="false">IF(P121="OCCUPIED","Y","N")</f>
        <v>Y</v>
      </c>
      <c r="R121" s="25" t="n">
        <f aca="false">SUM(I121:J121)</f>
        <v>0</v>
      </c>
      <c r="S121" s="22" t="str">
        <f aca="false">IF(AND(R121&gt;0,Q121="Y"),"YES","NO")</f>
        <v>NO</v>
      </c>
      <c r="T121" s="22" t="s">
        <v>12975</v>
      </c>
      <c r="U121" s="23" t="n">
        <v>46164</v>
      </c>
      <c r="V121" s="23" t="n">
        <v>46226</v>
      </c>
      <c r="W121" s="22"/>
      <c r="X121" s="22" t="str">
        <f aca="false">IF(ABS(M121)&gt;0.005,"Reported total_due does not equal buckets",IF(O121&lt;&gt;"Y","Account/slip ID mismatch",IF(P121&lt;&gt;"OCCUPIED","Slip not occupied","OK")))</f>
        <v>Reported total_due does not equal buckets</v>
      </c>
      <c r="Y121" s="22" t="str">
        <f aca="false">IF(ABS(M121)&gt;0.005,"Priority 3","")</f>
        <v>Priority 3</v>
      </c>
    </row>
    <row r="122" customFormat="false" ht="15" hidden="false" customHeight="false" outlineLevel="0" collapsed="false">
      <c r="A122" s="22" t="s">
        <v>11640</v>
      </c>
      <c r="B122" s="22" t="s">
        <v>6545</v>
      </c>
      <c r="C122" s="22" t="s">
        <v>6950</v>
      </c>
      <c r="D122" s="22" t="s">
        <v>198</v>
      </c>
      <c r="E122" s="22" t="s">
        <v>8601</v>
      </c>
      <c r="F122" s="25" t="n">
        <v>291.2</v>
      </c>
      <c r="G122" s="25" t="n">
        <v>0</v>
      </c>
      <c r="H122" s="25" t="n">
        <v>0</v>
      </c>
      <c r="I122" s="25" t="n">
        <v>0</v>
      </c>
      <c r="J122" s="25" t="n">
        <v>0</v>
      </c>
      <c r="K122" s="25" t="n">
        <v>291.2</v>
      </c>
      <c r="L122" s="25" t="n">
        <f aca="false">SUM(F122:J122)</f>
        <v>291.2</v>
      </c>
      <c r="M122" s="25" t="n">
        <f aca="false">K122-L122</f>
        <v>0</v>
      </c>
      <c r="N122" s="22" t="str">
        <f aca="false">RIGHT(A122,LEN(A122)-3)</f>
        <v>LP-0608</v>
      </c>
      <c r="O122" s="22" t="str">
        <f aca="false">IF(C122=N122,"Y","N")</f>
        <v>Y</v>
      </c>
      <c r="P122" s="22" t="str">
        <f aca="false">IFERROR(VLOOKUP(N122,'Slip Inventory'!$A$2:$R$1181,10,FALSE()),"NOT FOUND")</f>
        <v>OCCUPIED</v>
      </c>
      <c r="Q122" s="22" t="str">
        <f aca="false">IF(P122="OCCUPIED","Y","N")</f>
        <v>Y</v>
      </c>
      <c r="R122" s="25" t="n">
        <f aca="false">SUM(I122:J122)</f>
        <v>0</v>
      </c>
      <c r="S122" s="22" t="str">
        <f aca="false">IF(AND(R122&gt;0,Q122="Y"),"YES","NO")</f>
        <v>NO</v>
      </c>
      <c r="T122" s="22" t="s">
        <v>12975</v>
      </c>
      <c r="U122" s="23" t="n">
        <v>46213</v>
      </c>
      <c r="V122" s="23" t="n">
        <v>46178</v>
      </c>
      <c r="W122" s="22" t="s">
        <v>12976</v>
      </c>
      <c r="X122" s="22" t="str">
        <f aca="false">IF(ABS(M122)&gt;0.005,"Reported total_due does not equal buckets",IF(O122&lt;&gt;"Y","Account/slip ID mismatch",IF(P122&lt;&gt;"OCCUPIED","Slip not occupied","OK")))</f>
        <v>OK</v>
      </c>
      <c r="Y122" s="22" t="str">
        <f aca="false">IF(ABS(M122)&gt;0.005,"Priority 3","")</f>
        <v/>
      </c>
    </row>
    <row r="123" customFormat="false" ht="15" hidden="false" customHeight="false" outlineLevel="0" collapsed="false">
      <c r="A123" s="22" t="s">
        <v>11642</v>
      </c>
      <c r="B123" s="22" t="s">
        <v>1740</v>
      </c>
      <c r="C123" s="22" t="s">
        <v>6953</v>
      </c>
      <c r="D123" s="22" t="s">
        <v>198</v>
      </c>
      <c r="E123" s="22" t="s">
        <v>8601</v>
      </c>
      <c r="F123" s="25" t="n">
        <v>395.2</v>
      </c>
      <c r="G123" s="25" t="n">
        <v>0</v>
      </c>
      <c r="H123" s="25" t="n">
        <v>0</v>
      </c>
      <c r="I123" s="25" t="n">
        <v>0</v>
      </c>
      <c r="J123" s="25" t="n">
        <v>0</v>
      </c>
      <c r="K123" s="25" t="n">
        <v>395.2</v>
      </c>
      <c r="L123" s="25" t="n">
        <f aca="false">SUM(F123:J123)</f>
        <v>395.2</v>
      </c>
      <c r="M123" s="25" t="n">
        <f aca="false">K123-L123</f>
        <v>0</v>
      </c>
      <c r="N123" s="22" t="str">
        <f aca="false">RIGHT(A123,LEN(A123)-3)</f>
        <v>LP-0609</v>
      </c>
      <c r="O123" s="22" t="str">
        <f aca="false">IF(C123=N123,"Y","N")</f>
        <v>Y</v>
      </c>
      <c r="P123" s="22" t="str">
        <f aca="false">IFERROR(VLOOKUP(N123,'Slip Inventory'!$A$2:$R$1181,10,FALSE()),"NOT FOUND")</f>
        <v>OCCUPIED</v>
      </c>
      <c r="Q123" s="22" t="str">
        <f aca="false">IF(P123="OCCUPIED","Y","N")</f>
        <v>Y</v>
      </c>
      <c r="R123" s="25" t="n">
        <f aca="false">SUM(I123:J123)</f>
        <v>0</v>
      </c>
      <c r="S123" s="22" t="str">
        <f aca="false">IF(AND(R123&gt;0,Q123="Y"),"YES","NO")</f>
        <v>NO</v>
      </c>
      <c r="T123" s="22" t="s">
        <v>12975</v>
      </c>
      <c r="U123" s="23" t="n">
        <v>46184</v>
      </c>
      <c r="V123" s="23" t="n">
        <v>46197</v>
      </c>
      <c r="W123" s="22"/>
      <c r="X123" s="22" t="str">
        <f aca="false">IF(ABS(M123)&gt;0.005,"Reported total_due does not equal buckets",IF(O123&lt;&gt;"Y","Account/slip ID mismatch",IF(P123&lt;&gt;"OCCUPIED","Slip not occupied","OK")))</f>
        <v>OK</v>
      </c>
      <c r="Y123" s="22" t="str">
        <f aca="false">IF(ABS(M123)&gt;0.005,"Priority 3","")</f>
        <v/>
      </c>
    </row>
    <row r="124" customFormat="false" ht="15" hidden="false" customHeight="false" outlineLevel="0" collapsed="false">
      <c r="A124" s="22" t="s">
        <v>11644</v>
      </c>
      <c r="B124" s="22" t="s">
        <v>4537</v>
      </c>
      <c r="C124" s="22" t="s">
        <v>6956</v>
      </c>
      <c r="D124" s="22" t="s">
        <v>198</v>
      </c>
      <c r="E124" s="22" t="s">
        <v>8601</v>
      </c>
      <c r="F124" s="25" t="n">
        <v>364</v>
      </c>
      <c r="G124" s="25" t="n">
        <v>0</v>
      </c>
      <c r="H124" s="25" t="n">
        <v>0</v>
      </c>
      <c r="I124" s="25" t="n">
        <v>0</v>
      </c>
      <c r="J124" s="25" t="n">
        <v>0</v>
      </c>
      <c r="K124" s="25" t="n">
        <v>364</v>
      </c>
      <c r="L124" s="25" t="n">
        <f aca="false">SUM(F124:J124)</f>
        <v>364</v>
      </c>
      <c r="M124" s="25" t="n">
        <f aca="false">K124-L124</f>
        <v>0</v>
      </c>
      <c r="N124" s="22" t="str">
        <f aca="false">RIGHT(A124,LEN(A124)-3)</f>
        <v>LP-0610</v>
      </c>
      <c r="O124" s="22" t="str">
        <f aca="false">IF(C124=N124,"Y","N")</f>
        <v>Y</v>
      </c>
      <c r="P124" s="22" t="str">
        <f aca="false">IFERROR(VLOOKUP(N124,'Slip Inventory'!$A$2:$R$1181,10,FALSE()),"NOT FOUND")</f>
        <v>OCCUPIED</v>
      </c>
      <c r="Q124" s="22" t="str">
        <f aca="false">IF(P124="OCCUPIED","Y","N")</f>
        <v>Y</v>
      </c>
      <c r="R124" s="25" t="n">
        <f aca="false">SUM(I124:J124)</f>
        <v>0</v>
      </c>
      <c r="S124" s="22" t="str">
        <f aca="false">IF(AND(R124&gt;0,Q124="Y"),"YES","NO")</f>
        <v>NO</v>
      </c>
      <c r="T124" s="22" t="s">
        <v>12975</v>
      </c>
      <c r="U124" s="23" t="n">
        <v>46167</v>
      </c>
      <c r="V124" s="23" t="n">
        <v>46183</v>
      </c>
      <c r="W124" s="22"/>
      <c r="X124" s="22" t="str">
        <f aca="false">IF(ABS(M124)&gt;0.005,"Reported total_due does not equal buckets",IF(O124&lt;&gt;"Y","Account/slip ID mismatch",IF(P124&lt;&gt;"OCCUPIED","Slip not occupied","OK")))</f>
        <v>OK</v>
      </c>
      <c r="Y124" s="22" t="str">
        <f aca="false">IF(ABS(M124)&gt;0.005,"Priority 3","")</f>
        <v/>
      </c>
    </row>
    <row r="125" customFormat="false" ht="15" hidden="false" customHeight="false" outlineLevel="0" collapsed="false">
      <c r="A125" s="22" t="s">
        <v>11646</v>
      </c>
      <c r="B125" s="22" t="s">
        <v>5852</v>
      </c>
      <c r="C125" s="22" t="s">
        <v>6959</v>
      </c>
      <c r="D125" s="22" t="s">
        <v>198</v>
      </c>
      <c r="E125" s="22" t="s">
        <v>8601</v>
      </c>
      <c r="F125" s="25" t="n">
        <v>634.4</v>
      </c>
      <c r="G125" s="25" t="n">
        <v>0</v>
      </c>
      <c r="H125" s="25" t="n">
        <v>0</v>
      </c>
      <c r="I125" s="25" t="n">
        <v>0</v>
      </c>
      <c r="J125" s="25" t="n">
        <v>0</v>
      </c>
      <c r="K125" s="25" t="n">
        <v>634.4</v>
      </c>
      <c r="L125" s="25" t="n">
        <f aca="false">SUM(F125:J125)</f>
        <v>634.4</v>
      </c>
      <c r="M125" s="25" t="n">
        <f aca="false">K125-L125</f>
        <v>0</v>
      </c>
      <c r="N125" s="22" t="str">
        <f aca="false">RIGHT(A125,LEN(A125)-3)</f>
        <v>LP-0611</v>
      </c>
      <c r="O125" s="22" t="str">
        <f aca="false">IF(C125=N125,"Y","N")</f>
        <v>Y</v>
      </c>
      <c r="P125" s="22" t="str">
        <f aca="false">IFERROR(VLOOKUP(N125,'Slip Inventory'!$A$2:$R$1181,10,FALSE()),"NOT FOUND")</f>
        <v>OCCUPIED</v>
      </c>
      <c r="Q125" s="22" t="str">
        <f aca="false">IF(P125="OCCUPIED","Y","N")</f>
        <v>Y</v>
      </c>
      <c r="R125" s="25" t="n">
        <f aca="false">SUM(I125:J125)</f>
        <v>0</v>
      </c>
      <c r="S125" s="22" t="str">
        <f aca="false">IF(AND(R125&gt;0,Q125="Y"),"YES","NO")</f>
        <v>NO</v>
      </c>
      <c r="T125" s="22" t="s">
        <v>12975</v>
      </c>
      <c r="U125" s="23" t="n">
        <v>46223</v>
      </c>
      <c r="V125" s="23" t="n">
        <v>46196</v>
      </c>
      <c r="W125" s="22"/>
      <c r="X125" s="22" t="str">
        <f aca="false">IF(ABS(M125)&gt;0.005,"Reported total_due does not equal buckets",IF(O125&lt;&gt;"Y","Account/slip ID mismatch",IF(P125&lt;&gt;"OCCUPIED","Slip not occupied","OK")))</f>
        <v>OK</v>
      </c>
      <c r="Y125" s="22" t="str">
        <f aca="false">IF(ABS(M125)&gt;0.005,"Priority 3","")</f>
        <v/>
      </c>
    </row>
    <row r="126" customFormat="false" ht="15" hidden="false" customHeight="false" outlineLevel="0" collapsed="false">
      <c r="A126" s="22" t="s">
        <v>11648</v>
      </c>
      <c r="B126" s="22" t="s">
        <v>1801</v>
      </c>
      <c r="C126" s="22" t="s">
        <v>6962</v>
      </c>
      <c r="D126" s="22" t="s">
        <v>198</v>
      </c>
      <c r="E126" s="22" t="s">
        <v>8601</v>
      </c>
      <c r="F126" s="25" t="n">
        <v>332.8</v>
      </c>
      <c r="G126" s="25" t="n">
        <v>0</v>
      </c>
      <c r="H126" s="25" t="n">
        <v>0</v>
      </c>
      <c r="I126" s="25" t="n">
        <v>0</v>
      </c>
      <c r="J126" s="25" t="n">
        <v>0</v>
      </c>
      <c r="K126" s="25" t="n">
        <v>0</v>
      </c>
      <c r="L126" s="25" t="n">
        <f aca="false">SUM(F126:J126)</f>
        <v>332.8</v>
      </c>
      <c r="M126" s="25" t="n">
        <f aca="false">K126-L126</f>
        <v>-332.8</v>
      </c>
      <c r="N126" s="22" t="str">
        <f aca="false">RIGHT(A126,LEN(A126)-3)</f>
        <v>LP-0612</v>
      </c>
      <c r="O126" s="22" t="str">
        <f aca="false">IF(C126=N126,"Y","N")</f>
        <v>Y</v>
      </c>
      <c r="P126" s="22" t="str">
        <f aca="false">IFERROR(VLOOKUP(N126,'Slip Inventory'!$A$2:$R$1181,10,FALSE()),"NOT FOUND")</f>
        <v>OCCUPIED</v>
      </c>
      <c r="Q126" s="22" t="str">
        <f aca="false">IF(P126="OCCUPIED","Y","N")</f>
        <v>Y</v>
      </c>
      <c r="R126" s="25" t="n">
        <f aca="false">SUM(I126:J126)</f>
        <v>0</v>
      </c>
      <c r="S126" s="22" t="str">
        <f aca="false">IF(AND(R126&gt;0,Q126="Y"),"YES","NO")</f>
        <v>NO</v>
      </c>
      <c r="T126" s="22" t="s">
        <v>12975</v>
      </c>
      <c r="U126" s="23" t="n">
        <v>46191</v>
      </c>
      <c r="V126" s="23" t="n">
        <v>46181</v>
      </c>
      <c r="W126" s="22"/>
      <c r="X126" s="22" t="str">
        <f aca="false">IF(ABS(M126)&gt;0.005,"Reported total_due does not equal buckets",IF(O126&lt;&gt;"Y","Account/slip ID mismatch",IF(P126&lt;&gt;"OCCUPIED","Slip not occupied","OK")))</f>
        <v>Reported total_due does not equal buckets</v>
      </c>
      <c r="Y126" s="22" t="str">
        <f aca="false">IF(ABS(M126)&gt;0.005,"Priority 3","")</f>
        <v>Priority 3</v>
      </c>
    </row>
    <row r="127" customFormat="false" ht="15" hidden="false" customHeight="false" outlineLevel="0" collapsed="false">
      <c r="A127" s="22" t="s">
        <v>11650</v>
      </c>
      <c r="B127" s="22" t="s">
        <v>5634</v>
      </c>
      <c r="C127" s="22" t="s">
        <v>6965</v>
      </c>
      <c r="D127" s="22" t="s">
        <v>198</v>
      </c>
      <c r="E127" s="22" t="s">
        <v>8601</v>
      </c>
      <c r="F127" s="25" t="n">
        <v>551.2</v>
      </c>
      <c r="G127" s="25" t="n">
        <v>0</v>
      </c>
      <c r="H127" s="25" t="n">
        <v>0</v>
      </c>
      <c r="I127" s="25" t="n">
        <v>0</v>
      </c>
      <c r="J127" s="25" t="n">
        <v>0</v>
      </c>
      <c r="K127" s="25" t="n">
        <v>0</v>
      </c>
      <c r="L127" s="25" t="n">
        <f aca="false">SUM(F127:J127)</f>
        <v>551.2</v>
      </c>
      <c r="M127" s="25" t="n">
        <f aca="false">K127-L127</f>
        <v>-551.2</v>
      </c>
      <c r="N127" s="22" t="str">
        <f aca="false">RIGHT(A127,LEN(A127)-3)</f>
        <v>LP-0613</v>
      </c>
      <c r="O127" s="22" t="str">
        <f aca="false">IF(C127=N127,"Y","N")</f>
        <v>Y</v>
      </c>
      <c r="P127" s="22" t="str">
        <f aca="false">IFERROR(VLOOKUP(N127,'Slip Inventory'!$A$2:$R$1181,10,FALSE()),"NOT FOUND")</f>
        <v>OCCUPIED</v>
      </c>
      <c r="Q127" s="22" t="str">
        <f aca="false">IF(P127="OCCUPIED","Y","N")</f>
        <v>Y</v>
      </c>
      <c r="R127" s="25" t="n">
        <f aca="false">SUM(I127:J127)</f>
        <v>0</v>
      </c>
      <c r="S127" s="22" t="str">
        <f aca="false">IF(AND(R127&gt;0,Q127="Y"),"YES","NO")</f>
        <v>NO</v>
      </c>
      <c r="T127" s="22" t="s">
        <v>12975</v>
      </c>
      <c r="U127" s="23" t="n">
        <v>46193</v>
      </c>
      <c r="V127" s="23" t="n">
        <v>46214</v>
      </c>
      <c r="W127" s="22"/>
      <c r="X127" s="22" t="str">
        <f aca="false">IF(ABS(M127)&gt;0.005,"Reported total_due does not equal buckets",IF(O127&lt;&gt;"Y","Account/slip ID mismatch",IF(P127&lt;&gt;"OCCUPIED","Slip not occupied","OK")))</f>
        <v>Reported total_due does not equal buckets</v>
      </c>
      <c r="Y127" s="22" t="str">
        <f aca="false">IF(ABS(M127)&gt;0.005,"Priority 3","")</f>
        <v>Priority 3</v>
      </c>
    </row>
    <row r="128" customFormat="false" ht="15" hidden="false" customHeight="false" outlineLevel="0" collapsed="false">
      <c r="A128" s="22" t="s">
        <v>11652</v>
      </c>
      <c r="B128" s="22" t="s">
        <v>476</v>
      </c>
      <c r="C128" s="22" t="s">
        <v>6968</v>
      </c>
      <c r="D128" s="22" t="s">
        <v>198</v>
      </c>
      <c r="E128" s="22" t="s">
        <v>8601</v>
      </c>
      <c r="F128" s="25" t="n">
        <v>291.2</v>
      </c>
      <c r="G128" s="25" t="n">
        <v>0</v>
      </c>
      <c r="H128" s="25" t="n">
        <v>0</v>
      </c>
      <c r="I128" s="25" t="n">
        <v>0</v>
      </c>
      <c r="J128" s="25" t="n">
        <v>0</v>
      </c>
      <c r="K128" s="25" t="n">
        <v>291.2</v>
      </c>
      <c r="L128" s="25" t="n">
        <f aca="false">SUM(F128:J128)</f>
        <v>291.2</v>
      </c>
      <c r="M128" s="25" t="n">
        <f aca="false">K128-L128</f>
        <v>0</v>
      </c>
      <c r="N128" s="22" t="str">
        <f aca="false">RIGHT(A128,LEN(A128)-3)</f>
        <v>LP-0614</v>
      </c>
      <c r="O128" s="22" t="str">
        <f aca="false">IF(C128=N128,"Y","N")</f>
        <v>Y</v>
      </c>
      <c r="P128" s="22" t="str">
        <f aca="false">IFERROR(VLOOKUP(N128,'Slip Inventory'!$A$2:$R$1181,10,FALSE()),"NOT FOUND")</f>
        <v>OCCUPIED</v>
      </c>
      <c r="Q128" s="22" t="str">
        <f aca="false">IF(P128="OCCUPIED","Y","N")</f>
        <v>Y</v>
      </c>
      <c r="R128" s="25" t="n">
        <f aca="false">SUM(I128:J128)</f>
        <v>0</v>
      </c>
      <c r="S128" s="22" t="str">
        <f aca="false">IF(AND(R128&gt;0,Q128="Y"),"YES","NO")</f>
        <v>NO</v>
      </c>
      <c r="T128" s="22" t="s">
        <v>12975</v>
      </c>
      <c r="U128" s="23" t="n">
        <v>46228</v>
      </c>
      <c r="V128" s="23" t="n">
        <v>46219</v>
      </c>
      <c r="W128" s="22"/>
      <c r="X128" s="22" t="str">
        <f aca="false">IF(ABS(M128)&gt;0.005,"Reported total_due does not equal buckets",IF(O128&lt;&gt;"Y","Account/slip ID mismatch",IF(P128&lt;&gt;"OCCUPIED","Slip not occupied","OK")))</f>
        <v>OK</v>
      </c>
      <c r="Y128" s="22" t="str">
        <f aca="false">IF(ABS(M128)&gt;0.005,"Priority 3","")</f>
        <v/>
      </c>
    </row>
    <row r="129" customFormat="false" ht="15" hidden="false" customHeight="false" outlineLevel="0" collapsed="false">
      <c r="A129" s="22" t="s">
        <v>11654</v>
      </c>
      <c r="B129" s="22" t="s">
        <v>6373</v>
      </c>
      <c r="C129" s="22" t="s">
        <v>6971</v>
      </c>
      <c r="D129" s="22" t="s">
        <v>198</v>
      </c>
      <c r="E129" s="22" t="s">
        <v>8601</v>
      </c>
      <c r="F129" s="25" t="n">
        <v>395.2</v>
      </c>
      <c r="G129" s="25" t="n">
        <v>0</v>
      </c>
      <c r="H129" s="25" t="n">
        <v>0</v>
      </c>
      <c r="I129" s="25" t="n">
        <v>0</v>
      </c>
      <c r="J129" s="25" t="n">
        <v>0</v>
      </c>
      <c r="K129" s="25" t="n">
        <v>395.2</v>
      </c>
      <c r="L129" s="25" t="n">
        <f aca="false">SUM(F129:J129)</f>
        <v>395.2</v>
      </c>
      <c r="M129" s="25" t="n">
        <f aca="false">K129-L129</f>
        <v>0</v>
      </c>
      <c r="N129" s="22" t="str">
        <f aca="false">RIGHT(A129,LEN(A129)-3)</f>
        <v>LP-0615</v>
      </c>
      <c r="O129" s="22" t="str">
        <f aca="false">IF(C129=N129,"Y","N")</f>
        <v>Y</v>
      </c>
      <c r="P129" s="22" t="str">
        <f aca="false">IFERROR(VLOOKUP(N129,'Slip Inventory'!$A$2:$R$1181,10,FALSE()),"NOT FOUND")</f>
        <v>OCCUPIED</v>
      </c>
      <c r="Q129" s="22" t="str">
        <f aca="false">IF(P129="OCCUPIED","Y","N")</f>
        <v>Y</v>
      </c>
      <c r="R129" s="25" t="n">
        <f aca="false">SUM(I129:J129)</f>
        <v>0</v>
      </c>
      <c r="S129" s="22" t="str">
        <f aca="false">IF(AND(R129&gt;0,Q129="Y"),"YES","NO")</f>
        <v>NO</v>
      </c>
      <c r="T129" s="22" t="s">
        <v>12975</v>
      </c>
      <c r="U129" s="23" t="n">
        <v>46189</v>
      </c>
      <c r="V129" s="23" t="n">
        <v>46180</v>
      </c>
      <c r="W129" s="22"/>
      <c r="X129" s="22" t="str">
        <f aca="false">IF(ABS(M129)&gt;0.005,"Reported total_due does not equal buckets",IF(O129&lt;&gt;"Y","Account/slip ID mismatch",IF(P129&lt;&gt;"OCCUPIED","Slip not occupied","OK")))</f>
        <v>OK</v>
      </c>
      <c r="Y129" s="22" t="str">
        <f aca="false">IF(ABS(M129)&gt;0.005,"Priority 3","")</f>
        <v/>
      </c>
    </row>
    <row r="130" customFormat="false" ht="15" hidden="false" customHeight="false" outlineLevel="0" collapsed="false">
      <c r="A130" s="22" t="s">
        <v>11656</v>
      </c>
      <c r="B130" s="22" t="s">
        <v>6442</v>
      </c>
      <c r="C130" s="22" t="s">
        <v>6974</v>
      </c>
      <c r="D130" s="22" t="s">
        <v>198</v>
      </c>
      <c r="E130" s="22" t="s">
        <v>8601</v>
      </c>
      <c r="F130" s="25" t="n">
        <v>540.8</v>
      </c>
      <c r="G130" s="25" t="n">
        <v>540.8</v>
      </c>
      <c r="H130" s="25" t="n">
        <v>0</v>
      </c>
      <c r="I130" s="25" t="n">
        <v>0</v>
      </c>
      <c r="J130" s="25" t="n">
        <v>0</v>
      </c>
      <c r="K130" s="25" t="n">
        <v>540.8</v>
      </c>
      <c r="L130" s="25" t="n">
        <f aca="false">SUM(F130:J130)</f>
        <v>1081.6</v>
      </c>
      <c r="M130" s="25" t="n">
        <f aca="false">K130-L130</f>
        <v>-540.8</v>
      </c>
      <c r="N130" s="22" t="str">
        <f aca="false">RIGHT(A130,LEN(A130)-3)</f>
        <v>LP-0616</v>
      </c>
      <c r="O130" s="22" t="str">
        <f aca="false">IF(C130=N130,"Y","N")</f>
        <v>Y</v>
      </c>
      <c r="P130" s="22" t="str">
        <f aca="false">IFERROR(VLOOKUP(N130,'Slip Inventory'!$A$2:$R$1181,10,FALSE()),"NOT FOUND")</f>
        <v>OCCUPIED</v>
      </c>
      <c r="Q130" s="22" t="str">
        <f aca="false">IF(P130="OCCUPIED","Y","N")</f>
        <v>Y</v>
      </c>
      <c r="R130" s="25" t="n">
        <f aca="false">SUM(I130:J130)</f>
        <v>0</v>
      </c>
      <c r="S130" s="22" t="str">
        <f aca="false">IF(AND(R130&gt;0,Q130="Y"),"YES","NO")</f>
        <v>NO</v>
      </c>
      <c r="T130" s="22" t="s">
        <v>12975</v>
      </c>
      <c r="U130" s="23" t="n">
        <v>46153</v>
      </c>
      <c r="V130" s="23" t="n">
        <v>46211</v>
      </c>
      <c r="W130" s="22"/>
      <c r="X130" s="22" t="str">
        <f aca="false">IF(ABS(M130)&gt;0.005,"Reported total_due does not equal buckets",IF(O130&lt;&gt;"Y","Account/slip ID mismatch",IF(P130&lt;&gt;"OCCUPIED","Slip not occupied","OK")))</f>
        <v>Reported total_due does not equal buckets</v>
      </c>
      <c r="Y130" s="22" t="str">
        <f aca="false">IF(ABS(M130)&gt;0.005,"Priority 3","")</f>
        <v>Priority 3</v>
      </c>
    </row>
    <row r="131" customFormat="false" ht="15" hidden="false" customHeight="false" outlineLevel="0" collapsed="false">
      <c r="A131" s="22" t="s">
        <v>11658</v>
      </c>
      <c r="B131" s="22" t="s">
        <v>2803</v>
      </c>
      <c r="C131" s="22" t="s">
        <v>6977</v>
      </c>
      <c r="D131" s="22" t="s">
        <v>198</v>
      </c>
      <c r="E131" s="22" t="s">
        <v>8601</v>
      </c>
      <c r="F131" s="25" t="n">
        <v>374.4</v>
      </c>
      <c r="G131" s="25" t="n">
        <v>0</v>
      </c>
      <c r="H131" s="25" t="n">
        <v>0</v>
      </c>
      <c r="I131" s="25" t="n">
        <v>0</v>
      </c>
      <c r="J131" s="25" t="n">
        <v>0</v>
      </c>
      <c r="K131" s="25" t="n">
        <v>374.4</v>
      </c>
      <c r="L131" s="25" t="n">
        <f aca="false">SUM(F131:J131)</f>
        <v>374.4</v>
      </c>
      <c r="M131" s="25" t="n">
        <f aca="false">K131-L131</f>
        <v>0</v>
      </c>
      <c r="N131" s="22" t="str">
        <f aca="false">RIGHT(A131,LEN(A131)-3)</f>
        <v>LP-0617</v>
      </c>
      <c r="O131" s="22" t="str">
        <f aca="false">IF(C131=N131,"Y","N")</f>
        <v>Y</v>
      </c>
      <c r="P131" s="22" t="str">
        <f aca="false">IFERROR(VLOOKUP(N131,'Slip Inventory'!$A$2:$R$1181,10,FALSE()),"NOT FOUND")</f>
        <v>OCCUPIED</v>
      </c>
      <c r="Q131" s="22" t="str">
        <f aca="false">IF(P131="OCCUPIED","Y","N")</f>
        <v>Y</v>
      </c>
      <c r="R131" s="25" t="n">
        <f aca="false">SUM(I131:J131)</f>
        <v>0</v>
      </c>
      <c r="S131" s="22" t="str">
        <f aca="false">IF(AND(R131&gt;0,Q131="Y"),"YES","NO")</f>
        <v>NO</v>
      </c>
      <c r="T131" s="22" t="s">
        <v>12975</v>
      </c>
      <c r="U131" s="23" t="n">
        <v>46162</v>
      </c>
      <c r="V131" s="23" t="n">
        <v>46205</v>
      </c>
      <c r="W131" s="22"/>
      <c r="X131" s="22" t="str">
        <f aca="false">IF(ABS(M131)&gt;0.005,"Reported total_due does not equal buckets",IF(O131&lt;&gt;"Y","Account/slip ID mismatch",IF(P131&lt;&gt;"OCCUPIED","Slip not occupied","OK")))</f>
        <v>OK</v>
      </c>
      <c r="Y131" s="22" t="str">
        <f aca="false">IF(ABS(M131)&gt;0.005,"Priority 3","")</f>
        <v/>
      </c>
    </row>
    <row r="132" customFormat="false" ht="15" hidden="false" customHeight="false" outlineLevel="0" collapsed="false">
      <c r="A132" s="22" t="s">
        <v>11660</v>
      </c>
      <c r="B132" s="22" t="s">
        <v>2554</v>
      </c>
      <c r="C132" s="22" t="s">
        <v>6980</v>
      </c>
      <c r="D132" s="22" t="s">
        <v>198</v>
      </c>
      <c r="E132" s="22" t="s">
        <v>8601</v>
      </c>
      <c r="F132" s="25" t="n">
        <v>332.8</v>
      </c>
      <c r="G132" s="25" t="n">
        <v>0</v>
      </c>
      <c r="H132" s="25" t="n">
        <v>0</v>
      </c>
      <c r="I132" s="25" t="n">
        <v>0</v>
      </c>
      <c r="J132" s="25" t="n">
        <v>0</v>
      </c>
      <c r="K132" s="25" t="n">
        <v>332.8</v>
      </c>
      <c r="L132" s="25" t="n">
        <f aca="false">SUM(F132:J132)</f>
        <v>332.8</v>
      </c>
      <c r="M132" s="25" t="n">
        <f aca="false">K132-L132</f>
        <v>0</v>
      </c>
      <c r="N132" s="22" t="str">
        <f aca="false">RIGHT(A132,LEN(A132)-3)</f>
        <v>LP-0618</v>
      </c>
      <c r="O132" s="22" t="str">
        <f aca="false">IF(C132=N132,"Y","N")</f>
        <v>Y</v>
      </c>
      <c r="P132" s="22" t="str">
        <f aca="false">IFERROR(VLOOKUP(N132,'Slip Inventory'!$A$2:$R$1181,10,FALSE()),"NOT FOUND")</f>
        <v>OCCUPIED</v>
      </c>
      <c r="Q132" s="22" t="str">
        <f aca="false">IF(P132="OCCUPIED","Y","N")</f>
        <v>Y</v>
      </c>
      <c r="R132" s="25" t="n">
        <f aca="false">SUM(I132:J132)</f>
        <v>0</v>
      </c>
      <c r="S132" s="22" t="str">
        <f aca="false">IF(AND(R132&gt;0,Q132="Y"),"YES","NO")</f>
        <v>NO</v>
      </c>
      <c r="T132" s="22" t="s">
        <v>12975</v>
      </c>
      <c r="U132" s="23" t="n">
        <v>46218</v>
      </c>
      <c r="V132" s="23" t="n">
        <v>46190</v>
      </c>
      <c r="W132" s="22"/>
      <c r="X132" s="22" t="str">
        <f aca="false">IF(ABS(M132)&gt;0.005,"Reported total_due does not equal buckets",IF(O132&lt;&gt;"Y","Account/slip ID mismatch",IF(P132&lt;&gt;"OCCUPIED","Slip not occupied","OK")))</f>
        <v>OK</v>
      </c>
      <c r="Y132" s="22" t="str">
        <f aca="false">IF(ABS(M132)&gt;0.005,"Priority 3","")</f>
        <v/>
      </c>
    </row>
    <row r="133" customFormat="false" ht="15" hidden="false" customHeight="false" outlineLevel="0" collapsed="false">
      <c r="A133" s="22" t="s">
        <v>11662</v>
      </c>
      <c r="B133" s="22" t="s">
        <v>3525</v>
      </c>
      <c r="C133" s="22" t="s">
        <v>6985</v>
      </c>
      <c r="D133" s="22" t="s">
        <v>198</v>
      </c>
      <c r="E133" s="22" t="s">
        <v>8601</v>
      </c>
      <c r="F133" s="25" t="n">
        <v>426.4</v>
      </c>
      <c r="G133" s="25" t="n">
        <v>0</v>
      </c>
      <c r="H133" s="25" t="n">
        <v>0</v>
      </c>
      <c r="I133" s="25" t="n">
        <v>0</v>
      </c>
      <c r="J133" s="25" t="n">
        <v>0</v>
      </c>
      <c r="K133" s="25" t="n">
        <v>0</v>
      </c>
      <c r="L133" s="25" t="n">
        <f aca="false">SUM(F133:J133)</f>
        <v>426.4</v>
      </c>
      <c r="M133" s="25" t="n">
        <f aca="false">K133-L133</f>
        <v>-426.4</v>
      </c>
      <c r="N133" s="22" t="str">
        <f aca="false">RIGHT(A133,LEN(A133)-3)</f>
        <v>LP-0620</v>
      </c>
      <c r="O133" s="22" t="str">
        <f aca="false">IF(C133=N133,"Y","N")</f>
        <v>Y</v>
      </c>
      <c r="P133" s="22" t="str">
        <f aca="false">IFERROR(VLOOKUP(N133,'Slip Inventory'!$A$2:$R$1181,10,FALSE()),"NOT FOUND")</f>
        <v>OCCUPIED</v>
      </c>
      <c r="Q133" s="22" t="str">
        <f aca="false">IF(P133="OCCUPIED","Y","N")</f>
        <v>Y</v>
      </c>
      <c r="R133" s="25" t="n">
        <f aca="false">SUM(I133:J133)</f>
        <v>0</v>
      </c>
      <c r="S133" s="22" t="str">
        <f aca="false">IF(AND(R133&gt;0,Q133="Y"),"YES","NO")</f>
        <v>NO</v>
      </c>
      <c r="T133" s="22" t="s">
        <v>12975</v>
      </c>
      <c r="U133" s="23" t="n">
        <v>46189</v>
      </c>
      <c r="V133" s="23" t="n">
        <v>46226</v>
      </c>
      <c r="W133" s="22"/>
      <c r="X133" s="22" t="str">
        <f aca="false">IF(ABS(M133)&gt;0.005,"Reported total_due does not equal buckets",IF(O133&lt;&gt;"Y","Account/slip ID mismatch",IF(P133&lt;&gt;"OCCUPIED","Slip not occupied","OK")))</f>
        <v>Reported total_due does not equal buckets</v>
      </c>
      <c r="Y133" s="22" t="str">
        <f aca="false">IF(ABS(M133)&gt;0.005,"Priority 3","")</f>
        <v>Priority 3</v>
      </c>
    </row>
    <row r="134" customFormat="false" ht="15" hidden="false" customHeight="false" outlineLevel="0" collapsed="false">
      <c r="A134" s="22" t="s">
        <v>11664</v>
      </c>
      <c r="B134" s="22" t="s">
        <v>3069</v>
      </c>
      <c r="C134" s="22" t="s">
        <v>6988</v>
      </c>
      <c r="D134" s="22" t="s">
        <v>198</v>
      </c>
      <c r="E134" s="22" t="s">
        <v>8601</v>
      </c>
      <c r="F134" s="25" t="n">
        <v>416</v>
      </c>
      <c r="G134" s="25" t="n">
        <v>0</v>
      </c>
      <c r="H134" s="25" t="n">
        <v>0</v>
      </c>
      <c r="I134" s="25" t="n">
        <v>0</v>
      </c>
      <c r="J134" s="25" t="n">
        <v>0</v>
      </c>
      <c r="K134" s="25" t="n">
        <v>416</v>
      </c>
      <c r="L134" s="25" t="n">
        <f aca="false">SUM(F134:J134)</f>
        <v>416</v>
      </c>
      <c r="M134" s="25" t="n">
        <f aca="false">K134-L134</f>
        <v>0</v>
      </c>
      <c r="N134" s="22" t="str">
        <f aca="false">RIGHT(A134,LEN(A134)-3)</f>
        <v>LP-0621</v>
      </c>
      <c r="O134" s="22" t="str">
        <f aca="false">IF(C134=N134,"Y","N")</f>
        <v>Y</v>
      </c>
      <c r="P134" s="22" t="str">
        <f aca="false">IFERROR(VLOOKUP(N134,'Slip Inventory'!$A$2:$R$1181,10,FALSE()),"NOT FOUND")</f>
        <v>OCCUPIED</v>
      </c>
      <c r="Q134" s="22" t="str">
        <f aca="false">IF(P134="OCCUPIED","Y","N")</f>
        <v>Y</v>
      </c>
      <c r="R134" s="25" t="n">
        <f aca="false">SUM(I134:J134)</f>
        <v>0</v>
      </c>
      <c r="S134" s="22" t="str">
        <f aca="false">IF(AND(R134&gt;0,Q134="Y"),"YES","NO")</f>
        <v>NO</v>
      </c>
      <c r="T134" s="22" t="s">
        <v>12975</v>
      </c>
      <c r="U134" s="23" t="n">
        <v>46208</v>
      </c>
      <c r="V134" s="23" t="n">
        <v>46191</v>
      </c>
      <c r="W134" s="22"/>
      <c r="X134" s="22" t="str">
        <f aca="false">IF(ABS(M134)&gt;0.005,"Reported total_due does not equal buckets",IF(O134&lt;&gt;"Y","Account/slip ID mismatch",IF(P134&lt;&gt;"OCCUPIED","Slip not occupied","OK")))</f>
        <v>OK</v>
      </c>
      <c r="Y134" s="22" t="str">
        <f aca="false">IF(ABS(M134)&gt;0.005,"Priority 3","")</f>
        <v/>
      </c>
    </row>
    <row r="135" customFormat="false" ht="15" hidden="false" customHeight="false" outlineLevel="0" collapsed="false">
      <c r="A135" s="22" t="s">
        <v>11666</v>
      </c>
      <c r="B135" s="22" t="s">
        <v>5953</v>
      </c>
      <c r="C135" s="22" t="s">
        <v>6991</v>
      </c>
      <c r="D135" s="22" t="s">
        <v>198</v>
      </c>
      <c r="E135" s="22" t="s">
        <v>8601</v>
      </c>
      <c r="F135" s="25" t="n">
        <v>416</v>
      </c>
      <c r="G135" s="25" t="n">
        <v>0</v>
      </c>
      <c r="H135" s="25" t="n">
        <v>0</v>
      </c>
      <c r="I135" s="25" t="n">
        <v>0</v>
      </c>
      <c r="J135" s="25" t="n">
        <v>0</v>
      </c>
      <c r="K135" s="25" t="n">
        <v>416</v>
      </c>
      <c r="L135" s="25" t="n">
        <f aca="false">SUM(F135:J135)</f>
        <v>416</v>
      </c>
      <c r="M135" s="25" t="n">
        <f aca="false">K135-L135</f>
        <v>0</v>
      </c>
      <c r="N135" s="22" t="str">
        <f aca="false">RIGHT(A135,LEN(A135)-3)</f>
        <v>LP-0622</v>
      </c>
      <c r="O135" s="22" t="str">
        <f aca="false">IF(C135=N135,"Y","N")</f>
        <v>Y</v>
      </c>
      <c r="P135" s="22" t="str">
        <f aca="false">IFERROR(VLOOKUP(N135,'Slip Inventory'!$A$2:$R$1181,10,FALSE()),"NOT FOUND")</f>
        <v>OCCUPIED</v>
      </c>
      <c r="Q135" s="22" t="str">
        <f aca="false">IF(P135="OCCUPIED","Y","N")</f>
        <v>Y</v>
      </c>
      <c r="R135" s="25" t="n">
        <f aca="false">SUM(I135:J135)</f>
        <v>0</v>
      </c>
      <c r="S135" s="22" t="str">
        <f aca="false">IF(AND(R135&gt;0,Q135="Y"),"YES","NO")</f>
        <v>NO</v>
      </c>
      <c r="T135" s="22" t="s">
        <v>12975</v>
      </c>
      <c r="U135" s="23" t="n">
        <v>46144</v>
      </c>
      <c r="V135" s="23" t="n">
        <v>46216</v>
      </c>
      <c r="W135" s="22"/>
      <c r="X135" s="22" t="str">
        <f aca="false">IF(ABS(M135)&gt;0.005,"Reported total_due does not equal buckets",IF(O135&lt;&gt;"Y","Account/slip ID mismatch",IF(P135&lt;&gt;"OCCUPIED","Slip not occupied","OK")))</f>
        <v>OK</v>
      </c>
      <c r="Y135" s="22" t="str">
        <f aca="false">IF(ABS(M135)&gt;0.005,"Priority 3","")</f>
        <v/>
      </c>
    </row>
    <row r="136" customFormat="false" ht="15" hidden="false" customHeight="false" outlineLevel="0" collapsed="false">
      <c r="A136" s="22" t="s">
        <v>11668</v>
      </c>
      <c r="B136" s="22" t="s">
        <v>4927</v>
      </c>
      <c r="C136" s="22" t="s">
        <v>6994</v>
      </c>
      <c r="D136" s="22" t="s">
        <v>198</v>
      </c>
      <c r="E136" s="22" t="s">
        <v>8601</v>
      </c>
      <c r="F136" s="25" t="n">
        <v>561.6</v>
      </c>
      <c r="G136" s="25" t="n">
        <v>0</v>
      </c>
      <c r="H136" s="25" t="n">
        <v>0</v>
      </c>
      <c r="I136" s="25" t="n">
        <v>0</v>
      </c>
      <c r="J136" s="25" t="n">
        <v>0</v>
      </c>
      <c r="K136" s="25" t="n">
        <v>561.6</v>
      </c>
      <c r="L136" s="25" t="n">
        <f aca="false">SUM(F136:J136)</f>
        <v>561.6</v>
      </c>
      <c r="M136" s="25" t="n">
        <f aca="false">K136-L136</f>
        <v>0</v>
      </c>
      <c r="N136" s="22" t="str">
        <f aca="false">RIGHT(A136,LEN(A136)-3)</f>
        <v>LP-0623</v>
      </c>
      <c r="O136" s="22" t="str">
        <f aca="false">IF(C136=N136,"Y","N")</f>
        <v>Y</v>
      </c>
      <c r="P136" s="22" t="str">
        <f aca="false">IFERROR(VLOOKUP(N136,'Slip Inventory'!$A$2:$R$1181,10,FALSE()),"NOT FOUND")</f>
        <v>OCCUPIED</v>
      </c>
      <c r="Q136" s="22" t="str">
        <f aca="false">IF(P136="OCCUPIED","Y","N")</f>
        <v>Y</v>
      </c>
      <c r="R136" s="25" t="n">
        <f aca="false">SUM(I136:J136)</f>
        <v>0</v>
      </c>
      <c r="S136" s="22" t="str">
        <f aca="false">IF(AND(R136&gt;0,Q136="Y"),"YES","NO")</f>
        <v>NO</v>
      </c>
      <c r="T136" s="22" t="s">
        <v>12975</v>
      </c>
      <c r="U136" s="23" t="n">
        <v>46163</v>
      </c>
      <c r="V136" s="23" t="n">
        <v>46205</v>
      </c>
      <c r="W136" s="22"/>
      <c r="X136" s="22" t="str">
        <f aca="false">IF(ABS(M136)&gt;0.005,"Reported total_due does not equal buckets",IF(O136&lt;&gt;"Y","Account/slip ID mismatch",IF(P136&lt;&gt;"OCCUPIED","Slip not occupied","OK")))</f>
        <v>OK</v>
      </c>
      <c r="Y136" s="22" t="str">
        <f aca="false">IF(ABS(M136)&gt;0.005,"Priority 3","")</f>
        <v/>
      </c>
    </row>
    <row r="137" customFormat="false" ht="15" hidden="false" customHeight="false" outlineLevel="0" collapsed="false">
      <c r="A137" s="22" t="s">
        <v>11670</v>
      </c>
      <c r="B137" s="22" t="s">
        <v>4632</v>
      </c>
      <c r="C137" s="22" t="s">
        <v>6996</v>
      </c>
      <c r="D137" s="22" t="s">
        <v>198</v>
      </c>
      <c r="E137" s="22" t="s">
        <v>8601</v>
      </c>
      <c r="F137" s="25" t="n">
        <v>520</v>
      </c>
      <c r="G137" s="25" t="n">
        <v>0</v>
      </c>
      <c r="H137" s="25" t="n">
        <v>0</v>
      </c>
      <c r="I137" s="25" t="n">
        <v>0</v>
      </c>
      <c r="J137" s="25" t="n">
        <v>0</v>
      </c>
      <c r="K137" s="25" t="n">
        <v>520</v>
      </c>
      <c r="L137" s="25" t="n">
        <f aca="false">SUM(F137:J137)</f>
        <v>520</v>
      </c>
      <c r="M137" s="25" t="n">
        <f aca="false">K137-L137</f>
        <v>0</v>
      </c>
      <c r="N137" s="22" t="str">
        <f aca="false">RIGHT(A137,LEN(A137)-3)</f>
        <v>LP-0624</v>
      </c>
      <c r="O137" s="22" t="str">
        <f aca="false">IF(C137=N137,"Y","N")</f>
        <v>Y</v>
      </c>
      <c r="P137" s="22" t="str">
        <f aca="false">IFERROR(VLOOKUP(N137,'Slip Inventory'!$A$2:$R$1181,10,FALSE()),"NOT FOUND")</f>
        <v>OCCUPIED</v>
      </c>
      <c r="Q137" s="22" t="str">
        <f aca="false">IF(P137="OCCUPIED","Y","N")</f>
        <v>Y</v>
      </c>
      <c r="R137" s="25" t="n">
        <f aca="false">SUM(I137:J137)</f>
        <v>0</v>
      </c>
      <c r="S137" s="22" t="str">
        <f aca="false">IF(AND(R137&gt;0,Q137="Y"),"YES","NO")</f>
        <v>NO</v>
      </c>
      <c r="T137" s="22" t="s">
        <v>12975</v>
      </c>
      <c r="U137" s="23" t="n">
        <v>46170</v>
      </c>
      <c r="V137" s="23" t="n">
        <v>46181</v>
      </c>
      <c r="W137" s="22"/>
      <c r="X137" s="22" t="str">
        <f aca="false">IF(ABS(M137)&gt;0.005,"Reported total_due does not equal buckets",IF(O137&lt;&gt;"Y","Account/slip ID mismatch",IF(P137&lt;&gt;"OCCUPIED","Slip not occupied","OK")))</f>
        <v>OK</v>
      </c>
      <c r="Y137" s="22" t="str">
        <f aca="false">IF(ABS(M137)&gt;0.005,"Priority 3","")</f>
        <v/>
      </c>
    </row>
    <row r="138" customFormat="false" ht="15" hidden="false" customHeight="false" outlineLevel="0" collapsed="false">
      <c r="A138" s="22" t="s">
        <v>11672</v>
      </c>
      <c r="B138" s="22" t="s">
        <v>3389</v>
      </c>
      <c r="C138" s="22" t="s">
        <v>6999</v>
      </c>
      <c r="D138" s="22" t="s">
        <v>198</v>
      </c>
      <c r="E138" s="22" t="s">
        <v>8601</v>
      </c>
      <c r="F138" s="25" t="n">
        <v>457.6</v>
      </c>
      <c r="G138" s="25" t="n">
        <v>0</v>
      </c>
      <c r="H138" s="25" t="n">
        <v>0</v>
      </c>
      <c r="I138" s="25" t="n">
        <v>0</v>
      </c>
      <c r="J138" s="25" t="n">
        <v>0</v>
      </c>
      <c r="K138" s="25" t="n">
        <v>457.6</v>
      </c>
      <c r="L138" s="25" t="n">
        <f aca="false">SUM(F138:J138)</f>
        <v>457.6</v>
      </c>
      <c r="M138" s="25" t="n">
        <f aca="false">K138-L138</f>
        <v>0</v>
      </c>
      <c r="N138" s="22" t="str">
        <f aca="false">RIGHT(A138,LEN(A138)-3)</f>
        <v>LP-0701</v>
      </c>
      <c r="O138" s="22" t="str">
        <f aca="false">IF(C138=N138,"Y","N")</f>
        <v>Y</v>
      </c>
      <c r="P138" s="22" t="str">
        <f aca="false">IFERROR(VLOOKUP(N138,'Slip Inventory'!$A$2:$R$1181,10,FALSE()),"NOT FOUND")</f>
        <v>OCCUPIED</v>
      </c>
      <c r="Q138" s="22" t="str">
        <f aca="false">IF(P138="OCCUPIED","Y","N")</f>
        <v>Y</v>
      </c>
      <c r="R138" s="25" t="n">
        <f aca="false">SUM(I138:J138)</f>
        <v>0</v>
      </c>
      <c r="S138" s="22" t="str">
        <f aca="false">IF(AND(R138&gt;0,Q138="Y"),"YES","NO")</f>
        <v>NO</v>
      </c>
      <c r="T138" s="22" t="s">
        <v>12975</v>
      </c>
      <c r="U138" s="23" t="n">
        <v>46218</v>
      </c>
      <c r="V138" s="23" t="n">
        <v>46181</v>
      </c>
      <c r="W138" s="22"/>
      <c r="X138" s="22" t="str">
        <f aca="false">IF(ABS(M138)&gt;0.005,"Reported total_due does not equal buckets",IF(O138&lt;&gt;"Y","Account/slip ID mismatch",IF(P138&lt;&gt;"OCCUPIED","Slip not occupied","OK")))</f>
        <v>OK</v>
      </c>
      <c r="Y138" s="22" t="str">
        <f aca="false">IF(ABS(M138)&gt;0.005,"Priority 3","")</f>
        <v/>
      </c>
    </row>
    <row r="139" customFormat="false" ht="15" hidden="false" customHeight="false" outlineLevel="0" collapsed="false">
      <c r="A139" s="22" t="s">
        <v>11674</v>
      </c>
      <c r="B139" s="22" t="s">
        <v>2000</v>
      </c>
      <c r="C139" s="22" t="s">
        <v>7003</v>
      </c>
      <c r="D139" s="22" t="s">
        <v>198</v>
      </c>
      <c r="E139" s="22" t="s">
        <v>8601</v>
      </c>
      <c r="F139" s="25" t="n">
        <v>540.8</v>
      </c>
      <c r="G139" s="25" t="n">
        <v>540.8</v>
      </c>
      <c r="H139" s="25" t="n">
        <v>0</v>
      </c>
      <c r="I139" s="25" t="n">
        <v>0</v>
      </c>
      <c r="J139" s="25" t="n">
        <v>0</v>
      </c>
      <c r="K139" s="25" t="n">
        <v>540.8</v>
      </c>
      <c r="L139" s="25" t="n">
        <f aca="false">SUM(F139:J139)</f>
        <v>1081.6</v>
      </c>
      <c r="M139" s="25" t="n">
        <f aca="false">K139-L139</f>
        <v>-540.8</v>
      </c>
      <c r="N139" s="22" t="str">
        <f aca="false">RIGHT(A139,LEN(A139)-3)</f>
        <v>LP-0702</v>
      </c>
      <c r="O139" s="22" t="str">
        <f aca="false">IF(C139=N139,"Y","N")</f>
        <v>Y</v>
      </c>
      <c r="P139" s="22" t="str">
        <f aca="false">IFERROR(VLOOKUP(N139,'Slip Inventory'!$A$2:$R$1181,10,FALSE()),"NOT FOUND")</f>
        <v>OCCUPIED</v>
      </c>
      <c r="Q139" s="22" t="str">
        <f aca="false">IF(P139="OCCUPIED","Y","N")</f>
        <v>Y</v>
      </c>
      <c r="R139" s="25" t="n">
        <f aca="false">SUM(I139:J139)</f>
        <v>0</v>
      </c>
      <c r="S139" s="22" t="str">
        <f aca="false">IF(AND(R139&gt;0,Q139="Y"),"YES","NO")</f>
        <v>NO</v>
      </c>
      <c r="T139" s="22" t="s">
        <v>12975</v>
      </c>
      <c r="U139" s="23" t="n">
        <v>46208</v>
      </c>
      <c r="V139" s="23" t="n">
        <v>46190</v>
      </c>
      <c r="W139" s="22"/>
      <c r="X139" s="22" t="str">
        <f aca="false">IF(ABS(M139)&gt;0.005,"Reported total_due does not equal buckets",IF(O139&lt;&gt;"Y","Account/slip ID mismatch",IF(P139&lt;&gt;"OCCUPIED","Slip not occupied","OK")))</f>
        <v>Reported total_due does not equal buckets</v>
      </c>
      <c r="Y139" s="22" t="str">
        <f aca="false">IF(ABS(M139)&gt;0.005,"Priority 3","")</f>
        <v>Priority 3</v>
      </c>
    </row>
    <row r="140" customFormat="false" ht="15" hidden="false" customHeight="false" outlineLevel="0" collapsed="false">
      <c r="A140" s="22" t="s">
        <v>11676</v>
      </c>
      <c r="B140" s="22" t="s">
        <v>5775</v>
      </c>
      <c r="C140" s="22" t="s">
        <v>7006</v>
      </c>
      <c r="D140" s="22" t="s">
        <v>198</v>
      </c>
      <c r="E140" s="22" t="s">
        <v>8601</v>
      </c>
      <c r="F140" s="25" t="n">
        <v>613.6</v>
      </c>
      <c r="G140" s="25" t="n">
        <v>0</v>
      </c>
      <c r="H140" s="25" t="n">
        <v>0</v>
      </c>
      <c r="I140" s="25" t="n">
        <v>0</v>
      </c>
      <c r="J140" s="25" t="n">
        <v>0</v>
      </c>
      <c r="K140" s="25" t="n">
        <v>613.6</v>
      </c>
      <c r="L140" s="25" t="n">
        <f aca="false">SUM(F140:J140)</f>
        <v>613.6</v>
      </c>
      <c r="M140" s="25" t="n">
        <f aca="false">K140-L140</f>
        <v>0</v>
      </c>
      <c r="N140" s="22" t="str">
        <f aca="false">RIGHT(A140,LEN(A140)-3)</f>
        <v>LP-0703</v>
      </c>
      <c r="O140" s="22" t="str">
        <f aca="false">IF(C140=N140,"Y","N")</f>
        <v>Y</v>
      </c>
      <c r="P140" s="22" t="str">
        <f aca="false">IFERROR(VLOOKUP(N140,'Slip Inventory'!$A$2:$R$1181,10,FALSE()),"NOT FOUND")</f>
        <v>OCCUPIED</v>
      </c>
      <c r="Q140" s="22" t="str">
        <f aca="false">IF(P140="OCCUPIED","Y","N")</f>
        <v>Y</v>
      </c>
      <c r="R140" s="25" t="n">
        <f aca="false">SUM(I140:J140)</f>
        <v>0</v>
      </c>
      <c r="S140" s="22" t="str">
        <f aca="false">IF(AND(R140&gt;0,Q140="Y"),"YES","NO")</f>
        <v>NO</v>
      </c>
      <c r="T140" s="22" t="s">
        <v>12975</v>
      </c>
      <c r="U140" s="23" t="n">
        <v>46154</v>
      </c>
      <c r="V140" s="23" t="n">
        <v>46199</v>
      </c>
      <c r="W140" s="22"/>
      <c r="X140" s="22" t="str">
        <f aca="false">IF(ABS(M140)&gt;0.005,"Reported total_due does not equal buckets",IF(O140&lt;&gt;"Y","Account/slip ID mismatch",IF(P140&lt;&gt;"OCCUPIED","Slip not occupied","OK")))</f>
        <v>OK</v>
      </c>
      <c r="Y140" s="22" t="str">
        <f aca="false">IF(ABS(M140)&gt;0.005,"Priority 3","")</f>
        <v/>
      </c>
    </row>
    <row r="141" customFormat="false" ht="15" hidden="false" customHeight="false" outlineLevel="0" collapsed="false">
      <c r="A141" s="22" t="s">
        <v>11678</v>
      </c>
      <c r="B141" s="22" t="s">
        <v>2844</v>
      </c>
      <c r="C141" s="22" t="s">
        <v>7008</v>
      </c>
      <c r="D141" s="22" t="s">
        <v>198</v>
      </c>
      <c r="E141" s="22" t="s">
        <v>8601</v>
      </c>
      <c r="F141" s="25" t="n">
        <v>551.2</v>
      </c>
      <c r="G141" s="25" t="n">
        <v>0</v>
      </c>
      <c r="H141" s="25" t="n">
        <v>0</v>
      </c>
      <c r="I141" s="25" t="n">
        <v>0</v>
      </c>
      <c r="J141" s="25" t="n">
        <v>0</v>
      </c>
      <c r="K141" s="25" t="n">
        <v>551.2</v>
      </c>
      <c r="L141" s="25" t="n">
        <f aca="false">SUM(F141:J141)</f>
        <v>551.2</v>
      </c>
      <c r="M141" s="25" t="n">
        <f aca="false">K141-L141</f>
        <v>0</v>
      </c>
      <c r="N141" s="22" t="str">
        <f aca="false">RIGHT(A141,LEN(A141)-3)</f>
        <v>LP-0704</v>
      </c>
      <c r="O141" s="22" t="str">
        <f aca="false">IF(C141=N141,"Y","N")</f>
        <v>Y</v>
      </c>
      <c r="P141" s="22" t="str">
        <f aca="false">IFERROR(VLOOKUP(N141,'Slip Inventory'!$A$2:$R$1181,10,FALSE()),"NOT FOUND")</f>
        <v>OCCUPIED</v>
      </c>
      <c r="Q141" s="22" t="str">
        <f aca="false">IF(P141="OCCUPIED","Y","N")</f>
        <v>Y</v>
      </c>
      <c r="R141" s="25" t="n">
        <f aca="false">SUM(I141:J141)</f>
        <v>0</v>
      </c>
      <c r="S141" s="22" t="str">
        <f aca="false">IF(AND(R141&gt;0,Q141="Y"),"YES","NO")</f>
        <v>NO</v>
      </c>
      <c r="T141" s="22" t="s">
        <v>12975</v>
      </c>
      <c r="U141" s="23" t="n">
        <v>46165</v>
      </c>
      <c r="V141" s="23" t="n">
        <v>46183</v>
      </c>
      <c r="W141" s="22"/>
      <c r="X141" s="22" t="str">
        <f aca="false">IF(ABS(M141)&gt;0.005,"Reported total_due does not equal buckets",IF(O141&lt;&gt;"Y","Account/slip ID mismatch",IF(P141&lt;&gt;"OCCUPIED","Slip not occupied","OK")))</f>
        <v>OK</v>
      </c>
      <c r="Y141" s="22" t="str">
        <f aca="false">IF(ABS(M141)&gt;0.005,"Priority 3","")</f>
        <v/>
      </c>
    </row>
    <row r="142" customFormat="false" ht="15" hidden="false" customHeight="false" outlineLevel="0" collapsed="false">
      <c r="A142" s="22" t="s">
        <v>11680</v>
      </c>
      <c r="B142" s="22" t="s">
        <v>3353</v>
      </c>
      <c r="C142" s="22" t="s">
        <v>7011</v>
      </c>
      <c r="D142" s="22" t="s">
        <v>198</v>
      </c>
      <c r="E142" s="22" t="s">
        <v>8601</v>
      </c>
      <c r="F142" s="25" t="n">
        <v>457.6</v>
      </c>
      <c r="G142" s="25" t="n">
        <v>0</v>
      </c>
      <c r="H142" s="25" t="n">
        <v>0</v>
      </c>
      <c r="I142" s="25" t="n">
        <v>0</v>
      </c>
      <c r="J142" s="25" t="n">
        <v>0</v>
      </c>
      <c r="K142" s="25" t="n">
        <v>0</v>
      </c>
      <c r="L142" s="25" t="n">
        <f aca="false">SUM(F142:J142)</f>
        <v>457.6</v>
      </c>
      <c r="M142" s="25" t="n">
        <f aca="false">K142-L142</f>
        <v>-457.6</v>
      </c>
      <c r="N142" s="22" t="str">
        <f aca="false">RIGHT(A142,LEN(A142)-3)</f>
        <v>LP-0705</v>
      </c>
      <c r="O142" s="22" t="str">
        <f aca="false">IF(C142=N142,"Y","N")</f>
        <v>Y</v>
      </c>
      <c r="P142" s="22" t="str">
        <f aca="false">IFERROR(VLOOKUP(N142,'Slip Inventory'!$A$2:$R$1181,10,FALSE()),"NOT FOUND")</f>
        <v>OCCUPIED</v>
      </c>
      <c r="Q142" s="22" t="str">
        <f aca="false">IF(P142="OCCUPIED","Y","N")</f>
        <v>Y</v>
      </c>
      <c r="R142" s="25" t="n">
        <f aca="false">SUM(I142:J142)</f>
        <v>0</v>
      </c>
      <c r="S142" s="22" t="str">
        <f aca="false">IF(AND(R142&gt;0,Q142="Y"),"YES","NO")</f>
        <v>NO</v>
      </c>
      <c r="T142" s="22" t="s">
        <v>12975</v>
      </c>
      <c r="U142" s="23" t="n">
        <v>46161</v>
      </c>
      <c r="V142" s="23" t="n">
        <v>46221</v>
      </c>
      <c r="W142" s="22"/>
      <c r="X142" s="22" t="str">
        <f aca="false">IF(ABS(M142)&gt;0.005,"Reported total_due does not equal buckets",IF(O142&lt;&gt;"Y","Account/slip ID mismatch",IF(P142&lt;&gt;"OCCUPIED","Slip not occupied","OK")))</f>
        <v>Reported total_due does not equal buckets</v>
      </c>
      <c r="Y142" s="22" t="str">
        <f aca="false">IF(ABS(M142)&gt;0.005,"Priority 3","")</f>
        <v>Priority 3</v>
      </c>
    </row>
    <row r="143" customFormat="false" ht="15" hidden="false" customHeight="false" outlineLevel="0" collapsed="false">
      <c r="A143" s="22" t="s">
        <v>11682</v>
      </c>
      <c r="B143" s="22" t="s">
        <v>2326</v>
      </c>
      <c r="C143" s="22" t="s">
        <v>7013</v>
      </c>
      <c r="D143" s="22" t="s">
        <v>198</v>
      </c>
      <c r="E143" s="22" t="s">
        <v>8601</v>
      </c>
      <c r="F143" s="25" t="n">
        <v>457.6</v>
      </c>
      <c r="G143" s="25" t="n">
        <v>0</v>
      </c>
      <c r="H143" s="25" t="n">
        <v>0</v>
      </c>
      <c r="I143" s="25" t="n">
        <v>0</v>
      </c>
      <c r="J143" s="25" t="n">
        <v>0</v>
      </c>
      <c r="K143" s="25" t="n">
        <v>457.6</v>
      </c>
      <c r="L143" s="25" t="n">
        <f aca="false">SUM(F143:J143)</f>
        <v>457.6</v>
      </c>
      <c r="M143" s="25" t="n">
        <f aca="false">K143-L143</f>
        <v>0</v>
      </c>
      <c r="N143" s="22" t="str">
        <f aca="false">RIGHT(A143,LEN(A143)-3)</f>
        <v>LP-0706</v>
      </c>
      <c r="O143" s="22" t="str">
        <f aca="false">IF(C143=N143,"Y","N")</f>
        <v>Y</v>
      </c>
      <c r="P143" s="22" t="str">
        <f aca="false">IFERROR(VLOOKUP(N143,'Slip Inventory'!$A$2:$R$1181,10,FALSE()),"NOT FOUND")</f>
        <v>OCCUPIED</v>
      </c>
      <c r="Q143" s="22" t="str">
        <f aca="false">IF(P143="OCCUPIED","Y","N")</f>
        <v>Y</v>
      </c>
      <c r="R143" s="25" t="n">
        <f aca="false">SUM(I143:J143)</f>
        <v>0</v>
      </c>
      <c r="S143" s="22" t="str">
        <f aca="false">IF(AND(R143&gt;0,Q143="Y"),"YES","NO")</f>
        <v>NO</v>
      </c>
      <c r="T143" s="22" t="s">
        <v>12975</v>
      </c>
      <c r="U143" s="23" t="n">
        <v>46192</v>
      </c>
      <c r="V143" s="23" t="n">
        <v>46216</v>
      </c>
      <c r="W143" s="22"/>
      <c r="X143" s="22" t="str">
        <f aca="false">IF(ABS(M143)&gt;0.005,"Reported total_due does not equal buckets",IF(O143&lt;&gt;"Y","Account/slip ID mismatch",IF(P143&lt;&gt;"OCCUPIED","Slip not occupied","OK")))</f>
        <v>OK</v>
      </c>
      <c r="Y143" s="22" t="str">
        <f aca="false">IF(ABS(M143)&gt;0.005,"Priority 3","")</f>
        <v/>
      </c>
    </row>
    <row r="144" customFormat="false" ht="15" hidden="false" customHeight="false" outlineLevel="0" collapsed="false">
      <c r="A144" s="22" t="s">
        <v>11684</v>
      </c>
      <c r="B144" s="22" t="s">
        <v>3801</v>
      </c>
      <c r="C144" s="22" t="s">
        <v>7016</v>
      </c>
      <c r="D144" s="22" t="s">
        <v>198</v>
      </c>
      <c r="E144" s="22" t="s">
        <v>8601</v>
      </c>
      <c r="F144" s="25" t="n">
        <v>478.4</v>
      </c>
      <c r="G144" s="25" t="n">
        <v>0</v>
      </c>
      <c r="H144" s="25" t="n">
        <v>0</v>
      </c>
      <c r="I144" s="25" t="n">
        <v>0</v>
      </c>
      <c r="J144" s="25" t="n">
        <v>0</v>
      </c>
      <c r="K144" s="25" t="n">
        <v>478.4</v>
      </c>
      <c r="L144" s="25" t="n">
        <f aca="false">SUM(F144:J144)</f>
        <v>478.4</v>
      </c>
      <c r="M144" s="25" t="n">
        <f aca="false">K144-L144</f>
        <v>0</v>
      </c>
      <c r="N144" s="22" t="str">
        <f aca="false">RIGHT(A144,LEN(A144)-3)</f>
        <v>LP-0707</v>
      </c>
      <c r="O144" s="22" t="str">
        <f aca="false">IF(C144=N144,"Y","N")</f>
        <v>Y</v>
      </c>
      <c r="P144" s="22" t="str">
        <f aca="false">IFERROR(VLOOKUP(N144,'Slip Inventory'!$A$2:$R$1181,10,FALSE()),"NOT FOUND")</f>
        <v>OCCUPIED</v>
      </c>
      <c r="Q144" s="22" t="str">
        <f aca="false">IF(P144="OCCUPIED","Y","N")</f>
        <v>Y</v>
      </c>
      <c r="R144" s="25" t="n">
        <f aca="false">SUM(I144:J144)</f>
        <v>0</v>
      </c>
      <c r="S144" s="22" t="str">
        <f aca="false">IF(AND(R144&gt;0,Q144="Y"),"YES","NO")</f>
        <v>NO</v>
      </c>
      <c r="T144" s="22" t="s">
        <v>12975</v>
      </c>
      <c r="U144" s="23" t="n">
        <v>46192</v>
      </c>
      <c r="V144" s="23" t="n">
        <v>46221</v>
      </c>
      <c r="W144" s="22"/>
      <c r="X144" s="22" t="str">
        <f aca="false">IF(ABS(M144)&gt;0.005,"Reported total_due does not equal buckets",IF(O144&lt;&gt;"Y","Account/slip ID mismatch",IF(P144&lt;&gt;"OCCUPIED","Slip not occupied","OK")))</f>
        <v>OK</v>
      </c>
      <c r="Y144" s="22" t="str">
        <f aca="false">IF(ABS(M144)&gt;0.005,"Priority 3","")</f>
        <v/>
      </c>
    </row>
    <row r="145" customFormat="false" ht="15" hidden="false" customHeight="false" outlineLevel="0" collapsed="false">
      <c r="A145" s="22" t="s">
        <v>11686</v>
      </c>
      <c r="B145" s="22" t="s">
        <v>6345</v>
      </c>
      <c r="C145" s="22" t="s">
        <v>7019</v>
      </c>
      <c r="D145" s="22" t="s">
        <v>198</v>
      </c>
      <c r="E145" s="22" t="s">
        <v>8601</v>
      </c>
      <c r="F145" s="25" t="n">
        <v>457.6</v>
      </c>
      <c r="G145" s="25" t="n">
        <v>0</v>
      </c>
      <c r="H145" s="25" t="n">
        <v>0</v>
      </c>
      <c r="I145" s="25" t="n">
        <v>0</v>
      </c>
      <c r="J145" s="25" t="n">
        <v>0</v>
      </c>
      <c r="K145" s="25" t="n">
        <v>457.6</v>
      </c>
      <c r="L145" s="25" t="n">
        <f aca="false">SUM(F145:J145)</f>
        <v>457.6</v>
      </c>
      <c r="M145" s="25" t="n">
        <f aca="false">K145-L145</f>
        <v>0</v>
      </c>
      <c r="N145" s="22" t="str">
        <f aca="false">RIGHT(A145,LEN(A145)-3)</f>
        <v>LP-0708</v>
      </c>
      <c r="O145" s="22" t="str">
        <f aca="false">IF(C145=N145,"Y","N")</f>
        <v>Y</v>
      </c>
      <c r="P145" s="22" t="str">
        <f aca="false">IFERROR(VLOOKUP(N145,'Slip Inventory'!$A$2:$R$1181,10,FALSE()),"NOT FOUND")</f>
        <v>OCCUPIED</v>
      </c>
      <c r="Q145" s="22" t="str">
        <f aca="false">IF(P145="OCCUPIED","Y","N")</f>
        <v>Y</v>
      </c>
      <c r="R145" s="25" t="n">
        <f aca="false">SUM(I145:J145)</f>
        <v>0</v>
      </c>
      <c r="S145" s="22" t="str">
        <f aca="false">IF(AND(R145&gt;0,Q145="Y"),"YES","NO")</f>
        <v>NO</v>
      </c>
      <c r="T145" s="22" t="s">
        <v>12975</v>
      </c>
      <c r="U145" s="23" t="n">
        <v>46204</v>
      </c>
      <c r="V145" s="23" t="n">
        <v>46214</v>
      </c>
      <c r="W145" s="22"/>
      <c r="X145" s="22" t="str">
        <f aca="false">IF(ABS(M145)&gt;0.005,"Reported total_due does not equal buckets",IF(O145&lt;&gt;"Y","Account/slip ID mismatch",IF(P145&lt;&gt;"OCCUPIED","Slip not occupied","OK")))</f>
        <v>OK</v>
      </c>
      <c r="Y145" s="22" t="str">
        <f aca="false">IF(ABS(M145)&gt;0.005,"Priority 3","")</f>
        <v/>
      </c>
    </row>
    <row r="146" customFormat="false" ht="15" hidden="false" customHeight="false" outlineLevel="0" collapsed="false">
      <c r="A146" s="22" t="s">
        <v>11688</v>
      </c>
      <c r="B146" s="22" t="s">
        <v>4104</v>
      </c>
      <c r="C146" s="22" t="s">
        <v>7022</v>
      </c>
      <c r="D146" s="22" t="s">
        <v>198</v>
      </c>
      <c r="E146" s="22" t="s">
        <v>8601</v>
      </c>
      <c r="F146" s="25" t="n">
        <v>478.4</v>
      </c>
      <c r="G146" s="25" t="n">
        <v>478.4</v>
      </c>
      <c r="H146" s="25" t="n">
        <v>0</v>
      </c>
      <c r="I146" s="25" t="n">
        <v>0</v>
      </c>
      <c r="J146" s="25" t="n">
        <v>0</v>
      </c>
      <c r="K146" s="25" t="n">
        <v>478.4</v>
      </c>
      <c r="L146" s="25" t="n">
        <f aca="false">SUM(F146:J146)</f>
        <v>956.8</v>
      </c>
      <c r="M146" s="25" t="n">
        <f aca="false">K146-L146</f>
        <v>-478.4</v>
      </c>
      <c r="N146" s="22" t="str">
        <f aca="false">RIGHT(A146,LEN(A146)-3)</f>
        <v>LP-0709</v>
      </c>
      <c r="O146" s="22" t="str">
        <f aca="false">IF(C146=N146,"Y","N")</f>
        <v>Y</v>
      </c>
      <c r="P146" s="22" t="str">
        <f aca="false">IFERROR(VLOOKUP(N146,'Slip Inventory'!$A$2:$R$1181,10,FALSE()),"NOT FOUND")</f>
        <v>OCCUPIED</v>
      </c>
      <c r="Q146" s="22" t="str">
        <f aca="false">IF(P146="OCCUPIED","Y","N")</f>
        <v>Y</v>
      </c>
      <c r="R146" s="25" t="n">
        <f aca="false">SUM(I146:J146)</f>
        <v>0</v>
      </c>
      <c r="S146" s="22" t="str">
        <f aca="false">IF(AND(R146&gt;0,Q146="Y"),"YES","NO")</f>
        <v>NO</v>
      </c>
      <c r="T146" s="22" t="s">
        <v>12975</v>
      </c>
      <c r="U146" s="23" t="n">
        <v>46214</v>
      </c>
      <c r="V146" s="23" t="n">
        <v>46175</v>
      </c>
      <c r="W146" s="22"/>
      <c r="X146" s="22" t="str">
        <f aca="false">IF(ABS(M146)&gt;0.005,"Reported total_due does not equal buckets",IF(O146&lt;&gt;"Y","Account/slip ID mismatch",IF(P146&lt;&gt;"OCCUPIED","Slip not occupied","OK")))</f>
        <v>Reported total_due does not equal buckets</v>
      </c>
      <c r="Y146" s="22" t="str">
        <f aca="false">IF(ABS(M146)&gt;0.005,"Priority 3","")</f>
        <v>Priority 3</v>
      </c>
    </row>
    <row r="147" customFormat="false" ht="15" hidden="false" customHeight="false" outlineLevel="0" collapsed="false">
      <c r="A147" s="22" t="s">
        <v>11690</v>
      </c>
      <c r="B147" s="22" t="s">
        <v>6543</v>
      </c>
      <c r="C147" s="22" t="s">
        <v>7025</v>
      </c>
      <c r="D147" s="22" t="s">
        <v>198</v>
      </c>
      <c r="E147" s="22" t="s">
        <v>8601</v>
      </c>
      <c r="F147" s="25" t="n">
        <v>353.6</v>
      </c>
      <c r="G147" s="25" t="n">
        <v>0</v>
      </c>
      <c r="H147" s="25" t="n">
        <v>0</v>
      </c>
      <c r="I147" s="25" t="n">
        <v>0</v>
      </c>
      <c r="J147" s="25" t="n">
        <v>0</v>
      </c>
      <c r="K147" s="25" t="n">
        <v>353.6</v>
      </c>
      <c r="L147" s="25" t="n">
        <f aca="false">SUM(F147:J147)</f>
        <v>353.6</v>
      </c>
      <c r="M147" s="25" t="n">
        <f aca="false">K147-L147</f>
        <v>0</v>
      </c>
      <c r="N147" s="22" t="str">
        <f aca="false">RIGHT(A147,LEN(A147)-3)</f>
        <v>LP-0710</v>
      </c>
      <c r="O147" s="22" t="str">
        <f aca="false">IF(C147=N147,"Y","N")</f>
        <v>Y</v>
      </c>
      <c r="P147" s="22" t="str">
        <f aca="false">IFERROR(VLOOKUP(N147,'Slip Inventory'!$A$2:$R$1181,10,FALSE()),"NOT FOUND")</f>
        <v>OCCUPIED</v>
      </c>
      <c r="Q147" s="22" t="str">
        <f aca="false">IF(P147="OCCUPIED","Y","N")</f>
        <v>Y</v>
      </c>
      <c r="R147" s="25" t="n">
        <f aca="false">SUM(I147:J147)</f>
        <v>0</v>
      </c>
      <c r="S147" s="22" t="str">
        <f aca="false">IF(AND(R147&gt;0,Q147="Y"),"YES","NO")</f>
        <v>NO</v>
      </c>
      <c r="T147" s="22" t="s">
        <v>12975</v>
      </c>
      <c r="U147" s="23" t="n">
        <v>46182</v>
      </c>
      <c r="V147" s="23" t="n">
        <v>46199</v>
      </c>
      <c r="W147" s="22"/>
      <c r="X147" s="22" t="str">
        <f aca="false">IF(ABS(M147)&gt;0.005,"Reported total_due does not equal buckets",IF(O147&lt;&gt;"Y","Account/slip ID mismatch",IF(P147&lt;&gt;"OCCUPIED","Slip not occupied","OK")))</f>
        <v>OK</v>
      </c>
      <c r="Y147" s="22" t="str">
        <f aca="false">IF(ABS(M147)&gt;0.005,"Priority 3","")</f>
        <v/>
      </c>
    </row>
    <row r="148" customFormat="false" ht="15" hidden="false" customHeight="false" outlineLevel="0" collapsed="false">
      <c r="A148" s="22" t="s">
        <v>11692</v>
      </c>
      <c r="B148" s="22" t="s">
        <v>2065</v>
      </c>
      <c r="C148" s="22" t="s">
        <v>7028</v>
      </c>
      <c r="D148" s="22" t="s">
        <v>198</v>
      </c>
      <c r="E148" s="22" t="s">
        <v>8601</v>
      </c>
      <c r="F148" s="25" t="n">
        <v>457.6</v>
      </c>
      <c r="G148" s="25" t="n">
        <v>0</v>
      </c>
      <c r="H148" s="25" t="n">
        <v>0</v>
      </c>
      <c r="I148" s="25" t="n">
        <v>0</v>
      </c>
      <c r="J148" s="25" t="n">
        <v>0</v>
      </c>
      <c r="K148" s="25" t="n">
        <v>457.6</v>
      </c>
      <c r="L148" s="25" t="n">
        <f aca="false">SUM(F148:J148)</f>
        <v>457.6</v>
      </c>
      <c r="M148" s="25" t="n">
        <f aca="false">K148-L148</f>
        <v>0</v>
      </c>
      <c r="N148" s="22" t="str">
        <f aca="false">RIGHT(A148,LEN(A148)-3)</f>
        <v>LP-0711</v>
      </c>
      <c r="O148" s="22" t="str">
        <f aca="false">IF(C148=N148,"Y","N")</f>
        <v>Y</v>
      </c>
      <c r="P148" s="22" t="str">
        <f aca="false">IFERROR(VLOOKUP(N148,'Slip Inventory'!$A$2:$R$1181,10,FALSE()),"NOT FOUND")</f>
        <v>OCCUPIED</v>
      </c>
      <c r="Q148" s="22" t="str">
        <f aca="false">IF(P148="OCCUPIED","Y","N")</f>
        <v>Y</v>
      </c>
      <c r="R148" s="25" t="n">
        <f aca="false">SUM(I148:J148)</f>
        <v>0</v>
      </c>
      <c r="S148" s="22" t="str">
        <f aca="false">IF(AND(R148&gt;0,Q148="Y"),"YES","NO")</f>
        <v>NO</v>
      </c>
      <c r="T148" s="22" t="s">
        <v>12975</v>
      </c>
      <c r="U148" s="23" t="n">
        <v>46232</v>
      </c>
      <c r="V148" s="23" t="n">
        <v>46186</v>
      </c>
      <c r="W148" s="22"/>
      <c r="X148" s="22" t="str">
        <f aca="false">IF(ABS(M148)&gt;0.005,"Reported total_due does not equal buckets",IF(O148&lt;&gt;"Y","Account/slip ID mismatch",IF(P148&lt;&gt;"OCCUPIED","Slip not occupied","OK")))</f>
        <v>OK</v>
      </c>
      <c r="Y148" s="22" t="str">
        <f aca="false">IF(ABS(M148)&gt;0.005,"Priority 3","")</f>
        <v/>
      </c>
    </row>
    <row r="149" customFormat="false" ht="15" hidden="false" customHeight="false" outlineLevel="0" collapsed="false">
      <c r="A149" s="22" t="s">
        <v>11694</v>
      </c>
      <c r="B149" s="22" t="s">
        <v>4600</v>
      </c>
      <c r="C149" s="22" t="s">
        <v>7030</v>
      </c>
      <c r="D149" s="22" t="s">
        <v>198</v>
      </c>
      <c r="E149" s="22" t="s">
        <v>8601</v>
      </c>
      <c r="F149" s="25" t="n">
        <v>384.8</v>
      </c>
      <c r="G149" s="25" t="n">
        <v>384.8</v>
      </c>
      <c r="H149" s="25" t="n">
        <v>0</v>
      </c>
      <c r="I149" s="25" t="n">
        <v>0</v>
      </c>
      <c r="J149" s="25" t="n">
        <v>0</v>
      </c>
      <c r="K149" s="25" t="n">
        <v>384.8</v>
      </c>
      <c r="L149" s="25" t="n">
        <f aca="false">SUM(F149:J149)</f>
        <v>769.6</v>
      </c>
      <c r="M149" s="25" t="n">
        <f aca="false">K149-L149</f>
        <v>-384.8</v>
      </c>
      <c r="N149" s="22" t="str">
        <f aca="false">RIGHT(A149,LEN(A149)-3)</f>
        <v>LP-0712</v>
      </c>
      <c r="O149" s="22" t="str">
        <f aca="false">IF(C149=N149,"Y","N")</f>
        <v>Y</v>
      </c>
      <c r="P149" s="22" t="str">
        <f aca="false">IFERROR(VLOOKUP(N149,'Slip Inventory'!$A$2:$R$1181,10,FALSE()),"NOT FOUND")</f>
        <v>OCCUPIED</v>
      </c>
      <c r="Q149" s="22" t="str">
        <f aca="false">IF(P149="OCCUPIED","Y","N")</f>
        <v>Y</v>
      </c>
      <c r="R149" s="25" t="n">
        <f aca="false">SUM(I149:J149)</f>
        <v>0</v>
      </c>
      <c r="S149" s="22" t="str">
        <f aca="false">IF(AND(R149&gt;0,Q149="Y"),"YES","NO")</f>
        <v>NO</v>
      </c>
      <c r="T149" s="22" t="s">
        <v>12975</v>
      </c>
      <c r="U149" s="23" t="n">
        <v>46194</v>
      </c>
      <c r="V149" s="23" t="n">
        <v>46192</v>
      </c>
      <c r="W149" s="22"/>
      <c r="X149" s="22" t="str">
        <f aca="false">IF(ABS(M149)&gt;0.005,"Reported total_due does not equal buckets",IF(O149&lt;&gt;"Y","Account/slip ID mismatch",IF(P149&lt;&gt;"OCCUPIED","Slip not occupied","OK")))</f>
        <v>Reported total_due does not equal buckets</v>
      </c>
      <c r="Y149" s="22" t="str">
        <f aca="false">IF(ABS(M149)&gt;0.005,"Priority 3","")</f>
        <v>Priority 3</v>
      </c>
    </row>
    <row r="150" customFormat="false" ht="15" hidden="false" customHeight="false" outlineLevel="0" collapsed="false">
      <c r="A150" s="22" t="s">
        <v>11696</v>
      </c>
      <c r="B150" s="22" t="s">
        <v>5616</v>
      </c>
      <c r="C150" s="22" t="s">
        <v>7032</v>
      </c>
      <c r="D150" s="22" t="s">
        <v>198</v>
      </c>
      <c r="E150" s="22" t="s">
        <v>8601</v>
      </c>
      <c r="F150" s="25" t="n">
        <v>416</v>
      </c>
      <c r="G150" s="25" t="n">
        <v>416</v>
      </c>
      <c r="H150" s="25" t="n">
        <v>416</v>
      </c>
      <c r="I150" s="25" t="n">
        <v>416</v>
      </c>
      <c r="J150" s="25" t="n">
        <v>832</v>
      </c>
      <c r="K150" s="25" t="n">
        <v>2496</v>
      </c>
      <c r="L150" s="25" t="n">
        <f aca="false">SUM(F150:J150)</f>
        <v>2496</v>
      </c>
      <c r="M150" s="25" t="n">
        <f aca="false">K150-L150</f>
        <v>0</v>
      </c>
      <c r="N150" s="22" t="str">
        <f aca="false">RIGHT(A150,LEN(A150)-3)</f>
        <v>LP-0713</v>
      </c>
      <c r="O150" s="22" t="str">
        <f aca="false">IF(C150=N150,"Y","N")</f>
        <v>Y</v>
      </c>
      <c r="P150" s="22" t="str">
        <f aca="false">IFERROR(VLOOKUP(N150,'Slip Inventory'!$A$2:$R$1181,10,FALSE()),"NOT FOUND")</f>
        <v>OCCUPIED</v>
      </c>
      <c r="Q150" s="22" t="str">
        <f aca="false">IF(P150="OCCUPIED","Y","N")</f>
        <v>Y</v>
      </c>
      <c r="R150" s="25" t="n">
        <f aca="false">SUM(I150:J150)</f>
        <v>1248</v>
      </c>
      <c r="S150" s="22" t="str">
        <f aca="false">IF(AND(R150&gt;0,Q150="Y"),"YES","NO")</f>
        <v>YES</v>
      </c>
      <c r="T150" s="22" t="s">
        <v>12978</v>
      </c>
      <c r="U150" s="23" t="n">
        <v>46157</v>
      </c>
      <c r="V150" s="23" t="n">
        <v>46205</v>
      </c>
      <c r="W150" s="22"/>
      <c r="X150" s="22" t="str">
        <f aca="false">IF(ABS(M150)&gt;0.005,"Reported total_due does not equal buckets",IF(O150&lt;&gt;"Y","Account/slip ID mismatch",IF(P150&lt;&gt;"OCCUPIED","Slip not occupied","OK")))</f>
        <v>OK</v>
      </c>
      <c r="Y150" s="22" t="str">
        <f aca="false">IF(ABS(M150)&gt;0.005,"Priority 3","")</f>
        <v/>
      </c>
    </row>
    <row r="151" customFormat="false" ht="15" hidden="false" customHeight="false" outlineLevel="0" collapsed="false">
      <c r="A151" s="22" t="s">
        <v>11698</v>
      </c>
      <c r="B151" s="22" t="s">
        <v>1348</v>
      </c>
      <c r="C151" s="22" t="s">
        <v>7035</v>
      </c>
      <c r="D151" s="22" t="s">
        <v>198</v>
      </c>
      <c r="E151" s="22" t="s">
        <v>8601</v>
      </c>
      <c r="F151" s="25" t="n">
        <v>332.8</v>
      </c>
      <c r="G151" s="25" t="n">
        <v>332.8</v>
      </c>
      <c r="H151" s="25" t="n">
        <v>0</v>
      </c>
      <c r="I151" s="25" t="n">
        <v>0</v>
      </c>
      <c r="J151" s="25" t="n">
        <v>0</v>
      </c>
      <c r="K151" s="25" t="n">
        <v>665.6</v>
      </c>
      <c r="L151" s="25" t="n">
        <f aca="false">SUM(F151:J151)</f>
        <v>665.6</v>
      </c>
      <c r="M151" s="25" t="n">
        <f aca="false">K151-L151</f>
        <v>0</v>
      </c>
      <c r="N151" s="22" t="str">
        <f aca="false">RIGHT(A151,LEN(A151)-3)</f>
        <v>LP-0714</v>
      </c>
      <c r="O151" s="22" t="str">
        <f aca="false">IF(C151=N151,"Y","N")</f>
        <v>Y</v>
      </c>
      <c r="P151" s="22" t="str">
        <f aca="false">IFERROR(VLOOKUP(N151,'Slip Inventory'!$A$2:$R$1181,10,FALSE()),"NOT FOUND")</f>
        <v>OCCUPIED</v>
      </c>
      <c r="Q151" s="22" t="str">
        <f aca="false">IF(P151="OCCUPIED","Y","N")</f>
        <v>Y</v>
      </c>
      <c r="R151" s="25" t="n">
        <f aca="false">SUM(I151:J151)</f>
        <v>0</v>
      </c>
      <c r="S151" s="22" t="str">
        <f aca="false">IF(AND(R151&gt;0,Q151="Y"),"YES","NO")</f>
        <v>NO</v>
      </c>
      <c r="T151" s="22" t="s">
        <v>12977</v>
      </c>
      <c r="U151" s="23" t="n">
        <v>46229</v>
      </c>
      <c r="V151" s="23" t="n">
        <v>46178</v>
      </c>
      <c r="W151" s="22"/>
      <c r="X151" s="22" t="str">
        <f aca="false">IF(ABS(M151)&gt;0.005,"Reported total_due does not equal buckets",IF(O151&lt;&gt;"Y","Account/slip ID mismatch",IF(P151&lt;&gt;"OCCUPIED","Slip not occupied","OK")))</f>
        <v>OK</v>
      </c>
      <c r="Y151" s="22" t="str">
        <f aca="false">IF(ABS(M151)&gt;0.005,"Priority 3","")</f>
        <v/>
      </c>
    </row>
    <row r="152" customFormat="false" ht="15" hidden="false" customHeight="false" outlineLevel="0" collapsed="false">
      <c r="A152" s="22" t="s">
        <v>11700</v>
      </c>
      <c r="B152" s="22" t="s">
        <v>5648</v>
      </c>
      <c r="C152" s="22" t="s">
        <v>7037</v>
      </c>
      <c r="D152" s="22" t="s">
        <v>198</v>
      </c>
      <c r="E152" s="22" t="s">
        <v>8601</v>
      </c>
      <c r="F152" s="25" t="n">
        <v>582.4</v>
      </c>
      <c r="G152" s="25" t="n">
        <v>0</v>
      </c>
      <c r="H152" s="25" t="n">
        <v>0</v>
      </c>
      <c r="I152" s="25" t="n">
        <v>0</v>
      </c>
      <c r="J152" s="25" t="n">
        <v>0</v>
      </c>
      <c r="K152" s="25" t="n">
        <v>0</v>
      </c>
      <c r="L152" s="25" t="n">
        <f aca="false">SUM(F152:J152)</f>
        <v>582.4</v>
      </c>
      <c r="M152" s="25" t="n">
        <f aca="false">K152-L152</f>
        <v>-582.4</v>
      </c>
      <c r="N152" s="22" t="str">
        <f aca="false">RIGHT(A152,LEN(A152)-3)</f>
        <v>LP-0715</v>
      </c>
      <c r="O152" s="22" t="str">
        <f aca="false">IF(C152=N152,"Y","N")</f>
        <v>Y</v>
      </c>
      <c r="P152" s="22" t="str">
        <f aca="false">IFERROR(VLOOKUP(N152,'Slip Inventory'!$A$2:$R$1181,10,FALSE()),"NOT FOUND")</f>
        <v>OCCUPIED</v>
      </c>
      <c r="Q152" s="22" t="str">
        <f aca="false">IF(P152="OCCUPIED","Y","N")</f>
        <v>Y</v>
      </c>
      <c r="R152" s="25" t="n">
        <f aca="false">SUM(I152:J152)</f>
        <v>0</v>
      </c>
      <c r="S152" s="22" t="str">
        <f aca="false">IF(AND(R152&gt;0,Q152="Y"),"YES","NO")</f>
        <v>NO</v>
      </c>
      <c r="T152" s="22" t="s">
        <v>12975</v>
      </c>
      <c r="U152" s="23" t="n">
        <v>46165</v>
      </c>
      <c r="V152" s="23" t="n">
        <v>46223</v>
      </c>
      <c r="W152" s="22"/>
      <c r="X152" s="22" t="str">
        <f aca="false">IF(ABS(M152)&gt;0.005,"Reported total_due does not equal buckets",IF(O152&lt;&gt;"Y","Account/slip ID mismatch",IF(P152&lt;&gt;"OCCUPIED","Slip not occupied","OK")))</f>
        <v>Reported total_due does not equal buckets</v>
      </c>
      <c r="Y152" s="22" t="str">
        <f aca="false">IF(ABS(M152)&gt;0.005,"Priority 3","")</f>
        <v>Priority 3</v>
      </c>
    </row>
    <row r="153" customFormat="false" ht="15" hidden="false" customHeight="false" outlineLevel="0" collapsed="false">
      <c r="A153" s="22" t="s">
        <v>11702</v>
      </c>
      <c r="B153" s="22" t="s">
        <v>5928</v>
      </c>
      <c r="C153" s="22" t="s">
        <v>7040</v>
      </c>
      <c r="D153" s="22" t="s">
        <v>198</v>
      </c>
      <c r="E153" s="22" t="s">
        <v>8601</v>
      </c>
      <c r="F153" s="25" t="n">
        <v>426.4</v>
      </c>
      <c r="G153" s="25" t="n">
        <v>0</v>
      </c>
      <c r="H153" s="25" t="n">
        <v>0</v>
      </c>
      <c r="I153" s="25" t="n">
        <v>0</v>
      </c>
      <c r="J153" s="25" t="n">
        <v>0</v>
      </c>
      <c r="K153" s="25" t="n">
        <v>426.4</v>
      </c>
      <c r="L153" s="25" t="n">
        <f aca="false">SUM(F153:J153)</f>
        <v>426.4</v>
      </c>
      <c r="M153" s="25" t="n">
        <f aca="false">K153-L153</f>
        <v>0</v>
      </c>
      <c r="N153" s="22" t="str">
        <f aca="false">RIGHT(A153,LEN(A153)-3)</f>
        <v>LP-0716</v>
      </c>
      <c r="O153" s="22" t="str">
        <f aca="false">IF(C153=N153,"Y","N")</f>
        <v>Y</v>
      </c>
      <c r="P153" s="22" t="str">
        <f aca="false">IFERROR(VLOOKUP(N153,'Slip Inventory'!$A$2:$R$1181,10,FALSE()),"NOT FOUND")</f>
        <v>OCCUPIED</v>
      </c>
      <c r="Q153" s="22" t="str">
        <f aca="false">IF(P153="OCCUPIED","Y","N")</f>
        <v>Y</v>
      </c>
      <c r="R153" s="25" t="n">
        <f aca="false">SUM(I153:J153)</f>
        <v>0</v>
      </c>
      <c r="S153" s="22" t="str">
        <f aca="false">IF(AND(R153&gt;0,Q153="Y"),"YES","NO")</f>
        <v>NO</v>
      </c>
      <c r="T153" s="22" t="s">
        <v>12975</v>
      </c>
      <c r="U153" s="23" t="n">
        <v>46192</v>
      </c>
      <c r="V153" s="23" t="n">
        <v>46219</v>
      </c>
      <c r="W153" s="22"/>
      <c r="X153" s="22" t="str">
        <f aca="false">IF(ABS(M153)&gt;0.005,"Reported total_due does not equal buckets",IF(O153&lt;&gt;"Y","Account/slip ID mismatch",IF(P153&lt;&gt;"OCCUPIED","Slip not occupied","OK")))</f>
        <v>OK</v>
      </c>
      <c r="Y153" s="22" t="str">
        <f aca="false">IF(ABS(M153)&gt;0.005,"Priority 3","")</f>
        <v/>
      </c>
    </row>
    <row r="154" customFormat="false" ht="15" hidden="false" customHeight="false" outlineLevel="0" collapsed="false">
      <c r="A154" s="22" t="s">
        <v>11704</v>
      </c>
      <c r="B154" s="22" t="s">
        <v>1042</v>
      </c>
      <c r="C154" s="22" t="s">
        <v>7043</v>
      </c>
      <c r="D154" s="22" t="s">
        <v>198</v>
      </c>
      <c r="E154" s="22" t="s">
        <v>8601</v>
      </c>
      <c r="F154" s="25" t="n">
        <v>582.4</v>
      </c>
      <c r="G154" s="25" t="n">
        <v>582.4</v>
      </c>
      <c r="H154" s="25" t="n">
        <v>582.4</v>
      </c>
      <c r="I154" s="25" t="n">
        <v>0</v>
      </c>
      <c r="J154" s="25" t="n">
        <v>0</v>
      </c>
      <c r="K154" s="25" t="n">
        <v>1164.8</v>
      </c>
      <c r="L154" s="25" t="n">
        <f aca="false">SUM(F154:J154)</f>
        <v>1747.2</v>
      </c>
      <c r="M154" s="25" t="n">
        <f aca="false">K154-L154</f>
        <v>-582.4</v>
      </c>
      <c r="N154" s="22" t="str">
        <f aca="false">RIGHT(A154,LEN(A154)-3)</f>
        <v>LP-0717</v>
      </c>
      <c r="O154" s="22" t="str">
        <f aca="false">IF(C154=N154,"Y","N")</f>
        <v>Y</v>
      </c>
      <c r="P154" s="22" t="str">
        <f aca="false">IFERROR(VLOOKUP(N154,'Slip Inventory'!$A$2:$R$1181,10,FALSE()),"NOT FOUND")</f>
        <v>OCCUPIED</v>
      </c>
      <c r="Q154" s="22" t="str">
        <f aca="false">IF(P154="OCCUPIED","Y","N")</f>
        <v>Y</v>
      </c>
      <c r="R154" s="25" t="n">
        <f aca="false">SUM(I154:J154)</f>
        <v>0</v>
      </c>
      <c r="S154" s="22" t="str">
        <f aca="false">IF(AND(R154&gt;0,Q154="Y"),"YES","NO")</f>
        <v>NO</v>
      </c>
      <c r="T154" s="22" t="s">
        <v>12977</v>
      </c>
      <c r="U154" s="23" t="n">
        <v>46229</v>
      </c>
      <c r="V154" s="23" t="n">
        <v>46176</v>
      </c>
      <c r="W154" s="22"/>
      <c r="X154" s="22" t="str">
        <f aca="false">IF(ABS(M154)&gt;0.005,"Reported total_due does not equal buckets",IF(O154&lt;&gt;"Y","Account/slip ID mismatch",IF(P154&lt;&gt;"OCCUPIED","Slip not occupied","OK")))</f>
        <v>Reported total_due does not equal buckets</v>
      </c>
      <c r="Y154" s="22" t="str">
        <f aca="false">IF(ABS(M154)&gt;0.005,"Priority 3","")</f>
        <v>Priority 3</v>
      </c>
    </row>
    <row r="155" customFormat="false" ht="15" hidden="false" customHeight="false" outlineLevel="0" collapsed="false">
      <c r="A155" s="22" t="s">
        <v>11706</v>
      </c>
      <c r="B155" s="22" t="s">
        <v>5537</v>
      </c>
      <c r="C155" s="22" t="s">
        <v>7045</v>
      </c>
      <c r="D155" s="22" t="s">
        <v>198</v>
      </c>
      <c r="E155" s="22" t="s">
        <v>8601</v>
      </c>
      <c r="F155" s="25" t="n">
        <v>332.8</v>
      </c>
      <c r="G155" s="25" t="n">
        <v>332.8</v>
      </c>
      <c r="H155" s="25" t="n">
        <v>0</v>
      </c>
      <c r="I155" s="25" t="n">
        <v>0</v>
      </c>
      <c r="J155" s="25" t="n">
        <v>0</v>
      </c>
      <c r="K155" s="25" t="n">
        <v>665.6</v>
      </c>
      <c r="L155" s="25" t="n">
        <f aca="false">SUM(F155:J155)</f>
        <v>665.6</v>
      </c>
      <c r="M155" s="25" t="n">
        <f aca="false">K155-L155</f>
        <v>0</v>
      </c>
      <c r="N155" s="22" t="str">
        <f aca="false">RIGHT(A155,LEN(A155)-3)</f>
        <v>LP-0718</v>
      </c>
      <c r="O155" s="22" t="str">
        <f aca="false">IF(C155=N155,"Y","N")</f>
        <v>Y</v>
      </c>
      <c r="P155" s="22" t="str">
        <f aca="false">IFERROR(VLOOKUP(N155,'Slip Inventory'!$A$2:$R$1181,10,FALSE()),"NOT FOUND")</f>
        <v>OCCUPIED</v>
      </c>
      <c r="Q155" s="22" t="str">
        <f aca="false">IF(P155="OCCUPIED","Y","N")</f>
        <v>Y</v>
      </c>
      <c r="R155" s="25" t="n">
        <f aca="false">SUM(I155:J155)</f>
        <v>0</v>
      </c>
      <c r="S155" s="22" t="str">
        <f aca="false">IF(AND(R155&gt;0,Q155="Y"),"YES","NO")</f>
        <v>NO</v>
      </c>
      <c r="T155" s="22" t="s">
        <v>12977</v>
      </c>
      <c r="U155" s="23" t="n">
        <v>46212</v>
      </c>
      <c r="V155" s="23" t="n">
        <v>46187</v>
      </c>
      <c r="W155" s="22"/>
      <c r="X155" s="22" t="str">
        <f aca="false">IF(ABS(M155)&gt;0.005,"Reported total_due does not equal buckets",IF(O155&lt;&gt;"Y","Account/slip ID mismatch",IF(P155&lt;&gt;"OCCUPIED","Slip not occupied","OK")))</f>
        <v>OK</v>
      </c>
      <c r="Y155" s="22" t="str">
        <f aca="false">IF(ABS(M155)&gt;0.005,"Priority 3","")</f>
        <v/>
      </c>
    </row>
    <row r="156" customFormat="false" ht="15" hidden="false" customHeight="false" outlineLevel="0" collapsed="false">
      <c r="A156" s="22" t="s">
        <v>11708</v>
      </c>
      <c r="B156" s="22" t="s">
        <v>3736</v>
      </c>
      <c r="C156" s="22" t="s">
        <v>7047</v>
      </c>
      <c r="D156" s="22" t="s">
        <v>198</v>
      </c>
      <c r="E156" s="22" t="s">
        <v>8601</v>
      </c>
      <c r="F156" s="25" t="n">
        <v>343.2</v>
      </c>
      <c r="G156" s="25" t="n">
        <v>343.2</v>
      </c>
      <c r="H156" s="25" t="n">
        <v>343.2</v>
      </c>
      <c r="I156" s="25" t="n">
        <v>0</v>
      </c>
      <c r="J156" s="25" t="n">
        <v>0</v>
      </c>
      <c r="K156" s="25" t="n">
        <v>1029.6</v>
      </c>
      <c r="L156" s="25" t="n">
        <f aca="false">SUM(F156:J156)</f>
        <v>1029.6</v>
      </c>
      <c r="M156" s="25" t="n">
        <f aca="false">K156-L156</f>
        <v>0</v>
      </c>
      <c r="N156" s="22" t="str">
        <f aca="false">RIGHT(A156,LEN(A156)-3)</f>
        <v>LP-0719</v>
      </c>
      <c r="O156" s="22" t="str">
        <f aca="false">IF(C156=N156,"Y","N")</f>
        <v>Y</v>
      </c>
      <c r="P156" s="22" t="str">
        <f aca="false">IFERROR(VLOOKUP(N156,'Slip Inventory'!$A$2:$R$1181,10,FALSE()),"NOT FOUND")</f>
        <v>OCCUPIED</v>
      </c>
      <c r="Q156" s="22" t="str">
        <f aca="false">IF(P156="OCCUPIED","Y","N")</f>
        <v>Y</v>
      </c>
      <c r="R156" s="25" t="n">
        <f aca="false">SUM(I156:J156)</f>
        <v>0</v>
      </c>
      <c r="S156" s="22" t="str">
        <f aca="false">IF(AND(R156&gt;0,Q156="Y"),"YES","NO")</f>
        <v>NO</v>
      </c>
      <c r="T156" s="22" t="s">
        <v>12978</v>
      </c>
      <c r="U156" s="23" t="n">
        <v>46189</v>
      </c>
      <c r="V156" s="23" t="n">
        <v>46199</v>
      </c>
      <c r="W156" s="22"/>
      <c r="X156" s="22" t="str">
        <f aca="false">IF(ABS(M156)&gt;0.005,"Reported total_due does not equal buckets",IF(O156&lt;&gt;"Y","Account/slip ID mismatch",IF(P156&lt;&gt;"OCCUPIED","Slip not occupied","OK")))</f>
        <v>OK</v>
      </c>
      <c r="Y156" s="22" t="str">
        <f aca="false">IF(ABS(M156)&gt;0.005,"Priority 3","")</f>
        <v/>
      </c>
    </row>
    <row r="157" customFormat="false" ht="15" hidden="false" customHeight="false" outlineLevel="0" collapsed="false">
      <c r="A157" s="22" t="s">
        <v>11710</v>
      </c>
      <c r="B157" s="22" t="s">
        <v>1995</v>
      </c>
      <c r="C157" s="22" t="s">
        <v>7050</v>
      </c>
      <c r="D157" s="22" t="s">
        <v>198</v>
      </c>
      <c r="E157" s="22" t="s">
        <v>8601</v>
      </c>
      <c r="F157" s="25" t="n">
        <v>561.6</v>
      </c>
      <c r="G157" s="25" t="n">
        <v>0</v>
      </c>
      <c r="H157" s="25" t="n">
        <v>0</v>
      </c>
      <c r="I157" s="25" t="n">
        <v>0</v>
      </c>
      <c r="J157" s="25" t="n">
        <v>0</v>
      </c>
      <c r="K157" s="25" t="n">
        <v>561.6</v>
      </c>
      <c r="L157" s="25" t="n">
        <f aca="false">SUM(F157:J157)</f>
        <v>561.6</v>
      </c>
      <c r="M157" s="25" t="n">
        <f aca="false">K157-L157</f>
        <v>0</v>
      </c>
      <c r="N157" s="22" t="str">
        <f aca="false">RIGHT(A157,LEN(A157)-3)</f>
        <v>LP-0720</v>
      </c>
      <c r="O157" s="22" t="str">
        <f aca="false">IF(C157=N157,"Y","N")</f>
        <v>Y</v>
      </c>
      <c r="P157" s="22" t="str">
        <f aca="false">IFERROR(VLOOKUP(N157,'Slip Inventory'!$A$2:$R$1181,10,FALSE()),"NOT FOUND")</f>
        <v>OCCUPIED</v>
      </c>
      <c r="Q157" s="22" t="str">
        <f aca="false">IF(P157="OCCUPIED","Y","N")</f>
        <v>Y</v>
      </c>
      <c r="R157" s="25" t="n">
        <f aca="false">SUM(I157:J157)</f>
        <v>0</v>
      </c>
      <c r="S157" s="22" t="str">
        <f aca="false">IF(AND(R157&gt;0,Q157="Y"),"YES","NO")</f>
        <v>NO</v>
      </c>
      <c r="T157" s="22" t="s">
        <v>12975</v>
      </c>
      <c r="U157" s="23" t="n">
        <v>46219</v>
      </c>
      <c r="V157" s="23" t="n">
        <v>46213</v>
      </c>
      <c r="W157" s="22"/>
      <c r="X157" s="22" t="str">
        <f aca="false">IF(ABS(M157)&gt;0.005,"Reported total_due does not equal buckets",IF(O157&lt;&gt;"Y","Account/slip ID mismatch",IF(P157&lt;&gt;"OCCUPIED","Slip not occupied","OK")))</f>
        <v>OK</v>
      </c>
      <c r="Y157" s="22" t="str">
        <f aca="false">IF(ABS(M157)&gt;0.005,"Priority 3","")</f>
        <v/>
      </c>
    </row>
    <row r="158" customFormat="false" ht="15" hidden="false" customHeight="false" outlineLevel="0" collapsed="false">
      <c r="A158" s="22" t="s">
        <v>11712</v>
      </c>
      <c r="B158" s="22" t="s">
        <v>3762</v>
      </c>
      <c r="C158" s="22" t="s">
        <v>7055</v>
      </c>
      <c r="D158" s="22" t="s">
        <v>198</v>
      </c>
      <c r="E158" s="22" t="s">
        <v>8601</v>
      </c>
      <c r="F158" s="25" t="n">
        <v>624</v>
      </c>
      <c r="G158" s="25" t="n">
        <v>0</v>
      </c>
      <c r="H158" s="25" t="n">
        <v>0</v>
      </c>
      <c r="I158" s="25" t="n">
        <v>0</v>
      </c>
      <c r="J158" s="25" t="n">
        <v>0</v>
      </c>
      <c r="K158" s="25" t="n">
        <v>0</v>
      </c>
      <c r="L158" s="25" t="n">
        <f aca="false">SUM(F158:J158)</f>
        <v>624</v>
      </c>
      <c r="M158" s="25" t="n">
        <f aca="false">K158-L158</f>
        <v>-624</v>
      </c>
      <c r="N158" s="22" t="str">
        <f aca="false">RIGHT(A158,LEN(A158)-3)</f>
        <v>LP-0722</v>
      </c>
      <c r="O158" s="22" t="str">
        <f aca="false">IF(C158=N158,"Y","N")</f>
        <v>Y</v>
      </c>
      <c r="P158" s="22" t="str">
        <f aca="false">IFERROR(VLOOKUP(N158,'Slip Inventory'!$A$2:$R$1181,10,FALSE()),"NOT FOUND")</f>
        <v>OCCUPIED</v>
      </c>
      <c r="Q158" s="22" t="str">
        <f aca="false">IF(P158="OCCUPIED","Y","N")</f>
        <v>Y</v>
      </c>
      <c r="R158" s="25" t="n">
        <f aca="false">SUM(I158:J158)</f>
        <v>0</v>
      </c>
      <c r="S158" s="22" t="str">
        <f aca="false">IF(AND(R158&gt;0,Q158="Y"),"YES","NO")</f>
        <v>NO</v>
      </c>
      <c r="T158" s="22" t="s">
        <v>12975</v>
      </c>
      <c r="U158" s="23" t="n">
        <v>46196</v>
      </c>
      <c r="V158" s="23" t="n">
        <v>46200</v>
      </c>
      <c r="W158" s="22"/>
      <c r="X158" s="22" t="str">
        <f aca="false">IF(ABS(M158)&gt;0.005,"Reported total_due does not equal buckets",IF(O158&lt;&gt;"Y","Account/slip ID mismatch",IF(P158&lt;&gt;"OCCUPIED","Slip not occupied","OK")))</f>
        <v>Reported total_due does not equal buckets</v>
      </c>
      <c r="Y158" s="22" t="str">
        <f aca="false">IF(ABS(M158)&gt;0.005,"Priority 3","")</f>
        <v>Priority 3</v>
      </c>
    </row>
    <row r="159" customFormat="false" ht="15" hidden="false" customHeight="false" outlineLevel="0" collapsed="false">
      <c r="A159" s="22" t="s">
        <v>11714</v>
      </c>
      <c r="B159" s="22" t="s">
        <v>473</v>
      </c>
      <c r="C159" s="22" t="s">
        <v>7058</v>
      </c>
      <c r="D159" s="22" t="s">
        <v>198</v>
      </c>
      <c r="E159" s="22" t="s">
        <v>8601</v>
      </c>
      <c r="F159" s="25" t="n">
        <v>395.2</v>
      </c>
      <c r="G159" s="25" t="n">
        <v>395.2</v>
      </c>
      <c r="H159" s="25" t="n">
        <v>0</v>
      </c>
      <c r="I159" s="25" t="n">
        <v>0</v>
      </c>
      <c r="J159" s="25" t="n">
        <v>0</v>
      </c>
      <c r="K159" s="25" t="n">
        <v>790.4</v>
      </c>
      <c r="L159" s="25" t="n">
        <f aca="false">SUM(F159:J159)</f>
        <v>790.4</v>
      </c>
      <c r="M159" s="25" t="n">
        <f aca="false">K159-L159</f>
        <v>0</v>
      </c>
      <c r="N159" s="22" t="str">
        <f aca="false">RIGHT(A159,LEN(A159)-3)</f>
        <v>LP-0723</v>
      </c>
      <c r="O159" s="22" t="str">
        <f aca="false">IF(C159=N159,"Y","N")</f>
        <v>Y</v>
      </c>
      <c r="P159" s="22" t="str">
        <f aca="false">IFERROR(VLOOKUP(N159,'Slip Inventory'!$A$2:$R$1181,10,FALSE()),"NOT FOUND")</f>
        <v>OCCUPIED</v>
      </c>
      <c r="Q159" s="22" t="str">
        <f aca="false">IF(P159="OCCUPIED","Y","N")</f>
        <v>Y</v>
      </c>
      <c r="R159" s="25" t="n">
        <f aca="false">SUM(I159:J159)</f>
        <v>0</v>
      </c>
      <c r="S159" s="22" t="str">
        <f aca="false">IF(AND(R159&gt;0,Q159="Y"),"YES","NO")</f>
        <v>NO</v>
      </c>
      <c r="T159" s="22" t="s">
        <v>12977</v>
      </c>
      <c r="U159" s="23" t="n">
        <v>46177</v>
      </c>
      <c r="V159" s="23" t="n">
        <v>46207</v>
      </c>
      <c r="W159" s="22"/>
      <c r="X159" s="22" t="str">
        <f aca="false">IF(ABS(M159)&gt;0.005,"Reported total_due does not equal buckets",IF(O159&lt;&gt;"Y","Account/slip ID mismatch",IF(P159&lt;&gt;"OCCUPIED","Slip not occupied","OK")))</f>
        <v>OK</v>
      </c>
      <c r="Y159" s="22" t="str">
        <f aca="false">IF(ABS(M159)&gt;0.005,"Priority 3","")</f>
        <v/>
      </c>
    </row>
    <row r="160" customFormat="false" ht="15" hidden="false" customHeight="false" outlineLevel="0" collapsed="false">
      <c r="A160" s="22" t="s">
        <v>11716</v>
      </c>
      <c r="B160" s="22" t="s">
        <v>2061</v>
      </c>
      <c r="C160" s="22" t="s">
        <v>7060</v>
      </c>
      <c r="D160" s="22" t="s">
        <v>198</v>
      </c>
      <c r="E160" s="22" t="s">
        <v>8601</v>
      </c>
      <c r="F160" s="25" t="n">
        <v>592.8</v>
      </c>
      <c r="G160" s="25" t="n">
        <v>0</v>
      </c>
      <c r="H160" s="25" t="n">
        <v>0</v>
      </c>
      <c r="I160" s="25" t="n">
        <v>0</v>
      </c>
      <c r="J160" s="25" t="n">
        <v>0</v>
      </c>
      <c r="K160" s="25" t="n">
        <v>592.8</v>
      </c>
      <c r="L160" s="25" t="n">
        <f aca="false">SUM(F160:J160)</f>
        <v>592.8</v>
      </c>
      <c r="M160" s="25" t="n">
        <f aca="false">K160-L160</f>
        <v>0</v>
      </c>
      <c r="N160" s="22" t="str">
        <f aca="false">RIGHT(A160,LEN(A160)-3)</f>
        <v>LP-0724</v>
      </c>
      <c r="O160" s="22" t="str">
        <f aca="false">IF(C160=N160,"Y","N")</f>
        <v>Y</v>
      </c>
      <c r="P160" s="22" t="str">
        <f aca="false">IFERROR(VLOOKUP(N160,'Slip Inventory'!$A$2:$R$1181,10,FALSE()),"NOT FOUND")</f>
        <v>OCCUPIED</v>
      </c>
      <c r="Q160" s="22" t="str">
        <f aca="false">IF(P160="OCCUPIED","Y","N")</f>
        <v>Y</v>
      </c>
      <c r="R160" s="25" t="n">
        <f aca="false">SUM(I160:J160)</f>
        <v>0</v>
      </c>
      <c r="S160" s="22" t="str">
        <f aca="false">IF(AND(R160&gt;0,Q160="Y"),"YES","NO")</f>
        <v>NO</v>
      </c>
      <c r="T160" s="22" t="s">
        <v>12975</v>
      </c>
      <c r="U160" s="23" t="n">
        <v>46224</v>
      </c>
      <c r="V160" s="23" t="n">
        <v>46233</v>
      </c>
      <c r="W160" s="22"/>
      <c r="X160" s="22" t="str">
        <f aca="false">IF(ABS(M160)&gt;0.005,"Reported total_due does not equal buckets",IF(O160&lt;&gt;"Y","Account/slip ID mismatch",IF(P160&lt;&gt;"OCCUPIED","Slip not occupied","OK")))</f>
        <v>OK</v>
      </c>
      <c r="Y160" s="22" t="str">
        <f aca="false">IF(ABS(M160)&gt;0.005,"Priority 3","")</f>
        <v/>
      </c>
    </row>
    <row r="161" customFormat="false" ht="15" hidden="false" customHeight="false" outlineLevel="0" collapsed="false">
      <c r="A161" s="22" t="s">
        <v>11718</v>
      </c>
      <c r="B161" s="22" t="s">
        <v>3344</v>
      </c>
      <c r="C161" s="22" t="s">
        <v>7062</v>
      </c>
      <c r="D161" s="22" t="s">
        <v>198</v>
      </c>
      <c r="E161" s="22" t="s">
        <v>8601</v>
      </c>
      <c r="F161" s="25" t="n">
        <v>488.8</v>
      </c>
      <c r="G161" s="25" t="n">
        <v>488.8</v>
      </c>
      <c r="H161" s="25" t="n">
        <v>488.8</v>
      </c>
      <c r="I161" s="25" t="n">
        <v>488.8</v>
      </c>
      <c r="J161" s="25" t="n">
        <v>0</v>
      </c>
      <c r="K161" s="25" t="n">
        <v>1955.2</v>
      </c>
      <c r="L161" s="25" t="n">
        <f aca="false">SUM(F161:J161)</f>
        <v>1955.2</v>
      </c>
      <c r="M161" s="25" t="n">
        <f aca="false">K161-L161</f>
        <v>0</v>
      </c>
      <c r="N161" s="22" t="str">
        <f aca="false">RIGHT(A161,LEN(A161)-3)</f>
        <v>LP-0801</v>
      </c>
      <c r="O161" s="22" t="str">
        <f aca="false">IF(C161=N161,"Y","N")</f>
        <v>Y</v>
      </c>
      <c r="P161" s="22" t="str">
        <f aca="false">IFERROR(VLOOKUP(N161,'Slip Inventory'!$A$2:$R$1181,10,FALSE()),"NOT FOUND")</f>
        <v>OCCUPIED</v>
      </c>
      <c r="Q161" s="22" t="str">
        <f aca="false">IF(P161="OCCUPIED","Y","N")</f>
        <v>Y</v>
      </c>
      <c r="R161" s="25" t="n">
        <f aca="false">SUM(I161:J161)</f>
        <v>488.8</v>
      </c>
      <c r="S161" s="22" t="str">
        <f aca="false">IF(AND(R161&gt;0,Q161="Y"),"YES","NO")</f>
        <v>YES</v>
      </c>
      <c r="T161" s="22" t="s">
        <v>12978</v>
      </c>
      <c r="U161" s="23" t="n">
        <v>46211</v>
      </c>
      <c r="V161" s="23" t="n">
        <v>46206</v>
      </c>
      <c r="W161" s="22"/>
      <c r="X161" s="22" t="str">
        <f aca="false">IF(ABS(M161)&gt;0.005,"Reported total_due does not equal buckets",IF(O161&lt;&gt;"Y","Account/slip ID mismatch",IF(P161&lt;&gt;"OCCUPIED","Slip not occupied","OK")))</f>
        <v>OK</v>
      </c>
      <c r="Y161" s="22" t="str">
        <f aca="false">IF(ABS(M161)&gt;0.005,"Priority 3","")</f>
        <v/>
      </c>
    </row>
    <row r="162" customFormat="false" ht="15" hidden="false" customHeight="false" outlineLevel="0" collapsed="false">
      <c r="A162" s="22" t="s">
        <v>11720</v>
      </c>
      <c r="B162" s="22" t="s">
        <v>5793</v>
      </c>
      <c r="C162" s="22" t="s">
        <v>7066</v>
      </c>
      <c r="D162" s="22" t="s">
        <v>198</v>
      </c>
      <c r="E162" s="22" t="s">
        <v>8601</v>
      </c>
      <c r="F162" s="25" t="n">
        <v>416</v>
      </c>
      <c r="G162" s="25" t="n">
        <v>0</v>
      </c>
      <c r="H162" s="25" t="n">
        <v>0</v>
      </c>
      <c r="I162" s="25" t="n">
        <v>0</v>
      </c>
      <c r="J162" s="25" t="n">
        <v>0</v>
      </c>
      <c r="K162" s="25" t="n">
        <v>416</v>
      </c>
      <c r="L162" s="25" t="n">
        <f aca="false">SUM(F162:J162)</f>
        <v>416</v>
      </c>
      <c r="M162" s="25" t="n">
        <f aca="false">K162-L162</f>
        <v>0</v>
      </c>
      <c r="N162" s="22" t="str">
        <f aca="false">RIGHT(A162,LEN(A162)-3)</f>
        <v>LP-0802</v>
      </c>
      <c r="O162" s="22" t="str">
        <f aca="false">IF(C162=N162,"Y","N")</f>
        <v>Y</v>
      </c>
      <c r="P162" s="22" t="str">
        <f aca="false">IFERROR(VLOOKUP(N162,'Slip Inventory'!$A$2:$R$1181,10,FALSE()),"NOT FOUND")</f>
        <v>OCCUPIED</v>
      </c>
      <c r="Q162" s="22" t="str">
        <f aca="false">IF(P162="OCCUPIED","Y","N")</f>
        <v>Y</v>
      </c>
      <c r="R162" s="25" t="n">
        <f aca="false">SUM(I162:J162)</f>
        <v>0</v>
      </c>
      <c r="S162" s="22" t="str">
        <f aca="false">IF(AND(R162&gt;0,Q162="Y"),"YES","NO")</f>
        <v>NO</v>
      </c>
      <c r="T162" s="22" t="s">
        <v>12975</v>
      </c>
      <c r="U162" s="23" t="n">
        <v>46212</v>
      </c>
      <c r="V162" s="23" t="n">
        <v>46229</v>
      </c>
      <c r="W162" s="22"/>
      <c r="X162" s="22" t="str">
        <f aca="false">IF(ABS(M162)&gt;0.005,"Reported total_due does not equal buckets",IF(O162&lt;&gt;"Y","Account/slip ID mismatch",IF(P162&lt;&gt;"OCCUPIED","Slip not occupied","OK")))</f>
        <v>OK</v>
      </c>
      <c r="Y162" s="22" t="str">
        <f aca="false">IF(ABS(M162)&gt;0.005,"Priority 3","")</f>
        <v/>
      </c>
    </row>
    <row r="163" customFormat="false" ht="15" hidden="false" customHeight="false" outlineLevel="0" collapsed="false">
      <c r="A163" s="22" t="s">
        <v>11722</v>
      </c>
      <c r="B163" s="22" t="s">
        <v>5472</v>
      </c>
      <c r="C163" s="22" t="s">
        <v>7069</v>
      </c>
      <c r="D163" s="22" t="s">
        <v>198</v>
      </c>
      <c r="E163" s="22" t="s">
        <v>8601</v>
      </c>
      <c r="F163" s="25" t="n">
        <v>499.2</v>
      </c>
      <c r="G163" s="25" t="n">
        <v>0</v>
      </c>
      <c r="H163" s="25" t="n">
        <v>0</v>
      </c>
      <c r="I163" s="25" t="n">
        <v>0</v>
      </c>
      <c r="J163" s="25" t="n">
        <v>0</v>
      </c>
      <c r="K163" s="25" t="n">
        <v>499.2</v>
      </c>
      <c r="L163" s="25" t="n">
        <f aca="false">SUM(F163:J163)</f>
        <v>499.2</v>
      </c>
      <c r="M163" s="25" t="n">
        <f aca="false">K163-L163</f>
        <v>0</v>
      </c>
      <c r="N163" s="22" t="str">
        <f aca="false">RIGHT(A163,LEN(A163)-3)</f>
        <v>LP-0803</v>
      </c>
      <c r="O163" s="22" t="str">
        <f aca="false">IF(C163=N163,"Y","N")</f>
        <v>Y</v>
      </c>
      <c r="P163" s="22" t="str">
        <f aca="false">IFERROR(VLOOKUP(N163,'Slip Inventory'!$A$2:$R$1181,10,FALSE()),"NOT FOUND")</f>
        <v>OCCUPIED</v>
      </c>
      <c r="Q163" s="22" t="str">
        <f aca="false">IF(P163="OCCUPIED","Y","N")</f>
        <v>Y</v>
      </c>
      <c r="R163" s="25" t="n">
        <f aca="false">SUM(I163:J163)</f>
        <v>0</v>
      </c>
      <c r="S163" s="22" t="str">
        <f aca="false">IF(AND(R163&gt;0,Q163="Y"),"YES","NO")</f>
        <v>NO</v>
      </c>
      <c r="T163" s="22" t="s">
        <v>12975</v>
      </c>
      <c r="U163" s="23" t="n">
        <v>46145</v>
      </c>
      <c r="V163" s="23" t="n">
        <v>46213</v>
      </c>
      <c r="W163" s="22"/>
      <c r="X163" s="22" t="str">
        <f aca="false">IF(ABS(M163)&gt;0.005,"Reported total_due does not equal buckets",IF(O163&lt;&gt;"Y","Account/slip ID mismatch",IF(P163&lt;&gt;"OCCUPIED","Slip not occupied","OK")))</f>
        <v>OK</v>
      </c>
      <c r="Y163" s="22" t="str">
        <f aca="false">IF(ABS(M163)&gt;0.005,"Priority 3","")</f>
        <v/>
      </c>
    </row>
    <row r="164" customFormat="false" ht="15" hidden="false" customHeight="false" outlineLevel="0" collapsed="false">
      <c r="A164" s="22" t="s">
        <v>11724</v>
      </c>
      <c r="B164" s="22" t="s">
        <v>3179</v>
      </c>
      <c r="C164" s="22" t="s">
        <v>7073</v>
      </c>
      <c r="D164" s="22" t="s">
        <v>198</v>
      </c>
      <c r="E164" s="22" t="s">
        <v>8601</v>
      </c>
      <c r="F164" s="25" t="n">
        <v>416</v>
      </c>
      <c r="G164" s="25" t="n">
        <v>416</v>
      </c>
      <c r="H164" s="25" t="n">
        <v>0</v>
      </c>
      <c r="I164" s="25" t="n">
        <v>0</v>
      </c>
      <c r="J164" s="25" t="n">
        <v>0</v>
      </c>
      <c r="K164" s="25" t="n">
        <v>416</v>
      </c>
      <c r="L164" s="25" t="n">
        <f aca="false">SUM(F164:J164)</f>
        <v>832</v>
      </c>
      <c r="M164" s="25" t="n">
        <f aca="false">K164-L164</f>
        <v>-416</v>
      </c>
      <c r="N164" s="22" t="str">
        <f aca="false">RIGHT(A164,LEN(A164)-3)</f>
        <v>LP-0805</v>
      </c>
      <c r="O164" s="22" t="str">
        <f aca="false">IF(C164=N164,"Y","N")</f>
        <v>Y</v>
      </c>
      <c r="P164" s="22" t="str">
        <f aca="false">IFERROR(VLOOKUP(N164,'Slip Inventory'!$A$2:$R$1181,10,FALSE()),"NOT FOUND")</f>
        <v>OCCUPIED</v>
      </c>
      <c r="Q164" s="22" t="str">
        <f aca="false">IF(P164="OCCUPIED","Y","N")</f>
        <v>Y</v>
      </c>
      <c r="R164" s="25" t="n">
        <f aca="false">SUM(I164:J164)</f>
        <v>0</v>
      </c>
      <c r="S164" s="22" t="str">
        <f aca="false">IF(AND(R164&gt;0,Q164="Y"),"YES","NO")</f>
        <v>NO</v>
      </c>
      <c r="T164" s="22" t="s">
        <v>12975</v>
      </c>
      <c r="U164" s="23" t="n">
        <v>46210</v>
      </c>
      <c r="V164" s="23" t="n">
        <v>46197</v>
      </c>
      <c r="W164" s="22"/>
      <c r="X164" s="22" t="str">
        <f aca="false">IF(ABS(M164)&gt;0.005,"Reported total_due does not equal buckets",IF(O164&lt;&gt;"Y","Account/slip ID mismatch",IF(P164&lt;&gt;"OCCUPIED","Slip not occupied","OK")))</f>
        <v>Reported total_due does not equal buckets</v>
      </c>
      <c r="Y164" s="22" t="str">
        <f aca="false">IF(ABS(M164)&gt;0.005,"Priority 3","")</f>
        <v>Priority 3</v>
      </c>
    </row>
    <row r="165" customFormat="false" ht="15" hidden="false" customHeight="false" outlineLevel="0" collapsed="false">
      <c r="A165" s="22" t="s">
        <v>11726</v>
      </c>
      <c r="B165" s="22" t="s">
        <v>4263</v>
      </c>
      <c r="C165" s="22" t="s">
        <v>7076</v>
      </c>
      <c r="D165" s="22" t="s">
        <v>198</v>
      </c>
      <c r="E165" s="22" t="s">
        <v>8601</v>
      </c>
      <c r="F165" s="25" t="n">
        <v>582.4</v>
      </c>
      <c r="G165" s="25" t="n">
        <v>0</v>
      </c>
      <c r="H165" s="25" t="n">
        <v>0</v>
      </c>
      <c r="I165" s="25" t="n">
        <v>0</v>
      </c>
      <c r="J165" s="25" t="n">
        <v>0</v>
      </c>
      <c r="K165" s="25" t="n">
        <v>582.4</v>
      </c>
      <c r="L165" s="25" t="n">
        <f aca="false">SUM(F165:J165)</f>
        <v>582.4</v>
      </c>
      <c r="M165" s="25" t="n">
        <f aca="false">K165-L165</f>
        <v>0</v>
      </c>
      <c r="N165" s="22" t="str">
        <f aca="false">RIGHT(A165,LEN(A165)-3)</f>
        <v>LP-0806</v>
      </c>
      <c r="O165" s="22" t="str">
        <f aca="false">IF(C165=N165,"Y","N")</f>
        <v>Y</v>
      </c>
      <c r="P165" s="22" t="str">
        <f aca="false">IFERROR(VLOOKUP(N165,'Slip Inventory'!$A$2:$R$1181,10,FALSE()),"NOT FOUND")</f>
        <v>OCCUPIED</v>
      </c>
      <c r="Q165" s="22" t="str">
        <f aca="false">IF(P165="OCCUPIED","Y","N")</f>
        <v>Y</v>
      </c>
      <c r="R165" s="25" t="n">
        <f aca="false">SUM(I165:J165)</f>
        <v>0</v>
      </c>
      <c r="S165" s="22" t="str">
        <f aca="false">IF(AND(R165&gt;0,Q165="Y"),"YES","NO")</f>
        <v>NO</v>
      </c>
      <c r="T165" s="22" t="s">
        <v>12975</v>
      </c>
      <c r="U165" s="23" t="n">
        <v>46159</v>
      </c>
      <c r="V165" s="23" t="n">
        <v>46227</v>
      </c>
      <c r="W165" s="22"/>
      <c r="X165" s="22" t="str">
        <f aca="false">IF(ABS(M165)&gt;0.005,"Reported total_due does not equal buckets",IF(O165&lt;&gt;"Y","Account/slip ID mismatch",IF(P165&lt;&gt;"OCCUPIED","Slip not occupied","OK")))</f>
        <v>OK</v>
      </c>
      <c r="Y165" s="22" t="str">
        <f aca="false">IF(ABS(M165)&gt;0.005,"Priority 3","")</f>
        <v/>
      </c>
    </row>
    <row r="166" customFormat="false" ht="15" hidden="false" customHeight="false" outlineLevel="0" collapsed="false">
      <c r="A166" s="22" t="s">
        <v>11728</v>
      </c>
      <c r="B166" s="22" t="s">
        <v>4009</v>
      </c>
      <c r="C166" s="22" t="s">
        <v>7079</v>
      </c>
      <c r="D166" s="22" t="s">
        <v>198</v>
      </c>
      <c r="E166" s="22" t="s">
        <v>8601</v>
      </c>
      <c r="F166" s="25" t="n">
        <v>426.4</v>
      </c>
      <c r="G166" s="25" t="n">
        <v>0</v>
      </c>
      <c r="H166" s="25" t="n">
        <v>0</v>
      </c>
      <c r="I166" s="25" t="n">
        <v>0</v>
      </c>
      <c r="J166" s="25" t="n">
        <v>0</v>
      </c>
      <c r="K166" s="25" t="n">
        <v>426.4</v>
      </c>
      <c r="L166" s="25" t="n">
        <f aca="false">SUM(F166:J166)</f>
        <v>426.4</v>
      </c>
      <c r="M166" s="25" t="n">
        <f aca="false">K166-L166</f>
        <v>0</v>
      </c>
      <c r="N166" s="22" t="str">
        <f aca="false">RIGHT(A166,LEN(A166)-3)</f>
        <v>LP-0807</v>
      </c>
      <c r="O166" s="22" t="str">
        <f aca="false">IF(C166=N166,"Y","N")</f>
        <v>Y</v>
      </c>
      <c r="P166" s="22" t="str">
        <f aca="false">IFERROR(VLOOKUP(N166,'Slip Inventory'!$A$2:$R$1181,10,FALSE()),"NOT FOUND")</f>
        <v>OCCUPIED</v>
      </c>
      <c r="Q166" s="22" t="str">
        <f aca="false">IF(P166="OCCUPIED","Y","N")</f>
        <v>Y</v>
      </c>
      <c r="R166" s="25" t="n">
        <f aca="false">SUM(I166:J166)</f>
        <v>0</v>
      </c>
      <c r="S166" s="22" t="str">
        <f aca="false">IF(AND(R166&gt;0,Q166="Y"),"YES","NO")</f>
        <v>NO</v>
      </c>
      <c r="T166" s="22" t="s">
        <v>12975</v>
      </c>
      <c r="U166" s="23" t="n">
        <v>46172</v>
      </c>
      <c r="V166" s="23" t="n">
        <v>46216</v>
      </c>
      <c r="W166" s="22"/>
      <c r="X166" s="22" t="str">
        <f aca="false">IF(ABS(M166)&gt;0.005,"Reported total_due does not equal buckets",IF(O166&lt;&gt;"Y","Account/slip ID mismatch",IF(P166&lt;&gt;"OCCUPIED","Slip not occupied","OK")))</f>
        <v>OK</v>
      </c>
      <c r="Y166" s="22" t="str">
        <f aca="false">IF(ABS(M166)&gt;0.005,"Priority 3","")</f>
        <v/>
      </c>
    </row>
    <row r="167" customFormat="false" ht="15" hidden="false" customHeight="false" outlineLevel="0" collapsed="false">
      <c r="A167" s="22" t="s">
        <v>11730</v>
      </c>
      <c r="B167" s="22" t="s">
        <v>5376</v>
      </c>
      <c r="C167" s="22" t="s">
        <v>7081</v>
      </c>
      <c r="D167" s="22" t="s">
        <v>198</v>
      </c>
      <c r="E167" s="22" t="s">
        <v>8601</v>
      </c>
      <c r="F167" s="25" t="n">
        <v>447.2</v>
      </c>
      <c r="G167" s="25" t="n">
        <v>0</v>
      </c>
      <c r="H167" s="25" t="n">
        <v>0</v>
      </c>
      <c r="I167" s="25" t="n">
        <v>0</v>
      </c>
      <c r="J167" s="25" t="n">
        <v>0</v>
      </c>
      <c r="K167" s="25" t="n">
        <v>447.2</v>
      </c>
      <c r="L167" s="25" t="n">
        <f aca="false">SUM(F167:J167)</f>
        <v>447.2</v>
      </c>
      <c r="M167" s="25" t="n">
        <f aca="false">K167-L167</f>
        <v>0</v>
      </c>
      <c r="N167" s="22" t="str">
        <f aca="false">RIGHT(A167,LEN(A167)-3)</f>
        <v>LP-0808</v>
      </c>
      <c r="O167" s="22" t="str">
        <f aca="false">IF(C167=N167,"Y","N")</f>
        <v>Y</v>
      </c>
      <c r="P167" s="22" t="str">
        <f aca="false">IFERROR(VLOOKUP(N167,'Slip Inventory'!$A$2:$R$1181,10,FALSE()),"NOT FOUND")</f>
        <v>OCCUPIED</v>
      </c>
      <c r="Q167" s="22" t="str">
        <f aca="false">IF(P167="OCCUPIED","Y","N")</f>
        <v>Y</v>
      </c>
      <c r="R167" s="25" t="n">
        <f aca="false">SUM(I167:J167)</f>
        <v>0</v>
      </c>
      <c r="S167" s="22" t="str">
        <f aca="false">IF(AND(R167&gt;0,Q167="Y"),"YES","NO")</f>
        <v>NO</v>
      </c>
      <c r="T167" s="22" t="s">
        <v>12975</v>
      </c>
      <c r="U167" s="23" t="n">
        <v>46148</v>
      </c>
      <c r="V167" s="23" t="n">
        <v>46224</v>
      </c>
      <c r="W167" s="22"/>
      <c r="X167" s="22" t="str">
        <f aca="false">IF(ABS(M167)&gt;0.005,"Reported total_due does not equal buckets",IF(O167&lt;&gt;"Y","Account/slip ID mismatch",IF(P167&lt;&gt;"OCCUPIED","Slip not occupied","OK")))</f>
        <v>OK</v>
      </c>
      <c r="Y167" s="22" t="str">
        <f aca="false">IF(ABS(M167)&gt;0.005,"Priority 3","")</f>
        <v/>
      </c>
    </row>
    <row r="168" customFormat="false" ht="15" hidden="false" customHeight="false" outlineLevel="0" collapsed="false">
      <c r="A168" s="22" t="s">
        <v>11732</v>
      </c>
      <c r="B168" s="22" t="s">
        <v>3094</v>
      </c>
      <c r="C168" s="22" t="s">
        <v>7083</v>
      </c>
      <c r="D168" s="22" t="s">
        <v>198</v>
      </c>
      <c r="E168" s="22" t="s">
        <v>8601</v>
      </c>
      <c r="F168" s="25" t="n">
        <v>364</v>
      </c>
      <c r="G168" s="25" t="n">
        <v>0</v>
      </c>
      <c r="H168" s="25" t="n">
        <v>0</v>
      </c>
      <c r="I168" s="25" t="n">
        <v>0</v>
      </c>
      <c r="J168" s="25" t="n">
        <v>0</v>
      </c>
      <c r="K168" s="25" t="n">
        <v>364</v>
      </c>
      <c r="L168" s="25" t="n">
        <f aca="false">SUM(F168:J168)</f>
        <v>364</v>
      </c>
      <c r="M168" s="25" t="n">
        <f aca="false">K168-L168</f>
        <v>0</v>
      </c>
      <c r="N168" s="22" t="str">
        <f aca="false">RIGHT(A168,LEN(A168)-3)</f>
        <v>LP-0809</v>
      </c>
      <c r="O168" s="22" t="str">
        <f aca="false">IF(C168=N168,"Y","N")</f>
        <v>Y</v>
      </c>
      <c r="P168" s="22" t="str">
        <f aca="false">IFERROR(VLOOKUP(N168,'Slip Inventory'!$A$2:$R$1181,10,FALSE()),"NOT FOUND")</f>
        <v>OCCUPIED</v>
      </c>
      <c r="Q168" s="22" t="str">
        <f aca="false">IF(P168="OCCUPIED","Y","N")</f>
        <v>Y</v>
      </c>
      <c r="R168" s="25" t="n">
        <f aca="false">SUM(I168:J168)</f>
        <v>0</v>
      </c>
      <c r="S168" s="22" t="str">
        <f aca="false">IF(AND(R168&gt;0,Q168="Y"),"YES","NO")</f>
        <v>NO</v>
      </c>
      <c r="T168" s="22" t="s">
        <v>12975</v>
      </c>
      <c r="U168" s="23" t="n">
        <v>46172</v>
      </c>
      <c r="V168" s="23" t="n">
        <v>46203</v>
      </c>
      <c r="W168" s="22"/>
      <c r="X168" s="22" t="str">
        <f aca="false">IF(ABS(M168)&gt;0.005,"Reported total_due does not equal buckets",IF(O168&lt;&gt;"Y","Account/slip ID mismatch",IF(P168&lt;&gt;"OCCUPIED","Slip not occupied","OK")))</f>
        <v>OK</v>
      </c>
      <c r="Y168" s="22" t="str">
        <f aca="false">IF(ABS(M168)&gt;0.005,"Priority 3","")</f>
        <v/>
      </c>
    </row>
    <row r="169" customFormat="false" ht="15" hidden="false" customHeight="false" outlineLevel="0" collapsed="false">
      <c r="A169" s="22" t="s">
        <v>11734</v>
      </c>
      <c r="B169" s="22" t="s">
        <v>2855</v>
      </c>
      <c r="C169" s="22" t="s">
        <v>7088</v>
      </c>
      <c r="D169" s="22" t="s">
        <v>198</v>
      </c>
      <c r="E169" s="22" t="s">
        <v>8601</v>
      </c>
      <c r="F169" s="25" t="n">
        <v>540.8</v>
      </c>
      <c r="G169" s="25" t="n">
        <v>0</v>
      </c>
      <c r="H169" s="25" t="n">
        <v>0</v>
      </c>
      <c r="I169" s="25" t="n">
        <v>0</v>
      </c>
      <c r="J169" s="25" t="n">
        <v>0</v>
      </c>
      <c r="K169" s="25" t="n">
        <v>0</v>
      </c>
      <c r="L169" s="25" t="n">
        <f aca="false">SUM(F169:J169)</f>
        <v>540.8</v>
      </c>
      <c r="M169" s="25" t="n">
        <f aca="false">K169-L169</f>
        <v>-540.8</v>
      </c>
      <c r="N169" s="22" t="str">
        <f aca="false">RIGHT(A169,LEN(A169)-3)</f>
        <v>LP-0811</v>
      </c>
      <c r="O169" s="22" t="str">
        <f aca="false">IF(C169=N169,"Y","N")</f>
        <v>Y</v>
      </c>
      <c r="P169" s="22" t="str">
        <f aca="false">IFERROR(VLOOKUP(N169,'Slip Inventory'!$A$2:$R$1181,10,FALSE()),"NOT FOUND")</f>
        <v>OCCUPIED</v>
      </c>
      <c r="Q169" s="22" t="str">
        <f aca="false">IF(P169="OCCUPIED","Y","N")</f>
        <v>Y</v>
      </c>
      <c r="R169" s="25" t="n">
        <f aca="false">SUM(I169:J169)</f>
        <v>0</v>
      </c>
      <c r="S169" s="22" t="str">
        <f aca="false">IF(AND(R169&gt;0,Q169="Y"),"YES","NO")</f>
        <v>NO</v>
      </c>
      <c r="T169" s="22" t="s">
        <v>12975</v>
      </c>
      <c r="U169" s="23" t="n">
        <v>46155</v>
      </c>
      <c r="V169" s="23" t="n">
        <v>46191</v>
      </c>
      <c r="W169" s="22"/>
      <c r="X169" s="22" t="str">
        <f aca="false">IF(ABS(M169)&gt;0.005,"Reported total_due does not equal buckets",IF(O169&lt;&gt;"Y","Account/slip ID mismatch",IF(P169&lt;&gt;"OCCUPIED","Slip not occupied","OK")))</f>
        <v>Reported total_due does not equal buckets</v>
      </c>
      <c r="Y169" s="22" t="str">
        <f aca="false">IF(ABS(M169)&gt;0.005,"Priority 3","")</f>
        <v>Priority 3</v>
      </c>
    </row>
    <row r="170" customFormat="false" ht="15" hidden="false" customHeight="false" outlineLevel="0" collapsed="false">
      <c r="A170" s="22" t="s">
        <v>11736</v>
      </c>
      <c r="B170" s="22" t="s">
        <v>3734</v>
      </c>
      <c r="C170" s="22" t="s">
        <v>7091</v>
      </c>
      <c r="D170" s="22" t="s">
        <v>198</v>
      </c>
      <c r="E170" s="22" t="s">
        <v>8601</v>
      </c>
      <c r="F170" s="25" t="n">
        <v>291.2</v>
      </c>
      <c r="G170" s="25" t="n">
        <v>0</v>
      </c>
      <c r="H170" s="25" t="n">
        <v>0</v>
      </c>
      <c r="I170" s="25" t="n">
        <v>0</v>
      </c>
      <c r="J170" s="25" t="n">
        <v>0</v>
      </c>
      <c r="K170" s="25" t="n">
        <v>291.2</v>
      </c>
      <c r="L170" s="25" t="n">
        <f aca="false">SUM(F170:J170)</f>
        <v>291.2</v>
      </c>
      <c r="M170" s="25" t="n">
        <f aca="false">K170-L170</f>
        <v>0</v>
      </c>
      <c r="N170" s="22" t="str">
        <f aca="false">RIGHT(A170,LEN(A170)-3)</f>
        <v>LP-0812</v>
      </c>
      <c r="O170" s="22" t="str">
        <f aca="false">IF(C170=N170,"Y","N")</f>
        <v>Y</v>
      </c>
      <c r="P170" s="22" t="str">
        <f aca="false">IFERROR(VLOOKUP(N170,'Slip Inventory'!$A$2:$R$1181,10,FALSE()),"NOT FOUND")</f>
        <v>OCCUPIED</v>
      </c>
      <c r="Q170" s="22" t="str">
        <f aca="false">IF(P170="OCCUPIED","Y","N")</f>
        <v>Y</v>
      </c>
      <c r="R170" s="25" t="n">
        <f aca="false">SUM(I170:J170)</f>
        <v>0</v>
      </c>
      <c r="S170" s="22" t="str">
        <f aca="false">IF(AND(R170&gt;0,Q170="Y"),"YES","NO")</f>
        <v>NO</v>
      </c>
      <c r="T170" s="22" t="s">
        <v>12975</v>
      </c>
      <c r="U170" s="23" t="n">
        <v>46167</v>
      </c>
      <c r="V170" s="23" t="n">
        <v>46205</v>
      </c>
      <c r="W170" s="22"/>
      <c r="X170" s="22" t="str">
        <f aca="false">IF(ABS(M170)&gt;0.005,"Reported total_due does not equal buckets",IF(O170&lt;&gt;"Y","Account/slip ID mismatch",IF(P170&lt;&gt;"OCCUPIED","Slip not occupied","OK")))</f>
        <v>OK</v>
      </c>
      <c r="Y170" s="22" t="str">
        <f aca="false">IF(ABS(M170)&gt;0.005,"Priority 3","")</f>
        <v/>
      </c>
    </row>
    <row r="171" customFormat="false" ht="15" hidden="false" customHeight="false" outlineLevel="0" collapsed="false">
      <c r="A171" s="22" t="s">
        <v>11738</v>
      </c>
      <c r="B171" s="22" t="s">
        <v>3601</v>
      </c>
      <c r="C171" s="22" t="s">
        <v>7093</v>
      </c>
      <c r="D171" s="22" t="s">
        <v>198</v>
      </c>
      <c r="E171" s="22" t="s">
        <v>8601</v>
      </c>
      <c r="F171" s="25" t="n">
        <v>395.2</v>
      </c>
      <c r="G171" s="25" t="n">
        <v>0</v>
      </c>
      <c r="H171" s="25" t="n">
        <v>0</v>
      </c>
      <c r="I171" s="25" t="n">
        <v>0</v>
      </c>
      <c r="J171" s="25" t="n">
        <v>0</v>
      </c>
      <c r="K171" s="25" t="n">
        <v>395.2</v>
      </c>
      <c r="L171" s="25" t="n">
        <f aca="false">SUM(F171:J171)</f>
        <v>395.2</v>
      </c>
      <c r="M171" s="25" t="n">
        <f aca="false">K171-L171</f>
        <v>0</v>
      </c>
      <c r="N171" s="22" t="str">
        <f aca="false">RIGHT(A171,LEN(A171)-3)</f>
        <v>LP-0813</v>
      </c>
      <c r="O171" s="22" t="str">
        <f aca="false">IF(C171=N171,"Y","N")</f>
        <v>Y</v>
      </c>
      <c r="P171" s="22" t="str">
        <f aca="false">IFERROR(VLOOKUP(N171,'Slip Inventory'!$A$2:$R$1181,10,FALSE()),"NOT FOUND")</f>
        <v>OCCUPIED</v>
      </c>
      <c r="Q171" s="22" t="str">
        <f aca="false">IF(P171="OCCUPIED","Y","N")</f>
        <v>Y</v>
      </c>
      <c r="R171" s="25" t="n">
        <f aca="false">SUM(I171:J171)</f>
        <v>0</v>
      </c>
      <c r="S171" s="22" t="str">
        <f aca="false">IF(AND(R171&gt;0,Q171="Y"),"YES","NO")</f>
        <v>NO</v>
      </c>
      <c r="T171" s="22" t="s">
        <v>12975</v>
      </c>
      <c r="U171" s="23" t="n">
        <v>46152</v>
      </c>
      <c r="V171" s="23" t="n">
        <v>46179</v>
      </c>
      <c r="W171" s="22"/>
      <c r="X171" s="22" t="str">
        <f aca="false">IF(ABS(M171)&gt;0.005,"Reported total_due does not equal buckets",IF(O171&lt;&gt;"Y","Account/slip ID mismatch",IF(P171&lt;&gt;"OCCUPIED","Slip not occupied","OK")))</f>
        <v>OK</v>
      </c>
      <c r="Y171" s="22" t="str">
        <f aca="false">IF(ABS(M171)&gt;0.005,"Priority 3","")</f>
        <v/>
      </c>
    </row>
    <row r="172" customFormat="false" ht="15" hidden="false" customHeight="false" outlineLevel="0" collapsed="false">
      <c r="A172" s="22" t="s">
        <v>11740</v>
      </c>
      <c r="B172" s="22" t="s">
        <v>3523</v>
      </c>
      <c r="C172" s="22" t="s">
        <v>7096</v>
      </c>
      <c r="D172" s="22" t="s">
        <v>198</v>
      </c>
      <c r="E172" s="22" t="s">
        <v>8601</v>
      </c>
      <c r="F172" s="25" t="n">
        <v>364</v>
      </c>
      <c r="G172" s="25" t="n">
        <v>0</v>
      </c>
      <c r="H172" s="25" t="n">
        <v>0</v>
      </c>
      <c r="I172" s="25" t="n">
        <v>0</v>
      </c>
      <c r="J172" s="25" t="n">
        <v>0</v>
      </c>
      <c r="K172" s="25" t="n">
        <v>0</v>
      </c>
      <c r="L172" s="25" t="n">
        <f aca="false">SUM(F172:J172)</f>
        <v>364</v>
      </c>
      <c r="M172" s="25" t="n">
        <f aca="false">K172-L172</f>
        <v>-364</v>
      </c>
      <c r="N172" s="22" t="str">
        <f aca="false">RIGHT(A172,LEN(A172)-3)</f>
        <v>LP-0814</v>
      </c>
      <c r="O172" s="22" t="str">
        <f aca="false">IF(C172=N172,"Y","N")</f>
        <v>Y</v>
      </c>
      <c r="P172" s="22" t="str">
        <f aca="false">IFERROR(VLOOKUP(N172,'Slip Inventory'!$A$2:$R$1181,10,FALSE()),"NOT FOUND")</f>
        <v>OCCUPIED</v>
      </c>
      <c r="Q172" s="22" t="str">
        <f aca="false">IF(P172="OCCUPIED","Y","N")</f>
        <v>Y</v>
      </c>
      <c r="R172" s="25" t="n">
        <f aca="false">SUM(I172:J172)</f>
        <v>0</v>
      </c>
      <c r="S172" s="22" t="str">
        <f aca="false">IF(AND(R172&gt;0,Q172="Y"),"YES","NO")</f>
        <v>NO</v>
      </c>
      <c r="T172" s="22" t="s">
        <v>12975</v>
      </c>
      <c r="U172" s="23" t="n">
        <v>46203</v>
      </c>
      <c r="V172" s="23" t="n">
        <v>46216</v>
      </c>
      <c r="W172" s="22"/>
      <c r="X172" s="22" t="str">
        <f aca="false">IF(ABS(M172)&gt;0.005,"Reported total_due does not equal buckets",IF(O172&lt;&gt;"Y","Account/slip ID mismatch",IF(P172&lt;&gt;"OCCUPIED","Slip not occupied","OK")))</f>
        <v>Reported total_due does not equal buckets</v>
      </c>
      <c r="Y172" s="22" t="str">
        <f aca="false">IF(ABS(M172)&gt;0.005,"Priority 3","")</f>
        <v>Priority 3</v>
      </c>
    </row>
    <row r="173" customFormat="false" ht="15" hidden="false" customHeight="false" outlineLevel="0" collapsed="false">
      <c r="A173" s="22" t="s">
        <v>11742</v>
      </c>
      <c r="B173" s="22" t="s">
        <v>2522</v>
      </c>
      <c r="C173" s="22" t="s">
        <v>7099</v>
      </c>
      <c r="D173" s="22" t="s">
        <v>198</v>
      </c>
      <c r="E173" s="22" t="s">
        <v>8601</v>
      </c>
      <c r="F173" s="25" t="n">
        <v>520</v>
      </c>
      <c r="G173" s="25" t="n">
        <v>0</v>
      </c>
      <c r="H173" s="25" t="n">
        <v>0</v>
      </c>
      <c r="I173" s="25" t="n">
        <v>0</v>
      </c>
      <c r="J173" s="25" t="n">
        <v>0</v>
      </c>
      <c r="K173" s="25" t="n">
        <v>520</v>
      </c>
      <c r="L173" s="25" t="n">
        <f aca="false">SUM(F173:J173)</f>
        <v>520</v>
      </c>
      <c r="M173" s="25" t="n">
        <f aca="false">K173-L173</f>
        <v>0</v>
      </c>
      <c r="N173" s="22" t="str">
        <f aca="false">RIGHT(A173,LEN(A173)-3)</f>
        <v>LP-0815</v>
      </c>
      <c r="O173" s="22" t="str">
        <f aca="false">IF(C173=N173,"Y","N")</f>
        <v>Y</v>
      </c>
      <c r="P173" s="22" t="str">
        <f aca="false">IFERROR(VLOOKUP(N173,'Slip Inventory'!$A$2:$R$1181,10,FALSE()),"NOT FOUND")</f>
        <v>OCCUPIED</v>
      </c>
      <c r="Q173" s="22" t="str">
        <f aca="false">IF(P173="OCCUPIED","Y","N")</f>
        <v>Y</v>
      </c>
      <c r="R173" s="25" t="n">
        <f aca="false">SUM(I173:J173)</f>
        <v>0</v>
      </c>
      <c r="S173" s="22" t="str">
        <f aca="false">IF(AND(R173&gt;0,Q173="Y"),"YES","NO")</f>
        <v>NO</v>
      </c>
      <c r="T173" s="22" t="s">
        <v>12975</v>
      </c>
      <c r="U173" s="23" t="n">
        <v>46228</v>
      </c>
      <c r="V173" s="23" t="n">
        <v>46216</v>
      </c>
      <c r="W173" s="22"/>
      <c r="X173" s="22" t="str">
        <f aca="false">IF(ABS(M173)&gt;0.005,"Reported total_due does not equal buckets",IF(O173&lt;&gt;"Y","Account/slip ID mismatch",IF(P173&lt;&gt;"OCCUPIED","Slip not occupied","OK")))</f>
        <v>OK</v>
      </c>
      <c r="Y173" s="22" t="str">
        <f aca="false">IF(ABS(M173)&gt;0.005,"Priority 3","")</f>
        <v/>
      </c>
    </row>
    <row r="174" customFormat="false" ht="15" hidden="false" customHeight="false" outlineLevel="0" collapsed="false">
      <c r="A174" s="22" t="s">
        <v>11744</v>
      </c>
      <c r="B174" s="22" t="s">
        <v>5226</v>
      </c>
      <c r="C174" s="22" t="s">
        <v>7101</v>
      </c>
      <c r="D174" s="22" t="s">
        <v>198</v>
      </c>
      <c r="E174" s="22" t="s">
        <v>8601</v>
      </c>
      <c r="F174" s="25" t="n">
        <v>499.2</v>
      </c>
      <c r="G174" s="25" t="n">
        <v>0</v>
      </c>
      <c r="H174" s="25" t="n">
        <v>0</v>
      </c>
      <c r="I174" s="25" t="n">
        <v>0</v>
      </c>
      <c r="J174" s="25" t="n">
        <v>0</v>
      </c>
      <c r="K174" s="25" t="n">
        <v>499.2</v>
      </c>
      <c r="L174" s="25" t="n">
        <f aca="false">SUM(F174:J174)</f>
        <v>499.2</v>
      </c>
      <c r="M174" s="25" t="n">
        <f aca="false">K174-L174</f>
        <v>0</v>
      </c>
      <c r="N174" s="22" t="str">
        <f aca="false">RIGHT(A174,LEN(A174)-3)</f>
        <v>LP-0816</v>
      </c>
      <c r="O174" s="22" t="str">
        <f aca="false">IF(C174=N174,"Y","N")</f>
        <v>Y</v>
      </c>
      <c r="P174" s="22" t="str">
        <f aca="false">IFERROR(VLOOKUP(N174,'Slip Inventory'!$A$2:$R$1181,10,FALSE()),"NOT FOUND")</f>
        <v>OCCUPIED</v>
      </c>
      <c r="Q174" s="22" t="str">
        <f aca="false">IF(P174="OCCUPIED","Y","N")</f>
        <v>Y</v>
      </c>
      <c r="R174" s="25" t="n">
        <f aca="false">SUM(I174:J174)</f>
        <v>0</v>
      </c>
      <c r="S174" s="22" t="str">
        <f aca="false">IF(AND(R174&gt;0,Q174="Y"),"YES","NO")</f>
        <v>NO</v>
      </c>
      <c r="T174" s="22" t="s">
        <v>12975</v>
      </c>
      <c r="U174" s="23" t="n">
        <v>46195</v>
      </c>
      <c r="V174" s="23" t="n">
        <v>46206</v>
      </c>
      <c r="W174" s="22"/>
      <c r="X174" s="22" t="str">
        <f aca="false">IF(ABS(M174)&gt;0.005,"Reported total_due does not equal buckets",IF(O174&lt;&gt;"Y","Account/slip ID mismatch",IF(P174&lt;&gt;"OCCUPIED","Slip not occupied","OK")))</f>
        <v>OK</v>
      </c>
      <c r="Y174" s="22" t="str">
        <f aca="false">IF(ABS(M174)&gt;0.005,"Priority 3","")</f>
        <v/>
      </c>
    </row>
    <row r="175" customFormat="false" ht="15" hidden="false" customHeight="false" outlineLevel="0" collapsed="false">
      <c r="A175" s="22" t="s">
        <v>11746</v>
      </c>
      <c r="B175" s="22" t="s">
        <v>6000</v>
      </c>
      <c r="C175" s="22" t="s">
        <v>7104</v>
      </c>
      <c r="D175" s="22" t="s">
        <v>198</v>
      </c>
      <c r="E175" s="22" t="s">
        <v>8601</v>
      </c>
      <c r="F175" s="25" t="n">
        <v>332.8</v>
      </c>
      <c r="G175" s="25" t="n">
        <v>0</v>
      </c>
      <c r="H175" s="25" t="n">
        <v>0</v>
      </c>
      <c r="I175" s="25" t="n">
        <v>0</v>
      </c>
      <c r="J175" s="25" t="n">
        <v>0</v>
      </c>
      <c r="K175" s="25" t="n">
        <v>332.8</v>
      </c>
      <c r="L175" s="25" t="n">
        <f aca="false">SUM(F175:J175)</f>
        <v>332.8</v>
      </c>
      <c r="M175" s="25" t="n">
        <f aca="false">K175-L175</f>
        <v>0</v>
      </c>
      <c r="N175" s="22" t="str">
        <f aca="false">RIGHT(A175,LEN(A175)-3)</f>
        <v>LP-0817</v>
      </c>
      <c r="O175" s="22" t="str">
        <f aca="false">IF(C175=N175,"Y","N")</f>
        <v>Y</v>
      </c>
      <c r="P175" s="22" t="str">
        <f aca="false">IFERROR(VLOOKUP(N175,'Slip Inventory'!$A$2:$R$1181,10,FALSE()),"NOT FOUND")</f>
        <v>OCCUPIED</v>
      </c>
      <c r="Q175" s="22" t="str">
        <f aca="false">IF(P175="OCCUPIED","Y","N")</f>
        <v>Y</v>
      </c>
      <c r="R175" s="25" t="n">
        <f aca="false">SUM(I175:J175)</f>
        <v>0</v>
      </c>
      <c r="S175" s="22" t="str">
        <f aca="false">IF(AND(R175&gt;0,Q175="Y"),"YES","NO")</f>
        <v>NO</v>
      </c>
      <c r="T175" s="22" t="s">
        <v>12975</v>
      </c>
      <c r="U175" s="23" t="n">
        <v>46193</v>
      </c>
      <c r="V175" s="23" t="n">
        <v>46191</v>
      </c>
      <c r="W175" s="22"/>
      <c r="X175" s="22" t="str">
        <f aca="false">IF(ABS(M175)&gt;0.005,"Reported total_due does not equal buckets",IF(O175&lt;&gt;"Y","Account/slip ID mismatch",IF(P175&lt;&gt;"OCCUPIED","Slip not occupied","OK")))</f>
        <v>OK</v>
      </c>
      <c r="Y175" s="22" t="str">
        <f aca="false">IF(ABS(M175)&gt;0.005,"Priority 3","")</f>
        <v/>
      </c>
    </row>
    <row r="176" customFormat="false" ht="15" hidden="false" customHeight="false" outlineLevel="0" collapsed="false">
      <c r="A176" s="22" t="s">
        <v>11748</v>
      </c>
      <c r="B176" s="22" t="s">
        <v>4539</v>
      </c>
      <c r="C176" s="22" t="s">
        <v>7107</v>
      </c>
      <c r="D176" s="22" t="s">
        <v>198</v>
      </c>
      <c r="E176" s="22" t="s">
        <v>8601</v>
      </c>
      <c r="F176" s="25" t="n">
        <v>634.4</v>
      </c>
      <c r="G176" s="25" t="n">
        <v>0</v>
      </c>
      <c r="H176" s="25" t="n">
        <v>0</v>
      </c>
      <c r="I176" s="25" t="n">
        <v>0</v>
      </c>
      <c r="J176" s="25" t="n">
        <v>0</v>
      </c>
      <c r="K176" s="25" t="n">
        <v>634.4</v>
      </c>
      <c r="L176" s="25" t="n">
        <f aca="false">SUM(F176:J176)</f>
        <v>634.4</v>
      </c>
      <c r="M176" s="25" t="n">
        <f aca="false">K176-L176</f>
        <v>0</v>
      </c>
      <c r="N176" s="22" t="str">
        <f aca="false">RIGHT(A176,LEN(A176)-3)</f>
        <v>LP-0818</v>
      </c>
      <c r="O176" s="22" t="str">
        <f aca="false">IF(C176=N176,"Y","N")</f>
        <v>Y</v>
      </c>
      <c r="P176" s="22" t="str">
        <f aca="false">IFERROR(VLOOKUP(N176,'Slip Inventory'!$A$2:$R$1181,10,FALSE()),"NOT FOUND")</f>
        <v>OCCUPIED</v>
      </c>
      <c r="Q176" s="22" t="str">
        <f aca="false">IF(P176="OCCUPIED","Y","N")</f>
        <v>Y</v>
      </c>
      <c r="R176" s="25" t="n">
        <f aca="false">SUM(I176:J176)</f>
        <v>0</v>
      </c>
      <c r="S176" s="22" t="str">
        <f aca="false">IF(AND(R176&gt;0,Q176="Y"),"YES","NO")</f>
        <v>NO</v>
      </c>
      <c r="T176" s="22" t="s">
        <v>12975</v>
      </c>
      <c r="U176" s="23" t="n">
        <v>46159</v>
      </c>
      <c r="V176" s="23" t="n">
        <v>46229</v>
      </c>
      <c r="W176" s="22"/>
      <c r="X176" s="22" t="str">
        <f aca="false">IF(ABS(M176)&gt;0.005,"Reported total_due does not equal buckets",IF(O176&lt;&gt;"Y","Account/slip ID mismatch",IF(P176&lt;&gt;"OCCUPIED","Slip not occupied","OK")))</f>
        <v>OK</v>
      </c>
      <c r="Y176" s="22" t="str">
        <f aca="false">IF(ABS(M176)&gt;0.005,"Priority 3","")</f>
        <v/>
      </c>
    </row>
    <row r="177" customFormat="false" ht="15" hidden="false" customHeight="false" outlineLevel="0" collapsed="false">
      <c r="A177" s="22" t="s">
        <v>11750</v>
      </c>
      <c r="B177" s="22" t="s">
        <v>3004</v>
      </c>
      <c r="C177" s="22" t="s">
        <v>7109</v>
      </c>
      <c r="D177" s="22" t="s">
        <v>198</v>
      </c>
      <c r="E177" s="22" t="s">
        <v>8601</v>
      </c>
      <c r="F177" s="25" t="n">
        <v>332.8</v>
      </c>
      <c r="G177" s="25" t="n">
        <v>0</v>
      </c>
      <c r="H177" s="25" t="n">
        <v>0</v>
      </c>
      <c r="I177" s="25" t="n">
        <v>0</v>
      </c>
      <c r="J177" s="25" t="n">
        <v>0</v>
      </c>
      <c r="K177" s="25" t="n">
        <v>332.8</v>
      </c>
      <c r="L177" s="25" t="n">
        <f aca="false">SUM(F177:J177)</f>
        <v>332.8</v>
      </c>
      <c r="M177" s="25" t="n">
        <f aca="false">K177-L177</f>
        <v>0</v>
      </c>
      <c r="N177" s="22" t="str">
        <f aca="false">RIGHT(A177,LEN(A177)-3)</f>
        <v>LP-0819</v>
      </c>
      <c r="O177" s="22" t="str">
        <f aca="false">IF(C177=N177,"Y","N")</f>
        <v>Y</v>
      </c>
      <c r="P177" s="22" t="str">
        <f aca="false">IFERROR(VLOOKUP(N177,'Slip Inventory'!$A$2:$R$1181,10,FALSE()),"NOT FOUND")</f>
        <v>OCCUPIED</v>
      </c>
      <c r="Q177" s="22" t="str">
        <f aca="false">IF(P177="OCCUPIED","Y","N")</f>
        <v>Y</v>
      </c>
      <c r="R177" s="25" t="n">
        <f aca="false">SUM(I177:J177)</f>
        <v>0</v>
      </c>
      <c r="S177" s="22" t="str">
        <f aca="false">IF(AND(R177&gt;0,Q177="Y"),"YES","NO")</f>
        <v>NO</v>
      </c>
      <c r="T177" s="22" t="s">
        <v>12975</v>
      </c>
      <c r="U177" s="23" t="n">
        <v>46146</v>
      </c>
      <c r="V177" s="23" t="n">
        <v>46228</v>
      </c>
      <c r="W177" s="22"/>
      <c r="X177" s="22" t="str">
        <f aca="false">IF(ABS(M177)&gt;0.005,"Reported total_due does not equal buckets",IF(O177&lt;&gt;"Y","Account/slip ID mismatch",IF(P177&lt;&gt;"OCCUPIED","Slip not occupied","OK")))</f>
        <v>OK</v>
      </c>
      <c r="Y177" s="22" t="str">
        <f aca="false">IF(ABS(M177)&gt;0.005,"Priority 3","")</f>
        <v/>
      </c>
    </row>
    <row r="178" customFormat="false" ht="15" hidden="false" customHeight="false" outlineLevel="0" collapsed="false">
      <c r="A178" s="22" t="s">
        <v>11752</v>
      </c>
      <c r="B178" s="22" t="s">
        <v>482</v>
      </c>
      <c r="C178" s="22" t="s">
        <v>7112</v>
      </c>
      <c r="D178" s="22" t="s">
        <v>198</v>
      </c>
      <c r="E178" s="22" t="s">
        <v>8601</v>
      </c>
      <c r="F178" s="25" t="n">
        <v>457.6</v>
      </c>
      <c r="G178" s="25" t="n">
        <v>0</v>
      </c>
      <c r="H178" s="25" t="n">
        <v>0</v>
      </c>
      <c r="I178" s="25" t="n">
        <v>0</v>
      </c>
      <c r="J178" s="25" t="n">
        <v>0</v>
      </c>
      <c r="K178" s="25" t="n">
        <v>0</v>
      </c>
      <c r="L178" s="25" t="n">
        <f aca="false">SUM(F178:J178)</f>
        <v>457.6</v>
      </c>
      <c r="M178" s="25" t="n">
        <f aca="false">K178-L178</f>
        <v>-457.6</v>
      </c>
      <c r="N178" s="22" t="str">
        <f aca="false">RIGHT(A178,LEN(A178)-3)</f>
        <v>LP-0820</v>
      </c>
      <c r="O178" s="22" t="str">
        <f aca="false">IF(C178=N178,"Y","N")</f>
        <v>Y</v>
      </c>
      <c r="P178" s="22" t="str">
        <f aca="false">IFERROR(VLOOKUP(N178,'Slip Inventory'!$A$2:$R$1181,10,FALSE()),"NOT FOUND")</f>
        <v>OCCUPIED</v>
      </c>
      <c r="Q178" s="22" t="str">
        <f aca="false">IF(P178="OCCUPIED","Y","N")</f>
        <v>Y</v>
      </c>
      <c r="R178" s="25" t="n">
        <f aca="false">SUM(I178:J178)</f>
        <v>0</v>
      </c>
      <c r="S178" s="22" t="str">
        <f aca="false">IF(AND(R178&gt;0,Q178="Y"),"YES","NO")</f>
        <v>NO</v>
      </c>
      <c r="T178" s="22" t="s">
        <v>12975</v>
      </c>
      <c r="U178" s="23" t="n">
        <v>46164</v>
      </c>
      <c r="V178" s="23" t="n">
        <v>46202</v>
      </c>
      <c r="W178" s="22"/>
      <c r="X178" s="22" t="str">
        <f aca="false">IF(ABS(M178)&gt;0.005,"Reported total_due does not equal buckets",IF(O178&lt;&gt;"Y","Account/slip ID mismatch",IF(P178&lt;&gt;"OCCUPIED","Slip not occupied","OK")))</f>
        <v>Reported total_due does not equal buckets</v>
      </c>
      <c r="Y178" s="22" t="str">
        <f aca="false">IF(ABS(M178)&gt;0.005,"Priority 3","")</f>
        <v>Priority 3</v>
      </c>
    </row>
    <row r="179" customFormat="false" ht="15" hidden="false" customHeight="false" outlineLevel="0" collapsed="false">
      <c r="A179" s="22" t="s">
        <v>11754</v>
      </c>
      <c r="B179" s="22" t="s">
        <v>5488</v>
      </c>
      <c r="C179" s="22" t="s">
        <v>7114</v>
      </c>
      <c r="D179" s="22" t="s">
        <v>198</v>
      </c>
      <c r="E179" s="22" t="s">
        <v>8601</v>
      </c>
      <c r="F179" s="25" t="n">
        <v>561.6</v>
      </c>
      <c r="G179" s="25" t="n">
        <v>0</v>
      </c>
      <c r="H179" s="25" t="n">
        <v>0</v>
      </c>
      <c r="I179" s="25" t="n">
        <v>0</v>
      </c>
      <c r="J179" s="25" t="n">
        <v>0</v>
      </c>
      <c r="K179" s="25" t="n">
        <v>561.6</v>
      </c>
      <c r="L179" s="25" t="n">
        <f aca="false">SUM(F179:J179)</f>
        <v>561.6</v>
      </c>
      <c r="M179" s="25" t="n">
        <f aca="false">K179-L179</f>
        <v>0</v>
      </c>
      <c r="N179" s="22" t="str">
        <f aca="false">RIGHT(A179,LEN(A179)-3)</f>
        <v>LP-0821</v>
      </c>
      <c r="O179" s="22" t="str">
        <f aca="false">IF(C179=N179,"Y","N")</f>
        <v>Y</v>
      </c>
      <c r="P179" s="22" t="str">
        <f aca="false">IFERROR(VLOOKUP(N179,'Slip Inventory'!$A$2:$R$1181,10,FALSE()),"NOT FOUND")</f>
        <v>OCCUPIED</v>
      </c>
      <c r="Q179" s="22" t="str">
        <f aca="false">IF(P179="OCCUPIED","Y","N")</f>
        <v>Y</v>
      </c>
      <c r="R179" s="25" t="n">
        <f aca="false">SUM(I179:J179)</f>
        <v>0</v>
      </c>
      <c r="S179" s="22" t="str">
        <f aca="false">IF(AND(R179&gt;0,Q179="Y"),"YES","NO")</f>
        <v>NO</v>
      </c>
      <c r="T179" s="22" t="s">
        <v>12975</v>
      </c>
      <c r="U179" s="23" t="n">
        <v>46231</v>
      </c>
      <c r="V179" s="23" t="n">
        <v>46205</v>
      </c>
      <c r="W179" s="22"/>
      <c r="X179" s="22" t="str">
        <f aca="false">IF(ABS(M179)&gt;0.005,"Reported total_due does not equal buckets",IF(O179&lt;&gt;"Y","Account/slip ID mismatch",IF(P179&lt;&gt;"OCCUPIED","Slip not occupied","OK")))</f>
        <v>OK</v>
      </c>
      <c r="Y179" s="22" t="str">
        <f aca="false">IF(ABS(M179)&gt;0.005,"Priority 3","")</f>
        <v/>
      </c>
    </row>
    <row r="180" customFormat="false" ht="15" hidden="false" customHeight="false" outlineLevel="0" collapsed="false">
      <c r="A180" s="22" t="s">
        <v>11756</v>
      </c>
      <c r="B180" s="22" t="s">
        <v>4176</v>
      </c>
      <c r="C180" s="22" t="s">
        <v>7117</v>
      </c>
      <c r="D180" s="22" t="s">
        <v>198</v>
      </c>
      <c r="E180" s="22" t="s">
        <v>8601</v>
      </c>
      <c r="F180" s="25" t="n">
        <v>634.4</v>
      </c>
      <c r="G180" s="25" t="n">
        <v>634.4</v>
      </c>
      <c r="H180" s="25" t="n">
        <v>0</v>
      </c>
      <c r="I180" s="25" t="n">
        <v>0</v>
      </c>
      <c r="J180" s="25" t="n">
        <v>0</v>
      </c>
      <c r="K180" s="25" t="n">
        <v>1268.8</v>
      </c>
      <c r="L180" s="25" t="n">
        <f aca="false">SUM(F180:J180)</f>
        <v>1268.8</v>
      </c>
      <c r="M180" s="25" t="n">
        <f aca="false">K180-L180</f>
        <v>0</v>
      </c>
      <c r="N180" s="22" t="str">
        <f aca="false">RIGHT(A180,LEN(A180)-3)</f>
        <v>LP-0822</v>
      </c>
      <c r="O180" s="22" t="str">
        <f aca="false">IF(C180=N180,"Y","N")</f>
        <v>Y</v>
      </c>
      <c r="P180" s="22" t="str">
        <f aca="false">IFERROR(VLOOKUP(N180,'Slip Inventory'!$A$2:$R$1181,10,FALSE()),"NOT FOUND")</f>
        <v>OCCUPIED</v>
      </c>
      <c r="Q180" s="22" t="str">
        <f aca="false">IF(P180="OCCUPIED","Y","N")</f>
        <v>Y</v>
      </c>
      <c r="R180" s="25" t="n">
        <f aca="false">SUM(I180:J180)</f>
        <v>0</v>
      </c>
      <c r="S180" s="22" t="str">
        <f aca="false">IF(AND(R180&gt;0,Q180="Y"),"YES","NO")</f>
        <v>NO</v>
      </c>
      <c r="T180" s="22" t="s">
        <v>12977</v>
      </c>
      <c r="U180" s="23" t="n">
        <v>46188</v>
      </c>
      <c r="V180" s="23" t="n">
        <v>46202</v>
      </c>
      <c r="W180" s="22"/>
      <c r="X180" s="22" t="str">
        <f aca="false">IF(ABS(M180)&gt;0.005,"Reported total_due does not equal buckets",IF(O180&lt;&gt;"Y","Account/slip ID mismatch",IF(P180&lt;&gt;"OCCUPIED","Slip not occupied","OK")))</f>
        <v>OK</v>
      </c>
      <c r="Y180" s="22" t="str">
        <f aca="false">IF(ABS(M180)&gt;0.005,"Priority 3","")</f>
        <v/>
      </c>
    </row>
    <row r="181" customFormat="false" ht="15" hidden="false" customHeight="false" outlineLevel="0" collapsed="false">
      <c r="A181" s="22" t="s">
        <v>11758</v>
      </c>
      <c r="B181" s="22" t="s">
        <v>5380</v>
      </c>
      <c r="C181" s="22" t="s">
        <v>7119</v>
      </c>
      <c r="D181" s="22" t="s">
        <v>198</v>
      </c>
      <c r="E181" s="22" t="s">
        <v>8601</v>
      </c>
      <c r="F181" s="25" t="n">
        <v>447.2</v>
      </c>
      <c r="G181" s="25" t="n">
        <v>0</v>
      </c>
      <c r="H181" s="25" t="n">
        <v>0</v>
      </c>
      <c r="I181" s="25" t="n">
        <v>0</v>
      </c>
      <c r="J181" s="25" t="n">
        <v>0</v>
      </c>
      <c r="K181" s="25" t="n">
        <v>447.2</v>
      </c>
      <c r="L181" s="25" t="n">
        <f aca="false">SUM(F181:J181)</f>
        <v>447.2</v>
      </c>
      <c r="M181" s="25" t="n">
        <f aca="false">K181-L181</f>
        <v>0</v>
      </c>
      <c r="N181" s="22" t="str">
        <f aca="false">RIGHT(A181,LEN(A181)-3)</f>
        <v>LP-0823</v>
      </c>
      <c r="O181" s="22" t="str">
        <f aca="false">IF(C181=N181,"Y","N")</f>
        <v>Y</v>
      </c>
      <c r="P181" s="22" t="str">
        <f aca="false">IFERROR(VLOOKUP(N181,'Slip Inventory'!$A$2:$R$1181,10,FALSE()),"NOT FOUND")</f>
        <v>OCCUPIED</v>
      </c>
      <c r="Q181" s="22" t="str">
        <f aca="false">IF(P181="OCCUPIED","Y","N")</f>
        <v>Y</v>
      </c>
      <c r="R181" s="25" t="n">
        <f aca="false">SUM(I181:J181)</f>
        <v>0</v>
      </c>
      <c r="S181" s="22" t="str">
        <f aca="false">IF(AND(R181&gt;0,Q181="Y"),"YES","NO")</f>
        <v>NO</v>
      </c>
      <c r="T181" s="22" t="s">
        <v>12975</v>
      </c>
      <c r="U181" s="23" t="n">
        <v>46187</v>
      </c>
      <c r="V181" s="23" t="n">
        <v>46195</v>
      </c>
      <c r="W181" s="22"/>
      <c r="X181" s="22" t="str">
        <f aca="false">IF(ABS(M181)&gt;0.005,"Reported total_due does not equal buckets",IF(O181&lt;&gt;"Y","Account/slip ID mismatch",IF(P181&lt;&gt;"OCCUPIED","Slip not occupied","OK")))</f>
        <v>OK</v>
      </c>
      <c r="Y181" s="22" t="str">
        <f aca="false">IF(ABS(M181)&gt;0.005,"Priority 3","")</f>
        <v/>
      </c>
    </row>
    <row r="182" customFormat="false" ht="15" hidden="false" customHeight="false" outlineLevel="0" collapsed="false">
      <c r="A182" s="22" t="s">
        <v>11760</v>
      </c>
      <c r="B182" s="22" t="s">
        <v>235</v>
      </c>
      <c r="C182" s="22" t="s">
        <v>7122</v>
      </c>
      <c r="D182" s="22" t="s">
        <v>198</v>
      </c>
      <c r="E182" s="22" t="s">
        <v>8601</v>
      </c>
      <c r="F182" s="25" t="n">
        <v>509.6</v>
      </c>
      <c r="G182" s="25" t="n">
        <v>0</v>
      </c>
      <c r="H182" s="25" t="n">
        <v>0</v>
      </c>
      <c r="I182" s="25" t="n">
        <v>0</v>
      </c>
      <c r="J182" s="25" t="n">
        <v>0</v>
      </c>
      <c r="K182" s="25" t="n">
        <v>509.6</v>
      </c>
      <c r="L182" s="25" t="n">
        <f aca="false">SUM(F182:J182)</f>
        <v>509.6</v>
      </c>
      <c r="M182" s="25" t="n">
        <f aca="false">K182-L182</f>
        <v>0</v>
      </c>
      <c r="N182" s="22" t="str">
        <f aca="false">RIGHT(A182,LEN(A182)-3)</f>
        <v>LP-0824</v>
      </c>
      <c r="O182" s="22" t="str">
        <f aca="false">IF(C182=N182,"Y","N")</f>
        <v>Y</v>
      </c>
      <c r="P182" s="22" t="str">
        <f aca="false">IFERROR(VLOOKUP(N182,'Slip Inventory'!$A$2:$R$1181,10,FALSE()),"NOT FOUND")</f>
        <v>OCCUPIED</v>
      </c>
      <c r="Q182" s="22" t="str">
        <f aca="false">IF(P182="OCCUPIED","Y","N")</f>
        <v>Y</v>
      </c>
      <c r="R182" s="25" t="n">
        <f aca="false">SUM(I182:J182)</f>
        <v>0</v>
      </c>
      <c r="S182" s="22" t="str">
        <f aca="false">IF(AND(R182&gt;0,Q182="Y"),"YES","NO")</f>
        <v>NO</v>
      </c>
      <c r="T182" s="22" t="s">
        <v>12975</v>
      </c>
      <c r="U182" s="23" t="n">
        <v>46143</v>
      </c>
      <c r="V182" s="23" t="n">
        <v>46179</v>
      </c>
      <c r="W182" s="22"/>
      <c r="X182" s="22" t="str">
        <f aca="false">IF(ABS(M182)&gt;0.005,"Reported total_due does not equal buckets",IF(O182&lt;&gt;"Y","Account/slip ID mismatch",IF(P182&lt;&gt;"OCCUPIED","Slip not occupied","OK")))</f>
        <v>OK</v>
      </c>
      <c r="Y182" s="22" t="str">
        <f aca="false">IF(ABS(M182)&gt;0.005,"Priority 3","")</f>
        <v/>
      </c>
    </row>
    <row r="183" customFormat="false" ht="15" hidden="false" customHeight="false" outlineLevel="0" collapsed="false">
      <c r="A183" s="22" t="s">
        <v>11762</v>
      </c>
      <c r="B183" s="22" t="s">
        <v>4037</v>
      </c>
      <c r="C183" s="22" t="s">
        <v>7125</v>
      </c>
      <c r="D183" s="22" t="s">
        <v>198</v>
      </c>
      <c r="E183" s="22" t="s">
        <v>8601</v>
      </c>
      <c r="F183" s="25" t="n">
        <v>416</v>
      </c>
      <c r="G183" s="25" t="n">
        <v>0</v>
      </c>
      <c r="H183" s="25" t="n">
        <v>0</v>
      </c>
      <c r="I183" s="25" t="n">
        <v>0</v>
      </c>
      <c r="J183" s="25" t="n">
        <v>0</v>
      </c>
      <c r="K183" s="25" t="n">
        <v>416</v>
      </c>
      <c r="L183" s="25" t="n">
        <f aca="false">SUM(F183:J183)</f>
        <v>416</v>
      </c>
      <c r="M183" s="25" t="n">
        <f aca="false">K183-L183</f>
        <v>0</v>
      </c>
      <c r="N183" s="22" t="str">
        <f aca="false">RIGHT(A183,LEN(A183)-3)</f>
        <v>LP-0901</v>
      </c>
      <c r="O183" s="22" t="str">
        <f aca="false">IF(C183=N183,"Y","N")</f>
        <v>Y</v>
      </c>
      <c r="P183" s="22" t="str">
        <f aca="false">IFERROR(VLOOKUP(N183,'Slip Inventory'!$A$2:$R$1181,10,FALSE()),"NOT FOUND")</f>
        <v>OCCUPIED</v>
      </c>
      <c r="Q183" s="22" t="str">
        <f aca="false">IF(P183="OCCUPIED","Y","N")</f>
        <v>Y</v>
      </c>
      <c r="R183" s="25" t="n">
        <f aca="false">SUM(I183:J183)</f>
        <v>0</v>
      </c>
      <c r="S183" s="22" t="str">
        <f aca="false">IF(AND(R183&gt;0,Q183="Y"),"YES","NO")</f>
        <v>NO</v>
      </c>
      <c r="T183" s="22" t="s">
        <v>12975</v>
      </c>
      <c r="U183" s="23" t="n">
        <v>46188</v>
      </c>
      <c r="V183" s="23" t="n">
        <v>46223</v>
      </c>
      <c r="W183" s="22" t="s">
        <v>12976</v>
      </c>
      <c r="X183" s="22" t="str">
        <f aca="false">IF(ABS(M183)&gt;0.005,"Reported total_due does not equal buckets",IF(O183&lt;&gt;"Y","Account/slip ID mismatch",IF(P183&lt;&gt;"OCCUPIED","Slip not occupied","OK")))</f>
        <v>OK</v>
      </c>
      <c r="Y183" s="22" t="str">
        <f aca="false">IF(ABS(M183)&gt;0.005,"Priority 3","")</f>
        <v/>
      </c>
    </row>
    <row r="184" customFormat="false" ht="15" hidden="false" customHeight="false" outlineLevel="0" collapsed="false">
      <c r="A184" s="22" t="s">
        <v>11764</v>
      </c>
      <c r="B184" s="22" t="s">
        <v>2356</v>
      </c>
      <c r="C184" s="22" t="s">
        <v>7129</v>
      </c>
      <c r="D184" s="22" t="s">
        <v>198</v>
      </c>
      <c r="E184" s="22" t="s">
        <v>8601</v>
      </c>
      <c r="F184" s="25" t="n">
        <v>603.2</v>
      </c>
      <c r="G184" s="25" t="n">
        <v>0</v>
      </c>
      <c r="H184" s="25" t="n">
        <v>0</v>
      </c>
      <c r="I184" s="25" t="n">
        <v>0</v>
      </c>
      <c r="J184" s="25" t="n">
        <v>0</v>
      </c>
      <c r="K184" s="25" t="n">
        <v>603.2</v>
      </c>
      <c r="L184" s="25" t="n">
        <f aca="false">SUM(F184:J184)</f>
        <v>603.2</v>
      </c>
      <c r="M184" s="25" t="n">
        <f aca="false">K184-L184</f>
        <v>0</v>
      </c>
      <c r="N184" s="22" t="str">
        <f aca="false">RIGHT(A184,LEN(A184)-3)</f>
        <v>LP-0902</v>
      </c>
      <c r="O184" s="22" t="str">
        <f aca="false">IF(C184=N184,"Y","N")</f>
        <v>Y</v>
      </c>
      <c r="P184" s="22" t="str">
        <f aca="false">IFERROR(VLOOKUP(N184,'Slip Inventory'!$A$2:$R$1181,10,FALSE()),"NOT FOUND")</f>
        <v>OCCUPIED</v>
      </c>
      <c r="Q184" s="22" t="str">
        <f aca="false">IF(P184="OCCUPIED","Y","N")</f>
        <v>Y</v>
      </c>
      <c r="R184" s="25" t="n">
        <f aca="false">SUM(I184:J184)</f>
        <v>0</v>
      </c>
      <c r="S184" s="22" t="str">
        <f aca="false">IF(AND(R184&gt;0,Q184="Y"),"YES","NO")</f>
        <v>NO</v>
      </c>
      <c r="T184" s="22" t="s">
        <v>12975</v>
      </c>
      <c r="U184" s="23" t="n">
        <v>46187</v>
      </c>
      <c r="V184" s="23" t="n">
        <v>46180</v>
      </c>
      <c r="W184" s="22"/>
      <c r="X184" s="22" t="str">
        <f aca="false">IF(ABS(M184)&gt;0.005,"Reported total_due does not equal buckets",IF(O184&lt;&gt;"Y","Account/slip ID mismatch",IF(P184&lt;&gt;"OCCUPIED","Slip not occupied","OK")))</f>
        <v>OK</v>
      </c>
      <c r="Y184" s="22" t="str">
        <f aca="false">IF(ABS(M184)&gt;0.005,"Priority 3","")</f>
        <v/>
      </c>
    </row>
    <row r="185" customFormat="false" ht="15" hidden="false" customHeight="false" outlineLevel="0" collapsed="false">
      <c r="A185" s="22" t="s">
        <v>11766</v>
      </c>
      <c r="B185" s="22" t="s">
        <v>719</v>
      </c>
      <c r="C185" s="22" t="s">
        <v>7132</v>
      </c>
      <c r="D185" s="22" t="s">
        <v>198</v>
      </c>
      <c r="E185" s="22" t="s">
        <v>8601</v>
      </c>
      <c r="F185" s="25" t="n">
        <v>374.4</v>
      </c>
      <c r="G185" s="25" t="n">
        <v>0</v>
      </c>
      <c r="H185" s="25" t="n">
        <v>0</v>
      </c>
      <c r="I185" s="25" t="n">
        <v>0</v>
      </c>
      <c r="J185" s="25" t="n">
        <v>0</v>
      </c>
      <c r="K185" s="25" t="n">
        <v>374.4</v>
      </c>
      <c r="L185" s="25" t="n">
        <f aca="false">SUM(F185:J185)</f>
        <v>374.4</v>
      </c>
      <c r="M185" s="25" t="n">
        <f aca="false">K185-L185</f>
        <v>0</v>
      </c>
      <c r="N185" s="22" t="str">
        <f aca="false">RIGHT(A185,LEN(A185)-3)</f>
        <v>LP-0903</v>
      </c>
      <c r="O185" s="22" t="str">
        <f aca="false">IF(C185=N185,"Y","N")</f>
        <v>Y</v>
      </c>
      <c r="P185" s="22" t="str">
        <f aca="false">IFERROR(VLOOKUP(N185,'Slip Inventory'!$A$2:$R$1181,10,FALSE()),"NOT FOUND")</f>
        <v>OCCUPIED</v>
      </c>
      <c r="Q185" s="22" t="str">
        <f aca="false">IF(P185="OCCUPIED","Y","N")</f>
        <v>Y</v>
      </c>
      <c r="R185" s="25" t="n">
        <f aca="false">SUM(I185:J185)</f>
        <v>0</v>
      </c>
      <c r="S185" s="22" t="str">
        <f aca="false">IF(AND(R185&gt;0,Q185="Y"),"YES","NO")</f>
        <v>NO</v>
      </c>
      <c r="T185" s="22" t="s">
        <v>12975</v>
      </c>
      <c r="U185" s="23" t="n">
        <v>46200</v>
      </c>
      <c r="V185" s="23" t="n">
        <v>46205</v>
      </c>
      <c r="W185" s="22"/>
      <c r="X185" s="22" t="str">
        <f aca="false">IF(ABS(M185)&gt;0.005,"Reported total_due does not equal buckets",IF(O185&lt;&gt;"Y","Account/slip ID mismatch",IF(P185&lt;&gt;"OCCUPIED","Slip not occupied","OK")))</f>
        <v>OK</v>
      </c>
      <c r="Y185" s="22" t="str">
        <f aca="false">IF(ABS(M185)&gt;0.005,"Priority 3","")</f>
        <v/>
      </c>
    </row>
    <row r="186" customFormat="false" ht="15" hidden="false" customHeight="false" outlineLevel="0" collapsed="false">
      <c r="A186" s="22" t="s">
        <v>11768</v>
      </c>
      <c r="B186" s="22" t="s">
        <v>6282</v>
      </c>
      <c r="C186" s="22" t="s">
        <v>7134</v>
      </c>
      <c r="D186" s="22" t="s">
        <v>198</v>
      </c>
      <c r="E186" s="22" t="s">
        <v>8601</v>
      </c>
      <c r="F186" s="25" t="n">
        <v>644.8</v>
      </c>
      <c r="G186" s="25" t="n">
        <v>0</v>
      </c>
      <c r="H186" s="25" t="n">
        <v>0</v>
      </c>
      <c r="I186" s="25" t="n">
        <v>0</v>
      </c>
      <c r="J186" s="25" t="n">
        <v>0</v>
      </c>
      <c r="K186" s="25" t="n">
        <v>644.8</v>
      </c>
      <c r="L186" s="25" t="n">
        <f aca="false">SUM(F186:J186)</f>
        <v>644.8</v>
      </c>
      <c r="M186" s="25" t="n">
        <f aca="false">K186-L186</f>
        <v>0</v>
      </c>
      <c r="N186" s="22" t="str">
        <f aca="false">RIGHT(A186,LEN(A186)-3)</f>
        <v>LP-0904</v>
      </c>
      <c r="O186" s="22" t="str">
        <f aca="false">IF(C186=N186,"Y","N")</f>
        <v>Y</v>
      </c>
      <c r="P186" s="22" t="str">
        <f aca="false">IFERROR(VLOOKUP(N186,'Slip Inventory'!$A$2:$R$1181,10,FALSE()),"NOT FOUND")</f>
        <v>OCCUPIED</v>
      </c>
      <c r="Q186" s="22" t="str">
        <f aca="false">IF(P186="OCCUPIED","Y","N")</f>
        <v>Y</v>
      </c>
      <c r="R186" s="25" t="n">
        <f aca="false">SUM(I186:J186)</f>
        <v>0</v>
      </c>
      <c r="S186" s="22" t="str">
        <f aca="false">IF(AND(R186&gt;0,Q186="Y"),"YES","NO")</f>
        <v>NO</v>
      </c>
      <c r="T186" s="22" t="s">
        <v>12975</v>
      </c>
      <c r="U186" s="23" t="n">
        <v>46197</v>
      </c>
      <c r="V186" s="23" t="n">
        <v>46191</v>
      </c>
      <c r="W186" s="22"/>
      <c r="X186" s="22" t="str">
        <f aca="false">IF(ABS(M186)&gt;0.005,"Reported total_due does not equal buckets",IF(O186&lt;&gt;"Y","Account/slip ID mismatch",IF(P186&lt;&gt;"OCCUPIED","Slip not occupied","OK")))</f>
        <v>OK</v>
      </c>
      <c r="Y186" s="22" t="str">
        <f aca="false">IF(ABS(M186)&gt;0.005,"Priority 3","")</f>
        <v/>
      </c>
    </row>
    <row r="187" customFormat="false" ht="15" hidden="false" customHeight="false" outlineLevel="0" collapsed="false">
      <c r="A187" s="22" t="s">
        <v>11770</v>
      </c>
      <c r="B187" s="22" t="s">
        <v>2188</v>
      </c>
      <c r="C187" s="22" t="s">
        <v>7137</v>
      </c>
      <c r="D187" s="22" t="s">
        <v>198</v>
      </c>
      <c r="E187" s="22" t="s">
        <v>8601</v>
      </c>
      <c r="F187" s="25" t="n">
        <v>561.6</v>
      </c>
      <c r="G187" s="25" t="n">
        <v>0</v>
      </c>
      <c r="H187" s="25" t="n">
        <v>0</v>
      </c>
      <c r="I187" s="25" t="n">
        <v>0</v>
      </c>
      <c r="J187" s="25" t="n">
        <v>0</v>
      </c>
      <c r="K187" s="25" t="n">
        <v>561.6</v>
      </c>
      <c r="L187" s="25" t="n">
        <f aca="false">SUM(F187:J187)</f>
        <v>561.6</v>
      </c>
      <c r="M187" s="25" t="n">
        <f aca="false">K187-L187</f>
        <v>0</v>
      </c>
      <c r="N187" s="22" t="str">
        <f aca="false">RIGHT(A187,LEN(A187)-3)</f>
        <v>LP-0905</v>
      </c>
      <c r="O187" s="22" t="str">
        <f aca="false">IF(C187=N187,"Y","N")</f>
        <v>Y</v>
      </c>
      <c r="P187" s="22" t="str">
        <f aca="false">IFERROR(VLOOKUP(N187,'Slip Inventory'!$A$2:$R$1181,10,FALSE()),"NOT FOUND")</f>
        <v>OCCUPIED</v>
      </c>
      <c r="Q187" s="22" t="str">
        <f aca="false">IF(P187="OCCUPIED","Y","N")</f>
        <v>Y</v>
      </c>
      <c r="R187" s="25" t="n">
        <f aca="false">SUM(I187:J187)</f>
        <v>0</v>
      </c>
      <c r="S187" s="22" t="str">
        <f aca="false">IF(AND(R187&gt;0,Q187="Y"),"YES","NO")</f>
        <v>NO</v>
      </c>
      <c r="T187" s="22" t="s">
        <v>12975</v>
      </c>
      <c r="U187" s="23" t="n">
        <v>46154</v>
      </c>
      <c r="V187" s="23" t="n">
        <v>46205</v>
      </c>
      <c r="W187" s="22"/>
      <c r="X187" s="22" t="str">
        <f aca="false">IF(ABS(M187)&gt;0.005,"Reported total_due does not equal buckets",IF(O187&lt;&gt;"Y","Account/slip ID mismatch",IF(P187&lt;&gt;"OCCUPIED","Slip not occupied","OK")))</f>
        <v>OK</v>
      </c>
      <c r="Y187" s="22" t="str">
        <f aca="false">IF(ABS(M187)&gt;0.005,"Priority 3","")</f>
        <v/>
      </c>
    </row>
    <row r="188" customFormat="false" ht="15" hidden="false" customHeight="false" outlineLevel="0" collapsed="false">
      <c r="A188" s="22" t="s">
        <v>11772</v>
      </c>
      <c r="B188" s="22" t="s">
        <v>4772</v>
      </c>
      <c r="C188" s="22" t="s">
        <v>7139</v>
      </c>
      <c r="D188" s="22" t="s">
        <v>198</v>
      </c>
      <c r="E188" s="22" t="s">
        <v>8601</v>
      </c>
      <c r="F188" s="25" t="n">
        <v>603.2</v>
      </c>
      <c r="G188" s="25" t="n">
        <v>0</v>
      </c>
      <c r="H188" s="25" t="n">
        <v>0</v>
      </c>
      <c r="I188" s="25" t="n">
        <v>0</v>
      </c>
      <c r="J188" s="25" t="n">
        <v>0</v>
      </c>
      <c r="K188" s="25" t="n">
        <v>603.2</v>
      </c>
      <c r="L188" s="25" t="n">
        <f aca="false">SUM(F188:J188)</f>
        <v>603.2</v>
      </c>
      <c r="M188" s="25" t="n">
        <f aca="false">K188-L188</f>
        <v>0</v>
      </c>
      <c r="N188" s="22" t="str">
        <f aca="false">RIGHT(A188,LEN(A188)-3)</f>
        <v>LP-0906</v>
      </c>
      <c r="O188" s="22" t="str">
        <f aca="false">IF(C188=N188,"Y","N")</f>
        <v>Y</v>
      </c>
      <c r="P188" s="22" t="str">
        <f aca="false">IFERROR(VLOOKUP(N188,'Slip Inventory'!$A$2:$R$1181,10,FALSE()),"NOT FOUND")</f>
        <v>OCCUPIED</v>
      </c>
      <c r="Q188" s="22" t="str">
        <f aca="false">IF(P188="OCCUPIED","Y","N")</f>
        <v>Y</v>
      </c>
      <c r="R188" s="25" t="n">
        <f aca="false">SUM(I188:J188)</f>
        <v>0</v>
      </c>
      <c r="S188" s="22" t="str">
        <f aca="false">IF(AND(R188&gt;0,Q188="Y"),"YES","NO")</f>
        <v>NO</v>
      </c>
      <c r="T188" s="22" t="s">
        <v>12975</v>
      </c>
      <c r="U188" s="23" t="n">
        <v>46168</v>
      </c>
      <c r="V188" s="23" t="n">
        <v>46228</v>
      </c>
      <c r="W188" s="22"/>
      <c r="X188" s="22" t="str">
        <f aca="false">IF(ABS(M188)&gt;0.005,"Reported total_due does not equal buckets",IF(O188&lt;&gt;"Y","Account/slip ID mismatch",IF(P188&lt;&gt;"OCCUPIED","Slip not occupied","OK")))</f>
        <v>OK</v>
      </c>
      <c r="Y188" s="22" t="str">
        <f aca="false">IF(ABS(M188)&gt;0.005,"Priority 3","")</f>
        <v/>
      </c>
    </row>
    <row r="189" customFormat="false" ht="15" hidden="false" customHeight="false" outlineLevel="0" collapsed="false">
      <c r="A189" s="22" t="s">
        <v>11774</v>
      </c>
      <c r="B189" s="22" t="s">
        <v>4471</v>
      </c>
      <c r="C189" s="22" t="s">
        <v>7142</v>
      </c>
      <c r="D189" s="22" t="s">
        <v>198</v>
      </c>
      <c r="E189" s="22" t="s">
        <v>8601</v>
      </c>
      <c r="F189" s="25" t="n">
        <v>478.4</v>
      </c>
      <c r="G189" s="25" t="n">
        <v>478.4</v>
      </c>
      <c r="H189" s="25" t="n">
        <v>0</v>
      </c>
      <c r="I189" s="25" t="n">
        <v>0</v>
      </c>
      <c r="J189" s="25" t="n">
        <v>0</v>
      </c>
      <c r="K189" s="25" t="n">
        <v>956.8</v>
      </c>
      <c r="L189" s="25" t="n">
        <f aca="false">SUM(F189:J189)</f>
        <v>956.8</v>
      </c>
      <c r="M189" s="25" t="n">
        <f aca="false">K189-L189</f>
        <v>0</v>
      </c>
      <c r="N189" s="22" t="str">
        <f aca="false">RIGHT(A189,LEN(A189)-3)</f>
        <v>LP-0907</v>
      </c>
      <c r="O189" s="22" t="str">
        <f aca="false">IF(C189=N189,"Y","N")</f>
        <v>Y</v>
      </c>
      <c r="P189" s="22" t="str">
        <f aca="false">IFERROR(VLOOKUP(N189,'Slip Inventory'!$A$2:$R$1181,10,FALSE()),"NOT FOUND")</f>
        <v>OCCUPIED</v>
      </c>
      <c r="Q189" s="22" t="str">
        <f aca="false">IF(P189="OCCUPIED","Y","N")</f>
        <v>Y</v>
      </c>
      <c r="R189" s="25" t="n">
        <f aca="false">SUM(I189:J189)</f>
        <v>0</v>
      </c>
      <c r="S189" s="22" t="str">
        <f aca="false">IF(AND(R189&gt;0,Q189="Y"),"YES","NO")</f>
        <v>NO</v>
      </c>
      <c r="T189" s="22" t="s">
        <v>12977</v>
      </c>
      <c r="U189" s="23" t="n">
        <v>46177</v>
      </c>
      <c r="V189" s="23" t="n">
        <v>46181</v>
      </c>
      <c r="W189" s="22"/>
      <c r="X189" s="22" t="str">
        <f aca="false">IF(ABS(M189)&gt;0.005,"Reported total_due does not equal buckets",IF(O189&lt;&gt;"Y","Account/slip ID mismatch",IF(P189&lt;&gt;"OCCUPIED","Slip not occupied","OK")))</f>
        <v>OK</v>
      </c>
      <c r="Y189" s="22" t="str">
        <f aca="false">IF(ABS(M189)&gt;0.005,"Priority 3","")</f>
        <v/>
      </c>
    </row>
    <row r="190" customFormat="false" ht="15" hidden="false" customHeight="false" outlineLevel="0" collapsed="false">
      <c r="A190" s="22" t="s">
        <v>11776</v>
      </c>
      <c r="B190" s="22" t="s">
        <v>173</v>
      </c>
      <c r="C190" s="22" t="s">
        <v>7145</v>
      </c>
      <c r="D190" s="22" t="s">
        <v>198</v>
      </c>
      <c r="E190" s="22" t="s">
        <v>8601</v>
      </c>
      <c r="F190" s="25" t="n">
        <v>520</v>
      </c>
      <c r="G190" s="25" t="n">
        <v>0</v>
      </c>
      <c r="H190" s="25" t="n">
        <v>0</v>
      </c>
      <c r="I190" s="25" t="n">
        <v>0</v>
      </c>
      <c r="J190" s="25" t="n">
        <v>0</v>
      </c>
      <c r="K190" s="25" t="n">
        <v>520</v>
      </c>
      <c r="L190" s="25" t="n">
        <f aca="false">SUM(F190:J190)</f>
        <v>520</v>
      </c>
      <c r="M190" s="25" t="n">
        <f aca="false">K190-L190</f>
        <v>0</v>
      </c>
      <c r="N190" s="22" t="str">
        <f aca="false">RIGHT(A190,LEN(A190)-3)</f>
        <v>LP-0908</v>
      </c>
      <c r="O190" s="22" t="str">
        <f aca="false">IF(C190=N190,"Y","N")</f>
        <v>Y</v>
      </c>
      <c r="P190" s="22" t="str">
        <f aca="false">IFERROR(VLOOKUP(N190,'Slip Inventory'!$A$2:$R$1181,10,FALSE()),"NOT FOUND")</f>
        <v>OCCUPIED</v>
      </c>
      <c r="Q190" s="22" t="str">
        <f aca="false">IF(P190="OCCUPIED","Y","N")</f>
        <v>Y</v>
      </c>
      <c r="R190" s="25" t="n">
        <f aca="false">SUM(I190:J190)</f>
        <v>0</v>
      </c>
      <c r="S190" s="22" t="str">
        <f aca="false">IF(AND(R190&gt;0,Q190="Y"),"YES","NO")</f>
        <v>NO</v>
      </c>
      <c r="T190" s="22" t="s">
        <v>12975</v>
      </c>
      <c r="U190" s="23" t="n">
        <v>46169</v>
      </c>
      <c r="V190" s="23" t="n">
        <v>46181</v>
      </c>
      <c r="W190" s="22"/>
      <c r="X190" s="22" t="str">
        <f aca="false">IF(ABS(M190)&gt;0.005,"Reported total_due does not equal buckets",IF(O190&lt;&gt;"Y","Account/slip ID mismatch",IF(P190&lt;&gt;"OCCUPIED","Slip not occupied","OK")))</f>
        <v>OK</v>
      </c>
      <c r="Y190" s="22" t="str">
        <f aca="false">IF(ABS(M190)&gt;0.005,"Priority 3","")</f>
        <v/>
      </c>
    </row>
    <row r="191" customFormat="false" ht="15" hidden="false" customHeight="false" outlineLevel="0" collapsed="false">
      <c r="A191" s="22" t="s">
        <v>11778</v>
      </c>
      <c r="B191" s="22" t="s">
        <v>2217</v>
      </c>
      <c r="C191" s="22" t="s">
        <v>7148</v>
      </c>
      <c r="D191" s="22" t="s">
        <v>198</v>
      </c>
      <c r="E191" s="22" t="s">
        <v>8601</v>
      </c>
      <c r="F191" s="25" t="n">
        <v>488.8</v>
      </c>
      <c r="G191" s="25" t="n">
        <v>0</v>
      </c>
      <c r="H191" s="25" t="n">
        <v>0</v>
      </c>
      <c r="I191" s="25" t="n">
        <v>0</v>
      </c>
      <c r="J191" s="25" t="n">
        <v>0</v>
      </c>
      <c r="K191" s="25" t="n">
        <v>488.8</v>
      </c>
      <c r="L191" s="25" t="n">
        <f aca="false">SUM(F191:J191)</f>
        <v>488.8</v>
      </c>
      <c r="M191" s="25" t="n">
        <f aca="false">K191-L191</f>
        <v>0</v>
      </c>
      <c r="N191" s="22" t="str">
        <f aca="false">RIGHT(A191,LEN(A191)-3)</f>
        <v>LP-0909</v>
      </c>
      <c r="O191" s="22" t="str">
        <f aca="false">IF(C191=N191,"Y","N")</f>
        <v>Y</v>
      </c>
      <c r="P191" s="22" t="str">
        <f aca="false">IFERROR(VLOOKUP(N191,'Slip Inventory'!$A$2:$R$1181,10,FALSE()),"NOT FOUND")</f>
        <v>OCCUPIED</v>
      </c>
      <c r="Q191" s="22" t="str">
        <f aca="false">IF(P191="OCCUPIED","Y","N")</f>
        <v>Y</v>
      </c>
      <c r="R191" s="25" t="n">
        <f aca="false">SUM(I191:J191)</f>
        <v>0</v>
      </c>
      <c r="S191" s="22" t="str">
        <f aca="false">IF(AND(R191&gt;0,Q191="Y"),"YES","NO")</f>
        <v>NO</v>
      </c>
      <c r="T191" s="22" t="s">
        <v>12975</v>
      </c>
      <c r="U191" s="23" t="n">
        <v>46194</v>
      </c>
      <c r="V191" s="23" t="n">
        <v>46205</v>
      </c>
      <c r="W191" s="22"/>
      <c r="X191" s="22" t="str">
        <f aca="false">IF(ABS(M191)&gt;0.005,"Reported total_due does not equal buckets",IF(O191&lt;&gt;"Y","Account/slip ID mismatch",IF(P191&lt;&gt;"OCCUPIED","Slip not occupied","OK")))</f>
        <v>OK</v>
      </c>
      <c r="Y191" s="22" t="str">
        <f aca="false">IF(ABS(M191)&gt;0.005,"Priority 3","")</f>
        <v/>
      </c>
    </row>
    <row r="192" customFormat="false" ht="15" hidden="false" customHeight="false" outlineLevel="0" collapsed="false">
      <c r="A192" s="22" t="s">
        <v>11780</v>
      </c>
      <c r="B192" s="22" t="s">
        <v>2622</v>
      </c>
      <c r="C192" s="22" t="s">
        <v>7151</v>
      </c>
      <c r="D192" s="22" t="s">
        <v>198</v>
      </c>
      <c r="E192" s="22" t="s">
        <v>8601</v>
      </c>
      <c r="F192" s="25" t="n">
        <v>395.2</v>
      </c>
      <c r="G192" s="25" t="n">
        <v>0</v>
      </c>
      <c r="H192" s="25" t="n">
        <v>0</v>
      </c>
      <c r="I192" s="25" t="n">
        <v>0</v>
      </c>
      <c r="J192" s="25" t="n">
        <v>0</v>
      </c>
      <c r="K192" s="25" t="n">
        <v>0</v>
      </c>
      <c r="L192" s="25" t="n">
        <f aca="false">SUM(F192:J192)</f>
        <v>395.2</v>
      </c>
      <c r="M192" s="25" t="n">
        <f aca="false">K192-L192</f>
        <v>-395.2</v>
      </c>
      <c r="N192" s="22" t="str">
        <f aca="false">RIGHT(A192,LEN(A192)-3)</f>
        <v>LP-0910</v>
      </c>
      <c r="O192" s="22" t="str">
        <f aca="false">IF(C192=N192,"Y","N")</f>
        <v>Y</v>
      </c>
      <c r="P192" s="22" t="str">
        <f aca="false">IFERROR(VLOOKUP(N192,'Slip Inventory'!$A$2:$R$1181,10,FALSE()),"NOT FOUND")</f>
        <v>OCCUPIED</v>
      </c>
      <c r="Q192" s="22" t="str">
        <f aca="false">IF(P192="OCCUPIED","Y","N")</f>
        <v>Y</v>
      </c>
      <c r="R192" s="25" t="n">
        <f aca="false">SUM(I192:J192)</f>
        <v>0</v>
      </c>
      <c r="S192" s="22" t="str">
        <f aca="false">IF(AND(R192&gt;0,Q192="Y"),"YES","NO")</f>
        <v>NO</v>
      </c>
      <c r="T192" s="22" t="s">
        <v>12975</v>
      </c>
      <c r="U192" s="23" t="n">
        <v>46223</v>
      </c>
      <c r="V192" s="23" t="n">
        <v>46181</v>
      </c>
      <c r="W192" s="22"/>
      <c r="X192" s="22" t="str">
        <f aca="false">IF(ABS(M192)&gt;0.005,"Reported total_due does not equal buckets",IF(O192&lt;&gt;"Y","Account/slip ID mismatch",IF(P192&lt;&gt;"OCCUPIED","Slip not occupied","OK")))</f>
        <v>Reported total_due does not equal buckets</v>
      </c>
      <c r="Y192" s="22" t="str">
        <f aca="false">IF(ABS(M192)&gt;0.005,"Priority 3","")</f>
        <v>Priority 3</v>
      </c>
    </row>
    <row r="193" customFormat="false" ht="15" hidden="false" customHeight="false" outlineLevel="0" collapsed="false">
      <c r="A193" s="22" t="s">
        <v>11782</v>
      </c>
      <c r="B193" s="22" t="s">
        <v>2636</v>
      </c>
      <c r="C193" s="22" t="s">
        <v>7154</v>
      </c>
      <c r="D193" s="22" t="s">
        <v>198</v>
      </c>
      <c r="E193" s="22" t="s">
        <v>8601</v>
      </c>
      <c r="F193" s="25" t="n">
        <v>457.6</v>
      </c>
      <c r="G193" s="25" t="n">
        <v>457.6</v>
      </c>
      <c r="H193" s="25" t="n">
        <v>0</v>
      </c>
      <c r="I193" s="25" t="n">
        <v>0</v>
      </c>
      <c r="J193" s="25" t="n">
        <v>0</v>
      </c>
      <c r="K193" s="25" t="n">
        <v>915.2</v>
      </c>
      <c r="L193" s="25" t="n">
        <f aca="false">SUM(F193:J193)</f>
        <v>915.2</v>
      </c>
      <c r="M193" s="25" t="n">
        <f aca="false">K193-L193</f>
        <v>0</v>
      </c>
      <c r="N193" s="22" t="str">
        <f aca="false">RIGHT(A193,LEN(A193)-3)</f>
        <v>LP-0911</v>
      </c>
      <c r="O193" s="22" t="str">
        <f aca="false">IF(C193=N193,"Y","N")</f>
        <v>Y</v>
      </c>
      <c r="P193" s="22" t="str">
        <f aca="false">IFERROR(VLOOKUP(N193,'Slip Inventory'!$A$2:$R$1181,10,FALSE()),"NOT FOUND")</f>
        <v>OCCUPIED</v>
      </c>
      <c r="Q193" s="22" t="str">
        <f aca="false">IF(P193="OCCUPIED","Y","N")</f>
        <v>Y</v>
      </c>
      <c r="R193" s="25" t="n">
        <f aca="false">SUM(I193:J193)</f>
        <v>0</v>
      </c>
      <c r="S193" s="22" t="str">
        <f aca="false">IF(AND(R193&gt;0,Q193="Y"),"YES","NO")</f>
        <v>NO</v>
      </c>
      <c r="T193" s="22" t="s">
        <v>12977</v>
      </c>
      <c r="U193" s="23" t="n">
        <v>46220</v>
      </c>
      <c r="V193" s="23" t="n">
        <v>46211</v>
      </c>
      <c r="W193" s="22"/>
      <c r="X193" s="22" t="str">
        <f aca="false">IF(ABS(M193)&gt;0.005,"Reported total_due does not equal buckets",IF(O193&lt;&gt;"Y","Account/slip ID mismatch",IF(P193&lt;&gt;"OCCUPIED","Slip not occupied","OK")))</f>
        <v>OK</v>
      </c>
      <c r="Y193" s="22" t="str">
        <f aca="false">IF(ABS(M193)&gt;0.005,"Priority 3","")</f>
        <v/>
      </c>
    </row>
    <row r="194" customFormat="false" ht="15" hidden="false" customHeight="false" outlineLevel="0" collapsed="false">
      <c r="A194" s="22" t="s">
        <v>11784</v>
      </c>
      <c r="B194" s="22" t="s">
        <v>4661</v>
      </c>
      <c r="C194" s="22" t="s">
        <v>7156</v>
      </c>
      <c r="D194" s="22" t="s">
        <v>198</v>
      </c>
      <c r="E194" s="22" t="s">
        <v>8601</v>
      </c>
      <c r="F194" s="25" t="n">
        <v>343.2</v>
      </c>
      <c r="G194" s="25" t="n">
        <v>0</v>
      </c>
      <c r="H194" s="25" t="n">
        <v>0</v>
      </c>
      <c r="I194" s="25" t="n">
        <v>0</v>
      </c>
      <c r="J194" s="25" t="n">
        <v>0</v>
      </c>
      <c r="K194" s="25" t="n">
        <v>343.2</v>
      </c>
      <c r="L194" s="25" t="n">
        <f aca="false">SUM(F194:J194)</f>
        <v>343.2</v>
      </c>
      <c r="M194" s="25" t="n">
        <f aca="false">K194-L194</f>
        <v>0</v>
      </c>
      <c r="N194" s="22" t="str">
        <f aca="false">RIGHT(A194,LEN(A194)-3)</f>
        <v>LP-0912</v>
      </c>
      <c r="O194" s="22" t="str">
        <f aca="false">IF(C194=N194,"Y","N")</f>
        <v>Y</v>
      </c>
      <c r="P194" s="22" t="str">
        <f aca="false">IFERROR(VLOOKUP(N194,'Slip Inventory'!$A$2:$R$1181,10,FALSE()),"NOT FOUND")</f>
        <v>OCCUPIED</v>
      </c>
      <c r="Q194" s="22" t="str">
        <f aca="false">IF(P194="OCCUPIED","Y","N")</f>
        <v>Y</v>
      </c>
      <c r="R194" s="25" t="n">
        <f aca="false">SUM(I194:J194)</f>
        <v>0</v>
      </c>
      <c r="S194" s="22" t="str">
        <f aca="false">IF(AND(R194&gt;0,Q194="Y"),"YES","NO")</f>
        <v>NO</v>
      </c>
      <c r="T194" s="22" t="s">
        <v>12975</v>
      </c>
      <c r="U194" s="23" t="n">
        <v>46194</v>
      </c>
      <c r="V194" s="23" t="n">
        <v>46215</v>
      </c>
      <c r="W194" s="22"/>
      <c r="X194" s="22" t="str">
        <f aca="false">IF(ABS(M194)&gt;0.005,"Reported total_due does not equal buckets",IF(O194&lt;&gt;"Y","Account/slip ID mismatch",IF(P194&lt;&gt;"OCCUPIED","Slip not occupied","OK")))</f>
        <v>OK</v>
      </c>
      <c r="Y194" s="22" t="str">
        <f aca="false">IF(ABS(M194)&gt;0.005,"Priority 3","")</f>
        <v/>
      </c>
    </row>
    <row r="195" customFormat="false" ht="15" hidden="false" customHeight="false" outlineLevel="0" collapsed="false">
      <c r="A195" s="22" t="s">
        <v>11786</v>
      </c>
      <c r="B195" s="22" t="s">
        <v>3304</v>
      </c>
      <c r="C195" s="22" t="s">
        <v>7158</v>
      </c>
      <c r="D195" s="22" t="s">
        <v>198</v>
      </c>
      <c r="E195" s="22" t="s">
        <v>8601</v>
      </c>
      <c r="F195" s="25" t="n">
        <v>457.6</v>
      </c>
      <c r="G195" s="25" t="n">
        <v>457.6</v>
      </c>
      <c r="H195" s="25" t="n">
        <v>0</v>
      </c>
      <c r="I195" s="25" t="n">
        <v>0</v>
      </c>
      <c r="J195" s="25" t="n">
        <v>0</v>
      </c>
      <c r="K195" s="25" t="n">
        <v>915.2</v>
      </c>
      <c r="L195" s="25" t="n">
        <f aca="false">SUM(F195:J195)</f>
        <v>915.2</v>
      </c>
      <c r="M195" s="25" t="n">
        <f aca="false">K195-L195</f>
        <v>0</v>
      </c>
      <c r="N195" s="22" t="str">
        <f aca="false">RIGHT(A195,LEN(A195)-3)</f>
        <v>LP-0913</v>
      </c>
      <c r="O195" s="22" t="str">
        <f aca="false">IF(C195=N195,"Y","N")</f>
        <v>Y</v>
      </c>
      <c r="P195" s="22" t="str">
        <f aca="false">IFERROR(VLOOKUP(N195,'Slip Inventory'!$A$2:$R$1181,10,FALSE()),"NOT FOUND")</f>
        <v>OCCUPIED</v>
      </c>
      <c r="Q195" s="22" t="str">
        <f aca="false">IF(P195="OCCUPIED","Y","N")</f>
        <v>Y</v>
      </c>
      <c r="R195" s="25" t="n">
        <f aca="false">SUM(I195:J195)</f>
        <v>0</v>
      </c>
      <c r="S195" s="22" t="str">
        <f aca="false">IF(AND(R195&gt;0,Q195="Y"),"YES","NO")</f>
        <v>NO</v>
      </c>
      <c r="T195" s="22" t="s">
        <v>12977</v>
      </c>
      <c r="U195" s="23" t="n">
        <v>46208</v>
      </c>
      <c r="V195" s="23" t="n">
        <v>46220</v>
      </c>
      <c r="W195" s="22"/>
      <c r="X195" s="22" t="str">
        <f aca="false">IF(ABS(M195)&gt;0.005,"Reported total_due does not equal buckets",IF(O195&lt;&gt;"Y","Account/slip ID mismatch",IF(P195&lt;&gt;"OCCUPIED","Slip not occupied","OK")))</f>
        <v>OK</v>
      </c>
      <c r="Y195" s="22" t="str">
        <f aca="false">IF(ABS(M195)&gt;0.005,"Priority 3","")</f>
        <v/>
      </c>
    </row>
    <row r="196" customFormat="false" ht="15" hidden="false" customHeight="false" outlineLevel="0" collapsed="false">
      <c r="A196" s="22" t="s">
        <v>11788</v>
      </c>
      <c r="B196" s="22" t="s">
        <v>1965</v>
      </c>
      <c r="C196" s="22" t="s">
        <v>7161</v>
      </c>
      <c r="D196" s="22" t="s">
        <v>198</v>
      </c>
      <c r="E196" s="22" t="s">
        <v>8601</v>
      </c>
      <c r="F196" s="25" t="n">
        <v>416</v>
      </c>
      <c r="G196" s="25" t="n">
        <v>0</v>
      </c>
      <c r="H196" s="25" t="n">
        <v>0</v>
      </c>
      <c r="I196" s="25" t="n">
        <v>0</v>
      </c>
      <c r="J196" s="25" t="n">
        <v>0</v>
      </c>
      <c r="K196" s="25" t="n">
        <v>416</v>
      </c>
      <c r="L196" s="25" t="n">
        <f aca="false">SUM(F196:J196)</f>
        <v>416</v>
      </c>
      <c r="M196" s="25" t="n">
        <f aca="false">K196-L196</f>
        <v>0</v>
      </c>
      <c r="N196" s="22" t="str">
        <f aca="false">RIGHT(A196,LEN(A196)-3)</f>
        <v>LP-0914</v>
      </c>
      <c r="O196" s="22" t="str">
        <f aca="false">IF(C196=N196,"Y","N")</f>
        <v>Y</v>
      </c>
      <c r="P196" s="22" t="str">
        <f aca="false">IFERROR(VLOOKUP(N196,'Slip Inventory'!$A$2:$R$1181,10,FALSE()),"NOT FOUND")</f>
        <v>OCCUPIED</v>
      </c>
      <c r="Q196" s="22" t="str">
        <f aca="false">IF(P196="OCCUPIED","Y","N")</f>
        <v>Y</v>
      </c>
      <c r="R196" s="25" t="n">
        <f aca="false">SUM(I196:J196)</f>
        <v>0</v>
      </c>
      <c r="S196" s="22" t="str">
        <f aca="false">IF(AND(R196&gt;0,Q196="Y"),"YES","NO")</f>
        <v>NO</v>
      </c>
      <c r="T196" s="22" t="s">
        <v>12975</v>
      </c>
      <c r="U196" s="23" t="n">
        <v>46156</v>
      </c>
      <c r="V196" s="23" t="n">
        <v>46222</v>
      </c>
      <c r="W196" s="22"/>
      <c r="X196" s="22" t="str">
        <f aca="false">IF(ABS(M196)&gt;0.005,"Reported total_due does not equal buckets",IF(O196&lt;&gt;"Y","Account/slip ID mismatch",IF(P196&lt;&gt;"OCCUPIED","Slip not occupied","OK")))</f>
        <v>OK</v>
      </c>
      <c r="Y196" s="22" t="str">
        <f aca="false">IF(ABS(M196)&gt;0.005,"Priority 3","")</f>
        <v/>
      </c>
    </row>
    <row r="197" customFormat="false" ht="15" hidden="false" customHeight="false" outlineLevel="0" collapsed="false">
      <c r="A197" s="22" t="s">
        <v>11790</v>
      </c>
      <c r="B197" s="22" t="s">
        <v>1298</v>
      </c>
      <c r="C197" s="22" t="s">
        <v>7163</v>
      </c>
      <c r="D197" s="22" t="s">
        <v>198</v>
      </c>
      <c r="E197" s="22" t="s">
        <v>8601</v>
      </c>
      <c r="F197" s="25" t="n">
        <v>374.4</v>
      </c>
      <c r="G197" s="25" t="n">
        <v>0</v>
      </c>
      <c r="H197" s="25" t="n">
        <v>0</v>
      </c>
      <c r="I197" s="25" t="n">
        <v>0</v>
      </c>
      <c r="J197" s="25" t="n">
        <v>0</v>
      </c>
      <c r="K197" s="25" t="n">
        <v>374.4</v>
      </c>
      <c r="L197" s="25" t="n">
        <f aca="false">SUM(F197:J197)</f>
        <v>374.4</v>
      </c>
      <c r="M197" s="25" t="n">
        <f aca="false">K197-L197</f>
        <v>0</v>
      </c>
      <c r="N197" s="22" t="str">
        <f aca="false">RIGHT(A197,LEN(A197)-3)</f>
        <v>LP-0915</v>
      </c>
      <c r="O197" s="22" t="str">
        <f aca="false">IF(C197=N197,"Y","N")</f>
        <v>Y</v>
      </c>
      <c r="P197" s="22" t="str">
        <f aca="false">IFERROR(VLOOKUP(N197,'Slip Inventory'!$A$2:$R$1181,10,FALSE()),"NOT FOUND")</f>
        <v>OCCUPIED</v>
      </c>
      <c r="Q197" s="22" t="str">
        <f aca="false">IF(P197="OCCUPIED","Y","N")</f>
        <v>Y</v>
      </c>
      <c r="R197" s="25" t="n">
        <f aca="false">SUM(I197:J197)</f>
        <v>0</v>
      </c>
      <c r="S197" s="22" t="str">
        <f aca="false">IF(AND(R197&gt;0,Q197="Y"),"YES","NO")</f>
        <v>NO</v>
      </c>
      <c r="T197" s="22" t="s">
        <v>12975</v>
      </c>
      <c r="U197" s="23" t="n">
        <v>46185</v>
      </c>
      <c r="V197" s="23" t="n">
        <v>46181</v>
      </c>
      <c r="W197" s="22"/>
      <c r="X197" s="22" t="str">
        <f aca="false">IF(ABS(M197)&gt;0.005,"Reported total_due does not equal buckets",IF(O197&lt;&gt;"Y","Account/slip ID mismatch",IF(P197&lt;&gt;"OCCUPIED","Slip not occupied","OK")))</f>
        <v>OK</v>
      </c>
      <c r="Y197" s="22" t="str">
        <f aca="false">IF(ABS(M197)&gt;0.005,"Priority 3","")</f>
        <v/>
      </c>
    </row>
    <row r="198" customFormat="false" ht="15" hidden="false" customHeight="false" outlineLevel="0" collapsed="false">
      <c r="A198" s="22" t="s">
        <v>11792</v>
      </c>
      <c r="B198" s="22" t="s">
        <v>1241</v>
      </c>
      <c r="C198" s="22" t="s">
        <v>7167</v>
      </c>
      <c r="D198" s="22" t="s">
        <v>198</v>
      </c>
      <c r="E198" s="22" t="s">
        <v>8601</v>
      </c>
      <c r="F198" s="25" t="n">
        <v>374.4</v>
      </c>
      <c r="G198" s="25" t="n">
        <v>374.4</v>
      </c>
      <c r="H198" s="25" t="n">
        <v>0</v>
      </c>
      <c r="I198" s="25" t="n">
        <v>0</v>
      </c>
      <c r="J198" s="25" t="n">
        <v>0</v>
      </c>
      <c r="K198" s="25" t="n">
        <v>748.8</v>
      </c>
      <c r="L198" s="25" t="n">
        <f aca="false">SUM(F198:J198)</f>
        <v>748.8</v>
      </c>
      <c r="M198" s="25" t="n">
        <f aca="false">K198-L198</f>
        <v>0</v>
      </c>
      <c r="N198" s="22" t="str">
        <f aca="false">RIGHT(A198,LEN(A198)-3)</f>
        <v>LP-0917</v>
      </c>
      <c r="O198" s="22" t="str">
        <f aca="false">IF(C198=N198,"Y","N")</f>
        <v>Y</v>
      </c>
      <c r="P198" s="22" t="str">
        <f aca="false">IFERROR(VLOOKUP(N198,'Slip Inventory'!$A$2:$R$1181,10,FALSE()),"NOT FOUND")</f>
        <v>OCCUPIED</v>
      </c>
      <c r="Q198" s="22" t="str">
        <f aca="false">IF(P198="OCCUPIED","Y","N")</f>
        <v>Y</v>
      </c>
      <c r="R198" s="25" t="n">
        <f aca="false">SUM(I198:J198)</f>
        <v>0</v>
      </c>
      <c r="S198" s="22" t="str">
        <f aca="false">IF(AND(R198&gt;0,Q198="Y"),"YES","NO")</f>
        <v>NO</v>
      </c>
      <c r="T198" s="22" t="s">
        <v>12977</v>
      </c>
      <c r="U198" s="23" t="n">
        <v>46205</v>
      </c>
      <c r="V198" s="23" t="n">
        <v>46176</v>
      </c>
      <c r="W198" s="22"/>
      <c r="X198" s="22" t="str">
        <f aca="false">IF(ABS(M198)&gt;0.005,"Reported total_due does not equal buckets",IF(O198&lt;&gt;"Y","Account/slip ID mismatch",IF(P198&lt;&gt;"OCCUPIED","Slip not occupied","OK")))</f>
        <v>OK</v>
      </c>
      <c r="Y198" s="22" t="str">
        <f aca="false">IF(ABS(M198)&gt;0.005,"Priority 3","")</f>
        <v/>
      </c>
    </row>
    <row r="199" customFormat="false" ht="15" hidden="false" customHeight="false" outlineLevel="0" collapsed="false">
      <c r="A199" s="22" t="s">
        <v>11794</v>
      </c>
      <c r="B199" s="22" t="s">
        <v>4065</v>
      </c>
      <c r="C199" s="22" t="s">
        <v>7170</v>
      </c>
      <c r="D199" s="22" t="s">
        <v>198</v>
      </c>
      <c r="E199" s="22" t="s">
        <v>8601</v>
      </c>
      <c r="F199" s="25" t="n">
        <v>613.6</v>
      </c>
      <c r="G199" s="25" t="n">
        <v>0</v>
      </c>
      <c r="H199" s="25" t="n">
        <v>0</v>
      </c>
      <c r="I199" s="25" t="n">
        <v>0</v>
      </c>
      <c r="J199" s="25" t="n">
        <v>0</v>
      </c>
      <c r="K199" s="25" t="n">
        <v>613.6</v>
      </c>
      <c r="L199" s="25" t="n">
        <f aca="false">SUM(F199:J199)</f>
        <v>613.6</v>
      </c>
      <c r="M199" s="25" t="n">
        <f aca="false">K199-L199</f>
        <v>0</v>
      </c>
      <c r="N199" s="22" t="str">
        <f aca="false">RIGHT(A199,LEN(A199)-3)</f>
        <v>LP-0918</v>
      </c>
      <c r="O199" s="22" t="str">
        <f aca="false">IF(C199=N199,"Y","N")</f>
        <v>Y</v>
      </c>
      <c r="P199" s="22" t="str">
        <f aca="false">IFERROR(VLOOKUP(N199,'Slip Inventory'!$A$2:$R$1181,10,FALSE()),"NOT FOUND")</f>
        <v>OCCUPIED</v>
      </c>
      <c r="Q199" s="22" t="str">
        <f aca="false">IF(P199="OCCUPIED","Y","N")</f>
        <v>Y</v>
      </c>
      <c r="R199" s="25" t="n">
        <f aca="false">SUM(I199:J199)</f>
        <v>0</v>
      </c>
      <c r="S199" s="22" t="str">
        <f aca="false">IF(AND(R199&gt;0,Q199="Y"),"YES","NO")</f>
        <v>NO</v>
      </c>
      <c r="T199" s="22" t="s">
        <v>12975</v>
      </c>
      <c r="U199" s="23" t="n">
        <v>46203</v>
      </c>
      <c r="V199" s="23" t="n">
        <v>46176</v>
      </c>
      <c r="W199" s="22"/>
      <c r="X199" s="22" t="str">
        <f aca="false">IF(ABS(M199)&gt;0.005,"Reported total_due does not equal buckets",IF(O199&lt;&gt;"Y","Account/slip ID mismatch",IF(P199&lt;&gt;"OCCUPIED","Slip not occupied","OK")))</f>
        <v>OK</v>
      </c>
      <c r="Y199" s="22" t="str">
        <f aca="false">IF(ABS(M199)&gt;0.005,"Priority 3","")</f>
        <v/>
      </c>
    </row>
    <row r="200" customFormat="false" ht="15" hidden="false" customHeight="false" outlineLevel="0" collapsed="false">
      <c r="A200" s="22" t="s">
        <v>11796</v>
      </c>
      <c r="B200" s="22" t="s">
        <v>4722</v>
      </c>
      <c r="C200" s="22" t="s">
        <v>7172</v>
      </c>
      <c r="D200" s="22" t="s">
        <v>198</v>
      </c>
      <c r="E200" s="22" t="s">
        <v>8601</v>
      </c>
      <c r="F200" s="25" t="n">
        <v>332.8</v>
      </c>
      <c r="G200" s="25" t="n">
        <v>0</v>
      </c>
      <c r="H200" s="25" t="n">
        <v>0</v>
      </c>
      <c r="I200" s="25" t="n">
        <v>0</v>
      </c>
      <c r="J200" s="25" t="n">
        <v>0</v>
      </c>
      <c r="K200" s="25" t="n">
        <v>332.8</v>
      </c>
      <c r="L200" s="25" t="n">
        <f aca="false">SUM(F200:J200)</f>
        <v>332.8</v>
      </c>
      <c r="M200" s="25" t="n">
        <f aca="false">K200-L200</f>
        <v>0</v>
      </c>
      <c r="N200" s="22" t="str">
        <f aca="false">RIGHT(A200,LEN(A200)-3)</f>
        <v>LP-0919</v>
      </c>
      <c r="O200" s="22" t="str">
        <f aca="false">IF(C200=N200,"Y","N")</f>
        <v>Y</v>
      </c>
      <c r="P200" s="22" t="str">
        <f aca="false">IFERROR(VLOOKUP(N200,'Slip Inventory'!$A$2:$R$1181,10,FALSE()),"NOT FOUND")</f>
        <v>OCCUPIED</v>
      </c>
      <c r="Q200" s="22" t="str">
        <f aca="false">IF(P200="OCCUPIED","Y","N")</f>
        <v>Y</v>
      </c>
      <c r="R200" s="25" t="n">
        <f aca="false">SUM(I200:J200)</f>
        <v>0</v>
      </c>
      <c r="S200" s="22" t="str">
        <f aca="false">IF(AND(R200&gt;0,Q200="Y"),"YES","NO")</f>
        <v>NO</v>
      </c>
      <c r="T200" s="22" t="s">
        <v>12975</v>
      </c>
      <c r="U200" s="23" t="n">
        <v>46214</v>
      </c>
      <c r="V200" s="23" t="n">
        <v>46182</v>
      </c>
      <c r="W200" s="22"/>
      <c r="X200" s="22" t="str">
        <f aca="false">IF(ABS(M200)&gt;0.005,"Reported total_due does not equal buckets",IF(O200&lt;&gt;"Y","Account/slip ID mismatch",IF(P200&lt;&gt;"OCCUPIED","Slip not occupied","OK")))</f>
        <v>OK</v>
      </c>
      <c r="Y200" s="22" t="str">
        <f aca="false">IF(ABS(M200)&gt;0.005,"Priority 3","")</f>
        <v/>
      </c>
    </row>
    <row r="201" customFormat="false" ht="15" hidden="false" customHeight="false" outlineLevel="0" collapsed="false">
      <c r="A201" s="22" t="s">
        <v>11798</v>
      </c>
      <c r="B201" s="22" t="s">
        <v>666</v>
      </c>
      <c r="C201" s="22" t="s">
        <v>7175</v>
      </c>
      <c r="D201" s="22" t="s">
        <v>198</v>
      </c>
      <c r="E201" s="22" t="s">
        <v>8601</v>
      </c>
      <c r="F201" s="25" t="n">
        <v>405.6</v>
      </c>
      <c r="G201" s="25" t="n">
        <v>0</v>
      </c>
      <c r="H201" s="25" t="n">
        <v>0</v>
      </c>
      <c r="I201" s="25" t="n">
        <v>0</v>
      </c>
      <c r="J201" s="25" t="n">
        <v>0</v>
      </c>
      <c r="K201" s="25" t="n">
        <v>405.6</v>
      </c>
      <c r="L201" s="25" t="n">
        <f aca="false">SUM(F201:J201)</f>
        <v>405.6</v>
      </c>
      <c r="M201" s="25" t="n">
        <f aca="false">K201-L201</f>
        <v>0</v>
      </c>
      <c r="N201" s="22" t="str">
        <f aca="false">RIGHT(A201,LEN(A201)-3)</f>
        <v>LP-0920</v>
      </c>
      <c r="O201" s="22" t="str">
        <f aca="false">IF(C201=N201,"Y","N")</f>
        <v>Y</v>
      </c>
      <c r="P201" s="22" t="str">
        <f aca="false">IFERROR(VLOOKUP(N201,'Slip Inventory'!$A$2:$R$1181,10,FALSE()),"NOT FOUND")</f>
        <v>OCCUPIED</v>
      </c>
      <c r="Q201" s="22" t="str">
        <f aca="false">IF(P201="OCCUPIED","Y","N")</f>
        <v>Y</v>
      </c>
      <c r="R201" s="25" t="n">
        <f aca="false">SUM(I201:J201)</f>
        <v>0</v>
      </c>
      <c r="S201" s="22" t="str">
        <f aca="false">IF(AND(R201&gt;0,Q201="Y"),"YES","NO")</f>
        <v>NO</v>
      </c>
      <c r="T201" s="22" t="s">
        <v>12975</v>
      </c>
      <c r="U201" s="23" t="n">
        <v>46164</v>
      </c>
      <c r="V201" s="23" t="n">
        <v>46177</v>
      </c>
      <c r="W201" s="22" t="s">
        <v>12976</v>
      </c>
      <c r="X201" s="22" t="str">
        <f aca="false">IF(ABS(M201)&gt;0.005,"Reported total_due does not equal buckets",IF(O201&lt;&gt;"Y","Account/slip ID mismatch",IF(P201&lt;&gt;"OCCUPIED","Slip not occupied","OK")))</f>
        <v>OK</v>
      </c>
      <c r="Y201" s="22" t="str">
        <f aca="false">IF(ABS(M201)&gt;0.005,"Priority 3","")</f>
        <v/>
      </c>
    </row>
    <row r="202" customFormat="false" ht="15" hidden="false" customHeight="false" outlineLevel="0" collapsed="false">
      <c r="A202" s="22" t="s">
        <v>11800</v>
      </c>
      <c r="B202" s="22" t="s">
        <v>3438</v>
      </c>
      <c r="C202" s="22" t="s">
        <v>7178</v>
      </c>
      <c r="D202" s="22" t="s">
        <v>198</v>
      </c>
      <c r="E202" s="22" t="s">
        <v>8601</v>
      </c>
      <c r="F202" s="25" t="n">
        <v>291.2</v>
      </c>
      <c r="G202" s="25" t="n">
        <v>0</v>
      </c>
      <c r="H202" s="25" t="n">
        <v>0</v>
      </c>
      <c r="I202" s="25" t="n">
        <v>0</v>
      </c>
      <c r="J202" s="25" t="n">
        <v>0</v>
      </c>
      <c r="K202" s="25" t="n">
        <v>291.2</v>
      </c>
      <c r="L202" s="25" t="n">
        <f aca="false">SUM(F202:J202)</f>
        <v>291.2</v>
      </c>
      <c r="M202" s="25" t="n">
        <f aca="false">K202-L202</f>
        <v>0</v>
      </c>
      <c r="N202" s="22" t="str">
        <f aca="false">RIGHT(A202,LEN(A202)-3)</f>
        <v>LP-0921</v>
      </c>
      <c r="O202" s="22" t="str">
        <f aca="false">IF(C202=N202,"Y","N")</f>
        <v>Y</v>
      </c>
      <c r="P202" s="22" t="str">
        <f aca="false">IFERROR(VLOOKUP(N202,'Slip Inventory'!$A$2:$R$1181,10,FALSE()),"NOT FOUND")</f>
        <v>OCCUPIED</v>
      </c>
      <c r="Q202" s="22" t="str">
        <f aca="false">IF(P202="OCCUPIED","Y","N")</f>
        <v>Y</v>
      </c>
      <c r="R202" s="25" t="n">
        <f aca="false">SUM(I202:J202)</f>
        <v>0</v>
      </c>
      <c r="S202" s="22" t="str">
        <f aca="false">IF(AND(R202&gt;0,Q202="Y"),"YES","NO")</f>
        <v>NO</v>
      </c>
      <c r="T202" s="22" t="s">
        <v>12975</v>
      </c>
      <c r="U202" s="23" t="n">
        <v>46204</v>
      </c>
      <c r="V202" s="23" t="n">
        <v>46203</v>
      </c>
      <c r="W202" s="22"/>
      <c r="X202" s="22" t="str">
        <f aca="false">IF(ABS(M202)&gt;0.005,"Reported total_due does not equal buckets",IF(O202&lt;&gt;"Y","Account/slip ID mismatch",IF(P202&lt;&gt;"OCCUPIED","Slip not occupied","OK")))</f>
        <v>OK</v>
      </c>
      <c r="Y202" s="22" t="str">
        <f aca="false">IF(ABS(M202)&gt;0.005,"Priority 3","")</f>
        <v/>
      </c>
    </row>
    <row r="203" customFormat="false" ht="15" hidden="false" customHeight="false" outlineLevel="0" collapsed="false">
      <c r="A203" s="22" t="s">
        <v>11802</v>
      </c>
      <c r="B203" s="22" t="s">
        <v>5261</v>
      </c>
      <c r="C203" s="22" t="s">
        <v>7180</v>
      </c>
      <c r="D203" s="22" t="s">
        <v>198</v>
      </c>
      <c r="E203" s="22" t="s">
        <v>8601</v>
      </c>
      <c r="F203" s="25" t="n">
        <v>603.2</v>
      </c>
      <c r="G203" s="25" t="n">
        <v>0</v>
      </c>
      <c r="H203" s="25" t="n">
        <v>0</v>
      </c>
      <c r="I203" s="25" t="n">
        <v>0</v>
      </c>
      <c r="J203" s="25" t="n">
        <v>0</v>
      </c>
      <c r="K203" s="25" t="n">
        <v>603.2</v>
      </c>
      <c r="L203" s="25" t="n">
        <f aca="false">SUM(F203:J203)</f>
        <v>603.2</v>
      </c>
      <c r="M203" s="25" t="n">
        <f aca="false">K203-L203</f>
        <v>0</v>
      </c>
      <c r="N203" s="22" t="str">
        <f aca="false">RIGHT(A203,LEN(A203)-3)</f>
        <v>LP-0922</v>
      </c>
      <c r="O203" s="22" t="str">
        <f aca="false">IF(C203=N203,"Y","N")</f>
        <v>Y</v>
      </c>
      <c r="P203" s="22" t="str">
        <f aca="false">IFERROR(VLOOKUP(N203,'Slip Inventory'!$A$2:$R$1181,10,FALSE()),"NOT FOUND")</f>
        <v>OCCUPIED</v>
      </c>
      <c r="Q203" s="22" t="str">
        <f aca="false">IF(P203="OCCUPIED","Y","N")</f>
        <v>Y</v>
      </c>
      <c r="R203" s="25" t="n">
        <f aca="false">SUM(I203:J203)</f>
        <v>0</v>
      </c>
      <c r="S203" s="22" t="str">
        <f aca="false">IF(AND(R203&gt;0,Q203="Y"),"YES","NO")</f>
        <v>NO</v>
      </c>
      <c r="T203" s="22" t="s">
        <v>12975</v>
      </c>
      <c r="U203" s="23" t="n">
        <v>46188</v>
      </c>
      <c r="V203" s="23" t="n">
        <v>46195</v>
      </c>
      <c r="W203" s="22"/>
      <c r="X203" s="22" t="str">
        <f aca="false">IF(ABS(M203)&gt;0.005,"Reported total_due does not equal buckets",IF(O203&lt;&gt;"Y","Account/slip ID mismatch",IF(P203&lt;&gt;"OCCUPIED","Slip not occupied","OK")))</f>
        <v>OK</v>
      </c>
      <c r="Y203" s="22" t="str">
        <f aca="false">IF(ABS(M203)&gt;0.005,"Priority 3","")</f>
        <v/>
      </c>
    </row>
    <row r="204" customFormat="false" ht="15" hidden="false" customHeight="false" outlineLevel="0" collapsed="false">
      <c r="A204" s="22" t="s">
        <v>11804</v>
      </c>
      <c r="B204" s="22" t="s">
        <v>4061</v>
      </c>
      <c r="C204" s="22" t="s">
        <v>7182</v>
      </c>
      <c r="D204" s="22" t="s">
        <v>198</v>
      </c>
      <c r="E204" s="22" t="s">
        <v>8601</v>
      </c>
      <c r="F204" s="25" t="n">
        <v>249.6</v>
      </c>
      <c r="G204" s="25" t="n">
        <v>0</v>
      </c>
      <c r="H204" s="25" t="n">
        <v>0</v>
      </c>
      <c r="I204" s="25" t="n">
        <v>0</v>
      </c>
      <c r="J204" s="25" t="n">
        <v>0</v>
      </c>
      <c r="K204" s="25" t="n">
        <v>249.6</v>
      </c>
      <c r="L204" s="25" t="n">
        <f aca="false">SUM(F204:J204)</f>
        <v>249.6</v>
      </c>
      <c r="M204" s="25" t="n">
        <f aca="false">K204-L204</f>
        <v>0</v>
      </c>
      <c r="N204" s="22" t="str">
        <f aca="false">RIGHT(A204,LEN(A204)-3)</f>
        <v>LP-0923</v>
      </c>
      <c r="O204" s="22" t="str">
        <f aca="false">IF(C204=N204,"Y","N")</f>
        <v>Y</v>
      </c>
      <c r="P204" s="22" t="str">
        <f aca="false">IFERROR(VLOOKUP(N204,'Slip Inventory'!$A$2:$R$1181,10,FALSE()),"NOT FOUND")</f>
        <v>OCCUPIED</v>
      </c>
      <c r="Q204" s="22" t="str">
        <f aca="false">IF(P204="OCCUPIED","Y","N")</f>
        <v>Y</v>
      </c>
      <c r="R204" s="25" t="n">
        <f aca="false">SUM(I204:J204)</f>
        <v>0</v>
      </c>
      <c r="S204" s="22" t="str">
        <f aca="false">IF(AND(R204&gt;0,Q204="Y"),"YES","NO")</f>
        <v>NO</v>
      </c>
      <c r="T204" s="22" t="s">
        <v>12975</v>
      </c>
      <c r="U204" s="23" t="n">
        <v>46184</v>
      </c>
      <c r="V204" s="23" t="n">
        <v>46229</v>
      </c>
      <c r="W204" s="22"/>
      <c r="X204" s="22" t="str">
        <f aca="false">IF(ABS(M204)&gt;0.005,"Reported total_due does not equal buckets",IF(O204&lt;&gt;"Y","Account/slip ID mismatch",IF(P204&lt;&gt;"OCCUPIED","Slip not occupied","OK")))</f>
        <v>OK</v>
      </c>
      <c r="Y204" s="22" t="str">
        <f aca="false">IF(ABS(M204)&gt;0.005,"Priority 3","")</f>
        <v/>
      </c>
    </row>
    <row r="205" customFormat="false" ht="15" hidden="false" customHeight="false" outlineLevel="0" collapsed="false">
      <c r="A205" s="22" t="s">
        <v>11806</v>
      </c>
      <c r="B205" s="22" t="s">
        <v>1033</v>
      </c>
      <c r="C205" s="22" t="s">
        <v>7185</v>
      </c>
      <c r="D205" s="22" t="s">
        <v>198</v>
      </c>
      <c r="E205" s="22" t="s">
        <v>8601</v>
      </c>
      <c r="F205" s="25" t="n">
        <v>624</v>
      </c>
      <c r="G205" s="25" t="n">
        <v>0</v>
      </c>
      <c r="H205" s="25" t="n">
        <v>0</v>
      </c>
      <c r="I205" s="25" t="n">
        <v>0</v>
      </c>
      <c r="J205" s="25" t="n">
        <v>0</v>
      </c>
      <c r="K205" s="25" t="n">
        <v>624</v>
      </c>
      <c r="L205" s="25" t="n">
        <f aca="false">SUM(F205:J205)</f>
        <v>624</v>
      </c>
      <c r="M205" s="25" t="n">
        <f aca="false">K205-L205</f>
        <v>0</v>
      </c>
      <c r="N205" s="22" t="str">
        <f aca="false">RIGHT(A205,LEN(A205)-3)</f>
        <v>LP-0924</v>
      </c>
      <c r="O205" s="22" t="str">
        <f aca="false">IF(C205=N205,"Y","N")</f>
        <v>Y</v>
      </c>
      <c r="P205" s="22" t="str">
        <f aca="false">IFERROR(VLOOKUP(N205,'Slip Inventory'!$A$2:$R$1181,10,FALSE()),"NOT FOUND")</f>
        <v>OCCUPIED</v>
      </c>
      <c r="Q205" s="22" t="str">
        <f aca="false">IF(P205="OCCUPIED","Y","N")</f>
        <v>Y</v>
      </c>
      <c r="R205" s="25" t="n">
        <f aca="false">SUM(I205:J205)</f>
        <v>0</v>
      </c>
      <c r="S205" s="22" t="str">
        <f aca="false">IF(AND(R205&gt;0,Q205="Y"),"YES","NO")</f>
        <v>NO</v>
      </c>
      <c r="T205" s="22" t="s">
        <v>12975</v>
      </c>
      <c r="U205" s="23" t="n">
        <v>46227</v>
      </c>
      <c r="V205" s="23" t="n">
        <v>46185</v>
      </c>
      <c r="W205" s="22"/>
      <c r="X205" s="22" t="str">
        <f aca="false">IF(ABS(M205)&gt;0.005,"Reported total_due does not equal buckets",IF(O205&lt;&gt;"Y","Account/slip ID mismatch",IF(P205&lt;&gt;"OCCUPIED","Slip not occupied","OK")))</f>
        <v>OK</v>
      </c>
      <c r="Y205" s="22" t="str">
        <f aca="false">IF(ABS(M205)&gt;0.005,"Priority 3","")</f>
        <v/>
      </c>
    </row>
    <row r="206" customFormat="false" ht="15" hidden="false" customHeight="false" outlineLevel="0" collapsed="false">
      <c r="A206" s="22" t="s">
        <v>11808</v>
      </c>
      <c r="B206" s="22" t="s">
        <v>5108</v>
      </c>
      <c r="C206" s="22" t="s">
        <v>7187</v>
      </c>
      <c r="D206" s="22" t="s">
        <v>198</v>
      </c>
      <c r="E206" s="22" t="s">
        <v>8601</v>
      </c>
      <c r="F206" s="25" t="n">
        <v>572</v>
      </c>
      <c r="G206" s="25" t="n">
        <v>0</v>
      </c>
      <c r="H206" s="25" t="n">
        <v>0</v>
      </c>
      <c r="I206" s="25" t="n">
        <v>0</v>
      </c>
      <c r="J206" s="25" t="n">
        <v>0</v>
      </c>
      <c r="K206" s="25" t="n">
        <v>572</v>
      </c>
      <c r="L206" s="25" t="n">
        <f aca="false">SUM(F206:J206)</f>
        <v>572</v>
      </c>
      <c r="M206" s="25" t="n">
        <f aca="false">K206-L206</f>
        <v>0</v>
      </c>
      <c r="N206" s="22" t="str">
        <f aca="false">RIGHT(A206,LEN(A206)-3)</f>
        <v>LP-1001</v>
      </c>
      <c r="O206" s="22" t="str">
        <f aca="false">IF(C206=N206,"Y","N")</f>
        <v>Y</v>
      </c>
      <c r="P206" s="22" t="str">
        <f aca="false">IFERROR(VLOOKUP(N206,'Slip Inventory'!$A$2:$R$1181,10,FALSE()),"NOT FOUND")</f>
        <v>OCCUPIED</v>
      </c>
      <c r="Q206" s="22" t="str">
        <f aca="false">IF(P206="OCCUPIED","Y","N")</f>
        <v>Y</v>
      </c>
      <c r="R206" s="25" t="n">
        <f aca="false">SUM(I206:J206)</f>
        <v>0</v>
      </c>
      <c r="S206" s="22" t="str">
        <f aca="false">IF(AND(R206&gt;0,Q206="Y"),"YES","NO")</f>
        <v>NO</v>
      </c>
      <c r="T206" s="22" t="s">
        <v>12975</v>
      </c>
      <c r="U206" s="23" t="n">
        <v>46185</v>
      </c>
      <c r="V206" s="23" t="n">
        <v>46186</v>
      </c>
      <c r="W206" s="22"/>
      <c r="X206" s="22" t="str">
        <f aca="false">IF(ABS(M206)&gt;0.005,"Reported total_due does not equal buckets",IF(O206&lt;&gt;"Y","Account/slip ID mismatch",IF(P206&lt;&gt;"OCCUPIED","Slip not occupied","OK")))</f>
        <v>OK</v>
      </c>
      <c r="Y206" s="22" t="str">
        <f aca="false">IF(ABS(M206)&gt;0.005,"Priority 3","")</f>
        <v/>
      </c>
    </row>
    <row r="207" customFormat="false" ht="15" hidden="false" customHeight="false" outlineLevel="0" collapsed="false">
      <c r="A207" s="22" t="s">
        <v>11810</v>
      </c>
      <c r="B207" s="22" t="s">
        <v>5525</v>
      </c>
      <c r="C207" s="22" t="s">
        <v>7191</v>
      </c>
      <c r="D207" s="22" t="s">
        <v>198</v>
      </c>
      <c r="E207" s="22" t="s">
        <v>8601</v>
      </c>
      <c r="F207" s="25" t="n">
        <v>644.8</v>
      </c>
      <c r="G207" s="25" t="n">
        <v>0</v>
      </c>
      <c r="H207" s="25" t="n">
        <v>0</v>
      </c>
      <c r="I207" s="25" t="n">
        <v>0</v>
      </c>
      <c r="J207" s="25" t="n">
        <v>0</v>
      </c>
      <c r="K207" s="25" t="n">
        <v>644.8</v>
      </c>
      <c r="L207" s="25" t="n">
        <f aca="false">SUM(F207:J207)</f>
        <v>644.8</v>
      </c>
      <c r="M207" s="25" t="n">
        <f aca="false">K207-L207</f>
        <v>0</v>
      </c>
      <c r="N207" s="22" t="str">
        <f aca="false">RIGHT(A207,LEN(A207)-3)</f>
        <v>LP-1002</v>
      </c>
      <c r="O207" s="22" t="str">
        <f aca="false">IF(C207=N207,"Y","N")</f>
        <v>Y</v>
      </c>
      <c r="P207" s="22" t="str">
        <f aca="false">IFERROR(VLOOKUP(N207,'Slip Inventory'!$A$2:$R$1181,10,FALSE()),"NOT FOUND")</f>
        <v>OCCUPIED</v>
      </c>
      <c r="Q207" s="22" t="str">
        <f aca="false">IF(P207="OCCUPIED","Y","N")</f>
        <v>Y</v>
      </c>
      <c r="R207" s="25" t="n">
        <f aca="false">SUM(I207:J207)</f>
        <v>0</v>
      </c>
      <c r="S207" s="22" t="str">
        <f aca="false">IF(AND(R207&gt;0,Q207="Y"),"YES","NO")</f>
        <v>NO</v>
      </c>
      <c r="T207" s="22" t="s">
        <v>12975</v>
      </c>
      <c r="U207" s="23" t="n">
        <v>46194</v>
      </c>
      <c r="V207" s="23" t="n">
        <v>46191</v>
      </c>
      <c r="W207" s="22"/>
      <c r="X207" s="22" t="str">
        <f aca="false">IF(ABS(M207)&gt;0.005,"Reported total_due does not equal buckets",IF(O207&lt;&gt;"Y","Account/slip ID mismatch",IF(P207&lt;&gt;"OCCUPIED","Slip not occupied","OK")))</f>
        <v>OK</v>
      </c>
      <c r="Y207" s="22" t="str">
        <f aca="false">IF(ABS(M207)&gt;0.005,"Priority 3","")</f>
        <v/>
      </c>
    </row>
    <row r="208" customFormat="false" ht="15" hidden="false" customHeight="false" outlineLevel="0" collapsed="false">
      <c r="A208" s="22" t="s">
        <v>11812</v>
      </c>
      <c r="B208" s="22" t="s">
        <v>1028</v>
      </c>
      <c r="C208" s="22" t="s">
        <v>7194</v>
      </c>
      <c r="D208" s="22" t="s">
        <v>198</v>
      </c>
      <c r="E208" s="22" t="s">
        <v>8601</v>
      </c>
      <c r="F208" s="25" t="n">
        <v>592.8</v>
      </c>
      <c r="G208" s="25" t="n">
        <v>592.8</v>
      </c>
      <c r="H208" s="25" t="n">
        <v>592.8</v>
      </c>
      <c r="I208" s="25" t="n">
        <v>0</v>
      </c>
      <c r="J208" s="25" t="n">
        <v>0</v>
      </c>
      <c r="K208" s="25" t="n">
        <v>1778.4</v>
      </c>
      <c r="L208" s="25" t="n">
        <f aca="false">SUM(F208:J208)</f>
        <v>1778.4</v>
      </c>
      <c r="M208" s="25" t="n">
        <f aca="false">K208-L208</f>
        <v>0</v>
      </c>
      <c r="N208" s="22" t="str">
        <f aca="false">RIGHT(A208,LEN(A208)-3)</f>
        <v>LP-1003</v>
      </c>
      <c r="O208" s="22" t="str">
        <f aca="false">IF(C208=N208,"Y","N")</f>
        <v>Y</v>
      </c>
      <c r="P208" s="22" t="str">
        <f aca="false">IFERROR(VLOOKUP(N208,'Slip Inventory'!$A$2:$R$1181,10,FALSE()),"NOT FOUND")</f>
        <v>OCCUPIED</v>
      </c>
      <c r="Q208" s="22" t="str">
        <f aca="false">IF(P208="OCCUPIED","Y","N")</f>
        <v>Y</v>
      </c>
      <c r="R208" s="25" t="n">
        <f aca="false">SUM(I208:J208)</f>
        <v>0</v>
      </c>
      <c r="S208" s="22" t="str">
        <f aca="false">IF(AND(R208&gt;0,Q208="Y"),"YES","NO")</f>
        <v>NO</v>
      </c>
      <c r="T208" s="22" t="s">
        <v>12978</v>
      </c>
      <c r="U208" s="23" t="n">
        <v>46195</v>
      </c>
      <c r="V208" s="23" t="n">
        <v>46212</v>
      </c>
      <c r="W208" s="22"/>
      <c r="X208" s="22" t="str">
        <f aca="false">IF(ABS(M208)&gt;0.005,"Reported total_due does not equal buckets",IF(O208&lt;&gt;"Y","Account/slip ID mismatch",IF(P208&lt;&gt;"OCCUPIED","Slip not occupied","OK")))</f>
        <v>OK</v>
      </c>
      <c r="Y208" s="22" t="str">
        <f aca="false">IF(ABS(M208)&gt;0.005,"Priority 3","")</f>
        <v/>
      </c>
    </row>
    <row r="209" customFormat="false" ht="15" hidden="false" customHeight="false" outlineLevel="0" collapsed="false">
      <c r="A209" s="22" t="s">
        <v>11814</v>
      </c>
      <c r="B209" s="22" t="s">
        <v>5575</v>
      </c>
      <c r="C209" s="22" t="s">
        <v>7196</v>
      </c>
      <c r="D209" s="22" t="s">
        <v>198</v>
      </c>
      <c r="E209" s="22" t="s">
        <v>8601</v>
      </c>
      <c r="F209" s="25" t="n">
        <v>353.6</v>
      </c>
      <c r="G209" s="25" t="n">
        <v>0</v>
      </c>
      <c r="H209" s="25" t="n">
        <v>0</v>
      </c>
      <c r="I209" s="25" t="n">
        <v>0</v>
      </c>
      <c r="J209" s="25" t="n">
        <v>0</v>
      </c>
      <c r="K209" s="25" t="n">
        <v>353.6</v>
      </c>
      <c r="L209" s="25" t="n">
        <f aca="false">SUM(F209:J209)</f>
        <v>353.6</v>
      </c>
      <c r="M209" s="25" t="n">
        <f aca="false">K209-L209</f>
        <v>0</v>
      </c>
      <c r="N209" s="22" t="str">
        <f aca="false">RIGHT(A209,LEN(A209)-3)</f>
        <v>LP-1004</v>
      </c>
      <c r="O209" s="22" t="str">
        <f aca="false">IF(C209=N209,"Y","N")</f>
        <v>Y</v>
      </c>
      <c r="P209" s="22" t="str">
        <f aca="false">IFERROR(VLOOKUP(N209,'Slip Inventory'!$A$2:$R$1181,10,FALSE()),"NOT FOUND")</f>
        <v>OCCUPIED</v>
      </c>
      <c r="Q209" s="22" t="str">
        <f aca="false">IF(P209="OCCUPIED","Y","N")</f>
        <v>Y</v>
      </c>
      <c r="R209" s="25" t="n">
        <f aca="false">SUM(I209:J209)</f>
        <v>0</v>
      </c>
      <c r="S209" s="22" t="str">
        <f aca="false">IF(AND(R209&gt;0,Q209="Y"),"YES","NO")</f>
        <v>NO</v>
      </c>
      <c r="T209" s="22" t="s">
        <v>12975</v>
      </c>
      <c r="U209" s="23" t="n">
        <v>46226</v>
      </c>
      <c r="V209" s="23" t="n">
        <v>46195</v>
      </c>
      <c r="W209" s="22"/>
      <c r="X209" s="22" t="str">
        <f aca="false">IF(ABS(M209)&gt;0.005,"Reported total_due does not equal buckets",IF(O209&lt;&gt;"Y","Account/slip ID mismatch",IF(P209&lt;&gt;"OCCUPIED","Slip not occupied","OK")))</f>
        <v>OK</v>
      </c>
      <c r="Y209" s="22" t="str">
        <f aca="false">IF(ABS(M209)&gt;0.005,"Priority 3","")</f>
        <v/>
      </c>
    </row>
    <row r="210" customFormat="false" ht="15" hidden="false" customHeight="false" outlineLevel="0" collapsed="false">
      <c r="A210" s="22" t="s">
        <v>11816</v>
      </c>
      <c r="B210" s="22" t="s">
        <v>6197</v>
      </c>
      <c r="C210" s="22" t="s">
        <v>7198</v>
      </c>
      <c r="D210" s="22" t="s">
        <v>198</v>
      </c>
      <c r="E210" s="22" t="s">
        <v>8601</v>
      </c>
      <c r="F210" s="25" t="n">
        <v>395.2</v>
      </c>
      <c r="G210" s="25" t="n">
        <v>0</v>
      </c>
      <c r="H210" s="25" t="n">
        <v>0</v>
      </c>
      <c r="I210" s="25" t="n">
        <v>0</v>
      </c>
      <c r="J210" s="25" t="n">
        <v>0</v>
      </c>
      <c r="K210" s="25" t="n">
        <v>395.2</v>
      </c>
      <c r="L210" s="25" t="n">
        <f aca="false">SUM(F210:J210)</f>
        <v>395.2</v>
      </c>
      <c r="M210" s="25" t="n">
        <f aca="false">K210-L210</f>
        <v>0</v>
      </c>
      <c r="N210" s="22" t="str">
        <f aca="false">RIGHT(A210,LEN(A210)-3)</f>
        <v>LP-1005</v>
      </c>
      <c r="O210" s="22" t="str">
        <f aca="false">IF(C210=N210,"Y","N")</f>
        <v>Y</v>
      </c>
      <c r="P210" s="22" t="str">
        <f aca="false">IFERROR(VLOOKUP(N210,'Slip Inventory'!$A$2:$R$1181,10,FALSE()),"NOT FOUND")</f>
        <v>OCCUPIED</v>
      </c>
      <c r="Q210" s="22" t="str">
        <f aca="false">IF(P210="OCCUPIED","Y","N")</f>
        <v>Y</v>
      </c>
      <c r="R210" s="25" t="n">
        <f aca="false">SUM(I210:J210)</f>
        <v>0</v>
      </c>
      <c r="S210" s="22" t="str">
        <f aca="false">IF(AND(R210&gt;0,Q210="Y"),"YES","NO")</f>
        <v>NO</v>
      </c>
      <c r="T210" s="22" t="s">
        <v>12975</v>
      </c>
      <c r="U210" s="23" t="n">
        <v>46210</v>
      </c>
      <c r="V210" s="23" t="n">
        <v>46221</v>
      </c>
      <c r="W210" s="22"/>
      <c r="X210" s="22" t="str">
        <f aca="false">IF(ABS(M210)&gt;0.005,"Reported total_due does not equal buckets",IF(O210&lt;&gt;"Y","Account/slip ID mismatch",IF(P210&lt;&gt;"OCCUPIED","Slip not occupied","OK")))</f>
        <v>OK</v>
      </c>
      <c r="Y210" s="22" t="str">
        <f aca="false">IF(ABS(M210)&gt;0.005,"Priority 3","")</f>
        <v/>
      </c>
    </row>
    <row r="211" customFormat="false" ht="15" hidden="false" customHeight="false" outlineLevel="0" collapsed="false">
      <c r="A211" s="22" t="s">
        <v>11818</v>
      </c>
      <c r="B211" s="22" t="s">
        <v>4161</v>
      </c>
      <c r="C211" s="22" t="s">
        <v>7201</v>
      </c>
      <c r="D211" s="22" t="s">
        <v>198</v>
      </c>
      <c r="E211" s="22" t="s">
        <v>8601</v>
      </c>
      <c r="F211" s="25" t="n">
        <v>374.4</v>
      </c>
      <c r="G211" s="25" t="n">
        <v>0</v>
      </c>
      <c r="H211" s="25" t="n">
        <v>0</v>
      </c>
      <c r="I211" s="25" t="n">
        <v>0</v>
      </c>
      <c r="J211" s="25" t="n">
        <v>0</v>
      </c>
      <c r="K211" s="25" t="n">
        <v>374.4</v>
      </c>
      <c r="L211" s="25" t="n">
        <f aca="false">SUM(F211:J211)</f>
        <v>374.4</v>
      </c>
      <c r="M211" s="25" t="n">
        <f aca="false">K211-L211</f>
        <v>0</v>
      </c>
      <c r="N211" s="22" t="str">
        <f aca="false">RIGHT(A211,LEN(A211)-3)</f>
        <v>LP-1006</v>
      </c>
      <c r="O211" s="22" t="str">
        <f aca="false">IF(C211=N211,"Y","N")</f>
        <v>Y</v>
      </c>
      <c r="P211" s="22" t="str">
        <f aca="false">IFERROR(VLOOKUP(N211,'Slip Inventory'!$A$2:$R$1181,10,FALSE()),"NOT FOUND")</f>
        <v>OCCUPIED</v>
      </c>
      <c r="Q211" s="22" t="str">
        <f aca="false">IF(P211="OCCUPIED","Y","N")</f>
        <v>Y</v>
      </c>
      <c r="R211" s="25" t="n">
        <f aca="false">SUM(I211:J211)</f>
        <v>0</v>
      </c>
      <c r="S211" s="22" t="str">
        <f aca="false">IF(AND(R211&gt;0,Q211="Y"),"YES","NO")</f>
        <v>NO</v>
      </c>
      <c r="T211" s="22" t="s">
        <v>12975</v>
      </c>
      <c r="U211" s="23" t="n">
        <v>46189</v>
      </c>
      <c r="V211" s="23" t="n">
        <v>46208</v>
      </c>
      <c r="W211" s="22" t="s">
        <v>12976</v>
      </c>
      <c r="X211" s="22" t="str">
        <f aca="false">IF(ABS(M211)&gt;0.005,"Reported total_due does not equal buckets",IF(O211&lt;&gt;"Y","Account/slip ID mismatch",IF(P211&lt;&gt;"OCCUPIED","Slip not occupied","OK")))</f>
        <v>OK</v>
      </c>
      <c r="Y211" s="22" t="str">
        <f aca="false">IF(ABS(M211)&gt;0.005,"Priority 3","")</f>
        <v/>
      </c>
    </row>
    <row r="212" customFormat="false" ht="15" hidden="false" customHeight="false" outlineLevel="0" collapsed="false">
      <c r="A212" s="22" t="s">
        <v>11820</v>
      </c>
      <c r="B212" s="22" t="s">
        <v>6108</v>
      </c>
      <c r="C212" s="22" t="s">
        <v>7204</v>
      </c>
      <c r="D212" s="22" t="s">
        <v>198</v>
      </c>
      <c r="E212" s="22" t="s">
        <v>8601</v>
      </c>
      <c r="F212" s="25" t="n">
        <v>603.2</v>
      </c>
      <c r="G212" s="25" t="n">
        <v>0</v>
      </c>
      <c r="H212" s="25" t="n">
        <v>0</v>
      </c>
      <c r="I212" s="25" t="n">
        <v>0</v>
      </c>
      <c r="J212" s="25" t="n">
        <v>0</v>
      </c>
      <c r="K212" s="25" t="n">
        <v>603.2</v>
      </c>
      <c r="L212" s="25" t="n">
        <f aca="false">SUM(F212:J212)</f>
        <v>603.2</v>
      </c>
      <c r="M212" s="25" t="n">
        <f aca="false">K212-L212</f>
        <v>0</v>
      </c>
      <c r="N212" s="22" t="str">
        <f aca="false">RIGHT(A212,LEN(A212)-3)</f>
        <v>LP-1007</v>
      </c>
      <c r="O212" s="22" t="str">
        <f aca="false">IF(C212=N212,"Y","N")</f>
        <v>Y</v>
      </c>
      <c r="P212" s="22" t="str">
        <f aca="false">IFERROR(VLOOKUP(N212,'Slip Inventory'!$A$2:$R$1181,10,FALSE()),"NOT FOUND")</f>
        <v>OCCUPIED</v>
      </c>
      <c r="Q212" s="22" t="str">
        <f aca="false">IF(P212="OCCUPIED","Y","N")</f>
        <v>Y</v>
      </c>
      <c r="R212" s="25" t="n">
        <f aca="false">SUM(I212:J212)</f>
        <v>0</v>
      </c>
      <c r="S212" s="22" t="str">
        <f aca="false">IF(AND(R212&gt;0,Q212="Y"),"YES","NO")</f>
        <v>NO</v>
      </c>
      <c r="T212" s="22" t="s">
        <v>12975</v>
      </c>
      <c r="U212" s="23" t="n">
        <v>46177</v>
      </c>
      <c r="V212" s="23" t="n">
        <v>46198</v>
      </c>
      <c r="W212" s="22"/>
      <c r="X212" s="22" t="str">
        <f aca="false">IF(ABS(M212)&gt;0.005,"Reported total_due does not equal buckets",IF(O212&lt;&gt;"Y","Account/slip ID mismatch",IF(P212&lt;&gt;"OCCUPIED","Slip not occupied","OK")))</f>
        <v>OK</v>
      </c>
      <c r="Y212" s="22" t="str">
        <f aca="false">IF(ABS(M212)&gt;0.005,"Priority 3","")</f>
        <v/>
      </c>
    </row>
    <row r="213" customFormat="false" ht="15" hidden="false" customHeight="false" outlineLevel="0" collapsed="false">
      <c r="A213" s="22" t="s">
        <v>11822</v>
      </c>
      <c r="B213" s="22" t="s">
        <v>4157</v>
      </c>
      <c r="C213" s="22" t="s">
        <v>7207</v>
      </c>
      <c r="D213" s="22" t="s">
        <v>198</v>
      </c>
      <c r="E213" s="22" t="s">
        <v>8601</v>
      </c>
      <c r="F213" s="25" t="n">
        <v>613.6</v>
      </c>
      <c r="G213" s="25" t="n">
        <v>0</v>
      </c>
      <c r="H213" s="25" t="n">
        <v>0</v>
      </c>
      <c r="I213" s="25" t="n">
        <v>0</v>
      </c>
      <c r="J213" s="25" t="n">
        <v>0</v>
      </c>
      <c r="K213" s="25" t="n">
        <v>613.6</v>
      </c>
      <c r="L213" s="25" t="n">
        <f aca="false">SUM(F213:J213)</f>
        <v>613.6</v>
      </c>
      <c r="M213" s="25" t="n">
        <f aca="false">K213-L213</f>
        <v>0</v>
      </c>
      <c r="N213" s="22" t="str">
        <f aca="false">RIGHT(A213,LEN(A213)-3)</f>
        <v>LP-1008</v>
      </c>
      <c r="O213" s="22" t="str">
        <f aca="false">IF(C213=N213,"Y","N")</f>
        <v>Y</v>
      </c>
      <c r="P213" s="22" t="str">
        <f aca="false">IFERROR(VLOOKUP(N213,'Slip Inventory'!$A$2:$R$1181,10,FALSE()),"NOT FOUND")</f>
        <v>OCCUPIED</v>
      </c>
      <c r="Q213" s="22" t="str">
        <f aca="false">IF(P213="OCCUPIED","Y","N")</f>
        <v>Y</v>
      </c>
      <c r="R213" s="25" t="n">
        <f aca="false">SUM(I213:J213)</f>
        <v>0</v>
      </c>
      <c r="S213" s="22" t="str">
        <f aca="false">IF(AND(R213&gt;0,Q213="Y"),"YES","NO")</f>
        <v>NO</v>
      </c>
      <c r="T213" s="22" t="s">
        <v>12975</v>
      </c>
      <c r="U213" s="23" t="n">
        <v>46145</v>
      </c>
      <c r="V213" s="23" t="n">
        <v>46211</v>
      </c>
      <c r="W213" s="22"/>
      <c r="X213" s="22" t="str">
        <f aca="false">IF(ABS(M213)&gt;0.005,"Reported total_due does not equal buckets",IF(O213&lt;&gt;"Y","Account/slip ID mismatch",IF(P213&lt;&gt;"OCCUPIED","Slip not occupied","OK")))</f>
        <v>OK</v>
      </c>
      <c r="Y213" s="22" t="str">
        <f aca="false">IF(ABS(M213)&gt;0.005,"Priority 3","")</f>
        <v/>
      </c>
    </row>
    <row r="214" customFormat="false" ht="15" hidden="false" customHeight="false" outlineLevel="0" collapsed="false">
      <c r="A214" s="22" t="s">
        <v>11824</v>
      </c>
      <c r="B214" s="22" t="s">
        <v>2264</v>
      </c>
      <c r="C214" s="22" t="s">
        <v>7210</v>
      </c>
      <c r="D214" s="22" t="s">
        <v>198</v>
      </c>
      <c r="E214" s="22" t="s">
        <v>8601</v>
      </c>
      <c r="F214" s="25" t="n">
        <v>332.8</v>
      </c>
      <c r="G214" s="25" t="n">
        <v>0</v>
      </c>
      <c r="H214" s="25" t="n">
        <v>0</v>
      </c>
      <c r="I214" s="25" t="n">
        <v>0</v>
      </c>
      <c r="J214" s="25" t="n">
        <v>0</v>
      </c>
      <c r="K214" s="25" t="n">
        <v>332.8</v>
      </c>
      <c r="L214" s="25" t="n">
        <f aca="false">SUM(F214:J214)</f>
        <v>332.8</v>
      </c>
      <c r="M214" s="25" t="n">
        <f aca="false">K214-L214</f>
        <v>0</v>
      </c>
      <c r="N214" s="22" t="str">
        <f aca="false">RIGHT(A214,LEN(A214)-3)</f>
        <v>LP-1009</v>
      </c>
      <c r="O214" s="22" t="str">
        <f aca="false">IF(C214=N214,"Y","N")</f>
        <v>Y</v>
      </c>
      <c r="P214" s="22" t="str">
        <f aca="false">IFERROR(VLOOKUP(N214,'Slip Inventory'!$A$2:$R$1181,10,FALSE()),"NOT FOUND")</f>
        <v>OCCUPIED</v>
      </c>
      <c r="Q214" s="22" t="str">
        <f aca="false">IF(P214="OCCUPIED","Y","N")</f>
        <v>Y</v>
      </c>
      <c r="R214" s="25" t="n">
        <f aca="false">SUM(I214:J214)</f>
        <v>0</v>
      </c>
      <c r="S214" s="22" t="str">
        <f aca="false">IF(AND(R214&gt;0,Q214="Y"),"YES","NO")</f>
        <v>NO</v>
      </c>
      <c r="T214" s="22" t="s">
        <v>12975</v>
      </c>
      <c r="U214" s="23" t="n">
        <v>46232</v>
      </c>
      <c r="V214" s="23" t="n">
        <v>46206</v>
      </c>
      <c r="W214" s="22"/>
      <c r="X214" s="22" t="str">
        <f aca="false">IF(ABS(M214)&gt;0.005,"Reported total_due does not equal buckets",IF(O214&lt;&gt;"Y","Account/slip ID mismatch",IF(P214&lt;&gt;"OCCUPIED","Slip not occupied","OK")))</f>
        <v>OK</v>
      </c>
      <c r="Y214" s="22" t="str">
        <f aca="false">IF(ABS(M214)&gt;0.005,"Priority 3","")</f>
        <v/>
      </c>
    </row>
    <row r="215" customFormat="false" ht="15" hidden="false" customHeight="false" outlineLevel="0" collapsed="false">
      <c r="A215" s="22" t="s">
        <v>11826</v>
      </c>
      <c r="B215" s="22" t="s">
        <v>1973</v>
      </c>
      <c r="C215" s="22" t="s">
        <v>7212</v>
      </c>
      <c r="D215" s="22" t="s">
        <v>198</v>
      </c>
      <c r="E215" s="22" t="s">
        <v>8601</v>
      </c>
      <c r="F215" s="25" t="n">
        <v>644.8</v>
      </c>
      <c r="G215" s="25" t="n">
        <v>0</v>
      </c>
      <c r="H215" s="25" t="n">
        <v>0</v>
      </c>
      <c r="I215" s="25" t="n">
        <v>0</v>
      </c>
      <c r="J215" s="25" t="n">
        <v>0</v>
      </c>
      <c r="K215" s="25" t="n">
        <v>644.8</v>
      </c>
      <c r="L215" s="25" t="n">
        <f aca="false">SUM(F215:J215)</f>
        <v>644.8</v>
      </c>
      <c r="M215" s="25" t="n">
        <f aca="false">K215-L215</f>
        <v>0</v>
      </c>
      <c r="N215" s="22" t="str">
        <f aca="false">RIGHT(A215,LEN(A215)-3)</f>
        <v>LP-1010</v>
      </c>
      <c r="O215" s="22" t="str">
        <f aca="false">IF(C215=N215,"Y","N")</f>
        <v>Y</v>
      </c>
      <c r="P215" s="22" t="str">
        <f aca="false">IFERROR(VLOOKUP(N215,'Slip Inventory'!$A$2:$R$1181,10,FALSE()),"NOT FOUND")</f>
        <v>OCCUPIED</v>
      </c>
      <c r="Q215" s="22" t="str">
        <f aca="false">IF(P215="OCCUPIED","Y","N")</f>
        <v>Y</v>
      </c>
      <c r="R215" s="25" t="n">
        <f aca="false">SUM(I215:J215)</f>
        <v>0</v>
      </c>
      <c r="S215" s="22" t="str">
        <f aca="false">IF(AND(R215&gt;0,Q215="Y"),"YES","NO")</f>
        <v>NO</v>
      </c>
      <c r="T215" s="22" t="s">
        <v>12975</v>
      </c>
      <c r="U215" s="23" t="n">
        <v>46227</v>
      </c>
      <c r="V215" s="23" t="n">
        <v>46226</v>
      </c>
      <c r="W215" s="22" t="s">
        <v>12976</v>
      </c>
      <c r="X215" s="22" t="str">
        <f aca="false">IF(ABS(M215)&gt;0.005,"Reported total_due does not equal buckets",IF(O215&lt;&gt;"Y","Account/slip ID mismatch",IF(P215&lt;&gt;"OCCUPIED","Slip not occupied","OK")))</f>
        <v>OK</v>
      </c>
      <c r="Y215" s="22" t="str">
        <f aca="false">IF(ABS(M215)&gt;0.005,"Priority 3","")</f>
        <v/>
      </c>
    </row>
    <row r="216" customFormat="false" ht="15" hidden="false" customHeight="false" outlineLevel="0" collapsed="false">
      <c r="A216" s="22" t="s">
        <v>11828</v>
      </c>
      <c r="B216" s="22" t="s">
        <v>4577</v>
      </c>
      <c r="C216" s="22" t="s">
        <v>7215</v>
      </c>
      <c r="D216" s="22" t="s">
        <v>198</v>
      </c>
      <c r="E216" s="22" t="s">
        <v>8601</v>
      </c>
      <c r="F216" s="25" t="n">
        <v>426.4</v>
      </c>
      <c r="G216" s="25" t="n">
        <v>0</v>
      </c>
      <c r="H216" s="25" t="n">
        <v>0</v>
      </c>
      <c r="I216" s="25" t="n">
        <v>0</v>
      </c>
      <c r="J216" s="25" t="n">
        <v>0</v>
      </c>
      <c r="K216" s="25" t="n">
        <v>426.4</v>
      </c>
      <c r="L216" s="25" t="n">
        <f aca="false">SUM(F216:J216)</f>
        <v>426.4</v>
      </c>
      <c r="M216" s="25" t="n">
        <f aca="false">K216-L216</f>
        <v>0</v>
      </c>
      <c r="N216" s="22" t="str">
        <f aca="false">RIGHT(A216,LEN(A216)-3)</f>
        <v>LP-1011</v>
      </c>
      <c r="O216" s="22" t="str">
        <f aca="false">IF(C216=N216,"Y","N")</f>
        <v>Y</v>
      </c>
      <c r="P216" s="22" t="str">
        <f aca="false">IFERROR(VLOOKUP(N216,'Slip Inventory'!$A$2:$R$1181,10,FALSE()),"NOT FOUND")</f>
        <v>OCCUPIED</v>
      </c>
      <c r="Q216" s="22" t="str">
        <f aca="false">IF(P216="OCCUPIED","Y","N")</f>
        <v>Y</v>
      </c>
      <c r="R216" s="25" t="n">
        <f aca="false">SUM(I216:J216)</f>
        <v>0</v>
      </c>
      <c r="S216" s="22" t="str">
        <f aca="false">IF(AND(R216&gt;0,Q216="Y"),"YES","NO")</f>
        <v>NO</v>
      </c>
      <c r="T216" s="22" t="s">
        <v>12975</v>
      </c>
      <c r="U216" s="23" t="n">
        <v>46231</v>
      </c>
      <c r="V216" s="23" t="n">
        <v>46215</v>
      </c>
      <c r="W216" s="22"/>
      <c r="X216" s="22" t="str">
        <f aca="false">IF(ABS(M216)&gt;0.005,"Reported total_due does not equal buckets",IF(O216&lt;&gt;"Y","Account/slip ID mismatch",IF(P216&lt;&gt;"OCCUPIED","Slip not occupied","OK")))</f>
        <v>OK</v>
      </c>
      <c r="Y216" s="22" t="str">
        <f aca="false">IF(ABS(M216)&gt;0.005,"Priority 3","")</f>
        <v/>
      </c>
    </row>
    <row r="217" customFormat="false" ht="15" hidden="false" customHeight="false" outlineLevel="0" collapsed="false">
      <c r="A217" s="22" t="s">
        <v>11830</v>
      </c>
      <c r="B217" s="22" t="s">
        <v>2835</v>
      </c>
      <c r="C217" s="22" t="s">
        <v>7218</v>
      </c>
      <c r="D217" s="22" t="s">
        <v>198</v>
      </c>
      <c r="E217" s="22" t="s">
        <v>8601</v>
      </c>
      <c r="F217" s="25" t="n">
        <v>301.6</v>
      </c>
      <c r="G217" s="25" t="n">
        <v>301.6</v>
      </c>
      <c r="H217" s="25" t="n">
        <v>0</v>
      </c>
      <c r="I217" s="25" t="n">
        <v>0</v>
      </c>
      <c r="J217" s="25" t="n">
        <v>0</v>
      </c>
      <c r="K217" s="25" t="n">
        <v>603.2</v>
      </c>
      <c r="L217" s="25" t="n">
        <f aca="false">SUM(F217:J217)</f>
        <v>603.2</v>
      </c>
      <c r="M217" s="25" t="n">
        <f aca="false">K217-L217</f>
        <v>0</v>
      </c>
      <c r="N217" s="22" t="str">
        <f aca="false">RIGHT(A217,LEN(A217)-3)</f>
        <v>LP-1012</v>
      </c>
      <c r="O217" s="22" t="str">
        <f aca="false">IF(C217=N217,"Y","N")</f>
        <v>Y</v>
      </c>
      <c r="P217" s="22" t="str">
        <f aca="false">IFERROR(VLOOKUP(N217,'Slip Inventory'!$A$2:$R$1181,10,FALSE()),"NOT FOUND")</f>
        <v>OCCUPIED</v>
      </c>
      <c r="Q217" s="22" t="str">
        <f aca="false">IF(P217="OCCUPIED","Y","N")</f>
        <v>Y</v>
      </c>
      <c r="R217" s="25" t="n">
        <f aca="false">SUM(I217:J217)</f>
        <v>0</v>
      </c>
      <c r="S217" s="22" t="str">
        <f aca="false">IF(AND(R217&gt;0,Q217="Y"),"YES","NO")</f>
        <v>NO</v>
      </c>
      <c r="T217" s="22" t="s">
        <v>12977</v>
      </c>
      <c r="U217" s="23" t="n">
        <v>46148</v>
      </c>
      <c r="V217" s="23" t="n">
        <v>46178</v>
      </c>
      <c r="W217" s="22"/>
      <c r="X217" s="22" t="str">
        <f aca="false">IF(ABS(M217)&gt;0.005,"Reported total_due does not equal buckets",IF(O217&lt;&gt;"Y","Account/slip ID mismatch",IF(P217&lt;&gt;"OCCUPIED","Slip not occupied","OK")))</f>
        <v>OK</v>
      </c>
      <c r="Y217" s="22" t="str">
        <f aca="false">IF(ABS(M217)&gt;0.005,"Priority 3","")</f>
        <v/>
      </c>
    </row>
    <row r="218" customFormat="false" ht="15" hidden="false" customHeight="false" outlineLevel="0" collapsed="false">
      <c r="A218" s="22" t="s">
        <v>11832</v>
      </c>
      <c r="B218" s="22" t="s">
        <v>851</v>
      </c>
      <c r="C218" s="22" t="s">
        <v>7221</v>
      </c>
      <c r="D218" s="22" t="s">
        <v>198</v>
      </c>
      <c r="E218" s="22" t="s">
        <v>8601</v>
      </c>
      <c r="F218" s="25" t="n">
        <v>291.2</v>
      </c>
      <c r="G218" s="25" t="n">
        <v>0</v>
      </c>
      <c r="H218" s="25" t="n">
        <v>0</v>
      </c>
      <c r="I218" s="25" t="n">
        <v>0</v>
      </c>
      <c r="J218" s="25" t="n">
        <v>0</v>
      </c>
      <c r="K218" s="25" t="n">
        <v>0</v>
      </c>
      <c r="L218" s="25" t="n">
        <f aca="false">SUM(F218:J218)</f>
        <v>291.2</v>
      </c>
      <c r="M218" s="25" t="n">
        <f aca="false">K218-L218</f>
        <v>-291.2</v>
      </c>
      <c r="N218" s="22" t="str">
        <f aca="false">RIGHT(A218,LEN(A218)-3)</f>
        <v>LP-1013</v>
      </c>
      <c r="O218" s="22" t="str">
        <f aca="false">IF(C218=N218,"Y","N")</f>
        <v>Y</v>
      </c>
      <c r="P218" s="22" t="str">
        <f aca="false">IFERROR(VLOOKUP(N218,'Slip Inventory'!$A$2:$R$1181,10,FALSE()),"NOT FOUND")</f>
        <v>OCCUPIED</v>
      </c>
      <c r="Q218" s="22" t="str">
        <f aca="false">IF(P218="OCCUPIED","Y","N")</f>
        <v>Y</v>
      </c>
      <c r="R218" s="25" t="n">
        <f aca="false">SUM(I218:J218)</f>
        <v>0</v>
      </c>
      <c r="S218" s="22" t="str">
        <f aca="false">IF(AND(R218&gt;0,Q218="Y"),"YES","NO")</f>
        <v>NO</v>
      </c>
      <c r="T218" s="22" t="s">
        <v>12975</v>
      </c>
      <c r="U218" s="23" t="n">
        <v>46218</v>
      </c>
      <c r="V218" s="23" t="n">
        <v>46192</v>
      </c>
      <c r="W218" s="22" t="s">
        <v>12976</v>
      </c>
      <c r="X218" s="22" t="str">
        <f aca="false">IF(ABS(M218)&gt;0.005,"Reported total_due does not equal buckets",IF(O218&lt;&gt;"Y","Account/slip ID mismatch",IF(P218&lt;&gt;"OCCUPIED","Slip not occupied","OK")))</f>
        <v>Reported total_due does not equal buckets</v>
      </c>
      <c r="Y218" s="22" t="str">
        <f aca="false">IF(ABS(M218)&gt;0.005,"Priority 3","")</f>
        <v>Priority 3</v>
      </c>
    </row>
    <row r="219" customFormat="false" ht="15" hidden="false" customHeight="false" outlineLevel="0" collapsed="false">
      <c r="A219" s="22" t="s">
        <v>11834</v>
      </c>
      <c r="B219" s="22" t="s">
        <v>3783</v>
      </c>
      <c r="C219" s="22" t="s">
        <v>7223</v>
      </c>
      <c r="D219" s="22" t="s">
        <v>198</v>
      </c>
      <c r="E219" s="22" t="s">
        <v>8601</v>
      </c>
      <c r="F219" s="25" t="n">
        <v>249.6</v>
      </c>
      <c r="G219" s="25" t="n">
        <v>0</v>
      </c>
      <c r="H219" s="25" t="n">
        <v>0</v>
      </c>
      <c r="I219" s="25" t="n">
        <v>0</v>
      </c>
      <c r="J219" s="25" t="n">
        <v>0</v>
      </c>
      <c r="K219" s="25" t="n">
        <v>249.6</v>
      </c>
      <c r="L219" s="25" t="n">
        <f aca="false">SUM(F219:J219)</f>
        <v>249.6</v>
      </c>
      <c r="M219" s="25" t="n">
        <f aca="false">K219-L219</f>
        <v>0</v>
      </c>
      <c r="N219" s="22" t="str">
        <f aca="false">RIGHT(A219,LEN(A219)-3)</f>
        <v>LP-1014</v>
      </c>
      <c r="O219" s="22" t="str">
        <f aca="false">IF(C219=N219,"Y","N")</f>
        <v>Y</v>
      </c>
      <c r="P219" s="22" t="str">
        <f aca="false">IFERROR(VLOOKUP(N219,'Slip Inventory'!$A$2:$R$1181,10,FALSE()),"NOT FOUND")</f>
        <v>OCCUPIED</v>
      </c>
      <c r="Q219" s="22" t="str">
        <f aca="false">IF(P219="OCCUPIED","Y","N")</f>
        <v>Y</v>
      </c>
      <c r="R219" s="25" t="n">
        <f aca="false">SUM(I219:J219)</f>
        <v>0</v>
      </c>
      <c r="S219" s="22" t="str">
        <f aca="false">IF(AND(R219&gt;0,Q219="Y"),"YES","NO")</f>
        <v>NO</v>
      </c>
      <c r="T219" s="22" t="s">
        <v>12975</v>
      </c>
      <c r="U219" s="23" t="n">
        <v>46231</v>
      </c>
      <c r="V219" s="23" t="n">
        <v>46220</v>
      </c>
      <c r="W219" s="22"/>
      <c r="X219" s="22" t="str">
        <f aca="false">IF(ABS(M219)&gt;0.005,"Reported total_due does not equal buckets",IF(O219&lt;&gt;"Y","Account/slip ID mismatch",IF(P219&lt;&gt;"OCCUPIED","Slip not occupied","OK")))</f>
        <v>OK</v>
      </c>
      <c r="Y219" s="22" t="str">
        <f aca="false">IF(ABS(M219)&gt;0.005,"Priority 3","")</f>
        <v/>
      </c>
    </row>
    <row r="220" customFormat="false" ht="15" hidden="false" customHeight="false" outlineLevel="0" collapsed="false">
      <c r="A220" s="22" t="s">
        <v>11836</v>
      </c>
      <c r="B220" s="22" t="s">
        <v>4913</v>
      </c>
      <c r="C220" s="22" t="s">
        <v>7227</v>
      </c>
      <c r="D220" s="22" t="s">
        <v>198</v>
      </c>
      <c r="E220" s="22" t="s">
        <v>8601</v>
      </c>
      <c r="F220" s="25" t="n">
        <v>291.2</v>
      </c>
      <c r="G220" s="25" t="n">
        <v>0</v>
      </c>
      <c r="H220" s="25" t="n">
        <v>0</v>
      </c>
      <c r="I220" s="25" t="n">
        <v>0</v>
      </c>
      <c r="J220" s="25" t="n">
        <v>0</v>
      </c>
      <c r="K220" s="25" t="n">
        <v>291.2</v>
      </c>
      <c r="L220" s="25" t="n">
        <f aca="false">SUM(F220:J220)</f>
        <v>291.2</v>
      </c>
      <c r="M220" s="25" t="n">
        <f aca="false">K220-L220</f>
        <v>0</v>
      </c>
      <c r="N220" s="22" t="str">
        <f aca="false">RIGHT(A220,LEN(A220)-3)</f>
        <v>LP-1016</v>
      </c>
      <c r="O220" s="22" t="str">
        <f aca="false">IF(C220=N220,"Y","N")</f>
        <v>Y</v>
      </c>
      <c r="P220" s="22" t="str">
        <f aca="false">IFERROR(VLOOKUP(N220,'Slip Inventory'!$A$2:$R$1181,10,FALSE()),"NOT FOUND")</f>
        <v>OCCUPIED</v>
      </c>
      <c r="Q220" s="22" t="str">
        <f aca="false">IF(P220="OCCUPIED","Y","N")</f>
        <v>Y</v>
      </c>
      <c r="R220" s="25" t="n">
        <f aca="false">SUM(I220:J220)</f>
        <v>0</v>
      </c>
      <c r="S220" s="22" t="str">
        <f aca="false">IF(AND(R220&gt;0,Q220="Y"),"YES","NO")</f>
        <v>NO</v>
      </c>
      <c r="T220" s="22" t="s">
        <v>12975</v>
      </c>
      <c r="U220" s="23" t="n">
        <v>46212</v>
      </c>
      <c r="V220" s="23" t="n">
        <v>46224</v>
      </c>
      <c r="W220" s="22"/>
      <c r="X220" s="22" t="str">
        <f aca="false">IF(ABS(M220)&gt;0.005,"Reported total_due does not equal buckets",IF(O220&lt;&gt;"Y","Account/slip ID mismatch",IF(P220&lt;&gt;"OCCUPIED","Slip not occupied","OK")))</f>
        <v>OK</v>
      </c>
      <c r="Y220" s="22" t="str">
        <f aca="false">IF(ABS(M220)&gt;0.005,"Priority 3","")</f>
        <v/>
      </c>
    </row>
    <row r="221" customFormat="false" ht="15" hidden="false" customHeight="false" outlineLevel="0" collapsed="false">
      <c r="A221" s="22" t="s">
        <v>11838</v>
      </c>
      <c r="B221" s="22" t="s">
        <v>2284</v>
      </c>
      <c r="C221" s="22" t="s">
        <v>7229</v>
      </c>
      <c r="D221" s="22" t="s">
        <v>198</v>
      </c>
      <c r="E221" s="22" t="s">
        <v>8601</v>
      </c>
      <c r="F221" s="25" t="n">
        <v>582.4</v>
      </c>
      <c r="G221" s="25" t="n">
        <v>0</v>
      </c>
      <c r="H221" s="25" t="n">
        <v>0</v>
      </c>
      <c r="I221" s="25" t="n">
        <v>0</v>
      </c>
      <c r="J221" s="25" t="n">
        <v>0</v>
      </c>
      <c r="K221" s="25" t="n">
        <v>582.4</v>
      </c>
      <c r="L221" s="25" t="n">
        <f aca="false">SUM(F221:J221)</f>
        <v>582.4</v>
      </c>
      <c r="M221" s="25" t="n">
        <f aca="false">K221-L221</f>
        <v>0</v>
      </c>
      <c r="N221" s="22" t="str">
        <f aca="false">RIGHT(A221,LEN(A221)-3)</f>
        <v>LP-1017</v>
      </c>
      <c r="O221" s="22" t="str">
        <f aca="false">IF(C221=N221,"Y","N")</f>
        <v>Y</v>
      </c>
      <c r="P221" s="22" t="str">
        <f aca="false">IFERROR(VLOOKUP(N221,'Slip Inventory'!$A$2:$R$1181,10,FALSE()),"NOT FOUND")</f>
        <v>OCCUPIED</v>
      </c>
      <c r="Q221" s="22" t="str">
        <f aca="false">IF(P221="OCCUPIED","Y","N")</f>
        <v>Y</v>
      </c>
      <c r="R221" s="25" t="n">
        <f aca="false">SUM(I221:J221)</f>
        <v>0</v>
      </c>
      <c r="S221" s="22" t="str">
        <f aca="false">IF(AND(R221&gt;0,Q221="Y"),"YES","NO")</f>
        <v>NO</v>
      </c>
      <c r="T221" s="22" t="s">
        <v>12975</v>
      </c>
      <c r="U221" s="23" t="n">
        <v>46168</v>
      </c>
      <c r="V221" s="23" t="n">
        <v>46194</v>
      </c>
      <c r="W221" s="22"/>
      <c r="X221" s="22" t="str">
        <f aca="false">IF(ABS(M221)&gt;0.005,"Reported total_due does not equal buckets",IF(O221&lt;&gt;"Y","Account/slip ID mismatch",IF(P221&lt;&gt;"OCCUPIED","Slip not occupied","OK")))</f>
        <v>OK</v>
      </c>
      <c r="Y221" s="22" t="str">
        <f aca="false">IF(ABS(M221)&gt;0.005,"Priority 3","")</f>
        <v/>
      </c>
    </row>
    <row r="222" customFormat="false" ht="15" hidden="false" customHeight="false" outlineLevel="0" collapsed="false">
      <c r="A222" s="22" t="s">
        <v>11840</v>
      </c>
      <c r="B222" s="22" t="s">
        <v>854</v>
      </c>
      <c r="C222" s="22" t="s">
        <v>7232</v>
      </c>
      <c r="D222" s="22" t="s">
        <v>198</v>
      </c>
      <c r="E222" s="22" t="s">
        <v>8601</v>
      </c>
      <c r="F222" s="25" t="n">
        <v>561.6</v>
      </c>
      <c r="G222" s="25" t="n">
        <v>0</v>
      </c>
      <c r="H222" s="25" t="n">
        <v>0</v>
      </c>
      <c r="I222" s="25" t="n">
        <v>0</v>
      </c>
      <c r="J222" s="25" t="n">
        <v>0</v>
      </c>
      <c r="K222" s="25" t="n">
        <v>561.6</v>
      </c>
      <c r="L222" s="25" t="n">
        <f aca="false">SUM(F222:J222)</f>
        <v>561.6</v>
      </c>
      <c r="M222" s="25" t="n">
        <f aca="false">K222-L222</f>
        <v>0</v>
      </c>
      <c r="N222" s="22" t="str">
        <f aca="false">RIGHT(A222,LEN(A222)-3)</f>
        <v>LP-1018</v>
      </c>
      <c r="O222" s="22" t="str">
        <f aca="false">IF(C222=N222,"Y","N")</f>
        <v>Y</v>
      </c>
      <c r="P222" s="22" t="str">
        <f aca="false">IFERROR(VLOOKUP(N222,'Slip Inventory'!$A$2:$R$1181,10,FALSE()),"NOT FOUND")</f>
        <v>OCCUPIED</v>
      </c>
      <c r="Q222" s="22" t="str">
        <f aca="false">IF(P222="OCCUPIED","Y","N")</f>
        <v>Y</v>
      </c>
      <c r="R222" s="25" t="n">
        <f aca="false">SUM(I222:J222)</f>
        <v>0</v>
      </c>
      <c r="S222" s="22" t="str">
        <f aca="false">IF(AND(R222&gt;0,Q222="Y"),"YES","NO")</f>
        <v>NO</v>
      </c>
      <c r="T222" s="22" t="s">
        <v>12975</v>
      </c>
      <c r="U222" s="23" t="n">
        <v>46197</v>
      </c>
      <c r="V222" s="23" t="n">
        <v>46203</v>
      </c>
      <c r="W222" s="22"/>
      <c r="X222" s="22" t="str">
        <f aca="false">IF(ABS(M222)&gt;0.005,"Reported total_due does not equal buckets",IF(O222&lt;&gt;"Y","Account/slip ID mismatch",IF(P222&lt;&gt;"OCCUPIED","Slip not occupied","OK")))</f>
        <v>OK</v>
      </c>
      <c r="Y222" s="22" t="str">
        <f aca="false">IF(ABS(M222)&gt;0.005,"Priority 3","")</f>
        <v/>
      </c>
    </row>
    <row r="223" customFormat="false" ht="15" hidden="false" customHeight="false" outlineLevel="0" collapsed="false">
      <c r="A223" s="22" t="s">
        <v>11842</v>
      </c>
      <c r="B223" s="22" t="s">
        <v>2524</v>
      </c>
      <c r="C223" s="22" t="s">
        <v>7235</v>
      </c>
      <c r="D223" s="22" t="s">
        <v>198</v>
      </c>
      <c r="E223" s="22" t="s">
        <v>8601</v>
      </c>
      <c r="F223" s="25" t="n">
        <v>332.8</v>
      </c>
      <c r="G223" s="25" t="n">
        <v>0</v>
      </c>
      <c r="H223" s="25" t="n">
        <v>0</v>
      </c>
      <c r="I223" s="25" t="n">
        <v>0</v>
      </c>
      <c r="J223" s="25" t="n">
        <v>0</v>
      </c>
      <c r="K223" s="25" t="n">
        <v>332.8</v>
      </c>
      <c r="L223" s="25" t="n">
        <f aca="false">SUM(F223:J223)</f>
        <v>332.8</v>
      </c>
      <c r="M223" s="25" t="n">
        <f aca="false">K223-L223</f>
        <v>0</v>
      </c>
      <c r="N223" s="22" t="str">
        <f aca="false">RIGHT(A223,LEN(A223)-3)</f>
        <v>LP-1020</v>
      </c>
      <c r="O223" s="22" t="str">
        <f aca="false">IF(C223=N223,"Y","N")</f>
        <v>Y</v>
      </c>
      <c r="P223" s="22" t="str">
        <f aca="false">IFERROR(VLOOKUP(N223,'Slip Inventory'!$A$2:$R$1181,10,FALSE()),"NOT FOUND")</f>
        <v>OCCUPIED</v>
      </c>
      <c r="Q223" s="22" t="str">
        <f aca="false">IF(P223="OCCUPIED","Y","N")</f>
        <v>Y</v>
      </c>
      <c r="R223" s="25" t="n">
        <f aca="false">SUM(I223:J223)</f>
        <v>0</v>
      </c>
      <c r="S223" s="22" t="str">
        <f aca="false">IF(AND(R223&gt;0,Q223="Y"),"YES","NO")</f>
        <v>NO</v>
      </c>
      <c r="T223" s="22" t="s">
        <v>12975</v>
      </c>
      <c r="U223" s="23" t="n">
        <v>46172</v>
      </c>
      <c r="V223" s="23" t="n">
        <v>46188</v>
      </c>
      <c r="W223" s="22"/>
      <c r="X223" s="22" t="str">
        <f aca="false">IF(ABS(M223)&gt;0.005,"Reported total_due does not equal buckets",IF(O223&lt;&gt;"Y","Account/slip ID mismatch",IF(P223&lt;&gt;"OCCUPIED","Slip not occupied","OK")))</f>
        <v>OK</v>
      </c>
      <c r="Y223" s="22" t="str">
        <f aca="false">IF(ABS(M223)&gt;0.005,"Priority 3","")</f>
        <v/>
      </c>
    </row>
    <row r="224" customFormat="false" ht="15" hidden="false" customHeight="false" outlineLevel="0" collapsed="false">
      <c r="A224" s="22" t="s">
        <v>11844</v>
      </c>
      <c r="B224" s="22" t="s">
        <v>4379</v>
      </c>
      <c r="C224" s="22" t="s">
        <v>7237</v>
      </c>
      <c r="D224" s="22" t="s">
        <v>198</v>
      </c>
      <c r="E224" s="22" t="s">
        <v>8601</v>
      </c>
      <c r="F224" s="25" t="n">
        <v>384.8</v>
      </c>
      <c r="G224" s="25" t="n">
        <v>0</v>
      </c>
      <c r="H224" s="25" t="n">
        <v>0</v>
      </c>
      <c r="I224" s="25" t="n">
        <v>0</v>
      </c>
      <c r="J224" s="25" t="n">
        <v>0</v>
      </c>
      <c r="K224" s="25" t="n">
        <v>0</v>
      </c>
      <c r="L224" s="25" t="n">
        <f aca="false">SUM(F224:J224)</f>
        <v>384.8</v>
      </c>
      <c r="M224" s="25" t="n">
        <f aca="false">K224-L224</f>
        <v>-384.8</v>
      </c>
      <c r="N224" s="22" t="str">
        <f aca="false">RIGHT(A224,LEN(A224)-3)</f>
        <v>LP-1021</v>
      </c>
      <c r="O224" s="22" t="str">
        <f aca="false">IF(C224=N224,"Y","N")</f>
        <v>Y</v>
      </c>
      <c r="P224" s="22" t="str">
        <f aca="false">IFERROR(VLOOKUP(N224,'Slip Inventory'!$A$2:$R$1181,10,FALSE()),"NOT FOUND")</f>
        <v>OCCUPIED</v>
      </c>
      <c r="Q224" s="22" t="str">
        <f aca="false">IF(P224="OCCUPIED","Y","N")</f>
        <v>Y</v>
      </c>
      <c r="R224" s="25" t="n">
        <f aca="false">SUM(I224:J224)</f>
        <v>0</v>
      </c>
      <c r="S224" s="22" t="str">
        <f aca="false">IF(AND(R224&gt;0,Q224="Y"),"YES","NO")</f>
        <v>NO</v>
      </c>
      <c r="T224" s="22" t="s">
        <v>12975</v>
      </c>
      <c r="U224" s="23" t="n">
        <v>46144</v>
      </c>
      <c r="V224" s="23" t="n">
        <v>46231</v>
      </c>
      <c r="W224" s="22"/>
      <c r="X224" s="22" t="str">
        <f aca="false">IF(ABS(M224)&gt;0.005,"Reported total_due does not equal buckets",IF(O224&lt;&gt;"Y","Account/slip ID mismatch",IF(P224&lt;&gt;"OCCUPIED","Slip not occupied","OK")))</f>
        <v>Reported total_due does not equal buckets</v>
      </c>
      <c r="Y224" s="22" t="str">
        <f aca="false">IF(ABS(M224)&gt;0.005,"Priority 3","")</f>
        <v>Priority 3</v>
      </c>
    </row>
    <row r="225" customFormat="false" ht="15" hidden="false" customHeight="false" outlineLevel="0" collapsed="false">
      <c r="A225" s="22" t="s">
        <v>11846</v>
      </c>
      <c r="B225" s="22" t="s">
        <v>2215</v>
      </c>
      <c r="C225" s="22" t="s">
        <v>7239</v>
      </c>
      <c r="D225" s="22" t="s">
        <v>198</v>
      </c>
      <c r="E225" s="22" t="s">
        <v>8601</v>
      </c>
      <c r="F225" s="25" t="n">
        <v>301.6</v>
      </c>
      <c r="G225" s="25" t="n">
        <v>0</v>
      </c>
      <c r="H225" s="25" t="n">
        <v>0</v>
      </c>
      <c r="I225" s="25" t="n">
        <v>0</v>
      </c>
      <c r="J225" s="25" t="n">
        <v>0</v>
      </c>
      <c r="K225" s="25" t="n">
        <v>301.6</v>
      </c>
      <c r="L225" s="25" t="n">
        <f aca="false">SUM(F225:J225)</f>
        <v>301.6</v>
      </c>
      <c r="M225" s="25" t="n">
        <f aca="false">K225-L225</f>
        <v>0</v>
      </c>
      <c r="N225" s="22" t="str">
        <f aca="false">RIGHT(A225,LEN(A225)-3)</f>
        <v>LP-1022</v>
      </c>
      <c r="O225" s="22" t="str">
        <f aca="false">IF(C225=N225,"Y","N")</f>
        <v>Y</v>
      </c>
      <c r="P225" s="22" t="str">
        <f aca="false">IFERROR(VLOOKUP(N225,'Slip Inventory'!$A$2:$R$1181,10,FALSE()),"NOT FOUND")</f>
        <v>OCCUPIED</v>
      </c>
      <c r="Q225" s="22" t="str">
        <f aca="false">IF(P225="OCCUPIED","Y","N")</f>
        <v>Y</v>
      </c>
      <c r="R225" s="25" t="n">
        <f aca="false">SUM(I225:J225)</f>
        <v>0</v>
      </c>
      <c r="S225" s="22" t="str">
        <f aca="false">IF(AND(R225&gt;0,Q225="Y"),"YES","NO")</f>
        <v>NO</v>
      </c>
      <c r="T225" s="22" t="s">
        <v>12975</v>
      </c>
      <c r="U225" s="23" t="n">
        <v>46187</v>
      </c>
      <c r="V225" s="23" t="n">
        <v>46227</v>
      </c>
      <c r="W225" s="22"/>
      <c r="X225" s="22" t="str">
        <f aca="false">IF(ABS(M225)&gt;0.005,"Reported total_due does not equal buckets",IF(O225&lt;&gt;"Y","Account/slip ID mismatch",IF(P225&lt;&gt;"OCCUPIED","Slip not occupied","OK")))</f>
        <v>OK</v>
      </c>
      <c r="Y225" s="22" t="str">
        <f aca="false">IF(ABS(M225)&gt;0.005,"Priority 3","")</f>
        <v/>
      </c>
    </row>
    <row r="226" customFormat="false" ht="15" hidden="false" customHeight="false" outlineLevel="0" collapsed="false">
      <c r="A226" s="22" t="s">
        <v>11848</v>
      </c>
      <c r="B226" s="22" t="s">
        <v>1166</v>
      </c>
      <c r="C226" s="22" t="s">
        <v>7241</v>
      </c>
      <c r="D226" s="22" t="s">
        <v>198</v>
      </c>
      <c r="E226" s="22" t="s">
        <v>8601</v>
      </c>
      <c r="F226" s="25" t="n">
        <v>249.6</v>
      </c>
      <c r="G226" s="25" t="n">
        <v>0</v>
      </c>
      <c r="H226" s="25" t="n">
        <v>0</v>
      </c>
      <c r="I226" s="25" t="n">
        <v>0</v>
      </c>
      <c r="J226" s="25" t="n">
        <v>0</v>
      </c>
      <c r="K226" s="25" t="n">
        <v>249.6</v>
      </c>
      <c r="L226" s="25" t="n">
        <f aca="false">SUM(F226:J226)</f>
        <v>249.6</v>
      </c>
      <c r="M226" s="25" t="n">
        <f aca="false">K226-L226</f>
        <v>0</v>
      </c>
      <c r="N226" s="22" t="str">
        <f aca="false">RIGHT(A226,LEN(A226)-3)</f>
        <v>LP-1023</v>
      </c>
      <c r="O226" s="22" t="str">
        <f aca="false">IF(C226=N226,"Y","N")</f>
        <v>Y</v>
      </c>
      <c r="P226" s="22" t="str">
        <f aca="false">IFERROR(VLOOKUP(N226,'Slip Inventory'!$A$2:$R$1181,10,FALSE()),"NOT FOUND")</f>
        <v>OCCUPIED</v>
      </c>
      <c r="Q226" s="22" t="str">
        <f aca="false">IF(P226="OCCUPIED","Y","N")</f>
        <v>Y</v>
      </c>
      <c r="R226" s="25" t="n">
        <f aca="false">SUM(I226:J226)</f>
        <v>0</v>
      </c>
      <c r="S226" s="22" t="str">
        <f aca="false">IF(AND(R226&gt;0,Q226="Y"),"YES","NO")</f>
        <v>NO</v>
      </c>
      <c r="T226" s="22" t="s">
        <v>12975</v>
      </c>
      <c r="U226" s="23" t="n">
        <v>46146</v>
      </c>
      <c r="V226" s="23" t="n">
        <v>46200</v>
      </c>
      <c r="W226" s="22"/>
      <c r="X226" s="22" t="str">
        <f aca="false">IF(ABS(M226)&gt;0.005,"Reported total_due does not equal buckets",IF(O226&lt;&gt;"Y","Account/slip ID mismatch",IF(P226&lt;&gt;"OCCUPIED","Slip not occupied","OK")))</f>
        <v>OK</v>
      </c>
      <c r="Y226" s="22" t="str">
        <f aca="false">IF(ABS(M226)&gt;0.005,"Priority 3","")</f>
        <v/>
      </c>
    </row>
    <row r="227" customFormat="false" ht="15" hidden="false" customHeight="false" outlineLevel="0" collapsed="false">
      <c r="A227" s="22" t="s">
        <v>11850</v>
      </c>
      <c r="B227" s="22" t="s">
        <v>247</v>
      </c>
      <c r="C227" s="22" t="s">
        <v>7243</v>
      </c>
      <c r="D227" s="22" t="s">
        <v>198</v>
      </c>
      <c r="E227" s="22" t="s">
        <v>8601</v>
      </c>
      <c r="F227" s="25" t="n">
        <v>561.6</v>
      </c>
      <c r="G227" s="25" t="n">
        <v>0</v>
      </c>
      <c r="H227" s="25" t="n">
        <v>0</v>
      </c>
      <c r="I227" s="25" t="n">
        <v>0</v>
      </c>
      <c r="J227" s="25" t="n">
        <v>0</v>
      </c>
      <c r="K227" s="25" t="n">
        <v>561.6</v>
      </c>
      <c r="L227" s="25" t="n">
        <f aca="false">SUM(F227:J227)</f>
        <v>561.6</v>
      </c>
      <c r="M227" s="25" t="n">
        <f aca="false">K227-L227</f>
        <v>0</v>
      </c>
      <c r="N227" s="22" t="str">
        <f aca="false">RIGHT(A227,LEN(A227)-3)</f>
        <v>LP-1024</v>
      </c>
      <c r="O227" s="22" t="str">
        <f aca="false">IF(C227=N227,"Y","N")</f>
        <v>Y</v>
      </c>
      <c r="P227" s="22" t="str">
        <f aca="false">IFERROR(VLOOKUP(N227,'Slip Inventory'!$A$2:$R$1181,10,FALSE()),"NOT FOUND")</f>
        <v>OCCUPIED</v>
      </c>
      <c r="Q227" s="22" t="str">
        <f aca="false">IF(P227="OCCUPIED","Y","N")</f>
        <v>Y</v>
      </c>
      <c r="R227" s="25" t="n">
        <f aca="false">SUM(I227:J227)</f>
        <v>0</v>
      </c>
      <c r="S227" s="22" t="str">
        <f aca="false">IF(AND(R227&gt;0,Q227="Y"),"YES","NO")</f>
        <v>NO</v>
      </c>
      <c r="T227" s="22" t="s">
        <v>12975</v>
      </c>
      <c r="U227" s="23" t="n">
        <v>46184</v>
      </c>
      <c r="V227" s="23" t="n">
        <v>46231</v>
      </c>
      <c r="W227" s="22"/>
      <c r="X227" s="22" t="str">
        <f aca="false">IF(ABS(M227)&gt;0.005,"Reported total_due does not equal buckets",IF(O227&lt;&gt;"Y","Account/slip ID mismatch",IF(P227&lt;&gt;"OCCUPIED","Slip not occupied","OK")))</f>
        <v>OK</v>
      </c>
      <c r="Y227" s="22" t="str">
        <f aca="false">IF(ABS(M227)&gt;0.005,"Priority 3","")</f>
        <v/>
      </c>
    </row>
    <row r="228" customFormat="false" ht="15" hidden="false" customHeight="false" outlineLevel="0" collapsed="false">
      <c r="A228" s="22" t="s">
        <v>11852</v>
      </c>
      <c r="B228" s="22" t="s">
        <v>6324</v>
      </c>
      <c r="C228" s="22" t="s">
        <v>7249</v>
      </c>
      <c r="D228" s="22" t="s">
        <v>198</v>
      </c>
      <c r="E228" s="22" t="s">
        <v>8601</v>
      </c>
      <c r="F228" s="25" t="n">
        <v>572</v>
      </c>
      <c r="G228" s="25" t="n">
        <v>0</v>
      </c>
      <c r="H228" s="25" t="n">
        <v>0</v>
      </c>
      <c r="I228" s="25" t="n">
        <v>0</v>
      </c>
      <c r="J228" s="25" t="n">
        <v>0</v>
      </c>
      <c r="K228" s="25" t="n">
        <v>572</v>
      </c>
      <c r="L228" s="25" t="n">
        <f aca="false">SUM(F228:J228)</f>
        <v>572</v>
      </c>
      <c r="M228" s="25" t="n">
        <f aca="false">K228-L228</f>
        <v>0</v>
      </c>
      <c r="N228" s="22" t="str">
        <f aca="false">RIGHT(A228,LEN(A228)-3)</f>
        <v>LP-1102</v>
      </c>
      <c r="O228" s="22" t="str">
        <f aca="false">IF(C228=N228,"Y","N")</f>
        <v>Y</v>
      </c>
      <c r="P228" s="22" t="str">
        <f aca="false">IFERROR(VLOOKUP(N228,'Slip Inventory'!$A$2:$R$1181,10,FALSE()),"NOT FOUND")</f>
        <v>OCCUPIED</v>
      </c>
      <c r="Q228" s="22" t="str">
        <f aca="false">IF(P228="OCCUPIED","Y","N")</f>
        <v>Y</v>
      </c>
      <c r="R228" s="25" t="n">
        <f aca="false">SUM(I228:J228)</f>
        <v>0</v>
      </c>
      <c r="S228" s="22" t="str">
        <f aca="false">IF(AND(R228&gt;0,Q228="Y"),"YES","NO")</f>
        <v>NO</v>
      </c>
      <c r="T228" s="22" t="s">
        <v>12975</v>
      </c>
      <c r="U228" s="23" t="n">
        <v>46180</v>
      </c>
      <c r="V228" s="23" t="n">
        <v>46185</v>
      </c>
      <c r="W228" s="22"/>
      <c r="X228" s="22" t="str">
        <f aca="false">IF(ABS(M228)&gt;0.005,"Reported total_due does not equal buckets",IF(O228&lt;&gt;"Y","Account/slip ID mismatch",IF(P228&lt;&gt;"OCCUPIED","Slip not occupied","OK")))</f>
        <v>OK</v>
      </c>
      <c r="Y228" s="22" t="str">
        <f aca="false">IF(ABS(M228)&gt;0.005,"Priority 3","")</f>
        <v/>
      </c>
    </row>
    <row r="229" customFormat="false" ht="15" hidden="false" customHeight="false" outlineLevel="0" collapsed="false">
      <c r="A229" s="22" t="s">
        <v>11854</v>
      </c>
      <c r="B229" s="22" t="s">
        <v>4971</v>
      </c>
      <c r="C229" s="22" t="s">
        <v>7252</v>
      </c>
      <c r="D229" s="22" t="s">
        <v>198</v>
      </c>
      <c r="E229" s="22" t="s">
        <v>8601</v>
      </c>
      <c r="F229" s="25" t="n">
        <v>332.8</v>
      </c>
      <c r="G229" s="25" t="n">
        <v>0</v>
      </c>
      <c r="H229" s="25" t="n">
        <v>0</v>
      </c>
      <c r="I229" s="25" t="n">
        <v>0</v>
      </c>
      <c r="J229" s="25" t="n">
        <v>0</v>
      </c>
      <c r="K229" s="25" t="n">
        <v>332.8</v>
      </c>
      <c r="L229" s="25" t="n">
        <f aca="false">SUM(F229:J229)</f>
        <v>332.8</v>
      </c>
      <c r="M229" s="25" t="n">
        <f aca="false">K229-L229</f>
        <v>0</v>
      </c>
      <c r="N229" s="22" t="str">
        <f aca="false">RIGHT(A229,LEN(A229)-3)</f>
        <v>LP-1103</v>
      </c>
      <c r="O229" s="22" t="str">
        <f aca="false">IF(C229=N229,"Y","N")</f>
        <v>Y</v>
      </c>
      <c r="P229" s="22" t="str">
        <f aca="false">IFERROR(VLOOKUP(N229,'Slip Inventory'!$A$2:$R$1181,10,FALSE()),"NOT FOUND")</f>
        <v>OCCUPIED</v>
      </c>
      <c r="Q229" s="22" t="str">
        <f aca="false">IF(P229="OCCUPIED","Y","N")</f>
        <v>Y</v>
      </c>
      <c r="R229" s="25" t="n">
        <f aca="false">SUM(I229:J229)</f>
        <v>0</v>
      </c>
      <c r="S229" s="22" t="str">
        <f aca="false">IF(AND(R229&gt;0,Q229="Y"),"YES","NO")</f>
        <v>NO</v>
      </c>
      <c r="T229" s="22" t="s">
        <v>12975</v>
      </c>
      <c r="U229" s="23" t="n">
        <v>46205</v>
      </c>
      <c r="V229" s="23" t="n">
        <v>46225</v>
      </c>
      <c r="W229" s="22"/>
      <c r="X229" s="22" t="str">
        <f aca="false">IF(ABS(M229)&gt;0.005,"Reported total_due does not equal buckets",IF(O229&lt;&gt;"Y","Account/slip ID mismatch",IF(P229&lt;&gt;"OCCUPIED","Slip not occupied","OK")))</f>
        <v>OK</v>
      </c>
      <c r="Y229" s="22" t="str">
        <f aca="false">IF(ABS(M229)&gt;0.005,"Priority 3","")</f>
        <v/>
      </c>
    </row>
    <row r="230" customFormat="false" ht="15" hidden="false" customHeight="false" outlineLevel="0" collapsed="false">
      <c r="A230" s="22" t="s">
        <v>11856</v>
      </c>
      <c r="B230" s="22" t="s">
        <v>4740</v>
      </c>
      <c r="C230" s="22" t="s">
        <v>7255</v>
      </c>
      <c r="D230" s="22" t="s">
        <v>198</v>
      </c>
      <c r="E230" s="22" t="s">
        <v>8601</v>
      </c>
      <c r="F230" s="25" t="n">
        <v>561.6</v>
      </c>
      <c r="G230" s="25" t="n">
        <v>0</v>
      </c>
      <c r="H230" s="25" t="n">
        <v>0</v>
      </c>
      <c r="I230" s="25" t="n">
        <v>0</v>
      </c>
      <c r="J230" s="25" t="n">
        <v>0</v>
      </c>
      <c r="K230" s="25" t="n">
        <v>561.6</v>
      </c>
      <c r="L230" s="25" t="n">
        <f aca="false">SUM(F230:J230)</f>
        <v>561.6</v>
      </c>
      <c r="M230" s="25" t="n">
        <f aca="false">K230-L230</f>
        <v>0</v>
      </c>
      <c r="N230" s="22" t="str">
        <f aca="false">RIGHT(A230,LEN(A230)-3)</f>
        <v>LP-1104</v>
      </c>
      <c r="O230" s="22" t="str">
        <f aca="false">IF(C230=N230,"Y","N")</f>
        <v>Y</v>
      </c>
      <c r="P230" s="22" t="str">
        <f aca="false">IFERROR(VLOOKUP(N230,'Slip Inventory'!$A$2:$R$1181,10,FALSE()),"NOT FOUND")</f>
        <v>OCCUPIED</v>
      </c>
      <c r="Q230" s="22" t="str">
        <f aca="false">IF(P230="OCCUPIED","Y","N")</f>
        <v>Y</v>
      </c>
      <c r="R230" s="25" t="n">
        <f aca="false">SUM(I230:J230)</f>
        <v>0</v>
      </c>
      <c r="S230" s="22" t="str">
        <f aca="false">IF(AND(R230&gt;0,Q230="Y"),"YES","NO")</f>
        <v>NO</v>
      </c>
      <c r="T230" s="22" t="s">
        <v>12975</v>
      </c>
      <c r="U230" s="23" t="n">
        <v>46145</v>
      </c>
      <c r="V230" s="23" t="n">
        <v>46178</v>
      </c>
      <c r="W230" s="22"/>
      <c r="X230" s="22" t="str">
        <f aca="false">IF(ABS(M230)&gt;0.005,"Reported total_due does not equal buckets",IF(O230&lt;&gt;"Y","Account/slip ID mismatch",IF(P230&lt;&gt;"OCCUPIED","Slip not occupied","OK")))</f>
        <v>OK</v>
      </c>
      <c r="Y230" s="22" t="str">
        <f aca="false">IF(ABS(M230)&gt;0.005,"Priority 3","")</f>
        <v/>
      </c>
    </row>
    <row r="231" customFormat="false" ht="15" hidden="false" customHeight="false" outlineLevel="0" collapsed="false">
      <c r="A231" s="22" t="s">
        <v>11858</v>
      </c>
      <c r="B231" s="22" t="s">
        <v>2675</v>
      </c>
      <c r="C231" s="22" t="s">
        <v>7257</v>
      </c>
      <c r="D231" s="22" t="s">
        <v>198</v>
      </c>
      <c r="E231" s="22" t="s">
        <v>8601</v>
      </c>
      <c r="F231" s="25" t="n">
        <v>509.6</v>
      </c>
      <c r="G231" s="25" t="n">
        <v>0</v>
      </c>
      <c r="H231" s="25" t="n">
        <v>0</v>
      </c>
      <c r="I231" s="25" t="n">
        <v>0</v>
      </c>
      <c r="J231" s="25" t="n">
        <v>0</v>
      </c>
      <c r="K231" s="25" t="n">
        <v>509.6</v>
      </c>
      <c r="L231" s="25" t="n">
        <f aca="false">SUM(F231:J231)</f>
        <v>509.6</v>
      </c>
      <c r="M231" s="25" t="n">
        <f aca="false">K231-L231</f>
        <v>0</v>
      </c>
      <c r="N231" s="22" t="str">
        <f aca="false">RIGHT(A231,LEN(A231)-3)</f>
        <v>LP-1105</v>
      </c>
      <c r="O231" s="22" t="str">
        <f aca="false">IF(C231=N231,"Y","N")</f>
        <v>Y</v>
      </c>
      <c r="P231" s="22" t="str">
        <f aca="false">IFERROR(VLOOKUP(N231,'Slip Inventory'!$A$2:$R$1181,10,FALSE()),"NOT FOUND")</f>
        <v>OCCUPIED</v>
      </c>
      <c r="Q231" s="22" t="str">
        <f aca="false">IF(P231="OCCUPIED","Y","N")</f>
        <v>Y</v>
      </c>
      <c r="R231" s="25" t="n">
        <f aca="false">SUM(I231:J231)</f>
        <v>0</v>
      </c>
      <c r="S231" s="22" t="str">
        <f aca="false">IF(AND(R231&gt;0,Q231="Y"),"YES","NO")</f>
        <v>NO</v>
      </c>
      <c r="T231" s="22" t="s">
        <v>12975</v>
      </c>
      <c r="U231" s="23" t="n">
        <v>46158</v>
      </c>
      <c r="V231" s="23" t="n">
        <v>46233</v>
      </c>
      <c r="W231" s="22"/>
      <c r="X231" s="22" t="str">
        <f aca="false">IF(ABS(M231)&gt;0.005,"Reported total_due does not equal buckets",IF(O231&lt;&gt;"Y","Account/slip ID mismatch",IF(P231&lt;&gt;"OCCUPIED","Slip not occupied","OK")))</f>
        <v>OK</v>
      </c>
      <c r="Y231" s="22" t="str">
        <f aca="false">IF(ABS(M231)&gt;0.005,"Priority 3","")</f>
        <v/>
      </c>
    </row>
    <row r="232" customFormat="false" ht="15" hidden="false" customHeight="false" outlineLevel="0" collapsed="false">
      <c r="A232" s="22" t="s">
        <v>11860</v>
      </c>
      <c r="B232" s="22" t="s">
        <v>1900</v>
      </c>
      <c r="C232" s="22" t="s">
        <v>7260</v>
      </c>
      <c r="D232" s="22" t="s">
        <v>198</v>
      </c>
      <c r="E232" s="22" t="s">
        <v>8601</v>
      </c>
      <c r="F232" s="25" t="n">
        <v>249.6</v>
      </c>
      <c r="G232" s="25" t="n">
        <v>0</v>
      </c>
      <c r="H232" s="25" t="n">
        <v>0</v>
      </c>
      <c r="I232" s="25" t="n">
        <v>0</v>
      </c>
      <c r="J232" s="25" t="n">
        <v>0</v>
      </c>
      <c r="K232" s="25" t="n">
        <v>249.6</v>
      </c>
      <c r="L232" s="25" t="n">
        <f aca="false">SUM(F232:J232)</f>
        <v>249.6</v>
      </c>
      <c r="M232" s="25" t="n">
        <f aca="false">K232-L232</f>
        <v>0</v>
      </c>
      <c r="N232" s="22" t="str">
        <f aca="false">RIGHT(A232,LEN(A232)-3)</f>
        <v>LP-1106</v>
      </c>
      <c r="O232" s="22" t="str">
        <f aca="false">IF(C232=N232,"Y","N")</f>
        <v>Y</v>
      </c>
      <c r="P232" s="22" t="str">
        <f aca="false">IFERROR(VLOOKUP(N232,'Slip Inventory'!$A$2:$R$1181,10,FALSE()),"NOT FOUND")</f>
        <v>OCCUPIED</v>
      </c>
      <c r="Q232" s="22" t="str">
        <f aca="false">IF(P232="OCCUPIED","Y","N")</f>
        <v>Y</v>
      </c>
      <c r="R232" s="25" t="n">
        <f aca="false">SUM(I232:J232)</f>
        <v>0</v>
      </c>
      <c r="S232" s="22" t="str">
        <f aca="false">IF(AND(R232&gt;0,Q232="Y"),"YES","NO")</f>
        <v>NO</v>
      </c>
      <c r="T232" s="22" t="s">
        <v>12975</v>
      </c>
      <c r="U232" s="23" t="n">
        <v>46189</v>
      </c>
      <c r="V232" s="23" t="n">
        <v>46187</v>
      </c>
      <c r="W232" s="22"/>
      <c r="X232" s="22" t="str">
        <f aca="false">IF(ABS(M232)&gt;0.005,"Reported total_due does not equal buckets",IF(O232&lt;&gt;"Y","Account/slip ID mismatch",IF(P232&lt;&gt;"OCCUPIED","Slip not occupied","OK")))</f>
        <v>OK</v>
      </c>
      <c r="Y232" s="22" t="str">
        <f aca="false">IF(ABS(M232)&gt;0.005,"Priority 3","")</f>
        <v/>
      </c>
    </row>
    <row r="233" customFormat="false" ht="15" hidden="false" customHeight="false" outlineLevel="0" collapsed="false">
      <c r="A233" s="22" t="s">
        <v>11862</v>
      </c>
      <c r="B233" s="22" t="s">
        <v>6276</v>
      </c>
      <c r="C233" s="22" t="s">
        <v>7263</v>
      </c>
      <c r="D233" s="22" t="s">
        <v>198</v>
      </c>
      <c r="E233" s="22" t="s">
        <v>8601</v>
      </c>
      <c r="F233" s="25" t="n">
        <v>499.2</v>
      </c>
      <c r="G233" s="25" t="n">
        <v>0</v>
      </c>
      <c r="H233" s="25" t="n">
        <v>0</v>
      </c>
      <c r="I233" s="25" t="n">
        <v>0</v>
      </c>
      <c r="J233" s="25" t="n">
        <v>0</v>
      </c>
      <c r="K233" s="25" t="n">
        <v>499.2</v>
      </c>
      <c r="L233" s="25" t="n">
        <f aca="false">SUM(F233:J233)</f>
        <v>499.2</v>
      </c>
      <c r="M233" s="25" t="n">
        <f aca="false">K233-L233</f>
        <v>0</v>
      </c>
      <c r="N233" s="22" t="str">
        <f aca="false">RIGHT(A233,LEN(A233)-3)</f>
        <v>LP-1107</v>
      </c>
      <c r="O233" s="22" t="str">
        <f aca="false">IF(C233=N233,"Y","N")</f>
        <v>Y</v>
      </c>
      <c r="P233" s="22" t="str">
        <f aca="false">IFERROR(VLOOKUP(N233,'Slip Inventory'!$A$2:$R$1181,10,FALSE()),"NOT FOUND")</f>
        <v>OCCUPIED</v>
      </c>
      <c r="Q233" s="22" t="str">
        <f aca="false">IF(P233="OCCUPIED","Y","N")</f>
        <v>Y</v>
      </c>
      <c r="R233" s="25" t="n">
        <f aca="false">SUM(I233:J233)</f>
        <v>0</v>
      </c>
      <c r="S233" s="22" t="str">
        <f aca="false">IF(AND(R233&gt;0,Q233="Y"),"YES","NO")</f>
        <v>NO</v>
      </c>
      <c r="T233" s="22" t="s">
        <v>12975</v>
      </c>
      <c r="U233" s="23" t="n">
        <v>46229</v>
      </c>
      <c r="V233" s="23" t="n">
        <v>46197</v>
      </c>
      <c r="W233" s="22"/>
      <c r="X233" s="22" t="str">
        <f aca="false">IF(ABS(M233)&gt;0.005,"Reported total_due does not equal buckets",IF(O233&lt;&gt;"Y","Account/slip ID mismatch",IF(P233&lt;&gt;"OCCUPIED","Slip not occupied","OK")))</f>
        <v>OK</v>
      </c>
      <c r="Y233" s="22" t="str">
        <f aca="false">IF(ABS(M233)&gt;0.005,"Priority 3","")</f>
        <v/>
      </c>
    </row>
    <row r="234" customFormat="false" ht="15" hidden="false" customHeight="false" outlineLevel="0" collapsed="false">
      <c r="A234" s="22" t="s">
        <v>11864</v>
      </c>
      <c r="B234" s="22" t="s">
        <v>3862</v>
      </c>
      <c r="C234" s="22" t="s">
        <v>7266</v>
      </c>
      <c r="D234" s="22" t="s">
        <v>198</v>
      </c>
      <c r="E234" s="22" t="s">
        <v>8601</v>
      </c>
      <c r="F234" s="25" t="n">
        <v>332.8</v>
      </c>
      <c r="G234" s="25" t="n">
        <v>332.8</v>
      </c>
      <c r="H234" s="25" t="n">
        <v>0</v>
      </c>
      <c r="I234" s="25" t="n">
        <v>0</v>
      </c>
      <c r="J234" s="25" t="n">
        <v>0</v>
      </c>
      <c r="K234" s="25" t="n">
        <v>665.6</v>
      </c>
      <c r="L234" s="25" t="n">
        <f aca="false">SUM(F234:J234)</f>
        <v>665.6</v>
      </c>
      <c r="M234" s="25" t="n">
        <f aca="false">K234-L234</f>
        <v>0</v>
      </c>
      <c r="N234" s="22" t="str">
        <f aca="false">RIGHT(A234,LEN(A234)-3)</f>
        <v>LP-1108</v>
      </c>
      <c r="O234" s="22" t="str">
        <f aca="false">IF(C234=N234,"Y","N")</f>
        <v>Y</v>
      </c>
      <c r="P234" s="22" t="str">
        <f aca="false">IFERROR(VLOOKUP(N234,'Slip Inventory'!$A$2:$R$1181,10,FALSE()),"NOT FOUND")</f>
        <v>OCCUPIED</v>
      </c>
      <c r="Q234" s="22" t="str">
        <f aca="false">IF(P234="OCCUPIED","Y","N")</f>
        <v>Y</v>
      </c>
      <c r="R234" s="25" t="n">
        <f aca="false">SUM(I234:J234)</f>
        <v>0</v>
      </c>
      <c r="S234" s="22" t="str">
        <f aca="false">IF(AND(R234&gt;0,Q234="Y"),"YES","NO")</f>
        <v>NO</v>
      </c>
      <c r="T234" s="22" t="s">
        <v>12977</v>
      </c>
      <c r="U234" s="23" t="n">
        <v>46207</v>
      </c>
      <c r="V234" s="23" t="n">
        <v>46196</v>
      </c>
      <c r="W234" s="22"/>
      <c r="X234" s="22" t="str">
        <f aca="false">IF(ABS(M234)&gt;0.005,"Reported total_due does not equal buckets",IF(O234&lt;&gt;"Y","Account/slip ID mismatch",IF(P234&lt;&gt;"OCCUPIED","Slip not occupied","OK")))</f>
        <v>OK</v>
      </c>
      <c r="Y234" s="22" t="str">
        <f aca="false">IF(ABS(M234)&gt;0.005,"Priority 3","")</f>
        <v/>
      </c>
    </row>
    <row r="235" customFormat="false" ht="15" hidden="false" customHeight="false" outlineLevel="0" collapsed="false">
      <c r="A235" s="22" t="s">
        <v>11866</v>
      </c>
      <c r="B235" s="22" t="s">
        <v>4100</v>
      </c>
      <c r="C235" s="22" t="s">
        <v>7268</v>
      </c>
      <c r="D235" s="22" t="s">
        <v>198</v>
      </c>
      <c r="E235" s="22" t="s">
        <v>8601</v>
      </c>
      <c r="F235" s="25" t="n">
        <v>312</v>
      </c>
      <c r="G235" s="25" t="n">
        <v>312</v>
      </c>
      <c r="H235" s="25" t="n">
        <v>312</v>
      </c>
      <c r="I235" s="25" t="n">
        <v>0</v>
      </c>
      <c r="J235" s="25" t="n">
        <v>0</v>
      </c>
      <c r="K235" s="25" t="n">
        <v>936</v>
      </c>
      <c r="L235" s="25" t="n">
        <f aca="false">SUM(F235:J235)</f>
        <v>936</v>
      </c>
      <c r="M235" s="25" t="n">
        <f aca="false">K235-L235</f>
        <v>0</v>
      </c>
      <c r="N235" s="22" t="str">
        <f aca="false">RIGHT(A235,LEN(A235)-3)</f>
        <v>LP-1109</v>
      </c>
      <c r="O235" s="22" t="str">
        <f aca="false">IF(C235=N235,"Y","N")</f>
        <v>Y</v>
      </c>
      <c r="P235" s="22" t="str">
        <f aca="false">IFERROR(VLOOKUP(N235,'Slip Inventory'!$A$2:$R$1181,10,FALSE()),"NOT FOUND")</f>
        <v>OCCUPIED</v>
      </c>
      <c r="Q235" s="22" t="str">
        <f aca="false">IF(P235="OCCUPIED","Y","N")</f>
        <v>Y</v>
      </c>
      <c r="R235" s="25" t="n">
        <f aca="false">SUM(I235:J235)</f>
        <v>0</v>
      </c>
      <c r="S235" s="22" t="str">
        <f aca="false">IF(AND(R235&gt;0,Q235="Y"),"YES","NO")</f>
        <v>NO</v>
      </c>
      <c r="T235" s="22" t="s">
        <v>12978</v>
      </c>
      <c r="U235" s="23" t="n">
        <v>46144</v>
      </c>
      <c r="V235" s="23" t="n">
        <v>46222</v>
      </c>
      <c r="W235" s="22"/>
      <c r="X235" s="22" t="str">
        <f aca="false">IF(ABS(M235)&gt;0.005,"Reported total_due does not equal buckets",IF(O235&lt;&gt;"Y","Account/slip ID mismatch",IF(P235&lt;&gt;"OCCUPIED","Slip not occupied","OK")))</f>
        <v>OK</v>
      </c>
      <c r="Y235" s="22" t="str">
        <f aca="false">IF(ABS(M235)&gt;0.005,"Priority 3","")</f>
        <v/>
      </c>
    </row>
    <row r="236" customFormat="false" ht="15" hidden="false" customHeight="false" outlineLevel="0" collapsed="false">
      <c r="A236" s="22" t="s">
        <v>11868</v>
      </c>
      <c r="B236" s="22" t="s">
        <v>435</v>
      </c>
      <c r="C236" s="22" t="s">
        <v>7271</v>
      </c>
      <c r="D236" s="22" t="s">
        <v>198</v>
      </c>
      <c r="E236" s="22" t="s">
        <v>8601</v>
      </c>
      <c r="F236" s="25" t="n">
        <v>364</v>
      </c>
      <c r="G236" s="25" t="n">
        <v>364</v>
      </c>
      <c r="H236" s="25" t="n">
        <v>0</v>
      </c>
      <c r="I236" s="25" t="n">
        <v>0</v>
      </c>
      <c r="J236" s="25" t="n">
        <v>0</v>
      </c>
      <c r="K236" s="25" t="n">
        <v>364</v>
      </c>
      <c r="L236" s="25" t="n">
        <f aca="false">SUM(F236:J236)</f>
        <v>728</v>
      </c>
      <c r="M236" s="25" t="n">
        <f aca="false">K236-L236</f>
        <v>-364</v>
      </c>
      <c r="N236" s="22" t="str">
        <f aca="false">RIGHT(A236,LEN(A236)-3)</f>
        <v>LP-1110</v>
      </c>
      <c r="O236" s="22" t="str">
        <f aca="false">IF(C236=N236,"Y","N")</f>
        <v>Y</v>
      </c>
      <c r="P236" s="22" t="str">
        <f aca="false">IFERROR(VLOOKUP(N236,'Slip Inventory'!$A$2:$R$1181,10,FALSE()),"NOT FOUND")</f>
        <v>OCCUPIED</v>
      </c>
      <c r="Q236" s="22" t="str">
        <f aca="false">IF(P236="OCCUPIED","Y","N")</f>
        <v>Y</v>
      </c>
      <c r="R236" s="25" t="n">
        <f aca="false">SUM(I236:J236)</f>
        <v>0</v>
      </c>
      <c r="S236" s="22" t="str">
        <f aca="false">IF(AND(R236&gt;0,Q236="Y"),"YES","NO")</f>
        <v>NO</v>
      </c>
      <c r="T236" s="22" t="s">
        <v>12975</v>
      </c>
      <c r="U236" s="23" t="n">
        <v>46150</v>
      </c>
      <c r="V236" s="23" t="n">
        <v>46226</v>
      </c>
      <c r="W236" s="22"/>
      <c r="X236" s="22" t="str">
        <f aca="false">IF(ABS(M236)&gt;0.005,"Reported total_due does not equal buckets",IF(O236&lt;&gt;"Y","Account/slip ID mismatch",IF(P236&lt;&gt;"OCCUPIED","Slip not occupied","OK")))</f>
        <v>Reported total_due does not equal buckets</v>
      </c>
      <c r="Y236" s="22" t="str">
        <f aca="false">IF(ABS(M236)&gt;0.005,"Priority 3","")</f>
        <v>Priority 3</v>
      </c>
    </row>
    <row r="237" customFormat="false" ht="15" hidden="false" customHeight="false" outlineLevel="0" collapsed="false">
      <c r="A237" s="22" t="s">
        <v>11870</v>
      </c>
      <c r="B237" s="22" t="s">
        <v>4253</v>
      </c>
      <c r="C237" s="22" t="s">
        <v>7274</v>
      </c>
      <c r="D237" s="22" t="s">
        <v>198</v>
      </c>
      <c r="E237" s="22" t="s">
        <v>8601</v>
      </c>
      <c r="F237" s="25" t="n">
        <v>572</v>
      </c>
      <c r="G237" s="25" t="n">
        <v>0</v>
      </c>
      <c r="H237" s="25" t="n">
        <v>0</v>
      </c>
      <c r="I237" s="25" t="n">
        <v>0</v>
      </c>
      <c r="J237" s="25" t="n">
        <v>0</v>
      </c>
      <c r="K237" s="25" t="n">
        <v>572</v>
      </c>
      <c r="L237" s="25" t="n">
        <f aca="false">SUM(F237:J237)</f>
        <v>572</v>
      </c>
      <c r="M237" s="25" t="n">
        <f aca="false">K237-L237</f>
        <v>0</v>
      </c>
      <c r="N237" s="22" t="str">
        <f aca="false">RIGHT(A237,LEN(A237)-3)</f>
        <v>LP-1111</v>
      </c>
      <c r="O237" s="22" t="str">
        <f aca="false">IF(C237=N237,"Y","N")</f>
        <v>Y</v>
      </c>
      <c r="P237" s="22" t="str">
        <f aca="false">IFERROR(VLOOKUP(N237,'Slip Inventory'!$A$2:$R$1181,10,FALSE()),"NOT FOUND")</f>
        <v>OCCUPIED</v>
      </c>
      <c r="Q237" s="22" t="str">
        <f aca="false">IF(P237="OCCUPIED","Y","N")</f>
        <v>Y</v>
      </c>
      <c r="R237" s="25" t="n">
        <f aca="false">SUM(I237:J237)</f>
        <v>0</v>
      </c>
      <c r="S237" s="22" t="str">
        <f aca="false">IF(AND(R237&gt;0,Q237="Y"),"YES","NO")</f>
        <v>NO</v>
      </c>
      <c r="T237" s="22" t="s">
        <v>12975</v>
      </c>
      <c r="U237" s="23" t="n">
        <v>46178</v>
      </c>
      <c r="V237" s="23" t="n">
        <v>46177</v>
      </c>
      <c r="W237" s="22"/>
      <c r="X237" s="22" t="str">
        <f aca="false">IF(ABS(M237)&gt;0.005,"Reported total_due does not equal buckets",IF(O237&lt;&gt;"Y","Account/slip ID mismatch",IF(P237&lt;&gt;"OCCUPIED","Slip not occupied","OK")))</f>
        <v>OK</v>
      </c>
      <c r="Y237" s="22" t="str">
        <f aca="false">IF(ABS(M237)&gt;0.005,"Priority 3","")</f>
        <v/>
      </c>
    </row>
    <row r="238" customFormat="false" ht="15" hidden="false" customHeight="false" outlineLevel="0" collapsed="false">
      <c r="A238" s="22" t="s">
        <v>11872</v>
      </c>
      <c r="B238" s="22" t="s">
        <v>6153</v>
      </c>
      <c r="C238" s="22" t="s">
        <v>7277</v>
      </c>
      <c r="D238" s="22" t="s">
        <v>198</v>
      </c>
      <c r="E238" s="22" t="s">
        <v>8601</v>
      </c>
      <c r="F238" s="25" t="n">
        <v>416</v>
      </c>
      <c r="G238" s="25" t="n">
        <v>0</v>
      </c>
      <c r="H238" s="25" t="n">
        <v>0</v>
      </c>
      <c r="I238" s="25" t="n">
        <v>0</v>
      </c>
      <c r="J238" s="25" t="n">
        <v>0</v>
      </c>
      <c r="K238" s="25" t="n">
        <v>416</v>
      </c>
      <c r="L238" s="25" t="n">
        <f aca="false">SUM(F238:J238)</f>
        <v>416</v>
      </c>
      <c r="M238" s="25" t="n">
        <f aca="false">K238-L238</f>
        <v>0</v>
      </c>
      <c r="N238" s="22" t="str">
        <f aca="false">RIGHT(A238,LEN(A238)-3)</f>
        <v>LP-1112</v>
      </c>
      <c r="O238" s="22" t="str">
        <f aca="false">IF(C238=N238,"Y","N")</f>
        <v>Y</v>
      </c>
      <c r="P238" s="22" t="str">
        <f aca="false">IFERROR(VLOOKUP(N238,'Slip Inventory'!$A$2:$R$1181,10,FALSE()),"NOT FOUND")</f>
        <v>OCCUPIED</v>
      </c>
      <c r="Q238" s="22" t="str">
        <f aca="false">IF(P238="OCCUPIED","Y","N")</f>
        <v>Y</v>
      </c>
      <c r="R238" s="25" t="n">
        <f aca="false">SUM(I238:J238)</f>
        <v>0</v>
      </c>
      <c r="S238" s="22" t="str">
        <f aca="false">IF(AND(R238&gt;0,Q238="Y"),"YES","NO")</f>
        <v>NO</v>
      </c>
      <c r="T238" s="22" t="s">
        <v>12975</v>
      </c>
      <c r="U238" s="23" t="n">
        <v>46172</v>
      </c>
      <c r="V238" s="23" t="n">
        <v>46207</v>
      </c>
      <c r="W238" s="22"/>
      <c r="X238" s="22" t="str">
        <f aca="false">IF(ABS(M238)&gt;0.005,"Reported total_due does not equal buckets",IF(O238&lt;&gt;"Y","Account/slip ID mismatch",IF(P238&lt;&gt;"OCCUPIED","Slip not occupied","OK")))</f>
        <v>OK</v>
      </c>
      <c r="Y238" s="22" t="str">
        <f aca="false">IF(ABS(M238)&gt;0.005,"Priority 3","")</f>
        <v/>
      </c>
    </row>
    <row r="239" customFormat="false" ht="15" hidden="false" customHeight="false" outlineLevel="0" collapsed="false">
      <c r="A239" s="22" t="s">
        <v>11874</v>
      </c>
      <c r="B239" s="22" t="s">
        <v>2705</v>
      </c>
      <c r="C239" s="22" t="s">
        <v>7280</v>
      </c>
      <c r="D239" s="22" t="s">
        <v>198</v>
      </c>
      <c r="E239" s="22" t="s">
        <v>8601</v>
      </c>
      <c r="F239" s="25" t="n">
        <v>249.6</v>
      </c>
      <c r="G239" s="25" t="n">
        <v>0</v>
      </c>
      <c r="H239" s="25" t="n">
        <v>0</v>
      </c>
      <c r="I239" s="25" t="n">
        <v>0</v>
      </c>
      <c r="J239" s="25" t="n">
        <v>0</v>
      </c>
      <c r="K239" s="25" t="n">
        <v>249.6</v>
      </c>
      <c r="L239" s="25" t="n">
        <f aca="false">SUM(F239:J239)</f>
        <v>249.6</v>
      </c>
      <c r="M239" s="25" t="n">
        <f aca="false">K239-L239</f>
        <v>0</v>
      </c>
      <c r="N239" s="22" t="str">
        <f aca="false">RIGHT(A239,LEN(A239)-3)</f>
        <v>LP-1113</v>
      </c>
      <c r="O239" s="22" t="str">
        <f aca="false">IF(C239=N239,"Y","N")</f>
        <v>Y</v>
      </c>
      <c r="P239" s="22" t="str">
        <f aca="false">IFERROR(VLOOKUP(N239,'Slip Inventory'!$A$2:$R$1181,10,FALSE()),"NOT FOUND")</f>
        <v>OCCUPIED</v>
      </c>
      <c r="Q239" s="22" t="str">
        <f aca="false">IF(P239="OCCUPIED","Y","N")</f>
        <v>Y</v>
      </c>
      <c r="R239" s="25" t="n">
        <f aca="false">SUM(I239:J239)</f>
        <v>0</v>
      </c>
      <c r="S239" s="22" t="str">
        <f aca="false">IF(AND(R239&gt;0,Q239="Y"),"YES","NO")</f>
        <v>NO</v>
      </c>
      <c r="T239" s="22" t="s">
        <v>12975</v>
      </c>
      <c r="U239" s="23" t="n">
        <v>46162</v>
      </c>
      <c r="V239" s="23" t="n">
        <v>46176</v>
      </c>
      <c r="W239" s="22"/>
      <c r="X239" s="22" t="str">
        <f aca="false">IF(ABS(M239)&gt;0.005,"Reported total_due does not equal buckets",IF(O239&lt;&gt;"Y","Account/slip ID mismatch",IF(P239&lt;&gt;"OCCUPIED","Slip not occupied","OK")))</f>
        <v>OK</v>
      </c>
      <c r="Y239" s="22" t="str">
        <f aca="false">IF(ABS(M239)&gt;0.005,"Priority 3","")</f>
        <v/>
      </c>
    </row>
    <row r="240" customFormat="false" ht="15" hidden="false" customHeight="false" outlineLevel="0" collapsed="false">
      <c r="A240" s="22" t="s">
        <v>11876</v>
      </c>
      <c r="B240" s="22" t="s">
        <v>1926</v>
      </c>
      <c r="C240" s="22" t="s">
        <v>7283</v>
      </c>
      <c r="D240" s="22" t="s">
        <v>198</v>
      </c>
      <c r="E240" s="22" t="s">
        <v>8601</v>
      </c>
      <c r="F240" s="25" t="n">
        <v>332.8</v>
      </c>
      <c r="G240" s="25" t="n">
        <v>0</v>
      </c>
      <c r="H240" s="25" t="n">
        <v>0</v>
      </c>
      <c r="I240" s="25" t="n">
        <v>0</v>
      </c>
      <c r="J240" s="25" t="n">
        <v>0</v>
      </c>
      <c r="K240" s="25" t="n">
        <v>0</v>
      </c>
      <c r="L240" s="25" t="n">
        <f aca="false">SUM(F240:J240)</f>
        <v>332.8</v>
      </c>
      <c r="M240" s="25" t="n">
        <f aca="false">K240-L240</f>
        <v>-332.8</v>
      </c>
      <c r="N240" s="22" t="str">
        <f aca="false">RIGHT(A240,LEN(A240)-3)</f>
        <v>LP-1114</v>
      </c>
      <c r="O240" s="22" t="str">
        <f aca="false">IF(C240=N240,"Y","N")</f>
        <v>Y</v>
      </c>
      <c r="P240" s="22" t="str">
        <f aca="false">IFERROR(VLOOKUP(N240,'Slip Inventory'!$A$2:$R$1181,10,FALSE()),"NOT FOUND")</f>
        <v>OCCUPIED</v>
      </c>
      <c r="Q240" s="22" t="str">
        <f aca="false">IF(P240="OCCUPIED","Y","N")</f>
        <v>Y</v>
      </c>
      <c r="R240" s="25" t="n">
        <f aca="false">SUM(I240:J240)</f>
        <v>0</v>
      </c>
      <c r="S240" s="22" t="str">
        <f aca="false">IF(AND(R240&gt;0,Q240="Y"),"YES","NO")</f>
        <v>NO</v>
      </c>
      <c r="T240" s="22" t="s">
        <v>12975</v>
      </c>
      <c r="U240" s="23" t="n">
        <v>46171</v>
      </c>
      <c r="V240" s="23" t="n">
        <v>46180</v>
      </c>
      <c r="W240" s="22"/>
      <c r="X240" s="22" t="str">
        <f aca="false">IF(ABS(M240)&gt;0.005,"Reported total_due does not equal buckets",IF(O240&lt;&gt;"Y","Account/slip ID mismatch",IF(P240&lt;&gt;"OCCUPIED","Slip not occupied","OK")))</f>
        <v>Reported total_due does not equal buckets</v>
      </c>
      <c r="Y240" s="22" t="str">
        <f aca="false">IF(ABS(M240)&gt;0.005,"Priority 3","")</f>
        <v>Priority 3</v>
      </c>
    </row>
    <row r="241" customFormat="false" ht="15" hidden="false" customHeight="false" outlineLevel="0" collapsed="false">
      <c r="A241" s="22" t="s">
        <v>11878</v>
      </c>
      <c r="B241" s="22" t="s">
        <v>4307</v>
      </c>
      <c r="C241" s="22" t="s">
        <v>7286</v>
      </c>
      <c r="D241" s="22" t="s">
        <v>198</v>
      </c>
      <c r="E241" s="22" t="s">
        <v>8601</v>
      </c>
      <c r="F241" s="25" t="n">
        <v>613.6</v>
      </c>
      <c r="G241" s="25" t="n">
        <v>0</v>
      </c>
      <c r="H241" s="25" t="n">
        <v>0</v>
      </c>
      <c r="I241" s="25" t="n">
        <v>0</v>
      </c>
      <c r="J241" s="25" t="n">
        <v>0</v>
      </c>
      <c r="K241" s="25" t="n">
        <v>613.6</v>
      </c>
      <c r="L241" s="25" t="n">
        <f aca="false">SUM(F241:J241)</f>
        <v>613.6</v>
      </c>
      <c r="M241" s="25" t="n">
        <f aca="false">K241-L241</f>
        <v>0</v>
      </c>
      <c r="N241" s="22" t="str">
        <f aca="false">RIGHT(A241,LEN(A241)-3)</f>
        <v>LP-1115</v>
      </c>
      <c r="O241" s="22" t="str">
        <f aca="false">IF(C241=N241,"Y","N")</f>
        <v>Y</v>
      </c>
      <c r="P241" s="22" t="str">
        <f aca="false">IFERROR(VLOOKUP(N241,'Slip Inventory'!$A$2:$R$1181,10,FALSE()),"NOT FOUND")</f>
        <v>OCCUPIED</v>
      </c>
      <c r="Q241" s="22" t="str">
        <f aca="false">IF(P241="OCCUPIED","Y","N")</f>
        <v>Y</v>
      </c>
      <c r="R241" s="25" t="n">
        <f aca="false">SUM(I241:J241)</f>
        <v>0</v>
      </c>
      <c r="S241" s="22" t="str">
        <f aca="false">IF(AND(R241&gt;0,Q241="Y"),"YES","NO")</f>
        <v>NO</v>
      </c>
      <c r="T241" s="22" t="s">
        <v>12975</v>
      </c>
      <c r="U241" s="23" t="n">
        <v>46156</v>
      </c>
      <c r="V241" s="23" t="n">
        <v>46194</v>
      </c>
      <c r="W241" s="22"/>
      <c r="X241" s="22" t="str">
        <f aca="false">IF(ABS(M241)&gt;0.005,"Reported total_due does not equal buckets",IF(O241&lt;&gt;"Y","Account/slip ID mismatch",IF(P241&lt;&gt;"OCCUPIED","Slip not occupied","OK")))</f>
        <v>OK</v>
      </c>
      <c r="Y241" s="22" t="str">
        <f aca="false">IF(ABS(M241)&gt;0.005,"Priority 3","")</f>
        <v/>
      </c>
    </row>
    <row r="242" customFormat="false" ht="15" hidden="false" customHeight="false" outlineLevel="0" collapsed="false">
      <c r="A242" s="22" t="s">
        <v>11880</v>
      </c>
      <c r="B242" s="22" t="s">
        <v>5646</v>
      </c>
      <c r="C242" s="22" t="s">
        <v>7289</v>
      </c>
      <c r="D242" s="22" t="s">
        <v>198</v>
      </c>
      <c r="E242" s="22" t="s">
        <v>8601</v>
      </c>
      <c r="F242" s="25" t="n">
        <v>384.8</v>
      </c>
      <c r="G242" s="25" t="n">
        <v>0</v>
      </c>
      <c r="H242" s="25" t="n">
        <v>0</v>
      </c>
      <c r="I242" s="25" t="n">
        <v>0</v>
      </c>
      <c r="J242" s="25" t="n">
        <v>0</v>
      </c>
      <c r="K242" s="25" t="n">
        <v>384.8</v>
      </c>
      <c r="L242" s="25" t="n">
        <f aca="false">SUM(F242:J242)</f>
        <v>384.8</v>
      </c>
      <c r="M242" s="25" t="n">
        <f aca="false">K242-L242</f>
        <v>0</v>
      </c>
      <c r="N242" s="22" t="str">
        <f aca="false">RIGHT(A242,LEN(A242)-3)</f>
        <v>LP-1116</v>
      </c>
      <c r="O242" s="22" t="str">
        <f aca="false">IF(C242=N242,"Y","N")</f>
        <v>Y</v>
      </c>
      <c r="P242" s="22" t="str">
        <f aca="false">IFERROR(VLOOKUP(N242,'Slip Inventory'!$A$2:$R$1181,10,FALSE()),"NOT FOUND")</f>
        <v>OCCUPIED</v>
      </c>
      <c r="Q242" s="22" t="str">
        <f aca="false">IF(P242="OCCUPIED","Y","N")</f>
        <v>Y</v>
      </c>
      <c r="R242" s="25" t="n">
        <f aca="false">SUM(I242:J242)</f>
        <v>0</v>
      </c>
      <c r="S242" s="22" t="str">
        <f aca="false">IF(AND(R242&gt;0,Q242="Y"),"YES","NO")</f>
        <v>NO</v>
      </c>
      <c r="T242" s="22" t="s">
        <v>12975</v>
      </c>
      <c r="U242" s="23" t="n">
        <v>46179</v>
      </c>
      <c r="V242" s="23" t="n">
        <v>46188</v>
      </c>
      <c r="W242" s="22"/>
      <c r="X242" s="22" t="str">
        <f aca="false">IF(ABS(M242)&gt;0.005,"Reported total_due does not equal buckets",IF(O242&lt;&gt;"Y","Account/slip ID mismatch",IF(P242&lt;&gt;"OCCUPIED","Slip not occupied","OK")))</f>
        <v>OK</v>
      </c>
      <c r="Y242" s="22" t="str">
        <f aca="false">IF(ABS(M242)&gt;0.005,"Priority 3","")</f>
        <v/>
      </c>
    </row>
    <row r="243" customFormat="false" ht="15" hidden="false" customHeight="false" outlineLevel="0" collapsed="false">
      <c r="A243" s="22" t="s">
        <v>11882</v>
      </c>
      <c r="B243" s="22" t="s">
        <v>2516</v>
      </c>
      <c r="C243" s="22" t="s">
        <v>7292</v>
      </c>
      <c r="D243" s="22" t="s">
        <v>198</v>
      </c>
      <c r="E243" s="22" t="s">
        <v>8601</v>
      </c>
      <c r="F243" s="25" t="n">
        <v>644.8</v>
      </c>
      <c r="G243" s="25" t="n">
        <v>0</v>
      </c>
      <c r="H243" s="25" t="n">
        <v>0</v>
      </c>
      <c r="I243" s="25" t="n">
        <v>0</v>
      </c>
      <c r="J243" s="25" t="n">
        <v>0</v>
      </c>
      <c r="K243" s="25" t="n">
        <v>644.8</v>
      </c>
      <c r="L243" s="25" t="n">
        <f aca="false">SUM(F243:J243)</f>
        <v>644.8</v>
      </c>
      <c r="M243" s="25" t="n">
        <f aca="false">K243-L243</f>
        <v>0</v>
      </c>
      <c r="N243" s="22" t="str">
        <f aca="false">RIGHT(A243,LEN(A243)-3)</f>
        <v>LP-1117</v>
      </c>
      <c r="O243" s="22" t="str">
        <f aca="false">IF(C243=N243,"Y","N")</f>
        <v>Y</v>
      </c>
      <c r="P243" s="22" t="str">
        <f aca="false">IFERROR(VLOOKUP(N243,'Slip Inventory'!$A$2:$R$1181,10,FALSE()),"NOT FOUND")</f>
        <v>OCCUPIED</v>
      </c>
      <c r="Q243" s="22" t="str">
        <f aca="false">IF(P243="OCCUPIED","Y","N")</f>
        <v>Y</v>
      </c>
      <c r="R243" s="25" t="n">
        <f aca="false">SUM(I243:J243)</f>
        <v>0</v>
      </c>
      <c r="S243" s="22" t="str">
        <f aca="false">IF(AND(R243&gt;0,Q243="Y"),"YES","NO")</f>
        <v>NO</v>
      </c>
      <c r="T243" s="22" t="s">
        <v>12975</v>
      </c>
      <c r="U243" s="23" t="n">
        <v>46206</v>
      </c>
      <c r="V243" s="23" t="n">
        <v>46215</v>
      </c>
      <c r="W243" s="22"/>
      <c r="X243" s="22" t="str">
        <f aca="false">IF(ABS(M243)&gt;0.005,"Reported total_due does not equal buckets",IF(O243&lt;&gt;"Y","Account/slip ID mismatch",IF(P243&lt;&gt;"OCCUPIED","Slip not occupied","OK")))</f>
        <v>OK</v>
      </c>
      <c r="Y243" s="22" t="str">
        <f aca="false">IF(ABS(M243)&gt;0.005,"Priority 3","")</f>
        <v/>
      </c>
    </row>
    <row r="244" customFormat="false" ht="15" hidden="false" customHeight="false" outlineLevel="0" collapsed="false">
      <c r="A244" s="22" t="s">
        <v>11884</v>
      </c>
      <c r="B244" s="22" t="s">
        <v>3688</v>
      </c>
      <c r="C244" s="22" t="s">
        <v>7295</v>
      </c>
      <c r="D244" s="22" t="s">
        <v>198</v>
      </c>
      <c r="E244" s="22" t="s">
        <v>8601</v>
      </c>
      <c r="F244" s="25" t="n">
        <v>624</v>
      </c>
      <c r="G244" s="25" t="n">
        <v>624</v>
      </c>
      <c r="H244" s="25" t="n">
        <v>0</v>
      </c>
      <c r="I244" s="25" t="n">
        <v>0</v>
      </c>
      <c r="J244" s="25" t="n">
        <v>0</v>
      </c>
      <c r="K244" s="25" t="n">
        <v>1248</v>
      </c>
      <c r="L244" s="25" t="n">
        <f aca="false">SUM(F244:J244)</f>
        <v>1248</v>
      </c>
      <c r="M244" s="25" t="n">
        <f aca="false">K244-L244</f>
        <v>0</v>
      </c>
      <c r="N244" s="22" t="str">
        <f aca="false">RIGHT(A244,LEN(A244)-3)</f>
        <v>LP-1118</v>
      </c>
      <c r="O244" s="22" t="str">
        <f aca="false">IF(C244=N244,"Y","N")</f>
        <v>Y</v>
      </c>
      <c r="P244" s="22" t="str">
        <f aca="false">IFERROR(VLOOKUP(N244,'Slip Inventory'!$A$2:$R$1181,10,FALSE()),"NOT FOUND")</f>
        <v>OCCUPIED</v>
      </c>
      <c r="Q244" s="22" t="str">
        <f aca="false">IF(P244="OCCUPIED","Y","N")</f>
        <v>Y</v>
      </c>
      <c r="R244" s="25" t="n">
        <f aca="false">SUM(I244:J244)</f>
        <v>0</v>
      </c>
      <c r="S244" s="22" t="str">
        <f aca="false">IF(AND(R244&gt;0,Q244="Y"),"YES","NO")</f>
        <v>NO</v>
      </c>
      <c r="T244" s="22" t="s">
        <v>12977</v>
      </c>
      <c r="U244" s="23" t="n">
        <v>46161</v>
      </c>
      <c r="V244" s="23" t="n">
        <v>46181</v>
      </c>
      <c r="W244" s="22"/>
      <c r="X244" s="22" t="str">
        <f aca="false">IF(ABS(M244)&gt;0.005,"Reported total_due does not equal buckets",IF(O244&lt;&gt;"Y","Account/slip ID mismatch",IF(P244&lt;&gt;"OCCUPIED","Slip not occupied","OK")))</f>
        <v>OK</v>
      </c>
      <c r="Y244" s="22" t="str">
        <f aca="false">IF(ABS(M244)&gt;0.005,"Priority 3","")</f>
        <v/>
      </c>
    </row>
    <row r="245" customFormat="false" ht="15" hidden="false" customHeight="false" outlineLevel="0" collapsed="false">
      <c r="A245" s="22" t="s">
        <v>11886</v>
      </c>
      <c r="B245" s="22" t="s">
        <v>5244</v>
      </c>
      <c r="C245" s="22" t="s">
        <v>7298</v>
      </c>
      <c r="D245" s="22" t="s">
        <v>198</v>
      </c>
      <c r="E245" s="22" t="s">
        <v>8601</v>
      </c>
      <c r="F245" s="25" t="n">
        <v>436.8</v>
      </c>
      <c r="G245" s="25" t="n">
        <v>0</v>
      </c>
      <c r="H245" s="25" t="n">
        <v>0</v>
      </c>
      <c r="I245" s="25" t="n">
        <v>0</v>
      </c>
      <c r="J245" s="25" t="n">
        <v>0</v>
      </c>
      <c r="K245" s="25" t="n">
        <v>436.8</v>
      </c>
      <c r="L245" s="25" t="n">
        <f aca="false">SUM(F245:J245)</f>
        <v>436.8</v>
      </c>
      <c r="M245" s="25" t="n">
        <f aca="false">K245-L245</f>
        <v>0</v>
      </c>
      <c r="N245" s="22" t="str">
        <f aca="false">RIGHT(A245,LEN(A245)-3)</f>
        <v>LP-1119</v>
      </c>
      <c r="O245" s="22" t="str">
        <f aca="false">IF(C245=N245,"Y","N")</f>
        <v>Y</v>
      </c>
      <c r="P245" s="22" t="str">
        <f aca="false">IFERROR(VLOOKUP(N245,'Slip Inventory'!$A$2:$R$1181,10,FALSE()),"NOT FOUND")</f>
        <v>OCCUPIED</v>
      </c>
      <c r="Q245" s="22" t="str">
        <f aca="false">IF(P245="OCCUPIED","Y","N")</f>
        <v>Y</v>
      </c>
      <c r="R245" s="25" t="n">
        <f aca="false">SUM(I245:J245)</f>
        <v>0</v>
      </c>
      <c r="S245" s="22" t="str">
        <f aca="false">IF(AND(R245&gt;0,Q245="Y"),"YES","NO")</f>
        <v>NO</v>
      </c>
      <c r="T245" s="22" t="s">
        <v>12975</v>
      </c>
      <c r="U245" s="23" t="n">
        <v>46231</v>
      </c>
      <c r="V245" s="23" t="n">
        <v>46209</v>
      </c>
      <c r="W245" s="22"/>
      <c r="X245" s="22" t="str">
        <f aca="false">IF(ABS(M245)&gt;0.005,"Reported total_due does not equal buckets",IF(O245&lt;&gt;"Y","Account/slip ID mismatch",IF(P245&lt;&gt;"OCCUPIED","Slip not occupied","OK")))</f>
        <v>OK</v>
      </c>
      <c r="Y245" s="22" t="str">
        <f aca="false">IF(ABS(M245)&gt;0.005,"Priority 3","")</f>
        <v/>
      </c>
    </row>
    <row r="246" customFormat="false" ht="15" hidden="false" customHeight="false" outlineLevel="0" collapsed="false">
      <c r="A246" s="22" t="s">
        <v>11888</v>
      </c>
      <c r="B246" s="22" t="s">
        <v>226</v>
      </c>
      <c r="C246" s="22" t="s">
        <v>7301</v>
      </c>
      <c r="D246" s="22" t="s">
        <v>198</v>
      </c>
      <c r="E246" s="22" t="s">
        <v>8601</v>
      </c>
      <c r="F246" s="25" t="n">
        <v>332.8</v>
      </c>
      <c r="G246" s="25" t="n">
        <v>0</v>
      </c>
      <c r="H246" s="25" t="n">
        <v>0</v>
      </c>
      <c r="I246" s="25" t="n">
        <v>0</v>
      </c>
      <c r="J246" s="25" t="n">
        <v>0</v>
      </c>
      <c r="K246" s="25" t="n">
        <v>332.8</v>
      </c>
      <c r="L246" s="25" t="n">
        <f aca="false">SUM(F246:J246)</f>
        <v>332.8</v>
      </c>
      <c r="M246" s="25" t="n">
        <f aca="false">K246-L246</f>
        <v>0</v>
      </c>
      <c r="N246" s="22" t="str">
        <f aca="false">RIGHT(A246,LEN(A246)-3)</f>
        <v>LP-1120</v>
      </c>
      <c r="O246" s="22" t="str">
        <f aca="false">IF(C246=N246,"Y","N")</f>
        <v>Y</v>
      </c>
      <c r="P246" s="22" t="str">
        <f aca="false">IFERROR(VLOOKUP(N246,'Slip Inventory'!$A$2:$R$1181,10,FALSE()),"NOT FOUND")</f>
        <v>OCCUPIED</v>
      </c>
      <c r="Q246" s="22" t="str">
        <f aca="false">IF(P246="OCCUPIED","Y","N")</f>
        <v>Y</v>
      </c>
      <c r="R246" s="25" t="n">
        <f aca="false">SUM(I246:J246)</f>
        <v>0</v>
      </c>
      <c r="S246" s="22" t="str">
        <f aca="false">IF(AND(R246&gt;0,Q246="Y"),"YES","NO")</f>
        <v>NO</v>
      </c>
      <c r="T246" s="22" t="s">
        <v>12975</v>
      </c>
      <c r="U246" s="23" t="n">
        <v>46218</v>
      </c>
      <c r="V246" s="23" t="n">
        <v>46179</v>
      </c>
      <c r="W246" s="22"/>
      <c r="X246" s="22" t="str">
        <f aca="false">IF(ABS(M246)&gt;0.005,"Reported total_due does not equal buckets",IF(O246&lt;&gt;"Y","Account/slip ID mismatch",IF(P246&lt;&gt;"OCCUPIED","Slip not occupied","OK")))</f>
        <v>OK</v>
      </c>
      <c r="Y246" s="22" t="str">
        <f aca="false">IF(ABS(M246)&gt;0.005,"Priority 3","")</f>
        <v/>
      </c>
    </row>
    <row r="247" customFormat="false" ht="15" hidden="false" customHeight="false" outlineLevel="0" collapsed="false">
      <c r="A247" s="22" t="s">
        <v>11890</v>
      </c>
      <c r="B247" s="22" t="s">
        <v>5585</v>
      </c>
      <c r="C247" s="22" t="s">
        <v>7303</v>
      </c>
      <c r="D247" s="22" t="s">
        <v>159</v>
      </c>
      <c r="E247" s="22" t="s">
        <v>8601</v>
      </c>
      <c r="F247" s="25" t="n">
        <v>634.4</v>
      </c>
      <c r="G247" s="25" t="n">
        <v>0</v>
      </c>
      <c r="H247" s="25" t="n">
        <v>0</v>
      </c>
      <c r="I247" s="25" t="n">
        <v>0</v>
      </c>
      <c r="J247" s="25" t="n">
        <v>0</v>
      </c>
      <c r="K247" s="25" t="n">
        <v>634.4</v>
      </c>
      <c r="L247" s="25" t="n">
        <f aca="false">SUM(F247:J247)</f>
        <v>634.4</v>
      </c>
      <c r="M247" s="25" t="n">
        <f aca="false">K247-L247</f>
        <v>0</v>
      </c>
      <c r="N247" s="22" t="str">
        <f aca="false">RIGHT(A247,LEN(A247)-3)</f>
        <v>VB-0101</v>
      </c>
      <c r="O247" s="22" t="str">
        <f aca="false">IF(C247=N247,"Y","N")</f>
        <v>Y</v>
      </c>
      <c r="P247" s="22" t="str">
        <f aca="false">IFERROR(VLOOKUP(N247,'Slip Inventory'!$A$2:$R$1181,10,FALSE()),"NOT FOUND")</f>
        <v>OCCUPIED</v>
      </c>
      <c r="Q247" s="22" t="str">
        <f aca="false">IF(P247="OCCUPIED","Y","N")</f>
        <v>Y</v>
      </c>
      <c r="R247" s="25" t="n">
        <f aca="false">SUM(I247:J247)</f>
        <v>0</v>
      </c>
      <c r="S247" s="22" t="str">
        <f aca="false">IF(AND(R247&gt;0,Q247="Y"),"YES","NO")</f>
        <v>NO</v>
      </c>
      <c r="T247" s="22" t="s">
        <v>12975</v>
      </c>
      <c r="U247" s="23" t="n">
        <v>46207</v>
      </c>
      <c r="V247" s="23" t="n">
        <v>46223</v>
      </c>
      <c r="W247" s="22"/>
      <c r="X247" s="22" t="str">
        <f aca="false">IF(ABS(M247)&gt;0.005,"Reported total_due does not equal buckets",IF(O247&lt;&gt;"Y","Account/slip ID mismatch",IF(P247&lt;&gt;"OCCUPIED","Slip not occupied","OK")))</f>
        <v>OK</v>
      </c>
      <c r="Y247" s="22" t="str">
        <f aca="false">IF(ABS(M247)&gt;0.005,"Priority 3","")</f>
        <v/>
      </c>
    </row>
    <row r="248" customFormat="false" ht="15" hidden="false" customHeight="false" outlineLevel="0" collapsed="false">
      <c r="A248" s="22" t="s">
        <v>11892</v>
      </c>
      <c r="B248" s="22" t="s">
        <v>5450</v>
      </c>
      <c r="C248" s="22" t="s">
        <v>7304</v>
      </c>
      <c r="D248" s="22" t="s">
        <v>159</v>
      </c>
      <c r="E248" s="22" t="s">
        <v>8601</v>
      </c>
      <c r="F248" s="25" t="n">
        <v>353.6</v>
      </c>
      <c r="G248" s="25" t="n">
        <v>0</v>
      </c>
      <c r="H248" s="25" t="n">
        <v>0</v>
      </c>
      <c r="I248" s="25" t="n">
        <v>0</v>
      </c>
      <c r="J248" s="25" t="n">
        <v>0</v>
      </c>
      <c r="K248" s="25" t="n">
        <v>353.6</v>
      </c>
      <c r="L248" s="25" t="n">
        <f aca="false">SUM(F248:J248)</f>
        <v>353.6</v>
      </c>
      <c r="M248" s="25" t="n">
        <f aca="false">K248-L248</f>
        <v>0</v>
      </c>
      <c r="N248" s="22" t="str">
        <f aca="false">RIGHT(A248,LEN(A248)-3)</f>
        <v>VB-0102</v>
      </c>
      <c r="O248" s="22" t="str">
        <f aca="false">IF(C248=N248,"Y","N")</f>
        <v>Y</v>
      </c>
      <c r="P248" s="22" t="str">
        <f aca="false">IFERROR(VLOOKUP(N248,'Slip Inventory'!$A$2:$R$1181,10,FALSE()),"NOT FOUND")</f>
        <v>OCCUPIED</v>
      </c>
      <c r="Q248" s="22" t="str">
        <f aca="false">IF(P248="OCCUPIED","Y","N")</f>
        <v>Y</v>
      </c>
      <c r="R248" s="25" t="n">
        <f aca="false">SUM(I248:J248)</f>
        <v>0</v>
      </c>
      <c r="S248" s="22" t="str">
        <f aca="false">IF(AND(R248&gt;0,Q248="Y"),"YES","NO")</f>
        <v>NO</v>
      </c>
      <c r="T248" s="22" t="s">
        <v>12975</v>
      </c>
      <c r="U248" s="23" t="n">
        <v>46146</v>
      </c>
      <c r="V248" s="23" t="n">
        <v>46191</v>
      </c>
      <c r="W248" s="22"/>
      <c r="X248" s="22" t="str">
        <f aca="false">IF(ABS(M248)&gt;0.005,"Reported total_due does not equal buckets",IF(O248&lt;&gt;"Y","Account/slip ID mismatch",IF(P248&lt;&gt;"OCCUPIED","Slip not occupied","OK")))</f>
        <v>OK</v>
      </c>
      <c r="Y248" s="22" t="str">
        <f aca="false">IF(ABS(M248)&gt;0.005,"Priority 3","")</f>
        <v/>
      </c>
    </row>
    <row r="249" customFormat="false" ht="15" hidden="false" customHeight="false" outlineLevel="0" collapsed="false">
      <c r="A249" s="22" t="s">
        <v>11894</v>
      </c>
      <c r="B249" s="22" t="s">
        <v>5041</v>
      </c>
      <c r="C249" s="22" t="s">
        <v>7305</v>
      </c>
      <c r="D249" s="22" t="s">
        <v>159</v>
      </c>
      <c r="E249" s="22" t="s">
        <v>8601</v>
      </c>
      <c r="F249" s="25" t="n">
        <v>405.6</v>
      </c>
      <c r="G249" s="25" t="n">
        <v>0</v>
      </c>
      <c r="H249" s="25" t="n">
        <v>0</v>
      </c>
      <c r="I249" s="25" t="n">
        <v>0</v>
      </c>
      <c r="J249" s="25" t="n">
        <v>0</v>
      </c>
      <c r="K249" s="25" t="n">
        <v>405.6</v>
      </c>
      <c r="L249" s="25" t="n">
        <f aca="false">SUM(F249:J249)</f>
        <v>405.6</v>
      </c>
      <c r="M249" s="25" t="n">
        <f aca="false">K249-L249</f>
        <v>0</v>
      </c>
      <c r="N249" s="22" t="str">
        <f aca="false">RIGHT(A249,LEN(A249)-3)</f>
        <v>VB-0103</v>
      </c>
      <c r="O249" s="22" t="str">
        <f aca="false">IF(C249=N249,"Y","N")</f>
        <v>Y</v>
      </c>
      <c r="P249" s="22" t="str">
        <f aca="false">IFERROR(VLOOKUP(N249,'Slip Inventory'!$A$2:$R$1181,10,FALSE()),"NOT FOUND")</f>
        <v>OCCUPIED</v>
      </c>
      <c r="Q249" s="22" t="str">
        <f aca="false">IF(P249="OCCUPIED","Y","N")</f>
        <v>Y</v>
      </c>
      <c r="R249" s="25" t="n">
        <f aca="false">SUM(I249:J249)</f>
        <v>0</v>
      </c>
      <c r="S249" s="22" t="str">
        <f aca="false">IF(AND(R249&gt;0,Q249="Y"),"YES","NO")</f>
        <v>NO</v>
      </c>
      <c r="T249" s="22" t="s">
        <v>12975</v>
      </c>
      <c r="U249" s="23" t="n">
        <v>46194</v>
      </c>
      <c r="V249" s="23" t="n">
        <v>46211</v>
      </c>
      <c r="W249" s="22"/>
      <c r="X249" s="22" t="str">
        <f aca="false">IF(ABS(M249)&gt;0.005,"Reported total_due does not equal buckets",IF(O249&lt;&gt;"Y","Account/slip ID mismatch",IF(P249&lt;&gt;"OCCUPIED","Slip not occupied","OK")))</f>
        <v>OK</v>
      </c>
      <c r="Y249" s="22" t="str">
        <f aca="false">IF(ABS(M249)&gt;0.005,"Priority 3","")</f>
        <v/>
      </c>
    </row>
    <row r="250" customFormat="false" ht="15" hidden="false" customHeight="false" outlineLevel="0" collapsed="false">
      <c r="A250" s="22" t="s">
        <v>11896</v>
      </c>
      <c r="B250" s="22" t="s">
        <v>6421</v>
      </c>
      <c r="C250" s="22" t="s">
        <v>7309</v>
      </c>
      <c r="D250" s="22" t="s">
        <v>159</v>
      </c>
      <c r="E250" s="22" t="s">
        <v>8601</v>
      </c>
      <c r="F250" s="25" t="n">
        <v>561.6</v>
      </c>
      <c r="G250" s="25" t="n">
        <v>0</v>
      </c>
      <c r="H250" s="25" t="n">
        <v>0</v>
      </c>
      <c r="I250" s="25" t="n">
        <v>0</v>
      </c>
      <c r="J250" s="25" t="n">
        <v>0</v>
      </c>
      <c r="K250" s="25" t="n">
        <v>561.6</v>
      </c>
      <c r="L250" s="25" t="n">
        <f aca="false">SUM(F250:J250)</f>
        <v>561.6</v>
      </c>
      <c r="M250" s="25" t="n">
        <f aca="false">K250-L250</f>
        <v>0</v>
      </c>
      <c r="N250" s="22" t="str">
        <f aca="false">RIGHT(A250,LEN(A250)-3)</f>
        <v>VB-0105</v>
      </c>
      <c r="O250" s="22" t="str">
        <f aca="false">IF(C250=N250,"Y","N")</f>
        <v>Y</v>
      </c>
      <c r="P250" s="22" t="str">
        <f aca="false">IFERROR(VLOOKUP(N250,'Slip Inventory'!$A$2:$R$1181,10,FALSE()),"NOT FOUND")</f>
        <v>OCCUPIED</v>
      </c>
      <c r="Q250" s="22" t="str">
        <f aca="false">IF(P250="OCCUPIED","Y","N")</f>
        <v>Y</v>
      </c>
      <c r="R250" s="25" t="n">
        <f aca="false">SUM(I250:J250)</f>
        <v>0</v>
      </c>
      <c r="S250" s="22" t="str">
        <f aca="false">IF(AND(R250&gt;0,Q250="Y"),"YES","NO")</f>
        <v>NO</v>
      </c>
      <c r="T250" s="22" t="s">
        <v>12975</v>
      </c>
      <c r="U250" s="23" t="n">
        <v>46198</v>
      </c>
      <c r="V250" s="23" t="n">
        <v>46202</v>
      </c>
      <c r="W250" s="22"/>
      <c r="X250" s="22" t="str">
        <f aca="false">IF(ABS(M250)&gt;0.005,"Reported total_due does not equal buckets",IF(O250&lt;&gt;"Y","Account/slip ID mismatch",IF(P250&lt;&gt;"OCCUPIED","Slip not occupied","OK")))</f>
        <v>OK</v>
      </c>
      <c r="Y250" s="22" t="str">
        <f aca="false">IF(ABS(M250)&gt;0.005,"Priority 3","")</f>
        <v/>
      </c>
    </row>
    <row r="251" customFormat="false" ht="15" hidden="false" customHeight="false" outlineLevel="0" collapsed="false">
      <c r="A251" s="22" t="s">
        <v>11898</v>
      </c>
      <c r="B251" s="22" t="s">
        <v>875</v>
      </c>
      <c r="C251" s="22" t="s">
        <v>7311</v>
      </c>
      <c r="D251" s="22" t="s">
        <v>159</v>
      </c>
      <c r="E251" s="22" t="s">
        <v>8601</v>
      </c>
      <c r="F251" s="25" t="n">
        <v>509.6</v>
      </c>
      <c r="G251" s="25" t="n">
        <v>0</v>
      </c>
      <c r="H251" s="25" t="n">
        <v>0</v>
      </c>
      <c r="I251" s="25" t="n">
        <v>0</v>
      </c>
      <c r="J251" s="25" t="n">
        <v>0</v>
      </c>
      <c r="K251" s="25" t="n">
        <v>509.6</v>
      </c>
      <c r="L251" s="25" t="n">
        <f aca="false">SUM(F251:J251)</f>
        <v>509.6</v>
      </c>
      <c r="M251" s="25" t="n">
        <f aca="false">K251-L251</f>
        <v>0</v>
      </c>
      <c r="N251" s="22" t="str">
        <f aca="false">RIGHT(A251,LEN(A251)-3)</f>
        <v>VB-0106</v>
      </c>
      <c r="O251" s="22" t="str">
        <f aca="false">IF(C251=N251,"Y","N")</f>
        <v>Y</v>
      </c>
      <c r="P251" s="22" t="str">
        <f aca="false">IFERROR(VLOOKUP(N251,'Slip Inventory'!$A$2:$R$1181,10,FALSE()),"NOT FOUND")</f>
        <v>OCCUPIED</v>
      </c>
      <c r="Q251" s="22" t="str">
        <f aca="false">IF(P251="OCCUPIED","Y","N")</f>
        <v>Y</v>
      </c>
      <c r="R251" s="25" t="n">
        <f aca="false">SUM(I251:J251)</f>
        <v>0</v>
      </c>
      <c r="S251" s="22" t="str">
        <f aca="false">IF(AND(R251&gt;0,Q251="Y"),"YES","NO")</f>
        <v>NO</v>
      </c>
      <c r="T251" s="22" t="s">
        <v>12975</v>
      </c>
      <c r="U251" s="23" t="n">
        <v>46205</v>
      </c>
      <c r="V251" s="23" t="n">
        <v>46202</v>
      </c>
      <c r="W251" s="22"/>
      <c r="X251" s="22" t="str">
        <f aca="false">IF(ABS(M251)&gt;0.005,"Reported total_due does not equal buckets",IF(O251&lt;&gt;"Y","Account/slip ID mismatch",IF(P251&lt;&gt;"OCCUPIED","Slip not occupied","OK")))</f>
        <v>OK</v>
      </c>
      <c r="Y251" s="22" t="str">
        <f aca="false">IF(ABS(M251)&gt;0.005,"Priority 3","")</f>
        <v/>
      </c>
    </row>
    <row r="252" customFormat="false" ht="15" hidden="false" customHeight="false" outlineLevel="0" collapsed="false">
      <c r="A252" s="22" t="s">
        <v>11900</v>
      </c>
      <c r="B252" s="22" t="s">
        <v>4415</v>
      </c>
      <c r="C252" s="22" t="s">
        <v>7312</v>
      </c>
      <c r="D252" s="22" t="s">
        <v>159</v>
      </c>
      <c r="E252" s="22" t="s">
        <v>8601</v>
      </c>
      <c r="F252" s="25" t="n">
        <v>374.4</v>
      </c>
      <c r="G252" s="25" t="n">
        <v>0</v>
      </c>
      <c r="H252" s="25" t="n">
        <v>0</v>
      </c>
      <c r="I252" s="25" t="n">
        <v>0</v>
      </c>
      <c r="J252" s="25" t="n">
        <v>0</v>
      </c>
      <c r="K252" s="25" t="n">
        <v>374.4</v>
      </c>
      <c r="L252" s="25" t="n">
        <f aca="false">SUM(F252:J252)</f>
        <v>374.4</v>
      </c>
      <c r="M252" s="25" t="n">
        <f aca="false">K252-L252</f>
        <v>0</v>
      </c>
      <c r="N252" s="22" t="str">
        <f aca="false">RIGHT(A252,LEN(A252)-3)</f>
        <v>VB-0107</v>
      </c>
      <c r="O252" s="22" t="str">
        <f aca="false">IF(C252=N252,"Y","N")</f>
        <v>Y</v>
      </c>
      <c r="P252" s="22" t="str">
        <f aca="false">IFERROR(VLOOKUP(N252,'Slip Inventory'!$A$2:$R$1181,10,FALSE()),"NOT FOUND")</f>
        <v>OCCUPIED</v>
      </c>
      <c r="Q252" s="22" t="str">
        <f aca="false">IF(P252="OCCUPIED","Y","N")</f>
        <v>Y</v>
      </c>
      <c r="R252" s="25" t="n">
        <f aca="false">SUM(I252:J252)</f>
        <v>0</v>
      </c>
      <c r="S252" s="22" t="str">
        <f aca="false">IF(AND(R252&gt;0,Q252="Y"),"YES","NO")</f>
        <v>NO</v>
      </c>
      <c r="T252" s="22" t="s">
        <v>12975</v>
      </c>
      <c r="U252" s="23" t="n">
        <v>46231</v>
      </c>
      <c r="V252" s="23" t="n">
        <v>46199</v>
      </c>
      <c r="W252" s="22"/>
      <c r="X252" s="22" t="str">
        <f aca="false">IF(ABS(M252)&gt;0.005,"Reported total_due does not equal buckets",IF(O252&lt;&gt;"Y","Account/slip ID mismatch",IF(P252&lt;&gt;"OCCUPIED","Slip not occupied","OK")))</f>
        <v>OK</v>
      </c>
      <c r="Y252" s="22" t="str">
        <f aca="false">IF(ABS(M252)&gt;0.005,"Priority 3","")</f>
        <v/>
      </c>
    </row>
    <row r="253" customFormat="false" ht="15" hidden="false" customHeight="false" outlineLevel="0" collapsed="false">
      <c r="A253" s="22" t="s">
        <v>11902</v>
      </c>
      <c r="B253" s="22" t="s">
        <v>6489</v>
      </c>
      <c r="C253" s="22" t="s">
        <v>7314</v>
      </c>
      <c r="D253" s="22" t="s">
        <v>159</v>
      </c>
      <c r="E253" s="22" t="s">
        <v>8601</v>
      </c>
      <c r="F253" s="25" t="n">
        <v>332.8</v>
      </c>
      <c r="G253" s="25" t="n">
        <v>332.8</v>
      </c>
      <c r="H253" s="25" t="n">
        <v>0</v>
      </c>
      <c r="I253" s="25" t="n">
        <v>0</v>
      </c>
      <c r="J253" s="25" t="n">
        <v>0</v>
      </c>
      <c r="K253" s="25" t="n">
        <v>665.6</v>
      </c>
      <c r="L253" s="25" t="n">
        <f aca="false">SUM(F253:J253)</f>
        <v>665.6</v>
      </c>
      <c r="M253" s="25" t="n">
        <f aca="false">K253-L253</f>
        <v>0</v>
      </c>
      <c r="N253" s="22" t="str">
        <f aca="false">RIGHT(A253,LEN(A253)-3)</f>
        <v>VB-0108</v>
      </c>
      <c r="O253" s="22" t="str">
        <f aca="false">IF(C253=N253,"Y","N")</f>
        <v>Y</v>
      </c>
      <c r="P253" s="22" t="str">
        <f aca="false">IFERROR(VLOOKUP(N253,'Slip Inventory'!$A$2:$R$1181,10,FALSE()),"NOT FOUND")</f>
        <v>OCCUPIED</v>
      </c>
      <c r="Q253" s="22" t="str">
        <f aca="false">IF(P253="OCCUPIED","Y","N")</f>
        <v>Y</v>
      </c>
      <c r="R253" s="25" t="n">
        <f aca="false">SUM(I253:J253)</f>
        <v>0</v>
      </c>
      <c r="S253" s="22" t="str">
        <f aca="false">IF(AND(R253&gt;0,Q253="Y"),"YES","NO")</f>
        <v>NO</v>
      </c>
      <c r="T253" s="22" t="s">
        <v>12977</v>
      </c>
      <c r="U253" s="23" t="n">
        <v>46206</v>
      </c>
      <c r="V253" s="23" t="n">
        <v>46181</v>
      </c>
      <c r="W253" s="22"/>
      <c r="X253" s="22" t="str">
        <f aca="false">IF(ABS(M253)&gt;0.005,"Reported total_due does not equal buckets",IF(O253&lt;&gt;"Y","Account/slip ID mismatch",IF(P253&lt;&gt;"OCCUPIED","Slip not occupied","OK")))</f>
        <v>OK</v>
      </c>
      <c r="Y253" s="22" t="str">
        <f aca="false">IF(ABS(M253)&gt;0.005,"Priority 3","")</f>
        <v/>
      </c>
    </row>
    <row r="254" customFormat="false" ht="15" hidden="false" customHeight="false" outlineLevel="0" collapsed="false">
      <c r="A254" s="22" t="s">
        <v>11904</v>
      </c>
      <c r="B254" s="22" t="s">
        <v>3814</v>
      </c>
      <c r="C254" s="22" t="s">
        <v>7316</v>
      </c>
      <c r="D254" s="22" t="s">
        <v>159</v>
      </c>
      <c r="E254" s="22" t="s">
        <v>8601</v>
      </c>
      <c r="F254" s="25" t="n">
        <v>322.4</v>
      </c>
      <c r="G254" s="25" t="n">
        <v>0</v>
      </c>
      <c r="H254" s="25" t="n">
        <v>0</v>
      </c>
      <c r="I254" s="25" t="n">
        <v>0</v>
      </c>
      <c r="J254" s="25" t="n">
        <v>0</v>
      </c>
      <c r="K254" s="25" t="n">
        <v>322.4</v>
      </c>
      <c r="L254" s="25" t="n">
        <f aca="false">SUM(F254:J254)</f>
        <v>322.4</v>
      </c>
      <c r="M254" s="25" t="n">
        <f aca="false">K254-L254</f>
        <v>0</v>
      </c>
      <c r="N254" s="22" t="str">
        <f aca="false">RIGHT(A254,LEN(A254)-3)</f>
        <v>VB-0109</v>
      </c>
      <c r="O254" s="22" t="str">
        <f aca="false">IF(C254=N254,"Y","N")</f>
        <v>Y</v>
      </c>
      <c r="P254" s="22" t="str">
        <f aca="false">IFERROR(VLOOKUP(N254,'Slip Inventory'!$A$2:$R$1181,10,FALSE()),"NOT FOUND")</f>
        <v>OCCUPIED</v>
      </c>
      <c r="Q254" s="22" t="str">
        <f aca="false">IF(P254="OCCUPIED","Y","N")</f>
        <v>Y</v>
      </c>
      <c r="R254" s="25" t="n">
        <f aca="false">SUM(I254:J254)</f>
        <v>0</v>
      </c>
      <c r="S254" s="22" t="str">
        <f aca="false">IF(AND(R254&gt;0,Q254="Y"),"YES","NO")</f>
        <v>NO</v>
      </c>
      <c r="T254" s="22" t="s">
        <v>12975</v>
      </c>
      <c r="U254" s="23" t="n">
        <v>46201</v>
      </c>
      <c r="V254" s="23" t="n">
        <v>46189</v>
      </c>
      <c r="W254" s="22"/>
      <c r="X254" s="22" t="str">
        <f aca="false">IF(ABS(M254)&gt;0.005,"Reported total_due does not equal buckets",IF(O254&lt;&gt;"Y","Account/slip ID mismatch",IF(P254&lt;&gt;"OCCUPIED","Slip not occupied","OK")))</f>
        <v>OK</v>
      </c>
      <c r="Y254" s="22" t="str">
        <f aca="false">IF(ABS(M254)&gt;0.005,"Priority 3","")</f>
        <v/>
      </c>
    </row>
    <row r="255" customFormat="false" ht="15" hidden="false" customHeight="false" outlineLevel="0" collapsed="false">
      <c r="A255" s="22" t="s">
        <v>11906</v>
      </c>
      <c r="B255" s="22" t="s">
        <v>2409</v>
      </c>
      <c r="C255" s="22" t="s">
        <v>7318</v>
      </c>
      <c r="D255" s="22" t="s">
        <v>159</v>
      </c>
      <c r="E255" s="22" t="s">
        <v>8601</v>
      </c>
      <c r="F255" s="25" t="n">
        <v>540.8</v>
      </c>
      <c r="G255" s="25" t="n">
        <v>0</v>
      </c>
      <c r="H255" s="25" t="n">
        <v>0</v>
      </c>
      <c r="I255" s="25" t="n">
        <v>0</v>
      </c>
      <c r="J255" s="25" t="n">
        <v>0</v>
      </c>
      <c r="K255" s="25" t="n">
        <v>540.8</v>
      </c>
      <c r="L255" s="25" t="n">
        <f aca="false">SUM(F255:J255)</f>
        <v>540.8</v>
      </c>
      <c r="M255" s="25" t="n">
        <f aca="false">K255-L255</f>
        <v>0</v>
      </c>
      <c r="N255" s="22" t="str">
        <f aca="false">RIGHT(A255,LEN(A255)-3)</f>
        <v>VB-0110</v>
      </c>
      <c r="O255" s="22" t="str">
        <f aca="false">IF(C255=N255,"Y","N")</f>
        <v>Y</v>
      </c>
      <c r="P255" s="22" t="str">
        <f aca="false">IFERROR(VLOOKUP(N255,'Slip Inventory'!$A$2:$R$1181,10,FALSE()),"NOT FOUND")</f>
        <v>OCCUPIED</v>
      </c>
      <c r="Q255" s="22" t="str">
        <f aca="false">IF(P255="OCCUPIED","Y","N")</f>
        <v>Y</v>
      </c>
      <c r="R255" s="25" t="n">
        <f aca="false">SUM(I255:J255)</f>
        <v>0</v>
      </c>
      <c r="S255" s="22" t="str">
        <f aca="false">IF(AND(R255&gt;0,Q255="Y"),"YES","NO")</f>
        <v>NO</v>
      </c>
      <c r="T255" s="22" t="s">
        <v>12975</v>
      </c>
      <c r="U255" s="23" t="n">
        <v>46165</v>
      </c>
      <c r="V255" s="23" t="n">
        <v>46194</v>
      </c>
      <c r="W255" s="22"/>
      <c r="X255" s="22" t="str">
        <f aca="false">IF(ABS(M255)&gt;0.005,"Reported total_due does not equal buckets",IF(O255&lt;&gt;"Y","Account/slip ID mismatch",IF(P255&lt;&gt;"OCCUPIED","Slip not occupied","OK")))</f>
        <v>OK</v>
      </c>
      <c r="Y255" s="22" t="str">
        <f aca="false">IF(ABS(M255)&gt;0.005,"Priority 3","")</f>
        <v/>
      </c>
    </row>
    <row r="256" customFormat="false" ht="15" hidden="false" customHeight="false" outlineLevel="0" collapsed="false">
      <c r="A256" s="22" t="s">
        <v>11908</v>
      </c>
      <c r="B256" s="22" t="s">
        <v>6018</v>
      </c>
      <c r="C256" s="22" t="s">
        <v>7320</v>
      </c>
      <c r="D256" s="22" t="s">
        <v>159</v>
      </c>
      <c r="E256" s="22" t="s">
        <v>8601</v>
      </c>
      <c r="F256" s="25" t="n">
        <v>405.6</v>
      </c>
      <c r="G256" s="25" t="n">
        <v>0</v>
      </c>
      <c r="H256" s="25" t="n">
        <v>0</v>
      </c>
      <c r="I256" s="25" t="n">
        <v>0</v>
      </c>
      <c r="J256" s="25" t="n">
        <v>0</v>
      </c>
      <c r="K256" s="25" t="n">
        <v>0</v>
      </c>
      <c r="L256" s="25" t="n">
        <f aca="false">SUM(F256:J256)</f>
        <v>405.6</v>
      </c>
      <c r="M256" s="25" t="n">
        <f aca="false">K256-L256</f>
        <v>-405.6</v>
      </c>
      <c r="N256" s="22" t="str">
        <f aca="false">RIGHT(A256,LEN(A256)-3)</f>
        <v>VB-0111</v>
      </c>
      <c r="O256" s="22" t="str">
        <f aca="false">IF(C256=N256,"Y","N")</f>
        <v>Y</v>
      </c>
      <c r="P256" s="22" t="str">
        <f aca="false">IFERROR(VLOOKUP(N256,'Slip Inventory'!$A$2:$R$1181,10,FALSE()),"NOT FOUND")</f>
        <v>OCCUPIED</v>
      </c>
      <c r="Q256" s="22" t="str">
        <f aca="false">IF(P256="OCCUPIED","Y","N")</f>
        <v>Y</v>
      </c>
      <c r="R256" s="25" t="n">
        <f aca="false">SUM(I256:J256)</f>
        <v>0</v>
      </c>
      <c r="S256" s="22" t="str">
        <f aca="false">IF(AND(R256&gt;0,Q256="Y"),"YES","NO")</f>
        <v>NO</v>
      </c>
      <c r="T256" s="22" t="s">
        <v>12975</v>
      </c>
      <c r="U256" s="23" t="n">
        <v>46177</v>
      </c>
      <c r="V256" s="23" t="n">
        <v>46199</v>
      </c>
      <c r="W256" s="22"/>
      <c r="X256" s="22" t="str">
        <f aca="false">IF(ABS(M256)&gt;0.005,"Reported total_due does not equal buckets",IF(O256&lt;&gt;"Y","Account/slip ID mismatch",IF(P256&lt;&gt;"OCCUPIED","Slip not occupied","OK")))</f>
        <v>Reported total_due does not equal buckets</v>
      </c>
      <c r="Y256" s="22" t="str">
        <f aca="false">IF(ABS(M256)&gt;0.005,"Priority 3","")</f>
        <v>Priority 3</v>
      </c>
    </row>
    <row r="257" customFormat="false" ht="15" hidden="false" customHeight="false" outlineLevel="0" collapsed="false">
      <c r="A257" s="22" t="s">
        <v>11910</v>
      </c>
      <c r="B257" s="22" t="s">
        <v>727</v>
      </c>
      <c r="C257" s="22" t="s">
        <v>7321</v>
      </c>
      <c r="D257" s="22" t="s">
        <v>159</v>
      </c>
      <c r="E257" s="22" t="s">
        <v>8601</v>
      </c>
      <c r="F257" s="25" t="n">
        <v>551.2</v>
      </c>
      <c r="G257" s="25" t="n">
        <v>0</v>
      </c>
      <c r="H257" s="25" t="n">
        <v>0</v>
      </c>
      <c r="I257" s="25" t="n">
        <v>0</v>
      </c>
      <c r="J257" s="25" t="n">
        <v>0</v>
      </c>
      <c r="K257" s="25" t="n">
        <v>551.2</v>
      </c>
      <c r="L257" s="25" t="n">
        <f aca="false">SUM(F257:J257)</f>
        <v>551.2</v>
      </c>
      <c r="M257" s="25" t="n">
        <f aca="false">K257-L257</f>
        <v>0</v>
      </c>
      <c r="N257" s="22" t="str">
        <f aca="false">RIGHT(A257,LEN(A257)-3)</f>
        <v>VB-0112</v>
      </c>
      <c r="O257" s="22" t="str">
        <f aca="false">IF(C257=N257,"Y","N")</f>
        <v>Y</v>
      </c>
      <c r="P257" s="22" t="str">
        <f aca="false">IFERROR(VLOOKUP(N257,'Slip Inventory'!$A$2:$R$1181,10,FALSE()),"NOT FOUND")</f>
        <v>OCCUPIED</v>
      </c>
      <c r="Q257" s="22" t="str">
        <f aca="false">IF(P257="OCCUPIED","Y","N")</f>
        <v>Y</v>
      </c>
      <c r="R257" s="25" t="n">
        <f aca="false">SUM(I257:J257)</f>
        <v>0</v>
      </c>
      <c r="S257" s="22" t="str">
        <f aca="false">IF(AND(R257&gt;0,Q257="Y"),"YES","NO")</f>
        <v>NO</v>
      </c>
      <c r="T257" s="22" t="s">
        <v>12975</v>
      </c>
      <c r="U257" s="23" t="n">
        <v>46153</v>
      </c>
      <c r="V257" s="23" t="n">
        <v>46212</v>
      </c>
      <c r="W257" s="22"/>
      <c r="X257" s="22" t="str">
        <f aca="false">IF(ABS(M257)&gt;0.005,"Reported total_due does not equal buckets",IF(O257&lt;&gt;"Y","Account/slip ID mismatch",IF(P257&lt;&gt;"OCCUPIED","Slip not occupied","OK")))</f>
        <v>OK</v>
      </c>
      <c r="Y257" s="22" t="str">
        <f aca="false">IF(ABS(M257)&gt;0.005,"Priority 3","")</f>
        <v/>
      </c>
    </row>
    <row r="258" customFormat="false" ht="15" hidden="false" customHeight="false" outlineLevel="0" collapsed="false">
      <c r="A258" s="22" t="s">
        <v>11912</v>
      </c>
      <c r="B258" s="22" t="s">
        <v>1735</v>
      </c>
      <c r="C258" s="22" t="s">
        <v>7323</v>
      </c>
      <c r="D258" s="22" t="s">
        <v>159</v>
      </c>
      <c r="E258" s="22" t="s">
        <v>8601</v>
      </c>
      <c r="F258" s="25" t="n">
        <v>291.2</v>
      </c>
      <c r="G258" s="25" t="n">
        <v>0</v>
      </c>
      <c r="H258" s="25" t="n">
        <v>0</v>
      </c>
      <c r="I258" s="25" t="n">
        <v>0</v>
      </c>
      <c r="J258" s="25" t="n">
        <v>0</v>
      </c>
      <c r="K258" s="25" t="n">
        <v>291.2</v>
      </c>
      <c r="L258" s="25" t="n">
        <f aca="false">SUM(F258:J258)</f>
        <v>291.2</v>
      </c>
      <c r="M258" s="25" t="n">
        <f aca="false">K258-L258</f>
        <v>0</v>
      </c>
      <c r="N258" s="22" t="str">
        <f aca="false">RIGHT(A258,LEN(A258)-3)</f>
        <v>VB-0113</v>
      </c>
      <c r="O258" s="22" t="str">
        <f aca="false">IF(C258=N258,"Y","N")</f>
        <v>Y</v>
      </c>
      <c r="P258" s="22" t="str">
        <f aca="false">IFERROR(VLOOKUP(N258,'Slip Inventory'!$A$2:$R$1181,10,FALSE()),"NOT FOUND")</f>
        <v>OCCUPIED</v>
      </c>
      <c r="Q258" s="22" t="str">
        <f aca="false">IF(P258="OCCUPIED","Y","N")</f>
        <v>Y</v>
      </c>
      <c r="R258" s="25" t="n">
        <f aca="false">SUM(I258:J258)</f>
        <v>0</v>
      </c>
      <c r="S258" s="22" t="str">
        <f aca="false">IF(AND(R258&gt;0,Q258="Y"),"YES","NO")</f>
        <v>NO</v>
      </c>
      <c r="T258" s="22" t="s">
        <v>12975</v>
      </c>
      <c r="U258" s="23" t="n">
        <v>46209</v>
      </c>
      <c r="V258" s="23" t="n">
        <v>46199</v>
      </c>
      <c r="W258" s="22"/>
      <c r="X258" s="22" t="str">
        <f aca="false">IF(ABS(M258)&gt;0.005,"Reported total_due does not equal buckets",IF(O258&lt;&gt;"Y","Account/slip ID mismatch",IF(P258&lt;&gt;"OCCUPIED","Slip not occupied","OK")))</f>
        <v>OK</v>
      </c>
      <c r="Y258" s="22" t="str">
        <f aca="false">IF(ABS(M258)&gt;0.005,"Priority 3","")</f>
        <v/>
      </c>
    </row>
    <row r="259" customFormat="false" ht="15" hidden="false" customHeight="false" outlineLevel="0" collapsed="false">
      <c r="A259" s="22" t="s">
        <v>11914</v>
      </c>
      <c r="B259" s="22" t="s">
        <v>2985</v>
      </c>
      <c r="C259" s="22" t="s">
        <v>7325</v>
      </c>
      <c r="D259" s="22" t="s">
        <v>159</v>
      </c>
      <c r="E259" s="22" t="s">
        <v>8601</v>
      </c>
      <c r="F259" s="25" t="n">
        <v>426.4</v>
      </c>
      <c r="G259" s="25" t="n">
        <v>0</v>
      </c>
      <c r="H259" s="25" t="n">
        <v>0</v>
      </c>
      <c r="I259" s="25" t="n">
        <v>0</v>
      </c>
      <c r="J259" s="25" t="n">
        <v>0</v>
      </c>
      <c r="K259" s="25" t="n">
        <v>426.4</v>
      </c>
      <c r="L259" s="25" t="n">
        <f aca="false">SUM(F259:J259)</f>
        <v>426.4</v>
      </c>
      <c r="M259" s="25" t="n">
        <f aca="false">K259-L259</f>
        <v>0</v>
      </c>
      <c r="N259" s="22" t="str">
        <f aca="false">RIGHT(A259,LEN(A259)-3)</f>
        <v>VB-0114</v>
      </c>
      <c r="O259" s="22" t="str">
        <f aca="false">IF(C259=N259,"Y","N")</f>
        <v>Y</v>
      </c>
      <c r="P259" s="22" t="str">
        <f aca="false">IFERROR(VLOOKUP(N259,'Slip Inventory'!$A$2:$R$1181,10,FALSE()),"NOT FOUND")</f>
        <v>OCCUPIED</v>
      </c>
      <c r="Q259" s="22" t="str">
        <f aca="false">IF(P259="OCCUPIED","Y","N")</f>
        <v>Y</v>
      </c>
      <c r="R259" s="25" t="n">
        <f aca="false">SUM(I259:J259)</f>
        <v>0</v>
      </c>
      <c r="S259" s="22" t="str">
        <f aca="false">IF(AND(R259&gt;0,Q259="Y"),"YES","NO")</f>
        <v>NO</v>
      </c>
      <c r="T259" s="22" t="s">
        <v>12975</v>
      </c>
      <c r="U259" s="23" t="n">
        <v>46198</v>
      </c>
      <c r="V259" s="23" t="n">
        <v>46217</v>
      </c>
      <c r="W259" s="22"/>
      <c r="X259" s="22" t="str">
        <f aca="false">IF(ABS(M259)&gt;0.005,"Reported total_due does not equal buckets",IF(O259&lt;&gt;"Y","Account/slip ID mismatch",IF(P259&lt;&gt;"OCCUPIED","Slip not occupied","OK")))</f>
        <v>OK</v>
      </c>
      <c r="Y259" s="22" t="str">
        <f aca="false">IF(ABS(M259)&gt;0.005,"Priority 3","")</f>
        <v/>
      </c>
    </row>
    <row r="260" customFormat="false" ht="15" hidden="false" customHeight="false" outlineLevel="0" collapsed="false">
      <c r="A260" s="22" t="s">
        <v>11916</v>
      </c>
      <c r="B260" s="22" t="s">
        <v>6430</v>
      </c>
      <c r="C260" s="22" t="s">
        <v>7327</v>
      </c>
      <c r="D260" s="22" t="s">
        <v>159</v>
      </c>
      <c r="E260" s="22" t="s">
        <v>8601</v>
      </c>
      <c r="F260" s="25" t="n">
        <v>332.8</v>
      </c>
      <c r="G260" s="25" t="n">
        <v>332.8</v>
      </c>
      <c r="H260" s="25" t="n">
        <v>0</v>
      </c>
      <c r="I260" s="25" t="n">
        <v>0</v>
      </c>
      <c r="J260" s="25" t="n">
        <v>0</v>
      </c>
      <c r="K260" s="25" t="n">
        <v>332.8</v>
      </c>
      <c r="L260" s="25" t="n">
        <f aca="false">SUM(F260:J260)</f>
        <v>665.6</v>
      </c>
      <c r="M260" s="25" t="n">
        <f aca="false">K260-L260</f>
        <v>-332.8</v>
      </c>
      <c r="N260" s="22" t="str">
        <f aca="false">RIGHT(A260,LEN(A260)-3)</f>
        <v>VB-0115</v>
      </c>
      <c r="O260" s="22" t="str">
        <f aca="false">IF(C260=N260,"Y","N")</f>
        <v>Y</v>
      </c>
      <c r="P260" s="22" t="str">
        <f aca="false">IFERROR(VLOOKUP(N260,'Slip Inventory'!$A$2:$R$1181,10,FALSE()),"NOT FOUND")</f>
        <v>OCCUPIED</v>
      </c>
      <c r="Q260" s="22" t="str">
        <f aca="false">IF(P260="OCCUPIED","Y","N")</f>
        <v>Y</v>
      </c>
      <c r="R260" s="25" t="n">
        <f aca="false">SUM(I260:J260)</f>
        <v>0</v>
      </c>
      <c r="S260" s="22" t="str">
        <f aca="false">IF(AND(R260&gt;0,Q260="Y"),"YES","NO")</f>
        <v>NO</v>
      </c>
      <c r="T260" s="22" t="s">
        <v>12975</v>
      </c>
      <c r="U260" s="23" t="n">
        <v>46196</v>
      </c>
      <c r="V260" s="23" t="n">
        <v>46195</v>
      </c>
      <c r="W260" s="22"/>
      <c r="X260" s="22" t="str">
        <f aca="false">IF(ABS(M260)&gt;0.005,"Reported total_due does not equal buckets",IF(O260&lt;&gt;"Y","Account/slip ID mismatch",IF(P260&lt;&gt;"OCCUPIED","Slip not occupied","OK")))</f>
        <v>Reported total_due does not equal buckets</v>
      </c>
      <c r="Y260" s="22" t="str">
        <f aca="false">IF(ABS(M260)&gt;0.005,"Priority 3","")</f>
        <v>Priority 3</v>
      </c>
    </row>
    <row r="261" customFormat="false" ht="15" hidden="false" customHeight="false" outlineLevel="0" collapsed="false">
      <c r="A261" s="22" t="s">
        <v>11918</v>
      </c>
      <c r="B261" s="22" t="s">
        <v>5591</v>
      </c>
      <c r="C261" s="22" t="s">
        <v>7329</v>
      </c>
      <c r="D261" s="22" t="s">
        <v>159</v>
      </c>
      <c r="E261" s="22" t="s">
        <v>8601</v>
      </c>
      <c r="F261" s="25" t="n">
        <v>572</v>
      </c>
      <c r="G261" s="25" t="n">
        <v>0</v>
      </c>
      <c r="H261" s="25" t="n">
        <v>0</v>
      </c>
      <c r="I261" s="25" t="n">
        <v>0</v>
      </c>
      <c r="J261" s="25" t="n">
        <v>0</v>
      </c>
      <c r="K261" s="25" t="n">
        <v>572</v>
      </c>
      <c r="L261" s="25" t="n">
        <f aca="false">SUM(F261:J261)</f>
        <v>572</v>
      </c>
      <c r="M261" s="25" t="n">
        <f aca="false">K261-L261</f>
        <v>0</v>
      </c>
      <c r="N261" s="22" t="str">
        <f aca="false">RIGHT(A261,LEN(A261)-3)</f>
        <v>VB-0116</v>
      </c>
      <c r="O261" s="22" t="str">
        <f aca="false">IF(C261=N261,"Y","N")</f>
        <v>Y</v>
      </c>
      <c r="P261" s="22" t="str">
        <f aca="false">IFERROR(VLOOKUP(N261,'Slip Inventory'!$A$2:$R$1181,10,FALSE()),"NOT FOUND")</f>
        <v>OCCUPIED</v>
      </c>
      <c r="Q261" s="22" t="str">
        <f aca="false">IF(P261="OCCUPIED","Y","N")</f>
        <v>Y</v>
      </c>
      <c r="R261" s="25" t="n">
        <f aca="false">SUM(I261:J261)</f>
        <v>0</v>
      </c>
      <c r="S261" s="22" t="str">
        <f aca="false">IF(AND(R261&gt;0,Q261="Y"),"YES","NO")</f>
        <v>NO</v>
      </c>
      <c r="T261" s="22" t="s">
        <v>12975</v>
      </c>
      <c r="U261" s="23" t="n">
        <v>46145</v>
      </c>
      <c r="V261" s="23" t="n">
        <v>46190</v>
      </c>
      <c r="W261" s="22"/>
      <c r="X261" s="22" t="str">
        <f aca="false">IF(ABS(M261)&gt;0.005,"Reported total_due does not equal buckets",IF(O261&lt;&gt;"Y","Account/slip ID mismatch",IF(P261&lt;&gt;"OCCUPIED","Slip not occupied","OK")))</f>
        <v>OK</v>
      </c>
      <c r="Y261" s="22" t="str">
        <f aca="false">IF(ABS(M261)&gt;0.005,"Priority 3","")</f>
        <v/>
      </c>
    </row>
    <row r="262" customFormat="false" ht="15" hidden="false" customHeight="false" outlineLevel="0" collapsed="false">
      <c r="A262" s="22" t="s">
        <v>11920</v>
      </c>
      <c r="B262" s="22" t="s">
        <v>1988</v>
      </c>
      <c r="C262" s="22" t="s">
        <v>7331</v>
      </c>
      <c r="D262" s="22" t="s">
        <v>159</v>
      </c>
      <c r="E262" s="22" t="s">
        <v>8601</v>
      </c>
      <c r="F262" s="25" t="n">
        <v>561.6</v>
      </c>
      <c r="G262" s="25" t="n">
        <v>0</v>
      </c>
      <c r="H262" s="25" t="n">
        <v>0</v>
      </c>
      <c r="I262" s="25" t="n">
        <v>0</v>
      </c>
      <c r="J262" s="25" t="n">
        <v>0</v>
      </c>
      <c r="K262" s="25" t="n">
        <v>561.6</v>
      </c>
      <c r="L262" s="25" t="n">
        <f aca="false">SUM(F262:J262)</f>
        <v>561.6</v>
      </c>
      <c r="M262" s="25" t="n">
        <f aca="false">K262-L262</f>
        <v>0</v>
      </c>
      <c r="N262" s="22" t="str">
        <f aca="false">RIGHT(A262,LEN(A262)-3)</f>
        <v>VB-0117</v>
      </c>
      <c r="O262" s="22" t="str">
        <f aca="false">IF(C262=N262,"Y","N")</f>
        <v>Y</v>
      </c>
      <c r="P262" s="22" t="str">
        <f aca="false">IFERROR(VLOOKUP(N262,'Slip Inventory'!$A$2:$R$1181,10,FALSE()),"NOT FOUND")</f>
        <v>OCCUPIED</v>
      </c>
      <c r="Q262" s="22" t="str">
        <f aca="false">IF(P262="OCCUPIED","Y","N")</f>
        <v>Y</v>
      </c>
      <c r="R262" s="25" t="n">
        <f aca="false">SUM(I262:J262)</f>
        <v>0</v>
      </c>
      <c r="S262" s="22" t="str">
        <f aca="false">IF(AND(R262&gt;0,Q262="Y"),"YES","NO")</f>
        <v>NO</v>
      </c>
      <c r="T262" s="22" t="s">
        <v>12975</v>
      </c>
      <c r="U262" s="23" t="n">
        <v>46174</v>
      </c>
      <c r="V262" s="23" t="n">
        <v>46199</v>
      </c>
      <c r="W262" s="22"/>
      <c r="X262" s="22" t="str">
        <f aca="false">IF(ABS(M262)&gt;0.005,"Reported total_due does not equal buckets",IF(O262&lt;&gt;"Y","Account/slip ID mismatch",IF(P262&lt;&gt;"OCCUPIED","Slip not occupied","OK")))</f>
        <v>OK</v>
      </c>
      <c r="Y262" s="22" t="str">
        <f aca="false">IF(ABS(M262)&gt;0.005,"Priority 3","")</f>
        <v/>
      </c>
    </row>
    <row r="263" customFormat="false" ht="15" hidden="false" customHeight="false" outlineLevel="0" collapsed="false">
      <c r="A263" s="22" t="s">
        <v>11922</v>
      </c>
      <c r="B263" s="22" t="s">
        <v>995</v>
      </c>
      <c r="C263" s="22" t="s">
        <v>7332</v>
      </c>
      <c r="D263" s="22" t="s">
        <v>159</v>
      </c>
      <c r="E263" s="22" t="s">
        <v>8601</v>
      </c>
      <c r="F263" s="25" t="n">
        <v>457.6</v>
      </c>
      <c r="G263" s="25" t="n">
        <v>0</v>
      </c>
      <c r="H263" s="25" t="n">
        <v>0</v>
      </c>
      <c r="I263" s="25" t="n">
        <v>0</v>
      </c>
      <c r="J263" s="25" t="n">
        <v>0</v>
      </c>
      <c r="K263" s="25" t="n">
        <v>457.6</v>
      </c>
      <c r="L263" s="25" t="n">
        <f aca="false">SUM(F263:J263)</f>
        <v>457.6</v>
      </c>
      <c r="M263" s="25" t="n">
        <f aca="false">K263-L263</f>
        <v>0</v>
      </c>
      <c r="N263" s="22" t="str">
        <f aca="false">RIGHT(A263,LEN(A263)-3)</f>
        <v>VB-0118</v>
      </c>
      <c r="O263" s="22" t="str">
        <f aca="false">IF(C263=N263,"Y","N")</f>
        <v>Y</v>
      </c>
      <c r="P263" s="22" t="str">
        <f aca="false">IFERROR(VLOOKUP(N263,'Slip Inventory'!$A$2:$R$1181,10,FALSE()),"NOT FOUND")</f>
        <v>OCCUPIED</v>
      </c>
      <c r="Q263" s="22" t="str">
        <f aca="false">IF(P263="OCCUPIED","Y","N")</f>
        <v>Y</v>
      </c>
      <c r="R263" s="25" t="n">
        <f aca="false">SUM(I263:J263)</f>
        <v>0</v>
      </c>
      <c r="S263" s="22" t="str">
        <f aca="false">IF(AND(R263&gt;0,Q263="Y"),"YES","NO")</f>
        <v>NO</v>
      </c>
      <c r="T263" s="22" t="s">
        <v>12975</v>
      </c>
      <c r="U263" s="23" t="n">
        <v>46193</v>
      </c>
      <c r="V263" s="23" t="n">
        <v>46213</v>
      </c>
      <c r="W263" s="22"/>
      <c r="X263" s="22" t="str">
        <f aca="false">IF(ABS(M263)&gt;0.005,"Reported total_due does not equal buckets",IF(O263&lt;&gt;"Y","Account/slip ID mismatch",IF(P263&lt;&gt;"OCCUPIED","Slip not occupied","OK")))</f>
        <v>OK</v>
      </c>
      <c r="Y263" s="22" t="str">
        <f aca="false">IF(ABS(M263)&gt;0.005,"Priority 3","")</f>
        <v/>
      </c>
    </row>
    <row r="264" customFormat="false" ht="15" hidden="false" customHeight="false" outlineLevel="0" collapsed="false">
      <c r="A264" s="22" t="s">
        <v>11924</v>
      </c>
      <c r="B264" s="22" t="s">
        <v>1835</v>
      </c>
      <c r="C264" s="22" t="s">
        <v>7333</v>
      </c>
      <c r="D264" s="22" t="s">
        <v>159</v>
      </c>
      <c r="E264" s="22" t="s">
        <v>8601</v>
      </c>
      <c r="F264" s="25" t="n">
        <v>644.8</v>
      </c>
      <c r="G264" s="25" t="n">
        <v>0</v>
      </c>
      <c r="H264" s="25" t="n">
        <v>0</v>
      </c>
      <c r="I264" s="25" t="n">
        <v>0</v>
      </c>
      <c r="J264" s="25" t="n">
        <v>0</v>
      </c>
      <c r="K264" s="25" t="n">
        <v>644.8</v>
      </c>
      <c r="L264" s="25" t="n">
        <f aca="false">SUM(F264:J264)</f>
        <v>644.8</v>
      </c>
      <c r="M264" s="25" t="n">
        <f aca="false">K264-L264</f>
        <v>0</v>
      </c>
      <c r="N264" s="22" t="str">
        <f aca="false">RIGHT(A264,LEN(A264)-3)</f>
        <v>VB-0119</v>
      </c>
      <c r="O264" s="22" t="str">
        <f aca="false">IF(C264=N264,"Y","N")</f>
        <v>Y</v>
      </c>
      <c r="P264" s="22" t="str">
        <f aca="false">IFERROR(VLOOKUP(N264,'Slip Inventory'!$A$2:$R$1181,10,FALSE()),"NOT FOUND")</f>
        <v>OCCUPIED</v>
      </c>
      <c r="Q264" s="22" t="str">
        <f aca="false">IF(P264="OCCUPIED","Y","N")</f>
        <v>Y</v>
      </c>
      <c r="R264" s="25" t="n">
        <f aca="false">SUM(I264:J264)</f>
        <v>0</v>
      </c>
      <c r="S264" s="22" t="str">
        <f aca="false">IF(AND(R264&gt;0,Q264="Y"),"YES","NO")</f>
        <v>NO</v>
      </c>
      <c r="T264" s="22" t="s">
        <v>12975</v>
      </c>
      <c r="U264" s="23" t="n">
        <v>46171</v>
      </c>
      <c r="V264" s="23" t="n">
        <v>46217</v>
      </c>
      <c r="W264" s="22"/>
      <c r="X264" s="22" t="str">
        <f aca="false">IF(ABS(M264)&gt;0.005,"Reported total_due does not equal buckets",IF(O264&lt;&gt;"Y","Account/slip ID mismatch",IF(P264&lt;&gt;"OCCUPIED","Slip not occupied","OK")))</f>
        <v>OK</v>
      </c>
      <c r="Y264" s="22" t="str">
        <f aca="false">IF(ABS(M264)&gt;0.005,"Priority 3","")</f>
        <v/>
      </c>
    </row>
    <row r="265" customFormat="false" ht="15" hidden="false" customHeight="false" outlineLevel="0" collapsed="false">
      <c r="A265" s="22" t="s">
        <v>11926</v>
      </c>
      <c r="B265" s="22" t="s">
        <v>2707</v>
      </c>
      <c r="C265" s="22" t="s">
        <v>7334</v>
      </c>
      <c r="D265" s="22" t="s">
        <v>159</v>
      </c>
      <c r="E265" s="22" t="s">
        <v>8601</v>
      </c>
      <c r="F265" s="25" t="n">
        <v>499.2</v>
      </c>
      <c r="G265" s="25" t="n">
        <v>0</v>
      </c>
      <c r="H265" s="25" t="n">
        <v>0</v>
      </c>
      <c r="I265" s="25" t="n">
        <v>0</v>
      </c>
      <c r="J265" s="25" t="n">
        <v>0</v>
      </c>
      <c r="K265" s="25" t="n">
        <v>0</v>
      </c>
      <c r="L265" s="25" t="n">
        <f aca="false">SUM(F265:J265)</f>
        <v>499.2</v>
      </c>
      <c r="M265" s="25" t="n">
        <f aca="false">K265-L265</f>
        <v>-499.2</v>
      </c>
      <c r="N265" s="22" t="str">
        <f aca="false">RIGHT(A265,LEN(A265)-3)</f>
        <v>VB-0120</v>
      </c>
      <c r="O265" s="22" t="str">
        <f aca="false">IF(C265=N265,"Y","N")</f>
        <v>Y</v>
      </c>
      <c r="P265" s="22" t="str">
        <f aca="false">IFERROR(VLOOKUP(N265,'Slip Inventory'!$A$2:$R$1181,10,FALSE()),"NOT FOUND")</f>
        <v>OCCUPIED</v>
      </c>
      <c r="Q265" s="22" t="str">
        <f aca="false">IF(P265="OCCUPIED","Y","N")</f>
        <v>Y</v>
      </c>
      <c r="R265" s="25" t="n">
        <f aca="false">SUM(I265:J265)</f>
        <v>0</v>
      </c>
      <c r="S265" s="22" t="str">
        <f aca="false">IF(AND(R265&gt;0,Q265="Y"),"YES","NO")</f>
        <v>NO</v>
      </c>
      <c r="T265" s="22" t="s">
        <v>12975</v>
      </c>
      <c r="U265" s="23" t="n">
        <v>46200</v>
      </c>
      <c r="V265" s="23" t="n">
        <v>46205</v>
      </c>
      <c r="W265" s="22"/>
      <c r="X265" s="22" t="str">
        <f aca="false">IF(ABS(M265)&gt;0.005,"Reported total_due does not equal buckets",IF(O265&lt;&gt;"Y","Account/slip ID mismatch",IF(P265&lt;&gt;"OCCUPIED","Slip not occupied","OK")))</f>
        <v>Reported total_due does not equal buckets</v>
      </c>
      <c r="Y265" s="22" t="str">
        <f aca="false">IF(ABS(M265)&gt;0.005,"Priority 3","")</f>
        <v>Priority 3</v>
      </c>
    </row>
  </sheetData>
  <autoFilter ref="A5:Y265"/>
  <mergeCells count="3">
    <mergeCell ref="A1:Y1"/>
    <mergeCell ref="A2:Y2"/>
    <mergeCell ref="A3:Y3"/>
  </mergeCells>
  <conditionalFormatting sqref="S6:S265">
    <cfRule type="expression" priority="2" aboveAverage="0" equalAverage="0" bottom="0" percent="0" rank="0" text="" dxfId="6">
      <formula>$S6="YES"</formula>
    </cfRule>
  </conditionalFormatting>
  <conditionalFormatting sqref="Y6:Y265">
    <cfRule type="expression" priority="3" aboveAverage="0" equalAverage="0" bottom="0" percent="0" rank="0" text="" dxfId="5">
      <formula>$Y6="Priority 3"</formula>
    </cfRule>
  </conditionalFormatting>
  <printOptions headings="false" gridLines="false" gridLinesSet="true" horizontalCentered="false" verticalCentered="false"/>
  <pageMargins left="0.25" right="0.25" top="0.45" bottom="0.45" header="0.2" footer="0.2"/>
  <pageSetup paperSize="1" scale="100" fitToWidth="2" fitToHeight="0" pageOrder="downThenOver" orientation="landscape" blackAndWhite="false" draft="false" cellComments="none" horizontalDpi="300" verticalDpi="300" copies="1"/>
  <headerFooter differentFirst="false" differentOddEven="false">
    <oddHeader>&amp;LAccounts Receivable Aging | 2026-07-31</oddHeader>
    <oddFooter>&amp;C&amp;7 Page &amp;P of &amp;N&amp;R&amp;7 Chaldale Harbor District | 2026-08-07</oddFooter>
  </headerFooter>
  <drawing r:id="rId1"/>
  <tableParts>
    <tablePart r:id="rId2"/>
  </tableParts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B42318"/>
    <pageSetUpPr fitToPage="true"/>
  </sheetPr>
  <dimension ref="A1:J51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customHeight="true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7"/>
    <col collapsed="false" customWidth="true" hidden="false" outlineLevel="0" max="3" min="3" style="0" width="18"/>
    <col collapsed="false" customWidth="true" hidden="false" outlineLevel="0" max="4" min="4" style="0" width="13"/>
    <col collapsed="false" customWidth="true" hidden="false" outlineLevel="0" max="5" min="5" style="0" width="14"/>
    <col collapsed="false" customWidth="true" hidden="false" outlineLevel="0" max="6" min="6" style="0" width="24"/>
    <col collapsed="false" customWidth="true" hidden="false" outlineLevel="0" max="7" min="7" style="0" width="17"/>
    <col collapsed="false" customWidth="true" hidden="false" outlineLevel="0" max="8" min="8" style="0" width="15"/>
    <col collapsed="false" customWidth="true" hidden="false" outlineLevel="0" max="9" min="9" style="0" width="53"/>
    <col collapsed="false" customWidth="true" hidden="false" outlineLevel="0" max="10" min="10" style="0" width="25"/>
  </cols>
  <sheetData>
    <row r="1" customFormat="false" ht="33.75" hidden="false" customHeight="true" outlineLevel="0" collapsed="false">
      <c r="A1" s="1" t="s">
        <v>12979</v>
      </c>
      <c r="B1" s="1"/>
      <c r="C1" s="1"/>
      <c r="D1" s="1"/>
      <c r="E1" s="1"/>
      <c r="F1" s="1"/>
      <c r="G1" s="1"/>
      <c r="H1" s="1"/>
      <c r="I1" s="1"/>
      <c r="J1" s="1"/>
    </row>
    <row r="2" customFormat="false" ht="27.75" hidden="false" customHeight="true" outlineLevel="0" collapsed="false">
      <c r="A2" s="2" t="s">
        <v>12980</v>
      </c>
      <c r="B2" s="2"/>
      <c r="C2" s="2"/>
      <c r="D2" s="2"/>
      <c r="E2" s="2"/>
      <c r="F2" s="2"/>
      <c r="G2" s="2"/>
      <c r="H2" s="2"/>
      <c r="I2" s="2"/>
      <c r="J2" s="2"/>
    </row>
    <row r="3" customFormat="false" ht="30" hidden="false" customHeight="true" outlineLevel="0" collapsed="false">
      <c r="A3" s="24" t="s">
        <v>12981</v>
      </c>
      <c r="B3" s="24"/>
      <c r="C3" s="24"/>
      <c r="D3" s="24"/>
      <c r="E3" s="24"/>
      <c r="F3" s="24"/>
      <c r="G3" s="24"/>
      <c r="H3" s="24"/>
      <c r="I3" s="24"/>
      <c r="J3" s="24"/>
    </row>
    <row r="5" customFormat="false" ht="30" hidden="false" customHeight="true" outlineLevel="0" collapsed="false">
      <c r="A5" s="13" t="s">
        <v>10966</v>
      </c>
      <c r="B5" s="13" t="s">
        <v>12982</v>
      </c>
      <c r="C5" s="13" t="s">
        <v>12983</v>
      </c>
      <c r="D5" s="13" t="s">
        <v>12984</v>
      </c>
      <c r="E5" s="13" t="s">
        <v>149</v>
      </c>
      <c r="F5" s="13" t="s">
        <v>150</v>
      </c>
      <c r="G5" s="13" t="s">
        <v>12985</v>
      </c>
      <c r="H5" s="13" t="s">
        <v>12986</v>
      </c>
      <c r="I5" s="13" t="s">
        <v>10965</v>
      </c>
      <c r="J5" s="13" t="s">
        <v>12987</v>
      </c>
    </row>
    <row r="6" customFormat="false" ht="15" hidden="false" customHeight="false" outlineLevel="0" collapsed="false">
      <c r="A6" s="22" t="str">
        <f aca="false">'Skip Audit'!U6</f>
        <v>Priority 1</v>
      </c>
      <c r="B6" s="22" t="s">
        <v>12988</v>
      </c>
      <c r="C6" s="22" t="str">
        <f aca="false">'Skip Audit'!A6</f>
        <v>SKP-2023-0095</v>
      </c>
      <c r="D6" s="23" t="n">
        <f aca="false">'Skip Audit'!C6</f>
        <v>44934</v>
      </c>
      <c r="E6" s="22" t="str">
        <f aca="false">'Skip Audit'!D6</f>
        <v>WL-03099</v>
      </c>
      <c r="F6" s="22" t="str">
        <f aca="false">'Skip Audit'!E6</f>
        <v>Ryan Robertson</v>
      </c>
      <c r="G6" s="22" t="str">
        <f aca="false">'Skip Audit'!G6</f>
        <v>LP-0317</v>
      </c>
      <c r="H6" s="22" t="n">
        <v>0</v>
      </c>
      <c r="I6" s="22" t="str">
        <f aca="false">'Skip Audit'!T6</f>
        <v>No matching PDF; review after skip</v>
      </c>
      <c r="J6" s="22" t="str">
        <f aca="false">"Skip Audit row 6"</f>
        <v>Skip Audit row 6</v>
      </c>
    </row>
    <row r="7" customFormat="false" ht="15" hidden="false" customHeight="false" outlineLevel="0" collapsed="false">
      <c r="A7" s="22" t="str">
        <f aca="false">'Skip Audit'!U7</f>
        <v>Priority 1</v>
      </c>
      <c r="B7" s="22" t="s">
        <v>12988</v>
      </c>
      <c r="C7" s="22" t="str">
        <f aca="false">'Skip Audit'!A7</f>
        <v>SKP-2023-0096</v>
      </c>
      <c r="D7" s="23" t="n">
        <f aca="false">'Skip Audit'!C7</f>
        <v>44934</v>
      </c>
      <c r="E7" s="22" t="str">
        <f aca="false">'Skip Audit'!D7</f>
        <v>WL-02685</v>
      </c>
      <c r="F7" s="22" t="str">
        <f aca="false">'Skip Audit'!E7</f>
        <v>Stephanie Hill</v>
      </c>
      <c r="G7" s="22" t="str">
        <f aca="false">'Skip Audit'!G7</f>
        <v>LP-0906</v>
      </c>
      <c r="H7" s="22" t="n">
        <v>0</v>
      </c>
      <c r="I7" s="22" t="str">
        <f aca="false">'Skip Audit'!T7</f>
        <v>No matching PDF; review after skip</v>
      </c>
      <c r="J7" s="22" t="str">
        <f aca="false">"Skip Audit row 7"</f>
        <v>Skip Audit row 7</v>
      </c>
    </row>
    <row r="8" customFormat="false" ht="15" hidden="false" customHeight="false" outlineLevel="0" collapsed="false">
      <c r="A8" s="22" t="str">
        <f aca="false">'Skip Audit'!U8</f>
        <v>Priority 1</v>
      </c>
      <c r="B8" s="22" t="s">
        <v>12988</v>
      </c>
      <c r="C8" s="22" t="str">
        <f aca="false">'Skip Audit'!A8</f>
        <v>SKP-2023-0097</v>
      </c>
      <c r="D8" s="23" t="n">
        <f aca="false">'Skip Audit'!C8</f>
        <v>44952</v>
      </c>
      <c r="E8" s="22" t="str">
        <f aca="false">'Skip Audit'!D8</f>
        <v>WL-01298</v>
      </c>
      <c r="F8" s="22" t="str">
        <f aca="false">'Skip Audit'!E8</f>
        <v>Jason Boyd</v>
      </c>
      <c r="G8" s="22" t="str">
        <f aca="false">'Skip Audit'!G8</f>
        <v>GW-0708</v>
      </c>
      <c r="H8" s="22" t="n">
        <v>0</v>
      </c>
      <c r="I8" s="22" t="str">
        <f aca="false">'Skip Audit'!T8</f>
        <v>No matching PDF; review after skip</v>
      </c>
      <c r="J8" s="22" t="str">
        <f aca="false">"Skip Audit row 8"</f>
        <v>Skip Audit row 8</v>
      </c>
    </row>
    <row r="9" customFormat="false" ht="15" hidden="false" customHeight="false" outlineLevel="0" collapsed="false">
      <c r="A9" s="22" t="str">
        <f aca="false">'Skip Audit'!U9</f>
        <v>Priority 1</v>
      </c>
      <c r="B9" s="22" t="s">
        <v>12988</v>
      </c>
      <c r="C9" s="22" t="str">
        <f aca="false">'Skip Audit'!A9</f>
        <v>SKP-2023-0098</v>
      </c>
      <c r="D9" s="23" t="n">
        <f aca="false">'Skip Audit'!C9</f>
        <v>44934</v>
      </c>
      <c r="E9" s="22" t="str">
        <f aca="false">'Skip Audit'!D9</f>
        <v>WL-01959</v>
      </c>
      <c r="F9" s="22" t="str">
        <f aca="false">'Skip Audit'!E9</f>
        <v>Jonathan Moore</v>
      </c>
      <c r="G9" s="22" t="str">
        <f aca="false">'Skip Audit'!G9</f>
        <v>VB-1023</v>
      </c>
      <c r="H9" s="22" t="n">
        <v>0</v>
      </c>
      <c r="I9" s="22" t="str">
        <f aca="false">'Skip Audit'!T9</f>
        <v>No matching PDF; review after skip</v>
      </c>
      <c r="J9" s="22" t="str">
        <f aca="false">"Skip Audit row 9"</f>
        <v>Skip Audit row 9</v>
      </c>
    </row>
    <row r="10" customFormat="false" ht="15" hidden="false" customHeight="false" outlineLevel="0" collapsed="false">
      <c r="A10" s="22" t="str">
        <f aca="false">'Skip Audit'!U10</f>
        <v>Priority 1</v>
      </c>
      <c r="B10" s="22" t="s">
        <v>12988</v>
      </c>
      <c r="C10" s="22" t="str">
        <f aca="false">'Skip Audit'!A10</f>
        <v>SKP-2023-0099</v>
      </c>
      <c r="D10" s="23" t="n">
        <f aca="false">'Skip Audit'!C10</f>
        <v>44936</v>
      </c>
      <c r="E10" s="22" t="str">
        <f aca="false">'Skip Audit'!D10</f>
        <v>WL-01695</v>
      </c>
      <c r="F10" s="22" t="str">
        <f aca="false">'Skip Audit'!E10</f>
        <v>Antonio Leach</v>
      </c>
      <c r="G10" s="22" t="str">
        <f aca="false">'Skip Audit'!G10</f>
        <v>EW-0203</v>
      </c>
      <c r="H10" s="22" t="n">
        <v>0</v>
      </c>
      <c r="I10" s="22" t="str">
        <f aca="false">'Skip Audit'!T10</f>
        <v>No matching PDF; review after skip</v>
      </c>
      <c r="J10" s="22" t="str">
        <f aca="false">"Skip Audit row 10"</f>
        <v>Skip Audit row 10</v>
      </c>
    </row>
    <row r="11" customFormat="false" ht="15" hidden="false" customHeight="false" outlineLevel="0" collapsed="false">
      <c r="A11" s="22" t="str">
        <f aca="false">'Skip Audit'!U11</f>
        <v>Priority 1</v>
      </c>
      <c r="B11" s="22" t="s">
        <v>12988</v>
      </c>
      <c r="C11" s="22" t="str">
        <f aca="false">'Skip Audit'!A11</f>
        <v>SKP-2023-0100</v>
      </c>
      <c r="D11" s="23" t="n">
        <f aca="false">'Skip Audit'!C11</f>
        <v>44975</v>
      </c>
      <c r="E11" s="22" t="str">
        <f aca="false">'Skip Audit'!D11</f>
        <v>WL-02565</v>
      </c>
      <c r="F11" s="22" t="str">
        <f aca="false">'Skip Audit'!E11</f>
        <v>Christina Smith</v>
      </c>
      <c r="G11" s="22" t="str">
        <f aca="false">'Skip Audit'!G11</f>
        <v>GW-0116</v>
      </c>
      <c r="H11" s="22" t="n">
        <v>0</v>
      </c>
      <c r="I11" s="22" t="str">
        <f aca="false">'Skip Audit'!T11</f>
        <v>No matching PDF; review after skip</v>
      </c>
      <c r="J11" s="22" t="str">
        <f aca="false">"Skip Audit row 11"</f>
        <v>Skip Audit row 11</v>
      </c>
    </row>
    <row r="12" customFormat="false" ht="15" hidden="false" customHeight="false" outlineLevel="0" collapsed="false">
      <c r="A12" s="22" t="str">
        <f aca="false">'Skip Audit'!U12</f>
        <v>Priority 1</v>
      </c>
      <c r="B12" s="22" t="s">
        <v>12988</v>
      </c>
      <c r="C12" s="22" t="str">
        <f aca="false">'Skip Audit'!A12</f>
        <v>SKP-2023-0101</v>
      </c>
      <c r="D12" s="23" t="n">
        <f aca="false">'Skip Audit'!C12</f>
        <v>44976</v>
      </c>
      <c r="E12" s="22" t="str">
        <f aca="false">'Skip Audit'!D12</f>
        <v>WL-02664</v>
      </c>
      <c r="F12" s="22" t="str">
        <f aca="false">'Skip Audit'!E12</f>
        <v>Mark Smith</v>
      </c>
      <c r="G12" s="22" t="str">
        <f aca="false">'Skip Audit'!G12</f>
        <v>GW-0220</v>
      </c>
      <c r="H12" s="22" t="n">
        <v>0</v>
      </c>
      <c r="I12" s="22" t="str">
        <f aca="false">'Skip Audit'!T12</f>
        <v>No matching PDF</v>
      </c>
      <c r="J12" s="22" t="str">
        <f aca="false">"Skip Audit row 12"</f>
        <v>Skip Audit row 12</v>
      </c>
    </row>
    <row r="13" customFormat="false" ht="15" hidden="false" customHeight="false" outlineLevel="0" collapsed="false">
      <c r="A13" s="22" t="str">
        <f aca="false">'Skip Audit'!U13</f>
        <v>Priority 1</v>
      </c>
      <c r="B13" s="22" t="s">
        <v>12988</v>
      </c>
      <c r="C13" s="22" t="str">
        <f aca="false">'Skip Audit'!A13</f>
        <v>SKP-2023-0102</v>
      </c>
      <c r="D13" s="23" t="n">
        <f aca="false">'Skip Audit'!C13</f>
        <v>44967</v>
      </c>
      <c r="E13" s="22" t="str">
        <f aca="false">'Skip Audit'!D13</f>
        <v>WL-03582</v>
      </c>
      <c r="F13" s="22" t="str">
        <f aca="false">'Skip Audit'!E13</f>
        <v>Melissa Jones</v>
      </c>
      <c r="G13" s="22" t="str">
        <f aca="false">'Skip Audit'!G13</f>
        <v>GW-0615</v>
      </c>
      <c r="H13" s="22" t="n">
        <v>0</v>
      </c>
      <c r="I13" s="22" t="str">
        <f aca="false">'Skip Audit'!T13</f>
        <v>No matching PDF; review after skip</v>
      </c>
      <c r="J13" s="22" t="str">
        <f aca="false">"Skip Audit row 13"</f>
        <v>Skip Audit row 13</v>
      </c>
    </row>
    <row r="14" customFormat="false" ht="15" hidden="false" customHeight="false" outlineLevel="0" collapsed="false">
      <c r="A14" s="22" t="str">
        <f aca="false">'Skip Audit'!U14</f>
        <v>Priority 1</v>
      </c>
      <c r="B14" s="22" t="s">
        <v>12988</v>
      </c>
      <c r="C14" s="22" t="str">
        <f aca="false">'Skip Audit'!A14</f>
        <v>SKP-2023-0103</v>
      </c>
      <c r="D14" s="23" t="n">
        <f aca="false">'Skip Audit'!C14</f>
        <v>44974</v>
      </c>
      <c r="E14" s="22" t="str">
        <f aca="false">'Skip Audit'!D14</f>
        <v>WL-02918</v>
      </c>
      <c r="F14" s="22" t="str">
        <f aca="false">'Skip Audit'!E14</f>
        <v>Kara Aguilar</v>
      </c>
      <c r="G14" s="22" t="str">
        <f aca="false">'Skip Audit'!G14</f>
        <v>LP-1116</v>
      </c>
      <c r="H14" s="22" t="n">
        <v>0</v>
      </c>
      <c r="I14" s="22" t="str">
        <f aca="false">'Skip Audit'!T14</f>
        <v>No matching PDF; review after skip</v>
      </c>
      <c r="J14" s="22" t="str">
        <f aca="false">"Skip Audit row 14"</f>
        <v>Skip Audit row 14</v>
      </c>
    </row>
    <row r="15" customFormat="false" ht="15" hidden="false" customHeight="false" outlineLevel="0" collapsed="false">
      <c r="A15" s="22" t="str">
        <f aca="false">'Skip Audit'!U15</f>
        <v>Priority 1</v>
      </c>
      <c r="B15" s="22" t="s">
        <v>12988</v>
      </c>
      <c r="C15" s="22" t="str">
        <f aca="false">'Skip Audit'!A15</f>
        <v>SKP-2023-0104</v>
      </c>
      <c r="D15" s="23" t="n">
        <f aca="false">'Skip Audit'!C15</f>
        <v>45000</v>
      </c>
      <c r="E15" s="22" t="str">
        <f aca="false">'Skip Audit'!D15</f>
        <v>WL-03523</v>
      </c>
      <c r="F15" s="22" t="str">
        <f aca="false">'Skip Audit'!E15</f>
        <v>Darlene Glover</v>
      </c>
      <c r="G15" s="22" t="str">
        <f aca="false">'Skip Audit'!G15</f>
        <v>SB-0210</v>
      </c>
      <c r="H15" s="22" t="n">
        <v>0</v>
      </c>
      <c r="I15" s="22" t="str">
        <f aca="false">'Skip Audit'!T15</f>
        <v>No matching PDF; review after skip</v>
      </c>
      <c r="J15" s="22" t="str">
        <f aca="false">"Skip Audit row 15"</f>
        <v>Skip Audit row 15</v>
      </c>
    </row>
    <row r="16" customFormat="false" ht="15" hidden="false" customHeight="false" outlineLevel="0" collapsed="false">
      <c r="A16" s="22" t="str">
        <f aca="false">'Skip Audit'!U16</f>
        <v>Priority 1</v>
      </c>
      <c r="B16" s="22" t="s">
        <v>12988</v>
      </c>
      <c r="C16" s="22" t="str">
        <f aca="false">'Skip Audit'!A16</f>
        <v>SKP-2023-0105</v>
      </c>
      <c r="D16" s="23" t="n">
        <f aca="false">'Skip Audit'!C16</f>
        <v>44991</v>
      </c>
      <c r="E16" s="22" t="str">
        <f aca="false">'Skip Audit'!D16</f>
        <v>WL-02366</v>
      </c>
      <c r="F16" s="22" t="str">
        <f aca="false">'Skip Audit'!E16</f>
        <v>Megan Hoffman</v>
      </c>
      <c r="G16" s="22" t="str">
        <f aca="false">'Skip Audit'!G16</f>
        <v>LP-1116</v>
      </c>
      <c r="H16" s="22" t="n">
        <v>0</v>
      </c>
      <c r="I16" s="22" t="str">
        <f aca="false">'Skip Audit'!T16</f>
        <v>No matching PDF; review after skip</v>
      </c>
      <c r="J16" s="22" t="str">
        <f aca="false">"Skip Audit row 16"</f>
        <v>Skip Audit row 16</v>
      </c>
    </row>
    <row r="17" customFormat="false" ht="15" hidden="false" customHeight="false" outlineLevel="0" collapsed="false">
      <c r="A17" s="22" t="str">
        <f aca="false">'Skip Audit'!U17</f>
        <v>Priority 1</v>
      </c>
      <c r="B17" s="22" t="s">
        <v>12988</v>
      </c>
      <c r="C17" s="22" t="str">
        <f aca="false">'Skip Audit'!A17</f>
        <v>SKP-2023-0106</v>
      </c>
      <c r="D17" s="23" t="n">
        <f aca="false">'Skip Audit'!C17</f>
        <v>45012</v>
      </c>
      <c r="E17" s="22" t="str">
        <f aca="false">'Skip Audit'!D17</f>
        <v>WL-01388</v>
      </c>
      <c r="F17" s="22" t="str">
        <f aca="false">'Skip Audit'!E17</f>
        <v>Sharon Young</v>
      </c>
      <c r="G17" s="22" t="str">
        <f aca="false">'Skip Audit'!G17</f>
        <v>SB-0617</v>
      </c>
      <c r="H17" s="22" t="n">
        <v>0</v>
      </c>
      <c r="I17" s="22" t="str">
        <f aca="false">'Skip Audit'!T17</f>
        <v>No matching PDF; review after skip</v>
      </c>
      <c r="J17" s="22" t="str">
        <f aca="false">"Skip Audit row 17"</f>
        <v>Skip Audit row 17</v>
      </c>
    </row>
    <row r="18" customFormat="false" ht="15" hidden="false" customHeight="false" outlineLevel="0" collapsed="false">
      <c r="A18" s="22" t="str">
        <f aca="false">'Skip Audit'!U18</f>
        <v>Priority 1</v>
      </c>
      <c r="B18" s="22" t="s">
        <v>12988</v>
      </c>
      <c r="C18" s="22" t="str">
        <f aca="false">'Skip Audit'!A18</f>
        <v>SKP-2023-0107</v>
      </c>
      <c r="D18" s="23" t="n">
        <f aca="false">'Skip Audit'!C18</f>
        <v>44995</v>
      </c>
      <c r="E18" s="22" t="str">
        <f aca="false">'Skip Audit'!D18</f>
        <v>WL-01984</v>
      </c>
      <c r="F18" s="22" t="str">
        <f aca="false">'Skip Audit'!E18</f>
        <v>Vanessa Jackson</v>
      </c>
      <c r="G18" s="22" t="str">
        <f aca="false">'Skip Audit'!G18</f>
        <v>GW-0606</v>
      </c>
      <c r="H18" s="22" t="n">
        <v>0</v>
      </c>
      <c r="I18" s="22" t="str">
        <f aca="false">'Skip Audit'!T18</f>
        <v>No matching PDF; review after skip</v>
      </c>
      <c r="J18" s="22" t="str">
        <f aca="false">"Skip Audit row 18"</f>
        <v>Skip Audit row 18</v>
      </c>
    </row>
    <row r="19" customFormat="false" ht="15" hidden="false" customHeight="false" outlineLevel="0" collapsed="false">
      <c r="A19" s="22" t="str">
        <f aca="false">'Skip Audit'!U19</f>
        <v>Priority 1</v>
      </c>
      <c r="B19" s="22" t="s">
        <v>12988</v>
      </c>
      <c r="C19" s="22" t="str">
        <f aca="false">'Skip Audit'!A19</f>
        <v>SKP-2023-0108</v>
      </c>
      <c r="D19" s="23" t="n">
        <f aca="false">'Skip Audit'!C19</f>
        <v>45006</v>
      </c>
      <c r="E19" s="22" t="str">
        <f aca="false">'Skip Audit'!D19</f>
        <v>WL-01649</v>
      </c>
      <c r="F19" s="22" t="str">
        <f aca="false">'Skip Audit'!E19</f>
        <v>Amy Krueger</v>
      </c>
      <c r="G19" s="22" t="str">
        <f aca="false">'Skip Audit'!G19</f>
        <v>VB-0717</v>
      </c>
      <c r="H19" s="22" t="n">
        <v>0</v>
      </c>
      <c r="I19" s="22" t="str">
        <f aca="false">'Skip Audit'!T19</f>
        <v>No matching PDF; review after skip</v>
      </c>
      <c r="J19" s="22" t="str">
        <f aca="false">"Skip Audit row 19"</f>
        <v>Skip Audit row 19</v>
      </c>
    </row>
    <row r="20" customFormat="false" ht="15" hidden="false" customHeight="false" outlineLevel="0" collapsed="false">
      <c r="A20" s="22" t="str">
        <f aca="false">'Skip Audit'!U20</f>
        <v>Priority 1</v>
      </c>
      <c r="B20" s="22" t="s">
        <v>12988</v>
      </c>
      <c r="C20" s="22" t="str">
        <f aca="false">'Skip Audit'!A20</f>
        <v>SKP-2023-0109</v>
      </c>
      <c r="D20" s="23" t="n">
        <f aca="false">'Skip Audit'!C20</f>
        <v>45010</v>
      </c>
      <c r="E20" s="22" t="str">
        <f aca="false">'Skip Audit'!D20</f>
        <v>WL-03535</v>
      </c>
      <c r="F20" s="22" t="str">
        <f aca="false">'Skip Audit'!E20</f>
        <v>Allison Castro</v>
      </c>
      <c r="G20" s="22" t="str">
        <f aca="false">'Skip Audit'!G20</f>
        <v>GW-0101</v>
      </c>
      <c r="H20" s="22" t="n">
        <v>0</v>
      </c>
      <c r="I20" s="22" t="str">
        <f aca="false">'Skip Audit'!T20</f>
        <v>No matching PDF; review after skip</v>
      </c>
      <c r="J20" s="22" t="str">
        <f aca="false">"Skip Audit row 20"</f>
        <v>Skip Audit row 20</v>
      </c>
    </row>
    <row r="21" customFormat="false" ht="15" hidden="false" customHeight="false" outlineLevel="0" collapsed="false">
      <c r="A21" s="22" t="str">
        <f aca="false">'Skip Audit'!U21</f>
        <v>Priority 1</v>
      </c>
      <c r="B21" s="22" t="s">
        <v>12988</v>
      </c>
      <c r="C21" s="22" t="str">
        <f aca="false">'Skip Audit'!A21</f>
        <v>SKP-2023-0110</v>
      </c>
      <c r="D21" s="23" t="n">
        <f aca="false">'Skip Audit'!C21</f>
        <v>45036</v>
      </c>
      <c r="E21" s="22" t="str">
        <f aca="false">'Skip Audit'!D21</f>
        <v>WL-01473</v>
      </c>
      <c r="F21" s="22" t="str">
        <f aca="false">'Skip Audit'!E21</f>
        <v>Ian Parrish</v>
      </c>
      <c r="G21" s="22" t="str">
        <f aca="false">'Skip Audit'!G21</f>
        <v>SB-0623</v>
      </c>
      <c r="H21" s="22" t="n">
        <v>0</v>
      </c>
      <c r="I21" s="22" t="str">
        <f aca="false">'Skip Audit'!T21</f>
        <v>No matching PDF; review after skip</v>
      </c>
      <c r="J21" s="22" t="str">
        <f aca="false">"Skip Audit row 21"</f>
        <v>Skip Audit row 21</v>
      </c>
    </row>
    <row r="22" customFormat="false" ht="15" hidden="false" customHeight="false" outlineLevel="0" collapsed="false">
      <c r="A22" s="22" t="str">
        <f aca="false">'Skip Audit'!U22</f>
        <v>Priority 1</v>
      </c>
      <c r="B22" s="22" t="s">
        <v>12988</v>
      </c>
      <c r="C22" s="22" t="str">
        <f aca="false">'Skip Audit'!A22</f>
        <v>SKP-2023-0111</v>
      </c>
      <c r="D22" s="23" t="n">
        <f aca="false">'Skip Audit'!C22</f>
        <v>45036</v>
      </c>
      <c r="E22" s="22" t="str">
        <f aca="false">'Skip Audit'!D22</f>
        <v>WL-02941</v>
      </c>
      <c r="F22" s="22" t="str">
        <f aca="false">'Skip Audit'!E22</f>
        <v>Jose Benson</v>
      </c>
      <c r="G22" s="22" t="str">
        <f aca="false">'Skip Audit'!G22</f>
        <v>SB-0109</v>
      </c>
      <c r="H22" s="22" t="n">
        <v>0</v>
      </c>
      <c r="I22" s="22" t="str">
        <f aca="false">'Skip Audit'!T22</f>
        <v>No matching PDF; review after skip</v>
      </c>
      <c r="J22" s="22" t="str">
        <f aca="false">"Skip Audit row 22"</f>
        <v>Skip Audit row 22</v>
      </c>
    </row>
    <row r="23" customFormat="false" ht="15" hidden="false" customHeight="false" outlineLevel="0" collapsed="false">
      <c r="A23" s="22" t="str">
        <f aca="false">'Skip Audit'!U23</f>
        <v>Priority 1</v>
      </c>
      <c r="B23" s="22" t="s">
        <v>12988</v>
      </c>
      <c r="C23" s="22" t="str">
        <f aca="false">'Skip Audit'!A23</f>
        <v>SKP-2023-0112</v>
      </c>
      <c r="D23" s="23" t="n">
        <f aca="false">'Skip Audit'!C23</f>
        <v>45019</v>
      </c>
      <c r="E23" s="22" t="str">
        <f aca="false">'Skip Audit'!D23</f>
        <v>WL-03014</v>
      </c>
      <c r="F23" s="22" t="str">
        <f aca="false">'Skip Audit'!E23</f>
        <v>Daniel Mitchell</v>
      </c>
      <c r="G23" s="22" t="str">
        <f aca="false">'Skip Audit'!G23</f>
        <v>LP-0204</v>
      </c>
      <c r="H23" s="22" t="n">
        <v>0</v>
      </c>
      <c r="I23" s="22" t="str">
        <f aca="false">'Skip Audit'!T23</f>
        <v>No matching PDF; review after skip</v>
      </c>
      <c r="J23" s="22" t="str">
        <f aca="false">"Skip Audit row 23"</f>
        <v>Skip Audit row 23</v>
      </c>
    </row>
    <row r="24" customFormat="false" ht="15" hidden="false" customHeight="false" outlineLevel="0" collapsed="false">
      <c r="A24" s="22" t="str">
        <f aca="false">'Skip Audit'!U24</f>
        <v>Priority 1</v>
      </c>
      <c r="B24" s="22" t="s">
        <v>12988</v>
      </c>
      <c r="C24" s="22" t="str">
        <f aca="false">'Skip Audit'!A24</f>
        <v>SKP-2023-0113</v>
      </c>
      <c r="D24" s="23" t="n">
        <f aca="false">'Skip Audit'!C24</f>
        <v>45025</v>
      </c>
      <c r="E24" s="22" t="str">
        <f aca="false">'Skip Audit'!D24</f>
        <v>WL-01886</v>
      </c>
      <c r="F24" s="22" t="str">
        <f aca="false">'Skip Audit'!E24</f>
        <v>Kenneth Riley</v>
      </c>
      <c r="G24" s="22" t="str">
        <f aca="false">'Skip Audit'!G24</f>
        <v>GW-0116</v>
      </c>
      <c r="H24" s="22" t="n">
        <v>0</v>
      </c>
      <c r="I24" s="22" t="str">
        <f aca="false">'Skip Audit'!T24</f>
        <v>No matching PDF; review after skip</v>
      </c>
      <c r="J24" s="22" t="str">
        <f aca="false">"Skip Audit row 24"</f>
        <v>Skip Audit row 24</v>
      </c>
    </row>
    <row r="25" customFormat="false" ht="15" hidden="false" customHeight="false" outlineLevel="0" collapsed="false">
      <c r="A25" s="22" t="str">
        <f aca="false">'Skip Audit'!U25</f>
        <v>Priority 1</v>
      </c>
      <c r="B25" s="22" t="s">
        <v>12988</v>
      </c>
      <c r="C25" s="22" t="str">
        <f aca="false">'Skip Audit'!A25</f>
        <v>SKP-2023-0114</v>
      </c>
      <c r="D25" s="23" t="n">
        <f aca="false">'Skip Audit'!C25</f>
        <v>45027</v>
      </c>
      <c r="E25" s="22" t="str">
        <f aca="false">'Skip Audit'!D25</f>
        <v>WL-02074</v>
      </c>
      <c r="F25" s="22" t="str">
        <f aca="false">'Skip Audit'!E25</f>
        <v>Erika Martin</v>
      </c>
      <c r="G25" s="22" t="str">
        <f aca="false">'Skip Audit'!G25</f>
        <v>EW-1007</v>
      </c>
      <c r="H25" s="22" t="n">
        <v>0</v>
      </c>
      <c r="I25" s="22" t="str">
        <f aca="false">'Skip Audit'!T25</f>
        <v>No matching PDF; review after skip</v>
      </c>
      <c r="J25" s="22" t="str">
        <f aca="false">"Skip Audit row 25"</f>
        <v>Skip Audit row 25</v>
      </c>
    </row>
    <row r="26" customFormat="false" ht="15" hidden="false" customHeight="false" outlineLevel="0" collapsed="false">
      <c r="A26" s="22" t="str">
        <f aca="false">'Skip Audit'!U26</f>
        <v>Priority 1</v>
      </c>
      <c r="B26" s="22" t="s">
        <v>12988</v>
      </c>
      <c r="C26" s="22" t="str">
        <f aca="false">'Skip Audit'!A26</f>
        <v>SKP-2023-0115</v>
      </c>
      <c r="D26" s="23" t="n">
        <f aca="false">'Skip Audit'!C26</f>
        <v>45024</v>
      </c>
      <c r="E26" s="22" t="str">
        <f aca="false">'Skip Audit'!D26</f>
        <v>WL-01145</v>
      </c>
      <c r="F26" s="22" t="str">
        <f aca="false">'Skip Audit'!E26</f>
        <v>Francisco Weaver</v>
      </c>
      <c r="G26" s="22" t="str">
        <f aca="false">'Skip Audit'!G26</f>
        <v>EW-0304</v>
      </c>
      <c r="H26" s="22" t="n">
        <v>0</v>
      </c>
      <c r="I26" s="22" t="str">
        <f aca="false">'Skip Audit'!T26</f>
        <v>No matching PDF; review after skip</v>
      </c>
      <c r="J26" s="22" t="str">
        <f aca="false">"Skip Audit row 26"</f>
        <v>Skip Audit row 26</v>
      </c>
    </row>
    <row r="27" customFormat="false" ht="15" hidden="false" customHeight="false" outlineLevel="0" collapsed="false">
      <c r="A27" s="22" t="str">
        <f aca="false">'Skip Audit'!U27</f>
        <v>Priority 1</v>
      </c>
      <c r="B27" s="22" t="s">
        <v>12988</v>
      </c>
      <c r="C27" s="22" t="str">
        <f aca="false">'Skip Audit'!A27</f>
        <v>SKP-2023-0116</v>
      </c>
      <c r="D27" s="23" t="n">
        <f aca="false">'Skip Audit'!C27</f>
        <v>45044</v>
      </c>
      <c r="E27" s="22" t="str">
        <f aca="false">'Skip Audit'!D27</f>
        <v>WL-01274</v>
      </c>
      <c r="F27" s="22" t="str">
        <f aca="false">'Skip Audit'!E27</f>
        <v>Lisa Campbell</v>
      </c>
      <c r="G27" s="22" t="str">
        <f aca="false">'Skip Audit'!G27</f>
        <v>GW-0905</v>
      </c>
      <c r="H27" s="22" t="n">
        <v>0</v>
      </c>
      <c r="I27" s="22" t="str">
        <f aca="false">'Skip Audit'!T27</f>
        <v>No matching PDF; review after skip</v>
      </c>
      <c r="J27" s="22" t="str">
        <f aca="false">"Skip Audit row 27"</f>
        <v>Skip Audit row 27</v>
      </c>
    </row>
    <row r="28" customFormat="false" ht="15" hidden="false" customHeight="false" outlineLevel="0" collapsed="false">
      <c r="A28" s="22" t="str">
        <f aca="false">'Skip Audit'!U28</f>
        <v>Priority 1</v>
      </c>
      <c r="B28" s="22" t="s">
        <v>12988</v>
      </c>
      <c r="C28" s="22" t="str">
        <f aca="false">'Skip Audit'!A28</f>
        <v>SKP-2023-0117</v>
      </c>
      <c r="D28" s="23" t="n">
        <f aca="false">'Skip Audit'!C28</f>
        <v>45018</v>
      </c>
      <c r="E28" s="22" t="str">
        <f aca="false">'Skip Audit'!D28</f>
        <v>WL-01089</v>
      </c>
      <c r="F28" s="22" t="str">
        <f aca="false">'Skip Audit'!E28</f>
        <v>Erin Holmes</v>
      </c>
      <c r="G28" s="22" t="str">
        <f aca="false">'Skip Audit'!G28</f>
        <v>GW-0306</v>
      </c>
      <c r="H28" s="22" t="n">
        <v>0</v>
      </c>
      <c r="I28" s="22" t="str">
        <f aca="false">'Skip Audit'!T28</f>
        <v>No matching PDF; review after skip</v>
      </c>
      <c r="J28" s="22" t="str">
        <f aca="false">"Skip Audit row 28"</f>
        <v>Skip Audit row 28</v>
      </c>
    </row>
    <row r="29" customFormat="false" ht="15" hidden="false" customHeight="false" outlineLevel="0" collapsed="false">
      <c r="A29" s="22" t="str">
        <f aca="false">'Skip Audit'!U29</f>
        <v>Priority 1</v>
      </c>
      <c r="B29" s="22" t="s">
        <v>12988</v>
      </c>
      <c r="C29" s="22" t="str">
        <f aca="false">'Skip Audit'!A29</f>
        <v>SKP-2023-0118</v>
      </c>
      <c r="D29" s="23" t="n">
        <f aca="false">'Skip Audit'!C29</f>
        <v>45059</v>
      </c>
      <c r="E29" s="22" t="str">
        <f aca="false">'Skip Audit'!D29</f>
        <v>WL-02485</v>
      </c>
      <c r="F29" s="22" t="str">
        <f aca="false">'Skip Audit'!E29</f>
        <v>Matthew Dickerson</v>
      </c>
      <c r="G29" s="22" t="str">
        <f aca="false">'Skip Audit'!G29</f>
        <v>VB-0521</v>
      </c>
      <c r="H29" s="22" t="n">
        <v>0</v>
      </c>
      <c r="I29" s="22" t="str">
        <f aca="false">'Skip Audit'!T29</f>
        <v>No matching PDF; review after skip</v>
      </c>
      <c r="J29" s="22" t="str">
        <f aca="false">"Skip Audit row 29"</f>
        <v>Skip Audit row 29</v>
      </c>
    </row>
    <row r="30" customFormat="false" ht="15" hidden="false" customHeight="false" outlineLevel="0" collapsed="false">
      <c r="A30" s="22" t="str">
        <f aca="false">'Skip Audit'!U30</f>
        <v>Priority 1</v>
      </c>
      <c r="B30" s="22" t="s">
        <v>12988</v>
      </c>
      <c r="C30" s="22" t="str">
        <f aca="false">'Skip Audit'!A30</f>
        <v>SKP-2023-0119</v>
      </c>
      <c r="D30" s="23" t="n">
        <f aca="false">'Skip Audit'!C30</f>
        <v>45051</v>
      </c>
      <c r="E30" s="22" t="str">
        <f aca="false">'Skip Audit'!D30</f>
        <v>WL-03151</v>
      </c>
      <c r="F30" s="22" t="str">
        <f aca="false">'Skip Audit'!E30</f>
        <v>Elizabeth King</v>
      </c>
      <c r="G30" s="22" t="str">
        <f aca="false">'Skip Audit'!G30</f>
        <v>VB-0220</v>
      </c>
      <c r="H30" s="22" t="n">
        <v>0</v>
      </c>
      <c r="I30" s="22" t="str">
        <f aca="false">'Skip Audit'!T30</f>
        <v>No matching PDF; review after skip</v>
      </c>
      <c r="J30" s="22" t="str">
        <f aca="false">"Skip Audit row 30"</f>
        <v>Skip Audit row 30</v>
      </c>
    </row>
    <row r="31" customFormat="false" ht="15" hidden="false" customHeight="false" outlineLevel="0" collapsed="false">
      <c r="A31" s="22" t="str">
        <f aca="false">'Skip Audit'!U31</f>
        <v>Priority 1</v>
      </c>
      <c r="B31" s="22" t="s">
        <v>12988</v>
      </c>
      <c r="C31" s="22" t="str">
        <f aca="false">'Skip Audit'!A31</f>
        <v>SKP-2023-0120</v>
      </c>
      <c r="D31" s="23" t="n">
        <f aca="false">'Skip Audit'!C31</f>
        <v>45048</v>
      </c>
      <c r="E31" s="22" t="str">
        <f aca="false">'Skip Audit'!D31</f>
        <v>WL-01469</v>
      </c>
      <c r="F31" s="22" t="str">
        <f aca="false">'Skip Audit'!E31</f>
        <v>John Lynch</v>
      </c>
      <c r="G31" s="22" t="str">
        <f aca="false">'Skip Audit'!G31</f>
        <v>LP-1104</v>
      </c>
      <c r="H31" s="22" t="n">
        <v>0</v>
      </c>
      <c r="I31" s="22" t="str">
        <f aca="false">'Skip Audit'!T31</f>
        <v>No matching PDF; review after skip</v>
      </c>
      <c r="J31" s="22" t="str">
        <f aca="false">"Skip Audit row 31"</f>
        <v>Skip Audit row 31</v>
      </c>
    </row>
    <row r="32" customFormat="false" ht="15" hidden="false" customHeight="false" outlineLevel="0" collapsed="false">
      <c r="A32" s="22" t="str">
        <f aca="false">'Skip Audit'!U32</f>
        <v>Priority 1</v>
      </c>
      <c r="B32" s="22" t="s">
        <v>12988</v>
      </c>
      <c r="C32" s="22" t="str">
        <f aca="false">'Skip Audit'!A32</f>
        <v>SKP-2023-0121</v>
      </c>
      <c r="D32" s="23" t="n">
        <f aca="false">'Skip Audit'!C32</f>
        <v>45058</v>
      </c>
      <c r="E32" s="22" t="str">
        <f aca="false">'Skip Audit'!D32</f>
        <v>WL-03181</v>
      </c>
      <c r="F32" s="22" t="str">
        <f aca="false">'Skip Audit'!E32</f>
        <v>Annette Collins</v>
      </c>
      <c r="G32" s="22" t="str">
        <f aca="false">'Skip Audit'!G32</f>
        <v>SB-0903</v>
      </c>
      <c r="H32" s="22" t="n">
        <v>0</v>
      </c>
      <c r="I32" s="22" t="str">
        <f aca="false">'Skip Audit'!T32</f>
        <v>No matching PDF; review after skip</v>
      </c>
      <c r="J32" s="22" t="str">
        <f aca="false">"Skip Audit row 32"</f>
        <v>Skip Audit row 32</v>
      </c>
    </row>
    <row r="33" customFormat="false" ht="15" hidden="false" customHeight="false" outlineLevel="0" collapsed="false">
      <c r="A33" s="22" t="str">
        <f aca="false">'Skip Audit'!U33</f>
        <v>Priority 1</v>
      </c>
      <c r="B33" s="22" t="s">
        <v>12988</v>
      </c>
      <c r="C33" s="22" t="str">
        <f aca="false">'Skip Audit'!A33</f>
        <v>SKP-2023-0122</v>
      </c>
      <c r="D33" s="23" t="n">
        <f aca="false">'Skip Audit'!C33</f>
        <v>45066</v>
      </c>
      <c r="E33" s="22" t="str">
        <f aca="false">'Skip Audit'!D33</f>
        <v>WL-03816</v>
      </c>
      <c r="F33" s="22" t="str">
        <f aca="false">'Skip Audit'!E33</f>
        <v>Brittany Lopez</v>
      </c>
      <c r="G33" s="22" t="str">
        <f aca="false">'Skip Audit'!G33</f>
        <v>VB-0113</v>
      </c>
      <c r="H33" s="22" t="n">
        <v>0</v>
      </c>
      <c r="I33" s="22" t="str">
        <f aca="false">'Skip Audit'!T33</f>
        <v>No matching PDF; review after skip</v>
      </c>
      <c r="J33" s="22" t="str">
        <f aca="false">"Skip Audit row 33"</f>
        <v>Skip Audit row 33</v>
      </c>
    </row>
    <row r="34" customFormat="false" ht="15" hidden="false" customHeight="false" outlineLevel="0" collapsed="false">
      <c r="A34" s="22" t="str">
        <f aca="false">'Skip Audit'!U34</f>
        <v>Priority 1</v>
      </c>
      <c r="B34" s="22" t="s">
        <v>12988</v>
      </c>
      <c r="C34" s="22" t="str">
        <f aca="false">'Skip Audit'!A34</f>
        <v>SKP-2023-0123</v>
      </c>
      <c r="D34" s="23" t="n">
        <f aca="false">'Skip Audit'!C34</f>
        <v>45067</v>
      </c>
      <c r="E34" s="22" t="str">
        <f aca="false">'Skip Audit'!D34</f>
        <v>WL-03712</v>
      </c>
      <c r="F34" s="22" t="str">
        <f aca="false">'Skip Audit'!E34</f>
        <v>Charles Graham</v>
      </c>
      <c r="G34" s="22" t="str">
        <f aca="false">'Skip Audit'!G34</f>
        <v>LP-0113</v>
      </c>
      <c r="H34" s="22" t="n">
        <v>0</v>
      </c>
      <c r="I34" s="22" t="str">
        <f aca="false">'Skip Audit'!T34</f>
        <v>No matching PDF; review after skip</v>
      </c>
      <c r="J34" s="22" t="str">
        <f aca="false">"Skip Audit row 34"</f>
        <v>Skip Audit row 34</v>
      </c>
    </row>
    <row r="35" customFormat="false" ht="15" hidden="false" customHeight="false" outlineLevel="0" collapsed="false">
      <c r="A35" s="22" t="str">
        <f aca="false">'Skip Audit'!U35</f>
        <v>Priority 1</v>
      </c>
      <c r="B35" s="22" t="s">
        <v>12988</v>
      </c>
      <c r="C35" s="22" t="str">
        <f aca="false">'Skip Audit'!A35</f>
        <v>SKP-2023-0124</v>
      </c>
      <c r="D35" s="23" t="n">
        <f aca="false">'Skip Audit'!C35</f>
        <v>45065</v>
      </c>
      <c r="E35" s="22" t="str">
        <f aca="false">'Skip Audit'!D35</f>
        <v>WL-02100</v>
      </c>
      <c r="F35" s="22" t="str">
        <f aca="false">'Skip Audit'!E35</f>
        <v>Michelle Pena</v>
      </c>
      <c r="G35" s="22" t="str">
        <f aca="false">'Skip Audit'!G35</f>
        <v>VB-0504</v>
      </c>
      <c r="H35" s="22" t="n">
        <v>0</v>
      </c>
      <c r="I35" s="22" t="str">
        <f aca="false">'Skip Audit'!T35</f>
        <v>No matching PDF; review after skip</v>
      </c>
      <c r="J35" s="22" t="str">
        <f aca="false">"Skip Audit row 35"</f>
        <v>Skip Audit row 35</v>
      </c>
    </row>
    <row r="36" customFormat="false" ht="15" hidden="false" customHeight="false" outlineLevel="0" collapsed="false">
      <c r="A36" s="22" t="str">
        <f aca="false">'Skip Audit'!U36</f>
        <v>Priority 1</v>
      </c>
      <c r="B36" s="22" t="s">
        <v>12988</v>
      </c>
      <c r="C36" s="22" t="str">
        <f aca="false">'Skip Audit'!A36</f>
        <v>SKP-2023-0125</v>
      </c>
      <c r="D36" s="23" t="n">
        <f aca="false">'Skip Audit'!C36</f>
        <v>45067</v>
      </c>
      <c r="E36" s="22" t="str">
        <f aca="false">'Skip Audit'!D36</f>
        <v>WL-02777</v>
      </c>
      <c r="F36" s="22" t="str">
        <f aca="false">'Skip Audit'!E36</f>
        <v>Carolyn Johnson</v>
      </c>
      <c r="G36" s="22" t="str">
        <f aca="false">'Skip Audit'!G36</f>
        <v>LP-0402</v>
      </c>
      <c r="H36" s="22" t="n">
        <v>0</v>
      </c>
      <c r="I36" s="22" t="str">
        <f aca="false">'Skip Audit'!T36</f>
        <v>No matching PDF; review after skip</v>
      </c>
      <c r="J36" s="22" t="str">
        <f aca="false">"Skip Audit row 36"</f>
        <v>Skip Audit row 36</v>
      </c>
    </row>
    <row r="37" customFormat="false" ht="15" hidden="false" customHeight="false" outlineLevel="0" collapsed="false">
      <c r="A37" s="22" t="str">
        <f aca="false">'Skip Audit'!U37</f>
        <v>Priority 1</v>
      </c>
      <c r="B37" s="22" t="s">
        <v>12988</v>
      </c>
      <c r="C37" s="22" t="str">
        <f aca="false">'Skip Audit'!A37</f>
        <v>SKP-2023-0126</v>
      </c>
      <c r="D37" s="23" t="n">
        <f aca="false">'Skip Audit'!C37</f>
        <v>45056</v>
      </c>
      <c r="E37" s="22" t="str">
        <f aca="false">'Skip Audit'!D37</f>
        <v>WL-02134</v>
      </c>
      <c r="F37" s="22" t="str">
        <f aca="false">'Skip Audit'!E37</f>
        <v>James Martin</v>
      </c>
      <c r="G37" s="22" t="str">
        <f aca="false">'Skip Audit'!G37</f>
        <v>EW-0320</v>
      </c>
      <c r="H37" s="22" t="n">
        <v>0</v>
      </c>
      <c r="I37" s="22" t="str">
        <f aca="false">'Skip Audit'!T37</f>
        <v>No matching PDF; review after skip</v>
      </c>
      <c r="J37" s="22" t="str">
        <f aca="false">"Skip Audit row 37"</f>
        <v>Skip Audit row 37</v>
      </c>
    </row>
    <row r="38" customFormat="false" ht="15" hidden="false" customHeight="false" outlineLevel="0" collapsed="false">
      <c r="A38" s="22" t="str">
        <f aca="false">'Skip Audit'!U38</f>
        <v>Priority 1</v>
      </c>
      <c r="B38" s="22" t="s">
        <v>12988</v>
      </c>
      <c r="C38" s="22" t="str">
        <f aca="false">'Skip Audit'!A38</f>
        <v>SKP-2023-0127</v>
      </c>
      <c r="D38" s="23" t="n">
        <f aca="false">'Skip Audit'!C38</f>
        <v>45067</v>
      </c>
      <c r="E38" s="22" t="str">
        <f aca="false">'Skip Audit'!D38</f>
        <v>WL-01420</v>
      </c>
      <c r="F38" s="22" t="str">
        <f aca="false">'Skip Audit'!E38</f>
        <v>Patricia Wilson</v>
      </c>
      <c r="G38" s="22" t="str">
        <f aca="false">'Skip Audit'!G38</f>
        <v>SB-0405</v>
      </c>
      <c r="H38" s="22" t="n">
        <v>0</v>
      </c>
      <c r="I38" s="22" t="str">
        <f aca="false">'Skip Audit'!T38</f>
        <v>No matching PDF; review after skip</v>
      </c>
      <c r="J38" s="22" t="str">
        <f aca="false">"Skip Audit row 38"</f>
        <v>Skip Audit row 38</v>
      </c>
    </row>
    <row r="39" customFormat="false" ht="15" hidden="false" customHeight="false" outlineLevel="0" collapsed="false">
      <c r="A39" s="22" t="str">
        <f aca="false">'Skip Audit'!U39</f>
        <v>Priority 1</v>
      </c>
      <c r="B39" s="22" t="s">
        <v>12988</v>
      </c>
      <c r="C39" s="22" t="str">
        <f aca="false">'Skip Audit'!A39</f>
        <v>SKP-2023-0128</v>
      </c>
      <c r="D39" s="23" t="n">
        <f aca="false">'Skip Audit'!C39</f>
        <v>45050</v>
      </c>
      <c r="E39" s="22" t="str">
        <f aca="false">'Skip Audit'!D39</f>
        <v>WL-03537</v>
      </c>
      <c r="F39" s="22" t="str">
        <f aca="false">'Skip Audit'!E39</f>
        <v>Angel Wheeler</v>
      </c>
      <c r="G39" s="22" t="str">
        <f aca="false">'Skip Audit'!G39</f>
        <v>GW-0709</v>
      </c>
      <c r="H39" s="22" t="n">
        <v>0</v>
      </c>
      <c r="I39" s="22" t="str">
        <f aca="false">'Skip Audit'!T39</f>
        <v>No matching PDF; review after skip</v>
      </c>
      <c r="J39" s="22" t="str">
        <f aca="false">"Skip Audit row 39"</f>
        <v>Skip Audit row 39</v>
      </c>
    </row>
    <row r="40" customFormat="false" ht="15" hidden="false" customHeight="false" outlineLevel="0" collapsed="false">
      <c r="A40" s="22" t="str">
        <f aca="false">'Skip Audit'!U40</f>
        <v>Priority 1</v>
      </c>
      <c r="B40" s="22" t="s">
        <v>12988</v>
      </c>
      <c r="C40" s="22" t="str">
        <f aca="false">'Skip Audit'!A40</f>
        <v>SKP-2023-0129</v>
      </c>
      <c r="D40" s="23" t="n">
        <f aca="false">'Skip Audit'!C40</f>
        <v>45048</v>
      </c>
      <c r="E40" s="22" t="str">
        <f aca="false">'Skip Audit'!D40</f>
        <v>WL-03178</v>
      </c>
      <c r="F40" s="22" t="str">
        <f aca="false">'Skip Audit'!E40</f>
        <v>Kristen Schneider</v>
      </c>
      <c r="G40" s="22" t="str">
        <f aca="false">'Skip Audit'!G40</f>
        <v>VB-0810</v>
      </c>
      <c r="H40" s="22" t="n">
        <v>0</v>
      </c>
      <c r="I40" s="22" t="str">
        <f aca="false">'Skip Audit'!T40</f>
        <v>No matching PDF</v>
      </c>
      <c r="J40" s="22" t="str">
        <f aca="false">"Skip Audit row 40"</f>
        <v>Skip Audit row 40</v>
      </c>
    </row>
    <row r="41" customFormat="false" ht="15" hidden="false" customHeight="false" outlineLevel="0" collapsed="false">
      <c r="A41" s="22" t="str">
        <f aca="false">'Skip Audit'!U41</f>
        <v>Priority 1</v>
      </c>
      <c r="B41" s="22" t="s">
        <v>12988</v>
      </c>
      <c r="C41" s="22" t="str">
        <f aca="false">'Skip Audit'!A41</f>
        <v>SKP-2023-0130</v>
      </c>
      <c r="D41" s="23" t="n">
        <f aca="false">'Skip Audit'!C41</f>
        <v>45089</v>
      </c>
      <c r="E41" s="22" t="str">
        <f aca="false">'Skip Audit'!D41</f>
        <v>WL-02924</v>
      </c>
      <c r="F41" s="22" t="str">
        <f aca="false">'Skip Audit'!E41</f>
        <v>Heather Hall</v>
      </c>
      <c r="G41" s="22" t="str">
        <f aca="false">'Skip Audit'!G41</f>
        <v>VB-0720</v>
      </c>
      <c r="H41" s="22" t="n">
        <v>0</v>
      </c>
      <c r="I41" s="22" t="str">
        <f aca="false">'Skip Audit'!T41</f>
        <v>No matching PDF; review after skip</v>
      </c>
      <c r="J41" s="22" t="str">
        <f aca="false">"Skip Audit row 41"</f>
        <v>Skip Audit row 41</v>
      </c>
    </row>
    <row r="42" customFormat="false" ht="15" hidden="false" customHeight="false" outlineLevel="0" collapsed="false">
      <c r="A42" s="22" t="str">
        <f aca="false">'Skip Audit'!U42</f>
        <v>Priority 1</v>
      </c>
      <c r="B42" s="22" t="s">
        <v>12988</v>
      </c>
      <c r="C42" s="22" t="str">
        <f aca="false">'Skip Audit'!A42</f>
        <v>SKP-2023-0131</v>
      </c>
      <c r="D42" s="23" t="n">
        <f aca="false">'Skip Audit'!C42</f>
        <v>45092</v>
      </c>
      <c r="E42" s="22" t="str">
        <f aca="false">'Skip Audit'!D42</f>
        <v>WL-01781</v>
      </c>
      <c r="F42" s="22" t="str">
        <f aca="false">'Skip Audit'!E42</f>
        <v>Crystal Parrish</v>
      </c>
      <c r="G42" s="22" t="str">
        <f aca="false">'Skip Audit'!G42</f>
        <v>LP-0220</v>
      </c>
      <c r="H42" s="22" t="n">
        <v>0</v>
      </c>
      <c r="I42" s="22" t="str">
        <f aca="false">'Skip Audit'!T42</f>
        <v>No matching PDF; review after skip</v>
      </c>
      <c r="J42" s="22" t="str">
        <f aca="false">"Skip Audit row 42"</f>
        <v>Skip Audit row 42</v>
      </c>
    </row>
    <row r="43" customFormat="false" ht="15" hidden="false" customHeight="false" outlineLevel="0" collapsed="false">
      <c r="A43" s="22" t="str">
        <f aca="false">'Skip Audit'!U43</f>
        <v>Priority 1</v>
      </c>
      <c r="B43" s="22" t="s">
        <v>12988</v>
      </c>
      <c r="C43" s="22" t="str">
        <f aca="false">'Skip Audit'!A43</f>
        <v>SKP-2023-0132</v>
      </c>
      <c r="D43" s="23" t="n">
        <f aca="false">'Skip Audit'!C43</f>
        <v>45085</v>
      </c>
      <c r="E43" s="22" t="str">
        <f aca="false">'Skip Audit'!D43</f>
        <v>WL-01193</v>
      </c>
      <c r="F43" s="22" t="str">
        <f aca="false">'Skip Audit'!E43</f>
        <v>Mindy Medina</v>
      </c>
      <c r="G43" s="22" t="str">
        <f aca="false">'Skip Audit'!G43</f>
        <v>VB-0205</v>
      </c>
      <c r="H43" s="22" t="n">
        <v>0</v>
      </c>
      <c r="I43" s="22" t="str">
        <f aca="false">'Skip Audit'!T43</f>
        <v>No matching PDF</v>
      </c>
      <c r="J43" s="22" t="str">
        <f aca="false">"Skip Audit row 43"</f>
        <v>Skip Audit row 43</v>
      </c>
    </row>
    <row r="44" customFormat="false" ht="15" hidden="false" customHeight="false" outlineLevel="0" collapsed="false">
      <c r="A44" s="22" t="str">
        <f aca="false">'Skip Audit'!U44</f>
        <v>Priority 1</v>
      </c>
      <c r="B44" s="22" t="s">
        <v>12988</v>
      </c>
      <c r="C44" s="22" t="str">
        <f aca="false">'Skip Audit'!A44</f>
        <v>SKP-2023-0133</v>
      </c>
      <c r="D44" s="23" t="n">
        <f aca="false">'Skip Audit'!C44</f>
        <v>45087</v>
      </c>
      <c r="E44" s="22" t="str">
        <f aca="false">'Skip Audit'!D44</f>
        <v>WL-01319</v>
      </c>
      <c r="F44" s="22" t="str">
        <f aca="false">'Skip Audit'!E44</f>
        <v>Janice Roy</v>
      </c>
      <c r="G44" s="22" t="str">
        <f aca="false">'Skip Audit'!G44</f>
        <v>GW-1008</v>
      </c>
      <c r="H44" s="22" t="n">
        <v>0</v>
      </c>
      <c r="I44" s="22" t="str">
        <f aca="false">'Skip Audit'!T44</f>
        <v>No matching PDF; review after skip</v>
      </c>
      <c r="J44" s="22" t="str">
        <f aca="false">"Skip Audit row 44"</f>
        <v>Skip Audit row 44</v>
      </c>
    </row>
    <row r="45" customFormat="false" ht="15" hidden="false" customHeight="false" outlineLevel="0" collapsed="false">
      <c r="A45" s="22" t="str">
        <f aca="false">'Skip Audit'!U45</f>
        <v>Priority 1</v>
      </c>
      <c r="B45" s="22" t="s">
        <v>12988</v>
      </c>
      <c r="C45" s="22" t="str">
        <f aca="false">'Skip Audit'!A45</f>
        <v>SKP-2023-0134</v>
      </c>
      <c r="D45" s="23" t="n">
        <f aca="false">'Skip Audit'!C45</f>
        <v>45101</v>
      </c>
      <c r="E45" s="22" t="str">
        <f aca="false">'Skip Audit'!D45</f>
        <v>WL-02173</v>
      </c>
      <c r="F45" s="22" t="str">
        <f aca="false">'Skip Audit'!E45</f>
        <v>Lisa Parker</v>
      </c>
      <c r="G45" s="22" t="str">
        <f aca="false">'Skip Audit'!G45</f>
        <v>SB-0205</v>
      </c>
      <c r="H45" s="22" t="n">
        <v>0</v>
      </c>
      <c r="I45" s="22" t="str">
        <f aca="false">'Skip Audit'!T45</f>
        <v>No matching PDF</v>
      </c>
      <c r="J45" s="22" t="str">
        <f aca="false">"Skip Audit row 45"</f>
        <v>Skip Audit row 45</v>
      </c>
    </row>
    <row r="46" customFormat="false" ht="15" hidden="false" customHeight="false" outlineLevel="0" collapsed="false">
      <c r="A46" s="22" t="str">
        <f aca="false">'Skip Audit'!U46</f>
        <v>Priority 1</v>
      </c>
      <c r="B46" s="22" t="s">
        <v>12988</v>
      </c>
      <c r="C46" s="22" t="str">
        <f aca="false">'Skip Audit'!A46</f>
        <v>SKP-2023-0135</v>
      </c>
      <c r="D46" s="23" t="n">
        <f aca="false">'Skip Audit'!C46</f>
        <v>45102</v>
      </c>
      <c r="E46" s="22" t="str">
        <f aca="false">'Skip Audit'!D46</f>
        <v>WL-01568</v>
      </c>
      <c r="F46" s="22" t="str">
        <f aca="false">'Skip Audit'!E46</f>
        <v>Rebecca Lozano</v>
      </c>
      <c r="G46" s="22" t="str">
        <f aca="false">'Skip Audit'!G46</f>
        <v>LP-0219</v>
      </c>
      <c r="H46" s="22" t="n">
        <v>0</v>
      </c>
      <c r="I46" s="22" t="str">
        <f aca="false">'Skip Audit'!T46</f>
        <v>No matching PDF; review after skip</v>
      </c>
      <c r="J46" s="22" t="str">
        <f aca="false">"Skip Audit row 46"</f>
        <v>Skip Audit row 46</v>
      </c>
    </row>
    <row r="47" customFormat="false" ht="15" hidden="false" customHeight="false" outlineLevel="0" collapsed="false">
      <c r="A47" s="22" t="str">
        <f aca="false">'Skip Audit'!U47</f>
        <v>Priority 1</v>
      </c>
      <c r="B47" s="22" t="s">
        <v>12988</v>
      </c>
      <c r="C47" s="22" t="str">
        <f aca="false">'Skip Audit'!A47</f>
        <v>SKP-2023-0136</v>
      </c>
      <c r="D47" s="23" t="n">
        <f aca="false">'Skip Audit'!C47</f>
        <v>45085</v>
      </c>
      <c r="E47" s="22" t="str">
        <f aca="false">'Skip Audit'!D47</f>
        <v>WL-03758</v>
      </c>
      <c r="F47" s="22" t="str">
        <f aca="false">'Skip Audit'!E47</f>
        <v>Sean Cherry</v>
      </c>
      <c r="G47" s="22" t="str">
        <f aca="false">'Skip Audit'!G47</f>
        <v>LP-0121</v>
      </c>
      <c r="H47" s="22" t="n">
        <v>0</v>
      </c>
      <c r="I47" s="22" t="str">
        <f aca="false">'Skip Audit'!T47</f>
        <v>No matching PDF; review after skip</v>
      </c>
      <c r="J47" s="22" t="str">
        <f aca="false">"Skip Audit row 47"</f>
        <v>Skip Audit row 47</v>
      </c>
    </row>
    <row r="48" customFormat="false" ht="15" hidden="false" customHeight="false" outlineLevel="0" collapsed="false">
      <c r="A48" s="22" t="str">
        <f aca="false">'Skip Audit'!U48</f>
        <v>Priority 1</v>
      </c>
      <c r="B48" s="22" t="s">
        <v>12988</v>
      </c>
      <c r="C48" s="22" t="str">
        <f aca="false">'Skip Audit'!A48</f>
        <v>SKP-2023-0137</v>
      </c>
      <c r="D48" s="23" t="n">
        <f aca="false">'Skip Audit'!C48</f>
        <v>45084</v>
      </c>
      <c r="E48" s="22" t="str">
        <f aca="false">'Skip Audit'!D48</f>
        <v>WL-02535</v>
      </c>
      <c r="F48" s="22" t="str">
        <f aca="false">'Skip Audit'!E48</f>
        <v>Shari Hess</v>
      </c>
      <c r="G48" s="22" t="str">
        <f aca="false">'Skip Audit'!G48</f>
        <v>VB-0805</v>
      </c>
      <c r="H48" s="22" t="n">
        <v>0</v>
      </c>
      <c r="I48" s="22" t="str">
        <f aca="false">'Skip Audit'!T48</f>
        <v>No matching PDF; review after skip</v>
      </c>
      <c r="J48" s="22" t="str">
        <f aca="false">"Skip Audit row 48"</f>
        <v>Skip Audit row 48</v>
      </c>
    </row>
    <row r="49" customFormat="false" ht="15" hidden="false" customHeight="false" outlineLevel="0" collapsed="false">
      <c r="A49" s="22" t="str">
        <f aca="false">'Skip Audit'!U49</f>
        <v>Priority 1</v>
      </c>
      <c r="B49" s="22" t="s">
        <v>12988</v>
      </c>
      <c r="C49" s="22" t="str">
        <f aca="false">'Skip Audit'!A49</f>
        <v>SKP-2023-0138</v>
      </c>
      <c r="D49" s="23" t="n">
        <f aca="false">'Skip Audit'!C49</f>
        <v>45090</v>
      </c>
      <c r="E49" s="22" t="str">
        <f aca="false">'Skip Audit'!D49</f>
        <v>WL-02663</v>
      </c>
      <c r="F49" s="22" t="str">
        <f aca="false">'Skip Audit'!E49</f>
        <v>Susan Thompson</v>
      </c>
      <c r="G49" s="22" t="str">
        <f aca="false">'Skip Audit'!G49</f>
        <v>GW-0810</v>
      </c>
      <c r="H49" s="22" t="n">
        <v>0</v>
      </c>
      <c r="I49" s="22" t="str">
        <f aca="false">'Skip Audit'!T49</f>
        <v>No matching PDF; review after skip</v>
      </c>
      <c r="J49" s="22" t="str">
        <f aca="false">"Skip Audit row 49"</f>
        <v>Skip Audit row 49</v>
      </c>
    </row>
    <row r="50" customFormat="false" ht="15" hidden="false" customHeight="false" outlineLevel="0" collapsed="false">
      <c r="A50" s="22" t="str">
        <f aca="false">'Skip Audit'!U50</f>
        <v>Priority 1</v>
      </c>
      <c r="B50" s="22" t="s">
        <v>12988</v>
      </c>
      <c r="C50" s="22" t="str">
        <f aca="false">'Skip Audit'!A50</f>
        <v>SKP-2023-0139</v>
      </c>
      <c r="D50" s="23" t="n">
        <f aca="false">'Skip Audit'!C50</f>
        <v>45086</v>
      </c>
      <c r="E50" s="22" t="str">
        <f aca="false">'Skip Audit'!D50</f>
        <v>WL-01129</v>
      </c>
      <c r="F50" s="22" t="str">
        <f aca="false">'Skip Audit'!E50</f>
        <v>Alexander Thompson</v>
      </c>
      <c r="G50" s="22" t="str">
        <f aca="false">'Skip Audit'!G50</f>
        <v>GW-0414</v>
      </c>
      <c r="H50" s="22" t="n">
        <v>0</v>
      </c>
      <c r="I50" s="22" t="str">
        <f aca="false">'Skip Audit'!T50</f>
        <v>No matching PDF; review after skip</v>
      </c>
      <c r="J50" s="22" t="str">
        <f aca="false">"Skip Audit row 50"</f>
        <v>Skip Audit row 50</v>
      </c>
    </row>
    <row r="51" customFormat="false" ht="15" hidden="false" customHeight="false" outlineLevel="0" collapsed="false">
      <c r="A51" s="22" t="str">
        <f aca="false">'Skip Audit'!U51</f>
        <v>Priority 1</v>
      </c>
      <c r="B51" s="22" t="s">
        <v>12988</v>
      </c>
      <c r="C51" s="22" t="str">
        <f aca="false">'Skip Audit'!A51</f>
        <v>SKP-2023-0140</v>
      </c>
      <c r="D51" s="23" t="n">
        <f aca="false">'Skip Audit'!C51</f>
        <v>45089</v>
      </c>
      <c r="E51" s="22" t="str">
        <f aca="false">'Skip Audit'!D51</f>
        <v>WL-03100</v>
      </c>
      <c r="F51" s="22" t="str">
        <f aca="false">'Skip Audit'!E51</f>
        <v>Andrew Contreras</v>
      </c>
      <c r="G51" s="22" t="str">
        <f aca="false">'Skip Audit'!G51</f>
        <v>EW-0622</v>
      </c>
      <c r="H51" s="22" t="n">
        <v>0</v>
      </c>
      <c r="I51" s="22" t="str">
        <f aca="false">'Skip Audit'!T51</f>
        <v>No matching PDF</v>
      </c>
      <c r="J51" s="22" t="str">
        <f aca="false">"Skip Audit row 51"</f>
        <v>Skip Audit row 51</v>
      </c>
    </row>
    <row r="52" customFormat="false" ht="15" hidden="false" customHeight="false" outlineLevel="0" collapsed="false">
      <c r="A52" s="22" t="str">
        <f aca="false">'Skip Audit'!U52</f>
        <v>Priority 1</v>
      </c>
      <c r="B52" s="22" t="s">
        <v>12988</v>
      </c>
      <c r="C52" s="22" t="str">
        <f aca="false">'Skip Audit'!A52</f>
        <v>SKP-2023-0141</v>
      </c>
      <c r="D52" s="23" t="n">
        <f aca="false">'Skip Audit'!C52</f>
        <v>45111</v>
      </c>
      <c r="E52" s="22" t="str">
        <f aca="false">'Skip Audit'!D52</f>
        <v>WL-03857</v>
      </c>
      <c r="F52" s="22" t="str">
        <f aca="false">'Skip Audit'!E52</f>
        <v>Catherine Davis</v>
      </c>
      <c r="G52" s="22" t="str">
        <f aca="false">'Skip Audit'!G52</f>
        <v>SB-0602</v>
      </c>
      <c r="H52" s="22" t="n">
        <v>0</v>
      </c>
      <c r="I52" s="22" t="str">
        <f aca="false">'Skip Audit'!T52</f>
        <v>No matching PDF; review after skip</v>
      </c>
      <c r="J52" s="22" t="str">
        <f aca="false">"Skip Audit row 52"</f>
        <v>Skip Audit row 52</v>
      </c>
    </row>
    <row r="53" customFormat="false" ht="15" hidden="false" customHeight="false" outlineLevel="0" collapsed="false">
      <c r="A53" s="22" t="str">
        <f aca="false">'Skip Audit'!U53</f>
        <v>Priority 1</v>
      </c>
      <c r="B53" s="22" t="s">
        <v>12988</v>
      </c>
      <c r="C53" s="22" t="str">
        <f aca="false">'Skip Audit'!A53</f>
        <v>SKP-2023-0142</v>
      </c>
      <c r="D53" s="23" t="n">
        <f aca="false">'Skip Audit'!C53</f>
        <v>45122</v>
      </c>
      <c r="E53" s="22" t="str">
        <f aca="false">'Skip Audit'!D53</f>
        <v>WL-01054</v>
      </c>
      <c r="F53" s="22" t="str">
        <f aca="false">'Skip Audit'!E53</f>
        <v>Cynthia Smith</v>
      </c>
      <c r="G53" s="22" t="str">
        <f aca="false">'Skip Audit'!G53</f>
        <v>VB-0620</v>
      </c>
      <c r="H53" s="22" t="n">
        <v>0</v>
      </c>
      <c r="I53" s="22" t="str">
        <f aca="false">'Skip Audit'!T53</f>
        <v>No matching PDF; review after skip</v>
      </c>
      <c r="J53" s="22" t="str">
        <f aca="false">"Skip Audit row 53"</f>
        <v>Skip Audit row 53</v>
      </c>
    </row>
    <row r="54" customFormat="false" ht="15" hidden="false" customHeight="false" outlineLevel="0" collapsed="false">
      <c r="A54" s="22" t="str">
        <f aca="false">'Skip Audit'!U54</f>
        <v>Priority 1</v>
      </c>
      <c r="B54" s="22" t="s">
        <v>12988</v>
      </c>
      <c r="C54" s="22" t="str">
        <f aca="false">'Skip Audit'!A54</f>
        <v>SKP-2023-0143</v>
      </c>
      <c r="D54" s="23" t="n">
        <f aca="false">'Skip Audit'!C54</f>
        <v>45110</v>
      </c>
      <c r="E54" s="22" t="str">
        <f aca="false">'Skip Audit'!D54</f>
        <v>WL-01712</v>
      </c>
      <c r="F54" s="22" t="str">
        <f aca="false">'Skip Audit'!E54</f>
        <v>Kevin Liu</v>
      </c>
      <c r="G54" s="22" t="str">
        <f aca="false">'Skip Audit'!G54</f>
        <v>GW-0118</v>
      </c>
      <c r="H54" s="22" t="n">
        <v>0</v>
      </c>
      <c r="I54" s="22" t="str">
        <f aca="false">'Skip Audit'!T54</f>
        <v>No matching PDF; review after skip</v>
      </c>
      <c r="J54" s="22" t="str">
        <f aca="false">"Skip Audit row 54"</f>
        <v>Skip Audit row 54</v>
      </c>
    </row>
    <row r="55" customFormat="false" ht="15" hidden="false" customHeight="false" outlineLevel="0" collapsed="false">
      <c r="A55" s="22" t="str">
        <f aca="false">'Skip Audit'!U55</f>
        <v>Priority 1</v>
      </c>
      <c r="B55" s="22" t="s">
        <v>12988</v>
      </c>
      <c r="C55" s="22" t="str">
        <f aca="false">'Skip Audit'!A55</f>
        <v>SKP-2023-0144</v>
      </c>
      <c r="D55" s="23" t="n">
        <f aca="false">'Skip Audit'!C55</f>
        <v>45114</v>
      </c>
      <c r="E55" s="22" t="str">
        <f aca="false">'Skip Audit'!D55</f>
        <v>WL-02160</v>
      </c>
      <c r="F55" s="22" t="str">
        <f aca="false">'Skip Audit'!E55</f>
        <v>Alexander Lawrence</v>
      </c>
      <c r="G55" s="22" t="str">
        <f aca="false">'Skip Audit'!G55</f>
        <v>LP-0520</v>
      </c>
      <c r="H55" s="22" t="n">
        <v>0</v>
      </c>
      <c r="I55" s="22" t="str">
        <f aca="false">'Skip Audit'!T55</f>
        <v>No matching PDF; review after skip</v>
      </c>
      <c r="J55" s="22" t="str">
        <f aca="false">"Skip Audit row 55"</f>
        <v>Skip Audit row 55</v>
      </c>
    </row>
    <row r="56" customFormat="false" ht="15" hidden="false" customHeight="false" outlineLevel="0" collapsed="false">
      <c r="A56" s="22" t="str">
        <f aca="false">'Skip Audit'!U56</f>
        <v>Priority 1</v>
      </c>
      <c r="B56" s="22" t="s">
        <v>12988</v>
      </c>
      <c r="C56" s="22" t="str">
        <f aca="false">'Skip Audit'!A56</f>
        <v>SKP-2023-0145</v>
      </c>
      <c r="D56" s="23" t="n">
        <f aca="false">'Skip Audit'!C56</f>
        <v>45116</v>
      </c>
      <c r="E56" s="22" t="str">
        <f aca="false">'Skip Audit'!D56</f>
        <v>WL-01242</v>
      </c>
      <c r="F56" s="22" t="str">
        <f aca="false">'Skip Audit'!E56</f>
        <v>Melissa Villanueva</v>
      </c>
      <c r="G56" s="22" t="str">
        <f aca="false">'Skip Audit'!G56</f>
        <v>SB-0314</v>
      </c>
      <c r="H56" s="22" t="n">
        <v>0</v>
      </c>
      <c r="I56" s="22" t="str">
        <f aca="false">'Skip Audit'!T56</f>
        <v>No matching PDF</v>
      </c>
      <c r="J56" s="22" t="str">
        <f aca="false">"Skip Audit row 56"</f>
        <v>Skip Audit row 56</v>
      </c>
    </row>
    <row r="57" customFormat="false" ht="15" hidden="false" customHeight="false" outlineLevel="0" collapsed="false">
      <c r="A57" s="22" t="str">
        <f aca="false">'Skip Audit'!U57</f>
        <v>Priority 1</v>
      </c>
      <c r="B57" s="22" t="s">
        <v>12988</v>
      </c>
      <c r="C57" s="22" t="str">
        <f aca="false">'Skip Audit'!A57</f>
        <v>SKP-2023-0146</v>
      </c>
      <c r="D57" s="23" t="n">
        <f aca="false">'Skip Audit'!C57</f>
        <v>45131</v>
      </c>
      <c r="E57" s="22" t="str">
        <f aca="false">'Skip Audit'!D57</f>
        <v>WL-02199</v>
      </c>
      <c r="F57" s="22" t="str">
        <f aca="false">'Skip Audit'!E57</f>
        <v>Patricia Perez</v>
      </c>
      <c r="G57" s="22" t="str">
        <f aca="false">'Skip Audit'!G57</f>
        <v>GW-1003</v>
      </c>
      <c r="H57" s="22" t="n">
        <v>0</v>
      </c>
      <c r="I57" s="22" t="str">
        <f aca="false">'Skip Audit'!T57</f>
        <v>No matching PDF; review after skip</v>
      </c>
      <c r="J57" s="22" t="str">
        <f aca="false">"Skip Audit row 57"</f>
        <v>Skip Audit row 57</v>
      </c>
    </row>
    <row r="58" customFormat="false" ht="15" hidden="false" customHeight="false" outlineLevel="0" collapsed="false">
      <c r="A58" s="22" t="str">
        <f aca="false">'Skip Audit'!U58</f>
        <v>Priority 1</v>
      </c>
      <c r="B58" s="22" t="s">
        <v>12988</v>
      </c>
      <c r="C58" s="22" t="str">
        <f aca="false">'Skip Audit'!A58</f>
        <v>SKP-2023-0147</v>
      </c>
      <c r="D58" s="23" t="n">
        <f aca="false">'Skip Audit'!C58</f>
        <v>45133</v>
      </c>
      <c r="E58" s="22" t="str">
        <f aca="false">'Skip Audit'!D58</f>
        <v>WL-01248</v>
      </c>
      <c r="F58" s="22" t="str">
        <f aca="false">'Skip Audit'!E58</f>
        <v>Michael Gray</v>
      </c>
      <c r="G58" s="22" t="str">
        <f aca="false">'Skip Audit'!G58</f>
        <v>SB-0915</v>
      </c>
      <c r="H58" s="22" t="n">
        <v>0</v>
      </c>
      <c r="I58" s="22" t="str">
        <f aca="false">'Skip Audit'!T58</f>
        <v>No matching PDF; review after skip</v>
      </c>
      <c r="J58" s="22" t="str">
        <f aca="false">"Skip Audit row 58"</f>
        <v>Skip Audit row 58</v>
      </c>
    </row>
    <row r="59" customFormat="false" ht="15" hidden="false" customHeight="false" outlineLevel="0" collapsed="false">
      <c r="A59" s="22" t="str">
        <f aca="false">'Skip Audit'!U59</f>
        <v>Priority 1</v>
      </c>
      <c r="B59" s="22" t="s">
        <v>12988</v>
      </c>
      <c r="C59" s="22" t="str">
        <f aca="false">'Skip Audit'!A59</f>
        <v>SKP-2023-0148</v>
      </c>
      <c r="D59" s="23" t="n">
        <f aca="false">'Skip Audit'!C59</f>
        <v>45118</v>
      </c>
      <c r="E59" s="22" t="str">
        <f aca="false">'Skip Audit'!D59</f>
        <v>WL-02206</v>
      </c>
      <c r="F59" s="22" t="str">
        <f aca="false">'Skip Audit'!E59</f>
        <v>Mary Morris</v>
      </c>
      <c r="G59" s="22" t="str">
        <f aca="false">'Skip Audit'!G59</f>
        <v>GW-0719</v>
      </c>
      <c r="H59" s="22" t="n">
        <v>0</v>
      </c>
      <c r="I59" s="22" t="str">
        <f aca="false">'Skip Audit'!T59</f>
        <v>No matching PDF; review after skip</v>
      </c>
      <c r="J59" s="22" t="str">
        <f aca="false">"Skip Audit row 59"</f>
        <v>Skip Audit row 59</v>
      </c>
    </row>
    <row r="60" customFormat="false" ht="15" hidden="false" customHeight="false" outlineLevel="0" collapsed="false">
      <c r="A60" s="22" t="str">
        <f aca="false">'Skip Audit'!U60</f>
        <v>Priority 1</v>
      </c>
      <c r="B60" s="22" t="s">
        <v>12988</v>
      </c>
      <c r="C60" s="22" t="str">
        <f aca="false">'Skip Audit'!A60</f>
        <v>SKP-2023-0149</v>
      </c>
      <c r="D60" s="23" t="n">
        <f aca="false">'Skip Audit'!C60</f>
        <v>45133</v>
      </c>
      <c r="E60" s="22" t="str">
        <f aca="false">'Skip Audit'!D60</f>
        <v>WL-02706</v>
      </c>
      <c r="F60" s="22" t="str">
        <f aca="false">'Skip Audit'!E60</f>
        <v>Allison Fisher</v>
      </c>
      <c r="G60" s="22" t="str">
        <f aca="false">'Skip Audit'!G60</f>
        <v>LP-0104</v>
      </c>
      <c r="H60" s="22" t="n">
        <v>0</v>
      </c>
      <c r="I60" s="22" t="str">
        <f aca="false">'Skip Audit'!T60</f>
        <v>No matching PDF; review after skip</v>
      </c>
      <c r="J60" s="22" t="str">
        <f aca="false">"Skip Audit row 60"</f>
        <v>Skip Audit row 60</v>
      </c>
    </row>
    <row r="61" customFormat="false" ht="15" hidden="false" customHeight="false" outlineLevel="0" collapsed="false">
      <c r="A61" s="22" t="str">
        <f aca="false">'Skip Audit'!U61</f>
        <v>Priority 1</v>
      </c>
      <c r="B61" s="22" t="s">
        <v>12988</v>
      </c>
      <c r="C61" s="22" t="str">
        <f aca="false">'Skip Audit'!A61</f>
        <v>SKP-2023-0150</v>
      </c>
      <c r="D61" s="23" t="n">
        <f aca="false">'Skip Audit'!C61</f>
        <v>45110</v>
      </c>
      <c r="E61" s="22" t="str">
        <f aca="false">'Skip Audit'!D61</f>
        <v>WL-01924</v>
      </c>
      <c r="F61" s="22" t="str">
        <f aca="false">'Skip Audit'!E61</f>
        <v>Angela Alexander</v>
      </c>
      <c r="G61" s="22" t="str">
        <f aca="false">'Skip Audit'!G61</f>
        <v>EW-0111</v>
      </c>
      <c r="H61" s="22" t="n">
        <v>0</v>
      </c>
      <c r="I61" s="22" t="str">
        <f aca="false">'Skip Audit'!T61</f>
        <v>No matching PDF; review after skip</v>
      </c>
      <c r="J61" s="22" t="str">
        <f aca="false">"Skip Audit row 61"</f>
        <v>Skip Audit row 61</v>
      </c>
    </row>
    <row r="62" customFormat="false" ht="15" hidden="false" customHeight="false" outlineLevel="0" collapsed="false">
      <c r="A62" s="22" t="str">
        <f aca="false">'Skip Audit'!U62</f>
        <v>Priority 1</v>
      </c>
      <c r="B62" s="22" t="s">
        <v>12988</v>
      </c>
      <c r="C62" s="22" t="str">
        <f aca="false">'Skip Audit'!A62</f>
        <v>SKP-2023-0151</v>
      </c>
      <c r="D62" s="23" t="n">
        <f aca="false">'Skip Audit'!C62</f>
        <v>45134</v>
      </c>
      <c r="E62" s="22" t="str">
        <f aca="false">'Skip Audit'!D62</f>
        <v>WL-03652</v>
      </c>
      <c r="F62" s="22" t="str">
        <f aca="false">'Skip Audit'!E62</f>
        <v>Lisa Strickland</v>
      </c>
      <c r="G62" s="22" t="str">
        <f aca="false">'Skip Audit'!G62</f>
        <v>GW-0301</v>
      </c>
      <c r="H62" s="22" t="n">
        <v>0</v>
      </c>
      <c r="I62" s="22" t="str">
        <f aca="false">'Skip Audit'!T62</f>
        <v>No matching PDF; review after skip</v>
      </c>
      <c r="J62" s="22" t="str">
        <f aca="false">"Skip Audit row 62"</f>
        <v>Skip Audit row 62</v>
      </c>
    </row>
    <row r="63" customFormat="false" ht="15" hidden="false" customHeight="false" outlineLevel="0" collapsed="false">
      <c r="A63" s="22" t="str">
        <f aca="false">'Skip Audit'!U63</f>
        <v>Priority 1</v>
      </c>
      <c r="B63" s="22" t="s">
        <v>12988</v>
      </c>
      <c r="C63" s="22" t="str">
        <f aca="false">'Skip Audit'!A63</f>
        <v>SKP-2023-0152</v>
      </c>
      <c r="D63" s="23" t="n">
        <f aca="false">'Skip Audit'!C63</f>
        <v>45127</v>
      </c>
      <c r="E63" s="22" t="str">
        <f aca="false">'Skip Audit'!D63</f>
        <v>WL-03411</v>
      </c>
      <c r="F63" s="22" t="str">
        <f aca="false">'Skip Audit'!E63</f>
        <v>Miguel Boyd</v>
      </c>
      <c r="G63" s="22" t="str">
        <f aca="false">'Skip Audit'!G63</f>
        <v>VB-0719</v>
      </c>
      <c r="H63" s="22" t="n">
        <v>0</v>
      </c>
      <c r="I63" s="22" t="str">
        <f aca="false">'Skip Audit'!T63</f>
        <v>No matching PDF</v>
      </c>
      <c r="J63" s="22" t="str">
        <f aca="false">"Skip Audit row 63"</f>
        <v>Skip Audit row 63</v>
      </c>
    </row>
    <row r="64" customFormat="false" ht="15" hidden="false" customHeight="false" outlineLevel="0" collapsed="false">
      <c r="A64" s="22" t="str">
        <f aca="false">'Skip Audit'!U64</f>
        <v>Priority 1</v>
      </c>
      <c r="B64" s="22" t="s">
        <v>12988</v>
      </c>
      <c r="C64" s="22" t="str">
        <f aca="false">'Skip Audit'!A64</f>
        <v>SKP-2023-0153</v>
      </c>
      <c r="D64" s="23" t="n">
        <f aca="false">'Skip Audit'!C64</f>
        <v>45144</v>
      </c>
      <c r="E64" s="22" t="str">
        <f aca="false">'Skip Audit'!D64</f>
        <v>WL-01029</v>
      </c>
      <c r="F64" s="22" t="str">
        <f aca="false">'Skip Audit'!E64</f>
        <v>John Wang</v>
      </c>
      <c r="G64" s="22" t="str">
        <f aca="false">'Skip Audit'!G64</f>
        <v>EW-0119</v>
      </c>
      <c r="H64" s="22" t="n">
        <v>0</v>
      </c>
      <c r="I64" s="22" t="str">
        <f aca="false">'Skip Audit'!T64</f>
        <v>No matching PDF; review after skip</v>
      </c>
      <c r="J64" s="22" t="str">
        <f aca="false">"Skip Audit row 64"</f>
        <v>Skip Audit row 64</v>
      </c>
    </row>
    <row r="65" customFormat="false" ht="15" hidden="false" customHeight="false" outlineLevel="0" collapsed="false">
      <c r="A65" s="22" t="str">
        <f aca="false">'Skip Audit'!U65</f>
        <v>Priority 1</v>
      </c>
      <c r="B65" s="22" t="s">
        <v>12988</v>
      </c>
      <c r="C65" s="22" t="str">
        <f aca="false">'Skip Audit'!A65</f>
        <v>SKP-2023-0154</v>
      </c>
      <c r="D65" s="23" t="n">
        <f aca="false">'Skip Audit'!C65</f>
        <v>45154</v>
      </c>
      <c r="E65" s="22" t="str">
        <f aca="false">'Skip Audit'!D65</f>
        <v>WL-01847</v>
      </c>
      <c r="F65" s="22" t="str">
        <f aca="false">'Skip Audit'!E65</f>
        <v>Amy Carlson</v>
      </c>
      <c r="G65" s="22" t="str">
        <f aca="false">'Skip Audit'!G65</f>
        <v>EW-0110</v>
      </c>
      <c r="H65" s="22" t="n">
        <v>0</v>
      </c>
      <c r="I65" s="22" t="str">
        <f aca="false">'Skip Audit'!T65</f>
        <v>No matching PDF; review after skip</v>
      </c>
      <c r="J65" s="22" t="str">
        <f aca="false">"Skip Audit row 65"</f>
        <v>Skip Audit row 65</v>
      </c>
    </row>
    <row r="66" customFormat="false" ht="15" hidden="false" customHeight="false" outlineLevel="0" collapsed="false">
      <c r="A66" s="22" t="str">
        <f aca="false">'Skip Audit'!U66</f>
        <v>Priority 1</v>
      </c>
      <c r="B66" s="22" t="s">
        <v>12988</v>
      </c>
      <c r="C66" s="22" t="str">
        <f aca="false">'Skip Audit'!A66</f>
        <v>SKP-2023-0155</v>
      </c>
      <c r="D66" s="23" t="n">
        <f aca="false">'Skip Audit'!C66</f>
        <v>45147</v>
      </c>
      <c r="E66" s="22" t="str">
        <f aca="false">'Skip Audit'!D66</f>
        <v>WL-01297</v>
      </c>
      <c r="F66" s="22" t="str">
        <f aca="false">'Skip Audit'!E66</f>
        <v>Alan Harris</v>
      </c>
      <c r="G66" s="22" t="str">
        <f aca="false">'Skip Audit'!G66</f>
        <v>VB-0512</v>
      </c>
      <c r="H66" s="22" t="n">
        <v>0</v>
      </c>
      <c r="I66" s="22" t="str">
        <f aca="false">'Skip Audit'!T66</f>
        <v>No matching PDF; review after skip</v>
      </c>
      <c r="J66" s="22" t="str">
        <f aca="false">"Skip Audit row 66"</f>
        <v>Skip Audit row 66</v>
      </c>
    </row>
    <row r="67" customFormat="false" ht="15" hidden="false" customHeight="false" outlineLevel="0" collapsed="false">
      <c r="A67" s="22" t="str">
        <f aca="false">'Skip Audit'!U67</f>
        <v>Priority 1</v>
      </c>
      <c r="B67" s="22" t="s">
        <v>12988</v>
      </c>
      <c r="C67" s="22" t="str">
        <f aca="false">'Skip Audit'!A67</f>
        <v>SKP-2023-0156</v>
      </c>
      <c r="D67" s="23" t="n">
        <f aca="false">'Skip Audit'!C67</f>
        <v>45140</v>
      </c>
      <c r="E67" s="22" t="str">
        <f aca="false">'Skip Audit'!D67</f>
        <v>WL-02603</v>
      </c>
      <c r="F67" s="22" t="str">
        <f aca="false">'Skip Audit'!E67</f>
        <v>Sharon Lopez</v>
      </c>
      <c r="G67" s="22" t="str">
        <f aca="false">'Skip Audit'!G67</f>
        <v>GW-0611</v>
      </c>
      <c r="H67" s="22" t="n">
        <v>0</v>
      </c>
      <c r="I67" s="22" t="str">
        <f aca="false">'Skip Audit'!T67</f>
        <v>No matching PDF</v>
      </c>
      <c r="J67" s="22" t="str">
        <f aca="false">"Skip Audit row 67"</f>
        <v>Skip Audit row 67</v>
      </c>
    </row>
    <row r="68" customFormat="false" ht="15" hidden="false" customHeight="false" outlineLevel="0" collapsed="false">
      <c r="A68" s="22" t="str">
        <f aca="false">'Skip Audit'!U68</f>
        <v>Priority 1</v>
      </c>
      <c r="B68" s="22" t="s">
        <v>12988</v>
      </c>
      <c r="C68" s="22" t="str">
        <f aca="false">'Skip Audit'!A68</f>
        <v>SKP-2023-0157</v>
      </c>
      <c r="D68" s="23" t="n">
        <f aca="false">'Skip Audit'!C68</f>
        <v>45160</v>
      </c>
      <c r="E68" s="22" t="str">
        <f aca="false">'Skip Audit'!D68</f>
        <v>WL-03153</v>
      </c>
      <c r="F68" s="22" t="str">
        <f aca="false">'Skip Audit'!E68</f>
        <v>Derrick Webb</v>
      </c>
      <c r="G68" s="22" t="str">
        <f aca="false">'Skip Audit'!G68</f>
        <v>EW-0213</v>
      </c>
      <c r="H68" s="22" t="n">
        <v>0</v>
      </c>
      <c r="I68" s="22" t="str">
        <f aca="false">'Skip Audit'!T68</f>
        <v>No matching PDF; review after skip</v>
      </c>
      <c r="J68" s="22" t="str">
        <f aca="false">"Skip Audit row 68"</f>
        <v>Skip Audit row 68</v>
      </c>
    </row>
    <row r="69" customFormat="false" ht="15" hidden="false" customHeight="false" outlineLevel="0" collapsed="false">
      <c r="A69" s="22" t="str">
        <f aca="false">'Skip Audit'!U69</f>
        <v>Priority 1</v>
      </c>
      <c r="B69" s="22" t="s">
        <v>12988</v>
      </c>
      <c r="C69" s="22" t="str">
        <f aca="false">'Skip Audit'!A69</f>
        <v>SKP-2023-0158</v>
      </c>
      <c r="D69" s="23" t="n">
        <f aca="false">'Skip Audit'!C69</f>
        <v>45160</v>
      </c>
      <c r="E69" s="22" t="str">
        <f aca="false">'Skip Audit'!D69</f>
        <v>WL-02650</v>
      </c>
      <c r="F69" s="22" t="str">
        <f aca="false">'Skip Audit'!E69</f>
        <v>Alex White</v>
      </c>
      <c r="G69" s="22" t="str">
        <f aca="false">'Skip Audit'!G69</f>
        <v>EW-0310</v>
      </c>
      <c r="H69" s="22" t="n">
        <v>0</v>
      </c>
      <c r="I69" s="22" t="str">
        <f aca="false">'Skip Audit'!T69</f>
        <v>No matching PDF; review after skip</v>
      </c>
      <c r="J69" s="22" t="str">
        <f aca="false">"Skip Audit row 69"</f>
        <v>Skip Audit row 69</v>
      </c>
    </row>
    <row r="70" customFormat="false" ht="15" hidden="false" customHeight="false" outlineLevel="0" collapsed="false">
      <c r="A70" s="22" t="str">
        <f aca="false">'Skip Audit'!U70</f>
        <v>Priority 1</v>
      </c>
      <c r="B70" s="22" t="s">
        <v>12988</v>
      </c>
      <c r="C70" s="22" t="str">
        <f aca="false">'Skip Audit'!A70</f>
        <v>SKP-2023-0159</v>
      </c>
      <c r="D70" s="23" t="n">
        <f aca="false">'Skip Audit'!C70</f>
        <v>45148</v>
      </c>
      <c r="E70" s="22" t="str">
        <f aca="false">'Skip Audit'!D70</f>
        <v>WL-01360</v>
      </c>
      <c r="F70" s="22" t="str">
        <f aca="false">'Skip Audit'!E70</f>
        <v>Desiree Sullivan</v>
      </c>
      <c r="G70" s="22" t="str">
        <f aca="false">'Skip Audit'!G70</f>
        <v>LP-0516</v>
      </c>
      <c r="H70" s="22" t="n">
        <v>0</v>
      </c>
      <c r="I70" s="22" t="str">
        <f aca="false">'Skip Audit'!T70</f>
        <v>No matching PDF; review after skip</v>
      </c>
      <c r="J70" s="22" t="str">
        <f aca="false">"Skip Audit row 70"</f>
        <v>Skip Audit row 70</v>
      </c>
    </row>
    <row r="71" customFormat="false" ht="15" hidden="false" customHeight="false" outlineLevel="0" collapsed="false">
      <c r="A71" s="22" t="str">
        <f aca="false">'Skip Audit'!U71</f>
        <v>Priority 1</v>
      </c>
      <c r="B71" s="22" t="s">
        <v>12988</v>
      </c>
      <c r="C71" s="22" t="str">
        <f aca="false">'Skip Audit'!A71</f>
        <v>SKP-2023-0160</v>
      </c>
      <c r="D71" s="23" t="n">
        <f aca="false">'Skip Audit'!C71</f>
        <v>45143</v>
      </c>
      <c r="E71" s="22" t="str">
        <f aca="false">'Skip Audit'!D71</f>
        <v>WL-01367</v>
      </c>
      <c r="F71" s="22" t="str">
        <f aca="false">'Skip Audit'!E71</f>
        <v>Stephen Golden</v>
      </c>
      <c r="G71" s="22" t="str">
        <f aca="false">'Skip Audit'!G71</f>
        <v>GW-0703</v>
      </c>
      <c r="H71" s="22" t="n">
        <v>0</v>
      </c>
      <c r="I71" s="22" t="str">
        <f aca="false">'Skip Audit'!T71</f>
        <v>No matching PDF; review after skip</v>
      </c>
      <c r="J71" s="22" t="str">
        <f aca="false">"Skip Audit row 71"</f>
        <v>Skip Audit row 71</v>
      </c>
    </row>
    <row r="72" customFormat="false" ht="15" hidden="false" customHeight="false" outlineLevel="0" collapsed="false">
      <c r="A72" s="22" t="str">
        <f aca="false">'Skip Audit'!U72</f>
        <v>Priority 1</v>
      </c>
      <c r="B72" s="22" t="s">
        <v>12988</v>
      </c>
      <c r="C72" s="22" t="str">
        <f aca="false">'Skip Audit'!A72</f>
        <v>SKP-2023-0161</v>
      </c>
      <c r="D72" s="23" t="n">
        <f aca="false">'Skip Audit'!C72</f>
        <v>45156</v>
      </c>
      <c r="E72" s="22" t="str">
        <f aca="false">'Skip Audit'!D72</f>
        <v>WL-02793</v>
      </c>
      <c r="F72" s="22" t="str">
        <f aca="false">'Skip Audit'!E72</f>
        <v>David Franco</v>
      </c>
      <c r="G72" s="22" t="str">
        <f aca="false">'Skip Audit'!G72</f>
        <v>EW-0814</v>
      </c>
      <c r="H72" s="22" t="n">
        <v>0</v>
      </c>
      <c r="I72" s="22" t="str">
        <f aca="false">'Skip Audit'!T72</f>
        <v>No matching PDF; review after skip</v>
      </c>
      <c r="J72" s="22" t="str">
        <f aca="false">"Skip Audit row 72"</f>
        <v>Skip Audit row 72</v>
      </c>
    </row>
    <row r="73" customFormat="false" ht="15" hidden="false" customHeight="false" outlineLevel="0" collapsed="false">
      <c r="A73" s="22" t="str">
        <f aca="false">'Skip Audit'!U73</f>
        <v>Priority 1</v>
      </c>
      <c r="B73" s="22" t="s">
        <v>12988</v>
      </c>
      <c r="C73" s="22" t="str">
        <f aca="false">'Skip Audit'!A73</f>
        <v>SKP-2023-0162</v>
      </c>
      <c r="D73" s="23" t="n">
        <f aca="false">'Skip Audit'!C73</f>
        <v>45187</v>
      </c>
      <c r="E73" s="22" t="str">
        <f aca="false">'Skip Audit'!D73</f>
        <v>WL-03249</v>
      </c>
      <c r="F73" s="22" t="str">
        <f aca="false">'Skip Audit'!E73</f>
        <v>Julia Anderson</v>
      </c>
      <c r="G73" s="22" t="str">
        <f aca="false">'Skip Audit'!G73</f>
        <v>EW-0518</v>
      </c>
      <c r="H73" s="22" t="n">
        <v>0</v>
      </c>
      <c r="I73" s="22" t="str">
        <f aca="false">'Skip Audit'!T73</f>
        <v>No matching PDF; review after skip</v>
      </c>
      <c r="J73" s="22" t="str">
        <f aca="false">"Skip Audit row 73"</f>
        <v>Skip Audit row 73</v>
      </c>
    </row>
    <row r="74" customFormat="false" ht="15" hidden="false" customHeight="false" outlineLevel="0" collapsed="false">
      <c r="A74" s="22" t="str">
        <f aca="false">'Skip Audit'!U74</f>
        <v>Priority 1</v>
      </c>
      <c r="B74" s="22" t="s">
        <v>12988</v>
      </c>
      <c r="C74" s="22" t="str">
        <f aca="false">'Skip Audit'!A74</f>
        <v>SKP-2023-0163</v>
      </c>
      <c r="D74" s="23" t="n">
        <f aca="false">'Skip Audit'!C74</f>
        <v>45180</v>
      </c>
      <c r="E74" s="22" t="str">
        <f aca="false">'Skip Audit'!D74</f>
        <v>WL-03629</v>
      </c>
      <c r="F74" s="22" t="str">
        <f aca="false">'Skip Audit'!E74</f>
        <v>Justin Parks</v>
      </c>
      <c r="G74" s="22" t="str">
        <f aca="false">'Skip Audit'!G74</f>
        <v>LP-1116</v>
      </c>
      <c r="H74" s="22" t="n">
        <v>0</v>
      </c>
      <c r="I74" s="22" t="str">
        <f aca="false">'Skip Audit'!T74</f>
        <v>No matching PDF</v>
      </c>
      <c r="J74" s="22" t="str">
        <f aca="false">"Skip Audit row 74"</f>
        <v>Skip Audit row 74</v>
      </c>
    </row>
    <row r="75" customFormat="false" ht="15" hidden="false" customHeight="false" outlineLevel="0" collapsed="false">
      <c r="A75" s="22" t="str">
        <f aca="false">'Skip Audit'!U75</f>
        <v>Priority 1</v>
      </c>
      <c r="B75" s="22" t="s">
        <v>12988</v>
      </c>
      <c r="C75" s="22" t="str">
        <f aca="false">'Skip Audit'!A75</f>
        <v>SKP-2023-0164</v>
      </c>
      <c r="D75" s="23" t="n">
        <f aca="false">'Skip Audit'!C75</f>
        <v>45174</v>
      </c>
      <c r="E75" s="22" t="str">
        <f aca="false">'Skip Audit'!D75</f>
        <v>WL-03673</v>
      </c>
      <c r="F75" s="22" t="str">
        <f aca="false">'Skip Audit'!E75</f>
        <v>Angela Gibson</v>
      </c>
      <c r="G75" s="22" t="str">
        <f aca="false">'Skip Audit'!G75</f>
        <v>GW-0801</v>
      </c>
      <c r="H75" s="22" t="n">
        <v>0</v>
      </c>
      <c r="I75" s="22" t="str">
        <f aca="false">'Skip Audit'!T75</f>
        <v>No matching PDF; review after skip</v>
      </c>
      <c r="J75" s="22" t="str">
        <f aca="false">"Skip Audit row 75"</f>
        <v>Skip Audit row 75</v>
      </c>
    </row>
    <row r="76" customFormat="false" ht="15" hidden="false" customHeight="false" outlineLevel="0" collapsed="false">
      <c r="A76" s="22" t="str">
        <f aca="false">'Skip Audit'!U76</f>
        <v>Priority 1</v>
      </c>
      <c r="B76" s="22" t="s">
        <v>12988</v>
      </c>
      <c r="C76" s="22" t="str">
        <f aca="false">'Skip Audit'!A76</f>
        <v>SKP-2023-0165</v>
      </c>
      <c r="D76" s="23" t="n">
        <f aca="false">'Skip Audit'!C76</f>
        <v>45174</v>
      </c>
      <c r="E76" s="22" t="str">
        <f aca="false">'Skip Audit'!D76</f>
        <v>WL-01746</v>
      </c>
      <c r="F76" s="22" t="str">
        <f aca="false">'Skip Audit'!E76</f>
        <v>Elizabeth Ward</v>
      </c>
      <c r="G76" s="22" t="str">
        <f aca="false">'Skip Audit'!G76</f>
        <v>SB-0209</v>
      </c>
      <c r="H76" s="22" t="n">
        <v>0</v>
      </c>
      <c r="I76" s="22" t="str">
        <f aca="false">'Skip Audit'!T76</f>
        <v>No matching PDF; review after skip</v>
      </c>
      <c r="J76" s="22" t="str">
        <f aca="false">"Skip Audit row 76"</f>
        <v>Skip Audit row 76</v>
      </c>
    </row>
    <row r="77" customFormat="false" ht="15" hidden="false" customHeight="false" outlineLevel="0" collapsed="false">
      <c r="A77" s="22" t="str">
        <f aca="false">'Skip Audit'!U77</f>
        <v>Priority 1</v>
      </c>
      <c r="B77" s="22" t="s">
        <v>12988</v>
      </c>
      <c r="C77" s="22" t="str">
        <f aca="false">'Skip Audit'!A77</f>
        <v>SKP-2023-0166</v>
      </c>
      <c r="D77" s="23" t="n">
        <f aca="false">'Skip Audit'!C77</f>
        <v>45185</v>
      </c>
      <c r="E77" s="22" t="str">
        <f aca="false">'Skip Audit'!D77</f>
        <v>WL-03844</v>
      </c>
      <c r="F77" s="22" t="str">
        <f aca="false">'Skip Audit'!E77</f>
        <v>Janet Medina</v>
      </c>
      <c r="G77" s="22" t="str">
        <f aca="false">'Skip Audit'!G77</f>
        <v>EW-0109</v>
      </c>
      <c r="H77" s="22" t="n">
        <v>0</v>
      </c>
      <c r="I77" s="22" t="str">
        <f aca="false">'Skip Audit'!T77</f>
        <v>No matching PDF; review after skip</v>
      </c>
      <c r="J77" s="22" t="str">
        <f aca="false">"Skip Audit row 77"</f>
        <v>Skip Audit row 77</v>
      </c>
    </row>
    <row r="78" customFormat="false" ht="15" hidden="false" customHeight="false" outlineLevel="0" collapsed="false">
      <c r="A78" s="22" t="str">
        <f aca="false">'Skip Audit'!U78</f>
        <v>Priority 1</v>
      </c>
      <c r="B78" s="22" t="s">
        <v>12988</v>
      </c>
      <c r="C78" s="22" t="str">
        <f aca="false">'Skip Audit'!A78</f>
        <v>SKP-2023-0167</v>
      </c>
      <c r="D78" s="23" t="n">
        <f aca="false">'Skip Audit'!C78</f>
        <v>45194</v>
      </c>
      <c r="E78" s="22" t="str">
        <f aca="false">'Skip Audit'!D78</f>
        <v>WL-01566</v>
      </c>
      <c r="F78" s="22" t="str">
        <f aca="false">'Skip Audit'!E78</f>
        <v>Sara Garcia</v>
      </c>
      <c r="G78" s="22" t="str">
        <f aca="false">'Skip Audit'!G78</f>
        <v>LP-0706</v>
      </c>
      <c r="H78" s="22" t="n">
        <v>0</v>
      </c>
      <c r="I78" s="22" t="str">
        <f aca="false">'Skip Audit'!T78</f>
        <v>No matching PDF; review after skip</v>
      </c>
      <c r="J78" s="22" t="str">
        <f aca="false">"Skip Audit row 78"</f>
        <v>Skip Audit row 78</v>
      </c>
    </row>
    <row r="79" customFormat="false" ht="15" hidden="false" customHeight="false" outlineLevel="0" collapsed="false">
      <c r="A79" s="22" t="str">
        <f aca="false">'Skip Audit'!U79</f>
        <v>Priority 1</v>
      </c>
      <c r="B79" s="22" t="s">
        <v>12988</v>
      </c>
      <c r="C79" s="22" t="str">
        <f aca="false">'Skip Audit'!A79</f>
        <v>SKP-2023-0168</v>
      </c>
      <c r="D79" s="23" t="n">
        <f aca="false">'Skip Audit'!C79</f>
        <v>45182</v>
      </c>
      <c r="E79" s="22" t="str">
        <f aca="false">'Skip Audit'!D79</f>
        <v>WL-02912</v>
      </c>
      <c r="F79" s="22" t="str">
        <f aca="false">'Skip Audit'!E79</f>
        <v>Alan Ortiz</v>
      </c>
      <c r="G79" s="22" t="str">
        <f aca="false">'Skip Audit'!G79</f>
        <v>SB-0916</v>
      </c>
      <c r="H79" s="22" t="n">
        <v>0</v>
      </c>
      <c r="I79" s="22" t="str">
        <f aca="false">'Skip Audit'!T79</f>
        <v>No matching PDF; review after skip</v>
      </c>
      <c r="J79" s="22" t="str">
        <f aca="false">"Skip Audit row 79"</f>
        <v>Skip Audit row 79</v>
      </c>
    </row>
    <row r="80" customFormat="false" ht="15" hidden="false" customHeight="false" outlineLevel="0" collapsed="false">
      <c r="A80" s="22" t="str">
        <f aca="false">'Skip Audit'!U80</f>
        <v>Priority 1</v>
      </c>
      <c r="B80" s="22" t="s">
        <v>12988</v>
      </c>
      <c r="C80" s="22" t="str">
        <f aca="false">'Skip Audit'!A80</f>
        <v>SKP-2023-0169</v>
      </c>
      <c r="D80" s="23" t="n">
        <f aca="false">'Skip Audit'!C80</f>
        <v>45190</v>
      </c>
      <c r="E80" s="22" t="str">
        <f aca="false">'Skip Audit'!D80</f>
        <v>WL-01168</v>
      </c>
      <c r="F80" s="22" t="str">
        <f aca="false">'Skip Audit'!E80</f>
        <v>Wesley Bradford</v>
      </c>
      <c r="G80" s="22" t="str">
        <f aca="false">'Skip Audit'!G80</f>
        <v>LP-0604</v>
      </c>
      <c r="H80" s="22" t="n">
        <v>0</v>
      </c>
      <c r="I80" s="22" t="str">
        <f aca="false">'Skip Audit'!T80</f>
        <v>No matching PDF; review after skip</v>
      </c>
      <c r="J80" s="22" t="str">
        <f aca="false">"Skip Audit row 80"</f>
        <v>Skip Audit row 80</v>
      </c>
    </row>
    <row r="81" customFormat="false" ht="15" hidden="false" customHeight="false" outlineLevel="0" collapsed="false">
      <c r="A81" s="22" t="str">
        <f aca="false">'Skip Audit'!U81</f>
        <v>Priority 1</v>
      </c>
      <c r="B81" s="22" t="s">
        <v>12988</v>
      </c>
      <c r="C81" s="22" t="str">
        <f aca="false">'Skip Audit'!A81</f>
        <v>SKP-2023-0170</v>
      </c>
      <c r="D81" s="23" t="n">
        <f aca="false">'Skip Audit'!C81</f>
        <v>45173</v>
      </c>
      <c r="E81" s="22" t="str">
        <f aca="false">'Skip Audit'!D81</f>
        <v>WL-03700</v>
      </c>
      <c r="F81" s="22" t="str">
        <f aca="false">'Skip Audit'!E81</f>
        <v>Jonathan Diaz</v>
      </c>
      <c r="G81" s="22" t="str">
        <f aca="false">'Skip Audit'!G81</f>
        <v>LP-0412</v>
      </c>
      <c r="H81" s="22" t="n">
        <v>0</v>
      </c>
      <c r="I81" s="22" t="str">
        <f aca="false">'Skip Audit'!T81</f>
        <v>No matching PDF; review after skip</v>
      </c>
      <c r="J81" s="22" t="str">
        <f aca="false">"Skip Audit row 81"</f>
        <v>Skip Audit row 81</v>
      </c>
    </row>
    <row r="82" customFormat="false" ht="15" hidden="false" customHeight="false" outlineLevel="0" collapsed="false">
      <c r="A82" s="22" t="str">
        <f aca="false">'Skip Audit'!U82</f>
        <v>Priority 1</v>
      </c>
      <c r="B82" s="22" t="s">
        <v>12988</v>
      </c>
      <c r="C82" s="22" t="str">
        <f aca="false">'Skip Audit'!A82</f>
        <v>SKP-2023-0171</v>
      </c>
      <c r="D82" s="23" t="n">
        <f aca="false">'Skip Audit'!C82</f>
        <v>45185</v>
      </c>
      <c r="E82" s="22" t="str">
        <f aca="false">'Skip Audit'!D82</f>
        <v>WL-02000</v>
      </c>
      <c r="F82" s="22" t="str">
        <f aca="false">'Skip Audit'!E82</f>
        <v>Erika Cruz</v>
      </c>
      <c r="G82" s="22" t="str">
        <f aca="false">'Skip Audit'!G82</f>
        <v>VB-0820</v>
      </c>
      <c r="H82" s="22" t="n">
        <v>0</v>
      </c>
      <c r="I82" s="22" t="str">
        <f aca="false">'Skip Audit'!T82</f>
        <v>No matching PDF</v>
      </c>
      <c r="J82" s="22" t="str">
        <f aca="false">"Skip Audit row 82"</f>
        <v>Skip Audit row 82</v>
      </c>
    </row>
    <row r="83" customFormat="false" ht="15" hidden="false" customHeight="false" outlineLevel="0" collapsed="false">
      <c r="A83" s="22" t="str">
        <f aca="false">'Skip Audit'!U83</f>
        <v>Priority 1</v>
      </c>
      <c r="B83" s="22" t="s">
        <v>12988</v>
      </c>
      <c r="C83" s="22" t="str">
        <f aca="false">'Skip Audit'!A83</f>
        <v>SKP-2023-0172</v>
      </c>
      <c r="D83" s="23" t="n">
        <f aca="false">'Skip Audit'!C83</f>
        <v>45186</v>
      </c>
      <c r="E83" s="22" t="str">
        <f aca="false">'Skip Audit'!D83</f>
        <v>WL-01080</v>
      </c>
      <c r="F83" s="22" t="str">
        <f aca="false">'Skip Audit'!E83</f>
        <v>Jessica Lopez</v>
      </c>
      <c r="G83" s="22" t="str">
        <f aca="false">'Skip Audit'!G83</f>
        <v>EW-0511</v>
      </c>
      <c r="H83" s="22" t="n">
        <v>0</v>
      </c>
      <c r="I83" s="22" t="str">
        <f aca="false">'Skip Audit'!T83</f>
        <v>No matching PDF; review after skip</v>
      </c>
      <c r="J83" s="22" t="str">
        <f aca="false">"Skip Audit row 83"</f>
        <v>Skip Audit row 83</v>
      </c>
    </row>
    <row r="84" customFormat="false" ht="15" hidden="false" customHeight="false" outlineLevel="0" collapsed="false">
      <c r="A84" s="22" t="str">
        <f aca="false">'Skip Audit'!U84</f>
        <v>Priority 1</v>
      </c>
      <c r="B84" s="22" t="s">
        <v>12988</v>
      </c>
      <c r="C84" s="22" t="str">
        <f aca="false">'Skip Audit'!A84</f>
        <v>SKP-2023-0173</v>
      </c>
      <c r="D84" s="23" t="n">
        <f aca="false">'Skip Audit'!C84</f>
        <v>45172</v>
      </c>
      <c r="E84" s="22" t="str">
        <f aca="false">'Skip Audit'!D84</f>
        <v>WL-03715</v>
      </c>
      <c r="F84" s="22" t="str">
        <f aca="false">'Skip Audit'!E84</f>
        <v>Aaron Lee</v>
      </c>
      <c r="G84" s="22" t="str">
        <f aca="false">'Skip Audit'!G84</f>
        <v>VB-0705</v>
      </c>
      <c r="H84" s="22" t="n">
        <v>0</v>
      </c>
      <c r="I84" s="22" t="str">
        <f aca="false">'Skip Audit'!T84</f>
        <v>No matching PDF; review after skip</v>
      </c>
      <c r="J84" s="22" t="str">
        <f aca="false">"Skip Audit row 84"</f>
        <v>Skip Audit row 84</v>
      </c>
    </row>
    <row r="85" customFormat="false" ht="15" hidden="false" customHeight="false" outlineLevel="0" collapsed="false">
      <c r="A85" s="22" t="str">
        <f aca="false">'Skip Audit'!U85</f>
        <v>Priority 1</v>
      </c>
      <c r="B85" s="22" t="s">
        <v>12988</v>
      </c>
      <c r="C85" s="22" t="str">
        <f aca="false">'Skip Audit'!A85</f>
        <v>SKP-2023-0174</v>
      </c>
      <c r="D85" s="23" t="n">
        <f aca="false">'Skip Audit'!C85</f>
        <v>45180</v>
      </c>
      <c r="E85" s="22" t="str">
        <f aca="false">'Skip Audit'!D85</f>
        <v>WL-02285</v>
      </c>
      <c r="F85" s="22" t="str">
        <f aca="false">'Skip Audit'!E85</f>
        <v>Brian Scott</v>
      </c>
      <c r="G85" s="22" t="str">
        <f aca="false">'Skip Audit'!G85</f>
        <v>EW-0107</v>
      </c>
      <c r="H85" s="22" t="n">
        <v>0</v>
      </c>
      <c r="I85" s="22" t="str">
        <f aca="false">'Skip Audit'!T85</f>
        <v>No matching PDF; review after skip</v>
      </c>
      <c r="J85" s="22" t="str">
        <f aca="false">"Skip Audit row 85"</f>
        <v>Skip Audit row 85</v>
      </c>
    </row>
    <row r="86" customFormat="false" ht="15" hidden="false" customHeight="false" outlineLevel="0" collapsed="false">
      <c r="A86" s="22" t="str">
        <f aca="false">'Skip Audit'!U86</f>
        <v>Priority 1</v>
      </c>
      <c r="B86" s="22" t="s">
        <v>12988</v>
      </c>
      <c r="C86" s="22" t="str">
        <f aca="false">'Skip Audit'!A86</f>
        <v>SKP-2023-0175</v>
      </c>
      <c r="D86" s="23" t="n">
        <f aca="false">'Skip Audit'!C86</f>
        <v>45205</v>
      </c>
      <c r="E86" s="22" t="str">
        <f aca="false">'Skip Audit'!D86</f>
        <v>WL-01003</v>
      </c>
      <c r="F86" s="22" t="str">
        <f aca="false">'Skip Audit'!E86</f>
        <v>Shannon Phillips</v>
      </c>
      <c r="G86" s="22" t="str">
        <f aca="false">'Skip Audit'!G86</f>
        <v>SB-0401</v>
      </c>
      <c r="H86" s="22" t="n">
        <v>0</v>
      </c>
      <c r="I86" s="22" t="str">
        <f aca="false">'Skip Audit'!T86</f>
        <v>No matching PDF; review after skip</v>
      </c>
      <c r="J86" s="22" t="str">
        <f aca="false">"Skip Audit row 86"</f>
        <v>Skip Audit row 86</v>
      </c>
    </row>
    <row r="87" customFormat="false" ht="15" hidden="false" customHeight="false" outlineLevel="0" collapsed="false">
      <c r="A87" s="22" t="str">
        <f aca="false">'Skip Audit'!U87</f>
        <v>Priority 1</v>
      </c>
      <c r="B87" s="22" t="s">
        <v>12988</v>
      </c>
      <c r="C87" s="22" t="str">
        <f aca="false">'Skip Audit'!A87</f>
        <v>SKP-2023-0176</v>
      </c>
      <c r="D87" s="23" t="n">
        <f aca="false">'Skip Audit'!C87</f>
        <v>45204</v>
      </c>
      <c r="E87" s="22" t="str">
        <f aca="false">'Skip Audit'!D87</f>
        <v>WL-01594</v>
      </c>
      <c r="F87" s="22" t="str">
        <f aca="false">'Skip Audit'!E87</f>
        <v>Tracey Johnson</v>
      </c>
      <c r="G87" s="22" t="str">
        <f aca="false">'Skip Audit'!G87</f>
        <v>GW-0705</v>
      </c>
      <c r="H87" s="22" t="n">
        <v>0</v>
      </c>
      <c r="I87" s="22" t="str">
        <f aca="false">'Skip Audit'!T87</f>
        <v>No matching PDF; review after skip</v>
      </c>
      <c r="J87" s="22" t="str">
        <f aca="false">"Skip Audit row 87"</f>
        <v>Skip Audit row 87</v>
      </c>
    </row>
    <row r="88" customFormat="false" ht="15" hidden="false" customHeight="false" outlineLevel="0" collapsed="false">
      <c r="A88" s="22" t="str">
        <f aca="false">'Skip Audit'!U88</f>
        <v>Priority 1</v>
      </c>
      <c r="B88" s="22" t="s">
        <v>12988</v>
      </c>
      <c r="C88" s="22" t="str">
        <f aca="false">'Skip Audit'!A88</f>
        <v>SKP-2023-0177</v>
      </c>
      <c r="D88" s="23" t="n">
        <f aca="false">'Skip Audit'!C88</f>
        <v>45220</v>
      </c>
      <c r="E88" s="22" t="str">
        <f aca="false">'Skip Audit'!D88</f>
        <v>WL-01918</v>
      </c>
      <c r="F88" s="22" t="str">
        <f aca="false">'Skip Audit'!E88</f>
        <v>Brittany Barrett</v>
      </c>
      <c r="G88" s="22" t="str">
        <f aca="false">'Skip Audit'!G88</f>
        <v>VB-0118</v>
      </c>
      <c r="H88" s="22" t="n">
        <v>0</v>
      </c>
      <c r="I88" s="22" t="str">
        <f aca="false">'Skip Audit'!T88</f>
        <v>No matching PDF; review after skip</v>
      </c>
      <c r="J88" s="22" t="str">
        <f aca="false">"Skip Audit row 88"</f>
        <v>Skip Audit row 88</v>
      </c>
    </row>
    <row r="89" customFormat="false" ht="15" hidden="false" customHeight="false" outlineLevel="0" collapsed="false">
      <c r="A89" s="22" t="str">
        <f aca="false">'Skip Audit'!U89</f>
        <v>Priority 1</v>
      </c>
      <c r="B89" s="22" t="s">
        <v>12988</v>
      </c>
      <c r="C89" s="22" t="str">
        <f aca="false">'Skip Audit'!A89</f>
        <v>SKP-2023-0178</v>
      </c>
      <c r="D89" s="23" t="n">
        <f aca="false">'Skip Audit'!C89</f>
        <v>45223</v>
      </c>
      <c r="E89" s="22" t="str">
        <f aca="false">'Skip Audit'!D89</f>
        <v>WL-03849</v>
      </c>
      <c r="F89" s="22" t="str">
        <f aca="false">'Skip Audit'!E89</f>
        <v>Melissa Ramirez</v>
      </c>
      <c r="G89" s="22" t="str">
        <f aca="false">'Skip Audit'!G89</f>
        <v>SB-0406</v>
      </c>
      <c r="H89" s="22" t="n">
        <v>0</v>
      </c>
      <c r="I89" s="22" t="str">
        <f aca="false">'Skip Audit'!T89</f>
        <v>No matching PDF; review after skip</v>
      </c>
      <c r="J89" s="22" t="str">
        <f aca="false">"Skip Audit row 89"</f>
        <v>Skip Audit row 89</v>
      </c>
    </row>
    <row r="90" customFormat="false" ht="15" hidden="false" customHeight="false" outlineLevel="0" collapsed="false">
      <c r="A90" s="22" t="str">
        <f aca="false">'Skip Audit'!U90</f>
        <v>Priority 1</v>
      </c>
      <c r="B90" s="22" t="s">
        <v>12988</v>
      </c>
      <c r="C90" s="22" t="str">
        <f aca="false">'Skip Audit'!A90</f>
        <v>SKP-2023-0179</v>
      </c>
      <c r="D90" s="23" t="n">
        <f aca="false">'Skip Audit'!C90</f>
        <v>45208</v>
      </c>
      <c r="E90" s="22" t="str">
        <f aca="false">'Skip Audit'!D90</f>
        <v>WL-01704</v>
      </c>
      <c r="F90" s="22" t="str">
        <f aca="false">'Skip Audit'!E90</f>
        <v>Justin Horn</v>
      </c>
      <c r="G90" s="22" t="str">
        <f aca="false">'Skip Audit'!G90</f>
        <v>EW-0804</v>
      </c>
      <c r="H90" s="22" t="n">
        <v>0</v>
      </c>
      <c r="I90" s="22" t="str">
        <f aca="false">'Skip Audit'!T90</f>
        <v>No matching PDF; review after skip</v>
      </c>
      <c r="J90" s="22" t="str">
        <f aca="false">"Skip Audit row 90"</f>
        <v>Skip Audit row 90</v>
      </c>
    </row>
    <row r="91" customFormat="false" ht="15" hidden="false" customHeight="false" outlineLevel="0" collapsed="false">
      <c r="A91" s="22" t="str">
        <f aca="false">'Skip Audit'!U91</f>
        <v>Priority 1</v>
      </c>
      <c r="B91" s="22" t="s">
        <v>12988</v>
      </c>
      <c r="C91" s="22" t="str">
        <f aca="false">'Skip Audit'!A91</f>
        <v>SKP-2023-0180</v>
      </c>
      <c r="D91" s="23" t="n">
        <f aca="false">'Skip Audit'!C91</f>
        <v>45252</v>
      </c>
      <c r="E91" s="22" t="str">
        <f aca="false">'Skip Audit'!D91</f>
        <v>WL-03696</v>
      </c>
      <c r="F91" s="22" t="str">
        <f aca="false">'Skip Audit'!E91</f>
        <v>Natalie Duncan</v>
      </c>
      <c r="G91" s="22" t="str">
        <f aca="false">'Skip Audit'!G91</f>
        <v>LP-0114</v>
      </c>
      <c r="H91" s="22" t="n">
        <v>0</v>
      </c>
      <c r="I91" s="22" t="str">
        <f aca="false">'Skip Audit'!T91</f>
        <v>No matching PDF; review after skip</v>
      </c>
      <c r="J91" s="22" t="str">
        <f aca="false">"Skip Audit row 91"</f>
        <v>Skip Audit row 91</v>
      </c>
    </row>
    <row r="92" customFormat="false" ht="15" hidden="false" customHeight="false" outlineLevel="0" collapsed="false">
      <c r="A92" s="22" t="str">
        <f aca="false">'Skip Audit'!U92</f>
        <v>Priority 1</v>
      </c>
      <c r="B92" s="22" t="s">
        <v>12988</v>
      </c>
      <c r="C92" s="22" t="str">
        <f aca="false">'Skip Audit'!A92</f>
        <v>SKP-2023-0181</v>
      </c>
      <c r="D92" s="23" t="n">
        <f aca="false">'Skip Audit'!C92</f>
        <v>45277</v>
      </c>
      <c r="E92" s="22" t="str">
        <f aca="false">'Skip Audit'!D92</f>
        <v>WL-01016</v>
      </c>
      <c r="F92" s="22" t="str">
        <f aca="false">'Skip Audit'!E92</f>
        <v>Jared Mosley</v>
      </c>
      <c r="G92" s="22" t="str">
        <f aca="false">'Skip Audit'!G92</f>
        <v>LP-0416</v>
      </c>
      <c r="H92" s="22" t="n">
        <v>0</v>
      </c>
      <c r="I92" s="22" t="str">
        <f aca="false">'Skip Audit'!T92</f>
        <v>No matching PDF; review after skip</v>
      </c>
      <c r="J92" s="22" t="str">
        <f aca="false">"Skip Audit row 92"</f>
        <v>Skip Audit row 92</v>
      </c>
    </row>
    <row r="93" customFormat="false" ht="15" hidden="false" customHeight="false" outlineLevel="0" collapsed="false">
      <c r="A93" s="22" t="str">
        <f aca="false">'Skip Audit'!U93</f>
        <v>Priority 1</v>
      </c>
      <c r="B93" s="22" t="s">
        <v>12988</v>
      </c>
      <c r="C93" s="22" t="str">
        <f aca="false">'Skip Audit'!A93</f>
        <v>SKP-2023-0182</v>
      </c>
      <c r="D93" s="23" t="n">
        <f aca="false">'Skip Audit'!C93</f>
        <v>45281</v>
      </c>
      <c r="E93" s="22" t="str">
        <f aca="false">'Skip Audit'!D93</f>
        <v>WL-01186</v>
      </c>
      <c r="F93" s="22" t="str">
        <f aca="false">'Skip Audit'!E93</f>
        <v>Amy Hartman</v>
      </c>
      <c r="G93" s="22" t="str">
        <f aca="false">'Skip Audit'!G93</f>
        <v>SB-0610</v>
      </c>
      <c r="H93" s="22" t="n">
        <v>0</v>
      </c>
      <c r="I93" s="22" t="str">
        <f aca="false">'Skip Audit'!T93</f>
        <v>No matching PDF</v>
      </c>
      <c r="J93" s="22" t="str">
        <f aca="false">"Skip Audit row 93"</f>
        <v>Skip Audit row 93</v>
      </c>
    </row>
    <row r="94" customFormat="false" ht="15" hidden="false" customHeight="false" outlineLevel="0" collapsed="false">
      <c r="A94" s="22" t="str">
        <f aca="false">'Skip Audit'!U94</f>
        <v>Priority 1</v>
      </c>
      <c r="B94" s="22" t="s">
        <v>12988</v>
      </c>
      <c r="C94" s="22" t="str">
        <f aca="false">'Skip Audit'!A94</f>
        <v>SKP-2023-0183</v>
      </c>
      <c r="D94" s="23" t="n">
        <f aca="false">'Skip Audit'!C94</f>
        <v>45286</v>
      </c>
      <c r="E94" s="22" t="str">
        <f aca="false">'Skip Audit'!D94</f>
        <v>WL-01524</v>
      </c>
      <c r="F94" s="22" t="str">
        <f aca="false">'Skip Audit'!E94</f>
        <v>William Wright</v>
      </c>
      <c r="G94" s="22" t="str">
        <f aca="false">'Skip Audit'!G94</f>
        <v>VB-0804</v>
      </c>
      <c r="H94" s="22" t="n">
        <v>0</v>
      </c>
      <c r="I94" s="22" t="str">
        <f aca="false">'Skip Audit'!T94</f>
        <v>No matching PDF; review after skip</v>
      </c>
      <c r="J94" s="22" t="str">
        <f aca="false">"Skip Audit row 94"</f>
        <v>Skip Audit row 94</v>
      </c>
    </row>
    <row r="95" customFormat="false" ht="15" hidden="false" customHeight="false" outlineLevel="0" collapsed="false">
      <c r="A95" s="22" t="str">
        <f aca="false">'Skip Audit'!U95</f>
        <v>Priority 1</v>
      </c>
      <c r="B95" s="22" t="s">
        <v>12988</v>
      </c>
      <c r="C95" s="22" t="str">
        <f aca="false">'Skip Audit'!A95</f>
        <v>SKP-2023-0184</v>
      </c>
      <c r="D95" s="23" t="n">
        <f aca="false">'Skip Audit'!C95</f>
        <v>45286</v>
      </c>
      <c r="E95" s="22" t="str">
        <f aca="false">'Skip Audit'!D95</f>
        <v>WL-03111</v>
      </c>
      <c r="F95" s="22" t="str">
        <f aca="false">'Skip Audit'!E95</f>
        <v>Kevin Gilbert</v>
      </c>
      <c r="G95" s="22" t="str">
        <f aca="false">'Skip Audit'!G95</f>
        <v>VB-0311</v>
      </c>
      <c r="H95" s="22" t="n">
        <v>0</v>
      </c>
      <c r="I95" s="22" t="str">
        <f aca="false">'Skip Audit'!T95</f>
        <v>No matching PDF; review after skip</v>
      </c>
      <c r="J95" s="22" t="str">
        <f aca="false">"Skip Audit row 95"</f>
        <v>Skip Audit row 95</v>
      </c>
    </row>
    <row r="96" customFormat="false" ht="15" hidden="false" customHeight="false" outlineLevel="0" collapsed="false">
      <c r="A96" s="22" t="str">
        <f aca="false">'Skip Audit'!U96</f>
        <v>Priority 1</v>
      </c>
      <c r="B96" s="22" t="s">
        <v>12988</v>
      </c>
      <c r="C96" s="22" t="str">
        <f aca="false">'Skip Audit'!A96</f>
        <v>SKP-2023-0185</v>
      </c>
      <c r="D96" s="23" t="n">
        <f aca="false">'Skip Audit'!C96</f>
        <v>45284</v>
      </c>
      <c r="E96" s="22" t="str">
        <f aca="false">'Skip Audit'!D96</f>
        <v>WL-02726</v>
      </c>
      <c r="F96" s="22" t="str">
        <f aca="false">'Skip Audit'!E96</f>
        <v>Michelle Herman</v>
      </c>
      <c r="G96" s="22" t="str">
        <f aca="false">'Skip Audit'!G96</f>
        <v>EW-0916</v>
      </c>
      <c r="H96" s="22" t="n">
        <v>0</v>
      </c>
      <c r="I96" s="22" t="str">
        <f aca="false">'Skip Audit'!T96</f>
        <v>No matching PDF; review after skip</v>
      </c>
      <c r="J96" s="22" t="str">
        <f aca="false">"Skip Audit row 96"</f>
        <v>Skip Audit row 96</v>
      </c>
    </row>
    <row r="97" customFormat="false" ht="15" hidden="false" customHeight="false" outlineLevel="0" collapsed="false">
      <c r="A97" s="22" t="str">
        <f aca="false">'Skip Audit'!U97</f>
        <v>Priority 1</v>
      </c>
      <c r="B97" s="22" t="s">
        <v>12988</v>
      </c>
      <c r="C97" s="22" t="str">
        <f aca="false">'Skip Audit'!A97</f>
        <v>SKP-2023-0186</v>
      </c>
      <c r="D97" s="23" t="n">
        <f aca="false">'Skip Audit'!C97</f>
        <v>45263</v>
      </c>
      <c r="E97" s="22" t="str">
        <f aca="false">'Skip Audit'!D97</f>
        <v>WL-01924</v>
      </c>
      <c r="F97" s="22" t="str">
        <f aca="false">'Skip Audit'!E97</f>
        <v>Angela Alexander</v>
      </c>
      <c r="G97" s="22" t="str">
        <f aca="false">'Skip Audit'!G97</f>
        <v>EW-1002</v>
      </c>
      <c r="H97" s="22" t="n">
        <v>0</v>
      </c>
      <c r="I97" s="22" t="str">
        <f aca="false">'Skip Audit'!T97</f>
        <v>No matching PDF; review after skip</v>
      </c>
      <c r="J97" s="22" t="str">
        <f aca="false">"Skip Audit row 97"</f>
        <v>Skip Audit row 97</v>
      </c>
    </row>
    <row r="98" customFormat="false" ht="15" hidden="false" customHeight="false" outlineLevel="0" collapsed="false">
      <c r="A98" s="22" t="str">
        <f aca="false">'Skip Audit'!U98</f>
        <v>Priority 1</v>
      </c>
      <c r="B98" s="22" t="s">
        <v>12988</v>
      </c>
      <c r="C98" s="22" t="str">
        <f aca="false">'Skip Audit'!A98</f>
        <v>SKP-2024-0187</v>
      </c>
      <c r="D98" s="23" t="n">
        <f aca="false">'Skip Audit'!C98</f>
        <v>45305</v>
      </c>
      <c r="E98" s="22" t="str">
        <f aca="false">'Skip Audit'!D98</f>
        <v>WL-02759</v>
      </c>
      <c r="F98" s="22" t="str">
        <f aca="false">'Skip Audit'!E98</f>
        <v>Michael Rose</v>
      </c>
      <c r="G98" s="22" t="str">
        <f aca="false">'Skip Audit'!G98</f>
        <v>EW-0708</v>
      </c>
      <c r="H98" s="22" t="n">
        <v>0</v>
      </c>
      <c r="I98" s="22" t="str">
        <f aca="false">'Skip Audit'!T98</f>
        <v>No matching PDF; review after skip</v>
      </c>
      <c r="J98" s="22" t="str">
        <f aca="false">"Skip Audit row 98"</f>
        <v>Skip Audit row 98</v>
      </c>
    </row>
    <row r="99" customFormat="false" ht="15" hidden="false" customHeight="false" outlineLevel="0" collapsed="false">
      <c r="A99" s="22" t="str">
        <f aca="false">'Skip Audit'!U99</f>
        <v>Priority 1</v>
      </c>
      <c r="B99" s="22" t="s">
        <v>12988</v>
      </c>
      <c r="C99" s="22" t="str">
        <f aca="false">'Skip Audit'!A99</f>
        <v>SKP-2024-0188</v>
      </c>
      <c r="D99" s="23" t="n">
        <f aca="false">'Skip Audit'!C99</f>
        <v>45295</v>
      </c>
      <c r="E99" s="22" t="str">
        <f aca="false">'Skip Audit'!D99</f>
        <v>WL-01632</v>
      </c>
      <c r="F99" s="22" t="str">
        <f aca="false">'Skip Audit'!E99</f>
        <v>Laura Johnson</v>
      </c>
      <c r="G99" s="22" t="str">
        <f aca="false">'Skip Audit'!G99</f>
        <v>SB-0306</v>
      </c>
      <c r="H99" s="22" t="n">
        <v>0</v>
      </c>
      <c r="I99" s="22" t="str">
        <f aca="false">'Skip Audit'!T99</f>
        <v>No matching PDF; review after skip</v>
      </c>
      <c r="J99" s="22" t="str">
        <f aca="false">"Skip Audit row 99"</f>
        <v>Skip Audit row 99</v>
      </c>
    </row>
    <row r="100" customFormat="false" ht="15" hidden="false" customHeight="false" outlineLevel="0" collapsed="false">
      <c r="A100" s="22" t="str">
        <f aca="false">'Skip Audit'!U100</f>
        <v>Priority 1</v>
      </c>
      <c r="B100" s="22" t="s">
        <v>12988</v>
      </c>
      <c r="C100" s="22" t="str">
        <f aca="false">'Skip Audit'!A100</f>
        <v>SKP-2024-0189</v>
      </c>
      <c r="D100" s="23" t="n">
        <f aca="false">'Skip Audit'!C100</f>
        <v>45342</v>
      </c>
      <c r="E100" s="22" t="str">
        <f aca="false">'Skip Audit'!D100</f>
        <v>WL-03141</v>
      </c>
      <c r="F100" s="22" t="str">
        <f aca="false">'Skip Audit'!E100</f>
        <v>Joseph Green</v>
      </c>
      <c r="G100" s="22" t="str">
        <f aca="false">'Skip Audit'!G100</f>
        <v>LP-0203</v>
      </c>
      <c r="H100" s="22" t="n">
        <v>0</v>
      </c>
      <c r="I100" s="22" t="str">
        <f aca="false">'Skip Audit'!T100</f>
        <v>No matching PDF; review after skip</v>
      </c>
      <c r="J100" s="22" t="str">
        <f aca="false">"Skip Audit row 100"</f>
        <v>Skip Audit row 100</v>
      </c>
    </row>
    <row r="101" customFormat="false" ht="15" hidden="false" customHeight="false" outlineLevel="0" collapsed="false">
      <c r="A101" s="22" t="str">
        <f aca="false">'Skip Audit'!U101</f>
        <v>Priority 1</v>
      </c>
      <c r="B101" s="22" t="s">
        <v>12988</v>
      </c>
      <c r="C101" s="22" t="str">
        <f aca="false">'Skip Audit'!A101</f>
        <v>SKP-2024-0190</v>
      </c>
      <c r="D101" s="23" t="n">
        <f aca="false">'Skip Audit'!C101</f>
        <v>45346</v>
      </c>
      <c r="E101" s="22" t="str">
        <f aca="false">'Skip Audit'!D101</f>
        <v>WL-02349</v>
      </c>
      <c r="F101" s="22" t="str">
        <f aca="false">'Skip Audit'!E101</f>
        <v>Natalie Mason</v>
      </c>
      <c r="G101" s="22" t="str">
        <f aca="false">'Skip Audit'!G101</f>
        <v>SB-0403</v>
      </c>
      <c r="H101" s="22" t="n">
        <v>0</v>
      </c>
      <c r="I101" s="22" t="str">
        <f aca="false">'Skip Audit'!T101</f>
        <v>No matching PDF; review after skip</v>
      </c>
      <c r="J101" s="22" t="str">
        <f aca="false">"Skip Audit row 101"</f>
        <v>Skip Audit row 101</v>
      </c>
    </row>
    <row r="102" customFormat="false" ht="15" hidden="false" customHeight="false" outlineLevel="0" collapsed="false">
      <c r="A102" s="22" t="str">
        <f aca="false">'Skip Audit'!U102</f>
        <v>Priority 1</v>
      </c>
      <c r="B102" s="22" t="s">
        <v>12988</v>
      </c>
      <c r="C102" s="22" t="str">
        <f aca="false">'Skip Audit'!A102</f>
        <v>SKP-2024-0191</v>
      </c>
      <c r="D102" s="23" t="n">
        <f aca="false">'Skip Audit'!C102</f>
        <v>45325</v>
      </c>
      <c r="E102" s="22" t="str">
        <f aca="false">'Skip Audit'!D102</f>
        <v>WL-01253</v>
      </c>
      <c r="F102" s="22" t="str">
        <f aca="false">'Skip Audit'!E102</f>
        <v>Brandon Sawyer</v>
      </c>
      <c r="G102" s="22" t="str">
        <f aca="false">'Skip Audit'!G102</f>
        <v>LP-0307</v>
      </c>
      <c r="H102" s="22" t="n">
        <v>0</v>
      </c>
      <c r="I102" s="22" t="str">
        <f aca="false">'Skip Audit'!T102</f>
        <v>No matching PDF; review after skip</v>
      </c>
      <c r="J102" s="22" t="str">
        <f aca="false">"Skip Audit row 102"</f>
        <v>Skip Audit row 102</v>
      </c>
    </row>
    <row r="103" customFormat="false" ht="15" hidden="false" customHeight="false" outlineLevel="0" collapsed="false">
      <c r="A103" s="22" t="str">
        <f aca="false">'Skip Audit'!U103</f>
        <v>Priority 1</v>
      </c>
      <c r="B103" s="22" t="s">
        <v>12988</v>
      </c>
      <c r="C103" s="22" t="str">
        <f aca="false">'Skip Audit'!A103</f>
        <v>SKP-2024-0192</v>
      </c>
      <c r="D103" s="23" t="n">
        <f aca="false">'Skip Audit'!C103</f>
        <v>45337</v>
      </c>
      <c r="E103" s="22" t="str">
        <f aca="false">'Skip Audit'!D103</f>
        <v>WL-03127</v>
      </c>
      <c r="F103" s="22" t="str">
        <f aca="false">'Skip Audit'!E103</f>
        <v>Lindsay Dixon</v>
      </c>
      <c r="G103" s="22" t="str">
        <f aca="false">'Skip Audit'!G103</f>
        <v>LP-0515</v>
      </c>
      <c r="H103" s="22" t="n">
        <v>0</v>
      </c>
      <c r="I103" s="22" t="str">
        <f aca="false">'Skip Audit'!T103</f>
        <v>No matching PDF; review after skip</v>
      </c>
      <c r="J103" s="22" t="str">
        <f aca="false">"Skip Audit row 103"</f>
        <v>Skip Audit row 103</v>
      </c>
    </row>
    <row r="104" customFormat="false" ht="15" hidden="false" customHeight="false" outlineLevel="0" collapsed="false">
      <c r="A104" s="22" t="str">
        <f aca="false">'Skip Audit'!U104</f>
        <v>Priority 1</v>
      </c>
      <c r="B104" s="22" t="s">
        <v>12988</v>
      </c>
      <c r="C104" s="22" t="str">
        <f aca="false">'Skip Audit'!A104</f>
        <v>SKP-2024-0193</v>
      </c>
      <c r="D104" s="23" t="n">
        <f aca="false">'Skip Audit'!C104</f>
        <v>45330</v>
      </c>
      <c r="E104" s="22" t="str">
        <f aca="false">'Skip Audit'!D104</f>
        <v>WL-02653</v>
      </c>
      <c r="F104" s="22" t="str">
        <f aca="false">'Skip Audit'!E104</f>
        <v>Christine Jones</v>
      </c>
      <c r="G104" s="22" t="str">
        <f aca="false">'Skip Audit'!G104</f>
        <v>SB-0616</v>
      </c>
      <c r="H104" s="22" t="n">
        <v>0</v>
      </c>
      <c r="I104" s="22" t="str">
        <f aca="false">'Skip Audit'!T104</f>
        <v>No matching PDF; review after skip</v>
      </c>
      <c r="J104" s="22" t="str">
        <f aca="false">"Skip Audit row 104"</f>
        <v>Skip Audit row 104</v>
      </c>
    </row>
    <row r="105" customFormat="false" ht="15" hidden="false" customHeight="false" outlineLevel="0" collapsed="false">
      <c r="A105" s="22" t="str">
        <f aca="false">'Skip Audit'!U105</f>
        <v>Priority 1</v>
      </c>
      <c r="B105" s="22" t="s">
        <v>12988</v>
      </c>
      <c r="C105" s="22" t="str">
        <f aca="false">'Skip Audit'!A105</f>
        <v>SKP-2024-0194</v>
      </c>
      <c r="D105" s="23" t="n">
        <f aca="false">'Skip Audit'!C105</f>
        <v>45329</v>
      </c>
      <c r="E105" s="22" t="str">
        <f aca="false">'Skip Audit'!D105</f>
        <v>WL-01347</v>
      </c>
      <c r="F105" s="22" t="str">
        <f aca="false">'Skip Audit'!E105</f>
        <v>Ryan Bennett</v>
      </c>
      <c r="G105" s="22" t="str">
        <f aca="false">'Skip Audit'!G105</f>
        <v>EW-0624</v>
      </c>
      <c r="H105" s="22" t="n">
        <v>0</v>
      </c>
      <c r="I105" s="22" t="str">
        <f aca="false">'Skip Audit'!T105</f>
        <v>No matching PDF; review after skip</v>
      </c>
      <c r="J105" s="22" t="str">
        <f aca="false">"Skip Audit row 105"</f>
        <v>Skip Audit row 105</v>
      </c>
    </row>
    <row r="106" customFormat="false" ht="15" hidden="false" customHeight="false" outlineLevel="0" collapsed="false">
      <c r="A106" s="22" t="str">
        <f aca="false">'Skip Audit'!U106</f>
        <v>Priority 1</v>
      </c>
      <c r="B106" s="22" t="s">
        <v>12988</v>
      </c>
      <c r="C106" s="22" t="str">
        <f aca="false">'Skip Audit'!A106</f>
        <v>SKP-2024-0195</v>
      </c>
      <c r="D106" s="23" t="n">
        <f aca="false">'Skip Audit'!C106</f>
        <v>45331</v>
      </c>
      <c r="E106" s="22" t="str">
        <f aca="false">'Skip Audit'!D106</f>
        <v>WL-01562</v>
      </c>
      <c r="F106" s="22" t="str">
        <f aca="false">'Skip Audit'!E106</f>
        <v>Karen Ward</v>
      </c>
      <c r="G106" s="22" t="str">
        <f aca="false">'Skip Audit'!G106</f>
        <v>GW-0219</v>
      </c>
      <c r="H106" s="22" t="n">
        <v>0</v>
      </c>
      <c r="I106" s="22" t="str">
        <f aca="false">'Skip Audit'!T106</f>
        <v>No matching PDF; review after skip</v>
      </c>
      <c r="J106" s="22" t="str">
        <f aca="false">"Skip Audit row 106"</f>
        <v>Skip Audit row 106</v>
      </c>
    </row>
    <row r="107" customFormat="false" ht="15" hidden="false" customHeight="false" outlineLevel="0" collapsed="false">
      <c r="A107" s="22" t="str">
        <f aca="false">'Skip Audit'!U107</f>
        <v>Priority 1</v>
      </c>
      <c r="B107" s="22" t="s">
        <v>12988</v>
      </c>
      <c r="C107" s="22" t="str">
        <f aca="false">'Skip Audit'!A107</f>
        <v>SKP-2024-0196</v>
      </c>
      <c r="D107" s="23" t="n">
        <f aca="false">'Skip Audit'!C107</f>
        <v>45374</v>
      </c>
      <c r="E107" s="22" t="str">
        <f aca="false">'Skip Audit'!D107</f>
        <v>WL-02629</v>
      </c>
      <c r="F107" s="22" t="str">
        <f aca="false">'Skip Audit'!E107</f>
        <v>Joseph Powell</v>
      </c>
      <c r="G107" s="22" t="str">
        <f aca="false">'Skip Audit'!G107</f>
        <v>VB-1021</v>
      </c>
      <c r="H107" s="22" t="n">
        <v>0</v>
      </c>
      <c r="I107" s="22" t="str">
        <f aca="false">'Skip Audit'!T107</f>
        <v>No matching PDF; review after skip</v>
      </c>
      <c r="J107" s="22" t="str">
        <f aca="false">"Skip Audit row 107"</f>
        <v>Skip Audit row 107</v>
      </c>
    </row>
    <row r="108" customFormat="false" ht="15" hidden="false" customHeight="false" outlineLevel="0" collapsed="false">
      <c r="A108" s="22" t="str">
        <f aca="false">'Skip Audit'!U108</f>
        <v>Priority 1</v>
      </c>
      <c r="B108" s="22" t="s">
        <v>12988</v>
      </c>
      <c r="C108" s="22" t="str">
        <f aca="false">'Skip Audit'!A108</f>
        <v>SKP-2024-0197</v>
      </c>
      <c r="D108" s="23" t="n">
        <f aca="false">'Skip Audit'!C108</f>
        <v>45379</v>
      </c>
      <c r="E108" s="22" t="str">
        <f aca="false">'Skip Audit'!D108</f>
        <v>WL-03621</v>
      </c>
      <c r="F108" s="22" t="str">
        <f aca="false">'Skip Audit'!E108</f>
        <v>Denise Powers</v>
      </c>
      <c r="G108" s="22" t="str">
        <f aca="false">'Skip Audit'!G108</f>
        <v>SB-0601</v>
      </c>
      <c r="H108" s="22" t="n">
        <v>0</v>
      </c>
      <c r="I108" s="22" t="str">
        <f aca="false">'Skip Audit'!T108</f>
        <v>No matching PDF; review after skip</v>
      </c>
      <c r="J108" s="22" t="str">
        <f aca="false">"Skip Audit row 108"</f>
        <v>Skip Audit row 108</v>
      </c>
    </row>
    <row r="109" customFormat="false" ht="15" hidden="false" customHeight="false" outlineLevel="0" collapsed="false">
      <c r="A109" s="22" t="str">
        <f aca="false">'Skip Audit'!U109</f>
        <v>Priority 1</v>
      </c>
      <c r="B109" s="22" t="s">
        <v>12988</v>
      </c>
      <c r="C109" s="22" t="str">
        <f aca="false">'Skip Audit'!A109</f>
        <v>SKP-2024-0198</v>
      </c>
      <c r="D109" s="23" t="n">
        <f aca="false">'Skip Audit'!C109</f>
        <v>45373</v>
      </c>
      <c r="E109" s="22" t="str">
        <f aca="false">'Skip Audit'!D109</f>
        <v>WL-02027</v>
      </c>
      <c r="F109" s="22" t="str">
        <f aca="false">'Skip Audit'!E109</f>
        <v>Monica Hammond</v>
      </c>
      <c r="G109" s="22" t="str">
        <f aca="false">'Skip Audit'!G109</f>
        <v>GW-0801</v>
      </c>
      <c r="H109" s="22" t="n">
        <v>0</v>
      </c>
      <c r="I109" s="22" t="str">
        <f aca="false">'Skip Audit'!T109</f>
        <v>No matching PDF; review after skip</v>
      </c>
      <c r="J109" s="22" t="str">
        <f aca="false">"Skip Audit row 109"</f>
        <v>Skip Audit row 109</v>
      </c>
    </row>
    <row r="110" customFormat="false" ht="15" hidden="false" customHeight="false" outlineLevel="0" collapsed="false">
      <c r="A110" s="22" t="str">
        <f aca="false">'Skip Audit'!U110</f>
        <v>Priority 1</v>
      </c>
      <c r="B110" s="22" t="s">
        <v>12988</v>
      </c>
      <c r="C110" s="22" t="str">
        <f aca="false">'Skip Audit'!A110</f>
        <v>SKP-2024-0199</v>
      </c>
      <c r="D110" s="23" t="n">
        <f aca="false">'Skip Audit'!C110</f>
        <v>45378</v>
      </c>
      <c r="E110" s="22" t="str">
        <f aca="false">'Skip Audit'!D110</f>
        <v>WL-03185</v>
      </c>
      <c r="F110" s="22" t="str">
        <f aca="false">'Skip Audit'!E110</f>
        <v>Sarah Davis</v>
      </c>
      <c r="G110" s="22" t="str">
        <f aca="false">'Skip Audit'!G110</f>
        <v>SB-0824</v>
      </c>
      <c r="H110" s="22" t="n">
        <v>0</v>
      </c>
      <c r="I110" s="22" t="str">
        <f aca="false">'Skip Audit'!T110</f>
        <v>No matching PDF</v>
      </c>
      <c r="J110" s="22" t="str">
        <f aca="false">"Skip Audit row 110"</f>
        <v>Skip Audit row 110</v>
      </c>
    </row>
    <row r="111" customFormat="false" ht="15" hidden="false" customHeight="false" outlineLevel="0" collapsed="false">
      <c r="A111" s="22" t="str">
        <f aca="false">'Skip Audit'!U111</f>
        <v>Priority 1</v>
      </c>
      <c r="B111" s="22" t="s">
        <v>12988</v>
      </c>
      <c r="C111" s="22" t="str">
        <f aca="false">'Skip Audit'!A111</f>
        <v>SKP-2024-0200</v>
      </c>
      <c r="D111" s="23" t="n">
        <f aca="false">'Skip Audit'!C111</f>
        <v>45353</v>
      </c>
      <c r="E111" s="22" t="str">
        <f aca="false">'Skip Audit'!D111</f>
        <v>WL-02893</v>
      </c>
      <c r="F111" s="22" t="str">
        <f aca="false">'Skip Audit'!E111</f>
        <v>Christopher Carrillo</v>
      </c>
      <c r="G111" s="22" t="str">
        <f aca="false">'Skip Audit'!G111</f>
        <v>EW-1021</v>
      </c>
      <c r="H111" s="22" t="n">
        <v>0</v>
      </c>
      <c r="I111" s="22" t="str">
        <f aca="false">'Skip Audit'!T111</f>
        <v>No matching PDF; review after skip</v>
      </c>
      <c r="J111" s="22" t="str">
        <f aca="false">"Skip Audit row 111"</f>
        <v>Skip Audit row 111</v>
      </c>
    </row>
    <row r="112" customFormat="false" ht="15" hidden="false" customHeight="false" outlineLevel="0" collapsed="false">
      <c r="A112" s="22" t="str">
        <f aca="false">'Skip Audit'!U112</f>
        <v>Priority 1</v>
      </c>
      <c r="B112" s="22" t="s">
        <v>12988</v>
      </c>
      <c r="C112" s="22" t="str">
        <f aca="false">'Skip Audit'!A112</f>
        <v>SKP-2024-0201</v>
      </c>
      <c r="D112" s="23" t="n">
        <f aca="false">'Skip Audit'!C112</f>
        <v>45376</v>
      </c>
      <c r="E112" s="22" t="str">
        <f aca="false">'Skip Audit'!D112</f>
        <v>WL-02274</v>
      </c>
      <c r="F112" s="22" t="str">
        <f aca="false">'Skip Audit'!E112</f>
        <v>Kevin Green</v>
      </c>
      <c r="G112" s="22" t="str">
        <f aca="false">'Skip Audit'!G112</f>
        <v>VB-0721</v>
      </c>
      <c r="H112" s="22" t="n">
        <v>0</v>
      </c>
      <c r="I112" s="22" t="str">
        <f aca="false">'Skip Audit'!T112</f>
        <v>No matching PDF; review after skip</v>
      </c>
      <c r="J112" s="22" t="str">
        <f aca="false">"Skip Audit row 112"</f>
        <v>Skip Audit row 112</v>
      </c>
    </row>
    <row r="113" customFormat="false" ht="15" hidden="false" customHeight="false" outlineLevel="0" collapsed="false">
      <c r="A113" s="22" t="str">
        <f aca="false">'Skip Audit'!U113</f>
        <v>Priority 1</v>
      </c>
      <c r="B113" s="22" t="s">
        <v>12988</v>
      </c>
      <c r="C113" s="22" t="str">
        <f aca="false">'Skip Audit'!A113</f>
        <v>SKP-2024-0202</v>
      </c>
      <c r="D113" s="23" t="n">
        <f aca="false">'Skip Audit'!C113</f>
        <v>45371</v>
      </c>
      <c r="E113" s="22" t="str">
        <f aca="false">'Skip Audit'!D113</f>
        <v>WL-03661</v>
      </c>
      <c r="F113" s="22" t="str">
        <f aca="false">'Skip Audit'!E113</f>
        <v>Kenneth Williams</v>
      </c>
      <c r="G113" s="22" t="str">
        <f aca="false">'Skip Audit'!G113</f>
        <v>EW-0709</v>
      </c>
      <c r="H113" s="22" t="n">
        <v>0</v>
      </c>
      <c r="I113" s="22" t="str">
        <f aca="false">'Skip Audit'!T113</f>
        <v>No matching PDF; review after skip</v>
      </c>
      <c r="J113" s="22" t="str">
        <f aca="false">"Skip Audit row 113"</f>
        <v>Skip Audit row 113</v>
      </c>
    </row>
    <row r="114" customFormat="false" ht="15" hidden="false" customHeight="false" outlineLevel="0" collapsed="false">
      <c r="A114" s="22" t="str">
        <f aca="false">'Skip Audit'!U114</f>
        <v>Priority 1</v>
      </c>
      <c r="B114" s="22" t="s">
        <v>12988</v>
      </c>
      <c r="C114" s="22" t="str">
        <f aca="false">'Skip Audit'!A114</f>
        <v>SKP-2024-0203</v>
      </c>
      <c r="D114" s="23" t="n">
        <f aca="false">'Skip Audit'!C114</f>
        <v>45353</v>
      </c>
      <c r="E114" s="22" t="str">
        <f aca="false">'Skip Audit'!D114</f>
        <v>WL-02769</v>
      </c>
      <c r="F114" s="22" t="str">
        <f aca="false">'Skip Audit'!E114</f>
        <v>Jacqueline Simon</v>
      </c>
      <c r="G114" s="22" t="str">
        <f aca="false">'Skip Audit'!G114</f>
        <v>EW-0902</v>
      </c>
      <c r="H114" s="22" t="n">
        <v>0</v>
      </c>
      <c r="I114" s="22" t="str">
        <f aca="false">'Skip Audit'!T114</f>
        <v>No matching PDF; review after skip</v>
      </c>
      <c r="J114" s="22" t="str">
        <f aca="false">"Skip Audit row 114"</f>
        <v>Skip Audit row 114</v>
      </c>
    </row>
    <row r="115" customFormat="false" ht="15" hidden="false" customHeight="false" outlineLevel="0" collapsed="false">
      <c r="A115" s="22" t="str">
        <f aca="false">'Skip Audit'!U115</f>
        <v>Priority 1</v>
      </c>
      <c r="B115" s="22" t="s">
        <v>12988</v>
      </c>
      <c r="C115" s="22" t="str">
        <f aca="false">'Skip Audit'!A115</f>
        <v>SKP-2024-0204</v>
      </c>
      <c r="D115" s="23" t="n">
        <f aca="false">'Skip Audit'!C115</f>
        <v>45384</v>
      </c>
      <c r="E115" s="22" t="str">
        <f aca="false">'Skip Audit'!D115</f>
        <v>WL-01950</v>
      </c>
      <c r="F115" s="22" t="str">
        <f aca="false">'Skip Audit'!E115</f>
        <v>Mathew Trujillo</v>
      </c>
      <c r="G115" s="22" t="str">
        <f aca="false">'Skip Audit'!G115</f>
        <v>EW-0608</v>
      </c>
      <c r="H115" s="22" t="n">
        <v>0</v>
      </c>
      <c r="I115" s="22" t="str">
        <f aca="false">'Skip Audit'!T115</f>
        <v>No matching PDF</v>
      </c>
      <c r="J115" s="22" t="str">
        <f aca="false">"Skip Audit row 115"</f>
        <v>Skip Audit row 115</v>
      </c>
    </row>
    <row r="116" customFormat="false" ht="15" hidden="false" customHeight="false" outlineLevel="0" collapsed="false">
      <c r="A116" s="22" t="str">
        <f aca="false">'Skip Audit'!U116</f>
        <v>Priority 1</v>
      </c>
      <c r="B116" s="22" t="s">
        <v>12988</v>
      </c>
      <c r="C116" s="22" t="str">
        <f aca="false">'Skip Audit'!A116</f>
        <v>SKP-2024-0205</v>
      </c>
      <c r="D116" s="23" t="n">
        <f aca="false">'Skip Audit'!C116</f>
        <v>45407</v>
      </c>
      <c r="E116" s="22" t="str">
        <f aca="false">'Skip Audit'!D116</f>
        <v>WL-02895</v>
      </c>
      <c r="F116" s="22" t="str">
        <f aca="false">'Skip Audit'!E116</f>
        <v>Madison Hensley</v>
      </c>
      <c r="G116" s="22" t="str">
        <f aca="false">'Skip Audit'!G116</f>
        <v>EW-0306</v>
      </c>
      <c r="H116" s="22" t="n">
        <v>0</v>
      </c>
      <c r="I116" s="22" t="str">
        <f aca="false">'Skip Audit'!T116</f>
        <v>No matching PDF; review after skip</v>
      </c>
      <c r="J116" s="22" t="str">
        <f aca="false">"Skip Audit row 116"</f>
        <v>Skip Audit row 116</v>
      </c>
    </row>
    <row r="117" customFormat="false" ht="15" hidden="false" customHeight="false" outlineLevel="0" collapsed="false">
      <c r="A117" s="22" t="str">
        <f aca="false">'Skip Audit'!U117</f>
        <v>Priority 1</v>
      </c>
      <c r="B117" s="22" t="s">
        <v>12988</v>
      </c>
      <c r="C117" s="22" t="str">
        <f aca="false">'Skip Audit'!A117</f>
        <v>SKP-2024-0206</v>
      </c>
      <c r="D117" s="23" t="n">
        <f aca="false">'Skip Audit'!C117</f>
        <v>45390</v>
      </c>
      <c r="E117" s="22" t="str">
        <f aca="false">'Skip Audit'!D117</f>
        <v>WL-03018</v>
      </c>
      <c r="F117" s="22" t="str">
        <f aca="false">'Skip Audit'!E117</f>
        <v>Jessica Duffy</v>
      </c>
      <c r="G117" s="22" t="str">
        <f aca="false">'Skip Audit'!G117</f>
        <v>VB-0617</v>
      </c>
      <c r="H117" s="22" t="n">
        <v>0</v>
      </c>
      <c r="I117" s="22" t="str">
        <f aca="false">'Skip Audit'!T117</f>
        <v>No matching PDF; review after skip</v>
      </c>
      <c r="J117" s="22" t="str">
        <f aca="false">"Skip Audit row 117"</f>
        <v>Skip Audit row 117</v>
      </c>
    </row>
    <row r="118" customFormat="false" ht="15" hidden="false" customHeight="false" outlineLevel="0" collapsed="false">
      <c r="A118" s="22" t="str">
        <f aca="false">'Skip Audit'!U118</f>
        <v>Priority 1</v>
      </c>
      <c r="B118" s="22" t="s">
        <v>12988</v>
      </c>
      <c r="C118" s="22" t="str">
        <f aca="false">'Skip Audit'!A118</f>
        <v>SKP-2024-0207</v>
      </c>
      <c r="D118" s="23" t="n">
        <f aca="false">'Skip Audit'!C118</f>
        <v>45403</v>
      </c>
      <c r="E118" s="22" t="str">
        <f aca="false">'Skip Audit'!D118</f>
        <v>WL-02948</v>
      </c>
      <c r="F118" s="22" t="str">
        <f aca="false">'Skip Audit'!E118</f>
        <v>Michael Salinas</v>
      </c>
      <c r="G118" s="22" t="str">
        <f aca="false">'Skip Audit'!G118</f>
        <v>GW-1013</v>
      </c>
      <c r="H118" s="22" t="n">
        <v>0</v>
      </c>
      <c r="I118" s="22" t="str">
        <f aca="false">'Skip Audit'!T118</f>
        <v>No matching PDF; review after skip</v>
      </c>
      <c r="J118" s="22" t="str">
        <f aca="false">"Skip Audit row 118"</f>
        <v>Skip Audit row 118</v>
      </c>
    </row>
    <row r="119" customFormat="false" ht="15" hidden="false" customHeight="false" outlineLevel="0" collapsed="false">
      <c r="A119" s="22" t="str">
        <f aca="false">'Skip Audit'!U119</f>
        <v>Priority 1</v>
      </c>
      <c r="B119" s="22" t="s">
        <v>12988</v>
      </c>
      <c r="C119" s="22" t="str">
        <f aca="false">'Skip Audit'!A119</f>
        <v>SKP-2024-0208</v>
      </c>
      <c r="D119" s="23" t="n">
        <f aca="false">'Skip Audit'!C119</f>
        <v>45420</v>
      </c>
      <c r="E119" s="22" t="str">
        <f aca="false">'Skip Audit'!D119</f>
        <v>WL-02305</v>
      </c>
      <c r="F119" s="22" t="str">
        <f aca="false">'Skip Audit'!E119</f>
        <v>John Patel</v>
      </c>
      <c r="G119" s="22" t="str">
        <f aca="false">'Skip Audit'!G119</f>
        <v>GW-0823</v>
      </c>
      <c r="H119" s="22" t="n">
        <v>0</v>
      </c>
      <c r="I119" s="22" t="str">
        <f aca="false">'Skip Audit'!T119</f>
        <v>No matching PDF</v>
      </c>
      <c r="J119" s="22" t="str">
        <f aca="false">"Skip Audit row 119"</f>
        <v>Skip Audit row 119</v>
      </c>
    </row>
    <row r="120" customFormat="false" ht="15" hidden="false" customHeight="false" outlineLevel="0" collapsed="false">
      <c r="A120" s="22" t="str">
        <f aca="false">'Skip Audit'!U120</f>
        <v>Priority 1</v>
      </c>
      <c r="B120" s="22" t="s">
        <v>12988</v>
      </c>
      <c r="C120" s="22" t="str">
        <f aca="false">'Skip Audit'!A120</f>
        <v>SKP-2024-0209</v>
      </c>
      <c r="D120" s="23" t="n">
        <f aca="false">'Skip Audit'!C120</f>
        <v>45425</v>
      </c>
      <c r="E120" s="22" t="str">
        <f aca="false">'Skip Audit'!D120</f>
        <v>WL-01675</v>
      </c>
      <c r="F120" s="22" t="str">
        <f aca="false">'Skip Audit'!E120</f>
        <v>Christina Smith</v>
      </c>
      <c r="G120" s="22" t="str">
        <f aca="false">'Skip Audit'!G120</f>
        <v>VB-0808</v>
      </c>
      <c r="H120" s="22" t="n">
        <v>0</v>
      </c>
      <c r="I120" s="22" t="str">
        <f aca="false">'Skip Audit'!T120</f>
        <v>No matching PDF; review after skip</v>
      </c>
      <c r="J120" s="22" t="str">
        <f aca="false">"Skip Audit row 120"</f>
        <v>Skip Audit row 120</v>
      </c>
    </row>
    <row r="121" customFormat="false" ht="15" hidden="false" customHeight="false" outlineLevel="0" collapsed="false">
      <c r="A121" s="22" t="str">
        <f aca="false">'Skip Audit'!U121</f>
        <v>Priority 1</v>
      </c>
      <c r="B121" s="22" t="s">
        <v>12988</v>
      </c>
      <c r="C121" s="22" t="str">
        <f aca="false">'Skip Audit'!A121</f>
        <v>SKP-2024-0210</v>
      </c>
      <c r="D121" s="23" t="n">
        <f aca="false">'Skip Audit'!C121</f>
        <v>45435</v>
      </c>
      <c r="E121" s="22" t="str">
        <f aca="false">'Skip Audit'!D121</f>
        <v>WL-01242</v>
      </c>
      <c r="F121" s="22" t="str">
        <f aca="false">'Skip Audit'!E121</f>
        <v>Melissa Villanueva</v>
      </c>
      <c r="G121" s="22" t="str">
        <f aca="false">'Skip Audit'!G121</f>
        <v>GW-0905</v>
      </c>
      <c r="H121" s="22" t="n">
        <v>0</v>
      </c>
      <c r="I121" s="22" t="str">
        <f aca="false">'Skip Audit'!T121</f>
        <v>No matching PDF; review after skip</v>
      </c>
      <c r="J121" s="22" t="str">
        <f aca="false">"Skip Audit row 121"</f>
        <v>Skip Audit row 121</v>
      </c>
    </row>
    <row r="122" customFormat="false" ht="15" hidden="false" customHeight="false" outlineLevel="0" collapsed="false">
      <c r="A122" s="22" t="str">
        <f aca="false">'Skip Audit'!U122</f>
        <v>Priority 1</v>
      </c>
      <c r="B122" s="22" t="s">
        <v>12988</v>
      </c>
      <c r="C122" s="22" t="str">
        <f aca="false">'Skip Audit'!A122</f>
        <v>SKP-2024-0211</v>
      </c>
      <c r="D122" s="23" t="n">
        <f aca="false">'Skip Audit'!C122</f>
        <v>45431</v>
      </c>
      <c r="E122" s="22" t="str">
        <f aca="false">'Skip Audit'!D122</f>
        <v>WL-01536</v>
      </c>
      <c r="F122" s="22" t="str">
        <f aca="false">'Skip Audit'!E122</f>
        <v>Deborah Spears</v>
      </c>
      <c r="G122" s="22" t="str">
        <f aca="false">'Skip Audit'!G122</f>
        <v>GW-0522</v>
      </c>
      <c r="H122" s="22" t="n">
        <v>0</v>
      </c>
      <c r="I122" s="22" t="str">
        <f aca="false">'Skip Audit'!T122</f>
        <v>No matching PDF; review after skip</v>
      </c>
      <c r="J122" s="22" t="str">
        <f aca="false">"Skip Audit row 122"</f>
        <v>Skip Audit row 122</v>
      </c>
    </row>
    <row r="123" customFormat="false" ht="15" hidden="false" customHeight="false" outlineLevel="0" collapsed="false">
      <c r="A123" s="22" t="str">
        <f aca="false">'Skip Audit'!U123</f>
        <v>Priority 1</v>
      </c>
      <c r="B123" s="22" t="s">
        <v>12988</v>
      </c>
      <c r="C123" s="22" t="str">
        <f aca="false">'Skip Audit'!A123</f>
        <v>SKP-2024-0212</v>
      </c>
      <c r="D123" s="23" t="n">
        <f aca="false">'Skip Audit'!C123</f>
        <v>45434</v>
      </c>
      <c r="E123" s="22" t="str">
        <f aca="false">'Skip Audit'!D123</f>
        <v>WL-02013</v>
      </c>
      <c r="F123" s="22" t="str">
        <f aca="false">'Skip Audit'!E123</f>
        <v>Elizabeth Harrison</v>
      </c>
      <c r="G123" s="22" t="str">
        <f aca="false">'Skip Audit'!G123</f>
        <v>VB-0602</v>
      </c>
      <c r="H123" s="22" t="n">
        <v>0</v>
      </c>
      <c r="I123" s="22" t="str">
        <f aca="false">'Skip Audit'!T123</f>
        <v>No matching PDF; review after skip</v>
      </c>
      <c r="J123" s="22" t="str">
        <f aca="false">"Skip Audit row 123"</f>
        <v>Skip Audit row 123</v>
      </c>
    </row>
    <row r="124" customFormat="false" ht="15" hidden="false" customHeight="false" outlineLevel="0" collapsed="false">
      <c r="A124" s="22" t="str">
        <f aca="false">'Skip Audit'!U124</f>
        <v>Priority 1</v>
      </c>
      <c r="B124" s="22" t="s">
        <v>12988</v>
      </c>
      <c r="C124" s="22" t="str">
        <f aca="false">'Skip Audit'!A124</f>
        <v>SKP-2024-0213</v>
      </c>
      <c r="D124" s="23" t="n">
        <f aca="false">'Skip Audit'!C124</f>
        <v>45427</v>
      </c>
      <c r="E124" s="22" t="str">
        <f aca="false">'Skip Audit'!D124</f>
        <v>WL-01753</v>
      </c>
      <c r="F124" s="22" t="str">
        <f aca="false">'Skip Audit'!E124</f>
        <v>Erin Valencia</v>
      </c>
      <c r="G124" s="22" t="str">
        <f aca="false">'Skip Audit'!G124</f>
        <v>LP-0722</v>
      </c>
      <c r="H124" s="22" t="n">
        <v>0</v>
      </c>
      <c r="I124" s="22" t="str">
        <f aca="false">'Skip Audit'!T124</f>
        <v>No matching PDF; review after skip</v>
      </c>
      <c r="J124" s="22" t="str">
        <f aca="false">"Skip Audit row 124"</f>
        <v>Skip Audit row 124</v>
      </c>
    </row>
    <row r="125" customFormat="false" ht="15" hidden="false" customHeight="false" outlineLevel="0" collapsed="false">
      <c r="A125" s="22" t="str">
        <f aca="false">'Skip Audit'!U125</f>
        <v>Priority 1</v>
      </c>
      <c r="B125" s="22" t="s">
        <v>12988</v>
      </c>
      <c r="C125" s="22" t="str">
        <f aca="false">'Skip Audit'!A125</f>
        <v>SKP-2024-0214</v>
      </c>
      <c r="D125" s="23" t="n">
        <f aca="false">'Skip Audit'!C125</f>
        <v>45413</v>
      </c>
      <c r="E125" s="22" t="str">
        <f aca="false">'Skip Audit'!D125</f>
        <v>WL-01318</v>
      </c>
      <c r="F125" s="22" t="str">
        <f aca="false">'Skip Audit'!E125</f>
        <v>Denise Montgomery</v>
      </c>
      <c r="G125" s="22" t="str">
        <f aca="false">'Skip Audit'!G125</f>
        <v>SB-0405</v>
      </c>
      <c r="H125" s="22" t="n">
        <v>0</v>
      </c>
      <c r="I125" s="22" t="str">
        <f aca="false">'Skip Audit'!T125</f>
        <v>No matching PDF; review after skip</v>
      </c>
      <c r="J125" s="22" t="str">
        <f aca="false">"Skip Audit row 125"</f>
        <v>Skip Audit row 125</v>
      </c>
    </row>
    <row r="126" customFormat="false" ht="15" hidden="false" customHeight="false" outlineLevel="0" collapsed="false">
      <c r="A126" s="22" t="str">
        <f aca="false">'Skip Audit'!U126</f>
        <v>Priority 1</v>
      </c>
      <c r="B126" s="22" t="s">
        <v>12988</v>
      </c>
      <c r="C126" s="22" t="str">
        <f aca="false">'Skip Audit'!A126</f>
        <v>SKP-2024-0215</v>
      </c>
      <c r="D126" s="23" t="n">
        <f aca="false">'Skip Audit'!C126</f>
        <v>45433</v>
      </c>
      <c r="E126" s="22" t="str">
        <f aca="false">'Skip Audit'!D126</f>
        <v>WL-03891</v>
      </c>
      <c r="F126" s="22" t="str">
        <f aca="false">'Skip Audit'!E126</f>
        <v>David Melton</v>
      </c>
      <c r="G126" s="22" t="str">
        <f aca="false">'Skip Audit'!G126</f>
        <v>EW-0607</v>
      </c>
      <c r="H126" s="22" t="n">
        <v>0</v>
      </c>
      <c r="I126" s="22" t="str">
        <f aca="false">'Skip Audit'!T126</f>
        <v>No matching PDF</v>
      </c>
      <c r="J126" s="22" t="str">
        <f aca="false">"Skip Audit row 126"</f>
        <v>Skip Audit row 126</v>
      </c>
    </row>
    <row r="127" customFormat="false" ht="15" hidden="false" customHeight="false" outlineLevel="0" collapsed="false">
      <c r="A127" s="22" t="str">
        <f aca="false">'Skip Audit'!U127</f>
        <v>Priority 1</v>
      </c>
      <c r="B127" s="22" t="s">
        <v>12988</v>
      </c>
      <c r="C127" s="22" t="str">
        <f aca="false">'Skip Audit'!A127</f>
        <v>SKP-2024-0216</v>
      </c>
      <c r="D127" s="23" t="n">
        <f aca="false">'Skip Audit'!C127</f>
        <v>45455</v>
      </c>
      <c r="E127" s="22" t="str">
        <f aca="false">'Skip Audit'!D127</f>
        <v>WL-03026</v>
      </c>
      <c r="F127" s="22" t="str">
        <f aca="false">'Skip Audit'!E127</f>
        <v>Amanda Taylor</v>
      </c>
      <c r="G127" s="22" t="str">
        <f aca="false">'Skip Audit'!G127</f>
        <v>LP-0324</v>
      </c>
      <c r="H127" s="22" t="n">
        <v>0</v>
      </c>
      <c r="I127" s="22" t="str">
        <f aca="false">'Skip Audit'!T127</f>
        <v>No matching PDF; review after skip</v>
      </c>
      <c r="J127" s="22" t="str">
        <f aca="false">"Skip Audit row 127"</f>
        <v>Skip Audit row 127</v>
      </c>
    </row>
    <row r="128" customFormat="false" ht="15" hidden="false" customHeight="false" outlineLevel="0" collapsed="false">
      <c r="A128" s="22" t="str">
        <f aca="false">'Skip Audit'!U128</f>
        <v>Priority 1</v>
      </c>
      <c r="B128" s="22" t="s">
        <v>12988</v>
      </c>
      <c r="C128" s="22" t="str">
        <f aca="false">'Skip Audit'!A128</f>
        <v>SKP-2024-0217</v>
      </c>
      <c r="D128" s="23" t="n">
        <f aca="false">'Skip Audit'!C128</f>
        <v>45458</v>
      </c>
      <c r="E128" s="22" t="str">
        <f aca="false">'Skip Audit'!D128</f>
        <v>WL-03245</v>
      </c>
      <c r="F128" s="22" t="str">
        <f aca="false">'Skip Audit'!E128</f>
        <v>Howard Sellers</v>
      </c>
      <c r="G128" s="22" t="str">
        <f aca="false">'Skip Audit'!G128</f>
        <v>LP-1001</v>
      </c>
      <c r="H128" s="22" t="n">
        <v>0</v>
      </c>
      <c r="I128" s="22" t="str">
        <f aca="false">'Skip Audit'!T128</f>
        <v>No matching PDF; review after skip</v>
      </c>
      <c r="J128" s="22" t="str">
        <f aca="false">"Skip Audit row 128"</f>
        <v>Skip Audit row 128</v>
      </c>
    </row>
    <row r="129" customFormat="false" ht="15" hidden="false" customHeight="false" outlineLevel="0" collapsed="false">
      <c r="A129" s="22" t="str">
        <f aca="false">'Skip Audit'!U129</f>
        <v>Priority 1</v>
      </c>
      <c r="B129" s="22" t="s">
        <v>12988</v>
      </c>
      <c r="C129" s="22" t="str">
        <f aca="false">'Skip Audit'!A129</f>
        <v>SKP-2024-0218</v>
      </c>
      <c r="D129" s="23" t="n">
        <f aca="false">'Skip Audit'!C129</f>
        <v>45457</v>
      </c>
      <c r="E129" s="22" t="str">
        <f aca="false">'Skip Audit'!D129</f>
        <v>WL-03527</v>
      </c>
      <c r="F129" s="22" t="str">
        <f aca="false">'Skip Audit'!E129</f>
        <v>Ashley Logan</v>
      </c>
      <c r="G129" s="22" t="str">
        <f aca="false">'Skip Audit'!G129</f>
        <v>EW-0523</v>
      </c>
      <c r="H129" s="22" t="n">
        <v>0</v>
      </c>
      <c r="I129" s="22" t="str">
        <f aca="false">'Skip Audit'!T129</f>
        <v>No matching PDF; review after skip</v>
      </c>
      <c r="J129" s="22" t="str">
        <f aca="false">"Skip Audit row 129"</f>
        <v>Skip Audit row 129</v>
      </c>
    </row>
    <row r="130" customFormat="false" ht="15" hidden="false" customHeight="false" outlineLevel="0" collapsed="false">
      <c r="A130" s="22" t="str">
        <f aca="false">'Skip Audit'!U130</f>
        <v>Priority 1</v>
      </c>
      <c r="B130" s="22" t="s">
        <v>12988</v>
      </c>
      <c r="C130" s="22" t="str">
        <f aca="false">'Skip Audit'!A130</f>
        <v>SKP-2024-0219</v>
      </c>
      <c r="D130" s="23" t="n">
        <f aca="false">'Skip Audit'!C130</f>
        <v>45448</v>
      </c>
      <c r="E130" s="22" t="str">
        <f aca="false">'Skip Audit'!D130</f>
        <v>WL-01144</v>
      </c>
      <c r="F130" s="22" t="str">
        <f aca="false">'Skip Audit'!E130</f>
        <v>James Lopez</v>
      </c>
      <c r="G130" s="22" t="str">
        <f aca="false">'Skip Audit'!G130</f>
        <v>LP-0216</v>
      </c>
      <c r="H130" s="22" t="n">
        <v>0</v>
      </c>
      <c r="I130" s="22" t="str">
        <f aca="false">'Skip Audit'!T130</f>
        <v>No matching PDF; review after skip</v>
      </c>
      <c r="J130" s="22" t="str">
        <f aca="false">"Skip Audit row 130"</f>
        <v>Skip Audit row 130</v>
      </c>
    </row>
    <row r="131" customFormat="false" ht="15" hidden="false" customHeight="false" outlineLevel="0" collapsed="false">
      <c r="A131" s="22" t="str">
        <f aca="false">'Skip Audit'!U131</f>
        <v>Priority 1</v>
      </c>
      <c r="B131" s="22" t="s">
        <v>12988</v>
      </c>
      <c r="C131" s="22" t="str">
        <f aca="false">'Skip Audit'!A131</f>
        <v>SKP-2024-0220</v>
      </c>
      <c r="D131" s="23" t="n">
        <f aca="false">'Skip Audit'!C131</f>
        <v>45451</v>
      </c>
      <c r="E131" s="22" t="str">
        <f aca="false">'Skip Audit'!D131</f>
        <v>WL-03390</v>
      </c>
      <c r="F131" s="22" t="str">
        <f aca="false">'Skip Audit'!E131</f>
        <v>Phillip Ard</v>
      </c>
      <c r="G131" s="22" t="str">
        <f aca="false">'Skip Audit'!G131</f>
        <v>SB-0302</v>
      </c>
      <c r="H131" s="22" t="n">
        <v>0</v>
      </c>
      <c r="I131" s="22" t="str">
        <f aca="false">'Skip Audit'!T131</f>
        <v>No matching PDF; review after skip</v>
      </c>
      <c r="J131" s="22" t="str">
        <f aca="false">"Skip Audit row 131"</f>
        <v>Skip Audit row 131</v>
      </c>
    </row>
    <row r="132" customFormat="false" ht="15" hidden="false" customHeight="false" outlineLevel="0" collapsed="false">
      <c r="A132" s="22" t="str">
        <f aca="false">'Skip Audit'!U132</f>
        <v>Priority 1</v>
      </c>
      <c r="B132" s="22" t="s">
        <v>12988</v>
      </c>
      <c r="C132" s="22" t="str">
        <f aca="false">'Skip Audit'!A132</f>
        <v>SKP-2024-0221</v>
      </c>
      <c r="D132" s="23" t="n">
        <f aca="false">'Skip Audit'!C132</f>
        <v>45452</v>
      </c>
      <c r="E132" s="22" t="str">
        <f aca="false">'Skip Audit'!D132</f>
        <v>WL-01368</v>
      </c>
      <c r="F132" s="22" t="str">
        <f aca="false">'Skip Audit'!E132</f>
        <v>Justin Turner</v>
      </c>
      <c r="G132" s="22" t="str">
        <f aca="false">'Skip Audit'!G132</f>
        <v>VB-0924</v>
      </c>
      <c r="H132" s="22" t="n">
        <v>0</v>
      </c>
      <c r="I132" s="22" t="str">
        <f aca="false">'Skip Audit'!T132</f>
        <v>No matching PDF; review after skip</v>
      </c>
      <c r="J132" s="22" t="str">
        <f aca="false">"Skip Audit row 132"</f>
        <v>Skip Audit row 132</v>
      </c>
    </row>
    <row r="133" customFormat="false" ht="15" hidden="false" customHeight="false" outlineLevel="0" collapsed="false">
      <c r="A133" s="22" t="str">
        <f aca="false">'Skip Audit'!U133</f>
        <v>Priority 1</v>
      </c>
      <c r="B133" s="22" t="s">
        <v>12988</v>
      </c>
      <c r="C133" s="22" t="str">
        <f aca="false">'Skip Audit'!A133</f>
        <v>SKP-2024-0222</v>
      </c>
      <c r="D133" s="23" t="n">
        <f aca="false">'Skip Audit'!C133</f>
        <v>45501</v>
      </c>
      <c r="E133" s="22" t="str">
        <f aca="false">'Skip Audit'!D133</f>
        <v>WL-01889</v>
      </c>
      <c r="F133" s="22" t="str">
        <f aca="false">'Skip Audit'!E133</f>
        <v>Haley Scott</v>
      </c>
      <c r="G133" s="22" t="str">
        <f aca="false">'Skip Audit'!G133</f>
        <v>GW-0206</v>
      </c>
      <c r="H133" s="22" t="n">
        <v>0</v>
      </c>
      <c r="I133" s="22" t="str">
        <f aca="false">'Skip Audit'!T133</f>
        <v>No matching PDF; review after skip</v>
      </c>
      <c r="J133" s="22" t="str">
        <f aca="false">"Skip Audit row 133"</f>
        <v>Skip Audit row 133</v>
      </c>
    </row>
    <row r="134" customFormat="false" ht="15" hidden="false" customHeight="false" outlineLevel="0" collapsed="false">
      <c r="A134" s="22" t="str">
        <f aca="false">'Skip Audit'!U134</f>
        <v>Priority 1</v>
      </c>
      <c r="B134" s="22" t="s">
        <v>12988</v>
      </c>
      <c r="C134" s="22" t="str">
        <f aca="false">'Skip Audit'!A134</f>
        <v>SKP-2024-0223</v>
      </c>
      <c r="D134" s="23" t="n">
        <f aca="false">'Skip Audit'!C134</f>
        <v>45478</v>
      </c>
      <c r="E134" s="22" t="str">
        <f aca="false">'Skip Audit'!D134</f>
        <v>WL-01691</v>
      </c>
      <c r="F134" s="22" t="str">
        <f aca="false">'Skip Audit'!E134</f>
        <v>Joshua Li</v>
      </c>
      <c r="G134" s="22" t="str">
        <f aca="false">'Skip Audit'!G134</f>
        <v>LP-1024</v>
      </c>
      <c r="H134" s="22" t="n">
        <v>0</v>
      </c>
      <c r="I134" s="22" t="str">
        <f aca="false">'Skip Audit'!T134</f>
        <v>No matching PDF; review after skip</v>
      </c>
      <c r="J134" s="22" t="str">
        <f aca="false">"Skip Audit row 134"</f>
        <v>Skip Audit row 134</v>
      </c>
    </row>
    <row r="135" customFormat="false" ht="15" hidden="false" customHeight="false" outlineLevel="0" collapsed="false">
      <c r="A135" s="22" t="str">
        <f aca="false">'Skip Audit'!U135</f>
        <v>Priority 1</v>
      </c>
      <c r="B135" s="22" t="s">
        <v>12988</v>
      </c>
      <c r="C135" s="22" t="str">
        <f aca="false">'Skip Audit'!A135</f>
        <v>SKP-2024-0224</v>
      </c>
      <c r="D135" s="23" t="n">
        <f aca="false">'Skip Audit'!C135</f>
        <v>45487</v>
      </c>
      <c r="E135" s="22" t="str">
        <f aca="false">'Skip Audit'!D135</f>
        <v>WL-02850</v>
      </c>
      <c r="F135" s="22" t="str">
        <f aca="false">'Skip Audit'!E135</f>
        <v>Edwin Boone</v>
      </c>
      <c r="G135" s="22" t="str">
        <f aca="false">'Skip Audit'!G135</f>
        <v>SB-0107</v>
      </c>
      <c r="H135" s="22" t="n">
        <v>0</v>
      </c>
      <c r="I135" s="22" t="str">
        <f aca="false">'Skip Audit'!T135</f>
        <v>No matching PDF; review after skip</v>
      </c>
      <c r="J135" s="22" t="str">
        <f aca="false">"Skip Audit row 135"</f>
        <v>Skip Audit row 135</v>
      </c>
    </row>
    <row r="136" customFormat="false" ht="15" hidden="false" customHeight="false" outlineLevel="0" collapsed="false">
      <c r="A136" s="22" t="str">
        <f aca="false">'Skip Audit'!U136</f>
        <v>Priority 1</v>
      </c>
      <c r="B136" s="22" t="s">
        <v>12988</v>
      </c>
      <c r="C136" s="22" t="str">
        <f aca="false">'Skip Audit'!A136</f>
        <v>SKP-2024-0225</v>
      </c>
      <c r="D136" s="23" t="n">
        <f aca="false">'Skip Audit'!C136</f>
        <v>45522</v>
      </c>
      <c r="E136" s="22" t="str">
        <f aca="false">'Skip Audit'!D136</f>
        <v>WL-03762</v>
      </c>
      <c r="F136" s="22" t="str">
        <f aca="false">'Skip Audit'!E136</f>
        <v>Kristen Anderson</v>
      </c>
      <c r="G136" s="22" t="str">
        <f aca="false">'Skip Audit'!G136</f>
        <v>LP-0513</v>
      </c>
      <c r="H136" s="22" t="n">
        <v>0</v>
      </c>
      <c r="I136" s="22" t="str">
        <f aca="false">'Skip Audit'!T136</f>
        <v>No matching PDF; review after skip</v>
      </c>
      <c r="J136" s="22" t="str">
        <f aca="false">"Skip Audit row 136"</f>
        <v>Skip Audit row 136</v>
      </c>
    </row>
    <row r="137" customFormat="false" ht="15" hidden="false" customHeight="false" outlineLevel="0" collapsed="false">
      <c r="A137" s="22" t="str">
        <f aca="false">'Skip Audit'!U137</f>
        <v>Priority 1</v>
      </c>
      <c r="B137" s="22" t="s">
        <v>12988</v>
      </c>
      <c r="C137" s="22" t="str">
        <f aca="false">'Skip Audit'!A137</f>
        <v>SKP-2024-0226</v>
      </c>
      <c r="D137" s="23" t="n">
        <f aca="false">'Skip Audit'!C137</f>
        <v>45510</v>
      </c>
      <c r="E137" s="22" t="str">
        <f aca="false">'Skip Audit'!D137</f>
        <v>WL-03542</v>
      </c>
      <c r="F137" s="22" t="str">
        <f aca="false">'Skip Audit'!E137</f>
        <v>Kristina Rivas</v>
      </c>
      <c r="G137" s="22" t="str">
        <f aca="false">'Skip Audit'!G137</f>
        <v>SB-0319</v>
      </c>
      <c r="H137" s="22" t="n">
        <v>0</v>
      </c>
      <c r="I137" s="22" t="str">
        <f aca="false">'Skip Audit'!T137</f>
        <v>No matching PDF; review after skip</v>
      </c>
      <c r="J137" s="22" t="str">
        <f aca="false">"Skip Audit row 137"</f>
        <v>Skip Audit row 137</v>
      </c>
    </row>
    <row r="138" customFormat="false" ht="15" hidden="false" customHeight="false" outlineLevel="0" collapsed="false">
      <c r="A138" s="22" t="str">
        <f aca="false">'Skip Audit'!U138</f>
        <v>Priority 1</v>
      </c>
      <c r="B138" s="22" t="s">
        <v>12988</v>
      </c>
      <c r="C138" s="22" t="str">
        <f aca="false">'Skip Audit'!A138</f>
        <v>SKP-2024-0227</v>
      </c>
      <c r="D138" s="23" t="n">
        <f aca="false">'Skip Audit'!C138</f>
        <v>45520</v>
      </c>
      <c r="E138" s="22" t="str">
        <f aca="false">'Skip Audit'!D138</f>
        <v>WL-03759</v>
      </c>
      <c r="F138" s="22" t="str">
        <f aca="false">'Skip Audit'!E138</f>
        <v>Ryan Newton</v>
      </c>
      <c r="G138" s="22" t="str">
        <f aca="false">'Skip Audit'!G138</f>
        <v>GW-0123</v>
      </c>
      <c r="H138" s="22" t="n">
        <v>0</v>
      </c>
      <c r="I138" s="22" t="str">
        <f aca="false">'Skip Audit'!T138</f>
        <v>No matching PDF</v>
      </c>
      <c r="J138" s="22" t="str">
        <f aca="false">"Skip Audit row 138"</f>
        <v>Skip Audit row 138</v>
      </c>
    </row>
    <row r="139" customFormat="false" ht="15" hidden="false" customHeight="false" outlineLevel="0" collapsed="false">
      <c r="A139" s="22" t="str">
        <f aca="false">'Skip Audit'!U139</f>
        <v>Priority 1</v>
      </c>
      <c r="B139" s="22" t="s">
        <v>12988</v>
      </c>
      <c r="C139" s="22" t="str">
        <f aca="false">'Skip Audit'!A139</f>
        <v>SKP-2024-0228</v>
      </c>
      <c r="D139" s="23" t="n">
        <f aca="false">'Skip Audit'!C139</f>
        <v>45514</v>
      </c>
      <c r="E139" s="22" t="str">
        <f aca="false">'Skip Audit'!D139</f>
        <v>WL-01001</v>
      </c>
      <c r="F139" s="22" t="str">
        <f aca="false">'Skip Audit'!E139</f>
        <v>Valerie Jones</v>
      </c>
      <c r="G139" s="22" t="str">
        <f aca="false">'Skip Audit'!G139</f>
        <v>VB-1008</v>
      </c>
      <c r="H139" s="22" t="n">
        <v>0</v>
      </c>
      <c r="I139" s="22" t="str">
        <f aca="false">'Skip Audit'!T139</f>
        <v>No matching PDF; review after skip</v>
      </c>
      <c r="J139" s="22" t="str">
        <f aca="false">"Skip Audit row 139"</f>
        <v>Skip Audit row 139</v>
      </c>
    </row>
    <row r="140" customFormat="false" ht="15" hidden="false" customHeight="false" outlineLevel="0" collapsed="false">
      <c r="A140" s="22" t="str">
        <f aca="false">'Skip Audit'!U140</f>
        <v>Priority 1</v>
      </c>
      <c r="B140" s="22" t="s">
        <v>12988</v>
      </c>
      <c r="C140" s="22" t="str">
        <f aca="false">'Skip Audit'!A140</f>
        <v>SKP-2024-0229</v>
      </c>
      <c r="D140" s="23" t="n">
        <f aca="false">'Skip Audit'!C140</f>
        <v>45529</v>
      </c>
      <c r="E140" s="22" t="str">
        <f aca="false">'Skip Audit'!D140</f>
        <v>WL-02791</v>
      </c>
      <c r="F140" s="22" t="str">
        <f aca="false">'Skip Audit'!E140</f>
        <v>Kyle Jimenez</v>
      </c>
      <c r="G140" s="22" t="str">
        <f aca="false">'Skip Audit'!G140</f>
        <v>SB-0205</v>
      </c>
      <c r="H140" s="22" t="n">
        <v>0</v>
      </c>
      <c r="I140" s="22" t="str">
        <f aca="false">'Skip Audit'!T140</f>
        <v>No matching PDF; review after skip</v>
      </c>
      <c r="J140" s="22" t="str">
        <f aca="false">"Skip Audit row 140"</f>
        <v>Skip Audit row 140</v>
      </c>
    </row>
    <row r="141" customFormat="false" ht="15" hidden="false" customHeight="false" outlineLevel="0" collapsed="false">
      <c r="A141" s="22" t="str">
        <f aca="false">'Skip Audit'!U141</f>
        <v>Priority 1</v>
      </c>
      <c r="B141" s="22" t="s">
        <v>12988</v>
      </c>
      <c r="C141" s="22" t="str">
        <f aca="false">'Skip Audit'!A141</f>
        <v>SKP-2024-0230</v>
      </c>
      <c r="D141" s="23" t="n">
        <f aca="false">'Skip Audit'!C141</f>
        <v>45532</v>
      </c>
      <c r="E141" s="22" t="str">
        <f aca="false">'Skip Audit'!D141</f>
        <v>WL-01998</v>
      </c>
      <c r="F141" s="22" t="str">
        <f aca="false">'Skip Audit'!E141</f>
        <v>Katherine Johnson</v>
      </c>
      <c r="G141" s="22" t="str">
        <f aca="false">'Skip Audit'!G141</f>
        <v>EW-0118</v>
      </c>
      <c r="H141" s="22" t="n">
        <v>0</v>
      </c>
      <c r="I141" s="22" t="str">
        <f aca="false">'Skip Audit'!T141</f>
        <v>No matching PDF</v>
      </c>
      <c r="J141" s="22" t="str">
        <f aca="false">"Skip Audit row 141"</f>
        <v>Skip Audit row 141</v>
      </c>
    </row>
    <row r="142" customFormat="false" ht="15" hidden="false" customHeight="false" outlineLevel="0" collapsed="false">
      <c r="A142" s="22" t="str">
        <f aca="false">'Skip Audit'!U142</f>
        <v>Priority 1</v>
      </c>
      <c r="B142" s="22" t="s">
        <v>12988</v>
      </c>
      <c r="C142" s="22" t="str">
        <f aca="false">'Skip Audit'!A142</f>
        <v>SKP-2024-0231</v>
      </c>
      <c r="D142" s="23" t="n">
        <f aca="false">'Skip Audit'!C142</f>
        <v>45508</v>
      </c>
      <c r="E142" s="22" t="str">
        <f aca="false">'Skip Audit'!D142</f>
        <v>WL-02925</v>
      </c>
      <c r="F142" s="22" t="str">
        <f aca="false">'Skip Audit'!E142</f>
        <v>Leslie Marsh</v>
      </c>
      <c r="G142" s="22" t="str">
        <f aca="false">'Skip Audit'!G142</f>
        <v>EW-0324</v>
      </c>
      <c r="H142" s="22" t="n">
        <v>0</v>
      </c>
      <c r="I142" s="22" t="str">
        <f aca="false">'Skip Audit'!T142</f>
        <v>No matching PDF</v>
      </c>
      <c r="J142" s="22" t="str">
        <f aca="false">"Skip Audit row 142"</f>
        <v>Skip Audit row 142</v>
      </c>
    </row>
    <row r="143" customFormat="false" ht="15" hidden="false" customHeight="false" outlineLevel="0" collapsed="false">
      <c r="A143" s="22" t="str">
        <f aca="false">'Skip Audit'!U143</f>
        <v>Priority 1</v>
      </c>
      <c r="B143" s="22" t="s">
        <v>12988</v>
      </c>
      <c r="C143" s="22" t="str">
        <f aca="false">'Skip Audit'!A143</f>
        <v>SKP-2024-0232</v>
      </c>
      <c r="D143" s="23" t="n">
        <f aca="false">'Skip Audit'!C143</f>
        <v>45536</v>
      </c>
      <c r="E143" s="22" t="str">
        <f aca="false">'Skip Audit'!D143</f>
        <v>WL-03615</v>
      </c>
      <c r="F143" s="22" t="str">
        <f aca="false">'Skip Audit'!E143</f>
        <v>Kathryn Cook</v>
      </c>
      <c r="G143" s="22" t="str">
        <f aca="false">'Skip Audit'!G143</f>
        <v>VB-0518</v>
      </c>
      <c r="H143" s="22" t="n">
        <v>0</v>
      </c>
      <c r="I143" s="22" t="str">
        <f aca="false">'Skip Audit'!T143</f>
        <v>No matching PDF; review after skip</v>
      </c>
      <c r="J143" s="22" t="str">
        <f aca="false">"Skip Audit row 143"</f>
        <v>Skip Audit row 143</v>
      </c>
    </row>
    <row r="144" customFormat="false" ht="15" hidden="false" customHeight="false" outlineLevel="0" collapsed="false">
      <c r="A144" s="22" t="str">
        <f aca="false">'Skip Audit'!U144</f>
        <v>Priority 1</v>
      </c>
      <c r="B144" s="22" t="s">
        <v>12988</v>
      </c>
      <c r="C144" s="22" t="str">
        <f aca="false">'Skip Audit'!A144</f>
        <v>SKP-2024-0233</v>
      </c>
      <c r="D144" s="23" t="n">
        <f aca="false">'Skip Audit'!C144</f>
        <v>45546</v>
      </c>
      <c r="E144" s="22" t="str">
        <f aca="false">'Skip Audit'!D144</f>
        <v>WL-03062</v>
      </c>
      <c r="F144" s="22" t="str">
        <f aca="false">'Skip Audit'!E144</f>
        <v>Donna Garcia</v>
      </c>
      <c r="G144" s="22" t="str">
        <f aca="false">'Skip Audit'!G144</f>
        <v>LP-0303</v>
      </c>
      <c r="H144" s="22" t="n">
        <v>0</v>
      </c>
      <c r="I144" s="22" t="str">
        <f aca="false">'Skip Audit'!T144</f>
        <v>No matching PDF; review after skip</v>
      </c>
      <c r="J144" s="22" t="str">
        <f aca="false">"Skip Audit row 144"</f>
        <v>Skip Audit row 144</v>
      </c>
    </row>
    <row r="145" customFormat="false" ht="15" hidden="false" customHeight="false" outlineLevel="0" collapsed="false">
      <c r="A145" s="22" t="str">
        <f aca="false">'Skip Audit'!U145</f>
        <v>Priority 1</v>
      </c>
      <c r="B145" s="22" t="s">
        <v>12988</v>
      </c>
      <c r="C145" s="22" t="str">
        <f aca="false">'Skip Audit'!A145</f>
        <v>SKP-2024-0234</v>
      </c>
      <c r="D145" s="23" t="n">
        <f aca="false">'Skip Audit'!C145</f>
        <v>45542</v>
      </c>
      <c r="E145" s="22" t="str">
        <f aca="false">'Skip Audit'!D145</f>
        <v>WL-01779</v>
      </c>
      <c r="F145" s="22" t="str">
        <f aca="false">'Skip Audit'!E145</f>
        <v>Christy Burke</v>
      </c>
      <c r="G145" s="22" t="str">
        <f aca="false">'Skip Audit'!G145</f>
        <v>SB-0313</v>
      </c>
      <c r="H145" s="22" t="n">
        <v>0</v>
      </c>
      <c r="I145" s="22" t="str">
        <f aca="false">'Skip Audit'!T145</f>
        <v>No matching PDF; review after skip</v>
      </c>
      <c r="J145" s="22" t="str">
        <f aca="false">"Skip Audit row 145"</f>
        <v>Skip Audit row 145</v>
      </c>
    </row>
    <row r="146" customFormat="false" ht="15" hidden="false" customHeight="false" outlineLevel="0" collapsed="false">
      <c r="A146" s="22" t="str">
        <f aca="false">'Skip Audit'!U146</f>
        <v>Priority 1</v>
      </c>
      <c r="B146" s="22" t="s">
        <v>12988</v>
      </c>
      <c r="C146" s="22" t="str">
        <f aca="false">'Skip Audit'!A146</f>
        <v>SKP-2024-0235</v>
      </c>
      <c r="D146" s="23" t="n">
        <f aca="false">'Skip Audit'!C146</f>
        <v>45536</v>
      </c>
      <c r="E146" s="22" t="str">
        <f aca="false">'Skip Audit'!D146</f>
        <v>WL-03228</v>
      </c>
      <c r="F146" s="22" t="str">
        <f aca="false">'Skip Audit'!E146</f>
        <v>Roy Stuart</v>
      </c>
      <c r="G146" s="22" t="str">
        <f aca="false">'Skip Audit'!G146</f>
        <v>EW-0319</v>
      </c>
      <c r="H146" s="22" t="n">
        <v>0</v>
      </c>
      <c r="I146" s="22" t="str">
        <f aca="false">'Skip Audit'!T146</f>
        <v>No matching PDF; review after skip</v>
      </c>
      <c r="J146" s="22" t="str">
        <f aca="false">"Skip Audit row 146"</f>
        <v>Skip Audit row 146</v>
      </c>
    </row>
    <row r="147" customFormat="false" ht="15" hidden="false" customHeight="false" outlineLevel="0" collapsed="false">
      <c r="A147" s="22" t="str">
        <f aca="false">'Skip Audit'!U147</f>
        <v>Priority 1</v>
      </c>
      <c r="B147" s="22" t="s">
        <v>12988</v>
      </c>
      <c r="C147" s="22" t="str">
        <f aca="false">'Skip Audit'!A147</f>
        <v>SKP-2024-0236</v>
      </c>
      <c r="D147" s="23" t="n">
        <f aca="false">'Skip Audit'!C147</f>
        <v>45545</v>
      </c>
      <c r="E147" s="22" t="str">
        <f aca="false">'Skip Audit'!D147</f>
        <v>WL-03479</v>
      </c>
      <c r="F147" s="22" t="str">
        <f aca="false">'Skip Audit'!E147</f>
        <v>Brittney Daugherty</v>
      </c>
      <c r="G147" s="22" t="str">
        <f aca="false">'Skip Audit'!G147</f>
        <v>SB-0607</v>
      </c>
      <c r="H147" s="22" t="n">
        <v>0</v>
      </c>
      <c r="I147" s="22" t="str">
        <f aca="false">'Skip Audit'!T147</f>
        <v>No matching PDF; review after skip</v>
      </c>
      <c r="J147" s="22" t="str">
        <f aca="false">"Skip Audit row 147"</f>
        <v>Skip Audit row 147</v>
      </c>
    </row>
    <row r="148" customFormat="false" ht="15" hidden="false" customHeight="false" outlineLevel="0" collapsed="false">
      <c r="A148" s="22" t="str">
        <f aca="false">'Skip Audit'!U148</f>
        <v>Priority 1</v>
      </c>
      <c r="B148" s="22" t="s">
        <v>12988</v>
      </c>
      <c r="C148" s="22" t="str">
        <f aca="false">'Skip Audit'!A148</f>
        <v>SKP-2024-0237</v>
      </c>
      <c r="D148" s="23" t="n">
        <f aca="false">'Skip Audit'!C148</f>
        <v>45549</v>
      </c>
      <c r="E148" s="22" t="str">
        <f aca="false">'Skip Audit'!D148</f>
        <v>WL-02574</v>
      </c>
      <c r="F148" s="22" t="str">
        <f aca="false">'Skip Audit'!E148</f>
        <v>Elizabeth Larsen</v>
      </c>
      <c r="G148" s="22" t="str">
        <f aca="false">'Skip Audit'!G148</f>
        <v>SB-0403</v>
      </c>
      <c r="H148" s="22" t="n">
        <v>0</v>
      </c>
      <c r="I148" s="22" t="str">
        <f aca="false">'Skip Audit'!T148</f>
        <v>No matching PDF</v>
      </c>
      <c r="J148" s="22" t="str">
        <f aca="false">"Skip Audit row 148"</f>
        <v>Skip Audit row 148</v>
      </c>
    </row>
    <row r="149" customFormat="false" ht="15" hidden="false" customHeight="false" outlineLevel="0" collapsed="false">
      <c r="A149" s="22" t="str">
        <f aca="false">'Skip Audit'!U149</f>
        <v>Priority 1</v>
      </c>
      <c r="B149" s="22" t="s">
        <v>12988</v>
      </c>
      <c r="C149" s="22" t="str">
        <f aca="false">'Skip Audit'!A149</f>
        <v>SKP-2024-0238</v>
      </c>
      <c r="D149" s="23" t="n">
        <f aca="false">'Skip Audit'!C149</f>
        <v>45545</v>
      </c>
      <c r="E149" s="22" t="str">
        <f aca="false">'Skip Audit'!D149</f>
        <v>WL-02336</v>
      </c>
      <c r="F149" s="22" t="str">
        <f aca="false">'Skip Audit'!E149</f>
        <v>Jimmy Ford</v>
      </c>
      <c r="G149" s="22" t="str">
        <f aca="false">'Skip Audit'!G149</f>
        <v>VB-0517</v>
      </c>
      <c r="H149" s="22" t="n">
        <v>0</v>
      </c>
      <c r="I149" s="22" t="str">
        <f aca="false">'Skip Audit'!T149</f>
        <v>No matching PDF</v>
      </c>
      <c r="J149" s="22" t="str">
        <f aca="false">"Skip Audit row 149"</f>
        <v>Skip Audit row 149</v>
      </c>
    </row>
    <row r="150" customFormat="false" ht="15" hidden="false" customHeight="false" outlineLevel="0" collapsed="false">
      <c r="A150" s="22" t="str">
        <f aca="false">'Skip Audit'!U150</f>
        <v>Priority 1</v>
      </c>
      <c r="B150" s="22" t="s">
        <v>12988</v>
      </c>
      <c r="C150" s="22" t="str">
        <f aca="false">'Skip Audit'!A150</f>
        <v>SKP-2024-0239</v>
      </c>
      <c r="D150" s="23" t="n">
        <f aca="false">'Skip Audit'!C150</f>
        <v>45537</v>
      </c>
      <c r="E150" s="22" t="str">
        <f aca="false">'Skip Audit'!D150</f>
        <v>WL-01504</v>
      </c>
      <c r="F150" s="22" t="str">
        <f aca="false">'Skip Audit'!E150</f>
        <v>Margaret Johnson</v>
      </c>
      <c r="G150" s="22" t="str">
        <f aca="false">'Skip Audit'!G150</f>
        <v>VB-0223</v>
      </c>
      <c r="H150" s="22" t="n">
        <v>0</v>
      </c>
      <c r="I150" s="22" t="str">
        <f aca="false">'Skip Audit'!T150</f>
        <v>No matching PDF</v>
      </c>
      <c r="J150" s="22" t="str">
        <f aca="false">"Skip Audit row 150"</f>
        <v>Skip Audit row 150</v>
      </c>
    </row>
    <row r="151" customFormat="false" ht="15" hidden="false" customHeight="false" outlineLevel="0" collapsed="false">
      <c r="A151" s="22" t="str">
        <f aca="false">'Skip Audit'!U151</f>
        <v>Priority 1</v>
      </c>
      <c r="B151" s="22" t="s">
        <v>12988</v>
      </c>
      <c r="C151" s="22" t="str">
        <f aca="false">'Skip Audit'!A151</f>
        <v>SKP-2024-0240</v>
      </c>
      <c r="D151" s="23" t="n">
        <f aca="false">'Skip Audit'!C151</f>
        <v>45560</v>
      </c>
      <c r="E151" s="22" t="str">
        <f aca="false">'Skip Audit'!D151</f>
        <v>WL-01718</v>
      </c>
      <c r="F151" s="22" t="str">
        <f aca="false">'Skip Audit'!E151</f>
        <v>Christopher Welch</v>
      </c>
      <c r="G151" s="22" t="str">
        <f aca="false">'Skip Audit'!G151</f>
        <v>SB-0821</v>
      </c>
      <c r="H151" s="22" t="n">
        <v>0</v>
      </c>
      <c r="I151" s="22" t="str">
        <f aca="false">'Skip Audit'!T151</f>
        <v>No matching PDF; review after skip</v>
      </c>
      <c r="J151" s="22" t="str">
        <f aca="false">"Skip Audit row 151"</f>
        <v>Skip Audit row 151</v>
      </c>
    </row>
    <row r="152" customFormat="false" ht="15" hidden="false" customHeight="false" outlineLevel="0" collapsed="false">
      <c r="A152" s="22" t="str">
        <f aca="false">'Skip Audit'!U152</f>
        <v>Priority 1</v>
      </c>
      <c r="B152" s="22" t="s">
        <v>12988</v>
      </c>
      <c r="C152" s="22" t="str">
        <f aca="false">'Skip Audit'!A152</f>
        <v>SKP-2024-0241</v>
      </c>
      <c r="D152" s="23" t="n">
        <f aca="false">'Skip Audit'!C152</f>
        <v>45591</v>
      </c>
      <c r="E152" s="22" t="str">
        <f aca="false">'Skip Audit'!D152</f>
        <v>WL-01026</v>
      </c>
      <c r="F152" s="22" t="str">
        <f aca="false">'Skip Audit'!E152</f>
        <v>Dawn Jacobs</v>
      </c>
      <c r="G152" s="22" t="str">
        <f aca="false">'Skip Audit'!G152</f>
        <v>SB-0214</v>
      </c>
      <c r="H152" s="22" t="n">
        <v>0</v>
      </c>
      <c r="I152" s="22" t="str">
        <f aca="false">'Skip Audit'!T152</f>
        <v>No matching PDF; review after skip</v>
      </c>
      <c r="J152" s="22" t="str">
        <f aca="false">"Skip Audit row 152"</f>
        <v>Skip Audit row 152</v>
      </c>
    </row>
    <row r="153" customFormat="false" ht="15" hidden="false" customHeight="false" outlineLevel="0" collapsed="false">
      <c r="A153" s="22" t="str">
        <f aca="false">'Skip Audit'!U153</f>
        <v>Priority 1</v>
      </c>
      <c r="B153" s="22" t="s">
        <v>12988</v>
      </c>
      <c r="C153" s="22" t="str">
        <f aca="false">'Skip Audit'!A153</f>
        <v>SKP-2024-0242</v>
      </c>
      <c r="D153" s="23" t="n">
        <f aca="false">'Skip Audit'!C153</f>
        <v>45586</v>
      </c>
      <c r="E153" s="22" t="str">
        <f aca="false">'Skip Audit'!D153</f>
        <v>WL-03831</v>
      </c>
      <c r="F153" s="22" t="str">
        <f aca="false">'Skip Audit'!E153</f>
        <v>Michael Burns</v>
      </c>
      <c r="G153" s="22" t="str">
        <f aca="false">'Skip Audit'!G153</f>
        <v>EW-1022</v>
      </c>
      <c r="H153" s="22" t="n">
        <v>0</v>
      </c>
      <c r="I153" s="22" t="str">
        <f aca="false">'Skip Audit'!T153</f>
        <v>No matching PDF</v>
      </c>
      <c r="J153" s="22" t="str">
        <f aca="false">"Skip Audit row 153"</f>
        <v>Skip Audit row 153</v>
      </c>
    </row>
    <row r="154" customFormat="false" ht="15" hidden="false" customHeight="false" outlineLevel="0" collapsed="false">
      <c r="A154" s="22" t="str">
        <f aca="false">'Skip Audit'!U154</f>
        <v>Priority 1</v>
      </c>
      <c r="B154" s="22" t="s">
        <v>12988</v>
      </c>
      <c r="C154" s="22" t="str">
        <f aca="false">'Skip Audit'!A154</f>
        <v>SKP-2024-0243</v>
      </c>
      <c r="D154" s="23" t="n">
        <f aca="false">'Skip Audit'!C154</f>
        <v>45586</v>
      </c>
      <c r="E154" s="22" t="str">
        <f aca="false">'Skip Audit'!D154</f>
        <v>WL-01264</v>
      </c>
      <c r="F154" s="22" t="str">
        <f aca="false">'Skip Audit'!E154</f>
        <v>Jeffery Lewis</v>
      </c>
      <c r="G154" s="22" t="str">
        <f aca="false">'Skip Audit'!G154</f>
        <v>VB-0917</v>
      </c>
      <c r="H154" s="22" t="n">
        <v>0</v>
      </c>
      <c r="I154" s="22" t="str">
        <f aca="false">'Skip Audit'!T154</f>
        <v>No matching PDF; review after skip</v>
      </c>
      <c r="J154" s="22" t="str">
        <f aca="false">"Skip Audit row 154"</f>
        <v>Skip Audit row 154</v>
      </c>
    </row>
    <row r="155" customFormat="false" ht="15" hidden="false" customHeight="false" outlineLevel="0" collapsed="false">
      <c r="A155" s="22" t="str">
        <f aca="false">'Skip Audit'!U155</f>
        <v>Priority 1</v>
      </c>
      <c r="B155" s="22" t="s">
        <v>12988</v>
      </c>
      <c r="C155" s="22" t="str">
        <f aca="false">'Skip Audit'!A155</f>
        <v>SKP-2024-0244</v>
      </c>
      <c r="D155" s="23" t="n">
        <f aca="false">'Skip Audit'!C155</f>
        <v>45590</v>
      </c>
      <c r="E155" s="22" t="str">
        <f aca="false">'Skip Audit'!D155</f>
        <v>WL-03708</v>
      </c>
      <c r="F155" s="22" t="str">
        <f aca="false">'Skip Audit'!E155</f>
        <v>Catherine Anderson</v>
      </c>
      <c r="G155" s="22" t="str">
        <f aca="false">'Skip Audit'!G155</f>
        <v>GW-0813</v>
      </c>
      <c r="H155" s="22" t="n">
        <v>0</v>
      </c>
      <c r="I155" s="22" t="str">
        <f aca="false">'Skip Audit'!T155</f>
        <v>No matching PDF; review after skip</v>
      </c>
      <c r="J155" s="22" t="str">
        <f aca="false">"Skip Audit row 155"</f>
        <v>Skip Audit row 155</v>
      </c>
    </row>
    <row r="156" customFormat="false" ht="15" hidden="false" customHeight="false" outlineLevel="0" collapsed="false">
      <c r="A156" s="22" t="str">
        <f aca="false">'Skip Audit'!U156</f>
        <v>Priority 1</v>
      </c>
      <c r="B156" s="22" t="s">
        <v>12988</v>
      </c>
      <c r="C156" s="22" t="str">
        <f aca="false">'Skip Audit'!A156</f>
        <v>SKP-2024-0245</v>
      </c>
      <c r="D156" s="23" t="n">
        <f aca="false">'Skip Audit'!C156</f>
        <v>45592</v>
      </c>
      <c r="E156" s="22" t="str">
        <f aca="false">'Skip Audit'!D156</f>
        <v>WL-03808</v>
      </c>
      <c r="F156" s="22" t="str">
        <f aca="false">'Skip Audit'!E156</f>
        <v>Julie Peterson</v>
      </c>
      <c r="G156" s="22" t="str">
        <f aca="false">'Skip Audit'!G156</f>
        <v>VB-0601</v>
      </c>
      <c r="H156" s="22" t="n">
        <v>0</v>
      </c>
      <c r="I156" s="22" t="str">
        <f aca="false">'Skip Audit'!T156</f>
        <v>No matching PDF; review after skip</v>
      </c>
      <c r="J156" s="22" t="str">
        <f aca="false">"Skip Audit row 156"</f>
        <v>Skip Audit row 156</v>
      </c>
    </row>
    <row r="157" customFormat="false" ht="15" hidden="false" customHeight="false" outlineLevel="0" collapsed="false">
      <c r="A157" s="22" t="str">
        <f aca="false">'Skip Audit'!U157</f>
        <v>Priority 1</v>
      </c>
      <c r="B157" s="22" t="s">
        <v>12988</v>
      </c>
      <c r="C157" s="22" t="str">
        <f aca="false">'Skip Audit'!A157</f>
        <v>SKP-2024-0246</v>
      </c>
      <c r="D157" s="23" t="n">
        <f aca="false">'Skip Audit'!C157</f>
        <v>45580</v>
      </c>
      <c r="E157" s="22" t="str">
        <f aca="false">'Skip Audit'!D157</f>
        <v>WL-01269</v>
      </c>
      <c r="F157" s="22" t="str">
        <f aca="false">'Skip Audit'!E157</f>
        <v>Patricia Bennett</v>
      </c>
      <c r="G157" s="22" t="str">
        <f aca="false">'Skip Audit'!G157</f>
        <v>VB-0306</v>
      </c>
      <c r="H157" s="22" t="n">
        <v>0</v>
      </c>
      <c r="I157" s="22" t="str">
        <f aca="false">'Skip Audit'!T157</f>
        <v>No matching PDF; review after skip</v>
      </c>
      <c r="J157" s="22" t="str">
        <f aca="false">"Skip Audit row 157"</f>
        <v>Skip Audit row 157</v>
      </c>
    </row>
    <row r="158" customFormat="false" ht="15" hidden="false" customHeight="false" outlineLevel="0" collapsed="false">
      <c r="A158" s="22" t="str">
        <f aca="false">'Skip Audit'!U158</f>
        <v>Priority 1</v>
      </c>
      <c r="B158" s="22" t="s">
        <v>12988</v>
      </c>
      <c r="C158" s="22" t="str">
        <f aca="false">'Skip Audit'!A158</f>
        <v>SKP-2024-0247</v>
      </c>
      <c r="D158" s="23" t="n">
        <f aca="false">'Skip Audit'!C158</f>
        <v>45585</v>
      </c>
      <c r="E158" s="22" t="str">
        <f aca="false">'Skip Audit'!D158</f>
        <v>WL-03733</v>
      </c>
      <c r="F158" s="22" t="str">
        <f aca="false">'Skip Audit'!E158</f>
        <v>Theresa Richmond</v>
      </c>
      <c r="G158" s="22" t="str">
        <f aca="false">'Skip Audit'!G158</f>
        <v>GW-0814</v>
      </c>
      <c r="H158" s="22" t="n">
        <v>0</v>
      </c>
      <c r="I158" s="22" t="str">
        <f aca="false">'Skip Audit'!T158</f>
        <v>No matching PDF; review after skip</v>
      </c>
      <c r="J158" s="22" t="str">
        <f aca="false">"Skip Audit row 158"</f>
        <v>Skip Audit row 158</v>
      </c>
    </row>
    <row r="159" customFormat="false" ht="15" hidden="false" customHeight="false" outlineLevel="0" collapsed="false">
      <c r="A159" s="22" t="str">
        <f aca="false">'Skip Audit'!U159</f>
        <v>Priority 1</v>
      </c>
      <c r="B159" s="22" t="s">
        <v>12988</v>
      </c>
      <c r="C159" s="22" t="str">
        <f aca="false">'Skip Audit'!A159</f>
        <v>SKP-2024-0248</v>
      </c>
      <c r="D159" s="23" t="n">
        <f aca="false">'Skip Audit'!C159</f>
        <v>45618</v>
      </c>
      <c r="E159" s="22" t="str">
        <f aca="false">'Skip Audit'!D159</f>
        <v>WL-02139</v>
      </c>
      <c r="F159" s="22" t="str">
        <f aca="false">'Skip Audit'!E159</f>
        <v>Jennifer Anderson</v>
      </c>
      <c r="G159" s="22" t="str">
        <f aca="false">'Skip Audit'!G159</f>
        <v>LP-0215</v>
      </c>
      <c r="H159" s="22" t="n">
        <v>0</v>
      </c>
      <c r="I159" s="22" t="str">
        <f aca="false">'Skip Audit'!T159</f>
        <v>No matching PDF; review after skip</v>
      </c>
      <c r="J159" s="22" t="str">
        <f aca="false">"Skip Audit row 159"</f>
        <v>Skip Audit row 159</v>
      </c>
    </row>
    <row r="160" customFormat="false" ht="15" hidden="false" customHeight="false" outlineLevel="0" collapsed="false">
      <c r="A160" s="22" t="str">
        <f aca="false">'Skip Audit'!U160</f>
        <v>Priority 1</v>
      </c>
      <c r="B160" s="22" t="s">
        <v>12988</v>
      </c>
      <c r="C160" s="22" t="str">
        <f aca="false">'Skip Audit'!A160</f>
        <v>SKP-2024-0249</v>
      </c>
      <c r="D160" s="23" t="n">
        <f aca="false">'Skip Audit'!C160</f>
        <v>45613</v>
      </c>
      <c r="E160" s="22" t="str">
        <f aca="false">'Skip Audit'!D160</f>
        <v>WL-02598</v>
      </c>
      <c r="F160" s="22" t="str">
        <f aca="false">'Skip Audit'!E160</f>
        <v>Nicole Rubio</v>
      </c>
      <c r="G160" s="22" t="str">
        <f aca="false">'Skip Audit'!G160</f>
        <v>GW-0902</v>
      </c>
      <c r="H160" s="22" t="n">
        <v>0</v>
      </c>
      <c r="I160" s="22" t="str">
        <f aca="false">'Skip Audit'!T160</f>
        <v>No matching PDF</v>
      </c>
      <c r="J160" s="22" t="str">
        <f aca="false">"Skip Audit row 160"</f>
        <v>Skip Audit row 160</v>
      </c>
    </row>
    <row r="161" customFormat="false" ht="15" hidden="false" customHeight="false" outlineLevel="0" collapsed="false">
      <c r="A161" s="22" t="str">
        <f aca="false">'Skip Audit'!U161</f>
        <v>Priority 1</v>
      </c>
      <c r="B161" s="22" t="s">
        <v>12988</v>
      </c>
      <c r="C161" s="22" t="str">
        <f aca="false">'Skip Audit'!A161</f>
        <v>SKP-2024-0250</v>
      </c>
      <c r="D161" s="23" t="n">
        <f aca="false">'Skip Audit'!C161</f>
        <v>45619</v>
      </c>
      <c r="E161" s="22" t="str">
        <f aca="false">'Skip Audit'!D161</f>
        <v>WL-01832</v>
      </c>
      <c r="F161" s="22" t="str">
        <f aca="false">'Skip Audit'!E161</f>
        <v>Bryan Spencer</v>
      </c>
      <c r="G161" s="22" t="str">
        <f aca="false">'Skip Audit'!G161</f>
        <v>VB-0222</v>
      </c>
      <c r="H161" s="22" t="n">
        <v>0</v>
      </c>
      <c r="I161" s="22" t="str">
        <f aca="false">'Skip Audit'!T161</f>
        <v>No matching PDF; review after skip</v>
      </c>
      <c r="J161" s="22" t="str">
        <f aca="false">"Skip Audit row 161"</f>
        <v>Skip Audit row 161</v>
      </c>
    </row>
    <row r="162" customFormat="false" ht="15" hidden="false" customHeight="false" outlineLevel="0" collapsed="false">
      <c r="A162" s="22" t="str">
        <f aca="false">'Skip Audit'!U162</f>
        <v>Priority 1</v>
      </c>
      <c r="B162" s="22" t="s">
        <v>12988</v>
      </c>
      <c r="C162" s="22" t="str">
        <f aca="false">'Skip Audit'!A162</f>
        <v>SKP-2024-0251</v>
      </c>
      <c r="D162" s="23" t="n">
        <f aca="false">'Skip Audit'!C162</f>
        <v>45599</v>
      </c>
      <c r="E162" s="22" t="str">
        <f aca="false">'Skip Audit'!D162</f>
        <v>WL-03857</v>
      </c>
      <c r="F162" s="22" t="str">
        <f aca="false">'Skip Audit'!E162</f>
        <v>Catherine Davis</v>
      </c>
      <c r="G162" s="22" t="str">
        <f aca="false">'Skip Audit'!G162</f>
        <v>SB-0407</v>
      </c>
      <c r="H162" s="22" t="n">
        <v>0</v>
      </c>
      <c r="I162" s="22" t="str">
        <f aca="false">'Skip Audit'!T162</f>
        <v>No matching PDF; review after skip</v>
      </c>
      <c r="J162" s="22" t="str">
        <f aca="false">"Skip Audit row 162"</f>
        <v>Skip Audit row 162</v>
      </c>
    </row>
    <row r="163" customFormat="false" ht="15" hidden="false" customHeight="false" outlineLevel="0" collapsed="false">
      <c r="A163" s="22" t="str">
        <f aca="false">'Skip Audit'!U163</f>
        <v>Priority 1</v>
      </c>
      <c r="B163" s="22" t="s">
        <v>12988</v>
      </c>
      <c r="C163" s="22" t="str">
        <f aca="false">'Skip Audit'!A163</f>
        <v>SKP-2024-0252</v>
      </c>
      <c r="D163" s="23" t="n">
        <f aca="false">'Skip Audit'!C163</f>
        <v>45639</v>
      </c>
      <c r="E163" s="22" t="str">
        <f aca="false">'Skip Audit'!D163</f>
        <v>WL-02412</v>
      </c>
      <c r="F163" s="22" t="str">
        <f aca="false">'Skip Audit'!E163</f>
        <v>Laura David</v>
      </c>
      <c r="G163" s="22" t="str">
        <f aca="false">'Skip Audit'!G163</f>
        <v>GW-0201</v>
      </c>
      <c r="H163" s="22" t="n">
        <v>0</v>
      </c>
      <c r="I163" s="22" t="str">
        <f aca="false">'Skip Audit'!T163</f>
        <v>No matching PDF; review after skip</v>
      </c>
      <c r="J163" s="22" t="str">
        <f aca="false">"Skip Audit row 163"</f>
        <v>Skip Audit row 163</v>
      </c>
    </row>
    <row r="164" customFormat="false" ht="15" hidden="false" customHeight="false" outlineLevel="0" collapsed="false">
      <c r="A164" s="22" t="str">
        <f aca="false">'Skip Audit'!U164</f>
        <v>Priority 1</v>
      </c>
      <c r="B164" s="22" t="s">
        <v>12988</v>
      </c>
      <c r="C164" s="22" t="str">
        <f aca="false">'Skip Audit'!A164</f>
        <v>SKP-2024-0253</v>
      </c>
      <c r="D164" s="23" t="n">
        <f aca="false">'Skip Audit'!C164</f>
        <v>45650</v>
      </c>
      <c r="E164" s="22" t="str">
        <f aca="false">'Skip Audit'!D164</f>
        <v>WL-03079</v>
      </c>
      <c r="F164" s="22" t="str">
        <f aca="false">'Skip Audit'!E164</f>
        <v>Crystal Glover</v>
      </c>
      <c r="G164" s="22" t="str">
        <f aca="false">'Skip Audit'!G164</f>
        <v>SB-0106</v>
      </c>
      <c r="H164" s="22" t="n">
        <v>0</v>
      </c>
      <c r="I164" s="22" t="str">
        <f aca="false">'Skip Audit'!T164</f>
        <v>No matching PDF; review after skip</v>
      </c>
      <c r="J164" s="22" t="str">
        <f aca="false">"Skip Audit row 164"</f>
        <v>Skip Audit row 164</v>
      </c>
    </row>
    <row r="165" customFormat="false" ht="15" hidden="false" customHeight="false" outlineLevel="0" collapsed="false">
      <c r="A165" s="22" t="str">
        <f aca="false">'Skip Audit'!U165</f>
        <v>Priority 1</v>
      </c>
      <c r="B165" s="22" t="s">
        <v>12988</v>
      </c>
      <c r="C165" s="22" t="str">
        <f aca="false">'Skip Audit'!A165</f>
        <v>SKP-2024-0254</v>
      </c>
      <c r="D165" s="23" t="n">
        <f aca="false">'Skip Audit'!C165</f>
        <v>45637</v>
      </c>
      <c r="E165" s="22" t="str">
        <f aca="false">'Skip Audit'!D165</f>
        <v>WL-03294</v>
      </c>
      <c r="F165" s="22" t="str">
        <f aca="false">'Skip Audit'!E165</f>
        <v>Megan Nguyen</v>
      </c>
      <c r="G165" s="22" t="str">
        <f aca="false">'Skip Audit'!G165</f>
        <v>LP-0102</v>
      </c>
      <c r="H165" s="22" t="n">
        <v>0</v>
      </c>
      <c r="I165" s="22" t="str">
        <f aca="false">'Skip Audit'!T165</f>
        <v>No matching PDF</v>
      </c>
      <c r="J165" s="22" t="str">
        <f aca="false">"Skip Audit row 165"</f>
        <v>Skip Audit row 165</v>
      </c>
    </row>
    <row r="166" customFormat="false" ht="15" hidden="false" customHeight="false" outlineLevel="0" collapsed="false">
      <c r="A166" s="22" t="str">
        <f aca="false">'Skip Audit'!U166</f>
        <v>Priority 1</v>
      </c>
      <c r="B166" s="22" t="s">
        <v>12988</v>
      </c>
      <c r="C166" s="22" t="str">
        <f aca="false">'Skip Audit'!A166</f>
        <v>SKP-2024-0255</v>
      </c>
      <c r="D166" s="23" t="n">
        <f aca="false">'Skip Audit'!C166</f>
        <v>45648</v>
      </c>
      <c r="E166" s="22" t="str">
        <f aca="false">'Skip Audit'!D166</f>
        <v>WL-01844</v>
      </c>
      <c r="F166" s="22" t="str">
        <f aca="false">'Skip Audit'!E166</f>
        <v>Jeffrey Pearson</v>
      </c>
      <c r="G166" s="22" t="str">
        <f aca="false">'Skip Audit'!G166</f>
        <v>EW-0519</v>
      </c>
      <c r="H166" s="22" t="n">
        <v>0</v>
      </c>
      <c r="I166" s="22" t="str">
        <f aca="false">'Skip Audit'!T166</f>
        <v>No matching PDF; review after skip</v>
      </c>
      <c r="J166" s="22" t="str">
        <f aca="false">"Skip Audit row 166"</f>
        <v>Skip Audit row 166</v>
      </c>
    </row>
    <row r="167" customFormat="false" ht="15" hidden="false" customHeight="false" outlineLevel="0" collapsed="false">
      <c r="A167" s="22" t="str">
        <f aca="false">'Skip Audit'!U167</f>
        <v>Priority 1</v>
      </c>
      <c r="B167" s="22" t="s">
        <v>12988</v>
      </c>
      <c r="C167" s="22" t="str">
        <f aca="false">'Skip Audit'!A167</f>
        <v>SKP-2024-0256</v>
      </c>
      <c r="D167" s="23" t="n">
        <f aca="false">'Skip Audit'!C167</f>
        <v>45644</v>
      </c>
      <c r="E167" s="22" t="str">
        <f aca="false">'Skip Audit'!D167</f>
        <v>WL-02923</v>
      </c>
      <c r="F167" s="22" t="str">
        <f aca="false">'Skip Audit'!E167</f>
        <v>Randall Cummings</v>
      </c>
      <c r="G167" s="22" t="str">
        <f aca="false">'Skip Audit'!G167</f>
        <v>LP-0822</v>
      </c>
      <c r="H167" s="22" t="n">
        <v>0</v>
      </c>
      <c r="I167" s="22" t="str">
        <f aca="false">'Skip Audit'!T167</f>
        <v>No matching PDF</v>
      </c>
      <c r="J167" s="22" t="str">
        <f aca="false">"Skip Audit row 167"</f>
        <v>Skip Audit row 167</v>
      </c>
    </row>
    <row r="168" customFormat="false" ht="15" hidden="false" customHeight="false" outlineLevel="0" collapsed="false">
      <c r="A168" s="22" t="str">
        <f aca="false">'Skip Audit'!U168</f>
        <v>Priority 1</v>
      </c>
      <c r="B168" s="22" t="s">
        <v>12988</v>
      </c>
      <c r="C168" s="22" t="str">
        <f aca="false">'Skip Audit'!A168</f>
        <v>SKP-2025-0257</v>
      </c>
      <c r="D168" s="23" t="n">
        <f aca="false">'Skip Audit'!C168</f>
        <v>45672</v>
      </c>
      <c r="E168" s="22" t="str">
        <f aca="false">'Skip Audit'!D168</f>
        <v>WL-03628</v>
      </c>
      <c r="F168" s="22" t="str">
        <f aca="false">'Skip Audit'!E168</f>
        <v>Makayla Johnson</v>
      </c>
      <c r="G168" s="22" t="str">
        <f aca="false">'Skip Audit'!G168</f>
        <v>LP-0715</v>
      </c>
      <c r="H168" s="22" t="n">
        <v>0</v>
      </c>
      <c r="I168" s="22" t="str">
        <f aca="false">'Skip Audit'!T168</f>
        <v>No matching PDF</v>
      </c>
      <c r="J168" s="22" t="str">
        <f aca="false">"Skip Audit row 168"</f>
        <v>Skip Audit row 168</v>
      </c>
    </row>
    <row r="169" customFormat="false" ht="15" hidden="false" customHeight="false" outlineLevel="0" collapsed="false">
      <c r="A169" s="22" t="str">
        <f aca="false">'Skip Audit'!U169</f>
        <v>Priority 1</v>
      </c>
      <c r="B169" s="22" t="s">
        <v>12988</v>
      </c>
      <c r="C169" s="22" t="str">
        <f aca="false">'Skip Audit'!A169</f>
        <v>SKP-2025-0258</v>
      </c>
      <c r="D169" s="23" t="n">
        <f aca="false">'Skip Audit'!C169</f>
        <v>45674</v>
      </c>
      <c r="E169" s="22" t="str">
        <f aca="false">'Skip Audit'!D169</f>
        <v>WL-01918</v>
      </c>
      <c r="F169" s="22" t="str">
        <f aca="false">'Skip Audit'!E169</f>
        <v>Brittany Barrett</v>
      </c>
      <c r="G169" s="22" t="str">
        <f aca="false">'Skip Audit'!G169</f>
        <v>GW-0517</v>
      </c>
      <c r="H169" s="22" t="n">
        <v>0</v>
      </c>
      <c r="I169" s="22" t="str">
        <f aca="false">'Skip Audit'!T169</f>
        <v>No matching PDF; review after skip</v>
      </c>
      <c r="J169" s="22" t="str">
        <f aca="false">"Skip Audit row 169"</f>
        <v>Skip Audit row 169</v>
      </c>
    </row>
    <row r="170" customFormat="false" ht="15" hidden="false" customHeight="false" outlineLevel="0" collapsed="false">
      <c r="A170" s="22" t="str">
        <f aca="false">'Skip Audit'!U170</f>
        <v>Priority 1</v>
      </c>
      <c r="B170" s="22" t="s">
        <v>12988</v>
      </c>
      <c r="C170" s="22" t="str">
        <f aca="false">'Skip Audit'!A170</f>
        <v>SKP-2025-0259</v>
      </c>
      <c r="D170" s="23" t="n">
        <f aca="false">'Skip Audit'!C170</f>
        <v>45658</v>
      </c>
      <c r="E170" s="22" t="str">
        <f aca="false">'Skip Audit'!D170</f>
        <v>WL-01382</v>
      </c>
      <c r="F170" s="22" t="str">
        <f aca="false">'Skip Audit'!E170</f>
        <v>Jose King</v>
      </c>
      <c r="G170" s="22" t="str">
        <f aca="false">'Skip Audit'!G170</f>
        <v>GW-0908</v>
      </c>
      <c r="H170" s="22" t="n">
        <v>0</v>
      </c>
      <c r="I170" s="22" t="str">
        <f aca="false">'Skip Audit'!T170</f>
        <v>No matching PDF; review after skip</v>
      </c>
      <c r="J170" s="22" t="str">
        <f aca="false">"Skip Audit row 170"</f>
        <v>Skip Audit row 170</v>
      </c>
    </row>
    <row r="171" customFormat="false" ht="15" hidden="false" customHeight="false" outlineLevel="0" collapsed="false">
      <c r="A171" s="22" t="str">
        <f aca="false">'Skip Audit'!U171</f>
        <v>Priority 1</v>
      </c>
      <c r="B171" s="22" t="s">
        <v>12988</v>
      </c>
      <c r="C171" s="22" t="str">
        <f aca="false">'Skip Audit'!A171</f>
        <v>SKP-2025-0260</v>
      </c>
      <c r="D171" s="23" t="n">
        <f aca="false">'Skip Audit'!C171</f>
        <v>45669</v>
      </c>
      <c r="E171" s="22" t="str">
        <f aca="false">'Skip Audit'!D171</f>
        <v>WL-03888</v>
      </c>
      <c r="F171" s="22" t="str">
        <f aca="false">'Skip Audit'!E171</f>
        <v>Christian Garcia</v>
      </c>
      <c r="G171" s="22" t="str">
        <f aca="false">'Skip Audit'!G171</f>
        <v>SB-0603</v>
      </c>
      <c r="H171" s="22" t="n">
        <v>0</v>
      </c>
      <c r="I171" s="22" t="str">
        <f aca="false">'Skip Audit'!T171</f>
        <v>No matching PDF; review after skip</v>
      </c>
      <c r="J171" s="22" t="str">
        <f aca="false">"Skip Audit row 171"</f>
        <v>Skip Audit row 171</v>
      </c>
    </row>
    <row r="172" customFormat="false" ht="15" hidden="false" customHeight="false" outlineLevel="0" collapsed="false">
      <c r="A172" s="22" t="str">
        <f aca="false">'Skip Audit'!U172</f>
        <v>Priority 1</v>
      </c>
      <c r="B172" s="22" t="s">
        <v>12988</v>
      </c>
      <c r="C172" s="22" t="str">
        <f aca="false">'Skip Audit'!A172</f>
        <v>SKP-2025-0261</v>
      </c>
      <c r="D172" s="23" t="n">
        <f aca="false">'Skip Audit'!C172</f>
        <v>45673</v>
      </c>
      <c r="E172" s="22" t="str">
        <f aca="false">'Skip Audit'!D172</f>
        <v>WL-02733</v>
      </c>
      <c r="F172" s="22" t="str">
        <f aca="false">'Skip Audit'!E172</f>
        <v>Tiffany Melendez</v>
      </c>
      <c r="G172" s="22" t="str">
        <f aca="false">'Skip Audit'!G172</f>
        <v>LP-0803</v>
      </c>
      <c r="H172" s="22" t="n">
        <v>0</v>
      </c>
      <c r="I172" s="22" t="str">
        <f aca="false">'Skip Audit'!T172</f>
        <v>No matching PDF; review after skip</v>
      </c>
      <c r="J172" s="22" t="str">
        <f aca="false">"Skip Audit row 172"</f>
        <v>Skip Audit row 172</v>
      </c>
    </row>
    <row r="173" customFormat="false" ht="15" hidden="false" customHeight="false" outlineLevel="0" collapsed="false">
      <c r="A173" s="22" t="str">
        <f aca="false">'Skip Audit'!U173</f>
        <v>Priority 1</v>
      </c>
      <c r="B173" s="22" t="s">
        <v>12988</v>
      </c>
      <c r="C173" s="22" t="str">
        <f aca="false">'Skip Audit'!A173</f>
        <v>SKP-2025-0262</v>
      </c>
      <c r="D173" s="23" t="n">
        <f aca="false">'Skip Audit'!C173</f>
        <v>45708</v>
      </c>
      <c r="E173" s="22" t="str">
        <f aca="false">'Skip Audit'!D173</f>
        <v>WL-03244</v>
      </c>
      <c r="F173" s="22" t="str">
        <f aca="false">'Skip Audit'!E173</f>
        <v>Norma Brown</v>
      </c>
      <c r="G173" s="22" t="str">
        <f aca="false">'Skip Audit'!G173</f>
        <v>EW-1015</v>
      </c>
      <c r="H173" s="22" t="n">
        <v>0</v>
      </c>
      <c r="I173" s="22" t="str">
        <f aca="false">'Skip Audit'!T173</f>
        <v>No matching PDF; review after skip</v>
      </c>
      <c r="J173" s="22" t="str">
        <f aca="false">"Skip Audit row 173"</f>
        <v>Skip Audit row 173</v>
      </c>
    </row>
    <row r="174" customFormat="false" ht="15" hidden="false" customHeight="false" outlineLevel="0" collapsed="false">
      <c r="A174" s="22" t="str">
        <f aca="false">'Skip Audit'!U174</f>
        <v>Priority 1</v>
      </c>
      <c r="B174" s="22" t="s">
        <v>12988</v>
      </c>
      <c r="C174" s="22" t="str">
        <f aca="false">'Skip Audit'!A174</f>
        <v>SKP-2025-0263</v>
      </c>
      <c r="D174" s="23" t="n">
        <f aca="false">'Skip Audit'!C174</f>
        <v>45738</v>
      </c>
      <c r="E174" s="22" t="str">
        <f aca="false">'Skip Audit'!D174</f>
        <v>WL-02067</v>
      </c>
      <c r="F174" s="22" t="str">
        <f aca="false">'Skip Audit'!E174</f>
        <v>Craig Simon</v>
      </c>
      <c r="G174" s="22" t="str">
        <f aca="false">'Skip Audit'!G174</f>
        <v>LP-1107</v>
      </c>
      <c r="H174" s="22" t="n">
        <v>0</v>
      </c>
      <c r="I174" s="22" t="str">
        <f aca="false">'Skip Audit'!T174</f>
        <v>No matching PDF</v>
      </c>
      <c r="J174" s="22" t="str">
        <f aca="false">"Skip Audit row 174"</f>
        <v>Skip Audit row 174</v>
      </c>
    </row>
    <row r="175" customFormat="false" ht="15" hidden="false" customHeight="false" outlineLevel="0" collapsed="false">
      <c r="A175" s="22" t="str">
        <f aca="false">'Skip Audit'!U175</f>
        <v>Priority 1</v>
      </c>
      <c r="B175" s="22" t="s">
        <v>12988</v>
      </c>
      <c r="C175" s="22" t="str">
        <f aca="false">'Skip Audit'!A175</f>
        <v>SKP-2025-0264</v>
      </c>
      <c r="D175" s="23" t="n">
        <f aca="false">'Skip Audit'!C175</f>
        <v>45743</v>
      </c>
      <c r="E175" s="22" t="str">
        <f aca="false">'Skip Audit'!D175</f>
        <v>WL-01523</v>
      </c>
      <c r="F175" s="22" t="str">
        <f aca="false">'Skip Audit'!E175</f>
        <v>Melissa Oneill</v>
      </c>
      <c r="G175" s="22" t="str">
        <f aca="false">'Skip Audit'!G175</f>
        <v>LP-0304</v>
      </c>
      <c r="H175" s="22" t="n">
        <v>0</v>
      </c>
      <c r="I175" s="22" t="str">
        <f aca="false">'Skip Audit'!T175</f>
        <v>No matching PDF; review after skip</v>
      </c>
      <c r="J175" s="22" t="str">
        <f aca="false">"Skip Audit row 175"</f>
        <v>Skip Audit row 175</v>
      </c>
    </row>
    <row r="176" customFormat="false" ht="15" hidden="false" customHeight="false" outlineLevel="0" collapsed="false">
      <c r="A176" s="22" t="str">
        <f aca="false">'Skip Audit'!U176</f>
        <v>Priority 1</v>
      </c>
      <c r="B176" s="22" t="s">
        <v>12988</v>
      </c>
      <c r="C176" s="22" t="str">
        <f aca="false">'Skip Audit'!A176</f>
        <v>SKP-2025-0265</v>
      </c>
      <c r="D176" s="23" t="n">
        <f aca="false">'Skip Audit'!C176</f>
        <v>45728</v>
      </c>
      <c r="E176" s="22" t="str">
        <f aca="false">'Skip Audit'!D176</f>
        <v>WL-03442</v>
      </c>
      <c r="F176" s="22" t="str">
        <f aca="false">'Skip Audit'!E176</f>
        <v>Gary Russo</v>
      </c>
      <c r="G176" s="22" t="str">
        <f aca="false">'Skip Audit'!G176</f>
        <v>SB-0203</v>
      </c>
      <c r="H176" s="22" t="n">
        <v>0</v>
      </c>
      <c r="I176" s="22" t="str">
        <f aca="false">'Skip Audit'!T176</f>
        <v>No matching PDF; review after skip</v>
      </c>
      <c r="J176" s="22" t="str">
        <f aca="false">"Skip Audit row 176"</f>
        <v>Skip Audit row 176</v>
      </c>
    </row>
    <row r="177" customFormat="false" ht="15" hidden="false" customHeight="false" outlineLevel="0" collapsed="false">
      <c r="A177" s="22" t="str">
        <f aca="false">'Skip Audit'!U177</f>
        <v>Priority 1</v>
      </c>
      <c r="B177" s="22" t="s">
        <v>12988</v>
      </c>
      <c r="C177" s="22" t="str">
        <f aca="false">'Skip Audit'!A177</f>
        <v>SKP-2025-0266</v>
      </c>
      <c r="D177" s="23" t="n">
        <f aca="false">'Skip Audit'!C177</f>
        <v>45725</v>
      </c>
      <c r="E177" s="22" t="str">
        <f aca="false">'Skip Audit'!D177</f>
        <v>WL-03604</v>
      </c>
      <c r="F177" s="22" t="str">
        <f aca="false">'Skip Audit'!E177</f>
        <v>Lawrence Rodriguez</v>
      </c>
      <c r="G177" s="22" t="str">
        <f aca="false">'Skip Audit'!G177</f>
        <v>EW-0909</v>
      </c>
      <c r="H177" s="22" t="n">
        <v>0</v>
      </c>
      <c r="I177" s="22" t="str">
        <f aca="false">'Skip Audit'!T177</f>
        <v>No matching PDF; review after skip</v>
      </c>
      <c r="J177" s="22" t="str">
        <f aca="false">"Skip Audit row 177"</f>
        <v>Skip Audit row 177</v>
      </c>
    </row>
    <row r="178" customFormat="false" ht="15" hidden="false" customHeight="false" outlineLevel="0" collapsed="false">
      <c r="A178" s="22" t="str">
        <f aca="false">'Skip Audit'!U178</f>
        <v>Priority 1</v>
      </c>
      <c r="B178" s="22" t="s">
        <v>12988</v>
      </c>
      <c r="C178" s="22" t="str">
        <f aca="false">'Skip Audit'!A178</f>
        <v>SKP-2025-0267</v>
      </c>
      <c r="D178" s="23" t="n">
        <f aca="false">'Skip Audit'!C178</f>
        <v>45717</v>
      </c>
      <c r="E178" s="22" t="str">
        <f aca="false">'Skip Audit'!D178</f>
        <v>WL-03815</v>
      </c>
      <c r="F178" s="22" t="str">
        <f aca="false">'Skip Audit'!E178</f>
        <v>Jacqueline Jones</v>
      </c>
      <c r="G178" s="22" t="str">
        <f aca="false">'Skip Audit'!G178</f>
        <v>LP-0324</v>
      </c>
      <c r="H178" s="22" t="n">
        <v>0</v>
      </c>
      <c r="I178" s="22" t="str">
        <f aca="false">'Skip Audit'!T178</f>
        <v>No matching PDF; review after skip</v>
      </c>
      <c r="J178" s="22" t="str">
        <f aca="false">"Skip Audit row 178"</f>
        <v>Skip Audit row 178</v>
      </c>
    </row>
    <row r="179" customFormat="false" ht="15" hidden="false" customHeight="false" outlineLevel="0" collapsed="false">
      <c r="A179" s="22" t="str">
        <f aca="false">'Skip Audit'!U179</f>
        <v>Priority 1</v>
      </c>
      <c r="B179" s="22" t="s">
        <v>12988</v>
      </c>
      <c r="C179" s="22" t="str">
        <f aca="false">'Skip Audit'!A179</f>
        <v>SKP-2025-0268</v>
      </c>
      <c r="D179" s="23" t="n">
        <f aca="false">'Skip Audit'!C179</f>
        <v>45763</v>
      </c>
      <c r="E179" s="22" t="str">
        <f aca="false">'Skip Audit'!D179</f>
        <v>WL-01578</v>
      </c>
      <c r="F179" s="22" t="str">
        <f aca="false">'Skip Audit'!E179</f>
        <v>Ashley Green</v>
      </c>
      <c r="G179" s="22" t="str">
        <f aca="false">'Skip Audit'!G179</f>
        <v>LP-1108</v>
      </c>
      <c r="H179" s="22" t="n">
        <v>0</v>
      </c>
      <c r="I179" s="22" t="str">
        <f aca="false">'Skip Audit'!T179</f>
        <v>No matching PDF; review after skip</v>
      </c>
      <c r="J179" s="22" t="str">
        <f aca="false">"Skip Audit row 179"</f>
        <v>Skip Audit row 179</v>
      </c>
    </row>
    <row r="180" customFormat="false" ht="15" hidden="false" customHeight="false" outlineLevel="0" collapsed="false">
      <c r="A180" s="22" t="str">
        <f aca="false">'Skip Audit'!U180</f>
        <v>Priority 1</v>
      </c>
      <c r="B180" s="22" t="s">
        <v>12988</v>
      </c>
      <c r="C180" s="22" t="str">
        <f aca="false">'Skip Audit'!A180</f>
        <v>SKP-2025-0269</v>
      </c>
      <c r="D180" s="23" t="n">
        <f aca="false">'Skip Audit'!C180</f>
        <v>45749</v>
      </c>
      <c r="E180" s="22" t="str">
        <f aca="false">'Skip Audit'!D180</f>
        <v>WL-02178</v>
      </c>
      <c r="F180" s="22" t="str">
        <f aca="false">'Skip Audit'!E180</f>
        <v>Thomas Stone</v>
      </c>
      <c r="G180" s="22" t="str">
        <f aca="false">'Skip Audit'!G180</f>
        <v>GW-0201</v>
      </c>
      <c r="H180" s="22" t="n">
        <v>0</v>
      </c>
      <c r="I180" s="22" t="str">
        <f aca="false">'Skip Audit'!T180</f>
        <v>No matching PDF; review after skip</v>
      </c>
      <c r="J180" s="22" t="str">
        <f aca="false">"Skip Audit row 180"</f>
        <v>Skip Audit row 180</v>
      </c>
    </row>
    <row r="181" customFormat="false" ht="15" hidden="false" customHeight="false" outlineLevel="0" collapsed="false">
      <c r="A181" s="22" t="str">
        <f aca="false">'Skip Audit'!U181</f>
        <v>Priority 1</v>
      </c>
      <c r="B181" s="22" t="s">
        <v>12988</v>
      </c>
      <c r="C181" s="22" t="str">
        <f aca="false">'Skip Audit'!A181</f>
        <v>SKP-2025-0270</v>
      </c>
      <c r="D181" s="23" t="n">
        <f aca="false">'Skip Audit'!C181</f>
        <v>45756</v>
      </c>
      <c r="E181" s="22" t="str">
        <f aca="false">'Skip Audit'!D181</f>
        <v>WL-02653</v>
      </c>
      <c r="F181" s="22" t="str">
        <f aca="false">'Skip Audit'!E181</f>
        <v>Christine Jones</v>
      </c>
      <c r="G181" s="22" t="str">
        <f aca="false">'Skip Audit'!G181</f>
        <v>GW-0615</v>
      </c>
      <c r="H181" s="22" t="n">
        <v>0</v>
      </c>
      <c r="I181" s="22" t="str">
        <f aca="false">'Skip Audit'!T181</f>
        <v>No matching PDF; review after skip</v>
      </c>
      <c r="J181" s="22" t="str">
        <f aca="false">"Skip Audit row 181"</f>
        <v>Skip Audit row 181</v>
      </c>
    </row>
    <row r="182" customFormat="false" ht="15" hidden="false" customHeight="false" outlineLevel="0" collapsed="false">
      <c r="A182" s="22" t="str">
        <f aca="false">'Skip Audit'!U182</f>
        <v>Priority 1</v>
      </c>
      <c r="B182" s="22" t="s">
        <v>12988</v>
      </c>
      <c r="C182" s="22" t="str">
        <f aca="false">'Skip Audit'!A182</f>
        <v>SKP-2025-0271</v>
      </c>
      <c r="D182" s="23" t="n">
        <f aca="false">'Skip Audit'!C182</f>
        <v>45754</v>
      </c>
      <c r="E182" s="22" t="str">
        <f aca="false">'Skip Audit'!D182</f>
        <v>WL-01808</v>
      </c>
      <c r="F182" s="22" t="str">
        <f aca="false">'Skip Audit'!E182</f>
        <v>Jason Shepard</v>
      </c>
      <c r="G182" s="22" t="str">
        <f aca="false">'Skip Audit'!G182</f>
        <v>LP-0316</v>
      </c>
      <c r="H182" s="22" t="n">
        <v>0</v>
      </c>
      <c r="I182" s="22" t="str">
        <f aca="false">'Skip Audit'!T182</f>
        <v>No matching PDF; review after skip</v>
      </c>
      <c r="J182" s="22" t="str">
        <f aca="false">"Skip Audit row 182"</f>
        <v>Skip Audit row 182</v>
      </c>
    </row>
    <row r="183" customFormat="false" ht="15" hidden="false" customHeight="false" outlineLevel="0" collapsed="false">
      <c r="A183" s="22" t="str">
        <f aca="false">'Skip Audit'!U183</f>
        <v>Priority 1</v>
      </c>
      <c r="B183" s="22" t="s">
        <v>12988</v>
      </c>
      <c r="C183" s="22" t="str">
        <f aca="false">'Skip Audit'!A183</f>
        <v>SKP-2025-0272</v>
      </c>
      <c r="D183" s="23" t="n">
        <f aca="false">'Skip Audit'!C183</f>
        <v>45769</v>
      </c>
      <c r="E183" s="22" t="str">
        <f aca="false">'Skip Audit'!D183</f>
        <v>WL-02693</v>
      </c>
      <c r="F183" s="22" t="str">
        <f aca="false">'Skip Audit'!E183</f>
        <v>Patrick Allen</v>
      </c>
      <c r="G183" s="22" t="str">
        <f aca="false">'Skip Audit'!G183</f>
        <v>VB-0906</v>
      </c>
      <c r="H183" s="22" t="n">
        <v>0</v>
      </c>
      <c r="I183" s="22" t="str">
        <f aca="false">'Skip Audit'!T183</f>
        <v>No matching PDF; review after skip</v>
      </c>
      <c r="J183" s="22" t="str">
        <f aca="false">"Skip Audit row 183"</f>
        <v>Skip Audit row 183</v>
      </c>
    </row>
    <row r="184" customFormat="false" ht="15" hidden="false" customHeight="false" outlineLevel="0" collapsed="false">
      <c r="A184" s="22" t="str">
        <f aca="false">'Skip Audit'!U184</f>
        <v>Priority 1</v>
      </c>
      <c r="B184" s="22" t="s">
        <v>12988</v>
      </c>
      <c r="C184" s="22" t="str">
        <f aca="false">'Skip Audit'!A184</f>
        <v>SKP-2025-0273</v>
      </c>
      <c r="D184" s="23" t="n">
        <f aca="false">'Skip Audit'!C184</f>
        <v>45774</v>
      </c>
      <c r="E184" s="22" t="str">
        <f aca="false">'Skip Audit'!D184</f>
        <v>WL-01328</v>
      </c>
      <c r="F184" s="22" t="str">
        <f aca="false">'Skip Audit'!E184</f>
        <v>Charles Solis</v>
      </c>
      <c r="G184" s="22" t="str">
        <f aca="false">'Skip Audit'!G184</f>
        <v>SB-0704</v>
      </c>
      <c r="H184" s="22" t="n">
        <v>0</v>
      </c>
      <c r="I184" s="22" t="str">
        <f aca="false">'Skip Audit'!T184</f>
        <v>No matching PDF; review after skip</v>
      </c>
      <c r="J184" s="22" t="str">
        <f aca="false">"Skip Audit row 184"</f>
        <v>Skip Audit row 184</v>
      </c>
    </row>
    <row r="185" customFormat="false" ht="15" hidden="false" customHeight="false" outlineLevel="0" collapsed="false">
      <c r="A185" s="22" t="str">
        <f aca="false">'Skip Audit'!U185</f>
        <v>Priority 1</v>
      </c>
      <c r="B185" s="22" t="s">
        <v>12988</v>
      </c>
      <c r="C185" s="22" t="str">
        <f aca="false">'Skip Audit'!A185</f>
        <v>SKP-2025-0274</v>
      </c>
      <c r="D185" s="23" t="n">
        <f aca="false">'Skip Audit'!C185</f>
        <v>45756</v>
      </c>
      <c r="E185" s="22" t="str">
        <f aca="false">'Skip Audit'!D185</f>
        <v>WL-02188</v>
      </c>
      <c r="F185" s="22" t="str">
        <f aca="false">'Skip Audit'!E185</f>
        <v>Courtney Zamora</v>
      </c>
      <c r="G185" s="22" t="str">
        <f aca="false">'Skip Audit'!G185</f>
        <v>LP-0817</v>
      </c>
      <c r="H185" s="22" t="n">
        <v>0</v>
      </c>
      <c r="I185" s="22" t="str">
        <f aca="false">'Skip Audit'!T185</f>
        <v>No matching PDF; review after skip</v>
      </c>
      <c r="J185" s="22" t="str">
        <f aca="false">"Skip Audit row 185"</f>
        <v>Skip Audit row 185</v>
      </c>
    </row>
    <row r="186" customFormat="false" ht="15" hidden="false" customHeight="false" outlineLevel="0" collapsed="false">
      <c r="A186" s="22" t="str">
        <f aca="false">'Skip Audit'!U186</f>
        <v>Priority 1</v>
      </c>
      <c r="B186" s="22" t="s">
        <v>12988</v>
      </c>
      <c r="C186" s="22" t="str">
        <f aca="false">'Skip Audit'!A186</f>
        <v>SKP-2025-0275</v>
      </c>
      <c r="D186" s="23" t="n">
        <f aca="false">'Skip Audit'!C186</f>
        <v>45752</v>
      </c>
      <c r="E186" s="22" t="str">
        <f aca="false">'Skip Audit'!D186</f>
        <v>WL-02524</v>
      </c>
      <c r="F186" s="22" t="str">
        <f aca="false">'Skip Audit'!E186</f>
        <v>Douglas Herrera</v>
      </c>
      <c r="G186" s="22" t="str">
        <f aca="false">'Skip Audit'!G186</f>
        <v>SB-0102</v>
      </c>
      <c r="H186" s="22" t="n">
        <v>0</v>
      </c>
      <c r="I186" s="22" t="str">
        <f aca="false">'Skip Audit'!T186</f>
        <v>No matching PDF; review after skip</v>
      </c>
      <c r="J186" s="22" t="str">
        <f aca="false">"Skip Audit row 186"</f>
        <v>Skip Audit row 186</v>
      </c>
    </row>
    <row r="187" customFormat="false" ht="15" hidden="false" customHeight="false" outlineLevel="0" collapsed="false">
      <c r="A187" s="22" t="str">
        <f aca="false">'Skip Audit'!U187</f>
        <v>Priority 1</v>
      </c>
      <c r="B187" s="22" t="s">
        <v>12988</v>
      </c>
      <c r="C187" s="22" t="str">
        <f aca="false">'Skip Audit'!A187</f>
        <v>SKP-2025-0276</v>
      </c>
      <c r="D187" s="23" t="n">
        <f aca="false">'Skip Audit'!C187</f>
        <v>45761</v>
      </c>
      <c r="E187" s="22" t="str">
        <f aca="false">'Skip Audit'!D187</f>
        <v>WL-02845</v>
      </c>
      <c r="F187" s="22" t="str">
        <f aca="false">'Skip Audit'!E187</f>
        <v>Joshua Ortiz</v>
      </c>
      <c r="G187" s="22" t="str">
        <f aca="false">'Skip Audit'!G187</f>
        <v>SB-0410</v>
      </c>
      <c r="H187" s="22" t="n">
        <v>0</v>
      </c>
      <c r="I187" s="22" t="str">
        <f aca="false">'Skip Audit'!T187</f>
        <v>No matching PDF; review after skip</v>
      </c>
      <c r="J187" s="22" t="str">
        <f aca="false">"Skip Audit row 187"</f>
        <v>Skip Audit row 187</v>
      </c>
    </row>
    <row r="188" customFormat="false" ht="15" hidden="false" customHeight="false" outlineLevel="0" collapsed="false">
      <c r="A188" s="22" t="str">
        <f aca="false">'Skip Audit'!U188</f>
        <v>Priority 1</v>
      </c>
      <c r="B188" s="22" t="s">
        <v>12988</v>
      </c>
      <c r="C188" s="22" t="str">
        <f aca="false">'Skip Audit'!A188</f>
        <v>SKP-2025-0277</v>
      </c>
      <c r="D188" s="23" t="n">
        <f aca="false">'Skip Audit'!C188</f>
        <v>45784</v>
      </c>
      <c r="E188" s="22" t="str">
        <f aca="false">'Skip Audit'!D188</f>
        <v>WL-03839</v>
      </c>
      <c r="F188" s="22" t="str">
        <f aca="false">'Skip Audit'!E188</f>
        <v>Sonya May</v>
      </c>
      <c r="G188" s="22" t="str">
        <f aca="false">'Skip Audit'!G188</f>
        <v>EW-0209</v>
      </c>
      <c r="H188" s="22" t="n">
        <v>0</v>
      </c>
      <c r="I188" s="22" t="str">
        <f aca="false">'Skip Audit'!T188</f>
        <v>No matching PDF; review after skip</v>
      </c>
      <c r="J188" s="22" t="str">
        <f aca="false">"Skip Audit row 188"</f>
        <v>Skip Audit row 188</v>
      </c>
    </row>
    <row r="189" customFormat="false" ht="15" hidden="false" customHeight="false" outlineLevel="0" collapsed="false">
      <c r="A189" s="22" t="str">
        <f aca="false">'Skip Audit'!U189</f>
        <v>Priority 1</v>
      </c>
      <c r="B189" s="22" t="s">
        <v>12988</v>
      </c>
      <c r="C189" s="22" t="str">
        <f aca="false">'Skip Audit'!A189</f>
        <v>SKP-2025-0278</v>
      </c>
      <c r="D189" s="23" t="n">
        <f aca="false">'Skip Audit'!C189</f>
        <v>45794</v>
      </c>
      <c r="E189" s="22" t="str">
        <f aca="false">'Skip Audit'!D189</f>
        <v>WL-03094</v>
      </c>
      <c r="F189" s="22" t="str">
        <f aca="false">'Skip Audit'!E189</f>
        <v>Christine Cook</v>
      </c>
      <c r="G189" s="22" t="str">
        <f aca="false">'Skip Audit'!G189</f>
        <v>LP-0316</v>
      </c>
      <c r="H189" s="22" t="n">
        <v>0</v>
      </c>
      <c r="I189" s="22" t="str">
        <f aca="false">'Skip Audit'!T189</f>
        <v>No matching PDF; review after skip</v>
      </c>
      <c r="J189" s="22" t="str">
        <f aca="false">"Skip Audit row 189"</f>
        <v>Skip Audit row 189</v>
      </c>
    </row>
    <row r="190" customFormat="false" ht="15" hidden="false" customHeight="false" outlineLevel="0" collapsed="false">
      <c r="A190" s="22" t="str">
        <f aca="false">'Skip Audit'!U190</f>
        <v>Priority 1</v>
      </c>
      <c r="B190" s="22" t="s">
        <v>12988</v>
      </c>
      <c r="C190" s="22" t="str">
        <f aca="false">'Skip Audit'!A190</f>
        <v>SKP-2025-0279</v>
      </c>
      <c r="D190" s="23" t="n">
        <f aca="false">'Skip Audit'!C190</f>
        <v>45782</v>
      </c>
      <c r="E190" s="22" t="str">
        <f aca="false">'Skip Audit'!D190</f>
        <v>WL-03662</v>
      </c>
      <c r="F190" s="22" t="str">
        <f aca="false">'Skip Audit'!E190</f>
        <v>Kevin Murphy</v>
      </c>
      <c r="G190" s="22" t="str">
        <f aca="false">'Skip Audit'!G190</f>
        <v>VB-0604</v>
      </c>
      <c r="H190" s="22" t="n">
        <v>0</v>
      </c>
      <c r="I190" s="22" t="str">
        <f aca="false">'Skip Audit'!T190</f>
        <v>No matching PDF; review after skip</v>
      </c>
      <c r="J190" s="22" t="str">
        <f aca="false">"Skip Audit row 190"</f>
        <v>Skip Audit row 190</v>
      </c>
    </row>
    <row r="191" customFormat="false" ht="15" hidden="false" customHeight="false" outlineLevel="0" collapsed="false">
      <c r="A191" s="22" t="str">
        <f aca="false">'Skip Audit'!U191</f>
        <v>Priority 1</v>
      </c>
      <c r="B191" s="22" t="s">
        <v>12988</v>
      </c>
      <c r="C191" s="22" t="str">
        <f aca="false">'Skip Audit'!A191</f>
        <v>SKP-2025-0280</v>
      </c>
      <c r="D191" s="23" t="n">
        <f aca="false">'Skip Audit'!C191</f>
        <v>45784</v>
      </c>
      <c r="E191" s="22" t="str">
        <f aca="false">'Skip Audit'!D191</f>
        <v>WL-01472</v>
      </c>
      <c r="F191" s="22" t="str">
        <f aca="false">'Skip Audit'!E191</f>
        <v>Amber Rojas</v>
      </c>
      <c r="G191" s="22" t="str">
        <f aca="false">'Skip Audit'!G191</f>
        <v>SB-0720</v>
      </c>
      <c r="H191" s="22" t="n">
        <v>0</v>
      </c>
      <c r="I191" s="22" t="str">
        <f aca="false">'Skip Audit'!T191</f>
        <v>No matching PDF</v>
      </c>
      <c r="J191" s="22" t="str">
        <f aca="false">"Skip Audit row 191"</f>
        <v>Skip Audit row 191</v>
      </c>
    </row>
    <row r="192" customFormat="false" ht="15" hidden="false" customHeight="false" outlineLevel="0" collapsed="false">
      <c r="A192" s="22" t="str">
        <f aca="false">'Skip Audit'!U192</f>
        <v>Priority 1</v>
      </c>
      <c r="B192" s="22" t="s">
        <v>12988</v>
      </c>
      <c r="C192" s="22" t="str">
        <f aca="false">'Skip Audit'!A192</f>
        <v>SKP-2025-0281</v>
      </c>
      <c r="D192" s="23" t="n">
        <f aca="false">'Skip Audit'!C192</f>
        <v>45787</v>
      </c>
      <c r="E192" s="22" t="str">
        <f aca="false">'Skip Audit'!D192</f>
        <v>WL-03360</v>
      </c>
      <c r="F192" s="22" t="str">
        <f aca="false">'Skip Audit'!E192</f>
        <v>Morgan Ramos</v>
      </c>
      <c r="G192" s="22" t="str">
        <f aca="false">'Skip Audit'!G192</f>
        <v>EW-1003</v>
      </c>
      <c r="H192" s="22" t="n">
        <v>0</v>
      </c>
      <c r="I192" s="22" t="str">
        <f aca="false">'Skip Audit'!T192</f>
        <v>No matching PDF; review after skip</v>
      </c>
      <c r="J192" s="22" t="str">
        <f aca="false">"Skip Audit row 192"</f>
        <v>Skip Audit row 192</v>
      </c>
    </row>
    <row r="193" customFormat="false" ht="15" hidden="false" customHeight="false" outlineLevel="0" collapsed="false">
      <c r="A193" s="22" t="str">
        <f aca="false">'Skip Audit'!U193</f>
        <v>Priority 1</v>
      </c>
      <c r="B193" s="22" t="s">
        <v>12988</v>
      </c>
      <c r="C193" s="22" t="str">
        <f aca="false">'Skip Audit'!A193</f>
        <v>SKP-2025-0282</v>
      </c>
      <c r="D193" s="23" t="n">
        <f aca="false">'Skip Audit'!C193</f>
        <v>45826</v>
      </c>
      <c r="E193" s="22" t="str">
        <f aca="false">'Skip Audit'!D193</f>
        <v>WL-02747</v>
      </c>
      <c r="F193" s="22" t="str">
        <f aca="false">'Skip Audit'!E193</f>
        <v>Angel Massey</v>
      </c>
      <c r="G193" s="22" t="str">
        <f aca="false">'Skip Audit'!G193</f>
        <v>GW-0401</v>
      </c>
      <c r="H193" s="22" t="n">
        <v>0</v>
      </c>
      <c r="I193" s="22" t="str">
        <f aca="false">'Skip Audit'!T193</f>
        <v>No matching PDF; review after skip</v>
      </c>
      <c r="J193" s="22" t="str">
        <f aca="false">"Skip Audit row 193"</f>
        <v>Skip Audit row 193</v>
      </c>
    </row>
    <row r="194" customFormat="false" ht="15" hidden="false" customHeight="false" outlineLevel="0" collapsed="false">
      <c r="A194" s="22" t="str">
        <f aca="false">'Skip Audit'!U194</f>
        <v>Priority 1</v>
      </c>
      <c r="B194" s="22" t="s">
        <v>12988</v>
      </c>
      <c r="C194" s="22" t="str">
        <f aca="false">'Skip Audit'!A194</f>
        <v>SKP-2025-0283</v>
      </c>
      <c r="D194" s="23" t="n">
        <f aca="false">'Skip Audit'!C194</f>
        <v>45826</v>
      </c>
      <c r="E194" s="22" t="str">
        <f aca="false">'Skip Audit'!D194</f>
        <v>WL-01333</v>
      </c>
      <c r="F194" s="22" t="str">
        <f aca="false">'Skip Audit'!E194</f>
        <v>Andrew Hayden</v>
      </c>
      <c r="G194" s="22" t="str">
        <f aca="false">'Skip Audit'!G194</f>
        <v>LP-0208</v>
      </c>
      <c r="H194" s="22" t="n">
        <v>0</v>
      </c>
      <c r="I194" s="22" t="str">
        <f aca="false">'Skip Audit'!T194</f>
        <v>No matching PDF; review after skip</v>
      </c>
      <c r="J194" s="22" t="str">
        <f aca="false">"Skip Audit row 194"</f>
        <v>Skip Audit row 194</v>
      </c>
    </row>
    <row r="195" customFormat="false" ht="15" hidden="false" customHeight="false" outlineLevel="0" collapsed="false">
      <c r="A195" s="22" t="str">
        <f aca="false">'Skip Audit'!U195</f>
        <v>Priority 1</v>
      </c>
      <c r="B195" s="22" t="s">
        <v>12988</v>
      </c>
      <c r="C195" s="22" t="str">
        <f aca="false">'Skip Audit'!A195</f>
        <v>SKP-2025-0284</v>
      </c>
      <c r="D195" s="23" t="n">
        <f aca="false">'Skip Audit'!C195</f>
        <v>45823</v>
      </c>
      <c r="E195" s="22" t="str">
        <f aca="false">'Skip Audit'!D195</f>
        <v>WL-02698</v>
      </c>
      <c r="F195" s="22" t="str">
        <f aca="false">'Skip Audit'!E195</f>
        <v>Laura Mckenzie</v>
      </c>
      <c r="G195" s="22" t="str">
        <f aca="false">'Skip Audit'!G195</f>
        <v>VB-0409</v>
      </c>
      <c r="H195" s="22" t="n">
        <v>0</v>
      </c>
      <c r="I195" s="22" t="str">
        <f aca="false">'Skip Audit'!T195</f>
        <v>No matching PDF; review after skip</v>
      </c>
      <c r="J195" s="22" t="str">
        <f aca="false">"Skip Audit row 195"</f>
        <v>Skip Audit row 195</v>
      </c>
    </row>
    <row r="196" customFormat="false" ht="15" hidden="false" customHeight="false" outlineLevel="0" collapsed="false">
      <c r="A196" s="22" t="str">
        <f aca="false">'Skip Audit'!U196</f>
        <v>Priority 1</v>
      </c>
      <c r="B196" s="22" t="s">
        <v>12988</v>
      </c>
      <c r="C196" s="22" t="str">
        <f aca="false">'Skip Audit'!A196</f>
        <v>SKP-2025-0285</v>
      </c>
      <c r="D196" s="23" t="n">
        <f aca="false">'Skip Audit'!C196</f>
        <v>45810</v>
      </c>
      <c r="E196" s="22" t="str">
        <f aca="false">'Skip Audit'!D196</f>
        <v>WL-03047</v>
      </c>
      <c r="F196" s="22" t="str">
        <f aca="false">'Skip Audit'!E196</f>
        <v>Lauren Collins</v>
      </c>
      <c r="G196" s="22" t="str">
        <f aca="false">'Skip Audit'!G196</f>
        <v>EW-0415</v>
      </c>
      <c r="H196" s="22" t="n">
        <v>0</v>
      </c>
      <c r="I196" s="22" t="str">
        <f aca="false">'Skip Audit'!T196</f>
        <v>No matching PDF; review after skip</v>
      </c>
      <c r="J196" s="22" t="str">
        <f aca="false">"Skip Audit row 196"</f>
        <v>Skip Audit row 196</v>
      </c>
    </row>
    <row r="197" customFormat="false" ht="15" hidden="false" customHeight="false" outlineLevel="0" collapsed="false">
      <c r="A197" s="22" t="str">
        <f aca="false">'Skip Audit'!U197</f>
        <v>Priority 1</v>
      </c>
      <c r="B197" s="22" t="s">
        <v>12988</v>
      </c>
      <c r="C197" s="22" t="str">
        <f aca="false">'Skip Audit'!A197</f>
        <v>SKP-2025-0286</v>
      </c>
      <c r="D197" s="23" t="n">
        <f aca="false">'Skip Audit'!C197</f>
        <v>45822</v>
      </c>
      <c r="E197" s="22" t="str">
        <f aca="false">'Skip Audit'!D197</f>
        <v>WL-01151</v>
      </c>
      <c r="F197" s="22" t="str">
        <f aca="false">'Skip Audit'!E197</f>
        <v>Tamara Alvarez</v>
      </c>
      <c r="G197" s="22" t="str">
        <f aca="false">'Skip Audit'!G197</f>
        <v>SB-0804</v>
      </c>
      <c r="H197" s="22" t="n">
        <v>0</v>
      </c>
      <c r="I197" s="22" t="str">
        <f aca="false">'Skip Audit'!T197</f>
        <v>No matching PDF</v>
      </c>
      <c r="J197" s="22" t="str">
        <f aca="false">"Skip Audit row 197"</f>
        <v>Skip Audit row 197</v>
      </c>
    </row>
    <row r="198" customFormat="false" ht="15" hidden="false" customHeight="false" outlineLevel="0" collapsed="false">
      <c r="A198" s="22" t="str">
        <f aca="false">'Skip Audit'!U198</f>
        <v>Priority 1</v>
      </c>
      <c r="B198" s="22" t="s">
        <v>12988</v>
      </c>
      <c r="C198" s="22" t="str">
        <f aca="false">'Skip Audit'!A198</f>
        <v>SKP-2025-0287</v>
      </c>
      <c r="D198" s="23" t="n">
        <f aca="false">'Skip Audit'!C198</f>
        <v>45827</v>
      </c>
      <c r="E198" s="22" t="str">
        <f aca="false">'Skip Audit'!D198</f>
        <v>WL-02314</v>
      </c>
      <c r="F198" s="22" t="str">
        <f aca="false">'Skip Audit'!E198</f>
        <v>David Silva</v>
      </c>
      <c r="G198" s="22" t="str">
        <f aca="false">'Skip Audit'!G198</f>
        <v>LP-0124</v>
      </c>
      <c r="H198" s="22" t="n">
        <v>0</v>
      </c>
      <c r="I198" s="22" t="str">
        <f aca="false">'Skip Audit'!T198</f>
        <v>No matching PDF; review after skip</v>
      </c>
      <c r="J198" s="22" t="str">
        <f aca="false">"Skip Audit row 198"</f>
        <v>Skip Audit row 198</v>
      </c>
    </row>
    <row r="199" customFormat="false" ht="15" hidden="false" customHeight="false" outlineLevel="0" collapsed="false">
      <c r="A199" s="22" t="str">
        <f aca="false">'Skip Audit'!U199</f>
        <v>Priority 1</v>
      </c>
      <c r="B199" s="22" t="s">
        <v>12988</v>
      </c>
      <c r="C199" s="22" t="str">
        <f aca="false">'Skip Audit'!A199</f>
        <v>SKP-2025-0288</v>
      </c>
      <c r="D199" s="23" t="n">
        <f aca="false">'Skip Audit'!C199</f>
        <v>45817</v>
      </c>
      <c r="E199" s="22" t="str">
        <f aca="false">'Skip Audit'!D199</f>
        <v>WL-02356</v>
      </c>
      <c r="F199" s="22" t="str">
        <f aca="false">'Skip Audit'!E199</f>
        <v>David Flores</v>
      </c>
      <c r="G199" s="22" t="str">
        <f aca="false">'Skip Audit'!G199</f>
        <v>SB-0411</v>
      </c>
      <c r="H199" s="22" t="n">
        <v>0</v>
      </c>
      <c r="I199" s="22" t="str">
        <f aca="false">'Skip Audit'!T199</f>
        <v>No matching PDF; review after skip</v>
      </c>
      <c r="J199" s="22" t="str">
        <f aca="false">"Skip Audit row 199"</f>
        <v>Skip Audit row 199</v>
      </c>
    </row>
    <row r="200" customFormat="false" ht="15" hidden="false" customHeight="false" outlineLevel="0" collapsed="false">
      <c r="A200" s="22" t="str">
        <f aca="false">'Skip Audit'!U200</f>
        <v>Priority 1</v>
      </c>
      <c r="B200" s="22" t="s">
        <v>12988</v>
      </c>
      <c r="C200" s="22" t="str">
        <f aca="false">'Skip Audit'!A200</f>
        <v>SKP-2025-0289</v>
      </c>
      <c r="D200" s="23" t="n">
        <f aca="false">'Skip Audit'!C200</f>
        <v>45810</v>
      </c>
      <c r="E200" s="22" t="str">
        <f aca="false">'Skip Audit'!D200</f>
        <v>WL-02013</v>
      </c>
      <c r="F200" s="22" t="str">
        <f aca="false">'Skip Audit'!E200</f>
        <v>Elizabeth Harrison</v>
      </c>
      <c r="G200" s="22" t="str">
        <f aca="false">'Skip Audit'!G200</f>
        <v>LP-0901</v>
      </c>
      <c r="H200" s="22" t="n">
        <v>0</v>
      </c>
      <c r="I200" s="22" t="str">
        <f aca="false">'Skip Audit'!T200</f>
        <v>No matching PDF; review after skip</v>
      </c>
      <c r="J200" s="22" t="str">
        <f aca="false">"Skip Audit row 200"</f>
        <v>Skip Audit row 200</v>
      </c>
    </row>
    <row r="201" customFormat="false" ht="15" hidden="false" customHeight="false" outlineLevel="0" collapsed="false">
      <c r="A201" s="22" t="str">
        <f aca="false">'Skip Audit'!U201</f>
        <v>Priority 1</v>
      </c>
      <c r="B201" s="22" t="s">
        <v>12988</v>
      </c>
      <c r="C201" s="22" t="str">
        <f aca="false">'Skip Audit'!A201</f>
        <v>SKP-2025-0290</v>
      </c>
      <c r="D201" s="23" t="n">
        <f aca="false">'Skip Audit'!C201</f>
        <v>45848</v>
      </c>
      <c r="E201" s="22" t="str">
        <f aca="false">'Skip Audit'!D201</f>
        <v>WL-01813</v>
      </c>
      <c r="F201" s="22" t="str">
        <f aca="false">'Skip Audit'!E201</f>
        <v>Jessica Williams</v>
      </c>
      <c r="G201" s="22" t="str">
        <f aca="false">'Skip Audit'!G201</f>
        <v>GW-0910</v>
      </c>
      <c r="H201" s="22" t="n">
        <v>0</v>
      </c>
      <c r="I201" s="22" t="str">
        <f aca="false">'Skip Audit'!T201</f>
        <v>No matching PDF; review after skip</v>
      </c>
      <c r="J201" s="22" t="str">
        <f aca="false">"Skip Audit row 201"</f>
        <v>Skip Audit row 201</v>
      </c>
    </row>
    <row r="202" customFormat="false" ht="15" hidden="false" customHeight="false" outlineLevel="0" collapsed="false">
      <c r="A202" s="22" t="str">
        <f aca="false">'Skip Audit'!U202</f>
        <v>Priority 1</v>
      </c>
      <c r="B202" s="22" t="s">
        <v>12988</v>
      </c>
      <c r="C202" s="22" t="str">
        <f aca="false">'Skip Audit'!A202</f>
        <v>SKP-2025-0291</v>
      </c>
      <c r="D202" s="23" t="n">
        <f aca="false">'Skip Audit'!C202</f>
        <v>45863</v>
      </c>
      <c r="E202" s="22" t="str">
        <f aca="false">'Skip Audit'!D202</f>
        <v>WL-03227</v>
      </c>
      <c r="F202" s="22" t="str">
        <f aca="false">'Skip Audit'!E202</f>
        <v>Carrie Herrera</v>
      </c>
      <c r="G202" s="22" t="str">
        <f aca="false">'Skip Audit'!G202</f>
        <v>LP-0414</v>
      </c>
      <c r="H202" s="22" t="n">
        <v>0</v>
      </c>
      <c r="I202" s="22" t="str">
        <f aca="false">'Skip Audit'!T202</f>
        <v>No matching PDF; review after skip</v>
      </c>
      <c r="J202" s="22" t="str">
        <f aca="false">"Skip Audit row 202"</f>
        <v>Skip Audit row 202</v>
      </c>
    </row>
    <row r="203" customFormat="false" ht="15" hidden="false" customHeight="false" outlineLevel="0" collapsed="false">
      <c r="A203" s="22" t="str">
        <f aca="false">'Skip Audit'!U203</f>
        <v>Priority 1</v>
      </c>
      <c r="B203" s="22" t="s">
        <v>12988</v>
      </c>
      <c r="C203" s="22" t="str">
        <f aca="false">'Skip Audit'!A203</f>
        <v>SKP-2025-0292</v>
      </c>
      <c r="D203" s="23" t="n">
        <f aca="false">'Skip Audit'!C203</f>
        <v>45844</v>
      </c>
      <c r="E203" s="22" t="str">
        <f aca="false">'Skip Audit'!D203</f>
        <v>WL-02298</v>
      </c>
      <c r="F203" s="22" t="str">
        <f aca="false">'Skip Audit'!E203</f>
        <v>Ronald Simpson</v>
      </c>
      <c r="G203" s="22" t="str">
        <f aca="false">'Skip Audit'!G203</f>
        <v>GW-1017</v>
      </c>
      <c r="H203" s="22" t="n">
        <v>0</v>
      </c>
      <c r="I203" s="22" t="str">
        <f aca="false">'Skip Audit'!T203</f>
        <v>No matching PDF; review after skip</v>
      </c>
      <c r="J203" s="22" t="str">
        <f aca="false">"Skip Audit row 203"</f>
        <v>Skip Audit row 203</v>
      </c>
    </row>
    <row r="204" customFormat="false" ht="15" hidden="false" customHeight="false" outlineLevel="0" collapsed="false">
      <c r="A204" s="22" t="str">
        <f aca="false">'Skip Audit'!U204</f>
        <v>Priority 1</v>
      </c>
      <c r="B204" s="22" t="s">
        <v>12988</v>
      </c>
      <c r="C204" s="22" t="str">
        <f aca="false">'Skip Audit'!A204</f>
        <v>SKP-2025-0293</v>
      </c>
      <c r="D204" s="23" t="n">
        <f aca="false">'Skip Audit'!C204</f>
        <v>45850</v>
      </c>
      <c r="E204" s="22" t="str">
        <f aca="false">'Skip Audit'!D204</f>
        <v>WL-03516</v>
      </c>
      <c r="F204" s="22" t="str">
        <f aca="false">'Skip Audit'!E204</f>
        <v>Tiffany Mcgrath</v>
      </c>
      <c r="G204" s="22" t="str">
        <f aca="false">'Skip Audit'!G204</f>
        <v>VB-0209</v>
      </c>
      <c r="H204" s="22" t="n">
        <v>0</v>
      </c>
      <c r="I204" s="22" t="str">
        <f aca="false">'Skip Audit'!T204</f>
        <v>No matching PDF; review after skip</v>
      </c>
      <c r="J204" s="22" t="str">
        <f aca="false">"Skip Audit row 204"</f>
        <v>Skip Audit row 204</v>
      </c>
    </row>
    <row r="205" customFormat="false" ht="15" hidden="false" customHeight="false" outlineLevel="0" collapsed="false">
      <c r="A205" s="22" t="str">
        <f aca="false">'Skip Audit'!U205</f>
        <v>Priority 1</v>
      </c>
      <c r="B205" s="22" t="s">
        <v>12988</v>
      </c>
      <c r="C205" s="22" t="str">
        <f aca="false">'Skip Audit'!A205</f>
        <v>SKP-2025-0294</v>
      </c>
      <c r="D205" s="23" t="n">
        <f aca="false">'Skip Audit'!C205</f>
        <v>45849</v>
      </c>
      <c r="E205" s="22" t="str">
        <f aca="false">'Skip Audit'!D205</f>
        <v>WL-03579</v>
      </c>
      <c r="F205" s="22" t="str">
        <f aca="false">'Skip Audit'!E205</f>
        <v>Jeanne Greer</v>
      </c>
      <c r="G205" s="22" t="str">
        <f aca="false">'Skip Audit'!G205</f>
        <v>LP-0816</v>
      </c>
      <c r="H205" s="22" t="n">
        <v>0</v>
      </c>
      <c r="I205" s="22" t="str">
        <f aca="false">'Skip Audit'!T205</f>
        <v>No matching PDF; review after skip</v>
      </c>
      <c r="J205" s="22" t="str">
        <f aca="false">"Skip Audit row 205"</f>
        <v>Skip Audit row 205</v>
      </c>
    </row>
    <row r="206" customFormat="false" ht="15" hidden="false" customHeight="false" outlineLevel="0" collapsed="false">
      <c r="A206" s="22" t="str">
        <f aca="false">'Skip Audit'!U206</f>
        <v>Priority 1</v>
      </c>
      <c r="B206" s="22" t="s">
        <v>12988</v>
      </c>
      <c r="C206" s="22" t="str">
        <f aca="false">'Skip Audit'!A206</f>
        <v>SKP-2025-0295</v>
      </c>
      <c r="D206" s="23" t="n">
        <f aca="false">'Skip Audit'!C206</f>
        <v>45855</v>
      </c>
      <c r="E206" s="22" t="str">
        <f aca="false">'Skip Audit'!D206</f>
        <v>WL-03248</v>
      </c>
      <c r="F206" s="22" t="str">
        <f aca="false">'Skip Audit'!E206</f>
        <v>Theresa Grant</v>
      </c>
      <c r="G206" s="22" t="str">
        <f aca="false">'Skip Audit'!G206</f>
        <v>LP-0616</v>
      </c>
      <c r="H206" s="22" t="n">
        <v>0</v>
      </c>
      <c r="I206" s="22" t="str">
        <f aca="false">'Skip Audit'!T206</f>
        <v>No matching PDF</v>
      </c>
      <c r="J206" s="22" t="str">
        <f aca="false">"Skip Audit row 206"</f>
        <v>Skip Audit row 206</v>
      </c>
    </row>
    <row r="207" customFormat="false" ht="15" hidden="false" customHeight="false" outlineLevel="0" collapsed="false">
      <c r="A207" s="22" t="str">
        <f aca="false">'Skip Audit'!U207</f>
        <v>Priority 1</v>
      </c>
      <c r="B207" s="22" t="s">
        <v>12988</v>
      </c>
      <c r="C207" s="22" t="str">
        <f aca="false">'Skip Audit'!A207</f>
        <v>SKP-2025-0296</v>
      </c>
      <c r="D207" s="23" t="n">
        <f aca="false">'Skip Audit'!C207</f>
        <v>45860</v>
      </c>
      <c r="E207" s="22" t="str">
        <f aca="false">'Skip Audit'!D207</f>
        <v>WL-03526</v>
      </c>
      <c r="F207" s="22" t="str">
        <f aca="false">'Skip Audit'!E207</f>
        <v>Michael West</v>
      </c>
      <c r="G207" s="22" t="str">
        <f aca="false">'Skip Audit'!G207</f>
        <v>SB-0102</v>
      </c>
      <c r="H207" s="22" t="n">
        <v>0</v>
      </c>
      <c r="I207" s="22" t="str">
        <f aca="false">'Skip Audit'!T207</f>
        <v>No matching PDF</v>
      </c>
      <c r="J207" s="22" t="str">
        <f aca="false">"Skip Audit row 207"</f>
        <v>Skip Audit row 207</v>
      </c>
    </row>
    <row r="208" customFormat="false" ht="15" hidden="false" customHeight="false" outlineLevel="0" collapsed="false">
      <c r="A208" s="22" t="str">
        <f aca="false">'Skip Audit'!U208</f>
        <v>Priority 1</v>
      </c>
      <c r="B208" s="22" t="s">
        <v>12988</v>
      </c>
      <c r="C208" s="22" t="str">
        <f aca="false">'Skip Audit'!A208</f>
        <v>SKP-2025-0297</v>
      </c>
      <c r="D208" s="23" t="n">
        <f aca="false">'Skip Audit'!C208</f>
        <v>45866</v>
      </c>
      <c r="E208" s="22" t="str">
        <f aca="false">'Skip Audit'!D208</f>
        <v>WL-03094</v>
      </c>
      <c r="F208" s="22" t="str">
        <f aca="false">'Skip Audit'!E208</f>
        <v>Christine Cook</v>
      </c>
      <c r="G208" s="22" t="str">
        <f aca="false">'Skip Audit'!G208</f>
        <v>GW-0103</v>
      </c>
      <c r="H208" s="22" t="n">
        <v>0</v>
      </c>
      <c r="I208" s="22" t="str">
        <f aca="false">'Skip Audit'!T208</f>
        <v>No matching PDF</v>
      </c>
      <c r="J208" s="22" t="str">
        <f aca="false">"Skip Audit row 208"</f>
        <v>Skip Audit row 208</v>
      </c>
    </row>
    <row r="209" customFormat="false" ht="15" hidden="false" customHeight="false" outlineLevel="0" collapsed="false">
      <c r="A209" s="22" t="str">
        <f aca="false">'Skip Audit'!U209</f>
        <v>Priority 1</v>
      </c>
      <c r="B209" s="22" t="s">
        <v>12988</v>
      </c>
      <c r="C209" s="22" t="str">
        <f aca="false">'Skip Audit'!A209</f>
        <v>SKP-2025-0298</v>
      </c>
      <c r="D209" s="23" t="n">
        <f aca="false">'Skip Audit'!C209</f>
        <v>45895</v>
      </c>
      <c r="E209" s="22" t="str">
        <f aca="false">'Skip Audit'!D209</f>
        <v>WL-02774</v>
      </c>
      <c r="F209" s="22" t="str">
        <f aca="false">'Skip Audit'!E209</f>
        <v>Benjamin Harris</v>
      </c>
      <c r="G209" s="22" t="str">
        <f aca="false">'Skip Audit'!G209</f>
        <v>LP-0208</v>
      </c>
      <c r="H209" s="22" t="n">
        <v>0</v>
      </c>
      <c r="I209" s="22" t="str">
        <f aca="false">'Skip Audit'!T209</f>
        <v>No matching PDF; review after skip</v>
      </c>
      <c r="J209" s="22" t="str">
        <f aca="false">"Skip Audit row 209"</f>
        <v>Skip Audit row 209</v>
      </c>
    </row>
    <row r="210" customFormat="false" ht="15" hidden="false" customHeight="false" outlineLevel="0" collapsed="false">
      <c r="A210" s="22" t="str">
        <f aca="false">'Skip Audit'!U210</f>
        <v>Priority 1</v>
      </c>
      <c r="B210" s="22" t="s">
        <v>12988</v>
      </c>
      <c r="C210" s="22" t="str">
        <f aca="false">'Skip Audit'!A210</f>
        <v>SKP-2025-0299</v>
      </c>
      <c r="D210" s="23" t="n">
        <f aca="false">'Skip Audit'!C210</f>
        <v>45895</v>
      </c>
      <c r="E210" s="22" t="str">
        <f aca="false">'Skip Audit'!D210</f>
        <v>WL-03311</v>
      </c>
      <c r="F210" s="22" t="str">
        <f aca="false">'Skip Audit'!E210</f>
        <v>Shane Lee</v>
      </c>
      <c r="G210" s="22" t="str">
        <f aca="false">'Skip Audit'!G210</f>
        <v>GW-0116</v>
      </c>
      <c r="H210" s="22" t="n">
        <v>0</v>
      </c>
      <c r="I210" s="22" t="str">
        <f aca="false">'Skip Audit'!T210</f>
        <v>No matching PDF; review after skip</v>
      </c>
      <c r="J210" s="22" t="str">
        <f aca="false">"Skip Audit row 210"</f>
        <v>Skip Audit row 210</v>
      </c>
    </row>
    <row r="211" customFormat="false" ht="15" hidden="false" customHeight="false" outlineLevel="0" collapsed="false">
      <c r="A211" s="22" t="str">
        <f aca="false">'Skip Audit'!U211</f>
        <v>Priority 1</v>
      </c>
      <c r="B211" s="22" t="s">
        <v>12988</v>
      </c>
      <c r="C211" s="22" t="str">
        <f aca="false">'Skip Audit'!A211</f>
        <v>SKP-2025-0300</v>
      </c>
      <c r="D211" s="23" t="n">
        <f aca="false">'Skip Audit'!C211</f>
        <v>45887</v>
      </c>
      <c r="E211" s="22" t="str">
        <f aca="false">'Skip Audit'!D211</f>
        <v>WL-01537</v>
      </c>
      <c r="F211" s="22" t="str">
        <f aca="false">'Skip Audit'!E211</f>
        <v>Jessica Johnson</v>
      </c>
      <c r="G211" s="22" t="str">
        <f aca="false">'Skip Audit'!G211</f>
        <v>GW-0701</v>
      </c>
      <c r="H211" s="22" t="n">
        <v>0</v>
      </c>
      <c r="I211" s="22" t="str">
        <f aca="false">'Skip Audit'!T211</f>
        <v>No matching PDF; review after skip</v>
      </c>
      <c r="J211" s="22" t="str">
        <f aca="false">"Skip Audit row 211"</f>
        <v>Skip Audit row 211</v>
      </c>
    </row>
    <row r="212" customFormat="false" ht="15" hidden="false" customHeight="false" outlineLevel="0" collapsed="false">
      <c r="A212" s="22" t="str">
        <f aca="false">'Skip Audit'!U212</f>
        <v>Priority 1</v>
      </c>
      <c r="B212" s="22" t="s">
        <v>12988</v>
      </c>
      <c r="C212" s="22" t="str">
        <f aca="false">'Skip Audit'!A212</f>
        <v>SKP-2025-0301</v>
      </c>
      <c r="D212" s="23" t="n">
        <f aca="false">'Skip Audit'!C212</f>
        <v>45895</v>
      </c>
      <c r="E212" s="22" t="str">
        <f aca="false">'Skip Audit'!D212</f>
        <v>WL-01788</v>
      </c>
      <c r="F212" s="22" t="str">
        <f aca="false">'Skip Audit'!E212</f>
        <v>James Austin</v>
      </c>
      <c r="G212" s="22" t="str">
        <f aca="false">'Skip Audit'!G212</f>
        <v>GW-0305</v>
      </c>
      <c r="H212" s="22" t="n">
        <v>0</v>
      </c>
      <c r="I212" s="22" t="str">
        <f aca="false">'Skip Audit'!T212</f>
        <v>No matching PDF; review after skip</v>
      </c>
      <c r="J212" s="22" t="str">
        <f aca="false">"Skip Audit row 212"</f>
        <v>Skip Audit row 212</v>
      </c>
    </row>
    <row r="213" customFormat="false" ht="15" hidden="false" customHeight="false" outlineLevel="0" collapsed="false">
      <c r="A213" s="22" t="str">
        <f aca="false">'Skip Audit'!U213</f>
        <v>Priority 1</v>
      </c>
      <c r="B213" s="22" t="s">
        <v>12988</v>
      </c>
      <c r="C213" s="22" t="str">
        <f aca="false">'Skip Audit'!A213</f>
        <v>SKP-2025-0302</v>
      </c>
      <c r="D213" s="23" t="n">
        <f aca="false">'Skip Audit'!C213</f>
        <v>45891</v>
      </c>
      <c r="E213" s="22" t="str">
        <f aca="false">'Skip Audit'!D213</f>
        <v>WL-01702</v>
      </c>
      <c r="F213" s="22" t="str">
        <f aca="false">'Skip Audit'!E213</f>
        <v>Larry Carr</v>
      </c>
      <c r="G213" s="22" t="str">
        <f aca="false">'Skip Audit'!G213</f>
        <v>VB-1014</v>
      </c>
      <c r="H213" s="22" t="n">
        <v>0</v>
      </c>
      <c r="I213" s="22" t="str">
        <f aca="false">'Skip Audit'!T213</f>
        <v>No matching PDF; review after skip</v>
      </c>
      <c r="J213" s="22" t="str">
        <f aca="false">"Skip Audit row 213"</f>
        <v>Skip Audit row 213</v>
      </c>
    </row>
    <row r="214" customFormat="false" ht="15" hidden="false" customHeight="false" outlineLevel="0" collapsed="false">
      <c r="A214" s="22" t="str">
        <f aca="false">'Skip Audit'!U214</f>
        <v>Priority 1</v>
      </c>
      <c r="B214" s="22" t="s">
        <v>12988</v>
      </c>
      <c r="C214" s="22" t="str">
        <f aca="false">'Skip Audit'!A214</f>
        <v>SKP-2025-0303</v>
      </c>
      <c r="D214" s="23" t="n">
        <f aca="false">'Skip Audit'!C214</f>
        <v>45879</v>
      </c>
      <c r="E214" s="22" t="str">
        <f aca="false">'Skip Audit'!D214</f>
        <v>WL-02607</v>
      </c>
      <c r="F214" s="22" t="str">
        <f aca="false">'Skip Audit'!E214</f>
        <v>Sean Charles</v>
      </c>
      <c r="G214" s="22" t="str">
        <f aca="false">'Skip Audit'!G214</f>
        <v>LP-1024</v>
      </c>
      <c r="H214" s="22" t="n">
        <v>0</v>
      </c>
      <c r="I214" s="22" t="str">
        <f aca="false">'Skip Audit'!T214</f>
        <v>No matching PDF; review after skip</v>
      </c>
      <c r="J214" s="22" t="str">
        <f aca="false">"Skip Audit row 214"</f>
        <v>Skip Audit row 214</v>
      </c>
    </row>
    <row r="215" customFormat="false" ht="15" hidden="false" customHeight="false" outlineLevel="0" collapsed="false">
      <c r="A215" s="22" t="str">
        <f aca="false">'Skip Audit'!U215</f>
        <v>Priority 1</v>
      </c>
      <c r="B215" s="22" t="s">
        <v>12988</v>
      </c>
      <c r="C215" s="22" t="str">
        <f aca="false">'Skip Audit'!A215</f>
        <v>SKP-2025-0304</v>
      </c>
      <c r="D215" s="23" t="n">
        <f aca="false">'Skip Audit'!C215</f>
        <v>45884</v>
      </c>
      <c r="E215" s="22" t="str">
        <f aca="false">'Skip Audit'!D215</f>
        <v>WL-03314</v>
      </c>
      <c r="F215" s="22" t="str">
        <f aca="false">'Skip Audit'!E215</f>
        <v>Hannah Orozco</v>
      </c>
      <c r="G215" s="22" t="str">
        <f aca="false">'Skip Audit'!G215</f>
        <v>LP-0319</v>
      </c>
      <c r="H215" s="22" t="n">
        <v>0</v>
      </c>
      <c r="I215" s="22" t="str">
        <f aca="false">'Skip Audit'!T215</f>
        <v>No matching PDF</v>
      </c>
      <c r="J215" s="22" t="str">
        <f aca="false">"Skip Audit row 215"</f>
        <v>Skip Audit row 215</v>
      </c>
    </row>
    <row r="216" customFormat="false" ht="15" hidden="false" customHeight="false" outlineLevel="0" collapsed="false">
      <c r="A216" s="22" t="str">
        <f aca="false">'Skip Audit'!U216</f>
        <v>Priority 1</v>
      </c>
      <c r="B216" s="22" t="s">
        <v>12988</v>
      </c>
      <c r="C216" s="22" t="str">
        <f aca="false">'Skip Audit'!A216</f>
        <v>SKP-2025-0305</v>
      </c>
      <c r="D216" s="23" t="n">
        <f aca="false">'Skip Audit'!C216</f>
        <v>45883</v>
      </c>
      <c r="E216" s="22" t="str">
        <f aca="false">'Skip Audit'!D216</f>
        <v>WL-03134</v>
      </c>
      <c r="F216" s="22" t="str">
        <f aca="false">'Skip Audit'!E216</f>
        <v>Laurie Larson</v>
      </c>
      <c r="G216" s="22" t="str">
        <f aca="false">'Skip Audit'!G216</f>
        <v>SB-0624</v>
      </c>
      <c r="H216" s="22" t="n">
        <v>0</v>
      </c>
      <c r="I216" s="22" t="str">
        <f aca="false">'Skip Audit'!T216</f>
        <v>No matching PDF</v>
      </c>
      <c r="J216" s="22" t="str">
        <f aca="false">"Skip Audit row 216"</f>
        <v>Skip Audit row 216</v>
      </c>
    </row>
    <row r="217" customFormat="false" ht="15" hidden="false" customHeight="false" outlineLevel="0" collapsed="false">
      <c r="A217" s="22" t="str">
        <f aca="false">'Skip Audit'!U217</f>
        <v>Priority 1</v>
      </c>
      <c r="B217" s="22" t="s">
        <v>12988</v>
      </c>
      <c r="C217" s="22" t="str">
        <f aca="false">'Skip Audit'!A217</f>
        <v>SKP-2025-0306</v>
      </c>
      <c r="D217" s="23" t="n">
        <f aca="false">'Skip Audit'!C217</f>
        <v>45877</v>
      </c>
      <c r="E217" s="22" t="str">
        <f aca="false">'Skip Audit'!D217</f>
        <v>WL-02912</v>
      </c>
      <c r="F217" s="22" t="str">
        <f aca="false">'Skip Audit'!E217</f>
        <v>Alan Ortiz</v>
      </c>
      <c r="G217" s="22" t="str">
        <f aca="false">'Skip Audit'!G217</f>
        <v>SB-0420</v>
      </c>
      <c r="H217" s="22" t="n">
        <v>0</v>
      </c>
      <c r="I217" s="22" t="str">
        <f aca="false">'Skip Audit'!T217</f>
        <v>No matching PDF; review after skip</v>
      </c>
      <c r="J217" s="22" t="str">
        <f aca="false">"Skip Audit row 217"</f>
        <v>Skip Audit row 217</v>
      </c>
    </row>
    <row r="218" customFormat="false" ht="15" hidden="false" customHeight="false" outlineLevel="0" collapsed="false">
      <c r="A218" s="22" t="str">
        <f aca="false">'Skip Audit'!U218</f>
        <v>Priority 1</v>
      </c>
      <c r="B218" s="22" t="s">
        <v>12988</v>
      </c>
      <c r="C218" s="22" t="str">
        <f aca="false">'Skip Audit'!A218</f>
        <v>SKP-2025-0307</v>
      </c>
      <c r="D218" s="23" t="n">
        <f aca="false">'Skip Audit'!C218</f>
        <v>45874</v>
      </c>
      <c r="E218" s="22" t="str">
        <f aca="false">'Skip Audit'!D218</f>
        <v>WL-02323</v>
      </c>
      <c r="F218" s="22" t="str">
        <f aca="false">'Skip Audit'!E218</f>
        <v>John Preston</v>
      </c>
      <c r="G218" s="22" t="str">
        <f aca="false">'Skip Audit'!G218</f>
        <v>EW-0118</v>
      </c>
      <c r="H218" s="22" t="n">
        <v>0</v>
      </c>
      <c r="I218" s="22" t="str">
        <f aca="false">'Skip Audit'!T218</f>
        <v>No matching PDF; review after skip</v>
      </c>
      <c r="J218" s="22" t="str">
        <f aca="false">"Skip Audit row 218"</f>
        <v>Skip Audit row 218</v>
      </c>
    </row>
    <row r="219" customFormat="false" ht="15" hidden="false" customHeight="false" outlineLevel="0" collapsed="false">
      <c r="A219" s="22" t="str">
        <f aca="false">'Skip Audit'!U219</f>
        <v>Priority 1</v>
      </c>
      <c r="B219" s="22" t="s">
        <v>12988</v>
      </c>
      <c r="C219" s="22" t="str">
        <f aca="false">'Skip Audit'!A219</f>
        <v>SKP-2025-0308</v>
      </c>
      <c r="D219" s="23" t="n">
        <f aca="false">'Skip Audit'!C219</f>
        <v>45872</v>
      </c>
      <c r="E219" s="22" t="str">
        <f aca="false">'Skip Audit'!D219</f>
        <v>WL-03481</v>
      </c>
      <c r="F219" s="22" t="str">
        <f aca="false">'Skip Audit'!E219</f>
        <v>William Madden</v>
      </c>
      <c r="G219" s="22" t="str">
        <f aca="false">'Skip Audit'!G219</f>
        <v>GW-0915</v>
      </c>
      <c r="H219" s="22" t="n">
        <v>0</v>
      </c>
      <c r="I219" s="22" t="str">
        <f aca="false">'Skip Audit'!T219</f>
        <v>No matching PDF; review after skip</v>
      </c>
      <c r="J219" s="22" t="str">
        <f aca="false">"Skip Audit row 219"</f>
        <v>Skip Audit row 219</v>
      </c>
    </row>
    <row r="220" customFormat="false" ht="15" hidden="false" customHeight="false" outlineLevel="0" collapsed="false">
      <c r="A220" s="22" t="str">
        <f aca="false">'Skip Audit'!U220</f>
        <v>Priority 1</v>
      </c>
      <c r="B220" s="22" t="s">
        <v>12988</v>
      </c>
      <c r="C220" s="22" t="str">
        <f aca="false">'Skip Audit'!A220</f>
        <v>SKP-2025-0309</v>
      </c>
      <c r="D220" s="23" t="n">
        <f aca="false">'Skip Audit'!C220</f>
        <v>45897</v>
      </c>
      <c r="E220" s="22" t="str">
        <f aca="false">'Skip Audit'!D220</f>
        <v>WL-02838</v>
      </c>
      <c r="F220" s="22" t="str">
        <f aca="false">'Skip Audit'!E220</f>
        <v>Kimberly Griffin</v>
      </c>
      <c r="G220" s="22" t="str">
        <f aca="false">'Skip Audit'!G220</f>
        <v>LP-0413</v>
      </c>
      <c r="H220" s="22" t="n">
        <v>0</v>
      </c>
      <c r="I220" s="22" t="str">
        <f aca="false">'Skip Audit'!T220</f>
        <v>No matching PDF; review after skip</v>
      </c>
      <c r="J220" s="22" t="str">
        <f aca="false">"Skip Audit row 220"</f>
        <v>Skip Audit row 220</v>
      </c>
    </row>
    <row r="221" customFormat="false" ht="15" hidden="false" customHeight="false" outlineLevel="0" collapsed="false">
      <c r="A221" s="22" t="str">
        <f aca="false">'Skip Audit'!U221</f>
        <v>Priority 1</v>
      </c>
      <c r="B221" s="22" t="s">
        <v>12988</v>
      </c>
      <c r="C221" s="22" t="str">
        <f aca="false">'Skip Audit'!A221</f>
        <v>SKP-2025-0310</v>
      </c>
      <c r="D221" s="23" t="n">
        <f aca="false">'Skip Audit'!C221</f>
        <v>45897</v>
      </c>
      <c r="E221" s="22" t="str">
        <f aca="false">'Skip Audit'!D221</f>
        <v>WL-01617</v>
      </c>
      <c r="F221" s="22" t="str">
        <f aca="false">'Skip Audit'!E221</f>
        <v>James Ferguson</v>
      </c>
      <c r="G221" s="22" t="str">
        <f aca="false">'Skip Audit'!G221</f>
        <v>VB-0813</v>
      </c>
      <c r="H221" s="22" t="n">
        <v>0</v>
      </c>
      <c r="I221" s="22" t="str">
        <f aca="false">'Skip Audit'!T221</f>
        <v>No matching PDF; review after skip</v>
      </c>
      <c r="J221" s="22" t="str">
        <f aca="false">"Skip Audit row 221"</f>
        <v>Skip Audit row 221</v>
      </c>
    </row>
    <row r="222" customFormat="false" ht="15" hidden="false" customHeight="false" outlineLevel="0" collapsed="false">
      <c r="A222" s="22" t="str">
        <f aca="false">'Skip Audit'!U222</f>
        <v>Priority 1</v>
      </c>
      <c r="B222" s="22" t="s">
        <v>12988</v>
      </c>
      <c r="C222" s="22" t="str">
        <f aca="false">'Skip Audit'!A222</f>
        <v>SKP-2025-0311</v>
      </c>
      <c r="D222" s="23" t="n">
        <f aca="false">'Skip Audit'!C222</f>
        <v>45888</v>
      </c>
      <c r="E222" s="22" t="str">
        <f aca="false">'Skip Audit'!D222</f>
        <v>WL-01843</v>
      </c>
      <c r="F222" s="22" t="str">
        <f aca="false">'Skip Audit'!E222</f>
        <v>Donna Kim</v>
      </c>
      <c r="G222" s="22" t="str">
        <f aca="false">'Skip Audit'!G222</f>
        <v>SB-0109</v>
      </c>
      <c r="H222" s="22" t="n">
        <v>0</v>
      </c>
      <c r="I222" s="22" t="str">
        <f aca="false">'Skip Audit'!T222</f>
        <v>No matching PDF; review after skip</v>
      </c>
      <c r="J222" s="22" t="str">
        <f aca="false">"Skip Audit row 222"</f>
        <v>Skip Audit row 222</v>
      </c>
    </row>
    <row r="223" customFormat="false" ht="15" hidden="false" customHeight="false" outlineLevel="0" collapsed="false">
      <c r="A223" s="22" t="str">
        <f aca="false">'Skip Audit'!U223</f>
        <v>Priority 1</v>
      </c>
      <c r="B223" s="22" t="s">
        <v>12988</v>
      </c>
      <c r="C223" s="22" t="str">
        <f aca="false">'Skip Audit'!A223</f>
        <v>SKP-2025-0312</v>
      </c>
      <c r="D223" s="23" t="n">
        <f aca="false">'Skip Audit'!C223</f>
        <v>45917</v>
      </c>
      <c r="E223" s="22" t="str">
        <f aca="false">'Skip Audit'!D223</f>
        <v>WL-01715</v>
      </c>
      <c r="F223" s="22" t="str">
        <f aca="false">'Skip Audit'!E223</f>
        <v>Richard Snyder</v>
      </c>
      <c r="G223" s="22" t="str">
        <f aca="false">'Skip Audit'!G223</f>
        <v>GW-0216</v>
      </c>
      <c r="H223" s="22" t="n">
        <v>0</v>
      </c>
      <c r="I223" s="22" t="str">
        <f aca="false">'Skip Audit'!T223</f>
        <v>No matching PDF; review after skip</v>
      </c>
      <c r="J223" s="22" t="str">
        <f aca="false">"Skip Audit row 223"</f>
        <v>Skip Audit row 223</v>
      </c>
    </row>
    <row r="224" customFormat="false" ht="15" hidden="false" customHeight="false" outlineLevel="0" collapsed="false">
      <c r="A224" s="22" t="str">
        <f aca="false">'Skip Audit'!U224</f>
        <v>Priority 1</v>
      </c>
      <c r="B224" s="22" t="s">
        <v>12988</v>
      </c>
      <c r="C224" s="22" t="str">
        <f aca="false">'Skip Audit'!A224</f>
        <v>SKP-2025-0313</v>
      </c>
      <c r="D224" s="23" t="n">
        <f aca="false">'Skip Audit'!C224</f>
        <v>45903</v>
      </c>
      <c r="E224" s="22" t="str">
        <f aca="false">'Skip Audit'!D224</f>
        <v>WL-01334</v>
      </c>
      <c r="F224" s="22" t="str">
        <f aca="false">'Skip Audit'!E224</f>
        <v>Tammy Jones</v>
      </c>
      <c r="G224" s="22" t="str">
        <f aca="false">'Skip Audit'!G224</f>
        <v>LP-0514</v>
      </c>
      <c r="H224" s="22" t="n">
        <v>0</v>
      </c>
      <c r="I224" s="22" t="str">
        <f aca="false">'Skip Audit'!T224</f>
        <v>No matching PDF; review after skip</v>
      </c>
      <c r="J224" s="22" t="str">
        <f aca="false">"Skip Audit row 224"</f>
        <v>Skip Audit row 224</v>
      </c>
    </row>
    <row r="225" customFormat="false" ht="15" hidden="false" customHeight="false" outlineLevel="0" collapsed="false">
      <c r="A225" s="22" t="str">
        <f aca="false">'Skip Audit'!U225</f>
        <v>Priority 1</v>
      </c>
      <c r="B225" s="22" t="s">
        <v>12988</v>
      </c>
      <c r="C225" s="22" t="str">
        <f aca="false">'Skip Audit'!A225</f>
        <v>SKP-2025-0314</v>
      </c>
      <c r="D225" s="23" t="n">
        <f aca="false">'Skip Audit'!C225</f>
        <v>45917</v>
      </c>
      <c r="E225" s="22" t="str">
        <f aca="false">'Skip Audit'!D225</f>
        <v>WL-02428</v>
      </c>
      <c r="F225" s="22" t="str">
        <f aca="false">'Skip Audit'!E225</f>
        <v>David Henry</v>
      </c>
      <c r="G225" s="22" t="str">
        <f aca="false">'Skip Audit'!G225</f>
        <v>SB-0109</v>
      </c>
      <c r="H225" s="22" t="n">
        <v>0</v>
      </c>
      <c r="I225" s="22" t="str">
        <f aca="false">'Skip Audit'!T225</f>
        <v>No matching PDF; review after skip</v>
      </c>
      <c r="J225" s="22" t="str">
        <f aca="false">"Skip Audit row 225"</f>
        <v>Skip Audit row 225</v>
      </c>
    </row>
    <row r="226" customFormat="false" ht="15" hidden="false" customHeight="false" outlineLevel="0" collapsed="false">
      <c r="A226" s="22" t="str">
        <f aca="false">'Skip Audit'!U226</f>
        <v>Priority 1</v>
      </c>
      <c r="B226" s="22" t="s">
        <v>12988</v>
      </c>
      <c r="C226" s="22" t="str">
        <f aca="false">'Skip Audit'!A226</f>
        <v>SKP-2025-0315</v>
      </c>
      <c r="D226" s="23" t="n">
        <f aca="false">'Skip Audit'!C226</f>
        <v>45922</v>
      </c>
      <c r="E226" s="22" t="str">
        <f aca="false">'Skip Audit'!D226</f>
        <v>WL-03861</v>
      </c>
      <c r="F226" s="22" t="str">
        <f aca="false">'Skip Audit'!E226</f>
        <v>Joseph Koch</v>
      </c>
      <c r="G226" s="22" t="str">
        <f aca="false">'Skip Audit'!G226</f>
        <v>VB-0123</v>
      </c>
      <c r="H226" s="22" t="n">
        <v>0</v>
      </c>
      <c r="I226" s="22" t="str">
        <f aca="false">'Skip Audit'!T226</f>
        <v>No matching PDF</v>
      </c>
      <c r="J226" s="22" t="str">
        <f aca="false">"Skip Audit row 226"</f>
        <v>Skip Audit row 226</v>
      </c>
    </row>
    <row r="227" customFormat="false" ht="15" hidden="false" customHeight="false" outlineLevel="0" collapsed="false">
      <c r="A227" s="22" t="str">
        <f aca="false">'Skip Audit'!U227</f>
        <v>Priority 1</v>
      </c>
      <c r="B227" s="22" t="s">
        <v>12988</v>
      </c>
      <c r="C227" s="22" t="str">
        <f aca="false">'Skip Audit'!A227</f>
        <v>SKP-2025-0316</v>
      </c>
      <c r="D227" s="23" t="n">
        <f aca="false">'Skip Audit'!C227</f>
        <v>45920</v>
      </c>
      <c r="E227" s="22" t="str">
        <f aca="false">'Skip Audit'!D227</f>
        <v>WL-02153</v>
      </c>
      <c r="F227" s="22" t="str">
        <f aca="false">'Skip Audit'!E227</f>
        <v>Amy Murray</v>
      </c>
      <c r="G227" s="22" t="str">
        <f aca="false">'Skip Audit'!G227</f>
        <v>LP-0113</v>
      </c>
      <c r="H227" s="22" t="n">
        <v>0</v>
      </c>
      <c r="I227" s="22" t="str">
        <f aca="false">'Skip Audit'!T227</f>
        <v>No matching PDF</v>
      </c>
      <c r="J227" s="22" t="str">
        <f aca="false">"Skip Audit row 227"</f>
        <v>Skip Audit row 227</v>
      </c>
    </row>
    <row r="228" customFormat="false" ht="15" hidden="false" customHeight="false" outlineLevel="0" collapsed="false">
      <c r="A228" s="22" t="str">
        <f aca="false">'Skip Audit'!U228</f>
        <v>Priority 1</v>
      </c>
      <c r="B228" s="22" t="s">
        <v>12988</v>
      </c>
      <c r="C228" s="22" t="str">
        <f aca="false">'Skip Audit'!A228</f>
        <v>SKP-2025-0317</v>
      </c>
      <c r="D228" s="23" t="n">
        <f aca="false">'Skip Audit'!C228</f>
        <v>45923</v>
      </c>
      <c r="E228" s="22" t="str">
        <f aca="false">'Skip Audit'!D228</f>
        <v>WL-02445</v>
      </c>
      <c r="F228" s="22" t="str">
        <f aca="false">'Skip Audit'!E228</f>
        <v>Marcus Yee</v>
      </c>
      <c r="G228" s="22" t="str">
        <f aca="false">'Skip Audit'!G228</f>
        <v>SB-0222</v>
      </c>
      <c r="H228" s="22" t="n">
        <v>0</v>
      </c>
      <c r="I228" s="22" t="str">
        <f aca="false">'Skip Audit'!T228</f>
        <v>No matching PDF; review after skip</v>
      </c>
      <c r="J228" s="22" t="str">
        <f aca="false">"Skip Audit row 228"</f>
        <v>Skip Audit row 228</v>
      </c>
    </row>
    <row r="229" customFormat="false" ht="15" hidden="false" customHeight="false" outlineLevel="0" collapsed="false">
      <c r="A229" s="22" t="str">
        <f aca="false">'Skip Audit'!U229</f>
        <v>Priority 1</v>
      </c>
      <c r="B229" s="22" t="s">
        <v>12988</v>
      </c>
      <c r="C229" s="22" t="str">
        <f aca="false">'Skip Audit'!A229</f>
        <v>SKP-2025-0318</v>
      </c>
      <c r="D229" s="23" t="n">
        <f aca="false">'Skip Audit'!C229</f>
        <v>45919</v>
      </c>
      <c r="E229" s="22" t="str">
        <f aca="false">'Skip Audit'!D229</f>
        <v>WL-02890</v>
      </c>
      <c r="F229" s="22" t="str">
        <f aca="false">'Skip Audit'!E229</f>
        <v>Crystal Morales</v>
      </c>
      <c r="G229" s="22" t="str">
        <f aca="false">'Skip Audit'!G229</f>
        <v>EW-0716</v>
      </c>
      <c r="H229" s="22" t="n">
        <v>0</v>
      </c>
      <c r="I229" s="22" t="str">
        <f aca="false">'Skip Audit'!T229</f>
        <v>No matching PDF; review after skip</v>
      </c>
      <c r="J229" s="22" t="str">
        <f aca="false">"Skip Audit row 229"</f>
        <v>Skip Audit row 229</v>
      </c>
    </row>
    <row r="230" customFormat="false" ht="15" hidden="false" customHeight="false" outlineLevel="0" collapsed="false">
      <c r="A230" s="22" t="str">
        <f aca="false">'Skip Audit'!U230</f>
        <v>Priority 1</v>
      </c>
      <c r="B230" s="22" t="s">
        <v>12988</v>
      </c>
      <c r="C230" s="22" t="str">
        <f aca="false">'Skip Audit'!A230</f>
        <v>SKP-2025-0319</v>
      </c>
      <c r="D230" s="23" t="n">
        <f aca="false">'Skip Audit'!C230</f>
        <v>45920</v>
      </c>
      <c r="E230" s="22" t="str">
        <f aca="false">'Skip Audit'!D230</f>
        <v>WL-01913</v>
      </c>
      <c r="F230" s="22" t="str">
        <f aca="false">'Skip Audit'!E230</f>
        <v>Nicole Thompson</v>
      </c>
      <c r="G230" s="22" t="str">
        <f aca="false">'Skip Audit'!G230</f>
        <v>EW-0819</v>
      </c>
      <c r="H230" s="22" t="n">
        <v>0</v>
      </c>
      <c r="I230" s="22" t="str">
        <f aca="false">'Skip Audit'!T230</f>
        <v>No matching PDF</v>
      </c>
      <c r="J230" s="22" t="str">
        <f aca="false">"Skip Audit row 230"</f>
        <v>Skip Audit row 230</v>
      </c>
    </row>
    <row r="231" customFormat="false" ht="15" hidden="false" customHeight="false" outlineLevel="0" collapsed="false">
      <c r="A231" s="22" t="str">
        <f aca="false">'Skip Audit'!U231</f>
        <v>Priority 1</v>
      </c>
      <c r="B231" s="22" t="s">
        <v>12988</v>
      </c>
      <c r="C231" s="22" t="str">
        <f aca="false">'Skip Audit'!A231</f>
        <v>SKP-2025-0320</v>
      </c>
      <c r="D231" s="23" t="n">
        <f aca="false">'Skip Audit'!C231</f>
        <v>45909</v>
      </c>
      <c r="E231" s="22" t="str">
        <f aca="false">'Skip Audit'!D231</f>
        <v>WL-02167</v>
      </c>
      <c r="F231" s="22" t="str">
        <f aca="false">'Skip Audit'!E231</f>
        <v>Jonathan Anderson</v>
      </c>
      <c r="G231" s="22" t="str">
        <f aca="false">'Skip Audit'!G231</f>
        <v>VB-0304</v>
      </c>
      <c r="H231" s="22" t="n">
        <v>0</v>
      </c>
      <c r="I231" s="22" t="str">
        <f aca="false">'Skip Audit'!T231</f>
        <v>No matching PDF; review after skip</v>
      </c>
      <c r="J231" s="22" t="str">
        <f aca="false">"Skip Audit row 231"</f>
        <v>Skip Audit row 231</v>
      </c>
    </row>
    <row r="232" customFormat="false" ht="15" hidden="false" customHeight="false" outlineLevel="0" collapsed="false">
      <c r="A232" s="22" t="str">
        <f aca="false">'Skip Audit'!U232</f>
        <v>Priority 1</v>
      </c>
      <c r="B232" s="22" t="s">
        <v>12988</v>
      </c>
      <c r="C232" s="22" t="str">
        <f aca="false">'Skip Audit'!A232</f>
        <v>SKP-2025-0321</v>
      </c>
      <c r="D232" s="23" t="n">
        <f aca="false">'Skip Audit'!C232</f>
        <v>45911</v>
      </c>
      <c r="E232" s="22" t="str">
        <f aca="false">'Skip Audit'!D232</f>
        <v>WL-03865</v>
      </c>
      <c r="F232" s="22" t="str">
        <f aca="false">'Skip Audit'!E232</f>
        <v>William Moran</v>
      </c>
      <c r="G232" s="22" t="str">
        <f aca="false">'Skip Audit'!G232</f>
        <v>SB-0106</v>
      </c>
      <c r="H232" s="22" t="n">
        <v>0</v>
      </c>
      <c r="I232" s="22" t="str">
        <f aca="false">'Skip Audit'!T232</f>
        <v>No matching PDF; review after skip</v>
      </c>
      <c r="J232" s="22" t="str">
        <f aca="false">"Skip Audit row 232"</f>
        <v>Skip Audit row 232</v>
      </c>
    </row>
    <row r="233" customFormat="false" ht="15" hidden="false" customHeight="false" outlineLevel="0" collapsed="false">
      <c r="A233" s="22" t="str">
        <f aca="false">'Skip Audit'!U233</f>
        <v>Priority 1</v>
      </c>
      <c r="B233" s="22" t="s">
        <v>12988</v>
      </c>
      <c r="C233" s="22" t="str">
        <f aca="false">'Skip Audit'!A233</f>
        <v>SKP-2025-0322</v>
      </c>
      <c r="D233" s="23" t="n">
        <f aca="false">'Skip Audit'!C233</f>
        <v>45905</v>
      </c>
      <c r="E233" s="22" t="str">
        <f aca="false">'Skip Audit'!D233</f>
        <v>WL-02002</v>
      </c>
      <c r="F233" s="22" t="str">
        <f aca="false">'Skip Audit'!E233</f>
        <v>Andrew Turner</v>
      </c>
      <c r="G233" s="22" t="str">
        <f aca="false">'Skip Audit'!G233</f>
        <v>LP-0822</v>
      </c>
      <c r="H233" s="22" t="n">
        <v>0</v>
      </c>
      <c r="I233" s="22" t="str">
        <f aca="false">'Skip Audit'!T233</f>
        <v>No matching PDF; review after skip</v>
      </c>
      <c r="J233" s="22" t="str">
        <f aca="false">"Skip Audit row 233"</f>
        <v>Skip Audit row 233</v>
      </c>
    </row>
    <row r="234" customFormat="false" ht="15" hidden="false" customHeight="false" outlineLevel="0" collapsed="false">
      <c r="A234" s="22" t="str">
        <f aca="false">'Skip Audit'!U234</f>
        <v>Priority 1</v>
      </c>
      <c r="B234" s="22" t="s">
        <v>12988</v>
      </c>
      <c r="C234" s="22" t="str">
        <f aca="false">'Skip Audit'!A234</f>
        <v>SKP-2025-0323</v>
      </c>
      <c r="D234" s="23" t="n">
        <f aca="false">'Skip Audit'!C234</f>
        <v>45956</v>
      </c>
      <c r="E234" s="22" t="str">
        <f aca="false">'Skip Audit'!D234</f>
        <v>WL-02284</v>
      </c>
      <c r="F234" s="22" t="str">
        <f aca="false">'Skip Audit'!E234</f>
        <v>Tonya Ruiz</v>
      </c>
      <c r="G234" s="22" t="str">
        <f aca="false">'Skip Audit'!G234</f>
        <v>SB-0801</v>
      </c>
      <c r="H234" s="22" t="n">
        <v>0</v>
      </c>
      <c r="I234" s="22" t="str">
        <f aca="false">'Skip Audit'!T234</f>
        <v>No matching PDF; review after skip</v>
      </c>
      <c r="J234" s="22" t="str">
        <f aca="false">"Skip Audit row 234"</f>
        <v>Skip Audit row 234</v>
      </c>
    </row>
    <row r="235" customFormat="false" ht="15" hidden="false" customHeight="false" outlineLevel="0" collapsed="false">
      <c r="A235" s="22" t="str">
        <f aca="false">'Skip Audit'!U235</f>
        <v>Priority 1</v>
      </c>
      <c r="B235" s="22" t="s">
        <v>12988</v>
      </c>
      <c r="C235" s="22" t="str">
        <f aca="false">'Skip Audit'!A235</f>
        <v>SKP-2025-0324</v>
      </c>
      <c r="D235" s="23" t="n">
        <f aca="false">'Skip Audit'!C235</f>
        <v>45958</v>
      </c>
      <c r="E235" s="22" t="str">
        <f aca="false">'Skip Audit'!D235</f>
        <v>WL-02187</v>
      </c>
      <c r="F235" s="22" t="str">
        <f aca="false">'Skip Audit'!E235</f>
        <v>Leonard Gordon</v>
      </c>
      <c r="G235" s="22" t="str">
        <f aca="false">'Skip Audit'!G235</f>
        <v>SB-0806</v>
      </c>
      <c r="H235" s="22" t="n">
        <v>0</v>
      </c>
      <c r="I235" s="22" t="str">
        <f aca="false">'Skip Audit'!T235</f>
        <v>No matching PDF; review after skip</v>
      </c>
      <c r="J235" s="22" t="str">
        <f aca="false">"Skip Audit row 235"</f>
        <v>Skip Audit row 235</v>
      </c>
    </row>
    <row r="236" customFormat="false" ht="15" hidden="false" customHeight="false" outlineLevel="0" collapsed="false">
      <c r="A236" s="22" t="str">
        <f aca="false">'Skip Audit'!U236</f>
        <v>Priority 1</v>
      </c>
      <c r="B236" s="22" t="s">
        <v>12988</v>
      </c>
      <c r="C236" s="22" t="str">
        <f aca="false">'Skip Audit'!A236</f>
        <v>SKP-2025-0325</v>
      </c>
      <c r="D236" s="23" t="n">
        <f aca="false">'Skip Audit'!C236</f>
        <v>45933</v>
      </c>
      <c r="E236" s="22" t="str">
        <f aca="false">'Skip Audit'!D236</f>
        <v>WL-03750</v>
      </c>
      <c r="F236" s="22" t="str">
        <f aca="false">'Skip Audit'!E236</f>
        <v>Michael Phillips</v>
      </c>
      <c r="G236" s="22" t="str">
        <f aca="false">'Skip Audit'!G236</f>
        <v>GW-0622</v>
      </c>
      <c r="H236" s="22" t="n">
        <v>0</v>
      </c>
      <c r="I236" s="22" t="str">
        <f aca="false">'Skip Audit'!T236</f>
        <v>No matching PDF; review after skip</v>
      </c>
      <c r="J236" s="22" t="str">
        <f aca="false">"Skip Audit row 236"</f>
        <v>Skip Audit row 236</v>
      </c>
    </row>
    <row r="237" customFormat="false" ht="15" hidden="false" customHeight="false" outlineLevel="0" collapsed="false">
      <c r="A237" s="22" t="str">
        <f aca="false">'Skip Audit'!U237</f>
        <v>Priority 1</v>
      </c>
      <c r="B237" s="22" t="s">
        <v>12988</v>
      </c>
      <c r="C237" s="22" t="str">
        <f aca="false">'Skip Audit'!A237</f>
        <v>SKP-2025-0326</v>
      </c>
      <c r="D237" s="23" t="n">
        <f aca="false">'Skip Audit'!C237</f>
        <v>45956</v>
      </c>
      <c r="E237" s="22" t="str">
        <f aca="false">'Skip Audit'!D237</f>
        <v>WL-03857</v>
      </c>
      <c r="F237" s="22" t="str">
        <f aca="false">'Skip Audit'!E237</f>
        <v>Catherine Davis</v>
      </c>
      <c r="G237" s="22" t="str">
        <f aca="false">'Skip Audit'!G237</f>
        <v>LP-0705</v>
      </c>
      <c r="H237" s="22" t="n">
        <v>0</v>
      </c>
      <c r="I237" s="22" t="str">
        <f aca="false">'Skip Audit'!T237</f>
        <v>No matching PDF</v>
      </c>
      <c r="J237" s="22" t="str">
        <f aca="false">"Skip Audit row 237"</f>
        <v>Skip Audit row 237</v>
      </c>
    </row>
    <row r="238" customFormat="false" ht="15" hidden="false" customHeight="false" outlineLevel="0" collapsed="false">
      <c r="A238" s="22" t="str">
        <f aca="false">'Skip Audit'!U238</f>
        <v>Priority 1</v>
      </c>
      <c r="B238" s="22" t="s">
        <v>12988</v>
      </c>
      <c r="C238" s="22" t="str">
        <f aca="false">'Skip Audit'!A238</f>
        <v>SKP-2025-0327</v>
      </c>
      <c r="D238" s="23" t="n">
        <f aca="false">'Skip Audit'!C238</f>
        <v>45953</v>
      </c>
      <c r="E238" s="22" t="str">
        <f aca="false">'Skip Audit'!D238</f>
        <v>WL-01645</v>
      </c>
      <c r="F238" s="22" t="str">
        <f aca="false">'Skip Audit'!E238</f>
        <v>Michael Walker</v>
      </c>
      <c r="G238" s="22" t="str">
        <f aca="false">'Skip Audit'!G238</f>
        <v>GW-1020</v>
      </c>
      <c r="H238" s="22" t="n">
        <v>0</v>
      </c>
      <c r="I238" s="22" t="str">
        <f aca="false">'Skip Audit'!T238</f>
        <v>No matching PDF; review after skip</v>
      </c>
      <c r="J238" s="22" t="str">
        <f aca="false">"Skip Audit row 238"</f>
        <v>Skip Audit row 238</v>
      </c>
    </row>
    <row r="239" customFormat="false" ht="15" hidden="false" customHeight="false" outlineLevel="0" collapsed="false">
      <c r="A239" s="22" t="str">
        <f aca="false">'Skip Audit'!U239</f>
        <v>Priority 1</v>
      </c>
      <c r="B239" s="22" t="s">
        <v>12988</v>
      </c>
      <c r="C239" s="22" t="str">
        <f aca="false">'Skip Audit'!A239</f>
        <v>SKP-2025-0328</v>
      </c>
      <c r="D239" s="23" t="n">
        <f aca="false">'Skip Audit'!C239</f>
        <v>45941</v>
      </c>
      <c r="E239" s="22" t="str">
        <f aca="false">'Skip Audit'!D239</f>
        <v>WL-01089</v>
      </c>
      <c r="F239" s="22" t="str">
        <f aca="false">'Skip Audit'!E239</f>
        <v>Erin Holmes</v>
      </c>
      <c r="G239" s="22" t="str">
        <f aca="false">'Skip Audit'!G239</f>
        <v>SB-0115</v>
      </c>
      <c r="H239" s="22" t="n">
        <v>0</v>
      </c>
      <c r="I239" s="22" t="str">
        <f aca="false">'Skip Audit'!T239</f>
        <v>No matching PDF; review after skip</v>
      </c>
      <c r="J239" s="22" t="str">
        <f aca="false">"Skip Audit row 239"</f>
        <v>Skip Audit row 239</v>
      </c>
    </row>
    <row r="240" customFormat="false" ht="15" hidden="false" customHeight="false" outlineLevel="0" collapsed="false">
      <c r="A240" s="22" t="str">
        <f aca="false">'Skip Audit'!U240</f>
        <v>Priority 1</v>
      </c>
      <c r="B240" s="22" t="s">
        <v>12988</v>
      </c>
      <c r="C240" s="22" t="str">
        <f aca="false">'Skip Audit'!A240</f>
        <v>SKP-2025-0329</v>
      </c>
      <c r="D240" s="23" t="n">
        <f aca="false">'Skip Audit'!C240</f>
        <v>45943</v>
      </c>
      <c r="E240" s="22" t="str">
        <f aca="false">'Skip Audit'!D240</f>
        <v>WL-01128</v>
      </c>
      <c r="F240" s="22" t="str">
        <f aca="false">'Skip Audit'!E240</f>
        <v>Angela Smith</v>
      </c>
      <c r="G240" s="22" t="str">
        <f aca="false">'Skip Audit'!G240</f>
        <v>LP-0504</v>
      </c>
      <c r="H240" s="22" t="n">
        <v>0</v>
      </c>
      <c r="I240" s="22" t="str">
        <f aca="false">'Skip Audit'!T240</f>
        <v>No matching PDF; review after skip</v>
      </c>
      <c r="J240" s="22" t="str">
        <f aca="false">"Skip Audit row 240"</f>
        <v>Skip Audit row 240</v>
      </c>
    </row>
    <row r="241" customFormat="false" ht="15" hidden="false" customHeight="false" outlineLevel="0" collapsed="false">
      <c r="A241" s="22" t="str">
        <f aca="false">'Skip Audit'!U241</f>
        <v>Priority 1</v>
      </c>
      <c r="B241" s="22" t="s">
        <v>12988</v>
      </c>
      <c r="C241" s="22" t="str">
        <f aca="false">'Skip Audit'!A241</f>
        <v>SKP-2025-0330</v>
      </c>
      <c r="D241" s="23" t="n">
        <f aca="false">'Skip Audit'!C241</f>
        <v>45932</v>
      </c>
      <c r="E241" s="22" t="str">
        <f aca="false">'Skip Audit'!D241</f>
        <v>WL-02676</v>
      </c>
      <c r="F241" s="22" t="str">
        <f aca="false">'Skip Audit'!E241</f>
        <v>Janice Walker</v>
      </c>
      <c r="G241" s="22" t="str">
        <f aca="false">'Skip Audit'!G241</f>
        <v>EW-0124</v>
      </c>
      <c r="H241" s="22" t="n">
        <v>0</v>
      </c>
      <c r="I241" s="22" t="str">
        <f aca="false">'Skip Audit'!T241</f>
        <v>No matching PDF; review after skip</v>
      </c>
      <c r="J241" s="22" t="str">
        <f aca="false">"Skip Audit row 241"</f>
        <v>Skip Audit row 241</v>
      </c>
    </row>
    <row r="242" customFormat="false" ht="15" hidden="false" customHeight="false" outlineLevel="0" collapsed="false">
      <c r="A242" s="22" t="str">
        <f aca="false">'Skip Audit'!U242</f>
        <v>Priority 1</v>
      </c>
      <c r="B242" s="22" t="s">
        <v>12988</v>
      </c>
      <c r="C242" s="22" t="str">
        <f aca="false">'Skip Audit'!A242</f>
        <v>SKP-2025-0331</v>
      </c>
      <c r="D242" s="23" t="n">
        <f aca="false">'Skip Audit'!C242</f>
        <v>45937</v>
      </c>
      <c r="E242" s="22" t="str">
        <f aca="false">'Skip Audit'!D242</f>
        <v>WL-03455</v>
      </c>
      <c r="F242" s="22" t="str">
        <f aca="false">'Skip Audit'!E242</f>
        <v>Taylor George</v>
      </c>
      <c r="G242" s="22" t="str">
        <f aca="false">'Skip Audit'!G242</f>
        <v>SB-0402</v>
      </c>
      <c r="H242" s="22" t="n">
        <v>0</v>
      </c>
      <c r="I242" s="22" t="str">
        <f aca="false">'Skip Audit'!T242</f>
        <v>No matching PDF; review after skip</v>
      </c>
      <c r="J242" s="22" t="str">
        <f aca="false">"Skip Audit row 242"</f>
        <v>Skip Audit row 242</v>
      </c>
    </row>
    <row r="243" customFormat="false" ht="15" hidden="false" customHeight="false" outlineLevel="0" collapsed="false">
      <c r="A243" s="22" t="str">
        <f aca="false">'Skip Audit'!U243</f>
        <v>Priority 1</v>
      </c>
      <c r="B243" s="22" t="s">
        <v>12988</v>
      </c>
      <c r="C243" s="22" t="str">
        <f aca="false">'Skip Audit'!A243</f>
        <v>SKP-2025-0332</v>
      </c>
      <c r="D243" s="23" t="n">
        <f aca="false">'Skip Audit'!C243</f>
        <v>45943</v>
      </c>
      <c r="E243" s="22" t="str">
        <f aca="false">'Skip Audit'!D243</f>
        <v>WL-02711</v>
      </c>
      <c r="F243" s="22" t="str">
        <f aca="false">'Skip Audit'!E243</f>
        <v>David Baker</v>
      </c>
      <c r="G243" s="22" t="str">
        <f aca="false">'Skip Audit'!G243</f>
        <v>LP-0215</v>
      </c>
      <c r="H243" s="22" t="n">
        <v>0</v>
      </c>
      <c r="I243" s="22" t="str">
        <f aca="false">'Skip Audit'!T243</f>
        <v>No matching PDF; review after skip</v>
      </c>
      <c r="J243" s="22" t="str">
        <f aca="false">"Skip Audit row 243"</f>
        <v>Skip Audit row 243</v>
      </c>
    </row>
    <row r="244" customFormat="false" ht="15" hidden="false" customHeight="false" outlineLevel="0" collapsed="false">
      <c r="A244" s="22" t="str">
        <f aca="false">'Skip Audit'!U244</f>
        <v>Priority 1</v>
      </c>
      <c r="B244" s="22" t="s">
        <v>12988</v>
      </c>
      <c r="C244" s="22" t="str">
        <f aca="false">'Skip Audit'!A244</f>
        <v>SKP-2025-0333</v>
      </c>
      <c r="D244" s="23" t="n">
        <f aca="false">'Skip Audit'!C244</f>
        <v>45943</v>
      </c>
      <c r="E244" s="22" t="str">
        <f aca="false">'Skip Audit'!D244</f>
        <v>WL-02448</v>
      </c>
      <c r="F244" s="22" t="str">
        <f aca="false">'Skip Audit'!E244</f>
        <v>Mark Bolton</v>
      </c>
      <c r="G244" s="22" t="str">
        <f aca="false">'Skip Audit'!G244</f>
        <v>LP-0908</v>
      </c>
      <c r="H244" s="22" t="n">
        <v>0</v>
      </c>
      <c r="I244" s="22" t="str">
        <f aca="false">'Skip Audit'!T244</f>
        <v>No matching PDF; review after skip</v>
      </c>
      <c r="J244" s="22" t="str">
        <f aca="false">"Skip Audit row 244"</f>
        <v>Skip Audit row 244</v>
      </c>
    </row>
    <row r="245" customFormat="false" ht="15" hidden="false" customHeight="false" outlineLevel="0" collapsed="false">
      <c r="A245" s="22" t="str">
        <f aca="false">'Skip Audit'!U245</f>
        <v>Priority 1</v>
      </c>
      <c r="B245" s="22" t="s">
        <v>12988</v>
      </c>
      <c r="C245" s="22" t="str">
        <f aca="false">'Skip Audit'!A245</f>
        <v>SKP-2025-0334</v>
      </c>
      <c r="D245" s="23" t="n">
        <f aca="false">'Skip Audit'!C245</f>
        <v>45988</v>
      </c>
      <c r="E245" s="22" t="str">
        <f aca="false">'Skip Audit'!D245</f>
        <v>WL-01264</v>
      </c>
      <c r="F245" s="22" t="str">
        <f aca="false">'Skip Audit'!E245</f>
        <v>Jeffery Lewis</v>
      </c>
      <c r="G245" s="22" t="str">
        <f aca="false">'Skip Audit'!G245</f>
        <v>SB-0623</v>
      </c>
      <c r="H245" s="22" t="n">
        <v>0</v>
      </c>
      <c r="I245" s="22" t="str">
        <f aca="false">'Skip Audit'!T245</f>
        <v>No matching PDF; review after skip</v>
      </c>
      <c r="J245" s="22" t="str">
        <f aca="false">"Skip Audit row 245"</f>
        <v>Skip Audit row 245</v>
      </c>
    </row>
    <row r="246" customFormat="false" ht="15" hidden="false" customHeight="false" outlineLevel="0" collapsed="false">
      <c r="A246" s="22" t="str">
        <f aca="false">'Skip Audit'!U246</f>
        <v>Priority 1</v>
      </c>
      <c r="B246" s="22" t="s">
        <v>12988</v>
      </c>
      <c r="C246" s="22" t="str">
        <f aca="false">'Skip Audit'!A246</f>
        <v>SKP-2025-0335</v>
      </c>
      <c r="D246" s="23" t="n">
        <f aca="false">'Skip Audit'!C246</f>
        <v>45978</v>
      </c>
      <c r="E246" s="22" t="str">
        <f aca="false">'Skip Audit'!D246</f>
        <v>WL-02404</v>
      </c>
      <c r="F246" s="22" t="str">
        <f aca="false">'Skip Audit'!E246</f>
        <v>Samuel King</v>
      </c>
      <c r="G246" s="22" t="str">
        <f aca="false">'Skip Audit'!G246</f>
        <v>VB-0201</v>
      </c>
      <c r="H246" s="22" t="n">
        <v>0</v>
      </c>
      <c r="I246" s="22" t="str">
        <f aca="false">'Skip Audit'!T246</f>
        <v>No matching PDF; review after skip</v>
      </c>
      <c r="J246" s="22" t="str">
        <f aca="false">"Skip Audit row 246"</f>
        <v>Skip Audit row 246</v>
      </c>
    </row>
    <row r="247" customFormat="false" ht="15" hidden="false" customHeight="false" outlineLevel="0" collapsed="false">
      <c r="A247" s="22" t="str">
        <f aca="false">'Skip Audit'!U247</f>
        <v>Priority 1</v>
      </c>
      <c r="B247" s="22" t="s">
        <v>12988</v>
      </c>
      <c r="C247" s="22" t="str">
        <f aca="false">'Skip Audit'!A247</f>
        <v>SKP-2025-0336</v>
      </c>
      <c r="D247" s="23" t="n">
        <f aca="false">'Skip Audit'!C247</f>
        <v>46006</v>
      </c>
      <c r="E247" s="22" t="str">
        <f aca="false">'Skip Audit'!D247</f>
        <v>WL-01776</v>
      </c>
      <c r="F247" s="22" t="str">
        <f aca="false">'Skip Audit'!E247</f>
        <v>Theresa Pena</v>
      </c>
      <c r="G247" s="22" t="str">
        <f aca="false">'Skip Audit'!G247</f>
        <v>GW-0419</v>
      </c>
      <c r="H247" s="22" t="n">
        <v>0</v>
      </c>
      <c r="I247" s="22" t="str">
        <f aca="false">'Skip Audit'!T247</f>
        <v>No matching PDF; review after skip</v>
      </c>
      <c r="J247" s="22" t="str">
        <f aca="false">"Skip Audit row 247"</f>
        <v>Skip Audit row 247</v>
      </c>
    </row>
    <row r="248" customFormat="false" ht="15" hidden="false" customHeight="false" outlineLevel="0" collapsed="false">
      <c r="A248" s="22" t="str">
        <f aca="false">'Skip Audit'!U248</f>
        <v>Priority 1</v>
      </c>
      <c r="B248" s="22" t="s">
        <v>12988</v>
      </c>
      <c r="C248" s="22" t="str">
        <f aca="false">'Skip Audit'!A248</f>
        <v>SKP-2025-0337</v>
      </c>
      <c r="D248" s="23" t="n">
        <f aca="false">'Skip Audit'!C248</f>
        <v>46017</v>
      </c>
      <c r="E248" s="22" t="str">
        <f aca="false">'Skip Audit'!D248</f>
        <v>WL-02991</v>
      </c>
      <c r="F248" s="22" t="str">
        <f aca="false">'Skip Audit'!E248</f>
        <v>Cole Palmer</v>
      </c>
      <c r="G248" s="22" t="str">
        <f aca="false">'Skip Audit'!G248</f>
        <v>SB-0408</v>
      </c>
      <c r="H248" s="22" t="n">
        <v>0</v>
      </c>
      <c r="I248" s="22" t="str">
        <f aca="false">'Skip Audit'!T248</f>
        <v>No matching PDF; review after skip</v>
      </c>
      <c r="J248" s="22" t="str">
        <f aca="false">"Skip Audit row 248"</f>
        <v>Skip Audit row 248</v>
      </c>
    </row>
    <row r="249" customFormat="false" ht="15" hidden="false" customHeight="false" outlineLevel="0" collapsed="false">
      <c r="A249" s="22" t="str">
        <f aca="false">'Skip Audit'!U249</f>
        <v>Priority 1</v>
      </c>
      <c r="B249" s="22" t="s">
        <v>12988</v>
      </c>
      <c r="C249" s="22" t="str">
        <f aca="false">'Skip Audit'!A249</f>
        <v>SKP-2026-0338</v>
      </c>
      <c r="D249" s="23" t="n">
        <f aca="false">'Skip Audit'!C249</f>
        <v>46035</v>
      </c>
      <c r="E249" s="22" t="str">
        <f aca="false">'Skip Audit'!D249</f>
        <v>WL-03011</v>
      </c>
      <c r="F249" s="22" t="str">
        <f aca="false">'Skip Audit'!E249</f>
        <v>Christopher Schultz</v>
      </c>
      <c r="G249" s="22" t="str">
        <f aca="false">'Skip Audit'!G249</f>
        <v>SB-0719</v>
      </c>
      <c r="H249" s="22" t="n">
        <v>0</v>
      </c>
      <c r="I249" s="22" t="str">
        <f aca="false">'Skip Audit'!T249</f>
        <v>No matching PDF; review after skip</v>
      </c>
      <c r="J249" s="22" t="str">
        <f aca="false">"Skip Audit row 249"</f>
        <v>Skip Audit row 249</v>
      </c>
    </row>
    <row r="250" customFormat="false" ht="15" hidden="false" customHeight="false" outlineLevel="0" collapsed="false">
      <c r="A250" s="22" t="str">
        <f aca="false">'Skip Audit'!U250</f>
        <v>Priority 1</v>
      </c>
      <c r="B250" s="22" t="s">
        <v>12988</v>
      </c>
      <c r="C250" s="22" t="str">
        <f aca="false">'Skip Audit'!A250</f>
        <v>SKP-2026-0339</v>
      </c>
      <c r="D250" s="23" t="n">
        <f aca="false">'Skip Audit'!C250</f>
        <v>46035</v>
      </c>
      <c r="E250" s="22" t="str">
        <f aca="false">'Skip Audit'!D250</f>
        <v>WL-01368</v>
      </c>
      <c r="F250" s="22" t="str">
        <f aca="false">'Skip Audit'!E250</f>
        <v>Justin Turner</v>
      </c>
      <c r="G250" s="22" t="str">
        <f aca="false">'Skip Audit'!G250</f>
        <v>EW-0813</v>
      </c>
      <c r="H250" s="22" t="n">
        <v>0</v>
      </c>
      <c r="I250" s="22" t="str">
        <f aca="false">'Skip Audit'!T250</f>
        <v>No matching PDF; review after skip</v>
      </c>
      <c r="J250" s="22" t="str">
        <f aca="false">"Skip Audit row 250"</f>
        <v>Skip Audit row 250</v>
      </c>
    </row>
    <row r="251" customFormat="false" ht="15" hidden="false" customHeight="false" outlineLevel="0" collapsed="false">
      <c r="A251" s="22" t="str">
        <f aca="false">'Skip Audit'!U251</f>
        <v>Priority 1</v>
      </c>
      <c r="B251" s="22" t="s">
        <v>12988</v>
      </c>
      <c r="C251" s="22" t="str">
        <f aca="false">'Skip Audit'!A251</f>
        <v>SKP-2026-0340</v>
      </c>
      <c r="D251" s="23" t="n">
        <f aca="false">'Skip Audit'!C251</f>
        <v>46043</v>
      </c>
      <c r="E251" s="22" t="str">
        <f aca="false">'Skip Audit'!D251</f>
        <v>WL-01435</v>
      </c>
      <c r="F251" s="22" t="str">
        <f aca="false">'Skip Audit'!E251</f>
        <v>Jessica Schultz</v>
      </c>
      <c r="G251" s="22" t="str">
        <f aca="false">'Skip Audit'!G251</f>
        <v>GW-0708</v>
      </c>
      <c r="H251" s="22" t="n">
        <v>0</v>
      </c>
      <c r="I251" s="22" t="str">
        <f aca="false">'Skip Audit'!T251</f>
        <v>No matching PDF; review after skip</v>
      </c>
      <c r="J251" s="22" t="str">
        <f aca="false">"Skip Audit row 251"</f>
        <v>Skip Audit row 251</v>
      </c>
    </row>
    <row r="252" customFormat="false" ht="15" hidden="false" customHeight="false" outlineLevel="0" collapsed="false">
      <c r="A252" s="22" t="str">
        <f aca="false">'Skip Audit'!U252</f>
        <v>Priority 1</v>
      </c>
      <c r="B252" s="22" t="s">
        <v>12988</v>
      </c>
      <c r="C252" s="22" t="str">
        <f aca="false">'Skip Audit'!A252</f>
        <v>SKP-2026-0341</v>
      </c>
      <c r="D252" s="23" t="n">
        <f aca="false">'Skip Audit'!C252</f>
        <v>46049</v>
      </c>
      <c r="E252" s="22" t="str">
        <f aca="false">'Skip Audit'!D252</f>
        <v>WL-03197</v>
      </c>
      <c r="F252" s="22" t="str">
        <f aca="false">'Skip Audit'!E252</f>
        <v>Thomas Lee</v>
      </c>
      <c r="G252" s="22" t="str">
        <f aca="false">'Skip Audit'!G252</f>
        <v>LP-1109</v>
      </c>
      <c r="H252" s="22" t="n">
        <v>0</v>
      </c>
      <c r="I252" s="22" t="str">
        <f aca="false">'Skip Audit'!T252</f>
        <v>No matching PDF; review after skip</v>
      </c>
      <c r="J252" s="22" t="str">
        <f aca="false">"Skip Audit row 252"</f>
        <v>Skip Audit row 252</v>
      </c>
    </row>
    <row r="253" customFormat="false" ht="15" hidden="false" customHeight="false" outlineLevel="0" collapsed="false">
      <c r="A253" s="22" t="str">
        <f aca="false">'Skip Audit'!U253</f>
        <v>Priority 1</v>
      </c>
      <c r="B253" s="22" t="s">
        <v>12988</v>
      </c>
      <c r="C253" s="22" t="str">
        <f aca="false">'Skip Audit'!A253</f>
        <v>SKP-2026-0342</v>
      </c>
      <c r="D253" s="23" t="n">
        <f aca="false">'Skip Audit'!C253</f>
        <v>46023</v>
      </c>
      <c r="E253" s="22" t="str">
        <f aca="false">'Skip Audit'!D253</f>
        <v>WL-01558</v>
      </c>
      <c r="F253" s="22" t="str">
        <f aca="false">'Skip Audit'!E253</f>
        <v>Edward Carter</v>
      </c>
      <c r="G253" s="22" t="str">
        <f aca="false">'Skip Audit'!G253</f>
        <v>EW-0421</v>
      </c>
      <c r="H253" s="22" t="n">
        <v>0</v>
      </c>
      <c r="I253" s="22" t="str">
        <f aca="false">'Skip Audit'!T253</f>
        <v>No matching PDF; review after skip</v>
      </c>
      <c r="J253" s="22" t="str">
        <f aca="false">"Skip Audit row 253"</f>
        <v>Skip Audit row 253</v>
      </c>
    </row>
    <row r="254" customFormat="false" ht="15" hidden="false" customHeight="false" outlineLevel="0" collapsed="false">
      <c r="A254" s="22" t="str">
        <f aca="false">'Skip Audit'!U254</f>
        <v>Priority 1</v>
      </c>
      <c r="B254" s="22" t="s">
        <v>12988</v>
      </c>
      <c r="C254" s="22" t="str">
        <f aca="false">'Skip Audit'!A254</f>
        <v>SKP-2026-0343</v>
      </c>
      <c r="D254" s="23" t="n">
        <f aca="false">'Skip Audit'!C254</f>
        <v>46023</v>
      </c>
      <c r="E254" s="22" t="str">
        <f aca="false">'Skip Audit'!D254</f>
        <v>WL-03054</v>
      </c>
      <c r="F254" s="22" t="str">
        <f aca="false">'Skip Audit'!E254</f>
        <v>Amanda Schmidt</v>
      </c>
      <c r="G254" s="22" t="str">
        <f aca="false">'Skip Audit'!G254</f>
        <v>VB-0224</v>
      </c>
      <c r="H254" s="22" t="n">
        <v>0</v>
      </c>
      <c r="I254" s="22" t="str">
        <f aca="false">'Skip Audit'!T254</f>
        <v>No matching PDF; review after skip</v>
      </c>
      <c r="J254" s="22" t="str">
        <f aca="false">"Skip Audit row 254"</f>
        <v>Skip Audit row 254</v>
      </c>
    </row>
    <row r="255" customFormat="false" ht="15" hidden="false" customHeight="false" outlineLevel="0" collapsed="false">
      <c r="A255" s="22" t="str">
        <f aca="false">'Skip Audit'!U255</f>
        <v>Priority 1</v>
      </c>
      <c r="B255" s="22" t="s">
        <v>12988</v>
      </c>
      <c r="C255" s="22" t="str">
        <f aca="false">'Skip Audit'!A255</f>
        <v>SKP-2026-0344</v>
      </c>
      <c r="D255" s="23" t="n">
        <f aca="false">'Skip Audit'!C255</f>
        <v>46075</v>
      </c>
      <c r="E255" s="22" t="str">
        <f aca="false">'Skip Audit'!D255</f>
        <v>WL-03817</v>
      </c>
      <c r="F255" s="22" t="str">
        <f aca="false">'Skip Audit'!E255</f>
        <v>Leslie Short</v>
      </c>
      <c r="G255" s="22" t="str">
        <f aca="false">'Skip Audit'!G255</f>
        <v>SB-0907</v>
      </c>
      <c r="H255" s="22" t="n">
        <v>0</v>
      </c>
      <c r="I255" s="22" t="str">
        <f aca="false">'Skip Audit'!T255</f>
        <v>No matching PDF; review after skip</v>
      </c>
      <c r="J255" s="22" t="str">
        <f aca="false">"Skip Audit row 255"</f>
        <v>Skip Audit row 255</v>
      </c>
    </row>
    <row r="256" customFormat="false" ht="15" hidden="false" customHeight="false" outlineLevel="0" collapsed="false">
      <c r="A256" s="22" t="str">
        <f aca="false">'Skip Audit'!U256</f>
        <v>Priority 1</v>
      </c>
      <c r="B256" s="22" t="s">
        <v>12988</v>
      </c>
      <c r="C256" s="22" t="str">
        <f aca="false">'Skip Audit'!A256</f>
        <v>SKP-2026-0345</v>
      </c>
      <c r="D256" s="23" t="n">
        <f aca="false">'Skip Audit'!C256</f>
        <v>46080</v>
      </c>
      <c r="E256" s="22" t="str">
        <f aca="false">'Skip Audit'!D256</f>
        <v>WL-03653</v>
      </c>
      <c r="F256" s="22" t="str">
        <f aca="false">'Skip Audit'!E256</f>
        <v>Rodney Carter</v>
      </c>
      <c r="G256" s="22" t="str">
        <f aca="false">'Skip Audit'!G256</f>
        <v>LP-0614</v>
      </c>
      <c r="H256" s="22" t="n">
        <v>0</v>
      </c>
      <c r="I256" s="22" t="str">
        <f aca="false">'Skip Audit'!T256</f>
        <v>No matching PDF; review after skip</v>
      </c>
      <c r="J256" s="22" t="str">
        <f aca="false">"Skip Audit row 256"</f>
        <v>Skip Audit row 256</v>
      </c>
    </row>
    <row r="257" customFormat="false" ht="15" hidden="false" customHeight="false" outlineLevel="0" collapsed="false">
      <c r="A257" s="22" t="str">
        <f aca="false">'Skip Audit'!U257</f>
        <v>Priority 1</v>
      </c>
      <c r="B257" s="22" t="s">
        <v>12988</v>
      </c>
      <c r="C257" s="22" t="str">
        <f aca="false">'Skip Audit'!A257</f>
        <v>SKP-2026-0346</v>
      </c>
      <c r="D257" s="23" t="n">
        <f aca="false">'Skip Audit'!C257</f>
        <v>46067</v>
      </c>
      <c r="E257" s="22" t="str">
        <f aca="false">'Skip Audit'!D257</f>
        <v>WL-01605</v>
      </c>
      <c r="F257" s="22" t="str">
        <f aca="false">'Skip Audit'!E257</f>
        <v>Michael Curtis</v>
      </c>
      <c r="G257" s="22" t="str">
        <f aca="false">'Skip Audit'!G257</f>
        <v>VB-0912</v>
      </c>
      <c r="H257" s="22" t="n">
        <v>0</v>
      </c>
      <c r="I257" s="22" t="str">
        <f aca="false">'Skip Audit'!T257</f>
        <v>No matching PDF; review after skip</v>
      </c>
      <c r="J257" s="22" t="str">
        <f aca="false">"Skip Audit row 257"</f>
        <v>Skip Audit row 257</v>
      </c>
    </row>
    <row r="258" customFormat="false" ht="15" hidden="false" customHeight="false" outlineLevel="0" collapsed="false">
      <c r="A258" s="22" t="str">
        <f aca="false">'Skip Audit'!U258</f>
        <v>Priority 1</v>
      </c>
      <c r="B258" s="22" t="s">
        <v>12988</v>
      </c>
      <c r="C258" s="22" t="str">
        <f aca="false">'Skip Audit'!A258</f>
        <v>SKP-2026-0347</v>
      </c>
      <c r="D258" s="23" t="n">
        <f aca="false">'Skip Audit'!C258</f>
        <v>46075</v>
      </c>
      <c r="E258" s="22" t="str">
        <f aca="false">'Skip Audit'!D258</f>
        <v>WL-01550</v>
      </c>
      <c r="F258" s="22" t="str">
        <f aca="false">'Skip Audit'!E258</f>
        <v>Brittany Grant</v>
      </c>
      <c r="G258" s="22" t="str">
        <f aca="false">'Skip Audit'!G258</f>
        <v>EW-1015</v>
      </c>
      <c r="H258" s="22" t="n">
        <v>0</v>
      </c>
      <c r="I258" s="22" t="str">
        <f aca="false">'Skip Audit'!T258</f>
        <v>No matching PDF; review after skip</v>
      </c>
      <c r="J258" s="22" t="str">
        <f aca="false">"Skip Audit row 258"</f>
        <v>Skip Audit row 258</v>
      </c>
    </row>
    <row r="259" customFormat="false" ht="15" hidden="false" customHeight="false" outlineLevel="0" collapsed="false">
      <c r="A259" s="22" t="str">
        <f aca="false">'Skip Audit'!U259</f>
        <v>Priority 1</v>
      </c>
      <c r="B259" s="22" t="s">
        <v>12988</v>
      </c>
      <c r="C259" s="22" t="str">
        <f aca="false">'Skip Audit'!A259</f>
        <v>SKP-2026-0348</v>
      </c>
      <c r="D259" s="23" t="n">
        <f aca="false">'Skip Audit'!C259</f>
        <v>46075</v>
      </c>
      <c r="E259" s="22" t="str">
        <f aca="false">'Skip Audit'!D259</f>
        <v>WL-02930</v>
      </c>
      <c r="F259" s="22" t="str">
        <f aca="false">'Skip Audit'!E259</f>
        <v>Carmen Strickland</v>
      </c>
      <c r="G259" s="22" t="str">
        <f aca="false">'Skip Audit'!G259</f>
        <v>LP-0915</v>
      </c>
      <c r="H259" s="22" t="n">
        <v>0</v>
      </c>
      <c r="I259" s="22" t="str">
        <f aca="false">'Skip Audit'!T259</f>
        <v>No matching PDF</v>
      </c>
      <c r="J259" s="22" t="str">
        <f aca="false">"Skip Audit row 259"</f>
        <v>Skip Audit row 259</v>
      </c>
    </row>
    <row r="260" customFormat="false" ht="15" hidden="false" customHeight="false" outlineLevel="0" collapsed="false">
      <c r="A260" s="22" t="str">
        <f aca="false">'Skip Audit'!U260</f>
        <v>Priority 1</v>
      </c>
      <c r="B260" s="22" t="s">
        <v>12988</v>
      </c>
      <c r="C260" s="22" t="str">
        <f aca="false">'Skip Audit'!A260</f>
        <v>SKP-2026-0349</v>
      </c>
      <c r="D260" s="23" t="n">
        <f aca="false">'Skip Audit'!C260</f>
        <v>46060</v>
      </c>
      <c r="E260" s="22" t="str">
        <f aca="false">'Skip Audit'!D260</f>
        <v>WL-03816</v>
      </c>
      <c r="F260" s="22" t="str">
        <f aca="false">'Skip Audit'!E260</f>
        <v>Brittany Lopez</v>
      </c>
      <c r="G260" s="22" t="str">
        <f aca="false">'Skip Audit'!G260</f>
        <v>EW-0804</v>
      </c>
      <c r="H260" s="22" t="n">
        <v>0</v>
      </c>
      <c r="I260" s="22" t="str">
        <f aca="false">'Skip Audit'!T260</f>
        <v>No matching PDF; review after skip</v>
      </c>
      <c r="J260" s="22" t="str">
        <f aca="false">"Skip Audit row 260"</f>
        <v>Skip Audit row 260</v>
      </c>
    </row>
    <row r="261" customFormat="false" ht="15" hidden="false" customHeight="false" outlineLevel="0" collapsed="false">
      <c r="A261" s="22" t="str">
        <f aca="false">'Skip Audit'!U261</f>
        <v>Priority 1</v>
      </c>
      <c r="B261" s="22" t="s">
        <v>12988</v>
      </c>
      <c r="C261" s="22" t="str">
        <f aca="false">'Skip Audit'!A261</f>
        <v>SKP-2026-0350</v>
      </c>
      <c r="D261" s="23" t="n">
        <f aca="false">'Skip Audit'!C261</f>
        <v>46093</v>
      </c>
      <c r="E261" s="22" t="str">
        <f aca="false">'Skip Audit'!D261</f>
        <v>WL-01038</v>
      </c>
      <c r="F261" s="22" t="str">
        <f aca="false">'Skip Audit'!E261</f>
        <v>Laura Collins</v>
      </c>
      <c r="G261" s="22" t="str">
        <f aca="false">'Skip Audit'!G261</f>
        <v>GW-0105</v>
      </c>
      <c r="H261" s="22" t="n">
        <v>0</v>
      </c>
      <c r="I261" s="22" t="str">
        <f aca="false">'Skip Audit'!T261</f>
        <v>No matching PDF; review after skip</v>
      </c>
      <c r="J261" s="22" t="str">
        <f aca="false">"Skip Audit row 261"</f>
        <v>Skip Audit row 261</v>
      </c>
    </row>
    <row r="262" customFormat="false" ht="15" hidden="false" customHeight="false" outlineLevel="0" collapsed="false">
      <c r="A262" s="22" t="str">
        <f aca="false">'Skip Audit'!U262</f>
        <v>Priority 1</v>
      </c>
      <c r="B262" s="22" t="s">
        <v>12988</v>
      </c>
      <c r="C262" s="22" t="str">
        <f aca="false">'Skip Audit'!A262</f>
        <v>SKP-2026-0351</v>
      </c>
      <c r="D262" s="23" t="n">
        <f aca="false">'Skip Audit'!C262</f>
        <v>46096</v>
      </c>
      <c r="E262" s="22" t="str">
        <f aca="false">'Skip Audit'!D262</f>
        <v>WL-02306</v>
      </c>
      <c r="F262" s="22" t="str">
        <f aca="false">'Skip Audit'!E262</f>
        <v>Lori Schneider</v>
      </c>
      <c r="G262" s="22" t="str">
        <f aca="false">'Skip Audit'!G262</f>
        <v>SB-0709</v>
      </c>
      <c r="H262" s="22" t="n">
        <v>0</v>
      </c>
      <c r="I262" s="22" t="str">
        <f aca="false">'Skip Audit'!T262</f>
        <v>No matching PDF; review after skip</v>
      </c>
      <c r="J262" s="22" t="str">
        <f aca="false">"Skip Audit row 262"</f>
        <v>Skip Audit row 262</v>
      </c>
    </row>
    <row r="263" customFormat="false" ht="15" hidden="false" customHeight="false" outlineLevel="0" collapsed="false">
      <c r="A263" s="22" t="str">
        <f aca="false">'Skip Audit'!U263</f>
        <v>Priority 1</v>
      </c>
      <c r="B263" s="22" t="s">
        <v>12988</v>
      </c>
      <c r="C263" s="22" t="str">
        <f aca="false">'Skip Audit'!A263</f>
        <v>SKP-2026-0352</v>
      </c>
      <c r="D263" s="23" t="n">
        <f aca="false">'Skip Audit'!C263</f>
        <v>46107</v>
      </c>
      <c r="E263" s="22" t="str">
        <f aca="false">'Skip Audit'!D263</f>
        <v>WL-01139</v>
      </c>
      <c r="F263" s="22" t="str">
        <f aca="false">'Skip Audit'!E263</f>
        <v>Zachary Martin</v>
      </c>
      <c r="G263" s="22" t="str">
        <f aca="false">'Skip Audit'!G263</f>
        <v>GW-0314</v>
      </c>
      <c r="H263" s="22" t="n">
        <v>0</v>
      </c>
      <c r="I263" s="22" t="str">
        <f aca="false">'Skip Audit'!T263</f>
        <v>No matching PDF; review after skip</v>
      </c>
      <c r="J263" s="22" t="str">
        <f aca="false">"Skip Audit row 263"</f>
        <v>Skip Audit row 263</v>
      </c>
    </row>
    <row r="264" customFormat="false" ht="15" hidden="false" customHeight="false" outlineLevel="0" collapsed="false">
      <c r="A264" s="22" t="str">
        <f aca="false">'Skip Audit'!U264</f>
        <v>Priority 1</v>
      </c>
      <c r="B264" s="22" t="s">
        <v>12988</v>
      </c>
      <c r="C264" s="22" t="str">
        <f aca="false">'Skip Audit'!A264</f>
        <v>SKP-2026-0353</v>
      </c>
      <c r="D264" s="23" t="n">
        <f aca="false">'Skip Audit'!C264</f>
        <v>46094</v>
      </c>
      <c r="E264" s="22" t="str">
        <f aca="false">'Skip Audit'!D264</f>
        <v>WL-03279</v>
      </c>
      <c r="F264" s="22" t="str">
        <f aca="false">'Skip Audit'!E264</f>
        <v>David Marshall</v>
      </c>
      <c r="G264" s="22" t="str">
        <f aca="false">'Skip Audit'!G264</f>
        <v>EW-0916</v>
      </c>
      <c r="H264" s="22" t="n">
        <v>0</v>
      </c>
      <c r="I264" s="22" t="str">
        <f aca="false">'Skip Audit'!T264</f>
        <v>No matching PDF; review after skip</v>
      </c>
      <c r="J264" s="22" t="str">
        <f aca="false">"Skip Audit row 264"</f>
        <v>Skip Audit row 264</v>
      </c>
    </row>
    <row r="265" customFormat="false" ht="15" hidden="false" customHeight="false" outlineLevel="0" collapsed="false">
      <c r="A265" s="22" t="str">
        <f aca="false">'Skip Audit'!U265</f>
        <v>Priority 1</v>
      </c>
      <c r="B265" s="22" t="s">
        <v>12988</v>
      </c>
      <c r="C265" s="22" t="str">
        <f aca="false">'Skip Audit'!A265</f>
        <v>SKP-2026-0354</v>
      </c>
      <c r="D265" s="23" t="n">
        <f aca="false">'Skip Audit'!C265</f>
        <v>46107</v>
      </c>
      <c r="E265" s="22" t="str">
        <f aca="false">'Skip Audit'!D265</f>
        <v>WL-03305</v>
      </c>
      <c r="F265" s="22" t="str">
        <f aca="false">'Skip Audit'!E265</f>
        <v>Monica Garcia</v>
      </c>
      <c r="G265" s="22" t="str">
        <f aca="false">'Skip Audit'!G265</f>
        <v>GW-0509</v>
      </c>
      <c r="H265" s="22" t="n">
        <v>0</v>
      </c>
      <c r="I265" s="22" t="str">
        <f aca="false">'Skip Audit'!T265</f>
        <v>No matching PDF; review after skip</v>
      </c>
      <c r="J265" s="22" t="str">
        <f aca="false">"Skip Audit row 265"</f>
        <v>Skip Audit row 265</v>
      </c>
    </row>
    <row r="266" customFormat="false" ht="15" hidden="false" customHeight="false" outlineLevel="0" collapsed="false">
      <c r="A266" s="22" t="str">
        <f aca="false">'Skip Audit'!U266</f>
        <v>Priority 1</v>
      </c>
      <c r="B266" s="22" t="s">
        <v>12988</v>
      </c>
      <c r="C266" s="22" t="str">
        <f aca="false">'Skip Audit'!A266</f>
        <v>SKP-2026-0355</v>
      </c>
      <c r="D266" s="23" t="n">
        <f aca="false">'Skip Audit'!C266</f>
        <v>46099</v>
      </c>
      <c r="E266" s="22" t="str">
        <f aca="false">'Skip Audit'!D266</f>
        <v>WL-02417</v>
      </c>
      <c r="F266" s="22" t="str">
        <f aca="false">'Skip Audit'!E266</f>
        <v>Eric Benjamin</v>
      </c>
      <c r="G266" s="22" t="str">
        <f aca="false">'Skip Audit'!G266</f>
        <v>GW-0323</v>
      </c>
      <c r="H266" s="22" t="n">
        <v>0</v>
      </c>
      <c r="I266" s="22" t="str">
        <f aca="false">'Skip Audit'!T266</f>
        <v>No matching PDF; review after skip</v>
      </c>
      <c r="J266" s="22" t="str">
        <f aca="false">"Skip Audit row 266"</f>
        <v>Skip Audit row 266</v>
      </c>
    </row>
    <row r="267" customFormat="false" ht="15" hidden="false" customHeight="false" outlineLevel="0" collapsed="false">
      <c r="A267" s="22" t="str">
        <f aca="false">'Skip Audit'!U267</f>
        <v>Priority 1</v>
      </c>
      <c r="B267" s="22" t="s">
        <v>12988</v>
      </c>
      <c r="C267" s="22" t="str">
        <f aca="false">'Skip Audit'!A267</f>
        <v>SKP-2026-0356</v>
      </c>
      <c r="D267" s="23" t="n">
        <f aca="false">'Skip Audit'!C267</f>
        <v>46113</v>
      </c>
      <c r="E267" s="22" t="str">
        <f aca="false">'Skip Audit'!D267</f>
        <v>WL-01084</v>
      </c>
      <c r="F267" s="22" t="str">
        <f aca="false">'Skip Audit'!E267</f>
        <v>Lisa Adams</v>
      </c>
      <c r="G267" s="22" t="str">
        <f aca="false">'Skip Audit'!G267</f>
        <v>SB-0419</v>
      </c>
      <c r="H267" s="22" t="n">
        <v>0</v>
      </c>
      <c r="I267" s="22" t="str">
        <f aca="false">'Skip Audit'!T267</f>
        <v>No matching PDF; review after skip</v>
      </c>
      <c r="J267" s="22" t="str">
        <f aca="false">"Skip Audit row 267"</f>
        <v>Skip Audit row 267</v>
      </c>
    </row>
    <row r="268" customFormat="false" ht="15" hidden="false" customHeight="false" outlineLevel="0" collapsed="false">
      <c r="A268" s="22" t="str">
        <f aca="false">'Skip Audit'!U268</f>
        <v>Priority 1</v>
      </c>
      <c r="B268" s="22" t="s">
        <v>12988</v>
      </c>
      <c r="C268" s="22" t="str">
        <f aca="false">'Skip Audit'!A268</f>
        <v>SKP-2026-0357</v>
      </c>
      <c r="D268" s="23" t="n">
        <f aca="false">'Skip Audit'!C268</f>
        <v>46117</v>
      </c>
      <c r="E268" s="22" t="str">
        <f aca="false">'Skip Audit'!D268</f>
        <v>WL-03306</v>
      </c>
      <c r="F268" s="22" t="str">
        <f aca="false">'Skip Audit'!E268</f>
        <v>Rebecca Martin</v>
      </c>
      <c r="G268" s="22" t="str">
        <f aca="false">'Skip Audit'!G268</f>
        <v>SB-0307</v>
      </c>
      <c r="H268" s="22" t="n">
        <v>0</v>
      </c>
      <c r="I268" s="22" t="str">
        <f aca="false">'Skip Audit'!T268</f>
        <v>No matching PDF; review after skip</v>
      </c>
      <c r="J268" s="22" t="str">
        <f aca="false">"Skip Audit row 268"</f>
        <v>Skip Audit row 268</v>
      </c>
    </row>
    <row r="269" customFormat="false" ht="15" hidden="false" customHeight="false" outlineLevel="0" collapsed="false">
      <c r="A269" s="22" t="str">
        <f aca="false">'Skip Audit'!U269</f>
        <v>Priority 1</v>
      </c>
      <c r="B269" s="22" t="s">
        <v>12988</v>
      </c>
      <c r="C269" s="22" t="str">
        <f aca="false">'Skip Audit'!A269</f>
        <v>SKP-2026-0358</v>
      </c>
      <c r="D269" s="23" t="n">
        <f aca="false">'Skip Audit'!C269</f>
        <v>46116</v>
      </c>
      <c r="E269" s="22" t="str">
        <f aca="false">'Skip Audit'!D269</f>
        <v>WL-01283</v>
      </c>
      <c r="F269" s="22" t="str">
        <f aca="false">'Skip Audit'!E269</f>
        <v>Jay Gregory</v>
      </c>
      <c r="G269" s="22" t="str">
        <f aca="false">'Skip Audit'!G269</f>
        <v>SB-0911</v>
      </c>
      <c r="H269" s="22" t="n">
        <v>0</v>
      </c>
      <c r="I269" s="22" t="str">
        <f aca="false">'Skip Audit'!T269</f>
        <v>No matching PDF; review after skip</v>
      </c>
      <c r="J269" s="22" t="str">
        <f aca="false">"Skip Audit row 269"</f>
        <v>Skip Audit row 269</v>
      </c>
    </row>
    <row r="270" customFormat="false" ht="15" hidden="false" customHeight="false" outlineLevel="0" collapsed="false">
      <c r="A270" s="22" t="str">
        <f aca="false">'Skip Audit'!U270</f>
        <v>Priority 1</v>
      </c>
      <c r="B270" s="22" t="s">
        <v>12988</v>
      </c>
      <c r="C270" s="22" t="str">
        <f aca="false">'Skip Audit'!A270</f>
        <v>SKP-2026-0359</v>
      </c>
      <c r="D270" s="23" t="n">
        <f aca="false">'Skip Audit'!C270</f>
        <v>46113</v>
      </c>
      <c r="E270" s="22" t="str">
        <f aca="false">'Skip Audit'!D270</f>
        <v>WL-02766</v>
      </c>
      <c r="F270" s="22" t="str">
        <f aca="false">'Skip Audit'!E270</f>
        <v>Valerie Macias</v>
      </c>
      <c r="G270" s="22" t="str">
        <f aca="false">'Skip Audit'!G270</f>
        <v>SB-0908</v>
      </c>
      <c r="H270" s="22" t="n">
        <v>0</v>
      </c>
      <c r="I270" s="22" t="str">
        <f aca="false">'Skip Audit'!T270</f>
        <v>No matching PDF; review after skip</v>
      </c>
      <c r="J270" s="22" t="str">
        <f aca="false">"Skip Audit row 270"</f>
        <v>Skip Audit row 270</v>
      </c>
    </row>
    <row r="271" customFormat="false" ht="15" hidden="false" customHeight="false" outlineLevel="0" collapsed="false">
      <c r="A271" s="22" t="str">
        <f aca="false">'Skip Audit'!U271</f>
        <v>Priority 1</v>
      </c>
      <c r="B271" s="22" t="s">
        <v>12988</v>
      </c>
      <c r="C271" s="22" t="str">
        <f aca="false">'Skip Audit'!A271</f>
        <v>SKP-2026-0360</v>
      </c>
      <c r="D271" s="23" t="n">
        <f aca="false">'Skip Audit'!C271</f>
        <v>46117</v>
      </c>
      <c r="E271" s="22" t="str">
        <f aca="false">'Skip Audit'!D271</f>
        <v>WL-03088</v>
      </c>
      <c r="F271" s="22" t="str">
        <f aca="false">'Skip Audit'!E271</f>
        <v>Heather Williams</v>
      </c>
      <c r="G271" s="22" t="str">
        <f aca="false">'Skip Audit'!G271</f>
        <v>SB-0213</v>
      </c>
      <c r="H271" s="22" t="n">
        <v>0</v>
      </c>
      <c r="I271" s="22" t="str">
        <f aca="false">'Skip Audit'!T271</f>
        <v>No matching PDF; review after skip</v>
      </c>
      <c r="J271" s="22" t="str">
        <f aca="false">"Skip Audit row 271"</f>
        <v>Skip Audit row 271</v>
      </c>
    </row>
    <row r="272" customFormat="false" ht="15" hidden="false" customHeight="false" outlineLevel="0" collapsed="false">
      <c r="A272" s="22" t="str">
        <f aca="false">'Skip Audit'!U272</f>
        <v>Priority 1</v>
      </c>
      <c r="B272" s="22" t="s">
        <v>12988</v>
      </c>
      <c r="C272" s="22" t="str">
        <f aca="false">'Skip Audit'!A272</f>
        <v>SKP-2026-0361</v>
      </c>
      <c r="D272" s="23" t="n">
        <f aca="false">'Skip Audit'!C272</f>
        <v>46124</v>
      </c>
      <c r="E272" s="22" t="str">
        <f aca="false">'Skip Audit'!D272</f>
        <v>WL-03139</v>
      </c>
      <c r="F272" s="22" t="str">
        <f aca="false">'Skip Audit'!E272</f>
        <v>Stanley Peterson</v>
      </c>
      <c r="G272" s="22" t="str">
        <f aca="false">'Skip Audit'!G272</f>
        <v>GW-0601</v>
      </c>
      <c r="H272" s="22" t="n">
        <v>0</v>
      </c>
      <c r="I272" s="22" t="str">
        <f aca="false">'Skip Audit'!T272</f>
        <v>No matching PDF</v>
      </c>
      <c r="J272" s="22" t="str">
        <f aca="false">"Skip Audit row 272"</f>
        <v>Skip Audit row 272</v>
      </c>
    </row>
    <row r="273" customFormat="false" ht="15" hidden="false" customHeight="false" outlineLevel="0" collapsed="false">
      <c r="A273" s="22" t="str">
        <f aca="false">'Skip Audit'!U273</f>
        <v>Priority 1</v>
      </c>
      <c r="B273" s="22" t="s">
        <v>12988</v>
      </c>
      <c r="C273" s="22" t="str">
        <f aca="false">'Skip Audit'!A273</f>
        <v>SKP-2026-0362</v>
      </c>
      <c r="D273" s="23" t="n">
        <f aca="false">'Skip Audit'!C273</f>
        <v>46125</v>
      </c>
      <c r="E273" s="22" t="str">
        <f aca="false">'Skip Audit'!D273</f>
        <v>WL-02120</v>
      </c>
      <c r="F273" s="22" t="str">
        <f aca="false">'Skip Audit'!E273</f>
        <v>Jerry Reyes</v>
      </c>
      <c r="G273" s="22" t="str">
        <f aca="false">'Skip Audit'!G273</f>
        <v>LP-0312</v>
      </c>
      <c r="H273" s="22" t="n">
        <v>0</v>
      </c>
      <c r="I273" s="22" t="str">
        <f aca="false">'Skip Audit'!T273</f>
        <v>No matching PDF; review after skip</v>
      </c>
      <c r="J273" s="22" t="str">
        <f aca="false">"Skip Audit row 273"</f>
        <v>Skip Audit row 273</v>
      </c>
    </row>
    <row r="274" customFormat="false" ht="15" hidden="false" customHeight="false" outlineLevel="0" collapsed="false">
      <c r="A274" s="22" t="str">
        <f aca="false">'Skip Audit'!U274</f>
        <v>Priority 1</v>
      </c>
      <c r="B274" s="22" t="s">
        <v>12988</v>
      </c>
      <c r="C274" s="22" t="str">
        <f aca="false">'Skip Audit'!A274</f>
        <v>SKP-2026-0363</v>
      </c>
      <c r="D274" s="23" t="n">
        <f aca="false">'Skip Audit'!C274</f>
        <v>46118</v>
      </c>
      <c r="E274" s="22" t="str">
        <f aca="false">'Skip Audit'!D274</f>
        <v>WL-02353</v>
      </c>
      <c r="F274" s="22" t="str">
        <f aca="false">'Skip Audit'!E274</f>
        <v>Jonathan Freeman</v>
      </c>
      <c r="G274" s="22" t="str">
        <f aca="false">'Skip Audit'!G274</f>
        <v>LP-0601</v>
      </c>
      <c r="H274" s="22" t="n">
        <v>0</v>
      </c>
      <c r="I274" s="22" t="str">
        <f aca="false">'Skip Audit'!T274</f>
        <v>No matching PDF; review after skip</v>
      </c>
      <c r="J274" s="22" t="str">
        <f aca="false">"Skip Audit row 274"</f>
        <v>Skip Audit row 274</v>
      </c>
    </row>
    <row r="275" customFormat="false" ht="15" hidden="false" customHeight="false" outlineLevel="0" collapsed="false">
      <c r="A275" s="22" t="str">
        <f aca="false">'Skip Audit'!U275</f>
        <v>Priority 1</v>
      </c>
      <c r="B275" s="22" t="s">
        <v>12988</v>
      </c>
      <c r="C275" s="22" t="str">
        <f aca="false">'Skip Audit'!A275</f>
        <v>SKP-2026-0364</v>
      </c>
      <c r="D275" s="23" t="n">
        <f aca="false">'Skip Audit'!C275</f>
        <v>46131</v>
      </c>
      <c r="E275" s="22" t="str">
        <f aca="false">'Skip Audit'!D275</f>
        <v>WL-02504</v>
      </c>
      <c r="F275" s="22" t="str">
        <f aca="false">'Skip Audit'!E275</f>
        <v>Crystal Stevenson</v>
      </c>
      <c r="G275" s="22" t="str">
        <f aca="false">'Skip Audit'!G275</f>
        <v>SB-0104</v>
      </c>
      <c r="H275" s="22" t="n">
        <v>0</v>
      </c>
      <c r="I275" s="22" t="str">
        <f aca="false">'Skip Audit'!T275</f>
        <v>No matching PDF; review after skip</v>
      </c>
      <c r="J275" s="22" t="str">
        <f aca="false">"Skip Audit row 275"</f>
        <v>Skip Audit row 275</v>
      </c>
    </row>
    <row r="276" customFormat="false" ht="15" hidden="false" customHeight="false" outlineLevel="0" collapsed="false">
      <c r="A276" s="22" t="str">
        <f aca="false">'Skip Audit'!U276</f>
        <v>Priority 1</v>
      </c>
      <c r="B276" s="22" t="s">
        <v>12988</v>
      </c>
      <c r="C276" s="22" t="str">
        <f aca="false">'Skip Audit'!A276</f>
        <v>SKP-2026-0365</v>
      </c>
      <c r="D276" s="23" t="n">
        <f aca="false">'Skip Audit'!C276</f>
        <v>46129</v>
      </c>
      <c r="E276" s="22" t="str">
        <f aca="false">'Skip Audit'!D276</f>
        <v>WL-02706</v>
      </c>
      <c r="F276" s="22" t="str">
        <f aca="false">'Skip Audit'!E276</f>
        <v>Allison Fisher</v>
      </c>
      <c r="G276" s="22" t="str">
        <f aca="false">'Skip Audit'!G276</f>
        <v>GW-0513</v>
      </c>
      <c r="H276" s="22" t="n">
        <v>0</v>
      </c>
      <c r="I276" s="22" t="str">
        <f aca="false">'Skip Audit'!T276</f>
        <v>No matching PDF; review after skip</v>
      </c>
      <c r="J276" s="22" t="str">
        <f aca="false">"Skip Audit row 276"</f>
        <v>Skip Audit row 276</v>
      </c>
    </row>
    <row r="277" customFormat="false" ht="15" hidden="false" customHeight="false" outlineLevel="0" collapsed="false">
      <c r="A277" s="22" t="str">
        <f aca="false">'Skip Audit'!U277</f>
        <v>Priority 1</v>
      </c>
      <c r="B277" s="22" t="s">
        <v>12988</v>
      </c>
      <c r="C277" s="22" t="str">
        <f aca="false">'Skip Audit'!A277</f>
        <v>SKP-2026-0366</v>
      </c>
      <c r="D277" s="23" t="n">
        <f aca="false">'Skip Audit'!C277</f>
        <v>46114</v>
      </c>
      <c r="E277" s="22" t="str">
        <f aca="false">'Skip Audit'!D277</f>
        <v>WL-01288</v>
      </c>
      <c r="F277" s="22" t="str">
        <f aca="false">'Skip Audit'!E277</f>
        <v>Christopher Riley</v>
      </c>
      <c r="G277" s="22" t="str">
        <f aca="false">'Skip Audit'!G277</f>
        <v>VB-0916</v>
      </c>
      <c r="H277" s="22" t="n">
        <v>0</v>
      </c>
      <c r="I277" s="22" t="str">
        <f aca="false">'Skip Audit'!T277</f>
        <v>No matching PDF; review after skip</v>
      </c>
      <c r="J277" s="22" t="str">
        <f aca="false">"Skip Audit row 277"</f>
        <v>Skip Audit row 277</v>
      </c>
    </row>
    <row r="278" customFormat="false" ht="15" hidden="false" customHeight="false" outlineLevel="0" collapsed="false">
      <c r="A278" s="22" t="str">
        <f aca="false">'Skip Audit'!U278</f>
        <v>Priority 1</v>
      </c>
      <c r="B278" s="22" t="s">
        <v>12988</v>
      </c>
      <c r="C278" s="22" t="str">
        <f aca="false">'Skip Audit'!A278</f>
        <v>SKP-2026-0367</v>
      </c>
      <c r="D278" s="23" t="n">
        <f aca="false">'Skip Audit'!C278</f>
        <v>46119</v>
      </c>
      <c r="E278" s="22" t="str">
        <f aca="false">'Skip Audit'!D278</f>
        <v>WL-02639</v>
      </c>
      <c r="F278" s="22" t="str">
        <f aca="false">'Skip Audit'!E278</f>
        <v>Ronald Moore</v>
      </c>
      <c r="G278" s="22" t="str">
        <f aca="false">'Skip Audit'!G278</f>
        <v>LP-1102</v>
      </c>
      <c r="H278" s="22" t="n">
        <v>0</v>
      </c>
      <c r="I278" s="22" t="str">
        <f aca="false">'Skip Audit'!T278</f>
        <v>No matching PDF; review after skip</v>
      </c>
      <c r="J278" s="22" t="str">
        <f aca="false">"Skip Audit row 278"</f>
        <v>Skip Audit row 278</v>
      </c>
    </row>
    <row r="279" customFormat="false" ht="15" hidden="false" customHeight="false" outlineLevel="0" collapsed="false">
      <c r="A279" s="22" t="str">
        <f aca="false">'Skip Audit'!U279</f>
        <v>Priority 1</v>
      </c>
      <c r="B279" s="22" t="s">
        <v>12988</v>
      </c>
      <c r="C279" s="22" t="str">
        <f aca="false">'Skip Audit'!A279</f>
        <v>SKP-2026-0368</v>
      </c>
      <c r="D279" s="23" t="n">
        <f aca="false">'Skip Audit'!C279</f>
        <v>46151</v>
      </c>
      <c r="E279" s="22" t="str">
        <f aca="false">'Skip Audit'!D279</f>
        <v>WL-03754</v>
      </c>
      <c r="F279" s="22" t="str">
        <f aca="false">'Skip Audit'!E279</f>
        <v>Carolyn Ali</v>
      </c>
      <c r="G279" s="22" t="str">
        <f aca="false">'Skip Audit'!G279</f>
        <v>LP-0923</v>
      </c>
      <c r="H279" s="22" t="n">
        <v>0</v>
      </c>
      <c r="I279" s="22" t="str">
        <f aca="false">'Skip Audit'!T279</f>
        <v>No matching PDF</v>
      </c>
      <c r="J279" s="22" t="str">
        <f aca="false">"Skip Audit row 279"</f>
        <v>Skip Audit row 279</v>
      </c>
    </row>
    <row r="280" customFormat="false" ht="15" hidden="false" customHeight="false" outlineLevel="0" collapsed="false">
      <c r="A280" s="22" t="str">
        <f aca="false">'Skip Audit'!U280</f>
        <v>Priority 1</v>
      </c>
      <c r="B280" s="22" t="s">
        <v>12988</v>
      </c>
      <c r="C280" s="22" t="str">
        <f aca="false">'Skip Audit'!A280</f>
        <v>SKP-2026-0369</v>
      </c>
      <c r="D280" s="23" t="n">
        <f aca="false">'Skip Audit'!C280</f>
        <v>46148</v>
      </c>
      <c r="E280" s="22" t="str">
        <f aca="false">'Skip Audit'!D280</f>
        <v>WL-01205</v>
      </c>
      <c r="F280" s="22" t="str">
        <f aca="false">'Skip Audit'!E280</f>
        <v>Brian Osborne</v>
      </c>
      <c r="G280" s="22" t="str">
        <f aca="false">'Skip Audit'!G280</f>
        <v>GW-0620</v>
      </c>
      <c r="H280" s="22" t="n">
        <v>0</v>
      </c>
      <c r="I280" s="22" t="str">
        <f aca="false">'Skip Audit'!T280</f>
        <v>No matching PDF; review after skip</v>
      </c>
      <c r="J280" s="22" t="str">
        <f aca="false">"Skip Audit row 280"</f>
        <v>Skip Audit row 280</v>
      </c>
    </row>
    <row r="281" customFormat="false" ht="15" hidden="false" customHeight="false" outlineLevel="0" collapsed="false">
      <c r="A281" s="22" t="str">
        <f aca="false">'Skip Audit'!U281</f>
        <v>Priority 1</v>
      </c>
      <c r="B281" s="22" t="s">
        <v>12988</v>
      </c>
      <c r="C281" s="22" t="str">
        <f aca="false">'Skip Audit'!A281</f>
        <v>SKP-2026-0370</v>
      </c>
      <c r="D281" s="23" t="n">
        <f aca="false">'Skip Audit'!C281</f>
        <v>46160</v>
      </c>
      <c r="E281" s="22" t="str">
        <f aca="false">'Skip Audit'!D281</f>
        <v>WL-03607</v>
      </c>
      <c r="F281" s="22" t="str">
        <f aca="false">'Skip Audit'!E281</f>
        <v>Ross Green</v>
      </c>
      <c r="G281" s="22" t="str">
        <f aca="false">'Skip Audit'!G281</f>
        <v>LP-1105</v>
      </c>
      <c r="H281" s="22" t="n">
        <v>0</v>
      </c>
      <c r="I281" s="22" t="str">
        <f aca="false">'Skip Audit'!T281</f>
        <v>No matching PDF; review after skip</v>
      </c>
      <c r="J281" s="22" t="str">
        <f aca="false">"Skip Audit row 281"</f>
        <v>Skip Audit row 281</v>
      </c>
    </row>
    <row r="282" customFormat="false" ht="15" hidden="false" customHeight="false" outlineLevel="0" collapsed="false">
      <c r="A282" s="22" t="str">
        <f aca="false">'Skip Audit'!U282</f>
        <v>Priority 1</v>
      </c>
      <c r="B282" s="22" t="s">
        <v>12988</v>
      </c>
      <c r="C282" s="22" t="str">
        <f aca="false">'Skip Audit'!A282</f>
        <v>SKP-2026-0371</v>
      </c>
      <c r="D282" s="23" t="n">
        <f aca="false">'Skip Audit'!C282</f>
        <v>46150</v>
      </c>
      <c r="E282" s="22" t="str">
        <f aca="false">'Skip Audit'!D282</f>
        <v>WL-03896</v>
      </c>
      <c r="F282" s="22" t="str">
        <f aca="false">'Skip Audit'!E282</f>
        <v>Stephen Hammond</v>
      </c>
      <c r="G282" s="22" t="str">
        <f aca="false">'Skip Audit'!G282</f>
        <v>LP-0220</v>
      </c>
      <c r="H282" s="22" t="n">
        <v>0</v>
      </c>
      <c r="I282" s="22" t="str">
        <f aca="false">'Skip Audit'!T282</f>
        <v>No matching PDF</v>
      </c>
      <c r="J282" s="22" t="str">
        <f aca="false">"Skip Audit row 282"</f>
        <v>Skip Audit row 282</v>
      </c>
    </row>
    <row r="283" customFormat="false" ht="15" hidden="false" customHeight="false" outlineLevel="0" collapsed="false">
      <c r="A283" s="22" t="str">
        <f aca="false">'Skip Audit'!U283</f>
        <v>Priority 1</v>
      </c>
      <c r="B283" s="22" t="s">
        <v>12988</v>
      </c>
      <c r="C283" s="22" t="str">
        <f aca="false">'Skip Audit'!A283</f>
        <v>SKP-2026-0372</v>
      </c>
      <c r="D283" s="23" t="n">
        <f aca="false">'Skip Audit'!C283</f>
        <v>46166</v>
      </c>
      <c r="E283" s="22" t="str">
        <f aca="false">'Skip Audit'!D283</f>
        <v>WL-03247</v>
      </c>
      <c r="F283" s="22" t="str">
        <f aca="false">'Skip Audit'!E283</f>
        <v>Tina Armstrong</v>
      </c>
      <c r="G283" s="22" t="str">
        <f aca="false">'Skip Audit'!G283</f>
        <v>VB-0916</v>
      </c>
      <c r="H283" s="22" t="n">
        <v>0</v>
      </c>
      <c r="I283" s="22" t="str">
        <f aca="false">'Skip Audit'!T283</f>
        <v>No matching PDF; review after skip</v>
      </c>
      <c r="J283" s="22" t="str">
        <f aca="false">"Skip Audit row 283"</f>
        <v>Skip Audit row 283</v>
      </c>
    </row>
    <row r="284" customFormat="false" ht="15" hidden="false" customHeight="false" outlineLevel="0" collapsed="false">
      <c r="A284" s="22" t="str">
        <f aca="false">'Skip Audit'!U284</f>
        <v>Priority 1</v>
      </c>
      <c r="B284" s="22" t="s">
        <v>12988</v>
      </c>
      <c r="C284" s="22" t="str">
        <f aca="false">'Skip Audit'!A284</f>
        <v>SKP-2026-0373</v>
      </c>
      <c r="D284" s="23" t="n">
        <f aca="false">'Skip Audit'!C284</f>
        <v>46144</v>
      </c>
      <c r="E284" s="22" t="str">
        <f aca="false">'Skip Audit'!D284</f>
        <v>WL-02671</v>
      </c>
      <c r="F284" s="22" t="str">
        <f aca="false">'Skip Audit'!E284</f>
        <v>Monica Stephens</v>
      </c>
      <c r="G284" s="22" t="str">
        <f aca="false">'Skip Audit'!G284</f>
        <v>LP-1019</v>
      </c>
      <c r="H284" s="22" t="n">
        <v>0</v>
      </c>
      <c r="I284" s="22" t="str">
        <f aca="false">'Skip Audit'!T284</f>
        <v>No matching PDF; review after skip</v>
      </c>
      <c r="J284" s="22" t="str">
        <f aca="false">"Skip Audit row 284"</f>
        <v>Skip Audit row 284</v>
      </c>
    </row>
    <row r="285" customFormat="false" ht="15" hidden="false" customHeight="false" outlineLevel="0" collapsed="false">
      <c r="A285" s="22" t="str">
        <f aca="false">'Skip Audit'!U285</f>
        <v>Priority 1</v>
      </c>
      <c r="B285" s="22" t="s">
        <v>12988</v>
      </c>
      <c r="C285" s="22" t="str">
        <f aca="false">'Skip Audit'!A285</f>
        <v>SKP-2026-0374</v>
      </c>
      <c r="D285" s="23" t="n">
        <f aca="false">'Skip Audit'!C285</f>
        <v>46153</v>
      </c>
      <c r="E285" s="22" t="str">
        <f aca="false">'Skip Audit'!D285</f>
        <v>WL-01404</v>
      </c>
      <c r="F285" s="22" t="str">
        <f aca="false">'Skip Audit'!E285</f>
        <v>Eric Boyle</v>
      </c>
      <c r="G285" s="22" t="str">
        <f aca="false">'Skip Audit'!G285</f>
        <v>VB-0619</v>
      </c>
      <c r="H285" s="22" t="n">
        <v>0</v>
      </c>
      <c r="I285" s="22" t="str">
        <f aca="false">'Skip Audit'!T285</f>
        <v>No matching PDF; review after skip</v>
      </c>
      <c r="J285" s="22" t="str">
        <f aca="false">"Skip Audit row 285"</f>
        <v>Skip Audit row 285</v>
      </c>
    </row>
    <row r="286" customFormat="false" ht="15" hidden="false" customHeight="false" outlineLevel="0" collapsed="false">
      <c r="A286" s="22" t="str">
        <f aca="false">'Skip Audit'!U286</f>
        <v>Priority 1</v>
      </c>
      <c r="B286" s="22" t="s">
        <v>12988</v>
      </c>
      <c r="C286" s="22" t="str">
        <f aca="false">'Skip Audit'!A286</f>
        <v>SKP-2026-0375</v>
      </c>
      <c r="D286" s="23" t="n">
        <f aca="false">'Skip Audit'!C286</f>
        <v>46160</v>
      </c>
      <c r="E286" s="22" t="str">
        <f aca="false">'Skip Audit'!D286</f>
        <v>WL-01299</v>
      </c>
      <c r="F286" s="22" t="str">
        <f aca="false">'Skip Audit'!E286</f>
        <v>Wayne Andrews</v>
      </c>
      <c r="G286" s="22" t="str">
        <f aca="false">'Skip Audit'!G286</f>
        <v>GW-0814</v>
      </c>
      <c r="H286" s="22" t="n">
        <v>0</v>
      </c>
      <c r="I286" s="22" t="str">
        <f aca="false">'Skip Audit'!T286</f>
        <v>No matching PDF; review after skip</v>
      </c>
      <c r="J286" s="22" t="str">
        <f aca="false">"Skip Audit row 286"</f>
        <v>Skip Audit row 286</v>
      </c>
    </row>
    <row r="287" customFormat="false" ht="15" hidden="false" customHeight="false" outlineLevel="0" collapsed="false">
      <c r="A287" s="22" t="str">
        <f aca="false">'Skip Audit'!U287</f>
        <v>Priority 1</v>
      </c>
      <c r="B287" s="22" t="s">
        <v>12988</v>
      </c>
      <c r="C287" s="22" t="str">
        <f aca="false">'Skip Audit'!A287</f>
        <v>SKP-2026-0376</v>
      </c>
      <c r="D287" s="23" t="n">
        <f aca="false">'Skip Audit'!C287</f>
        <v>46144</v>
      </c>
      <c r="E287" s="22" t="str">
        <f aca="false">'Skip Audit'!D287</f>
        <v>WL-03152</v>
      </c>
      <c r="F287" s="22" t="str">
        <f aca="false">'Skip Audit'!E287</f>
        <v>Kenneth Simmons</v>
      </c>
      <c r="G287" s="22" t="str">
        <f aca="false">'Skip Audit'!G287</f>
        <v>LP-0104</v>
      </c>
      <c r="H287" s="22" t="n">
        <v>0</v>
      </c>
      <c r="I287" s="22" t="str">
        <f aca="false">'Skip Audit'!T287</f>
        <v>No matching PDF; review after skip</v>
      </c>
      <c r="J287" s="22" t="str">
        <f aca="false">"Skip Audit row 287"</f>
        <v>Skip Audit row 287</v>
      </c>
    </row>
    <row r="288" customFormat="false" ht="15" hidden="false" customHeight="false" outlineLevel="0" collapsed="false">
      <c r="A288" s="22" t="str">
        <f aca="false">'Skip Audit'!U288</f>
        <v>Priority 1</v>
      </c>
      <c r="B288" s="22" t="s">
        <v>12988</v>
      </c>
      <c r="C288" s="22" t="str">
        <f aca="false">'Skip Audit'!A288</f>
        <v>SKP-2026-0377</v>
      </c>
      <c r="D288" s="23" t="n">
        <f aca="false">'Skip Audit'!C288</f>
        <v>46156</v>
      </c>
      <c r="E288" s="22" t="str">
        <f aca="false">'Skip Audit'!D288</f>
        <v>WL-01255</v>
      </c>
      <c r="F288" s="22" t="str">
        <f aca="false">'Skip Audit'!E288</f>
        <v>Dana Walker</v>
      </c>
      <c r="G288" s="22" t="str">
        <f aca="false">'Skip Audit'!G288</f>
        <v>EW-0522</v>
      </c>
      <c r="H288" s="22" t="n">
        <v>0</v>
      </c>
      <c r="I288" s="22" t="str">
        <f aca="false">'Skip Audit'!T288</f>
        <v>No matching PDF; review after skip</v>
      </c>
      <c r="J288" s="22" t="str">
        <f aca="false">"Skip Audit row 288"</f>
        <v>Skip Audit row 288</v>
      </c>
    </row>
    <row r="289" customFormat="false" ht="15" hidden="false" customHeight="false" outlineLevel="0" collapsed="false">
      <c r="A289" s="22" t="str">
        <f aca="false">'Skip Audit'!U289</f>
        <v>Priority 1</v>
      </c>
      <c r="B289" s="22" t="s">
        <v>12988</v>
      </c>
      <c r="C289" s="22" t="str">
        <f aca="false">'Skip Audit'!A289</f>
        <v>SKP-2026-0378</v>
      </c>
      <c r="D289" s="23" t="n">
        <f aca="false">'Skip Audit'!C289</f>
        <v>46152</v>
      </c>
      <c r="E289" s="22" t="str">
        <f aca="false">'Skip Audit'!D289</f>
        <v>WL-01109</v>
      </c>
      <c r="F289" s="22" t="str">
        <f aca="false">'Skip Audit'!E289</f>
        <v>Patrick Sanchez</v>
      </c>
      <c r="G289" s="22" t="str">
        <f aca="false">'Skip Audit'!G289</f>
        <v>LP-0820</v>
      </c>
      <c r="H289" s="22" t="n">
        <v>0</v>
      </c>
      <c r="I289" s="22" t="str">
        <f aca="false">'Skip Audit'!T289</f>
        <v>No matching PDF; review after skip</v>
      </c>
      <c r="J289" s="22" t="str">
        <f aca="false">"Skip Audit row 289"</f>
        <v>Skip Audit row 289</v>
      </c>
    </row>
    <row r="290" customFormat="false" ht="15" hidden="false" customHeight="false" outlineLevel="0" collapsed="false">
      <c r="A290" s="22" t="str">
        <f aca="false">'Skip Audit'!U290</f>
        <v>Priority 1</v>
      </c>
      <c r="B290" s="22" t="s">
        <v>12988</v>
      </c>
      <c r="C290" s="22" t="str">
        <f aca="false">'Skip Audit'!A290</f>
        <v>SKP-2026-0379</v>
      </c>
      <c r="D290" s="23" t="n">
        <f aca="false">'Skip Audit'!C290</f>
        <v>46175</v>
      </c>
      <c r="E290" s="22" t="str">
        <f aca="false">'Skip Audit'!D290</f>
        <v>WL-02315</v>
      </c>
      <c r="F290" s="22" t="str">
        <f aca="false">'Skip Audit'!E290</f>
        <v>Mitchell Mendez</v>
      </c>
      <c r="G290" s="22" t="str">
        <f aca="false">'Skip Audit'!G290</f>
        <v>SB-0302</v>
      </c>
      <c r="H290" s="22" t="n">
        <v>0</v>
      </c>
      <c r="I290" s="22" t="str">
        <f aca="false">'Skip Audit'!T290</f>
        <v>No matching PDF</v>
      </c>
      <c r="J290" s="22" t="str">
        <f aca="false">"Skip Audit row 290"</f>
        <v>Skip Audit row 290</v>
      </c>
    </row>
    <row r="291" customFormat="false" ht="15" hidden="false" customHeight="false" outlineLevel="0" collapsed="false">
      <c r="A291" s="22" t="str">
        <f aca="false">'Skip Audit'!U291</f>
        <v>Priority 1</v>
      </c>
      <c r="B291" s="22" t="s">
        <v>12988</v>
      </c>
      <c r="C291" s="22" t="str">
        <f aca="false">'Skip Audit'!A291</f>
        <v>SKP-2026-0380</v>
      </c>
      <c r="D291" s="23" t="n">
        <f aca="false">'Skip Audit'!C291</f>
        <v>46194</v>
      </c>
      <c r="E291" s="22" t="str">
        <f aca="false">'Skip Audit'!D291</f>
        <v>WL-03078</v>
      </c>
      <c r="F291" s="22" t="str">
        <f aca="false">'Skip Audit'!E291</f>
        <v>Rachael Mitchell</v>
      </c>
      <c r="G291" s="22" t="str">
        <f aca="false">'Skip Audit'!G291</f>
        <v>VB-0415</v>
      </c>
      <c r="H291" s="22" t="n">
        <v>0</v>
      </c>
      <c r="I291" s="22" t="str">
        <f aca="false">'Skip Audit'!T291</f>
        <v>No matching PDF; review after skip</v>
      </c>
      <c r="J291" s="22" t="str">
        <f aca="false">"Skip Audit row 291"</f>
        <v>Skip Audit row 291</v>
      </c>
    </row>
    <row r="292" customFormat="false" ht="15" hidden="false" customHeight="false" outlineLevel="0" collapsed="false">
      <c r="A292" s="22" t="str">
        <f aca="false">'Skip Audit'!U292</f>
        <v>Priority 1</v>
      </c>
      <c r="B292" s="22" t="s">
        <v>12988</v>
      </c>
      <c r="C292" s="22" t="str">
        <f aca="false">'Skip Audit'!A292</f>
        <v>SKP-2026-0381</v>
      </c>
      <c r="D292" s="23" t="n">
        <f aca="false">'Skip Audit'!C292</f>
        <v>46182</v>
      </c>
      <c r="E292" s="22" t="str">
        <f aca="false">'Skip Audit'!D292</f>
        <v>WL-01954</v>
      </c>
      <c r="F292" s="22" t="str">
        <f aca="false">'Skip Audit'!E292</f>
        <v>Richard Smith</v>
      </c>
      <c r="G292" s="22" t="str">
        <f aca="false">'Skip Audit'!G292</f>
        <v>SB-0416</v>
      </c>
      <c r="H292" s="22" t="n">
        <v>0</v>
      </c>
      <c r="I292" s="22" t="str">
        <f aca="false">'Skip Audit'!T292</f>
        <v>No matching PDF; review after skip</v>
      </c>
      <c r="J292" s="22" t="str">
        <f aca="false">"Skip Audit row 292"</f>
        <v>Skip Audit row 292</v>
      </c>
    </row>
    <row r="293" customFormat="false" ht="15" hidden="false" customHeight="false" outlineLevel="0" collapsed="false">
      <c r="A293" s="22" t="str">
        <f aca="false">'Skip Audit'!U293</f>
        <v>Priority 1</v>
      </c>
      <c r="B293" s="22" t="s">
        <v>12988</v>
      </c>
      <c r="C293" s="22" t="str">
        <f aca="false">'Skip Audit'!A293</f>
        <v>SKP-2026-0382</v>
      </c>
      <c r="D293" s="23" t="n">
        <f aca="false">'Skip Audit'!C293</f>
        <v>46201</v>
      </c>
      <c r="E293" s="22" t="str">
        <f aca="false">'Skip Audit'!D293</f>
        <v>WL-02098</v>
      </c>
      <c r="F293" s="22" t="str">
        <f aca="false">'Skip Audit'!E293</f>
        <v>Rhonda James</v>
      </c>
      <c r="G293" s="22" t="str">
        <f aca="false">'Skip Audit'!G293</f>
        <v>VB-0707</v>
      </c>
      <c r="H293" s="22" t="n">
        <v>0</v>
      </c>
      <c r="I293" s="22" t="str">
        <f aca="false">'Skip Audit'!T293</f>
        <v>No matching PDF</v>
      </c>
      <c r="J293" s="22" t="str">
        <f aca="false">"Skip Audit row 293"</f>
        <v>Skip Audit row 293</v>
      </c>
    </row>
    <row r="294" customFormat="false" ht="15" hidden="false" customHeight="false" outlineLevel="0" collapsed="false">
      <c r="A294" s="22" t="str">
        <f aca="false">'Skip Audit'!U294</f>
        <v>Priority 1</v>
      </c>
      <c r="B294" s="22" t="s">
        <v>12988</v>
      </c>
      <c r="C294" s="22" t="str">
        <f aca="false">'Skip Audit'!A294</f>
        <v>SKP-2026-0383</v>
      </c>
      <c r="D294" s="23" t="n">
        <f aca="false">'Skip Audit'!C294</f>
        <v>46193</v>
      </c>
      <c r="E294" s="22" t="str">
        <f aca="false">'Skip Audit'!D294</f>
        <v>WL-01256</v>
      </c>
      <c r="F294" s="22" t="str">
        <f aca="false">'Skip Audit'!E294</f>
        <v>Andrew Glover</v>
      </c>
      <c r="G294" s="22" t="str">
        <f aca="false">'Skip Audit'!G294</f>
        <v>LP-1103</v>
      </c>
      <c r="H294" s="22" t="n">
        <v>0</v>
      </c>
      <c r="I294" s="22" t="str">
        <f aca="false">'Skip Audit'!T294</f>
        <v>No matching PDF; review after skip</v>
      </c>
      <c r="J294" s="22" t="str">
        <f aca="false">"Skip Audit row 294"</f>
        <v>Skip Audit row 294</v>
      </c>
    </row>
    <row r="295" customFormat="false" ht="15" hidden="false" customHeight="false" outlineLevel="0" collapsed="false">
      <c r="A295" s="22" t="str">
        <f aca="false">'Skip Audit'!U295</f>
        <v>Priority 1</v>
      </c>
      <c r="B295" s="22" t="s">
        <v>12988</v>
      </c>
      <c r="C295" s="22" t="str">
        <f aca="false">'Skip Audit'!A295</f>
        <v>SKP-2026-0384</v>
      </c>
      <c r="D295" s="23" t="n">
        <f aca="false">'Skip Audit'!C295</f>
        <v>46195</v>
      </c>
      <c r="E295" s="22" t="str">
        <f aca="false">'Skip Audit'!D295</f>
        <v>WL-01936</v>
      </c>
      <c r="F295" s="22" t="str">
        <f aca="false">'Skip Audit'!E295</f>
        <v>Deanna Livingston</v>
      </c>
      <c r="G295" s="22" t="str">
        <f aca="false">'Skip Audit'!G295</f>
        <v>VB-0507</v>
      </c>
      <c r="H295" s="22" t="n">
        <v>0</v>
      </c>
      <c r="I295" s="22" t="str">
        <f aca="false">'Skip Audit'!T295</f>
        <v>No matching PDF; review after skip</v>
      </c>
      <c r="J295" s="22" t="str">
        <f aca="false">"Skip Audit row 295"</f>
        <v>Skip Audit row 295</v>
      </c>
    </row>
    <row r="296" customFormat="false" ht="15" hidden="false" customHeight="false" outlineLevel="0" collapsed="false">
      <c r="A296" s="22" t="str">
        <f aca="false">'Skip Audit'!U296</f>
        <v>Priority 1</v>
      </c>
      <c r="B296" s="22" t="s">
        <v>12988</v>
      </c>
      <c r="C296" s="22" t="str">
        <f aca="false">'Skip Audit'!A296</f>
        <v>SKP-2026-0385</v>
      </c>
      <c r="D296" s="23" t="n">
        <f aca="false">'Skip Audit'!C296</f>
        <v>46198</v>
      </c>
      <c r="E296" s="22" t="str">
        <f aca="false">'Skip Audit'!D296</f>
        <v>WL-03690</v>
      </c>
      <c r="F296" s="22" t="str">
        <f aca="false">'Skip Audit'!E296</f>
        <v>John Patel</v>
      </c>
      <c r="G296" s="22" t="str">
        <f aca="false">'Skip Audit'!G296</f>
        <v>VB-0312</v>
      </c>
      <c r="H296" s="22" t="n">
        <v>0</v>
      </c>
      <c r="I296" s="22" t="str">
        <f aca="false">'Skip Audit'!T296</f>
        <v>No matching PDF; review after skip</v>
      </c>
      <c r="J296" s="22" t="str">
        <f aca="false">"Skip Audit row 296"</f>
        <v>Skip Audit row 296</v>
      </c>
    </row>
    <row r="297" customFormat="false" ht="15" hidden="false" customHeight="false" outlineLevel="0" collapsed="false">
      <c r="A297" s="22" t="str">
        <f aca="false">'Skip Audit'!U297</f>
        <v>Priority 1</v>
      </c>
      <c r="B297" s="22" t="s">
        <v>12988</v>
      </c>
      <c r="C297" s="22" t="str">
        <f aca="false">'Skip Audit'!A297</f>
        <v>SKP-2026-0386</v>
      </c>
      <c r="D297" s="23" t="n">
        <f aca="false">'Skip Audit'!C297</f>
        <v>46176</v>
      </c>
      <c r="E297" s="22" t="str">
        <f aca="false">'Skip Audit'!D297</f>
        <v>WL-03787</v>
      </c>
      <c r="F297" s="22" t="str">
        <f aca="false">'Skip Audit'!E297</f>
        <v>John Mcneil</v>
      </c>
      <c r="G297" s="22" t="str">
        <f aca="false">'Skip Audit'!G297</f>
        <v>GW-0214</v>
      </c>
      <c r="H297" s="22" t="n">
        <v>0</v>
      </c>
      <c r="I297" s="22" t="str">
        <f aca="false">'Skip Audit'!T297</f>
        <v>No matching PDF; review after skip</v>
      </c>
      <c r="J297" s="22" t="str">
        <f aca="false">"Skip Audit row 297"</f>
        <v>Skip Audit row 297</v>
      </c>
    </row>
    <row r="298" customFormat="false" ht="15" hidden="false" customHeight="false" outlineLevel="0" collapsed="false">
      <c r="A298" s="22" t="str">
        <f aca="false">'Skip Audit'!U298</f>
        <v>Priority 1</v>
      </c>
      <c r="B298" s="22" t="s">
        <v>12988</v>
      </c>
      <c r="C298" s="22" t="str">
        <f aca="false">'Skip Audit'!A298</f>
        <v>SKP-2026-0387</v>
      </c>
      <c r="D298" s="23" t="n">
        <f aca="false">'Skip Audit'!C298</f>
        <v>46198</v>
      </c>
      <c r="E298" s="22" t="str">
        <f aca="false">'Skip Audit'!D298</f>
        <v>WL-01843</v>
      </c>
      <c r="F298" s="22" t="str">
        <f aca="false">'Skip Audit'!E298</f>
        <v>Donna Kim</v>
      </c>
      <c r="G298" s="22" t="str">
        <f aca="false">'Skip Audit'!G298</f>
        <v>VB-0402</v>
      </c>
      <c r="H298" s="22" t="n">
        <v>0</v>
      </c>
      <c r="I298" s="22" t="str">
        <f aca="false">'Skip Audit'!T298</f>
        <v>No matching PDF; review after skip</v>
      </c>
      <c r="J298" s="22" t="str">
        <f aca="false">"Skip Audit row 298"</f>
        <v>Skip Audit row 298</v>
      </c>
    </row>
    <row r="299" customFormat="false" ht="15" hidden="false" customHeight="false" outlineLevel="0" collapsed="false">
      <c r="A299" s="22" t="str">
        <f aca="false">'Skip Audit'!U299</f>
        <v>Priority 1</v>
      </c>
      <c r="B299" s="22" t="s">
        <v>12988</v>
      </c>
      <c r="C299" s="22" t="str">
        <f aca="false">'Skip Audit'!A299</f>
        <v>SKP-2026-0388</v>
      </c>
      <c r="D299" s="23" t="n">
        <f aca="false">'Skip Audit'!C299</f>
        <v>46177</v>
      </c>
      <c r="E299" s="22" t="str">
        <f aca="false">'Skip Audit'!D299</f>
        <v>WL-01982</v>
      </c>
      <c r="F299" s="22" t="str">
        <f aca="false">'Skip Audit'!E299</f>
        <v>Jeffrey Harrison</v>
      </c>
      <c r="G299" s="22" t="str">
        <f aca="false">'Skip Audit'!G299</f>
        <v>GW-0305</v>
      </c>
      <c r="H299" s="22" t="n">
        <v>0</v>
      </c>
      <c r="I299" s="22" t="str">
        <f aca="false">'Skip Audit'!T299</f>
        <v>No matching PDF; review after skip</v>
      </c>
      <c r="J299" s="22" t="str">
        <f aca="false">"Skip Audit row 299"</f>
        <v>Skip Audit row 299</v>
      </c>
    </row>
    <row r="300" customFormat="false" ht="15" hidden="false" customHeight="false" outlineLevel="0" collapsed="false">
      <c r="A300" s="22" t="str">
        <f aca="false">'Skip Audit'!U300</f>
        <v>Priority 1</v>
      </c>
      <c r="B300" s="22" t="s">
        <v>12988</v>
      </c>
      <c r="C300" s="22" t="str">
        <f aca="false">'Skip Audit'!A300</f>
        <v>SKP-2026-0389</v>
      </c>
      <c r="D300" s="23" t="n">
        <f aca="false">'Skip Audit'!C300</f>
        <v>46220</v>
      </c>
      <c r="E300" s="22" t="str">
        <f aca="false">'Skip Audit'!D300</f>
        <v>WL-02013</v>
      </c>
      <c r="F300" s="22" t="str">
        <f aca="false">'Skip Audit'!E300</f>
        <v>Elizabeth Harrison</v>
      </c>
      <c r="G300" s="22" t="str">
        <f aca="false">'Skip Audit'!G300</f>
        <v>SB-0902</v>
      </c>
      <c r="H300" s="22" t="n">
        <v>0</v>
      </c>
      <c r="I300" s="22" t="str">
        <f aca="false">'Skip Audit'!T300</f>
        <v>No matching PDF</v>
      </c>
      <c r="J300" s="22" t="str">
        <f aca="false">"Skip Audit row 300"</f>
        <v>Skip Audit row 300</v>
      </c>
    </row>
    <row r="301" customFormat="false" ht="15" hidden="false" customHeight="false" outlineLevel="0" collapsed="false">
      <c r="A301" s="22" t="str">
        <f aca="false">'Skip Audit'!U301</f>
        <v>Priority 1</v>
      </c>
      <c r="B301" s="22" t="s">
        <v>12988</v>
      </c>
      <c r="C301" s="22" t="str">
        <f aca="false">'Skip Audit'!A301</f>
        <v>SKP-2026-0390</v>
      </c>
      <c r="D301" s="23" t="n">
        <f aca="false">'Skip Audit'!C301</f>
        <v>46228</v>
      </c>
      <c r="E301" s="22" t="str">
        <f aca="false">'Skip Audit'!D301</f>
        <v>WL-03071</v>
      </c>
      <c r="F301" s="22" t="str">
        <f aca="false">'Skip Audit'!E301</f>
        <v>Kenneth Jones</v>
      </c>
      <c r="G301" s="22" t="str">
        <f aca="false">'Skip Audit'!G301</f>
        <v>SB-0411</v>
      </c>
      <c r="H301" s="22" t="n">
        <v>0</v>
      </c>
      <c r="I301" s="22" t="str">
        <f aca="false">'Skip Audit'!T301</f>
        <v>No matching PDF; review after skip</v>
      </c>
      <c r="J301" s="22" t="str">
        <f aca="false">"Skip Audit row 301"</f>
        <v>Skip Audit row 301</v>
      </c>
    </row>
    <row r="302" customFormat="false" ht="15" hidden="false" customHeight="false" outlineLevel="0" collapsed="false">
      <c r="A302" s="22" t="str">
        <f aca="false">'Skip Audit'!U302</f>
        <v>Priority 1</v>
      </c>
      <c r="B302" s="22" t="s">
        <v>12988</v>
      </c>
      <c r="C302" s="22" t="str">
        <f aca="false">'Skip Audit'!A302</f>
        <v>SKP-2026-0391</v>
      </c>
      <c r="D302" s="23" t="n">
        <f aca="false">'Skip Audit'!C302</f>
        <v>46224</v>
      </c>
      <c r="E302" s="22" t="str">
        <f aca="false">'Skip Audit'!D302</f>
        <v>WL-03106</v>
      </c>
      <c r="F302" s="22" t="str">
        <f aca="false">'Skip Audit'!E302</f>
        <v>Shannon Morales</v>
      </c>
      <c r="G302" s="22" t="str">
        <f aca="false">'Skip Audit'!G302</f>
        <v>LP-0609</v>
      </c>
      <c r="H302" s="22" t="n">
        <v>0</v>
      </c>
      <c r="I302" s="22" t="str">
        <f aca="false">'Skip Audit'!T302</f>
        <v>No matching PDF; review after skip</v>
      </c>
      <c r="J302" s="22" t="str">
        <f aca="false">"Skip Audit row 302"</f>
        <v>Skip Audit row 302</v>
      </c>
    </row>
    <row r="303" customFormat="false" ht="15" hidden="false" customHeight="false" outlineLevel="0" collapsed="false">
      <c r="A303" s="22" t="str">
        <f aca="false">'Skip Audit'!U303</f>
        <v>Priority 1</v>
      </c>
      <c r="B303" s="22" t="s">
        <v>12988</v>
      </c>
      <c r="C303" s="22" t="str">
        <f aca="false">'Skip Audit'!A303</f>
        <v>SKP-2026-0392</v>
      </c>
      <c r="D303" s="23" t="n">
        <f aca="false">'Skip Audit'!C303</f>
        <v>46205</v>
      </c>
      <c r="E303" s="22" t="str">
        <f aca="false">'Skip Audit'!D303</f>
        <v>WL-03260</v>
      </c>
      <c r="F303" s="22" t="str">
        <f aca="false">'Skip Audit'!E303</f>
        <v>Joel Thomas</v>
      </c>
      <c r="G303" s="22" t="str">
        <f aca="false">'Skip Audit'!G303</f>
        <v>EW-0104</v>
      </c>
      <c r="H303" s="22" t="n">
        <v>0</v>
      </c>
      <c r="I303" s="22" t="str">
        <f aca="false">'Skip Audit'!T303</f>
        <v>No matching PDF; review after skip</v>
      </c>
      <c r="J303" s="22" t="str">
        <f aca="false">"Skip Audit row 303"</f>
        <v>Skip Audit row 303</v>
      </c>
    </row>
    <row r="304" customFormat="false" ht="15" hidden="false" customHeight="false" outlineLevel="0" collapsed="false">
      <c r="A304" s="22" t="str">
        <f aca="false">'Skip Audit'!U304</f>
        <v>Priority 1</v>
      </c>
      <c r="B304" s="22" t="s">
        <v>12988</v>
      </c>
      <c r="C304" s="22" t="str">
        <f aca="false">'Skip Audit'!A304</f>
        <v>SKP-2026-0393</v>
      </c>
      <c r="D304" s="23" t="n">
        <f aca="false">'Skip Audit'!C304</f>
        <v>46217</v>
      </c>
      <c r="E304" s="22" t="str">
        <f aca="false">'Skip Audit'!D304</f>
        <v>WL-02358</v>
      </c>
      <c r="F304" s="22" t="str">
        <f aca="false">'Skip Audit'!E304</f>
        <v>Kelly Mccoy</v>
      </c>
      <c r="G304" s="22" t="str">
        <f aca="false">'Skip Audit'!G304</f>
        <v>LP-1009</v>
      </c>
      <c r="H304" s="22" t="n">
        <v>0</v>
      </c>
      <c r="I304" s="22" t="str">
        <f aca="false">'Skip Audit'!T304</f>
        <v>No matching PDF; review after skip</v>
      </c>
      <c r="J304" s="22" t="str">
        <f aca="false">"Skip Audit row 304"</f>
        <v>Skip Audit row 304</v>
      </c>
    </row>
    <row r="305" customFormat="false" ht="15" hidden="false" customHeight="false" outlineLevel="0" collapsed="false">
      <c r="A305" s="22" t="str">
        <f aca="false">'Skip Audit'!U305</f>
        <v>Priority 1</v>
      </c>
      <c r="B305" s="22" t="s">
        <v>12988</v>
      </c>
      <c r="C305" s="22" t="str">
        <f aca="false">'Skip Audit'!A305</f>
        <v>SKP-2026-0394</v>
      </c>
      <c r="D305" s="23" t="n">
        <f aca="false">'Skip Audit'!C305</f>
        <v>46206</v>
      </c>
      <c r="E305" s="22" t="str">
        <f aca="false">'Skip Audit'!D305</f>
        <v>WL-03397</v>
      </c>
      <c r="F305" s="22" t="str">
        <f aca="false">'Skip Audit'!E305</f>
        <v>Jessica Daugherty</v>
      </c>
      <c r="G305" s="22" t="str">
        <f aca="false">'Skip Audit'!G305</f>
        <v>LP-0104</v>
      </c>
      <c r="H305" s="22" t="n">
        <v>0</v>
      </c>
      <c r="I305" s="22" t="str">
        <f aca="false">'Skip Audit'!T305</f>
        <v>No matching PDF; review after skip</v>
      </c>
      <c r="J305" s="22" t="str">
        <f aca="false">"Skip Audit row 305"</f>
        <v>Skip Audit row 305</v>
      </c>
    </row>
    <row r="306" customFormat="false" ht="15" hidden="false" customHeight="false" outlineLevel="0" collapsed="false">
      <c r="A306" s="22" t="str">
        <f aca="false">'Skip Audit'!U306</f>
        <v>Priority 1</v>
      </c>
      <c r="B306" s="22" t="s">
        <v>12988</v>
      </c>
      <c r="C306" s="22" t="str">
        <f aca="false">'Skip Audit'!A306</f>
        <v>SKP-2026-0395</v>
      </c>
      <c r="D306" s="23" t="n">
        <f aca="false">'Skip Audit'!C306</f>
        <v>46210</v>
      </c>
      <c r="E306" s="22" t="str">
        <f aca="false">'Skip Audit'!D306</f>
        <v>WL-02900</v>
      </c>
      <c r="F306" s="22" t="str">
        <f aca="false">'Skip Audit'!E306</f>
        <v>Timothy Henderson</v>
      </c>
      <c r="G306" s="22" t="str">
        <f aca="false">'Skip Audit'!G306</f>
        <v>GW-0415</v>
      </c>
      <c r="H306" s="22" t="n">
        <v>0</v>
      </c>
      <c r="I306" s="22" t="str">
        <f aca="false">'Skip Audit'!T306</f>
        <v>No matching PDF; review after skip</v>
      </c>
      <c r="J306" s="22" t="str">
        <f aca="false">"Skip Audit row 306"</f>
        <v>Skip Audit row 306</v>
      </c>
    </row>
    <row r="307" customFormat="false" ht="15" hidden="false" customHeight="false" outlineLevel="0" collapsed="false">
      <c r="A307" s="22" t="str">
        <f aca="false">'Skip Audit'!U307</f>
        <v>Priority 1</v>
      </c>
      <c r="B307" s="22" t="s">
        <v>12988</v>
      </c>
      <c r="C307" s="22" t="str">
        <f aca="false">'Skip Audit'!A307</f>
        <v>SKP-2026-0396</v>
      </c>
      <c r="D307" s="23" t="n">
        <f aca="false">'Skip Audit'!C307</f>
        <v>46218</v>
      </c>
      <c r="E307" s="22" t="str">
        <f aca="false">'Skip Audit'!D307</f>
        <v>WL-02436</v>
      </c>
      <c r="F307" s="22" t="str">
        <f aca="false">'Skip Audit'!E307</f>
        <v>Jeffrey Allen</v>
      </c>
      <c r="G307" s="22" t="str">
        <f aca="false">'Skip Audit'!G307</f>
        <v>SB-0905</v>
      </c>
      <c r="H307" s="22" t="n">
        <v>0</v>
      </c>
      <c r="I307" s="22" t="str">
        <f aca="false">'Skip Audit'!T307</f>
        <v>No matching PDF; review after skip</v>
      </c>
      <c r="J307" s="22" t="str">
        <f aca="false">"Skip Audit row 307"</f>
        <v>Skip Audit row 307</v>
      </c>
    </row>
    <row r="308" customFormat="false" ht="15" hidden="false" customHeight="false" outlineLevel="0" collapsed="false">
      <c r="A308" s="22" t="str">
        <f aca="false">'Skip Audit'!U308</f>
        <v>Priority 1</v>
      </c>
      <c r="B308" s="22" t="s">
        <v>12988</v>
      </c>
      <c r="C308" s="22" t="str">
        <f aca="false">'Skip Audit'!A308</f>
        <v>SKP-2026-0397</v>
      </c>
      <c r="D308" s="23" t="n">
        <f aca="false">'Skip Audit'!C308</f>
        <v>46224</v>
      </c>
      <c r="E308" s="22" t="str">
        <f aca="false">'Skip Audit'!D308</f>
        <v>WL-01722</v>
      </c>
      <c r="F308" s="22" t="str">
        <f aca="false">'Skip Audit'!E308</f>
        <v>Gregory Collins</v>
      </c>
      <c r="G308" s="22" t="str">
        <f aca="false">'Skip Audit'!G308</f>
        <v>VB-0404</v>
      </c>
      <c r="H308" s="22" t="n">
        <v>0</v>
      </c>
      <c r="I308" s="22" t="str">
        <f aca="false">'Skip Audit'!T308</f>
        <v>No matching PDF; review after skip</v>
      </c>
      <c r="J308" s="22" t="str">
        <f aca="false">"Skip Audit row 308"</f>
        <v>Skip Audit row 308</v>
      </c>
    </row>
    <row r="309" customFormat="false" ht="15" hidden="false" customHeight="false" outlineLevel="0" collapsed="false">
      <c r="A309" s="22" t="str">
        <f aca="false">'Skip Audit'!U309</f>
        <v>Priority 1</v>
      </c>
      <c r="B309" s="22" t="s">
        <v>12988</v>
      </c>
      <c r="C309" s="22" t="str">
        <f aca="false">'Skip Audit'!A309</f>
        <v>SKP-2026-0398</v>
      </c>
      <c r="D309" s="23" t="n">
        <f aca="false">'Skip Audit'!C309</f>
        <v>46208</v>
      </c>
      <c r="E309" s="22" t="str">
        <f aca="false">'Skip Audit'!D309</f>
        <v>WL-03059</v>
      </c>
      <c r="F309" s="22" t="str">
        <f aca="false">'Skip Audit'!E309</f>
        <v>Jonathan Daniels</v>
      </c>
      <c r="G309" s="22" t="str">
        <f aca="false">'Skip Audit'!G309</f>
        <v>GW-0223</v>
      </c>
      <c r="H309" s="22" t="n">
        <v>0</v>
      </c>
      <c r="I309" s="22" t="str">
        <f aca="false">'Skip Audit'!T309</f>
        <v>No matching PDF; review after skip</v>
      </c>
      <c r="J309" s="22" t="str">
        <f aca="false">"Skip Audit row 309"</f>
        <v>Skip Audit row 309</v>
      </c>
    </row>
    <row r="310" customFormat="false" ht="15" hidden="false" customHeight="false" outlineLevel="0" collapsed="false">
      <c r="A310" s="22" t="str">
        <f aca="false">'Skip Audit'!U310</f>
        <v>Priority 1</v>
      </c>
      <c r="B310" s="22" t="s">
        <v>12988</v>
      </c>
      <c r="C310" s="22" t="str">
        <f aca="false">'Skip Audit'!A310</f>
        <v>SKP-2023-0408</v>
      </c>
      <c r="D310" s="23" t="n">
        <f aca="false">'Skip Audit'!C310</f>
        <v>45048</v>
      </c>
      <c r="E310" s="22" t="str">
        <f aca="false">'Skip Audit'!D310</f>
        <v>WL-02618</v>
      </c>
      <c r="F310" s="22" t="str">
        <f aca="false">'Skip Audit'!E310</f>
        <v>Gary Tomlinson</v>
      </c>
      <c r="G310" s="22" t="str">
        <f aca="false">'Skip Audit'!G310</f>
        <v>GW-0610</v>
      </c>
      <c r="H310" s="22" t="n">
        <v>0</v>
      </c>
      <c r="I310" s="22" t="str">
        <f aca="false">'Skip Audit'!T310</f>
        <v>Offer register missing/mismatch; review after skip</v>
      </c>
      <c r="J310" s="22" t="str">
        <f aca="false">"Skip Audit row 310"</f>
        <v>Skip Audit row 310</v>
      </c>
    </row>
    <row r="311" customFormat="false" ht="15" hidden="false" customHeight="false" outlineLevel="0" collapsed="false">
      <c r="A311" s="22" t="str">
        <f aca="false">'Skip Audit'!U311</f>
        <v>Priority 1</v>
      </c>
      <c r="B311" s="22" t="s">
        <v>12988</v>
      </c>
      <c r="C311" s="22" t="str">
        <f aca="false">'Skip Audit'!A311</f>
        <v>SKP-2024-0409</v>
      </c>
      <c r="D311" s="23" t="n">
        <f aca="false">'Skip Audit'!C311</f>
        <v>45342</v>
      </c>
      <c r="E311" s="22" t="str">
        <f aca="false">'Skip Audit'!D311</f>
        <v>WL-03044</v>
      </c>
      <c r="F311" s="22" t="str">
        <f aca="false">'Skip Audit'!E311</f>
        <v>Iris Quan</v>
      </c>
      <c r="G311" s="22" t="str">
        <f aca="false">'Skip Audit'!G311</f>
        <v>VB-0904</v>
      </c>
      <c r="H311" s="22" t="n">
        <v>0</v>
      </c>
      <c r="I311" s="22" t="str">
        <f aca="false">'Skip Audit'!T311</f>
        <v>Offer register missing/mismatch; review after skip</v>
      </c>
      <c r="J311" s="22" t="str">
        <f aca="false">"Skip Audit row 311"</f>
        <v>Skip Audit row 311</v>
      </c>
    </row>
    <row r="312" customFormat="false" ht="15" hidden="false" customHeight="false" outlineLevel="0" collapsed="false">
      <c r="A312" s="22" t="str">
        <f aca="false">'Skip Audit'!U312</f>
        <v>Priority 1</v>
      </c>
      <c r="B312" s="22" t="s">
        <v>12988</v>
      </c>
      <c r="C312" s="22" t="str">
        <f aca="false">'Skip Audit'!A312</f>
        <v>SKP-2024-0410</v>
      </c>
      <c r="D312" s="23" t="n">
        <f aca="false">'Skip Audit'!C312</f>
        <v>45601</v>
      </c>
      <c r="E312" s="22" t="str">
        <f aca="false">'Skip Audit'!D312</f>
        <v>WL-03390</v>
      </c>
      <c r="F312" s="22" t="str">
        <f aca="false">'Skip Audit'!E312</f>
        <v>Phillip Ard</v>
      </c>
      <c r="G312" s="22" t="str">
        <f aca="false">'Skip Audit'!G312</f>
        <v>SB-0120</v>
      </c>
      <c r="H312" s="22" t="n">
        <v>0</v>
      </c>
      <c r="I312" s="22" t="str">
        <f aca="false">'Skip Audit'!T312</f>
        <v>Offer register missing/mismatch; review after skip</v>
      </c>
      <c r="J312" s="22" t="str">
        <f aca="false">"Skip Audit row 312"</f>
        <v>Skip Audit row 312</v>
      </c>
    </row>
    <row r="313" customFormat="false" ht="15" hidden="false" customHeight="false" outlineLevel="0" collapsed="false">
      <c r="A313" s="22" t="str">
        <f aca="false">'Skip Audit'!U313</f>
        <v>Priority 1</v>
      </c>
      <c r="B313" s="22" t="s">
        <v>12988</v>
      </c>
      <c r="C313" s="22" t="str">
        <f aca="false">'Skip Audit'!A313</f>
        <v>SKP-2024-0411</v>
      </c>
      <c r="D313" s="23" t="n">
        <f aca="false">'Skip Audit'!C313</f>
        <v>45370</v>
      </c>
      <c r="E313" s="22" t="str">
        <f aca="false">'Skip Audit'!D313</f>
        <v>WL-02877</v>
      </c>
      <c r="F313" s="22" t="str">
        <f aca="false">'Skip Audit'!E313</f>
        <v>Sandra Milovich</v>
      </c>
      <c r="G313" s="22" t="str">
        <f aca="false">'Skip Audit'!G313</f>
        <v>GW-1012</v>
      </c>
      <c r="H313" s="22" t="n">
        <v>0</v>
      </c>
      <c r="I313" s="22" t="str">
        <f aca="false">'Skip Audit'!T313</f>
        <v>Offer register missing/mismatch; review after skip</v>
      </c>
      <c r="J313" s="22" t="str">
        <f aca="false">"Skip Audit row 313"</f>
        <v>Skip Audit row 313</v>
      </c>
    </row>
    <row r="314" customFormat="false" ht="15" hidden="false" customHeight="false" outlineLevel="0" collapsed="false">
      <c r="A314" s="22" t="str">
        <f aca="false">'Skip Audit'!U314</f>
        <v>Priority 1</v>
      </c>
      <c r="B314" s="22" t="s">
        <v>12988</v>
      </c>
      <c r="C314" s="22" t="str">
        <f aca="false">'Skip Audit'!A314</f>
        <v>SKP-2025-0412</v>
      </c>
      <c r="D314" s="23" t="n">
        <f aca="false">'Skip Audit'!C314</f>
        <v>45909</v>
      </c>
      <c r="E314" s="22" t="str">
        <f aca="false">'Skip Audit'!D314</f>
        <v>WL-03102</v>
      </c>
      <c r="F314" s="22" t="str">
        <f aca="false">'Skip Audit'!E314</f>
        <v>Dennis Farlow</v>
      </c>
      <c r="G314" s="22" t="str">
        <f aca="false">'Skip Audit'!G314</f>
        <v>LP-0806</v>
      </c>
      <c r="H314" s="22" t="n">
        <v>0</v>
      </c>
      <c r="I314" s="22" t="str">
        <f aca="false">'Skip Audit'!T314</f>
        <v>Offer register missing/mismatch; review after skip</v>
      </c>
      <c r="J314" s="22" t="str">
        <f aca="false">"Skip Audit row 314"</f>
        <v>Skip Audit row 314</v>
      </c>
    </row>
    <row r="315" customFormat="false" ht="15" hidden="false" customHeight="false" outlineLevel="0" collapsed="false">
      <c r="A315" s="22" t="str">
        <f aca="false">'Amendment Audit'!M8</f>
        <v>Priority 1</v>
      </c>
      <c r="B315" s="22" t="s">
        <v>12989</v>
      </c>
      <c r="C315" s="22" t="str">
        <f aca="false">'Amendment Audit'!A8</f>
        <v>AMD-000288</v>
      </c>
      <c r="D315" s="23" t="n">
        <f aca="false">'Amendment Audit'!B8</f>
        <v>44782</v>
      </c>
      <c r="E315" s="22" t="str">
        <f aca="false">'Amendment Audit'!C8</f>
        <v>WL-03054</v>
      </c>
      <c r="F315" s="22" t="str">
        <f aca="false">'Amendment Audit'!D8</f>
        <v>Amanda Schmidt</v>
      </c>
      <c r="G315" s="22" t="n">
        <f aca="false">'Amendment Audit'!F8</f>
        <v>45.3</v>
      </c>
      <c r="H315" s="22" t="n">
        <f aca="false">'Amendment Audit'!J8</f>
        <v>1</v>
      </c>
      <c r="I315" s="22" t="str">
        <f aca="false">'Amendment Audit'!L8</f>
        <v>No supplied signed certificate or yard measurement sheet</v>
      </c>
      <c r="J315" s="22" t="str">
        <f aca="false">"Amendment Audit row 8"</f>
        <v>Amendment Audit row 8</v>
      </c>
    </row>
    <row r="316" customFormat="false" ht="15" hidden="false" customHeight="false" outlineLevel="0" collapsed="false">
      <c r="A316" s="22" t="str">
        <f aca="false">'Amendment Audit'!M15</f>
        <v>Priority 1</v>
      </c>
      <c r="B316" s="22" t="s">
        <v>12989</v>
      </c>
      <c r="C316" s="22" t="str">
        <f aca="false">'Amendment Audit'!A15</f>
        <v>AMD-000356</v>
      </c>
      <c r="D316" s="23" t="n">
        <f aca="false">'Amendment Audit'!B15</f>
        <v>44839</v>
      </c>
      <c r="E316" s="22" t="str">
        <f aca="false">'Amendment Audit'!C15</f>
        <v>WL-01333</v>
      </c>
      <c r="F316" s="22" t="str">
        <f aca="false">'Amendment Audit'!D15</f>
        <v>Andrew Hayden</v>
      </c>
      <c r="G316" s="22" t="n">
        <f aca="false">'Amendment Audit'!F15</f>
        <v>20.2</v>
      </c>
      <c r="H316" s="22" t="n">
        <f aca="false">'Amendment Audit'!J15</f>
        <v>1</v>
      </c>
      <c r="I316" s="22" t="str">
        <f aca="false">'Amendment Audit'!L15</f>
        <v>No supplied signed certificate or yard measurement sheet</v>
      </c>
      <c r="J316" s="22" t="str">
        <f aca="false">"Amendment Audit row 15"</f>
        <v>Amendment Audit row 15</v>
      </c>
    </row>
    <row r="317" customFormat="false" ht="15" hidden="false" customHeight="false" outlineLevel="0" collapsed="false">
      <c r="A317" s="22" t="str">
        <f aca="false">'Amendment Audit'!M17</f>
        <v>Priority 1</v>
      </c>
      <c r="B317" s="22" t="s">
        <v>12989</v>
      </c>
      <c r="C317" s="22" t="str">
        <f aca="false">'Amendment Audit'!A17</f>
        <v>AMD-000380</v>
      </c>
      <c r="D317" s="23" t="n">
        <f aca="false">'Amendment Audit'!B17</f>
        <v>44851</v>
      </c>
      <c r="E317" s="22" t="str">
        <f aca="false">'Amendment Audit'!C17</f>
        <v>WL-02120</v>
      </c>
      <c r="F317" s="22" t="str">
        <f aca="false">'Amendment Audit'!D17</f>
        <v>Jerry Reyes</v>
      </c>
      <c r="G317" s="22" t="n">
        <f aca="false">'Amendment Audit'!F17</f>
        <v>42.6</v>
      </c>
      <c r="H317" s="22" t="n">
        <f aca="false">'Amendment Audit'!J17</f>
        <v>1</v>
      </c>
      <c r="I317" s="22" t="str">
        <f aca="false">'Amendment Audit'!L17</f>
        <v>No supplied signed certificate or yard measurement sheet</v>
      </c>
      <c r="J317" s="22" t="str">
        <f aca="false">"Amendment Audit row 17"</f>
        <v>Amendment Audit row 17</v>
      </c>
    </row>
    <row r="318" customFormat="false" ht="15" hidden="false" customHeight="false" outlineLevel="0" collapsed="false">
      <c r="A318" s="22" t="str">
        <f aca="false">'Amendment Audit'!M24</f>
        <v>Priority 1</v>
      </c>
      <c r="B318" s="22" t="s">
        <v>12989</v>
      </c>
      <c r="C318" s="22" t="str">
        <f aca="false">'Amendment Audit'!A24</f>
        <v>AMD-000435</v>
      </c>
      <c r="D318" s="23" t="n">
        <f aca="false">'Amendment Audit'!B24</f>
        <v>44895</v>
      </c>
      <c r="E318" s="22" t="str">
        <f aca="false">'Amendment Audit'!C24</f>
        <v>WL-03758</v>
      </c>
      <c r="F318" s="22" t="str">
        <f aca="false">'Amendment Audit'!D24</f>
        <v>Sean Cherry</v>
      </c>
      <c r="G318" s="22" t="n">
        <f aca="false">'Amendment Audit'!F24</f>
        <v>51.4</v>
      </c>
      <c r="H318" s="22" t="n">
        <f aca="false">'Amendment Audit'!J24</f>
        <v>1</v>
      </c>
      <c r="I318" s="22" t="str">
        <f aca="false">'Amendment Audit'!L24</f>
        <v>No supplied signed certificate or yard measurement sheet</v>
      </c>
      <c r="J318" s="22" t="str">
        <f aca="false">"Amendment Audit row 24"</f>
        <v>Amendment Audit row 24</v>
      </c>
    </row>
    <row r="319" customFormat="false" ht="15" hidden="false" customHeight="false" outlineLevel="0" collapsed="false">
      <c r="A319" s="22" t="str">
        <f aca="false">'Amendment Audit'!M33</f>
        <v>Priority 1</v>
      </c>
      <c r="B319" s="22" t="s">
        <v>12989</v>
      </c>
      <c r="C319" s="22" t="str">
        <f aca="false">'Amendment Audit'!A33</f>
        <v>AMD-000528</v>
      </c>
      <c r="D319" s="23" t="n">
        <f aca="false">'Amendment Audit'!B33</f>
        <v>44960</v>
      </c>
      <c r="E319" s="22" t="str">
        <f aca="false">'Amendment Audit'!C33</f>
        <v>WL-01746</v>
      </c>
      <c r="F319" s="22" t="str">
        <f aca="false">'Amendment Audit'!D33</f>
        <v>Elizabeth Ward</v>
      </c>
      <c r="G319" s="22" t="n">
        <f aca="false">'Amendment Audit'!F33</f>
        <v>54.4</v>
      </c>
      <c r="H319" s="22" t="n">
        <f aca="false">'Amendment Audit'!J33</f>
        <v>1</v>
      </c>
      <c r="I319" s="22" t="str">
        <f aca="false">'Amendment Audit'!L33</f>
        <v>No supplied signed certificate or yard measurement sheet</v>
      </c>
      <c r="J319" s="22" t="str">
        <f aca="false">"Amendment Audit row 33"</f>
        <v>Amendment Audit row 33</v>
      </c>
    </row>
    <row r="320" customFormat="false" ht="15" hidden="false" customHeight="false" outlineLevel="0" collapsed="false">
      <c r="A320" s="22" t="str">
        <f aca="false">'Amendment Audit'!M43</f>
        <v>Priority 1</v>
      </c>
      <c r="B320" s="22" t="s">
        <v>12989</v>
      </c>
      <c r="C320" s="22" t="str">
        <f aca="false">'Amendment Audit'!A43</f>
        <v>AMD-000691</v>
      </c>
      <c r="D320" s="23" t="n">
        <f aca="false">'Amendment Audit'!B43</f>
        <v>45085</v>
      </c>
      <c r="E320" s="22" t="str">
        <f aca="false">'Amendment Audit'!C43</f>
        <v>WL-03455</v>
      </c>
      <c r="F320" s="22" t="str">
        <f aca="false">'Amendment Audit'!D43</f>
        <v>Taylor George</v>
      </c>
      <c r="G320" s="22" t="n">
        <f aca="false">'Amendment Audit'!F43</f>
        <v>39</v>
      </c>
      <c r="H320" s="22" t="n">
        <f aca="false">'Amendment Audit'!J43</f>
        <v>1</v>
      </c>
      <c r="I320" s="22" t="str">
        <f aca="false">'Amendment Audit'!L43</f>
        <v>No supplied signed certificate or yard measurement sheet</v>
      </c>
      <c r="J320" s="22" t="str">
        <f aca="false">"Amendment Audit row 43"</f>
        <v>Amendment Audit row 43</v>
      </c>
    </row>
    <row r="321" customFormat="false" ht="15" hidden="false" customHeight="false" outlineLevel="0" collapsed="false">
      <c r="A321" s="22" t="str">
        <f aca="false">'Amendment Audit'!M45</f>
        <v>Priority 1</v>
      </c>
      <c r="B321" s="22" t="s">
        <v>12989</v>
      </c>
      <c r="C321" s="22" t="str">
        <f aca="false">'Amendment Audit'!A45</f>
        <v>AMD-000705</v>
      </c>
      <c r="D321" s="23" t="n">
        <f aca="false">'Amendment Audit'!B45</f>
        <v>45095</v>
      </c>
      <c r="E321" s="22" t="str">
        <f aca="false">'Amendment Audit'!C45</f>
        <v>WL-02747</v>
      </c>
      <c r="F321" s="22" t="str">
        <f aca="false">'Amendment Audit'!D45</f>
        <v>Angel Massey</v>
      </c>
      <c r="G321" s="22" t="n">
        <f aca="false">'Amendment Audit'!F45</f>
        <v>51.8</v>
      </c>
      <c r="H321" s="22" t="n">
        <f aca="false">'Amendment Audit'!J45</f>
        <v>1</v>
      </c>
      <c r="I321" s="22" t="str">
        <f aca="false">'Amendment Audit'!L45</f>
        <v>No supplied signed certificate or yard measurement sheet</v>
      </c>
      <c r="J321" s="22" t="str">
        <f aca="false">"Amendment Audit row 45"</f>
        <v>Amendment Audit row 45</v>
      </c>
    </row>
    <row r="322" customFormat="false" ht="15" hidden="false" customHeight="false" outlineLevel="0" collapsed="false">
      <c r="A322" s="22" t="str">
        <f aca="false">'Amendment Audit'!M52</f>
        <v>Priority 1</v>
      </c>
      <c r="B322" s="22" t="s">
        <v>12989</v>
      </c>
      <c r="C322" s="22" t="str">
        <f aca="false">'Amendment Audit'!A52</f>
        <v>AMD-000772</v>
      </c>
      <c r="D322" s="23" t="n">
        <f aca="false">'Amendment Audit'!B52</f>
        <v>45148</v>
      </c>
      <c r="E322" s="22" t="str">
        <f aca="false">'Amendment Audit'!C52</f>
        <v>WL-01594</v>
      </c>
      <c r="F322" s="22" t="str">
        <f aca="false">'Amendment Audit'!D52</f>
        <v>Tracey Johnson</v>
      </c>
      <c r="G322" s="22" t="n">
        <f aca="false">'Amendment Audit'!F52</f>
        <v>23.5</v>
      </c>
      <c r="H322" s="22" t="n">
        <f aca="false">'Amendment Audit'!J52</f>
        <v>1</v>
      </c>
      <c r="I322" s="22" t="str">
        <f aca="false">'Amendment Audit'!L52</f>
        <v>No supplied signed certificate or yard measurement sheet</v>
      </c>
      <c r="J322" s="22" t="str">
        <f aca="false">"Amendment Audit row 52"</f>
        <v>Amendment Audit row 52</v>
      </c>
    </row>
    <row r="323" customFormat="false" ht="15" hidden="false" customHeight="false" outlineLevel="0" collapsed="false">
      <c r="A323" s="22" t="str">
        <f aca="false">'Amendment Audit'!M67</f>
        <v>Priority 1</v>
      </c>
      <c r="B323" s="22" t="s">
        <v>12989</v>
      </c>
      <c r="C323" s="22" t="str">
        <f aca="false">'Amendment Audit'!A67</f>
        <v>AMD-000967</v>
      </c>
      <c r="D323" s="23" t="n">
        <f aca="false">'Amendment Audit'!B67</f>
        <v>45291</v>
      </c>
      <c r="E323" s="22" t="str">
        <f aca="false">'Amendment Audit'!C67</f>
        <v>WL-01675</v>
      </c>
      <c r="F323" s="22" t="str">
        <f aca="false">'Amendment Audit'!D67</f>
        <v>Christina Smith</v>
      </c>
      <c r="G323" s="22" t="n">
        <f aca="false">'Amendment Audit'!F67</f>
        <v>34</v>
      </c>
      <c r="H323" s="22" t="n">
        <f aca="false">'Amendment Audit'!J67</f>
        <v>1</v>
      </c>
      <c r="I323" s="22" t="str">
        <f aca="false">'Amendment Audit'!L67</f>
        <v>No supplied signed certificate or yard measurement sheet</v>
      </c>
      <c r="J323" s="22" t="str">
        <f aca="false">"Amendment Audit row 67"</f>
        <v>Amendment Audit row 67</v>
      </c>
    </row>
    <row r="324" customFormat="false" ht="15" hidden="false" customHeight="false" outlineLevel="0" collapsed="false">
      <c r="A324" s="22" t="str">
        <f aca="false">'Amendment Audit'!M78</f>
        <v>Priority 1</v>
      </c>
      <c r="B324" s="22" t="s">
        <v>12989</v>
      </c>
      <c r="C324" s="22" t="str">
        <f aca="false">'Amendment Audit'!A78</f>
        <v>AMD-001109</v>
      </c>
      <c r="D324" s="23" t="n">
        <f aca="false">'Amendment Audit'!B78</f>
        <v>45395</v>
      </c>
      <c r="E324" s="22" t="str">
        <f aca="false">'Amendment Audit'!C78</f>
        <v>WL-02167</v>
      </c>
      <c r="F324" s="22" t="str">
        <f aca="false">'Amendment Audit'!D78</f>
        <v>Jonathan Anderson</v>
      </c>
      <c r="G324" s="22" t="n">
        <f aca="false">'Amendment Audit'!F78</f>
        <v>34.9</v>
      </c>
      <c r="H324" s="22" t="n">
        <f aca="false">'Amendment Audit'!J78</f>
        <v>1</v>
      </c>
      <c r="I324" s="22" t="str">
        <f aca="false">'Amendment Audit'!L78</f>
        <v>No supplied signed certificate or yard measurement sheet</v>
      </c>
      <c r="J324" s="22" t="str">
        <f aca="false">"Amendment Audit row 78"</f>
        <v>Amendment Audit row 78</v>
      </c>
    </row>
    <row r="325" customFormat="false" ht="15" hidden="false" customHeight="false" outlineLevel="0" collapsed="false">
      <c r="A325" s="22" t="str">
        <f aca="false">'Amendment Audit'!M85</f>
        <v>Priority 1</v>
      </c>
      <c r="B325" s="22" t="s">
        <v>12989</v>
      </c>
      <c r="C325" s="22" t="str">
        <f aca="false">'Amendment Audit'!A85</f>
        <v>AMD-001192</v>
      </c>
      <c r="D325" s="23" t="n">
        <f aca="false">'Amendment Audit'!B85</f>
        <v>45464</v>
      </c>
      <c r="E325" s="22" t="str">
        <f aca="false">'Amendment Audit'!C85</f>
        <v>WL-01001</v>
      </c>
      <c r="F325" s="22" t="str">
        <f aca="false">'Amendment Audit'!D85</f>
        <v>Valerie Jones</v>
      </c>
      <c r="G325" s="22" t="n">
        <f aca="false">'Amendment Audit'!F85</f>
        <v>50.8</v>
      </c>
      <c r="H325" s="22" t="n">
        <f aca="false">'Amendment Audit'!J85</f>
        <v>1</v>
      </c>
      <c r="I325" s="22" t="str">
        <f aca="false">'Amendment Audit'!L85</f>
        <v>No supplied signed certificate or yard measurement sheet</v>
      </c>
      <c r="J325" s="22" t="str">
        <f aca="false">"Amendment Audit row 85"</f>
        <v>Amendment Audit row 85</v>
      </c>
    </row>
    <row r="326" customFormat="false" ht="15" hidden="false" customHeight="false" outlineLevel="0" collapsed="false">
      <c r="A326" s="22" t="str">
        <f aca="false">'Amendment Audit'!M87</f>
        <v>Priority 1</v>
      </c>
      <c r="B326" s="22" t="s">
        <v>12989</v>
      </c>
      <c r="C326" s="22" t="str">
        <f aca="false">'Amendment Audit'!A87</f>
        <v>AMD-001204</v>
      </c>
      <c r="D326" s="23" t="n">
        <f aca="false">'Amendment Audit'!B87</f>
        <v>45474</v>
      </c>
      <c r="E326" s="22" t="str">
        <f aca="false">'Amendment Audit'!C87</f>
        <v>WL-01550</v>
      </c>
      <c r="F326" s="22" t="str">
        <f aca="false">'Amendment Audit'!D87</f>
        <v>Brittany Grant</v>
      </c>
      <c r="G326" s="22" t="n">
        <f aca="false">'Amendment Audit'!F87</f>
        <v>43</v>
      </c>
      <c r="H326" s="22" t="n">
        <f aca="false">'Amendment Audit'!J87</f>
        <v>1</v>
      </c>
      <c r="I326" s="22" t="str">
        <f aca="false">'Amendment Audit'!L87</f>
        <v>No supplied signed certificate or yard measurement sheet</v>
      </c>
      <c r="J326" s="22" t="str">
        <f aca="false">"Amendment Audit row 87"</f>
        <v>Amendment Audit row 87</v>
      </c>
    </row>
    <row r="327" customFormat="false" ht="15" hidden="false" customHeight="false" outlineLevel="0" collapsed="false">
      <c r="A327" s="22" t="str">
        <f aca="false">'Amendment Audit'!M104</f>
        <v>Priority 1</v>
      </c>
      <c r="B327" s="22" t="s">
        <v>12989</v>
      </c>
      <c r="C327" s="22" t="str">
        <f aca="false">'Amendment Audit'!A104</f>
        <v>AMD-001327</v>
      </c>
      <c r="D327" s="23" t="n">
        <f aca="false">'Amendment Audit'!B104</f>
        <v>45573</v>
      </c>
      <c r="E327" s="22" t="str">
        <f aca="false">'Amendment Audit'!C104</f>
        <v>WL-02607</v>
      </c>
      <c r="F327" s="22" t="str">
        <f aca="false">'Amendment Audit'!D104</f>
        <v>Sean Charles</v>
      </c>
      <c r="G327" s="22" t="n">
        <f aca="false">'Amendment Audit'!F104</f>
        <v>27.7</v>
      </c>
      <c r="H327" s="22" t="n">
        <f aca="false">'Amendment Audit'!J104</f>
        <v>1</v>
      </c>
      <c r="I327" s="22" t="str">
        <f aca="false">'Amendment Audit'!L104</f>
        <v>No supplied signed certificate or yard measurement sheet</v>
      </c>
      <c r="J327" s="22" t="str">
        <f aca="false">"Amendment Audit row 104"</f>
        <v>Amendment Audit row 104</v>
      </c>
    </row>
    <row r="328" customFormat="false" ht="15" hidden="false" customHeight="false" outlineLevel="0" collapsed="false">
      <c r="A328" s="22" t="str">
        <f aca="false">'Amendment Audit'!M151</f>
        <v>Priority 1</v>
      </c>
      <c r="B328" s="22" t="s">
        <v>12989</v>
      </c>
      <c r="C328" s="22" t="str">
        <f aca="false">'Amendment Audit'!A151</f>
        <v>AMD-001702</v>
      </c>
      <c r="D328" s="23" t="n">
        <f aca="false">'Amendment Audit'!B151</f>
        <v>45839</v>
      </c>
      <c r="E328" s="22" t="str">
        <f aca="false">'Amendment Audit'!C151</f>
        <v>WL-03102</v>
      </c>
      <c r="F328" s="22" t="str">
        <f aca="false">'Amendment Audit'!D151</f>
        <v>Dennis Farlow</v>
      </c>
      <c r="G328" s="22" t="n">
        <f aca="false">'Amendment Audit'!F151</f>
        <v>35.8</v>
      </c>
      <c r="H328" s="22" t="n">
        <f aca="false">'Amendment Audit'!J151</f>
        <v>1</v>
      </c>
      <c r="I328" s="22" t="str">
        <f aca="false">'Amendment Audit'!L151</f>
        <v>No supplied signed certificate or yard measurement sheet</v>
      </c>
      <c r="J328" s="22" t="str">
        <f aca="false">"Amendment Audit row 151"</f>
        <v>Amendment Audit row 151</v>
      </c>
    </row>
    <row r="329" customFormat="false" ht="15" hidden="false" customHeight="false" outlineLevel="0" collapsed="false">
      <c r="A329" s="22" t="str">
        <f aca="false">'Amendment Audit'!M176</f>
        <v>Priority 1</v>
      </c>
      <c r="B329" s="22" t="s">
        <v>12989</v>
      </c>
      <c r="C329" s="22" t="str">
        <f aca="false">'Amendment Audit'!A176</f>
        <v>AMD-001929</v>
      </c>
      <c r="D329" s="23" t="n">
        <f aca="false">'Amendment Audit'!B176</f>
        <v>46005</v>
      </c>
      <c r="E329" s="22" t="str">
        <f aca="false">'Amendment Audit'!C176</f>
        <v>WL-03787</v>
      </c>
      <c r="F329" s="22" t="str">
        <f aca="false">'Amendment Audit'!D176</f>
        <v>John Mcneil</v>
      </c>
      <c r="G329" s="22" t="n">
        <f aca="false">'Amendment Audit'!F176</f>
        <v>51</v>
      </c>
      <c r="H329" s="22" t="n">
        <f aca="false">'Amendment Audit'!J176</f>
        <v>1</v>
      </c>
      <c r="I329" s="22" t="str">
        <f aca="false">'Amendment Audit'!L176</f>
        <v>No supplied signed certificate or yard measurement sheet</v>
      </c>
      <c r="J329" s="22" t="str">
        <f aca="false">"Amendment Audit row 176"</f>
        <v>Amendment Audit row 176</v>
      </c>
    </row>
    <row r="330" customFormat="false" ht="15" hidden="false" customHeight="false" outlineLevel="0" collapsed="false">
      <c r="A330" s="22" t="str">
        <f aca="false">'Amendment Audit'!M6</f>
        <v>Priority 2</v>
      </c>
      <c r="B330" s="22" t="s">
        <v>12989</v>
      </c>
      <c r="C330" s="22" t="str">
        <f aca="false">'Amendment Audit'!A6</f>
        <v>AMD-000285</v>
      </c>
      <c r="D330" s="23" t="n">
        <f aca="false">'Amendment Audit'!B6</f>
        <v>44778</v>
      </c>
      <c r="E330" s="22" t="str">
        <f aca="false">'Amendment Audit'!C6</f>
        <v>WL-02933</v>
      </c>
      <c r="F330" s="22" t="str">
        <f aca="false">'Amendment Audit'!D6</f>
        <v>Jacob Turner</v>
      </c>
      <c r="G330" s="22" t="n">
        <f aca="false">'Amendment Audit'!F6</f>
        <v>46.4</v>
      </c>
      <c r="H330" s="22" t="n">
        <f aca="false">'Amendment Audit'!J6</f>
        <v>0</v>
      </c>
      <c r="I330" s="22" t="str">
        <f aca="false">'Amendment Audit'!L6</f>
        <v>No supplied signed certificate or yard measurement sheet</v>
      </c>
      <c r="J330" s="22" t="str">
        <f aca="false">"Amendment Audit row 6"</f>
        <v>Amendment Audit row 6</v>
      </c>
    </row>
    <row r="331" customFormat="false" ht="15" hidden="false" customHeight="false" outlineLevel="0" collapsed="false">
      <c r="A331" s="22" t="str">
        <f aca="false">'Amendment Audit'!M7</f>
        <v>Priority 2</v>
      </c>
      <c r="B331" s="22" t="s">
        <v>12989</v>
      </c>
      <c r="C331" s="22" t="str">
        <f aca="false">'Amendment Audit'!A7</f>
        <v>AMD-000287</v>
      </c>
      <c r="D331" s="23" t="n">
        <f aca="false">'Amendment Audit'!B7</f>
        <v>44782</v>
      </c>
      <c r="E331" s="22" t="str">
        <f aca="false">'Amendment Audit'!C7</f>
        <v>WL-01893</v>
      </c>
      <c r="F331" s="22" t="str">
        <f aca="false">'Amendment Audit'!D7</f>
        <v>Laura Beesley</v>
      </c>
      <c r="G331" s="22" t="n">
        <f aca="false">'Amendment Audit'!F7</f>
        <v>25.8</v>
      </c>
      <c r="H331" s="22" t="n">
        <f aca="false">'Amendment Audit'!J7</f>
        <v>0</v>
      </c>
      <c r="I331" s="22" t="str">
        <f aca="false">'Amendment Audit'!L7</f>
        <v>No supplied signed certificate or yard measurement sheet</v>
      </c>
      <c r="J331" s="22" t="str">
        <f aca="false">"Amendment Audit row 7"</f>
        <v>Amendment Audit row 7</v>
      </c>
    </row>
    <row r="332" customFormat="false" ht="15" hidden="false" customHeight="false" outlineLevel="0" collapsed="false">
      <c r="A332" s="22" t="str">
        <f aca="false">'Amendment Audit'!M9</f>
        <v>Priority 2</v>
      </c>
      <c r="B332" s="22" t="s">
        <v>12989</v>
      </c>
      <c r="C332" s="22" t="str">
        <f aca="false">'Amendment Audit'!A9</f>
        <v>AMD-000289</v>
      </c>
      <c r="D332" s="23" t="n">
        <f aca="false">'Amendment Audit'!B9</f>
        <v>44783</v>
      </c>
      <c r="E332" s="22" t="str">
        <f aca="false">'Amendment Audit'!C9</f>
        <v>WL-03103</v>
      </c>
      <c r="F332" s="22" t="str">
        <f aca="false">'Amendment Audit'!D9</f>
        <v>Thomas Roman</v>
      </c>
      <c r="G332" s="22" t="n">
        <f aca="false">'Amendment Audit'!F9</f>
        <v>51.1</v>
      </c>
      <c r="H332" s="22" t="n">
        <f aca="false">'Amendment Audit'!J9</f>
        <v>0</v>
      </c>
      <c r="I332" s="22" t="str">
        <f aca="false">'Amendment Audit'!L9</f>
        <v>No supplied signed certificate or yard measurement sheet</v>
      </c>
      <c r="J332" s="22" t="str">
        <f aca="false">"Amendment Audit row 9"</f>
        <v>Amendment Audit row 9</v>
      </c>
    </row>
    <row r="333" customFormat="false" ht="15" hidden="false" customHeight="false" outlineLevel="0" collapsed="false">
      <c r="A333" s="22" t="str">
        <f aca="false">'Amendment Audit'!M10</f>
        <v>Priority 2</v>
      </c>
      <c r="B333" s="22" t="s">
        <v>12989</v>
      </c>
      <c r="C333" s="22" t="str">
        <f aca="false">'Amendment Audit'!A10</f>
        <v>AMD-000316</v>
      </c>
      <c r="D333" s="23" t="n">
        <f aca="false">'Amendment Audit'!B10</f>
        <v>44805</v>
      </c>
      <c r="E333" s="22" t="str">
        <f aca="false">'Amendment Audit'!C10</f>
        <v>WL-03085</v>
      </c>
      <c r="F333" s="22" t="str">
        <f aca="false">'Amendment Audit'!D10</f>
        <v>Tiffany Robertson</v>
      </c>
      <c r="G333" s="22" t="n">
        <f aca="false">'Amendment Audit'!F10</f>
        <v>26.4</v>
      </c>
      <c r="H333" s="22" t="n">
        <f aca="false">'Amendment Audit'!J10</f>
        <v>0</v>
      </c>
      <c r="I333" s="22" t="str">
        <f aca="false">'Amendment Audit'!L10</f>
        <v>No supplied signed certificate or yard measurement sheet</v>
      </c>
      <c r="J333" s="22" t="str">
        <f aca="false">"Amendment Audit row 10"</f>
        <v>Amendment Audit row 10</v>
      </c>
    </row>
    <row r="334" customFormat="false" ht="15" hidden="false" customHeight="false" outlineLevel="0" collapsed="false">
      <c r="A334" s="22" t="str">
        <f aca="false">'Amendment Audit'!M11</f>
        <v>Priority 2</v>
      </c>
      <c r="B334" s="22" t="s">
        <v>12989</v>
      </c>
      <c r="C334" s="22" t="str">
        <f aca="false">'Amendment Audit'!A11</f>
        <v>AMD-000322</v>
      </c>
      <c r="D334" s="23" t="n">
        <f aca="false">'Amendment Audit'!B11</f>
        <v>44811</v>
      </c>
      <c r="E334" s="22" t="str">
        <f aca="false">'Amendment Audit'!C11</f>
        <v>WL-01962</v>
      </c>
      <c r="F334" s="22" t="str">
        <f aca="false">'Amendment Audit'!D11</f>
        <v>Natalie Tyler</v>
      </c>
      <c r="G334" s="22" t="n">
        <f aca="false">'Amendment Audit'!F11</f>
        <v>31.5</v>
      </c>
      <c r="H334" s="22" t="n">
        <f aca="false">'Amendment Audit'!J11</f>
        <v>0</v>
      </c>
      <c r="I334" s="22" t="str">
        <f aca="false">'Amendment Audit'!L11</f>
        <v>No supplied signed certificate or yard measurement sheet</v>
      </c>
      <c r="J334" s="22" t="str">
        <f aca="false">"Amendment Audit row 11"</f>
        <v>Amendment Audit row 11</v>
      </c>
    </row>
    <row r="335" customFormat="false" ht="15" hidden="false" customHeight="false" outlineLevel="0" collapsed="false">
      <c r="A335" s="22" t="str">
        <f aca="false">'Amendment Audit'!M12</f>
        <v>Priority 2</v>
      </c>
      <c r="B335" s="22" t="s">
        <v>12989</v>
      </c>
      <c r="C335" s="22" t="str">
        <f aca="false">'Amendment Audit'!A12</f>
        <v>AMD-000338</v>
      </c>
      <c r="D335" s="23" t="n">
        <f aca="false">'Amendment Audit'!B12</f>
        <v>44824</v>
      </c>
      <c r="E335" s="22" t="str">
        <f aca="false">'Amendment Audit'!C12</f>
        <v>WL-03600</v>
      </c>
      <c r="F335" s="22" t="str">
        <f aca="false">'Amendment Audit'!D12</f>
        <v>Bruce Miller</v>
      </c>
      <c r="G335" s="22" t="n">
        <f aca="false">'Amendment Audit'!F12</f>
        <v>49</v>
      </c>
      <c r="H335" s="22" t="n">
        <f aca="false">'Amendment Audit'!J12</f>
        <v>0</v>
      </c>
      <c r="I335" s="22" t="str">
        <f aca="false">'Amendment Audit'!L12</f>
        <v>No supplied signed certificate or yard measurement sheet</v>
      </c>
      <c r="J335" s="22" t="str">
        <f aca="false">"Amendment Audit row 12"</f>
        <v>Amendment Audit row 12</v>
      </c>
    </row>
    <row r="336" customFormat="false" ht="15" hidden="false" customHeight="false" outlineLevel="0" collapsed="false">
      <c r="A336" s="22" t="str">
        <f aca="false">'Amendment Audit'!M13</f>
        <v>Priority 2</v>
      </c>
      <c r="B336" s="22" t="s">
        <v>12989</v>
      </c>
      <c r="C336" s="22" t="str">
        <f aca="false">'Amendment Audit'!A13</f>
        <v>AMD-000339</v>
      </c>
      <c r="D336" s="23" t="n">
        <f aca="false">'Amendment Audit'!B13</f>
        <v>44826</v>
      </c>
      <c r="E336" s="22" t="str">
        <f aca="false">'Amendment Audit'!C13</f>
        <v>WL-02493</v>
      </c>
      <c r="F336" s="22" t="str">
        <f aca="false">'Amendment Audit'!D13</f>
        <v>Rebecca Vaughn</v>
      </c>
      <c r="G336" s="22" t="n">
        <f aca="false">'Amendment Audit'!F13</f>
        <v>42.9</v>
      </c>
      <c r="H336" s="22" t="n">
        <f aca="false">'Amendment Audit'!J13</f>
        <v>0</v>
      </c>
      <c r="I336" s="22" t="str">
        <f aca="false">'Amendment Audit'!L13</f>
        <v>No supplied signed certificate or yard measurement sheet</v>
      </c>
      <c r="J336" s="22" t="str">
        <f aca="false">"Amendment Audit row 13"</f>
        <v>Amendment Audit row 13</v>
      </c>
    </row>
    <row r="337" customFormat="false" ht="15" hidden="false" customHeight="false" outlineLevel="0" collapsed="false">
      <c r="A337" s="22" t="str">
        <f aca="false">'Amendment Audit'!M14</f>
        <v>Priority 2</v>
      </c>
      <c r="B337" s="22" t="s">
        <v>12989</v>
      </c>
      <c r="C337" s="22" t="str">
        <f aca="false">'Amendment Audit'!A14</f>
        <v>AMD-000343</v>
      </c>
      <c r="D337" s="23" t="n">
        <f aca="false">'Amendment Audit'!B14</f>
        <v>44827</v>
      </c>
      <c r="E337" s="22" t="str">
        <f aca="false">'Amendment Audit'!C14</f>
        <v>WL-03241</v>
      </c>
      <c r="F337" s="22" t="str">
        <f aca="false">'Amendment Audit'!D14</f>
        <v>Michael Ford</v>
      </c>
      <c r="G337" s="22" t="n">
        <f aca="false">'Amendment Audit'!F14</f>
        <v>38.3</v>
      </c>
      <c r="H337" s="22" t="n">
        <f aca="false">'Amendment Audit'!J14</f>
        <v>0</v>
      </c>
      <c r="I337" s="22" t="str">
        <f aca="false">'Amendment Audit'!L14</f>
        <v>No supplied signed certificate or yard measurement sheet</v>
      </c>
      <c r="J337" s="22" t="str">
        <f aca="false">"Amendment Audit row 14"</f>
        <v>Amendment Audit row 14</v>
      </c>
    </row>
    <row r="338" customFormat="false" ht="15" hidden="false" customHeight="false" outlineLevel="0" collapsed="false">
      <c r="A338" s="22" t="str">
        <f aca="false">'Amendment Audit'!M16</f>
        <v>Priority 2</v>
      </c>
      <c r="B338" s="22" t="s">
        <v>12989</v>
      </c>
      <c r="C338" s="22" t="str">
        <f aca="false">'Amendment Audit'!A16</f>
        <v>AMD-000368</v>
      </c>
      <c r="D338" s="23" t="n">
        <f aca="false">'Amendment Audit'!B16</f>
        <v>44846</v>
      </c>
      <c r="E338" s="22" t="str">
        <f aca="false">'Amendment Audit'!C16</f>
        <v>WL-01115</v>
      </c>
      <c r="F338" s="22" t="str">
        <f aca="false">'Amendment Audit'!D16</f>
        <v>Nathan Hunt</v>
      </c>
      <c r="G338" s="22" t="n">
        <f aca="false">'Amendment Audit'!F16</f>
        <v>43.7</v>
      </c>
      <c r="H338" s="22" t="n">
        <f aca="false">'Amendment Audit'!J16</f>
        <v>0</v>
      </c>
      <c r="I338" s="22" t="str">
        <f aca="false">'Amendment Audit'!L16</f>
        <v>No supplied signed certificate or yard measurement sheet</v>
      </c>
      <c r="J338" s="22" t="str">
        <f aca="false">"Amendment Audit row 16"</f>
        <v>Amendment Audit row 16</v>
      </c>
    </row>
    <row r="339" customFormat="false" ht="15" hidden="false" customHeight="false" outlineLevel="0" collapsed="false">
      <c r="A339" s="22" t="str">
        <f aca="false">'Amendment Audit'!M18</f>
        <v>Priority 2</v>
      </c>
      <c r="B339" s="22" t="s">
        <v>12989</v>
      </c>
      <c r="C339" s="22" t="str">
        <f aca="false">'Amendment Audit'!A18</f>
        <v>AMD-000403</v>
      </c>
      <c r="D339" s="23" t="n">
        <f aca="false">'Amendment Audit'!B18</f>
        <v>44873</v>
      </c>
      <c r="E339" s="22" t="str">
        <f aca="false">'Amendment Audit'!C18</f>
        <v>WL-01088</v>
      </c>
      <c r="F339" s="22" t="str">
        <f aca="false">'Amendment Audit'!D18</f>
        <v>Connie Jacobson</v>
      </c>
      <c r="G339" s="22" t="n">
        <f aca="false">'Amendment Audit'!F18</f>
        <v>28.9</v>
      </c>
      <c r="H339" s="22" t="n">
        <f aca="false">'Amendment Audit'!J18</f>
        <v>0</v>
      </c>
      <c r="I339" s="22" t="str">
        <f aca="false">'Amendment Audit'!L18</f>
        <v>No supplied signed certificate or yard measurement sheet</v>
      </c>
      <c r="J339" s="22" t="str">
        <f aca="false">"Amendment Audit row 18"</f>
        <v>Amendment Audit row 18</v>
      </c>
    </row>
    <row r="340" customFormat="false" ht="15" hidden="false" customHeight="false" outlineLevel="0" collapsed="false">
      <c r="A340" s="22" t="str">
        <f aca="false">'Amendment Audit'!M19</f>
        <v>Priority 2</v>
      </c>
      <c r="B340" s="22" t="s">
        <v>12989</v>
      </c>
      <c r="C340" s="22" t="str">
        <f aca="false">'Amendment Audit'!A19</f>
        <v>AMD-000413</v>
      </c>
      <c r="D340" s="23" t="n">
        <f aca="false">'Amendment Audit'!B19</f>
        <v>44878</v>
      </c>
      <c r="E340" s="22" t="str">
        <f aca="false">'Amendment Audit'!C19</f>
        <v>WL-02512</v>
      </c>
      <c r="F340" s="22" t="str">
        <f aca="false">'Amendment Audit'!D19</f>
        <v>Natalie Olsen</v>
      </c>
      <c r="G340" s="22" t="n">
        <f aca="false">'Amendment Audit'!F19</f>
        <v>40.7</v>
      </c>
      <c r="H340" s="22" t="n">
        <f aca="false">'Amendment Audit'!J19</f>
        <v>0</v>
      </c>
      <c r="I340" s="22" t="str">
        <f aca="false">'Amendment Audit'!L19</f>
        <v>No supplied signed certificate or yard measurement sheet</v>
      </c>
      <c r="J340" s="22" t="str">
        <f aca="false">"Amendment Audit row 19"</f>
        <v>Amendment Audit row 19</v>
      </c>
    </row>
    <row r="341" customFormat="false" ht="15" hidden="false" customHeight="false" outlineLevel="0" collapsed="false">
      <c r="A341" s="22" t="str">
        <f aca="false">'Amendment Audit'!M20</f>
        <v>Priority 2</v>
      </c>
      <c r="B341" s="22" t="s">
        <v>12989</v>
      </c>
      <c r="C341" s="22" t="str">
        <f aca="false">'Amendment Audit'!A20</f>
        <v>AMD-000415</v>
      </c>
      <c r="D341" s="23" t="n">
        <f aca="false">'Amendment Audit'!B20</f>
        <v>44881</v>
      </c>
      <c r="E341" s="22" t="str">
        <f aca="false">'Amendment Audit'!C20</f>
        <v>WL-02107</v>
      </c>
      <c r="F341" s="22" t="str">
        <f aca="false">'Amendment Audit'!D20</f>
        <v>Brittany Baldwin</v>
      </c>
      <c r="G341" s="22" t="n">
        <f aca="false">'Amendment Audit'!F20</f>
        <v>47.3</v>
      </c>
      <c r="H341" s="22" t="n">
        <f aca="false">'Amendment Audit'!J20</f>
        <v>0</v>
      </c>
      <c r="I341" s="22" t="str">
        <f aca="false">'Amendment Audit'!L20</f>
        <v>No supplied signed certificate or yard measurement sheet</v>
      </c>
      <c r="J341" s="22" t="str">
        <f aca="false">"Amendment Audit row 20"</f>
        <v>Amendment Audit row 20</v>
      </c>
    </row>
    <row r="342" customFormat="false" ht="15" hidden="false" customHeight="false" outlineLevel="0" collapsed="false">
      <c r="A342" s="22" t="str">
        <f aca="false">'Amendment Audit'!M21</f>
        <v>Priority 2</v>
      </c>
      <c r="B342" s="22" t="s">
        <v>12989</v>
      </c>
      <c r="C342" s="22" t="str">
        <f aca="false">'Amendment Audit'!A21</f>
        <v>AMD-000416</v>
      </c>
      <c r="D342" s="23" t="n">
        <f aca="false">'Amendment Audit'!B21</f>
        <v>44881</v>
      </c>
      <c r="E342" s="22" t="str">
        <f aca="false">'Amendment Audit'!C21</f>
        <v>WL-03636</v>
      </c>
      <c r="F342" s="22" t="str">
        <f aca="false">'Amendment Audit'!D21</f>
        <v>Amy Flores</v>
      </c>
      <c r="G342" s="22" t="n">
        <f aca="false">'Amendment Audit'!F21</f>
        <v>24.8</v>
      </c>
      <c r="H342" s="22" t="n">
        <f aca="false">'Amendment Audit'!J21</f>
        <v>0</v>
      </c>
      <c r="I342" s="22" t="str">
        <f aca="false">'Amendment Audit'!L21</f>
        <v>No supplied signed certificate or yard measurement sheet</v>
      </c>
      <c r="J342" s="22" t="str">
        <f aca="false">"Amendment Audit row 21"</f>
        <v>Amendment Audit row 21</v>
      </c>
    </row>
    <row r="343" customFormat="false" ht="15" hidden="false" customHeight="false" outlineLevel="0" collapsed="false">
      <c r="A343" s="22" t="str">
        <f aca="false">'Amendment Audit'!M22</f>
        <v>Priority 2</v>
      </c>
      <c r="B343" s="22" t="s">
        <v>12989</v>
      </c>
      <c r="C343" s="22" t="str">
        <f aca="false">'Amendment Audit'!A22</f>
        <v>AMD-000425</v>
      </c>
      <c r="D343" s="23" t="n">
        <f aca="false">'Amendment Audit'!B22</f>
        <v>44889</v>
      </c>
      <c r="E343" s="22" t="str">
        <f aca="false">'Amendment Audit'!C22</f>
        <v>WL-03350</v>
      </c>
      <c r="F343" s="22" t="str">
        <f aca="false">'Amendment Audit'!D22</f>
        <v>Edwin Jones</v>
      </c>
      <c r="G343" s="22" t="n">
        <f aca="false">'Amendment Audit'!F22</f>
        <v>35.2</v>
      </c>
      <c r="H343" s="22" t="n">
        <f aca="false">'Amendment Audit'!J22</f>
        <v>0</v>
      </c>
      <c r="I343" s="22" t="str">
        <f aca="false">'Amendment Audit'!L22</f>
        <v>No supplied signed certificate or yard measurement sheet</v>
      </c>
      <c r="J343" s="22" t="str">
        <f aca="false">"Amendment Audit row 22"</f>
        <v>Amendment Audit row 22</v>
      </c>
    </row>
    <row r="344" customFormat="false" ht="15" hidden="false" customHeight="false" outlineLevel="0" collapsed="false">
      <c r="A344" s="22" t="str">
        <f aca="false">'Amendment Audit'!M23</f>
        <v>Priority 2</v>
      </c>
      <c r="B344" s="22" t="s">
        <v>12989</v>
      </c>
      <c r="C344" s="22" t="str">
        <f aca="false">'Amendment Audit'!A23</f>
        <v>AMD-000431</v>
      </c>
      <c r="D344" s="23" t="n">
        <f aca="false">'Amendment Audit'!B23</f>
        <v>44893</v>
      </c>
      <c r="E344" s="22" t="str">
        <f aca="false">'Amendment Audit'!C23</f>
        <v>WL-03727</v>
      </c>
      <c r="F344" s="22" t="str">
        <f aca="false">'Amendment Audit'!D23</f>
        <v>Vanessa Crawford</v>
      </c>
      <c r="G344" s="22" t="n">
        <f aca="false">'Amendment Audit'!F23</f>
        <v>44</v>
      </c>
      <c r="H344" s="22" t="n">
        <f aca="false">'Amendment Audit'!J23</f>
        <v>0</v>
      </c>
      <c r="I344" s="22" t="str">
        <f aca="false">'Amendment Audit'!L23</f>
        <v>No supplied signed certificate or yard measurement sheet</v>
      </c>
      <c r="J344" s="22" t="str">
        <f aca="false">"Amendment Audit row 23"</f>
        <v>Amendment Audit row 23</v>
      </c>
    </row>
    <row r="345" customFormat="false" ht="15" hidden="false" customHeight="false" outlineLevel="0" collapsed="false">
      <c r="A345" s="22" t="str">
        <f aca="false">'Amendment Audit'!M25</f>
        <v>Priority 2</v>
      </c>
      <c r="B345" s="22" t="s">
        <v>12989</v>
      </c>
      <c r="C345" s="22" t="str">
        <f aca="false">'Amendment Audit'!A25</f>
        <v>AMD-000436</v>
      </c>
      <c r="D345" s="23" t="n">
        <f aca="false">'Amendment Audit'!B25</f>
        <v>44897</v>
      </c>
      <c r="E345" s="22" t="str">
        <f aca="false">'Amendment Audit'!C25</f>
        <v>WL-02036</v>
      </c>
      <c r="F345" s="22" t="str">
        <f aca="false">'Amendment Audit'!D25</f>
        <v>Susan Miller</v>
      </c>
      <c r="G345" s="22" t="n">
        <f aca="false">'Amendment Audit'!F25</f>
        <v>23.5</v>
      </c>
      <c r="H345" s="22" t="n">
        <f aca="false">'Amendment Audit'!J25</f>
        <v>0</v>
      </c>
      <c r="I345" s="22" t="str">
        <f aca="false">'Amendment Audit'!L25</f>
        <v>No supplied signed certificate or yard measurement sheet</v>
      </c>
      <c r="J345" s="22" t="str">
        <f aca="false">"Amendment Audit row 25"</f>
        <v>Amendment Audit row 25</v>
      </c>
    </row>
    <row r="346" customFormat="false" ht="15" hidden="false" customHeight="false" outlineLevel="0" collapsed="false">
      <c r="A346" s="22" t="str">
        <f aca="false">'Amendment Audit'!M26</f>
        <v>Priority 2</v>
      </c>
      <c r="B346" s="22" t="s">
        <v>12989</v>
      </c>
      <c r="C346" s="22" t="str">
        <f aca="false">'Amendment Audit'!A26</f>
        <v>AMD-000461</v>
      </c>
      <c r="D346" s="23" t="n">
        <f aca="false">'Amendment Audit'!B26</f>
        <v>44915</v>
      </c>
      <c r="E346" s="22" t="str">
        <f aca="false">'Amendment Audit'!C26</f>
        <v>WL-03633</v>
      </c>
      <c r="F346" s="22" t="str">
        <f aca="false">'Amendment Audit'!D26</f>
        <v>Keith Powell</v>
      </c>
      <c r="G346" s="22" t="n">
        <f aca="false">'Amendment Audit'!F26</f>
        <v>33.4</v>
      </c>
      <c r="H346" s="22" t="n">
        <f aca="false">'Amendment Audit'!J26</f>
        <v>0</v>
      </c>
      <c r="I346" s="22" t="str">
        <f aca="false">'Amendment Audit'!L26</f>
        <v>No supplied signed certificate or yard measurement sheet</v>
      </c>
      <c r="J346" s="22" t="str">
        <f aca="false">"Amendment Audit row 26"</f>
        <v>Amendment Audit row 26</v>
      </c>
    </row>
    <row r="347" customFormat="false" ht="15" hidden="false" customHeight="false" outlineLevel="0" collapsed="false">
      <c r="A347" s="22" t="str">
        <f aca="false">'Amendment Audit'!M27</f>
        <v>Priority 2</v>
      </c>
      <c r="B347" s="22" t="s">
        <v>12989</v>
      </c>
      <c r="C347" s="22" t="str">
        <f aca="false">'Amendment Audit'!A27</f>
        <v>AMD-000462</v>
      </c>
      <c r="D347" s="23" t="n">
        <f aca="false">'Amendment Audit'!B27</f>
        <v>44916</v>
      </c>
      <c r="E347" s="22" t="str">
        <f aca="false">'Amendment Audit'!C27</f>
        <v>WL-02309</v>
      </c>
      <c r="F347" s="22" t="str">
        <f aca="false">'Amendment Audit'!D27</f>
        <v>Timothy Brown</v>
      </c>
      <c r="G347" s="22" t="n">
        <f aca="false">'Amendment Audit'!F27</f>
        <v>29.7</v>
      </c>
      <c r="H347" s="22" t="n">
        <f aca="false">'Amendment Audit'!J27</f>
        <v>0</v>
      </c>
      <c r="I347" s="22" t="str">
        <f aca="false">'Amendment Audit'!L27</f>
        <v>No supplied signed certificate or yard measurement sheet</v>
      </c>
      <c r="J347" s="22" t="str">
        <f aca="false">"Amendment Audit row 27"</f>
        <v>Amendment Audit row 27</v>
      </c>
    </row>
    <row r="348" customFormat="false" ht="15" hidden="false" customHeight="false" outlineLevel="0" collapsed="false">
      <c r="A348" s="22" t="str">
        <f aca="false">'Amendment Audit'!M28</f>
        <v>Priority 2</v>
      </c>
      <c r="B348" s="22" t="s">
        <v>12989</v>
      </c>
      <c r="C348" s="22" t="str">
        <f aca="false">'Amendment Audit'!A28</f>
        <v>AMD-000471</v>
      </c>
      <c r="D348" s="23" t="n">
        <f aca="false">'Amendment Audit'!B28</f>
        <v>44921</v>
      </c>
      <c r="E348" s="22" t="str">
        <f aca="false">'Amendment Audit'!C28</f>
        <v>WL-02957</v>
      </c>
      <c r="F348" s="22" t="str">
        <f aca="false">'Amendment Audit'!D28</f>
        <v>Jeanne Montgomery</v>
      </c>
      <c r="G348" s="22" t="n">
        <f aca="false">'Amendment Audit'!F28</f>
        <v>48.9</v>
      </c>
      <c r="H348" s="22" t="n">
        <f aca="false">'Amendment Audit'!J28</f>
        <v>0</v>
      </c>
      <c r="I348" s="22" t="str">
        <f aca="false">'Amendment Audit'!L28</f>
        <v>No supplied signed certificate or yard measurement sheet</v>
      </c>
      <c r="J348" s="22" t="str">
        <f aca="false">"Amendment Audit row 28"</f>
        <v>Amendment Audit row 28</v>
      </c>
    </row>
    <row r="349" customFormat="false" ht="15" hidden="false" customHeight="false" outlineLevel="0" collapsed="false">
      <c r="A349" s="22" t="str">
        <f aca="false">'Amendment Audit'!M29</f>
        <v>Priority 2</v>
      </c>
      <c r="B349" s="22" t="s">
        <v>12989</v>
      </c>
      <c r="C349" s="22" t="str">
        <f aca="false">'Amendment Audit'!A29</f>
        <v>AMD-000478</v>
      </c>
      <c r="D349" s="23" t="n">
        <f aca="false">'Amendment Audit'!B29</f>
        <v>44925</v>
      </c>
      <c r="E349" s="22" t="str">
        <f aca="false">'Amendment Audit'!C29</f>
        <v>WL-03274</v>
      </c>
      <c r="F349" s="22" t="str">
        <f aca="false">'Amendment Audit'!D29</f>
        <v>Brenda Matthews</v>
      </c>
      <c r="G349" s="22" t="n">
        <f aca="false">'Amendment Audit'!F29</f>
        <v>27.5</v>
      </c>
      <c r="H349" s="22" t="n">
        <f aca="false">'Amendment Audit'!J29</f>
        <v>0</v>
      </c>
      <c r="I349" s="22" t="str">
        <f aca="false">'Amendment Audit'!L29</f>
        <v>No supplied signed certificate or yard measurement sheet</v>
      </c>
      <c r="J349" s="22" t="str">
        <f aca="false">"Amendment Audit row 29"</f>
        <v>Amendment Audit row 29</v>
      </c>
    </row>
    <row r="350" customFormat="false" ht="15" hidden="false" customHeight="false" outlineLevel="0" collapsed="false">
      <c r="A350" s="22" t="str">
        <f aca="false">'Amendment Audit'!M30</f>
        <v>Priority 2</v>
      </c>
      <c r="B350" s="22" t="s">
        <v>12989</v>
      </c>
      <c r="C350" s="22" t="str">
        <f aca="false">'Amendment Audit'!A30</f>
        <v>AMD-000482</v>
      </c>
      <c r="D350" s="23" t="n">
        <f aca="false">'Amendment Audit'!B30</f>
        <v>44927</v>
      </c>
      <c r="E350" s="22" t="str">
        <f aca="false">'Amendment Audit'!C30</f>
        <v>WL-03883</v>
      </c>
      <c r="F350" s="22" t="str">
        <f aca="false">'Amendment Audit'!D30</f>
        <v>Priscilla Gallegos</v>
      </c>
      <c r="G350" s="22" t="n">
        <f aca="false">'Amendment Audit'!F30</f>
        <v>24</v>
      </c>
      <c r="H350" s="22" t="n">
        <f aca="false">'Amendment Audit'!J30</f>
        <v>0</v>
      </c>
      <c r="I350" s="22" t="str">
        <f aca="false">'Amendment Audit'!L30</f>
        <v>No supplied signed certificate or yard measurement sheet</v>
      </c>
      <c r="J350" s="22" t="str">
        <f aca="false">"Amendment Audit row 30"</f>
        <v>Amendment Audit row 30</v>
      </c>
    </row>
    <row r="351" customFormat="false" ht="15" hidden="false" customHeight="false" outlineLevel="0" collapsed="false">
      <c r="A351" s="22" t="str">
        <f aca="false">'Amendment Audit'!M31</f>
        <v>Priority 2</v>
      </c>
      <c r="B351" s="22" t="s">
        <v>12989</v>
      </c>
      <c r="C351" s="22" t="str">
        <f aca="false">'Amendment Audit'!A31</f>
        <v>AMD-000506</v>
      </c>
      <c r="D351" s="23" t="n">
        <f aca="false">'Amendment Audit'!B31</f>
        <v>44948</v>
      </c>
      <c r="E351" s="22" t="str">
        <f aca="false">'Amendment Audit'!C31</f>
        <v>WL-02724</v>
      </c>
      <c r="F351" s="22" t="str">
        <f aca="false">'Amendment Audit'!D31</f>
        <v>Benjamin Hawkins</v>
      </c>
      <c r="G351" s="22" t="n">
        <f aca="false">'Amendment Audit'!F31</f>
        <v>44.5</v>
      </c>
      <c r="H351" s="22" t="n">
        <f aca="false">'Amendment Audit'!J31</f>
        <v>0</v>
      </c>
      <c r="I351" s="22" t="str">
        <f aca="false">'Amendment Audit'!L31</f>
        <v>No supplied signed certificate or yard measurement sheet</v>
      </c>
      <c r="J351" s="22" t="str">
        <f aca="false">"Amendment Audit row 31"</f>
        <v>Amendment Audit row 31</v>
      </c>
    </row>
    <row r="352" customFormat="false" ht="15" hidden="false" customHeight="false" outlineLevel="0" collapsed="false">
      <c r="A352" s="22" t="str">
        <f aca="false">'Amendment Audit'!M32</f>
        <v>Priority 2</v>
      </c>
      <c r="B352" s="22" t="s">
        <v>12989</v>
      </c>
      <c r="C352" s="22" t="str">
        <f aca="false">'Amendment Audit'!A32</f>
        <v>AMD-000526</v>
      </c>
      <c r="D352" s="23" t="n">
        <f aca="false">'Amendment Audit'!B32</f>
        <v>44960</v>
      </c>
      <c r="E352" s="22" t="str">
        <f aca="false">'Amendment Audit'!C32</f>
        <v>WL-03429</v>
      </c>
      <c r="F352" s="22" t="str">
        <f aca="false">'Amendment Audit'!D32</f>
        <v>Daniel Perez</v>
      </c>
      <c r="G352" s="22" t="n">
        <f aca="false">'Amendment Audit'!F32</f>
        <v>23.1</v>
      </c>
      <c r="H352" s="22" t="n">
        <f aca="false">'Amendment Audit'!J32</f>
        <v>0</v>
      </c>
      <c r="I352" s="22" t="str">
        <f aca="false">'Amendment Audit'!L32</f>
        <v>No supplied signed certificate or yard measurement sheet</v>
      </c>
      <c r="J352" s="22" t="str">
        <f aca="false">"Amendment Audit row 32"</f>
        <v>Amendment Audit row 32</v>
      </c>
    </row>
    <row r="353" customFormat="false" ht="15" hidden="false" customHeight="false" outlineLevel="0" collapsed="false">
      <c r="A353" s="22" t="str">
        <f aca="false">'Amendment Audit'!M34</f>
        <v>Priority 2</v>
      </c>
      <c r="B353" s="22" t="s">
        <v>12989</v>
      </c>
      <c r="C353" s="22" t="str">
        <f aca="false">'Amendment Audit'!A34</f>
        <v>AMD-000580</v>
      </c>
      <c r="D353" s="23" t="n">
        <f aca="false">'Amendment Audit'!B34</f>
        <v>44996</v>
      </c>
      <c r="E353" s="22" t="str">
        <f aca="false">'Amendment Audit'!C34</f>
        <v>WL-03115</v>
      </c>
      <c r="F353" s="22" t="str">
        <f aca="false">'Amendment Audit'!D34</f>
        <v>Ariel Bray</v>
      </c>
      <c r="G353" s="22" t="n">
        <f aca="false">'Amendment Audit'!F34</f>
        <v>51.8</v>
      </c>
      <c r="H353" s="22" t="n">
        <f aca="false">'Amendment Audit'!J34</f>
        <v>0</v>
      </c>
      <c r="I353" s="22" t="str">
        <f aca="false">'Amendment Audit'!L34</f>
        <v>No supplied signed certificate or yard measurement sheet</v>
      </c>
      <c r="J353" s="22" t="str">
        <f aca="false">"Amendment Audit row 34"</f>
        <v>Amendment Audit row 34</v>
      </c>
    </row>
    <row r="354" customFormat="false" ht="15" hidden="false" customHeight="false" outlineLevel="0" collapsed="false">
      <c r="A354" s="22" t="str">
        <f aca="false">'Amendment Audit'!M35</f>
        <v>Priority 2</v>
      </c>
      <c r="B354" s="22" t="s">
        <v>12989</v>
      </c>
      <c r="C354" s="22" t="str">
        <f aca="false">'Amendment Audit'!A35</f>
        <v>AMD-000584</v>
      </c>
      <c r="D354" s="23" t="n">
        <f aca="false">'Amendment Audit'!B35</f>
        <v>44999</v>
      </c>
      <c r="E354" s="22" t="str">
        <f aca="false">'Amendment Audit'!C35</f>
        <v>WL-03617</v>
      </c>
      <c r="F354" s="22" t="str">
        <f aca="false">'Amendment Audit'!D35</f>
        <v>Kimberly Vaughan</v>
      </c>
      <c r="G354" s="22" t="n">
        <f aca="false">'Amendment Audit'!F35</f>
        <v>26.7</v>
      </c>
      <c r="H354" s="22" t="n">
        <f aca="false">'Amendment Audit'!J35</f>
        <v>0</v>
      </c>
      <c r="I354" s="22" t="str">
        <f aca="false">'Amendment Audit'!L35</f>
        <v>No supplied signed certificate or yard measurement sheet</v>
      </c>
      <c r="J354" s="22" t="str">
        <f aca="false">"Amendment Audit row 35"</f>
        <v>Amendment Audit row 35</v>
      </c>
    </row>
    <row r="355" customFormat="false" ht="15" hidden="false" customHeight="false" outlineLevel="0" collapsed="false">
      <c r="A355" s="22" t="str">
        <f aca="false">'Amendment Audit'!M36</f>
        <v>Priority 2</v>
      </c>
      <c r="B355" s="22" t="s">
        <v>12989</v>
      </c>
      <c r="C355" s="22" t="str">
        <f aca="false">'Amendment Audit'!A36</f>
        <v>AMD-000601</v>
      </c>
      <c r="D355" s="23" t="n">
        <f aca="false">'Amendment Audit'!B36</f>
        <v>45010</v>
      </c>
      <c r="E355" s="22" t="str">
        <f aca="false">'Amendment Audit'!C36</f>
        <v>WL-01670</v>
      </c>
      <c r="F355" s="22" t="str">
        <f aca="false">'Amendment Audit'!D36</f>
        <v>Benjamin Larsen</v>
      </c>
      <c r="G355" s="22" t="n">
        <f aca="false">'Amendment Audit'!F36</f>
        <v>29.6</v>
      </c>
      <c r="H355" s="22" t="n">
        <f aca="false">'Amendment Audit'!J36</f>
        <v>0</v>
      </c>
      <c r="I355" s="22" t="str">
        <f aca="false">'Amendment Audit'!L36</f>
        <v>No supplied signed certificate or yard measurement sheet</v>
      </c>
      <c r="J355" s="22" t="str">
        <f aca="false">"Amendment Audit row 36"</f>
        <v>Amendment Audit row 36</v>
      </c>
    </row>
    <row r="356" customFormat="false" ht="15" hidden="false" customHeight="false" outlineLevel="0" collapsed="false">
      <c r="A356" s="22" t="str">
        <f aca="false">'Amendment Audit'!M37</f>
        <v>Priority 2</v>
      </c>
      <c r="B356" s="22" t="s">
        <v>12989</v>
      </c>
      <c r="C356" s="22" t="str">
        <f aca="false">'Amendment Audit'!A37</f>
        <v>AMD-000610</v>
      </c>
      <c r="D356" s="23" t="n">
        <f aca="false">'Amendment Audit'!B37</f>
        <v>45023</v>
      </c>
      <c r="E356" s="22" t="str">
        <f aca="false">'Amendment Audit'!C37</f>
        <v>WL-02695</v>
      </c>
      <c r="F356" s="22" t="str">
        <f aca="false">'Amendment Audit'!D37</f>
        <v>Anthony Hamilton</v>
      </c>
      <c r="G356" s="22" t="n">
        <f aca="false">'Amendment Audit'!F37</f>
        <v>52.5</v>
      </c>
      <c r="H356" s="22" t="n">
        <f aca="false">'Amendment Audit'!J37</f>
        <v>0</v>
      </c>
      <c r="I356" s="22" t="str">
        <f aca="false">'Amendment Audit'!L37</f>
        <v>No supplied signed certificate or yard measurement sheet</v>
      </c>
      <c r="J356" s="22" t="str">
        <f aca="false">"Amendment Audit row 37"</f>
        <v>Amendment Audit row 37</v>
      </c>
    </row>
    <row r="357" customFormat="false" ht="15" hidden="false" customHeight="false" outlineLevel="0" collapsed="false">
      <c r="A357" s="22" t="str">
        <f aca="false">'Amendment Audit'!M38</f>
        <v>Priority 2</v>
      </c>
      <c r="B357" s="22" t="s">
        <v>12989</v>
      </c>
      <c r="C357" s="22" t="str">
        <f aca="false">'Amendment Audit'!A38</f>
        <v>AMD-000627</v>
      </c>
      <c r="D357" s="23" t="n">
        <f aca="false">'Amendment Audit'!B38</f>
        <v>45038</v>
      </c>
      <c r="E357" s="22" t="str">
        <f aca="false">'Amendment Audit'!C38</f>
        <v>WL-01438</v>
      </c>
      <c r="F357" s="22" t="str">
        <f aca="false">'Amendment Audit'!D38</f>
        <v>Angela Whitehead</v>
      </c>
      <c r="G357" s="22" t="n">
        <f aca="false">'Amendment Audit'!F38</f>
        <v>21.3</v>
      </c>
      <c r="H357" s="22" t="n">
        <f aca="false">'Amendment Audit'!J38</f>
        <v>0</v>
      </c>
      <c r="I357" s="22" t="str">
        <f aca="false">'Amendment Audit'!L38</f>
        <v>No supplied signed certificate or yard measurement sheet</v>
      </c>
      <c r="J357" s="22" t="str">
        <f aca="false">"Amendment Audit row 38"</f>
        <v>Amendment Audit row 38</v>
      </c>
    </row>
    <row r="358" customFormat="false" ht="15" hidden="false" customHeight="false" outlineLevel="0" collapsed="false">
      <c r="A358" s="22" t="str">
        <f aca="false">'Amendment Audit'!M39</f>
        <v>Priority 2</v>
      </c>
      <c r="B358" s="22" t="s">
        <v>12989</v>
      </c>
      <c r="C358" s="22" t="str">
        <f aca="false">'Amendment Audit'!A39</f>
        <v>AMD-000646</v>
      </c>
      <c r="D358" s="23" t="n">
        <f aca="false">'Amendment Audit'!B39</f>
        <v>45050</v>
      </c>
      <c r="E358" s="22" t="str">
        <f aca="false">'Amendment Audit'!C39</f>
        <v>WL-02496</v>
      </c>
      <c r="F358" s="22" t="str">
        <f aca="false">'Amendment Audit'!D39</f>
        <v>Larry Mitchell</v>
      </c>
      <c r="G358" s="22" t="n">
        <f aca="false">'Amendment Audit'!F39</f>
        <v>24.3</v>
      </c>
      <c r="H358" s="22" t="n">
        <f aca="false">'Amendment Audit'!J39</f>
        <v>0</v>
      </c>
      <c r="I358" s="22" t="str">
        <f aca="false">'Amendment Audit'!L39</f>
        <v>No supplied signed certificate or yard measurement sheet</v>
      </c>
      <c r="J358" s="22" t="str">
        <f aca="false">"Amendment Audit row 39"</f>
        <v>Amendment Audit row 39</v>
      </c>
    </row>
    <row r="359" customFormat="false" ht="15" hidden="false" customHeight="false" outlineLevel="0" collapsed="false">
      <c r="A359" s="22" t="str">
        <f aca="false">'Amendment Audit'!M40</f>
        <v>Priority 2</v>
      </c>
      <c r="B359" s="22" t="s">
        <v>12989</v>
      </c>
      <c r="C359" s="22" t="str">
        <f aca="false">'Amendment Audit'!A40</f>
        <v>AMD-000661</v>
      </c>
      <c r="D359" s="23" t="n">
        <f aca="false">'Amendment Audit'!B40</f>
        <v>45067</v>
      </c>
      <c r="E359" s="22" t="str">
        <f aca="false">'Amendment Audit'!C40</f>
        <v>WL-02263</v>
      </c>
      <c r="F359" s="22" t="str">
        <f aca="false">'Amendment Audit'!D40</f>
        <v>Anthony Young</v>
      </c>
      <c r="G359" s="22" t="n">
        <f aca="false">'Amendment Audit'!F40</f>
        <v>53.9</v>
      </c>
      <c r="H359" s="22" t="n">
        <f aca="false">'Amendment Audit'!J40</f>
        <v>0</v>
      </c>
      <c r="I359" s="22" t="str">
        <f aca="false">'Amendment Audit'!L40</f>
        <v>No supplied signed certificate or yard measurement sheet</v>
      </c>
      <c r="J359" s="22" t="str">
        <f aca="false">"Amendment Audit row 40"</f>
        <v>Amendment Audit row 40</v>
      </c>
    </row>
    <row r="360" customFormat="false" ht="15" hidden="false" customHeight="false" outlineLevel="0" collapsed="false">
      <c r="A360" s="22" t="str">
        <f aca="false">'Amendment Audit'!M41</f>
        <v>Priority 2</v>
      </c>
      <c r="B360" s="22" t="s">
        <v>12989</v>
      </c>
      <c r="C360" s="22" t="str">
        <f aca="false">'Amendment Audit'!A41</f>
        <v>AMD-000662</v>
      </c>
      <c r="D360" s="23" t="n">
        <f aca="false">'Amendment Audit'!B41</f>
        <v>45067</v>
      </c>
      <c r="E360" s="22" t="str">
        <f aca="false">'Amendment Audit'!C41</f>
        <v>WL-02278</v>
      </c>
      <c r="F360" s="22" t="str">
        <f aca="false">'Amendment Audit'!D41</f>
        <v>Maria Williams</v>
      </c>
      <c r="G360" s="22" t="n">
        <f aca="false">'Amendment Audit'!F41</f>
        <v>44.9</v>
      </c>
      <c r="H360" s="22" t="n">
        <f aca="false">'Amendment Audit'!J41</f>
        <v>0</v>
      </c>
      <c r="I360" s="22" t="str">
        <f aca="false">'Amendment Audit'!L41</f>
        <v>No supplied signed certificate or yard measurement sheet</v>
      </c>
      <c r="J360" s="22" t="str">
        <f aca="false">"Amendment Audit row 41"</f>
        <v>Amendment Audit row 41</v>
      </c>
    </row>
    <row r="361" customFormat="false" ht="15" hidden="false" customHeight="false" outlineLevel="0" collapsed="false">
      <c r="A361" s="22" t="str">
        <f aca="false">'Amendment Audit'!M42</f>
        <v>Priority 2</v>
      </c>
      <c r="B361" s="22" t="s">
        <v>12989</v>
      </c>
      <c r="C361" s="22" t="str">
        <f aca="false">'Amendment Audit'!A42</f>
        <v>AMD-000682</v>
      </c>
      <c r="D361" s="23" t="n">
        <f aca="false">'Amendment Audit'!B42</f>
        <v>45081</v>
      </c>
      <c r="E361" s="22" t="str">
        <f aca="false">'Amendment Audit'!C42</f>
        <v>WL-02641</v>
      </c>
      <c r="F361" s="22" t="str">
        <f aca="false">'Amendment Audit'!D42</f>
        <v>Denise Miles</v>
      </c>
      <c r="G361" s="22" t="n">
        <f aca="false">'Amendment Audit'!F42</f>
        <v>37.5</v>
      </c>
      <c r="H361" s="22" t="n">
        <f aca="false">'Amendment Audit'!J42</f>
        <v>0</v>
      </c>
      <c r="I361" s="22" t="str">
        <f aca="false">'Amendment Audit'!L42</f>
        <v>No supplied signed certificate or yard measurement sheet</v>
      </c>
      <c r="J361" s="22" t="str">
        <f aca="false">"Amendment Audit row 42"</f>
        <v>Amendment Audit row 42</v>
      </c>
    </row>
    <row r="362" customFormat="false" ht="15" hidden="false" customHeight="false" outlineLevel="0" collapsed="false">
      <c r="A362" s="22" t="str">
        <f aca="false">'Amendment Audit'!M44</f>
        <v>Priority 2</v>
      </c>
      <c r="B362" s="22" t="s">
        <v>12989</v>
      </c>
      <c r="C362" s="22" t="str">
        <f aca="false">'Amendment Audit'!A44</f>
        <v>AMD-000694</v>
      </c>
      <c r="D362" s="23" t="n">
        <f aca="false">'Amendment Audit'!B44</f>
        <v>45086</v>
      </c>
      <c r="E362" s="22" t="str">
        <f aca="false">'Amendment Audit'!C44</f>
        <v>WL-03698</v>
      </c>
      <c r="F362" s="22" t="str">
        <f aca="false">'Amendment Audit'!D44</f>
        <v>Tonya Martinez</v>
      </c>
      <c r="G362" s="22" t="n">
        <f aca="false">'Amendment Audit'!F44</f>
        <v>37.8</v>
      </c>
      <c r="H362" s="22" t="n">
        <f aca="false">'Amendment Audit'!J44</f>
        <v>0</v>
      </c>
      <c r="I362" s="22" t="str">
        <f aca="false">'Amendment Audit'!L44</f>
        <v>No supplied signed certificate or yard measurement sheet</v>
      </c>
      <c r="J362" s="22" t="str">
        <f aca="false">"Amendment Audit row 44"</f>
        <v>Amendment Audit row 44</v>
      </c>
    </row>
    <row r="363" customFormat="false" ht="15" hidden="false" customHeight="false" outlineLevel="0" collapsed="false">
      <c r="A363" s="22" t="str">
        <f aca="false">'Amendment Audit'!M46</f>
        <v>Priority 2</v>
      </c>
      <c r="B363" s="22" t="s">
        <v>12989</v>
      </c>
      <c r="C363" s="22" t="str">
        <f aca="false">'Amendment Audit'!A46</f>
        <v>AMD-000709</v>
      </c>
      <c r="D363" s="23" t="n">
        <f aca="false">'Amendment Audit'!B46</f>
        <v>45097</v>
      </c>
      <c r="E363" s="22" t="str">
        <f aca="false">'Amendment Audit'!C46</f>
        <v>WL-01302</v>
      </c>
      <c r="F363" s="22" t="str">
        <f aca="false">'Amendment Audit'!D46</f>
        <v>Shelby Maynard</v>
      </c>
      <c r="G363" s="22" t="n">
        <f aca="false">'Amendment Audit'!F46</f>
        <v>26.6</v>
      </c>
      <c r="H363" s="22" t="n">
        <f aca="false">'Amendment Audit'!J46</f>
        <v>0</v>
      </c>
      <c r="I363" s="22" t="str">
        <f aca="false">'Amendment Audit'!L46</f>
        <v>No supplied signed certificate or yard measurement sheet</v>
      </c>
      <c r="J363" s="22" t="str">
        <f aca="false">"Amendment Audit row 46"</f>
        <v>Amendment Audit row 46</v>
      </c>
    </row>
    <row r="364" customFormat="false" ht="15" hidden="false" customHeight="false" outlineLevel="0" collapsed="false">
      <c r="A364" s="22" t="str">
        <f aca="false">'Amendment Audit'!M47</f>
        <v>Priority 2</v>
      </c>
      <c r="B364" s="22" t="s">
        <v>12989</v>
      </c>
      <c r="C364" s="22" t="str">
        <f aca="false">'Amendment Audit'!A47</f>
        <v>AMD-000712</v>
      </c>
      <c r="D364" s="23" t="n">
        <f aca="false">'Amendment Audit'!B47</f>
        <v>45100</v>
      </c>
      <c r="E364" s="22" t="str">
        <f aca="false">'Amendment Audit'!C47</f>
        <v>WL-01762</v>
      </c>
      <c r="F364" s="22" t="str">
        <f aca="false">'Amendment Audit'!D47</f>
        <v>John Powell</v>
      </c>
      <c r="G364" s="22" t="n">
        <f aca="false">'Amendment Audit'!F47</f>
        <v>34.3</v>
      </c>
      <c r="H364" s="22" t="n">
        <f aca="false">'Amendment Audit'!J47</f>
        <v>0</v>
      </c>
      <c r="I364" s="22" t="str">
        <f aca="false">'Amendment Audit'!L47</f>
        <v>No supplied signed certificate or yard measurement sheet</v>
      </c>
      <c r="J364" s="22" t="str">
        <f aca="false">"Amendment Audit row 47"</f>
        <v>Amendment Audit row 47</v>
      </c>
    </row>
    <row r="365" customFormat="false" ht="15" hidden="false" customHeight="false" outlineLevel="0" collapsed="false">
      <c r="A365" s="22" t="str">
        <f aca="false">'Amendment Audit'!M48</f>
        <v>Priority 2</v>
      </c>
      <c r="B365" s="22" t="s">
        <v>12989</v>
      </c>
      <c r="C365" s="22" t="str">
        <f aca="false">'Amendment Audit'!A48</f>
        <v>AMD-000714</v>
      </c>
      <c r="D365" s="23" t="n">
        <f aca="false">'Amendment Audit'!B48</f>
        <v>45101</v>
      </c>
      <c r="E365" s="22" t="str">
        <f aca="false">'Amendment Audit'!C48</f>
        <v>WL-01959</v>
      </c>
      <c r="F365" s="22" t="str">
        <f aca="false">'Amendment Audit'!D48</f>
        <v>Jonathan Moore</v>
      </c>
      <c r="G365" s="22" t="n">
        <f aca="false">'Amendment Audit'!F48</f>
        <v>34.6</v>
      </c>
      <c r="H365" s="22" t="n">
        <f aca="false">'Amendment Audit'!J48</f>
        <v>0</v>
      </c>
      <c r="I365" s="22" t="str">
        <f aca="false">'Amendment Audit'!L48</f>
        <v>No supplied signed certificate or yard measurement sheet</v>
      </c>
      <c r="J365" s="22" t="str">
        <f aca="false">"Amendment Audit row 48"</f>
        <v>Amendment Audit row 48</v>
      </c>
    </row>
    <row r="366" customFormat="false" ht="15" hidden="false" customHeight="false" outlineLevel="0" collapsed="false">
      <c r="A366" s="22" t="str">
        <f aca="false">'Amendment Audit'!M49</f>
        <v>Priority 2</v>
      </c>
      <c r="B366" s="22" t="s">
        <v>12989</v>
      </c>
      <c r="C366" s="22" t="str">
        <f aca="false">'Amendment Audit'!A49</f>
        <v>AMD-000750</v>
      </c>
      <c r="D366" s="23" t="n">
        <f aca="false">'Amendment Audit'!B49</f>
        <v>45132</v>
      </c>
      <c r="E366" s="22" t="str">
        <f aca="false">'Amendment Audit'!C49</f>
        <v>WL-03333</v>
      </c>
      <c r="F366" s="22" t="str">
        <f aca="false">'Amendment Audit'!D49</f>
        <v>Steven Greene</v>
      </c>
      <c r="G366" s="22" t="n">
        <f aca="false">'Amendment Audit'!F49</f>
        <v>26.9</v>
      </c>
      <c r="H366" s="22" t="n">
        <f aca="false">'Amendment Audit'!J49</f>
        <v>0</v>
      </c>
      <c r="I366" s="22" t="str">
        <f aca="false">'Amendment Audit'!L49</f>
        <v>No supplied signed certificate or yard measurement sheet</v>
      </c>
      <c r="J366" s="22" t="str">
        <f aca="false">"Amendment Audit row 49"</f>
        <v>Amendment Audit row 49</v>
      </c>
    </row>
    <row r="367" customFormat="false" ht="15" hidden="false" customHeight="false" outlineLevel="0" collapsed="false">
      <c r="A367" s="22" t="str">
        <f aca="false">'Amendment Audit'!M50</f>
        <v>Priority 2</v>
      </c>
      <c r="B367" s="22" t="s">
        <v>12989</v>
      </c>
      <c r="C367" s="22" t="str">
        <f aca="false">'Amendment Audit'!A50</f>
        <v>AMD-000760</v>
      </c>
      <c r="D367" s="23" t="n">
        <f aca="false">'Amendment Audit'!B50</f>
        <v>45141</v>
      </c>
      <c r="E367" s="22" t="str">
        <f aca="false">'Amendment Audit'!C50</f>
        <v>WL-03183</v>
      </c>
      <c r="F367" s="22" t="str">
        <f aca="false">'Amendment Audit'!D50</f>
        <v>Daniel Stevens</v>
      </c>
      <c r="G367" s="22" t="n">
        <f aca="false">'Amendment Audit'!F50</f>
        <v>39.8</v>
      </c>
      <c r="H367" s="22" t="n">
        <f aca="false">'Amendment Audit'!J50</f>
        <v>0</v>
      </c>
      <c r="I367" s="22" t="str">
        <f aca="false">'Amendment Audit'!L50</f>
        <v>No supplied signed certificate or yard measurement sheet</v>
      </c>
      <c r="J367" s="22" t="str">
        <f aca="false">"Amendment Audit row 50"</f>
        <v>Amendment Audit row 50</v>
      </c>
    </row>
    <row r="368" customFormat="false" ht="15" hidden="false" customHeight="false" outlineLevel="0" collapsed="false">
      <c r="A368" s="22" t="str">
        <f aca="false">'Amendment Audit'!M51</f>
        <v>Priority 2</v>
      </c>
      <c r="B368" s="22" t="s">
        <v>12989</v>
      </c>
      <c r="C368" s="22" t="str">
        <f aca="false">'Amendment Audit'!A51</f>
        <v>AMD-000763</v>
      </c>
      <c r="D368" s="23" t="n">
        <f aca="false">'Amendment Audit'!B51</f>
        <v>45142</v>
      </c>
      <c r="E368" s="22" t="str">
        <f aca="false">'Amendment Audit'!C51</f>
        <v>WL-02205</v>
      </c>
      <c r="F368" s="22" t="str">
        <f aca="false">'Amendment Audit'!D51</f>
        <v>Robert Rivas</v>
      </c>
      <c r="G368" s="22" t="n">
        <f aca="false">'Amendment Audit'!F51</f>
        <v>37.8</v>
      </c>
      <c r="H368" s="22" t="n">
        <f aca="false">'Amendment Audit'!J51</f>
        <v>0</v>
      </c>
      <c r="I368" s="22" t="str">
        <f aca="false">'Amendment Audit'!L51</f>
        <v>No supplied signed certificate or yard measurement sheet</v>
      </c>
      <c r="J368" s="22" t="str">
        <f aca="false">"Amendment Audit row 51"</f>
        <v>Amendment Audit row 51</v>
      </c>
    </row>
    <row r="369" customFormat="false" ht="15" hidden="false" customHeight="false" outlineLevel="0" collapsed="false">
      <c r="A369" s="22" t="str">
        <f aca="false">'Amendment Audit'!M53</f>
        <v>Priority 2</v>
      </c>
      <c r="B369" s="22" t="s">
        <v>12989</v>
      </c>
      <c r="C369" s="22" t="str">
        <f aca="false">'Amendment Audit'!A53</f>
        <v>AMD-000777</v>
      </c>
      <c r="D369" s="23" t="n">
        <f aca="false">'Amendment Audit'!B53</f>
        <v>45152</v>
      </c>
      <c r="E369" s="22" t="str">
        <f aca="false">'Amendment Audit'!C53</f>
        <v>WL-02881</v>
      </c>
      <c r="F369" s="22" t="str">
        <f aca="false">'Amendment Audit'!D53</f>
        <v>Christopher Woodward</v>
      </c>
      <c r="G369" s="22" t="n">
        <f aca="false">'Amendment Audit'!F53</f>
        <v>42.8</v>
      </c>
      <c r="H369" s="22" t="n">
        <f aca="false">'Amendment Audit'!J53</f>
        <v>0</v>
      </c>
      <c r="I369" s="22" t="str">
        <f aca="false">'Amendment Audit'!L53</f>
        <v>No supplied signed certificate or yard measurement sheet</v>
      </c>
      <c r="J369" s="22" t="str">
        <f aca="false">"Amendment Audit row 53"</f>
        <v>Amendment Audit row 53</v>
      </c>
    </row>
    <row r="370" customFormat="false" ht="15" hidden="false" customHeight="false" outlineLevel="0" collapsed="false">
      <c r="A370" s="22" t="str">
        <f aca="false">'Amendment Audit'!M54</f>
        <v>Priority 2</v>
      </c>
      <c r="B370" s="22" t="s">
        <v>12989</v>
      </c>
      <c r="C370" s="22" t="str">
        <f aca="false">'Amendment Audit'!A54</f>
        <v>AMD-000779</v>
      </c>
      <c r="D370" s="23" t="n">
        <f aca="false">'Amendment Audit'!B54</f>
        <v>45154</v>
      </c>
      <c r="E370" s="22" t="str">
        <f aca="false">'Amendment Audit'!C54</f>
        <v>WL-01864</v>
      </c>
      <c r="F370" s="22" t="str">
        <f aca="false">'Amendment Audit'!D54</f>
        <v>Eric Weber</v>
      </c>
      <c r="G370" s="22" t="n">
        <f aca="false">'Amendment Audit'!F54</f>
        <v>41.3</v>
      </c>
      <c r="H370" s="22" t="n">
        <f aca="false">'Amendment Audit'!J54</f>
        <v>0</v>
      </c>
      <c r="I370" s="22" t="str">
        <f aca="false">'Amendment Audit'!L54</f>
        <v>No supplied signed certificate or yard measurement sheet</v>
      </c>
      <c r="J370" s="22" t="str">
        <f aca="false">"Amendment Audit row 54"</f>
        <v>Amendment Audit row 54</v>
      </c>
    </row>
    <row r="371" customFormat="false" ht="15" hidden="false" customHeight="false" outlineLevel="0" collapsed="false">
      <c r="A371" s="22" t="str">
        <f aca="false">'Amendment Audit'!M55</f>
        <v>Priority 2</v>
      </c>
      <c r="B371" s="22" t="s">
        <v>12989</v>
      </c>
      <c r="C371" s="22" t="str">
        <f aca="false">'Amendment Audit'!A55</f>
        <v>AMD-000782</v>
      </c>
      <c r="D371" s="23" t="n">
        <f aca="false">'Amendment Audit'!B55</f>
        <v>45156</v>
      </c>
      <c r="E371" s="22" t="str">
        <f aca="false">'Amendment Audit'!C55</f>
        <v>WL-03250</v>
      </c>
      <c r="F371" s="22" t="str">
        <f aca="false">'Amendment Audit'!D55</f>
        <v>Philip Garcia</v>
      </c>
      <c r="G371" s="22" t="n">
        <f aca="false">'Amendment Audit'!F55</f>
        <v>51.2</v>
      </c>
      <c r="H371" s="22" t="n">
        <f aca="false">'Amendment Audit'!J55</f>
        <v>0</v>
      </c>
      <c r="I371" s="22" t="str">
        <f aca="false">'Amendment Audit'!L55</f>
        <v>No supplied signed certificate or yard measurement sheet</v>
      </c>
      <c r="J371" s="22" t="str">
        <f aca="false">"Amendment Audit row 55"</f>
        <v>Amendment Audit row 55</v>
      </c>
    </row>
    <row r="372" customFormat="false" ht="15" hidden="false" customHeight="false" outlineLevel="0" collapsed="false">
      <c r="A372" s="22" t="str">
        <f aca="false">'Amendment Audit'!M56</f>
        <v>Priority 2</v>
      </c>
      <c r="B372" s="22" t="s">
        <v>12989</v>
      </c>
      <c r="C372" s="22" t="str">
        <f aca="false">'Amendment Audit'!A56</f>
        <v>AMD-000785</v>
      </c>
      <c r="D372" s="23" t="n">
        <f aca="false">'Amendment Audit'!B56</f>
        <v>45158</v>
      </c>
      <c r="E372" s="22" t="str">
        <f aca="false">'Amendment Audit'!C56</f>
        <v>WL-03293</v>
      </c>
      <c r="F372" s="22" t="str">
        <f aca="false">'Amendment Audit'!D56</f>
        <v>Laurie Huerta</v>
      </c>
      <c r="G372" s="22" t="n">
        <f aca="false">'Amendment Audit'!F56</f>
        <v>39.3</v>
      </c>
      <c r="H372" s="22" t="n">
        <f aca="false">'Amendment Audit'!J56</f>
        <v>0</v>
      </c>
      <c r="I372" s="22" t="str">
        <f aca="false">'Amendment Audit'!L56</f>
        <v>No supplied signed certificate or yard measurement sheet</v>
      </c>
      <c r="J372" s="22" t="str">
        <f aca="false">"Amendment Audit row 56"</f>
        <v>Amendment Audit row 56</v>
      </c>
    </row>
    <row r="373" customFormat="false" ht="15" hidden="false" customHeight="false" outlineLevel="0" collapsed="false">
      <c r="A373" s="22" t="str">
        <f aca="false">'Amendment Audit'!M57</f>
        <v>Priority 2</v>
      </c>
      <c r="B373" s="22" t="s">
        <v>12989</v>
      </c>
      <c r="C373" s="22" t="str">
        <f aca="false">'Amendment Audit'!A57</f>
        <v>AMD-000803</v>
      </c>
      <c r="D373" s="23" t="n">
        <f aca="false">'Amendment Audit'!B57</f>
        <v>45169</v>
      </c>
      <c r="E373" s="22" t="str">
        <f aca="false">'Amendment Audit'!C57</f>
        <v>WL-03666</v>
      </c>
      <c r="F373" s="22" t="str">
        <f aca="false">'Amendment Audit'!D57</f>
        <v>Andrea Franco</v>
      </c>
      <c r="G373" s="22" t="n">
        <f aca="false">'Amendment Audit'!F57</f>
        <v>23.7</v>
      </c>
      <c r="H373" s="22" t="n">
        <f aca="false">'Amendment Audit'!J57</f>
        <v>0</v>
      </c>
      <c r="I373" s="22" t="str">
        <f aca="false">'Amendment Audit'!L57</f>
        <v>No supplied signed certificate or yard measurement sheet</v>
      </c>
      <c r="J373" s="22" t="str">
        <f aca="false">"Amendment Audit row 57"</f>
        <v>Amendment Audit row 57</v>
      </c>
    </row>
    <row r="374" customFormat="false" ht="15" hidden="false" customHeight="false" outlineLevel="0" collapsed="false">
      <c r="A374" s="22" t="str">
        <f aca="false">'Amendment Audit'!M58</f>
        <v>Priority 2</v>
      </c>
      <c r="B374" s="22" t="s">
        <v>12989</v>
      </c>
      <c r="C374" s="22" t="str">
        <f aca="false">'Amendment Audit'!A58</f>
        <v>AMD-000808</v>
      </c>
      <c r="D374" s="23" t="n">
        <f aca="false">'Amendment Audit'!B58</f>
        <v>45172</v>
      </c>
      <c r="E374" s="22" t="str">
        <f aca="false">'Amendment Audit'!C58</f>
        <v>WL-03319</v>
      </c>
      <c r="F374" s="22" t="str">
        <f aca="false">'Amendment Audit'!D58</f>
        <v>Darrell Hall</v>
      </c>
      <c r="G374" s="22" t="n">
        <f aca="false">'Amendment Audit'!F58</f>
        <v>37.8</v>
      </c>
      <c r="H374" s="22" t="n">
        <f aca="false">'Amendment Audit'!J58</f>
        <v>0</v>
      </c>
      <c r="I374" s="22" t="str">
        <f aca="false">'Amendment Audit'!L58</f>
        <v>No supplied signed certificate or yard measurement sheet</v>
      </c>
      <c r="J374" s="22" t="str">
        <f aca="false">"Amendment Audit row 58"</f>
        <v>Amendment Audit row 58</v>
      </c>
    </row>
    <row r="375" customFormat="false" ht="15" hidden="false" customHeight="false" outlineLevel="0" collapsed="false">
      <c r="A375" s="22" t="str">
        <f aca="false">'Amendment Audit'!M59</f>
        <v>Priority 2</v>
      </c>
      <c r="B375" s="22" t="s">
        <v>12989</v>
      </c>
      <c r="C375" s="22" t="str">
        <f aca="false">'Amendment Audit'!A59</f>
        <v>AMD-000848</v>
      </c>
      <c r="D375" s="23" t="n">
        <f aca="false">'Amendment Audit'!B59</f>
        <v>45213</v>
      </c>
      <c r="E375" s="22" t="str">
        <f aca="false">'Amendment Audit'!C59</f>
        <v>WL-02342</v>
      </c>
      <c r="F375" s="22" t="str">
        <f aca="false">'Amendment Audit'!D59</f>
        <v>Ricky Morris</v>
      </c>
      <c r="G375" s="22" t="n">
        <f aca="false">'Amendment Audit'!F59</f>
        <v>35.9</v>
      </c>
      <c r="H375" s="22" t="n">
        <f aca="false">'Amendment Audit'!J59</f>
        <v>0</v>
      </c>
      <c r="I375" s="22" t="str">
        <f aca="false">'Amendment Audit'!L59</f>
        <v>No supplied signed certificate or yard measurement sheet</v>
      </c>
      <c r="J375" s="22" t="str">
        <f aca="false">"Amendment Audit row 59"</f>
        <v>Amendment Audit row 59</v>
      </c>
    </row>
    <row r="376" customFormat="false" ht="15" hidden="false" customHeight="false" outlineLevel="0" collapsed="false">
      <c r="A376" s="22" t="str">
        <f aca="false">'Amendment Audit'!M60</f>
        <v>Priority 2</v>
      </c>
      <c r="B376" s="22" t="s">
        <v>12989</v>
      </c>
      <c r="C376" s="22" t="str">
        <f aca="false">'Amendment Audit'!A60</f>
        <v>AMD-000876</v>
      </c>
      <c r="D376" s="23" t="n">
        <f aca="false">'Amendment Audit'!B60</f>
        <v>45237</v>
      </c>
      <c r="E376" s="22" t="str">
        <f aca="false">'Amendment Audit'!C60</f>
        <v>WL-03908</v>
      </c>
      <c r="F376" s="22" t="str">
        <f aca="false">'Amendment Audit'!D60</f>
        <v>Kaitlin Ibarra</v>
      </c>
      <c r="G376" s="22" t="n">
        <f aca="false">'Amendment Audit'!F60</f>
        <v>31.8</v>
      </c>
      <c r="H376" s="22" t="n">
        <f aca="false">'Amendment Audit'!J60</f>
        <v>0</v>
      </c>
      <c r="I376" s="22" t="str">
        <f aca="false">'Amendment Audit'!L60</f>
        <v>No supplied signed certificate or yard measurement sheet</v>
      </c>
      <c r="J376" s="22" t="str">
        <f aca="false">"Amendment Audit row 60"</f>
        <v>Amendment Audit row 60</v>
      </c>
    </row>
    <row r="377" customFormat="false" ht="15" hidden="false" customHeight="false" outlineLevel="0" collapsed="false">
      <c r="A377" s="22" t="str">
        <f aca="false">'Amendment Audit'!M61</f>
        <v>Priority 2</v>
      </c>
      <c r="B377" s="22" t="s">
        <v>12989</v>
      </c>
      <c r="C377" s="22" t="str">
        <f aca="false">'Amendment Audit'!A61</f>
        <v>AMD-000887</v>
      </c>
      <c r="D377" s="23" t="n">
        <f aca="false">'Amendment Audit'!B61</f>
        <v>45244</v>
      </c>
      <c r="E377" s="22" t="str">
        <f aca="false">'Amendment Audit'!C61</f>
        <v>WL-02969</v>
      </c>
      <c r="F377" s="22" t="str">
        <f aca="false">'Amendment Audit'!D61</f>
        <v>Anthony Davis</v>
      </c>
      <c r="G377" s="22" t="n">
        <f aca="false">'Amendment Audit'!F61</f>
        <v>50.5</v>
      </c>
      <c r="H377" s="22" t="n">
        <f aca="false">'Amendment Audit'!J61</f>
        <v>0</v>
      </c>
      <c r="I377" s="22" t="str">
        <f aca="false">'Amendment Audit'!L61</f>
        <v>No supplied signed certificate or yard measurement sheet</v>
      </c>
      <c r="J377" s="22" t="str">
        <f aca="false">"Amendment Audit row 61"</f>
        <v>Amendment Audit row 61</v>
      </c>
    </row>
    <row r="378" customFormat="false" ht="15" hidden="false" customHeight="false" outlineLevel="0" collapsed="false">
      <c r="A378" s="22" t="str">
        <f aca="false">'Amendment Audit'!M62</f>
        <v>Priority 2</v>
      </c>
      <c r="B378" s="22" t="s">
        <v>12989</v>
      </c>
      <c r="C378" s="22" t="str">
        <f aca="false">'Amendment Audit'!A62</f>
        <v>AMD-000890</v>
      </c>
      <c r="D378" s="23" t="n">
        <f aca="false">'Amendment Audit'!B62</f>
        <v>45246</v>
      </c>
      <c r="E378" s="22" t="str">
        <f aca="false">'Amendment Audit'!C62</f>
        <v>WL-02279</v>
      </c>
      <c r="F378" s="22" t="str">
        <f aca="false">'Amendment Audit'!D62</f>
        <v>Christine Atkinson</v>
      </c>
      <c r="G378" s="22" t="n">
        <f aca="false">'Amendment Audit'!F62</f>
        <v>47.1</v>
      </c>
      <c r="H378" s="22" t="n">
        <f aca="false">'Amendment Audit'!J62</f>
        <v>0</v>
      </c>
      <c r="I378" s="22" t="str">
        <f aca="false">'Amendment Audit'!L62</f>
        <v>No supplied signed certificate or yard measurement sheet</v>
      </c>
      <c r="J378" s="22" t="str">
        <f aca="false">"Amendment Audit row 62"</f>
        <v>Amendment Audit row 62</v>
      </c>
    </row>
    <row r="379" customFormat="false" ht="15" hidden="false" customHeight="false" outlineLevel="0" collapsed="false">
      <c r="A379" s="22" t="str">
        <f aca="false">'Amendment Audit'!M63</f>
        <v>Priority 2</v>
      </c>
      <c r="B379" s="22" t="s">
        <v>12989</v>
      </c>
      <c r="C379" s="22" t="str">
        <f aca="false">'Amendment Audit'!A63</f>
        <v>AMD-000893</v>
      </c>
      <c r="D379" s="23" t="n">
        <f aca="false">'Amendment Audit'!B63</f>
        <v>45246</v>
      </c>
      <c r="E379" s="22" t="str">
        <f aca="false">'Amendment Audit'!C63</f>
        <v>WL-01874</v>
      </c>
      <c r="F379" s="22" t="str">
        <f aca="false">'Amendment Audit'!D63</f>
        <v>Glenda Williams</v>
      </c>
      <c r="G379" s="22" t="n">
        <f aca="false">'Amendment Audit'!F63</f>
        <v>45.3</v>
      </c>
      <c r="H379" s="22" t="n">
        <f aca="false">'Amendment Audit'!J63</f>
        <v>0</v>
      </c>
      <c r="I379" s="22" t="str">
        <f aca="false">'Amendment Audit'!L63</f>
        <v>No supplied signed certificate or yard measurement sheet</v>
      </c>
      <c r="J379" s="22" t="str">
        <f aca="false">"Amendment Audit row 63"</f>
        <v>Amendment Audit row 63</v>
      </c>
    </row>
    <row r="380" customFormat="false" ht="15" hidden="false" customHeight="false" outlineLevel="0" collapsed="false">
      <c r="A380" s="22" t="str">
        <f aca="false">'Amendment Audit'!M64</f>
        <v>Priority 2</v>
      </c>
      <c r="B380" s="22" t="s">
        <v>12989</v>
      </c>
      <c r="C380" s="22" t="str">
        <f aca="false">'Amendment Audit'!A64</f>
        <v>AMD-000913</v>
      </c>
      <c r="D380" s="23" t="n">
        <f aca="false">'Amendment Audit'!B64</f>
        <v>45255</v>
      </c>
      <c r="E380" s="22" t="str">
        <f aca="false">'Amendment Audit'!C64</f>
        <v>WL-03638</v>
      </c>
      <c r="F380" s="22" t="str">
        <f aca="false">'Amendment Audit'!D64</f>
        <v>Edward Stanley</v>
      </c>
      <c r="G380" s="22" t="n">
        <f aca="false">'Amendment Audit'!F64</f>
        <v>47.4</v>
      </c>
      <c r="H380" s="22" t="n">
        <f aca="false">'Amendment Audit'!J64</f>
        <v>0</v>
      </c>
      <c r="I380" s="22" t="str">
        <f aca="false">'Amendment Audit'!L64</f>
        <v>No supplied signed certificate or yard measurement sheet</v>
      </c>
      <c r="J380" s="22" t="str">
        <f aca="false">"Amendment Audit row 64"</f>
        <v>Amendment Audit row 64</v>
      </c>
    </row>
    <row r="381" customFormat="false" ht="15" hidden="false" customHeight="false" outlineLevel="0" collapsed="false">
      <c r="A381" s="22" t="str">
        <f aca="false">'Amendment Audit'!M65</f>
        <v>Priority 2</v>
      </c>
      <c r="B381" s="22" t="s">
        <v>12989</v>
      </c>
      <c r="C381" s="22" t="str">
        <f aca="false">'Amendment Audit'!A65</f>
        <v>AMD-000930</v>
      </c>
      <c r="D381" s="23" t="n">
        <f aca="false">'Amendment Audit'!B65</f>
        <v>45265</v>
      </c>
      <c r="E381" s="22" t="str">
        <f aca="false">'Amendment Audit'!C65</f>
        <v>WL-02495</v>
      </c>
      <c r="F381" s="22" t="str">
        <f aca="false">'Amendment Audit'!D65</f>
        <v>Richard Dean</v>
      </c>
      <c r="G381" s="22" t="n">
        <f aca="false">'Amendment Audit'!F65</f>
        <v>47.6</v>
      </c>
      <c r="H381" s="22" t="n">
        <f aca="false">'Amendment Audit'!J65</f>
        <v>0</v>
      </c>
      <c r="I381" s="22" t="str">
        <f aca="false">'Amendment Audit'!L65</f>
        <v>No supplied signed certificate or yard measurement sheet</v>
      </c>
      <c r="J381" s="22" t="str">
        <f aca="false">"Amendment Audit row 65"</f>
        <v>Amendment Audit row 65</v>
      </c>
    </row>
    <row r="382" customFormat="false" ht="15" hidden="false" customHeight="false" outlineLevel="0" collapsed="false">
      <c r="A382" s="22" t="str">
        <f aca="false">'Amendment Audit'!M66</f>
        <v>Priority 2</v>
      </c>
      <c r="B382" s="22" t="s">
        <v>12989</v>
      </c>
      <c r="C382" s="22" t="str">
        <f aca="false">'Amendment Audit'!A66</f>
        <v>AMD-000935</v>
      </c>
      <c r="D382" s="23" t="n">
        <f aca="false">'Amendment Audit'!B66</f>
        <v>45269</v>
      </c>
      <c r="E382" s="22" t="str">
        <f aca="false">'Amendment Audit'!C66</f>
        <v>WL-01361</v>
      </c>
      <c r="F382" s="22" t="str">
        <f aca="false">'Amendment Audit'!D66</f>
        <v>Benjamin Willis</v>
      </c>
      <c r="G382" s="22" t="n">
        <f aca="false">'Amendment Audit'!F66</f>
        <v>28.6</v>
      </c>
      <c r="H382" s="22" t="n">
        <f aca="false">'Amendment Audit'!J66</f>
        <v>0</v>
      </c>
      <c r="I382" s="22" t="str">
        <f aca="false">'Amendment Audit'!L66</f>
        <v>No supplied signed certificate or yard measurement sheet</v>
      </c>
      <c r="J382" s="22" t="str">
        <f aca="false">"Amendment Audit row 66"</f>
        <v>Amendment Audit row 66</v>
      </c>
    </row>
    <row r="383" customFormat="false" ht="15" hidden="false" customHeight="false" outlineLevel="0" collapsed="false">
      <c r="A383" s="22" t="str">
        <f aca="false">'Amendment Audit'!M68</f>
        <v>Priority 2</v>
      </c>
      <c r="B383" s="22" t="s">
        <v>12989</v>
      </c>
      <c r="C383" s="22" t="str">
        <f aca="false">'Amendment Audit'!A68</f>
        <v>AMD-000971</v>
      </c>
      <c r="D383" s="23" t="n">
        <f aca="false">'Amendment Audit'!B68</f>
        <v>45294</v>
      </c>
      <c r="E383" s="22" t="str">
        <f aca="false">'Amendment Audit'!C68</f>
        <v>WL-01323</v>
      </c>
      <c r="F383" s="22" t="str">
        <f aca="false">'Amendment Audit'!D68</f>
        <v>Melanie Alvarado</v>
      </c>
      <c r="G383" s="22" t="n">
        <f aca="false">'Amendment Audit'!F68</f>
        <v>38.9</v>
      </c>
      <c r="H383" s="22" t="n">
        <f aca="false">'Amendment Audit'!J68</f>
        <v>0</v>
      </c>
      <c r="I383" s="22" t="str">
        <f aca="false">'Amendment Audit'!L68</f>
        <v>No supplied signed certificate or yard measurement sheet</v>
      </c>
      <c r="J383" s="22" t="str">
        <f aca="false">"Amendment Audit row 68"</f>
        <v>Amendment Audit row 68</v>
      </c>
    </row>
    <row r="384" customFormat="false" ht="15" hidden="false" customHeight="false" outlineLevel="0" collapsed="false">
      <c r="A384" s="22" t="str">
        <f aca="false">'Amendment Audit'!M69</f>
        <v>Priority 2</v>
      </c>
      <c r="B384" s="22" t="s">
        <v>12989</v>
      </c>
      <c r="C384" s="22" t="str">
        <f aca="false">'Amendment Audit'!A69</f>
        <v>AMD-000977</v>
      </c>
      <c r="D384" s="23" t="n">
        <f aca="false">'Amendment Audit'!B69</f>
        <v>45298</v>
      </c>
      <c r="E384" s="22" t="str">
        <f aca="false">'Amendment Audit'!C69</f>
        <v>WL-01619</v>
      </c>
      <c r="F384" s="22" t="str">
        <f aca="false">'Amendment Audit'!D69</f>
        <v>Carmen Montgomery</v>
      </c>
      <c r="G384" s="22" t="n">
        <f aca="false">'Amendment Audit'!F69</f>
        <v>34.3</v>
      </c>
      <c r="H384" s="22" t="n">
        <f aca="false">'Amendment Audit'!J69</f>
        <v>0</v>
      </c>
      <c r="I384" s="22" t="str">
        <f aca="false">'Amendment Audit'!L69</f>
        <v>No supplied signed certificate or yard measurement sheet</v>
      </c>
      <c r="J384" s="22" t="str">
        <f aca="false">"Amendment Audit row 69"</f>
        <v>Amendment Audit row 69</v>
      </c>
    </row>
    <row r="385" customFormat="false" ht="15" hidden="false" customHeight="false" outlineLevel="0" collapsed="false">
      <c r="A385" s="22" t="str">
        <f aca="false">'Amendment Audit'!M70</f>
        <v>Priority 2</v>
      </c>
      <c r="B385" s="22" t="s">
        <v>12989</v>
      </c>
      <c r="C385" s="22" t="str">
        <f aca="false">'Amendment Audit'!A70</f>
        <v>AMD-000982</v>
      </c>
      <c r="D385" s="23" t="n">
        <f aca="false">'Amendment Audit'!B70</f>
        <v>45302</v>
      </c>
      <c r="E385" s="22" t="str">
        <f aca="false">'Amendment Audit'!C70</f>
        <v>WL-01621</v>
      </c>
      <c r="F385" s="22" t="str">
        <f aca="false">'Amendment Audit'!D70</f>
        <v>Scott Lee</v>
      </c>
      <c r="G385" s="22" t="n">
        <f aca="false">'Amendment Audit'!F70</f>
        <v>47</v>
      </c>
      <c r="H385" s="22" t="n">
        <f aca="false">'Amendment Audit'!J70</f>
        <v>0</v>
      </c>
      <c r="I385" s="22" t="str">
        <f aca="false">'Amendment Audit'!L70</f>
        <v>No supplied signed certificate or yard measurement sheet</v>
      </c>
      <c r="J385" s="22" t="str">
        <f aca="false">"Amendment Audit row 70"</f>
        <v>Amendment Audit row 70</v>
      </c>
    </row>
    <row r="386" customFormat="false" ht="15" hidden="false" customHeight="false" outlineLevel="0" collapsed="false">
      <c r="A386" s="22" t="str">
        <f aca="false">'Amendment Audit'!M71</f>
        <v>Priority 2</v>
      </c>
      <c r="B386" s="22" t="s">
        <v>12989</v>
      </c>
      <c r="C386" s="22" t="str">
        <f aca="false">'Amendment Audit'!A71</f>
        <v>AMD-000999</v>
      </c>
      <c r="D386" s="23" t="n">
        <f aca="false">'Amendment Audit'!B71</f>
        <v>45314</v>
      </c>
      <c r="E386" s="22" t="str">
        <f aca="false">'Amendment Audit'!C71</f>
        <v>WL-01937</v>
      </c>
      <c r="F386" s="22" t="str">
        <f aca="false">'Amendment Audit'!D71</f>
        <v>Debbie Brady</v>
      </c>
      <c r="G386" s="22" t="n">
        <f aca="false">'Amendment Audit'!F71</f>
        <v>18.8</v>
      </c>
      <c r="H386" s="22" t="n">
        <f aca="false">'Amendment Audit'!J71</f>
        <v>0</v>
      </c>
      <c r="I386" s="22" t="str">
        <f aca="false">'Amendment Audit'!L71</f>
        <v>No supplied signed certificate or yard measurement sheet</v>
      </c>
      <c r="J386" s="22" t="str">
        <f aca="false">"Amendment Audit row 71"</f>
        <v>Amendment Audit row 71</v>
      </c>
    </row>
    <row r="387" customFormat="false" ht="15" hidden="false" customHeight="false" outlineLevel="0" collapsed="false">
      <c r="A387" s="22" t="str">
        <f aca="false">'Amendment Audit'!M72</f>
        <v>Priority 2</v>
      </c>
      <c r="B387" s="22" t="s">
        <v>12989</v>
      </c>
      <c r="C387" s="22" t="str">
        <f aca="false">'Amendment Audit'!A72</f>
        <v>AMD-001016</v>
      </c>
      <c r="D387" s="23" t="n">
        <f aca="false">'Amendment Audit'!B72</f>
        <v>45329</v>
      </c>
      <c r="E387" s="22" t="str">
        <f aca="false">'Amendment Audit'!C72</f>
        <v>WL-01018</v>
      </c>
      <c r="F387" s="22" t="str">
        <f aca="false">'Amendment Audit'!D72</f>
        <v>Hector Gutierrez</v>
      </c>
      <c r="G387" s="22" t="n">
        <f aca="false">'Amendment Audit'!F72</f>
        <v>30</v>
      </c>
      <c r="H387" s="22" t="n">
        <f aca="false">'Amendment Audit'!J72</f>
        <v>0</v>
      </c>
      <c r="I387" s="22" t="str">
        <f aca="false">'Amendment Audit'!L72</f>
        <v>No supplied signed certificate or yard measurement sheet</v>
      </c>
      <c r="J387" s="22" t="str">
        <f aca="false">"Amendment Audit row 72"</f>
        <v>Amendment Audit row 72</v>
      </c>
    </row>
    <row r="388" customFormat="false" ht="15" hidden="false" customHeight="false" outlineLevel="0" collapsed="false">
      <c r="A388" s="22" t="str">
        <f aca="false">'Amendment Audit'!M73</f>
        <v>Priority 2</v>
      </c>
      <c r="B388" s="22" t="s">
        <v>12989</v>
      </c>
      <c r="C388" s="22" t="str">
        <f aca="false">'Amendment Audit'!A73</f>
        <v>AMD-001027</v>
      </c>
      <c r="D388" s="23" t="n">
        <f aca="false">'Amendment Audit'!B73</f>
        <v>45340</v>
      </c>
      <c r="E388" s="22" t="str">
        <f aca="false">'Amendment Audit'!C73</f>
        <v>WL-01929</v>
      </c>
      <c r="F388" s="22" t="str">
        <f aca="false">'Amendment Audit'!D73</f>
        <v>Margaret Mcbride</v>
      </c>
      <c r="G388" s="22" t="n">
        <f aca="false">'Amendment Audit'!F73</f>
        <v>50.4</v>
      </c>
      <c r="H388" s="22" t="n">
        <f aca="false">'Amendment Audit'!J73</f>
        <v>0</v>
      </c>
      <c r="I388" s="22" t="str">
        <f aca="false">'Amendment Audit'!L73</f>
        <v>No supplied signed certificate or yard measurement sheet</v>
      </c>
      <c r="J388" s="22" t="str">
        <f aca="false">"Amendment Audit row 73"</f>
        <v>Amendment Audit row 73</v>
      </c>
    </row>
    <row r="389" customFormat="false" ht="15" hidden="false" customHeight="false" outlineLevel="0" collapsed="false">
      <c r="A389" s="22" t="str">
        <f aca="false">'Amendment Audit'!M74</f>
        <v>Priority 2</v>
      </c>
      <c r="B389" s="22" t="s">
        <v>12989</v>
      </c>
      <c r="C389" s="22" t="str">
        <f aca="false">'Amendment Audit'!A74</f>
        <v>AMD-001059</v>
      </c>
      <c r="D389" s="23" t="n">
        <f aca="false">'Amendment Audit'!B74</f>
        <v>45360</v>
      </c>
      <c r="E389" s="22" t="str">
        <f aca="false">'Amendment Audit'!C74</f>
        <v>WL-03272</v>
      </c>
      <c r="F389" s="22" t="str">
        <f aca="false">'Amendment Audit'!D74</f>
        <v>Matthew Contreras</v>
      </c>
      <c r="G389" s="22" t="n">
        <f aca="false">'Amendment Audit'!F74</f>
        <v>48.7</v>
      </c>
      <c r="H389" s="22" t="n">
        <f aca="false">'Amendment Audit'!J74</f>
        <v>0</v>
      </c>
      <c r="I389" s="22" t="str">
        <f aca="false">'Amendment Audit'!L74</f>
        <v>No supplied signed certificate or yard measurement sheet</v>
      </c>
      <c r="J389" s="22" t="str">
        <f aca="false">"Amendment Audit row 74"</f>
        <v>Amendment Audit row 74</v>
      </c>
    </row>
    <row r="390" customFormat="false" ht="15" hidden="false" customHeight="false" outlineLevel="0" collapsed="false">
      <c r="A390" s="22" t="str">
        <f aca="false">'Amendment Audit'!M75</f>
        <v>Priority 2</v>
      </c>
      <c r="B390" s="22" t="s">
        <v>12989</v>
      </c>
      <c r="C390" s="22" t="str">
        <f aca="false">'Amendment Audit'!A75</f>
        <v>AMD-001092</v>
      </c>
      <c r="D390" s="23" t="n">
        <f aca="false">'Amendment Audit'!B75</f>
        <v>45381</v>
      </c>
      <c r="E390" s="22" t="str">
        <f aca="false">'Amendment Audit'!C75</f>
        <v>WL-01999</v>
      </c>
      <c r="F390" s="22" t="str">
        <f aca="false">'Amendment Audit'!D75</f>
        <v>Kristen Williams</v>
      </c>
      <c r="G390" s="22" t="n">
        <f aca="false">'Amendment Audit'!F75</f>
        <v>19.9</v>
      </c>
      <c r="H390" s="22" t="n">
        <f aca="false">'Amendment Audit'!J75</f>
        <v>0</v>
      </c>
      <c r="I390" s="22" t="str">
        <f aca="false">'Amendment Audit'!L75</f>
        <v>No supplied signed certificate or yard measurement sheet</v>
      </c>
      <c r="J390" s="22" t="str">
        <f aca="false">"Amendment Audit row 75"</f>
        <v>Amendment Audit row 75</v>
      </c>
    </row>
    <row r="391" customFormat="false" ht="15" hidden="false" customHeight="false" outlineLevel="0" collapsed="false">
      <c r="A391" s="22" t="str">
        <f aca="false">'Amendment Audit'!M76</f>
        <v>Priority 2</v>
      </c>
      <c r="B391" s="22" t="s">
        <v>12989</v>
      </c>
      <c r="C391" s="22" t="str">
        <f aca="false">'Amendment Audit'!A76</f>
        <v>AMD-001093</v>
      </c>
      <c r="D391" s="23" t="n">
        <f aca="false">'Amendment Audit'!B76</f>
        <v>45383</v>
      </c>
      <c r="E391" s="22" t="str">
        <f aca="false">'Amendment Audit'!C76</f>
        <v>WL-01027</v>
      </c>
      <c r="F391" s="22" t="str">
        <f aca="false">'Amendment Audit'!D76</f>
        <v>Rachel Jones</v>
      </c>
      <c r="G391" s="22" t="n">
        <f aca="false">'Amendment Audit'!F76</f>
        <v>23</v>
      </c>
      <c r="H391" s="22" t="n">
        <f aca="false">'Amendment Audit'!J76</f>
        <v>0</v>
      </c>
      <c r="I391" s="22" t="str">
        <f aca="false">'Amendment Audit'!L76</f>
        <v>No supplied signed certificate or yard measurement sheet</v>
      </c>
      <c r="J391" s="22" t="str">
        <f aca="false">"Amendment Audit row 76"</f>
        <v>Amendment Audit row 76</v>
      </c>
    </row>
    <row r="392" customFormat="false" ht="15" hidden="false" customHeight="false" outlineLevel="0" collapsed="false">
      <c r="A392" s="22" t="str">
        <f aca="false">'Amendment Audit'!M77</f>
        <v>Priority 2</v>
      </c>
      <c r="B392" s="22" t="s">
        <v>12989</v>
      </c>
      <c r="C392" s="22" t="str">
        <f aca="false">'Amendment Audit'!A77</f>
        <v>AMD-001105</v>
      </c>
      <c r="D392" s="23" t="n">
        <f aca="false">'Amendment Audit'!B77</f>
        <v>45393</v>
      </c>
      <c r="E392" s="22" t="str">
        <f aca="false">'Amendment Audit'!C77</f>
        <v>WL-02950</v>
      </c>
      <c r="F392" s="22" t="str">
        <f aca="false">'Amendment Audit'!D77</f>
        <v>Travis Young</v>
      </c>
      <c r="G392" s="22" t="n">
        <f aca="false">'Amendment Audit'!F77</f>
        <v>29.9</v>
      </c>
      <c r="H392" s="22" t="n">
        <f aca="false">'Amendment Audit'!J77</f>
        <v>0</v>
      </c>
      <c r="I392" s="22" t="str">
        <f aca="false">'Amendment Audit'!L77</f>
        <v>No supplied signed certificate or yard measurement sheet</v>
      </c>
      <c r="J392" s="22" t="str">
        <f aca="false">"Amendment Audit row 77"</f>
        <v>Amendment Audit row 77</v>
      </c>
    </row>
    <row r="393" customFormat="false" ht="15" hidden="false" customHeight="false" outlineLevel="0" collapsed="false">
      <c r="A393" s="22" t="str">
        <f aca="false">'Amendment Audit'!M79</f>
        <v>Priority 2</v>
      </c>
      <c r="B393" s="22" t="s">
        <v>12989</v>
      </c>
      <c r="C393" s="22" t="str">
        <f aca="false">'Amendment Audit'!A79</f>
        <v>AMD-001117</v>
      </c>
      <c r="D393" s="23" t="n">
        <f aca="false">'Amendment Audit'!B79</f>
        <v>45399</v>
      </c>
      <c r="E393" s="22" t="str">
        <f aca="false">'Amendment Audit'!C79</f>
        <v>WL-02128</v>
      </c>
      <c r="F393" s="22" t="str">
        <f aca="false">'Amendment Audit'!D79</f>
        <v>Kevin Terry</v>
      </c>
      <c r="G393" s="22" t="n">
        <f aca="false">'Amendment Audit'!F79</f>
        <v>26.4</v>
      </c>
      <c r="H393" s="22" t="n">
        <f aca="false">'Amendment Audit'!J79</f>
        <v>0</v>
      </c>
      <c r="I393" s="22" t="str">
        <f aca="false">'Amendment Audit'!L79</f>
        <v>No supplied signed certificate or yard measurement sheet</v>
      </c>
      <c r="J393" s="22" t="str">
        <f aca="false">"Amendment Audit row 79"</f>
        <v>Amendment Audit row 79</v>
      </c>
    </row>
    <row r="394" customFormat="false" ht="15" hidden="false" customHeight="false" outlineLevel="0" collapsed="false">
      <c r="A394" s="22" t="str">
        <f aca="false">'Amendment Audit'!M80</f>
        <v>Priority 2</v>
      </c>
      <c r="B394" s="22" t="s">
        <v>12989</v>
      </c>
      <c r="C394" s="22" t="str">
        <f aca="false">'Amendment Audit'!A80</f>
        <v>AMD-001120</v>
      </c>
      <c r="D394" s="23" t="n">
        <f aca="false">'Amendment Audit'!B80</f>
        <v>45402</v>
      </c>
      <c r="E394" s="22" t="str">
        <f aca="false">'Amendment Audit'!C80</f>
        <v>WL-02592</v>
      </c>
      <c r="F394" s="22" t="str">
        <f aca="false">'Amendment Audit'!D80</f>
        <v>Stacy Hernandez</v>
      </c>
      <c r="G394" s="22" t="n">
        <f aca="false">'Amendment Audit'!F80</f>
        <v>42.2</v>
      </c>
      <c r="H394" s="22" t="n">
        <f aca="false">'Amendment Audit'!J80</f>
        <v>0</v>
      </c>
      <c r="I394" s="22" t="str">
        <f aca="false">'Amendment Audit'!L80</f>
        <v>No supplied signed certificate or yard measurement sheet</v>
      </c>
      <c r="J394" s="22" t="str">
        <f aca="false">"Amendment Audit row 80"</f>
        <v>Amendment Audit row 80</v>
      </c>
    </row>
    <row r="395" customFormat="false" ht="15" hidden="false" customHeight="false" outlineLevel="0" collapsed="false">
      <c r="A395" s="22" t="str">
        <f aca="false">'Amendment Audit'!M81</f>
        <v>Priority 2</v>
      </c>
      <c r="B395" s="22" t="s">
        <v>12989</v>
      </c>
      <c r="C395" s="22" t="str">
        <f aca="false">'Amendment Audit'!A81</f>
        <v>AMD-001151</v>
      </c>
      <c r="D395" s="23" t="n">
        <f aca="false">'Amendment Audit'!B81</f>
        <v>45426</v>
      </c>
      <c r="E395" s="22" t="str">
        <f aca="false">'Amendment Audit'!C81</f>
        <v>WL-02647</v>
      </c>
      <c r="F395" s="22" t="str">
        <f aca="false">'Amendment Audit'!D81</f>
        <v>Seth Perez</v>
      </c>
      <c r="G395" s="22" t="n">
        <f aca="false">'Amendment Audit'!F81</f>
        <v>41.8</v>
      </c>
      <c r="H395" s="22" t="n">
        <f aca="false">'Amendment Audit'!J81</f>
        <v>0</v>
      </c>
      <c r="I395" s="22" t="str">
        <f aca="false">'Amendment Audit'!L81</f>
        <v>No supplied signed certificate or yard measurement sheet</v>
      </c>
      <c r="J395" s="22" t="str">
        <f aca="false">"Amendment Audit row 81"</f>
        <v>Amendment Audit row 81</v>
      </c>
    </row>
    <row r="396" customFormat="false" ht="15" hidden="false" customHeight="false" outlineLevel="0" collapsed="false">
      <c r="A396" s="22" t="str">
        <f aca="false">'Amendment Audit'!M82</f>
        <v>Priority 2</v>
      </c>
      <c r="B396" s="22" t="s">
        <v>12989</v>
      </c>
      <c r="C396" s="22" t="str">
        <f aca="false">'Amendment Audit'!A82</f>
        <v>AMD-001166</v>
      </c>
      <c r="D396" s="23" t="n">
        <f aca="false">'Amendment Audit'!B82</f>
        <v>45439</v>
      </c>
      <c r="E396" s="22" t="str">
        <f aca="false">'Amendment Audit'!C82</f>
        <v>WL-01054</v>
      </c>
      <c r="F396" s="22" t="str">
        <f aca="false">'Amendment Audit'!D82</f>
        <v>Cynthia Smith</v>
      </c>
      <c r="G396" s="22" t="n">
        <f aca="false">'Amendment Audit'!F82</f>
        <v>34.5</v>
      </c>
      <c r="H396" s="22" t="n">
        <f aca="false">'Amendment Audit'!J82</f>
        <v>0</v>
      </c>
      <c r="I396" s="22" t="str">
        <f aca="false">'Amendment Audit'!L82</f>
        <v>No supplied signed certificate or yard measurement sheet</v>
      </c>
      <c r="J396" s="22" t="str">
        <f aca="false">"Amendment Audit row 82"</f>
        <v>Amendment Audit row 82</v>
      </c>
    </row>
    <row r="397" customFormat="false" ht="15" hidden="false" customHeight="false" outlineLevel="0" collapsed="false">
      <c r="A397" s="22" t="str">
        <f aca="false">'Amendment Audit'!M83</f>
        <v>Priority 2</v>
      </c>
      <c r="B397" s="22" t="s">
        <v>12989</v>
      </c>
      <c r="C397" s="22" t="str">
        <f aca="false">'Amendment Audit'!A83</f>
        <v>AMD-001167</v>
      </c>
      <c r="D397" s="23" t="n">
        <f aca="false">'Amendment Audit'!B83</f>
        <v>45440</v>
      </c>
      <c r="E397" s="22" t="str">
        <f aca="false">'Amendment Audit'!C83</f>
        <v>WL-01816</v>
      </c>
      <c r="F397" s="22" t="str">
        <f aca="false">'Amendment Audit'!D83</f>
        <v>Jeanne Bennett</v>
      </c>
      <c r="G397" s="22" t="n">
        <f aca="false">'Amendment Audit'!F83</f>
        <v>34.8</v>
      </c>
      <c r="H397" s="22" t="n">
        <f aca="false">'Amendment Audit'!J83</f>
        <v>0</v>
      </c>
      <c r="I397" s="22" t="str">
        <f aca="false">'Amendment Audit'!L83</f>
        <v>No supplied signed certificate or yard measurement sheet</v>
      </c>
      <c r="J397" s="22" t="str">
        <f aca="false">"Amendment Audit row 83"</f>
        <v>Amendment Audit row 83</v>
      </c>
    </row>
    <row r="398" customFormat="false" ht="15" hidden="false" customHeight="false" outlineLevel="0" collapsed="false">
      <c r="A398" s="22" t="str">
        <f aca="false">'Amendment Audit'!M84</f>
        <v>Priority 2</v>
      </c>
      <c r="B398" s="22" t="s">
        <v>12989</v>
      </c>
      <c r="C398" s="22" t="str">
        <f aca="false">'Amendment Audit'!A84</f>
        <v>AMD-001170</v>
      </c>
      <c r="D398" s="23" t="n">
        <f aca="false">'Amendment Audit'!B84</f>
        <v>45441</v>
      </c>
      <c r="E398" s="22" t="str">
        <f aca="false">'Amendment Audit'!C84</f>
        <v>WL-01411</v>
      </c>
      <c r="F398" s="22" t="str">
        <f aca="false">'Amendment Audit'!D84</f>
        <v>Amanda Graham</v>
      </c>
      <c r="G398" s="22" t="n">
        <f aca="false">'Amendment Audit'!F84</f>
        <v>41.8</v>
      </c>
      <c r="H398" s="22" t="n">
        <f aca="false">'Amendment Audit'!J84</f>
        <v>0</v>
      </c>
      <c r="I398" s="22" t="str">
        <f aca="false">'Amendment Audit'!L84</f>
        <v>No supplied signed certificate or yard measurement sheet</v>
      </c>
      <c r="J398" s="22" t="str">
        <f aca="false">"Amendment Audit row 84"</f>
        <v>Amendment Audit row 84</v>
      </c>
    </row>
    <row r="399" customFormat="false" ht="15" hidden="false" customHeight="false" outlineLevel="0" collapsed="false">
      <c r="A399" s="22" t="str">
        <f aca="false">'Amendment Audit'!M86</f>
        <v>Priority 2</v>
      </c>
      <c r="B399" s="22" t="s">
        <v>12989</v>
      </c>
      <c r="C399" s="22" t="str">
        <f aca="false">'Amendment Audit'!A86</f>
        <v>AMD-001200</v>
      </c>
      <c r="D399" s="23" t="n">
        <f aca="false">'Amendment Audit'!B86</f>
        <v>45471</v>
      </c>
      <c r="E399" s="22" t="str">
        <f aca="false">'Amendment Audit'!C86</f>
        <v>WL-02663</v>
      </c>
      <c r="F399" s="22" t="str">
        <f aca="false">'Amendment Audit'!D86</f>
        <v>Susan Thompson</v>
      </c>
      <c r="G399" s="22" t="n">
        <f aca="false">'Amendment Audit'!F86</f>
        <v>37.7</v>
      </c>
      <c r="H399" s="22" t="n">
        <f aca="false">'Amendment Audit'!J86</f>
        <v>0</v>
      </c>
      <c r="I399" s="22" t="str">
        <f aca="false">'Amendment Audit'!L86</f>
        <v>No supplied signed certificate or yard measurement sheet</v>
      </c>
      <c r="J399" s="22" t="str">
        <f aca="false">"Amendment Audit row 86"</f>
        <v>Amendment Audit row 86</v>
      </c>
    </row>
    <row r="400" customFormat="false" ht="15" hidden="false" customHeight="false" outlineLevel="0" collapsed="false">
      <c r="A400" s="22" t="str">
        <f aca="false">'Amendment Audit'!M88</f>
        <v>Priority 2</v>
      </c>
      <c r="B400" s="22" t="s">
        <v>12989</v>
      </c>
      <c r="C400" s="22" t="str">
        <f aca="false">'Amendment Audit'!A88</f>
        <v>AMD-001230</v>
      </c>
      <c r="D400" s="23" t="n">
        <f aca="false">'Amendment Audit'!B88</f>
        <v>45496</v>
      </c>
      <c r="E400" s="22" t="str">
        <f aca="false">'Amendment Audit'!C88</f>
        <v>WL-01607</v>
      </c>
      <c r="F400" s="22" t="str">
        <f aca="false">'Amendment Audit'!D88</f>
        <v>John Williams</v>
      </c>
      <c r="G400" s="22" t="n">
        <f aca="false">'Amendment Audit'!F88</f>
        <v>54.8</v>
      </c>
      <c r="H400" s="22" t="n">
        <f aca="false">'Amendment Audit'!J88</f>
        <v>0</v>
      </c>
      <c r="I400" s="22" t="str">
        <f aca="false">'Amendment Audit'!L88</f>
        <v>No supplied signed certificate or yard measurement sheet</v>
      </c>
      <c r="J400" s="22" t="str">
        <f aca="false">"Amendment Audit row 88"</f>
        <v>Amendment Audit row 88</v>
      </c>
    </row>
    <row r="401" customFormat="false" ht="15" hidden="false" customHeight="false" outlineLevel="0" collapsed="false">
      <c r="A401" s="22" t="str">
        <f aca="false">'Amendment Audit'!M89</f>
        <v>Priority 2</v>
      </c>
      <c r="B401" s="22" t="s">
        <v>12989</v>
      </c>
      <c r="C401" s="22" t="str">
        <f aca="false">'Amendment Audit'!A89</f>
        <v>AMD-001231</v>
      </c>
      <c r="D401" s="23" t="n">
        <f aca="false">'Amendment Audit'!B89</f>
        <v>45501</v>
      </c>
      <c r="E401" s="22" t="str">
        <f aca="false">'Amendment Audit'!C89</f>
        <v>WL-01289</v>
      </c>
      <c r="F401" s="22" t="str">
        <f aca="false">'Amendment Audit'!D89</f>
        <v>Harry Faulkner</v>
      </c>
      <c r="G401" s="22" t="n">
        <f aca="false">'Amendment Audit'!F89</f>
        <v>21.4</v>
      </c>
      <c r="H401" s="22" t="n">
        <f aca="false">'Amendment Audit'!J89</f>
        <v>0</v>
      </c>
      <c r="I401" s="22" t="str">
        <f aca="false">'Amendment Audit'!L89</f>
        <v>No supplied signed certificate or yard measurement sheet</v>
      </c>
      <c r="J401" s="22" t="str">
        <f aca="false">"Amendment Audit row 89"</f>
        <v>Amendment Audit row 89</v>
      </c>
    </row>
    <row r="402" customFormat="false" ht="15" hidden="false" customHeight="false" outlineLevel="0" collapsed="false">
      <c r="A402" s="22" t="str">
        <f aca="false">'Amendment Audit'!M90</f>
        <v>Priority 2</v>
      </c>
      <c r="B402" s="22" t="s">
        <v>12989</v>
      </c>
      <c r="C402" s="22" t="str">
        <f aca="false">'Amendment Audit'!A90</f>
        <v>AMD-001232</v>
      </c>
      <c r="D402" s="23" t="n">
        <f aca="false">'Amendment Audit'!B90</f>
        <v>45504</v>
      </c>
      <c r="E402" s="22" t="str">
        <f aca="false">'Amendment Audit'!C90</f>
        <v>WL-01573</v>
      </c>
      <c r="F402" s="22" t="str">
        <f aca="false">'Amendment Audit'!D90</f>
        <v>Benjamin Jimenez</v>
      </c>
      <c r="G402" s="22" t="n">
        <f aca="false">'Amendment Audit'!F90</f>
        <v>37.3</v>
      </c>
      <c r="H402" s="22" t="n">
        <f aca="false">'Amendment Audit'!J90</f>
        <v>0</v>
      </c>
      <c r="I402" s="22" t="str">
        <f aca="false">'Amendment Audit'!L90</f>
        <v>No supplied signed certificate or yard measurement sheet</v>
      </c>
      <c r="J402" s="22" t="str">
        <f aca="false">"Amendment Audit row 90"</f>
        <v>Amendment Audit row 90</v>
      </c>
    </row>
    <row r="403" customFormat="false" ht="15" hidden="false" customHeight="false" outlineLevel="0" collapsed="false">
      <c r="A403" s="22" t="str">
        <f aca="false">'Amendment Audit'!M91</f>
        <v>Priority 2</v>
      </c>
      <c r="B403" s="22" t="s">
        <v>12989</v>
      </c>
      <c r="C403" s="22" t="str">
        <f aca="false">'Amendment Audit'!A91</f>
        <v>AMD-001241</v>
      </c>
      <c r="D403" s="23" t="n">
        <f aca="false">'Amendment Audit'!B91</f>
        <v>45509</v>
      </c>
      <c r="E403" s="22" t="str">
        <f aca="false">'Amendment Audit'!C91</f>
        <v>WL-02437</v>
      </c>
      <c r="F403" s="22" t="str">
        <f aca="false">'Amendment Audit'!D91</f>
        <v>Jeremy Holmes</v>
      </c>
      <c r="G403" s="22" t="n">
        <f aca="false">'Amendment Audit'!F91</f>
        <v>20.1</v>
      </c>
      <c r="H403" s="22" t="n">
        <f aca="false">'Amendment Audit'!J91</f>
        <v>0</v>
      </c>
      <c r="I403" s="22" t="str">
        <f aca="false">'Amendment Audit'!L91</f>
        <v>No supplied signed certificate or yard measurement sheet</v>
      </c>
      <c r="J403" s="22" t="str">
        <f aca="false">"Amendment Audit row 91"</f>
        <v>Amendment Audit row 91</v>
      </c>
    </row>
    <row r="404" customFormat="false" ht="15" hidden="false" customHeight="false" outlineLevel="0" collapsed="false">
      <c r="A404" s="22" t="str">
        <f aca="false">'Amendment Audit'!M92</f>
        <v>Priority 2</v>
      </c>
      <c r="B404" s="22" t="s">
        <v>12989</v>
      </c>
      <c r="C404" s="22" t="str">
        <f aca="false">'Amendment Audit'!A92</f>
        <v>AMD-001244</v>
      </c>
      <c r="D404" s="23" t="n">
        <f aca="false">'Amendment Audit'!B92</f>
        <v>45510</v>
      </c>
      <c r="E404" s="22" t="str">
        <f aca="false">'Amendment Audit'!C92</f>
        <v>WL-01492</v>
      </c>
      <c r="F404" s="22" t="str">
        <f aca="false">'Amendment Audit'!D92</f>
        <v>Elizabeth Williams</v>
      </c>
      <c r="G404" s="22" t="n">
        <f aca="false">'Amendment Audit'!F92</f>
        <v>49</v>
      </c>
      <c r="H404" s="22" t="n">
        <f aca="false">'Amendment Audit'!J92</f>
        <v>0</v>
      </c>
      <c r="I404" s="22" t="str">
        <f aca="false">'Amendment Audit'!L92</f>
        <v>No supplied signed certificate or yard measurement sheet</v>
      </c>
      <c r="J404" s="22" t="str">
        <f aca="false">"Amendment Audit row 92"</f>
        <v>Amendment Audit row 92</v>
      </c>
    </row>
    <row r="405" customFormat="false" ht="15" hidden="false" customHeight="false" outlineLevel="0" collapsed="false">
      <c r="A405" s="22" t="str">
        <f aca="false">'Amendment Audit'!M93</f>
        <v>Priority 2</v>
      </c>
      <c r="B405" s="22" t="s">
        <v>12989</v>
      </c>
      <c r="C405" s="22" t="str">
        <f aca="false">'Amendment Audit'!A93</f>
        <v>AMD-001260</v>
      </c>
      <c r="D405" s="23" t="n">
        <f aca="false">'Amendment Audit'!B93</f>
        <v>45518</v>
      </c>
      <c r="E405" s="22" t="str">
        <f aca="false">'Amendment Audit'!C93</f>
        <v>WL-03524</v>
      </c>
      <c r="F405" s="22" t="str">
        <f aca="false">'Amendment Audit'!D93</f>
        <v>James Hayes</v>
      </c>
      <c r="G405" s="22" t="n">
        <f aca="false">'Amendment Audit'!F93</f>
        <v>29.7</v>
      </c>
      <c r="H405" s="22" t="n">
        <f aca="false">'Amendment Audit'!J93</f>
        <v>0</v>
      </c>
      <c r="I405" s="22" t="str">
        <f aca="false">'Amendment Audit'!L93</f>
        <v>No supplied signed certificate or yard measurement sheet</v>
      </c>
      <c r="J405" s="22" t="str">
        <f aca="false">"Amendment Audit row 93"</f>
        <v>Amendment Audit row 93</v>
      </c>
    </row>
    <row r="406" customFormat="false" ht="15" hidden="false" customHeight="false" outlineLevel="0" collapsed="false">
      <c r="A406" s="22" t="str">
        <f aca="false">'Amendment Audit'!M94</f>
        <v>Priority 2</v>
      </c>
      <c r="B406" s="22" t="s">
        <v>12989</v>
      </c>
      <c r="C406" s="22" t="str">
        <f aca="false">'Amendment Audit'!A94</f>
        <v>AMD-001263</v>
      </c>
      <c r="D406" s="23" t="n">
        <f aca="false">'Amendment Audit'!B94</f>
        <v>45522</v>
      </c>
      <c r="E406" s="22" t="str">
        <f aca="false">'Amendment Audit'!C94</f>
        <v>WL-03800</v>
      </c>
      <c r="F406" s="22" t="str">
        <f aca="false">'Amendment Audit'!D94</f>
        <v>Brian Weaver</v>
      </c>
      <c r="G406" s="22" t="n">
        <f aca="false">'Amendment Audit'!F94</f>
        <v>32.5</v>
      </c>
      <c r="H406" s="22" t="n">
        <f aca="false">'Amendment Audit'!J94</f>
        <v>0</v>
      </c>
      <c r="I406" s="22" t="str">
        <f aca="false">'Amendment Audit'!L94</f>
        <v>No supplied signed certificate or yard measurement sheet</v>
      </c>
      <c r="J406" s="22" t="str">
        <f aca="false">"Amendment Audit row 94"</f>
        <v>Amendment Audit row 94</v>
      </c>
    </row>
    <row r="407" customFormat="false" ht="15" hidden="false" customHeight="false" outlineLevel="0" collapsed="false">
      <c r="A407" s="22" t="str">
        <f aca="false">'Amendment Audit'!M95</f>
        <v>Priority 2</v>
      </c>
      <c r="B407" s="22" t="s">
        <v>12989</v>
      </c>
      <c r="C407" s="22" t="str">
        <f aca="false">'Amendment Audit'!A95</f>
        <v>AMD-001267</v>
      </c>
      <c r="D407" s="23" t="n">
        <f aca="false">'Amendment Audit'!B95</f>
        <v>45524</v>
      </c>
      <c r="E407" s="22" t="str">
        <f aca="false">'Amendment Audit'!C95</f>
        <v>WL-03433</v>
      </c>
      <c r="F407" s="22" t="str">
        <f aca="false">'Amendment Audit'!D95</f>
        <v>Ruben Taylor</v>
      </c>
      <c r="G407" s="22" t="n">
        <f aca="false">'Amendment Audit'!F95</f>
        <v>43.4</v>
      </c>
      <c r="H407" s="22" t="n">
        <f aca="false">'Amendment Audit'!J95</f>
        <v>0</v>
      </c>
      <c r="I407" s="22" t="str">
        <f aca="false">'Amendment Audit'!L95</f>
        <v>No supplied signed certificate or yard measurement sheet</v>
      </c>
      <c r="J407" s="22" t="str">
        <f aca="false">"Amendment Audit row 95"</f>
        <v>Amendment Audit row 95</v>
      </c>
    </row>
    <row r="408" customFormat="false" ht="15" hidden="false" customHeight="false" outlineLevel="0" collapsed="false">
      <c r="A408" s="22" t="str">
        <f aca="false">'Amendment Audit'!M96</f>
        <v>Priority 2</v>
      </c>
      <c r="B408" s="22" t="s">
        <v>12989</v>
      </c>
      <c r="C408" s="22" t="str">
        <f aca="false">'Amendment Audit'!A96</f>
        <v>AMD-001278</v>
      </c>
      <c r="D408" s="23" t="n">
        <f aca="false">'Amendment Audit'!B96</f>
        <v>45533</v>
      </c>
      <c r="E408" s="22" t="str">
        <f aca="false">'Amendment Audit'!C96</f>
        <v>WL-02527</v>
      </c>
      <c r="F408" s="22" t="str">
        <f aca="false">'Amendment Audit'!D96</f>
        <v>Rachel Hanson</v>
      </c>
      <c r="G408" s="22" t="n">
        <f aca="false">'Amendment Audit'!F96</f>
        <v>39.8</v>
      </c>
      <c r="H408" s="22" t="n">
        <f aca="false">'Amendment Audit'!J96</f>
        <v>0</v>
      </c>
      <c r="I408" s="22" t="str">
        <f aca="false">'Amendment Audit'!L96</f>
        <v>No supplied signed certificate or yard measurement sheet</v>
      </c>
      <c r="J408" s="22" t="str">
        <f aca="false">"Amendment Audit row 96"</f>
        <v>Amendment Audit row 96</v>
      </c>
    </row>
    <row r="409" customFormat="false" ht="15" hidden="false" customHeight="false" outlineLevel="0" collapsed="false">
      <c r="A409" s="22" t="str">
        <f aca="false">'Amendment Audit'!M97</f>
        <v>Priority 2</v>
      </c>
      <c r="B409" s="22" t="s">
        <v>12989</v>
      </c>
      <c r="C409" s="22" t="str">
        <f aca="false">'Amendment Audit'!A97</f>
        <v>AMD-001279</v>
      </c>
      <c r="D409" s="23" t="n">
        <f aca="false">'Amendment Audit'!B97</f>
        <v>45534</v>
      </c>
      <c r="E409" s="22" t="str">
        <f aca="false">'Amendment Audit'!C97</f>
        <v>WL-02561</v>
      </c>
      <c r="F409" s="22" t="str">
        <f aca="false">'Amendment Audit'!D97</f>
        <v>Kayla Carpenter</v>
      </c>
      <c r="G409" s="22" t="n">
        <f aca="false">'Amendment Audit'!F97</f>
        <v>32.3</v>
      </c>
      <c r="H409" s="22" t="n">
        <f aca="false">'Amendment Audit'!J97</f>
        <v>0</v>
      </c>
      <c r="I409" s="22" t="str">
        <f aca="false">'Amendment Audit'!L97</f>
        <v>No supplied signed certificate or yard measurement sheet</v>
      </c>
      <c r="J409" s="22" t="str">
        <f aca="false">"Amendment Audit row 97"</f>
        <v>Amendment Audit row 97</v>
      </c>
    </row>
    <row r="410" customFormat="false" ht="15" hidden="false" customHeight="false" outlineLevel="0" collapsed="false">
      <c r="A410" s="22" t="str">
        <f aca="false">'Amendment Audit'!M98</f>
        <v>Priority 2</v>
      </c>
      <c r="B410" s="22" t="s">
        <v>12989</v>
      </c>
      <c r="C410" s="22" t="str">
        <f aca="false">'Amendment Audit'!A98</f>
        <v>AMD-001287</v>
      </c>
      <c r="D410" s="23" t="n">
        <f aca="false">'Amendment Audit'!B98</f>
        <v>45539</v>
      </c>
      <c r="E410" s="22" t="str">
        <f aca="false">'Amendment Audit'!C98</f>
        <v>WL-03381</v>
      </c>
      <c r="F410" s="22" t="str">
        <f aca="false">'Amendment Audit'!D98</f>
        <v>Julie Jackson</v>
      </c>
      <c r="G410" s="22" t="n">
        <f aca="false">'Amendment Audit'!F98</f>
        <v>42.9</v>
      </c>
      <c r="H410" s="22" t="n">
        <f aca="false">'Amendment Audit'!J98</f>
        <v>0</v>
      </c>
      <c r="I410" s="22" t="str">
        <f aca="false">'Amendment Audit'!L98</f>
        <v>No supplied signed certificate or yard measurement sheet</v>
      </c>
      <c r="J410" s="22" t="str">
        <f aca="false">"Amendment Audit row 98"</f>
        <v>Amendment Audit row 98</v>
      </c>
    </row>
    <row r="411" customFormat="false" ht="15" hidden="false" customHeight="false" outlineLevel="0" collapsed="false">
      <c r="A411" s="22" t="str">
        <f aca="false">'Amendment Audit'!M100</f>
        <v>Priority 2</v>
      </c>
      <c r="B411" s="22" t="s">
        <v>12989</v>
      </c>
      <c r="C411" s="22" t="str">
        <f aca="false">'Amendment Audit'!A100</f>
        <v>AMD-001294</v>
      </c>
      <c r="D411" s="23" t="n">
        <f aca="false">'Amendment Audit'!B100</f>
        <v>45543</v>
      </c>
      <c r="E411" s="22" t="str">
        <f aca="false">'Amendment Audit'!C100</f>
        <v>WL-01766</v>
      </c>
      <c r="F411" s="22" t="str">
        <f aca="false">'Amendment Audit'!D100</f>
        <v>James Wallace</v>
      </c>
      <c r="G411" s="22" t="n">
        <f aca="false">'Amendment Audit'!F100</f>
        <v>32.4</v>
      </c>
      <c r="H411" s="22" t="n">
        <f aca="false">'Amendment Audit'!J100</f>
        <v>0</v>
      </c>
      <c r="I411" s="22" t="str">
        <f aca="false">'Amendment Audit'!L100</f>
        <v>No supplied signed certificate or yard measurement sheet</v>
      </c>
      <c r="J411" s="22" t="str">
        <f aca="false">"Amendment Audit row 100"</f>
        <v>Amendment Audit row 100</v>
      </c>
    </row>
    <row r="412" customFormat="false" ht="15" hidden="false" customHeight="false" outlineLevel="0" collapsed="false">
      <c r="A412" s="22" t="str">
        <f aca="false">'Amendment Audit'!M101</f>
        <v>Priority 2</v>
      </c>
      <c r="B412" s="22" t="s">
        <v>12989</v>
      </c>
      <c r="C412" s="22" t="str">
        <f aca="false">'Amendment Audit'!A101</f>
        <v>AMD-001311</v>
      </c>
      <c r="D412" s="23" t="n">
        <f aca="false">'Amendment Audit'!B101</f>
        <v>45555</v>
      </c>
      <c r="E412" s="22" t="str">
        <f aca="false">'Amendment Audit'!C101</f>
        <v>WL-02239</v>
      </c>
      <c r="F412" s="22" t="str">
        <f aca="false">'Amendment Audit'!D101</f>
        <v>Morgan Haas</v>
      </c>
      <c r="G412" s="22" t="n">
        <f aca="false">'Amendment Audit'!F101</f>
        <v>24.4</v>
      </c>
      <c r="H412" s="22" t="n">
        <f aca="false">'Amendment Audit'!J101</f>
        <v>0</v>
      </c>
      <c r="I412" s="22" t="str">
        <f aca="false">'Amendment Audit'!L101</f>
        <v>No supplied signed certificate or yard measurement sheet</v>
      </c>
      <c r="J412" s="22" t="str">
        <f aca="false">"Amendment Audit row 101"</f>
        <v>Amendment Audit row 101</v>
      </c>
    </row>
    <row r="413" customFormat="false" ht="15" hidden="false" customHeight="false" outlineLevel="0" collapsed="false">
      <c r="A413" s="22" t="str">
        <f aca="false">'Amendment Audit'!M102</f>
        <v>Priority 2</v>
      </c>
      <c r="B413" s="22" t="s">
        <v>12989</v>
      </c>
      <c r="C413" s="22" t="str">
        <f aca="false">'Amendment Audit'!A102</f>
        <v>AMD-001313</v>
      </c>
      <c r="D413" s="23" t="n">
        <f aca="false">'Amendment Audit'!B102</f>
        <v>45556</v>
      </c>
      <c r="E413" s="22" t="str">
        <f aca="false">'Amendment Audit'!C102</f>
        <v>WL-02310</v>
      </c>
      <c r="F413" s="22" t="str">
        <f aca="false">'Amendment Audit'!D102</f>
        <v>Kristy Bell</v>
      </c>
      <c r="G413" s="22" t="n">
        <f aca="false">'Amendment Audit'!F102</f>
        <v>28</v>
      </c>
      <c r="H413" s="22" t="n">
        <f aca="false">'Amendment Audit'!J102</f>
        <v>0</v>
      </c>
      <c r="I413" s="22" t="str">
        <f aca="false">'Amendment Audit'!L102</f>
        <v>No supplied signed certificate or yard measurement sheet</v>
      </c>
      <c r="J413" s="22" t="str">
        <f aca="false">"Amendment Audit row 102"</f>
        <v>Amendment Audit row 102</v>
      </c>
    </row>
    <row r="414" customFormat="false" ht="15" hidden="false" customHeight="false" outlineLevel="0" collapsed="false">
      <c r="A414" s="22" t="str">
        <f aca="false">'Amendment Audit'!M103</f>
        <v>Priority 2</v>
      </c>
      <c r="B414" s="22" t="s">
        <v>12989</v>
      </c>
      <c r="C414" s="22" t="str">
        <f aca="false">'Amendment Audit'!A103</f>
        <v>AMD-001323</v>
      </c>
      <c r="D414" s="23" t="n">
        <f aca="false">'Amendment Audit'!B103</f>
        <v>45569</v>
      </c>
      <c r="E414" s="22" t="str">
        <f aca="false">'Amendment Audit'!C103</f>
        <v>WL-01430</v>
      </c>
      <c r="F414" s="22" t="str">
        <f aca="false">'Amendment Audit'!D103</f>
        <v>Brandon Hall</v>
      </c>
      <c r="G414" s="22" t="n">
        <f aca="false">'Amendment Audit'!F103</f>
        <v>27.1</v>
      </c>
      <c r="H414" s="22" t="n">
        <f aca="false">'Amendment Audit'!J103</f>
        <v>0</v>
      </c>
      <c r="I414" s="22" t="str">
        <f aca="false">'Amendment Audit'!L103</f>
        <v>No supplied signed certificate or yard measurement sheet</v>
      </c>
      <c r="J414" s="22" t="str">
        <f aca="false">"Amendment Audit row 103"</f>
        <v>Amendment Audit row 103</v>
      </c>
    </row>
    <row r="415" customFormat="false" ht="15" hidden="false" customHeight="false" outlineLevel="0" collapsed="false">
      <c r="A415" s="22" t="str">
        <f aca="false">'Amendment Audit'!M105</f>
        <v>Priority 2</v>
      </c>
      <c r="B415" s="22" t="s">
        <v>12989</v>
      </c>
      <c r="C415" s="22" t="str">
        <f aca="false">'Amendment Audit'!A105</f>
        <v>AMD-001328</v>
      </c>
      <c r="D415" s="23" t="n">
        <f aca="false">'Amendment Audit'!B105</f>
        <v>45573</v>
      </c>
      <c r="E415" s="22" t="str">
        <f aca="false">'Amendment Audit'!C105</f>
        <v>WL-03547</v>
      </c>
      <c r="F415" s="22" t="str">
        <f aca="false">'Amendment Audit'!D105</f>
        <v>Amber Ward</v>
      </c>
      <c r="G415" s="22" t="n">
        <f aca="false">'Amendment Audit'!F105</f>
        <v>44.6</v>
      </c>
      <c r="H415" s="22" t="n">
        <f aca="false">'Amendment Audit'!J105</f>
        <v>0</v>
      </c>
      <c r="I415" s="22" t="str">
        <f aca="false">'Amendment Audit'!L105</f>
        <v>No supplied signed certificate or yard measurement sheet</v>
      </c>
      <c r="J415" s="22" t="str">
        <f aca="false">"Amendment Audit row 105"</f>
        <v>Amendment Audit row 105</v>
      </c>
    </row>
    <row r="416" customFormat="false" ht="15" hidden="false" customHeight="false" outlineLevel="0" collapsed="false">
      <c r="A416" s="22" t="str">
        <f aca="false">'Amendment Audit'!M106</f>
        <v>Priority 2</v>
      </c>
      <c r="B416" s="22" t="s">
        <v>12989</v>
      </c>
      <c r="C416" s="22" t="str">
        <f aca="false">'Amendment Audit'!A106</f>
        <v>AMD-001331</v>
      </c>
      <c r="D416" s="23" t="n">
        <f aca="false">'Amendment Audit'!B106</f>
        <v>45576</v>
      </c>
      <c r="E416" s="22" t="str">
        <f aca="false">'Amendment Audit'!C106</f>
        <v>WL-03757</v>
      </c>
      <c r="F416" s="22" t="str">
        <f aca="false">'Amendment Audit'!D106</f>
        <v>Stephanie Webb</v>
      </c>
      <c r="G416" s="22" t="n">
        <f aca="false">'Amendment Audit'!F106</f>
        <v>52.7</v>
      </c>
      <c r="H416" s="22" t="n">
        <f aca="false">'Amendment Audit'!J106</f>
        <v>0</v>
      </c>
      <c r="I416" s="22" t="str">
        <f aca="false">'Amendment Audit'!L106</f>
        <v>No supplied signed certificate or yard measurement sheet</v>
      </c>
      <c r="J416" s="22" t="str">
        <f aca="false">"Amendment Audit row 106"</f>
        <v>Amendment Audit row 106</v>
      </c>
    </row>
    <row r="417" customFormat="false" ht="15" hidden="false" customHeight="false" outlineLevel="0" collapsed="false">
      <c r="A417" s="22" t="str">
        <f aca="false">'Amendment Audit'!M107</f>
        <v>Priority 2</v>
      </c>
      <c r="B417" s="22" t="s">
        <v>12989</v>
      </c>
      <c r="C417" s="22" t="str">
        <f aca="false">'Amendment Audit'!A107</f>
        <v>AMD-001350</v>
      </c>
      <c r="D417" s="23" t="n">
        <f aca="false">'Amendment Audit'!B107</f>
        <v>45594</v>
      </c>
      <c r="E417" s="22" t="str">
        <f aca="false">'Amendment Audit'!C107</f>
        <v>WL-02398</v>
      </c>
      <c r="F417" s="22" t="str">
        <f aca="false">'Amendment Audit'!D107</f>
        <v>Danny Patrick</v>
      </c>
      <c r="G417" s="22" t="n">
        <f aca="false">'Amendment Audit'!F107</f>
        <v>36.6</v>
      </c>
      <c r="H417" s="22" t="n">
        <f aca="false">'Amendment Audit'!J107</f>
        <v>0</v>
      </c>
      <c r="I417" s="22" t="str">
        <f aca="false">'Amendment Audit'!L107</f>
        <v>No supplied signed certificate or yard measurement sheet</v>
      </c>
      <c r="J417" s="22" t="str">
        <f aca="false">"Amendment Audit row 107"</f>
        <v>Amendment Audit row 107</v>
      </c>
    </row>
    <row r="418" customFormat="false" ht="15" hidden="false" customHeight="false" outlineLevel="0" collapsed="false">
      <c r="A418" s="22" t="str">
        <f aca="false">'Amendment Audit'!M108</f>
        <v>Priority 2</v>
      </c>
      <c r="B418" s="22" t="s">
        <v>12989</v>
      </c>
      <c r="C418" s="22" t="str">
        <f aca="false">'Amendment Audit'!A108</f>
        <v>AMD-001362</v>
      </c>
      <c r="D418" s="23" t="n">
        <f aca="false">'Amendment Audit'!B108</f>
        <v>45601</v>
      </c>
      <c r="E418" s="22" t="str">
        <f aca="false">'Amendment Audit'!C108</f>
        <v>WL-03050</v>
      </c>
      <c r="F418" s="22" t="str">
        <f aca="false">'Amendment Audit'!D108</f>
        <v>Justin Pearson</v>
      </c>
      <c r="G418" s="22" t="n">
        <f aca="false">'Amendment Audit'!F108</f>
        <v>42.3</v>
      </c>
      <c r="H418" s="22" t="n">
        <f aca="false">'Amendment Audit'!J108</f>
        <v>0</v>
      </c>
      <c r="I418" s="22" t="str">
        <f aca="false">'Amendment Audit'!L108</f>
        <v>No supplied signed certificate or yard measurement sheet</v>
      </c>
      <c r="J418" s="22" t="str">
        <f aca="false">"Amendment Audit row 108"</f>
        <v>Amendment Audit row 108</v>
      </c>
    </row>
    <row r="419" customFormat="false" ht="15" hidden="false" customHeight="false" outlineLevel="0" collapsed="false">
      <c r="A419" s="22" t="str">
        <f aca="false">'Amendment Audit'!M109</f>
        <v>Priority 2</v>
      </c>
      <c r="B419" s="22" t="s">
        <v>12989</v>
      </c>
      <c r="C419" s="22" t="str">
        <f aca="false">'Amendment Audit'!A109</f>
        <v>AMD-001384</v>
      </c>
      <c r="D419" s="23" t="n">
        <f aca="false">'Amendment Audit'!B109</f>
        <v>45615</v>
      </c>
      <c r="E419" s="22" t="str">
        <f aca="false">'Amendment Audit'!C109</f>
        <v>WL-02442</v>
      </c>
      <c r="F419" s="22" t="str">
        <f aca="false">'Amendment Audit'!D109</f>
        <v>Elizabeth Burns</v>
      </c>
      <c r="G419" s="22" t="n">
        <f aca="false">'Amendment Audit'!F109</f>
        <v>38.1</v>
      </c>
      <c r="H419" s="22" t="n">
        <f aca="false">'Amendment Audit'!J109</f>
        <v>0</v>
      </c>
      <c r="I419" s="22" t="str">
        <f aca="false">'Amendment Audit'!L109</f>
        <v>No supplied signed certificate or yard measurement sheet</v>
      </c>
      <c r="J419" s="22" t="str">
        <f aca="false">"Amendment Audit row 109"</f>
        <v>Amendment Audit row 109</v>
      </c>
    </row>
    <row r="420" customFormat="false" ht="15" hidden="false" customHeight="false" outlineLevel="0" collapsed="false">
      <c r="A420" s="22" t="str">
        <f aca="false">'Amendment Audit'!M110</f>
        <v>Priority 2</v>
      </c>
      <c r="B420" s="22" t="s">
        <v>12989</v>
      </c>
      <c r="C420" s="22" t="str">
        <f aca="false">'Amendment Audit'!A110</f>
        <v>AMD-001400</v>
      </c>
      <c r="D420" s="23" t="n">
        <f aca="false">'Amendment Audit'!B110</f>
        <v>45624</v>
      </c>
      <c r="E420" s="22" t="str">
        <f aca="false">'Amendment Audit'!C110</f>
        <v>WL-03511</v>
      </c>
      <c r="F420" s="22" t="str">
        <f aca="false">'Amendment Audit'!D110</f>
        <v>Kristen Turner</v>
      </c>
      <c r="G420" s="22" t="n">
        <f aca="false">'Amendment Audit'!F110</f>
        <v>22.8</v>
      </c>
      <c r="H420" s="22" t="n">
        <f aca="false">'Amendment Audit'!J110</f>
        <v>0</v>
      </c>
      <c r="I420" s="22" t="str">
        <f aca="false">'Amendment Audit'!L110</f>
        <v>No supplied signed certificate or yard measurement sheet</v>
      </c>
      <c r="J420" s="22" t="str">
        <f aca="false">"Amendment Audit row 110"</f>
        <v>Amendment Audit row 110</v>
      </c>
    </row>
    <row r="421" customFormat="false" ht="15" hidden="false" customHeight="false" outlineLevel="0" collapsed="false">
      <c r="A421" s="22" t="str">
        <f aca="false">'Amendment Audit'!M111</f>
        <v>Priority 2</v>
      </c>
      <c r="B421" s="22" t="s">
        <v>12989</v>
      </c>
      <c r="C421" s="22" t="str">
        <f aca="false">'Amendment Audit'!A111</f>
        <v>AMD-001403</v>
      </c>
      <c r="D421" s="23" t="n">
        <f aca="false">'Amendment Audit'!B111</f>
        <v>45626</v>
      </c>
      <c r="E421" s="22" t="str">
        <f aca="false">'Amendment Audit'!C111</f>
        <v>WL-02150</v>
      </c>
      <c r="F421" s="22" t="str">
        <f aca="false">'Amendment Audit'!D111</f>
        <v>Jared Gomez</v>
      </c>
      <c r="G421" s="22" t="n">
        <f aca="false">'Amendment Audit'!F111</f>
        <v>32.9</v>
      </c>
      <c r="H421" s="22" t="n">
        <f aca="false">'Amendment Audit'!J111</f>
        <v>0</v>
      </c>
      <c r="I421" s="22" t="str">
        <f aca="false">'Amendment Audit'!L111</f>
        <v>No supplied signed certificate or yard measurement sheet</v>
      </c>
      <c r="J421" s="22" t="str">
        <f aca="false">"Amendment Audit row 111"</f>
        <v>Amendment Audit row 111</v>
      </c>
    </row>
    <row r="422" customFormat="false" ht="15" hidden="false" customHeight="false" outlineLevel="0" collapsed="false">
      <c r="A422" s="22" t="str">
        <f aca="false">'Amendment Audit'!M112</f>
        <v>Priority 2</v>
      </c>
      <c r="B422" s="22" t="s">
        <v>12989</v>
      </c>
      <c r="C422" s="22" t="str">
        <f aca="false">'Amendment Audit'!A112</f>
        <v>AMD-001406</v>
      </c>
      <c r="D422" s="23" t="n">
        <f aca="false">'Amendment Audit'!B112</f>
        <v>45628</v>
      </c>
      <c r="E422" s="22" t="str">
        <f aca="false">'Amendment Audit'!C112</f>
        <v>WL-03583</v>
      </c>
      <c r="F422" s="22" t="str">
        <f aca="false">'Amendment Audit'!D112</f>
        <v>Walter Martin</v>
      </c>
      <c r="G422" s="22" t="n">
        <f aca="false">'Amendment Audit'!F112</f>
        <v>49</v>
      </c>
      <c r="H422" s="22" t="n">
        <f aca="false">'Amendment Audit'!J112</f>
        <v>0</v>
      </c>
      <c r="I422" s="22" t="str">
        <f aca="false">'Amendment Audit'!L112</f>
        <v>No supplied signed certificate or yard measurement sheet</v>
      </c>
      <c r="J422" s="22" t="str">
        <f aca="false">"Amendment Audit row 112"</f>
        <v>Amendment Audit row 112</v>
      </c>
    </row>
    <row r="423" customFormat="false" ht="15" hidden="false" customHeight="false" outlineLevel="0" collapsed="false">
      <c r="A423" s="22" t="str">
        <f aca="false">'Amendment Audit'!M113</f>
        <v>Priority 2</v>
      </c>
      <c r="B423" s="22" t="s">
        <v>12989</v>
      </c>
      <c r="C423" s="22" t="str">
        <f aca="false">'Amendment Audit'!A113</f>
        <v>AMD-001408</v>
      </c>
      <c r="D423" s="23" t="n">
        <f aca="false">'Amendment Audit'!B113</f>
        <v>45631</v>
      </c>
      <c r="E423" s="22" t="str">
        <f aca="false">'Amendment Audit'!C113</f>
        <v>WL-02001</v>
      </c>
      <c r="F423" s="22" t="str">
        <f aca="false">'Amendment Audit'!D113</f>
        <v>Ashley Richard</v>
      </c>
      <c r="G423" s="22" t="n">
        <f aca="false">'Amendment Audit'!F113</f>
        <v>46.8</v>
      </c>
      <c r="H423" s="22" t="n">
        <f aca="false">'Amendment Audit'!J113</f>
        <v>0</v>
      </c>
      <c r="I423" s="22" t="str">
        <f aca="false">'Amendment Audit'!L113</f>
        <v>No supplied signed certificate or yard measurement sheet</v>
      </c>
      <c r="J423" s="22" t="str">
        <f aca="false">"Amendment Audit row 113"</f>
        <v>Amendment Audit row 113</v>
      </c>
    </row>
    <row r="424" customFormat="false" ht="15" hidden="false" customHeight="false" outlineLevel="0" collapsed="false">
      <c r="A424" s="22" t="str">
        <f aca="false">'Amendment Audit'!M114</f>
        <v>Priority 2</v>
      </c>
      <c r="B424" s="22" t="s">
        <v>12989</v>
      </c>
      <c r="C424" s="22" t="str">
        <f aca="false">'Amendment Audit'!A114</f>
        <v>AMD-001409</v>
      </c>
      <c r="D424" s="23" t="n">
        <f aca="false">'Amendment Audit'!B114</f>
        <v>45631</v>
      </c>
      <c r="E424" s="22" t="str">
        <f aca="false">'Amendment Audit'!C114</f>
        <v>WL-02133</v>
      </c>
      <c r="F424" s="22" t="str">
        <f aca="false">'Amendment Audit'!D114</f>
        <v>Michael Moses</v>
      </c>
      <c r="G424" s="22" t="n">
        <f aca="false">'Amendment Audit'!F114</f>
        <v>28.4</v>
      </c>
      <c r="H424" s="22" t="n">
        <f aca="false">'Amendment Audit'!J114</f>
        <v>0</v>
      </c>
      <c r="I424" s="22" t="str">
        <f aca="false">'Amendment Audit'!L114</f>
        <v>No supplied signed certificate or yard measurement sheet</v>
      </c>
      <c r="J424" s="22" t="str">
        <f aca="false">"Amendment Audit row 114"</f>
        <v>Amendment Audit row 114</v>
      </c>
    </row>
    <row r="425" customFormat="false" ht="15" hidden="false" customHeight="false" outlineLevel="0" collapsed="false">
      <c r="A425" s="22" t="str">
        <f aca="false">'Amendment Audit'!M115</f>
        <v>Priority 2</v>
      </c>
      <c r="B425" s="22" t="s">
        <v>12989</v>
      </c>
      <c r="C425" s="22" t="str">
        <f aca="false">'Amendment Audit'!A115</f>
        <v>AMD-001411</v>
      </c>
      <c r="D425" s="23" t="n">
        <f aca="false">'Amendment Audit'!B115</f>
        <v>45633</v>
      </c>
      <c r="E425" s="22" t="str">
        <f aca="false">'Amendment Audit'!C115</f>
        <v>WL-02026</v>
      </c>
      <c r="F425" s="22" t="str">
        <f aca="false">'Amendment Audit'!D115</f>
        <v>Miranda Foster</v>
      </c>
      <c r="G425" s="22" t="n">
        <f aca="false">'Amendment Audit'!F115</f>
        <v>23</v>
      </c>
      <c r="H425" s="22" t="n">
        <f aca="false">'Amendment Audit'!J115</f>
        <v>0</v>
      </c>
      <c r="I425" s="22" t="str">
        <f aca="false">'Amendment Audit'!L115</f>
        <v>No supplied signed certificate or yard measurement sheet</v>
      </c>
      <c r="J425" s="22" t="str">
        <f aca="false">"Amendment Audit row 115"</f>
        <v>Amendment Audit row 115</v>
      </c>
    </row>
    <row r="426" customFormat="false" ht="15" hidden="false" customHeight="false" outlineLevel="0" collapsed="false">
      <c r="A426" s="22" t="str">
        <f aca="false">'Amendment Audit'!M116</f>
        <v>Priority 2</v>
      </c>
      <c r="B426" s="22" t="s">
        <v>12989</v>
      </c>
      <c r="C426" s="22" t="str">
        <f aca="false">'Amendment Audit'!A116</f>
        <v>AMD-001414</v>
      </c>
      <c r="D426" s="23" t="n">
        <f aca="false">'Amendment Audit'!B116</f>
        <v>45637</v>
      </c>
      <c r="E426" s="22" t="str">
        <f aca="false">'Amendment Audit'!C116</f>
        <v>WL-03890</v>
      </c>
      <c r="F426" s="22" t="str">
        <f aca="false">'Amendment Audit'!D116</f>
        <v>Steven Alvarado</v>
      </c>
      <c r="G426" s="22" t="n">
        <f aca="false">'Amendment Audit'!F116</f>
        <v>49.6</v>
      </c>
      <c r="H426" s="22" t="n">
        <f aca="false">'Amendment Audit'!J116</f>
        <v>0</v>
      </c>
      <c r="I426" s="22" t="str">
        <f aca="false">'Amendment Audit'!L116</f>
        <v>No supplied signed certificate or yard measurement sheet</v>
      </c>
      <c r="J426" s="22" t="str">
        <f aca="false">"Amendment Audit row 116"</f>
        <v>Amendment Audit row 116</v>
      </c>
    </row>
    <row r="427" customFormat="false" ht="15" hidden="false" customHeight="false" outlineLevel="0" collapsed="false">
      <c r="A427" s="22" t="str">
        <f aca="false">'Amendment Audit'!M117</f>
        <v>Priority 2</v>
      </c>
      <c r="B427" s="22" t="s">
        <v>12989</v>
      </c>
      <c r="C427" s="22" t="str">
        <f aca="false">'Amendment Audit'!A117</f>
        <v>AMD-001427</v>
      </c>
      <c r="D427" s="23" t="n">
        <f aca="false">'Amendment Audit'!B117</f>
        <v>45648</v>
      </c>
      <c r="E427" s="22" t="str">
        <f aca="false">'Amendment Audit'!C117</f>
        <v>WL-03470</v>
      </c>
      <c r="F427" s="22" t="str">
        <f aca="false">'Amendment Audit'!D117</f>
        <v>Nathan Huffman</v>
      </c>
      <c r="G427" s="22" t="n">
        <f aca="false">'Amendment Audit'!F117</f>
        <v>36.4</v>
      </c>
      <c r="H427" s="22" t="n">
        <f aca="false">'Amendment Audit'!J117</f>
        <v>0</v>
      </c>
      <c r="I427" s="22" t="str">
        <f aca="false">'Amendment Audit'!L117</f>
        <v>No supplied signed certificate or yard measurement sheet</v>
      </c>
      <c r="J427" s="22" t="str">
        <f aca="false">"Amendment Audit row 117"</f>
        <v>Amendment Audit row 117</v>
      </c>
    </row>
    <row r="428" customFormat="false" ht="15" hidden="false" customHeight="false" outlineLevel="0" collapsed="false">
      <c r="A428" s="22" t="str">
        <f aca="false">'Amendment Audit'!M118</f>
        <v>Priority 2</v>
      </c>
      <c r="B428" s="22" t="s">
        <v>12989</v>
      </c>
      <c r="C428" s="22" t="str">
        <f aca="false">'Amendment Audit'!A118</f>
        <v>AMD-001430</v>
      </c>
      <c r="D428" s="23" t="n">
        <f aca="false">'Amendment Audit'!B118</f>
        <v>45650</v>
      </c>
      <c r="E428" s="22" t="str">
        <f aca="false">'Amendment Audit'!C118</f>
        <v>WL-03335</v>
      </c>
      <c r="F428" s="22" t="str">
        <f aca="false">'Amendment Audit'!D118</f>
        <v>Adrian Johnson</v>
      </c>
      <c r="G428" s="22" t="n">
        <f aca="false">'Amendment Audit'!F118</f>
        <v>52</v>
      </c>
      <c r="H428" s="22" t="n">
        <f aca="false">'Amendment Audit'!J118</f>
        <v>0</v>
      </c>
      <c r="I428" s="22" t="str">
        <f aca="false">'Amendment Audit'!L118</f>
        <v>No supplied signed certificate or yard measurement sheet</v>
      </c>
      <c r="J428" s="22" t="str">
        <f aca="false">"Amendment Audit row 118"</f>
        <v>Amendment Audit row 118</v>
      </c>
    </row>
    <row r="429" customFormat="false" ht="15" hidden="false" customHeight="false" outlineLevel="0" collapsed="false">
      <c r="A429" s="22" t="str">
        <f aca="false">'Amendment Audit'!M119</f>
        <v>Priority 2</v>
      </c>
      <c r="B429" s="22" t="s">
        <v>12989</v>
      </c>
      <c r="C429" s="22" t="str">
        <f aca="false">'Amendment Audit'!A119</f>
        <v>AMD-001444</v>
      </c>
      <c r="D429" s="23" t="n">
        <f aca="false">'Amendment Audit'!B119</f>
        <v>45666</v>
      </c>
      <c r="E429" s="22" t="str">
        <f aca="false">'Amendment Audit'!C119</f>
        <v>WL-02327</v>
      </c>
      <c r="F429" s="22" t="str">
        <f aca="false">'Amendment Audit'!D119</f>
        <v>Sarah Hogan</v>
      </c>
      <c r="G429" s="22" t="n">
        <f aca="false">'Amendment Audit'!F119</f>
        <v>25</v>
      </c>
      <c r="H429" s="22" t="n">
        <f aca="false">'Amendment Audit'!J119</f>
        <v>0</v>
      </c>
      <c r="I429" s="22" t="str">
        <f aca="false">'Amendment Audit'!L119</f>
        <v>No supplied signed certificate or yard measurement sheet</v>
      </c>
      <c r="J429" s="22" t="str">
        <f aca="false">"Amendment Audit row 119"</f>
        <v>Amendment Audit row 119</v>
      </c>
    </row>
    <row r="430" customFormat="false" ht="15" hidden="false" customHeight="false" outlineLevel="0" collapsed="false">
      <c r="A430" s="22" t="str">
        <f aca="false">'Amendment Audit'!M120</f>
        <v>Priority 2</v>
      </c>
      <c r="B430" s="22" t="s">
        <v>12989</v>
      </c>
      <c r="C430" s="22" t="str">
        <f aca="false">'Amendment Audit'!A120</f>
        <v>AMD-001449</v>
      </c>
      <c r="D430" s="23" t="n">
        <f aca="false">'Amendment Audit'!B120</f>
        <v>45670</v>
      </c>
      <c r="E430" s="22" t="str">
        <f aca="false">'Amendment Audit'!C120</f>
        <v>WL-01855</v>
      </c>
      <c r="F430" s="22" t="str">
        <f aca="false">'Amendment Audit'!D120</f>
        <v>Maria Wright</v>
      </c>
      <c r="G430" s="22" t="n">
        <f aca="false">'Amendment Audit'!F120</f>
        <v>34.4</v>
      </c>
      <c r="H430" s="22" t="n">
        <f aca="false">'Amendment Audit'!J120</f>
        <v>0</v>
      </c>
      <c r="I430" s="22" t="str">
        <f aca="false">'Amendment Audit'!L120</f>
        <v>No supplied signed certificate or yard measurement sheet</v>
      </c>
      <c r="J430" s="22" t="str">
        <f aca="false">"Amendment Audit row 120"</f>
        <v>Amendment Audit row 120</v>
      </c>
    </row>
    <row r="431" customFormat="false" ht="15" hidden="false" customHeight="false" outlineLevel="0" collapsed="false">
      <c r="A431" s="22" t="str">
        <f aca="false">'Amendment Audit'!M121</f>
        <v>Priority 2</v>
      </c>
      <c r="B431" s="22" t="s">
        <v>12989</v>
      </c>
      <c r="C431" s="22" t="str">
        <f aca="false">'Amendment Audit'!A121</f>
        <v>AMD-001453</v>
      </c>
      <c r="D431" s="23" t="n">
        <f aca="false">'Amendment Audit'!B121</f>
        <v>45671</v>
      </c>
      <c r="E431" s="22" t="str">
        <f aca="false">'Amendment Audit'!C121</f>
        <v>WL-03650</v>
      </c>
      <c r="F431" s="22" t="str">
        <f aca="false">'Amendment Audit'!D121</f>
        <v>Sean Roth</v>
      </c>
      <c r="G431" s="22" t="n">
        <f aca="false">'Amendment Audit'!F121</f>
        <v>47.5</v>
      </c>
      <c r="H431" s="22" t="n">
        <f aca="false">'Amendment Audit'!J121</f>
        <v>0</v>
      </c>
      <c r="I431" s="22" t="str">
        <f aca="false">'Amendment Audit'!L121</f>
        <v>No supplied signed certificate or yard measurement sheet</v>
      </c>
      <c r="J431" s="22" t="str">
        <f aca="false">"Amendment Audit row 121"</f>
        <v>Amendment Audit row 121</v>
      </c>
    </row>
    <row r="432" customFormat="false" ht="15" hidden="false" customHeight="false" outlineLevel="0" collapsed="false">
      <c r="A432" s="22" t="str">
        <f aca="false">'Amendment Audit'!M122</f>
        <v>Priority 2</v>
      </c>
      <c r="B432" s="22" t="s">
        <v>12989</v>
      </c>
      <c r="C432" s="22" t="str">
        <f aca="false">'Amendment Audit'!A122</f>
        <v>AMD-001460</v>
      </c>
      <c r="D432" s="23" t="n">
        <f aca="false">'Amendment Audit'!B122</f>
        <v>45674</v>
      </c>
      <c r="E432" s="22" t="str">
        <f aca="false">'Amendment Audit'!C122</f>
        <v>WL-02180</v>
      </c>
      <c r="F432" s="22" t="str">
        <f aca="false">'Amendment Audit'!D122</f>
        <v>Michele Jones</v>
      </c>
      <c r="G432" s="22" t="n">
        <f aca="false">'Amendment Audit'!F122</f>
        <v>24.1</v>
      </c>
      <c r="H432" s="22" t="n">
        <f aca="false">'Amendment Audit'!J122</f>
        <v>0</v>
      </c>
      <c r="I432" s="22" t="str">
        <f aca="false">'Amendment Audit'!L122</f>
        <v>No supplied signed certificate or yard measurement sheet</v>
      </c>
      <c r="J432" s="22" t="str">
        <f aca="false">"Amendment Audit row 122"</f>
        <v>Amendment Audit row 122</v>
      </c>
    </row>
    <row r="433" customFormat="false" ht="15" hidden="false" customHeight="false" outlineLevel="0" collapsed="false">
      <c r="A433" s="22" t="str">
        <f aca="false">'Amendment Audit'!M123</f>
        <v>Priority 2</v>
      </c>
      <c r="B433" s="22" t="s">
        <v>12989</v>
      </c>
      <c r="C433" s="22" t="str">
        <f aca="false">'Amendment Audit'!A123</f>
        <v>AMD-001468</v>
      </c>
      <c r="D433" s="23" t="n">
        <f aca="false">'Amendment Audit'!B123</f>
        <v>45680</v>
      </c>
      <c r="E433" s="22" t="str">
        <f aca="false">'Amendment Audit'!C123</f>
        <v>WL-02459</v>
      </c>
      <c r="F433" s="22" t="str">
        <f aca="false">'Amendment Audit'!D123</f>
        <v>Kimberly Smith</v>
      </c>
      <c r="G433" s="22" t="n">
        <f aca="false">'Amendment Audit'!F123</f>
        <v>21.5</v>
      </c>
      <c r="H433" s="22" t="n">
        <f aca="false">'Amendment Audit'!J123</f>
        <v>0</v>
      </c>
      <c r="I433" s="22" t="str">
        <f aca="false">'Amendment Audit'!L123</f>
        <v>No supplied signed certificate or yard measurement sheet</v>
      </c>
      <c r="J433" s="22" t="str">
        <f aca="false">"Amendment Audit row 123"</f>
        <v>Amendment Audit row 123</v>
      </c>
    </row>
    <row r="434" customFormat="false" ht="15" hidden="false" customHeight="false" outlineLevel="0" collapsed="false">
      <c r="A434" s="22" t="str">
        <f aca="false">'Amendment Audit'!M124</f>
        <v>Priority 2</v>
      </c>
      <c r="B434" s="22" t="s">
        <v>12989</v>
      </c>
      <c r="C434" s="22" t="str">
        <f aca="false">'Amendment Audit'!A124</f>
        <v>AMD-001481</v>
      </c>
      <c r="D434" s="23" t="n">
        <f aca="false">'Amendment Audit'!B124</f>
        <v>45687</v>
      </c>
      <c r="E434" s="22" t="str">
        <f aca="false">'Amendment Audit'!C124</f>
        <v>WL-02143</v>
      </c>
      <c r="F434" s="22" t="str">
        <f aca="false">'Amendment Audit'!D124</f>
        <v>Lisa Wright</v>
      </c>
      <c r="G434" s="22" t="n">
        <f aca="false">'Amendment Audit'!F124</f>
        <v>48.4</v>
      </c>
      <c r="H434" s="22" t="n">
        <f aca="false">'Amendment Audit'!J124</f>
        <v>0</v>
      </c>
      <c r="I434" s="22" t="str">
        <f aca="false">'Amendment Audit'!L124</f>
        <v>No supplied signed certificate or yard measurement sheet</v>
      </c>
      <c r="J434" s="22" t="str">
        <f aca="false">"Amendment Audit row 124"</f>
        <v>Amendment Audit row 124</v>
      </c>
    </row>
    <row r="435" customFormat="false" ht="15" hidden="false" customHeight="false" outlineLevel="0" collapsed="false">
      <c r="A435" s="22" t="str">
        <f aca="false">'Amendment Audit'!M125</f>
        <v>Priority 2</v>
      </c>
      <c r="B435" s="22" t="s">
        <v>12989</v>
      </c>
      <c r="C435" s="22" t="str">
        <f aca="false">'Amendment Audit'!A125</f>
        <v>AMD-001519</v>
      </c>
      <c r="D435" s="23" t="n">
        <f aca="false">'Amendment Audit'!B125</f>
        <v>45710</v>
      </c>
      <c r="E435" s="22" t="str">
        <f aca="false">'Amendment Audit'!C125</f>
        <v>WL-02035</v>
      </c>
      <c r="F435" s="22" t="str">
        <f aca="false">'Amendment Audit'!D125</f>
        <v>Deborah Howe</v>
      </c>
      <c r="G435" s="22" t="n">
        <f aca="false">'Amendment Audit'!F125</f>
        <v>29.6</v>
      </c>
      <c r="H435" s="22" t="n">
        <f aca="false">'Amendment Audit'!J125</f>
        <v>0</v>
      </c>
      <c r="I435" s="22" t="str">
        <f aca="false">'Amendment Audit'!L125</f>
        <v>No supplied signed certificate or yard measurement sheet</v>
      </c>
      <c r="J435" s="22" t="str">
        <f aca="false">"Amendment Audit row 125"</f>
        <v>Amendment Audit row 125</v>
      </c>
    </row>
    <row r="436" customFormat="false" ht="15" hidden="false" customHeight="false" outlineLevel="0" collapsed="false">
      <c r="A436" s="22" t="str">
        <f aca="false">'Amendment Audit'!M126</f>
        <v>Priority 2</v>
      </c>
      <c r="B436" s="22" t="s">
        <v>12989</v>
      </c>
      <c r="C436" s="22" t="str">
        <f aca="false">'Amendment Audit'!A126</f>
        <v>AMD-001525</v>
      </c>
      <c r="D436" s="23" t="n">
        <f aca="false">'Amendment Audit'!B126</f>
        <v>45716</v>
      </c>
      <c r="E436" s="22" t="str">
        <f aca="false">'Amendment Audit'!C126</f>
        <v>WL-01612</v>
      </c>
      <c r="F436" s="22" t="str">
        <f aca="false">'Amendment Audit'!D126</f>
        <v>Donald Hernandez</v>
      </c>
      <c r="G436" s="22" t="n">
        <f aca="false">'Amendment Audit'!F126</f>
        <v>27.6</v>
      </c>
      <c r="H436" s="22" t="n">
        <f aca="false">'Amendment Audit'!J126</f>
        <v>0</v>
      </c>
      <c r="I436" s="22" t="str">
        <f aca="false">'Amendment Audit'!L126</f>
        <v>No supplied signed certificate or yard measurement sheet</v>
      </c>
      <c r="J436" s="22" t="str">
        <f aca="false">"Amendment Audit row 126"</f>
        <v>Amendment Audit row 126</v>
      </c>
    </row>
    <row r="437" customFormat="false" ht="15" hidden="false" customHeight="false" outlineLevel="0" collapsed="false">
      <c r="A437" s="22" t="str">
        <f aca="false">'Amendment Audit'!M127</f>
        <v>Priority 2</v>
      </c>
      <c r="B437" s="22" t="s">
        <v>12989</v>
      </c>
      <c r="C437" s="22" t="str">
        <f aca="false">'Amendment Audit'!A127</f>
        <v>AMD-001535</v>
      </c>
      <c r="D437" s="23" t="n">
        <f aca="false">'Amendment Audit'!B127</f>
        <v>45725</v>
      </c>
      <c r="E437" s="22" t="str">
        <f aca="false">'Amendment Audit'!C127</f>
        <v>WL-02431</v>
      </c>
      <c r="F437" s="22" t="str">
        <f aca="false">'Amendment Audit'!D127</f>
        <v>Laura Montoya</v>
      </c>
      <c r="G437" s="22" t="n">
        <f aca="false">'Amendment Audit'!F127</f>
        <v>29.1</v>
      </c>
      <c r="H437" s="22" t="n">
        <f aca="false">'Amendment Audit'!J127</f>
        <v>0</v>
      </c>
      <c r="I437" s="22" t="str">
        <f aca="false">'Amendment Audit'!L127</f>
        <v>No supplied signed certificate or yard measurement sheet</v>
      </c>
      <c r="J437" s="22" t="str">
        <f aca="false">"Amendment Audit row 127"</f>
        <v>Amendment Audit row 127</v>
      </c>
    </row>
    <row r="438" customFormat="false" ht="15" hidden="false" customHeight="false" outlineLevel="0" collapsed="false">
      <c r="A438" s="22" t="str">
        <f aca="false">'Amendment Audit'!M128</f>
        <v>Priority 2</v>
      </c>
      <c r="B438" s="22" t="s">
        <v>12989</v>
      </c>
      <c r="C438" s="22" t="str">
        <f aca="false">'Amendment Audit'!A128</f>
        <v>AMD-001545</v>
      </c>
      <c r="D438" s="23" t="n">
        <f aca="false">'Amendment Audit'!B128</f>
        <v>45731</v>
      </c>
      <c r="E438" s="22" t="str">
        <f aca="false">'Amendment Audit'!C128</f>
        <v>WL-02150</v>
      </c>
      <c r="F438" s="22" t="str">
        <f aca="false">'Amendment Audit'!D128</f>
        <v>Jared Gomez</v>
      </c>
      <c r="G438" s="22" t="n">
        <f aca="false">'Amendment Audit'!F128</f>
        <v>36.3</v>
      </c>
      <c r="H438" s="22" t="n">
        <f aca="false">'Amendment Audit'!J128</f>
        <v>0</v>
      </c>
      <c r="I438" s="22" t="str">
        <f aca="false">'Amendment Audit'!L128</f>
        <v>No supplied signed certificate or yard measurement sheet</v>
      </c>
      <c r="J438" s="22" t="str">
        <f aca="false">"Amendment Audit row 128"</f>
        <v>Amendment Audit row 128</v>
      </c>
    </row>
    <row r="439" customFormat="false" ht="15" hidden="false" customHeight="false" outlineLevel="0" collapsed="false">
      <c r="A439" s="22" t="str">
        <f aca="false">'Amendment Audit'!M129</f>
        <v>Priority 2</v>
      </c>
      <c r="B439" s="22" t="s">
        <v>12989</v>
      </c>
      <c r="C439" s="22" t="str">
        <f aca="false">'Amendment Audit'!A129</f>
        <v>AMD-001557</v>
      </c>
      <c r="D439" s="23" t="n">
        <f aca="false">'Amendment Audit'!B129</f>
        <v>45742</v>
      </c>
      <c r="E439" s="22" t="str">
        <f aca="false">'Amendment Audit'!C129</f>
        <v>WL-01173</v>
      </c>
      <c r="F439" s="22" t="str">
        <f aca="false">'Amendment Audit'!D129</f>
        <v>Jason Boyer</v>
      </c>
      <c r="G439" s="22" t="n">
        <f aca="false">'Amendment Audit'!F129</f>
        <v>20.8</v>
      </c>
      <c r="H439" s="22" t="n">
        <f aca="false">'Amendment Audit'!J129</f>
        <v>0</v>
      </c>
      <c r="I439" s="22" t="str">
        <f aca="false">'Amendment Audit'!L129</f>
        <v>No supplied signed certificate or yard measurement sheet</v>
      </c>
      <c r="J439" s="22" t="str">
        <f aca="false">"Amendment Audit row 129"</f>
        <v>Amendment Audit row 129</v>
      </c>
    </row>
    <row r="440" customFormat="false" ht="15" hidden="false" customHeight="false" outlineLevel="0" collapsed="false">
      <c r="A440" s="22" t="str">
        <f aca="false">'Amendment Audit'!M130</f>
        <v>Priority 2</v>
      </c>
      <c r="B440" s="22" t="s">
        <v>12989</v>
      </c>
      <c r="C440" s="22" t="str">
        <f aca="false">'Amendment Audit'!A130</f>
        <v>AMD-001563</v>
      </c>
      <c r="D440" s="23" t="n">
        <f aca="false">'Amendment Audit'!B130</f>
        <v>45745</v>
      </c>
      <c r="E440" s="22" t="str">
        <f aca="false">'Amendment Audit'!C130</f>
        <v>WL-01350</v>
      </c>
      <c r="F440" s="22" t="str">
        <f aca="false">'Amendment Audit'!D130</f>
        <v>John George</v>
      </c>
      <c r="G440" s="22" t="n">
        <f aca="false">'Amendment Audit'!F130</f>
        <v>38.8</v>
      </c>
      <c r="H440" s="22" t="n">
        <f aca="false">'Amendment Audit'!J130</f>
        <v>0</v>
      </c>
      <c r="I440" s="22" t="str">
        <f aca="false">'Amendment Audit'!L130</f>
        <v>No supplied signed certificate or yard measurement sheet</v>
      </c>
      <c r="J440" s="22" t="str">
        <f aca="false">"Amendment Audit row 130"</f>
        <v>Amendment Audit row 130</v>
      </c>
    </row>
    <row r="441" customFormat="false" ht="15" hidden="false" customHeight="false" outlineLevel="0" collapsed="false">
      <c r="A441" s="22" t="str">
        <f aca="false">'Amendment Audit'!M131</f>
        <v>Priority 2</v>
      </c>
      <c r="B441" s="22" t="s">
        <v>12989</v>
      </c>
      <c r="C441" s="22" t="str">
        <f aca="false">'Amendment Audit'!A131</f>
        <v>AMD-001565</v>
      </c>
      <c r="D441" s="23" t="n">
        <f aca="false">'Amendment Audit'!B131</f>
        <v>45746</v>
      </c>
      <c r="E441" s="22" t="str">
        <f aca="false">'Amendment Audit'!C131</f>
        <v>WL-01349</v>
      </c>
      <c r="F441" s="22" t="str">
        <f aca="false">'Amendment Audit'!D131</f>
        <v>Justin Johnson</v>
      </c>
      <c r="G441" s="22" t="n">
        <f aca="false">'Amendment Audit'!F131</f>
        <v>32.4</v>
      </c>
      <c r="H441" s="22" t="n">
        <f aca="false">'Amendment Audit'!J131</f>
        <v>0</v>
      </c>
      <c r="I441" s="22" t="str">
        <f aca="false">'Amendment Audit'!L131</f>
        <v>No supplied signed certificate or yard measurement sheet</v>
      </c>
      <c r="J441" s="22" t="str">
        <f aca="false">"Amendment Audit row 131"</f>
        <v>Amendment Audit row 131</v>
      </c>
    </row>
    <row r="442" customFormat="false" ht="15" hidden="false" customHeight="false" outlineLevel="0" collapsed="false">
      <c r="A442" s="22" t="str">
        <f aca="false">'Amendment Audit'!M132</f>
        <v>Priority 2</v>
      </c>
      <c r="B442" s="22" t="s">
        <v>12989</v>
      </c>
      <c r="C442" s="22" t="str">
        <f aca="false">'Amendment Audit'!A132</f>
        <v>AMD-001568</v>
      </c>
      <c r="D442" s="23" t="n">
        <f aca="false">'Amendment Audit'!B132</f>
        <v>45747</v>
      </c>
      <c r="E442" s="22" t="str">
        <f aca="false">'Amendment Audit'!C132</f>
        <v>WL-03245</v>
      </c>
      <c r="F442" s="22" t="str">
        <f aca="false">'Amendment Audit'!D132</f>
        <v>Howard Sellers</v>
      </c>
      <c r="G442" s="22" t="n">
        <f aca="false">'Amendment Audit'!F132</f>
        <v>32.2</v>
      </c>
      <c r="H442" s="22" t="n">
        <f aca="false">'Amendment Audit'!J132</f>
        <v>0</v>
      </c>
      <c r="I442" s="22" t="str">
        <f aca="false">'Amendment Audit'!L132</f>
        <v>No supplied signed certificate or yard measurement sheet</v>
      </c>
      <c r="J442" s="22" t="str">
        <f aca="false">"Amendment Audit row 132"</f>
        <v>Amendment Audit row 132</v>
      </c>
    </row>
    <row r="443" customFormat="false" ht="15" hidden="false" customHeight="false" outlineLevel="0" collapsed="false">
      <c r="A443" s="22" t="str">
        <f aca="false">'Amendment Audit'!M133</f>
        <v>Priority 2</v>
      </c>
      <c r="B443" s="22" t="s">
        <v>12989</v>
      </c>
      <c r="C443" s="22" t="str">
        <f aca="false">'Amendment Audit'!A133</f>
        <v>AMD-001570</v>
      </c>
      <c r="D443" s="23" t="n">
        <f aca="false">'Amendment Audit'!B133</f>
        <v>45748</v>
      </c>
      <c r="E443" s="22" t="str">
        <f aca="false">'Amendment Audit'!C133</f>
        <v>WL-02799</v>
      </c>
      <c r="F443" s="22" t="str">
        <f aca="false">'Amendment Audit'!D133</f>
        <v>Amber Turner</v>
      </c>
      <c r="G443" s="22" t="n">
        <f aca="false">'Amendment Audit'!F133</f>
        <v>46.4</v>
      </c>
      <c r="H443" s="22" t="n">
        <f aca="false">'Amendment Audit'!J133</f>
        <v>0</v>
      </c>
      <c r="I443" s="22" t="str">
        <f aca="false">'Amendment Audit'!L133</f>
        <v>No supplied signed certificate or yard measurement sheet</v>
      </c>
      <c r="J443" s="22" t="str">
        <f aca="false">"Amendment Audit row 133"</f>
        <v>Amendment Audit row 133</v>
      </c>
    </row>
    <row r="444" customFormat="false" ht="15" hidden="false" customHeight="false" outlineLevel="0" collapsed="false">
      <c r="A444" s="22" t="str">
        <f aca="false">'Amendment Audit'!M134</f>
        <v>Priority 2</v>
      </c>
      <c r="B444" s="22" t="s">
        <v>12989</v>
      </c>
      <c r="C444" s="22" t="str">
        <f aca="false">'Amendment Audit'!A134</f>
        <v>AMD-001577</v>
      </c>
      <c r="D444" s="23" t="n">
        <f aca="false">'Amendment Audit'!B134</f>
        <v>45756</v>
      </c>
      <c r="E444" s="22" t="str">
        <f aca="false">'Amendment Audit'!C134</f>
        <v>WL-03646</v>
      </c>
      <c r="F444" s="22" t="str">
        <f aca="false">'Amendment Audit'!D134</f>
        <v>James Grimes</v>
      </c>
      <c r="G444" s="22" t="n">
        <f aca="false">'Amendment Audit'!F134</f>
        <v>28.8</v>
      </c>
      <c r="H444" s="22" t="n">
        <f aca="false">'Amendment Audit'!J134</f>
        <v>0</v>
      </c>
      <c r="I444" s="22" t="str">
        <f aca="false">'Amendment Audit'!L134</f>
        <v>No supplied signed certificate or yard measurement sheet</v>
      </c>
      <c r="J444" s="22" t="str">
        <f aca="false">"Amendment Audit row 134"</f>
        <v>Amendment Audit row 134</v>
      </c>
    </row>
    <row r="445" customFormat="false" ht="15" hidden="false" customHeight="false" outlineLevel="0" collapsed="false">
      <c r="A445" s="22" t="str">
        <f aca="false">'Amendment Audit'!M135</f>
        <v>Priority 2</v>
      </c>
      <c r="B445" s="22" t="s">
        <v>12989</v>
      </c>
      <c r="C445" s="22" t="str">
        <f aca="false">'Amendment Audit'!A135</f>
        <v>AMD-001591</v>
      </c>
      <c r="D445" s="23" t="n">
        <f aca="false">'Amendment Audit'!B135</f>
        <v>45765</v>
      </c>
      <c r="E445" s="22" t="str">
        <f aca="false">'Amendment Audit'!C135</f>
        <v>WL-02821</v>
      </c>
      <c r="F445" s="22" t="str">
        <f aca="false">'Amendment Audit'!D135</f>
        <v>Benjamin Smith</v>
      </c>
      <c r="G445" s="22" t="n">
        <f aca="false">'Amendment Audit'!F135</f>
        <v>48.5</v>
      </c>
      <c r="H445" s="22" t="n">
        <f aca="false">'Amendment Audit'!J135</f>
        <v>0</v>
      </c>
      <c r="I445" s="22" t="str">
        <f aca="false">'Amendment Audit'!L135</f>
        <v>No supplied signed certificate or yard measurement sheet</v>
      </c>
      <c r="J445" s="22" t="str">
        <f aca="false">"Amendment Audit row 135"</f>
        <v>Amendment Audit row 135</v>
      </c>
    </row>
    <row r="446" customFormat="false" ht="15" hidden="false" customHeight="false" outlineLevel="0" collapsed="false">
      <c r="A446" s="22" t="str">
        <f aca="false">'Amendment Audit'!M136</f>
        <v>Priority 2</v>
      </c>
      <c r="B446" s="22" t="s">
        <v>12989</v>
      </c>
      <c r="C446" s="22" t="str">
        <f aca="false">'Amendment Audit'!A136</f>
        <v>AMD-001597</v>
      </c>
      <c r="D446" s="23" t="n">
        <f aca="false">'Amendment Audit'!B136</f>
        <v>45770</v>
      </c>
      <c r="E446" s="22" t="str">
        <f aca="false">'Amendment Audit'!C136</f>
        <v>WL-03413</v>
      </c>
      <c r="F446" s="22" t="str">
        <f aca="false">'Amendment Audit'!D136</f>
        <v>Timothy Moran</v>
      </c>
      <c r="G446" s="22" t="n">
        <f aca="false">'Amendment Audit'!F136</f>
        <v>34.4</v>
      </c>
      <c r="H446" s="22" t="n">
        <f aca="false">'Amendment Audit'!J136</f>
        <v>0</v>
      </c>
      <c r="I446" s="22" t="str">
        <f aca="false">'Amendment Audit'!L136</f>
        <v>No supplied signed certificate or yard measurement sheet</v>
      </c>
      <c r="J446" s="22" t="str">
        <f aca="false">"Amendment Audit row 136"</f>
        <v>Amendment Audit row 136</v>
      </c>
    </row>
    <row r="447" customFormat="false" ht="15" hidden="false" customHeight="false" outlineLevel="0" collapsed="false">
      <c r="A447" s="22" t="str">
        <f aca="false">'Amendment Audit'!M137</f>
        <v>Priority 2</v>
      </c>
      <c r="B447" s="22" t="s">
        <v>12989</v>
      </c>
      <c r="C447" s="22" t="str">
        <f aca="false">'Amendment Audit'!A137</f>
        <v>AMD-001598</v>
      </c>
      <c r="D447" s="23" t="n">
        <f aca="false">'Amendment Audit'!B137</f>
        <v>45770</v>
      </c>
      <c r="E447" s="22" t="str">
        <f aca="false">'Amendment Audit'!C137</f>
        <v>WL-03035</v>
      </c>
      <c r="F447" s="22" t="str">
        <f aca="false">'Amendment Audit'!D137</f>
        <v>Robert Osborn</v>
      </c>
      <c r="G447" s="22" t="n">
        <f aca="false">'Amendment Audit'!F137</f>
        <v>27</v>
      </c>
      <c r="H447" s="22" t="n">
        <f aca="false">'Amendment Audit'!J137</f>
        <v>0</v>
      </c>
      <c r="I447" s="22" t="str">
        <f aca="false">'Amendment Audit'!L137</f>
        <v>No supplied signed certificate or yard measurement sheet</v>
      </c>
      <c r="J447" s="22" t="str">
        <f aca="false">"Amendment Audit row 137"</f>
        <v>Amendment Audit row 137</v>
      </c>
    </row>
    <row r="448" customFormat="false" ht="15" hidden="false" customHeight="false" outlineLevel="0" collapsed="false">
      <c r="A448" s="22" t="str">
        <f aca="false">'Amendment Audit'!M138</f>
        <v>Priority 2</v>
      </c>
      <c r="B448" s="22" t="s">
        <v>12989</v>
      </c>
      <c r="C448" s="22" t="str">
        <f aca="false">'Amendment Audit'!A138</f>
        <v>AMD-001604</v>
      </c>
      <c r="D448" s="23" t="n">
        <f aca="false">'Amendment Audit'!B138</f>
        <v>45773</v>
      </c>
      <c r="E448" s="22" t="str">
        <f aca="false">'Amendment Audit'!C138</f>
        <v>WL-03135</v>
      </c>
      <c r="F448" s="22" t="str">
        <f aca="false">'Amendment Audit'!D138</f>
        <v>Mallory Rodgers</v>
      </c>
      <c r="G448" s="22" t="n">
        <f aca="false">'Amendment Audit'!F138</f>
        <v>31.7</v>
      </c>
      <c r="H448" s="22" t="n">
        <f aca="false">'Amendment Audit'!J138</f>
        <v>0</v>
      </c>
      <c r="I448" s="22" t="str">
        <f aca="false">'Amendment Audit'!L138</f>
        <v>No supplied signed certificate or yard measurement sheet</v>
      </c>
      <c r="J448" s="22" t="str">
        <f aca="false">"Amendment Audit row 138"</f>
        <v>Amendment Audit row 138</v>
      </c>
    </row>
    <row r="449" customFormat="false" ht="15" hidden="false" customHeight="false" outlineLevel="0" collapsed="false">
      <c r="A449" s="22" t="str">
        <f aca="false">'Amendment Audit'!M139</f>
        <v>Priority 2</v>
      </c>
      <c r="B449" s="22" t="s">
        <v>12989</v>
      </c>
      <c r="C449" s="22" t="str">
        <f aca="false">'Amendment Audit'!A139</f>
        <v>AMD-001606</v>
      </c>
      <c r="D449" s="23" t="n">
        <f aca="false">'Amendment Audit'!B139</f>
        <v>45775</v>
      </c>
      <c r="E449" s="22" t="str">
        <f aca="false">'Amendment Audit'!C139</f>
        <v>WL-02090</v>
      </c>
      <c r="F449" s="22" t="str">
        <f aca="false">'Amendment Audit'!D139</f>
        <v>Rita Lyons</v>
      </c>
      <c r="G449" s="22" t="n">
        <f aca="false">'Amendment Audit'!F139</f>
        <v>18.1</v>
      </c>
      <c r="H449" s="22" t="n">
        <f aca="false">'Amendment Audit'!J139</f>
        <v>0</v>
      </c>
      <c r="I449" s="22" t="str">
        <f aca="false">'Amendment Audit'!L139</f>
        <v>No supplied signed certificate or yard measurement sheet</v>
      </c>
      <c r="J449" s="22" t="str">
        <f aca="false">"Amendment Audit row 139"</f>
        <v>Amendment Audit row 139</v>
      </c>
    </row>
    <row r="450" customFormat="false" ht="15" hidden="false" customHeight="false" outlineLevel="0" collapsed="false">
      <c r="A450" s="22" t="str">
        <f aca="false">'Amendment Audit'!M140</f>
        <v>Priority 2</v>
      </c>
      <c r="B450" s="22" t="s">
        <v>12989</v>
      </c>
      <c r="C450" s="22" t="str">
        <f aca="false">'Amendment Audit'!A140</f>
        <v>AMD-001608</v>
      </c>
      <c r="D450" s="23" t="n">
        <f aca="false">'Amendment Audit'!B140</f>
        <v>45778</v>
      </c>
      <c r="E450" s="22" t="str">
        <f aca="false">'Amendment Audit'!C140</f>
        <v>WL-02816</v>
      </c>
      <c r="F450" s="22" t="str">
        <f aca="false">'Amendment Audit'!D140</f>
        <v>Joel Chang</v>
      </c>
      <c r="G450" s="22" t="n">
        <f aca="false">'Amendment Audit'!F140</f>
        <v>40.4</v>
      </c>
      <c r="H450" s="22" t="n">
        <f aca="false">'Amendment Audit'!J140</f>
        <v>0</v>
      </c>
      <c r="I450" s="22" t="str">
        <f aca="false">'Amendment Audit'!L140</f>
        <v>No supplied signed certificate or yard measurement sheet</v>
      </c>
      <c r="J450" s="22" t="str">
        <f aca="false">"Amendment Audit row 140"</f>
        <v>Amendment Audit row 140</v>
      </c>
    </row>
    <row r="451" customFormat="false" ht="15" hidden="false" customHeight="false" outlineLevel="0" collapsed="false">
      <c r="A451" s="22" t="str">
        <f aca="false">'Amendment Audit'!M141</f>
        <v>Priority 2</v>
      </c>
      <c r="B451" s="22" t="s">
        <v>12989</v>
      </c>
      <c r="C451" s="22" t="str">
        <f aca="false">'Amendment Audit'!A141</f>
        <v>AMD-001620</v>
      </c>
      <c r="D451" s="23" t="n">
        <f aca="false">'Amendment Audit'!B141</f>
        <v>45783</v>
      </c>
      <c r="E451" s="22" t="str">
        <f aca="false">'Amendment Audit'!C141</f>
        <v>WL-01328</v>
      </c>
      <c r="F451" s="22" t="str">
        <f aca="false">'Amendment Audit'!D141</f>
        <v>Charles Solis</v>
      </c>
      <c r="G451" s="22" t="n">
        <f aca="false">'Amendment Audit'!F141</f>
        <v>43</v>
      </c>
      <c r="H451" s="22" t="n">
        <f aca="false">'Amendment Audit'!J141</f>
        <v>0</v>
      </c>
      <c r="I451" s="22" t="str">
        <f aca="false">'Amendment Audit'!L141</f>
        <v>No supplied signed certificate or yard measurement sheet</v>
      </c>
      <c r="J451" s="22" t="str">
        <f aca="false">"Amendment Audit row 141"</f>
        <v>Amendment Audit row 141</v>
      </c>
    </row>
    <row r="452" customFormat="false" ht="15" hidden="false" customHeight="false" outlineLevel="0" collapsed="false">
      <c r="A452" s="22" t="str">
        <f aca="false">'Amendment Audit'!M142</f>
        <v>Priority 2</v>
      </c>
      <c r="B452" s="22" t="s">
        <v>12989</v>
      </c>
      <c r="C452" s="22" t="str">
        <f aca="false">'Amendment Audit'!A142</f>
        <v>AMD-001635</v>
      </c>
      <c r="D452" s="23" t="n">
        <f aca="false">'Amendment Audit'!B142</f>
        <v>45793</v>
      </c>
      <c r="E452" s="22" t="str">
        <f aca="false">'Amendment Audit'!C142</f>
        <v>WL-03261</v>
      </c>
      <c r="F452" s="22" t="str">
        <f aca="false">'Amendment Audit'!D142</f>
        <v>Eric Wright</v>
      </c>
      <c r="G452" s="22" t="n">
        <f aca="false">'Amendment Audit'!F142</f>
        <v>47.6</v>
      </c>
      <c r="H452" s="22" t="n">
        <f aca="false">'Amendment Audit'!J142</f>
        <v>0</v>
      </c>
      <c r="I452" s="22" t="str">
        <f aca="false">'Amendment Audit'!L142</f>
        <v>No supplied signed certificate or yard measurement sheet</v>
      </c>
      <c r="J452" s="22" t="str">
        <f aca="false">"Amendment Audit row 142"</f>
        <v>Amendment Audit row 142</v>
      </c>
    </row>
    <row r="453" customFormat="false" ht="15" hidden="false" customHeight="false" outlineLevel="0" collapsed="false">
      <c r="A453" s="22" t="str">
        <f aca="false">'Amendment Audit'!M143</f>
        <v>Priority 2</v>
      </c>
      <c r="B453" s="22" t="s">
        <v>12989</v>
      </c>
      <c r="C453" s="22" t="str">
        <f aca="false">'Amendment Audit'!A143</f>
        <v>AMD-001646</v>
      </c>
      <c r="D453" s="23" t="n">
        <f aca="false">'Amendment Audit'!B143</f>
        <v>45800</v>
      </c>
      <c r="E453" s="22" t="str">
        <f aca="false">'Amendment Audit'!C143</f>
        <v>WL-01993</v>
      </c>
      <c r="F453" s="22" t="str">
        <f aca="false">'Amendment Audit'!D143</f>
        <v>Nichole Hudson</v>
      </c>
      <c r="G453" s="22" t="n">
        <f aca="false">'Amendment Audit'!F143</f>
        <v>20.3</v>
      </c>
      <c r="H453" s="22" t="n">
        <f aca="false">'Amendment Audit'!J143</f>
        <v>0</v>
      </c>
      <c r="I453" s="22" t="str">
        <f aca="false">'Amendment Audit'!L143</f>
        <v>No supplied signed certificate or yard measurement sheet</v>
      </c>
      <c r="J453" s="22" t="str">
        <f aca="false">"Amendment Audit row 143"</f>
        <v>Amendment Audit row 143</v>
      </c>
    </row>
    <row r="454" customFormat="false" ht="15" hidden="false" customHeight="false" outlineLevel="0" collapsed="false">
      <c r="A454" s="22" t="str">
        <f aca="false">'Amendment Audit'!M144</f>
        <v>Priority 2</v>
      </c>
      <c r="B454" s="22" t="s">
        <v>12989</v>
      </c>
      <c r="C454" s="22" t="str">
        <f aca="false">'Amendment Audit'!A144</f>
        <v>AMD-001647</v>
      </c>
      <c r="D454" s="23" t="n">
        <f aca="false">'Amendment Audit'!B144</f>
        <v>45800</v>
      </c>
      <c r="E454" s="22" t="str">
        <f aca="false">'Amendment Audit'!C144</f>
        <v>WL-02083</v>
      </c>
      <c r="F454" s="22" t="str">
        <f aca="false">'Amendment Audit'!D144</f>
        <v>Brandon Choi</v>
      </c>
      <c r="G454" s="22" t="n">
        <f aca="false">'Amendment Audit'!F144</f>
        <v>35</v>
      </c>
      <c r="H454" s="22" t="n">
        <f aca="false">'Amendment Audit'!J144</f>
        <v>0</v>
      </c>
      <c r="I454" s="22" t="str">
        <f aca="false">'Amendment Audit'!L144</f>
        <v>No supplied signed certificate or yard measurement sheet</v>
      </c>
      <c r="J454" s="22" t="str">
        <f aca="false">"Amendment Audit row 144"</f>
        <v>Amendment Audit row 144</v>
      </c>
    </row>
    <row r="455" customFormat="false" ht="15" hidden="false" customHeight="false" outlineLevel="0" collapsed="false">
      <c r="A455" s="22" t="str">
        <f aca="false">'Amendment Audit'!M145</f>
        <v>Priority 2</v>
      </c>
      <c r="B455" s="22" t="s">
        <v>12989</v>
      </c>
      <c r="C455" s="22" t="str">
        <f aca="false">'Amendment Audit'!A145</f>
        <v>AMD-001655</v>
      </c>
      <c r="D455" s="23" t="n">
        <f aca="false">'Amendment Audit'!B145</f>
        <v>45803</v>
      </c>
      <c r="E455" s="22" t="str">
        <f aca="false">'Amendment Audit'!C145</f>
        <v>WL-03503</v>
      </c>
      <c r="F455" s="22" t="str">
        <f aca="false">'Amendment Audit'!D145</f>
        <v>Shelly Elliott</v>
      </c>
      <c r="G455" s="22" t="n">
        <f aca="false">'Amendment Audit'!F145</f>
        <v>48.2</v>
      </c>
      <c r="H455" s="22" t="n">
        <f aca="false">'Amendment Audit'!J145</f>
        <v>0</v>
      </c>
      <c r="I455" s="22" t="str">
        <f aca="false">'Amendment Audit'!L145</f>
        <v>No supplied signed certificate or yard measurement sheet</v>
      </c>
      <c r="J455" s="22" t="str">
        <f aca="false">"Amendment Audit row 145"</f>
        <v>Amendment Audit row 145</v>
      </c>
    </row>
    <row r="456" customFormat="false" ht="15" hidden="false" customHeight="false" outlineLevel="0" collapsed="false">
      <c r="A456" s="22" t="str">
        <f aca="false">'Amendment Audit'!M146</f>
        <v>Priority 2</v>
      </c>
      <c r="B456" s="22" t="s">
        <v>12989</v>
      </c>
      <c r="C456" s="22" t="str">
        <f aca="false">'Amendment Audit'!A146</f>
        <v>AMD-001659</v>
      </c>
      <c r="D456" s="23" t="n">
        <f aca="false">'Amendment Audit'!B146</f>
        <v>45804</v>
      </c>
      <c r="E456" s="22" t="str">
        <f aca="false">'Amendment Audit'!C146</f>
        <v>WL-01977</v>
      </c>
      <c r="F456" s="22" t="str">
        <f aca="false">'Amendment Audit'!D146</f>
        <v>Adam Warner</v>
      </c>
      <c r="G456" s="22" t="n">
        <f aca="false">'Amendment Audit'!F146</f>
        <v>23.3</v>
      </c>
      <c r="H456" s="22" t="n">
        <f aca="false">'Amendment Audit'!J146</f>
        <v>0</v>
      </c>
      <c r="I456" s="22" t="str">
        <f aca="false">'Amendment Audit'!L146</f>
        <v>No supplied signed certificate or yard measurement sheet</v>
      </c>
      <c r="J456" s="22" t="str">
        <f aca="false">"Amendment Audit row 146"</f>
        <v>Amendment Audit row 146</v>
      </c>
    </row>
    <row r="457" customFormat="false" ht="15" hidden="false" customHeight="false" outlineLevel="0" collapsed="false">
      <c r="A457" s="22" t="str">
        <f aca="false">'Amendment Audit'!M147</f>
        <v>Priority 2</v>
      </c>
      <c r="B457" s="22" t="s">
        <v>12989</v>
      </c>
      <c r="C457" s="22" t="str">
        <f aca="false">'Amendment Audit'!A147</f>
        <v>AMD-001681</v>
      </c>
      <c r="D457" s="23" t="n">
        <f aca="false">'Amendment Audit'!B147</f>
        <v>45826</v>
      </c>
      <c r="E457" s="22" t="str">
        <f aca="false">'Amendment Audit'!C147</f>
        <v>WL-01556</v>
      </c>
      <c r="F457" s="22" t="str">
        <f aca="false">'Amendment Audit'!D147</f>
        <v>Christopher Russell</v>
      </c>
      <c r="G457" s="22" t="n">
        <f aca="false">'Amendment Audit'!F147</f>
        <v>27.3</v>
      </c>
      <c r="H457" s="22" t="n">
        <f aca="false">'Amendment Audit'!J147</f>
        <v>0</v>
      </c>
      <c r="I457" s="22" t="str">
        <f aca="false">'Amendment Audit'!L147</f>
        <v>No supplied signed certificate or yard measurement sheet</v>
      </c>
      <c r="J457" s="22" t="str">
        <f aca="false">"Amendment Audit row 147"</f>
        <v>Amendment Audit row 147</v>
      </c>
    </row>
    <row r="458" customFormat="false" ht="15" hidden="false" customHeight="false" outlineLevel="0" collapsed="false">
      <c r="A458" s="22" t="str">
        <f aca="false">'Amendment Audit'!M148</f>
        <v>Priority 2</v>
      </c>
      <c r="B458" s="22" t="s">
        <v>12989</v>
      </c>
      <c r="C458" s="22" t="str">
        <f aca="false">'Amendment Audit'!A148</f>
        <v>AMD-001691</v>
      </c>
      <c r="D458" s="23" t="n">
        <f aca="false">'Amendment Audit'!B148</f>
        <v>45833</v>
      </c>
      <c r="E458" s="22" t="str">
        <f aca="false">'Amendment Audit'!C148</f>
        <v>WL-02109</v>
      </c>
      <c r="F458" s="22" t="str">
        <f aca="false">'Amendment Audit'!D148</f>
        <v>Leah Flynn</v>
      </c>
      <c r="G458" s="22" t="n">
        <f aca="false">'Amendment Audit'!F148</f>
        <v>30.9</v>
      </c>
      <c r="H458" s="22" t="n">
        <f aca="false">'Amendment Audit'!J148</f>
        <v>0</v>
      </c>
      <c r="I458" s="22" t="str">
        <f aca="false">'Amendment Audit'!L148</f>
        <v>No supplied signed certificate or yard measurement sheet</v>
      </c>
      <c r="J458" s="22" t="str">
        <f aca="false">"Amendment Audit row 148"</f>
        <v>Amendment Audit row 148</v>
      </c>
    </row>
    <row r="459" customFormat="false" ht="15" hidden="false" customHeight="false" outlineLevel="0" collapsed="false">
      <c r="A459" s="22" t="str">
        <f aca="false">'Amendment Audit'!M149</f>
        <v>Priority 2</v>
      </c>
      <c r="B459" s="22" t="s">
        <v>12989</v>
      </c>
      <c r="C459" s="22" t="str">
        <f aca="false">'Amendment Audit'!A149</f>
        <v>AMD-001695</v>
      </c>
      <c r="D459" s="23" t="n">
        <f aca="false">'Amendment Audit'!B149</f>
        <v>45834</v>
      </c>
      <c r="E459" s="22" t="str">
        <f aca="false">'Amendment Audit'!C149</f>
        <v>WL-02213</v>
      </c>
      <c r="F459" s="22" t="str">
        <f aca="false">'Amendment Audit'!D149</f>
        <v>Thomas Miller</v>
      </c>
      <c r="G459" s="22" t="n">
        <f aca="false">'Amendment Audit'!F149</f>
        <v>52</v>
      </c>
      <c r="H459" s="22" t="n">
        <f aca="false">'Amendment Audit'!J149</f>
        <v>0</v>
      </c>
      <c r="I459" s="22" t="str">
        <f aca="false">'Amendment Audit'!L149</f>
        <v>No supplied signed certificate or yard measurement sheet</v>
      </c>
      <c r="J459" s="22" t="str">
        <f aca="false">"Amendment Audit row 149"</f>
        <v>Amendment Audit row 149</v>
      </c>
    </row>
    <row r="460" customFormat="false" ht="15" hidden="false" customHeight="false" outlineLevel="0" collapsed="false">
      <c r="A460" s="22" t="str">
        <f aca="false">'Amendment Audit'!M150</f>
        <v>Priority 2</v>
      </c>
      <c r="B460" s="22" t="s">
        <v>12989</v>
      </c>
      <c r="C460" s="22" t="str">
        <f aca="false">'Amendment Audit'!A150</f>
        <v>AMD-001700</v>
      </c>
      <c r="D460" s="23" t="n">
        <f aca="false">'Amendment Audit'!B150</f>
        <v>45838</v>
      </c>
      <c r="E460" s="22" t="str">
        <f aca="false">'Amendment Audit'!C150</f>
        <v>WL-01474</v>
      </c>
      <c r="F460" s="22" t="str">
        <f aca="false">'Amendment Audit'!D150</f>
        <v>Alexis Barker</v>
      </c>
      <c r="G460" s="22" t="n">
        <f aca="false">'Amendment Audit'!F150</f>
        <v>40.2</v>
      </c>
      <c r="H460" s="22" t="n">
        <f aca="false">'Amendment Audit'!J150</f>
        <v>0</v>
      </c>
      <c r="I460" s="22" t="str">
        <f aca="false">'Amendment Audit'!L150</f>
        <v>No supplied signed certificate or yard measurement sheet</v>
      </c>
      <c r="J460" s="22" t="str">
        <f aca="false">"Amendment Audit row 150"</f>
        <v>Amendment Audit row 150</v>
      </c>
    </row>
    <row r="461" customFormat="false" ht="15" hidden="false" customHeight="false" outlineLevel="0" collapsed="false">
      <c r="A461" s="22" t="str">
        <f aca="false">'Amendment Audit'!M152</f>
        <v>Priority 2</v>
      </c>
      <c r="B461" s="22" t="s">
        <v>12989</v>
      </c>
      <c r="C461" s="22" t="str">
        <f aca="false">'Amendment Audit'!A152</f>
        <v>AMD-001705</v>
      </c>
      <c r="D461" s="23" t="n">
        <f aca="false">'Amendment Audit'!B152</f>
        <v>45842</v>
      </c>
      <c r="E461" s="22" t="str">
        <f aca="false">'Amendment Audit'!C152</f>
        <v>WL-03031</v>
      </c>
      <c r="F461" s="22" t="str">
        <f aca="false">'Amendment Audit'!D152</f>
        <v>Kevin House</v>
      </c>
      <c r="G461" s="22" t="n">
        <f aca="false">'Amendment Audit'!F152</f>
        <v>41.7</v>
      </c>
      <c r="H461" s="22" t="n">
        <f aca="false">'Amendment Audit'!J152</f>
        <v>0</v>
      </c>
      <c r="I461" s="22" t="str">
        <f aca="false">'Amendment Audit'!L152</f>
        <v>No supplied signed certificate or yard measurement sheet</v>
      </c>
      <c r="J461" s="22" t="str">
        <f aca="false">"Amendment Audit row 152"</f>
        <v>Amendment Audit row 152</v>
      </c>
    </row>
    <row r="462" customFormat="false" ht="15" hidden="false" customHeight="false" outlineLevel="0" collapsed="false">
      <c r="A462" s="22" t="str">
        <f aca="false">'Amendment Audit'!M153</f>
        <v>Priority 2</v>
      </c>
      <c r="B462" s="22" t="s">
        <v>12989</v>
      </c>
      <c r="C462" s="22" t="str">
        <f aca="false">'Amendment Audit'!A153</f>
        <v>AMD-001727</v>
      </c>
      <c r="D462" s="23" t="n">
        <f aca="false">'Amendment Audit'!B153</f>
        <v>45861</v>
      </c>
      <c r="E462" s="22" t="str">
        <f aca="false">'Amendment Audit'!C153</f>
        <v>WL-02506</v>
      </c>
      <c r="F462" s="22" t="str">
        <f aca="false">'Amendment Audit'!D153</f>
        <v>Maria Fernandez</v>
      </c>
      <c r="G462" s="22" t="n">
        <f aca="false">'Amendment Audit'!F153</f>
        <v>28.5</v>
      </c>
      <c r="H462" s="22" t="n">
        <f aca="false">'Amendment Audit'!J153</f>
        <v>0</v>
      </c>
      <c r="I462" s="22" t="str">
        <f aca="false">'Amendment Audit'!L153</f>
        <v>No supplied signed certificate or yard measurement sheet</v>
      </c>
      <c r="J462" s="22" t="str">
        <f aca="false">"Amendment Audit row 153"</f>
        <v>Amendment Audit row 153</v>
      </c>
    </row>
    <row r="463" customFormat="false" ht="15" hidden="false" customHeight="false" outlineLevel="0" collapsed="false">
      <c r="A463" s="22" t="str">
        <f aca="false">'Amendment Audit'!M154</f>
        <v>Priority 2</v>
      </c>
      <c r="B463" s="22" t="s">
        <v>12989</v>
      </c>
      <c r="C463" s="22" t="str">
        <f aca="false">'Amendment Audit'!A154</f>
        <v>AMD-001749</v>
      </c>
      <c r="D463" s="23" t="n">
        <f aca="false">'Amendment Audit'!B154</f>
        <v>45878</v>
      </c>
      <c r="E463" s="22" t="str">
        <f aca="false">'Amendment Audit'!C154</f>
        <v>WL-01867</v>
      </c>
      <c r="F463" s="22" t="str">
        <f aca="false">'Amendment Audit'!D154</f>
        <v>Andrea Evans</v>
      </c>
      <c r="G463" s="22" t="n">
        <f aca="false">'Amendment Audit'!F154</f>
        <v>49.3</v>
      </c>
      <c r="H463" s="22" t="n">
        <f aca="false">'Amendment Audit'!J154</f>
        <v>0</v>
      </c>
      <c r="I463" s="22" t="str">
        <f aca="false">'Amendment Audit'!L154</f>
        <v>No supplied signed certificate or yard measurement sheet</v>
      </c>
      <c r="J463" s="22" t="str">
        <f aca="false">"Amendment Audit row 154"</f>
        <v>Amendment Audit row 154</v>
      </c>
    </row>
    <row r="464" customFormat="false" ht="15" hidden="false" customHeight="false" outlineLevel="0" collapsed="false">
      <c r="A464" s="22" t="str">
        <f aca="false">'Amendment Audit'!M155</f>
        <v>Priority 2</v>
      </c>
      <c r="B464" s="22" t="s">
        <v>12989</v>
      </c>
      <c r="C464" s="22" t="str">
        <f aca="false">'Amendment Audit'!A155</f>
        <v>AMD-001778</v>
      </c>
      <c r="D464" s="23" t="n">
        <f aca="false">'Amendment Audit'!B155</f>
        <v>45903</v>
      </c>
      <c r="E464" s="22" t="str">
        <f aca="false">'Amendment Audit'!C155</f>
        <v>WL-02031</v>
      </c>
      <c r="F464" s="22" t="str">
        <f aca="false">'Amendment Audit'!D155</f>
        <v>Joseph Bishop</v>
      </c>
      <c r="G464" s="22" t="n">
        <f aca="false">'Amendment Audit'!F155</f>
        <v>22.1</v>
      </c>
      <c r="H464" s="22" t="n">
        <f aca="false">'Amendment Audit'!J155</f>
        <v>0</v>
      </c>
      <c r="I464" s="22" t="str">
        <f aca="false">'Amendment Audit'!L155</f>
        <v>No supplied signed certificate or yard measurement sheet</v>
      </c>
      <c r="J464" s="22" t="str">
        <f aca="false">"Amendment Audit row 155"</f>
        <v>Amendment Audit row 155</v>
      </c>
    </row>
    <row r="465" customFormat="false" ht="15" hidden="false" customHeight="false" outlineLevel="0" collapsed="false">
      <c r="A465" s="22" t="str">
        <f aca="false">'Amendment Audit'!M156</f>
        <v>Priority 2</v>
      </c>
      <c r="B465" s="22" t="s">
        <v>12989</v>
      </c>
      <c r="C465" s="22" t="str">
        <f aca="false">'Amendment Audit'!A156</f>
        <v>AMD-001779</v>
      </c>
      <c r="D465" s="23" t="n">
        <f aca="false">'Amendment Audit'!B156</f>
        <v>45903</v>
      </c>
      <c r="E465" s="22" t="str">
        <f aca="false">'Amendment Audit'!C156</f>
        <v>WL-01603</v>
      </c>
      <c r="F465" s="22" t="str">
        <f aca="false">'Amendment Audit'!D156</f>
        <v>Lauren Smith</v>
      </c>
      <c r="G465" s="22" t="n">
        <f aca="false">'Amendment Audit'!F156</f>
        <v>34</v>
      </c>
      <c r="H465" s="22" t="n">
        <f aca="false">'Amendment Audit'!J156</f>
        <v>0</v>
      </c>
      <c r="I465" s="22" t="str">
        <f aca="false">'Amendment Audit'!L156</f>
        <v>No supplied signed certificate or yard measurement sheet</v>
      </c>
      <c r="J465" s="22" t="str">
        <f aca="false">"Amendment Audit row 156"</f>
        <v>Amendment Audit row 156</v>
      </c>
    </row>
    <row r="466" customFormat="false" ht="15" hidden="false" customHeight="false" outlineLevel="0" collapsed="false">
      <c r="A466" s="22" t="str">
        <f aca="false">'Amendment Audit'!M157</f>
        <v>Priority 2</v>
      </c>
      <c r="B466" s="22" t="s">
        <v>12989</v>
      </c>
      <c r="C466" s="22" t="str">
        <f aca="false">'Amendment Audit'!A157</f>
        <v>AMD-001799</v>
      </c>
      <c r="D466" s="23" t="n">
        <f aca="false">'Amendment Audit'!B157</f>
        <v>45915</v>
      </c>
      <c r="E466" s="22" t="str">
        <f aca="false">'Amendment Audit'!C157</f>
        <v>WL-03292</v>
      </c>
      <c r="F466" s="22" t="str">
        <f aca="false">'Amendment Audit'!D157</f>
        <v>Vincent Hanson</v>
      </c>
      <c r="G466" s="22" t="n">
        <f aca="false">'Amendment Audit'!F157</f>
        <v>47.9</v>
      </c>
      <c r="H466" s="22" t="n">
        <f aca="false">'Amendment Audit'!J157</f>
        <v>0</v>
      </c>
      <c r="I466" s="22" t="str">
        <f aca="false">'Amendment Audit'!L157</f>
        <v>No supplied signed certificate or yard measurement sheet</v>
      </c>
      <c r="J466" s="22" t="str">
        <f aca="false">"Amendment Audit row 157"</f>
        <v>Amendment Audit row 157</v>
      </c>
    </row>
    <row r="467" customFormat="false" ht="15" hidden="false" customHeight="false" outlineLevel="0" collapsed="false">
      <c r="A467" s="22" t="str">
        <f aca="false">'Amendment Audit'!M158</f>
        <v>Priority 2</v>
      </c>
      <c r="B467" s="22" t="s">
        <v>12989</v>
      </c>
      <c r="C467" s="22" t="str">
        <f aca="false">'Amendment Audit'!A158</f>
        <v>AMD-001803</v>
      </c>
      <c r="D467" s="23" t="n">
        <f aca="false">'Amendment Audit'!B158</f>
        <v>45917</v>
      </c>
      <c r="E467" s="22" t="str">
        <f aca="false">'Amendment Audit'!C158</f>
        <v>WL-01275</v>
      </c>
      <c r="F467" s="22" t="str">
        <f aca="false">'Amendment Audit'!D158</f>
        <v>Adam Shepherd</v>
      </c>
      <c r="G467" s="22" t="n">
        <f aca="false">'Amendment Audit'!F158</f>
        <v>51.7</v>
      </c>
      <c r="H467" s="22" t="n">
        <f aca="false">'Amendment Audit'!J158</f>
        <v>0</v>
      </c>
      <c r="I467" s="22" t="str">
        <f aca="false">'Amendment Audit'!L158</f>
        <v>No supplied signed certificate or yard measurement sheet</v>
      </c>
      <c r="J467" s="22" t="str">
        <f aca="false">"Amendment Audit row 158"</f>
        <v>Amendment Audit row 158</v>
      </c>
    </row>
    <row r="468" customFormat="false" ht="15" hidden="false" customHeight="false" outlineLevel="0" collapsed="false">
      <c r="A468" s="22" t="str">
        <f aca="false">'Amendment Audit'!M159</f>
        <v>Priority 2</v>
      </c>
      <c r="B468" s="22" t="s">
        <v>12989</v>
      </c>
      <c r="C468" s="22" t="str">
        <f aca="false">'Amendment Audit'!A159</f>
        <v>AMD-001820</v>
      </c>
      <c r="D468" s="23" t="n">
        <f aca="false">'Amendment Audit'!B159</f>
        <v>45936</v>
      </c>
      <c r="E468" s="22" t="str">
        <f aca="false">'Amendment Audit'!C159</f>
        <v>WL-01357</v>
      </c>
      <c r="F468" s="22" t="str">
        <f aca="false">'Amendment Audit'!D159</f>
        <v>Cody Rose</v>
      </c>
      <c r="G468" s="22" t="n">
        <f aca="false">'Amendment Audit'!F159</f>
        <v>55.6</v>
      </c>
      <c r="H468" s="22" t="n">
        <f aca="false">'Amendment Audit'!J159</f>
        <v>0</v>
      </c>
      <c r="I468" s="22" t="str">
        <f aca="false">'Amendment Audit'!L159</f>
        <v>No supplied signed certificate or yard measurement sheet</v>
      </c>
      <c r="J468" s="22" t="str">
        <f aca="false">"Amendment Audit row 159"</f>
        <v>Amendment Audit row 159</v>
      </c>
    </row>
    <row r="469" customFormat="false" ht="15" hidden="false" customHeight="false" outlineLevel="0" collapsed="false">
      <c r="A469" s="22" t="str">
        <f aca="false">'Amendment Audit'!M160</f>
        <v>Priority 2</v>
      </c>
      <c r="B469" s="22" t="s">
        <v>12989</v>
      </c>
      <c r="C469" s="22" t="str">
        <f aca="false">'Amendment Audit'!A160</f>
        <v>AMD-001821</v>
      </c>
      <c r="D469" s="23" t="n">
        <f aca="false">'Amendment Audit'!B160</f>
        <v>45937</v>
      </c>
      <c r="E469" s="22" t="str">
        <f aca="false">'Amendment Audit'!C160</f>
        <v>WL-01113</v>
      </c>
      <c r="F469" s="22" t="str">
        <f aca="false">'Amendment Audit'!D160</f>
        <v>Ronnie Lee</v>
      </c>
      <c r="G469" s="22" t="n">
        <f aca="false">'Amendment Audit'!F160</f>
        <v>56.3</v>
      </c>
      <c r="H469" s="22" t="n">
        <f aca="false">'Amendment Audit'!J160</f>
        <v>0</v>
      </c>
      <c r="I469" s="22" t="str">
        <f aca="false">'Amendment Audit'!L160</f>
        <v>No supplied signed certificate or yard measurement sheet</v>
      </c>
      <c r="J469" s="22" t="str">
        <f aca="false">"Amendment Audit row 160"</f>
        <v>Amendment Audit row 160</v>
      </c>
    </row>
    <row r="470" customFormat="false" ht="15" hidden="false" customHeight="false" outlineLevel="0" collapsed="false">
      <c r="A470" s="22" t="str">
        <f aca="false">'Amendment Audit'!M161</f>
        <v>Priority 2</v>
      </c>
      <c r="B470" s="22" t="s">
        <v>12989</v>
      </c>
      <c r="C470" s="22" t="str">
        <f aca="false">'Amendment Audit'!A161</f>
        <v>AMD-001826</v>
      </c>
      <c r="D470" s="23" t="n">
        <f aca="false">'Amendment Audit'!B161</f>
        <v>45941</v>
      </c>
      <c r="E470" s="22" t="str">
        <f aca="false">'Amendment Audit'!C161</f>
        <v>WL-01845</v>
      </c>
      <c r="F470" s="22" t="str">
        <f aca="false">'Amendment Audit'!D161</f>
        <v>Brianna Bush</v>
      </c>
      <c r="G470" s="22" t="n">
        <f aca="false">'Amendment Audit'!F161</f>
        <v>53.2</v>
      </c>
      <c r="H470" s="22" t="n">
        <f aca="false">'Amendment Audit'!J161</f>
        <v>0</v>
      </c>
      <c r="I470" s="22" t="str">
        <f aca="false">'Amendment Audit'!L161</f>
        <v>No supplied signed certificate or yard measurement sheet</v>
      </c>
      <c r="J470" s="22" t="str">
        <f aca="false">"Amendment Audit row 161"</f>
        <v>Amendment Audit row 161</v>
      </c>
    </row>
    <row r="471" customFormat="false" ht="15" hidden="false" customHeight="false" outlineLevel="0" collapsed="false">
      <c r="A471" s="22" t="str">
        <f aca="false">'Amendment Audit'!M162</f>
        <v>Priority 2</v>
      </c>
      <c r="B471" s="22" t="s">
        <v>12989</v>
      </c>
      <c r="C471" s="22" t="str">
        <f aca="false">'Amendment Audit'!A162</f>
        <v>AMD-001830</v>
      </c>
      <c r="D471" s="23" t="n">
        <f aca="false">'Amendment Audit'!B162</f>
        <v>45943</v>
      </c>
      <c r="E471" s="22" t="str">
        <f aca="false">'Amendment Audit'!C162</f>
        <v>WL-01423</v>
      </c>
      <c r="F471" s="22" t="str">
        <f aca="false">'Amendment Audit'!D162</f>
        <v>Emma Mayo</v>
      </c>
      <c r="G471" s="22" t="n">
        <f aca="false">'Amendment Audit'!F162</f>
        <v>27.2</v>
      </c>
      <c r="H471" s="22" t="n">
        <f aca="false">'Amendment Audit'!J162</f>
        <v>0</v>
      </c>
      <c r="I471" s="22" t="str">
        <f aca="false">'Amendment Audit'!L162</f>
        <v>No supplied signed certificate or yard measurement sheet</v>
      </c>
      <c r="J471" s="22" t="str">
        <f aca="false">"Amendment Audit row 162"</f>
        <v>Amendment Audit row 162</v>
      </c>
    </row>
    <row r="472" customFormat="false" ht="15" hidden="false" customHeight="false" outlineLevel="0" collapsed="false">
      <c r="A472" s="22" t="str">
        <f aca="false">'Amendment Audit'!M163</f>
        <v>Priority 2</v>
      </c>
      <c r="B472" s="22" t="s">
        <v>12989</v>
      </c>
      <c r="C472" s="22" t="str">
        <f aca="false">'Amendment Audit'!A163</f>
        <v>AMD-001832</v>
      </c>
      <c r="D472" s="23" t="n">
        <f aca="false">'Amendment Audit'!B163</f>
        <v>45944</v>
      </c>
      <c r="E472" s="22" t="str">
        <f aca="false">'Amendment Audit'!C163</f>
        <v>WL-03048</v>
      </c>
      <c r="F472" s="22" t="str">
        <f aca="false">'Amendment Audit'!D163</f>
        <v>Brian Campbell</v>
      </c>
      <c r="G472" s="22" t="n">
        <f aca="false">'Amendment Audit'!F163</f>
        <v>41.9</v>
      </c>
      <c r="H472" s="22" t="n">
        <f aca="false">'Amendment Audit'!J163</f>
        <v>0</v>
      </c>
      <c r="I472" s="22" t="str">
        <f aca="false">'Amendment Audit'!L163</f>
        <v>No supplied signed certificate or yard measurement sheet</v>
      </c>
      <c r="J472" s="22" t="str">
        <f aca="false">"Amendment Audit row 163"</f>
        <v>Amendment Audit row 163</v>
      </c>
    </row>
    <row r="473" customFormat="false" ht="15" hidden="false" customHeight="false" outlineLevel="0" collapsed="false">
      <c r="A473" s="22" t="str">
        <f aca="false">'Amendment Audit'!M164</f>
        <v>Priority 2</v>
      </c>
      <c r="B473" s="22" t="s">
        <v>12989</v>
      </c>
      <c r="C473" s="22" t="str">
        <f aca="false">'Amendment Audit'!A164</f>
        <v>AMD-001833</v>
      </c>
      <c r="D473" s="23" t="n">
        <f aca="false">'Amendment Audit'!B164</f>
        <v>45944</v>
      </c>
      <c r="E473" s="22" t="str">
        <f aca="false">'Amendment Audit'!C164</f>
        <v>WL-03181</v>
      </c>
      <c r="F473" s="22" t="str">
        <f aca="false">'Amendment Audit'!D164</f>
        <v>Annette Collins</v>
      </c>
      <c r="G473" s="22" t="n">
        <f aca="false">'Amendment Audit'!F164</f>
        <v>47.1</v>
      </c>
      <c r="H473" s="22" t="n">
        <f aca="false">'Amendment Audit'!J164</f>
        <v>0</v>
      </c>
      <c r="I473" s="22" t="str">
        <f aca="false">'Amendment Audit'!L164</f>
        <v>No supplied signed certificate or yard measurement sheet</v>
      </c>
      <c r="J473" s="22" t="str">
        <f aca="false">"Amendment Audit row 164"</f>
        <v>Amendment Audit row 164</v>
      </c>
    </row>
    <row r="474" customFormat="false" ht="15" hidden="false" customHeight="false" outlineLevel="0" collapsed="false">
      <c r="A474" s="22" t="str">
        <f aca="false">'Amendment Audit'!M165</f>
        <v>Priority 2</v>
      </c>
      <c r="B474" s="22" t="s">
        <v>12989</v>
      </c>
      <c r="C474" s="22" t="str">
        <f aca="false">'Amendment Audit'!A165</f>
        <v>AMD-001834</v>
      </c>
      <c r="D474" s="23" t="n">
        <f aca="false">'Amendment Audit'!B165</f>
        <v>45945</v>
      </c>
      <c r="E474" s="22" t="str">
        <f aca="false">'Amendment Audit'!C165</f>
        <v>WL-03679</v>
      </c>
      <c r="F474" s="22" t="str">
        <f aca="false">'Amendment Audit'!D165</f>
        <v>Tracy Page</v>
      </c>
      <c r="G474" s="22" t="n">
        <f aca="false">'Amendment Audit'!F165</f>
        <v>23</v>
      </c>
      <c r="H474" s="22" t="n">
        <f aca="false">'Amendment Audit'!J165</f>
        <v>0</v>
      </c>
      <c r="I474" s="22" t="str">
        <f aca="false">'Amendment Audit'!L165</f>
        <v>No supplied signed certificate or yard measurement sheet</v>
      </c>
      <c r="J474" s="22" t="str">
        <f aca="false">"Amendment Audit row 165"</f>
        <v>Amendment Audit row 165</v>
      </c>
    </row>
    <row r="475" customFormat="false" ht="15" hidden="false" customHeight="false" outlineLevel="0" collapsed="false">
      <c r="A475" s="22" t="str">
        <f aca="false">'Amendment Audit'!M166</f>
        <v>Priority 2</v>
      </c>
      <c r="B475" s="22" t="s">
        <v>12989</v>
      </c>
      <c r="C475" s="22" t="str">
        <f aca="false">'Amendment Audit'!A166</f>
        <v>AMD-001837</v>
      </c>
      <c r="D475" s="23" t="n">
        <f aca="false">'Amendment Audit'!B166</f>
        <v>45949</v>
      </c>
      <c r="E475" s="22" t="str">
        <f aca="false">'Amendment Audit'!C166</f>
        <v>WL-01057</v>
      </c>
      <c r="F475" s="22" t="str">
        <f aca="false">'Amendment Audit'!D166</f>
        <v>Eric Ross</v>
      </c>
      <c r="G475" s="22" t="n">
        <f aca="false">'Amendment Audit'!F166</f>
        <v>51</v>
      </c>
      <c r="H475" s="22" t="n">
        <f aca="false">'Amendment Audit'!J166</f>
        <v>0</v>
      </c>
      <c r="I475" s="22" t="str">
        <f aca="false">'Amendment Audit'!L166</f>
        <v>No supplied signed certificate or yard measurement sheet</v>
      </c>
      <c r="J475" s="22" t="str">
        <f aca="false">"Amendment Audit row 166"</f>
        <v>Amendment Audit row 166</v>
      </c>
    </row>
    <row r="476" customFormat="false" ht="15" hidden="false" customHeight="false" outlineLevel="0" collapsed="false">
      <c r="A476" s="22" t="str">
        <f aca="false">'Amendment Audit'!M167</f>
        <v>Priority 2</v>
      </c>
      <c r="B476" s="22" t="s">
        <v>12989</v>
      </c>
      <c r="C476" s="22" t="str">
        <f aca="false">'Amendment Audit'!A167</f>
        <v>AMD-001852</v>
      </c>
      <c r="D476" s="23" t="n">
        <f aca="false">'Amendment Audit'!B167</f>
        <v>45956</v>
      </c>
      <c r="E476" s="22" t="str">
        <f aca="false">'Amendment Audit'!C167</f>
        <v>WL-01995</v>
      </c>
      <c r="F476" s="22" t="str">
        <f aca="false">'Amendment Audit'!D167</f>
        <v>Tiffany Russell</v>
      </c>
      <c r="G476" s="22" t="n">
        <f aca="false">'Amendment Audit'!F167</f>
        <v>46</v>
      </c>
      <c r="H476" s="22" t="n">
        <f aca="false">'Amendment Audit'!J167</f>
        <v>0</v>
      </c>
      <c r="I476" s="22" t="str">
        <f aca="false">'Amendment Audit'!L167</f>
        <v>No supplied signed certificate or yard measurement sheet</v>
      </c>
      <c r="J476" s="22" t="str">
        <f aca="false">"Amendment Audit row 167"</f>
        <v>Amendment Audit row 167</v>
      </c>
    </row>
    <row r="477" customFormat="false" ht="15" hidden="false" customHeight="false" outlineLevel="0" collapsed="false">
      <c r="A477" s="22" t="str">
        <f aca="false">'Amendment Audit'!M168</f>
        <v>Priority 2</v>
      </c>
      <c r="B477" s="22" t="s">
        <v>12989</v>
      </c>
      <c r="C477" s="22" t="str">
        <f aca="false">'Amendment Audit'!A168</f>
        <v>AMD-001859</v>
      </c>
      <c r="D477" s="23" t="n">
        <f aca="false">'Amendment Audit'!B168</f>
        <v>45960</v>
      </c>
      <c r="E477" s="22" t="str">
        <f aca="false">'Amendment Audit'!C168</f>
        <v>WL-02085</v>
      </c>
      <c r="F477" s="22" t="str">
        <f aca="false">'Amendment Audit'!D168</f>
        <v>Sherry Jacobs</v>
      </c>
      <c r="G477" s="22" t="n">
        <f aca="false">'Amendment Audit'!F168</f>
        <v>49</v>
      </c>
      <c r="H477" s="22" t="n">
        <f aca="false">'Amendment Audit'!J168</f>
        <v>0</v>
      </c>
      <c r="I477" s="22" t="str">
        <f aca="false">'Amendment Audit'!L168</f>
        <v>No supplied signed certificate or yard measurement sheet</v>
      </c>
      <c r="J477" s="22" t="str">
        <f aca="false">"Amendment Audit row 168"</f>
        <v>Amendment Audit row 168</v>
      </c>
    </row>
    <row r="478" customFormat="false" ht="15" hidden="false" customHeight="false" outlineLevel="0" collapsed="false">
      <c r="A478" s="22" t="str">
        <f aca="false">'Amendment Audit'!M169</f>
        <v>Priority 2</v>
      </c>
      <c r="B478" s="22" t="s">
        <v>12989</v>
      </c>
      <c r="C478" s="22" t="str">
        <f aca="false">'Amendment Audit'!A169</f>
        <v>AMD-001861</v>
      </c>
      <c r="D478" s="23" t="n">
        <f aca="false">'Amendment Audit'!B169</f>
        <v>45960</v>
      </c>
      <c r="E478" s="22" t="str">
        <f aca="false">'Amendment Audit'!C169</f>
        <v>WL-02978</v>
      </c>
      <c r="F478" s="22" t="str">
        <f aca="false">'Amendment Audit'!D169</f>
        <v>Arthur Schmitt</v>
      </c>
      <c r="G478" s="22" t="n">
        <f aca="false">'Amendment Audit'!F169</f>
        <v>50.3</v>
      </c>
      <c r="H478" s="22" t="n">
        <f aca="false">'Amendment Audit'!J169</f>
        <v>0</v>
      </c>
      <c r="I478" s="22" t="str">
        <f aca="false">'Amendment Audit'!L169</f>
        <v>No supplied signed certificate or yard measurement sheet</v>
      </c>
      <c r="J478" s="22" t="str">
        <f aca="false">"Amendment Audit row 169"</f>
        <v>Amendment Audit row 169</v>
      </c>
    </row>
    <row r="479" customFormat="false" ht="15" hidden="false" customHeight="false" outlineLevel="0" collapsed="false">
      <c r="A479" s="22" t="str">
        <f aca="false">'Amendment Audit'!M170</f>
        <v>Priority 2</v>
      </c>
      <c r="B479" s="22" t="s">
        <v>12989</v>
      </c>
      <c r="C479" s="22" t="str">
        <f aca="false">'Amendment Audit'!A170</f>
        <v>AMD-001866</v>
      </c>
      <c r="D479" s="23" t="n">
        <f aca="false">'Amendment Audit'!B170</f>
        <v>45962</v>
      </c>
      <c r="E479" s="22" t="str">
        <f aca="false">'Amendment Audit'!C170</f>
        <v>WL-03887</v>
      </c>
      <c r="F479" s="22" t="str">
        <f aca="false">'Amendment Audit'!D170</f>
        <v>Brianna Goodwin</v>
      </c>
      <c r="G479" s="22" t="n">
        <f aca="false">'Amendment Audit'!F170</f>
        <v>48</v>
      </c>
      <c r="H479" s="22" t="n">
        <f aca="false">'Amendment Audit'!J170</f>
        <v>0</v>
      </c>
      <c r="I479" s="22" t="str">
        <f aca="false">'Amendment Audit'!L170</f>
        <v>No supplied signed certificate or yard measurement sheet</v>
      </c>
      <c r="J479" s="22" t="str">
        <f aca="false">"Amendment Audit row 170"</f>
        <v>Amendment Audit row 170</v>
      </c>
    </row>
    <row r="480" customFormat="false" ht="15" hidden="false" customHeight="false" outlineLevel="0" collapsed="false">
      <c r="A480" s="22" t="str">
        <f aca="false">'Amendment Audit'!M171</f>
        <v>Priority 2</v>
      </c>
      <c r="B480" s="22" t="s">
        <v>12989</v>
      </c>
      <c r="C480" s="22" t="str">
        <f aca="false">'Amendment Audit'!A171</f>
        <v>AMD-001883</v>
      </c>
      <c r="D480" s="23" t="n">
        <f aca="false">'Amendment Audit'!B171</f>
        <v>45973</v>
      </c>
      <c r="E480" s="22" t="str">
        <f aca="false">'Amendment Audit'!C171</f>
        <v>WL-01947</v>
      </c>
      <c r="F480" s="22" t="str">
        <f aca="false">'Amendment Audit'!D171</f>
        <v>Teresa Mcdowell</v>
      </c>
      <c r="G480" s="22" t="n">
        <f aca="false">'Amendment Audit'!F171</f>
        <v>37.3</v>
      </c>
      <c r="H480" s="22" t="n">
        <f aca="false">'Amendment Audit'!J171</f>
        <v>0</v>
      </c>
      <c r="I480" s="22" t="str">
        <f aca="false">'Amendment Audit'!L171</f>
        <v>No supplied signed certificate or yard measurement sheet</v>
      </c>
      <c r="J480" s="22" t="str">
        <f aca="false">"Amendment Audit row 171"</f>
        <v>Amendment Audit row 171</v>
      </c>
    </row>
    <row r="481" customFormat="false" ht="15" hidden="false" customHeight="false" outlineLevel="0" collapsed="false">
      <c r="A481" s="22" t="str">
        <f aca="false">'Amendment Audit'!M172</f>
        <v>Priority 2</v>
      </c>
      <c r="B481" s="22" t="s">
        <v>12989</v>
      </c>
      <c r="C481" s="22" t="str">
        <f aca="false">'Amendment Audit'!A172</f>
        <v>AMD-001884</v>
      </c>
      <c r="D481" s="23" t="n">
        <f aca="false">'Amendment Audit'!B172</f>
        <v>45973</v>
      </c>
      <c r="E481" s="22" t="str">
        <f aca="false">'Amendment Audit'!C172</f>
        <v>WL-02955</v>
      </c>
      <c r="F481" s="22" t="str">
        <f aca="false">'Amendment Audit'!D172</f>
        <v>Jessica Phillips</v>
      </c>
      <c r="G481" s="22" t="n">
        <f aca="false">'Amendment Audit'!F172</f>
        <v>24</v>
      </c>
      <c r="H481" s="22" t="n">
        <f aca="false">'Amendment Audit'!J172</f>
        <v>0</v>
      </c>
      <c r="I481" s="22" t="str">
        <f aca="false">'Amendment Audit'!L172</f>
        <v>No supplied signed certificate or yard measurement sheet</v>
      </c>
      <c r="J481" s="22" t="str">
        <f aca="false">"Amendment Audit row 172"</f>
        <v>Amendment Audit row 172</v>
      </c>
    </row>
    <row r="482" customFormat="false" ht="15" hidden="false" customHeight="false" outlineLevel="0" collapsed="false">
      <c r="A482" s="22" t="str">
        <f aca="false">'Amendment Audit'!M173</f>
        <v>Priority 2</v>
      </c>
      <c r="B482" s="22" t="s">
        <v>12989</v>
      </c>
      <c r="C482" s="22" t="str">
        <f aca="false">'Amendment Audit'!A173</f>
        <v>AMD-001889</v>
      </c>
      <c r="D482" s="23" t="n">
        <f aca="false">'Amendment Audit'!B173</f>
        <v>45976</v>
      </c>
      <c r="E482" s="22" t="str">
        <f aca="false">'Amendment Audit'!C173</f>
        <v>WL-02128</v>
      </c>
      <c r="F482" s="22" t="str">
        <f aca="false">'Amendment Audit'!D173</f>
        <v>Kevin Terry</v>
      </c>
      <c r="G482" s="22" t="n">
        <f aca="false">'Amendment Audit'!F173</f>
        <v>44.2</v>
      </c>
      <c r="H482" s="22" t="n">
        <f aca="false">'Amendment Audit'!J173</f>
        <v>0</v>
      </c>
      <c r="I482" s="22" t="str">
        <f aca="false">'Amendment Audit'!L173</f>
        <v>No supplied signed certificate or yard measurement sheet</v>
      </c>
      <c r="J482" s="22" t="str">
        <f aca="false">"Amendment Audit row 173"</f>
        <v>Amendment Audit row 173</v>
      </c>
    </row>
    <row r="483" customFormat="false" ht="15" hidden="false" customHeight="false" outlineLevel="0" collapsed="false">
      <c r="A483" s="22" t="str">
        <f aca="false">'Amendment Audit'!M174</f>
        <v>Priority 2</v>
      </c>
      <c r="B483" s="22" t="s">
        <v>12989</v>
      </c>
      <c r="C483" s="22" t="str">
        <f aca="false">'Amendment Audit'!A174</f>
        <v>AMD-001891</v>
      </c>
      <c r="D483" s="23" t="n">
        <f aca="false">'Amendment Audit'!B174</f>
        <v>45978</v>
      </c>
      <c r="E483" s="22" t="str">
        <f aca="false">'Amendment Audit'!C174</f>
        <v>WL-01077</v>
      </c>
      <c r="F483" s="22" t="str">
        <f aca="false">'Amendment Audit'!D174</f>
        <v>Stephanie Hess</v>
      </c>
      <c r="G483" s="22" t="n">
        <f aca="false">'Amendment Audit'!F174</f>
        <v>32.1</v>
      </c>
      <c r="H483" s="22" t="n">
        <f aca="false">'Amendment Audit'!J174</f>
        <v>0</v>
      </c>
      <c r="I483" s="22" t="str">
        <f aca="false">'Amendment Audit'!L174</f>
        <v>No supplied signed certificate or yard measurement sheet</v>
      </c>
      <c r="J483" s="22" t="str">
        <f aca="false">"Amendment Audit row 174"</f>
        <v>Amendment Audit row 174</v>
      </c>
    </row>
    <row r="484" customFormat="false" ht="15" hidden="false" customHeight="false" outlineLevel="0" collapsed="false">
      <c r="A484" s="22" t="str">
        <f aca="false">'Amendment Audit'!M175</f>
        <v>Priority 2</v>
      </c>
      <c r="B484" s="22" t="s">
        <v>12989</v>
      </c>
      <c r="C484" s="22" t="str">
        <f aca="false">'Amendment Audit'!A175</f>
        <v>AMD-001899</v>
      </c>
      <c r="D484" s="23" t="n">
        <f aca="false">'Amendment Audit'!B175</f>
        <v>45984</v>
      </c>
      <c r="E484" s="22" t="str">
        <f aca="false">'Amendment Audit'!C175</f>
        <v>WL-01534</v>
      </c>
      <c r="F484" s="22" t="str">
        <f aca="false">'Amendment Audit'!D175</f>
        <v>Jose Mueller</v>
      </c>
      <c r="G484" s="22" t="n">
        <f aca="false">'Amendment Audit'!F175</f>
        <v>30.2</v>
      </c>
      <c r="H484" s="22" t="n">
        <f aca="false">'Amendment Audit'!J175</f>
        <v>0</v>
      </c>
      <c r="I484" s="22" t="str">
        <f aca="false">'Amendment Audit'!L175</f>
        <v>No supplied signed certificate or yard measurement sheet</v>
      </c>
      <c r="J484" s="22" t="str">
        <f aca="false">"Amendment Audit row 175"</f>
        <v>Amendment Audit row 175</v>
      </c>
    </row>
    <row r="485" customFormat="false" ht="15" hidden="false" customHeight="false" outlineLevel="0" collapsed="false">
      <c r="A485" s="22" t="str">
        <f aca="false">'Amendment Audit'!M177</f>
        <v>Priority 2</v>
      </c>
      <c r="B485" s="22" t="s">
        <v>12989</v>
      </c>
      <c r="C485" s="22" t="str">
        <f aca="false">'Amendment Audit'!A177</f>
        <v>AMD-001950</v>
      </c>
      <c r="D485" s="23" t="n">
        <f aca="false">'Amendment Audit'!B177</f>
        <v>46020</v>
      </c>
      <c r="E485" s="22" t="str">
        <f aca="false">'Amendment Audit'!C177</f>
        <v>WL-01569</v>
      </c>
      <c r="F485" s="22" t="str">
        <f aca="false">'Amendment Audit'!D177</f>
        <v>Sherri Smith</v>
      </c>
      <c r="G485" s="22" t="n">
        <f aca="false">'Amendment Audit'!F177</f>
        <v>44.1</v>
      </c>
      <c r="H485" s="22" t="n">
        <f aca="false">'Amendment Audit'!J177</f>
        <v>0</v>
      </c>
      <c r="I485" s="22" t="str">
        <f aca="false">'Amendment Audit'!L177</f>
        <v>No supplied signed certificate or yard measurement sheet</v>
      </c>
      <c r="J485" s="22" t="str">
        <f aca="false">"Amendment Audit row 177"</f>
        <v>Amendment Audit row 177</v>
      </c>
    </row>
    <row r="486" customFormat="false" ht="15" hidden="false" customHeight="false" outlineLevel="0" collapsed="false">
      <c r="A486" s="22" t="str">
        <f aca="false">'Amendment Audit'!M178</f>
        <v>Priority 2</v>
      </c>
      <c r="B486" s="22" t="s">
        <v>12989</v>
      </c>
      <c r="C486" s="22" t="str">
        <f aca="false">'Amendment Audit'!A178</f>
        <v>AMD-001956</v>
      </c>
      <c r="D486" s="23" t="n">
        <f aca="false">'Amendment Audit'!B178</f>
        <v>46026</v>
      </c>
      <c r="E486" s="22" t="str">
        <f aca="false">'Amendment Audit'!C178</f>
        <v>WL-01484</v>
      </c>
      <c r="F486" s="22" t="str">
        <f aca="false">'Amendment Audit'!D178</f>
        <v>Patricia Mann</v>
      </c>
      <c r="G486" s="22" t="n">
        <f aca="false">'Amendment Audit'!F178</f>
        <v>49.8</v>
      </c>
      <c r="H486" s="22" t="n">
        <f aca="false">'Amendment Audit'!J178</f>
        <v>0</v>
      </c>
      <c r="I486" s="22" t="str">
        <f aca="false">'Amendment Audit'!L178</f>
        <v>No supplied signed certificate or yard measurement sheet</v>
      </c>
      <c r="J486" s="22" t="str">
        <f aca="false">"Amendment Audit row 178"</f>
        <v>Amendment Audit row 178</v>
      </c>
    </row>
    <row r="487" customFormat="false" ht="15" hidden="false" customHeight="false" outlineLevel="0" collapsed="false">
      <c r="A487" s="22" t="str">
        <f aca="false">'Amendment Audit'!M179</f>
        <v>Priority 2</v>
      </c>
      <c r="B487" s="22" t="s">
        <v>12989</v>
      </c>
      <c r="C487" s="22" t="str">
        <f aca="false">'Amendment Audit'!A179</f>
        <v>AMD-001957</v>
      </c>
      <c r="D487" s="23" t="n">
        <f aca="false">'Amendment Audit'!B179</f>
        <v>46027</v>
      </c>
      <c r="E487" s="22" t="str">
        <f aca="false">'Amendment Audit'!C179</f>
        <v>WL-03475</v>
      </c>
      <c r="F487" s="22" t="str">
        <f aca="false">'Amendment Audit'!D179</f>
        <v>Jennifer Ross</v>
      </c>
      <c r="G487" s="22" t="n">
        <f aca="false">'Amendment Audit'!F179</f>
        <v>37.5</v>
      </c>
      <c r="H487" s="22" t="n">
        <f aca="false">'Amendment Audit'!J179</f>
        <v>0</v>
      </c>
      <c r="I487" s="22" t="str">
        <f aca="false">'Amendment Audit'!L179</f>
        <v>No supplied signed certificate or yard measurement sheet</v>
      </c>
      <c r="J487" s="22" t="str">
        <f aca="false">"Amendment Audit row 179"</f>
        <v>Amendment Audit row 179</v>
      </c>
    </row>
    <row r="488" customFormat="false" ht="15" hidden="false" customHeight="false" outlineLevel="0" collapsed="false">
      <c r="A488" s="22" t="str">
        <f aca="false">'Amendment Audit'!M180</f>
        <v>Priority 2</v>
      </c>
      <c r="B488" s="22" t="s">
        <v>12989</v>
      </c>
      <c r="C488" s="22" t="str">
        <f aca="false">'Amendment Audit'!A180</f>
        <v>AMD-001978</v>
      </c>
      <c r="D488" s="23" t="n">
        <f aca="false">'Amendment Audit'!B180</f>
        <v>46046</v>
      </c>
      <c r="E488" s="22" t="str">
        <f aca="false">'Amendment Audit'!C180</f>
        <v>WL-03468</v>
      </c>
      <c r="F488" s="22" t="str">
        <f aca="false">'Amendment Audit'!D180</f>
        <v>Robert Peterson</v>
      </c>
      <c r="G488" s="22" t="n">
        <f aca="false">'Amendment Audit'!F180</f>
        <v>27.7</v>
      </c>
      <c r="H488" s="22" t="n">
        <f aca="false">'Amendment Audit'!J180</f>
        <v>0</v>
      </c>
      <c r="I488" s="22" t="str">
        <f aca="false">'Amendment Audit'!L180</f>
        <v>No supplied signed certificate or yard measurement sheet</v>
      </c>
      <c r="J488" s="22" t="str">
        <f aca="false">"Amendment Audit row 180"</f>
        <v>Amendment Audit row 180</v>
      </c>
    </row>
    <row r="489" customFormat="false" ht="15" hidden="false" customHeight="false" outlineLevel="0" collapsed="false">
      <c r="A489" s="22" t="str">
        <f aca="false">'Amendment Audit'!M181</f>
        <v>Priority 2</v>
      </c>
      <c r="B489" s="22" t="s">
        <v>12989</v>
      </c>
      <c r="C489" s="22" t="str">
        <f aca="false">'Amendment Audit'!A181</f>
        <v>AMD-001980</v>
      </c>
      <c r="D489" s="23" t="n">
        <f aca="false">'Amendment Audit'!B181</f>
        <v>46047</v>
      </c>
      <c r="E489" s="22" t="str">
        <f aca="false">'Amendment Audit'!C181</f>
        <v>WL-02245</v>
      </c>
      <c r="F489" s="22" t="str">
        <f aca="false">'Amendment Audit'!D181</f>
        <v>Angela Tran</v>
      </c>
      <c r="G489" s="22" t="n">
        <f aca="false">'Amendment Audit'!F181</f>
        <v>54</v>
      </c>
      <c r="H489" s="22" t="n">
        <f aca="false">'Amendment Audit'!J181</f>
        <v>0</v>
      </c>
      <c r="I489" s="22" t="str">
        <f aca="false">'Amendment Audit'!L181</f>
        <v>No supplied signed certificate or yard measurement sheet</v>
      </c>
      <c r="J489" s="22" t="str">
        <f aca="false">"Amendment Audit row 181"</f>
        <v>Amendment Audit row 181</v>
      </c>
    </row>
    <row r="490" customFormat="false" ht="15" hidden="false" customHeight="false" outlineLevel="0" collapsed="false">
      <c r="A490" s="22" t="str">
        <f aca="false">'Amendment Audit'!M182</f>
        <v>Priority 2</v>
      </c>
      <c r="B490" s="22" t="s">
        <v>12989</v>
      </c>
      <c r="C490" s="22" t="str">
        <f aca="false">'Amendment Audit'!A182</f>
        <v>AMD-001982</v>
      </c>
      <c r="D490" s="23" t="n">
        <f aca="false">'Amendment Audit'!B182</f>
        <v>46049</v>
      </c>
      <c r="E490" s="22" t="str">
        <f aca="false">'Amendment Audit'!C182</f>
        <v>WL-03045</v>
      </c>
      <c r="F490" s="22" t="str">
        <f aca="false">'Amendment Audit'!D182</f>
        <v>Karen Davis</v>
      </c>
      <c r="G490" s="22" t="n">
        <f aca="false">'Amendment Audit'!F182</f>
        <v>35.5</v>
      </c>
      <c r="H490" s="22" t="n">
        <f aca="false">'Amendment Audit'!J182</f>
        <v>0</v>
      </c>
      <c r="I490" s="22" t="str">
        <f aca="false">'Amendment Audit'!L182</f>
        <v>No supplied signed certificate or yard measurement sheet</v>
      </c>
      <c r="J490" s="22" t="str">
        <f aca="false">"Amendment Audit row 182"</f>
        <v>Amendment Audit row 182</v>
      </c>
    </row>
    <row r="491" customFormat="false" ht="15" hidden="false" customHeight="false" outlineLevel="0" collapsed="false">
      <c r="A491" s="22" t="str">
        <f aca="false">'Amendment Audit'!M183</f>
        <v>Priority 2</v>
      </c>
      <c r="B491" s="22" t="s">
        <v>12989</v>
      </c>
      <c r="C491" s="22" t="str">
        <f aca="false">'Amendment Audit'!A183</f>
        <v>AMD-001983</v>
      </c>
      <c r="D491" s="23" t="n">
        <f aca="false">'Amendment Audit'!B183</f>
        <v>46049</v>
      </c>
      <c r="E491" s="22" t="str">
        <f aca="false">'Amendment Audit'!C183</f>
        <v>WL-03716</v>
      </c>
      <c r="F491" s="22" t="str">
        <f aca="false">'Amendment Audit'!D183</f>
        <v>Sharon Tyler</v>
      </c>
      <c r="G491" s="22" t="n">
        <f aca="false">'Amendment Audit'!F183</f>
        <v>53.5</v>
      </c>
      <c r="H491" s="22" t="n">
        <f aca="false">'Amendment Audit'!J183</f>
        <v>0</v>
      </c>
      <c r="I491" s="22" t="str">
        <f aca="false">'Amendment Audit'!L183</f>
        <v>No supplied signed certificate or yard measurement sheet</v>
      </c>
      <c r="J491" s="22" t="str">
        <f aca="false">"Amendment Audit row 183"</f>
        <v>Amendment Audit row 183</v>
      </c>
    </row>
    <row r="492" customFormat="false" ht="15" hidden="false" customHeight="false" outlineLevel="0" collapsed="false">
      <c r="A492" s="22" t="str">
        <f aca="false">'Amendment Audit'!M184</f>
        <v>Priority 2</v>
      </c>
      <c r="B492" s="22" t="s">
        <v>12989</v>
      </c>
      <c r="C492" s="22" t="str">
        <f aca="false">'Amendment Audit'!A184</f>
        <v>AMD-001999</v>
      </c>
      <c r="D492" s="23" t="n">
        <f aca="false">'Amendment Audit'!B184</f>
        <v>46062</v>
      </c>
      <c r="E492" s="22" t="str">
        <f aca="false">'Amendment Audit'!C184</f>
        <v>WL-02586</v>
      </c>
      <c r="F492" s="22" t="str">
        <f aca="false">'Amendment Audit'!D184</f>
        <v>Shelby Stanton</v>
      </c>
      <c r="G492" s="22" t="n">
        <f aca="false">'Amendment Audit'!F184</f>
        <v>49.3</v>
      </c>
      <c r="H492" s="22" t="n">
        <f aca="false">'Amendment Audit'!J184</f>
        <v>0</v>
      </c>
      <c r="I492" s="22" t="str">
        <f aca="false">'Amendment Audit'!L184</f>
        <v>No supplied signed certificate or yard measurement sheet</v>
      </c>
      <c r="J492" s="22" t="str">
        <f aca="false">"Amendment Audit row 184"</f>
        <v>Amendment Audit row 184</v>
      </c>
    </row>
    <row r="493" customFormat="false" ht="15" hidden="false" customHeight="false" outlineLevel="0" collapsed="false">
      <c r="A493" s="22" t="str">
        <f aca="false">'Amendment Audit'!M185</f>
        <v>Priority 2</v>
      </c>
      <c r="B493" s="22" t="s">
        <v>12989</v>
      </c>
      <c r="C493" s="22" t="str">
        <f aca="false">'Amendment Audit'!A185</f>
        <v>AMD-002000</v>
      </c>
      <c r="D493" s="23" t="n">
        <f aca="false">'Amendment Audit'!B185</f>
        <v>46062</v>
      </c>
      <c r="E493" s="22" t="str">
        <f aca="false">'Amendment Audit'!C185</f>
        <v>WL-02699</v>
      </c>
      <c r="F493" s="22" t="str">
        <f aca="false">'Amendment Audit'!D185</f>
        <v>Sharon Gonzales</v>
      </c>
      <c r="G493" s="22" t="n">
        <f aca="false">'Amendment Audit'!F185</f>
        <v>43.4</v>
      </c>
      <c r="H493" s="22" t="n">
        <f aca="false">'Amendment Audit'!J185</f>
        <v>0</v>
      </c>
      <c r="I493" s="22" t="str">
        <f aca="false">'Amendment Audit'!L185</f>
        <v>No supplied signed certificate or yard measurement sheet</v>
      </c>
      <c r="J493" s="22" t="str">
        <f aca="false">"Amendment Audit row 185"</f>
        <v>Amendment Audit row 185</v>
      </c>
    </row>
    <row r="494" customFormat="false" ht="15" hidden="false" customHeight="false" outlineLevel="0" collapsed="false">
      <c r="A494" s="22" t="str">
        <f aca="false">'Amendment Audit'!M186</f>
        <v>Priority 2</v>
      </c>
      <c r="B494" s="22" t="s">
        <v>12989</v>
      </c>
      <c r="C494" s="22" t="str">
        <f aca="false">'Amendment Audit'!A186</f>
        <v>AMD-002013</v>
      </c>
      <c r="D494" s="23" t="n">
        <f aca="false">'Amendment Audit'!B186</f>
        <v>46071</v>
      </c>
      <c r="E494" s="22" t="str">
        <f aca="false">'Amendment Audit'!C186</f>
        <v>WL-03474</v>
      </c>
      <c r="F494" s="22" t="str">
        <f aca="false">'Amendment Audit'!D186</f>
        <v>Christopher Flores</v>
      </c>
      <c r="G494" s="22" t="n">
        <f aca="false">'Amendment Audit'!F186</f>
        <v>51.6</v>
      </c>
      <c r="H494" s="22" t="n">
        <f aca="false">'Amendment Audit'!J186</f>
        <v>0</v>
      </c>
      <c r="I494" s="22" t="str">
        <f aca="false">'Amendment Audit'!L186</f>
        <v>No supplied signed certificate or yard measurement sheet</v>
      </c>
      <c r="J494" s="22" t="str">
        <f aca="false">"Amendment Audit row 186"</f>
        <v>Amendment Audit row 186</v>
      </c>
    </row>
    <row r="495" customFormat="false" ht="15" hidden="false" customHeight="false" outlineLevel="0" collapsed="false">
      <c r="A495" s="22" t="str">
        <f aca="false">'Amendment Audit'!M187</f>
        <v>Priority 2</v>
      </c>
      <c r="B495" s="22" t="s">
        <v>12989</v>
      </c>
      <c r="C495" s="22" t="str">
        <f aca="false">'Amendment Audit'!A187</f>
        <v>AMD-002017</v>
      </c>
      <c r="D495" s="23" t="n">
        <f aca="false">'Amendment Audit'!B187</f>
        <v>46073</v>
      </c>
      <c r="E495" s="22" t="str">
        <f aca="false">'Amendment Audit'!C187</f>
        <v>WL-02175</v>
      </c>
      <c r="F495" s="22" t="str">
        <f aca="false">'Amendment Audit'!D187</f>
        <v>Eric Hill</v>
      </c>
      <c r="G495" s="22" t="n">
        <f aca="false">'Amendment Audit'!F187</f>
        <v>56.1</v>
      </c>
      <c r="H495" s="22" t="n">
        <f aca="false">'Amendment Audit'!J187</f>
        <v>0</v>
      </c>
      <c r="I495" s="22" t="str">
        <f aca="false">'Amendment Audit'!L187</f>
        <v>No supplied signed certificate or yard measurement sheet</v>
      </c>
      <c r="J495" s="22" t="str">
        <f aca="false">"Amendment Audit row 187"</f>
        <v>Amendment Audit row 187</v>
      </c>
    </row>
    <row r="496" customFormat="false" ht="15" hidden="false" customHeight="false" outlineLevel="0" collapsed="false">
      <c r="A496" s="22" t="str">
        <f aca="false">'Amendment Audit'!M188</f>
        <v>Priority 2</v>
      </c>
      <c r="B496" s="22" t="s">
        <v>12989</v>
      </c>
      <c r="C496" s="22" t="str">
        <f aca="false">'Amendment Audit'!A188</f>
        <v>AMD-002028</v>
      </c>
      <c r="D496" s="23" t="n">
        <f aca="false">'Amendment Audit'!B188</f>
        <v>46081</v>
      </c>
      <c r="E496" s="22" t="str">
        <f aca="false">'Amendment Audit'!C188</f>
        <v>WL-01114</v>
      </c>
      <c r="F496" s="22" t="str">
        <f aca="false">'Amendment Audit'!D188</f>
        <v>Dustin Lambert</v>
      </c>
      <c r="G496" s="22" t="n">
        <f aca="false">'Amendment Audit'!F188</f>
        <v>37.5</v>
      </c>
      <c r="H496" s="22" t="n">
        <f aca="false">'Amendment Audit'!J188</f>
        <v>0</v>
      </c>
      <c r="I496" s="22" t="str">
        <f aca="false">'Amendment Audit'!L188</f>
        <v>No supplied signed certificate or yard measurement sheet</v>
      </c>
      <c r="J496" s="22" t="str">
        <f aca="false">"Amendment Audit row 188"</f>
        <v>Amendment Audit row 188</v>
      </c>
    </row>
    <row r="497" customFormat="false" ht="15" hidden="false" customHeight="false" outlineLevel="0" collapsed="false">
      <c r="A497" s="22" t="str">
        <f aca="false">'Amendment Audit'!M189</f>
        <v>Priority 2</v>
      </c>
      <c r="B497" s="22" t="s">
        <v>12989</v>
      </c>
      <c r="C497" s="22" t="str">
        <f aca="false">'Amendment Audit'!A189</f>
        <v>AMD-002045</v>
      </c>
      <c r="D497" s="23" t="n">
        <f aca="false">'Amendment Audit'!B189</f>
        <v>46095</v>
      </c>
      <c r="E497" s="22" t="str">
        <f aca="false">'Amendment Audit'!C189</f>
        <v>WL-03265</v>
      </c>
      <c r="F497" s="22" t="str">
        <f aca="false">'Amendment Audit'!D189</f>
        <v>Melvin Espinoza</v>
      </c>
      <c r="G497" s="22" t="n">
        <f aca="false">'Amendment Audit'!F189</f>
        <v>26.6</v>
      </c>
      <c r="H497" s="22" t="n">
        <f aca="false">'Amendment Audit'!J189</f>
        <v>0</v>
      </c>
      <c r="I497" s="22" t="str">
        <f aca="false">'Amendment Audit'!L189</f>
        <v>No supplied signed certificate or yard measurement sheet</v>
      </c>
      <c r="J497" s="22" t="str">
        <f aca="false">"Amendment Audit row 189"</f>
        <v>Amendment Audit row 189</v>
      </c>
    </row>
    <row r="498" customFormat="false" ht="15" hidden="false" customHeight="false" outlineLevel="0" collapsed="false">
      <c r="A498" s="22" t="str">
        <f aca="false">'Amendment Audit'!M190</f>
        <v>Priority 2</v>
      </c>
      <c r="B498" s="22" t="s">
        <v>12989</v>
      </c>
      <c r="C498" s="22" t="str">
        <f aca="false">'Amendment Audit'!A190</f>
        <v>AMD-002077</v>
      </c>
      <c r="D498" s="23" t="n">
        <f aca="false">'Amendment Audit'!B190</f>
        <v>46116</v>
      </c>
      <c r="E498" s="22" t="str">
        <f aca="false">'Amendment Audit'!C190</f>
        <v>WL-01342</v>
      </c>
      <c r="F498" s="22" t="str">
        <f aca="false">'Amendment Audit'!D190</f>
        <v>Lee Maldonado</v>
      </c>
      <c r="G498" s="22" t="n">
        <f aca="false">'Amendment Audit'!F190</f>
        <v>52.8</v>
      </c>
      <c r="H498" s="22" t="n">
        <f aca="false">'Amendment Audit'!J190</f>
        <v>0</v>
      </c>
      <c r="I498" s="22" t="str">
        <f aca="false">'Amendment Audit'!L190</f>
        <v>No supplied signed certificate or yard measurement sheet</v>
      </c>
      <c r="J498" s="22" t="str">
        <f aca="false">"Amendment Audit row 190"</f>
        <v>Amendment Audit row 190</v>
      </c>
    </row>
    <row r="499" customFormat="false" ht="15" hidden="false" customHeight="false" outlineLevel="0" collapsed="false">
      <c r="A499" s="22" t="str">
        <f aca="false">'Amendment Audit'!M191</f>
        <v>Priority 2</v>
      </c>
      <c r="B499" s="22" t="s">
        <v>12989</v>
      </c>
      <c r="C499" s="22" t="str">
        <f aca="false">'Amendment Audit'!A191</f>
        <v>AMD-002078</v>
      </c>
      <c r="D499" s="23" t="n">
        <f aca="false">'Amendment Audit'!B191</f>
        <v>46117</v>
      </c>
      <c r="E499" s="22" t="str">
        <f aca="false">'Amendment Audit'!C191</f>
        <v>WL-03368</v>
      </c>
      <c r="F499" s="22" t="str">
        <f aca="false">'Amendment Audit'!D191</f>
        <v>Daniel Bowen</v>
      </c>
      <c r="G499" s="22" t="n">
        <f aca="false">'Amendment Audit'!F191</f>
        <v>47.3</v>
      </c>
      <c r="H499" s="22" t="n">
        <f aca="false">'Amendment Audit'!J191</f>
        <v>0</v>
      </c>
      <c r="I499" s="22" t="str">
        <f aca="false">'Amendment Audit'!L191</f>
        <v>No supplied signed certificate or yard measurement sheet</v>
      </c>
      <c r="J499" s="22" t="str">
        <f aca="false">"Amendment Audit row 191"</f>
        <v>Amendment Audit row 191</v>
      </c>
    </row>
    <row r="500" customFormat="false" ht="15" hidden="false" customHeight="false" outlineLevel="0" collapsed="false">
      <c r="A500" s="22" t="str">
        <f aca="false">'Amendment Audit'!M192</f>
        <v>Priority 2</v>
      </c>
      <c r="B500" s="22" t="s">
        <v>12989</v>
      </c>
      <c r="C500" s="22" t="str">
        <f aca="false">'Amendment Audit'!A192</f>
        <v>AMD-002104</v>
      </c>
      <c r="D500" s="23" t="n">
        <f aca="false">'Amendment Audit'!B192</f>
        <v>46133</v>
      </c>
      <c r="E500" s="22" t="str">
        <f aca="false">'Amendment Audit'!C192</f>
        <v>WL-01601</v>
      </c>
      <c r="F500" s="22" t="str">
        <f aca="false">'Amendment Audit'!D192</f>
        <v>Keith Smith</v>
      </c>
      <c r="G500" s="22" t="n">
        <f aca="false">'Amendment Audit'!F192</f>
        <v>30.1</v>
      </c>
      <c r="H500" s="22" t="n">
        <f aca="false">'Amendment Audit'!J192</f>
        <v>0</v>
      </c>
      <c r="I500" s="22" t="str">
        <f aca="false">'Amendment Audit'!L192</f>
        <v>No supplied signed certificate or yard measurement sheet</v>
      </c>
      <c r="J500" s="22" t="str">
        <f aca="false">"Amendment Audit row 192"</f>
        <v>Amendment Audit row 192</v>
      </c>
    </row>
    <row r="501" customFormat="false" ht="15" hidden="false" customHeight="false" outlineLevel="0" collapsed="false">
      <c r="A501" s="22" t="str">
        <f aca="false">'Amendment Audit'!M193</f>
        <v>Priority 2</v>
      </c>
      <c r="B501" s="22" t="s">
        <v>12989</v>
      </c>
      <c r="C501" s="22" t="str">
        <f aca="false">'Amendment Audit'!A193</f>
        <v>AMD-002114</v>
      </c>
      <c r="D501" s="23" t="n">
        <f aca="false">'Amendment Audit'!B193</f>
        <v>46143</v>
      </c>
      <c r="E501" s="22" t="str">
        <f aca="false">'Amendment Audit'!C193</f>
        <v>WL-03764</v>
      </c>
      <c r="F501" s="22" t="str">
        <f aca="false">'Amendment Audit'!D193</f>
        <v>Kim Allen</v>
      </c>
      <c r="G501" s="22" t="n">
        <f aca="false">'Amendment Audit'!F193</f>
        <v>49.4</v>
      </c>
      <c r="H501" s="22" t="n">
        <f aca="false">'Amendment Audit'!J193</f>
        <v>0</v>
      </c>
      <c r="I501" s="22" t="str">
        <f aca="false">'Amendment Audit'!L193</f>
        <v>No supplied signed certificate or yard measurement sheet</v>
      </c>
      <c r="J501" s="22" t="str">
        <f aca="false">"Amendment Audit row 193"</f>
        <v>Amendment Audit row 193</v>
      </c>
    </row>
    <row r="502" customFormat="false" ht="15" hidden="false" customHeight="false" outlineLevel="0" collapsed="false">
      <c r="A502" s="22" t="str">
        <f aca="false">'Amendment Audit'!M194</f>
        <v>Priority 2</v>
      </c>
      <c r="B502" s="22" t="s">
        <v>12989</v>
      </c>
      <c r="C502" s="22" t="str">
        <f aca="false">'Amendment Audit'!A194</f>
        <v>AMD-002125</v>
      </c>
      <c r="D502" s="23" t="n">
        <f aca="false">'Amendment Audit'!B194</f>
        <v>46147</v>
      </c>
      <c r="E502" s="22" t="str">
        <f aca="false">'Amendment Audit'!C194</f>
        <v>WL-01438</v>
      </c>
      <c r="F502" s="22" t="str">
        <f aca="false">'Amendment Audit'!D194</f>
        <v>Angela Whitehead</v>
      </c>
      <c r="G502" s="22" t="n">
        <f aca="false">'Amendment Audit'!F194</f>
        <v>21.8</v>
      </c>
      <c r="H502" s="22" t="n">
        <f aca="false">'Amendment Audit'!J194</f>
        <v>0</v>
      </c>
      <c r="I502" s="22" t="str">
        <f aca="false">'Amendment Audit'!L194</f>
        <v>No supplied signed certificate or yard measurement sheet</v>
      </c>
      <c r="J502" s="22" t="str">
        <f aca="false">"Amendment Audit row 194"</f>
        <v>Amendment Audit row 194</v>
      </c>
    </row>
    <row r="503" customFormat="false" ht="15" hidden="false" customHeight="false" outlineLevel="0" collapsed="false">
      <c r="A503" s="22" t="str">
        <f aca="false">'Amendment Audit'!M195</f>
        <v>Priority 2</v>
      </c>
      <c r="B503" s="22" t="s">
        <v>12989</v>
      </c>
      <c r="C503" s="22" t="str">
        <f aca="false">'Amendment Audit'!A195</f>
        <v>AMD-002138</v>
      </c>
      <c r="D503" s="23" t="n">
        <f aca="false">'Amendment Audit'!B195</f>
        <v>46155</v>
      </c>
      <c r="E503" s="22" t="str">
        <f aca="false">'Amendment Audit'!C195</f>
        <v>WL-02868</v>
      </c>
      <c r="F503" s="22" t="str">
        <f aca="false">'Amendment Audit'!D195</f>
        <v>Michael Lopez</v>
      </c>
      <c r="G503" s="22" t="n">
        <f aca="false">'Amendment Audit'!F195</f>
        <v>45.8</v>
      </c>
      <c r="H503" s="22" t="n">
        <f aca="false">'Amendment Audit'!J195</f>
        <v>0</v>
      </c>
      <c r="I503" s="22" t="str">
        <f aca="false">'Amendment Audit'!L195</f>
        <v>No supplied signed certificate or yard measurement sheet</v>
      </c>
      <c r="J503" s="22" t="str">
        <f aca="false">"Amendment Audit row 195"</f>
        <v>Amendment Audit row 195</v>
      </c>
    </row>
    <row r="504" customFormat="false" ht="15" hidden="false" customHeight="false" outlineLevel="0" collapsed="false">
      <c r="A504" s="22" t="str">
        <f aca="false">'Amendment Audit'!M196</f>
        <v>Priority 2</v>
      </c>
      <c r="B504" s="22" t="s">
        <v>12989</v>
      </c>
      <c r="C504" s="22" t="str">
        <f aca="false">'Amendment Audit'!A196</f>
        <v>AMD-002143</v>
      </c>
      <c r="D504" s="23" t="n">
        <f aca="false">'Amendment Audit'!B196</f>
        <v>46159</v>
      </c>
      <c r="E504" s="22" t="str">
        <f aca="false">'Amendment Audit'!C196</f>
        <v>WL-02332</v>
      </c>
      <c r="F504" s="22" t="str">
        <f aca="false">'Amendment Audit'!D196</f>
        <v>Karla Cross</v>
      </c>
      <c r="G504" s="22" t="n">
        <f aca="false">'Amendment Audit'!F196</f>
        <v>55.6</v>
      </c>
      <c r="H504" s="22" t="n">
        <f aca="false">'Amendment Audit'!J196</f>
        <v>0</v>
      </c>
      <c r="I504" s="22" t="str">
        <f aca="false">'Amendment Audit'!L196</f>
        <v>No supplied signed certificate or yard measurement sheet</v>
      </c>
      <c r="J504" s="22" t="str">
        <f aca="false">"Amendment Audit row 196"</f>
        <v>Amendment Audit row 196</v>
      </c>
    </row>
    <row r="505" customFormat="false" ht="15" hidden="false" customHeight="false" outlineLevel="0" collapsed="false">
      <c r="A505" s="22" t="str">
        <f aca="false">'Amendment Audit'!M197</f>
        <v>Priority 2</v>
      </c>
      <c r="B505" s="22" t="s">
        <v>12989</v>
      </c>
      <c r="C505" s="22" t="str">
        <f aca="false">'Amendment Audit'!A197</f>
        <v>AMD-002148</v>
      </c>
      <c r="D505" s="23" t="n">
        <f aca="false">'Amendment Audit'!B197</f>
        <v>46166</v>
      </c>
      <c r="E505" s="22" t="str">
        <f aca="false">'Amendment Audit'!C197</f>
        <v>WL-02874</v>
      </c>
      <c r="F505" s="22" t="str">
        <f aca="false">'Amendment Audit'!D197</f>
        <v>Michael Sherman</v>
      </c>
      <c r="G505" s="22" t="n">
        <f aca="false">'Amendment Audit'!F197</f>
        <v>24.3</v>
      </c>
      <c r="H505" s="22" t="n">
        <f aca="false">'Amendment Audit'!J197</f>
        <v>0</v>
      </c>
      <c r="I505" s="22" t="str">
        <f aca="false">'Amendment Audit'!L197</f>
        <v>No supplied signed certificate or yard measurement sheet</v>
      </c>
      <c r="J505" s="22" t="str">
        <f aca="false">"Amendment Audit row 197"</f>
        <v>Amendment Audit row 197</v>
      </c>
    </row>
    <row r="506" customFormat="false" ht="15" hidden="false" customHeight="false" outlineLevel="0" collapsed="false">
      <c r="A506" s="22" t="str">
        <f aca="false">'Amendment Audit'!M198</f>
        <v>Priority 2</v>
      </c>
      <c r="B506" s="22" t="s">
        <v>12989</v>
      </c>
      <c r="C506" s="22" t="str">
        <f aca="false">'Amendment Audit'!A198</f>
        <v>AMD-002150</v>
      </c>
      <c r="D506" s="23" t="n">
        <f aca="false">'Amendment Audit'!B198</f>
        <v>46167</v>
      </c>
      <c r="E506" s="22" t="str">
        <f aca="false">'Amendment Audit'!C198</f>
        <v>WL-02829</v>
      </c>
      <c r="F506" s="22" t="str">
        <f aca="false">'Amendment Audit'!D198</f>
        <v>Jenna Lawrence</v>
      </c>
      <c r="G506" s="22" t="n">
        <f aca="false">'Amendment Audit'!F198</f>
        <v>46.7</v>
      </c>
      <c r="H506" s="22" t="n">
        <f aca="false">'Amendment Audit'!J198</f>
        <v>0</v>
      </c>
      <c r="I506" s="22" t="str">
        <f aca="false">'Amendment Audit'!L198</f>
        <v>No supplied signed certificate or yard measurement sheet</v>
      </c>
      <c r="J506" s="22" t="str">
        <f aca="false">"Amendment Audit row 198"</f>
        <v>Amendment Audit row 198</v>
      </c>
    </row>
    <row r="507" customFormat="false" ht="15" hidden="false" customHeight="false" outlineLevel="0" collapsed="false">
      <c r="A507" s="22" t="str">
        <f aca="false">'Amendment Audit'!M199</f>
        <v>Priority 2</v>
      </c>
      <c r="B507" s="22" t="s">
        <v>12989</v>
      </c>
      <c r="C507" s="22" t="str">
        <f aca="false">'Amendment Audit'!A199</f>
        <v>AMD-002154</v>
      </c>
      <c r="D507" s="23" t="n">
        <f aca="false">'Amendment Audit'!B199</f>
        <v>46170</v>
      </c>
      <c r="E507" s="22" t="str">
        <f aca="false">'Amendment Audit'!C199</f>
        <v>WL-02807</v>
      </c>
      <c r="F507" s="22" t="str">
        <f aca="false">'Amendment Audit'!D199</f>
        <v>Julia Wells</v>
      </c>
      <c r="G507" s="22" t="n">
        <f aca="false">'Amendment Audit'!F199</f>
        <v>43.7</v>
      </c>
      <c r="H507" s="22" t="n">
        <f aca="false">'Amendment Audit'!J199</f>
        <v>0</v>
      </c>
      <c r="I507" s="22" t="str">
        <f aca="false">'Amendment Audit'!L199</f>
        <v>No supplied signed certificate or yard measurement sheet</v>
      </c>
      <c r="J507" s="22" t="str">
        <f aca="false">"Amendment Audit row 199"</f>
        <v>Amendment Audit row 199</v>
      </c>
    </row>
    <row r="508" customFormat="false" ht="15" hidden="false" customHeight="false" outlineLevel="0" collapsed="false">
      <c r="A508" s="22" t="str">
        <f aca="false">'Amendment Audit'!M200</f>
        <v>Priority 2</v>
      </c>
      <c r="B508" s="22" t="s">
        <v>12989</v>
      </c>
      <c r="C508" s="22" t="str">
        <f aca="false">'Amendment Audit'!A200</f>
        <v>AMD-002169</v>
      </c>
      <c r="D508" s="23" t="n">
        <f aca="false">'Amendment Audit'!B200</f>
        <v>46180</v>
      </c>
      <c r="E508" s="22" t="str">
        <f aca="false">'Amendment Audit'!C200</f>
        <v>WL-03472</v>
      </c>
      <c r="F508" s="22" t="str">
        <f aca="false">'Amendment Audit'!D200</f>
        <v>Robert Shea</v>
      </c>
      <c r="G508" s="22" t="n">
        <f aca="false">'Amendment Audit'!F200</f>
        <v>46.8</v>
      </c>
      <c r="H508" s="22" t="n">
        <f aca="false">'Amendment Audit'!J200</f>
        <v>0</v>
      </c>
      <c r="I508" s="22" t="str">
        <f aca="false">'Amendment Audit'!L200</f>
        <v>No supplied signed certificate or yard measurement sheet</v>
      </c>
      <c r="J508" s="22" t="str">
        <f aca="false">"Amendment Audit row 200"</f>
        <v>Amendment Audit row 200</v>
      </c>
    </row>
    <row r="509" customFormat="false" ht="15" hidden="false" customHeight="false" outlineLevel="0" collapsed="false">
      <c r="A509" s="22" t="str">
        <f aca="false">'Amendment Audit'!M201</f>
        <v>Priority 2</v>
      </c>
      <c r="B509" s="22" t="s">
        <v>12989</v>
      </c>
      <c r="C509" s="22" t="str">
        <f aca="false">'Amendment Audit'!A201</f>
        <v>AMD-002182</v>
      </c>
      <c r="D509" s="23" t="n">
        <f aca="false">'Amendment Audit'!B201</f>
        <v>46191</v>
      </c>
      <c r="E509" s="22" t="str">
        <f aca="false">'Amendment Audit'!C201</f>
        <v>WL-03878</v>
      </c>
      <c r="F509" s="22" t="str">
        <f aca="false">'Amendment Audit'!D201</f>
        <v>Michael Wagner</v>
      </c>
      <c r="G509" s="22" t="n">
        <f aca="false">'Amendment Audit'!F201</f>
        <v>28.5</v>
      </c>
      <c r="H509" s="22" t="n">
        <f aca="false">'Amendment Audit'!J201</f>
        <v>0</v>
      </c>
      <c r="I509" s="22" t="str">
        <f aca="false">'Amendment Audit'!L201</f>
        <v>No supplied signed certificate or yard measurement sheet</v>
      </c>
      <c r="J509" s="22" t="str">
        <f aca="false">"Amendment Audit row 201"</f>
        <v>Amendment Audit row 201</v>
      </c>
    </row>
    <row r="510" customFormat="false" ht="15" hidden="false" customHeight="false" outlineLevel="0" collapsed="false">
      <c r="A510" s="22" t="str">
        <f aca="false">'Amendment Audit'!M202</f>
        <v>Priority 2</v>
      </c>
      <c r="B510" s="22" t="s">
        <v>12989</v>
      </c>
      <c r="C510" s="22" t="str">
        <f aca="false">'Amendment Audit'!A202</f>
        <v>AMD-002200</v>
      </c>
      <c r="D510" s="23" t="n">
        <f aca="false">'Amendment Audit'!B202</f>
        <v>46201</v>
      </c>
      <c r="E510" s="22" t="str">
        <f aca="false">'Amendment Audit'!C202</f>
        <v>WL-02118</v>
      </c>
      <c r="F510" s="22" t="str">
        <f aca="false">'Amendment Audit'!D202</f>
        <v>Matthew Meyer</v>
      </c>
      <c r="G510" s="22" t="n">
        <f aca="false">'Amendment Audit'!F202</f>
        <v>48.8</v>
      </c>
      <c r="H510" s="22" t="n">
        <f aca="false">'Amendment Audit'!J202</f>
        <v>0</v>
      </c>
      <c r="I510" s="22" t="str">
        <f aca="false">'Amendment Audit'!L202</f>
        <v>No supplied signed certificate or yard measurement sheet</v>
      </c>
      <c r="J510" s="22" t="str">
        <f aca="false">"Amendment Audit row 202"</f>
        <v>Amendment Audit row 202</v>
      </c>
    </row>
    <row r="511" customFormat="false" ht="15" hidden="false" customHeight="false" outlineLevel="0" collapsed="false">
      <c r="A511" s="22" t="str">
        <f aca="false">'Amendment Audit'!M203</f>
        <v>Priority 2</v>
      </c>
      <c r="B511" s="22" t="s">
        <v>12989</v>
      </c>
      <c r="C511" s="22" t="str">
        <f aca="false">'Amendment Audit'!A203</f>
        <v>AMD-002203</v>
      </c>
      <c r="D511" s="23" t="n">
        <f aca="false">'Amendment Audit'!B203</f>
        <v>46203</v>
      </c>
      <c r="E511" s="22" t="str">
        <f aca="false">'Amendment Audit'!C203</f>
        <v>WL-03088</v>
      </c>
      <c r="F511" s="22" t="str">
        <f aca="false">'Amendment Audit'!D203</f>
        <v>Heather Williams</v>
      </c>
      <c r="G511" s="22" t="n">
        <f aca="false">'Amendment Audit'!F203</f>
        <v>33.6</v>
      </c>
      <c r="H511" s="22" t="n">
        <f aca="false">'Amendment Audit'!J203</f>
        <v>0</v>
      </c>
      <c r="I511" s="22" t="str">
        <f aca="false">'Amendment Audit'!L203</f>
        <v>No supplied signed certificate or yard measurement sheet</v>
      </c>
      <c r="J511" s="22" t="str">
        <f aca="false">"Amendment Audit row 203"</f>
        <v>Amendment Audit row 203</v>
      </c>
    </row>
    <row r="512" customFormat="false" ht="15" hidden="false" customHeight="false" outlineLevel="0" collapsed="false">
      <c r="A512" s="22" t="str">
        <f aca="false">'Amendment Audit'!M204</f>
        <v>Priority 2</v>
      </c>
      <c r="B512" s="22" t="s">
        <v>12989</v>
      </c>
      <c r="C512" s="22" t="str">
        <f aca="false">'Amendment Audit'!A204</f>
        <v>AMD-002206</v>
      </c>
      <c r="D512" s="23" t="n">
        <f aca="false">'Amendment Audit'!B204</f>
        <v>46205</v>
      </c>
      <c r="E512" s="22" t="str">
        <f aca="false">'Amendment Audit'!C204</f>
        <v>WL-02573</v>
      </c>
      <c r="F512" s="22" t="str">
        <f aca="false">'Amendment Audit'!D204</f>
        <v>Jason Bell</v>
      </c>
      <c r="G512" s="22" t="n">
        <f aca="false">'Amendment Audit'!F204</f>
        <v>29.2</v>
      </c>
      <c r="H512" s="22" t="n">
        <f aca="false">'Amendment Audit'!J204</f>
        <v>0</v>
      </c>
      <c r="I512" s="22" t="str">
        <f aca="false">'Amendment Audit'!L204</f>
        <v>No supplied signed certificate or yard measurement sheet</v>
      </c>
      <c r="J512" s="22" t="str">
        <f aca="false">"Amendment Audit row 204"</f>
        <v>Amendment Audit row 204</v>
      </c>
    </row>
    <row r="513" customFormat="false" ht="15" hidden="false" customHeight="false" outlineLevel="0" collapsed="false">
      <c r="A513" s="22" t="str">
        <f aca="false">'Amendment Audit'!M205</f>
        <v>Priority 2</v>
      </c>
      <c r="B513" s="22" t="s">
        <v>12989</v>
      </c>
      <c r="C513" s="22" t="str">
        <f aca="false">'Amendment Audit'!A205</f>
        <v>AMD-002228</v>
      </c>
      <c r="D513" s="23" t="n">
        <f aca="false">'Amendment Audit'!B205</f>
        <v>46222</v>
      </c>
      <c r="E513" s="22" t="str">
        <f aca="false">'Amendment Audit'!C205</f>
        <v>WL-03808</v>
      </c>
      <c r="F513" s="22" t="str">
        <f aca="false">'Amendment Audit'!D205</f>
        <v>Julie Peterson</v>
      </c>
      <c r="G513" s="22" t="n">
        <f aca="false">'Amendment Audit'!F205</f>
        <v>24.3</v>
      </c>
      <c r="H513" s="22" t="n">
        <f aca="false">'Amendment Audit'!J205</f>
        <v>0</v>
      </c>
      <c r="I513" s="22" t="str">
        <f aca="false">'Amendment Audit'!L205</f>
        <v>No supplied signed certificate or yard measurement sheet</v>
      </c>
      <c r="J513" s="22" t="str">
        <f aca="false">"Amendment Audit row 205"</f>
        <v>Amendment Audit row 205</v>
      </c>
    </row>
  </sheetData>
  <autoFilter ref="A5:J513"/>
  <mergeCells count="3">
    <mergeCell ref="A1:J1"/>
    <mergeCell ref="A2:J2"/>
    <mergeCell ref="A3:J3"/>
  </mergeCells>
  <conditionalFormatting sqref="A6:A513">
    <cfRule type="expression" priority="2" aboveAverage="0" equalAverage="0" bottom="0" percent="0" rank="0" text="" dxfId="5">
      <formula>$A6="Priority 1"</formula>
    </cfRule>
    <cfRule type="expression" priority="3" aboveAverage="0" equalAverage="0" bottom="0" percent="0" rank="0" text="" dxfId="6">
      <formula>$A6="Priority 2"</formula>
    </cfRule>
  </conditionalFormatting>
  <printOptions headings="false" gridLines="false" gridLinesSet="true" horizontalCentered="false" verticalCentered="false"/>
  <pageMargins left="0.25" right="0.25" top="0.45" bottom="0.45" header="0.511811023622047" footer="0.2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&amp;C&amp;7 Page &amp;P of &amp;N&amp;R&amp;7 Chaldale Harbor District | 2026-08-07</oddFooter>
  </headerFooter>
  <drawing r:id="rId1"/>
  <tableParts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LibreOffice/25.2.3.2$Linux_X86_64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2026-09-14T13:41:01Z</dcterms:created>
  <dc:creator>openpyxl</dc:creator>
  <dc:description/>
  <dc:language>en-US</dc:language>
  <cp:lastModifiedBy/>
  <dcterms:modified xsi:type="dcterms:W3CDTF">2026-09-14T13:41:01Z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